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ENTITES" sheetId="2" state="visible" r:id="rId2"/>
    <sheet xmlns:r="http://schemas.openxmlformats.org/officeDocument/2006/relationships" name="COLLABORATEURS" sheetId="3" state="visible" r:id="rId3"/>
    <sheet xmlns:r="http://schemas.openxmlformats.org/officeDocument/2006/relationships" name="TYPES" sheetId="4" state="visible" r:id="rId4"/>
    <sheet xmlns:r="http://schemas.openxmlformats.org/officeDocument/2006/relationships" name="BAREMES" sheetId="5" state="visible" r:id="rId5"/>
    <sheet xmlns:r="http://schemas.openxmlformats.org/officeDocument/2006/relationships" name="FORMULAIRE" sheetId="6" state="visible" r:id="rId6"/>
    <sheet xmlns:r="http://schemas.openxmlformats.org/officeDocument/2006/relationships" name="TRAITEMENTS" sheetId="7" state="visible" r:id="rId7"/>
    <sheet xmlns:r="http://schemas.openxmlformats.org/officeDocument/2006/relationships" name="CONNEXIONS" sheetId="8" state="visible" r:id="rId8"/>
    <sheet xmlns:r="http://schemas.openxmlformats.org/officeDocument/2006/relationships" name="CALENDRIER" sheetId="9" state="visible" r:id="rId9"/>
    <sheet xmlns:r="http://schemas.openxmlformats.org/officeDocument/2006/relationships" name="ABSENCES" sheetId="10" state="visible" r:id="rId10"/>
    <sheet xmlns:r="http://schemas.openxmlformats.org/officeDocument/2006/relationships" name="AJUSTEMENTS" sheetId="11" state="visible" r:id="rId11"/>
    <sheet xmlns:r="http://schemas.openxmlformats.org/officeDocument/2006/relationships" name="VENTILATION" sheetId="12" state="visible" r:id="rId12"/>
    <sheet xmlns:r="http://schemas.openxmlformats.org/officeDocument/2006/relationships" name="2026_10" sheetId="13" state="visible" r:id="rId13"/>
    <sheet xmlns:r="http://schemas.openxmlformats.org/officeDocument/2006/relationships" name="2026_11" sheetId="14" state="visible" r:id="rId14"/>
    <sheet xmlns:r="http://schemas.openxmlformats.org/officeDocument/2006/relationships" name="2026_12" sheetId="15" state="visible" r:id="rId15"/>
    <sheet xmlns:r="http://schemas.openxmlformats.org/officeDocument/2006/relationships" name="2027_01" sheetId="16" state="visible" r:id="rId16"/>
    <sheet xmlns:r="http://schemas.openxmlformats.org/officeDocument/2006/relationships" name="2027_02" sheetId="17" state="visible" r:id="rId17"/>
    <sheet xmlns:r="http://schemas.openxmlformats.org/officeDocument/2006/relationships" name="2027_03" sheetId="18" state="visible" r:id="rId18"/>
    <sheet xmlns:r="http://schemas.openxmlformats.org/officeDocument/2006/relationships" name="2027_04" sheetId="19" state="visible" r:id="rId19"/>
    <sheet xmlns:r="http://schemas.openxmlformats.org/officeDocument/2006/relationships" name="2027_05" sheetId="20" state="visible" r:id="rId20"/>
    <sheet xmlns:r="http://schemas.openxmlformats.org/officeDocument/2006/relationships" name="2027_06" sheetId="21" state="visible" r:id="rId21"/>
    <sheet xmlns:r="http://schemas.openxmlformats.org/officeDocument/2006/relationships" name="2027_07" sheetId="22" state="visible" r:id="rId22"/>
    <sheet xmlns:r="http://schemas.openxmlformats.org/officeDocument/2006/relationships" name="2027_08" sheetId="23" state="visible" r:id="rId23"/>
    <sheet xmlns:r="http://schemas.openxmlformats.org/officeDocument/2006/relationships" name="2027_09" sheetId="24" state="visible" r:id="rId24"/>
    <sheet xmlns:r="http://schemas.openxmlformats.org/officeDocument/2006/relationships" name="2027_10" sheetId="25" state="visible" r:id="rId25"/>
    <sheet xmlns:r="http://schemas.openxmlformats.org/officeDocument/2006/relationships" name="2027_11" sheetId="26" state="visible" r:id="rId26"/>
    <sheet xmlns:r="http://schemas.openxmlformats.org/officeDocument/2006/relationships" name="2027_12" sheetId="27" state="visible" r:id="rId27"/>
    <sheet xmlns:r="http://schemas.openxmlformats.org/officeDocument/2006/relationships" name="DASHBOARD" sheetId="28" state="visible" r:id="rId28"/>
    <sheet xmlns:r="http://schemas.openxmlformats.org/officeDocument/2006/relationships" name="SYNTHESE_ANNUELLE" sheetId="29" state="visible" r:id="rId29"/>
  </sheets>
  <definedNames>
    <definedName name="_xlnm._FilterDatabase" localSheetId="0" hidden="1">'GUIDE'!$A$1:$B$9</definedName>
    <definedName name="_xlnm._FilterDatabase" localSheetId="1" hidden="1">'ENTITES'!$A$1:$C$38</definedName>
    <definedName name="_xlnm._FilterDatabase" localSheetId="2" hidden="1">'COLLABORATEURS'!$A$1:$B$5</definedName>
    <definedName name="_xlnm._FilterDatabase" localSheetId="3" hidden="1">'TYPES'!$A$1:$A$7</definedName>
    <definedName name="_xlnm._FilterDatabase" localSheetId="4" hidden="1">'BAREMES'!$A$1:$F$4</definedName>
    <definedName name="_xlnm._FilterDatabase" localSheetId="5" hidden="1">'FORMULAIRE'!$A$1:$B$15</definedName>
    <definedName name="_xlnm._FilterDatabase" localSheetId="6" hidden="1">'TRAITEMENTS'!$A$1:$R$2</definedName>
    <definedName name="_xlnm._FilterDatabase" localSheetId="7" hidden="1">'CONNEXIONS'!$A$1:$D$2</definedName>
    <definedName name="_xlnm._FilterDatabase" localSheetId="8" hidden="1">'CALENDRIER'!$A$1:$D$2</definedName>
    <definedName name="_xlnm._FilterDatabase" localSheetId="9" hidden="1">'ABSENCES'!$A$1:$D$2</definedName>
    <definedName name="_xlnm._FilterDatabase" localSheetId="10" hidden="1">'AJUSTEMENTS'!$A$1:$G$2</definedName>
    <definedName name="_xlnm._FilterDatabase" localSheetId="11" hidden="1">'VENTILATION'!$A$1:$K$2</definedName>
    <definedName name="_xlnm._FilterDatabase" localSheetId="12" hidden="1">'2026_10'!$A$1:$H$38</definedName>
    <definedName name="_xlnm._FilterDatabase" localSheetId="13" hidden="1">'2026_11'!$A$1:$H$38</definedName>
    <definedName name="_xlnm._FilterDatabase" localSheetId="14" hidden="1">'2026_12'!$A$1:$H$38</definedName>
    <definedName name="_xlnm._FilterDatabase" localSheetId="15" hidden="1">'2027_01'!$A$1:$H$38</definedName>
    <definedName name="_xlnm._FilterDatabase" localSheetId="16" hidden="1">'2027_02'!$A$1:$H$38</definedName>
    <definedName name="_xlnm._FilterDatabase" localSheetId="17" hidden="1">'2027_03'!$A$1:$H$38</definedName>
    <definedName name="_xlnm._FilterDatabase" localSheetId="18" hidden="1">'2027_04'!$A$1:$H$38</definedName>
    <definedName name="_xlnm._FilterDatabase" localSheetId="19" hidden="1">'2027_05'!$A$1:$H$38</definedName>
    <definedName name="_xlnm._FilterDatabase" localSheetId="20" hidden="1">'2027_06'!$A$1:$H$38</definedName>
    <definedName name="_xlnm._FilterDatabase" localSheetId="21" hidden="1">'2027_07'!$A$1:$H$38</definedName>
    <definedName name="_xlnm._FilterDatabase" localSheetId="22" hidden="1">'2027_08'!$A$1:$H$38</definedName>
    <definedName name="_xlnm._FilterDatabase" localSheetId="23" hidden="1">'2027_09'!$A$1:$H$38</definedName>
    <definedName name="_xlnm._FilterDatabase" localSheetId="24" hidden="1">'2027_10'!$A$1:$H$38</definedName>
    <definedName name="_xlnm._FilterDatabase" localSheetId="25" hidden="1">'2027_11'!$A$1:$H$38</definedName>
    <definedName name="_xlnm._FilterDatabase" localSheetId="26" hidden="1">'2027_12'!$A$1:$H$38</definedName>
    <definedName name="_xlnm._FilterDatabase" localSheetId="27" hidden="1">'DASHBOARD'!$A$1:$B$2</definedName>
    <definedName name="_xlnm._FilterDatabase" localSheetId="28" hidden="1">'SYNTHESE_ANNUELLE'!$A$1:$G$2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2" customHeight="1">
      <c r="A1" s="1" t="inlineStr">
        <is>
          <t>Étape</t>
        </is>
      </c>
      <c r="B1" s="1" t="inlineStr">
        <is>
          <t>Consigne</t>
        </is>
      </c>
    </row>
    <row r="2">
      <c r="A2" t="inlineStr">
        <is>
          <t>1</t>
        </is>
      </c>
      <c r="B2" t="inlineStr">
        <is>
          <t>Renseigner les référentiels et les barèmes.</t>
        </is>
      </c>
    </row>
    <row r="3">
      <c r="A3" t="inlineStr">
        <is>
          <t>2</t>
        </is>
      </c>
      <c r="B3" t="inlineStr">
        <is>
          <t>FORMULAIRE : préparer une saisie, puis copier les valeurs dans TRAITEMENTS (sans macro).</t>
        </is>
      </c>
    </row>
    <row r="4">
      <c r="A4" t="inlineStr">
        <is>
          <t>3</t>
        </is>
      </c>
      <c r="B4" t="inlineStr">
        <is>
          <t>TRAITEMENTS : une ligne par document/version ; saisir barème historique et heures ajustées.</t>
        </is>
      </c>
    </row>
    <row r="5">
      <c r="A5" t="inlineStr">
        <is>
          <t>4</t>
        </is>
      </c>
      <c r="B5" t="inlineStr">
        <is>
          <t>CONNEXIONS : une ligne par agent/jour.</t>
        </is>
      </c>
    </row>
    <row r="6">
      <c r="A6" t="inlineStr">
        <is>
          <t>5</t>
        </is>
      </c>
      <c r="B6" t="inlineStr">
        <is>
          <t>VENTILATION : prorata automatique par agent/mois ; contrôler les heures non ventilées.</t>
        </is>
      </c>
    </row>
    <row r="7">
      <c r="A7" t="inlineStr">
        <is>
          <t>6</t>
        </is>
      </c>
      <c r="B7" t="inlineStr">
        <is>
          <t>AJUSTEMENTS : allocations manuelles si aucune production ou exception.</t>
        </is>
      </c>
    </row>
    <row r="8">
      <c r="A8" t="inlineStr">
        <is>
          <t>7</t>
        </is>
      </c>
      <c r="B8" t="inlineStr">
        <is>
          <t>DASHBOARD : choisir année/mois ; renseigner heures théoriques mensuelles.</t>
        </is>
      </c>
    </row>
    <row r="9">
      <c r="A9" t="inlineStr">
        <is>
          <t>8</t>
        </is>
      </c>
      <c r="B9" t="inlineStr">
        <is>
          <t>Historique : modifier les nouveaux barèmes sans toucher aux anciennes lignes.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</row>
    <row r="2">
      <c r="A2" t="inlineStr">
        <is>
          <t>ACM</t>
        </is>
      </c>
      <c r="B2" t="inlineStr"/>
      <c r="C2" t="inlineStr">
        <is>
          <t>ASS-BIENS</t>
        </is>
      </c>
    </row>
    <row r="3">
      <c r="A3" t="inlineStr">
        <is>
          <t>ACM</t>
        </is>
      </c>
      <c r="B3" t="inlineStr"/>
      <c r="C3" t="inlineStr">
        <is>
          <t>ASS-COMPTA-CONTENTIEUX</t>
        </is>
      </c>
    </row>
    <row r="4">
      <c r="A4" t="inlineStr">
        <is>
          <t>ACM</t>
        </is>
      </c>
      <c r="B4" t="inlineStr"/>
      <c r="C4" t="inlineStr">
        <is>
          <t>ASS-EMPRUNTEURS</t>
        </is>
      </c>
    </row>
    <row r="5">
      <c r="A5" t="inlineStr">
        <is>
          <t>ACM</t>
        </is>
      </c>
      <c r="B5" t="inlineStr"/>
      <c r="C5" t="inlineStr">
        <is>
          <t>ASS-ERE</t>
        </is>
      </c>
    </row>
    <row r="6">
      <c r="A6" t="inlineStr">
        <is>
          <t>ACM</t>
        </is>
      </c>
      <c r="B6" t="inlineStr"/>
      <c r="C6" t="inlineStr">
        <is>
          <t>ASS-INDEMN-BIENS-PERS</t>
        </is>
      </c>
    </row>
    <row r="7">
      <c r="A7" t="inlineStr">
        <is>
          <t>ACM</t>
        </is>
      </c>
      <c r="B7" t="inlineStr"/>
      <c r="C7" t="inlineStr">
        <is>
          <t>ASS-PERS-COLL</t>
        </is>
      </c>
    </row>
    <row r="8">
      <c r="A8" t="inlineStr">
        <is>
          <t>ACM</t>
        </is>
      </c>
      <c r="B8" t="inlineStr"/>
      <c r="C8" t="inlineStr">
        <is>
          <t>ASS-PERS-IND</t>
        </is>
      </c>
    </row>
    <row r="9">
      <c r="A9" t="inlineStr">
        <is>
          <t>ACM</t>
        </is>
      </c>
      <c r="B9" t="inlineStr"/>
      <c r="C9" t="inlineStr">
        <is>
          <t>ASS-PROTECTION-JUR</t>
        </is>
      </c>
    </row>
    <row r="10">
      <c r="A10" t="inlineStr">
        <is>
          <t>ACM</t>
        </is>
      </c>
      <c r="B10" t="inlineStr"/>
      <c r="C10" t="inlineStr">
        <is>
          <t>ASS-VIE-EPARGNE-RET</t>
        </is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</row>
    <row r="21">
      <c r="A21" t="inlineStr">
        <is>
          <t>CONTRATHEQUE</t>
        </is>
      </c>
      <c r="B21" t="inlineStr">
        <is>
          <t>GARANTIES</t>
        </is>
      </c>
      <c r="C21" t="inlineStr"/>
    </row>
    <row r="22">
      <c r="A22" t="inlineStr">
        <is>
          <t>CONTRATHEQUE</t>
        </is>
      </c>
      <c r="B22" t="inlineStr">
        <is>
          <t>POLITIQUE DE PROTECTION</t>
        </is>
      </c>
      <c r="C22" t="inlineStr"/>
    </row>
    <row r="23">
      <c r="A23" t="inlineStr">
        <is>
          <t>CREATIS</t>
        </is>
      </c>
      <c r="B23" t="inlineStr"/>
      <c r="C23" t="inlineStr"/>
    </row>
    <row r="24">
      <c r="A24" t="inlineStr">
        <is>
          <t>CMMABN</t>
        </is>
      </c>
      <c r="B24" t="inlineStr"/>
      <c r="C24" t="inlineStr"/>
    </row>
    <row r="25">
      <c r="A25" t="inlineStr">
        <is>
          <t>MONABANQ</t>
        </is>
      </c>
      <c r="B25" t="inlineStr"/>
      <c r="C25" t="inlineStr"/>
    </row>
    <row r="26">
      <c r="A26" t="inlineStr">
        <is>
          <t>Bouygues Telecom</t>
        </is>
      </c>
      <c r="B26" t="inlineStr"/>
      <c r="C26" t="inlineStr"/>
    </row>
    <row r="27">
      <c r="A27" t="inlineStr">
        <is>
          <t>DIRCOM</t>
        </is>
      </c>
      <c r="B27" t="inlineStr"/>
      <c r="C27" t="inlineStr">
        <is>
          <t>CIC</t>
        </is>
      </c>
    </row>
    <row r="28">
      <c r="A28" t="inlineStr">
        <is>
          <t>DIRCOM</t>
        </is>
      </c>
      <c r="B28" t="inlineStr"/>
      <c r="C28" t="inlineStr">
        <is>
          <t>CM</t>
        </is>
      </c>
    </row>
    <row r="29">
      <c r="A29" t="inlineStr">
        <is>
          <t>DIRCO</t>
        </is>
      </c>
      <c r="B29" t="inlineStr"/>
      <c r="C29" t="inlineStr">
        <is>
          <t>CIC</t>
        </is>
      </c>
    </row>
    <row r="30">
      <c r="A30" t="inlineStr">
        <is>
          <t>DIRCO</t>
        </is>
      </c>
      <c r="B30" t="inlineStr"/>
      <c r="C30" t="inlineStr">
        <is>
          <t>CM</t>
        </is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</row>
    <row r="32">
      <c r="A32" t="inlineStr">
        <is>
          <t>CMO</t>
        </is>
      </c>
      <c r="B32" t="inlineStr"/>
      <c r="C32" t="inlineStr">
        <is>
          <t>BAD</t>
        </is>
      </c>
    </row>
    <row r="33">
      <c r="A33" t="inlineStr">
        <is>
          <t>CMO</t>
        </is>
      </c>
      <c r="B33" t="inlineStr"/>
      <c r="C33" t="inlineStr">
        <is>
          <t>Cartes bancaires</t>
        </is>
      </c>
    </row>
    <row r="34">
      <c r="A34" t="inlineStr">
        <is>
          <t>CMO</t>
        </is>
      </c>
      <c r="B34" t="inlineStr"/>
      <c r="C34" t="inlineStr">
        <is>
          <t>Compte courant</t>
        </is>
      </c>
    </row>
    <row r="35">
      <c r="A35" t="inlineStr">
        <is>
          <t>CMO</t>
        </is>
      </c>
      <c r="B35" t="inlineStr"/>
      <c r="C35" t="inlineStr">
        <is>
          <t>Épargne bancaire</t>
        </is>
      </c>
    </row>
    <row r="36">
      <c r="A36" t="inlineStr">
        <is>
          <t>CMO</t>
        </is>
      </c>
      <c r="B36" t="inlineStr"/>
      <c r="C36" t="inlineStr">
        <is>
          <t>Épargne financière</t>
        </is>
      </c>
    </row>
    <row r="37">
      <c r="A37" t="inlineStr">
        <is>
          <t>CMO</t>
        </is>
      </c>
      <c r="B37" t="inlineStr"/>
      <c r="C37" t="inlineStr">
        <is>
          <t>Packages</t>
        </is>
      </c>
    </row>
    <row r="38">
      <c r="A38" t="inlineStr">
        <is>
          <t>CMO</t>
        </is>
      </c>
      <c r="B38" t="inlineStr"/>
      <c r="C38" t="inlineStr">
        <is>
          <t>Tarif</t>
        </is>
      </c>
    </row>
  </sheetData>
  <autoFilter ref="A1:C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2" customHeight="1">
      <c r="A1" s="1" t="inlineStr">
        <is>
          <t>Collaborateur</t>
        </is>
      </c>
      <c r="B1" s="1" t="inlineStr">
        <is>
          <t>Actif</t>
        </is>
      </c>
    </row>
    <row r="2">
      <c r="A2" t="inlineStr">
        <is>
          <t>HAMDANI Mohamed</t>
        </is>
      </c>
      <c r="B2" t="inlineStr">
        <is>
          <t>Oui</t>
        </is>
      </c>
    </row>
    <row r="3">
      <c r="A3" t="inlineStr">
        <is>
          <t>RMAIDI Imad</t>
        </is>
      </c>
      <c r="B3" t="inlineStr">
        <is>
          <t>Oui</t>
        </is>
      </c>
    </row>
    <row r="4">
      <c r="A4" t="inlineStr">
        <is>
          <t>LISSAOUI Hiba</t>
        </is>
      </c>
      <c r="B4" t="inlineStr">
        <is>
          <t>Oui</t>
        </is>
      </c>
    </row>
    <row r="5">
      <c r="A5" t="inlineStr">
        <is>
          <t>JEBBALI Youssef</t>
        </is>
      </c>
      <c r="B5" t="inlineStr">
        <is>
          <t>Non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 ht="32" customHeight="1">
      <c r="A1" s="1" t="inlineStr">
        <is>
          <t>Type de document</t>
        </is>
      </c>
    </row>
    <row r="2">
      <c r="A2" t="inlineStr">
        <is>
          <t>Conditions générales</t>
        </is>
      </c>
    </row>
    <row r="3">
      <c r="A3" t="inlineStr">
        <is>
          <t>Fiche Clarté</t>
        </is>
      </c>
    </row>
    <row r="4">
      <c r="A4" t="inlineStr">
        <is>
          <t>Fiche Zoom</t>
        </is>
      </c>
    </row>
    <row r="5">
      <c r="A5" t="inlineStr">
        <is>
          <t>Livre blanc</t>
        </is>
      </c>
    </row>
    <row r="6">
      <c r="A6" t="inlineStr">
        <is>
          <t>Document commercial</t>
        </is>
      </c>
    </row>
    <row r="7">
      <c r="A7" t="inlineStr">
        <is>
          <t>Autre</t>
        </is>
      </c>
    </row>
  </sheetData>
  <autoFilter ref="A1:A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2" customHeight="1">
      <c r="A1" s="1" t="inlineStr">
        <is>
          <t>Entité</t>
        </is>
      </c>
      <c r="B1" s="1" t="inlineStr">
        <is>
          <t>Type</t>
        </is>
      </c>
      <c r="C1" s="1" t="inlineStr">
        <is>
          <t>Version</t>
        </is>
      </c>
      <c r="D1" s="1" t="inlineStr">
        <is>
          <t>Date début</t>
        </is>
      </c>
      <c r="E1" s="1" t="inlineStr">
        <is>
          <t>Durée référence (h)</t>
        </is>
      </c>
      <c r="F1" s="1" t="inlineStr">
        <is>
          <t>Actif</t>
        </is>
      </c>
    </row>
    <row r="2">
      <c r="A2" t="inlineStr">
        <is>
          <t>ACM</t>
        </is>
      </c>
      <c r="B2" t="inlineStr">
        <is>
          <t>Conditions générales</t>
        </is>
      </c>
      <c r="C2" t="inlineStr">
        <is>
          <t>V1</t>
        </is>
      </c>
      <c r="D2" s="2" t="n">
        <v>46296</v>
      </c>
      <c r="E2" t="n">
        <v>9</v>
      </c>
      <c r="F2" t="inlineStr">
        <is>
          <t>Oui</t>
        </is>
      </c>
    </row>
    <row r="3">
      <c r="A3" t="inlineStr">
        <is>
          <t>ACM</t>
        </is>
      </c>
      <c r="B3" t="inlineStr">
        <is>
          <t>Fiche Clarté</t>
        </is>
      </c>
      <c r="C3" t="inlineStr">
        <is>
          <t>V1</t>
        </is>
      </c>
      <c r="D3" s="2" t="n">
        <v>46296</v>
      </c>
      <c r="E3" t="n">
        <v>4.5</v>
      </c>
      <c r="F3" t="inlineStr">
        <is>
          <t>Oui</t>
        </is>
      </c>
    </row>
    <row r="4">
      <c r="A4" t="inlineStr">
        <is>
          <t>DIRCOM</t>
        </is>
      </c>
      <c r="B4" t="inlineStr">
        <is>
          <t>Document commercial</t>
        </is>
      </c>
      <c r="C4" t="inlineStr">
        <is>
          <t>V1</t>
        </is>
      </c>
      <c r="D4" s="2" t="n">
        <v>46296</v>
      </c>
      <c r="E4" t="n">
        <v>9</v>
      </c>
      <c r="F4" t="inlineStr">
        <is>
          <t>Oui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2" customHeight="1">
      <c r="A1" s="1" t="inlineStr">
        <is>
          <t>Champ</t>
        </is>
      </c>
      <c r="B1" s="1" t="inlineStr">
        <is>
          <t>Valeur</t>
        </is>
      </c>
    </row>
    <row r="2">
      <c r="A2" t="inlineStr">
        <is>
          <t>ID traitement</t>
        </is>
      </c>
      <c r="B2" t="inlineStr"/>
    </row>
    <row r="3">
      <c r="A3" t="inlineStr">
        <is>
          <t>ID document initial</t>
        </is>
      </c>
      <c r="B3" t="inlineStr"/>
    </row>
    <row r="4">
      <c r="A4" t="inlineStr">
        <is>
          <t>Version document</t>
        </is>
      </c>
      <c r="B4" t="inlineStr"/>
    </row>
    <row r="5">
      <c r="A5" t="inlineStr">
        <is>
          <t>Date fin</t>
        </is>
      </c>
      <c r="B5" t="inlineStr"/>
    </row>
    <row r="6">
      <c r="A6" t="inlineStr">
        <is>
          <t>Collaborateur</t>
        </is>
      </c>
      <c r="B6" t="inlineStr"/>
    </row>
    <row r="7">
      <c r="A7" t="inlineStr">
        <is>
          <t>Entité</t>
        </is>
      </c>
      <c r="B7" t="inlineStr"/>
    </row>
    <row r="8">
      <c r="A8" t="inlineStr">
        <is>
          <t>Domaine</t>
        </is>
      </c>
      <c r="B8" t="inlineStr"/>
    </row>
    <row r="9">
      <c r="A9" t="inlineStr">
        <is>
          <t>Sous-domaine</t>
        </is>
      </c>
      <c r="B9" t="inlineStr"/>
    </row>
    <row r="10">
      <c r="A10" t="inlineStr">
        <is>
          <t>Type document</t>
        </is>
      </c>
      <c r="B10" t="inlineStr"/>
    </row>
    <row r="11">
      <c r="A11" t="inlineStr">
        <is>
          <t>Nom document</t>
        </is>
      </c>
      <c r="B11" t="inlineStr"/>
    </row>
    <row r="12">
      <c r="A12" t="inlineStr">
        <is>
          <t>Barème historique (h)</t>
        </is>
      </c>
      <c r="B12" t="inlineStr"/>
    </row>
    <row r="13">
      <c r="A13" t="inlineStr">
        <is>
          <t>Version barème</t>
        </is>
      </c>
      <c r="B13" t="inlineStr"/>
    </row>
    <row r="14">
      <c r="A14" t="inlineStr">
        <is>
          <t>Heures ajustées</t>
        </is>
      </c>
      <c r="B14" t="inlineStr"/>
    </row>
    <row r="15">
      <c r="A15" t="inlineStr">
        <is>
          <t>Facturable Oui/Non</t>
        </is>
      </c>
      <c r="B15" t="inlineStr"/>
    </row>
  </sheetData>
  <autoFilter ref="A1:B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 ht="32" customHeight="1">
      <c r="A1" s="1" t="inlineStr">
        <is>
          <t>ID traitement</t>
        </is>
      </c>
      <c r="B1" s="1" t="inlineStr">
        <is>
          <t>ID document initial</t>
        </is>
      </c>
      <c r="C1" s="1" t="inlineStr">
        <is>
          <t>Version document</t>
        </is>
      </c>
      <c r="D1" s="1" t="inlineStr">
        <is>
          <t>Date fin</t>
        </is>
      </c>
      <c r="E1" s="1" t="inlineStr">
        <is>
          <t>Collaborateur</t>
        </is>
      </c>
      <c r="F1" s="1" t="inlineStr">
        <is>
          <t>Entité</t>
        </is>
      </c>
      <c r="G1" s="1" t="inlineStr">
        <is>
          <t>Domaine</t>
        </is>
      </c>
      <c r="H1" s="1" t="inlineStr">
        <is>
          <t>Sous-domaine</t>
        </is>
      </c>
      <c r="I1" s="1" t="inlineStr">
        <is>
          <t>Type document</t>
        </is>
      </c>
      <c r="J1" s="1" t="inlineStr">
        <is>
          <t>Nom document</t>
        </is>
      </c>
      <c r="K1" s="1" t="inlineStr">
        <is>
          <t>Barème historique (h)</t>
        </is>
      </c>
      <c r="L1" s="1" t="inlineStr">
        <is>
          <t>Version barème</t>
        </is>
      </c>
      <c r="M1" s="1" t="inlineStr">
        <is>
          <t>Heures ajustées</t>
        </is>
      </c>
      <c r="N1" s="1" t="inlineStr">
        <is>
          <t>Facturable Oui/Non</t>
        </is>
      </c>
      <c r="O1" s="1" t="inlineStr">
        <is>
          <t>Heures facturables</t>
        </is>
      </c>
      <c r="P1" s="1" t="inlineStr">
        <is>
          <t>Heures non facturables</t>
        </is>
      </c>
      <c r="Q1" s="1" t="inlineStr">
        <is>
          <t>Mois clé</t>
        </is>
      </c>
      <c r="R1" s="1" t="inlineStr">
        <is>
          <t>Actes facturables</t>
        </is>
      </c>
    </row>
    <row r="2">
      <c r="D2" s="3" t="n"/>
      <c r="O2">
        <f>IF(OR(D2="",M2=""),0,IF(N2="Oui",M2,0))</f>
        <v/>
      </c>
      <c r="P2">
        <f>IF(OR(D2="",M2=""),0,IF(N2="Non",M2,0))</f>
        <v/>
      </c>
      <c r="Q2">
        <f>IF(D2="","",YEAR(D2)*100+MONTH(D2))</f>
        <v/>
      </c>
      <c r="R2">
        <f>IF(AND(D2&lt;&gt;"",N2="Oui"),1,0)</f>
        <v/>
      </c>
    </row>
    <row r="3">
      <c r="D3" s="3" t="n"/>
      <c r="O3">
        <f>IF(OR(D3="",M3=""),0,IF(N3="Oui",M3,0))</f>
        <v/>
      </c>
      <c r="P3">
        <f>IF(OR(D3="",M3=""),0,IF(N3="Non",M3,0))</f>
        <v/>
      </c>
      <c r="Q3">
        <f>IF(D3="","",YEAR(D3)*100+MONTH(D3))</f>
        <v/>
      </c>
      <c r="R3">
        <f>IF(AND(D3&lt;&gt;"",N3="Oui"),1,0)</f>
        <v/>
      </c>
    </row>
    <row r="4">
      <c r="D4" s="3" t="n"/>
      <c r="O4">
        <f>IF(OR(D4="",M4=""),0,IF(N4="Oui",M4,0))</f>
        <v/>
      </c>
      <c r="P4">
        <f>IF(OR(D4="",M4=""),0,IF(N4="Non",M4,0))</f>
        <v/>
      </c>
      <c r="Q4">
        <f>IF(D4="","",YEAR(D4)*100+MONTH(D4))</f>
        <v/>
      </c>
      <c r="R4">
        <f>IF(AND(D4&lt;&gt;"",N4="Oui"),1,0)</f>
        <v/>
      </c>
    </row>
    <row r="5">
      <c r="D5" s="3" t="n"/>
      <c r="O5">
        <f>IF(OR(D5="",M5=""),0,IF(N5="Oui",M5,0))</f>
        <v/>
      </c>
      <c r="P5">
        <f>IF(OR(D5="",M5=""),0,IF(N5="Non",M5,0))</f>
        <v/>
      </c>
      <c r="Q5">
        <f>IF(D5="","",YEAR(D5)*100+MONTH(D5))</f>
        <v/>
      </c>
      <c r="R5">
        <f>IF(AND(D5&lt;&gt;"",N5="Oui"),1,0)</f>
        <v/>
      </c>
    </row>
    <row r="6">
      <c r="D6" s="3" t="n"/>
      <c r="O6">
        <f>IF(OR(D6="",M6=""),0,IF(N6="Oui",M6,0))</f>
        <v/>
      </c>
      <c r="P6">
        <f>IF(OR(D6="",M6=""),0,IF(N6="Non",M6,0))</f>
        <v/>
      </c>
      <c r="Q6">
        <f>IF(D6="","",YEAR(D6)*100+MONTH(D6))</f>
        <v/>
      </c>
      <c r="R6">
        <f>IF(AND(D6&lt;&gt;"",N6="Oui"),1,0)</f>
        <v/>
      </c>
    </row>
    <row r="7">
      <c r="D7" s="3" t="n"/>
      <c r="O7">
        <f>IF(OR(D7="",M7=""),0,IF(N7="Oui",M7,0))</f>
        <v/>
      </c>
      <c r="P7">
        <f>IF(OR(D7="",M7=""),0,IF(N7="Non",M7,0))</f>
        <v/>
      </c>
      <c r="Q7">
        <f>IF(D7="","",YEAR(D7)*100+MONTH(D7))</f>
        <v/>
      </c>
      <c r="R7">
        <f>IF(AND(D7&lt;&gt;"",N7="Oui"),1,0)</f>
        <v/>
      </c>
    </row>
    <row r="8">
      <c r="D8" s="3" t="n"/>
      <c r="O8">
        <f>IF(OR(D8="",M8=""),0,IF(N8="Oui",M8,0))</f>
        <v/>
      </c>
      <c r="P8">
        <f>IF(OR(D8="",M8=""),0,IF(N8="Non",M8,0))</f>
        <v/>
      </c>
      <c r="Q8">
        <f>IF(D8="","",YEAR(D8)*100+MONTH(D8))</f>
        <v/>
      </c>
      <c r="R8">
        <f>IF(AND(D8&lt;&gt;"",N8="Oui"),1,0)</f>
        <v/>
      </c>
    </row>
    <row r="9">
      <c r="D9" s="3" t="n"/>
      <c r="O9">
        <f>IF(OR(D9="",M9=""),0,IF(N9="Oui",M9,0))</f>
        <v/>
      </c>
      <c r="P9">
        <f>IF(OR(D9="",M9=""),0,IF(N9="Non",M9,0))</f>
        <v/>
      </c>
      <c r="Q9">
        <f>IF(D9="","",YEAR(D9)*100+MONTH(D9))</f>
        <v/>
      </c>
      <c r="R9">
        <f>IF(AND(D9&lt;&gt;"",N9="Oui"),1,0)</f>
        <v/>
      </c>
    </row>
    <row r="10">
      <c r="D10" s="3" t="n"/>
      <c r="O10">
        <f>IF(OR(D10="",M10=""),0,IF(N10="Oui",M10,0))</f>
        <v/>
      </c>
      <c r="P10">
        <f>IF(OR(D10="",M10=""),0,IF(N10="Non",M10,0))</f>
        <v/>
      </c>
      <c r="Q10">
        <f>IF(D10="","",YEAR(D10)*100+MONTH(D10))</f>
        <v/>
      </c>
      <c r="R10">
        <f>IF(AND(D10&lt;&gt;"",N10="Oui"),1,0)</f>
        <v/>
      </c>
    </row>
    <row r="11">
      <c r="D11" s="3" t="n"/>
      <c r="O11">
        <f>IF(OR(D11="",M11=""),0,IF(N11="Oui",M11,0))</f>
        <v/>
      </c>
      <c r="P11">
        <f>IF(OR(D11="",M11=""),0,IF(N11="Non",M11,0))</f>
        <v/>
      </c>
      <c r="Q11">
        <f>IF(D11="","",YEAR(D11)*100+MONTH(D11))</f>
        <v/>
      </c>
      <c r="R11">
        <f>IF(AND(D11&lt;&gt;"",N11="Oui"),1,0)</f>
        <v/>
      </c>
    </row>
    <row r="12">
      <c r="D12" s="3" t="n"/>
      <c r="O12">
        <f>IF(OR(D12="",M12=""),0,IF(N12="Oui",M12,0))</f>
        <v/>
      </c>
      <c r="P12">
        <f>IF(OR(D12="",M12=""),0,IF(N12="Non",M12,0))</f>
        <v/>
      </c>
      <c r="Q12">
        <f>IF(D12="","",YEAR(D12)*100+MONTH(D12))</f>
        <v/>
      </c>
      <c r="R12">
        <f>IF(AND(D12&lt;&gt;"",N12="Oui"),1,0)</f>
        <v/>
      </c>
    </row>
    <row r="13">
      <c r="D13" s="3" t="n"/>
      <c r="O13">
        <f>IF(OR(D13="",M13=""),0,IF(N13="Oui",M13,0))</f>
        <v/>
      </c>
      <c r="P13">
        <f>IF(OR(D13="",M13=""),0,IF(N13="Non",M13,0))</f>
        <v/>
      </c>
      <c r="Q13">
        <f>IF(D13="","",YEAR(D13)*100+MONTH(D13))</f>
        <v/>
      </c>
      <c r="R13">
        <f>IF(AND(D13&lt;&gt;"",N13="Oui"),1,0)</f>
        <v/>
      </c>
    </row>
    <row r="14">
      <c r="D14" s="3" t="n"/>
      <c r="O14">
        <f>IF(OR(D14="",M14=""),0,IF(N14="Oui",M14,0))</f>
        <v/>
      </c>
      <c r="P14">
        <f>IF(OR(D14="",M14=""),0,IF(N14="Non",M14,0))</f>
        <v/>
      </c>
      <c r="Q14">
        <f>IF(D14="","",YEAR(D14)*100+MONTH(D14))</f>
        <v/>
      </c>
      <c r="R14">
        <f>IF(AND(D14&lt;&gt;"",N14="Oui"),1,0)</f>
        <v/>
      </c>
    </row>
    <row r="15">
      <c r="D15" s="3" t="n"/>
      <c r="O15">
        <f>IF(OR(D15="",M15=""),0,IF(N15="Oui",M15,0))</f>
        <v/>
      </c>
      <c r="P15">
        <f>IF(OR(D15="",M15=""),0,IF(N15="Non",M15,0))</f>
        <v/>
      </c>
      <c r="Q15">
        <f>IF(D15="","",YEAR(D15)*100+MONTH(D15))</f>
        <v/>
      </c>
      <c r="R15">
        <f>IF(AND(D15&lt;&gt;"",N15="Oui"),1,0)</f>
        <v/>
      </c>
    </row>
    <row r="16">
      <c r="D16" s="3" t="n"/>
      <c r="O16">
        <f>IF(OR(D16="",M16=""),0,IF(N16="Oui",M16,0))</f>
        <v/>
      </c>
      <c r="P16">
        <f>IF(OR(D16="",M16=""),0,IF(N16="Non",M16,0))</f>
        <v/>
      </c>
      <c r="Q16">
        <f>IF(D16="","",YEAR(D16)*100+MONTH(D16))</f>
        <v/>
      </c>
      <c r="R16">
        <f>IF(AND(D16&lt;&gt;"",N16="Oui"),1,0)</f>
        <v/>
      </c>
    </row>
    <row r="17">
      <c r="D17" s="3" t="n"/>
      <c r="O17">
        <f>IF(OR(D17="",M17=""),0,IF(N17="Oui",M17,0))</f>
        <v/>
      </c>
      <c r="P17">
        <f>IF(OR(D17="",M17=""),0,IF(N17="Non",M17,0))</f>
        <v/>
      </c>
      <c r="Q17">
        <f>IF(D17="","",YEAR(D17)*100+MONTH(D17))</f>
        <v/>
      </c>
      <c r="R17">
        <f>IF(AND(D17&lt;&gt;"",N17="Oui"),1,0)</f>
        <v/>
      </c>
    </row>
    <row r="18">
      <c r="D18" s="3" t="n"/>
      <c r="O18">
        <f>IF(OR(D18="",M18=""),0,IF(N18="Oui",M18,0))</f>
        <v/>
      </c>
      <c r="P18">
        <f>IF(OR(D18="",M18=""),0,IF(N18="Non",M18,0))</f>
        <v/>
      </c>
      <c r="Q18">
        <f>IF(D18="","",YEAR(D18)*100+MONTH(D18))</f>
        <v/>
      </c>
      <c r="R18">
        <f>IF(AND(D18&lt;&gt;"",N18="Oui"),1,0)</f>
        <v/>
      </c>
    </row>
    <row r="19">
      <c r="D19" s="3" t="n"/>
      <c r="O19">
        <f>IF(OR(D19="",M19=""),0,IF(N19="Oui",M19,0))</f>
        <v/>
      </c>
      <c r="P19">
        <f>IF(OR(D19="",M19=""),0,IF(N19="Non",M19,0))</f>
        <v/>
      </c>
      <c r="Q19">
        <f>IF(D19="","",YEAR(D19)*100+MONTH(D19))</f>
        <v/>
      </c>
      <c r="R19">
        <f>IF(AND(D19&lt;&gt;"",N19="Oui"),1,0)</f>
        <v/>
      </c>
    </row>
    <row r="20">
      <c r="D20" s="3" t="n"/>
      <c r="O20">
        <f>IF(OR(D20="",M20=""),0,IF(N20="Oui",M20,0))</f>
        <v/>
      </c>
      <c r="P20">
        <f>IF(OR(D20="",M20=""),0,IF(N20="Non",M20,0))</f>
        <v/>
      </c>
      <c r="Q20">
        <f>IF(D20="","",YEAR(D20)*100+MONTH(D20))</f>
        <v/>
      </c>
      <c r="R20">
        <f>IF(AND(D20&lt;&gt;"",N20="Oui"),1,0)</f>
        <v/>
      </c>
    </row>
    <row r="21">
      <c r="D21" s="3" t="n"/>
      <c r="O21">
        <f>IF(OR(D21="",M21=""),0,IF(N21="Oui",M21,0))</f>
        <v/>
      </c>
      <c r="P21">
        <f>IF(OR(D21="",M21=""),0,IF(N21="Non",M21,0))</f>
        <v/>
      </c>
      <c r="Q21">
        <f>IF(D21="","",YEAR(D21)*100+MONTH(D21))</f>
        <v/>
      </c>
      <c r="R21">
        <f>IF(AND(D21&lt;&gt;"",N21="Oui"),1,0)</f>
        <v/>
      </c>
    </row>
    <row r="22">
      <c r="D22" s="3" t="n"/>
      <c r="O22">
        <f>IF(OR(D22="",M22=""),0,IF(N22="Oui",M22,0))</f>
        <v/>
      </c>
      <c r="P22">
        <f>IF(OR(D22="",M22=""),0,IF(N22="Non",M22,0))</f>
        <v/>
      </c>
      <c r="Q22">
        <f>IF(D22="","",YEAR(D22)*100+MONTH(D22))</f>
        <v/>
      </c>
      <c r="R22">
        <f>IF(AND(D22&lt;&gt;"",N22="Oui"),1,0)</f>
        <v/>
      </c>
    </row>
    <row r="23">
      <c r="D23" s="3" t="n"/>
      <c r="O23">
        <f>IF(OR(D23="",M23=""),0,IF(N23="Oui",M23,0))</f>
        <v/>
      </c>
      <c r="P23">
        <f>IF(OR(D23="",M23=""),0,IF(N23="Non",M23,0))</f>
        <v/>
      </c>
      <c r="Q23">
        <f>IF(D23="","",YEAR(D23)*100+MONTH(D23))</f>
        <v/>
      </c>
      <c r="R23">
        <f>IF(AND(D23&lt;&gt;"",N23="Oui"),1,0)</f>
        <v/>
      </c>
    </row>
    <row r="24">
      <c r="D24" s="3" t="n"/>
      <c r="O24">
        <f>IF(OR(D24="",M24=""),0,IF(N24="Oui",M24,0))</f>
        <v/>
      </c>
      <c r="P24">
        <f>IF(OR(D24="",M24=""),0,IF(N24="Non",M24,0))</f>
        <v/>
      </c>
      <c r="Q24">
        <f>IF(D24="","",YEAR(D24)*100+MONTH(D24))</f>
        <v/>
      </c>
      <c r="R24">
        <f>IF(AND(D24&lt;&gt;"",N24="Oui"),1,0)</f>
        <v/>
      </c>
    </row>
    <row r="25">
      <c r="D25" s="3" t="n"/>
      <c r="O25">
        <f>IF(OR(D25="",M25=""),0,IF(N25="Oui",M25,0))</f>
        <v/>
      </c>
      <c r="P25">
        <f>IF(OR(D25="",M25=""),0,IF(N25="Non",M25,0))</f>
        <v/>
      </c>
      <c r="Q25">
        <f>IF(D25="","",YEAR(D25)*100+MONTH(D25))</f>
        <v/>
      </c>
      <c r="R25">
        <f>IF(AND(D25&lt;&gt;"",N25="Oui"),1,0)</f>
        <v/>
      </c>
    </row>
    <row r="26">
      <c r="D26" s="3" t="n"/>
      <c r="O26">
        <f>IF(OR(D26="",M26=""),0,IF(N26="Oui",M26,0))</f>
        <v/>
      </c>
      <c r="P26">
        <f>IF(OR(D26="",M26=""),0,IF(N26="Non",M26,0))</f>
        <v/>
      </c>
      <c r="Q26">
        <f>IF(D26="","",YEAR(D26)*100+MONTH(D26))</f>
        <v/>
      </c>
      <c r="R26">
        <f>IF(AND(D26&lt;&gt;"",N26="Oui"),1,0)</f>
        <v/>
      </c>
    </row>
    <row r="27">
      <c r="D27" s="3" t="n"/>
      <c r="O27">
        <f>IF(OR(D27="",M27=""),0,IF(N27="Oui",M27,0))</f>
        <v/>
      </c>
      <c r="P27">
        <f>IF(OR(D27="",M27=""),0,IF(N27="Non",M27,0))</f>
        <v/>
      </c>
      <c r="Q27">
        <f>IF(D27="","",YEAR(D27)*100+MONTH(D27))</f>
        <v/>
      </c>
      <c r="R27">
        <f>IF(AND(D27&lt;&gt;"",N27="Oui"),1,0)</f>
        <v/>
      </c>
    </row>
    <row r="28">
      <c r="D28" s="3" t="n"/>
      <c r="O28">
        <f>IF(OR(D28="",M28=""),0,IF(N28="Oui",M28,0))</f>
        <v/>
      </c>
      <c r="P28">
        <f>IF(OR(D28="",M28=""),0,IF(N28="Non",M28,0))</f>
        <v/>
      </c>
      <c r="Q28">
        <f>IF(D28="","",YEAR(D28)*100+MONTH(D28))</f>
        <v/>
      </c>
      <c r="R28">
        <f>IF(AND(D28&lt;&gt;"",N28="Oui"),1,0)</f>
        <v/>
      </c>
    </row>
    <row r="29">
      <c r="D29" s="3" t="n"/>
      <c r="O29">
        <f>IF(OR(D29="",M29=""),0,IF(N29="Oui",M29,0))</f>
        <v/>
      </c>
      <c r="P29">
        <f>IF(OR(D29="",M29=""),0,IF(N29="Non",M29,0))</f>
        <v/>
      </c>
      <c r="Q29">
        <f>IF(D29="","",YEAR(D29)*100+MONTH(D29))</f>
        <v/>
      </c>
      <c r="R29">
        <f>IF(AND(D29&lt;&gt;"",N29="Oui"),1,0)</f>
        <v/>
      </c>
    </row>
    <row r="30">
      <c r="D30" s="3" t="n"/>
      <c r="O30">
        <f>IF(OR(D30="",M30=""),0,IF(N30="Oui",M30,0))</f>
        <v/>
      </c>
      <c r="P30">
        <f>IF(OR(D30="",M30=""),0,IF(N30="Non",M30,0))</f>
        <v/>
      </c>
      <c r="Q30">
        <f>IF(D30="","",YEAR(D30)*100+MONTH(D30))</f>
        <v/>
      </c>
      <c r="R30">
        <f>IF(AND(D30&lt;&gt;"",N30="Oui"),1,0)</f>
        <v/>
      </c>
    </row>
    <row r="31">
      <c r="D31" s="3" t="n"/>
      <c r="O31">
        <f>IF(OR(D31="",M31=""),0,IF(N31="Oui",M31,0))</f>
        <v/>
      </c>
      <c r="P31">
        <f>IF(OR(D31="",M31=""),0,IF(N31="Non",M31,0))</f>
        <v/>
      </c>
      <c r="Q31">
        <f>IF(D31="","",YEAR(D31)*100+MONTH(D31))</f>
        <v/>
      </c>
      <c r="R31">
        <f>IF(AND(D31&lt;&gt;"",N31="Oui"),1,0)</f>
        <v/>
      </c>
    </row>
    <row r="32">
      <c r="D32" s="3" t="n"/>
      <c r="O32">
        <f>IF(OR(D32="",M32=""),0,IF(N32="Oui",M32,0))</f>
        <v/>
      </c>
      <c r="P32">
        <f>IF(OR(D32="",M32=""),0,IF(N32="Non",M32,0))</f>
        <v/>
      </c>
      <c r="Q32">
        <f>IF(D32="","",YEAR(D32)*100+MONTH(D32))</f>
        <v/>
      </c>
      <c r="R32">
        <f>IF(AND(D32&lt;&gt;"",N32="Oui"),1,0)</f>
        <v/>
      </c>
    </row>
    <row r="33">
      <c r="D33" s="3" t="n"/>
      <c r="O33">
        <f>IF(OR(D33="",M33=""),0,IF(N33="Oui",M33,0))</f>
        <v/>
      </c>
      <c r="P33">
        <f>IF(OR(D33="",M33=""),0,IF(N33="Non",M33,0))</f>
        <v/>
      </c>
      <c r="Q33">
        <f>IF(D33="","",YEAR(D33)*100+MONTH(D33))</f>
        <v/>
      </c>
      <c r="R33">
        <f>IF(AND(D33&lt;&gt;"",N33="Oui"),1,0)</f>
        <v/>
      </c>
    </row>
    <row r="34">
      <c r="D34" s="3" t="n"/>
      <c r="O34">
        <f>IF(OR(D34="",M34=""),0,IF(N34="Oui",M34,0))</f>
        <v/>
      </c>
      <c r="P34">
        <f>IF(OR(D34="",M34=""),0,IF(N34="Non",M34,0))</f>
        <v/>
      </c>
      <c r="Q34">
        <f>IF(D34="","",YEAR(D34)*100+MONTH(D34))</f>
        <v/>
      </c>
      <c r="R34">
        <f>IF(AND(D34&lt;&gt;"",N34="Oui"),1,0)</f>
        <v/>
      </c>
    </row>
    <row r="35">
      <c r="D35" s="3" t="n"/>
      <c r="O35">
        <f>IF(OR(D35="",M35=""),0,IF(N35="Oui",M35,0))</f>
        <v/>
      </c>
      <c r="P35">
        <f>IF(OR(D35="",M35=""),0,IF(N35="Non",M35,0))</f>
        <v/>
      </c>
      <c r="Q35">
        <f>IF(D35="","",YEAR(D35)*100+MONTH(D35))</f>
        <v/>
      </c>
      <c r="R35">
        <f>IF(AND(D35&lt;&gt;"",N35="Oui"),1,0)</f>
        <v/>
      </c>
    </row>
    <row r="36">
      <c r="D36" s="3" t="n"/>
      <c r="O36">
        <f>IF(OR(D36="",M36=""),0,IF(N36="Oui",M36,0))</f>
        <v/>
      </c>
      <c r="P36">
        <f>IF(OR(D36="",M36=""),0,IF(N36="Non",M36,0))</f>
        <v/>
      </c>
      <c r="Q36">
        <f>IF(D36="","",YEAR(D36)*100+MONTH(D36))</f>
        <v/>
      </c>
      <c r="R36">
        <f>IF(AND(D36&lt;&gt;"",N36="Oui"),1,0)</f>
        <v/>
      </c>
    </row>
    <row r="37">
      <c r="D37" s="3" t="n"/>
      <c r="O37">
        <f>IF(OR(D37="",M37=""),0,IF(N37="Oui",M37,0))</f>
        <v/>
      </c>
      <c r="P37">
        <f>IF(OR(D37="",M37=""),0,IF(N37="Non",M37,0))</f>
        <v/>
      </c>
      <c r="Q37">
        <f>IF(D37="","",YEAR(D37)*100+MONTH(D37))</f>
        <v/>
      </c>
      <c r="R37">
        <f>IF(AND(D37&lt;&gt;"",N37="Oui"),1,0)</f>
        <v/>
      </c>
    </row>
    <row r="38">
      <c r="D38" s="3" t="n"/>
      <c r="O38">
        <f>IF(OR(D38="",M38=""),0,IF(N38="Oui",M38,0))</f>
        <v/>
      </c>
      <c r="P38">
        <f>IF(OR(D38="",M38=""),0,IF(N38="Non",M38,0))</f>
        <v/>
      </c>
      <c r="Q38">
        <f>IF(D38="","",YEAR(D38)*100+MONTH(D38))</f>
        <v/>
      </c>
      <c r="R38">
        <f>IF(AND(D38&lt;&gt;"",N38="Oui"),1,0)</f>
        <v/>
      </c>
    </row>
    <row r="39">
      <c r="D39" s="3" t="n"/>
      <c r="O39">
        <f>IF(OR(D39="",M39=""),0,IF(N39="Oui",M39,0))</f>
        <v/>
      </c>
      <c r="P39">
        <f>IF(OR(D39="",M39=""),0,IF(N39="Non",M39,0))</f>
        <v/>
      </c>
      <c r="Q39">
        <f>IF(D39="","",YEAR(D39)*100+MONTH(D39))</f>
        <v/>
      </c>
      <c r="R39">
        <f>IF(AND(D39&lt;&gt;"",N39="Oui"),1,0)</f>
        <v/>
      </c>
    </row>
    <row r="40">
      <c r="D40" s="3" t="n"/>
      <c r="O40">
        <f>IF(OR(D40="",M40=""),0,IF(N40="Oui",M40,0))</f>
        <v/>
      </c>
      <c r="P40">
        <f>IF(OR(D40="",M40=""),0,IF(N40="Non",M40,0))</f>
        <v/>
      </c>
      <c r="Q40">
        <f>IF(D40="","",YEAR(D40)*100+MONTH(D40))</f>
        <v/>
      </c>
      <c r="R40">
        <f>IF(AND(D40&lt;&gt;"",N40="Oui"),1,0)</f>
        <v/>
      </c>
    </row>
    <row r="41">
      <c r="D41" s="3" t="n"/>
      <c r="O41">
        <f>IF(OR(D41="",M41=""),0,IF(N41="Oui",M41,0))</f>
        <v/>
      </c>
      <c r="P41">
        <f>IF(OR(D41="",M41=""),0,IF(N41="Non",M41,0))</f>
        <v/>
      </c>
      <c r="Q41">
        <f>IF(D41="","",YEAR(D41)*100+MONTH(D41))</f>
        <v/>
      </c>
      <c r="R41">
        <f>IF(AND(D41&lt;&gt;"",N41="Oui"),1,0)</f>
        <v/>
      </c>
    </row>
    <row r="42">
      <c r="D42" s="3" t="n"/>
      <c r="O42">
        <f>IF(OR(D42="",M42=""),0,IF(N42="Oui",M42,0))</f>
        <v/>
      </c>
      <c r="P42">
        <f>IF(OR(D42="",M42=""),0,IF(N42="Non",M42,0))</f>
        <v/>
      </c>
      <c r="Q42">
        <f>IF(D42="","",YEAR(D42)*100+MONTH(D42))</f>
        <v/>
      </c>
      <c r="R42">
        <f>IF(AND(D42&lt;&gt;"",N42="Oui"),1,0)</f>
        <v/>
      </c>
    </row>
    <row r="43">
      <c r="D43" s="3" t="n"/>
      <c r="O43">
        <f>IF(OR(D43="",M43=""),0,IF(N43="Oui",M43,0))</f>
        <v/>
      </c>
      <c r="P43">
        <f>IF(OR(D43="",M43=""),0,IF(N43="Non",M43,0))</f>
        <v/>
      </c>
      <c r="Q43">
        <f>IF(D43="","",YEAR(D43)*100+MONTH(D43))</f>
        <v/>
      </c>
      <c r="R43">
        <f>IF(AND(D43&lt;&gt;"",N43="Oui"),1,0)</f>
        <v/>
      </c>
    </row>
    <row r="44">
      <c r="D44" s="3" t="n"/>
      <c r="O44">
        <f>IF(OR(D44="",M44=""),0,IF(N44="Oui",M44,0))</f>
        <v/>
      </c>
      <c r="P44">
        <f>IF(OR(D44="",M44=""),0,IF(N44="Non",M44,0))</f>
        <v/>
      </c>
      <c r="Q44">
        <f>IF(D44="","",YEAR(D44)*100+MONTH(D44))</f>
        <v/>
      </c>
      <c r="R44">
        <f>IF(AND(D44&lt;&gt;"",N44="Oui"),1,0)</f>
        <v/>
      </c>
    </row>
    <row r="45">
      <c r="D45" s="3" t="n"/>
      <c r="O45">
        <f>IF(OR(D45="",M45=""),0,IF(N45="Oui",M45,0))</f>
        <v/>
      </c>
      <c r="P45">
        <f>IF(OR(D45="",M45=""),0,IF(N45="Non",M45,0))</f>
        <v/>
      </c>
      <c r="Q45">
        <f>IF(D45="","",YEAR(D45)*100+MONTH(D45))</f>
        <v/>
      </c>
      <c r="R45">
        <f>IF(AND(D45&lt;&gt;"",N45="Oui"),1,0)</f>
        <v/>
      </c>
    </row>
    <row r="46">
      <c r="D46" s="3" t="n"/>
      <c r="O46">
        <f>IF(OR(D46="",M46=""),0,IF(N46="Oui",M46,0))</f>
        <v/>
      </c>
      <c r="P46">
        <f>IF(OR(D46="",M46=""),0,IF(N46="Non",M46,0))</f>
        <v/>
      </c>
      <c r="Q46">
        <f>IF(D46="","",YEAR(D46)*100+MONTH(D46))</f>
        <v/>
      </c>
      <c r="R46">
        <f>IF(AND(D46&lt;&gt;"",N46="Oui"),1,0)</f>
        <v/>
      </c>
    </row>
    <row r="47">
      <c r="D47" s="3" t="n"/>
      <c r="O47">
        <f>IF(OR(D47="",M47=""),0,IF(N47="Oui",M47,0))</f>
        <v/>
      </c>
      <c r="P47">
        <f>IF(OR(D47="",M47=""),0,IF(N47="Non",M47,0))</f>
        <v/>
      </c>
      <c r="Q47">
        <f>IF(D47="","",YEAR(D47)*100+MONTH(D47))</f>
        <v/>
      </c>
      <c r="R47">
        <f>IF(AND(D47&lt;&gt;"",N47="Oui"),1,0)</f>
        <v/>
      </c>
    </row>
    <row r="48">
      <c r="D48" s="3" t="n"/>
      <c r="O48">
        <f>IF(OR(D48="",M48=""),0,IF(N48="Oui",M48,0))</f>
        <v/>
      </c>
      <c r="P48">
        <f>IF(OR(D48="",M48=""),0,IF(N48="Non",M48,0))</f>
        <v/>
      </c>
      <c r="Q48">
        <f>IF(D48="","",YEAR(D48)*100+MONTH(D48))</f>
        <v/>
      </c>
      <c r="R48">
        <f>IF(AND(D48&lt;&gt;"",N48="Oui"),1,0)</f>
        <v/>
      </c>
    </row>
    <row r="49">
      <c r="D49" s="3" t="n"/>
      <c r="O49">
        <f>IF(OR(D49="",M49=""),0,IF(N49="Oui",M49,0))</f>
        <v/>
      </c>
      <c r="P49">
        <f>IF(OR(D49="",M49=""),0,IF(N49="Non",M49,0))</f>
        <v/>
      </c>
      <c r="Q49">
        <f>IF(D49="","",YEAR(D49)*100+MONTH(D49))</f>
        <v/>
      </c>
      <c r="R49">
        <f>IF(AND(D49&lt;&gt;"",N49="Oui"),1,0)</f>
        <v/>
      </c>
    </row>
    <row r="50">
      <c r="D50" s="3" t="n"/>
      <c r="O50">
        <f>IF(OR(D50="",M50=""),0,IF(N50="Oui",M50,0))</f>
        <v/>
      </c>
      <c r="P50">
        <f>IF(OR(D50="",M50=""),0,IF(N50="Non",M50,0))</f>
        <v/>
      </c>
      <c r="Q50">
        <f>IF(D50="","",YEAR(D50)*100+MONTH(D50))</f>
        <v/>
      </c>
      <c r="R50">
        <f>IF(AND(D50&lt;&gt;"",N50="Oui"),1,0)</f>
        <v/>
      </c>
    </row>
    <row r="51">
      <c r="D51" s="3" t="n"/>
      <c r="O51">
        <f>IF(OR(D51="",M51=""),0,IF(N51="Oui",M51,0))</f>
        <v/>
      </c>
      <c r="P51">
        <f>IF(OR(D51="",M51=""),0,IF(N51="Non",M51,0))</f>
        <v/>
      </c>
      <c r="Q51">
        <f>IF(D51="","",YEAR(D51)*100+MONTH(D51))</f>
        <v/>
      </c>
      <c r="R51">
        <f>IF(AND(D51&lt;&gt;"",N51="Oui"),1,0)</f>
        <v/>
      </c>
    </row>
    <row r="52">
      <c r="D52" s="3" t="n"/>
      <c r="O52">
        <f>IF(OR(D52="",M52=""),0,IF(N52="Oui",M52,0))</f>
        <v/>
      </c>
      <c r="P52">
        <f>IF(OR(D52="",M52=""),0,IF(N52="Non",M52,0))</f>
        <v/>
      </c>
      <c r="Q52">
        <f>IF(D52="","",YEAR(D52)*100+MONTH(D52))</f>
        <v/>
      </c>
      <c r="R52">
        <f>IF(AND(D52&lt;&gt;"",N52="Oui"),1,0)</f>
        <v/>
      </c>
    </row>
    <row r="53">
      <c r="D53" s="3" t="n"/>
      <c r="O53">
        <f>IF(OR(D53="",M53=""),0,IF(N53="Oui",M53,0))</f>
        <v/>
      </c>
      <c r="P53">
        <f>IF(OR(D53="",M53=""),0,IF(N53="Non",M53,0))</f>
        <v/>
      </c>
      <c r="Q53">
        <f>IF(D53="","",YEAR(D53)*100+MONTH(D53))</f>
        <v/>
      </c>
      <c r="R53">
        <f>IF(AND(D53&lt;&gt;"",N53="Oui"),1,0)</f>
        <v/>
      </c>
    </row>
    <row r="54">
      <c r="D54" s="3" t="n"/>
      <c r="O54">
        <f>IF(OR(D54="",M54=""),0,IF(N54="Oui",M54,0))</f>
        <v/>
      </c>
      <c r="P54">
        <f>IF(OR(D54="",M54=""),0,IF(N54="Non",M54,0))</f>
        <v/>
      </c>
      <c r="Q54">
        <f>IF(D54="","",YEAR(D54)*100+MONTH(D54))</f>
        <v/>
      </c>
      <c r="R54">
        <f>IF(AND(D54&lt;&gt;"",N54="Oui"),1,0)</f>
        <v/>
      </c>
    </row>
    <row r="55">
      <c r="D55" s="3" t="n"/>
      <c r="O55">
        <f>IF(OR(D55="",M55=""),0,IF(N55="Oui",M55,0))</f>
        <v/>
      </c>
      <c r="P55">
        <f>IF(OR(D55="",M55=""),0,IF(N55="Non",M55,0))</f>
        <v/>
      </c>
      <c r="Q55">
        <f>IF(D55="","",YEAR(D55)*100+MONTH(D55))</f>
        <v/>
      </c>
      <c r="R55">
        <f>IF(AND(D55&lt;&gt;"",N55="Oui"),1,0)</f>
        <v/>
      </c>
    </row>
    <row r="56">
      <c r="D56" s="3" t="n"/>
      <c r="O56">
        <f>IF(OR(D56="",M56=""),0,IF(N56="Oui",M56,0))</f>
        <v/>
      </c>
      <c r="P56">
        <f>IF(OR(D56="",M56=""),0,IF(N56="Non",M56,0))</f>
        <v/>
      </c>
      <c r="Q56">
        <f>IF(D56="","",YEAR(D56)*100+MONTH(D56))</f>
        <v/>
      </c>
      <c r="R56">
        <f>IF(AND(D56&lt;&gt;"",N56="Oui"),1,0)</f>
        <v/>
      </c>
    </row>
    <row r="57">
      <c r="D57" s="3" t="n"/>
      <c r="O57">
        <f>IF(OR(D57="",M57=""),0,IF(N57="Oui",M57,0))</f>
        <v/>
      </c>
      <c r="P57">
        <f>IF(OR(D57="",M57=""),0,IF(N57="Non",M57,0))</f>
        <v/>
      </c>
      <c r="Q57">
        <f>IF(D57="","",YEAR(D57)*100+MONTH(D57))</f>
        <v/>
      </c>
      <c r="R57">
        <f>IF(AND(D57&lt;&gt;"",N57="Oui"),1,0)</f>
        <v/>
      </c>
    </row>
    <row r="58">
      <c r="D58" s="3" t="n"/>
      <c r="O58">
        <f>IF(OR(D58="",M58=""),0,IF(N58="Oui",M58,0))</f>
        <v/>
      </c>
      <c r="P58">
        <f>IF(OR(D58="",M58=""),0,IF(N58="Non",M58,0))</f>
        <v/>
      </c>
      <c r="Q58">
        <f>IF(D58="","",YEAR(D58)*100+MONTH(D58))</f>
        <v/>
      </c>
      <c r="R58">
        <f>IF(AND(D58&lt;&gt;"",N58="Oui"),1,0)</f>
        <v/>
      </c>
    </row>
    <row r="59">
      <c r="D59" s="3" t="n"/>
      <c r="O59">
        <f>IF(OR(D59="",M59=""),0,IF(N59="Oui",M59,0))</f>
        <v/>
      </c>
      <c r="P59">
        <f>IF(OR(D59="",M59=""),0,IF(N59="Non",M59,0))</f>
        <v/>
      </c>
      <c r="Q59">
        <f>IF(D59="","",YEAR(D59)*100+MONTH(D59))</f>
        <v/>
      </c>
      <c r="R59">
        <f>IF(AND(D59&lt;&gt;"",N59="Oui"),1,0)</f>
        <v/>
      </c>
    </row>
    <row r="60">
      <c r="D60" s="3" t="n"/>
      <c r="O60">
        <f>IF(OR(D60="",M60=""),0,IF(N60="Oui",M60,0))</f>
        <v/>
      </c>
      <c r="P60">
        <f>IF(OR(D60="",M60=""),0,IF(N60="Non",M60,0))</f>
        <v/>
      </c>
      <c r="Q60">
        <f>IF(D60="","",YEAR(D60)*100+MONTH(D60))</f>
        <v/>
      </c>
      <c r="R60">
        <f>IF(AND(D60&lt;&gt;"",N60="Oui"),1,0)</f>
        <v/>
      </c>
    </row>
    <row r="61">
      <c r="D61" s="3" t="n"/>
      <c r="O61">
        <f>IF(OR(D61="",M61=""),0,IF(N61="Oui",M61,0))</f>
        <v/>
      </c>
      <c r="P61">
        <f>IF(OR(D61="",M61=""),0,IF(N61="Non",M61,0))</f>
        <v/>
      </c>
      <c r="Q61">
        <f>IF(D61="","",YEAR(D61)*100+MONTH(D61))</f>
        <v/>
      </c>
      <c r="R61">
        <f>IF(AND(D61&lt;&gt;"",N61="Oui"),1,0)</f>
        <v/>
      </c>
    </row>
    <row r="62">
      <c r="D62" s="3" t="n"/>
      <c r="O62">
        <f>IF(OR(D62="",M62=""),0,IF(N62="Oui",M62,0))</f>
        <v/>
      </c>
      <c r="P62">
        <f>IF(OR(D62="",M62=""),0,IF(N62="Non",M62,0))</f>
        <v/>
      </c>
      <c r="Q62">
        <f>IF(D62="","",YEAR(D62)*100+MONTH(D62))</f>
        <v/>
      </c>
      <c r="R62">
        <f>IF(AND(D62&lt;&gt;"",N62="Oui"),1,0)</f>
        <v/>
      </c>
    </row>
    <row r="63">
      <c r="D63" s="3" t="n"/>
      <c r="O63">
        <f>IF(OR(D63="",M63=""),0,IF(N63="Oui",M63,0))</f>
        <v/>
      </c>
      <c r="P63">
        <f>IF(OR(D63="",M63=""),0,IF(N63="Non",M63,0))</f>
        <v/>
      </c>
      <c r="Q63">
        <f>IF(D63="","",YEAR(D63)*100+MONTH(D63))</f>
        <v/>
      </c>
      <c r="R63">
        <f>IF(AND(D63&lt;&gt;"",N63="Oui"),1,0)</f>
        <v/>
      </c>
    </row>
    <row r="64">
      <c r="D64" s="3" t="n"/>
      <c r="O64">
        <f>IF(OR(D64="",M64=""),0,IF(N64="Oui",M64,0))</f>
        <v/>
      </c>
      <c r="P64">
        <f>IF(OR(D64="",M64=""),0,IF(N64="Non",M64,0))</f>
        <v/>
      </c>
      <c r="Q64">
        <f>IF(D64="","",YEAR(D64)*100+MONTH(D64))</f>
        <v/>
      </c>
      <c r="R64">
        <f>IF(AND(D64&lt;&gt;"",N64="Oui"),1,0)</f>
        <v/>
      </c>
    </row>
    <row r="65">
      <c r="D65" s="3" t="n"/>
      <c r="O65">
        <f>IF(OR(D65="",M65=""),0,IF(N65="Oui",M65,0))</f>
        <v/>
      </c>
      <c r="P65">
        <f>IF(OR(D65="",M65=""),0,IF(N65="Non",M65,0))</f>
        <v/>
      </c>
      <c r="Q65">
        <f>IF(D65="","",YEAR(D65)*100+MONTH(D65))</f>
        <v/>
      </c>
      <c r="R65">
        <f>IF(AND(D65&lt;&gt;"",N65="Oui"),1,0)</f>
        <v/>
      </c>
    </row>
    <row r="66">
      <c r="D66" s="3" t="n"/>
      <c r="O66">
        <f>IF(OR(D66="",M66=""),0,IF(N66="Oui",M66,0))</f>
        <v/>
      </c>
      <c r="P66">
        <f>IF(OR(D66="",M66=""),0,IF(N66="Non",M66,0))</f>
        <v/>
      </c>
      <c r="Q66">
        <f>IF(D66="","",YEAR(D66)*100+MONTH(D66))</f>
        <v/>
      </c>
      <c r="R66">
        <f>IF(AND(D66&lt;&gt;"",N66="Oui"),1,0)</f>
        <v/>
      </c>
    </row>
    <row r="67">
      <c r="D67" s="3" t="n"/>
      <c r="O67">
        <f>IF(OR(D67="",M67=""),0,IF(N67="Oui",M67,0))</f>
        <v/>
      </c>
      <c r="P67">
        <f>IF(OR(D67="",M67=""),0,IF(N67="Non",M67,0))</f>
        <v/>
      </c>
      <c r="Q67">
        <f>IF(D67="","",YEAR(D67)*100+MONTH(D67))</f>
        <v/>
      </c>
      <c r="R67">
        <f>IF(AND(D67&lt;&gt;"",N67="Oui"),1,0)</f>
        <v/>
      </c>
    </row>
    <row r="68">
      <c r="D68" s="3" t="n"/>
      <c r="O68">
        <f>IF(OR(D68="",M68=""),0,IF(N68="Oui",M68,0))</f>
        <v/>
      </c>
      <c r="P68">
        <f>IF(OR(D68="",M68=""),0,IF(N68="Non",M68,0))</f>
        <v/>
      </c>
      <c r="Q68">
        <f>IF(D68="","",YEAR(D68)*100+MONTH(D68))</f>
        <v/>
      </c>
      <c r="R68">
        <f>IF(AND(D68&lt;&gt;"",N68="Oui"),1,0)</f>
        <v/>
      </c>
    </row>
    <row r="69">
      <c r="D69" s="3" t="n"/>
      <c r="O69">
        <f>IF(OR(D69="",M69=""),0,IF(N69="Oui",M69,0))</f>
        <v/>
      </c>
      <c r="P69">
        <f>IF(OR(D69="",M69=""),0,IF(N69="Non",M69,0))</f>
        <v/>
      </c>
      <c r="Q69">
        <f>IF(D69="","",YEAR(D69)*100+MONTH(D69))</f>
        <v/>
      </c>
      <c r="R69">
        <f>IF(AND(D69&lt;&gt;"",N69="Oui"),1,0)</f>
        <v/>
      </c>
    </row>
    <row r="70">
      <c r="D70" s="3" t="n"/>
      <c r="O70">
        <f>IF(OR(D70="",M70=""),0,IF(N70="Oui",M70,0))</f>
        <v/>
      </c>
      <c r="P70">
        <f>IF(OR(D70="",M70=""),0,IF(N70="Non",M70,0))</f>
        <v/>
      </c>
      <c r="Q70">
        <f>IF(D70="","",YEAR(D70)*100+MONTH(D70))</f>
        <v/>
      </c>
      <c r="R70">
        <f>IF(AND(D70&lt;&gt;"",N70="Oui"),1,0)</f>
        <v/>
      </c>
    </row>
    <row r="71">
      <c r="D71" s="3" t="n"/>
      <c r="O71">
        <f>IF(OR(D71="",M71=""),0,IF(N71="Oui",M71,0))</f>
        <v/>
      </c>
      <c r="P71">
        <f>IF(OR(D71="",M71=""),0,IF(N71="Non",M71,0))</f>
        <v/>
      </c>
      <c r="Q71">
        <f>IF(D71="","",YEAR(D71)*100+MONTH(D71))</f>
        <v/>
      </c>
      <c r="R71">
        <f>IF(AND(D71&lt;&gt;"",N71="Oui"),1,0)</f>
        <v/>
      </c>
    </row>
    <row r="72">
      <c r="D72" s="3" t="n"/>
      <c r="O72">
        <f>IF(OR(D72="",M72=""),0,IF(N72="Oui",M72,0))</f>
        <v/>
      </c>
      <c r="P72">
        <f>IF(OR(D72="",M72=""),0,IF(N72="Non",M72,0))</f>
        <v/>
      </c>
      <c r="Q72">
        <f>IF(D72="","",YEAR(D72)*100+MONTH(D72))</f>
        <v/>
      </c>
      <c r="R72">
        <f>IF(AND(D72&lt;&gt;"",N72="Oui"),1,0)</f>
        <v/>
      </c>
    </row>
    <row r="73">
      <c r="D73" s="3" t="n"/>
      <c r="O73">
        <f>IF(OR(D73="",M73=""),0,IF(N73="Oui",M73,0))</f>
        <v/>
      </c>
      <c r="P73">
        <f>IF(OR(D73="",M73=""),0,IF(N73="Non",M73,0))</f>
        <v/>
      </c>
      <c r="Q73">
        <f>IF(D73="","",YEAR(D73)*100+MONTH(D73))</f>
        <v/>
      </c>
      <c r="R73">
        <f>IF(AND(D73&lt;&gt;"",N73="Oui"),1,0)</f>
        <v/>
      </c>
    </row>
    <row r="74">
      <c r="D74" s="3" t="n"/>
      <c r="O74">
        <f>IF(OR(D74="",M74=""),0,IF(N74="Oui",M74,0))</f>
        <v/>
      </c>
      <c r="P74">
        <f>IF(OR(D74="",M74=""),0,IF(N74="Non",M74,0))</f>
        <v/>
      </c>
      <c r="Q74">
        <f>IF(D74="","",YEAR(D74)*100+MONTH(D74))</f>
        <v/>
      </c>
      <c r="R74">
        <f>IF(AND(D74&lt;&gt;"",N74="Oui"),1,0)</f>
        <v/>
      </c>
    </row>
    <row r="75">
      <c r="D75" s="3" t="n"/>
      <c r="O75">
        <f>IF(OR(D75="",M75=""),0,IF(N75="Oui",M75,0))</f>
        <v/>
      </c>
      <c r="P75">
        <f>IF(OR(D75="",M75=""),0,IF(N75="Non",M75,0))</f>
        <v/>
      </c>
      <c r="Q75">
        <f>IF(D75="","",YEAR(D75)*100+MONTH(D75))</f>
        <v/>
      </c>
      <c r="R75">
        <f>IF(AND(D75&lt;&gt;"",N75="Oui"),1,0)</f>
        <v/>
      </c>
    </row>
    <row r="76">
      <c r="D76" s="3" t="n"/>
      <c r="O76">
        <f>IF(OR(D76="",M76=""),0,IF(N76="Oui",M76,0))</f>
        <v/>
      </c>
      <c r="P76">
        <f>IF(OR(D76="",M76=""),0,IF(N76="Non",M76,0))</f>
        <v/>
      </c>
      <c r="Q76">
        <f>IF(D76="","",YEAR(D76)*100+MONTH(D76))</f>
        <v/>
      </c>
      <c r="R76">
        <f>IF(AND(D76&lt;&gt;"",N76="Oui"),1,0)</f>
        <v/>
      </c>
    </row>
    <row r="77">
      <c r="D77" s="3" t="n"/>
      <c r="O77">
        <f>IF(OR(D77="",M77=""),0,IF(N77="Oui",M77,0))</f>
        <v/>
      </c>
      <c r="P77">
        <f>IF(OR(D77="",M77=""),0,IF(N77="Non",M77,0))</f>
        <v/>
      </c>
      <c r="Q77">
        <f>IF(D77="","",YEAR(D77)*100+MONTH(D77))</f>
        <v/>
      </c>
      <c r="R77">
        <f>IF(AND(D77&lt;&gt;"",N77="Oui"),1,0)</f>
        <v/>
      </c>
    </row>
    <row r="78">
      <c r="D78" s="3" t="n"/>
      <c r="O78">
        <f>IF(OR(D78="",M78=""),0,IF(N78="Oui",M78,0))</f>
        <v/>
      </c>
      <c r="P78">
        <f>IF(OR(D78="",M78=""),0,IF(N78="Non",M78,0))</f>
        <v/>
      </c>
      <c r="Q78">
        <f>IF(D78="","",YEAR(D78)*100+MONTH(D78))</f>
        <v/>
      </c>
      <c r="R78">
        <f>IF(AND(D78&lt;&gt;"",N78="Oui"),1,0)</f>
        <v/>
      </c>
    </row>
    <row r="79">
      <c r="D79" s="3" t="n"/>
      <c r="O79">
        <f>IF(OR(D79="",M79=""),0,IF(N79="Oui",M79,0))</f>
        <v/>
      </c>
      <c r="P79">
        <f>IF(OR(D79="",M79=""),0,IF(N79="Non",M79,0))</f>
        <v/>
      </c>
      <c r="Q79">
        <f>IF(D79="","",YEAR(D79)*100+MONTH(D79))</f>
        <v/>
      </c>
      <c r="R79">
        <f>IF(AND(D79&lt;&gt;"",N79="Oui"),1,0)</f>
        <v/>
      </c>
    </row>
    <row r="80">
      <c r="D80" s="3" t="n"/>
      <c r="O80">
        <f>IF(OR(D80="",M80=""),0,IF(N80="Oui",M80,0))</f>
        <v/>
      </c>
      <c r="P80">
        <f>IF(OR(D80="",M80=""),0,IF(N80="Non",M80,0))</f>
        <v/>
      </c>
      <c r="Q80">
        <f>IF(D80="","",YEAR(D80)*100+MONTH(D80))</f>
        <v/>
      </c>
      <c r="R80">
        <f>IF(AND(D80&lt;&gt;"",N80="Oui"),1,0)</f>
        <v/>
      </c>
    </row>
    <row r="81">
      <c r="D81" s="3" t="n"/>
      <c r="O81">
        <f>IF(OR(D81="",M81=""),0,IF(N81="Oui",M81,0))</f>
        <v/>
      </c>
      <c r="P81">
        <f>IF(OR(D81="",M81=""),0,IF(N81="Non",M81,0))</f>
        <v/>
      </c>
      <c r="Q81">
        <f>IF(D81="","",YEAR(D81)*100+MONTH(D81))</f>
        <v/>
      </c>
      <c r="R81">
        <f>IF(AND(D81&lt;&gt;"",N81="Oui"),1,0)</f>
        <v/>
      </c>
    </row>
    <row r="82">
      <c r="D82" s="3" t="n"/>
      <c r="O82">
        <f>IF(OR(D82="",M82=""),0,IF(N82="Oui",M82,0))</f>
        <v/>
      </c>
      <c r="P82">
        <f>IF(OR(D82="",M82=""),0,IF(N82="Non",M82,0))</f>
        <v/>
      </c>
      <c r="Q82">
        <f>IF(D82="","",YEAR(D82)*100+MONTH(D82))</f>
        <v/>
      </c>
      <c r="R82">
        <f>IF(AND(D82&lt;&gt;"",N82="Oui"),1,0)</f>
        <v/>
      </c>
    </row>
    <row r="83">
      <c r="D83" s="3" t="n"/>
      <c r="O83">
        <f>IF(OR(D83="",M83=""),0,IF(N83="Oui",M83,0))</f>
        <v/>
      </c>
      <c r="P83">
        <f>IF(OR(D83="",M83=""),0,IF(N83="Non",M83,0))</f>
        <v/>
      </c>
      <c r="Q83">
        <f>IF(D83="","",YEAR(D83)*100+MONTH(D83))</f>
        <v/>
      </c>
      <c r="R83">
        <f>IF(AND(D83&lt;&gt;"",N83="Oui"),1,0)</f>
        <v/>
      </c>
    </row>
    <row r="84">
      <c r="D84" s="3" t="n"/>
      <c r="O84">
        <f>IF(OR(D84="",M84=""),0,IF(N84="Oui",M84,0))</f>
        <v/>
      </c>
      <c r="P84">
        <f>IF(OR(D84="",M84=""),0,IF(N84="Non",M84,0))</f>
        <v/>
      </c>
      <c r="Q84">
        <f>IF(D84="","",YEAR(D84)*100+MONTH(D84))</f>
        <v/>
      </c>
      <c r="R84">
        <f>IF(AND(D84&lt;&gt;"",N84="Oui"),1,0)</f>
        <v/>
      </c>
    </row>
    <row r="85">
      <c r="D85" s="3" t="n"/>
      <c r="O85">
        <f>IF(OR(D85="",M85=""),0,IF(N85="Oui",M85,0))</f>
        <v/>
      </c>
      <c r="P85">
        <f>IF(OR(D85="",M85=""),0,IF(N85="Non",M85,0))</f>
        <v/>
      </c>
      <c r="Q85">
        <f>IF(D85="","",YEAR(D85)*100+MONTH(D85))</f>
        <v/>
      </c>
      <c r="R85">
        <f>IF(AND(D85&lt;&gt;"",N85="Oui"),1,0)</f>
        <v/>
      </c>
    </row>
    <row r="86">
      <c r="D86" s="3" t="n"/>
      <c r="O86">
        <f>IF(OR(D86="",M86=""),0,IF(N86="Oui",M86,0))</f>
        <v/>
      </c>
      <c r="P86">
        <f>IF(OR(D86="",M86=""),0,IF(N86="Non",M86,0))</f>
        <v/>
      </c>
      <c r="Q86">
        <f>IF(D86="","",YEAR(D86)*100+MONTH(D86))</f>
        <v/>
      </c>
      <c r="R86">
        <f>IF(AND(D86&lt;&gt;"",N86="Oui"),1,0)</f>
        <v/>
      </c>
    </row>
    <row r="87">
      <c r="D87" s="3" t="n"/>
      <c r="O87">
        <f>IF(OR(D87="",M87=""),0,IF(N87="Oui",M87,0))</f>
        <v/>
      </c>
      <c r="P87">
        <f>IF(OR(D87="",M87=""),0,IF(N87="Non",M87,0))</f>
        <v/>
      </c>
      <c r="Q87">
        <f>IF(D87="","",YEAR(D87)*100+MONTH(D87))</f>
        <v/>
      </c>
      <c r="R87">
        <f>IF(AND(D87&lt;&gt;"",N87="Oui"),1,0)</f>
        <v/>
      </c>
    </row>
    <row r="88">
      <c r="D88" s="3" t="n"/>
      <c r="O88">
        <f>IF(OR(D88="",M88=""),0,IF(N88="Oui",M88,0))</f>
        <v/>
      </c>
      <c r="P88">
        <f>IF(OR(D88="",M88=""),0,IF(N88="Non",M88,0))</f>
        <v/>
      </c>
      <c r="Q88">
        <f>IF(D88="","",YEAR(D88)*100+MONTH(D88))</f>
        <v/>
      </c>
      <c r="R88">
        <f>IF(AND(D88&lt;&gt;"",N88="Oui"),1,0)</f>
        <v/>
      </c>
    </row>
    <row r="89">
      <c r="D89" s="3" t="n"/>
      <c r="O89">
        <f>IF(OR(D89="",M89=""),0,IF(N89="Oui",M89,0))</f>
        <v/>
      </c>
      <c r="P89">
        <f>IF(OR(D89="",M89=""),0,IF(N89="Non",M89,0))</f>
        <v/>
      </c>
      <c r="Q89">
        <f>IF(D89="","",YEAR(D89)*100+MONTH(D89))</f>
        <v/>
      </c>
      <c r="R89">
        <f>IF(AND(D89&lt;&gt;"",N89="Oui"),1,0)</f>
        <v/>
      </c>
    </row>
    <row r="90">
      <c r="D90" s="3" t="n"/>
      <c r="O90">
        <f>IF(OR(D90="",M90=""),0,IF(N90="Oui",M90,0))</f>
        <v/>
      </c>
      <c r="P90">
        <f>IF(OR(D90="",M90=""),0,IF(N90="Non",M90,0))</f>
        <v/>
      </c>
      <c r="Q90">
        <f>IF(D90="","",YEAR(D90)*100+MONTH(D90))</f>
        <v/>
      </c>
      <c r="R90">
        <f>IF(AND(D90&lt;&gt;"",N90="Oui"),1,0)</f>
        <v/>
      </c>
    </row>
    <row r="91">
      <c r="D91" s="3" t="n"/>
      <c r="O91">
        <f>IF(OR(D91="",M91=""),0,IF(N91="Oui",M91,0))</f>
        <v/>
      </c>
      <c r="P91">
        <f>IF(OR(D91="",M91=""),0,IF(N91="Non",M91,0))</f>
        <v/>
      </c>
      <c r="Q91">
        <f>IF(D91="","",YEAR(D91)*100+MONTH(D91))</f>
        <v/>
      </c>
      <c r="R91">
        <f>IF(AND(D91&lt;&gt;"",N91="Oui"),1,0)</f>
        <v/>
      </c>
    </row>
    <row r="92">
      <c r="D92" s="3" t="n"/>
      <c r="O92">
        <f>IF(OR(D92="",M92=""),0,IF(N92="Oui",M92,0))</f>
        <v/>
      </c>
      <c r="P92">
        <f>IF(OR(D92="",M92=""),0,IF(N92="Non",M92,0))</f>
        <v/>
      </c>
      <c r="Q92">
        <f>IF(D92="","",YEAR(D92)*100+MONTH(D92))</f>
        <v/>
      </c>
      <c r="R92">
        <f>IF(AND(D92&lt;&gt;"",N92="Oui"),1,0)</f>
        <v/>
      </c>
    </row>
    <row r="93">
      <c r="D93" s="3" t="n"/>
      <c r="O93">
        <f>IF(OR(D93="",M93=""),0,IF(N93="Oui",M93,0))</f>
        <v/>
      </c>
      <c r="P93">
        <f>IF(OR(D93="",M93=""),0,IF(N93="Non",M93,0))</f>
        <v/>
      </c>
      <c r="Q93">
        <f>IF(D93="","",YEAR(D93)*100+MONTH(D93))</f>
        <v/>
      </c>
      <c r="R93">
        <f>IF(AND(D93&lt;&gt;"",N93="Oui"),1,0)</f>
        <v/>
      </c>
    </row>
    <row r="94">
      <c r="D94" s="3" t="n"/>
      <c r="O94">
        <f>IF(OR(D94="",M94=""),0,IF(N94="Oui",M94,0))</f>
        <v/>
      </c>
      <c r="P94">
        <f>IF(OR(D94="",M94=""),0,IF(N94="Non",M94,0))</f>
        <v/>
      </c>
      <c r="Q94">
        <f>IF(D94="","",YEAR(D94)*100+MONTH(D94))</f>
        <v/>
      </c>
      <c r="R94">
        <f>IF(AND(D94&lt;&gt;"",N94="Oui"),1,0)</f>
        <v/>
      </c>
    </row>
    <row r="95">
      <c r="D95" s="3" t="n"/>
      <c r="O95">
        <f>IF(OR(D95="",M95=""),0,IF(N95="Oui",M95,0))</f>
        <v/>
      </c>
      <c r="P95">
        <f>IF(OR(D95="",M95=""),0,IF(N95="Non",M95,0))</f>
        <v/>
      </c>
      <c r="Q95">
        <f>IF(D95="","",YEAR(D95)*100+MONTH(D95))</f>
        <v/>
      </c>
      <c r="R95">
        <f>IF(AND(D95&lt;&gt;"",N95="Oui"),1,0)</f>
        <v/>
      </c>
    </row>
    <row r="96">
      <c r="D96" s="3" t="n"/>
      <c r="O96">
        <f>IF(OR(D96="",M96=""),0,IF(N96="Oui",M96,0))</f>
        <v/>
      </c>
      <c r="P96">
        <f>IF(OR(D96="",M96=""),0,IF(N96="Non",M96,0))</f>
        <v/>
      </c>
      <c r="Q96">
        <f>IF(D96="","",YEAR(D96)*100+MONTH(D96))</f>
        <v/>
      </c>
      <c r="R96">
        <f>IF(AND(D96&lt;&gt;"",N96="Oui"),1,0)</f>
        <v/>
      </c>
    </row>
    <row r="97">
      <c r="D97" s="3" t="n"/>
      <c r="O97">
        <f>IF(OR(D97="",M97=""),0,IF(N97="Oui",M97,0))</f>
        <v/>
      </c>
      <c r="P97">
        <f>IF(OR(D97="",M97=""),0,IF(N97="Non",M97,0))</f>
        <v/>
      </c>
      <c r="Q97">
        <f>IF(D97="","",YEAR(D97)*100+MONTH(D97))</f>
        <v/>
      </c>
      <c r="R97">
        <f>IF(AND(D97&lt;&gt;"",N97="Oui"),1,0)</f>
        <v/>
      </c>
    </row>
    <row r="98">
      <c r="D98" s="3" t="n"/>
      <c r="O98">
        <f>IF(OR(D98="",M98=""),0,IF(N98="Oui",M98,0))</f>
        <v/>
      </c>
      <c r="P98">
        <f>IF(OR(D98="",M98=""),0,IF(N98="Non",M98,0))</f>
        <v/>
      </c>
      <c r="Q98">
        <f>IF(D98="","",YEAR(D98)*100+MONTH(D98))</f>
        <v/>
      </c>
      <c r="R98">
        <f>IF(AND(D98&lt;&gt;"",N98="Oui"),1,0)</f>
        <v/>
      </c>
    </row>
    <row r="99">
      <c r="D99" s="3" t="n"/>
      <c r="O99">
        <f>IF(OR(D99="",M99=""),0,IF(N99="Oui",M99,0))</f>
        <v/>
      </c>
      <c r="P99">
        <f>IF(OR(D99="",M99=""),0,IF(N99="Non",M99,0))</f>
        <v/>
      </c>
      <c r="Q99">
        <f>IF(D99="","",YEAR(D99)*100+MONTH(D99))</f>
        <v/>
      </c>
      <c r="R99">
        <f>IF(AND(D99&lt;&gt;"",N99="Oui"),1,0)</f>
        <v/>
      </c>
    </row>
    <row r="100">
      <c r="D100" s="3" t="n"/>
      <c r="O100">
        <f>IF(OR(D100="",M100=""),0,IF(N100="Oui",M100,0))</f>
        <v/>
      </c>
      <c r="P100">
        <f>IF(OR(D100="",M100=""),0,IF(N100="Non",M100,0))</f>
        <v/>
      </c>
      <c r="Q100">
        <f>IF(D100="","",YEAR(D100)*100+MONTH(D100))</f>
        <v/>
      </c>
      <c r="R100">
        <f>IF(AND(D100&lt;&gt;"",N100="Oui"),1,0)</f>
        <v/>
      </c>
    </row>
    <row r="101">
      <c r="D101" s="3" t="n"/>
      <c r="O101">
        <f>IF(OR(D101="",M101=""),0,IF(N101="Oui",M101,0))</f>
        <v/>
      </c>
      <c r="P101">
        <f>IF(OR(D101="",M101=""),0,IF(N101="Non",M101,0))</f>
        <v/>
      </c>
      <c r="Q101">
        <f>IF(D101="","",YEAR(D101)*100+MONTH(D101))</f>
        <v/>
      </c>
      <c r="R101">
        <f>IF(AND(D101&lt;&gt;"",N101="Oui"),1,0)</f>
        <v/>
      </c>
    </row>
    <row r="102">
      <c r="D102" s="3" t="n"/>
      <c r="O102">
        <f>IF(OR(D102="",M102=""),0,IF(N102="Oui",M102,0))</f>
        <v/>
      </c>
      <c r="P102">
        <f>IF(OR(D102="",M102=""),0,IF(N102="Non",M102,0))</f>
        <v/>
      </c>
      <c r="Q102">
        <f>IF(D102="","",YEAR(D102)*100+MONTH(D102))</f>
        <v/>
      </c>
      <c r="R102">
        <f>IF(AND(D102&lt;&gt;"",N102="Oui"),1,0)</f>
        <v/>
      </c>
    </row>
    <row r="103">
      <c r="D103" s="3" t="n"/>
      <c r="O103">
        <f>IF(OR(D103="",M103=""),0,IF(N103="Oui",M103,0))</f>
        <v/>
      </c>
      <c r="P103">
        <f>IF(OR(D103="",M103=""),0,IF(N103="Non",M103,0))</f>
        <v/>
      </c>
      <c r="Q103">
        <f>IF(D103="","",YEAR(D103)*100+MONTH(D103))</f>
        <v/>
      </c>
      <c r="R103">
        <f>IF(AND(D103&lt;&gt;"",N103="Oui"),1,0)</f>
        <v/>
      </c>
    </row>
    <row r="104">
      <c r="D104" s="3" t="n"/>
      <c r="O104">
        <f>IF(OR(D104="",M104=""),0,IF(N104="Oui",M104,0))</f>
        <v/>
      </c>
      <c r="P104">
        <f>IF(OR(D104="",M104=""),0,IF(N104="Non",M104,0))</f>
        <v/>
      </c>
      <c r="Q104">
        <f>IF(D104="","",YEAR(D104)*100+MONTH(D104))</f>
        <v/>
      </c>
      <c r="R104">
        <f>IF(AND(D104&lt;&gt;"",N104="Oui"),1,0)</f>
        <v/>
      </c>
    </row>
    <row r="105">
      <c r="D105" s="3" t="n"/>
      <c r="O105">
        <f>IF(OR(D105="",M105=""),0,IF(N105="Oui",M105,0))</f>
        <v/>
      </c>
      <c r="P105">
        <f>IF(OR(D105="",M105=""),0,IF(N105="Non",M105,0))</f>
        <v/>
      </c>
      <c r="Q105">
        <f>IF(D105="","",YEAR(D105)*100+MONTH(D105))</f>
        <v/>
      </c>
      <c r="R105">
        <f>IF(AND(D105&lt;&gt;"",N105="Oui"),1,0)</f>
        <v/>
      </c>
    </row>
    <row r="106">
      <c r="D106" s="3" t="n"/>
      <c r="O106">
        <f>IF(OR(D106="",M106=""),0,IF(N106="Oui",M106,0))</f>
        <v/>
      </c>
      <c r="P106">
        <f>IF(OR(D106="",M106=""),0,IF(N106="Non",M106,0))</f>
        <v/>
      </c>
      <c r="Q106">
        <f>IF(D106="","",YEAR(D106)*100+MONTH(D106))</f>
        <v/>
      </c>
      <c r="R106">
        <f>IF(AND(D106&lt;&gt;"",N106="Oui"),1,0)</f>
        <v/>
      </c>
    </row>
    <row r="107">
      <c r="D107" s="3" t="n"/>
      <c r="O107">
        <f>IF(OR(D107="",M107=""),0,IF(N107="Oui",M107,0))</f>
        <v/>
      </c>
      <c r="P107">
        <f>IF(OR(D107="",M107=""),0,IF(N107="Non",M107,0))</f>
        <v/>
      </c>
      <c r="Q107">
        <f>IF(D107="","",YEAR(D107)*100+MONTH(D107))</f>
        <v/>
      </c>
      <c r="R107">
        <f>IF(AND(D107&lt;&gt;"",N107="Oui"),1,0)</f>
        <v/>
      </c>
    </row>
    <row r="108">
      <c r="D108" s="3" t="n"/>
      <c r="O108">
        <f>IF(OR(D108="",M108=""),0,IF(N108="Oui",M108,0))</f>
        <v/>
      </c>
      <c r="P108">
        <f>IF(OR(D108="",M108=""),0,IF(N108="Non",M108,0))</f>
        <v/>
      </c>
      <c r="Q108">
        <f>IF(D108="","",YEAR(D108)*100+MONTH(D108))</f>
        <v/>
      </c>
      <c r="R108">
        <f>IF(AND(D108&lt;&gt;"",N108="Oui"),1,0)</f>
        <v/>
      </c>
    </row>
    <row r="109">
      <c r="D109" s="3" t="n"/>
      <c r="O109">
        <f>IF(OR(D109="",M109=""),0,IF(N109="Oui",M109,0))</f>
        <v/>
      </c>
      <c r="P109">
        <f>IF(OR(D109="",M109=""),0,IF(N109="Non",M109,0))</f>
        <v/>
      </c>
      <c r="Q109">
        <f>IF(D109="","",YEAR(D109)*100+MONTH(D109))</f>
        <v/>
      </c>
      <c r="R109">
        <f>IF(AND(D109&lt;&gt;"",N109="Oui"),1,0)</f>
        <v/>
      </c>
    </row>
    <row r="110">
      <c r="D110" s="3" t="n"/>
      <c r="O110">
        <f>IF(OR(D110="",M110=""),0,IF(N110="Oui",M110,0))</f>
        <v/>
      </c>
      <c r="P110">
        <f>IF(OR(D110="",M110=""),0,IF(N110="Non",M110,0))</f>
        <v/>
      </c>
      <c r="Q110">
        <f>IF(D110="","",YEAR(D110)*100+MONTH(D110))</f>
        <v/>
      </c>
      <c r="R110">
        <f>IF(AND(D110&lt;&gt;"",N110="Oui"),1,0)</f>
        <v/>
      </c>
    </row>
    <row r="111">
      <c r="D111" s="3" t="n"/>
      <c r="O111">
        <f>IF(OR(D111="",M111=""),0,IF(N111="Oui",M111,0))</f>
        <v/>
      </c>
      <c r="P111">
        <f>IF(OR(D111="",M111=""),0,IF(N111="Non",M111,0))</f>
        <v/>
      </c>
      <c r="Q111">
        <f>IF(D111="","",YEAR(D111)*100+MONTH(D111))</f>
        <v/>
      </c>
      <c r="R111">
        <f>IF(AND(D111&lt;&gt;"",N111="Oui"),1,0)</f>
        <v/>
      </c>
    </row>
    <row r="112">
      <c r="D112" s="3" t="n"/>
      <c r="O112">
        <f>IF(OR(D112="",M112=""),0,IF(N112="Oui",M112,0))</f>
        <v/>
      </c>
      <c r="P112">
        <f>IF(OR(D112="",M112=""),0,IF(N112="Non",M112,0))</f>
        <v/>
      </c>
      <c r="Q112">
        <f>IF(D112="","",YEAR(D112)*100+MONTH(D112))</f>
        <v/>
      </c>
      <c r="R112">
        <f>IF(AND(D112&lt;&gt;"",N112="Oui"),1,0)</f>
        <v/>
      </c>
    </row>
    <row r="113">
      <c r="D113" s="3" t="n"/>
      <c r="O113">
        <f>IF(OR(D113="",M113=""),0,IF(N113="Oui",M113,0))</f>
        <v/>
      </c>
      <c r="P113">
        <f>IF(OR(D113="",M113=""),0,IF(N113="Non",M113,0))</f>
        <v/>
      </c>
      <c r="Q113">
        <f>IF(D113="","",YEAR(D113)*100+MONTH(D113))</f>
        <v/>
      </c>
      <c r="R113">
        <f>IF(AND(D113&lt;&gt;"",N113="Oui"),1,0)</f>
        <v/>
      </c>
    </row>
    <row r="114">
      <c r="D114" s="3" t="n"/>
      <c r="O114">
        <f>IF(OR(D114="",M114=""),0,IF(N114="Oui",M114,0))</f>
        <v/>
      </c>
      <c r="P114">
        <f>IF(OR(D114="",M114=""),0,IF(N114="Non",M114,0))</f>
        <v/>
      </c>
      <c r="Q114">
        <f>IF(D114="","",YEAR(D114)*100+MONTH(D114))</f>
        <v/>
      </c>
      <c r="R114">
        <f>IF(AND(D114&lt;&gt;"",N114="Oui"),1,0)</f>
        <v/>
      </c>
    </row>
    <row r="115">
      <c r="D115" s="3" t="n"/>
      <c r="O115">
        <f>IF(OR(D115="",M115=""),0,IF(N115="Oui",M115,0))</f>
        <v/>
      </c>
      <c r="P115">
        <f>IF(OR(D115="",M115=""),0,IF(N115="Non",M115,0))</f>
        <v/>
      </c>
      <c r="Q115">
        <f>IF(D115="","",YEAR(D115)*100+MONTH(D115))</f>
        <v/>
      </c>
      <c r="R115">
        <f>IF(AND(D115&lt;&gt;"",N115="Oui"),1,0)</f>
        <v/>
      </c>
    </row>
    <row r="116">
      <c r="D116" s="3" t="n"/>
      <c r="O116">
        <f>IF(OR(D116="",M116=""),0,IF(N116="Oui",M116,0))</f>
        <v/>
      </c>
      <c r="P116">
        <f>IF(OR(D116="",M116=""),0,IF(N116="Non",M116,0))</f>
        <v/>
      </c>
      <c r="Q116">
        <f>IF(D116="","",YEAR(D116)*100+MONTH(D116))</f>
        <v/>
      </c>
      <c r="R116">
        <f>IF(AND(D116&lt;&gt;"",N116="Oui"),1,0)</f>
        <v/>
      </c>
    </row>
    <row r="117">
      <c r="D117" s="3" t="n"/>
      <c r="O117">
        <f>IF(OR(D117="",M117=""),0,IF(N117="Oui",M117,0))</f>
        <v/>
      </c>
      <c r="P117">
        <f>IF(OR(D117="",M117=""),0,IF(N117="Non",M117,0))</f>
        <v/>
      </c>
      <c r="Q117">
        <f>IF(D117="","",YEAR(D117)*100+MONTH(D117))</f>
        <v/>
      </c>
      <c r="R117">
        <f>IF(AND(D117&lt;&gt;"",N117="Oui"),1,0)</f>
        <v/>
      </c>
    </row>
    <row r="118">
      <c r="D118" s="3" t="n"/>
      <c r="O118">
        <f>IF(OR(D118="",M118=""),0,IF(N118="Oui",M118,0))</f>
        <v/>
      </c>
      <c r="P118">
        <f>IF(OR(D118="",M118=""),0,IF(N118="Non",M118,0))</f>
        <v/>
      </c>
      <c r="Q118">
        <f>IF(D118="","",YEAR(D118)*100+MONTH(D118))</f>
        <v/>
      </c>
      <c r="R118">
        <f>IF(AND(D118&lt;&gt;"",N118="Oui"),1,0)</f>
        <v/>
      </c>
    </row>
    <row r="119">
      <c r="D119" s="3" t="n"/>
      <c r="O119">
        <f>IF(OR(D119="",M119=""),0,IF(N119="Oui",M119,0))</f>
        <v/>
      </c>
      <c r="P119">
        <f>IF(OR(D119="",M119=""),0,IF(N119="Non",M119,0))</f>
        <v/>
      </c>
      <c r="Q119">
        <f>IF(D119="","",YEAR(D119)*100+MONTH(D119))</f>
        <v/>
      </c>
      <c r="R119">
        <f>IF(AND(D119&lt;&gt;"",N119="Oui"),1,0)</f>
        <v/>
      </c>
    </row>
    <row r="120">
      <c r="D120" s="3" t="n"/>
      <c r="O120">
        <f>IF(OR(D120="",M120=""),0,IF(N120="Oui",M120,0))</f>
        <v/>
      </c>
      <c r="P120">
        <f>IF(OR(D120="",M120=""),0,IF(N120="Non",M120,0))</f>
        <v/>
      </c>
      <c r="Q120">
        <f>IF(D120="","",YEAR(D120)*100+MONTH(D120))</f>
        <v/>
      </c>
      <c r="R120">
        <f>IF(AND(D120&lt;&gt;"",N120="Oui"),1,0)</f>
        <v/>
      </c>
    </row>
    <row r="121">
      <c r="D121" s="3" t="n"/>
      <c r="O121">
        <f>IF(OR(D121="",M121=""),0,IF(N121="Oui",M121,0))</f>
        <v/>
      </c>
      <c r="P121">
        <f>IF(OR(D121="",M121=""),0,IF(N121="Non",M121,0))</f>
        <v/>
      </c>
      <c r="Q121">
        <f>IF(D121="","",YEAR(D121)*100+MONTH(D121))</f>
        <v/>
      </c>
      <c r="R121">
        <f>IF(AND(D121&lt;&gt;"",N121="Oui"),1,0)</f>
        <v/>
      </c>
    </row>
    <row r="122">
      <c r="D122" s="3" t="n"/>
      <c r="O122">
        <f>IF(OR(D122="",M122=""),0,IF(N122="Oui",M122,0))</f>
        <v/>
      </c>
      <c r="P122">
        <f>IF(OR(D122="",M122=""),0,IF(N122="Non",M122,0))</f>
        <v/>
      </c>
      <c r="Q122">
        <f>IF(D122="","",YEAR(D122)*100+MONTH(D122))</f>
        <v/>
      </c>
      <c r="R122">
        <f>IF(AND(D122&lt;&gt;"",N122="Oui"),1,0)</f>
        <v/>
      </c>
    </row>
    <row r="123">
      <c r="D123" s="3" t="n"/>
      <c r="O123">
        <f>IF(OR(D123="",M123=""),0,IF(N123="Oui",M123,0))</f>
        <v/>
      </c>
      <c r="P123">
        <f>IF(OR(D123="",M123=""),0,IF(N123="Non",M123,0))</f>
        <v/>
      </c>
      <c r="Q123">
        <f>IF(D123="","",YEAR(D123)*100+MONTH(D123))</f>
        <v/>
      </c>
      <c r="R123">
        <f>IF(AND(D123&lt;&gt;"",N123="Oui"),1,0)</f>
        <v/>
      </c>
    </row>
    <row r="124">
      <c r="D124" s="3" t="n"/>
      <c r="O124">
        <f>IF(OR(D124="",M124=""),0,IF(N124="Oui",M124,0))</f>
        <v/>
      </c>
      <c r="P124">
        <f>IF(OR(D124="",M124=""),0,IF(N124="Non",M124,0))</f>
        <v/>
      </c>
      <c r="Q124">
        <f>IF(D124="","",YEAR(D124)*100+MONTH(D124))</f>
        <v/>
      </c>
      <c r="R124">
        <f>IF(AND(D124&lt;&gt;"",N124="Oui"),1,0)</f>
        <v/>
      </c>
    </row>
    <row r="125">
      <c r="D125" s="3" t="n"/>
      <c r="O125">
        <f>IF(OR(D125="",M125=""),0,IF(N125="Oui",M125,0))</f>
        <v/>
      </c>
      <c r="P125">
        <f>IF(OR(D125="",M125=""),0,IF(N125="Non",M125,0))</f>
        <v/>
      </c>
      <c r="Q125">
        <f>IF(D125="","",YEAR(D125)*100+MONTH(D125))</f>
        <v/>
      </c>
      <c r="R125">
        <f>IF(AND(D125&lt;&gt;"",N125="Oui"),1,0)</f>
        <v/>
      </c>
    </row>
    <row r="126">
      <c r="D126" s="3" t="n"/>
      <c r="O126">
        <f>IF(OR(D126="",M126=""),0,IF(N126="Oui",M126,0))</f>
        <v/>
      </c>
      <c r="P126">
        <f>IF(OR(D126="",M126=""),0,IF(N126="Non",M126,0))</f>
        <v/>
      </c>
      <c r="Q126">
        <f>IF(D126="","",YEAR(D126)*100+MONTH(D126))</f>
        <v/>
      </c>
      <c r="R126">
        <f>IF(AND(D126&lt;&gt;"",N126="Oui"),1,0)</f>
        <v/>
      </c>
    </row>
    <row r="127">
      <c r="D127" s="3" t="n"/>
      <c r="O127">
        <f>IF(OR(D127="",M127=""),0,IF(N127="Oui",M127,0))</f>
        <v/>
      </c>
      <c r="P127">
        <f>IF(OR(D127="",M127=""),0,IF(N127="Non",M127,0))</f>
        <v/>
      </c>
      <c r="Q127">
        <f>IF(D127="","",YEAR(D127)*100+MONTH(D127))</f>
        <v/>
      </c>
      <c r="R127">
        <f>IF(AND(D127&lt;&gt;"",N127="Oui"),1,0)</f>
        <v/>
      </c>
    </row>
    <row r="128">
      <c r="D128" s="3" t="n"/>
      <c r="O128">
        <f>IF(OR(D128="",M128=""),0,IF(N128="Oui",M128,0))</f>
        <v/>
      </c>
      <c r="P128">
        <f>IF(OR(D128="",M128=""),0,IF(N128="Non",M128,0))</f>
        <v/>
      </c>
      <c r="Q128">
        <f>IF(D128="","",YEAR(D128)*100+MONTH(D128))</f>
        <v/>
      </c>
      <c r="R128">
        <f>IF(AND(D128&lt;&gt;"",N128="Oui"),1,0)</f>
        <v/>
      </c>
    </row>
    <row r="129">
      <c r="D129" s="3" t="n"/>
      <c r="O129">
        <f>IF(OR(D129="",M129=""),0,IF(N129="Oui",M129,0))</f>
        <v/>
      </c>
      <c r="P129">
        <f>IF(OR(D129="",M129=""),0,IF(N129="Non",M129,0))</f>
        <v/>
      </c>
      <c r="Q129">
        <f>IF(D129="","",YEAR(D129)*100+MONTH(D129))</f>
        <v/>
      </c>
      <c r="R129">
        <f>IF(AND(D129&lt;&gt;"",N129="Oui"),1,0)</f>
        <v/>
      </c>
    </row>
    <row r="130">
      <c r="D130" s="3" t="n"/>
      <c r="O130">
        <f>IF(OR(D130="",M130=""),0,IF(N130="Oui",M130,0))</f>
        <v/>
      </c>
      <c r="P130">
        <f>IF(OR(D130="",M130=""),0,IF(N130="Non",M130,0))</f>
        <v/>
      </c>
      <c r="Q130">
        <f>IF(D130="","",YEAR(D130)*100+MONTH(D130))</f>
        <v/>
      </c>
      <c r="R130">
        <f>IF(AND(D130&lt;&gt;"",N130="Oui"),1,0)</f>
        <v/>
      </c>
    </row>
    <row r="131">
      <c r="D131" s="3" t="n"/>
      <c r="O131">
        <f>IF(OR(D131="",M131=""),0,IF(N131="Oui",M131,0))</f>
        <v/>
      </c>
      <c r="P131">
        <f>IF(OR(D131="",M131=""),0,IF(N131="Non",M131,0))</f>
        <v/>
      </c>
      <c r="Q131">
        <f>IF(D131="","",YEAR(D131)*100+MONTH(D131))</f>
        <v/>
      </c>
      <c r="R131">
        <f>IF(AND(D131&lt;&gt;"",N131="Oui"),1,0)</f>
        <v/>
      </c>
    </row>
    <row r="132">
      <c r="D132" s="3" t="n"/>
      <c r="O132">
        <f>IF(OR(D132="",M132=""),0,IF(N132="Oui",M132,0))</f>
        <v/>
      </c>
      <c r="P132">
        <f>IF(OR(D132="",M132=""),0,IF(N132="Non",M132,0))</f>
        <v/>
      </c>
      <c r="Q132">
        <f>IF(D132="","",YEAR(D132)*100+MONTH(D132))</f>
        <v/>
      </c>
      <c r="R132">
        <f>IF(AND(D132&lt;&gt;"",N132="Oui"),1,0)</f>
        <v/>
      </c>
    </row>
    <row r="133">
      <c r="D133" s="3" t="n"/>
      <c r="O133">
        <f>IF(OR(D133="",M133=""),0,IF(N133="Oui",M133,0))</f>
        <v/>
      </c>
      <c r="P133">
        <f>IF(OR(D133="",M133=""),0,IF(N133="Non",M133,0))</f>
        <v/>
      </c>
      <c r="Q133">
        <f>IF(D133="","",YEAR(D133)*100+MONTH(D133))</f>
        <v/>
      </c>
      <c r="R133">
        <f>IF(AND(D133&lt;&gt;"",N133="Oui"),1,0)</f>
        <v/>
      </c>
    </row>
    <row r="134">
      <c r="D134" s="3" t="n"/>
      <c r="O134">
        <f>IF(OR(D134="",M134=""),0,IF(N134="Oui",M134,0))</f>
        <v/>
      </c>
      <c r="P134">
        <f>IF(OR(D134="",M134=""),0,IF(N134="Non",M134,0))</f>
        <v/>
      </c>
      <c r="Q134">
        <f>IF(D134="","",YEAR(D134)*100+MONTH(D134))</f>
        <v/>
      </c>
      <c r="R134">
        <f>IF(AND(D134&lt;&gt;"",N134="Oui"),1,0)</f>
        <v/>
      </c>
    </row>
    <row r="135">
      <c r="D135" s="3" t="n"/>
      <c r="O135">
        <f>IF(OR(D135="",M135=""),0,IF(N135="Oui",M135,0))</f>
        <v/>
      </c>
      <c r="P135">
        <f>IF(OR(D135="",M135=""),0,IF(N135="Non",M135,0))</f>
        <v/>
      </c>
      <c r="Q135">
        <f>IF(D135="","",YEAR(D135)*100+MONTH(D135))</f>
        <v/>
      </c>
      <c r="R135">
        <f>IF(AND(D135&lt;&gt;"",N135="Oui"),1,0)</f>
        <v/>
      </c>
    </row>
    <row r="136">
      <c r="D136" s="3" t="n"/>
      <c r="O136">
        <f>IF(OR(D136="",M136=""),0,IF(N136="Oui",M136,0))</f>
        <v/>
      </c>
      <c r="P136">
        <f>IF(OR(D136="",M136=""),0,IF(N136="Non",M136,0))</f>
        <v/>
      </c>
      <c r="Q136">
        <f>IF(D136="","",YEAR(D136)*100+MONTH(D136))</f>
        <v/>
      </c>
      <c r="R136">
        <f>IF(AND(D136&lt;&gt;"",N136="Oui"),1,0)</f>
        <v/>
      </c>
    </row>
    <row r="137">
      <c r="D137" s="3" t="n"/>
      <c r="O137">
        <f>IF(OR(D137="",M137=""),0,IF(N137="Oui",M137,0))</f>
        <v/>
      </c>
      <c r="P137">
        <f>IF(OR(D137="",M137=""),0,IF(N137="Non",M137,0))</f>
        <v/>
      </c>
      <c r="Q137">
        <f>IF(D137="","",YEAR(D137)*100+MONTH(D137))</f>
        <v/>
      </c>
      <c r="R137">
        <f>IF(AND(D137&lt;&gt;"",N137="Oui"),1,0)</f>
        <v/>
      </c>
    </row>
    <row r="138">
      <c r="D138" s="3" t="n"/>
      <c r="O138">
        <f>IF(OR(D138="",M138=""),0,IF(N138="Oui",M138,0))</f>
        <v/>
      </c>
      <c r="P138">
        <f>IF(OR(D138="",M138=""),0,IF(N138="Non",M138,0))</f>
        <v/>
      </c>
      <c r="Q138">
        <f>IF(D138="","",YEAR(D138)*100+MONTH(D138))</f>
        <v/>
      </c>
      <c r="R138">
        <f>IF(AND(D138&lt;&gt;"",N138="Oui"),1,0)</f>
        <v/>
      </c>
    </row>
    <row r="139">
      <c r="D139" s="3" t="n"/>
      <c r="O139">
        <f>IF(OR(D139="",M139=""),0,IF(N139="Oui",M139,0))</f>
        <v/>
      </c>
      <c r="P139">
        <f>IF(OR(D139="",M139=""),0,IF(N139="Non",M139,0))</f>
        <v/>
      </c>
      <c r="Q139">
        <f>IF(D139="","",YEAR(D139)*100+MONTH(D139))</f>
        <v/>
      </c>
      <c r="R139">
        <f>IF(AND(D139&lt;&gt;"",N139="Oui"),1,0)</f>
        <v/>
      </c>
    </row>
    <row r="140">
      <c r="D140" s="3" t="n"/>
      <c r="O140">
        <f>IF(OR(D140="",M140=""),0,IF(N140="Oui",M140,0))</f>
        <v/>
      </c>
      <c r="P140">
        <f>IF(OR(D140="",M140=""),0,IF(N140="Non",M140,0))</f>
        <v/>
      </c>
      <c r="Q140">
        <f>IF(D140="","",YEAR(D140)*100+MONTH(D140))</f>
        <v/>
      </c>
      <c r="R140">
        <f>IF(AND(D140&lt;&gt;"",N140="Oui"),1,0)</f>
        <v/>
      </c>
    </row>
    <row r="141">
      <c r="D141" s="3" t="n"/>
      <c r="O141">
        <f>IF(OR(D141="",M141=""),0,IF(N141="Oui",M141,0))</f>
        <v/>
      </c>
      <c r="P141">
        <f>IF(OR(D141="",M141=""),0,IF(N141="Non",M141,0))</f>
        <v/>
      </c>
      <c r="Q141">
        <f>IF(D141="","",YEAR(D141)*100+MONTH(D141))</f>
        <v/>
      </c>
      <c r="R141">
        <f>IF(AND(D141&lt;&gt;"",N141="Oui"),1,0)</f>
        <v/>
      </c>
    </row>
    <row r="142">
      <c r="D142" s="3" t="n"/>
      <c r="O142">
        <f>IF(OR(D142="",M142=""),0,IF(N142="Oui",M142,0))</f>
        <v/>
      </c>
      <c r="P142">
        <f>IF(OR(D142="",M142=""),0,IF(N142="Non",M142,0))</f>
        <v/>
      </c>
      <c r="Q142">
        <f>IF(D142="","",YEAR(D142)*100+MONTH(D142))</f>
        <v/>
      </c>
      <c r="R142">
        <f>IF(AND(D142&lt;&gt;"",N142="Oui"),1,0)</f>
        <v/>
      </c>
    </row>
    <row r="143">
      <c r="D143" s="3" t="n"/>
      <c r="O143">
        <f>IF(OR(D143="",M143=""),0,IF(N143="Oui",M143,0))</f>
        <v/>
      </c>
      <c r="P143">
        <f>IF(OR(D143="",M143=""),0,IF(N143="Non",M143,0))</f>
        <v/>
      </c>
      <c r="Q143">
        <f>IF(D143="","",YEAR(D143)*100+MONTH(D143))</f>
        <v/>
      </c>
      <c r="R143">
        <f>IF(AND(D143&lt;&gt;"",N143="Oui"),1,0)</f>
        <v/>
      </c>
    </row>
    <row r="144">
      <c r="D144" s="3" t="n"/>
      <c r="O144">
        <f>IF(OR(D144="",M144=""),0,IF(N144="Oui",M144,0))</f>
        <v/>
      </c>
      <c r="P144">
        <f>IF(OR(D144="",M144=""),0,IF(N144="Non",M144,0))</f>
        <v/>
      </c>
      <c r="Q144">
        <f>IF(D144="","",YEAR(D144)*100+MONTH(D144))</f>
        <v/>
      </c>
      <c r="R144">
        <f>IF(AND(D144&lt;&gt;"",N144="Oui"),1,0)</f>
        <v/>
      </c>
    </row>
    <row r="145">
      <c r="D145" s="3" t="n"/>
      <c r="O145">
        <f>IF(OR(D145="",M145=""),0,IF(N145="Oui",M145,0))</f>
        <v/>
      </c>
      <c r="P145">
        <f>IF(OR(D145="",M145=""),0,IF(N145="Non",M145,0))</f>
        <v/>
      </c>
      <c r="Q145">
        <f>IF(D145="","",YEAR(D145)*100+MONTH(D145))</f>
        <v/>
      </c>
      <c r="R145">
        <f>IF(AND(D145&lt;&gt;"",N145="Oui"),1,0)</f>
        <v/>
      </c>
    </row>
    <row r="146">
      <c r="D146" s="3" t="n"/>
      <c r="O146">
        <f>IF(OR(D146="",M146=""),0,IF(N146="Oui",M146,0))</f>
        <v/>
      </c>
      <c r="P146">
        <f>IF(OR(D146="",M146=""),0,IF(N146="Non",M146,0))</f>
        <v/>
      </c>
      <c r="Q146">
        <f>IF(D146="","",YEAR(D146)*100+MONTH(D146))</f>
        <v/>
      </c>
      <c r="R146">
        <f>IF(AND(D146&lt;&gt;"",N146="Oui"),1,0)</f>
        <v/>
      </c>
    </row>
    <row r="147">
      <c r="D147" s="3" t="n"/>
      <c r="O147">
        <f>IF(OR(D147="",M147=""),0,IF(N147="Oui",M147,0))</f>
        <v/>
      </c>
      <c r="P147">
        <f>IF(OR(D147="",M147=""),0,IF(N147="Non",M147,0))</f>
        <v/>
      </c>
      <c r="Q147">
        <f>IF(D147="","",YEAR(D147)*100+MONTH(D147))</f>
        <v/>
      </c>
      <c r="R147">
        <f>IF(AND(D147&lt;&gt;"",N147="Oui"),1,0)</f>
        <v/>
      </c>
    </row>
    <row r="148">
      <c r="D148" s="3" t="n"/>
      <c r="O148">
        <f>IF(OR(D148="",M148=""),0,IF(N148="Oui",M148,0))</f>
        <v/>
      </c>
      <c r="P148">
        <f>IF(OR(D148="",M148=""),0,IF(N148="Non",M148,0))</f>
        <v/>
      </c>
      <c r="Q148">
        <f>IF(D148="","",YEAR(D148)*100+MONTH(D148))</f>
        <v/>
      </c>
      <c r="R148">
        <f>IF(AND(D148&lt;&gt;"",N148="Oui"),1,0)</f>
        <v/>
      </c>
    </row>
    <row r="149">
      <c r="D149" s="3" t="n"/>
      <c r="O149">
        <f>IF(OR(D149="",M149=""),0,IF(N149="Oui",M149,0))</f>
        <v/>
      </c>
      <c r="P149">
        <f>IF(OR(D149="",M149=""),0,IF(N149="Non",M149,0))</f>
        <v/>
      </c>
      <c r="Q149">
        <f>IF(D149="","",YEAR(D149)*100+MONTH(D149))</f>
        <v/>
      </c>
      <c r="R149">
        <f>IF(AND(D149&lt;&gt;"",N149="Oui"),1,0)</f>
        <v/>
      </c>
    </row>
    <row r="150">
      <c r="D150" s="3" t="n"/>
      <c r="O150">
        <f>IF(OR(D150="",M150=""),0,IF(N150="Oui",M150,0))</f>
        <v/>
      </c>
      <c r="P150">
        <f>IF(OR(D150="",M150=""),0,IF(N150="Non",M150,0))</f>
        <v/>
      </c>
      <c r="Q150">
        <f>IF(D150="","",YEAR(D150)*100+MONTH(D150))</f>
        <v/>
      </c>
      <c r="R150">
        <f>IF(AND(D150&lt;&gt;"",N150="Oui"),1,0)</f>
        <v/>
      </c>
    </row>
    <row r="151">
      <c r="D151" s="3" t="n"/>
      <c r="O151">
        <f>IF(OR(D151="",M151=""),0,IF(N151="Oui",M151,0))</f>
        <v/>
      </c>
      <c r="P151">
        <f>IF(OR(D151="",M151=""),0,IF(N151="Non",M151,0))</f>
        <v/>
      </c>
      <c r="Q151">
        <f>IF(D151="","",YEAR(D151)*100+MONTH(D151))</f>
        <v/>
      </c>
      <c r="R151">
        <f>IF(AND(D151&lt;&gt;"",N151="Oui"),1,0)</f>
        <v/>
      </c>
    </row>
    <row r="152">
      <c r="D152" s="3" t="n"/>
      <c r="O152">
        <f>IF(OR(D152="",M152=""),0,IF(N152="Oui",M152,0))</f>
        <v/>
      </c>
      <c r="P152">
        <f>IF(OR(D152="",M152=""),0,IF(N152="Non",M152,0))</f>
        <v/>
      </c>
      <c r="Q152">
        <f>IF(D152="","",YEAR(D152)*100+MONTH(D152))</f>
        <v/>
      </c>
      <c r="R152">
        <f>IF(AND(D152&lt;&gt;"",N152="Oui"),1,0)</f>
        <v/>
      </c>
    </row>
    <row r="153">
      <c r="D153" s="3" t="n"/>
      <c r="O153">
        <f>IF(OR(D153="",M153=""),0,IF(N153="Oui",M153,0))</f>
        <v/>
      </c>
      <c r="P153">
        <f>IF(OR(D153="",M153=""),0,IF(N153="Non",M153,0))</f>
        <v/>
      </c>
      <c r="Q153">
        <f>IF(D153="","",YEAR(D153)*100+MONTH(D153))</f>
        <v/>
      </c>
      <c r="R153">
        <f>IF(AND(D153&lt;&gt;"",N153="Oui"),1,0)</f>
        <v/>
      </c>
    </row>
    <row r="154">
      <c r="D154" s="3" t="n"/>
      <c r="O154">
        <f>IF(OR(D154="",M154=""),0,IF(N154="Oui",M154,0))</f>
        <v/>
      </c>
      <c r="P154">
        <f>IF(OR(D154="",M154=""),0,IF(N154="Non",M154,0))</f>
        <v/>
      </c>
      <c r="Q154">
        <f>IF(D154="","",YEAR(D154)*100+MONTH(D154))</f>
        <v/>
      </c>
      <c r="R154">
        <f>IF(AND(D154&lt;&gt;"",N154="Oui"),1,0)</f>
        <v/>
      </c>
    </row>
    <row r="155">
      <c r="D155" s="3" t="n"/>
      <c r="O155">
        <f>IF(OR(D155="",M155=""),0,IF(N155="Oui",M155,0))</f>
        <v/>
      </c>
      <c r="P155">
        <f>IF(OR(D155="",M155=""),0,IF(N155="Non",M155,0))</f>
        <v/>
      </c>
      <c r="Q155">
        <f>IF(D155="","",YEAR(D155)*100+MONTH(D155))</f>
        <v/>
      </c>
      <c r="R155">
        <f>IF(AND(D155&lt;&gt;"",N155="Oui"),1,0)</f>
        <v/>
      </c>
    </row>
    <row r="156">
      <c r="D156" s="3" t="n"/>
      <c r="O156">
        <f>IF(OR(D156="",M156=""),0,IF(N156="Oui",M156,0))</f>
        <v/>
      </c>
      <c r="P156">
        <f>IF(OR(D156="",M156=""),0,IF(N156="Non",M156,0))</f>
        <v/>
      </c>
      <c r="Q156">
        <f>IF(D156="","",YEAR(D156)*100+MONTH(D156))</f>
        <v/>
      </c>
      <c r="R156">
        <f>IF(AND(D156&lt;&gt;"",N156="Oui"),1,0)</f>
        <v/>
      </c>
    </row>
    <row r="157">
      <c r="D157" s="3" t="n"/>
      <c r="O157">
        <f>IF(OR(D157="",M157=""),0,IF(N157="Oui",M157,0))</f>
        <v/>
      </c>
      <c r="P157">
        <f>IF(OR(D157="",M157=""),0,IF(N157="Non",M157,0))</f>
        <v/>
      </c>
      <c r="Q157">
        <f>IF(D157="","",YEAR(D157)*100+MONTH(D157))</f>
        <v/>
      </c>
      <c r="R157">
        <f>IF(AND(D157&lt;&gt;"",N157="Oui"),1,0)</f>
        <v/>
      </c>
    </row>
    <row r="158">
      <c r="D158" s="3" t="n"/>
      <c r="O158">
        <f>IF(OR(D158="",M158=""),0,IF(N158="Oui",M158,0))</f>
        <v/>
      </c>
      <c r="P158">
        <f>IF(OR(D158="",M158=""),0,IF(N158="Non",M158,0))</f>
        <v/>
      </c>
      <c r="Q158">
        <f>IF(D158="","",YEAR(D158)*100+MONTH(D158))</f>
        <v/>
      </c>
      <c r="R158">
        <f>IF(AND(D158&lt;&gt;"",N158="Oui"),1,0)</f>
        <v/>
      </c>
    </row>
    <row r="159">
      <c r="D159" s="3" t="n"/>
      <c r="O159">
        <f>IF(OR(D159="",M159=""),0,IF(N159="Oui",M159,0))</f>
        <v/>
      </c>
      <c r="P159">
        <f>IF(OR(D159="",M159=""),0,IF(N159="Non",M159,0))</f>
        <v/>
      </c>
      <c r="Q159">
        <f>IF(D159="","",YEAR(D159)*100+MONTH(D159))</f>
        <v/>
      </c>
      <c r="R159">
        <f>IF(AND(D159&lt;&gt;"",N159="Oui"),1,0)</f>
        <v/>
      </c>
    </row>
    <row r="160">
      <c r="D160" s="3" t="n"/>
      <c r="O160">
        <f>IF(OR(D160="",M160=""),0,IF(N160="Oui",M160,0))</f>
        <v/>
      </c>
      <c r="P160">
        <f>IF(OR(D160="",M160=""),0,IF(N160="Non",M160,0))</f>
        <v/>
      </c>
      <c r="Q160">
        <f>IF(D160="","",YEAR(D160)*100+MONTH(D160))</f>
        <v/>
      </c>
      <c r="R160">
        <f>IF(AND(D160&lt;&gt;"",N160="Oui"),1,0)</f>
        <v/>
      </c>
    </row>
    <row r="161">
      <c r="D161" s="3" t="n"/>
      <c r="O161">
        <f>IF(OR(D161="",M161=""),0,IF(N161="Oui",M161,0))</f>
        <v/>
      </c>
      <c r="P161">
        <f>IF(OR(D161="",M161=""),0,IF(N161="Non",M161,0))</f>
        <v/>
      </c>
      <c r="Q161">
        <f>IF(D161="","",YEAR(D161)*100+MONTH(D161))</f>
        <v/>
      </c>
      <c r="R161">
        <f>IF(AND(D161&lt;&gt;"",N161="Oui"),1,0)</f>
        <v/>
      </c>
    </row>
    <row r="162">
      <c r="D162" s="3" t="n"/>
      <c r="O162">
        <f>IF(OR(D162="",M162=""),0,IF(N162="Oui",M162,0))</f>
        <v/>
      </c>
      <c r="P162">
        <f>IF(OR(D162="",M162=""),0,IF(N162="Non",M162,0))</f>
        <v/>
      </c>
      <c r="Q162">
        <f>IF(D162="","",YEAR(D162)*100+MONTH(D162))</f>
        <v/>
      </c>
      <c r="R162">
        <f>IF(AND(D162&lt;&gt;"",N162="Oui"),1,0)</f>
        <v/>
      </c>
    </row>
    <row r="163">
      <c r="D163" s="3" t="n"/>
      <c r="O163">
        <f>IF(OR(D163="",M163=""),0,IF(N163="Oui",M163,0))</f>
        <v/>
      </c>
      <c r="P163">
        <f>IF(OR(D163="",M163=""),0,IF(N163="Non",M163,0))</f>
        <v/>
      </c>
      <c r="Q163">
        <f>IF(D163="","",YEAR(D163)*100+MONTH(D163))</f>
        <v/>
      </c>
      <c r="R163">
        <f>IF(AND(D163&lt;&gt;"",N163="Oui"),1,0)</f>
        <v/>
      </c>
    </row>
    <row r="164">
      <c r="D164" s="3" t="n"/>
      <c r="O164">
        <f>IF(OR(D164="",M164=""),0,IF(N164="Oui",M164,0))</f>
        <v/>
      </c>
      <c r="P164">
        <f>IF(OR(D164="",M164=""),0,IF(N164="Non",M164,0))</f>
        <v/>
      </c>
      <c r="Q164">
        <f>IF(D164="","",YEAR(D164)*100+MONTH(D164))</f>
        <v/>
      </c>
      <c r="R164">
        <f>IF(AND(D164&lt;&gt;"",N164="Oui"),1,0)</f>
        <v/>
      </c>
    </row>
    <row r="165">
      <c r="D165" s="3" t="n"/>
      <c r="O165">
        <f>IF(OR(D165="",M165=""),0,IF(N165="Oui",M165,0))</f>
        <v/>
      </c>
      <c r="P165">
        <f>IF(OR(D165="",M165=""),0,IF(N165="Non",M165,0))</f>
        <v/>
      </c>
      <c r="Q165">
        <f>IF(D165="","",YEAR(D165)*100+MONTH(D165))</f>
        <v/>
      </c>
      <c r="R165">
        <f>IF(AND(D165&lt;&gt;"",N165="Oui"),1,0)</f>
        <v/>
      </c>
    </row>
    <row r="166">
      <c r="D166" s="3" t="n"/>
      <c r="O166">
        <f>IF(OR(D166="",M166=""),0,IF(N166="Oui",M166,0))</f>
        <v/>
      </c>
      <c r="P166">
        <f>IF(OR(D166="",M166=""),0,IF(N166="Non",M166,0))</f>
        <v/>
      </c>
      <c r="Q166">
        <f>IF(D166="","",YEAR(D166)*100+MONTH(D166))</f>
        <v/>
      </c>
      <c r="R166">
        <f>IF(AND(D166&lt;&gt;"",N166="Oui"),1,0)</f>
        <v/>
      </c>
    </row>
    <row r="167">
      <c r="D167" s="3" t="n"/>
      <c r="O167">
        <f>IF(OR(D167="",M167=""),0,IF(N167="Oui",M167,0))</f>
        <v/>
      </c>
      <c r="P167">
        <f>IF(OR(D167="",M167=""),0,IF(N167="Non",M167,0))</f>
        <v/>
      </c>
      <c r="Q167">
        <f>IF(D167="","",YEAR(D167)*100+MONTH(D167))</f>
        <v/>
      </c>
      <c r="R167">
        <f>IF(AND(D167&lt;&gt;"",N167="Oui"),1,0)</f>
        <v/>
      </c>
    </row>
    <row r="168">
      <c r="D168" s="3" t="n"/>
      <c r="O168">
        <f>IF(OR(D168="",M168=""),0,IF(N168="Oui",M168,0))</f>
        <v/>
      </c>
      <c r="P168">
        <f>IF(OR(D168="",M168=""),0,IF(N168="Non",M168,0))</f>
        <v/>
      </c>
      <c r="Q168">
        <f>IF(D168="","",YEAR(D168)*100+MONTH(D168))</f>
        <v/>
      </c>
      <c r="R168">
        <f>IF(AND(D168&lt;&gt;"",N168="Oui"),1,0)</f>
        <v/>
      </c>
    </row>
    <row r="169">
      <c r="D169" s="3" t="n"/>
      <c r="O169">
        <f>IF(OR(D169="",M169=""),0,IF(N169="Oui",M169,0))</f>
        <v/>
      </c>
      <c r="P169">
        <f>IF(OR(D169="",M169=""),0,IF(N169="Non",M169,0))</f>
        <v/>
      </c>
      <c r="Q169">
        <f>IF(D169="","",YEAR(D169)*100+MONTH(D169))</f>
        <v/>
      </c>
      <c r="R169">
        <f>IF(AND(D169&lt;&gt;"",N169="Oui"),1,0)</f>
        <v/>
      </c>
    </row>
    <row r="170">
      <c r="D170" s="3" t="n"/>
      <c r="O170">
        <f>IF(OR(D170="",M170=""),0,IF(N170="Oui",M170,0))</f>
        <v/>
      </c>
      <c r="P170">
        <f>IF(OR(D170="",M170=""),0,IF(N170="Non",M170,0))</f>
        <v/>
      </c>
      <c r="Q170">
        <f>IF(D170="","",YEAR(D170)*100+MONTH(D170))</f>
        <v/>
      </c>
      <c r="R170">
        <f>IF(AND(D170&lt;&gt;"",N170="Oui"),1,0)</f>
        <v/>
      </c>
    </row>
    <row r="171">
      <c r="D171" s="3" t="n"/>
      <c r="O171">
        <f>IF(OR(D171="",M171=""),0,IF(N171="Oui",M171,0))</f>
        <v/>
      </c>
      <c r="P171">
        <f>IF(OR(D171="",M171=""),0,IF(N171="Non",M171,0))</f>
        <v/>
      </c>
      <c r="Q171">
        <f>IF(D171="","",YEAR(D171)*100+MONTH(D171))</f>
        <v/>
      </c>
      <c r="R171">
        <f>IF(AND(D171&lt;&gt;"",N171="Oui"),1,0)</f>
        <v/>
      </c>
    </row>
    <row r="172">
      <c r="D172" s="3" t="n"/>
      <c r="O172">
        <f>IF(OR(D172="",M172=""),0,IF(N172="Oui",M172,0))</f>
        <v/>
      </c>
      <c r="P172">
        <f>IF(OR(D172="",M172=""),0,IF(N172="Non",M172,0))</f>
        <v/>
      </c>
      <c r="Q172">
        <f>IF(D172="","",YEAR(D172)*100+MONTH(D172))</f>
        <v/>
      </c>
      <c r="R172">
        <f>IF(AND(D172&lt;&gt;"",N172="Oui"),1,0)</f>
        <v/>
      </c>
    </row>
    <row r="173">
      <c r="D173" s="3" t="n"/>
      <c r="O173">
        <f>IF(OR(D173="",M173=""),0,IF(N173="Oui",M173,0))</f>
        <v/>
      </c>
      <c r="P173">
        <f>IF(OR(D173="",M173=""),0,IF(N173="Non",M173,0))</f>
        <v/>
      </c>
      <c r="Q173">
        <f>IF(D173="","",YEAR(D173)*100+MONTH(D173))</f>
        <v/>
      </c>
      <c r="R173">
        <f>IF(AND(D173&lt;&gt;"",N173="Oui"),1,0)</f>
        <v/>
      </c>
    </row>
    <row r="174">
      <c r="D174" s="3" t="n"/>
      <c r="O174">
        <f>IF(OR(D174="",M174=""),0,IF(N174="Oui",M174,0))</f>
        <v/>
      </c>
      <c r="P174">
        <f>IF(OR(D174="",M174=""),0,IF(N174="Non",M174,0))</f>
        <v/>
      </c>
      <c r="Q174">
        <f>IF(D174="","",YEAR(D174)*100+MONTH(D174))</f>
        <v/>
      </c>
      <c r="R174">
        <f>IF(AND(D174&lt;&gt;"",N174="Oui"),1,0)</f>
        <v/>
      </c>
    </row>
    <row r="175">
      <c r="D175" s="3" t="n"/>
      <c r="O175">
        <f>IF(OR(D175="",M175=""),0,IF(N175="Oui",M175,0))</f>
        <v/>
      </c>
      <c r="P175">
        <f>IF(OR(D175="",M175=""),0,IF(N175="Non",M175,0))</f>
        <v/>
      </c>
      <c r="Q175">
        <f>IF(D175="","",YEAR(D175)*100+MONTH(D175))</f>
        <v/>
      </c>
      <c r="R175">
        <f>IF(AND(D175&lt;&gt;"",N175="Oui"),1,0)</f>
        <v/>
      </c>
    </row>
    <row r="176">
      <c r="D176" s="3" t="n"/>
      <c r="O176">
        <f>IF(OR(D176="",M176=""),0,IF(N176="Oui",M176,0))</f>
        <v/>
      </c>
      <c r="P176">
        <f>IF(OR(D176="",M176=""),0,IF(N176="Non",M176,0))</f>
        <v/>
      </c>
      <c r="Q176">
        <f>IF(D176="","",YEAR(D176)*100+MONTH(D176))</f>
        <v/>
      </c>
      <c r="R176">
        <f>IF(AND(D176&lt;&gt;"",N176="Oui"),1,0)</f>
        <v/>
      </c>
    </row>
    <row r="177">
      <c r="D177" s="3" t="n"/>
      <c r="O177">
        <f>IF(OR(D177="",M177=""),0,IF(N177="Oui",M177,0))</f>
        <v/>
      </c>
      <c r="P177">
        <f>IF(OR(D177="",M177=""),0,IF(N177="Non",M177,0))</f>
        <v/>
      </c>
      <c r="Q177">
        <f>IF(D177="","",YEAR(D177)*100+MONTH(D177))</f>
        <v/>
      </c>
      <c r="R177">
        <f>IF(AND(D177&lt;&gt;"",N177="Oui"),1,0)</f>
        <v/>
      </c>
    </row>
    <row r="178">
      <c r="D178" s="3" t="n"/>
      <c r="O178">
        <f>IF(OR(D178="",M178=""),0,IF(N178="Oui",M178,0))</f>
        <v/>
      </c>
      <c r="P178">
        <f>IF(OR(D178="",M178=""),0,IF(N178="Non",M178,0))</f>
        <v/>
      </c>
      <c r="Q178">
        <f>IF(D178="","",YEAR(D178)*100+MONTH(D178))</f>
        <v/>
      </c>
      <c r="R178">
        <f>IF(AND(D178&lt;&gt;"",N178="Oui"),1,0)</f>
        <v/>
      </c>
    </row>
    <row r="179">
      <c r="D179" s="3" t="n"/>
      <c r="O179">
        <f>IF(OR(D179="",M179=""),0,IF(N179="Oui",M179,0))</f>
        <v/>
      </c>
      <c r="P179">
        <f>IF(OR(D179="",M179=""),0,IF(N179="Non",M179,0))</f>
        <v/>
      </c>
      <c r="Q179">
        <f>IF(D179="","",YEAR(D179)*100+MONTH(D179))</f>
        <v/>
      </c>
      <c r="R179">
        <f>IF(AND(D179&lt;&gt;"",N179="Oui"),1,0)</f>
        <v/>
      </c>
    </row>
    <row r="180">
      <c r="D180" s="3" t="n"/>
      <c r="O180">
        <f>IF(OR(D180="",M180=""),0,IF(N180="Oui",M180,0))</f>
        <v/>
      </c>
      <c r="P180">
        <f>IF(OR(D180="",M180=""),0,IF(N180="Non",M180,0))</f>
        <v/>
      </c>
      <c r="Q180">
        <f>IF(D180="","",YEAR(D180)*100+MONTH(D180))</f>
        <v/>
      </c>
      <c r="R180">
        <f>IF(AND(D180&lt;&gt;"",N180="Oui"),1,0)</f>
        <v/>
      </c>
    </row>
    <row r="181">
      <c r="D181" s="3" t="n"/>
      <c r="O181">
        <f>IF(OR(D181="",M181=""),0,IF(N181="Oui",M181,0))</f>
        <v/>
      </c>
      <c r="P181">
        <f>IF(OR(D181="",M181=""),0,IF(N181="Non",M181,0))</f>
        <v/>
      </c>
      <c r="Q181">
        <f>IF(D181="","",YEAR(D181)*100+MONTH(D181))</f>
        <v/>
      </c>
      <c r="R181">
        <f>IF(AND(D181&lt;&gt;"",N181="Oui"),1,0)</f>
        <v/>
      </c>
    </row>
    <row r="182">
      <c r="D182" s="3" t="n"/>
      <c r="O182">
        <f>IF(OR(D182="",M182=""),0,IF(N182="Oui",M182,0))</f>
        <v/>
      </c>
      <c r="P182">
        <f>IF(OR(D182="",M182=""),0,IF(N182="Non",M182,0))</f>
        <v/>
      </c>
      <c r="Q182">
        <f>IF(D182="","",YEAR(D182)*100+MONTH(D182))</f>
        <v/>
      </c>
      <c r="R182">
        <f>IF(AND(D182&lt;&gt;"",N182="Oui"),1,0)</f>
        <v/>
      </c>
    </row>
    <row r="183">
      <c r="D183" s="3" t="n"/>
      <c r="O183">
        <f>IF(OR(D183="",M183=""),0,IF(N183="Oui",M183,0))</f>
        <v/>
      </c>
      <c r="P183">
        <f>IF(OR(D183="",M183=""),0,IF(N183="Non",M183,0))</f>
        <v/>
      </c>
      <c r="Q183">
        <f>IF(D183="","",YEAR(D183)*100+MONTH(D183))</f>
        <v/>
      </c>
      <c r="R183">
        <f>IF(AND(D183&lt;&gt;"",N183="Oui"),1,0)</f>
        <v/>
      </c>
    </row>
    <row r="184">
      <c r="D184" s="3" t="n"/>
      <c r="O184">
        <f>IF(OR(D184="",M184=""),0,IF(N184="Oui",M184,0))</f>
        <v/>
      </c>
      <c r="P184">
        <f>IF(OR(D184="",M184=""),0,IF(N184="Non",M184,0))</f>
        <v/>
      </c>
      <c r="Q184">
        <f>IF(D184="","",YEAR(D184)*100+MONTH(D184))</f>
        <v/>
      </c>
      <c r="R184">
        <f>IF(AND(D184&lt;&gt;"",N184="Oui"),1,0)</f>
        <v/>
      </c>
    </row>
    <row r="185">
      <c r="D185" s="3" t="n"/>
      <c r="O185">
        <f>IF(OR(D185="",M185=""),0,IF(N185="Oui",M185,0))</f>
        <v/>
      </c>
      <c r="P185">
        <f>IF(OR(D185="",M185=""),0,IF(N185="Non",M185,0))</f>
        <v/>
      </c>
      <c r="Q185">
        <f>IF(D185="","",YEAR(D185)*100+MONTH(D185))</f>
        <v/>
      </c>
      <c r="R185">
        <f>IF(AND(D185&lt;&gt;"",N185="Oui"),1,0)</f>
        <v/>
      </c>
    </row>
    <row r="186">
      <c r="D186" s="3" t="n"/>
      <c r="O186">
        <f>IF(OR(D186="",M186=""),0,IF(N186="Oui",M186,0))</f>
        <v/>
      </c>
      <c r="P186">
        <f>IF(OR(D186="",M186=""),0,IF(N186="Non",M186,0))</f>
        <v/>
      </c>
      <c r="Q186">
        <f>IF(D186="","",YEAR(D186)*100+MONTH(D186))</f>
        <v/>
      </c>
      <c r="R186">
        <f>IF(AND(D186&lt;&gt;"",N186="Oui"),1,0)</f>
        <v/>
      </c>
    </row>
    <row r="187">
      <c r="D187" s="3" t="n"/>
      <c r="O187">
        <f>IF(OR(D187="",M187=""),0,IF(N187="Oui",M187,0))</f>
        <v/>
      </c>
      <c r="P187">
        <f>IF(OR(D187="",M187=""),0,IF(N187="Non",M187,0))</f>
        <v/>
      </c>
      <c r="Q187">
        <f>IF(D187="","",YEAR(D187)*100+MONTH(D187))</f>
        <v/>
      </c>
      <c r="R187">
        <f>IF(AND(D187&lt;&gt;"",N187="Oui"),1,0)</f>
        <v/>
      </c>
    </row>
    <row r="188">
      <c r="D188" s="3" t="n"/>
      <c r="O188">
        <f>IF(OR(D188="",M188=""),0,IF(N188="Oui",M188,0))</f>
        <v/>
      </c>
      <c r="P188">
        <f>IF(OR(D188="",M188=""),0,IF(N188="Non",M188,0))</f>
        <v/>
      </c>
      <c r="Q188">
        <f>IF(D188="","",YEAR(D188)*100+MONTH(D188))</f>
        <v/>
      </c>
      <c r="R188">
        <f>IF(AND(D188&lt;&gt;"",N188="Oui"),1,0)</f>
        <v/>
      </c>
    </row>
    <row r="189">
      <c r="D189" s="3" t="n"/>
      <c r="O189">
        <f>IF(OR(D189="",M189=""),0,IF(N189="Oui",M189,0))</f>
        <v/>
      </c>
      <c r="P189">
        <f>IF(OR(D189="",M189=""),0,IF(N189="Non",M189,0))</f>
        <v/>
      </c>
      <c r="Q189">
        <f>IF(D189="","",YEAR(D189)*100+MONTH(D189))</f>
        <v/>
      </c>
      <c r="R189">
        <f>IF(AND(D189&lt;&gt;"",N189="Oui"),1,0)</f>
        <v/>
      </c>
    </row>
    <row r="190">
      <c r="D190" s="3" t="n"/>
      <c r="O190">
        <f>IF(OR(D190="",M190=""),0,IF(N190="Oui",M190,0))</f>
        <v/>
      </c>
      <c r="P190">
        <f>IF(OR(D190="",M190=""),0,IF(N190="Non",M190,0))</f>
        <v/>
      </c>
      <c r="Q190">
        <f>IF(D190="","",YEAR(D190)*100+MONTH(D190))</f>
        <v/>
      </c>
      <c r="R190">
        <f>IF(AND(D190&lt;&gt;"",N190="Oui"),1,0)</f>
        <v/>
      </c>
    </row>
    <row r="191">
      <c r="D191" s="3" t="n"/>
      <c r="O191">
        <f>IF(OR(D191="",M191=""),0,IF(N191="Oui",M191,0))</f>
        <v/>
      </c>
      <c r="P191">
        <f>IF(OR(D191="",M191=""),0,IF(N191="Non",M191,0))</f>
        <v/>
      </c>
      <c r="Q191">
        <f>IF(D191="","",YEAR(D191)*100+MONTH(D191))</f>
        <v/>
      </c>
      <c r="R191">
        <f>IF(AND(D191&lt;&gt;"",N191="Oui"),1,0)</f>
        <v/>
      </c>
    </row>
    <row r="192">
      <c r="D192" s="3" t="n"/>
      <c r="O192">
        <f>IF(OR(D192="",M192=""),0,IF(N192="Oui",M192,0))</f>
        <v/>
      </c>
      <c r="P192">
        <f>IF(OR(D192="",M192=""),0,IF(N192="Non",M192,0))</f>
        <v/>
      </c>
      <c r="Q192">
        <f>IF(D192="","",YEAR(D192)*100+MONTH(D192))</f>
        <v/>
      </c>
      <c r="R192">
        <f>IF(AND(D192&lt;&gt;"",N192="Oui"),1,0)</f>
        <v/>
      </c>
    </row>
    <row r="193">
      <c r="D193" s="3" t="n"/>
      <c r="O193">
        <f>IF(OR(D193="",M193=""),0,IF(N193="Oui",M193,0))</f>
        <v/>
      </c>
      <c r="P193">
        <f>IF(OR(D193="",M193=""),0,IF(N193="Non",M193,0))</f>
        <v/>
      </c>
      <c r="Q193">
        <f>IF(D193="","",YEAR(D193)*100+MONTH(D193))</f>
        <v/>
      </c>
      <c r="R193">
        <f>IF(AND(D193&lt;&gt;"",N193="Oui"),1,0)</f>
        <v/>
      </c>
    </row>
    <row r="194">
      <c r="D194" s="3" t="n"/>
      <c r="O194">
        <f>IF(OR(D194="",M194=""),0,IF(N194="Oui",M194,0))</f>
        <v/>
      </c>
      <c r="P194">
        <f>IF(OR(D194="",M194=""),0,IF(N194="Non",M194,0))</f>
        <v/>
      </c>
      <c r="Q194">
        <f>IF(D194="","",YEAR(D194)*100+MONTH(D194))</f>
        <v/>
      </c>
      <c r="R194">
        <f>IF(AND(D194&lt;&gt;"",N194="Oui"),1,0)</f>
        <v/>
      </c>
    </row>
    <row r="195">
      <c r="D195" s="3" t="n"/>
      <c r="O195">
        <f>IF(OR(D195="",M195=""),0,IF(N195="Oui",M195,0))</f>
        <v/>
      </c>
      <c r="P195">
        <f>IF(OR(D195="",M195=""),0,IF(N195="Non",M195,0))</f>
        <v/>
      </c>
      <c r="Q195">
        <f>IF(D195="","",YEAR(D195)*100+MONTH(D195))</f>
        <v/>
      </c>
      <c r="R195">
        <f>IF(AND(D195&lt;&gt;"",N195="Oui"),1,0)</f>
        <v/>
      </c>
    </row>
    <row r="196">
      <c r="D196" s="3" t="n"/>
      <c r="O196">
        <f>IF(OR(D196="",M196=""),0,IF(N196="Oui",M196,0))</f>
        <v/>
      </c>
      <c r="P196">
        <f>IF(OR(D196="",M196=""),0,IF(N196="Non",M196,0))</f>
        <v/>
      </c>
      <c r="Q196">
        <f>IF(D196="","",YEAR(D196)*100+MONTH(D196))</f>
        <v/>
      </c>
      <c r="R196">
        <f>IF(AND(D196&lt;&gt;"",N196="Oui"),1,0)</f>
        <v/>
      </c>
    </row>
    <row r="197">
      <c r="D197" s="3" t="n"/>
      <c r="O197">
        <f>IF(OR(D197="",M197=""),0,IF(N197="Oui",M197,0))</f>
        <v/>
      </c>
      <c r="P197">
        <f>IF(OR(D197="",M197=""),0,IF(N197="Non",M197,0))</f>
        <v/>
      </c>
      <c r="Q197">
        <f>IF(D197="","",YEAR(D197)*100+MONTH(D197))</f>
        <v/>
      </c>
      <c r="R197">
        <f>IF(AND(D197&lt;&gt;"",N197="Oui"),1,0)</f>
        <v/>
      </c>
    </row>
    <row r="198">
      <c r="D198" s="3" t="n"/>
      <c r="O198">
        <f>IF(OR(D198="",M198=""),0,IF(N198="Oui",M198,0))</f>
        <v/>
      </c>
      <c r="P198">
        <f>IF(OR(D198="",M198=""),0,IF(N198="Non",M198,0))</f>
        <v/>
      </c>
      <c r="Q198">
        <f>IF(D198="","",YEAR(D198)*100+MONTH(D198))</f>
        <v/>
      </c>
      <c r="R198">
        <f>IF(AND(D198&lt;&gt;"",N198="Oui"),1,0)</f>
        <v/>
      </c>
    </row>
    <row r="199">
      <c r="D199" s="3" t="n"/>
      <c r="O199">
        <f>IF(OR(D199="",M199=""),0,IF(N199="Oui",M199,0))</f>
        <v/>
      </c>
      <c r="P199">
        <f>IF(OR(D199="",M199=""),0,IF(N199="Non",M199,0))</f>
        <v/>
      </c>
      <c r="Q199">
        <f>IF(D199="","",YEAR(D199)*100+MONTH(D199))</f>
        <v/>
      </c>
      <c r="R199">
        <f>IF(AND(D199&lt;&gt;"",N199="Oui"),1,0)</f>
        <v/>
      </c>
    </row>
    <row r="200">
      <c r="D200" s="3" t="n"/>
      <c r="O200">
        <f>IF(OR(D200="",M200=""),0,IF(N200="Oui",M200,0))</f>
        <v/>
      </c>
      <c r="P200">
        <f>IF(OR(D200="",M200=""),0,IF(N200="Non",M200,0))</f>
        <v/>
      </c>
      <c r="Q200">
        <f>IF(D200="","",YEAR(D200)*100+MONTH(D200))</f>
        <v/>
      </c>
      <c r="R200">
        <f>IF(AND(D200&lt;&gt;"",N200="Oui"),1,0)</f>
        <v/>
      </c>
    </row>
    <row r="201">
      <c r="D201" s="3" t="n"/>
      <c r="O201">
        <f>IF(OR(D201="",M201=""),0,IF(N201="Oui",M201,0))</f>
        <v/>
      </c>
      <c r="P201">
        <f>IF(OR(D201="",M201=""),0,IF(N201="Non",M201,0))</f>
        <v/>
      </c>
      <c r="Q201">
        <f>IF(D201="","",YEAR(D201)*100+MONTH(D201))</f>
        <v/>
      </c>
      <c r="R201">
        <f>IF(AND(D201&lt;&gt;"",N201="Oui"),1,0)</f>
        <v/>
      </c>
    </row>
    <row r="202">
      <c r="D202" s="3" t="n"/>
      <c r="O202">
        <f>IF(OR(D202="",M202=""),0,IF(N202="Oui",M202,0))</f>
        <v/>
      </c>
      <c r="P202">
        <f>IF(OR(D202="",M202=""),0,IF(N202="Non",M202,0))</f>
        <v/>
      </c>
      <c r="Q202">
        <f>IF(D202="","",YEAR(D202)*100+MONTH(D202))</f>
        <v/>
      </c>
      <c r="R202">
        <f>IF(AND(D202&lt;&gt;"",N202="Oui"),1,0)</f>
        <v/>
      </c>
    </row>
    <row r="203">
      <c r="D203" s="3" t="n"/>
      <c r="O203">
        <f>IF(OR(D203="",M203=""),0,IF(N203="Oui",M203,0))</f>
        <v/>
      </c>
      <c r="P203">
        <f>IF(OR(D203="",M203=""),0,IF(N203="Non",M203,0))</f>
        <v/>
      </c>
      <c r="Q203">
        <f>IF(D203="","",YEAR(D203)*100+MONTH(D203))</f>
        <v/>
      </c>
      <c r="R203">
        <f>IF(AND(D203&lt;&gt;"",N203="Oui"),1,0)</f>
        <v/>
      </c>
    </row>
    <row r="204">
      <c r="D204" s="3" t="n"/>
      <c r="O204">
        <f>IF(OR(D204="",M204=""),0,IF(N204="Oui",M204,0))</f>
        <v/>
      </c>
      <c r="P204">
        <f>IF(OR(D204="",M204=""),0,IF(N204="Non",M204,0))</f>
        <v/>
      </c>
      <c r="Q204">
        <f>IF(D204="","",YEAR(D204)*100+MONTH(D204))</f>
        <v/>
      </c>
      <c r="R204">
        <f>IF(AND(D204&lt;&gt;"",N204="Oui"),1,0)</f>
        <v/>
      </c>
    </row>
    <row r="205">
      <c r="D205" s="3" t="n"/>
      <c r="O205">
        <f>IF(OR(D205="",M205=""),0,IF(N205="Oui",M205,0))</f>
        <v/>
      </c>
      <c r="P205">
        <f>IF(OR(D205="",M205=""),0,IF(N205="Non",M205,0))</f>
        <v/>
      </c>
      <c r="Q205">
        <f>IF(D205="","",YEAR(D205)*100+MONTH(D205))</f>
        <v/>
      </c>
      <c r="R205">
        <f>IF(AND(D205&lt;&gt;"",N205="Oui"),1,0)</f>
        <v/>
      </c>
    </row>
    <row r="206">
      <c r="D206" s="3" t="n"/>
      <c r="O206">
        <f>IF(OR(D206="",M206=""),0,IF(N206="Oui",M206,0))</f>
        <v/>
      </c>
      <c r="P206">
        <f>IF(OR(D206="",M206=""),0,IF(N206="Non",M206,0))</f>
        <v/>
      </c>
      <c r="Q206">
        <f>IF(D206="","",YEAR(D206)*100+MONTH(D206))</f>
        <v/>
      </c>
      <c r="R206">
        <f>IF(AND(D206&lt;&gt;"",N206="Oui"),1,0)</f>
        <v/>
      </c>
    </row>
    <row r="207">
      <c r="D207" s="3" t="n"/>
      <c r="O207">
        <f>IF(OR(D207="",M207=""),0,IF(N207="Oui",M207,0))</f>
        <v/>
      </c>
      <c r="P207">
        <f>IF(OR(D207="",M207=""),0,IF(N207="Non",M207,0))</f>
        <v/>
      </c>
      <c r="Q207">
        <f>IF(D207="","",YEAR(D207)*100+MONTH(D207))</f>
        <v/>
      </c>
      <c r="R207">
        <f>IF(AND(D207&lt;&gt;"",N207="Oui"),1,0)</f>
        <v/>
      </c>
    </row>
    <row r="208">
      <c r="D208" s="3" t="n"/>
      <c r="O208">
        <f>IF(OR(D208="",M208=""),0,IF(N208="Oui",M208,0))</f>
        <v/>
      </c>
      <c r="P208">
        <f>IF(OR(D208="",M208=""),0,IF(N208="Non",M208,0))</f>
        <v/>
      </c>
      <c r="Q208">
        <f>IF(D208="","",YEAR(D208)*100+MONTH(D208))</f>
        <v/>
      </c>
      <c r="R208">
        <f>IF(AND(D208&lt;&gt;"",N208="Oui"),1,0)</f>
        <v/>
      </c>
    </row>
    <row r="209">
      <c r="D209" s="3" t="n"/>
      <c r="O209">
        <f>IF(OR(D209="",M209=""),0,IF(N209="Oui",M209,0))</f>
        <v/>
      </c>
      <c r="P209">
        <f>IF(OR(D209="",M209=""),0,IF(N209="Non",M209,0))</f>
        <v/>
      </c>
      <c r="Q209">
        <f>IF(D209="","",YEAR(D209)*100+MONTH(D209))</f>
        <v/>
      </c>
      <c r="R209">
        <f>IF(AND(D209&lt;&gt;"",N209="Oui"),1,0)</f>
        <v/>
      </c>
    </row>
    <row r="210">
      <c r="D210" s="3" t="n"/>
      <c r="O210">
        <f>IF(OR(D210="",M210=""),0,IF(N210="Oui",M210,0))</f>
        <v/>
      </c>
      <c r="P210">
        <f>IF(OR(D210="",M210=""),0,IF(N210="Non",M210,0))</f>
        <v/>
      </c>
      <c r="Q210">
        <f>IF(D210="","",YEAR(D210)*100+MONTH(D210))</f>
        <v/>
      </c>
      <c r="R210">
        <f>IF(AND(D210&lt;&gt;"",N210="Oui"),1,0)</f>
        <v/>
      </c>
    </row>
    <row r="211">
      <c r="D211" s="3" t="n"/>
      <c r="O211">
        <f>IF(OR(D211="",M211=""),0,IF(N211="Oui",M211,0))</f>
        <v/>
      </c>
      <c r="P211">
        <f>IF(OR(D211="",M211=""),0,IF(N211="Non",M211,0))</f>
        <v/>
      </c>
      <c r="Q211">
        <f>IF(D211="","",YEAR(D211)*100+MONTH(D211))</f>
        <v/>
      </c>
      <c r="R211">
        <f>IF(AND(D211&lt;&gt;"",N211="Oui"),1,0)</f>
        <v/>
      </c>
    </row>
    <row r="212">
      <c r="D212" s="3" t="n"/>
      <c r="O212">
        <f>IF(OR(D212="",M212=""),0,IF(N212="Oui",M212,0))</f>
        <v/>
      </c>
      <c r="P212">
        <f>IF(OR(D212="",M212=""),0,IF(N212="Non",M212,0))</f>
        <v/>
      </c>
      <c r="Q212">
        <f>IF(D212="","",YEAR(D212)*100+MONTH(D212))</f>
        <v/>
      </c>
      <c r="R212">
        <f>IF(AND(D212&lt;&gt;"",N212="Oui"),1,0)</f>
        <v/>
      </c>
    </row>
    <row r="213">
      <c r="D213" s="3" t="n"/>
      <c r="O213">
        <f>IF(OR(D213="",M213=""),0,IF(N213="Oui",M213,0))</f>
        <v/>
      </c>
      <c r="P213">
        <f>IF(OR(D213="",M213=""),0,IF(N213="Non",M213,0))</f>
        <v/>
      </c>
      <c r="Q213">
        <f>IF(D213="","",YEAR(D213)*100+MONTH(D213))</f>
        <v/>
      </c>
      <c r="R213">
        <f>IF(AND(D213&lt;&gt;"",N213="Oui"),1,0)</f>
        <v/>
      </c>
    </row>
    <row r="214">
      <c r="D214" s="3" t="n"/>
      <c r="O214">
        <f>IF(OR(D214="",M214=""),0,IF(N214="Oui",M214,0))</f>
        <v/>
      </c>
      <c r="P214">
        <f>IF(OR(D214="",M214=""),0,IF(N214="Non",M214,0))</f>
        <v/>
      </c>
      <c r="Q214">
        <f>IF(D214="","",YEAR(D214)*100+MONTH(D214))</f>
        <v/>
      </c>
      <c r="R214">
        <f>IF(AND(D214&lt;&gt;"",N214="Oui"),1,0)</f>
        <v/>
      </c>
    </row>
    <row r="215">
      <c r="D215" s="3" t="n"/>
      <c r="O215">
        <f>IF(OR(D215="",M215=""),0,IF(N215="Oui",M215,0))</f>
        <v/>
      </c>
      <c r="P215">
        <f>IF(OR(D215="",M215=""),0,IF(N215="Non",M215,0))</f>
        <v/>
      </c>
      <c r="Q215">
        <f>IF(D215="","",YEAR(D215)*100+MONTH(D215))</f>
        <v/>
      </c>
      <c r="R215">
        <f>IF(AND(D215&lt;&gt;"",N215="Oui"),1,0)</f>
        <v/>
      </c>
    </row>
    <row r="216">
      <c r="D216" s="3" t="n"/>
      <c r="O216">
        <f>IF(OR(D216="",M216=""),0,IF(N216="Oui",M216,0))</f>
        <v/>
      </c>
      <c r="P216">
        <f>IF(OR(D216="",M216=""),0,IF(N216="Non",M216,0))</f>
        <v/>
      </c>
      <c r="Q216">
        <f>IF(D216="","",YEAR(D216)*100+MONTH(D216))</f>
        <v/>
      </c>
      <c r="R216">
        <f>IF(AND(D216&lt;&gt;"",N216="Oui"),1,0)</f>
        <v/>
      </c>
    </row>
    <row r="217">
      <c r="D217" s="3" t="n"/>
      <c r="O217">
        <f>IF(OR(D217="",M217=""),0,IF(N217="Oui",M217,0))</f>
        <v/>
      </c>
      <c r="P217">
        <f>IF(OR(D217="",M217=""),0,IF(N217="Non",M217,0))</f>
        <v/>
      </c>
      <c r="Q217">
        <f>IF(D217="","",YEAR(D217)*100+MONTH(D217))</f>
        <v/>
      </c>
      <c r="R217">
        <f>IF(AND(D217&lt;&gt;"",N217="Oui"),1,0)</f>
        <v/>
      </c>
    </row>
    <row r="218">
      <c r="D218" s="3" t="n"/>
      <c r="O218">
        <f>IF(OR(D218="",M218=""),0,IF(N218="Oui",M218,0))</f>
        <v/>
      </c>
      <c r="P218">
        <f>IF(OR(D218="",M218=""),0,IF(N218="Non",M218,0))</f>
        <v/>
      </c>
      <c r="Q218">
        <f>IF(D218="","",YEAR(D218)*100+MONTH(D218))</f>
        <v/>
      </c>
      <c r="R218">
        <f>IF(AND(D218&lt;&gt;"",N218="Oui"),1,0)</f>
        <v/>
      </c>
    </row>
    <row r="219">
      <c r="D219" s="3" t="n"/>
      <c r="O219">
        <f>IF(OR(D219="",M219=""),0,IF(N219="Oui",M219,0))</f>
        <v/>
      </c>
      <c r="P219">
        <f>IF(OR(D219="",M219=""),0,IF(N219="Non",M219,0))</f>
        <v/>
      </c>
      <c r="Q219">
        <f>IF(D219="","",YEAR(D219)*100+MONTH(D219))</f>
        <v/>
      </c>
      <c r="R219">
        <f>IF(AND(D219&lt;&gt;"",N219="Oui"),1,0)</f>
        <v/>
      </c>
    </row>
    <row r="220">
      <c r="D220" s="3" t="n"/>
      <c r="O220">
        <f>IF(OR(D220="",M220=""),0,IF(N220="Oui",M220,0))</f>
        <v/>
      </c>
      <c r="P220">
        <f>IF(OR(D220="",M220=""),0,IF(N220="Non",M220,0))</f>
        <v/>
      </c>
      <c r="Q220">
        <f>IF(D220="","",YEAR(D220)*100+MONTH(D220))</f>
        <v/>
      </c>
      <c r="R220">
        <f>IF(AND(D220&lt;&gt;"",N220="Oui"),1,0)</f>
        <v/>
      </c>
    </row>
    <row r="221">
      <c r="D221" s="3" t="n"/>
      <c r="O221">
        <f>IF(OR(D221="",M221=""),0,IF(N221="Oui",M221,0))</f>
        <v/>
      </c>
      <c r="P221">
        <f>IF(OR(D221="",M221=""),0,IF(N221="Non",M221,0))</f>
        <v/>
      </c>
      <c r="Q221">
        <f>IF(D221="","",YEAR(D221)*100+MONTH(D221))</f>
        <v/>
      </c>
      <c r="R221">
        <f>IF(AND(D221&lt;&gt;"",N221="Oui"),1,0)</f>
        <v/>
      </c>
    </row>
    <row r="222">
      <c r="D222" s="3" t="n"/>
      <c r="O222">
        <f>IF(OR(D222="",M222=""),0,IF(N222="Oui",M222,0))</f>
        <v/>
      </c>
      <c r="P222">
        <f>IF(OR(D222="",M222=""),0,IF(N222="Non",M222,0))</f>
        <v/>
      </c>
      <c r="Q222">
        <f>IF(D222="","",YEAR(D222)*100+MONTH(D222))</f>
        <v/>
      </c>
      <c r="R222">
        <f>IF(AND(D222&lt;&gt;"",N222="Oui"),1,0)</f>
        <v/>
      </c>
    </row>
    <row r="223">
      <c r="D223" s="3" t="n"/>
      <c r="O223">
        <f>IF(OR(D223="",M223=""),0,IF(N223="Oui",M223,0))</f>
        <v/>
      </c>
      <c r="P223">
        <f>IF(OR(D223="",M223=""),0,IF(N223="Non",M223,0))</f>
        <v/>
      </c>
      <c r="Q223">
        <f>IF(D223="","",YEAR(D223)*100+MONTH(D223))</f>
        <v/>
      </c>
      <c r="R223">
        <f>IF(AND(D223&lt;&gt;"",N223="Oui"),1,0)</f>
        <v/>
      </c>
    </row>
    <row r="224">
      <c r="D224" s="3" t="n"/>
      <c r="O224">
        <f>IF(OR(D224="",M224=""),0,IF(N224="Oui",M224,0))</f>
        <v/>
      </c>
      <c r="P224">
        <f>IF(OR(D224="",M224=""),0,IF(N224="Non",M224,0))</f>
        <v/>
      </c>
      <c r="Q224">
        <f>IF(D224="","",YEAR(D224)*100+MONTH(D224))</f>
        <v/>
      </c>
      <c r="R224">
        <f>IF(AND(D224&lt;&gt;"",N224="Oui"),1,0)</f>
        <v/>
      </c>
    </row>
    <row r="225">
      <c r="D225" s="3" t="n"/>
      <c r="O225">
        <f>IF(OR(D225="",M225=""),0,IF(N225="Oui",M225,0))</f>
        <v/>
      </c>
      <c r="P225">
        <f>IF(OR(D225="",M225=""),0,IF(N225="Non",M225,0))</f>
        <v/>
      </c>
      <c r="Q225">
        <f>IF(D225="","",YEAR(D225)*100+MONTH(D225))</f>
        <v/>
      </c>
      <c r="R225">
        <f>IF(AND(D225&lt;&gt;"",N225="Oui"),1,0)</f>
        <v/>
      </c>
    </row>
    <row r="226">
      <c r="D226" s="3" t="n"/>
      <c r="O226">
        <f>IF(OR(D226="",M226=""),0,IF(N226="Oui",M226,0))</f>
        <v/>
      </c>
      <c r="P226">
        <f>IF(OR(D226="",M226=""),0,IF(N226="Non",M226,0))</f>
        <v/>
      </c>
      <c r="Q226">
        <f>IF(D226="","",YEAR(D226)*100+MONTH(D226))</f>
        <v/>
      </c>
      <c r="R226">
        <f>IF(AND(D226&lt;&gt;"",N226="Oui"),1,0)</f>
        <v/>
      </c>
    </row>
    <row r="227">
      <c r="D227" s="3" t="n"/>
      <c r="O227">
        <f>IF(OR(D227="",M227=""),0,IF(N227="Oui",M227,0))</f>
        <v/>
      </c>
      <c r="P227">
        <f>IF(OR(D227="",M227=""),0,IF(N227="Non",M227,0))</f>
        <v/>
      </c>
      <c r="Q227">
        <f>IF(D227="","",YEAR(D227)*100+MONTH(D227))</f>
        <v/>
      </c>
      <c r="R227">
        <f>IF(AND(D227&lt;&gt;"",N227="Oui"),1,0)</f>
        <v/>
      </c>
    </row>
    <row r="228">
      <c r="D228" s="3" t="n"/>
      <c r="O228">
        <f>IF(OR(D228="",M228=""),0,IF(N228="Oui",M228,0))</f>
        <v/>
      </c>
      <c r="P228">
        <f>IF(OR(D228="",M228=""),0,IF(N228="Non",M228,0))</f>
        <v/>
      </c>
      <c r="Q228">
        <f>IF(D228="","",YEAR(D228)*100+MONTH(D228))</f>
        <v/>
      </c>
      <c r="R228">
        <f>IF(AND(D228&lt;&gt;"",N228="Oui"),1,0)</f>
        <v/>
      </c>
    </row>
    <row r="229">
      <c r="D229" s="3" t="n"/>
      <c r="O229">
        <f>IF(OR(D229="",M229=""),0,IF(N229="Oui",M229,0))</f>
        <v/>
      </c>
      <c r="P229">
        <f>IF(OR(D229="",M229=""),0,IF(N229="Non",M229,0))</f>
        <v/>
      </c>
      <c r="Q229">
        <f>IF(D229="","",YEAR(D229)*100+MONTH(D229))</f>
        <v/>
      </c>
      <c r="R229">
        <f>IF(AND(D229&lt;&gt;"",N229="Oui"),1,0)</f>
        <v/>
      </c>
    </row>
    <row r="230">
      <c r="D230" s="3" t="n"/>
      <c r="O230">
        <f>IF(OR(D230="",M230=""),0,IF(N230="Oui",M230,0))</f>
        <v/>
      </c>
      <c r="P230">
        <f>IF(OR(D230="",M230=""),0,IF(N230="Non",M230,0))</f>
        <v/>
      </c>
      <c r="Q230">
        <f>IF(D230="","",YEAR(D230)*100+MONTH(D230))</f>
        <v/>
      </c>
      <c r="R230">
        <f>IF(AND(D230&lt;&gt;"",N230="Oui"),1,0)</f>
        <v/>
      </c>
    </row>
    <row r="231">
      <c r="D231" s="3" t="n"/>
      <c r="O231">
        <f>IF(OR(D231="",M231=""),0,IF(N231="Oui",M231,0))</f>
        <v/>
      </c>
      <c r="P231">
        <f>IF(OR(D231="",M231=""),0,IF(N231="Non",M231,0))</f>
        <v/>
      </c>
      <c r="Q231">
        <f>IF(D231="","",YEAR(D231)*100+MONTH(D231))</f>
        <v/>
      </c>
      <c r="R231">
        <f>IF(AND(D231&lt;&gt;"",N231="Oui"),1,0)</f>
        <v/>
      </c>
    </row>
    <row r="232">
      <c r="D232" s="3" t="n"/>
      <c r="O232">
        <f>IF(OR(D232="",M232=""),0,IF(N232="Oui",M232,0))</f>
        <v/>
      </c>
      <c r="P232">
        <f>IF(OR(D232="",M232=""),0,IF(N232="Non",M232,0))</f>
        <v/>
      </c>
      <c r="Q232">
        <f>IF(D232="","",YEAR(D232)*100+MONTH(D232))</f>
        <v/>
      </c>
      <c r="R232">
        <f>IF(AND(D232&lt;&gt;"",N232="Oui"),1,0)</f>
        <v/>
      </c>
    </row>
    <row r="233">
      <c r="D233" s="3" t="n"/>
      <c r="O233">
        <f>IF(OR(D233="",M233=""),0,IF(N233="Oui",M233,0))</f>
        <v/>
      </c>
      <c r="P233">
        <f>IF(OR(D233="",M233=""),0,IF(N233="Non",M233,0))</f>
        <v/>
      </c>
      <c r="Q233">
        <f>IF(D233="","",YEAR(D233)*100+MONTH(D233))</f>
        <v/>
      </c>
      <c r="R233">
        <f>IF(AND(D233&lt;&gt;"",N233="Oui"),1,0)</f>
        <v/>
      </c>
    </row>
    <row r="234">
      <c r="D234" s="3" t="n"/>
      <c r="O234">
        <f>IF(OR(D234="",M234=""),0,IF(N234="Oui",M234,0))</f>
        <v/>
      </c>
      <c r="P234">
        <f>IF(OR(D234="",M234=""),0,IF(N234="Non",M234,0))</f>
        <v/>
      </c>
      <c r="Q234">
        <f>IF(D234="","",YEAR(D234)*100+MONTH(D234))</f>
        <v/>
      </c>
      <c r="R234">
        <f>IF(AND(D234&lt;&gt;"",N234="Oui"),1,0)</f>
        <v/>
      </c>
    </row>
    <row r="235">
      <c r="D235" s="3" t="n"/>
      <c r="O235">
        <f>IF(OR(D235="",M235=""),0,IF(N235="Oui",M235,0))</f>
        <v/>
      </c>
      <c r="P235">
        <f>IF(OR(D235="",M235=""),0,IF(N235="Non",M235,0))</f>
        <v/>
      </c>
      <c r="Q235">
        <f>IF(D235="","",YEAR(D235)*100+MONTH(D235))</f>
        <v/>
      </c>
      <c r="R235">
        <f>IF(AND(D235&lt;&gt;"",N235="Oui"),1,0)</f>
        <v/>
      </c>
    </row>
    <row r="236">
      <c r="D236" s="3" t="n"/>
      <c r="O236">
        <f>IF(OR(D236="",M236=""),0,IF(N236="Oui",M236,0))</f>
        <v/>
      </c>
      <c r="P236">
        <f>IF(OR(D236="",M236=""),0,IF(N236="Non",M236,0))</f>
        <v/>
      </c>
      <c r="Q236">
        <f>IF(D236="","",YEAR(D236)*100+MONTH(D236))</f>
        <v/>
      </c>
      <c r="R236">
        <f>IF(AND(D236&lt;&gt;"",N236="Oui"),1,0)</f>
        <v/>
      </c>
    </row>
    <row r="237">
      <c r="D237" s="3" t="n"/>
      <c r="O237">
        <f>IF(OR(D237="",M237=""),0,IF(N237="Oui",M237,0))</f>
        <v/>
      </c>
      <c r="P237">
        <f>IF(OR(D237="",M237=""),0,IF(N237="Non",M237,0))</f>
        <v/>
      </c>
      <c r="Q237">
        <f>IF(D237="","",YEAR(D237)*100+MONTH(D237))</f>
        <v/>
      </c>
      <c r="R237">
        <f>IF(AND(D237&lt;&gt;"",N237="Oui"),1,0)</f>
        <v/>
      </c>
    </row>
    <row r="238">
      <c r="D238" s="3" t="n"/>
      <c r="O238">
        <f>IF(OR(D238="",M238=""),0,IF(N238="Oui",M238,0))</f>
        <v/>
      </c>
      <c r="P238">
        <f>IF(OR(D238="",M238=""),0,IF(N238="Non",M238,0))</f>
        <v/>
      </c>
      <c r="Q238">
        <f>IF(D238="","",YEAR(D238)*100+MONTH(D238))</f>
        <v/>
      </c>
      <c r="R238">
        <f>IF(AND(D238&lt;&gt;"",N238="Oui"),1,0)</f>
        <v/>
      </c>
    </row>
    <row r="239">
      <c r="D239" s="3" t="n"/>
      <c r="O239">
        <f>IF(OR(D239="",M239=""),0,IF(N239="Oui",M239,0))</f>
        <v/>
      </c>
      <c r="P239">
        <f>IF(OR(D239="",M239=""),0,IF(N239="Non",M239,0))</f>
        <v/>
      </c>
      <c r="Q239">
        <f>IF(D239="","",YEAR(D239)*100+MONTH(D239))</f>
        <v/>
      </c>
      <c r="R239">
        <f>IF(AND(D239&lt;&gt;"",N239="Oui"),1,0)</f>
        <v/>
      </c>
    </row>
    <row r="240">
      <c r="D240" s="3" t="n"/>
      <c r="O240">
        <f>IF(OR(D240="",M240=""),0,IF(N240="Oui",M240,0))</f>
        <v/>
      </c>
      <c r="P240">
        <f>IF(OR(D240="",M240=""),0,IF(N240="Non",M240,0))</f>
        <v/>
      </c>
      <c r="Q240">
        <f>IF(D240="","",YEAR(D240)*100+MONTH(D240))</f>
        <v/>
      </c>
      <c r="R240">
        <f>IF(AND(D240&lt;&gt;"",N240="Oui"),1,0)</f>
        <v/>
      </c>
    </row>
    <row r="241">
      <c r="D241" s="3" t="n"/>
      <c r="O241">
        <f>IF(OR(D241="",M241=""),0,IF(N241="Oui",M241,0))</f>
        <v/>
      </c>
      <c r="P241">
        <f>IF(OR(D241="",M241=""),0,IF(N241="Non",M241,0))</f>
        <v/>
      </c>
      <c r="Q241">
        <f>IF(D241="","",YEAR(D241)*100+MONTH(D241))</f>
        <v/>
      </c>
      <c r="R241">
        <f>IF(AND(D241&lt;&gt;"",N241="Oui"),1,0)</f>
        <v/>
      </c>
    </row>
    <row r="242">
      <c r="D242" s="3" t="n"/>
      <c r="O242">
        <f>IF(OR(D242="",M242=""),0,IF(N242="Oui",M242,0))</f>
        <v/>
      </c>
      <c r="P242">
        <f>IF(OR(D242="",M242=""),0,IF(N242="Non",M242,0))</f>
        <v/>
      </c>
      <c r="Q242">
        <f>IF(D242="","",YEAR(D242)*100+MONTH(D242))</f>
        <v/>
      </c>
      <c r="R242">
        <f>IF(AND(D242&lt;&gt;"",N242="Oui"),1,0)</f>
        <v/>
      </c>
    </row>
    <row r="243">
      <c r="D243" s="3" t="n"/>
      <c r="O243">
        <f>IF(OR(D243="",M243=""),0,IF(N243="Oui",M243,0))</f>
        <v/>
      </c>
      <c r="P243">
        <f>IF(OR(D243="",M243=""),0,IF(N243="Non",M243,0))</f>
        <v/>
      </c>
      <c r="Q243">
        <f>IF(D243="","",YEAR(D243)*100+MONTH(D243))</f>
        <v/>
      </c>
      <c r="R243">
        <f>IF(AND(D243&lt;&gt;"",N243="Oui"),1,0)</f>
        <v/>
      </c>
    </row>
    <row r="244">
      <c r="D244" s="3" t="n"/>
      <c r="O244">
        <f>IF(OR(D244="",M244=""),0,IF(N244="Oui",M244,0))</f>
        <v/>
      </c>
      <c r="P244">
        <f>IF(OR(D244="",M244=""),0,IF(N244="Non",M244,0))</f>
        <v/>
      </c>
      <c r="Q244">
        <f>IF(D244="","",YEAR(D244)*100+MONTH(D244))</f>
        <v/>
      </c>
      <c r="R244">
        <f>IF(AND(D244&lt;&gt;"",N244="Oui"),1,0)</f>
        <v/>
      </c>
    </row>
    <row r="245">
      <c r="D245" s="3" t="n"/>
      <c r="O245">
        <f>IF(OR(D245="",M245=""),0,IF(N245="Oui",M245,0))</f>
        <v/>
      </c>
      <c r="P245">
        <f>IF(OR(D245="",M245=""),0,IF(N245="Non",M245,0))</f>
        <v/>
      </c>
      <c r="Q245">
        <f>IF(D245="","",YEAR(D245)*100+MONTH(D245))</f>
        <v/>
      </c>
      <c r="R245">
        <f>IF(AND(D245&lt;&gt;"",N245="Oui"),1,0)</f>
        <v/>
      </c>
    </row>
    <row r="246">
      <c r="D246" s="3" t="n"/>
      <c r="O246">
        <f>IF(OR(D246="",M246=""),0,IF(N246="Oui",M246,0))</f>
        <v/>
      </c>
      <c r="P246">
        <f>IF(OR(D246="",M246=""),0,IF(N246="Non",M246,0))</f>
        <v/>
      </c>
      <c r="Q246">
        <f>IF(D246="","",YEAR(D246)*100+MONTH(D246))</f>
        <v/>
      </c>
      <c r="R246">
        <f>IF(AND(D246&lt;&gt;"",N246="Oui"),1,0)</f>
        <v/>
      </c>
    </row>
    <row r="247">
      <c r="D247" s="3" t="n"/>
      <c r="O247">
        <f>IF(OR(D247="",M247=""),0,IF(N247="Oui",M247,0))</f>
        <v/>
      </c>
      <c r="P247">
        <f>IF(OR(D247="",M247=""),0,IF(N247="Non",M247,0))</f>
        <v/>
      </c>
      <c r="Q247">
        <f>IF(D247="","",YEAR(D247)*100+MONTH(D247))</f>
        <v/>
      </c>
      <c r="R247">
        <f>IF(AND(D247&lt;&gt;"",N247="Oui"),1,0)</f>
        <v/>
      </c>
    </row>
    <row r="248">
      <c r="D248" s="3" t="n"/>
      <c r="O248">
        <f>IF(OR(D248="",M248=""),0,IF(N248="Oui",M248,0))</f>
        <v/>
      </c>
      <c r="P248">
        <f>IF(OR(D248="",M248=""),0,IF(N248="Non",M248,0))</f>
        <v/>
      </c>
      <c r="Q248">
        <f>IF(D248="","",YEAR(D248)*100+MONTH(D248))</f>
        <v/>
      </c>
      <c r="R248">
        <f>IF(AND(D248&lt;&gt;"",N248="Oui"),1,0)</f>
        <v/>
      </c>
    </row>
    <row r="249">
      <c r="D249" s="3" t="n"/>
      <c r="O249">
        <f>IF(OR(D249="",M249=""),0,IF(N249="Oui",M249,0))</f>
        <v/>
      </c>
      <c r="P249">
        <f>IF(OR(D249="",M249=""),0,IF(N249="Non",M249,0))</f>
        <v/>
      </c>
      <c r="Q249">
        <f>IF(D249="","",YEAR(D249)*100+MONTH(D249))</f>
        <v/>
      </c>
      <c r="R249">
        <f>IF(AND(D249&lt;&gt;"",N249="Oui"),1,0)</f>
        <v/>
      </c>
    </row>
    <row r="250">
      <c r="D250" s="3" t="n"/>
      <c r="O250">
        <f>IF(OR(D250="",M250=""),0,IF(N250="Oui",M250,0))</f>
        <v/>
      </c>
      <c r="P250">
        <f>IF(OR(D250="",M250=""),0,IF(N250="Non",M250,0))</f>
        <v/>
      </c>
      <c r="Q250">
        <f>IF(D250="","",YEAR(D250)*100+MONTH(D250))</f>
        <v/>
      </c>
      <c r="R250">
        <f>IF(AND(D250&lt;&gt;"",N250="Oui"),1,0)</f>
        <v/>
      </c>
    </row>
    <row r="251">
      <c r="D251" s="3" t="n"/>
      <c r="O251">
        <f>IF(OR(D251="",M251=""),0,IF(N251="Oui",M251,0))</f>
        <v/>
      </c>
      <c r="P251">
        <f>IF(OR(D251="",M251=""),0,IF(N251="Non",M251,0))</f>
        <v/>
      </c>
      <c r="Q251">
        <f>IF(D251="","",YEAR(D251)*100+MONTH(D251))</f>
        <v/>
      </c>
      <c r="R251">
        <f>IF(AND(D251&lt;&gt;"",N251="Oui"),1,0)</f>
        <v/>
      </c>
    </row>
    <row r="252">
      <c r="D252" s="3" t="n"/>
      <c r="O252">
        <f>IF(OR(D252="",M252=""),0,IF(N252="Oui",M252,0))</f>
        <v/>
      </c>
      <c r="P252">
        <f>IF(OR(D252="",M252=""),0,IF(N252="Non",M252,0))</f>
        <v/>
      </c>
      <c r="Q252">
        <f>IF(D252="","",YEAR(D252)*100+MONTH(D252))</f>
        <v/>
      </c>
      <c r="R252">
        <f>IF(AND(D252&lt;&gt;"",N252="Oui"),1,0)</f>
        <v/>
      </c>
    </row>
    <row r="253">
      <c r="D253" s="3" t="n"/>
      <c r="O253">
        <f>IF(OR(D253="",M253=""),0,IF(N253="Oui",M253,0))</f>
        <v/>
      </c>
      <c r="P253">
        <f>IF(OR(D253="",M253=""),0,IF(N253="Non",M253,0))</f>
        <v/>
      </c>
      <c r="Q253">
        <f>IF(D253="","",YEAR(D253)*100+MONTH(D253))</f>
        <v/>
      </c>
      <c r="R253">
        <f>IF(AND(D253&lt;&gt;"",N253="Oui"),1,0)</f>
        <v/>
      </c>
    </row>
    <row r="254">
      <c r="D254" s="3" t="n"/>
      <c r="O254">
        <f>IF(OR(D254="",M254=""),0,IF(N254="Oui",M254,0))</f>
        <v/>
      </c>
      <c r="P254">
        <f>IF(OR(D254="",M254=""),0,IF(N254="Non",M254,0))</f>
        <v/>
      </c>
      <c r="Q254">
        <f>IF(D254="","",YEAR(D254)*100+MONTH(D254))</f>
        <v/>
      </c>
      <c r="R254">
        <f>IF(AND(D254&lt;&gt;"",N254="Oui"),1,0)</f>
        <v/>
      </c>
    </row>
    <row r="255">
      <c r="D255" s="3" t="n"/>
      <c r="O255">
        <f>IF(OR(D255="",M255=""),0,IF(N255="Oui",M255,0))</f>
        <v/>
      </c>
      <c r="P255">
        <f>IF(OR(D255="",M255=""),0,IF(N255="Non",M255,0))</f>
        <v/>
      </c>
      <c r="Q255">
        <f>IF(D255="","",YEAR(D255)*100+MONTH(D255))</f>
        <v/>
      </c>
      <c r="R255">
        <f>IF(AND(D255&lt;&gt;"",N255="Oui"),1,0)</f>
        <v/>
      </c>
    </row>
    <row r="256">
      <c r="D256" s="3" t="n"/>
      <c r="O256">
        <f>IF(OR(D256="",M256=""),0,IF(N256="Oui",M256,0))</f>
        <v/>
      </c>
      <c r="P256">
        <f>IF(OR(D256="",M256=""),0,IF(N256="Non",M256,0))</f>
        <v/>
      </c>
      <c r="Q256">
        <f>IF(D256="","",YEAR(D256)*100+MONTH(D256))</f>
        <v/>
      </c>
      <c r="R256">
        <f>IF(AND(D256&lt;&gt;"",N256="Oui"),1,0)</f>
        <v/>
      </c>
    </row>
    <row r="257">
      <c r="D257" s="3" t="n"/>
      <c r="O257">
        <f>IF(OR(D257="",M257=""),0,IF(N257="Oui",M257,0))</f>
        <v/>
      </c>
      <c r="P257">
        <f>IF(OR(D257="",M257=""),0,IF(N257="Non",M257,0))</f>
        <v/>
      </c>
      <c r="Q257">
        <f>IF(D257="","",YEAR(D257)*100+MONTH(D257))</f>
        <v/>
      </c>
      <c r="R257">
        <f>IF(AND(D257&lt;&gt;"",N257="Oui"),1,0)</f>
        <v/>
      </c>
    </row>
    <row r="258">
      <c r="D258" s="3" t="n"/>
      <c r="O258">
        <f>IF(OR(D258="",M258=""),0,IF(N258="Oui",M258,0))</f>
        <v/>
      </c>
      <c r="P258">
        <f>IF(OR(D258="",M258=""),0,IF(N258="Non",M258,0))</f>
        <v/>
      </c>
      <c r="Q258">
        <f>IF(D258="","",YEAR(D258)*100+MONTH(D258))</f>
        <v/>
      </c>
      <c r="R258">
        <f>IF(AND(D258&lt;&gt;"",N258="Oui"),1,0)</f>
        <v/>
      </c>
    </row>
    <row r="259">
      <c r="D259" s="3" t="n"/>
      <c r="O259">
        <f>IF(OR(D259="",M259=""),0,IF(N259="Oui",M259,0))</f>
        <v/>
      </c>
      <c r="P259">
        <f>IF(OR(D259="",M259=""),0,IF(N259="Non",M259,0))</f>
        <v/>
      </c>
      <c r="Q259">
        <f>IF(D259="","",YEAR(D259)*100+MONTH(D259))</f>
        <v/>
      </c>
      <c r="R259">
        <f>IF(AND(D259&lt;&gt;"",N259="Oui"),1,0)</f>
        <v/>
      </c>
    </row>
    <row r="260">
      <c r="D260" s="3" t="n"/>
      <c r="O260">
        <f>IF(OR(D260="",M260=""),0,IF(N260="Oui",M260,0))</f>
        <v/>
      </c>
      <c r="P260">
        <f>IF(OR(D260="",M260=""),0,IF(N260="Non",M260,0))</f>
        <v/>
      </c>
      <c r="Q260">
        <f>IF(D260="","",YEAR(D260)*100+MONTH(D260))</f>
        <v/>
      </c>
      <c r="R260">
        <f>IF(AND(D260&lt;&gt;"",N260="Oui"),1,0)</f>
        <v/>
      </c>
    </row>
    <row r="261">
      <c r="D261" s="3" t="n"/>
      <c r="O261">
        <f>IF(OR(D261="",M261=""),0,IF(N261="Oui",M261,0))</f>
        <v/>
      </c>
      <c r="P261">
        <f>IF(OR(D261="",M261=""),0,IF(N261="Non",M261,0))</f>
        <v/>
      </c>
      <c r="Q261">
        <f>IF(D261="","",YEAR(D261)*100+MONTH(D261))</f>
        <v/>
      </c>
      <c r="R261">
        <f>IF(AND(D261&lt;&gt;"",N261="Oui"),1,0)</f>
        <v/>
      </c>
    </row>
    <row r="262">
      <c r="D262" s="3" t="n"/>
      <c r="O262">
        <f>IF(OR(D262="",M262=""),0,IF(N262="Oui",M262,0))</f>
        <v/>
      </c>
      <c r="P262">
        <f>IF(OR(D262="",M262=""),0,IF(N262="Non",M262,0))</f>
        <v/>
      </c>
      <c r="Q262">
        <f>IF(D262="","",YEAR(D262)*100+MONTH(D262))</f>
        <v/>
      </c>
      <c r="R262">
        <f>IF(AND(D262&lt;&gt;"",N262="Oui"),1,0)</f>
        <v/>
      </c>
    </row>
    <row r="263">
      <c r="D263" s="3" t="n"/>
      <c r="O263">
        <f>IF(OR(D263="",M263=""),0,IF(N263="Oui",M263,0))</f>
        <v/>
      </c>
      <c r="P263">
        <f>IF(OR(D263="",M263=""),0,IF(N263="Non",M263,0))</f>
        <v/>
      </c>
      <c r="Q263">
        <f>IF(D263="","",YEAR(D263)*100+MONTH(D263))</f>
        <v/>
      </c>
      <c r="R263">
        <f>IF(AND(D263&lt;&gt;"",N263="Oui"),1,0)</f>
        <v/>
      </c>
    </row>
    <row r="264">
      <c r="D264" s="3" t="n"/>
      <c r="O264">
        <f>IF(OR(D264="",M264=""),0,IF(N264="Oui",M264,0))</f>
        <v/>
      </c>
      <c r="P264">
        <f>IF(OR(D264="",M264=""),0,IF(N264="Non",M264,0))</f>
        <v/>
      </c>
      <c r="Q264">
        <f>IF(D264="","",YEAR(D264)*100+MONTH(D264))</f>
        <v/>
      </c>
      <c r="R264">
        <f>IF(AND(D264&lt;&gt;"",N264="Oui"),1,0)</f>
        <v/>
      </c>
    </row>
    <row r="265">
      <c r="D265" s="3" t="n"/>
      <c r="O265">
        <f>IF(OR(D265="",M265=""),0,IF(N265="Oui",M265,0))</f>
        <v/>
      </c>
      <c r="P265">
        <f>IF(OR(D265="",M265=""),0,IF(N265="Non",M265,0))</f>
        <v/>
      </c>
      <c r="Q265">
        <f>IF(D265="","",YEAR(D265)*100+MONTH(D265))</f>
        <v/>
      </c>
      <c r="R265">
        <f>IF(AND(D265&lt;&gt;"",N265="Oui"),1,0)</f>
        <v/>
      </c>
    </row>
    <row r="266">
      <c r="D266" s="3" t="n"/>
      <c r="O266">
        <f>IF(OR(D266="",M266=""),0,IF(N266="Oui",M266,0))</f>
        <v/>
      </c>
      <c r="P266">
        <f>IF(OR(D266="",M266=""),0,IF(N266="Non",M266,0))</f>
        <v/>
      </c>
      <c r="Q266">
        <f>IF(D266="","",YEAR(D266)*100+MONTH(D266))</f>
        <v/>
      </c>
      <c r="R266">
        <f>IF(AND(D266&lt;&gt;"",N266="Oui"),1,0)</f>
        <v/>
      </c>
    </row>
    <row r="267">
      <c r="D267" s="3" t="n"/>
      <c r="O267">
        <f>IF(OR(D267="",M267=""),0,IF(N267="Oui",M267,0))</f>
        <v/>
      </c>
      <c r="P267">
        <f>IF(OR(D267="",M267=""),0,IF(N267="Non",M267,0))</f>
        <v/>
      </c>
      <c r="Q267">
        <f>IF(D267="","",YEAR(D267)*100+MONTH(D267))</f>
        <v/>
      </c>
      <c r="R267">
        <f>IF(AND(D267&lt;&gt;"",N267="Oui"),1,0)</f>
        <v/>
      </c>
    </row>
    <row r="268">
      <c r="D268" s="3" t="n"/>
      <c r="O268">
        <f>IF(OR(D268="",M268=""),0,IF(N268="Oui",M268,0))</f>
        <v/>
      </c>
      <c r="P268">
        <f>IF(OR(D268="",M268=""),0,IF(N268="Non",M268,0))</f>
        <v/>
      </c>
      <c r="Q268">
        <f>IF(D268="","",YEAR(D268)*100+MONTH(D268))</f>
        <v/>
      </c>
      <c r="R268">
        <f>IF(AND(D268&lt;&gt;"",N268="Oui"),1,0)</f>
        <v/>
      </c>
    </row>
    <row r="269">
      <c r="D269" s="3" t="n"/>
      <c r="O269">
        <f>IF(OR(D269="",M269=""),0,IF(N269="Oui",M269,0))</f>
        <v/>
      </c>
      <c r="P269">
        <f>IF(OR(D269="",M269=""),0,IF(N269="Non",M269,0))</f>
        <v/>
      </c>
      <c r="Q269">
        <f>IF(D269="","",YEAR(D269)*100+MONTH(D269))</f>
        <v/>
      </c>
      <c r="R269">
        <f>IF(AND(D269&lt;&gt;"",N269="Oui"),1,0)</f>
        <v/>
      </c>
    </row>
    <row r="270">
      <c r="D270" s="3" t="n"/>
      <c r="O270">
        <f>IF(OR(D270="",M270=""),0,IF(N270="Oui",M270,0))</f>
        <v/>
      </c>
      <c r="P270">
        <f>IF(OR(D270="",M270=""),0,IF(N270="Non",M270,0))</f>
        <v/>
      </c>
      <c r="Q270">
        <f>IF(D270="","",YEAR(D270)*100+MONTH(D270))</f>
        <v/>
      </c>
      <c r="R270">
        <f>IF(AND(D270&lt;&gt;"",N270="Oui"),1,0)</f>
        <v/>
      </c>
    </row>
    <row r="271">
      <c r="D271" s="3" t="n"/>
      <c r="O271">
        <f>IF(OR(D271="",M271=""),0,IF(N271="Oui",M271,0))</f>
        <v/>
      </c>
      <c r="P271">
        <f>IF(OR(D271="",M271=""),0,IF(N271="Non",M271,0))</f>
        <v/>
      </c>
      <c r="Q271">
        <f>IF(D271="","",YEAR(D271)*100+MONTH(D271))</f>
        <v/>
      </c>
      <c r="R271">
        <f>IF(AND(D271&lt;&gt;"",N271="Oui"),1,0)</f>
        <v/>
      </c>
    </row>
    <row r="272">
      <c r="D272" s="3" t="n"/>
      <c r="O272">
        <f>IF(OR(D272="",M272=""),0,IF(N272="Oui",M272,0))</f>
        <v/>
      </c>
      <c r="P272">
        <f>IF(OR(D272="",M272=""),0,IF(N272="Non",M272,0))</f>
        <v/>
      </c>
      <c r="Q272">
        <f>IF(D272="","",YEAR(D272)*100+MONTH(D272))</f>
        <v/>
      </c>
      <c r="R272">
        <f>IF(AND(D272&lt;&gt;"",N272="Oui"),1,0)</f>
        <v/>
      </c>
    </row>
    <row r="273">
      <c r="D273" s="3" t="n"/>
      <c r="O273">
        <f>IF(OR(D273="",M273=""),0,IF(N273="Oui",M273,0))</f>
        <v/>
      </c>
      <c r="P273">
        <f>IF(OR(D273="",M273=""),0,IF(N273="Non",M273,0))</f>
        <v/>
      </c>
      <c r="Q273">
        <f>IF(D273="","",YEAR(D273)*100+MONTH(D273))</f>
        <v/>
      </c>
      <c r="R273">
        <f>IF(AND(D273&lt;&gt;"",N273="Oui"),1,0)</f>
        <v/>
      </c>
    </row>
    <row r="274">
      <c r="D274" s="3" t="n"/>
      <c r="O274">
        <f>IF(OR(D274="",M274=""),0,IF(N274="Oui",M274,0))</f>
        <v/>
      </c>
      <c r="P274">
        <f>IF(OR(D274="",M274=""),0,IF(N274="Non",M274,0))</f>
        <v/>
      </c>
      <c r="Q274">
        <f>IF(D274="","",YEAR(D274)*100+MONTH(D274))</f>
        <v/>
      </c>
      <c r="R274">
        <f>IF(AND(D274&lt;&gt;"",N274="Oui"),1,0)</f>
        <v/>
      </c>
    </row>
    <row r="275">
      <c r="D275" s="3" t="n"/>
      <c r="O275">
        <f>IF(OR(D275="",M275=""),0,IF(N275="Oui",M275,0))</f>
        <v/>
      </c>
      <c r="P275">
        <f>IF(OR(D275="",M275=""),0,IF(N275="Non",M275,0))</f>
        <v/>
      </c>
      <c r="Q275">
        <f>IF(D275="","",YEAR(D275)*100+MONTH(D275))</f>
        <v/>
      </c>
      <c r="R275">
        <f>IF(AND(D275&lt;&gt;"",N275="Oui"),1,0)</f>
        <v/>
      </c>
    </row>
    <row r="276">
      <c r="D276" s="3" t="n"/>
      <c r="O276">
        <f>IF(OR(D276="",M276=""),0,IF(N276="Oui",M276,0))</f>
        <v/>
      </c>
      <c r="P276">
        <f>IF(OR(D276="",M276=""),0,IF(N276="Non",M276,0))</f>
        <v/>
      </c>
      <c r="Q276">
        <f>IF(D276="","",YEAR(D276)*100+MONTH(D276))</f>
        <v/>
      </c>
      <c r="R276">
        <f>IF(AND(D276&lt;&gt;"",N276="Oui"),1,0)</f>
        <v/>
      </c>
    </row>
    <row r="277">
      <c r="D277" s="3" t="n"/>
      <c r="O277">
        <f>IF(OR(D277="",M277=""),0,IF(N277="Oui",M277,0))</f>
        <v/>
      </c>
      <c r="P277">
        <f>IF(OR(D277="",M277=""),0,IF(N277="Non",M277,0))</f>
        <v/>
      </c>
      <c r="Q277">
        <f>IF(D277="","",YEAR(D277)*100+MONTH(D277))</f>
        <v/>
      </c>
      <c r="R277">
        <f>IF(AND(D277&lt;&gt;"",N277="Oui"),1,0)</f>
        <v/>
      </c>
    </row>
    <row r="278">
      <c r="D278" s="3" t="n"/>
      <c r="O278">
        <f>IF(OR(D278="",M278=""),0,IF(N278="Oui",M278,0))</f>
        <v/>
      </c>
      <c r="P278">
        <f>IF(OR(D278="",M278=""),0,IF(N278="Non",M278,0))</f>
        <v/>
      </c>
      <c r="Q278">
        <f>IF(D278="","",YEAR(D278)*100+MONTH(D278))</f>
        <v/>
      </c>
      <c r="R278">
        <f>IF(AND(D278&lt;&gt;"",N278="Oui"),1,0)</f>
        <v/>
      </c>
    </row>
    <row r="279">
      <c r="D279" s="3" t="n"/>
      <c r="O279">
        <f>IF(OR(D279="",M279=""),0,IF(N279="Oui",M279,0))</f>
        <v/>
      </c>
      <c r="P279">
        <f>IF(OR(D279="",M279=""),0,IF(N279="Non",M279,0))</f>
        <v/>
      </c>
      <c r="Q279">
        <f>IF(D279="","",YEAR(D279)*100+MONTH(D279))</f>
        <v/>
      </c>
      <c r="R279">
        <f>IF(AND(D279&lt;&gt;"",N279="Oui"),1,0)</f>
        <v/>
      </c>
    </row>
    <row r="280">
      <c r="D280" s="3" t="n"/>
      <c r="O280">
        <f>IF(OR(D280="",M280=""),0,IF(N280="Oui",M280,0))</f>
        <v/>
      </c>
      <c r="P280">
        <f>IF(OR(D280="",M280=""),0,IF(N280="Non",M280,0))</f>
        <v/>
      </c>
      <c r="Q280">
        <f>IF(D280="","",YEAR(D280)*100+MONTH(D280))</f>
        <v/>
      </c>
      <c r="R280">
        <f>IF(AND(D280&lt;&gt;"",N280="Oui"),1,0)</f>
        <v/>
      </c>
    </row>
    <row r="281">
      <c r="D281" s="3" t="n"/>
      <c r="O281">
        <f>IF(OR(D281="",M281=""),0,IF(N281="Oui",M281,0))</f>
        <v/>
      </c>
      <c r="P281">
        <f>IF(OR(D281="",M281=""),0,IF(N281="Non",M281,0))</f>
        <v/>
      </c>
      <c r="Q281">
        <f>IF(D281="","",YEAR(D281)*100+MONTH(D281))</f>
        <v/>
      </c>
      <c r="R281">
        <f>IF(AND(D281&lt;&gt;"",N281="Oui"),1,0)</f>
        <v/>
      </c>
    </row>
    <row r="282">
      <c r="D282" s="3" t="n"/>
      <c r="O282">
        <f>IF(OR(D282="",M282=""),0,IF(N282="Oui",M282,0))</f>
        <v/>
      </c>
      <c r="P282">
        <f>IF(OR(D282="",M282=""),0,IF(N282="Non",M282,0))</f>
        <v/>
      </c>
      <c r="Q282">
        <f>IF(D282="","",YEAR(D282)*100+MONTH(D282))</f>
        <v/>
      </c>
      <c r="R282">
        <f>IF(AND(D282&lt;&gt;"",N282="Oui"),1,0)</f>
        <v/>
      </c>
    </row>
    <row r="283">
      <c r="D283" s="3" t="n"/>
      <c r="O283">
        <f>IF(OR(D283="",M283=""),0,IF(N283="Oui",M283,0))</f>
        <v/>
      </c>
      <c r="P283">
        <f>IF(OR(D283="",M283=""),0,IF(N283="Non",M283,0))</f>
        <v/>
      </c>
      <c r="Q283">
        <f>IF(D283="","",YEAR(D283)*100+MONTH(D283))</f>
        <v/>
      </c>
      <c r="R283">
        <f>IF(AND(D283&lt;&gt;"",N283="Oui"),1,0)</f>
        <v/>
      </c>
    </row>
    <row r="284">
      <c r="D284" s="3" t="n"/>
      <c r="O284">
        <f>IF(OR(D284="",M284=""),0,IF(N284="Oui",M284,0))</f>
        <v/>
      </c>
      <c r="P284">
        <f>IF(OR(D284="",M284=""),0,IF(N284="Non",M284,0))</f>
        <v/>
      </c>
      <c r="Q284">
        <f>IF(D284="","",YEAR(D284)*100+MONTH(D284))</f>
        <v/>
      </c>
      <c r="R284">
        <f>IF(AND(D284&lt;&gt;"",N284="Oui"),1,0)</f>
        <v/>
      </c>
    </row>
    <row r="285">
      <c r="D285" s="3" t="n"/>
      <c r="O285">
        <f>IF(OR(D285="",M285=""),0,IF(N285="Oui",M285,0))</f>
        <v/>
      </c>
      <c r="P285">
        <f>IF(OR(D285="",M285=""),0,IF(N285="Non",M285,0))</f>
        <v/>
      </c>
      <c r="Q285">
        <f>IF(D285="","",YEAR(D285)*100+MONTH(D285))</f>
        <v/>
      </c>
      <c r="R285">
        <f>IF(AND(D285&lt;&gt;"",N285="Oui"),1,0)</f>
        <v/>
      </c>
    </row>
    <row r="286">
      <c r="D286" s="3" t="n"/>
      <c r="O286">
        <f>IF(OR(D286="",M286=""),0,IF(N286="Oui",M286,0))</f>
        <v/>
      </c>
      <c r="P286">
        <f>IF(OR(D286="",M286=""),0,IF(N286="Non",M286,0))</f>
        <v/>
      </c>
      <c r="Q286">
        <f>IF(D286="","",YEAR(D286)*100+MONTH(D286))</f>
        <v/>
      </c>
      <c r="R286">
        <f>IF(AND(D286&lt;&gt;"",N286="Oui"),1,0)</f>
        <v/>
      </c>
    </row>
    <row r="287">
      <c r="D287" s="3" t="n"/>
      <c r="O287">
        <f>IF(OR(D287="",M287=""),0,IF(N287="Oui",M287,0))</f>
        <v/>
      </c>
      <c r="P287">
        <f>IF(OR(D287="",M287=""),0,IF(N287="Non",M287,0))</f>
        <v/>
      </c>
      <c r="Q287">
        <f>IF(D287="","",YEAR(D287)*100+MONTH(D287))</f>
        <v/>
      </c>
      <c r="R287">
        <f>IF(AND(D287&lt;&gt;"",N287="Oui"),1,0)</f>
        <v/>
      </c>
    </row>
    <row r="288">
      <c r="D288" s="3" t="n"/>
      <c r="O288">
        <f>IF(OR(D288="",M288=""),0,IF(N288="Oui",M288,0))</f>
        <v/>
      </c>
      <c r="P288">
        <f>IF(OR(D288="",M288=""),0,IF(N288="Non",M288,0))</f>
        <v/>
      </c>
      <c r="Q288">
        <f>IF(D288="","",YEAR(D288)*100+MONTH(D288))</f>
        <v/>
      </c>
      <c r="R288">
        <f>IF(AND(D288&lt;&gt;"",N288="Oui"),1,0)</f>
        <v/>
      </c>
    </row>
    <row r="289">
      <c r="D289" s="3" t="n"/>
      <c r="O289">
        <f>IF(OR(D289="",M289=""),0,IF(N289="Oui",M289,0))</f>
        <v/>
      </c>
      <c r="P289">
        <f>IF(OR(D289="",M289=""),0,IF(N289="Non",M289,0))</f>
        <v/>
      </c>
      <c r="Q289">
        <f>IF(D289="","",YEAR(D289)*100+MONTH(D289))</f>
        <v/>
      </c>
      <c r="R289">
        <f>IF(AND(D289&lt;&gt;"",N289="Oui"),1,0)</f>
        <v/>
      </c>
    </row>
    <row r="290">
      <c r="D290" s="3" t="n"/>
      <c r="O290">
        <f>IF(OR(D290="",M290=""),0,IF(N290="Oui",M290,0))</f>
        <v/>
      </c>
      <c r="P290">
        <f>IF(OR(D290="",M290=""),0,IF(N290="Non",M290,0))</f>
        <v/>
      </c>
      <c r="Q290">
        <f>IF(D290="","",YEAR(D290)*100+MONTH(D290))</f>
        <v/>
      </c>
      <c r="R290">
        <f>IF(AND(D290&lt;&gt;"",N290="Oui"),1,0)</f>
        <v/>
      </c>
    </row>
    <row r="291">
      <c r="D291" s="3" t="n"/>
      <c r="O291">
        <f>IF(OR(D291="",M291=""),0,IF(N291="Oui",M291,0))</f>
        <v/>
      </c>
      <c r="P291">
        <f>IF(OR(D291="",M291=""),0,IF(N291="Non",M291,0))</f>
        <v/>
      </c>
      <c r="Q291">
        <f>IF(D291="","",YEAR(D291)*100+MONTH(D291))</f>
        <v/>
      </c>
      <c r="R291">
        <f>IF(AND(D291&lt;&gt;"",N291="Oui"),1,0)</f>
        <v/>
      </c>
    </row>
    <row r="292">
      <c r="D292" s="3" t="n"/>
      <c r="O292">
        <f>IF(OR(D292="",M292=""),0,IF(N292="Oui",M292,0))</f>
        <v/>
      </c>
      <c r="P292">
        <f>IF(OR(D292="",M292=""),0,IF(N292="Non",M292,0))</f>
        <v/>
      </c>
      <c r="Q292">
        <f>IF(D292="","",YEAR(D292)*100+MONTH(D292))</f>
        <v/>
      </c>
      <c r="R292">
        <f>IF(AND(D292&lt;&gt;"",N292="Oui"),1,0)</f>
        <v/>
      </c>
    </row>
    <row r="293">
      <c r="D293" s="3" t="n"/>
      <c r="O293">
        <f>IF(OR(D293="",M293=""),0,IF(N293="Oui",M293,0))</f>
        <v/>
      </c>
      <c r="P293">
        <f>IF(OR(D293="",M293=""),0,IF(N293="Non",M293,0))</f>
        <v/>
      </c>
      <c r="Q293">
        <f>IF(D293="","",YEAR(D293)*100+MONTH(D293))</f>
        <v/>
      </c>
      <c r="R293">
        <f>IF(AND(D293&lt;&gt;"",N293="Oui"),1,0)</f>
        <v/>
      </c>
    </row>
    <row r="294">
      <c r="D294" s="3" t="n"/>
      <c r="O294">
        <f>IF(OR(D294="",M294=""),0,IF(N294="Oui",M294,0))</f>
        <v/>
      </c>
      <c r="P294">
        <f>IF(OR(D294="",M294=""),0,IF(N294="Non",M294,0))</f>
        <v/>
      </c>
      <c r="Q294">
        <f>IF(D294="","",YEAR(D294)*100+MONTH(D294))</f>
        <v/>
      </c>
      <c r="R294">
        <f>IF(AND(D294&lt;&gt;"",N294="Oui"),1,0)</f>
        <v/>
      </c>
    </row>
    <row r="295">
      <c r="D295" s="3" t="n"/>
      <c r="O295">
        <f>IF(OR(D295="",M295=""),0,IF(N295="Oui",M295,0))</f>
        <v/>
      </c>
      <c r="P295">
        <f>IF(OR(D295="",M295=""),0,IF(N295="Non",M295,0))</f>
        <v/>
      </c>
      <c r="Q295">
        <f>IF(D295="","",YEAR(D295)*100+MONTH(D295))</f>
        <v/>
      </c>
      <c r="R295">
        <f>IF(AND(D295&lt;&gt;"",N295="Oui"),1,0)</f>
        <v/>
      </c>
    </row>
    <row r="296">
      <c r="D296" s="3" t="n"/>
      <c r="O296">
        <f>IF(OR(D296="",M296=""),0,IF(N296="Oui",M296,0))</f>
        <v/>
      </c>
      <c r="P296">
        <f>IF(OR(D296="",M296=""),0,IF(N296="Non",M296,0))</f>
        <v/>
      </c>
      <c r="Q296">
        <f>IF(D296="","",YEAR(D296)*100+MONTH(D296))</f>
        <v/>
      </c>
      <c r="R296">
        <f>IF(AND(D296&lt;&gt;"",N296="Oui"),1,0)</f>
        <v/>
      </c>
    </row>
    <row r="297">
      <c r="D297" s="3" t="n"/>
      <c r="O297">
        <f>IF(OR(D297="",M297=""),0,IF(N297="Oui",M297,0))</f>
        <v/>
      </c>
      <c r="P297">
        <f>IF(OR(D297="",M297=""),0,IF(N297="Non",M297,0))</f>
        <v/>
      </c>
      <c r="Q297">
        <f>IF(D297="","",YEAR(D297)*100+MONTH(D297))</f>
        <v/>
      </c>
      <c r="R297">
        <f>IF(AND(D297&lt;&gt;"",N297="Oui"),1,0)</f>
        <v/>
      </c>
    </row>
    <row r="298">
      <c r="D298" s="3" t="n"/>
      <c r="O298">
        <f>IF(OR(D298="",M298=""),0,IF(N298="Oui",M298,0))</f>
        <v/>
      </c>
      <c r="P298">
        <f>IF(OR(D298="",M298=""),0,IF(N298="Non",M298,0))</f>
        <v/>
      </c>
      <c r="Q298">
        <f>IF(D298="","",YEAR(D298)*100+MONTH(D298))</f>
        <v/>
      </c>
      <c r="R298">
        <f>IF(AND(D298&lt;&gt;"",N298="Oui"),1,0)</f>
        <v/>
      </c>
    </row>
    <row r="299">
      <c r="D299" s="3" t="n"/>
      <c r="O299">
        <f>IF(OR(D299="",M299=""),0,IF(N299="Oui",M299,0))</f>
        <v/>
      </c>
      <c r="P299">
        <f>IF(OR(D299="",M299=""),0,IF(N299="Non",M299,0))</f>
        <v/>
      </c>
      <c r="Q299">
        <f>IF(D299="","",YEAR(D299)*100+MONTH(D299))</f>
        <v/>
      </c>
      <c r="R299">
        <f>IF(AND(D299&lt;&gt;"",N299="Oui"),1,0)</f>
        <v/>
      </c>
    </row>
    <row r="300">
      <c r="D300" s="3" t="n"/>
      <c r="O300">
        <f>IF(OR(D300="",M300=""),0,IF(N300="Oui",M300,0))</f>
        <v/>
      </c>
      <c r="P300">
        <f>IF(OR(D300="",M300=""),0,IF(N300="Non",M300,0))</f>
        <v/>
      </c>
      <c r="Q300">
        <f>IF(D300="","",YEAR(D300)*100+MONTH(D300))</f>
        <v/>
      </c>
      <c r="R300">
        <f>IF(AND(D300&lt;&gt;"",N300="Oui"),1,0)</f>
        <v/>
      </c>
    </row>
    <row r="301">
      <c r="D301" s="3" t="n"/>
      <c r="O301">
        <f>IF(OR(D301="",M301=""),0,IF(N301="Oui",M301,0))</f>
        <v/>
      </c>
      <c r="P301">
        <f>IF(OR(D301="",M301=""),0,IF(N301="Non",M301,0))</f>
        <v/>
      </c>
      <c r="Q301">
        <f>IF(D301="","",YEAR(D301)*100+MONTH(D301))</f>
        <v/>
      </c>
      <c r="R301">
        <f>IF(AND(D301&lt;&gt;"",N301="Oui"),1,0)</f>
        <v/>
      </c>
    </row>
    <row r="302">
      <c r="D302" s="3" t="n"/>
      <c r="O302">
        <f>IF(OR(D302="",M302=""),0,IF(N302="Oui",M302,0))</f>
        <v/>
      </c>
      <c r="P302">
        <f>IF(OR(D302="",M302=""),0,IF(N302="Non",M302,0))</f>
        <v/>
      </c>
      <c r="Q302">
        <f>IF(D302="","",YEAR(D302)*100+MONTH(D302))</f>
        <v/>
      </c>
      <c r="R302">
        <f>IF(AND(D302&lt;&gt;"",N302="Oui"),1,0)</f>
        <v/>
      </c>
    </row>
    <row r="303">
      <c r="D303" s="3" t="n"/>
      <c r="O303">
        <f>IF(OR(D303="",M303=""),0,IF(N303="Oui",M303,0))</f>
        <v/>
      </c>
      <c r="P303">
        <f>IF(OR(D303="",M303=""),0,IF(N303="Non",M303,0))</f>
        <v/>
      </c>
      <c r="Q303">
        <f>IF(D303="","",YEAR(D303)*100+MONTH(D303))</f>
        <v/>
      </c>
      <c r="R303">
        <f>IF(AND(D303&lt;&gt;"",N303="Oui"),1,0)</f>
        <v/>
      </c>
    </row>
    <row r="304">
      <c r="D304" s="3" t="n"/>
      <c r="O304">
        <f>IF(OR(D304="",M304=""),0,IF(N304="Oui",M304,0))</f>
        <v/>
      </c>
      <c r="P304">
        <f>IF(OR(D304="",M304=""),0,IF(N304="Non",M304,0))</f>
        <v/>
      </c>
      <c r="Q304">
        <f>IF(D304="","",YEAR(D304)*100+MONTH(D304))</f>
        <v/>
      </c>
      <c r="R304">
        <f>IF(AND(D304&lt;&gt;"",N304="Oui"),1,0)</f>
        <v/>
      </c>
    </row>
    <row r="305">
      <c r="D305" s="3" t="n"/>
      <c r="O305">
        <f>IF(OR(D305="",M305=""),0,IF(N305="Oui",M305,0))</f>
        <v/>
      </c>
      <c r="P305">
        <f>IF(OR(D305="",M305=""),0,IF(N305="Non",M305,0))</f>
        <v/>
      </c>
      <c r="Q305">
        <f>IF(D305="","",YEAR(D305)*100+MONTH(D305))</f>
        <v/>
      </c>
      <c r="R305">
        <f>IF(AND(D305&lt;&gt;"",N305="Oui"),1,0)</f>
        <v/>
      </c>
    </row>
    <row r="306">
      <c r="D306" s="3" t="n"/>
      <c r="O306">
        <f>IF(OR(D306="",M306=""),0,IF(N306="Oui",M306,0))</f>
        <v/>
      </c>
      <c r="P306">
        <f>IF(OR(D306="",M306=""),0,IF(N306="Non",M306,0))</f>
        <v/>
      </c>
      <c r="Q306">
        <f>IF(D306="","",YEAR(D306)*100+MONTH(D306))</f>
        <v/>
      </c>
      <c r="R306">
        <f>IF(AND(D306&lt;&gt;"",N306="Oui"),1,0)</f>
        <v/>
      </c>
    </row>
    <row r="307">
      <c r="D307" s="3" t="n"/>
      <c r="O307">
        <f>IF(OR(D307="",M307=""),0,IF(N307="Oui",M307,0))</f>
        <v/>
      </c>
      <c r="P307">
        <f>IF(OR(D307="",M307=""),0,IF(N307="Non",M307,0))</f>
        <v/>
      </c>
      <c r="Q307">
        <f>IF(D307="","",YEAR(D307)*100+MONTH(D307))</f>
        <v/>
      </c>
      <c r="R307">
        <f>IF(AND(D307&lt;&gt;"",N307="Oui"),1,0)</f>
        <v/>
      </c>
    </row>
    <row r="308">
      <c r="D308" s="3" t="n"/>
      <c r="O308">
        <f>IF(OR(D308="",M308=""),0,IF(N308="Oui",M308,0))</f>
        <v/>
      </c>
      <c r="P308">
        <f>IF(OR(D308="",M308=""),0,IF(N308="Non",M308,0))</f>
        <v/>
      </c>
      <c r="Q308">
        <f>IF(D308="","",YEAR(D308)*100+MONTH(D308))</f>
        <v/>
      </c>
      <c r="R308">
        <f>IF(AND(D308&lt;&gt;"",N308="Oui"),1,0)</f>
        <v/>
      </c>
    </row>
    <row r="309">
      <c r="D309" s="3" t="n"/>
      <c r="O309">
        <f>IF(OR(D309="",M309=""),0,IF(N309="Oui",M309,0))</f>
        <v/>
      </c>
      <c r="P309">
        <f>IF(OR(D309="",M309=""),0,IF(N309="Non",M309,0))</f>
        <v/>
      </c>
      <c r="Q309">
        <f>IF(D309="","",YEAR(D309)*100+MONTH(D309))</f>
        <v/>
      </c>
      <c r="R309">
        <f>IF(AND(D309&lt;&gt;"",N309="Oui"),1,0)</f>
        <v/>
      </c>
    </row>
    <row r="310">
      <c r="D310" s="3" t="n"/>
      <c r="O310">
        <f>IF(OR(D310="",M310=""),0,IF(N310="Oui",M310,0))</f>
        <v/>
      </c>
      <c r="P310">
        <f>IF(OR(D310="",M310=""),0,IF(N310="Non",M310,0))</f>
        <v/>
      </c>
      <c r="Q310">
        <f>IF(D310="","",YEAR(D310)*100+MONTH(D310))</f>
        <v/>
      </c>
      <c r="R310">
        <f>IF(AND(D310&lt;&gt;"",N310="Oui"),1,0)</f>
        <v/>
      </c>
    </row>
    <row r="311">
      <c r="D311" s="3" t="n"/>
      <c r="O311">
        <f>IF(OR(D311="",M311=""),0,IF(N311="Oui",M311,0))</f>
        <v/>
      </c>
      <c r="P311">
        <f>IF(OR(D311="",M311=""),0,IF(N311="Non",M311,0))</f>
        <v/>
      </c>
      <c r="Q311">
        <f>IF(D311="","",YEAR(D311)*100+MONTH(D311))</f>
        <v/>
      </c>
      <c r="R311">
        <f>IF(AND(D311&lt;&gt;"",N311="Oui"),1,0)</f>
        <v/>
      </c>
    </row>
    <row r="312">
      <c r="D312" s="3" t="n"/>
      <c r="O312">
        <f>IF(OR(D312="",M312=""),0,IF(N312="Oui",M312,0))</f>
        <v/>
      </c>
      <c r="P312">
        <f>IF(OR(D312="",M312=""),0,IF(N312="Non",M312,0))</f>
        <v/>
      </c>
      <c r="Q312">
        <f>IF(D312="","",YEAR(D312)*100+MONTH(D312))</f>
        <v/>
      </c>
      <c r="R312">
        <f>IF(AND(D312&lt;&gt;"",N312="Oui"),1,0)</f>
        <v/>
      </c>
    </row>
    <row r="313">
      <c r="D313" s="3" t="n"/>
      <c r="O313">
        <f>IF(OR(D313="",M313=""),0,IF(N313="Oui",M313,0))</f>
        <v/>
      </c>
      <c r="P313">
        <f>IF(OR(D313="",M313=""),0,IF(N313="Non",M313,0))</f>
        <v/>
      </c>
      <c r="Q313">
        <f>IF(D313="","",YEAR(D313)*100+MONTH(D313))</f>
        <v/>
      </c>
      <c r="R313">
        <f>IF(AND(D313&lt;&gt;"",N313="Oui"),1,0)</f>
        <v/>
      </c>
    </row>
    <row r="314">
      <c r="D314" s="3" t="n"/>
      <c r="O314">
        <f>IF(OR(D314="",M314=""),0,IF(N314="Oui",M314,0))</f>
        <v/>
      </c>
      <c r="P314">
        <f>IF(OR(D314="",M314=""),0,IF(N314="Non",M314,0))</f>
        <v/>
      </c>
      <c r="Q314">
        <f>IF(D314="","",YEAR(D314)*100+MONTH(D314))</f>
        <v/>
      </c>
      <c r="R314">
        <f>IF(AND(D314&lt;&gt;"",N314="Oui"),1,0)</f>
        <v/>
      </c>
    </row>
    <row r="315">
      <c r="D315" s="3" t="n"/>
      <c r="O315">
        <f>IF(OR(D315="",M315=""),0,IF(N315="Oui",M315,0))</f>
        <v/>
      </c>
      <c r="P315">
        <f>IF(OR(D315="",M315=""),0,IF(N315="Non",M315,0))</f>
        <v/>
      </c>
      <c r="Q315">
        <f>IF(D315="","",YEAR(D315)*100+MONTH(D315))</f>
        <v/>
      </c>
      <c r="R315">
        <f>IF(AND(D315&lt;&gt;"",N315="Oui"),1,0)</f>
        <v/>
      </c>
    </row>
    <row r="316">
      <c r="D316" s="3" t="n"/>
      <c r="O316">
        <f>IF(OR(D316="",M316=""),0,IF(N316="Oui",M316,0))</f>
        <v/>
      </c>
      <c r="P316">
        <f>IF(OR(D316="",M316=""),0,IF(N316="Non",M316,0))</f>
        <v/>
      </c>
      <c r="Q316">
        <f>IF(D316="","",YEAR(D316)*100+MONTH(D316))</f>
        <v/>
      </c>
      <c r="R316">
        <f>IF(AND(D316&lt;&gt;"",N316="Oui"),1,0)</f>
        <v/>
      </c>
    </row>
    <row r="317">
      <c r="D317" s="3" t="n"/>
      <c r="O317">
        <f>IF(OR(D317="",M317=""),0,IF(N317="Oui",M317,0))</f>
        <v/>
      </c>
      <c r="P317">
        <f>IF(OR(D317="",M317=""),0,IF(N317="Non",M317,0))</f>
        <v/>
      </c>
      <c r="Q317">
        <f>IF(D317="","",YEAR(D317)*100+MONTH(D317))</f>
        <v/>
      </c>
      <c r="R317">
        <f>IF(AND(D317&lt;&gt;"",N317="Oui"),1,0)</f>
        <v/>
      </c>
    </row>
    <row r="318">
      <c r="D318" s="3" t="n"/>
      <c r="O318">
        <f>IF(OR(D318="",M318=""),0,IF(N318="Oui",M318,0))</f>
        <v/>
      </c>
      <c r="P318">
        <f>IF(OR(D318="",M318=""),0,IF(N318="Non",M318,0))</f>
        <v/>
      </c>
      <c r="Q318">
        <f>IF(D318="","",YEAR(D318)*100+MONTH(D318))</f>
        <v/>
      </c>
      <c r="R318">
        <f>IF(AND(D318&lt;&gt;"",N318="Oui"),1,0)</f>
        <v/>
      </c>
    </row>
    <row r="319">
      <c r="D319" s="3" t="n"/>
      <c r="O319">
        <f>IF(OR(D319="",M319=""),0,IF(N319="Oui",M319,0))</f>
        <v/>
      </c>
      <c r="P319">
        <f>IF(OR(D319="",M319=""),0,IF(N319="Non",M319,0))</f>
        <v/>
      </c>
      <c r="Q319">
        <f>IF(D319="","",YEAR(D319)*100+MONTH(D319))</f>
        <v/>
      </c>
      <c r="R319">
        <f>IF(AND(D319&lt;&gt;"",N319="Oui"),1,0)</f>
        <v/>
      </c>
    </row>
    <row r="320">
      <c r="D320" s="3" t="n"/>
      <c r="O320">
        <f>IF(OR(D320="",M320=""),0,IF(N320="Oui",M320,0))</f>
        <v/>
      </c>
      <c r="P320">
        <f>IF(OR(D320="",M320=""),0,IF(N320="Non",M320,0))</f>
        <v/>
      </c>
      <c r="Q320">
        <f>IF(D320="","",YEAR(D320)*100+MONTH(D320))</f>
        <v/>
      </c>
      <c r="R320">
        <f>IF(AND(D320&lt;&gt;"",N320="Oui"),1,0)</f>
        <v/>
      </c>
    </row>
    <row r="321">
      <c r="D321" s="3" t="n"/>
      <c r="O321">
        <f>IF(OR(D321="",M321=""),0,IF(N321="Oui",M321,0))</f>
        <v/>
      </c>
      <c r="P321">
        <f>IF(OR(D321="",M321=""),0,IF(N321="Non",M321,0))</f>
        <v/>
      </c>
      <c r="Q321">
        <f>IF(D321="","",YEAR(D321)*100+MONTH(D321))</f>
        <v/>
      </c>
      <c r="R321">
        <f>IF(AND(D321&lt;&gt;"",N321="Oui"),1,0)</f>
        <v/>
      </c>
    </row>
    <row r="322">
      <c r="D322" s="3" t="n"/>
      <c r="O322">
        <f>IF(OR(D322="",M322=""),0,IF(N322="Oui",M322,0))</f>
        <v/>
      </c>
      <c r="P322">
        <f>IF(OR(D322="",M322=""),0,IF(N322="Non",M322,0))</f>
        <v/>
      </c>
      <c r="Q322">
        <f>IF(D322="","",YEAR(D322)*100+MONTH(D322))</f>
        <v/>
      </c>
      <c r="R322">
        <f>IF(AND(D322&lt;&gt;"",N322="Oui"),1,0)</f>
        <v/>
      </c>
    </row>
    <row r="323">
      <c r="D323" s="3" t="n"/>
      <c r="O323">
        <f>IF(OR(D323="",M323=""),0,IF(N323="Oui",M323,0))</f>
        <v/>
      </c>
      <c r="P323">
        <f>IF(OR(D323="",M323=""),0,IF(N323="Non",M323,0))</f>
        <v/>
      </c>
      <c r="Q323">
        <f>IF(D323="","",YEAR(D323)*100+MONTH(D323))</f>
        <v/>
      </c>
      <c r="R323">
        <f>IF(AND(D323&lt;&gt;"",N323="Oui"),1,0)</f>
        <v/>
      </c>
    </row>
    <row r="324">
      <c r="D324" s="3" t="n"/>
      <c r="O324">
        <f>IF(OR(D324="",M324=""),0,IF(N324="Oui",M324,0))</f>
        <v/>
      </c>
      <c r="P324">
        <f>IF(OR(D324="",M324=""),0,IF(N324="Non",M324,0))</f>
        <v/>
      </c>
      <c r="Q324">
        <f>IF(D324="","",YEAR(D324)*100+MONTH(D324))</f>
        <v/>
      </c>
      <c r="R324">
        <f>IF(AND(D324&lt;&gt;"",N324="Oui"),1,0)</f>
        <v/>
      </c>
    </row>
    <row r="325">
      <c r="D325" s="3" t="n"/>
      <c r="O325">
        <f>IF(OR(D325="",M325=""),0,IF(N325="Oui",M325,0))</f>
        <v/>
      </c>
      <c r="P325">
        <f>IF(OR(D325="",M325=""),0,IF(N325="Non",M325,0))</f>
        <v/>
      </c>
      <c r="Q325">
        <f>IF(D325="","",YEAR(D325)*100+MONTH(D325))</f>
        <v/>
      </c>
      <c r="R325">
        <f>IF(AND(D325&lt;&gt;"",N325="Oui"),1,0)</f>
        <v/>
      </c>
    </row>
    <row r="326">
      <c r="D326" s="3" t="n"/>
      <c r="O326">
        <f>IF(OR(D326="",M326=""),0,IF(N326="Oui",M326,0))</f>
        <v/>
      </c>
      <c r="P326">
        <f>IF(OR(D326="",M326=""),0,IF(N326="Non",M326,0))</f>
        <v/>
      </c>
      <c r="Q326">
        <f>IF(D326="","",YEAR(D326)*100+MONTH(D326))</f>
        <v/>
      </c>
      <c r="R326">
        <f>IF(AND(D326&lt;&gt;"",N326="Oui"),1,0)</f>
        <v/>
      </c>
    </row>
    <row r="327">
      <c r="D327" s="3" t="n"/>
      <c r="O327">
        <f>IF(OR(D327="",M327=""),0,IF(N327="Oui",M327,0))</f>
        <v/>
      </c>
      <c r="P327">
        <f>IF(OR(D327="",M327=""),0,IF(N327="Non",M327,0))</f>
        <v/>
      </c>
      <c r="Q327">
        <f>IF(D327="","",YEAR(D327)*100+MONTH(D327))</f>
        <v/>
      </c>
      <c r="R327">
        <f>IF(AND(D327&lt;&gt;"",N327="Oui"),1,0)</f>
        <v/>
      </c>
    </row>
    <row r="328">
      <c r="D328" s="3" t="n"/>
      <c r="O328">
        <f>IF(OR(D328="",M328=""),0,IF(N328="Oui",M328,0))</f>
        <v/>
      </c>
      <c r="P328">
        <f>IF(OR(D328="",M328=""),0,IF(N328="Non",M328,0))</f>
        <v/>
      </c>
      <c r="Q328">
        <f>IF(D328="","",YEAR(D328)*100+MONTH(D328))</f>
        <v/>
      </c>
      <c r="R328">
        <f>IF(AND(D328&lt;&gt;"",N328="Oui"),1,0)</f>
        <v/>
      </c>
    </row>
    <row r="329">
      <c r="D329" s="3" t="n"/>
      <c r="O329">
        <f>IF(OR(D329="",M329=""),0,IF(N329="Oui",M329,0))</f>
        <v/>
      </c>
      <c r="P329">
        <f>IF(OR(D329="",M329=""),0,IF(N329="Non",M329,0))</f>
        <v/>
      </c>
      <c r="Q329">
        <f>IF(D329="","",YEAR(D329)*100+MONTH(D329))</f>
        <v/>
      </c>
      <c r="R329">
        <f>IF(AND(D329&lt;&gt;"",N329="Oui"),1,0)</f>
        <v/>
      </c>
    </row>
    <row r="330">
      <c r="D330" s="3" t="n"/>
      <c r="O330">
        <f>IF(OR(D330="",M330=""),0,IF(N330="Oui",M330,0))</f>
        <v/>
      </c>
      <c r="P330">
        <f>IF(OR(D330="",M330=""),0,IF(N330="Non",M330,0))</f>
        <v/>
      </c>
      <c r="Q330">
        <f>IF(D330="","",YEAR(D330)*100+MONTH(D330))</f>
        <v/>
      </c>
      <c r="R330">
        <f>IF(AND(D330&lt;&gt;"",N330="Oui"),1,0)</f>
        <v/>
      </c>
    </row>
    <row r="331">
      <c r="D331" s="3" t="n"/>
      <c r="O331">
        <f>IF(OR(D331="",M331=""),0,IF(N331="Oui",M331,0))</f>
        <v/>
      </c>
      <c r="P331">
        <f>IF(OR(D331="",M331=""),0,IF(N331="Non",M331,0))</f>
        <v/>
      </c>
      <c r="Q331">
        <f>IF(D331="","",YEAR(D331)*100+MONTH(D331))</f>
        <v/>
      </c>
      <c r="R331">
        <f>IF(AND(D331&lt;&gt;"",N331="Oui"),1,0)</f>
        <v/>
      </c>
    </row>
    <row r="332">
      <c r="D332" s="3" t="n"/>
      <c r="O332">
        <f>IF(OR(D332="",M332=""),0,IF(N332="Oui",M332,0))</f>
        <v/>
      </c>
      <c r="P332">
        <f>IF(OR(D332="",M332=""),0,IF(N332="Non",M332,0))</f>
        <v/>
      </c>
      <c r="Q332">
        <f>IF(D332="","",YEAR(D332)*100+MONTH(D332))</f>
        <v/>
      </c>
      <c r="R332">
        <f>IF(AND(D332&lt;&gt;"",N332="Oui"),1,0)</f>
        <v/>
      </c>
    </row>
    <row r="333">
      <c r="D333" s="3" t="n"/>
      <c r="O333">
        <f>IF(OR(D333="",M333=""),0,IF(N333="Oui",M333,0))</f>
        <v/>
      </c>
      <c r="P333">
        <f>IF(OR(D333="",M333=""),0,IF(N333="Non",M333,0))</f>
        <v/>
      </c>
      <c r="Q333">
        <f>IF(D333="","",YEAR(D333)*100+MONTH(D333))</f>
        <v/>
      </c>
      <c r="R333">
        <f>IF(AND(D333&lt;&gt;"",N333="Oui"),1,0)</f>
        <v/>
      </c>
    </row>
    <row r="334">
      <c r="D334" s="3" t="n"/>
      <c r="O334">
        <f>IF(OR(D334="",M334=""),0,IF(N334="Oui",M334,0))</f>
        <v/>
      </c>
      <c r="P334">
        <f>IF(OR(D334="",M334=""),0,IF(N334="Non",M334,0))</f>
        <v/>
      </c>
      <c r="Q334">
        <f>IF(D334="","",YEAR(D334)*100+MONTH(D334))</f>
        <v/>
      </c>
      <c r="R334">
        <f>IF(AND(D334&lt;&gt;"",N334="Oui"),1,0)</f>
        <v/>
      </c>
    </row>
    <row r="335">
      <c r="D335" s="3" t="n"/>
      <c r="O335">
        <f>IF(OR(D335="",M335=""),0,IF(N335="Oui",M335,0))</f>
        <v/>
      </c>
      <c r="P335">
        <f>IF(OR(D335="",M335=""),0,IF(N335="Non",M335,0))</f>
        <v/>
      </c>
      <c r="Q335">
        <f>IF(D335="","",YEAR(D335)*100+MONTH(D335))</f>
        <v/>
      </c>
      <c r="R335">
        <f>IF(AND(D335&lt;&gt;"",N335="Oui"),1,0)</f>
        <v/>
      </c>
    </row>
    <row r="336">
      <c r="D336" s="3" t="n"/>
      <c r="O336">
        <f>IF(OR(D336="",M336=""),0,IF(N336="Oui",M336,0))</f>
        <v/>
      </c>
      <c r="P336">
        <f>IF(OR(D336="",M336=""),0,IF(N336="Non",M336,0))</f>
        <v/>
      </c>
      <c r="Q336">
        <f>IF(D336="","",YEAR(D336)*100+MONTH(D336))</f>
        <v/>
      </c>
      <c r="R336">
        <f>IF(AND(D336&lt;&gt;"",N336="Oui"),1,0)</f>
        <v/>
      </c>
    </row>
    <row r="337">
      <c r="D337" s="3" t="n"/>
      <c r="O337">
        <f>IF(OR(D337="",M337=""),0,IF(N337="Oui",M337,0))</f>
        <v/>
      </c>
      <c r="P337">
        <f>IF(OR(D337="",M337=""),0,IF(N337="Non",M337,0))</f>
        <v/>
      </c>
      <c r="Q337">
        <f>IF(D337="","",YEAR(D337)*100+MONTH(D337))</f>
        <v/>
      </c>
      <c r="R337">
        <f>IF(AND(D337&lt;&gt;"",N337="Oui"),1,0)</f>
        <v/>
      </c>
    </row>
    <row r="338">
      <c r="D338" s="3" t="n"/>
      <c r="O338">
        <f>IF(OR(D338="",M338=""),0,IF(N338="Oui",M338,0))</f>
        <v/>
      </c>
      <c r="P338">
        <f>IF(OR(D338="",M338=""),0,IF(N338="Non",M338,0))</f>
        <v/>
      </c>
      <c r="Q338">
        <f>IF(D338="","",YEAR(D338)*100+MONTH(D338))</f>
        <v/>
      </c>
      <c r="R338">
        <f>IF(AND(D338&lt;&gt;"",N338="Oui"),1,0)</f>
        <v/>
      </c>
    </row>
    <row r="339">
      <c r="D339" s="3" t="n"/>
      <c r="O339">
        <f>IF(OR(D339="",M339=""),0,IF(N339="Oui",M339,0))</f>
        <v/>
      </c>
      <c r="P339">
        <f>IF(OR(D339="",M339=""),0,IF(N339="Non",M339,0))</f>
        <v/>
      </c>
      <c r="Q339">
        <f>IF(D339="","",YEAR(D339)*100+MONTH(D339))</f>
        <v/>
      </c>
      <c r="R339">
        <f>IF(AND(D339&lt;&gt;"",N339="Oui"),1,0)</f>
        <v/>
      </c>
    </row>
    <row r="340">
      <c r="D340" s="3" t="n"/>
      <c r="O340">
        <f>IF(OR(D340="",M340=""),0,IF(N340="Oui",M340,0))</f>
        <v/>
      </c>
      <c r="P340">
        <f>IF(OR(D340="",M340=""),0,IF(N340="Non",M340,0))</f>
        <v/>
      </c>
      <c r="Q340">
        <f>IF(D340="","",YEAR(D340)*100+MONTH(D340))</f>
        <v/>
      </c>
      <c r="R340">
        <f>IF(AND(D340&lt;&gt;"",N340="Oui"),1,0)</f>
        <v/>
      </c>
    </row>
    <row r="341">
      <c r="D341" s="3" t="n"/>
      <c r="O341">
        <f>IF(OR(D341="",M341=""),0,IF(N341="Oui",M341,0))</f>
        <v/>
      </c>
      <c r="P341">
        <f>IF(OR(D341="",M341=""),0,IF(N341="Non",M341,0))</f>
        <v/>
      </c>
      <c r="Q341">
        <f>IF(D341="","",YEAR(D341)*100+MONTH(D341))</f>
        <v/>
      </c>
      <c r="R341">
        <f>IF(AND(D341&lt;&gt;"",N341="Oui"),1,0)</f>
        <v/>
      </c>
    </row>
    <row r="342">
      <c r="D342" s="3" t="n"/>
      <c r="O342">
        <f>IF(OR(D342="",M342=""),0,IF(N342="Oui",M342,0))</f>
        <v/>
      </c>
      <c r="P342">
        <f>IF(OR(D342="",M342=""),0,IF(N342="Non",M342,0))</f>
        <v/>
      </c>
      <c r="Q342">
        <f>IF(D342="","",YEAR(D342)*100+MONTH(D342))</f>
        <v/>
      </c>
      <c r="R342">
        <f>IF(AND(D342&lt;&gt;"",N342="Oui"),1,0)</f>
        <v/>
      </c>
    </row>
    <row r="343">
      <c r="D343" s="3" t="n"/>
      <c r="O343">
        <f>IF(OR(D343="",M343=""),0,IF(N343="Oui",M343,0))</f>
        <v/>
      </c>
      <c r="P343">
        <f>IF(OR(D343="",M343=""),0,IF(N343="Non",M343,0))</f>
        <v/>
      </c>
      <c r="Q343">
        <f>IF(D343="","",YEAR(D343)*100+MONTH(D343))</f>
        <v/>
      </c>
      <c r="R343">
        <f>IF(AND(D343&lt;&gt;"",N343="Oui"),1,0)</f>
        <v/>
      </c>
    </row>
    <row r="344">
      <c r="D344" s="3" t="n"/>
      <c r="O344">
        <f>IF(OR(D344="",M344=""),0,IF(N344="Oui",M344,0))</f>
        <v/>
      </c>
      <c r="P344">
        <f>IF(OR(D344="",M344=""),0,IF(N344="Non",M344,0))</f>
        <v/>
      </c>
      <c r="Q344">
        <f>IF(D344="","",YEAR(D344)*100+MONTH(D344))</f>
        <v/>
      </c>
      <c r="R344">
        <f>IF(AND(D344&lt;&gt;"",N344="Oui"),1,0)</f>
        <v/>
      </c>
    </row>
    <row r="345">
      <c r="D345" s="3" t="n"/>
      <c r="O345">
        <f>IF(OR(D345="",M345=""),0,IF(N345="Oui",M345,0))</f>
        <v/>
      </c>
      <c r="P345">
        <f>IF(OR(D345="",M345=""),0,IF(N345="Non",M345,0))</f>
        <v/>
      </c>
      <c r="Q345">
        <f>IF(D345="","",YEAR(D345)*100+MONTH(D345))</f>
        <v/>
      </c>
      <c r="R345">
        <f>IF(AND(D345&lt;&gt;"",N345="Oui"),1,0)</f>
        <v/>
      </c>
    </row>
    <row r="346">
      <c r="D346" s="3" t="n"/>
      <c r="O346">
        <f>IF(OR(D346="",M346=""),0,IF(N346="Oui",M346,0))</f>
        <v/>
      </c>
      <c r="P346">
        <f>IF(OR(D346="",M346=""),0,IF(N346="Non",M346,0))</f>
        <v/>
      </c>
      <c r="Q346">
        <f>IF(D346="","",YEAR(D346)*100+MONTH(D346))</f>
        <v/>
      </c>
      <c r="R346">
        <f>IF(AND(D346&lt;&gt;"",N346="Oui"),1,0)</f>
        <v/>
      </c>
    </row>
    <row r="347">
      <c r="D347" s="3" t="n"/>
      <c r="O347">
        <f>IF(OR(D347="",M347=""),0,IF(N347="Oui",M347,0))</f>
        <v/>
      </c>
      <c r="P347">
        <f>IF(OR(D347="",M347=""),0,IF(N347="Non",M347,0))</f>
        <v/>
      </c>
      <c r="Q347">
        <f>IF(D347="","",YEAR(D347)*100+MONTH(D347))</f>
        <v/>
      </c>
      <c r="R347">
        <f>IF(AND(D347&lt;&gt;"",N347="Oui"),1,0)</f>
        <v/>
      </c>
    </row>
    <row r="348">
      <c r="D348" s="3" t="n"/>
      <c r="O348">
        <f>IF(OR(D348="",M348=""),0,IF(N348="Oui",M348,0))</f>
        <v/>
      </c>
      <c r="P348">
        <f>IF(OR(D348="",M348=""),0,IF(N348="Non",M348,0))</f>
        <v/>
      </c>
      <c r="Q348">
        <f>IF(D348="","",YEAR(D348)*100+MONTH(D348))</f>
        <v/>
      </c>
      <c r="R348">
        <f>IF(AND(D348&lt;&gt;"",N348="Oui"),1,0)</f>
        <v/>
      </c>
    </row>
    <row r="349">
      <c r="D349" s="3" t="n"/>
      <c r="O349">
        <f>IF(OR(D349="",M349=""),0,IF(N349="Oui",M349,0))</f>
        <v/>
      </c>
      <c r="P349">
        <f>IF(OR(D349="",M349=""),0,IF(N349="Non",M349,0))</f>
        <v/>
      </c>
      <c r="Q349">
        <f>IF(D349="","",YEAR(D349)*100+MONTH(D349))</f>
        <v/>
      </c>
      <c r="R349">
        <f>IF(AND(D349&lt;&gt;"",N349="Oui"),1,0)</f>
        <v/>
      </c>
    </row>
    <row r="350">
      <c r="D350" s="3" t="n"/>
      <c r="O350">
        <f>IF(OR(D350="",M350=""),0,IF(N350="Oui",M350,0))</f>
        <v/>
      </c>
      <c r="P350">
        <f>IF(OR(D350="",M350=""),0,IF(N350="Non",M350,0))</f>
        <v/>
      </c>
      <c r="Q350">
        <f>IF(D350="","",YEAR(D350)*100+MONTH(D350))</f>
        <v/>
      </c>
      <c r="R350">
        <f>IF(AND(D350&lt;&gt;"",N350="Oui"),1,0)</f>
        <v/>
      </c>
    </row>
    <row r="351">
      <c r="D351" s="3" t="n"/>
      <c r="O351">
        <f>IF(OR(D351="",M351=""),0,IF(N351="Oui",M351,0))</f>
        <v/>
      </c>
      <c r="P351">
        <f>IF(OR(D351="",M351=""),0,IF(N351="Non",M351,0))</f>
        <v/>
      </c>
      <c r="Q351">
        <f>IF(D351="","",YEAR(D351)*100+MONTH(D351))</f>
        <v/>
      </c>
      <c r="R351">
        <f>IF(AND(D351&lt;&gt;"",N351="Oui"),1,0)</f>
        <v/>
      </c>
    </row>
    <row r="352">
      <c r="D352" s="3" t="n"/>
      <c r="O352">
        <f>IF(OR(D352="",M352=""),0,IF(N352="Oui",M352,0))</f>
        <v/>
      </c>
      <c r="P352">
        <f>IF(OR(D352="",M352=""),0,IF(N352="Non",M352,0))</f>
        <v/>
      </c>
      <c r="Q352">
        <f>IF(D352="","",YEAR(D352)*100+MONTH(D352))</f>
        <v/>
      </c>
      <c r="R352">
        <f>IF(AND(D352&lt;&gt;"",N352="Oui"),1,0)</f>
        <v/>
      </c>
    </row>
    <row r="353">
      <c r="D353" s="3" t="n"/>
      <c r="O353">
        <f>IF(OR(D353="",M353=""),0,IF(N353="Oui",M353,0))</f>
        <v/>
      </c>
      <c r="P353">
        <f>IF(OR(D353="",M353=""),0,IF(N353="Non",M353,0))</f>
        <v/>
      </c>
      <c r="Q353">
        <f>IF(D353="","",YEAR(D353)*100+MONTH(D353))</f>
        <v/>
      </c>
      <c r="R353">
        <f>IF(AND(D353&lt;&gt;"",N353="Oui"),1,0)</f>
        <v/>
      </c>
    </row>
    <row r="354">
      <c r="D354" s="3" t="n"/>
      <c r="O354">
        <f>IF(OR(D354="",M354=""),0,IF(N354="Oui",M354,0))</f>
        <v/>
      </c>
      <c r="P354">
        <f>IF(OR(D354="",M354=""),0,IF(N354="Non",M354,0))</f>
        <v/>
      </c>
      <c r="Q354">
        <f>IF(D354="","",YEAR(D354)*100+MONTH(D354))</f>
        <v/>
      </c>
      <c r="R354">
        <f>IF(AND(D354&lt;&gt;"",N354="Oui"),1,0)</f>
        <v/>
      </c>
    </row>
    <row r="355">
      <c r="D355" s="3" t="n"/>
      <c r="O355">
        <f>IF(OR(D355="",M355=""),0,IF(N355="Oui",M355,0))</f>
        <v/>
      </c>
      <c r="P355">
        <f>IF(OR(D355="",M355=""),0,IF(N355="Non",M355,0))</f>
        <v/>
      </c>
      <c r="Q355">
        <f>IF(D355="","",YEAR(D355)*100+MONTH(D355))</f>
        <v/>
      </c>
      <c r="R355">
        <f>IF(AND(D355&lt;&gt;"",N355="Oui"),1,0)</f>
        <v/>
      </c>
    </row>
    <row r="356">
      <c r="D356" s="3" t="n"/>
      <c r="O356">
        <f>IF(OR(D356="",M356=""),0,IF(N356="Oui",M356,0))</f>
        <v/>
      </c>
      <c r="P356">
        <f>IF(OR(D356="",M356=""),0,IF(N356="Non",M356,0))</f>
        <v/>
      </c>
      <c r="Q356">
        <f>IF(D356="","",YEAR(D356)*100+MONTH(D356))</f>
        <v/>
      </c>
      <c r="R356">
        <f>IF(AND(D356&lt;&gt;"",N356="Oui"),1,0)</f>
        <v/>
      </c>
    </row>
    <row r="357">
      <c r="D357" s="3" t="n"/>
      <c r="O357">
        <f>IF(OR(D357="",M357=""),0,IF(N357="Oui",M357,0))</f>
        <v/>
      </c>
      <c r="P357">
        <f>IF(OR(D357="",M357=""),0,IF(N357="Non",M357,0))</f>
        <v/>
      </c>
      <c r="Q357">
        <f>IF(D357="","",YEAR(D357)*100+MONTH(D357))</f>
        <v/>
      </c>
      <c r="R357">
        <f>IF(AND(D357&lt;&gt;"",N357="Oui"),1,0)</f>
        <v/>
      </c>
    </row>
    <row r="358">
      <c r="D358" s="3" t="n"/>
      <c r="O358">
        <f>IF(OR(D358="",M358=""),0,IF(N358="Oui",M358,0))</f>
        <v/>
      </c>
      <c r="P358">
        <f>IF(OR(D358="",M358=""),0,IF(N358="Non",M358,0))</f>
        <v/>
      </c>
      <c r="Q358">
        <f>IF(D358="","",YEAR(D358)*100+MONTH(D358))</f>
        <v/>
      </c>
      <c r="R358">
        <f>IF(AND(D358&lt;&gt;"",N358="Oui"),1,0)</f>
        <v/>
      </c>
    </row>
    <row r="359">
      <c r="D359" s="3" t="n"/>
      <c r="O359">
        <f>IF(OR(D359="",M359=""),0,IF(N359="Oui",M359,0))</f>
        <v/>
      </c>
      <c r="P359">
        <f>IF(OR(D359="",M359=""),0,IF(N359="Non",M359,0))</f>
        <v/>
      </c>
      <c r="Q359">
        <f>IF(D359="","",YEAR(D359)*100+MONTH(D359))</f>
        <v/>
      </c>
      <c r="R359">
        <f>IF(AND(D359&lt;&gt;"",N359="Oui"),1,0)</f>
        <v/>
      </c>
    </row>
    <row r="360">
      <c r="D360" s="3" t="n"/>
      <c r="O360">
        <f>IF(OR(D360="",M360=""),0,IF(N360="Oui",M360,0))</f>
        <v/>
      </c>
      <c r="P360">
        <f>IF(OR(D360="",M360=""),0,IF(N360="Non",M360,0))</f>
        <v/>
      </c>
      <c r="Q360">
        <f>IF(D360="","",YEAR(D360)*100+MONTH(D360))</f>
        <v/>
      </c>
      <c r="R360">
        <f>IF(AND(D360&lt;&gt;"",N360="Oui"),1,0)</f>
        <v/>
      </c>
    </row>
    <row r="361">
      <c r="D361" s="3" t="n"/>
      <c r="O361">
        <f>IF(OR(D361="",M361=""),0,IF(N361="Oui",M361,0))</f>
        <v/>
      </c>
      <c r="P361">
        <f>IF(OR(D361="",M361=""),0,IF(N361="Non",M361,0))</f>
        <v/>
      </c>
      <c r="Q361">
        <f>IF(D361="","",YEAR(D361)*100+MONTH(D361))</f>
        <v/>
      </c>
      <c r="R361">
        <f>IF(AND(D361&lt;&gt;"",N361="Oui"),1,0)</f>
        <v/>
      </c>
    </row>
    <row r="362">
      <c r="D362" s="3" t="n"/>
      <c r="O362">
        <f>IF(OR(D362="",M362=""),0,IF(N362="Oui",M362,0))</f>
        <v/>
      </c>
      <c r="P362">
        <f>IF(OR(D362="",M362=""),0,IF(N362="Non",M362,0))</f>
        <v/>
      </c>
      <c r="Q362">
        <f>IF(D362="","",YEAR(D362)*100+MONTH(D362))</f>
        <v/>
      </c>
      <c r="R362">
        <f>IF(AND(D362&lt;&gt;"",N362="Oui"),1,0)</f>
        <v/>
      </c>
    </row>
    <row r="363">
      <c r="D363" s="3" t="n"/>
      <c r="O363">
        <f>IF(OR(D363="",M363=""),0,IF(N363="Oui",M363,0))</f>
        <v/>
      </c>
      <c r="P363">
        <f>IF(OR(D363="",M363=""),0,IF(N363="Non",M363,0))</f>
        <v/>
      </c>
      <c r="Q363">
        <f>IF(D363="","",YEAR(D363)*100+MONTH(D363))</f>
        <v/>
      </c>
      <c r="R363">
        <f>IF(AND(D363&lt;&gt;"",N363="Oui"),1,0)</f>
        <v/>
      </c>
    </row>
    <row r="364">
      <c r="D364" s="3" t="n"/>
      <c r="O364">
        <f>IF(OR(D364="",M364=""),0,IF(N364="Oui",M364,0))</f>
        <v/>
      </c>
      <c r="P364">
        <f>IF(OR(D364="",M364=""),0,IF(N364="Non",M364,0))</f>
        <v/>
      </c>
      <c r="Q364">
        <f>IF(D364="","",YEAR(D364)*100+MONTH(D364))</f>
        <v/>
      </c>
      <c r="R364">
        <f>IF(AND(D364&lt;&gt;"",N364="Oui"),1,0)</f>
        <v/>
      </c>
    </row>
    <row r="365">
      <c r="D365" s="3" t="n"/>
      <c r="O365">
        <f>IF(OR(D365="",M365=""),0,IF(N365="Oui",M365,0))</f>
        <v/>
      </c>
      <c r="P365">
        <f>IF(OR(D365="",M365=""),0,IF(N365="Non",M365,0))</f>
        <v/>
      </c>
      <c r="Q365">
        <f>IF(D365="","",YEAR(D365)*100+MONTH(D365))</f>
        <v/>
      </c>
      <c r="R365">
        <f>IF(AND(D365&lt;&gt;"",N365="Oui"),1,0)</f>
        <v/>
      </c>
    </row>
    <row r="366">
      <c r="D366" s="3" t="n"/>
      <c r="O366">
        <f>IF(OR(D366="",M366=""),0,IF(N366="Oui",M366,0))</f>
        <v/>
      </c>
      <c r="P366">
        <f>IF(OR(D366="",M366=""),0,IF(N366="Non",M366,0))</f>
        <v/>
      </c>
      <c r="Q366">
        <f>IF(D366="","",YEAR(D366)*100+MONTH(D366))</f>
        <v/>
      </c>
      <c r="R366">
        <f>IF(AND(D366&lt;&gt;"",N366="Oui"),1,0)</f>
        <v/>
      </c>
    </row>
    <row r="367">
      <c r="D367" s="3" t="n"/>
      <c r="O367">
        <f>IF(OR(D367="",M367=""),0,IF(N367="Oui",M367,0))</f>
        <v/>
      </c>
      <c r="P367">
        <f>IF(OR(D367="",M367=""),0,IF(N367="Non",M367,0))</f>
        <v/>
      </c>
      <c r="Q367">
        <f>IF(D367="","",YEAR(D367)*100+MONTH(D367))</f>
        <v/>
      </c>
      <c r="R367">
        <f>IF(AND(D367&lt;&gt;"",N367="Oui"),1,0)</f>
        <v/>
      </c>
    </row>
    <row r="368">
      <c r="D368" s="3" t="n"/>
      <c r="O368">
        <f>IF(OR(D368="",M368=""),0,IF(N368="Oui",M368,0))</f>
        <v/>
      </c>
      <c r="P368">
        <f>IF(OR(D368="",M368=""),0,IF(N368="Non",M368,0))</f>
        <v/>
      </c>
      <c r="Q368">
        <f>IF(D368="","",YEAR(D368)*100+MONTH(D368))</f>
        <v/>
      </c>
      <c r="R368">
        <f>IF(AND(D368&lt;&gt;"",N368="Oui"),1,0)</f>
        <v/>
      </c>
    </row>
    <row r="369">
      <c r="D369" s="3" t="n"/>
      <c r="O369">
        <f>IF(OR(D369="",M369=""),0,IF(N369="Oui",M369,0))</f>
        <v/>
      </c>
      <c r="P369">
        <f>IF(OR(D369="",M369=""),0,IF(N369="Non",M369,0))</f>
        <v/>
      </c>
      <c r="Q369">
        <f>IF(D369="","",YEAR(D369)*100+MONTH(D369))</f>
        <v/>
      </c>
      <c r="R369">
        <f>IF(AND(D369&lt;&gt;"",N369="Oui"),1,0)</f>
        <v/>
      </c>
    </row>
    <row r="370">
      <c r="D370" s="3" t="n"/>
      <c r="O370">
        <f>IF(OR(D370="",M370=""),0,IF(N370="Oui",M370,0))</f>
        <v/>
      </c>
      <c r="P370">
        <f>IF(OR(D370="",M370=""),0,IF(N370="Non",M370,0))</f>
        <v/>
      </c>
      <c r="Q370">
        <f>IF(D370="","",YEAR(D370)*100+MONTH(D370))</f>
        <v/>
      </c>
      <c r="R370">
        <f>IF(AND(D370&lt;&gt;"",N370="Oui"),1,0)</f>
        <v/>
      </c>
    </row>
    <row r="371">
      <c r="D371" s="3" t="n"/>
      <c r="O371">
        <f>IF(OR(D371="",M371=""),0,IF(N371="Oui",M371,0))</f>
        <v/>
      </c>
      <c r="P371">
        <f>IF(OR(D371="",M371=""),0,IF(N371="Non",M371,0))</f>
        <v/>
      </c>
      <c r="Q371">
        <f>IF(D371="","",YEAR(D371)*100+MONTH(D371))</f>
        <v/>
      </c>
      <c r="R371">
        <f>IF(AND(D371&lt;&gt;"",N371="Oui"),1,0)</f>
        <v/>
      </c>
    </row>
    <row r="372">
      <c r="D372" s="3" t="n"/>
      <c r="O372">
        <f>IF(OR(D372="",M372=""),0,IF(N372="Oui",M372,0))</f>
        <v/>
      </c>
      <c r="P372">
        <f>IF(OR(D372="",M372=""),0,IF(N372="Non",M372,0))</f>
        <v/>
      </c>
      <c r="Q372">
        <f>IF(D372="","",YEAR(D372)*100+MONTH(D372))</f>
        <v/>
      </c>
      <c r="R372">
        <f>IF(AND(D372&lt;&gt;"",N372="Oui"),1,0)</f>
        <v/>
      </c>
    </row>
    <row r="373">
      <c r="D373" s="3" t="n"/>
      <c r="O373">
        <f>IF(OR(D373="",M373=""),0,IF(N373="Oui",M373,0))</f>
        <v/>
      </c>
      <c r="P373">
        <f>IF(OR(D373="",M373=""),0,IF(N373="Non",M373,0))</f>
        <v/>
      </c>
      <c r="Q373">
        <f>IF(D373="","",YEAR(D373)*100+MONTH(D373))</f>
        <v/>
      </c>
      <c r="R373">
        <f>IF(AND(D373&lt;&gt;"",N373="Oui"),1,0)</f>
        <v/>
      </c>
    </row>
    <row r="374">
      <c r="D374" s="3" t="n"/>
      <c r="O374">
        <f>IF(OR(D374="",M374=""),0,IF(N374="Oui",M374,0))</f>
        <v/>
      </c>
      <c r="P374">
        <f>IF(OR(D374="",M374=""),0,IF(N374="Non",M374,0))</f>
        <v/>
      </c>
      <c r="Q374">
        <f>IF(D374="","",YEAR(D374)*100+MONTH(D374))</f>
        <v/>
      </c>
      <c r="R374">
        <f>IF(AND(D374&lt;&gt;"",N374="Oui"),1,0)</f>
        <v/>
      </c>
    </row>
    <row r="375">
      <c r="D375" s="3" t="n"/>
      <c r="O375">
        <f>IF(OR(D375="",M375=""),0,IF(N375="Oui",M375,0))</f>
        <v/>
      </c>
      <c r="P375">
        <f>IF(OR(D375="",M375=""),0,IF(N375="Non",M375,0))</f>
        <v/>
      </c>
      <c r="Q375">
        <f>IF(D375="","",YEAR(D375)*100+MONTH(D375))</f>
        <v/>
      </c>
      <c r="R375">
        <f>IF(AND(D375&lt;&gt;"",N375="Oui"),1,0)</f>
        <v/>
      </c>
    </row>
    <row r="376">
      <c r="D376" s="3" t="n"/>
      <c r="O376">
        <f>IF(OR(D376="",M376=""),0,IF(N376="Oui",M376,0))</f>
        <v/>
      </c>
      <c r="P376">
        <f>IF(OR(D376="",M376=""),0,IF(N376="Non",M376,0))</f>
        <v/>
      </c>
      <c r="Q376">
        <f>IF(D376="","",YEAR(D376)*100+MONTH(D376))</f>
        <v/>
      </c>
      <c r="R376">
        <f>IF(AND(D376&lt;&gt;"",N376="Oui"),1,0)</f>
        <v/>
      </c>
    </row>
    <row r="377">
      <c r="D377" s="3" t="n"/>
      <c r="O377">
        <f>IF(OR(D377="",M377=""),0,IF(N377="Oui",M377,0))</f>
        <v/>
      </c>
      <c r="P377">
        <f>IF(OR(D377="",M377=""),0,IF(N377="Non",M377,0))</f>
        <v/>
      </c>
      <c r="Q377">
        <f>IF(D377="","",YEAR(D377)*100+MONTH(D377))</f>
        <v/>
      </c>
      <c r="R377">
        <f>IF(AND(D377&lt;&gt;"",N377="Oui"),1,0)</f>
        <v/>
      </c>
    </row>
    <row r="378">
      <c r="D378" s="3" t="n"/>
      <c r="O378">
        <f>IF(OR(D378="",M378=""),0,IF(N378="Oui",M378,0))</f>
        <v/>
      </c>
      <c r="P378">
        <f>IF(OR(D378="",M378=""),0,IF(N378="Non",M378,0))</f>
        <v/>
      </c>
      <c r="Q378">
        <f>IF(D378="","",YEAR(D378)*100+MONTH(D378))</f>
        <v/>
      </c>
      <c r="R378">
        <f>IF(AND(D378&lt;&gt;"",N378="Oui"),1,0)</f>
        <v/>
      </c>
    </row>
    <row r="379">
      <c r="D379" s="3" t="n"/>
      <c r="O379">
        <f>IF(OR(D379="",M379=""),0,IF(N379="Oui",M379,0))</f>
        <v/>
      </c>
      <c r="P379">
        <f>IF(OR(D379="",M379=""),0,IF(N379="Non",M379,0))</f>
        <v/>
      </c>
      <c r="Q379">
        <f>IF(D379="","",YEAR(D379)*100+MONTH(D379))</f>
        <v/>
      </c>
      <c r="R379">
        <f>IF(AND(D379&lt;&gt;"",N379="Oui"),1,0)</f>
        <v/>
      </c>
    </row>
    <row r="380">
      <c r="D380" s="3" t="n"/>
      <c r="O380">
        <f>IF(OR(D380="",M380=""),0,IF(N380="Oui",M380,0))</f>
        <v/>
      </c>
      <c r="P380">
        <f>IF(OR(D380="",M380=""),0,IF(N380="Non",M380,0))</f>
        <v/>
      </c>
      <c r="Q380">
        <f>IF(D380="","",YEAR(D380)*100+MONTH(D380))</f>
        <v/>
      </c>
      <c r="R380">
        <f>IF(AND(D380&lt;&gt;"",N380="Oui"),1,0)</f>
        <v/>
      </c>
    </row>
    <row r="381">
      <c r="D381" s="3" t="n"/>
      <c r="O381">
        <f>IF(OR(D381="",M381=""),0,IF(N381="Oui",M381,0))</f>
        <v/>
      </c>
      <c r="P381">
        <f>IF(OR(D381="",M381=""),0,IF(N381="Non",M381,0))</f>
        <v/>
      </c>
      <c r="Q381">
        <f>IF(D381="","",YEAR(D381)*100+MONTH(D381))</f>
        <v/>
      </c>
      <c r="R381">
        <f>IF(AND(D381&lt;&gt;"",N381="Oui"),1,0)</f>
        <v/>
      </c>
    </row>
    <row r="382">
      <c r="D382" s="3" t="n"/>
      <c r="O382">
        <f>IF(OR(D382="",M382=""),0,IF(N382="Oui",M382,0))</f>
        <v/>
      </c>
      <c r="P382">
        <f>IF(OR(D382="",M382=""),0,IF(N382="Non",M382,0))</f>
        <v/>
      </c>
      <c r="Q382">
        <f>IF(D382="","",YEAR(D382)*100+MONTH(D382))</f>
        <v/>
      </c>
      <c r="R382">
        <f>IF(AND(D382&lt;&gt;"",N382="Oui"),1,0)</f>
        <v/>
      </c>
    </row>
    <row r="383">
      <c r="D383" s="3" t="n"/>
      <c r="O383">
        <f>IF(OR(D383="",M383=""),0,IF(N383="Oui",M383,0))</f>
        <v/>
      </c>
      <c r="P383">
        <f>IF(OR(D383="",M383=""),0,IF(N383="Non",M383,0))</f>
        <v/>
      </c>
      <c r="Q383">
        <f>IF(D383="","",YEAR(D383)*100+MONTH(D383))</f>
        <v/>
      </c>
      <c r="R383">
        <f>IF(AND(D383&lt;&gt;"",N383="Oui"),1,0)</f>
        <v/>
      </c>
    </row>
    <row r="384">
      <c r="D384" s="3" t="n"/>
      <c r="O384">
        <f>IF(OR(D384="",M384=""),0,IF(N384="Oui",M384,0))</f>
        <v/>
      </c>
      <c r="P384">
        <f>IF(OR(D384="",M384=""),0,IF(N384="Non",M384,0))</f>
        <v/>
      </c>
      <c r="Q384">
        <f>IF(D384="","",YEAR(D384)*100+MONTH(D384))</f>
        <v/>
      </c>
      <c r="R384">
        <f>IF(AND(D384&lt;&gt;"",N384="Oui"),1,0)</f>
        <v/>
      </c>
    </row>
    <row r="385">
      <c r="D385" s="3" t="n"/>
      <c r="O385">
        <f>IF(OR(D385="",M385=""),0,IF(N385="Oui",M385,0))</f>
        <v/>
      </c>
      <c r="P385">
        <f>IF(OR(D385="",M385=""),0,IF(N385="Non",M385,0))</f>
        <v/>
      </c>
      <c r="Q385">
        <f>IF(D385="","",YEAR(D385)*100+MONTH(D385))</f>
        <v/>
      </c>
      <c r="R385">
        <f>IF(AND(D385&lt;&gt;"",N385="Oui"),1,0)</f>
        <v/>
      </c>
    </row>
    <row r="386">
      <c r="D386" s="3" t="n"/>
      <c r="O386">
        <f>IF(OR(D386="",M386=""),0,IF(N386="Oui",M386,0))</f>
        <v/>
      </c>
      <c r="P386">
        <f>IF(OR(D386="",M386=""),0,IF(N386="Non",M386,0))</f>
        <v/>
      </c>
      <c r="Q386">
        <f>IF(D386="","",YEAR(D386)*100+MONTH(D386))</f>
        <v/>
      </c>
      <c r="R386">
        <f>IF(AND(D386&lt;&gt;"",N386="Oui"),1,0)</f>
        <v/>
      </c>
    </row>
    <row r="387">
      <c r="D387" s="3" t="n"/>
      <c r="O387">
        <f>IF(OR(D387="",M387=""),0,IF(N387="Oui",M387,0))</f>
        <v/>
      </c>
      <c r="P387">
        <f>IF(OR(D387="",M387=""),0,IF(N387="Non",M387,0))</f>
        <v/>
      </c>
      <c r="Q387">
        <f>IF(D387="","",YEAR(D387)*100+MONTH(D387))</f>
        <v/>
      </c>
      <c r="R387">
        <f>IF(AND(D387&lt;&gt;"",N387="Oui"),1,0)</f>
        <v/>
      </c>
    </row>
    <row r="388">
      <c r="D388" s="3" t="n"/>
      <c r="O388">
        <f>IF(OR(D388="",M388=""),0,IF(N388="Oui",M388,0))</f>
        <v/>
      </c>
      <c r="P388">
        <f>IF(OR(D388="",M388=""),0,IF(N388="Non",M388,0))</f>
        <v/>
      </c>
      <c r="Q388">
        <f>IF(D388="","",YEAR(D388)*100+MONTH(D388))</f>
        <v/>
      </c>
      <c r="R388">
        <f>IF(AND(D388&lt;&gt;"",N388="Oui"),1,0)</f>
        <v/>
      </c>
    </row>
    <row r="389">
      <c r="D389" s="3" t="n"/>
      <c r="O389">
        <f>IF(OR(D389="",M389=""),0,IF(N389="Oui",M389,0))</f>
        <v/>
      </c>
      <c r="P389">
        <f>IF(OR(D389="",M389=""),0,IF(N389="Non",M389,0))</f>
        <v/>
      </c>
      <c r="Q389">
        <f>IF(D389="","",YEAR(D389)*100+MONTH(D389))</f>
        <v/>
      </c>
      <c r="R389">
        <f>IF(AND(D389&lt;&gt;"",N389="Oui"),1,0)</f>
        <v/>
      </c>
    </row>
    <row r="390">
      <c r="D390" s="3" t="n"/>
      <c r="O390">
        <f>IF(OR(D390="",M390=""),0,IF(N390="Oui",M390,0))</f>
        <v/>
      </c>
      <c r="P390">
        <f>IF(OR(D390="",M390=""),0,IF(N390="Non",M390,0))</f>
        <v/>
      </c>
      <c r="Q390">
        <f>IF(D390="","",YEAR(D390)*100+MONTH(D390))</f>
        <v/>
      </c>
      <c r="R390">
        <f>IF(AND(D390&lt;&gt;"",N390="Oui"),1,0)</f>
        <v/>
      </c>
    </row>
    <row r="391">
      <c r="D391" s="3" t="n"/>
      <c r="O391">
        <f>IF(OR(D391="",M391=""),0,IF(N391="Oui",M391,0))</f>
        <v/>
      </c>
      <c r="P391">
        <f>IF(OR(D391="",M391=""),0,IF(N391="Non",M391,0))</f>
        <v/>
      </c>
      <c r="Q391">
        <f>IF(D391="","",YEAR(D391)*100+MONTH(D391))</f>
        <v/>
      </c>
      <c r="R391">
        <f>IF(AND(D391&lt;&gt;"",N391="Oui"),1,0)</f>
        <v/>
      </c>
    </row>
    <row r="392">
      <c r="D392" s="3" t="n"/>
      <c r="O392">
        <f>IF(OR(D392="",M392=""),0,IF(N392="Oui",M392,0))</f>
        <v/>
      </c>
      <c r="P392">
        <f>IF(OR(D392="",M392=""),0,IF(N392="Non",M392,0))</f>
        <v/>
      </c>
      <c r="Q392">
        <f>IF(D392="","",YEAR(D392)*100+MONTH(D392))</f>
        <v/>
      </c>
      <c r="R392">
        <f>IF(AND(D392&lt;&gt;"",N392="Oui"),1,0)</f>
        <v/>
      </c>
    </row>
    <row r="393">
      <c r="D393" s="3" t="n"/>
      <c r="O393">
        <f>IF(OR(D393="",M393=""),0,IF(N393="Oui",M393,0))</f>
        <v/>
      </c>
      <c r="P393">
        <f>IF(OR(D393="",M393=""),0,IF(N393="Non",M393,0))</f>
        <v/>
      </c>
      <c r="Q393">
        <f>IF(D393="","",YEAR(D393)*100+MONTH(D393))</f>
        <v/>
      </c>
      <c r="R393">
        <f>IF(AND(D393&lt;&gt;"",N393="Oui"),1,0)</f>
        <v/>
      </c>
    </row>
    <row r="394">
      <c r="D394" s="3" t="n"/>
      <c r="O394">
        <f>IF(OR(D394="",M394=""),0,IF(N394="Oui",M394,0))</f>
        <v/>
      </c>
      <c r="P394">
        <f>IF(OR(D394="",M394=""),0,IF(N394="Non",M394,0))</f>
        <v/>
      </c>
      <c r="Q394">
        <f>IF(D394="","",YEAR(D394)*100+MONTH(D394))</f>
        <v/>
      </c>
      <c r="R394">
        <f>IF(AND(D394&lt;&gt;"",N394="Oui"),1,0)</f>
        <v/>
      </c>
    </row>
    <row r="395">
      <c r="D395" s="3" t="n"/>
      <c r="O395">
        <f>IF(OR(D395="",M395=""),0,IF(N395="Oui",M395,0))</f>
        <v/>
      </c>
      <c r="P395">
        <f>IF(OR(D395="",M395=""),0,IF(N395="Non",M395,0))</f>
        <v/>
      </c>
      <c r="Q395">
        <f>IF(D395="","",YEAR(D395)*100+MONTH(D395))</f>
        <v/>
      </c>
      <c r="R395">
        <f>IF(AND(D395&lt;&gt;"",N395="Oui"),1,0)</f>
        <v/>
      </c>
    </row>
    <row r="396">
      <c r="D396" s="3" t="n"/>
      <c r="O396">
        <f>IF(OR(D396="",M396=""),0,IF(N396="Oui",M396,0))</f>
        <v/>
      </c>
      <c r="P396">
        <f>IF(OR(D396="",M396=""),0,IF(N396="Non",M396,0))</f>
        <v/>
      </c>
      <c r="Q396">
        <f>IF(D396="","",YEAR(D396)*100+MONTH(D396))</f>
        <v/>
      </c>
      <c r="R396">
        <f>IF(AND(D396&lt;&gt;"",N396="Oui"),1,0)</f>
        <v/>
      </c>
    </row>
    <row r="397">
      <c r="D397" s="3" t="n"/>
      <c r="O397">
        <f>IF(OR(D397="",M397=""),0,IF(N397="Oui",M397,0))</f>
        <v/>
      </c>
      <c r="P397">
        <f>IF(OR(D397="",M397=""),0,IF(N397="Non",M397,0))</f>
        <v/>
      </c>
      <c r="Q397">
        <f>IF(D397="","",YEAR(D397)*100+MONTH(D397))</f>
        <v/>
      </c>
      <c r="R397">
        <f>IF(AND(D397&lt;&gt;"",N397="Oui"),1,0)</f>
        <v/>
      </c>
    </row>
    <row r="398">
      <c r="D398" s="3" t="n"/>
      <c r="O398">
        <f>IF(OR(D398="",M398=""),0,IF(N398="Oui",M398,0))</f>
        <v/>
      </c>
      <c r="P398">
        <f>IF(OR(D398="",M398=""),0,IF(N398="Non",M398,0))</f>
        <v/>
      </c>
      <c r="Q398">
        <f>IF(D398="","",YEAR(D398)*100+MONTH(D398))</f>
        <v/>
      </c>
      <c r="R398">
        <f>IF(AND(D398&lt;&gt;"",N398="Oui"),1,0)</f>
        <v/>
      </c>
    </row>
    <row r="399">
      <c r="D399" s="3" t="n"/>
      <c r="O399">
        <f>IF(OR(D399="",M399=""),0,IF(N399="Oui",M399,0))</f>
        <v/>
      </c>
      <c r="P399">
        <f>IF(OR(D399="",M399=""),0,IF(N399="Non",M399,0))</f>
        <v/>
      </c>
      <c r="Q399">
        <f>IF(D399="","",YEAR(D399)*100+MONTH(D399))</f>
        <v/>
      </c>
      <c r="R399">
        <f>IF(AND(D399&lt;&gt;"",N399="Oui"),1,0)</f>
        <v/>
      </c>
    </row>
    <row r="400">
      <c r="D400" s="3" t="n"/>
      <c r="O400">
        <f>IF(OR(D400="",M400=""),0,IF(N400="Oui",M400,0))</f>
        <v/>
      </c>
      <c r="P400">
        <f>IF(OR(D400="",M400=""),0,IF(N400="Non",M400,0))</f>
        <v/>
      </c>
      <c r="Q400">
        <f>IF(D400="","",YEAR(D400)*100+MONTH(D400))</f>
        <v/>
      </c>
      <c r="R400">
        <f>IF(AND(D400&lt;&gt;"",N400="Oui"),1,0)</f>
        <v/>
      </c>
    </row>
    <row r="401">
      <c r="D401" s="3" t="n"/>
      <c r="O401">
        <f>IF(OR(D401="",M401=""),0,IF(N401="Oui",M401,0))</f>
        <v/>
      </c>
      <c r="P401">
        <f>IF(OR(D401="",M401=""),0,IF(N401="Non",M401,0))</f>
        <v/>
      </c>
      <c r="Q401">
        <f>IF(D401="","",YEAR(D401)*100+MONTH(D401))</f>
        <v/>
      </c>
      <c r="R401">
        <f>IF(AND(D401&lt;&gt;"",N401="Oui"),1,0)</f>
        <v/>
      </c>
    </row>
    <row r="402">
      <c r="D402" s="3" t="n"/>
      <c r="O402">
        <f>IF(OR(D402="",M402=""),0,IF(N402="Oui",M402,0))</f>
        <v/>
      </c>
      <c r="P402">
        <f>IF(OR(D402="",M402=""),0,IF(N402="Non",M402,0))</f>
        <v/>
      </c>
      <c r="Q402">
        <f>IF(D402="","",YEAR(D402)*100+MONTH(D402))</f>
        <v/>
      </c>
      <c r="R402">
        <f>IF(AND(D402&lt;&gt;"",N402="Oui"),1,0)</f>
        <v/>
      </c>
    </row>
    <row r="403">
      <c r="D403" s="3" t="n"/>
      <c r="O403">
        <f>IF(OR(D403="",M403=""),0,IF(N403="Oui",M403,0))</f>
        <v/>
      </c>
      <c r="P403">
        <f>IF(OR(D403="",M403=""),0,IF(N403="Non",M403,0))</f>
        <v/>
      </c>
      <c r="Q403">
        <f>IF(D403="","",YEAR(D403)*100+MONTH(D403))</f>
        <v/>
      </c>
      <c r="R403">
        <f>IF(AND(D403&lt;&gt;"",N403="Oui"),1,0)</f>
        <v/>
      </c>
    </row>
    <row r="404">
      <c r="D404" s="3" t="n"/>
      <c r="O404">
        <f>IF(OR(D404="",M404=""),0,IF(N404="Oui",M404,0))</f>
        <v/>
      </c>
      <c r="P404">
        <f>IF(OR(D404="",M404=""),0,IF(N404="Non",M404,0))</f>
        <v/>
      </c>
      <c r="Q404">
        <f>IF(D404="","",YEAR(D404)*100+MONTH(D404))</f>
        <v/>
      </c>
      <c r="R404">
        <f>IF(AND(D404&lt;&gt;"",N404="Oui"),1,0)</f>
        <v/>
      </c>
    </row>
    <row r="405">
      <c r="D405" s="3" t="n"/>
      <c r="O405">
        <f>IF(OR(D405="",M405=""),0,IF(N405="Oui",M405,0))</f>
        <v/>
      </c>
      <c r="P405">
        <f>IF(OR(D405="",M405=""),0,IF(N405="Non",M405,0))</f>
        <v/>
      </c>
      <c r="Q405">
        <f>IF(D405="","",YEAR(D405)*100+MONTH(D405))</f>
        <v/>
      </c>
      <c r="R405">
        <f>IF(AND(D405&lt;&gt;"",N405="Oui"),1,0)</f>
        <v/>
      </c>
    </row>
    <row r="406">
      <c r="D406" s="3" t="n"/>
      <c r="O406">
        <f>IF(OR(D406="",M406=""),0,IF(N406="Oui",M406,0))</f>
        <v/>
      </c>
      <c r="P406">
        <f>IF(OR(D406="",M406=""),0,IF(N406="Non",M406,0))</f>
        <v/>
      </c>
      <c r="Q406">
        <f>IF(D406="","",YEAR(D406)*100+MONTH(D406))</f>
        <v/>
      </c>
      <c r="R406">
        <f>IF(AND(D406&lt;&gt;"",N406="Oui"),1,0)</f>
        <v/>
      </c>
    </row>
    <row r="407">
      <c r="D407" s="3" t="n"/>
      <c r="O407">
        <f>IF(OR(D407="",M407=""),0,IF(N407="Oui",M407,0))</f>
        <v/>
      </c>
      <c r="P407">
        <f>IF(OR(D407="",M407=""),0,IF(N407="Non",M407,0))</f>
        <v/>
      </c>
      <c r="Q407">
        <f>IF(D407="","",YEAR(D407)*100+MONTH(D407))</f>
        <v/>
      </c>
      <c r="R407">
        <f>IF(AND(D407&lt;&gt;"",N407="Oui"),1,0)</f>
        <v/>
      </c>
    </row>
    <row r="408">
      <c r="D408" s="3" t="n"/>
      <c r="O408">
        <f>IF(OR(D408="",M408=""),0,IF(N408="Oui",M408,0))</f>
        <v/>
      </c>
      <c r="P408">
        <f>IF(OR(D408="",M408=""),0,IF(N408="Non",M408,0))</f>
        <v/>
      </c>
      <c r="Q408">
        <f>IF(D408="","",YEAR(D408)*100+MONTH(D408))</f>
        <v/>
      </c>
      <c r="R408">
        <f>IF(AND(D408&lt;&gt;"",N408="Oui"),1,0)</f>
        <v/>
      </c>
    </row>
    <row r="409">
      <c r="D409" s="3" t="n"/>
      <c r="O409">
        <f>IF(OR(D409="",M409=""),0,IF(N409="Oui",M409,0))</f>
        <v/>
      </c>
      <c r="P409">
        <f>IF(OR(D409="",M409=""),0,IF(N409="Non",M409,0))</f>
        <v/>
      </c>
      <c r="Q409">
        <f>IF(D409="","",YEAR(D409)*100+MONTH(D409))</f>
        <v/>
      </c>
      <c r="R409">
        <f>IF(AND(D409&lt;&gt;"",N409="Oui"),1,0)</f>
        <v/>
      </c>
    </row>
    <row r="410">
      <c r="D410" s="3" t="n"/>
      <c r="O410">
        <f>IF(OR(D410="",M410=""),0,IF(N410="Oui",M410,0))</f>
        <v/>
      </c>
      <c r="P410">
        <f>IF(OR(D410="",M410=""),0,IF(N410="Non",M410,0))</f>
        <v/>
      </c>
      <c r="Q410">
        <f>IF(D410="","",YEAR(D410)*100+MONTH(D410))</f>
        <v/>
      </c>
      <c r="R410">
        <f>IF(AND(D410&lt;&gt;"",N410="Oui"),1,0)</f>
        <v/>
      </c>
    </row>
    <row r="411">
      <c r="D411" s="3" t="n"/>
      <c r="O411">
        <f>IF(OR(D411="",M411=""),0,IF(N411="Oui",M411,0))</f>
        <v/>
      </c>
      <c r="P411">
        <f>IF(OR(D411="",M411=""),0,IF(N411="Non",M411,0))</f>
        <v/>
      </c>
      <c r="Q411">
        <f>IF(D411="","",YEAR(D411)*100+MONTH(D411))</f>
        <v/>
      </c>
      <c r="R411">
        <f>IF(AND(D411&lt;&gt;"",N411="Oui"),1,0)</f>
        <v/>
      </c>
    </row>
    <row r="412">
      <c r="D412" s="3" t="n"/>
      <c r="O412">
        <f>IF(OR(D412="",M412=""),0,IF(N412="Oui",M412,0))</f>
        <v/>
      </c>
      <c r="P412">
        <f>IF(OR(D412="",M412=""),0,IF(N412="Non",M412,0))</f>
        <v/>
      </c>
      <c r="Q412">
        <f>IF(D412="","",YEAR(D412)*100+MONTH(D412))</f>
        <v/>
      </c>
      <c r="R412">
        <f>IF(AND(D412&lt;&gt;"",N412="Oui"),1,0)</f>
        <v/>
      </c>
    </row>
    <row r="413">
      <c r="D413" s="3" t="n"/>
      <c r="O413">
        <f>IF(OR(D413="",M413=""),0,IF(N413="Oui",M413,0))</f>
        <v/>
      </c>
      <c r="P413">
        <f>IF(OR(D413="",M413=""),0,IF(N413="Non",M413,0))</f>
        <v/>
      </c>
      <c r="Q413">
        <f>IF(D413="","",YEAR(D413)*100+MONTH(D413))</f>
        <v/>
      </c>
      <c r="R413">
        <f>IF(AND(D413&lt;&gt;"",N413="Oui"),1,0)</f>
        <v/>
      </c>
    </row>
    <row r="414">
      <c r="D414" s="3" t="n"/>
      <c r="O414">
        <f>IF(OR(D414="",M414=""),0,IF(N414="Oui",M414,0))</f>
        <v/>
      </c>
      <c r="P414">
        <f>IF(OR(D414="",M414=""),0,IF(N414="Non",M414,0))</f>
        <v/>
      </c>
      <c r="Q414">
        <f>IF(D414="","",YEAR(D414)*100+MONTH(D414))</f>
        <v/>
      </c>
      <c r="R414">
        <f>IF(AND(D414&lt;&gt;"",N414="Oui"),1,0)</f>
        <v/>
      </c>
    </row>
    <row r="415">
      <c r="D415" s="3" t="n"/>
      <c r="O415">
        <f>IF(OR(D415="",M415=""),0,IF(N415="Oui",M415,0))</f>
        <v/>
      </c>
      <c r="P415">
        <f>IF(OR(D415="",M415=""),0,IF(N415="Non",M415,0))</f>
        <v/>
      </c>
      <c r="Q415">
        <f>IF(D415="","",YEAR(D415)*100+MONTH(D415))</f>
        <v/>
      </c>
      <c r="R415">
        <f>IF(AND(D415&lt;&gt;"",N415="Oui"),1,0)</f>
        <v/>
      </c>
    </row>
    <row r="416">
      <c r="D416" s="3" t="n"/>
      <c r="O416">
        <f>IF(OR(D416="",M416=""),0,IF(N416="Oui",M416,0))</f>
        <v/>
      </c>
      <c r="P416">
        <f>IF(OR(D416="",M416=""),0,IF(N416="Non",M416,0))</f>
        <v/>
      </c>
      <c r="Q416">
        <f>IF(D416="","",YEAR(D416)*100+MONTH(D416))</f>
        <v/>
      </c>
      <c r="R416">
        <f>IF(AND(D416&lt;&gt;"",N416="Oui"),1,0)</f>
        <v/>
      </c>
    </row>
    <row r="417">
      <c r="D417" s="3" t="n"/>
      <c r="O417">
        <f>IF(OR(D417="",M417=""),0,IF(N417="Oui",M417,0))</f>
        <v/>
      </c>
      <c r="P417">
        <f>IF(OR(D417="",M417=""),0,IF(N417="Non",M417,0))</f>
        <v/>
      </c>
      <c r="Q417">
        <f>IF(D417="","",YEAR(D417)*100+MONTH(D417))</f>
        <v/>
      </c>
      <c r="R417">
        <f>IF(AND(D417&lt;&gt;"",N417="Oui"),1,0)</f>
        <v/>
      </c>
    </row>
    <row r="418">
      <c r="D418" s="3" t="n"/>
      <c r="O418">
        <f>IF(OR(D418="",M418=""),0,IF(N418="Oui",M418,0))</f>
        <v/>
      </c>
      <c r="P418">
        <f>IF(OR(D418="",M418=""),0,IF(N418="Non",M418,0))</f>
        <v/>
      </c>
      <c r="Q418">
        <f>IF(D418="","",YEAR(D418)*100+MONTH(D418))</f>
        <v/>
      </c>
      <c r="R418">
        <f>IF(AND(D418&lt;&gt;"",N418="Oui"),1,0)</f>
        <v/>
      </c>
    </row>
    <row r="419">
      <c r="D419" s="3" t="n"/>
      <c r="O419">
        <f>IF(OR(D419="",M419=""),0,IF(N419="Oui",M419,0))</f>
        <v/>
      </c>
      <c r="P419">
        <f>IF(OR(D419="",M419=""),0,IF(N419="Non",M419,0))</f>
        <v/>
      </c>
      <c r="Q419">
        <f>IF(D419="","",YEAR(D419)*100+MONTH(D419))</f>
        <v/>
      </c>
      <c r="R419">
        <f>IF(AND(D419&lt;&gt;"",N419="Oui"),1,0)</f>
        <v/>
      </c>
    </row>
    <row r="420">
      <c r="D420" s="3" t="n"/>
      <c r="O420">
        <f>IF(OR(D420="",M420=""),0,IF(N420="Oui",M420,0))</f>
        <v/>
      </c>
      <c r="P420">
        <f>IF(OR(D420="",M420=""),0,IF(N420="Non",M420,0))</f>
        <v/>
      </c>
      <c r="Q420">
        <f>IF(D420="","",YEAR(D420)*100+MONTH(D420))</f>
        <v/>
      </c>
      <c r="R420">
        <f>IF(AND(D420&lt;&gt;"",N420="Oui"),1,0)</f>
        <v/>
      </c>
    </row>
    <row r="421">
      <c r="D421" s="3" t="n"/>
      <c r="O421">
        <f>IF(OR(D421="",M421=""),0,IF(N421="Oui",M421,0))</f>
        <v/>
      </c>
      <c r="P421">
        <f>IF(OR(D421="",M421=""),0,IF(N421="Non",M421,0))</f>
        <v/>
      </c>
      <c r="Q421">
        <f>IF(D421="","",YEAR(D421)*100+MONTH(D421))</f>
        <v/>
      </c>
      <c r="R421">
        <f>IF(AND(D421&lt;&gt;"",N421="Oui"),1,0)</f>
        <v/>
      </c>
    </row>
    <row r="422">
      <c r="D422" s="3" t="n"/>
      <c r="O422">
        <f>IF(OR(D422="",M422=""),0,IF(N422="Oui",M422,0))</f>
        <v/>
      </c>
      <c r="P422">
        <f>IF(OR(D422="",M422=""),0,IF(N422="Non",M422,0))</f>
        <v/>
      </c>
      <c r="Q422">
        <f>IF(D422="","",YEAR(D422)*100+MONTH(D422))</f>
        <v/>
      </c>
      <c r="R422">
        <f>IF(AND(D422&lt;&gt;"",N422="Oui"),1,0)</f>
        <v/>
      </c>
    </row>
    <row r="423">
      <c r="D423" s="3" t="n"/>
      <c r="O423">
        <f>IF(OR(D423="",M423=""),0,IF(N423="Oui",M423,0))</f>
        <v/>
      </c>
      <c r="P423">
        <f>IF(OR(D423="",M423=""),0,IF(N423="Non",M423,0))</f>
        <v/>
      </c>
      <c r="Q423">
        <f>IF(D423="","",YEAR(D423)*100+MONTH(D423))</f>
        <v/>
      </c>
      <c r="R423">
        <f>IF(AND(D423&lt;&gt;"",N423="Oui"),1,0)</f>
        <v/>
      </c>
    </row>
    <row r="424">
      <c r="D424" s="3" t="n"/>
      <c r="O424">
        <f>IF(OR(D424="",M424=""),0,IF(N424="Oui",M424,0))</f>
        <v/>
      </c>
      <c r="P424">
        <f>IF(OR(D424="",M424=""),0,IF(N424="Non",M424,0))</f>
        <v/>
      </c>
      <c r="Q424">
        <f>IF(D424="","",YEAR(D424)*100+MONTH(D424))</f>
        <v/>
      </c>
      <c r="R424">
        <f>IF(AND(D424&lt;&gt;"",N424="Oui"),1,0)</f>
        <v/>
      </c>
    </row>
    <row r="425">
      <c r="D425" s="3" t="n"/>
      <c r="O425">
        <f>IF(OR(D425="",M425=""),0,IF(N425="Oui",M425,0))</f>
        <v/>
      </c>
      <c r="P425">
        <f>IF(OR(D425="",M425=""),0,IF(N425="Non",M425,0))</f>
        <v/>
      </c>
      <c r="Q425">
        <f>IF(D425="","",YEAR(D425)*100+MONTH(D425))</f>
        <v/>
      </c>
      <c r="R425">
        <f>IF(AND(D425&lt;&gt;"",N425="Oui"),1,0)</f>
        <v/>
      </c>
    </row>
    <row r="426">
      <c r="D426" s="3" t="n"/>
      <c r="O426">
        <f>IF(OR(D426="",M426=""),0,IF(N426="Oui",M426,0))</f>
        <v/>
      </c>
      <c r="P426">
        <f>IF(OR(D426="",M426=""),0,IF(N426="Non",M426,0))</f>
        <v/>
      </c>
      <c r="Q426">
        <f>IF(D426="","",YEAR(D426)*100+MONTH(D426))</f>
        <v/>
      </c>
      <c r="R426">
        <f>IF(AND(D426&lt;&gt;"",N426="Oui"),1,0)</f>
        <v/>
      </c>
    </row>
    <row r="427">
      <c r="D427" s="3" t="n"/>
      <c r="O427">
        <f>IF(OR(D427="",M427=""),0,IF(N427="Oui",M427,0))</f>
        <v/>
      </c>
      <c r="P427">
        <f>IF(OR(D427="",M427=""),0,IF(N427="Non",M427,0))</f>
        <v/>
      </c>
      <c r="Q427">
        <f>IF(D427="","",YEAR(D427)*100+MONTH(D427))</f>
        <v/>
      </c>
      <c r="R427">
        <f>IF(AND(D427&lt;&gt;"",N427="Oui"),1,0)</f>
        <v/>
      </c>
    </row>
    <row r="428">
      <c r="D428" s="3" t="n"/>
      <c r="O428">
        <f>IF(OR(D428="",M428=""),0,IF(N428="Oui",M428,0))</f>
        <v/>
      </c>
      <c r="P428">
        <f>IF(OR(D428="",M428=""),0,IF(N428="Non",M428,0))</f>
        <v/>
      </c>
      <c r="Q428">
        <f>IF(D428="","",YEAR(D428)*100+MONTH(D428))</f>
        <v/>
      </c>
      <c r="R428">
        <f>IF(AND(D428&lt;&gt;"",N428="Oui"),1,0)</f>
        <v/>
      </c>
    </row>
    <row r="429">
      <c r="D429" s="3" t="n"/>
      <c r="O429">
        <f>IF(OR(D429="",M429=""),0,IF(N429="Oui",M429,0))</f>
        <v/>
      </c>
      <c r="P429">
        <f>IF(OR(D429="",M429=""),0,IF(N429="Non",M429,0))</f>
        <v/>
      </c>
      <c r="Q429">
        <f>IF(D429="","",YEAR(D429)*100+MONTH(D429))</f>
        <v/>
      </c>
      <c r="R429">
        <f>IF(AND(D429&lt;&gt;"",N429="Oui"),1,0)</f>
        <v/>
      </c>
    </row>
    <row r="430">
      <c r="D430" s="3" t="n"/>
      <c r="O430">
        <f>IF(OR(D430="",M430=""),0,IF(N430="Oui",M430,0))</f>
        <v/>
      </c>
      <c r="P430">
        <f>IF(OR(D430="",M430=""),0,IF(N430="Non",M430,0))</f>
        <v/>
      </c>
      <c r="Q430">
        <f>IF(D430="","",YEAR(D430)*100+MONTH(D430))</f>
        <v/>
      </c>
      <c r="R430">
        <f>IF(AND(D430&lt;&gt;"",N430="Oui"),1,0)</f>
        <v/>
      </c>
    </row>
    <row r="431">
      <c r="D431" s="3" t="n"/>
      <c r="O431">
        <f>IF(OR(D431="",M431=""),0,IF(N431="Oui",M431,0))</f>
        <v/>
      </c>
      <c r="P431">
        <f>IF(OR(D431="",M431=""),0,IF(N431="Non",M431,0))</f>
        <v/>
      </c>
      <c r="Q431">
        <f>IF(D431="","",YEAR(D431)*100+MONTH(D431))</f>
        <v/>
      </c>
      <c r="R431">
        <f>IF(AND(D431&lt;&gt;"",N431="Oui"),1,0)</f>
        <v/>
      </c>
    </row>
    <row r="432">
      <c r="D432" s="3" t="n"/>
      <c r="O432">
        <f>IF(OR(D432="",M432=""),0,IF(N432="Oui",M432,0))</f>
        <v/>
      </c>
      <c r="P432">
        <f>IF(OR(D432="",M432=""),0,IF(N432="Non",M432,0))</f>
        <v/>
      </c>
      <c r="Q432">
        <f>IF(D432="","",YEAR(D432)*100+MONTH(D432))</f>
        <v/>
      </c>
      <c r="R432">
        <f>IF(AND(D432&lt;&gt;"",N432="Oui"),1,0)</f>
        <v/>
      </c>
    </row>
    <row r="433">
      <c r="D433" s="3" t="n"/>
      <c r="O433">
        <f>IF(OR(D433="",M433=""),0,IF(N433="Oui",M433,0))</f>
        <v/>
      </c>
      <c r="P433">
        <f>IF(OR(D433="",M433=""),0,IF(N433="Non",M433,0))</f>
        <v/>
      </c>
      <c r="Q433">
        <f>IF(D433="","",YEAR(D433)*100+MONTH(D433))</f>
        <v/>
      </c>
      <c r="R433">
        <f>IF(AND(D433&lt;&gt;"",N433="Oui"),1,0)</f>
        <v/>
      </c>
    </row>
    <row r="434">
      <c r="D434" s="3" t="n"/>
      <c r="O434">
        <f>IF(OR(D434="",M434=""),0,IF(N434="Oui",M434,0))</f>
        <v/>
      </c>
      <c r="P434">
        <f>IF(OR(D434="",M434=""),0,IF(N434="Non",M434,0))</f>
        <v/>
      </c>
      <c r="Q434">
        <f>IF(D434="","",YEAR(D434)*100+MONTH(D434))</f>
        <v/>
      </c>
      <c r="R434">
        <f>IF(AND(D434&lt;&gt;"",N434="Oui"),1,0)</f>
        <v/>
      </c>
    </row>
    <row r="435">
      <c r="D435" s="3" t="n"/>
      <c r="O435">
        <f>IF(OR(D435="",M435=""),0,IF(N435="Oui",M435,0))</f>
        <v/>
      </c>
      <c r="P435">
        <f>IF(OR(D435="",M435=""),0,IF(N435="Non",M435,0))</f>
        <v/>
      </c>
      <c r="Q435">
        <f>IF(D435="","",YEAR(D435)*100+MONTH(D435))</f>
        <v/>
      </c>
      <c r="R435">
        <f>IF(AND(D435&lt;&gt;"",N435="Oui"),1,0)</f>
        <v/>
      </c>
    </row>
    <row r="436">
      <c r="D436" s="3" t="n"/>
      <c r="O436">
        <f>IF(OR(D436="",M436=""),0,IF(N436="Oui",M436,0))</f>
        <v/>
      </c>
      <c r="P436">
        <f>IF(OR(D436="",M436=""),0,IF(N436="Non",M436,0))</f>
        <v/>
      </c>
      <c r="Q436">
        <f>IF(D436="","",YEAR(D436)*100+MONTH(D436))</f>
        <v/>
      </c>
      <c r="R436">
        <f>IF(AND(D436&lt;&gt;"",N436="Oui"),1,0)</f>
        <v/>
      </c>
    </row>
    <row r="437">
      <c r="D437" s="3" t="n"/>
      <c r="O437">
        <f>IF(OR(D437="",M437=""),0,IF(N437="Oui",M437,0))</f>
        <v/>
      </c>
      <c r="P437">
        <f>IF(OR(D437="",M437=""),0,IF(N437="Non",M437,0))</f>
        <v/>
      </c>
      <c r="Q437">
        <f>IF(D437="","",YEAR(D437)*100+MONTH(D437))</f>
        <v/>
      </c>
      <c r="R437">
        <f>IF(AND(D437&lt;&gt;"",N437="Oui"),1,0)</f>
        <v/>
      </c>
    </row>
    <row r="438">
      <c r="D438" s="3" t="n"/>
      <c r="O438">
        <f>IF(OR(D438="",M438=""),0,IF(N438="Oui",M438,0))</f>
        <v/>
      </c>
      <c r="P438">
        <f>IF(OR(D438="",M438=""),0,IF(N438="Non",M438,0))</f>
        <v/>
      </c>
      <c r="Q438">
        <f>IF(D438="","",YEAR(D438)*100+MONTH(D438))</f>
        <v/>
      </c>
      <c r="R438">
        <f>IF(AND(D438&lt;&gt;"",N438="Oui"),1,0)</f>
        <v/>
      </c>
    </row>
    <row r="439">
      <c r="D439" s="3" t="n"/>
      <c r="O439">
        <f>IF(OR(D439="",M439=""),0,IF(N439="Oui",M439,0))</f>
        <v/>
      </c>
      <c r="P439">
        <f>IF(OR(D439="",M439=""),0,IF(N439="Non",M439,0))</f>
        <v/>
      </c>
      <c r="Q439">
        <f>IF(D439="","",YEAR(D439)*100+MONTH(D439))</f>
        <v/>
      </c>
      <c r="R439">
        <f>IF(AND(D439&lt;&gt;"",N439="Oui"),1,0)</f>
        <v/>
      </c>
    </row>
    <row r="440">
      <c r="D440" s="3" t="n"/>
      <c r="O440">
        <f>IF(OR(D440="",M440=""),0,IF(N440="Oui",M440,0))</f>
        <v/>
      </c>
      <c r="P440">
        <f>IF(OR(D440="",M440=""),0,IF(N440="Non",M440,0))</f>
        <v/>
      </c>
      <c r="Q440">
        <f>IF(D440="","",YEAR(D440)*100+MONTH(D440))</f>
        <v/>
      </c>
      <c r="R440">
        <f>IF(AND(D440&lt;&gt;"",N440="Oui"),1,0)</f>
        <v/>
      </c>
    </row>
    <row r="441">
      <c r="D441" s="3" t="n"/>
      <c r="O441">
        <f>IF(OR(D441="",M441=""),0,IF(N441="Oui",M441,0))</f>
        <v/>
      </c>
      <c r="P441">
        <f>IF(OR(D441="",M441=""),0,IF(N441="Non",M441,0))</f>
        <v/>
      </c>
      <c r="Q441">
        <f>IF(D441="","",YEAR(D441)*100+MONTH(D441))</f>
        <v/>
      </c>
      <c r="R441">
        <f>IF(AND(D441&lt;&gt;"",N441="Oui"),1,0)</f>
        <v/>
      </c>
    </row>
    <row r="442">
      <c r="D442" s="3" t="n"/>
      <c r="O442">
        <f>IF(OR(D442="",M442=""),0,IF(N442="Oui",M442,0))</f>
        <v/>
      </c>
      <c r="P442">
        <f>IF(OR(D442="",M442=""),0,IF(N442="Non",M442,0))</f>
        <v/>
      </c>
      <c r="Q442">
        <f>IF(D442="","",YEAR(D442)*100+MONTH(D442))</f>
        <v/>
      </c>
      <c r="R442">
        <f>IF(AND(D442&lt;&gt;"",N442="Oui"),1,0)</f>
        <v/>
      </c>
    </row>
    <row r="443">
      <c r="D443" s="3" t="n"/>
      <c r="O443">
        <f>IF(OR(D443="",M443=""),0,IF(N443="Oui",M443,0))</f>
        <v/>
      </c>
      <c r="P443">
        <f>IF(OR(D443="",M443=""),0,IF(N443="Non",M443,0))</f>
        <v/>
      </c>
      <c r="Q443">
        <f>IF(D443="","",YEAR(D443)*100+MONTH(D443))</f>
        <v/>
      </c>
      <c r="R443">
        <f>IF(AND(D443&lt;&gt;"",N443="Oui"),1,0)</f>
        <v/>
      </c>
    </row>
    <row r="444">
      <c r="D444" s="3" t="n"/>
      <c r="O444">
        <f>IF(OR(D444="",M444=""),0,IF(N444="Oui",M444,0))</f>
        <v/>
      </c>
      <c r="P444">
        <f>IF(OR(D444="",M444=""),0,IF(N444="Non",M444,0))</f>
        <v/>
      </c>
      <c r="Q444">
        <f>IF(D444="","",YEAR(D444)*100+MONTH(D444))</f>
        <v/>
      </c>
      <c r="R444">
        <f>IF(AND(D444&lt;&gt;"",N444="Oui"),1,0)</f>
        <v/>
      </c>
    </row>
    <row r="445">
      <c r="D445" s="3" t="n"/>
      <c r="O445">
        <f>IF(OR(D445="",M445=""),0,IF(N445="Oui",M445,0))</f>
        <v/>
      </c>
      <c r="P445">
        <f>IF(OR(D445="",M445=""),0,IF(N445="Non",M445,0))</f>
        <v/>
      </c>
      <c r="Q445">
        <f>IF(D445="","",YEAR(D445)*100+MONTH(D445))</f>
        <v/>
      </c>
      <c r="R445">
        <f>IF(AND(D445&lt;&gt;"",N445="Oui"),1,0)</f>
        <v/>
      </c>
    </row>
    <row r="446">
      <c r="D446" s="3" t="n"/>
      <c r="O446">
        <f>IF(OR(D446="",M446=""),0,IF(N446="Oui",M446,0))</f>
        <v/>
      </c>
      <c r="P446">
        <f>IF(OR(D446="",M446=""),0,IF(N446="Non",M446,0))</f>
        <v/>
      </c>
      <c r="Q446">
        <f>IF(D446="","",YEAR(D446)*100+MONTH(D446))</f>
        <v/>
      </c>
      <c r="R446">
        <f>IF(AND(D446&lt;&gt;"",N446="Oui"),1,0)</f>
        <v/>
      </c>
    </row>
    <row r="447">
      <c r="D447" s="3" t="n"/>
      <c r="O447">
        <f>IF(OR(D447="",M447=""),0,IF(N447="Oui",M447,0))</f>
        <v/>
      </c>
      <c r="P447">
        <f>IF(OR(D447="",M447=""),0,IF(N447="Non",M447,0))</f>
        <v/>
      </c>
      <c r="Q447">
        <f>IF(D447="","",YEAR(D447)*100+MONTH(D447))</f>
        <v/>
      </c>
      <c r="R447">
        <f>IF(AND(D447&lt;&gt;"",N447="Oui"),1,0)</f>
        <v/>
      </c>
    </row>
    <row r="448">
      <c r="D448" s="3" t="n"/>
      <c r="O448">
        <f>IF(OR(D448="",M448=""),0,IF(N448="Oui",M448,0))</f>
        <v/>
      </c>
      <c r="P448">
        <f>IF(OR(D448="",M448=""),0,IF(N448="Non",M448,0))</f>
        <v/>
      </c>
      <c r="Q448">
        <f>IF(D448="","",YEAR(D448)*100+MONTH(D448))</f>
        <v/>
      </c>
      <c r="R448">
        <f>IF(AND(D448&lt;&gt;"",N448="Oui"),1,0)</f>
        <v/>
      </c>
    </row>
    <row r="449">
      <c r="D449" s="3" t="n"/>
      <c r="O449">
        <f>IF(OR(D449="",M449=""),0,IF(N449="Oui",M449,0))</f>
        <v/>
      </c>
      <c r="P449">
        <f>IF(OR(D449="",M449=""),0,IF(N449="Non",M449,0))</f>
        <v/>
      </c>
      <c r="Q449">
        <f>IF(D449="","",YEAR(D449)*100+MONTH(D449))</f>
        <v/>
      </c>
      <c r="R449">
        <f>IF(AND(D449&lt;&gt;"",N449="Oui"),1,0)</f>
        <v/>
      </c>
    </row>
    <row r="450">
      <c r="D450" s="3" t="n"/>
      <c r="O450">
        <f>IF(OR(D450="",M450=""),0,IF(N450="Oui",M450,0))</f>
        <v/>
      </c>
      <c r="P450">
        <f>IF(OR(D450="",M450=""),0,IF(N450="Non",M450,0))</f>
        <v/>
      </c>
      <c r="Q450">
        <f>IF(D450="","",YEAR(D450)*100+MONTH(D450))</f>
        <v/>
      </c>
      <c r="R450">
        <f>IF(AND(D450&lt;&gt;"",N450="Oui"),1,0)</f>
        <v/>
      </c>
    </row>
    <row r="451">
      <c r="D451" s="3" t="n"/>
      <c r="O451">
        <f>IF(OR(D451="",M451=""),0,IF(N451="Oui",M451,0))</f>
        <v/>
      </c>
      <c r="P451">
        <f>IF(OR(D451="",M451=""),0,IF(N451="Non",M451,0))</f>
        <v/>
      </c>
      <c r="Q451">
        <f>IF(D451="","",YEAR(D451)*100+MONTH(D451))</f>
        <v/>
      </c>
      <c r="R451">
        <f>IF(AND(D451&lt;&gt;"",N451="Oui"),1,0)</f>
        <v/>
      </c>
    </row>
    <row r="452">
      <c r="D452" s="3" t="n"/>
      <c r="O452">
        <f>IF(OR(D452="",M452=""),0,IF(N452="Oui",M452,0))</f>
        <v/>
      </c>
      <c r="P452">
        <f>IF(OR(D452="",M452=""),0,IF(N452="Non",M452,0))</f>
        <v/>
      </c>
      <c r="Q452">
        <f>IF(D452="","",YEAR(D452)*100+MONTH(D452))</f>
        <v/>
      </c>
      <c r="R452">
        <f>IF(AND(D452&lt;&gt;"",N452="Oui"),1,0)</f>
        <v/>
      </c>
    </row>
    <row r="453">
      <c r="D453" s="3" t="n"/>
      <c r="O453">
        <f>IF(OR(D453="",M453=""),0,IF(N453="Oui",M453,0))</f>
        <v/>
      </c>
      <c r="P453">
        <f>IF(OR(D453="",M453=""),0,IF(N453="Non",M453,0))</f>
        <v/>
      </c>
      <c r="Q453">
        <f>IF(D453="","",YEAR(D453)*100+MONTH(D453))</f>
        <v/>
      </c>
      <c r="R453">
        <f>IF(AND(D453&lt;&gt;"",N453="Oui"),1,0)</f>
        <v/>
      </c>
    </row>
    <row r="454">
      <c r="D454" s="3" t="n"/>
      <c r="O454">
        <f>IF(OR(D454="",M454=""),0,IF(N454="Oui",M454,0))</f>
        <v/>
      </c>
      <c r="P454">
        <f>IF(OR(D454="",M454=""),0,IF(N454="Non",M454,0))</f>
        <v/>
      </c>
      <c r="Q454">
        <f>IF(D454="","",YEAR(D454)*100+MONTH(D454))</f>
        <v/>
      </c>
      <c r="R454">
        <f>IF(AND(D454&lt;&gt;"",N454="Oui"),1,0)</f>
        <v/>
      </c>
    </row>
    <row r="455">
      <c r="D455" s="3" t="n"/>
      <c r="O455">
        <f>IF(OR(D455="",M455=""),0,IF(N455="Oui",M455,0))</f>
        <v/>
      </c>
      <c r="P455">
        <f>IF(OR(D455="",M455=""),0,IF(N455="Non",M455,0))</f>
        <v/>
      </c>
      <c r="Q455">
        <f>IF(D455="","",YEAR(D455)*100+MONTH(D455))</f>
        <v/>
      </c>
      <c r="R455">
        <f>IF(AND(D455&lt;&gt;"",N455="Oui"),1,0)</f>
        <v/>
      </c>
    </row>
    <row r="456">
      <c r="D456" s="3" t="n"/>
      <c r="O456">
        <f>IF(OR(D456="",M456=""),0,IF(N456="Oui",M456,0))</f>
        <v/>
      </c>
      <c r="P456">
        <f>IF(OR(D456="",M456=""),0,IF(N456="Non",M456,0))</f>
        <v/>
      </c>
      <c r="Q456">
        <f>IF(D456="","",YEAR(D456)*100+MONTH(D456))</f>
        <v/>
      </c>
      <c r="R456">
        <f>IF(AND(D456&lt;&gt;"",N456="Oui"),1,0)</f>
        <v/>
      </c>
    </row>
    <row r="457">
      <c r="D457" s="3" t="n"/>
      <c r="O457">
        <f>IF(OR(D457="",M457=""),0,IF(N457="Oui",M457,0))</f>
        <v/>
      </c>
      <c r="P457">
        <f>IF(OR(D457="",M457=""),0,IF(N457="Non",M457,0))</f>
        <v/>
      </c>
      <c r="Q457">
        <f>IF(D457="","",YEAR(D457)*100+MONTH(D457))</f>
        <v/>
      </c>
      <c r="R457">
        <f>IF(AND(D457&lt;&gt;"",N457="Oui"),1,0)</f>
        <v/>
      </c>
    </row>
    <row r="458">
      <c r="D458" s="3" t="n"/>
      <c r="O458">
        <f>IF(OR(D458="",M458=""),0,IF(N458="Oui",M458,0))</f>
        <v/>
      </c>
      <c r="P458">
        <f>IF(OR(D458="",M458=""),0,IF(N458="Non",M458,0))</f>
        <v/>
      </c>
      <c r="Q458">
        <f>IF(D458="","",YEAR(D458)*100+MONTH(D458))</f>
        <v/>
      </c>
      <c r="R458">
        <f>IF(AND(D458&lt;&gt;"",N458="Oui"),1,0)</f>
        <v/>
      </c>
    </row>
    <row r="459">
      <c r="D459" s="3" t="n"/>
      <c r="O459">
        <f>IF(OR(D459="",M459=""),0,IF(N459="Oui",M459,0))</f>
        <v/>
      </c>
      <c r="P459">
        <f>IF(OR(D459="",M459=""),0,IF(N459="Non",M459,0))</f>
        <v/>
      </c>
      <c r="Q459">
        <f>IF(D459="","",YEAR(D459)*100+MONTH(D459))</f>
        <v/>
      </c>
      <c r="R459">
        <f>IF(AND(D459&lt;&gt;"",N459="Oui"),1,0)</f>
        <v/>
      </c>
    </row>
    <row r="460">
      <c r="D460" s="3" t="n"/>
      <c r="O460">
        <f>IF(OR(D460="",M460=""),0,IF(N460="Oui",M460,0))</f>
        <v/>
      </c>
      <c r="P460">
        <f>IF(OR(D460="",M460=""),0,IF(N460="Non",M460,0))</f>
        <v/>
      </c>
      <c r="Q460">
        <f>IF(D460="","",YEAR(D460)*100+MONTH(D460))</f>
        <v/>
      </c>
      <c r="R460">
        <f>IF(AND(D460&lt;&gt;"",N460="Oui"),1,0)</f>
        <v/>
      </c>
    </row>
    <row r="461">
      <c r="D461" s="3" t="n"/>
      <c r="O461">
        <f>IF(OR(D461="",M461=""),0,IF(N461="Oui",M461,0))</f>
        <v/>
      </c>
      <c r="P461">
        <f>IF(OR(D461="",M461=""),0,IF(N461="Non",M461,0))</f>
        <v/>
      </c>
      <c r="Q461">
        <f>IF(D461="","",YEAR(D461)*100+MONTH(D461))</f>
        <v/>
      </c>
      <c r="R461">
        <f>IF(AND(D461&lt;&gt;"",N461="Oui"),1,0)</f>
        <v/>
      </c>
    </row>
    <row r="462">
      <c r="D462" s="3" t="n"/>
      <c r="O462">
        <f>IF(OR(D462="",M462=""),0,IF(N462="Oui",M462,0))</f>
        <v/>
      </c>
      <c r="P462">
        <f>IF(OR(D462="",M462=""),0,IF(N462="Non",M462,0))</f>
        <v/>
      </c>
      <c r="Q462">
        <f>IF(D462="","",YEAR(D462)*100+MONTH(D462))</f>
        <v/>
      </c>
      <c r="R462">
        <f>IF(AND(D462&lt;&gt;"",N462="Oui"),1,0)</f>
        <v/>
      </c>
    </row>
    <row r="463">
      <c r="D463" s="3" t="n"/>
      <c r="O463">
        <f>IF(OR(D463="",M463=""),0,IF(N463="Oui",M463,0))</f>
        <v/>
      </c>
      <c r="P463">
        <f>IF(OR(D463="",M463=""),0,IF(N463="Non",M463,0))</f>
        <v/>
      </c>
      <c r="Q463">
        <f>IF(D463="","",YEAR(D463)*100+MONTH(D463))</f>
        <v/>
      </c>
      <c r="R463">
        <f>IF(AND(D463&lt;&gt;"",N463="Oui"),1,0)</f>
        <v/>
      </c>
    </row>
    <row r="464">
      <c r="D464" s="3" t="n"/>
      <c r="O464">
        <f>IF(OR(D464="",M464=""),0,IF(N464="Oui",M464,0))</f>
        <v/>
      </c>
      <c r="P464">
        <f>IF(OR(D464="",M464=""),0,IF(N464="Non",M464,0))</f>
        <v/>
      </c>
      <c r="Q464">
        <f>IF(D464="","",YEAR(D464)*100+MONTH(D464))</f>
        <v/>
      </c>
      <c r="R464">
        <f>IF(AND(D464&lt;&gt;"",N464="Oui"),1,0)</f>
        <v/>
      </c>
    </row>
    <row r="465">
      <c r="D465" s="3" t="n"/>
      <c r="O465">
        <f>IF(OR(D465="",M465=""),0,IF(N465="Oui",M465,0))</f>
        <v/>
      </c>
      <c r="P465">
        <f>IF(OR(D465="",M465=""),0,IF(N465="Non",M465,0))</f>
        <v/>
      </c>
      <c r="Q465">
        <f>IF(D465="","",YEAR(D465)*100+MONTH(D465))</f>
        <v/>
      </c>
      <c r="R465">
        <f>IF(AND(D465&lt;&gt;"",N465="Oui"),1,0)</f>
        <v/>
      </c>
    </row>
    <row r="466">
      <c r="D466" s="3" t="n"/>
      <c r="O466">
        <f>IF(OR(D466="",M466=""),0,IF(N466="Oui",M466,0))</f>
        <v/>
      </c>
      <c r="P466">
        <f>IF(OR(D466="",M466=""),0,IF(N466="Non",M466,0))</f>
        <v/>
      </c>
      <c r="Q466">
        <f>IF(D466="","",YEAR(D466)*100+MONTH(D466))</f>
        <v/>
      </c>
      <c r="R466">
        <f>IF(AND(D466&lt;&gt;"",N466="Oui"),1,0)</f>
        <v/>
      </c>
    </row>
    <row r="467">
      <c r="D467" s="3" t="n"/>
      <c r="O467">
        <f>IF(OR(D467="",M467=""),0,IF(N467="Oui",M467,0))</f>
        <v/>
      </c>
      <c r="P467">
        <f>IF(OR(D467="",M467=""),0,IF(N467="Non",M467,0))</f>
        <v/>
      </c>
      <c r="Q467">
        <f>IF(D467="","",YEAR(D467)*100+MONTH(D467))</f>
        <v/>
      </c>
      <c r="R467">
        <f>IF(AND(D467&lt;&gt;"",N467="Oui"),1,0)</f>
        <v/>
      </c>
    </row>
    <row r="468">
      <c r="D468" s="3" t="n"/>
      <c r="O468">
        <f>IF(OR(D468="",M468=""),0,IF(N468="Oui",M468,0))</f>
        <v/>
      </c>
      <c r="P468">
        <f>IF(OR(D468="",M468=""),0,IF(N468="Non",M468,0))</f>
        <v/>
      </c>
      <c r="Q468">
        <f>IF(D468="","",YEAR(D468)*100+MONTH(D468))</f>
        <v/>
      </c>
      <c r="R468">
        <f>IF(AND(D468&lt;&gt;"",N468="Oui"),1,0)</f>
        <v/>
      </c>
    </row>
    <row r="469">
      <c r="D469" s="3" t="n"/>
      <c r="O469">
        <f>IF(OR(D469="",M469=""),0,IF(N469="Oui",M469,0))</f>
        <v/>
      </c>
      <c r="P469">
        <f>IF(OR(D469="",M469=""),0,IF(N469="Non",M469,0))</f>
        <v/>
      </c>
      <c r="Q469">
        <f>IF(D469="","",YEAR(D469)*100+MONTH(D469))</f>
        <v/>
      </c>
      <c r="R469">
        <f>IF(AND(D469&lt;&gt;"",N469="Oui"),1,0)</f>
        <v/>
      </c>
    </row>
    <row r="470">
      <c r="D470" s="3" t="n"/>
      <c r="O470">
        <f>IF(OR(D470="",M470=""),0,IF(N470="Oui",M470,0))</f>
        <v/>
      </c>
      <c r="P470">
        <f>IF(OR(D470="",M470=""),0,IF(N470="Non",M470,0))</f>
        <v/>
      </c>
      <c r="Q470">
        <f>IF(D470="","",YEAR(D470)*100+MONTH(D470))</f>
        <v/>
      </c>
      <c r="R470">
        <f>IF(AND(D470&lt;&gt;"",N470="Oui"),1,0)</f>
        <v/>
      </c>
    </row>
    <row r="471">
      <c r="D471" s="3" t="n"/>
      <c r="O471">
        <f>IF(OR(D471="",M471=""),0,IF(N471="Oui",M471,0))</f>
        <v/>
      </c>
      <c r="P471">
        <f>IF(OR(D471="",M471=""),0,IF(N471="Non",M471,0))</f>
        <v/>
      </c>
      <c r="Q471">
        <f>IF(D471="","",YEAR(D471)*100+MONTH(D471))</f>
        <v/>
      </c>
      <c r="R471">
        <f>IF(AND(D471&lt;&gt;"",N471="Oui"),1,0)</f>
        <v/>
      </c>
    </row>
    <row r="472">
      <c r="D472" s="3" t="n"/>
      <c r="O472">
        <f>IF(OR(D472="",M472=""),0,IF(N472="Oui",M472,0))</f>
        <v/>
      </c>
      <c r="P472">
        <f>IF(OR(D472="",M472=""),0,IF(N472="Non",M472,0))</f>
        <v/>
      </c>
      <c r="Q472">
        <f>IF(D472="","",YEAR(D472)*100+MONTH(D472))</f>
        <v/>
      </c>
      <c r="R472">
        <f>IF(AND(D472&lt;&gt;"",N472="Oui"),1,0)</f>
        <v/>
      </c>
    </row>
    <row r="473">
      <c r="D473" s="3" t="n"/>
      <c r="O473">
        <f>IF(OR(D473="",M473=""),0,IF(N473="Oui",M473,0))</f>
        <v/>
      </c>
      <c r="P473">
        <f>IF(OR(D473="",M473=""),0,IF(N473="Non",M473,0))</f>
        <v/>
      </c>
      <c r="Q473">
        <f>IF(D473="","",YEAR(D473)*100+MONTH(D473))</f>
        <v/>
      </c>
      <c r="R473">
        <f>IF(AND(D473&lt;&gt;"",N473="Oui"),1,0)</f>
        <v/>
      </c>
    </row>
    <row r="474">
      <c r="D474" s="3" t="n"/>
      <c r="O474">
        <f>IF(OR(D474="",M474=""),0,IF(N474="Oui",M474,0))</f>
        <v/>
      </c>
      <c r="P474">
        <f>IF(OR(D474="",M474=""),0,IF(N474="Non",M474,0))</f>
        <v/>
      </c>
      <c r="Q474">
        <f>IF(D474="","",YEAR(D474)*100+MONTH(D474))</f>
        <v/>
      </c>
      <c r="R474">
        <f>IF(AND(D474&lt;&gt;"",N474="Oui"),1,0)</f>
        <v/>
      </c>
    </row>
    <row r="475">
      <c r="D475" s="3" t="n"/>
      <c r="O475">
        <f>IF(OR(D475="",M475=""),0,IF(N475="Oui",M475,0))</f>
        <v/>
      </c>
      <c r="P475">
        <f>IF(OR(D475="",M475=""),0,IF(N475="Non",M475,0))</f>
        <v/>
      </c>
      <c r="Q475">
        <f>IF(D475="","",YEAR(D475)*100+MONTH(D475))</f>
        <v/>
      </c>
      <c r="R475">
        <f>IF(AND(D475&lt;&gt;"",N475="Oui"),1,0)</f>
        <v/>
      </c>
    </row>
    <row r="476">
      <c r="D476" s="3" t="n"/>
      <c r="O476">
        <f>IF(OR(D476="",M476=""),0,IF(N476="Oui",M476,0))</f>
        <v/>
      </c>
      <c r="P476">
        <f>IF(OR(D476="",M476=""),0,IF(N476="Non",M476,0))</f>
        <v/>
      </c>
      <c r="Q476">
        <f>IF(D476="","",YEAR(D476)*100+MONTH(D476))</f>
        <v/>
      </c>
      <c r="R476">
        <f>IF(AND(D476&lt;&gt;"",N476="Oui"),1,0)</f>
        <v/>
      </c>
    </row>
    <row r="477">
      <c r="D477" s="3" t="n"/>
      <c r="O477">
        <f>IF(OR(D477="",M477=""),0,IF(N477="Oui",M477,0))</f>
        <v/>
      </c>
      <c r="P477">
        <f>IF(OR(D477="",M477=""),0,IF(N477="Non",M477,0))</f>
        <v/>
      </c>
      <c r="Q477">
        <f>IF(D477="","",YEAR(D477)*100+MONTH(D477))</f>
        <v/>
      </c>
      <c r="R477">
        <f>IF(AND(D477&lt;&gt;"",N477="Oui"),1,0)</f>
        <v/>
      </c>
    </row>
    <row r="478">
      <c r="D478" s="3" t="n"/>
      <c r="O478">
        <f>IF(OR(D478="",M478=""),0,IF(N478="Oui",M478,0))</f>
        <v/>
      </c>
      <c r="P478">
        <f>IF(OR(D478="",M478=""),0,IF(N478="Non",M478,0))</f>
        <v/>
      </c>
      <c r="Q478">
        <f>IF(D478="","",YEAR(D478)*100+MONTH(D478))</f>
        <v/>
      </c>
      <c r="R478">
        <f>IF(AND(D478&lt;&gt;"",N478="Oui"),1,0)</f>
        <v/>
      </c>
    </row>
    <row r="479">
      <c r="D479" s="3" t="n"/>
      <c r="O479">
        <f>IF(OR(D479="",M479=""),0,IF(N479="Oui",M479,0))</f>
        <v/>
      </c>
      <c r="P479">
        <f>IF(OR(D479="",M479=""),0,IF(N479="Non",M479,0))</f>
        <v/>
      </c>
      <c r="Q479">
        <f>IF(D479="","",YEAR(D479)*100+MONTH(D479))</f>
        <v/>
      </c>
      <c r="R479">
        <f>IF(AND(D479&lt;&gt;"",N479="Oui"),1,0)</f>
        <v/>
      </c>
    </row>
    <row r="480">
      <c r="D480" s="3" t="n"/>
      <c r="O480">
        <f>IF(OR(D480="",M480=""),0,IF(N480="Oui",M480,0))</f>
        <v/>
      </c>
      <c r="P480">
        <f>IF(OR(D480="",M480=""),0,IF(N480="Non",M480,0))</f>
        <v/>
      </c>
      <c r="Q480">
        <f>IF(D480="","",YEAR(D480)*100+MONTH(D480))</f>
        <v/>
      </c>
      <c r="R480">
        <f>IF(AND(D480&lt;&gt;"",N480="Oui"),1,0)</f>
        <v/>
      </c>
    </row>
    <row r="481">
      <c r="D481" s="3" t="n"/>
      <c r="O481">
        <f>IF(OR(D481="",M481=""),0,IF(N481="Oui",M481,0))</f>
        <v/>
      </c>
      <c r="P481">
        <f>IF(OR(D481="",M481=""),0,IF(N481="Non",M481,0))</f>
        <v/>
      </c>
      <c r="Q481">
        <f>IF(D481="","",YEAR(D481)*100+MONTH(D481))</f>
        <v/>
      </c>
      <c r="R481">
        <f>IF(AND(D481&lt;&gt;"",N481="Oui"),1,0)</f>
        <v/>
      </c>
    </row>
    <row r="482">
      <c r="D482" s="3" t="n"/>
      <c r="O482">
        <f>IF(OR(D482="",M482=""),0,IF(N482="Oui",M482,0))</f>
        <v/>
      </c>
      <c r="P482">
        <f>IF(OR(D482="",M482=""),0,IF(N482="Non",M482,0))</f>
        <v/>
      </c>
      <c r="Q482">
        <f>IF(D482="","",YEAR(D482)*100+MONTH(D482))</f>
        <v/>
      </c>
      <c r="R482">
        <f>IF(AND(D482&lt;&gt;"",N482="Oui"),1,0)</f>
        <v/>
      </c>
    </row>
    <row r="483">
      <c r="D483" s="3" t="n"/>
      <c r="O483">
        <f>IF(OR(D483="",M483=""),0,IF(N483="Oui",M483,0))</f>
        <v/>
      </c>
      <c r="P483">
        <f>IF(OR(D483="",M483=""),0,IF(N483="Non",M483,0))</f>
        <v/>
      </c>
      <c r="Q483">
        <f>IF(D483="","",YEAR(D483)*100+MONTH(D483))</f>
        <v/>
      </c>
      <c r="R483">
        <f>IF(AND(D483&lt;&gt;"",N483="Oui"),1,0)</f>
        <v/>
      </c>
    </row>
    <row r="484">
      <c r="D484" s="3" t="n"/>
      <c r="O484">
        <f>IF(OR(D484="",M484=""),0,IF(N484="Oui",M484,0))</f>
        <v/>
      </c>
      <c r="P484">
        <f>IF(OR(D484="",M484=""),0,IF(N484="Non",M484,0))</f>
        <v/>
      </c>
      <c r="Q484">
        <f>IF(D484="","",YEAR(D484)*100+MONTH(D484))</f>
        <v/>
      </c>
      <c r="R484">
        <f>IF(AND(D484&lt;&gt;"",N484="Oui"),1,0)</f>
        <v/>
      </c>
    </row>
    <row r="485">
      <c r="D485" s="3" t="n"/>
      <c r="O485">
        <f>IF(OR(D485="",M485=""),0,IF(N485="Oui",M485,0))</f>
        <v/>
      </c>
      <c r="P485">
        <f>IF(OR(D485="",M485=""),0,IF(N485="Non",M485,0))</f>
        <v/>
      </c>
      <c r="Q485">
        <f>IF(D485="","",YEAR(D485)*100+MONTH(D485))</f>
        <v/>
      </c>
      <c r="R485">
        <f>IF(AND(D485&lt;&gt;"",N485="Oui"),1,0)</f>
        <v/>
      </c>
    </row>
    <row r="486">
      <c r="D486" s="3" t="n"/>
      <c r="O486">
        <f>IF(OR(D486="",M486=""),0,IF(N486="Oui",M486,0))</f>
        <v/>
      </c>
      <c r="P486">
        <f>IF(OR(D486="",M486=""),0,IF(N486="Non",M486,0))</f>
        <v/>
      </c>
      <c r="Q486">
        <f>IF(D486="","",YEAR(D486)*100+MONTH(D486))</f>
        <v/>
      </c>
      <c r="R486">
        <f>IF(AND(D486&lt;&gt;"",N486="Oui"),1,0)</f>
        <v/>
      </c>
    </row>
    <row r="487">
      <c r="D487" s="3" t="n"/>
      <c r="O487">
        <f>IF(OR(D487="",M487=""),0,IF(N487="Oui",M487,0))</f>
        <v/>
      </c>
      <c r="P487">
        <f>IF(OR(D487="",M487=""),0,IF(N487="Non",M487,0))</f>
        <v/>
      </c>
      <c r="Q487">
        <f>IF(D487="","",YEAR(D487)*100+MONTH(D487))</f>
        <v/>
      </c>
      <c r="R487">
        <f>IF(AND(D487&lt;&gt;"",N487="Oui"),1,0)</f>
        <v/>
      </c>
    </row>
    <row r="488">
      <c r="D488" s="3" t="n"/>
      <c r="O488">
        <f>IF(OR(D488="",M488=""),0,IF(N488="Oui",M488,0))</f>
        <v/>
      </c>
      <c r="P488">
        <f>IF(OR(D488="",M488=""),0,IF(N488="Non",M488,0))</f>
        <v/>
      </c>
      <c r="Q488">
        <f>IF(D488="","",YEAR(D488)*100+MONTH(D488))</f>
        <v/>
      </c>
      <c r="R488">
        <f>IF(AND(D488&lt;&gt;"",N488="Oui"),1,0)</f>
        <v/>
      </c>
    </row>
    <row r="489">
      <c r="D489" s="3" t="n"/>
      <c r="O489">
        <f>IF(OR(D489="",M489=""),0,IF(N489="Oui",M489,0))</f>
        <v/>
      </c>
      <c r="P489">
        <f>IF(OR(D489="",M489=""),0,IF(N489="Non",M489,0))</f>
        <v/>
      </c>
      <c r="Q489">
        <f>IF(D489="","",YEAR(D489)*100+MONTH(D489))</f>
        <v/>
      </c>
      <c r="R489">
        <f>IF(AND(D489&lt;&gt;"",N489="Oui"),1,0)</f>
        <v/>
      </c>
    </row>
    <row r="490">
      <c r="D490" s="3" t="n"/>
      <c r="O490">
        <f>IF(OR(D490="",M490=""),0,IF(N490="Oui",M490,0))</f>
        <v/>
      </c>
      <c r="P490">
        <f>IF(OR(D490="",M490=""),0,IF(N490="Non",M490,0))</f>
        <v/>
      </c>
      <c r="Q490">
        <f>IF(D490="","",YEAR(D490)*100+MONTH(D490))</f>
        <v/>
      </c>
      <c r="R490">
        <f>IF(AND(D490&lt;&gt;"",N490="Oui"),1,0)</f>
        <v/>
      </c>
    </row>
    <row r="491">
      <c r="D491" s="3" t="n"/>
      <c r="O491">
        <f>IF(OR(D491="",M491=""),0,IF(N491="Oui",M491,0))</f>
        <v/>
      </c>
      <c r="P491">
        <f>IF(OR(D491="",M491=""),0,IF(N491="Non",M491,0))</f>
        <v/>
      </c>
      <c r="Q491">
        <f>IF(D491="","",YEAR(D491)*100+MONTH(D491))</f>
        <v/>
      </c>
      <c r="R491">
        <f>IF(AND(D491&lt;&gt;"",N491="Oui"),1,0)</f>
        <v/>
      </c>
    </row>
    <row r="492">
      <c r="D492" s="3" t="n"/>
      <c r="O492">
        <f>IF(OR(D492="",M492=""),0,IF(N492="Oui",M492,0))</f>
        <v/>
      </c>
      <c r="P492">
        <f>IF(OR(D492="",M492=""),0,IF(N492="Non",M492,0))</f>
        <v/>
      </c>
      <c r="Q492">
        <f>IF(D492="","",YEAR(D492)*100+MONTH(D492))</f>
        <v/>
      </c>
      <c r="R492">
        <f>IF(AND(D492&lt;&gt;"",N492="Oui"),1,0)</f>
        <v/>
      </c>
    </row>
    <row r="493">
      <c r="D493" s="3" t="n"/>
      <c r="O493">
        <f>IF(OR(D493="",M493=""),0,IF(N493="Oui",M493,0))</f>
        <v/>
      </c>
      <c r="P493">
        <f>IF(OR(D493="",M493=""),0,IF(N493="Non",M493,0))</f>
        <v/>
      </c>
      <c r="Q493">
        <f>IF(D493="","",YEAR(D493)*100+MONTH(D493))</f>
        <v/>
      </c>
      <c r="R493">
        <f>IF(AND(D493&lt;&gt;"",N493="Oui"),1,0)</f>
        <v/>
      </c>
    </row>
    <row r="494">
      <c r="D494" s="3" t="n"/>
      <c r="O494">
        <f>IF(OR(D494="",M494=""),0,IF(N494="Oui",M494,0))</f>
        <v/>
      </c>
      <c r="P494">
        <f>IF(OR(D494="",M494=""),0,IF(N494="Non",M494,0))</f>
        <v/>
      </c>
      <c r="Q494">
        <f>IF(D494="","",YEAR(D494)*100+MONTH(D494))</f>
        <v/>
      </c>
      <c r="R494">
        <f>IF(AND(D494&lt;&gt;"",N494="Oui"),1,0)</f>
        <v/>
      </c>
    </row>
    <row r="495">
      <c r="D495" s="3" t="n"/>
      <c r="O495">
        <f>IF(OR(D495="",M495=""),0,IF(N495="Oui",M495,0))</f>
        <v/>
      </c>
      <c r="P495">
        <f>IF(OR(D495="",M495=""),0,IF(N495="Non",M495,0))</f>
        <v/>
      </c>
      <c r="Q495">
        <f>IF(D495="","",YEAR(D495)*100+MONTH(D495))</f>
        <v/>
      </c>
      <c r="R495">
        <f>IF(AND(D495&lt;&gt;"",N495="Oui"),1,0)</f>
        <v/>
      </c>
    </row>
    <row r="496">
      <c r="D496" s="3" t="n"/>
      <c r="O496">
        <f>IF(OR(D496="",M496=""),0,IF(N496="Oui",M496,0))</f>
        <v/>
      </c>
      <c r="P496">
        <f>IF(OR(D496="",M496=""),0,IF(N496="Non",M496,0))</f>
        <v/>
      </c>
      <c r="Q496">
        <f>IF(D496="","",YEAR(D496)*100+MONTH(D496))</f>
        <v/>
      </c>
      <c r="R496">
        <f>IF(AND(D496&lt;&gt;"",N496="Oui"),1,0)</f>
        <v/>
      </c>
    </row>
    <row r="497">
      <c r="D497" s="3" t="n"/>
      <c r="O497">
        <f>IF(OR(D497="",M497=""),0,IF(N497="Oui",M497,0))</f>
        <v/>
      </c>
      <c r="P497">
        <f>IF(OR(D497="",M497=""),0,IF(N497="Non",M497,0))</f>
        <v/>
      </c>
      <c r="Q497">
        <f>IF(D497="","",YEAR(D497)*100+MONTH(D497))</f>
        <v/>
      </c>
      <c r="R497">
        <f>IF(AND(D497&lt;&gt;"",N497="Oui"),1,0)</f>
        <v/>
      </c>
    </row>
    <row r="498">
      <c r="D498" s="3" t="n"/>
      <c r="O498">
        <f>IF(OR(D498="",M498=""),0,IF(N498="Oui",M498,0))</f>
        <v/>
      </c>
      <c r="P498">
        <f>IF(OR(D498="",M498=""),0,IF(N498="Non",M498,0))</f>
        <v/>
      </c>
      <c r="Q498">
        <f>IF(D498="","",YEAR(D498)*100+MONTH(D498))</f>
        <v/>
      </c>
      <c r="R498">
        <f>IF(AND(D498&lt;&gt;"",N498="Oui"),1,0)</f>
        <v/>
      </c>
    </row>
    <row r="499">
      <c r="D499" s="3" t="n"/>
      <c r="O499">
        <f>IF(OR(D499="",M499=""),0,IF(N499="Oui",M499,0))</f>
        <v/>
      </c>
      <c r="P499">
        <f>IF(OR(D499="",M499=""),0,IF(N499="Non",M499,0))</f>
        <v/>
      </c>
      <c r="Q499">
        <f>IF(D499="","",YEAR(D499)*100+MONTH(D499))</f>
        <v/>
      </c>
      <c r="R499">
        <f>IF(AND(D499&lt;&gt;"",N499="Oui"),1,0)</f>
        <v/>
      </c>
    </row>
    <row r="500">
      <c r="D500" s="3" t="n"/>
      <c r="O500">
        <f>IF(OR(D500="",M500=""),0,IF(N500="Oui",M500,0))</f>
        <v/>
      </c>
      <c r="P500">
        <f>IF(OR(D500="",M500=""),0,IF(N500="Non",M500,0))</f>
        <v/>
      </c>
      <c r="Q500">
        <f>IF(D500="","",YEAR(D500)*100+MONTH(D500))</f>
        <v/>
      </c>
      <c r="R500">
        <f>IF(AND(D500&lt;&gt;"",N500="Oui"),1,0)</f>
        <v/>
      </c>
    </row>
    <row r="501">
      <c r="D501" s="3" t="n"/>
      <c r="O501">
        <f>IF(OR(D501="",M501=""),0,IF(N501="Oui",M501,0))</f>
        <v/>
      </c>
      <c r="P501">
        <f>IF(OR(D501="",M501=""),0,IF(N501="Non",M501,0))</f>
        <v/>
      </c>
      <c r="Q501">
        <f>IF(D501="","",YEAR(D501)*100+MONTH(D501))</f>
        <v/>
      </c>
      <c r="R501">
        <f>IF(AND(D501&lt;&gt;"",N501="Oui"),1,0)</f>
        <v/>
      </c>
    </row>
  </sheetData>
  <autoFilter ref="A1:R2"/>
  <dataValidations count="1">
    <dataValidation sqref="N2:N501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2" customHeight="1">
      <c r="A1" s="1" t="inlineStr">
        <is>
          <t>Date</t>
        </is>
      </c>
      <c r="B1" s="1" t="inlineStr">
        <is>
          <t>Collaborateur</t>
        </is>
      </c>
      <c r="C1" s="1" t="inlineStr">
        <is>
          <t>Heures connectées</t>
        </is>
      </c>
      <c r="D1" s="1" t="inlineStr">
        <is>
          <t>Mois clé</t>
        </is>
      </c>
    </row>
    <row r="2">
      <c r="A2" s="3" t="n"/>
      <c r="D2">
        <f>IF(A2="","",YEAR(A2)*100+MONTH(A2))</f>
        <v/>
      </c>
    </row>
    <row r="3">
      <c r="A3" s="3" t="n"/>
      <c r="D3">
        <f>IF(A3="","",YEAR(A3)*100+MONTH(A3))</f>
        <v/>
      </c>
    </row>
    <row r="4">
      <c r="A4" s="3" t="n"/>
      <c r="D4">
        <f>IF(A4="","",YEAR(A4)*100+MONTH(A4))</f>
        <v/>
      </c>
    </row>
    <row r="5">
      <c r="A5" s="3" t="n"/>
      <c r="D5">
        <f>IF(A5="","",YEAR(A5)*100+MONTH(A5))</f>
        <v/>
      </c>
    </row>
    <row r="6">
      <c r="A6" s="3" t="n"/>
      <c r="D6">
        <f>IF(A6="","",YEAR(A6)*100+MONTH(A6))</f>
        <v/>
      </c>
    </row>
    <row r="7">
      <c r="A7" s="3" t="n"/>
      <c r="D7">
        <f>IF(A7="","",YEAR(A7)*100+MONTH(A7))</f>
        <v/>
      </c>
    </row>
    <row r="8">
      <c r="A8" s="3" t="n"/>
      <c r="D8">
        <f>IF(A8="","",YEAR(A8)*100+MONTH(A8))</f>
        <v/>
      </c>
    </row>
    <row r="9">
      <c r="A9" s="3" t="n"/>
      <c r="D9">
        <f>IF(A9="","",YEAR(A9)*100+MONTH(A9))</f>
        <v/>
      </c>
    </row>
    <row r="10">
      <c r="A10" s="3" t="n"/>
      <c r="D10">
        <f>IF(A10="","",YEAR(A10)*100+MONTH(A10))</f>
        <v/>
      </c>
    </row>
    <row r="11">
      <c r="A11" s="3" t="n"/>
      <c r="D11">
        <f>IF(A11="","",YEAR(A11)*100+MONTH(A11))</f>
        <v/>
      </c>
    </row>
    <row r="12">
      <c r="A12" s="3" t="n"/>
      <c r="D12">
        <f>IF(A12="","",YEAR(A12)*100+MONTH(A12))</f>
        <v/>
      </c>
    </row>
    <row r="13">
      <c r="A13" s="3" t="n"/>
      <c r="D13">
        <f>IF(A13="","",YEAR(A13)*100+MONTH(A13))</f>
        <v/>
      </c>
    </row>
    <row r="14">
      <c r="A14" s="3" t="n"/>
      <c r="D14">
        <f>IF(A14="","",YEAR(A14)*100+MONTH(A14))</f>
        <v/>
      </c>
    </row>
    <row r="15">
      <c r="A15" s="3" t="n"/>
      <c r="D15">
        <f>IF(A15="","",YEAR(A15)*100+MONTH(A15))</f>
        <v/>
      </c>
    </row>
    <row r="16">
      <c r="A16" s="3" t="n"/>
      <c r="D16">
        <f>IF(A16="","",YEAR(A16)*100+MONTH(A16))</f>
        <v/>
      </c>
    </row>
    <row r="17">
      <c r="A17" s="3" t="n"/>
      <c r="D17">
        <f>IF(A17="","",YEAR(A17)*100+MONTH(A17))</f>
        <v/>
      </c>
    </row>
    <row r="18">
      <c r="A18" s="3" t="n"/>
      <c r="D18">
        <f>IF(A18="","",YEAR(A18)*100+MONTH(A18))</f>
        <v/>
      </c>
    </row>
    <row r="19">
      <c r="A19" s="3" t="n"/>
      <c r="D19">
        <f>IF(A19="","",YEAR(A19)*100+MONTH(A19))</f>
        <v/>
      </c>
    </row>
    <row r="20">
      <c r="A20" s="3" t="n"/>
      <c r="D20">
        <f>IF(A20="","",YEAR(A20)*100+MONTH(A20))</f>
        <v/>
      </c>
    </row>
    <row r="21">
      <c r="A21" s="3" t="n"/>
      <c r="D21">
        <f>IF(A21="","",YEAR(A21)*100+MONTH(A21))</f>
        <v/>
      </c>
    </row>
    <row r="22">
      <c r="A22" s="3" t="n"/>
      <c r="D22">
        <f>IF(A22="","",YEAR(A22)*100+MONTH(A22))</f>
        <v/>
      </c>
    </row>
    <row r="23">
      <c r="A23" s="3" t="n"/>
      <c r="D23">
        <f>IF(A23="","",YEAR(A23)*100+MONTH(A23))</f>
        <v/>
      </c>
    </row>
    <row r="24">
      <c r="A24" s="3" t="n"/>
      <c r="D24">
        <f>IF(A24="","",YEAR(A24)*100+MONTH(A24))</f>
        <v/>
      </c>
    </row>
    <row r="25">
      <c r="A25" s="3" t="n"/>
      <c r="D25">
        <f>IF(A25="","",YEAR(A25)*100+MONTH(A25))</f>
        <v/>
      </c>
    </row>
    <row r="26">
      <c r="A26" s="3" t="n"/>
      <c r="D26">
        <f>IF(A26="","",YEAR(A26)*100+MONTH(A26))</f>
        <v/>
      </c>
    </row>
    <row r="27">
      <c r="A27" s="3" t="n"/>
      <c r="D27">
        <f>IF(A27="","",YEAR(A27)*100+MONTH(A27))</f>
        <v/>
      </c>
    </row>
    <row r="28">
      <c r="A28" s="3" t="n"/>
      <c r="D28">
        <f>IF(A28="","",YEAR(A28)*100+MONTH(A28))</f>
        <v/>
      </c>
    </row>
    <row r="29">
      <c r="A29" s="3" t="n"/>
      <c r="D29">
        <f>IF(A29="","",YEAR(A29)*100+MONTH(A29))</f>
        <v/>
      </c>
    </row>
    <row r="30">
      <c r="A30" s="3" t="n"/>
      <c r="D30">
        <f>IF(A30="","",YEAR(A30)*100+MONTH(A30))</f>
        <v/>
      </c>
    </row>
    <row r="31">
      <c r="A31" s="3" t="n"/>
      <c r="D31">
        <f>IF(A31="","",YEAR(A31)*100+MONTH(A31))</f>
        <v/>
      </c>
    </row>
    <row r="32">
      <c r="A32" s="3" t="n"/>
      <c r="D32">
        <f>IF(A32="","",YEAR(A32)*100+MONTH(A32))</f>
        <v/>
      </c>
    </row>
    <row r="33">
      <c r="A33" s="3" t="n"/>
      <c r="D33">
        <f>IF(A33="","",YEAR(A33)*100+MONTH(A33))</f>
        <v/>
      </c>
    </row>
    <row r="34">
      <c r="A34" s="3" t="n"/>
      <c r="D34">
        <f>IF(A34="","",YEAR(A34)*100+MONTH(A34))</f>
        <v/>
      </c>
    </row>
    <row r="35">
      <c r="A35" s="3" t="n"/>
      <c r="D35">
        <f>IF(A35="","",YEAR(A35)*100+MONTH(A35))</f>
        <v/>
      </c>
    </row>
    <row r="36">
      <c r="A36" s="3" t="n"/>
      <c r="D36">
        <f>IF(A36="","",YEAR(A36)*100+MONTH(A36))</f>
        <v/>
      </c>
    </row>
    <row r="37">
      <c r="A37" s="3" t="n"/>
      <c r="D37">
        <f>IF(A37="","",YEAR(A37)*100+MONTH(A37))</f>
        <v/>
      </c>
    </row>
    <row r="38">
      <c r="A38" s="3" t="n"/>
      <c r="D38">
        <f>IF(A38="","",YEAR(A38)*100+MONTH(A38))</f>
        <v/>
      </c>
    </row>
    <row r="39">
      <c r="A39" s="3" t="n"/>
      <c r="D39">
        <f>IF(A39="","",YEAR(A39)*100+MONTH(A39))</f>
        <v/>
      </c>
    </row>
    <row r="40">
      <c r="A40" s="3" t="n"/>
      <c r="D40">
        <f>IF(A40="","",YEAR(A40)*100+MONTH(A40))</f>
        <v/>
      </c>
    </row>
    <row r="41">
      <c r="A41" s="3" t="n"/>
      <c r="D41">
        <f>IF(A41="","",YEAR(A41)*100+MONTH(A41))</f>
        <v/>
      </c>
    </row>
    <row r="42">
      <c r="A42" s="3" t="n"/>
      <c r="D42">
        <f>IF(A42="","",YEAR(A42)*100+MONTH(A42))</f>
        <v/>
      </c>
    </row>
    <row r="43">
      <c r="A43" s="3" t="n"/>
      <c r="D43">
        <f>IF(A43="","",YEAR(A43)*100+MONTH(A43))</f>
        <v/>
      </c>
    </row>
    <row r="44">
      <c r="A44" s="3" t="n"/>
      <c r="D44">
        <f>IF(A44="","",YEAR(A44)*100+MONTH(A44))</f>
        <v/>
      </c>
    </row>
    <row r="45">
      <c r="A45" s="3" t="n"/>
      <c r="D45">
        <f>IF(A45="","",YEAR(A45)*100+MONTH(A45))</f>
        <v/>
      </c>
    </row>
    <row r="46">
      <c r="A46" s="3" t="n"/>
      <c r="D46">
        <f>IF(A46="","",YEAR(A46)*100+MONTH(A46))</f>
        <v/>
      </c>
    </row>
    <row r="47">
      <c r="A47" s="3" t="n"/>
      <c r="D47">
        <f>IF(A47="","",YEAR(A47)*100+MONTH(A47))</f>
        <v/>
      </c>
    </row>
    <row r="48">
      <c r="A48" s="3" t="n"/>
      <c r="D48">
        <f>IF(A48="","",YEAR(A48)*100+MONTH(A48))</f>
        <v/>
      </c>
    </row>
    <row r="49">
      <c r="A49" s="3" t="n"/>
      <c r="D49">
        <f>IF(A49="","",YEAR(A49)*100+MONTH(A49))</f>
        <v/>
      </c>
    </row>
    <row r="50">
      <c r="A50" s="3" t="n"/>
      <c r="D50">
        <f>IF(A50="","",YEAR(A50)*100+MONTH(A50))</f>
        <v/>
      </c>
    </row>
    <row r="51">
      <c r="A51" s="3" t="n"/>
      <c r="D51">
        <f>IF(A51="","",YEAR(A51)*100+MONTH(A51))</f>
        <v/>
      </c>
    </row>
    <row r="52">
      <c r="A52" s="3" t="n"/>
      <c r="D52">
        <f>IF(A52="","",YEAR(A52)*100+MONTH(A52))</f>
        <v/>
      </c>
    </row>
    <row r="53">
      <c r="A53" s="3" t="n"/>
      <c r="D53">
        <f>IF(A53="","",YEAR(A53)*100+MONTH(A53))</f>
        <v/>
      </c>
    </row>
    <row r="54">
      <c r="A54" s="3" t="n"/>
      <c r="D54">
        <f>IF(A54="","",YEAR(A54)*100+MONTH(A54))</f>
        <v/>
      </c>
    </row>
    <row r="55">
      <c r="A55" s="3" t="n"/>
      <c r="D55">
        <f>IF(A55="","",YEAR(A55)*100+MONTH(A55))</f>
        <v/>
      </c>
    </row>
    <row r="56">
      <c r="A56" s="3" t="n"/>
      <c r="D56">
        <f>IF(A56="","",YEAR(A56)*100+MONTH(A56))</f>
        <v/>
      </c>
    </row>
    <row r="57">
      <c r="A57" s="3" t="n"/>
      <c r="D57">
        <f>IF(A57="","",YEAR(A57)*100+MONTH(A57))</f>
        <v/>
      </c>
    </row>
    <row r="58">
      <c r="A58" s="3" t="n"/>
      <c r="D58">
        <f>IF(A58="","",YEAR(A58)*100+MONTH(A58))</f>
        <v/>
      </c>
    </row>
    <row r="59">
      <c r="A59" s="3" t="n"/>
      <c r="D59">
        <f>IF(A59="","",YEAR(A59)*100+MONTH(A59))</f>
        <v/>
      </c>
    </row>
    <row r="60">
      <c r="A60" s="3" t="n"/>
      <c r="D60">
        <f>IF(A60="","",YEAR(A60)*100+MONTH(A60))</f>
        <v/>
      </c>
    </row>
    <row r="61">
      <c r="A61" s="3" t="n"/>
      <c r="D61">
        <f>IF(A61="","",YEAR(A61)*100+MONTH(A61))</f>
        <v/>
      </c>
    </row>
    <row r="62">
      <c r="A62" s="3" t="n"/>
      <c r="D62">
        <f>IF(A62="","",YEAR(A62)*100+MONTH(A62))</f>
        <v/>
      </c>
    </row>
    <row r="63">
      <c r="A63" s="3" t="n"/>
      <c r="D63">
        <f>IF(A63="","",YEAR(A63)*100+MONTH(A63))</f>
        <v/>
      </c>
    </row>
    <row r="64">
      <c r="A64" s="3" t="n"/>
      <c r="D64">
        <f>IF(A64="","",YEAR(A64)*100+MONTH(A64))</f>
        <v/>
      </c>
    </row>
    <row r="65">
      <c r="A65" s="3" t="n"/>
      <c r="D65">
        <f>IF(A65="","",YEAR(A65)*100+MONTH(A65))</f>
        <v/>
      </c>
    </row>
    <row r="66">
      <c r="A66" s="3" t="n"/>
      <c r="D66">
        <f>IF(A66="","",YEAR(A66)*100+MONTH(A66))</f>
        <v/>
      </c>
    </row>
    <row r="67">
      <c r="A67" s="3" t="n"/>
      <c r="D67">
        <f>IF(A67="","",YEAR(A67)*100+MONTH(A67))</f>
        <v/>
      </c>
    </row>
    <row r="68">
      <c r="A68" s="3" t="n"/>
      <c r="D68">
        <f>IF(A68="","",YEAR(A68)*100+MONTH(A68))</f>
        <v/>
      </c>
    </row>
    <row r="69">
      <c r="A69" s="3" t="n"/>
      <c r="D69">
        <f>IF(A69="","",YEAR(A69)*100+MONTH(A69))</f>
        <v/>
      </c>
    </row>
    <row r="70">
      <c r="A70" s="3" t="n"/>
      <c r="D70">
        <f>IF(A70="","",YEAR(A70)*100+MONTH(A70))</f>
        <v/>
      </c>
    </row>
    <row r="71">
      <c r="A71" s="3" t="n"/>
      <c r="D71">
        <f>IF(A71="","",YEAR(A71)*100+MONTH(A71))</f>
        <v/>
      </c>
    </row>
    <row r="72">
      <c r="A72" s="3" t="n"/>
      <c r="D72">
        <f>IF(A72="","",YEAR(A72)*100+MONTH(A72))</f>
        <v/>
      </c>
    </row>
    <row r="73">
      <c r="A73" s="3" t="n"/>
      <c r="D73">
        <f>IF(A73="","",YEAR(A73)*100+MONTH(A73))</f>
        <v/>
      </c>
    </row>
    <row r="74">
      <c r="A74" s="3" t="n"/>
      <c r="D74">
        <f>IF(A74="","",YEAR(A74)*100+MONTH(A74))</f>
        <v/>
      </c>
    </row>
    <row r="75">
      <c r="A75" s="3" t="n"/>
      <c r="D75">
        <f>IF(A75="","",YEAR(A75)*100+MONTH(A75))</f>
        <v/>
      </c>
    </row>
    <row r="76">
      <c r="A76" s="3" t="n"/>
      <c r="D76">
        <f>IF(A76="","",YEAR(A76)*100+MONTH(A76))</f>
        <v/>
      </c>
    </row>
    <row r="77">
      <c r="A77" s="3" t="n"/>
      <c r="D77">
        <f>IF(A77="","",YEAR(A77)*100+MONTH(A77))</f>
        <v/>
      </c>
    </row>
    <row r="78">
      <c r="A78" s="3" t="n"/>
      <c r="D78">
        <f>IF(A78="","",YEAR(A78)*100+MONTH(A78))</f>
        <v/>
      </c>
    </row>
    <row r="79">
      <c r="A79" s="3" t="n"/>
      <c r="D79">
        <f>IF(A79="","",YEAR(A79)*100+MONTH(A79))</f>
        <v/>
      </c>
    </row>
    <row r="80">
      <c r="A80" s="3" t="n"/>
      <c r="D80">
        <f>IF(A80="","",YEAR(A80)*100+MONTH(A80))</f>
        <v/>
      </c>
    </row>
    <row r="81">
      <c r="A81" s="3" t="n"/>
      <c r="D81">
        <f>IF(A81="","",YEAR(A81)*100+MONTH(A81))</f>
        <v/>
      </c>
    </row>
    <row r="82">
      <c r="A82" s="3" t="n"/>
      <c r="D82">
        <f>IF(A82="","",YEAR(A82)*100+MONTH(A82))</f>
        <v/>
      </c>
    </row>
    <row r="83">
      <c r="A83" s="3" t="n"/>
      <c r="D83">
        <f>IF(A83="","",YEAR(A83)*100+MONTH(A83))</f>
        <v/>
      </c>
    </row>
    <row r="84">
      <c r="A84" s="3" t="n"/>
      <c r="D84">
        <f>IF(A84="","",YEAR(A84)*100+MONTH(A84))</f>
        <v/>
      </c>
    </row>
    <row r="85">
      <c r="A85" s="3" t="n"/>
      <c r="D85">
        <f>IF(A85="","",YEAR(A85)*100+MONTH(A85))</f>
        <v/>
      </c>
    </row>
    <row r="86">
      <c r="A86" s="3" t="n"/>
      <c r="D86">
        <f>IF(A86="","",YEAR(A86)*100+MONTH(A86))</f>
        <v/>
      </c>
    </row>
    <row r="87">
      <c r="A87" s="3" t="n"/>
      <c r="D87">
        <f>IF(A87="","",YEAR(A87)*100+MONTH(A87))</f>
        <v/>
      </c>
    </row>
    <row r="88">
      <c r="A88" s="3" t="n"/>
      <c r="D88">
        <f>IF(A88="","",YEAR(A88)*100+MONTH(A88))</f>
        <v/>
      </c>
    </row>
    <row r="89">
      <c r="A89" s="3" t="n"/>
      <c r="D89">
        <f>IF(A89="","",YEAR(A89)*100+MONTH(A89))</f>
        <v/>
      </c>
    </row>
    <row r="90">
      <c r="A90" s="3" t="n"/>
      <c r="D90">
        <f>IF(A90="","",YEAR(A90)*100+MONTH(A90))</f>
        <v/>
      </c>
    </row>
    <row r="91">
      <c r="A91" s="3" t="n"/>
      <c r="D91">
        <f>IF(A91="","",YEAR(A91)*100+MONTH(A91))</f>
        <v/>
      </c>
    </row>
    <row r="92">
      <c r="A92" s="3" t="n"/>
      <c r="D92">
        <f>IF(A92="","",YEAR(A92)*100+MONTH(A92))</f>
        <v/>
      </c>
    </row>
    <row r="93">
      <c r="A93" s="3" t="n"/>
      <c r="D93">
        <f>IF(A93="","",YEAR(A93)*100+MONTH(A93))</f>
        <v/>
      </c>
    </row>
    <row r="94">
      <c r="A94" s="3" t="n"/>
      <c r="D94">
        <f>IF(A94="","",YEAR(A94)*100+MONTH(A94))</f>
        <v/>
      </c>
    </row>
    <row r="95">
      <c r="A95" s="3" t="n"/>
      <c r="D95">
        <f>IF(A95="","",YEAR(A95)*100+MONTH(A95))</f>
        <v/>
      </c>
    </row>
    <row r="96">
      <c r="A96" s="3" t="n"/>
      <c r="D96">
        <f>IF(A96="","",YEAR(A96)*100+MONTH(A96))</f>
        <v/>
      </c>
    </row>
    <row r="97">
      <c r="A97" s="3" t="n"/>
      <c r="D97">
        <f>IF(A97="","",YEAR(A97)*100+MONTH(A97))</f>
        <v/>
      </c>
    </row>
    <row r="98">
      <c r="A98" s="3" t="n"/>
      <c r="D98">
        <f>IF(A98="","",YEAR(A98)*100+MONTH(A98))</f>
        <v/>
      </c>
    </row>
    <row r="99">
      <c r="A99" s="3" t="n"/>
      <c r="D99">
        <f>IF(A99="","",YEAR(A99)*100+MONTH(A99))</f>
        <v/>
      </c>
    </row>
    <row r="100">
      <c r="A100" s="3" t="n"/>
      <c r="D100">
        <f>IF(A100="","",YEAR(A100)*100+MONTH(A100))</f>
        <v/>
      </c>
    </row>
    <row r="101">
      <c r="A101" s="3" t="n"/>
      <c r="D101">
        <f>IF(A101="","",YEAR(A101)*100+MONTH(A101))</f>
        <v/>
      </c>
    </row>
    <row r="102">
      <c r="A102" s="3" t="n"/>
      <c r="D102">
        <f>IF(A102="","",YEAR(A102)*100+MONTH(A102))</f>
        <v/>
      </c>
    </row>
    <row r="103">
      <c r="A103" s="3" t="n"/>
      <c r="D103">
        <f>IF(A103="","",YEAR(A103)*100+MONTH(A103))</f>
        <v/>
      </c>
    </row>
    <row r="104">
      <c r="A104" s="3" t="n"/>
      <c r="D104">
        <f>IF(A104="","",YEAR(A104)*100+MONTH(A104))</f>
        <v/>
      </c>
    </row>
    <row r="105">
      <c r="A105" s="3" t="n"/>
      <c r="D105">
        <f>IF(A105="","",YEAR(A105)*100+MONTH(A105))</f>
        <v/>
      </c>
    </row>
    <row r="106">
      <c r="A106" s="3" t="n"/>
      <c r="D106">
        <f>IF(A106="","",YEAR(A106)*100+MONTH(A106))</f>
        <v/>
      </c>
    </row>
    <row r="107">
      <c r="A107" s="3" t="n"/>
      <c r="D107">
        <f>IF(A107="","",YEAR(A107)*100+MONTH(A107))</f>
        <v/>
      </c>
    </row>
    <row r="108">
      <c r="A108" s="3" t="n"/>
      <c r="D108">
        <f>IF(A108="","",YEAR(A108)*100+MONTH(A108))</f>
        <v/>
      </c>
    </row>
    <row r="109">
      <c r="A109" s="3" t="n"/>
      <c r="D109">
        <f>IF(A109="","",YEAR(A109)*100+MONTH(A109))</f>
        <v/>
      </c>
    </row>
    <row r="110">
      <c r="A110" s="3" t="n"/>
      <c r="D110">
        <f>IF(A110="","",YEAR(A110)*100+MONTH(A110))</f>
        <v/>
      </c>
    </row>
    <row r="111">
      <c r="A111" s="3" t="n"/>
      <c r="D111">
        <f>IF(A111="","",YEAR(A111)*100+MONTH(A111))</f>
        <v/>
      </c>
    </row>
    <row r="112">
      <c r="A112" s="3" t="n"/>
      <c r="D112">
        <f>IF(A112="","",YEAR(A112)*100+MONTH(A112))</f>
        <v/>
      </c>
    </row>
    <row r="113">
      <c r="A113" s="3" t="n"/>
      <c r="D113">
        <f>IF(A113="","",YEAR(A113)*100+MONTH(A113))</f>
        <v/>
      </c>
    </row>
    <row r="114">
      <c r="A114" s="3" t="n"/>
      <c r="D114">
        <f>IF(A114="","",YEAR(A114)*100+MONTH(A114))</f>
        <v/>
      </c>
    </row>
    <row r="115">
      <c r="A115" s="3" t="n"/>
      <c r="D115">
        <f>IF(A115="","",YEAR(A115)*100+MONTH(A115))</f>
        <v/>
      </c>
    </row>
    <row r="116">
      <c r="A116" s="3" t="n"/>
      <c r="D116">
        <f>IF(A116="","",YEAR(A116)*100+MONTH(A116))</f>
        <v/>
      </c>
    </row>
    <row r="117">
      <c r="A117" s="3" t="n"/>
      <c r="D117">
        <f>IF(A117="","",YEAR(A117)*100+MONTH(A117))</f>
        <v/>
      </c>
    </row>
    <row r="118">
      <c r="A118" s="3" t="n"/>
      <c r="D118">
        <f>IF(A118="","",YEAR(A118)*100+MONTH(A118))</f>
        <v/>
      </c>
    </row>
    <row r="119">
      <c r="A119" s="3" t="n"/>
      <c r="D119">
        <f>IF(A119="","",YEAR(A119)*100+MONTH(A119))</f>
        <v/>
      </c>
    </row>
    <row r="120">
      <c r="A120" s="3" t="n"/>
      <c r="D120">
        <f>IF(A120="","",YEAR(A120)*100+MONTH(A120))</f>
        <v/>
      </c>
    </row>
    <row r="121">
      <c r="A121" s="3" t="n"/>
      <c r="D121">
        <f>IF(A121="","",YEAR(A121)*100+MONTH(A121))</f>
        <v/>
      </c>
    </row>
    <row r="122">
      <c r="A122" s="3" t="n"/>
      <c r="D122">
        <f>IF(A122="","",YEAR(A122)*100+MONTH(A122))</f>
        <v/>
      </c>
    </row>
    <row r="123">
      <c r="A123" s="3" t="n"/>
      <c r="D123">
        <f>IF(A123="","",YEAR(A123)*100+MONTH(A123))</f>
        <v/>
      </c>
    </row>
    <row r="124">
      <c r="A124" s="3" t="n"/>
      <c r="D124">
        <f>IF(A124="","",YEAR(A124)*100+MONTH(A124))</f>
        <v/>
      </c>
    </row>
    <row r="125">
      <c r="A125" s="3" t="n"/>
      <c r="D125">
        <f>IF(A125="","",YEAR(A125)*100+MONTH(A125))</f>
        <v/>
      </c>
    </row>
    <row r="126">
      <c r="A126" s="3" t="n"/>
      <c r="D126">
        <f>IF(A126="","",YEAR(A126)*100+MONTH(A126))</f>
        <v/>
      </c>
    </row>
    <row r="127">
      <c r="A127" s="3" t="n"/>
      <c r="D127">
        <f>IF(A127="","",YEAR(A127)*100+MONTH(A127))</f>
        <v/>
      </c>
    </row>
    <row r="128">
      <c r="A128" s="3" t="n"/>
      <c r="D128">
        <f>IF(A128="","",YEAR(A128)*100+MONTH(A128))</f>
        <v/>
      </c>
    </row>
    <row r="129">
      <c r="A129" s="3" t="n"/>
      <c r="D129">
        <f>IF(A129="","",YEAR(A129)*100+MONTH(A129))</f>
        <v/>
      </c>
    </row>
    <row r="130">
      <c r="A130" s="3" t="n"/>
      <c r="D130">
        <f>IF(A130="","",YEAR(A130)*100+MONTH(A130))</f>
        <v/>
      </c>
    </row>
    <row r="131">
      <c r="A131" s="3" t="n"/>
      <c r="D131">
        <f>IF(A131="","",YEAR(A131)*100+MONTH(A131))</f>
        <v/>
      </c>
    </row>
    <row r="132">
      <c r="A132" s="3" t="n"/>
      <c r="D132">
        <f>IF(A132="","",YEAR(A132)*100+MONTH(A132))</f>
        <v/>
      </c>
    </row>
    <row r="133">
      <c r="A133" s="3" t="n"/>
      <c r="D133">
        <f>IF(A133="","",YEAR(A133)*100+MONTH(A133))</f>
        <v/>
      </c>
    </row>
    <row r="134">
      <c r="A134" s="3" t="n"/>
      <c r="D134">
        <f>IF(A134="","",YEAR(A134)*100+MONTH(A134))</f>
        <v/>
      </c>
    </row>
    <row r="135">
      <c r="A135" s="3" t="n"/>
      <c r="D135">
        <f>IF(A135="","",YEAR(A135)*100+MONTH(A135))</f>
        <v/>
      </c>
    </row>
    <row r="136">
      <c r="A136" s="3" t="n"/>
      <c r="D136">
        <f>IF(A136="","",YEAR(A136)*100+MONTH(A136))</f>
        <v/>
      </c>
    </row>
    <row r="137">
      <c r="A137" s="3" t="n"/>
      <c r="D137">
        <f>IF(A137="","",YEAR(A137)*100+MONTH(A137))</f>
        <v/>
      </c>
    </row>
    <row r="138">
      <c r="A138" s="3" t="n"/>
      <c r="D138">
        <f>IF(A138="","",YEAR(A138)*100+MONTH(A138))</f>
        <v/>
      </c>
    </row>
    <row r="139">
      <c r="A139" s="3" t="n"/>
      <c r="D139">
        <f>IF(A139="","",YEAR(A139)*100+MONTH(A139))</f>
        <v/>
      </c>
    </row>
    <row r="140">
      <c r="A140" s="3" t="n"/>
      <c r="D140">
        <f>IF(A140="","",YEAR(A140)*100+MONTH(A140))</f>
        <v/>
      </c>
    </row>
    <row r="141">
      <c r="A141" s="3" t="n"/>
      <c r="D141">
        <f>IF(A141="","",YEAR(A141)*100+MONTH(A141))</f>
        <v/>
      </c>
    </row>
    <row r="142">
      <c r="A142" s="3" t="n"/>
      <c r="D142">
        <f>IF(A142="","",YEAR(A142)*100+MONTH(A142))</f>
        <v/>
      </c>
    </row>
    <row r="143">
      <c r="A143" s="3" t="n"/>
      <c r="D143">
        <f>IF(A143="","",YEAR(A143)*100+MONTH(A143))</f>
        <v/>
      </c>
    </row>
    <row r="144">
      <c r="A144" s="3" t="n"/>
      <c r="D144">
        <f>IF(A144="","",YEAR(A144)*100+MONTH(A144))</f>
        <v/>
      </c>
    </row>
    <row r="145">
      <c r="A145" s="3" t="n"/>
      <c r="D145">
        <f>IF(A145="","",YEAR(A145)*100+MONTH(A145))</f>
        <v/>
      </c>
    </row>
    <row r="146">
      <c r="A146" s="3" t="n"/>
      <c r="D146">
        <f>IF(A146="","",YEAR(A146)*100+MONTH(A146))</f>
        <v/>
      </c>
    </row>
    <row r="147">
      <c r="A147" s="3" t="n"/>
      <c r="D147">
        <f>IF(A147="","",YEAR(A147)*100+MONTH(A147))</f>
        <v/>
      </c>
    </row>
    <row r="148">
      <c r="A148" s="3" t="n"/>
      <c r="D148">
        <f>IF(A148="","",YEAR(A148)*100+MONTH(A148))</f>
        <v/>
      </c>
    </row>
    <row r="149">
      <c r="A149" s="3" t="n"/>
      <c r="D149">
        <f>IF(A149="","",YEAR(A149)*100+MONTH(A149))</f>
        <v/>
      </c>
    </row>
    <row r="150">
      <c r="A150" s="3" t="n"/>
      <c r="D150">
        <f>IF(A150="","",YEAR(A150)*100+MONTH(A150))</f>
        <v/>
      </c>
    </row>
    <row r="151">
      <c r="A151" s="3" t="n"/>
      <c r="D151">
        <f>IF(A151="","",YEAR(A151)*100+MONTH(A151))</f>
        <v/>
      </c>
    </row>
    <row r="152">
      <c r="A152" s="3" t="n"/>
      <c r="D152">
        <f>IF(A152="","",YEAR(A152)*100+MONTH(A152))</f>
        <v/>
      </c>
    </row>
    <row r="153">
      <c r="A153" s="3" t="n"/>
      <c r="D153">
        <f>IF(A153="","",YEAR(A153)*100+MONTH(A153))</f>
        <v/>
      </c>
    </row>
    <row r="154">
      <c r="A154" s="3" t="n"/>
      <c r="D154">
        <f>IF(A154="","",YEAR(A154)*100+MONTH(A154))</f>
        <v/>
      </c>
    </row>
    <row r="155">
      <c r="A155" s="3" t="n"/>
      <c r="D155">
        <f>IF(A155="","",YEAR(A155)*100+MONTH(A155))</f>
        <v/>
      </c>
    </row>
    <row r="156">
      <c r="A156" s="3" t="n"/>
      <c r="D156">
        <f>IF(A156="","",YEAR(A156)*100+MONTH(A156))</f>
        <v/>
      </c>
    </row>
    <row r="157">
      <c r="A157" s="3" t="n"/>
      <c r="D157">
        <f>IF(A157="","",YEAR(A157)*100+MONTH(A157))</f>
        <v/>
      </c>
    </row>
    <row r="158">
      <c r="A158" s="3" t="n"/>
      <c r="D158">
        <f>IF(A158="","",YEAR(A158)*100+MONTH(A158))</f>
        <v/>
      </c>
    </row>
    <row r="159">
      <c r="A159" s="3" t="n"/>
      <c r="D159">
        <f>IF(A159="","",YEAR(A159)*100+MONTH(A159))</f>
        <v/>
      </c>
    </row>
    <row r="160">
      <c r="A160" s="3" t="n"/>
      <c r="D160">
        <f>IF(A160="","",YEAR(A160)*100+MONTH(A160))</f>
        <v/>
      </c>
    </row>
    <row r="161">
      <c r="A161" s="3" t="n"/>
      <c r="D161">
        <f>IF(A161="","",YEAR(A161)*100+MONTH(A161))</f>
        <v/>
      </c>
    </row>
    <row r="162">
      <c r="A162" s="3" t="n"/>
      <c r="D162">
        <f>IF(A162="","",YEAR(A162)*100+MONTH(A162))</f>
        <v/>
      </c>
    </row>
    <row r="163">
      <c r="A163" s="3" t="n"/>
      <c r="D163">
        <f>IF(A163="","",YEAR(A163)*100+MONTH(A163))</f>
        <v/>
      </c>
    </row>
    <row r="164">
      <c r="A164" s="3" t="n"/>
      <c r="D164">
        <f>IF(A164="","",YEAR(A164)*100+MONTH(A164))</f>
        <v/>
      </c>
    </row>
    <row r="165">
      <c r="A165" s="3" t="n"/>
      <c r="D165">
        <f>IF(A165="","",YEAR(A165)*100+MONTH(A165))</f>
        <v/>
      </c>
    </row>
    <row r="166">
      <c r="A166" s="3" t="n"/>
      <c r="D166">
        <f>IF(A166="","",YEAR(A166)*100+MONTH(A166))</f>
        <v/>
      </c>
    </row>
    <row r="167">
      <c r="A167" s="3" t="n"/>
      <c r="D167">
        <f>IF(A167="","",YEAR(A167)*100+MONTH(A167))</f>
        <v/>
      </c>
    </row>
    <row r="168">
      <c r="A168" s="3" t="n"/>
      <c r="D168">
        <f>IF(A168="","",YEAR(A168)*100+MONTH(A168))</f>
        <v/>
      </c>
    </row>
    <row r="169">
      <c r="A169" s="3" t="n"/>
      <c r="D169">
        <f>IF(A169="","",YEAR(A169)*100+MONTH(A169))</f>
        <v/>
      </c>
    </row>
    <row r="170">
      <c r="A170" s="3" t="n"/>
      <c r="D170">
        <f>IF(A170="","",YEAR(A170)*100+MONTH(A170))</f>
        <v/>
      </c>
    </row>
    <row r="171">
      <c r="A171" s="3" t="n"/>
      <c r="D171">
        <f>IF(A171="","",YEAR(A171)*100+MONTH(A171))</f>
        <v/>
      </c>
    </row>
    <row r="172">
      <c r="A172" s="3" t="n"/>
      <c r="D172">
        <f>IF(A172="","",YEAR(A172)*100+MONTH(A172))</f>
        <v/>
      </c>
    </row>
    <row r="173">
      <c r="A173" s="3" t="n"/>
      <c r="D173">
        <f>IF(A173="","",YEAR(A173)*100+MONTH(A173))</f>
        <v/>
      </c>
    </row>
    <row r="174">
      <c r="A174" s="3" t="n"/>
      <c r="D174">
        <f>IF(A174="","",YEAR(A174)*100+MONTH(A174))</f>
        <v/>
      </c>
    </row>
    <row r="175">
      <c r="A175" s="3" t="n"/>
      <c r="D175">
        <f>IF(A175="","",YEAR(A175)*100+MONTH(A175))</f>
        <v/>
      </c>
    </row>
    <row r="176">
      <c r="A176" s="3" t="n"/>
      <c r="D176">
        <f>IF(A176="","",YEAR(A176)*100+MONTH(A176))</f>
        <v/>
      </c>
    </row>
    <row r="177">
      <c r="A177" s="3" t="n"/>
      <c r="D177">
        <f>IF(A177="","",YEAR(A177)*100+MONTH(A177))</f>
        <v/>
      </c>
    </row>
    <row r="178">
      <c r="A178" s="3" t="n"/>
      <c r="D178">
        <f>IF(A178="","",YEAR(A178)*100+MONTH(A178))</f>
        <v/>
      </c>
    </row>
    <row r="179">
      <c r="A179" s="3" t="n"/>
      <c r="D179">
        <f>IF(A179="","",YEAR(A179)*100+MONTH(A179))</f>
        <v/>
      </c>
    </row>
    <row r="180">
      <c r="A180" s="3" t="n"/>
      <c r="D180">
        <f>IF(A180="","",YEAR(A180)*100+MONTH(A180))</f>
        <v/>
      </c>
    </row>
    <row r="181">
      <c r="A181" s="3" t="n"/>
      <c r="D181">
        <f>IF(A181="","",YEAR(A181)*100+MONTH(A181))</f>
        <v/>
      </c>
    </row>
    <row r="182">
      <c r="A182" s="3" t="n"/>
      <c r="D182">
        <f>IF(A182="","",YEAR(A182)*100+MONTH(A182))</f>
        <v/>
      </c>
    </row>
    <row r="183">
      <c r="A183" s="3" t="n"/>
      <c r="D183">
        <f>IF(A183="","",YEAR(A183)*100+MONTH(A183))</f>
        <v/>
      </c>
    </row>
    <row r="184">
      <c r="A184" s="3" t="n"/>
      <c r="D184">
        <f>IF(A184="","",YEAR(A184)*100+MONTH(A184))</f>
        <v/>
      </c>
    </row>
    <row r="185">
      <c r="A185" s="3" t="n"/>
      <c r="D185">
        <f>IF(A185="","",YEAR(A185)*100+MONTH(A185))</f>
        <v/>
      </c>
    </row>
    <row r="186">
      <c r="A186" s="3" t="n"/>
      <c r="D186">
        <f>IF(A186="","",YEAR(A186)*100+MONTH(A186))</f>
        <v/>
      </c>
    </row>
    <row r="187">
      <c r="A187" s="3" t="n"/>
      <c r="D187">
        <f>IF(A187="","",YEAR(A187)*100+MONTH(A187))</f>
        <v/>
      </c>
    </row>
    <row r="188">
      <c r="A188" s="3" t="n"/>
      <c r="D188">
        <f>IF(A188="","",YEAR(A188)*100+MONTH(A188))</f>
        <v/>
      </c>
    </row>
    <row r="189">
      <c r="A189" s="3" t="n"/>
      <c r="D189">
        <f>IF(A189="","",YEAR(A189)*100+MONTH(A189))</f>
        <v/>
      </c>
    </row>
    <row r="190">
      <c r="A190" s="3" t="n"/>
      <c r="D190">
        <f>IF(A190="","",YEAR(A190)*100+MONTH(A190))</f>
        <v/>
      </c>
    </row>
    <row r="191">
      <c r="A191" s="3" t="n"/>
      <c r="D191">
        <f>IF(A191="","",YEAR(A191)*100+MONTH(A191))</f>
        <v/>
      </c>
    </row>
    <row r="192">
      <c r="A192" s="3" t="n"/>
      <c r="D192">
        <f>IF(A192="","",YEAR(A192)*100+MONTH(A192))</f>
        <v/>
      </c>
    </row>
    <row r="193">
      <c r="A193" s="3" t="n"/>
      <c r="D193">
        <f>IF(A193="","",YEAR(A193)*100+MONTH(A193))</f>
        <v/>
      </c>
    </row>
    <row r="194">
      <c r="A194" s="3" t="n"/>
      <c r="D194">
        <f>IF(A194="","",YEAR(A194)*100+MONTH(A194))</f>
        <v/>
      </c>
    </row>
    <row r="195">
      <c r="A195" s="3" t="n"/>
      <c r="D195">
        <f>IF(A195="","",YEAR(A195)*100+MONTH(A195))</f>
        <v/>
      </c>
    </row>
    <row r="196">
      <c r="A196" s="3" t="n"/>
      <c r="D196">
        <f>IF(A196="","",YEAR(A196)*100+MONTH(A196))</f>
        <v/>
      </c>
    </row>
    <row r="197">
      <c r="A197" s="3" t="n"/>
      <c r="D197">
        <f>IF(A197="","",YEAR(A197)*100+MONTH(A197))</f>
        <v/>
      </c>
    </row>
    <row r="198">
      <c r="A198" s="3" t="n"/>
      <c r="D198">
        <f>IF(A198="","",YEAR(A198)*100+MONTH(A198))</f>
        <v/>
      </c>
    </row>
    <row r="199">
      <c r="A199" s="3" t="n"/>
      <c r="D199">
        <f>IF(A199="","",YEAR(A199)*100+MONTH(A199))</f>
        <v/>
      </c>
    </row>
    <row r="200">
      <c r="A200" s="3" t="n"/>
      <c r="D200">
        <f>IF(A200="","",YEAR(A200)*100+MONTH(A200))</f>
        <v/>
      </c>
    </row>
    <row r="201">
      <c r="A201" s="3" t="n"/>
      <c r="D201">
        <f>IF(A201="","",YEAR(A201)*100+MONTH(A201))</f>
        <v/>
      </c>
    </row>
    <row r="202">
      <c r="A202" s="3" t="n"/>
      <c r="D202">
        <f>IF(A202="","",YEAR(A202)*100+MONTH(A202))</f>
        <v/>
      </c>
    </row>
    <row r="203">
      <c r="A203" s="3" t="n"/>
      <c r="D203">
        <f>IF(A203="","",YEAR(A203)*100+MONTH(A203))</f>
        <v/>
      </c>
    </row>
    <row r="204">
      <c r="A204" s="3" t="n"/>
      <c r="D204">
        <f>IF(A204="","",YEAR(A204)*100+MONTH(A204))</f>
        <v/>
      </c>
    </row>
    <row r="205">
      <c r="A205" s="3" t="n"/>
      <c r="D205">
        <f>IF(A205="","",YEAR(A205)*100+MONTH(A205))</f>
        <v/>
      </c>
    </row>
    <row r="206">
      <c r="A206" s="3" t="n"/>
      <c r="D206">
        <f>IF(A206="","",YEAR(A206)*100+MONTH(A206))</f>
        <v/>
      </c>
    </row>
    <row r="207">
      <c r="A207" s="3" t="n"/>
      <c r="D207">
        <f>IF(A207="","",YEAR(A207)*100+MONTH(A207))</f>
        <v/>
      </c>
    </row>
    <row r="208">
      <c r="A208" s="3" t="n"/>
      <c r="D208">
        <f>IF(A208="","",YEAR(A208)*100+MONTH(A208))</f>
        <v/>
      </c>
    </row>
    <row r="209">
      <c r="A209" s="3" t="n"/>
      <c r="D209">
        <f>IF(A209="","",YEAR(A209)*100+MONTH(A209))</f>
        <v/>
      </c>
    </row>
    <row r="210">
      <c r="A210" s="3" t="n"/>
      <c r="D210">
        <f>IF(A210="","",YEAR(A210)*100+MONTH(A210))</f>
        <v/>
      </c>
    </row>
    <row r="211">
      <c r="A211" s="3" t="n"/>
      <c r="D211">
        <f>IF(A211="","",YEAR(A211)*100+MONTH(A211))</f>
        <v/>
      </c>
    </row>
    <row r="212">
      <c r="A212" s="3" t="n"/>
      <c r="D212">
        <f>IF(A212="","",YEAR(A212)*100+MONTH(A212))</f>
        <v/>
      </c>
    </row>
    <row r="213">
      <c r="A213" s="3" t="n"/>
      <c r="D213">
        <f>IF(A213="","",YEAR(A213)*100+MONTH(A213))</f>
        <v/>
      </c>
    </row>
    <row r="214">
      <c r="A214" s="3" t="n"/>
      <c r="D214">
        <f>IF(A214="","",YEAR(A214)*100+MONTH(A214))</f>
        <v/>
      </c>
    </row>
    <row r="215">
      <c r="A215" s="3" t="n"/>
      <c r="D215">
        <f>IF(A215="","",YEAR(A215)*100+MONTH(A215))</f>
        <v/>
      </c>
    </row>
    <row r="216">
      <c r="A216" s="3" t="n"/>
      <c r="D216">
        <f>IF(A216="","",YEAR(A216)*100+MONTH(A216))</f>
        <v/>
      </c>
    </row>
    <row r="217">
      <c r="A217" s="3" t="n"/>
      <c r="D217">
        <f>IF(A217="","",YEAR(A217)*100+MONTH(A217))</f>
        <v/>
      </c>
    </row>
    <row r="218">
      <c r="A218" s="3" t="n"/>
      <c r="D218">
        <f>IF(A218="","",YEAR(A218)*100+MONTH(A218))</f>
        <v/>
      </c>
    </row>
    <row r="219">
      <c r="A219" s="3" t="n"/>
      <c r="D219">
        <f>IF(A219="","",YEAR(A219)*100+MONTH(A219))</f>
        <v/>
      </c>
    </row>
    <row r="220">
      <c r="A220" s="3" t="n"/>
      <c r="D220">
        <f>IF(A220="","",YEAR(A220)*100+MONTH(A220))</f>
        <v/>
      </c>
    </row>
    <row r="221">
      <c r="A221" s="3" t="n"/>
      <c r="D221">
        <f>IF(A221="","",YEAR(A221)*100+MONTH(A221))</f>
        <v/>
      </c>
    </row>
    <row r="222">
      <c r="A222" s="3" t="n"/>
      <c r="D222">
        <f>IF(A222="","",YEAR(A222)*100+MONTH(A222))</f>
        <v/>
      </c>
    </row>
    <row r="223">
      <c r="A223" s="3" t="n"/>
      <c r="D223">
        <f>IF(A223="","",YEAR(A223)*100+MONTH(A223))</f>
        <v/>
      </c>
    </row>
    <row r="224">
      <c r="A224" s="3" t="n"/>
      <c r="D224">
        <f>IF(A224="","",YEAR(A224)*100+MONTH(A224))</f>
        <v/>
      </c>
    </row>
    <row r="225">
      <c r="A225" s="3" t="n"/>
      <c r="D225">
        <f>IF(A225="","",YEAR(A225)*100+MONTH(A225))</f>
        <v/>
      </c>
    </row>
    <row r="226">
      <c r="A226" s="3" t="n"/>
      <c r="D226">
        <f>IF(A226="","",YEAR(A226)*100+MONTH(A226))</f>
        <v/>
      </c>
    </row>
    <row r="227">
      <c r="A227" s="3" t="n"/>
      <c r="D227">
        <f>IF(A227="","",YEAR(A227)*100+MONTH(A227))</f>
        <v/>
      </c>
    </row>
    <row r="228">
      <c r="A228" s="3" t="n"/>
      <c r="D228">
        <f>IF(A228="","",YEAR(A228)*100+MONTH(A228))</f>
        <v/>
      </c>
    </row>
    <row r="229">
      <c r="A229" s="3" t="n"/>
      <c r="D229">
        <f>IF(A229="","",YEAR(A229)*100+MONTH(A229))</f>
        <v/>
      </c>
    </row>
    <row r="230">
      <c r="A230" s="3" t="n"/>
      <c r="D230">
        <f>IF(A230="","",YEAR(A230)*100+MONTH(A230))</f>
        <v/>
      </c>
    </row>
    <row r="231">
      <c r="A231" s="3" t="n"/>
      <c r="D231">
        <f>IF(A231="","",YEAR(A231)*100+MONTH(A231))</f>
        <v/>
      </c>
    </row>
    <row r="232">
      <c r="A232" s="3" t="n"/>
      <c r="D232">
        <f>IF(A232="","",YEAR(A232)*100+MONTH(A232))</f>
        <v/>
      </c>
    </row>
    <row r="233">
      <c r="A233" s="3" t="n"/>
      <c r="D233">
        <f>IF(A233="","",YEAR(A233)*100+MONTH(A233))</f>
        <v/>
      </c>
    </row>
    <row r="234">
      <c r="A234" s="3" t="n"/>
      <c r="D234">
        <f>IF(A234="","",YEAR(A234)*100+MONTH(A234))</f>
        <v/>
      </c>
    </row>
    <row r="235">
      <c r="A235" s="3" t="n"/>
      <c r="D235">
        <f>IF(A235="","",YEAR(A235)*100+MONTH(A235))</f>
        <v/>
      </c>
    </row>
    <row r="236">
      <c r="A236" s="3" t="n"/>
      <c r="D236">
        <f>IF(A236="","",YEAR(A236)*100+MONTH(A236))</f>
        <v/>
      </c>
    </row>
    <row r="237">
      <c r="A237" s="3" t="n"/>
      <c r="D237">
        <f>IF(A237="","",YEAR(A237)*100+MONTH(A237))</f>
        <v/>
      </c>
    </row>
    <row r="238">
      <c r="A238" s="3" t="n"/>
      <c r="D238">
        <f>IF(A238="","",YEAR(A238)*100+MONTH(A238))</f>
        <v/>
      </c>
    </row>
    <row r="239">
      <c r="A239" s="3" t="n"/>
      <c r="D239">
        <f>IF(A239="","",YEAR(A239)*100+MONTH(A239))</f>
        <v/>
      </c>
    </row>
    <row r="240">
      <c r="A240" s="3" t="n"/>
      <c r="D240">
        <f>IF(A240="","",YEAR(A240)*100+MONTH(A240))</f>
        <v/>
      </c>
    </row>
    <row r="241">
      <c r="A241" s="3" t="n"/>
      <c r="D241">
        <f>IF(A241="","",YEAR(A241)*100+MONTH(A241))</f>
        <v/>
      </c>
    </row>
    <row r="242">
      <c r="A242" s="3" t="n"/>
      <c r="D242">
        <f>IF(A242="","",YEAR(A242)*100+MONTH(A242))</f>
        <v/>
      </c>
    </row>
    <row r="243">
      <c r="A243" s="3" t="n"/>
      <c r="D243">
        <f>IF(A243="","",YEAR(A243)*100+MONTH(A243))</f>
        <v/>
      </c>
    </row>
    <row r="244">
      <c r="A244" s="3" t="n"/>
      <c r="D244">
        <f>IF(A244="","",YEAR(A244)*100+MONTH(A244))</f>
        <v/>
      </c>
    </row>
    <row r="245">
      <c r="A245" s="3" t="n"/>
      <c r="D245">
        <f>IF(A245="","",YEAR(A245)*100+MONTH(A245))</f>
        <v/>
      </c>
    </row>
    <row r="246">
      <c r="A246" s="3" t="n"/>
      <c r="D246">
        <f>IF(A246="","",YEAR(A246)*100+MONTH(A246))</f>
        <v/>
      </c>
    </row>
    <row r="247">
      <c r="A247" s="3" t="n"/>
      <c r="D247">
        <f>IF(A247="","",YEAR(A247)*100+MONTH(A247))</f>
        <v/>
      </c>
    </row>
    <row r="248">
      <c r="A248" s="3" t="n"/>
      <c r="D248">
        <f>IF(A248="","",YEAR(A248)*100+MONTH(A248))</f>
        <v/>
      </c>
    </row>
    <row r="249">
      <c r="A249" s="3" t="n"/>
      <c r="D249">
        <f>IF(A249="","",YEAR(A249)*100+MONTH(A249))</f>
        <v/>
      </c>
    </row>
    <row r="250">
      <c r="A250" s="3" t="n"/>
      <c r="D250">
        <f>IF(A250="","",YEAR(A250)*100+MONTH(A250))</f>
        <v/>
      </c>
    </row>
    <row r="251">
      <c r="A251" s="3" t="n"/>
      <c r="D251">
        <f>IF(A251="","",YEAR(A251)*100+MONTH(A251))</f>
        <v/>
      </c>
    </row>
    <row r="252">
      <c r="A252" s="3" t="n"/>
      <c r="D252">
        <f>IF(A252="","",YEAR(A252)*100+MONTH(A252))</f>
        <v/>
      </c>
    </row>
    <row r="253">
      <c r="A253" s="3" t="n"/>
      <c r="D253">
        <f>IF(A253="","",YEAR(A253)*100+MONTH(A253))</f>
        <v/>
      </c>
    </row>
    <row r="254">
      <c r="A254" s="3" t="n"/>
      <c r="D254">
        <f>IF(A254="","",YEAR(A254)*100+MONTH(A254))</f>
        <v/>
      </c>
    </row>
    <row r="255">
      <c r="A255" s="3" t="n"/>
      <c r="D255">
        <f>IF(A255="","",YEAR(A255)*100+MONTH(A255))</f>
        <v/>
      </c>
    </row>
    <row r="256">
      <c r="A256" s="3" t="n"/>
      <c r="D256">
        <f>IF(A256="","",YEAR(A256)*100+MONTH(A256))</f>
        <v/>
      </c>
    </row>
    <row r="257">
      <c r="A257" s="3" t="n"/>
      <c r="D257">
        <f>IF(A257="","",YEAR(A257)*100+MONTH(A257))</f>
        <v/>
      </c>
    </row>
    <row r="258">
      <c r="A258" s="3" t="n"/>
      <c r="D258">
        <f>IF(A258="","",YEAR(A258)*100+MONTH(A258))</f>
        <v/>
      </c>
    </row>
    <row r="259">
      <c r="A259" s="3" t="n"/>
      <c r="D259">
        <f>IF(A259="","",YEAR(A259)*100+MONTH(A259))</f>
        <v/>
      </c>
    </row>
    <row r="260">
      <c r="A260" s="3" t="n"/>
      <c r="D260">
        <f>IF(A260="","",YEAR(A260)*100+MONTH(A260))</f>
        <v/>
      </c>
    </row>
    <row r="261">
      <c r="A261" s="3" t="n"/>
      <c r="D261">
        <f>IF(A261="","",YEAR(A261)*100+MONTH(A261))</f>
        <v/>
      </c>
    </row>
    <row r="262">
      <c r="A262" s="3" t="n"/>
      <c r="D262">
        <f>IF(A262="","",YEAR(A262)*100+MONTH(A262))</f>
        <v/>
      </c>
    </row>
    <row r="263">
      <c r="A263" s="3" t="n"/>
      <c r="D263">
        <f>IF(A263="","",YEAR(A263)*100+MONTH(A263))</f>
        <v/>
      </c>
    </row>
    <row r="264">
      <c r="A264" s="3" t="n"/>
      <c r="D264">
        <f>IF(A264="","",YEAR(A264)*100+MONTH(A264))</f>
        <v/>
      </c>
    </row>
    <row r="265">
      <c r="A265" s="3" t="n"/>
      <c r="D265">
        <f>IF(A265="","",YEAR(A265)*100+MONTH(A265))</f>
        <v/>
      </c>
    </row>
    <row r="266">
      <c r="A266" s="3" t="n"/>
      <c r="D266">
        <f>IF(A266="","",YEAR(A266)*100+MONTH(A266))</f>
        <v/>
      </c>
    </row>
    <row r="267">
      <c r="A267" s="3" t="n"/>
      <c r="D267">
        <f>IF(A267="","",YEAR(A267)*100+MONTH(A267))</f>
        <v/>
      </c>
    </row>
    <row r="268">
      <c r="A268" s="3" t="n"/>
      <c r="D268">
        <f>IF(A268="","",YEAR(A268)*100+MONTH(A268))</f>
        <v/>
      </c>
    </row>
    <row r="269">
      <c r="A269" s="3" t="n"/>
      <c r="D269">
        <f>IF(A269="","",YEAR(A269)*100+MONTH(A269))</f>
        <v/>
      </c>
    </row>
    <row r="270">
      <c r="A270" s="3" t="n"/>
      <c r="D270">
        <f>IF(A270="","",YEAR(A270)*100+MONTH(A270))</f>
        <v/>
      </c>
    </row>
    <row r="271">
      <c r="A271" s="3" t="n"/>
      <c r="D271">
        <f>IF(A271="","",YEAR(A271)*100+MONTH(A271))</f>
        <v/>
      </c>
    </row>
    <row r="272">
      <c r="A272" s="3" t="n"/>
      <c r="D272">
        <f>IF(A272="","",YEAR(A272)*100+MONTH(A272))</f>
        <v/>
      </c>
    </row>
    <row r="273">
      <c r="A273" s="3" t="n"/>
      <c r="D273">
        <f>IF(A273="","",YEAR(A273)*100+MONTH(A273))</f>
        <v/>
      </c>
    </row>
    <row r="274">
      <c r="A274" s="3" t="n"/>
      <c r="D274">
        <f>IF(A274="","",YEAR(A274)*100+MONTH(A274))</f>
        <v/>
      </c>
    </row>
    <row r="275">
      <c r="A275" s="3" t="n"/>
      <c r="D275">
        <f>IF(A275="","",YEAR(A275)*100+MONTH(A275))</f>
        <v/>
      </c>
    </row>
    <row r="276">
      <c r="A276" s="3" t="n"/>
      <c r="D276">
        <f>IF(A276="","",YEAR(A276)*100+MONTH(A276))</f>
        <v/>
      </c>
    </row>
    <row r="277">
      <c r="A277" s="3" t="n"/>
      <c r="D277">
        <f>IF(A277="","",YEAR(A277)*100+MONTH(A277))</f>
        <v/>
      </c>
    </row>
    <row r="278">
      <c r="A278" s="3" t="n"/>
      <c r="D278">
        <f>IF(A278="","",YEAR(A278)*100+MONTH(A278))</f>
        <v/>
      </c>
    </row>
    <row r="279">
      <c r="A279" s="3" t="n"/>
      <c r="D279">
        <f>IF(A279="","",YEAR(A279)*100+MONTH(A279))</f>
        <v/>
      </c>
    </row>
    <row r="280">
      <c r="A280" s="3" t="n"/>
      <c r="D280">
        <f>IF(A280="","",YEAR(A280)*100+MONTH(A280))</f>
        <v/>
      </c>
    </row>
    <row r="281">
      <c r="A281" s="3" t="n"/>
      <c r="D281">
        <f>IF(A281="","",YEAR(A281)*100+MONTH(A281))</f>
        <v/>
      </c>
    </row>
    <row r="282">
      <c r="A282" s="3" t="n"/>
      <c r="D282">
        <f>IF(A282="","",YEAR(A282)*100+MONTH(A282))</f>
        <v/>
      </c>
    </row>
    <row r="283">
      <c r="A283" s="3" t="n"/>
      <c r="D283">
        <f>IF(A283="","",YEAR(A283)*100+MONTH(A283))</f>
        <v/>
      </c>
    </row>
    <row r="284">
      <c r="A284" s="3" t="n"/>
      <c r="D284">
        <f>IF(A284="","",YEAR(A284)*100+MONTH(A284))</f>
        <v/>
      </c>
    </row>
    <row r="285">
      <c r="A285" s="3" t="n"/>
      <c r="D285">
        <f>IF(A285="","",YEAR(A285)*100+MONTH(A285))</f>
        <v/>
      </c>
    </row>
    <row r="286">
      <c r="A286" s="3" t="n"/>
      <c r="D286">
        <f>IF(A286="","",YEAR(A286)*100+MONTH(A286))</f>
        <v/>
      </c>
    </row>
    <row r="287">
      <c r="A287" s="3" t="n"/>
      <c r="D287">
        <f>IF(A287="","",YEAR(A287)*100+MONTH(A287))</f>
        <v/>
      </c>
    </row>
    <row r="288">
      <c r="A288" s="3" t="n"/>
      <c r="D288">
        <f>IF(A288="","",YEAR(A288)*100+MONTH(A288))</f>
        <v/>
      </c>
    </row>
    <row r="289">
      <c r="A289" s="3" t="n"/>
      <c r="D289">
        <f>IF(A289="","",YEAR(A289)*100+MONTH(A289))</f>
        <v/>
      </c>
    </row>
    <row r="290">
      <c r="A290" s="3" t="n"/>
      <c r="D290">
        <f>IF(A290="","",YEAR(A290)*100+MONTH(A290))</f>
        <v/>
      </c>
    </row>
    <row r="291">
      <c r="A291" s="3" t="n"/>
      <c r="D291">
        <f>IF(A291="","",YEAR(A291)*100+MONTH(A291))</f>
        <v/>
      </c>
    </row>
    <row r="292">
      <c r="A292" s="3" t="n"/>
      <c r="D292">
        <f>IF(A292="","",YEAR(A292)*100+MONTH(A292))</f>
        <v/>
      </c>
    </row>
    <row r="293">
      <c r="A293" s="3" t="n"/>
      <c r="D293">
        <f>IF(A293="","",YEAR(A293)*100+MONTH(A293))</f>
        <v/>
      </c>
    </row>
    <row r="294">
      <c r="A294" s="3" t="n"/>
      <c r="D294">
        <f>IF(A294="","",YEAR(A294)*100+MONTH(A294))</f>
        <v/>
      </c>
    </row>
    <row r="295">
      <c r="A295" s="3" t="n"/>
      <c r="D295">
        <f>IF(A295="","",YEAR(A295)*100+MONTH(A295))</f>
        <v/>
      </c>
    </row>
    <row r="296">
      <c r="A296" s="3" t="n"/>
      <c r="D296">
        <f>IF(A296="","",YEAR(A296)*100+MONTH(A296))</f>
        <v/>
      </c>
    </row>
    <row r="297">
      <c r="A297" s="3" t="n"/>
      <c r="D297">
        <f>IF(A297="","",YEAR(A297)*100+MONTH(A297))</f>
        <v/>
      </c>
    </row>
    <row r="298">
      <c r="A298" s="3" t="n"/>
      <c r="D298">
        <f>IF(A298="","",YEAR(A298)*100+MONTH(A298))</f>
        <v/>
      </c>
    </row>
    <row r="299">
      <c r="A299" s="3" t="n"/>
      <c r="D299">
        <f>IF(A299="","",YEAR(A299)*100+MONTH(A299))</f>
        <v/>
      </c>
    </row>
    <row r="300">
      <c r="A300" s="3" t="n"/>
      <c r="D300">
        <f>IF(A300="","",YEAR(A300)*100+MONTH(A300))</f>
        <v/>
      </c>
    </row>
    <row r="301">
      <c r="A301" s="3" t="n"/>
      <c r="D301">
        <f>IF(A301="","",YEAR(A301)*100+MONTH(A301))</f>
        <v/>
      </c>
    </row>
    <row r="302">
      <c r="A302" s="3" t="n"/>
      <c r="D302">
        <f>IF(A302="","",YEAR(A302)*100+MONTH(A302))</f>
        <v/>
      </c>
    </row>
    <row r="303">
      <c r="A303" s="3" t="n"/>
      <c r="D303">
        <f>IF(A303="","",YEAR(A303)*100+MONTH(A303))</f>
        <v/>
      </c>
    </row>
    <row r="304">
      <c r="A304" s="3" t="n"/>
      <c r="D304">
        <f>IF(A304="","",YEAR(A304)*100+MONTH(A304))</f>
        <v/>
      </c>
    </row>
    <row r="305">
      <c r="A305" s="3" t="n"/>
      <c r="D305">
        <f>IF(A305="","",YEAR(A305)*100+MONTH(A305))</f>
        <v/>
      </c>
    </row>
    <row r="306">
      <c r="A306" s="3" t="n"/>
      <c r="D306">
        <f>IF(A306="","",YEAR(A306)*100+MONTH(A306))</f>
        <v/>
      </c>
    </row>
    <row r="307">
      <c r="A307" s="3" t="n"/>
      <c r="D307">
        <f>IF(A307="","",YEAR(A307)*100+MONTH(A307))</f>
        <v/>
      </c>
    </row>
    <row r="308">
      <c r="A308" s="3" t="n"/>
      <c r="D308">
        <f>IF(A308="","",YEAR(A308)*100+MONTH(A308))</f>
        <v/>
      </c>
    </row>
    <row r="309">
      <c r="A309" s="3" t="n"/>
      <c r="D309">
        <f>IF(A309="","",YEAR(A309)*100+MONTH(A309))</f>
        <v/>
      </c>
    </row>
    <row r="310">
      <c r="A310" s="3" t="n"/>
      <c r="D310">
        <f>IF(A310="","",YEAR(A310)*100+MONTH(A310))</f>
        <v/>
      </c>
    </row>
    <row r="311">
      <c r="A311" s="3" t="n"/>
      <c r="D311">
        <f>IF(A311="","",YEAR(A311)*100+MONTH(A311))</f>
        <v/>
      </c>
    </row>
    <row r="312">
      <c r="A312" s="3" t="n"/>
      <c r="D312">
        <f>IF(A312="","",YEAR(A312)*100+MONTH(A312))</f>
        <v/>
      </c>
    </row>
    <row r="313">
      <c r="A313" s="3" t="n"/>
      <c r="D313">
        <f>IF(A313="","",YEAR(A313)*100+MONTH(A313))</f>
        <v/>
      </c>
    </row>
    <row r="314">
      <c r="A314" s="3" t="n"/>
      <c r="D314">
        <f>IF(A314="","",YEAR(A314)*100+MONTH(A314))</f>
        <v/>
      </c>
    </row>
    <row r="315">
      <c r="A315" s="3" t="n"/>
      <c r="D315">
        <f>IF(A315="","",YEAR(A315)*100+MONTH(A315))</f>
        <v/>
      </c>
    </row>
    <row r="316">
      <c r="A316" s="3" t="n"/>
      <c r="D316">
        <f>IF(A316="","",YEAR(A316)*100+MONTH(A316))</f>
        <v/>
      </c>
    </row>
    <row r="317">
      <c r="A317" s="3" t="n"/>
      <c r="D317">
        <f>IF(A317="","",YEAR(A317)*100+MONTH(A317))</f>
        <v/>
      </c>
    </row>
    <row r="318">
      <c r="A318" s="3" t="n"/>
      <c r="D318">
        <f>IF(A318="","",YEAR(A318)*100+MONTH(A318))</f>
        <v/>
      </c>
    </row>
    <row r="319">
      <c r="A319" s="3" t="n"/>
      <c r="D319">
        <f>IF(A319="","",YEAR(A319)*100+MONTH(A319))</f>
        <v/>
      </c>
    </row>
    <row r="320">
      <c r="A320" s="3" t="n"/>
      <c r="D320">
        <f>IF(A320="","",YEAR(A320)*100+MONTH(A320))</f>
        <v/>
      </c>
    </row>
    <row r="321">
      <c r="A321" s="3" t="n"/>
      <c r="D321">
        <f>IF(A321="","",YEAR(A321)*100+MONTH(A321))</f>
        <v/>
      </c>
    </row>
    <row r="322">
      <c r="A322" s="3" t="n"/>
      <c r="D322">
        <f>IF(A322="","",YEAR(A322)*100+MONTH(A322))</f>
        <v/>
      </c>
    </row>
    <row r="323">
      <c r="A323" s="3" t="n"/>
      <c r="D323">
        <f>IF(A323="","",YEAR(A323)*100+MONTH(A323))</f>
        <v/>
      </c>
    </row>
    <row r="324">
      <c r="A324" s="3" t="n"/>
      <c r="D324">
        <f>IF(A324="","",YEAR(A324)*100+MONTH(A324))</f>
        <v/>
      </c>
    </row>
    <row r="325">
      <c r="A325" s="3" t="n"/>
      <c r="D325">
        <f>IF(A325="","",YEAR(A325)*100+MONTH(A325))</f>
        <v/>
      </c>
    </row>
    <row r="326">
      <c r="A326" s="3" t="n"/>
      <c r="D326">
        <f>IF(A326="","",YEAR(A326)*100+MONTH(A326))</f>
        <v/>
      </c>
    </row>
    <row r="327">
      <c r="A327" s="3" t="n"/>
      <c r="D327">
        <f>IF(A327="","",YEAR(A327)*100+MONTH(A327))</f>
        <v/>
      </c>
    </row>
    <row r="328">
      <c r="A328" s="3" t="n"/>
      <c r="D328">
        <f>IF(A328="","",YEAR(A328)*100+MONTH(A328))</f>
        <v/>
      </c>
    </row>
    <row r="329">
      <c r="A329" s="3" t="n"/>
      <c r="D329">
        <f>IF(A329="","",YEAR(A329)*100+MONTH(A329))</f>
        <v/>
      </c>
    </row>
    <row r="330">
      <c r="A330" s="3" t="n"/>
      <c r="D330">
        <f>IF(A330="","",YEAR(A330)*100+MONTH(A330))</f>
        <v/>
      </c>
    </row>
    <row r="331">
      <c r="A331" s="3" t="n"/>
      <c r="D331">
        <f>IF(A331="","",YEAR(A331)*100+MONTH(A331))</f>
        <v/>
      </c>
    </row>
    <row r="332">
      <c r="A332" s="3" t="n"/>
      <c r="D332">
        <f>IF(A332="","",YEAR(A332)*100+MONTH(A332))</f>
        <v/>
      </c>
    </row>
    <row r="333">
      <c r="A333" s="3" t="n"/>
      <c r="D333">
        <f>IF(A333="","",YEAR(A333)*100+MONTH(A333))</f>
        <v/>
      </c>
    </row>
    <row r="334">
      <c r="A334" s="3" t="n"/>
      <c r="D334">
        <f>IF(A334="","",YEAR(A334)*100+MONTH(A334))</f>
        <v/>
      </c>
    </row>
    <row r="335">
      <c r="A335" s="3" t="n"/>
      <c r="D335">
        <f>IF(A335="","",YEAR(A335)*100+MONTH(A335))</f>
        <v/>
      </c>
    </row>
    <row r="336">
      <c r="A336" s="3" t="n"/>
      <c r="D336">
        <f>IF(A336="","",YEAR(A336)*100+MONTH(A336))</f>
        <v/>
      </c>
    </row>
    <row r="337">
      <c r="A337" s="3" t="n"/>
      <c r="D337">
        <f>IF(A337="","",YEAR(A337)*100+MONTH(A337))</f>
        <v/>
      </c>
    </row>
    <row r="338">
      <c r="A338" s="3" t="n"/>
      <c r="D338">
        <f>IF(A338="","",YEAR(A338)*100+MONTH(A338))</f>
        <v/>
      </c>
    </row>
    <row r="339">
      <c r="A339" s="3" t="n"/>
      <c r="D339">
        <f>IF(A339="","",YEAR(A339)*100+MONTH(A339))</f>
        <v/>
      </c>
    </row>
    <row r="340">
      <c r="A340" s="3" t="n"/>
      <c r="D340">
        <f>IF(A340="","",YEAR(A340)*100+MONTH(A340))</f>
        <v/>
      </c>
    </row>
    <row r="341">
      <c r="A341" s="3" t="n"/>
      <c r="D341">
        <f>IF(A341="","",YEAR(A341)*100+MONTH(A341))</f>
        <v/>
      </c>
    </row>
    <row r="342">
      <c r="A342" s="3" t="n"/>
      <c r="D342">
        <f>IF(A342="","",YEAR(A342)*100+MONTH(A342))</f>
        <v/>
      </c>
    </row>
    <row r="343">
      <c r="A343" s="3" t="n"/>
      <c r="D343">
        <f>IF(A343="","",YEAR(A343)*100+MONTH(A343))</f>
        <v/>
      </c>
    </row>
    <row r="344">
      <c r="A344" s="3" t="n"/>
      <c r="D344">
        <f>IF(A344="","",YEAR(A344)*100+MONTH(A344))</f>
        <v/>
      </c>
    </row>
    <row r="345">
      <c r="A345" s="3" t="n"/>
      <c r="D345">
        <f>IF(A345="","",YEAR(A345)*100+MONTH(A345))</f>
        <v/>
      </c>
    </row>
    <row r="346">
      <c r="A346" s="3" t="n"/>
      <c r="D346">
        <f>IF(A346="","",YEAR(A346)*100+MONTH(A346))</f>
        <v/>
      </c>
    </row>
    <row r="347">
      <c r="A347" s="3" t="n"/>
      <c r="D347">
        <f>IF(A347="","",YEAR(A347)*100+MONTH(A347))</f>
        <v/>
      </c>
    </row>
    <row r="348">
      <c r="A348" s="3" t="n"/>
      <c r="D348">
        <f>IF(A348="","",YEAR(A348)*100+MONTH(A348))</f>
        <v/>
      </c>
    </row>
    <row r="349">
      <c r="A349" s="3" t="n"/>
      <c r="D349">
        <f>IF(A349="","",YEAR(A349)*100+MONTH(A349))</f>
        <v/>
      </c>
    </row>
    <row r="350">
      <c r="A350" s="3" t="n"/>
      <c r="D350">
        <f>IF(A350="","",YEAR(A350)*100+MONTH(A350))</f>
        <v/>
      </c>
    </row>
    <row r="351">
      <c r="A351" s="3" t="n"/>
      <c r="D351">
        <f>IF(A351="","",YEAR(A351)*100+MONTH(A351))</f>
        <v/>
      </c>
    </row>
    <row r="352">
      <c r="A352" s="3" t="n"/>
      <c r="D352">
        <f>IF(A352="","",YEAR(A352)*100+MONTH(A352))</f>
        <v/>
      </c>
    </row>
    <row r="353">
      <c r="A353" s="3" t="n"/>
      <c r="D353">
        <f>IF(A353="","",YEAR(A353)*100+MONTH(A353))</f>
        <v/>
      </c>
    </row>
    <row r="354">
      <c r="A354" s="3" t="n"/>
      <c r="D354">
        <f>IF(A354="","",YEAR(A354)*100+MONTH(A354))</f>
        <v/>
      </c>
    </row>
    <row r="355">
      <c r="A355" s="3" t="n"/>
      <c r="D355">
        <f>IF(A355="","",YEAR(A355)*100+MONTH(A355))</f>
        <v/>
      </c>
    </row>
    <row r="356">
      <c r="A356" s="3" t="n"/>
      <c r="D356">
        <f>IF(A356="","",YEAR(A356)*100+MONTH(A356))</f>
        <v/>
      </c>
    </row>
    <row r="357">
      <c r="A357" s="3" t="n"/>
      <c r="D357">
        <f>IF(A357="","",YEAR(A357)*100+MONTH(A357))</f>
        <v/>
      </c>
    </row>
    <row r="358">
      <c r="A358" s="3" t="n"/>
      <c r="D358">
        <f>IF(A358="","",YEAR(A358)*100+MONTH(A358))</f>
        <v/>
      </c>
    </row>
    <row r="359">
      <c r="A359" s="3" t="n"/>
      <c r="D359">
        <f>IF(A359="","",YEAR(A359)*100+MONTH(A359))</f>
        <v/>
      </c>
    </row>
    <row r="360">
      <c r="A360" s="3" t="n"/>
      <c r="D360">
        <f>IF(A360="","",YEAR(A360)*100+MONTH(A360))</f>
        <v/>
      </c>
    </row>
    <row r="361">
      <c r="A361" s="3" t="n"/>
      <c r="D361">
        <f>IF(A361="","",YEAR(A361)*100+MONTH(A361))</f>
        <v/>
      </c>
    </row>
    <row r="362">
      <c r="A362" s="3" t="n"/>
      <c r="D362">
        <f>IF(A362="","",YEAR(A362)*100+MONTH(A362))</f>
        <v/>
      </c>
    </row>
    <row r="363">
      <c r="A363" s="3" t="n"/>
      <c r="D363">
        <f>IF(A363="","",YEAR(A363)*100+MONTH(A363))</f>
        <v/>
      </c>
    </row>
    <row r="364">
      <c r="A364" s="3" t="n"/>
      <c r="D364">
        <f>IF(A364="","",YEAR(A364)*100+MONTH(A364))</f>
        <v/>
      </c>
    </row>
    <row r="365">
      <c r="A365" s="3" t="n"/>
      <c r="D365">
        <f>IF(A365="","",YEAR(A365)*100+MONTH(A365))</f>
        <v/>
      </c>
    </row>
    <row r="366">
      <c r="A366" s="3" t="n"/>
      <c r="D366">
        <f>IF(A366="","",YEAR(A366)*100+MONTH(A366))</f>
        <v/>
      </c>
    </row>
    <row r="367">
      <c r="A367" s="3" t="n"/>
      <c r="D367">
        <f>IF(A367="","",YEAR(A367)*100+MONTH(A367))</f>
        <v/>
      </c>
    </row>
    <row r="368">
      <c r="A368" s="3" t="n"/>
      <c r="D368">
        <f>IF(A368="","",YEAR(A368)*100+MONTH(A368))</f>
        <v/>
      </c>
    </row>
    <row r="369">
      <c r="A369" s="3" t="n"/>
      <c r="D369">
        <f>IF(A369="","",YEAR(A369)*100+MONTH(A369))</f>
        <v/>
      </c>
    </row>
    <row r="370">
      <c r="A370" s="3" t="n"/>
      <c r="D370">
        <f>IF(A370="","",YEAR(A370)*100+MONTH(A370))</f>
        <v/>
      </c>
    </row>
    <row r="371">
      <c r="A371" s="3" t="n"/>
      <c r="D371">
        <f>IF(A371="","",YEAR(A371)*100+MONTH(A371))</f>
        <v/>
      </c>
    </row>
    <row r="372">
      <c r="A372" s="3" t="n"/>
      <c r="D372">
        <f>IF(A372="","",YEAR(A372)*100+MONTH(A372))</f>
        <v/>
      </c>
    </row>
    <row r="373">
      <c r="A373" s="3" t="n"/>
      <c r="D373">
        <f>IF(A373="","",YEAR(A373)*100+MONTH(A373))</f>
        <v/>
      </c>
    </row>
    <row r="374">
      <c r="A374" s="3" t="n"/>
      <c r="D374">
        <f>IF(A374="","",YEAR(A374)*100+MONTH(A374))</f>
        <v/>
      </c>
    </row>
    <row r="375">
      <c r="A375" s="3" t="n"/>
      <c r="D375">
        <f>IF(A375="","",YEAR(A375)*100+MONTH(A375))</f>
        <v/>
      </c>
    </row>
    <row r="376">
      <c r="A376" s="3" t="n"/>
      <c r="D376">
        <f>IF(A376="","",YEAR(A376)*100+MONTH(A376))</f>
        <v/>
      </c>
    </row>
    <row r="377">
      <c r="A377" s="3" t="n"/>
      <c r="D377">
        <f>IF(A377="","",YEAR(A377)*100+MONTH(A377))</f>
        <v/>
      </c>
    </row>
    <row r="378">
      <c r="A378" s="3" t="n"/>
      <c r="D378">
        <f>IF(A378="","",YEAR(A378)*100+MONTH(A378))</f>
        <v/>
      </c>
    </row>
    <row r="379">
      <c r="A379" s="3" t="n"/>
      <c r="D379">
        <f>IF(A379="","",YEAR(A379)*100+MONTH(A379))</f>
        <v/>
      </c>
    </row>
    <row r="380">
      <c r="A380" s="3" t="n"/>
      <c r="D380">
        <f>IF(A380="","",YEAR(A380)*100+MONTH(A380))</f>
        <v/>
      </c>
    </row>
    <row r="381">
      <c r="A381" s="3" t="n"/>
      <c r="D381">
        <f>IF(A381="","",YEAR(A381)*100+MONTH(A381))</f>
        <v/>
      </c>
    </row>
    <row r="382">
      <c r="A382" s="3" t="n"/>
      <c r="D382">
        <f>IF(A382="","",YEAR(A382)*100+MONTH(A382))</f>
        <v/>
      </c>
    </row>
    <row r="383">
      <c r="A383" s="3" t="n"/>
      <c r="D383">
        <f>IF(A383="","",YEAR(A383)*100+MONTH(A383))</f>
        <v/>
      </c>
    </row>
    <row r="384">
      <c r="A384" s="3" t="n"/>
      <c r="D384">
        <f>IF(A384="","",YEAR(A384)*100+MONTH(A384))</f>
        <v/>
      </c>
    </row>
    <row r="385">
      <c r="A385" s="3" t="n"/>
      <c r="D385">
        <f>IF(A385="","",YEAR(A385)*100+MONTH(A385))</f>
        <v/>
      </c>
    </row>
    <row r="386">
      <c r="A386" s="3" t="n"/>
      <c r="D386">
        <f>IF(A386="","",YEAR(A386)*100+MONTH(A386))</f>
        <v/>
      </c>
    </row>
    <row r="387">
      <c r="A387" s="3" t="n"/>
      <c r="D387">
        <f>IF(A387="","",YEAR(A387)*100+MONTH(A387))</f>
        <v/>
      </c>
    </row>
    <row r="388">
      <c r="A388" s="3" t="n"/>
      <c r="D388">
        <f>IF(A388="","",YEAR(A388)*100+MONTH(A388))</f>
        <v/>
      </c>
    </row>
    <row r="389">
      <c r="A389" s="3" t="n"/>
      <c r="D389">
        <f>IF(A389="","",YEAR(A389)*100+MONTH(A389))</f>
        <v/>
      </c>
    </row>
    <row r="390">
      <c r="A390" s="3" t="n"/>
      <c r="D390">
        <f>IF(A390="","",YEAR(A390)*100+MONTH(A390))</f>
        <v/>
      </c>
    </row>
    <row r="391">
      <c r="A391" s="3" t="n"/>
      <c r="D391">
        <f>IF(A391="","",YEAR(A391)*100+MONTH(A391))</f>
        <v/>
      </c>
    </row>
    <row r="392">
      <c r="A392" s="3" t="n"/>
      <c r="D392">
        <f>IF(A392="","",YEAR(A392)*100+MONTH(A392))</f>
        <v/>
      </c>
    </row>
    <row r="393">
      <c r="A393" s="3" t="n"/>
      <c r="D393">
        <f>IF(A393="","",YEAR(A393)*100+MONTH(A393))</f>
        <v/>
      </c>
    </row>
    <row r="394">
      <c r="A394" s="3" t="n"/>
      <c r="D394">
        <f>IF(A394="","",YEAR(A394)*100+MONTH(A394))</f>
        <v/>
      </c>
    </row>
    <row r="395">
      <c r="A395" s="3" t="n"/>
      <c r="D395">
        <f>IF(A395="","",YEAR(A395)*100+MONTH(A395))</f>
        <v/>
      </c>
    </row>
    <row r="396">
      <c r="A396" s="3" t="n"/>
      <c r="D396">
        <f>IF(A396="","",YEAR(A396)*100+MONTH(A396))</f>
        <v/>
      </c>
    </row>
    <row r="397">
      <c r="A397" s="3" t="n"/>
      <c r="D397">
        <f>IF(A397="","",YEAR(A397)*100+MONTH(A397))</f>
        <v/>
      </c>
    </row>
    <row r="398">
      <c r="A398" s="3" t="n"/>
      <c r="D398">
        <f>IF(A398="","",YEAR(A398)*100+MONTH(A398))</f>
        <v/>
      </c>
    </row>
    <row r="399">
      <c r="A399" s="3" t="n"/>
      <c r="D399">
        <f>IF(A399="","",YEAR(A399)*100+MONTH(A399))</f>
        <v/>
      </c>
    </row>
    <row r="400">
      <c r="A400" s="3" t="n"/>
      <c r="D400">
        <f>IF(A400="","",YEAR(A400)*100+MONTH(A400))</f>
        <v/>
      </c>
    </row>
    <row r="401">
      <c r="A401" s="3" t="n"/>
      <c r="D401">
        <f>IF(A401="","",YEAR(A401)*100+MONTH(A401))</f>
        <v/>
      </c>
    </row>
    <row r="402">
      <c r="A402" s="3" t="n"/>
      <c r="D402">
        <f>IF(A402="","",YEAR(A402)*100+MONTH(A402))</f>
        <v/>
      </c>
    </row>
    <row r="403">
      <c r="A403" s="3" t="n"/>
      <c r="D403">
        <f>IF(A403="","",YEAR(A403)*100+MONTH(A403))</f>
        <v/>
      </c>
    </row>
    <row r="404">
      <c r="A404" s="3" t="n"/>
      <c r="D404">
        <f>IF(A404="","",YEAR(A404)*100+MONTH(A404))</f>
        <v/>
      </c>
    </row>
    <row r="405">
      <c r="A405" s="3" t="n"/>
      <c r="D405">
        <f>IF(A405="","",YEAR(A405)*100+MONTH(A405))</f>
        <v/>
      </c>
    </row>
    <row r="406">
      <c r="A406" s="3" t="n"/>
      <c r="D406">
        <f>IF(A406="","",YEAR(A406)*100+MONTH(A406))</f>
        <v/>
      </c>
    </row>
    <row r="407">
      <c r="A407" s="3" t="n"/>
      <c r="D407">
        <f>IF(A407="","",YEAR(A407)*100+MONTH(A407))</f>
        <v/>
      </c>
    </row>
    <row r="408">
      <c r="A408" s="3" t="n"/>
      <c r="D408">
        <f>IF(A408="","",YEAR(A408)*100+MONTH(A408))</f>
        <v/>
      </c>
    </row>
    <row r="409">
      <c r="A409" s="3" t="n"/>
      <c r="D409">
        <f>IF(A409="","",YEAR(A409)*100+MONTH(A409))</f>
        <v/>
      </c>
    </row>
    <row r="410">
      <c r="A410" s="3" t="n"/>
      <c r="D410">
        <f>IF(A410="","",YEAR(A410)*100+MONTH(A410))</f>
        <v/>
      </c>
    </row>
    <row r="411">
      <c r="A411" s="3" t="n"/>
      <c r="D411">
        <f>IF(A411="","",YEAR(A411)*100+MONTH(A411))</f>
        <v/>
      </c>
    </row>
    <row r="412">
      <c r="A412" s="3" t="n"/>
      <c r="D412">
        <f>IF(A412="","",YEAR(A412)*100+MONTH(A412))</f>
        <v/>
      </c>
    </row>
    <row r="413">
      <c r="A413" s="3" t="n"/>
      <c r="D413">
        <f>IF(A413="","",YEAR(A413)*100+MONTH(A413))</f>
        <v/>
      </c>
    </row>
    <row r="414">
      <c r="A414" s="3" t="n"/>
      <c r="D414">
        <f>IF(A414="","",YEAR(A414)*100+MONTH(A414))</f>
        <v/>
      </c>
    </row>
    <row r="415">
      <c r="A415" s="3" t="n"/>
      <c r="D415">
        <f>IF(A415="","",YEAR(A415)*100+MONTH(A415))</f>
        <v/>
      </c>
    </row>
    <row r="416">
      <c r="A416" s="3" t="n"/>
      <c r="D416">
        <f>IF(A416="","",YEAR(A416)*100+MONTH(A416))</f>
        <v/>
      </c>
    </row>
    <row r="417">
      <c r="A417" s="3" t="n"/>
      <c r="D417">
        <f>IF(A417="","",YEAR(A417)*100+MONTH(A417))</f>
        <v/>
      </c>
    </row>
    <row r="418">
      <c r="A418" s="3" t="n"/>
      <c r="D418">
        <f>IF(A418="","",YEAR(A418)*100+MONTH(A418))</f>
        <v/>
      </c>
    </row>
    <row r="419">
      <c r="A419" s="3" t="n"/>
      <c r="D419">
        <f>IF(A419="","",YEAR(A419)*100+MONTH(A419))</f>
        <v/>
      </c>
    </row>
    <row r="420">
      <c r="A420" s="3" t="n"/>
      <c r="D420">
        <f>IF(A420="","",YEAR(A420)*100+MONTH(A420))</f>
        <v/>
      </c>
    </row>
    <row r="421">
      <c r="A421" s="3" t="n"/>
      <c r="D421">
        <f>IF(A421="","",YEAR(A421)*100+MONTH(A421))</f>
        <v/>
      </c>
    </row>
    <row r="422">
      <c r="A422" s="3" t="n"/>
      <c r="D422">
        <f>IF(A422="","",YEAR(A422)*100+MONTH(A422))</f>
        <v/>
      </c>
    </row>
    <row r="423">
      <c r="A423" s="3" t="n"/>
      <c r="D423">
        <f>IF(A423="","",YEAR(A423)*100+MONTH(A423))</f>
        <v/>
      </c>
    </row>
    <row r="424">
      <c r="A424" s="3" t="n"/>
      <c r="D424">
        <f>IF(A424="","",YEAR(A424)*100+MONTH(A424))</f>
        <v/>
      </c>
    </row>
    <row r="425">
      <c r="A425" s="3" t="n"/>
      <c r="D425">
        <f>IF(A425="","",YEAR(A425)*100+MONTH(A425))</f>
        <v/>
      </c>
    </row>
    <row r="426">
      <c r="A426" s="3" t="n"/>
      <c r="D426">
        <f>IF(A426="","",YEAR(A426)*100+MONTH(A426))</f>
        <v/>
      </c>
    </row>
    <row r="427">
      <c r="A427" s="3" t="n"/>
      <c r="D427">
        <f>IF(A427="","",YEAR(A427)*100+MONTH(A427))</f>
        <v/>
      </c>
    </row>
    <row r="428">
      <c r="A428" s="3" t="n"/>
      <c r="D428">
        <f>IF(A428="","",YEAR(A428)*100+MONTH(A428))</f>
        <v/>
      </c>
    </row>
    <row r="429">
      <c r="A429" s="3" t="n"/>
      <c r="D429">
        <f>IF(A429="","",YEAR(A429)*100+MONTH(A429))</f>
        <v/>
      </c>
    </row>
    <row r="430">
      <c r="A430" s="3" t="n"/>
      <c r="D430">
        <f>IF(A430="","",YEAR(A430)*100+MONTH(A430))</f>
        <v/>
      </c>
    </row>
    <row r="431">
      <c r="A431" s="3" t="n"/>
      <c r="D431">
        <f>IF(A431="","",YEAR(A431)*100+MONTH(A431))</f>
        <v/>
      </c>
    </row>
    <row r="432">
      <c r="A432" s="3" t="n"/>
      <c r="D432">
        <f>IF(A432="","",YEAR(A432)*100+MONTH(A432))</f>
        <v/>
      </c>
    </row>
    <row r="433">
      <c r="A433" s="3" t="n"/>
      <c r="D433">
        <f>IF(A433="","",YEAR(A433)*100+MONTH(A433))</f>
        <v/>
      </c>
    </row>
    <row r="434">
      <c r="A434" s="3" t="n"/>
      <c r="D434">
        <f>IF(A434="","",YEAR(A434)*100+MONTH(A434))</f>
        <v/>
      </c>
    </row>
    <row r="435">
      <c r="A435" s="3" t="n"/>
      <c r="D435">
        <f>IF(A435="","",YEAR(A435)*100+MONTH(A435))</f>
        <v/>
      </c>
    </row>
    <row r="436">
      <c r="A436" s="3" t="n"/>
      <c r="D436">
        <f>IF(A436="","",YEAR(A436)*100+MONTH(A436))</f>
        <v/>
      </c>
    </row>
    <row r="437">
      <c r="A437" s="3" t="n"/>
      <c r="D437">
        <f>IF(A437="","",YEAR(A437)*100+MONTH(A437))</f>
        <v/>
      </c>
    </row>
    <row r="438">
      <c r="A438" s="3" t="n"/>
      <c r="D438">
        <f>IF(A438="","",YEAR(A438)*100+MONTH(A438))</f>
        <v/>
      </c>
    </row>
    <row r="439">
      <c r="A439" s="3" t="n"/>
      <c r="D439">
        <f>IF(A439="","",YEAR(A439)*100+MONTH(A439))</f>
        <v/>
      </c>
    </row>
    <row r="440">
      <c r="A440" s="3" t="n"/>
      <c r="D440">
        <f>IF(A440="","",YEAR(A440)*100+MONTH(A440))</f>
        <v/>
      </c>
    </row>
    <row r="441">
      <c r="A441" s="3" t="n"/>
      <c r="D441">
        <f>IF(A441="","",YEAR(A441)*100+MONTH(A441))</f>
        <v/>
      </c>
    </row>
    <row r="442">
      <c r="A442" s="3" t="n"/>
      <c r="D442">
        <f>IF(A442="","",YEAR(A442)*100+MONTH(A442))</f>
        <v/>
      </c>
    </row>
    <row r="443">
      <c r="A443" s="3" t="n"/>
      <c r="D443">
        <f>IF(A443="","",YEAR(A443)*100+MONTH(A443))</f>
        <v/>
      </c>
    </row>
    <row r="444">
      <c r="A444" s="3" t="n"/>
      <c r="D444">
        <f>IF(A444="","",YEAR(A444)*100+MONTH(A444))</f>
        <v/>
      </c>
    </row>
    <row r="445">
      <c r="A445" s="3" t="n"/>
      <c r="D445">
        <f>IF(A445="","",YEAR(A445)*100+MONTH(A445))</f>
        <v/>
      </c>
    </row>
    <row r="446">
      <c r="A446" s="3" t="n"/>
      <c r="D446">
        <f>IF(A446="","",YEAR(A446)*100+MONTH(A446))</f>
        <v/>
      </c>
    </row>
    <row r="447">
      <c r="A447" s="3" t="n"/>
      <c r="D447">
        <f>IF(A447="","",YEAR(A447)*100+MONTH(A447))</f>
        <v/>
      </c>
    </row>
    <row r="448">
      <c r="A448" s="3" t="n"/>
      <c r="D448">
        <f>IF(A448="","",YEAR(A448)*100+MONTH(A448))</f>
        <v/>
      </c>
    </row>
    <row r="449">
      <c r="A449" s="3" t="n"/>
      <c r="D449">
        <f>IF(A449="","",YEAR(A449)*100+MONTH(A449))</f>
        <v/>
      </c>
    </row>
    <row r="450">
      <c r="A450" s="3" t="n"/>
      <c r="D450">
        <f>IF(A450="","",YEAR(A450)*100+MONTH(A450))</f>
        <v/>
      </c>
    </row>
    <row r="451">
      <c r="A451" s="3" t="n"/>
      <c r="D451">
        <f>IF(A451="","",YEAR(A451)*100+MONTH(A451))</f>
        <v/>
      </c>
    </row>
    <row r="452">
      <c r="A452" s="3" t="n"/>
      <c r="D452">
        <f>IF(A452="","",YEAR(A452)*100+MONTH(A452))</f>
        <v/>
      </c>
    </row>
    <row r="453">
      <c r="A453" s="3" t="n"/>
      <c r="D453">
        <f>IF(A453="","",YEAR(A453)*100+MONTH(A453))</f>
        <v/>
      </c>
    </row>
    <row r="454">
      <c r="A454" s="3" t="n"/>
      <c r="D454">
        <f>IF(A454="","",YEAR(A454)*100+MONTH(A454))</f>
        <v/>
      </c>
    </row>
    <row r="455">
      <c r="A455" s="3" t="n"/>
      <c r="D455">
        <f>IF(A455="","",YEAR(A455)*100+MONTH(A455))</f>
        <v/>
      </c>
    </row>
    <row r="456">
      <c r="A456" s="3" t="n"/>
      <c r="D456">
        <f>IF(A456="","",YEAR(A456)*100+MONTH(A456))</f>
        <v/>
      </c>
    </row>
    <row r="457">
      <c r="A457" s="3" t="n"/>
      <c r="D457">
        <f>IF(A457="","",YEAR(A457)*100+MONTH(A457))</f>
        <v/>
      </c>
    </row>
    <row r="458">
      <c r="A458" s="3" t="n"/>
      <c r="D458">
        <f>IF(A458="","",YEAR(A458)*100+MONTH(A458))</f>
        <v/>
      </c>
    </row>
    <row r="459">
      <c r="A459" s="3" t="n"/>
      <c r="D459">
        <f>IF(A459="","",YEAR(A459)*100+MONTH(A459))</f>
        <v/>
      </c>
    </row>
    <row r="460">
      <c r="A460" s="3" t="n"/>
      <c r="D460">
        <f>IF(A460="","",YEAR(A460)*100+MONTH(A460))</f>
        <v/>
      </c>
    </row>
    <row r="461">
      <c r="A461" s="3" t="n"/>
      <c r="D461">
        <f>IF(A461="","",YEAR(A461)*100+MONTH(A461))</f>
        <v/>
      </c>
    </row>
    <row r="462">
      <c r="A462" s="3" t="n"/>
      <c r="D462">
        <f>IF(A462="","",YEAR(A462)*100+MONTH(A462))</f>
        <v/>
      </c>
    </row>
    <row r="463">
      <c r="A463" s="3" t="n"/>
      <c r="D463">
        <f>IF(A463="","",YEAR(A463)*100+MONTH(A463))</f>
        <v/>
      </c>
    </row>
    <row r="464">
      <c r="A464" s="3" t="n"/>
      <c r="D464">
        <f>IF(A464="","",YEAR(A464)*100+MONTH(A464))</f>
        <v/>
      </c>
    </row>
    <row r="465">
      <c r="A465" s="3" t="n"/>
      <c r="D465">
        <f>IF(A465="","",YEAR(A465)*100+MONTH(A465))</f>
        <v/>
      </c>
    </row>
    <row r="466">
      <c r="A466" s="3" t="n"/>
      <c r="D466">
        <f>IF(A466="","",YEAR(A466)*100+MONTH(A466))</f>
        <v/>
      </c>
    </row>
    <row r="467">
      <c r="A467" s="3" t="n"/>
      <c r="D467">
        <f>IF(A467="","",YEAR(A467)*100+MONTH(A467))</f>
        <v/>
      </c>
    </row>
    <row r="468">
      <c r="A468" s="3" t="n"/>
      <c r="D468">
        <f>IF(A468="","",YEAR(A468)*100+MONTH(A468))</f>
        <v/>
      </c>
    </row>
    <row r="469">
      <c r="A469" s="3" t="n"/>
      <c r="D469">
        <f>IF(A469="","",YEAR(A469)*100+MONTH(A469))</f>
        <v/>
      </c>
    </row>
    <row r="470">
      <c r="A470" s="3" t="n"/>
      <c r="D470">
        <f>IF(A470="","",YEAR(A470)*100+MONTH(A470))</f>
        <v/>
      </c>
    </row>
    <row r="471">
      <c r="A471" s="3" t="n"/>
      <c r="D471">
        <f>IF(A471="","",YEAR(A471)*100+MONTH(A471))</f>
        <v/>
      </c>
    </row>
    <row r="472">
      <c r="A472" s="3" t="n"/>
      <c r="D472">
        <f>IF(A472="","",YEAR(A472)*100+MONTH(A472))</f>
        <v/>
      </c>
    </row>
    <row r="473">
      <c r="A473" s="3" t="n"/>
      <c r="D473">
        <f>IF(A473="","",YEAR(A473)*100+MONTH(A473))</f>
        <v/>
      </c>
    </row>
    <row r="474">
      <c r="A474" s="3" t="n"/>
      <c r="D474">
        <f>IF(A474="","",YEAR(A474)*100+MONTH(A474))</f>
        <v/>
      </c>
    </row>
    <row r="475">
      <c r="A475" s="3" t="n"/>
      <c r="D475">
        <f>IF(A475="","",YEAR(A475)*100+MONTH(A475))</f>
        <v/>
      </c>
    </row>
    <row r="476">
      <c r="A476" s="3" t="n"/>
      <c r="D476">
        <f>IF(A476="","",YEAR(A476)*100+MONTH(A476))</f>
        <v/>
      </c>
    </row>
    <row r="477">
      <c r="A477" s="3" t="n"/>
      <c r="D477">
        <f>IF(A477="","",YEAR(A477)*100+MONTH(A477))</f>
        <v/>
      </c>
    </row>
    <row r="478">
      <c r="A478" s="3" t="n"/>
      <c r="D478">
        <f>IF(A478="","",YEAR(A478)*100+MONTH(A478))</f>
        <v/>
      </c>
    </row>
    <row r="479">
      <c r="A479" s="3" t="n"/>
      <c r="D479">
        <f>IF(A479="","",YEAR(A479)*100+MONTH(A479))</f>
        <v/>
      </c>
    </row>
    <row r="480">
      <c r="A480" s="3" t="n"/>
      <c r="D480">
        <f>IF(A480="","",YEAR(A480)*100+MONTH(A480))</f>
        <v/>
      </c>
    </row>
    <row r="481">
      <c r="A481" s="3" t="n"/>
      <c r="D481">
        <f>IF(A481="","",YEAR(A481)*100+MONTH(A481))</f>
        <v/>
      </c>
    </row>
    <row r="482">
      <c r="A482" s="3" t="n"/>
      <c r="D482">
        <f>IF(A482="","",YEAR(A482)*100+MONTH(A482))</f>
        <v/>
      </c>
    </row>
    <row r="483">
      <c r="A483" s="3" t="n"/>
      <c r="D483">
        <f>IF(A483="","",YEAR(A483)*100+MONTH(A483))</f>
        <v/>
      </c>
    </row>
    <row r="484">
      <c r="A484" s="3" t="n"/>
      <c r="D484">
        <f>IF(A484="","",YEAR(A484)*100+MONTH(A484))</f>
        <v/>
      </c>
    </row>
    <row r="485">
      <c r="A485" s="3" t="n"/>
      <c r="D485">
        <f>IF(A485="","",YEAR(A485)*100+MONTH(A485))</f>
        <v/>
      </c>
    </row>
    <row r="486">
      <c r="A486" s="3" t="n"/>
      <c r="D486">
        <f>IF(A486="","",YEAR(A486)*100+MONTH(A486))</f>
        <v/>
      </c>
    </row>
    <row r="487">
      <c r="A487" s="3" t="n"/>
      <c r="D487">
        <f>IF(A487="","",YEAR(A487)*100+MONTH(A487))</f>
        <v/>
      </c>
    </row>
    <row r="488">
      <c r="A488" s="3" t="n"/>
      <c r="D488">
        <f>IF(A488="","",YEAR(A488)*100+MONTH(A488))</f>
        <v/>
      </c>
    </row>
    <row r="489">
      <c r="A489" s="3" t="n"/>
      <c r="D489">
        <f>IF(A489="","",YEAR(A489)*100+MONTH(A489))</f>
        <v/>
      </c>
    </row>
    <row r="490">
      <c r="A490" s="3" t="n"/>
      <c r="D490">
        <f>IF(A490="","",YEAR(A490)*100+MONTH(A490))</f>
        <v/>
      </c>
    </row>
    <row r="491">
      <c r="A491" s="3" t="n"/>
      <c r="D491">
        <f>IF(A491="","",YEAR(A491)*100+MONTH(A491))</f>
        <v/>
      </c>
    </row>
    <row r="492">
      <c r="A492" s="3" t="n"/>
      <c r="D492">
        <f>IF(A492="","",YEAR(A492)*100+MONTH(A492))</f>
        <v/>
      </c>
    </row>
    <row r="493">
      <c r="A493" s="3" t="n"/>
      <c r="D493">
        <f>IF(A493="","",YEAR(A493)*100+MONTH(A493))</f>
        <v/>
      </c>
    </row>
    <row r="494">
      <c r="A494" s="3" t="n"/>
      <c r="D494">
        <f>IF(A494="","",YEAR(A494)*100+MONTH(A494))</f>
        <v/>
      </c>
    </row>
    <row r="495">
      <c r="A495" s="3" t="n"/>
      <c r="D495">
        <f>IF(A495="","",YEAR(A495)*100+MONTH(A495))</f>
        <v/>
      </c>
    </row>
    <row r="496">
      <c r="A496" s="3" t="n"/>
      <c r="D496">
        <f>IF(A496="","",YEAR(A496)*100+MONTH(A496))</f>
        <v/>
      </c>
    </row>
    <row r="497">
      <c r="A497" s="3" t="n"/>
      <c r="D497">
        <f>IF(A497="","",YEAR(A497)*100+MONTH(A497))</f>
        <v/>
      </c>
    </row>
    <row r="498">
      <c r="A498" s="3" t="n"/>
      <c r="D498">
        <f>IF(A498="","",YEAR(A498)*100+MONTH(A498))</f>
        <v/>
      </c>
    </row>
    <row r="499">
      <c r="A499" s="3" t="n"/>
      <c r="D499">
        <f>IF(A499="","",YEAR(A499)*100+MONTH(A499))</f>
        <v/>
      </c>
    </row>
    <row r="500">
      <c r="A500" s="3" t="n"/>
      <c r="D500">
        <f>IF(A500="","",YEAR(A500)*100+MONTH(A500))</f>
        <v/>
      </c>
    </row>
    <row r="501">
      <c r="A501" s="3" t="n"/>
      <c r="D501">
        <f>IF(A501="","",YEAR(A501)*100+MONTH(A501))</f>
        <v/>
      </c>
    </row>
  </sheetData>
  <autoFilter ref="A1: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2" customHeight="1">
      <c r="A1" s="1" t="inlineStr">
        <is>
          <t>Date</t>
        </is>
      </c>
      <c r="B1" s="1" t="inlineStr">
        <is>
          <t>Férié Oui/Non</t>
        </is>
      </c>
      <c r="C1" s="1" t="inlineStr">
        <is>
          <t>Travaillé Oui/Non</t>
        </is>
      </c>
      <c r="D1" s="1" t="inlineStr">
        <is>
          <t>Commentaire</t>
        </is>
      </c>
    </row>
  </sheetData>
  <autoFilter ref="A1:D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2" customHeight="1">
      <c r="A1" s="1" t="inlineStr">
        <is>
          <t>Date</t>
        </is>
      </c>
      <c r="B1" s="1" t="inlineStr">
        <is>
          <t>Collaborateur</t>
        </is>
      </c>
      <c r="C1" s="1" t="inlineStr">
        <is>
          <t>Heures absence</t>
        </is>
      </c>
      <c r="D1" s="1" t="inlineStr">
        <is>
          <t>Motif</t>
        </is>
      </c>
    </row>
  </sheetData>
  <autoFilter ref="A1:D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2" customHeight="1">
      <c r="A1" s="1" t="inlineStr">
        <is>
          <t>Mois clé</t>
        </is>
      </c>
      <c r="B1" s="1" t="inlineStr">
        <is>
          <t>Collaborateur</t>
        </is>
      </c>
      <c r="C1" s="1" t="inlineStr">
        <is>
          <t>Entité</t>
        </is>
      </c>
      <c r="D1" s="1" t="inlineStr">
        <is>
          <t>Domaine</t>
        </is>
      </c>
      <c r="E1" s="1" t="inlineStr">
        <is>
          <t>Sous-domaine</t>
        </is>
      </c>
      <c r="F1" s="1" t="inlineStr">
        <is>
          <t>Heures allouées manuelles</t>
        </is>
      </c>
      <c r="G1" s="1" t="inlineStr">
        <is>
          <t>Motif</t>
        </is>
      </c>
    </row>
  </sheetData>
  <autoFilter ref="A1:G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 ht="32" customHeight="1">
      <c r="A1" s="1" t="inlineStr">
        <is>
          <t>Mois clé</t>
        </is>
      </c>
      <c r="B1" s="1" t="inlineStr">
        <is>
          <t>Collaborateur</t>
        </is>
      </c>
      <c r="C1" s="1" t="inlineStr">
        <is>
          <t>Entité</t>
        </is>
      </c>
      <c r="D1" s="1" t="inlineStr">
        <is>
          <t>Domaine</t>
        </is>
      </c>
      <c r="E1" s="1" t="inlineStr">
        <is>
          <t>Sous-domaine</t>
        </is>
      </c>
      <c r="F1" s="1" t="inlineStr">
        <is>
          <t>Facturables ligne</t>
        </is>
      </c>
      <c r="G1" s="1" t="inlineStr">
        <is>
          <t>Facturables agent/mois</t>
        </is>
      </c>
      <c r="H1" s="1" t="inlineStr">
        <is>
          <t>Connectées agent/mois</t>
        </is>
      </c>
      <c r="I1" s="1" t="inlineStr">
        <is>
          <t>Ventilation automatique</t>
        </is>
      </c>
      <c r="J1" s="1" t="inlineStr">
        <is>
          <t>Ventilation manuelle</t>
        </is>
      </c>
      <c r="K1" s="1" t="inlineStr">
        <is>
          <t>Ventilation retenue</t>
        </is>
      </c>
    </row>
    <row r="2">
      <c r="A2">
        <f>IF(TRAITEMENTS!$Q2="","",TRAITEMENTS!Q2)</f>
        <v/>
      </c>
      <c r="B2">
        <f>IF(TRAITEMENTS!$Q2="","",TRAITEMENTS!E2)</f>
        <v/>
      </c>
      <c r="C2">
        <f>IF(TRAITEMENTS!$Q2="","",TRAITEMENTS!F2)</f>
        <v/>
      </c>
      <c r="D2">
        <f>IF(TRAITEMENTS!$Q2="","",TRAITEMENTS!G2)</f>
        <v/>
      </c>
      <c r="E2">
        <f>IF(TRAITEMENTS!$Q2="","",TRAITEMENTS!H2)</f>
        <v/>
      </c>
      <c r="F2">
        <f>IF(TRAITEMENTS!$Q2="","",TRAITEMENTS!O2)</f>
        <v/>
      </c>
      <c r="G2">
        <f>IF(A2="",0,SUMIFS(TRAITEMENTS!$O$2:$O$501,TRAITEMENTS!$Q$2:$Q$501,A2,TRAITEMENTS!$E$2:$E$501,B2))</f>
        <v/>
      </c>
      <c r="H2">
        <f>IF(A2="",0,SUMIFS(CONNEXIONS!$C$2:$C$501,CONNEXIONS!$D$2:$D$501,A2,CONNEXIONS!$B$2:$B$501,B2))</f>
        <v/>
      </c>
      <c r="I2">
        <f>IF(G2=0,0,F2/G2*H2)</f>
        <v/>
      </c>
      <c r="J2">
        <f>IF(A2="",0,SUMIFS(AJUSTEMENTS!$F$2:$F$501,AJUSTEMENTS!$A$2:$A$501,A2,AJUSTEMENTS!$B$2:$B$501,B2,AJUSTEMENTS!$C$2:$C$501,C2,AJUSTEMENTS!$D$2:$D$501,D2,AJUSTEMENTS!$E$2:$E$501,E2))</f>
        <v/>
      </c>
      <c r="K2">
        <f>IF(A2="",0,IF(J2&lt;&gt;0,J2,I2))</f>
        <v/>
      </c>
    </row>
    <row r="3">
      <c r="A3">
        <f>IF(TRAITEMENTS!$Q3="","",TRAITEMENTS!Q3)</f>
        <v/>
      </c>
      <c r="B3">
        <f>IF(TRAITEMENTS!$Q3="","",TRAITEMENTS!E3)</f>
        <v/>
      </c>
      <c r="C3">
        <f>IF(TRAITEMENTS!$Q3="","",TRAITEMENTS!F3)</f>
        <v/>
      </c>
      <c r="D3">
        <f>IF(TRAITEMENTS!$Q3="","",TRAITEMENTS!G3)</f>
        <v/>
      </c>
      <c r="E3">
        <f>IF(TRAITEMENTS!$Q3="","",TRAITEMENTS!H3)</f>
        <v/>
      </c>
      <c r="F3">
        <f>IF(TRAITEMENTS!$Q3="","",TRAITEMENTS!O3)</f>
        <v/>
      </c>
      <c r="G3">
        <f>IF(A3="",0,SUMIFS(TRAITEMENTS!$O$2:$O$501,TRAITEMENTS!$Q$2:$Q$501,A3,TRAITEMENTS!$E$2:$E$501,B3))</f>
        <v/>
      </c>
      <c r="H3">
        <f>IF(A3="",0,SUMIFS(CONNEXIONS!$C$2:$C$501,CONNEXIONS!$D$2:$D$501,A3,CONNEXIONS!$B$2:$B$501,B3))</f>
        <v/>
      </c>
      <c r="I3">
        <f>IF(G3=0,0,F3/G3*H3)</f>
        <v/>
      </c>
      <c r="J3">
        <f>IF(A3="",0,SUMIFS(AJUSTEMENTS!$F$2:$F$501,AJUSTEMENTS!$A$2:$A$501,A3,AJUSTEMENTS!$B$2:$B$501,B3,AJUSTEMENTS!$C$2:$C$501,C3,AJUSTEMENTS!$D$2:$D$501,D3,AJUSTEMENTS!$E$2:$E$501,E3))</f>
        <v/>
      </c>
      <c r="K3">
        <f>IF(A3="",0,IF(J3&lt;&gt;0,J3,I3))</f>
        <v/>
      </c>
    </row>
    <row r="4">
      <c r="A4">
        <f>IF(TRAITEMENTS!$Q4="","",TRAITEMENTS!Q4)</f>
        <v/>
      </c>
      <c r="B4">
        <f>IF(TRAITEMENTS!$Q4="","",TRAITEMENTS!E4)</f>
        <v/>
      </c>
      <c r="C4">
        <f>IF(TRAITEMENTS!$Q4="","",TRAITEMENTS!F4)</f>
        <v/>
      </c>
      <c r="D4">
        <f>IF(TRAITEMENTS!$Q4="","",TRAITEMENTS!G4)</f>
        <v/>
      </c>
      <c r="E4">
        <f>IF(TRAITEMENTS!$Q4="","",TRAITEMENTS!H4)</f>
        <v/>
      </c>
      <c r="F4">
        <f>IF(TRAITEMENTS!$Q4="","",TRAITEMENTS!O4)</f>
        <v/>
      </c>
      <c r="G4">
        <f>IF(A4="",0,SUMIFS(TRAITEMENTS!$O$2:$O$501,TRAITEMENTS!$Q$2:$Q$501,A4,TRAITEMENTS!$E$2:$E$501,B4))</f>
        <v/>
      </c>
      <c r="H4">
        <f>IF(A4="",0,SUMIFS(CONNEXIONS!$C$2:$C$501,CONNEXIONS!$D$2:$D$501,A4,CONNEXIONS!$B$2:$B$501,B4))</f>
        <v/>
      </c>
      <c r="I4">
        <f>IF(G4=0,0,F4/G4*H4)</f>
        <v/>
      </c>
      <c r="J4">
        <f>IF(A4="",0,SUMIFS(AJUSTEMENTS!$F$2:$F$501,AJUSTEMENTS!$A$2:$A$501,A4,AJUSTEMENTS!$B$2:$B$501,B4,AJUSTEMENTS!$C$2:$C$501,C4,AJUSTEMENTS!$D$2:$D$501,D4,AJUSTEMENTS!$E$2:$E$501,E4))</f>
        <v/>
      </c>
      <c r="K4">
        <f>IF(A4="",0,IF(J4&lt;&gt;0,J4,I4))</f>
        <v/>
      </c>
    </row>
    <row r="5">
      <c r="A5">
        <f>IF(TRAITEMENTS!$Q5="","",TRAITEMENTS!Q5)</f>
        <v/>
      </c>
      <c r="B5">
        <f>IF(TRAITEMENTS!$Q5="","",TRAITEMENTS!E5)</f>
        <v/>
      </c>
      <c r="C5">
        <f>IF(TRAITEMENTS!$Q5="","",TRAITEMENTS!F5)</f>
        <v/>
      </c>
      <c r="D5">
        <f>IF(TRAITEMENTS!$Q5="","",TRAITEMENTS!G5)</f>
        <v/>
      </c>
      <c r="E5">
        <f>IF(TRAITEMENTS!$Q5="","",TRAITEMENTS!H5)</f>
        <v/>
      </c>
      <c r="F5">
        <f>IF(TRAITEMENTS!$Q5="","",TRAITEMENTS!O5)</f>
        <v/>
      </c>
      <c r="G5">
        <f>IF(A5="",0,SUMIFS(TRAITEMENTS!$O$2:$O$501,TRAITEMENTS!$Q$2:$Q$501,A5,TRAITEMENTS!$E$2:$E$501,B5))</f>
        <v/>
      </c>
      <c r="H5">
        <f>IF(A5="",0,SUMIFS(CONNEXIONS!$C$2:$C$501,CONNEXIONS!$D$2:$D$501,A5,CONNEXIONS!$B$2:$B$501,B5))</f>
        <v/>
      </c>
      <c r="I5">
        <f>IF(G5=0,0,F5/G5*H5)</f>
        <v/>
      </c>
      <c r="J5">
        <f>IF(A5="",0,SUMIFS(AJUSTEMENTS!$F$2:$F$501,AJUSTEMENTS!$A$2:$A$501,A5,AJUSTEMENTS!$B$2:$B$501,B5,AJUSTEMENTS!$C$2:$C$501,C5,AJUSTEMENTS!$D$2:$D$501,D5,AJUSTEMENTS!$E$2:$E$501,E5))</f>
        <v/>
      </c>
      <c r="K5">
        <f>IF(A5="",0,IF(J5&lt;&gt;0,J5,I5))</f>
        <v/>
      </c>
    </row>
    <row r="6">
      <c r="A6">
        <f>IF(TRAITEMENTS!$Q6="","",TRAITEMENTS!Q6)</f>
        <v/>
      </c>
      <c r="B6">
        <f>IF(TRAITEMENTS!$Q6="","",TRAITEMENTS!E6)</f>
        <v/>
      </c>
      <c r="C6">
        <f>IF(TRAITEMENTS!$Q6="","",TRAITEMENTS!F6)</f>
        <v/>
      </c>
      <c r="D6">
        <f>IF(TRAITEMENTS!$Q6="","",TRAITEMENTS!G6)</f>
        <v/>
      </c>
      <c r="E6">
        <f>IF(TRAITEMENTS!$Q6="","",TRAITEMENTS!H6)</f>
        <v/>
      </c>
      <c r="F6">
        <f>IF(TRAITEMENTS!$Q6="","",TRAITEMENTS!O6)</f>
        <v/>
      </c>
      <c r="G6">
        <f>IF(A6="",0,SUMIFS(TRAITEMENTS!$O$2:$O$501,TRAITEMENTS!$Q$2:$Q$501,A6,TRAITEMENTS!$E$2:$E$501,B6))</f>
        <v/>
      </c>
      <c r="H6">
        <f>IF(A6="",0,SUMIFS(CONNEXIONS!$C$2:$C$501,CONNEXIONS!$D$2:$D$501,A6,CONNEXIONS!$B$2:$B$501,B6))</f>
        <v/>
      </c>
      <c r="I6">
        <f>IF(G6=0,0,F6/G6*H6)</f>
        <v/>
      </c>
      <c r="J6">
        <f>IF(A6="",0,SUMIFS(AJUSTEMENTS!$F$2:$F$501,AJUSTEMENTS!$A$2:$A$501,A6,AJUSTEMENTS!$B$2:$B$501,B6,AJUSTEMENTS!$C$2:$C$501,C6,AJUSTEMENTS!$D$2:$D$501,D6,AJUSTEMENTS!$E$2:$E$501,E6))</f>
        <v/>
      </c>
      <c r="K6">
        <f>IF(A6="",0,IF(J6&lt;&gt;0,J6,I6))</f>
        <v/>
      </c>
    </row>
    <row r="7">
      <c r="A7">
        <f>IF(TRAITEMENTS!$Q7="","",TRAITEMENTS!Q7)</f>
        <v/>
      </c>
      <c r="B7">
        <f>IF(TRAITEMENTS!$Q7="","",TRAITEMENTS!E7)</f>
        <v/>
      </c>
      <c r="C7">
        <f>IF(TRAITEMENTS!$Q7="","",TRAITEMENTS!F7)</f>
        <v/>
      </c>
      <c r="D7">
        <f>IF(TRAITEMENTS!$Q7="","",TRAITEMENTS!G7)</f>
        <v/>
      </c>
      <c r="E7">
        <f>IF(TRAITEMENTS!$Q7="","",TRAITEMENTS!H7)</f>
        <v/>
      </c>
      <c r="F7">
        <f>IF(TRAITEMENTS!$Q7="","",TRAITEMENTS!O7)</f>
        <v/>
      </c>
      <c r="G7">
        <f>IF(A7="",0,SUMIFS(TRAITEMENTS!$O$2:$O$501,TRAITEMENTS!$Q$2:$Q$501,A7,TRAITEMENTS!$E$2:$E$501,B7))</f>
        <v/>
      </c>
      <c r="H7">
        <f>IF(A7="",0,SUMIFS(CONNEXIONS!$C$2:$C$501,CONNEXIONS!$D$2:$D$501,A7,CONNEXIONS!$B$2:$B$501,B7))</f>
        <v/>
      </c>
      <c r="I7">
        <f>IF(G7=0,0,F7/G7*H7)</f>
        <v/>
      </c>
      <c r="J7">
        <f>IF(A7="",0,SUMIFS(AJUSTEMENTS!$F$2:$F$501,AJUSTEMENTS!$A$2:$A$501,A7,AJUSTEMENTS!$B$2:$B$501,B7,AJUSTEMENTS!$C$2:$C$501,C7,AJUSTEMENTS!$D$2:$D$501,D7,AJUSTEMENTS!$E$2:$E$501,E7))</f>
        <v/>
      </c>
      <c r="K7">
        <f>IF(A7="",0,IF(J7&lt;&gt;0,J7,I7))</f>
        <v/>
      </c>
    </row>
    <row r="8">
      <c r="A8">
        <f>IF(TRAITEMENTS!$Q8="","",TRAITEMENTS!Q8)</f>
        <v/>
      </c>
      <c r="B8">
        <f>IF(TRAITEMENTS!$Q8="","",TRAITEMENTS!E8)</f>
        <v/>
      </c>
      <c r="C8">
        <f>IF(TRAITEMENTS!$Q8="","",TRAITEMENTS!F8)</f>
        <v/>
      </c>
      <c r="D8">
        <f>IF(TRAITEMENTS!$Q8="","",TRAITEMENTS!G8)</f>
        <v/>
      </c>
      <c r="E8">
        <f>IF(TRAITEMENTS!$Q8="","",TRAITEMENTS!H8)</f>
        <v/>
      </c>
      <c r="F8">
        <f>IF(TRAITEMENTS!$Q8="","",TRAITEMENTS!O8)</f>
        <v/>
      </c>
      <c r="G8">
        <f>IF(A8="",0,SUMIFS(TRAITEMENTS!$O$2:$O$501,TRAITEMENTS!$Q$2:$Q$501,A8,TRAITEMENTS!$E$2:$E$501,B8))</f>
        <v/>
      </c>
      <c r="H8">
        <f>IF(A8="",0,SUMIFS(CONNEXIONS!$C$2:$C$501,CONNEXIONS!$D$2:$D$501,A8,CONNEXIONS!$B$2:$B$501,B8))</f>
        <v/>
      </c>
      <c r="I8">
        <f>IF(G8=0,0,F8/G8*H8)</f>
        <v/>
      </c>
      <c r="J8">
        <f>IF(A8="",0,SUMIFS(AJUSTEMENTS!$F$2:$F$501,AJUSTEMENTS!$A$2:$A$501,A8,AJUSTEMENTS!$B$2:$B$501,B8,AJUSTEMENTS!$C$2:$C$501,C8,AJUSTEMENTS!$D$2:$D$501,D8,AJUSTEMENTS!$E$2:$E$501,E8))</f>
        <v/>
      </c>
      <c r="K8">
        <f>IF(A8="",0,IF(J8&lt;&gt;0,J8,I8))</f>
        <v/>
      </c>
    </row>
    <row r="9">
      <c r="A9">
        <f>IF(TRAITEMENTS!$Q9="","",TRAITEMENTS!Q9)</f>
        <v/>
      </c>
      <c r="B9">
        <f>IF(TRAITEMENTS!$Q9="","",TRAITEMENTS!E9)</f>
        <v/>
      </c>
      <c r="C9">
        <f>IF(TRAITEMENTS!$Q9="","",TRAITEMENTS!F9)</f>
        <v/>
      </c>
      <c r="D9">
        <f>IF(TRAITEMENTS!$Q9="","",TRAITEMENTS!G9)</f>
        <v/>
      </c>
      <c r="E9">
        <f>IF(TRAITEMENTS!$Q9="","",TRAITEMENTS!H9)</f>
        <v/>
      </c>
      <c r="F9">
        <f>IF(TRAITEMENTS!$Q9="","",TRAITEMENTS!O9)</f>
        <v/>
      </c>
      <c r="G9">
        <f>IF(A9="",0,SUMIFS(TRAITEMENTS!$O$2:$O$501,TRAITEMENTS!$Q$2:$Q$501,A9,TRAITEMENTS!$E$2:$E$501,B9))</f>
        <v/>
      </c>
      <c r="H9">
        <f>IF(A9="",0,SUMIFS(CONNEXIONS!$C$2:$C$501,CONNEXIONS!$D$2:$D$501,A9,CONNEXIONS!$B$2:$B$501,B9))</f>
        <v/>
      </c>
      <c r="I9">
        <f>IF(G9=0,0,F9/G9*H9)</f>
        <v/>
      </c>
      <c r="J9">
        <f>IF(A9="",0,SUMIFS(AJUSTEMENTS!$F$2:$F$501,AJUSTEMENTS!$A$2:$A$501,A9,AJUSTEMENTS!$B$2:$B$501,B9,AJUSTEMENTS!$C$2:$C$501,C9,AJUSTEMENTS!$D$2:$D$501,D9,AJUSTEMENTS!$E$2:$E$501,E9))</f>
        <v/>
      </c>
      <c r="K9">
        <f>IF(A9="",0,IF(J9&lt;&gt;0,J9,I9))</f>
        <v/>
      </c>
    </row>
    <row r="10">
      <c r="A10">
        <f>IF(TRAITEMENTS!$Q10="","",TRAITEMENTS!Q10)</f>
        <v/>
      </c>
      <c r="B10">
        <f>IF(TRAITEMENTS!$Q10="","",TRAITEMENTS!E10)</f>
        <v/>
      </c>
      <c r="C10">
        <f>IF(TRAITEMENTS!$Q10="","",TRAITEMENTS!F10)</f>
        <v/>
      </c>
      <c r="D10">
        <f>IF(TRAITEMENTS!$Q10="","",TRAITEMENTS!G10)</f>
        <v/>
      </c>
      <c r="E10">
        <f>IF(TRAITEMENTS!$Q10="","",TRAITEMENTS!H10)</f>
        <v/>
      </c>
      <c r="F10">
        <f>IF(TRAITEMENTS!$Q10="","",TRAITEMENTS!O10)</f>
        <v/>
      </c>
      <c r="G10">
        <f>IF(A10="",0,SUMIFS(TRAITEMENTS!$O$2:$O$501,TRAITEMENTS!$Q$2:$Q$501,A10,TRAITEMENTS!$E$2:$E$501,B10))</f>
        <v/>
      </c>
      <c r="H10">
        <f>IF(A10="",0,SUMIFS(CONNEXIONS!$C$2:$C$501,CONNEXIONS!$D$2:$D$501,A10,CONNEXIONS!$B$2:$B$501,B10))</f>
        <v/>
      </c>
      <c r="I10">
        <f>IF(G10=0,0,F10/G10*H10)</f>
        <v/>
      </c>
      <c r="J10">
        <f>IF(A10="",0,SUMIFS(AJUSTEMENTS!$F$2:$F$501,AJUSTEMENTS!$A$2:$A$501,A10,AJUSTEMENTS!$B$2:$B$501,B10,AJUSTEMENTS!$C$2:$C$501,C10,AJUSTEMENTS!$D$2:$D$501,D10,AJUSTEMENTS!$E$2:$E$501,E10))</f>
        <v/>
      </c>
      <c r="K10">
        <f>IF(A10="",0,IF(J10&lt;&gt;0,J10,I10))</f>
        <v/>
      </c>
    </row>
    <row r="11">
      <c r="A11">
        <f>IF(TRAITEMENTS!$Q11="","",TRAITEMENTS!Q11)</f>
        <v/>
      </c>
      <c r="B11">
        <f>IF(TRAITEMENTS!$Q11="","",TRAITEMENTS!E11)</f>
        <v/>
      </c>
      <c r="C11">
        <f>IF(TRAITEMENTS!$Q11="","",TRAITEMENTS!F11)</f>
        <v/>
      </c>
      <c r="D11">
        <f>IF(TRAITEMENTS!$Q11="","",TRAITEMENTS!G11)</f>
        <v/>
      </c>
      <c r="E11">
        <f>IF(TRAITEMENTS!$Q11="","",TRAITEMENTS!H11)</f>
        <v/>
      </c>
      <c r="F11">
        <f>IF(TRAITEMENTS!$Q11="","",TRAITEMENTS!O11)</f>
        <v/>
      </c>
      <c r="G11">
        <f>IF(A11="",0,SUMIFS(TRAITEMENTS!$O$2:$O$501,TRAITEMENTS!$Q$2:$Q$501,A11,TRAITEMENTS!$E$2:$E$501,B11))</f>
        <v/>
      </c>
      <c r="H11">
        <f>IF(A11="",0,SUMIFS(CONNEXIONS!$C$2:$C$501,CONNEXIONS!$D$2:$D$501,A11,CONNEXIONS!$B$2:$B$501,B11))</f>
        <v/>
      </c>
      <c r="I11">
        <f>IF(G11=0,0,F11/G11*H11)</f>
        <v/>
      </c>
      <c r="J11">
        <f>IF(A11="",0,SUMIFS(AJUSTEMENTS!$F$2:$F$501,AJUSTEMENTS!$A$2:$A$501,A11,AJUSTEMENTS!$B$2:$B$501,B11,AJUSTEMENTS!$C$2:$C$501,C11,AJUSTEMENTS!$D$2:$D$501,D11,AJUSTEMENTS!$E$2:$E$501,E11))</f>
        <v/>
      </c>
      <c r="K11">
        <f>IF(A11="",0,IF(J11&lt;&gt;0,J11,I11))</f>
        <v/>
      </c>
    </row>
    <row r="12">
      <c r="A12">
        <f>IF(TRAITEMENTS!$Q12="","",TRAITEMENTS!Q12)</f>
        <v/>
      </c>
      <c r="B12">
        <f>IF(TRAITEMENTS!$Q12="","",TRAITEMENTS!E12)</f>
        <v/>
      </c>
      <c r="C12">
        <f>IF(TRAITEMENTS!$Q12="","",TRAITEMENTS!F12)</f>
        <v/>
      </c>
      <c r="D12">
        <f>IF(TRAITEMENTS!$Q12="","",TRAITEMENTS!G12)</f>
        <v/>
      </c>
      <c r="E12">
        <f>IF(TRAITEMENTS!$Q12="","",TRAITEMENTS!H12)</f>
        <v/>
      </c>
      <c r="F12">
        <f>IF(TRAITEMENTS!$Q12="","",TRAITEMENTS!O12)</f>
        <v/>
      </c>
      <c r="G12">
        <f>IF(A12="",0,SUMIFS(TRAITEMENTS!$O$2:$O$501,TRAITEMENTS!$Q$2:$Q$501,A12,TRAITEMENTS!$E$2:$E$501,B12))</f>
        <v/>
      </c>
      <c r="H12">
        <f>IF(A12="",0,SUMIFS(CONNEXIONS!$C$2:$C$501,CONNEXIONS!$D$2:$D$501,A12,CONNEXIONS!$B$2:$B$501,B12))</f>
        <v/>
      </c>
      <c r="I12">
        <f>IF(G12=0,0,F12/G12*H12)</f>
        <v/>
      </c>
      <c r="J12">
        <f>IF(A12="",0,SUMIFS(AJUSTEMENTS!$F$2:$F$501,AJUSTEMENTS!$A$2:$A$501,A12,AJUSTEMENTS!$B$2:$B$501,B12,AJUSTEMENTS!$C$2:$C$501,C12,AJUSTEMENTS!$D$2:$D$501,D12,AJUSTEMENTS!$E$2:$E$501,E12))</f>
        <v/>
      </c>
      <c r="K12">
        <f>IF(A12="",0,IF(J12&lt;&gt;0,J12,I12))</f>
        <v/>
      </c>
    </row>
    <row r="13">
      <c r="A13">
        <f>IF(TRAITEMENTS!$Q13="","",TRAITEMENTS!Q13)</f>
        <v/>
      </c>
      <c r="B13">
        <f>IF(TRAITEMENTS!$Q13="","",TRAITEMENTS!E13)</f>
        <v/>
      </c>
      <c r="C13">
        <f>IF(TRAITEMENTS!$Q13="","",TRAITEMENTS!F13)</f>
        <v/>
      </c>
      <c r="D13">
        <f>IF(TRAITEMENTS!$Q13="","",TRAITEMENTS!G13)</f>
        <v/>
      </c>
      <c r="E13">
        <f>IF(TRAITEMENTS!$Q13="","",TRAITEMENTS!H13)</f>
        <v/>
      </c>
      <c r="F13">
        <f>IF(TRAITEMENTS!$Q13="","",TRAITEMENTS!O13)</f>
        <v/>
      </c>
      <c r="G13">
        <f>IF(A13="",0,SUMIFS(TRAITEMENTS!$O$2:$O$501,TRAITEMENTS!$Q$2:$Q$501,A13,TRAITEMENTS!$E$2:$E$501,B13))</f>
        <v/>
      </c>
      <c r="H13">
        <f>IF(A13="",0,SUMIFS(CONNEXIONS!$C$2:$C$501,CONNEXIONS!$D$2:$D$501,A13,CONNEXIONS!$B$2:$B$501,B13))</f>
        <v/>
      </c>
      <c r="I13">
        <f>IF(G13=0,0,F13/G13*H13)</f>
        <v/>
      </c>
      <c r="J13">
        <f>IF(A13="",0,SUMIFS(AJUSTEMENTS!$F$2:$F$501,AJUSTEMENTS!$A$2:$A$501,A13,AJUSTEMENTS!$B$2:$B$501,B13,AJUSTEMENTS!$C$2:$C$501,C13,AJUSTEMENTS!$D$2:$D$501,D13,AJUSTEMENTS!$E$2:$E$501,E13))</f>
        <v/>
      </c>
      <c r="K13">
        <f>IF(A13="",0,IF(J13&lt;&gt;0,J13,I13))</f>
        <v/>
      </c>
    </row>
    <row r="14">
      <c r="A14">
        <f>IF(TRAITEMENTS!$Q14="","",TRAITEMENTS!Q14)</f>
        <v/>
      </c>
      <c r="B14">
        <f>IF(TRAITEMENTS!$Q14="","",TRAITEMENTS!E14)</f>
        <v/>
      </c>
      <c r="C14">
        <f>IF(TRAITEMENTS!$Q14="","",TRAITEMENTS!F14)</f>
        <v/>
      </c>
      <c r="D14">
        <f>IF(TRAITEMENTS!$Q14="","",TRAITEMENTS!G14)</f>
        <v/>
      </c>
      <c r="E14">
        <f>IF(TRAITEMENTS!$Q14="","",TRAITEMENTS!H14)</f>
        <v/>
      </c>
      <c r="F14">
        <f>IF(TRAITEMENTS!$Q14="","",TRAITEMENTS!O14)</f>
        <v/>
      </c>
      <c r="G14">
        <f>IF(A14="",0,SUMIFS(TRAITEMENTS!$O$2:$O$501,TRAITEMENTS!$Q$2:$Q$501,A14,TRAITEMENTS!$E$2:$E$501,B14))</f>
        <v/>
      </c>
      <c r="H14">
        <f>IF(A14="",0,SUMIFS(CONNEXIONS!$C$2:$C$501,CONNEXIONS!$D$2:$D$501,A14,CONNEXIONS!$B$2:$B$501,B14))</f>
        <v/>
      </c>
      <c r="I14">
        <f>IF(G14=0,0,F14/G14*H14)</f>
        <v/>
      </c>
      <c r="J14">
        <f>IF(A14="",0,SUMIFS(AJUSTEMENTS!$F$2:$F$501,AJUSTEMENTS!$A$2:$A$501,A14,AJUSTEMENTS!$B$2:$B$501,B14,AJUSTEMENTS!$C$2:$C$501,C14,AJUSTEMENTS!$D$2:$D$501,D14,AJUSTEMENTS!$E$2:$E$501,E14))</f>
        <v/>
      </c>
      <c r="K14">
        <f>IF(A14="",0,IF(J14&lt;&gt;0,J14,I14))</f>
        <v/>
      </c>
    </row>
    <row r="15">
      <c r="A15">
        <f>IF(TRAITEMENTS!$Q15="","",TRAITEMENTS!Q15)</f>
        <v/>
      </c>
      <c r="B15">
        <f>IF(TRAITEMENTS!$Q15="","",TRAITEMENTS!E15)</f>
        <v/>
      </c>
      <c r="C15">
        <f>IF(TRAITEMENTS!$Q15="","",TRAITEMENTS!F15)</f>
        <v/>
      </c>
      <c r="D15">
        <f>IF(TRAITEMENTS!$Q15="","",TRAITEMENTS!G15)</f>
        <v/>
      </c>
      <c r="E15">
        <f>IF(TRAITEMENTS!$Q15="","",TRAITEMENTS!H15)</f>
        <v/>
      </c>
      <c r="F15">
        <f>IF(TRAITEMENTS!$Q15="","",TRAITEMENTS!O15)</f>
        <v/>
      </c>
      <c r="G15">
        <f>IF(A15="",0,SUMIFS(TRAITEMENTS!$O$2:$O$501,TRAITEMENTS!$Q$2:$Q$501,A15,TRAITEMENTS!$E$2:$E$501,B15))</f>
        <v/>
      </c>
      <c r="H15">
        <f>IF(A15="",0,SUMIFS(CONNEXIONS!$C$2:$C$501,CONNEXIONS!$D$2:$D$501,A15,CONNEXIONS!$B$2:$B$501,B15))</f>
        <v/>
      </c>
      <c r="I15">
        <f>IF(G15=0,0,F15/G15*H15)</f>
        <v/>
      </c>
      <c r="J15">
        <f>IF(A15="",0,SUMIFS(AJUSTEMENTS!$F$2:$F$501,AJUSTEMENTS!$A$2:$A$501,A15,AJUSTEMENTS!$B$2:$B$501,B15,AJUSTEMENTS!$C$2:$C$501,C15,AJUSTEMENTS!$D$2:$D$501,D15,AJUSTEMENTS!$E$2:$E$501,E15))</f>
        <v/>
      </c>
      <c r="K15">
        <f>IF(A15="",0,IF(J15&lt;&gt;0,J15,I15))</f>
        <v/>
      </c>
    </row>
    <row r="16">
      <c r="A16">
        <f>IF(TRAITEMENTS!$Q16="","",TRAITEMENTS!Q16)</f>
        <v/>
      </c>
      <c r="B16">
        <f>IF(TRAITEMENTS!$Q16="","",TRAITEMENTS!E16)</f>
        <v/>
      </c>
      <c r="C16">
        <f>IF(TRAITEMENTS!$Q16="","",TRAITEMENTS!F16)</f>
        <v/>
      </c>
      <c r="D16">
        <f>IF(TRAITEMENTS!$Q16="","",TRAITEMENTS!G16)</f>
        <v/>
      </c>
      <c r="E16">
        <f>IF(TRAITEMENTS!$Q16="","",TRAITEMENTS!H16)</f>
        <v/>
      </c>
      <c r="F16">
        <f>IF(TRAITEMENTS!$Q16="","",TRAITEMENTS!O16)</f>
        <v/>
      </c>
      <c r="G16">
        <f>IF(A16="",0,SUMIFS(TRAITEMENTS!$O$2:$O$501,TRAITEMENTS!$Q$2:$Q$501,A16,TRAITEMENTS!$E$2:$E$501,B16))</f>
        <v/>
      </c>
      <c r="H16">
        <f>IF(A16="",0,SUMIFS(CONNEXIONS!$C$2:$C$501,CONNEXIONS!$D$2:$D$501,A16,CONNEXIONS!$B$2:$B$501,B16))</f>
        <v/>
      </c>
      <c r="I16">
        <f>IF(G16=0,0,F16/G16*H16)</f>
        <v/>
      </c>
      <c r="J16">
        <f>IF(A16="",0,SUMIFS(AJUSTEMENTS!$F$2:$F$501,AJUSTEMENTS!$A$2:$A$501,A16,AJUSTEMENTS!$B$2:$B$501,B16,AJUSTEMENTS!$C$2:$C$501,C16,AJUSTEMENTS!$D$2:$D$501,D16,AJUSTEMENTS!$E$2:$E$501,E16))</f>
        <v/>
      </c>
      <c r="K16">
        <f>IF(A16="",0,IF(J16&lt;&gt;0,J16,I16))</f>
        <v/>
      </c>
    </row>
    <row r="17">
      <c r="A17">
        <f>IF(TRAITEMENTS!$Q17="","",TRAITEMENTS!Q17)</f>
        <v/>
      </c>
      <c r="B17">
        <f>IF(TRAITEMENTS!$Q17="","",TRAITEMENTS!E17)</f>
        <v/>
      </c>
      <c r="C17">
        <f>IF(TRAITEMENTS!$Q17="","",TRAITEMENTS!F17)</f>
        <v/>
      </c>
      <c r="D17">
        <f>IF(TRAITEMENTS!$Q17="","",TRAITEMENTS!G17)</f>
        <v/>
      </c>
      <c r="E17">
        <f>IF(TRAITEMENTS!$Q17="","",TRAITEMENTS!H17)</f>
        <v/>
      </c>
      <c r="F17">
        <f>IF(TRAITEMENTS!$Q17="","",TRAITEMENTS!O17)</f>
        <v/>
      </c>
      <c r="G17">
        <f>IF(A17="",0,SUMIFS(TRAITEMENTS!$O$2:$O$501,TRAITEMENTS!$Q$2:$Q$501,A17,TRAITEMENTS!$E$2:$E$501,B17))</f>
        <v/>
      </c>
      <c r="H17">
        <f>IF(A17="",0,SUMIFS(CONNEXIONS!$C$2:$C$501,CONNEXIONS!$D$2:$D$501,A17,CONNEXIONS!$B$2:$B$501,B17))</f>
        <v/>
      </c>
      <c r="I17">
        <f>IF(G17=0,0,F17/G17*H17)</f>
        <v/>
      </c>
      <c r="J17">
        <f>IF(A17="",0,SUMIFS(AJUSTEMENTS!$F$2:$F$501,AJUSTEMENTS!$A$2:$A$501,A17,AJUSTEMENTS!$B$2:$B$501,B17,AJUSTEMENTS!$C$2:$C$501,C17,AJUSTEMENTS!$D$2:$D$501,D17,AJUSTEMENTS!$E$2:$E$501,E17))</f>
        <v/>
      </c>
      <c r="K17">
        <f>IF(A17="",0,IF(J17&lt;&gt;0,J17,I17))</f>
        <v/>
      </c>
    </row>
    <row r="18">
      <c r="A18">
        <f>IF(TRAITEMENTS!$Q18="","",TRAITEMENTS!Q18)</f>
        <v/>
      </c>
      <c r="B18">
        <f>IF(TRAITEMENTS!$Q18="","",TRAITEMENTS!E18)</f>
        <v/>
      </c>
      <c r="C18">
        <f>IF(TRAITEMENTS!$Q18="","",TRAITEMENTS!F18)</f>
        <v/>
      </c>
      <c r="D18">
        <f>IF(TRAITEMENTS!$Q18="","",TRAITEMENTS!G18)</f>
        <v/>
      </c>
      <c r="E18">
        <f>IF(TRAITEMENTS!$Q18="","",TRAITEMENTS!H18)</f>
        <v/>
      </c>
      <c r="F18">
        <f>IF(TRAITEMENTS!$Q18="","",TRAITEMENTS!O18)</f>
        <v/>
      </c>
      <c r="G18">
        <f>IF(A18="",0,SUMIFS(TRAITEMENTS!$O$2:$O$501,TRAITEMENTS!$Q$2:$Q$501,A18,TRAITEMENTS!$E$2:$E$501,B18))</f>
        <v/>
      </c>
      <c r="H18">
        <f>IF(A18="",0,SUMIFS(CONNEXIONS!$C$2:$C$501,CONNEXIONS!$D$2:$D$501,A18,CONNEXIONS!$B$2:$B$501,B18))</f>
        <v/>
      </c>
      <c r="I18">
        <f>IF(G18=0,0,F18/G18*H18)</f>
        <v/>
      </c>
      <c r="J18">
        <f>IF(A18="",0,SUMIFS(AJUSTEMENTS!$F$2:$F$501,AJUSTEMENTS!$A$2:$A$501,A18,AJUSTEMENTS!$B$2:$B$501,B18,AJUSTEMENTS!$C$2:$C$501,C18,AJUSTEMENTS!$D$2:$D$501,D18,AJUSTEMENTS!$E$2:$E$501,E18))</f>
        <v/>
      </c>
      <c r="K18">
        <f>IF(A18="",0,IF(J18&lt;&gt;0,J18,I18))</f>
        <v/>
      </c>
    </row>
    <row r="19">
      <c r="A19">
        <f>IF(TRAITEMENTS!$Q19="","",TRAITEMENTS!Q19)</f>
        <v/>
      </c>
      <c r="B19">
        <f>IF(TRAITEMENTS!$Q19="","",TRAITEMENTS!E19)</f>
        <v/>
      </c>
      <c r="C19">
        <f>IF(TRAITEMENTS!$Q19="","",TRAITEMENTS!F19)</f>
        <v/>
      </c>
      <c r="D19">
        <f>IF(TRAITEMENTS!$Q19="","",TRAITEMENTS!G19)</f>
        <v/>
      </c>
      <c r="E19">
        <f>IF(TRAITEMENTS!$Q19="","",TRAITEMENTS!H19)</f>
        <v/>
      </c>
      <c r="F19">
        <f>IF(TRAITEMENTS!$Q19="","",TRAITEMENTS!O19)</f>
        <v/>
      </c>
      <c r="G19">
        <f>IF(A19="",0,SUMIFS(TRAITEMENTS!$O$2:$O$501,TRAITEMENTS!$Q$2:$Q$501,A19,TRAITEMENTS!$E$2:$E$501,B19))</f>
        <v/>
      </c>
      <c r="H19">
        <f>IF(A19="",0,SUMIFS(CONNEXIONS!$C$2:$C$501,CONNEXIONS!$D$2:$D$501,A19,CONNEXIONS!$B$2:$B$501,B19))</f>
        <v/>
      </c>
      <c r="I19">
        <f>IF(G19=0,0,F19/G19*H19)</f>
        <v/>
      </c>
      <c r="J19">
        <f>IF(A19="",0,SUMIFS(AJUSTEMENTS!$F$2:$F$501,AJUSTEMENTS!$A$2:$A$501,A19,AJUSTEMENTS!$B$2:$B$501,B19,AJUSTEMENTS!$C$2:$C$501,C19,AJUSTEMENTS!$D$2:$D$501,D19,AJUSTEMENTS!$E$2:$E$501,E19))</f>
        <v/>
      </c>
      <c r="K19">
        <f>IF(A19="",0,IF(J19&lt;&gt;0,J19,I19))</f>
        <v/>
      </c>
    </row>
    <row r="20">
      <c r="A20">
        <f>IF(TRAITEMENTS!$Q20="","",TRAITEMENTS!Q20)</f>
        <v/>
      </c>
      <c r="B20">
        <f>IF(TRAITEMENTS!$Q20="","",TRAITEMENTS!E20)</f>
        <v/>
      </c>
      <c r="C20">
        <f>IF(TRAITEMENTS!$Q20="","",TRAITEMENTS!F20)</f>
        <v/>
      </c>
      <c r="D20">
        <f>IF(TRAITEMENTS!$Q20="","",TRAITEMENTS!G20)</f>
        <v/>
      </c>
      <c r="E20">
        <f>IF(TRAITEMENTS!$Q20="","",TRAITEMENTS!H20)</f>
        <v/>
      </c>
      <c r="F20">
        <f>IF(TRAITEMENTS!$Q20="","",TRAITEMENTS!O20)</f>
        <v/>
      </c>
      <c r="G20">
        <f>IF(A20="",0,SUMIFS(TRAITEMENTS!$O$2:$O$501,TRAITEMENTS!$Q$2:$Q$501,A20,TRAITEMENTS!$E$2:$E$501,B20))</f>
        <v/>
      </c>
      <c r="H20">
        <f>IF(A20="",0,SUMIFS(CONNEXIONS!$C$2:$C$501,CONNEXIONS!$D$2:$D$501,A20,CONNEXIONS!$B$2:$B$501,B20))</f>
        <v/>
      </c>
      <c r="I20">
        <f>IF(G20=0,0,F20/G20*H20)</f>
        <v/>
      </c>
      <c r="J20">
        <f>IF(A20="",0,SUMIFS(AJUSTEMENTS!$F$2:$F$501,AJUSTEMENTS!$A$2:$A$501,A20,AJUSTEMENTS!$B$2:$B$501,B20,AJUSTEMENTS!$C$2:$C$501,C20,AJUSTEMENTS!$D$2:$D$501,D20,AJUSTEMENTS!$E$2:$E$501,E20))</f>
        <v/>
      </c>
      <c r="K20">
        <f>IF(A20="",0,IF(J20&lt;&gt;0,J20,I20))</f>
        <v/>
      </c>
    </row>
    <row r="21">
      <c r="A21">
        <f>IF(TRAITEMENTS!$Q21="","",TRAITEMENTS!Q21)</f>
        <v/>
      </c>
      <c r="B21">
        <f>IF(TRAITEMENTS!$Q21="","",TRAITEMENTS!E21)</f>
        <v/>
      </c>
      <c r="C21">
        <f>IF(TRAITEMENTS!$Q21="","",TRAITEMENTS!F21)</f>
        <v/>
      </c>
      <c r="D21">
        <f>IF(TRAITEMENTS!$Q21="","",TRAITEMENTS!G21)</f>
        <v/>
      </c>
      <c r="E21">
        <f>IF(TRAITEMENTS!$Q21="","",TRAITEMENTS!H21)</f>
        <v/>
      </c>
      <c r="F21">
        <f>IF(TRAITEMENTS!$Q21="","",TRAITEMENTS!O21)</f>
        <v/>
      </c>
      <c r="G21">
        <f>IF(A21="",0,SUMIFS(TRAITEMENTS!$O$2:$O$501,TRAITEMENTS!$Q$2:$Q$501,A21,TRAITEMENTS!$E$2:$E$501,B21))</f>
        <v/>
      </c>
      <c r="H21">
        <f>IF(A21="",0,SUMIFS(CONNEXIONS!$C$2:$C$501,CONNEXIONS!$D$2:$D$501,A21,CONNEXIONS!$B$2:$B$501,B21))</f>
        <v/>
      </c>
      <c r="I21">
        <f>IF(G21=0,0,F21/G21*H21)</f>
        <v/>
      </c>
      <c r="J21">
        <f>IF(A21="",0,SUMIFS(AJUSTEMENTS!$F$2:$F$501,AJUSTEMENTS!$A$2:$A$501,A21,AJUSTEMENTS!$B$2:$B$501,B21,AJUSTEMENTS!$C$2:$C$501,C21,AJUSTEMENTS!$D$2:$D$501,D21,AJUSTEMENTS!$E$2:$E$501,E21))</f>
        <v/>
      </c>
      <c r="K21">
        <f>IF(A21="",0,IF(J21&lt;&gt;0,J21,I21))</f>
        <v/>
      </c>
    </row>
    <row r="22">
      <c r="A22">
        <f>IF(TRAITEMENTS!$Q22="","",TRAITEMENTS!Q22)</f>
        <v/>
      </c>
      <c r="B22">
        <f>IF(TRAITEMENTS!$Q22="","",TRAITEMENTS!E22)</f>
        <v/>
      </c>
      <c r="C22">
        <f>IF(TRAITEMENTS!$Q22="","",TRAITEMENTS!F22)</f>
        <v/>
      </c>
      <c r="D22">
        <f>IF(TRAITEMENTS!$Q22="","",TRAITEMENTS!G22)</f>
        <v/>
      </c>
      <c r="E22">
        <f>IF(TRAITEMENTS!$Q22="","",TRAITEMENTS!H22)</f>
        <v/>
      </c>
      <c r="F22">
        <f>IF(TRAITEMENTS!$Q22="","",TRAITEMENTS!O22)</f>
        <v/>
      </c>
      <c r="G22">
        <f>IF(A22="",0,SUMIFS(TRAITEMENTS!$O$2:$O$501,TRAITEMENTS!$Q$2:$Q$501,A22,TRAITEMENTS!$E$2:$E$501,B22))</f>
        <v/>
      </c>
      <c r="H22">
        <f>IF(A22="",0,SUMIFS(CONNEXIONS!$C$2:$C$501,CONNEXIONS!$D$2:$D$501,A22,CONNEXIONS!$B$2:$B$501,B22))</f>
        <v/>
      </c>
      <c r="I22">
        <f>IF(G22=0,0,F22/G22*H22)</f>
        <v/>
      </c>
      <c r="J22">
        <f>IF(A22="",0,SUMIFS(AJUSTEMENTS!$F$2:$F$501,AJUSTEMENTS!$A$2:$A$501,A22,AJUSTEMENTS!$B$2:$B$501,B22,AJUSTEMENTS!$C$2:$C$501,C22,AJUSTEMENTS!$D$2:$D$501,D22,AJUSTEMENTS!$E$2:$E$501,E22))</f>
        <v/>
      </c>
      <c r="K22">
        <f>IF(A22="",0,IF(J22&lt;&gt;0,J22,I22))</f>
        <v/>
      </c>
    </row>
    <row r="23">
      <c r="A23">
        <f>IF(TRAITEMENTS!$Q23="","",TRAITEMENTS!Q23)</f>
        <v/>
      </c>
      <c r="B23">
        <f>IF(TRAITEMENTS!$Q23="","",TRAITEMENTS!E23)</f>
        <v/>
      </c>
      <c r="C23">
        <f>IF(TRAITEMENTS!$Q23="","",TRAITEMENTS!F23)</f>
        <v/>
      </c>
      <c r="D23">
        <f>IF(TRAITEMENTS!$Q23="","",TRAITEMENTS!G23)</f>
        <v/>
      </c>
      <c r="E23">
        <f>IF(TRAITEMENTS!$Q23="","",TRAITEMENTS!H23)</f>
        <v/>
      </c>
      <c r="F23">
        <f>IF(TRAITEMENTS!$Q23="","",TRAITEMENTS!O23)</f>
        <v/>
      </c>
      <c r="G23">
        <f>IF(A23="",0,SUMIFS(TRAITEMENTS!$O$2:$O$501,TRAITEMENTS!$Q$2:$Q$501,A23,TRAITEMENTS!$E$2:$E$501,B23))</f>
        <v/>
      </c>
      <c r="H23">
        <f>IF(A23="",0,SUMIFS(CONNEXIONS!$C$2:$C$501,CONNEXIONS!$D$2:$D$501,A23,CONNEXIONS!$B$2:$B$501,B23))</f>
        <v/>
      </c>
      <c r="I23">
        <f>IF(G23=0,0,F23/G23*H23)</f>
        <v/>
      </c>
      <c r="J23">
        <f>IF(A23="",0,SUMIFS(AJUSTEMENTS!$F$2:$F$501,AJUSTEMENTS!$A$2:$A$501,A23,AJUSTEMENTS!$B$2:$B$501,B23,AJUSTEMENTS!$C$2:$C$501,C23,AJUSTEMENTS!$D$2:$D$501,D23,AJUSTEMENTS!$E$2:$E$501,E23))</f>
        <v/>
      </c>
      <c r="K23">
        <f>IF(A23="",0,IF(J23&lt;&gt;0,J23,I23))</f>
        <v/>
      </c>
    </row>
    <row r="24">
      <c r="A24">
        <f>IF(TRAITEMENTS!$Q24="","",TRAITEMENTS!Q24)</f>
        <v/>
      </c>
      <c r="B24">
        <f>IF(TRAITEMENTS!$Q24="","",TRAITEMENTS!E24)</f>
        <v/>
      </c>
      <c r="C24">
        <f>IF(TRAITEMENTS!$Q24="","",TRAITEMENTS!F24)</f>
        <v/>
      </c>
      <c r="D24">
        <f>IF(TRAITEMENTS!$Q24="","",TRAITEMENTS!G24)</f>
        <v/>
      </c>
      <c r="E24">
        <f>IF(TRAITEMENTS!$Q24="","",TRAITEMENTS!H24)</f>
        <v/>
      </c>
      <c r="F24">
        <f>IF(TRAITEMENTS!$Q24="","",TRAITEMENTS!O24)</f>
        <v/>
      </c>
      <c r="G24">
        <f>IF(A24="",0,SUMIFS(TRAITEMENTS!$O$2:$O$501,TRAITEMENTS!$Q$2:$Q$501,A24,TRAITEMENTS!$E$2:$E$501,B24))</f>
        <v/>
      </c>
      <c r="H24">
        <f>IF(A24="",0,SUMIFS(CONNEXIONS!$C$2:$C$501,CONNEXIONS!$D$2:$D$501,A24,CONNEXIONS!$B$2:$B$501,B24))</f>
        <v/>
      </c>
      <c r="I24">
        <f>IF(G24=0,0,F24/G24*H24)</f>
        <v/>
      </c>
      <c r="J24">
        <f>IF(A24="",0,SUMIFS(AJUSTEMENTS!$F$2:$F$501,AJUSTEMENTS!$A$2:$A$501,A24,AJUSTEMENTS!$B$2:$B$501,B24,AJUSTEMENTS!$C$2:$C$501,C24,AJUSTEMENTS!$D$2:$D$501,D24,AJUSTEMENTS!$E$2:$E$501,E24))</f>
        <v/>
      </c>
      <c r="K24">
        <f>IF(A24="",0,IF(J24&lt;&gt;0,J24,I24))</f>
        <v/>
      </c>
    </row>
    <row r="25">
      <c r="A25">
        <f>IF(TRAITEMENTS!$Q25="","",TRAITEMENTS!Q25)</f>
        <v/>
      </c>
      <c r="B25">
        <f>IF(TRAITEMENTS!$Q25="","",TRAITEMENTS!E25)</f>
        <v/>
      </c>
      <c r="C25">
        <f>IF(TRAITEMENTS!$Q25="","",TRAITEMENTS!F25)</f>
        <v/>
      </c>
      <c r="D25">
        <f>IF(TRAITEMENTS!$Q25="","",TRAITEMENTS!G25)</f>
        <v/>
      </c>
      <c r="E25">
        <f>IF(TRAITEMENTS!$Q25="","",TRAITEMENTS!H25)</f>
        <v/>
      </c>
      <c r="F25">
        <f>IF(TRAITEMENTS!$Q25="","",TRAITEMENTS!O25)</f>
        <v/>
      </c>
      <c r="G25">
        <f>IF(A25="",0,SUMIFS(TRAITEMENTS!$O$2:$O$501,TRAITEMENTS!$Q$2:$Q$501,A25,TRAITEMENTS!$E$2:$E$501,B25))</f>
        <v/>
      </c>
      <c r="H25">
        <f>IF(A25="",0,SUMIFS(CONNEXIONS!$C$2:$C$501,CONNEXIONS!$D$2:$D$501,A25,CONNEXIONS!$B$2:$B$501,B25))</f>
        <v/>
      </c>
      <c r="I25">
        <f>IF(G25=0,0,F25/G25*H25)</f>
        <v/>
      </c>
      <c r="J25">
        <f>IF(A25="",0,SUMIFS(AJUSTEMENTS!$F$2:$F$501,AJUSTEMENTS!$A$2:$A$501,A25,AJUSTEMENTS!$B$2:$B$501,B25,AJUSTEMENTS!$C$2:$C$501,C25,AJUSTEMENTS!$D$2:$D$501,D25,AJUSTEMENTS!$E$2:$E$501,E25))</f>
        <v/>
      </c>
      <c r="K25">
        <f>IF(A25="",0,IF(J25&lt;&gt;0,J25,I25))</f>
        <v/>
      </c>
    </row>
    <row r="26">
      <c r="A26">
        <f>IF(TRAITEMENTS!$Q26="","",TRAITEMENTS!Q26)</f>
        <v/>
      </c>
      <c r="B26">
        <f>IF(TRAITEMENTS!$Q26="","",TRAITEMENTS!E26)</f>
        <v/>
      </c>
      <c r="C26">
        <f>IF(TRAITEMENTS!$Q26="","",TRAITEMENTS!F26)</f>
        <v/>
      </c>
      <c r="D26">
        <f>IF(TRAITEMENTS!$Q26="","",TRAITEMENTS!G26)</f>
        <v/>
      </c>
      <c r="E26">
        <f>IF(TRAITEMENTS!$Q26="","",TRAITEMENTS!H26)</f>
        <v/>
      </c>
      <c r="F26">
        <f>IF(TRAITEMENTS!$Q26="","",TRAITEMENTS!O26)</f>
        <v/>
      </c>
      <c r="G26">
        <f>IF(A26="",0,SUMIFS(TRAITEMENTS!$O$2:$O$501,TRAITEMENTS!$Q$2:$Q$501,A26,TRAITEMENTS!$E$2:$E$501,B26))</f>
        <v/>
      </c>
      <c r="H26">
        <f>IF(A26="",0,SUMIFS(CONNEXIONS!$C$2:$C$501,CONNEXIONS!$D$2:$D$501,A26,CONNEXIONS!$B$2:$B$501,B26))</f>
        <v/>
      </c>
      <c r="I26">
        <f>IF(G26=0,0,F26/G26*H26)</f>
        <v/>
      </c>
      <c r="J26">
        <f>IF(A26="",0,SUMIFS(AJUSTEMENTS!$F$2:$F$501,AJUSTEMENTS!$A$2:$A$501,A26,AJUSTEMENTS!$B$2:$B$501,B26,AJUSTEMENTS!$C$2:$C$501,C26,AJUSTEMENTS!$D$2:$D$501,D26,AJUSTEMENTS!$E$2:$E$501,E26))</f>
        <v/>
      </c>
      <c r="K26">
        <f>IF(A26="",0,IF(J26&lt;&gt;0,J26,I26))</f>
        <v/>
      </c>
    </row>
    <row r="27">
      <c r="A27">
        <f>IF(TRAITEMENTS!$Q27="","",TRAITEMENTS!Q27)</f>
        <v/>
      </c>
      <c r="B27">
        <f>IF(TRAITEMENTS!$Q27="","",TRAITEMENTS!E27)</f>
        <v/>
      </c>
      <c r="C27">
        <f>IF(TRAITEMENTS!$Q27="","",TRAITEMENTS!F27)</f>
        <v/>
      </c>
      <c r="D27">
        <f>IF(TRAITEMENTS!$Q27="","",TRAITEMENTS!G27)</f>
        <v/>
      </c>
      <c r="E27">
        <f>IF(TRAITEMENTS!$Q27="","",TRAITEMENTS!H27)</f>
        <v/>
      </c>
      <c r="F27">
        <f>IF(TRAITEMENTS!$Q27="","",TRAITEMENTS!O27)</f>
        <v/>
      </c>
      <c r="G27">
        <f>IF(A27="",0,SUMIFS(TRAITEMENTS!$O$2:$O$501,TRAITEMENTS!$Q$2:$Q$501,A27,TRAITEMENTS!$E$2:$E$501,B27))</f>
        <v/>
      </c>
      <c r="H27">
        <f>IF(A27="",0,SUMIFS(CONNEXIONS!$C$2:$C$501,CONNEXIONS!$D$2:$D$501,A27,CONNEXIONS!$B$2:$B$501,B27))</f>
        <v/>
      </c>
      <c r="I27">
        <f>IF(G27=0,0,F27/G27*H27)</f>
        <v/>
      </c>
      <c r="J27">
        <f>IF(A27="",0,SUMIFS(AJUSTEMENTS!$F$2:$F$501,AJUSTEMENTS!$A$2:$A$501,A27,AJUSTEMENTS!$B$2:$B$501,B27,AJUSTEMENTS!$C$2:$C$501,C27,AJUSTEMENTS!$D$2:$D$501,D27,AJUSTEMENTS!$E$2:$E$501,E27))</f>
        <v/>
      </c>
      <c r="K27">
        <f>IF(A27="",0,IF(J27&lt;&gt;0,J27,I27))</f>
        <v/>
      </c>
    </row>
    <row r="28">
      <c r="A28">
        <f>IF(TRAITEMENTS!$Q28="","",TRAITEMENTS!Q28)</f>
        <v/>
      </c>
      <c r="B28">
        <f>IF(TRAITEMENTS!$Q28="","",TRAITEMENTS!E28)</f>
        <v/>
      </c>
      <c r="C28">
        <f>IF(TRAITEMENTS!$Q28="","",TRAITEMENTS!F28)</f>
        <v/>
      </c>
      <c r="D28">
        <f>IF(TRAITEMENTS!$Q28="","",TRAITEMENTS!G28)</f>
        <v/>
      </c>
      <c r="E28">
        <f>IF(TRAITEMENTS!$Q28="","",TRAITEMENTS!H28)</f>
        <v/>
      </c>
      <c r="F28">
        <f>IF(TRAITEMENTS!$Q28="","",TRAITEMENTS!O28)</f>
        <v/>
      </c>
      <c r="G28">
        <f>IF(A28="",0,SUMIFS(TRAITEMENTS!$O$2:$O$501,TRAITEMENTS!$Q$2:$Q$501,A28,TRAITEMENTS!$E$2:$E$501,B28))</f>
        <v/>
      </c>
      <c r="H28">
        <f>IF(A28="",0,SUMIFS(CONNEXIONS!$C$2:$C$501,CONNEXIONS!$D$2:$D$501,A28,CONNEXIONS!$B$2:$B$501,B28))</f>
        <v/>
      </c>
      <c r="I28">
        <f>IF(G28=0,0,F28/G28*H28)</f>
        <v/>
      </c>
      <c r="J28">
        <f>IF(A28="",0,SUMIFS(AJUSTEMENTS!$F$2:$F$501,AJUSTEMENTS!$A$2:$A$501,A28,AJUSTEMENTS!$B$2:$B$501,B28,AJUSTEMENTS!$C$2:$C$501,C28,AJUSTEMENTS!$D$2:$D$501,D28,AJUSTEMENTS!$E$2:$E$501,E28))</f>
        <v/>
      </c>
      <c r="K28">
        <f>IF(A28="",0,IF(J28&lt;&gt;0,J28,I28))</f>
        <v/>
      </c>
    </row>
    <row r="29">
      <c r="A29">
        <f>IF(TRAITEMENTS!$Q29="","",TRAITEMENTS!Q29)</f>
        <v/>
      </c>
      <c r="B29">
        <f>IF(TRAITEMENTS!$Q29="","",TRAITEMENTS!E29)</f>
        <v/>
      </c>
      <c r="C29">
        <f>IF(TRAITEMENTS!$Q29="","",TRAITEMENTS!F29)</f>
        <v/>
      </c>
      <c r="D29">
        <f>IF(TRAITEMENTS!$Q29="","",TRAITEMENTS!G29)</f>
        <v/>
      </c>
      <c r="E29">
        <f>IF(TRAITEMENTS!$Q29="","",TRAITEMENTS!H29)</f>
        <v/>
      </c>
      <c r="F29">
        <f>IF(TRAITEMENTS!$Q29="","",TRAITEMENTS!O29)</f>
        <v/>
      </c>
      <c r="G29">
        <f>IF(A29="",0,SUMIFS(TRAITEMENTS!$O$2:$O$501,TRAITEMENTS!$Q$2:$Q$501,A29,TRAITEMENTS!$E$2:$E$501,B29))</f>
        <v/>
      </c>
      <c r="H29">
        <f>IF(A29="",0,SUMIFS(CONNEXIONS!$C$2:$C$501,CONNEXIONS!$D$2:$D$501,A29,CONNEXIONS!$B$2:$B$501,B29))</f>
        <v/>
      </c>
      <c r="I29">
        <f>IF(G29=0,0,F29/G29*H29)</f>
        <v/>
      </c>
      <c r="J29">
        <f>IF(A29="",0,SUMIFS(AJUSTEMENTS!$F$2:$F$501,AJUSTEMENTS!$A$2:$A$501,A29,AJUSTEMENTS!$B$2:$B$501,B29,AJUSTEMENTS!$C$2:$C$501,C29,AJUSTEMENTS!$D$2:$D$501,D29,AJUSTEMENTS!$E$2:$E$501,E29))</f>
        <v/>
      </c>
      <c r="K29">
        <f>IF(A29="",0,IF(J29&lt;&gt;0,J29,I29))</f>
        <v/>
      </c>
    </row>
    <row r="30">
      <c r="A30">
        <f>IF(TRAITEMENTS!$Q30="","",TRAITEMENTS!Q30)</f>
        <v/>
      </c>
      <c r="B30">
        <f>IF(TRAITEMENTS!$Q30="","",TRAITEMENTS!E30)</f>
        <v/>
      </c>
      <c r="C30">
        <f>IF(TRAITEMENTS!$Q30="","",TRAITEMENTS!F30)</f>
        <v/>
      </c>
      <c r="D30">
        <f>IF(TRAITEMENTS!$Q30="","",TRAITEMENTS!G30)</f>
        <v/>
      </c>
      <c r="E30">
        <f>IF(TRAITEMENTS!$Q30="","",TRAITEMENTS!H30)</f>
        <v/>
      </c>
      <c r="F30">
        <f>IF(TRAITEMENTS!$Q30="","",TRAITEMENTS!O30)</f>
        <v/>
      </c>
      <c r="G30">
        <f>IF(A30="",0,SUMIFS(TRAITEMENTS!$O$2:$O$501,TRAITEMENTS!$Q$2:$Q$501,A30,TRAITEMENTS!$E$2:$E$501,B30))</f>
        <v/>
      </c>
      <c r="H30">
        <f>IF(A30="",0,SUMIFS(CONNEXIONS!$C$2:$C$501,CONNEXIONS!$D$2:$D$501,A30,CONNEXIONS!$B$2:$B$501,B30))</f>
        <v/>
      </c>
      <c r="I30">
        <f>IF(G30=0,0,F30/G30*H30)</f>
        <v/>
      </c>
      <c r="J30">
        <f>IF(A30="",0,SUMIFS(AJUSTEMENTS!$F$2:$F$501,AJUSTEMENTS!$A$2:$A$501,A30,AJUSTEMENTS!$B$2:$B$501,B30,AJUSTEMENTS!$C$2:$C$501,C30,AJUSTEMENTS!$D$2:$D$501,D30,AJUSTEMENTS!$E$2:$E$501,E30))</f>
        <v/>
      </c>
      <c r="K30">
        <f>IF(A30="",0,IF(J30&lt;&gt;0,J30,I30))</f>
        <v/>
      </c>
    </row>
    <row r="31">
      <c r="A31">
        <f>IF(TRAITEMENTS!$Q31="","",TRAITEMENTS!Q31)</f>
        <v/>
      </c>
      <c r="B31">
        <f>IF(TRAITEMENTS!$Q31="","",TRAITEMENTS!E31)</f>
        <v/>
      </c>
      <c r="C31">
        <f>IF(TRAITEMENTS!$Q31="","",TRAITEMENTS!F31)</f>
        <v/>
      </c>
      <c r="D31">
        <f>IF(TRAITEMENTS!$Q31="","",TRAITEMENTS!G31)</f>
        <v/>
      </c>
      <c r="E31">
        <f>IF(TRAITEMENTS!$Q31="","",TRAITEMENTS!H31)</f>
        <v/>
      </c>
      <c r="F31">
        <f>IF(TRAITEMENTS!$Q31="","",TRAITEMENTS!O31)</f>
        <v/>
      </c>
      <c r="G31">
        <f>IF(A31="",0,SUMIFS(TRAITEMENTS!$O$2:$O$501,TRAITEMENTS!$Q$2:$Q$501,A31,TRAITEMENTS!$E$2:$E$501,B31))</f>
        <v/>
      </c>
      <c r="H31">
        <f>IF(A31="",0,SUMIFS(CONNEXIONS!$C$2:$C$501,CONNEXIONS!$D$2:$D$501,A31,CONNEXIONS!$B$2:$B$501,B31))</f>
        <v/>
      </c>
      <c r="I31">
        <f>IF(G31=0,0,F31/G31*H31)</f>
        <v/>
      </c>
      <c r="J31">
        <f>IF(A31="",0,SUMIFS(AJUSTEMENTS!$F$2:$F$501,AJUSTEMENTS!$A$2:$A$501,A31,AJUSTEMENTS!$B$2:$B$501,B31,AJUSTEMENTS!$C$2:$C$501,C31,AJUSTEMENTS!$D$2:$D$501,D31,AJUSTEMENTS!$E$2:$E$501,E31))</f>
        <v/>
      </c>
      <c r="K31">
        <f>IF(A31="",0,IF(J31&lt;&gt;0,J31,I31))</f>
        <v/>
      </c>
    </row>
    <row r="32">
      <c r="A32">
        <f>IF(TRAITEMENTS!$Q32="","",TRAITEMENTS!Q32)</f>
        <v/>
      </c>
      <c r="B32">
        <f>IF(TRAITEMENTS!$Q32="","",TRAITEMENTS!E32)</f>
        <v/>
      </c>
      <c r="C32">
        <f>IF(TRAITEMENTS!$Q32="","",TRAITEMENTS!F32)</f>
        <v/>
      </c>
      <c r="D32">
        <f>IF(TRAITEMENTS!$Q32="","",TRAITEMENTS!G32)</f>
        <v/>
      </c>
      <c r="E32">
        <f>IF(TRAITEMENTS!$Q32="","",TRAITEMENTS!H32)</f>
        <v/>
      </c>
      <c r="F32">
        <f>IF(TRAITEMENTS!$Q32="","",TRAITEMENTS!O32)</f>
        <v/>
      </c>
      <c r="G32">
        <f>IF(A32="",0,SUMIFS(TRAITEMENTS!$O$2:$O$501,TRAITEMENTS!$Q$2:$Q$501,A32,TRAITEMENTS!$E$2:$E$501,B32))</f>
        <v/>
      </c>
      <c r="H32">
        <f>IF(A32="",0,SUMIFS(CONNEXIONS!$C$2:$C$501,CONNEXIONS!$D$2:$D$501,A32,CONNEXIONS!$B$2:$B$501,B32))</f>
        <v/>
      </c>
      <c r="I32">
        <f>IF(G32=0,0,F32/G32*H32)</f>
        <v/>
      </c>
      <c r="J32">
        <f>IF(A32="",0,SUMIFS(AJUSTEMENTS!$F$2:$F$501,AJUSTEMENTS!$A$2:$A$501,A32,AJUSTEMENTS!$B$2:$B$501,B32,AJUSTEMENTS!$C$2:$C$501,C32,AJUSTEMENTS!$D$2:$D$501,D32,AJUSTEMENTS!$E$2:$E$501,E32))</f>
        <v/>
      </c>
      <c r="K32">
        <f>IF(A32="",0,IF(J32&lt;&gt;0,J32,I32))</f>
        <v/>
      </c>
    </row>
    <row r="33">
      <c r="A33">
        <f>IF(TRAITEMENTS!$Q33="","",TRAITEMENTS!Q33)</f>
        <v/>
      </c>
      <c r="B33">
        <f>IF(TRAITEMENTS!$Q33="","",TRAITEMENTS!E33)</f>
        <v/>
      </c>
      <c r="C33">
        <f>IF(TRAITEMENTS!$Q33="","",TRAITEMENTS!F33)</f>
        <v/>
      </c>
      <c r="D33">
        <f>IF(TRAITEMENTS!$Q33="","",TRAITEMENTS!G33)</f>
        <v/>
      </c>
      <c r="E33">
        <f>IF(TRAITEMENTS!$Q33="","",TRAITEMENTS!H33)</f>
        <v/>
      </c>
      <c r="F33">
        <f>IF(TRAITEMENTS!$Q33="","",TRAITEMENTS!O33)</f>
        <v/>
      </c>
      <c r="G33">
        <f>IF(A33="",0,SUMIFS(TRAITEMENTS!$O$2:$O$501,TRAITEMENTS!$Q$2:$Q$501,A33,TRAITEMENTS!$E$2:$E$501,B33))</f>
        <v/>
      </c>
      <c r="H33">
        <f>IF(A33="",0,SUMIFS(CONNEXIONS!$C$2:$C$501,CONNEXIONS!$D$2:$D$501,A33,CONNEXIONS!$B$2:$B$501,B33))</f>
        <v/>
      </c>
      <c r="I33">
        <f>IF(G33=0,0,F33/G33*H33)</f>
        <v/>
      </c>
      <c r="J33">
        <f>IF(A33="",0,SUMIFS(AJUSTEMENTS!$F$2:$F$501,AJUSTEMENTS!$A$2:$A$501,A33,AJUSTEMENTS!$B$2:$B$501,B33,AJUSTEMENTS!$C$2:$C$501,C33,AJUSTEMENTS!$D$2:$D$501,D33,AJUSTEMENTS!$E$2:$E$501,E33))</f>
        <v/>
      </c>
      <c r="K33">
        <f>IF(A33="",0,IF(J33&lt;&gt;0,J33,I33))</f>
        <v/>
      </c>
    </row>
    <row r="34">
      <c r="A34">
        <f>IF(TRAITEMENTS!$Q34="","",TRAITEMENTS!Q34)</f>
        <v/>
      </c>
      <c r="B34">
        <f>IF(TRAITEMENTS!$Q34="","",TRAITEMENTS!E34)</f>
        <v/>
      </c>
      <c r="C34">
        <f>IF(TRAITEMENTS!$Q34="","",TRAITEMENTS!F34)</f>
        <v/>
      </c>
      <c r="D34">
        <f>IF(TRAITEMENTS!$Q34="","",TRAITEMENTS!G34)</f>
        <v/>
      </c>
      <c r="E34">
        <f>IF(TRAITEMENTS!$Q34="","",TRAITEMENTS!H34)</f>
        <v/>
      </c>
      <c r="F34">
        <f>IF(TRAITEMENTS!$Q34="","",TRAITEMENTS!O34)</f>
        <v/>
      </c>
      <c r="G34">
        <f>IF(A34="",0,SUMIFS(TRAITEMENTS!$O$2:$O$501,TRAITEMENTS!$Q$2:$Q$501,A34,TRAITEMENTS!$E$2:$E$501,B34))</f>
        <v/>
      </c>
      <c r="H34">
        <f>IF(A34="",0,SUMIFS(CONNEXIONS!$C$2:$C$501,CONNEXIONS!$D$2:$D$501,A34,CONNEXIONS!$B$2:$B$501,B34))</f>
        <v/>
      </c>
      <c r="I34">
        <f>IF(G34=0,0,F34/G34*H34)</f>
        <v/>
      </c>
      <c r="J34">
        <f>IF(A34="",0,SUMIFS(AJUSTEMENTS!$F$2:$F$501,AJUSTEMENTS!$A$2:$A$501,A34,AJUSTEMENTS!$B$2:$B$501,B34,AJUSTEMENTS!$C$2:$C$501,C34,AJUSTEMENTS!$D$2:$D$501,D34,AJUSTEMENTS!$E$2:$E$501,E34))</f>
        <v/>
      </c>
      <c r="K34">
        <f>IF(A34="",0,IF(J34&lt;&gt;0,J34,I34))</f>
        <v/>
      </c>
    </row>
    <row r="35">
      <c r="A35">
        <f>IF(TRAITEMENTS!$Q35="","",TRAITEMENTS!Q35)</f>
        <v/>
      </c>
      <c r="B35">
        <f>IF(TRAITEMENTS!$Q35="","",TRAITEMENTS!E35)</f>
        <v/>
      </c>
      <c r="C35">
        <f>IF(TRAITEMENTS!$Q35="","",TRAITEMENTS!F35)</f>
        <v/>
      </c>
      <c r="D35">
        <f>IF(TRAITEMENTS!$Q35="","",TRAITEMENTS!G35)</f>
        <v/>
      </c>
      <c r="E35">
        <f>IF(TRAITEMENTS!$Q35="","",TRAITEMENTS!H35)</f>
        <v/>
      </c>
      <c r="F35">
        <f>IF(TRAITEMENTS!$Q35="","",TRAITEMENTS!O35)</f>
        <v/>
      </c>
      <c r="G35">
        <f>IF(A35="",0,SUMIFS(TRAITEMENTS!$O$2:$O$501,TRAITEMENTS!$Q$2:$Q$501,A35,TRAITEMENTS!$E$2:$E$501,B35))</f>
        <v/>
      </c>
      <c r="H35">
        <f>IF(A35="",0,SUMIFS(CONNEXIONS!$C$2:$C$501,CONNEXIONS!$D$2:$D$501,A35,CONNEXIONS!$B$2:$B$501,B35))</f>
        <v/>
      </c>
      <c r="I35">
        <f>IF(G35=0,0,F35/G35*H35)</f>
        <v/>
      </c>
      <c r="J35">
        <f>IF(A35="",0,SUMIFS(AJUSTEMENTS!$F$2:$F$501,AJUSTEMENTS!$A$2:$A$501,A35,AJUSTEMENTS!$B$2:$B$501,B35,AJUSTEMENTS!$C$2:$C$501,C35,AJUSTEMENTS!$D$2:$D$501,D35,AJUSTEMENTS!$E$2:$E$501,E35))</f>
        <v/>
      </c>
      <c r="K35">
        <f>IF(A35="",0,IF(J35&lt;&gt;0,J35,I35))</f>
        <v/>
      </c>
    </row>
    <row r="36">
      <c r="A36">
        <f>IF(TRAITEMENTS!$Q36="","",TRAITEMENTS!Q36)</f>
        <v/>
      </c>
      <c r="B36">
        <f>IF(TRAITEMENTS!$Q36="","",TRAITEMENTS!E36)</f>
        <v/>
      </c>
      <c r="C36">
        <f>IF(TRAITEMENTS!$Q36="","",TRAITEMENTS!F36)</f>
        <v/>
      </c>
      <c r="D36">
        <f>IF(TRAITEMENTS!$Q36="","",TRAITEMENTS!G36)</f>
        <v/>
      </c>
      <c r="E36">
        <f>IF(TRAITEMENTS!$Q36="","",TRAITEMENTS!H36)</f>
        <v/>
      </c>
      <c r="F36">
        <f>IF(TRAITEMENTS!$Q36="","",TRAITEMENTS!O36)</f>
        <v/>
      </c>
      <c r="G36">
        <f>IF(A36="",0,SUMIFS(TRAITEMENTS!$O$2:$O$501,TRAITEMENTS!$Q$2:$Q$501,A36,TRAITEMENTS!$E$2:$E$501,B36))</f>
        <v/>
      </c>
      <c r="H36">
        <f>IF(A36="",0,SUMIFS(CONNEXIONS!$C$2:$C$501,CONNEXIONS!$D$2:$D$501,A36,CONNEXIONS!$B$2:$B$501,B36))</f>
        <v/>
      </c>
      <c r="I36">
        <f>IF(G36=0,0,F36/G36*H36)</f>
        <v/>
      </c>
      <c r="J36">
        <f>IF(A36="",0,SUMIFS(AJUSTEMENTS!$F$2:$F$501,AJUSTEMENTS!$A$2:$A$501,A36,AJUSTEMENTS!$B$2:$B$501,B36,AJUSTEMENTS!$C$2:$C$501,C36,AJUSTEMENTS!$D$2:$D$501,D36,AJUSTEMENTS!$E$2:$E$501,E36))</f>
        <v/>
      </c>
      <c r="K36">
        <f>IF(A36="",0,IF(J36&lt;&gt;0,J36,I36))</f>
        <v/>
      </c>
    </row>
    <row r="37">
      <c r="A37">
        <f>IF(TRAITEMENTS!$Q37="","",TRAITEMENTS!Q37)</f>
        <v/>
      </c>
      <c r="B37">
        <f>IF(TRAITEMENTS!$Q37="","",TRAITEMENTS!E37)</f>
        <v/>
      </c>
      <c r="C37">
        <f>IF(TRAITEMENTS!$Q37="","",TRAITEMENTS!F37)</f>
        <v/>
      </c>
      <c r="D37">
        <f>IF(TRAITEMENTS!$Q37="","",TRAITEMENTS!G37)</f>
        <v/>
      </c>
      <c r="E37">
        <f>IF(TRAITEMENTS!$Q37="","",TRAITEMENTS!H37)</f>
        <v/>
      </c>
      <c r="F37">
        <f>IF(TRAITEMENTS!$Q37="","",TRAITEMENTS!O37)</f>
        <v/>
      </c>
      <c r="G37">
        <f>IF(A37="",0,SUMIFS(TRAITEMENTS!$O$2:$O$501,TRAITEMENTS!$Q$2:$Q$501,A37,TRAITEMENTS!$E$2:$E$501,B37))</f>
        <v/>
      </c>
      <c r="H37">
        <f>IF(A37="",0,SUMIFS(CONNEXIONS!$C$2:$C$501,CONNEXIONS!$D$2:$D$501,A37,CONNEXIONS!$B$2:$B$501,B37))</f>
        <v/>
      </c>
      <c r="I37">
        <f>IF(G37=0,0,F37/G37*H37)</f>
        <v/>
      </c>
      <c r="J37">
        <f>IF(A37="",0,SUMIFS(AJUSTEMENTS!$F$2:$F$501,AJUSTEMENTS!$A$2:$A$501,A37,AJUSTEMENTS!$B$2:$B$501,B37,AJUSTEMENTS!$C$2:$C$501,C37,AJUSTEMENTS!$D$2:$D$501,D37,AJUSTEMENTS!$E$2:$E$501,E37))</f>
        <v/>
      </c>
      <c r="K37">
        <f>IF(A37="",0,IF(J37&lt;&gt;0,J37,I37))</f>
        <v/>
      </c>
    </row>
    <row r="38">
      <c r="A38">
        <f>IF(TRAITEMENTS!$Q38="","",TRAITEMENTS!Q38)</f>
        <v/>
      </c>
      <c r="B38">
        <f>IF(TRAITEMENTS!$Q38="","",TRAITEMENTS!E38)</f>
        <v/>
      </c>
      <c r="C38">
        <f>IF(TRAITEMENTS!$Q38="","",TRAITEMENTS!F38)</f>
        <v/>
      </c>
      <c r="D38">
        <f>IF(TRAITEMENTS!$Q38="","",TRAITEMENTS!G38)</f>
        <v/>
      </c>
      <c r="E38">
        <f>IF(TRAITEMENTS!$Q38="","",TRAITEMENTS!H38)</f>
        <v/>
      </c>
      <c r="F38">
        <f>IF(TRAITEMENTS!$Q38="","",TRAITEMENTS!O38)</f>
        <v/>
      </c>
      <c r="G38">
        <f>IF(A38="",0,SUMIFS(TRAITEMENTS!$O$2:$O$501,TRAITEMENTS!$Q$2:$Q$501,A38,TRAITEMENTS!$E$2:$E$501,B38))</f>
        <v/>
      </c>
      <c r="H38">
        <f>IF(A38="",0,SUMIFS(CONNEXIONS!$C$2:$C$501,CONNEXIONS!$D$2:$D$501,A38,CONNEXIONS!$B$2:$B$501,B38))</f>
        <v/>
      </c>
      <c r="I38">
        <f>IF(G38=0,0,F38/G38*H38)</f>
        <v/>
      </c>
      <c r="J38">
        <f>IF(A38="",0,SUMIFS(AJUSTEMENTS!$F$2:$F$501,AJUSTEMENTS!$A$2:$A$501,A38,AJUSTEMENTS!$B$2:$B$501,B38,AJUSTEMENTS!$C$2:$C$501,C38,AJUSTEMENTS!$D$2:$D$501,D38,AJUSTEMENTS!$E$2:$E$501,E38))</f>
        <v/>
      </c>
      <c r="K38">
        <f>IF(A38="",0,IF(J38&lt;&gt;0,J38,I38))</f>
        <v/>
      </c>
    </row>
    <row r="39">
      <c r="A39">
        <f>IF(TRAITEMENTS!$Q39="","",TRAITEMENTS!Q39)</f>
        <v/>
      </c>
      <c r="B39">
        <f>IF(TRAITEMENTS!$Q39="","",TRAITEMENTS!E39)</f>
        <v/>
      </c>
      <c r="C39">
        <f>IF(TRAITEMENTS!$Q39="","",TRAITEMENTS!F39)</f>
        <v/>
      </c>
      <c r="D39">
        <f>IF(TRAITEMENTS!$Q39="","",TRAITEMENTS!G39)</f>
        <v/>
      </c>
      <c r="E39">
        <f>IF(TRAITEMENTS!$Q39="","",TRAITEMENTS!H39)</f>
        <v/>
      </c>
      <c r="F39">
        <f>IF(TRAITEMENTS!$Q39="","",TRAITEMENTS!O39)</f>
        <v/>
      </c>
      <c r="G39">
        <f>IF(A39="",0,SUMIFS(TRAITEMENTS!$O$2:$O$501,TRAITEMENTS!$Q$2:$Q$501,A39,TRAITEMENTS!$E$2:$E$501,B39))</f>
        <v/>
      </c>
      <c r="H39">
        <f>IF(A39="",0,SUMIFS(CONNEXIONS!$C$2:$C$501,CONNEXIONS!$D$2:$D$501,A39,CONNEXIONS!$B$2:$B$501,B39))</f>
        <v/>
      </c>
      <c r="I39">
        <f>IF(G39=0,0,F39/G39*H39)</f>
        <v/>
      </c>
      <c r="J39">
        <f>IF(A39="",0,SUMIFS(AJUSTEMENTS!$F$2:$F$501,AJUSTEMENTS!$A$2:$A$501,A39,AJUSTEMENTS!$B$2:$B$501,B39,AJUSTEMENTS!$C$2:$C$501,C39,AJUSTEMENTS!$D$2:$D$501,D39,AJUSTEMENTS!$E$2:$E$501,E39))</f>
        <v/>
      </c>
      <c r="K39">
        <f>IF(A39="",0,IF(J39&lt;&gt;0,J39,I39))</f>
        <v/>
      </c>
    </row>
    <row r="40">
      <c r="A40">
        <f>IF(TRAITEMENTS!$Q40="","",TRAITEMENTS!Q40)</f>
        <v/>
      </c>
      <c r="B40">
        <f>IF(TRAITEMENTS!$Q40="","",TRAITEMENTS!E40)</f>
        <v/>
      </c>
      <c r="C40">
        <f>IF(TRAITEMENTS!$Q40="","",TRAITEMENTS!F40)</f>
        <v/>
      </c>
      <c r="D40">
        <f>IF(TRAITEMENTS!$Q40="","",TRAITEMENTS!G40)</f>
        <v/>
      </c>
      <c r="E40">
        <f>IF(TRAITEMENTS!$Q40="","",TRAITEMENTS!H40)</f>
        <v/>
      </c>
      <c r="F40">
        <f>IF(TRAITEMENTS!$Q40="","",TRAITEMENTS!O40)</f>
        <v/>
      </c>
      <c r="G40">
        <f>IF(A40="",0,SUMIFS(TRAITEMENTS!$O$2:$O$501,TRAITEMENTS!$Q$2:$Q$501,A40,TRAITEMENTS!$E$2:$E$501,B40))</f>
        <v/>
      </c>
      <c r="H40">
        <f>IF(A40="",0,SUMIFS(CONNEXIONS!$C$2:$C$501,CONNEXIONS!$D$2:$D$501,A40,CONNEXIONS!$B$2:$B$501,B40))</f>
        <v/>
      </c>
      <c r="I40">
        <f>IF(G40=0,0,F40/G40*H40)</f>
        <v/>
      </c>
      <c r="J40">
        <f>IF(A40="",0,SUMIFS(AJUSTEMENTS!$F$2:$F$501,AJUSTEMENTS!$A$2:$A$501,A40,AJUSTEMENTS!$B$2:$B$501,B40,AJUSTEMENTS!$C$2:$C$501,C40,AJUSTEMENTS!$D$2:$D$501,D40,AJUSTEMENTS!$E$2:$E$501,E40))</f>
        <v/>
      </c>
      <c r="K40">
        <f>IF(A40="",0,IF(J40&lt;&gt;0,J40,I40))</f>
        <v/>
      </c>
    </row>
    <row r="41">
      <c r="A41">
        <f>IF(TRAITEMENTS!$Q41="","",TRAITEMENTS!Q41)</f>
        <v/>
      </c>
      <c r="B41">
        <f>IF(TRAITEMENTS!$Q41="","",TRAITEMENTS!E41)</f>
        <v/>
      </c>
      <c r="C41">
        <f>IF(TRAITEMENTS!$Q41="","",TRAITEMENTS!F41)</f>
        <v/>
      </c>
      <c r="D41">
        <f>IF(TRAITEMENTS!$Q41="","",TRAITEMENTS!G41)</f>
        <v/>
      </c>
      <c r="E41">
        <f>IF(TRAITEMENTS!$Q41="","",TRAITEMENTS!H41)</f>
        <v/>
      </c>
      <c r="F41">
        <f>IF(TRAITEMENTS!$Q41="","",TRAITEMENTS!O41)</f>
        <v/>
      </c>
      <c r="G41">
        <f>IF(A41="",0,SUMIFS(TRAITEMENTS!$O$2:$O$501,TRAITEMENTS!$Q$2:$Q$501,A41,TRAITEMENTS!$E$2:$E$501,B41))</f>
        <v/>
      </c>
      <c r="H41">
        <f>IF(A41="",0,SUMIFS(CONNEXIONS!$C$2:$C$501,CONNEXIONS!$D$2:$D$501,A41,CONNEXIONS!$B$2:$B$501,B41))</f>
        <v/>
      </c>
      <c r="I41">
        <f>IF(G41=0,0,F41/G41*H41)</f>
        <v/>
      </c>
      <c r="J41">
        <f>IF(A41="",0,SUMIFS(AJUSTEMENTS!$F$2:$F$501,AJUSTEMENTS!$A$2:$A$501,A41,AJUSTEMENTS!$B$2:$B$501,B41,AJUSTEMENTS!$C$2:$C$501,C41,AJUSTEMENTS!$D$2:$D$501,D41,AJUSTEMENTS!$E$2:$E$501,E41))</f>
        <v/>
      </c>
      <c r="K41">
        <f>IF(A41="",0,IF(J41&lt;&gt;0,J41,I41))</f>
        <v/>
      </c>
    </row>
    <row r="42">
      <c r="A42">
        <f>IF(TRAITEMENTS!$Q42="","",TRAITEMENTS!Q42)</f>
        <v/>
      </c>
      <c r="B42">
        <f>IF(TRAITEMENTS!$Q42="","",TRAITEMENTS!E42)</f>
        <v/>
      </c>
      <c r="C42">
        <f>IF(TRAITEMENTS!$Q42="","",TRAITEMENTS!F42)</f>
        <v/>
      </c>
      <c r="D42">
        <f>IF(TRAITEMENTS!$Q42="","",TRAITEMENTS!G42)</f>
        <v/>
      </c>
      <c r="E42">
        <f>IF(TRAITEMENTS!$Q42="","",TRAITEMENTS!H42)</f>
        <v/>
      </c>
      <c r="F42">
        <f>IF(TRAITEMENTS!$Q42="","",TRAITEMENTS!O42)</f>
        <v/>
      </c>
      <c r="G42">
        <f>IF(A42="",0,SUMIFS(TRAITEMENTS!$O$2:$O$501,TRAITEMENTS!$Q$2:$Q$501,A42,TRAITEMENTS!$E$2:$E$501,B42))</f>
        <v/>
      </c>
      <c r="H42">
        <f>IF(A42="",0,SUMIFS(CONNEXIONS!$C$2:$C$501,CONNEXIONS!$D$2:$D$501,A42,CONNEXIONS!$B$2:$B$501,B42))</f>
        <v/>
      </c>
      <c r="I42">
        <f>IF(G42=0,0,F42/G42*H42)</f>
        <v/>
      </c>
      <c r="J42">
        <f>IF(A42="",0,SUMIFS(AJUSTEMENTS!$F$2:$F$501,AJUSTEMENTS!$A$2:$A$501,A42,AJUSTEMENTS!$B$2:$B$501,B42,AJUSTEMENTS!$C$2:$C$501,C42,AJUSTEMENTS!$D$2:$D$501,D42,AJUSTEMENTS!$E$2:$E$501,E42))</f>
        <v/>
      </c>
      <c r="K42">
        <f>IF(A42="",0,IF(J42&lt;&gt;0,J42,I42))</f>
        <v/>
      </c>
    </row>
    <row r="43">
      <c r="A43">
        <f>IF(TRAITEMENTS!$Q43="","",TRAITEMENTS!Q43)</f>
        <v/>
      </c>
      <c r="B43">
        <f>IF(TRAITEMENTS!$Q43="","",TRAITEMENTS!E43)</f>
        <v/>
      </c>
      <c r="C43">
        <f>IF(TRAITEMENTS!$Q43="","",TRAITEMENTS!F43)</f>
        <v/>
      </c>
      <c r="D43">
        <f>IF(TRAITEMENTS!$Q43="","",TRAITEMENTS!G43)</f>
        <v/>
      </c>
      <c r="E43">
        <f>IF(TRAITEMENTS!$Q43="","",TRAITEMENTS!H43)</f>
        <v/>
      </c>
      <c r="F43">
        <f>IF(TRAITEMENTS!$Q43="","",TRAITEMENTS!O43)</f>
        <v/>
      </c>
      <c r="G43">
        <f>IF(A43="",0,SUMIFS(TRAITEMENTS!$O$2:$O$501,TRAITEMENTS!$Q$2:$Q$501,A43,TRAITEMENTS!$E$2:$E$501,B43))</f>
        <v/>
      </c>
      <c r="H43">
        <f>IF(A43="",0,SUMIFS(CONNEXIONS!$C$2:$C$501,CONNEXIONS!$D$2:$D$501,A43,CONNEXIONS!$B$2:$B$501,B43))</f>
        <v/>
      </c>
      <c r="I43">
        <f>IF(G43=0,0,F43/G43*H43)</f>
        <v/>
      </c>
      <c r="J43">
        <f>IF(A43="",0,SUMIFS(AJUSTEMENTS!$F$2:$F$501,AJUSTEMENTS!$A$2:$A$501,A43,AJUSTEMENTS!$B$2:$B$501,B43,AJUSTEMENTS!$C$2:$C$501,C43,AJUSTEMENTS!$D$2:$D$501,D43,AJUSTEMENTS!$E$2:$E$501,E43))</f>
        <v/>
      </c>
      <c r="K43">
        <f>IF(A43="",0,IF(J43&lt;&gt;0,J43,I43))</f>
        <v/>
      </c>
    </row>
    <row r="44">
      <c r="A44">
        <f>IF(TRAITEMENTS!$Q44="","",TRAITEMENTS!Q44)</f>
        <v/>
      </c>
      <c r="B44">
        <f>IF(TRAITEMENTS!$Q44="","",TRAITEMENTS!E44)</f>
        <v/>
      </c>
      <c r="C44">
        <f>IF(TRAITEMENTS!$Q44="","",TRAITEMENTS!F44)</f>
        <v/>
      </c>
      <c r="D44">
        <f>IF(TRAITEMENTS!$Q44="","",TRAITEMENTS!G44)</f>
        <v/>
      </c>
      <c r="E44">
        <f>IF(TRAITEMENTS!$Q44="","",TRAITEMENTS!H44)</f>
        <v/>
      </c>
      <c r="F44">
        <f>IF(TRAITEMENTS!$Q44="","",TRAITEMENTS!O44)</f>
        <v/>
      </c>
      <c r="G44">
        <f>IF(A44="",0,SUMIFS(TRAITEMENTS!$O$2:$O$501,TRAITEMENTS!$Q$2:$Q$501,A44,TRAITEMENTS!$E$2:$E$501,B44))</f>
        <v/>
      </c>
      <c r="H44">
        <f>IF(A44="",0,SUMIFS(CONNEXIONS!$C$2:$C$501,CONNEXIONS!$D$2:$D$501,A44,CONNEXIONS!$B$2:$B$501,B44))</f>
        <v/>
      </c>
      <c r="I44">
        <f>IF(G44=0,0,F44/G44*H44)</f>
        <v/>
      </c>
      <c r="J44">
        <f>IF(A44="",0,SUMIFS(AJUSTEMENTS!$F$2:$F$501,AJUSTEMENTS!$A$2:$A$501,A44,AJUSTEMENTS!$B$2:$B$501,B44,AJUSTEMENTS!$C$2:$C$501,C44,AJUSTEMENTS!$D$2:$D$501,D44,AJUSTEMENTS!$E$2:$E$501,E44))</f>
        <v/>
      </c>
      <c r="K44">
        <f>IF(A44="",0,IF(J44&lt;&gt;0,J44,I44))</f>
        <v/>
      </c>
    </row>
    <row r="45">
      <c r="A45">
        <f>IF(TRAITEMENTS!$Q45="","",TRAITEMENTS!Q45)</f>
        <v/>
      </c>
      <c r="B45">
        <f>IF(TRAITEMENTS!$Q45="","",TRAITEMENTS!E45)</f>
        <v/>
      </c>
      <c r="C45">
        <f>IF(TRAITEMENTS!$Q45="","",TRAITEMENTS!F45)</f>
        <v/>
      </c>
      <c r="D45">
        <f>IF(TRAITEMENTS!$Q45="","",TRAITEMENTS!G45)</f>
        <v/>
      </c>
      <c r="E45">
        <f>IF(TRAITEMENTS!$Q45="","",TRAITEMENTS!H45)</f>
        <v/>
      </c>
      <c r="F45">
        <f>IF(TRAITEMENTS!$Q45="","",TRAITEMENTS!O45)</f>
        <v/>
      </c>
      <c r="G45">
        <f>IF(A45="",0,SUMIFS(TRAITEMENTS!$O$2:$O$501,TRAITEMENTS!$Q$2:$Q$501,A45,TRAITEMENTS!$E$2:$E$501,B45))</f>
        <v/>
      </c>
      <c r="H45">
        <f>IF(A45="",0,SUMIFS(CONNEXIONS!$C$2:$C$501,CONNEXIONS!$D$2:$D$501,A45,CONNEXIONS!$B$2:$B$501,B45))</f>
        <v/>
      </c>
      <c r="I45">
        <f>IF(G45=0,0,F45/G45*H45)</f>
        <v/>
      </c>
      <c r="J45">
        <f>IF(A45="",0,SUMIFS(AJUSTEMENTS!$F$2:$F$501,AJUSTEMENTS!$A$2:$A$501,A45,AJUSTEMENTS!$B$2:$B$501,B45,AJUSTEMENTS!$C$2:$C$501,C45,AJUSTEMENTS!$D$2:$D$501,D45,AJUSTEMENTS!$E$2:$E$501,E45))</f>
        <v/>
      </c>
      <c r="K45">
        <f>IF(A45="",0,IF(J45&lt;&gt;0,J45,I45))</f>
        <v/>
      </c>
    </row>
    <row r="46">
      <c r="A46">
        <f>IF(TRAITEMENTS!$Q46="","",TRAITEMENTS!Q46)</f>
        <v/>
      </c>
      <c r="B46">
        <f>IF(TRAITEMENTS!$Q46="","",TRAITEMENTS!E46)</f>
        <v/>
      </c>
      <c r="C46">
        <f>IF(TRAITEMENTS!$Q46="","",TRAITEMENTS!F46)</f>
        <v/>
      </c>
      <c r="D46">
        <f>IF(TRAITEMENTS!$Q46="","",TRAITEMENTS!G46)</f>
        <v/>
      </c>
      <c r="E46">
        <f>IF(TRAITEMENTS!$Q46="","",TRAITEMENTS!H46)</f>
        <v/>
      </c>
      <c r="F46">
        <f>IF(TRAITEMENTS!$Q46="","",TRAITEMENTS!O46)</f>
        <v/>
      </c>
      <c r="G46">
        <f>IF(A46="",0,SUMIFS(TRAITEMENTS!$O$2:$O$501,TRAITEMENTS!$Q$2:$Q$501,A46,TRAITEMENTS!$E$2:$E$501,B46))</f>
        <v/>
      </c>
      <c r="H46">
        <f>IF(A46="",0,SUMIFS(CONNEXIONS!$C$2:$C$501,CONNEXIONS!$D$2:$D$501,A46,CONNEXIONS!$B$2:$B$501,B46))</f>
        <v/>
      </c>
      <c r="I46">
        <f>IF(G46=0,0,F46/G46*H46)</f>
        <v/>
      </c>
      <c r="J46">
        <f>IF(A46="",0,SUMIFS(AJUSTEMENTS!$F$2:$F$501,AJUSTEMENTS!$A$2:$A$501,A46,AJUSTEMENTS!$B$2:$B$501,B46,AJUSTEMENTS!$C$2:$C$501,C46,AJUSTEMENTS!$D$2:$D$501,D46,AJUSTEMENTS!$E$2:$E$501,E46))</f>
        <v/>
      </c>
      <c r="K46">
        <f>IF(A46="",0,IF(J46&lt;&gt;0,J46,I46))</f>
        <v/>
      </c>
    </row>
    <row r="47">
      <c r="A47">
        <f>IF(TRAITEMENTS!$Q47="","",TRAITEMENTS!Q47)</f>
        <v/>
      </c>
      <c r="B47">
        <f>IF(TRAITEMENTS!$Q47="","",TRAITEMENTS!E47)</f>
        <v/>
      </c>
      <c r="C47">
        <f>IF(TRAITEMENTS!$Q47="","",TRAITEMENTS!F47)</f>
        <v/>
      </c>
      <c r="D47">
        <f>IF(TRAITEMENTS!$Q47="","",TRAITEMENTS!G47)</f>
        <v/>
      </c>
      <c r="E47">
        <f>IF(TRAITEMENTS!$Q47="","",TRAITEMENTS!H47)</f>
        <v/>
      </c>
      <c r="F47">
        <f>IF(TRAITEMENTS!$Q47="","",TRAITEMENTS!O47)</f>
        <v/>
      </c>
      <c r="G47">
        <f>IF(A47="",0,SUMIFS(TRAITEMENTS!$O$2:$O$501,TRAITEMENTS!$Q$2:$Q$501,A47,TRAITEMENTS!$E$2:$E$501,B47))</f>
        <v/>
      </c>
      <c r="H47">
        <f>IF(A47="",0,SUMIFS(CONNEXIONS!$C$2:$C$501,CONNEXIONS!$D$2:$D$501,A47,CONNEXIONS!$B$2:$B$501,B47))</f>
        <v/>
      </c>
      <c r="I47">
        <f>IF(G47=0,0,F47/G47*H47)</f>
        <v/>
      </c>
      <c r="J47">
        <f>IF(A47="",0,SUMIFS(AJUSTEMENTS!$F$2:$F$501,AJUSTEMENTS!$A$2:$A$501,A47,AJUSTEMENTS!$B$2:$B$501,B47,AJUSTEMENTS!$C$2:$C$501,C47,AJUSTEMENTS!$D$2:$D$501,D47,AJUSTEMENTS!$E$2:$E$501,E47))</f>
        <v/>
      </c>
      <c r="K47">
        <f>IF(A47="",0,IF(J47&lt;&gt;0,J47,I47))</f>
        <v/>
      </c>
    </row>
    <row r="48">
      <c r="A48">
        <f>IF(TRAITEMENTS!$Q48="","",TRAITEMENTS!Q48)</f>
        <v/>
      </c>
      <c r="B48">
        <f>IF(TRAITEMENTS!$Q48="","",TRAITEMENTS!E48)</f>
        <v/>
      </c>
      <c r="C48">
        <f>IF(TRAITEMENTS!$Q48="","",TRAITEMENTS!F48)</f>
        <v/>
      </c>
      <c r="D48">
        <f>IF(TRAITEMENTS!$Q48="","",TRAITEMENTS!G48)</f>
        <v/>
      </c>
      <c r="E48">
        <f>IF(TRAITEMENTS!$Q48="","",TRAITEMENTS!H48)</f>
        <v/>
      </c>
      <c r="F48">
        <f>IF(TRAITEMENTS!$Q48="","",TRAITEMENTS!O48)</f>
        <v/>
      </c>
      <c r="G48">
        <f>IF(A48="",0,SUMIFS(TRAITEMENTS!$O$2:$O$501,TRAITEMENTS!$Q$2:$Q$501,A48,TRAITEMENTS!$E$2:$E$501,B48))</f>
        <v/>
      </c>
      <c r="H48">
        <f>IF(A48="",0,SUMIFS(CONNEXIONS!$C$2:$C$501,CONNEXIONS!$D$2:$D$501,A48,CONNEXIONS!$B$2:$B$501,B48))</f>
        <v/>
      </c>
      <c r="I48">
        <f>IF(G48=0,0,F48/G48*H48)</f>
        <v/>
      </c>
      <c r="J48">
        <f>IF(A48="",0,SUMIFS(AJUSTEMENTS!$F$2:$F$501,AJUSTEMENTS!$A$2:$A$501,A48,AJUSTEMENTS!$B$2:$B$501,B48,AJUSTEMENTS!$C$2:$C$501,C48,AJUSTEMENTS!$D$2:$D$501,D48,AJUSTEMENTS!$E$2:$E$501,E48))</f>
        <v/>
      </c>
      <c r="K48">
        <f>IF(A48="",0,IF(J48&lt;&gt;0,J48,I48))</f>
        <v/>
      </c>
    </row>
    <row r="49">
      <c r="A49">
        <f>IF(TRAITEMENTS!$Q49="","",TRAITEMENTS!Q49)</f>
        <v/>
      </c>
      <c r="B49">
        <f>IF(TRAITEMENTS!$Q49="","",TRAITEMENTS!E49)</f>
        <v/>
      </c>
      <c r="C49">
        <f>IF(TRAITEMENTS!$Q49="","",TRAITEMENTS!F49)</f>
        <v/>
      </c>
      <c r="D49">
        <f>IF(TRAITEMENTS!$Q49="","",TRAITEMENTS!G49)</f>
        <v/>
      </c>
      <c r="E49">
        <f>IF(TRAITEMENTS!$Q49="","",TRAITEMENTS!H49)</f>
        <v/>
      </c>
      <c r="F49">
        <f>IF(TRAITEMENTS!$Q49="","",TRAITEMENTS!O49)</f>
        <v/>
      </c>
      <c r="G49">
        <f>IF(A49="",0,SUMIFS(TRAITEMENTS!$O$2:$O$501,TRAITEMENTS!$Q$2:$Q$501,A49,TRAITEMENTS!$E$2:$E$501,B49))</f>
        <v/>
      </c>
      <c r="H49">
        <f>IF(A49="",0,SUMIFS(CONNEXIONS!$C$2:$C$501,CONNEXIONS!$D$2:$D$501,A49,CONNEXIONS!$B$2:$B$501,B49))</f>
        <v/>
      </c>
      <c r="I49">
        <f>IF(G49=0,0,F49/G49*H49)</f>
        <v/>
      </c>
      <c r="J49">
        <f>IF(A49="",0,SUMIFS(AJUSTEMENTS!$F$2:$F$501,AJUSTEMENTS!$A$2:$A$501,A49,AJUSTEMENTS!$B$2:$B$501,B49,AJUSTEMENTS!$C$2:$C$501,C49,AJUSTEMENTS!$D$2:$D$501,D49,AJUSTEMENTS!$E$2:$E$501,E49))</f>
        <v/>
      </c>
      <c r="K49">
        <f>IF(A49="",0,IF(J49&lt;&gt;0,J49,I49))</f>
        <v/>
      </c>
    </row>
    <row r="50">
      <c r="A50">
        <f>IF(TRAITEMENTS!$Q50="","",TRAITEMENTS!Q50)</f>
        <v/>
      </c>
      <c r="B50">
        <f>IF(TRAITEMENTS!$Q50="","",TRAITEMENTS!E50)</f>
        <v/>
      </c>
      <c r="C50">
        <f>IF(TRAITEMENTS!$Q50="","",TRAITEMENTS!F50)</f>
        <v/>
      </c>
      <c r="D50">
        <f>IF(TRAITEMENTS!$Q50="","",TRAITEMENTS!G50)</f>
        <v/>
      </c>
      <c r="E50">
        <f>IF(TRAITEMENTS!$Q50="","",TRAITEMENTS!H50)</f>
        <v/>
      </c>
      <c r="F50">
        <f>IF(TRAITEMENTS!$Q50="","",TRAITEMENTS!O50)</f>
        <v/>
      </c>
      <c r="G50">
        <f>IF(A50="",0,SUMIFS(TRAITEMENTS!$O$2:$O$501,TRAITEMENTS!$Q$2:$Q$501,A50,TRAITEMENTS!$E$2:$E$501,B50))</f>
        <v/>
      </c>
      <c r="H50">
        <f>IF(A50="",0,SUMIFS(CONNEXIONS!$C$2:$C$501,CONNEXIONS!$D$2:$D$501,A50,CONNEXIONS!$B$2:$B$501,B50))</f>
        <v/>
      </c>
      <c r="I50">
        <f>IF(G50=0,0,F50/G50*H50)</f>
        <v/>
      </c>
      <c r="J50">
        <f>IF(A50="",0,SUMIFS(AJUSTEMENTS!$F$2:$F$501,AJUSTEMENTS!$A$2:$A$501,A50,AJUSTEMENTS!$B$2:$B$501,B50,AJUSTEMENTS!$C$2:$C$501,C50,AJUSTEMENTS!$D$2:$D$501,D50,AJUSTEMENTS!$E$2:$E$501,E50))</f>
        <v/>
      </c>
      <c r="K50">
        <f>IF(A50="",0,IF(J50&lt;&gt;0,J50,I50))</f>
        <v/>
      </c>
    </row>
    <row r="51">
      <c r="A51">
        <f>IF(TRAITEMENTS!$Q51="","",TRAITEMENTS!Q51)</f>
        <v/>
      </c>
      <c r="B51">
        <f>IF(TRAITEMENTS!$Q51="","",TRAITEMENTS!E51)</f>
        <v/>
      </c>
      <c r="C51">
        <f>IF(TRAITEMENTS!$Q51="","",TRAITEMENTS!F51)</f>
        <v/>
      </c>
      <c r="D51">
        <f>IF(TRAITEMENTS!$Q51="","",TRAITEMENTS!G51)</f>
        <v/>
      </c>
      <c r="E51">
        <f>IF(TRAITEMENTS!$Q51="","",TRAITEMENTS!H51)</f>
        <v/>
      </c>
      <c r="F51">
        <f>IF(TRAITEMENTS!$Q51="","",TRAITEMENTS!O51)</f>
        <v/>
      </c>
      <c r="G51">
        <f>IF(A51="",0,SUMIFS(TRAITEMENTS!$O$2:$O$501,TRAITEMENTS!$Q$2:$Q$501,A51,TRAITEMENTS!$E$2:$E$501,B51))</f>
        <v/>
      </c>
      <c r="H51">
        <f>IF(A51="",0,SUMIFS(CONNEXIONS!$C$2:$C$501,CONNEXIONS!$D$2:$D$501,A51,CONNEXIONS!$B$2:$B$501,B51))</f>
        <v/>
      </c>
      <c r="I51">
        <f>IF(G51=0,0,F51/G51*H51)</f>
        <v/>
      </c>
      <c r="J51">
        <f>IF(A51="",0,SUMIFS(AJUSTEMENTS!$F$2:$F$501,AJUSTEMENTS!$A$2:$A$501,A51,AJUSTEMENTS!$B$2:$B$501,B51,AJUSTEMENTS!$C$2:$C$501,C51,AJUSTEMENTS!$D$2:$D$501,D51,AJUSTEMENTS!$E$2:$E$501,E51))</f>
        <v/>
      </c>
      <c r="K51">
        <f>IF(A51="",0,IF(J51&lt;&gt;0,J51,I51))</f>
        <v/>
      </c>
    </row>
    <row r="52">
      <c r="A52">
        <f>IF(TRAITEMENTS!$Q52="","",TRAITEMENTS!Q52)</f>
        <v/>
      </c>
      <c r="B52">
        <f>IF(TRAITEMENTS!$Q52="","",TRAITEMENTS!E52)</f>
        <v/>
      </c>
      <c r="C52">
        <f>IF(TRAITEMENTS!$Q52="","",TRAITEMENTS!F52)</f>
        <v/>
      </c>
      <c r="D52">
        <f>IF(TRAITEMENTS!$Q52="","",TRAITEMENTS!G52)</f>
        <v/>
      </c>
      <c r="E52">
        <f>IF(TRAITEMENTS!$Q52="","",TRAITEMENTS!H52)</f>
        <v/>
      </c>
      <c r="F52">
        <f>IF(TRAITEMENTS!$Q52="","",TRAITEMENTS!O52)</f>
        <v/>
      </c>
      <c r="G52">
        <f>IF(A52="",0,SUMIFS(TRAITEMENTS!$O$2:$O$501,TRAITEMENTS!$Q$2:$Q$501,A52,TRAITEMENTS!$E$2:$E$501,B52))</f>
        <v/>
      </c>
      <c r="H52">
        <f>IF(A52="",0,SUMIFS(CONNEXIONS!$C$2:$C$501,CONNEXIONS!$D$2:$D$501,A52,CONNEXIONS!$B$2:$B$501,B52))</f>
        <v/>
      </c>
      <c r="I52">
        <f>IF(G52=0,0,F52/G52*H52)</f>
        <v/>
      </c>
      <c r="J52">
        <f>IF(A52="",0,SUMIFS(AJUSTEMENTS!$F$2:$F$501,AJUSTEMENTS!$A$2:$A$501,A52,AJUSTEMENTS!$B$2:$B$501,B52,AJUSTEMENTS!$C$2:$C$501,C52,AJUSTEMENTS!$D$2:$D$501,D52,AJUSTEMENTS!$E$2:$E$501,E52))</f>
        <v/>
      </c>
      <c r="K52">
        <f>IF(A52="",0,IF(J52&lt;&gt;0,J52,I52))</f>
        <v/>
      </c>
    </row>
    <row r="53">
      <c r="A53">
        <f>IF(TRAITEMENTS!$Q53="","",TRAITEMENTS!Q53)</f>
        <v/>
      </c>
      <c r="B53">
        <f>IF(TRAITEMENTS!$Q53="","",TRAITEMENTS!E53)</f>
        <v/>
      </c>
      <c r="C53">
        <f>IF(TRAITEMENTS!$Q53="","",TRAITEMENTS!F53)</f>
        <v/>
      </c>
      <c r="D53">
        <f>IF(TRAITEMENTS!$Q53="","",TRAITEMENTS!G53)</f>
        <v/>
      </c>
      <c r="E53">
        <f>IF(TRAITEMENTS!$Q53="","",TRAITEMENTS!H53)</f>
        <v/>
      </c>
      <c r="F53">
        <f>IF(TRAITEMENTS!$Q53="","",TRAITEMENTS!O53)</f>
        <v/>
      </c>
      <c r="G53">
        <f>IF(A53="",0,SUMIFS(TRAITEMENTS!$O$2:$O$501,TRAITEMENTS!$Q$2:$Q$501,A53,TRAITEMENTS!$E$2:$E$501,B53))</f>
        <v/>
      </c>
      <c r="H53">
        <f>IF(A53="",0,SUMIFS(CONNEXIONS!$C$2:$C$501,CONNEXIONS!$D$2:$D$501,A53,CONNEXIONS!$B$2:$B$501,B53))</f>
        <v/>
      </c>
      <c r="I53">
        <f>IF(G53=0,0,F53/G53*H53)</f>
        <v/>
      </c>
      <c r="J53">
        <f>IF(A53="",0,SUMIFS(AJUSTEMENTS!$F$2:$F$501,AJUSTEMENTS!$A$2:$A$501,A53,AJUSTEMENTS!$B$2:$B$501,B53,AJUSTEMENTS!$C$2:$C$501,C53,AJUSTEMENTS!$D$2:$D$501,D53,AJUSTEMENTS!$E$2:$E$501,E53))</f>
        <v/>
      </c>
      <c r="K53">
        <f>IF(A53="",0,IF(J53&lt;&gt;0,J53,I53))</f>
        <v/>
      </c>
    </row>
    <row r="54">
      <c r="A54">
        <f>IF(TRAITEMENTS!$Q54="","",TRAITEMENTS!Q54)</f>
        <v/>
      </c>
      <c r="B54">
        <f>IF(TRAITEMENTS!$Q54="","",TRAITEMENTS!E54)</f>
        <v/>
      </c>
      <c r="C54">
        <f>IF(TRAITEMENTS!$Q54="","",TRAITEMENTS!F54)</f>
        <v/>
      </c>
      <c r="D54">
        <f>IF(TRAITEMENTS!$Q54="","",TRAITEMENTS!G54)</f>
        <v/>
      </c>
      <c r="E54">
        <f>IF(TRAITEMENTS!$Q54="","",TRAITEMENTS!H54)</f>
        <v/>
      </c>
      <c r="F54">
        <f>IF(TRAITEMENTS!$Q54="","",TRAITEMENTS!O54)</f>
        <v/>
      </c>
      <c r="G54">
        <f>IF(A54="",0,SUMIFS(TRAITEMENTS!$O$2:$O$501,TRAITEMENTS!$Q$2:$Q$501,A54,TRAITEMENTS!$E$2:$E$501,B54))</f>
        <v/>
      </c>
      <c r="H54">
        <f>IF(A54="",0,SUMIFS(CONNEXIONS!$C$2:$C$501,CONNEXIONS!$D$2:$D$501,A54,CONNEXIONS!$B$2:$B$501,B54))</f>
        <v/>
      </c>
      <c r="I54">
        <f>IF(G54=0,0,F54/G54*H54)</f>
        <v/>
      </c>
      <c r="J54">
        <f>IF(A54="",0,SUMIFS(AJUSTEMENTS!$F$2:$F$501,AJUSTEMENTS!$A$2:$A$501,A54,AJUSTEMENTS!$B$2:$B$501,B54,AJUSTEMENTS!$C$2:$C$501,C54,AJUSTEMENTS!$D$2:$D$501,D54,AJUSTEMENTS!$E$2:$E$501,E54))</f>
        <v/>
      </c>
      <c r="K54">
        <f>IF(A54="",0,IF(J54&lt;&gt;0,J54,I54))</f>
        <v/>
      </c>
    </row>
    <row r="55">
      <c r="A55">
        <f>IF(TRAITEMENTS!$Q55="","",TRAITEMENTS!Q55)</f>
        <v/>
      </c>
      <c r="B55">
        <f>IF(TRAITEMENTS!$Q55="","",TRAITEMENTS!E55)</f>
        <v/>
      </c>
      <c r="C55">
        <f>IF(TRAITEMENTS!$Q55="","",TRAITEMENTS!F55)</f>
        <v/>
      </c>
      <c r="D55">
        <f>IF(TRAITEMENTS!$Q55="","",TRAITEMENTS!G55)</f>
        <v/>
      </c>
      <c r="E55">
        <f>IF(TRAITEMENTS!$Q55="","",TRAITEMENTS!H55)</f>
        <v/>
      </c>
      <c r="F55">
        <f>IF(TRAITEMENTS!$Q55="","",TRAITEMENTS!O55)</f>
        <v/>
      </c>
      <c r="G55">
        <f>IF(A55="",0,SUMIFS(TRAITEMENTS!$O$2:$O$501,TRAITEMENTS!$Q$2:$Q$501,A55,TRAITEMENTS!$E$2:$E$501,B55))</f>
        <v/>
      </c>
      <c r="H55">
        <f>IF(A55="",0,SUMIFS(CONNEXIONS!$C$2:$C$501,CONNEXIONS!$D$2:$D$501,A55,CONNEXIONS!$B$2:$B$501,B55))</f>
        <v/>
      </c>
      <c r="I55">
        <f>IF(G55=0,0,F55/G55*H55)</f>
        <v/>
      </c>
      <c r="J55">
        <f>IF(A55="",0,SUMIFS(AJUSTEMENTS!$F$2:$F$501,AJUSTEMENTS!$A$2:$A$501,A55,AJUSTEMENTS!$B$2:$B$501,B55,AJUSTEMENTS!$C$2:$C$501,C55,AJUSTEMENTS!$D$2:$D$501,D55,AJUSTEMENTS!$E$2:$E$501,E55))</f>
        <v/>
      </c>
      <c r="K55">
        <f>IF(A55="",0,IF(J55&lt;&gt;0,J55,I55))</f>
        <v/>
      </c>
    </row>
    <row r="56">
      <c r="A56">
        <f>IF(TRAITEMENTS!$Q56="","",TRAITEMENTS!Q56)</f>
        <v/>
      </c>
      <c r="B56">
        <f>IF(TRAITEMENTS!$Q56="","",TRAITEMENTS!E56)</f>
        <v/>
      </c>
      <c r="C56">
        <f>IF(TRAITEMENTS!$Q56="","",TRAITEMENTS!F56)</f>
        <v/>
      </c>
      <c r="D56">
        <f>IF(TRAITEMENTS!$Q56="","",TRAITEMENTS!G56)</f>
        <v/>
      </c>
      <c r="E56">
        <f>IF(TRAITEMENTS!$Q56="","",TRAITEMENTS!H56)</f>
        <v/>
      </c>
      <c r="F56">
        <f>IF(TRAITEMENTS!$Q56="","",TRAITEMENTS!O56)</f>
        <v/>
      </c>
      <c r="G56">
        <f>IF(A56="",0,SUMIFS(TRAITEMENTS!$O$2:$O$501,TRAITEMENTS!$Q$2:$Q$501,A56,TRAITEMENTS!$E$2:$E$501,B56))</f>
        <v/>
      </c>
      <c r="H56">
        <f>IF(A56="",0,SUMIFS(CONNEXIONS!$C$2:$C$501,CONNEXIONS!$D$2:$D$501,A56,CONNEXIONS!$B$2:$B$501,B56))</f>
        <v/>
      </c>
      <c r="I56">
        <f>IF(G56=0,0,F56/G56*H56)</f>
        <v/>
      </c>
      <c r="J56">
        <f>IF(A56="",0,SUMIFS(AJUSTEMENTS!$F$2:$F$501,AJUSTEMENTS!$A$2:$A$501,A56,AJUSTEMENTS!$B$2:$B$501,B56,AJUSTEMENTS!$C$2:$C$501,C56,AJUSTEMENTS!$D$2:$D$501,D56,AJUSTEMENTS!$E$2:$E$501,E56))</f>
        <v/>
      </c>
      <c r="K56">
        <f>IF(A56="",0,IF(J56&lt;&gt;0,J56,I56))</f>
        <v/>
      </c>
    </row>
    <row r="57">
      <c r="A57">
        <f>IF(TRAITEMENTS!$Q57="","",TRAITEMENTS!Q57)</f>
        <v/>
      </c>
      <c r="B57">
        <f>IF(TRAITEMENTS!$Q57="","",TRAITEMENTS!E57)</f>
        <v/>
      </c>
      <c r="C57">
        <f>IF(TRAITEMENTS!$Q57="","",TRAITEMENTS!F57)</f>
        <v/>
      </c>
      <c r="D57">
        <f>IF(TRAITEMENTS!$Q57="","",TRAITEMENTS!G57)</f>
        <v/>
      </c>
      <c r="E57">
        <f>IF(TRAITEMENTS!$Q57="","",TRAITEMENTS!H57)</f>
        <v/>
      </c>
      <c r="F57">
        <f>IF(TRAITEMENTS!$Q57="","",TRAITEMENTS!O57)</f>
        <v/>
      </c>
      <c r="G57">
        <f>IF(A57="",0,SUMIFS(TRAITEMENTS!$O$2:$O$501,TRAITEMENTS!$Q$2:$Q$501,A57,TRAITEMENTS!$E$2:$E$501,B57))</f>
        <v/>
      </c>
      <c r="H57">
        <f>IF(A57="",0,SUMIFS(CONNEXIONS!$C$2:$C$501,CONNEXIONS!$D$2:$D$501,A57,CONNEXIONS!$B$2:$B$501,B57))</f>
        <v/>
      </c>
      <c r="I57">
        <f>IF(G57=0,0,F57/G57*H57)</f>
        <v/>
      </c>
      <c r="J57">
        <f>IF(A57="",0,SUMIFS(AJUSTEMENTS!$F$2:$F$501,AJUSTEMENTS!$A$2:$A$501,A57,AJUSTEMENTS!$B$2:$B$501,B57,AJUSTEMENTS!$C$2:$C$501,C57,AJUSTEMENTS!$D$2:$D$501,D57,AJUSTEMENTS!$E$2:$E$501,E57))</f>
        <v/>
      </c>
      <c r="K57">
        <f>IF(A57="",0,IF(J57&lt;&gt;0,J57,I57))</f>
        <v/>
      </c>
    </row>
    <row r="58">
      <c r="A58">
        <f>IF(TRAITEMENTS!$Q58="","",TRAITEMENTS!Q58)</f>
        <v/>
      </c>
      <c r="B58">
        <f>IF(TRAITEMENTS!$Q58="","",TRAITEMENTS!E58)</f>
        <v/>
      </c>
      <c r="C58">
        <f>IF(TRAITEMENTS!$Q58="","",TRAITEMENTS!F58)</f>
        <v/>
      </c>
      <c r="D58">
        <f>IF(TRAITEMENTS!$Q58="","",TRAITEMENTS!G58)</f>
        <v/>
      </c>
      <c r="E58">
        <f>IF(TRAITEMENTS!$Q58="","",TRAITEMENTS!H58)</f>
        <v/>
      </c>
      <c r="F58">
        <f>IF(TRAITEMENTS!$Q58="","",TRAITEMENTS!O58)</f>
        <v/>
      </c>
      <c r="G58">
        <f>IF(A58="",0,SUMIFS(TRAITEMENTS!$O$2:$O$501,TRAITEMENTS!$Q$2:$Q$501,A58,TRAITEMENTS!$E$2:$E$501,B58))</f>
        <v/>
      </c>
      <c r="H58">
        <f>IF(A58="",0,SUMIFS(CONNEXIONS!$C$2:$C$501,CONNEXIONS!$D$2:$D$501,A58,CONNEXIONS!$B$2:$B$501,B58))</f>
        <v/>
      </c>
      <c r="I58">
        <f>IF(G58=0,0,F58/G58*H58)</f>
        <v/>
      </c>
      <c r="J58">
        <f>IF(A58="",0,SUMIFS(AJUSTEMENTS!$F$2:$F$501,AJUSTEMENTS!$A$2:$A$501,A58,AJUSTEMENTS!$B$2:$B$501,B58,AJUSTEMENTS!$C$2:$C$501,C58,AJUSTEMENTS!$D$2:$D$501,D58,AJUSTEMENTS!$E$2:$E$501,E58))</f>
        <v/>
      </c>
      <c r="K58">
        <f>IF(A58="",0,IF(J58&lt;&gt;0,J58,I58))</f>
        <v/>
      </c>
    </row>
    <row r="59">
      <c r="A59">
        <f>IF(TRAITEMENTS!$Q59="","",TRAITEMENTS!Q59)</f>
        <v/>
      </c>
      <c r="B59">
        <f>IF(TRAITEMENTS!$Q59="","",TRAITEMENTS!E59)</f>
        <v/>
      </c>
      <c r="C59">
        <f>IF(TRAITEMENTS!$Q59="","",TRAITEMENTS!F59)</f>
        <v/>
      </c>
      <c r="D59">
        <f>IF(TRAITEMENTS!$Q59="","",TRAITEMENTS!G59)</f>
        <v/>
      </c>
      <c r="E59">
        <f>IF(TRAITEMENTS!$Q59="","",TRAITEMENTS!H59)</f>
        <v/>
      </c>
      <c r="F59">
        <f>IF(TRAITEMENTS!$Q59="","",TRAITEMENTS!O59)</f>
        <v/>
      </c>
      <c r="G59">
        <f>IF(A59="",0,SUMIFS(TRAITEMENTS!$O$2:$O$501,TRAITEMENTS!$Q$2:$Q$501,A59,TRAITEMENTS!$E$2:$E$501,B59))</f>
        <v/>
      </c>
      <c r="H59">
        <f>IF(A59="",0,SUMIFS(CONNEXIONS!$C$2:$C$501,CONNEXIONS!$D$2:$D$501,A59,CONNEXIONS!$B$2:$B$501,B59))</f>
        <v/>
      </c>
      <c r="I59">
        <f>IF(G59=0,0,F59/G59*H59)</f>
        <v/>
      </c>
      <c r="J59">
        <f>IF(A59="",0,SUMIFS(AJUSTEMENTS!$F$2:$F$501,AJUSTEMENTS!$A$2:$A$501,A59,AJUSTEMENTS!$B$2:$B$501,B59,AJUSTEMENTS!$C$2:$C$501,C59,AJUSTEMENTS!$D$2:$D$501,D59,AJUSTEMENTS!$E$2:$E$501,E59))</f>
        <v/>
      </c>
      <c r="K59">
        <f>IF(A59="",0,IF(J59&lt;&gt;0,J59,I59))</f>
        <v/>
      </c>
    </row>
    <row r="60">
      <c r="A60">
        <f>IF(TRAITEMENTS!$Q60="","",TRAITEMENTS!Q60)</f>
        <v/>
      </c>
      <c r="B60">
        <f>IF(TRAITEMENTS!$Q60="","",TRAITEMENTS!E60)</f>
        <v/>
      </c>
      <c r="C60">
        <f>IF(TRAITEMENTS!$Q60="","",TRAITEMENTS!F60)</f>
        <v/>
      </c>
      <c r="D60">
        <f>IF(TRAITEMENTS!$Q60="","",TRAITEMENTS!G60)</f>
        <v/>
      </c>
      <c r="E60">
        <f>IF(TRAITEMENTS!$Q60="","",TRAITEMENTS!H60)</f>
        <v/>
      </c>
      <c r="F60">
        <f>IF(TRAITEMENTS!$Q60="","",TRAITEMENTS!O60)</f>
        <v/>
      </c>
      <c r="G60">
        <f>IF(A60="",0,SUMIFS(TRAITEMENTS!$O$2:$O$501,TRAITEMENTS!$Q$2:$Q$501,A60,TRAITEMENTS!$E$2:$E$501,B60))</f>
        <v/>
      </c>
      <c r="H60">
        <f>IF(A60="",0,SUMIFS(CONNEXIONS!$C$2:$C$501,CONNEXIONS!$D$2:$D$501,A60,CONNEXIONS!$B$2:$B$501,B60))</f>
        <v/>
      </c>
      <c r="I60">
        <f>IF(G60=0,0,F60/G60*H60)</f>
        <v/>
      </c>
      <c r="J60">
        <f>IF(A60="",0,SUMIFS(AJUSTEMENTS!$F$2:$F$501,AJUSTEMENTS!$A$2:$A$501,A60,AJUSTEMENTS!$B$2:$B$501,B60,AJUSTEMENTS!$C$2:$C$501,C60,AJUSTEMENTS!$D$2:$D$501,D60,AJUSTEMENTS!$E$2:$E$501,E60))</f>
        <v/>
      </c>
      <c r="K60">
        <f>IF(A60="",0,IF(J60&lt;&gt;0,J60,I60))</f>
        <v/>
      </c>
    </row>
    <row r="61">
      <c r="A61">
        <f>IF(TRAITEMENTS!$Q61="","",TRAITEMENTS!Q61)</f>
        <v/>
      </c>
      <c r="B61">
        <f>IF(TRAITEMENTS!$Q61="","",TRAITEMENTS!E61)</f>
        <v/>
      </c>
      <c r="C61">
        <f>IF(TRAITEMENTS!$Q61="","",TRAITEMENTS!F61)</f>
        <v/>
      </c>
      <c r="D61">
        <f>IF(TRAITEMENTS!$Q61="","",TRAITEMENTS!G61)</f>
        <v/>
      </c>
      <c r="E61">
        <f>IF(TRAITEMENTS!$Q61="","",TRAITEMENTS!H61)</f>
        <v/>
      </c>
      <c r="F61">
        <f>IF(TRAITEMENTS!$Q61="","",TRAITEMENTS!O61)</f>
        <v/>
      </c>
      <c r="G61">
        <f>IF(A61="",0,SUMIFS(TRAITEMENTS!$O$2:$O$501,TRAITEMENTS!$Q$2:$Q$501,A61,TRAITEMENTS!$E$2:$E$501,B61))</f>
        <v/>
      </c>
      <c r="H61">
        <f>IF(A61="",0,SUMIFS(CONNEXIONS!$C$2:$C$501,CONNEXIONS!$D$2:$D$501,A61,CONNEXIONS!$B$2:$B$501,B61))</f>
        <v/>
      </c>
      <c r="I61">
        <f>IF(G61=0,0,F61/G61*H61)</f>
        <v/>
      </c>
      <c r="J61">
        <f>IF(A61="",0,SUMIFS(AJUSTEMENTS!$F$2:$F$501,AJUSTEMENTS!$A$2:$A$501,A61,AJUSTEMENTS!$B$2:$B$501,B61,AJUSTEMENTS!$C$2:$C$501,C61,AJUSTEMENTS!$D$2:$D$501,D61,AJUSTEMENTS!$E$2:$E$501,E61))</f>
        <v/>
      </c>
      <c r="K61">
        <f>IF(A61="",0,IF(J61&lt;&gt;0,J61,I61))</f>
        <v/>
      </c>
    </row>
    <row r="62">
      <c r="A62">
        <f>IF(TRAITEMENTS!$Q62="","",TRAITEMENTS!Q62)</f>
        <v/>
      </c>
      <c r="B62">
        <f>IF(TRAITEMENTS!$Q62="","",TRAITEMENTS!E62)</f>
        <v/>
      </c>
      <c r="C62">
        <f>IF(TRAITEMENTS!$Q62="","",TRAITEMENTS!F62)</f>
        <v/>
      </c>
      <c r="D62">
        <f>IF(TRAITEMENTS!$Q62="","",TRAITEMENTS!G62)</f>
        <v/>
      </c>
      <c r="E62">
        <f>IF(TRAITEMENTS!$Q62="","",TRAITEMENTS!H62)</f>
        <v/>
      </c>
      <c r="F62">
        <f>IF(TRAITEMENTS!$Q62="","",TRAITEMENTS!O62)</f>
        <v/>
      </c>
      <c r="G62">
        <f>IF(A62="",0,SUMIFS(TRAITEMENTS!$O$2:$O$501,TRAITEMENTS!$Q$2:$Q$501,A62,TRAITEMENTS!$E$2:$E$501,B62))</f>
        <v/>
      </c>
      <c r="H62">
        <f>IF(A62="",0,SUMIFS(CONNEXIONS!$C$2:$C$501,CONNEXIONS!$D$2:$D$501,A62,CONNEXIONS!$B$2:$B$501,B62))</f>
        <v/>
      </c>
      <c r="I62">
        <f>IF(G62=0,0,F62/G62*H62)</f>
        <v/>
      </c>
      <c r="J62">
        <f>IF(A62="",0,SUMIFS(AJUSTEMENTS!$F$2:$F$501,AJUSTEMENTS!$A$2:$A$501,A62,AJUSTEMENTS!$B$2:$B$501,B62,AJUSTEMENTS!$C$2:$C$501,C62,AJUSTEMENTS!$D$2:$D$501,D62,AJUSTEMENTS!$E$2:$E$501,E62))</f>
        <v/>
      </c>
      <c r="K62">
        <f>IF(A62="",0,IF(J62&lt;&gt;0,J62,I62))</f>
        <v/>
      </c>
    </row>
    <row r="63">
      <c r="A63">
        <f>IF(TRAITEMENTS!$Q63="","",TRAITEMENTS!Q63)</f>
        <v/>
      </c>
      <c r="B63">
        <f>IF(TRAITEMENTS!$Q63="","",TRAITEMENTS!E63)</f>
        <v/>
      </c>
      <c r="C63">
        <f>IF(TRAITEMENTS!$Q63="","",TRAITEMENTS!F63)</f>
        <v/>
      </c>
      <c r="D63">
        <f>IF(TRAITEMENTS!$Q63="","",TRAITEMENTS!G63)</f>
        <v/>
      </c>
      <c r="E63">
        <f>IF(TRAITEMENTS!$Q63="","",TRAITEMENTS!H63)</f>
        <v/>
      </c>
      <c r="F63">
        <f>IF(TRAITEMENTS!$Q63="","",TRAITEMENTS!O63)</f>
        <v/>
      </c>
      <c r="G63">
        <f>IF(A63="",0,SUMIFS(TRAITEMENTS!$O$2:$O$501,TRAITEMENTS!$Q$2:$Q$501,A63,TRAITEMENTS!$E$2:$E$501,B63))</f>
        <v/>
      </c>
      <c r="H63">
        <f>IF(A63="",0,SUMIFS(CONNEXIONS!$C$2:$C$501,CONNEXIONS!$D$2:$D$501,A63,CONNEXIONS!$B$2:$B$501,B63))</f>
        <v/>
      </c>
      <c r="I63">
        <f>IF(G63=0,0,F63/G63*H63)</f>
        <v/>
      </c>
      <c r="J63">
        <f>IF(A63="",0,SUMIFS(AJUSTEMENTS!$F$2:$F$501,AJUSTEMENTS!$A$2:$A$501,A63,AJUSTEMENTS!$B$2:$B$501,B63,AJUSTEMENTS!$C$2:$C$501,C63,AJUSTEMENTS!$D$2:$D$501,D63,AJUSTEMENTS!$E$2:$E$501,E63))</f>
        <v/>
      </c>
      <c r="K63">
        <f>IF(A63="",0,IF(J63&lt;&gt;0,J63,I63))</f>
        <v/>
      </c>
    </row>
    <row r="64">
      <c r="A64">
        <f>IF(TRAITEMENTS!$Q64="","",TRAITEMENTS!Q64)</f>
        <v/>
      </c>
      <c r="B64">
        <f>IF(TRAITEMENTS!$Q64="","",TRAITEMENTS!E64)</f>
        <v/>
      </c>
      <c r="C64">
        <f>IF(TRAITEMENTS!$Q64="","",TRAITEMENTS!F64)</f>
        <v/>
      </c>
      <c r="D64">
        <f>IF(TRAITEMENTS!$Q64="","",TRAITEMENTS!G64)</f>
        <v/>
      </c>
      <c r="E64">
        <f>IF(TRAITEMENTS!$Q64="","",TRAITEMENTS!H64)</f>
        <v/>
      </c>
      <c r="F64">
        <f>IF(TRAITEMENTS!$Q64="","",TRAITEMENTS!O64)</f>
        <v/>
      </c>
      <c r="G64">
        <f>IF(A64="",0,SUMIFS(TRAITEMENTS!$O$2:$O$501,TRAITEMENTS!$Q$2:$Q$501,A64,TRAITEMENTS!$E$2:$E$501,B64))</f>
        <v/>
      </c>
      <c r="H64">
        <f>IF(A64="",0,SUMIFS(CONNEXIONS!$C$2:$C$501,CONNEXIONS!$D$2:$D$501,A64,CONNEXIONS!$B$2:$B$501,B64))</f>
        <v/>
      </c>
      <c r="I64">
        <f>IF(G64=0,0,F64/G64*H64)</f>
        <v/>
      </c>
      <c r="J64">
        <f>IF(A64="",0,SUMIFS(AJUSTEMENTS!$F$2:$F$501,AJUSTEMENTS!$A$2:$A$501,A64,AJUSTEMENTS!$B$2:$B$501,B64,AJUSTEMENTS!$C$2:$C$501,C64,AJUSTEMENTS!$D$2:$D$501,D64,AJUSTEMENTS!$E$2:$E$501,E64))</f>
        <v/>
      </c>
      <c r="K64">
        <f>IF(A64="",0,IF(J64&lt;&gt;0,J64,I64))</f>
        <v/>
      </c>
    </row>
    <row r="65">
      <c r="A65">
        <f>IF(TRAITEMENTS!$Q65="","",TRAITEMENTS!Q65)</f>
        <v/>
      </c>
      <c r="B65">
        <f>IF(TRAITEMENTS!$Q65="","",TRAITEMENTS!E65)</f>
        <v/>
      </c>
      <c r="C65">
        <f>IF(TRAITEMENTS!$Q65="","",TRAITEMENTS!F65)</f>
        <v/>
      </c>
      <c r="D65">
        <f>IF(TRAITEMENTS!$Q65="","",TRAITEMENTS!G65)</f>
        <v/>
      </c>
      <c r="E65">
        <f>IF(TRAITEMENTS!$Q65="","",TRAITEMENTS!H65)</f>
        <v/>
      </c>
      <c r="F65">
        <f>IF(TRAITEMENTS!$Q65="","",TRAITEMENTS!O65)</f>
        <v/>
      </c>
      <c r="G65">
        <f>IF(A65="",0,SUMIFS(TRAITEMENTS!$O$2:$O$501,TRAITEMENTS!$Q$2:$Q$501,A65,TRAITEMENTS!$E$2:$E$501,B65))</f>
        <v/>
      </c>
      <c r="H65">
        <f>IF(A65="",0,SUMIFS(CONNEXIONS!$C$2:$C$501,CONNEXIONS!$D$2:$D$501,A65,CONNEXIONS!$B$2:$B$501,B65))</f>
        <v/>
      </c>
      <c r="I65">
        <f>IF(G65=0,0,F65/G65*H65)</f>
        <v/>
      </c>
      <c r="J65">
        <f>IF(A65="",0,SUMIFS(AJUSTEMENTS!$F$2:$F$501,AJUSTEMENTS!$A$2:$A$501,A65,AJUSTEMENTS!$B$2:$B$501,B65,AJUSTEMENTS!$C$2:$C$501,C65,AJUSTEMENTS!$D$2:$D$501,D65,AJUSTEMENTS!$E$2:$E$501,E65))</f>
        <v/>
      </c>
      <c r="K65">
        <f>IF(A65="",0,IF(J65&lt;&gt;0,J65,I65))</f>
        <v/>
      </c>
    </row>
    <row r="66">
      <c r="A66">
        <f>IF(TRAITEMENTS!$Q66="","",TRAITEMENTS!Q66)</f>
        <v/>
      </c>
      <c r="B66">
        <f>IF(TRAITEMENTS!$Q66="","",TRAITEMENTS!E66)</f>
        <v/>
      </c>
      <c r="C66">
        <f>IF(TRAITEMENTS!$Q66="","",TRAITEMENTS!F66)</f>
        <v/>
      </c>
      <c r="D66">
        <f>IF(TRAITEMENTS!$Q66="","",TRAITEMENTS!G66)</f>
        <v/>
      </c>
      <c r="E66">
        <f>IF(TRAITEMENTS!$Q66="","",TRAITEMENTS!H66)</f>
        <v/>
      </c>
      <c r="F66">
        <f>IF(TRAITEMENTS!$Q66="","",TRAITEMENTS!O66)</f>
        <v/>
      </c>
      <c r="G66">
        <f>IF(A66="",0,SUMIFS(TRAITEMENTS!$O$2:$O$501,TRAITEMENTS!$Q$2:$Q$501,A66,TRAITEMENTS!$E$2:$E$501,B66))</f>
        <v/>
      </c>
      <c r="H66">
        <f>IF(A66="",0,SUMIFS(CONNEXIONS!$C$2:$C$501,CONNEXIONS!$D$2:$D$501,A66,CONNEXIONS!$B$2:$B$501,B66))</f>
        <v/>
      </c>
      <c r="I66">
        <f>IF(G66=0,0,F66/G66*H66)</f>
        <v/>
      </c>
      <c r="J66">
        <f>IF(A66="",0,SUMIFS(AJUSTEMENTS!$F$2:$F$501,AJUSTEMENTS!$A$2:$A$501,A66,AJUSTEMENTS!$B$2:$B$501,B66,AJUSTEMENTS!$C$2:$C$501,C66,AJUSTEMENTS!$D$2:$D$501,D66,AJUSTEMENTS!$E$2:$E$501,E66))</f>
        <v/>
      </c>
      <c r="K66">
        <f>IF(A66="",0,IF(J66&lt;&gt;0,J66,I66))</f>
        <v/>
      </c>
    </row>
    <row r="67">
      <c r="A67">
        <f>IF(TRAITEMENTS!$Q67="","",TRAITEMENTS!Q67)</f>
        <v/>
      </c>
      <c r="B67">
        <f>IF(TRAITEMENTS!$Q67="","",TRAITEMENTS!E67)</f>
        <v/>
      </c>
      <c r="C67">
        <f>IF(TRAITEMENTS!$Q67="","",TRAITEMENTS!F67)</f>
        <v/>
      </c>
      <c r="D67">
        <f>IF(TRAITEMENTS!$Q67="","",TRAITEMENTS!G67)</f>
        <v/>
      </c>
      <c r="E67">
        <f>IF(TRAITEMENTS!$Q67="","",TRAITEMENTS!H67)</f>
        <v/>
      </c>
      <c r="F67">
        <f>IF(TRAITEMENTS!$Q67="","",TRAITEMENTS!O67)</f>
        <v/>
      </c>
      <c r="G67">
        <f>IF(A67="",0,SUMIFS(TRAITEMENTS!$O$2:$O$501,TRAITEMENTS!$Q$2:$Q$501,A67,TRAITEMENTS!$E$2:$E$501,B67))</f>
        <v/>
      </c>
      <c r="H67">
        <f>IF(A67="",0,SUMIFS(CONNEXIONS!$C$2:$C$501,CONNEXIONS!$D$2:$D$501,A67,CONNEXIONS!$B$2:$B$501,B67))</f>
        <v/>
      </c>
      <c r="I67">
        <f>IF(G67=0,0,F67/G67*H67)</f>
        <v/>
      </c>
      <c r="J67">
        <f>IF(A67="",0,SUMIFS(AJUSTEMENTS!$F$2:$F$501,AJUSTEMENTS!$A$2:$A$501,A67,AJUSTEMENTS!$B$2:$B$501,B67,AJUSTEMENTS!$C$2:$C$501,C67,AJUSTEMENTS!$D$2:$D$501,D67,AJUSTEMENTS!$E$2:$E$501,E67))</f>
        <v/>
      </c>
      <c r="K67">
        <f>IF(A67="",0,IF(J67&lt;&gt;0,J67,I67))</f>
        <v/>
      </c>
    </row>
    <row r="68">
      <c r="A68">
        <f>IF(TRAITEMENTS!$Q68="","",TRAITEMENTS!Q68)</f>
        <v/>
      </c>
      <c r="B68">
        <f>IF(TRAITEMENTS!$Q68="","",TRAITEMENTS!E68)</f>
        <v/>
      </c>
      <c r="C68">
        <f>IF(TRAITEMENTS!$Q68="","",TRAITEMENTS!F68)</f>
        <v/>
      </c>
      <c r="D68">
        <f>IF(TRAITEMENTS!$Q68="","",TRAITEMENTS!G68)</f>
        <v/>
      </c>
      <c r="E68">
        <f>IF(TRAITEMENTS!$Q68="","",TRAITEMENTS!H68)</f>
        <v/>
      </c>
      <c r="F68">
        <f>IF(TRAITEMENTS!$Q68="","",TRAITEMENTS!O68)</f>
        <v/>
      </c>
      <c r="G68">
        <f>IF(A68="",0,SUMIFS(TRAITEMENTS!$O$2:$O$501,TRAITEMENTS!$Q$2:$Q$501,A68,TRAITEMENTS!$E$2:$E$501,B68))</f>
        <v/>
      </c>
      <c r="H68">
        <f>IF(A68="",0,SUMIFS(CONNEXIONS!$C$2:$C$501,CONNEXIONS!$D$2:$D$501,A68,CONNEXIONS!$B$2:$B$501,B68))</f>
        <v/>
      </c>
      <c r="I68">
        <f>IF(G68=0,0,F68/G68*H68)</f>
        <v/>
      </c>
      <c r="J68">
        <f>IF(A68="",0,SUMIFS(AJUSTEMENTS!$F$2:$F$501,AJUSTEMENTS!$A$2:$A$501,A68,AJUSTEMENTS!$B$2:$B$501,B68,AJUSTEMENTS!$C$2:$C$501,C68,AJUSTEMENTS!$D$2:$D$501,D68,AJUSTEMENTS!$E$2:$E$501,E68))</f>
        <v/>
      </c>
      <c r="K68">
        <f>IF(A68="",0,IF(J68&lt;&gt;0,J68,I68))</f>
        <v/>
      </c>
    </row>
    <row r="69">
      <c r="A69">
        <f>IF(TRAITEMENTS!$Q69="","",TRAITEMENTS!Q69)</f>
        <v/>
      </c>
      <c r="B69">
        <f>IF(TRAITEMENTS!$Q69="","",TRAITEMENTS!E69)</f>
        <v/>
      </c>
      <c r="C69">
        <f>IF(TRAITEMENTS!$Q69="","",TRAITEMENTS!F69)</f>
        <v/>
      </c>
      <c r="D69">
        <f>IF(TRAITEMENTS!$Q69="","",TRAITEMENTS!G69)</f>
        <v/>
      </c>
      <c r="E69">
        <f>IF(TRAITEMENTS!$Q69="","",TRAITEMENTS!H69)</f>
        <v/>
      </c>
      <c r="F69">
        <f>IF(TRAITEMENTS!$Q69="","",TRAITEMENTS!O69)</f>
        <v/>
      </c>
      <c r="G69">
        <f>IF(A69="",0,SUMIFS(TRAITEMENTS!$O$2:$O$501,TRAITEMENTS!$Q$2:$Q$501,A69,TRAITEMENTS!$E$2:$E$501,B69))</f>
        <v/>
      </c>
      <c r="H69">
        <f>IF(A69="",0,SUMIFS(CONNEXIONS!$C$2:$C$501,CONNEXIONS!$D$2:$D$501,A69,CONNEXIONS!$B$2:$B$501,B69))</f>
        <v/>
      </c>
      <c r="I69">
        <f>IF(G69=0,0,F69/G69*H69)</f>
        <v/>
      </c>
      <c r="J69">
        <f>IF(A69="",0,SUMIFS(AJUSTEMENTS!$F$2:$F$501,AJUSTEMENTS!$A$2:$A$501,A69,AJUSTEMENTS!$B$2:$B$501,B69,AJUSTEMENTS!$C$2:$C$501,C69,AJUSTEMENTS!$D$2:$D$501,D69,AJUSTEMENTS!$E$2:$E$501,E69))</f>
        <v/>
      </c>
      <c r="K69">
        <f>IF(A69="",0,IF(J69&lt;&gt;0,J69,I69))</f>
        <v/>
      </c>
    </row>
    <row r="70">
      <c r="A70">
        <f>IF(TRAITEMENTS!$Q70="","",TRAITEMENTS!Q70)</f>
        <v/>
      </c>
      <c r="B70">
        <f>IF(TRAITEMENTS!$Q70="","",TRAITEMENTS!E70)</f>
        <v/>
      </c>
      <c r="C70">
        <f>IF(TRAITEMENTS!$Q70="","",TRAITEMENTS!F70)</f>
        <v/>
      </c>
      <c r="D70">
        <f>IF(TRAITEMENTS!$Q70="","",TRAITEMENTS!G70)</f>
        <v/>
      </c>
      <c r="E70">
        <f>IF(TRAITEMENTS!$Q70="","",TRAITEMENTS!H70)</f>
        <v/>
      </c>
      <c r="F70">
        <f>IF(TRAITEMENTS!$Q70="","",TRAITEMENTS!O70)</f>
        <v/>
      </c>
      <c r="G70">
        <f>IF(A70="",0,SUMIFS(TRAITEMENTS!$O$2:$O$501,TRAITEMENTS!$Q$2:$Q$501,A70,TRAITEMENTS!$E$2:$E$501,B70))</f>
        <v/>
      </c>
      <c r="H70">
        <f>IF(A70="",0,SUMIFS(CONNEXIONS!$C$2:$C$501,CONNEXIONS!$D$2:$D$501,A70,CONNEXIONS!$B$2:$B$501,B70))</f>
        <v/>
      </c>
      <c r="I70">
        <f>IF(G70=0,0,F70/G70*H70)</f>
        <v/>
      </c>
      <c r="J70">
        <f>IF(A70="",0,SUMIFS(AJUSTEMENTS!$F$2:$F$501,AJUSTEMENTS!$A$2:$A$501,A70,AJUSTEMENTS!$B$2:$B$501,B70,AJUSTEMENTS!$C$2:$C$501,C70,AJUSTEMENTS!$D$2:$D$501,D70,AJUSTEMENTS!$E$2:$E$501,E70))</f>
        <v/>
      </c>
      <c r="K70">
        <f>IF(A70="",0,IF(J70&lt;&gt;0,J70,I70))</f>
        <v/>
      </c>
    </row>
    <row r="71">
      <c r="A71">
        <f>IF(TRAITEMENTS!$Q71="","",TRAITEMENTS!Q71)</f>
        <v/>
      </c>
      <c r="B71">
        <f>IF(TRAITEMENTS!$Q71="","",TRAITEMENTS!E71)</f>
        <v/>
      </c>
      <c r="C71">
        <f>IF(TRAITEMENTS!$Q71="","",TRAITEMENTS!F71)</f>
        <v/>
      </c>
      <c r="D71">
        <f>IF(TRAITEMENTS!$Q71="","",TRAITEMENTS!G71)</f>
        <v/>
      </c>
      <c r="E71">
        <f>IF(TRAITEMENTS!$Q71="","",TRAITEMENTS!H71)</f>
        <v/>
      </c>
      <c r="F71">
        <f>IF(TRAITEMENTS!$Q71="","",TRAITEMENTS!O71)</f>
        <v/>
      </c>
      <c r="G71">
        <f>IF(A71="",0,SUMIFS(TRAITEMENTS!$O$2:$O$501,TRAITEMENTS!$Q$2:$Q$501,A71,TRAITEMENTS!$E$2:$E$501,B71))</f>
        <v/>
      </c>
      <c r="H71">
        <f>IF(A71="",0,SUMIFS(CONNEXIONS!$C$2:$C$501,CONNEXIONS!$D$2:$D$501,A71,CONNEXIONS!$B$2:$B$501,B71))</f>
        <v/>
      </c>
      <c r="I71">
        <f>IF(G71=0,0,F71/G71*H71)</f>
        <v/>
      </c>
      <c r="J71">
        <f>IF(A71="",0,SUMIFS(AJUSTEMENTS!$F$2:$F$501,AJUSTEMENTS!$A$2:$A$501,A71,AJUSTEMENTS!$B$2:$B$501,B71,AJUSTEMENTS!$C$2:$C$501,C71,AJUSTEMENTS!$D$2:$D$501,D71,AJUSTEMENTS!$E$2:$E$501,E71))</f>
        <v/>
      </c>
      <c r="K71">
        <f>IF(A71="",0,IF(J71&lt;&gt;0,J71,I71))</f>
        <v/>
      </c>
    </row>
    <row r="72">
      <c r="A72">
        <f>IF(TRAITEMENTS!$Q72="","",TRAITEMENTS!Q72)</f>
        <v/>
      </c>
      <c r="B72">
        <f>IF(TRAITEMENTS!$Q72="","",TRAITEMENTS!E72)</f>
        <v/>
      </c>
      <c r="C72">
        <f>IF(TRAITEMENTS!$Q72="","",TRAITEMENTS!F72)</f>
        <v/>
      </c>
      <c r="D72">
        <f>IF(TRAITEMENTS!$Q72="","",TRAITEMENTS!G72)</f>
        <v/>
      </c>
      <c r="E72">
        <f>IF(TRAITEMENTS!$Q72="","",TRAITEMENTS!H72)</f>
        <v/>
      </c>
      <c r="F72">
        <f>IF(TRAITEMENTS!$Q72="","",TRAITEMENTS!O72)</f>
        <v/>
      </c>
      <c r="G72">
        <f>IF(A72="",0,SUMIFS(TRAITEMENTS!$O$2:$O$501,TRAITEMENTS!$Q$2:$Q$501,A72,TRAITEMENTS!$E$2:$E$501,B72))</f>
        <v/>
      </c>
      <c r="H72">
        <f>IF(A72="",0,SUMIFS(CONNEXIONS!$C$2:$C$501,CONNEXIONS!$D$2:$D$501,A72,CONNEXIONS!$B$2:$B$501,B72))</f>
        <v/>
      </c>
      <c r="I72">
        <f>IF(G72=0,0,F72/G72*H72)</f>
        <v/>
      </c>
      <c r="J72">
        <f>IF(A72="",0,SUMIFS(AJUSTEMENTS!$F$2:$F$501,AJUSTEMENTS!$A$2:$A$501,A72,AJUSTEMENTS!$B$2:$B$501,B72,AJUSTEMENTS!$C$2:$C$501,C72,AJUSTEMENTS!$D$2:$D$501,D72,AJUSTEMENTS!$E$2:$E$501,E72))</f>
        <v/>
      </c>
      <c r="K72">
        <f>IF(A72="",0,IF(J72&lt;&gt;0,J72,I72))</f>
        <v/>
      </c>
    </row>
    <row r="73">
      <c r="A73">
        <f>IF(TRAITEMENTS!$Q73="","",TRAITEMENTS!Q73)</f>
        <v/>
      </c>
      <c r="B73">
        <f>IF(TRAITEMENTS!$Q73="","",TRAITEMENTS!E73)</f>
        <v/>
      </c>
      <c r="C73">
        <f>IF(TRAITEMENTS!$Q73="","",TRAITEMENTS!F73)</f>
        <v/>
      </c>
      <c r="D73">
        <f>IF(TRAITEMENTS!$Q73="","",TRAITEMENTS!G73)</f>
        <v/>
      </c>
      <c r="E73">
        <f>IF(TRAITEMENTS!$Q73="","",TRAITEMENTS!H73)</f>
        <v/>
      </c>
      <c r="F73">
        <f>IF(TRAITEMENTS!$Q73="","",TRAITEMENTS!O73)</f>
        <v/>
      </c>
      <c r="G73">
        <f>IF(A73="",0,SUMIFS(TRAITEMENTS!$O$2:$O$501,TRAITEMENTS!$Q$2:$Q$501,A73,TRAITEMENTS!$E$2:$E$501,B73))</f>
        <v/>
      </c>
      <c r="H73">
        <f>IF(A73="",0,SUMIFS(CONNEXIONS!$C$2:$C$501,CONNEXIONS!$D$2:$D$501,A73,CONNEXIONS!$B$2:$B$501,B73))</f>
        <v/>
      </c>
      <c r="I73">
        <f>IF(G73=0,0,F73/G73*H73)</f>
        <v/>
      </c>
      <c r="J73">
        <f>IF(A73="",0,SUMIFS(AJUSTEMENTS!$F$2:$F$501,AJUSTEMENTS!$A$2:$A$501,A73,AJUSTEMENTS!$B$2:$B$501,B73,AJUSTEMENTS!$C$2:$C$501,C73,AJUSTEMENTS!$D$2:$D$501,D73,AJUSTEMENTS!$E$2:$E$501,E73))</f>
        <v/>
      </c>
      <c r="K73">
        <f>IF(A73="",0,IF(J73&lt;&gt;0,J73,I73))</f>
        <v/>
      </c>
    </row>
    <row r="74">
      <c r="A74">
        <f>IF(TRAITEMENTS!$Q74="","",TRAITEMENTS!Q74)</f>
        <v/>
      </c>
      <c r="B74">
        <f>IF(TRAITEMENTS!$Q74="","",TRAITEMENTS!E74)</f>
        <v/>
      </c>
      <c r="C74">
        <f>IF(TRAITEMENTS!$Q74="","",TRAITEMENTS!F74)</f>
        <v/>
      </c>
      <c r="D74">
        <f>IF(TRAITEMENTS!$Q74="","",TRAITEMENTS!G74)</f>
        <v/>
      </c>
      <c r="E74">
        <f>IF(TRAITEMENTS!$Q74="","",TRAITEMENTS!H74)</f>
        <v/>
      </c>
      <c r="F74">
        <f>IF(TRAITEMENTS!$Q74="","",TRAITEMENTS!O74)</f>
        <v/>
      </c>
      <c r="G74">
        <f>IF(A74="",0,SUMIFS(TRAITEMENTS!$O$2:$O$501,TRAITEMENTS!$Q$2:$Q$501,A74,TRAITEMENTS!$E$2:$E$501,B74))</f>
        <v/>
      </c>
      <c r="H74">
        <f>IF(A74="",0,SUMIFS(CONNEXIONS!$C$2:$C$501,CONNEXIONS!$D$2:$D$501,A74,CONNEXIONS!$B$2:$B$501,B74))</f>
        <v/>
      </c>
      <c r="I74">
        <f>IF(G74=0,0,F74/G74*H74)</f>
        <v/>
      </c>
      <c r="J74">
        <f>IF(A74="",0,SUMIFS(AJUSTEMENTS!$F$2:$F$501,AJUSTEMENTS!$A$2:$A$501,A74,AJUSTEMENTS!$B$2:$B$501,B74,AJUSTEMENTS!$C$2:$C$501,C74,AJUSTEMENTS!$D$2:$D$501,D74,AJUSTEMENTS!$E$2:$E$501,E74))</f>
        <v/>
      </c>
      <c r="K74">
        <f>IF(A74="",0,IF(J74&lt;&gt;0,J74,I74))</f>
        <v/>
      </c>
    </row>
    <row r="75">
      <c r="A75">
        <f>IF(TRAITEMENTS!$Q75="","",TRAITEMENTS!Q75)</f>
        <v/>
      </c>
      <c r="B75">
        <f>IF(TRAITEMENTS!$Q75="","",TRAITEMENTS!E75)</f>
        <v/>
      </c>
      <c r="C75">
        <f>IF(TRAITEMENTS!$Q75="","",TRAITEMENTS!F75)</f>
        <v/>
      </c>
      <c r="D75">
        <f>IF(TRAITEMENTS!$Q75="","",TRAITEMENTS!G75)</f>
        <v/>
      </c>
      <c r="E75">
        <f>IF(TRAITEMENTS!$Q75="","",TRAITEMENTS!H75)</f>
        <v/>
      </c>
      <c r="F75">
        <f>IF(TRAITEMENTS!$Q75="","",TRAITEMENTS!O75)</f>
        <v/>
      </c>
      <c r="G75">
        <f>IF(A75="",0,SUMIFS(TRAITEMENTS!$O$2:$O$501,TRAITEMENTS!$Q$2:$Q$501,A75,TRAITEMENTS!$E$2:$E$501,B75))</f>
        <v/>
      </c>
      <c r="H75">
        <f>IF(A75="",0,SUMIFS(CONNEXIONS!$C$2:$C$501,CONNEXIONS!$D$2:$D$501,A75,CONNEXIONS!$B$2:$B$501,B75))</f>
        <v/>
      </c>
      <c r="I75">
        <f>IF(G75=0,0,F75/G75*H75)</f>
        <v/>
      </c>
      <c r="J75">
        <f>IF(A75="",0,SUMIFS(AJUSTEMENTS!$F$2:$F$501,AJUSTEMENTS!$A$2:$A$501,A75,AJUSTEMENTS!$B$2:$B$501,B75,AJUSTEMENTS!$C$2:$C$501,C75,AJUSTEMENTS!$D$2:$D$501,D75,AJUSTEMENTS!$E$2:$E$501,E75))</f>
        <v/>
      </c>
      <c r="K75">
        <f>IF(A75="",0,IF(J75&lt;&gt;0,J75,I75))</f>
        <v/>
      </c>
    </row>
    <row r="76">
      <c r="A76">
        <f>IF(TRAITEMENTS!$Q76="","",TRAITEMENTS!Q76)</f>
        <v/>
      </c>
      <c r="B76">
        <f>IF(TRAITEMENTS!$Q76="","",TRAITEMENTS!E76)</f>
        <v/>
      </c>
      <c r="C76">
        <f>IF(TRAITEMENTS!$Q76="","",TRAITEMENTS!F76)</f>
        <v/>
      </c>
      <c r="D76">
        <f>IF(TRAITEMENTS!$Q76="","",TRAITEMENTS!G76)</f>
        <v/>
      </c>
      <c r="E76">
        <f>IF(TRAITEMENTS!$Q76="","",TRAITEMENTS!H76)</f>
        <v/>
      </c>
      <c r="F76">
        <f>IF(TRAITEMENTS!$Q76="","",TRAITEMENTS!O76)</f>
        <v/>
      </c>
      <c r="G76">
        <f>IF(A76="",0,SUMIFS(TRAITEMENTS!$O$2:$O$501,TRAITEMENTS!$Q$2:$Q$501,A76,TRAITEMENTS!$E$2:$E$501,B76))</f>
        <v/>
      </c>
      <c r="H76">
        <f>IF(A76="",0,SUMIFS(CONNEXIONS!$C$2:$C$501,CONNEXIONS!$D$2:$D$501,A76,CONNEXIONS!$B$2:$B$501,B76))</f>
        <v/>
      </c>
      <c r="I76">
        <f>IF(G76=0,0,F76/G76*H76)</f>
        <v/>
      </c>
      <c r="J76">
        <f>IF(A76="",0,SUMIFS(AJUSTEMENTS!$F$2:$F$501,AJUSTEMENTS!$A$2:$A$501,A76,AJUSTEMENTS!$B$2:$B$501,B76,AJUSTEMENTS!$C$2:$C$501,C76,AJUSTEMENTS!$D$2:$D$501,D76,AJUSTEMENTS!$E$2:$E$501,E76))</f>
        <v/>
      </c>
      <c r="K76">
        <f>IF(A76="",0,IF(J76&lt;&gt;0,J76,I76))</f>
        <v/>
      </c>
    </row>
    <row r="77">
      <c r="A77">
        <f>IF(TRAITEMENTS!$Q77="","",TRAITEMENTS!Q77)</f>
        <v/>
      </c>
      <c r="B77">
        <f>IF(TRAITEMENTS!$Q77="","",TRAITEMENTS!E77)</f>
        <v/>
      </c>
      <c r="C77">
        <f>IF(TRAITEMENTS!$Q77="","",TRAITEMENTS!F77)</f>
        <v/>
      </c>
      <c r="D77">
        <f>IF(TRAITEMENTS!$Q77="","",TRAITEMENTS!G77)</f>
        <v/>
      </c>
      <c r="E77">
        <f>IF(TRAITEMENTS!$Q77="","",TRAITEMENTS!H77)</f>
        <v/>
      </c>
      <c r="F77">
        <f>IF(TRAITEMENTS!$Q77="","",TRAITEMENTS!O77)</f>
        <v/>
      </c>
      <c r="G77">
        <f>IF(A77="",0,SUMIFS(TRAITEMENTS!$O$2:$O$501,TRAITEMENTS!$Q$2:$Q$501,A77,TRAITEMENTS!$E$2:$E$501,B77))</f>
        <v/>
      </c>
      <c r="H77">
        <f>IF(A77="",0,SUMIFS(CONNEXIONS!$C$2:$C$501,CONNEXIONS!$D$2:$D$501,A77,CONNEXIONS!$B$2:$B$501,B77))</f>
        <v/>
      </c>
      <c r="I77">
        <f>IF(G77=0,0,F77/G77*H77)</f>
        <v/>
      </c>
      <c r="J77">
        <f>IF(A77="",0,SUMIFS(AJUSTEMENTS!$F$2:$F$501,AJUSTEMENTS!$A$2:$A$501,A77,AJUSTEMENTS!$B$2:$B$501,B77,AJUSTEMENTS!$C$2:$C$501,C77,AJUSTEMENTS!$D$2:$D$501,D77,AJUSTEMENTS!$E$2:$E$501,E77))</f>
        <v/>
      </c>
      <c r="K77">
        <f>IF(A77="",0,IF(J77&lt;&gt;0,J77,I77))</f>
        <v/>
      </c>
    </row>
    <row r="78">
      <c r="A78">
        <f>IF(TRAITEMENTS!$Q78="","",TRAITEMENTS!Q78)</f>
        <v/>
      </c>
      <c r="B78">
        <f>IF(TRAITEMENTS!$Q78="","",TRAITEMENTS!E78)</f>
        <v/>
      </c>
      <c r="C78">
        <f>IF(TRAITEMENTS!$Q78="","",TRAITEMENTS!F78)</f>
        <v/>
      </c>
      <c r="D78">
        <f>IF(TRAITEMENTS!$Q78="","",TRAITEMENTS!G78)</f>
        <v/>
      </c>
      <c r="E78">
        <f>IF(TRAITEMENTS!$Q78="","",TRAITEMENTS!H78)</f>
        <v/>
      </c>
      <c r="F78">
        <f>IF(TRAITEMENTS!$Q78="","",TRAITEMENTS!O78)</f>
        <v/>
      </c>
      <c r="G78">
        <f>IF(A78="",0,SUMIFS(TRAITEMENTS!$O$2:$O$501,TRAITEMENTS!$Q$2:$Q$501,A78,TRAITEMENTS!$E$2:$E$501,B78))</f>
        <v/>
      </c>
      <c r="H78">
        <f>IF(A78="",0,SUMIFS(CONNEXIONS!$C$2:$C$501,CONNEXIONS!$D$2:$D$501,A78,CONNEXIONS!$B$2:$B$501,B78))</f>
        <v/>
      </c>
      <c r="I78">
        <f>IF(G78=0,0,F78/G78*H78)</f>
        <v/>
      </c>
      <c r="J78">
        <f>IF(A78="",0,SUMIFS(AJUSTEMENTS!$F$2:$F$501,AJUSTEMENTS!$A$2:$A$501,A78,AJUSTEMENTS!$B$2:$B$501,B78,AJUSTEMENTS!$C$2:$C$501,C78,AJUSTEMENTS!$D$2:$D$501,D78,AJUSTEMENTS!$E$2:$E$501,E78))</f>
        <v/>
      </c>
      <c r="K78">
        <f>IF(A78="",0,IF(J78&lt;&gt;0,J78,I78))</f>
        <v/>
      </c>
    </row>
    <row r="79">
      <c r="A79">
        <f>IF(TRAITEMENTS!$Q79="","",TRAITEMENTS!Q79)</f>
        <v/>
      </c>
      <c r="B79">
        <f>IF(TRAITEMENTS!$Q79="","",TRAITEMENTS!E79)</f>
        <v/>
      </c>
      <c r="C79">
        <f>IF(TRAITEMENTS!$Q79="","",TRAITEMENTS!F79)</f>
        <v/>
      </c>
      <c r="D79">
        <f>IF(TRAITEMENTS!$Q79="","",TRAITEMENTS!G79)</f>
        <v/>
      </c>
      <c r="E79">
        <f>IF(TRAITEMENTS!$Q79="","",TRAITEMENTS!H79)</f>
        <v/>
      </c>
      <c r="F79">
        <f>IF(TRAITEMENTS!$Q79="","",TRAITEMENTS!O79)</f>
        <v/>
      </c>
      <c r="G79">
        <f>IF(A79="",0,SUMIFS(TRAITEMENTS!$O$2:$O$501,TRAITEMENTS!$Q$2:$Q$501,A79,TRAITEMENTS!$E$2:$E$501,B79))</f>
        <v/>
      </c>
      <c r="H79">
        <f>IF(A79="",0,SUMIFS(CONNEXIONS!$C$2:$C$501,CONNEXIONS!$D$2:$D$501,A79,CONNEXIONS!$B$2:$B$501,B79))</f>
        <v/>
      </c>
      <c r="I79">
        <f>IF(G79=0,0,F79/G79*H79)</f>
        <v/>
      </c>
      <c r="J79">
        <f>IF(A79="",0,SUMIFS(AJUSTEMENTS!$F$2:$F$501,AJUSTEMENTS!$A$2:$A$501,A79,AJUSTEMENTS!$B$2:$B$501,B79,AJUSTEMENTS!$C$2:$C$501,C79,AJUSTEMENTS!$D$2:$D$501,D79,AJUSTEMENTS!$E$2:$E$501,E79))</f>
        <v/>
      </c>
      <c r="K79">
        <f>IF(A79="",0,IF(J79&lt;&gt;0,J79,I79))</f>
        <v/>
      </c>
    </row>
    <row r="80">
      <c r="A80">
        <f>IF(TRAITEMENTS!$Q80="","",TRAITEMENTS!Q80)</f>
        <v/>
      </c>
      <c r="B80">
        <f>IF(TRAITEMENTS!$Q80="","",TRAITEMENTS!E80)</f>
        <v/>
      </c>
      <c r="C80">
        <f>IF(TRAITEMENTS!$Q80="","",TRAITEMENTS!F80)</f>
        <v/>
      </c>
      <c r="D80">
        <f>IF(TRAITEMENTS!$Q80="","",TRAITEMENTS!G80)</f>
        <v/>
      </c>
      <c r="E80">
        <f>IF(TRAITEMENTS!$Q80="","",TRAITEMENTS!H80)</f>
        <v/>
      </c>
      <c r="F80">
        <f>IF(TRAITEMENTS!$Q80="","",TRAITEMENTS!O80)</f>
        <v/>
      </c>
      <c r="G80">
        <f>IF(A80="",0,SUMIFS(TRAITEMENTS!$O$2:$O$501,TRAITEMENTS!$Q$2:$Q$501,A80,TRAITEMENTS!$E$2:$E$501,B80))</f>
        <v/>
      </c>
      <c r="H80">
        <f>IF(A80="",0,SUMIFS(CONNEXIONS!$C$2:$C$501,CONNEXIONS!$D$2:$D$501,A80,CONNEXIONS!$B$2:$B$501,B80))</f>
        <v/>
      </c>
      <c r="I80">
        <f>IF(G80=0,0,F80/G80*H80)</f>
        <v/>
      </c>
      <c r="J80">
        <f>IF(A80="",0,SUMIFS(AJUSTEMENTS!$F$2:$F$501,AJUSTEMENTS!$A$2:$A$501,A80,AJUSTEMENTS!$B$2:$B$501,B80,AJUSTEMENTS!$C$2:$C$501,C80,AJUSTEMENTS!$D$2:$D$501,D80,AJUSTEMENTS!$E$2:$E$501,E80))</f>
        <v/>
      </c>
      <c r="K80">
        <f>IF(A80="",0,IF(J80&lt;&gt;0,J80,I80))</f>
        <v/>
      </c>
    </row>
    <row r="81">
      <c r="A81">
        <f>IF(TRAITEMENTS!$Q81="","",TRAITEMENTS!Q81)</f>
        <v/>
      </c>
      <c r="B81">
        <f>IF(TRAITEMENTS!$Q81="","",TRAITEMENTS!E81)</f>
        <v/>
      </c>
      <c r="C81">
        <f>IF(TRAITEMENTS!$Q81="","",TRAITEMENTS!F81)</f>
        <v/>
      </c>
      <c r="D81">
        <f>IF(TRAITEMENTS!$Q81="","",TRAITEMENTS!G81)</f>
        <v/>
      </c>
      <c r="E81">
        <f>IF(TRAITEMENTS!$Q81="","",TRAITEMENTS!H81)</f>
        <v/>
      </c>
      <c r="F81">
        <f>IF(TRAITEMENTS!$Q81="","",TRAITEMENTS!O81)</f>
        <v/>
      </c>
      <c r="G81">
        <f>IF(A81="",0,SUMIFS(TRAITEMENTS!$O$2:$O$501,TRAITEMENTS!$Q$2:$Q$501,A81,TRAITEMENTS!$E$2:$E$501,B81))</f>
        <v/>
      </c>
      <c r="H81">
        <f>IF(A81="",0,SUMIFS(CONNEXIONS!$C$2:$C$501,CONNEXIONS!$D$2:$D$501,A81,CONNEXIONS!$B$2:$B$501,B81))</f>
        <v/>
      </c>
      <c r="I81">
        <f>IF(G81=0,0,F81/G81*H81)</f>
        <v/>
      </c>
      <c r="J81">
        <f>IF(A81="",0,SUMIFS(AJUSTEMENTS!$F$2:$F$501,AJUSTEMENTS!$A$2:$A$501,A81,AJUSTEMENTS!$B$2:$B$501,B81,AJUSTEMENTS!$C$2:$C$501,C81,AJUSTEMENTS!$D$2:$D$501,D81,AJUSTEMENTS!$E$2:$E$501,E81))</f>
        <v/>
      </c>
      <c r="K81">
        <f>IF(A81="",0,IF(J81&lt;&gt;0,J81,I81))</f>
        <v/>
      </c>
    </row>
    <row r="82">
      <c r="A82">
        <f>IF(TRAITEMENTS!$Q82="","",TRAITEMENTS!Q82)</f>
        <v/>
      </c>
      <c r="B82">
        <f>IF(TRAITEMENTS!$Q82="","",TRAITEMENTS!E82)</f>
        <v/>
      </c>
      <c r="C82">
        <f>IF(TRAITEMENTS!$Q82="","",TRAITEMENTS!F82)</f>
        <v/>
      </c>
      <c r="D82">
        <f>IF(TRAITEMENTS!$Q82="","",TRAITEMENTS!G82)</f>
        <v/>
      </c>
      <c r="E82">
        <f>IF(TRAITEMENTS!$Q82="","",TRAITEMENTS!H82)</f>
        <v/>
      </c>
      <c r="F82">
        <f>IF(TRAITEMENTS!$Q82="","",TRAITEMENTS!O82)</f>
        <v/>
      </c>
      <c r="G82">
        <f>IF(A82="",0,SUMIFS(TRAITEMENTS!$O$2:$O$501,TRAITEMENTS!$Q$2:$Q$501,A82,TRAITEMENTS!$E$2:$E$501,B82))</f>
        <v/>
      </c>
      <c r="H82">
        <f>IF(A82="",0,SUMIFS(CONNEXIONS!$C$2:$C$501,CONNEXIONS!$D$2:$D$501,A82,CONNEXIONS!$B$2:$B$501,B82))</f>
        <v/>
      </c>
      <c r="I82">
        <f>IF(G82=0,0,F82/G82*H82)</f>
        <v/>
      </c>
      <c r="J82">
        <f>IF(A82="",0,SUMIFS(AJUSTEMENTS!$F$2:$F$501,AJUSTEMENTS!$A$2:$A$501,A82,AJUSTEMENTS!$B$2:$B$501,B82,AJUSTEMENTS!$C$2:$C$501,C82,AJUSTEMENTS!$D$2:$D$501,D82,AJUSTEMENTS!$E$2:$E$501,E82))</f>
        <v/>
      </c>
      <c r="K82">
        <f>IF(A82="",0,IF(J82&lt;&gt;0,J82,I82))</f>
        <v/>
      </c>
    </row>
    <row r="83">
      <c r="A83">
        <f>IF(TRAITEMENTS!$Q83="","",TRAITEMENTS!Q83)</f>
        <v/>
      </c>
      <c r="B83">
        <f>IF(TRAITEMENTS!$Q83="","",TRAITEMENTS!E83)</f>
        <v/>
      </c>
      <c r="C83">
        <f>IF(TRAITEMENTS!$Q83="","",TRAITEMENTS!F83)</f>
        <v/>
      </c>
      <c r="D83">
        <f>IF(TRAITEMENTS!$Q83="","",TRAITEMENTS!G83)</f>
        <v/>
      </c>
      <c r="E83">
        <f>IF(TRAITEMENTS!$Q83="","",TRAITEMENTS!H83)</f>
        <v/>
      </c>
      <c r="F83">
        <f>IF(TRAITEMENTS!$Q83="","",TRAITEMENTS!O83)</f>
        <v/>
      </c>
      <c r="G83">
        <f>IF(A83="",0,SUMIFS(TRAITEMENTS!$O$2:$O$501,TRAITEMENTS!$Q$2:$Q$501,A83,TRAITEMENTS!$E$2:$E$501,B83))</f>
        <v/>
      </c>
      <c r="H83">
        <f>IF(A83="",0,SUMIFS(CONNEXIONS!$C$2:$C$501,CONNEXIONS!$D$2:$D$501,A83,CONNEXIONS!$B$2:$B$501,B83))</f>
        <v/>
      </c>
      <c r="I83">
        <f>IF(G83=0,0,F83/G83*H83)</f>
        <v/>
      </c>
      <c r="J83">
        <f>IF(A83="",0,SUMIFS(AJUSTEMENTS!$F$2:$F$501,AJUSTEMENTS!$A$2:$A$501,A83,AJUSTEMENTS!$B$2:$B$501,B83,AJUSTEMENTS!$C$2:$C$501,C83,AJUSTEMENTS!$D$2:$D$501,D83,AJUSTEMENTS!$E$2:$E$501,E83))</f>
        <v/>
      </c>
      <c r="K83">
        <f>IF(A83="",0,IF(J83&lt;&gt;0,J83,I83))</f>
        <v/>
      </c>
    </row>
    <row r="84">
      <c r="A84">
        <f>IF(TRAITEMENTS!$Q84="","",TRAITEMENTS!Q84)</f>
        <v/>
      </c>
      <c r="B84">
        <f>IF(TRAITEMENTS!$Q84="","",TRAITEMENTS!E84)</f>
        <v/>
      </c>
      <c r="C84">
        <f>IF(TRAITEMENTS!$Q84="","",TRAITEMENTS!F84)</f>
        <v/>
      </c>
      <c r="D84">
        <f>IF(TRAITEMENTS!$Q84="","",TRAITEMENTS!G84)</f>
        <v/>
      </c>
      <c r="E84">
        <f>IF(TRAITEMENTS!$Q84="","",TRAITEMENTS!H84)</f>
        <v/>
      </c>
      <c r="F84">
        <f>IF(TRAITEMENTS!$Q84="","",TRAITEMENTS!O84)</f>
        <v/>
      </c>
      <c r="G84">
        <f>IF(A84="",0,SUMIFS(TRAITEMENTS!$O$2:$O$501,TRAITEMENTS!$Q$2:$Q$501,A84,TRAITEMENTS!$E$2:$E$501,B84))</f>
        <v/>
      </c>
      <c r="H84">
        <f>IF(A84="",0,SUMIFS(CONNEXIONS!$C$2:$C$501,CONNEXIONS!$D$2:$D$501,A84,CONNEXIONS!$B$2:$B$501,B84))</f>
        <v/>
      </c>
      <c r="I84">
        <f>IF(G84=0,0,F84/G84*H84)</f>
        <v/>
      </c>
      <c r="J84">
        <f>IF(A84="",0,SUMIFS(AJUSTEMENTS!$F$2:$F$501,AJUSTEMENTS!$A$2:$A$501,A84,AJUSTEMENTS!$B$2:$B$501,B84,AJUSTEMENTS!$C$2:$C$501,C84,AJUSTEMENTS!$D$2:$D$501,D84,AJUSTEMENTS!$E$2:$E$501,E84))</f>
        <v/>
      </c>
      <c r="K84">
        <f>IF(A84="",0,IF(J84&lt;&gt;0,J84,I84))</f>
        <v/>
      </c>
    </row>
    <row r="85">
      <c r="A85">
        <f>IF(TRAITEMENTS!$Q85="","",TRAITEMENTS!Q85)</f>
        <v/>
      </c>
      <c r="B85">
        <f>IF(TRAITEMENTS!$Q85="","",TRAITEMENTS!E85)</f>
        <v/>
      </c>
      <c r="C85">
        <f>IF(TRAITEMENTS!$Q85="","",TRAITEMENTS!F85)</f>
        <v/>
      </c>
      <c r="D85">
        <f>IF(TRAITEMENTS!$Q85="","",TRAITEMENTS!G85)</f>
        <v/>
      </c>
      <c r="E85">
        <f>IF(TRAITEMENTS!$Q85="","",TRAITEMENTS!H85)</f>
        <v/>
      </c>
      <c r="F85">
        <f>IF(TRAITEMENTS!$Q85="","",TRAITEMENTS!O85)</f>
        <v/>
      </c>
      <c r="G85">
        <f>IF(A85="",0,SUMIFS(TRAITEMENTS!$O$2:$O$501,TRAITEMENTS!$Q$2:$Q$501,A85,TRAITEMENTS!$E$2:$E$501,B85))</f>
        <v/>
      </c>
      <c r="H85">
        <f>IF(A85="",0,SUMIFS(CONNEXIONS!$C$2:$C$501,CONNEXIONS!$D$2:$D$501,A85,CONNEXIONS!$B$2:$B$501,B85))</f>
        <v/>
      </c>
      <c r="I85">
        <f>IF(G85=0,0,F85/G85*H85)</f>
        <v/>
      </c>
      <c r="J85">
        <f>IF(A85="",0,SUMIFS(AJUSTEMENTS!$F$2:$F$501,AJUSTEMENTS!$A$2:$A$501,A85,AJUSTEMENTS!$B$2:$B$501,B85,AJUSTEMENTS!$C$2:$C$501,C85,AJUSTEMENTS!$D$2:$D$501,D85,AJUSTEMENTS!$E$2:$E$501,E85))</f>
        <v/>
      </c>
      <c r="K85">
        <f>IF(A85="",0,IF(J85&lt;&gt;0,J85,I85))</f>
        <v/>
      </c>
    </row>
    <row r="86">
      <c r="A86">
        <f>IF(TRAITEMENTS!$Q86="","",TRAITEMENTS!Q86)</f>
        <v/>
      </c>
      <c r="B86">
        <f>IF(TRAITEMENTS!$Q86="","",TRAITEMENTS!E86)</f>
        <v/>
      </c>
      <c r="C86">
        <f>IF(TRAITEMENTS!$Q86="","",TRAITEMENTS!F86)</f>
        <v/>
      </c>
      <c r="D86">
        <f>IF(TRAITEMENTS!$Q86="","",TRAITEMENTS!G86)</f>
        <v/>
      </c>
      <c r="E86">
        <f>IF(TRAITEMENTS!$Q86="","",TRAITEMENTS!H86)</f>
        <v/>
      </c>
      <c r="F86">
        <f>IF(TRAITEMENTS!$Q86="","",TRAITEMENTS!O86)</f>
        <v/>
      </c>
      <c r="G86">
        <f>IF(A86="",0,SUMIFS(TRAITEMENTS!$O$2:$O$501,TRAITEMENTS!$Q$2:$Q$501,A86,TRAITEMENTS!$E$2:$E$501,B86))</f>
        <v/>
      </c>
      <c r="H86">
        <f>IF(A86="",0,SUMIFS(CONNEXIONS!$C$2:$C$501,CONNEXIONS!$D$2:$D$501,A86,CONNEXIONS!$B$2:$B$501,B86))</f>
        <v/>
      </c>
      <c r="I86">
        <f>IF(G86=0,0,F86/G86*H86)</f>
        <v/>
      </c>
      <c r="J86">
        <f>IF(A86="",0,SUMIFS(AJUSTEMENTS!$F$2:$F$501,AJUSTEMENTS!$A$2:$A$501,A86,AJUSTEMENTS!$B$2:$B$501,B86,AJUSTEMENTS!$C$2:$C$501,C86,AJUSTEMENTS!$D$2:$D$501,D86,AJUSTEMENTS!$E$2:$E$501,E86))</f>
        <v/>
      </c>
      <c r="K86">
        <f>IF(A86="",0,IF(J86&lt;&gt;0,J86,I86))</f>
        <v/>
      </c>
    </row>
    <row r="87">
      <c r="A87">
        <f>IF(TRAITEMENTS!$Q87="","",TRAITEMENTS!Q87)</f>
        <v/>
      </c>
      <c r="B87">
        <f>IF(TRAITEMENTS!$Q87="","",TRAITEMENTS!E87)</f>
        <v/>
      </c>
      <c r="C87">
        <f>IF(TRAITEMENTS!$Q87="","",TRAITEMENTS!F87)</f>
        <v/>
      </c>
      <c r="D87">
        <f>IF(TRAITEMENTS!$Q87="","",TRAITEMENTS!G87)</f>
        <v/>
      </c>
      <c r="E87">
        <f>IF(TRAITEMENTS!$Q87="","",TRAITEMENTS!H87)</f>
        <v/>
      </c>
      <c r="F87">
        <f>IF(TRAITEMENTS!$Q87="","",TRAITEMENTS!O87)</f>
        <v/>
      </c>
      <c r="G87">
        <f>IF(A87="",0,SUMIFS(TRAITEMENTS!$O$2:$O$501,TRAITEMENTS!$Q$2:$Q$501,A87,TRAITEMENTS!$E$2:$E$501,B87))</f>
        <v/>
      </c>
      <c r="H87">
        <f>IF(A87="",0,SUMIFS(CONNEXIONS!$C$2:$C$501,CONNEXIONS!$D$2:$D$501,A87,CONNEXIONS!$B$2:$B$501,B87))</f>
        <v/>
      </c>
      <c r="I87">
        <f>IF(G87=0,0,F87/G87*H87)</f>
        <v/>
      </c>
      <c r="J87">
        <f>IF(A87="",0,SUMIFS(AJUSTEMENTS!$F$2:$F$501,AJUSTEMENTS!$A$2:$A$501,A87,AJUSTEMENTS!$B$2:$B$501,B87,AJUSTEMENTS!$C$2:$C$501,C87,AJUSTEMENTS!$D$2:$D$501,D87,AJUSTEMENTS!$E$2:$E$501,E87))</f>
        <v/>
      </c>
      <c r="K87">
        <f>IF(A87="",0,IF(J87&lt;&gt;0,J87,I87))</f>
        <v/>
      </c>
    </row>
    <row r="88">
      <c r="A88">
        <f>IF(TRAITEMENTS!$Q88="","",TRAITEMENTS!Q88)</f>
        <v/>
      </c>
      <c r="B88">
        <f>IF(TRAITEMENTS!$Q88="","",TRAITEMENTS!E88)</f>
        <v/>
      </c>
      <c r="C88">
        <f>IF(TRAITEMENTS!$Q88="","",TRAITEMENTS!F88)</f>
        <v/>
      </c>
      <c r="D88">
        <f>IF(TRAITEMENTS!$Q88="","",TRAITEMENTS!G88)</f>
        <v/>
      </c>
      <c r="E88">
        <f>IF(TRAITEMENTS!$Q88="","",TRAITEMENTS!H88)</f>
        <v/>
      </c>
      <c r="F88">
        <f>IF(TRAITEMENTS!$Q88="","",TRAITEMENTS!O88)</f>
        <v/>
      </c>
      <c r="G88">
        <f>IF(A88="",0,SUMIFS(TRAITEMENTS!$O$2:$O$501,TRAITEMENTS!$Q$2:$Q$501,A88,TRAITEMENTS!$E$2:$E$501,B88))</f>
        <v/>
      </c>
      <c r="H88">
        <f>IF(A88="",0,SUMIFS(CONNEXIONS!$C$2:$C$501,CONNEXIONS!$D$2:$D$501,A88,CONNEXIONS!$B$2:$B$501,B88))</f>
        <v/>
      </c>
      <c r="I88">
        <f>IF(G88=0,0,F88/G88*H88)</f>
        <v/>
      </c>
      <c r="J88">
        <f>IF(A88="",0,SUMIFS(AJUSTEMENTS!$F$2:$F$501,AJUSTEMENTS!$A$2:$A$501,A88,AJUSTEMENTS!$B$2:$B$501,B88,AJUSTEMENTS!$C$2:$C$501,C88,AJUSTEMENTS!$D$2:$D$501,D88,AJUSTEMENTS!$E$2:$E$501,E88))</f>
        <v/>
      </c>
      <c r="K88">
        <f>IF(A88="",0,IF(J88&lt;&gt;0,J88,I88))</f>
        <v/>
      </c>
    </row>
    <row r="89">
      <c r="A89">
        <f>IF(TRAITEMENTS!$Q89="","",TRAITEMENTS!Q89)</f>
        <v/>
      </c>
      <c r="B89">
        <f>IF(TRAITEMENTS!$Q89="","",TRAITEMENTS!E89)</f>
        <v/>
      </c>
      <c r="C89">
        <f>IF(TRAITEMENTS!$Q89="","",TRAITEMENTS!F89)</f>
        <v/>
      </c>
      <c r="D89">
        <f>IF(TRAITEMENTS!$Q89="","",TRAITEMENTS!G89)</f>
        <v/>
      </c>
      <c r="E89">
        <f>IF(TRAITEMENTS!$Q89="","",TRAITEMENTS!H89)</f>
        <v/>
      </c>
      <c r="F89">
        <f>IF(TRAITEMENTS!$Q89="","",TRAITEMENTS!O89)</f>
        <v/>
      </c>
      <c r="G89">
        <f>IF(A89="",0,SUMIFS(TRAITEMENTS!$O$2:$O$501,TRAITEMENTS!$Q$2:$Q$501,A89,TRAITEMENTS!$E$2:$E$501,B89))</f>
        <v/>
      </c>
      <c r="H89">
        <f>IF(A89="",0,SUMIFS(CONNEXIONS!$C$2:$C$501,CONNEXIONS!$D$2:$D$501,A89,CONNEXIONS!$B$2:$B$501,B89))</f>
        <v/>
      </c>
      <c r="I89">
        <f>IF(G89=0,0,F89/G89*H89)</f>
        <v/>
      </c>
      <c r="J89">
        <f>IF(A89="",0,SUMIFS(AJUSTEMENTS!$F$2:$F$501,AJUSTEMENTS!$A$2:$A$501,A89,AJUSTEMENTS!$B$2:$B$501,B89,AJUSTEMENTS!$C$2:$C$501,C89,AJUSTEMENTS!$D$2:$D$501,D89,AJUSTEMENTS!$E$2:$E$501,E89))</f>
        <v/>
      </c>
      <c r="K89">
        <f>IF(A89="",0,IF(J89&lt;&gt;0,J89,I89))</f>
        <v/>
      </c>
    </row>
    <row r="90">
      <c r="A90">
        <f>IF(TRAITEMENTS!$Q90="","",TRAITEMENTS!Q90)</f>
        <v/>
      </c>
      <c r="B90">
        <f>IF(TRAITEMENTS!$Q90="","",TRAITEMENTS!E90)</f>
        <v/>
      </c>
      <c r="C90">
        <f>IF(TRAITEMENTS!$Q90="","",TRAITEMENTS!F90)</f>
        <v/>
      </c>
      <c r="D90">
        <f>IF(TRAITEMENTS!$Q90="","",TRAITEMENTS!G90)</f>
        <v/>
      </c>
      <c r="E90">
        <f>IF(TRAITEMENTS!$Q90="","",TRAITEMENTS!H90)</f>
        <v/>
      </c>
      <c r="F90">
        <f>IF(TRAITEMENTS!$Q90="","",TRAITEMENTS!O90)</f>
        <v/>
      </c>
      <c r="G90">
        <f>IF(A90="",0,SUMIFS(TRAITEMENTS!$O$2:$O$501,TRAITEMENTS!$Q$2:$Q$501,A90,TRAITEMENTS!$E$2:$E$501,B90))</f>
        <v/>
      </c>
      <c r="H90">
        <f>IF(A90="",0,SUMIFS(CONNEXIONS!$C$2:$C$501,CONNEXIONS!$D$2:$D$501,A90,CONNEXIONS!$B$2:$B$501,B90))</f>
        <v/>
      </c>
      <c r="I90">
        <f>IF(G90=0,0,F90/G90*H90)</f>
        <v/>
      </c>
      <c r="J90">
        <f>IF(A90="",0,SUMIFS(AJUSTEMENTS!$F$2:$F$501,AJUSTEMENTS!$A$2:$A$501,A90,AJUSTEMENTS!$B$2:$B$501,B90,AJUSTEMENTS!$C$2:$C$501,C90,AJUSTEMENTS!$D$2:$D$501,D90,AJUSTEMENTS!$E$2:$E$501,E90))</f>
        <v/>
      </c>
      <c r="K90">
        <f>IF(A90="",0,IF(J90&lt;&gt;0,J90,I90))</f>
        <v/>
      </c>
    </row>
    <row r="91">
      <c r="A91">
        <f>IF(TRAITEMENTS!$Q91="","",TRAITEMENTS!Q91)</f>
        <v/>
      </c>
      <c r="B91">
        <f>IF(TRAITEMENTS!$Q91="","",TRAITEMENTS!E91)</f>
        <v/>
      </c>
      <c r="C91">
        <f>IF(TRAITEMENTS!$Q91="","",TRAITEMENTS!F91)</f>
        <v/>
      </c>
      <c r="D91">
        <f>IF(TRAITEMENTS!$Q91="","",TRAITEMENTS!G91)</f>
        <v/>
      </c>
      <c r="E91">
        <f>IF(TRAITEMENTS!$Q91="","",TRAITEMENTS!H91)</f>
        <v/>
      </c>
      <c r="F91">
        <f>IF(TRAITEMENTS!$Q91="","",TRAITEMENTS!O91)</f>
        <v/>
      </c>
      <c r="G91">
        <f>IF(A91="",0,SUMIFS(TRAITEMENTS!$O$2:$O$501,TRAITEMENTS!$Q$2:$Q$501,A91,TRAITEMENTS!$E$2:$E$501,B91))</f>
        <v/>
      </c>
      <c r="H91">
        <f>IF(A91="",0,SUMIFS(CONNEXIONS!$C$2:$C$501,CONNEXIONS!$D$2:$D$501,A91,CONNEXIONS!$B$2:$B$501,B91))</f>
        <v/>
      </c>
      <c r="I91">
        <f>IF(G91=0,0,F91/G91*H91)</f>
        <v/>
      </c>
      <c r="J91">
        <f>IF(A91="",0,SUMIFS(AJUSTEMENTS!$F$2:$F$501,AJUSTEMENTS!$A$2:$A$501,A91,AJUSTEMENTS!$B$2:$B$501,B91,AJUSTEMENTS!$C$2:$C$501,C91,AJUSTEMENTS!$D$2:$D$501,D91,AJUSTEMENTS!$E$2:$E$501,E91))</f>
        <v/>
      </c>
      <c r="K91">
        <f>IF(A91="",0,IF(J91&lt;&gt;0,J91,I91))</f>
        <v/>
      </c>
    </row>
    <row r="92">
      <c r="A92">
        <f>IF(TRAITEMENTS!$Q92="","",TRAITEMENTS!Q92)</f>
        <v/>
      </c>
      <c r="B92">
        <f>IF(TRAITEMENTS!$Q92="","",TRAITEMENTS!E92)</f>
        <v/>
      </c>
      <c r="C92">
        <f>IF(TRAITEMENTS!$Q92="","",TRAITEMENTS!F92)</f>
        <v/>
      </c>
      <c r="D92">
        <f>IF(TRAITEMENTS!$Q92="","",TRAITEMENTS!G92)</f>
        <v/>
      </c>
      <c r="E92">
        <f>IF(TRAITEMENTS!$Q92="","",TRAITEMENTS!H92)</f>
        <v/>
      </c>
      <c r="F92">
        <f>IF(TRAITEMENTS!$Q92="","",TRAITEMENTS!O92)</f>
        <v/>
      </c>
      <c r="G92">
        <f>IF(A92="",0,SUMIFS(TRAITEMENTS!$O$2:$O$501,TRAITEMENTS!$Q$2:$Q$501,A92,TRAITEMENTS!$E$2:$E$501,B92))</f>
        <v/>
      </c>
      <c r="H92">
        <f>IF(A92="",0,SUMIFS(CONNEXIONS!$C$2:$C$501,CONNEXIONS!$D$2:$D$501,A92,CONNEXIONS!$B$2:$B$501,B92))</f>
        <v/>
      </c>
      <c r="I92">
        <f>IF(G92=0,0,F92/G92*H92)</f>
        <v/>
      </c>
      <c r="J92">
        <f>IF(A92="",0,SUMIFS(AJUSTEMENTS!$F$2:$F$501,AJUSTEMENTS!$A$2:$A$501,A92,AJUSTEMENTS!$B$2:$B$501,B92,AJUSTEMENTS!$C$2:$C$501,C92,AJUSTEMENTS!$D$2:$D$501,D92,AJUSTEMENTS!$E$2:$E$501,E92))</f>
        <v/>
      </c>
      <c r="K92">
        <f>IF(A92="",0,IF(J92&lt;&gt;0,J92,I92))</f>
        <v/>
      </c>
    </row>
    <row r="93">
      <c r="A93">
        <f>IF(TRAITEMENTS!$Q93="","",TRAITEMENTS!Q93)</f>
        <v/>
      </c>
      <c r="B93">
        <f>IF(TRAITEMENTS!$Q93="","",TRAITEMENTS!E93)</f>
        <v/>
      </c>
      <c r="C93">
        <f>IF(TRAITEMENTS!$Q93="","",TRAITEMENTS!F93)</f>
        <v/>
      </c>
      <c r="D93">
        <f>IF(TRAITEMENTS!$Q93="","",TRAITEMENTS!G93)</f>
        <v/>
      </c>
      <c r="E93">
        <f>IF(TRAITEMENTS!$Q93="","",TRAITEMENTS!H93)</f>
        <v/>
      </c>
      <c r="F93">
        <f>IF(TRAITEMENTS!$Q93="","",TRAITEMENTS!O93)</f>
        <v/>
      </c>
      <c r="G93">
        <f>IF(A93="",0,SUMIFS(TRAITEMENTS!$O$2:$O$501,TRAITEMENTS!$Q$2:$Q$501,A93,TRAITEMENTS!$E$2:$E$501,B93))</f>
        <v/>
      </c>
      <c r="H93">
        <f>IF(A93="",0,SUMIFS(CONNEXIONS!$C$2:$C$501,CONNEXIONS!$D$2:$D$501,A93,CONNEXIONS!$B$2:$B$501,B93))</f>
        <v/>
      </c>
      <c r="I93">
        <f>IF(G93=0,0,F93/G93*H93)</f>
        <v/>
      </c>
      <c r="J93">
        <f>IF(A93="",0,SUMIFS(AJUSTEMENTS!$F$2:$F$501,AJUSTEMENTS!$A$2:$A$501,A93,AJUSTEMENTS!$B$2:$B$501,B93,AJUSTEMENTS!$C$2:$C$501,C93,AJUSTEMENTS!$D$2:$D$501,D93,AJUSTEMENTS!$E$2:$E$501,E93))</f>
        <v/>
      </c>
      <c r="K93">
        <f>IF(A93="",0,IF(J93&lt;&gt;0,J93,I93))</f>
        <v/>
      </c>
    </row>
    <row r="94">
      <c r="A94">
        <f>IF(TRAITEMENTS!$Q94="","",TRAITEMENTS!Q94)</f>
        <v/>
      </c>
      <c r="B94">
        <f>IF(TRAITEMENTS!$Q94="","",TRAITEMENTS!E94)</f>
        <v/>
      </c>
      <c r="C94">
        <f>IF(TRAITEMENTS!$Q94="","",TRAITEMENTS!F94)</f>
        <v/>
      </c>
      <c r="D94">
        <f>IF(TRAITEMENTS!$Q94="","",TRAITEMENTS!G94)</f>
        <v/>
      </c>
      <c r="E94">
        <f>IF(TRAITEMENTS!$Q94="","",TRAITEMENTS!H94)</f>
        <v/>
      </c>
      <c r="F94">
        <f>IF(TRAITEMENTS!$Q94="","",TRAITEMENTS!O94)</f>
        <v/>
      </c>
      <c r="G94">
        <f>IF(A94="",0,SUMIFS(TRAITEMENTS!$O$2:$O$501,TRAITEMENTS!$Q$2:$Q$501,A94,TRAITEMENTS!$E$2:$E$501,B94))</f>
        <v/>
      </c>
      <c r="H94">
        <f>IF(A94="",0,SUMIFS(CONNEXIONS!$C$2:$C$501,CONNEXIONS!$D$2:$D$501,A94,CONNEXIONS!$B$2:$B$501,B94))</f>
        <v/>
      </c>
      <c r="I94">
        <f>IF(G94=0,0,F94/G94*H94)</f>
        <v/>
      </c>
      <c r="J94">
        <f>IF(A94="",0,SUMIFS(AJUSTEMENTS!$F$2:$F$501,AJUSTEMENTS!$A$2:$A$501,A94,AJUSTEMENTS!$B$2:$B$501,B94,AJUSTEMENTS!$C$2:$C$501,C94,AJUSTEMENTS!$D$2:$D$501,D94,AJUSTEMENTS!$E$2:$E$501,E94))</f>
        <v/>
      </c>
      <c r="K94">
        <f>IF(A94="",0,IF(J94&lt;&gt;0,J94,I94))</f>
        <v/>
      </c>
    </row>
    <row r="95">
      <c r="A95">
        <f>IF(TRAITEMENTS!$Q95="","",TRAITEMENTS!Q95)</f>
        <v/>
      </c>
      <c r="B95">
        <f>IF(TRAITEMENTS!$Q95="","",TRAITEMENTS!E95)</f>
        <v/>
      </c>
      <c r="C95">
        <f>IF(TRAITEMENTS!$Q95="","",TRAITEMENTS!F95)</f>
        <v/>
      </c>
      <c r="D95">
        <f>IF(TRAITEMENTS!$Q95="","",TRAITEMENTS!G95)</f>
        <v/>
      </c>
      <c r="E95">
        <f>IF(TRAITEMENTS!$Q95="","",TRAITEMENTS!H95)</f>
        <v/>
      </c>
      <c r="F95">
        <f>IF(TRAITEMENTS!$Q95="","",TRAITEMENTS!O95)</f>
        <v/>
      </c>
      <c r="G95">
        <f>IF(A95="",0,SUMIFS(TRAITEMENTS!$O$2:$O$501,TRAITEMENTS!$Q$2:$Q$501,A95,TRAITEMENTS!$E$2:$E$501,B95))</f>
        <v/>
      </c>
      <c r="H95">
        <f>IF(A95="",0,SUMIFS(CONNEXIONS!$C$2:$C$501,CONNEXIONS!$D$2:$D$501,A95,CONNEXIONS!$B$2:$B$501,B95))</f>
        <v/>
      </c>
      <c r="I95">
        <f>IF(G95=0,0,F95/G95*H95)</f>
        <v/>
      </c>
      <c r="J95">
        <f>IF(A95="",0,SUMIFS(AJUSTEMENTS!$F$2:$F$501,AJUSTEMENTS!$A$2:$A$501,A95,AJUSTEMENTS!$B$2:$B$501,B95,AJUSTEMENTS!$C$2:$C$501,C95,AJUSTEMENTS!$D$2:$D$501,D95,AJUSTEMENTS!$E$2:$E$501,E95))</f>
        <v/>
      </c>
      <c r="K95">
        <f>IF(A95="",0,IF(J95&lt;&gt;0,J95,I95))</f>
        <v/>
      </c>
    </row>
    <row r="96">
      <c r="A96">
        <f>IF(TRAITEMENTS!$Q96="","",TRAITEMENTS!Q96)</f>
        <v/>
      </c>
      <c r="B96">
        <f>IF(TRAITEMENTS!$Q96="","",TRAITEMENTS!E96)</f>
        <v/>
      </c>
      <c r="C96">
        <f>IF(TRAITEMENTS!$Q96="","",TRAITEMENTS!F96)</f>
        <v/>
      </c>
      <c r="D96">
        <f>IF(TRAITEMENTS!$Q96="","",TRAITEMENTS!G96)</f>
        <v/>
      </c>
      <c r="E96">
        <f>IF(TRAITEMENTS!$Q96="","",TRAITEMENTS!H96)</f>
        <v/>
      </c>
      <c r="F96">
        <f>IF(TRAITEMENTS!$Q96="","",TRAITEMENTS!O96)</f>
        <v/>
      </c>
      <c r="G96">
        <f>IF(A96="",0,SUMIFS(TRAITEMENTS!$O$2:$O$501,TRAITEMENTS!$Q$2:$Q$501,A96,TRAITEMENTS!$E$2:$E$501,B96))</f>
        <v/>
      </c>
      <c r="H96">
        <f>IF(A96="",0,SUMIFS(CONNEXIONS!$C$2:$C$501,CONNEXIONS!$D$2:$D$501,A96,CONNEXIONS!$B$2:$B$501,B96))</f>
        <v/>
      </c>
      <c r="I96">
        <f>IF(G96=0,0,F96/G96*H96)</f>
        <v/>
      </c>
      <c r="J96">
        <f>IF(A96="",0,SUMIFS(AJUSTEMENTS!$F$2:$F$501,AJUSTEMENTS!$A$2:$A$501,A96,AJUSTEMENTS!$B$2:$B$501,B96,AJUSTEMENTS!$C$2:$C$501,C96,AJUSTEMENTS!$D$2:$D$501,D96,AJUSTEMENTS!$E$2:$E$501,E96))</f>
        <v/>
      </c>
      <c r="K96">
        <f>IF(A96="",0,IF(J96&lt;&gt;0,J96,I96))</f>
        <v/>
      </c>
    </row>
    <row r="97">
      <c r="A97">
        <f>IF(TRAITEMENTS!$Q97="","",TRAITEMENTS!Q97)</f>
        <v/>
      </c>
      <c r="B97">
        <f>IF(TRAITEMENTS!$Q97="","",TRAITEMENTS!E97)</f>
        <v/>
      </c>
      <c r="C97">
        <f>IF(TRAITEMENTS!$Q97="","",TRAITEMENTS!F97)</f>
        <v/>
      </c>
      <c r="D97">
        <f>IF(TRAITEMENTS!$Q97="","",TRAITEMENTS!G97)</f>
        <v/>
      </c>
      <c r="E97">
        <f>IF(TRAITEMENTS!$Q97="","",TRAITEMENTS!H97)</f>
        <v/>
      </c>
      <c r="F97">
        <f>IF(TRAITEMENTS!$Q97="","",TRAITEMENTS!O97)</f>
        <v/>
      </c>
      <c r="G97">
        <f>IF(A97="",0,SUMIFS(TRAITEMENTS!$O$2:$O$501,TRAITEMENTS!$Q$2:$Q$501,A97,TRAITEMENTS!$E$2:$E$501,B97))</f>
        <v/>
      </c>
      <c r="H97">
        <f>IF(A97="",0,SUMIFS(CONNEXIONS!$C$2:$C$501,CONNEXIONS!$D$2:$D$501,A97,CONNEXIONS!$B$2:$B$501,B97))</f>
        <v/>
      </c>
      <c r="I97">
        <f>IF(G97=0,0,F97/G97*H97)</f>
        <v/>
      </c>
      <c r="J97">
        <f>IF(A97="",0,SUMIFS(AJUSTEMENTS!$F$2:$F$501,AJUSTEMENTS!$A$2:$A$501,A97,AJUSTEMENTS!$B$2:$B$501,B97,AJUSTEMENTS!$C$2:$C$501,C97,AJUSTEMENTS!$D$2:$D$501,D97,AJUSTEMENTS!$E$2:$E$501,E97))</f>
        <v/>
      </c>
      <c r="K97">
        <f>IF(A97="",0,IF(J97&lt;&gt;0,J97,I97))</f>
        <v/>
      </c>
    </row>
    <row r="98">
      <c r="A98">
        <f>IF(TRAITEMENTS!$Q98="","",TRAITEMENTS!Q98)</f>
        <v/>
      </c>
      <c r="B98">
        <f>IF(TRAITEMENTS!$Q98="","",TRAITEMENTS!E98)</f>
        <v/>
      </c>
      <c r="C98">
        <f>IF(TRAITEMENTS!$Q98="","",TRAITEMENTS!F98)</f>
        <v/>
      </c>
      <c r="D98">
        <f>IF(TRAITEMENTS!$Q98="","",TRAITEMENTS!G98)</f>
        <v/>
      </c>
      <c r="E98">
        <f>IF(TRAITEMENTS!$Q98="","",TRAITEMENTS!H98)</f>
        <v/>
      </c>
      <c r="F98">
        <f>IF(TRAITEMENTS!$Q98="","",TRAITEMENTS!O98)</f>
        <v/>
      </c>
      <c r="G98">
        <f>IF(A98="",0,SUMIFS(TRAITEMENTS!$O$2:$O$501,TRAITEMENTS!$Q$2:$Q$501,A98,TRAITEMENTS!$E$2:$E$501,B98))</f>
        <v/>
      </c>
      <c r="H98">
        <f>IF(A98="",0,SUMIFS(CONNEXIONS!$C$2:$C$501,CONNEXIONS!$D$2:$D$501,A98,CONNEXIONS!$B$2:$B$501,B98))</f>
        <v/>
      </c>
      <c r="I98">
        <f>IF(G98=0,0,F98/G98*H98)</f>
        <v/>
      </c>
      <c r="J98">
        <f>IF(A98="",0,SUMIFS(AJUSTEMENTS!$F$2:$F$501,AJUSTEMENTS!$A$2:$A$501,A98,AJUSTEMENTS!$B$2:$B$501,B98,AJUSTEMENTS!$C$2:$C$501,C98,AJUSTEMENTS!$D$2:$D$501,D98,AJUSTEMENTS!$E$2:$E$501,E98))</f>
        <v/>
      </c>
      <c r="K98">
        <f>IF(A98="",0,IF(J98&lt;&gt;0,J98,I98))</f>
        <v/>
      </c>
    </row>
    <row r="99">
      <c r="A99">
        <f>IF(TRAITEMENTS!$Q99="","",TRAITEMENTS!Q99)</f>
        <v/>
      </c>
      <c r="B99">
        <f>IF(TRAITEMENTS!$Q99="","",TRAITEMENTS!E99)</f>
        <v/>
      </c>
      <c r="C99">
        <f>IF(TRAITEMENTS!$Q99="","",TRAITEMENTS!F99)</f>
        <v/>
      </c>
      <c r="D99">
        <f>IF(TRAITEMENTS!$Q99="","",TRAITEMENTS!G99)</f>
        <v/>
      </c>
      <c r="E99">
        <f>IF(TRAITEMENTS!$Q99="","",TRAITEMENTS!H99)</f>
        <v/>
      </c>
      <c r="F99">
        <f>IF(TRAITEMENTS!$Q99="","",TRAITEMENTS!O99)</f>
        <v/>
      </c>
      <c r="G99">
        <f>IF(A99="",0,SUMIFS(TRAITEMENTS!$O$2:$O$501,TRAITEMENTS!$Q$2:$Q$501,A99,TRAITEMENTS!$E$2:$E$501,B99))</f>
        <v/>
      </c>
      <c r="H99">
        <f>IF(A99="",0,SUMIFS(CONNEXIONS!$C$2:$C$501,CONNEXIONS!$D$2:$D$501,A99,CONNEXIONS!$B$2:$B$501,B99))</f>
        <v/>
      </c>
      <c r="I99">
        <f>IF(G99=0,0,F99/G99*H99)</f>
        <v/>
      </c>
      <c r="J99">
        <f>IF(A99="",0,SUMIFS(AJUSTEMENTS!$F$2:$F$501,AJUSTEMENTS!$A$2:$A$501,A99,AJUSTEMENTS!$B$2:$B$501,B99,AJUSTEMENTS!$C$2:$C$501,C99,AJUSTEMENTS!$D$2:$D$501,D99,AJUSTEMENTS!$E$2:$E$501,E99))</f>
        <v/>
      </c>
      <c r="K99">
        <f>IF(A99="",0,IF(J99&lt;&gt;0,J99,I99))</f>
        <v/>
      </c>
    </row>
    <row r="100">
      <c r="A100">
        <f>IF(TRAITEMENTS!$Q100="","",TRAITEMENTS!Q100)</f>
        <v/>
      </c>
      <c r="B100">
        <f>IF(TRAITEMENTS!$Q100="","",TRAITEMENTS!E100)</f>
        <v/>
      </c>
      <c r="C100">
        <f>IF(TRAITEMENTS!$Q100="","",TRAITEMENTS!F100)</f>
        <v/>
      </c>
      <c r="D100">
        <f>IF(TRAITEMENTS!$Q100="","",TRAITEMENTS!G100)</f>
        <v/>
      </c>
      <c r="E100">
        <f>IF(TRAITEMENTS!$Q100="","",TRAITEMENTS!H100)</f>
        <v/>
      </c>
      <c r="F100">
        <f>IF(TRAITEMENTS!$Q100="","",TRAITEMENTS!O100)</f>
        <v/>
      </c>
      <c r="G100">
        <f>IF(A100="",0,SUMIFS(TRAITEMENTS!$O$2:$O$501,TRAITEMENTS!$Q$2:$Q$501,A100,TRAITEMENTS!$E$2:$E$501,B100))</f>
        <v/>
      </c>
      <c r="H100">
        <f>IF(A100="",0,SUMIFS(CONNEXIONS!$C$2:$C$501,CONNEXIONS!$D$2:$D$501,A100,CONNEXIONS!$B$2:$B$501,B100))</f>
        <v/>
      </c>
      <c r="I100">
        <f>IF(G100=0,0,F100/G100*H100)</f>
        <v/>
      </c>
      <c r="J100">
        <f>IF(A100="",0,SUMIFS(AJUSTEMENTS!$F$2:$F$501,AJUSTEMENTS!$A$2:$A$501,A100,AJUSTEMENTS!$B$2:$B$501,B100,AJUSTEMENTS!$C$2:$C$501,C100,AJUSTEMENTS!$D$2:$D$501,D100,AJUSTEMENTS!$E$2:$E$501,E100))</f>
        <v/>
      </c>
      <c r="K100">
        <f>IF(A100="",0,IF(J100&lt;&gt;0,J100,I100))</f>
        <v/>
      </c>
    </row>
    <row r="101">
      <c r="A101">
        <f>IF(TRAITEMENTS!$Q101="","",TRAITEMENTS!Q101)</f>
        <v/>
      </c>
      <c r="B101">
        <f>IF(TRAITEMENTS!$Q101="","",TRAITEMENTS!E101)</f>
        <v/>
      </c>
      <c r="C101">
        <f>IF(TRAITEMENTS!$Q101="","",TRAITEMENTS!F101)</f>
        <v/>
      </c>
      <c r="D101">
        <f>IF(TRAITEMENTS!$Q101="","",TRAITEMENTS!G101)</f>
        <v/>
      </c>
      <c r="E101">
        <f>IF(TRAITEMENTS!$Q101="","",TRAITEMENTS!H101)</f>
        <v/>
      </c>
      <c r="F101">
        <f>IF(TRAITEMENTS!$Q101="","",TRAITEMENTS!O101)</f>
        <v/>
      </c>
      <c r="G101">
        <f>IF(A101="",0,SUMIFS(TRAITEMENTS!$O$2:$O$501,TRAITEMENTS!$Q$2:$Q$501,A101,TRAITEMENTS!$E$2:$E$501,B101))</f>
        <v/>
      </c>
      <c r="H101">
        <f>IF(A101="",0,SUMIFS(CONNEXIONS!$C$2:$C$501,CONNEXIONS!$D$2:$D$501,A101,CONNEXIONS!$B$2:$B$501,B101))</f>
        <v/>
      </c>
      <c r="I101">
        <f>IF(G101=0,0,F101/G101*H101)</f>
        <v/>
      </c>
      <c r="J101">
        <f>IF(A101="",0,SUMIFS(AJUSTEMENTS!$F$2:$F$501,AJUSTEMENTS!$A$2:$A$501,A101,AJUSTEMENTS!$B$2:$B$501,B101,AJUSTEMENTS!$C$2:$C$501,C101,AJUSTEMENTS!$D$2:$D$501,D101,AJUSTEMENTS!$E$2:$E$501,E101))</f>
        <v/>
      </c>
      <c r="K101">
        <f>IF(A101="",0,IF(J101&lt;&gt;0,J101,I101))</f>
        <v/>
      </c>
    </row>
    <row r="102">
      <c r="A102">
        <f>IF(TRAITEMENTS!$Q102="","",TRAITEMENTS!Q102)</f>
        <v/>
      </c>
      <c r="B102">
        <f>IF(TRAITEMENTS!$Q102="","",TRAITEMENTS!E102)</f>
        <v/>
      </c>
      <c r="C102">
        <f>IF(TRAITEMENTS!$Q102="","",TRAITEMENTS!F102)</f>
        <v/>
      </c>
      <c r="D102">
        <f>IF(TRAITEMENTS!$Q102="","",TRAITEMENTS!G102)</f>
        <v/>
      </c>
      <c r="E102">
        <f>IF(TRAITEMENTS!$Q102="","",TRAITEMENTS!H102)</f>
        <v/>
      </c>
      <c r="F102">
        <f>IF(TRAITEMENTS!$Q102="","",TRAITEMENTS!O102)</f>
        <v/>
      </c>
      <c r="G102">
        <f>IF(A102="",0,SUMIFS(TRAITEMENTS!$O$2:$O$501,TRAITEMENTS!$Q$2:$Q$501,A102,TRAITEMENTS!$E$2:$E$501,B102))</f>
        <v/>
      </c>
      <c r="H102">
        <f>IF(A102="",0,SUMIFS(CONNEXIONS!$C$2:$C$501,CONNEXIONS!$D$2:$D$501,A102,CONNEXIONS!$B$2:$B$501,B102))</f>
        <v/>
      </c>
      <c r="I102">
        <f>IF(G102=0,0,F102/G102*H102)</f>
        <v/>
      </c>
      <c r="J102">
        <f>IF(A102="",0,SUMIFS(AJUSTEMENTS!$F$2:$F$501,AJUSTEMENTS!$A$2:$A$501,A102,AJUSTEMENTS!$B$2:$B$501,B102,AJUSTEMENTS!$C$2:$C$501,C102,AJUSTEMENTS!$D$2:$D$501,D102,AJUSTEMENTS!$E$2:$E$501,E102))</f>
        <v/>
      </c>
      <c r="K102">
        <f>IF(A102="",0,IF(J102&lt;&gt;0,J102,I102))</f>
        <v/>
      </c>
    </row>
    <row r="103">
      <c r="A103">
        <f>IF(TRAITEMENTS!$Q103="","",TRAITEMENTS!Q103)</f>
        <v/>
      </c>
      <c r="B103">
        <f>IF(TRAITEMENTS!$Q103="","",TRAITEMENTS!E103)</f>
        <v/>
      </c>
      <c r="C103">
        <f>IF(TRAITEMENTS!$Q103="","",TRAITEMENTS!F103)</f>
        <v/>
      </c>
      <c r="D103">
        <f>IF(TRAITEMENTS!$Q103="","",TRAITEMENTS!G103)</f>
        <v/>
      </c>
      <c r="E103">
        <f>IF(TRAITEMENTS!$Q103="","",TRAITEMENTS!H103)</f>
        <v/>
      </c>
      <c r="F103">
        <f>IF(TRAITEMENTS!$Q103="","",TRAITEMENTS!O103)</f>
        <v/>
      </c>
      <c r="G103">
        <f>IF(A103="",0,SUMIFS(TRAITEMENTS!$O$2:$O$501,TRAITEMENTS!$Q$2:$Q$501,A103,TRAITEMENTS!$E$2:$E$501,B103))</f>
        <v/>
      </c>
      <c r="H103">
        <f>IF(A103="",0,SUMIFS(CONNEXIONS!$C$2:$C$501,CONNEXIONS!$D$2:$D$501,A103,CONNEXIONS!$B$2:$B$501,B103))</f>
        <v/>
      </c>
      <c r="I103">
        <f>IF(G103=0,0,F103/G103*H103)</f>
        <v/>
      </c>
      <c r="J103">
        <f>IF(A103="",0,SUMIFS(AJUSTEMENTS!$F$2:$F$501,AJUSTEMENTS!$A$2:$A$501,A103,AJUSTEMENTS!$B$2:$B$501,B103,AJUSTEMENTS!$C$2:$C$501,C103,AJUSTEMENTS!$D$2:$D$501,D103,AJUSTEMENTS!$E$2:$E$501,E103))</f>
        <v/>
      </c>
      <c r="K103">
        <f>IF(A103="",0,IF(J103&lt;&gt;0,J103,I103))</f>
        <v/>
      </c>
    </row>
    <row r="104">
      <c r="A104">
        <f>IF(TRAITEMENTS!$Q104="","",TRAITEMENTS!Q104)</f>
        <v/>
      </c>
      <c r="B104">
        <f>IF(TRAITEMENTS!$Q104="","",TRAITEMENTS!E104)</f>
        <v/>
      </c>
      <c r="C104">
        <f>IF(TRAITEMENTS!$Q104="","",TRAITEMENTS!F104)</f>
        <v/>
      </c>
      <c r="D104">
        <f>IF(TRAITEMENTS!$Q104="","",TRAITEMENTS!G104)</f>
        <v/>
      </c>
      <c r="E104">
        <f>IF(TRAITEMENTS!$Q104="","",TRAITEMENTS!H104)</f>
        <v/>
      </c>
      <c r="F104">
        <f>IF(TRAITEMENTS!$Q104="","",TRAITEMENTS!O104)</f>
        <v/>
      </c>
      <c r="G104">
        <f>IF(A104="",0,SUMIFS(TRAITEMENTS!$O$2:$O$501,TRAITEMENTS!$Q$2:$Q$501,A104,TRAITEMENTS!$E$2:$E$501,B104))</f>
        <v/>
      </c>
      <c r="H104">
        <f>IF(A104="",0,SUMIFS(CONNEXIONS!$C$2:$C$501,CONNEXIONS!$D$2:$D$501,A104,CONNEXIONS!$B$2:$B$501,B104))</f>
        <v/>
      </c>
      <c r="I104">
        <f>IF(G104=0,0,F104/G104*H104)</f>
        <v/>
      </c>
      <c r="J104">
        <f>IF(A104="",0,SUMIFS(AJUSTEMENTS!$F$2:$F$501,AJUSTEMENTS!$A$2:$A$501,A104,AJUSTEMENTS!$B$2:$B$501,B104,AJUSTEMENTS!$C$2:$C$501,C104,AJUSTEMENTS!$D$2:$D$501,D104,AJUSTEMENTS!$E$2:$E$501,E104))</f>
        <v/>
      </c>
      <c r="K104">
        <f>IF(A104="",0,IF(J104&lt;&gt;0,J104,I104))</f>
        <v/>
      </c>
    </row>
    <row r="105">
      <c r="A105">
        <f>IF(TRAITEMENTS!$Q105="","",TRAITEMENTS!Q105)</f>
        <v/>
      </c>
      <c r="B105">
        <f>IF(TRAITEMENTS!$Q105="","",TRAITEMENTS!E105)</f>
        <v/>
      </c>
      <c r="C105">
        <f>IF(TRAITEMENTS!$Q105="","",TRAITEMENTS!F105)</f>
        <v/>
      </c>
      <c r="D105">
        <f>IF(TRAITEMENTS!$Q105="","",TRAITEMENTS!G105)</f>
        <v/>
      </c>
      <c r="E105">
        <f>IF(TRAITEMENTS!$Q105="","",TRAITEMENTS!H105)</f>
        <v/>
      </c>
      <c r="F105">
        <f>IF(TRAITEMENTS!$Q105="","",TRAITEMENTS!O105)</f>
        <v/>
      </c>
      <c r="G105">
        <f>IF(A105="",0,SUMIFS(TRAITEMENTS!$O$2:$O$501,TRAITEMENTS!$Q$2:$Q$501,A105,TRAITEMENTS!$E$2:$E$501,B105))</f>
        <v/>
      </c>
      <c r="H105">
        <f>IF(A105="",0,SUMIFS(CONNEXIONS!$C$2:$C$501,CONNEXIONS!$D$2:$D$501,A105,CONNEXIONS!$B$2:$B$501,B105))</f>
        <v/>
      </c>
      <c r="I105">
        <f>IF(G105=0,0,F105/G105*H105)</f>
        <v/>
      </c>
      <c r="J105">
        <f>IF(A105="",0,SUMIFS(AJUSTEMENTS!$F$2:$F$501,AJUSTEMENTS!$A$2:$A$501,A105,AJUSTEMENTS!$B$2:$B$501,B105,AJUSTEMENTS!$C$2:$C$501,C105,AJUSTEMENTS!$D$2:$D$501,D105,AJUSTEMENTS!$E$2:$E$501,E105))</f>
        <v/>
      </c>
      <c r="K105">
        <f>IF(A105="",0,IF(J105&lt;&gt;0,J105,I105))</f>
        <v/>
      </c>
    </row>
    <row r="106">
      <c r="A106">
        <f>IF(TRAITEMENTS!$Q106="","",TRAITEMENTS!Q106)</f>
        <v/>
      </c>
      <c r="B106">
        <f>IF(TRAITEMENTS!$Q106="","",TRAITEMENTS!E106)</f>
        <v/>
      </c>
      <c r="C106">
        <f>IF(TRAITEMENTS!$Q106="","",TRAITEMENTS!F106)</f>
        <v/>
      </c>
      <c r="D106">
        <f>IF(TRAITEMENTS!$Q106="","",TRAITEMENTS!G106)</f>
        <v/>
      </c>
      <c r="E106">
        <f>IF(TRAITEMENTS!$Q106="","",TRAITEMENTS!H106)</f>
        <v/>
      </c>
      <c r="F106">
        <f>IF(TRAITEMENTS!$Q106="","",TRAITEMENTS!O106)</f>
        <v/>
      </c>
      <c r="G106">
        <f>IF(A106="",0,SUMIFS(TRAITEMENTS!$O$2:$O$501,TRAITEMENTS!$Q$2:$Q$501,A106,TRAITEMENTS!$E$2:$E$501,B106))</f>
        <v/>
      </c>
      <c r="H106">
        <f>IF(A106="",0,SUMIFS(CONNEXIONS!$C$2:$C$501,CONNEXIONS!$D$2:$D$501,A106,CONNEXIONS!$B$2:$B$501,B106))</f>
        <v/>
      </c>
      <c r="I106">
        <f>IF(G106=0,0,F106/G106*H106)</f>
        <v/>
      </c>
      <c r="J106">
        <f>IF(A106="",0,SUMIFS(AJUSTEMENTS!$F$2:$F$501,AJUSTEMENTS!$A$2:$A$501,A106,AJUSTEMENTS!$B$2:$B$501,B106,AJUSTEMENTS!$C$2:$C$501,C106,AJUSTEMENTS!$D$2:$D$501,D106,AJUSTEMENTS!$E$2:$E$501,E106))</f>
        <v/>
      </c>
      <c r="K106">
        <f>IF(A106="",0,IF(J106&lt;&gt;0,J106,I106))</f>
        <v/>
      </c>
    </row>
    <row r="107">
      <c r="A107">
        <f>IF(TRAITEMENTS!$Q107="","",TRAITEMENTS!Q107)</f>
        <v/>
      </c>
      <c r="B107">
        <f>IF(TRAITEMENTS!$Q107="","",TRAITEMENTS!E107)</f>
        <v/>
      </c>
      <c r="C107">
        <f>IF(TRAITEMENTS!$Q107="","",TRAITEMENTS!F107)</f>
        <v/>
      </c>
      <c r="D107">
        <f>IF(TRAITEMENTS!$Q107="","",TRAITEMENTS!G107)</f>
        <v/>
      </c>
      <c r="E107">
        <f>IF(TRAITEMENTS!$Q107="","",TRAITEMENTS!H107)</f>
        <v/>
      </c>
      <c r="F107">
        <f>IF(TRAITEMENTS!$Q107="","",TRAITEMENTS!O107)</f>
        <v/>
      </c>
      <c r="G107">
        <f>IF(A107="",0,SUMIFS(TRAITEMENTS!$O$2:$O$501,TRAITEMENTS!$Q$2:$Q$501,A107,TRAITEMENTS!$E$2:$E$501,B107))</f>
        <v/>
      </c>
      <c r="H107">
        <f>IF(A107="",0,SUMIFS(CONNEXIONS!$C$2:$C$501,CONNEXIONS!$D$2:$D$501,A107,CONNEXIONS!$B$2:$B$501,B107))</f>
        <v/>
      </c>
      <c r="I107">
        <f>IF(G107=0,0,F107/G107*H107)</f>
        <v/>
      </c>
      <c r="J107">
        <f>IF(A107="",0,SUMIFS(AJUSTEMENTS!$F$2:$F$501,AJUSTEMENTS!$A$2:$A$501,A107,AJUSTEMENTS!$B$2:$B$501,B107,AJUSTEMENTS!$C$2:$C$501,C107,AJUSTEMENTS!$D$2:$D$501,D107,AJUSTEMENTS!$E$2:$E$501,E107))</f>
        <v/>
      </c>
      <c r="K107">
        <f>IF(A107="",0,IF(J107&lt;&gt;0,J107,I107))</f>
        <v/>
      </c>
    </row>
    <row r="108">
      <c r="A108">
        <f>IF(TRAITEMENTS!$Q108="","",TRAITEMENTS!Q108)</f>
        <v/>
      </c>
      <c r="B108">
        <f>IF(TRAITEMENTS!$Q108="","",TRAITEMENTS!E108)</f>
        <v/>
      </c>
      <c r="C108">
        <f>IF(TRAITEMENTS!$Q108="","",TRAITEMENTS!F108)</f>
        <v/>
      </c>
      <c r="D108">
        <f>IF(TRAITEMENTS!$Q108="","",TRAITEMENTS!G108)</f>
        <v/>
      </c>
      <c r="E108">
        <f>IF(TRAITEMENTS!$Q108="","",TRAITEMENTS!H108)</f>
        <v/>
      </c>
      <c r="F108">
        <f>IF(TRAITEMENTS!$Q108="","",TRAITEMENTS!O108)</f>
        <v/>
      </c>
      <c r="G108">
        <f>IF(A108="",0,SUMIFS(TRAITEMENTS!$O$2:$O$501,TRAITEMENTS!$Q$2:$Q$501,A108,TRAITEMENTS!$E$2:$E$501,B108))</f>
        <v/>
      </c>
      <c r="H108">
        <f>IF(A108="",0,SUMIFS(CONNEXIONS!$C$2:$C$501,CONNEXIONS!$D$2:$D$501,A108,CONNEXIONS!$B$2:$B$501,B108))</f>
        <v/>
      </c>
      <c r="I108">
        <f>IF(G108=0,0,F108/G108*H108)</f>
        <v/>
      </c>
      <c r="J108">
        <f>IF(A108="",0,SUMIFS(AJUSTEMENTS!$F$2:$F$501,AJUSTEMENTS!$A$2:$A$501,A108,AJUSTEMENTS!$B$2:$B$501,B108,AJUSTEMENTS!$C$2:$C$501,C108,AJUSTEMENTS!$D$2:$D$501,D108,AJUSTEMENTS!$E$2:$E$501,E108))</f>
        <v/>
      </c>
      <c r="K108">
        <f>IF(A108="",0,IF(J108&lt;&gt;0,J108,I108))</f>
        <v/>
      </c>
    </row>
    <row r="109">
      <c r="A109">
        <f>IF(TRAITEMENTS!$Q109="","",TRAITEMENTS!Q109)</f>
        <v/>
      </c>
      <c r="B109">
        <f>IF(TRAITEMENTS!$Q109="","",TRAITEMENTS!E109)</f>
        <v/>
      </c>
      <c r="C109">
        <f>IF(TRAITEMENTS!$Q109="","",TRAITEMENTS!F109)</f>
        <v/>
      </c>
      <c r="D109">
        <f>IF(TRAITEMENTS!$Q109="","",TRAITEMENTS!G109)</f>
        <v/>
      </c>
      <c r="E109">
        <f>IF(TRAITEMENTS!$Q109="","",TRAITEMENTS!H109)</f>
        <v/>
      </c>
      <c r="F109">
        <f>IF(TRAITEMENTS!$Q109="","",TRAITEMENTS!O109)</f>
        <v/>
      </c>
      <c r="G109">
        <f>IF(A109="",0,SUMIFS(TRAITEMENTS!$O$2:$O$501,TRAITEMENTS!$Q$2:$Q$501,A109,TRAITEMENTS!$E$2:$E$501,B109))</f>
        <v/>
      </c>
      <c r="H109">
        <f>IF(A109="",0,SUMIFS(CONNEXIONS!$C$2:$C$501,CONNEXIONS!$D$2:$D$501,A109,CONNEXIONS!$B$2:$B$501,B109))</f>
        <v/>
      </c>
      <c r="I109">
        <f>IF(G109=0,0,F109/G109*H109)</f>
        <v/>
      </c>
      <c r="J109">
        <f>IF(A109="",0,SUMIFS(AJUSTEMENTS!$F$2:$F$501,AJUSTEMENTS!$A$2:$A$501,A109,AJUSTEMENTS!$B$2:$B$501,B109,AJUSTEMENTS!$C$2:$C$501,C109,AJUSTEMENTS!$D$2:$D$501,D109,AJUSTEMENTS!$E$2:$E$501,E109))</f>
        <v/>
      </c>
      <c r="K109">
        <f>IF(A109="",0,IF(J109&lt;&gt;0,J109,I109))</f>
        <v/>
      </c>
    </row>
    <row r="110">
      <c r="A110">
        <f>IF(TRAITEMENTS!$Q110="","",TRAITEMENTS!Q110)</f>
        <v/>
      </c>
      <c r="B110">
        <f>IF(TRAITEMENTS!$Q110="","",TRAITEMENTS!E110)</f>
        <v/>
      </c>
      <c r="C110">
        <f>IF(TRAITEMENTS!$Q110="","",TRAITEMENTS!F110)</f>
        <v/>
      </c>
      <c r="D110">
        <f>IF(TRAITEMENTS!$Q110="","",TRAITEMENTS!G110)</f>
        <v/>
      </c>
      <c r="E110">
        <f>IF(TRAITEMENTS!$Q110="","",TRAITEMENTS!H110)</f>
        <v/>
      </c>
      <c r="F110">
        <f>IF(TRAITEMENTS!$Q110="","",TRAITEMENTS!O110)</f>
        <v/>
      </c>
      <c r="G110">
        <f>IF(A110="",0,SUMIFS(TRAITEMENTS!$O$2:$O$501,TRAITEMENTS!$Q$2:$Q$501,A110,TRAITEMENTS!$E$2:$E$501,B110))</f>
        <v/>
      </c>
      <c r="H110">
        <f>IF(A110="",0,SUMIFS(CONNEXIONS!$C$2:$C$501,CONNEXIONS!$D$2:$D$501,A110,CONNEXIONS!$B$2:$B$501,B110))</f>
        <v/>
      </c>
      <c r="I110">
        <f>IF(G110=0,0,F110/G110*H110)</f>
        <v/>
      </c>
      <c r="J110">
        <f>IF(A110="",0,SUMIFS(AJUSTEMENTS!$F$2:$F$501,AJUSTEMENTS!$A$2:$A$501,A110,AJUSTEMENTS!$B$2:$B$501,B110,AJUSTEMENTS!$C$2:$C$501,C110,AJUSTEMENTS!$D$2:$D$501,D110,AJUSTEMENTS!$E$2:$E$501,E110))</f>
        <v/>
      </c>
      <c r="K110">
        <f>IF(A110="",0,IF(J110&lt;&gt;0,J110,I110))</f>
        <v/>
      </c>
    </row>
    <row r="111">
      <c r="A111">
        <f>IF(TRAITEMENTS!$Q111="","",TRAITEMENTS!Q111)</f>
        <v/>
      </c>
      <c r="B111">
        <f>IF(TRAITEMENTS!$Q111="","",TRAITEMENTS!E111)</f>
        <v/>
      </c>
      <c r="C111">
        <f>IF(TRAITEMENTS!$Q111="","",TRAITEMENTS!F111)</f>
        <v/>
      </c>
      <c r="D111">
        <f>IF(TRAITEMENTS!$Q111="","",TRAITEMENTS!G111)</f>
        <v/>
      </c>
      <c r="E111">
        <f>IF(TRAITEMENTS!$Q111="","",TRAITEMENTS!H111)</f>
        <v/>
      </c>
      <c r="F111">
        <f>IF(TRAITEMENTS!$Q111="","",TRAITEMENTS!O111)</f>
        <v/>
      </c>
      <c r="G111">
        <f>IF(A111="",0,SUMIFS(TRAITEMENTS!$O$2:$O$501,TRAITEMENTS!$Q$2:$Q$501,A111,TRAITEMENTS!$E$2:$E$501,B111))</f>
        <v/>
      </c>
      <c r="H111">
        <f>IF(A111="",0,SUMIFS(CONNEXIONS!$C$2:$C$501,CONNEXIONS!$D$2:$D$501,A111,CONNEXIONS!$B$2:$B$501,B111))</f>
        <v/>
      </c>
      <c r="I111">
        <f>IF(G111=0,0,F111/G111*H111)</f>
        <v/>
      </c>
      <c r="J111">
        <f>IF(A111="",0,SUMIFS(AJUSTEMENTS!$F$2:$F$501,AJUSTEMENTS!$A$2:$A$501,A111,AJUSTEMENTS!$B$2:$B$501,B111,AJUSTEMENTS!$C$2:$C$501,C111,AJUSTEMENTS!$D$2:$D$501,D111,AJUSTEMENTS!$E$2:$E$501,E111))</f>
        <v/>
      </c>
      <c r="K111">
        <f>IF(A111="",0,IF(J111&lt;&gt;0,J111,I111))</f>
        <v/>
      </c>
    </row>
    <row r="112">
      <c r="A112">
        <f>IF(TRAITEMENTS!$Q112="","",TRAITEMENTS!Q112)</f>
        <v/>
      </c>
      <c r="B112">
        <f>IF(TRAITEMENTS!$Q112="","",TRAITEMENTS!E112)</f>
        <v/>
      </c>
      <c r="C112">
        <f>IF(TRAITEMENTS!$Q112="","",TRAITEMENTS!F112)</f>
        <v/>
      </c>
      <c r="D112">
        <f>IF(TRAITEMENTS!$Q112="","",TRAITEMENTS!G112)</f>
        <v/>
      </c>
      <c r="E112">
        <f>IF(TRAITEMENTS!$Q112="","",TRAITEMENTS!H112)</f>
        <v/>
      </c>
      <c r="F112">
        <f>IF(TRAITEMENTS!$Q112="","",TRAITEMENTS!O112)</f>
        <v/>
      </c>
      <c r="G112">
        <f>IF(A112="",0,SUMIFS(TRAITEMENTS!$O$2:$O$501,TRAITEMENTS!$Q$2:$Q$501,A112,TRAITEMENTS!$E$2:$E$501,B112))</f>
        <v/>
      </c>
      <c r="H112">
        <f>IF(A112="",0,SUMIFS(CONNEXIONS!$C$2:$C$501,CONNEXIONS!$D$2:$D$501,A112,CONNEXIONS!$B$2:$B$501,B112))</f>
        <v/>
      </c>
      <c r="I112">
        <f>IF(G112=0,0,F112/G112*H112)</f>
        <v/>
      </c>
      <c r="J112">
        <f>IF(A112="",0,SUMIFS(AJUSTEMENTS!$F$2:$F$501,AJUSTEMENTS!$A$2:$A$501,A112,AJUSTEMENTS!$B$2:$B$501,B112,AJUSTEMENTS!$C$2:$C$501,C112,AJUSTEMENTS!$D$2:$D$501,D112,AJUSTEMENTS!$E$2:$E$501,E112))</f>
        <v/>
      </c>
      <c r="K112">
        <f>IF(A112="",0,IF(J112&lt;&gt;0,J112,I112))</f>
        <v/>
      </c>
    </row>
    <row r="113">
      <c r="A113">
        <f>IF(TRAITEMENTS!$Q113="","",TRAITEMENTS!Q113)</f>
        <v/>
      </c>
      <c r="B113">
        <f>IF(TRAITEMENTS!$Q113="","",TRAITEMENTS!E113)</f>
        <v/>
      </c>
      <c r="C113">
        <f>IF(TRAITEMENTS!$Q113="","",TRAITEMENTS!F113)</f>
        <v/>
      </c>
      <c r="D113">
        <f>IF(TRAITEMENTS!$Q113="","",TRAITEMENTS!G113)</f>
        <v/>
      </c>
      <c r="E113">
        <f>IF(TRAITEMENTS!$Q113="","",TRAITEMENTS!H113)</f>
        <v/>
      </c>
      <c r="F113">
        <f>IF(TRAITEMENTS!$Q113="","",TRAITEMENTS!O113)</f>
        <v/>
      </c>
      <c r="G113">
        <f>IF(A113="",0,SUMIFS(TRAITEMENTS!$O$2:$O$501,TRAITEMENTS!$Q$2:$Q$501,A113,TRAITEMENTS!$E$2:$E$501,B113))</f>
        <v/>
      </c>
      <c r="H113">
        <f>IF(A113="",0,SUMIFS(CONNEXIONS!$C$2:$C$501,CONNEXIONS!$D$2:$D$501,A113,CONNEXIONS!$B$2:$B$501,B113))</f>
        <v/>
      </c>
      <c r="I113">
        <f>IF(G113=0,0,F113/G113*H113)</f>
        <v/>
      </c>
      <c r="J113">
        <f>IF(A113="",0,SUMIFS(AJUSTEMENTS!$F$2:$F$501,AJUSTEMENTS!$A$2:$A$501,A113,AJUSTEMENTS!$B$2:$B$501,B113,AJUSTEMENTS!$C$2:$C$501,C113,AJUSTEMENTS!$D$2:$D$501,D113,AJUSTEMENTS!$E$2:$E$501,E113))</f>
        <v/>
      </c>
      <c r="K113">
        <f>IF(A113="",0,IF(J113&lt;&gt;0,J113,I113))</f>
        <v/>
      </c>
    </row>
    <row r="114">
      <c r="A114">
        <f>IF(TRAITEMENTS!$Q114="","",TRAITEMENTS!Q114)</f>
        <v/>
      </c>
      <c r="B114">
        <f>IF(TRAITEMENTS!$Q114="","",TRAITEMENTS!E114)</f>
        <v/>
      </c>
      <c r="C114">
        <f>IF(TRAITEMENTS!$Q114="","",TRAITEMENTS!F114)</f>
        <v/>
      </c>
      <c r="D114">
        <f>IF(TRAITEMENTS!$Q114="","",TRAITEMENTS!G114)</f>
        <v/>
      </c>
      <c r="E114">
        <f>IF(TRAITEMENTS!$Q114="","",TRAITEMENTS!H114)</f>
        <v/>
      </c>
      <c r="F114">
        <f>IF(TRAITEMENTS!$Q114="","",TRAITEMENTS!O114)</f>
        <v/>
      </c>
      <c r="G114">
        <f>IF(A114="",0,SUMIFS(TRAITEMENTS!$O$2:$O$501,TRAITEMENTS!$Q$2:$Q$501,A114,TRAITEMENTS!$E$2:$E$501,B114))</f>
        <v/>
      </c>
      <c r="H114">
        <f>IF(A114="",0,SUMIFS(CONNEXIONS!$C$2:$C$501,CONNEXIONS!$D$2:$D$501,A114,CONNEXIONS!$B$2:$B$501,B114))</f>
        <v/>
      </c>
      <c r="I114">
        <f>IF(G114=0,0,F114/G114*H114)</f>
        <v/>
      </c>
      <c r="J114">
        <f>IF(A114="",0,SUMIFS(AJUSTEMENTS!$F$2:$F$501,AJUSTEMENTS!$A$2:$A$501,A114,AJUSTEMENTS!$B$2:$B$501,B114,AJUSTEMENTS!$C$2:$C$501,C114,AJUSTEMENTS!$D$2:$D$501,D114,AJUSTEMENTS!$E$2:$E$501,E114))</f>
        <v/>
      </c>
      <c r="K114">
        <f>IF(A114="",0,IF(J114&lt;&gt;0,J114,I114))</f>
        <v/>
      </c>
    </row>
    <row r="115">
      <c r="A115">
        <f>IF(TRAITEMENTS!$Q115="","",TRAITEMENTS!Q115)</f>
        <v/>
      </c>
      <c r="B115">
        <f>IF(TRAITEMENTS!$Q115="","",TRAITEMENTS!E115)</f>
        <v/>
      </c>
      <c r="C115">
        <f>IF(TRAITEMENTS!$Q115="","",TRAITEMENTS!F115)</f>
        <v/>
      </c>
      <c r="D115">
        <f>IF(TRAITEMENTS!$Q115="","",TRAITEMENTS!G115)</f>
        <v/>
      </c>
      <c r="E115">
        <f>IF(TRAITEMENTS!$Q115="","",TRAITEMENTS!H115)</f>
        <v/>
      </c>
      <c r="F115">
        <f>IF(TRAITEMENTS!$Q115="","",TRAITEMENTS!O115)</f>
        <v/>
      </c>
      <c r="G115">
        <f>IF(A115="",0,SUMIFS(TRAITEMENTS!$O$2:$O$501,TRAITEMENTS!$Q$2:$Q$501,A115,TRAITEMENTS!$E$2:$E$501,B115))</f>
        <v/>
      </c>
      <c r="H115">
        <f>IF(A115="",0,SUMIFS(CONNEXIONS!$C$2:$C$501,CONNEXIONS!$D$2:$D$501,A115,CONNEXIONS!$B$2:$B$501,B115))</f>
        <v/>
      </c>
      <c r="I115">
        <f>IF(G115=0,0,F115/G115*H115)</f>
        <v/>
      </c>
      <c r="J115">
        <f>IF(A115="",0,SUMIFS(AJUSTEMENTS!$F$2:$F$501,AJUSTEMENTS!$A$2:$A$501,A115,AJUSTEMENTS!$B$2:$B$501,B115,AJUSTEMENTS!$C$2:$C$501,C115,AJUSTEMENTS!$D$2:$D$501,D115,AJUSTEMENTS!$E$2:$E$501,E115))</f>
        <v/>
      </c>
      <c r="K115">
        <f>IF(A115="",0,IF(J115&lt;&gt;0,J115,I115))</f>
        <v/>
      </c>
    </row>
    <row r="116">
      <c r="A116">
        <f>IF(TRAITEMENTS!$Q116="","",TRAITEMENTS!Q116)</f>
        <v/>
      </c>
      <c r="B116">
        <f>IF(TRAITEMENTS!$Q116="","",TRAITEMENTS!E116)</f>
        <v/>
      </c>
      <c r="C116">
        <f>IF(TRAITEMENTS!$Q116="","",TRAITEMENTS!F116)</f>
        <v/>
      </c>
      <c r="D116">
        <f>IF(TRAITEMENTS!$Q116="","",TRAITEMENTS!G116)</f>
        <v/>
      </c>
      <c r="E116">
        <f>IF(TRAITEMENTS!$Q116="","",TRAITEMENTS!H116)</f>
        <v/>
      </c>
      <c r="F116">
        <f>IF(TRAITEMENTS!$Q116="","",TRAITEMENTS!O116)</f>
        <v/>
      </c>
      <c r="G116">
        <f>IF(A116="",0,SUMIFS(TRAITEMENTS!$O$2:$O$501,TRAITEMENTS!$Q$2:$Q$501,A116,TRAITEMENTS!$E$2:$E$501,B116))</f>
        <v/>
      </c>
      <c r="H116">
        <f>IF(A116="",0,SUMIFS(CONNEXIONS!$C$2:$C$501,CONNEXIONS!$D$2:$D$501,A116,CONNEXIONS!$B$2:$B$501,B116))</f>
        <v/>
      </c>
      <c r="I116">
        <f>IF(G116=0,0,F116/G116*H116)</f>
        <v/>
      </c>
      <c r="J116">
        <f>IF(A116="",0,SUMIFS(AJUSTEMENTS!$F$2:$F$501,AJUSTEMENTS!$A$2:$A$501,A116,AJUSTEMENTS!$B$2:$B$501,B116,AJUSTEMENTS!$C$2:$C$501,C116,AJUSTEMENTS!$D$2:$D$501,D116,AJUSTEMENTS!$E$2:$E$501,E116))</f>
        <v/>
      </c>
      <c r="K116">
        <f>IF(A116="",0,IF(J116&lt;&gt;0,J116,I116))</f>
        <v/>
      </c>
    </row>
    <row r="117">
      <c r="A117">
        <f>IF(TRAITEMENTS!$Q117="","",TRAITEMENTS!Q117)</f>
        <v/>
      </c>
      <c r="B117">
        <f>IF(TRAITEMENTS!$Q117="","",TRAITEMENTS!E117)</f>
        <v/>
      </c>
      <c r="C117">
        <f>IF(TRAITEMENTS!$Q117="","",TRAITEMENTS!F117)</f>
        <v/>
      </c>
      <c r="D117">
        <f>IF(TRAITEMENTS!$Q117="","",TRAITEMENTS!G117)</f>
        <v/>
      </c>
      <c r="E117">
        <f>IF(TRAITEMENTS!$Q117="","",TRAITEMENTS!H117)</f>
        <v/>
      </c>
      <c r="F117">
        <f>IF(TRAITEMENTS!$Q117="","",TRAITEMENTS!O117)</f>
        <v/>
      </c>
      <c r="G117">
        <f>IF(A117="",0,SUMIFS(TRAITEMENTS!$O$2:$O$501,TRAITEMENTS!$Q$2:$Q$501,A117,TRAITEMENTS!$E$2:$E$501,B117))</f>
        <v/>
      </c>
      <c r="H117">
        <f>IF(A117="",0,SUMIFS(CONNEXIONS!$C$2:$C$501,CONNEXIONS!$D$2:$D$501,A117,CONNEXIONS!$B$2:$B$501,B117))</f>
        <v/>
      </c>
      <c r="I117">
        <f>IF(G117=0,0,F117/G117*H117)</f>
        <v/>
      </c>
      <c r="J117">
        <f>IF(A117="",0,SUMIFS(AJUSTEMENTS!$F$2:$F$501,AJUSTEMENTS!$A$2:$A$501,A117,AJUSTEMENTS!$B$2:$B$501,B117,AJUSTEMENTS!$C$2:$C$501,C117,AJUSTEMENTS!$D$2:$D$501,D117,AJUSTEMENTS!$E$2:$E$501,E117))</f>
        <v/>
      </c>
      <c r="K117">
        <f>IF(A117="",0,IF(J117&lt;&gt;0,J117,I117))</f>
        <v/>
      </c>
    </row>
    <row r="118">
      <c r="A118">
        <f>IF(TRAITEMENTS!$Q118="","",TRAITEMENTS!Q118)</f>
        <v/>
      </c>
      <c r="B118">
        <f>IF(TRAITEMENTS!$Q118="","",TRAITEMENTS!E118)</f>
        <v/>
      </c>
      <c r="C118">
        <f>IF(TRAITEMENTS!$Q118="","",TRAITEMENTS!F118)</f>
        <v/>
      </c>
      <c r="D118">
        <f>IF(TRAITEMENTS!$Q118="","",TRAITEMENTS!G118)</f>
        <v/>
      </c>
      <c r="E118">
        <f>IF(TRAITEMENTS!$Q118="","",TRAITEMENTS!H118)</f>
        <v/>
      </c>
      <c r="F118">
        <f>IF(TRAITEMENTS!$Q118="","",TRAITEMENTS!O118)</f>
        <v/>
      </c>
      <c r="G118">
        <f>IF(A118="",0,SUMIFS(TRAITEMENTS!$O$2:$O$501,TRAITEMENTS!$Q$2:$Q$501,A118,TRAITEMENTS!$E$2:$E$501,B118))</f>
        <v/>
      </c>
      <c r="H118">
        <f>IF(A118="",0,SUMIFS(CONNEXIONS!$C$2:$C$501,CONNEXIONS!$D$2:$D$501,A118,CONNEXIONS!$B$2:$B$501,B118))</f>
        <v/>
      </c>
      <c r="I118">
        <f>IF(G118=0,0,F118/G118*H118)</f>
        <v/>
      </c>
      <c r="J118">
        <f>IF(A118="",0,SUMIFS(AJUSTEMENTS!$F$2:$F$501,AJUSTEMENTS!$A$2:$A$501,A118,AJUSTEMENTS!$B$2:$B$501,B118,AJUSTEMENTS!$C$2:$C$501,C118,AJUSTEMENTS!$D$2:$D$501,D118,AJUSTEMENTS!$E$2:$E$501,E118))</f>
        <v/>
      </c>
      <c r="K118">
        <f>IF(A118="",0,IF(J118&lt;&gt;0,J118,I118))</f>
        <v/>
      </c>
    </row>
    <row r="119">
      <c r="A119">
        <f>IF(TRAITEMENTS!$Q119="","",TRAITEMENTS!Q119)</f>
        <v/>
      </c>
      <c r="B119">
        <f>IF(TRAITEMENTS!$Q119="","",TRAITEMENTS!E119)</f>
        <v/>
      </c>
      <c r="C119">
        <f>IF(TRAITEMENTS!$Q119="","",TRAITEMENTS!F119)</f>
        <v/>
      </c>
      <c r="D119">
        <f>IF(TRAITEMENTS!$Q119="","",TRAITEMENTS!G119)</f>
        <v/>
      </c>
      <c r="E119">
        <f>IF(TRAITEMENTS!$Q119="","",TRAITEMENTS!H119)</f>
        <v/>
      </c>
      <c r="F119">
        <f>IF(TRAITEMENTS!$Q119="","",TRAITEMENTS!O119)</f>
        <v/>
      </c>
      <c r="G119">
        <f>IF(A119="",0,SUMIFS(TRAITEMENTS!$O$2:$O$501,TRAITEMENTS!$Q$2:$Q$501,A119,TRAITEMENTS!$E$2:$E$501,B119))</f>
        <v/>
      </c>
      <c r="H119">
        <f>IF(A119="",0,SUMIFS(CONNEXIONS!$C$2:$C$501,CONNEXIONS!$D$2:$D$501,A119,CONNEXIONS!$B$2:$B$501,B119))</f>
        <v/>
      </c>
      <c r="I119">
        <f>IF(G119=0,0,F119/G119*H119)</f>
        <v/>
      </c>
      <c r="J119">
        <f>IF(A119="",0,SUMIFS(AJUSTEMENTS!$F$2:$F$501,AJUSTEMENTS!$A$2:$A$501,A119,AJUSTEMENTS!$B$2:$B$501,B119,AJUSTEMENTS!$C$2:$C$501,C119,AJUSTEMENTS!$D$2:$D$501,D119,AJUSTEMENTS!$E$2:$E$501,E119))</f>
        <v/>
      </c>
      <c r="K119">
        <f>IF(A119="",0,IF(J119&lt;&gt;0,J119,I119))</f>
        <v/>
      </c>
    </row>
    <row r="120">
      <c r="A120">
        <f>IF(TRAITEMENTS!$Q120="","",TRAITEMENTS!Q120)</f>
        <v/>
      </c>
      <c r="B120">
        <f>IF(TRAITEMENTS!$Q120="","",TRAITEMENTS!E120)</f>
        <v/>
      </c>
      <c r="C120">
        <f>IF(TRAITEMENTS!$Q120="","",TRAITEMENTS!F120)</f>
        <v/>
      </c>
      <c r="D120">
        <f>IF(TRAITEMENTS!$Q120="","",TRAITEMENTS!G120)</f>
        <v/>
      </c>
      <c r="E120">
        <f>IF(TRAITEMENTS!$Q120="","",TRAITEMENTS!H120)</f>
        <v/>
      </c>
      <c r="F120">
        <f>IF(TRAITEMENTS!$Q120="","",TRAITEMENTS!O120)</f>
        <v/>
      </c>
      <c r="G120">
        <f>IF(A120="",0,SUMIFS(TRAITEMENTS!$O$2:$O$501,TRAITEMENTS!$Q$2:$Q$501,A120,TRAITEMENTS!$E$2:$E$501,B120))</f>
        <v/>
      </c>
      <c r="H120">
        <f>IF(A120="",0,SUMIFS(CONNEXIONS!$C$2:$C$501,CONNEXIONS!$D$2:$D$501,A120,CONNEXIONS!$B$2:$B$501,B120))</f>
        <v/>
      </c>
      <c r="I120">
        <f>IF(G120=0,0,F120/G120*H120)</f>
        <v/>
      </c>
      <c r="J120">
        <f>IF(A120="",0,SUMIFS(AJUSTEMENTS!$F$2:$F$501,AJUSTEMENTS!$A$2:$A$501,A120,AJUSTEMENTS!$B$2:$B$501,B120,AJUSTEMENTS!$C$2:$C$501,C120,AJUSTEMENTS!$D$2:$D$501,D120,AJUSTEMENTS!$E$2:$E$501,E120))</f>
        <v/>
      </c>
      <c r="K120">
        <f>IF(A120="",0,IF(J120&lt;&gt;0,J120,I120))</f>
        <v/>
      </c>
    </row>
    <row r="121">
      <c r="A121">
        <f>IF(TRAITEMENTS!$Q121="","",TRAITEMENTS!Q121)</f>
        <v/>
      </c>
      <c r="B121">
        <f>IF(TRAITEMENTS!$Q121="","",TRAITEMENTS!E121)</f>
        <v/>
      </c>
      <c r="C121">
        <f>IF(TRAITEMENTS!$Q121="","",TRAITEMENTS!F121)</f>
        <v/>
      </c>
      <c r="D121">
        <f>IF(TRAITEMENTS!$Q121="","",TRAITEMENTS!G121)</f>
        <v/>
      </c>
      <c r="E121">
        <f>IF(TRAITEMENTS!$Q121="","",TRAITEMENTS!H121)</f>
        <v/>
      </c>
      <c r="F121">
        <f>IF(TRAITEMENTS!$Q121="","",TRAITEMENTS!O121)</f>
        <v/>
      </c>
      <c r="G121">
        <f>IF(A121="",0,SUMIFS(TRAITEMENTS!$O$2:$O$501,TRAITEMENTS!$Q$2:$Q$501,A121,TRAITEMENTS!$E$2:$E$501,B121))</f>
        <v/>
      </c>
      <c r="H121">
        <f>IF(A121="",0,SUMIFS(CONNEXIONS!$C$2:$C$501,CONNEXIONS!$D$2:$D$501,A121,CONNEXIONS!$B$2:$B$501,B121))</f>
        <v/>
      </c>
      <c r="I121">
        <f>IF(G121=0,0,F121/G121*H121)</f>
        <v/>
      </c>
      <c r="J121">
        <f>IF(A121="",0,SUMIFS(AJUSTEMENTS!$F$2:$F$501,AJUSTEMENTS!$A$2:$A$501,A121,AJUSTEMENTS!$B$2:$B$501,B121,AJUSTEMENTS!$C$2:$C$501,C121,AJUSTEMENTS!$D$2:$D$501,D121,AJUSTEMENTS!$E$2:$E$501,E121))</f>
        <v/>
      </c>
      <c r="K121">
        <f>IF(A121="",0,IF(J121&lt;&gt;0,J121,I121))</f>
        <v/>
      </c>
    </row>
    <row r="122">
      <c r="A122">
        <f>IF(TRAITEMENTS!$Q122="","",TRAITEMENTS!Q122)</f>
        <v/>
      </c>
      <c r="B122">
        <f>IF(TRAITEMENTS!$Q122="","",TRAITEMENTS!E122)</f>
        <v/>
      </c>
      <c r="C122">
        <f>IF(TRAITEMENTS!$Q122="","",TRAITEMENTS!F122)</f>
        <v/>
      </c>
      <c r="D122">
        <f>IF(TRAITEMENTS!$Q122="","",TRAITEMENTS!G122)</f>
        <v/>
      </c>
      <c r="E122">
        <f>IF(TRAITEMENTS!$Q122="","",TRAITEMENTS!H122)</f>
        <v/>
      </c>
      <c r="F122">
        <f>IF(TRAITEMENTS!$Q122="","",TRAITEMENTS!O122)</f>
        <v/>
      </c>
      <c r="G122">
        <f>IF(A122="",0,SUMIFS(TRAITEMENTS!$O$2:$O$501,TRAITEMENTS!$Q$2:$Q$501,A122,TRAITEMENTS!$E$2:$E$501,B122))</f>
        <v/>
      </c>
      <c r="H122">
        <f>IF(A122="",0,SUMIFS(CONNEXIONS!$C$2:$C$501,CONNEXIONS!$D$2:$D$501,A122,CONNEXIONS!$B$2:$B$501,B122))</f>
        <v/>
      </c>
      <c r="I122">
        <f>IF(G122=0,0,F122/G122*H122)</f>
        <v/>
      </c>
      <c r="J122">
        <f>IF(A122="",0,SUMIFS(AJUSTEMENTS!$F$2:$F$501,AJUSTEMENTS!$A$2:$A$501,A122,AJUSTEMENTS!$B$2:$B$501,B122,AJUSTEMENTS!$C$2:$C$501,C122,AJUSTEMENTS!$D$2:$D$501,D122,AJUSTEMENTS!$E$2:$E$501,E122))</f>
        <v/>
      </c>
      <c r="K122">
        <f>IF(A122="",0,IF(J122&lt;&gt;0,J122,I122))</f>
        <v/>
      </c>
    </row>
    <row r="123">
      <c r="A123">
        <f>IF(TRAITEMENTS!$Q123="","",TRAITEMENTS!Q123)</f>
        <v/>
      </c>
      <c r="B123">
        <f>IF(TRAITEMENTS!$Q123="","",TRAITEMENTS!E123)</f>
        <v/>
      </c>
      <c r="C123">
        <f>IF(TRAITEMENTS!$Q123="","",TRAITEMENTS!F123)</f>
        <v/>
      </c>
      <c r="D123">
        <f>IF(TRAITEMENTS!$Q123="","",TRAITEMENTS!G123)</f>
        <v/>
      </c>
      <c r="E123">
        <f>IF(TRAITEMENTS!$Q123="","",TRAITEMENTS!H123)</f>
        <v/>
      </c>
      <c r="F123">
        <f>IF(TRAITEMENTS!$Q123="","",TRAITEMENTS!O123)</f>
        <v/>
      </c>
      <c r="G123">
        <f>IF(A123="",0,SUMIFS(TRAITEMENTS!$O$2:$O$501,TRAITEMENTS!$Q$2:$Q$501,A123,TRAITEMENTS!$E$2:$E$501,B123))</f>
        <v/>
      </c>
      <c r="H123">
        <f>IF(A123="",0,SUMIFS(CONNEXIONS!$C$2:$C$501,CONNEXIONS!$D$2:$D$501,A123,CONNEXIONS!$B$2:$B$501,B123))</f>
        <v/>
      </c>
      <c r="I123">
        <f>IF(G123=0,0,F123/G123*H123)</f>
        <v/>
      </c>
      <c r="J123">
        <f>IF(A123="",0,SUMIFS(AJUSTEMENTS!$F$2:$F$501,AJUSTEMENTS!$A$2:$A$501,A123,AJUSTEMENTS!$B$2:$B$501,B123,AJUSTEMENTS!$C$2:$C$501,C123,AJUSTEMENTS!$D$2:$D$501,D123,AJUSTEMENTS!$E$2:$E$501,E123))</f>
        <v/>
      </c>
      <c r="K123">
        <f>IF(A123="",0,IF(J123&lt;&gt;0,J123,I123))</f>
        <v/>
      </c>
    </row>
    <row r="124">
      <c r="A124">
        <f>IF(TRAITEMENTS!$Q124="","",TRAITEMENTS!Q124)</f>
        <v/>
      </c>
      <c r="B124">
        <f>IF(TRAITEMENTS!$Q124="","",TRAITEMENTS!E124)</f>
        <v/>
      </c>
      <c r="C124">
        <f>IF(TRAITEMENTS!$Q124="","",TRAITEMENTS!F124)</f>
        <v/>
      </c>
      <c r="D124">
        <f>IF(TRAITEMENTS!$Q124="","",TRAITEMENTS!G124)</f>
        <v/>
      </c>
      <c r="E124">
        <f>IF(TRAITEMENTS!$Q124="","",TRAITEMENTS!H124)</f>
        <v/>
      </c>
      <c r="F124">
        <f>IF(TRAITEMENTS!$Q124="","",TRAITEMENTS!O124)</f>
        <v/>
      </c>
      <c r="G124">
        <f>IF(A124="",0,SUMIFS(TRAITEMENTS!$O$2:$O$501,TRAITEMENTS!$Q$2:$Q$501,A124,TRAITEMENTS!$E$2:$E$501,B124))</f>
        <v/>
      </c>
      <c r="H124">
        <f>IF(A124="",0,SUMIFS(CONNEXIONS!$C$2:$C$501,CONNEXIONS!$D$2:$D$501,A124,CONNEXIONS!$B$2:$B$501,B124))</f>
        <v/>
      </c>
      <c r="I124">
        <f>IF(G124=0,0,F124/G124*H124)</f>
        <v/>
      </c>
      <c r="J124">
        <f>IF(A124="",0,SUMIFS(AJUSTEMENTS!$F$2:$F$501,AJUSTEMENTS!$A$2:$A$501,A124,AJUSTEMENTS!$B$2:$B$501,B124,AJUSTEMENTS!$C$2:$C$501,C124,AJUSTEMENTS!$D$2:$D$501,D124,AJUSTEMENTS!$E$2:$E$501,E124))</f>
        <v/>
      </c>
      <c r="K124">
        <f>IF(A124="",0,IF(J124&lt;&gt;0,J124,I124))</f>
        <v/>
      </c>
    </row>
    <row r="125">
      <c r="A125">
        <f>IF(TRAITEMENTS!$Q125="","",TRAITEMENTS!Q125)</f>
        <v/>
      </c>
      <c r="B125">
        <f>IF(TRAITEMENTS!$Q125="","",TRAITEMENTS!E125)</f>
        <v/>
      </c>
      <c r="C125">
        <f>IF(TRAITEMENTS!$Q125="","",TRAITEMENTS!F125)</f>
        <v/>
      </c>
      <c r="D125">
        <f>IF(TRAITEMENTS!$Q125="","",TRAITEMENTS!G125)</f>
        <v/>
      </c>
      <c r="E125">
        <f>IF(TRAITEMENTS!$Q125="","",TRAITEMENTS!H125)</f>
        <v/>
      </c>
      <c r="F125">
        <f>IF(TRAITEMENTS!$Q125="","",TRAITEMENTS!O125)</f>
        <v/>
      </c>
      <c r="G125">
        <f>IF(A125="",0,SUMIFS(TRAITEMENTS!$O$2:$O$501,TRAITEMENTS!$Q$2:$Q$501,A125,TRAITEMENTS!$E$2:$E$501,B125))</f>
        <v/>
      </c>
      <c r="H125">
        <f>IF(A125="",0,SUMIFS(CONNEXIONS!$C$2:$C$501,CONNEXIONS!$D$2:$D$501,A125,CONNEXIONS!$B$2:$B$501,B125))</f>
        <v/>
      </c>
      <c r="I125">
        <f>IF(G125=0,0,F125/G125*H125)</f>
        <v/>
      </c>
      <c r="J125">
        <f>IF(A125="",0,SUMIFS(AJUSTEMENTS!$F$2:$F$501,AJUSTEMENTS!$A$2:$A$501,A125,AJUSTEMENTS!$B$2:$B$501,B125,AJUSTEMENTS!$C$2:$C$501,C125,AJUSTEMENTS!$D$2:$D$501,D125,AJUSTEMENTS!$E$2:$E$501,E125))</f>
        <v/>
      </c>
      <c r="K125">
        <f>IF(A125="",0,IF(J125&lt;&gt;0,J125,I125))</f>
        <v/>
      </c>
    </row>
    <row r="126">
      <c r="A126">
        <f>IF(TRAITEMENTS!$Q126="","",TRAITEMENTS!Q126)</f>
        <v/>
      </c>
      <c r="B126">
        <f>IF(TRAITEMENTS!$Q126="","",TRAITEMENTS!E126)</f>
        <v/>
      </c>
      <c r="C126">
        <f>IF(TRAITEMENTS!$Q126="","",TRAITEMENTS!F126)</f>
        <v/>
      </c>
      <c r="D126">
        <f>IF(TRAITEMENTS!$Q126="","",TRAITEMENTS!G126)</f>
        <v/>
      </c>
      <c r="E126">
        <f>IF(TRAITEMENTS!$Q126="","",TRAITEMENTS!H126)</f>
        <v/>
      </c>
      <c r="F126">
        <f>IF(TRAITEMENTS!$Q126="","",TRAITEMENTS!O126)</f>
        <v/>
      </c>
      <c r="G126">
        <f>IF(A126="",0,SUMIFS(TRAITEMENTS!$O$2:$O$501,TRAITEMENTS!$Q$2:$Q$501,A126,TRAITEMENTS!$E$2:$E$501,B126))</f>
        <v/>
      </c>
      <c r="H126">
        <f>IF(A126="",0,SUMIFS(CONNEXIONS!$C$2:$C$501,CONNEXIONS!$D$2:$D$501,A126,CONNEXIONS!$B$2:$B$501,B126))</f>
        <v/>
      </c>
      <c r="I126">
        <f>IF(G126=0,0,F126/G126*H126)</f>
        <v/>
      </c>
      <c r="J126">
        <f>IF(A126="",0,SUMIFS(AJUSTEMENTS!$F$2:$F$501,AJUSTEMENTS!$A$2:$A$501,A126,AJUSTEMENTS!$B$2:$B$501,B126,AJUSTEMENTS!$C$2:$C$501,C126,AJUSTEMENTS!$D$2:$D$501,D126,AJUSTEMENTS!$E$2:$E$501,E126))</f>
        <v/>
      </c>
      <c r="K126">
        <f>IF(A126="",0,IF(J126&lt;&gt;0,J126,I126))</f>
        <v/>
      </c>
    </row>
    <row r="127">
      <c r="A127">
        <f>IF(TRAITEMENTS!$Q127="","",TRAITEMENTS!Q127)</f>
        <v/>
      </c>
      <c r="B127">
        <f>IF(TRAITEMENTS!$Q127="","",TRAITEMENTS!E127)</f>
        <v/>
      </c>
      <c r="C127">
        <f>IF(TRAITEMENTS!$Q127="","",TRAITEMENTS!F127)</f>
        <v/>
      </c>
      <c r="D127">
        <f>IF(TRAITEMENTS!$Q127="","",TRAITEMENTS!G127)</f>
        <v/>
      </c>
      <c r="E127">
        <f>IF(TRAITEMENTS!$Q127="","",TRAITEMENTS!H127)</f>
        <v/>
      </c>
      <c r="F127">
        <f>IF(TRAITEMENTS!$Q127="","",TRAITEMENTS!O127)</f>
        <v/>
      </c>
      <c r="G127">
        <f>IF(A127="",0,SUMIFS(TRAITEMENTS!$O$2:$O$501,TRAITEMENTS!$Q$2:$Q$501,A127,TRAITEMENTS!$E$2:$E$501,B127))</f>
        <v/>
      </c>
      <c r="H127">
        <f>IF(A127="",0,SUMIFS(CONNEXIONS!$C$2:$C$501,CONNEXIONS!$D$2:$D$501,A127,CONNEXIONS!$B$2:$B$501,B127))</f>
        <v/>
      </c>
      <c r="I127">
        <f>IF(G127=0,0,F127/G127*H127)</f>
        <v/>
      </c>
      <c r="J127">
        <f>IF(A127="",0,SUMIFS(AJUSTEMENTS!$F$2:$F$501,AJUSTEMENTS!$A$2:$A$501,A127,AJUSTEMENTS!$B$2:$B$501,B127,AJUSTEMENTS!$C$2:$C$501,C127,AJUSTEMENTS!$D$2:$D$501,D127,AJUSTEMENTS!$E$2:$E$501,E127))</f>
        <v/>
      </c>
      <c r="K127">
        <f>IF(A127="",0,IF(J127&lt;&gt;0,J127,I127))</f>
        <v/>
      </c>
    </row>
    <row r="128">
      <c r="A128">
        <f>IF(TRAITEMENTS!$Q128="","",TRAITEMENTS!Q128)</f>
        <v/>
      </c>
      <c r="B128">
        <f>IF(TRAITEMENTS!$Q128="","",TRAITEMENTS!E128)</f>
        <v/>
      </c>
      <c r="C128">
        <f>IF(TRAITEMENTS!$Q128="","",TRAITEMENTS!F128)</f>
        <v/>
      </c>
      <c r="D128">
        <f>IF(TRAITEMENTS!$Q128="","",TRAITEMENTS!G128)</f>
        <v/>
      </c>
      <c r="E128">
        <f>IF(TRAITEMENTS!$Q128="","",TRAITEMENTS!H128)</f>
        <v/>
      </c>
      <c r="F128">
        <f>IF(TRAITEMENTS!$Q128="","",TRAITEMENTS!O128)</f>
        <v/>
      </c>
      <c r="G128">
        <f>IF(A128="",0,SUMIFS(TRAITEMENTS!$O$2:$O$501,TRAITEMENTS!$Q$2:$Q$501,A128,TRAITEMENTS!$E$2:$E$501,B128))</f>
        <v/>
      </c>
      <c r="H128">
        <f>IF(A128="",0,SUMIFS(CONNEXIONS!$C$2:$C$501,CONNEXIONS!$D$2:$D$501,A128,CONNEXIONS!$B$2:$B$501,B128))</f>
        <v/>
      </c>
      <c r="I128">
        <f>IF(G128=0,0,F128/G128*H128)</f>
        <v/>
      </c>
      <c r="J128">
        <f>IF(A128="",0,SUMIFS(AJUSTEMENTS!$F$2:$F$501,AJUSTEMENTS!$A$2:$A$501,A128,AJUSTEMENTS!$B$2:$B$501,B128,AJUSTEMENTS!$C$2:$C$501,C128,AJUSTEMENTS!$D$2:$D$501,D128,AJUSTEMENTS!$E$2:$E$501,E128))</f>
        <v/>
      </c>
      <c r="K128">
        <f>IF(A128="",0,IF(J128&lt;&gt;0,J128,I128))</f>
        <v/>
      </c>
    </row>
    <row r="129">
      <c r="A129">
        <f>IF(TRAITEMENTS!$Q129="","",TRAITEMENTS!Q129)</f>
        <v/>
      </c>
      <c r="B129">
        <f>IF(TRAITEMENTS!$Q129="","",TRAITEMENTS!E129)</f>
        <v/>
      </c>
      <c r="C129">
        <f>IF(TRAITEMENTS!$Q129="","",TRAITEMENTS!F129)</f>
        <v/>
      </c>
      <c r="D129">
        <f>IF(TRAITEMENTS!$Q129="","",TRAITEMENTS!G129)</f>
        <v/>
      </c>
      <c r="E129">
        <f>IF(TRAITEMENTS!$Q129="","",TRAITEMENTS!H129)</f>
        <v/>
      </c>
      <c r="F129">
        <f>IF(TRAITEMENTS!$Q129="","",TRAITEMENTS!O129)</f>
        <v/>
      </c>
      <c r="G129">
        <f>IF(A129="",0,SUMIFS(TRAITEMENTS!$O$2:$O$501,TRAITEMENTS!$Q$2:$Q$501,A129,TRAITEMENTS!$E$2:$E$501,B129))</f>
        <v/>
      </c>
      <c r="H129">
        <f>IF(A129="",0,SUMIFS(CONNEXIONS!$C$2:$C$501,CONNEXIONS!$D$2:$D$501,A129,CONNEXIONS!$B$2:$B$501,B129))</f>
        <v/>
      </c>
      <c r="I129">
        <f>IF(G129=0,0,F129/G129*H129)</f>
        <v/>
      </c>
      <c r="J129">
        <f>IF(A129="",0,SUMIFS(AJUSTEMENTS!$F$2:$F$501,AJUSTEMENTS!$A$2:$A$501,A129,AJUSTEMENTS!$B$2:$B$501,B129,AJUSTEMENTS!$C$2:$C$501,C129,AJUSTEMENTS!$D$2:$D$501,D129,AJUSTEMENTS!$E$2:$E$501,E129))</f>
        <v/>
      </c>
      <c r="K129">
        <f>IF(A129="",0,IF(J129&lt;&gt;0,J129,I129))</f>
        <v/>
      </c>
    </row>
    <row r="130">
      <c r="A130">
        <f>IF(TRAITEMENTS!$Q130="","",TRAITEMENTS!Q130)</f>
        <v/>
      </c>
      <c r="B130">
        <f>IF(TRAITEMENTS!$Q130="","",TRAITEMENTS!E130)</f>
        <v/>
      </c>
      <c r="C130">
        <f>IF(TRAITEMENTS!$Q130="","",TRAITEMENTS!F130)</f>
        <v/>
      </c>
      <c r="D130">
        <f>IF(TRAITEMENTS!$Q130="","",TRAITEMENTS!G130)</f>
        <v/>
      </c>
      <c r="E130">
        <f>IF(TRAITEMENTS!$Q130="","",TRAITEMENTS!H130)</f>
        <v/>
      </c>
      <c r="F130">
        <f>IF(TRAITEMENTS!$Q130="","",TRAITEMENTS!O130)</f>
        <v/>
      </c>
      <c r="G130">
        <f>IF(A130="",0,SUMIFS(TRAITEMENTS!$O$2:$O$501,TRAITEMENTS!$Q$2:$Q$501,A130,TRAITEMENTS!$E$2:$E$501,B130))</f>
        <v/>
      </c>
      <c r="H130">
        <f>IF(A130="",0,SUMIFS(CONNEXIONS!$C$2:$C$501,CONNEXIONS!$D$2:$D$501,A130,CONNEXIONS!$B$2:$B$501,B130))</f>
        <v/>
      </c>
      <c r="I130">
        <f>IF(G130=0,0,F130/G130*H130)</f>
        <v/>
      </c>
      <c r="J130">
        <f>IF(A130="",0,SUMIFS(AJUSTEMENTS!$F$2:$F$501,AJUSTEMENTS!$A$2:$A$501,A130,AJUSTEMENTS!$B$2:$B$501,B130,AJUSTEMENTS!$C$2:$C$501,C130,AJUSTEMENTS!$D$2:$D$501,D130,AJUSTEMENTS!$E$2:$E$501,E130))</f>
        <v/>
      </c>
      <c r="K130">
        <f>IF(A130="",0,IF(J130&lt;&gt;0,J130,I130))</f>
        <v/>
      </c>
    </row>
    <row r="131">
      <c r="A131">
        <f>IF(TRAITEMENTS!$Q131="","",TRAITEMENTS!Q131)</f>
        <v/>
      </c>
      <c r="B131">
        <f>IF(TRAITEMENTS!$Q131="","",TRAITEMENTS!E131)</f>
        <v/>
      </c>
      <c r="C131">
        <f>IF(TRAITEMENTS!$Q131="","",TRAITEMENTS!F131)</f>
        <v/>
      </c>
      <c r="D131">
        <f>IF(TRAITEMENTS!$Q131="","",TRAITEMENTS!G131)</f>
        <v/>
      </c>
      <c r="E131">
        <f>IF(TRAITEMENTS!$Q131="","",TRAITEMENTS!H131)</f>
        <v/>
      </c>
      <c r="F131">
        <f>IF(TRAITEMENTS!$Q131="","",TRAITEMENTS!O131)</f>
        <v/>
      </c>
      <c r="G131">
        <f>IF(A131="",0,SUMIFS(TRAITEMENTS!$O$2:$O$501,TRAITEMENTS!$Q$2:$Q$501,A131,TRAITEMENTS!$E$2:$E$501,B131))</f>
        <v/>
      </c>
      <c r="H131">
        <f>IF(A131="",0,SUMIFS(CONNEXIONS!$C$2:$C$501,CONNEXIONS!$D$2:$D$501,A131,CONNEXIONS!$B$2:$B$501,B131))</f>
        <v/>
      </c>
      <c r="I131">
        <f>IF(G131=0,0,F131/G131*H131)</f>
        <v/>
      </c>
      <c r="J131">
        <f>IF(A131="",0,SUMIFS(AJUSTEMENTS!$F$2:$F$501,AJUSTEMENTS!$A$2:$A$501,A131,AJUSTEMENTS!$B$2:$B$501,B131,AJUSTEMENTS!$C$2:$C$501,C131,AJUSTEMENTS!$D$2:$D$501,D131,AJUSTEMENTS!$E$2:$E$501,E131))</f>
        <v/>
      </c>
      <c r="K131">
        <f>IF(A131="",0,IF(J131&lt;&gt;0,J131,I131))</f>
        <v/>
      </c>
    </row>
    <row r="132">
      <c r="A132">
        <f>IF(TRAITEMENTS!$Q132="","",TRAITEMENTS!Q132)</f>
        <v/>
      </c>
      <c r="B132">
        <f>IF(TRAITEMENTS!$Q132="","",TRAITEMENTS!E132)</f>
        <v/>
      </c>
      <c r="C132">
        <f>IF(TRAITEMENTS!$Q132="","",TRAITEMENTS!F132)</f>
        <v/>
      </c>
      <c r="D132">
        <f>IF(TRAITEMENTS!$Q132="","",TRAITEMENTS!G132)</f>
        <v/>
      </c>
      <c r="E132">
        <f>IF(TRAITEMENTS!$Q132="","",TRAITEMENTS!H132)</f>
        <v/>
      </c>
      <c r="F132">
        <f>IF(TRAITEMENTS!$Q132="","",TRAITEMENTS!O132)</f>
        <v/>
      </c>
      <c r="G132">
        <f>IF(A132="",0,SUMIFS(TRAITEMENTS!$O$2:$O$501,TRAITEMENTS!$Q$2:$Q$501,A132,TRAITEMENTS!$E$2:$E$501,B132))</f>
        <v/>
      </c>
      <c r="H132">
        <f>IF(A132="",0,SUMIFS(CONNEXIONS!$C$2:$C$501,CONNEXIONS!$D$2:$D$501,A132,CONNEXIONS!$B$2:$B$501,B132))</f>
        <v/>
      </c>
      <c r="I132">
        <f>IF(G132=0,0,F132/G132*H132)</f>
        <v/>
      </c>
      <c r="J132">
        <f>IF(A132="",0,SUMIFS(AJUSTEMENTS!$F$2:$F$501,AJUSTEMENTS!$A$2:$A$501,A132,AJUSTEMENTS!$B$2:$B$501,B132,AJUSTEMENTS!$C$2:$C$501,C132,AJUSTEMENTS!$D$2:$D$501,D132,AJUSTEMENTS!$E$2:$E$501,E132))</f>
        <v/>
      </c>
      <c r="K132">
        <f>IF(A132="",0,IF(J132&lt;&gt;0,J132,I132))</f>
        <v/>
      </c>
    </row>
    <row r="133">
      <c r="A133">
        <f>IF(TRAITEMENTS!$Q133="","",TRAITEMENTS!Q133)</f>
        <v/>
      </c>
      <c r="B133">
        <f>IF(TRAITEMENTS!$Q133="","",TRAITEMENTS!E133)</f>
        <v/>
      </c>
      <c r="C133">
        <f>IF(TRAITEMENTS!$Q133="","",TRAITEMENTS!F133)</f>
        <v/>
      </c>
      <c r="D133">
        <f>IF(TRAITEMENTS!$Q133="","",TRAITEMENTS!G133)</f>
        <v/>
      </c>
      <c r="E133">
        <f>IF(TRAITEMENTS!$Q133="","",TRAITEMENTS!H133)</f>
        <v/>
      </c>
      <c r="F133">
        <f>IF(TRAITEMENTS!$Q133="","",TRAITEMENTS!O133)</f>
        <v/>
      </c>
      <c r="G133">
        <f>IF(A133="",0,SUMIFS(TRAITEMENTS!$O$2:$O$501,TRAITEMENTS!$Q$2:$Q$501,A133,TRAITEMENTS!$E$2:$E$501,B133))</f>
        <v/>
      </c>
      <c r="H133">
        <f>IF(A133="",0,SUMIFS(CONNEXIONS!$C$2:$C$501,CONNEXIONS!$D$2:$D$501,A133,CONNEXIONS!$B$2:$B$501,B133))</f>
        <v/>
      </c>
      <c r="I133">
        <f>IF(G133=0,0,F133/G133*H133)</f>
        <v/>
      </c>
      <c r="J133">
        <f>IF(A133="",0,SUMIFS(AJUSTEMENTS!$F$2:$F$501,AJUSTEMENTS!$A$2:$A$501,A133,AJUSTEMENTS!$B$2:$B$501,B133,AJUSTEMENTS!$C$2:$C$501,C133,AJUSTEMENTS!$D$2:$D$501,D133,AJUSTEMENTS!$E$2:$E$501,E133))</f>
        <v/>
      </c>
      <c r="K133">
        <f>IF(A133="",0,IF(J133&lt;&gt;0,J133,I133))</f>
        <v/>
      </c>
    </row>
    <row r="134">
      <c r="A134">
        <f>IF(TRAITEMENTS!$Q134="","",TRAITEMENTS!Q134)</f>
        <v/>
      </c>
      <c r="B134">
        <f>IF(TRAITEMENTS!$Q134="","",TRAITEMENTS!E134)</f>
        <v/>
      </c>
      <c r="C134">
        <f>IF(TRAITEMENTS!$Q134="","",TRAITEMENTS!F134)</f>
        <v/>
      </c>
      <c r="D134">
        <f>IF(TRAITEMENTS!$Q134="","",TRAITEMENTS!G134)</f>
        <v/>
      </c>
      <c r="E134">
        <f>IF(TRAITEMENTS!$Q134="","",TRAITEMENTS!H134)</f>
        <v/>
      </c>
      <c r="F134">
        <f>IF(TRAITEMENTS!$Q134="","",TRAITEMENTS!O134)</f>
        <v/>
      </c>
      <c r="G134">
        <f>IF(A134="",0,SUMIFS(TRAITEMENTS!$O$2:$O$501,TRAITEMENTS!$Q$2:$Q$501,A134,TRAITEMENTS!$E$2:$E$501,B134))</f>
        <v/>
      </c>
      <c r="H134">
        <f>IF(A134="",0,SUMIFS(CONNEXIONS!$C$2:$C$501,CONNEXIONS!$D$2:$D$501,A134,CONNEXIONS!$B$2:$B$501,B134))</f>
        <v/>
      </c>
      <c r="I134">
        <f>IF(G134=0,0,F134/G134*H134)</f>
        <v/>
      </c>
      <c r="J134">
        <f>IF(A134="",0,SUMIFS(AJUSTEMENTS!$F$2:$F$501,AJUSTEMENTS!$A$2:$A$501,A134,AJUSTEMENTS!$B$2:$B$501,B134,AJUSTEMENTS!$C$2:$C$501,C134,AJUSTEMENTS!$D$2:$D$501,D134,AJUSTEMENTS!$E$2:$E$501,E134))</f>
        <v/>
      </c>
      <c r="K134">
        <f>IF(A134="",0,IF(J134&lt;&gt;0,J134,I134))</f>
        <v/>
      </c>
    </row>
    <row r="135">
      <c r="A135">
        <f>IF(TRAITEMENTS!$Q135="","",TRAITEMENTS!Q135)</f>
        <v/>
      </c>
      <c r="B135">
        <f>IF(TRAITEMENTS!$Q135="","",TRAITEMENTS!E135)</f>
        <v/>
      </c>
      <c r="C135">
        <f>IF(TRAITEMENTS!$Q135="","",TRAITEMENTS!F135)</f>
        <v/>
      </c>
      <c r="D135">
        <f>IF(TRAITEMENTS!$Q135="","",TRAITEMENTS!G135)</f>
        <v/>
      </c>
      <c r="E135">
        <f>IF(TRAITEMENTS!$Q135="","",TRAITEMENTS!H135)</f>
        <v/>
      </c>
      <c r="F135">
        <f>IF(TRAITEMENTS!$Q135="","",TRAITEMENTS!O135)</f>
        <v/>
      </c>
      <c r="G135">
        <f>IF(A135="",0,SUMIFS(TRAITEMENTS!$O$2:$O$501,TRAITEMENTS!$Q$2:$Q$501,A135,TRAITEMENTS!$E$2:$E$501,B135))</f>
        <v/>
      </c>
      <c r="H135">
        <f>IF(A135="",0,SUMIFS(CONNEXIONS!$C$2:$C$501,CONNEXIONS!$D$2:$D$501,A135,CONNEXIONS!$B$2:$B$501,B135))</f>
        <v/>
      </c>
      <c r="I135">
        <f>IF(G135=0,0,F135/G135*H135)</f>
        <v/>
      </c>
      <c r="J135">
        <f>IF(A135="",0,SUMIFS(AJUSTEMENTS!$F$2:$F$501,AJUSTEMENTS!$A$2:$A$501,A135,AJUSTEMENTS!$B$2:$B$501,B135,AJUSTEMENTS!$C$2:$C$501,C135,AJUSTEMENTS!$D$2:$D$501,D135,AJUSTEMENTS!$E$2:$E$501,E135))</f>
        <v/>
      </c>
      <c r="K135">
        <f>IF(A135="",0,IF(J135&lt;&gt;0,J135,I135))</f>
        <v/>
      </c>
    </row>
    <row r="136">
      <c r="A136">
        <f>IF(TRAITEMENTS!$Q136="","",TRAITEMENTS!Q136)</f>
        <v/>
      </c>
      <c r="B136">
        <f>IF(TRAITEMENTS!$Q136="","",TRAITEMENTS!E136)</f>
        <v/>
      </c>
      <c r="C136">
        <f>IF(TRAITEMENTS!$Q136="","",TRAITEMENTS!F136)</f>
        <v/>
      </c>
      <c r="D136">
        <f>IF(TRAITEMENTS!$Q136="","",TRAITEMENTS!G136)</f>
        <v/>
      </c>
      <c r="E136">
        <f>IF(TRAITEMENTS!$Q136="","",TRAITEMENTS!H136)</f>
        <v/>
      </c>
      <c r="F136">
        <f>IF(TRAITEMENTS!$Q136="","",TRAITEMENTS!O136)</f>
        <v/>
      </c>
      <c r="G136">
        <f>IF(A136="",0,SUMIFS(TRAITEMENTS!$O$2:$O$501,TRAITEMENTS!$Q$2:$Q$501,A136,TRAITEMENTS!$E$2:$E$501,B136))</f>
        <v/>
      </c>
      <c r="H136">
        <f>IF(A136="",0,SUMIFS(CONNEXIONS!$C$2:$C$501,CONNEXIONS!$D$2:$D$501,A136,CONNEXIONS!$B$2:$B$501,B136))</f>
        <v/>
      </c>
      <c r="I136">
        <f>IF(G136=0,0,F136/G136*H136)</f>
        <v/>
      </c>
      <c r="J136">
        <f>IF(A136="",0,SUMIFS(AJUSTEMENTS!$F$2:$F$501,AJUSTEMENTS!$A$2:$A$501,A136,AJUSTEMENTS!$B$2:$B$501,B136,AJUSTEMENTS!$C$2:$C$501,C136,AJUSTEMENTS!$D$2:$D$501,D136,AJUSTEMENTS!$E$2:$E$501,E136))</f>
        <v/>
      </c>
      <c r="K136">
        <f>IF(A136="",0,IF(J136&lt;&gt;0,J136,I136))</f>
        <v/>
      </c>
    </row>
    <row r="137">
      <c r="A137">
        <f>IF(TRAITEMENTS!$Q137="","",TRAITEMENTS!Q137)</f>
        <v/>
      </c>
      <c r="B137">
        <f>IF(TRAITEMENTS!$Q137="","",TRAITEMENTS!E137)</f>
        <v/>
      </c>
      <c r="C137">
        <f>IF(TRAITEMENTS!$Q137="","",TRAITEMENTS!F137)</f>
        <v/>
      </c>
      <c r="D137">
        <f>IF(TRAITEMENTS!$Q137="","",TRAITEMENTS!G137)</f>
        <v/>
      </c>
      <c r="E137">
        <f>IF(TRAITEMENTS!$Q137="","",TRAITEMENTS!H137)</f>
        <v/>
      </c>
      <c r="F137">
        <f>IF(TRAITEMENTS!$Q137="","",TRAITEMENTS!O137)</f>
        <v/>
      </c>
      <c r="G137">
        <f>IF(A137="",0,SUMIFS(TRAITEMENTS!$O$2:$O$501,TRAITEMENTS!$Q$2:$Q$501,A137,TRAITEMENTS!$E$2:$E$501,B137))</f>
        <v/>
      </c>
      <c r="H137">
        <f>IF(A137="",0,SUMIFS(CONNEXIONS!$C$2:$C$501,CONNEXIONS!$D$2:$D$501,A137,CONNEXIONS!$B$2:$B$501,B137))</f>
        <v/>
      </c>
      <c r="I137">
        <f>IF(G137=0,0,F137/G137*H137)</f>
        <v/>
      </c>
      <c r="J137">
        <f>IF(A137="",0,SUMIFS(AJUSTEMENTS!$F$2:$F$501,AJUSTEMENTS!$A$2:$A$501,A137,AJUSTEMENTS!$B$2:$B$501,B137,AJUSTEMENTS!$C$2:$C$501,C137,AJUSTEMENTS!$D$2:$D$501,D137,AJUSTEMENTS!$E$2:$E$501,E137))</f>
        <v/>
      </c>
      <c r="K137">
        <f>IF(A137="",0,IF(J137&lt;&gt;0,J137,I137))</f>
        <v/>
      </c>
    </row>
    <row r="138">
      <c r="A138">
        <f>IF(TRAITEMENTS!$Q138="","",TRAITEMENTS!Q138)</f>
        <v/>
      </c>
      <c r="B138">
        <f>IF(TRAITEMENTS!$Q138="","",TRAITEMENTS!E138)</f>
        <v/>
      </c>
      <c r="C138">
        <f>IF(TRAITEMENTS!$Q138="","",TRAITEMENTS!F138)</f>
        <v/>
      </c>
      <c r="D138">
        <f>IF(TRAITEMENTS!$Q138="","",TRAITEMENTS!G138)</f>
        <v/>
      </c>
      <c r="E138">
        <f>IF(TRAITEMENTS!$Q138="","",TRAITEMENTS!H138)</f>
        <v/>
      </c>
      <c r="F138">
        <f>IF(TRAITEMENTS!$Q138="","",TRAITEMENTS!O138)</f>
        <v/>
      </c>
      <c r="G138">
        <f>IF(A138="",0,SUMIFS(TRAITEMENTS!$O$2:$O$501,TRAITEMENTS!$Q$2:$Q$501,A138,TRAITEMENTS!$E$2:$E$501,B138))</f>
        <v/>
      </c>
      <c r="H138">
        <f>IF(A138="",0,SUMIFS(CONNEXIONS!$C$2:$C$501,CONNEXIONS!$D$2:$D$501,A138,CONNEXIONS!$B$2:$B$501,B138))</f>
        <v/>
      </c>
      <c r="I138">
        <f>IF(G138=0,0,F138/G138*H138)</f>
        <v/>
      </c>
      <c r="J138">
        <f>IF(A138="",0,SUMIFS(AJUSTEMENTS!$F$2:$F$501,AJUSTEMENTS!$A$2:$A$501,A138,AJUSTEMENTS!$B$2:$B$501,B138,AJUSTEMENTS!$C$2:$C$501,C138,AJUSTEMENTS!$D$2:$D$501,D138,AJUSTEMENTS!$E$2:$E$501,E138))</f>
        <v/>
      </c>
      <c r="K138">
        <f>IF(A138="",0,IF(J138&lt;&gt;0,J138,I138))</f>
        <v/>
      </c>
    </row>
    <row r="139">
      <c r="A139">
        <f>IF(TRAITEMENTS!$Q139="","",TRAITEMENTS!Q139)</f>
        <v/>
      </c>
      <c r="B139">
        <f>IF(TRAITEMENTS!$Q139="","",TRAITEMENTS!E139)</f>
        <v/>
      </c>
      <c r="C139">
        <f>IF(TRAITEMENTS!$Q139="","",TRAITEMENTS!F139)</f>
        <v/>
      </c>
      <c r="D139">
        <f>IF(TRAITEMENTS!$Q139="","",TRAITEMENTS!G139)</f>
        <v/>
      </c>
      <c r="E139">
        <f>IF(TRAITEMENTS!$Q139="","",TRAITEMENTS!H139)</f>
        <v/>
      </c>
      <c r="F139">
        <f>IF(TRAITEMENTS!$Q139="","",TRAITEMENTS!O139)</f>
        <v/>
      </c>
      <c r="G139">
        <f>IF(A139="",0,SUMIFS(TRAITEMENTS!$O$2:$O$501,TRAITEMENTS!$Q$2:$Q$501,A139,TRAITEMENTS!$E$2:$E$501,B139))</f>
        <v/>
      </c>
      <c r="H139">
        <f>IF(A139="",0,SUMIFS(CONNEXIONS!$C$2:$C$501,CONNEXIONS!$D$2:$D$501,A139,CONNEXIONS!$B$2:$B$501,B139))</f>
        <v/>
      </c>
      <c r="I139">
        <f>IF(G139=0,0,F139/G139*H139)</f>
        <v/>
      </c>
      <c r="J139">
        <f>IF(A139="",0,SUMIFS(AJUSTEMENTS!$F$2:$F$501,AJUSTEMENTS!$A$2:$A$501,A139,AJUSTEMENTS!$B$2:$B$501,B139,AJUSTEMENTS!$C$2:$C$501,C139,AJUSTEMENTS!$D$2:$D$501,D139,AJUSTEMENTS!$E$2:$E$501,E139))</f>
        <v/>
      </c>
      <c r="K139">
        <f>IF(A139="",0,IF(J139&lt;&gt;0,J139,I139))</f>
        <v/>
      </c>
    </row>
    <row r="140">
      <c r="A140">
        <f>IF(TRAITEMENTS!$Q140="","",TRAITEMENTS!Q140)</f>
        <v/>
      </c>
      <c r="B140">
        <f>IF(TRAITEMENTS!$Q140="","",TRAITEMENTS!E140)</f>
        <v/>
      </c>
      <c r="C140">
        <f>IF(TRAITEMENTS!$Q140="","",TRAITEMENTS!F140)</f>
        <v/>
      </c>
      <c r="D140">
        <f>IF(TRAITEMENTS!$Q140="","",TRAITEMENTS!G140)</f>
        <v/>
      </c>
      <c r="E140">
        <f>IF(TRAITEMENTS!$Q140="","",TRAITEMENTS!H140)</f>
        <v/>
      </c>
      <c r="F140">
        <f>IF(TRAITEMENTS!$Q140="","",TRAITEMENTS!O140)</f>
        <v/>
      </c>
      <c r="G140">
        <f>IF(A140="",0,SUMIFS(TRAITEMENTS!$O$2:$O$501,TRAITEMENTS!$Q$2:$Q$501,A140,TRAITEMENTS!$E$2:$E$501,B140))</f>
        <v/>
      </c>
      <c r="H140">
        <f>IF(A140="",0,SUMIFS(CONNEXIONS!$C$2:$C$501,CONNEXIONS!$D$2:$D$501,A140,CONNEXIONS!$B$2:$B$501,B140))</f>
        <v/>
      </c>
      <c r="I140">
        <f>IF(G140=0,0,F140/G140*H140)</f>
        <v/>
      </c>
      <c r="J140">
        <f>IF(A140="",0,SUMIFS(AJUSTEMENTS!$F$2:$F$501,AJUSTEMENTS!$A$2:$A$501,A140,AJUSTEMENTS!$B$2:$B$501,B140,AJUSTEMENTS!$C$2:$C$501,C140,AJUSTEMENTS!$D$2:$D$501,D140,AJUSTEMENTS!$E$2:$E$501,E140))</f>
        <v/>
      </c>
      <c r="K140">
        <f>IF(A140="",0,IF(J140&lt;&gt;0,J140,I140))</f>
        <v/>
      </c>
    </row>
    <row r="141">
      <c r="A141">
        <f>IF(TRAITEMENTS!$Q141="","",TRAITEMENTS!Q141)</f>
        <v/>
      </c>
      <c r="B141">
        <f>IF(TRAITEMENTS!$Q141="","",TRAITEMENTS!E141)</f>
        <v/>
      </c>
      <c r="C141">
        <f>IF(TRAITEMENTS!$Q141="","",TRAITEMENTS!F141)</f>
        <v/>
      </c>
      <c r="D141">
        <f>IF(TRAITEMENTS!$Q141="","",TRAITEMENTS!G141)</f>
        <v/>
      </c>
      <c r="E141">
        <f>IF(TRAITEMENTS!$Q141="","",TRAITEMENTS!H141)</f>
        <v/>
      </c>
      <c r="F141">
        <f>IF(TRAITEMENTS!$Q141="","",TRAITEMENTS!O141)</f>
        <v/>
      </c>
      <c r="G141">
        <f>IF(A141="",0,SUMIFS(TRAITEMENTS!$O$2:$O$501,TRAITEMENTS!$Q$2:$Q$501,A141,TRAITEMENTS!$E$2:$E$501,B141))</f>
        <v/>
      </c>
      <c r="H141">
        <f>IF(A141="",0,SUMIFS(CONNEXIONS!$C$2:$C$501,CONNEXIONS!$D$2:$D$501,A141,CONNEXIONS!$B$2:$B$501,B141))</f>
        <v/>
      </c>
      <c r="I141">
        <f>IF(G141=0,0,F141/G141*H141)</f>
        <v/>
      </c>
      <c r="J141">
        <f>IF(A141="",0,SUMIFS(AJUSTEMENTS!$F$2:$F$501,AJUSTEMENTS!$A$2:$A$501,A141,AJUSTEMENTS!$B$2:$B$501,B141,AJUSTEMENTS!$C$2:$C$501,C141,AJUSTEMENTS!$D$2:$D$501,D141,AJUSTEMENTS!$E$2:$E$501,E141))</f>
        <v/>
      </c>
      <c r="K141">
        <f>IF(A141="",0,IF(J141&lt;&gt;0,J141,I141))</f>
        <v/>
      </c>
    </row>
    <row r="142">
      <c r="A142">
        <f>IF(TRAITEMENTS!$Q142="","",TRAITEMENTS!Q142)</f>
        <v/>
      </c>
      <c r="B142">
        <f>IF(TRAITEMENTS!$Q142="","",TRAITEMENTS!E142)</f>
        <v/>
      </c>
      <c r="C142">
        <f>IF(TRAITEMENTS!$Q142="","",TRAITEMENTS!F142)</f>
        <v/>
      </c>
      <c r="D142">
        <f>IF(TRAITEMENTS!$Q142="","",TRAITEMENTS!G142)</f>
        <v/>
      </c>
      <c r="E142">
        <f>IF(TRAITEMENTS!$Q142="","",TRAITEMENTS!H142)</f>
        <v/>
      </c>
      <c r="F142">
        <f>IF(TRAITEMENTS!$Q142="","",TRAITEMENTS!O142)</f>
        <v/>
      </c>
      <c r="G142">
        <f>IF(A142="",0,SUMIFS(TRAITEMENTS!$O$2:$O$501,TRAITEMENTS!$Q$2:$Q$501,A142,TRAITEMENTS!$E$2:$E$501,B142))</f>
        <v/>
      </c>
      <c r="H142">
        <f>IF(A142="",0,SUMIFS(CONNEXIONS!$C$2:$C$501,CONNEXIONS!$D$2:$D$501,A142,CONNEXIONS!$B$2:$B$501,B142))</f>
        <v/>
      </c>
      <c r="I142">
        <f>IF(G142=0,0,F142/G142*H142)</f>
        <v/>
      </c>
      <c r="J142">
        <f>IF(A142="",0,SUMIFS(AJUSTEMENTS!$F$2:$F$501,AJUSTEMENTS!$A$2:$A$501,A142,AJUSTEMENTS!$B$2:$B$501,B142,AJUSTEMENTS!$C$2:$C$501,C142,AJUSTEMENTS!$D$2:$D$501,D142,AJUSTEMENTS!$E$2:$E$501,E142))</f>
        <v/>
      </c>
      <c r="K142">
        <f>IF(A142="",0,IF(J142&lt;&gt;0,J142,I142))</f>
        <v/>
      </c>
    </row>
    <row r="143">
      <c r="A143">
        <f>IF(TRAITEMENTS!$Q143="","",TRAITEMENTS!Q143)</f>
        <v/>
      </c>
      <c r="B143">
        <f>IF(TRAITEMENTS!$Q143="","",TRAITEMENTS!E143)</f>
        <v/>
      </c>
      <c r="C143">
        <f>IF(TRAITEMENTS!$Q143="","",TRAITEMENTS!F143)</f>
        <v/>
      </c>
      <c r="D143">
        <f>IF(TRAITEMENTS!$Q143="","",TRAITEMENTS!G143)</f>
        <v/>
      </c>
      <c r="E143">
        <f>IF(TRAITEMENTS!$Q143="","",TRAITEMENTS!H143)</f>
        <v/>
      </c>
      <c r="F143">
        <f>IF(TRAITEMENTS!$Q143="","",TRAITEMENTS!O143)</f>
        <v/>
      </c>
      <c r="G143">
        <f>IF(A143="",0,SUMIFS(TRAITEMENTS!$O$2:$O$501,TRAITEMENTS!$Q$2:$Q$501,A143,TRAITEMENTS!$E$2:$E$501,B143))</f>
        <v/>
      </c>
      <c r="H143">
        <f>IF(A143="",0,SUMIFS(CONNEXIONS!$C$2:$C$501,CONNEXIONS!$D$2:$D$501,A143,CONNEXIONS!$B$2:$B$501,B143))</f>
        <v/>
      </c>
      <c r="I143">
        <f>IF(G143=0,0,F143/G143*H143)</f>
        <v/>
      </c>
      <c r="J143">
        <f>IF(A143="",0,SUMIFS(AJUSTEMENTS!$F$2:$F$501,AJUSTEMENTS!$A$2:$A$501,A143,AJUSTEMENTS!$B$2:$B$501,B143,AJUSTEMENTS!$C$2:$C$501,C143,AJUSTEMENTS!$D$2:$D$501,D143,AJUSTEMENTS!$E$2:$E$501,E143))</f>
        <v/>
      </c>
      <c r="K143">
        <f>IF(A143="",0,IF(J143&lt;&gt;0,J143,I143))</f>
        <v/>
      </c>
    </row>
    <row r="144">
      <c r="A144">
        <f>IF(TRAITEMENTS!$Q144="","",TRAITEMENTS!Q144)</f>
        <v/>
      </c>
      <c r="B144">
        <f>IF(TRAITEMENTS!$Q144="","",TRAITEMENTS!E144)</f>
        <v/>
      </c>
      <c r="C144">
        <f>IF(TRAITEMENTS!$Q144="","",TRAITEMENTS!F144)</f>
        <v/>
      </c>
      <c r="D144">
        <f>IF(TRAITEMENTS!$Q144="","",TRAITEMENTS!G144)</f>
        <v/>
      </c>
      <c r="E144">
        <f>IF(TRAITEMENTS!$Q144="","",TRAITEMENTS!H144)</f>
        <v/>
      </c>
      <c r="F144">
        <f>IF(TRAITEMENTS!$Q144="","",TRAITEMENTS!O144)</f>
        <v/>
      </c>
      <c r="G144">
        <f>IF(A144="",0,SUMIFS(TRAITEMENTS!$O$2:$O$501,TRAITEMENTS!$Q$2:$Q$501,A144,TRAITEMENTS!$E$2:$E$501,B144))</f>
        <v/>
      </c>
      <c r="H144">
        <f>IF(A144="",0,SUMIFS(CONNEXIONS!$C$2:$C$501,CONNEXIONS!$D$2:$D$501,A144,CONNEXIONS!$B$2:$B$501,B144))</f>
        <v/>
      </c>
      <c r="I144">
        <f>IF(G144=0,0,F144/G144*H144)</f>
        <v/>
      </c>
      <c r="J144">
        <f>IF(A144="",0,SUMIFS(AJUSTEMENTS!$F$2:$F$501,AJUSTEMENTS!$A$2:$A$501,A144,AJUSTEMENTS!$B$2:$B$501,B144,AJUSTEMENTS!$C$2:$C$501,C144,AJUSTEMENTS!$D$2:$D$501,D144,AJUSTEMENTS!$E$2:$E$501,E144))</f>
        <v/>
      </c>
      <c r="K144">
        <f>IF(A144="",0,IF(J144&lt;&gt;0,J144,I144))</f>
        <v/>
      </c>
    </row>
    <row r="145">
      <c r="A145">
        <f>IF(TRAITEMENTS!$Q145="","",TRAITEMENTS!Q145)</f>
        <v/>
      </c>
      <c r="B145">
        <f>IF(TRAITEMENTS!$Q145="","",TRAITEMENTS!E145)</f>
        <v/>
      </c>
      <c r="C145">
        <f>IF(TRAITEMENTS!$Q145="","",TRAITEMENTS!F145)</f>
        <v/>
      </c>
      <c r="D145">
        <f>IF(TRAITEMENTS!$Q145="","",TRAITEMENTS!G145)</f>
        <v/>
      </c>
      <c r="E145">
        <f>IF(TRAITEMENTS!$Q145="","",TRAITEMENTS!H145)</f>
        <v/>
      </c>
      <c r="F145">
        <f>IF(TRAITEMENTS!$Q145="","",TRAITEMENTS!O145)</f>
        <v/>
      </c>
      <c r="G145">
        <f>IF(A145="",0,SUMIFS(TRAITEMENTS!$O$2:$O$501,TRAITEMENTS!$Q$2:$Q$501,A145,TRAITEMENTS!$E$2:$E$501,B145))</f>
        <v/>
      </c>
      <c r="H145">
        <f>IF(A145="",0,SUMIFS(CONNEXIONS!$C$2:$C$501,CONNEXIONS!$D$2:$D$501,A145,CONNEXIONS!$B$2:$B$501,B145))</f>
        <v/>
      </c>
      <c r="I145">
        <f>IF(G145=0,0,F145/G145*H145)</f>
        <v/>
      </c>
      <c r="J145">
        <f>IF(A145="",0,SUMIFS(AJUSTEMENTS!$F$2:$F$501,AJUSTEMENTS!$A$2:$A$501,A145,AJUSTEMENTS!$B$2:$B$501,B145,AJUSTEMENTS!$C$2:$C$501,C145,AJUSTEMENTS!$D$2:$D$501,D145,AJUSTEMENTS!$E$2:$E$501,E145))</f>
        <v/>
      </c>
      <c r="K145">
        <f>IF(A145="",0,IF(J145&lt;&gt;0,J145,I145))</f>
        <v/>
      </c>
    </row>
    <row r="146">
      <c r="A146">
        <f>IF(TRAITEMENTS!$Q146="","",TRAITEMENTS!Q146)</f>
        <v/>
      </c>
      <c r="B146">
        <f>IF(TRAITEMENTS!$Q146="","",TRAITEMENTS!E146)</f>
        <v/>
      </c>
      <c r="C146">
        <f>IF(TRAITEMENTS!$Q146="","",TRAITEMENTS!F146)</f>
        <v/>
      </c>
      <c r="D146">
        <f>IF(TRAITEMENTS!$Q146="","",TRAITEMENTS!G146)</f>
        <v/>
      </c>
      <c r="E146">
        <f>IF(TRAITEMENTS!$Q146="","",TRAITEMENTS!H146)</f>
        <v/>
      </c>
      <c r="F146">
        <f>IF(TRAITEMENTS!$Q146="","",TRAITEMENTS!O146)</f>
        <v/>
      </c>
      <c r="G146">
        <f>IF(A146="",0,SUMIFS(TRAITEMENTS!$O$2:$O$501,TRAITEMENTS!$Q$2:$Q$501,A146,TRAITEMENTS!$E$2:$E$501,B146))</f>
        <v/>
      </c>
      <c r="H146">
        <f>IF(A146="",0,SUMIFS(CONNEXIONS!$C$2:$C$501,CONNEXIONS!$D$2:$D$501,A146,CONNEXIONS!$B$2:$B$501,B146))</f>
        <v/>
      </c>
      <c r="I146">
        <f>IF(G146=0,0,F146/G146*H146)</f>
        <v/>
      </c>
      <c r="J146">
        <f>IF(A146="",0,SUMIFS(AJUSTEMENTS!$F$2:$F$501,AJUSTEMENTS!$A$2:$A$501,A146,AJUSTEMENTS!$B$2:$B$501,B146,AJUSTEMENTS!$C$2:$C$501,C146,AJUSTEMENTS!$D$2:$D$501,D146,AJUSTEMENTS!$E$2:$E$501,E146))</f>
        <v/>
      </c>
      <c r="K146">
        <f>IF(A146="",0,IF(J146&lt;&gt;0,J146,I146))</f>
        <v/>
      </c>
    </row>
    <row r="147">
      <c r="A147">
        <f>IF(TRAITEMENTS!$Q147="","",TRAITEMENTS!Q147)</f>
        <v/>
      </c>
      <c r="B147">
        <f>IF(TRAITEMENTS!$Q147="","",TRAITEMENTS!E147)</f>
        <v/>
      </c>
      <c r="C147">
        <f>IF(TRAITEMENTS!$Q147="","",TRAITEMENTS!F147)</f>
        <v/>
      </c>
      <c r="D147">
        <f>IF(TRAITEMENTS!$Q147="","",TRAITEMENTS!G147)</f>
        <v/>
      </c>
      <c r="E147">
        <f>IF(TRAITEMENTS!$Q147="","",TRAITEMENTS!H147)</f>
        <v/>
      </c>
      <c r="F147">
        <f>IF(TRAITEMENTS!$Q147="","",TRAITEMENTS!O147)</f>
        <v/>
      </c>
      <c r="G147">
        <f>IF(A147="",0,SUMIFS(TRAITEMENTS!$O$2:$O$501,TRAITEMENTS!$Q$2:$Q$501,A147,TRAITEMENTS!$E$2:$E$501,B147))</f>
        <v/>
      </c>
      <c r="H147">
        <f>IF(A147="",0,SUMIFS(CONNEXIONS!$C$2:$C$501,CONNEXIONS!$D$2:$D$501,A147,CONNEXIONS!$B$2:$B$501,B147))</f>
        <v/>
      </c>
      <c r="I147">
        <f>IF(G147=0,0,F147/G147*H147)</f>
        <v/>
      </c>
      <c r="J147">
        <f>IF(A147="",0,SUMIFS(AJUSTEMENTS!$F$2:$F$501,AJUSTEMENTS!$A$2:$A$501,A147,AJUSTEMENTS!$B$2:$B$501,B147,AJUSTEMENTS!$C$2:$C$501,C147,AJUSTEMENTS!$D$2:$D$501,D147,AJUSTEMENTS!$E$2:$E$501,E147))</f>
        <v/>
      </c>
      <c r="K147">
        <f>IF(A147="",0,IF(J147&lt;&gt;0,J147,I147))</f>
        <v/>
      </c>
    </row>
    <row r="148">
      <c r="A148">
        <f>IF(TRAITEMENTS!$Q148="","",TRAITEMENTS!Q148)</f>
        <v/>
      </c>
      <c r="B148">
        <f>IF(TRAITEMENTS!$Q148="","",TRAITEMENTS!E148)</f>
        <v/>
      </c>
      <c r="C148">
        <f>IF(TRAITEMENTS!$Q148="","",TRAITEMENTS!F148)</f>
        <v/>
      </c>
      <c r="D148">
        <f>IF(TRAITEMENTS!$Q148="","",TRAITEMENTS!G148)</f>
        <v/>
      </c>
      <c r="E148">
        <f>IF(TRAITEMENTS!$Q148="","",TRAITEMENTS!H148)</f>
        <v/>
      </c>
      <c r="F148">
        <f>IF(TRAITEMENTS!$Q148="","",TRAITEMENTS!O148)</f>
        <v/>
      </c>
      <c r="G148">
        <f>IF(A148="",0,SUMIFS(TRAITEMENTS!$O$2:$O$501,TRAITEMENTS!$Q$2:$Q$501,A148,TRAITEMENTS!$E$2:$E$501,B148))</f>
        <v/>
      </c>
      <c r="H148">
        <f>IF(A148="",0,SUMIFS(CONNEXIONS!$C$2:$C$501,CONNEXIONS!$D$2:$D$501,A148,CONNEXIONS!$B$2:$B$501,B148))</f>
        <v/>
      </c>
      <c r="I148">
        <f>IF(G148=0,0,F148/G148*H148)</f>
        <v/>
      </c>
      <c r="J148">
        <f>IF(A148="",0,SUMIFS(AJUSTEMENTS!$F$2:$F$501,AJUSTEMENTS!$A$2:$A$501,A148,AJUSTEMENTS!$B$2:$B$501,B148,AJUSTEMENTS!$C$2:$C$501,C148,AJUSTEMENTS!$D$2:$D$501,D148,AJUSTEMENTS!$E$2:$E$501,E148))</f>
        <v/>
      </c>
      <c r="K148">
        <f>IF(A148="",0,IF(J148&lt;&gt;0,J148,I148))</f>
        <v/>
      </c>
    </row>
    <row r="149">
      <c r="A149">
        <f>IF(TRAITEMENTS!$Q149="","",TRAITEMENTS!Q149)</f>
        <v/>
      </c>
      <c r="B149">
        <f>IF(TRAITEMENTS!$Q149="","",TRAITEMENTS!E149)</f>
        <v/>
      </c>
      <c r="C149">
        <f>IF(TRAITEMENTS!$Q149="","",TRAITEMENTS!F149)</f>
        <v/>
      </c>
      <c r="D149">
        <f>IF(TRAITEMENTS!$Q149="","",TRAITEMENTS!G149)</f>
        <v/>
      </c>
      <c r="E149">
        <f>IF(TRAITEMENTS!$Q149="","",TRAITEMENTS!H149)</f>
        <v/>
      </c>
      <c r="F149">
        <f>IF(TRAITEMENTS!$Q149="","",TRAITEMENTS!O149)</f>
        <v/>
      </c>
      <c r="G149">
        <f>IF(A149="",0,SUMIFS(TRAITEMENTS!$O$2:$O$501,TRAITEMENTS!$Q$2:$Q$501,A149,TRAITEMENTS!$E$2:$E$501,B149))</f>
        <v/>
      </c>
      <c r="H149">
        <f>IF(A149="",0,SUMIFS(CONNEXIONS!$C$2:$C$501,CONNEXIONS!$D$2:$D$501,A149,CONNEXIONS!$B$2:$B$501,B149))</f>
        <v/>
      </c>
      <c r="I149">
        <f>IF(G149=0,0,F149/G149*H149)</f>
        <v/>
      </c>
      <c r="J149">
        <f>IF(A149="",0,SUMIFS(AJUSTEMENTS!$F$2:$F$501,AJUSTEMENTS!$A$2:$A$501,A149,AJUSTEMENTS!$B$2:$B$501,B149,AJUSTEMENTS!$C$2:$C$501,C149,AJUSTEMENTS!$D$2:$D$501,D149,AJUSTEMENTS!$E$2:$E$501,E149))</f>
        <v/>
      </c>
      <c r="K149">
        <f>IF(A149="",0,IF(J149&lt;&gt;0,J149,I149))</f>
        <v/>
      </c>
    </row>
    <row r="150">
      <c r="A150">
        <f>IF(TRAITEMENTS!$Q150="","",TRAITEMENTS!Q150)</f>
        <v/>
      </c>
      <c r="B150">
        <f>IF(TRAITEMENTS!$Q150="","",TRAITEMENTS!E150)</f>
        <v/>
      </c>
      <c r="C150">
        <f>IF(TRAITEMENTS!$Q150="","",TRAITEMENTS!F150)</f>
        <v/>
      </c>
      <c r="D150">
        <f>IF(TRAITEMENTS!$Q150="","",TRAITEMENTS!G150)</f>
        <v/>
      </c>
      <c r="E150">
        <f>IF(TRAITEMENTS!$Q150="","",TRAITEMENTS!H150)</f>
        <v/>
      </c>
      <c r="F150">
        <f>IF(TRAITEMENTS!$Q150="","",TRAITEMENTS!O150)</f>
        <v/>
      </c>
      <c r="G150">
        <f>IF(A150="",0,SUMIFS(TRAITEMENTS!$O$2:$O$501,TRAITEMENTS!$Q$2:$Q$501,A150,TRAITEMENTS!$E$2:$E$501,B150))</f>
        <v/>
      </c>
      <c r="H150">
        <f>IF(A150="",0,SUMIFS(CONNEXIONS!$C$2:$C$501,CONNEXIONS!$D$2:$D$501,A150,CONNEXIONS!$B$2:$B$501,B150))</f>
        <v/>
      </c>
      <c r="I150">
        <f>IF(G150=0,0,F150/G150*H150)</f>
        <v/>
      </c>
      <c r="J150">
        <f>IF(A150="",0,SUMIFS(AJUSTEMENTS!$F$2:$F$501,AJUSTEMENTS!$A$2:$A$501,A150,AJUSTEMENTS!$B$2:$B$501,B150,AJUSTEMENTS!$C$2:$C$501,C150,AJUSTEMENTS!$D$2:$D$501,D150,AJUSTEMENTS!$E$2:$E$501,E150))</f>
        <v/>
      </c>
      <c r="K150">
        <f>IF(A150="",0,IF(J150&lt;&gt;0,J150,I150))</f>
        <v/>
      </c>
    </row>
    <row r="151">
      <c r="A151">
        <f>IF(TRAITEMENTS!$Q151="","",TRAITEMENTS!Q151)</f>
        <v/>
      </c>
      <c r="B151">
        <f>IF(TRAITEMENTS!$Q151="","",TRAITEMENTS!E151)</f>
        <v/>
      </c>
      <c r="C151">
        <f>IF(TRAITEMENTS!$Q151="","",TRAITEMENTS!F151)</f>
        <v/>
      </c>
      <c r="D151">
        <f>IF(TRAITEMENTS!$Q151="","",TRAITEMENTS!G151)</f>
        <v/>
      </c>
      <c r="E151">
        <f>IF(TRAITEMENTS!$Q151="","",TRAITEMENTS!H151)</f>
        <v/>
      </c>
      <c r="F151">
        <f>IF(TRAITEMENTS!$Q151="","",TRAITEMENTS!O151)</f>
        <v/>
      </c>
      <c r="G151">
        <f>IF(A151="",0,SUMIFS(TRAITEMENTS!$O$2:$O$501,TRAITEMENTS!$Q$2:$Q$501,A151,TRAITEMENTS!$E$2:$E$501,B151))</f>
        <v/>
      </c>
      <c r="H151">
        <f>IF(A151="",0,SUMIFS(CONNEXIONS!$C$2:$C$501,CONNEXIONS!$D$2:$D$501,A151,CONNEXIONS!$B$2:$B$501,B151))</f>
        <v/>
      </c>
      <c r="I151">
        <f>IF(G151=0,0,F151/G151*H151)</f>
        <v/>
      </c>
      <c r="J151">
        <f>IF(A151="",0,SUMIFS(AJUSTEMENTS!$F$2:$F$501,AJUSTEMENTS!$A$2:$A$501,A151,AJUSTEMENTS!$B$2:$B$501,B151,AJUSTEMENTS!$C$2:$C$501,C151,AJUSTEMENTS!$D$2:$D$501,D151,AJUSTEMENTS!$E$2:$E$501,E151))</f>
        <v/>
      </c>
      <c r="K151">
        <f>IF(A151="",0,IF(J151&lt;&gt;0,J151,I151))</f>
        <v/>
      </c>
    </row>
    <row r="152">
      <c r="A152">
        <f>IF(TRAITEMENTS!$Q152="","",TRAITEMENTS!Q152)</f>
        <v/>
      </c>
      <c r="B152">
        <f>IF(TRAITEMENTS!$Q152="","",TRAITEMENTS!E152)</f>
        <v/>
      </c>
      <c r="C152">
        <f>IF(TRAITEMENTS!$Q152="","",TRAITEMENTS!F152)</f>
        <v/>
      </c>
      <c r="D152">
        <f>IF(TRAITEMENTS!$Q152="","",TRAITEMENTS!G152)</f>
        <v/>
      </c>
      <c r="E152">
        <f>IF(TRAITEMENTS!$Q152="","",TRAITEMENTS!H152)</f>
        <v/>
      </c>
      <c r="F152">
        <f>IF(TRAITEMENTS!$Q152="","",TRAITEMENTS!O152)</f>
        <v/>
      </c>
      <c r="G152">
        <f>IF(A152="",0,SUMIFS(TRAITEMENTS!$O$2:$O$501,TRAITEMENTS!$Q$2:$Q$501,A152,TRAITEMENTS!$E$2:$E$501,B152))</f>
        <v/>
      </c>
      <c r="H152">
        <f>IF(A152="",0,SUMIFS(CONNEXIONS!$C$2:$C$501,CONNEXIONS!$D$2:$D$501,A152,CONNEXIONS!$B$2:$B$501,B152))</f>
        <v/>
      </c>
      <c r="I152">
        <f>IF(G152=0,0,F152/G152*H152)</f>
        <v/>
      </c>
      <c r="J152">
        <f>IF(A152="",0,SUMIFS(AJUSTEMENTS!$F$2:$F$501,AJUSTEMENTS!$A$2:$A$501,A152,AJUSTEMENTS!$B$2:$B$501,B152,AJUSTEMENTS!$C$2:$C$501,C152,AJUSTEMENTS!$D$2:$D$501,D152,AJUSTEMENTS!$E$2:$E$501,E152))</f>
        <v/>
      </c>
      <c r="K152">
        <f>IF(A152="",0,IF(J152&lt;&gt;0,J152,I152))</f>
        <v/>
      </c>
    </row>
    <row r="153">
      <c r="A153">
        <f>IF(TRAITEMENTS!$Q153="","",TRAITEMENTS!Q153)</f>
        <v/>
      </c>
      <c r="B153">
        <f>IF(TRAITEMENTS!$Q153="","",TRAITEMENTS!E153)</f>
        <v/>
      </c>
      <c r="C153">
        <f>IF(TRAITEMENTS!$Q153="","",TRAITEMENTS!F153)</f>
        <v/>
      </c>
      <c r="D153">
        <f>IF(TRAITEMENTS!$Q153="","",TRAITEMENTS!G153)</f>
        <v/>
      </c>
      <c r="E153">
        <f>IF(TRAITEMENTS!$Q153="","",TRAITEMENTS!H153)</f>
        <v/>
      </c>
      <c r="F153">
        <f>IF(TRAITEMENTS!$Q153="","",TRAITEMENTS!O153)</f>
        <v/>
      </c>
      <c r="G153">
        <f>IF(A153="",0,SUMIFS(TRAITEMENTS!$O$2:$O$501,TRAITEMENTS!$Q$2:$Q$501,A153,TRAITEMENTS!$E$2:$E$501,B153))</f>
        <v/>
      </c>
      <c r="H153">
        <f>IF(A153="",0,SUMIFS(CONNEXIONS!$C$2:$C$501,CONNEXIONS!$D$2:$D$501,A153,CONNEXIONS!$B$2:$B$501,B153))</f>
        <v/>
      </c>
      <c r="I153">
        <f>IF(G153=0,0,F153/G153*H153)</f>
        <v/>
      </c>
      <c r="J153">
        <f>IF(A153="",0,SUMIFS(AJUSTEMENTS!$F$2:$F$501,AJUSTEMENTS!$A$2:$A$501,A153,AJUSTEMENTS!$B$2:$B$501,B153,AJUSTEMENTS!$C$2:$C$501,C153,AJUSTEMENTS!$D$2:$D$501,D153,AJUSTEMENTS!$E$2:$E$501,E153))</f>
        <v/>
      </c>
      <c r="K153">
        <f>IF(A153="",0,IF(J153&lt;&gt;0,J153,I153))</f>
        <v/>
      </c>
    </row>
    <row r="154">
      <c r="A154">
        <f>IF(TRAITEMENTS!$Q154="","",TRAITEMENTS!Q154)</f>
        <v/>
      </c>
      <c r="B154">
        <f>IF(TRAITEMENTS!$Q154="","",TRAITEMENTS!E154)</f>
        <v/>
      </c>
      <c r="C154">
        <f>IF(TRAITEMENTS!$Q154="","",TRAITEMENTS!F154)</f>
        <v/>
      </c>
      <c r="D154">
        <f>IF(TRAITEMENTS!$Q154="","",TRAITEMENTS!G154)</f>
        <v/>
      </c>
      <c r="E154">
        <f>IF(TRAITEMENTS!$Q154="","",TRAITEMENTS!H154)</f>
        <v/>
      </c>
      <c r="F154">
        <f>IF(TRAITEMENTS!$Q154="","",TRAITEMENTS!O154)</f>
        <v/>
      </c>
      <c r="G154">
        <f>IF(A154="",0,SUMIFS(TRAITEMENTS!$O$2:$O$501,TRAITEMENTS!$Q$2:$Q$501,A154,TRAITEMENTS!$E$2:$E$501,B154))</f>
        <v/>
      </c>
      <c r="H154">
        <f>IF(A154="",0,SUMIFS(CONNEXIONS!$C$2:$C$501,CONNEXIONS!$D$2:$D$501,A154,CONNEXIONS!$B$2:$B$501,B154))</f>
        <v/>
      </c>
      <c r="I154">
        <f>IF(G154=0,0,F154/G154*H154)</f>
        <v/>
      </c>
      <c r="J154">
        <f>IF(A154="",0,SUMIFS(AJUSTEMENTS!$F$2:$F$501,AJUSTEMENTS!$A$2:$A$501,A154,AJUSTEMENTS!$B$2:$B$501,B154,AJUSTEMENTS!$C$2:$C$501,C154,AJUSTEMENTS!$D$2:$D$501,D154,AJUSTEMENTS!$E$2:$E$501,E154))</f>
        <v/>
      </c>
      <c r="K154">
        <f>IF(A154="",0,IF(J154&lt;&gt;0,J154,I154))</f>
        <v/>
      </c>
    </row>
    <row r="155">
      <c r="A155">
        <f>IF(TRAITEMENTS!$Q155="","",TRAITEMENTS!Q155)</f>
        <v/>
      </c>
      <c r="B155">
        <f>IF(TRAITEMENTS!$Q155="","",TRAITEMENTS!E155)</f>
        <v/>
      </c>
      <c r="C155">
        <f>IF(TRAITEMENTS!$Q155="","",TRAITEMENTS!F155)</f>
        <v/>
      </c>
      <c r="D155">
        <f>IF(TRAITEMENTS!$Q155="","",TRAITEMENTS!G155)</f>
        <v/>
      </c>
      <c r="E155">
        <f>IF(TRAITEMENTS!$Q155="","",TRAITEMENTS!H155)</f>
        <v/>
      </c>
      <c r="F155">
        <f>IF(TRAITEMENTS!$Q155="","",TRAITEMENTS!O155)</f>
        <v/>
      </c>
      <c r="G155">
        <f>IF(A155="",0,SUMIFS(TRAITEMENTS!$O$2:$O$501,TRAITEMENTS!$Q$2:$Q$501,A155,TRAITEMENTS!$E$2:$E$501,B155))</f>
        <v/>
      </c>
      <c r="H155">
        <f>IF(A155="",0,SUMIFS(CONNEXIONS!$C$2:$C$501,CONNEXIONS!$D$2:$D$501,A155,CONNEXIONS!$B$2:$B$501,B155))</f>
        <v/>
      </c>
      <c r="I155">
        <f>IF(G155=0,0,F155/G155*H155)</f>
        <v/>
      </c>
      <c r="J155">
        <f>IF(A155="",0,SUMIFS(AJUSTEMENTS!$F$2:$F$501,AJUSTEMENTS!$A$2:$A$501,A155,AJUSTEMENTS!$B$2:$B$501,B155,AJUSTEMENTS!$C$2:$C$501,C155,AJUSTEMENTS!$D$2:$D$501,D155,AJUSTEMENTS!$E$2:$E$501,E155))</f>
        <v/>
      </c>
      <c r="K155">
        <f>IF(A155="",0,IF(J155&lt;&gt;0,J155,I155))</f>
        <v/>
      </c>
    </row>
    <row r="156">
      <c r="A156">
        <f>IF(TRAITEMENTS!$Q156="","",TRAITEMENTS!Q156)</f>
        <v/>
      </c>
      <c r="B156">
        <f>IF(TRAITEMENTS!$Q156="","",TRAITEMENTS!E156)</f>
        <v/>
      </c>
      <c r="C156">
        <f>IF(TRAITEMENTS!$Q156="","",TRAITEMENTS!F156)</f>
        <v/>
      </c>
      <c r="D156">
        <f>IF(TRAITEMENTS!$Q156="","",TRAITEMENTS!G156)</f>
        <v/>
      </c>
      <c r="E156">
        <f>IF(TRAITEMENTS!$Q156="","",TRAITEMENTS!H156)</f>
        <v/>
      </c>
      <c r="F156">
        <f>IF(TRAITEMENTS!$Q156="","",TRAITEMENTS!O156)</f>
        <v/>
      </c>
      <c r="G156">
        <f>IF(A156="",0,SUMIFS(TRAITEMENTS!$O$2:$O$501,TRAITEMENTS!$Q$2:$Q$501,A156,TRAITEMENTS!$E$2:$E$501,B156))</f>
        <v/>
      </c>
      <c r="H156">
        <f>IF(A156="",0,SUMIFS(CONNEXIONS!$C$2:$C$501,CONNEXIONS!$D$2:$D$501,A156,CONNEXIONS!$B$2:$B$501,B156))</f>
        <v/>
      </c>
      <c r="I156">
        <f>IF(G156=0,0,F156/G156*H156)</f>
        <v/>
      </c>
      <c r="J156">
        <f>IF(A156="",0,SUMIFS(AJUSTEMENTS!$F$2:$F$501,AJUSTEMENTS!$A$2:$A$501,A156,AJUSTEMENTS!$B$2:$B$501,B156,AJUSTEMENTS!$C$2:$C$501,C156,AJUSTEMENTS!$D$2:$D$501,D156,AJUSTEMENTS!$E$2:$E$501,E156))</f>
        <v/>
      </c>
      <c r="K156">
        <f>IF(A156="",0,IF(J156&lt;&gt;0,J156,I156))</f>
        <v/>
      </c>
    </row>
    <row r="157">
      <c r="A157">
        <f>IF(TRAITEMENTS!$Q157="","",TRAITEMENTS!Q157)</f>
        <v/>
      </c>
      <c r="B157">
        <f>IF(TRAITEMENTS!$Q157="","",TRAITEMENTS!E157)</f>
        <v/>
      </c>
      <c r="C157">
        <f>IF(TRAITEMENTS!$Q157="","",TRAITEMENTS!F157)</f>
        <v/>
      </c>
      <c r="D157">
        <f>IF(TRAITEMENTS!$Q157="","",TRAITEMENTS!G157)</f>
        <v/>
      </c>
      <c r="E157">
        <f>IF(TRAITEMENTS!$Q157="","",TRAITEMENTS!H157)</f>
        <v/>
      </c>
      <c r="F157">
        <f>IF(TRAITEMENTS!$Q157="","",TRAITEMENTS!O157)</f>
        <v/>
      </c>
      <c r="G157">
        <f>IF(A157="",0,SUMIFS(TRAITEMENTS!$O$2:$O$501,TRAITEMENTS!$Q$2:$Q$501,A157,TRAITEMENTS!$E$2:$E$501,B157))</f>
        <v/>
      </c>
      <c r="H157">
        <f>IF(A157="",0,SUMIFS(CONNEXIONS!$C$2:$C$501,CONNEXIONS!$D$2:$D$501,A157,CONNEXIONS!$B$2:$B$501,B157))</f>
        <v/>
      </c>
      <c r="I157">
        <f>IF(G157=0,0,F157/G157*H157)</f>
        <v/>
      </c>
      <c r="J157">
        <f>IF(A157="",0,SUMIFS(AJUSTEMENTS!$F$2:$F$501,AJUSTEMENTS!$A$2:$A$501,A157,AJUSTEMENTS!$B$2:$B$501,B157,AJUSTEMENTS!$C$2:$C$501,C157,AJUSTEMENTS!$D$2:$D$501,D157,AJUSTEMENTS!$E$2:$E$501,E157))</f>
        <v/>
      </c>
      <c r="K157">
        <f>IF(A157="",0,IF(J157&lt;&gt;0,J157,I157))</f>
        <v/>
      </c>
    </row>
    <row r="158">
      <c r="A158">
        <f>IF(TRAITEMENTS!$Q158="","",TRAITEMENTS!Q158)</f>
        <v/>
      </c>
      <c r="B158">
        <f>IF(TRAITEMENTS!$Q158="","",TRAITEMENTS!E158)</f>
        <v/>
      </c>
      <c r="C158">
        <f>IF(TRAITEMENTS!$Q158="","",TRAITEMENTS!F158)</f>
        <v/>
      </c>
      <c r="D158">
        <f>IF(TRAITEMENTS!$Q158="","",TRAITEMENTS!G158)</f>
        <v/>
      </c>
      <c r="E158">
        <f>IF(TRAITEMENTS!$Q158="","",TRAITEMENTS!H158)</f>
        <v/>
      </c>
      <c r="F158">
        <f>IF(TRAITEMENTS!$Q158="","",TRAITEMENTS!O158)</f>
        <v/>
      </c>
      <c r="G158">
        <f>IF(A158="",0,SUMIFS(TRAITEMENTS!$O$2:$O$501,TRAITEMENTS!$Q$2:$Q$501,A158,TRAITEMENTS!$E$2:$E$501,B158))</f>
        <v/>
      </c>
      <c r="H158">
        <f>IF(A158="",0,SUMIFS(CONNEXIONS!$C$2:$C$501,CONNEXIONS!$D$2:$D$501,A158,CONNEXIONS!$B$2:$B$501,B158))</f>
        <v/>
      </c>
      <c r="I158">
        <f>IF(G158=0,0,F158/G158*H158)</f>
        <v/>
      </c>
      <c r="J158">
        <f>IF(A158="",0,SUMIFS(AJUSTEMENTS!$F$2:$F$501,AJUSTEMENTS!$A$2:$A$501,A158,AJUSTEMENTS!$B$2:$B$501,B158,AJUSTEMENTS!$C$2:$C$501,C158,AJUSTEMENTS!$D$2:$D$501,D158,AJUSTEMENTS!$E$2:$E$501,E158))</f>
        <v/>
      </c>
      <c r="K158">
        <f>IF(A158="",0,IF(J158&lt;&gt;0,J158,I158))</f>
        <v/>
      </c>
    </row>
    <row r="159">
      <c r="A159">
        <f>IF(TRAITEMENTS!$Q159="","",TRAITEMENTS!Q159)</f>
        <v/>
      </c>
      <c r="B159">
        <f>IF(TRAITEMENTS!$Q159="","",TRAITEMENTS!E159)</f>
        <v/>
      </c>
      <c r="C159">
        <f>IF(TRAITEMENTS!$Q159="","",TRAITEMENTS!F159)</f>
        <v/>
      </c>
      <c r="D159">
        <f>IF(TRAITEMENTS!$Q159="","",TRAITEMENTS!G159)</f>
        <v/>
      </c>
      <c r="E159">
        <f>IF(TRAITEMENTS!$Q159="","",TRAITEMENTS!H159)</f>
        <v/>
      </c>
      <c r="F159">
        <f>IF(TRAITEMENTS!$Q159="","",TRAITEMENTS!O159)</f>
        <v/>
      </c>
      <c r="G159">
        <f>IF(A159="",0,SUMIFS(TRAITEMENTS!$O$2:$O$501,TRAITEMENTS!$Q$2:$Q$501,A159,TRAITEMENTS!$E$2:$E$501,B159))</f>
        <v/>
      </c>
      <c r="H159">
        <f>IF(A159="",0,SUMIFS(CONNEXIONS!$C$2:$C$501,CONNEXIONS!$D$2:$D$501,A159,CONNEXIONS!$B$2:$B$501,B159))</f>
        <v/>
      </c>
      <c r="I159">
        <f>IF(G159=0,0,F159/G159*H159)</f>
        <v/>
      </c>
      <c r="J159">
        <f>IF(A159="",0,SUMIFS(AJUSTEMENTS!$F$2:$F$501,AJUSTEMENTS!$A$2:$A$501,A159,AJUSTEMENTS!$B$2:$B$501,B159,AJUSTEMENTS!$C$2:$C$501,C159,AJUSTEMENTS!$D$2:$D$501,D159,AJUSTEMENTS!$E$2:$E$501,E159))</f>
        <v/>
      </c>
      <c r="K159">
        <f>IF(A159="",0,IF(J159&lt;&gt;0,J159,I159))</f>
        <v/>
      </c>
    </row>
    <row r="160">
      <c r="A160">
        <f>IF(TRAITEMENTS!$Q160="","",TRAITEMENTS!Q160)</f>
        <v/>
      </c>
      <c r="B160">
        <f>IF(TRAITEMENTS!$Q160="","",TRAITEMENTS!E160)</f>
        <v/>
      </c>
      <c r="C160">
        <f>IF(TRAITEMENTS!$Q160="","",TRAITEMENTS!F160)</f>
        <v/>
      </c>
      <c r="D160">
        <f>IF(TRAITEMENTS!$Q160="","",TRAITEMENTS!G160)</f>
        <v/>
      </c>
      <c r="E160">
        <f>IF(TRAITEMENTS!$Q160="","",TRAITEMENTS!H160)</f>
        <v/>
      </c>
      <c r="F160">
        <f>IF(TRAITEMENTS!$Q160="","",TRAITEMENTS!O160)</f>
        <v/>
      </c>
      <c r="G160">
        <f>IF(A160="",0,SUMIFS(TRAITEMENTS!$O$2:$O$501,TRAITEMENTS!$Q$2:$Q$501,A160,TRAITEMENTS!$E$2:$E$501,B160))</f>
        <v/>
      </c>
      <c r="H160">
        <f>IF(A160="",0,SUMIFS(CONNEXIONS!$C$2:$C$501,CONNEXIONS!$D$2:$D$501,A160,CONNEXIONS!$B$2:$B$501,B160))</f>
        <v/>
      </c>
      <c r="I160">
        <f>IF(G160=0,0,F160/G160*H160)</f>
        <v/>
      </c>
      <c r="J160">
        <f>IF(A160="",0,SUMIFS(AJUSTEMENTS!$F$2:$F$501,AJUSTEMENTS!$A$2:$A$501,A160,AJUSTEMENTS!$B$2:$B$501,B160,AJUSTEMENTS!$C$2:$C$501,C160,AJUSTEMENTS!$D$2:$D$501,D160,AJUSTEMENTS!$E$2:$E$501,E160))</f>
        <v/>
      </c>
      <c r="K160">
        <f>IF(A160="",0,IF(J160&lt;&gt;0,J160,I160))</f>
        <v/>
      </c>
    </row>
    <row r="161">
      <c r="A161">
        <f>IF(TRAITEMENTS!$Q161="","",TRAITEMENTS!Q161)</f>
        <v/>
      </c>
      <c r="B161">
        <f>IF(TRAITEMENTS!$Q161="","",TRAITEMENTS!E161)</f>
        <v/>
      </c>
      <c r="C161">
        <f>IF(TRAITEMENTS!$Q161="","",TRAITEMENTS!F161)</f>
        <v/>
      </c>
      <c r="D161">
        <f>IF(TRAITEMENTS!$Q161="","",TRAITEMENTS!G161)</f>
        <v/>
      </c>
      <c r="E161">
        <f>IF(TRAITEMENTS!$Q161="","",TRAITEMENTS!H161)</f>
        <v/>
      </c>
      <c r="F161">
        <f>IF(TRAITEMENTS!$Q161="","",TRAITEMENTS!O161)</f>
        <v/>
      </c>
      <c r="G161">
        <f>IF(A161="",0,SUMIFS(TRAITEMENTS!$O$2:$O$501,TRAITEMENTS!$Q$2:$Q$501,A161,TRAITEMENTS!$E$2:$E$501,B161))</f>
        <v/>
      </c>
      <c r="H161">
        <f>IF(A161="",0,SUMIFS(CONNEXIONS!$C$2:$C$501,CONNEXIONS!$D$2:$D$501,A161,CONNEXIONS!$B$2:$B$501,B161))</f>
        <v/>
      </c>
      <c r="I161">
        <f>IF(G161=0,0,F161/G161*H161)</f>
        <v/>
      </c>
      <c r="J161">
        <f>IF(A161="",0,SUMIFS(AJUSTEMENTS!$F$2:$F$501,AJUSTEMENTS!$A$2:$A$501,A161,AJUSTEMENTS!$B$2:$B$501,B161,AJUSTEMENTS!$C$2:$C$501,C161,AJUSTEMENTS!$D$2:$D$501,D161,AJUSTEMENTS!$E$2:$E$501,E161))</f>
        <v/>
      </c>
      <c r="K161">
        <f>IF(A161="",0,IF(J161&lt;&gt;0,J161,I161))</f>
        <v/>
      </c>
    </row>
    <row r="162">
      <c r="A162">
        <f>IF(TRAITEMENTS!$Q162="","",TRAITEMENTS!Q162)</f>
        <v/>
      </c>
      <c r="B162">
        <f>IF(TRAITEMENTS!$Q162="","",TRAITEMENTS!E162)</f>
        <v/>
      </c>
      <c r="C162">
        <f>IF(TRAITEMENTS!$Q162="","",TRAITEMENTS!F162)</f>
        <v/>
      </c>
      <c r="D162">
        <f>IF(TRAITEMENTS!$Q162="","",TRAITEMENTS!G162)</f>
        <v/>
      </c>
      <c r="E162">
        <f>IF(TRAITEMENTS!$Q162="","",TRAITEMENTS!H162)</f>
        <v/>
      </c>
      <c r="F162">
        <f>IF(TRAITEMENTS!$Q162="","",TRAITEMENTS!O162)</f>
        <v/>
      </c>
      <c r="G162">
        <f>IF(A162="",0,SUMIFS(TRAITEMENTS!$O$2:$O$501,TRAITEMENTS!$Q$2:$Q$501,A162,TRAITEMENTS!$E$2:$E$501,B162))</f>
        <v/>
      </c>
      <c r="H162">
        <f>IF(A162="",0,SUMIFS(CONNEXIONS!$C$2:$C$501,CONNEXIONS!$D$2:$D$501,A162,CONNEXIONS!$B$2:$B$501,B162))</f>
        <v/>
      </c>
      <c r="I162">
        <f>IF(G162=0,0,F162/G162*H162)</f>
        <v/>
      </c>
      <c r="J162">
        <f>IF(A162="",0,SUMIFS(AJUSTEMENTS!$F$2:$F$501,AJUSTEMENTS!$A$2:$A$501,A162,AJUSTEMENTS!$B$2:$B$501,B162,AJUSTEMENTS!$C$2:$C$501,C162,AJUSTEMENTS!$D$2:$D$501,D162,AJUSTEMENTS!$E$2:$E$501,E162))</f>
        <v/>
      </c>
      <c r="K162">
        <f>IF(A162="",0,IF(J162&lt;&gt;0,J162,I162))</f>
        <v/>
      </c>
    </row>
    <row r="163">
      <c r="A163">
        <f>IF(TRAITEMENTS!$Q163="","",TRAITEMENTS!Q163)</f>
        <v/>
      </c>
      <c r="B163">
        <f>IF(TRAITEMENTS!$Q163="","",TRAITEMENTS!E163)</f>
        <v/>
      </c>
      <c r="C163">
        <f>IF(TRAITEMENTS!$Q163="","",TRAITEMENTS!F163)</f>
        <v/>
      </c>
      <c r="D163">
        <f>IF(TRAITEMENTS!$Q163="","",TRAITEMENTS!G163)</f>
        <v/>
      </c>
      <c r="E163">
        <f>IF(TRAITEMENTS!$Q163="","",TRAITEMENTS!H163)</f>
        <v/>
      </c>
      <c r="F163">
        <f>IF(TRAITEMENTS!$Q163="","",TRAITEMENTS!O163)</f>
        <v/>
      </c>
      <c r="G163">
        <f>IF(A163="",0,SUMIFS(TRAITEMENTS!$O$2:$O$501,TRAITEMENTS!$Q$2:$Q$501,A163,TRAITEMENTS!$E$2:$E$501,B163))</f>
        <v/>
      </c>
      <c r="H163">
        <f>IF(A163="",0,SUMIFS(CONNEXIONS!$C$2:$C$501,CONNEXIONS!$D$2:$D$501,A163,CONNEXIONS!$B$2:$B$501,B163))</f>
        <v/>
      </c>
      <c r="I163">
        <f>IF(G163=0,0,F163/G163*H163)</f>
        <v/>
      </c>
      <c r="J163">
        <f>IF(A163="",0,SUMIFS(AJUSTEMENTS!$F$2:$F$501,AJUSTEMENTS!$A$2:$A$501,A163,AJUSTEMENTS!$B$2:$B$501,B163,AJUSTEMENTS!$C$2:$C$501,C163,AJUSTEMENTS!$D$2:$D$501,D163,AJUSTEMENTS!$E$2:$E$501,E163))</f>
        <v/>
      </c>
      <c r="K163">
        <f>IF(A163="",0,IF(J163&lt;&gt;0,J163,I163))</f>
        <v/>
      </c>
    </row>
    <row r="164">
      <c r="A164">
        <f>IF(TRAITEMENTS!$Q164="","",TRAITEMENTS!Q164)</f>
        <v/>
      </c>
      <c r="B164">
        <f>IF(TRAITEMENTS!$Q164="","",TRAITEMENTS!E164)</f>
        <v/>
      </c>
      <c r="C164">
        <f>IF(TRAITEMENTS!$Q164="","",TRAITEMENTS!F164)</f>
        <v/>
      </c>
      <c r="D164">
        <f>IF(TRAITEMENTS!$Q164="","",TRAITEMENTS!G164)</f>
        <v/>
      </c>
      <c r="E164">
        <f>IF(TRAITEMENTS!$Q164="","",TRAITEMENTS!H164)</f>
        <v/>
      </c>
      <c r="F164">
        <f>IF(TRAITEMENTS!$Q164="","",TRAITEMENTS!O164)</f>
        <v/>
      </c>
      <c r="G164">
        <f>IF(A164="",0,SUMIFS(TRAITEMENTS!$O$2:$O$501,TRAITEMENTS!$Q$2:$Q$501,A164,TRAITEMENTS!$E$2:$E$501,B164))</f>
        <v/>
      </c>
      <c r="H164">
        <f>IF(A164="",0,SUMIFS(CONNEXIONS!$C$2:$C$501,CONNEXIONS!$D$2:$D$501,A164,CONNEXIONS!$B$2:$B$501,B164))</f>
        <v/>
      </c>
      <c r="I164">
        <f>IF(G164=0,0,F164/G164*H164)</f>
        <v/>
      </c>
      <c r="J164">
        <f>IF(A164="",0,SUMIFS(AJUSTEMENTS!$F$2:$F$501,AJUSTEMENTS!$A$2:$A$501,A164,AJUSTEMENTS!$B$2:$B$501,B164,AJUSTEMENTS!$C$2:$C$501,C164,AJUSTEMENTS!$D$2:$D$501,D164,AJUSTEMENTS!$E$2:$E$501,E164))</f>
        <v/>
      </c>
      <c r="K164">
        <f>IF(A164="",0,IF(J164&lt;&gt;0,J164,I164))</f>
        <v/>
      </c>
    </row>
    <row r="165">
      <c r="A165">
        <f>IF(TRAITEMENTS!$Q165="","",TRAITEMENTS!Q165)</f>
        <v/>
      </c>
      <c r="B165">
        <f>IF(TRAITEMENTS!$Q165="","",TRAITEMENTS!E165)</f>
        <v/>
      </c>
      <c r="C165">
        <f>IF(TRAITEMENTS!$Q165="","",TRAITEMENTS!F165)</f>
        <v/>
      </c>
      <c r="D165">
        <f>IF(TRAITEMENTS!$Q165="","",TRAITEMENTS!G165)</f>
        <v/>
      </c>
      <c r="E165">
        <f>IF(TRAITEMENTS!$Q165="","",TRAITEMENTS!H165)</f>
        <v/>
      </c>
      <c r="F165">
        <f>IF(TRAITEMENTS!$Q165="","",TRAITEMENTS!O165)</f>
        <v/>
      </c>
      <c r="G165">
        <f>IF(A165="",0,SUMIFS(TRAITEMENTS!$O$2:$O$501,TRAITEMENTS!$Q$2:$Q$501,A165,TRAITEMENTS!$E$2:$E$501,B165))</f>
        <v/>
      </c>
      <c r="H165">
        <f>IF(A165="",0,SUMIFS(CONNEXIONS!$C$2:$C$501,CONNEXIONS!$D$2:$D$501,A165,CONNEXIONS!$B$2:$B$501,B165))</f>
        <v/>
      </c>
      <c r="I165">
        <f>IF(G165=0,0,F165/G165*H165)</f>
        <v/>
      </c>
      <c r="J165">
        <f>IF(A165="",0,SUMIFS(AJUSTEMENTS!$F$2:$F$501,AJUSTEMENTS!$A$2:$A$501,A165,AJUSTEMENTS!$B$2:$B$501,B165,AJUSTEMENTS!$C$2:$C$501,C165,AJUSTEMENTS!$D$2:$D$501,D165,AJUSTEMENTS!$E$2:$E$501,E165))</f>
        <v/>
      </c>
      <c r="K165">
        <f>IF(A165="",0,IF(J165&lt;&gt;0,J165,I165))</f>
        <v/>
      </c>
    </row>
    <row r="166">
      <c r="A166">
        <f>IF(TRAITEMENTS!$Q166="","",TRAITEMENTS!Q166)</f>
        <v/>
      </c>
      <c r="B166">
        <f>IF(TRAITEMENTS!$Q166="","",TRAITEMENTS!E166)</f>
        <v/>
      </c>
      <c r="C166">
        <f>IF(TRAITEMENTS!$Q166="","",TRAITEMENTS!F166)</f>
        <v/>
      </c>
      <c r="D166">
        <f>IF(TRAITEMENTS!$Q166="","",TRAITEMENTS!G166)</f>
        <v/>
      </c>
      <c r="E166">
        <f>IF(TRAITEMENTS!$Q166="","",TRAITEMENTS!H166)</f>
        <v/>
      </c>
      <c r="F166">
        <f>IF(TRAITEMENTS!$Q166="","",TRAITEMENTS!O166)</f>
        <v/>
      </c>
      <c r="G166">
        <f>IF(A166="",0,SUMIFS(TRAITEMENTS!$O$2:$O$501,TRAITEMENTS!$Q$2:$Q$501,A166,TRAITEMENTS!$E$2:$E$501,B166))</f>
        <v/>
      </c>
      <c r="H166">
        <f>IF(A166="",0,SUMIFS(CONNEXIONS!$C$2:$C$501,CONNEXIONS!$D$2:$D$501,A166,CONNEXIONS!$B$2:$B$501,B166))</f>
        <v/>
      </c>
      <c r="I166">
        <f>IF(G166=0,0,F166/G166*H166)</f>
        <v/>
      </c>
      <c r="J166">
        <f>IF(A166="",0,SUMIFS(AJUSTEMENTS!$F$2:$F$501,AJUSTEMENTS!$A$2:$A$501,A166,AJUSTEMENTS!$B$2:$B$501,B166,AJUSTEMENTS!$C$2:$C$501,C166,AJUSTEMENTS!$D$2:$D$501,D166,AJUSTEMENTS!$E$2:$E$501,E166))</f>
        <v/>
      </c>
      <c r="K166">
        <f>IF(A166="",0,IF(J166&lt;&gt;0,J166,I166))</f>
        <v/>
      </c>
    </row>
    <row r="167">
      <c r="A167">
        <f>IF(TRAITEMENTS!$Q167="","",TRAITEMENTS!Q167)</f>
        <v/>
      </c>
      <c r="B167">
        <f>IF(TRAITEMENTS!$Q167="","",TRAITEMENTS!E167)</f>
        <v/>
      </c>
      <c r="C167">
        <f>IF(TRAITEMENTS!$Q167="","",TRAITEMENTS!F167)</f>
        <v/>
      </c>
      <c r="D167">
        <f>IF(TRAITEMENTS!$Q167="","",TRAITEMENTS!G167)</f>
        <v/>
      </c>
      <c r="E167">
        <f>IF(TRAITEMENTS!$Q167="","",TRAITEMENTS!H167)</f>
        <v/>
      </c>
      <c r="F167">
        <f>IF(TRAITEMENTS!$Q167="","",TRAITEMENTS!O167)</f>
        <v/>
      </c>
      <c r="G167">
        <f>IF(A167="",0,SUMIFS(TRAITEMENTS!$O$2:$O$501,TRAITEMENTS!$Q$2:$Q$501,A167,TRAITEMENTS!$E$2:$E$501,B167))</f>
        <v/>
      </c>
      <c r="H167">
        <f>IF(A167="",0,SUMIFS(CONNEXIONS!$C$2:$C$501,CONNEXIONS!$D$2:$D$501,A167,CONNEXIONS!$B$2:$B$501,B167))</f>
        <v/>
      </c>
      <c r="I167">
        <f>IF(G167=0,0,F167/G167*H167)</f>
        <v/>
      </c>
      <c r="J167">
        <f>IF(A167="",0,SUMIFS(AJUSTEMENTS!$F$2:$F$501,AJUSTEMENTS!$A$2:$A$501,A167,AJUSTEMENTS!$B$2:$B$501,B167,AJUSTEMENTS!$C$2:$C$501,C167,AJUSTEMENTS!$D$2:$D$501,D167,AJUSTEMENTS!$E$2:$E$501,E167))</f>
        <v/>
      </c>
      <c r="K167">
        <f>IF(A167="",0,IF(J167&lt;&gt;0,J167,I167))</f>
        <v/>
      </c>
    </row>
    <row r="168">
      <c r="A168">
        <f>IF(TRAITEMENTS!$Q168="","",TRAITEMENTS!Q168)</f>
        <v/>
      </c>
      <c r="B168">
        <f>IF(TRAITEMENTS!$Q168="","",TRAITEMENTS!E168)</f>
        <v/>
      </c>
      <c r="C168">
        <f>IF(TRAITEMENTS!$Q168="","",TRAITEMENTS!F168)</f>
        <v/>
      </c>
      <c r="D168">
        <f>IF(TRAITEMENTS!$Q168="","",TRAITEMENTS!G168)</f>
        <v/>
      </c>
      <c r="E168">
        <f>IF(TRAITEMENTS!$Q168="","",TRAITEMENTS!H168)</f>
        <v/>
      </c>
      <c r="F168">
        <f>IF(TRAITEMENTS!$Q168="","",TRAITEMENTS!O168)</f>
        <v/>
      </c>
      <c r="G168">
        <f>IF(A168="",0,SUMIFS(TRAITEMENTS!$O$2:$O$501,TRAITEMENTS!$Q$2:$Q$501,A168,TRAITEMENTS!$E$2:$E$501,B168))</f>
        <v/>
      </c>
      <c r="H168">
        <f>IF(A168="",0,SUMIFS(CONNEXIONS!$C$2:$C$501,CONNEXIONS!$D$2:$D$501,A168,CONNEXIONS!$B$2:$B$501,B168))</f>
        <v/>
      </c>
      <c r="I168">
        <f>IF(G168=0,0,F168/G168*H168)</f>
        <v/>
      </c>
      <c r="J168">
        <f>IF(A168="",0,SUMIFS(AJUSTEMENTS!$F$2:$F$501,AJUSTEMENTS!$A$2:$A$501,A168,AJUSTEMENTS!$B$2:$B$501,B168,AJUSTEMENTS!$C$2:$C$501,C168,AJUSTEMENTS!$D$2:$D$501,D168,AJUSTEMENTS!$E$2:$E$501,E168))</f>
        <v/>
      </c>
      <c r="K168">
        <f>IF(A168="",0,IF(J168&lt;&gt;0,J168,I168))</f>
        <v/>
      </c>
    </row>
    <row r="169">
      <c r="A169">
        <f>IF(TRAITEMENTS!$Q169="","",TRAITEMENTS!Q169)</f>
        <v/>
      </c>
      <c r="B169">
        <f>IF(TRAITEMENTS!$Q169="","",TRAITEMENTS!E169)</f>
        <v/>
      </c>
      <c r="C169">
        <f>IF(TRAITEMENTS!$Q169="","",TRAITEMENTS!F169)</f>
        <v/>
      </c>
      <c r="D169">
        <f>IF(TRAITEMENTS!$Q169="","",TRAITEMENTS!G169)</f>
        <v/>
      </c>
      <c r="E169">
        <f>IF(TRAITEMENTS!$Q169="","",TRAITEMENTS!H169)</f>
        <v/>
      </c>
      <c r="F169">
        <f>IF(TRAITEMENTS!$Q169="","",TRAITEMENTS!O169)</f>
        <v/>
      </c>
      <c r="G169">
        <f>IF(A169="",0,SUMIFS(TRAITEMENTS!$O$2:$O$501,TRAITEMENTS!$Q$2:$Q$501,A169,TRAITEMENTS!$E$2:$E$501,B169))</f>
        <v/>
      </c>
      <c r="H169">
        <f>IF(A169="",0,SUMIFS(CONNEXIONS!$C$2:$C$501,CONNEXIONS!$D$2:$D$501,A169,CONNEXIONS!$B$2:$B$501,B169))</f>
        <v/>
      </c>
      <c r="I169">
        <f>IF(G169=0,0,F169/G169*H169)</f>
        <v/>
      </c>
      <c r="J169">
        <f>IF(A169="",0,SUMIFS(AJUSTEMENTS!$F$2:$F$501,AJUSTEMENTS!$A$2:$A$501,A169,AJUSTEMENTS!$B$2:$B$501,B169,AJUSTEMENTS!$C$2:$C$501,C169,AJUSTEMENTS!$D$2:$D$501,D169,AJUSTEMENTS!$E$2:$E$501,E169))</f>
        <v/>
      </c>
      <c r="K169">
        <f>IF(A169="",0,IF(J169&lt;&gt;0,J169,I169))</f>
        <v/>
      </c>
    </row>
    <row r="170">
      <c r="A170">
        <f>IF(TRAITEMENTS!$Q170="","",TRAITEMENTS!Q170)</f>
        <v/>
      </c>
      <c r="B170">
        <f>IF(TRAITEMENTS!$Q170="","",TRAITEMENTS!E170)</f>
        <v/>
      </c>
      <c r="C170">
        <f>IF(TRAITEMENTS!$Q170="","",TRAITEMENTS!F170)</f>
        <v/>
      </c>
      <c r="D170">
        <f>IF(TRAITEMENTS!$Q170="","",TRAITEMENTS!G170)</f>
        <v/>
      </c>
      <c r="E170">
        <f>IF(TRAITEMENTS!$Q170="","",TRAITEMENTS!H170)</f>
        <v/>
      </c>
      <c r="F170">
        <f>IF(TRAITEMENTS!$Q170="","",TRAITEMENTS!O170)</f>
        <v/>
      </c>
      <c r="G170">
        <f>IF(A170="",0,SUMIFS(TRAITEMENTS!$O$2:$O$501,TRAITEMENTS!$Q$2:$Q$501,A170,TRAITEMENTS!$E$2:$E$501,B170))</f>
        <v/>
      </c>
      <c r="H170">
        <f>IF(A170="",0,SUMIFS(CONNEXIONS!$C$2:$C$501,CONNEXIONS!$D$2:$D$501,A170,CONNEXIONS!$B$2:$B$501,B170))</f>
        <v/>
      </c>
      <c r="I170">
        <f>IF(G170=0,0,F170/G170*H170)</f>
        <v/>
      </c>
      <c r="J170">
        <f>IF(A170="",0,SUMIFS(AJUSTEMENTS!$F$2:$F$501,AJUSTEMENTS!$A$2:$A$501,A170,AJUSTEMENTS!$B$2:$B$501,B170,AJUSTEMENTS!$C$2:$C$501,C170,AJUSTEMENTS!$D$2:$D$501,D170,AJUSTEMENTS!$E$2:$E$501,E170))</f>
        <v/>
      </c>
      <c r="K170">
        <f>IF(A170="",0,IF(J170&lt;&gt;0,J170,I170))</f>
        <v/>
      </c>
    </row>
    <row r="171">
      <c r="A171">
        <f>IF(TRAITEMENTS!$Q171="","",TRAITEMENTS!Q171)</f>
        <v/>
      </c>
      <c r="B171">
        <f>IF(TRAITEMENTS!$Q171="","",TRAITEMENTS!E171)</f>
        <v/>
      </c>
      <c r="C171">
        <f>IF(TRAITEMENTS!$Q171="","",TRAITEMENTS!F171)</f>
        <v/>
      </c>
      <c r="D171">
        <f>IF(TRAITEMENTS!$Q171="","",TRAITEMENTS!G171)</f>
        <v/>
      </c>
      <c r="E171">
        <f>IF(TRAITEMENTS!$Q171="","",TRAITEMENTS!H171)</f>
        <v/>
      </c>
      <c r="F171">
        <f>IF(TRAITEMENTS!$Q171="","",TRAITEMENTS!O171)</f>
        <v/>
      </c>
      <c r="G171">
        <f>IF(A171="",0,SUMIFS(TRAITEMENTS!$O$2:$O$501,TRAITEMENTS!$Q$2:$Q$501,A171,TRAITEMENTS!$E$2:$E$501,B171))</f>
        <v/>
      </c>
      <c r="H171">
        <f>IF(A171="",0,SUMIFS(CONNEXIONS!$C$2:$C$501,CONNEXIONS!$D$2:$D$501,A171,CONNEXIONS!$B$2:$B$501,B171))</f>
        <v/>
      </c>
      <c r="I171">
        <f>IF(G171=0,0,F171/G171*H171)</f>
        <v/>
      </c>
      <c r="J171">
        <f>IF(A171="",0,SUMIFS(AJUSTEMENTS!$F$2:$F$501,AJUSTEMENTS!$A$2:$A$501,A171,AJUSTEMENTS!$B$2:$B$501,B171,AJUSTEMENTS!$C$2:$C$501,C171,AJUSTEMENTS!$D$2:$D$501,D171,AJUSTEMENTS!$E$2:$E$501,E171))</f>
        <v/>
      </c>
      <c r="K171">
        <f>IF(A171="",0,IF(J171&lt;&gt;0,J171,I171))</f>
        <v/>
      </c>
    </row>
    <row r="172">
      <c r="A172">
        <f>IF(TRAITEMENTS!$Q172="","",TRAITEMENTS!Q172)</f>
        <v/>
      </c>
      <c r="B172">
        <f>IF(TRAITEMENTS!$Q172="","",TRAITEMENTS!E172)</f>
        <v/>
      </c>
      <c r="C172">
        <f>IF(TRAITEMENTS!$Q172="","",TRAITEMENTS!F172)</f>
        <v/>
      </c>
      <c r="D172">
        <f>IF(TRAITEMENTS!$Q172="","",TRAITEMENTS!G172)</f>
        <v/>
      </c>
      <c r="E172">
        <f>IF(TRAITEMENTS!$Q172="","",TRAITEMENTS!H172)</f>
        <v/>
      </c>
      <c r="F172">
        <f>IF(TRAITEMENTS!$Q172="","",TRAITEMENTS!O172)</f>
        <v/>
      </c>
      <c r="G172">
        <f>IF(A172="",0,SUMIFS(TRAITEMENTS!$O$2:$O$501,TRAITEMENTS!$Q$2:$Q$501,A172,TRAITEMENTS!$E$2:$E$501,B172))</f>
        <v/>
      </c>
      <c r="H172">
        <f>IF(A172="",0,SUMIFS(CONNEXIONS!$C$2:$C$501,CONNEXIONS!$D$2:$D$501,A172,CONNEXIONS!$B$2:$B$501,B172))</f>
        <v/>
      </c>
      <c r="I172">
        <f>IF(G172=0,0,F172/G172*H172)</f>
        <v/>
      </c>
      <c r="J172">
        <f>IF(A172="",0,SUMIFS(AJUSTEMENTS!$F$2:$F$501,AJUSTEMENTS!$A$2:$A$501,A172,AJUSTEMENTS!$B$2:$B$501,B172,AJUSTEMENTS!$C$2:$C$501,C172,AJUSTEMENTS!$D$2:$D$501,D172,AJUSTEMENTS!$E$2:$E$501,E172))</f>
        <v/>
      </c>
      <c r="K172">
        <f>IF(A172="",0,IF(J172&lt;&gt;0,J172,I172))</f>
        <v/>
      </c>
    </row>
    <row r="173">
      <c r="A173">
        <f>IF(TRAITEMENTS!$Q173="","",TRAITEMENTS!Q173)</f>
        <v/>
      </c>
      <c r="B173">
        <f>IF(TRAITEMENTS!$Q173="","",TRAITEMENTS!E173)</f>
        <v/>
      </c>
      <c r="C173">
        <f>IF(TRAITEMENTS!$Q173="","",TRAITEMENTS!F173)</f>
        <v/>
      </c>
      <c r="D173">
        <f>IF(TRAITEMENTS!$Q173="","",TRAITEMENTS!G173)</f>
        <v/>
      </c>
      <c r="E173">
        <f>IF(TRAITEMENTS!$Q173="","",TRAITEMENTS!H173)</f>
        <v/>
      </c>
      <c r="F173">
        <f>IF(TRAITEMENTS!$Q173="","",TRAITEMENTS!O173)</f>
        <v/>
      </c>
      <c r="G173">
        <f>IF(A173="",0,SUMIFS(TRAITEMENTS!$O$2:$O$501,TRAITEMENTS!$Q$2:$Q$501,A173,TRAITEMENTS!$E$2:$E$501,B173))</f>
        <v/>
      </c>
      <c r="H173">
        <f>IF(A173="",0,SUMIFS(CONNEXIONS!$C$2:$C$501,CONNEXIONS!$D$2:$D$501,A173,CONNEXIONS!$B$2:$B$501,B173))</f>
        <v/>
      </c>
      <c r="I173">
        <f>IF(G173=0,0,F173/G173*H173)</f>
        <v/>
      </c>
      <c r="J173">
        <f>IF(A173="",0,SUMIFS(AJUSTEMENTS!$F$2:$F$501,AJUSTEMENTS!$A$2:$A$501,A173,AJUSTEMENTS!$B$2:$B$501,B173,AJUSTEMENTS!$C$2:$C$501,C173,AJUSTEMENTS!$D$2:$D$501,D173,AJUSTEMENTS!$E$2:$E$501,E173))</f>
        <v/>
      </c>
      <c r="K173">
        <f>IF(A173="",0,IF(J173&lt;&gt;0,J173,I173))</f>
        <v/>
      </c>
    </row>
    <row r="174">
      <c r="A174">
        <f>IF(TRAITEMENTS!$Q174="","",TRAITEMENTS!Q174)</f>
        <v/>
      </c>
      <c r="B174">
        <f>IF(TRAITEMENTS!$Q174="","",TRAITEMENTS!E174)</f>
        <v/>
      </c>
      <c r="C174">
        <f>IF(TRAITEMENTS!$Q174="","",TRAITEMENTS!F174)</f>
        <v/>
      </c>
      <c r="D174">
        <f>IF(TRAITEMENTS!$Q174="","",TRAITEMENTS!G174)</f>
        <v/>
      </c>
      <c r="E174">
        <f>IF(TRAITEMENTS!$Q174="","",TRAITEMENTS!H174)</f>
        <v/>
      </c>
      <c r="F174">
        <f>IF(TRAITEMENTS!$Q174="","",TRAITEMENTS!O174)</f>
        <v/>
      </c>
      <c r="G174">
        <f>IF(A174="",0,SUMIFS(TRAITEMENTS!$O$2:$O$501,TRAITEMENTS!$Q$2:$Q$501,A174,TRAITEMENTS!$E$2:$E$501,B174))</f>
        <v/>
      </c>
      <c r="H174">
        <f>IF(A174="",0,SUMIFS(CONNEXIONS!$C$2:$C$501,CONNEXIONS!$D$2:$D$501,A174,CONNEXIONS!$B$2:$B$501,B174))</f>
        <v/>
      </c>
      <c r="I174">
        <f>IF(G174=0,0,F174/G174*H174)</f>
        <v/>
      </c>
      <c r="J174">
        <f>IF(A174="",0,SUMIFS(AJUSTEMENTS!$F$2:$F$501,AJUSTEMENTS!$A$2:$A$501,A174,AJUSTEMENTS!$B$2:$B$501,B174,AJUSTEMENTS!$C$2:$C$501,C174,AJUSTEMENTS!$D$2:$D$501,D174,AJUSTEMENTS!$E$2:$E$501,E174))</f>
        <v/>
      </c>
      <c r="K174">
        <f>IF(A174="",0,IF(J174&lt;&gt;0,J174,I174))</f>
        <v/>
      </c>
    </row>
    <row r="175">
      <c r="A175">
        <f>IF(TRAITEMENTS!$Q175="","",TRAITEMENTS!Q175)</f>
        <v/>
      </c>
      <c r="B175">
        <f>IF(TRAITEMENTS!$Q175="","",TRAITEMENTS!E175)</f>
        <v/>
      </c>
      <c r="C175">
        <f>IF(TRAITEMENTS!$Q175="","",TRAITEMENTS!F175)</f>
        <v/>
      </c>
      <c r="D175">
        <f>IF(TRAITEMENTS!$Q175="","",TRAITEMENTS!G175)</f>
        <v/>
      </c>
      <c r="E175">
        <f>IF(TRAITEMENTS!$Q175="","",TRAITEMENTS!H175)</f>
        <v/>
      </c>
      <c r="F175">
        <f>IF(TRAITEMENTS!$Q175="","",TRAITEMENTS!O175)</f>
        <v/>
      </c>
      <c r="G175">
        <f>IF(A175="",0,SUMIFS(TRAITEMENTS!$O$2:$O$501,TRAITEMENTS!$Q$2:$Q$501,A175,TRAITEMENTS!$E$2:$E$501,B175))</f>
        <v/>
      </c>
      <c r="H175">
        <f>IF(A175="",0,SUMIFS(CONNEXIONS!$C$2:$C$501,CONNEXIONS!$D$2:$D$501,A175,CONNEXIONS!$B$2:$B$501,B175))</f>
        <v/>
      </c>
      <c r="I175">
        <f>IF(G175=0,0,F175/G175*H175)</f>
        <v/>
      </c>
      <c r="J175">
        <f>IF(A175="",0,SUMIFS(AJUSTEMENTS!$F$2:$F$501,AJUSTEMENTS!$A$2:$A$501,A175,AJUSTEMENTS!$B$2:$B$501,B175,AJUSTEMENTS!$C$2:$C$501,C175,AJUSTEMENTS!$D$2:$D$501,D175,AJUSTEMENTS!$E$2:$E$501,E175))</f>
        <v/>
      </c>
      <c r="K175">
        <f>IF(A175="",0,IF(J175&lt;&gt;0,J175,I175))</f>
        <v/>
      </c>
    </row>
    <row r="176">
      <c r="A176">
        <f>IF(TRAITEMENTS!$Q176="","",TRAITEMENTS!Q176)</f>
        <v/>
      </c>
      <c r="B176">
        <f>IF(TRAITEMENTS!$Q176="","",TRAITEMENTS!E176)</f>
        <v/>
      </c>
      <c r="C176">
        <f>IF(TRAITEMENTS!$Q176="","",TRAITEMENTS!F176)</f>
        <v/>
      </c>
      <c r="D176">
        <f>IF(TRAITEMENTS!$Q176="","",TRAITEMENTS!G176)</f>
        <v/>
      </c>
      <c r="E176">
        <f>IF(TRAITEMENTS!$Q176="","",TRAITEMENTS!H176)</f>
        <v/>
      </c>
      <c r="F176">
        <f>IF(TRAITEMENTS!$Q176="","",TRAITEMENTS!O176)</f>
        <v/>
      </c>
      <c r="G176">
        <f>IF(A176="",0,SUMIFS(TRAITEMENTS!$O$2:$O$501,TRAITEMENTS!$Q$2:$Q$501,A176,TRAITEMENTS!$E$2:$E$501,B176))</f>
        <v/>
      </c>
      <c r="H176">
        <f>IF(A176="",0,SUMIFS(CONNEXIONS!$C$2:$C$501,CONNEXIONS!$D$2:$D$501,A176,CONNEXIONS!$B$2:$B$501,B176))</f>
        <v/>
      </c>
      <c r="I176">
        <f>IF(G176=0,0,F176/G176*H176)</f>
        <v/>
      </c>
      <c r="J176">
        <f>IF(A176="",0,SUMIFS(AJUSTEMENTS!$F$2:$F$501,AJUSTEMENTS!$A$2:$A$501,A176,AJUSTEMENTS!$B$2:$B$501,B176,AJUSTEMENTS!$C$2:$C$501,C176,AJUSTEMENTS!$D$2:$D$501,D176,AJUSTEMENTS!$E$2:$E$501,E176))</f>
        <v/>
      </c>
      <c r="K176">
        <f>IF(A176="",0,IF(J176&lt;&gt;0,J176,I176))</f>
        <v/>
      </c>
    </row>
    <row r="177">
      <c r="A177">
        <f>IF(TRAITEMENTS!$Q177="","",TRAITEMENTS!Q177)</f>
        <v/>
      </c>
      <c r="B177">
        <f>IF(TRAITEMENTS!$Q177="","",TRAITEMENTS!E177)</f>
        <v/>
      </c>
      <c r="C177">
        <f>IF(TRAITEMENTS!$Q177="","",TRAITEMENTS!F177)</f>
        <v/>
      </c>
      <c r="D177">
        <f>IF(TRAITEMENTS!$Q177="","",TRAITEMENTS!G177)</f>
        <v/>
      </c>
      <c r="E177">
        <f>IF(TRAITEMENTS!$Q177="","",TRAITEMENTS!H177)</f>
        <v/>
      </c>
      <c r="F177">
        <f>IF(TRAITEMENTS!$Q177="","",TRAITEMENTS!O177)</f>
        <v/>
      </c>
      <c r="G177">
        <f>IF(A177="",0,SUMIFS(TRAITEMENTS!$O$2:$O$501,TRAITEMENTS!$Q$2:$Q$501,A177,TRAITEMENTS!$E$2:$E$501,B177))</f>
        <v/>
      </c>
      <c r="H177">
        <f>IF(A177="",0,SUMIFS(CONNEXIONS!$C$2:$C$501,CONNEXIONS!$D$2:$D$501,A177,CONNEXIONS!$B$2:$B$501,B177))</f>
        <v/>
      </c>
      <c r="I177">
        <f>IF(G177=0,0,F177/G177*H177)</f>
        <v/>
      </c>
      <c r="J177">
        <f>IF(A177="",0,SUMIFS(AJUSTEMENTS!$F$2:$F$501,AJUSTEMENTS!$A$2:$A$501,A177,AJUSTEMENTS!$B$2:$B$501,B177,AJUSTEMENTS!$C$2:$C$501,C177,AJUSTEMENTS!$D$2:$D$501,D177,AJUSTEMENTS!$E$2:$E$501,E177))</f>
        <v/>
      </c>
      <c r="K177">
        <f>IF(A177="",0,IF(J177&lt;&gt;0,J177,I177))</f>
        <v/>
      </c>
    </row>
    <row r="178">
      <c r="A178">
        <f>IF(TRAITEMENTS!$Q178="","",TRAITEMENTS!Q178)</f>
        <v/>
      </c>
      <c r="B178">
        <f>IF(TRAITEMENTS!$Q178="","",TRAITEMENTS!E178)</f>
        <v/>
      </c>
      <c r="C178">
        <f>IF(TRAITEMENTS!$Q178="","",TRAITEMENTS!F178)</f>
        <v/>
      </c>
      <c r="D178">
        <f>IF(TRAITEMENTS!$Q178="","",TRAITEMENTS!G178)</f>
        <v/>
      </c>
      <c r="E178">
        <f>IF(TRAITEMENTS!$Q178="","",TRAITEMENTS!H178)</f>
        <v/>
      </c>
      <c r="F178">
        <f>IF(TRAITEMENTS!$Q178="","",TRAITEMENTS!O178)</f>
        <v/>
      </c>
      <c r="G178">
        <f>IF(A178="",0,SUMIFS(TRAITEMENTS!$O$2:$O$501,TRAITEMENTS!$Q$2:$Q$501,A178,TRAITEMENTS!$E$2:$E$501,B178))</f>
        <v/>
      </c>
      <c r="H178">
        <f>IF(A178="",0,SUMIFS(CONNEXIONS!$C$2:$C$501,CONNEXIONS!$D$2:$D$501,A178,CONNEXIONS!$B$2:$B$501,B178))</f>
        <v/>
      </c>
      <c r="I178">
        <f>IF(G178=0,0,F178/G178*H178)</f>
        <v/>
      </c>
      <c r="J178">
        <f>IF(A178="",0,SUMIFS(AJUSTEMENTS!$F$2:$F$501,AJUSTEMENTS!$A$2:$A$501,A178,AJUSTEMENTS!$B$2:$B$501,B178,AJUSTEMENTS!$C$2:$C$501,C178,AJUSTEMENTS!$D$2:$D$501,D178,AJUSTEMENTS!$E$2:$E$501,E178))</f>
        <v/>
      </c>
      <c r="K178">
        <f>IF(A178="",0,IF(J178&lt;&gt;0,J178,I178))</f>
        <v/>
      </c>
    </row>
    <row r="179">
      <c r="A179">
        <f>IF(TRAITEMENTS!$Q179="","",TRAITEMENTS!Q179)</f>
        <v/>
      </c>
      <c r="B179">
        <f>IF(TRAITEMENTS!$Q179="","",TRAITEMENTS!E179)</f>
        <v/>
      </c>
      <c r="C179">
        <f>IF(TRAITEMENTS!$Q179="","",TRAITEMENTS!F179)</f>
        <v/>
      </c>
      <c r="D179">
        <f>IF(TRAITEMENTS!$Q179="","",TRAITEMENTS!G179)</f>
        <v/>
      </c>
      <c r="E179">
        <f>IF(TRAITEMENTS!$Q179="","",TRAITEMENTS!H179)</f>
        <v/>
      </c>
      <c r="F179">
        <f>IF(TRAITEMENTS!$Q179="","",TRAITEMENTS!O179)</f>
        <v/>
      </c>
      <c r="G179">
        <f>IF(A179="",0,SUMIFS(TRAITEMENTS!$O$2:$O$501,TRAITEMENTS!$Q$2:$Q$501,A179,TRAITEMENTS!$E$2:$E$501,B179))</f>
        <v/>
      </c>
      <c r="H179">
        <f>IF(A179="",0,SUMIFS(CONNEXIONS!$C$2:$C$501,CONNEXIONS!$D$2:$D$501,A179,CONNEXIONS!$B$2:$B$501,B179))</f>
        <v/>
      </c>
      <c r="I179">
        <f>IF(G179=0,0,F179/G179*H179)</f>
        <v/>
      </c>
      <c r="J179">
        <f>IF(A179="",0,SUMIFS(AJUSTEMENTS!$F$2:$F$501,AJUSTEMENTS!$A$2:$A$501,A179,AJUSTEMENTS!$B$2:$B$501,B179,AJUSTEMENTS!$C$2:$C$501,C179,AJUSTEMENTS!$D$2:$D$501,D179,AJUSTEMENTS!$E$2:$E$501,E179))</f>
        <v/>
      </c>
      <c r="K179">
        <f>IF(A179="",0,IF(J179&lt;&gt;0,J179,I179))</f>
        <v/>
      </c>
    </row>
    <row r="180">
      <c r="A180">
        <f>IF(TRAITEMENTS!$Q180="","",TRAITEMENTS!Q180)</f>
        <v/>
      </c>
      <c r="B180">
        <f>IF(TRAITEMENTS!$Q180="","",TRAITEMENTS!E180)</f>
        <v/>
      </c>
      <c r="C180">
        <f>IF(TRAITEMENTS!$Q180="","",TRAITEMENTS!F180)</f>
        <v/>
      </c>
      <c r="D180">
        <f>IF(TRAITEMENTS!$Q180="","",TRAITEMENTS!G180)</f>
        <v/>
      </c>
      <c r="E180">
        <f>IF(TRAITEMENTS!$Q180="","",TRAITEMENTS!H180)</f>
        <v/>
      </c>
      <c r="F180">
        <f>IF(TRAITEMENTS!$Q180="","",TRAITEMENTS!O180)</f>
        <v/>
      </c>
      <c r="G180">
        <f>IF(A180="",0,SUMIFS(TRAITEMENTS!$O$2:$O$501,TRAITEMENTS!$Q$2:$Q$501,A180,TRAITEMENTS!$E$2:$E$501,B180))</f>
        <v/>
      </c>
      <c r="H180">
        <f>IF(A180="",0,SUMIFS(CONNEXIONS!$C$2:$C$501,CONNEXIONS!$D$2:$D$501,A180,CONNEXIONS!$B$2:$B$501,B180))</f>
        <v/>
      </c>
      <c r="I180">
        <f>IF(G180=0,0,F180/G180*H180)</f>
        <v/>
      </c>
      <c r="J180">
        <f>IF(A180="",0,SUMIFS(AJUSTEMENTS!$F$2:$F$501,AJUSTEMENTS!$A$2:$A$501,A180,AJUSTEMENTS!$B$2:$B$501,B180,AJUSTEMENTS!$C$2:$C$501,C180,AJUSTEMENTS!$D$2:$D$501,D180,AJUSTEMENTS!$E$2:$E$501,E180))</f>
        <v/>
      </c>
      <c r="K180">
        <f>IF(A180="",0,IF(J180&lt;&gt;0,J180,I180))</f>
        <v/>
      </c>
    </row>
    <row r="181">
      <c r="A181">
        <f>IF(TRAITEMENTS!$Q181="","",TRAITEMENTS!Q181)</f>
        <v/>
      </c>
      <c r="B181">
        <f>IF(TRAITEMENTS!$Q181="","",TRAITEMENTS!E181)</f>
        <v/>
      </c>
      <c r="C181">
        <f>IF(TRAITEMENTS!$Q181="","",TRAITEMENTS!F181)</f>
        <v/>
      </c>
      <c r="D181">
        <f>IF(TRAITEMENTS!$Q181="","",TRAITEMENTS!G181)</f>
        <v/>
      </c>
      <c r="E181">
        <f>IF(TRAITEMENTS!$Q181="","",TRAITEMENTS!H181)</f>
        <v/>
      </c>
      <c r="F181">
        <f>IF(TRAITEMENTS!$Q181="","",TRAITEMENTS!O181)</f>
        <v/>
      </c>
      <c r="G181">
        <f>IF(A181="",0,SUMIFS(TRAITEMENTS!$O$2:$O$501,TRAITEMENTS!$Q$2:$Q$501,A181,TRAITEMENTS!$E$2:$E$501,B181))</f>
        <v/>
      </c>
      <c r="H181">
        <f>IF(A181="",0,SUMIFS(CONNEXIONS!$C$2:$C$501,CONNEXIONS!$D$2:$D$501,A181,CONNEXIONS!$B$2:$B$501,B181))</f>
        <v/>
      </c>
      <c r="I181">
        <f>IF(G181=0,0,F181/G181*H181)</f>
        <v/>
      </c>
      <c r="J181">
        <f>IF(A181="",0,SUMIFS(AJUSTEMENTS!$F$2:$F$501,AJUSTEMENTS!$A$2:$A$501,A181,AJUSTEMENTS!$B$2:$B$501,B181,AJUSTEMENTS!$C$2:$C$501,C181,AJUSTEMENTS!$D$2:$D$501,D181,AJUSTEMENTS!$E$2:$E$501,E181))</f>
        <v/>
      </c>
      <c r="K181">
        <f>IF(A181="",0,IF(J181&lt;&gt;0,J181,I181))</f>
        <v/>
      </c>
    </row>
    <row r="182">
      <c r="A182">
        <f>IF(TRAITEMENTS!$Q182="","",TRAITEMENTS!Q182)</f>
        <v/>
      </c>
      <c r="B182">
        <f>IF(TRAITEMENTS!$Q182="","",TRAITEMENTS!E182)</f>
        <v/>
      </c>
      <c r="C182">
        <f>IF(TRAITEMENTS!$Q182="","",TRAITEMENTS!F182)</f>
        <v/>
      </c>
      <c r="D182">
        <f>IF(TRAITEMENTS!$Q182="","",TRAITEMENTS!G182)</f>
        <v/>
      </c>
      <c r="E182">
        <f>IF(TRAITEMENTS!$Q182="","",TRAITEMENTS!H182)</f>
        <v/>
      </c>
      <c r="F182">
        <f>IF(TRAITEMENTS!$Q182="","",TRAITEMENTS!O182)</f>
        <v/>
      </c>
      <c r="G182">
        <f>IF(A182="",0,SUMIFS(TRAITEMENTS!$O$2:$O$501,TRAITEMENTS!$Q$2:$Q$501,A182,TRAITEMENTS!$E$2:$E$501,B182))</f>
        <v/>
      </c>
      <c r="H182">
        <f>IF(A182="",0,SUMIFS(CONNEXIONS!$C$2:$C$501,CONNEXIONS!$D$2:$D$501,A182,CONNEXIONS!$B$2:$B$501,B182))</f>
        <v/>
      </c>
      <c r="I182">
        <f>IF(G182=0,0,F182/G182*H182)</f>
        <v/>
      </c>
      <c r="J182">
        <f>IF(A182="",0,SUMIFS(AJUSTEMENTS!$F$2:$F$501,AJUSTEMENTS!$A$2:$A$501,A182,AJUSTEMENTS!$B$2:$B$501,B182,AJUSTEMENTS!$C$2:$C$501,C182,AJUSTEMENTS!$D$2:$D$501,D182,AJUSTEMENTS!$E$2:$E$501,E182))</f>
        <v/>
      </c>
      <c r="K182">
        <f>IF(A182="",0,IF(J182&lt;&gt;0,J182,I182))</f>
        <v/>
      </c>
    </row>
    <row r="183">
      <c r="A183">
        <f>IF(TRAITEMENTS!$Q183="","",TRAITEMENTS!Q183)</f>
        <v/>
      </c>
      <c r="B183">
        <f>IF(TRAITEMENTS!$Q183="","",TRAITEMENTS!E183)</f>
        <v/>
      </c>
      <c r="C183">
        <f>IF(TRAITEMENTS!$Q183="","",TRAITEMENTS!F183)</f>
        <v/>
      </c>
      <c r="D183">
        <f>IF(TRAITEMENTS!$Q183="","",TRAITEMENTS!G183)</f>
        <v/>
      </c>
      <c r="E183">
        <f>IF(TRAITEMENTS!$Q183="","",TRAITEMENTS!H183)</f>
        <v/>
      </c>
      <c r="F183">
        <f>IF(TRAITEMENTS!$Q183="","",TRAITEMENTS!O183)</f>
        <v/>
      </c>
      <c r="G183">
        <f>IF(A183="",0,SUMIFS(TRAITEMENTS!$O$2:$O$501,TRAITEMENTS!$Q$2:$Q$501,A183,TRAITEMENTS!$E$2:$E$501,B183))</f>
        <v/>
      </c>
      <c r="H183">
        <f>IF(A183="",0,SUMIFS(CONNEXIONS!$C$2:$C$501,CONNEXIONS!$D$2:$D$501,A183,CONNEXIONS!$B$2:$B$501,B183))</f>
        <v/>
      </c>
      <c r="I183">
        <f>IF(G183=0,0,F183/G183*H183)</f>
        <v/>
      </c>
      <c r="J183">
        <f>IF(A183="",0,SUMIFS(AJUSTEMENTS!$F$2:$F$501,AJUSTEMENTS!$A$2:$A$501,A183,AJUSTEMENTS!$B$2:$B$501,B183,AJUSTEMENTS!$C$2:$C$501,C183,AJUSTEMENTS!$D$2:$D$501,D183,AJUSTEMENTS!$E$2:$E$501,E183))</f>
        <v/>
      </c>
      <c r="K183">
        <f>IF(A183="",0,IF(J183&lt;&gt;0,J183,I183))</f>
        <v/>
      </c>
    </row>
    <row r="184">
      <c r="A184">
        <f>IF(TRAITEMENTS!$Q184="","",TRAITEMENTS!Q184)</f>
        <v/>
      </c>
      <c r="B184">
        <f>IF(TRAITEMENTS!$Q184="","",TRAITEMENTS!E184)</f>
        <v/>
      </c>
      <c r="C184">
        <f>IF(TRAITEMENTS!$Q184="","",TRAITEMENTS!F184)</f>
        <v/>
      </c>
      <c r="D184">
        <f>IF(TRAITEMENTS!$Q184="","",TRAITEMENTS!G184)</f>
        <v/>
      </c>
      <c r="E184">
        <f>IF(TRAITEMENTS!$Q184="","",TRAITEMENTS!H184)</f>
        <v/>
      </c>
      <c r="F184">
        <f>IF(TRAITEMENTS!$Q184="","",TRAITEMENTS!O184)</f>
        <v/>
      </c>
      <c r="G184">
        <f>IF(A184="",0,SUMIFS(TRAITEMENTS!$O$2:$O$501,TRAITEMENTS!$Q$2:$Q$501,A184,TRAITEMENTS!$E$2:$E$501,B184))</f>
        <v/>
      </c>
      <c r="H184">
        <f>IF(A184="",0,SUMIFS(CONNEXIONS!$C$2:$C$501,CONNEXIONS!$D$2:$D$501,A184,CONNEXIONS!$B$2:$B$501,B184))</f>
        <v/>
      </c>
      <c r="I184">
        <f>IF(G184=0,0,F184/G184*H184)</f>
        <v/>
      </c>
      <c r="J184">
        <f>IF(A184="",0,SUMIFS(AJUSTEMENTS!$F$2:$F$501,AJUSTEMENTS!$A$2:$A$501,A184,AJUSTEMENTS!$B$2:$B$501,B184,AJUSTEMENTS!$C$2:$C$501,C184,AJUSTEMENTS!$D$2:$D$501,D184,AJUSTEMENTS!$E$2:$E$501,E184))</f>
        <v/>
      </c>
      <c r="K184">
        <f>IF(A184="",0,IF(J184&lt;&gt;0,J184,I184))</f>
        <v/>
      </c>
    </row>
    <row r="185">
      <c r="A185">
        <f>IF(TRAITEMENTS!$Q185="","",TRAITEMENTS!Q185)</f>
        <v/>
      </c>
      <c r="B185">
        <f>IF(TRAITEMENTS!$Q185="","",TRAITEMENTS!E185)</f>
        <v/>
      </c>
      <c r="C185">
        <f>IF(TRAITEMENTS!$Q185="","",TRAITEMENTS!F185)</f>
        <v/>
      </c>
      <c r="D185">
        <f>IF(TRAITEMENTS!$Q185="","",TRAITEMENTS!G185)</f>
        <v/>
      </c>
      <c r="E185">
        <f>IF(TRAITEMENTS!$Q185="","",TRAITEMENTS!H185)</f>
        <v/>
      </c>
      <c r="F185">
        <f>IF(TRAITEMENTS!$Q185="","",TRAITEMENTS!O185)</f>
        <v/>
      </c>
      <c r="G185">
        <f>IF(A185="",0,SUMIFS(TRAITEMENTS!$O$2:$O$501,TRAITEMENTS!$Q$2:$Q$501,A185,TRAITEMENTS!$E$2:$E$501,B185))</f>
        <v/>
      </c>
      <c r="H185">
        <f>IF(A185="",0,SUMIFS(CONNEXIONS!$C$2:$C$501,CONNEXIONS!$D$2:$D$501,A185,CONNEXIONS!$B$2:$B$501,B185))</f>
        <v/>
      </c>
      <c r="I185">
        <f>IF(G185=0,0,F185/G185*H185)</f>
        <v/>
      </c>
      <c r="J185">
        <f>IF(A185="",0,SUMIFS(AJUSTEMENTS!$F$2:$F$501,AJUSTEMENTS!$A$2:$A$501,A185,AJUSTEMENTS!$B$2:$B$501,B185,AJUSTEMENTS!$C$2:$C$501,C185,AJUSTEMENTS!$D$2:$D$501,D185,AJUSTEMENTS!$E$2:$E$501,E185))</f>
        <v/>
      </c>
      <c r="K185">
        <f>IF(A185="",0,IF(J185&lt;&gt;0,J185,I185))</f>
        <v/>
      </c>
    </row>
    <row r="186">
      <c r="A186">
        <f>IF(TRAITEMENTS!$Q186="","",TRAITEMENTS!Q186)</f>
        <v/>
      </c>
      <c r="B186">
        <f>IF(TRAITEMENTS!$Q186="","",TRAITEMENTS!E186)</f>
        <v/>
      </c>
      <c r="C186">
        <f>IF(TRAITEMENTS!$Q186="","",TRAITEMENTS!F186)</f>
        <v/>
      </c>
      <c r="D186">
        <f>IF(TRAITEMENTS!$Q186="","",TRAITEMENTS!G186)</f>
        <v/>
      </c>
      <c r="E186">
        <f>IF(TRAITEMENTS!$Q186="","",TRAITEMENTS!H186)</f>
        <v/>
      </c>
      <c r="F186">
        <f>IF(TRAITEMENTS!$Q186="","",TRAITEMENTS!O186)</f>
        <v/>
      </c>
      <c r="G186">
        <f>IF(A186="",0,SUMIFS(TRAITEMENTS!$O$2:$O$501,TRAITEMENTS!$Q$2:$Q$501,A186,TRAITEMENTS!$E$2:$E$501,B186))</f>
        <v/>
      </c>
      <c r="H186">
        <f>IF(A186="",0,SUMIFS(CONNEXIONS!$C$2:$C$501,CONNEXIONS!$D$2:$D$501,A186,CONNEXIONS!$B$2:$B$501,B186))</f>
        <v/>
      </c>
      <c r="I186">
        <f>IF(G186=0,0,F186/G186*H186)</f>
        <v/>
      </c>
      <c r="J186">
        <f>IF(A186="",0,SUMIFS(AJUSTEMENTS!$F$2:$F$501,AJUSTEMENTS!$A$2:$A$501,A186,AJUSTEMENTS!$B$2:$B$501,B186,AJUSTEMENTS!$C$2:$C$501,C186,AJUSTEMENTS!$D$2:$D$501,D186,AJUSTEMENTS!$E$2:$E$501,E186))</f>
        <v/>
      </c>
      <c r="K186">
        <f>IF(A186="",0,IF(J186&lt;&gt;0,J186,I186))</f>
        <v/>
      </c>
    </row>
    <row r="187">
      <c r="A187">
        <f>IF(TRAITEMENTS!$Q187="","",TRAITEMENTS!Q187)</f>
        <v/>
      </c>
      <c r="B187">
        <f>IF(TRAITEMENTS!$Q187="","",TRAITEMENTS!E187)</f>
        <v/>
      </c>
      <c r="C187">
        <f>IF(TRAITEMENTS!$Q187="","",TRAITEMENTS!F187)</f>
        <v/>
      </c>
      <c r="D187">
        <f>IF(TRAITEMENTS!$Q187="","",TRAITEMENTS!G187)</f>
        <v/>
      </c>
      <c r="E187">
        <f>IF(TRAITEMENTS!$Q187="","",TRAITEMENTS!H187)</f>
        <v/>
      </c>
      <c r="F187">
        <f>IF(TRAITEMENTS!$Q187="","",TRAITEMENTS!O187)</f>
        <v/>
      </c>
      <c r="G187">
        <f>IF(A187="",0,SUMIFS(TRAITEMENTS!$O$2:$O$501,TRAITEMENTS!$Q$2:$Q$501,A187,TRAITEMENTS!$E$2:$E$501,B187))</f>
        <v/>
      </c>
      <c r="H187">
        <f>IF(A187="",0,SUMIFS(CONNEXIONS!$C$2:$C$501,CONNEXIONS!$D$2:$D$501,A187,CONNEXIONS!$B$2:$B$501,B187))</f>
        <v/>
      </c>
      <c r="I187">
        <f>IF(G187=0,0,F187/G187*H187)</f>
        <v/>
      </c>
      <c r="J187">
        <f>IF(A187="",0,SUMIFS(AJUSTEMENTS!$F$2:$F$501,AJUSTEMENTS!$A$2:$A$501,A187,AJUSTEMENTS!$B$2:$B$501,B187,AJUSTEMENTS!$C$2:$C$501,C187,AJUSTEMENTS!$D$2:$D$501,D187,AJUSTEMENTS!$E$2:$E$501,E187))</f>
        <v/>
      </c>
      <c r="K187">
        <f>IF(A187="",0,IF(J187&lt;&gt;0,J187,I187))</f>
        <v/>
      </c>
    </row>
    <row r="188">
      <c r="A188">
        <f>IF(TRAITEMENTS!$Q188="","",TRAITEMENTS!Q188)</f>
        <v/>
      </c>
      <c r="B188">
        <f>IF(TRAITEMENTS!$Q188="","",TRAITEMENTS!E188)</f>
        <v/>
      </c>
      <c r="C188">
        <f>IF(TRAITEMENTS!$Q188="","",TRAITEMENTS!F188)</f>
        <v/>
      </c>
      <c r="D188">
        <f>IF(TRAITEMENTS!$Q188="","",TRAITEMENTS!G188)</f>
        <v/>
      </c>
      <c r="E188">
        <f>IF(TRAITEMENTS!$Q188="","",TRAITEMENTS!H188)</f>
        <v/>
      </c>
      <c r="F188">
        <f>IF(TRAITEMENTS!$Q188="","",TRAITEMENTS!O188)</f>
        <v/>
      </c>
      <c r="G188">
        <f>IF(A188="",0,SUMIFS(TRAITEMENTS!$O$2:$O$501,TRAITEMENTS!$Q$2:$Q$501,A188,TRAITEMENTS!$E$2:$E$501,B188))</f>
        <v/>
      </c>
      <c r="H188">
        <f>IF(A188="",0,SUMIFS(CONNEXIONS!$C$2:$C$501,CONNEXIONS!$D$2:$D$501,A188,CONNEXIONS!$B$2:$B$501,B188))</f>
        <v/>
      </c>
      <c r="I188">
        <f>IF(G188=0,0,F188/G188*H188)</f>
        <v/>
      </c>
      <c r="J188">
        <f>IF(A188="",0,SUMIFS(AJUSTEMENTS!$F$2:$F$501,AJUSTEMENTS!$A$2:$A$501,A188,AJUSTEMENTS!$B$2:$B$501,B188,AJUSTEMENTS!$C$2:$C$501,C188,AJUSTEMENTS!$D$2:$D$501,D188,AJUSTEMENTS!$E$2:$E$501,E188))</f>
        <v/>
      </c>
      <c r="K188">
        <f>IF(A188="",0,IF(J188&lt;&gt;0,J188,I188))</f>
        <v/>
      </c>
    </row>
    <row r="189">
      <c r="A189">
        <f>IF(TRAITEMENTS!$Q189="","",TRAITEMENTS!Q189)</f>
        <v/>
      </c>
      <c r="B189">
        <f>IF(TRAITEMENTS!$Q189="","",TRAITEMENTS!E189)</f>
        <v/>
      </c>
      <c r="C189">
        <f>IF(TRAITEMENTS!$Q189="","",TRAITEMENTS!F189)</f>
        <v/>
      </c>
      <c r="D189">
        <f>IF(TRAITEMENTS!$Q189="","",TRAITEMENTS!G189)</f>
        <v/>
      </c>
      <c r="E189">
        <f>IF(TRAITEMENTS!$Q189="","",TRAITEMENTS!H189)</f>
        <v/>
      </c>
      <c r="F189">
        <f>IF(TRAITEMENTS!$Q189="","",TRAITEMENTS!O189)</f>
        <v/>
      </c>
      <c r="G189">
        <f>IF(A189="",0,SUMIFS(TRAITEMENTS!$O$2:$O$501,TRAITEMENTS!$Q$2:$Q$501,A189,TRAITEMENTS!$E$2:$E$501,B189))</f>
        <v/>
      </c>
      <c r="H189">
        <f>IF(A189="",0,SUMIFS(CONNEXIONS!$C$2:$C$501,CONNEXIONS!$D$2:$D$501,A189,CONNEXIONS!$B$2:$B$501,B189))</f>
        <v/>
      </c>
      <c r="I189">
        <f>IF(G189=0,0,F189/G189*H189)</f>
        <v/>
      </c>
      <c r="J189">
        <f>IF(A189="",0,SUMIFS(AJUSTEMENTS!$F$2:$F$501,AJUSTEMENTS!$A$2:$A$501,A189,AJUSTEMENTS!$B$2:$B$501,B189,AJUSTEMENTS!$C$2:$C$501,C189,AJUSTEMENTS!$D$2:$D$501,D189,AJUSTEMENTS!$E$2:$E$501,E189))</f>
        <v/>
      </c>
      <c r="K189">
        <f>IF(A189="",0,IF(J189&lt;&gt;0,J189,I189))</f>
        <v/>
      </c>
    </row>
    <row r="190">
      <c r="A190">
        <f>IF(TRAITEMENTS!$Q190="","",TRAITEMENTS!Q190)</f>
        <v/>
      </c>
      <c r="B190">
        <f>IF(TRAITEMENTS!$Q190="","",TRAITEMENTS!E190)</f>
        <v/>
      </c>
      <c r="C190">
        <f>IF(TRAITEMENTS!$Q190="","",TRAITEMENTS!F190)</f>
        <v/>
      </c>
      <c r="D190">
        <f>IF(TRAITEMENTS!$Q190="","",TRAITEMENTS!G190)</f>
        <v/>
      </c>
      <c r="E190">
        <f>IF(TRAITEMENTS!$Q190="","",TRAITEMENTS!H190)</f>
        <v/>
      </c>
      <c r="F190">
        <f>IF(TRAITEMENTS!$Q190="","",TRAITEMENTS!O190)</f>
        <v/>
      </c>
      <c r="G190">
        <f>IF(A190="",0,SUMIFS(TRAITEMENTS!$O$2:$O$501,TRAITEMENTS!$Q$2:$Q$501,A190,TRAITEMENTS!$E$2:$E$501,B190))</f>
        <v/>
      </c>
      <c r="H190">
        <f>IF(A190="",0,SUMIFS(CONNEXIONS!$C$2:$C$501,CONNEXIONS!$D$2:$D$501,A190,CONNEXIONS!$B$2:$B$501,B190))</f>
        <v/>
      </c>
      <c r="I190">
        <f>IF(G190=0,0,F190/G190*H190)</f>
        <v/>
      </c>
      <c r="J190">
        <f>IF(A190="",0,SUMIFS(AJUSTEMENTS!$F$2:$F$501,AJUSTEMENTS!$A$2:$A$501,A190,AJUSTEMENTS!$B$2:$B$501,B190,AJUSTEMENTS!$C$2:$C$501,C190,AJUSTEMENTS!$D$2:$D$501,D190,AJUSTEMENTS!$E$2:$E$501,E190))</f>
        <v/>
      </c>
      <c r="K190">
        <f>IF(A190="",0,IF(J190&lt;&gt;0,J190,I190))</f>
        <v/>
      </c>
    </row>
    <row r="191">
      <c r="A191">
        <f>IF(TRAITEMENTS!$Q191="","",TRAITEMENTS!Q191)</f>
        <v/>
      </c>
      <c r="B191">
        <f>IF(TRAITEMENTS!$Q191="","",TRAITEMENTS!E191)</f>
        <v/>
      </c>
      <c r="C191">
        <f>IF(TRAITEMENTS!$Q191="","",TRAITEMENTS!F191)</f>
        <v/>
      </c>
      <c r="D191">
        <f>IF(TRAITEMENTS!$Q191="","",TRAITEMENTS!G191)</f>
        <v/>
      </c>
      <c r="E191">
        <f>IF(TRAITEMENTS!$Q191="","",TRAITEMENTS!H191)</f>
        <v/>
      </c>
      <c r="F191">
        <f>IF(TRAITEMENTS!$Q191="","",TRAITEMENTS!O191)</f>
        <v/>
      </c>
      <c r="G191">
        <f>IF(A191="",0,SUMIFS(TRAITEMENTS!$O$2:$O$501,TRAITEMENTS!$Q$2:$Q$501,A191,TRAITEMENTS!$E$2:$E$501,B191))</f>
        <v/>
      </c>
      <c r="H191">
        <f>IF(A191="",0,SUMIFS(CONNEXIONS!$C$2:$C$501,CONNEXIONS!$D$2:$D$501,A191,CONNEXIONS!$B$2:$B$501,B191))</f>
        <v/>
      </c>
      <c r="I191">
        <f>IF(G191=0,0,F191/G191*H191)</f>
        <v/>
      </c>
      <c r="J191">
        <f>IF(A191="",0,SUMIFS(AJUSTEMENTS!$F$2:$F$501,AJUSTEMENTS!$A$2:$A$501,A191,AJUSTEMENTS!$B$2:$B$501,B191,AJUSTEMENTS!$C$2:$C$501,C191,AJUSTEMENTS!$D$2:$D$501,D191,AJUSTEMENTS!$E$2:$E$501,E191))</f>
        <v/>
      </c>
      <c r="K191">
        <f>IF(A191="",0,IF(J191&lt;&gt;0,J191,I191))</f>
        <v/>
      </c>
    </row>
    <row r="192">
      <c r="A192">
        <f>IF(TRAITEMENTS!$Q192="","",TRAITEMENTS!Q192)</f>
        <v/>
      </c>
      <c r="B192">
        <f>IF(TRAITEMENTS!$Q192="","",TRAITEMENTS!E192)</f>
        <v/>
      </c>
      <c r="C192">
        <f>IF(TRAITEMENTS!$Q192="","",TRAITEMENTS!F192)</f>
        <v/>
      </c>
      <c r="D192">
        <f>IF(TRAITEMENTS!$Q192="","",TRAITEMENTS!G192)</f>
        <v/>
      </c>
      <c r="E192">
        <f>IF(TRAITEMENTS!$Q192="","",TRAITEMENTS!H192)</f>
        <v/>
      </c>
      <c r="F192">
        <f>IF(TRAITEMENTS!$Q192="","",TRAITEMENTS!O192)</f>
        <v/>
      </c>
      <c r="G192">
        <f>IF(A192="",0,SUMIFS(TRAITEMENTS!$O$2:$O$501,TRAITEMENTS!$Q$2:$Q$501,A192,TRAITEMENTS!$E$2:$E$501,B192))</f>
        <v/>
      </c>
      <c r="H192">
        <f>IF(A192="",0,SUMIFS(CONNEXIONS!$C$2:$C$501,CONNEXIONS!$D$2:$D$501,A192,CONNEXIONS!$B$2:$B$501,B192))</f>
        <v/>
      </c>
      <c r="I192">
        <f>IF(G192=0,0,F192/G192*H192)</f>
        <v/>
      </c>
      <c r="J192">
        <f>IF(A192="",0,SUMIFS(AJUSTEMENTS!$F$2:$F$501,AJUSTEMENTS!$A$2:$A$501,A192,AJUSTEMENTS!$B$2:$B$501,B192,AJUSTEMENTS!$C$2:$C$501,C192,AJUSTEMENTS!$D$2:$D$501,D192,AJUSTEMENTS!$E$2:$E$501,E192))</f>
        <v/>
      </c>
      <c r="K192">
        <f>IF(A192="",0,IF(J192&lt;&gt;0,J192,I192))</f>
        <v/>
      </c>
    </row>
    <row r="193">
      <c r="A193">
        <f>IF(TRAITEMENTS!$Q193="","",TRAITEMENTS!Q193)</f>
        <v/>
      </c>
      <c r="B193">
        <f>IF(TRAITEMENTS!$Q193="","",TRAITEMENTS!E193)</f>
        <v/>
      </c>
      <c r="C193">
        <f>IF(TRAITEMENTS!$Q193="","",TRAITEMENTS!F193)</f>
        <v/>
      </c>
      <c r="D193">
        <f>IF(TRAITEMENTS!$Q193="","",TRAITEMENTS!G193)</f>
        <v/>
      </c>
      <c r="E193">
        <f>IF(TRAITEMENTS!$Q193="","",TRAITEMENTS!H193)</f>
        <v/>
      </c>
      <c r="F193">
        <f>IF(TRAITEMENTS!$Q193="","",TRAITEMENTS!O193)</f>
        <v/>
      </c>
      <c r="G193">
        <f>IF(A193="",0,SUMIFS(TRAITEMENTS!$O$2:$O$501,TRAITEMENTS!$Q$2:$Q$501,A193,TRAITEMENTS!$E$2:$E$501,B193))</f>
        <v/>
      </c>
      <c r="H193">
        <f>IF(A193="",0,SUMIFS(CONNEXIONS!$C$2:$C$501,CONNEXIONS!$D$2:$D$501,A193,CONNEXIONS!$B$2:$B$501,B193))</f>
        <v/>
      </c>
      <c r="I193">
        <f>IF(G193=0,0,F193/G193*H193)</f>
        <v/>
      </c>
      <c r="J193">
        <f>IF(A193="",0,SUMIFS(AJUSTEMENTS!$F$2:$F$501,AJUSTEMENTS!$A$2:$A$501,A193,AJUSTEMENTS!$B$2:$B$501,B193,AJUSTEMENTS!$C$2:$C$501,C193,AJUSTEMENTS!$D$2:$D$501,D193,AJUSTEMENTS!$E$2:$E$501,E193))</f>
        <v/>
      </c>
      <c r="K193">
        <f>IF(A193="",0,IF(J193&lt;&gt;0,J193,I193))</f>
        <v/>
      </c>
    </row>
    <row r="194">
      <c r="A194">
        <f>IF(TRAITEMENTS!$Q194="","",TRAITEMENTS!Q194)</f>
        <v/>
      </c>
      <c r="B194">
        <f>IF(TRAITEMENTS!$Q194="","",TRAITEMENTS!E194)</f>
        <v/>
      </c>
      <c r="C194">
        <f>IF(TRAITEMENTS!$Q194="","",TRAITEMENTS!F194)</f>
        <v/>
      </c>
      <c r="D194">
        <f>IF(TRAITEMENTS!$Q194="","",TRAITEMENTS!G194)</f>
        <v/>
      </c>
      <c r="E194">
        <f>IF(TRAITEMENTS!$Q194="","",TRAITEMENTS!H194)</f>
        <v/>
      </c>
      <c r="F194">
        <f>IF(TRAITEMENTS!$Q194="","",TRAITEMENTS!O194)</f>
        <v/>
      </c>
      <c r="G194">
        <f>IF(A194="",0,SUMIFS(TRAITEMENTS!$O$2:$O$501,TRAITEMENTS!$Q$2:$Q$501,A194,TRAITEMENTS!$E$2:$E$501,B194))</f>
        <v/>
      </c>
      <c r="H194">
        <f>IF(A194="",0,SUMIFS(CONNEXIONS!$C$2:$C$501,CONNEXIONS!$D$2:$D$501,A194,CONNEXIONS!$B$2:$B$501,B194))</f>
        <v/>
      </c>
      <c r="I194">
        <f>IF(G194=0,0,F194/G194*H194)</f>
        <v/>
      </c>
      <c r="J194">
        <f>IF(A194="",0,SUMIFS(AJUSTEMENTS!$F$2:$F$501,AJUSTEMENTS!$A$2:$A$501,A194,AJUSTEMENTS!$B$2:$B$501,B194,AJUSTEMENTS!$C$2:$C$501,C194,AJUSTEMENTS!$D$2:$D$501,D194,AJUSTEMENTS!$E$2:$E$501,E194))</f>
        <v/>
      </c>
      <c r="K194">
        <f>IF(A194="",0,IF(J194&lt;&gt;0,J194,I194))</f>
        <v/>
      </c>
    </row>
    <row r="195">
      <c r="A195">
        <f>IF(TRAITEMENTS!$Q195="","",TRAITEMENTS!Q195)</f>
        <v/>
      </c>
      <c r="B195">
        <f>IF(TRAITEMENTS!$Q195="","",TRAITEMENTS!E195)</f>
        <v/>
      </c>
      <c r="C195">
        <f>IF(TRAITEMENTS!$Q195="","",TRAITEMENTS!F195)</f>
        <v/>
      </c>
      <c r="D195">
        <f>IF(TRAITEMENTS!$Q195="","",TRAITEMENTS!G195)</f>
        <v/>
      </c>
      <c r="E195">
        <f>IF(TRAITEMENTS!$Q195="","",TRAITEMENTS!H195)</f>
        <v/>
      </c>
      <c r="F195">
        <f>IF(TRAITEMENTS!$Q195="","",TRAITEMENTS!O195)</f>
        <v/>
      </c>
      <c r="G195">
        <f>IF(A195="",0,SUMIFS(TRAITEMENTS!$O$2:$O$501,TRAITEMENTS!$Q$2:$Q$501,A195,TRAITEMENTS!$E$2:$E$501,B195))</f>
        <v/>
      </c>
      <c r="H195">
        <f>IF(A195="",0,SUMIFS(CONNEXIONS!$C$2:$C$501,CONNEXIONS!$D$2:$D$501,A195,CONNEXIONS!$B$2:$B$501,B195))</f>
        <v/>
      </c>
      <c r="I195">
        <f>IF(G195=0,0,F195/G195*H195)</f>
        <v/>
      </c>
      <c r="J195">
        <f>IF(A195="",0,SUMIFS(AJUSTEMENTS!$F$2:$F$501,AJUSTEMENTS!$A$2:$A$501,A195,AJUSTEMENTS!$B$2:$B$501,B195,AJUSTEMENTS!$C$2:$C$501,C195,AJUSTEMENTS!$D$2:$D$501,D195,AJUSTEMENTS!$E$2:$E$501,E195))</f>
        <v/>
      </c>
      <c r="K195">
        <f>IF(A195="",0,IF(J195&lt;&gt;0,J195,I195))</f>
        <v/>
      </c>
    </row>
    <row r="196">
      <c r="A196">
        <f>IF(TRAITEMENTS!$Q196="","",TRAITEMENTS!Q196)</f>
        <v/>
      </c>
      <c r="B196">
        <f>IF(TRAITEMENTS!$Q196="","",TRAITEMENTS!E196)</f>
        <v/>
      </c>
      <c r="C196">
        <f>IF(TRAITEMENTS!$Q196="","",TRAITEMENTS!F196)</f>
        <v/>
      </c>
      <c r="D196">
        <f>IF(TRAITEMENTS!$Q196="","",TRAITEMENTS!G196)</f>
        <v/>
      </c>
      <c r="E196">
        <f>IF(TRAITEMENTS!$Q196="","",TRAITEMENTS!H196)</f>
        <v/>
      </c>
      <c r="F196">
        <f>IF(TRAITEMENTS!$Q196="","",TRAITEMENTS!O196)</f>
        <v/>
      </c>
      <c r="G196">
        <f>IF(A196="",0,SUMIFS(TRAITEMENTS!$O$2:$O$501,TRAITEMENTS!$Q$2:$Q$501,A196,TRAITEMENTS!$E$2:$E$501,B196))</f>
        <v/>
      </c>
      <c r="H196">
        <f>IF(A196="",0,SUMIFS(CONNEXIONS!$C$2:$C$501,CONNEXIONS!$D$2:$D$501,A196,CONNEXIONS!$B$2:$B$501,B196))</f>
        <v/>
      </c>
      <c r="I196">
        <f>IF(G196=0,0,F196/G196*H196)</f>
        <v/>
      </c>
      <c r="J196">
        <f>IF(A196="",0,SUMIFS(AJUSTEMENTS!$F$2:$F$501,AJUSTEMENTS!$A$2:$A$501,A196,AJUSTEMENTS!$B$2:$B$501,B196,AJUSTEMENTS!$C$2:$C$501,C196,AJUSTEMENTS!$D$2:$D$501,D196,AJUSTEMENTS!$E$2:$E$501,E196))</f>
        <v/>
      </c>
      <c r="K196">
        <f>IF(A196="",0,IF(J196&lt;&gt;0,J196,I196))</f>
        <v/>
      </c>
    </row>
    <row r="197">
      <c r="A197">
        <f>IF(TRAITEMENTS!$Q197="","",TRAITEMENTS!Q197)</f>
        <v/>
      </c>
      <c r="B197">
        <f>IF(TRAITEMENTS!$Q197="","",TRAITEMENTS!E197)</f>
        <v/>
      </c>
      <c r="C197">
        <f>IF(TRAITEMENTS!$Q197="","",TRAITEMENTS!F197)</f>
        <v/>
      </c>
      <c r="D197">
        <f>IF(TRAITEMENTS!$Q197="","",TRAITEMENTS!G197)</f>
        <v/>
      </c>
      <c r="E197">
        <f>IF(TRAITEMENTS!$Q197="","",TRAITEMENTS!H197)</f>
        <v/>
      </c>
      <c r="F197">
        <f>IF(TRAITEMENTS!$Q197="","",TRAITEMENTS!O197)</f>
        <v/>
      </c>
      <c r="G197">
        <f>IF(A197="",0,SUMIFS(TRAITEMENTS!$O$2:$O$501,TRAITEMENTS!$Q$2:$Q$501,A197,TRAITEMENTS!$E$2:$E$501,B197))</f>
        <v/>
      </c>
      <c r="H197">
        <f>IF(A197="",0,SUMIFS(CONNEXIONS!$C$2:$C$501,CONNEXIONS!$D$2:$D$501,A197,CONNEXIONS!$B$2:$B$501,B197))</f>
        <v/>
      </c>
      <c r="I197">
        <f>IF(G197=0,0,F197/G197*H197)</f>
        <v/>
      </c>
      <c r="J197">
        <f>IF(A197="",0,SUMIFS(AJUSTEMENTS!$F$2:$F$501,AJUSTEMENTS!$A$2:$A$501,A197,AJUSTEMENTS!$B$2:$B$501,B197,AJUSTEMENTS!$C$2:$C$501,C197,AJUSTEMENTS!$D$2:$D$501,D197,AJUSTEMENTS!$E$2:$E$501,E197))</f>
        <v/>
      </c>
      <c r="K197">
        <f>IF(A197="",0,IF(J197&lt;&gt;0,J197,I197))</f>
        <v/>
      </c>
    </row>
    <row r="198">
      <c r="A198">
        <f>IF(TRAITEMENTS!$Q198="","",TRAITEMENTS!Q198)</f>
        <v/>
      </c>
      <c r="B198">
        <f>IF(TRAITEMENTS!$Q198="","",TRAITEMENTS!E198)</f>
        <v/>
      </c>
      <c r="C198">
        <f>IF(TRAITEMENTS!$Q198="","",TRAITEMENTS!F198)</f>
        <v/>
      </c>
      <c r="D198">
        <f>IF(TRAITEMENTS!$Q198="","",TRAITEMENTS!G198)</f>
        <v/>
      </c>
      <c r="E198">
        <f>IF(TRAITEMENTS!$Q198="","",TRAITEMENTS!H198)</f>
        <v/>
      </c>
      <c r="F198">
        <f>IF(TRAITEMENTS!$Q198="","",TRAITEMENTS!O198)</f>
        <v/>
      </c>
      <c r="G198">
        <f>IF(A198="",0,SUMIFS(TRAITEMENTS!$O$2:$O$501,TRAITEMENTS!$Q$2:$Q$501,A198,TRAITEMENTS!$E$2:$E$501,B198))</f>
        <v/>
      </c>
      <c r="H198">
        <f>IF(A198="",0,SUMIFS(CONNEXIONS!$C$2:$C$501,CONNEXIONS!$D$2:$D$501,A198,CONNEXIONS!$B$2:$B$501,B198))</f>
        <v/>
      </c>
      <c r="I198">
        <f>IF(G198=0,0,F198/G198*H198)</f>
        <v/>
      </c>
      <c r="J198">
        <f>IF(A198="",0,SUMIFS(AJUSTEMENTS!$F$2:$F$501,AJUSTEMENTS!$A$2:$A$501,A198,AJUSTEMENTS!$B$2:$B$501,B198,AJUSTEMENTS!$C$2:$C$501,C198,AJUSTEMENTS!$D$2:$D$501,D198,AJUSTEMENTS!$E$2:$E$501,E198))</f>
        <v/>
      </c>
      <c r="K198">
        <f>IF(A198="",0,IF(J198&lt;&gt;0,J198,I198))</f>
        <v/>
      </c>
    </row>
    <row r="199">
      <c r="A199">
        <f>IF(TRAITEMENTS!$Q199="","",TRAITEMENTS!Q199)</f>
        <v/>
      </c>
      <c r="B199">
        <f>IF(TRAITEMENTS!$Q199="","",TRAITEMENTS!E199)</f>
        <v/>
      </c>
      <c r="C199">
        <f>IF(TRAITEMENTS!$Q199="","",TRAITEMENTS!F199)</f>
        <v/>
      </c>
      <c r="D199">
        <f>IF(TRAITEMENTS!$Q199="","",TRAITEMENTS!G199)</f>
        <v/>
      </c>
      <c r="E199">
        <f>IF(TRAITEMENTS!$Q199="","",TRAITEMENTS!H199)</f>
        <v/>
      </c>
      <c r="F199">
        <f>IF(TRAITEMENTS!$Q199="","",TRAITEMENTS!O199)</f>
        <v/>
      </c>
      <c r="G199">
        <f>IF(A199="",0,SUMIFS(TRAITEMENTS!$O$2:$O$501,TRAITEMENTS!$Q$2:$Q$501,A199,TRAITEMENTS!$E$2:$E$501,B199))</f>
        <v/>
      </c>
      <c r="H199">
        <f>IF(A199="",0,SUMIFS(CONNEXIONS!$C$2:$C$501,CONNEXIONS!$D$2:$D$501,A199,CONNEXIONS!$B$2:$B$501,B199))</f>
        <v/>
      </c>
      <c r="I199">
        <f>IF(G199=0,0,F199/G199*H199)</f>
        <v/>
      </c>
      <c r="J199">
        <f>IF(A199="",0,SUMIFS(AJUSTEMENTS!$F$2:$F$501,AJUSTEMENTS!$A$2:$A$501,A199,AJUSTEMENTS!$B$2:$B$501,B199,AJUSTEMENTS!$C$2:$C$501,C199,AJUSTEMENTS!$D$2:$D$501,D199,AJUSTEMENTS!$E$2:$E$501,E199))</f>
        <v/>
      </c>
      <c r="K199">
        <f>IF(A199="",0,IF(J199&lt;&gt;0,J199,I199))</f>
        <v/>
      </c>
    </row>
    <row r="200">
      <c r="A200">
        <f>IF(TRAITEMENTS!$Q200="","",TRAITEMENTS!Q200)</f>
        <v/>
      </c>
      <c r="B200">
        <f>IF(TRAITEMENTS!$Q200="","",TRAITEMENTS!E200)</f>
        <v/>
      </c>
      <c r="C200">
        <f>IF(TRAITEMENTS!$Q200="","",TRAITEMENTS!F200)</f>
        <v/>
      </c>
      <c r="D200">
        <f>IF(TRAITEMENTS!$Q200="","",TRAITEMENTS!G200)</f>
        <v/>
      </c>
      <c r="E200">
        <f>IF(TRAITEMENTS!$Q200="","",TRAITEMENTS!H200)</f>
        <v/>
      </c>
      <c r="F200">
        <f>IF(TRAITEMENTS!$Q200="","",TRAITEMENTS!O200)</f>
        <v/>
      </c>
      <c r="G200">
        <f>IF(A200="",0,SUMIFS(TRAITEMENTS!$O$2:$O$501,TRAITEMENTS!$Q$2:$Q$501,A200,TRAITEMENTS!$E$2:$E$501,B200))</f>
        <v/>
      </c>
      <c r="H200">
        <f>IF(A200="",0,SUMIFS(CONNEXIONS!$C$2:$C$501,CONNEXIONS!$D$2:$D$501,A200,CONNEXIONS!$B$2:$B$501,B200))</f>
        <v/>
      </c>
      <c r="I200">
        <f>IF(G200=0,0,F200/G200*H200)</f>
        <v/>
      </c>
      <c r="J200">
        <f>IF(A200="",0,SUMIFS(AJUSTEMENTS!$F$2:$F$501,AJUSTEMENTS!$A$2:$A$501,A200,AJUSTEMENTS!$B$2:$B$501,B200,AJUSTEMENTS!$C$2:$C$501,C200,AJUSTEMENTS!$D$2:$D$501,D200,AJUSTEMENTS!$E$2:$E$501,E200))</f>
        <v/>
      </c>
      <c r="K200">
        <f>IF(A200="",0,IF(J200&lt;&gt;0,J200,I200))</f>
        <v/>
      </c>
    </row>
    <row r="201">
      <c r="A201">
        <f>IF(TRAITEMENTS!$Q201="","",TRAITEMENTS!Q201)</f>
        <v/>
      </c>
      <c r="B201">
        <f>IF(TRAITEMENTS!$Q201="","",TRAITEMENTS!E201)</f>
        <v/>
      </c>
      <c r="C201">
        <f>IF(TRAITEMENTS!$Q201="","",TRAITEMENTS!F201)</f>
        <v/>
      </c>
      <c r="D201">
        <f>IF(TRAITEMENTS!$Q201="","",TRAITEMENTS!G201)</f>
        <v/>
      </c>
      <c r="E201">
        <f>IF(TRAITEMENTS!$Q201="","",TRAITEMENTS!H201)</f>
        <v/>
      </c>
      <c r="F201">
        <f>IF(TRAITEMENTS!$Q201="","",TRAITEMENTS!O201)</f>
        <v/>
      </c>
      <c r="G201">
        <f>IF(A201="",0,SUMIFS(TRAITEMENTS!$O$2:$O$501,TRAITEMENTS!$Q$2:$Q$501,A201,TRAITEMENTS!$E$2:$E$501,B201))</f>
        <v/>
      </c>
      <c r="H201">
        <f>IF(A201="",0,SUMIFS(CONNEXIONS!$C$2:$C$501,CONNEXIONS!$D$2:$D$501,A201,CONNEXIONS!$B$2:$B$501,B201))</f>
        <v/>
      </c>
      <c r="I201">
        <f>IF(G201=0,0,F201/G201*H201)</f>
        <v/>
      </c>
      <c r="J201">
        <f>IF(A201="",0,SUMIFS(AJUSTEMENTS!$F$2:$F$501,AJUSTEMENTS!$A$2:$A$501,A201,AJUSTEMENTS!$B$2:$B$501,B201,AJUSTEMENTS!$C$2:$C$501,C201,AJUSTEMENTS!$D$2:$D$501,D201,AJUSTEMENTS!$E$2:$E$501,E201))</f>
        <v/>
      </c>
      <c r="K201">
        <f>IF(A201="",0,IF(J201&lt;&gt;0,J201,I201))</f>
        <v/>
      </c>
    </row>
    <row r="202">
      <c r="A202">
        <f>IF(TRAITEMENTS!$Q202="","",TRAITEMENTS!Q202)</f>
        <v/>
      </c>
      <c r="B202">
        <f>IF(TRAITEMENTS!$Q202="","",TRAITEMENTS!E202)</f>
        <v/>
      </c>
      <c r="C202">
        <f>IF(TRAITEMENTS!$Q202="","",TRAITEMENTS!F202)</f>
        <v/>
      </c>
      <c r="D202">
        <f>IF(TRAITEMENTS!$Q202="","",TRAITEMENTS!G202)</f>
        <v/>
      </c>
      <c r="E202">
        <f>IF(TRAITEMENTS!$Q202="","",TRAITEMENTS!H202)</f>
        <v/>
      </c>
      <c r="F202">
        <f>IF(TRAITEMENTS!$Q202="","",TRAITEMENTS!O202)</f>
        <v/>
      </c>
      <c r="G202">
        <f>IF(A202="",0,SUMIFS(TRAITEMENTS!$O$2:$O$501,TRAITEMENTS!$Q$2:$Q$501,A202,TRAITEMENTS!$E$2:$E$501,B202))</f>
        <v/>
      </c>
      <c r="H202">
        <f>IF(A202="",0,SUMIFS(CONNEXIONS!$C$2:$C$501,CONNEXIONS!$D$2:$D$501,A202,CONNEXIONS!$B$2:$B$501,B202))</f>
        <v/>
      </c>
      <c r="I202">
        <f>IF(G202=0,0,F202/G202*H202)</f>
        <v/>
      </c>
      <c r="J202">
        <f>IF(A202="",0,SUMIFS(AJUSTEMENTS!$F$2:$F$501,AJUSTEMENTS!$A$2:$A$501,A202,AJUSTEMENTS!$B$2:$B$501,B202,AJUSTEMENTS!$C$2:$C$501,C202,AJUSTEMENTS!$D$2:$D$501,D202,AJUSTEMENTS!$E$2:$E$501,E202))</f>
        <v/>
      </c>
      <c r="K202">
        <f>IF(A202="",0,IF(J202&lt;&gt;0,J202,I202))</f>
        <v/>
      </c>
    </row>
    <row r="203">
      <c r="A203">
        <f>IF(TRAITEMENTS!$Q203="","",TRAITEMENTS!Q203)</f>
        <v/>
      </c>
      <c r="B203">
        <f>IF(TRAITEMENTS!$Q203="","",TRAITEMENTS!E203)</f>
        <v/>
      </c>
      <c r="C203">
        <f>IF(TRAITEMENTS!$Q203="","",TRAITEMENTS!F203)</f>
        <v/>
      </c>
      <c r="D203">
        <f>IF(TRAITEMENTS!$Q203="","",TRAITEMENTS!G203)</f>
        <v/>
      </c>
      <c r="E203">
        <f>IF(TRAITEMENTS!$Q203="","",TRAITEMENTS!H203)</f>
        <v/>
      </c>
      <c r="F203">
        <f>IF(TRAITEMENTS!$Q203="","",TRAITEMENTS!O203)</f>
        <v/>
      </c>
      <c r="G203">
        <f>IF(A203="",0,SUMIFS(TRAITEMENTS!$O$2:$O$501,TRAITEMENTS!$Q$2:$Q$501,A203,TRAITEMENTS!$E$2:$E$501,B203))</f>
        <v/>
      </c>
      <c r="H203">
        <f>IF(A203="",0,SUMIFS(CONNEXIONS!$C$2:$C$501,CONNEXIONS!$D$2:$D$501,A203,CONNEXIONS!$B$2:$B$501,B203))</f>
        <v/>
      </c>
      <c r="I203">
        <f>IF(G203=0,0,F203/G203*H203)</f>
        <v/>
      </c>
      <c r="J203">
        <f>IF(A203="",0,SUMIFS(AJUSTEMENTS!$F$2:$F$501,AJUSTEMENTS!$A$2:$A$501,A203,AJUSTEMENTS!$B$2:$B$501,B203,AJUSTEMENTS!$C$2:$C$501,C203,AJUSTEMENTS!$D$2:$D$501,D203,AJUSTEMENTS!$E$2:$E$501,E203))</f>
        <v/>
      </c>
      <c r="K203">
        <f>IF(A203="",0,IF(J203&lt;&gt;0,J203,I203))</f>
        <v/>
      </c>
    </row>
    <row r="204">
      <c r="A204">
        <f>IF(TRAITEMENTS!$Q204="","",TRAITEMENTS!Q204)</f>
        <v/>
      </c>
      <c r="B204">
        <f>IF(TRAITEMENTS!$Q204="","",TRAITEMENTS!E204)</f>
        <v/>
      </c>
      <c r="C204">
        <f>IF(TRAITEMENTS!$Q204="","",TRAITEMENTS!F204)</f>
        <v/>
      </c>
      <c r="D204">
        <f>IF(TRAITEMENTS!$Q204="","",TRAITEMENTS!G204)</f>
        <v/>
      </c>
      <c r="E204">
        <f>IF(TRAITEMENTS!$Q204="","",TRAITEMENTS!H204)</f>
        <v/>
      </c>
      <c r="F204">
        <f>IF(TRAITEMENTS!$Q204="","",TRAITEMENTS!O204)</f>
        <v/>
      </c>
      <c r="G204">
        <f>IF(A204="",0,SUMIFS(TRAITEMENTS!$O$2:$O$501,TRAITEMENTS!$Q$2:$Q$501,A204,TRAITEMENTS!$E$2:$E$501,B204))</f>
        <v/>
      </c>
      <c r="H204">
        <f>IF(A204="",0,SUMIFS(CONNEXIONS!$C$2:$C$501,CONNEXIONS!$D$2:$D$501,A204,CONNEXIONS!$B$2:$B$501,B204))</f>
        <v/>
      </c>
      <c r="I204">
        <f>IF(G204=0,0,F204/G204*H204)</f>
        <v/>
      </c>
      <c r="J204">
        <f>IF(A204="",0,SUMIFS(AJUSTEMENTS!$F$2:$F$501,AJUSTEMENTS!$A$2:$A$501,A204,AJUSTEMENTS!$B$2:$B$501,B204,AJUSTEMENTS!$C$2:$C$501,C204,AJUSTEMENTS!$D$2:$D$501,D204,AJUSTEMENTS!$E$2:$E$501,E204))</f>
        <v/>
      </c>
      <c r="K204">
        <f>IF(A204="",0,IF(J204&lt;&gt;0,J204,I204))</f>
        <v/>
      </c>
    </row>
    <row r="205">
      <c r="A205">
        <f>IF(TRAITEMENTS!$Q205="","",TRAITEMENTS!Q205)</f>
        <v/>
      </c>
      <c r="B205">
        <f>IF(TRAITEMENTS!$Q205="","",TRAITEMENTS!E205)</f>
        <v/>
      </c>
      <c r="C205">
        <f>IF(TRAITEMENTS!$Q205="","",TRAITEMENTS!F205)</f>
        <v/>
      </c>
      <c r="D205">
        <f>IF(TRAITEMENTS!$Q205="","",TRAITEMENTS!G205)</f>
        <v/>
      </c>
      <c r="E205">
        <f>IF(TRAITEMENTS!$Q205="","",TRAITEMENTS!H205)</f>
        <v/>
      </c>
      <c r="F205">
        <f>IF(TRAITEMENTS!$Q205="","",TRAITEMENTS!O205)</f>
        <v/>
      </c>
      <c r="G205">
        <f>IF(A205="",0,SUMIFS(TRAITEMENTS!$O$2:$O$501,TRAITEMENTS!$Q$2:$Q$501,A205,TRAITEMENTS!$E$2:$E$501,B205))</f>
        <v/>
      </c>
      <c r="H205">
        <f>IF(A205="",0,SUMIFS(CONNEXIONS!$C$2:$C$501,CONNEXIONS!$D$2:$D$501,A205,CONNEXIONS!$B$2:$B$501,B205))</f>
        <v/>
      </c>
      <c r="I205">
        <f>IF(G205=0,0,F205/G205*H205)</f>
        <v/>
      </c>
      <c r="J205">
        <f>IF(A205="",0,SUMIFS(AJUSTEMENTS!$F$2:$F$501,AJUSTEMENTS!$A$2:$A$501,A205,AJUSTEMENTS!$B$2:$B$501,B205,AJUSTEMENTS!$C$2:$C$501,C205,AJUSTEMENTS!$D$2:$D$501,D205,AJUSTEMENTS!$E$2:$E$501,E205))</f>
        <v/>
      </c>
      <c r="K205">
        <f>IF(A205="",0,IF(J205&lt;&gt;0,J205,I205))</f>
        <v/>
      </c>
    </row>
    <row r="206">
      <c r="A206">
        <f>IF(TRAITEMENTS!$Q206="","",TRAITEMENTS!Q206)</f>
        <v/>
      </c>
      <c r="B206">
        <f>IF(TRAITEMENTS!$Q206="","",TRAITEMENTS!E206)</f>
        <v/>
      </c>
      <c r="C206">
        <f>IF(TRAITEMENTS!$Q206="","",TRAITEMENTS!F206)</f>
        <v/>
      </c>
      <c r="D206">
        <f>IF(TRAITEMENTS!$Q206="","",TRAITEMENTS!G206)</f>
        <v/>
      </c>
      <c r="E206">
        <f>IF(TRAITEMENTS!$Q206="","",TRAITEMENTS!H206)</f>
        <v/>
      </c>
      <c r="F206">
        <f>IF(TRAITEMENTS!$Q206="","",TRAITEMENTS!O206)</f>
        <v/>
      </c>
      <c r="G206">
        <f>IF(A206="",0,SUMIFS(TRAITEMENTS!$O$2:$O$501,TRAITEMENTS!$Q$2:$Q$501,A206,TRAITEMENTS!$E$2:$E$501,B206))</f>
        <v/>
      </c>
      <c r="H206">
        <f>IF(A206="",0,SUMIFS(CONNEXIONS!$C$2:$C$501,CONNEXIONS!$D$2:$D$501,A206,CONNEXIONS!$B$2:$B$501,B206))</f>
        <v/>
      </c>
      <c r="I206">
        <f>IF(G206=0,0,F206/G206*H206)</f>
        <v/>
      </c>
      <c r="J206">
        <f>IF(A206="",0,SUMIFS(AJUSTEMENTS!$F$2:$F$501,AJUSTEMENTS!$A$2:$A$501,A206,AJUSTEMENTS!$B$2:$B$501,B206,AJUSTEMENTS!$C$2:$C$501,C206,AJUSTEMENTS!$D$2:$D$501,D206,AJUSTEMENTS!$E$2:$E$501,E206))</f>
        <v/>
      </c>
      <c r="K206">
        <f>IF(A206="",0,IF(J206&lt;&gt;0,J206,I206))</f>
        <v/>
      </c>
    </row>
    <row r="207">
      <c r="A207">
        <f>IF(TRAITEMENTS!$Q207="","",TRAITEMENTS!Q207)</f>
        <v/>
      </c>
      <c r="B207">
        <f>IF(TRAITEMENTS!$Q207="","",TRAITEMENTS!E207)</f>
        <v/>
      </c>
      <c r="C207">
        <f>IF(TRAITEMENTS!$Q207="","",TRAITEMENTS!F207)</f>
        <v/>
      </c>
      <c r="D207">
        <f>IF(TRAITEMENTS!$Q207="","",TRAITEMENTS!G207)</f>
        <v/>
      </c>
      <c r="E207">
        <f>IF(TRAITEMENTS!$Q207="","",TRAITEMENTS!H207)</f>
        <v/>
      </c>
      <c r="F207">
        <f>IF(TRAITEMENTS!$Q207="","",TRAITEMENTS!O207)</f>
        <v/>
      </c>
      <c r="G207">
        <f>IF(A207="",0,SUMIFS(TRAITEMENTS!$O$2:$O$501,TRAITEMENTS!$Q$2:$Q$501,A207,TRAITEMENTS!$E$2:$E$501,B207))</f>
        <v/>
      </c>
      <c r="H207">
        <f>IF(A207="",0,SUMIFS(CONNEXIONS!$C$2:$C$501,CONNEXIONS!$D$2:$D$501,A207,CONNEXIONS!$B$2:$B$501,B207))</f>
        <v/>
      </c>
      <c r="I207">
        <f>IF(G207=0,0,F207/G207*H207)</f>
        <v/>
      </c>
      <c r="J207">
        <f>IF(A207="",0,SUMIFS(AJUSTEMENTS!$F$2:$F$501,AJUSTEMENTS!$A$2:$A$501,A207,AJUSTEMENTS!$B$2:$B$501,B207,AJUSTEMENTS!$C$2:$C$501,C207,AJUSTEMENTS!$D$2:$D$501,D207,AJUSTEMENTS!$E$2:$E$501,E207))</f>
        <v/>
      </c>
      <c r="K207">
        <f>IF(A207="",0,IF(J207&lt;&gt;0,J207,I207))</f>
        <v/>
      </c>
    </row>
    <row r="208">
      <c r="A208">
        <f>IF(TRAITEMENTS!$Q208="","",TRAITEMENTS!Q208)</f>
        <v/>
      </c>
      <c r="B208">
        <f>IF(TRAITEMENTS!$Q208="","",TRAITEMENTS!E208)</f>
        <v/>
      </c>
      <c r="C208">
        <f>IF(TRAITEMENTS!$Q208="","",TRAITEMENTS!F208)</f>
        <v/>
      </c>
      <c r="D208">
        <f>IF(TRAITEMENTS!$Q208="","",TRAITEMENTS!G208)</f>
        <v/>
      </c>
      <c r="E208">
        <f>IF(TRAITEMENTS!$Q208="","",TRAITEMENTS!H208)</f>
        <v/>
      </c>
      <c r="F208">
        <f>IF(TRAITEMENTS!$Q208="","",TRAITEMENTS!O208)</f>
        <v/>
      </c>
      <c r="G208">
        <f>IF(A208="",0,SUMIFS(TRAITEMENTS!$O$2:$O$501,TRAITEMENTS!$Q$2:$Q$501,A208,TRAITEMENTS!$E$2:$E$501,B208))</f>
        <v/>
      </c>
      <c r="H208">
        <f>IF(A208="",0,SUMIFS(CONNEXIONS!$C$2:$C$501,CONNEXIONS!$D$2:$D$501,A208,CONNEXIONS!$B$2:$B$501,B208))</f>
        <v/>
      </c>
      <c r="I208">
        <f>IF(G208=0,0,F208/G208*H208)</f>
        <v/>
      </c>
      <c r="J208">
        <f>IF(A208="",0,SUMIFS(AJUSTEMENTS!$F$2:$F$501,AJUSTEMENTS!$A$2:$A$501,A208,AJUSTEMENTS!$B$2:$B$501,B208,AJUSTEMENTS!$C$2:$C$501,C208,AJUSTEMENTS!$D$2:$D$501,D208,AJUSTEMENTS!$E$2:$E$501,E208))</f>
        <v/>
      </c>
      <c r="K208">
        <f>IF(A208="",0,IF(J208&lt;&gt;0,J208,I208))</f>
        <v/>
      </c>
    </row>
    <row r="209">
      <c r="A209">
        <f>IF(TRAITEMENTS!$Q209="","",TRAITEMENTS!Q209)</f>
        <v/>
      </c>
      <c r="B209">
        <f>IF(TRAITEMENTS!$Q209="","",TRAITEMENTS!E209)</f>
        <v/>
      </c>
      <c r="C209">
        <f>IF(TRAITEMENTS!$Q209="","",TRAITEMENTS!F209)</f>
        <v/>
      </c>
      <c r="D209">
        <f>IF(TRAITEMENTS!$Q209="","",TRAITEMENTS!G209)</f>
        <v/>
      </c>
      <c r="E209">
        <f>IF(TRAITEMENTS!$Q209="","",TRAITEMENTS!H209)</f>
        <v/>
      </c>
      <c r="F209">
        <f>IF(TRAITEMENTS!$Q209="","",TRAITEMENTS!O209)</f>
        <v/>
      </c>
      <c r="G209">
        <f>IF(A209="",0,SUMIFS(TRAITEMENTS!$O$2:$O$501,TRAITEMENTS!$Q$2:$Q$501,A209,TRAITEMENTS!$E$2:$E$501,B209))</f>
        <v/>
      </c>
      <c r="H209">
        <f>IF(A209="",0,SUMIFS(CONNEXIONS!$C$2:$C$501,CONNEXIONS!$D$2:$D$501,A209,CONNEXIONS!$B$2:$B$501,B209))</f>
        <v/>
      </c>
      <c r="I209">
        <f>IF(G209=0,0,F209/G209*H209)</f>
        <v/>
      </c>
      <c r="J209">
        <f>IF(A209="",0,SUMIFS(AJUSTEMENTS!$F$2:$F$501,AJUSTEMENTS!$A$2:$A$501,A209,AJUSTEMENTS!$B$2:$B$501,B209,AJUSTEMENTS!$C$2:$C$501,C209,AJUSTEMENTS!$D$2:$D$501,D209,AJUSTEMENTS!$E$2:$E$501,E209))</f>
        <v/>
      </c>
      <c r="K209">
        <f>IF(A209="",0,IF(J209&lt;&gt;0,J209,I209))</f>
        <v/>
      </c>
    </row>
    <row r="210">
      <c r="A210">
        <f>IF(TRAITEMENTS!$Q210="","",TRAITEMENTS!Q210)</f>
        <v/>
      </c>
      <c r="B210">
        <f>IF(TRAITEMENTS!$Q210="","",TRAITEMENTS!E210)</f>
        <v/>
      </c>
      <c r="C210">
        <f>IF(TRAITEMENTS!$Q210="","",TRAITEMENTS!F210)</f>
        <v/>
      </c>
      <c r="D210">
        <f>IF(TRAITEMENTS!$Q210="","",TRAITEMENTS!G210)</f>
        <v/>
      </c>
      <c r="E210">
        <f>IF(TRAITEMENTS!$Q210="","",TRAITEMENTS!H210)</f>
        <v/>
      </c>
      <c r="F210">
        <f>IF(TRAITEMENTS!$Q210="","",TRAITEMENTS!O210)</f>
        <v/>
      </c>
      <c r="G210">
        <f>IF(A210="",0,SUMIFS(TRAITEMENTS!$O$2:$O$501,TRAITEMENTS!$Q$2:$Q$501,A210,TRAITEMENTS!$E$2:$E$501,B210))</f>
        <v/>
      </c>
      <c r="H210">
        <f>IF(A210="",0,SUMIFS(CONNEXIONS!$C$2:$C$501,CONNEXIONS!$D$2:$D$501,A210,CONNEXIONS!$B$2:$B$501,B210))</f>
        <v/>
      </c>
      <c r="I210">
        <f>IF(G210=0,0,F210/G210*H210)</f>
        <v/>
      </c>
      <c r="J210">
        <f>IF(A210="",0,SUMIFS(AJUSTEMENTS!$F$2:$F$501,AJUSTEMENTS!$A$2:$A$501,A210,AJUSTEMENTS!$B$2:$B$501,B210,AJUSTEMENTS!$C$2:$C$501,C210,AJUSTEMENTS!$D$2:$D$501,D210,AJUSTEMENTS!$E$2:$E$501,E210))</f>
        <v/>
      </c>
      <c r="K210">
        <f>IF(A210="",0,IF(J210&lt;&gt;0,J210,I210))</f>
        <v/>
      </c>
    </row>
    <row r="211">
      <c r="A211">
        <f>IF(TRAITEMENTS!$Q211="","",TRAITEMENTS!Q211)</f>
        <v/>
      </c>
      <c r="B211">
        <f>IF(TRAITEMENTS!$Q211="","",TRAITEMENTS!E211)</f>
        <v/>
      </c>
      <c r="C211">
        <f>IF(TRAITEMENTS!$Q211="","",TRAITEMENTS!F211)</f>
        <v/>
      </c>
      <c r="D211">
        <f>IF(TRAITEMENTS!$Q211="","",TRAITEMENTS!G211)</f>
        <v/>
      </c>
      <c r="E211">
        <f>IF(TRAITEMENTS!$Q211="","",TRAITEMENTS!H211)</f>
        <v/>
      </c>
      <c r="F211">
        <f>IF(TRAITEMENTS!$Q211="","",TRAITEMENTS!O211)</f>
        <v/>
      </c>
      <c r="G211">
        <f>IF(A211="",0,SUMIFS(TRAITEMENTS!$O$2:$O$501,TRAITEMENTS!$Q$2:$Q$501,A211,TRAITEMENTS!$E$2:$E$501,B211))</f>
        <v/>
      </c>
      <c r="H211">
        <f>IF(A211="",0,SUMIFS(CONNEXIONS!$C$2:$C$501,CONNEXIONS!$D$2:$D$501,A211,CONNEXIONS!$B$2:$B$501,B211))</f>
        <v/>
      </c>
      <c r="I211">
        <f>IF(G211=0,0,F211/G211*H211)</f>
        <v/>
      </c>
      <c r="J211">
        <f>IF(A211="",0,SUMIFS(AJUSTEMENTS!$F$2:$F$501,AJUSTEMENTS!$A$2:$A$501,A211,AJUSTEMENTS!$B$2:$B$501,B211,AJUSTEMENTS!$C$2:$C$501,C211,AJUSTEMENTS!$D$2:$D$501,D211,AJUSTEMENTS!$E$2:$E$501,E211))</f>
        <v/>
      </c>
      <c r="K211">
        <f>IF(A211="",0,IF(J211&lt;&gt;0,J211,I211))</f>
        <v/>
      </c>
    </row>
    <row r="212">
      <c r="A212">
        <f>IF(TRAITEMENTS!$Q212="","",TRAITEMENTS!Q212)</f>
        <v/>
      </c>
      <c r="B212">
        <f>IF(TRAITEMENTS!$Q212="","",TRAITEMENTS!E212)</f>
        <v/>
      </c>
      <c r="C212">
        <f>IF(TRAITEMENTS!$Q212="","",TRAITEMENTS!F212)</f>
        <v/>
      </c>
      <c r="D212">
        <f>IF(TRAITEMENTS!$Q212="","",TRAITEMENTS!G212)</f>
        <v/>
      </c>
      <c r="E212">
        <f>IF(TRAITEMENTS!$Q212="","",TRAITEMENTS!H212)</f>
        <v/>
      </c>
      <c r="F212">
        <f>IF(TRAITEMENTS!$Q212="","",TRAITEMENTS!O212)</f>
        <v/>
      </c>
      <c r="G212">
        <f>IF(A212="",0,SUMIFS(TRAITEMENTS!$O$2:$O$501,TRAITEMENTS!$Q$2:$Q$501,A212,TRAITEMENTS!$E$2:$E$501,B212))</f>
        <v/>
      </c>
      <c r="H212">
        <f>IF(A212="",0,SUMIFS(CONNEXIONS!$C$2:$C$501,CONNEXIONS!$D$2:$D$501,A212,CONNEXIONS!$B$2:$B$501,B212))</f>
        <v/>
      </c>
      <c r="I212">
        <f>IF(G212=0,0,F212/G212*H212)</f>
        <v/>
      </c>
      <c r="J212">
        <f>IF(A212="",0,SUMIFS(AJUSTEMENTS!$F$2:$F$501,AJUSTEMENTS!$A$2:$A$501,A212,AJUSTEMENTS!$B$2:$B$501,B212,AJUSTEMENTS!$C$2:$C$501,C212,AJUSTEMENTS!$D$2:$D$501,D212,AJUSTEMENTS!$E$2:$E$501,E212))</f>
        <v/>
      </c>
      <c r="K212">
        <f>IF(A212="",0,IF(J212&lt;&gt;0,J212,I212))</f>
        <v/>
      </c>
    </row>
    <row r="213">
      <c r="A213">
        <f>IF(TRAITEMENTS!$Q213="","",TRAITEMENTS!Q213)</f>
        <v/>
      </c>
      <c r="B213">
        <f>IF(TRAITEMENTS!$Q213="","",TRAITEMENTS!E213)</f>
        <v/>
      </c>
      <c r="C213">
        <f>IF(TRAITEMENTS!$Q213="","",TRAITEMENTS!F213)</f>
        <v/>
      </c>
      <c r="D213">
        <f>IF(TRAITEMENTS!$Q213="","",TRAITEMENTS!G213)</f>
        <v/>
      </c>
      <c r="E213">
        <f>IF(TRAITEMENTS!$Q213="","",TRAITEMENTS!H213)</f>
        <v/>
      </c>
      <c r="F213">
        <f>IF(TRAITEMENTS!$Q213="","",TRAITEMENTS!O213)</f>
        <v/>
      </c>
      <c r="G213">
        <f>IF(A213="",0,SUMIFS(TRAITEMENTS!$O$2:$O$501,TRAITEMENTS!$Q$2:$Q$501,A213,TRAITEMENTS!$E$2:$E$501,B213))</f>
        <v/>
      </c>
      <c r="H213">
        <f>IF(A213="",0,SUMIFS(CONNEXIONS!$C$2:$C$501,CONNEXIONS!$D$2:$D$501,A213,CONNEXIONS!$B$2:$B$501,B213))</f>
        <v/>
      </c>
      <c r="I213">
        <f>IF(G213=0,0,F213/G213*H213)</f>
        <v/>
      </c>
      <c r="J213">
        <f>IF(A213="",0,SUMIFS(AJUSTEMENTS!$F$2:$F$501,AJUSTEMENTS!$A$2:$A$501,A213,AJUSTEMENTS!$B$2:$B$501,B213,AJUSTEMENTS!$C$2:$C$501,C213,AJUSTEMENTS!$D$2:$D$501,D213,AJUSTEMENTS!$E$2:$E$501,E213))</f>
        <v/>
      </c>
      <c r="K213">
        <f>IF(A213="",0,IF(J213&lt;&gt;0,J213,I213))</f>
        <v/>
      </c>
    </row>
    <row r="214">
      <c r="A214">
        <f>IF(TRAITEMENTS!$Q214="","",TRAITEMENTS!Q214)</f>
        <v/>
      </c>
      <c r="B214">
        <f>IF(TRAITEMENTS!$Q214="","",TRAITEMENTS!E214)</f>
        <v/>
      </c>
      <c r="C214">
        <f>IF(TRAITEMENTS!$Q214="","",TRAITEMENTS!F214)</f>
        <v/>
      </c>
      <c r="D214">
        <f>IF(TRAITEMENTS!$Q214="","",TRAITEMENTS!G214)</f>
        <v/>
      </c>
      <c r="E214">
        <f>IF(TRAITEMENTS!$Q214="","",TRAITEMENTS!H214)</f>
        <v/>
      </c>
      <c r="F214">
        <f>IF(TRAITEMENTS!$Q214="","",TRAITEMENTS!O214)</f>
        <v/>
      </c>
      <c r="G214">
        <f>IF(A214="",0,SUMIFS(TRAITEMENTS!$O$2:$O$501,TRAITEMENTS!$Q$2:$Q$501,A214,TRAITEMENTS!$E$2:$E$501,B214))</f>
        <v/>
      </c>
      <c r="H214">
        <f>IF(A214="",0,SUMIFS(CONNEXIONS!$C$2:$C$501,CONNEXIONS!$D$2:$D$501,A214,CONNEXIONS!$B$2:$B$501,B214))</f>
        <v/>
      </c>
      <c r="I214">
        <f>IF(G214=0,0,F214/G214*H214)</f>
        <v/>
      </c>
      <c r="J214">
        <f>IF(A214="",0,SUMIFS(AJUSTEMENTS!$F$2:$F$501,AJUSTEMENTS!$A$2:$A$501,A214,AJUSTEMENTS!$B$2:$B$501,B214,AJUSTEMENTS!$C$2:$C$501,C214,AJUSTEMENTS!$D$2:$D$501,D214,AJUSTEMENTS!$E$2:$E$501,E214))</f>
        <v/>
      </c>
      <c r="K214">
        <f>IF(A214="",0,IF(J214&lt;&gt;0,J214,I214))</f>
        <v/>
      </c>
    </row>
    <row r="215">
      <c r="A215">
        <f>IF(TRAITEMENTS!$Q215="","",TRAITEMENTS!Q215)</f>
        <v/>
      </c>
      <c r="B215">
        <f>IF(TRAITEMENTS!$Q215="","",TRAITEMENTS!E215)</f>
        <v/>
      </c>
      <c r="C215">
        <f>IF(TRAITEMENTS!$Q215="","",TRAITEMENTS!F215)</f>
        <v/>
      </c>
      <c r="D215">
        <f>IF(TRAITEMENTS!$Q215="","",TRAITEMENTS!G215)</f>
        <v/>
      </c>
      <c r="E215">
        <f>IF(TRAITEMENTS!$Q215="","",TRAITEMENTS!H215)</f>
        <v/>
      </c>
      <c r="F215">
        <f>IF(TRAITEMENTS!$Q215="","",TRAITEMENTS!O215)</f>
        <v/>
      </c>
      <c r="G215">
        <f>IF(A215="",0,SUMIFS(TRAITEMENTS!$O$2:$O$501,TRAITEMENTS!$Q$2:$Q$501,A215,TRAITEMENTS!$E$2:$E$501,B215))</f>
        <v/>
      </c>
      <c r="H215">
        <f>IF(A215="",0,SUMIFS(CONNEXIONS!$C$2:$C$501,CONNEXIONS!$D$2:$D$501,A215,CONNEXIONS!$B$2:$B$501,B215))</f>
        <v/>
      </c>
      <c r="I215">
        <f>IF(G215=0,0,F215/G215*H215)</f>
        <v/>
      </c>
      <c r="J215">
        <f>IF(A215="",0,SUMIFS(AJUSTEMENTS!$F$2:$F$501,AJUSTEMENTS!$A$2:$A$501,A215,AJUSTEMENTS!$B$2:$B$501,B215,AJUSTEMENTS!$C$2:$C$501,C215,AJUSTEMENTS!$D$2:$D$501,D215,AJUSTEMENTS!$E$2:$E$501,E215))</f>
        <v/>
      </c>
      <c r="K215">
        <f>IF(A215="",0,IF(J215&lt;&gt;0,J215,I215))</f>
        <v/>
      </c>
    </row>
    <row r="216">
      <c r="A216">
        <f>IF(TRAITEMENTS!$Q216="","",TRAITEMENTS!Q216)</f>
        <v/>
      </c>
      <c r="B216">
        <f>IF(TRAITEMENTS!$Q216="","",TRAITEMENTS!E216)</f>
        <v/>
      </c>
      <c r="C216">
        <f>IF(TRAITEMENTS!$Q216="","",TRAITEMENTS!F216)</f>
        <v/>
      </c>
      <c r="D216">
        <f>IF(TRAITEMENTS!$Q216="","",TRAITEMENTS!G216)</f>
        <v/>
      </c>
      <c r="E216">
        <f>IF(TRAITEMENTS!$Q216="","",TRAITEMENTS!H216)</f>
        <v/>
      </c>
      <c r="F216">
        <f>IF(TRAITEMENTS!$Q216="","",TRAITEMENTS!O216)</f>
        <v/>
      </c>
      <c r="G216">
        <f>IF(A216="",0,SUMIFS(TRAITEMENTS!$O$2:$O$501,TRAITEMENTS!$Q$2:$Q$501,A216,TRAITEMENTS!$E$2:$E$501,B216))</f>
        <v/>
      </c>
      <c r="H216">
        <f>IF(A216="",0,SUMIFS(CONNEXIONS!$C$2:$C$501,CONNEXIONS!$D$2:$D$501,A216,CONNEXIONS!$B$2:$B$501,B216))</f>
        <v/>
      </c>
      <c r="I216">
        <f>IF(G216=0,0,F216/G216*H216)</f>
        <v/>
      </c>
      <c r="J216">
        <f>IF(A216="",0,SUMIFS(AJUSTEMENTS!$F$2:$F$501,AJUSTEMENTS!$A$2:$A$501,A216,AJUSTEMENTS!$B$2:$B$501,B216,AJUSTEMENTS!$C$2:$C$501,C216,AJUSTEMENTS!$D$2:$D$501,D216,AJUSTEMENTS!$E$2:$E$501,E216))</f>
        <v/>
      </c>
      <c r="K216">
        <f>IF(A216="",0,IF(J216&lt;&gt;0,J216,I216))</f>
        <v/>
      </c>
    </row>
    <row r="217">
      <c r="A217">
        <f>IF(TRAITEMENTS!$Q217="","",TRAITEMENTS!Q217)</f>
        <v/>
      </c>
      <c r="B217">
        <f>IF(TRAITEMENTS!$Q217="","",TRAITEMENTS!E217)</f>
        <v/>
      </c>
      <c r="C217">
        <f>IF(TRAITEMENTS!$Q217="","",TRAITEMENTS!F217)</f>
        <v/>
      </c>
      <c r="D217">
        <f>IF(TRAITEMENTS!$Q217="","",TRAITEMENTS!G217)</f>
        <v/>
      </c>
      <c r="E217">
        <f>IF(TRAITEMENTS!$Q217="","",TRAITEMENTS!H217)</f>
        <v/>
      </c>
      <c r="F217">
        <f>IF(TRAITEMENTS!$Q217="","",TRAITEMENTS!O217)</f>
        <v/>
      </c>
      <c r="G217">
        <f>IF(A217="",0,SUMIFS(TRAITEMENTS!$O$2:$O$501,TRAITEMENTS!$Q$2:$Q$501,A217,TRAITEMENTS!$E$2:$E$501,B217))</f>
        <v/>
      </c>
      <c r="H217">
        <f>IF(A217="",0,SUMIFS(CONNEXIONS!$C$2:$C$501,CONNEXIONS!$D$2:$D$501,A217,CONNEXIONS!$B$2:$B$501,B217))</f>
        <v/>
      </c>
      <c r="I217">
        <f>IF(G217=0,0,F217/G217*H217)</f>
        <v/>
      </c>
      <c r="J217">
        <f>IF(A217="",0,SUMIFS(AJUSTEMENTS!$F$2:$F$501,AJUSTEMENTS!$A$2:$A$501,A217,AJUSTEMENTS!$B$2:$B$501,B217,AJUSTEMENTS!$C$2:$C$501,C217,AJUSTEMENTS!$D$2:$D$501,D217,AJUSTEMENTS!$E$2:$E$501,E217))</f>
        <v/>
      </c>
      <c r="K217">
        <f>IF(A217="",0,IF(J217&lt;&gt;0,J217,I217))</f>
        <v/>
      </c>
    </row>
    <row r="218">
      <c r="A218">
        <f>IF(TRAITEMENTS!$Q218="","",TRAITEMENTS!Q218)</f>
        <v/>
      </c>
      <c r="B218">
        <f>IF(TRAITEMENTS!$Q218="","",TRAITEMENTS!E218)</f>
        <v/>
      </c>
      <c r="C218">
        <f>IF(TRAITEMENTS!$Q218="","",TRAITEMENTS!F218)</f>
        <v/>
      </c>
      <c r="D218">
        <f>IF(TRAITEMENTS!$Q218="","",TRAITEMENTS!G218)</f>
        <v/>
      </c>
      <c r="E218">
        <f>IF(TRAITEMENTS!$Q218="","",TRAITEMENTS!H218)</f>
        <v/>
      </c>
      <c r="F218">
        <f>IF(TRAITEMENTS!$Q218="","",TRAITEMENTS!O218)</f>
        <v/>
      </c>
      <c r="G218">
        <f>IF(A218="",0,SUMIFS(TRAITEMENTS!$O$2:$O$501,TRAITEMENTS!$Q$2:$Q$501,A218,TRAITEMENTS!$E$2:$E$501,B218))</f>
        <v/>
      </c>
      <c r="H218">
        <f>IF(A218="",0,SUMIFS(CONNEXIONS!$C$2:$C$501,CONNEXIONS!$D$2:$D$501,A218,CONNEXIONS!$B$2:$B$501,B218))</f>
        <v/>
      </c>
      <c r="I218">
        <f>IF(G218=0,0,F218/G218*H218)</f>
        <v/>
      </c>
      <c r="J218">
        <f>IF(A218="",0,SUMIFS(AJUSTEMENTS!$F$2:$F$501,AJUSTEMENTS!$A$2:$A$501,A218,AJUSTEMENTS!$B$2:$B$501,B218,AJUSTEMENTS!$C$2:$C$501,C218,AJUSTEMENTS!$D$2:$D$501,D218,AJUSTEMENTS!$E$2:$E$501,E218))</f>
        <v/>
      </c>
      <c r="K218">
        <f>IF(A218="",0,IF(J218&lt;&gt;0,J218,I218))</f>
        <v/>
      </c>
    </row>
    <row r="219">
      <c r="A219">
        <f>IF(TRAITEMENTS!$Q219="","",TRAITEMENTS!Q219)</f>
        <v/>
      </c>
      <c r="B219">
        <f>IF(TRAITEMENTS!$Q219="","",TRAITEMENTS!E219)</f>
        <v/>
      </c>
      <c r="C219">
        <f>IF(TRAITEMENTS!$Q219="","",TRAITEMENTS!F219)</f>
        <v/>
      </c>
      <c r="D219">
        <f>IF(TRAITEMENTS!$Q219="","",TRAITEMENTS!G219)</f>
        <v/>
      </c>
      <c r="E219">
        <f>IF(TRAITEMENTS!$Q219="","",TRAITEMENTS!H219)</f>
        <v/>
      </c>
      <c r="F219">
        <f>IF(TRAITEMENTS!$Q219="","",TRAITEMENTS!O219)</f>
        <v/>
      </c>
      <c r="G219">
        <f>IF(A219="",0,SUMIFS(TRAITEMENTS!$O$2:$O$501,TRAITEMENTS!$Q$2:$Q$501,A219,TRAITEMENTS!$E$2:$E$501,B219))</f>
        <v/>
      </c>
      <c r="H219">
        <f>IF(A219="",0,SUMIFS(CONNEXIONS!$C$2:$C$501,CONNEXIONS!$D$2:$D$501,A219,CONNEXIONS!$B$2:$B$501,B219))</f>
        <v/>
      </c>
      <c r="I219">
        <f>IF(G219=0,0,F219/G219*H219)</f>
        <v/>
      </c>
      <c r="J219">
        <f>IF(A219="",0,SUMIFS(AJUSTEMENTS!$F$2:$F$501,AJUSTEMENTS!$A$2:$A$501,A219,AJUSTEMENTS!$B$2:$B$501,B219,AJUSTEMENTS!$C$2:$C$501,C219,AJUSTEMENTS!$D$2:$D$501,D219,AJUSTEMENTS!$E$2:$E$501,E219))</f>
        <v/>
      </c>
      <c r="K219">
        <f>IF(A219="",0,IF(J219&lt;&gt;0,J219,I219))</f>
        <v/>
      </c>
    </row>
    <row r="220">
      <c r="A220">
        <f>IF(TRAITEMENTS!$Q220="","",TRAITEMENTS!Q220)</f>
        <v/>
      </c>
      <c r="B220">
        <f>IF(TRAITEMENTS!$Q220="","",TRAITEMENTS!E220)</f>
        <v/>
      </c>
      <c r="C220">
        <f>IF(TRAITEMENTS!$Q220="","",TRAITEMENTS!F220)</f>
        <v/>
      </c>
      <c r="D220">
        <f>IF(TRAITEMENTS!$Q220="","",TRAITEMENTS!G220)</f>
        <v/>
      </c>
      <c r="E220">
        <f>IF(TRAITEMENTS!$Q220="","",TRAITEMENTS!H220)</f>
        <v/>
      </c>
      <c r="F220">
        <f>IF(TRAITEMENTS!$Q220="","",TRAITEMENTS!O220)</f>
        <v/>
      </c>
      <c r="G220">
        <f>IF(A220="",0,SUMIFS(TRAITEMENTS!$O$2:$O$501,TRAITEMENTS!$Q$2:$Q$501,A220,TRAITEMENTS!$E$2:$E$501,B220))</f>
        <v/>
      </c>
      <c r="H220">
        <f>IF(A220="",0,SUMIFS(CONNEXIONS!$C$2:$C$501,CONNEXIONS!$D$2:$D$501,A220,CONNEXIONS!$B$2:$B$501,B220))</f>
        <v/>
      </c>
      <c r="I220">
        <f>IF(G220=0,0,F220/G220*H220)</f>
        <v/>
      </c>
      <c r="J220">
        <f>IF(A220="",0,SUMIFS(AJUSTEMENTS!$F$2:$F$501,AJUSTEMENTS!$A$2:$A$501,A220,AJUSTEMENTS!$B$2:$B$501,B220,AJUSTEMENTS!$C$2:$C$501,C220,AJUSTEMENTS!$D$2:$D$501,D220,AJUSTEMENTS!$E$2:$E$501,E220))</f>
        <v/>
      </c>
      <c r="K220">
        <f>IF(A220="",0,IF(J220&lt;&gt;0,J220,I220))</f>
        <v/>
      </c>
    </row>
    <row r="221">
      <c r="A221">
        <f>IF(TRAITEMENTS!$Q221="","",TRAITEMENTS!Q221)</f>
        <v/>
      </c>
      <c r="B221">
        <f>IF(TRAITEMENTS!$Q221="","",TRAITEMENTS!E221)</f>
        <v/>
      </c>
      <c r="C221">
        <f>IF(TRAITEMENTS!$Q221="","",TRAITEMENTS!F221)</f>
        <v/>
      </c>
      <c r="D221">
        <f>IF(TRAITEMENTS!$Q221="","",TRAITEMENTS!G221)</f>
        <v/>
      </c>
      <c r="E221">
        <f>IF(TRAITEMENTS!$Q221="","",TRAITEMENTS!H221)</f>
        <v/>
      </c>
      <c r="F221">
        <f>IF(TRAITEMENTS!$Q221="","",TRAITEMENTS!O221)</f>
        <v/>
      </c>
      <c r="G221">
        <f>IF(A221="",0,SUMIFS(TRAITEMENTS!$O$2:$O$501,TRAITEMENTS!$Q$2:$Q$501,A221,TRAITEMENTS!$E$2:$E$501,B221))</f>
        <v/>
      </c>
      <c r="H221">
        <f>IF(A221="",0,SUMIFS(CONNEXIONS!$C$2:$C$501,CONNEXIONS!$D$2:$D$501,A221,CONNEXIONS!$B$2:$B$501,B221))</f>
        <v/>
      </c>
      <c r="I221">
        <f>IF(G221=0,0,F221/G221*H221)</f>
        <v/>
      </c>
      <c r="J221">
        <f>IF(A221="",0,SUMIFS(AJUSTEMENTS!$F$2:$F$501,AJUSTEMENTS!$A$2:$A$501,A221,AJUSTEMENTS!$B$2:$B$501,B221,AJUSTEMENTS!$C$2:$C$501,C221,AJUSTEMENTS!$D$2:$D$501,D221,AJUSTEMENTS!$E$2:$E$501,E221))</f>
        <v/>
      </c>
      <c r="K221">
        <f>IF(A221="",0,IF(J221&lt;&gt;0,J221,I221))</f>
        <v/>
      </c>
    </row>
    <row r="222">
      <c r="A222">
        <f>IF(TRAITEMENTS!$Q222="","",TRAITEMENTS!Q222)</f>
        <v/>
      </c>
      <c r="B222">
        <f>IF(TRAITEMENTS!$Q222="","",TRAITEMENTS!E222)</f>
        <v/>
      </c>
      <c r="C222">
        <f>IF(TRAITEMENTS!$Q222="","",TRAITEMENTS!F222)</f>
        <v/>
      </c>
      <c r="D222">
        <f>IF(TRAITEMENTS!$Q222="","",TRAITEMENTS!G222)</f>
        <v/>
      </c>
      <c r="E222">
        <f>IF(TRAITEMENTS!$Q222="","",TRAITEMENTS!H222)</f>
        <v/>
      </c>
      <c r="F222">
        <f>IF(TRAITEMENTS!$Q222="","",TRAITEMENTS!O222)</f>
        <v/>
      </c>
      <c r="G222">
        <f>IF(A222="",0,SUMIFS(TRAITEMENTS!$O$2:$O$501,TRAITEMENTS!$Q$2:$Q$501,A222,TRAITEMENTS!$E$2:$E$501,B222))</f>
        <v/>
      </c>
      <c r="H222">
        <f>IF(A222="",0,SUMIFS(CONNEXIONS!$C$2:$C$501,CONNEXIONS!$D$2:$D$501,A222,CONNEXIONS!$B$2:$B$501,B222))</f>
        <v/>
      </c>
      <c r="I222">
        <f>IF(G222=0,0,F222/G222*H222)</f>
        <v/>
      </c>
      <c r="J222">
        <f>IF(A222="",0,SUMIFS(AJUSTEMENTS!$F$2:$F$501,AJUSTEMENTS!$A$2:$A$501,A222,AJUSTEMENTS!$B$2:$B$501,B222,AJUSTEMENTS!$C$2:$C$501,C222,AJUSTEMENTS!$D$2:$D$501,D222,AJUSTEMENTS!$E$2:$E$501,E222))</f>
        <v/>
      </c>
      <c r="K222">
        <f>IF(A222="",0,IF(J222&lt;&gt;0,J222,I222))</f>
        <v/>
      </c>
    </row>
    <row r="223">
      <c r="A223">
        <f>IF(TRAITEMENTS!$Q223="","",TRAITEMENTS!Q223)</f>
        <v/>
      </c>
      <c r="B223">
        <f>IF(TRAITEMENTS!$Q223="","",TRAITEMENTS!E223)</f>
        <v/>
      </c>
      <c r="C223">
        <f>IF(TRAITEMENTS!$Q223="","",TRAITEMENTS!F223)</f>
        <v/>
      </c>
      <c r="D223">
        <f>IF(TRAITEMENTS!$Q223="","",TRAITEMENTS!G223)</f>
        <v/>
      </c>
      <c r="E223">
        <f>IF(TRAITEMENTS!$Q223="","",TRAITEMENTS!H223)</f>
        <v/>
      </c>
      <c r="F223">
        <f>IF(TRAITEMENTS!$Q223="","",TRAITEMENTS!O223)</f>
        <v/>
      </c>
      <c r="G223">
        <f>IF(A223="",0,SUMIFS(TRAITEMENTS!$O$2:$O$501,TRAITEMENTS!$Q$2:$Q$501,A223,TRAITEMENTS!$E$2:$E$501,B223))</f>
        <v/>
      </c>
      <c r="H223">
        <f>IF(A223="",0,SUMIFS(CONNEXIONS!$C$2:$C$501,CONNEXIONS!$D$2:$D$501,A223,CONNEXIONS!$B$2:$B$501,B223))</f>
        <v/>
      </c>
      <c r="I223">
        <f>IF(G223=0,0,F223/G223*H223)</f>
        <v/>
      </c>
      <c r="J223">
        <f>IF(A223="",0,SUMIFS(AJUSTEMENTS!$F$2:$F$501,AJUSTEMENTS!$A$2:$A$501,A223,AJUSTEMENTS!$B$2:$B$501,B223,AJUSTEMENTS!$C$2:$C$501,C223,AJUSTEMENTS!$D$2:$D$501,D223,AJUSTEMENTS!$E$2:$E$501,E223))</f>
        <v/>
      </c>
      <c r="K223">
        <f>IF(A223="",0,IF(J223&lt;&gt;0,J223,I223))</f>
        <v/>
      </c>
    </row>
    <row r="224">
      <c r="A224">
        <f>IF(TRAITEMENTS!$Q224="","",TRAITEMENTS!Q224)</f>
        <v/>
      </c>
      <c r="B224">
        <f>IF(TRAITEMENTS!$Q224="","",TRAITEMENTS!E224)</f>
        <v/>
      </c>
      <c r="C224">
        <f>IF(TRAITEMENTS!$Q224="","",TRAITEMENTS!F224)</f>
        <v/>
      </c>
      <c r="D224">
        <f>IF(TRAITEMENTS!$Q224="","",TRAITEMENTS!G224)</f>
        <v/>
      </c>
      <c r="E224">
        <f>IF(TRAITEMENTS!$Q224="","",TRAITEMENTS!H224)</f>
        <v/>
      </c>
      <c r="F224">
        <f>IF(TRAITEMENTS!$Q224="","",TRAITEMENTS!O224)</f>
        <v/>
      </c>
      <c r="G224">
        <f>IF(A224="",0,SUMIFS(TRAITEMENTS!$O$2:$O$501,TRAITEMENTS!$Q$2:$Q$501,A224,TRAITEMENTS!$E$2:$E$501,B224))</f>
        <v/>
      </c>
      <c r="H224">
        <f>IF(A224="",0,SUMIFS(CONNEXIONS!$C$2:$C$501,CONNEXIONS!$D$2:$D$501,A224,CONNEXIONS!$B$2:$B$501,B224))</f>
        <v/>
      </c>
      <c r="I224">
        <f>IF(G224=0,0,F224/G224*H224)</f>
        <v/>
      </c>
      <c r="J224">
        <f>IF(A224="",0,SUMIFS(AJUSTEMENTS!$F$2:$F$501,AJUSTEMENTS!$A$2:$A$501,A224,AJUSTEMENTS!$B$2:$B$501,B224,AJUSTEMENTS!$C$2:$C$501,C224,AJUSTEMENTS!$D$2:$D$501,D224,AJUSTEMENTS!$E$2:$E$501,E224))</f>
        <v/>
      </c>
      <c r="K224">
        <f>IF(A224="",0,IF(J224&lt;&gt;0,J224,I224))</f>
        <v/>
      </c>
    </row>
    <row r="225">
      <c r="A225">
        <f>IF(TRAITEMENTS!$Q225="","",TRAITEMENTS!Q225)</f>
        <v/>
      </c>
      <c r="B225">
        <f>IF(TRAITEMENTS!$Q225="","",TRAITEMENTS!E225)</f>
        <v/>
      </c>
      <c r="C225">
        <f>IF(TRAITEMENTS!$Q225="","",TRAITEMENTS!F225)</f>
        <v/>
      </c>
      <c r="D225">
        <f>IF(TRAITEMENTS!$Q225="","",TRAITEMENTS!G225)</f>
        <v/>
      </c>
      <c r="E225">
        <f>IF(TRAITEMENTS!$Q225="","",TRAITEMENTS!H225)</f>
        <v/>
      </c>
      <c r="F225">
        <f>IF(TRAITEMENTS!$Q225="","",TRAITEMENTS!O225)</f>
        <v/>
      </c>
      <c r="G225">
        <f>IF(A225="",0,SUMIFS(TRAITEMENTS!$O$2:$O$501,TRAITEMENTS!$Q$2:$Q$501,A225,TRAITEMENTS!$E$2:$E$501,B225))</f>
        <v/>
      </c>
      <c r="H225">
        <f>IF(A225="",0,SUMIFS(CONNEXIONS!$C$2:$C$501,CONNEXIONS!$D$2:$D$501,A225,CONNEXIONS!$B$2:$B$501,B225))</f>
        <v/>
      </c>
      <c r="I225">
        <f>IF(G225=0,0,F225/G225*H225)</f>
        <v/>
      </c>
      <c r="J225">
        <f>IF(A225="",0,SUMIFS(AJUSTEMENTS!$F$2:$F$501,AJUSTEMENTS!$A$2:$A$501,A225,AJUSTEMENTS!$B$2:$B$501,B225,AJUSTEMENTS!$C$2:$C$501,C225,AJUSTEMENTS!$D$2:$D$501,D225,AJUSTEMENTS!$E$2:$E$501,E225))</f>
        <v/>
      </c>
      <c r="K225">
        <f>IF(A225="",0,IF(J225&lt;&gt;0,J225,I225))</f>
        <v/>
      </c>
    </row>
    <row r="226">
      <c r="A226">
        <f>IF(TRAITEMENTS!$Q226="","",TRAITEMENTS!Q226)</f>
        <v/>
      </c>
      <c r="B226">
        <f>IF(TRAITEMENTS!$Q226="","",TRAITEMENTS!E226)</f>
        <v/>
      </c>
      <c r="C226">
        <f>IF(TRAITEMENTS!$Q226="","",TRAITEMENTS!F226)</f>
        <v/>
      </c>
      <c r="D226">
        <f>IF(TRAITEMENTS!$Q226="","",TRAITEMENTS!G226)</f>
        <v/>
      </c>
      <c r="E226">
        <f>IF(TRAITEMENTS!$Q226="","",TRAITEMENTS!H226)</f>
        <v/>
      </c>
      <c r="F226">
        <f>IF(TRAITEMENTS!$Q226="","",TRAITEMENTS!O226)</f>
        <v/>
      </c>
      <c r="G226">
        <f>IF(A226="",0,SUMIFS(TRAITEMENTS!$O$2:$O$501,TRAITEMENTS!$Q$2:$Q$501,A226,TRAITEMENTS!$E$2:$E$501,B226))</f>
        <v/>
      </c>
      <c r="H226">
        <f>IF(A226="",0,SUMIFS(CONNEXIONS!$C$2:$C$501,CONNEXIONS!$D$2:$D$501,A226,CONNEXIONS!$B$2:$B$501,B226))</f>
        <v/>
      </c>
      <c r="I226">
        <f>IF(G226=0,0,F226/G226*H226)</f>
        <v/>
      </c>
      <c r="J226">
        <f>IF(A226="",0,SUMIFS(AJUSTEMENTS!$F$2:$F$501,AJUSTEMENTS!$A$2:$A$501,A226,AJUSTEMENTS!$B$2:$B$501,B226,AJUSTEMENTS!$C$2:$C$501,C226,AJUSTEMENTS!$D$2:$D$501,D226,AJUSTEMENTS!$E$2:$E$501,E226))</f>
        <v/>
      </c>
      <c r="K226">
        <f>IF(A226="",0,IF(J226&lt;&gt;0,J226,I226))</f>
        <v/>
      </c>
    </row>
    <row r="227">
      <c r="A227">
        <f>IF(TRAITEMENTS!$Q227="","",TRAITEMENTS!Q227)</f>
        <v/>
      </c>
      <c r="B227">
        <f>IF(TRAITEMENTS!$Q227="","",TRAITEMENTS!E227)</f>
        <v/>
      </c>
      <c r="C227">
        <f>IF(TRAITEMENTS!$Q227="","",TRAITEMENTS!F227)</f>
        <v/>
      </c>
      <c r="D227">
        <f>IF(TRAITEMENTS!$Q227="","",TRAITEMENTS!G227)</f>
        <v/>
      </c>
      <c r="E227">
        <f>IF(TRAITEMENTS!$Q227="","",TRAITEMENTS!H227)</f>
        <v/>
      </c>
      <c r="F227">
        <f>IF(TRAITEMENTS!$Q227="","",TRAITEMENTS!O227)</f>
        <v/>
      </c>
      <c r="G227">
        <f>IF(A227="",0,SUMIFS(TRAITEMENTS!$O$2:$O$501,TRAITEMENTS!$Q$2:$Q$501,A227,TRAITEMENTS!$E$2:$E$501,B227))</f>
        <v/>
      </c>
      <c r="H227">
        <f>IF(A227="",0,SUMIFS(CONNEXIONS!$C$2:$C$501,CONNEXIONS!$D$2:$D$501,A227,CONNEXIONS!$B$2:$B$501,B227))</f>
        <v/>
      </c>
      <c r="I227">
        <f>IF(G227=0,0,F227/G227*H227)</f>
        <v/>
      </c>
      <c r="J227">
        <f>IF(A227="",0,SUMIFS(AJUSTEMENTS!$F$2:$F$501,AJUSTEMENTS!$A$2:$A$501,A227,AJUSTEMENTS!$B$2:$B$501,B227,AJUSTEMENTS!$C$2:$C$501,C227,AJUSTEMENTS!$D$2:$D$501,D227,AJUSTEMENTS!$E$2:$E$501,E227))</f>
        <v/>
      </c>
      <c r="K227">
        <f>IF(A227="",0,IF(J227&lt;&gt;0,J227,I227))</f>
        <v/>
      </c>
    </row>
    <row r="228">
      <c r="A228">
        <f>IF(TRAITEMENTS!$Q228="","",TRAITEMENTS!Q228)</f>
        <v/>
      </c>
      <c r="B228">
        <f>IF(TRAITEMENTS!$Q228="","",TRAITEMENTS!E228)</f>
        <v/>
      </c>
      <c r="C228">
        <f>IF(TRAITEMENTS!$Q228="","",TRAITEMENTS!F228)</f>
        <v/>
      </c>
      <c r="D228">
        <f>IF(TRAITEMENTS!$Q228="","",TRAITEMENTS!G228)</f>
        <v/>
      </c>
      <c r="E228">
        <f>IF(TRAITEMENTS!$Q228="","",TRAITEMENTS!H228)</f>
        <v/>
      </c>
      <c r="F228">
        <f>IF(TRAITEMENTS!$Q228="","",TRAITEMENTS!O228)</f>
        <v/>
      </c>
      <c r="G228">
        <f>IF(A228="",0,SUMIFS(TRAITEMENTS!$O$2:$O$501,TRAITEMENTS!$Q$2:$Q$501,A228,TRAITEMENTS!$E$2:$E$501,B228))</f>
        <v/>
      </c>
      <c r="H228">
        <f>IF(A228="",0,SUMIFS(CONNEXIONS!$C$2:$C$501,CONNEXIONS!$D$2:$D$501,A228,CONNEXIONS!$B$2:$B$501,B228))</f>
        <v/>
      </c>
      <c r="I228">
        <f>IF(G228=0,0,F228/G228*H228)</f>
        <v/>
      </c>
      <c r="J228">
        <f>IF(A228="",0,SUMIFS(AJUSTEMENTS!$F$2:$F$501,AJUSTEMENTS!$A$2:$A$501,A228,AJUSTEMENTS!$B$2:$B$501,B228,AJUSTEMENTS!$C$2:$C$501,C228,AJUSTEMENTS!$D$2:$D$501,D228,AJUSTEMENTS!$E$2:$E$501,E228))</f>
        <v/>
      </c>
      <c r="K228">
        <f>IF(A228="",0,IF(J228&lt;&gt;0,J228,I228))</f>
        <v/>
      </c>
    </row>
    <row r="229">
      <c r="A229">
        <f>IF(TRAITEMENTS!$Q229="","",TRAITEMENTS!Q229)</f>
        <v/>
      </c>
      <c r="B229">
        <f>IF(TRAITEMENTS!$Q229="","",TRAITEMENTS!E229)</f>
        <v/>
      </c>
      <c r="C229">
        <f>IF(TRAITEMENTS!$Q229="","",TRAITEMENTS!F229)</f>
        <v/>
      </c>
      <c r="D229">
        <f>IF(TRAITEMENTS!$Q229="","",TRAITEMENTS!G229)</f>
        <v/>
      </c>
      <c r="E229">
        <f>IF(TRAITEMENTS!$Q229="","",TRAITEMENTS!H229)</f>
        <v/>
      </c>
      <c r="F229">
        <f>IF(TRAITEMENTS!$Q229="","",TRAITEMENTS!O229)</f>
        <v/>
      </c>
      <c r="G229">
        <f>IF(A229="",0,SUMIFS(TRAITEMENTS!$O$2:$O$501,TRAITEMENTS!$Q$2:$Q$501,A229,TRAITEMENTS!$E$2:$E$501,B229))</f>
        <v/>
      </c>
      <c r="H229">
        <f>IF(A229="",0,SUMIFS(CONNEXIONS!$C$2:$C$501,CONNEXIONS!$D$2:$D$501,A229,CONNEXIONS!$B$2:$B$501,B229))</f>
        <v/>
      </c>
      <c r="I229">
        <f>IF(G229=0,0,F229/G229*H229)</f>
        <v/>
      </c>
      <c r="J229">
        <f>IF(A229="",0,SUMIFS(AJUSTEMENTS!$F$2:$F$501,AJUSTEMENTS!$A$2:$A$501,A229,AJUSTEMENTS!$B$2:$B$501,B229,AJUSTEMENTS!$C$2:$C$501,C229,AJUSTEMENTS!$D$2:$D$501,D229,AJUSTEMENTS!$E$2:$E$501,E229))</f>
        <v/>
      </c>
      <c r="K229">
        <f>IF(A229="",0,IF(J229&lt;&gt;0,J229,I229))</f>
        <v/>
      </c>
    </row>
    <row r="230">
      <c r="A230">
        <f>IF(TRAITEMENTS!$Q230="","",TRAITEMENTS!Q230)</f>
        <v/>
      </c>
      <c r="B230">
        <f>IF(TRAITEMENTS!$Q230="","",TRAITEMENTS!E230)</f>
        <v/>
      </c>
      <c r="C230">
        <f>IF(TRAITEMENTS!$Q230="","",TRAITEMENTS!F230)</f>
        <v/>
      </c>
      <c r="D230">
        <f>IF(TRAITEMENTS!$Q230="","",TRAITEMENTS!G230)</f>
        <v/>
      </c>
      <c r="E230">
        <f>IF(TRAITEMENTS!$Q230="","",TRAITEMENTS!H230)</f>
        <v/>
      </c>
      <c r="F230">
        <f>IF(TRAITEMENTS!$Q230="","",TRAITEMENTS!O230)</f>
        <v/>
      </c>
      <c r="G230">
        <f>IF(A230="",0,SUMIFS(TRAITEMENTS!$O$2:$O$501,TRAITEMENTS!$Q$2:$Q$501,A230,TRAITEMENTS!$E$2:$E$501,B230))</f>
        <v/>
      </c>
      <c r="H230">
        <f>IF(A230="",0,SUMIFS(CONNEXIONS!$C$2:$C$501,CONNEXIONS!$D$2:$D$501,A230,CONNEXIONS!$B$2:$B$501,B230))</f>
        <v/>
      </c>
      <c r="I230">
        <f>IF(G230=0,0,F230/G230*H230)</f>
        <v/>
      </c>
      <c r="J230">
        <f>IF(A230="",0,SUMIFS(AJUSTEMENTS!$F$2:$F$501,AJUSTEMENTS!$A$2:$A$501,A230,AJUSTEMENTS!$B$2:$B$501,B230,AJUSTEMENTS!$C$2:$C$501,C230,AJUSTEMENTS!$D$2:$D$501,D230,AJUSTEMENTS!$E$2:$E$501,E230))</f>
        <v/>
      </c>
      <c r="K230">
        <f>IF(A230="",0,IF(J230&lt;&gt;0,J230,I230))</f>
        <v/>
      </c>
    </row>
    <row r="231">
      <c r="A231">
        <f>IF(TRAITEMENTS!$Q231="","",TRAITEMENTS!Q231)</f>
        <v/>
      </c>
      <c r="B231">
        <f>IF(TRAITEMENTS!$Q231="","",TRAITEMENTS!E231)</f>
        <v/>
      </c>
      <c r="C231">
        <f>IF(TRAITEMENTS!$Q231="","",TRAITEMENTS!F231)</f>
        <v/>
      </c>
      <c r="D231">
        <f>IF(TRAITEMENTS!$Q231="","",TRAITEMENTS!G231)</f>
        <v/>
      </c>
      <c r="E231">
        <f>IF(TRAITEMENTS!$Q231="","",TRAITEMENTS!H231)</f>
        <v/>
      </c>
      <c r="F231">
        <f>IF(TRAITEMENTS!$Q231="","",TRAITEMENTS!O231)</f>
        <v/>
      </c>
      <c r="G231">
        <f>IF(A231="",0,SUMIFS(TRAITEMENTS!$O$2:$O$501,TRAITEMENTS!$Q$2:$Q$501,A231,TRAITEMENTS!$E$2:$E$501,B231))</f>
        <v/>
      </c>
      <c r="H231">
        <f>IF(A231="",0,SUMIFS(CONNEXIONS!$C$2:$C$501,CONNEXIONS!$D$2:$D$501,A231,CONNEXIONS!$B$2:$B$501,B231))</f>
        <v/>
      </c>
      <c r="I231">
        <f>IF(G231=0,0,F231/G231*H231)</f>
        <v/>
      </c>
      <c r="J231">
        <f>IF(A231="",0,SUMIFS(AJUSTEMENTS!$F$2:$F$501,AJUSTEMENTS!$A$2:$A$501,A231,AJUSTEMENTS!$B$2:$B$501,B231,AJUSTEMENTS!$C$2:$C$501,C231,AJUSTEMENTS!$D$2:$D$501,D231,AJUSTEMENTS!$E$2:$E$501,E231))</f>
        <v/>
      </c>
      <c r="K231">
        <f>IF(A231="",0,IF(J231&lt;&gt;0,J231,I231))</f>
        <v/>
      </c>
    </row>
    <row r="232">
      <c r="A232">
        <f>IF(TRAITEMENTS!$Q232="","",TRAITEMENTS!Q232)</f>
        <v/>
      </c>
      <c r="B232">
        <f>IF(TRAITEMENTS!$Q232="","",TRAITEMENTS!E232)</f>
        <v/>
      </c>
      <c r="C232">
        <f>IF(TRAITEMENTS!$Q232="","",TRAITEMENTS!F232)</f>
        <v/>
      </c>
      <c r="D232">
        <f>IF(TRAITEMENTS!$Q232="","",TRAITEMENTS!G232)</f>
        <v/>
      </c>
      <c r="E232">
        <f>IF(TRAITEMENTS!$Q232="","",TRAITEMENTS!H232)</f>
        <v/>
      </c>
      <c r="F232">
        <f>IF(TRAITEMENTS!$Q232="","",TRAITEMENTS!O232)</f>
        <v/>
      </c>
      <c r="G232">
        <f>IF(A232="",0,SUMIFS(TRAITEMENTS!$O$2:$O$501,TRAITEMENTS!$Q$2:$Q$501,A232,TRAITEMENTS!$E$2:$E$501,B232))</f>
        <v/>
      </c>
      <c r="H232">
        <f>IF(A232="",0,SUMIFS(CONNEXIONS!$C$2:$C$501,CONNEXIONS!$D$2:$D$501,A232,CONNEXIONS!$B$2:$B$501,B232))</f>
        <v/>
      </c>
      <c r="I232">
        <f>IF(G232=0,0,F232/G232*H232)</f>
        <v/>
      </c>
      <c r="J232">
        <f>IF(A232="",0,SUMIFS(AJUSTEMENTS!$F$2:$F$501,AJUSTEMENTS!$A$2:$A$501,A232,AJUSTEMENTS!$B$2:$B$501,B232,AJUSTEMENTS!$C$2:$C$501,C232,AJUSTEMENTS!$D$2:$D$501,D232,AJUSTEMENTS!$E$2:$E$501,E232))</f>
        <v/>
      </c>
      <c r="K232">
        <f>IF(A232="",0,IF(J232&lt;&gt;0,J232,I232))</f>
        <v/>
      </c>
    </row>
    <row r="233">
      <c r="A233">
        <f>IF(TRAITEMENTS!$Q233="","",TRAITEMENTS!Q233)</f>
        <v/>
      </c>
      <c r="B233">
        <f>IF(TRAITEMENTS!$Q233="","",TRAITEMENTS!E233)</f>
        <v/>
      </c>
      <c r="C233">
        <f>IF(TRAITEMENTS!$Q233="","",TRAITEMENTS!F233)</f>
        <v/>
      </c>
      <c r="D233">
        <f>IF(TRAITEMENTS!$Q233="","",TRAITEMENTS!G233)</f>
        <v/>
      </c>
      <c r="E233">
        <f>IF(TRAITEMENTS!$Q233="","",TRAITEMENTS!H233)</f>
        <v/>
      </c>
      <c r="F233">
        <f>IF(TRAITEMENTS!$Q233="","",TRAITEMENTS!O233)</f>
        <v/>
      </c>
      <c r="G233">
        <f>IF(A233="",0,SUMIFS(TRAITEMENTS!$O$2:$O$501,TRAITEMENTS!$Q$2:$Q$501,A233,TRAITEMENTS!$E$2:$E$501,B233))</f>
        <v/>
      </c>
      <c r="H233">
        <f>IF(A233="",0,SUMIFS(CONNEXIONS!$C$2:$C$501,CONNEXIONS!$D$2:$D$501,A233,CONNEXIONS!$B$2:$B$501,B233))</f>
        <v/>
      </c>
      <c r="I233">
        <f>IF(G233=0,0,F233/G233*H233)</f>
        <v/>
      </c>
      <c r="J233">
        <f>IF(A233="",0,SUMIFS(AJUSTEMENTS!$F$2:$F$501,AJUSTEMENTS!$A$2:$A$501,A233,AJUSTEMENTS!$B$2:$B$501,B233,AJUSTEMENTS!$C$2:$C$501,C233,AJUSTEMENTS!$D$2:$D$501,D233,AJUSTEMENTS!$E$2:$E$501,E233))</f>
        <v/>
      </c>
      <c r="K233">
        <f>IF(A233="",0,IF(J233&lt;&gt;0,J233,I233))</f>
        <v/>
      </c>
    </row>
    <row r="234">
      <c r="A234">
        <f>IF(TRAITEMENTS!$Q234="","",TRAITEMENTS!Q234)</f>
        <v/>
      </c>
      <c r="B234">
        <f>IF(TRAITEMENTS!$Q234="","",TRAITEMENTS!E234)</f>
        <v/>
      </c>
      <c r="C234">
        <f>IF(TRAITEMENTS!$Q234="","",TRAITEMENTS!F234)</f>
        <v/>
      </c>
      <c r="D234">
        <f>IF(TRAITEMENTS!$Q234="","",TRAITEMENTS!G234)</f>
        <v/>
      </c>
      <c r="E234">
        <f>IF(TRAITEMENTS!$Q234="","",TRAITEMENTS!H234)</f>
        <v/>
      </c>
      <c r="F234">
        <f>IF(TRAITEMENTS!$Q234="","",TRAITEMENTS!O234)</f>
        <v/>
      </c>
      <c r="G234">
        <f>IF(A234="",0,SUMIFS(TRAITEMENTS!$O$2:$O$501,TRAITEMENTS!$Q$2:$Q$501,A234,TRAITEMENTS!$E$2:$E$501,B234))</f>
        <v/>
      </c>
      <c r="H234">
        <f>IF(A234="",0,SUMIFS(CONNEXIONS!$C$2:$C$501,CONNEXIONS!$D$2:$D$501,A234,CONNEXIONS!$B$2:$B$501,B234))</f>
        <v/>
      </c>
      <c r="I234">
        <f>IF(G234=0,0,F234/G234*H234)</f>
        <v/>
      </c>
      <c r="J234">
        <f>IF(A234="",0,SUMIFS(AJUSTEMENTS!$F$2:$F$501,AJUSTEMENTS!$A$2:$A$501,A234,AJUSTEMENTS!$B$2:$B$501,B234,AJUSTEMENTS!$C$2:$C$501,C234,AJUSTEMENTS!$D$2:$D$501,D234,AJUSTEMENTS!$E$2:$E$501,E234))</f>
        <v/>
      </c>
      <c r="K234">
        <f>IF(A234="",0,IF(J234&lt;&gt;0,J234,I234))</f>
        <v/>
      </c>
    </row>
    <row r="235">
      <c r="A235">
        <f>IF(TRAITEMENTS!$Q235="","",TRAITEMENTS!Q235)</f>
        <v/>
      </c>
      <c r="B235">
        <f>IF(TRAITEMENTS!$Q235="","",TRAITEMENTS!E235)</f>
        <v/>
      </c>
      <c r="C235">
        <f>IF(TRAITEMENTS!$Q235="","",TRAITEMENTS!F235)</f>
        <v/>
      </c>
      <c r="D235">
        <f>IF(TRAITEMENTS!$Q235="","",TRAITEMENTS!G235)</f>
        <v/>
      </c>
      <c r="E235">
        <f>IF(TRAITEMENTS!$Q235="","",TRAITEMENTS!H235)</f>
        <v/>
      </c>
      <c r="F235">
        <f>IF(TRAITEMENTS!$Q235="","",TRAITEMENTS!O235)</f>
        <v/>
      </c>
      <c r="G235">
        <f>IF(A235="",0,SUMIFS(TRAITEMENTS!$O$2:$O$501,TRAITEMENTS!$Q$2:$Q$501,A235,TRAITEMENTS!$E$2:$E$501,B235))</f>
        <v/>
      </c>
      <c r="H235">
        <f>IF(A235="",0,SUMIFS(CONNEXIONS!$C$2:$C$501,CONNEXIONS!$D$2:$D$501,A235,CONNEXIONS!$B$2:$B$501,B235))</f>
        <v/>
      </c>
      <c r="I235">
        <f>IF(G235=0,0,F235/G235*H235)</f>
        <v/>
      </c>
      <c r="J235">
        <f>IF(A235="",0,SUMIFS(AJUSTEMENTS!$F$2:$F$501,AJUSTEMENTS!$A$2:$A$501,A235,AJUSTEMENTS!$B$2:$B$501,B235,AJUSTEMENTS!$C$2:$C$501,C235,AJUSTEMENTS!$D$2:$D$501,D235,AJUSTEMENTS!$E$2:$E$501,E235))</f>
        <v/>
      </c>
      <c r="K235">
        <f>IF(A235="",0,IF(J235&lt;&gt;0,J235,I235))</f>
        <v/>
      </c>
    </row>
    <row r="236">
      <c r="A236">
        <f>IF(TRAITEMENTS!$Q236="","",TRAITEMENTS!Q236)</f>
        <v/>
      </c>
      <c r="B236">
        <f>IF(TRAITEMENTS!$Q236="","",TRAITEMENTS!E236)</f>
        <v/>
      </c>
      <c r="C236">
        <f>IF(TRAITEMENTS!$Q236="","",TRAITEMENTS!F236)</f>
        <v/>
      </c>
      <c r="D236">
        <f>IF(TRAITEMENTS!$Q236="","",TRAITEMENTS!G236)</f>
        <v/>
      </c>
      <c r="E236">
        <f>IF(TRAITEMENTS!$Q236="","",TRAITEMENTS!H236)</f>
        <v/>
      </c>
      <c r="F236">
        <f>IF(TRAITEMENTS!$Q236="","",TRAITEMENTS!O236)</f>
        <v/>
      </c>
      <c r="G236">
        <f>IF(A236="",0,SUMIFS(TRAITEMENTS!$O$2:$O$501,TRAITEMENTS!$Q$2:$Q$501,A236,TRAITEMENTS!$E$2:$E$501,B236))</f>
        <v/>
      </c>
      <c r="H236">
        <f>IF(A236="",0,SUMIFS(CONNEXIONS!$C$2:$C$501,CONNEXIONS!$D$2:$D$501,A236,CONNEXIONS!$B$2:$B$501,B236))</f>
        <v/>
      </c>
      <c r="I236">
        <f>IF(G236=0,0,F236/G236*H236)</f>
        <v/>
      </c>
      <c r="J236">
        <f>IF(A236="",0,SUMIFS(AJUSTEMENTS!$F$2:$F$501,AJUSTEMENTS!$A$2:$A$501,A236,AJUSTEMENTS!$B$2:$B$501,B236,AJUSTEMENTS!$C$2:$C$501,C236,AJUSTEMENTS!$D$2:$D$501,D236,AJUSTEMENTS!$E$2:$E$501,E236))</f>
        <v/>
      </c>
      <c r="K236">
        <f>IF(A236="",0,IF(J236&lt;&gt;0,J236,I236))</f>
        <v/>
      </c>
    </row>
    <row r="237">
      <c r="A237">
        <f>IF(TRAITEMENTS!$Q237="","",TRAITEMENTS!Q237)</f>
        <v/>
      </c>
      <c r="B237">
        <f>IF(TRAITEMENTS!$Q237="","",TRAITEMENTS!E237)</f>
        <v/>
      </c>
      <c r="C237">
        <f>IF(TRAITEMENTS!$Q237="","",TRAITEMENTS!F237)</f>
        <v/>
      </c>
      <c r="D237">
        <f>IF(TRAITEMENTS!$Q237="","",TRAITEMENTS!G237)</f>
        <v/>
      </c>
      <c r="E237">
        <f>IF(TRAITEMENTS!$Q237="","",TRAITEMENTS!H237)</f>
        <v/>
      </c>
      <c r="F237">
        <f>IF(TRAITEMENTS!$Q237="","",TRAITEMENTS!O237)</f>
        <v/>
      </c>
      <c r="G237">
        <f>IF(A237="",0,SUMIFS(TRAITEMENTS!$O$2:$O$501,TRAITEMENTS!$Q$2:$Q$501,A237,TRAITEMENTS!$E$2:$E$501,B237))</f>
        <v/>
      </c>
      <c r="H237">
        <f>IF(A237="",0,SUMIFS(CONNEXIONS!$C$2:$C$501,CONNEXIONS!$D$2:$D$501,A237,CONNEXIONS!$B$2:$B$501,B237))</f>
        <v/>
      </c>
      <c r="I237">
        <f>IF(G237=0,0,F237/G237*H237)</f>
        <v/>
      </c>
      <c r="J237">
        <f>IF(A237="",0,SUMIFS(AJUSTEMENTS!$F$2:$F$501,AJUSTEMENTS!$A$2:$A$501,A237,AJUSTEMENTS!$B$2:$B$501,B237,AJUSTEMENTS!$C$2:$C$501,C237,AJUSTEMENTS!$D$2:$D$501,D237,AJUSTEMENTS!$E$2:$E$501,E237))</f>
        <v/>
      </c>
      <c r="K237">
        <f>IF(A237="",0,IF(J237&lt;&gt;0,J237,I237))</f>
        <v/>
      </c>
    </row>
    <row r="238">
      <c r="A238">
        <f>IF(TRAITEMENTS!$Q238="","",TRAITEMENTS!Q238)</f>
        <v/>
      </c>
      <c r="B238">
        <f>IF(TRAITEMENTS!$Q238="","",TRAITEMENTS!E238)</f>
        <v/>
      </c>
      <c r="C238">
        <f>IF(TRAITEMENTS!$Q238="","",TRAITEMENTS!F238)</f>
        <v/>
      </c>
      <c r="D238">
        <f>IF(TRAITEMENTS!$Q238="","",TRAITEMENTS!G238)</f>
        <v/>
      </c>
      <c r="E238">
        <f>IF(TRAITEMENTS!$Q238="","",TRAITEMENTS!H238)</f>
        <v/>
      </c>
      <c r="F238">
        <f>IF(TRAITEMENTS!$Q238="","",TRAITEMENTS!O238)</f>
        <v/>
      </c>
      <c r="G238">
        <f>IF(A238="",0,SUMIFS(TRAITEMENTS!$O$2:$O$501,TRAITEMENTS!$Q$2:$Q$501,A238,TRAITEMENTS!$E$2:$E$501,B238))</f>
        <v/>
      </c>
      <c r="H238">
        <f>IF(A238="",0,SUMIFS(CONNEXIONS!$C$2:$C$501,CONNEXIONS!$D$2:$D$501,A238,CONNEXIONS!$B$2:$B$501,B238))</f>
        <v/>
      </c>
      <c r="I238">
        <f>IF(G238=0,0,F238/G238*H238)</f>
        <v/>
      </c>
      <c r="J238">
        <f>IF(A238="",0,SUMIFS(AJUSTEMENTS!$F$2:$F$501,AJUSTEMENTS!$A$2:$A$501,A238,AJUSTEMENTS!$B$2:$B$501,B238,AJUSTEMENTS!$C$2:$C$501,C238,AJUSTEMENTS!$D$2:$D$501,D238,AJUSTEMENTS!$E$2:$E$501,E238))</f>
        <v/>
      </c>
      <c r="K238">
        <f>IF(A238="",0,IF(J238&lt;&gt;0,J238,I238))</f>
        <v/>
      </c>
    </row>
    <row r="239">
      <c r="A239">
        <f>IF(TRAITEMENTS!$Q239="","",TRAITEMENTS!Q239)</f>
        <v/>
      </c>
      <c r="B239">
        <f>IF(TRAITEMENTS!$Q239="","",TRAITEMENTS!E239)</f>
        <v/>
      </c>
      <c r="C239">
        <f>IF(TRAITEMENTS!$Q239="","",TRAITEMENTS!F239)</f>
        <v/>
      </c>
      <c r="D239">
        <f>IF(TRAITEMENTS!$Q239="","",TRAITEMENTS!G239)</f>
        <v/>
      </c>
      <c r="E239">
        <f>IF(TRAITEMENTS!$Q239="","",TRAITEMENTS!H239)</f>
        <v/>
      </c>
      <c r="F239">
        <f>IF(TRAITEMENTS!$Q239="","",TRAITEMENTS!O239)</f>
        <v/>
      </c>
      <c r="G239">
        <f>IF(A239="",0,SUMIFS(TRAITEMENTS!$O$2:$O$501,TRAITEMENTS!$Q$2:$Q$501,A239,TRAITEMENTS!$E$2:$E$501,B239))</f>
        <v/>
      </c>
      <c r="H239">
        <f>IF(A239="",0,SUMIFS(CONNEXIONS!$C$2:$C$501,CONNEXIONS!$D$2:$D$501,A239,CONNEXIONS!$B$2:$B$501,B239))</f>
        <v/>
      </c>
      <c r="I239">
        <f>IF(G239=0,0,F239/G239*H239)</f>
        <v/>
      </c>
      <c r="J239">
        <f>IF(A239="",0,SUMIFS(AJUSTEMENTS!$F$2:$F$501,AJUSTEMENTS!$A$2:$A$501,A239,AJUSTEMENTS!$B$2:$B$501,B239,AJUSTEMENTS!$C$2:$C$501,C239,AJUSTEMENTS!$D$2:$D$501,D239,AJUSTEMENTS!$E$2:$E$501,E239))</f>
        <v/>
      </c>
      <c r="K239">
        <f>IF(A239="",0,IF(J239&lt;&gt;0,J239,I239))</f>
        <v/>
      </c>
    </row>
    <row r="240">
      <c r="A240">
        <f>IF(TRAITEMENTS!$Q240="","",TRAITEMENTS!Q240)</f>
        <v/>
      </c>
      <c r="B240">
        <f>IF(TRAITEMENTS!$Q240="","",TRAITEMENTS!E240)</f>
        <v/>
      </c>
      <c r="C240">
        <f>IF(TRAITEMENTS!$Q240="","",TRAITEMENTS!F240)</f>
        <v/>
      </c>
      <c r="D240">
        <f>IF(TRAITEMENTS!$Q240="","",TRAITEMENTS!G240)</f>
        <v/>
      </c>
      <c r="E240">
        <f>IF(TRAITEMENTS!$Q240="","",TRAITEMENTS!H240)</f>
        <v/>
      </c>
      <c r="F240">
        <f>IF(TRAITEMENTS!$Q240="","",TRAITEMENTS!O240)</f>
        <v/>
      </c>
      <c r="G240">
        <f>IF(A240="",0,SUMIFS(TRAITEMENTS!$O$2:$O$501,TRAITEMENTS!$Q$2:$Q$501,A240,TRAITEMENTS!$E$2:$E$501,B240))</f>
        <v/>
      </c>
      <c r="H240">
        <f>IF(A240="",0,SUMIFS(CONNEXIONS!$C$2:$C$501,CONNEXIONS!$D$2:$D$501,A240,CONNEXIONS!$B$2:$B$501,B240))</f>
        <v/>
      </c>
      <c r="I240">
        <f>IF(G240=0,0,F240/G240*H240)</f>
        <v/>
      </c>
      <c r="J240">
        <f>IF(A240="",0,SUMIFS(AJUSTEMENTS!$F$2:$F$501,AJUSTEMENTS!$A$2:$A$501,A240,AJUSTEMENTS!$B$2:$B$501,B240,AJUSTEMENTS!$C$2:$C$501,C240,AJUSTEMENTS!$D$2:$D$501,D240,AJUSTEMENTS!$E$2:$E$501,E240))</f>
        <v/>
      </c>
      <c r="K240">
        <f>IF(A240="",0,IF(J240&lt;&gt;0,J240,I240))</f>
        <v/>
      </c>
    </row>
    <row r="241">
      <c r="A241">
        <f>IF(TRAITEMENTS!$Q241="","",TRAITEMENTS!Q241)</f>
        <v/>
      </c>
      <c r="B241">
        <f>IF(TRAITEMENTS!$Q241="","",TRAITEMENTS!E241)</f>
        <v/>
      </c>
      <c r="C241">
        <f>IF(TRAITEMENTS!$Q241="","",TRAITEMENTS!F241)</f>
        <v/>
      </c>
      <c r="D241">
        <f>IF(TRAITEMENTS!$Q241="","",TRAITEMENTS!G241)</f>
        <v/>
      </c>
      <c r="E241">
        <f>IF(TRAITEMENTS!$Q241="","",TRAITEMENTS!H241)</f>
        <v/>
      </c>
      <c r="F241">
        <f>IF(TRAITEMENTS!$Q241="","",TRAITEMENTS!O241)</f>
        <v/>
      </c>
      <c r="G241">
        <f>IF(A241="",0,SUMIFS(TRAITEMENTS!$O$2:$O$501,TRAITEMENTS!$Q$2:$Q$501,A241,TRAITEMENTS!$E$2:$E$501,B241))</f>
        <v/>
      </c>
      <c r="H241">
        <f>IF(A241="",0,SUMIFS(CONNEXIONS!$C$2:$C$501,CONNEXIONS!$D$2:$D$501,A241,CONNEXIONS!$B$2:$B$501,B241))</f>
        <v/>
      </c>
      <c r="I241">
        <f>IF(G241=0,0,F241/G241*H241)</f>
        <v/>
      </c>
      <c r="J241">
        <f>IF(A241="",0,SUMIFS(AJUSTEMENTS!$F$2:$F$501,AJUSTEMENTS!$A$2:$A$501,A241,AJUSTEMENTS!$B$2:$B$501,B241,AJUSTEMENTS!$C$2:$C$501,C241,AJUSTEMENTS!$D$2:$D$501,D241,AJUSTEMENTS!$E$2:$E$501,E241))</f>
        <v/>
      </c>
      <c r="K241">
        <f>IF(A241="",0,IF(J241&lt;&gt;0,J241,I241))</f>
        <v/>
      </c>
    </row>
    <row r="242">
      <c r="A242">
        <f>IF(TRAITEMENTS!$Q242="","",TRAITEMENTS!Q242)</f>
        <v/>
      </c>
      <c r="B242">
        <f>IF(TRAITEMENTS!$Q242="","",TRAITEMENTS!E242)</f>
        <v/>
      </c>
      <c r="C242">
        <f>IF(TRAITEMENTS!$Q242="","",TRAITEMENTS!F242)</f>
        <v/>
      </c>
      <c r="D242">
        <f>IF(TRAITEMENTS!$Q242="","",TRAITEMENTS!G242)</f>
        <v/>
      </c>
      <c r="E242">
        <f>IF(TRAITEMENTS!$Q242="","",TRAITEMENTS!H242)</f>
        <v/>
      </c>
      <c r="F242">
        <f>IF(TRAITEMENTS!$Q242="","",TRAITEMENTS!O242)</f>
        <v/>
      </c>
      <c r="G242">
        <f>IF(A242="",0,SUMIFS(TRAITEMENTS!$O$2:$O$501,TRAITEMENTS!$Q$2:$Q$501,A242,TRAITEMENTS!$E$2:$E$501,B242))</f>
        <v/>
      </c>
      <c r="H242">
        <f>IF(A242="",0,SUMIFS(CONNEXIONS!$C$2:$C$501,CONNEXIONS!$D$2:$D$501,A242,CONNEXIONS!$B$2:$B$501,B242))</f>
        <v/>
      </c>
      <c r="I242">
        <f>IF(G242=0,0,F242/G242*H242)</f>
        <v/>
      </c>
      <c r="J242">
        <f>IF(A242="",0,SUMIFS(AJUSTEMENTS!$F$2:$F$501,AJUSTEMENTS!$A$2:$A$501,A242,AJUSTEMENTS!$B$2:$B$501,B242,AJUSTEMENTS!$C$2:$C$501,C242,AJUSTEMENTS!$D$2:$D$501,D242,AJUSTEMENTS!$E$2:$E$501,E242))</f>
        <v/>
      </c>
      <c r="K242">
        <f>IF(A242="",0,IF(J242&lt;&gt;0,J242,I242))</f>
        <v/>
      </c>
    </row>
    <row r="243">
      <c r="A243">
        <f>IF(TRAITEMENTS!$Q243="","",TRAITEMENTS!Q243)</f>
        <v/>
      </c>
      <c r="B243">
        <f>IF(TRAITEMENTS!$Q243="","",TRAITEMENTS!E243)</f>
        <v/>
      </c>
      <c r="C243">
        <f>IF(TRAITEMENTS!$Q243="","",TRAITEMENTS!F243)</f>
        <v/>
      </c>
      <c r="D243">
        <f>IF(TRAITEMENTS!$Q243="","",TRAITEMENTS!G243)</f>
        <v/>
      </c>
      <c r="E243">
        <f>IF(TRAITEMENTS!$Q243="","",TRAITEMENTS!H243)</f>
        <v/>
      </c>
      <c r="F243">
        <f>IF(TRAITEMENTS!$Q243="","",TRAITEMENTS!O243)</f>
        <v/>
      </c>
      <c r="G243">
        <f>IF(A243="",0,SUMIFS(TRAITEMENTS!$O$2:$O$501,TRAITEMENTS!$Q$2:$Q$501,A243,TRAITEMENTS!$E$2:$E$501,B243))</f>
        <v/>
      </c>
      <c r="H243">
        <f>IF(A243="",0,SUMIFS(CONNEXIONS!$C$2:$C$501,CONNEXIONS!$D$2:$D$501,A243,CONNEXIONS!$B$2:$B$501,B243))</f>
        <v/>
      </c>
      <c r="I243">
        <f>IF(G243=0,0,F243/G243*H243)</f>
        <v/>
      </c>
      <c r="J243">
        <f>IF(A243="",0,SUMIFS(AJUSTEMENTS!$F$2:$F$501,AJUSTEMENTS!$A$2:$A$501,A243,AJUSTEMENTS!$B$2:$B$501,B243,AJUSTEMENTS!$C$2:$C$501,C243,AJUSTEMENTS!$D$2:$D$501,D243,AJUSTEMENTS!$E$2:$E$501,E243))</f>
        <v/>
      </c>
      <c r="K243">
        <f>IF(A243="",0,IF(J243&lt;&gt;0,J243,I243))</f>
        <v/>
      </c>
    </row>
    <row r="244">
      <c r="A244">
        <f>IF(TRAITEMENTS!$Q244="","",TRAITEMENTS!Q244)</f>
        <v/>
      </c>
      <c r="B244">
        <f>IF(TRAITEMENTS!$Q244="","",TRAITEMENTS!E244)</f>
        <v/>
      </c>
      <c r="C244">
        <f>IF(TRAITEMENTS!$Q244="","",TRAITEMENTS!F244)</f>
        <v/>
      </c>
      <c r="D244">
        <f>IF(TRAITEMENTS!$Q244="","",TRAITEMENTS!G244)</f>
        <v/>
      </c>
      <c r="E244">
        <f>IF(TRAITEMENTS!$Q244="","",TRAITEMENTS!H244)</f>
        <v/>
      </c>
      <c r="F244">
        <f>IF(TRAITEMENTS!$Q244="","",TRAITEMENTS!O244)</f>
        <v/>
      </c>
      <c r="G244">
        <f>IF(A244="",0,SUMIFS(TRAITEMENTS!$O$2:$O$501,TRAITEMENTS!$Q$2:$Q$501,A244,TRAITEMENTS!$E$2:$E$501,B244))</f>
        <v/>
      </c>
      <c r="H244">
        <f>IF(A244="",0,SUMIFS(CONNEXIONS!$C$2:$C$501,CONNEXIONS!$D$2:$D$501,A244,CONNEXIONS!$B$2:$B$501,B244))</f>
        <v/>
      </c>
      <c r="I244">
        <f>IF(G244=0,0,F244/G244*H244)</f>
        <v/>
      </c>
      <c r="J244">
        <f>IF(A244="",0,SUMIFS(AJUSTEMENTS!$F$2:$F$501,AJUSTEMENTS!$A$2:$A$501,A244,AJUSTEMENTS!$B$2:$B$501,B244,AJUSTEMENTS!$C$2:$C$501,C244,AJUSTEMENTS!$D$2:$D$501,D244,AJUSTEMENTS!$E$2:$E$501,E244))</f>
        <v/>
      </c>
      <c r="K244">
        <f>IF(A244="",0,IF(J244&lt;&gt;0,J244,I244))</f>
        <v/>
      </c>
    </row>
    <row r="245">
      <c r="A245">
        <f>IF(TRAITEMENTS!$Q245="","",TRAITEMENTS!Q245)</f>
        <v/>
      </c>
      <c r="B245">
        <f>IF(TRAITEMENTS!$Q245="","",TRAITEMENTS!E245)</f>
        <v/>
      </c>
      <c r="C245">
        <f>IF(TRAITEMENTS!$Q245="","",TRAITEMENTS!F245)</f>
        <v/>
      </c>
      <c r="D245">
        <f>IF(TRAITEMENTS!$Q245="","",TRAITEMENTS!G245)</f>
        <v/>
      </c>
      <c r="E245">
        <f>IF(TRAITEMENTS!$Q245="","",TRAITEMENTS!H245)</f>
        <v/>
      </c>
      <c r="F245">
        <f>IF(TRAITEMENTS!$Q245="","",TRAITEMENTS!O245)</f>
        <v/>
      </c>
      <c r="G245">
        <f>IF(A245="",0,SUMIFS(TRAITEMENTS!$O$2:$O$501,TRAITEMENTS!$Q$2:$Q$501,A245,TRAITEMENTS!$E$2:$E$501,B245))</f>
        <v/>
      </c>
      <c r="H245">
        <f>IF(A245="",0,SUMIFS(CONNEXIONS!$C$2:$C$501,CONNEXIONS!$D$2:$D$501,A245,CONNEXIONS!$B$2:$B$501,B245))</f>
        <v/>
      </c>
      <c r="I245">
        <f>IF(G245=0,0,F245/G245*H245)</f>
        <v/>
      </c>
      <c r="J245">
        <f>IF(A245="",0,SUMIFS(AJUSTEMENTS!$F$2:$F$501,AJUSTEMENTS!$A$2:$A$501,A245,AJUSTEMENTS!$B$2:$B$501,B245,AJUSTEMENTS!$C$2:$C$501,C245,AJUSTEMENTS!$D$2:$D$501,D245,AJUSTEMENTS!$E$2:$E$501,E245))</f>
        <v/>
      </c>
      <c r="K245">
        <f>IF(A245="",0,IF(J245&lt;&gt;0,J245,I245))</f>
        <v/>
      </c>
    </row>
    <row r="246">
      <c r="A246">
        <f>IF(TRAITEMENTS!$Q246="","",TRAITEMENTS!Q246)</f>
        <v/>
      </c>
      <c r="B246">
        <f>IF(TRAITEMENTS!$Q246="","",TRAITEMENTS!E246)</f>
        <v/>
      </c>
      <c r="C246">
        <f>IF(TRAITEMENTS!$Q246="","",TRAITEMENTS!F246)</f>
        <v/>
      </c>
      <c r="D246">
        <f>IF(TRAITEMENTS!$Q246="","",TRAITEMENTS!G246)</f>
        <v/>
      </c>
      <c r="E246">
        <f>IF(TRAITEMENTS!$Q246="","",TRAITEMENTS!H246)</f>
        <v/>
      </c>
      <c r="F246">
        <f>IF(TRAITEMENTS!$Q246="","",TRAITEMENTS!O246)</f>
        <v/>
      </c>
      <c r="G246">
        <f>IF(A246="",0,SUMIFS(TRAITEMENTS!$O$2:$O$501,TRAITEMENTS!$Q$2:$Q$501,A246,TRAITEMENTS!$E$2:$E$501,B246))</f>
        <v/>
      </c>
      <c r="H246">
        <f>IF(A246="",0,SUMIFS(CONNEXIONS!$C$2:$C$501,CONNEXIONS!$D$2:$D$501,A246,CONNEXIONS!$B$2:$B$501,B246))</f>
        <v/>
      </c>
      <c r="I246">
        <f>IF(G246=0,0,F246/G246*H246)</f>
        <v/>
      </c>
      <c r="J246">
        <f>IF(A246="",0,SUMIFS(AJUSTEMENTS!$F$2:$F$501,AJUSTEMENTS!$A$2:$A$501,A246,AJUSTEMENTS!$B$2:$B$501,B246,AJUSTEMENTS!$C$2:$C$501,C246,AJUSTEMENTS!$D$2:$D$501,D246,AJUSTEMENTS!$E$2:$E$501,E246))</f>
        <v/>
      </c>
      <c r="K246">
        <f>IF(A246="",0,IF(J246&lt;&gt;0,J246,I246))</f>
        <v/>
      </c>
    </row>
    <row r="247">
      <c r="A247">
        <f>IF(TRAITEMENTS!$Q247="","",TRAITEMENTS!Q247)</f>
        <v/>
      </c>
      <c r="B247">
        <f>IF(TRAITEMENTS!$Q247="","",TRAITEMENTS!E247)</f>
        <v/>
      </c>
      <c r="C247">
        <f>IF(TRAITEMENTS!$Q247="","",TRAITEMENTS!F247)</f>
        <v/>
      </c>
      <c r="D247">
        <f>IF(TRAITEMENTS!$Q247="","",TRAITEMENTS!G247)</f>
        <v/>
      </c>
      <c r="E247">
        <f>IF(TRAITEMENTS!$Q247="","",TRAITEMENTS!H247)</f>
        <v/>
      </c>
      <c r="F247">
        <f>IF(TRAITEMENTS!$Q247="","",TRAITEMENTS!O247)</f>
        <v/>
      </c>
      <c r="G247">
        <f>IF(A247="",0,SUMIFS(TRAITEMENTS!$O$2:$O$501,TRAITEMENTS!$Q$2:$Q$501,A247,TRAITEMENTS!$E$2:$E$501,B247))</f>
        <v/>
      </c>
      <c r="H247">
        <f>IF(A247="",0,SUMIFS(CONNEXIONS!$C$2:$C$501,CONNEXIONS!$D$2:$D$501,A247,CONNEXIONS!$B$2:$B$501,B247))</f>
        <v/>
      </c>
      <c r="I247">
        <f>IF(G247=0,0,F247/G247*H247)</f>
        <v/>
      </c>
      <c r="J247">
        <f>IF(A247="",0,SUMIFS(AJUSTEMENTS!$F$2:$F$501,AJUSTEMENTS!$A$2:$A$501,A247,AJUSTEMENTS!$B$2:$B$501,B247,AJUSTEMENTS!$C$2:$C$501,C247,AJUSTEMENTS!$D$2:$D$501,D247,AJUSTEMENTS!$E$2:$E$501,E247))</f>
        <v/>
      </c>
      <c r="K247">
        <f>IF(A247="",0,IF(J247&lt;&gt;0,J247,I247))</f>
        <v/>
      </c>
    </row>
    <row r="248">
      <c r="A248">
        <f>IF(TRAITEMENTS!$Q248="","",TRAITEMENTS!Q248)</f>
        <v/>
      </c>
      <c r="B248">
        <f>IF(TRAITEMENTS!$Q248="","",TRAITEMENTS!E248)</f>
        <v/>
      </c>
      <c r="C248">
        <f>IF(TRAITEMENTS!$Q248="","",TRAITEMENTS!F248)</f>
        <v/>
      </c>
      <c r="D248">
        <f>IF(TRAITEMENTS!$Q248="","",TRAITEMENTS!G248)</f>
        <v/>
      </c>
      <c r="E248">
        <f>IF(TRAITEMENTS!$Q248="","",TRAITEMENTS!H248)</f>
        <v/>
      </c>
      <c r="F248">
        <f>IF(TRAITEMENTS!$Q248="","",TRAITEMENTS!O248)</f>
        <v/>
      </c>
      <c r="G248">
        <f>IF(A248="",0,SUMIFS(TRAITEMENTS!$O$2:$O$501,TRAITEMENTS!$Q$2:$Q$501,A248,TRAITEMENTS!$E$2:$E$501,B248))</f>
        <v/>
      </c>
      <c r="H248">
        <f>IF(A248="",0,SUMIFS(CONNEXIONS!$C$2:$C$501,CONNEXIONS!$D$2:$D$501,A248,CONNEXIONS!$B$2:$B$501,B248))</f>
        <v/>
      </c>
      <c r="I248">
        <f>IF(G248=0,0,F248/G248*H248)</f>
        <v/>
      </c>
      <c r="J248">
        <f>IF(A248="",0,SUMIFS(AJUSTEMENTS!$F$2:$F$501,AJUSTEMENTS!$A$2:$A$501,A248,AJUSTEMENTS!$B$2:$B$501,B248,AJUSTEMENTS!$C$2:$C$501,C248,AJUSTEMENTS!$D$2:$D$501,D248,AJUSTEMENTS!$E$2:$E$501,E248))</f>
        <v/>
      </c>
      <c r="K248">
        <f>IF(A248="",0,IF(J248&lt;&gt;0,J248,I248))</f>
        <v/>
      </c>
    </row>
    <row r="249">
      <c r="A249">
        <f>IF(TRAITEMENTS!$Q249="","",TRAITEMENTS!Q249)</f>
        <v/>
      </c>
      <c r="B249">
        <f>IF(TRAITEMENTS!$Q249="","",TRAITEMENTS!E249)</f>
        <v/>
      </c>
      <c r="C249">
        <f>IF(TRAITEMENTS!$Q249="","",TRAITEMENTS!F249)</f>
        <v/>
      </c>
      <c r="D249">
        <f>IF(TRAITEMENTS!$Q249="","",TRAITEMENTS!G249)</f>
        <v/>
      </c>
      <c r="E249">
        <f>IF(TRAITEMENTS!$Q249="","",TRAITEMENTS!H249)</f>
        <v/>
      </c>
      <c r="F249">
        <f>IF(TRAITEMENTS!$Q249="","",TRAITEMENTS!O249)</f>
        <v/>
      </c>
      <c r="G249">
        <f>IF(A249="",0,SUMIFS(TRAITEMENTS!$O$2:$O$501,TRAITEMENTS!$Q$2:$Q$501,A249,TRAITEMENTS!$E$2:$E$501,B249))</f>
        <v/>
      </c>
      <c r="H249">
        <f>IF(A249="",0,SUMIFS(CONNEXIONS!$C$2:$C$501,CONNEXIONS!$D$2:$D$501,A249,CONNEXIONS!$B$2:$B$501,B249))</f>
        <v/>
      </c>
      <c r="I249">
        <f>IF(G249=0,0,F249/G249*H249)</f>
        <v/>
      </c>
      <c r="J249">
        <f>IF(A249="",0,SUMIFS(AJUSTEMENTS!$F$2:$F$501,AJUSTEMENTS!$A$2:$A$501,A249,AJUSTEMENTS!$B$2:$B$501,B249,AJUSTEMENTS!$C$2:$C$501,C249,AJUSTEMENTS!$D$2:$D$501,D249,AJUSTEMENTS!$E$2:$E$501,E249))</f>
        <v/>
      </c>
      <c r="K249">
        <f>IF(A249="",0,IF(J249&lt;&gt;0,J249,I249))</f>
        <v/>
      </c>
    </row>
    <row r="250">
      <c r="A250">
        <f>IF(TRAITEMENTS!$Q250="","",TRAITEMENTS!Q250)</f>
        <v/>
      </c>
      <c r="B250">
        <f>IF(TRAITEMENTS!$Q250="","",TRAITEMENTS!E250)</f>
        <v/>
      </c>
      <c r="C250">
        <f>IF(TRAITEMENTS!$Q250="","",TRAITEMENTS!F250)</f>
        <v/>
      </c>
      <c r="D250">
        <f>IF(TRAITEMENTS!$Q250="","",TRAITEMENTS!G250)</f>
        <v/>
      </c>
      <c r="E250">
        <f>IF(TRAITEMENTS!$Q250="","",TRAITEMENTS!H250)</f>
        <v/>
      </c>
      <c r="F250">
        <f>IF(TRAITEMENTS!$Q250="","",TRAITEMENTS!O250)</f>
        <v/>
      </c>
      <c r="G250">
        <f>IF(A250="",0,SUMIFS(TRAITEMENTS!$O$2:$O$501,TRAITEMENTS!$Q$2:$Q$501,A250,TRAITEMENTS!$E$2:$E$501,B250))</f>
        <v/>
      </c>
      <c r="H250">
        <f>IF(A250="",0,SUMIFS(CONNEXIONS!$C$2:$C$501,CONNEXIONS!$D$2:$D$501,A250,CONNEXIONS!$B$2:$B$501,B250))</f>
        <v/>
      </c>
      <c r="I250">
        <f>IF(G250=0,0,F250/G250*H250)</f>
        <v/>
      </c>
      <c r="J250">
        <f>IF(A250="",0,SUMIFS(AJUSTEMENTS!$F$2:$F$501,AJUSTEMENTS!$A$2:$A$501,A250,AJUSTEMENTS!$B$2:$B$501,B250,AJUSTEMENTS!$C$2:$C$501,C250,AJUSTEMENTS!$D$2:$D$501,D250,AJUSTEMENTS!$E$2:$E$501,E250))</f>
        <v/>
      </c>
      <c r="K250">
        <f>IF(A250="",0,IF(J250&lt;&gt;0,J250,I250))</f>
        <v/>
      </c>
    </row>
    <row r="251">
      <c r="A251">
        <f>IF(TRAITEMENTS!$Q251="","",TRAITEMENTS!Q251)</f>
        <v/>
      </c>
      <c r="B251">
        <f>IF(TRAITEMENTS!$Q251="","",TRAITEMENTS!E251)</f>
        <v/>
      </c>
      <c r="C251">
        <f>IF(TRAITEMENTS!$Q251="","",TRAITEMENTS!F251)</f>
        <v/>
      </c>
      <c r="D251">
        <f>IF(TRAITEMENTS!$Q251="","",TRAITEMENTS!G251)</f>
        <v/>
      </c>
      <c r="E251">
        <f>IF(TRAITEMENTS!$Q251="","",TRAITEMENTS!H251)</f>
        <v/>
      </c>
      <c r="F251">
        <f>IF(TRAITEMENTS!$Q251="","",TRAITEMENTS!O251)</f>
        <v/>
      </c>
      <c r="G251">
        <f>IF(A251="",0,SUMIFS(TRAITEMENTS!$O$2:$O$501,TRAITEMENTS!$Q$2:$Q$501,A251,TRAITEMENTS!$E$2:$E$501,B251))</f>
        <v/>
      </c>
      <c r="H251">
        <f>IF(A251="",0,SUMIFS(CONNEXIONS!$C$2:$C$501,CONNEXIONS!$D$2:$D$501,A251,CONNEXIONS!$B$2:$B$501,B251))</f>
        <v/>
      </c>
      <c r="I251">
        <f>IF(G251=0,0,F251/G251*H251)</f>
        <v/>
      </c>
      <c r="J251">
        <f>IF(A251="",0,SUMIFS(AJUSTEMENTS!$F$2:$F$501,AJUSTEMENTS!$A$2:$A$501,A251,AJUSTEMENTS!$B$2:$B$501,B251,AJUSTEMENTS!$C$2:$C$501,C251,AJUSTEMENTS!$D$2:$D$501,D251,AJUSTEMENTS!$E$2:$E$501,E251))</f>
        <v/>
      </c>
      <c r="K251">
        <f>IF(A251="",0,IF(J251&lt;&gt;0,J251,I251))</f>
        <v/>
      </c>
    </row>
    <row r="252">
      <c r="A252">
        <f>IF(TRAITEMENTS!$Q252="","",TRAITEMENTS!Q252)</f>
        <v/>
      </c>
      <c r="B252">
        <f>IF(TRAITEMENTS!$Q252="","",TRAITEMENTS!E252)</f>
        <v/>
      </c>
      <c r="C252">
        <f>IF(TRAITEMENTS!$Q252="","",TRAITEMENTS!F252)</f>
        <v/>
      </c>
      <c r="D252">
        <f>IF(TRAITEMENTS!$Q252="","",TRAITEMENTS!G252)</f>
        <v/>
      </c>
      <c r="E252">
        <f>IF(TRAITEMENTS!$Q252="","",TRAITEMENTS!H252)</f>
        <v/>
      </c>
      <c r="F252">
        <f>IF(TRAITEMENTS!$Q252="","",TRAITEMENTS!O252)</f>
        <v/>
      </c>
      <c r="G252">
        <f>IF(A252="",0,SUMIFS(TRAITEMENTS!$O$2:$O$501,TRAITEMENTS!$Q$2:$Q$501,A252,TRAITEMENTS!$E$2:$E$501,B252))</f>
        <v/>
      </c>
      <c r="H252">
        <f>IF(A252="",0,SUMIFS(CONNEXIONS!$C$2:$C$501,CONNEXIONS!$D$2:$D$501,A252,CONNEXIONS!$B$2:$B$501,B252))</f>
        <v/>
      </c>
      <c r="I252">
        <f>IF(G252=0,0,F252/G252*H252)</f>
        <v/>
      </c>
      <c r="J252">
        <f>IF(A252="",0,SUMIFS(AJUSTEMENTS!$F$2:$F$501,AJUSTEMENTS!$A$2:$A$501,A252,AJUSTEMENTS!$B$2:$B$501,B252,AJUSTEMENTS!$C$2:$C$501,C252,AJUSTEMENTS!$D$2:$D$501,D252,AJUSTEMENTS!$E$2:$E$501,E252))</f>
        <v/>
      </c>
      <c r="K252">
        <f>IF(A252="",0,IF(J252&lt;&gt;0,J252,I252))</f>
        <v/>
      </c>
    </row>
    <row r="253">
      <c r="A253">
        <f>IF(TRAITEMENTS!$Q253="","",TRAITEMENTS!Q253)</f>
        <v/>
      </c>
      <c r="B253">
        <f>IF(TRAITEMENTS!$Q253="","",TRAITEMENTS!E253)</f>
        <v/>
      </c>
      <c r="C253">
        <f>IF(TRAITEMENTS!$Q253="","",TRAITEMENTS!F253)</f>
        <v/>
      </c>
      <c r="D253">
        <f>IF(TRAITEMENTS!$Q253="","",TRAITEMENTS!G253)</f>
        <v/>
      </c>
      <c r="E253">
        <f>IF(TRAITEMENTS!$Q253="","",TRAITEMENTS!H253)</f>
        <v/>
      </c>
      <c r="F253">
        <f>IF(TRAITEMENTS!$Q253="","",TRAITEMENTS!O253)</f>
        <v/>
      </c>
      <c r="G253">
        <f>IF(A253="",0,SUMIFS(TRAITEMENTS!$O$2:$O$501,TRAITEMENTS!$Q$2:$Q$501,A253,TRAITEMENTS!$E$2:$E$501,B253))</f>
        <v/>
      </c>
      <c r="H253">
        <f>IF(A253="",0,SUMIFS(CONNEXIONS!$C$2:$C$501,CONNEXIONS!$D$2:$D$501,A253,CONNEXIONS!$B$2:$B$501,B253))</f>
        <v/>
      </c>
      <c r="I253">
        <f>IF(G253=0,0,F253/G253*H253)</f>
        <v/>
      </c>
      <c r="J253">
        <f>IF(A253="",0,SUMIFS(AJUSTEMENTS!$F$2:$F$501,AJUSTEMENTS!$A$2:$A$501,A253,AJUSTEMENTS!$B$2:$B$501,B253,AJUSTEMENTS!$C$2:$C$501,C253,AJUSTEMENTS!$D$2:$D$501,D253,AJUSTEMENTS!$E$2:$E$501,E253))</f>
        <v/>
      </c>
      <c r="K253">
        <f>IF(A253="",0,IF(J253&lt;&gt;0,J253,I253))</f>
        <v/>
      </c>
    </row>
    <row r="254">
      <c r="A254">
        <f>IF(TRAITEMENTS!$Q254="","",TRAITEMENTS!Q254)</f>
        <v/>
      </c>
      <c r="B254">
        <f>IF(TRAITEMENTS!$Q254="","",TRAITEMENTS!E254)</f>
        <v/>
      </c>
      <c r="C254">
        <f>IF(TRAITEMENTS!$Q254="","",TRAITEMENTS!F254)</f>
        <v/>
      </c>
      <c r="D254">
        <f>IF(TRAITEMENTS!$Q254="","",TRAITEMENTS!G254)</f>
        <v/>
      </c>
      <c r="E254">
        <f>IF(TRAITEMENTS!$Q254="","",TRAITEMENTS!H254)</f>
        <v/>
      </c>
      <c r="F254">
        <f>IF(TRAITEMENTS!$Q254="","",TRAITEMENTS!O254)</f>
        <v/>
      </c>
      <c r="G254">
        <f>IF(A254="",0,SUMIFS(TRAITEMENTS!$O$2:$O$501,TRAITEMENTS!$Q$2:$Q$501,A254,TRAITEMENTS!$E$2:$E$501,B254))</f>
        <v/>
      </c>
      <c r="H254">
        <f>IF(A254="",0,SUMIFS(CONNEXIONS!$C$2:$C$501,CONNEXIONS!$D$2:$D$501,A254,CONNEXIONS!$B$2:$B$501,B254))</f>
        <v/>
      </c>
      <c r="I254">
        <f>IF(G254=0,0,F254/G254*H254)</f>
        <v/>
      </c>
      <c r="J254">
        <f>IF(A254="",0,SUMIFS(AJUSTEMENTS!$F$2:$F$501,AJUSTEMENTS!$A$2:$A$501,A254,AJUSTEMENTS!$B$2:$B$501,B254,AJUSTEMENTS!$C$2:$C$501,C254,AJUSTEMENTS!$D$2:$D$501,D254,AJUSTEMENTS!$E$2:$E$501,E254))</f>
        <v/>
      </c>
      <c r="K254">
        <f>IF(A254="",0,IF(J254&lt;&gt;0,J254,I254))</f>
        <v/>
      </c>
    </row>
    <row r="255">
      <c r="A255">
        <f>IF(TRAITEMENTS!$Q255="","",TRAITEMENTS!Q255)</f>
        <v/>
      </c>
      <c r="B255">
        <f>IF(TRAITEMENTS!$Q255="","",TRAITEMENTS!E255)</f>
        <v/>
      </c>
      <c r="C255">
        <f>IF(TRAITEMENTS!$Q255="","",TRAITEMENTS!F255)</f>
        <v/>
      </c>
      <c r="D255">
        <f>IF(TRAITEMENTS!$Q255="","",TRAITEMENTS!G255)</f>
        <v/>
      </c>
      <c r="E255">
        <f>IF(TRAITEMENTS!$Q255="","",TRAITEMENTS!H255)</f>
        <v/>
      </c>
      <c r="F255">
        <f>IF(TRAITEMENTS!$Q255="","",TRAITEMENTS!O255)</f>
        <v/>
      </c>
      <c r="G255">
        <f>IF(A255="",0,SUMIFS(TRAITEMENTS!$O$2:$O$501,TRAITEMENTS!$Q$2:$Q$501,A255,TRAITEMENTS!$E$2:$E$501,B255))</f>
        <v/>
      </c>
      <c r="H255">
        <f>IF(A255="",0,SUMIFS(CONNEXIONS!$C$2:$C$501,CONNEXIONS!$D$2:$D$501,A255,CONNEXIONS!$B$2:$B$501,B255))</f>
        <v/>
      </c>
      <c r="I255">
        <f>IF(G255=0,0,F255/G255*H255)</f>
        <v/>
      </c>
      <c r="J255">
        <f>IF(A255="",0,SUMIFS(AJUSTEMENTS!$F$2:$F$501,AJUSTEMENTS!$A$2:$A$501,A255,AJUSTEMENTS!$B$2:$B$501,B255,AJUSTEMENTS!$C$2:$C$501,C255,AJUSTEMENTS!$D$2:$D$501,D255,AJUSTEMENTS!$E$2:$E$501,E255))</f>
        <v/>
      </c>
      <c r="K255">
        <f>IF(A255="",0,IF(J255&lt;&gt;0,J255,I255))</f>
        <v/>
      </c>
    </row>
    <row r="256">
      <c r="A256">
        <f>IF(TRAITEMENTS!$Q256="","",TRAITEMENTS!Q256)</f>
        <v/>
      </c>
      <c r="B256">
        <f>IF(TRAITEMENTS!$Q256="","",TRAITEMENTS!E256)</f>
        <v/>
      </c>
      <c r="C256">
        <f>IF(TRAITEMENTS!$Q256="","",TRAITEMENTS!F256)</f>
        <v/>
      </c>
      <c r="D256">
        <f>IF(TRAITEMENTS!$Q256="","",TRAITEMENTS!G256)</f>
        <v/>
      </c>
      <c r="E256">
        <f>IF(TRAITEMENTS!$Q256="","",TRAITEMENTS!H256)</f>
        <v/>
      </c>
      <c r="F256">
        <f>IF(TRAITEMENTS!$Q256="","",TRAITEMENTS!O256)</f>
        <v/>
      </c>
      <c r="G256">
        <f>IF(A256="",0,SUMIFS(TRAITEMENTS!$O$2:$O$501,TRAITEMENTS!$Q$2:$Q$501,A256,TRAITEMENTS!$E$2:$E$501,B256))</f>
        <v/>
      </c>
      <c r="H256">
        <f>IF(A256="",0,SUMIFS(CONNEXIONS!$C$2:$C$501,CONNEXIONS!$D$2:$D$501,A256,CONNEXIONS!$B$2:$B$501,B256))</f>
        <v/>
      </c>
      <c r="I256">
        <f>IF(G256=0,0,F256/G256*H256)</f>
        <v/>
      </c>
      <c r="J256">
        <f>IF(A256="",0,SUMIFS(AJUSTEMENTS!$F$2:$F$501,AJUSTEMENTS!$A$2:$A$501,A256,AJUSTEMENTS!$B$2:$B$501,B256,AJUSTEMENTS!$C$2:$C$501,C256,AJUSTEMENTS!$D$2:$D$501,D256,AJUSTEMENTS!$E$2:$E$501,E256))</f>
        <v/>
      </c>
      <c r="K256">
        <f>IF(A256="",0,IF(J256&lt;&gt;0,J256,I256))</f>
        <v/>
      </c>
    </row>
    <row r="257">
      <c r="A257">
        <f>IF(TRAITEMENTS!$Q257="","",TRAITEMENTS!Q257)</f>
        <v/>
      </c>
      <c r="B257">
        <f>IF(TRAITEMENTS!$Q257="","",TRAITEMENTS!E257)</f>
        <v/>
      </c>
      <c r="C257">
        <f>IF(TRAITEMENTS!$Q257="","",TRAITEMENTS!F257)</f>
        <v/>
      </c>
      <c r="D257">
        <f>IF(TRAITEMENTS!$Q257="","",TRAITEMENTS!G257)</f>
        <v/>
      </c>
      <c r="E257">
        <f>IF(TRAITEMENTS!$Q257="","",TRAITEMENTS!H257)</f>
        <v/>
      </c>
      <c r="F257">
        <f>IF(TRAITEMENTS!$Q257="","",TRAITEMENTS!O257)</f>
        <v/>
      </c>
      <c r="G257">
        <f>IF(A257="",0,SUMIFS(TRAITEMENTS!$O$2:$O$501,TRAITEMENTS!$Q$2:$Q$501,A257,TRAITEMENTS!$E$2:$E$501,B257))</f>
        <v/>
      </c>
      <c r="H257">
        <f>IF(A257="",0,SUMIFS(CONNEXIONS!$C$2:$C$501,CONNEXIONS!$D$2:$D$501,A257,CONNEXIONS!$B$2:$B$501,B257))</f>
        <v/>
      </c>
      <c r="I257">
        <f>IF(G257=0,0,F257/G257*H257)</f>
        <v/>
      </c>
      <c r="J257">
        <f>IF(A257="",0,SUMIFS(AJUSTEMENTS!$F$2:$F$501,AJUSTEMENTS!$A$2:$A$501,A257,AJUSTEMENTS!$B$2:$B$501,B257,AJUSTEMENTS!$C$2:$C$501,C257,AJUSTEMENTS!$D$2:$D$501,D257,AJUSTEMENTS!$E$2:$E$501,E257))</f>
        <v/>
      </c>
      <c r="K257">
        <f>IF(A257="",0,IF(J257&lt;&gt;0,J257,I257))</f>
        <v/>
      </c>
    </row>
    <row r="258">
      <c r="A258">
        <f>IF(TRAITEMENTS!$Q258="","",TRAITEMENTS!Q258)</f>
        <v/>
      </c>
      <c r="B258">
        <f>IF(TRAITEMENTS!$Q258="","",TRAITEMENTS!E258)</f>
        <v/>
      </c>
      <c r="C258">
        <f>IF(TRAITEMENTS!$Q258="","",TRAITEMENTS!F258)</f>
        <v/>
      </c>
      <c r="D258">
        <f>IF(TRAITEMENTS!$Q258="","",TRAITEMENTS!G258)</f>
        <v/>
      </c>
      <c r="E258">
        <f>IF(TRAITEMENTS!$Q258="","",TRAITEMENTS!H258)</f>
        <v/>
      </c>
      <c r="F258">
        <f>IF(TRAITEMENTS!$Q258="","",TRAITEMENTS!O258)</f>
        <v/>
      </c>
      <c r="G258">
        <f>IF(A258="",0,SUMIFS(TRAITEMENTS!$O$2:$O$501,TRAITEMENTS!$Q$2:$Q$501,A258,TRAITEMENTS!$E$2:$E$501,B258))</f>
        <v/>
      </c>
      <c r="H258">
        <f>IF(A258="",0,SUMIFS(CONNEXIONS!$C$2:$C$501,CONNEXIONS!$D$2:$D$501,A258,CONNEXIONS!$B$2:$B$501,B258))</f>
        <v/>
      </c>
      <c r="I258">
        <f>IF(G258=0,0,F258/G258*H258)</f>
        <v/>
      </c>
      <c r="J258">
        <f>IF(A258="",0,SUMIFS(AJUSTEMENTS!$F$2:$F$501,AJUSTEMENTS!$A$2:$A$501,A258,AJUSTEMENTS!$B$2:$B$501,B258,AJUSTEMENTS!$C$2:$C$501,C258,AJUSTEMENTS!$D$2:$D$501,D258,AJUSTEMENTS!$E$2:$E$501,E258))</f>
        <v/>
      </c>
      <c r="K258">
        <f>IF(A258="",0,IF(J258&lt;&gt;0,J258,I258))</f>
        <v/>
      </c>
    </row>
    <row r="259">
      <c r="A259">
        <f>IF(TRAITEMENTS!$Q259="","",TRAITEMENTS!Q259)</f>
        <v/>
      </c>
      <c r="B259">
        <f>IF(TRAITEMENTS!$Q259="","",TRAITEMENTS!E259)</f>
        <v/>
      </c>
      <c r="C259">
        <f>IF(TRAITEMENTS!$Q259="","",TRAITEMENTS!F259)</f>
        <v/>
      </c>
      <c r="D259">
        <f>IF(TRAITEMENTS!$Q259="","",TRAITEMENTS!G259)</f>
        <v/>
      </c>
      <c r="E259">
        <f>IF(TRAITEMENTS!$Q259="","",TRAITEMENTS!H259)</f>
        <v/>
      </c>
      <c r="F259">
        <f>IF(TRAITEMENTS!$Q259="","",TRAITEMENTS!O259)</f>
        <v/>
      </c>
      <c r="G259">
        <f>IF(A259="",0,SUMIFS(TRAITEMENTS!$O$2:$O$501,TRAITEMENTS!$Q$2:$Q$501,A259,TRAITEMENTS!$E$2:$E$501,B259))</f>
        <v/>
      </c>
      <c r="H259">
        <f>IF(A259="",0,SUMIFS(CONNEXIONS!$C$2:$C$501,CONNEXIONS!$D$2:$D$501,A259,CONNEXIONS!$B$2:$B$501,B259))</f>
        <v/>
      </c>
      <c r="I259">
        <f>IF(G259=0,0,F259/G259*H259)</f>
        <v/>
      </c>
      <c r="J259">
        <f>IF(A259="",0,SUMIFS(AJUSTEMENTS!$F$2:$F$501,AJUSTEMENTS!$A$2:$A$501,A259,AJUSTEMENTS!$B$2:$B$501,B259,AJUSTEMENTS!$C$2:$C$501,C259,AJUSTEMENTS!$D$2:$D$501,D259,AJUSTEMENTS!$E$2:$E$501,E259))</f>
        <v/>
      </c>
      <c r="K259">
        <f>IF(A259="",0,IF(J259&lt;&gt;0,J259,I259))</f>
        <v/>
      </c>
    </row>
    <row r="260">
      <c r="A260">
        <f>IF(TRAITEMENTS!$Q260="","",TRAITEMENTS!Q260)</f>
        <v/>
      </c>
      <c r="B260">
        <f>IF(TRAITEMENTS!$Q260="","",TRAITEMENTS!E260)</f>
        <v/>
      </c>
      <c r="C260">
        <f>IF(TRAITEMENTS!$Q260="","",TRAITEMENTS!F260)</f>
        <v/>
      </c>
      <c r="D260">
        <f>IF(TRAITEMENTS!$Q260="","",TRAITEMENTS!G260)</f>
        <v/>
      </c>
      <c r="E260">
        <f>IF(TRAITEMENTS!$Q260="","",TRAITEMENTS!H260)</f>
        <v/>
      </c>
      <c r="F260">
        <f>IF(TRAITEMENTS!$Q260="","",TRAITEMENTS!O260)</f>
        <v/>
      </c>
      <c r="G260">
        <f>IF(A260="",0,SUMIFS(TRAITEMENTS!$O$2:$O$501,TRAITEMENTS!$Q$2:$Q$501,A260,TRAITEMENTS!$E$2:$E$501,B260))</f>
        <v/>
      </c>
      <c r="H260">
        <f>IF(A260="",0,SUMIFS(CONNEXIONS!$C$2:$C$501,CONNEXIONS!$D$2:$D$501,A260,CONNEXIONS!$B$2:$B$501,B260))</f>
        <v/>
      </c>
      <c r="I260">
        <f>IF(G260=0,0,F260/G260*H260)</f>
        <v/>
      </c>
      <c r="J260">
        <f>IF(A260="",0,SUMIFS(AJUSTEMENTS!$F$2:$F$501,AJUSTEMENTS!$A$2:$A$501,A260,AJUSTEMENTS!$B$2:$B$501,B260,AJUSTEMENTS!$C$2:$C$501,C260,AJUSTEMENTS!$D$2:$D$501,D260,AJUSTEMENTS!$E$2:$E$501,E260))</f>
        <v/>
      </c>
      <c r="K260">
        <f>IF(A260="",0,IF(J260&lt;&gt;0,J260,I260))</f>
        <v/>
      </c>
    </row>
    <row r="261">
      <c r="A261">
        <f>IF(TRAITEMENTS!$Q261="","",TRAITEMENTS!Q261)</f>
        <v/>
      </c>
      <c r="B261">
        <f>IF(TRAITEMENTS!$Q261="","",TRAITEMENTS!E261)</f>
        <v/>
      </c>
      <c r="C261">
        <f>IF(TRAITEMENTS!$Q261="","",TRAITEMENTS!F261)</f>
        <v/>
      </c>
      <c r="D261">
        <f>IF(TRAITEMENTS!$Q261="","",TRAITEMENTS!G261)</f>
        <v/>
      </c>
      <c r="E261">
        <f>IF(TRAITEMENTS!$Q261="","",TRAITEMENTS!H261)</f>
        <v/>
      </c>
      <c r="F261">
        <f>IF(TRAITEMENTS!$Q261="","",TRAITEMENTS!O261)</f>
        <v/>
      </c>
      <c r="G261">
        <f>IF(A261="",0,SUMIFS(TRAITEMENTS!$O$2:$O$501,TRAITEMENTS!$Q$2:$Q$501,A261,TRAITEMENTS!$E$2:$E$501,B261))</f>
        <v/>
      </c>
      <c r="H261">
        <f>IF(A261="",0,SUMIFS(CONNEXIONS!$C$2:$C$501,CONNEXIONS!$D$2:$D$501,A261,CONNEXIONS!$B$2:$B$501,B261))</f>
        <v/>
      </c>
      <c r="I261">
        <f>IF(G261=0,0,F261/G261*H261)</f>
        <v/>
      </c>
      <c r="J261">
        <f>IF(A261="",0,SUMIFS(AJUSTEMENTS!$F$2:$F$501,AJUSTEMENTS!$A$2:$A$501,A261,AJUSTEMENTS!$B$2:$B$501,B261,AJUSTEMENTS!$C$2:$C$501,C261,AJUSTEMENTS!$D$2:$D$501,D261,AJUSTEMENTS!$E$2:$E$501,E261))</f>
        <v/>
      </c>
      <c r="K261">
        <f>IF(A261="",0,IF(J261&lt;&gt;0,J261,I261))</f>
        <v/>
      </c>
    </row>
    <row r="262">
      <c r="A262">
        <f>IF(TRAITEMENTS!$Q262="","",TRAITEMENTS!Q262)</f>
        <v/>
      </c>
      <c r="B262">
        <f>IF(TRAITEMENTS!$Q262="","",TRAITEMENTS!E262)</f>
        <v/>
      </c>
      <c r="C262">
        <f>IF(TRAITEMENTS!$Q262="","",TRAITEMENTS!F262)</f>
        <v/>
      </c>
      <c r="D262">
        <f>IF(TRAITEMENTS!$Q262="","",TRAITEMENTS!G262)</f>
        <v/>
      </c>
      <c r="E262">
        <f>IF(TRAITEMENTS!$Q262="","",TRAITEMENTS!H262)</f>
        <v/>
      </c>
      <c r="F262">
        <f>IF(TRAITEMENTS!$Q262="","",TRAITEMENTS!O262)</f>
        <v/>
      </c>
      <c r="G262">
        <f>IF(A262="",0,SUMIFS(TRAITEMENTS!$O$2:$O$501,TRAITEMENTS!$Q$2:$Q$501,A262,TRAITEMENTS!$E$2:$E$501,B262))</f>
        <v/>
      </c>
      <c r="H262">
        <f>IF(A262="",0,SUMIFS(CONNEXIONS!$C$2:$C$501,CONNEXIONS!$D$2:$D$501,A262,CONNEXIONS!$B$2:$B$501,B262))</f>
        <v/>
      </c>
      <c r="I262">
        <f>IF(G262=0,0,F262/G262*H262)</f>
        <v/>
      </c>
      <c r="J262">
        <f>IF(A262="",0,SUMIFS(AJUSTEMENTS!$F$2:$F$501,AJUSTEMENTS!$A$2:$A$501,A262,AJUSTEMENTS!$B$2:$B$501,B262,AJUSTEMENTS!$C$2:$C$501,C262,AJUSTEMENTS!$D$2:$D$501,D262,AJUSTEMENTS!$E$2:$E$501,E262))</f>
        <v/>
      </c>
      <c r="K262">
        <f>IF(A262="",0,IF(J262&lt;&gt;0,J262,I262))</f>
        <v/>
      </c>
    </row>
    <row r="263">
      <c r="A263">
        <f>IF(TRAITEMENTS!$Q263="","",TRAITEMENTS!Q263)</f>
        <v/>
      </c>
      <c r="B263">
        <f>IF(TRAITEMENTS!$Q263="","",TRAITEMENTS!E263)</f>
        <v/>
      </c>
      <c r="C263">
        <f>IF(TRAITEMENTS!$Q263="","",TRAITEMENTS!F263)</f>
        <v/>
      </c>
      <c r="D263">
        <f>IF(TRAITEMENTS!$Q263="","",TRAITEMENTS!G263)</f>
        <v/>
      </c>
      <c r="E263">
        <f>IF(TRAITEMENTS!$Q263="","",TRAITEMENTS!H263)</f>
        <v/>
      </c>
      <c r="F263">
        <f>IF(TRAITEMENTS!$Q263="","",TRAITEMENTS!O263)</f>
        <v/>
      </c>
      <c r="G263">
        <f>IF(A263="",0,SUMIFS(TRAITEMENTS!$O$2:$O$501,TRAITEMENTS!$Q$2:$Q$501,A263,TRAITEMENTS!$E$2:$E$501,B263))</f>
        <v/>
      </c>
      <c r="H263">
        <f>IF(A263="",0,SUMIFS(CONNEXIONS!$C$2:$C$501,CONNEXIONS!$D$2:$D$501,A263,CONNEXIONS!$B$2:$B$501,B263))</f>
        <v/>
      </c>
      <c r="I263">
        <f>IF(G263=0,0,F263/G263*H263)</f>
        <v/>
      </c>
      <c r="J263">
        <f>IF(A263="",0,SUMIFS(AJUSTEMENTS!$F$2:$F$501,AJUSTEMENTS!$A$2:$A$501,A263,AJUSTEMENTS!$B$2:$B$501,B263,AJUSTEMENTS!$C$2:$C$501,C263,AJUSTEMENTS!$D$2:$D$501,D263,AJUSTEMENTS!$E$2:$E$501,E263))</f>
        <v/>
      </c>
      <c r="K263">
        <f>IF(A263="",0,IF(J263&lt;&gt;0,J263,I263))</f>
        <v/>
      </c>
    </row>
    <row r="264">
      <c r="A264">
        <f>IF(TRAITEMENTS!$Q264="","",TRAITEMENTS!Q264)</f>
        <v/>
      </c>
      <c r="B264">
        <f>IF(TRAITEMENTS!$Q264="","",TRAITEMENTS!E264)</f>
        <v/>
      </c>
      <c r="C264">
        <f>IF(TRAITEMENTS!$Q264="","",TRAITEMENTS!F264)</f>
        <v/>
      </c>
      <c r="D264">
        <f>IF(TRAITEMENTS!$Q264="","",TRAITEMENTS!G264)</f>
        <v/>
      </c>
      <c r="E264">
        <f>IF(TRAITEMENTS!$Q264="","",TRAITEMENTS!H264)</f>
        <v/>
      </c>
      <c r="F264">
        <f>IF(TRAITEMENTS!$Q264="","",TRAITEMENTS!O264)</f>
        <v/>
      </c>
      <c r="G264">
        <f>IF(A264="",0,SUMIFS(TRAITEMENTS!$O$2:$O$501,TRAITEMENTS!$Q$2:$Q$501,A264,TRAITEMENTS!$E$2:$E$501,B264))</f>
        <v/>
      </c>
      <c r="H264">
        <f>IF(A264="",0,SUMIFS(CONNEXIONS!$C$2:$C$501,CONNEXIONS!$D$2:$D$501,A264,CONNEXIONS!$B$2:$B$501,B264))</f>
        <v/>
      </c>
      <c r="I264">
        <f>IF(G264=0,0,F264/G264*H264)</f>
        <v/>
      </c>
      <c r="J264">
        <f>IF(A264="",0,SUMIFS(AJUSTEMENTS!$F$2:$F$501,AJUSTEMENTS!$A$2:$A$501,A264,AJUSTEMENTS!$B$2:$B$501,B264,AJUSTEMENTS!$C$2:$C$501,C264,AJUSTEMENTS!$D$2:$D$501,D264,AJUSTEMENTS!$E$2:$E$501,E264))</f>
        <v/>
      </c>
      <c r="K264">
        <f>IF(A264="",0,IF(J264&lt;&gt;0,J264,I264))</f>
        <v/>
      </c>
    </row>
    <row r="265">
      <c r="A265">
        <f>IF(TRAITEMENTS!$Q265="","",TRAITEMENTS!Q265)</f>
        <v/>
      </c>
      <c r="B265">
        <f>IF(TRAITEMENTS!$Q265="","",TRAITEMENTS!E265)</f>
        <v/>
      </c>
      <c r="C265">
        <f>IF(TRAITEMENTS!$Q265="","",TRAITEMENTS!F265)</f>
        <v/>
      </c>
      <c r="D265">
        <f>IF(TRAITEMENTS!$Q265="","",TRAITEMENTS!G265)</f>
        <v/>
      </c>
      <c r="E265">
        <f>IF(TRAITEMENTS!$Q265="","",TRAITEMENTS!H265)</f>
        <v/>
      </c>
      <c r="F265">
        <f>IF(TRAITEMENTS!$Q265="","",TRAITEMENTS!O265)</f>
        <v/>
      </c>
      <c r="G265">
        <f>IF(A265="",0,SUMIFS(TRAITEMENTS!$O$2:$O$501,TRAITEMENTS!$Q$2:$Q$501,A265,TRAITEMENTS!$E$2:$E$501,B265))</f>
        <v/>
      </c>
      <c r="H265">
        <f>IF(A265="",0,SUMIFS(CONNEXIONS!$C$2:$C$501,CONNEXIONS!$D$2:$D$501,A265,CONNEXIONS!$B$2:$B$501,B265))</f>
        <v/>
      </c>
      <c r="I265">
        <f>IF(G265=0,0,F265/G265*H265)</f>
        <v/>
      </c>
      <c r="J265">
        <f>IF(A265="",0,SUMIFS(AJUSTEMENTS!$F$2:$F$501,AJUSTEMENTS!$A$2:$A$501,A265,AJUSTEMENTS!$B$2:$B$501,B265,AJUSTEMENTS!$C$2:$C$501,C265,AJUSTEMENTS!$D$2:$D$501,D265,AJUSTEMENTS!$E$2:$E$501,E265))</f>
        <v/>
      </c>
      <c r="K265">
        <f>IF(A265="",0,IF(J265&lt;&gt;0,J265,I265))</f>
        <v/>
      </c>
    </row>
    <row r="266">
      <c r="A266">
        <f>IF(TRAITEMENTS!$Q266="","",TRAITEMENTS!Q266)</f>
        <v/>
      </c>
      <c r="B266">
        <f>IF(TRAITEMENTS!$Q266="","",TRAITEMENTS!E266)</f>
        <v/>
      </c>
      <c r="C266">
        <f>IF(TRAITEMENTS!$Q266="","",TRAITEMENTS!F266)</f>
        <v/>
      </c>
      <c r="D266">
        <f>IF(TRAITEMENTS!$Q266="","",TRAITEMENTS!G266)</f>
        <v/>
      </c>
      <c r="E266">
        <f>IF(TRAITEMENTS!$Q266="","",TRAITEMENTS!H266)</f>
        <v/>
      </c>
      <c r="F266">
        <f>IF(TRAITEMENTS!$Q266="","",TRAITEMENTS!O266)</f>
        <v/>
      </c>
      <c r="G266">
        <f>IF(A266="",0,SUMIFS(TRAITEMENTS!$O$2:$O$501,TRAITEMENTS!$Q$2:$Q$501,A266,TRAITEMENTS!$E$2:$E$501,B266))</f>
        <v/>
      </c>
      <c r="H266">
        <f>IF(A266="",0,SUMIFS(CONNEXIONS!$C$2:$C$501,CONNEXIONS!$D$2:$D$501,A266,CONNEXIONS!$B$2:$B$501,B266))</f>
        <v/>
      </c>
      <c r="I266">
        <f>IF(G266=0,0,F266/G266*H266)</f>
        <v/>
      </c>
      <c r="J266">
        <f>IF(A266="",0,SUMIFS(AJUSTEMENTS!$F$2:$F$501,AJUSTEMENTS!$A$2:$A$501,A266,AJUSTEMENTS!$B$2:$B$501,B266,AJUSTEMENTS!$C$2:$C$501,C266,AJUSTEMENTS!$D$2:$D$501,D266,AJUSTEMENTS!$E$2:$E$501,E266))</f>
        <v/>
      </c>
      <c r="K266">
        <f>IF(A266="",0,IF(J266&lt;&gt;0,J266,I266))</f>
        <v/>
      </c>
    </row>
    <row r="267">
      <c r="A267">
        <f>IF(TRAITEMENTS!$Q267="","",TRAITEMENTS!Q267)</f>
        <v/>
      </c>
      <c r="B267">
        <f>IF(TRAITEMENTS!$Q267="","",TRAITEMENTS!E267)</f>
        <v/>
      </c>
      <c r="C267">
        <f>IF(TRAITEMENTS!$Q267="","",TRAITEMENTS!F267)</f>
        <v/>
      </c>
      <c r="D267">
        <f>IF(TRAITEMENTS!$Q267="","",TRAITEMENTS!G267)</f>
        <v/>
      </c>
      <c r="E267">
        <f>IF(TRAITEMENTS!$Q267="","",TRAITEMENTS!H267)</f>
        <v/>
      </c>
      <c r="F267">
        <f>IF(TRAITEMENTS!$Q267="","",TRAITEMENTS!O267)</f>
        <v/>
      </c>
      <c r="G267">
        <f>IF(A267="",0,SUMIFS(TRAITEMENTS!$O$2:$O$501,TRAITEMENTS!$Q$2:$Q$501,A267,TRAITEMENTS!$E$2:$E$501,B267))</f>
        <v/>
      </c>
      <c r="H267">
        <f>IF(A267="",0,SUMIFS(CONNEXIONS!$C$2:$C$501,CONNEXIONS!$D$2:$D$501,A267,CONNEXIONS!$B$2:$B$501,B267))</f>
        <v/>
      </c>
      <c r="I267">
        <f>IF(G267=0,0,F267/G267*H267)</f>
        <v/>
      </c>
      <c r="J267">
        <f>IF(A267="",0,SUMIFS(AJUSTEMENTS!$F$2:$F$501,AJUSTEMENTS!$A$2:$A$501,A267,AJUSTEMENTS!$B$2:$B$501,B267,AJUSTEMENTS!$C$2:$C$501,C267,AJUSTEMENTS!$D$2:$D$501,D267,AJUSTEMENTS!$E$2:$E$501,E267))</f>
        <v/>
      </c>
      <c r="K267">
        <f>IF(A267="",0,IF(J267&lt;&gt;0,J267,I267))</f>
        <v/>
      </c>
    </row>
    <row r="268">
      <c r="A268">
        <f>IF(TRAITEMENTS!$Q268="","",TRAITEMENTS!Q268)</f>
        <v/>
      </c>
      <c r="B268">
        <f>IF(TRAITEMENTS!$Q268="","",TRAITEMENTS!E268)</f>
        <v/>
      </c>
      <c r="C268">
        <f>IF(TRAITEMENTS!$Q268="","",TRAITEMENTS!F268)</f>
        <v/>
      </c>
      <c r="D268">
        <f>IF(TRAITEMENTS!$Q268="","",TRAITEMENTS!G268)</f>
        <v/>
      </c>
      <c r="E268">
        <f>IF(TRAITEMENTS!$Q268="","",TRAITEMENTS!H268)</f>
        <v/>
      </c>
      <c r="F268">
        <f>IF(TRAITEMENTS!$Q268="","",TRAITEMENTS!O268)</f>
        <v/>
      </c>
      <c r="G268">
        <f>IF(A268="",0,SUMIFS(TRAITEMENTS!$O$2:$O$501,TRAITEMENTS!$Q$2:$Q$501,A268,TRAITEMENTS!$E$2:$E$501,B268))</f>
        <v/>
      </c>
      <c r="H268">
        <f>IF(A268="",0,SUMIFS(CONNEXIONS!$C$2:$C$501,CONNEXIONS!$D$2:$D$501,A268,CONNEXIONS!$B$2:$B$501,B268))</f>
        <v/>
      </c>
      <c r="I268">
        <f>IF(G268=0,0,F268/G268*H268)</f>
        <v/>
      </c>
      <c r="J268">
        <f>IF(A268="",0,SUMIFS(AJUSTEMENTS!$F$2:$F$501,AJUSTEMENTS!$A$2:$A$501,A268,AJUSTEMENTS!$B$2:$B$501,B268,AJUSTEMENTS!$C$2:$C$501,C268,AJUSTEMENTS!$D$2:$D$501,D268,AJUSTEMENTS!$E$2:$E$501,E268))</f>
        <v/>
      </c>
      <c r="K268">
        <f>IF(A268="",0,IF(J268&lt;&gt;0,J268,I268))</f>
        <v/>
      </c>
    </row>
    <row r="269">
      <c r="A269">
        <f>IF(TRAITEMENTS!$Q269="","",TRAITEMENTS!Q269)</f>
        <v/>
      </c>
      <c r="B269">
        <f>IF(TRAITEMENTS!$Q269="","",TRAITEMENTS!E269)</f>
        <v/>
      </c>
      <c r="C269">
        <f>IF(TRAITEMENTS!$Q269="","",TRAITEMENTS!F269)</f>
        <v/>
      </c>
      <c r="D269">
        <f>IF(TRAITEMENTS!$Q269="","",TRAITEMENTS!G269)</f>
        <v/>
      </c>
      <c r="E269">
        <f>IF(TRAITEMENTS!$Q269="","",TRAITEMENTS!H269)</f>
        <v/>
      </c>
      <c r="F269">
        <f>IF(TRAITEMENTS!$Q269="","",TRAITEMENTS!O269)</f>
        <v/>
      </c>
      <c r="G269">
        <f>IF(A269="",0,SUMIFS(TRAITEMENTS!$O$2:$O$501,TRAITEMENTS!$Q$2:$Q$501,A269,TRAITEMENTS!$E$2:$E$501,B269))</f>
        <v/>
      </c>
      <c r="H269">
        <f>IF(A269="",0,SUMIFS(CONNEXIONS!$C$2:$C$501,CONNEXIONS!$D$2:$D$501,A269,CONNEXIONS!$B$2:$B$501,B269))</f>
        <v/>
      </c>
      <c r="I269">
        <f>IF(G269=0,0,F269/G269*H269)</f>
        <v/>
      </c>
      <c r="J269">
        <f>IF(A269="",0,SUMIFS(AJUSTEMENTS!$F$2:$F$501,AJUSTEMENTS!$A$2:$A$501,A269,AJUSTEMENTS!$B$2:$B$501,B269,AJUSTEMENTS!$C$2:$C$501,C269,AJUSTEMENTS!$D$2:$D$501,D269,AJUSTEMENTS!$E$2:$E$501,E269))</f>
        <v/>
      </c>
      <c r="K269">
        <f>IF(A269="",0,IF(J269&lt;&gt;0,J269,I269))</f>
        <v/>
      </c>
    </row>
    <row r="270">
      <c r="A270">
        <f>IF(TRAITEMENTS!$Q270="","",TRAITEMENTS!Q270)</f>
        <v/>
      </c>
      <c r="B270">
        <f>IF(TRAITEMENTS!$Q270="","",TRAITEMENTS!E270)</f>
        <v/>
      </c>
      <c r="C270">
        <f>IF(TRAITEMENTS!$Q270="","",TRAITEMENTS!F270)</f>
        <v/>
      </c>
      <c r="D270">
        <f>IF(TRAITEMENTS!$Q270="","",TRAITEMENTS!G270)</f>
        <v/>
      </c>
      <c r="E270">
        <f>IF(TRAITEMENTS!$Q270="","",TRAITEMENTS!H270)</f>
        <v/>
      </c>
      <c r="F270">
        <f>IF(TRAITEMENTS!$Q270="","",TRAITEMENTS!O270)</f>
        <v/>
      </c>
      <c r="G270">
        <f>IF(A270="",0,SUMIFS(TRAITEMENTS!$O$2:$O$501,TRAITEMENTS!$Q$2:$Q$501,A270,TRAITEMENTS!$E$2:$E$501,B270))</f>
        <v/>
      </c>
      <c r="H270">
        <f>IF(A270="",0,SUMIFS(CONNEXIONS!$C$2:$C$501,CONNEXIONS!$D$2:$D$501,A270,CONNEXIONS!$B$2:$B$501,B270))</f>
        <v/>
      </c>
      <c r="I270">
        <f>IF(G270=0,0,F270/G270*H270)</f>
        <v/>
      </c>
      <c r="J270">
        <f>IF(A270="",0,SUMIFS(AJUSTEMENTS!$F$2:$F$501,AJUSTEMENTS!$A$2:$A$501,A270,AJUSTEMENTS!$B$2:$B$501,B270,AJUSTEMENTS!$C$2:$C$501,C270,AJUSTEMENTS!$D$2:$D$501,D270,AJUSTEMENTS!$E$2:$E$501,E270))</f>
        <v/>
      </c>
      <c r="K270">
        <f>IF(A270="",0,IF(J270&lt;&gt;0,J270,I270))</f>
        <v/>
      </c>
    </row>
    <row r="271">
      <c r="A271">
        <f>IF(TRAITEMENTS!$Q271="","",TRAITEMENTS!Q271)</f>
        <v/>
      </c>
      <c r="B271">
        <f>IF(TRAITEMENTS!$Q271="","",TRAITEMENTS!E271)</f>
        <v/>
      </c>
      <c r="C271">
        <f>IF(TRAITEMENTS!$Q271="","",TRAITEMENTS!F271)</f>
        <v/>
      </c>
      <c r="D271">
        <f>IF(TRAITEMENTS!$Q271="","",TRAITEMENTS!G271)</f>
        <v/>
      </c>
      <c r="E271">
        <f>IF(TRAITEMENTS!$Q271="","",TRAITEMENTS!H271)</f>
        <v/>
      </c>
      <c r="F271">
        <f>IF(TRAITEMENTS!$Q271="","",TRAITEMENTS!O271)</f>
        <v/>
      </c>
      <c r="G271">
        <f>IF(A271="",0,SUMIFS(TRAITEMENTS!$O$2:$O$501,TRAITEMENTS!$Q$2:$Q$501,A271,TRAITEMENTS!$E$2:$E$501,B271))</f>
        <v/>
      </c>
      <c r="H271">
        <f>IF(A271="",0,SUMIFS(CONNEXIONS!$C$2:$C$501,CONNEXIONS!$D$2:$D$501,A271,CONNEXIONS!$B$2:$B$501,B271))</f>
        <v/>
      </c>
      <c r="I271">
        <f>IF(G271=0,0,F271/G271*H271)</f>
        <v/>
      </c>
      <c r="J271">
        <f>IF(A271="",0,SUMIFS(AJUSTEMENTS!$F$2:$F$501,AJUSTEMENTS!$A$2:$A$501,A271,AJUSTEMENTS!$B$2:$B$501,B271,AJUSTEMENTS!$C$2:$C$501,C271,AJUSTEMENTS!$D$2:$D$501,D271,AJUSTEMENTS!$E$2:$E$501,E271))</f>
        <v/>
      </c>
      <c r="K271">
        <f>IF(A271="",0,IF(J271&lt;&gt;0,J271,I271))</f>
        <v/>
      </c>
    </row>
    <row r="272">
      <c r="A272">
        <f>IF(TRAITEMENTS!$Q272="","",TRAITEMENTS!Q272)</f>
        <v/>
      </c>
      <c r="B272">
        <f>IF(TRAITEMENTS!$Q272="","",TRAITEMENTS!E272)</f>
        <v/>
      </c>
      <c r="C272">
        <f>IF(TRAITEMENTS!$Q272="","",TRAITEMENTS!F272)</f>
        <v/>
      </c>
      <c r="D272">
        <f>IF(TRAITEMENTS!$Q272="","",TRAITEMENTS!G272)</f>
        <v/>
      </c>
      <c r="E272">
        <f>IF(TRAITEMENTS!$Q272="","",TRAITEMENTS!H272)</f>
        <v/>
      </c>
      <c r="F272">
        <f>IF(TRAITEMENTS!$Q272="","",TRAITEMENTS!O272)</f>
        <v/>
      </c>
      <c r="G272">
        <f>IF(A272="",0,SUMIFS(TRAITEMENTS!$O$2:$O$501,TRAITEMENTS!$Q$2:$Q$501,A272,TRAITEMENTS!$E$2:$E$501,B272))</f>
        <v/>
      </c>
      <c r="H272">
        <f>IF(A272="",0,SUMIFS(CONNEXIONS!$C$2:$C$501,CONNEXIONS!$D$2:$D$501,A272,CONNEXIONS!$B$2:$B$501,B272))</f>
        <v/>
      </c>
      <c r="I272">
        <f>IF(G272=0,0,F272/G272*H272)</f>
        <v/>
      </c>
      <c r="J272">
        <f>IF(A272="",0,SUMIFS(AJUSTEMENTS!$F$2:$F$501,AJUSTEMENTS!$A$2:$A$501,A272,AJUSTEMENTS!$B$2:$B$501,B272,AJUSTEMENTS!$C$2:$C$501,C272,AJUSTEMENTS!$D$2:$D$501,D272,AJUSTEMENTS!$E$2:$E$501,E272))</f>
        <v/>
      </c>
      <c r="K272">
        <f>IF(A272="",0,IF(J272&lt;&gt;0,J272,I272))</f>
        <v/>
      </c>
    </row>
    <row r="273">
      <c r="A273">
        <f>IF(TRAITEMENTS!$Q273="","",TRAITEMENTS!Q273)</f>
        <v/>
      </c>
      <c r="B273">
        <f>IF(TRAITEMENTS!$Q273="","",TRAITEMENTS!E273)</f>
        <v/>
      </c>
      <c r="C273">
        <f>IF(TRAITEMENTS!$Q273="","",TRAITEMENTS!F273)</f>
        <v/>
      </c>
      <c r="D273">
        <f>IF(TRAITEMENTS!$Q273="","",TRAITEMENTS!G273)</f>
        <v/>
      </c>
      <c r="E273">
        <f>IF(TRAITEMENTS!$Q273="","",TRAITEMENTS!H273)</f>
        <v/>
      </c>
      <c r="F273">
        <f>IF(TRAITEMENTS!$Q273="","",TRAITEMENTS!O273)</f>
        <v/>
      </c>
      <c r="G273">
        <f>IF(A273="",0,SUMIFS(TRAITEMENTS!$O$2:$O$501,TRAITEMENTS!$Q$2:$Q$501,A273,TRAITEMENTS!$E$2:$E$501,B273))</f>
        <v/>
      </c>
      <c r="H273">
        <f>IF(A273="",0,SUMIFS(CONNEXIONS!$C$2:$C$501,CONNEXIONS!$D$2:$D$501,A273,CONNEXIONS!$B$2:$B$501,B273))</f>
        <v/>
      </c>
      <c r="I273">
        <f>IF(G273=0,0,F273/G273*H273)</f>
        <v/>
      </c>
      <c r="J273">
        <f>IF(A273="",0,SUMIFS(AJUSTEMENTS!$F$2:$F$501,AJUSTEMENTS!$A$2:$A$501,A273,AJUSTEMENTS!$B$2:$B$501,B273,AJUSTEMENTS!$C$2:$C$501,C273,AJUSTEMENTS!$D$2:$D$501,D273,AJUSTEMENTS!$E$2:$E$501,E273))</f>
        <v/>
      </c>
      <c r="K273">
        <f>IF(A273="",0,IF(J273&lt;&gt;0,J273,I273))</f>
        <v/>
      </c>
    </row>
    <row r="274">
      <c r="A274">
        <f>IF(TRAITEMENTS!$Q274="","",TRAITEMENTS!Q274)</f>
        <v/>
      </c>
      <c r="B274">
        <f>IF(TRAITEMENTS!$Q274="","",TRAITEMENTS!E274)</f>
        <v/>
      </c>
      <c r="C274">
        <f>IF(TRAITEMENTS!$Q274="","",TRAITEMENTS!F274)</f>
        <v/>
      </c>
      <c r="D274">
        <f>IF(TRAITEMENTS!$Q274="","",TRAITEMENTS!G274)</f>
        <v/>
      </c>
      <c r="E274">
        <f>IF(TRAITEMENTS!$Q274="","",TRAITEMENTS!H274)</f>
        <v/>
      </c>
      <c r="F274">
        <f>IF(TRAITEMENTS!$Q274="","",TRAITEMENTS!O274)</f>
        <v/>
      </c>
      <c r="G274">
        <f>IF(A274="",0,SUMIFS(TRAITEMENTS!$O$2:$O$501,TRAITEMENTS!$Q$2:$Q$501,A274,TRAITEMENTS!$E$2:$E$501,B274))</f>
        <v/>
      </c>
      <c r="H274">
        <f>IF(A274="",0,SUMIFS(CONNEXIONS!$C$2:$C$501,CONNEXIONS!$D$2:$D$501,A274,CONNEXIONS!$B$2:$B$501,B274))</f>
        <v/>
      </c>
      <c r="I274">
        <f>IF(G274=0,0,F274/G274*H274)</f>
        <v/>
      </c>
      <c r="J274">
        <f>IF(A274="",0,SUMIFS(AJUSTEMENTS!$F$2:$F$501,AJUSTEMENTS!$A$2:$A$501,A274,AJUSTEMENTS!$B$2:$B$501,B274,AJUSTEMENTS!$C$2:$C$501,C274,AJUSTEMENTS!$D$2:$D$501,D274,AJUSTEMENTS!$E$2:$E$501,E274))</f>
        <v/>
      </c>
      <c r="K274">
        <f>IF(A274="",0,IF(J274&lt;&gt;0,J274,I274))</f>
        <v/>
      </c>
    </row>
    <row r="275">
      <c r="A275">
        <f>IF(TRAITEMENTS!$Q275="","",TRAITEMENTS!Q275)</f>
        <v/>
      </c>
      <c r="B275">
        <f>IF(TRAITEMENTS!$Q275="","",TRAITEMENTS!E275)</f>
        <v/>
      </c>
      <c r="C275">
        <f>IF(TRAITEMENTS!$Q275="","",TRAITEMENTS!F275)</f>
        <v/>
      </c>
      <c r="D275">
        <f>IF(TRAITEMENTS!$Q275="","",TRAITEMENTS!G275)</f>
        <v/>
      </c>
      <c r="E275">
        <f>IF(TRAITEMENTS!$Q275="","",TRAITEMENTS!H275)</f>
        <v/>
      </c>
      <c r="F275">
        <f>IF(TRAITEMENTS!$Q275="","",TRAITEMENTS!O275)</f>
        <v/>
      </c>
      <c r="G275">
        <f>IF(A275="",0,SUMIFS(TRAITEMENTS!$O$2:$O$501,TRAITEMENTS!$Q$2:$Q$501,A275,TRAITEMENTS!$E$2:$E$501,B275))</f>
        <v/>
      </c>
      <c r="H275">
        <f>IF(A275="",0,SUMIFS(CONNEXIONS!$C$2:$C$501,CONNEXIONS!$D$2:$D$501,A275,CONNEXIONS!$B$2:$B$501,B275))</f>
        <v/>
      </c>
      <c r="I275">
        <f>IF(G275=0,0,F275/G275*H275)</f>
        <v/>
      </c>
      <c r="J275">
        <f>IF(A275="",0,SUMIFS(AJUSTEMENTS!$F$2:$F$501,AJUSTEMENTS!$A$2:$A$501,A275,AJUSTEMENTS!$B$2:$B$501,B275,AJUSTEMENTS!$C$2:$C$501,C275,AJUSTEMENTS!$D$2:$D$501,D275,AJUSTEMENTS!$E$2:$E$501,E275))</f>
        <v/>
      </c>
      <c r="K275">
        <f>IF(A275="",0,IF(J275&lt;&gt;0,J275,I275))</f>
        <v/>
      </c>
    </row>
    <row r="276">
      <c r="A276">
        <f>IF(TRAITEMENTS!$Q276="","",TRAITEMENTS!Q276)</f>
        <v/>
      </c>
      <c r="B276">
        <f>IF(TRAITEMENTS!$Q276="","",TRAITEMENTS!E276)</f>
        <v/>
      </c>
      <c r="C276">
        <f>IF(TRAITEMENTS!$Q276="","",TRAITEMENTS!F276)</f>
        <v/>
      </c>
      <c r="D276">
        <f>IF(TRAITEMENTS!$Q276="","",TRAITEMENTS!G276)</f>
        <v/>
      </c>
      <c r="E276">
        <f>IF(TRAITEMENTS!$Q276="","",TRAITEMENTS!H276)</f>
        <v/>
      </c>
      <c r="F276">
        <f>IF(TRAITEMENTS!$Q276="","",TRAITEMENTS!O276)</f>
        <v/>
      </c>
      <c r="G276">
        <f>IF(A276="",0,SUMIFS(TRAITEMENTS!$O$2:$O$501,TRAITEMENTS!$Q$2:$Q$501,A276,TRAITEMENTS!$E$2:$E$501,B276))</f>
        <v/>
      </c>
      <c r="H276">
        <f>IF(A276="",0,SUMIFS(CONNEXIONS!$C$2:$C$501,CONNEXIONS!$D$2:$D$501,A276,CONNEXIONS!$B$2:$B$501,B276))</f>
        <v/>
      </c>
      <c r="I276">
        <f>IF(G276=0,0,F276/G276*H276)</f>
        <v/>
      </c>
      <c r="J276">
        <f>IF(A276="",0,SUMIFS(AJUSTEMENTS!$F$2:$F$501,AJUSTEMENTS!$A$2:$A$501,A276,AJUSTEMENTS!$B$2:$B$501,B276,AJUSTEMENTS!$C$2:$C$501,C276,AJUSTEMENTS!$D$2:$D$501,D276,AJUSTEMENTS!$E$2:$E$501,E276))</f>
        <v/>
      </c>
      <c r="K276">
        <f>IF(A276="",0,IF(J276&lt;&gt;0,J276,I276))</f>
        <v/>
      </c>
    </row>
    <row r="277">
      <c r="A277">
        <f>IF(TRAITEMENTS!$Q277="","",TRAITEMENTS!Q277)</f>
        <v/>
      </c>
      <c r="B277">
        <f>IF(TRAITEMENTS!$Q277="","",TRAITEMENTS!E277)</f>
        <v/>
      </c>
      <c r="C277">
        <f>IF(TRAITEMENTS!$Q277="","",TRAITEMENTS!F277)</f>
        <v/>
      </c>
      <c r="D277">
        <f>IF(TRAITEMENTS!$Q277="","",TRAITEMENTS!G277)</f>
        <v/>
      </c>
      <c r="E277">
        <f>IF(TRAITEMENTS!$Q277="","",TRAITEMENTS!H277)</f>
        <v/>
      </c>
      <c r="F277">
        <f>IF(TRAITEMENTS!$Q277="","",TRAITEMENTS!O277)</f>
        <v/>
      </c>
      <c r="G277">
        <f>IF(A277="",0,SUMIFS(TRAITEMENTS!$O$2:$O$501,TRAITEMENTS!$Q$2:$Q$501,A277,TRAITEMENTS!$E$2:$E$501,B277))</f>
        <v/>
      </c>
      <c r="H277">
        <f>IF(A277="",0,SUMIFS(CONNEXIONS!$C$2:$C$501,CONNEXIONS!$D$2:$D$501,A277,CONNEXIONS!$B$2:$B$501,B277))</f>
        <v/>
      </c>
      <c r="I277">
        <f>IF(G277=0,0,F277/G277*H277)</f>
        <v/>
      </c>
      <c r="J277">
        <f>IF(A277="",0,SUMIFS(AJUSTEMENTS!$F$2:$F$501,AJUSTEMENTS!$A$2:$A$501,A277,AJUSTEMENTS!$B$2:$B$501,B277,AJUSTEMENTS!$C$2:$C$501,C277,AJUSTEMENTS!$D$2:$D$501,D277,AJUSTEMENTS!$E$2:$E$501,E277))</f>
        <v/>
      </c>
      <c r="K277">
        <f>IF(A277="",0,IF(J277&lt;&gt;0,J277,I277))</f>
        <v/>
      </c>
    </row>
    <row r="278">
      <c r="A278">
        <f>IF(TRAITEMENTS!$Q278="","",TRAITEMENTS!Q278)</f>
        <v/>
      </c>
      <c r="B278">
        <f>IF(TRAITEMENTS!$Q278="","",TRAITEMENTS!E278)</f>
        <v/>
      </c>
      <c r="C278">
        <f>IF(TRAITEMENTS!$Q278="","",TRAITEMENTS!F278)</f>
        <v/>
      </c>
      <c r="D278">
        <f>IF(TRAITEMENTS!$Q278="","",TRAITEMENTS!G278)</f>
        <v/>
      </c>
      <c r="E278">
        <f>IF(TRAITEMENTS!$Q278="","",TRAITEMENTS!H278)</f>
        <v/>
      </c>
      <c r="F278">
        <f>IF(TRAITEMENTS!$Q278="","",TRAITEMENTS!O278)</f>
        <v/>
      </c>
      <c r="G278">
        <f>IF(A278="",0,SUMIFS(TRAITEMENTS!$O$2:$O$501,TRAITEMENTS!$Q$2:$Q$501,A278,TRAITEMENTS!$E$2:$E$501,B278))</f>
        <v/>
      </c>
      <c r="H278">
        <f>IF(A278="",0,SUMIFS(CONNEXIONS!$C$2:$C$501,CONNEXIONS!$D$2:$D$501,A278,CONNEXIONS!$B$2:$B$501,B278))</f>
        <v/>
      </c>
      <c r="I278">
        <f>IF(G278=0,0,F278/G278*H278)</f>
        <v/>
      </c>
      <c r="J278">
        <f>IF(A278="",0,SUMIFS(AJUSTEMENTS!$F$2:$F$501,AJUSTEMENTS!$A$2:$A$501,A278,AJUSTEMENTS!$B$2:$B$501,B278,AJUSTEMENTS!$C$2:$C$501,C278,AJUSTEMENTS!$D$2:$D$501,D278,AJUSTEMENTS!$E$2:$E$501,E278))</f>
        <v/>
      </c>
      <c r="K278">
        <f>IF(A278="",0,IF(J278&lt;&gt;0,J278,I278))</f>
        <v/>
      </c>
    </row>
    <row r="279">
      <c r="A279">
        <f>IF(TRAITEMENTS!$Q279="","",TRAITEMENTS!Q279)</f>
        <v/>
      </c>
      <c r="B279">
        <f>IF(TRAITEMENTS!$Q279="","",TRAITEMENTS!E279)</f>
        <v/>
      </c>
      <c r="C279">
        <f>IF(TRAITEMENTS!$Q279="","",TRAITEMENTS!F279)</f>
        <v/>
      </c>
      <c r="D279">
        <f>IF(TRAITEMENTS!$Q279="","",TRAITEMENTS!G279)</f>
        <v/>
      </c>
      <c r="E279">
        <f>IF(TRAITEMENTS!$Q279="","",TRAITEMENTS!H279)</f>
        <v/>
      </c>
      <c r="F279">
        <f>IF(TRAITEMENTS!$Q279="","",TRAITEMENTS!O279)</f>
        <v/>
      </c>
      <c r="G279">
        <f>IF(A279="",0,SUMIFS(TRAITEMENTS!$O$2:$O$501,TRAITEMENTS!$Q$2:$Q$501,A279,TRAITEMENTS!$E$2:$E$501,B279))</f>
        <v/>
      </c>
      <c r="H279">
        <f>IF(A279="",0,SUMIFS(CONNEXIONS!$C$2:$C$501,CONNEXIONS!$D$2:$D$501,A279,CONNEXIONS!$B$2:$B$501,B279))</f>
        <v/>
      </c>
      <c r="I279">
        <f>IF(G279=0,0,F279/G279*H279)</f>
        <v/>
      </c>
      <c r="J279">
        <f>IF(A279="",0,SUMIFS(AJUSTEMENTS!$F$2:$F$501,AJUSTEMENTS!$A$2:$A$501,A279,AJUSTEMENTS!$B$2:$B$501,B279,AJUSTEMENTS!$C$2:$C$501,C279,AJUSTEMENTS!$D$2:$D$501,D279,AJUSTEMENTS!$E$2:$E$501,E279))</f>
        <v/>
      </c>
      <c r="K279">
        <f>IF(A279="",0,IF(J279&lt;&gt;0,J279,I279))</f>
        <v/>
      </c>
    </row>
    <row r="280">
      <c r="A280">
        <f>IF(TRAITEMENTS!$Q280="","",TRAITEMENTS!Q280)</f>
        <v/>
      </c>
      <c r="B280">
        <f>IF(TRAITEMENTS!$Q280="","",TRAITEMENTS!E280)</f>
        <v/>
      </c>
      <c r="C280">
        <f>IF(TRAITEMENTS!$Q280="","",TRAITEMENTS!F280)</f>
        <v/>
      </c>
      <c r="D280">
        <f>IF(TRAITEMENTS!$Q280="","",TRAITEMENTS!G280)</f>
        <v/>
      </c>
      <c r="E280">
        <f>IF(TRAITEMENTS!$Q280="","",TRAITEMENTS!H280)</f>
        <v/>
      </c>
      <c r="F280">
        <f>IF(TRAITEMENTS!$Q280="","",TRAITEMENTS!O280)</f>
        <v/>
      </c>
      <c r="G280">
        <f>IF(A280="",0,SUMIFS(TRAITEMENTS!$O$2:$O$501,TRAITEMENTS!$Q$2:$Q$501,A280,TRAITEMENTS!$E$2:$E$501,B280))</f>
        <v/>
      </c>
      <c r="H280">
        <f>IF(A280="",0,SUMIFS(CONNEXIONS!$C$2:$C$501,CONNEXIONS!$D$2:$D$501,A280,CONNEXIONS!$B$2:$B$501,B280))</f>
        <v/>
      </c>
      <c r="I280">
        <f>IF(G280=0,0,F280/G280*H280)</f>
        <v/>
      </c>
      <c r="J280">
        <f>IF(A280="",0,SUMIFS(AJUSTEMENTS!$F$2:$F$501,AJUSTEMENTS!$A$2:$A$501,A280,AJUSTEMENTS!$B$2:$B$501,B280,AJUSTEMENTS!$C$2:$C$501,C280,AJUSTEMENTS!$D$2:$D$501,D280,AJUSTEMENTS!$E$2:$E$501,E280))</f>
        <v/>
      </c>
      <c r="K280">
        <f>IF(A280="",0,IF(J280&lt;&gt;0,J280,I280))</f>
        <v/>
      </c>
    </row>
    <row r="281">
      <c r="A281">
        <f>IF(TRAITEMENTS!$Q281="","",TRAITEMENTS!Q281)</f>
        <v/>
      </c>
      <c r="B281">
        <f>IF(TRAITEMENTS!$Q281="","",TRAITEMENTS!E281)</f>
        <v/>
      </c>
      <c r="C281">
        <f>IF(TRAITEMENTS!$Q281="","",TRAITEMENTS!F281)</f>
        <v/>
      </c>
      <c r="D281">
        <f>IF(TRAITEMENTS!$Q281="","",TRAITEMENTS!G281)</f>
        <v/>
      </c>
      <c r="E281">
        <f>IF(TRAITEMENTS!$Q281="","",TRAITEMENTS!H281)</f>
        <v/>
      </c>
      <c r="F281">
        <f>IF(TRAITEMENTS!$Q281="","",TRAITEMENTS!O281)</f>
        <v/>
      </c>
      <c r="G281">
        <f>IF(A281="",0,SUMIFS(TRAITEMENTS!$O$2:$O$501,TRAITEMENTS!$Q$2:$Q$501,A281,TRAITEMENTS!$E$2:$E$501,B281))</f>
        <v/>
      </c>
      <c r="H281">
        <f>IF(A281="",0,SUMIFS(CONNEXIONS!$C$2:$C$501,CONNEXIONS!$D$2:$D$501,A281,CONNEXIONS!$B$2:$B$501,B281))</f>
        <v/>
      </c>
      <c r="I281">
        <f>IF(G281=0,0,F281/G281*H281)</f>
        <v/>
      </c>
      <c r="J281">
        <f>IF(A281="",0,SUMIFS(AJUSTEMENTS!$F$2:$F$501,AJUSTEMENTS!$A$2:$A$501,A281,AJUSTEMENTS!$B$2:$B$501,B281,AJUSTEMENTS!$C$2:$C$501,C281,AJUSTEMENTS!$D$2:$D$501,D281,AJUSTEMENTS!$E$2:$E$501,E281))</f>
        <v/>
      </c>
      <c r="K281">
        <f>IF(A281="",0,IF(J281&lt;&gt;0,J281,I281))</f>
        <v/>
      </c>
    </row>
    <row r="282">
      <c r="A282">
        <f>IF(TRAITEMENTS!$Q282="","",TRAITEMENTS!Q282)</f>
        <v/>
      </c>
      <c r="B282">
        <f>IF(TRAITEMENTS!$Q282="","",TRAITEMENTS!E282)</f>
        <v/>
      </c>
      <c r="C282">
        <f>IF(TRAITEMENTS!$Q282="","",TRAITEMENTS!F282)</f>
        <v/>
      </c>
      <c r="D282">
        <f>IF(TRAITEMENTS!$Q282="","",TRAITEMENTS!G282)</f>
        <v/>
      </c>
      <c r="E282">
        <f>IF(TRAITEMENTS!$Q282="","",TRAITEMENTS!H282)</f>
        <v/>
      </c>
      <c r="F282">
        <f>IF(TRAITEMENTS!$Q282="","",TRAITEMENTS!O282)</f>
        <v/>
      </c>
      <c r="G282">
        <f>IF(A282="",0,SUMIFS(TRAITEMENTS!$O$2:$O$501,TRAITEMENTS!$Q$2:$Q$501,A282,TRAITEMENTS!$E$2:$E$501,B282))</f>
        <v/>
      </c>
      <c r="H282">
        <f>IF(A282="",0,SUMIFS(CONNEXIONS!$C$2:$C$501,CONNEXIONS!$D$2:$D$501,A282,CONNEXIONS!$B$2:$B$501,B282))</f>
        <v/>
      </c>
      <c r="I282">
        <f>IF(G282=0,0,F282/G282*H282)</f>
        <v/>
      </c>
      <c r="J282">
        <f>IF(A282="",0,SUMIFS(AJUSTEMENTS!$F$2:$F$501,AJUSTEMENTS!$A$2:$A$501,A282,AJUSTEMENTS!$B$2:$B$501,B282,AJUSTEMENTS!$C$2:$C$501,C282,AJUSTEMENTS!$D$2:$D$501,D282,AJUSTEMENTS!$E$2:$E$501,E282))</f>
        <v/>
      </c>
      <c r="K282">
        <f>IF(A282="",0,IF(J282&lt;&gt;0,J282,I282))</f>
        <v/>
      </c>
    </row>
    <row r="283">
      <c r="A283">
        <f>IF(TRAITEMENTS!$Q283="","",TRAITEMENTS!Q283)</f>
        <v/>
      </c>
      <c r="B283">
        <f>IF(TRAITEMENTS!$Q283="","",TRAITEMENTS!E283)</f>
        <v/>
      </c>
      <c r="C283">
        <f>IF(TRAITEMENTS!$Q283="","",TRAITEMENTS!F283)</f>
        <v/>
      </c>
      <c r="D283">
        <f>IF(TRAITEMENTS!$Q283="","",TRAITEMENTS!G283)</f>
        <v/>
      </c>
      <c r="E283">
        <f>IF(TRAITEMENTS!$Q283="","",TRAITEMENTS!H283)</f>
        <v/>
      </c>
      <c r="F283">
        <f>IF(TRAITEMENTS!$Q283="","",TRAITEMENTS!O283)</f>
        <v/>
      </c>
      <c r="G283">
        <f>IF(A283="",0,SUMIFS(TRAITEMENTS!$O$2:$O$501,TRAITEMENTS!$Q$2:$Q$501,A283,TRAITEMENTS!$E$2:$E$501,B283))</f>
        <v/>
      </c>
      <c r="H283">
        <f>IF(A283="",0,SUMIFS(CONNEXIONS!$C$2:$C$501,CONNEXIONS!$D$2:$D$501,A283,CONNEXIONS!$B$2:$B$501,B283))</f>
        <v/>
      </c>
      <c r="I283">
        <f>IF(G283=0,0,F283/G283*H283)</f>
        <v/>
      </c>
      <c r="J283">
        <f>IF(A283="",0,SUMIFS(AJUSTEMENTS!$F$2:$F$501,AJUSTEMENTS!$A$2:$A$501,A283,AJUSTEMENTS!$B$2:$B$501,B283,AJUSTEMENTS!$C$2:$C$501,C283,AJUSTEMENTS!$D$2:$D$501,D283,AJUSTEMENTS!$E$2:$E$501,E283))</f>
        <v/>
      </c>
      <c r="K283">
        <f>IF(A283="",0,IF(J283&lt;&gt;0,J283,I283))</f>
        <v/>
      </c>
    </row>
    <row r="284">
      <c r="A284">
        <f>IF(TRAITEMENTS!$Q284="","",TRAITEMENTS!Q284)</f>
        <v/>
      </c>
      <c r="B284">
        <f>IF(TRAITEMENTS!$Q284="","",TRAITEMENTS!E284)</f>
        <v/>
      </c>
      <c r="C284">
        <f>IF(TRAITEMENTS!$Q284="","",TRAITEMENTS!F284)</f>
        <v/>
      </c>
      <c r="D284">
        <f>IF(TRAITEMENTS!$Q284="","",TRAITEMENTS!G284)</f>
        <v/>
      </c>
      <c r="E284">
        <f>IF(TRAITEMENTS!$Q284="","",TRAITEMENTS!H284)</f>
        <v/>
      </c>
      <c r="F284">
        <f>IF(TRAITEMENTS!$Q284="","",TRAITEMENTS!O284)</f>
        <v/>
      </c>
      <c r="G284">
        <f>IF(A284="",0,SUMIFS(TRAITEMENTS!$O$2:$O$501,TRAITEMENTS!$Q$2:$Q$501,A284,TRAITEMENTS!$E$2:$E$501,B284))</f>
        <v/>
      </c>
      <c r="H284">
        <f>IF(A284="",0,SUMIFS(CONNEXIONS!$C$2:$C$501,CONNEXIONS!$D$2:$D$501,A284,CONNEXIONS!$B$2:$B$501,B284))</f>
        <v/>
      </c>
      <c r="I284">
        <f>IF(G284=0,0,F284/G284*H284)</f>
        <v/>
      </c>
      <c r="J284">
        <f>IF(A284="",0,SUMIFS(AJUSTEMENTS!$F$2:$F$501,AJUSTEMENTS!$A$2:$A$501,A284,AJUSTEMENTS!$B$2:$B$501,B284,AJUSTEMENTS!$C$2:$C$501,C284,AJUSTEMENTS!$D$2:$D$501,D284,AJUSTEMENTS!$E$2:$E$501,E284))</f>
        <v/>
      </c>
      <c r="K284">
        <f>IF(A284="",0,IF(J284&lt;&gt;0,J284,I284))</f>
        <v/>
      </c>
    </row>
    <row r="285">
      <c r="A285">
        <f>IF(TRAITEMENTS!$Q285="","",TRAITEMENTS!Q285)</f>
        <v/>
      </c>
      <c r="B285">
        <f>IF(TRAITEMENTS!$Q285="","",TRAITEMENTS!E285)</f>
        <v/>
      </c>
      <c r="C285">
        <f>IF(TRAITEMENTS!$Q285="","",TRAITEMENTS!F285)</f>
        <v/>
      </c>
      <c r="D285">
        <f>IF(TRAITEMENTS!$Q285="","",TRAITEMENTS!G285)</f>
        <v/>
      </c>
      <c r="E285">
        <f>IF(TRAITEMENTS!$Q285="","",TRAITEMENTS!H285)</f>
        <v/>
      </c>
      <c r="F285">
        <f>IF(TRAITEMENTS!$Q285="","",TRAITEMENTS!O285)</f>
        <v/>
      </c>
      <c r="G285">
        <f>IF(A285="",0,SUMIFS(TRAITEMENTS!$O$2:$O$501,TRAITEMENTS!$Q$2:$Q$501,A285,TRAITEMENTS!$E$2:$E$501,B285))</f>
        <v/>
      </c>
      <c r="H285">
        <f>IF(A285="",0,SUMIFS(CONNEXIONS!$C$2:$C$501,CONNEXIONS!$D$2:$D$501,A285,CONNEXIONS!$B$2:$B$501,B285))</f>
        <v/>
      </c>
      <c r="I285">
        <f>IF(G285=0,0,F285/G285*H285)</f>
        <v/>
      </c>
      <c r="J285">
        <f>IF(A285="",0,SUMIFS(AJUSTEMENTS!$F$2:$F$501,AJUSTEMENTS!$A$2:$A$501,A285,AJUSTEMENTS!$B$2:$B$501,B285,AJUSTEMENTS!$C$2:$C$501,C285,AJUSTEMENTS!$D$2:$D$501,D285,AJUSTEMENTS!$E$2:$E$501,E285))</f>
        <v/>
      </c>
      <c r="K285">
        <f>IF(A285="",0,IF(J285&lt;&gt;0,J285,I285))</f>
        <v/>
      </c>
    </row>
    <row r="286">
      <c r="A286">
        <f>IF(TRAITEMENTS!$Q286="","",TRAITEMENTS!Q286)</f>
        <v/>
      </c>
      <c r="B286">
        <f>IF(TRAITEMENTS!$Q286="","",TRAITEMENTS!E286)</f>
        <v/>
      </c>
      <c r="C286">
        <f>IF(TRAITEMENTS!$Q286="","",TRAITEMENTS!F286)</f>
        <v/>
      </c>
      <c r="D286">
        <f>IF(TRAITEMENTS!$Q286="","",TRAITEMENTS!G286)</f>
        <v/>
      </c>
      <c r="E286">
        <f>IF(TRAITEMENTS!$Q286="","",TRAITEMENTS!H286)</f>
        <v/>
      </c>
      <c r="F286">
        <f>IF(TRAITEMENTS!$Q286="","",TRAITEMENTS!O286)</f>
        <v/>
      </c>
      <c r="G286">
        <f>IF(A286="",0,SUMIFS(TRAITEMENTS!$O$2:$O$501,TRAITEMENTS!$Q$2:$Q$501,A286,TRAITEMENTS!$E$2:$E$501,B286))</f>
        <v/>
      </c>
      <c r="H286">
        <f>IF(A286="",0,SUMIFS(CONNEXIONS!$C$2:$C$501,CONNEXIONS!$D$2:$D$501,A286,CONNEXIONS!$B$2:$B$501,B286))</f>
        <v/>
      </c>
      <c r="I286">
        <f>IF(G286=0,0,F286/G286*H286)</f>
        <v/>
      </c>
      <c r="J286">
        <f>IF(A286="",0,SUMIFS(AJUSTEMENTS!$F$2:$F$501,AJUSTEMENTS!$A$2:$A$501,A286,AJUSTEMENTS!$B$2:$B$501,B286,AJUSTEMENTS!$C$2:$C$501,C286,AJUSTEMENTS!$D$2:$D$501,D286,AJUSTEMENTS!$E$2:$E$501,E286))</f>
        <v/>
      </c>
      <c r="K286">
        <f>IF(A286="",0,IF(J286&lt;&gt;0,J286,I286))</f>
        <v/>
      </c>
    </row>
    <row r="287">
      <c r="A287">
        <f>IF(TRAITEMENTS!$Q287="","",TRAITEMENTS!Q287)</f>
        <v/>
      </c>
      <c r="B287">
        <f>IF(TRAITEMENTS!$Q287="","",TRAITEMENTS!E287)</f>
        <v/>
      </c>
      <c r="C287">
        <f>IF(TRAITEMENTS!$Q287="","",TRAITEMENTS!F287)</f>
        <v/>
      </c>
      <c r="D287">
        <f>IF(TRAITEMENTS!$Q287="","",TRAITEMENTS!G287)</f>
        <v/>
      </c>
      <c r="E287">
        <f>IF(TRAITEMENTS!$Q287="","",TRAITEMENTS!H287)</f>
        <v/>
      </c>
      <c r="F287">
        <f>IF(TRAITEMENTS!$Q287="","",TRAITEMENTS!O287)</f>
        <v/>
      </c>
      <c r="G287">
        <f>IF(A287="",0,SUMIFS(TRAITEMENTS!$O$2:$O$501,TRAITEMENTS!$Q$2:$Q$501,A287,TRAITEMENTS!$E$2:$E$501,B287))</f>
        <v/>
      </c>
      <c r="H287">
        <f>IF(A287="",0,SUMIFS(CONNEXIONS!$C$2:$C$501,CONNEXIONS!$D$2:$D$501,A287,CONNEXIONS!$B$2:$B$501,B287))</f>
        <v/>
      </c>
      <c r="I287">
        <f>IF(G287=0,0,F287/G287*H287)</f>
        <v/>
      </c>
      <c r="J287">
        <f>IF(A287="",0,SUMIFS(AJUSTEMENTS!$F$2:$F$501,AJUSTEMENTS!$A$2:$A$501,A287,AJUSTEMENTS!$B$2:$B$501,B287,AJUSTEMENTS!$C$2:$C$501,C287,AJUSTEMENTS!$D$2:$D$501,D287,AJUSTEMENTS!$E$2:$E$501,E287))</f>
        <v/>
      </c>
      <c r="K287">
        <f>IF(A287="",0,IF(J287&lt;&gt;0,J287,I287))</f>
        <v/>
      </c>
    </row>
    <row r="288">
      <c r="A288">
        <f>IF(TRAITEMENTS!$Q288="","",TRAITEMENTS!Q288)</f>
        <v/>
      </c>
      <c r="B288">
        <f>IF(TRAITEMENTS!$Q288="","",TRAITEMENTS!E288)</f>
        <v/>
      </c>
      <c r="C288">
        <f>IF(TRAITEMENTS!$Q288="","",TRAITEMENTS!F288)</f>
        <v/>
      </c>
      <c r="D288">
        <f>IF(TRAITEMENTS!$Q288="","",TRAITEMENTS!G288)</f>
        <v/>
      </c>
      <c r="E288">
        <f>IF(TRAITEMENTS!$Q288="","",TRAITEMENTS!H288)</f>
        <v/>
      </c>
      <c r="F288">
        <f>IF(TRAITEMENTS!$Q288="","",TRAITEMENTS!O288)</f>
        <v/>
      </c>
      <c r="G288">
        <f>IF(A288="",0,SUMIFS(TRAITEMENTS!$O$2:$O$501,TRAITEMENTS!$Q$2:$Q$501,A288,TRAITEMENTS!$E$2:$E$501,B288))</f>
        <v/>
      </c>
      <c r="H288">
        <f>IF(A288="",0,SUMIFS(CONNEXIONS!$C$2:$C$501,CONNEXIONS!$D$2:$D$501,A288,CONNEXIONS!$B$2:$B$501,B288))</f>
        <v/>
      </c>
      <c r="I288">
        <f>IF(G288=0,0,F288/G288*H288)</f>
        <v/>
      </c>
      <c r="J288">
        <f>IF(A288="",0,SUMIFS(AJUSTEMENTS!$F$2:$F$501,AJUSTEMENTS!$A$2:$A$501,A288,AJUSTEMENTS!$B$2:$B$501,B288,AJUSTEMENTS!$C$2:$C$501,C288,AJUSTEMENTS!$D$2:$D$501,D288,AJUSTEMENTS!$E$2:$E$501,E288))</f>
        <v/>
      </c>
      <c r="K288">
        <f>IF(A288="",0,IF(J288&lt;&gt;0,J288,I288))</f>
        <v/>
      </c>
    </row>
    <row r="289">
      <c r="A289">
        <f>IF(TRAITEMENTS!$Q289="","",TRAITEMENTS!Q289)</f>
        <v/>
      </c>
      <c r="B289">
        <f>IF(TRAITEMENTS!$Q289="","",TRAITEMENTS!E289)</f>
        <v/>
      </c>
      <c r="C289">
        <f>IF(TRAITEMENTS!$Q289="","",TRAITEMENTS!F289)</f>
        <v/>
      </c>
      <c r="D289">
        <f>IF(TRAITEMENTS!$Q289="","",TRAITEMENTS!G289)</f>
        <v/>
      </c>
      <c r="E289">
        <f>IF(TRAITEMENTS!$Q289="","",TRAITEMENTS!H289)</f>
        <v/>
      </c>
      <c r="F289">
        <f>IF(TRAITEMENTS!$Q289="","",TRAITEMENTS!O289)</f>
        <v/>
      </c>
      <c r="G289">
        <f>IF(A289="",0,SUMIFS(TRAITEMENTS!$O$2:$O$501,TRAITEMENTS!$Q$2:$Q$501,A289,TRAITEMENTS!$E$2:$E$501,B289))</f>
        <v/>
      </c>
      <c r="H289">
        <f>IF(A289="",0,SUMIFS(CONNEXIONS!$C$2:$C$501,CONNEXIONS!$D$2:$D$501,A289,CONNEXIONS!$B$2:$B$501,B289))</f>
        <v/>
      </c>
      <c r="I289">
        <f>IF(G289=0,0,F289/G289*H289)</f>
        <v/>
      </c>
      <c r="J289">
        <f>IF(A289="",0,SUMIFS(AJUSTEMENTS!$F$2:$F$501,AJUSTEMENTS!$A$2:$A$501,A289,AJUSTEMENTS!$B$2:$B$501,B289,AJUSTEMENTS!$C$2:$C$501,C289,AJUSTEMENTS!$D$2:$D$501,D289,AJUSTEMENTS!$E$2:$E$501,E289))</f>
        <v/>
      </c>
      <c r="K289">
        <f>IF(A289="",0,IF(J289&lt;&gt;0,J289,I289))</f>
        <v/>
      </c>
    </row>
    <row r="290">
      <c r="A290">
        <f>IF(TRAITEMENTS!$Q290="","",TRAITEMENTS!Q290)</f>
        <v/>
      </c>
      <c r="B290">
        <f>IF(TRAITEMENTS!$Q290="","",TRAITEMENTS!E290)</f>
        <v/>
      </c>
      <c r="C290">
        <f>IF(TRAITEMENTS!$Q290="","",TRAITEMENTS!F290)</f>
        <v/>
      </c>
      <c r="D290">
        <f>IF(TRAITEMENTS!$Q290="","",TRAITEMENTS!G290)</f>
        <v/>
      </c>
      <c r="E290">
        <f>IF(TRAITEMENTS!$Q290="","",TRAITEMENTS!H290)</f>
        <v/>
      </c>
      <c r="F290">
        <f>IF(TRAITEMENTS!$Q290="","",TRAITEMENTS!O290)</f>
        <v/>
      </c>
      <c r="G290">
        <f>IF(A290="",0,SUMIFS(TRAITEMENTS!$O$2:$O$501,TRAITEMENTS!$Q$2:$Q$501,A290,TRAITEMENTS!$E$2:$E$501,B290))</f>
        <v/>
      </c>
      <c r="H290">
        <f>IF(A290="",0,SUMIFS(CONNEXIONS!$C$2:$C$501,CONNEXIONS!$D$2:$D$501,A290,CONNEXIONS!$B$2:$B$501,B290))</f>
        <v/>
      </c>
      <c r="I290">
        <f>IF(G290=0,0,F290/G290*H290)</f>
        <v/>
      </c>
      <c r="J290">
        <f>IF(A290="",0,SUMIFS(AJUSTEMENTS!$F$2:$F$501,AJUSTEMENTS!$A$2:$A$501,A290,AJUSTEMENTS!$B$2:$B$501,B290,AJUSTEMENTS!$C$2:$C$501,C290,AJUSTEMENTS!$D$2:$D$501,D290,AJUSTEMENTS!$E$2:$E$501,E290))</f>
        <v/>
      </c>
      <c r="K290">
        <f>IF(A290="",0,IF(J290&lt;&gt;0,J290,I290))</f>
        <v/>
      </c>
    </row>
    <row r="291">
      <c r="A291">
        <f>IF(TRAITEMENTS!$Q291="","",TRAITEMENTS!Q291)</f>
        <v/>
      </c>
      <c r="B291">
        <f>IF(TRAITEMENTS!$Q291="","",TRAITEMENTS!E291)</f>
        <v/>
      </c>
      <c r="C291">
        <f>IF(TRAITEMENTS!$Q291="","",TRAITEMENTS!F291)</f>
        <v/>
      </c>
      <c r="D291">
        <f>IF(TRAITEMENTS!$Q291="","",TRAITEMENTS!G291)</f>
        <v/>
      </c>
      <c r="E291">
        <f>IF(TRAITEMENTS!$Q291="","",TRAITEMENTS!H291)</f>
        <v/>
      </c>
      <c r="F291">
        <f>IF(TRAITEMENTS!$Q291="","",TRAITEMENTS!O291)</f>
        <v/>
      </c>
      <c r="G291">
        <f>IF(A291="",0,SUMIFS(TRAITEMENTS!$O$2:$O$501,TRAITEMENTS!$Q$2:$Q$501,A291,TRAITEMENTS!$E$2:$E$501,B291))</f>
        <v/>
      </c>
      <c r="H291">
        <f>IF(A291="",0,SUMIFS(CONNEXIONS!$C$2:$C$501,CONNEXIONS!$D$2:$D$501,A291,CONNEXIONS!$B$2:$B$501,B291))</f>
        <v/>
      </c>
      <c r="I291">
        <f>IF(G291=0,0,F291/G291*H291)</f>
        <v/>
      </c>
      <c r="J291">
        <f>IF(A291="",0,SUMIFS(AJUSTEMENTS!$F$2:$F$501,AJUSTEMENTS!$A$2:$A$501,A291,AJUSTEMENTS!$B$2:$B$501,B291,AJUSTEMENTS!$C$2:$C$501,C291,AJUSTEMENTS!$D$2:$D$501,D291,AJUSTEMENTS!$E$2:$E$501,E291))</f>
        <v/>
      </c>
      <c r="K291">
        <f>IF(A291="",0,IF(J291&lt;&gt;0,J291,I291))</f>
        <v/>
      </c>
    </row>
    <row r="292">
      <c r="A292">
        <f>IF(TRAITEMENTS!$Q292="","",TRAITEMENTS!Q292)</f>
        <v/>
      </c>
      <c r="B292">
        <f>IF(TRAITEMENTS!$Q292="","",TRAITEMENTS!E292)</f>
        <v/>
      </c>
      <c r="C292">
        <f>IF(TRAITEMENTS!$Q292="","",TRAITEMENTS!F292)</f>
        <v/>
      </c>
      <c r="D292">
        <f>IF(TRAITEMENTS!$Q292="","",TRAITEMENTS!G292)</f>
        <v/>
      </c>
      <c r="E292">
        <f>IF(TRAITEMENTS!$Q292="","",TRAITEMENTS!H292)</f>
        <v/>
      </c>
      <c r="F292">
        <f>IF(TRAITEMENTS!$Q292="","",TRAITEMENTS!O292)</f>
        <v/>
      </c>
      <c r="G292">
        <f>IF(A292="",0,SUMIFS(TRAITEMENTS!$O$2:$O$501,TRAITEMENTS!$Q$2:$Q$501,A292,TRAITEMENTS!$E$2:$E$501,B292))</f>
        <v/>
      </c>
      <c r="H292">
        <f>IF(A292="",0,SUMIFS(CONNEXIONS!$C$2:$C$501,CONNEXIONS!$D$2:$D$501,A292,CONNEXIONS!$B$2:$B$501,B292))</f>
        <v/>
      </c>
      <c r="I292">
        <f>IF(G292=0,0,F292/G292*H292)</f>
        <v/>
      </c>
      <c r="J292">
        <f>IF(A292="",0,SUMIFS(AJUSTEMENTS!$F$2:$F$501,AJUSTEMENTS!$A$2:$A$501,A292,AJUSTEMENTS!$B$2:$B$501,B292,AJUSTEMENTS!$C$2:$C$501,C292,AJUSTEMENTS!$D$2:$D$501,D292,AJUSTEMENTS!$E$2:$E$501,E292))</f>
        <v/>
      </c>
      <c r="K292">
        <f>IF(A292="",0,IF(J292&lt;&gt;0,J292,I292))</f>
        <v/>
      </c>
    </row>
    <row r="293">
      <c r="A293">
        <f>IF(TRAITEMENTS!$Q293="","",TRAITEMENTS!Q293)</f>
        <v/>
      </c>
      <c r="B293">
        <f>IF(TRAITEMENTS!$Q293="","",TRAITEMENTS!E293)</f>
        <v/>
      </c>
      <c r="C293">
        <f>IF(TRAITEMENTS!$Q293="","",TRAITEMENTS!F293)</f>
        <v/>
      </c>
      <c r="D293">
        <f>IF(TRAITEMENTS!$Q293="","",TRAITEMENTS!G293)</f>
        <v/>
      </c>
      <c r="E293">
        <f>IF(TRAITEMENTS!$Q293="","",TRAITEMENTS!H293)</f>
        <v/>
      </c>
      <c r="F293">
        <f>IF(TRAITEMENTS!$Q293="","",TRAITEMENTS!O293)</f>
        <v/>
      </c>
      <c r="G293">
        <f>IF(A293="",0,SUMIFS(TRAITEMENTS!$O$2:$O$501,TRAITEMENTS!$Q$2:$Q$501,A293,TRAITEMENTS!$E$2:$E$501,B293))</f>
        <v/>
      </c>
      <c r="H293">
        <f>IF(A293="",0,SUMIFS(CONNEXIONS!$C$2:$C$501,CONNEXIONS!$D$2:$D$501,A293,CONNEXIONS!$B$2:$B$501,B293))</f>
        <v/>
      </c>
      <c r="I293">
        <f>IF(G293=0,0,F293/G293*H293)</f>
        <v/>
      </c>
      <c r="J293">
        <f>IF(A293="",0,SUMIFS(AJUSTEMENTS!$F$2:$F$501,AJUSTEMENTS!$A$2:$A$501,A293,AJUSTEMENTS!$B$2:$B$501,B293,AJUSTEMENTS!$C$2:$C$501,C293,AJUSTEMENTS!$D$2:$D$501,D293,AJUSTEMENTS!$E$2:$E$501,E293))</f>
        <v/>
      </c>
      <c r="K293">
        <f>IF(A293="",0,IF(J293&lt;&gt;0,J293,I293))</f>
        <v/>
      </c>
    </row>
    <row r="294">
      <c r="A294">
        <f>IF(TRAITEMENTS!$Q294="","",TRAITEMENTS!Q294)</f>
        <v/>
      </c>
      <c r="B294">
        <f>IF(TRAITEMENTS!$Q294="","",TRAITEMENTS!E294)</f>
        <v/>
      </c>
      <c r="C294">
        <f>IF(TRAITEMENTS!$Q294="","",TRAITEMENTS!F294)</f>
        <v/>
      </c>
      <c r="D294">
        <f>IF(TRAITEMENTS!$Q294="","",TRAITEMENTS!G294)</f>
        <v/>
      </c>
      <c r="E294">
        <f>IF(TRAITEMENTS!$Q294="","",TRAITEMENTS!H294)</f>
        <v/>
      </c>
      <c r="F294">
        <f>IF(TRAITEMENTS!$Q294="","",TRAITEMENTS!O294)</f>
        <v/>
      </c>
      <c r="G294">
        <f>IF(A294="",0,SUMIFS(TRAITEMENTS!$O$2:$O$501,TRAITEMENTS!$Q$2:$Q$501,A294,TRAITEMENTS!$E$2:$E$501,B294))</f>
        <v/>
      </c>
      <c r="H294">
        <f>IF(A294="",0,SUMIFS(CONNEXIONS!$C$2:$C$501,CONNEXIONS!$D$2:$D$501,A294,CONNEXIONS!$B$2:$B$501,B294))</f>
        <v/>
      </c>
      <c r="I294">
        <f>IF(G294=0,0,F294/G294*H294)</f>
        <v/>
      </c>
      <c r="J294">
        <f>IF(A294="",0,SUMIFS(AJUSTEMENTS!$F$2:$F$501,AJUSTEMENTS!$A$2:$A$501,A294,AJUSTEMENTS!$B$2:$B$501,B294,AJUSTEMENTS!$C$2:$C$501,C294,AJUSTEMENTS!$D$2:$D$501,D294,AJUSTEMENTS!$E$2:$E$501,E294))</f>
        <v/>
      </c>
      <c r="K294">
        <f>IF(A294="",0,IF(J294&lt;&gt;0,J294,I294))</f>
        <v/>
      </c>
    </row>
    <row r="295">
      <c r="A295">
        <f>IF(TRAITEMENTS!$Q295="","",TRAITEMENTS!Q295)</f>
        <v/>
      </c>
      <c r="B295">
        <f>IF(TRAITEMENTS!$Q295="","",TRAITEMENTS!E295)</f>
        <v/>
      </c>
      <c r="C295">
        <f>IF(TRAITEMENTS!$Q295="","",TRAITEMENTS!F295)</f>
        <v/>
      </c>
      <c r="D295">
        <f>IF(TRAITEMENTS!$Q295="","",TRAITEMENTS!G295)</f>
        <v/>
      </c>
      <c r="E295">
        <f>IF(TRAITEMENTS!$Q295="","",TRAITEMENTS!H295)</f>
        <v/>
      </c>
      <c r="F295">
        <f>IF(TRAITEMENTS!$Q295="","",TRAITEMENTS!O295)</f>
        <v/>
      </c>
      <c r="G295">
        <f>IF(A295="",0,SUMIFS(TRAITEMENTS!$O$2:$O$501,TRAITEMENTS!$Q$2:$Q$501,A295,TRAITEMENTS!$E$2:$E$501,B295))</f>
        <v/>
      </c>
      <c r="H295">
        <f>IF(A295="",0,SUMIFS(CONNEXIONS!$C$2:$C$501,CONNEXIONS!$D$2:$D$501,A295,CONNEXIONS!$B$2:$B$501,B295))</f>
        <v/>
      </c>
      <c r="I295">
        <f>IF(G295=0,0,F295/G295*H295)</f>
        <v/>
      </c>
      <c r="J295">
        <f>IF(A295="",0,SUMIFS(AJUSTEMENTS!$F$2:$F$501,AJUSTEMENTS!$A$2:$A$501,A295,AJUSTEMENTS!$B$2:$B$501,B295,AJUSTEMENTS!$C$2:$C$501,C295,AJUSTEMENTS!$D$2:$D$501,D295,AJUSTEMENTS!$E$2:$E$501,E295))</f>
        <v/>
      </c>
      <c r="K295">
        <f>IF(A295="",0,IF(J295&lt;&gt;0,J295,I295))</f>
        <v/>
      </c>
    </row>
    <row r="296">
      <c r="A296">
        <f>IF(TRAITEMENTS!$Q296="","",TRAITEMENTS!Q296)</f>
        <v/>
      </c>
      <c r="B296">
        <f>IF(TRAITEMENTS!$Q296="","",TRAITEMENTS!E296)</f>
        <v/>
      </c>
      <c r="C296">
        <f>IF(TRAITEMENTS!$Q296="","",TRAITEMENTS!F296)</f>
        <v/>
      </c>
      <c r="D296">
        <f>IF(TRAITEMENTS!$Q296="","",TRAITEMENTS!G296)</f>
        <v/>
      </c>
      <c r="E296">
        <f>IF(TRAITEMENTS!$Q296="","",TRAITEMENTS!H296)</f>
        <v/>
      </c>
      <c r="F296">
        <f>IF(TRAITEMENTS!$Q296="","",TRAITEMENTS!O296)</f>
        <v/>
      </c>
      <c r="G296">
        <f>IF(A296="",0,SUMIFS(TRAITEMENTS!$O$2:$O$501,TRAITEMENTS!$Q$2:$Q$501,A296,TRAITEMENTS!$E$2:$E$501,B296))</f>
        <v/>
      </c>
      <c r="H296">
        <f>IF(A296="",0,SUMIFS(CONNEXIONS!$C$2:$C$501,CONNEXIONS!$D$2:$D$501,A296,CONNEXIONS!$B$2:$B$501,B296))</f>
        <v/>
      </c>
      <c r="I296">
        <f>IF(G296=0,0,F296/G296*H296)</f>
        <v/>
      </c>
      <c r="J296">
        <f>IF(A296="",0,SUMIFS(AJUSTEMENTS!$F$2:$F$501,AJUSTEMENTS!$A$2:$A$501,A296,AJUSTEMENTS!$B$2:$B$501,B296,AJUSTEMENTS!$C$2:$C$501,C296,AJUSTEMENTS!$D$2:$D$501,D296,AJUSTEMENTS!$E$2:$E$501,E296))</f>
        <v/>
      </c>
      <c r="K296">
        <f>IF(A296="",0,IF(J296&lt;&gt;0,J296,I296))</f>
        <v/>
      </c>
    </row>
    <row r="297">
      <c r="A297">
        <f>IF(TRAITEMENTS!$Q297="","",TRAITEMENTS!Q297)</f>
        <v/>
      </c>
      <c r="B297">
        <f>IF(TRAITEMENTS!$Q297="","",TRAITEMENTS!E297)</f>
        <v/>
      </c>
      <c r="C297">
        <f>IF(TRAITEMENTS!$Q297="","",TRAITEMENTS!F297)</f>
        <v/>
      </c>
      <c r="D297">
        <f>IF(TRAITEMENTS!$Q297="","",TRAITEMENTS!G297)</f>
        <v/>
      </c>
      <c r="E297">
        <f>IF(TRAITEMENTS!$Q297="","",TRAITEMENTS!H297)</f>
        <v/>
      </c>
      <c r="F297">
        <f>IF(TRAITEMENTS!$Q297="","",TRAITEMENTS!O297)</f>
        <v/>
      </c>
      <c r="G297">
        <f>IF(A297="",0,SUMIFS(TRAITEMENTS!$O$2:$O$501,TRAITEMENTS!$Q$2:$Q$501,A297,TRAITEMENTS!$E$2:$E$501,B297))</f>
        <v/>
      </c>
      <c r="H297">
        <f>IF(A297="",0,SUMIFS(CONNEXIONS!$C$2:$C$501,CONNEXIONS!$D$2:$D$501,A297,CONNEXIONS!$B$2:$B$501,B297))</f>
        <v/>
      </c>
      <c r="I297">
        <f>IF(G297=0,0,F297/G297*H297)</f>
        <v/>
      </c>
      <c r="J297">
        <f>IF(A297="",0,SUMIFS(AJUSTEMENTS!$F$2:$F$501,AJUSTEMENTS!$A$2:$A$501,A297,AJUSTEMENTS!$B$2:$B$501,B297,AJUSTEMENTS!$C$2:$C$501,C297,AJUSTEMENTS!$D$2:$D$501,D297,AJUSTEMENTS!$E$2:$E$501,E297))</f>
        <v/>
      </c>
      <c r="K297">
        <f>IF(A297="",0,IF(J297&lt;&gt;0,J297,I297))</f>
        <v/>
      </c>
    </row>
    <row r="298">
      <c r="A298">
        <f>IF(TRAITEMENTS!$Q298="","",TRAITEMENTS!Q298)</f>
        <v/>
      </c>
      <c r="B298">
        <f>IF(TRAITEMENTS!$Q298="","",TRAITEMENTS!E298)</f>
        <v/>
      </c>
      <c r="C298">
        <f>IF(TRAITEMENTS!$Q298="","",TRAITEMENTS!F298)</f>
        <v/>
      </c>
      <c r="D298">
        <f>IF(TRAITEMENTS!$Q298="","",TRAITEMENTS!G298)</f>
        <v/>
      </c>
      <c r="E298">
        <f>IF(TRAITEMENTS!$Q298="","",TRAITEMENTS!H298)</f>
        <v/>
      </c>
      <c r="F298">
        <f>IF(TRAITEMENTS!$Q298="","",TRAITEMENTS!O298)</f>
        <v/>
      </c>
      <c r="G298">
        <f>IF(A298="",0,SUMIFS(TRAITEMENTS!$O$2:$O$501,TRAITEMENTS!$Q$2:$Q$501,A298,TRAITEMENTS!$E$2:$E$501,B298))</f>
        <v/>
      </c>
      <c r="H298">
        <f>IF(A298="",0,SUMIFS(CONNEXIONS!$C$2:$C$501,CONNEXIONS!$D$2:$D$501,A298,CONNEXIONS!$B$2:$B$501,B298))</f>
        <v/>
      </c>
      <c r="I298">
        <f>IF(G298=0,0,F298/G298*H298)</f>
        <v/>
      </c>
      <c r="J298">
        <f>IF(A298="",0,SUMIFS(AJUSTEMENTS!$F$2:$F$501,AJUSTEMENTS!$A$2:$A$501,A298,AJUSTEMENTS!$B$2:$B$501,B298,AJUSTEMENTS!$C$2:$C$501,C298,AJUSTEMENTS!$D$2:$D$501,D298,AJUSTEMENTS!$E$2:$E$501,E298))</f>
        <v/>
      </c>
      <c r="K298">
        <f>IF(A298="",0,IF(J298&lt;&gt;0,J298,I298))</f>
        <v/>
      </c>
    </row>
    <row r="299">
      <c r="A299">
        <f>IF(TRAITEMENTS!$Q299="","",TRAITEMENTS!Q299)</f>
        <v/>
      </c>
      <c r="B299">
        <f>IF(TRAITEMENTS!$Q299="","",TRAITEMENTS!E299)</f>
        <v/>
      </c>
      <c r="C299">
        <f>IF(TRAITEMENTS!$Q299="","",TRAITEMENTS!F299)</f>
        <v/>
      </c>
      <c r="D299">
        <f>IF(TRAITEMENTS!$Q299="","",TRAITEMENTS!G299)</f>
        <v/>
      </c>
      <c r="E299">
        <f>IF(TRAITEMENTS!$Q299="","",TRAITEMENTS!H299)</f>
        <v/>
      </c>
      <c r="F299">
        <f>IF(TRAITEMENTS!$Q299="","",TRAITEMENTS!O299)</f>
        <v/>
      </c>
      <c r="G299">
        <f>IF(A299="",0,SUMIFS(TRAITEMENTS!$O$2:$O$501,TRAITEMENTS!$Q$2:$Q$501,A299,TRAITEMENTS!$E$2:$E$501,B299))</f>
        <v/>
      </c>
      <c r="H299">
        <f>IF(A299="",0,SUMIFS(CONNEXIONS!$C$2:$C$501,CONNEXIONS!$D$2:$D$501,A299,CONNEXIONS!$B$2:$B$501,B299))</f>
        <v/>
      </c>
      <c r="I299">
        <f>IF(G299=0,0,F299/G299*H299)</f>
        <v/>
      </c>
      <c r="J299">
        <f>IF(A299="",0,SUMIFS(AJUSTEMENTS!$F$2:$F$501,AJUSTEMENTS!$A$2:$A$501,A299,AJUSTEMENTS!$B$2:$B$501,B299,AJUSTEMENTS!$C$2:$C$501,C299,AJUSTEMENTS!$D$2:$D$501,D299,AJUSTEMENTS!$E$2:$E$501,E299))</f>
        <v/>
      </c>
      <c r="K299">
        <f>IF(A299="",0,IF(J299&lt;&gt;0,J299,I299))</f>
        <v/>
      </c>
    </row>
    <row r="300">
      <c r="A300">
        <f>IF(TRAITEMENTS!$Q300="","",TRAITEMENTS!Q300)</f>
        <v/>
      </c>
      <c r="B300">
        <f>IF(TRAITEMENTS!$Q300="","",TRAITEMENTS!E300)</f>
        <v/>
      </c>
      <c r="C300">
        <f>IF(TRAITEMENTS!$Q300="","",TRAITEMENTS!F300)</f>
        <v/>
      </c>
      <c r="D300">
        <f>IF(TRAITEMENTS!$Q300="","",TRAITEMENTS!G300)</f>
        <v/>
      </c>
      <c r="E300">
        <f>IF(TRAITEMENTS!$Q300="","",TRAITEMENTS!H300)</f>
        <v/>
      </c>
      <c r="F300">
        <f>IF(TRAITEMENTS!$Q300="","",TRAITEMENTS!O300)</f>
        <v/>
      </c>
      <c r="G300">
        <f>IF(A300="",0,SUMIFS(TRAITEMENTS!$O$2:$O$501,TRAITEMENTS!$Q$2:$Q$501,A300,TRAITEMENTS!$E$2:$E$501,B300))</f>
        <v/>
      </c>
      <c r="H300">
        <f>IF(A300="",0,SUMIFS(CONNEXIONS!$C$2:$C$501,CONNEXIONS!$D$2:$D$501,A300,CONNEXIONS!$B$2:$B$501,B300))</f>
        <v/>
      </c>
      <c r="I300">
        <f>IF(G300=0,0,F300/G300*H300)</f>
        <v/>
      </c>
      <c r="J300">
        <f>IF(A300="",0,SUMIFS(AJUSTEMENTS!$F$2:$F$501,AJUSTEMENTS!$A$2:$A$501,A300,AJUSTEMENTS!$B$2:$B$501,B300,AJUSTEMENTS!$C$2:$C$501,C300,AJUSTEMENTS!$D$2:$D$501,D300,AJUSTEMENTS!$E$2:$E$501,E300))</f>
        <v/>
      </c>
      <c r="K300">
        <f>IF(A300="",0,IF(J300&lt;&gt;0,J300,I300))</f>
        <v/>
      </c>
    </row>
    <row r="301">
      <c r="A301">
        <f>IF(TRAITEMENTS!$Q301="","",TRAITEMENTS!Q301)</f>
        <v/>
      </c>
      <c r="B301">
        <f>IF(TRAITEMENTS!$Q301="","",TRAITEMENTS!E301)</f>
        <v/>
      </c>
      <c r="C301">
        <f>IF(TRAITEMENTS!$Q301="","",TRAITEMENTS!F301)</f>
        <v/>
      </c>
      <c r="D301">
        <f>IF(TRAITEMENTS!$Q301="","",TRAITEMENTS!G301)</f>
        <v/>
      </c>
      <c r="E301">
        <f>IF(TRAITEMENTS!$Q301="","",TRAITEMENTS!H301)</f>
        <v/>
      </c>
      <c r="F301">
        <f>IF(TRAITEMENTS!$Q301="","",TRAITEMENTS!O301)</f>
        <v/>
      </c>
      <c r="G301">
        <f>IF(A301="",0,SUMIFS(TRAITEMENTS!$O$2:$O$501,TRAITEMENTS!$Q$2:$Q$501,A301,TRAITEMENTS!$E$2:$E$501,B301))</f>
        <v/>
      </c>
      <c r="H301">
        <f>IF(A301="",0,SUMIFS(CONNEXIONS!$C$2:$C$501,CONNEXIONS!$D$2:$D$501,A301,CONNEXIONS!$B$2:$B$501,B301))</f>
        <v/>
      </c>
      <c r="I301">
        <f>IF(G301=0,0,F301/G301*H301)</f>
        <v/>
      </c>
      <c r="J301">
        <f>IF(A301="",0,SUMIFS(AJUSTEMENTS!$F$2:$F$501,AJUSTEMENTS!$A$2:$A$501,A301,AJUSTEMENTS!$B$2:$B$501,B301,AJUSTEMENTS!$C$2:$C$501,C301,AJUSTEMENTS!$D$2:$D$501,D301,AJUSTEMENTS!$E$2:$E$501,E301))</f>
        <v/>
      </c>
      <c r="K301">
        <f>IF(A301="",0,IF(J301&lt;&gt;0,J301,I301))</f>
        <v/>
      </c>
    </row>
    <row r="302">
      <c r="A302">
        <f>IF(TRAITEMENTS!$Q302="","",TRAITEMENTS!Q302)</f>
        <v/>
      </c>
      <c r="B302">
        <f>IF(TRAITEMENTS!$Q302="","",TRAITEMENTS!E302)</f>
        <v/>
      </c>
      <c r="C302">
        <f>IF(TRAITEMENTS!$Q302="","",TRAITEMENTS!F302)</f>
        <v/>
      </c>
      <c r="D302">
        <f>IF(TRAITEMENTS!$Q302="","",TRAITEMENTS!G302)</f>
        <v/>
      </c>
      <c r="E302">
        <f>IF(TRAITEMENTS!$Q302="","",TRAITEMENTS!H302)</f>
        <v/>
      </c>
      <c r="F302">
        <f>IF(TRAITEMENTS!$Q302="","",TRAITEMENTS!O302)</f>
        <v/>
      </c>
      <c r="G302">
        <f>IF(A302="",0,SUMIFS(TRAITEMENTS!$O$2:$O$501,TRAITEMENTS!$Q$2:$Q$501,A302,TRAITEMENTS!$E$2:$E$501,B302))</f>
        <v/>
      </c>
      <c r="H302">
        <f>IF(A302="",0,SUMIFS(CONNEXIONS!$C$2:$C$501,CONNEXIONS!$D$2:$D$501,A302,CONNEXIONS!$B$2:$B$501,B302))</f>
        <v/>
      </c>
      <c r="I302">
        <f>IF(G302=0,0,F302/G302*H302)</f>
        <v/>
      </c>
      <c r="J302">
        <f>IF(A302="",0,SUMIFS(AJUSTEMENTS!$F$2:$F$501,AJUSTEMENTS!$A$2:$A$501,A302,AJUSTEMENTS!$B$2:$B$501,B302,AJUSTEMENTS!$C$2:$C$501,C302,AJUSTEMENTS!$D$2:$D$501,D302,AJUSTEMENTS!$E$2:$E$501,E302))</f>
        <v/>
      </c>
      <c r="K302">
        <f>IF(A302="",0,IF(J302&lt;&gt;0,J302,I302))</f>
        <v/>
      </c>
    </row>
    <row r="303">
      <c r="A303">
        <f>IF(TRAITEMENTS!$Q303="","",TRAITEMENTS!Q303)</f>
        <v/>
      </c>
      <c r="B303">
        <f>IF(TRAITEMENTS!$Q303="","",TRAITEMENTS!E303)</f>
        <v/>
      </c>
      <c r="C303">
        <f>IF(TRAITEMENTS!$Q303="","",TRAITEMENTS!F303)</f>
        <v/>
      </c>
      <c r="D303">
        <f>IF(TRAITEMENTS!$Q303="","",TRAITEMENTS!G303)</f>
        <v/>
      </c>
      <c r="E303">
        <f>IF(TRAITEMENTS!$Q303="","",TRAITEMENTS!H303)</f>
        <v/>
      </c>
      <c r="F303">
        <f>IF(TRAITEMENTS!$Q303="","",TRAITEMENTS!O303)</f>
        <v/>
      </c>
      <c r="G303">
        <f>IF(A303="",0,SUMIFS(TRAITEMENTS!$O$2:$O$501,TRAITEMENTS!$Q$2:$Q$501,A303,TRAITEMENTS!$E$2:$E$501,B303))</f>
        <v/>
      </c>
      <c r="H303">
        <f>IF(A303="",0,SUMIFS(CONNEXIONS!$C$2:$C$501,CONNEXIONS!$D$2:$D$501,A303,CONNEXIONS!$B$2:$B$501,B303))</f>
        <v/>
      </c>
      <c r="I303">
        <f>IF(G303=0,0,F303/G303*H303)</f>
        <v/>
      </c>
      <c r="J303">
        <f>IF(A303="",0,SUMIFS(AJUSTEMENTS!$F$2:$F$501,AJUSTEMENTS!$A$2:$A$501,A303,AJUSTEMENTS!$B$2:$B$501,B303,AJUSTEMENTS!$C$2:$C$501,C303,AJUSTEMENTS!$D$2:$D$501,D303,AJUSTEMENTS!$E$2:$E$501,E303))</f>
        <v/>
      </c>
      <c r="K303">
        <f>IF(A303="",0,IF(J303&lt;&gt;0,J303,I303))</f>
        <v/>
      </c>
    </row>
    <row r="304">
      <c r="A304">
        <f>IF(TRAITEMENTS!$Q304="","",TRAITEMENTS!Q304)</f>
        <v/>
      </c>
      <c r="B304">
        <f>IF(TRAITEMENTS!$Q304="","",TRAITEMENTS!E304)</f>
        <v/>
      </c>
      <c r="C304">
        <f>IF(TRAITEMENTS!$Q304="","",TRAITEMENTS!F304)</f>
        <v/>
      </c>
      <c r="D304">
        <f>IF(TRAITEMENTS!$Q304="","",TRAITEMENTS!G304)</f>
        <v/>
      </c>
      <c r="E304">
        <f>IF(TRAITEMENTS!$Q304="","",TRAITEMENTS!H304)</f>
        <v/>
      </c>
      <c r="F304">
        <f>IF(TRAITEMENTS!$Q304="","",TRAITEMENTS!O304)</f>
        <v/>
      </c>
      <c r="G304">
        <f>IF(A304="",0,SUMIFS(TRAITEMENTS!$O$2:$O$501,TRAITEMENTS!$Q$2:$Q$501,A304,TRAITEMENTS!$E$2:$E$501,B304))</f>
        <v/>
      </c>
      <c r="H304">
        <f>IF(A304="",0,SUMIFS(CONNEXIONS!$C$2:$C$501,CONNEXIONS!$D$2:$D$501,A304,CONNEXIONS!$B$2:$B$501,B304))</f>
        <v/>
      </c>
      <c r="I304">
        <f>IF(G304=0,0,F304/G304*H304)</f>
        <v/>
      </c>
      <c r="J304">
        <f>IF(A304="",0,SUMIFS(AJUSTEMENTS!$F$2:$F$501,AJUSTEMENTS!$A$2:$A$501,A304,AJUSTEMENTS!$B$2:$B$501,B304,AJUSTEMENTS!$C$2:$C$501,C304,AJUSTEMENTS!$D$2:$D$501,D304,AJUSTEMENTS!$E$2:$E$501,E304))</f>
        <v/>
      </c>
      <c r="K304">
        <f>IF(A304="",0,IF(J304&lt;&gt;0,J304,I304))</f>
        <v/>
      </c>
    </row>
    <row r="305">
      <c r="A305">
        <f>IF(TRAITEMENTS!$Q305="","",TRAITEMENTS!Q305)</f>
        <v/>
      </c>
      <c r="B305">
        <f>IF(TRAITEMENTS!$Q305="","",TRAITEMENTS!E305)</f>
        <v/>
      </c>
      <c r="C305">
        <f>IF(TRAITEMENTS!$Q305="","",TRAITEMENTS!F305)</f>
        <v/>
      </c>
      <c r="D305">
        <f>IF(TRAITEMENTS!$Q305="","",TRAITEMENTS!G305)</f>
        <v/>
      </c>
      <c r="E305">
        <f>IF(TRAITEMENTS!$Q305="","",TRAITEMENTS!H305)</f>
        <v/>
      </c>
      <c r="F305">
        <f>IF(TRAITEMENTS!$Q305="","",TRAITEMENTS!O305)</f>
        <v/>
      </c>
      <c r="G305">
        <f>IF(A305="",0,SUMIFS(TRAITEMENTS!$O$2:$O$501,TRAITEMENTS!$Q$2:$Q$501,A305,TRAITEMENTS!$E$2:$E$501,B305))</f>
        <v/>
      </c>
      <c r="H305">
        <f>IF(A305="",0,SUMIFS(CONNEXIONS!$C$2:$C$501,CONNEXIONS!$D$2:$D$501,A305,CONNEXIONS!$B$2:$B$501,B305))</f>
        <v/>
      </c>
      <c r="I305">
        <f>IF(G305=0,0,F305/G305*H305)</f>
        <v/>
      </c>
      <c r="J305">
        <f>IF(A305="",0,SUMIFS(AJUSTEMENTS!$F$2:$F$501,AJUSTEMENTS!$A$2:$A$501,A305,AJUSTEMENTS!$B$2:$B$501,B305,AJUSTEMENTS!$C$2:$C$501,C305,AJUSTEMENTS!$D$2:$D$501,D305,AJUSTEMENTS!$E$2:$E$501,E305))</f>
        <v/>
      </c>
      <c r="K305">
        <f>IF(A305="",0,IF(J305&lt;&gt;0,J305,I305))</f>
        <v/>
      </c>
    </row>
    <row r="306">
      <c r="A306">
        <f>IF(TRAITEMENTS!$Q306="","",TRAITEMENTS!Q306)</f>
        <v/>
      </c>
      <c r="B306">
        <f>IF(TRAITEMENTS!$Q306="","",TRAITEMENTS!E306)</f>
        <v/>
      </c>
      <c r="C306">
        <f>IF(TRAITEMENTS!$Q306="","",TRAITEMENTS!F306)</f>
        <v/>
      </c>
      <c r="D306">
        <f>IF(TRAITEMENTS!$Q306="","",TRAITEMENTS!G306)</f>
        <v/>
      </c>
      <c r="E306">
        <f>IF(TRAITEMENTS!$Q306="","",TRAITEMENTS!H306)</f>
        <v/>
      </c>
      <c r="F306">
        <f>IF(TRAITEMENTS!$Q306="","",TRAITEMENTS!O306)</f>
        <v/>
      </c>
      <c r="G306">
        <f>IF(A306="",0,SUMIFS(TRAITEMENTS!$O$2:$O$501,TRAITEMENTS!$Q$2:$Q$501,A306,TRAITEMENTS!$E$2:$E$501,B306))</f>
        <v/>
      </c>
      <c r="H306">
        <f>IF(A306="",0,SUMIFS(CONNEXIONS!$C$2:$C$501,CONNEXIONS!$D$2:$D$501,A306,CONNEXIONS!$B$2:$B$501,B306))</f>
        <v/>
      </c>
      <c r="I306">
        <f>IF(G306=0,0,F306/G306*H306)</f>
        <v/>
      </c>
      <c r="J306">
        <f>IF(A306="",0,SUMIFS(AJUSTEMENTS!$F$2:$F$501,AJUSTEMENTS!$A$2:$A$501,A306,AJUSTEMENTS!$B$2:$B$501,B306,AJUSTEMENTS!$C$2:$C$501,C306,AJUSTEMENTS!$D$2:$D$501,D306,AJUSTEMENTS!$E$2:$E$501,E306))</f>
        <v/>
      </c>
      <c r="K306">
        <f>IF(A306="",0,IF(J306&lt;&gt;0,J306,I306))</f>
        <v/>
      </c>
    </row>
    <row r="307">
      <c r="A307">
        <f>IF(TRAITEMENTS!$Q307="","",TRAITEMENTS!Q307)</f>
        <v/>
      </c>
      <c r="B307">
        <f>IF(TRAITEMENTS!$Q307="","",TRAITEMENTS!E307)</f>
        <v/>
      </c>
      <c r="C307">
        <f>IF(TRAITEMENTS!$Q307="","",TRAITEMENTS!F307)</f>
        <v/>
      </c>
      <c r="D307">
        <f>IF(TRAITEMENTS!$Q307="","",TRAITEMENTS!G307)</f>
        <v/>
      </c>
      <c r="E307">
        <f>IF(TRAITEMENTS!$Q307="","",TRAITEMENTS!H307)</f>
        <v/>
      </c>
      <c r="F307">
        <f>IF(TRAITEMENTS!$Q307="","",TRAITEMENTS!O307)</f>
        <v/>
      </c>
      <c r="G307">
        <f>IF(A307="",0,SUMIFS(TRAITEMENTS!$O$2:$O$501,TRAITEMENTS!$Q$2:$Q$501,A307,TRAITEMENTS!$E$2:$E$501,B307))</f>
        <v/>
      </c>
      <c r="H307">
        <f>IF(A307="",0,SUMIFS(CONNEXIONS!$C$2:$C$501,CONNEXIONS!$D$2:$D$501,A307,CONNEXIONS!$B$2:$B$501,B307))</f>
        <v/>
      </c>
      <c r="I307">
        <f>IF(G307=0,0,F307/G307*H307)</f>
        <v/>
      </c>
      <c r="J307">
        <f>IF(A307="",0,SUMIFS(AJUSTEMENTS!$F$2:$F$501,AJUSTEMENTS!$A$2:$A$501,A307,AJUSTEMENTS!$B$2:$B$501,B307,AJUSTEMENTS!$C$2:$C$501,C307,AJUSTEMENTS!$D$2:$D$501,D307,AJUSTEMENTS!$E$2:$E$501,E307))</f>
        <v/>
      </c>
      <c r="K307">
        <f>IF(A307="",0,IF(J307&lt;&gt;0,J307,I307))</f>
        <v/>
      </c>
    </row>
    <row r="308">
      <c r="A308">
        <f>IF(TRAITEMENTS!$Q308="","",TRAITEMENTS!Q308)</f>
        <v/>
      </c>
      <c r="B308">
        <f>IF(TRAITEMENTS!$Q308="","",TRAITEMENTS!E308)</f>
        <v/>
      </c>
      <c r="C308">
        <f>IF(TRAITEMENTS!$Q308="","",TRAITEMENTS!F308)</f>
        <v/>
      </c>
      <c r="D308">
        <f>IF(TRAITEMENTS!$Q308="","",TRAITEMENTS!G308)</f>
        <v/>
      </c>
      <c r="E308">
        <f>IF(TRAITEMENTS!$Q308="","",TRAITEMENTS!H308)</f>
        <v/>
      </c>
      <c r="F308">
        <f>IF(TRAITEMENTS!$Q308="","",TRAITEMENTS!O308)</f>
        <v/>
      </c>
      <c r="G308">
        <f>IF(A308="",0,SUMIFS(TRAITEMENTS!$O$2:$O$501,TRAITEMENTS!$Q$2:$Q$501,A308,TRAITEMENTS!$E$2:$E$501,B308))</f>
        <v/>
      </c>
      <c r="H308">
        <f>IF(A308="",0,SUMIFS(CONNEXIONS!$C$2:$C$501,CONNEXIONS!$D$2:$D$501,A308,CONNEXIONS!$B$2:$B$501,B308))</f>
        <v/>
      </c>
      <c r="I308">
        <f>IF(G308=0,0,F308/G308*H308)</f>
        <v/>
      </c>
      <c r="J308">
        <f>IF(A308="",0,SUMIFS(AJUSTEMENTS!$F$2:$F$501,AJUSTEMENTS!$A$2:$A$501,A308,AJUSTEMENTS!$B$2:$B$501,B308,AJUSTEMENTS!$C$2:$C$501,C308,AJUSTEMENTS!$D$2:$D$501,D308,AJUSTEMENTS!$E$2:$E$501,E308))</f>
        <v/>
      </c>
      <c r="K308">
        <f>IF(A308="",0,IF(J308&lt;&gt;0,J308,I308))</f>
        <v/>
      </c>
    </row>
    <row r="309">
      <c r="A309">
        <f>IF(TRAITEMENTS!$Q309="","",TRAITEMENTS!Q309)</f>
        <v/>
      </c>
      <c r="B309">
        <f>IF(TRAITEMENTS!$Q309="","",TRAITEMENTS!E309)</f>
        <v/>
      </c>
      <c r="C309">
        <f>IF(TRAITEMENTS!$Q309="","",TRAITEMENTS!F309)</f>
        <v/>
      </c>
      <c r="D309">
        <f>IF(TRAITEMENTS!$Q309="","",TRAITEMENTS!G309)</f>
        <v/>
      </c>
      <c r="E309">
        <f>IF(TRAITEMENTS!$Q309="","",TRAITEMENTS!H309)</f>
        <v/>
      </c>
      <c r="F309">
        <f>IF(TRAITEMENTS!$Q309="","",TRAITEMENTS!O309)</f>
        <v/>
      </c>
      <c r="G309">
        <f>IF(A309="",0,SUMIFS(TRAITEMENTS!$O$2:$O$501,TRAITEMENTS!$Q$2:$Q$501,A309,TRAITEMENTS!$E$2:$E$501,B309))</f>
        <v/>
      </c>
      <c r="H309">
        <f>IF(A309="",0,SUMIFS(CONNEXIONS!$C$2:$C$501,CONNEXIONS!$D$2:$D$501,A309,CONNEXIONS!$B$2:$B$501,B309))</f>
        <v/>
      </c>
      <c r="I309">
        <f>IF(G309=0,0,F309/G309*H309)</f>
        <v/>
      </c>
      <c r="J309">
        <f>IF(A309="",0,SUMIFS(AJUSTEMENTS!$F$2:$F$501,AJUSTEMENTS!$A$2:$A$501,A309,AJUSTEMENTS!$B$2:$B$501,B309,AJUSTEMENTS!$C$2:$C$501,C309,AJUSTEMENTS!$D$2:$D$501,D309,AJUSTEMENTS!$E$2:$E$501,E309))</f>
        <v/>
      </c>
      <c r="K309">
        <f>IF(A309="",0,IF(J309&lt;&gt;0,J309,I309))</f>
        <v/>
      </c>
    </row>
    <row r="310">
      <c r="A310">
        <f>IF(TRAITEMENTS!$Q310="","",TRAITEMENTS!Q310)</f>
        <v/>
      </c>
      <c r="B310">
        <f>IF(TRAITEMENTS!$Q310="","",TRAITEMENTS!E310)</f>
        <v/>
      </c>
      <c r="C310">
        <f>IF(TRAITEMENTS!$Q310="","",TRAITEMENTS!F310)</f>
        <v/>
      </c>
      <c r="D310">
        <f>IF(TRAITEMENTS!$Q310="","",TRAITEMENTS!G310)</f>
        <v/>
      </c>
      <c r="E310">
        <f>IF(TRAITEMENTS!$Q310="","",TRAITEMENTS!H310)</f>
        <v/>
      </c>
      <c r="F310">
        <f>IF(TRAITEMENTS!$Q310="","",TRAITEMENTS!O310)</f>
        <v/>
      </c>
      <c r="G310">
        <f>IF(A310="",0,SUMIFS(TRAITEMENTS!$O$2:$O$501,TRAITEMENTS!$Q$2:$Q$501,A310,TRAITEMENTS!$E$2:$E$501,B310))</f>
        <v/>
      </c>
      <c r="H310">
        <f>IF(A310="",0,SUMIFS(CONNEXIONS!$C$2:$C$501,CONNEXIONS!$D$2:$D$501,A310,CONNEXIONS!$B$2:$B$501,B310))</f>
        <v/>
      </c>
      <c r="I310">
        <f>IF(G310=0,0,F310/G310*H310)</f>
        <v/>
      </c>
      <c r="J310">
        <f>IF(A310="",0,SUMIFS(AJUSTEMENTS!$F$2:$F$501,AJUSTEMENTS!$A$2:$A$501,A310,AJUSTEMENTS!$B$2:$B$501,B310,AJUSTEMENTS!$C$2:$C$501,C310,AJUSTEMENTS!$D$2:$D$501,D310,AJUSTEMENTS!$E$2:$E$501,E310))</f>
        <v/>
      </c>
      <c r="K310">
        <f>IF(A310="",0,IF(J310&lt;&gt;0,J310,I310))</f>
        <v/>
      </c>
    </row>
    <row r="311">
      <c r="A311">
        <f>IF(TRAITEMENTS!$Q311="","",TRAITEMENTS!Q311)</f>
        <v/>
      </c>
      <c r="B311">
        <f>IF(TRAITEMENTS!$Q311="","",TRAITEMENTS!E311)</f>
        <v/>
      </c>
      <c r="C311">
        <f>IF(TRAITEMENTS!$Q311="","",TRAITEMENTS!F311)</f>
        <v/>
      </c>
      <c r="D311">
        <f>IF(TRAITEMENTS!$Q311="","",TRAITEMENTS!G311)</f>
        <v/>
      </c>
      <c r="E311">
        <f>IF(TRAITEMENTS!$Q311="","",TRAITEMENTS!H311)</f>
        <v/>
      </c>
      <c r="F311">
        <f>IF(TRAITEMENTS!$Q311="","",TRAITEMENTS!O311)</f>
        <v/>
      </c>
      <c r="G311">
        <f>IF(A311="",0,SUMIFS(TRAITEMENTS!$O$2:$O$501,TRAITEMENTS!$Q$2:$Q$501,A311,TRAITEMENTS!$E$2:$E$501,B311))</f>
        <v/>
      </c>
      <c r="H311">
        <f>IF(A311="",0,SUMIFS(CONNEXIONS!$C$2:$C$501,CONNEXIONS!$D$2:$D$501,A311,CONNEXIONS!$B$2:$B$501,B311))</f>
        <v/>
      </c>
      <c r="I311">
        <f>IF(G311=0,0,F311/G311*H311)</f>
        <v/>
      </c>
      <c r="J311">
        <f>IF(A311="",0,SUMIFS(AJUSTEMENTS!$F$2:$F$501,AJUSTEMENTS!$A$2:$A$501,A311,AJUSTEMENTS!$B$2:$B$501,B311,AJUSTEMENTS!$C$2:$C$501,C311,AJUSTEMENTS!$D$2:$D$501,D311,AJUSTEMENTS!$E$2:$E$501,E311))</f>
        <v/>
      </c>
      <c r="K311">
        <f>IF(A311="",0,IF(J311&lt;&gt;0,J311,I311))</f>
        <v/>
      </c>
    </row>
    <row r="312">
      <c r="A312">
        <f>IF(TRAITEMENTS!$Q312="","",TRAITEMENTS!Q312)</f>
        <v/>
      </c>
      <c r="B312">
        <f>IF(TRAITEMENTS!$Q312="","",TRAITEMENTS!E312)</f>
        <v/>
      </c>
      <c r="C312">
        <f>IF(TRAITEMENTS!$Q312="","",TRAITEMENTS!F312)</f>
        <v/>
      </c>
      <c r="D312">
        <f>IF(TRAITEMENTS!$Q312="","",TRAITEMENTS!G312)</f>
        <v/>
      </c>
      <c r="E312">
        <f>IF(TRAITEMENTS!$Q312="","",TRAITEMENTS!H312)</f>
        <v/>
      </c>
      <c r="F312">
        <f>IF(TRAITEMENTS!$Q312="","",TRAITEMENTS!O312)</f>
        <v/>
      </c>
      <c r="G312">
        <f>IF(A312="",0,SUMIFS(TRAITEMENTS!$O$2:$O$501,TRAITEMENTS!$Q$2:$Q$501,A312,TRAITEMENTS!$E$2:$E$501,B312))</f>
        <v/>
      </c>
      <c r="H312">
        <f>IF(A312="",0,SUMIFS(CONNEXIONS!$C$2:$C$501,CONNEXIONS!$D$2:$D$501,A312,CONNEXIONS!$B$2:$B$501,B312))</f>
        <v/>
      </c>
      <c r="I312">
        <f>IF(G312=0,0,F312/G312*H312)</f>
        <v/>
      </c>
      <c r="J312">
        <f>IF(A312="",0,SUMIFS(AJUSTEMENTS!$F$2:$F$501,AJUSTEMENTS!$A$2:$A$501,A312,AJUSTEMENTS!$B$2:$B$501,B312,AJUSTEMENTS!$C$2:$C$501,C312,AJUSTEMENTS!$D$2:$D$501,D312,AJUSTEMENTS!$E$2:$E$501,E312))</f>
        <v/>
      </c>
      <c r="K312">
        <f>IF(A312="",0,IF(J312&lt;&gt;0,J312,I312))</f>
        <v/>
      </c>
    </row>
    <row r="313">
      <c r="A313">
        <f>IF(TRAITEMENTS!$Q313="","",TRAITEMENTS!Q313)</f>
        <v/>
      </c>
      <c r="B313">
        <f>IF(TRAITEMENTS!$Q313="","",TRAITEMENTS!E313)</f>
        <v/>
      </c>
      <c r="C313">
        <f>IF(TRAITEMENTS!$Q313="","",TRAITEMENTS!F313)</f>
        <v/>
      </c>
      <c r="D313">
        <f>IF(TRAITEMENTS!$Q313="","",TRAITEMENTS!G313)</f>
        <v/>
      </c>
      <c r="E313">
        <f>IF(TRAITEMENTS!$Q313="","",TRAITEMENTS!H313)</f>
        <v/>
      </c>
      <c r="F313">
        <f>IF(TRAITEMENTS!$Q313="","",TRAITEMENTS!O313)</f>
        <v/>
      </c>
      <c r="G313">
        <f>IF(A313="",0,SUMIFS(TRAITEMENTS!$O$2:$O$501,TRAITEMENTS!$Q$2:$Q$501,A313,TRAITEMENTS!$E$2:$E$501,B313))</f>
        <v/>
      </c>
      <c r="H313">
        <f>IF(A313="",0,SUMIFS(CONNEXIONS!$C$2:$C$501,CONNEXIONS!$D$2:$D$501,A313,CONNEXIONS!$B$2:$B$501,B313))</f>
        <v/>
      </c>
      <c r="I313">
        <f>IF(G313=0,0,F313/G313*H313)</f>
        <v/>
      </c>
      <c r="J313">
        <f>IF(A313="",0,SUMIFS(AJUSTEMENTS!$F$2:$F$501,AJUSTEMENTS!$A$2:$A$501,A313,AJUSTEMENTS!$B$2:$B$501,B313,AJUSTEMENTS!$C$2:$C$501,C313,AJUSTEMENTS!$D$2:$D$501,D313,AJUSTEMENTS!$E$2:$E$501,E313))</f>
        <v/>
      </c>
      <c r="K313">
        <f>IF(A313="",0,IF(J313&lt;&gt;0,J313,I313))</f>
        <v/>
      </c>
    </row>
    <row r="314">
      <c r="A314">
        <f>IF(TRAITEMENTS!$Q314="","",TRAITEMENTS!Q314)</f>
        <v/>
      </c>
      <c r="B314">
        <f>IF(TRAITEMENTS!$Q314="","",TRAITEMENTS!E314)</f>
        <v/>
      </c>
      <c r="C314">
        <f>IF(TRAITEMENTS!$Q314="","",TRAITEMENTS!F314)</f>
        <v/>
      </c>
      <c r="D314">
        <f>IF(TRAITEMENTS!$Q314="","",TRAITEMENTS!G314)</f>
        <v/>
      </c>
      <c r="E314">
        <f>IF(TRAITEMENTS!$Q314="","",TRAITEMENTS!H314)</f>
        <v/>
      </c>
      <c r="F314">
        <f>IF(TRAITEMENTS!$Q314="","",TRAITEMENTS!O314)</f>
        <v/>
      </c>
      <c r="G314">
        <f>IF(A314="",0,SUMIFS(TRAITEMENTS!$O$2:$O$501,TRAITEMENTS!$Q$2:$Q$501,A314,TRAITEMENTS!$E$2:$E$501,B314))</f>
        <v/>
      </c>
      <c r="H314">
        <f>IF(A314="",0,SUMIFS(CONNEXIONS!$C$2:$C$501,CONNEXIONS!$D$2:$D$501,A314,CONNEXIONS!$B$2:$B$501,B314))</f>
        <v/>
      </c>
      <c r="I314">
        <f>IF(G314=0,0,F314/G314*H314)</f>
        <v/>
      </c>
      <c r="J314">
        <f>IF(A314="",0,SUMIFS(AJUSTEMENTS!$F$2:$F$501,AJUSTEMENTS!$A$2:$A$501,A314,AJUSTEMENTS!$B$2:$B$501,B314,AJUSTEMENTS!$C$2:$C$501,C314,AJUSTEMENTS!$D$2:$D$501,D314,AJUSTEMENTS!$E$2:$E$501,E314))</f>
        <v/>
      </c>
      <c r="K314">
        <f>IF(A314="",0,IF(J314&lt;&gt;0,J314,I314))</f>
        <v/>
      </c>
    </row>
    <row r="315">
      <c r="A315">
        <f>IF(TRAITEMENTS!$Q315="","",TRAITEMENTS!Q315)</f>
        <v/>
      </c>
      <c r="B315">
        <f>IF(TRAITEMENTS!$Q315="","",TRAITEMENTS!E315)</f>
        <v/>
      </c>
      <c r="C315">
        <f>IF(TRAITEMENTS!$Q315="","",TRAITEMENTS!F315)</f>
        <v/>
      </c>
      <c r="D315">
        <f>IF(TRAITEMENTS!$Q315="","",TRAITEMENTS!G315)</f>
        <v/>
      </c>
      <c r="E315">
        <f>IF(TRAITEMENTS!$Q315="","",TRAITEMENTS!H315)</f>
        <v/>
      </c>
      <c r="F315">
        <f>IF(TRAITEMENTS!$Q315="","",TRAITEMENTS!O315)</f>
        <v/>
      </c>
      <c r="G315">
        <f>IF(A315="",0,SUMIFS(TRAITEMENTS!$O$2:$O$501,TRAITEMENTS!$Q$2:$Q$501,A315,TRAITEMENTS!$E$2:$E$501,B315))</f>
        <v/>
      </c>
      <c r="H315">
        <f>IF(A315="",0,SUMIFS(CONNEXIONS!$C$2:$C$501,CONNEXIONS!$D$2:$D$501,A315,CONNEXIONS!$B$2:$B$501,B315))</f>
        <v/>
      </c>
      <c r="I315">
        <f>IF(G315=0,0,F315/G315*H315)</f>
        <v/>
      </c>
      <c r="J315">
        <f>IF(A315="",0,SUMIFS(AJUSTEMENTS!$F$2:$F$501,AJUSTEMENTS!$A$2:$A$501,A315,AJUSTEMENTS!$B$2:$B$501,B315,AJUSTEMENTS!$C$2:$C$501,C315,AJUSTEMENTS!$D$2:$D$501,D315,AJUSTEMENTS!$E$2:$E$501,E315))</f>
        <v/>
      </c>
      <c r="K315">
        <f>IF(A315="",0,IF(J315&lt;&gt;0,J315,I315))</f>
        <v/>
      </c>
    </row>
    <row r="316">
      <c r="A316">
        <f>IF(TRAITEMENTS!$Q316="","",TRAITEMENTS!Q316)</f>
        <v/>
      </c>
      <c r="B316">
        <f>IF(TRAITEMENTS!$Q316="","",TRAITEMENTS!E316)</f>
        <v/>
      </c>
      <c r="C316">
        <f>IF(TRAITEMENTS!$Q316="","",TRAITEMENTS!F316)</f>
        <v/>
      </c>
      <c r="D316">
        <f>IF(TRAITEMENTS!$Q316="","",TRAITEMENTS!G316)</f>
        <v/>
      </c>
      <c r="E316">
        <f>IF(TRAITEMENTS!$Q316="","",TRAITEMENTS!H316)</f>
        <v/>
      </c>
      <c r="F316">
        <f>IF(TRAITEMENTS!$Q316="","",TRAITEMENTS!O316)</f>
        <v/>
      </c>
      <c r="G316">
        <f>IF(A316="",0,SUMIFS(TRAITEMENTS!$O$2:$O$501,TRAITEMENTS!$Q$2:$Q$501,A316,TRAITEMENTS!$E$2:$E$501,B316))</f>
        <v/>
      </c>
      <c r="H316">
        <f>IF(A316="",0,SUMIFS(CONNEXIONS!$C$2:$C$501,CONNEXIONS!$D$2:$D$501,A316,CONNEXIONS!$B$2:$B$501,B316))</f>
        <v/>
      </c>
      <c r="I316">
        <f>IF(G316=0,0,F316/G316*H316)</f>
        <v/>
      </c>
      <c r="J316">
        <f>IF(A316="",0,SUMIFS(AJUSTEMENTS!$F$2:$F$501,AJUSTEMENTS!$A$2:$A$501,A316,AJUSTEMENTS!$B$2:$B$501,B316,AJUSTEMENTS!$C$2:$C$501,C316,AJUSTEMENTS!$D$2:$D$501,D316,AJUSTEMENTS!$E$2:$E$501,E316))</f>
        <v/>
      </c>
      <c r="K316">
        <f>IF(A316="",0,IF(J316&lt;&gt;0,J316,I316))</f>
        <v/>
      </c>
    </row>
    <row r="317">
      <c r="A317">
        <f>IF(TRAITEMENTS!$Q317="","",TRAITEMENTS!Q317)</f>
        <v/>
      </c>
      <c r="B317">
        <f>IF(TRAITEMENTS!$Q317="","",TRAITEMENTS!E317)</f>
        <v/>
      </c>
      <c r="C317">
        <f>IF(TRAITEMENTS!$Q317="","",TRAITEMENTS!F317)</f>
        <v/>
      </c>
      <c r="D317">
        <f>IF(TRAITEMENTS!$Q317="","",TRAITEMENTS!G317)</f>
        <v/>
      </c>
      <c r="E317">
        <f>IF(TRAITEMENTS!$Q317="","",TRAITEMENTS!H317)</f>
        <v/>
      </c>
      <c r="F317">
        <f>IF(TRAITEMENTS!$Q317="","",TRAITEMENTS!O317)</f>
        <v/>
      </c>
      <c r="G317">
        <f>IF(A317="",0,SUMIFS(TRAITEMENTS!$O$2:$O$501,TRAITEMENTS!$Q$2:$Q$501,A317,TRAITEMENTS!$E$2:$E$501,B317))</f>
        <v/>
      </c>
      <c r="H317">
        <f>IF(A317="",0,SUMIFS(CONNEXIONS!$C$2:$C$501,CONNEXIONS!$D$2:$D$501,A317,CONNEXIONS!$B$2:$B$501,B317))</f>
        <v/>
      </c>
      <c r="I317">
        <f>IF(G317=0,0,F317/G317*H317)</f>
        <v/>
      </c>
      <c r="J317">
        <f>IF(A317="",0,SUMIFS(AJUSTEMENTS!$F$2:$F$501,AJUSTEMENTS!$A$2:$A$501,A317,AJUSTEMENTS!$B$2:$B$501,B317,AJUSTEMENTS!$C$2:$C$501,C317,AJUSTEMENTS!$D$2:$D$501,D317,AJUSTEMENTS!$E$2:$E$501,E317))</f>
        <v/>
      </c>
      <c r="K317">
        <f>IF(A317="",0,IF(J317&lt;&gt;0,J317,I317))</f>
        <v/>
      </c>
    </row>
    <row r="318">
      <c r="A318">
        <f>IF(TRAITEMENTS!$Q318="","",TRAITEMENTS!Q318)</f>
        <v/>
      </c>
      <c r="B318">
        <f>IF(TRAITEMENTS!$Q318="","",TRAITEMENTS!E318)</f>
        <v/>
      </c>
      <c r="C318">
        <f>IF(TRAITEMENTS!$Q318="","",TRAITEMENTS!F318)</f>
        <v/>
      </c>
      <c r="D318">
        <f>IF(TRAITEMENTS!$Q318="","",TRAITEMENTS!G318)</f>
        <v/>
      </c>
      <c r="E318">
        <f>IF(TRAITEMENTS!$Q318="","",TRAITEMENTS!H318)</f>
        <v/>
      </c>
      <c r="F318">
        <f>IF(TRAITEMENTS!$Q318="","",TRAITEMENTS!O318)</f>
        <v/>
      </c>
      <c r="G318">
        <f>IF(A318="",0,SUMIFS(TRAITEMENTS!$O$2:$O$501,TRAITEMENTS!$Q$2:$Q$501,A318,TRAITEMENTS!$E$2:$E$501,B318))</f>
        <v/>
      </c>
      <c r="H318">
        <f>IF(A318="",0,SUMIFS(CONNEXIONS!$C$2:$C$501,CONNEXIONS!$D$2:$D$501,A318,CONNEXIONS!$B$2:$B$501,B318))</f>
        <v/>
      </c>
      <c r="I318">
        <f>IF(G318=0,0,F318/G318*H318)</f>
        <v/>
      </c>
      <c r="J318">
        <f>IF(A318="",0,SUMIFS(AJUSTEMENTS!$F$2:$F$501,AJUSTEMENTS!$A$2:$A$501,A318,AJUSTEMENTS!$B$2:$B$501,B318,AJUSTEMENTS!$C$2:$C$501,C318,AJUSTEMENTS!$D$2:$D$501,D318,AJUSTEMENTS!$E$2:$E$501,E318))</f>
        <v/>
      </c>
      <c r="K318">
        <f>IF(A318="",0,IF(J318&lt;&gt;0,J318,I318))</f>
        <v/>
      </c>
    </row>
    <row r="319">
      <c r="A319">
        <f>IF(TRAITEMENTS!$Q319="","",TRAITEMENTS!Q319)</f>
        <v/>
      </c>
      <c r="B319">
        <f>IF(TRAITEMENTS!$Q319="","",TRAITEMENTS!E319)</f>
        <v/>
      </c>
      <c r="C319">
        <f>IF(TRAITEMENTS!$Q319="","",TRAITEMENTS!F319)</f>
        <v/>
      </c>
      <c r="D319">
        <f>IF(TRAITEMENTS!$Q319="","",TRAITEMENTS!G319)</f>
        <v/>
      </c>
      <c r="E319">
        <f>IF(TRAITEMENTS!$Q319="","",TRAITEMENTS!H319)</f>
        <v/>
      </c>
      <c r="F319">
        <f>IF(TRAITEMENTS!$Q319="","",TRAITEMENTS!O319)</f>
        <v/>
      </c>
      <c r="G319">
        <f>IF(A319="",0,SUMIFS(TRAITEMENTS!$O$2:$O$501,TRAITEMENTS!$Q$2:$Q$501,A319,TRAITEMENTS!$E$2:$E$501,B319))</f>
        <v/>
      </c>
      <c r="H319">
        <f>IF(A319="",0,SUMIFS(CONNEXIONS!$C$2:$C$501,CONNEXIONS!$D$2:$D$501,A319,CONNEXIONS!$B$2:$B$501,B319))</f>
        <v/>
      </c>
      <c r="I319">
        <f>IF(G319=0,0,F319/G319*H319)</f>
        <v/>
      </c>
      <c r="J319">
        <f>IF(A319="",0,SUMIFS(AJUSTEMENTS!$F$2:$F$501,AJUSTEMENTS!$A$2:$A$501,A319,AJUSTEMENTS!$B$2:$B$501,B319,AJUSTEMENTS!$C$2:$C$501,C319,AJUSTEMENTS!$D$2:$D$501,D319,AJUSTEMENTS!$E$2:$E$501,E319))</f>
        <v/>
      </c>
      <c r="K319">
        <f>IF(A319="",0,IF(J319&lt;&gt;0,J319,I319))</f>
        <v/>
      </c>
    </row>
    <row r="320">
      <c r="A320">
        <f>IF(TRAITEMENTS!$Q320="","",TRAITEMENTS!Q320)</f>
        <v/>
      </c>
      <c r="B320">
        <f>IF(TRAITEMENTS!$Q320="","",TRAITEMENTS!E320)</f>
        <v/>
      </c>
      <c r="C320">
        <f>IF(TRAITEMENTS!$Q320="","",TRAITEMENTS!F320)</f>
        <v/>
      </c>
      <c r="D320">
        <f>IF(TRAITEMENTS!$Q320="","",TRAITEMENTS!G320)</f>
        <v/>
      </c>
      <c r="E320">
        <f>IF(TRAITEMENTS!$Q320="","",TRAITEMENTS!H320)</f>
        <v/>
      </c>
      <c r="F320">
        <f>IF(TRAITEMENTS!$Q320="","",TRAITEMENTS!O320)</f>
        <v/>
      </c>
      <c r="G320">
        <f>IF(A320="",0,SUMIFS(TRAITEMENTS!$O$2:$O$501,TRAITEMENTS!$Q$2:$Q$501,A320,TRAITEMENTS!$E$2:$E$501,B320))</f>
        <v/>
      </c>
      <c r="H320">
        <f>IF(A320="",0,SUMIFS(CONNEXIONS!$C$2:$C$501,CONNEXIONS!$D$2:$D$501,A320,CONNEXIONS!$B$2:$B$501,B320))</f>
        <v/>
      </c>
      <c r="I320">
        <f>IF(G320=0,0,F320/G320*H320)</f>
        <v/>
      </c>
      <c r="J320">
        <f>IF(A320="",0,SUMIFS(AJUSTEMENTS!$F$2:$F$501,AJUSTEMENTS!$A$2:$A$501,A320,AJUSTEMENTS!$B$2:$B$501,B320,AJUSTEMENTS!$C$2:$C$501,C320,AJUSTEMENTS!$D$2:$D$501,D320,AJUSTEMENTS!$E$2:$E$501,E320))</f>
        <v/>
      </c>
      <c r="K320">
        <f>IF(A320="",0,IF(J320&lt;&gt;0,J320,I320))</f>
        <v/>
      </c>
    </row>
    <row r="321">
      <c r="A321">
        <f>IF(TRAITEMENTS!$Q321="","",TRAITEMENTS!Q321)</f>
        <v/>
      </c>
      <c r="B321">
        <f>IF(TRAITEMENTS!$Q321="","",TRAITEMENTS!E321)</f>
        <v/>
      </c>
      <c r="C321">
        <f>IF(TRAITEMENTS!$Q321="","",TRAITEMENTS!F321)</f>
        <v/>
      </c>
      <c r="D321">
        <f>IF(TRAITEMENTS!$Q321="","",TRAITEMENTS!G321)</f>
        <v/>
      </c>
      <c r="E321">
        <f>IF(TRAITEMENTS!$Q321="","",TRAITEMENTS!H321)</f>
        <v/>
      </c>
      <c r="F321">
        <f>IF(TRAITEMENTS!$Q321="","",TRAITEMENTS!O321)</f>
        <v/>
      </c>
      <c r="G321">
        <f>IF(A321="",0,SUMIFS(TRAITEMENTS!$O$2:$O$501,TRAITEMENTS!$Q$2:$Q$501,A321,TRAITEMENTS!$E$2:$E$501,B321))</f>
        <v/>
      </c>
      <c r="H321">
        <f>IF(A321="",0,SUMIFS(CONNEXIONS!$C$2:$C$501,CONNEXIONS!$D$2:$D$501,A321,CONNEXIONS!$B$2:$B$501,B321))</f>
        <v/>
      </c>
      <c r="I321">
        <f>IF(G321=0,0,F321/G321*H321)</f>
        <v/>
      </c>
      <c r="J321">
        <f>IF(A321="",0,SUMIFS(AJUSTEMENTS!$F$2:$F$501,AJUSTEMENTS!$A$2:$A$501,A321,AJUSTEMENTS!$B$2:$B$501,B321,AJUSTEMENTS!$C$2:$C$501,C321,AJUSTEMENTS!$D$2:$D$501,D321,AJUSTEMENTS!$E$2:$E$501,E321))</f>
        <v/>
      </c>
      <c r="K321">
        <f>IF(A321="",0,IF(J321&lt;&gt;0,J321,I321))</f>
        <v/>
      </c>
    </row>
    <row r="322">
      <c r="A322">
        <f>IF(TRAITEMENTS!$Q322="","",TRAITEMENTS!Q322)</f>
        <v/>
      </c>
      <c r="B322">
        <f>IF(TRAITEMENTS!$Q322="","",TRAITEMENTS!E322)</f>
        <v/>
      </c>
      <c r="C322">
        <f>IF(TRAITEMENTS!$Q322="","",TRAITEMENTS!F322)</f>
        <v/>
      </c>
      <c r="D322">
        <f>IF(TRAITEMENTS!$Q322="","",TRAITEMENTS!G322)</f>
        <v/>
      </c>
      <c r="E322">
        <f>IF(TRAITEMENTS!$Q322="","",TRAITEMENTS!H322)</f>
        <v/>
      </c>
      <c r="F322">
        <f>IF(TRAITEMENTS!$Q322="","",TRAITEMENTS!O322)</f>
        <v/>
      </c>
      <c r="G322">
        <f>IF(A322="",0,SUMIFS(TRAITEMENTS!$O$2:$O$501,TRAITEMENTS!$Q$2:$Q$501,A322,TRAITEMENTS!$E$2:$E$501,B322))</f>
        <v/>
      </c>
      <c r="H322">
        <f>IF(A322="",0,SUMIFS(CONNEXIONS!$C$2:$C$501,CONNEXIONS!$D$2:$D$501,A322,CONNEXIONS!$B$2:$B$501,B322))</f>
        <v/>
      </c>
      <c r="I322">
        <f>IF(G322=0,0,F322/G322*H322)</f>
        <v/>
      </c>
      <c r="J322">
        <f>IF(A322="",0,SUMIFS(AJUSTEMENTS!$F$2:$F$501,AJUSTEMENTS!$A$2:$A$501,A322,AJUSTEMENTS!$B$2:$B$501,B322,AJUSTEMENTS!$C$2:$C$501,C322,AJUSTEMENTS!$D$2:$D$501,D322,AJUSTEMENTS!$E$2:$E$501,E322))</f>
        <v/>
      </c>
      <c r="K322">
        <f>IF(A322="",0,IF(J322&lt;&gt;0,J322,I322))</f>
        <v/>
      </c>
    </row>
    <row r="323">
      <c r="A323">
        <f>IF(TRAITEMENTS!$Q323="","",TRAITEMENTS!Q323)</f>
        <v/>
      </c>
      <c r="B323">
        <f>IF(TRAITEMENTS!$Q323="","",TRAITEMENTS!E323)</f>
        <v/>
      </c>
      <c r="C323">
        <f>IF(TRAITEMENTS!$Q323="","",TRAITEMENTS!F323)</f>
        <v/>
      </c>
      <c r="D323">
        <f>IF(TRAITEMENTS!$Q323="","",TRAITEMENTS!G323)</f>
        <v/>
      </c>
      <c r="E323">
        <f>IF(TRAITEMENTS!$Q323="","",TRAITEMENTS!H323)</f>
        <v/>
      </c>
      <c r="F323">
        <f>IF(TRAITEMENTS!$Q323="","",TRAITEMENTS!O323)</f>
        <v/>
      </c>
      <c r="G323">
        <f>IF(A323="",0,SUMIFS(TRAITEMENTS!$O$2:$O$501,TRAITEMENTS!$Q$2:$Q$501,A323,TRAITEMENTS!$E$2:$E$501,B323))</f>
        <v/>
      </c>
      <c r="H323">
        <f>IF(A323="",0,SUMIFS(CONNEXIONS!$C$2:$C$501,CONNEXIONS!$D$2:$D$501,A323,CONNEXIONS!$B$2:$B$501,B323))</f>
        <v/>
      </c>
      <c r="I323">
        <f>IF(G323=0,0,F323/G323*H323)</f>
        <v/>
      </c>
      <c r="J323">
        <f>IF(A323="",0,SUMIFS(AJUSTEMENTS!$F$2:$F$501,AJUSTEMENTS!$A$2:$A$501,A323,AJUSTEMENTS!$B$2:$B$501,B323,AJUSTEMENTS!$C$2:$C$501,C323,AJUSTEMENTS!$D$2:$D$501,D323,AJUSTEMENTS!$E$2:$E$501,E323))</f>
        <v/>
      </c>
      <c r="K323">
        <f>IF(A323="",0,IF(J323&lt;&gt;0,J323,I323))</f>
        <v/>
      </c>
    </row>
    <row r="324">
      <c r="A324">
        <f>IF(TRAITEMENTS!$Q324="","",TRAITEMENTS!Q324)</f>
        <v/>
      </c>
      <c r="B324">
        <f>IF(TRAITEMENTS!$Q324="","",TRAITEMENTS!E324)</f>
        <v/>
      </c>
      <c r="C324">
        <f>IF(TRAITEMENTS!$Q324="","",TRAITEMENTS!F324)</f>
        <v/>
      </c>
      <c r="D324">
        <f>IF(TRAITEMENTS!$Q324="","",TRAITEMENTS!G324)</f>
        <v/>
      </c>
      <c r="E324">
        <f>IF(TRAITEMENTS!$Q324="","",TRAITEMENTS!H324)</f>
        <v/>
      </c>
      <c r="F324">
        <f>IF(TRAITEMENTS!$Q324="","",TRAITEMENTS!O324)</f>
        <v/>
      </c>
      <c r="G324">
        <f>IF(A324="",0,SUMIFS(TRAITEMENTS!$O$2:$O$501,TRAITEMENTS!$Q$2:$Q$501,A324,TRAITEMENTS!$E$2:$E$501,B324))</f>
        <v/>
      </c>
      <c r="H324">
        <f>IF(A324="",0,SUMIFS(CONNEXIONS!$C$2:$C$501,CONNEXIONS!$D$2:$D$501,A324,CONNEXIONS!$B$2:$B$501,B324))</f>
        <v/>
      </c>
      <c r="I324">
        <f>IF(G324=0,0,F324/G324*H324)</f>
        <v/>
      </c>
      <c r="J324">
        <f>IF(A324="",0,SUMIFS(AJUSTEMENTS!$F$2:$F$501,AJUSTEMENTS!$A$2:$A$501,A324,AJUSTEMENTS!$B$2:$B$501,B324,AJUSTEMENTS!$C$2:$C$501,C324,AJUSTEMENTS!$D$2:$D$501,D324,AJUSTEMENTS!$E$2:$E$501,E324))</f>
        <v/>
      </c>
      <c r="K324">
        <f>IF(A324="",0,IF(J324&lt;&gt;0,J324,I324))</f>
        <v/>
      </c>
    </row>
    <row r="325">
      <c r="A325">
        <f>IF(TRAITEMENTS!$Q325="","",TRAITEMENTS!Q325)</f>
        <v/>
      </c>
      <c r="B325">
        <f>IF(TRAITEMENTS!$Q325="","",TRAITEMENTS!E325)</f>
        <v/>
      </c>
      <c r="C325">
        <f>IF(TRAITEMENTS!$Q325="","",TRAITEMENTS!F325)</f>
        <v/>
      </c>
      <c r="D325">
        <f>IF(TRAITEMENTS!$Q325="","",TRAITEMENTS!G325)</f>
        <v/>
      </c>
      <c r="E325">
        <f>IF(TRAITEMENTS!$Q325="","",TRAITEMENTS!H325)</f>
        <v/>
      </c>
      <c r="F325">
        <f>IF(TRAITEMENTS!$Q325="","",TRAITEMENTS!O325)</f>
        <v/>
      </c>
      <c r="G325">
        <f>IF(A325="",0,SUMIFS(TRAITEMENTS!$O$2:$O$501,TRAITEMENTS!$Q$2:$Q$501,A325,TRAITEMENTS!$E$2:$E$501,B325))</f>
        <v/>
      </c>
      <c r="H325">
        <f>IF(A325="",0,SUMIFS(CONNEXIONS!$C$2:$C$501,CONNEXIONS!$D$2:$D$501,A325,CONNEXIONS!$B$2:$B$501,B325))</f>
        <v/>
      </c>
      <c r="I325">
        <f>IF(G325=0,0,F325/G325*H325)</f>
        <v/>
      </c>
      <c r="J325">
        <f>IF(A325="",0,SUMIFS(AJUSTEMENTS!$F$2:$F$501,AJUSTEMENTS!$A$2:$A$501,A325,AJUSTEMENTS!$B$2:$B$501,B325,AJUSTEMENTS!$C$2:$C$501,C325,AJUSTEMENTS!$D$2:$D$501,D325,AJUSTEMENTS!$E$2:$E$501,E325))</f>
        <v/>
      </c>
      <c r="K325">
        <f>IF(A325="",0,IF(J325&lt;&gt;0,J325,I325))</f>
        <v/>
      </c>
    </row>
    <row r="326">
      <c r="A326">
        <f>IF(TRAITEMENTS!$Q326="","",TRAITEMENTS!Q326)</f>
        <v/>
      </c>
      <c r="B326">
        <f>IF(TRAITEMENTS!$Q326="","",TRAITEMENTS!E326)</f>
        <v/>
      </c>
      <c r="C326">
        <f>IF(TRAITEMENTS!$Q326="","",TRAITEMENTS!F326)</f>
        <v/>
      </c>
      <c r="D326">
        <f>IF(TRAITEMENTS!$Q326="","",TRAITEMENTS!G326)</f>
        <v/>
      </c>
      <c r="E326">
        <f>IF(TRAITEMENTS!$Q326="","",TRAITEMENTS!H326)</f>
        <v/>
      </c>
      <c r="F326">
        <f>IF(TRAITEMENTS!$Q326="","",TRAITEMENTS!O326)</f>
        <v/>
      </c>
      <c r="G326">
        <f>IF(A326="",0,SUMIFS(TRAITEMENTS!$O$2:$O$501,TRAITEMENTS!$Q$2:$Q$501,A326,TRAITEMENTS!$E$2:$E$501,B326))</f>
        <v/>
      </c>
      <c r="H326">
        <f>IF(A326="",0,SUMIFS(CONNEXIONS!$C$2:$C$501,CONNEXIONS!$D$2:$D$501,A326,CONNEXIONS!$B$2:$B$501,B326))</f>
        <v/>
      </c>
      <c r="I326">
        <f>IF(G326=0,0,F326/G326*H326)</f>
        <v/>
      </c>
      <c r="J326">
        <f>IF(A326="",0,SUMIFS(AJUSTEMENTS!$F$2:$F$501,AJUSTEMENTS!$A$2:$A$501,A326,AJUSTEMENTS!$B$2:$B$501,B326,AJUSTEMENTS!$C$2:$C$501,C326,AJUSTEMENTS!$D$2:$D$501,D326,AJUSTEMENTS!$E$2:$E$501,E326))</f>
        <v/>
      </c>
      <c r="K326">
        <f>IF(A326="",0,IF(J326&lt;&gt;0,J326,I326))</f>
        <v/>
      </c>
    </row>
    <row r="327">
      <c r="A327">
        <f>IF(TRAITEMENTS!$Q327="","",TRAITEMENTS!Q327)</f>
        <v/>
      </c>
      <c r="B327">
        <f>IF(TRAITEMENTS!$Q327="","",TRAITEMENTS!E327)</f>
        <v/>
      </c>
      <c r="C327">
        <f>IF(TRAITEMENTS!$Q327="","",TRAITEMENTS!F327)</f>
        <v/>
      </c>
      <c r="D327">
        <f>IF(TRAITEMENTS!$Q327="","",TRAITEMENTS!G327)</f>
        <v/>
      </c>
      <c r="E327">
        <f>IF(TRAITEMENTS!$Q327="","",TRAITEMENTS!H327)</f>
        <v/>
      </c>
      <c r="F327">
        <f>IF(TRAITEMENTS!$Q327="","",TRAITEMENTS!O327)</f>
        <v/>
      </c>
      <c r="G327">
        <f>IF(A327="",0,SUMIFS(TRAITEMENTS!$O$2:$O$501,TRAITEMENTS!$Q$2:$Q$501,A327,TRAITEMENTS!$E$2:$E$501,B327))</f>
        <v/>
      </c>
      <c r="H327">
        <f>IF(A327="",0,SUMIFS(CONNEXIONS!$C$2:$C$501,CONNEXIONS!$D$2:$D$501,A327,CONNEXIONS!$B$2:$B$501,B327))</f>
        <v/>
      </c>
      <c r="I327">
        <f>IF(G327=0,0,F327/G327*H327)</f>
        <v/>
      </c>
      <c r="J327">
        <f>IF(A327="",0,SUMIFS(AJUSTEMENTS!$F$2:$F$501,AJUSTEMENTS!$A$2:$A$501,A327,AJUSTEMENTS!$B$2:$B$501,B327,AJUSTEMENTS!$C$2:$C$501,C327,AJUSTEMENTS!$D$2:$D$501,D327,AJUSTEMENTS!$E$2:$E$501,E327))</f>
        <v/>
      </c>
      <c r="K327">
        <f>IF(A327="",0,IF(J327&lt;&gt;0,J327,I327))</f>
        <v/>
      </c>
    </row>
    <row r="328">
      <c r="A328">
        <f>IF(TRAITEMENTS!$Q328="","",TRAITEMENTS!Q328)</f>
        <v/>
      </c>
      <c r="B328">
        <f>IF(TRAITEMENTS!$Q328="","",TRAITEMENTS!E328)</f>
        <v/>
      </c>
      <c r="C328">
        <f>IF(TRAITEMENTS!$Q328="","",TRAITEMENTS!F328)</f>
        <v/>
      </c>
      <c r="D328">
        <f>IF(TRAITEMENTS!$Q328="","",TRAITEMENTS!G328)</f>
        <v/>
      </c>
      <c r="E328">
        <f>IF(TRAITEMENTS!$Q328="","",TRAITEMENTS!H328)</f>
        <v/>
      </c>
      <c r="F328">
        <f>IF(TRAITEMENTS!$Q328="","",TRAITEMENTS!O328)</f>
        <v/>
      </c>
      <c r="G328">
        <f>IF(A328="",0,SUMIFS(TRAITEMENTS!$O$2:$O$501,TRAITEMENTS!$Q$2:$Q$501,A328,TRAITEMENTS!$E$2:$E$501,B328))</f>
        <v/>
      </c>
      <c r="H328">
        <f>IF(A328="",0,SUMIFS(CONNEXIONS!$C$2:$C$501,CONNEXIONS!$D$2:$D$501,A328,CONNEXIONS!$B$2:$B$501,B328))</f>
        <v/>
      </c>
      <c r="I328">
        <f>IF(G328=0,0,F328/G328*H328)</f>
        <v/>
      </c>
      <c r="J328">
        <f>IF(A328="",0,SUMIFS(AJUSTEMENTS!$F$2:$F$501,AJUSTEMENTS!$A$2:$A$501,A328,AJUSTEMENTS!$B$2:$B$501,B328,AJUSTEMENTS!$C$2:$C$501,C328,AJUSTEMENTS!$D$2:$D$501,D328,AJUSTEMENTS!$E$2:$E$501,E328))</f>
        <v/>
      </c>
      <c r="K328">
        <f>IF(A328="",0,IF(J328&lt;&gt;0,J328,I328))</f>
        <v/>
      </c>
    </row>
    <row r="329">
      <c r="A329">
        <f>IF(TRAITEMENTS!$Q329="","",TRAITEMENTS!Q329)</f>
        <v/>
      </c>
      <c r="B329">
        <f>IF(TRAITEMENTS!$Q329="","",TRAITEMENTS!E329)</f>
        <v/>
      </c>
      <c r="C329">
        <f>IF(TRAITEMENTS!$Q329="","",TRAITEMENTS!F329)</f>
        <v/>
      </c>
      <c r="D329">
        <f>IF(TRAITEMENTS!$Q329="","",TRAITEMENTS!G329)</f>
        <v/>
      </c>
      <c r="E329">
        <f>IF(TRAITEMENTS!$Q329="","",TRAITEMENTS!H329)</f>
        <v/>
      </c>
      <c r="F329">
        <f>IF(TRAITEMENTS!$Q329="","",TRAITEMENTS!O329)</f>
        <v/>
      </c>
      <c r="G329">
        <f>IF(A329="",0,SUMIFS(TRAITEMENTS!$O$2:$O$501,TRAITEMENTS!$Q$2:$Q$501,A329,TRAITEMENTS!$E$2:$E$501,B329))</f>
        <v/>
      </c>
      <c r="H329">
        <f>IF(A329="",0,SUMIFS(CONNEXIONS!$C$2:$C$501,CONNEXIONS!$D$2:$D$501,A329,CONNEXIONS!$B$2:$B$501,B329))</f>
        <v/>
      </c>
      <c r="I329">
        <f>IF(G329=0,0,F329/G329*H329)</f>
        <v/>
      </c>
      <c r="J329">
        <f>IF(A329="",0,SUMIFS(AJUSTEMENTS!$F$2:$F$501,AJUSTEMENTS!$A$2:$A$501,A329,AJUSTEMENTS!$B$2:$B$501,B329,AJUSTEMENTS!$C$2:$C$501,C329,AJUSTEMENTS!$D$2:$D$501,D329,AJUSTEMENTS!$E$2:$E$501,E329))</f>
        <v/>
      </c>
      <c r="K329">
        <f>IF(A329="",0,IF(J329&lt;&gt;0,J329,I329))</f>
        <v/>
      </c>
    </row>
    <row r="330">
      <c r="A330">
        <f>IF(TRAITEMENTS!$Q330="","",TRAITEMENTS!Q330)</f>
        <v/>
      </c>
      <c r="B330">
        <f>IF(TRAITEMENTS!$Q330="","",TRAITEMENTS!E330)</f>
        <v/>
      </c>
      <c r="C330">
        <f>IF(TRAITEMENTS!$Q330="","",TRAITEMENTS!F330)</f>
        <v/>
      </c>
      <c r="D330">
        <f>IF(TRAITEMENTS!$Q330="","",TRAITEMENTS!G330)</f>
        <v/>
      </c>
      <c r="E330">
        <f>IF(TRAITEMENTS!$Q330="","",TRAITEMENTS!H330)</f>
        <v/>
      </c>
      <c r="F330">
        <f>IF(TRAITEMENTS!$Q330="","",TRAITEMENTS!O330)</f>
        <v/>
      </c>
      <c r="G330">
        <f>IF(A330="",0,SUMIFS(TRAITEMENTS!$O$2:$O$501,TRAITEMENTS!$Q$2:$Q$501,A330,TRAITEMENTS!$E$2:$E$501,B330))</f>
        <v/>
      </c>
      <c r="H330">
        <f>IF(A330="",0,SUMIFS(CONNEXIONS!$C$2:$C$501,CONNEXIONS!$D$2:$D$501,A330,CONNEXIONS!$B$2:$B$501,B330))</f>
        <v/>
      </c>
      <c r="I330">
        <f>IF(G330=0,0,F330/G330*H330)</f>
        <v/>
      </c>
      <c r="J330">
        <f>IF(A330="",0,SUMIFS(AJUSTEMENTS!$F$2:$F$501,AJUSTEMENTS!$A$2:$A$501,A330,AJUSTEMENTS!$B$2:$B$501,B330,AJUSTEMENTS!$C$2:$C$501,C330,AJUSTEMENTS!$D$2:$D$501,D330,AJUSTEMENTS!$E$2:$E$501,E330))</f>
        <v/>
      </c>
      <c r="K330">
        <f>IF(A330="",0,IF(J330&lt;&gt;0,J330,I330))</f>
        <v/>
      </c>
    </row>
    <row r="331">
      <c r="A331">
        <f>IF(TRAITEMENTS!$Q331="","",TRAITEMENTS!Q331)</f>
        <v/>
      </c>
      <c r="B331">
        <f>IF(TRAITEMENTS!$Q331="","",TRAITEMENTS!E331)</f>
        <v/>
      </c>
      <c r="C331">
        <f>IF(TRAITEMENTS!$Q331="","",TRAITEMENTS!F331)</f>
        <v/>
      </c>
      <c r="D331">
        <f>IF(TRAITEMENTS!$Q331="","",TRAITEMENTS!G331)</f>
        <v/>
      </c>
      <c r="E331">
        <f>IF(TRAITEMENTS!$Q331="","",TRAITEMENTS!H331)</f>
        <v/>
      </c>
      <c r="F331">
        <f>IF(TRAITEMENTS!$Q331="","",TRAITEMENTS!O331)</f>
        <v/>
      </c>
      <c r="G331">
        <f>IF(A331="",0,SUMIFS(TRAITEMENTS!$O$2:$O$501,TRAITEMENTS!$Q$2:$Q$501,A331,TRAITEMENTS!$E$2:$E$501,B331))</f>
        <v/>
      </c>
      <c r="H331">
        <f>IF(A331="",0,SUMIFS(CONNEXIONS!$C$2:$C$501,CONNEXIONS!$D$2:$D$501,A331,CONNEXIONS!$B$2:$B$501,B331))</f>
        <v/>
      </c>
      <c r="I331">
        <f>IF(G331=0,0,F331/G331*H331)</f>
        <v/>
      </c>
      <c r="J331">
        <f>IF(A331="",0,SUMIFS(AJUSTEMENTS!$F$2:$F$501,AJUSTEMENTS!$A$2:$A$501,A331,AJUSTEMENTS!$B$2:$B$501,B331,AJUSTEMENTS!$C$2:$C$501,C331,AJUSTEMENTS!$D$2:$D$501,D331,AJUSTEMENTS!$E$2:$E$501,E331))</f>
        <v/>
      </c>
      <c r="K331">
        <f>IF(A331="",0,IF(J331&lt;&gt;0,J331,I331))</f>
        <v/>
      </c>
    </row>
    <row r="332">
      <c r="A332">
        <f>IF(TRAITEMENTS!$Q332="","",TRAITEMENTS!Q332)</f>
        <v/>
      </c>
      <c r="B332">
        <f>IF(TRAITEMENTS!$Q332="","",TRAITEMENTS!E332)</f>
        <v/>
      </c>
      <c r="C332">
        <f>IF(TRAITEMENTS!$Q332="","",TRAITEMENTS!F332)</f>
        <v/>
      </c>
      <c r="D332">
        <f>IF(TRAITEMENTS!$Q332="","",TRAITEMENTS!G332)</f>
        <v/>
      </c>
      <c r="E332">
        <f>IF(TRAITEMENTS!$Q332="","",TRAITEMENTS!H332)</f>
        <v/>
      </c>
      <c r="F332">
        <f>IF(TRAITEMENTS!$Q332="","",TRAITEMENTS!O332)</f>
        <v/>
      </c>
      <c r="G332">
        <f>IF(A332="",0,SUMIFS(TRAITEMENTS!$O$2:$O$501,TRAITEMENTS!$Q$2:$Q$501,A332,TRAITEMENTS!$E$2:$E$501,B332))</f>
        <v/>
      </c>
      <c r="H332">
        <f>IF(A332="",0,SUMIFS(CONNEXIONS!$C$2:$C$501,CONNEXIONS!$D$2:$D$501,A332,CONNEXIONS!$B$2:$B$501,B332))</f>
        <v/>
      </c>
      <c r="I332">
        <f>IF(G332=0,0,F332/G332*H332)</f>
        <v/>
      </c>
      <c r="J332">
        <f>IF(A332="",0,SUMIFS(AJUSTEMENTS!$F$2:$F$501,AJUSTEMENTS!$A$2:$A$501,A332,AJUSTEMENTS!$B$2:$B$501,B332,AJUSTEMENTS!$C$2:$C$501,C332,AJUSTEMENTS!$D$2:$D$501,D332,AJUSTEMENTS!$E$2:$E$501,E332))</f>
        <v/>
      </c>
      <c r="K332">
        <f>IF(A332="",0,IF(J332&lt;&gt;0,J332,I332))</f>
        <v/>
      </c>
    </row>
    <row r="333">
      <c r="A333">
        <f>IF(TRAITEMENTS!$Q333="","",TRAITEMENTS!Q333)</f>
        <v/>
      </c>
      <c r="B333">
        <f>IF(TRAITEMENTS!$Q333="","",TRAITEMENTS!E333)</f>
        <v/>
      </c>
      <c r="C333">
        <f>IF(TRAITEMENTS!$Q333="","",TRAITEMENTS!F333)</f>
        <v/>
      </c>
      <c r="D333">
        <f>IF(TRAITEMENTS!$Q333="","",TRAITEMENTS!G333)</f>
        <v/>
      </c>
      <c r="E333">
        <f>IF(TRAITEMENTS!$Q333="","",TRAITEMENTS!H333)</f>
        <v/>
      </c>
      <c r="F333">
        <f>IF(TRAITEMENTS!$Q333="","",TRAITEMENTS!O333)</f>
        <v/>
      </c>
      <c r="G333">
        <f>IF(A333="",0,SUMIFS(TRAITEMENTS!$O$2:$O$501,TRAITEMENTS!$Q$2:$Q$501,A333,TRAITEMENTS!$E$2:$E$501,B333))</f>
        <v/>
      </c>
      <c r="H333">
        <f>IF(A333="",0,SUMIFS(CONNEXIONS!$C$2:$C$501,CONNEXIONS!$D$2:$D$501,A333,CONNEXIONS!$B$2:$B$501,B333))</f>
        <v/>
      </c>
      <c r="I333">
        <f>IF(G333=0,0,F333/G333*H333)</f>
        <v/>
      </c>
      <c r="J333">
        <f>IF(A333="",0,SUMIFS(AJUSTEMENTS!$F$2:$F$501,AJUSTEMENTS!$A$2:$A$501,A333,AJUSTEMENTS!$B$2:$B$501,B333,AJUSTEMENTS!$C$2:$C$501,C333,AJUSTEMENTS!$D$2:$D$501,D333,AJUSTEMENTS!$E$2:$E$501,E333))</f>
        <v/>
      </c>
      <c r="K333">
        <f>IF(A333="",0,IF(J333&lt;&gt;0,J333,I333))</f>
        <v/>
      </c>
    </row>
    <row r="334">
      <c r="A334">
        <f>IF(TRAITEMENTS!$Q334="","",TRAITEMENTS!Q334)</f>
        <v/>
      </c>
      <c r="B334">
        <f>IF(TRAITEMENTS!$Q334="","",TRAITEMENTS!E334)</f>
        <v/>
      </c>
      <c r="C334">
        <f>IF(TRAITEMENTS!$Q334="","",TRAITEMENTS!F334)</f>
        <v/>
      </c>
      <c r="D334">
        <f>IF(TRAITEMENTS!$Q334="","",TRAITEMENTS!G334)</f>
        <v/>
      </c>
      <c r="E334">
        <f>IF(TRAITEMENTS!$Q334="","",TRAITEMENTS!H334)</f>
        <v/>
      </c>
      <c r="F334">
        <f>IF(TRAITEMENTS!$Q334="","",TRAITEMENTS!O334)</f>
        <v/>
      </c>
      <c r="G334">
        <f>IF(A334="",0,SUMIFS(TRAITEMENTS!$O$2:$O$501,TRAITEMENTS!$Q$2:$Q$501,A334,TRAITEMENTS!$E$2:$E$501,B334))</f>
        <v/>
      </c>
      <c r="H334">
        <f>IF(A334="",0,SUMIFS(CONNEXIONS!$C$2:$C$501,CONNEXIONS!$D$2:$D$501,A334,CONNEXIONS!$B$2:$B$501,B334))</f>
        <v/>
      </c>
      <c r="I334">
        <f>IF(G334=0,0,F334/G334*H334)</f>
        <v/>
      </c>
      <c r="J334">
        <f>IF(A334="",0,SUMIFS(AJUSTEMENTS!$F$2:$F$501,AJUSTEMENTS!$A$2:$A$501,A334,AJUSTEMENTS!$B$2:$B$501,B334,AJUSTEMENTS!$C$2:$C$501,C334,AJUSTEMENTS!$D$2:$D$501,D334,AJUSTEMENTS!$E$2:$E$501,E334))</f>
        <v/>
      </c>
      <c r="K334">
        <f>IF(A334="",0,IF(J334&lt;&gt;0,J334,I334))</f>
        <v/>
      </c>
    </row>
    <row r="335">
      <c r="A335">
        <f>IF(TRAITEMENTS!$Q335="","",TRAITEMENTS!Q335)</f>
        <v/>
      </c>
      <c r="B335">
        <f>IF(TRAITEMENTS!$Q335="","",TRAITEMENTS!E335)</f>
        <v/>
      </c>
      <c r="C335">
        <f>IF(TRAITEMENTS!$Q335="","",TRAITEMENTS!F335)</f>
        <v/>
      </c>
      <c r="D335">
        <f>IF(TRAITEMENTS!$Q335="","",TRAITEMENTS!G335)</f>
        <v/>
      </c>
      <c r="E335">
        <f>IF(TRAITEMENTS!$Q335="","",TRAITEMENTS!H335)</f>
        <v/>
      </c>
      <c r="F335">
        <f>IF(TRAITEMENTS!$Q335="","",TRAITEMENTS!O335)</f>
        <v/>
      </c>
      <c r="G335">
        <f>IF(A335="",0,SUMIFS(TRAITEMENTS!$O$2:$O$501,TRAITEMENTS!$Q$2:$Q$501,A335,TRAITEMENTS!$E$2:$E$501,B335))</f>
        <v/>
      </c>
      <c r="H335">
        <f>IF(A335="",0,SUMIFS(CONNEXIONS!$C$2:$C$501,CONNEXIONS!$D$2:$D$501,A335,CONNEXIONS!$B$2:$B$501,B335))</f>
        <v/>
      </c>
      <c r="I335">
        <f>IF(G335=0,0,F335/G335*H335)</f>
        <v/>
      </c>
      <c r="J335">
        <f>IF(A335="",0,SUMIFS(AJUSTEMENTS!$F$2:$F$501,AJUSTEMENTS!$A$2:$A$501,A335,AJUSTEMENTS!$B$2:$B$501,B335,AJUSTEMENTS!$C$2:$C$501,C335,AJUSTEMENTS!$D$2:$D$501,D335,AJUSTEMENTS!$E$2:$E$501,E335))</f>
        <v/>
      </c>
      <c r="K335">
        <f>IF(A335="",0,IF(J335&lt;&gt;0,J335,I335))</f>
        <v/>
      </c>
    </row>
    <row r="336">
      <c r="A336">
        <f>IF(TRAITEMENTS!$Q336="","",TRAITEMENTS!Q336)</f>
        <v/>
      </c>
      <c r="B336">
        <f>IF(TRAITEMENTS!$Q336="","",TRAITEMENTS!E336)</f>
        <v/>
      </c>
      <c r="C336">
        <f>IF(TRAITEMENTS!$Q336="","",TRAITEMENTS!F336)</f>
        <v/>
      </c>
      <c r="D336">
        <f>IF(TRAITEMENTS!$Q336="","",TRAITEMENTS!G336)</f>
        <v/>
      </c>
      <c r="E336">
        <f>IF(TRAITEMENTS!$Q336="","",TRAITEMENTS!H336)</f>
        <v/>
      </c>
      <c r="F336">
        <f>IF(TRAITEMENTS!$Q336="","",TRAITEMENTS!O336)</f>
        <v/>
      </c>
      <c r="G336">
        <f>IF(A336="",0,SUMIFS(TRAITEMENTS!$O$2:$O$501,TRAITEMENTS!$Q$2:$Q$501,A336,TRAITEMENTS!$E$2:$E$501,B336))</f>
        <v/>
      </c>
      <c r="H336">
        <f>IF(A336="",0,SUMIFS(CONNEXIONS!$C$2:$C$501,CONNEXIONS!$D$2:$D$501,A336,CONNEXIONS!$B$2:$B$501,B336))</f>
        <v/>
      </c>
      <c r="I336">
        <f>IF(G336=0,0,F336/G336*H336)</f>
        <v/>
      </c>
      <c r="J336">
        <f>IF(A336="",0,SUMIFS(AJUSTEMENTS!$F$2:$F$501,AJUSTEMENTS!$A$2:$A$501,A336,AJUSTEMENTS!$B$2:$B$501,B336,AJUSTEMENTS!$C$2:$C$501,C336,AJUSTEMENTS!$D$2:$D$501,D336,AJUSTEMENTS!$E$2:$E$501,E336))</f>
        <v/>
      </c>
      <c r="K336">
        <f>IF(A336="",0,IF(J336&lt;&gt;0,J336,I336))</f>
        <v/>
      </c>
    </row>
    <row r="337">
      <c r="A337">
        <f>IF(TRAITEMENTS!$Q337="","",TRAITEMENTS!Q337)</f>
        <v/>
      </c>
      <c r="B337">
        <f>IF(TRAITEMENTS!$Q337="","",TRAITEMENTS!E337)</f>
        <v/>
      </c>
      <c r="C337">
        <f>IF(TRAITEMENTS!$Q337="","",TRAITEMENTS!F337)</f>
        <v/>
      </c>
      <c r="D337">
        <f>IF(TRAITEMENTS!$Q337="","",TRAITEMENTS!G337)</f>
        <v/>
      </c>
      <c r="E337">
        <f>IF(TRAITEMENTS!$Q337="","",TRAITEMENTS!H337)</f>
        <v/>
      </c>
      <c r="F337">
        <f>IF(TRAITEMENTS!$Q337="","",TRAITEMENTS!O337)</f>
        <v/>
      </c>
      <c r="G337">
        <f>IF(A337="",0,SUMIFS(TRAITEMENTS!$O$2:$O$501,TRAITEMENTS!$Q$2:$Q$501,A337,TRAITEMENTS!$E$2:$E$501,B337))</f>
        <v/>
      </c>
      <c r="H337">
        <f>IF(A337="",0,SUMIFS(CONNEXIONS!$C$2:$C$501,CONNEXIONS!$D$2:$D$501,A337,CONNEXIONS!$B$2:$B$501,B337))</f>
        <v/>
      </c>
      <c r="I337">
        <f>IF(G337=0,0,F337/G337*H337)</f>
        <v/>
      </c>
      <c r="J337">
        <f>IF(A337="",0,SUMIFS(AJUSTEMENTS!$F$2:$F$501,AJUSTEMENTS!$A$2:$A$501,A337,AJUSTEMENTS!$B$2:$B$501,B337,AJUSTEMENTS!$C$2:$C$501,C337,AJUSTEMENTS!$D$2:$D$501,D337,AJUSTEMENTS!$E$2:$E$501,E337))</f>
        <v/>
      </c>
      <c r="K337">
        <f>IF(A337="",0,IF(J337&lt;&gt;0,J337,I337))</f>
        <v/>
      </c>
    </row>
    <row r="338">
      <c r="A338">
        <f>IF(TRAITEMENTS!$Q338="","",TRAITEMENTS!Q338)</f>
        <v/>
      </c>
      <c r="B338">
        <f>IF(TRAITEMENTS!$Q338="","",TRAITEMENTS!E338)</f>
        <v/>
      </c>
      <c r="C338">
        <f>IF(TRAITEMENTS!$Q338="","",TRAITEMENTS!F338)</f>
        <v/>
      </c>
      <c r="D338">
        <f>IF(TRAITEMENTS!$Q338="","",TRAITEMENTS!G338)</f>
        <v/>
      </c>
      <c r="E338">
        <f>IF(TRAITEMENTS!$Q338="","",TRAITEMENTS!H338)</f>
        <v/>
      </c>
      <c r="F338">
        <f>IF(TRAITEMENTS!$Q338="","",TRAITEMENTS!O338)</f>
        <v/>
      </c>
      <c r="G338">
        <f>IF(A338="",0,SUMIFS(TRAITEMENTS!$O$2:$O$501,TRAITEMENTS!$Q$2:$Q$501,A338,TRAITEMENTS!$E$2:$E$501,B338))</f>
        <v/>
      </c>
      <c r="H338">
        <f>IF(A338="",0,SUMIFS(CONNEXIONS!$C$2:$C$501,CONNEXIONS!$D$2:$D$501,A338,CONNEXIONS!$B$2:$B$501,B338))</f>
        <v/>
      </c>
      <c r="I338">
        <f>IF(G338=0,0,F338/G338*H338)</f>
        <v/>
      </c>
      <c r="J338">
        <f>IF(A338="",0,SUMIFS(AJUSTEMENTS!$F$2:$F$501,AJUSTEMENTS!$A$2:$A$501,A338,AJUSTEMENTS!$B$2:$B$501,B338,AJUSTEMENTS!$C$2:$C$501,C338,AJUSTEMENTS!$D$2:$D$501,D338,AJUSTEMENTS!$E$2:$E$501,E338))</f>
        <v/>
      </c>
      <c r="K338">
        <f>IF(A338="",0,IF(J338&lt;&gt;0,J338,I338))</f>
        <v/>
      </c>
    </row>
    <row r="339">
      <c r="A339">
        <f>IF(TRAITEMENTS!$Q339="","",TRAITEMENTS!Q339)</f>
        <v/>
      </c>
      <c r="B339">
        <f>IF(TRAITEMENTS!$Q339="","",TRAITEMENTS!E339)</f>
        <v/>
      </c>
      <c r="C339">
        <f>IF(TRAITEMENTS!$Q339="","",TRAITEMENTS!F339)</f>
        <v/>
      </c>
      <c r="D339">
        <f>IF(TRAITEMENTS!$Q339="","",TRAITEMENTS!G339)</f>
        <v/>
      </c>
      <c r="E339">
        <f>IF(TRAITEMENTS!$Q339="","",TRAITEMENTS!H339)</f>
        <v/>
      </c>
      <c r="F339">
        <f>IF(TRAITEMENTS!$Q339="","",TRAITEMENTS!O339)</f>
        <v/>
      </c>
      <c r="G339">
        <f>IF(A339="",0,SUMIFS(TRAITEMENTS!$O$2:$O$501,TRAITEMENTS!$Q$2:$Q$501,A339,TRAITEMENTS!$E$2:$E$501,B339))</f>
        <v/>
      </c>
      <c r="H339">
        <f>IF(A339="",0,SUMIFS(CONNEXIONS!$C$2:$C$501,CONNEXIONS!$D$2:$D$501,A339,CONNEXIONS!$B$2:$B$501,B339))</f>
        <v/>
      </c>
      <c r="I339">
        <f>IF(G339=0,0,F339/G339*H339)</f>
        <v/>
      </c>
      <c r="J339">
        <f>IF(A339="",0,SUMIFS(AJUSTEMENTS!$F$2:$F$501,AJUSTEMENTS!$A$2:$A$501,A339,AJUSTEMENTS!$B$2:$B$501,B339,AJUSTEMENTS!$C$2:$C$501,C339,AJUSTEMENTS!$D$2:$D$501,D339,AJUSTEMENTS!$E$2:$E$501,E339))</f>
        <v/>
      </c>
      <c r="K339">
        <f>IF(A339="",0,IF(J339&lt;&gt;0,J339,I339))</f>
        <v/>
      </c>
    </row>
    <row r="340">
      <c r="A340">
        <f>IF(TRAITEMENTS!$Q340="","",TRAITEMENTS!Q340)</f>
        <v/>
      </c>
      <c r="B340">
        <f>IF(TRAITEMENTS!$Q340="","",TRAITEMENTS!E340)</f>
        <v/>
      </c>
      <c r="C340">
        <f>IF(TRAITEMENTS!$Q340="","",TRAITEMENTS!F340)</f>
        <v/>
      </c>
      <c r="D340">
        <f>IF(TRAITEMENTS!$Q340="","",TRAITEMENTS!G340)</f>
        <v/>
      </c>
      <c r="E340">
        <f>IF(TRAITEMENTS!$Q340="","",TRAITEMENTS!H340)</f>
        <v/>
      </c>
      <c r="F340">
        <f>IF(TRAITEMENTS!$Q340="","",TRAITEMENTS!O340)</f>
        <v/>
      </c>
      <c r="G340">
        <f>IF(A340="",0,SUMIFS(TRAITEMENTS!$O$2:$O$501,TRAITEMENTS!$Q$2:$Q$501,A340,TRAITEMENTS!$E$2:$E$501,B340))</f>
        <v/>
      </c>
      <c r="H340">
        <f>IF(A340="",0,SUMIFS(CONNEXIONS!$C$2:$C$501,CONNEXIONS!$D$2:$D$501,A340,CONNEXIONS!$B$2:$B$501,B340))</f>
        <v/>
      </c>
      <c r="I340">
        <f>IF(G340=0,0,F340/G340*H340)</f>
        <v/>
      </c>
      <c r="J340">
        <f>IF(A340="",0,SUMIFS(AJUSTEMENTS!$F$2:$F$501,AJUSTEMENTS!$A$2:$A$501,A340,AJUSTEMENTS!$B$2:$B$501,B340,AJUSTEMENTS!$C$2:$C$501,C340,AJUSTEMENTS!$D$2:$D$501,D340,AJUSTEMENTS!$E$2:$E$501,E340))</f>
        <v/>
      </c>
      <c r="K340">
        <f>IF(A340="",0,IF(J340&lt;&gt;0,J340,I340))</f>
        <v/>
      </c>
    </row>
    <row r="341">
      <c r="A341">
        <f>IF(TRAITEMENTS!$Q341="","",TRAITEMENTS!Q341)</f>
        <v/>
      </c>
      <c r="B341">
        <f>IF(TRAITEMENTS!$Q341="","",TRAITEMENTS!E341)</f>
        <v/>
      </c>
      <c r="C341">
        <f>IF(TRAITEMENTS!$Q341="","",TRAITEMENTS!F341)</f>
        <v/>
      </c>
      <c r="D341">
        <f>IF(TRAITEMENTS!$Q341="","",TRAITEMENTS!G341)</f>
        <v/>
      </c>
      <c r="E341">
        <f>IF(TRAITEMENTS!$Q341="","",TRAITEMENTS!H341)</f>
        <v/>
      </c>
      <c r="F341">
        <f>IF(TRAITEMENTS!$Q341="","",TRAITEMENTS!O341)</f>
        <v/>
      </c>
      <c r="G341">
        <f>IF(A341="",0,SUMIFS(TRAITEMENTS!$O$2:$O$501,TRAITEMENTS!$Q$2:$Q$501,A341,TRAITEMENTS!$E$2:$E$501,B341))</f>
        <v/>
      </c>
      <c r="H341">
        <f>IF(A341="",0,SUMIFS(CONNEXIONS!$C$2:$C$501,CONNEXIONS!$D$2:$D$501,A341,CONNEXIONS!$B$2:$B$501,B341))</f>
        <v/>
      </c>
      <c r="I341">
        <f>IF(G341=0,0,F341/G341*H341)</f>
        <v/>
      </c>
      <c r="J341">
        <f>IF(A341="",0,SUMIFS(AJUSTEMENTS!$F$2:$F$501,AJUSTEMENTS!$A$2:$A$501,A341,AJUSTEMENTS!$B$2:$B$501,B341,AJUSTEMENTS!$C$2:$C$501,C341,AJUSTEMENTS!$D$2:$D$501,D341,AJUSTEMENTS!$E$2:$E$501,E341))</f>
        <v/>
      </c>
      <c r="K341">
        <f>IF(A341="",0,IF(J341&lt;&gt;0,J341,I341))</f>
        <v/>
      </c>
    </row>
    <row r="342">
      <c r="A342">
        <f>IF(TRAITEMENTS!$Q342="","",TRAITEMENTS!Q342)</f>
        <v/>
      </c>
      <c r="B342">
        <f>IF(TRAITEMENTS!$Q342="","",TRAITEMENTS!E342)</f>
        <v/>
      </c>
      <c r="C342">
        <f>IF(TRAITEMENTS!$Q342="","",TRAITEMENTS!F342)</f>
        <v/>
      </c>
      <c r="D342">
        <f>IF(TRAITEMENTS!$Q342="","",TRAITEMENTS!G342)</f>
        <v/>
      </c>
      <c r="E342">
        <f>IF(TRAITEMENTS!$Q342="","",TRAITEMENTS!H342)</f>
        <v/>
      </c>
      <c r="F342">
        <f>IF(TRAITEMENTS!$Q342="","",TRAITEMENTS!O342)</f>
        <v/>
      </c>
      <c r="G342">
        <f>IF(A342="",0,SUMIFS(TRAITEMENTS!$O$2:$O$501,TRAITEMENTS!$Q$2:$Q$501,A342,TRAITEMENTS!$E$2:$E$501,B342))</f>
        <v/>
      </c>
      <c r="H342">
        <f>IF(A342="",0,SUMIFS(CONNEXIONS!$C$2:$C$501,CONNEXIONS!$D$2:$D$501,A342,CONNEXIONS!$B$2:$B$501,B342))</f>
        <v/>
      </c>
      <c r="I342">
        <f>IF(G342=0,0,F342/G342*H342)</f>
        <v/>
      </c>
      <c r="J342">
        <f>IF(A342="",0,SUMIFS(AJUSTEMENTS!$F$2:$F$501,AJUSTEMENTS!$A$2:$A$501,A342,AJUSTEMENTS!$B$2:$B$501,B342,AJUSTEMENTS!$C$2:$C$501,C342,AJUSTEMENTS!$D$2:$D$501,D342,AJUSTEMENTS!$E$2:$E$501,E342))</f>
        <v/>
      </c>
      <c r="K342">
        <f>IF(A342="",0,IF(J342&lt;&gt;0,J342,I342))</f>
        <v/>
      </c>
    </row>
    <row r="343">
      <c r="A343">
        <f>IF(TRAITEMENTS!$Q343="","",TRAITEMENTS!Q343)</f>
        <v/>
      </c>
      <c r="B343">
        <f>IF(TRAITEMENTS!$Q343="","",TRAITEMENTS!E343)</f>
        <v/>
      </c>
      <c r="C343">
        <f>IF(TRAITEMENTS!$Q343="","",TRAITEMENTS!F343)</f>
        <v/>
      </c>
      <c r="D343">
        <f>IF(TRAITEMENTS!$Q343="","",TRAITEMENTS!G343)</f>
        <v/>
      </c>
      <c r="E343">
        <f>IF(TRAITEMENTS!$Q343="","",TRAITEMENTS!H343)</f>
        <v/>
      </c>
      <c r="F343">
        <f>IF(TRAITEMENTS!$Q343="","",TRAITEMENTS!O343)</f>
        <v/>
      </c>
      <c r="G343">
        <f>IF(A343="",0,SUMIFS(TRAITEMENTS!$O$2:$O$501,TRAITEMENTS!$Q$2:$Q$501,A343,TRAITEMENTS!$E$2:$E$501,B343))</f>
        <v/>
      </c>
      <c r="H343">
        <f>IF(A343="",0,SUMIFS(CONNEXIONS!$C$2:$C$501,CONNEXIONS!$D$2:$D$501,A343,CONNEXIONS!$B$2:$B$501,B343))</f>
        <v/>
      </c>
      <c r="I343">
        <f>IF(G343=0,0,F343/G343*H343)</f>
        <v/>
      </c>
      <c r="J343">
        <f>IF(A343="",0,SUMIFS(AJUSTEMENTS!$F$2:$F$501,AJUSTEMENTS!$A$2:$A$501,A343,AJUSTEMENTS!$B$2:$B$501,B343,AJUSTEMENTS!$C$2:$C$501,C343,AJUSTEMENTS!$D$2:$D$501,D343,AJUSTEMENTS!$E$2:$E$501,E343))</f>
        <v/>
      </c>
      <c r="K343">
        <f>IF(A343="",0,IF(J343&lt;&gt;0,J343,I343))</f>
        <v/>
      </c>
    </row>
    <row r="344">
      <c r="A344">
        <f>IF(TRAITEMENTS!$Q344="","",TRAITEMENTS!Q344)</f>
        <v/>
      </c>
      <c r="B344">
        <f>IF(TRAITEMENTS!$Q344="","",TRAITEMENTS!E344)</f>
        <v/>
      </c>
      <c r="C344">
        <f>IF(TRAITEMENTS!$Q344="","",TRAITEMENTS!F344)</f>
        <v/>
      </c>
      <c r="D344">
        <f>IF(TRAITEMENTS!$Q344="","",TRAITEMENTS!G344)</f>
        <v/>
      </c>
      <c r="E344">
        <f>IF(TRAITEMENTS!$Q344="","",TRAITEMENTS!H344)</f>
        <v/>
      </c>
      <c r="F344">
        <f>IF(TRAITEMENTS!$Q344="","",TRAITEMENTS!O344)</f>
        <v/>
      </c>
      <c r="G344">
        <f>IF(A344="",0,SUMIFS(TRAITEMENTS!$O$2:$O$501,TRAITEMENTS!$Q$2:$Q$501,A344,TRAITEMENTS!$E$2:$E$501,B344))</f>
        <v/>
      </c>
      <c r="H344">
        <f>IF(A344="",0,SUMIFS(CONNEXIONS!$C$2:$C$501,CONNEXIONS!$D$2:$D$501,A344,CONNEXIONS!$B$2:$B$501,B344))</f>
        <v/>
      </c>
      <c r="I344">
        <f>IF(G344=0,0,F344/G344*H344)</f>
        <v/>
      </c>
      <c r="J344">
        <f>IF(A344="",0,SUMIFS(AJUSTEMENTS!$F$2:$F$501,AJUSTEMENTS!$A$2:$A$501,A344,AJUSTEMENTS!$B$2:$B$501,B344,AJUSTEMENTS!$C$2:$C$501,C344,AJUSTEMENTS!$D$2:$D$501,D344,AJUSTEMENTS!$E$2:$E$501,E344))</f>
        <v/>
      </c>
      <c r="K344">
        <f>IF(A344="",0,IF(J344&lt;&gt;0,J344,I344))</f>
        <v/>
      </c>
    </row>
    <row r="345">
      <c r="A345">
        <f>IF(TRAITEMENTS!$Q345="","",TRAITEMENTS!Q345)</f>
        <v/>
      </c>
      <c r="B345">
        <f>IF(TRAITEMENTS!$Q345="","",TRAITEMENTS!E345)</f>
        <v/>
      </c>
      <c r="C345">
        <f>IF(TRAITEMENTS!$Q345="","",TRAITEMENTS!F345)</f>
        <v/>
      </c>
      <c r="D345">
        <f>IF(TRAITEMENTS!$Q345="","",TRAITEMENTS!G345)</f>
        <v/>
      </c>
      <c r="E345">
        <f>IF(TRAITEMENTS!$Q345="","",TRAITEMENTS!H345)</f>
        <v/>
      </c>
      <c r="F345">
        <f>IF(TRAITEMENTS!$Q345="","",TRAITEMENTS!O345)</f>
        <v/>
      </c>
      <c r="G345">
        <f>IF(A345="",0,SUMIFS(TRAITEMENTS!$O$2:$O$501,TRAITEMENTS!$Q$2:$Q$501,A345,TRAITEMENTS!$E$2:$E$501,B345))</f>
        <v/>
      </c>
      <c r="H345">
        <f>IF(A345="",0,SUMIFS(CONNEXIONS!$C$2:$C$501,CONNEXIONS!$D$2:$D$501,A345,CONNEXIONS!$B$2:$B$501,B345))</f>
        <v/>
      </c>
      <c r="I345">
        <f>IF(G345=0,0,F345/G345*H345)</f>
        <v/>
      </c>
      <c r="J345">
        <f>IF(A345="",0,SUMIFS(AJUSTEMENTS!$F$2:$F$501,AJUSTEMENTS!$A$2:$A$501,A345,AJUSTEMENTS!$B$2:$B$501,B345,AJUSTEMENTS!$C$2:$C$501,C345,AJUSTEMENTS!$D$2:$D$501,D345,AJUSTEMENTS!$E$2:$E$501,E345))</f>
        <v/>
      </c>
      <c r="K345">
        <f>IF(A345="",0,IF(J345&lt;&gt;0,J345,I345))</f>
        <v/>
      </c>
    </row>
    <row r="346">
      <c r="A346">
        <f>IF(TRAITEMENTS!$Q346="","",TRAITEMENTS!Q346)</f>
        <v/>
      </c>
      <c r="B346">
        <f>IF(TRAITEMENTS!$Q346="","",TRAITEMENTS!E346)</f>
        <v/>
      </c>
      <c r="C346">
        <f>IF(TRAITEMENTS!$Q346="","",TRAITEMENTS!F346)</f>
        <v/>
      </c>
      <c r="D346">
        <f>IF(TRAITEMENTS!$Q346="","",TRAITEMENTS!G346)</f>
        <v/>
      </c>
      <c r="E346">
        <f>IF(TRAITEMENTS!$Q346="","",TRAITEMENTS!H346)</f>
        <v/>
      </c>
      <c r="F346">
        <f>IF(TRAITEMENTS!$Q346="","",TRAITEMENTS!O346)</f>
        <v/>
      </c>
      <c r="G346">
        <f>IF(A346="",0,SUMIFS(TRAITEMENTS!$O$2:$O$501,TRAITEMENTS!$Q$2:$Q$501,A346,TRAITEMENTS!$E$2:$E$501,B346))</f>
        <v/>
      </c>
      <c r="H346">
        <f>IF(A346="",0,SUMIFS(CONNEXIONS!$C$2:$C$501,CONNEXIONS!$D$2:$D$501,A346,CONNEXIONS!$B$2:$B$501,B346))</f>
        <v/>
      </c>
      <c r="I346">
        <f>IF(G346=0,0,F346/G346*H346)</f>
        <v/>
      </c>
      <c r="J346">
        <f>IF(A346="",0,SUMIFS(AJUSTEMENTS!$F$2:$F$501,AJUSTEMENTS!$A$2:$A$501,A346,AJUSTEMENTS!$B$2:$B$501,B346,AJUSTEMENTS!$C$2:$C$501,C346,AJUSTEMENTS!$D$2:$D$501,D346,AJUSTEMENTS!$E$2:$E$501,E346))</f>
        <v/>
      </c>
      <c r="K346">
        <f>IF(A346="",0,IF(J346&lt;&gt;0,J346,I346))</f>
        <v/>
      </c>
    </row>
    <row r="347">
      <c r="A347">
        <f>IF(TRAITEMENTS!$Q347="","",TRAITEMENTS!Q347)</f>
        <v/>
      </c>
      <c r="B347">
        <f>IF(TRAITEMENTS!$Q347="","",TRAITEMENTS!E347)</f>
        <v/>
      </c>
      <c r="C347">
        <f>IF(TRAITEMENTS!$Q347="","",TRAITEMENTS!F347)</f>
        <v/>
      </c>
      <c r="D347">
        <f>IF(TRAITEMENTS!$Q347="","",TRAITEMENTS!G347)</f>
        <v/>
      </c>
      <c r="E347">
        <f>IF(TRAITEMENTS!$Q347="","",TRAITEMENTS!H347)</f>
        <v/>
      </c>
      <c r="F347">
        <f>IF(TRAITEMENTS!$Q347="","",TRAITEMENTS!O347)</f>
        <v/>
      </c>
      <c r="G347">
        <f>IF(A347="",0,SUMIFS(TRAITEMENTS!$O$2:$O$501,TRAITEMENTS!$Q$2:$Q$501,A347,TRAITEMENTS!$E$2:$E$501,B347))</f>
        <v/>
      </c>
      <c r="H347">
        <f>IF(A347="",0,SUMIFS(CONNEXIONS!$C$2:$C$501,CONNEXIONS!$D$2:$D$501,A347,CONNEXIONS!$B$2:$B$501,B347))</f>
        <v/>
      </c>
      <c r="I347">
        <f>IF(G347=0,0,F347/G347*H347)</f>
        <v/>
      </c>
      <c r="J347">
        <f>IF(A347="",0,SUMIFS(AJUSTEMENTS!$F$2:$F$501,AJUSTEMENTS!$A$2:$A$501,A347,AJUSTEMENTS!$B$2:$B$501,B347,AJUSTEMENTS!$C$2:$C$501,C347,AJUSTEMENTS!$D$2:$D$501,D347,AJUSTEMENTS!$E$2:$E$501,E347))</f>
        <v/>
      </c>
      <c r="K347">
        <f>IF(A347="",0,IF(J347&lt;&gt;0,J347,I347))</f>
        <v/>
      </c>
    </row>
    <row r="348">
      <c r="A348">
        <f>IF(TRAITEMENTS!$Q348="","",TRAITEMENTS!Q348)</f>
        <v/>
      </c>
      <c r="B348">
        <f>IF(TRAITEMENTS!$Q348="","",TRAITEMENTS!E348)</f>
        <v/>
      </c>
      <c r="C348">
        <f>IF(TRAITEMENTS!$Q348="","",TRAITEMENTS!F348)</f>
        <v/>
      </c>
      <c r="D348">
        <f>IF(TRAITEMENTS!$Q348="","",TRAITEMENTS!G348)</f>
        <v/>
      </c>
      <c r="E348">
        <f>IF(TRAITEMENTS!$Q348="","",TRAITEMENTS!H348)</f>
        <v/>
      </c>
      <c r="F348">
        <f>IF(TRAITEMENTS!$Q348="","",TRAITEMENTS!O348)</f>
        <v/>
      </c>
      <c r="G348">
        <f>IF(A348="",0,SUMIFS(TRAITEMENTS!$O$2:$O$501,TRAITEMENTS!$Q$2:$Q$501,A348,TRAITEMENTS!$E$2:$E$501,B348))</f>
        <v/>
      </c>
      <c r="H348">
        <f>IF(A348="",0,SUMIFS(CONNEXIONS!$C$2:$C$501,CONNEXIONS!$D$2:$D$501,A348,CONNEXIONS!$B$2:$B$501,B348))</f>
        <v/>
      </c>
      <c r="I348">
        <f>IF(G348=0,0,F348/G348*H348)</f>
        <v/>
      </c>
      <c r="J348">
        <f>IF(A348="",0,SUMIFS(AJUSTEMENTS!$F$2:$F$501,AJUSTEMENTS!$A$2:$A$501,A348,AJUSTEMENTS!$B$2:$B$501,B348,AJUSTEMENTS!$C$2:$C$501,C348,AJUSTEMENTS!$D$2:$D$501,D348,AJUSTEMENTS!$E$2:$E$501,E348))</f>
        <v/>
      </c>
      <c r="K348">
        <f>IF(A348="",0,IF(J348&lt;&gt;0,J348,I348))</f>
        <v/>
      </c>
    </row>
    <row r="349">
      <c r="A349">
        <f>IF(TRAITEMENTS!$Q349="","",TRAITEMENTS!Q349)</f>
        <v/>
      </c>
      <c r="B349">
        <f>IF(TRAITEMENTS!$Q349="","",TRAITEMENTS!E349)</f>
        <v/>
      </c>
      <c r="C349">
        <f>IF(TRAITEMENTS!$Q349="","",TRAITEMENTS!F349)</f>
        <v/>
      </c>
      <c r="D349">
        <f>IF(TRAITEMENTS!$Q349="","",TRAITEMENTS!G349)</f>
        <v/>
      </c>
      <c r="E349">
        <f>IF(TRAITEMENTS!$Q349="","",TRAITEMENTS!H349)</f>
        <v/>
      </c>
      <c r="F349">
        <f>IF(TRAITEMENTS!$Q349="","",TRAITEMENTS!O349)</f>
        <v/>
      </c>
      <c r="G349">
        <f>IF(A349="",0,SUMIFS(TRAITEMENTS!$O$2:$O$501,TRAITEMENTS!$Q$2:$Q$501,A349,TRAITEMENTS!$E$2:$E$501,B349))</f>
        <v/>
      </c>
      <c r="H349">
        <f>IF(A349="",0,SUMIFS(CONNEXIONS!$C$2:$C$501,CONNEXIONS!$D$2:$D$501,A349,CONNEXIONS!$B$2:$B$501,B349))</f>
        <v/>
      </c>
      <c r="I349">
        <f>IF(G349=0,0,F349/G349*H349)</f>
        <v/>
      </c>
      <c r="J349">
        <f>IF(A349="",0,SUMIFS(AJUSTEMENTS!$F$2:$F$501,AJUSTEMENTS!$A$2:$A$501,A349,AJUSTEMENTS!$B$2:$B$501,B349,AJUSTEMENTS!$C$2:$C$501,C349,AJUSTEMENTS!$D$2:$D$501,D349,AJUSTEMENTS!$E$2:$E$501,E349))</f>
        <v/>
      </c>
      <c r="K349">
        <f>IF(A349="",0,IF(J349&lt;&gt;0,J349,I349))</f>
        <v/>
      </c>
    </row>
    <row r="350">
      <c r="A350">
        <f>IF(TRAITEMENTS!$Q350="","",TRAITEMENTS!Q350)</f>
        <v/>
      </c>
      <c r="B350">
        <f>IF(TRAITEMENTS!$Q350="","",TRAITEMENTS!E350)</f>
        <v/>
      </c>
      <c r="C350">
        <f>IF(TRAITEMENTS!$Q350="","",TRAITEMENTS!F350)</f>
        <v/>
      </c>
      <c r="D350">
        <f>IF(TRAITEMENTS!$Q350="","",TRAITEMENTS!G350)</f>
        <v/>
      </c>
      <c r="E350">
        <f>IF(TRAITEMENTS!$Q350="","",TRAITEMENTS!H350)</f>
        <v/>
      </c>
      <c r="F350">
        <f>IF(TRAITEMENTS!$Q350="","",TRAITEMENTS!O350)</f>
        <v/>
      </c>
      <c r="G350">
        <f>IF(A350="",0,SUMIFS(TRAITEMENTS!$O$2:$O$501,TRAITEMENTS!$Q$2:$Q$501,A350,TRAITEMENTS!$E$2:$E$501,B350))</f>
        <v/>
      </c>
      <c r="H350">
        <f>IF(A350="",0,SUMIFS(CONNEXIONS!$C$2:$C$501,CONNEXIONS!$D$2:$D$501,A350,CONNEXIONS!$B$2:$B$501,B350))</f>
        <v/>
      </c>
      <c r="I350">
        <f>IF(G350=0,0,F350/G350*H350)</f>
        <v/>
      </c>
      <c r="J350">
        <f>IF(A350="",0,SUMIFS(AJUSTEMENTS!$F$2:$F$501,AJUSTEMENTS!$A$2:$A$501,A350,AJUSTEMENTS!$B$2:$B$501,B350,AJUSTEMENTS!$C$2:$C$501,C350,AJUSTEMENTS!$D$2:$D$501,D350,AJUSTEMENTS!$E$2:$E$501,E350))</f>
        <v/>
      </c>
      <c r="K350">
        <f>IF(A350="",0,IF(J350&lt;&gt;0,J350,I350))</f>
        <v/>
      </c>
    </row>
    <row r="351">
      <c r="A351">
        <f>IF(TRAITEMENTS!$Q351="","",TRAITEMENTS!Q351)</f>
        <v/>
      </c>
      <c r="B351">
        <f>IF(TRAITEMENTS!$Q351="","",TRAITEMENTS!E351)</f>
        <v/>
      </c>
      <c r="C351">
        <f>IF(TRAITEMENTS!$Q351="","",TRAITEMENTS!F351)</f>
        <v/>
      </c>
      <c r="D351">
        <f>IF(TRAITEMENTS!$Q351="","",TRAITEMENTS!G351)</f>
        <v/>
      </c>
      <c r="E351">
        <f>IF(TRAITEMENTS!$Q351="","",TRAITEMENTS!H351)</f>
        <v/>
      </c>
      <c r="F351">
        <f>IF(TRAITEMENTS!$Q351="","",TRAITEMENTS!O351)</f>
        <v/>
      </c>
      <c r="G351">
        <f>IF(A351="",0,SUMIFS(TRAITEMENTS!$O$2:$O$501,TRAITEMENTS!$Q$2:$Q$501,A351,TRAITEMENTS!$E$2:$E$501,B351))</f>
        <v/>
      </c>
      <c r="H351">
        <f>IF(A351="",0,SUMIFS(CONNEXIONS!$C$2:$C$501,CONNEXIONS!$D$2:$D$501,A351,CONNEXIONS!$B$2:$B$501,B351))</f>
        <v/>
      </c>
      <c r="I351">
        <f>IF(G351=0,0,F351/G351*H351)</f>
        <v/>
      </c>
      <c r="J351">
        <f>IF(A351="",0,SUMIFS(AJUSTEMENTS!$F$2:$F$501,AJUSTEMENTS!$A$2:$A$501,A351,AJUSTEMENTS!$B$2:$B$501,B351,AJUSTEMENTS!$C$2:$C$501,C351,AJUSTEMENTS!$D$2:$D$501,D351,AJUSTEMENTS!$E$2:$E$501,E351))</f>
        <v/>
      </c>
      <c r="K351">
        <f>IF(A351="",0,IF(J351&lt;&gt;0,J351,I351))</f>
        <v/>
      </c>
    </row>
    <row r="352">
      <c r="A352">
        <f>IF(TRAITEMENTS!$Q352="","",TRAITEMENTS!Q352)</f>
        <v/>
      </c>
      <c r="B352">
        <f>IF(TRAITEMENTS!$Q352="","",TRAITEMENTS!E352)</f>
        <v/>
      </c>
      <c r="C352">
        <f>IF(TRAITEMENTS!$Q352="","",TRAITEMENTS!F352)</f>
        <v/>
      </c>
      <c r="D352">
        <f>IF(TRAITEMENTS!$Q352="","",TRAITEMENTS!G352)</f>
        <v/>
      </c>
      <c r="E352">
        <f>IF(TRAITEMENTS!$Q352="","",TRAITEMENTS!H352)</f>
        <v/>
      </c>
      <c r="F352">
        <f>IF(TRAITEMENTS!$Q352="","",TRAITEMENTS!O352)</f>
        <v/>
      </c>
      <c r="G352">
        <f>IF(A352="",0,SUMIFS(TRAITEMENTS!$O$2:$O$501,TRAITEMENTS!$Q$2:$Q$501,A352,TRAITEMENTS!$E$2:$E$501,B352))</f>
        <v/>
      </c>
      <c r="H352">
        <f>IF(A352="",0,SUMIFS(CONNEXIONS!$C$2:$C$501,CONNEXIONS!$D$2:$D$501,A352,CONNEXIONS!$B$2:$B$501,B352))</f>
        <v/>
      </c>
      <c r="I352">
        <f>IF(G352=0,0,F352/G352*H352)</f>
        <v/>
      </c>
      <c r="J352">
        <f>IF(A352="",0,SUMIFS(AJUSTEMENTS!$F$2:$F$501,AJUSTEMENTS!$A$2:$A$501,A352,AJUSTEMENTS!$B$2:$B$501,B352,AJUSTEMENTS!$C$2:$C$501,C352,AJUSTEMENTS!$D$2:$D$501,D352,AJUSTEMENTS!$E$2:$E$501,E352))</f>
        <v/>
      </c>
      <c r="K352">
        <f>IF(A352="",0,IF(J352&lt;&gt;0,J352,I352))</f>
        <v/>
      </c>
    </row>
    <row r="353">
      <c r="A353">
        <f>IF(TRAITEMENTS!$Q353="","",TRAITEMENTS!Q353)</f>
        <v/>
      </c>
      <c r="B353">
        <f>IF(TRAITEMENTS!$Q353="","",TRAITEMENTS!E353)</f>
        <v/>
      </c>
      <c r="C353">
        <f>IF(TRAITEMENTS!$Q353="","",TRAITEMENTS!F353)</f>
        <v/>
      </c>
      <c r="D353">
        <f>IF(TRAITEMENTS!$Q353="","",TRAITEMENTS!G353)</f>
        <v/>
      </c>
      <c r="E353">
        <f>IF(TRAITEMENTS!$Q353="","",TRAITEMENTS!H353)</f>
        <v/>
      </c>
      <c r="F353">
        <f>IF(TRAITEMENTS!$Q353="","",TRAITEMENTS!O353)</f>
        <v/>
      </c>
      <c r="G353">
        <f>IF(A353="",0,SUMIFS(TRAITEMENTS!$O$2:$O$501,TRAITEMENTS!$Q$2:$Q$501,A353,TRAITEMENTS!$E$2:$E$501,B353))</f>
        <v/>
      </c>
      <c r="H353">
        <f>IF(A353="",0,SUMIFS(CONNEXIONS!$C$2:$C$501,CONNEXIONS!$D$2:$D$501,A353,CONNEXIONS!$B$2:$B$501,B353))</f>
        <v/>
      </c>
      <c r="I353">
        <f>IF(G353=0,0,F353/G353*H353)</f>
        <v/>
      </c>
      <c r="J353">
        <f>IF(A353="",0,SUMIFS(AJUSTEMENTS!$F$2:$F$501,AJUSTEMENTS!$A$2:$A$501,A353,AJUSTEMENTS!$B$2:$B$501,B353,AJUSTEMENTS!$C$2:$C$501,C353,AJUSTEMENTS!$D$2:$D$501,D353,AJUSTEMENTS!$E$2:$E$501,E353))</f>
        <v/>
      </c>
      <c r="K353">
        <f>IF(A353="",0,IF(J353&lt;&gt;0,J353,I353))</f>
        <v/>
      </c>
    </row>
    <row r="354">
      <c r="A354">
        <f>IF(TRAITEMENTS!$Q354="","",TRAITEMENTS!Q354)</f>
        <v/>
      </c>
      <c r="B354">
        <f>IF(TRAITEMENTS!$Q354="","",TRAITEMENTS!E354)</f>
        <v/>
      </c>
      <c r="C354">
        <f>IF(TRAITEMENTS!$Q354="","",TRAITEMENTS!F354)</f>
        <v/>
      </c>
      <c r="D354">
        <f>IF(TRAITEMENTS!$Q354="","",TRAITEMENTS!G354)</f>
        <v/>
      </c>
      <c r="E354">
        <f>IF(TRAITEMENTS!$Q354="","",TRAITEMENTS!H354)</f>
        <v/>
      </c>
      <c r="F354">
        <f>IF(TRAITEMENTS!$Q354="","",TRAITEMENTS!O354)</f>
        <v/>
      </c>
      <c r="G354">
        <f>IF(A354="",0,SUMIFS(TRAITEMENTS!$O$2:$O$501,TRAITEMENTS!$Q$2:$Q$501,A354,TRAITEMENTS!$E$2:$E$501,B354))</f>
        <v/>
      </c>
      <c r="H354">
        <f>IF(A354="",0,SUMIFS(CONNEXIONS!$C$2:$C$501,CONNEXIONS!$D$2:$D$501,A354,CONNEXIONS!$B$2:$B$501,B354))</f>
        <v/>
      </c>
      <c r="I354">
        <f>IF(G354=0,0,F354/G354*H354)</f>
        <v/>
      </c>
      <c r="J354">
        <f>IF(A354="",0,SUMIFS(AJUSTEMENTS!$F$2:$F$501,AJUSTEMENTS!$A$2:$A$501,A354,AJUSTEMENTS!$B$2:$B$501,B354,AJUSTEMENTS!$C$2:$C$501,C354,AJUSTEMENTS!$D$2:$D$501,D354,AJUSTEMENTS!$E$2:$E$501,E354))</f>
        <v/>
      </c>
      <c r="K354">
        <f>IF(A354="",0,IF(J354&lt;&gt;0,J354,I354))</f>
        <v/>
      </c>
    </row>
    <row r="355">
      <c r="A355">
        <f>IF(TRAITEMENTS!$Q355="","",TRAITEMENTS!Q355)</f>
        <v/>
      </c>
      <c r="B355">
        <f>IF(TRAITEMENTS!$Q355="","",TRAITEMENTS!E355)</f>
        <v/>
      </c>
      <c r="C355">
        <f>IF(TRAITEMENTS!$Q355="","",TRAITEMENTS!F355)</f>
        <v/>
      </c>
      <c r="D355">
        <f>IF(TRAITEMENTS!$Q355="","",TRAITEMENTS!G355)</f>
        <v/>
      </c>
      <c r="E355">
        <f>IF(TRAITEMENTS!$Q355="","",TRAITEMENTS!H355)</f>
        <v/>
      </c>
      <c r="F355">
        <f>IF(TRAITEMENTS!$Q355="","",TRAITEMENTS!O355)</f>
        <v/>
      </c>
      <c r="G355">
        <f>IF(A355="",0,SUMIFS(TRAITEMENTS!$O$2:$O$501,TRAITEMENTS!$Q$2:$Q$501,A355,TRAITEMENTS!$E$2:$E$501,B355))</f>
        <v/>
      </c>
      <c r="H355">
        <f>IF(A355="",0,SUMIFS(CONNEXIONS!$C$2:$C$501,CONNEXIONS!$D$2:$D$501,A355,CONNEXIONS!$B$2:$B$501,B355))</f>
        <v/>
      </c>
      <c r="I355">
        <f>IF(G355=0,0,F355/G355*H355)</f>
        <v/>
      </c>
      <c r="J355">
        <f>IF(A355="",0,SUMIFS(AJUSTEMENTS!$F$2:$F$501,AJUSTEMENTS!$A$2:$A$501,A355,AJUSTEMENTS!$B$2:$B$501,B355,AJUSTEMENTS!$C$2:$C$501,C355,AJUSTEMENTS!$D$2:$D$501,D355,AJUSTEMENTS!$E$2:$E$501,E355))</f>
        <v/>
      </c>
      <c r="K355">
        <f>IF(A355="",0,IF(J355&lt;&gt;0,J355,I355))</f>
        <v/>
      </c>
    </row>
    <row r="356">
      <c r="A356">
        <f>IF(TRAITEMENTS!$Q356="","",TRAITEMENTS!Q356)</f>
        <v/>
      </c>
      <c r="B356">
        <f>IF(TRAITEMENTS!$Q356="","",TRAITEMENTS!E356)</f>
        <v/>
      </c>
      <c r="C356">
        <f>IF(TRAITEMENTS!$Q356="","",TRAITEMENTS!F356)</f>
        <v/>
      </c>
      <c r="D356">
        <f>IF(TRAITEMENTS!$Q356="","",TRAITEMENTS!G356)</f>
        <v/>
      </c>
      <c r="E356">
        <f>IF(TRAITEMENTS!$Q356="","",TRAITEMENTS!H356)</f>
        <v/>
      </c>
      <c r="F356">
        <f>IF(TRAITEMENTS!$Q356="","",TRAITEMENTS!O356)</f>
        <v/>
      </c>
      <c r="G356">
        <f>IF(A356="",0,SUMIFS(TRAITEMENTS!$O$2:$O$501,TRAITEMENTS!$Q$2:$Q$501,A356,TRAITEMENTS!$E$2:$E$501,B356))</f>
        <v/>
      </c>
      <c r="H356">
        <f>IF(A356="",0,SUMIFS(CONNEXIONS!$C$2:$C$501,CONNEXIONS!$D$2:$D$501,A356,CONNEXIONS!$B$2:$B$501,B356))</f>
        <v/>
      </c>
      <c r="I356">
        <f>IF(G356=0,0,F356/G356*H356)</f>
        <v/>
      </c>
      <c r="J356">
        <f>IF(A356="",0,SUMIFS(AJUSTEMENTS!$F$2:$F$501,AJUSTEMENTS!$A$2:$A$501,A356,AJUSTEMENTS!$B$2:$B$501,B356,AJUSTEMENTS!$C$2:$C$501,C356,AJUSTEMENTS!$D$2:$D$501,D356,AJUSTEMENTS!$E$2:$E$501,E356))</f>
        <v/>
      </c>
      <c r="K356">
        <f>IF(A356="",0,IF(J356&lt;&gt;0,J356,I356))</f>
        <v/>
      </c>
    </row>
    <row r="357">
      <c r="A357">
        <f>IF(TRAITEMENTS!$Q357="","",TRAITEMENTS!Q357)</f>
        <v/>
      </c>
      <c r="B357">
        <f>IF(TRAITEMENTS!$Q357="","",TRAITEMENTS!E357)</f>
        <v/>
      </c>
      <c r="C357">
        <f>IF(TRAITEMENTS!$Q357="","",TRAITEMENTS!F357)</f>
        <v/>
      </c>
      <c r="D357">
        <f>IF(TRAITEMENTS!$Q357="","",TRAITEMENTS!G357)</f>
        <v/>
      </c>
      <c r="E357">
        <f>IF(TRAITEMENTS!$Q357="","",TRAITEMENTS!H357)</f>
        <v/>
      </c>
      <c r="F357">
        <f>IF(TRAITEMENTS!$Q357="","",TRAITEMENTS!O357)</f>
        <v/>
      </c>
      <c r="G357">
        <f>IF(A357="",0,SUMIFS(TRAITEMENTS!$O$2:$O$501,TRAITEMENTS!$Q$2:$Q$501,A357,TRAITEMENTS!$E$2:$E$501,B357))</f>
        <v/>
      </c>
      <c r="H357">
        <f>IF(A357="",0,SUMIFS(CONNEXIONS!$C$2:$C$501,CONNEXIONS!$D$2:$D$501,A357,CONNEXIONS!$B$2:$B$501,B357))</f>
        <v/>
      </c>
      <c r="I357">
        <f>IF(G357=0,0,F357/G357*H357)</f>
        <v/>
      </c>
      <c r="J357">
        <f>IF(A357="",0,SUMIFS(AJUSTEMENTS!$F$2:$F$501,AJUSTEMENTS!$A$2:$A$501,A357,AJUSTEMENTS!$B$2:$B$501,B357,AJUSTEMENTS!$C$2:$C$501,C357,AJUSTEMENTS!$D$2:$D$501,D357,AJUSTEMENTS!$E$2:$E$501,E357))</f>
        <v/>
      </c>
      <c r="K357">
        <f>IF(A357="",0,IF(J357&lt;&gt;0,J357,I357))</f>
        <v/>
      </c>
    </row>
    <row r="358">
      <c r="A358">
        <f>IF(TRAITEMENTS!$Q358="","",TRAITEMENTS!Q358)</f>
        <v/>
      </c>
      <c r="B358">
        <f>IF(TRAITEMENTS!$Q358="","",TRAITEMENTS!E358)</f>
        <v/>
      </c>
      <c r="C358">
        <f>IF(TRAITEMENTS!$Q358="","",TRAITEMENTS!F358)</f>
        <v/>
      </c>
      <c r="D358">
        <f>IF(TRAITEMENTS!$Q358="","",TRAITEMENTS!G358)</f>
        <v/>
      </c>
      <c r="E358">
        <f>IF(TRAITEMENTS!$Q358="","",TRAITEMENTS!H358)</f>
        <v/>
      </c>
      <c r="F358">
        <f>IF(TRAITEMENTS!$Q358="","",TRAITEMENTS!O358)</f>
        <v/>
      </c>
      <c r="G358">
        <f>IF(A358="",0,SUMIFS(TRAITEMENTS!$O$2:$O$501,TRAITEMENTS!$Q$2:$Q$501,A358,TRAITEMENTS!$E$2:$E$501,B358))</f>
        <v/>
      </c>
      <c r="H358">
        <f>IF(A358="",0,SUMIFS(CONNEXIONS!$C$2:$C$501,CONNEXIONS!$D$2:$D$501,A358,CONNEXIONS!$B$2:$B$501,B358))</f>
        <v/>
      </c>
      <c r="I358">
        <f>IF(G358=0,0,F358/G358*H358)</f>
        <v/>
      </c>
      <c r="J358">
        <f>IF(A358="",0,SUMIFS(AJUSTEMENTS!$F$2:$F$501,AJUSTEMENTS!$A$2:$A$501,A358,AJUSTEMENTS!$B$2:$B$501,B358,AJUSTEMENTS!$C$2:$C$501,C358,AJUSTEMENTS!$D$2:$D$501,D358,AJUSTEMENTS!$E$2:$E$501,E358))</f>
        <v/>
      </c>
      <c r="K358">
        <f>IF(A358="",0,IF(J358&lt;&gt;0,J358,I358))</f>
        <v/>
      </c>
    </row>
    <row r="359">
      <c r="A359">
        <f>IF(TRAITEMENTS!$Q359="","",TRAITEMENTS!Q359)</f>
        <v/>
      </c>
      <c r="B359">
        <f>IF(TRAITEMENTS!$Q359="","",TRAITEMENTS!E359)</f>
        <v/>
      </c>
      <c r="C359">
        <f>IF(TRAITEMENTS!$Q359="","",TRAITEMENTS!F359)</f>
        <v/>
      </c>
      <c r="D359">
        <f>IF(TRAITEMENTS!$Q359="","",TRAITEMENTS!G359)</f>
        <v/>
      </c>
      <c r="E359">
        <f>IF(TRAITEMENTS!$Q359="","",TRAITEMENTS!H359)</f>
        <v/>
      </c>
      <c r="F359">
        <f>IF(TRAITEMENTS!$Q359="","",TRAITEMENTS!O359)</f>
        <v/>
      </c>
      <c r="G359">
        <f>IF(A359="",0,SUMIFS(TRAITEMENTS!$O$2:$O$501,TRAITEMENTS!$Q$2:$Q$501,A359,TRAITEMENTS!$E$2:$E$501,B359))</f>
        <v/>
      </c>
      <c r="H359">
        <f>IF(A359="",0,SUMIFS(CONNEXIONS!$C$2:$C$501,CONNEXIONS!$D$2:$D$501,A359,CONNEXIONS!$B$2:$B$501,B359))</f>
        <v/>
      </c>
      <c r="I359">
        <f>IF(G359=0,0,F359/G359*H359)</f>
        <v/>
      </c>
      <c r="J359">
        <f>IF(A359="",0,SUMIFS(AJUSTEMENTS!$F$2:$F$501,AJUSTEMENTS!$A$2:$A$501,A359,AJUSTEMENTS!$B$2:$B$501,B359,AJUSTEMENTS!$C$2:$C$501,C359,AJUSTEMENTS!$D$2:$D$501,D359,AJUSTEMENTS!$E$2:$E$501,E359))</f>
        <v/>
      </c>
      <c r="K359">
        <f>IF(A359="",0,IF(J359&lt;&gt;0,J359,I359))</f>
        <v/>
      </c>
    </row>
    <row r="360">
      <c r="A360">
        <f>IF(TRAITEMENTS!$Q360="","",TRAITEMENTS!Q360)</f>
        <v/>
      </c>
      <c r="B360">
        <f>IF(TRAITEMENTS!$Q360="","",TRAITEMENTS!E360)</f>
        <v/>
      </c>
      <c r="C360">
        <f>IF(TRAITEMENTS!$Q360="","",TRAITEMENTS!F360)</f>
        <v/>
      </c>
      <c r="D360">
        <f>IF(TRAITEMENTS!$Q360="","",TRAITEMENTS!G360)</f>
        <v/>
      </c>
      <c r="E360">
        <f>IF(TRAITEMENTS!$Q360="","",TRAITEMENTS!H360)</f>
        <v/>
      </c>
      <c r="F360">
        <f>IF(TRAITEMENTS!$Q360="","",TRAITEMENTS!O360)</f>
        <v/>
      </c>
      <c r="G360">
        <f>IF(A360="",0,SUMIFS(TRAITEMENTS!$O$2:$O$501,TRAITEMENTS!$Q$2:$Q$501,A360,TRAITEMENTS!$E$2:$E$501,B360))</f>
        <v/>
      </c>
      <c r="H360">
        <f>IF(A360="",0,SUMIFS(CONNEXIONS!$C$2:$C$501,CONNEXIONS!$D$2:$D$501,A360,CONNEXIONS!$B$2:$B$501,B360))</f>
        <v/>
      </c>
      <c r="I360">
        <f>IF(G360=0,0,F360/G360*H360)</f>
        <v/>
      </c>
      <c r="J360">
        <f>IF(A360="",0,SUMIFS(AJUSTEMENTS!$F$2:$F$501,AJUSTEMENTS!$A$2:$A$501,A360,AJUSTEMENTS!$B$2:$B$501,B360,AJUSTEMENTS!$C$2:$C$501,C360,AJUSTEMENTS!$D$2:$D$501,D360,AJUSTEMENTS!$E$2:$E$501,E360))</f>
        <v/>
      </c>
      <c r="K360">
        <f>IF(A360="",0,IF(J360&lt;&gt;0,J360,I360))</f>
        <v/>
      </c>
    </row>
    <row r="361">
      <c r="A361">
        <f>IF(TRAITEMENTS!$Q361="","",TRAITEMENTS!Q361)</f>
        <v/>
      </c>
      <c r="B361">
        <f>IF(TRAITEMENTS!$Q361="","",TRAITEMENTS!E361)</f>
        <v/>
      </c>
      <c r="C361">
        <f>IF(TRAITEMENTS!$Q361="","",TRAITEMENTS!F361)</f>
        <v/>
      </c>
      <c r="D361">
        <f>IF(TRAITEMENTS!$Q361="","",TRAITEMENTS!G361)</f>
        <v/>
      </c>
      <c r="E361">
        <f>IF(TRAITEMENTS!$Q361="","",TRAITEMENTS!H361)</f>
        <v/>
      </c>
      <c r="F361">
        <f>IF(TRAITEMENTS!$Q361="","",TRAITEMENTS!O361)</f>
        <v/>
      </c>
      <c r="G361">
        <f>IF(A361="",0,SUMIFS(TRAITEMENTS!$O$2:$O$501,TRAITEMENTS!$Q$2:$Q$501,A361,TRAITEMENTS!$E$2:$E$501,B361))</f>
        <v/>
      </c>
      <c r="H361">
        <f>IF(A361="",0,SUMIFS(CONNEXIONS!$C$2:$C$501,CONNEXIONS!$D$2:$D$501,A361,CONNEXIONS!$B$2:$B$501,B361))</f>
        <v/>
      </c>
      <c r="I361">
        <f>IF(G361=0,0,F361/G361*H361)</f>
        <v/>
      </c>
      <c r="J361">
        <f>IF(A361="",0,SUMIFS(AJUSTEMENTS!$F$2:$F$501,AJUSTEMENTS!$A$2:$A$501,A361,AJUSTEMENTS!$B$2:$B$501,B361,AJUSTEMENTS!$C$2:$C$501,C361,AJUSTEMENTS!$D$2:$D$501,D361,AJUSTEMENTS!$E$2:$E$501,E361))</f>
        <v/>
      </c>
      <c r="K361">
        <f>IF(A361="",0,IF(J361&lt;&gt;0,J361,I361))</f>
        <v/>
      </c>
    </row>
    <row r="362">
      <c r="A362">
        <f>IF(TRAITEMENTS!$Q362="","",TRAITEMENTS!Q362)</f>
        <v/>
      </c>
      <c r="B362">
        <f>IF(TRAITEMENTS!$Q362="","",TRAITEMENTS!E362)</f>
        <v/>
      </c>
      <c r="C362">
        <f>IF(TRAITEMENTS!$Q362="","",TRAITEMENTS!F362)</f>
        <v/>
      </c>
      <c r="D362">
        <f>IF(TRAITEMENTS!$Q362="","",TRAITEMENTS!G362)</f>
        <v/>
      </c>
      <c r="E362">
        <f>IF(TRAITEMENTS!$Q362="","",TRAITEMENTS!H362)</f>
        <v/>
      </c>
      <c r="F362">
        <f>IF(TRAITEMENTS!$Q362="","",TRAITEMENTS!O362)</f>
        <v/>
      </c>
      <c r="G362">
        <f>IF(A362="",0,SUMIFS(TRAITEMENTS!$O$2:$O$501,TRAITEMENTS!$Q$2:$Q$501,A362,TRAITEMENTS!$E$2:$E$501,B362))</f>
        <v/>
      </c>
      <c r="H362">
        <f>IF(A362="",0,SUMIFS(CONNEXIONS!$C$2:$C$501,CONNEXIONS!$D$2:$D$501,A362,CONNEXIONS!$B$2:$B$501,B362))</f>
        <v/>
      </c>
      <c r="I362">
        <f>IF(G362=0,0,F362/G362*H362)</f>
        <v/>
      </c>
      <c r="J362">
        <f>IF(A362="",0,SUMIFS(AJUSTEMENTS!$F$2:$F$501,AJUSTEMENTS!$A$2:$A$501,A362,AJUSTEMENTS!$B$2:$B$501,B362,AJUSTEMENTS!$C$2:$C$501,C362,AJUSTEMENTS!$D$2:$D$501,D362,AJUSTEMENTS!$E$2:$E$501,E362))</f>
        <v/>
      </c>
      <c r="K362">
        <f>IF(A362="",0,IF(J362&lt;&gt;0,J362,I362))</f>
        <v/>
      </c>
    </row>
    <row r="363">
      <c r="A363">
        <f>IF(TRAITEMENTS!$Q363="","",TRAITEMENTS!Q363)</f>
        <v/>
      </c>
      <c r="B363">
        <f>IF(TRAITEMENTS!$Q363="","",TRAITEMENTS!E363)</f>
        <v/>
      </c>
      <c r="C363">
        <f>IF(TRAITEMENTS!$Q363="","",TRAITEMENTS!F363)</f>
        <v/>
      </c>
      <c r="D363">
        <f>IF(TRAITEMENTS!$Q363="","",TRAITEMENTS!G363)</f>
        <v/>
      </c>
      <c r="E363">
        <f>IF(TRAITEMENTS!$Q363="","",TRAITEMENTS!H363)</f>
        <v/>
      </c>
      <c r="F363">
        <f>IF(TRAITEMENTS!$Q363="","",TRAITEMENTS!O363)</f>
        <v/>
      </c>
      <c r="G363">
        <f>IF(A363="",0,SUMIFS(TRAITEMENTS!$O$2:$O$501,TRAITEMENTS!$Q$2:$Q$501,A363,TRAITEMENTS!$E$2:$E$501,B363))</f>
        <v/>
      </c>
      <c r="H363">
        <f>IF(A363="",0,SUMIFS(CONNEXIONS!$C$2:$C$501,CONNEXIONS!$D$2:$D$501,A363,CONNEXIONS!$B$2:$B$501,B363))</f>
        <v/>
      </c>
      <c r="I363">
        <f>IF(G363=0,0,F363/G363*H363)</f>
        <v/>
      </c>
      <c r="J363">
        <f>IF(A363="",0,SUMIFS(AJUSTEMENTS!$F$2:$F$501,AJUSTEMENTS!$A$2:$A$501,A363,AJUSTEMENTS!$B$2:$B$501,B363,AJUSTEMENTS!$C$2:$C$501,C363,AJUSTEMENTS!$D$2:$D$501,D363,AJUSTEMENTS!$E$2:$E$501,E363))</f>
        <v/>
      </c>
      <c r="K363">
        <f>IF(A363="",0,IF(J363&lt;&gt;0,J363,I363))</f>
        <v/>
      </c>
    </row>
    <row r="364">
      <c r="A364">
        <f>IF(TRAITEMENTS!$Q364="","",TRAITEMENTS!Q364)</f>
        <v/>
      </c>
      <c r="B364">
        <f>IF(TRAITEMENTS!$Q364="","",TRAITEMENTS!E364)</f>
        <v/>
      </c>
      <c r="C364">
        <f>IF(TRAITEMENTS!$Q364="","",TRAITEMENTS!F364)</f>
        <v/>
      </c>
      <c r="D364">
        <f>IF(TRAITEMENTS!$Q364="","",TRAITEMENTS!G364)</f>
        <v/>
      </c>
      <c r="E364">
        <f>IF(TRAITEMENTS!$Q364="","",TRAITEMENTS!H364)</f>
        <v/>
      </c>
      <c r="F364">
        <f>IF(TRAITEMENTS!$Q364="","",TRAITEMENTS!O364)</f>
        <v/>
      </c>
      <c r="G364">
        <f>IF(A364="",0,SUMIFS(TRAITEMENTS!$O$2:$O$501,TRAITEMENTS!$Q$2:$Q$501,A364,TRAITEMENTS!$E$2:$E$501,B364))</f>
        <v/>
      </c>
      <c r="H364">
        <f>IF(A364="",0,SUMIFS(CONNEXIONS!$C$2:$C$501,CONNEXIONS!$D$2:$D$501,A364,CONNEXIONS!$B$2:$B$501,B364))</f>
        <v/>
      </c>
      <c r="I364">
        <f>IF(G364=0,0,F364/G364*H364)</f>
        <v/>
      </c>
      <c r="J364">
        <f>IF(A364="",0,SUMIFS(AJUSTEMENTS!$F$2:$F$501,AJUSTEMENTS!$A$2:$A$501,A364,AJUSTEMENTS!$B$2:$B$501,B364,AJUSTEMENTS!$C$2:$C$501,C364,AJUSTEMENTS!$D$2:$D$501,D364,AJUSTEMENTS!$E$2:$E$501,E364))</f>
        <v/>
      </c>
      <c r="K364">
        <f>IF(A364="",0,IF(J364&lt;&gt;0,J364,I364))</f>
        <v/>
      </c>
    </row>
    <row r="365">
      <c r="A365">
        <f>IF(TRAITEMENTS!$Q365="","",TRAITEMENTS!Q365)</f>
        <v/>
      </c>
      <c r="B365">
        <f>IF(TRAITEMENTS!$Q365="","",TRAITEMENTS!E365)</f>
        <v/>
      </c>
      <c r="C365">
        <f>IF(TRAITEMENTS!$Q365="","",TRAITEMENTS!F365)</f>
        <v/>
      </c>
      <c r="D365">
        <f>IF(TRAITEMENTS!$Q365="","",TRAITEMENTS!G365)</f>
        <v/>
      </c>
      <c r="E365">
        <f>IF(TRAITEMENTS!$Q365="","",TRAITEMENTS!H365)</f>
        <v/>
      </c>
      <c r="F365">
        <f>IF(TRAITEMENTS!$Q365="","",TRAITEMENTS!O365)</f>
        <v/>
      </c>
      <c r="G365">
        <f>IF(A365="",0,SUMIFS(TRAITEMENTS!$O$2:$O$501,TRAITEMENTS!$Q$2:$Q$501,A365,TRAITEMENTS!$E$2:$E$501,B365))</f>
        <v/>
      </c>
      <c r="H365">
        <f>IF(A365="",0,SUMIFS(CONNEXIONS!$C$2:$C$501,CONNEXIONS!$D$2:$D$501,A365,CONNEXIONS!$B$2:$B$501,B365))</f>
        <v/>
      </c>
      <c r="I365">
        <f>IF(G365=0,0,F365/G365*H365)</f>
        <v/>
      </c>
      <c r="J365">
        <f>IF(A365="",0,SUMIFS(AJUSTEMENTS!$F$2:$F$501,AJUSTEMENTS!$A$2:$A$501,A365,AJUSTEMENTS!$B$2:$B$501,B365,AJUSTEMENTS!$C$2:$C$501,C365,AJUSTEMENTS!$D$2:$D$501,D365,AJUSTEMENTS!$E$2:$E$501,E365))</f>
        <v/>
      </c>
      <c r="K365">
        <f>IF(A365="",0,IF(J365&lt;&gt;0,J365,I365))</f>
        <v/>
      </c>
    </row>
    <row r="366">
      <c r="A366">
        <f>IF(TRAITEMENTS!$Q366="","",TRAITEMENTS!Q366)</f>
        <v/>
      </c>
      <c r="B366">
        <f>IF(TRAITEMENTS!$Q366="","",TRAITEMENTS!E366)</f>
        <v/>
      </c>
      <c r="C366">
        <f>IF(TRAITEMENTS!$Q366="","",TRAITEMENTS!F366)</f>
        <v/>
      </c>
      <c r="D366">
        <f>IF(TRAITEMENTS!$Q366="","",TRAITEMENTS!G366)</f>
        <v/>
      </c>
      <c r="E366">
        <f>IF(TRAITEMENTS!$Q366="","",TRAITEMENTS!H366)</f>
        <v/>
      </c>
      <c r="F366">
        <f>IF(TRAITEMENTS!$Q366="","",TRAITEMENTS!O366)</f>
        <v/>
      </c>
      <c r="G366">
        <f>IF(A366="",0,SUMIFS(TRAITEMENTS!$O$2:$O$501,TRAITEMENTS!$Q$2:$Q$501,A366,TRAITEMENTS!$E$2:$E$501,B366))</f>
        <v/>
      </c>
      <c r="H366">
        <f>IF(A366="",0,SUMIFS(CONNEXIONS!$C$2:$C$501,CONNEXIONS!$D$2:$D$501,A366,CONNEXIONS!$B$2:$B$501,B366))</f>
        <v/>
      </c>
      <c r="I366">
        <f>IF(G366=0,0,F366/G366*H366)</f>
        <v/>
      </c>
      <c r="J366">
        <f>IF(A366="",0,SUMIFS(AJUSTEMENTS!$F$2:$F$501,AJUSTEMENTS!$A$2:$A$501,A366,AJUSTEMENTS!$B$2:$B$501,B366,AJUSTEMENTS!$C$2:$C$501,C366,AJUSTEMENTS!$D$2:$D$501,D366,AJUSTEMENTS!$E$2:$E$501,E366))</f>
        <v/>
      </c>
      <c r="K366">
        <f>IF(A366="",0,IF(J366&lt;&gt;0,J366,I366))</f>
        <v/>
      </c>
    </row>
    <row r="367">
      <c r="A367">
        <f>IF(TRAITEMENTS!$Q367="","",TRAITEMENTS!Q367)</f>
        <v/>
      </c>
      <c r="B367">
        <f>IF(TRAITEMENTS!$Q367="","",TRAITEMENTS!E367)</f>
        <v/>
      </c>
      <c r="C367">
        <f>IF(TRAITEMENTS!$Q367="","",TRAITEMENTS!F367)</f>
        <v/>
      </c>
      <c r="D367">
        <f>IF(TRAITEMENTS!$Q367="","",TRAITEMENTS!G367)</f>
        <v/>
      </c>
      <c r="E367">
        <f>IF(TRAITEMENTS!$Q367="","",TRAITEMENTS!H367)</f>
        <v/>
      </c>
      <c r="F367">
        <f>IF(TRAITEMENTS!$Q367="","",TRAITEMENTS!O367)</f>
        <v/>
      </c>
      <c r="G367">
        <f>IF(A367="",0,SUMIFS(TRAITEMENTS!$O$2:$O$501,TRAITEMENTS!$Q$2:$Q$501,A367,TRAITEMENTS!$E$2:$E$501,B367))</f>
        <v/>
      </c>
      <c r="H367">
        <f>IF(A367="",0,SUMIFS(CONNEXIONS!$C$2:$C$501,CONNEXIONS!$D$2:$D$501,A367,CONNEXIONS!$B$2:$B$501,B367))</f>
        <v/>
      </c>
      <c r="I367">
        <f>IF(G367=0,0,F367/G367*H367)</f>
        <v/>
      </c>
      <c r="J367">
        <f>IF(A367="",0,SUMIFS(AJUSTEMENTS!$F$2:$F$501,AJUSTEMENTS!$A$2:$A$501,A367,AJUSTEMENTS!$B$2:$B$501,B367,AJUSTEMENTS!$C$2:$C$501,C367,AJUSTEMENTS!$D$2:$D$501,D367,AJUSTEMENTS!$E$2:$E$501,E367))</f>
        <v/>
      </c>
      <c r="K367">
        <f>IF(A367="",0,IF(J367&lt;&gt;0,J367,I367))</f>
        <v/>
      </c>
    </row>
    <row r="368">
      <c r="A368">
        <f>IF(TRAITEMENTS!$Q368="","",TRAITEMENTS!Q368)</f>
        <v/>
      </c>
      <c r="B368">
        <f>IF(TRAITEMENTS!$Q368="","",TRAITEMENTS!E368)</f>
        <v/>
      </c>
      <c r="C368">
        <f>IF(TRAITEMENTS!$Q368="","",TRAITEMENTS!F368)</f>
        <v/>
      </c>
      <c r="D368">
        <f>IF(TRAITEMENTS!$Q368="","",TRAITEMENTS!G368)</f>
        <v/>
      </c>
      <c r="E368">
        <f>IF(TRAITEMENTS!$Q368="","",TRAITEMENTS!H368)</f>
        <v/>
      </c>
      <c r="F368">
        <f>IF(TRAITEMENTS!$Q368="","",TRAITEMENTS!O368)</f>
        <v/>
      </c>
      <c r="G368">
        <f>IF(A368="",0,SUMIFS(TRAITEMENTS!$O$2:$O$501,TRAITEMENTS!$Q$2:$Q$501,A368,TRAITEMENTS!$E$2:$E$501,B368))</f>
        <v/>
      </c>
      <c r="H368">
        <f>IF(A368="",0,SUMIFS(CONNEXIONS!$C$2:$C$501,CONNEXIONS!$D$2:$D$501,A368,CONNEXIONS!$B$2:$B$501,B368))</f>
        <v/>
      </c>
      <c r="I368">
        <f>IF(G368=0,0,F368/G368*H368)</f>
        <v/>
      </c>
      <c r="J368">
        <f>IF(A368="",0,SUMIFS(AJUSTEMENTS!$F$2:$F$501,AJUSTEMENTS!$A$2:$A$501,A368,AJUSTEMENTS!$B$2:$B$501,B368,AJUSTEMENTS!$C$2:$C$501,C368,AJUSTEMENTS!$D$2:$D$501,D368,AJUSTEMENTS!$E$2:$E$501,E368))</f>
        <v/>
      </c>
      <c r="K368">
        <f>IF(A368="",0,IF(J368&lt;&gt;0,J368,I368))</f>
        <v/>
      </c>
    </row>
    <row r="369">
      <c r="A369">
        <f>IF(TRAITEMENTS!$Q369="","",TRAITEMENTS!Q369)</f>
        <v/>
      </c>
      <c r="B369">
        <f>IF(TRAITEMENTS!$Q369="","",TRAITEMENTS!E369)</f>
        <v/>
      </c>
      <c r="C369">
        <f>IF(TRAITEMENTS!$Q369="","",TRAITEMENTS!F369)</f>
        <v/>
      </c>
      <c r="D369">
        <f>IF(TRAITEMENTS!$Q369="","",TRAITEMENTS!G369)</f>
        <v/>
      </c>
      <c r="E369">
        <f>IF(TRAITEMENTS!$Q369="","",TRAITEMENTS!H369)</f>
        <v/>
      </c>
      <c r="F369">
        <f>IF(TRAITEMENTS!$Q369="","",TRAITEMENTS!O369)</f>
        <v/>
      </c>
      <c r="G369">
        <f>IF(A369="",0,SUMIFS(TRAITEMENTS!$O$2:$O$501,TRAITEMENTS!$Q$2:$Q$501,A369,TRAITEMENTS!$E$2:$E$501,B369))</f>
        <v/>
      </c>
      <c r="H369">
        <f>IF(A369="",0,SUMIFS(CONNEXIONS!$C$2:$C$501,CONNEXIONS!$D$2:$D$501,A369,CONNEXIONS!$B$2:$B$501,B369))</f>
        <v/>
      </c>
      <c r="I369">
        <f>IF(G369=0,0,F369/G369*H369)</f>
        <v/>
      </c>
      <c r="J369">
        <f>IF(A369="",0,SUMIFS(AJUSTEMENTS!$F$2:$F$501,AJUSTEMENTS!$A$2:$A$501,A369,AJUSTEMENTS!$B$2:$B$501,B369,AJUSTEMENTS!$C$2:$C$501,C369,AJUSTEMENTS!$D$2:$D$501,D369,AJUSTEMENTS!$E$2:$E$501,E369))</f>
        <v/>
      </c>
      <c r="K369">
        <f>IF(A369="",0,IF(J369&lt;&gt;0,J369,I369))</f>
        <v/>
      </c>
    </row>
    <row r="370">
      <c r="A370">
        <f>IF(TRAITEMENTS!$Q370="","",TRAITEMENTS!Q370)</f>
        <v/>
      </c>
      <c r="B370">
        <f>IF(TRAITEMENTS!$Q370="","",TRAITEMENTS!E370)</f>
        <v/>
      </c>
      <c r="C370">
        <f>IF(TRAITEMENTS!$Q370="","",TRAITEMENTS!F370)</f>
        <v/>
      </c>
      <c r="D370">
        <f>IF(TRAITEMENTS!$Q370="","",TRAITEMENTS!G370)</f>
        <v/>
      </c>
      <c r="E370">
        <f>IF(TRAITEMENTS!$Q370="","",TRAITEMENTS!H370)</f>
        <v/>
      </c>
      <c r="F370">
        <f>IF(TRAITEMENTS!$Q370="","",TRAITEMENTS!O370)</f>
        <v/>
      </c>
      <c r="G370">
        <f>IF(A370="",0,SUMIFS(TRAITEMENTS!$O$2:$O$501,TRAITEMENTS!$Q$2:$Q$501,A370,TRAITEMENTS!$E$2:$E$501,B370))</f>
        <v/>
      </c>
      <c r="H370">
        <f>IF(A370="",0,SUMIFS(CONNEXIONS!$C$2:$C$501,CONNEXIONS!$D$2:$D$501,A370,CONNEXIONS!$B$2:$B$501,B370))</f>
        <v/>
      </c>
      <c r="I370">
        <f>IF(G370=0,0,F370/G370*H370)</f>
        <v/>
      </c>
      <c r="J370">
        <f>IF(A370="",0,SUMIFS(AJUSTEMENTS!$F$2:$F$501,AJUSTEMENTS!$A$2:$A$501,A370,AJUSTEMENTS!$B$2:$B$501,B370,AJUSTEMENTS!$C$2:$C$501,C370,AJUSTEMENTS!$D$2:$D$501,D370,AJUSTEMENTS!$E$2:$E$501,E370))</f>
        <v/>
      </c>
      <c r="K370">
        <f>IF(A370="",0,IF(J370&lt;&gt;0,J370,I370))</f>
        <v/>
      </c>
    </row>
    <row r="371">
      <c r="A371">
        <f>IF(TRAITEMENTS!$Q371="","",TRAITEMENTS!Q371)</f>
        <v/>
      </c>
      <c r="B371">
        <f>IF(TRAITEMENTS!$Q371="","",TRAITEMENTS!E371)</f>
        <v/>
      </c>
      <c r="C371">
        <f>IF(TRAITEMENTS!$Q371="","",TRAITEMENTS!F371)</f>
        <v/>
      </c>
      <c r="D371">
        <f>IF(TRAITEMENTS!$Q371="","",TRAITEMENTS!G371)</f>
        <v/>
      </c>
      <c r="E371">
        <f>IF(TRAITEMENTS!$Q371="","",TRAITEMENTS!H371)</f>
        <v/>
      </c>
      <c r="F371">
        <f>IF(TRAITEMENTS!$Q371="","",TRAITEMENTS!O371)</f>
        <v/>
      </c>
      <c r="G371">
        <f>IF(A371="",0,SUMIFS(TRAITEMENTS!$O$2:$O$501,TRAITEMENTS!$Q$2:$Q$501,A371,TRAITEMENTS!$E$2:$E$501,B371))</f>
        <v/>
      </c>
      <c r="H371">
        <f>IF(A371="",0,SUMIFS(CONNEXIONS!$C$2:$C$501,CONNEXIONS!$D$2:$D$501,A371,CONNEXIONS!$B$2:$B$501,B371))</f>
        <v/>
      </c>
      <c r="I371">
        <f>IF(G371=0,0,F371/G371*H371)</f>
        <v/>
      </c>
      <c r="J371">
        <f>IF(A371="",0,SUMIFS(AJUSTEMENTS!$F$2:$F$501,AJUSTEMENTS!$A$2:$A$501,A371,AJUSTEMENTS!$B$2:$B$501,B371,AJUSTEMENTS!$C$2:$C$501,C371,AJUSTEMENTS!$D$2:$D$501,D371,AJUSTEMENTS!$E$2:$E$501,E371))</f>
        <v/>
      </c>
      <c r="K371">
        <f>IF(A371="",0,IF(J371&lt;&gt;0,J371,I371))</f>
        <v/>
      </c>
    </row>
    <row r="372">
      <c r="A372">
        <f>IF(TRAITEMENTS!$Q372="","",TRAITEMENTS!Q372)</f>
        <v/>
      </c>
      <c r="B372">
        <f>IF(TRAITEMENTS!$Q372="","",TRAITEMENTS!E372)</f>
        <v/>
      </c>
      <c r="C372">
        <f>IF(TRAITEMENTS!$Q372="","",TRAITEMENTS!F372)</f>
        <v/>
      </c>
      <c r="D372">
        <f>IF(TRAITEMENTS!$Q372="","",TRAITEMENTS!G372)</f>
        <v/>
      </c>
      <c r="E372">
        <f>IF(TRAITEMENTS!$Q372="","",TRAITEMENTS!H372)</f>
        <v/>
      </c>
      <c r="F372">
        <f>IF(TRAITEMENTS!$Q372="","",TRAITEMENTS!O372)</f>
        <v/>
      </c>
      <c r="G372">
        <f>IF(A372="",0,SUMIFS(TRAITEMENTS!$O$2:$O$501,TRAITEMENTS!$Q$2:$Q$501,A372,TRAITEMENTS!$E$2:$E$501,B372))</f>
        <v/>
      </c>
      <c r="H372">
        <f>IF(A372="",0,SUMIFS(CONNEXIONS!$C$2:$C$501,CONNEXIONS!$D$2:$D$501,A372,CONNEXIONS!$B$2:$B$501,B372))</f>
        <v/>
      </c>
      <c r="I372">
        <f>IF(G372=0,0,F372/G372*H372)</f>
        <v/>
      </c>
      <c r="J372">
        <f>IF(A372="",0,SUMIFS(AJUSTEMENTS!$F$2:$F$501,AJUSTEMENTS!$A$2:$A$501,A372,AJUSTEMENTS!$B$2:$B$501,B372,AJUSTEMENTS!$C$2:$C$501,C372,AJUSTEMENTS!$D$2:$D$501,D372,AJUSTEMENTS!$E$2:$E$501,E372))</f>
        <v/>
      </c>
      <c r="K372">
        <f>IF(A372="",0,IF(J372&lt;&gt;0,J372,I372))</f>
        <v/>
      </c>
    </row>
    <row r="373">
      <c r="A373">
        <f>IF(TRAITEMENTS!$Q373="","",TRAITEMENTS!Q373)</f>
        <v/>
      </c>
      <c r="B373">
        <f>IF(TRAITEMENTS!$Q373="","",TRAITEMENTS!E373)</f>
        <v/>
      </c>
      <c r="C373">
        <f>IF(TRAITEMENTS!$Q373="","",TRAITEMENTS!F373)</f>
        <v/>
      </c>
      <c r="D373">
        <f>IF(TRAITEMENTS!$Q373="","",TRAITEMENTS!G373)</f>
        <v/>
      </c>
      <c r="E373">
        <f>IF(TRAITEMENTS!$Q373="","",TRAITEMENTS!H373)</f>
        <v/>
      </c>
      <c r="F373">
        <f>IF(TRAITEMENTS!$Q373="","",TRAITEMENTS!O373)</f>
        <v/>
      </c>
      <c r="G373">
        <f>IF(A373="",0,SUMIFS(TRAITEMENTS!$O$2:$O$501,TRAITEMENTS!$Q$2:$Q$501,A373,TRAITEMENTS!$E$2:$E$501,B373))</f>
        <v/>
      </c>
      <c r="H373">
        <f>IF(A373="",0,SUMIFS(CONNEXIONS!$C$2:$C$501,CONNEXIONS!$D$2:$D$501,A373,CONNEXIONS!$B$2:$B$501,B373))</f>
        <v/>
      </c>
      <c r="I373">
        <f>IF(G373=0,0,F373/G373*H373)</f>
        <v/>
      </c>
      <c r="J373">
        <f>IF(A373="",0,SUMIFS(AJUSTEMENTS!$F$2:$F$501,AJUSTEMENTS!$A$2:$A$501,A373,AJUSTEMENTS!$B$2:$B$501,B373,AJUSTEMENTS!$C$2:$C$501,C373,AJUSTEMENTS!$D$2:$D$501,D373,AJUSTEMENTS!$E$2:$E$501,E373))</f>
        <v/>
      </c>
      <c r="K373">
        <f>IF(A373="",0,IF(J373&lt;&gt;0,J373,I373))</f>
        <v/>
      </c>
    </row>
    <row r="374">
      <c r="A374">
        <f>IF(TRAITEMENTS!$Q374="","",TRAITEMENTS!Q374)</f>
        <v/>
      </c>
      <c r="B374">
        <f>IF(TRAITEMENTS!$Q374="","",TRAITEMENTS!E374)</f>
        <v/>
      </c>
      <c r="C374">
        <f>IF(TRAITEMENTS!$Q374="","",TRAITEMENTS!F374)</f>
        <v/>
      </c>
      <c r="D374">
        <f>IF(TRAITEMENTS!$Q374="","",TRAITEMENTS!G374)</f>
        <v/>
      </c>
      <c r="E374">
        <f>IF(TRAITEMENTS!$Q374="","",TRAITEMENTS!H374)</f>
        <v/>
      </c>
      <c r="F374">
        <f>IF(TRAITEMENTS!$Q374="","",TRAITEMENTS!O374)</f>
        <v/>
      </c>
      <c r="G374">
        <f>IF(A374="",0,SUMIFS(TRAITEMENTS!$O$2:$O$501,TRAITEMENTS!$Q$2:$Q$501,A374,TRAITEMENTS!$E$2:$E$501,B374))</f>
        <v/>
      </c>
      <c r="H374">
        <f>IF(A374="",0,SUMIFS(CONNEXIONS!$C$2:$C$501,CONNEXIONS!$D$2:$D$501,A374,CONNEXIONS!$B$2:$B$501,B374))</f>
        <v/>
      </c>
      <c r="I374">
        <f>IF(G374=0,0,F374/G374*H374)</f>
        <v/>
      </c>
      <c r="J374">
        <f>IF(A374="",0,SUMIFS(AJUSTEMENTS!$F$2:$F$501,AJUSTEMENTS!$A$2:$A$501,A374,AJUSTEMENTS!$B$2:$B$501,B374,AJUSTEMENTS!$C$2:$C$501,C374,AJUSTEMENTS!$D$2:$D$501,D374,AJUSTEMENTS!$E$2:$E$501,E374))</f>
        <v/>
      </c>
      <c r="K374">
        <f>IF(A374="",0,IF(J374&lt;&gt;0,J374,I374))</f>
        <v/>
      </c>
    </row>
    <row r="375">
      <c r="A375">
        <f>IF(TRAITEMENTS!$Q375="","",TRAITEMENTS!Q375)</f>
        <v/>
      </c>
      <c r="B375">
        <f>IF(TRAITEMENTS!$Q375="","",TRAITEMENTS!E375)</f>
        <v/>
      </c>
      <c r="C375">
        <f>IF(TRAITEMENTS!$Q375="","",TRAITEMENTS!F375)</f>
        <v/>
      </c>
      <c r="D375">
        <f>IF(TRAITEMENTS!$Q375="","",TRAITEMENTS!G375)</f>
        <v/>
      </c>
      <c r="E375">
        <f>IF(TRAITEMENTS!$Q375="","",TRAITEMENTS!H375)</f>
        <v/>
      </c>
      <c r="F375">
        <f>IF(TRAITEMENTS!$Q375="","",TRAITEMENTS!O375)</f>
        <v/>
      </c>
      <c r="G375">
        <f>IF(A375="",0,SUMIFS(TRAITEMENTS!$O$2:$O$501,TRAITEMENTS!$Q$2:$Q$501,A375,TRAITEMENTS!$E$2:$E$501,B375))</f>
        <v/>
      </c>
      <c r="H375">
        <f>IF(A375="",0,SUMIFS(CONNEXIONS!$C$2:$C$501,CONNEXIONS!$D$2:$D$501,A375,CONNEXIONS!$B$2:$B$501,B375))</f>
        <v/>
      </c>
      <c r="I375">
        <f>IF(G375=0,0,F375/G375*H375)</f>
        <v/>
      </c>
      <c r="J375">
        <f>IF(A375="",0,SUMIFS(AJUSTEMENTS!$F$2:$F$501,AJUSTEMENTS!$A$2:$A$501,A375,AJUSTEMENTS!$B$2:$B$501,B375,AJUSTEMENTS!$C$2:$C$501,C375,AJUSTEMENTS!$D$2:$D$501,D375,AJUSTEMENTS!$E$2:$E$501,E375))</f>
        <v/>
      </c>
      <c r="K375">
        <f>IF(A375="",0,IF(J375&lt;&gt;0,J375,I375))</f>
        <v/>
      </c>
    </row>
    <row r="376">
      <c r="A376">
        <f>IF(TRAITEMENTS!$Q376="","",TRAITEMENTS!Q376)</f>
        <v/>
      </c>
      <c r="B376">
        <f>IF(TRAITEMENTS!$Q376="","",TRAITEMENTS!E376)</f>
        <v/>
      </c>
      <c r="C376">
        <f>IF(TRAITEMENTS!$Q376="","",TRAITEMENTS!F376)</f>
        <v/>
      </c>
      <c r="D376">
        <f>IF(TRAITEMENTS!$Q376="","",TRAITEMENTS!G376)</f>
        <v/>
      </c>
      <c r="E376">
        <f>IF(TRAITEMENTS!$Q376="","",TRAITEMENTS!H376)</f>
        <v/>
      </c>
      <c r="F376">
        <f>IF(TRAITEMENTS!$Q376="","",TRAITEMENTS!O376)</f>
        <v/>
      </c>
      <c r="G376">
        <f>IF(A376="",0,SUMIFS(TRAITEMENTS!$O$2:$O$501,TRAITEMENTS!$Q$2:$Q$501,A376,TRAITEMENTS!$E$2:$E$501,B376))</f>
        <v/>
      </c>
      <c r="H376">
        <f>IF(A376="",0,SUMIFS(CONNEXIONS!$C$2:$C$501,CONNEXIONS!$D$2:$D$501,A376,CONNEXIONS!$B$2:$B$501,B376))</f>
        <v/>
      </c>
      <c r="I376">
        <f>IF(G376=0,0,F376/G376*H376)</f>
        <v/>
      </c>
      <c r="J376">
        <f>IF(A376="",0,SUMIFS(AJUSTEMENTS!$F$2:$F$501,AJUSTEMENTS!$A$2:$A$501,A376,AJUSTEMENTS!$B$2:$B$501,B376,AJUSTEMENTS!$C$2:$C$501,C376,AJUSTEMENTS!$D$2:$D$501,D376,AJUSTEMENTS!$E$2:$E$501,E376))</f>
        <v/>
      </c>
      <c r="K376">
        <f>IF(A376="",0,IF(J376&lt;&gt;0,J376,I376))</f>
        <v/>
      </c>
    </row>
    <row r="377">
      <c r="A377">
        <f>IF(TRAITEMENTS!$Q377="","",TRAITEMENTS!Q377)</f>
        <v/>
      </c>
      <c r="B377">
        <f>IF(TRAITEMENTS!$Q377="","",TRAITEMENTS!E377)</f>
        <v/>
      </c>
      <c r="C377">
        <f>IF(TRAITEMENTS!$Q377="","",TRAITEMENTS!F377)</f>
        <v/>
      </c>
      <c r="D377">
        <f>IF(TRAITEMENTS!$Q377="","",TRAITEMENTS!G377)</f>
        <v/>
      </c>
      <c r="E377">
        <f>IF(TRAITEMENTS!$Q377="","",TRAITEMENTS!H377)</f>
        <v/>
      </c>
      <c r="F377">
        <f>IF(TRAITEMENTS!$Q377="","",TRAITEMENTS!O377)</f>
        <v/>
      </c>
      <c r="G377">
        <f>IF(A377="",0,SUMIFS(TRAITEMENTS!$O$2:$O$501,TRAITEMENTS!$Q$2:$Q$501,A377,TRAITEMENTS!$E$2:$E$501,B377))</f>
        <v/>
      </c>
      <c r="H377">
        <f>IF(A377="",0,SUMIFS(CONNEXIONS!$C$2:$C$501,CONNEXIONS!$D$2:$D$501,A377,CONNEXIONS!$B$2:$B$501,B377))</f>
        <v/>
      </c>
      <c r="I377">
        <f>IF(G377=0,0,F377/G377*H377)</f>
        <v/>
      </c>
      <c r="J377">
        <f>IF(A377="",0,SUMIFS(AJUSTEMENTS!$F$2:$F$501,AJUSTEMENTS!$A$2:$A$501,A377,AJUSTEMENTS!$B$2:$B$501,B377,AJUSTEMENTS!$C$2:$C$501,C377,AJUSTEMENTS!$D$2:$D$501,D377,AJUSTEMENTS!$E$2:$E$501,E377))</f>
        <v/>
      </c>
      <c r="K377">
        <f>IF(A377="",0,IF(J377&lt;&gt;0,J377,I377))</f>
        <v/>
      </c>
    </row>
    <row r="378">
      <c r="A378">
        <f>IF(TRAITEMENTS!$Q378="","",TRAITEMENTS!Q378)</f>
        <v/>
      </c>
      <c r="B378">
        <f>IF(TRAITEMENTS!$Q378="","",TRAITEMENTS!E378)</f>
        <v/>
      </c>
      <c r="C378">
        <f>IF(TRAITEMENTS!$Q378="","",TRAITEMENTS!F378)</f>
        <v/>
      </c>
      <c r="D378">
        <f>IF(TRAITEMENTS!$Q378="","",TRAITEMENTS!G378)</f>
        <v/>
      </c>
      <c r="E378">
        <f>IF(TRAITEMENTS!$Q378="","",TRAITEMENTS!H378)</f>
        <v/>
      </c>
      <c r="F378">
        <f>IF(TRAITEMENTS!$Q378="","",TRAITEMENTS!O378)</f>
        <v/>
      </c>
      <c r="G378">
        <f>IF(A378="",0,SUMIFS(TRAITEMENTS!$O$2:$O$501,TRAITEMENTS!$Q$2:$Q$501,A378,TRAITEMENTS!$E$2:$E$501,B378))</f>
        <v/>
      </c>
      <c r="H378">
        <f>IF(A378="",0,SUMIFS(CONNEXIONS!$C$2:$C$501,CONNEXIONS!$D$2:$D$501,A378,CONNEXIONS!$B$2:$B$501,B378))</f>
        <v/>
      </c>
      <c r="I378">
        <f>IF(G378=0,0,F378/G378*H378)</f>
        <v/>
      </c>
      <c r="J378">
        <f>IF(A378="",0,SUMIFS(AJUSTEMENTS!$F$2:$F$501,AJUSTEMENTS!$A$2:$A$501,A378,AJUSTEMENTS!$B$2:$B$501,B378,AJUSTEMENTS!$C$2:$C$501,C378,AJUSTEMENTS!$D$2:$D$501,D378,AJUSTEMENTS!$E$2:$E$501,E378))</f>
        <v/>
      </c>
      <c r="K378">
        <f>IF(A378="",0,IF(J378&lt;&gt;0,J378,I378))</f>
        <v/>
      </c>
    </row>
    <row r="379">
      <c r="A379">
        <f>IF(TRAITEMENTS!$Q379="","",TRAITEMENTS!Q379)</f>
        <v/>
      </c>
      <c r="B379">
        <f>IF(TRAITEMENTS!$Q379="","",TRAITEMENTS!E379)</f>
        <v/>
      </c>
      <c r="C379">
        <f>IF(TRAITEMENTS!$Q379="","",TRAITEMENTS!F379)</f>
        <v/>
      </c>
      <c r="D379">
        <f>IF(TRAITEMENTS!$Q379="","",TRAITEMENTS!G379)</f>
        <v/>
      </c>
      <c r="E379">
        <f>IF(TRAITEMENTS!$Q379="","",TRAITEMENTS!H379)</f>
        <v/>
      </c>
      <c r="F379">
        <f>IF(TRAITEMENTS!$Q379="","",TRAITEMENTS!O379)</f>
        <v/>
      </c>
      <c r="G379">
        <f>IF(A379="",0,SUMIFS(TRAITEMENTS!$O$2:$O$501,TRAITEMENTS!$Q$2:$Q$501,A379,TRAITEMENTS!$E$2:$E$501,B379))</f>
        <v/>
      </c>
      <c r="H379">
        <f>IF(A379="",0,SUMIFS(CONNEXIONS!$C$2:$C$501,CONNEXIONS!$D$2:$D$501,A379,CONNEXIONS!$B$2:$B$501,B379))</f>
        <v/>
      </c>
      <c r="I379">
        <f>IF(G379=0,0,F379/G379*H379)</f>
        <v/>
      </c>
      <c r="J379">
        <f>IF(A379="",0,SUMIFS(AJUSTEMENTS!$F$2:$F$501,AJUSTEMENTS!$A$2:$A$501,A379,AJUSTEMENTS!$B$2:$B$501,B379,AJUSTEMENTS!$C$2:$C$501,C379,AJUSTEMENTS!$D$2:$D$501,D379,AJUSTEMENTS!$E$2:$E$501,E379))</f>
        <v/>
      </c>
      <c r="K379">
        <f>IF(A379="",0,IF(J379&lt;&gt;0,J379,I379))</f>
        <v/>
      </c>
    </row>
    <row r="380">
      <c r="A380">
        <f>IF(TRAITEMENTS!$Q380="","",TRAITEMENTS!Q380)</f>
        <v/>
      </c>
      <c r="B380">
        <f>IF(TRAITEMENTS!$Q380="","",TRAITEMENTS!E380)</f>
        <v/>
      </c>
      <c r="C380">
        <f>IF(TRAITEMENTS!$Q380="","",TRAITEMENTS!F380)</f>
        <v/>
      </c>
      <c r="D380">
        <f>IF(TRAITEMENTS!$Q380="","",TRAITEMENTS!G380)</f>
        <v/>
      </c>
      <c r="E380">
        <f>IF(TRAITEMENTS!$Q380="","",TRAITEMENTS!H380)</f>
        <v/>
      </c>
      <c r="F380">
        <f>IF(TRAITEMENTS!$Q380="","",TRAITEMENTS!O380)</f>
        <v/>
      </c>
      <c r="G380">
        <f>IF(A380="",0,SUMIFS(TRAITEMENTS!$O$2:$O$501,TRAITEMENTS!$Q$2:$Q$501,A380,TRAITEMENTS!$E$2:$E$501,B380))</f>
        <v/>
      </c>
      <c r="H380">
        <f>IF(A380="",0,SUMIFS(CONNEXIONS!$C$2:$C$501,CONNEXIONS!$D$2:$D$501,A380,CONNEXIONS!$B$2:$B$501,B380))</f>
        <v/>
      </c>
      <c r="I380">
        <f>IF(G380=0,0,F380/G380*H380)</f>
        <v/>
      </c>
      <c r="J380">
        <f>IF(A380="",0,SUMIFS(AJUSTEMENTS!$F$2:$F$501,AJUSTEMENTS!$A$2:$A$501,A380,AJUSTEMENTS!$B$2:$B$501,B380,AJUSTEMENTS!$C$2:$C$501,C380,AJUSTEMENTS!$D$2:$D$501,D380,AJUSTEMENTS!$E$2:$E$501,E380))</f>
        <v/>
      </c>
      <c r="K380">
        <f>IF(A380="",0,IF(J380&lt;&gt;0,J380,I380))</f>
        <v/>
      </c>
    </row>
    <row r="381">
      <c r="A381">
        <f>IF(TRAITEMENTS!$Q381="","",TRAITEMENTS!Q381)</f>
        <v/>
      </c>
      <c r="B381">
        <f>IF(TRAITEMENTS!$Q381="","",TRAITEMENTS!E381)</f>
        <v/>
      </c>
      <c r="C381">
        <f>IF(TRAITEMENTS!$Q381="","",TRAITEMENTS!F381)</f>
        <v/>
      </c>
      <c r="D381">
        <f>IF(TRAITEMENTS!$Q381="","",TRAITEMENTS!G381)</f>
        <v/>
      </c>
      <c r="E381">
        <f>IF(TRAITEMENTS!$Q381="","",TRAITEMENTS!H381)</f>
        <v/>
      </c>
      <c r="F381">
        <f>IF(TRAITEMENTS!$Q381="","",TRAITEMENTS!O381)</f>
        <v/>
      </c>
      <c r="G381">
        <f>IF(A381="",0,SUMIFS(TRAITEMENTS!$O$2:$O$501,TRAITEMENTS!$Q$2:$Q$501,A381,TRAITEMENTS!$E$2:$E$501,B381))</f>
        <v/>
      </c>
      <c r="H381">
        <f>IF(A381="",0,SUMIFS(CONNEXIONS!$C$2:$C$501,CONNEXIONS!$D$2:$D$501,A381,CONNEXIONS!$B$2:$B$501,B381))</f>
        <v/>
      </c>
      <c r="I381">
        <f>IF(G381=0,0,F381/G381*H381)</f>
        <v/>
      </c>
      <c r="J381">
        <f>IF(A381="",0,SUMIFS(AJUSTEMENTS!$F$2:$F$501,AJUSTEMENTS!$A$2:$A$501,A381,AJUSTEMENTS!$B$2:$B$501,B381,AJUSTEMENTS!$C$2:$C$501,C381,AJUSTEMENTS!$D$2:$D$501,D381,AJUSTEMENTS!$E$2:$E$501,E381))</f>
        <v/>
      </c>
      <c r="K381">
        <f>IF(A381="",0,IF(J381&lt;&gt;0,J381,I381))</f>
        <v/>
      </c>
    </row>
    <row r="382">
      <c r="A382">
        <f>IF(TRAITEMENTS!$Q382="","",TRAITEMENTS!Q382)</f>
        <v/>
      </c>
      <c r="B382">
        <f>IF(TRAITEMENTS!$Q382="","",TRAITEMENTS!E382)</f>
        <v/>
      </c>
      <c r="C382">
        <f>IF(TRAITEMENTS!$Q382="","",TRAITEMENTS!F382)</f>
        <v/>
      </c>
      <c r="D382">
        <f>IF(TRAITEMENTS!$Q382="","",TRAITEMENTS!G382)</f>
        <v/>
      </c>
      <c r="E382">
        <f>IF(TRAITEMENTS!$Q382="","",TRAITEMENTS!H382)</f>
        <v/>
      </c>
      <c r="F382">
        <f>IF(TRAITEMENTS!$Q382="","",TRAITEMENTS!O382)</f>
        <v/>
      </c>
      <c r="G382">
        <f>IF(A382="",0,SUMIFS(TRAITEMENTS!$O$2:$O$501,TRAITEMENTS!$Q$2:$Q$501,A382,TRAITEMENTS!$E$2:$E$501,B382))</f>
        <v/>
      </c>
      <c r="H382">
        <f>IF(A382="",0,SUMIFS(CONNEXIONS!$C$2:$C$501,CONNEXIONS!$D$2:$D$501,A382,CONNEXIONS!$B$2:$B$501,B382))</f>
        <v/>
      </c>
      <c r="I382">
        <f>IF(G382=0,0,F382/G382*H382)</f>
        <v/>
      </c>
      <c r="J382">
        <f>IF(A382="",0,SUMIFS(AJUSTEMENTS!$F$2:$F$501,AJUSTEMENTS!$A$2:$A$501,A382,AJUSTEMENTS!$B$2:$B$501,B382,AJUSTEMENTS!$C$2:$C$501,C382,AJUSTEMENTS!$D$2:$D$501,D382,AJUSTEMENTS!$E$2:$E$501,E382))</f>
        <v/>
      </c>
      <c r="K382">
        <f>IF(A382="",0,IF(J382&lt;&gt;0,J382,I382))</f>
        <v/>
      </c>
    </row>
    <row r="383">
      <c r="A383">
        <f>IF(TRAITEMENTS!$Q383="","",TRAITEMENTS!Q383)</f>
        <v/>
      </c>
      <c r="B383">
        <f>IF(TRAITEMENTS!$Q383="","",TRAITEMENTS!E383)</f>
        <v/>
      </c>
      <c r="C383">
        <f>IF(TRAITEMENTS!$Q383="","",TRAITEMENTS!F383)</f>
        <v/>
      </c>
      <c r="D383">
        <f>IF(TRAITEMENTS!$Q383="","",TRAITEMENTS!G383)</f>
        <v/>
      </c>
      <c r="E383">
        <f>IF(TRAITEMENTS!$Q383="","",TRAITEMENTS!H383)</f>
        <v/>
      </c>
      <c r="F383">
        <f>IF(TRAITEMENTS!$Q383="","",TRAITEMENTS!O383)</f>
        <v/>
      </c>
      <c r="G383">
        <f>IF(A383="",0,SUMIFS(TRAITEMENTS!$O$2:$O$501,TRAITEMENTS!$Q$2:$Q$501,A383,TRAITEMENTS!$E$2:$E$501,B383))</f>
        <v/>
      </c>
      <c r="H383">
        <f>IF(A383="",0,SUMIFS(CONNEXIONS!$C$2:$C$501,CONNEXIONS!$D$2:$D$501,A383,CONNEXIONS!$B$2:$B$501,B383))</f>
        <v/>
      </c>
      <c r="I383">
        <f>IF(G383=0,0,F383/G383*H383)</f>
        <v/>
      </c>
      <c r="J383">
        <f>IF(A383="",0,SUMIFS(AJUSTEMENTS!$F$2:$F$501,AJUSTEMENTS!$A$2:$A$501,A383,AJUSTEMENTS!$B$2:$B$501,B383,AJUSTEMENTS!$C$2:$C$501,C383,AJUSTEMENTS!$D$2:$D$501,D383,AJUSTEMENTS!$E$2:$E$501,E383))</f>
        <v/>
      </c>
      <c r="K383">
        <f>IF(A383="",0,IF(J383&lt;&gt;0,J383,I383))</f>
        <v/>
      </c>
    </row>
    <row r="384">
      <c r="A384">
        <f>IF(TRAITEMENTS!$Q384="","",TRAITEMENTS!Q384)</f>
        <v/>
      </c>
      <c r="B384">
        <f>IF(TRAITEMENTS!$Q384="","",TRAITEMENTS!E384)</f>
        <v/>
      </c>
      <c r="C384">
        <f>IF(TRAITEMENTS!$Q384="","",TRAITEMENTS!F384)</f>
        <v/>
      </c>
      <c r="D384">
        <f>IF(TRAITEMENTS!$Q384="","",TRAITEMENTS!G384)</f>
        <v/>
      </c>
      <c r="E384">
        <f>IF(TRAITEMENTS!$Q384="","",TRAITEMENTS!H384)</f>
        <v/>
      </c>
      <c r="F384">
        <f>IF(TRAITEMENTS!$Q384="","",TRAITEMENTS!O384)</f>
        <v/>
      </c>
      <c r="G384">
        <f>IF(A384="",0,SUMIFS(TRAITEMENTS!$O$2:$O$501,TRAITEMENTS!$Q$2:$Q$501,A384,TRAITEMENTS!$E$2:$E$501,B384))</f>
        <v/>
      </c>
      <c r="H384">
        <f>IF(A384="",0,SUMIFS(CONNEXIONS!$C$2:$C$501,CONNEXIONS!$D$2:$D$501,A384,CONNEXIONS!$B$2:$B$501,B384))</f>
        <v/>
      </c>
      <c r="I384">
        <f>IF(G384=0,0,F384/G384*H384)</f>
        <v/>
      </c>
      <c r="J384">
        <f>IF(A384="",0,SUMIFS(AJUSTEMENTS!$F$2:$F$501,AJUSTEMENTS!$A$2:$A$501,A384,AJUSTEMENTS!$B$2:$B$501,B384,AJUSTEMENTS!$C$2:$C$501,C384,AJUSTEMENTS!$D$2:$D$501,D384,AJUSTEMENTS!$E$2:$E$501,E384))</f>
        <v/>
      </c>
      <c r="K384">
        <f>IF(A384="",0,IF(J384&lt;&gt;0,J384,I384))</f>
        <v/>
      </c>
    </row>
    <row r="385">
      <c r="A385">
        <f>IF(TRAITEMENTS!$Q385="","",TRAITEMENTS!Q385)</f>
        <v/>
      </c>
      <c r="B385">
        <f>IF(TRAITEMENTS!$Q385="","",TRAITEMENTS!E385)</f>
        <v/>
      </c>
      <c r="C385">
        <f>IF(TRAITEMENTS!$Q385="","",TRAITEMENTS!F385)</f>
        <v/>
      </c>
      <c r="D385">
        <f>IF(TRAITEMENTS!$Q385="","",TRAITEMENTS!G385)</f>
        <v/>
      </c>
      <c r="E385">
        <f>IF(TRAITEMENTS!$Q385="","",TRAITEMENTS!H385)</f>
        <v/>
      </c>
      <c r="F385">
        <f>IF(TRAITEMENTS!$Q385="","",TRAITEMENTS!O385)</f>
        <v/>
      </c>
      <c r="G385">
        <f>IF(A385="",0,SUMIFS(TRAITEMENTS!$O$2:$O$501,TRAITEMENTS!$Q$2:$Q$501,A385,TRAITEMENTS!$E$2:$E$501,B385))</f>
        <v/>
      </c>
      <c r="H385">
        <f>IF(A385="",0,SUMIFS(CONNEXIONS!$C$2:$C$501,CONNEXIONS!$D$2:$D$501,A385,CONNEXIONS!$B$2:$B$501,B385))</f>
        <v/>
      </c>
      <c r="I385">
        <f>IF(G385=0,0,F385/G385*H385)</f>
        <v/>
      </c>
      <c r="J385">
        <f>IF(A385="",0,SUMIFS(AJUSTEMENTS!$F$2:$F$501,AJUSTEMENTS!$A$2:$A$501,A385,AJUSTEMENTS!$B$2:$B$501,B385,AJUSTEMENTS!$C$2:$C$501,C385,AJUSTEMENTS!$D$2:$D$501,D385,AJUSTEMENTS!$E$2:$E$501,E385))</f>
        <v/>
      </c>
      <c r="K385">
        <f>IF(A385="",0,IF(J385&lt;&gt;0,J385,I385))</f>
        <v/>
      </c>
    </row>
    <row r="386">
      <c r="A386">
        <f>IF(TRAITEMENTS!$Q386="","",TRAITEMENTS!Q386)</f>
        <v/>
      </c>
      <c r="B386">
        <f>IF(TRAITEMENTS!$Q386="","",TRAITEMENTS!E386)</f>
        <v/>
      </c>
      <c r="C386">
        <f>IF(TRAITEMENTS!$Q386="","",TRAITEMENTS!F386)</f>
        <v/>
      </c>
      <c r="D386">
        <f>IF(TRAITEMENTS!$Q386="","",TRAITEMENTS!G386)</f>
        <v/>
      </c>
      <c r="E386">
        <f>IF(TRAITEMENTS!$Q386="","",TRAITEMENTS!H386)</f>
        <v/>
      </c>
      <c r="F386">
        <f>IF(TRAITEMENTS!$Q386="","",TRAITEMENTS!O386)</f>
        <v/>
      </c>
      <c r="G386">
        <f>IF(A386="",0,SUMIFS(TRAITEMENTS!$O$2:$O$501,TRAITEMENTS!$Q$2:$Q$501,A386,TRAITEMENTS!$E$2:$E$501,B386))</f>
        <v/>
      </c>
      <c r="H386">
        <f>IF(A386="",0,SUMIFS(CONNEXIONS!$C$2:$C$501,CONNEXIONS!$D$2:$D$501,A386,CONNEXIONS!$B$2:$B$501,B386))</f>
        <v/>
      </c>
      <c r="I386">
        <f>IF(G386=0,0,F386/G386*H386)</f>
        <v/>
      </c>
      <c r="J386">
        <f>IF(A386="",0,SUMIFS(AJUSTEMENTS!$F$2:$F$501,AJUSTEMENTS!$A$2:$A$501,A386,AJUSTEMENTS!$B$2:$B$501,B386,AJUSTEMENTS!$C$2:$C$501,C386,AJUSTEMENTS!$D$2:$D$501,D386,AJUSTEMENTS!$E$2:$E$501,E386))</f>
        <v/>
      </c>
      <c r="K386">
        <f>IF(A386="",0,IF(J386&lt;&gt;0,J386,I386))</f>
        <v/>
      </c>
    </row>
    <row r="387">
      <c r="A387">
        <f>IF(TRAITEMENTS!$Q387="","",TRAITEMENTS!Q387)</f>
        <v/>
      </c>
      <c r="B387">
        <f>IF(TRAITEMENTS!$Q387="","",TRAITEMENTS!E387)</f>
        <v/>
      </c>
      <c r="C387">
        <f>IF(TRAITEMENTS!$Q387="","",TRAITEMENTS!F387)</f>
        <v/>
      </c>
      <c r="D387">
        <f>IF(TRAITEMENTS!$Q387="","",TRAITEMENTS!G387)</f>
        <v/>
      </c>
      <c r="E387">
        <f>IF(TRAITEMENTS!$Q387="","",TRAITEMENTS!H387)</f>
        <v/>
      </c>
      <c r="F387">
        <f>IF(TRAITEMENTS!$Q387="","",TRAITEMENTS!O387)</f>
        <v/>
      </c>
      <c r="G387">
        <f>IF(A387="",0,SUMIFS(TRAITEMENTS!$O$2:$O$501,TRAITEMENTS!$Q$2:$Q$501,A387,TRAITEMENTS!$E$2:$E$501,B387))</f>
        <v/>
      </c>
      <c r="H387">
        <f>IF(A387="",0,SUMIFS(CONNEXIONS!$C$2:$C$501,CONNEXIONS!$D$2:$D$501,A387,CONNEXIONS!$B$2:$B$501,B387))</f>
        <v/>
      </c>
      <c r="I387">
        <f>IF(G387=0,0,F387/G387*H387)</f>
        <v/>
      </c>
      <c r="J387">
        <f>IF(A387="",0,SUMIFS(AJUSTEMENTS!$F$2:$F$501,AJUSTEMENTS!$A$2:$A$501,A387,AJUSTEMENTS!$B$2:$B$501,B387,AJUSTEMENTS!$C$2:$C$501,C387,AJUSTEMENTS!$D$2:$D$501,D387,AJUSTEMENTS!$E$2:$E$501,E387))</f>
        <v/>
      </c>
      <c r="K387">
        <f>IF(A387="",0,IF(J387&lt;&gt;0,J387,I387))</f>
        <v/>
      </c>
    </row>
    <row r="388">
      <c r="A388">
        <f>IF(TRAITEMENTS!$Q388="","",TRAITEMENTS!Q388)</f>
        <v/>
      </c>
      <c r="B388">
        <f>IF(TRAITEMENTS!$Q388="","",TRAITEMENTS!E388)</f>
        <v/>
      </c>
      <c r="C388">
        <f>IF(TRAITEMENTS!$Q388="","",TRAITEMENTS!F388)</f>
        <v/>
      </c>
      <c r="D388">
        <f>IF(TRAITEMENTS!$Q388="","",TRAITEMENTS!G388)</f>
        <v/>
      </c>
      <c r="E388">
        <f>IF(TRAITEMENTS!$Q388="","",TRAITEMENTS!H388)</f>
        <v/>
      </c>
      <c r="F388">
        <f>IF(TRAITEMENTS!$Q388="","",TRAITEMENTS!O388)</f>
        <v/>
      </c>
      <c r="G388">
        <f>IF(A388="",0,SUMIFS(TRAITEMENTS!$O$2:$O$501,TRAITEMENTS!$Q$2:$Q$501,A388,TRAITEMENTS!$E$2:$E$501,B388))</f>
        <v/>
      </c>
      <c r="H388">
        <f>IF(A388="",0,SUMIFS(CONNEXIONS!$C$2:$C$501,CONNEXIONS!$D$2:$D$501,A388,CONNEXIONS!$B$2:$B$501,B388))</f>
        <v/>
      </c>
      <c r="I388">
        <f>IF(G388=0,0,F388/G388*H388)</f>
        <v/>
      </c>
      <c r="J388">
        <f>IF(A388="",0,SUMIFS(AJUSTEMENTS!$F$2:$F$501,AJUSTEMENTS!$A$2:$A$501,A388,AJUSTEMENTS!$B$2:$B$501,B388,AJUSTEMENTS!$C$2:$C$501,C388,AJUSTEMENTS!$D$2:$D$501,D388,AJUSTEMENTS!$E$2:$E$501,E388))</f>
        <v/>
      </c>
      <c r="K388">
        <f>IF(A388="",0,IF(J388&lt;&gt;0,J388,I388))</f>
        <v/>
      </c>
    </row>
    <row r="389">
      <c r="A389">
        <f>IF(TRAITEMENTS!$Q389="","",TRAITEMENTS!Q389)</f>
        <v/>
      </c>
      <c r="B389">
        <f>IF(TRAITEMENTS!$Q389="","",TRAITEMENTS!E389)</f>
        <v/>
      </c>
      <c r="C389">
        <f>IF(TRAITEMENTS!$Q389="","",TRAITEMENTS!F389)</f>
        <v/>
      </c>
      <c r="D389">
        <f>IF(TRAITEMENTS!$Q389="","",TRAITEMENTS!G389)</f>
        <v/>
      </c>
      <c r="E389">
        <f>IF(TRAITEMENTS!$Q389="","",TRAITEMENTS!H389)</f>
        <v/>
      </c>
      <c r="F389">
        <f>IF(TRAITEMENTS!$Q389="","",TRAITEMENTS!O389)</f>
        <v/>
      </c>
      <c r="G389">
        <f>IF(A389="",0,SUMIFS(TRAITEMENTS!$O$2:$O$501,TRAITEMENTS!$Q$2:$Q$501,A389,TRAITEMENTS!$E$2:$E$501,B389))</f>
        <v/>
      </c>
      <c r="H389">
        <f>IF(A389="",0,SUMIFS(CONNEXIONS!$C$2:$C$501,CONNEXIONS!$D$2:$D$501,A389,CONNEXIONS!$B$2:$B$501,B389))</f>
        <v/>
      </c>
      <c r="I389">
        <f>IF(G389=0,0,F389/G389*H389)</f>
        <v/>
      </c>
      <c r="J389">
        <f>IF(A389="",0,SUMIFS(AJUSTEMENTS!$F$2:$F$501,AJUSTEMENTS!$A$2:$A$501,A389,AJUSTEMENTS!$B$2:$B$501,B389,AJUSTEMENTS!$C$2:$C$501,C389,AJUSTEMENTS!$D$2:$D$501,D389,AJUSTEMENTS!$E$2:$E$501,E389))</f>
        <v/>
      </c>
      <c r="K389">
        <f>IF(A389="",0,IF(J389&lt;&gt;0,J389,I389))</f>
        <v/>
      </c>
    </row>
    <row r="390">
      <c r="A390">
        <f>IF(TRAITEMENTS!$Q390="","",TRAITEMENTS!Q390)</f>
        <v/>
      </c>
      <c r="B390">
        <f>IF(TRAITEMENTS!$Q390="","",TRAITEMENTS!E390)</f>
        <v/>
      </c>
      <c r="C390">
        <f>IF(TRAITEMENTS!$Q390="","",TRAITEMENTS!F390)</f>
        <v/>
      </c>
      <c r="D390">
        <f>IF(TRAITEMENTS!$Q390="","",TRAITEMENTS!G390)</f>
        <v/>
      </c>
      <c r="E390">
        <f>IF(TRAITEMENTS!$Q390="","",TRAITEMENTS!H390)</f>
        <v/>
      </c>
      <c r="F390">
        <f>IF(TRAITEMENTS!$Q390="","",TRAITEMENTS!O390)</f>
        <v/>
      </c>
      <c r="G390">
        <f>IF(A390="",0,SUMIFS(TRAITEMENTS!$O$2:$O$501,TRAITEMENTS!$Q$2:$Q$501,A390,TRAITEMENTS!$E$2:$E$501,B390))</f>
        <v/>
      </c>
      <c r="H390">
        <f>IF(A390="",0,SUMIFS(CONNEXIONS!$C$2:$C$501,CONNEXIONS!$D$2:$D$501,A390,CONNEXIONS!$B$2:$B$501,B390))</f>
        <v/>
      </c>
      <c r="I390">
        <f>IF(G390=0,0,F390/G390*H390)</f>
        <v/>
      </c>
      <c r="J390">
        <f>IF(A390="",0,SUMIFS(AJUSTEMENTS!$F$2:$F$501,AJUSTEMENTS!$A$2:$A$501,A390,AJUSTEMENTS!$B$2:$B$501,B390,AJUSTEMENTS!$C$2:$C$501,C390,AJUSTEMENTS!$D$2:$D$501,D390,AJUSTEMENTS!$E$2:$E$501,E390))</f>
        <v/>
      </c>
      <c r="K390">
        <f>IF(A390="",0,IF(J390&lt;&gt;0,J390,I390))</f>
        <v/>
      </c>
    </row>
    <row r="391">
      <c r="A391">
        <f>IF(TRAITEMENTS!$Q391="","",TRAITEMENTS!Q391)</f>
        <v/>
      </c>
      <c r="B391">
        <f>IF(TRAITEMENTS!$Q391="","",TRAITEMENTS!E391)</f>
        <v/>
      </c>
      <c r="C391">
        <f>IF(TRAITEMENTS!$Q391="","",TRAITEMENTS!F391)</f>
        <v/>
      </c>
      <c r="D391">
        <f>IF(TRAITEMENTS!$Q391="","",TRAITEMENTS!G391)</f>
        <v/>
      </c>
      <c r="E391">
        <f>IF(TRAITEMENTS!$Q391="","",TRAITEMENTS!H391)</f>
        <v/>
      </c>
      <c r="F391">
        <f>IF(TRAITEMENTS!$Q391="","",TRAITEMENTS!O391)</f>
        <v/>
      </c>
      <c r="G391">
        <f>IF(A391="",0,SUMIFS(TRAITEMENTS!$O$2:$O$501,TRAITEMENTS!$Q$2:$Q$501,A391,TRAITEMENTS!$E$2:$E$501,B391))</f>
        <v/>
      </c>
      <c r="H391">
        <f>IF(A391="",0,SUMIFS(CONNEXIONS!$C$2:$C$501,CONNEXIONS!$D$2:$D$501,A391,CONNEXIONS!$B$2:$B$501,B391))</f>
        <v/>
      </c>
      <c r="I391">
        <f>IF(G391=0,0,F391/G391*H391)</f>
        <v/>
      </c>
      <c r="J391">
        <f>IF(A391="",0,SUMIFS(AJUSTEMENTS!$F$2:$F$501,AJUSTEMENTS!$A$2:$A$501,A391,AJUSTEMENTS!$B$2:$B$501,B391,AJUSTEMENTS!$C$2:$C$501,C391,AJUSTEMENTS!$D$2:$D$501,D391,AJUSTEMENTS!$E$2:$E$501,E391))</f>
        <v/>
      </c>
      <c r="K391">
        <f>IF(A391="",0,IF(J391&lt;&gt;0,J391,I391))</f>
        <v/>
      </c>
    </row>
    <row r="392">
      <c r="A392">
        <f>IF(TRAITEMENTS!$Q392="","",TRAITEMENTS!Q392)</f>
        <v/>
      </c>
      <c r="B392">
        <f>IF(TRAITEMENTS!$Q392="","",TRAITEMENTS!E392)</f>
        <v/>
      </c>
      <c r="C392">
        <f>IF(TRAITEMENTS!$Q392="","",TRAITEMENTS!F392)</f>
        <v/>
      </c>
      <c r="D392">
        <f>IF(TRAITEMENTS!$Q392="","",TRAITEMENTS!G392)</f>
        <v/>
      </c>
      <c r="E392">
        <f>IF(TRAITEMENTS!$Q392="","",TRAITEMENTS!H392)</f>
        <v/>
      </c>
      <c r="F392">
        <f>IF(TRAITEMENTS!$Q392="","",TRAITEMENTS!O392)</f>
        <v/>
      </c>
      <c r="G392">
        <f>IF(A392="",0,SUMIFS(TRAITEMENTS!$O$2:$O$501,TRAITEMENTS!$Q$2:$Q$501,A392,TRAITEMENTS!$E$2:$E$501,B392))</f>
        <v/>
      </c>
      <c r="H392">
        <f>IF(A392="",0,SUMIFS(CONNEXIONS!$C$2:$C$501,CONNEXIONS!$D$2:$D$501,A392,CONNEXIONS!$B$2:$B$501,B392))</f>
        <v/>
      </c>
      <c r="I392">
        <f>IF(G392=0,0,F392/G392*H392)</f>
        <v/>
      </c>
      <c r="J392">
        <f>IF(A392="",0,SUMIFS(AJUSTEMENTS!$F$2:$F$501,AJUSTEMENTS!$A$2:$A$501,A392,AJUSTEMENTS!$B$2:$B$501,B392,AJUSTEMENTS!$C$2:$C$501,C392,AJUSTEMENTS!$D$2:$D$501,D392,AJUSTEMENTS!$E$2:$E$501,E392))</f>
        <v/>
      </c>
      <c r="K392">
        <f>IF(A392="",0,IF(J392&lt;&gt;0,J392,I392))</f>
        <v/>
      </c>
    </row>
    <row r="393">
      <c r="A393">
        <f>IF(TRAITEMENTS!$Q393="","",TRAITEMENTS!Q393)</f>
        <v/>
      </c>
      <c r="B393">
        <f>IF(TRAITEMENTS!$Q393="","",TRAITEMENTS!E393)</f>
        <v/>
      </c>
      <c r="C393">
        <f>IF(TRAITEMENTS!$Q393="","",TRAITEMENTS!F393)</f>
        <v/>
      </c>
      <c r="D393">
        <f>IF(TRAITEMENTS!$Q393="","",TRAITEMENTS!G393)</f>
        <v/>
      </c>
      <c r="E393">
        <f>IF(TRAITEMENTS!$Q393="","",TRAITEMENTS!H393)</f>
        <v/>
      </c>
      <c r="F393">
        <f>IF(TRAITEMENTS!$Q393="","",TRAITEMENTS!O393)</f>
        <v/>
      </c>
      <c r="G393">
        <f>IF(A393="",0,SUMIFS(TRAITEMENTS!$O$2:$O$501,TRAITEMENTS!$Q$2:$Q$501,A393,TRAITEMENTS!$E$2:$E$501,B393))</f>
        <v/>
      </c>
      <c r="H393">
        <f>IF(A393="",0,SUMIFS(CONNEXIONS!$C$2:$C$501,CONNEXIONS!$D$2:$D$501,A393,CONNEXIONS!$B$2:$B$501,B393))</f>
        <v/>
      </c>
      <c r="I393">
        <f>IF(G393=0,0,F393/G393*H393)</f>
        <v/>
      </c>
      <c r="J393">
        <f>IF(A393="",0,SUMIFS(AJUSTEMENTS!$F$2:$F$501,AJUSTEMENTS!$A$2:$A$501,A393,AJUSTEMENTS!$B$2:$B$501,B393,AJUSTEMENTS!$C$2:$C$501,C393,AJUSTEMENTS!$D$2:$D$501,D393,AJUSTEMENTS!$E$2:$E$501,E393))</f>
        <v/>
      </c>
      <c r="K393">
        <f>IF(A393="",0,IF(J393&lt;&gt;0,J393,I393))</f>
        <v/>
      </c>
    </row>
    <row r="394">
      <c r="A394">
        <f>IF(TRAITEMENTS!$Q394="","",TRAITEMENTS!Q394)</f>
        <v/>
      </c>
      <c r="B394">
        <f>IF(TRAITEMENTS!$Q394="","",TRAITEMENTS!E394)</f>
        <v/>
      </c>
      <c r="C394">
        <f>IF(TRAITEMENTS!$Q394="","",TRAITEMENTS!F394)</f>
        <v/>
      </c>
      <c r="D394">
        <f>IF(TRAITEMENTS!$Q394="","",TRAITEMENTS!G394)</f>
        <v/>
      </c>
      <c r="E394">
        <f>IF(TRAITEMENTS!$Q394="","",TRAITEMENTS!H394)</f>
        <v/>
      </c>
      <c r="F394">
        <f>IF(TRAITEMENTS!$Q394="","",TRAITEMENTS!O394)</f>
        <v/>
      </c>
      <c r="G394">
        <f>IF(A394="",0,SUMIFS(TRAITEMENTS!$O$2:$O$501,TRAITEMENTS!$Q$2:$Q$501,A394,TRAITEMENTS!$E$2:$E$501,B394))</f>
        <v/>
      </c>
      <c r="H394">
        <f>IF(A394="",0,SUMIFS(CONNEXIONS!$C$2:$C$501,CONNEXIONS!$D$2:$D$501,A394,CONNEXIONS!$B$2:$B$501,B394))</f>
        <v/>
      </c>
      <c r="I394">
        <f>IF(G394=0,0,F394/G394*H394)</f>
        <v/>
      </c>
      <c r="J394">
        <f>IF(A394="",0,SUMIFS(AJUSTEMENTS!$F$2:$F$501,AJUSTEMENTS!$A$2:$A$501,A394,AJUSTEMENTS!$B$2:$B$501,B394,AJUSTEMENTS!$C$2:$C$501,C394,AJUSTEMENTS!$D$2:$D$501,D394,AJUSTEMENTS!$E$2:$E$501,E394))</f>
        <v/>
      </c>
      <c r="K394">
        <f>IF(A394="",0,IF(J394&lt;&gt;0,J394,I394))</f>
        <v/>
      </c>
    </row>
    <row r="395">
      <c r="A395">
        <f>IF(TRAITEMENTS!$Q395="","",TRAITEMENTS!Q395)</f>
        <v/>
      </c>
      <c r="B395">
        <f>IF(TRAITEMENTS!$Q395="","",TRAITEMENTS!E395)</f>
        <v/>
      </c>
      <c r="C395">
        <f>IF(TRAITEMENTS!$Q395="","",TRAITEMENTS!F395)</f>
        <v/>
      </c>
      <c r="D395">
        <f>IF(TRAITEMENTS!$Q395="","",TRAITEMENTS!G395)</f>
        <v/>
      </c>
      <c r="E395">
        <f>IF(TRAITEMENTS!$Q395="","",TRAITEMENTS!H395)</f>
        <v/>
      </c>
      <c r="F395">
        <f>IF(TRAITEMENTS!$Q395="","",TRAITEMENTS!O395)</f>
        <v/>
      </c>
      <c r="G395">
        <f>IF(A395="",0,SUMIFS(TRAITEMENTS!$O$2:$O$501,TRAITEMENTS!$Q$2:$Q$501,A395,TRAITEMENTS!$E$2:$E$501,B395))</f>
        <v/>
      </c>
      <c r="H395">
        <f>IF(A395="",0,SUMIFS(CONNEXIONS!$C$2:$C$501,CONNEXIONS!$D$2:$D$501,A395,CONNEXIONS!$B$2:$B$501,B395))</f>
        <v/>
      </c>
      <c r="I395">
        <f>IF(G395=0,0,F395/G395*H395)</f>
        <v/>
      </c>
      <c r="J395">
        <f>IF(A395="",0,SUMIFS(AJUSTEMENTS!$F$2:$F$501,AJUSTEMENTS!$A$2:$A$501,A395,AJUSTEMENTS!$B$2:$B$501,B395,AJUSTEMENTS!$C$2:$C$501,C395,AJUSTEMENTS!$D$2:$D$501,D395,AJUSTEMENTS!$E$2:$E$501,E395))</f>
        <v/>
      </c>
      <c r="K395">
        <f>IF(A395="",0,IF(J395&lt;&gt;0,J395,I395))</f>
        <v/>
      </c>
    </row>
    <row r="396">
      <c r="A396">
        <f>IF(TRAITEMENTS!$Q396="","",TRAITEMENTS!Q396)</f>
        <v/>
      </c>
      <c r="B396">
        <f>IF(TRAITEMENTS!$Q396="","",TRAITEMENTS!E396)</f>
        <v/>
      </c>
      <c r="C396">
        <f>IF(TRAITEMENTS!$Q396="","",TRAITEMENTS!F396)</f>
        <v/>
      </c>
      <c r="D396">
        <f>IF(TRAITEMENTS!$Q396="","",TRAITEMENTS!G396)</f>
        <v/>
      </c>
      <c r="E396">
        <f>IF(TRAITEMENTS!$Q396="","",TRAITEMENTS!H396)</f>
        <v/>
      </c>
      <c r="F396">
        <f>IF(TRAITEMENTS!$Q396="","",TRAITEMENTS!O396)</f>
        <v/>
      </c>
      <c r="G396">
        <f>IF(A396="",0,SUMIFS(TRAITEMENTS!$O$2:$O$501,TRAITEMENTS!$Q$2:$Q$501,A396,TRAITEMENTS!$E$2:$E$501,B396))</f>
        <v/>
      </c>
      <c r="H396">
        <f>IF(A396="",0,SUMIFS(CONNEXIONS!$C$2:$C$501,CONNEXIONS!$D$2:$D$501,A396,CONNEXIONS!$B$2:$B$501,B396))</f>
        <v/>
      </c>
      <c r="I396">
        <f>IF(G396=0,0,F396/G396*H396)</f>
        <v/>
      </c>
      <c r="J396">
        <f>IF(A396="",0,SUMIFS(AJUSTEMENTS!$F$2:$F$501,AJUSTEMENTS!$A$2:$A$501,A396,AJUSTEMENTS!$B$2:$B$501,B396,AJUSTEMENTS!$C$2:$C$501,C396,AJUSTEMENTS!$D$2:$D$501,D396,AJUSTEMENTS!$E$2:$E$501,E396))</f>
        <v/>
      </c>
      <c r="K396">
        <f>IF(A396="",0,IF(J396&lt;&gt;0,J396,I396))</f>
        <v/>
      </c>
    </row>
    <row r="397">
      <c r="A397">
        <f>IF(TRAITEMENTS!$Q397="","",TRAITEMENTS!Q397)</f>
        <v/>
      </c>
      <c r="B397">
        <f>IF(TRAITEMENTS!$Q397="","",TRAITEMENTS!E397)</f>
        <v/>
      </c>
      <c r="C397">
        <f>IF(TRAITEMENTS!$Q397="","",TRAITEMENTS!F397)</f>
        <v/>
      </c>
      <c r="D397">
        <f>IF(TRAITEMENTS!$Q397="","",TRAITEMENTS!G397)</f>
        <v/>
      </c>
      <c r="E397">
        <f>IF(TRAITEMENTS!$Q397="","",TRAITEMENTS!H397)</f>
        <v/>
      </c>
      <c r="F397">
        <f>IF(TRAITEMENTS!$Q397="","",TRAITEMENTS!O397)</f>
        <v/>
      </c>
      <c r="G397">
        <f>IF(A397="",0,SUMIFS(TRAITEMENTS!$O$2:$O$501,TRAITEMENTS!$Q$2:$Q$501,A397,TRAITEMENTS!$E$2:$E$501,B397))</f>
        <v/>
      </c>
      <c r="H397">
        <f>IF(A397="",0,SUMIFS(CONNEXIONS!$C$2:$C$501,CONNEXIONS!$D$2:$D$501,A397,CONNEXIONS!$B$2:$B$501,B397))</f>
        <v/>
      </c>
      <c r="I397">
        <f>IF(G397=0,0,F397/G397*H397)</f>
        <v/>
      </c>
      <c r="J397">
        <f>IF(A397="",0,SUMIFS(AJUSTEMENTS!$F$2:$F$501,AJUSTEMENTS!$A$2:$A$501,A397,AJUSTEMENTS!$B$2:$B$501,B397,AJUSTEMENTS!$C$2:$C$501,C397,AJUSTEMENTS!$D$2:$D$501,D397,AJUSTEMENTS!$E$2:$E$501,E397))</f>
        <v/>
      </c>
      <c r="K397">
        <f>IF(A397="",0,IF(J397&lt;&gt;0,J397,I397))</f>
        <v/>
      </c>
    </row>
    <row r="398">
      <c r="A398">
        <f>IF(TRAITEMENTS!$Q398="","",TRAITEMENTS!Q398)</f>
        <v/>
      </c>
      <c r="B398">
        <f>IF(TRAITEMENTS!$Q398="","",TRAITEMENTS!E398)</f>
        <v/>
      </c>
      <c r="C398">
        <f>IF(TRAITEMENTS!$Q398="","",TRAITEMENTS!F398)</f>
        <v/>
      </c>
      <c r="D398">
        <f>IF(TRAITEMENTS!$Q398="","",TRAITEMENTS!G398)</f>
        <v/>
      </c>
      <c r="E398">
        <f>IF(TRAITEMENTS!$Q398="","",TRAITEMENTS!H398)</f>
        <v/>
      </c>
      <c r="F398">
        <f>IF(TRAITEMENTS!$Q398="","",TRAITEMENTS!O398)</f>
        <v/>
      </c>
      <c r="G398">
        <f>IF(A398="",0,SUMIFS(TRAITEMENTS!$O$2:$O$501,TRAITEMENTS!$Q$2:$Q$501,A398,TRAITEMENTS!$E$2:$E$501,B398))</f>
        <v/>
      </c>
      <c r="H398">
        <f>IF(A398="",0,SUMIFS(CONNEXIONS!$C$2:$C$501,CONNEXIONS!$D$2:$D$501,A398,CONNEXIONS!$B$2:$B$501,B398))</f>
        <v/>
      </c>
      <c r="I398">
        <f>IF(G398=0,0,F398/G398*H398)</f>
        <v/>
      </c>
      <c r="J398">
        <f>IF(A398="",0,SUMIFS(AJUSTEMENTS!$F$2:$F$501,AJUSTEMENTS!$A$2:$A$501,A398,AJUSTEMENTS!$B$2:$B$501,B398,AJUSTEMENTS!$C$2:$C$501,C398,AJUSTEMENTS!$D$2:$D$501,D398,AJUSTEMENTS!$E$2:$E$501,E398))</f>
        <v/>
      </c>
      <c r="K398">
        <f>IF(A398="",0,IF(J398&lt;&gt;0,J398,I398))</f>
        <v/>
      </c>
    </row>
    <row r="399">
      <c r="A399">
        <f>IF(TRAITEMENTS!$Q399="","",TRAITEMENTS!Q399)</f>
        <v/>
      </c>
      <c r="B399">
        <f>IF(TRAITEMENTS!$Q399="","",TRAITEMENTS!E399)</f>
        <v/>
      </c>
      <c r="C399">
        <f>IF(TRAITEMENTS!$Q399="","",TRAITEMENTS!F399)</f>
        <v/>
      </c>
      <c r="D399">
        <f>IF(TRAITEMENTS!$Q399="","",TRAITEMENTS!G399)</f>
        <v/>
      </c>
      <c r="E399">
        <f>IF(TRAITEMENTS!$Q399="","",TRAITEMENTS!H399)</f>
        <v/>
      </c>
      <c r="F399">
        <f>IF(TRAITEMENTS!$Q399="","",TRAITEMENTS!O399)</f>
        <v/>
      </c>
      <c r="G399">
        <f>IF(A399="",0,SUMIFS(TRAITEMENTS!$O$2:$O$501,TRAITEMENTS!$Q$2:$Q$501,A399,TRAITEMENTS!$E$2:$E$501,B399))</f>
        <v/>
      </c>
      <c r="H399">
        <f>IF(A399="",0,SUMIFS(CONNEXIONS!$C$2:$C$501,CONNEXIONS!$D$2:$D$501,A399,CONNEXIONS!$B$2:$B$501,B399))</f>
        <v/>
      </c>
      <c r="I399">
        <f>IF(G399=0,0,F399/G399*H399)</f>
        <v/>
      </c>
      <c r="J399">
        <f>IF(A399="",0,SUMIFS(AJUSTEMENTS!$F$2:$F$501,AJUSTEMENTS!$A$2:$A$501,A399,AJUSTEMENTS!$B$2:$B$501,B399,AJUSTEMENTS!$C$2:$C$501,C399,AJUSTEMENTS!$D$2:$D$501,D399,AJUSTEMENTS!$E$2:$E$501,E399))</f>
        <v/>
      </c>
      <c r="K399">
        <f>IF(A399="",0,IF(J399&lt;&gt;0,J399,I399))</f>
        <v/>
      </c>
    </row>
    <row r="400">
      <c r="A400">
        <f>IF(TRAITEMENTS!$Q400="","",TRAITEMENTS!Q400)</f>
        <v/>
      </c>
      <c r="B400">
        <f>IF(TRAITEMENTS!$Q400="","",TRAITEMENTS!E400)</f>
        <v/>
      </c>
      <c r="C400">
        <f>IF(TRAITEMENTS!$Q400="","",TRAITEMENTS!F400)</f>
        <v/>
      </c>
      <c r="D400">
        <f>IF(TRAITEMENTS!$Q400="","",TRAITEMENTS!G400)</f>
        <v/>
      </c>
      <c r="E400">
        <f>IF(TRAITEMENTS!$Q400="","",TRAITEMENTS!H400)</f>
        <v/>
      </c>
      <c r="F400">
        <f>IF(TRAITEMENTS!$Q400="","",TRAITEMENTS!O400)</f>
        <v/>
      </c>
      <c r="G400">
        <f>IF(A400="",0,SUMIFS(TRAITEMENTS!$O$2:$O$501,TRAITEMENTS!$Q$2:$Q$501,A400,TRAITEMENTS!$E$2:$E$501,B400))</f>
        <v/>
      </c>
      <c r="H400">
        <f>IF(A400="",0,SUMIFS(CONNEXIONS!$C$2:$C$501,CONNEXIONS!$D$2:$D$501,A400,CONNEXIONS!$B$2:$B$501,B400))</f>
        <v/>
      </c>
      <c r="I400">
        <f>IF(G400=0,0,F400/G400*H400)</f>
        <v/>
      </c>
      <c r="J400">
        <f>IF(A400="",0,SUMIFS(AJUSTEMENTS!$F$2:$F$501,AJUSTEMENTS!$A$2:$A$501,A400,AJUSTEMENTS!$B$2:$B$501,B400,AJUSTEMENTS!$C$2:$C$501,C400,AJUSTEMENTS!$D$2:$D$501,D400,AJUSTEMENTS!$E$2:$E$501,E400))</f>
        <v/>
      </c>
      <c r="K400">
        <f>IF(A400="",0,IF(J400&lt;&gt;0,J400,I400))</f>
        <v/>
      </c>
    </row>
    <row r="401">
      <c r="A401">
        <f>IF(TRAITEMENTS!$Q401="","",TRAITEMENTS!Q401)</f>
        <v/>
      </c>
      <c r="B401">
        <f>IF(TRAITEMENTS!$Q401="","",TRAITEMENTS!E401)</f>
        <v/>
      </c>
      <c r="C401">
        <f>IF(TRAITEMENTS!$Q401="","",TRAITEMENTS!F401)</f>
        <v/>
      </c>
      <c r="D401">
        <f>IF(TRAITEMENTS!$Q401="","",TRAITEMENTS!G401)</f>
        <v/>
      </c>
      <c r="E401">
        <f>IF(TRAITEMENTS!$Q401="","",TRAITEMENTS!H401)</f>
        <v/>
      </c>
      <c r="F401">
        <f>IF(TRAITEMENTS!$Q401="","",TRAITEMENTS!O401)</f>
        <v/>
      </c>
      <c r="G401">
        <f>IF(A401="",0,SUMIFS(TRAITEMENTS!$O$2:$O$501,TRAITEMENTS!$Q$2:$Q$501,A401,TRAITEMENTS!$E$2:$E$501,B401))</f>
        <v/>
      </c>
      <c r="H401">
        <f>IF(A401="",0,SUMIFS(CONNEXIONS!$C$2:$C$501,CONNEXIONS!$D$2:$D$501,A401,CONNEXIONS!$B$2:$B$501,B401))</f>
        <v/>
      </c>
      <c r="I401">
        <f>IF(G401=0,0,F401/G401*H401)</f>
        <v/>
      </c>
      <c r="J401">
        <f>IF(A401="",0,SUMIFS(AJUSTEMENTS!$F$2:$F$501,AJUSTEMENTS!$A$2:$A$501,A401,AJUSTEMENTS!$B$2:$B$501,B401,AJUSTEMENTS!$C$2:$C$501,C401,AJUSTEMENTS!$D$2:$D$501,D401,AJUSTEMENTS!$E$2:$E$501,E401))</f>
        <v/>
      </c>
      <c r="K401">
        <f>IF(A401="",0,IF(J401&lt;&gt;0,J401,I401))</f>
        <v/>
      </c>
    </row>
    <row r="402">
      <c r="A402">
        <f>IF(TRAITEMENTS!$Q402="","",TRAITEMENTS!Q402)</f>
        <v/>
      </c>
      <c r="B402">
        <f>IF(TRAITEMENTS!$Q402="","",TRAITEMENTS!E402)</f>
        <v/>
      </c>
      <c r="C402">
        <f>IF(TRAITEMENTS!$Q402="","",TRAITEMENTS!F402)</f>
        <v/>
      </c>
      <c r="D402">
        <f>IF(TRAITEMENTS!$Q402="","",TRAITEMENTS!G402)</f>
        <v/>
      </c>
      <c r="E402">
        <f>IF(TRAITEMENTS!$Q402="","",TRAITEMENTS!H402)</f>
        <v/>
      </c>
      <c r="F402">
        <f>IF(TRAITEMENTS!$Q402="","",TRAITEMENTS!O402)</f>
        <v/>
      </c>
      <c r="G402">
        <f>IF(A402="",0,SUMIFS(TRAITEMENTS!$O$2:$O$501,TRAITEMENTS!$Q$2:$Q$501,A402,TRAITEMENTS!$E$2:$E$501,B402))</f>
        <v/>
      </c>
      <c r="H402">
        <f>IF(A402="",0,SUMIFS(CONNEXIONS!$C$2:$C$501,CONNEXIONS!$D$2:$D$501,A402,CONNEXIONS!$B$2:$B$501,B402))</f>
        <v/>
      </c>
      <c r="I402">
        <f>IF(G402=0,0,F402/G402*H402)</f>
        <v/>
      </c>
      <c r="J402">
        <f>IF(A402="",0,SUMIFS(AJUSTEMENTS!$F$2:$F$501,AJUSTEMENTS!$A$2:$A$501,A402,AJUSTEMENTS!$B$2:$B$501,B402,AJUSTEMENTS!$C$2:$C$501,C402,AJUSTEMENTS!$D$2:$D$501,D402,AJUSTEMENTS!$E$2:$E$501,E402))</f>
        <v/>
      </c>
      <c r="K402">
        <f>IF(A402="",0,IF(J402&lt;&gt;0,J402,I402))</f>
        <v/>
      </c>
    </row>
    <row r="403">
      <c r="A403">
        <f>IF(TRAITEMENTS!$Q403="","",TRAITEMENTS!Q403)</f>
        <v/>
      </c>
      <c r="B403">
        <f>IF(TRAITEMENTS!$Q403="","",TRAITEMENTS!E403)</f>
        <v/>
      </c>
      <c r="C403">
        <f>IF(TRAITEMENTS!$Q403="","",TRAITEMENTS!F403)</f>
        <v/>
      </c>
      <c r="D403">
        <f>IF(TRAITEMENTS!$Q403="","",TRAITEMENTS!G403)</f>
        <v/>
      </c>
      <c r="E403">
        <f>IF(TRAITEMENTS!$Q403="","",TRAITEMENTS!H403)</f>
        <v/>
      </c>
      <c r="F403">
        <f>IF(TRAITEMENTS!$Q403="","",TRAITEMENTS!O403)</f>
        <v/>
      </c>
      <c r="G403">
        <f>IF(A403="",0,SUMIFS(TRAITEMENTS!$O$2:$O$501,TRAITEMENTS!$Q$2:$Q$501,A403,TRAITEMENTS!$E$2:$E$501,B403))</f>
        <v/>
      </c>
      <c r="H403">
        <f>IF(A403="",0,SUMIFS(CONNEXIONS!$C$2:$C$501,CONNEXIONS!$D$2:$D$501,A403,CONNEXIONS!$B$2:$B$501,B403))</f>
        <v/>
      </c>
      <c r="I403">
        <f>IF(G403=0,0,F403/G403*H403)</f>
        <v/>
      </c>
      <c r="J403">
        <f>IF(A403="",0,SUMIFS(AJUSTEMENTS!$F$2:$F$501,AJUSTEMENTS!$A$2:$A$501,A403,AJUSTEMENTS!$B$2:$B$501,B403,AJUSTEMENTS!$C$2:$C$501,C403,AJUSTEMENTS!$D$2:$D$501,D403,AJUSTEMENTS!$E$2:$E$501,E403))</f>
        <v/>
      </c>
      <c r="K403">
        <f>IF(A403="",0,IF(J403&lt;&gt;0,J403,I403))</f>
        <v/>
      </c>
    </row>
    <row r="404">
      <c r="A404">
        <f>IF(TRAITEMENTS!$Q404="","",TRAITEMENTS!Q404)</f>
        <v/>
      </c>
      <c r="B404">
        <f>IF(TRAITEMENTS!$Q404="","",TRAITEMENTS!E404)</f>
        <v/>
      </c>
      <c r="C404">
        <f>IF(TRAITEMENTS!$Q404="","",TRAITEMENTS!F404)</f>
        <v/>
      </c>
      <c r="D404">
        <f>IF(TRAITEMENTS!$Q404="","",TRAITEMENTS!G404)</f>
        <v/>
      </c>
      <c r="E404">
        <f>IF(TRAITEMENTS!$Q404="","",TRAITEMENTS!H404)</f>
        <v/>
      </c>
      <c r="F404">
        <f>IF(TRAITEMENTS!$Q404="","",TRAITEMENTS!O404)</f>
        <v/>
      </c>
      <c r="G404">
        <f>IF(A404="",0,SUMIFS(TRAITEMENTS!$O$2:$O$501,TRAITEMENTS!$Q$2:$Q$501,A404,TRAITEMENTS!$E$2:$E$501,B404))</f>
        <v/>
      </c>
      <c r="H404">
        <f>IF(A404="",0,SUMIFS(CONNEXIONS!$C$2:$C$501,CONNEXIONS!$D$2:$D$501,A404,CONNEXIONS!$B$2:$B$501,B404))</f>
        <v/>
      </c>
      <c r="I404">
        <f>IF(G404=0,0,F404/G404*H404)</f>
        <v/>
      </c>
      <c r="J404">
        <f>IF(A404="",0,SUMIFS(AJUSTEMENTS!$F$2:$F$501,AJUSTEMENTS!$A$2:$A$501,A404,AJUSTEMENTS!$B$2:$B$501,B404,AJUSTEMENTS!$C$2:$C$501,C404,AJUSTEMENTS!$D$2:$D$501,D404,AJUSTEMENTS!$E$2:$E$501,E404))</f>
        <v/>
      </c>
      <c r="K404">
        <f>IF(A404="",0,IF(J404&lt;&gt;0,J404,I404))</f>
        <v/>
      </c>
    </row>
    <row r="405">
      <c r="A405">
        <f>IF(TRAITEMENTS!$Q405="","",TRAITEMENTS!Q405)</f>
        <v/>
      </c>
      <c r="B405">
        <f>IF(TRAITEMENTS!$Q405="","",TRAITEMENTS!E405)</f>
        <v/>
      </c>
      <c r="C405">
        <f>IF(TRAITEMENTS!$Q405="","",TRAITEMENTS!F405)</f>
        <v/>
      </c>
      <c r="D405">
        <f>IF(TRAITEMENTS!$Q405="","",TRAITEMENTS!G405)</f>
        <v/>
      </c>
      <c r="E405">
        <f>IF(TRAITEMENTS!$Q405="","",TRAITEMENTS!H405)</f>
        <v/>
      </c>
      <c r="F405">
        <f>IF(TRAITEMENTS!$Q405="","",TRAITEMENTS!O405)</f>
        <v/>
      </c>
      <c r="G405">
        <f>IF(A405="",0,SUMIFS(TRAITEMENTS!$O$2:$O$501,TRAITEMENTS!$Q$2:$Q$501,A405,TRAITEMENTS!$E$2:$E$501,B405))</f>
        <v/>
      </c>
      <c r="H405">
        <f>IF(A405="",0,SUMIFS(CONNEXIONS!$C$2:$C$501,CONNEXIONS!$D$2:$D$501,A405,CONNEXIONS!$B$2:$B$501,B405))</f>
        <v/>
      </c>
      <c r="I405">
        <f>IF(G405=0,0,F405/G405*H405)</f>
        <v/>
      </c>
      <c r="J405">
        <f>IF(A405="",0,SUMIFS(AJUSTEMENTS!$F$2:$F$501,AJUSTEMENTS!$A$2:$A$501,A405,AJUSTEMENTS!$B$2:$B$501,B405,AJUSTEMENTS!$C$2:$C$501,C405,AJUSTEMENTS!$D$2:$D$501,D405,AJUSTEMENTS!$E$2:$E$501,E405))</f>
        <v/>
      </c>
      <c r="K405">
        <f>IF(A405="",0,IF(J405&lt;&gt;0,J405,I405))</f>
        <v/>
      </c>
    </row>
    <row r="406">
      <c r="A406">
        <f>IF(TRAITEMENTS!$Q406="","",TRAITEMENTS!Q406)</f>
        <v/>
      </c>
      <c r="B406">
        <f>IF(TRAITEMENTS!$Q406="","",TRAITEMENTS!E406)</f>
        <v/>
      </c>
      <c r="C406">
        <f>IF(TRAITEMENTS!$Q406="","",TRAITEMENTS!F406)</f>
        <v/>
      </c>
      <c r="D406">
        <f>IF(TRAITEMENTS!$Q406="","",TRAITEMENTS!G406)</f>
        <v/>
      </c>
      <c r="E406">
        <f>IF(TRAITEMENTS!$Q406="","",TRAITEMENTS!H406)</f>
        <v/>
      </c>
      <c r="F406">
        <f>IF(TRAITEMENTS!$Q406="","",TRAITEMENTS!O406)</f>
        <v/>
      </c>
      <c r="G406">
        <f>IF(A406="",0,SUMIFS(TRAITEMENTS!$O$2:$O$501,TRAITEMENTS!$Q$2:$Q$501,A406,TRAITEMENTS!$E$2:$E$501,B406))</f>
        <v/>
      </c>
      <c r="H406">
        <f>IF(A406="",0,SUMIFS(CONNEXIONS!$C$2:$C$501,CONNEXIONS!$D$2:$D$501,A406,CONNEXIONS!$B$2:$B$501,B406))</f>
        <v/>
      </c>
      <c r="I406">
        <f>IF(G406=0,0,F406/G406*H406)</f>
        <v/>
      </c>
      <c r="J406">
        <f>IF(A406="",0,SUMIFS(AJUSTEMENTS!$F$2:$F$501,AJUSTEMENTS!$A$2:$A$501,A406,AJUSTEMENTS!$B$2:$B$501,B406,AJUSTEMENTS!$C$2:$C$501,C406,AJUSTEMENTS!$D$2:$D$501,D406,AJUSTEMENTS!$E$2:$E$501,E406))</f>
        <v/>
      </c>
      <c r="K406">
        <f>IF(A406="",0,IF(J406&lt;&gt;0,J406,I406))</f>
        <v/>
      </c>
    </row>
    <row r="407">
      <c r="A407">
        <f>IF(TRAITEMENTS!$Q407="","",TRAITEMENTS!Q407)</f>
        <v/>
      </c>
      <c r="B407">
        <f>IF(TRAITEMENTS!$Q407="","",TRAITEMENTS!E407)</f>
        <v/>
      </c>
      <c r="C407">
        <f>IF(TRAITEMENTS!$Q407="","",TRAITEMENTS!F407)</f>
        <v/>
      </c>
      <c r="D407">
        <f>IF(TRAITEMENTS!$Q407="","",TRAITEMENTS!G407)</f>
        <v/>
      </c>
      <c r="E407">
        <f>IF(TRAITEMENTS!$Q407="","",TRAITEMENTS!H407)</f>
        <v/>
      </c>
      <c r="F407">
        <f>IF(TRAITEMENTS!$Q407="","",TRAITEMENTS!O407)</f>
        <v/>
      </c>
      <c r="G407">
        <f>IF(A407="",0,SUMIFS(TRAITEMENTS!$O$2:$O$501,TRAITEMENTS!$Q$2:$Q$501,A407,TRAITEMENTS!$E$2:$E$501,B407))</f>
        <v/>
      </c>
      <c r="H407">
        <f>IF(A407="",0,SUMIFS(CONNEXIONS!$C$2:$C$501,CONNEXIONS!$D$2:$D$501,A407,CONNEXIONS!$B$2:$B$501,B407))</f>
        <v/>
      </c>
      <c r="I407">
        <f>IF(G407=0,0,F407/G407*H407)</f>
        <v/>
      </c>
      <c r="J407">
        <f>IF(A407="",0,SUMIFS(AJUSTEMENTS!$F$2:$F$501,AJUSTEMENTS!$A$2:$A$501,A407,AJUSTEMENTS!$B$2:$B$501,B407,AJUSTEMENTS!$C$2:$C$501,C407,AJUSTEMENTS!$D$2:$D$501,D407,AJUSTEMENTS!$E$2:$E$501,E407))</f>
        <v/>
      </c>
      <c r="K407">
        <f>IF(A407="",0,IF(J407&lt;&gt;0,J407,I407))</f>
        <v/>
      </c>
    </row>
    <row r="408">
      <c r="A408">
        <f>IF(TRAITEMENTS!$Q408="","",TRAITEMENTS!Q408)</f>
        <v/>
      </c>
      <c r="B408">
        <f>IF(TRAITEMENTS!$Q408="","",TRAITEMENTS!E408)</f>
        <v/>
      </c>
      <c r="C408">
        <f>IF(TRAITEMENTS!$Q408="","",TRAITEMENTS!F408)</f>
        <v/>
      </c>
      <c r="D408">
        <f>IF(TRAITEMENTS!$Q408="","",TRAITEMENTS!G408)</f>
        <v/>
      </c>
      <c r="E408">
        <f>IF(TRAITEMENTS!$Q408="","",TRAITEMENTS!H408)</f>
        <v/>
      </c>
      <c r="F408">
        <f>IF(TRAITEMENTS!$Q408="","",TRAITEMENTS!O408)</f>
        <v/>
      </c>
      <c r="G408">
        <f>IF(A408="",0,SUMIFS(TRAITEMENTS!$O$2:$O$501,TRAITEMENTS!$Q$2:$Q$501,A408,TRAITEMENTS!$E$2:$E$501,B408))</f>
        <v/>
      </c>
      <c r="H408">
        <f>IF(A408="",0,SUMIFS(CONNEXIONS!$C$2:$C$501,CONNEXIONS!$D$2:$D$501,A408,CONNEXIONS!$B$2:$B$501,B408))</f>
        <v/>
      </c>
      <c r="I408">
        <f>IF(G408=0,0,F408/G408*H408)</f>
        <v/>
      </c>
      <c r="J408">
        <f>IF(A408="",0,SUMIFS(AJUSTEMENTS!$F$2:$F$501,AJUSTEMENTS!$A$2:$A$501,A408,AJUSTEMENTS!$B$2:$B$501,B408,AJUSTEMENTS!$C$2:$C$501,C408,AJUSTEMENTS!$D$2:$D$501,D408,AJUSTEMENTS!$E$2:$E$501,E408))</f>
        <v/>
      </c>
      <c r="K408">
        <f>IF(A408="",0,IF(J408&lt;&gt;0,J408,I408))</f>
        <v/>
      </c>
    </row>
    <row r="409">
      <c r="A409">
        <f>IF(TRAITEMENTS!$Q409="","",TRAITEMENTS!Q409)</f>
        <v/>
      </c>
      <c r="B409">
        <f>IF(TRAITEMENTS!$Q409="","",TRAITEMENTS!E409)</f>
        <v/>
      </c>
      <c r="C409">
        <f>IF(TRAITEMENTS!$Q409="","",TRAITEMENTS!F409)</f>
        <v/>
      </c>
      <c r="D409">
        <f>IF(TRAITEMENTS!$Q409="","",TRAITEMENTS!G409)</f>
        <v/>
      </c>
      <c r="E409">
        <f>IF(TRAITEMENTS!$Q409="","",TRAITEMENTS!H409)</f>
        <v/>
      </c>
      <c r="F409">
        <f>IF(TRAITEMENTS!$Q409="","",TRAITEMENTS!O409)</f>
        <v/>
      </c>
      <c r="G409">
        <f>IF(A409="",0,SUMIFS(TRAITEMENTS!$O$2:$O$501,TRAITEMENTS!$Q$2:$Q$501,A409,TRAITEMENTS!$E$2:$E$501,B409))</f>
        <v/>
      </c>
      <c r="H409">
        <f>IF(A409="",0,SUMIFS(CONNEXIONS!$C$2:$C$501,CONNEXIONS!$D$2:$D$501,A409,CONNEXIONS!$B$2:$B$501,B409))</f>
        <v/>
      </c>
      <c r="I409">
        <f>IF(G409=0,0,F409/G409*H409)</f>
        <v/>
      </c>
      <c r="J409">
        <f>IF(A409="",0,SUMIFS(AJUSTEMENTS!$F$2:$F$501,AJUSTEMENTS!$A$2:$A$501,A409,AJUSTEMENTS!$B$2:$B$501,B409,AJUSTEMENTS!$C$2:$C$501,C409,AJUSTEMENTS!$D$2:$D$501,D409,AJUSTEMENTS!$E$2:$E$501,E409))</f>
        <v/>
      </c>
      <c r="K409">
        <f>IF(A409="",0,IF(J409&lt;&gt;0,J409,I409))</f>
        <v/>
      </c>
    </row>
    <row r="410">
      <c r="A410">
        <f>IF(TRAITEMENTS!$Q410="","",TRAITEMENTS!Q410)</f>
        <v/>
      </c>
      <c r="B410">
        <f>IF(TRAITEMENTS!$Q410="","",TRAITEMENTS!E410)</f>
        <v/>
      </c>
      <c r="C410">
        <f>IF(TRAITEMENTS!$Q410="","",TRAITEMENTS!F410)</f>
        <v/>
      </c>
      <c r="D410">
        <f>IF(TRAITEMENTS!$Q410="","",TRAITEMENTS!G410)</f>
        <v/>
      </c>
      <c r="E410">
        <f>IF(TRAITEMENTS!$Q410="","",TRAITEMENTS!H410)</f>
        <v/>
      </c>
      <c r="F410">
        <f>IF(TRAITEMENTS!$Q410="","",TRAITEMENTS!O410)</f>
        <v/>
      </c>
      <c r="G410">
        <f>IF(A410="",0,SUMIFS(TRAITEMENTS!$O$2:$O$501,TRAITEMENTS!$Q$2:$Q$501,A410,TRAITEMENTS!$E$2:$E$501,B410))</f>
        <v/>
      </c>
      <c r="H410">
        <f>IF(A410="",0,SUMIFS(CONNEXIONS!$C$2:$C$501,CONNEXIONS!$D$2:$D$501,A410,CONNEXIONS!$B$2:$B$501,B410))</f>
        <v/>
      </c>
      <c r="I410">
        <f>IF(G410=0,0,F410/G410*H410)</f>
        <v/>
      </c>
      <c r="J410">
        <f>IF(A410="",0,SUMIFS(AJUSTEMENTS!$F$2:$F$501,AJUSTEMENTS!$A$2:$A$501,A410,AJUSTEMENTS!$B$2:$B$501,B410,AJUSTEMENTS!$C$2:$C$501,C410,AJUSTEMENTS!$D$2:$D$501,D410,AJUSTEMENTS!$E$2:$E$501,E410))</f>
        <v/>
      </c>
      <c r="K410">
        <f>IF(A410="",0,IF(J410&lt;&gt;0,J410,I410))</f>
        <v/>
      </c>
    </row>
    <row r="411">
      <c r="A411">
        <f>IF(TRAITEMENTS!$Q411="","",TRAITEMENTS!Q411)</f>
        <v/>
      </c>
      <c r="B411">
        <f>IF(TRAITEMENTS!$Q411="","",TRAITEMENTS!E411)</f>
        <v/>
      </c>
      <c r="C411">
        <f>IF(TRAITEMENTS!$Q411="","",TRAITEMENTS!F411)</f>
        <v/>
      </c>
      <c r="D411">
        <f>IF(TRAITEMENTS!$Q411="","",TRAITEMENTS!G411)</f>
        <v/>
      </c>
      <c r="E411">
        <f>IF(TRAITEMENTS!$Q411="","",TRAITEMENTS!H411)</f>
        <v/>
      </c>
      <c r="F411">
        <f>IF(TRAITEMENTS!$Q411="","",TRAITEMENTS!O411)</f>
        <v/>
      </c>
      <c r="G411">
        <f>IF(A411="",0,SUMIFS(TRAITEMENTS!$O$2:$O$501,TRAITEMENTS!$Q$2:$Q$501,A411,TRAITEMENTS!$E$2:$E$501,B411))</f>
        <v/>
      </c>
      <c r="H411">
        <f>IF(A411="",0,SUMIFS(CONNEXIONS!$C$2:$C$501,CONNEXIONS!$D$2:$D$501,A411,CONNEXIONS!$B$2:$B$501,B411))</f>
        <v/>
      </c>
      <c r="I411">
        <f>IF(G411=0,0,F411/G411*H411)</f>
        <v/>
      </c>
      <c r="J411">
        <f>IF(A411="",0,SUMIFS(AJUSTEMENTS!$F$2:$F$501,AJUSTEMENTS!$A$2:$A$501,A411,AJUSTEMENTS!$B$2:$B$501,B411,AJUSTEMENTS!$C$2:$C$501,C411,AJUSTEMENTS!$D$2:$D$501,D411,AJUSTEMENTS!$E$2:$E$501,E411))</f>
        <v/>
      </c>
      <c r="K411">
        <f>IF(A411="",0,IF(J411&lt;&gt;0,J411,I411))</f>
        <v/>
      </c>
    </row>
    <row r="412">
      <c r="A412">
        <f>IF(TRAITEMENTS!$Q412="","",TRAITEMENTS!Q412)</f>
        <v/>
      </c>
      <c r="B412">
        <f>IF(TRAITEMENTS!$Q412="","",TRAITEMENTS!E412)</f>
        <v/>
      </c>
      <c r="C412">
        <f>IF(TRAITEMENTS!$Q412="","",TRAITEMENTS!F412)</f>
        <v/>
      </c>
      <c r="D412">
        <f>IF(TRAITEMENTS!$Q412="","",TRAITEMENTS!G412)</f>
        <v/>
      </c>
      <c r="E412">
        <f>IF(TRAITEMENTS!$Q412="","",TRAITEMENTS!H412)</f>
        <v/>
      </c>
      <c r="F412">
        <f>IF(TRAITEMENTS!$Q412="","",TRAITEMENTS!O412)</f>
        <v/>
      </c>
      <c r="G412">
        <f>IF(A412="",0,SUMIFS(TRAITEMENTS!$O$2:$O$501,TRAITEMENTS!$Q$2:$Q$501,A412,TRAITEMENTS!$E$2:$E$501,B412))</f>
        <v/>
      </c>
      <c r="H412">
        <f>IF(A412="",0,SUMIFS(CONNEXIONS!$C$2:$C$501,CONNEXIONS!$D$2:$D$501,A412,CONNEXIONS!$B$2:$B$501,B412))</f>
        <v/>
      </c>
      <c r="I412">
        <f>IF(G412=0,0,F412/G412*H412)</f>
        <v/>
      </c>
      <c r="J412">
        <f>IF(A412="",0,SUMIFS(AJUSTEMENTS!$F$2:$F$501,AJUSTEMENTS!$A$2:$A$501,A412,AJUSTEMENTS!$B$2:$B$501,B412,AJUSTEMENTS!$C$2:$C$501,C412,AJUSTEMENTS!$D$2:$D$501,D412,AJUSTEMENTS!$E$2:$E$501,E412))</f>
        <v/>
      </c>
      <c r="K412">
        <f>IF(A412="",0,IF(J412&lt;&gt;0,J412,I412))</f>
        <v/>
      </c>
    </row>
    <row r="413">
      <c r="A413">
        <f>IF(TRAITEMENTS!$Q413="","",TRAITEMENTS!Q413)</f>
        <v/>
      </c>
      <c r="B413">
        <f>IF(TRAITEMENTS!$Q413="","",TRAITEMENTS!E413)</f>
        <v/>
      </c>
      <c r="C413">
        <f>IF(TRAITEMENTS!$Q413="","",TRAITEMENTS!F413)</f>
        <v/>
      </c>
      <c r="D413">
        <f>IF(TRAITEMENTS!$Q413="","",TRAITEMENTS!G413)</f>
        <v/>
      </c>
      <c r="E413">
        <f>IF(TRAITEMENTS!$Q413="","",TRAITEMENTS!H413)</f>
        <v/>
      </c>
      <c r="F413">
        <f>IF(TRAITEMENTS!$Q413="","",TRAITEMENTS!O413)</f>
        <v/>
      </c>
      <c r="G413">
        <f>IF(A413="",0,SUMIFS(TRAITEMENTS!$O$2:$O$501,TRAITEMENTS!$Q$2:$Q$501,A413,TRAITEMENTS!$E$2:$E$501,B413))</f>
        <v/>
      </c>
      <c r="H413">
        <f>IF(A413="",0,SUMIFS(CONNEXIONS!$C$2:$C$501,CONNEXIONS!$D$2:$D$501,A413,CONNEXIONS!$B$2:$B$501,B413))</f>
        <v/>
      </c>
      <c r="I413">
        <f>IF(G413=0,0,F413/G413*H413)</f>
        <v/>
      </c>
      <c r="J413">
        <f>IF(A413="",0,SUMIFS(AJUSTEMENTS!$F$2:$F$501,AJUSTEMENTS!$A$2:$A$501,A413,AJUSTEMENTS!$B$2:$B$501,B413,AJUSTEMENTS!$C$2:$C$501,C413,AJUSTEMENTS!$D$2:$D$501,D413,AJUSTEMENTS!$E$2:$E$501,E413))</f>
        <v/>
      </c>
      <c r="K413">
        <f>IF(A413="",0,IF(J413&lt;&gt;0,J413,I413))</f>
        <v/>
      </c>
    </row>
    <row r="414">
      <c r="A414">
        <f>IF(TRAITEMENTS!$Q414="","",TRAITEMENTS!Q414)</f>
        <v/>
      </c>
      <c r="B414">
        <f>IF(TRAITEMENTS!$Q414="","",TRAITEMENTS!E414)</f>
        <v/>
      </c>
      <c r="C414">
        <f>IF(TRAITEMENTS!$Q414="","",TRAITEMENTS!F414)</f>
        <v/>
      </c>
      <c r="D414">
        <f>IF(TRAITEMENTS!$Q414="","",TRAITEMENTS!G414)</f>
        <v/>
      </c>
      <c r="E414">
        <f>IF(TRAITEMENTS!$Q414="","",TRAITEMENTS!H414)</f>
        <v/>
      </c>
      <c r="F414">
        <f>IF(TRAITEMENTS!$Q414="","",TRAITEMENTS!O414)</f>
        <v/>
      </c>
      <c r="G414">
        <f>IF(A414="",0,SUMIFS(TRAITEMENTS!$O$2:$O$501,TRAITEMENTS!$Q$2:$Q$501,A414,TRAITEMENTS!$E$2:$E$501,B414))</f>
        <v/>
      </c>
      <c r="H414">
        <f>IF(A414="",0,SUMIFS(CONNEXIONS!$C$2:$C$501,CONNEXIONS!$D$2:$D$501,A414,CONNEXIONS!$B$2:$B$501,B414))</f>
        <v/>
      </c>
      <c r="I414">
        <f>IF(G414=0,0,F414/G414*H414)</f>
        <v/>
      </c>
      <c r="J414">
        <f>IF(A414="",0,SUMIFS(AJUSTEMENTS!$F$2:$F$501,AJUSTEMENTS!$A$2:$A$501,A414,AJUSTEMENTS!$B$2:$B$501,B414,AJUSTEMENTS!$C$2:$C$501,C414,AJUSTEMENTS!$D$2:$D$501,D414,AJUSTEMENTS!$E$2:$E$501,E414))</f>
        <v/>
      </c>
      <c r="K414">
        <f>IF(A414="",0,IF(J414&lt;&gt;0,J414,I414))</f>
        <v/>
      </c>
    </row>
    <row r="415">
      <c r="A415">
        <f>IF(TRAITEMENTS!$Q415="","",TRAITEMENTS!Q415)</f>
        <v/>
      </c>
      <c r="B415">
        <f>IF(TRAITEMENTS!$Q415="","",TRAITEMENTS!E415)</f>
        <v/>
      </c>
      <c r="C415">
        <f>IF(TRAITEMENTS!$Q415="","",TRAITEMENTS!F415)</f>
        <v/>
      </c>
      <c r="D415">
        <f>IF(TRAITEMENTS!$Q415="","",TRAITEMENTS!G415)</f>
        <v/>
      </c>
      <c r="E415">
        <f>IF(TRAITEMENTS!$Q415="","",TRAITEMENTS!H415)</f>
        <v/>
      </c>
      <c r="F415">
        <f>IF(TRAITEMENTS!$Q415="","",TRAITEMENTS!O415)</f>
        <v/>
      </c>
      <c r="G415">
        <f>IF(A415="",0,SUMIFS(TRAITEMENTS!$O$2:$O$501,TRAITEMENTS!$Q$2:$Q$501,A415,TRAITEMENTS!$E$2:$E$501,B415))</f>
        <v/>
      </c>
      <c r="H415">
        <f>IF(A415="",0,SUMIFS(CONNEXIONS!$C$2:$C$501,CONNEXIONS!$D$2:$D$501,A415,CONNEXIONS!$B$2:$B$501,B415))</f>
        <v/>
      </c>
      <c r="I415">
        <f>IF(G415=0,0,F415/G415*H415)</f>
        <v/>
      </c>
      <c r="J415">
        <f>IF(A415="",0,SUMIFS(AJUSTEMENTS!$F$2:$F$501,AJUSTEMENTS!$A$2:$A$501,A415,AJUSTEMENTS!$B$2:$B$501,B415,AJUSTEMENTS!$C$2:$C$501,C415,AJUSTEMENTS!$D$2:$D$501,D415,AJUSTEMENTS!$E$2:$E$501,E415))</f>
        <v/>
      </c>
      <c r="K415">
        <f>IF(A415="",0,IF(J415&lt;&gt;0,J415,I415))</f>
        <v/>
      </c>
    </row>
    <row r="416">
      <c r="A416">
        <f>IF(TRAITEMENTS!$Q416="","",TRAITEMENTS!Q416)</f>
        <v/>
      </c>
      <c r="B416">
        <f>IF(TRAITEMENTS!$Q416="","",TRAITEMENTS!E416)</f>
        <v/>
      </c>
      <c r="C416">
        <f>IF(TRAITEMENTS!$Q416="","",TRAITEMENTS!F416)</f>
        <v/>
      </c>
      <c r="D416">
        <f>IF(TRAITEMENTS!$Q416="","",TRAITEMENTS!G416)</f>
        <v/>
      </c>
      <c r="E416">
        <f>IF(TRAITEMENTS!$Q416="","",TRAITEMENTS!H416)</f>
        <v/>
      </c>
      <c r="F416">
        <f>IF(TRAITEMENTS!$Q416="","",TRAITEMENTS!O416)</f>
        <v/>
      </c>
      <c r="G416">
        <f>IF(A416="",0,SUMIFS(TRAITEMENTS!$O$2:$O$501,TRAITEMENTS!$Q$2:$Q$501,A416,TRAITEMENTS!$E$2:$E$501,B416))</f>
        <v/>
      </c>
      <c r="H416">
        <f>IF(A416="",0,SUMIFS(CONNEXIONS!$C$2:$C$501,CONNEXIONS!$D$2:$D$501,A416,CONNEXIONS!$B$2:$B$501,B416))</f>
        <v/>
      </c>
      <c r="I416">
        <f>IF(G416=0,0,F416/G416*H416)</f>
        <v/>
      </c>
      <c r="J416">
        <f>IF(A416="",0,SUMIFS(AJUSTEMENTS!$F$2:$F$501,AJUSTEMENTS!$A$2:$A$501,A416,AJUSTEMENTS!$B$2:$B$501,B416,AJUSTEMENTS!$C$2:$C$501,C416,AJUSTEMENTS!$D$2:$D$501,D416,AJUSTEMENTS!$E$2:$E$501,E416))</f>
        <v/>
      </c>
      <c r="K416">
        <f>IF(A416="",0,IF(J416&lt;&gt;0,J416,I416))</f>
        <v/>
      </c>
    </row>
    <row r="417">
      <c r="A417">
        <f>IF(TRAITEMENTS!$Q417="","",TRAITEMENTS!Q417)</f>
        <v/>
      </c>
      <c r="B417">
        <f>IF(TRAITEMENTS!$Q417="","",TRAITEMENTS!E417)</f>
        <v/>
      </c>
      <c r="C417">
        <f>IF(TRAITEMENTS!$Q417="","",TRAITEMENTS!F417)</f>
        <v/>
      </c>
      <c r="D417">
        <f>IF(TRAITEMENTS!$Q417="","",TRAITEMENTS!G417)</f>
        <v/>
      </c>
      <c r="E417">
        <f>IF(TRAITEMENTS!$Q417="","",TRAITEMENTS!H417)</f>
        <v/>
      </c>
      <c r="F417">
        <f>IF(TRAITEMENTS!$Q417="","",TRAITEMENTS!O417)</f>
        <v/>
      </c>
      <c r="G417">
        <f>IF(A417="",0,SUMIFS(TRAITEMENTS!$O$2:$O$501,TRAITEMENTS!$Q$2:$Q$501,A417,TRAITEMENTS!$E$2:$E$501,B417))</f>
        <v/>
      </c>
      <c r="H417">
        <f>IF(A417="",0,SUMIFS(CONNEXIONS!$C$2:$C$501,CONNEXIONS!$D$2:$D$501,A417,CONNEXIONS!$B$2:$B$501,B417))</f>
        <v/>
      </c>
      <c r="I417">
        <f>IF(G417=0,0,F417/G417*H417)</f>
        <v/>
      </c>
      <c r="J417">
        <f>IF(A417="",0,SUMIFS(AJUSTEMENTS!$F$2:$F$501,AJUSTEMENTS!$A$2:$A$501,A417,AJUSTEMENTS!$B$2:$B$501,B417,AJUSTEMENTS!$C$2:$C$501,C417,AJUSTEMENTS!$D$2:$D$501,D417,AJUSTEMENTS!$E$2:$E$501,E417))</f>
        <v/>
      </c>
      <c r="K417">
        <f>IF(A417="",0,IF(J417&lt;&gt;0,J417,I417))</f>
        <v/>
      </c>
    </row>
    <row r="418">
      <c r="A418">
        <f>IF(TRAITEMENTS!$Q418="","",TRAITEMENTS!Q418)</f>
        <v/>
      </c>
      <c r="B418">
        <f>IF(TRAITEMENTS!$Q418="","",TRAITEMENTS!E418)</f>
        <v/>
      </c>
      <c r="C418">
        <f>IF(TRAITEMENTS!$Q418="","",TRAITEMENTS!F418)</f>
        <v/>
      </c>
      <c r="D418">
        <f>IF(TRAITEMENTS!$Q418="","",TRAITEMENTS!G418)</f>
        <v/>
      </c>
      <c r="E418">
        <f>IF(TRAITEMENTS!$Q418="","",TRAITEMENTS!H418)</f>
        <v/>
      </c>
      <c r="F418">
        <f>IF(TRAITEMENTS!$Q418="","",TRAITEMENTS!O418)</f>
        <v/>
      </c>
      <c r="G418">
        <f>IF(A418="",0,SUMIFS(TRAITEMENTS!$O$2:$O$501,TRAITEMENTS!$Q$2:$Q$501,A418,TRAITEMENTS!$E$2:$E$501,B418))</f>
        <v/>
      </c>
      <c r="H418">
        <f>IF(A418="",0,SUMIFS(CONNEXIONS!$C$2:$C$501,CONNEXIONS!$D$2:$D$501,A418,CONNEXIONS!$B$2:$B$501,B418))</f>
        <v/>
      </c>
      <c r="I418">
        <f>IF(G418=0,0,F418/G418*H418)</f>
        <v/>
      </c>
      <c r="J418">
        <f>IF(A418="",0,SUMIFS(AJUSTEMENTS!$F$2:$F$501,AJUSTEMENTS!$A$2:$A$501,A418,AJUSTEMENTS!$B$2:$B$501,B418,AJUSTEMENTS!$C$2:$C$501,C418,AJUSTEMENTS!$D$2:$D$501,D418,AJUSTEMENTS!$E$2:$E$501,E418))</f>
        <v/>
      </c>
      <c r="K418">
        <f>IF(A418="",0,IF(J418&lt;&gt;0,J418,I418))</f>
        <v/>
      </c>
    </row>
    <row r="419">
      <c r="A419">
        <f>IF(TRAITEMENTS!$Q419="","",TRAITEMENTS!Q419)</f>
        <v/>
      </c>
      <c r="B419">
        <f>IF(TRAITEMENTS!$Q419="","",TRAITEMENTS!E419)</f>
        <v/>
      </c>
      <c r="C419">
        <f>IF(TRAITEMENTS!$Q419="","",TRAITEMENTS!F419)</f>
        <v/>
      </c>
      <c r="D419">
        <f>IF(TRAITEMENTS!$Q419="","",TRAITEMENTS!G419)</f>
        <v/>
      </c>
      <c r="E419">
        <f>IF(TRAITEMENTS!$Q419="","",TRAITEMENTS!H419)</f>
        <v/>
      </c>
      <c r="F419">
        <f>IF(TRAITEMENTS!$Q419="","",TRAITEMENTS!O419)</f>
        <v/>
      </c>
      <c r="G419">
        <f>IF(A419="",0,SUMIFS(TRAITEMENTS!$O$2:$O$501,TRAITEMENTS!$Q$2:$Q$501,A419,TRAITEMENTS!$E$2:$E$501,B419))</f>
        <v/>
      </c>
      <c r="H419">
        <f>IF(A419="",0,SUMIFS(CONNEXIONS!$C$2:$C$501,CONNEXIONS!$D$2:$D$501,A419,CONNEXIONS!$B$2:$B$501,B419))</f>
        <v/>
      </c>
      <c r="I419">
        <f>IF(G419=0,0,F419/G419*H419)</f>
        <v/>
      </c>
      <c r="J419">
        <f>IF(A419="",0,SUMIFS(AJUSTEMENTS!$F$2:$F$501,AJUSTEMENTS!$A$2:$A$501,A419,AJUSTEMENTS!$B$2:$B$501,B419,AJUSTEMENTS!$C$2:$C$501,C419,AJUSTEMENTS!$D$2:$D$501,D419,AJUSTEMENTS!$E$2:$E$501,E419))</f>
        <v/>
      </c>
      <c r="K419">
        <f>IF(A419="",0,IF(J419&lt;&gt;0,J419,I419))</f>
        <v/>
      </c>
    </row>
    <row r="420">
      <c r="A420">
        <f>IF(TRAITEMENTS!$Q420="","",TRAITEMENTS!Q420)</f>
        <v/>
      </c>
      <c r="B420">
        <f>IF(TRAITEMENTS!$Q420="","",TRAITEMENTS!E420)</f>
        <v/>
      </c>
      <c r="C420">
        <f>IF(TRAITEMENTS!$Q420="","",TRAITEMENTS!F420)</f>
        <v/>
      </c>
      <c r="D420">
        <f>IF(TRAITEMENTS!$Q420="","",TRAITEMENTS!G420)</f>
        <v/>
      </c>
      <c r="E420">
        <f>IF(TRAITEMENTS!$Q420="","",TRAITEMENTS!H420)</f>
        <v/>
      </c>
      <c r="F420">
        <f>IF(TRAITEMENTS!$Q420="","",TRAITEMENTS!O420)</f>
        <v/>
      </c>
      <c r="G420">
        <f>IF(A420="",0,SUMIFS(TRAITEMENTS!$O$2:$O$501,TRAITEMENTS!$Q$2:$Q$501,A420,TRAITEMENTS!$E$2:$E$501,B420))</f>
        <v/>
      </c>
      <c r="H420">
        <f>IF(A420="",0,SUMIFS(CONNEXIONS!$C$2:$C$501,CONNEXIONS!$D$2:$D$501,A420,CONNEXIONS!$B$2:$B$501,B420))</f>
        <v/>
      </c>
      <c r="I420">
        <f>IF(G420=0,0,F420/G420*H420)</f>
        <v/>
      </c>
      <c r="J420">
        <f>IF(A420="",0,SUMIFS(AJUSTEMENTS!$F$2:$F$501,AJUSTEMENTS!$A$2:$A$501,A420,AJUSTEMENTS!$B$2:$B$501,B420,AJUSTEMENTS!$C$2:$C$501,C420,AJUSTEMENTS!$D$2:$D$501,D420,AJUSTEMENTS!$E$2:$E$501,E420))</f>
        <v/>
      </c>
      <c r="K420">
        <f>IF(A420="",0,IF(J420&lt;&gt;0,J420,I420))</f>
        <v/>
      </c>
    </row>
    <row r="421">
      <c r="A421">
        <f>IF(TRAITEMENTS!$Q421="","",TRAITEMENTS!Q421)</f>
        <v/>
      </c>
      <c r="B421">
        <f>IF(TRAITEMENTS!$Q421="","",TRAITEMENTS!E421)</f>
        <v/>
      </c>
      <c r="C421">
        <f>IF(TRAITEMENTS!$Q421="","",TRAITEMENTS!F421)</f>
        <v/>
      </c>
      <c r="D421">
        <f>IF(TRAITEMENTS!$Q421="","",TRAITEMENTS!G421)</f>
        <v/>
      </c>
      <c r="E421">
        <f>IF(TRAITEMENTS!$Q421="","",TRAITEMENTS!H421)</f>
        <v/>
      </c>
      <c r="F421">
        <f>IF(TRAITEMENTS!$Q421="","",TRAITEMENTS!O421)</f>
        <v/>
      </c>
      <c r="G421">
        <f>IF(A421="",0,SUMIFS(TRAITEMENTS!$O$2:$O$501,TRAITEMENTS!$Q$2:$Q$501,A421,TRAITEMENTS!$E$2:$E$501,B421))</f>
        <v/>
      </c>
      <c r="H421">
        <f>IF(A421="",0,SUMIFS(CONNEXIONS!$C$2:$C$501,CONNEXIONS!$D$2:$D$501,A421,CONNEXIONS!$B$2:$B$501,B421))</f>
        <v/>
      </c>
      <c r="I421">
        <f>IF(G421=0,0,F421/G421*H421)</f>
        <v/>
      </c>
      <c r="J421">
        <f>IF(A421="",0,SUMIFS(AJUSTEMENTS!$F$2:$F$501,AJUSTEMENTS!$A$2:$A$501,A421,AJUSTEMENTS!$B$2:$B$501,B421,AJUSTEMENTS!$C$2:$C$501,C421,AJUSTEMENTS!$D$2:$D$501,D421,AJUSTEMENTS!$E$2:$E$501,E421))</f>
        <v/>
      </c>
      <c r="K421">
        <f>IF(A421="",0,IF(J421&lt;&gt;0,J421,I421))</f>
        <v/>
      </c>
    </row>
    <row r="422">
      <c r="A422">
        <f>IF(TRAITEMENTS!$Q422="","",TRAITEMENTS!Q422)</f>
        <v/>
      </c>
      <c r="B422">
        <f>IF(TRAITEMENTS!$Q422="","",TRAITEMENTS!E422)</f>
        <v/>
      </c>
      <c r="C422">
        <f>IF(TRAITEMENTS!$Q422="","",TRAITEMENTS!F422)</f>
        <v/>
      </c>
      <c r="D422">
        <f>IF(TRAITEMENTS!$Q422="","",TRAITEMENTS!G422)</f>
        <v/>
      </c>
      <c r="E422">
        <f>IF(TRAITEMENTS!$Q422="","",TRAITEMENTS!H422)</f>
        <v/>
      </c>
      <c r="F422">
        <f>IF(TRAITEMENTS!$Q422="","",TRAITEMENTS!O422)</f>
        <v/>
      </c>
      <c r="G422">
        <f>IF(A422="",0,SUMIFS(TRAITEMENTS!$O$2:$O$501,TRAITEMENTS!$Q$2:$Q$501,A422,TRAITEMENTS!$E$2:$E$501,B422))</f>
        <v/>
      </c>
      <c r="H422">
        <f>IF(A422="",0,SUMIFS(CONNEXIONS!$C$2:$C$501,CONNEXIONS!$D$2:$D$501,A422,CONNEXIONS!$B$2:$B$501,B422))</f>
        <v/>
      </c>
      <c r="I422">
        <f>IF(G422=0,0,F422/G422*H422)</f>
        <v/>
      </c>
      <c r="J422">
        <f>IF(A422="",0,SUMIFS(AJUSTEMENTS!$F$2:$F$501,AJUSTEMENTS!$A$2:$A$501,A422,AJUSTEMENTS!$B$2:$B$501,B422,AJUSTEMENTS!$C$2:$C$501,C422,AJUSTEMENTS!$D$2:$D$501,D422,AJUSTEMENTS!$E$2:$E$501,E422))</f>
        <v/>
      </c>
      <c r="K422">
        <f>IF(A422="",0,IF(J422&lt;&gt;0,J422,I422))</f>
        <v/>
      </c>
    </row>
    <row r="423">
      <c r="A423">
        <f>IF(TRAITEMENTS!$Q423="","",TRAITEMENTS!Q423)</f>
        <v/>
      </c>
      <c r="B423">
        <f>IF(TRAITEMENTS!$Q423="","",TRAITEMENTS!E423)</f>
        <v/>
      </c>
      <c r="C423">
        <f>IF(TRAITEMENTS!$Q423="","",TRAITEMENTS!F423)</f>
        <v/>
      </c>
      <c r="D423">
        <f>IF(TRAITEMENTS!$Q423="","",TRAITEMENTS!G423)</f>
        <v/>
      </c>
      <c r="E423">
        <f>IF(TRAITEMENTS!$Q423="","",TRAITEMENTS!H423)</f>
        <v/>
      </c>
      <c r="F423">
        <f>IF(TRAITEMENTS!$Q423="","",TRAITEMENTS!O423)</f>
        <v/>
      </c>
      <c r="G423">
        <f>IF(A423="",0,SUMIFS(TRAITEMENTS!$O$2:$O$501,TRAITEMENTS!$Q$2:$Q$501,A423,TRAITEMENTS!$E$2:$E$501,B423))</f>
        <v/>
      </c>
      <c r="H423">
        <f>IF(A423="",0,SUMIFS(CONNEXIONS!$C$2:$C$501,CONNEXIONS!$D$2:$D$501,A423,CONNEXIONS!$B$2:$B$501,B423))</f>
        <v/>
      </c>
      <c r="I423">
        <f>IF(G423=0,0,F423/G423*H423)</f>
        <v/>
      </c>
      <c r="J423">
        <f>IF(A423="",0,SUMIFS(AJUSTEMENTS!$F$2:$F$501,AJUSTEMENTS!$A$2:$A$501,A423,AJUSTEMENTS!$B$2:$B$501,B423,AJUSTEMENTS!$C$2:$C$501,C423,AJUSTEMENTS!$D$2:$D$501,D423,AJUSTEMENTS!$E$2:$E$501,E423))</f>
        <v/>
      </c>
      <c r="K423">
        <f>IF(A423="",0,IF(J423&lt;&gt;0,J423,I423))</f>
        <v/>
      </c>
    </row>
    <row r="424">
      <c r="A424">
        <f>IF(TRAITEMENTS!$Q424="","",TRAITEMENTS!Q424)</f>
        <v/>
      </c>
      <c r="B424">
        <f>IF(TRAITEMENTS!$Q424="","",TRAITEMENTS!E424)</f>
        <v/>
      </c>
      <c r="C424">
        <f>IF(TRAITEMENTS!$Q424="","",TRAITEMENTS!F424)</f>
        <v/>
      </c>
      <c r="D424">
        <f>IF(TRAITEMENTS!$Q424="","",TRAITEMENTS!G424)</f>
        <v/>
      </c>
      <c r="E424">
        <f>IF(TRAITEMENTS!$Q424="","",TRAITEMENTS!H424)</f>
        <v/>
      </c>
      <c r="F424">
        <f>IF(TRAITEMENTS!$Q424="","",TRAITEMENTS!O424)</f>
        <v/>
      </c>
      <c r="G424">
        <f>IF(A424="",0,SUMIFS(TRAITEMENTS!$O$2:$O$501,TRAITEMENTS!$Q$2:$Q$501,A424,TRAITEMENTS!$E$2:$E$501,B424))</f>
        <v/>
      </c>
      <c r="H424">
        <f>IF(A424="",0,SUMIFS(CONNEXIONS!$C$2:$C$501,CONNEXIONS!$D$2:$D$501,A424,CONNEXIONS!$B$2:$B$501,B424))</f>
        <v/>
      </c>
      <c r="I424">
        <f>IF(G424=0,0,F424/G424*H424)</f>
        <v/>
      </c>
      <c r="J424">
        <f>IF(A424="",0,SUMIFS(AJUSTEMENTS!$F$2:$F$501,AJUSTEMENTS!$A$2:$A$501,A424,AJUSTEMENTS!$B$2:$B$501,B424,AJUSTEMENTS!$C$2:$C$501,C424,AJUSTEMENTS!$D$2:$D$501,D424,AJUSTEMENTS!$E$2:$E$501,E424))</f>
        <v/>
      </c>
      <c r="K424">
        <f>IF(A424="",0,IF(J424&lt;&gt;0,J424,I424))</f>
        <v/>
      </c>
    </row>
    <row r="425">
      <c r="A425">
        <f>IF(TRAITEMENTS!$Q425="","",TRAITEMENTS!Q425)</f>
        <v/>
      </c>
      <c r="B425">
        <f>IF(TRAITEMENTS!$Q425="","",TRAITEMENTS!E425)</f>
        <v/>
      </c>
      <c r="C425">
        <f>IF(TRAITEMENTS!$Q425="","",TRAITEMENTS!F425)</f>
        <v/>
      </c>
      <c r="D425">
        <f>IF(TRAITEMENTS!$Q425="","",TRAITEMENTS!G425)</f>
        <v/>
      </c>
      <c r="E425">
        <f>IF(TRAITEMENTS!$Q425="","",TRAITEMENTS!H425)</f>
        <v/>
      </c>
      <c r="F425">
        <f>IF(TRAITEMENTS!$Q425="","",TRAITEMENTS!O425)</f>
        <v/>
      </c>
      <c r="G425">
        <f>IF(A425="",0,SUMIFS(TRAITEMENTS!$O$2:$O$501,TRAITEMENTS!$Q$2:$Q$501,A425,TRAITEMENTS!$E$2:$E$501,B425))</f>
        <v/>
      </c>
      <c r="H425">
        <f>IF(A425="",0,SUMIFS(CONNEXIONS!$C$2:$C$501,CONNEXIONS!$D$2:$D$501,A425,CONNEXIONS!$B$2:$B$501,B425))</f>
        <v/>
      </c>
      <c r="I425">
        <f>IF(G425=0,0,F425/G425*H425)</f>
        <v/>
      </c>
      <c r="J425">
        <f>IF(A425="",0,SUMIFS(AJUSTEMENTS!$F$2:$F$501,AJUSTEMENTS!$A$2:$A$501,A425,AJUSTEMENTS!$B$2:$B$501,B425,AJUSTEMENTS!$C$2:$C$501,C425,AJUSTEMENTS!$D$2:$D$501,D425,AJUSTEMENTS!$E$2:$E$501,E425))</f>
        <v/>
      </c>
      <c r="K425">
        <f>IF(A425="",0,IF(J425&lt;&gt;0,J425,I425))</f>
        <v/>
      </c>
    </row>
    <row r="426">
      <c r="A426">
        <f>IF(TRAITEMENTS!$Q426="","",TRAITEMENTS!Q426)</f>
        <v/>
      </c>
      <c r="B426">
        <f>IF(TRAITEMENTS!$Q426="","",TRAITEMENTS!E426)</f>
        <v/>
      </c>
      <c r="C426">
        <f>IF(TRAITEMENTS!$Q426="","",TRAITEMENTS!F426)</f>
        <v/>
      </c>
      <c r="D426">
        <f>IF(TRAITEMENTS!$Q426="","",TRAITEMENTS!G426)</f>
        <v/>
      </c>
      <c r="E426">
        <f>IF(TRAITEMENTS!$Q426="","",TRAITEMENTS!H426)</f>
        <v/>
      </c>
      <c r="F426">
        <f>IF(TRAITEMENTS!$Q426="","",TRAITEMENTS!O426)</f>
        <v/>
      </c>
      <c r="G426">
        <f>IF(A426="",0,SUMIFS(TRAITEMENTS!$O$2:$O$501,TRAITEMENTS!$Q$2:$Q$501,A426,TRAITEMENTS!$E$2:$E$501,B426))</f>
        <v/>
      </c>
      <c r="H426">
        <f>IF(A426="",0,SUMIFS(CONNEXIONS!$C$2:$C$501,CONNEXIONS!$D$2:$D$501,A426,CONNEXIONS!$B$2:$B$501,B426))</f>
        <v/>
      </c>
      <c r="I426">
        <f>IF(G426=0,0,F426/G426*H426)</f>
        <v/>
      </c>
      <c r="J426">
        <f>IF(A426="",0,SUMIFS(AJUSTEMENTS!$F$2:$F$501,AJUSTEMENTS!$A$2:$A$501,A426,AJUSTEMENTS!$B$2:$B$501,B426,AJUSTEMENTS!$C$2:$C$501,C426,AJUSTEMENTS!$D$2:$D$501,D426,AJUSTEMENTS!$E$2:$E$501,E426))</f>
        <v/>
      </c>
      <c r="K426">
        <f>IF(A426="",0,IF(J426&lt;&gt;0,J426,I426))</f>
        <v/>
      </c>
    </row>
    <row r="427">
      <c r="A427">
        <f>IF(TRAITEMENTS!$Q427="","",TRAITEMENTS!Q427)</f>
        <v/>
      </c>
      <c r="B427">
        <f>IF(TRAITEMENTS!$Q427="","",TRAITEMENTS!E427)</f>
        <v/>
      </c>
      <c r="C427">
        <f>IF(TRAITEMENTS!$Q427="","",TRAITEMENTS!F427)</f>
        <v/>
      </c>
      <c r="D427">
        <f>IF(TRAITEMENTS!$Q427="","",TRAITEMENTS!G427)</f>
        <v/>
      </c>
      <c r="E427">
        <f>IF(TRAITEMENTS!$Q427="","",TRAITEMENTS!H427)</f>
        <v/>
      </c>
      <c r="F427">
        <f>IF(TRAITEMENTS!$Q427="","",TRAITEMENTS!O427)</f>
        <v/>
      </c>
      <c r="G427">
        <f>IF(A427="",0,SUMIFS(TRAITEMENTS!$O$2:$O$501,TRAITEMENTS!$Q$2:$Q$501,A427,TRAITEMENTS!$E$2:$E$501,B427))</f>
        <v/>
      </c>
      <c r="H427">
        <f>IF(A427="",0,SUMIFS(CONNEXIONS!$C$2:$C$501,CONNEXIONS!$D$2:$D$501,A427,CONNEXIONS!$B$2:$B$501,B427))</f>
        <v/>
      </c>
      <c r="I427">
        <f>IF(G427=0,0,F427/G427*H427)</f>
        <v/>
      </c>
      <c r="J427">
        <f>IF(A427="",0,SUMIFS(AJUSTEMENTS!$F$2:$F$501,AJUSTEMENTS!$A$2:$A$501,A427,AJUSTEMENTS!$B$2:$B$501,B427,AJUSTEMENTS!$C$2:$C$501,C427,AJUSTEMENTS!$D$2:$D$501,D427,AJUSTEMENTS!$E$2:$E$501,E427))</f>
        <v/>
      </c>
      <c r="K427">
        <f>IF(A427="",0,IF(J427&lt;&gt;0,J427,I427))</f>
        <v/>
      </c>
    </row>
    <row r="428">
      <c r="A428">
        <f>IF(TRAITEMENTS!$Q428="","",TRAITEMENTS!Q428)</f>
        <v/>
      </c>
      <c r="B428">
        <f>IF(TRAITEMENTS!$Q428="","",TRAITEMENTS!E428)</f>
        <v/>
      </c>
      <c r="C428">
        <f>IF(TRAITEMENTS!$Q428="","",TRAITEMENTS!F428)</f>
        <v/>
      </c>
      <c r="D428">
        <f>IF(TRAITEMENTS!$Q428="","",TRAITEMENTS!G428)</f>
        <v/>
      </c>
      <c r="E428">
        <f>IF(TRAITEMENTS!$Q428="","",TRAITEMENTS!H428)</f>
        <v/>
      </c>
      <c r="F428">
        <f>IF(TRAITEMENTS!$Q428="","",TRAITEMENTS!O428)</f>
        <v/>
      </c>
      <c r="G428">
        <f>IF(A428="",0,SUMIFS(TRAITEMENTS!$O$2:$O$501,TRAITEMENTS!$Q$2:$Q$501,A428,TRAITEMENTS!$E$2:$E$501,B428))</f>
        <v/>
      </c>
      <c r="H428">
        <f>IF(A428="",0,SUMIFS(CONNEXIONS!$C$2:$C$501,CONNEXIONS!$D$2:$D$501,A428,CONNEXIONS!$B$2:$B$501,B428))</f>
        <v/>
      </c>
      <c r="I428">
        <f>IF(G428=0,0,F428/G428*H428)</f>
        <v/>
      </c>
      <c r="J428">
        <f>IF(A428="",0,SUMIFS(AJUSTEMENTS!$F$2:$F$501,AJUSTEMENTS!$A$2:$A$501,A428,AJUSTEMENTS!$B$2:$B$501,B428,AJUSTEMENTS!$C$2:$C$501,C428,AJUSTEMENTS!$D$2:$D$501,D428,AJUSTEMENTS!$E$2:$E$501,E428))</f>
        <v/>
      </c>
      <c r="K428">
        <f>IF(A428="",0,IF(J428&lt;&gt;0,J428,I428))</f>
        <v/>
      </c>
    </row>
    <row r="429">
      <c r="A429">
        <f>IF(TRAITEMENTS!$Q429="","",TRAITEMENTS!Q429)</f>
        <v/>
      </c>
      <c r="B429">
        <f>IF(TRAITEMENTS!$Q429="","",TRAITEMENTS!E429)</f>
        <v/>
      </c>
      <c r="C429">
        <f>IF(TRAITEMENTS!$Q429="","",TRAITEMENTS!F429)</f>
        <v/>
      </c>
      <c r="D429">
        <f>IF(TRAITEMENTS!$Q429="","",TRAITEMENTS!G429)</f>
        <v/>
      </c>
      <c r="E429">
        <f>IF(TRAITEMENTS!$Q429="","",TRAITEMENTS!H429)</f>
        <v/>
      </c>
      <c r="F429">
        <f>IF(TRAITEMENTS!$Q429="","",TRAITEMENTS!O429)</f>
        <v/>
      </c>
      <c r="G429">
        <f>IF(A429="",0,SUMIFS(TRAITEMENTS!$O$2:$O$501,TRAITEMENTS!$Q$2:$Q$501,A429,TRAITEMENTS!$E$2:$E$501,B429))</f>
        <v/>
      </c>
      <c r="H429">
        <f>IF(A429="",0,SUMIFS(CONNEXIONS!$C$2:$C$501,CONNEXIONS!$D$2:$D$501,A429,CONNEXIONS!$B$2:$B$501,B429))</f>
        <v/>
      </c>
      <c r="I429">
        <f>IF(G429=0,0,F429/G429*H429)</f>
        <v/>
      </c>
      <c r="J429">
        <f>IF(A429="",0,SUMIFS(AJUSTEMENTS!$F$2:$F$501,AJUSTEMENTS!$A$2:$A$501,A429,AJUSTEMENTS!$B$2:$B$501,B429,AJUSTEMENTS!$C$2:$C$501,C429,AJUSTEMENTS!$D$2:$D$501,D429,AJUSTEMENTS!$E$2:$E$501,E429))</f>
        <v/>
      </c>
      <c r="K429">
        <f>IF(A429="",0,IF(J429&lt;&gt;0,J429,I429))</f>
        <v/>
      </c>
    </row>
    <row r="430">
      <c r="A430">
        <f>IF(TRAITEMENTS!$Q430="","",TRAITEMENTS!Q430)</f>
        <v/>
      </c>
      <c r="B430">
        <f>IF(TRAITEMENTS!$Q430="","",TRAITEMENTS!E430)</f>
        <v/>
      </c>
      <c r="C430">
        <f>IF(TRAITEMENTS!$Q430="","",TRAITEMENTS!F430)</f>
        <v/>
      </c>
      <c r="D430">
        <f>IF(TRAITEMENTS!$Q430="","",TRAITEMENTS!G430)</f>
        <v/>
      </c>
      <c r="E430">
        <f>IF(TRAITEMENTS!$Q430="","",TRAITEMENTS!H430)</f>
        <v/>
      </c>
      <c r="F430">
        <f>IF(TRAITEMENTS!$Q430="","",TRAITEMENTS!O430)</f>
        <v/>
      </c>
      <c r="G430">
        <f>IF(A430="",0,SUMIFS(TRAITEMENTS!$O$2:$O$501,TRAITEMENTS!$Q$2:$Q$501,A430,TRAITEMENTS!$E$2:$E$501,B430))</f>
        <v/>
      </c>
      <c r="H430">
        <f>IF(A430="",0,SUMIFS(CONNEXIONS!$C$2:$C$501,CONNEXIONS!$D$2:$D$501,A430,CONNEXIONS!$B$2:$B$501,B430))</f>
        <v/>
      </c>
      <c r="I430">
        <f>IF(G430=0,0,F430/G430*H430)</f>
        <v/>
      </c>
      <c r="J430">
        <f>IF(A430="",0,SUMIFS(AJUSTEMENTS!$F$2:$F$501,AJUSTEMENTS!$A$2:$A$501,A430,AJUSTEMENTS!$B$2:$B$501,B430,AJUSTEMENTS!$C$2:$C$501,C430,AJUSTEMENTS!$D$2:$D$501,D430,AJUSTEMENTS!$E$2:$E$501,E430))</f>
        <v/>
      </c>
      <c r="K430">
        <f>IF(A430="",0,IF(J430&lt;&gt;0,J430,I430))</f>
        <v/>
      </c>
    </row>
    <row r="431">
      <c r="A431">
        <f>IF(TRAITEMENTS!$Q431="","",TRAITEMENTS!Q431)</f>
        <v/>
      </c>
      <c r="B431">
        <f>IF(TRAITEMENTS!$Q431="","",TRAITEMENTS!E431)</f>
        <v/>
      </c>
      <c r="C431">
        <f>IF(TRAITEMENTS!$Q431="","",TRAITEMENTS!F431)</f>
        <v/>
      </c>
      <c r="D431">
        <f>IF(TRAITEMENTS!$Q431="","",TRAITEMENTS!G431)</f>
        <v/>
      </c>
      <c r="E431">
        <f>IF(TRAITEMENTS!$Q431="","",TRAITEMENTS!H431)</f>
        <v/>
      </c>
      <c r="F431">
        <f>IF(TRAITEMENTS!$Q431="","",TRAITEMENTS!O431)</f>
        <v/>
      </c>
      <c r="G431">
        <f>IF(A431="",0,SUMIFS(TRAITEMENTS!$O$2:$O$501,TRAITEMENTS!$Q$2:$Q$501,A431,TRAITEMENTS!$E$2:$E$501,B431))</f>
        <v/>
      </c>
      <c r="H431">
        <f>IF(A431="",0,SUMIFS(CONNEXIONS!$C$2:$C$501,CONNEXIONS!$D$2:$D$501,A431,CONNEXIONS!$B$2:$B$501,B431))</f>
        <v/>
      </c>
      <c r="I431">
        <f>IF(G431=0,0,F431/G431*H431)</f>
        <v/>
      </c>
      <c r="J431">
        <f>IF(A431="",0,SUMIFS(AJUSTEMENTS!$F$2:$F$501,AJUSTEMENTS!$A$2:$A$501,A431,AJUSTEMENTS!$B$2:$B$501,B431,AJUSTEMENTS!$C$2:$C$501,C431,AJUSTEMENTS!$D$2:$D$501,D431,AJUSTEMENTS!$E$2:$E$501,E431))</f>
        <v/>
      </c>
      <c r="K431">
        <f>IF(A431="",0,IF(J431&lt;&gt;0,J431,I431))</f>
        <v/>
      </c>
    </row>
    <row r="432">
      <c r="A432">
        <f>IF(TRAITEMENTS!$Q432="","",TRAITEMENTS!Q432)</f>
        <v/>
      </c>
      <c r="B432">
        <f>IF(TRAITEMENTS!$Q432="","",TRAITEMENTS!E432)</f>
        <v/>
      </c>
      <c r="C432">
        <f>IF(TRAITEMENTS!$Q432="","",TRAITEMENTS!F432)</f>
        <v/>
      </c>
      <c r="D432">
        <f>IF(TRAITEMENTS!$Q432="","",TRAITEMENTS!G432)</f>
        <v/>
      </c>
      <c r="E432">
        <f>IF(TRAITEMENTS!$Q432="","",TRAITEMENTS!H432)</f>
        <v/>
      </c>
      <c r="F432">
        <f>IF(TRAITEMENTS!$Q432="","",TRAITEMENTS!O432)</f>
        <v/>
      </c>
      <c r="G432">
        <f>IF(A432="",0,SUMIFS(TRAITEMENTS!$O$2:$O$501,TRAITEMENTS!$Q$2:$Q$501,A432,TRAITEMENTS!$E$2:$E$501,B432))</f>
        <v/>
      </c>
      <c r="H432">
        <f>IF(A432="",0,SUMIFS(CONNEXIONS!$C$2:$C$501,CONNEXIONS!$D$2:$D$501,A432,CONNEXIONS!$B$2:$B$501,B432))</f>
        <v/>
      </c>
      <c r="I432">
        <f>IF(G432=0,0,F432/G432*H432)</f>
        <v/>
      </c>
      <c r="J432">
        <f>IF(A432="",0,SUMIFS(AJUSTEMENTS!$F$2:$F$501,AJUSTEMENTS!$A$2:$A$501,A432,AJUSTEMENTS!$B$2:$B$501,B432,AJUSTEMENTS!$C$2:$C$501,C432,AJUSTEMENTS!$D$2:$D$501,D432,AJUSTEMENTS!$E$2:$E$501,E432))</f>
        <v/>
      </c>
      <c r="K432">
        <f>IF(A432="",0,IF(J432&lt;&gt;0,J432,I432))</f>
        <v/>
      </c>
    </row>
    <row r="433">
      <c r="A433">
        <f>IF(TRAITEMENTS!$Q433="","",TRAITEMENTS!Q433)</f>
        <v/>
      </c>
      <c r="B433">
        <f>IF(TRAITEMENTS!$Q433="","",TRAITEMENTS!E433)</f>
        <v/>
      </c>
      <c r="C433">
        <f>IF(TRAITEMENTS!$Q433="","",TRAITEMENTS!F433)</f>
        <v/>
      </c>
      <c r="D433">
        <f>IF(TRAITEMENTS!$Q433="","",TRAITEMENTS!G433)</f>
        <v/>
      </c>
      <c r="E433">
        <f>IF(TRAITEMENTS!$Q433="","",TRAITEMENTS!H433)</f>
        <v/>
      </c>
      <c r="F433">
        <f>IF(TRAITEMENTS!$Q433="","",TRAITEMENTS!O433)</f>
        <v/>
      </c>
      <c r="G433">
        <f>IF(A433="",0,SUMIFS(TRAITEMENTS!$O$2:$O$501,TRAITEMENTS!$Q$2:$Q$501,A433,TRAITEMENTS!$E$2:$E$501,B433))</f>
        <v/>
      </c>
      <c r="H433">
        <f>IF(A433="",0,SUMIFS(CONNEXIONS!$C$2:$C$501,CONNEXIONS!$D$2:$D$501,A433,CONNEXIONS!$B$2:$B$501,B433))</f>
        <v/>
      </c>
      <c r="I433">
        <f>IF(G433=0,0,F433/G433*H433)</f>
        <v/>
      </c>
      <c r="J433">
        <f>IF(A433="",0,SUMIFS(AJUSTEMENTS!$F$2:$F$501,AJUSTEMENTS!$A$2:$A$501,A433,AJUSTEMENTS!$B$2:$B$501,B433,AJUSTEMENTS!$C$2:$C$501,C433,AJUSTEMENTS!$D$2:$D$501,D433,AJUSTEMENTS!$E$2:$E$501,E433))</f>
        <v/>
      </c>
      <c r="K433">
        <f>IF(A433="",0,IF(J433&lt;&gt;0,J433,I433))</f>
        <v/>
      </c>
    </row>
    <row r="434">
      <c r="A434">
        <f>IF(TRAITEMENTS!$Q434="","",TRAITEMENTS!Q434)</f>
        <v/>
      </c>
      <c r="B434">
        <f>IF(TRAITEMENTS!$Q434="","",TRAITEMENTS!E434)</f>
        <v/>
      </c>
      <c r="C434">
        <f>IF(TRAITEMENTS!$Q434="","",TRAITEMENTS!F434)</f>
        <v/>
      </c>
      <c r="D434">
        <f>IF(TRAITEMENTS!$Q434="","",TRAITEMENTS!G434)</f>
        <v/>
      </c>
      <c r="E434">
        <f>IF(TRAITEMENTS!$Q434="","",TRAITEMENTS!H434)</f>
        <v/>
      </c>
      <c r="F434">
        <f>IF(TRAITEMENTS!$Q434="","",TRAITEMENTS!O434)</f>
        <v/>
      </c>
      <c r="G434">
        <f>IF(A434="",0,SUMIFS(TRAITEMENTS!$O$2:$O$501,TRAITEMENTS!$Q$2:$Q$501,A434,TRAITEMENTS!$E$2:$E$501,B434))</f>
        <v/>
      </c>
      <c r="H434">
        <f>IF(A434="",0,SUMIFS(CONNEXIONS!$C$2:$C$501,CONNEXIONS!$D$2:$D$501,A434,CONNEXIONS!$B$2:$B$501,B434))</f>
        <v/>
      </c>
      <c r="I434">
        <f>IF(G434=0,0,F434/G434*H434)</f>
        <v/>
      </c>
      <c r="J434">
        <f>IF(A434="",0,SUMIFS(AJUSTEMENTS!$F$2:$F$501,AJUSTEMENTS!$A$2:$A$501,A434,AJUSTEMENTS!$B$2:$B$501,B434,AJUSTEMENTS!$C$2:$C$501,C434,AJUSTEMENTS!$D$2:$D$501,D434,AJUSTEMENTS!$E$2:$E$501,E434))</f>
        <v/>
      </c>
      <c r="K434">
        <f>IF(A434="",0,IF(J434&lt;&gt;0,J434,I434))</f>
        <v/>
      </c>
    </row>
    <row r="435">
      <c r="A435">
        <f>IF(TRAITEMENTS!$Q435="","",TRAITEMENTS!Q435)</f>
        <v/>
      </c>
      <c r="B435">
        <f>IF(TRAITEMENTS!$Q435="","",TRAITEMENTS!E435)</f>
        <v/>
      </c>
      <c r="C435">
        <f>IF(TRAITEMENTS!$Q435="","",TRAITEMENTS!F435)</f>
        <v/>
      </c>
      <c r="D435">
        <f>IF(TRAITEMENTS!$Q435="","",TRAITEMENTS!G435)</f>
        <v/>
      </c>
      <c r="E435">
        <f>IF(TRAITEMENTS!$Q435="","",TRAITEMENTS!H435)</f>
        <v/>
      </c>
      <c r="F435">
        <f>IF(TRAITEMENTS!$Q435="","",TRAITEMENTS!O435)</f>
        <v/>
      </c>
      <c r="G435">
        <f>IF(A435="",0,SUMIFS(TRAITEMENTS!$O$2:$O$501,TRAITEMENTS!$Q$2:$Q$501,A435,TRAITEMENTS!$E$2:$E$501,B435))</f>
        <v/>
      </c>
      <c r="H435">
        <f>IF(A435="",0,SUMIFS(CONNEXIONS!$C$2:$C$501,CONNEXIONS!$D$2:$D$501,A435,CONNEXIONS!$B$2:$B$501,B435))</f>
        <v/>
      </c>
      <c r="I435">
        <f>IF(G435=0,0,F435/G435*H435)</f>
        <v/>
      </c>
      <c r="J435">
        <f>IF(A435="",0,SUMIFS(AJUSTEMENTS!$F$2:$F$501,AJUSTEMENTS!$A$2:$A$501,A435,AJUSTEMENTS!$B$2:$B$501,B435,AJUSTEMENTS!$C$2:$C$501,C435,AJUSTEMENTS!$D$2:$D$501,D435,AJUSTEMENTS!$E$2:$E$501,E435))</f>
        <v/>
      </c>
      <c r="K435">
        <f>IF(A435="",0,IF(J435&lt;&gt;0,J435,I435))</f>
        <v/>
      </c>
    </row>
    <row r="436">
      <c r="A436">
        <f>IF(TRAITEMENTS!$Q436="","",TRAITEMENTS!Q436)</f>
        <v/>
      </c>
      <c r="B436">
        <f>IF(TRAITEMENTS!$Q436="","",TRAITEMENTS!E436)</f>
        <v/>
      </c>
      <c r="C436">
        <f>IF(TRAITEMENTS!$Q436="","",TRAITEMENTS!F436)</f>
        <v/>
      </c>
      <c r="D436">
        <f>IF(TRAITEMENTS!$Q436="","",TRAITEMENTS!G436)</f>
        <v/>
      </c>
      <c r="E436">
        <f>IF(TRAITEMENTS!$Q436="","",TRAITEMENTS!H436)</f>
        <v/>
      </c>
      <c r="F436">
        <f>IF(TRAITEMENTS!$Q436="","",TRAITEMENTS!O436)</f>
        <v/>
      </c>
      <c r="G436">
        <f>IF(A436="",0,SUMIFS(TRAITEMENTS!$O$2:$O$501,TRAITEMENTS!$Q$2:$Q$501,A436,TRAITEMENTS!$E$2:$E$501,B436))</f>
        <v/>
      </c>
      <c r="H436">
        <f>IF(A436="",0,SUMIFS(CONNEXIONS!$C$2:$C$501,CONNEXIONS!$D$2:$D$501,A436,CONNEXIONS!$B$2:$B$501,B436))</f>
        <v/>
      </c>
      <c r="I436">
        <f>IF(G436=0,0,F436/G436*H436)</f>
        <v/>
      </c>
      <c r="J436">
        <f>IF(A436="",0,SUMIFS(AJUSTEMENTS!$F$2:$F$501,AJUSTEMENTS!$A$2:$A$501,A436,AJUSTEMENTS!$B$2:$B$501,B436,AJUSTEMENTS!$C$2:$C$501,C436,AJUSTEMENTS!$D$2:$D$501,D436,AJUSTEMENTS!$E$2:$E$501,E436))</f>
        <v/>
      </c>
      <c r="K436">
        <f>IF(A436="",0,IF(J436&lt;&gt;0,J436,I436))</f>
        <v/>
      </c>
    </row>
    <row r="437">
      <c r="A437">
        <f>IF(TRAITEMENTS!$Q437="","",TRAITEMENTS!Q437)</f>
        <v/>
      </c>
      <c r="B437">
        <f>IF(TRAITEMENTS!$Q437="","",TRAITEMENTS!E437)</f>
        <v/>
      </c>
      <c r="C437">
        <f>IF(TRAITEMENTS!$Q437="","",TRAITEMENTS!F437)</f>
        <v/>
      </c>
      <c r="D437">
        <f>IF(TRAITEMENTS!$Q437="","",TRAITEMENTS!G437)</f>
        <v/>
      </c>
      <c r="E437">
        <f>IF(TRAITEMENTS!$Q437="","",TRAITEMENTS!H437)</f>
        <v/>
      </c>
      <c r="F437">
        <f>IF(TRAITEMENTS!$Q437="","",TRAITEMENTS!O437)</f>
        <v/>
      </c>
      <c r="G437">
        <f>IF(A437="",0,SUMIFS(TRAITEMENTS!$O$2:$O$501,TRAITEMENTS!$Q$2:$Q$501,A437,TRAITEMENTS!$E$2:$E$501,B437))</f>
        <v/>
      </c>
      <c r="H437">
        <f>IF(A437="",0,SUMIFS(CONNEXIONS!$C$2:$C$501,CONNEXIONS!$D$2:$D$501,A437,CONNEXIONS!$B$2:$B$501,B437))</f>
        <v/>
      </c>
      <c r="I437">
        <f>IF(G437=0,0,F437/G437*H437)</f>
        <v/>
      </c>
      <c r="J437">
        <f>IF(A437="",0,SUMIFS(AJUSTEMENTS!$F$2:$F$501,AJUSTEMENTS!$A$2:$A$501,A437,AJUSTEMENTS!$B$2:$B$501,B437,AJUSTEMENTS!$C$2:$C$501,C437,AJUSTEMENTS!$D$2:$D$501,D437,AJUSTEMENTS!$E$2:$E$501,E437))</f>
        <v/>
      </c>
      <c r="K437">
        <f>IF(A437="",0,IF(J437&lt;&gt;0,J437,I437))</f>
        <v/>
      </c>
    </row>
    <row r="438">
      <c r="A438">
        <f>IF(TRAITEMENTS!$Q438="","",TRAITEMENTS!Q438)</f>
        <v/>
      </c>
      <c r="B438">
        <f>IF(TRAITEMENTS!$Q438="","",TRAITEMENTS!E438)</f>
        <v/>
      </c>
      <c r="C438">
        <f>IF(TRAITEMENTS!$Q438="","",TRAITEMENTS!F438)</f>
        <v/>
      </c>
      <c r="D438">
        <f>IF(TRAITEMENTS!$Q438="","",TRAITEMENTS!G438)</f>
        <v/>
      </c>
      <c r="E438">
        <f>IF(TRAITEMENTS!$Q438="","",TRAITEMENTS!H438)</f>
        <v/>
      </c>
      <c r="F438">
        <f>IF(TRAITEMENTS!$Q438="","",TRAITEMENTS!O438)</f>
        <v/>
      </c>
      <c r="G438">
        <f>IF(A438="",0,SUMIFS(TRAITEMENTS!$O$2:$O$501,TRAITEMENTS!$Q$2:$Q$501,A438,TRAITEMENTS!$E$2:$E$501,B438))</f>
        <v/>
      </c>
      <c r="H438">
        <f>IF(A438="",0,SUMIFS(CONNEXIONS!$C$2:$C$501,CONNEXIONS!$D$2:$D$501,A438,CONNEXIONS!$B$2:$B$501,B438))</f>
        <v/>
      </c>
      <c r="I438">
        <f>IF(G438=0,0,F438/G438*H438)</f>
        <v/>
      </c>
      <c r="J438">
        <f>IF(A438="",0,SUMIFS(AJUSTEMENTS!$F$2:$F$501,AJUSTEMENTS!$A$2:$A$501,A438,AJUSTEMENTS!$B$2:$B$501,B438,AJUSTEMENTS!$C$2:$C$501,C438,AJUSTEMENTS!$D$2:$D$501,D438,AJUSTEMENTS!$E$2:$E$501,E438))</f>
        <v/>
      </c>
      <c r="K438">
        <f>IF(A438="",0,IF(J438&lt;&gt;0,J438,I438))</f>
        <v/>
      </c>
    </row>
    <row r="439">
      <c r="A439">
        <f>IF(TRAITEMENTS!$Q439="","",TRAITEMENTS!Q439)</f>
        <v/>
      </c>
      <c r="B439">
        <f>IF(TRAITEMENTS!$Q439="","",TRAITEMENTS!E439)</f>
        <v/>
      </c>
      <c r="C439">
        <f>IF(TRAITEMENTS!$Q439="","",TRAITEMENTS!F439)</f>
        <v/>
      </c>
      <c r="D439">
        <f>IF(TRAITEMENTS!$Q439="","",TRAITEMENTS!G439)</f>
        <v/>
      </c>
      <c r="E439">
        <f>IF(TRAITEMENTS!$Q439="","",TRAITEMENTS!H439)</f>
        <v/>
      </c>
      <c r="F439">
        <f>IF(TRAITEMENTS!$Q439="","",TRAITEMENTS!O439)</f>
        <v/>
      </c>
      <c r="G439">
        <f>IF(A439="",0,SUMIFS(TRAITEMENTS!$O$2:$O$501,TRAITEMENTS!$Q$2:$Q$501,A439,TRAITEMENTS!$E$2:$E$501,B439))</f>
        <v/>
      </c>
      <c r="H439">
        <f>IF(A439="",0,SUMIFS(CONNEXIONS!$C$2:$C$501,CONNEXIONS!$D$2:$D$501,A439,CONNEXIONS!$B$2:$B$501,B439))</f>
        <v/>
      </c>
      <c r="I439">
        <f>IF(G439=0,0,F439/G439*H439)</f>
        <v/>
      </c>
      <c r="J439">
        <f>IF(A439="",0,SUMIFS(AJUSTEMENTS!$F$2:$F$501,AJUSTEMENTS!$A$2:$A$501,A439,AJUSTEMENTS!$B$2:$B$501,B439,AJUSTEMENTS!$C$2:$C$501,C439,AJUSTEMENTS!$D$2:$D$501,D439,AJUSTEMENTS!$E$2:$E$501,E439))</f>
        <v/>
      </c>
      <c r="K439">
        <f>IF(A439="",0,IF(J439&lt;&gt;0,J439,I439))</f>
        <v/>
      </c>
    </row>
    <row r="440">
      <c r="A440">
        <f>IF(TRAITEMENTS!$Q440="","",TRAITEMENTS!Q440)</f>
        <v/>
      </c>
      <c r="B440">
        <f>IF(TRAITEMENTS!$Q440="","",TRAITEMENTS!E440)</f>
        <v/>
      </c>
      <c r="C440">
        <f>IF(TRAITEMENTS!$Q440="","",TRAITEMENTS!F440)</f>
        <v/>
      </c>
      <c r="D440">
        <f>IF(TRAITEMENTS!$Q440="","",TRAITEMENTS!G440)</f>
        <v/>
      </c>
      <c r="E440">
        <f>IF(TRAITEMENTS!$Q440="","",TRAITEMENTS!H440)</f>
        <v/>
      </c>
      <c r="F440">
        <f>IF(TRAITEMENTS!$Q440="","",TRAITEMENTS!O440)</f>
        <v/>
      </c>
      <c r="G440">
        <f>IF(A440="",0,SUMIFS(TRAITEMENTS!$O$2:$O$501,TRAITEMENTS!$Q$2:$Q$501,A440,TRAITEMENTS!$E$2:$E$501,B440))</f>
        <v/>
      </c>
      <c r="H440">
        <f>IF(A440="",0,SUMIFS(CONNEXIONS!$C$2:$C$501,CONNEXIONS!$D$2:$D$501,A440,CONNEXIONS!$B$2:$B$501,B440))</f>
        <v/>
      </c>
      <c r="I440">
        <f>IF(G440=0,0,F440/G440*H440)</f>
        <v/>
      </c>
      <c r="J440">
        <f>IF(A440="",0,SUMIFS(AJUSTEMENTS!$F$2:$F$501,AJUSTEMENTS!$A$2:$A$501,A440,AJUSTEMENTS!$B$2:$B$501,B440,AJUSTEMENTS!$C$2:$C$501,C440,AJUSTEMENTS!$D$2:$D$501,D440,AJUSTEMENTS!$E$2:$E$501,E440))</f>
        <v/>
      </c>
      <c r="K440">
        <f>IF(A440="",0,IF(J440&lt;&gt;0,J440,I440))</f>
        <v/>
      </c>
    </row>
    <row r="441">
      <c r="A441">
        <f>IF(TRAITEMENTS!$Q441="","",TRAITEMENTS!Q441)</f>
        <v/>
      </c>
      <c r="B441">
        <f>IF(TRAITEMENTS!$Q441="","",TRAITEMENTS!E441)</f>
        <v/>
      </c>
      <c r="C441">
        <f>IF(TRAITEMENTS!$Q441="","",TRAITEMENTS!F441)</f>
        <v/>
      </c>
      <c r="D441">
        <f>IF(TRAITEMENTS!$Q441="","",TRAITEMENTS!G441)</f>
        <v/>
      </c>
      <c r="E441">
        <f>IF(TRAITEMENTS!$Q441="","",TRAITEMENTS!H441)</f>
        <v/>
      </c>
      <c r="F441">
        <f>IF(TRAITEMENTS!$Q441="","",TRAITEMENTS!O441)</f>
        <v/>
      </c>
      <c r="G441">
        <f>IF(A441="",0,SUMIFS(TRAITEMENTS!$O$2:$O$501,TRAITEMENTS!$Q$2:$Q$501,A441,TRAITEMENTS!$E$2:$E$501,B441))</f>
        <v/>
      </c>
      <c r="H441">
        <f>IF(A441="",0,SUMIFS(CONNEXIONS!$C$2:$C$501,CONNEXIONS!$D$2:$D$501,A441,CONNEXIONS!$B$2:$B$501,B441))</f>
        <v/>
      </c>
      <c r="I441">
        <f>IF(G441=0,0,F441/G441*H441)</f>
        <v/>
      </c>
      <c r="J441">
        <f>IF(A441="",0,SUMIFS(AJUSTEMENTS!$F$2:$F$501,AJUSTEMENTS!$A$2:$A$501,A441,AJUSTEMENTS!$B$2:$B$501,B441,AJUSTEMENTS!$C$2:$C$501,C441,AJUSTEMENTS!$D$2:$D$501,D441,AJUSTEMENTS!$E$2:$E$501,E441))</f>
        <v/>
      </c>
      <c r="K441">
        <f>IF(A441="",0,IF(J441&lt;&gt;0,J441,I441))</f>
        <v/>
      </c>
    </row>
    <row r="442">
      <c r="A442">
        <f>IF(TRAITEMENTS!$Q442="","",TRAITEMENTS!Q442)</f>
        <v/>
      </c>
      <c r="B442">
        <f>IF(TRAITEMENTS!$Q442="","",TRAITEMENTS!E442)</f>
        <v/>
      </c>
      <c r="C442">
        <f>IF(TRAITEMENTS!$Q442="","",TRAITEMENTS!F442)</f>
        <v/>
      </c>
      <c r="D442">
        <f>IF(TRAITEMENTS!$Q442="","",TRAITEMENTS!G442)</f>
        <v/>
      </c>
      <c r="E442">
        <f>IF(TRAITEMENTS!$Q442="","",TRAITEMENTS!H442)</f>
        <v/>
      </c>
      <c r="F442">
        <f>IF(TRAITEMENTS!$Q442="","",TRAITEMENTS!O442)</f>
        <v/>
      </c>
      <c r="G442">
        <f>IF(A442="",0,SUMIFS(TRAITEMENTS!$O$2:$O$501,TRAITEMENTS!$Q$2:$Q$501,A442,TRAITEMENTS!$E$2:$E$501,B442))</f>
        <v/>
      </c>
      <c r="H442">
        <f>IF(A442="",0,SUMIFS(CONNEXIONS!$C$2:$C$501,CONNEXIONS!$D$2:$D$501,A442,CONNEXIONS!$B$2:$B$501,B442))</f>
        <v/>
      </c>
      <c r="I442">
        <f>IF(G442=0,0,F442/G442*H442)</f>
        <v/>
      </c>
      <c r="J442">
        <f>IF(A442="",0,SUMIFS(AJUSTEMENTS!$F$2:$F$501,AJUSTEMENTS!$A$2:$A$501,A442,AJUSTEMENTS!$B$2:$B$501,B442,AJUSTEMENTS!$C$2:$C$501,C442,AJUSTEMENTS!$D$2:$D$501,D442,AJUSTEMENTS!$E$2:$E$501,E442))</f>
        <v/>
      </c>
      <c r="K442">
        <f>IF(A442="",0,IF(J442&lt;&gt;0,J442,I442))</f>
        <v/>
      </c>
    </row>
    <row r="443">
      <c r="A443">
        <f>IF(TRAITEMENTS!$Q443="","",TRAITEMENTS!Q443)</f>
        <v/>
      </c>
      <c r="B443">
        <f>IF(TRAITEMENTS!$Q443="","",TRAITEMENTS!E443)</f>
        <v/>
      </c>
      <c r="C443">
        <f>IF(TRAITEMENTS!$Q443="","",TRAITEMENTS!F443)</f>
        <v/>
      </c>
      <c r="D443">
        <f>IF(TRAITEMENTS!$Q443="","",TRAITEMENTS!G443)</f>
        <v/>
      </c>
      <c r="E443">
        <f>IF(TRAITEMENTS!$Q443="","",TRAITEMENTS!H443)</f>
        <v/>
      </c>
      <c r="F443">
        <f>IF(TRAITEMENTS!$Q443="","",TRAITEMENTS!O443)</f>
        <v/>
      </c>
      <c r="G443">
        <f>IF(A443="",0,SUMIFS(TRAITEMENTS!$O$2:$O$501,TRAITEMENTS!$Q$2:$Q$501,A443,TRAITEMENTS!$E$2:$E$501,B443))</f>
        <v/>
      </c>
      <c r="H443">
        <f>IF(A443="",0,SUMIFS(CONNEXIONS!$C$2:$C$501,CONNEXIONS!$D$2:$D$501,A443,CONNEXIONS!$B$2:$B$501,B443))</f>
        <v/>
      </c>
      <c r="I443">
        <f>IF(G443=0,0,F443/G443*H443)</f>
        <v/>
      </c>
      <c r="J443">
        <f>IF(A443="",0,SUMIFS(AJUSTEMENTS!$F$2:$F$501,AJUSTEMENTS!$A$2:$A$501,A443,AJUSTEMENTS!$B$2:$B$501,B443,AJUSTEMENTS!$C$2:$C$501,C443,AJUSTEMENTS!$D$2:$D$501,D443,AJUSTEMENTS!$E$2:$E$501,E443))</f>
        <v/>
      </c>
      <c r="K443">
        <f>IF(A443="",0,IF(J443&lt;&gt;0,J443,I443))</f>
        <v/>
      </c>
    </row>
    <row r="444">
      <c r="A444">
        <f>IF(TRAITEMENTS!$Q444="","",TRAITEMENTS!Q444)</f>
        <v/>
      </c>
      <c r="B444">
        <f>IF(TRAITEMENTS!$Q444="","",TRAITEMENTS!E444)</f>
        <v/>
      </c>
      <c r="C444">
        <f>IF(TRAITEMENTS!$Q444="","",TRAITEMENTS!F444)</f>
        <v/>
      </c>
      <c r="D444">
        <f>IF(TRAITEMENTS!$Q444="","",TRAITEMENTS!G444)</f>
        <v/>
      </c>
      <c r="E444">
        <f>IF(TRAITEMENTS!$Q444="","",TRAITEMENTS!H444)</f>
        <v/>
      </c>
      <c r="F444">
        <f>IF(TRAITEMENTS!$Q444="","",TRAITEMENTS!O444)</f>
        <v/>
      </c>
      <c r="G444">
        <f>IF(A444="",0,SUMIFS(TRAITEMENTS!$O$2:$O$501,TRAITEMENTS!$Q$2:$Q$501,A444,TRAITEMENTS!$E$2:$E$501,B444))</f>
        <v/>
      </c>
      <c r="H444">
        <f>IF(A444="",0,SUMIFS(CONNEXIONS!$C$2:$C$501,CONNEXIONS!$D$2:$D$501,A444,CONNEXIONS!$B$2:$B$501,B444))</f>
        <v/>
      </c>
      <c r="I444">
        <f>IF(G444=0,0,F444/G444*H444)</f>
        <v/>
      </c>
      <c r="J444">
        <f>IF(A444="",0,SUMIFS(AJUSTEMENTS!$F$2:$F$501,AJUSTEMENTS!$A$2:$A$501,A444,AJUSTEMENTS!$B$2:$B$501,B444,AJUSTEMENTS!$C$2:$C$501,C444,AJUSTEMENTS!$D$2:$D$501,D444,AJUSTEMENTS!$E$2:$E$501,E444))</f>
        <v/>
      </c>
      <c r="K444">
        <f>IF(A444="",0,IF(J444&lt;&gt;0,J444,I444))</f>
        <v/>
      </c>
    </row>
    <row r="445">
      <c r="A445">
        <f>IF(TRAITEMENTS!$Q445="","",TRAITEMENTS!Q445)</f>
        <v/>
      </c>
      <c r="B445">
        <f>IF(TRAITEMENTS!$Q445="","",TRAITEMENTS!E445)</f>
        <v/>
      </c>
      <c r="C445">
        <f>IF(TRAITEMENTS!$Q445="","",TRAITEMENTS!F445)</f>
        <v/>
      </c>
      <c r="D445">
        <f>IF(TRAITEMENTS!$Q445="","",TRAITEMENTS!G445)</f>
        <v/>
      </c>
      <c r="E445">
        <f>IF(TRAITEMENTS!$Q445="","",TRAITEMENTS!H445)</f>
        <v/>
      </c>
      <c r="F445">
        <f>IF(TRAITEMENTS!$Q445="","",TRAITEMENTS!O445)</f>
        <v/>
      </c>
      <c r="G445">
        <f>IF(A445="",0,SUMIFS(TRAITEMENTS!$O$2:$O$501,TRAITEMENTS!$Q$2:$Q$501,A445,TRAITEMENTS!$E$2:$E$501,B445))</f>
        <v/>
      </c>
      <c r="H445">
        <f>IF(A445="",0,SUMIFS(CONNEXIONS!$C$2:$C$501,CONNEXIONS!$D$2:$D$501,A445,CONNEXIONS!$B$2:$B$501,B445))</f>
        <v/>
      </c>
      <c r="I445">
        <f>IF(G445=0,0,F445/G445*H445)</f>
        <v/>
      </c>
      <c r="J445">
        <f>IF(A445="",0,SUMIFS(AJUSTEMENTS!$F$2:$F$501,AJUSTEMENTS!$A$2:$A$501,A445,AJUSTEMENTS!$B$2:$B$501,B445,AJUSTEMENTS!$C$2:$C$501,C445,AJUSTEMENTS!$D$2:$D$501,D445,AJUSTEMENTS!$E$2:$E$501,E445))</f>
        <v/>
      </c>
      <c r="K445">
        <f>IF(A445="",0,IF(J445&lt;&gt;0,J445,I445))</f>
        <v/>
      </c>
    </row>
    <row r="446">
      <c r="A446">
        <f>IF(TRAITEMENTS!$Q446="","",TRAITEMENTS!Q446)</f>
        <v/>
      </c>
      <c r="B446">
        <f>IF(TRAITEMENTS!$Q446="","",TRAITEMENTS!E446)</f>
        <v/>
      </c>
      <c r="C446">
        <f>IF(TRAITEMENTS!$Q446="","",TRAITEMENTS!F446)</f>
        <v/>
      </c>
      <c r="D446">
        <f>IF(TRAITEMENTS!$Q446="","",TRAITEMENTS!G446)</f>
        <v/>
      </c>
      <c r="E446">
        <f>IF(TRAITEMENTS!$Q446="","",TRAITEMENTS!H446)</f>
        <v/>
      </c>
      <c r="F446">
        <f>IF(TRAITEMENTS!$Q446="","",TRAITEMENTS!O446)</f>
        <v/>
      </c>
      <c r="G446">
        <f>IF(A446="",0,SUMIFS(TRAITEMENTS!$O$2:$O$501,TRAITEMENTS!$Q$2:$Q$501,A446,TRAITEMENTS!$E$2:$E$501,B446))</f>
        <v/>
      </c>
      <c r="H446">
        <f>IF(A446="",0,SUMIFS(CONNEXIONS!$C$2:$C$501,CONNEXIONS!$D$2:$D$501,A446,CONNEXIONS!$B$2:$B$501,B446))</f>
        <v/>
      </c>
      <c r="I446">
        <f>IF(G446=0,0,F446/G446*H446)</f>
        <v/>
      </c>
      <c r="J446">
        <f>IF(A446="",0,SUMIFS(AJUSTEMENTS!$F$2:$F$501,AJUSTEMENTS!$A$2:$A$501,A446,AJUSTEMENTS!$B$2:$B$501,B446,AJUSTEMENTS!$C$2:$C$501,C446,AJUSTEMENTS!$D$2:$D$501,D446,AJUSTEMENTS!$E$2:$E$501,E446))</f>
        <v/>
      </c>
      <c r="K446">
        <f>IF(A446="",0,IF(J446&lt;&gt;0,J446,I446))</f>
        <v/>
      </c>
    </row>
    <row r="447">
      <c r="A447">
        <f>IF(TRAITEMENTS!$Q447="","",TRAITEMENTS!Q447)</f>
        <v/>
      </c>
      <c r="B447">
        <f>IF(TRAITEMENTS!$Q447="","",TRAITEMENTS!E447)</f>
        <v/>
      </c>
      <c r="C447">
        <f>IF(TRAITEMENTS!$Q447="","",TRAITEMENTS!F447)</f>
        <v/>
      </c>
      <c r="D447">
        <f>IF(TRAITEMENTS!$Q447="","",TRAITEMENTS!G447)</f>
        <v/>
      </c>
      <c r="E447">
        <f>IF(TRAITEMENTS!$Q447="","",TRAITEMENTS!H447)</f>
        <v/>
      </c>
      <c r="F447">
        <f>IF(TRAITEMENTS!$Q447="","",TRAITEMENTS!O447)</f>
        <v/>
      </c>
      <c r="G447">
        <f>IF(A447="",0,SUMIFS(TRAITEMENTS!$O$2:$O$501,TRAITEMENTS!$Q$2:$Q$501,A447,TRAITEMENTS!$E$2:$E$501,B447))</f>
        <v/>
      </c>
      <c r="H447">
        <f>IF(A447="",0,SUMIFS(CONNEXIONS!$C$2:$C$501,CONNEXIONS!$D$2:$D$501,A447,CONNEXIONS!$B$2:$B$501,B447))</f>
        <v/>
      </c>
      <c r="I447">
        <f>IF(G447=0,0,F447/G447*H447)</f>
        <v/>
      </c>
      <c r="J447">
        <f>IF(A447="",0,SUMIFS(AJUSTEMENTS!$F$2:$F$501,AJUSTEMENTS!$A$2:$A$501,A447,AJUSTEMENTS!$B$2:$B$501,B447,AJUSTEMENTS!$C$2:$C$501,C447,AJUSTEMENTS!$D$2:$D$501,D447,AJUSTEMENTS!$E$2:$E$501,E447))</f>
        <v/>
      </c>
      <c r="K447">
        <f>IF(A447="",0,IF(J447&lt;&gt;0,J447,I447))</f>
        <v/>
      </c>
    </row>
    <row r="448">
      <c r="A448">
        <f>IF(TRAITEMENTS!$Q448="","",TRAITEMENTS!Q448)</f>
        <v/>
      </c>
      <c r="B448">
        <f>IF(TRAITEMENTS!$Q448="","",TRAITEMENTS!E448)</f>
        <v/>
      </c>
      <c r="C448">
        <f>IF(TRAITEMENTS!$Q448="","",TRAITEMENTS!F448)</f>
        <v/>
      </c>
      <c r="D448">
        <f>IF(TRAITEMENTS!$Q448="","",TRAITEMENTS!G448)</f>
        <v/>
      </c>
      <c r="E448">
        <f>IF(TRAITEMENTS!$Q448="","",TRAITEMENTS!H448)</f>
        <v/>
      </c>
      <c r="F448">
        <f>IF(TRAITEMENTS!$Q448="","",TRAITEMENTS!O448)</f>
        <v/>
      </c>
      <c r="G448">
        <f>IF(A448="",0,SUMIFS(TRAITEMENTS!$O$2:$O$501,TRAITEMENTS!$Q$2:$Q$501,A448,TRAITEMENTS!$E$2:$E$501,B448))</f>
        <v/>
      </c>
      <c r="H448">
        <f>IF(A448="",0,SUMIFS(CONNEXIONS!$C$2:$C$501,CONNEXIONS!$D$2:$D$501,A448,CONNEXIONS!$B$2:$B$501,B448))</f>
        <v/>
      </c>
      <c r="I448">
        <f>IF(G448=0,0,F448/G448*H448)</f>
        <v/>
      </c>
      <c r="J448">
        <f>IF(A448="",0,SUMIFS(AJUSTEMENTS!$F$2:$F$501,AJUSTEMENTS!$A$2:$A$501,A448,AJUSTEMENTS!$B$2:$B$501,B448,AJUSTEMENTS!$C$2:$C$501,C448,AJUSTEMENTS!$D$2:$D$501,D448,AJUSTEMENTS!$E$2:$E$501,E448))</f>
        <v/>
      </c>
      <c r="K448">
        <f>IF(A448="",0,IF(J448&lt;&gt;0,J448,I448))</f>
        <v/>
      </c>
    </row>
    <row r="449">
      <c r="A449">
        <f>IF(TRAITEMENTS!$Q449="","",TRAITEMENTS!Q449)</f>
        <v/>
      </c>
      <c r="B449">
        <f>IF(TRAITEMENTS!$Q449="","",TRAITEMENTS!E449)</f>
        <v/>
      </c>
      <c r="C449">
        <f>IF(TRAITEMENTS!$Q449="","",TRAITEMENTS!F449)</f>
        <v/>
      </c>
      <c r="D449">
        <f>IF(TRAITEMENTS!$Q449="","",TRAITEMENTS!G449)</f>
        <v/>
      </c>
      <c r="E449">
        <f>IF(TRAITEMENTS!$Q449="","",TRAITEMENTS!H449)</f>
        <v/>
      </c>
      <c r="F449">
        <f>IF(TRAITEMENTS!$Q449="","",TRAITEMENTS!O449)</f>
        <v/>
      </c>
      <c r="G449">
        <f>IF(A449="",0,SUMIFS(TRAITEMENTS!$O$2:$O$501,TRAITEMENTS!$Q$2:$Q$501,A449,TRAITEMENTS!$E$2:$E$501,B449))</f>
        <v/>
      </c>
      <c r="H449">
        <f>IF(A449="",0,SUMIFS(CONNEXIONS!$C$2:$C$501,CONNEXIONS!$D$2:$D$501,A449,CONNEXIONS!$B$2:$B$501,B449))</f>
        <v/>
      </c>
      <c r="I449">
        <f>IF(G449=0,0,F449/G449*H449)</f>
        <v/>
      </c>
      <c r="J449">
        <f>IF(A449="",0,SUMIFS(AJUSTEMENTS!$F$2:$F$501,AJUSTEMENTS!$A$2:$A$501,A449,AJUSTEMENTS!$B$2:$B$501,B449,AJUSTEMENTS!$C$2:$C$501,C449,AJUSTEMENTS!$D$2:$D$501,D449,AJUSTEMENTS!$E$2:$E$501,E449))</f>
        <v/>
      </c>
      <c r="K449">
        <f>IF(A449="",0,IF(J449&lt;&gt;0,J449,I449))</f>
        <v/>
      </c>
    </row>
    <row r="450">
      <c r="A450">
        <f>IF(TRAITEMENTS!$Q450="","",TRAITEMENTS!Q450)</f>
        <v/>
      </c>
      <c r="B450">
        <f>IF(TRAITEMENTS!$Q450="","",TRAITEMENTS!E450)</f>
        <v/>
      </c>
      <c r="C450">
        <f>IF(TRAITEMENTS!$Q450="","",TRAITEMENTS!F450)</f>
        <v/>
      </c>
      <c r="D450">
        <f>IF(TRAITEMENTS!$Q450="","",TRAITEMENTS!G450)</f>
        <v/>
      </c>
      <c r="E450">
        <f>IF(TRAITEMENTS!$Q450="","",TRAITEMENTS!H450)</f>
        <v/>
      </c>
      <c r="F450">
        <f>IF(TRAITEMENTS!$Q450="","",TRAITEMENTS!O450)</f>
        <v/>
      </c>
      <c r="G450">
        <f>IF(A450="",0,SUMIFS(TRAITEMENTS!$O$2:$O$501,TRAITEMENTS!$Q$2:$Q$501,A450,TRAITEMENTS!$E$2:$E$501,B450))</f>
        <v/>
      </c>
      <c r="H450">
        <f>IF(A450="",0,SUMIFS(CONNEXIONS!$C$2:$C$501,CONNEXIONS!$D$2:$D$501,A450,CONNEXIONS!$B$2:$B$501,B450))</f>
        <v/>
      </c>
      <c r="I450">
        <f>IF(G450=0,0,F450/G450*H450)</f>
        <v/>
      </c>
      <c r="J450">
        <f>IF(A450="",0,SUMIFS(AJUSTEMENTS!$F$2:$F$501,AJUSTEMENTS!$A$2:$A$501,A450,AJUSTEMENTS!$B$2:$B$501,B450,AJUSTEMENTS!$C$2:$C$501,C450,AJUSTEMENTS!$D$2:$D$501,D450,AJUSTEMENTS!$E$2:$E$501,E450))</f>
        <v/>
      </c>
      <c r="K450">
        <f>IF(A450="",0,IF(J450&lt;&gt;0,J450,I450))</f>
        <v/>
      </c>
    </row>
    <row r="451">
      <c r="A451">
        <f>IF(TRAITEMENTS!$Q451="","",TRAITEMENTS!Q451)</f>
        <v/>
      </c>
      <c r="B451">
        <f>IF(TRAITEMENTS!$Q451="","",TRAITEMENTS!E451)</f>
        <v/>
      </c>
      <c r="C451">
        <f>IF(TRAITEMENTS!$Q451="","",TRAITEMENTS!F451)</f>
        <v/>
      </c>
      <c r="D451">
        <f>IF(TRAITEMENTS!$Q451="","",TRAITEMENTS!G451)</f>
        <v/>
      </c>
      <c r="E451">
        <f>IF(TRAITEMENTS!$Q451="","",TRAITEMENTS!H451)</f>
        <v/>
      </c>
      <c r="F451">
        <f>IF(TRAITEMENTS!$Q451="","",TRAITEMENTS!O451)</f>
        <v/>
      </c>
      <c r="G451">
        <f>IF(A451="",0,SUMIFS(TRAITEMENTS!$O$2:$O$501,TRAITEMENTS!$Q$2:$Q$501,A451,TRAITEMENTS!$E$2:$E$501,B451))</f>
        <v/>
      </c>
      <c r="H451">
        <f>IF(A451="",0,SUMIFS(CONNEXIONS!$C$2:$C$501,CONNEXIONS!$D$2:$D$501,A451,CONNEXIONS!$B$2:$B$501,B451))</f>
        <v/>
      </c>
      <c r="I451">
        <f>IF(G451=0,0,F451/G451*H451)</f>
        <v/>
      </c>
      <c r="J451">
        <f>IF(A451="",0,SUMIFS(AJUSTEMENTS!$F$2:$F$501,AJUSTEMENTS!$A$2:$A$501,A451,AJUSTEMENTS!$B$2:$B$501,B451,AJUSTEMENTS!$C$2:$C$501,C451,AJUSTEMENTS!$D$2:$D$501,D451,AJUSTEMENTS!$E$2:$E$501,E451))</f>
        <v/>
      </c>
      <c r="K451">
        <f>IF(A451="",0,IF(J451&lt;&gt;0,J451,I451))</f>
        <v/>
      </c>
    </row>
    <row r="452">
      <c r="A452">
        <f>IF(TRAITEMENTS!$Q452="","",TRAITEMENTS!Q452)</f>
        <v/>
      </c>
      <c r="B452">
        <f>IF(TRAITEMENTS!$Q452="","",TRAITEMENTS!E452)</f>
        <v/>
      </c>
      <c r="C452">
        <f>IF(TRAITEMENTS!$Q452="","",TRAITEMENTS!F452)</f>
        <v/>
      </c>
      <c r="D452">
        <f>IF(TRAITEMENTS!$Q452="","",TRAITEMENTS!G452)</f>
        <v/>
      </c>
      <c r="E452">
        <f>IF(TRAITEMENTS!$Q452="","",TRAITEMENTS!H452)</f>
        <v/>
      </c>
      <c r="F452">
        <f>IF(TRAITEMENTS!$Q452="","",TRAITEMENTS!O452)</f>
        <v/>
      </c>
      <c r="G452">
        <f>IF(A452="",0,SUMIFS(TRAITEMENTS!$O$2:$O$501,TRAITEMENTS!$Q$2:$Q$501,A452,TRAITEMENTS!$E$2:$E$501,B452))</f>
        <v/>
      </c>
      <c r="H452">
        <f>IF(A452="",0,SUMIFS(CONNEXIONS!$C$2:$C$501,CONNEXIONS!$D$2:$D$501,A452,CONNEXIONS!$B$2:$B$501,B452))</f>
        <v/>
      </c>
      <c r="I452">
        <f>IF(G452=0,0,F452/G452*H452)</f>
        <v/>
      </c>
      <c r="J452">
        <f>IF(A452="",0,SUMIFS(AJUSTEMENTS!$F$2:$F$501,AJUSTEMENTS!$A$2:$A$501,A452,AJUSTEMENTS!$B$2:$B$501,B452,AJUSTEMENTS!$C$2:$C$501,C452,AJUSTEMENTS!$D$2:$D$501,D452,AJUSTEMENTS!$E$2:$E$501,E452))</f>
        <v/>
      </c>
      <c r="K452">
        <f>IF(A452="",0,IF(J452&lt;&gt;0,J452,I452))</f>
        <v/>
      </c>
    </row>
    <row r="453">
      <c r="A453">
        <f>IF(TRAITEMENTS!$Q453="","",TRAITEMENTS!Q453)</f>
        <v/>
      </c>
      <c r="B453">
        <f>IF(TRAITEMENTS!$Q453="","",TRAITEMENTS!E453)</f>
        <v/>
      </c>
      <c r="C453">
        <f>IF(TRAITEMENTS!$Q453="","",TRAITEMENTS!F453)</f>
        <v/>
      </c>
      <c r="D453">
        <f>IF(TRAITEMENTS!$Q453="","",TRAITEMENTS!G453)</f>
        <v/>
      </c>
      <c r="E453">
        <f>IF(TRAITEMENTS!$Q453="","",TRAITEMENTS!H453)</f>
        <v/>
      </c>
      <c r="F453">
        <f>IF(TRAITEMENTS!$Q453="","",TRAITEMENTS!O453)</f>
        <v/>
      </c>
      <c r="G453">
        <f>IF(A453="",0,SUMIFS(TRAITEMENTS!$O$2:$O$501,TRAITEMENTS!$Q$2:$Q$501,A453,TRAITEMENTS!$E$2:$E$501,B453))</f>
        <v/>
      </c>
      <c r="H453">
        <f>IF(A453="",0,SUMIFS(CONNEXIONS!$C$2:$C$501,CONNEXIONS!$D$2:$D$501,A453,CONNEXIONS!$B$2:$B$501,B453))</f>
        <v/>
      </c>
      <c r="I453">
        <f>IF(G453=0,0,F453/G453*H453)</f>
        <v/>
      </c>
      <c r="J453">
        <f>IF(A453="",0,SUMIFS(AJUSTEMENTS!$F$2:$F$501,AJUSTEMENTS!$A$2:$A$501,A453,AJUSTEMENTS!$B$2:$B$501,B453,AJUSTEMENTS!$C$2:$C$501,C453,AJUSTEMENTS!$D$2:$D$501,D453,AJUSTEMENTS!$E$2:$E$501,E453))</f>
        <v/>
      </c>
      <c r="K453">
        <f>IF(A453="",0,IF(J453&lt;&gt;0,J453,I453))</f>
        <v/>
      </c>
    </row>
    <row r="454">
      <c r="A454">
        <f>IF(TRAITEMENTS!$Q454="","",TRAITEMENTS!Q454)</f>
        <v/>
      </c>
      <c r="B454">
        <f>IF(TRAITEMENTS!$Q454="","",TRAITEMENTS!E454)</f>
        <v/>
      </c>
      <c r="C454">
        <f>IF(TRAITEMENTS!$Q454="","",TRAITEMENTS!F454)</f>
        <v/>
      </c>
      <c r="D454">
        <f>IF(TRAITEMENTS!$Q454="","",TRAITEMENTS!G454)</f>
        <v/>
      </c>
      <c r="E454">
        <f>IF(TRAITEMENTS!$Q454="","",TRAITEMENTS!H454)</f>
        <v/>
      </c>
      <c r="F454">
        <f>IF(TRAITEMENTS!$Q454="","",TRAITEMENTS!O454)</f>
        <v/>
      </c>
      <c r="G454">
        <f>IF(A454="",0,SUMIFS(TRAITEMENTS!$O$2:$O$501,TRAITEMENTS!$Q$2:$Q$501,A454,TRAITEMENTS!$E$2:$E$501,B454))</f>
        <v/>
      </c>
      <c r="H454">
        <f>IF(A454="",0,SUMIFS(CONNEXIONS!$C$2:$C$501,CONNEXIONS!$D$2:$D$501,A454,CONNEXIONS!$B$2:$B$501,B454))</f>
        <v/>
      </c>
      <c r="I454">
        <f>IF(G454=0,0,F454/G454*H454)</f>
        <v/>
      </c>
      <c r="J454">
        <f>IF(A454="",0,SUMIFS(AJUSTEMENTS!$F$2:$F$501,AJUSTEMENTS!$A$2:$A$501,A454,AJUSTEMENTS!$B$2:$B$501,B454,AJUSTEMENTS!$C$2:$C$501,C454,AJUSTEMENTS!$D$2:$D$501,D454,AJUSTEMENTS!$E$2:$E$501,E454))</f>
        <v/>
      </c>
      <c r="K454">
        <f>IF(A454="",0,IF(J454&lt;&gt;0,J454,I454))</f>
        <v/>
      </c>
    </row>
    <row r="455">
      <c r="A455">
        <f>IF(TRAITEMENTS!$Q455="","",TRAITEMENTS!Q455)</f>
        <v/>
      </c>
      <c r="B455">
        <f>IF(TRAITEMENTS!$Q455="","",TRAITEMENTS!E455)</f>
        <v/>
      </c>
      <c r="C455">
        <f>IF(TRAITEMENTS!$Q455="","",TRAITEMENTS!F455)</f>
        <v/>
      </c>
      <c r="D455">
        <f>IF(TRAITEMENTS!$Q455="","",TRAITEMENTS!G455)</f>
        <v/>
      </c>
      <c r="E455">
        <f>IF(TRAITEMENTS!$Q455="","",TRAITEMENTS!H455)</f>
        <v/>
      </c>
      <c r="F455">
        <f>IF(TRAITEMENTS!$Q455="","",TRAITEMENTS!O455)</f>
        <v/>
      </c>
      <c r="G455">
        <f>IF(A455="",0,SUMIFS(TRAITEMENTS!$O$2:$O$501,TRAITEMENTS!$Q$2:$Q$501,A455,TRAITEMENTS!$E$2:$E$501,B455))</f>
        <v/>
      </c>
      <c r="H455">
        <f>IF(A455="",0,SUMIFS(CONNEXIONS!$C$2:$C$501,CONNEXIONS!$D$2:$D$501,A455,CONNEXIONS!$B$2:$B$501,B455))</f>
        <v/>
      </c>
      <c r="I455">
        <f>IF(G455=0,0,F455/G455*H455)</f>
        <v/>
      </c>
      <c r="J455">
        <f>IF(A455="",0,SUMIFS(AJUSTEMENTS!$F$2:$F$501,AJUSTEMENTS!$A$2:$A$501,A455,AJUSTEMENTS!$B$2:$B$501,B455,AJUSTEMENTS!$C$2:$C$501,C455,AJUSTEMENTS!$D$2:$D$501,D455,AJUSTEMENTS!$E$2:$E$501,E455))</f>
        <v/>
      </c>
      <c r="K455">
        <f>IF(A455="",0,IF(J455&lt;&gt;0,J455,I455))</f>
        <v/>
      </c>
    </row>
    <row r="456">
      <c r="A456">
        <f>IF(TRAITEMENTS!$Q456="","",TRAITEMENTS!Q456)</f>
        <v/>
      </c>
      <c r="B456">
        <f>IF(TRAITEMENTS!$Q456="","",TRAITEMENTS!E456)</f>
        <v/>
      </c>
      <c r="C456">
        <f>IF(TRAITEMENTS!$Q456="","",TRAITEMENTS!F456)</f>
        <v/>
      </c>
      <c r="D456">
        <f>IF(TRAITEMENTS!$Q456="","",TRAITEMENTS!G456)</f>
        <v/>
      </c>
      <c r="E456">
        <f>IF(TRAITEMENTS!$Q456="","",TRAITEMENTS!H456)</f>
        <v/>
      </c>
      <c r="F456">
        <f>IF(TRAITEMENTS!$Q456="","",TRAITEMENTS!O456)</f>
        <v/>
      </c>
      <c r="G456">
        <f>IF(A456="",0,SUMIFS(TRAITEMENTS!$O$2:$O$501,TRAITEMENTS!$Q$2:$Q$501,A456,TRAITEMENTS!$E$2:$E$501,B456))</f>
        <v/>
      </c>
      <c r="H456">
        <f>IF(A456="",0,SUMIFS(CONNEXIONS!$C$2:$C$501,CONNEXIONS!$D$2:$D$501,A456,CONNEXIONS!$B$2:$B$501,B456))</f>
        <v/>
      </c>
      <c r="I456">
        <f>IF(G456=0,0,F456/G456*H456)</f>
        <v/>
      </c>
      <c r="J456">
        <f>IF(A456="",0,SUMIFS(AJUSTEMENTS!$F$2:$F$501,AJUSTEMENTS!$A$2:$A$501,A456,AJUSTEMENTS!$B$2:$B$501,B456,AJUSTEMENTS!$C$2:$C$501,C456,AJUSTEMENTS!$D$2:$D$501,D456,AJUSTEMENTS!$E$2:$E$501,E456))</f>
        <v/>
      </c>
      <c r="K456">
        <f>IF(A456="",0,IF(J456&lt;&gt;0,J456,I456))</f>
        <v/>
      </c>
    </row>
    <row r="457">
      <c r="A457">
        <f>IF(TRAITEMENTS!$Q457="","",TRAITEMENTS!Q457)</f>
        <v/>
      </c>
      <c r="B457">
        <f>IF(TRAITEMENTS!$Q457="","",TRAITEMENTS!E457)</f>
        <v/>
      </c>
      <c r="C457">
        <f>IF(TRAITEMENTS!$Q457="","",TRAITEMENTS!F457)</f>
        <v/>
      </c>
      <c r="D457">
        <f>IF(TRAITEMENTS!$Q457="","",TRAITEMENTS!G457)</f>
        <v/>
      </c>
      <c r="E457">
        <f>IF(TRAITEMENTS!$Q457="","",TRAITEMENTS!H457)</f>
        <v/>
      </c>
      <c r="F457">
        <f>IF(TRAITEMENTS!$Q457="","",TRAITEMENTS!O457)</f>
        <v/>
      </c>
      <c r="G457">
        <f>IF(A457="",0,SUMIFS(TRAITEMENTS!$O$2:$O$501,TRAITEMENTS!$Q$2:$Q$501,A457,TRAITEMENTS!$E$2:$E$501,B457))</f>
        <v/>
      </c>
      <c r="H457">
        <f>IF(A457="",0,SUMIFS(CONNEXIONS!$C$2:$C$501,CONNEXIONS!$D$2:$D$501,A457,CONNEXIONS!$B$2:$B$501,B457))</f>
        <v/>
      </c>
      <c r="I457">
        <f>IF(G457=0,0,F457/G457*H457)</f>
        <v/>
      </c>
      <c r="J457">
        <f>IF(A457="",0,SUMIFS(AJUSTEMENTS!$F$2:$F$501,AJUSTEMENTS!$A$2:$A$501,A457,AJUSTEMENTS!$B$2:$B$501,B457,AJUSTEMENTS!$C$2:$C$501,C457,AJUSTEMENTS!$D$2:$D$501,D457,AJUSTEMENTS!$E$2:$E$501,E457))</f>
        <v/>
      </c>
      <c r="K457">
        <f>IF(A457="",0,IF(J457&lt;&gt;0,J457,I457))</f>
        <v/>
      </c>
    </row>
    <row r="458">
      <c r="A458">
        <f>IF(TRAITEMENTS!$Q458="","",TRAITEMENTS!Q458)</f>
        <v/>
      </c>
      <c r="B458">
        <f>IF(TRAITEMENTS!$Q458="","",TRAITEMENTS!E458)</f>
        <v/>
      </c>
      <c r="C458">
        <f>IF(TRAITEMENTS!$Q458="","",TRAITEMENTS!F458)</f>
        <v/>
      </c>
      <c r="D458">
        <f>IF(TRAITEMENTS!$Q458="","",TRAITEMENTS!G458)</f>
        <v/>
      </c>
      <c r="E458">
        <f>IF(TRAITEMENTS!$Q458="","",TRAITEMENTS!H458)</f>
        <v/>
      </c>
      <c r="F458">
        <f>IF(TRAITEMENTS!$Q458="","",TRAITEMENTS!O458)</f>
        <v/>
      </c>
      <c r="G458">
        <f>IF(A458="",0,SUMIFS(TRAITEMENTS!$O$2:$O$501,TRAITEMENTS!$Q$2:$Q$501,A458,TRAITEMENTS!$E$2:$E$501,B458))</f>
        <v/>
      </c>
      <c r="H458">
        <f>IF(A458="",0,SUMIFS(CONNEXIONS!$C$2:$C$501,CONNEXIONS!$D$2:$D$501,A458,CONNEXIONS!$B$2:$B$501,B458))</f>
        <v/>
      </c>
      <c r="I458">
        <f>IF(G458=0,0,F458/G458*H458)</f>
        <v/>
      </c>
      <c r="J458">
        <f>IF(A458="",0,SUMIFS(AJUSTEMENTS!$F$2:$F$501,AJUSTEMENTS!$A$2:$A$501,A458,AJUSTEMENTS!$B$2:$B$501,B458,AJUSTEMENTS!$C$2:$C$501,C458,AJUSTEMENTS!$D$2:$D$501,D458,AJUSTEMENTS!$E$2:$E$501,E458))</f>
        <v/>
      </c>
      <c r="K458">
        <f>IF(A458="",0,IF(J458&lt;&gt;0,J458,I458))</f>
        <v/>
      </c>
    </row>
    <row r="459">
      <c r="A459">
        <f>IF(TRAITEMENTS!$Q459="","",TRAITEMENTS!Q459)</f>
        <v/>
      </c>
      <c r="B459">
        <f>IF(TRAITEMENTS!$Q459="","",TRAITEMENTS!E459)</f>
        <v/>
      </c>
      <c r="C459">
        <f>IF(TRAITEMENTS!$Q459="","",TRAITEMENTS!F459)</f>
        <v/>
      </c>
      <c r="D459">
        <f>IF(TRAITEMENTS!$Q459="","",TRAITEMENTS!G459)</f>
        <v/>
      </c>
      <c r="E459">
        <f>IF(TRAITEMENTS!$Q459="","",TRAITEMENTS!H459)</f>
        <v/>
      </c>
      <c r="F459">
        <f>IF(TRAITEMENTS!$Q459="","",TRAITEMENTS!O459)</f>
        <v/>
      </c>
      <c r="G459">
        <f>IF(A459="",0,SUMIFS(TRAITEMENTS!$O$2:$O$501,TRAITEMENTS!$Q$2:$Q$501,A459,TRAITEMENTS!$E$2:$E$501,B459))</f>
        <v/>
      </c>
      <c r="H459">
        <f>IF(A459="",0,SUMIFS(CONNEXIONS!$C$2:$C$501,CONNEXIONS!$D$2:$D$501,A459,CONNEXIONS!$B$2:$B$501,B459))</f>
        <v/>
      </c>
      <c r="I459">
        <f>IF(G459=0,0,F459/G459*H459)</f>
        <v/>
      </c>
      <c r="J459">
        <f>IF(A459="",0,SUMIFS(AJUSTEMENTS!$F$2:$F$501,AJUSTEMENTS!$A$2:$A$501,A459,AJUSTEMENTS!$B$2:$B$501,B459,AJUSTEMENTS!$C$2:$C$501,C459,AJUSTEMENTS!$D$2:$D$501,D459,AJUSTEMENTS!$E$2:$E$501,E459))</f>
        <v/>
      </c>
      <c r="K459">
        <f>IF(A459="",0,IF(J459&lt;&gt;0,J459,I459))</f>
        <v/>
      </c>
    </row>
    <row r="460">
      <c r="A460">
        <f>IF(TRAITEMENTS!$Q460="","",TRAITEMENTS!Q460)</f>
        <v/>
      </c>
      <c r="B460">
        <f>IF(TRAITEMENTS!$Q460="","",TRAITEMENTS!E460)</f>
        <v/>
      </c>
      <c r="C460">
        <f>IF(TRAITEMENTS!$Q460="","",TRAITEMENTS!F460)</f>
        <v/>
      </c>
      <c r="D460">
        <f>IF(TRAITEMENTS!$Q460="","",TRAITEMENTS!G460)</f>
        <v/>
      </c>
      <c r="E460">
        <f>IF(TRAITEMENTS!$Q460="","",TRAITEMENTS!H460)</f>
        <v/>
      </c>
      <c r="F460">
        <f>IF(TRAITEMENTS!$Q460="","",TRAITEMENTS!O460)</f>
        <v/>
      </c>
      <c r="G460">
        <f>IF(A460="",0,SUMIFS(TRAITEMENTS!$O$2:$O$501,TRAITEMENTS!$Q$2:$Q$501,A460,TRAITEMENTS!$E$2:$E$501,B460))</f>
        <v/>
      </c>
      <c r="H460">
        <f>IF(A460="",0,SUMIFS(CONNEXIONS!$C$2:$C$501,CONNEXIONS!$D$2:$D$501,A460,CONNEXIONS!$B$2:$B$501,B460))</f>
        <v/>
      </c>
      <c r="I460">
        <f>IF(G460=0,0,F460/G460*H460)</f>
        <v/>
      </c>
      <c r="J460">
        <f>IF(A460="",0,SUMIFS(AJUSTEMENTS!$F$2:$F$501,AJUSTEMENTS!$A$2:$A$501,A460,AJUSTEMENTS!$B$2:$B$501,B460,AJUSTEMENTS!$C$2:$C$501,C460,AJUSTEMENTS!$D$2:$D$501,D460,AJUSTEMENTS!$E$2:$E$501,E460))</f>
        <v/>
      </c>
      <c r="K460">
        <f>IF(A460="",0,IF(J460&lt;&gt;0,J460,I460))</f>
        <v/>
      </c>
    </row>
    <row r="461">
      <c r="A461">
        <f>IF(TRAITEMENTS!$Q461="","",TRAITEMENTS!Q461)</f>
        <v/>
      </c>
      <c r="B461">
        <f>IF(TRAITEMENTS!$Q461="","",TRAITEMENTS!E461)</f>
        <v/>
      </c>
      <c r="C461">
        <f>IF(TRAITEMENTS!$Q461="","",TRAITEMENTS!F461)</f>
        <v/>
      </c>
      <c r="D461">
        <f>IF(TRAITEMENTS!$Q461="","",TRAITEMENTS!G461)</f>
        <v/>
      </c>
      <c r="E461">
        <f>IF(TRAITEMENTS!$Q461="","",TRAITEMENTS!H461)</f>
        <v/>
      </c>
      <c r="F461">
        <f>IF(TRAITEMENTS!$Q461="","",TRAITEMENTS!O461)</f>
        <v/>
      </c>
      <c r="G461">
        <f>IF(A461="",0,SUMIFS(TRAITEMENTS!$O$2:$O$501,TRAITEMENTS!$Q$2:$Q$501,A461,TRAITEMENTS!$E$2:$E$501,B461))</f>
        <v/>
      </c>
      <c r="H461">
        <f>IF(A461="",0,SUMIFS(CONNEXIONS!$C$2:$C$501,CONNEXIONS!$D$2:$D$501,A461,CONNEXIONS!$B$2:$B$501,B461))</f>
        <v/>
      </c>
      <c r="I461">
        <f>IF(G461=0,0,F461/G461*H461)</f>
        <v/>
      </c>
      <c r="J461">
        <f>IF(A461="",0,SUMIFS(AJUSTEMENTS!$F$2:$F$501,AJUSTEMENTS!$A$2:$A$501,A461,AJUSTEMENTS!$B$2:$B$501,B461,AJUSTEMENTS!$C$2:$C$501,C461,AJUSTEMENTS!$D$2:$D$501,D461,AJUSTEMENTS!$E$2:$E$501,E461))</f>
        <v/>
      </c>
      <c r="K461">
        <f>IF(A461="",0,IF(J461&lt;&gt;0,J461,I461))</f>
        <v/>
      </c>
    </row>
    <row r="462">
      <c r="A462">
        <f>IF(TRAITEMENTS!$Q462="","",TRAITEMENTS!Q462)</f>
        <v/>
      </c>
      <c r="B462">
        <f>IF(TRAITEMENTS!$Q462="","",TRAITEMENTS!E462)</f>
        <v/>
      </c>
      <c r="C462">
        <f>IF(TRAITEMENTS!$Q462="","",TRAITEMENTS!F462)</f>
        <v/>
      </c>
      <c r="D462">
        <f>IF(TRAITEMENTS!$Q462="","",TRAITEMENTS!G462)</f>
        <v/>
      </c>
      <c r="E462">
        <f>IF(TRAITEMENTS!$Q462="","",TRAITEMENTS!H462)</f>
        <v/>
      </c>
      <c r="F462">
        <f>IF(TRAITEMENTS!$Q462="","",TRAITEMENTS!O462)</f>
        <v/>
      </c>
      <c r="G462">
        <f>IF(A462="",0,SUMIFS(TRAITEMENTS!$O$2:$O$501,TRAITEMENTS!$Q$2:$Q$501,A462,TRAITEMENTS!$E$2:$E$501,B462))</f>
        <v/>
      </c>
      <c r="H462">
        <f>IF(A462="",0,SUMIFS(CONNEXIONS!$C$2:$C$501,CONNEXIONS!$D$2:$D$501,A462,CONNEXIONS!$B$2:$B$501,B462))</f>
        <v/>
      </c>
      <c r="I462">
        <f>IF(G462=0,0,F462/G462*H462)</f>
        <v/>
      </c>
      <c r="J462">
        <f>IF(A462="",0,SUMIFS(AJUSTEMENTS!$F$2:$F$501,AJUSTEMENTS!$A$2:$A$501,A462,AJUSTEMENTS!$B$2:$B$501,B462,AJUSTEMENTS!$C$2:$C$501,C462,AJUSTEMENTS!$D$2:$D$501,D462,AJUSTEMENTS!$E$2:$E$501,E462))</f>
        <v/>
      </c>
      <c r="K462">
        <f>IF(A462="",0,IF(J462&lt;&gt;0,J462,I462))</f>
        <v/>
      </c>
    </row>
    <row r="463">
      <c r="A463">
        <f>IF(TRAITEMENTS!$Q463="","",TRAITEMENTS!Q463)</f>
        <v/>
      </c>
      <c r="B463">
        <f>IF(TRAITEMENTS!$Q463="","",TRAITEMENTS!E463)</f>
        <v/>
      </c>
      <c r="C463">
        <f>IF(TRAITEMENTS!$Q463="","",TRAITEMENTS!F463)</f>
        <v/>
      </c>
      <c r="D463">
        <f>IF(TRAITEMENTS!$Q463="","",TRAITEMENTS!G463)</f>
        <v/>
      </c>
      <c r="E463">
        <f>IF(TRAITEMENTS!$Q463="","",TRAITEMENTS!H463)</f>
        <v/>
      </c>
      <c r="F463">
        <f>IF(TRAITEMENTS!$Q463="","",TRAITEMENTS!O463)</f>
        <v/>
      </c>
      <c r="G463">
        <f>IF(A463="",0,SUMIFS(TRAITEMENTS!$O$2:$O$501,TRAITEMENTS!$Q$2:$Q$501,A463,TRAITEMENTS!$E$2:$E$501,B463))</f>
        <v/>
      </c>
      <c r="H463">
        <f>IF(A463="",0,SUMIFS(CONNEXIONS!$C$2:$C$501,CONNEXIONS!$D$2:$D$501,A463,CONNEXIONS!$B$2:$B$501,B463))</f>
        <v/>
      </c>
      <c r="I463">
        <f>IF(G463=0,0,F463/G463*H463)</f>
        <v/>
      </c>
      <c r="J463">
        <f>IF(A463="",0,SUMIFS(AJUSTEMENTS!$F$2:$F$501,AJUSTEMENTS!$A$2:$A$501,A463,AJUSTEMENTS!$B$2:$B$501,B463,AJUSTEMENTS!$C$2:$C$501,C463,AJUSTEMENTS!$D$2:$D$501,D463,AJUSTEMENTS!$E$2:$E$501,E463))</f>
        <v/>
      </c>
      <c r="K463">
        <f>IF(A463="",0,IF(J463&lt;&gt;0,J463,I463))</f>
        <v/>
      </c>
    </row>
    <row r="464">
      <c r="A464">
        <f>IF(TRAITEMENTS!$Q464="","",TRAITEMENTS!Q464)</f>
        <v/>
      </c>
      <c r="B464">
        <f>IF(TRAITEMENTS!$Q464="","",TRAITEMENTS!E464)</f>
        <v/>
      </c>
      <c r="C464">
        <f>IF(TRAITEMENTS!$Q464="","",TRAITEMENTS!F464)</f>
        <v/>
      </c>
      <c r="D464">
        <f>IF(TRAITEMENTS!$Q464="","",TRAITEMENTS!G464)</f>
        <v/>
      </c>
      <c r="E464">
        <f>IF(TRAITEMENTS!$Q464="","",TRAITEMENTS!H464)</f>
        <v/>
      </c>
      <c r="F464">
        <f>IF(TRAITEMENTS!$Q464="","",TRAITEMENTS!O464)</f>
        <v/>
      </c>
      <c r="G464">
        <f>IF(A464="",0,SUMIFS(TRAITEMENTS!$O$2:$O$501,TRAITEMENTS!$Q$2:$Q$501,A464,TRAITEMENTS!$E$2:$E$501,B464))</f>
        <v/>
      </c>
      <c r="H464">
        <f>IF(A464="",0,SUMIFS(CONNEXIONS!$C$2:$C$501,CONNEXIONS!$D$2:$D$501,A464,CONNEXIONS!$B$2:$B$501,B464))</f>
        <v/>
      </c>
      <c r="I464">
        <f>IF(G464=0,0,F464/G464*H464)</f>
        <v/>
      </c>
      <c r="J464">
        <f>IF(A464="",0,SUMIFS(AJUSTEMENTS!$F$2:$F$501,AJUSTEMENTS!$A$2:$A$501,A464,AJUSTEMENTS!$B$2:$B$501,B464,AJUSTEMENTS!$C$2:$C$501,C464,AJUSTEMENTS!$D$2:$D$501,D464,AJUSTEMENTS!$E$2:$E$501,E464))</f>
        <v/>
      </c>
      <c r="K464">
        <f>IF(A464="",0,IF(J464&lt;&gt;0,J464,I464))</f>
        <v/>
      </c>
    </row>
    <row r="465">
      <c r="A465">
        <f>IF(TRAITEMENTS!$Q465="","",TRAITEMENTS!Q465)</f>
        <v/>
      </c>
      <c r="B465">
        <f>IF(TRAITEMENTS!$Q465="","",TRAITEMENTS!E465)</f>
        <v/>
      </c>
      <c r="C465">
        <f>IF(TRAITEMENTS!$Q465="","",TRAITEMENTS!F465)</f>
        <v/>
      </c>
      <c r="D465">
        <f>IF(TRAITEMENTS!$Q465="","",TRAITEMENTS!G465)</f>
        <v/>
      </c>
      <c r="E465">
        <f>IF(TRAITEMENTS!$Q465="","",TRAITEMENTS!H465)</f>
        <v/>
      </c>
      <c r="F465">
        <f>IF(TRAITEMENTS!$Q465="","",TRAITEMENTS!O465)</f>
        <v/>
      </c>
      <c r="G465">
        <f>IF(A465="",0,SUMIFS(TRAITEMENTS!$O$2:$O$501,TRAITEMENTS!$Q$2:$Q$501,A465,TRAITEMENTS!$E$2:$E$501,B465))</f>
        <v/>
      </c>
      <c r="H465">
        <f>IF(A465="",0,SUMIFS(CONNEXIONS!$C$2:$C$501,CONNEXIONS!$D$2:$D$501,A465,CONNEXIONS!$B$2:$B$501,B465))</f>
        <v/>
      </c>
      <c r="I465">
        <f>IF(G465=0,0,F465/G465*H465)</f>
        <v/>
      </c>
      <c r="J465">
        <f>IF(A465="",0,SUMIFS(AJUSTEMENTS!$F$2:$F$501,AJUSTEMENTS!$A$2:$A$501,A465,AJUSTEMENTS!$B$2:$B$501,B465,AJUSTEMENTS!$C$2:$C$501,C465,AJUSTEMENTS!$D$2:$D$501,D465,AJUSTEMENTS!$E$2:$E$501,E465))</f>
        <v/>
      </c>
      <c r="K465">
        <f>IF(A465="",0,IF(J465&lt;&gt;0,J465,I465))</f>
        <v/>
      </c>
    </row>
    <row r="466">
      <c r="A466">
        <f>IF(TRAITEMENTS!$Q466="","",TRAITEMENTS!Q466)</f>
        <v/>
      </c>
      <c r="B466">
        <f>IF(TRAITEMENTS!$Q466="","",TRAITEMENTS!E466)</f>
        <v/>
      </c>
      <c r="C466">
        <f>IF(TRAITEMENTS!$Q466="","",TRAITEMENTS!F466)</f>
        <v/>
      </c>
      <c r="D466">
        <f>IF(TRAITEMENTS!$Q466="","",TRAITEMENTS!G466)</f>
        <v/>
      </c>
      <c r="E466">
        <f>IF(TRAITEMENTS!$Q466="","",TRAITEMENTS!H466)</f>
        <v/>
      </c>
      <c r="F466">
        <f>IF(TRAITEMENTS!$Q466="","",TRAITEMENTS!O466)</f>
        <v/>
      </c>
      <c r="G466">
        <f>IF(A466="",0,SUMIFS(TRAITEMENTS!$O$2:$O$501,TRAITEMENTS!$Q$2:$Q$501,A466,TRAITEMENTS!$E$2:$E$501,B466))</f>
        <v/>
      </c>
      <c r="H466">
        <f>IF(A466="",0,SUMIFS(CONNEXIONS!$C$2:$C$501,CONNEXIONS!$D$2:$D$501,A466,CONNEXIONS!$B$2:$B$501,B466))</f>
        <v/>
      </c>
      <c r="I466">
        <f>IF(G466=0,0,F466/G466*H466)</f>
        <v/>
      </c>
      <c r="J466">
        <f>IF(A466="",0,SUMIFS(AJUSTEMENTS!$F$2:$F$501,AJUSTEMENTS!$A$2:$A$501,A466,AJUSTEMENTS!$B$2:$B$501,B466,AJUSTEMENTS!$C$2:$C$501,C466,AJUSTEMENTS!$D$2:$D$501,D466,AJUSTEMENTS!$E$2:$E$501,E466))</f>
        <v/>
      </c>
      <c r="K466">
        <f>IF(A466="",0,IF(J466&lt;&gt;0,J466,I466))</f>
        <v/>
      </c>
    </row>
    <row r="467">
      <c r="A467">
        <f>IF(TRAITEMENTS!$Q467="","",TRAITEMENTS!Q467)</f>
        <v/>
      </c>
      <c r="B467">
        <f>IF(TRAITEMENTS!$Q467="","",TRAITEMENTS!E467)</f>
        <v/>
      </c>
      <c r="C467">
        <f>IF(TRAITEMENTS!$Q467="","",TRAITEMENTS!F467)</f>
        <v/>
      </c>
      <c r="D467">
        <f>IF(TRAITEMENTS!$Q467="","",TRAITEMENTS!G467)</f>
        <v/>
      </c>
      <c r="E467">
        <f>IF(TRAITEMENTS!$Q467="","",TRAITEMENTS!H467)</f>
        <v/>
      </c>
      <c r="F467">
        <f>IF(TRAITEMENTS!$Q467="","",TRAITEMENTS!O467)</f>
        <v/>
      </c>
      <c r="G467">
        <f>IF(A467="",0,SUMIFS(TRAITEMENTS!$O$2:$O$501,TRAITEMENTS!$Q$2:$Q$501,A467,TRAITEMENTS!$E$2:$E$501,B467))</f>
        <v/>
      </c>
      <c r="H467">
        <f>IF(A467="",0,SUMIFS(CONNEXIONS!$C$2:$C$501,CONNEXIONS!$D$2:$D$501,A467,CONNEXIONS!$B$2:$B$501,B467))</f>
        <v/>
      </c>
      <c r="I467">
        <f>IF(G467=0,0,F467/G467*H467)</f>
        <v/>
      </c>
      <c r="J467">
        <f>IF(A467="",0,SUMIFS(AJUSTEMENTS!$F$2:$F$501,AJUSTEMENTS!$A$2:$A$501,A467,AJUSTEMENTS!$B$2:$B$501,B467,AJUSTEMENTS!$C$2:$C$501,C467,AJUSTEMENTS!$D$2:$D$501,D467,AJUSTEMENTS!$E$2:$E$501,E467))</f>
        <v/>
      </c>
      <c r="K467">
        <f>IF(A467="",0,IF(J467&lt;&gt;0,J467,I467))</f>
        <v/>
      </c>
    </row>
    <row r="468">
      <c r="A468">
        <f>IF(TRAITEMENTS!$Q468="","",TRAITEMENTS!Q468)</f>
        <v/>
      </c>
      <c r="B468">
        <f>IF(TRAITEMENTS!$Q468="","",TRAITEMENTS!E468)</f>
        <v/>
      </c>
      <c r="C468">
        <f>IF(TRAITEMENTS!$Q468="","",TRAITEMENTS!F468)</f>
        <v/>
      </c>
      <c r="D468">
        <f>IF(TRAITEMENTS!$Q468="","",TRAITEMENTS!G468)</f>
        <v/>
      </c>
      <c r="E468">
        <f>IF(TRAITEMENTS!$Q468="","",TRAITEMENTS!H468)</f>
        <v/>
      </c>
      <c r="F468">
        <f>IF(TRAITEMENTS!$Q468="","",TRAITEMENTS!O468)</f>
        <v/>
      </c>
      <c r="G468">
        <f>IF(A468="",0,SUMIFS(TRAITEMENTS!$O$2:$O$501,TRAITEMENTS!$Q$2:$Q$501,A468,TRAITEMENTS!$E$2:$E$501,B468))</f>
        <v/>
      </c>
      <c r="H468">
        <f>IF(A468="",0,SUMIFS(CONNEXIONS!$C$2:$C$501,CONNEXIONS!$D$2:$D$501,A468,CONNEXIONS!$B$2:$B$501,B468))</f>
        <v/>
      </c>
      <c r="I468">
        <f>IF(G468=0,0,F468/G468*H468)</f>
        <v/>
      </c>
      <c r="J468">
        <f>IF(A468="",0,SUMIFS(AJUSTEMENTS!$F$2:$F$501,AJUSTEMENTS!$A$2:$A$501,A468,AJUSTEMENTS!$B$2:$B$501,B468,AJUSTEMENTS!$C$2:$C$501,C468,AJUSTEMENTS!$D$2:$D$501,D468,AJUSTEMENTS!$E$2:$E$501,E468))</f>
        <v/>
      </c>
      <c r="K468">
        <f>IF(A468="",0,IF(J468&lt;&gt;0,J468,I468))</f>
        <v/>
      </c>
    </row>
    <row r="469">
      <c r="A469">
        <f>IF(TRAITEMENTS!$Q469="","",TRAITEMENTS!Q469)</f>
        <v/>
      </c>
      <c r="B469">
        <f>IF(TRAITEMENTS!$Q469="","",TRAITEMENTS!E469)</f>
        <v/>
      </c>
      <c r="C469">
        <f>IF(TRAITEMENTS!$Q469="","",TRAITEMENTS!F469)</f>
        <v/>
      </c>
      <c r="D469">
        <f>IF(TRAITEMENTS!$Q469="","",TRAITEMENTS!G469)</f>
        <v/>
      </c>
      <c r="E469">
        <f>IF(TRAITEMENTS!$Q469="","",TRAITEMENTS!H469)</f>
        <v/>
      </c>
      <c r="F469">
        <f>IF(TRAITEMENTS!$Q469="","",TRAITEMENTS!O469)</f>
        <v/>
      </c>
      <c r="G469">
        <f>IF(A469="",0,SUMIFS(TRAITEMENTS!$O$2:$O$501,TRAITEMENTS!$Q$2:$Q$501,A469,TRAITEMENTS!$E$2:$E$501,B469))</f>
        <v/>
      </c>
      <c r="H469">
        <f>IF(A469="",0,SUMIFS(CONNEXIONS!$C$2:$C$501,CONNEXIONS!$D$2:$D$501,A469,CONNEXIONS!$B$2:$B$501,B469))</f>
        <v/>
      </c>
      <c r="I469">
        <f>IF(G469=0,0,F469/G469*H469)</f>
        <v/>
      </c>
      <c r="J469">
        <f>IF(A469="",0,SUMIFS(AJUSTEMENTS!$F$2:$F$501,AJUSTEMENTS!$A$2:$A$501,A469,AJUSTEMENTS!$B$2:$B$501,B469,AJUSTEMENTS!$C$2:$C$501,C469,AJUSTEMENTS!$D$2:$D$501,D469,AJUSTEMENTS!$E$2:$E$501,E469))</f>
        <v/>
      </c>
      <c r="K469">
        <f>IF(A469="",0,IF(J469&lt;&gt;0,J469,I469))</f>
        <v/>
      </c>
    </row>
    <row r="470">
      <c r="A470">
        <f>IF(TRAITEMENTS!$Q470="","",TRAITEMENTS!Q470)</f>
        <v/>
      </c>
      <c r="B470">
        <f>IF(TRAITEMENTS!$Q470="","",TRAITEMENTS!E470)</f>
        <v/>
      </c>
      <c r="C470">
        <f>IF(TRAITEMENTS!$Q470="","",TRAITEMENTS!F470)</f>
        <v/>
      </c>
      <c r="D470">
        <f>IF(TRAITEMENTS!$Q470="","",TRAITEMENTS!G470)</f>
        <v/>
      </c>
      <c r="E470">
        <f>IF(TRAITEMENTS!$Q470="","",TRAITEMENTS!H470)</f>
        <v/>
      </c>
      <c r="F470">
        <f>IF(TRAITEMENTS!$Q470="","",TRAITEMENTS!O470)</f>
        <v/>
      </c>
      <c r="G470">
        <f>IF(A470="",0,SUMIFS(TRAITEMENTS!$O$2:$O$501,TRAITEMENTS!$Q$2:$Q$501,A470,TRAITEMENTS!$E$2:$E$501,B470))</f>
        <v/>
      </c>
      <c r="H470">
        <f>IF(A470="",0,SUMIFS(CONNEXIONS!$C$2:$C$501,CONNEXIONS!$D$2:$D$501,A470,CONNEXIONS!$B$2:$B$501,B470))</f>
        <v/>
      </c>
      <c r="I470">
        <f>IF(G470=0,0,F470/G470*H470)</f>
        <v/>
      </c>
      <c r="J470">
        <f>IF(A470="",0,SUMIFS(AJUSTEMENTS!$F$2:$F$501,AJUSTEMENTS!$A$2:$A$501,A470,AJUSTEMENTS!$B$2:$B$501,B470,AJUSTEMENTS!$C$2:$C$501,C470,AJUSTEMENTS!$D$2:$D$501,D470,AJUSTEMENTS!$E$2:$E$501,E470))</f>
        <v/>
      </c>
      <c r="K470">
        <f>IF(A470="",0,IF(J470&lt;&gt;0,J470,I470))</f>
        <v/>
      </c>
    </row>
    <row r="471">
      <c r="A471">
        <f>IF(TRAITEMENTS!$Q471="","",TRAITEMENTS!Q471)</f>
        <v/>
      </c>
      <c r="B471">
        <f>IF(TRAITEMENTS!$Q471="","",TRAITEMENTS!E471)</f>
        <v/>
      </c>
      <c r="C471">
        <f>IF(TRAITEMENTS!$Q471="","",TRAITEMENTS!F471)</f>
        <v/>
      </c>
      <c r="D471">
        <f>IF(TRAITEMENTS!$Q471="","",TRAITEMENTS!G471)</f>
        <v/>
      </c>
      <c r="E471">
        <f>IF(TRAITEMENTS!$Q471="","",TRAITEMENTS!H471)</f>
        <v/>
      </c>
      <c r="F471">
        <f>IF(TRAITEMENTS!$Q471="","",TRAITEMENTS!O471)</f>
        <v/>
      </c>
      <c r="G471">
        <f>IF(A471="",0,SUMIFS(TRAITEMENTS!$O$2:$O$501,TRAITEMENTS!$Q$2:$Q$501,A471,TRAITEMENTS!$E$2:$E$501,B471))</f>
        <v/>
      </c>
      <c r="H471">
        <f>IF(A471="",0,SUMIFS(CONNEXIONS!$C$2:$C$501,CONNEXIONS!$D$2:$D$501,A471,CONNEXIONS!$B$2:$B$501,B471))</f>
        <v/>
      </c>
      <c r="I471">
        <f>IF(G471=0,0,F471/G471*H471)</f>
        <v/>
      </c>
      <c r="J471">
        <f>IF(A471="",0,SUMIFS(AJUSTEMENTS!$F$2:$F$501,AJUSTEMENTS!$A$2:$A$501,A471,AJUSTEMENTS!$B$2:$B$501,B471,AJUSTEMENTS!$C$2:$C$501,C471,AJUSTEMENTS!$D$2:$D$501,D471,AJUSTEMENTS!$E$2:$E$501,E471))</f>
        <v/>
      </c>
      <c r="K471">
        <f>IF(A471="",0,IF(J471&lt;&gt;0,J471,I471))</f>
        <v/>
      </c>
    </row>
    <row r="472">
      <c r="A472">
        <f>IF(TRAITEMENTS!$Q472="","",TRAITEMENTS!Q472)</f>
        <v/>
      </c>
      <c r="B472">
        <f>IF(TRAITEMENTS!$Q472="","",TRAITEMENTS!E472)</f>
        <v/>
      </c>
      <c r="C472">
        <f>IF(TRAITEMENTS!$Q472="","",TRAITEMENTS!F472)</f>
        <v/>
      </c>
      <c r="D472">
        <f>IF(TRAITEMENTS!$Q472="","",TRAITEMENTS!G472)</f>
        <v/>
      </c>
      <c r="E472">
        <f>IF(TRAITEMENTS!$Q472="","",TRAITEMENTS!H472)</f>
        <v/>
      </c>
      <c r="F472">
        <f>IF(TRAITEMENTS!$Q472="","",TRAITEMENTS!O472)</f>
        <v/>
      </c>
      <c r="G472">
        <f>IF(A472="",0,SUMIFS(TRAITEMENTS!$O$2:$O$501,TRAITEMENTS!$Q$2:$Q$501,A472,TRAITEMENTS!$E$2:$E$501,B472))</f>
        <v/>
      </c>
      <c r="H472">
        <f>IF(A472="",0,SUMIFS(CONNEXIONS!$C$2:$C$501,CONNEXIONS!$D$2:$D$501,A472,CONNEXIONS!$B$2:$B$501,B472))</f>
        <v/>
      </c>
      <c r="I472">
        <f>IF(G472=0,0,F472/G472*H472)</f>
        <v/>
      </c>
      <c r="J472">
        <f>IF(A472="",0,SUMIFS(AJUSTEMENTS!$F$2:$F$501,AJUSTEMENTS!$A$2:$A$501,A472,AJUSTEMENTS!$B$2:$B$501,B472,AJUSTEMENTS!$C$2:$C$501,C472,AJUSTEMENTS!$D$2:$D$501,D472,AJUSTEMENTS!$E$2:$E$501,E472))</f>
        <v/>
      </c>
      <c r="K472">
        <f>IF(A472="",0,IF(J472&lt;&gt;0,J472,I472))</f>
        <v/>
      </c>
    </row>
    <row r="473">
      <c r="A473">
        <f>IF(TRAITEMENTS!$Q473="","",TRAITEMENTS!Q473)</f>
        <v/>
      </c>
      <c r="B473">
        <f>IF(TRAITEMENTS!$Q473="","",TRAITEMENTS!E473)</f>
        <v/>
      </c>
      <c r="C473">
        <f>IF(TRAITEMENTS!$Q473="","",TRAITEMENTS!F473)</f>
        <v/>
      </c>
      <c r="D473">
        <f>IF(TRAITEMENTS!$Q473="","",TRAITEMENTS!G473)</f>
        <v/>
      </c>
      <c r="E473">
        <f>IF(TRAITEMENTS!$Q473="","",TRAITEMENTS!H473)</f>
        <v/>
      </c>
      <c r="F473">
        <f>IF(TRAITEMENTS!$Q473="","",TRAITEMENTS!O473)</f>
        <v/>
      </c>
      <c r="G473">
        <f>IF(A473="",0,SUMIFS(TRAITEMENTS!$O$2:$O$501,TRAITEMENTS!$Q$2:$Q$501,A473,TRAITEMENTS!$E$2:$E$501,B473))</f>
        <v/>
      </c>
      <c r="H473">
        <f>IF(A473="",0,SUMIFS(CONNEXIONS!$C$2:$C$501,CONNEXIONS!$D$2:$D$501,A473,CONNEXIONS!$B$2:$B$501,B473))</f>
        <v/>
      </c>
      <c r="I473">
        <f>IF(G473=0,0,F473/G473*H473)</f>
        <v/>
      </c>
      <c r="J473">
        <f>IF(A473="",0,SUMIFS(AJUSTEMENTS!$F$2:$F$501,AJUSTEMENTS!$A$2:$A$501,A473,AJUSTEMENTS!$B$2:$B$501,B473,AJUSTEMENTS!$C$2:$C$501,C473,AJUSTEMENTS!$D$2:$D$501,D473,AJUSTEMENTS!$E$2:$E$501,E473))</f>
        <v/>
      </c>
      <c r="K473">
        <f>IF(A473="",0,IF(J473&lt;&gt;0,J473,I473))</f>
        <v/>
      </c>
    </row>
    <row r="474">
      <c r="A474">
        <f>IF(TRAITEMENTS!$Q474="","",TRAITEMENTS!Q474)</f>
        <v/>
      </c>
      <c r="B474">
        <f>IF(TRAITEMENTS!$Q474="","",TRAITEMENTS!E474)</f>
        <v/>
      </c>
      <c r="C474">
        <f>IF(TRAITEMENTS!$Q474="","",TRAITEMENTS!F474)</f>
        <v/>
      </c>
      <c r="D474">
        <f>IF(TRAITEMENTS!$Q474="","",TRAITEMENTS!G474)</f>
        <v/>
      </c>
      <c r="E474">
        <f>IF(TRAITEMENTS!$Q474="","",TRAITEMENTS!H474)</f>
        <v/>
      </c>
      <c r="F474">
        <f>IF(TRAITEMENTS!$Q474="","",TRAITEMENTS!O474)</f>
        <v/>
      </c>
      <c r="G474">
        <f>IF(A474="",0,SUMIFS(TRAITEMENTS!$O$2:$O$501,TRAITEMENTS!$Q$2:$Q$501,A474,TRAITEMENTS!$E$2:$E$501,B474))</f>
        <v/>
      </c>
      <c r="H474">
        <f>IF(A474="",0,SUMIFS(CONNEXIONS!$C$2:$C$501,CONNEXIONS!$D$2:$D$501,A474,CONNEXIONS!$B$2:$B$501,B474))</f>
        <v/>
      </c>
      <c r="I474">
        <f>IF(G474=0,0,F474/G474*H474)</f>
        <v/>
      </c>
      <c r="J474">
        <f>IF(A474="",0,SUMIFS(AJUSTEMENTS!$F$2:$F$501,AJUSTEMENTS!$A$2:$A$501,A474,AJUSTEMENTS!$B$2:$B$501,B474,AJUSTEMENTS!$C$2:$C$501,C474,AJUSTEMENTS!$D$2:$D$501,D474,AJUSTEMENTS!$E$2:$E$501,E474))</f>
        <v/>
      </c>
      <c r="K474">
        <f>IF(A474="",0,IF(J474&lt;&gt;0,J474,I474))</f>
        <v/>
      </c>
    </row>
    <row r="475">
      <c r="A475">
        <f>IF(TRAITEMENTS!$Q475="","",TRAITEMENTS!Q475)</f>
        <v/>
      </c>
      <c r="B475">
        <f>IF(TRAITEMENTS!$Q475="","",TRAITEMENTS!E475)</f>
        <v/>
      </c>
      <c r="C475">
        <f>IF(TRAITEMENTS!$Q475="","",TRAITEMENTS!F475)</f>
        <v/>
      </c>
      <c r="D475">
        <f>IF(TRAITEMENTS!$Q475="","",TRAITEMENTS!G475)</f>
        <v/>
      </c>
      <c r="E475">
        <f>IF(TRAITEMENTS!$Q475="","",TRAITEMENTS!H475)</f>
        <v/>
      </c>
      <c r="F475">
        <f>IF(TRAITEMENTS!$Q475="","",TRAITEMENTS!O475)</f>
        <v/>
      </c>
      <c r="G475">
        <f>IF(A475="",0,SUMIFS(TRAITEMENTS!$O$2:$O$501,TRAITEMENTS!$Q$2:$Q$501,A475,TRAITEMENTS!$E$2:$E$501,B475))</f>
        <v/>
      </c>
      <c r="H475">
        <f>IF(A475="",0,SUMIFS(CONNEXIONS!$C$2:$C$501,CONNEXIONS!$D$2:$D$501,A475,CONNEXIONS!$B$2:$B$501,B475))</f>
        <v/>
      </c>
      <c r="I475">
        <f>IF(G475=0,0,F475/G475*H475)</f>
        <v/>
      </c>
      <c r="J475">
        <f>IF(A475="",0,SUMIFS(AJUSTEMENTS!$F$2:$F$501,AJUSTEMENTS!$A$2:$A$501,A475,AJUSTEMENTS!$B$2:$B$501,B475,AJUSTEMENTS!$C$2:$C$501,C475,AJUSTEMENTS!$D$2:$D$501,D475,AJUSTEMENTS!$E$2:$E$501,E475))</f>
        <v/>
      </c>
      <c r="K475">
        <f>IF(A475="",0,IF(J475&lt;&gt;0,J475,I475))</f>
        <v/>
      </c>
    </row>
    <row r="476">
      <c r="A476">
        <f>IF(TRAITEMENTS!$Q476="","",TRAITEMENTS!Q476)</f>
        <v/>
      </c>
      <c r="B476">
        <f>IF(TRAITEMENTS!$Q476="","",TRAITEMENTS!E476)</f>
        <v/>
      </c>
      <c r="C476">
        <f>IF(TRAITEMENTS!$Q476="","",TRAITEMENTS!F476)</f>
        <v/>
      </c>
      <c r="D476">
        <f>IF(TRAITEMENTS!$Q476="","",TRAITEMENTS!G476)</f>
        <v/>
      </c>
      <c r="E476">
        <f>IF(TRAITEMENTS!$Q476="","",TRAITEMENTS!H476)</f>
        <v/>
      </c>
      <c r="F476">
        <f>IF(TRAITEMENTS!$Q476="","",TRAITEMENTS!O476)</f>
        <v/>
      </c>
      <c r="G476">
        <f>IF(A476="",0,SUMIFS(TRAITEMENTS!$O$2:$O$501,TRAITEMENTS!$Q$2:$Q$501,A476,TRAITEMENTS!$E$2:$E$501,B476))</f>
        <v/>
      </c>
      <c r="H476">
        <f>IF(A476="",0,SUMIFS(CONNEXIONS!$C$2:$C$501,CONNEXIONS!$D$2:$D$501,A476,CONNEXIONS!$B$2:$B$501,B476))</f>
        <v/>
      </c>
      <c r="I476">
        <f>IF(G476=0,0,F476/G476*H476)</f>
        <v/>
      </c>
      <c r="J476">
        <f>IF(A476="",0,SUMIFS(AJUSTEMENTS!$F$2:$F$501,AJUSTEMENTS!$A$2:$A$501,A476,AJUSTEMENTS!$B$2:$B$501,B476,AJUSTEMENTS!$C$2:$C$501,C476,AJUSTEMENTS!$D$2:$D$501,D476,AJUSTEMENTS!$E$2:$E$501,E476))</f>
        <v/>
      </c>
      <c r="K476">
        <f>IF(A476="",0,IF(J476&lt;&gt;0,J476,I476))</f>
        <v/>
      </c>
    </row>
    <row r="477">
      <c r="A477">
        <f>IF(TRAITEMENTS!$Q477="","",TRAITEMENTS!Q477)</f>
        <v/>
      </c>
      <c r="B477">
        <f>IF(TRAITEMENTS!$Q477="","",TRAITEMENTS!E477)</f>
        <v/>
      </c>
      <c r="C477">
        <f>IF(TRAITEMENTS!$Q477="","",TRAITEMENTS!F477)</f>
        <v/>
      </c>
      <c r="D477">
        <f>IF(TRAITEMENTS!$Q477="","",TRAITEMENTS!G477)</f>
        <v/>
      </c>
      <c r="E477">
        <f>IF(TRAITEMENTS!$Q477="","",TRAITEMENTS!H477)</f>
        <v/>
      </c>
      <c r="F477">
        <f>IF(TRAITEMENTS!$Q477="","",TRAITEMENTS!O477)</f>
        <v/>
      </c>
      <c r="G477">
        <f>IF(A477="",0,SUMIFS(TRAITEMENTS!$O$2:$O$501,TRAITEMENTS!$Q$2:$Q$501,A477,TRAITEMENTS!$E$2:$E$501,B477))</f>
        <v/>
      </c>
      <c r="H477">
        <f>IF(A477="",0,SUMIFS(CONNEXIONS!$C$2:$C$501,CONNEXIONS!$D$2:$D$501,A477,CONNEXIONS!$B$2:$B$501,B477))</f>
        <v/>
      </c>
      <c r="I477">
        <f>IF(G477=0,0,F477/G477*H477)</f>
        <v/>
      </c>
      <c r="J477">
        <f>IF(A477="",0,SUMIFS(AJUSTEMENTS!$F$2:$F$501,AJUSTEMENTS!$A$2:$A$501,A477,AJUSTEMENTS!$B$2:$B$501,B477,AJUSTEMENTS!$C$2:$C$501,C477,AJUSTEMENTS!$D$2:$D$501,D477,AJUSTEMENTS!$E$2:$E$501,E477))</f>
        <v/>
      </c>
      <c r="K477">
        <f>IF(A477="",0,IF(J477&lt;&gt;0,J477,I477))</f>
        <v/>
      </c>
    </row>
    <row r="478">
      <c r="A478">
        <f>IF(TRAITEMENTS!$Q478="","",TRAITEMENTS!Q478)</f>
        <v/>
      </c>
      <c r="B478">
        <f>IF(TRAITEMENTS!$Q478="","",TRAITEMENTS!E478)</f>
        <v/>
      </c>
      <c r="C478">
        <f>IF(TRAITEMENTS!$Q478="","",TRAITEMENTS!F478)</f>
        <v/>
      </c>
      <c r="D478">
        <f>IF(TRAITEMENTS!$Q478="","",TRAITEMENTS!G478)</f>
        <v/>
      </c>
      <c r="E478">
        <f>IF(TRAITEMENTS!$Q478="","",TRAITEMENTS!H478)</f>
        <v/>
      </c>
      <c r="F478">
        <f>IF(TRAITEMENTS!$Q478="","",TRAITEMENTS!O478)</f>
        <v/>
      </c>
      <c r="G478">
        <f>IF(A478="",0,SUMIFS(TRAITEMENTS!$O$2:$O$501,TRAITEMENTS!$Q$2:$Q$501,A478,TRAITEMENTS!$E$2:$E$501,B478))</f>
        <v/>
      </c>
      <c r="H478">
        <f>IF(A478="",0,SUMIFS(CONNEXIONS!$C$2:$C$501,CONNEXIONS!$D$2:$D$501,A478,CONNEXIONS!$B$2:$B$501,B478))</f>
        <v/>
      </c>
      <c r="I478">
        <f>IF(G478=0,0,F478/G478*H478)</f>
        <v/>
      </c>
      <c r="J478">
        <f>IF(A478="",0,SUMIFS(AJUSTEMENTS!$F$2:$F$501,AJUSTEMENTS!$A$2:$A$501,A478,AJUSTEMENTS!$B$2:$B$501,B478,AJUSTEMENTS!$C$2:$C$501,C478,AJUSTEMENTS!$D$2:$D$501,D478,AJUSTEMENTS!$E$2:$E$501,E478))</f>
        <v/>
      </c>
      <c r="K478">
        <f>IF(A478="",0,IF(J478&lt;&gt;0,J478,I478))</f>
        <v/>
      </c>
    </row>
    <row r="479">
      <c r="A479">
        <f>IF(TRAITEMENTS!$Q479="","",TRAITEMENTS!Q479)</f>
        <v/>
      </c>
      <c r="B479">
        <f>IF(TRAITEMENTS!$Q479="","",TRAITEMENTS!E479)</f>
        <v/>
      </c>
      <c r="C479">
        <f>IF(TRAITEMENTS!$Q479="","",TRAITEMENTS!F479)</f>
        <v/>
      </c>
      <c r="D479">
        <f>IF(TRAITEMENTS!$Q479="","",TRAITEMENTS!G479)</f>
        <v/>
      </c>
      <c r="E479">
        <f>IF(TRAITEMENTS!$Q479="","",TRAITEMENTS!H479)</f>
        <v/>
      </c>
      <c r="F479">
        <f>IF(TRAITEMENTS!$Q479="","",TRAITEMENTS!O479)</f>
        <v/>
      </c>
      <c r="G479">
        <f>IF(A479="",0,SUMIFS(TRAITEMENTS!$O$2:$O$501,TRAITEMENTS!$Q$2:$Q$501,A479,TRAITEMENTS!$E$2:$E$501,B479))</f>
        <v/>
      </c>
      <c r="H479">
        <f>IF(A479="",0,SUMIFS(CONNEXIONS!$C$2:$C$501,CONNEXIONS!$D$2:$D$501,A479,CONNEXIONS!$B$2:$B$501,B479))</f>
        <v/>
      </c>
      <c r="I479">
        <f>IF(G479=0,0,F479/G479*H479)</f>
        <v/>
      </c>
      <c r="J479">
        <f>IF(A479="",0,SUMIFS(AJUSTEMENTS!$F$2:$F$501,AJUSTEMENTS!$A$2:$A$501,A479,AJUSTEMENTS!$B$2:$B$501,B479,AJUSTEMENTS!$C$2:$C$501,C479,AJUSTEMENTS!$D$2:$D$501,D479,AJUSTEMENTS!$E$2:$E$501,E479))</f>
        <v/>
      </c>
      <c r="K479">
        <f>IF(A479="",0,IF(J479&lt;&gt;0,J479,I479))</f>
        <v/>
      </c>
    </row>
    <row r="480">
      <c r="A480">
        <f>IF(TRAITEMENTS!$Q480="","",TRAITEMENTS!Q480)</f>
        <v/>
      </c>
      <c r="B480">
        <f>IF(TRAITEMENTS!$Q480="","",TRAITEMENTS!E480)</f>
        <v/>
      </c>
      <c r="C480">
        <f>IF(TRAITEMENTS!$Q480="","",TRAITEMENTS!F480)</f>
        <v/>
      </c>
      <c r="D480">
        <f>IF(TRAITEMENTS!$Q480="","",TRAITEMENTS!G480)</f>
        <v/>
      </c>
      <c r="E480">
        <f>IF(TRAITEMENTS!$Q480="","",TRAITEMENTS!H480)</f>
        <v/>
      </c>
      <c r="F480">
        <f>IF(TRAITEMENTS!$Q480="","",TRAITEMENTS!O480)</f>
        <v/>
      </c>
      <c r="G480">
        <f>IF(A480="",0,SUMIFS(TRAITEMENTS!$O$2:$O$501,TRAITEMENTS!$Q$2:$Q$501,A480,TRAITEMENTS!$E$2:$E$501,B480))</f>
        <v/>
      </c>
      <c r="H480">
        <f>IF(A480="",0,SUMIFS(CONNEXIONS!$C$2:$C$501,CONNEXIONS!$D$2:$D$501,A480,CONNEXIONS!$B$2:$B$501,B480))</f>
        <v/>
      </c>
      <c r="I480">
        <f>IF(G480=0,0,F480/G480*H480)</f>
        <v/>
      </c>
      <c r="J480">
        <f>IF(A480="",0,SUMIFS(AJUSTEMENTS!$F$2:$F$501,AJUSTEMENTS!$A$2:$A$501,A480,AJUSTEMENTS!$B$2:$B$501,B480,AJUSTEMENTS!$C$2:$C$501,C480,AJUSTEMENTS!$D$2:$D$501,D480,AJUSTEMENTS!$E$2:$E$501,E480))</f>
        <v/>
      </c>
      <c r="K480">
        <f>IF(A480="",0,IF(J480&lt;&gt;0,J480,I480))</f>
        <v/>
      </c>
    </row>
    <row r="481">
      <c r="A481">
        <f>IF(TRAITEMENTS!$Q481="","",TRAITEMENTS!Q481)</f>
        <v/>
      </c>
      <c r="B481">
        <f>IF(TRAITEMENTS!$Q481="","",TRAITEMENTS!E481)</f>
        <v/>
      </c>
      <c r="C481">
        <f>IF(TRAITEMENTS!$Q481="","",TRAITEMENTS!F481)</f>
        <v/>
      </c>
      <c r="D481">
        <f>IF(TRAITEMENTS!$Q481="","",TRAITEMENTS!G481)</f>
        <v/>
      </c>
      <c r="E481">
        <f>IF(TRAITEMENTS!$Q481="","",TRAITEMENTS!H481)</f>
        <v/>
      </c>
      <c r="F481">
        <f>IF(TRAITEMENTS!$Q481="","",TRAITEMENTS!O481)</f>
        <v/>
      </c>
      <c r="G481">
        <f>IF(A481="",0,SUMIFS(TRAITEMENTS!$O$2:$O$501,TRAITEMENTS!$Q$2:$Q$501,A481,TRAITEMENTS!$E$2:$E$501,B481))</f>
        <v/>
      </c>
      <c r="H481">
        <f>IF(A481="",0,SUMIFS(CONNEXIONS!$C$2:$C$501,CONNEXIONS!$D$2:$D$501,A481,CONNEXIONS!$B$2:$B$501,B481))</f>
        <v/>
      </c>
      <c r="I481">
        <f>IF(G481=0,0,F481/G481*H481)</f>
        <v/>
      </c>
      <c r="J481">
        <f>IF(A481="",0,SUMIFS(AJUSTEMENTS!$F$2:$F$501,AJUSTEMENTS!$A$2:$A$501,A481,AJUSTEMENTS!$B$2:$B$501,B481,AJUSTEMENTS!$C$2:$C$501,C481,AJUSTEMENTS!$D$2:$D$501,D481,AJUSTEMENTS!$E$2:$E$501,E481))</f>
        <v/>
      </c>
      <c r="K481">
        <f>IF(A481="",0,IF(J481&lt;&gt;0,J481,I481))</f>
        <v/>
      </c>
    </row>
    <row r="482">
      <c r="A482">
        <f>IF(TRAITEMENTS!$Q482="","",TRAITEMENTS!Q482)</f>
        <v/>
      </c>
      <c r="B482">
        <f>IF(TRAITEMENTS!$Q482="","",TRAITEMENTS!E482)</f>
        <v/>
      </c>
      <c r="C482">
        <f>IF(TRAITEMENTS!$Q482="","",TRAITEMENTS!F482)</f>
        <v/>
      </c>
      <c r="D482">
        <f>IF(TRAITEMENTS!$Q482="","",TRAITEMENTS!G482)</f>
        <v/>
      </c>
      <c r="E482">
        <f>IF(TRAITEMENTS!$Q482="","",TRAITEMENTS!H482)</f>
        <v/>
      </c>
      <c r="F482">
        <f>IF(TRAITEMENTS!$Q482="","",TRAITEMENTS!O482)</f>
        <v/>
      </c>
      <c r="G482">
        <f>IF(A482="",0,SUMIFS(TRAITEMENTS!$O$2:$O$501,TRAITEMENTS!$Q$2:$Q$501,A482,TRAITEMENTS!$E$2:$E$501,B482))</f>
        <v/>
      </c>
      <c r="H482">
        <f>IF(A482="",0,SUMIFS(CONNEXIONS!$C$2:$C$501,CONNEXIONS!$D$2:$D$501,A482,CONNEXIONS!$B$2:$B$501,B482))</f>
        <v/>
      </c>
      <c r="I482">
        <f>IF(G482=0,0,F482/G482*H482)</f>
        <v/>
      </c>
      <c r="J482">
        <f>IF(A482="",0,SUMIFS(AJUSTEMENTS!$F$2:$F$501,AJUSTEMENTS!$A$2:$A$501,A482,AJUSTEMENTS!$B$2:$B$501,B482,AJUSTEMENTS!$C$2:$C$501,C482,AJUSTEMENTS!$D$2:$D$501,D482,AJUSTEMENTS!$E$2:$E$501,E482))</f>
        <v/>
      </c>
      <c r="K482">
        <f>IF(A482="",0,IF(J482&lt;&gt;0,J482,I482))</f>
        <v/>
      </c>
    </row>
    <row r="483">
      <c r="A483">
        <f>IF(TRAITEMENTS!$Q483="","",TRAITEMENTS!Q483)</f>
        <v/>
      </c>
      <c r="B483">
        <f>IF(TRAITEMENTS!$Q483="","",TRAITEMENTS!E483)</f>
        <v/>
      </c>
      <c r="C483">
        <f>IF(TRAITEMENTS!$Q483="","",TRAITEMENTS!F483)</f>
        <v/>
      </c>
      <c r="D483">
        <f>IF(TRAITEMENTS!$Q483="","",TRAITEMENTS!G483)</f>
        <v/>
      </c>
      <c r="E483">
        <f>IF(TRAITEMENTS!$Q483="","",TRAITEMENTS!H483)</f>
        <v/>
      </c>
      <c r="F483">
        <f>IF(TRAITEMENTS!$Q483="","",TRAITEMENTS!O483)</f>
        <v/>
      </c>
      <c r="G483">
        <f>IF(A483="",0,SUMIFS(TRAITEMENTS!$O$2:$O$501,TRAITEMENTS!$Q$2:$Q$501,A483,TRAITEMENTS!$E$2:$E$501,B483))</f>
        <v/>
      </c>
      <c r="H483">
        <f>IF(A483="",0,SUMIFS(CONNEXIONS!$C$2:$C$501,CONNEXIONS!$D$2:$D$501,A483,CONNEXIONS!$B$2:$B$501,B483))</f>
        <v/>
      </c>
      <c r="I483">
        <f>IF(G483=0,0,F483/G483*H483)</f>
        <v/>
      </c>
      <c r="J483">
        <f>IF(A483="",0,SUMIFS(AJUSTEMENTS!$F$2:$F$501,AJUSTEMENTS!$A$2:$A$501,A483,AJUSTEMENTS!$B$2:$B$501,B483,AJUSTEMENTS!$C$2:$C$501,C483,AJUSTEMENTS!$D$2:$D$501,D483,AJUSTEMENTS!$E$2:$E$501,E483))</f>
        <v/>
      </c>
      <c r="K483">
        <f>IF(A483="",0,IF(J483&lt;&gt;0,J483,I483))</f>
        <v/>
      </c>
    </row>
    <row r="484">
      <c r="A484">
        <f>IF(TRAITEMENTS!$Q484="","",TRAITEMENTS!Q484)</f>
        <v/>
      </c>
      <c r="B484">
        <f>IF(TRAITEMENTS!$Q484="","",TRAITEMENTS!E484)</f>
        <v/>
      </c>
      <c r="C484">
        <f>IF(TRAITEMENTS!$Q484="","",TRAITEMENTS!F484)</f>
        <v/>
      </c>
      <c r="D484">
        <f>IF(TRAITEMENTS!$Q484="","",TRAITEMENTS!G484)</f>
        <v/>
      </c>
      <c r="E484">
        <f>IF(TRAITEMENTS!$Q484="","",TRAITEMENTS!H484)</f>
        <v/>
      </c>
      <c r="F484">
        <f>IF(TRAITEMENTS!$Q484="","",TRAITEMENTS!O484)</f>
        <v/>
      </c>
      <c r="G484">
        <f>IF(A484="",0,SUMIFS(TRAITEMENTS!$O$2:$O$501,TRAITEMENTS!$Q$2:$Q$501,A484,TRAITEMENTS!$E$2:$E$501,B484))</f>
        <v/>
      </c>
      <c r="H484">
        <f>IF(A484="",0,SUMIFS(CONNEXIONS!$C$2:$C$501,CONNEXIONS!$D$2:$D$501,A484,CONNEXIONS!$B$2:$B$501,B484))</f>
        <v/>
      </c>
      <c r="I484">
        <f>IF(G484=0,0,F484/G484*H484)</f>
        <v/>
      </c>
      <c r="J484">
        <f>IF(A484="",0,SUMIFS(AJUSTEMENTS!$F$2:$F$501,AJUSTEMENTS!$A$2:$A$501,A484,AJUSTEMENTS!$B$2:$B$501,B484,AJUSTEMENTS!$C$2:$C$501,C484,AJUSTEMENTS!$D$2:$D$501,D484,AJUSTEMENTS!$E$2:$E$501,E484))</f>
        <v/>
      </c>
      <c r="K484">
        <f>IF(A484="",0,IF(J484&lt;&gt;0,J484,I484))</f>
        <v/>
      </c>
    </row>
    <row r="485">
      <c r="A485">
        <f>IF(TRAITEMENTS!$Q485="","",TRAITEMENTS!Q485)</f>
        <v/>
      </c>
      <c r="B485">
        <f>IF(TRAITEMENTS!$Q485="","",TRAITEMENTS!E485)</f>
        <v/>
      </c>
      <c r="C485">
        <f>IF(TRAITEMENTS!$Q485="","",TRAITEMENTS!F485)</f>
        <v/>
      </c>
      <c r="D485">
        <f>IF(TRAITEMENTS!$Q485="","",TRAITEMENTS!G485)</f>
        <v/>
      </c>
      <c r="E485">
        <f>IF(TRAITEMENTS!$Q485="","",TRAITEMENTS!H485)</f>
        <v/>
      </c>
      <c r="F485">
        <f>IF(TRAITEMENTS!$Q485="","",TRAITEMENTS!O485)</f>
        <v/>
      </c>
      <c r="G485">
        <f>IF(A485="",0,SUMIFS(TRAITEMENTS!$O$2:$O$501,TRAITEMENTS!$Q$2:$Q$501,A485,TRAITEMENTS!$E$2:$E$501,B485))</f>
        <v/>
      </c>
      <c r="H485">
        <f>IF(A485="",0,SUMIFS(CONNEXIONS!$C$2:$C$501,CONNEXIONS!$D$2:$D$501,A485,CONNEXIONS!$B$2:$B$501,B485))</f>
        <v/>
      </c>
      <c r="I485">
        <f>IF(G485=0,0,F485/G485*H485)</f>
        <v/>
      </c>
      <c r="J485">
        <f>IF(A485="",0,SUMIFS(AJUSTEMENTS!$F$2:$F$501,AJUSTEMENTS!$A$2:$A$501,A485,AJUSTEMENTS!$B$2:$B$501,B485,AJUSTEMENTS!$C$2:$C$501,C485,AJUSTEMENTS!$D$2:$D$501,D485,AJUSTEMENTS!$E$2:$E$501,E485))</f>
        <v/>
      </c>
      <c r="K485">
        <f>IF(A485="",0,IF(J485&lt;&gt;0,J485,I485))</f>
        <v/>
      </c>
    </row>
    <row r="486">
      <c r="A486">
        <f>IF(TRAITEMENTS!$Q486="","",TRAITEMENTS!Q486)</f>
        <v/>
      </c>
      <c r="B486">
        <f>IF(TRAITEMENTS!$Q486="","",TRAITEMENTS!E486)</f>
        <v/>
      </c>
      <c r="C486">
        <f>IF(TRAITEMENTS!$Q486="","",TRAITEMENTS!F486)</f>
        <v/>
      </c>
      <c r="D486">
        <f>IF(TRAITEMENTS!$Q486="","",TRAITEMENTS!G486)</f>
        <v/>
      </c>
      <c r="E486">
        <f>IF(TRAITEMENTS!$Q486="","",TRAITEMENTS!H486)</f>
        <v/>
      </c>
      <c r="F486">
        <f>IF(TRAITEMENTS!$Q486="","",TRAITEMENTS!O486)</f>
        <v/>
      </c>
      <c r="G486">
        <f>IF(A486="",0,SUMIFS(TRAITEMENTS!$O$2:$O$501,TRAITEMENTS!$Q$2:$Q$501,A486,TRAITEMENTS!$E$2:$E$501,B486))</f>
        <v/>
      </c>
      <c r="H486">
        <f>IF(A486="",0,SUMIFS(CONNEXIONS!$C$2:$C$501,CONNEXIONS!$D$2:$D$501,A486,CONNEXIONS!$B$2:$B$501,B486))</f>
        <v/>
      </c>
      <c r="I486">
        <f>IF(G486=0,0,F486/G486*H486)</f>
        <v/>
      </c>
      <c r="J486">
        <f>IF(A486="",0,SUMIFS(AJUSTEMENTS!$F$2:$F$501,AJUSTEMENTS!$A$2:$A$501,A486,AJUSTEMENTS!$B$2:$B$501,B486,AJUSTEMENTS!$C$2:$C$501,C486,AJUSTEMENTS!$D$2:$D$501,D486,AJUSTEMENTS!$E$2:$E$501,E486))</f>
        <v/>
      </c>
      <c r="K486">
        <f>IF(A486="",0,IF(J486&lt;&gt;0,J486,I486))</f>
        <v/>
      </c>
    </row>
    <row r="487">
      <c r="A487">
        <f>IF(TRAITEMENTS!$Q487="","",TRAITEMENTS!Q487)</f>
        <v/>
      </c>
      <c r="B487">
        <f>IF(TRAITEMENTS!$Q487="","",TRAITEMENTS!E487)</f>
        <v/>
      </c>
      <c r="C487">
        <f>IF(TRAITEMENTS!$Q487="","",TRAITEMENTS!F487)</f>
        <v/>
      </c>
      <c r="D487">
        <f>IF(TRAITEMENTS!$Q487="","",TRAITEMENTS!G487)</f>
        <v/>
      </c>
      <c r="E487">
        <f>IF(TRAITEMENTS!$Q487="","",TRAITEMENTS!H487)</f>
        <v/>
      </c>
      <c r="F487">
        <f>IF(TRAITEMENTS!$Q487="","",TRAITEMENTS!O487)</f>
        <v/>
      </c>
      <c r="G487">
        <f>IF(A487="",0,SUMIFS(TRAITEMENTS!$O$2:$O$501,TRAITEMENTS!$Q$2:$Q$501,A487,TRAITEMENTS!$E$2:$E$501,B487))</f>
        <v/>
      </c>
      <c r="H487">
        <f>IF(A487="",0,SUMIFS(CONNEXIONS!$C$2:$C$501,CONNEXIONS!$D$2:$D$501,A487,CONNEXIONS!$B$2:$B$501,B487))</f>
        <v/>
      </c>
      <c r="I487">
        <f>IF(G487=0,0,F487/G487*H487)</f>
        <v/>
      </c>
      <c r="J487">
        <f>IF(A487="",0,SUMIFS(AJUSTEMENTS!$F$2:$F$501,AJUSTEMENTS!$A$2:$A$501,A487,AJUSTEMENTS!$B$2:$B$501,B487,AJUSTEMENTS!$C$2:$C$501,C487,AJUSTEMENTS!$D$2:$D$501,D487,AJUSTEMENTS!$E$2:$E$501,E487))</f>
        <v/>
      </c>
      <c r="K487">
        <f>IF(A487="",0,IF(J487&lt;&gt;0,J487,I487))</f>
        <v/>
      </c>
    </row>
    <row r="488">
      <c r="A488">
        <f>IF(TRAITEMENTS!$Q488="","",TRAITEMENTS!Q488)</f>
        <v/>
      </c>
      <c r="B488">
        <f>IF(TRAITEMENTS!$Q488="","",TRAITEMENTS!E488)</f>
        <v/>
      </c>
      <c r="C488">
        <f>IF(TRAITEMENTS!$Q488="","",TRAITEMENTS!F488)</f>
        <v/>
      </c>
      <c r="D488">
        <f>IF(TRAITEMENTS!$Q488="","",TRAITEMENTS!G488)</f>
        <v/>
      </c>
      <c r="E488">
        <f>IF(TRAITEMENTS!$Q488="","",TRAITEMENTS!H488)</f>
        <v/>
      </c>
      <c r="F488">
        <f>IF(TRAITEMENTS!$Q488="","",TRAITEMENTS!O488)</f>
        <v/>
      </c>
      <c r="G488">
        <f>IF(A488="",0,SUMIFS(TRAITEMENTS!$O$2:$O$501,TRAITEMENTS!$Q$2:$Q$501,A488,TRAITEMENTS!$E$2:$E$501,B488))</f>
        <v/>
      </c>
      <c r="H488">
        <f>IF(A488="",0,SUMIFS(CONNEXIONS!$C$2:$C$501,CONNEXIONS!$D$2:$D$501,A488,CONNEXIONS!$B$2:$B$501,B488))</f>
        <v/>
      </c>
      <c r="I488">
        <f>IF(G488=0,0,F488/G488*H488)</f>
        <v/>
      </c>
      <c r="J488">
        <f>IF(A488="",0,SUMIFS(AJUSTEMENTS!$F$2:$F$501,AJUSTEMENTS!$A$2:$A$501,A488,AJUSTEMENTS!$B$2:$B$501,B488,AJUSTEMENTS!$C$2:$C$501,C488,AJUSTEMENTS!$D$2:$D$501,D488,AJUSTEMENTS!$E$2:$E$501,E488))</f>
        <v/>
      </c>
      <c r="K488">
        <f>IF(A488="",0,IF(J488&lt;&gt;0,J488,I488))</f>
        <v/>
      </c>
    </row>
    <row r="489">
      <c r="A489">
        <f>IF(TRAITEMENTS!$Q489="","",TRAITEMENTS!Q489)</f>
        <v/>
      </c>
      <c r="B489">
        <f>IF(TRAITEMENTS!$Q489="","",TRAITEMENTS!E489)</f>
        <v/>
      </c>
      <c r="C489">
        <f>IF(TRAITEMENTS!$Q489="","",TRAITEMENTS!F489)</f>
        <v/>
      </c>
      <c r="D489">
        <f>IF(TRAITEMENTS!$Q489="","",TRAITEMENTS!G489)</f>
        <v/>
      </c>
      <c r="E489">
        <f>IF(TRAITEMENTS!$Q489="","",TRAITEMENTS!H489)</f>
        <v/>
      </c>
      <c r="F489">
        <f>IF(TRAITEMENTS!$Q489="","",TRAITEMENTS!O489)</f>
        <v/>
      </c>
      <c r="G489">
        <f>IF(A489="",0,SUMIFS(TRAITEMENTS!$O$2:$O$501,TRAITEMENTS!$Q$2:$Q$501,A489,TRAITEMENTS!$E$2:$E$501,B489))</f>
        <v/>
      </c>
      <c r="H489">
        <f>IF(A489="",0,SUMIFS(CONNEXIONS!$C$2:$C$501,CONNEXIONS!$D$2:$D$501,A489,CONNEXIONS!$B$2:$B$501,B489))</f>
        <v/>
      </c>
      <c r="I489">
        <f>IF(G489=0,0,F489/G489*H489)</f>
        <v/>
      </c>
      <c r="J489">
        <f>IF(A489="",0,SUMIFS(AJUSTEMENTS!$F$2:$F$501,AJUSTEMENTS!$A$2:$A$501,A489,AJUSTEMENTS!$B$2:$B$501,B489,AJUSTEMENTS!$C$2:$C$501,C489,AJUSTEMENTS!$D$2:$D$501,D489,AJUSTEMENTS!$E$2:$E$501,E489))</f>
        <v/>
      </c>
      <c r="K489">
        <f>IF(A489="",0,IF(J489&lt;&gt;0,J489,I489))</f>
        <v/>
      </c>
    </row>
    <row r="490">
      <c r="A490">
        <f>IF(TRAITEMENTS!$Q490="","",TRAITEMENTS!Q490)</f>
        <v/>
      </c>
      <c r="B490">
        <f>IF(TRAITEMENTS!$Q490="","",TRAITEMENTS!E490)</f>
        <v/>
      </c>
      <c r="C490">
        <f>IF(TRAITEMENTS!$Q490="","",TRAITEMENTS!F490)</f>
        <v/>
      </c>
      <c r="D490">
        <f>IF(TRAITEMENTS!$Q490="","",TRAITEMENTS!G490)</f>
        <v/>
      </c>
      <c r="E490">
        <f>IF(TRAITEMENTS!$Q490="","",TRAITEMENTS!H490)</f>
        <v/>
      </c>
      <c r="F490">
        <f>IF(TRAITEMENTS!$Q490="","",TRAITEMENTS!O490)</f>
        <v/>
      </c>
      <c r="G490">
        <f>IF(A490="",0,SUMIFS(TRAITEMENTS!$O$2:$O$501,TRAITEMENTS!$Q$2:$Q$501,A490,TRAITEMENTS!$E$2:$E$501,B490))</f>
        <v/>
      </c>
      <c r="H490">
        <f>IF(A490="",0,SUMIFS(CONNEXIONS!$C$2:$C$501,CONNEXIONS!$D$2:$D$501,A490,CONNEXIONS!$B$2:$B$501,B490))</f>
        <v/>
      </c>
      <c r="I490">
        <f>IF(G490=0,0,F490/G490*H490)</f>
        <v/>
      </c>
      <c r="J490">
        <f>IF(A490="",0,SUMIFS(AJUSTEMENTS!$F$2:$F$501,AJUSTEMENTS!$A$2:$A$501,A490,AJUSTEMENTS!$B$2:$B$501,B490,AJUSTEMENTS!$C$2:$C$501,C490,AJUSTEMENTS!$D$2:$D$501,D490,AJUSTEMENTS!$E$2:$E$501,E490))</f>
        <v/>
      </c>
      <c r="K490">
        <f>IF(A490="",0,IF(J490&lt;&gt;0,J490,I490))</f>
        <v/>
      </c>
    </row>
    <row r="491">
      <c r="A491">
        <f>IF(TRAITEMENTS!$Q491="","",TRAITEMENTS!Q491)</f>
        <v/>
      </c>
      <c r="B491">
        <f>IF(TRAITEMENTS!$Q491="","",TRAITEMENTS!E491)</f>
        <v/>
      </c>
      <c r="C491">
        <f>IF(TRAITEMENTS!$Q491="","",TRAITEMENTS!F491)</f>
        <v/>
      </c>
      <c r="D491">
        <f>IF(TRAITEMENTS!$Q491="","",TRAITEMENTS!G491)</f>
        <v/>
      </c>
      <c r="E491">
        <f>IF(TRAITEMENTS!$Q491="","",TRAITEMENTS!H491)</f>
        <v/>
      </c>
      <c r="F491">
        <f>IF(TRAITEMENTS!$Q491="","",TRAITEMENTS!O491)</f>
        <v/>
      </c>
      <c r="G491">
        <f>IF(A491="",0,SUMIFS(TRAITEMENTS!$O$2:$O$501,TRAITEMENTS!$Q$2:$Q$501,A491,TRAITEMENTS!$E$2:$E$501,B491))</f>
        <v/>
      </c>
      <c r="H491">
        <f>IF(A491="",0,SUMIFS(CONNEXIONS!$C$2:$C$501,CONNEXIONS!$D$2:$D$501,A491,CONNEXIONS!$B$2:$B$501,B491))</f>
        <v/>
      </c>
      <c r="I491">
        <f>IF(G491=0,0,F491/G491*H491)</f>
        <v/>
      </c>
      <c r="J491">
        <f>IF(A491="",0,SUMIFS(AJUSTEMENTS!$F$2:$F$501,AJUSTEMENTS!$A$2:$A$501,A491,AJUSTEMENTS!$B$2:$B$501,B491,AJUSTEMENTS!$C$2:$C$501,C491,AJUSTEMENTS!$D$2:$D$501,D491,AJUSTEMENTS!$E$2:$E$501,E491))</f>
        <v/>
      </c>
      <c r="K491">
        <f>IF(A491="",0,IF(J491&lt;&gt;0,J491,I491))</f>
        <v/>
      </c>
    </row>
    <row r="492">
      <c r="A492">
        <f>IF(TRAITEMENTS!$Q492="","",TRAITEMENTS!Q492)</f>
        <v/>
      </c>
      <c r="B492">
        <f>IF(TRAITEMENTS!$Q492="","",TRAITEMENTS!E492)</f>
        <v/>
      </c>
      <c r="C492">
        <f>IF(TRAITEMENTS!$Q492="","",TRAITEMENTS!F492)</f>
        <v/>
      </c>
      <c r="D492">
        <f>IF(TRAITEMENTS!$Q492="","",TRAITEMENTS!G492)</f>
        <v/>
      </c>
      <c r="E492">
        <f>IF(TRAITEMENTS!$Q492="","",TRAITEMENTS!H492)</f>
        <v/>
      </c>
      <c r="F492">
        <f>IF(TRAITEMENTS!$Q492="","",TRAITEMENTS!O492)</f>
        <v/>
      </c>
      <c r="G492">
        <f>IF(A492="",0,SUMIFS(TRAITEMENTS!$O$2:$O$501,TRAITEMENTS!$Q$2:$Q$501,A492,TRAITEMENTS!$E$2:$E$501,B492))</f>
        <v/>
      </c>
      <c r="H492">
        <f>IF(A492="",0,SUMIFS(CONNEXIONS!$C$2:$C$501,CONNEXIONS!$D$2:$D$501,A492,CONNEXIONS!$B$2:$B$501,B492))</f>
        <v/>
      </c>
      <c r="I492">
        <f>IF(G492=0,0,F492/G492*H492)</f>
        <v/>
      </c>
      <c r="J492">
        <f>IF(A492="",0,SUMIFS(AJUSTEMENTS!$F$2:$F$501,AJUSTEMENTS!$A$2:$A$501,A492,AJUSTEMENTS!$B$2:$B$501,B492,AJUSTEMENTS!$C$2:$C$501,C492,AJUSTEMENTS!$D$2:$D$501,D492,AJUSTEMENTS!$E$2:$E$501,E492))</f>
        <v/>
      </c>
      <c r="K492">
        <f>IF(A492="",0,IF(J492&lt;&gt;0,J492,I492))</f>
        <v/>
      </c>
    </row>
    <row r="493">
      <c r="A493">
        <f>IF(TRAITEMENTS!$Q493="","",TRAITEMENTS!Q493)</f>
        <v/>
      </c>
      <c r="B493">
        <f>IF(TRAITEMENTS!$Q493="","",TRAITEMENTS!E493)</f>
        <v/>
      </c>
      <c r="C493">
        <f>IF(TRAITEMENTS!$Q493="","",TRAITEMENTS!F493)</f>
        <v/>
      </c>
      <c r="D493">
        <f>IF(TRAITEMENTS!$Q493="","",TRAITEMENTS!G493)</f>
        <v/>
      </c>
      <c r="E493">
        <f>IF(TRAITEMENTS!$Q493="","",TRAITEMENTS!H493)</f>
        <v/>
      </c>
      <c r="F493">
        <f>IF(TRAITEMENTS!$Q493="","",TRAITEMENTS!O493)</f>
        <v/>
      </c>
      <c r="G493">
        <f>IF(A493="",0,SUMIFS(TRAITEMENTS!$O$2:$O$501,TRAITEMENTS!$Q$2:$Q$501,A493,TRAITEMENTS!$E$2:$E$501,B493))</f>
        <v/>
      </c>
      <c r="H493">
        <f>IF(A493="",0,SUMIFS(CONNEXIONS!$C$2:$C$501,CONNEXIONS!$D$2:$D$501,A493,CONNEXIONS!$B$2:$B$501,B493))</f>
        <v/>
      </c>
      <c r="I493">
        <f>IF(G493=0,0,F493/G493*H493)</f>
        <v/>
      </c>
      <c r="J493">
        <f>IF(A493="",0,SUMIFS(AJUSTEMENTS!$F$2:$F$501,AJUSTEMENTS!$A$2:$A$501,A493,AJUSTEMENTS!$B$2:$B$501,B493,AJUSTEMENTS!$C$2:$C$501,C493,AJUSTEMENTS!$D$2:$D$501,D493,AJUSTEMENTS!$E$2:$E$501,E493))</f>
        <v/>
      </c>
      <c r="K493">
        <f>IF(A493="",0,IF(J493&lt;&gt;0,J493,I493))</f>
        <v/>
      </c>
    </row>
    <row r="494">
      <c r="A494">
        <f>IF(TRAITEMENTS!$Q494="","",TRAITEMENTS!Q494)</f>
        <v/>
      </c>
      <c r="B494">
        <f>IF(TRAITEMENTS!$Q494="","",TRAITEMENTS!E494)</f>
        <v/>
      </c>
      <c r="C494">
        <f>IF(TRAITEMENTS!$Q494="","",TRAITEMENTS!F494)</f>
        <v/>
      </c>
      <c r="D494">
        <f>IF(TRAITEMENTS!$Q494="","",TRAITEMENTS!G494)</f>
        <v/>
      </c>
      <c r="E494">
        <f>IF(TRAITEMENTS!$Q494="","",TRAITEMENTS!H494)</f>
        <v/>
      </c>
      <c r="F494">
        <f>IF(TRAITEMENTS!$Q494="","",TRAITEMENTS!O494)</f>
        <v/>
      </c>
      <c r="G494">
        <f>IF(A494="",0,SUMIFS(TRAITEMENTS!$O$2:$O$501,TRAITEMENTS!$Q$2:$Q$501,A494,TRAITEMENTS!$E$2:$E$501,B494))</f>
        <v/>
      </c>
      <c r="H494">
        <f>IF(A494="",0,SUMIFS(CONNEXIONS!$C$2:$C$501,CONNEXIONS!$D$2:$D$501,A494,CONNEXIONS!$B$2:$B$501,B494))</f>
        <v/>
      </c>
      <c r="I494">
        <f>IF(G494=0,0,F494/G494*H494)</f>
        <v/>
      </c>
      <c r="J494">
        <f>IF(A494="",0,SUMIFS(AJUSTEMENTS!$F$2:$F$501,AJUSTEMENTS!$A$2:$A$501,A494,AJUSTEMENTS!$B$2:$B$501,B494,AJUSTEMENTS!$C$2:$C$501,C494,AJUSTEMENTS!$D$2:$D$501,D494,AJUSTEMENTS!$E$2:$E$501,E494))</f>
        <v/>
      </c>
      <c r="K494">
        <f>IF(A494="",0,IF(J494&lt;&gt;0,J494,I494))</f>
        <v/>
      </c>
    </row>
    <row r="495">
      <c r="A495">
        <f>IF(TRAITEMENTS!$Q495="","",TRAITEMENTS!Q495)</f>
        <v/>
      </c>
      <c r="B495">
        <f>IF(TRAITEMENTS!$Q495="","",TRAITEMENTS!E495)</f>
        <v/>
      </c>
      <c r="C495">
        <f>IF(TRAITEMENTS!$Q495="","",TRAITEMENTS!F495)</f>
        <v/>
      </c>
      <c r="D495">
        <f>IF(TRAITEMENTS!$Q495="","",TRAITEMENTS!G495)</f>
        <v/>
      </c>
      <c r="E495">
        <f>IF(TRAITEMENTS!$Q495="","",TRAITEMENTS!H495)</f>
        <v/>
      </c>
      <c r="F495">
        <f>IF(TRAITEMENTS!$Q495="","",TRAITEMENTS!O495)</f>
        <v/>
      </c>
      <c r="G495">
        <f>IF(A495="",0,SUMIFS(TRAITEMENTS!$O$2:$O$501,TRAITEMENTS!$Q$2:$Q$501,A495,TRAITEMENTS!$E$2:$E$501,B495))</f>
        <v/>
      </c>
      <c r="H495">
        <f>IF(A495="",0,SUMIFS(CONNEXIONS!$C$2:$C$501,CONNEXIONS!$D$2:$D$501,A495,CONNEXIONS!$B$2:$B$501,B495))</f>
        <v/>
      </c>
      <c r="I495">
        <f>IF(G495=0,0,F495/G495*H495)</f>
        <v/>
      </c>
      <c r="J495">
        <f>IF(A495="",0,SUMIFS(AJUSTEMENTS!$F$2:$F$501,AJUSTEMENTS!$A$2:$A$501,A495,AJUSTEMENTS!$B$2:$B$501,B495,AJUSTEMENTS!$C$2:$C$501,C495,AJUSTEMENTS!$D$2:$D$501,D495,AJUSTEMENTS!$E$2:$E$501,E495))</f>
        <v/>
      </c>
      <c r="K495">
        <f>IF(A495="",0,IF(J495&lt;&gt;0,J495,I495))</f>
        <v/>
      </c>
    </row>
    <row r="496">
      <c r="A496">
        <f>IF(TRAITEMENTS!$Q496="","",TRAITEMENTS!Q496)</f>
        <v/>
      </c>
      <c r="B496">
        <f>IF(TRAITEMENTS!$Q496="","",TRAITEMENTS!E496)</f>
        <v/>
      </c>
      <c r="C496">
        <f>IF(TRAITEMENTS!$Q496="","",TRAITEMENTS!F496)</f>
        <v/>
      </c>
      <c r="D496">
        <f>IF(TRAITEMENTS!$Q496="","",TRAITEMENTS!G496)</f>
        <v/>
      </c>
      <c r="E496">
        <f>IF(TRAITEMENTS!$Q496="","",TRAITEMENTS!H496)</f>
        <v/>
      </c>
      <c r="F496">
        <f>IF(TRAITEMENTS!$Q496="","",TRAITEMENTS!O496)</f>
        <v/>
      </c>
      <c r="G496">
        <f>IF(A496="",0,SUMIFS(TRAITEMENTS!$O$2:$O$501,TRAITEMENTS!$Q$2:$Q$501,A496,TRAITEMENTS!$E$2:$E$501,B496))</f>
        <v/>
      </c>
      <c r="H496">
        <f>IF(A496="",0,SUMIFS(CONNEXIONS!$C$2:$C$501,CONNEXIONS!$D$2:$D$501,A496,CONNEXIONS!$B$2:$B$501,B496))</f>
        <v/>
      </c>
      <c r="I496">
        <f>IF(G496=0,0,F496/G496*H496)</f>
        <v/>
      </c>
      <c r="J496">
        <f>IF(A496="",0,SUMIFS(AJUSTEMENTS!$F$2:$F$501,AJUSTEMENTS!$A$2:$A$501,A496,AJUSTEMENTS!$B$2:$B$501,B496,AJUSTEMENTS!$C$2:$C$501,C496,AJUSTEMENTS!$D$2:$D$501,D496,AJUSTEMENTS!$E$2:$E$501,E496))</f>
        <v/>
      </c>
      <c r="K496">
        <f>IF(A496="",0,IF(J496&lt;&gt;0,J496,I496))</f>
        <v/>
      </c>
    </row>
    <row r="497">
      <c r="A497">
        <f>IF(TRAITEMENTS!$Q497="","",TRAITEMENTS!Q497)</f>
        <v/>
      </c>
      <c r="B497">
        <f>IF(TRAITEMENTS!$Q497="","",TRAITEMENTS!E497)</f>
        <v/>
      </c>
      <c r="C497">
        <f>IF(TRAITEMENTS!$Q497="","",TRAITEMENTS!F497)</f>
        <v/>
      </c>
      <c r="D497">
        <f>IF(TRAITEMENTS!$Q497="","",TRAITEMENTS!G497)</f>
        <v/>
      </c>
      <c r="E497">
        <f>IF(TRAITEMENTS!$Q497="","",TRAITEMENTS!H497)</f>
        <v/>
      </c>
      <c r="F497">
        <f>IF(TRAITEMENTS!$Q497="","",TRAITEMENTS!O497)</f>
        <v/>
      </c>
      <c r="G497">
        <f>IF(A497="",0,SUMIFS(TRAITEMENTS!$O$2:$O$501,TRAITEMENTS!$Q$2:$Q$501,A497,TRAITEMENTS!$E$2:$E$501,B497))</f>
        <v/>
      </c>
      <c r="H497">
        <f>IF(A497="",0,SUMIFS(CONNEXIONS!$C$2:$C$501,CONNEXIONS!$D$2:$D$501,A497,CONNEXIONS!$B$2:$B$501,B497))</f>
        <v/>
      </c>
      <c r="I497">
        <f>IF(G497=0,0,F497/G497*H497)</f>
        <v/>
      </c>
      <c r="J497">
        <f>IF(A497="",0,SUMIFS(AJUSTEMENTS!$F$2:$F$501,AJUSTEMENTS!$A$2:$A$501,A497,AJUSTEMENTS!$B$2:$B$501,B497,AJUSTEMENTS!$C$2:$C$501,C497,AJUSTEMENTS!$D$2:$D$501,D497,AJUSTEMENTS!$E$2:$E$501,E497))</f>
        <v/>
      </c>
      <c r="K497">
        <f>IF(A497="",0,IF(J497&lt;&gt;0,J497,I497))</f>
        <v/>
      </c>
    </row>
    <row r="498">
      <c r="A498">
        <f>IF(TRAITEMENTS!$Q498="","",TRAITEMENTS!Q498)</f>
        <v/>
      </c>
      <c r="B498">
        <f>IF(TRAITEMENTS!$Q498="","",TRAITEMENTS!E498)</f>
        <v/>
      </c>
      <c r="C498">
        <f>IF(TRAITEMENTS!$Q498="","",TRAITEMENTS!F498)</f>
        <v/>
      </c>
      <c r="D498">
        <f>IF(TRAITEMENTS!$Q498="","",TRAITEMENTS!G498)</f>
        <v/>
      </c>
      <c r="E498">
        <f>IF(TRAITEMENTS!$Q498="","",TRAITEMENTS!H498)</f>
        <v/>
      </c>
      <c r="F498">
        <f>IF(TRAITEMENTS!$Q498="","",TRAITEMENTS!O498)</f>
        <v/>
      </c>
      <c r="G498">
        <f>IF(A498="",0,SUMIFS(TRAITEMENTS!$O$2:$O$501,TRAITEMENTS!$Q$2:$Q$501,A498,TRAITEMENTS!$E$2:$E$501,B498))</f>
        <v/>
      </c>
      <c r="H498">
        <f>IF(A498="",0,SUMIFS(CONNEXIONS!$C$2:$C$501,CONNEXIONS!$D$2:$D$501,A498,CONNEXIONS!$B$2:$B$501,B498))</f>
        <v/>
      </c>
      <c r="I498">
        <f>IF(G498=0,0,F498/G498*H498)</f>
        <v/>
      </c>
      <c r="J498">
        <f>IF(A498="",0,SUMIFS(AJUSTEMENTS!$F$2:$F$501,AJUSTEMENTS!$A$2:$A$501,A498,AJUSTEMENTS!$B$2:$B$501,B498,AJUSTEMENTS!$C$2:$C$501,C498,AJUSTEMENTS!$D$2:$D$501,D498,AJUSTEMENTS!$E$2:$E$501,E498))</f>
        <v/>
      </c>
      <c r="K498">
        <f>IF(A498="",0,IF(J498&lt;&gt;0,J498,I498))</f>
        <v/>
      </c>
    </row>
    <row r="499">
      <c r="A499">
        <f>IF(TRAITEMENTS!$Q499="","",TRAITEMENTS!Q499)</f>
        <v/>
      </c>
      <c r="B499">
        <f>IF(TRAITEMENTS!$Q499="","",TRAITEMENTS!E499)</f>
        <v/>
      </c>
      <c r="C499">
        <f>IF(TRAITEMENTS!$Q499="","",TRAITEMENTS!F499)</f>
        <v/>
      </c>
      <c r="D499">
        <f>IF(TRAITEMENTS!$Q499="","",TRAITEMENTS!G499)</f>
        <v/>
      </c>
      <c r="E499">
        <f>IF(TRAITEMENTS!$Q499="","",TRAITEMENTS!H499)</f>
        <v/>
      </c>
      <c r="F499">
        <f>IF(TRAITEMENTS!$Q499="","",TRAITEMENTS!O499)</f>
        <v/>
      </c>
      <c r="G499">
        <f>IF(A499="",0,SUMIFS(TRAITEMENTS!$O$2:$O$501,TRAITEMENTS!$Q$2:$Q$501,A499,TRAITEMENTS!$E$2:$E$501,B499))</f>
        <v/>
      </c>
      <c r="H499">
        <f>IF(A499="",0,SUMIFS(CONNEXIONS!$C$2:$C$501,CONNEXIONS!$D$2:$D$501,A499,CONNEXIONS!$B$2:$B$501,B499))</f>
        <v/>
      </c>
      <c r="I499">
        <f>IF(G499=0,0,F499/G499*H499)</f>
        <v/>
      </c>
      <c r="J499">
        <f>IF(A499="",0,SUMIFS(AJUSTEMENTS!$F$2:$F$501,AJUSTEMENTS!$A$2:$A$501,A499,AJUSTEMENTS!$B$2:$B$501,B499,AJUSTEMENTS!$C$2:$C$501,C499,AJUSTEMENTS!$D$2:$D$501,D499,AJUSTEMENTS!$E$2:$E$501,E499))</f>
        <v/>
      </c>
      <c r="K499">
        <f>IF(A499="",0,IF(J499&lt;&gt;0,J499,I499))</f>
        <v/>
      </c>
    </row>
    <row r="500">
      <c r="A500">
        <f>IF(TRAITEMENTS!$Q500="","",TRAITEMENTS!Q500)</f>
        <v/>
      </c>
      <c r="B500">
        <f>IF(TRAITEMENTS!$Q500="","",TRAITEMENTS!E500)</f>
        <v/>
      </c>
      <c r="C500">
        <f>IF(TRAITEMENTS!$Q500="","",TRAITEMENTS!F500)</f>
        <v/>
      </c>
      <c r="D500">
        <f>IF(TRAITEMENTS!$Q500="","",TRAITEMENTS!G500)</f>
        <v/>
      </c>
      <c r="E500">
        <f>IF(TRAITEMENTS!$Q500="","",TRAITEMENTS!H500)</f>
        <v/>
      </c>
      <c r="F500">
        <f>IF(TRAITEMENTS!$Q500="","",TRAITEMENTS!O500)</f>
        <v/>
      </c>
      <c r="G500">
        <f>IF(A500="",0,SUMIFS(TRAITEMENTS!$O$2:$O$501,TRAITEMENTS!$Q$2:$Q$501,A500,TRAITEMENTS!$E$2:$E$501,B500))</f>
        <v/>
      </c>
      <c r="H500">
        <f>IF(A500="",0,SUMIFS(CONNEXIONS!$C$2:$C$501,CONNEXIONS!$D$2:$D$501,A500,CONNEXIONS!$B$2:$B$501,B500))</f>
        <v/>
      </c>
      <c r="I500">
        <f>IF(G500=0,0,F500/G500*H500)</f>
        <v/>
      </c>
      <c r="J500">
        <f>IF(A500="",0,SUMIFS(AJUSTEMENTS!$F$2:$F$501,AJUSTEMENTS!$A$2:$A$501,A500,AJUSTEMENTS!$B$2:$B$501,B500,AJUSTEMENTS!$C$2:$C$501,C500,AJUSTEMENTS!$D$2:$D$501,D500,AJUSTEMENTS!$E$2:$E$501,E500))</f>
        <v/>
      </c>
      <c r="K500">
        <f>IF(A500="",0,IF(J500&lt;&gt;0,J500,I500))</f>
        <v/>
      </c>
    </row>
    <row r="501">
      <c r="A501">
        <f>IF(TRAITEMENTS!$Q501="","",TRAITEMENTS!Q501)</f>
        <v/>
      </c>
      <c r="B501">
        <f>IF(TRAITEMENTS!$Q501="","",TRAITEMENTS!E501)</f>
        <v/>
      </c>
      <c r="C501">
        <f>IF(TRAITEMENTS!$Q501="","",TRAITEMENTS!F501)</f>
        <v/>
      </c>
      <c r="D501">
        <f>IF(TRAITEMENTS!$Q501="","",TRAITEMENTS!G501)</f>
        <v/>
      </c>
      <c r="E501">
        <f>IF(TRAITEMENTS!$Q501="","",TRAITEMENTS!H501)</f>
        <v/>
      </c>
      <c r="F501">
        <f>IF(TRAITEMENTS!$Q501="","",TRAITEMENTS!O501)</f>
        <v/>
      </c>
      <c r="G501">
        <f>IF(A501="",0,SUMIFS(TRAITEMENTS!$O$2:$O$501,TRAITEMENTS!$Q$2:$Q$501,A501,TRAITEMENTS!$E$2:$E$501,B501))</f>
        <v/>
      </c>
      <c r="H501">
        <f>IF(A501="",0,SUMIFS(CONNEXIONS!$C$2:$C$501,CONNEXIONS!$D$2:$D$501,A501,CONNEXIONS!$B$2:$B$501,B501))</f>
        <v/>
      </c>
      <c r="I501">
        <f>IF(G501=0,0,F501/G501*H501)</f>
        <v/>
      </c>
      <c r="J501">
        <f>IF(A501="",0,SUMIFS(AJUSTEMENTS!$F$2:$F$501,AJUSTEMENTS!$A$2:$A$501,A501,AJUSTEMENTS!$B$2:$B$501,B501,AJUSTEMENTS!$C$2:$C$501,C501,AJUSTEMENTS!$D$2:$D$501,D501,AJUSTEMENTS!$E$2:$E$501,E501))</f>
        <v/>
      </c>
      <c r="K501">
        <f>IF(A501="",0,IF(J501&lt;&gt;0,J501,I501))</f>
        <v/>
      </c>
    </row>
  </sheetData>
  <autoFilter ref="A1:K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2026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10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202610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2026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11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202611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2026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12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202612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1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202701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2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202702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3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202703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4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202704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5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202705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6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202706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7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202707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8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202708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9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202709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10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202710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11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202711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1" t="inlineStr">
        <is>
          <t>Entité</t>
        </is>
      </c>
      <c r="B1" s="1" t="inlineStr">
        <is>
          <t>Domaine</t>
        </is>
      </c>
      <c r="C1" s="1" t="inlineStr">
        <is>
          <t>Sous-domaine</t>
        </is>
      </c>
      <c r="D1" s="1" t="inlineStr">
        <is>
          <t>Facturables (h)</t>
        </is>
      </c>
      <c r="E1" s="1" t="inlineStr">
        <is>
          <t>Actes</t>
        </is>
      </c>
      <c r="F1" s="1" t="inlineStr">
        <is>
          <t>Non facturables (h)</t>
        </is>
      </c>
      <c r="G1" s="1" t="inlineStr">
        <is>
          <t>Connectées ventilées (h)</t>
        </is>
      </c>
      <c r="H1" s="1" t="inlineStr">
        <is>
          <t>Écart (h)</t>
        </is>
      </c>
      <c r="J1" t="inlineStr">
        <is>
          <t>Année</t>
        </is>
      </c>
      <c r="K1" t="n">
        <v>2027</v>
      </c>
    </row>
    <row r="2">
      <c r="A2" t="inlineStr">
        <is>
          <t>ACM</t>
        </is>
      </c>
      <c r="B2" t="inlineStr"/>
      <c r="C2" t="inlineStr">
        <is>
          <t>ASS-BIENS</t>
        </is>
      </c>
      <c r="D2">
        <f>SUMIFS(TRAITEMENTS!$O$2:$O$501,TRAITEMENTS!$Q$2:$Q$501,$K$3,TRAITEMENTS!$F$2:$F$501,A2,TRAITEMENTS!$G$2:$G$501,B2,TRAITEMENTS!$H$2:$H$501,C2)</f>
        <v/>
      </c>
      <c r="E2">
        <f>SUMIFS(TRAITEMENTS!$R$2:$R$501,TRAITEMENTS!$Q$2:$Q$501,$K$3,TRAITEMENTS!$F$2:$F$501,A2,TRAITEMENTS!$G$2:$G$501,B2,TRAITEMENTS!$H$2:$H$501,C2)</f>
        <v/>
      </c>
      <c r="F2">
        <f>SUMIFS(TRAITEMENTS!$P$2:$P$501,TRAITEMENTS!$Q$2:$Q$501,$K$3,TRAITEMENTS!$F$2:$F$501,A2,TRAITEMENTS!$G$2:$G$501,B2,TRAITEMENTS!$H$2:$H$501,C2)</f>
        <v/>
      </c>
      <c r="G2">
        <f>SUMIFS(VENTILATION!$K$2:$K$501,VENTILATION!$A$2:$A$501,$K$3,VENTILATION!$C$2:$C$501,A2,VENTILATION!$D$2:$D$501,B2,VENTILATION!$E$2:$E$501,C2)</f>
        <v/>
      </c>
      <c r="H2">
        <f>D2-G2</f>
        <v/>
      </c>
      <c r="J2" t="inlineStr">
        <is>
          <t>Mois</t>
        </is>
      </c>
      <c r="K2" t="n">
        <v>12</v>
      </c>
    </row>
    <row r="3">
      <c r="A3" t="inlineStr">
        <is>
          <t>ACM</t>
        </is>
      </c>
      <c r="B3" t="inlineStr"/>
      <c r="C3" t="inlineStr">
        <is>
          <t>ASS-COMPTA-CONTENTIEUX</t>
        </is>
      </c>
      <c r="D3">
        <f>SUMIFS(TRAITEMENTS!$O$2:$O$501,TRAITEMENTS!$Q$2:$Q$501,$K$3,TRAITEMENTS!$F$2:$F$501,A3,TRAITEMENTS!$G$2:$G$501,B3,TRAITEMENTS!$H$2:$H$501,C3)</f>
        <v/>
      </c>
      <c r="E3">
        <f>SUMIFS(TRAITEMENTS!$R$2:$R$501,TRAITEMENTS!$Q$2:$Q$501,$K$3,TRAITEMENTS!$F$2:$F$501,A3,TRAITEMENTS!$G$2:$G$501,B3,TRAITEMENTS!$H$2:$H$501,C3)</f>
        <v/>
      </c>
      <c r="F3">
        <f>SUMIFS(TRAITEMENTS!$P$2:$P$501,TRAITEMENTS!$Q$2:$Q$501,$K$3,TRAITEMENTS!$F$2:$F$501,A3,TRAITEMENTS!$G$2:$G$501,B3,TRAITEMENTS!$H$2:$H$501,C3)</f>
        <v/>
      </c>
      <c r="G3">
        <f>SUMIFS(VENTILATION!$K$2:$K$501,VENTILATION!$A$2:$A$501,$K$3,VENTILATION!$C$2:$C$501,A3,VENTILATION!$D$2:$D$501,B3,VENTILATION!$E$2:$E$501,C3)</f>
        <v/>
      </c>
      <c r="H3">
        <f>D3-G3</f>
        <v/>
      </c>
      <c r="J3" t="inlineStr">
        <is>
          <t>Clé</t>
        </is>
      </c>
      <c r="K3" t="n">
        <v>202712</v>
      </c>
    </row>
    <row r="4">
      <c r="A4" t="inlineStr">
        <is>
          <t>ACM</t>
        </is>
      </c>
      <c r="B4" t="inlineStr"/>
      <c r="C4" t="inlineStr">
        <is>
          <t>ASS-EMPRUNTEURS</t>
        </is>
      </c>
      <c r="D4">
        <f>SUMIFS(TRAITEMENTS!$O$2:$O$501,TRAITEMENTS!$Q$2:$Q$501,$K$3,TRAITEMENTS!$F$2:$F$501,A4,TRAITEMENTS!$G$2:$G$501,B4,TRAITEMENTS!$H$2:$H$501,C4)</f>
        <v/>
      </c>
      <c r="E4">
        <f>SUMIFS(TRAITEMENTS!$R$2:$R$501,TRAITEMENTS!$Q$2:$Q$501,$K$3,TRAITEMENTS!$F$2:$F$501,A4,TRAITEMENTS!$G$2:$G$501,B4,TRAITEMENTS!$H$2:$H$501,C4)</f>
        <v/>
      </c>
      <c r="F4">
        <f>SUMIFS(TRAITEMENTS!$P$2:$P$501,TRAITEMENTS!$Q$2:$Q$501,$K$3,TRAITEMENTS!$F$2:$F$501,A4,TRAITEMENTS!$G$2:$G$501,B4,TRAITEMENTS!$H$2:$H$501,C4)</f>
        <v/>
      </c>
      <c r="G4">
        <f>SUMIFS(VENTILATION!$K$2:$K$501,VENTILATION!$A$2:$A$501,$K$3,VENTILATION!$C$2:$C$501,A4,VENTILATION!$D$2:$D$501,B4,VENTILATION!$E$2:$E$501,C4)</f>
        <v/>
      </c>
      <c r="H4">
        <f>D4-G4</f>
        <v/>
      </c>
    </row>
    <row r="5">
      <c r="A5" t="inlineStr">
        <is>
          <t>ACM</t>
        </is>
      </c>
      <c r="B5" t="inlineStr"/>
      <c r="C5" t="inlineStr">
        <is>
          <t>ASS-ERE</t>
        </is>
      </c>
      <c r="D5">
        <f>SUMIFS(TRAITEMENTS!$O$2:$O$501,TRAITEMENTS!$Q$2:$Q$501,$K$3,TRAITEMENTS!$F$2:$F$501,A5,TRAITEMENTS!$G$2:$G$501,B5,TRAITEMENTS!$H$2:$H$501,C5)</f>
        <v/>
      </c>
      <c r="E5">
        <f>SUMIFS(TRAITEMENTS!$R$2:$R$501,TRAITEMENTS!$Q$2:$Q$501,$K$3,TRAITEMENTS!$F$2:$F$501,A5,TRAITEMENTS!$G$2:$G$501,B5,TRAITEMENTS!$H$2:$H$501,C5)</f>
        <v/>
      </c>
      <c r="F5">
        <f>SUMIFS(TRAITEMENTS!$P$2:$P$501,TRAITEMENTS!$Q$2:$Q$501,$K$3,TRAITEMENTS!$F$2:$F$501,A5,TRAITEMENTS!$G$2:$G$501,B5,TRAITEMENTS!$H$2:$H$501,C5)</f>
        <v/>
      </c>
      <c r="G5">
        <f>SUMIFS(VENTILATION!$K$2:$K$501,VENTILATION!$A$2:$A$501,$K$3,VENTILATION!$C$2:$C$501,A5,VENTILATION!$D$2:$D$501,B5,VENTILATION!$E$2:$E$501,C5)</f>
        <v/>
      </c>
      <c r="H5">
        <f>D5-G5</f>
        <v/>
      </c>
      <c r="J5" t="inlineStr">
        <is>
          <t>Connectées</t>
        </is>
      </c>
      <c r="K5">
        <f>SUMIFS(CONNEXIONS!C2:C501,CONNEXIONS!D2:D501,K3)</f>
        <v/>
      </c>
    </row>
    <row r="6">
      <c r="A6" t="inlineStr">
        <is>
          <t>ACM</t>
        </is>
      </c>
      <c r="B6" t="inlineStr"/>
      <c r="C6" t="inlineStr">
        <is>
          <t>ASS-INDEMN-BIENS-PERS</t>
        </is>
      </c>
      <c r="D6">
        <f>SUMIFS(TRAITEMENTS!$O$2:$O$501,TRAITEMENTS!$Q$2:$Q$501,$K$3,TRAITEMENTS!$F$2:$F$501,A6,TRAITEMENTS!$G$2:$G$501,B6,TRAITEMENTS!$H$2:$H$501,C6)</f>
        <v/>
      </c>
      <c r="E6">
        <f>SUMIFS(TRAITEMENTS!$R$2:$R$501,TRAITEMENTS!$Q$2:$Q$501,$K$3,TRAITEMENTS!$F$2:$F$501,A6,TRAITEMENTS!$G$2:$G$501,B6,TRAITEMENTS!$H$2:$H$501,C6)</f>
        <v/>
      </c>
      <c r="F6">
        <f>SUMIFS(TRAITEMENTS!$P$2:$P$501,TRAITEMENTS!$Q$2:$Q$501,$K$3,TRAITEMENTS!$F$2:$F$501,A6,TRAITEMENTS!$G$2:$G$501,B6,TRAITEMENTS!$H$2:$H$501,C6)</f>
        <v/>
      </c>
      <c r="G6">
        <f>SUMIFS(VENTILATION!$K$2:$K$501,VENTILATION!$A$2:$A$501,$K$3,VENTILATION!$C$2:$C$501,A6,VENTILATION!$D$2:$D$501,B6,VENTILATION!$E$2:$E$501,C6)</f>
        <v/>
      </c>
      <c r="H6">
        <f>D6-G6</f>
        <v/>
      </c>
      <c r="J6" t="inlineStr">
        <is>
          <t>Facturables</t>
        </is>
      </c>
      <c r="K6">
        <f>SUM(D2:D38)</f>
        <v/>
      </c>
    </row>
    <row r="7">
      <c r="A7" t="inlineStr">
        <is>
          <t>ACM</t>
        </is>
      </c>
      <c r="B7" t="inlineStr"/>
      <c r="C7" t="inlineStr">
        <is>
          <t>ASS-PERS-COLL</t>
        </is>
      </c>
      <c r="D7">
        <f>SUMIFS(TRAITEMENTS!$O$2:$O$501,TRAITEMENTS!$Q$2:$Q$501,$K$3,TRAITEMENTS!$F$2:$F$501,A7,TRAITEMENTS!$G$2:$G$501,B7,TRAITEMENTS!$H$2:$H$501,C7)</f>
        <v/>
      </c>
      <c r="E7">
        <f>SUMIFS(TRAITEMENTS!$R$2:$R$501,TRAITEMENTS!$Q$2:$Q$501,$K$3,TRAITEMENTS!$F$2:$F$501,A7,TRAITEMENTS!$G$2:$G$501,B7,TRAITEMENTS!$H$2:$H$501,C7)</f>
        <v/>
      </c>
      <c r="F7">
        <f>SUMIFS(TRAITEMENTS!$P$2:$P$501,TRAITEMENTS!$Q$2:$Q$501,$K$3,TRAITEMENTS!$F$2:$F$501,A7,TRAITEMENTS!$G$2:$G$501,B7,TRAITEMENTS!$H$2:$H$501,C7)</f>
        <v/>
      </c>
      <c r="G7">
        <f>SUMIFS(VENTILATION!$K$2:$K$501,VENTILATION!$A$2:$A$501,$K$3,VENTILATION!$C$2:$C$501,A7,VENTILATION!$D$2:$D$501,B7,VENTILATION!$E$2:$E$501,C7)</f>
        <v/>
      </c>
      <c r="H7">
        <f>D7-G7</f>
        <v/>
      </c>
      <c r="J7" t="inlineStr">
        <is>
          <t>Actes</t>
        </is>
      </c>
      <c r="K7">
        <f>SUM(E2:E38)</f>
        <v/>
      </c>
    </row>
    <row r="8">
      <c r="A8" t="inlineStr">
        <is>
          <t>ACM</t>
        </is>
      </c>
      <c r="B8" t="inlineStr"/>
      <c r="C8" t="inlineStr">
        <is>
          <t>ASS-PERS-IND</t>
        </is>
      </c>
      <c r="D8">
        <f>SUMIFS(TRAITEMENTS!$O$2:$O$501,TRAITEMENTS!$Q$2:$Q$501,$K$3,TRAITEMENTS!$F$2:$F$501,A8,TRAITEMENTS!$G$2:$G$501,B8,TRAITEMENTS!$H$2:$H$501,C8)</f>
        <v/>
      </c>
      <c r="E8">
        <f>SUMIFS(TRAITEMENTS!$R$2:$R$501,TRAITEMENTS!$Q$2:$Q$501,$K$3,TRAITEMENTS!$F$2:$F$501,A8,TRAITEMENTS!$G$2:$G$501,B8,TRAITEMENTS!$H$2:$H$501,C8)</f>
        <v/>
      </c>
      <c r="F8">
        <f>SUMIFS(TRAITEMENTS!$P$2:$P$501,TRAITEMENTS!$Q$2:$Q$501,$K$3,TRAITEMENTS!$F$2:$F$501,A8,TRAITEMENTS!$G$2:$G$501,B8,TRAITEMENTS!$H$2:$H$501,C8)</f>
        <v/>
      </c>
      <c r="G8">
        <f>SUMIFS(VENTILATION!$K$2:$K$501,VENTILATION!$A$2:$A$501,$K$3,VENTILATION!$C$2:$C$501,A8,VENTILATION!$D$2:$D$501,B8,VENTILATION!$E$2:$E$501,C8)</f>
        <v/>
      </c>
      <c r="H8">
        <f>D8-G8</f>
        <v/>
      </c>
      <c r="J8" t="inlineStr">
        <is>
          <t>Non facturables</t>
        </is>
      </c>
      <c r="K8">
        <f>SUM(F2:F38)</f>
        <v/>
      </c>
    </row>
    <row r="9">
      <c r="A9" t="inlineStr">
        <is>
          <t>ACM</t>
        </is>
      </c>
      <c r="B9" t="inlineStr"/>
      <c r="C9" t="inlineStr">
        <is>
          <t>ASS-PROTECTION-JUR</t>
        </is>
      </c>
      <c r="D9">
        <f>SUMIFS(TRAITEMENTS!$O$2:$O$501,TRAITEMENTS!$Q$2:$Q$501,$K$3,TRAITEMENTS!$F$2:$F$501,A9,TRAITEMENTS!$G$2:$G$501,B9,TRAITEMENTS!$H$2:$H$501,C9)</f>
        <v/>
      </c>
      <c r="E9">
        <f>SUMIFS(TRAITEMENTS!$R$2:$R$501,TRAITEMENTS!$Q$2:$Q$501,$K$3,TRAITEMENTS!$F$2:$F$501,A9,TRAITEMENTS!$G$2:$G$501,B9,TRAITEMENTS!$H$2:$H$501,C9)</f>
        <v/>
      </c>
      <c r="F9">
        <f>SUMIFS(TRAITEMENTS!$P$2:$P$501,TRAITEMENTS!$Q$2:$Q$501,$K$3,TRAITEMENTS!$F$2:$F$501,A9,TRAITEMENTS!$G$2:$G$501,B9,TRAITEMENTS!$H$2:$H$501,C9)</f>
        <v/>
      </c>
      <c r="G9">
        <f>SUMIFS(VENTILATION!$K$2:$K$501,VENTILATION!$A$2:$A$501,$K$3,VENTILATION!$C$2:$C$501,A9,VENTILATION!$D$2:$D$501,B9,VENTILATION!$E$2:$E$501,C9)</f>
        <v/>
      </c>
      <c r="H9">
        <f>D9-G9</f>
        <v/>
      </c>
      <c r="J9" t="inlineStr">
        <is>
          <t>Écart</t>
        </is>
      </c>
      <c r="K9">
        <f>K6-K5</f>
        <v/>
      </c>
    </row>
    <row r="10">
      <c r="A10" t="inlineStr">
        <is>
          <t>ACM</t>
        </is>
      </c>
      <c r="B10" t="inlineStr"/>
      <c r="C10" t="inlineStr">
        <is>
          <t>ASS-VIE-EPARGNE-RET</t>
        </is>
      </c>
      <c r="D10">
        <f>SUMIFS(TRAITEMENTS!$O$2:$O$501,TRAITEMENTS!$Q$2:$Q$501,$K$3,TRAITEMENTS!$F$2:$F$501,A10,TRAITEMENTS!$G$2:$G$501,B10,TRAITEMENTS!$H$2:$H$501,C10)</f>
        <v/>
      </c>
      <c r="E10">
        <f>SUMIFS(TRAITEMENTS!$R$2:$R$501,TRAITEMENTS!$Q$2:$Q$501,$K$3,TRAITEMENTS!$F$2:$F$501,A10,TRAITEMENTS!$G$2:$G$501,B10,TRAITEMENTS!$H$2:$H$501,C10)</f>
        <v/>
      </c>
      <c r="F10">
        <f>SUMIFS(TRAITEMENTS!$P$2:$P$501,TRAITEMENTS!$Q$2:$Q$501,$K$3,TRAITEMENTS!$F$2:$F$501,A10,TRAITEMENTS!$G$2:$G$501,B10,TRAITEMENTS!$H$2:$H$501,C10)</f>
        <v/>
      </c>
      <c r="G10">
        <f>SUMIFS(VENTILATION!$K$2:$K$501,VENTILATION!$A$2:$A$501,$K$3,VENTILATION!$C$2:$C$501,A10,VENTILATION!$D$2:$D$501,B10,VENTILATION!$E$2:$E$501,C10)</f>
        <v/>
      </c>
      <c r="H10">
        <f>D10-G10</f>
        <v/>
      </c>
      <c r="J10" t="inlineStr">
        <is>
          <t>Non ventilées</t>
        </is>
      </c>
      <c r="K10">
        <f>K5-SUM(G2:G38)</f>
        <v/>
      </c>
    </row>
    <row r="11">
      <c r="A11" t="inlineStr">
        <is>
          <t>COFIDIS France</t>
        </is>
      </c>
      <c r="B11" t="inlineStr">
        <is>
          <t>DMA</t>
        </is>
      </c>
      <c r="C11" t="inlineStr">
        <is>
          <t>DMA – Agence WEB</t>
        </is>
      </c>
      <c r="D11">
        <f>SUMIFS(TRAITEMENTS!$O$2:$O$501,TRAITEMENTS!$Q$2:$Q$501,$K$3,TRAITEMENTS!$F$2:$F$501,A11,TRAITEMENTS!$G$2:$G$501,B11,TRAITEMENTS!$H$2:$H$501,C11)</f>
        <v/>
      </c>
      <c r="E11">
        <f>SUMIFS(TRAITEMENTS!$R$2:$R$501,TRAITEMENTS!$Q$2:$Q$501,$K$3,TRAITEMENTS!$F$2:$F$501,A11,TRAITEMENTS!$G$2:$G$501,B11,TRAITEMENTS!$H$2:$H$501,C11)</f>
        <v/>
      </c>
      <c r="F11">
        <f>SUMIFS(TRAITEMENTS!$P$2:$P$501,TRAITEMENTS!$Q$2:$Q$501,$K$3,TRAITEMENTS!$F$2:$F$501,A11,TRAITEMENTS!$G$2:$G$501,B11,TRAITEMENTS!$H$2:$H$501,C11)</f>
        <v/>
      </c>
      <c r="G11">
        <f>SUMIFS(VENTILATION!$K$2:$K$501,VENTILATION!$A$2:$A$501,$K$3,VENTILATION!$C$2:$C$501,A11,VENTILATION!$D$2:$D$501,B11,VENTILATION!$E$2:$E$501,C11)</f>
        <v/>
      </c>
      <c r="H11">
        <f>D11-G11</f>
        <v/>
      </c>
    </row>
    <row r="12">
      <c r="A12" t="inlineStr">
        <is>
          <t>COFIDIS France</t>
        </is>
      </c>
      <c r="B12" t="inlineStr">
        <is>
          <t>DMA</t>
        </is>
      </c>
      <c r="C12" t="inlineStr">
        <is>
          <t>DMA – Marque et Stratégie</t>
        </is>
      </c>
      <c r="D12">
        <f>SUMIFS(TRAITEMENTS!$O$2:$O$501,TRAITEMENTS!$Q$2:$Q$501,$K$3,TRAITEMENTS!$F$2:$F$501,A12,TRAITEMENTS!$G$2:$G$501,B12,TRAITEMENTS!$H$2:$H$501,C12)</f>
        <v/>
      </c>
      <c r="E12">
        <f>SUMIFS(TRAITEMENTS!$R$2:$R$501,TRAITEMENTS!$Q$2:$Q$501,$K$3,TRAITEMENTS!$F$2:$F$501,A12,TRAITEMENTS!$G$2:$G$501,B12,TRAITEMENTS!$H$2:$H$501,C12)</f>
        <v/>
      </c>
      <c r="F12">
        <f>SUMIFS(TRAITEMENTS!$P$2:$P$501,TRAITEMENTS!$Q$2:$Q$501,$K$3,TRAITEMENTS!$F$2:$F$501,A12,TRAITEMENTS!$G$2:$G$501,B12,TRAITEMENTS!$H$2:$H$501,C12)</f>
        <v/>
      </c>
      <c r="G12">
        <f>SUMIFS(VENTILATION!$K$2:$K$501,VENTILATION!$A$2:$A$501,$K$3,VENTILATION!$C$2:$C$501,A12,VENTILATION!$D$2:$D$501,B12,VENTILATION!$E$2:$E$501,C12)</f>
        <v/>
      </c>
      <c r="H12">
        <f>D12-G12</f>
        <v/>
      </c>
    </row>
    <row r="13">
      <c r="A13" t="inlineStr">
        <is>
          <t>COFIDIS France</t>
        </is>
      </c>
      <c r="B13" t="inlineStr">
        <is>
          <t>DMA</t>
        </is>
      </c>
      <c r="C13" t="inlineStr">
        <is>
          <t>DMA – Performance Digitale</t>
        </is>
      </c>
      <c r="D13">
        <f>SUMIFS(TRAITEMENTS!$O$2:$O$501,TRAITEMENTS!$Q$2:$Q$501,$K$3,TRAITEMENTS!$F$2:$F$501,A13,TRAITEMENTS!$G$2:$G$501,B13,TRAITEMENTS!$H$2:$H$501,C13)</f>
        <v/>
      </c>
      <c r="E13">
        <f>SUMIFS(TRAITEMENTS!$R$2:$R$501,TRAITEMENTS!$Q$2:$Q$501,$K$3,TRAITEMENTS!$F$2:$F$501,A13,TRAITEMENTS!$G$2:$G$501,B13,TRAITEMENTS!$H$2:$H$501,C13)</f>
        <v/>
      </c>
      <c r="F13">
        <f>SUMIFS(TRAITEMENTS!$P$2:$P$501,TRAITEMENTS!$Q$2:$Q$501,$K$3,TRAITEMENTS!$F$2:$F$501,A13,TRAITEMENTS!$G$2:$G$501,B13,TRAITEMENTS!$H$2:$H$501,C13)</f>
        <v/>
      </c>
      <c r="G13">
        <f>SUMIFS(VENTILATION!$K$2:$K$501,VENTILATION!$A$2:$A$501,$K$3,VENTILATION!$C$2:$C$501,A13,VENTILATION!$D$2:$D$501,B13,VENTILATION!$E$2:$E$501,C13)</f>
        <v/>
      </c>
      <c r="H13">
        <f>D13-G13</f>
        <v/>
      </c>
    </row>
    <row r="14">
      <c r="A14" t="inlineStr">
        <is>
          <t>COFIDIS France</t>
        </is>
      </c>
      <c r="B14" t="inlineStr">
        <is>
          <t>DPA</t>
        </is>
      </c>
      <c r="C14" t="inlineStr">
        <is>
          <t>DPA – Domaine Marketing</t>
        </is>
      </c>
      <c r="D14">
        <f>SUMIFS(TRAITEMENTS!$O$2:$O$501,TRAITEMENTS!$Q$2:$Q$501,$K$3,TRAITEMENTS!$F$2:$F$501,A14,TRAITEMENTS!$G$2:$G$501,B14,TRAITEMENTS!$H$2:$H$501,C14)</f>
        <v/>
      </c>
      <c r="E14">
        <f>SUMIFS(TRAITEMENTS!$R$2:$R$501,TRAITEMENTS!$Q$2:$Q$501,$K$3,TRAITEMENTS!$F$2:$F$501,A14,TRAITEMENTS!$G$2:$G$501,B14,TRAITEMENTS!$H$2:$H$501,C14)</f>
        <v/>
      </c>
      <c r="F14">
        <f>SUMIFS(TRAITEMENTS!$P$2:$P$501,TRAITEMENTS!$Q$2:$Q$501,$K$3,TRAITEMENTS!$F$2:$F$501,A14,TRAITEMENTS!$G$2:$G$501,B14,TRAITEMENTS!$H$2:$H$501,C14)</f>
        <v/>
      </c>
      <c r="G14">
        <f>SUMIFS(VENTILATION!$K$2:$K$501,VENTILATION!$A$2:$A$501,$K$3,VENTILATION!$C$2:$C$501,A14,VENTILATION!$D$2:$D$501,B14,VENTILATION!$E$2:$E$501,C14)</f>
        <v/>
      </c>
      <c r="H14">
        <f>D14-G14</f>
        <v/>
      </c>
    </row>
    <row r="15">
      <c r="A15" t="inlineStr">
        <is>
          <t>COFIDIS France</t>
        </is>
      </c>
      <c r="B15" t="inlineStr">
        <is>
          <t>DPA</t>
        </is>
      </c>
      <c r="C15" t="inlineStr">
        <is>
          <t>DPA – Service Marketing</t>
        </is>
      </c>
      <c r="D15">
        <f>SUMIFS(TRAITEMENTS!$O$2:$O$501,TRAITEMENTS!$Q$2:$Q$501,$K$3,TRAITEMENTS!$F$2:$F$501,A15,TRAITEMENTS!$G$2:$G$501,B15,TRAITEMENTS!$H$2:$H$501,C15)</f>
        <v/>
      </c>
      <c r="E15">
        <f>SUMIFS(TRAITEMENTS!$R$2:$R$501,TRAITEMENTS!$Q$2:$Q$501,$K$3,TRAITEMENTS!$F$2:$F$501,A15,TRAITEMENTS!$G$2:$G$501,B15,TRAITEMENTS!$H$2:$H$501,C15)</f>
        <v/>
      </c>
      <c r="F15">
        <f>SUMIFS(TRAITEMENTS!$P$2:$P$501,TRAITEMENTS!$Q$2:$Q$501,$K$3,TRAITEMENTS!$F$2:$F$501,A15,TRAITEMENTS!$G$2:$G$501,B15,TRAITEMENTS!$H$2:$H$501,C15)</f>
        <v/>
      </c>
      <c r="G15">
        <f>SUMIFS(VENTILATION!$K$2:$K$501,VENTILATION!$A$2:$A$501,$K$3,VENTILATION!$C$2:$C$501,A15,VENTILATION!$D$2:$D$501,B15,VENTILATION!$E$2:$E$501,C15)</f>
        <v/>
      </c>
      <c r="H15">
        <f>D15-G15</f>
        <v/>
      </c>
    </row>
    <row r="16">
      <c r="A16" t="inlineStr">
        <is>
          <t>COFIDIS France</t>
        </is>
      </c>
      <c r="B16" t="inlineStr">
        <is>
          <t>DPA</t>
        </is>
      </c>
      <c r="C16" t="inlineStr">
        <is>
          <t>DPA – Service Relation</t>
        </is>
      </c>
      <c r="D16">
        <f>SUMIFS(TRAITEMENTS!$O$2:$O$501,TRAITEMENTS!$Q$2:$Q$501,$K$3,TRAITEMENTS!$F$2:$F$501,A16,TRAITEMENTS!$G$2:$G$501,B16,TRAITEMENTS!$H$2:$H$501,C16)</f>
        <v/>
      </c>
      <c r="E16">
        <f>SUMIFS(TRAITEMENTS!$R$2:$R$501,TRAITEMENTS!$Q$2:$Q$501,$K$3,TRAITEMENTS!$F$2:$F$501,A16,TRAITEMENTS!$G$2:$G$501,B16,TRAITEMENTS!$H$2:$H$501,C16)</f>
        <v/>
      </c>
      <c r="F16">
        <f>SUMIFS(TRAITEMENTS!$P$2:$P$501,TRAITEMENTS!$Q$2:$Q$501,$K$3,TRAITEMENTS!$F$2:$F$501,A16,TRAITEMENTS!$G$2:$G$501,B16,TRAITEMENTS!$H$2:$H$501,C16)</f>
        <v/>
      </c>
      <c r="G16">
        <f>SUMIFS(VENTILATION!$K$2:$K$501,VENTILATION!$A$2:$A$501,$K$3,VENTILATION!$C$2:$C$501,A16,VENTILATION!$D$2:$D$501,B16,VENTILATION!$E$2:$E$501,C16)</f>
        <v/>
      </c>
      <c r="H16">
        <f>D16-G16</f>
        <v/>
      </c>
    </row>
    <row r="17">
      <c r="A17" t="inlineStr">
        <is>
          <t>CONTRATHEQUE</t>
        </is>
      </c>
      <c r="B17" t="inlineStr">
        <is>
          <t>CONDITIONS GENERALES</t>
        </is>
      </c>
      <c r="C17" t="inlineStr">
        <is>
          <t>CIC</t>
        </is>
      </c>
      <c r="D17">
        <f>SUMIFS(TRAITEMENTS!$O$2:$O$501,TRAITEMENTS!$Q$2:$Q$501,$K$3,TRAITEMENTS!$F$2:$F$501,A17,TRAITEMENTS!$G$2:$G$501,B17,TRAITEMENTS!$H$2:$H$501,C17)</f>
        <v/>
      </c>
      <c r="E17">
        <f>SUMIFS(TRAITEMENTS!$R$2:$R$501,TRAITEMENTS!$Q$2:$Q$501,$K$3,TRAITEMENTS!$F$2:$F$501,A17,TRAITEMENTS!$G$2:$G$501,B17,TRAITEMENTS!$H$2:$H$501,C17)</f>
        <v/>
      </c>
      <c r="F17">
        <f>SUMIFS(TRAITEMENTS!$P$2:$P$501,TRAITEMENTS!$Q$2:$Q$501,$K$3,TRAITEMENTS!$F$2:$F$501,A17,TRAITEMENTS!$G$2:$G$501,B17,TRAITEMENTS!$H$2:$H$501,C17)</f>
        <v/>
      </c>
      <c r="G17">
        <f>SUMIFS(VENTILATION!$K$2:$K$501,VENTILATION!$A$2:$A$501,$K$3,VENTILATION!$C$2:$C$501,A17,VENTILATION!$D$2:$D$501,B17,VENTILATION!$E$2:$E$501,C17)</f>
        <v/>
      </c>
      <c r="H17">
        <f>D17-G17</f>
        <v/>
      </c>
    </row>
    <row r="18">
      <c r="A18" t="inlineStr">
        <is>
          <t>CONTRATHEQUE</t>
        </is>
      </c>
      <c r="B18" t="inlineStr">
        <is>
          <t>CONDITIONS GENERALES</t>
        </is>
      </c>
      <c r="C18" t="inlineStr">
        <is>
          <t>CM</t>
        </is>
      </c>
      <c r="D18">
        <f>SUMIFS(TRAITEMENTS!$O$2:$O$501,TRAITEMENTS!$Q$2:$Q$501,$K$3,TRAITEMENTS!$F$2:$F$501,A18,TRAITEMENTS!$G$2:$G$501,B18,TRAITEMENTS!$H$2:$H$501,C18)</f>
        <v/>
      </c>
      <c r="E18">
        <f>SUMIFS(TRAITEMENTS!$R$2:$R$501,TRAITEMENTS!$Q$2:$Q$501,$K$3,TRAITEMENTS!$F$2:$F$501,A18,TRAITEMENTS!$G$2:$G$501,B18,TRAITEMENTS!$H$2:$H$501,C18)</f>
        <v/>
      </c>
      <c r="F18">
        <f>SUMIFS(TRAITEMENTS!$P$2:$P$501,TRAITEMENTS!$Q$2:$Q$501,$K$3,TRAITEMENTS!$F$2:$F$501,A18,TRAITEMENTS!$G$2:$G$501,B18,TRAITEMENTS!$H$2:$H$501,C18)</f>
        <v/>
      </c>
      <c r="G18">
        <f>SUMIFS(VENTILATION!$K$2:$K$501,VENTILATION!$A$2:$A$501,$K$3,VENTILATION!$C$2:$C$501,A18,VENTILATION!$D$2:$D$501,B18,VENTILATION!$E$2:$E$501,C18)</f>
        <v/>
      </c>
      <c r="H18">
        <f>D18-G18</f>
        <v/>
      </c>
    </row>
    <row r="19">
      <c r="A19" t="inlineStr">
        <is>
          <t>CONTRATHEQUE</t>
        </is>
      </c>
      <c r="B19" t="inlineStr">
        <is>
          <t>CONDITIONS GENERALES</t>
        </is>
      </c>
      <c r="C19" t="inlineStr">
        <is>
          <t>Mixte</t>
        </is>
      </c>
      <c r="D19">
        <f>SUMIFS(TRAITEMENTS!$O$2:$O$501,TRAITEMENTS!$Q$2:$Q$501,$K$3,TRAITEMENTS!$F$2:$F$501,A19,TRAITEMENTS!$G$2:$G$501,B19,TRAITEMENTS!$H$2:$H$501,C19)</f>
        <v/>
      </c>
      <c r="E19">
        <f>SUMIFS(TRAITEMENTS!$R$2:$R$501,TRAITEMENTS!$Q$2:$Q$501,$K$3,TRAITEMENTS!$F$2:$F$501,A19,TRAITEMENTS!$G$2:$G$501,B19,TRAITEMENTS!$H$2:$H$501,C19)</f>
        <v/>
      </c>
      <c r="F19">
        <f>SUMIFS(TRAITEMENTS!$P$2:$P$501,TRAITEMENTS!$Q$2:$Q$501,$K$3,TRAITEMENTS!$F$2:$F$501,A19,TRAITEMENTS!$G$2:$G$501,B19,TRAITEMENTS!$H$2:$H$501,C19)</f>
        <v/>
      </c>
      <c r="G19">
        <f>SUMIFS(VENTILATION!$K$2:$K$501,VENTILATION!$A$2:$A$501,$K$3,VENTILATION!$C$2:$C$501,A19,VENTILATION!$D$2:$D$501,B19,VENTILATION!$E$2:$E$501,C19)</f>
        <v/>
      </c>
      <c r="H19">
        <f>D19-G19</f>
        <v/>
      </c>
    </row>
    <row r="20">
      <c r="A20" t="inlineStr">
        <is>
          <t>CONTRATHEQUE</t>
        </is>
      </c>
      <c r="B20" t="inlineStr">
        <is>
          <t>DOCUMENT D'INFORMATION TARIFAIRE</t>
        </is>
      </c>
      <c r="C20" t="inlineStr"/>
      <c r="D20">
        <f>SUMIFS(TRAITEMENTS!$O$2:$O$501,TRAITEMENTS!$Q$2:$Q$501,$K$3,TRAITEMENTS!$F$2:$F$501,A20,TRAITEMENTS!$G$2:$G$501,B20,TRAITEMENTS!$H$2:$H$501,C20)</f>
        <v/>
      </c>
      <c r="E20">
        <f>SUMIFS(TRAITEMENTS!$R$2:$R$501,TRAITEMENTS!$Q$2:$Q$501,$K$3,TRAITEMENTS!$F$2:$F$501,A20,TRAITEMENTS!$G$2:$G$501,B20,TRAITEMENTS!$H$2:$H$501,C20)</f>
        <v/>
      </c>
      <c r="F20">
        <f>SUMIFS(TRAITEMENTS!$P$2:$P$501,TRAITEMENTS!$Q$2:$Q$501,$K$3,TRAITEMENTS!$F$2:$F$501,A20,TRAITEMENTS!$G$2:$G$501,B20,TRAITEMENTS!$H$2:$H$501,C20)</f>
        <v/>
      </c>
      <c r="G20">
        <f>SUMIFS(VENTILATION!$K$2:$K$501,VENTILATION!$A$2:$A$501,$K$3,VENTILATION!$C$2:$C$501,A20,VENTILATION!$D$2:$D$501,B20,VENTILATION!$E$2:$E$501,C20)</f>
        <v/>
      </c>
      <c r="H20">
        <f>D20-G20</f>
        <v/>
      </c>
    </row>
    <row r="21">
      <c r="A21" t="inlineStr">
        <is>
          <t>CONTRATHEQUE</t>
        </is>
      </c>
      <c r="B21" t="inlineStr">
        <is>
          <t>GARANTIES</t>
        </is>
      </c>
      <c r="C21" t="inlineStr"/>
      <c r="D21">
        <f>SUMIFS(TRAITEMENTS!$O$2:$O$501,TRAITEMENTS!$Q$2:$Q$501,$K$3,TRAITEMENTS!$F$2:$F$501,A21,TRAITEMENTS!$G$2:$G$501,B21,TRAITEMENTS!$H$2:$H$501,C21)</f>
        <v/>
      </c>
      <c r="E21">
        <f>SUMIFS(TRAITEMENTS!$R$2:$R$501,TRAITEMENTS!$Q$2:$Q$501,$K$3,TRAITEMENTS!$F$2:$F$501,A21,TRAITEMENTS!$G$2:$G$501,B21,TRAITEMENTS!$H$2:$H$501,C21)</f>
        <v/>
      </c>
      <c r="F21">
        <f>SUMIFS(TRAITEMENTS!$P$2:$P$501,TRAITEMENTS!$Q$2:$Q$501,$K$3,TRAITEMENTS!$F$2:$F$501,A21,TRAITEMENTS!$G$2:$G$501,B21,TRAITEMENTS!$H$2:$H$501,C21)</f>
        <v/>
      </c>
      <c r="G21">
        <f>SUMIFS(VENTILATION!$K$2:$K$501,VENTILATION!$A$2:$A$501,$K$3,VENTILATION!$C$2:$C$501,A21,VENTILATION!$D$2:$D$501,B21,VENTILATION!$E$2:$E$501,C21)</f>
        <v/>
      </c>
      <c r="H21">
        <f>D21-G21</f>
        <v/>
      </c>
    </row>
    <row r="22">
      <c r="A22" t="inlineStr">
        <is>
          <t>CONTRATHEQUE</t>
        </is>
      </c>
      <c r="B22" t="inlineStr">
        <is>
          <t>POLITIQUE DE PROTECTION</t>
        </is>
      </c>
      <c r="C22" t="inlineStr"/>
      <c r="D22">
        <f>SUMIFS(TRAITEMENTS!$O$2:$O$501,TRAITEMENTS!$Q$2:$Q$501,$K$3,TRAITEMENTS!$F$2:$F$501,A22,TRAITEMENTS!$G$2:$G$501,B22,TRAITEMENTS!$H$2:$H$501,C22)</f>
        <v/>
      </c>
      <c r="E22">
        <f>SUMIFS(TRAITEMENTS!$R$2:$R$501,TRAITEMENTS!$Q$2:$Q$501,$K$3,TRAITEMENTS!$F$2:$F$501,A22,TRAITEMENTS!$G$2:$G$501,B22,TRAITEMENTS!$H$2:$H$501,C22)</f>
        <v/>
      </c>
      <c r="F22">
        <f>SUMIFS(TRAITEMENTS!$P$2:$P$501,TRAITEMENTS!$Q$2:$Q$501,$K$3,TRAITEMENTS!$F$2:$F$501,A22,TRAITEMENTS!$G$2:$G$501,B22,TRAITEMENTS!$H$2:$H$501,C22)</f>
        <v/>
      </c>
      <c r="G22">
        <f>SUMIFS(VENTILATION!$K$2:$K$501,VENTILATION!$A$2:$A$501,$K$3,VENTILATION!$C$2:$C$501,A22,VENTILATION!$D$2:$D$501,B22,VENTILATION!$E$2:$E$501,C22)</f>
        <v/>
      </c>
      <c r="H22">
        <f>D22-G22</f>
        <v/>
      </c>
    </row>
    <row r="23">
      <c r="A23" t="inlineStr">
        <is>
          <t>CREATIS</t>
        </is>
      </c>
      <c r="B23" t="inlineStr"/>
      <c r="C23" t="inlineStr"/>
      <c r="D23">
        <f>SUMIFS(TRAITEMENTS!$O$2:$O$501,TRAITEMENTS!$Q$2:$Q$501,$K$3,TRAITEMENTS!$F$2:$F$501,A23,TRAITEMENTS!$G$2:$G$501,B23,TRAITEMENTS!$H$2:$H$501,C23)</f>
        <v/>
      </c>
      <c r="E23">
        <f>SUMIFS(TRAITEMENTS!$R$2:$R$501,TRAITEMENTS!$Q$2:$Q$501,$K$3,TRAITEMENTS!$F$2:$F$501,A23,TRAITEMENTS!$G$2:$G$501,B23,TRAITEMENTS!$H$2:$H$501,C23)</f>
        <v/>
      </c>
      <c r="F23">
        <f>SUMIFS(TRAITEMENTS!$P$2:$P$501,TRAITEMENTS!$Q$2:$Q$501,$K$3,TRAITEMENTS!$F$2:$F$501,A23,TRAITEMENTS!$G$2:$G$501,B23,TRAITEMENTS!$H$2:$H$501,C23)</f>
        <v/>
      </c>
      <c r="G23">
        <f>SUMIFS(VENTILATION!$K$2:$K$501,VENTILATION!$A$2:$A$501,$K$3,VENTILATION!$C$2:$C$501,A23,VENTILATION!$D$2:$D$501,B23,VENTILATION!$E$2:$E$501,C23)</f>
        <v/>
      </c>
      <c r="H23">
        <f>D23-G23</f>
        <v/>
      </c>
    </row>
    <row r="24">
      <c r="A24" t="inlineStr">
        <is>
          <t>CMMABN</t>
        </is>
      </c>
      <c r="B24" t="inlineStr"/>
      <c r="C24" t="inlineStr"/>
      <c r="D24">
        <f>SUMIFS(TRAITEMENTS!$O$2:$O$501,TRAITEMENTS!$Q$2:$Q$501,$K$3,TRAITEMENTS!$F$2:$F$501,A24,TRAITEMENTS!$G$2:$G$501,B24,TRAITEMENTS!$H$2:$H$501,C24)</f>
        <v/>
      </c>
      <c r="E24">
        <f>SUMIFS(TRAITEMENTS!$R$2:$R$501,TRAITEMENTS!$Q$2:$Q$501,$K$3,TRAITEMENTS!$F$2:$F$501,A24,TRAITEMENTS!$G$2:$G$501,B24,TRAITEMENTS!$H$2:$H$501,C24)</f>
        <v/>
      </c>
      <c r="F24">
        <f>SUMIFS(TRAITEMENTS!$P$2:$P$501,TRAITEMENTS!$Q$2:$Q$501,$K$3,TRAITEMENTS!$F$2:$F$501,A24,TRAITEMENTS!$G$2:$G$501,B24,TRAITEMENTS!$H$2:$H$501,C24)</f>
        <v/>
      </c>
      <c r="G24">
        <f>SUMIFS(VENTILATION!$K$2:$K$501,VENTILATION!$A$2:$A$501,$K$3,VENTILATION!$C$2:$C$501,A24,VENTILATION!$D$2:$D$501,B24,VENTILATION!$E$2:$E$501,C24)</f>
        <v/>
      </c>
      <c r="H24">
        <f>D24-G24</f>
        <v/>
      </c>
    </row>
    <row r="25">
      <c r="A25" t="inlineStr">
        <is>
          <t>MONABANQ</t>
        </is>
      </c>
      <c r="B25" t="inlineStr"/>
      <c r="C25" t="inlineStr"/>
      <c r="D25">
        <f>SUMIFS(TRAITEMENTS!$O$2:$O$501,TRAITEMENTS!$Q$2:$Q$501,$K$3,TRAITEMENTS!$F$2:$F$501,A25,TRAITEMENTS!$G$2:$G$501,B25,TRAITEMENTS!$H$2:$H$501,C25)</f>
        <v/>
      </c>
      <c r="E25">
        <f>SUMIFS(TRAITEMENTS!$R$2:$R$501,TRAITEMENTS!$Q$2:$Q$501,$K$3,TRAITEMENTS!$F$2:$F$501,A25,TRAITEMENTS!$G$2:$G$501,B25,TRAITEMENTS!$H$2:$H$501,C25)</f>
        <v/>
      </c>
      <c r="F25">
        <f>SUMIFS(TRAITEMENTS!$P$2:$P$501,TRAITEMENTS!$Q$2:$Q$501,$K$3,TRAITEMENTS!$F$2:$F$501,A25,TRAITEMENTS!$G$2:$G$501,B25,TRAITEMENTS!$H$2:$H$501,C25)</f>
        <v/>
      </c>
      <c r="G25">
        <f>SUMIFS(VENTILATION!$K$2:$K$501,VENTILATION!$A$2:$A$501,$K$3,VENTILATION!$C$2:$C$501,A25,VENTILATION!$D$2:$D$501,B25,VENTILATION!$E$2:$E$501,C25)</f>
        <v/>
      </c>
      <c r="H25">
        <f>D25-G25</f>
        <v/>
      </c>
    </row>
    <row r="26">
      <c r="A26" t="inlineStr">
        <is>
          <t>Bouygues Telecom</t>
        </is>
      </c>
      <c r="B26" t="inlineStr"/>
      <c r="C26" t="inlineStr"/>
      <c r="D26">
        <f>SUMIFS(TRAITEMENTS!$O$2:$O$501,TRAITEMENTS!$Q$2:$Q$501,$K$3,TRAITEMENTS!$F$2:$F$501,A26,TRAITEMENTS!$G$2:$G$501,B26,TRAITEMENTS!$H$2:$H$501,C26)</f>
        <v/>
      </c>
      <c r="E26">
        <f>SUMIFS(TRAITEMENTS!$R$2:$R$501,TRAITEMENTS!$Q$2:$Q$501,$K$3,TRAITEMENTS!$F$2:$F$501,A26,TRAITEMENTS!$G$2:$G$501,B26,TRAITEMENTS!$H$2:$H$501,C26)</f>
        <v/>
      </c>
      <c r="F26">
        <f>SUMIFS(TRAITEMENTS!$P$2:$P$501,TRAITEMENTS!$Q$2:$Q$501,$K$3,TRAITEMENTS!$F$2:$F$501,A26,TRAITEMENTS!$G$2:$G$501,B26,TRAITEMENTS!$H$2:$H$501,C26)</f>
        <v/>
      </c>
      <c r="G26">
        <f>SUMIFS(VENTILATION!$K$2:$K$501,VENTILATION!$A$2:$A$501,$K$3,VENTILATION!$C$2:$C$501,A26,VENTILATION!$D$2:$D$501,B26,VENTILATION!$E$2:$E$501,C26)</f>
        <v/>
      </c>
      <c r="H26">
        <f>D26-G26</f>
        <v/>
      </c>
    </row>
    <row r="27">
      <c r="A27" t="inlineStr">
        <is>
          <t>DIRCOM</t>
        </is>
      </c>
      <c r="B27" t="inlineStr"/>
      <c r="C27" t="inlineStr">
        <is>
          <t>CIC</t>
        </is>
      </c>
      <c r="D27">
        <f>SUMIFS(TRAITEMENTS!$O$2:$O$501,TRAITEMENTS!$Q$2:$Q$501,$K$3,TRAITEMENTS!$F$2:$F$501,A27,TRAITEMENTS!$G$2:$G$501,B27,TRAITEMENTS!$H$2:$H$501,C27)</f>
        <v/>
      </c>
      <c r="E27">
        <f>SUMIFS(TRAITEMENTS!$R$2:$R$501,TRAITEMENTS!$Q$2:$Q$501,$K$3,TRAITEMENTS!$F$2:$F$501,A27,TRAITEMENTS!$G$2:$G$501,B27,TRAITEMENTS!$H$2:$H$501,C27)</f>
        <v/>
      </c>
      <c r="F27">
        <f>SUMIFS(TRAITEMENTS!$P$2:$P$501,TRAITEMENTS!$Q$2:$Q$501,$K$3,TRAITEMENTS!$F$2:$F$501,A27,TRAITEMENTS!$G$2:$G$501,B27,TRAITEMENTS!$H$2:$H$501,C27)</f>
        <v/>
      </c>
      <c r="G27">
        <f>SUMIFS(VENTILATION!$K$2:$K$501,VENTILATION!$A$2:$A$501,$K$3,VENTILATION!$C$2:$C$501,A27,VENTILATION!$D$2:$D$501,B27,VENTILATION!$E$2:$E$501,C27)</f>
        <v/>
      </c>
      <c r="H27">
        <f>D27-G27</f>
        <v/>
      </c>
    </row>
    <row r="28">
      <c r="A28" t="inlineStr">
        <is>
          <t>DIRCOM</t>
        </is>
      </c>
      <c r="B28" t="inlineStr"/>
      <c r="C28" t="inlineStr">
        <is>
          <t>CM</t>
        </is>
      </c>
      <c r="D28">
        <f>SUMIFS(TRAITEMENTS!$O$2:$O$501,TRAITEMENTS!$Q$2:$Q$501,$K$3,TRAITEMENTS!$F$2:$F$501,A28,TRAITEMENTS!$G$2:$G$501,B28,TRAITEMENTS!$H$2:$H$501,C28)</f>
        <v/>
      </c>
      <c r="E28">
        <f>SUMIFS(TRAITEMENTS!$R$2:$R$501,TRAITEMENTS!$Q$2:$Q$501,$K$3,TRAITEMENTS!$F$2:$F$501,A28,TRAITEMENTS!$G$2:$G$501,B28,TRAITEMENTS!$H$2:$H$501,C28)</f>
        <v/>
      </c>
      <c r="F28">
        <f>SUMIFS(TRAITEMENTS!$P$2:$P$501,TRAITEMENTS!$Q$2:$Q$501,$K$3,TRAITEMENTS!$F$2:$F$501,A28,TRAITEMENTS!$G$2:$G$501,B28,TRAITEMENTS!$H$2:$H$501,C28)</f>
        <v/>
      </c>
      <c r="G28">
        <f>SUMIFS(VENTILATION!$K$2:$K$501,VENTILATION!$A$2:$A$501,$K$3,VENTILATION!$C$2:$C$501,A28,VENTILATION!$D$2:$D$501,B28,VENTILATION!$E$2:$E$501,C28)</f>
        <v/>
      </c>
      <c r="H28">
        <f>D28-G28</f>
        <v/>
      </c>
    </row>
    <row r="29">
      <c r="A29" t="inlineStr">
        <is>
          <t>DIRCO</t>
        </is>
      </c>
      <c r="B29" t="inlineStr"/>
      <c r="C29" t="inlineStr">
        <is>
          <t>CIC</t>
        </is>
      </c>
      <c r="D29">
        <f>SUMIFS(TRAITEMENTS!$O$2:$O$501,TRAITEMENTS!$Q$2:$Q$501,$K$3,TRAITEMENTS!$F$2:$F$501,A29,TRAITEMENTS!$G$2:$G$501,B29,TRAITEMENTS!$H$2:$H$501,C29)</f>
        <v/>
      </c>
      <c r="E29">
        <f>SUMIFS(TRAITEMENTS!$R$2:$R$501,TRAITEMENTS!$Q$2:$Q$501,$K$3,TRAITEMENTS!$F$2:$F$501,A29,TRAITEMENTS!$G$2:$G$501,B29,TRAITEMENTS!$H$2:$H$501,C29)</f>
        <v/>
      </c>
      <c r="F29">
        <f>SUMIFS(TRAITEMENTS!$P$2:$P$501,TRAITEMENTS!$Q$2:$Q$501,$K$3,TRAITEMENTS!$F$2:$F$501,A29,TRAITEMENTS!$G$2:$G$501,B29,TRAITEMENTS!$H$2:$H$501,C29)</f>
        <v/>
      </c>
      <c r="G29">
        <f>SUMIFS(VENTILATION!$K$2:$K$501,VENTILATION!$A$2:$A$501,$K$3,VENTILATION!$C$2:$C$501,A29,VENTILATION!$D$2:$D$501,B29,VENTILATION!$E$2:$E$501,C29)</f>
        <v/>
      </c>
      <c r="H29">
        <f>D29-G29</f>
        <v/>
      </c>
    </row>
    <row r="30">
      <c r="A30" t="inlineStr">
        <is>
          <t>DIRCO</t>
        </is>
      </c>
      <c r="B30" t="inlineStr"/>
      <c r="C30" t="inlineStr">
        <is>
          <t>CM</t>
        </is>
      </c>
      <c r="D30">
        <f>SUMIFS(TRAITEMENTS!$O$2:$O$501,TRAITEMENTS!$Q$2:$Q$501,$K$3,TRAITEMENTS!$F$2:$F$501,A30,TRAITEMENTS!$G$2:$G$501,B30,TRAITEMENTS!$H$2:$H$501,C30)</f>
        <v/>
      </c>
      <c r="E30">
        <f>SUMIFS(TRAITEMENTS!$R$2:$R$501,TRAITEMENTS!$Q$2:$Q$501,$K$3,TRAITEMENTS!$F$2:$F$501,A30,TRAITEMENTS!$G$2:$G$501,B30,TRAITEMENTS!$H$2:$H$501,C30)</f>
        <v/>
      </c>
      <c r="F30">
        <f>SUMIFS(TRAITEMENTS!$P$2:$P$501,TRAITEMENTS!$Q$2:$Q$501,$K$3,TRAITEMENTS!$F$2:$F$501,A30,TRAITEMENTS!$G$2:$G$501,B30,TRAITEMENTS!$H$2:$H$501,C30)</f>
        <v/>
      </c>
      <c r="G30">
        <f>SUMIFS(VENTILATION!$K$2:$K$501,VENTILATION!$A$2:$A$501,$K$3,VENTILATION!$C$2:$C$501,A30,VENTILATION!$D$2:$D$501,B30,VENTILATION!$E$2:$E$501,C30)</f>
        <v/>
      </c>
      <c r="H30">
        <f>D30-G30</f>
        <v/>
      </c>
    </row>
    <row r="31">
      <c r="A31" t="inlineStr">
        <is>
          <t>CIC CIB Asset Servicing</t>
        </is>
      </c>
      <c r="B31" t="inlineStr"/>
      <c r="C31" t="inlineStr">
        <is>
          <t>Agence Clientèle Déposée</t>
        </is>
      </c>
      <c r="D31">
        <f>SUMIFS(TRAITEMENTS!$O$2:$O$501,TRAITEMENTS!$Q$2:$Q$501,$K$3,TRAITEMENTS!$F$2:$F$501,A31,TRAITEMENTS!$G$2:$G$501,B31,TRAITEMENTS!$H$2:$H$501,C31)</f>
        <v/>
      </c>
      <c r="E31">
        <f>SUMIFS(TRAITEMENTS!$R$2:$R$501,TRAITEMENTS!$Q$2:$Q$501,$K$3,TRAITEMENTS!$F$2:$F$501,A31,TRAITEMENTS!$G$2:$G$501,B31,TRAITEMENTS!$H$2:$H$501,C31)</f>
        <v/>
      </c>
      <c r="F31">
        <f>SUMIFS(TRAITEMENTS!$P$2:$P$501,TRAITEMENTS!$Q$2:$Q$501,$K$3,TRAITEMENTS!$F$2:$F$501,A31,TRAITEMENTS!$G$2:$G$501,B31,TRAITEMENTS!$H$2:$H$501,C31)</f>
        <v/>
      </c>
      <c r="G31">
        <f>SUMIFS(VENTILATION!$K$2:$K$501,VENTILATION!$A$2:$A$501,$K$3,VENTILATION!$C$2:$C$501,A31,VENTILATION!$D$2:$D$501,B31,VENTILATION!$E$2:$E$501,C31)</f>
        <v/>
      </c>
      <c r="H31">
        <f>D31-G31</f>
        <v/>
      </c>
    </row>
    <row r="32">
      <c r="A32" t="inlineStr">
        <is>
          <t>CMO</t>
        </is>
      </c>
      <c r="B32" t="inlineStr"/>
      <c r="C32" t="inlineStr">
        <is>
          <t>BAD</t>
        </is>
      </c>
      <c r="D32">
        <f>SUMIFS(TRAITEMENTS!$O$2:$O$501,TRAITEMENTS!$Q$2:$Q$501,$K$3,TRAITEMENTS!$F$2:$F$501,A32,TRAITEMENTS!$G$2:$G$501,B32,TRAITEMENTS!$H$2:$H$501,C32)</f>
        <v/>
      </c>
      <c r="E32">
        <f>SUMIFS(TRAITEMENTS!$R$2:$R$501,TRAITEMENTS!$Q$2:$Q$501,$K$3,TRAITEMENTS!$F$2:$F$501,A32,TRAITEMENTS!$G$2:$G$501,B32,TRAITEMENTS!$H$2:$H$501,C32)</f>
        <v/>
      </c>
      <c r="F32">
        <f>SUMIFS(TRAITEMENTS!$P$2:$P$501,TRAITEMENTS!$Q$2:$Q$501,$K$3,TRAITEMENTS!$F$2:$F$501,A32,TRAITEMENTS!$G$2:$G$501,B32,TRAITEMENTS!$H$2:$H$501,C32)</f>
        <v/>
      </c>
      <c r="G32">
        <f>SUMIFS(VENTILATION!$K$2:$K$501,VENTILATION!$A$2:$A$501,$K$3,VENTILATION!$C$2:$C$501,A32,VENTILATION!$D$2:$D$501,B32,VENTILATION!$E$2:$E$501,C32)</f>
        <v/>
      </c>
      <c r="H32">
        <f>D32-G32</f>
        <v/>
      </c>
    </row>
    <row r="33">
      <c r="A33" t="inlineStr">
        <is>
          <t>CMO</t>
        </is>
      </c>
      <c r="B33" t="inlineStr"/>
      <c r="C33" t="inlineStr">
        <is>
          <t>Cartes bancaires</t>
        </is>
      </c>
      <c r="D33">
        <f>SUMIFS(TRAITEMENTS!$O$2:$O$501,TRAITEMENTS!$Q$2:$Q$501,$K$3,TRAITEMENTS!$F$2:$F$501,A33,TRAITEMENTS!$G$2:$G$501,B33,TRAITEMENTS!$H$2:$H$501,C33)</f>
        <v/>
      </c>
      <c r="E33">
        <f>SUMIFS(TRAITEMENTS!$R$2:$R$501,TRAITEMENTS!$Q$2:$Q$501,$K$3,TRAITEMENTS!$F$2:$F$501,A33,TRAITEMENTS!$G$2:$G$501,B33,TRAITEMENTS!$H$2:$H$501,C33)</f>
        <v/>
      </c>
      <c r="F33">
        <f>SUMIFS(TRAITEMENTS!$P$2:$P$501,TRAITEMENTS!$Q$2:$Q$501,$K$3,TRAITEMENTS!$F$2:$F$501,A33,TRAITEMENTS!$G$2:$G$501,B33,TRAITEMENTS!$H$2:$H$501,C33)</f>
        <v/>
      </c>
      <c r="G33">
        <f>SUMIFS(VENTILATION!$K$2:$K$501,VENTILATION!$A$2:$A$501,$K$3,VENTILATION!$C$2:$C$501,A33,VENTILATION!$D$2:$D$501,B33,VENTILATION!$E$2:$E$501,C33)</f>
        <v/>
      </c>
      <c r="H33">
        <f>D33-G33</f>
        <v/>
      </c>
    </row>
    <row r="34">
      <c r="A34" t="inlineStr">
        <is>
          <t>CMO</t>
        </is>
      </c>
      <c r="B34" t="inlineStr"/>
      <c r="C34" t="inlineStr">
        <is>
          <t>Compte courant</t>
        </is>
      </c>
      <c r="D34">
        <f>SUMIFS(TRAITEMENTS!$O$2:$O$501,TRAITEMENTS!$Q$2:$Q$501,$K$3,TRAITEMENTS!$F$2:$F$501,A34,TRAITEMENTS!$G$2:$G$501,B34,TRAITEMENTS!$H$2:$H$501,C34)</f>
        <v/>
      </c>
      <c r="E34">
        <f>SUMIFS(TRAITEMENTS!$R$2:$R$501,TRAITEMENTS!$Q$2:$Q$501,$K$3,TRAITEMENTS!$F$2:$F$501,A34,TRAITEMENTS!$G$2:$G$501,B34,TRAITEMENTS!$H$2:$H$501,C34)</f>
        <v/>
      </c>
      <c r="F34">
        <f>SUMIFS(TRAITEMENTS!$P$2:$P$501,TRAITEMENTS!$Q$2:$Q$501,$K$3,TRAITEMENTS!$F$2:$F$501,A34,TRAITEMENTS!$G$2:$G$501,B34,TRAITEMENTS!$H$2:$H$501,C34)</f>
        <v/>
      </c>
      <c r="G34">
        <f>SUMIFS(VENTILATION!$K$2:$K$501,VENTILATION!$A$2:$A$501,$K$3,VENTILATION!$C$2:$C$501,A34,VENTILATION!$D$2:$D$501,B34,VENTILATION!$E$2:$E$501,C34)</f>
        <v/>
      </c>
      <c r="H34">
        <f>D34-G34</f>
        <v/>
      </c>
    </row>
    <row r="35">
      <c r="A35" t="inlineStr">
        <is>
          <t>CMO</t>
        </is>
      </c>
      <c r="B35" t="inlineStr"/>
      <c r="C35" t="inlineStr">
        <is>
          <t>Épargne bancaire</t>
        </is>
      </c>
      <c r="D35">
        <f>SUMIFS(TRAITEMENTS!$O$2:$O$501,TRAITEMENTS!$Q$2:$Q$501,$K$3,TRAITEMENTS!$F$2:$F$501,A35,TRAITEMENTS!$G$2:$G$501,B35,TRAITEMENTS!$H$2:$H$501,C35)</f>
        <v/>
      </c>
      <c r="E35">
        <f>SUMIFS(TRAITEMENTS!$R$2:$R$501,TRAITEMENTS!$Q$2:$Q$501,$K$3,TRAITEMENTS!$F$2:$F$501,A35,TRAITEMENTS!$G$2:$G$501,B35,TRAITEMENTS!$H$2:$H$501,C35)</f>
        <v/>
      </c>
      <c r="F35">
        <f>SUMIFS(TRAITEMENTS!$P$2:$P$501,TRAITEMENTS!$Q$2:$Q$501,$K$3,TRAITEMENTS!$F$2:$F$501,A35,TRAITEMENTS!$G$2:$G$501,B35,TRAITEMENTS!$H$2:$H$501,C35)</f>
        <v/>
      </c>
      <c r="G35">
        <f>SUMIFS(VENTILATION!$K$2:$K$501,VENTILATION!$A$2:$A$501,$K$3,VENTILATION!$C$2:$C$501,A35,VENTILATION!$D$2:$D$501,B35,VENTILATION!$E$2:$E$501,C35)</f>
        <v/>
      </c>
      <c r="H35">
        <f>D35-G35</f>
        <v/>
      </c>
    </row>
    <row r="36">
      <c r="A36" t="inlineStr">
        <is>
          <t>CMO</t>
        </is>
      </c>
      <c r="B36" t="inlineStr"/>
      <c r="C36" t="inlineStr">
        <is>
          <t>Épargne financière</t>
        </is>
      </c>
      <c r="D36">
        <f>SUMIFS(TRAITEMENTS!$O$2:$O$501,TRAITEMENTS!$Q$2:$Q$501,$K$3,TRAITEMENTS!$F$2:$F$501,A36,TRAITEMENTS!$G$2:$G$501,B36,TRAITEMENTS!$H$2:$H$501,C36)</f>
        <v/>
      </c>
      <c r="E36">
        <f>SUMIFS(TRAITEMENTS!$R$2:$R$501,TRAITEMENTS!$Q$2:$Q$501,$K$3,TRAITEMENTS!$F$2:$F$501,A36,TRAITEMENTS!$G$2:$G$501,B36,TRAITEMENTS!$H$2:$H$501,C36)</f>
        <v/>
      </c>
      <c r="F36">
        <f>SUMIFS(TRAITEMENTS!$P$2:$P$501,TRAITEMENTS!$Q$2:$Q$501,$K$3,TRAITEMENTS!$F$2:$F$501,A36,TRAITEMENTS!$G$2:$G$501,B36,TRAITEMENTS!$H$2:$H$501,C36)</f>
        <v/>
      </c>
      <c r="G36">
        <f>SUMIFS(VENTILATION!$K$2:$K$501,VENTILATION!$A$2:$A$501,$K$3,VENTILATION!$C$2:$C$501,A36,VENTILATION!$D$2:$D$501,B36,VENTILATION!$E$2:$E$501,C36)</f>
        <v/>
      </c>
      <c r="H36">
        <f>D36-G36</f>
        <v/>
      </c>
    </row>
    <row r="37">
      <c r="A37" t="inlineStr">
        <is>
          <t>CMO</t>
        </is>
      </c>
      <c r="B37" t="inlineStr"/>
      <c r="C37" t="inlineStr">
        <is>
          <t>Packages</t>
        </is>
      </c>
      <c r="D37">
        <f>SUMIFS(TRAITEMENTS!$O$2:$O$501,TRAITEMENTS!$Q$2:$Q$501,$K$3,TRAITEMENTS!$F$2:$F$501,A37,TRAITEMENTS!$G$2:$G$501,B37,TRAITEMENTS!$H$2:$H$501,C37)</f>
        <v/>
      </c>
      <c r="E37">
        <f>SUMIFS(TRAITEMENTS!$R$2:$R$501,TRAITEMENTS!$Q$2:$Q$501,$K$3,TRAITEMENTS!$F$2:$F$501,A37,TRAITEMENTS!$G$2:$G$501,B37,TRAITEMENTS!$H$2:$H$501,C37)</f>
        <v/>
      </c>
      <c r="F37">
        <f>SUMIFS(TRAITEMENTS!$P$2:$P$501,TRAITEMENTS!$Q$2:$Q$501,$K$3,TRAITEMENTS!$F$2:$F$501,A37,TRAITEMENTS!$G$2:$G$501,B37,TRAITEMENTS!$H$2:$H$501,C37)</f>
        <v/>
      </c>
      <c r="G37">
        <f>SUMIFS(VENTILATION!$K$2:$K$501,VENTILATION!$A$2:$A$501,$K$3,VENTILATION!$C$2:$C$501,A37,VENTILATION!$D$2:$D$501,B37,VENTILATION!$E$2:$E$501,C37)</f>
        <v/>
      </c>
      <c r="H37">
        <f>D37-G37</f>
        <v/>
      </c>
    </row>
    <row r="38">
      <c r="A38" t="inlineStr">
        <is>
          <t>CMO</t>
        </is>
      </c>
      <c r="B38" t="inlineStr"/>
      <c r="C38" t="inlineStr">
        <is>
          <t>Tarif</t>
        </is>
      </c>
      <c r="D38">
        <f>SUMIFS(TRAITEMENTS!$O$2:$O$501,TRAITEMENTS!$Q$2:$Q$501,$K$3,TRAITEMENTS!$F$2:$F$501,A38,TRAITEMENTS!$G$2:$G$501,B38,TRAITEMENTS!$H$2:$H$501,C38)</f>
        <v/>
      </c>
      <c r="E38">
        <f>SUMIFS(TRAITEMENTS!$R$2:$R$501,TRAITEMENTS!$Q$2:$Q$501,$K$3,TRAITEMENTS!$F$2:$F$501,A38,TRAITEMENTS!$G$2:$G$501,B38,TRAITEMENTS!$H$2:$H$501,C38)</f>
        <v/>
      </c>
      <c r="F38">
        <f>SUMIFS(TRAITEMENTS!$P$2:$P$501,TRAITEMENTS!$Q$2:$Q$501,$K$3,TRAITEMENTS!$F$2:$F$501,A38,TRAITEMENTS!$G$2:$G$501,B38,TRAITEMENTS!$H$2:$H$501,C38)</f>
        <v/>
      </c>
      <c r="G38">
        <f>SUMIFS(VENTILATION!$K$2:$K$501,VENTILATION!$A$2:$A$501,$K$3,VENTILATION!$C$2:$C$501,A38,VENTILATION!$D$2:$D$501,B38,VENTILATION!$E$2:$E$501,C38)</f>
        <v/>
      </c>
      <c r="H38">
        <f>D38-G38</f>
        <v/>
      </c>
    </row>
  </sheetData>
  <autoFilter ref="A1:H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2" customHeight="1">
      <c r="A1" s="1" t="inlineStr">
        <is>
          <t>Indicateur</t>
        </is>
      </c>
      <c r="B1" s="1" t="inlineStr">
        <is>
          <t>Valeur</t>
        </is>
      </c>
      <c r="D1" t="inlineStr">
        <is>
          <t>Année</t>
        </is>
      </c>
      <c r="E1" t="n">
        <v>2026</v>
      </c>
      <c r="F1" t="inlineStr">
        <is>
          <t>Heures théoriques communes</t>
        </is>
      </c>
      <c r="G1" t="n">
        <v>0</v>
      </c>
    </row>
    <row r="2">
      <c r="A2" t="inlineStr">
        <is>
          <t>Heures connectées</t>
        </is>
      </c>
      <c r="B2">
        <f>SUMIFS(CONNEXIONS!C2:C501,CONNEXIONS!D2:D501,E1*100+E2)</f>
        <v/>
      </c>
      <c r="D2" t="inlineStr">
        <is>
          <t>Mois</t>
        </is>
      </c>
      <c r="E2" t="n">
        <v>10</v>
      </c>
    </row>
    <row r="3">
      <c r="A3" t="inlineStr">
        <is>
          <t>Heures facturables</t>
        </is>
      </c>
      <c r="B3">
        <f>SUMIFS(TRAITEMENTS!O2:O501,TRAITEMENTS!Q2:Q501,E1*100+E2)</f>
        <v/>
      </c>
    </row>
    <row r="4">
      <c r="A4" t="inlineStr">
        <is>
          <t>Non facturables</t>
        </is>
      </c>
      <c r="B4">
        <f>SUMIFS(TRAITEMENTS!P2:P501,TRAITEMENTS!Q2:Q501,E1*100+E2)</f>
        <v/>
      </c>
    </row>
    <row r="5">
      <c r="A5" t="inlineStr">
        <is>
          <t>Actes</t>
        </is>
      </c>
      <c r="B5">
        <f>SUMIFS(TRAITEMENTS!R2:R501,TRAITEMENTS!Q2:Q501,E1*100+E2)</f>
        <v/>
      </c>
      <c r="D5" t="inlineStr">
        <is>
          <t>Entité</t>
        </is>
      </c>
      <c r="E5" t="inlineStr">
        <is>
          <t>Facturables</t>
        </is>
      </c>
      <c r="F5" t="inlineStr">
        <is>
          <t>Connectées ventilées</t>
        </is>
      </c>
      <c r="G5" t="inlineStr">
        <is>
          <t>Actes</t>
        </is>
      </c>
      <c r="H5" t="inlineStr">
        <is>
          <t>Écart</t>
        </is>
      </c>
      <c r="I5" t="inlineStr">
        <is>
          <t>Couverture</t>
        </is>
      </c>
    </row>
    <row r="6">
      <c r="A6" t="inlineStr">
        <is>
          <t>Écart</t>
        </is>
      </c>
      <c r="B6">
        <f>B3-B2</f>
        <v/>
      </c>
      <c r="D6" t="inlineStr">
        <is>
          <t>ACM</t>
        </is>
      </c>
      <c r="E6">
        <f>SUMIFS(TRAITEMENTS!O2:O501,TRAITEMENTS!Q2:Q501,$E$1*100+$E$2,TRAITEMENTS!F2:F501,D6)</f>
        <v/>
      </c>
      <c r="F6">
        <f>SUMIFS(VENTILATION!K2:K501,VENTILATION!A2:A501,$E$1*100+$E$2,VENTILATION!C2:C501,D6)</f>
        <v/>
      </c>
      <c r="G6">
        <f>SUMIFS(TRAITEMENTS!R2:R501,TRAITEMENTS!Q2:Q501,$E$1*100+$E$2,TRAITEMENTS!F2:F501,D6)</f>
        <v/>
      </c>
      <c r="H6">
        <f>E6-F6</f>
        <v/>
      </c>
      <c r="I6" s="4">
        <f>IFERROR(E6/F6,0)</f>
        <v/>
      </c>
    </row>
    <row r="7">
      <c r="A7" t="inlineStr">
        <is>
          <t>ETP connectés</t>
        </is>
      </c>
      <c r="B7">
        <f>IFERROR(B2/G1,0)</f>
        <v/>
      </c>
      <c r="D7" t="inlineStr">
        <is>
          <t>COFIDIS France</t>
        </is>
      </c>
      <c r="E7">
        <f>SUMIFS(TRAITEMENTS!O2:O501,TRAITEMENTS!Q2:Q501,$E$1*100+$E$2,TRAITEMENTS!F2:F501,D7)</f>
        <v/>
      </c>
      <c r="F7">
        <f>SUMIFS(VENTILATION!K2:K501,VENTILATION!A2:A501,$E$1*100+$E$2,VENTILATION!C2:C501,D7)</f>
        <v/>
      </c>
      <c r="G7">
        <f>SUMIFS(TRAITEMENTS!R2:R501,TRAITEMENTS!Q2:Q501,$E$1*100+$E$2,TRAITEMENTS!F2:F501,D7)</f>
        <v/>
      </c>
      <c r="H7">
        <f>E7-F7</f>
        <v/>
      </c>
      <c r="I7" s="4">
        <f>IFERROR(E7/F7,0)</f>
        <v/>
      </c>
    </row>
    <row r="8">
      <c r="A8" t="inlineStr">
        <is>
          <t>ETP facturables</t>
        </is>
      </c>
      <c r="B8">
        <f>IFERROR(B3/G1,0)</f>
        <v/>
      </c>
      <c r="D8" t="inlineStr">
        <is>
          <t>CONTRATHEQUE</t>
        </is>
      </c>
      <c r="E8">
        <f>SUMIFS(TRAITEMENTS!O2:O501,TRAITEMENTS!Q2:Q501,$E$1*100+$E$2,TRAITEMENTS!F2:F501,D8)</f>
        <v/>
      </c>
      <c r="F8">
        <f>SUMIFS(VENTILATION!K2:K501,VENTILATION!A2:A501,$E$1*100+$E$2,VENTILATION!C2:C501,D8)</f>
        <v/>
      </c>
      <c r="G8">
        <f>SUMIFS(TRAITEMENTS!R2:R501,TRAITEMENTS!Q2:Q501,$E$1*100+$E$2,TRAITEMENTS!F2:F501,D8)</f>
        <v/>
      </c>
      <c r="H8">
        <f>E8-F8</f>
        <v/>
      </c>
      <c r="I8" s="4">
        <f>IFERROR(E8/F8,0)</f>
        <v/>
      </c>
    </row>
    <row r="9">
      <c r="A9" t="inlineStr">
        <is>
          <t>Écart ETP</t>
        </is>
      </c>
      <c r="B9">
        <f>B8-B7</f>
        <v/>
      </c>
      <c r="D9" t="inlineStr">
        <is>
          <t>CREATIS</t>
        </is>
      </c>
      <c r="E9">
        <f>SUMIFS(TRAITEMENTS!O2:O501,TRAITEMENTS!Q2:Q501,$E$1*100+$E$2,TRAITEMENTS!F2:F501,D9)</f>
        <v/>
      </c>
      <c r="F9">
        <f>SUMIFS(VENTILATION!K2:K501,VENTILATION!A2:A501,$E$1*100+$E$2,VENTILATION!C2:C501,D9)</f>
        <v/>
      </c>
      <c r="G9">
        <f>SUMIFS(TRAITEMENTS!R2:R501,TRAITEMENTS!Q2:Q501,$E$1*100+$E$2,TRAITEMENTS!F2:F501,D9)</f>
        <v/>
      </c>
      <c r="H9">
        <f>E9-F9</f>
        <v/>
      </c>
      <c r="I9" s="4">
        <f>IFERROR(E9/F9,0)</f>
        <v/>
      </c>
    </row>
    <row r="10">
      <c r="A10" t="inlineStr">
        <is>
          <t>Taux couverture</t>
        </is>
      </c>
      <c r="B10" s="4">
        <f>IFERROR(B3/B2,0)</f>
        <v/>
      </c>
      <c r="D10" t="inlineStr">
        <is>
          <t>CMMABN</t>
        </is>
      </c>
      <c r="E10">
        <f>SUMIFS(TRAITEMENTS!O2:O501,TRAITEMENTS!Q2:Q501,$E$1*100+$E$2,TRAITEMENTS!F2:F501,D10)</f>
        <v/>
      </c>
      <c r="F10">
        <f>SUMIFS(VENTILATION!K2:K501,VENTILATION!A2:A501,$E$1*100+$E$2,VENTILATION!C2:C501,D10)</f>
        <v/>
      </c>
      <c r="G10">
        <f>SUMIFS(TRAITEMENTS!R2:R501,TRAITEMENTS!Q2:Q501,$E$1*100+$E$2,TRAITEMENTS!F2:F501,D10)</f>
        <v/>
      </c>
      <c r="H10">
        <f>E10-F10</f>
        <v/>
      </c>
      <c r="I10" s="4">
        <f>IFERROR(E10/F10,0)</f>
        <v/>
      </c>
    </row>
    <row r="11">
      <c r="D11" t="inlineStr">
        <is>
          <t>MONABANQ</t>
        </is>
      </c>
      <c r="E11">
        <f>SUMIFS(TRAITEMENTS!O2:O501,TRAITEMENTS!Q2:Q501,$E$1*100+$E$2,TRAITEMENTS!F2:F501,D11)</f>
        <v/>
      </c>
      <c r="F11">
        <f>SUMIFS(VENTILATION!K2:K501,VENTILATION!A2:A501,$E$1*100+$E$2,VENTILATION!C2:C501,D11)</f>
        <v/>
      </c>
      <c r="G11">
        <f>SUMIFS(TRAITEMENTS!R2:R501,TRAITEMENTS!Q2:Q501,$E$1*100+$E$2,TRAITEMENTS!F2:F501,D11)</f>
        <v/>
      </c>
      <c r="H11">
        <f>E11-F11</f>
        <v/>
      </c>
      <c r="I11" s="4">
        <f>IFERROR(E11/F11,0)</f>
        <v/>
      </c>
    </row>
    <row r="12">
      <c r="D12" t="inlineStr">
        <is>
          <t>Bouygues Telecom</t>
        </is>
      </c>
      <c r="E12">
        <f>SUMIFS(TRAITEMENTS!O2:O501,TRAITEMENTS!Q2:Q501,$E$1*100+$E$2,TRAITEMENTS!F2:F501,D12)</f>
        <v/>
      </c>
      <c r="F12">
        <f>SUMIFS(VENTILATION!K2:K501,VENTILATION!A2:A501,$E$1*100+$E$2,VENTILATION!C2:C501,D12)</f>
        <v/>
      </c>
      <c r="G12">
        <f>SUMIFS(TRAITEMENTS!R2:R501,TRAITEMENTS!Q2:Q501,$E$1*100+$E$2,TRAITEMENTS!F2:F501,D12)</f>
        <v/>
      </c>
      <c r="H12">
        <f>E12-F12</f>
        <v/>
      </c>
      <c r="I12" s="4">
        <f>IFERROR(E12/F12,0)</f>
        <v/>
      </c>
    </row>
    <row r="13">
      <c r="D13" t="inlineStr">
        <is>
          <t>DIRCOM</t>
        </is>
      </c>
      <c r="E13">
        <f>SUMIFS(TRAITEMENTS!O2:O501,TRAITEMENTS!Q2:Q501,$E$1*100+$E$2,TRAITEMENTS!F2:F501,D13)</f>
        <v/>
      </c>
      <c r="F13">
        <f>SUMIFS(VENTILATION!K2:K501,VENTILATION!A2:A501,$E$1*100+$E$2,VENTILATION!C2:C501,D13)</f>
        <v/>
      </c>
      <c r="G13">
        <f>SUMIFS(TRAITEMENTS!R2:R501,TRAITEMENTS!Q2:Q501,$E$1*100+$E$2,TRAITEMENTS!F2:F501,D13)</f>
        <v/>
      </c>
      <c r="H13">
        <f>E13-F13</f>
        <v/>
      </c>
      <c r="I13" s="4">
        <f>IFERROR(E13/F13,0)</f>
        <v/>
      </c>
    </row>
    <row r="14">
      <c r="D14" t="inlineStr">
        <is>
          <t>DIRCO</t>
        </is>
      </c>
      <c r="E14">
        <f>SUMIFS(TRAITEMENTS!O2:O501,TRAITEMENTS!Q2:Q501,$E$1*100+$E$2,TRAITEMENTS!F2:F501,D14)</f>
        <v/>
      </c>
      <c r="F14">
        <f>SUMIFS(VENTILATION!K2:K501,VENTILATION!A2:A501,$E$1*100+$E$2,VENTILATION!C2:C501,D14)</f>
        <v/>
      </c>
      <c r="G14">
        <f>SUMIFS(TRAITEMENTS!R2:R501,TRAITEMENTS!Q2:Q501,$E$1*100+$E$2,TRAITEMENTS!F2:F501,D14)</f>
        <v/>
      </c>
      <c r="H14">
        <f>E14-F14</f>
        <v/>
      </c>
      <c r="I14" s="4">
        <f>IFERROR(E14/F14,0)</f>
        <v/>
      </c>
    </row>
    <row r="15">
      <c r="D15" t="inlineStr">
        <is>
          <t>CIC CIB Asset Servicing</t>
        </is>
      </c>
      <c r="E15">
        <f>SUMIFS(TRAITEMENTS!O2:O501,TRAITEMENTS!Q2:Q501,$E$1*100+$E$2,TRAITEMENTS!F2:F501,D15)</f>
        <v/>
      </c>
      <c r="F15">
        <f>SUMIFS(VENTILATION!K2:K501,VENTILATION!A2:A501,$E$1*100+$E$2,VENTILATION!C2:C501,D15)</f>
        <v/>
      </c>
      <c r="G15">
        <f>SUMIFS(TRAITEMENTS!R2:R501,TRAITEMENTS!Q2:Q501,$E$1*100+$E$2,TRAITEMENTS!F2:F501,D15)</f>
        <v/>
      </c>
      <c r="H15">
        <f>E15-F15</f>
        <v/>
      </c>
      <c r="I15" s="4">
        <f>IFERROR(E15/F15,0)</f>
        <v/>
      </c>
    </row>
    <row r="16">
      <c r="D16" t="inlineStr">
        <is>
          <t>CMO</t>
        </is>
      </c>
      <c r="E16">
        <f>SUMIFS(TRAITEMENTS!O2:O501,TRAITEMENTS!Q2:Q501,$E$1*100+$E$2,TRAITEMENTS!F2:F501,D16)</f>
        <v/>
      </c>
      <c r="F16">
        <f>SUMIFS(VENTILATION!K2:K501,VENTILATION!A2:A501,$E$1*100+$E$2,VENTILATION!C2:C501,D16)</f>
        <v/>
      </c>
      <c r="G16">
        <f>SUMIFS(TRAITEMENTS!R2:R501,TRAITEMENTS!Q2:Q501,$E$1*100+$E$2,TRAITEMENTS!F2:F501,D16)</f>
        <v/>
      </c>
      <c r="H16">
        <f>E16-F16</f>
        <v/>
      </c>
      <c r="I16" s="4">
        <f>IFERROR(E16/F16,0)</f>
        <v/>
      </c>
    </row>
    <row r="21">
      <c r="D21" t="inlineStr">
        <is>
          <t>Collaborateur</t>
        </is>
      </c>
      <c r="E21" t="inlineStr">
        <is>
          <t>Facturables</t>
        </is>
      </c>
      <c r="F21" t="inlineStr">
        <is>
          <t>Connectées</t>
        </is>
      </c>
      <c r="G21" t="inlineStr">
        <is>
          <t>Écart</t>
        </is>
      </c>
    </row>
    <row r="22">
      <c r="D22">
        <f>COLLABORATEURS!A2</f>
        <v/>
      </c>
      <c r="E22">
        <f>SUMIFS(TRAITEMENTS!O2:O501,TRAITEMENTS!Q2:Q501,$E$1*100+$E$2,TRAITEMENTS!E2:E501,D22)</f>
        <v/>
      </c>
      <c r="F22">
        <f>SUMIFS(CONNEXIONS!C2:C501,CONNEXIONS!D2:D501,$E$1*100+$E$2,CONNEXIONS!B2:B501,D22)</f>
        <v/>
      </c>
      <c r="G22">
        <f>E22-F22</f>
        <v/>
      </c>
    </row>
    <row r="23">
      <c r="D23">
        <f>COLLABORATEURS!A3</f>
        <v/>
      </c>
      <c r="E23">
        <f>SUMIFS(TRAITEMENTS!O2:O501,TRAITEMENTS!Q2:Q501,$E$1*100+$E$2,TRAITEMENTS!E2:E501,D23)</f>
        <v/>
      </c>
      <c r="F23">
        <f>SUMIFS(CONNEXIONS!C2:C501,CONNEXIONS!D2:D501,$E$1*100+$E$2,CONNEXIONS!B2:B501,D23)</f>
        <v/>
      </c>
      <c r="G23">
        <f>E23-F23</f>
        <v/>
      </c>
    </row>
    <row r="24">
      <c r="D24">
        <f>COLLABORATEURS!A4</f>
        <v/>
      </c>
      <c r="E24">
        <f>SUMIFS(TRAITEMENTS!O2:O501,TRAITEMENTS!Q2:Q501,$E$1*100+$E$2,TRAITEMENTS!E2:E501,D24)</f>
        <v/>
      </c>
      <c r="F24">
        <f>SUMIFS(CONNEXIONS!C2:C501,CONNEXIONS!D2:D501,$E$1*100+$E$2,CONNEXIONS!B2:B501,D24)</f>
        <v/>
      </c>
      <c r="G24">
        <f>E24-F24</f>
        <v/>
      </c>
    </row>
    <row r="25">
      <c r="D25">
        <f>COLLABORATEURS!A5</f>
        <v/>
      </c>
      <c r="E25">
        <f>SUMIFS(TRAITEMENTS!O2:O501,TRAITEMENTS!Q2:Q501,$E$1*100+$E$2,TRAITEMENTS!E2:E501,D25)</f>
        <v/>
      </c>
      <c r="F25">
        <f>SUMIFS(CONNEXIONS!C2:C501,CONNEXIONS!D2:D501,$E$1*100+$E$2,CONNEXIONS!B2:B501,D25)</f>
        <v/>
      </c>
      <c r="G25">
        <f>E25-F25</f>
        <v/>
      </c>
    </row>
  </sheetData>
  <autoFilter ref="A1:B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2" customHeight="1">
      <c r="A1" s="1" t="inlineStr">
        <is>
          <t>Année</t>
        </is>
      </c>
      <c r="B1" s="1" t="inlineStr">
        <is>
          <t>Mois</t>
        </is>
      </c>
      <c r="C1" s="1" t="inlineStr">
        <is>
          <t>Connectées</t>
        </is>
      </c>
      <c r="D1" s="1" t="inlineStr">
        <is>
          <t>Facturables</t>
        </is>
      </c>
      <c r="E1" s="1" t="inlineStr">
        <is>
          <t>Actes</t>
        </is>
      </c>
      <c r="F1" s="1" t="inlineStr">
        <is>
          <t>Non facturables</t>
        </is>
      </c>
      <c r="G1" s="1" t="inlineStr">
        <is>
          <t>Écart</t>
        </is>
      </c>
    </row>
    <row r="2">
      <c r="A2" t="n">
        <v>2026</v>
      </c>
      <c r="B2" t="n">
        <v>10</v>
      </c>
      <c r="C2">
        <f>'2026_10'!K5</f>
        <v/>
      </c>
      <c r="D2">
        <f>'2026_10'!K6</f>
        <v/>
      </c>
      <c r="E2">
        <f>'2026_10'!K7</f>
        <v/>
      </c>
      <c r="F2">
        <f>'2026_10'!K8</f>
        <v/>
      </c>
      <c r="G2">
        <f>'2026_10'!K9</f>
        <v/>
      </c>
    </row>
    <row r="3">
      <c r="A3" t="n">
        <v>2026</v>
      </c>
      <c r="B3" t="n">
        <v>11</v>
      </c>
      <c r="C3">
        <f>'2026_11'!K5</f>
        <v/>
      </c>
      <c r="D3">
        <f>'2026_11'!K6</f>
        <v/>
      </c>
      <c r="E3">
        <f>'2026_11'!K7</f>
        <v/>
      </c>
      <c r="F3">
        <f>'2026_11'!K8</f>
        <v/>
      </c>
      <c r="G3">
        <f>'2026_11'!K9</f>
        <v/>
      </c>
    </row>
    <row r="4">
      <c r="A4" t="n">
        <v>2026</v>
      </c>
      <c r="B4" t="n">
        <v>12</v>
      </c>
      <c r="C4">
        <f>'2026_12'!K5</f>
        <v/>
      </c>
      <c r="D4">
        <f>'2026_12'!K6</f>
        <v/>
      </c>
      <c r="E4">
        <f>'2026_12'!K7</f>
        <v/>
      </c>
      <c r="F4">
        <f>'2026_12'!K8</f>
        <v/>
      </c>
      <c r="G4">
        <f>'2026_12'!K9</f>
        <v/>
      </c>
    </row>
    <row r="5">
      <c r="A5" t="n">
        <v>2027</v>
      </c>
      <c r="B5" t="n">
        <v>1</v>
      </c>
      <c r="C5">
        <f>'2027_01'!K5</f>
        <v/>
      </c>
      <c r="D5">
        <f>'2027_01'!K6</f>
        <v/>
      </c>
      <c r="E5">
        <f>'2027_01'!K7</f>
        <v/>
      </c>
      <c r="F5">
        <f>'2027_01'!K8</f>
        <v/>
      </c>
      <c r="G5">
        <f>'2027_01'!K9</f>
        <v/>
      </c>
    </row>
    <row r="6">
      <c r="A6" t="n">
        <v>2027</v>
      </c>
      <c r="B6" t="n">
        <v>2</v>
      </c>
      <c r="C6">
        <f>'2027_02'!K5</f>
        <v/>
      </c>
      <c r="D6">
        <f>'2027_02'!K6</f>
        <v/>
      </c>
      <c r="E6">
        <f>'2027_02'!K7</f>
        <v/>
      </c>
      <c r="F6">
        <f>'2027_02'!K8</f>
        <v/>
      </c>
      <c r="G6">
        <f>'2027_02'!K9</f>
        <v/>
      </c>
    </row>
    <row r="7">
      <c r="A7" t="n">
        <v>2027</v>
      </c>
      <c r="B7" t="n">
        <v>3</v>
      </c>
      <c r="C7">
        <f>'2027_03'!K5</f>
        <v/>
      </c>
      <c r="D7">
        <f>'2027_03'!K6</f>
        <v/>
      </c>
      <c r="E7">
        <f>'2027_03'!K7</f>
        <v/>
      </c>
      <c r="F7">
        <f>'2027_03'!K8</f>
        <v/>
      </c>
      <c r="G7">
        <f>'2027_03'!K9</f>
        <v/>
      </c>
    </row>
    <row r="8">
      <c r="A8" t="n">
        <v>2027</v>
      </c>
      <c r="B8" t="n">
        <v>4</v>
      </c>
      <c r="C8">
        <f>'2027_04'!K5</f>
        <v/>
      </c>
      <c r="D8">
        <f>'2027_04'!K6</f>
        <v/>
      </c>
      <c r="E8">
        <f>'2027_04'!K7</f>
        <v/>
      </c>
      <c r="F8">
        <f>'2027_04'!K8</f>
        <v/>
      </c>
      <c r="G8">
        <f>'2027_04'!K9</f>
        <v/>
      </c>
    </row>
    <row r="9">
      <c r="A9" t="n">
        <v>2027</v>
      </c>
      <c r="B9" t="n">
        <v>5</v>
      </c>
      <c r="C9">
        <f>'2027_05'!K5</f>
        <v/>
      </c>
      <c r="D9">
        <f>'2027_05'!K6</f>
        <v/>
      </c>
      <c r="E9">
        <f>'2027_05'!K7</f>
        <v/>
      </c>
      <c r="F9">
        <f>'2027_05'!K8</f>
        <v/>
      </c>
      <c r="G9">
        <f>'2027_05'!K9</f>
        <v/>
      </c>
    </row>
    <row r="10">
      <c r="A10" t="n">
        <v>2027</v>
      </c>
      <c r="B10" t="n">
        <v>6</v>
      </c>
      <c r="C10">
        <f>'2027_06'!K5</f>
        <v/>
      </c>
      <c r="D10">
        <f>'2027_06'!K6</f>
        <v/>
      </c>
      <c r="E10">
        <f>'2027_06'!K7</f>
        <v/>
      </c>
      <c r="F10">
        <f>'2027_06'!K8</f>
        <v/>
      </c>
      <c r="G10">
        <f>'2027_06'!K9</f>
        <v/>
      </c>
    </row>
    <row r="11">
      <c r="A11" t="n">
        <v>2027</v>
      </c>
      <c r="B11" t="n">
        <v>7</v>
      </c>
      <c r="C11">
        <f>'2027_07'!K5</f>
        <v/>
      </c>
      <c r="D11">
        <f>'2027_07'!K6</f>
        <v/>
      </c>
      <c r="E11">
        <f>'2027_07'!K7</f>
        <v/>
      </c>
      <c r="F11">
        <f>'2027_07'!K8</f>
        <v/>
      </c>
      <c r="G11">
        <f>'2027_07'!K9</f>
        <v/>
      </c>
    </row>
    <row r="12">
      <c r="A12" t="n">
        <v>2027</v>
      </c>
      <c r="B12" t="n">
        <v>8</v>
      </c>
      <c r="C12">
        <f>'2027_08'!K5</f>
        <v/>
      </c>
      <c r="D12">
        <f>'2027_08'!K6</f>
        <v/>
      </c>
      <c r="E12">
        <f>'2027_08'!K7</f>
        <v/>
      </c>
      <c r="F12">
        <f>'2027_08'!K8</f>
        <v/>
      </c>
      <c r="G12">
        <f>'2027_08'!K9</f>
        <v/>
      </c>
    </row>
    <row r="13">
      <c r="A13" t="n">
        <v>2027</v>
      </c>
      <c r="B13" t="n">
        <v>9</v>
      </c>
      <c r="C13">
        <f>'2027_09'!K5</f>
        <v/>
      </c>
      <c r="D13">
        <f>'2027_09'!K6</f>
        <v/>
      </c>
      <c r="E13">
        <f>'2027_09'!K7</f>
        <v/>
      </c>
      <c r="F13">
        <f>'2027_09'!K8</f>
        <v/>
      </c>
      <c r="G13">
        <f>'2027_09'!K9</f>
        <v/>
      </c>
    </row>
    <row r="14">
      <c r="A14" t="n">
        <v>2027</v>
      </c>
      <c r="B14" t="n">
        <v>10</v>
      </c>
      <c r="C14">
        <f>'2027_10'!K5</f>
        <v/>
      </c>
      <c r="D14">
        <f>'2027_10'!K6</f>
        <v/>
      </c>
      <c r="E14">
        <f>'2027_10'!K7</f>
        <v/>
      </c>
      <c r="F14">
        <f>'2027_10'!K8</f>
        <v/>
      </c>
      <c r="G14">
        <f>'2027_10'!K9</f>
        <v/>
      </c>
    </row>
    <row r="15">
      <c r="A15" t="n">
        <v>2027</v>
      </c>
      <c r="B15" t="n">
        <v>11</v>
      </c>
      <c r="C15">
        <f>'2027_11'!K5</f>
        <v/>
      </c>
      <c r="D15">
        <f>'2027_11'!K6</f>
        <v/>
      </c>
      <c r="E15">
        <f>'2027_11'!K7</f>
        <v/>
      </c>
      <c r="F15">
        <f>'2027_11'!K8</f>
        <v/>
      </c>
      <c r="G15">
        <f>'2027_11'!K9</f>
        <v/>
      </c>
    </row>
    <row r="16">
      <c r="A16" t="n">
        <v>2027</v>
      </c>
      <c r="B16" t="n">
        <v>12</v>
      </c>
      <c r="C16">
        <f>'2027_12'!K5</f>
        <v/>
      </c>
      <c r="D16">
        <f>'2027_12'!K6</f>
        <v/>
      </c>
      <c r="E16">
        <f>'2027_12'!K7</f>
        <v/>
      </c>
      <c r="F16">
        <f>'2027_12'!K8</f>
        <v/>
      </c>
      <c r="G16">
        <f>'2027_12'!K9</f>
        <v/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2026-10-23T14:00:25Z</dcterms:created>
  <dcterms:modified xmlns:dcterms="http://purl.org/dc/terms/" xmlns:xsi="http://www.w3.org/2001/XMLSchema-instance" xsi:type="dcterms:W3CDTF">2026-10-23T14:00:25Z</dcterms:modified>
</cp:coreProperties>
</file>