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uf11-001\EIDS_PLATEAUX\EIDS_succursale_Maroc\EAA_ACCESSIBILITE\Facturation\"/>
    </mc:Choice>
  </mc:AlternateContent>
  <bookViews>
    <workbookView xWindow="-105" yWindow="375" windowWidth="23250" windowHeight="13410"/>
  </bookViews>
  <sheets>
    <sheet name="Suivi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" i="1" l="1"/>
  <c r="Q8" i="1" l="1"/>
  <c r="W27" i="1" l="1"/>
  <c r="S41" i="1"/>
  <c r="Q41" i="1"/>
  <c r="O41" i="1"/>
  <c r="K41" i="1"/>
  <c r="E41" i="1"/>
  <c r="E42" i="1" s="1"/>
  <c r="E43" i="1" s="1"/>
  <c r="X27" i="1"/>
  <c r="X31" i="1"/>
  <c r="G41" i="1"/>
  <c r="I41" i="1"/>
  <c r="I42" i="1" s="1"/>
  <c r="I43" i="1" s="1"/>
  <c r="F8" i="1"/>
  <c r="AC30" i="1" s="1"/>
  <c r="AD30" i="1" s="1"/>
  <c r="E8" i="1"/>
  <c r="AA30" i="1" s="1"/>
  <c r="Z30" i="1" s="1"/>
  <c r="C8" i="1"/>
  <c r="D8" i="1" s="1"/>
  <c r="D6" i="1"/>
  <c r="AA29" i="1" l="1"/>
  <c r="Z29" i="1" s="1"/>
  <c r="AA27" i="1"/>
  <c r="Z27" i="1" s="1"/>
  <c r="AA28" i="1"/>
  <c r="Z28" i="1" s="1"/>
  <c r="W30" i="1"/>
  <c r="X30" i="1" s="1"/>
  <c r="AC27" i="1"/>
  <c r="AD27" i="1" s="1"/>
  <c r="W29" i="1"/>
  <c r="X29" i="1" s="1"/>
  <c r="AC28" i="1"/>
  <c r="AD28" i="1" s="1"/>
  <c r="W28" i="1"/>
  <c r="X28" i="1" s="1"/>
  <c r="AC29" i="1"/>
  <c r="AD29" i="1" s="1"/>
  <c r="M41" i="1"/>
  <c r="G42" i="1"/>
  <c r="G43" i="1" s="1"/>
</calcChain>
</file>

<file path=xl/comments1.xml><?xml version="1.0" encoding="utf-8"?>
<comments xmlns="http://schemas.openxmlformats.org/spreadsheetml/2006/main">
  <authors>
    <author>OUBRAHIM Mohammed [EIDS]</author>
    <author>HAMDANI Mohamed [EIDS]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OUBRAHIM Mohammed [EIDS]:</t>
        </r>
        <r>
          <rPr>
            <sz val="9"/>
            <color indexed="81"/>
            <rFont val="Tahoma"/>
            <family val="2"/>
          </rPr>
          <t xml:space="preserve">
3%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OUBRAHIM Mohammed [EIDS]:</t>
        </r>
        <r>
          <rPr>
            <sz val="9"/>
            <color indexed="81"/>
            <rFont val="Tahoma"/>
            <family val="2"/>
          </rPr>
          <t xml:space="preserve">
45 fichiers NC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OUBRAHIM Mohammed [EIDS]:</t>
        </r>
        <r>
          <rPr>
            <sz val="9"/>
            <color indexed="81"/>
            <rFont val="Tahoma"/>
            <family val="2"/>
          </rPr>
          <t xml:space="preserve">
+ 23 heures NC</t>
        </r>
      </text>
    </comment>
    <comment ref="U26" authorId="1" shapeId="0">
      <text>
        <r>
          <rPr>
            <b/>
            <sz val="9"/>
            <color indexed="81"/>
            <rFont val="Tahoma"/>
            <charset val="1"/>
          </rPr>
          <t>HAMDANI Mohamed [EIDS]:</t>
        </r>
        <r>
          <rPr>
            <sz val="9"/>
            <color indexed="81"/>
            <rFont val="Tahoma"/>
            <charset val="1"/>
          </rPr>
          <t xml:space="preserve">
6 DOC Complexe (18h)
et 1 doc simple (2h)</t>
        </r>
      </text>
    </comment>
    <comment ref="Q30" authorId="0" shapeId="0">
      <text>
        <r>
          <rPr>
            <b/>
            <sz val="9"/>
            <color indexed="81"/>
            <rFont val="Tahoma"/>
            <family val="2"/>
          </rPr>
          <t>OUBRAHIM Mohammed [EIDS]:</t>
        </r>
        <r>
          <rPr>
            <sz val="9"/>
            <color indexed="81"/>
            <rFont val="Tahoma"/>
            <family val="2"/>
          </rPr>
          <t xml:space="preserve">
3 Docs ACM complexe 67 </t>
        </r>
      </text>
    </comment>
  </commentList>
</comments>
</file>

<file path=xl/sharedStrings.xml><?xml version="1.0" encoding="utf-8"?>
<sst xmlns="http://schemas.openxmlformats.org/spreadsheetml/2006/main" count="78" uniqueCount="46">
  <si>
    <t>Cumul 2025</t>
  </si>
  <si>
    <t>Cumul 2026</t>
  </si>
  <si>
    <t>Actes</t>
  </si>
  <si>
    <t>ACT00045</t>
  </si>
  <si>
    <t>I70ETSA</t>
  </si>
  <si>
    <t>Code action</t>
  </si>
  <si>
    <t xml:space="preserve">Code section EI </t>
  </si>
  <si>
    <t>ACM</t>
  </si>
  <si>
    <t>Assurances-Emprunteurs</t>
  </si>
  <si>
    <t>Assurances-Personnes-Collectif</t>
  </si>
  <si>
    <t>CIC</t>
  </si>
  <si>
    <t>CM CIC (Mixte)</t>
  </si>
  <si>
    <t>DIRCO</t>
  </si>
  <si>
    <t>CMO</t>
  </si>
  <si>
    <t>CM</t>
  </si>
  <si>
    <t>CG</t>
  </si>
  <si>
    <t>FC</t>
  </si>
  <si>
    <t>Tarifs</t>
  </si>
  <si>
    <t>Assurances-Biens</t>
  </si>
  <si>
    <t>Assurances-Comptabilité-Contentieux</t>
  </si>
  <si>
    <t>Assurances-Indemnisation-Biens-Personnes</t>
  </si>
  <si>
    <t>Assurances-Personnes individuelle</t>
  </si>
  <si>
    <t>Assurances-Protection Juridique</t>
  </si>
  <si>
    <t>Assurances-Vie-Epargnes-Retraite</t>
  </si>
  <si>
    <t>CIC CIB ASSET SERVICING</t>
  </si>
  <si>
    <t>Fiches Clients</t>
  </si>
  <si>
    <t>Conditions Générales</t>
  </si>
  <si>
    <t>-</t>
  </si>
  <si>
    <t>TARIF</t>
  </si>
  <si>
    <t>Heure/acte</t>
  </si>
  <si>
    <t>BGT</t>
  </si>
  <si>
    <t>Formation</t>
  </si>
  <si>
    <t>Bouygues telecom</t>
  </si>
  <si>
    <t>Entité</t>
  </si>
  <si>
    <t>Décisionnel</t>
  </si>
  <si>
    <t>Unité</t>
  </si>
  <si>
    <t>Management</t>
  </si>
  <si>
    <t>Delta</t>
  </si>
  <si>
    <t>tx Delta</t>
  </si>
  <si>
    <t>EAA_Accessibilité</t>
  </si>
  <si>
    <t>Heures connexion</t>
  </si>
  <si>
    <t>Heures de production</t>
  </si>
  <si>
    <t>EI</t>
  </si>
  <si>
    <t>DIRCOM</t>
  </si>
  <si>
    <t>CMMABN</t>
  </si>
  <si>
    <t>CONTRATHEQUE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</si>
</sst>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2" borderId="0" xfId="0" applyFont="1" applyFill="1"/>
    <xf numFmtId="17" fontId="4" fillId="3" borderId="0" xfId="0" applyNumberFormat="1" applyFont="1" applyFill="1" applyAlignment="1">
      <alignment horizontal="center" vertical="center"/>
    </xf>
    <xf numFmtId="17" fontId="5" fillId="4" borderId="1" xfId="0" applyNumberFormat="1" applyFont="1" applyFill="1" applyBorder="1" applyAlignment="1">
      <alignment horizontal="center" vertical="center"/>
    </xf>
    <xf numFmtId="17" fontId="6" fillId="3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5" borderId="0" xfId="1" applyNumberFormat="1" applyFont="1" applyFill="1" applyAlignment="1">
      <alignment horizontal="center"/>
    </xf>
    <xf numFmtId="164" fontId="8" fillId="6" borderId="2" xfId="1" applyNumberFormat="1" applyFont="1" applyFill="1" applyBorder="1" applyAlignment="1">
      <alignment horizontal="center"/>
    </xf>
    <xf numFmtId="164" fontId="7" fillId="5" borderId="3" xfId="1" applyNumberFormat="1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/>
    </xf>
    <xf numFmtId="164" fontId="8" fillId="6" borderId="0" xfId="1" applyNumberFormat="1" applyFont="1" applyFill="1" applyAlignment="1">
      <alignment horizontal="center"/>
    </xf>
    <xf numFmtId="164" fontId="7" fillId="6" borderId="2" xfId="1" applyNumberFormat="1" applyFont="1" applyFill="1" applyBorder="1" applyAlignment="1">
      <alignment horizontal="center"/>
    </xf>
    <xf numFmtId="0" fontId="2" fillId="4" borderId="0" xfId="0" applyFont="1" applyFill="1"/>
    <xf numFmtId="0" fontId="0" fillId="0" borderId="0" xfId="0" applyAlignment="1">
      <alignment horizontal="right"/>
    </xf>
    <xf numFmtId="164" fontId="8" fillId="0" borderId="0" xfId="1" applyNumberFormat="1" applyFont="1" applyFill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0" fillId="0" borderId="0" xfId="0"/>
    <xf numFmtId="0" fontId="0" fillId="0" borderId="0" xfId="0" applyBorder="1" applyAlignment="1">
      <alignment vertical="center"/>
    </xf>
    <xf numFmtId="0" fontId="9" fillId="7" borderId="0" xfId="0" applyFont="1" applyFill="1" applyAlignment="1">
      <alignment horizontal="left"/>
    </xf>
    <xf numFmtId="10" fontId="0" fillId="0" borderId="0" xfId="2" applyNumberFormat="1" applyFont="1"/>
    <xf numFmtId="164" fontId="0" fillId="0" borderId="0" xfId="0" applyNumberFormat="1" applyBorder="1" applyAlignment="1">
      <alignment vertical="center"/>
    </xf>
    <xf numFmtId="164" fontId="8" fillId="6" borderId="3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/>
    <xf numFmtId="0" fontId="0" fillId="7" borderId="0" xfId="0" applyFill="1" applyBorder="1"/>
    <xf numFmtId="0" fontId="0" fillId="7" borderId="0" xfId="0" applyFill="1" applyBorder="1" applyAlignment="1">
      <alignment vertical="center"/>
    </xf>
    <xf numFmtId="0" fontId="10" fillId="6" borderId="0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/>
    </xf>
    <xf numFmtId="17" fontId="4" fillId="3" borderId="0" xfId="0" applyNumberFormat="1" applyFon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0" fillId="11" borderId="4" xfId="0" applyFill="1" applyBorder="1"/>
    <xf numFmtId="0" fontId="0" fillId="0" borderId="4" xfId="0" applyBorder="1"/>
    <xf numFmtId="0" fontId="7" fillId="12" borderId="0" xfId="0" applyFont="1" applyFill="1" applyAlignment="1">
      <alignment horizontal="center" vertical="center"/>
    </xf>
    <xf numFmtId="164" fontId="8" fillId="12" borderId="0" xfId="1" applyNumberFormat="1" applyFont="1" applyFill="1" applyAlignment="1">
      <alignment horizontal="center"/>
    </xf>
    <xf numFmtId="164" fontId="0" fillId="0" borderId="0" xfId="0" applyNumberFormat="1"/>
    <xf numFmtId="9" fontId="0" fillId="0" borderId="0" xfId="2" applyFont="1"/>
    <xf numFmtId="0" fontId="0" fillId="13" borderId="0" xfId="0" applyFill="1"/>
    <xf numFmtId="0" fontId="7" fillId="13" borderId="5" xfId="0" applyFont="1" applyFill="1" applyBorder="1" applyAlignment="1">
      <alignment horizontal="center" vertical="center"/>
    </xf>
    <xf numFmtId="164" fontId="8" fillId="13" borderId="5" xfId="1" applyNumberFormat="1" applyFont="1" applyFill="1" applyBorder="1" applyAlignment="1">
      <alignment horizontal="center"/>
    </xf>
    <xf numFmtId="164" fontId="7" fillId="13" borderId="5" xfId="1" applyNumberFormat="1" applyFont="1" applyFill="1" applyBorder="1" applyAlignment="1">
      <alignment horizontal="center"/>
    </xf>
    <xf numFmtId="1" fontId="0" fillId="0" borderId="0" xfId="0" applyNumberFormat="1"/>
    <xf numFmtId="1" fontId="9" fillId="11" borderId="0" xfId="0" applyNumberFormat="1" applyFont="1" applyFill="1" applyAlignment="1">
      <alignment horizontal="center"/>
    </xf>
    <xf numFmtId="165" fontId="0" fillId="0" borderId="0" xfId="2" applyNumberFormat="1" applyFont="1"/>
    <xf numFmtId="9" fontId="0" fillId="0" borderId="0" xfId="2" applyNumberFormat="1" applyFont="1"/>
    <xf numFmtId="0" fontId="0" fillId="11" borderId="0" xfId="0" applyFill="1"/>
    <xf numFmtId="0" fontId="0" fillId="11" borderId="0" xfId="0" applyFill="1" applyBorder="1" applyAlignment="1">
      <alignment vertical="center"/>
    </xf>
    <xf numFmtId="166" fontId="7" fillId="5" borderId="0" xfId="1" applyNumberFormat="1" applyFont="1" applyFill="1" applyAlignment="1">
      <alignment horizontal="center"/>
    </xf>
    <xf numFmtId="167" fontId="9" fillId="11" borderId="0" xfId="0" applyNumberFormat="1" applyFont="1" applyFill="1" applyAlignment="1">
      <alignment horizontal="center"/>
    </xf>
    <xf numFmtId="2" fontId="0" fillId="0" borderId="0" xfId="0" applyNumberFormat="1" applyBorder="1" applyAlignment="1">
      <alignment horizontal="center"/>
    </xf>
    <xf numFmtId="2" fontId="10" fillId="6" borderId="0" xfId="0" applyNumberFormat="1" applyFont="1" applyFill="1" applyBorder="1" applyAlignment="1">
      <alignment horizontal="center" vertical="center"/>
    </xf>
    <xf numFmtId="2" fontId="9" fillId="11" borderId="0" xfId="0" applyNumberFormat="1" applyFont="1" applyFill="1" applyAlignment="1">
      <alignment horizontal="center"/>
    </xf>
    <xf numFmtId="43" fontId="7" fillId="5" borderId="0" xfId="1" applyNumberFormat="1" applyFont="1" applyFill="1" applyAlignment="1">
      <alignment horizontal="center"/>
    </xf>
    <xf numFmtId="0" fontId="0" fillId="8" borderId="0" xfId="0" applyFill="1" applyBorder="1" applyAlignment="1">
      <alignment horizontal="center" vertical="center"/>
    </xf>
    <xf numFmtId="17" fontId="4" fillId="3" borderId="0" xfId="0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D43"/>
  <sheetViews>
    <sheetView tabSelected="1" topLeftCell="B1" workbookViewId="0">
      <selection activeCell="Q7" sqref="Q7"/>
    </sheetView>
  </sheetViews>
  <sheetFormatPr baseColWidth="10" defaultRowHeight="15" x14ac:dyDescent="0.25"/>
  <cols>
    <col min="1" max="1" width="36.7109375" bestFit="1" customWidth="1"/>
    <col min="2" max="2" width="9.28515625" bestFit="1" customWidth="1"/>
    <col min="3" max="3" width="10.7109375" bestFit="1" customWidth="1"/>
    <col min="4" max="4" width="14.28515625" bestFit="1" customWidth="1"/>
    <col min="5" max="5" width="10.7109375" bestFit="1" customWidth="1"/>
    <col min="6" max="6" width="9.28515625" bestFit="1" customWidth="1"/>
    <col min="7" max="7" width="10.7109375" bestFit="1" customWidth="1"/>
    <col min="8" max="8" width="8.28515625" bestFit="1" customWidth="1"/>
    <col min="9" max="9" width="10.7109375" bestFit="1" customWidth="1"/>
    <col min="10" max="10" width="9" bestFit="1" customWidth="1"/>
    <col min="11" max="11" width="10.7109375" bestFit="1" customWidth="1"/>
    <col min="12" max="12" width="9.85546875" bestFit="1" customWidth="1"/>
    <col min="13" max="13" width="10.7109375" bestFit="1" customWidth="1"/>
    <col min="14" max="14" width="8.28515625" bestFit="1" customWidth="1"/>
    <col min="15" max="15" width="10.7109375" bestFit="1" customWidth="1"/>
    <col min="16" max="16" width="8.7109375" bestFit="1" customWidth="1"/>
    <col min="17" max="17" width="18.5703125" customWidth="1"/>
    <col min="18" max="18" width="5.5703125" bestFit="1" customWidth="1"/>
    <col min="19" max="19" width="10.42578125" bestFit="1" customWidth="1"/>
    <col min="20" max="20" width="5.5703125" bestFit="1" customWidth="1"/>
    <col min="21" max="21" width="10.42578125" bestFit="1" customWidth="1"/>
    <col min="23" max="23" width="5.85546875" bestFit="1" customWidth="1"/>
    <col min="24" max="25" width="4" bestFit="1" customWidth="1"/>
    <col min="26" max="26" width="9" bestFit="1" customWidth="1"/>
    <col min="27" max="27" width="5.42578125" bestFit="1" customWidth="1"/>
    <col min="29" max="29" width="4.42578125" bestFit="1" customWidth="1"/>
    <col min="30" max="30" width="4" bestFit="1" customWidth="1"/>
  </cols>
  <sheetData>
    <row r="1" spans="1:27" x14ac:dyDescent="0.25">
      <c r="A1" s="12" t="s">
        <v>39</v>
      </c>
    </row>
    <row r="2" spans="1:27" x14ac:dyDescent="0.25">
      <c r="A2" s="13" t="s">
        <v>5</v>
      </c>
      <c r="B2" t="s">
        <v>3</v>
      </c>
    </row>
    <row r="3" spans="1:27" x14ac:dyDescent="0.25">
      <c r="A3" s="13" t="s">
        <v>6</v>
      </c>
      <c r="B3" t="s">
        <v>4</v>
      </c>
      <c r="H3" s="18"/>
      <c r="J3" s="18"/>
      <c r="K3" s="43"/>
    </row>
    <row r="4" spans="1:27" ht="15.75" thickBot="1" x14ac:dyDescent="0.3"/>
    <row r="5" spans="1:27" ht="18.75" x14ac:dyDescent="0.3">
      <c r="A5" s="1"/>
      <c r="B5" s="2">
        <v>45962</v>
      </c>
      <c r="C5" s="2">
        <v>45992</v>
      </c>
      <c r="D5" s="3" t="s">
        <v>0</v>
      </c>
      <c r="E5" s="4">
        <v>46023</v>
      </c>
      <c r="F5" s="4">
        <v>46054</v>
      </c>
      <c r="G5" s="4">
        <v>46082</v>
      </c>
      <c r="H5" s="4">
        <v>46113</v>
      </c>
      <c r="I5" s="4">
        <v>46143</v>
      </c>
      <c r="J5" s="4">
        <v>46174</v>
      </c>
      <c r="K5" s="4">
        <v>46204</v>
      </c>
      <c r="L5" s="4">
        <v>46235</v>
      </c>
      <c r="M5" s="4">
        <v>46266</v>
      </c>
      <c r="N5" s="4">
        <v>46296</v>
      </c>
      <c r="O5" s="4">
        <v>46327</v>
      </c>
      <c r="P5" s="4">
        <v>46357</v>
      </c>
      <c r="Q5" s="3" t="s">
        <v>1</v>
      </c>
    </row>
    <row r="6" spans="1:27" ht="16.5" thickBot="1" x14ac:dyDescent="0.3">
      <c r="A6" s="5" t="s">
        <v>40</v>
      </c>
      <c r="B6" s="6">
        <v>672</v>
      </c>
      <c r="C6" s="6">
        <v>776</v>
      </c>
      <c r="D6" s="7">
        <f>SUM(B6:C6)</f>
        <v>1448</v>
      </c>
      <c r="E6" s="6">
        <v>719</v>
      </c>
      <c r="F6" s="6">
        <v>704</v>
      </c>
      <c r="G6" s="6">
        <v>760</v>
      </c>
      <c r="H6" s="6">
        <v>607</v>
      </c>
      <c r="I6" s="6">
        <v>390</v>
      </c>
      <c r="J6" s="6">
        <v>574.0577777777778</v>
      </c>
      <c r="K6" s="59">
        <v>556.13722222222214</v>
      </c>
      <c r="L6" s="59">
        <v>506.21</v>
      </c>
      <c r="M6" s="6"/>
      <c r="N6" s="6"/>
      <c r="O6" s="6"/>
      <c r="P6" s="6"/>
      <c r="Q6" s="8">
        <f>SUM(E6:P6)</f>
        <v>4816.4049999999997</v>
      </c>
    </row>
    <row r="7" spans="1:27" s="18" customFormat="1" ht="15.75" x14ac:dyDescent="0.25">
      <c r="A7" s="5" t="s">
        <v>41</v>
      </c>
      <c r="B7" s="6"/>
      <c r="C7" s="6"/>
      <c r="D7" s="23"/>
      <c r="E7" s="6"/>
      <c r="F7" s="6"/>
      <c r="G7" s="54">
        <v>130.5</v>
      </c>
      <c r="H7" s="54">
        <v>427.5</v>
      </c>
      <c r="I7" s="6">
        <v>207</v>
      </c>
      <c r="J7" s="54">
        <v>559.5</v>
      </c>
      <c r="K7" s="59">
        <v>556.13722222222214</v>
      </c>
      <c r="L7" s="59">
        <v>506</v>
      </c>
      <c r="M7" s="6"/>
      <c r="N7" s="6"/>
      <c r="O7" s="6"/>
      <c r="P7" s="6"/>
      <c r="Q7" s="8"/>
    </row>
    <row r="8" spans="1:27" ht="16.5" thickBot="1" x14ac:dyDescent="0.3">
      <c r="A8" s="9" t="s">
        <v>2</v>
      </c>
      <c r="B8" s="10" t="s">
        <v>27</v>
      </c>
      <c r="C8" s="10">
        <f>D15+D16+D18+D19+D21+D22+D24+D26+D27+D28+D29+D30+D31+D32+D33+D34+D35+D36</f>
        <v>85</v>
      </c>
      <c r="D8" s="23">
        <f>SUM(B8:C8)</f>
        <v>85</v>
      </c>
      <c r="E8" s="10">
        <f>F15+F16+F18+F19+F21+F22+F24+F26+F27+F28+F29+F30+F31+F32+F33+F34+F35+F36</f>
        <v>62</v>
      </c>
      <c r="F8" s="10">
        <f>H15+H16+H18+H19+H21+H22+H24+H26+H27+H28+H29+H30+H31+H32+H33+H34+H35+H36</f>
        <v>15</v>
      </c>
      <c r="G8" s="10">
        <v>19</v>
      </c>
      <c r="H8" s="10">
        <v>95</v>
      </c>
      <c r="I8" s="10">
        <v>44</v>
      </c>
      <c r="J8" s="10">
        <v>114</v>
      </c>
      <c r="K8" s="10">
        <v>82</v>
      </c>
      <c r="L8" s="10">
        <v>68</v>
      </c>
      <c r="M8" s="10"/>
      <c r="N8" s="10"/>
      <c r="O8" s="10"/>
      <c r="P8" s="10"/>
      <c r="Q8" s="11">
        <f>SUM(E8:P8)</f>
        <v>499</v>
      </c>
    </row>
    <row r="9" spans="1:27" s="26" customFormat="1" ht="15.75" x14ac:dyDescent="0.25">
      <c r="A9" s="40" t="s">
        <v>31</v>
      </c>
      <c r="B9" s="41"/>
      <c r="C9" s="14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6"/>
    </row>
    <row r="10" spans="1:27" s="44" customFormat="1" ht="15.75" x14ac:dyDescent="0.25">
      <c r="A10" s="45" t="s">
        <v>36</v>
      </c>
      <c r="B10" s="46"/>
      <c r="C10" s="46">
        <v>23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7"/>
    </row>
    <row r="11" spans="1:27" s="26" customFormat="1" ht="15.75" x14ac:dyDescent="0.25">
      <c r="A11" s="25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27" ht="18.75" x14ac:dyDescent="0.25">
      <c r="A12" s="32" t="s">
        <v>33</v>
      </c>
      <c r="B12" s="61">
        <v>45962</v>
      </c>
      <c r="C12" s="61"/>
      <c r="D12" s="61">
        <v>45992</v>
      </c>
      <c r="E12" s="61"/>
      <c r="F12" s="61">
        <v>46023</v>
      </c>
      <c r="G12" s="61"/>
      <c r="H12" s="61">
        <v>46054</v>
      </c>
      <c r="I12" s="61"/>
      <c r="J12" s="61">
        <v>46082</v>
      </c>
      <c r="K12" s="61"/>
      <c r="L12" s="61">
        <v>46113</v>
      </c>
      <c r="M12" s="61"/>
      <c r="N12" s="61">
        <v>46143</v>
      </c>
      <c r="O12" s="61"/>
      <c r="P12" s="61">
        <v>46174</v>
      </c>
      <c r="Q12" s="61"/>
      <c r="R12" s="61">
        <v>46204</v>
      </c>
      <c r="S12" s="61"/>
      <c r="T12" s="61">
        <v>46235</v>
      </c>
      <c r="U12" s="61"/>
    </row>
    <row r="13" spans="1:27" ht="15.75" x14ac:dyDescent="0.25">
      <c r="A13" s="17" t="s">
        <v>12</v>
      </c>
      <c r="B13" s="30" t="s">
        <v>2</v>
      </c>
      <c r="C13" s="31" t="s">
        <v>29</v>
      </c>
      <c r="D13" s="30" t="s">
        <v>2</v>
      </c>
      <c r="E13" s="31" t="s">
        <v>29</v>
      </c>
      <c r="F13" s="30" t="s">
        <v>2</v>
      </c>
      <c r="G13" s="31" t="s">
        <v>29</v>
      </c>
      <c r="H13" s="30" t="s">
        <v>2</v>
      </c>
      <c r="I13" s="31" t="s">
        <v>29</v>
      </c>
      <c r="J13" s="30" t="s">
        <v>2</v>
      </c>
      <c r="K13" s="31" t="s">
        <v>29</v>
      </c>
      <c r="L13" s="30" t="s">
        <v>2</v>
      </c>
      <c r="M13" s="31" t="s">
        <v>29</v>
      </c>
      <c r="N13" s="30" t="s">
        <v>2</v>
      </c>
      <c r="O13" s="31" t="s">
        <v>29</v>
      </c>
      <c r="P13" s="30" t="s">
        <v>2</v>
      </c>
      <c r="Q13" s="31" t="s">
        <v>29</v>
      </c>
      <c r="R13" s="30" t="s">
        <v>2</v>
      </c>
      <c r="S13" s="31" t="s">
        <v>29</v>
      </c>
      <c r="T13" s="30" t="s">
        <v>2</v>
      </c>
      <c r="U13" s="31" t="s">
        <v>29</v>
      </c>
    </row>
    <row r="14" spans="1:27" s="18" customFormat="1" ht="15.75" thickBot="1" x14ac:dyDescent="0.3">
      <c r="A14" s="20" t="s">
        <v>11</v>
      </c>
      <c r="B14" s="28"/>
      <c r="C14" s="28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1:27" ht="15.75" thickBot="1" x14ac:dyDescent="0.3">
      <c r="A15" s="13" t="s">
        <v>26</v>
      </c>
      <c r="B15" s="60" t="s">
        <v>31</v>
      </c>
      <c r="C15" s="60"/>
      <c r="D15" s="33">
        <v>70</v>
      </c>
      <c r="E15" s="33">
        <v>639.05882352941171</v>
      </c>
      <c r="F15" s="33">
        <v>45</v>
      </c>
      <c r="G15" s="33">
        <v>521.85483870967744</v>
      </c>
      <c r="H15" s="35">
        <v>0</v>
      </c>
      <c r="I15" s="34"/>
      <c r="J15" s="35">
        <v>0</v>
      </c>
      <c r="K15" s="34"/>
      <c r="L15" s="35">
        <v>0</v>
      </c>
      <c r="M15" s="34"/>
      <c r="N15" s="35">
        <v>0</v>
      </c>
      <c r="O15" s="34"/>
      <c r="P15" s="35"/>
      <c r="Q15" s="34"/>
      <c r="R15" s="35"/>
      <c r="S15" s="34"/>
      <c r="T15" s="35"/>
      <c r="U15" s="34"/>
      <c r="Z15" s="38" t="s">
        <v>33</v>
      </c>
      <c r="AA15" s="38" t="s">
        <v>35</v>
      </c>
    </row>
    <row r="16" spans="1:27" ht="15.75" thickBot="1" x14ac:dyDescent="0.3">
      <c r="A16" s="13" t="s">
        <v>25</v>
      </c>
      <c r="B16" s="60"/>
      <c r="C16" s="60"/>
      <c r="D16" s="24">
        <v>0</v>
      </c>
      <c r="E16" s="34"/>
      <c r="F16" s="35">
        <v>0</v>
      </c>
      <c r="G16" s="35">
        <v>0</v>
      </c>
      <c r="H16" s="35">
        <v>0</v>
      </c>
      <c r="I16" s="34"/>
      <c r="J16" s="35">
        <v>0</v>
      </c>
      <c r="K16" s="34"/>
      <c r="L16" s="35">
        <v>0</v>
      </c>
      <c r="M16" s="34">
        <v>0</v>
      </c>
      <c r="N16" s="35">
        <v>0</v>
      </c>
      <c r="O16" s="34">
        <v>0</v>
      </c>
      <c r="P16" s="35"/>
      <c r="Q16" s="34"/>
      <c r="R16" s="35"/>
      <c r="S16" s="34"/>
      <c r="T16" s="35"/>
      <c r="U16" s="34"/>
      <c r="Z16" s="39" t="s">
        <v>30</v>
      </c>
      <c r="AA16" s="39">
        <v>27</v>
      </c>
    </row>
    <row r="17" spans="1:30" ht="15.75" thickBot="1" x14ac:dyDescent="0.3">
      <c r="A17" s="20" t="s">
        <v>14</v>
      </c>
      <c r="B17" s="28"/>
      <c r="C17" s="28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Z17" s="39" t="s">
        <v>15</v>
      </c>
      <c r="AA17" s="39">
        <v>9</v>
      </c>
    </row>
    <row r="18" spans="1:30" ht="15.75" thickBot="1" x14ac:dyDescent="0.3">
      <c r="A18" s="13" t="s">
        <v>26</v>
      </c>
      <c r="B18" s="60" t="s">
        <v>31</v>
      </c>
      <c r="C18" s="60"/>
      <c r="D18" s="33">
        <v>9</v>
      </c>
      <c r="E18" s="33">
        <v>82</v>
      </c>
      <c r="F18" s="33">
        <v>6</v>
      </c>
      <c r="G18" s="33">
        <v>69.58064516129032</v>
      </c>
      <c r="H18" s="35">
        <v>0</v>
      </c>
      <c r="I18" s="34"/>
      <c r="J18" s="35">
        <v>0</v>
      </c>
      <c r="K18" s="34"/>
      <c r="L18" s="35">
        <v>0</v>
      </c>
      <c r="M18" s="34"/>
      <c r="N18" s="35">
        <v>0</v>
      </c>
      <c r="O18" s="34"/>
      <c r="P18" s="35"/>
      <c r="Q18" s="34"/>
      <c r="R18" s="35"/>
      <c r="S18" s="34"/>
      <c r="T18" s="35"/>
      <c r="U18" s="34"/>
      <c r="Z18" s="39" t="s">
        <v>28</v>
      </c>
      <c r="AA18" s="39">
        <v>9</v>
      </c>
    </row>
    <row r="19" spans="1:30" ht="15.75" thickBot="1" x14ac:dyDescent="0.3">
      <c r="A19" s="13" t="s">
        <v>25</v>
      </c>
      <c r="B19" s="60"/>
      <c r="C19" s="60"/>
      <c r="D19" s="34">
        <v>1</v>
      </c>
      <c r="E19" s="34">
        <v>9</v>
      </c>
      <c r="F19" s="35">
        <v>0</v>
      </c>
      <c r="G19" s="35">
        <v>0</v>
      </c>
      <c r="H19" s="35">
        <v>0</v>
      </c>
      <c r="I19" s="34"/>
      <c r="J19" s="35">
        <v>19</v>
      </c>
      <c r="K19" s="34">
        <v>130.5</v>
      </c>
      <c r="L19" s="35">
        <v>60</v>
      </c>
      <c r="M19" s="34">
        <v>270</v>
      </c>
      <c r="N19" s="35">
        <v>13</v>
      </c>
      <c r="O19" s="34">
        <v>58.5</v>
      </c>
      <c r="P19" s="35">
        <v>7</v>
      </c>
      <c r="Q19" s="34">
        <v>31.5</v>
      </c>
      <c r="R19" s="35"/>
      <c r="S19" s="34"/>
      <c r="T19" s="35">
        <v>18</v>
      </c>
      <c r="U19" s="34">
        <v>81</v>
      </c>
      <c r="Z19" s="39" t="s">
        <v>16</v>
      </c>
      <c r="AA19" s="39">
        <v>4.5</v>
      </c>
    </row>
    <row r="20" spans="1:30" ht="15.75" thickBot="1" x14ac:dyDescent="0.3">
      <c r="A20" s="20" t="s">
        <v>10</v>
      </c>
      <c r="B20" s="28"/>
      <c r="C20" s="28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Z20" s="39" t="s">
        <v>7</v>
      </c>
      <c r="AA20" s="39">
        <v>9</v>
      </c>
    </row>
    <row r="21" spans="1:30" ht="15.75" thickBot="1" x14ac:dyDescent="0.3">
      <c r="A21" s="13" t="s">
        <v>26</v>
      </c>
      <c r="B21" s="60" t="s">
        <v>31</v>
      </c>
      <c r="C21" s="60"/>
      <c r="D21" s="34">
        <v>4</v>
      </c>
      <c r="E21" s="33">
        <v>37</v>
      </c>
      <c r="F21" s="34">
        <v>9</v>
      </c>
      <c r="G21" s="33">
        <v>104.37096774193549</v>
      </c>
      <c r="H21" s="35">
        <v>0</v>
      </c>
      <c r="I21" s="34"/>
      <c r="J21" s="35">
        <v>0</v>
      </c>
      <c r="K21" s="34"/>
      <c r="L21" s="35">
        <v>0</v>
      </c>
      <c r="M21" s="34"/>
      <c r="N21" s="35">
        <v>0</v>
      </c>
      <c r="O21" s="34"/>
      <c r="P21" s="35"/>
      <c r="Q21" s="34"/>
      <c r="R21" s="35"/>
      <c r="S21" s="34"/>
      <c r="T21" s="35"/>
      <c r="U21" s="34"/>
      <c r="Z21" s="39" t="s">
        <v>44</v>
      </c>
      <c r="AA21" s="39">
        <v>4.5</v>
      </c>
    </row>
    <row r="22" spans="1:30" ht="15.75" thickBot="1" x14ac:dyDescent="0.3">
      <c r="A22" s="13" t="s">
        <v>25</v>
      </c>
      <c r="B22" s="60"/>
      <c r="C22" s="60"/>
      <c r="D22" s="34">
        <v>1</v>
      </c>
      <c r="E22" s="34">
        <v>9</v>
      </c>
      <c r="F22" s="35">
        <v>0</v>
      </c>
      <c r="G22" s="35">
        <v>0</v>
      </c>
      <c r="H22" s="35">
        <v>0</v>
      </c>
      <c r="I22" s="34"/>
      <c r="J22" s="35">
        <v>0</v>
      </c>
      <c r="K22" s="34"/>
      <c r="L22" s="35">
        <v>35</v>
      </c>
      <c r="M22" s="34">
        <v>157.5</v>
      </c>
      <c r="N22" s="35">
        <v>29</v>
      </c>
      <c r="O22" s="34">
        <v>130.5</v>
      </c>
      <c r="P22" s="35">
        <v>4</v>
      </c>
      <c r="Q22" s="34">
        <v>18</v>
      </c>
      <c r="R22" s="35"/>
      <c r="S22" s="34"/>
      <c r="T22" s="35">
        <v>17</v>
      </c>
      <c r="U22" s="34">
        <v>76.5</v>
      </c>
      <c r="Z22" s="39" t="s">
        <v>43</v>
      </c>
      <c r="AA22" s="39">
        <v>9</v>
      </c>
    </row>
    <row r="23" spans="1:30" ht="15.75" x14ac:dyDescent="0.25">
      <c r="A23" s="17" t="s">
        <v>24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30" x14ac:dyDescent="0.25">
      <c r="A24" s="13" t="s">
        <v>17</v>
      </c>
      <c r="B24" s="60" t="s">
        <v>31</v>
      </c>
      <c r="C24" s="60"/>
      <c r="D24" s="35">
        <v>0</v>
      </c>
      <c r="E24" s="34"/>
      <c r="F24" s="34">
        <v>2</v>
      </c>
      <c r="G24" s="33">
        <v>23.193548387096772</v>
      </c>
      <c r="H24" s="35">
        <v>0</v>
      </c>
      <c r="I24" s="34"/>
      <c r="J24" s="35">
        <v>0</v>
      </c>
      <c r="K24" s="34"/>
      <c r="L24" s="35">
        <v>0</v>
      </c>
      <c r="M24" s="34"/>
      <c r="N24" s="35">
        <v>0</v>
      </c>
      <c r="O24" s="34"/>
      <c r="P24" s="35">
        <v>1</v>
      </c>
      <c r="Q24" s="34">
        <v>2</v>
      </c>
      <c r="R24" s="35"/>
      <c r="S24" s="34"/>
      <c r="T24" s="35"/>
      <c r="U24" s="34"/>
      <c r="W24" s="52">
        <v>776</v>
      </c>
      <c r="Y24" s="53">
        <v>719</v>
      </c>
      <c r="AC24" s="53">
        <v>704</v>
      </c>
    </row>
    <row r="25" spans="1:30" ht="15.75" x14ac:dyDescent="0.25">
      <c r="A25" s="17" t="s">
        <v>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Y25" s="19"/>
    </row>
    <row r="26" spans="1:30" x14ac:dyDescent="0.25">
      <c r="A26" s="13" t="s">
        <v>18</v>
      </c>
      <c r="B26" s="60" t="s">
        <v>31</v>
      </c>
      <c r="C26" s="60"/>
      <c r="D26" s="35">
        <v>0</v>
      </c>
      <c r="E26" s="34"/>
      <c r="F26" s="35">
        <v>0</v>
      </c>
      <c r="G26" s="35"/>
      <c r="H26" s="35">
        <v>0</v>
      </c>
      <c r="I26" s="34"/>
      <c r="J26" s="35">
        <v>0</v>
      </c>
      <c r="K26" s="34"/>
      <c r="L26" s="35">
        <v>0</v>
      </c>
      <c r="M26" s="34"/>
      <c r="N26" s="35">
        <v>0</v>
      </c>
      <c r="O26" s="34"/>
      <c r="P26" s="35">
        <v>2</v>
      </c>
      <c r="Q26" s="34">
        <v>18</v>
      </c>
      <c r="R26" s="35">
        <v>40</v>
      </c>
      <c r="S26" s="56">
        <v>271.28644986449859</v>
      </c>
      <c r="T26" s="35">
        <v>21</v>
      </c>
      <c r="U26" s="56">
        <v>245</v>
      </c>
      <c r="Y26" s="22"/>
    </row>
    <row r="27" spans="1:30" x14ac:dyDescent="0.25">
      <c r="A27" s="13" t="s">
        <v>19</v>
      </c>
      <c r="B27" s="60"/>
      <c r="C27" s="60"/>
      <c r="D27" s="35">
        <v>0</v>
      </c>
      <c r="E27" s="34"/>
      <c r="F27" s="35">
        <v>0</v>
      </c>
      <c r="G27" s="35"/>
      <c r="H27" s="35">
        <v>0</v>
      </c>
      <c r="I27" s="34"/>
      <c r="J27" s="35">
        <v>0</v>
      </c>
      <c r="K27" s="34"/>
      <c r="L27" s="35">
        <v>0</v>
      </c>
      <c r="M27" s="34"/>
      <c r="N27" s="35">
        <v>0</v>
      </c>
      <c r="O27" s="34"/>
      <c r="P27" s="35"/>
      <c r="Q27" s="34"/>
      <c r="R27" s="35"/>
      <c r="S27" s="56"/>
      <c r="T27" s="35"/>
      <c r="U27" s="56"/>
      <c r="W27" s="50">
        <f>D15/C8</f>
        <v>0.82352941176470584</v>
      </c>
      <c r="X27" s="48">
        <f>$W$24*W27</f>
        <v>639.05882352941171</v>
      </c>
      <c r="Y27" s="19"/>
      <c r="Z27" s="48">
        <f>$Y$24*AA27</f>
        <v>521.85483870967744</v>
      </c>
      <c r="AA27" s="51">
        <f>F15/E8</f>
        <v>0.72580645161290325</v>
      </c>
      <c r="AC27" s="51">
        <f>H28/F8</f>
        <v>0.2</v>
      </c>
      <c r="AD27" s="48">
        <f>$AC$24*AC27</f>
        <v>140.80000000000001</v>
      </c>
    </row>
    <row r="28" spans="1:30" x14ac:dyDescent="0.25">
      <c r="A28" s="13" t="s">
        <v>8</v>
      </c>
      <c r="B28" s="60"/>
      <c r="C28" s="60"/>
      <c r="D28" s="35">
        <v>0</v>
      </c>
      <c r="E28" s="34"/>
      <c r="F28" s="35">
        <v>0</v>
      </c>
      <c r="G28" s="35"/>
      <c r="H28" s="34">
        <v>3</v>
      </c>
      <c r="I28" s="34">
        <v>141</v>
      </c>
      <c r="J28" s="34">
        <v>0</v>
      </c>
      <c r="K28" s="34"/>
      <c r="L28" s="34">
        <v>0</v>
      </c>
      <c r="M28" s="34"/>
      <c r="N28" s="34">
        <v>0</v>
      </c>
      <c r="O28" s="34"/>
      <c r="P28" s="34"/>
      <c r="Q28" s="34"/>
      <c r="R28" s="34"/>
      <c r="S28" s="56"/>
      <c r="T28" s="34"/>
      <c r="U28" s="56"/>
      <c r="W28" s="50">
        <f>D18/C8</f>
        <v>0.10588235294117647</v>
      </c>
      <c r="X28" s="48">
        <f>$W$24*W28</f>
        <v>82.164705882352933</v>
      </c>
      <c r="Y28" s="19"/>
      <c r="Z28" s="48">
        <f>$Y$24*AA28</f>
        <v>69.58064516129032</v>
      </c>
      <c r="AA28" s="51">
        <f>F18/E8</f>
        <v>9.6774193548387094E-2</v>
      </c>
      <c r="AC28" s="51">
        <f>H30/F8</f>
        <v>0.53333333333333333</v>
      </c>
      <c r="AD28" s="48">
        <f>$AC$24*AC28</f>
        <v>375.46666666666664</v>
      </c>
    </row>
    <row r="29" spans="1:30" x14ac:dyDescent="0.25">
      <c r="A29" s="13" t="s">
        <v>20</v>
      </c>
      <c r="B29" s="60"/>
      <c r="C29" s="60"/>
      <c r="D29" s="35">
        <v>0</v>
      </c>
      <c r="E29" s="34"/>
      <c r="F29" s="35">
        <v>0</v>
      </c>
      <c r="G29" s="35"/>
      <c r="H29" s="35">
        <v>0</v>
      </c>
      <c r="I29" s="34"/>
      <c r="J29" s="35">
        <v>0</v>
      </c>
      <c r="K29" s="34"/>
      <c r="L29" s="35">
        <v>0</v>
      </c>
      <c r="M29" s="34"/>
      <c r="N29" s="35">
        <v>0</v>
      </c>
      <c r="O29" s="34"/>
      <c r="P29" s="35">
        <v>1</v>
      </c>
      <c r="Q29" s="34">
        <v>9</v>
      </c>
      <c r="R29" s="35">
        <v>1</v>
      </c>
      <c r="S29" s="56">
        <v>6.782161246612465</v>
      </c>
      <c r="T29" s="34"/>
      <c r="U29" s="56"/>
      <c r="W29" s="50">
        <f>D21/C8</f>
        <v>4.7058823529411764E-2</v>
      </c>
      <c r="X29" s="48">
        <f>$W$24*W29</f>
        <v>36.517647058823528</v>
      </c>
      <c r="Z29" s="48">
        <f>$Y$24*AA29</f>
        <v>104.37096774193549</v>
      </c>
      <c r="AA29" s="51">
        <f>F21/E8</f>
        <v>0.14516129032258066</v>
      </c>
      <c r="AC29" s="43">
        <f>H31/F8</f>
        <v>0.2</v>
      </c>
      <c r="AD29" s="48">
        <f>$AC$24*AC29</f>
        <v>140.80000000000001</v>
      </c>
    </row>
    <row r="30" spans="1:30" x14ac:dyDescent="0.25">
      <c r="A30" s="13" t="s">
        <v>21</v>
      </c>
      <c r="B30" s="60"/>
      <c r="C30" s="60"/>
      <c r="D30" s="35">
        <v>0</v>
      </c>
      <c r="E30" s="34"/>
      <c r="F30" s="35">
        <v>0</v>
      </c>
      <c r="G30" s="35"/>
      <c r="H30" s="34">
        <v>8</v>
      </c>
      <c r="I30" s="34">
        <v>375</v>
      </c>
      <c r="J30" s="34">
        <v>0</v>
      </c>
      <c r="K30" s="34"/>
      <c r="L30" s="34">
        <v>0</v>
      </c>
      <c r="M30" s="34"/>
      <c r="N30" s="34">
        <v>2</v>
      </c>
      <c r="O30" s="34">
        <v>18</v>
      </c>
      <c r="P30" s="34">
        <v>11</v>
      </c>
      <c r="Q30" s="34">
        <v>121</v>
      </c>
      <c r="R30" s="34">
        <v>5</v>
      </c>
      <c r="S30" s="56">
        <v>33.910806233062324</v>
      </c>
      <c r="T30" s="34"/>
      <c r="U30" s="56"/>
      <c r="W30" s="50">
        <f>D19/C8</f>
        <v>1.1764705882352941E-2</v>
      </c>
      <c r="X30" s="48">
        <f>$W$24*W30</f>
        <v>9.1294117647058819</v>
      </c>
      <c r="Z30" s="48">
        <f>$Y$24*AA30</f>
        <v>23.193548387096772</v>
      </c>
      <c r="AA30" s="51">
        <f>F24/E8</f>
        <v>3.2258064516129031E-2</v>
      </c>
      <c r="AC30" s="43">
        <f>H36/F8</f>
        <v>6.6666666666666666E-2</v>
      </c>
      <c r="AD30" s="48">
        <f>$AC$24*AC30</f>
        <v>46.93333333333333</v>
      </c>
    </row>
    <row r="31" spans="1:30" x14ac:dyDescent="0.25">
      <c r="A31" s="13" t="s">
        <v>9</v>
      </c>
      <c r="B31" s="60"/>
      <c r="C31" s="60"/>
      <c r="D31" s="35">
        <v>0</v>
      </c>
      <c r="E31" s="34"/>
      <c r="F31" s="35">
        <v>0</v>
      </c>
      <c r="G31" s="35"/>
      <c r="H31" s="34">
        <v>3</v>
      </c>
      <c r="I31" s="34">
        <v>141</v>
      </c>
      <c r="J31" s="34">
        <v>0</v>
      </c>
      <c r="K31" s="34"/>
      <c r="L31" s="34">
        <v>0</v>
      </c>
      <c r="M31" s="34"/>
      <c r="N31" s="34">
        <v>0</v>
      </c>
      <c r="O31" s="34"/>
      <c r="P31" s="34">
        <v>6</v>
      </c>
      <c r="Q31" s="34">
        <v>54</v>
      </c>
      <c r="R31" s="34">
        <v>1</v>
      </c>
      <c r="S31" s="56">
        <v>6.782161246612465</v>
      </c>
      <c r="T31" s="34"/>
      <c r="U31" s="56"/>
      <c r="W31" s="50">
        <v>1.1764705882352941E-2</v>
      </c>
      <c r="X31" s="48">
        <f>$W$24*W31</f>
        <v>9.1294117647058819</v>
      </c>
    </row>
    <row r="32" spans="1:30" x14ac:dyDescent="0.25">
      <c r="A32" s="13" t="s">
        <v>22</v>
      </c>
      <c r="B32" s="60"/>
      <c r="C32" s="60"/>
      <c r="D32" s="35">
        <v>0</v>
      </c>
      <c r="E32" s="34"/>
      <c r="F32" s="35">
        <v>0</v>
      </c>
      <c r="G32" s="35"/>
      <c r="H32" s="35">
        <v>0</v>
      </c>
      <c r="I32" s="34"/>
      <c r="J32" s="35">
        <v>0</v>
      </c>
      <c r="K32" s="34"/>
      <c r="L32" s="35">
        <v>0</v>
      </c>
      <c r="M32" s="34"/>
      <c r="N32" s="35">
        <v>0</v>
      </c>
      <c r="O32" s="34"/>
      <c r="P32" s="35"/>
      <c r="Q32" s="34"/>
      <c r="R32" s="35">
        <v>3</v>
      </c>
      <c r="S32" s="56">
        <v>20.346483739837392</v>
      </c>
      <c r="T32" s="34"/>
      <c r="U32" s="56"/>
    </row>
    <row r="33" spans="1:21" s="18" customFormat="1" x14ac:dyDescent="0.25">
      <c r="A33" s="13" t="s">
        <v>23</v>
      </c>
      <c r="B33" s="60"/>
      <c r="C33" s="60"/>
      <c r="D33" s="35">
        <v>0</v>
      </c>
      <c r="E33" s="34"/>
      <c r="F33" s="35">
        <v>0</v>
      </c>
      <c r="G33" s="35"/>
      <c r="H33" s="35">
        <v>0</v>
      </c>
      <c r="I33" s="34"/>
      <c r="J33" s="35">
        <v>0</v>
      </c>
      <c r="K33" s="34"/>
      <c r="L33" s="35">
        <v>0</v>
      </c>
      <c r="M33" s="34"/>
      <c r="N33" s="35">
        <v>0</v>
      </c>
      <c r="O33" s="34"/>
      <c r="P33" s="35"/>
      <c r="Q33" s="34"/>
      <c r="R33" s="35"/>
      <c r="S33" s="56"/>
      <c r="T33" s="35"/>
      <c r="U33" s="56"/>
    </row>
    <row r="34" spans="1:21" x14ac:dyDescent="0.25">
      <c r="A34" s="13" t="s">
        <v>34</v>
      </c>
      <c r="B34" s="60"/>
      <c r="C34" s="60"/>
      <c r="D34" s="35">
        <v>0</v>
      </c>
      <c r="E34" s="34"/>
      <c r="F34" s="35">
        <v>0</v>
      </c>
      <c r="G34" s="35"/>
      <c r="H34" s="35">
        <v>0</v>
      </c>
      <c r="I34" s="34"/>
      <c r="J34" s="35">
        <v>0</v>
      </c>
      <c r="K34" s="34"/>
      <c r="L34" s="35">
        <v>0</v>
      </c>
      <c r="M34" s="34"/>
      <c r="N34" s="35">
        <v>0</v>
      </c>
      <c r="O34" s="34"/>
      <c r="P34" s="35"/>
      <c r="Q34" s="34"/>
      <c r="R34" s="35"/>
      <c r="S34" s="56"/>
      <c r="T34" s="35"/>
      <c r="U34" s="56"/>
    </row>
    <row r="35" spans="1:21" ht="15.75" x14ac:dyDescent="0.25">
      <c r="A35" s="17" t="s">
        <v>13</v>
      </c>
      <c r="B35" s="29"/>
      <c r="C35" s="29"/>
      <c r="D35" s="29">
        <v>0</v>
      </c>
      <c r="E35" s="29"/>
      <c r="F35" s="29">
        <v>0</v>
      </c>
      <c r="G35" s="29"/>
      <c r="H35" s="29">
        <v>0</v>
      </c>
      <c r="I35" s="29"/>
      <c r="J35" s="29">
        <v>0</v>
      </c>
      <c r="K35" s="29"/>
      <c r="L35" s="29">
        <v>0</v>
      </c>
      <c r="M35" s="29"/>
      <c r="N35" s="29">
        <v>0</v>
      </c>
      <c r="O35" s="29"/>
      <c r="P35" s="29">
        <v>68</v>
      </c>
      <c r="Q35" s="29">
        <v>306</v>
      </c>
      <c r="R35" s="29"/>
      <c r="S35" s="57"/>
      <c r="T35" s="29"/>
      <c r="U35" s="57"/>
    </row>
    <row r="36" spans="1:21" ht="15.75" x14ac:dyDescent="0.25">
      <c r="A36" s="17" t="s">
        <v>32</v>
      </c>
      <c r="B36" s="29"/>
      <c r="C36" s="29"/>
      <c r="D36" s="29">
        <v>0</v>
      </c>
      <c r="E36" s="29"/>
      <c r="F36" s="29">
        <v>0</v>
      </c>
      <c r="G36" s="29"/>
      <c r="H36" s="29">
        <v>1</v>
      </c>
      <c r="I36" s="29">
        <v>47</v>
      </c>
      <c r="J36" s="29">
        <v>0</v>
      </c>
      <c r="K36" s="29"/>
      <c r="L36" s="29">
        <v>0</v>
      </c>
      <c r="M36" s="29"/>
      <c r="N36" s="29">
        <v>0</v>
      </c>
      <c r="O36" s="29"/>
      <c r="P36" s="29"/>
      <c r="Q36" s="29"/>
      <c r="R36" s="29"/>
      <c r="S36" s="57"/>
      <c r="T36" s="29"/>
      <c r="U36" s="57"/>
    </row>
    <row r="37" spans="1:21" s="18" customFormat="1" ht="15.75" x14ac:dyDescent="0.25">
      <c r="A37" s="17" t="s">
        <v>42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>
        <v>1</v>
      </c>
      <c r="Q37" s="29">
        <v>5</v>
      </c>
      <c r="R37" s="29"/>
      <c r="S37" s="57"/>
      <c r="T37" s="29"/>
      <c r="U37" s="57"/>
    </row>
    <row r="38" spans="1:21" s="18" customFormat="1" ht="15.75" x14ac:dyDescent="0.25">
      <c r="A38" s="17" t="s">
        <v>43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>
        <v>1</v>
      </c>
      <c r="Q38" s="29">
        <v>9</v>
      </c>
      <c r="R38" s="29"/>
      <c r="S38" s="57"/>
      <c r="T38" s="29">
        <v>3</v>
      </c>
      <c r="U38" s="57">
        <v>45</v>
      </c>
    </row>
    <row r="39" spans="1:21" s="18" customFormat="1" ht="15.75" x14ac:dyDescent="0.25">
      <c r="A39" s="17" t="s">
        <v>45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>
        <v>1</v>
      </c>
      <c r="Q39" s="29">
        <v>9</v>
      </c>
      <c r="R39" s="29">
        <v>1</v>
      </c>
      <c r="S39" s="57">
        <v>6.782161246612465</v>
      </c>
      <c r="T39" s="29">
        <v>4</v>
      </c>
      <c r="U39" s="57">
        <v>36</v>
      </c>
    </row>
    <row r="40" spans="1:21" s="18" customFormat="1" ht="15.75" x14ac:dyDescent="0.25">
      <c r="A40" s="17" t="s">
        <v>44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>
        <v>11</v>
      </c>
      <c r="Q40" s="29">
        <v>49.5</v>
      </c>
      <c r="R40" s="29">
        <v>31</v>
      </c>
      <c r="S40" s="57">
        <v>210.24699864498641</v>
      </c>
      <c r="T40" s="29">
        <v>5</v>
      </c>
      <c r="U40" s="57">
        <v>22.5</v>
      </c>
    </row>
    <row r="41" spans="1:21" x14ac:dyDescent="0.25">
      <c r="E41" s="49">
        <f>+E15+E16+E18+E19+E21+E22+E24+E26+E27+E28+E29+E30+E31+E32+E33+E34+E35+E36</f>
        <v>776.05882352941171</v>
      </c>
      <c r="G41" s="49">
        <f>+G15+G16+G18+G19+G21+G22+G24+G26+G27+G28+G29+G30+G31+G32+G33+G34+G35+G36</f>
        <v>719.00000000000011</v>
      </c>
      <c r="I41" s="37">
        <f>+I15+I16+I18+I19+I21+I22+I24+I26+I27+I28+I29+I30+I31+I32+I33+I34+I35+I36</f>
        <v>704</v>
      </c>
      <c r="J41" s="18"/>
      <c r="K41" s="37">
        <f>+K15+K16+K18+K19+K21+K22+K24+K26+K27+K28+K29+K30+K31+K32+K33+K34+K35+K36</f>
        <v>130.5</v>
      </c>
      <c r="L41" s="18"/>
      <c r="M41" s="37">
        <f>+M15+M16+M18+M19+M21+M22+M24+M26+M27+M28+M29+M30+M31+M32+M33+M34+M35+M36</f>
        <v>427.5</v>
      </c>
      <c r="N41" s="18"/>
      <c r="O41" s="37">
        <f>+O15+O16+O18+O19+O21+O22+O24+O26+O27+O28+O29+O30+O31+O32+O33+O34+O35+O36</f>
        <v>207</v>
      </c>
      <c r="P41" s="18"/>
      <c r="Q41" s="55">
        <f>+Q15+Q16+Q18+Q19+Q21+Q22+Q24+Q26+Q27+Q28+Q29+Q30+Q31+Q32+Q33+Q34+Q35+Q36</f>
        <v>559.5</v>
      </c>
      <c r="R41" s="49">
        <v>82</v>
      </c>
      <c r="S41" s="58">
        <f>+S15+S16+S18+S19+S21+S22+S24+S26+S27+S28+S29+S30+S31+S32+S33+S34+S35+S36+S37+S38+S39+S40</f>
        <v>556.13722222222214</v>
      </c>
      <c r="T41" s="49">
        <v>68</v>
      </c>
      <c r="U41" s="58">
        <v>506</v>
      </c>
    </row>
    <row r="42" spans="1:21" x14ac:dyDescent="0.25">
      <c r="D42" s="43" t="s">
        <v>37</v>
      </c>
      <c r="E42" s="42">
        <f>C6-E41</f>
        <v>-5.8823529411711206E-2</v>
      </c>
      <c r="G42" s="42">
        <f>E6-G41</f>
        <v>0</v>
      </c>
      <c r="I42" s="42">
        <f>F6-I41</f>
        <v>0</v>
      </c>
      <c r="K42" s="21"/>
      <c r="L42" s="21"/>
    </row>
    <row r="43" spans="1:21" x14ac:dyDescent="0.25">
      <c r="D43" t="s">
        <v>38</v>
      </c>
      <c r="E43" s="43">
        <f>E42/C6</f>
        <v>-7.5803517283133001E-5</v>
      </c>
      <c r="G43" s="43">
        <f>G42/E6</f>
        <v>0</v>
      </c>
      <c r="I43" s="43">
        <f>I42/F6</f>
        <v>0</v>
      </c>
      <c r="P43" s="18"/>
    </row>
  </sheetData>
  <mergeCells count="15">
    <mergeCell ref="T12:U12"/>
    <mergeCell ref="R12:S12"/>
    <mergeCell ref="P12:Q12"/>
    <mergeCell ref="N12:O12"/>
    <mergeCell ref="L12:M12"/>
    <mergeCell ref="B21:C22"/>
    <mergeCell ref="H12:I12"/>
    <mergeCell ref="J12:K12"/>
    <mergeCell ref="B26:C34"/>
    <mergeCell ref="B24:C24"/>
    <mergeCell ref="B12:C12"/>
    <mergeCell ref="D12:E12"/>
    <mergeCell ref="F12:G12"/>
    <mergeCell ref="B15:C16"/>
    <mergeCell ref="B18:C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PACORET Stephanie (ETS)</dc:creator>
  <cp:lastModifiedBy>EL JAOUHARI Ussama [EIDS]</cp:lastModifiedBy>
  <dcterms:created xsi:type="dcterms:W3CDTF">2026-01-19T14:26:49Z</dcterms:created>
  <dcterms:modified xsi:type="dcterms:W3CDTF">2026-09-07T09:46:10Z</dcterms:modified>
</cp:coreProperties>
</file>