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 hebdo" sheetId="1" state="visible" r:id="rId3"/>
    <sheet name="Par collaborateur" sheetId="2" state="visible" r:id="rId4"/>
    <sheet name="Détail" sheetId="3" state="visible" r:id="rId5"/>
    <sheet name="Remarques" sheetId="4" state="visible" r:id="rId6"/>
  </sheets>
  <definedNames>
    <definedName function="false" hidden="true" localSheetId="2" name="_xlnm._FilterDatabase" vbProcedure="false">Détail!$A$1:$M$134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<sst xmlns="http://schemas.openxmlformats.org/spreadsheetml/2006/main" count="897" uniqueCount="225">
  <si>
    <t xml:space="preserve">Synthèse des évaluations par collaborateur et par semaine</t>
  </si>
  <si>
    <t xml:space="preserve">Nb docs = documents traités dans la semaine ; Note moy. = moyenne des notes /100 des documents évalués (cellule vide = aucun document). Calculé par formules à partir de l'onglet « Détail ».</t>
  </si>
  <si>
    <t xml:space="preserve">Année</t>
  </si>
  <si>
    <t xml:space="preserve">Semaine</t>
  </si>
  <si>
    <t xml:space="preserve">Période (lun.–dim.)</t>
  </si>
  <si>
    <t xml:space="preserve">Hafssa BENCHRIF</t>
  </si>
  <si>
    <t xml:space="preserve">Hiba LISSAOUI</t>
  </si>
  <si>
    <t xml:space="preserve">Imad RMAIDI</t>
  </si>
  <si>
    <t xml:space="preserve">Mohamed HAMDANI</t>
  </si>
  <si>
    <t xml:space="preserve">Youssef</t>
  </si>
  <si>
    <t xml:space="preserve">Équipe</t>
  </si>
  <si>
    <t xml:space="preserve">Nb docs</t>
  </si>
  <si>
    <t xml:space="preserve">Note moy.</t>
  </si>
  <si>
    <t xml:space="preserve">15/12/2025 – 21/12/2025</t>
  </si>
  <si>
    <t xml:space="preserve">22/12/2025 – 28/12/2025</t>
  </si>
  <si>
    <t xml:space="preserve">29/12/2025 – 04/01/2026</t>
  </si>
  <si>
    <t xml:space="preserve">05/01/2026 – 11/01/2026</t>
  </si>
  <si>
    <t xml:space="preserve">12/01/2026 – 18/01/2026</t>
  </si>
  <si>
    <t xml:space="preserve">19/01/2026 – 25/01/2026</t>
  </si>
  <si>
    <t xml:space="preserve">26/01/2026 – 01/02/2026</t>
  </si>
  <si>
    <t xml:space="preserve">02/02/2026 – 08/02/2026</t>
  </si>
  <si>
    <t xml:space="preserve">09/02/2026 – 15/02/2026</t>
  </si>
  <si>
    <t xml:space="preserve">16/02/2026 – 22/02/2026</t>
  </si>
  <si>
    <t xml:space="preserve">23/02/2026 – 01/03/2026</t>
  </si>
  <si>
    <t xml:space="preserve">02/03/2026 – 08/03/2026</t>
  </si>
  <si>
    <t xml:space="preserve">09/03/2026 – 15/03/2026</t>
  </si>
  <si>
    <t xml:space="preserve">16/03/2026 – 22/03/2026</t>
  </si>
  <si>
    <t xml:space="preserve">23/03/2026 – 29/03/2026</t>
  </si>
  <si>
    <t xml:space="preserve">30/03/2026 – 05/04/2026</t>
  </si>
  <si>
    <t xml:space="preserve">06/04/2026 – 12/04/2026</t>
  </si>
  <si>
    <t xml:space="preserve">13/04/2026 – 19/04/2026</t>
  </si>
  <si>
    <t xml:space="preserve">20/04/2026 – 26/04/2026</t>
  </si>
  <si>
    <t xml:space="preserve">27/04/2026 – 03/05/2026</t>
  </si>
  <si>
    <t xml:space="preserve">04/05/2026 – 10/05/2026</t>
  </si>
  <si>
    <t xml:space="preserve">11/05/2026 – 17/05/2026</t>
  </si>
  <si>
    <t xml:space="preserve">18/05/2026 – 24/05/2026</t>
  </si>
  <si>
    <t xml:space="preserve">25/05/2026 – 31/05/2026</t>
  </si>
  <si>
    <t xml:space="preserve">01/06/2026 – 07/06/2026</t>
  </si>
  <si>
    <t xml:space="preserve">08/06/2026 – 14/06/2026</t>
  </si>
  <si>
    <t xml:space="preserve">15/06/2026 – 21/06/2026</t>
  </si>
  <si>
    <t xml:space="preserve">22/06/2026 – 28/06/2026</t>
  </si>
  <si>
    <t xml:space="preserve">29/06/2026 – 05/07/2026</t>
  </si>
  <si>
    <t xml:space="preserve">06/07/2026 – 12/07/2026</t>
  </si>
  <si>
    <t xml:space="preserve">13/07/2026 – 19/07/2026</t>
  </si>
  <si>
    <t xml:space="preserve">20/07/2026 – 26/07/2026</t>
  </si>
  <si>
    <t xml:space="preserve">27/07/2026 – 02/08/2026</t>
  </si>
  <si>
    <t xml:space="preserve">03/08/2026 – 09/08/2026</t>
  </si>
  <si>
    <t xml:space="preserve">10/08/2026 – 16/08/2026</t>
  </si>
  <si>
    <t xml:space="preserve">17/08/2026 – 23/08/2026</t>
  </si>
  <si>
    <t xml:space="preserve">24/08/2026 – 30/08/2026</t>
  </si>
  <si>
    <t xml:space="preserve">31/08/2026 – 06/09/2026</t>
  </si>
  <si>
    <t xml:space="preserve">07/09/2026 – 13/09/2026</t>
  </si>
  <si>
    <t xml:space="preserve">14/09/2026 – 20/09/2026</t>
  </si>
  <si>
    <t xml:space="preserve">21/09/2026 – 27/09/2026</t>
  </si>
  <si>
    <t xml:space="preserve">28/09/2026 – 04/10/2026</t>
  </si>
  <si>
    <t xml:space="preserve">05/10/2026 – 11/10/2026</t>
  </si>
  <si>
    <t xml:space="preserve">12/10/2026 – 18/10/2026</t>
  </si>
  <si>
    <t xml:space="preserve">19/10/2026 – 25/10/2026</t>
  </si>
  <si>
    <t xml:space="preserve">26/10/2026 – 01/11/2026</t>
  </si>
  <si>
    <t xml:space="preserve">Total / moyenne</t>
  </si>
  <si>
    <t xml:space="preserve">Bilan par collaborateur</t>
  </si>
  <si>
    <t xml:space="preserve">Collaborateur</t>
  </si>
  <si>
    <t xml:space="preserve">Documents traités</t>
  </si>
  <si>
    <t xml:space="preserve">Documents évalués</t>
  </si>
  <si>
    <t xml:space="preserve">Semaines actives</t>
  </si>
  <si>
    <t xml:space="preserve">Note moyenne /100</t>
  </si>
  <si>
    <t xml:space="preserve">Note min.</t>
  </si>
  <si>
    <t xml:space="preserve">Documents à 100 %</t>
  </si>
  <si>
    <t xml:space="preserve">Documents &lt; 100 %</t>
  </si>
  <si>
    <t xml:space="preserve">Documents &lt; 85 %</t>
  </si>
  <si>
    <t xml:space="preserve">Rapports manquants</t>
  </si>
  <si>
    <t xml:space="preserve">Critères non conformes</t>
  </si>
  <si>
    <t xml:space="preserve">Seuil de conformité retenu : 85 % (identique aux rapports RAPDF). « Semaines actives » = semaines avec au moins un document.</t>
  </si>
  <si>
    <t xml:space="preserve">Clé semaine</t>
  </si>
  <si>
    <t xml:space="preserve">Document</t>
  </si>
  <si>
    <t xml:space="preserve">Type</t>
  </si>
  <si>
    <t xml:space="preserve">Date d'évaluation</t>
  </si>
  <si>
    <t xml:space="preserve">Source</t>
  </si>
  <si>
    <t xml:space="preserve">Note /100</t>
  </si>
  <si>
    <t xml:space="preserve">Statut</t>
  </si>
  <si>
    <t xml:space="preserve">Critères conformes</t>
  </si>
  <si>
    <t xml:space="preserve">Critères non applicables</t>
  </si>
  <si>
    <t xml:space="preserve">CG0570v02 0525</t>
  </si>
  <si>
    <t xml:space="preserve">word</t>
  </si>
  <si>
    <t xml:space="preserve">Grille</t>
  </si>
  <si>
    <t xml:space="preserve">CM0409v04 1214 LIVRET PUNCH</t>
  </si>
  <si>
    <t xml:space="preserve">CG.05.78v02 1024 CG BAD EI CM CIC</t>
  </si>
  <si>
    <t xml:space="preserve">CG0566 0725 CM</t>
  </si>
  <si>
    <t xml:space="preserve">CG0443v02 1214 LIVRET BIENVENUE +</t>
  </si>
  <si>
    <t xml:space="preserve">CM0310v03 1122 livret bleu Prem's</t>
  </si>
  <si>
    <t xml:space="preserve">CI0396v03 1018 CG carte de retrait DE</t>
  </si>
  <si>
    <t xml:space="preserve">CM0575v01 0324 Carte achat public</t>
  </si>
  <si>
    <t xml:space="preserve">CG0563v01 0123 CG Services de Dépôt</t>
  </si>
  <si>
    <t xml:space="preserve">CG0706 1219</t>
  </si>
  <si>
    <t xml:space="preserve">CG0704 1120</t>
  </si>
  <si>
    <t xml:space="preserve">GR8884v11 0122 caut PP EPS</t>
  </si>
  <si>
    <t xml:space="preserve">CG0403v02 0314 CG Livret bienvenue DE</t>
  </si>
  <si>
    <t xml:space="preserve">CG0523v01 0616 Livret Crescendo UK</t>
  </si>
  <si>
    <t xml:space="preserve">CG0309v01 0710 carte authen bancaire FR</t>
  </si>
  <si>
    <t xml:space="preserve">CG0309v01 0710 carte authen bancaire UK</t>
  </si>
  <si>
    <t xml:space="preserve">GR8860v08 0122 nant ass vie ss contre ass</t>
  </si>
  <si>
    <t xml:space="preserve">CG0212v02 0214 conv information conseil</t>
  </si>
  <si>
    <t xml:space="preserve">CG0312 0725</t>
  </si>
  <si>
    <t xml:space="preserve">CV0508v03 0922 TCN</t>
  </si>
  <si>
    <t xml:space="preserve">CG0309v01 0710 carte authen bancaire DE</t>
  </si>
  <si>
    <t xml:space="preserve">GR8903v04 1021 délég ttle capitalisation</t>
  </si>
  <si>
    <t xml:space="preserve">GR8865v11 0123 gage auto</t>
  </si>
  <si>
    <t xml:space="preserve">GR8875v09 0122 nant cpte bancaire</t>
  </si>
  <si>
    <t xml:space="preserve">GR8830v05 0221 prom de gage ou nant</t>
  </si>
  <si>
    <t xml:space="preserve">CG0103v17 0323 MCD</t>
  </si>
  <si>
    <t xml:space="preserve">CI0433v06 0312 Stage prévention</t>
  </si>
  <si>
    <t xml:space="preserve">GR8866v04 0123 bord gage auto</t>
  </si>
  <si>
    <t xml:space="preserve">GR8847v03 0122 nant CTF conv</t>
  </si>
  <si>
    <t xml:space="preserve">GR8845v11 0122 nant CTF</t>
  </si>
  <si>
    <t xml:space="preserve">CM0459v03 1015 CG Tonic Privilege DE</t>
  </si>
  <si>
    <t xml:space="preserve">CI0464v07 1122 CG livret A Prem_s DE</t>
  </si>
  <si>
    <t xml:space="preserve">CG0552v01 0620 AAD</t>
  </si>
  <si>
    <t xml:space="preserve">COL_9902030098_011000733309323</t>
  </si>
  <si>
    <t xml:space="preserve">pdf</t>
  </si>
  <si>
    <t xml:space="preserve">RAPDF</t>
  </si>
  <si>
    <t xml:space="preserve">EMP_9902030152_011000758125238</t>
  </si>
  <si>
    <t xml:space="preserve">SAN_9902030040_011000804912506</t>
  </si>
  <si>
    <t xml:space="preserve">SAN_9902030040_011000804912412</t>
  </si>
  <si>
    <t xml:space="preserve">COL_9902030098_011000744004221</t>
  </si>
  <si>
    <t xml:space="preserve">EMP_9902030152_011000767923078</t>
  </si>
  <si>
    <t xml:space="preserve">SAN_9902030040_011000804912294</t>
  </si>
  <si>
    <t xml:space="preserve">SAN_9902030030_011000710963677</t>
  </si>
  <si>
    <t xml:space="preserve">COL_9902030098_011000764636583</t>
  </si>
  <si>
    <t xml:space="preserve">EMP_9902030152_011000767923080</t>
  </si>
  <si>
    <t xml:space="preserve">SAN_9902030030_011000710963708</t>
  </si>
  <si>
    <t xml:space="preserve">SAN_9902030030_011000710963634</t>
  </si>
  <si>
    <t xml:space="preserve">FGDR10278</t>
  </si>
  <si>
    <t xml:space="preserve">CM.05.32</t>
  </si>
  <si>
    <t xml:space="preserve">SAN_9902020008_011000745243123</t>
  </si>
  <si>
    <t xml:space="preserve">—</t>
  </si>
  <si>
    <t xml:space="preserve">SAN_9902030053_011000789059347</t>
  </si>
  <si>
    <t xml:space="preserve">81.69.55</t>
  </si>
  <si>
    <t xml:space="preserve">16.61.12 notice</t>
  </si>
  <si>
    <t xml:space="preserve">DIT10278</t>
  </si>
  <si>
    <t xml:space="preserve">9800059279 Fc_E-Retrait_v062026</t>
  </si>
  <si>
    <t xml:space="preserve">9800155243 Fc_CB_MC_Vie_Quotidienne_v062026</t>
  </si>
  <si>
    <t xml:space="preserve">9800103268 Fz_CB_MC_Gold_Devise_v062026</t>
  </si>
  <si>
    <t xml:space="preserve">9800166677 Fz_Apple_Pay_v062026</t>
  </si>
  <si>
    <t xml:space="preserve">9800165798 Fc_CB_MC_Gold_Certizen_v062026</t>
  </si>
  <si>
    <t xml:space="preserve">9800182914 CM FC compte courant PART</t>
  </si>
  <si>
    <t xml:space="preserve">Fiche Zoom Alertes CIC revue</t>
  </si>
  <si>
    <t xml:space="preserve">0110017197 Fc_CB_Visa_Classic_v062026 </t>
  </si>
  <si>
    <t xml:space="preserve">9800164541 CM - Digipass</t>
  </si>
  <si>
    <t xml:space="preserve">PdB 9800135222</t>
  </si>
  <si>
    <t xml:space="preserve">9800222734 FZ compte courant sequestre judiciaire</t>
  </si>
  <si>
    <t xml:space="preserve">9800075418 CM - EUC Vie Quotidienne 2025</t>
  </si>
  <si>
    <t xml:space="preserve">9800222734 FZ compte courant séquestre judiciaire</t>
  </si>
  <si>
    <t xml:space="preserve">9800139498 Fz_CB_Visa_Cla_CVVEvo_v062026</t>
  </si>
  <si>
    <t xml:space="preserve">9800208498 CIC - e-contrat personnal global FZ</t>
  </si>
  <si>
    <t xml:space="preserve">9800193029 FZ - CC majeurs protégés</t>
  </si>
  <si>
    <t xml:space="preserve">0110017276 FC PEA 0426_reluNK v2</t>
  </si>
  <si>
    <t xml:space="preserve">9800132645 CIC FZ - CTO - 0426_reluNK_1</t>
  </si>
  <si>
    <t xml:space="preserve">0470004354 CIC FZ PEA 0426_reluNK</t>
  </si>
  <si>
    <t xml:space="preserve">SAN_9902030032_011000745243124</t>
  </si>
  <si>
    <t xml:space="preserve">PEAPME _0140025040-Vadsf2026</t>
  </si>
  <si>
    <t xml:space="preserve">CTO _0140025607-Vadsf2026.doc</t>
  </si>
  <si>
    <t xml:space="preserve">PEA _0140020765-Vadsf2026</t>
  </si>
  <si>
    <t xml:space="preserve">P1_Notice_Monabanq_10-2026</t>
  </si>
  <si>
    <t xml:space="preserve">P1_Notice_Cofidis-France_10-2026</t>
  </si>
  <si>
    <t xml:space="preserve">P1_IPID_Monabanq_10-2026</t>
  </si>
  <si>
    <t xml:space="preserve">0130015514_FC Tonic Privilège à préavis_072026</t>
  </si>
  <si>
    <t xml:space="preserve">0130022152_FC Tonic Plus_072026</t>
  </si>
  <si>
    <t xml:space="preserve">0130018095_FC CM ADD_072026</t>
  </si>
  <si>
    <t xml:space="preserve">0130024381_FC_Wero _072026</t>
  </si>
  <si>
    <t xml:space="preserve">0130025139 Fc_Payweb_Card_v072026</t>
  </si>
  <si>
    <t xml:space="preserve">0130009109 CM - Eurocompte jeune 072026</t>
  </si>
  <si>
    <t xml:space="preserve">COL_9902030098_011000823633463</t>
  </si>
  <si>
    <t xml:space="preserve">COL_9902030098_011000823633466</t>
  </si>
  <si>
    <t xml:space="preserve">COL_9902030092_011000709664942</t>
  </si>
  <si>
    <t xml:space="preserve">IRD_9902030015_011000527904321</t>
  </si>
  <si>
    <t xml:space="preserve">IRD_9902030015_011000527904323</t>
  </si>
  <si>
    <t xml:space="preserve">IRD_9902030015_011000527904322</t>
  </si>
  <si>
    <t xml:space="preserve">PJU_9902030015_011000715122529</t>
  </si>
  <si>
    <t xml:space="preserve">IRD_9902030015_011000882672599</t>
  </si>
  <si>
    <t xml:space="preserve">FC Compte courant basic</t>
  </si>
  <si>
    <t xml:space="preserve">FC capital expansion 07 2026</t>
  </si>
  <si>
    <t xml:space="preserve">FC LIVRET JEUNE 07 2026</t>
  </si>
  <si>
    <t xml:space="preserve">IRD_9902030015_011000527904325</t>
  </si>
  <si>
    <t xml:space="preserve">0470005537 CIC - FZ Parcours J</t>
  </si>
  <si>
    <t xml:space="preserve">IRD_9902030015_011000625586072</t>
  </si>
  <si>
    <t xml:space="preserve">IRD_9902030015_011000625586081</t>
  </si>
  <si>
    <t xml:space="preserve">IRD_9902030015_011000586849369</t>
  </si>
  <si>
    <t xml:space="preserve">9800207241_FC Credit Vélo</t>
  </si>
  <si>
    <t xml:space="preserve">2026 FC Top infos</t>
  </si>
  <si>
    <t xml:space="preserve">9800133888_FZ Start etudiant entrepreneurs</t>
  </si>
  <si>
    <t xml:space="preserve">9800242964 fiche clarté CREDIT REBOND</t>
  </si>
  <si>
    <t xml:space="preserve">9800223162_Fiche Clarté Multiprojets</t>
  </si>
  <si>
    <t xml:space="preserve">9800223972_Fiche ZOOM Multiprojets CIC</t>
  </si>
  <si>
    <t xml:space="preserve">IRD_9902030015_011000625586104</t>
  </si>
  <si>
    <t xml:space="preserve">MC CG0610 0725 GSM PP</t>
  </si>
  <si>
    <t xml:space="preserve">CG 14 03 12 Livret Jeune 10 2026</t>
  </si>
  <si>
    <t xml:space="preserve">1_0626_066_CC PART CEE IDF SE SMB 81.69.55</t>
  </si>
  <si>
    <t xml:space="preserve">3_0626_066_CC PART CMN 81.31.92</t>
  </si>
  <si>
    <t xml:space="preserve">11_0626_066_CC PART CMMC CME 90.02.23</t>
  </si>
  <si>
    <t xml:space="preserve">CG LIVRET CAP12 13 05 89 1026 CMO</t>
  </si>
  <si>
    <t xml:space="preserve">9800220548_Fiche clarté P3F</t>
  </si>
  <si>
    <t xml:space="preserve">9800220547_Fiche ZOOM ETALIS+</t>
  </si>
  <si>
    <t xml:space="preserve">9800111626 CM Découvert Eurocompte</t>
  </si>
  <si>
    <t xml:space="preserve">9800227649_Fiche clarté Prêt Coup de Pouce 2026</t>
  </si>
  <si>
    <t xml:space="preserve">contrat-cadre-de-services-de-paiement-creatis-v2</t>
  </si>
  <si>
    <t xml:space="preserve">9800111648 CIC Fiche Zoom Eco Ptz 2026</t>
  </si>
  <si>
    <t xml:space="preserve">42.LVC.07.26</t>
  </si>
  <si>
    <t xml:space="preserve">42.LVJ.07.26</t>
  </si>
  <si>
    <t xml:space="preserve">42.LPA.07.26</t>
  </si>
  <si>
    <t xml:space="preserve">FC comptes de campagne</t>
  </si>
  <si>
    <t xml:space="preserve">COL_9902030097_011000533279802</t>
  </si>
  <si>
    <t xml:space="preserve">COL_9902030097_011000533279771</t>
  </si>
  <si>
    <t xml:space="preserve">FC Connect Plus</t>
  </si>
  <si>
    <t xml:space="preserve">9800142590 - FC Le prêt Jeunes</t>
  </si>
  <si>
    <t xml:space="preserve">CG0574 1026 CGU IP CIC SUD OUEST</t>
  </si>
  <si>
    <t xml:space="preserve">CG0574 1026 CGU IP CM</t>
  </si>
  <si>
    <t xml:space="preserve">VIE_9902030044_011000541137492</t>
  </si>
  <si>
    <t xml:space="preserve">Remarque</t>
  </si>
  <si>
    <t xml:space="preserve">(dossier vide)</t>
  </si>
  <si>
    <t xml:space="preserve">Dossier de la semaine créé mais vide : aucun document ni rapport.</t>
  </si>
  <si>
    <t xml:space="preserve">Document traité (fichiers présents) mais aucun rapport d'évaluation : note non renseignée.</t>
  </si>
  <si>
    <t xml:space="preserve">Type de document « Non spécifié » dans le rapport : déduit du dossier (pdf).</t>
  </si>
  <si>
    <t xml:space="preserve">Dossier classé en S24 mais le rapport indique « Semaine 31 » (évalué le 2026-07-28) : semaine du dossier retenue.</t>
  </si>
  <si>
    <t xml:space="preserve">Dossier classé en S25 mais le rapport indique « Semaine 31 » (évalué le 2026-07-28) : semaine du dossier retenue.</t>
  </si>
  <si>
    <t xml:space="preserve">Date d'évaluation (2026-10-29) postérieure à aujourd'hui : à vérifier.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</si>
</sst>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;\-0;\–"/>
    <numFmt numFmtId="166" formatCode="0.0"/>
    <numFmt numFmtId="167" formatCode="General"/>
    <numFmt numFmtId="168" formatCode="dd/mm/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25"/>
    <col collapsed="false" customWidth="true" hidden="false" outlineLevel="0" max="15" min="4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/>
      <c r="F4" s="3" t="s">
        <v>6</v>
      </c>
      <c r="G4" s="3"/>
      <c r="H4" s="3" t="s">
        <v>7</v>
      </c>
      <c r="I4" s="3"/>
      <c r="J4" s="3" t="s">
        <v>8</v>
      </c>
      <c r="K4" s="3"/>
      <c r="L4" s="3" t="s">
        <v>9</v>
      </c>
      <c r="M4" s="3"/>
      <c r="N4" s="3" t="s">
        <v>10</v>
      </c>
      <c r="O4" s="3"/>
    </row>
    <row r="5" customFormat="false" ht="15" hidden="false" customHeight="false" outlineLevel="0" collapsed="false">
      <c r="A5" s="3"/>
      <c r="B5" s="3"/>
      <c r="C5" s="3"/>
      <c r="D5" s="3" t="s">
        <v>11</v>
      </c>
      <c r="E5" s="3" t="s">
        <v>12</v>
      </c>
      <c r="F5" s="3" t="s">
        <v>11</v>
      </c>
      <c r="G5" s="3" t="s">
        <v>12</v>
      </c>
      <c r="H5" s="3" t="s">
        <v>11</v>
      </c>
      <c r="I5" s="3" t="s">
        <v>12</v>
      </c>
      <c r="J5" s="3" t="s">
        <v>11</v>
      </c>
      <c r="K5" s="3" t="s">
        <v>12</v>
      </c>
      <c r="L5" s="3" t="s">
        <v>11</v>
      </c>
      <c r="M5" s="3" t="s">
        <v>12</v>
      </c>
      <c r="N5" s="3" t="s">
        <v>11</v>
      </c>
      <c r="O5" s="3" t="s">
        <v>12</v>
      </c>
    </row>
    <row r="6" customFormat="false" ht="15" hidden="false" customHeight="false" outlineLevel="0" collapsed="false">
      <c r="A6" s="4" t="n">
        <v>2025</v>
      </c>
      <c r="B6" s="4" t="n">
        <v>51</v>
      </c>
      <c r="C6" s="4" t="s">
        <v>13</v>
      </c>
      <c r="D6" s="5" t="n">
        <f aca="false">COUNTIFS(Détail!$A:$A,"Hafssa BENCHRIF",Détail!$B:$B,$A6,Détail!$C:$C,$B6)</f>
        <v>2</v>
      </c>
      <c r="E6" s="6" t="n">
        <f aca="false">IFERROR(AVERAGEIFS(Détail!$I:$I,Détail!$A:$A,"Hafssa BENCHRIF",Détail!$B:$B,$A6,Détail!$C:$C,$B6),"")</f>
        <v>100</v>
      </c>
      <c r="F6" s="5" t="n">
        <f aca="false">COUNTIFS(Détail!$A:$A,"Hiba LISSAOUI",Détail!$B:$B,$A6,Détail!$C:$C,$B6)</f>
        <v>2</v>
      </c>
      <c r="G6" s="6" t="n">
        <f aca="false">IFERROR(AVERAGEIFS(Détail!$I:$I,Détail!$A:$A,"Hiba LISSAOUI",Détail!$B:$B,$A6,Détail!$C:$C,$B6),"")</f>
        <v>98.35</v>
      </c>
      <c r="H6" s="5" t="n">
        <f aca="false">COUNTIFS(Détail!$A:$A,"Imad RMAIDI",Détail!$B:$B,$A6,Détail!$C:$C,$B6)</f>
        <v>2</v>
      </c>
      <c r="I6" s="6" t="n">
        <f aca="false">IFERROR(AVERAGEIFS(Détail!$I:$I,Détail!$A:$A,"Imad RMAIDI",Détail!$B:$B,$A6,Détail!$C:$C,$B6),"")</f>
        <v>100</v>
      </c>
      <c r="J6" s="5" t="n">
        <f aca="false">COUNTIFS(Détail!$A:$A,"Mohamed HAMDANI",Détail!$B:$B,$A6,Détail!$C:$C,$B6)</f>
        <v>2</v>
      </c>
      <c r="K6" s="6" t="n">
        <f aca="false">IFERROR(AVERAGEIFS(Détail!$I:$I,Détail!$A:$A,"Mohamed HAMDANI",Détail!$B:$B,$A6,Détail!$C:$C,$B6),"")</f>
        <v>96.65</v>
      </c>
      <c r="L6" s="5" t="n">
        <f aca="false">COUNTIFS(Détail!$A:$A,"Youssef",Détail!$B:$B,$A6,Détail!$C:$C,$B6)</f>
        <v>0</v>
      </c>
      <c r="M6" s="6" t="str">
        <f aca="false">IFERROR(AVERAGEIFS(Détail!$I:$I,Détail!$A:$A,"Youssef",Détail!$B:$B,$A6,Détail!$C:$C,$B6),"")</f>
        <v/>
      </c>
      <c r="N6" s="5" t="n">
        <f aca="false">COUNTIFS(Détail!$B:$B,$A6,Détail!$C:$C,$B6)</f>
        <v>8</v>
      </c>
      <c r="O6" s="6" t="n">
        <f aca="false">IFERROR(AVERAGEIFS(Détail!$I:$I,Détail!$B:$B,$A6,Détail!$C:$C,$B6),"")</f>
        <v>98.75</v>
      </c>
    </row>
    <row r="7" customFormat="false" ht="15" hidden="false" customHeight="false" outlineLevel="0" collapsed="false">
      <c r="A7" s="4" t="n">
        <v>2025</v>
      </c>
      <c r="B7" s="4" t="n">
        <v>52</v>
      </c>
      <c r="C7" s="4" t="s">
        <v>14</v>
      </c>
      <c r="D7" s="5" t="n">
        <f aca="false">COUNTIFS(Détail!$A:$A,"Hafssa BENCHRIF",Détail!$B:$B,$A7,Détail!$C:$C,$B7)</f>
        <v>2</v>
      </c>
      <c r="E7" s="6" t="n">
        <f aca="false">IFERROR(AVERAGEIFS(Détail!$I:$I,Détail!$A:$A,"Hafssa BENCHRIF",Détail!$B:$B,$A7,Détail!$C:$C,$B7),"")</f>
        <v>100</v>
      </c>
      <c r="F7" s="5" t="n">
        <f aca="false">COUNTIFS(Détail!$A:$A,"Hiba LISSAOUI",Détail!$B:$B,$A7,Détail!$C:$C,$B7)</f>
        <v>2</v>
      </c>
      <c r="G7" s="6" t="n">
        <f aca="false">IFERROR(AVERAGEIFS(Détail!$I:$I,Détail!$A:$A,"Hiba LISSAOUI",Détail!$B:$B,$A7,Détail!$C:$C,$B7),"")</f>
        <v>98.35</v>
      </c>
      <c r="H7" s="5" t="n">
        <f aca="false">COUNTIFS(Détail!$A:$A,"Imad RMAIDI",Détail!$B:$B,$A7,Détail!$C:$C,$B7)</f>
        <v>2</v>
      </c>
      <c r="I7" s="6" t="n">
        <f aca="false">IFERROR(AVERAGEIFS(Détail!$I:$I,Détail!$A:$A,"Imad RMAIDI",Détail!$B:$B,$A7,Détail!$C:$C,$B7),"")</f>
        <v>100</v>
      </c>
      <c r="J7" s="5" t="n">
        <f aca="false">COUNTIFS(Détail!$A:$A,"Mohamed HAMDANI",Détail!$B:$B,$A7,Détail!$C:$C,$B7)</f>
        <v>2</v>
      </c>
      <c r="K7" s="6" t="n">
        <f aca="false">IFERROR(AVERAGEIFS(Détail!$I:$I,Détail!$A:$A,"Mohamed HAMDANI",Détail!$B:$B,$A7,Détail!$C:$C,$B7),"")</f>
        <v>100</v>
      </c>
      <c r="L7" s="5" t="n">
        <f aca="false">COUNTIFS(Détail!$A:$A,"Youssef",Détail!$B:$B,$A7,Détail!$C:$C,$B7)</f>
        <v>0</v>
      </c>
      <c r="M7" s="6" t="str">
        <f aca="false">IFERROR(AVERAGEIFS(Détail!$I:$I,Détail!$A:$A,"Youssef",Détail!$B:$B,$A7,Détail!$C:$C,$B7),"")</f>
        <v/>
      </c>
      <c r="N7" s="5" t="n">
        <f aca="false">COUNTIFS(Détail!$B:$B,$A7,Détail!$C:$C,$B7)</f>
        <v>8</v>
      </c>
      <c r="O7" s="6" t="n">
        <f aca="false">IFERROR(AVERAGEIFS(Détail!$I:$I,Détail!$B:$B,$A7,Détail!$C:$C,$B7),"")</f>
        <v>99.5875</v>
      </c>
    </row>
    <row r="8" customFormat="false" ht="15" hidden="false" customHeight="false" outlineLevel="0" collapsed="false">
      <c r="A8" s="4" t="n">
        <v>2026</v>
      </c>
      <c r="B8" s="4" t="n">
        <v>1</v>
      </c>
      <c r="C8" s="4" t="s">
        <v>15</v>
      </c>
      <c r="D8" s="5" t="n">
        <f aca="false">COUNTIFS(Détail!$A:$A,"Hafssa BENCHRIF",Détail!$B:$B,$A8,Détail!$C:$C,$B8)</f>
        <v>1</v>
      </c>
      <c r="E8" s="6" t="n">
        <f aca="false">IFERROR(AVERAGEIFS(Détail!$I:$I,Détail!$A:$A,"Hafssa BENCHRIF",Détail!$B:$B,$A8,Détail!$C:$C,$B8),"")</f>
        <v>100</v>
      </c>
      <c r="F8" s="5" t="n">
        <f aca="false">COUNTIFS(Détail!$A:$A,"Hiba LISSAOUI",Détail!$B:$B,$A8,Détail!$C:$C,$B8)</f>
        <v>1</v>
      </c>
      <c r="G8" s="6" t="n">
        <f aca="false">IFERROR(AVERAGEIFS(Détail!$I:$I,Détail!$A:$A,"Hiba LISSAOUI",Détail!$B:$B,$A8,Détail!$C:$C,$B8),"")</f>
        <v>100</v>
      </c>
      <c r="H8" s="5" t="n">
        <f aca="false">COUNTIFS(Détail!$A:$A,"Imad RMAIDI",Détail!$B:$B,$A8,Détail!$C:$C,$B8)</f>
        <v>1</v>
      </c>
      <c r="I8" s="6" t="n">
        <f aca="false">IFERROR(AVERAGEIFS(Détail!$I:$I,Détail!$A:$A,"Imad RMAIDI",Détail!$B:$B,$A8,Détail!$C:$C,$B8),"")</f>
        <v>100</v>
      </c>
      <c r="J8" s="5" t="n">
        <f aca="false">COUNTIFS(Détail!$A:$A,"Mohamed HAMDANI",Détail!$B:$B,$A8,Détail!$C:$C,$B8)</f>
        <v>1</v>
      </c>
      <c r="K8" s="6" t="n">
        <f aca="false">IFERROR(AVERAGEIFS(Détail!$I:$I,Détail!$A:$A,"Mohamed HAMDANI",Détail!$B:$B,$A8,Détail!$C:$C,$B8),"")</f>
        <v>100</v>
      </c>
      <c r="L8" s="5" t="n">
        <f aca="false">COUNTIFS(Détail!$A:$A,"Youssef",Détail!$B:$B,$A8,Détail!$C:$C,$B8)</f>
        <v>0</v>
      </c>
      <c r="M8" s="6" t="str">
        <f aca="false">IFERROR(AVERAGEIFS(Détail!$I:$I,Détail!$A:$A,"Youssef",Détail!$B:$B,$A8,Détail!$C:$C,$B8),"")</f>
        <v/>
      </c>
      <c r="N8" s="5" t="n">
        <f aca="false">COUNTIFS(Détail!$B:$B,$A8,Détail!$C:$C,$B8)</f>
        <v>4</v>
      </c>
      <c r="O8" s="6" t="n">
        <f aca="false">IFERROR(AVERAGEIFS(Détail!$I:$I,Détail!$B:$B,$A8,Détail!$C:$C,$B8),"")</f>
        <v>100</v>
      </c>
    </row>
    <row r="9" customFormat="false" ht="15" hidden="false" customHeight="false" outlineLevel="0" collapsed="false">
      <c r="A9" s="4" t="n">
        <v>2026</v>
      </c>
      <c r="B9" s="4" t="n">
        <v>2</v>
      </c>
      <c r="C9" s="4" t="s">
        <v>16</v>
      </c>
      <c r="D9" s="5" t="n">
        <f aca="false">COUNTIFS(Détail!$A:$A,"Hafssa BENCHRIF",Détail!$B:$B,$A9,Détail!$C:$C,$B9)</f>
        <v>1</v>
      </c>
      <c r="E9" s="6" t="n">
        <f aca="false">IFERROR(AVERAGEIFS(Détail!$I:$I,Détail!$A:$A,"Hafssa BENCHRIF",Détail!$B:$B,$A9,Détail!$C:$C,$B9),"")</f>
        <v>100</v>
      </c>
      <c r="F9" s="5" t="n">
        <f aca="false">COUNTIFS(Détail!$A:$A,"Hiba LISSAOUI",Détail!$B:$B,$A9,Détail!$C:$C,$B9)</f>
        <v>1</v>
      </c>
      <c r="G9" s="6" t="n">
        <f aca="false">IFERROR(AVERAGEIFS(Détail!$I:$I,Détail!$A:$A,"Hiba LISSAOUI",Détail!$B:$B,$A9,Détail!$C:$C,$B9),"")</f>
        <v>100</v>
      </c>
      <c r="H9" s="5" t="n">
        <f aca="false">COUNTIFS(Détail!$A:$A,"Imad RMAIDI",Détail!$B:$B,$A9,Détail!$C:$C,$B9)</f>
        <v>1</v>
      </c>
      <c r="I9" s="6" t="n">
        <f aca="false">IFERROR(AVERAGEIFS(Détail!$I:$I,Détail!$A:$A,"Imad RMAIDI",Détail!$B:$B,$A9,Détail!$C:$C,$B9),"")</f>
        <v>100</v>
      </c>
      <c r="J9" s="5" t="n">
        <f aca="false">COUNTIFS(Détail!$A:$A,"Mohamed HAMDANI",Détail!$B:$B,$A9,Détail!$C:$C,$B9)</f>
        <v>1</v>
      </c>
      <c r="K9" s="6" t="n">
        <f aca="false">IFERROR(AVERAGEIFS(Détail!$I:$I,Détail!$A:$A,"Mohamed HAMDANI",Détail!$B:$B,$A9,Détail!$C:$C,$B9),"")</f>
        <v>100</v>
      </c>
      <c r="L9" s="5" t="n">
        <f aca="false">COUNTIFS(Détail!$A:$A,"Youssef",Détail!$B:$B,$A9,Détail!$C:$C,$B9)</f>
        <v>0</v>
      </c>
      <c r="M9" s="6" t="str">
        <f aca="false">IFERROR(AVERAGEIFS(Détail!$I:$I,Détail!$A:$A,"Youssef",Détail!$B:$B,$A9,Détail!$C:$C,$B9),"")</f>
        <v/>
      </c>
      <c r="N9" s="5" t="n">
        <f aca="false">COUNTIFS(Détail!$B:$B,$A9,Détail!$C:$C,$B9)</f>
        <v>4</v>
      </c>
      <c r="O9" s="6" t="n">
        <f aca="false">IFERROR(AVERAGEIFS(Détail!$I:$I,Détail!$B:$B,$A9,Détail!$C:$C,$B9),"")</f>
        <v>100</v>
      </c>
    </row>
    <row r="10" customFormat="false" ht="15" hidden="false" customHeight="false" outlineLevel="0" collapsed="false">
      <c r="A10" s="4" t="n">
        <v>2026</v>
      </c>
      <c r="B10" s="4" t="n">
        <v>3</v>
      </c>
      <c r="C10" s="4" t="s">
        <v>17</v>
      </c>
      <c r="D10" s="5" t="n">
        <f aca="false">COUNTIFS(Détail!$A:$A,"Hafssa BENCHRIF",Détail!$B:$B,$A10,Détail!$C:$C,$B10)</f>
        <v>1</v>
      </c>
      <c r="E10" s="6" t="n">
        <f aca="false">IFERROR(AVERAGEIFS(Détail!$I:$I,Détail!$A:$A,"Hafssa BENCHRIF",Détail!$B:$B,$A10,Détail!$C:$C,$B10),"")</f>
        <v>100</v>
      </c>
      <c r="F10" s="5" t="n">
        <f aca="false">COUNTIFS(Détail!$A:$A,"Hiba LISSAOUI",Détail!$B:$B,$A10,Détail!$C:$C,$B10)</f>
        <v>1</v>
      </c>
      <c r="G10" s="6" t="n">
        <f aca="false">IFERROR(AVERAGEIFS(Détail!$I:$I,Détail!$A:$A,"Hiba LISSAOUI",Détail!$B:$B,$A10,Détail!$C:$C,$B10),"")</f>
        <v>100</v>
      </c>
      <c r="H10" s="5" t="n">
        <f aca="false">COUNTIFS(Détail!$A:$A,"Imad RMAIDI",Détail!$B:$B,$A10,Détail!$C:$C,$B10)</f>
        <v>1</v>
      </c>
      <c r="I10" s="6" t="n">
        <f aca="false">IFERROR(AVERAGEIFS(Détail!$I:$I,Détail!$A:$A,"Imad RMAIDI",Détail!$B:$B,$A10,Détail!$C:$C,$B10),"")</f>
        <v>100</v>
      </c>
      <c r="J10" s="5" t="n">
        <f aca="false">COUNTIFS(Détail!$A:$A,"Mohamed HAMDANI",Détail!$B:$B,$A10,Détail!$C:$C,$B10)</f>
        <v>1</v>
      </c>
      <c r="K10" s="6" t="n">
        <f aca="false">IFERROR(AVERAGEIFS(Détail!$I:$I,Détail!$A:$A,"Mohamed HAMDANI",Détail!$B:$B,$A10,Détail!$C:$C,$B10),"")</f>
        <v>100</v>
      </c>
      <c r="L10" s="5" t="n">
        <f aca="false">COUNTIFS(Détail!$A:$A,"Youssef",Détail!$B:$B,$A10,Détail!$C:$C,$B10)</f>
        <v>0</v>
      </c>
      <c r="M10" s="6" t="str">
        <f aca="false">IFERROR(AVERAGEIFS(Détail!$I:$I,Détail!$A:$A,"Youssef",Détail!$B:$B,$A10,Détail!$C:$C,$B10),"")</f>
        <v/>
      </c>
      <c r="N10" s="5" t="n">
        <f aca="false">COUNTIFS(Détail!$B:$B,$A10,Détail!$C:$C,$B10)</f>
        <v>4</v>
      </c>
      <c r="O10" s="6" t="n">
        <f aca="false">IFERROR(AVERAGEIFS(Détail!$I:$I,Détail!$B:$B,$A10,Détail!$C:$C,$B10),"")</f>
        <v>100</v>
      </c>
    </row>
    <row r="11" customFormat="false" ht="15" hidden="false" customHeight="false" outlineLevel="0" collapsed="false">
      <c r="A11" s="4" t="n">
        <v>2026</v>
      </c>
      <c r="B11" s="4" t="n">
        <v>4</v>
      </c>
      <c r="C11" s="4" t="s">
        <v>18</v>
      </c>
      <c r="D11" s="5" t="n">
        <f aca="false">COUNTIFS(Détail!$A:$A,"Hafssa BENCHRIF",Détail!$B:$B,$A11,Détail!$C:$C,$B11)</f>
        <v>1</v>
      </c>
      <c r="E11" s="6" t="n">
        <f aca="false">IFERROR(AVERAGEIFS(Détail!$I:$I,Détail!$A:$A,"Hafssa BENCHRIF",Détail!$B:$B,$A11,Détail!$C:$C,$B11),"")</f>
        <v>100</v>
      </c>
      <c r="F11" s="5" t="n">
        <f aca="false">COUNTIFS(Détail!$A:$A,"Hiba LISSAOUI",Détail!$B:$B,$A11,Détail!$C:$C,$B11)</f>
        <v>1</v>
      </c>
      <c r="G11" s="6" t="n">
        <f aca="false">IFERROR(AVERAGEIFS(Détail!$I:$I,Détail!$A:$A,"Hiba LISSAOUI",Détail!$B:$B,$A11,Détail!$C:$C,$B11),"")</f>
        <v>98</v>
      </c>
      <c r="H11" s="5" t="n">
        <f aca="false">COUNTIFS(Détail!$A:$A,"Imad RMAIDI",Détail!$B:$B,$A11,Détail!$C:$C,$B11)</f>
        <v>1</v>
      </c>
      <c r="I11" s="6" t="n">
        <f aca="false">IFERROR(AVERAGEIFS(Détail!$I:$I,Détail!$A:$A,"Imad RMAIDI",Détail!$B:$B,$A11,Détail!$C:$C,$B11),"")</f>
        <v>100</v>
      </c>
      <c r="J11" s="5" t="n">
        <f aca="false">COUNTIFS(Détail!$A:$A,"Mohamed HAMDANI",Détail!$B:$B,$A11,Détail!$C:$C,$B11)</f>
        <v>1</v>
      </c>
      <c r="K11" s="6" t="n">
        <f aca="false">IFERROR(AVERAGEIFS(Détail!$I:$I,Détail!$A:$A,"Mohamed HAMDANI",Détail!$B:$B,$A11,Détail!$C:$C,$B11),"")</f>
        <v>100</v>
      </c>
      <c r="L11" s="5" t="n">
        <f aca="false">COUNTIFS(Détail!$A:$A,"Youssef",Détail!$B:$B,$A11,Détail!$C:$C,$B11)</f>
        <v>0</v>
      </c>
      <c r="M11" s="6" t="str">
        <f aca="false">IFERROR(AVERAGEIFS(Détail!$I:$I,Détail!$A:$A,"Youssef",Détail!$B:$B,$A11,Détail!$C:$C,$B11),"")</f>
        <v/>
      </c>
      <c r="N11" s="5" t="n">
        <f aca="false">COUNTIFS(Détail!$B:$B,$A11,Détail!$C:$C,$B11)</f>
        <v>4</v>
      </c>
      <c r="O11" s="6" t="n">
        <f aca="false">IFERROR(AVERAGEIFS(Détail!$I:$I,Détail!$B:$B,$A11,Détail!$C:$C,$B11),"")</f>
        <v>99.5</v>
      </c>
    </row>
    <row r="12" customFormat="false" ht="15" hidden="false" customHeight="false" outlineLevel="0" collapsed="false">
      <c r="A12" s="4" t="n">
        <v>2026</v>
      </c>
      <c r="B12" s="4" t="n">
        <v>5</v>
      </c>
      <c r="C12" s="4" t="s">
        <v>19</v>
      </c>
      <c r="D12" s="5" t="n">
        <f aca="false">COUNTIFS(Détail!$A:$A,"Hafssa BENCHRIF",Détail!$B:$B,$A12,Détail!$C:$C,$B12)</f>
        <v>1</v>
      </c>
      <c r="E12" s="6" t="n">
        <f aca="false">IFERROR(AVERAGEIFS(Détail!$I:$I,Détail!$A:$A,"Hafssa BENCHRIF",Détail!$B:$B,$A12,Détail!$C:$C,$B12),"")</f>
        <v>100</v>
      </c>
      <c r="F12" s="5" t="n">
        <f aca="false">COUNTIFS(Détail!$A:$A,"Hiba LISSAOUI",Détail!$B:$B,$A12,Détail!$C:$C,$B12)</f>
        <v>0</v>
      </c>
      <c r="G12" s="6" t="str">
        <f aca="false">IFERROR(AVERAGEIFS(Détail!$I:$I,Détail!$A:$A,"Hiba LISSAOUI",Détail!$B:$B,$A12,Détail!$C:$C,$B12),"")</f>
        <v/>
      </c>
      <c r="H12" s="5" t="n">
        <f aca="false">COUNTIFS(Détail!$A:$A,"Imad RMAIDI",Détail!$B:$B,$A12,Détail!$C:$C,$B12)</f>
        <v>0</v>
      </c>
      <c r="I12" s="6" t="str">
        <f aca="false">IFERROR(AVERAGEIFS(Détail!$I:$I,Détail!$A:$A,"Imad RMAIDI",Détail!$B:$B,$A12,Détail!$C:$C,$B12),"")</f>
        <v/>
      </c>
      <c r="J12" s="5" t="n">
        <f aca="false">COUNTIFS(Détail!$A:$A,"Mohamed HAMDANI",Détail!$B:$B,$A12,Détail!$C:$C,$B12)</f>
        <v>0</v>
      </c>
      <c r="K12" s="6" t="str">
        <f aca="false">IFERROR(AVERAGEIFS(Détail!$I:$I,Détail!$A:$A,"Mohamed HAMDANI",Détail!$B:$B,$A12,Détail!$C:$C,$B12),"")</f>
        <v/>
      </c>
      <c r="L12" s="5" t="n">
        <f aca="false">COUNTIFS(Détail!$A:$A,"Youssef",Détail!$B:$B,$A12,Détail!$C:$C,$B12)</f>
        <v>0</v>
      </c>
      <c r="M12" s="6" t="str">
        <f aca="false">IFERROR(AVERAGEIFS(Détail!$I:$I,Détail!$A:$A,"Youssef",Détail!$B:$B,$A12,Détail!$C:$C,$B12),"")</f>
        <v/>
      </c>
      <c r="N12" s="5" t="n">
        <f aca="false">COUNTIFS(Détail!$B:$B,$A12,Détail!$C:$C,$B12)</f>
        <v>1</v>
      </c>
      <c r="O12" s="6" t="n">
        <f aca="false">IFERROR(AVERAGEIFS(Détail!$I:$I,Détail!$B:$B,$A12,Détail!$C:$C,$B12),"")</f>
        <v>100</v>
      </c>
    </row>
    <row r="13" customFormat="false" ht="15" hidden="false" customHeight="false" outlineLevel="0" collapsed="false">
      <c r="A13" s="4" t="n">
        <v>2026</v>
      </c>
      <c r="B13" s="4" t="n">
        <v>6</v>
      </c>
      <c r="C13" s="4" t="s">
        <v>20</v>
      </c>
      <c r="D13" s="5" t="n">
        <f aca="false">COUNTIFS(Détail!$A:$A,"Hafssa BENCHRIF",Détail!$B:$B,$A13,Détail!$C:$C,$B13)</f>
        <v>0</v>
      </c>
      <c r="E13" s="6" t="str">
        <f aca="false">IFERROR(AVERAGEIFS(Détail!$I:$I,Détail!$A:$A,"Hafssa BENCHRIF",Détail!$B:$B,$A13,Détail!$C:$C,$B13),"")</f>
        <v/>
      </c>
      <c r="F13" s="5" t="n">
        <f aca="false">COUNTIFS(Détail!$A:$A,"Hiba LISSAOUI",Détail!$B:$B,$A13,Détail!$C:$C,$B13)</f>
        <v>0</v>
      </c>
      <c r="G13" s="6" t="str">
        <f aca="false">IFERROR(AVERAGEIFS(Détail!$I:$I,Détail!$A:$A,"Hiba LISSAOUI",Détail!$B:$B,$A13,Détail!$C:$C,$B13),"")</f>
        <v/>
      </c>
      <c r="H13" s="5" t="n">
        <f aca="false">COUNTIFS(Détail!$A:$A,"Imad RMAIDI",Détail!$B:$B,$A13,Détail!$C:$C,$B13)</f>
        <v>0</v>
      </c>
      <c r="I13" s="6" t="str">
        <f aca="false">IFERROR(AVERAGEIFS(Détail!$I:$I,Détail!$A:$A,"Imad RMAIDI",Détail!$B:$B,$A13,Détail!$C:$C,$B13),"")</f>
        <v/>
      </c>
      <c r="J13" s="5" t="n">
        <f aca="false">COUNTIFS(Détail!$A:$A,"Mohamed HAMDANI",Détail!$B:$B,$A13,Détail!$C:$C,$B13)</f>
        <v>0</v>
      </c>
      <c r="K13" s="6" t="str">
        <f aca="false">IFERROR(AVERAGEIFS(Détail!$I:$I,Détail!$A:$A,"Mohamed HAMDANI",Détail!$B:$B,$A13,Détail!$C:$C,$B13),"")</f>
        <v/>
      </c>
      <c r="L13" s="5" t="n">
        <f aca="false">COUNTIFS(Détail!$A:$A,"Youssef",Détail!$B:$B,$A13,Détail!$C:$C,$B13)</f>
        <v>0</v>
      </c>
      <c r="M13" s="6" t="str">
        <f aca="false">IFERROR(AVERAGEIFS(Détail!$I:$I,Détail!$A:$A,"Youssef",Détail!$B:$B,$A13,Détail!$C:$C,$B13),"")</f>
        <v/>
      </c>
      <c r="N13" s="5" t="n">
        <f aca="false">COUNTIFS(Détail!$B:$B,$A13,Détail!$C:$C,$B13)</f>
        <v>0</v>
      </c>
      <c r="O13" s="6" t="str">
        <f aca="false">IFERROR(AVERAGEIFS(Détail!$I:$I,Détail!$B:$B,$A13,Détail!$C:$C,$B13),"")</f>
        <v/>
      </c>
    </row>
    <row r="14" customFormat="false" ht="15" hidden="false" customHeight="false" outlineLevel="0" collapsed="false">
      <c r="A14" s="4" t="n">
        <v>2026</v>
      </c>
      <c r="B14" s="4" t="n">
        <v>7</v>
      </c>
      <c r="C14" s="4" t="s">
        <v>21</v>
      </c>
      <c r="D14" s="5" t="n">
        <f aca="false">COUNTIFS(Détail!$A:$A,"Hafssa BENCHRIF",Détail!$B:$B,$A14,Détail!$C:$C,$B14)</f>
        <v>0</v>
      </c>
      <c r="E14" s="6" t="str">
        <f aca="false">IFERROR(AVERAGEIFS(Détail!$I:$I,Détail!$A:$A,"Hafssa BENCHRIF",Détail!$B:$B,$A14,Détail!$C:$C,$B14),"")</f>
        <v/>
      </c>
      <c r="F14" s="5" t="n">
        <f aca="false">COUNTIFS(Détail!$A:$A,"Hiba LISSAOUI",Détail!$B:$B,$A14,Détail!$C:$C,$B14)</f>
        <v>0</v>
      </c>
      <c r="G14" s="6" t="str">
        <f aca="false">IFERROR(AVERAGEIFS(Détail!$I:$I,Détail!$A:$A,"Hiba LISSAOUI",Détail!$B:$B,$A14,Détail!$C:$C,$B14),"")</f>
        <v/>
      </c>
      <c r="H14" s="5" t="n">
        <f aca="false">COUNTIFS(Détail!$A:$A,"Imad RMAIDI",Détail!$B:$B,$A14,Détail!$C:$C,$B14)</f>
        <v>0</v>
      </c>
      <c r="I14" s="6" t="str">
        <f aca="false">IFERROR(AVERAGEIFS(Détail!$I:$I,Détail!$A:$A,"Imad RMAIDI",Détail!$B:$B,$A14,Détail!$C:$C,$B14),"")</f>
        <v/>
      </c>
      <c r="J14" s="5" t="n">
        <f aca="false">COUNTIFS(Détail!$A:$A,"Mohamed HAMDANI",Détail!$B:$B,$A14,Détail!$C:$C,$B14)</f>
        <v>0</v>
      </c>
      <c r="K14" s="6" t="str">
        <f aca="false">IFERROR(AVERAGEIFS(Détail!$I:$I,Détail!$A:$A,"Mohamed HAMDANI",Détail!$B:$B,$A14,Détail!$C:$C,$B14),"")</f>
        <v/>
      </c>
      <c r="L14" s="5" t="n">
        <f aca="false">COUNTIFS(Détail!$A:$A,"Youssef",Détail!$B:$B,$A14,Détail!$C:$C,$B14)</f>
        <v>0</v>
      </c>
      <c r="M14" s="6" t="str">
        <f aca="false">IFERROR(AVERAGEIFS(Détail!$I:$I,Détail!$A:$A,"Youssef",Détail!$B:$B,$A14,Détail!$C:$C,$B14),"")</f>
        <v/>
      </c>
      <c r="N14" s="5" t="n">
        <f aca="false">COUNTIFS(Détail!$B:$B,$A14,Détail!$C:$C,$B14)</f>
        <v>0</v>
      </c>
      <c r="O14" s="6" t="str">
        <f aca="false">IFERROR(AVERAGEIFS(Détail!$I:$I,Détail!$B:$B,$A14,Détail!$C:$C,$B14),"")</f>
        <v/>
      </c>
    </row>
    <row r="15" customFormat="false" ht="15" hidden="false" customHeight="false" outlineLevel="0" collapsed="false">
      <c r="A15" s="4" t="n">
        <v>2026</v>
      </c>
      <c r="B15" s="4" t="n">
        <v>8</v>
      </c>
      <c r="C15" s="4" t="s">
        <v>22</v>
      </c>
      <c r="D15" s="5" t="n">
        <f aca="false">COUNTIFS(Détail!$A:$A,"Hafssa BENCHRIF",Détail!$B:$B,$A15,Détail!$C:$C,$B15)</f>
        <v>1</v>
      </c>
      <c r="E15" s="6" t="n">
        <f aca="false">IFERROR(AVERAGEIFS(Détail!$I:$I,Détail!$A:$A,"Hafssa BENCHRIF",Détail!$B:$B,$A15,Détail!$C:$C,$B15),"")</f>
        <v>100</v>
      </c>
      <c r="F15" s="5" t="n">
        <f aca="false">COUNTIFS(Détail!$A:$A,"Hiba LISSAOUI",Détail!$B:$B,$A15,Détail!$C:$C,$B15)</f>
        <v>1</v>
      </c>
      <c r="G15" s="6" t="n">
        <f aca="false">IFERROR(AVERAGEIFS(Détail!$I:$I,Détail!$A:$A,"Hiba LISSAOUI",Détail!$B:$B,$A15,Détail!$C:$C,$B15),"")</f>
        <v>87.5</v>
      </c>
      <c r="H15" s="5" t="n">
        <f aca="false">COUNTIFS(Détail!$A:$A,"Imad RMAIDI",Détail!$B:$B,$A15,Détail!$C:$C,$B15)</f>
        <v>1</v>
      </c>
      <c r="I15" s="6" t="n">
        <f aca="false">IFERROR(AVERAGEIFS(Détail!$I:$I,Détail!$A:$A,"Imad RMAIDI",Détail!$B:$B,$A15,Détail!$C:$C,$B15),"")</f>
        <v>100</v>
      </c>
      <c r="J15" s="5" t="n">
        <f aca="false">COUNTIFS(Détail!$A:$A,"Mohamed HAMDANI",Détail!$B:$B,$A15,Détail!$C:$C,$B15)</f>
        <v>1</v>
      </c>
      <c r="K15" s="6" t="n">
        <f aca="false">IFERROR(AVERAGEIFS(Détail!$I:$I,Détail!$A:$A,"Mohamed HAMDANI",Détail!$B:$B,$A15,Détail!$C:$C,$B15),"")</f>
        <v>100</v>
      </c>
      <c r="L15" s="5" t="n">
        <f aca="false">COUNTIFS(Détail!$A:$A,"Youssef",Détail!$B:$B,$A15,Détail!$C:$C,$B15)</f>
        <v>0</v>
      </c>
      <c r="M15" s="6" t="str">
        <f aca="false">IFERROR(AVERAGEIFS(Détail!$I:$I,Détail!$A:$A,"Youssef",Détail!$B:$B,$A15,Détail!$C:$C,$B15),"")</f>
        <v/>
      </c>
      <c r="N15" s="5" t="n">
        <f aca="false">COUNTIFS(Détail!$B:$B,$A15,Détail!$C:$C,$B15)</f>
        <v>4</v>
      </c>
      <c r="O15" s="6" t="n">
        <f aca="false">IFERROR(AVERAGEIFS(Détail!$I:$I,Détail!$B:$B,$A15,Détail!$C:$C,$B15),"")</f>
        <v>96.875</v>
      </c>
    </row>
    <row r="16" customFormat="false" ht="15" hidden="false" customHeight="false" outlineLevel="0" collapsed="false">
      <c r="A16" s="4" t="n">
        <v>2026</v>
      </c>
      <c r="B16" s="4" t="n">
        <v>9</v>
      </c>
      <c r="C16" s="4" t="s">
        <v>23</v>
      </c>
      <c r="D16" s="5" t="n">
        <f aca="false">COUNTIFS(Détail!$A:$A,"Hafssa BENCHRIF",Détail!$B:$B,$A16,Détail!$C:$C,$B16)</f>
        <v>1</v>
      </c>
      <c r="E16" s="6" t="n">
        <f aca="false">IFERROR(AVERAGEIFS(Détail!$I:$I,Détail!$A:$A,"Hafssa BENCHRIF",Détail!$B:$B,$A16,Détail!$C:$C,$B16),"")</f>
        <v>100</v>
      </c>
      <c r="F16" s="5" t="n">
        <f aca="false">COUNTIFS(Détail!$A:$A,"Hiba LISSAOUI",Détail!$B:$B,$A16,Détail!$C:$C,$B16)</f>
        <v>1</v>
      </c>
      <c r="G16" s="6" t="n">
        <f aca="false">IFERROR(AVERAGEIFS(Détail!$I:$I,Détail!$A:$A,"Hiba LISSAOUI",Détail!$B:$B,$A16,Détail!$C:$C,$B16),"")</f>
        <v>100</v>
      </c>
      <c r="H16" s="5" t="n">
        <f aca="false">COUNTIFS(Détail!$A:$A,"Imad RMAIDI",Détail!$B:$B,$A16,Détail!$C:$C,$B16)</f>
        <v>1</v>
      </c>
      <c r="I16" s="6" t="n">
        <f aca="false">IFERROR(AVERAGEIFS(Détail!$I:$I,Détail!$A:$A,"Imad RMAIDI",Détail!$B:$B,$A16,Détail!$C:$C,$B16),"")</f>
        <v>100</v>
      </c>
      <c r="J16" s="5" t="n">
        <f aca="false">COUNTIFS(Détail!$A:$A,"Mohamed HAMDANI",Détail!$B:$B,$A16,Détail!$C:$C,$B16)</f>
        <v>1</v>
      </c>
      <c r="K16" s="6" t="n">
        <f aca="false">IFERROR(AVERAGEIFS(Détail!$I:$I,Détail!$A:$A,"Mohamed HAMDANI",Détail!$B:$B,$A16,Détail!$C:$C,$B16),"")</f>
        <v>100</v>
      </c>
      <c r="L16" s="5" t="n">
        <f aca="false">COUNTIFS(Détail!$A:$A,"Youssef",Détail!$B:$B,$A16,Détail!$C:$C,$B16)</f>
        <v>0</v>
      </c>
      <c r="M16" s="6" t="str">
        <f aca="false">IFERROR(AVERAGEIFS(Détail!$I:$I,Détail!$A:$A,"Youssef",Détail!$B:$B,$A16,Détail!$C:$C,$B16),"")</f>
        <v/>
      </c>
      <c r="N16" s="5" t="n">
        <f aca="false">COUNTIFS(Détail!$B:$B,$A16,Détail!$C:$C,$B16)</f>
        <v>4</v>
      </c>
      <c r="O16" s="6" t="n">
        <f aca="false">IFERROR(AVERAGEIFS(Détail!$I:$I,Détail!$B:$B,$A16,Détail!$C:$C,$B16),"")</f>
        <v>100</v>
      </c>
    </row>
    <row r="17" customFormat="false" ht="15" hidden="false" customHeight="false" outlineLevel="0" collapsed="false">
      <c r="A17" s="4" t="n">
        <v>2026</v>
      </c>
      <c r="B17" s="4" t="n">
        <v>10</v>
      </c>
      <c r="C17" s="4" t="s">
        <v>24</v>
      </c>
      <c r="D17" s="5" t="n">
        <f aca="false">COUNTIFS(Détail!$A:$A,"Hafssa BENCHRIF",Détail!$B:$B,$A17,Détail!$C:$C,$B17)</f>
        <v>1</v>
      </c>
      <c r="E17" s="6" t="n">
        <f aca="false">IFERROR(AVERAGEIFS(Détail!$I:$I,Détail!$A:$A,"Hafssa BENCHRIF",Détail!$B:$B,$A17,Détail!$C:$C,$B17),"")</f>
        <v>93.3</v>
      </c>
      <c r="F17" s="5" t="n">
        <f aca="false">COUNTIFS(Détail!$A:$A,"Hiba LISSAOUI",Détail!$B:$B,$A17,Détail!$C:$C,$B17)</f>
        <v>1</v>
      </c>
      <c r="G17" s="6" t="n">
        <f aca="false">IFERROR(AVERAGEIFS(Détail!$I:$I,Détail!$A:$A,"Hiba LISSAOUI",Détail!$B:$B,$A17,Détail!$C:$C,$B17),"")</f>
        <v>100</v>
      </c>
      <c r="H17" s="5" t="n">
        <f aca="false">COUNTIFS(Détail!$A:$A,"Imad RMAIDI",Détail!$B:$B,$A17,Détail!$C:$C,$B17)</f>
        <v>1</v>
      </c>
      <c r="I17" s="6" t="n">
        <f aca="false">IFERROR(AVERAGEIFS(Détail!$I:$I,Détail!$A:$A,"Imad RMAIDI",Détail!$B:$B,$A17,Détail!$C:$C,$B17),"")</f>
        <v>100</v>
      </c>
      <c r="J17" s="5" t="n">
        <f aca="false">COUNTIFS(Détail!$A:$A,"Mohamed HAMDANI",Détail!$B:$B,$A17,Détail!$C:$C,$B17)</f>
        <v>1</v>
      </c>
      <c r="K17" s="6" t="n">
        <f aca="false">IFERROR(AVERAGEIFS(Détail!$I:$I,Détail!$A:$A,"Mohamed HAMDANI",Détail!$B:$B,$A17,Détail!$C:$C,$B17),"")</f>
        <v>100</v>
      </c>
      <c r="L17" s="5" t="n">
        <f aca="false">COUNTIFS(Détail!$A:$A,"Youssef",Détail!$B:$B,$A17,Détail!$C:$C,$B17)</f>
        <v>0</v>
      </c>
      <c r="M17" s="6" t="str">
        <f aca="false">IFERROR(AVERAGEIFS(Détail!$I:$I,Détail!$A:$A,"Youssef",Détail!$B:$B,$A17,Détail!$C:$C,$B17),"")</f>
        <v/>
      </c>
      <c r="N17" s="5" t="n">
        <f aca="false">COUNTIFS(Détail!$B:$B,$A17,Détail!$C:$C,$B17)</f>
        <v>4</v>
      </c>
      <c r="O17" s="6" t="n">
        <f aca="false">IFERROR(AVERAGEIFS(Détail!$I:$I,Détail!$B:$B,$A17,Détail!$C:$C,$B17),"")</f>
        <v>98.325</v>
      </c>
    </row>
    <row r="18" customFormat="false" ht="15" hidden="false" customHeight="false" outlineLevel="0" collapsed="false">
      <c r="A18" s="4" t="n">
        <v>2026</v>
      </c>
      <c r="B18" s="4" t="n">
        <v>11</v>
      </c>
      <c r="C18" s="4" t="s">
        <v>25</v>
      </c>
      <c r="D18" s="5" t="n">
        <f aca="false">COUNTIFS(Détail!$A:$A,"Hafssa BENCHRIF",Détail!$B:$B,$A18,Détail!$C:$C,$B18)</f>
        <v>1</v>
      </c>
      <c r="E18" s="6" t="n">
        <f aca="false">IFERROR(AVERAGEIFS(Détail!$I:$I,Détail!$A:$A,"Hafssa BENCHRIF",Détail!$B:$B,$A18,Détail!$C:$C,$B18),"")</f>
        <v>100</v>
      </c>
      <c r="F18" s="5" t="n">
        <f aca="false">COUNTIFS(Détail!$A:$A,"Hiba LISSAOUI",Détail!$B:$B,$A18,Détail!$C:$C,$B18)</f>
        <v>1</v>
      </c>
      <c r="G18" s="6" t="n">
        <f aca="false">IFERROR(AVERAGEIFS(Détail!$I:$I,Détail!$A:$A,"Hiba LISSAOUI",Détail!$B:$B,$A18,Détail!$C:$C,$B18),"")</f>
        <v>100</v>
      </c>
      <c r="H18" s="5" t="n">
        <f aca="false">COUNTIFS(Détail!$A:$A,"Imad RMAIDI",Détail!$B:$B,$A18,Détail!$C:$C,$B18)</f>
        <v>1</v>
      </c>
      <c r="I18" s="6" t="str">
        <f aca="false">IFERROR(AVERAGEIFS(Détail!$I:$I,Détail!$A:$A,"Imad RMAIDI",Détail!$B:$B,$A18,Détail!$C:$C,$B18),"")</f>
        <v/>
      </c>
      <c r="J18" s="5" t="n">
        <f aca="false">COUNTIFS(Détail!$A:$A,"Mohamed HAMDANI",Détail!$B:$B,$A18,Détail!$C:$C,$B18)</f>
        <v>1</v>
      </c>
      <c r="K18" s="6" t="str">
        <f aca="false">IFERROR(AVERAGEIFS(Détail!$I:$I,Détail!$A:$A,"Mohamed HAMDANI",Détail!$B:$B,$A18,Détail!$C:$C,$B18),"")</f>
        <v/>
      </c>
      <c r="L18" s="5" t="n">
        <f aca="false">COUNTIFS(Détail!$A:$A,"Youssef",Détail!$B:$B,$A18,Détail!$C:$C,$B18)</f>
        <v>0</v>
      </c>
      <c r="M18" s="6" t="str">
        <f aca="false">IFERROR(AVERAGEIFS(Détail!$I:$I,Détail!$A:$A,"Youssef",Détail!$B:$B,$A18,Détail!$C:$C,$B18),"")</f>
        <v/>
      </c>
      <c r="N18" s="5" t="n">
        <f aca="false">COUNTIFS(Détail!$B:$B,$A18,Détail!$C:$C,$B18)</f>
        <v>4</v>
      </c>
      <c r="O18" s="6" t="n">
        <f aca="false">IFERROR(AVERAGEIFS(Détail!$I:$I,Détail!$B:$B,$A18,Détail!$C:$C,$B18),"")</f>
        <v>100</v>
      </c>
    </row>
    <row r="19" customFormat="false" ht="15" hidden="false" customHeight="false" outlineLevel="0" collapsed="false">
      <c r="A19" s="4" t="n">
        <v>2026</v>
      </c>
      <c r="B19" s="4" t="n">
        <v>12</v>
      </c>
      <c r="C19" s="4" t="s">
        <v>26</v>
      </c>
      <c r="D19" s="5" t="n">
        <f aca="false">COUNTIFS(Détail!$A:$A,"Hafssa BENCHRIF",Détail!$B:$B,$A19,Détail!$C:$C,$B19)</f>
        <v>1</v>
      </c>
      <c r="E19" s="6" t="n">
        <f aca="false">IFERROR(AVERAGEIFS(Détail!$I:$I,Détail!$A:$A,"Hafssa BENCHRIF",Détail!$B:$B,$A19,Détail!$C:$C,$B19),"")</f>
        <v>100</v>
      </c>
      <c r="F19" s="5" t="n">
        <f aca="false">COUNTIFS(Détail!$A:$A,"Hiba LISSAOUI",Détail!$B:$B,$A19,Détail!$C:$C,$B19)</f>
        <v>1</v>
      </c>
      <c r="G19" s="6" t="n">
        <f aca="false">IFERROR(AVERAGEIFS(Détail!$I:$I,Détail!$A:$A,"Hiba LISSAOUI",Détail!$B:$B,$A19,Détail!$C:$C,$B19),"")</f>
        <v>100</v>
      </c>
      <c r="H19" s="5" t="n">
        <f aca="false">COUNTIFS(Détail!$A:$A,"Imad RMAIDI",Détail!$B:$B,$A19,Détail!$C:$C,$B19)</f>
        <v>0</v>
      </c>
      <c r="I19" s="6" t="str">
        <f aca="false">IFERROR(AVERAGEIFS(Détail!$I:$I,Détail!$A:$A,"Imad RMAIDI",Détail!$B:$B,$A19,Détail!$C:$C,$B19),"")</f>
        <v/>
      </c>
      <c r="J19" s="5" t="n">
        <f aca="false">COUNTIFS(Détail!$A:$A,"Mohamed HAMDANI",Détail!$B:$B,$A19,Détail!$C:$C,$B19)</f>
        <v>1</v>
      </c>
      <c r="K19" s="6" t="n">
        <f aca="false">IFERROR(AVERAGEIFS(Détail!$I:$I,Détail!$A:$A,"Mohamed HAMDANI",Détail!$B:$B,$A19,Détail!$C:$C,$B19),"")</f>
        <v>100</v>
      </c>
      <c r="L19" s="5" t="n">
        <f aca="false">COUNTIFS(Détail!$A:$A,"Youssef",Détail!$B:$B,$A19,Détail!$C:$C,$B19)</f>
        <v>0</v>
      </c>
      <c r="M19" s="6" t="str">
        <f aca="false">IFERROR(AVERAGEIFS(Détail!$I:$I,Détail!$A:$A,"Youssef",Détail!$B:$B,$A19,Détail!$C:$C,$B19),"")</f>
        <v/>
      </c>
      <c r="N19" s="5" t="n">
        <f aca="false">COUNTIFS(Détail!$B:$B,$A19,Détail!$C:$C,$B19)</f>
        <v>3</v>
      </c>
      <c r="O19" s="6" t="n">
        <f aca="false">IFERROR(AVERAGEIFS(Détail!$I:$I,Détail!$B:$B,$A19,Détail!$C:$C,$B19),"")</f>
        <v>100</v>
      </c>
    </row>
    <row r="20" customFormat="false" ht="15" hidden="false" customHeight="false" outlineLevel="0" collapsed="false">
      <c r="A20" s="4" t="n">
        <v>2026</v>
      </c>
      <c r="B20" s="4" t="n">
        <v>13</v>
      </c>
      <c r="C20" s="4" t="s">
        <v>27</v>
      </c>
      <c r="D20" s="5" t="n">
        <f aca="false">COUNTIFS(Détail!$A:$A,"Hafssa BENCHRIF",Détail!$B:$B,$A20,Détail!$C:$C,$B20)</f>
        <v>0</v>
      </c>
      <c r="E20" s="6" t="str">
        <f aca="false">IFERROR(AVERAGEIFS(Détail!$I:$I,Détail!$A:$A,"Hafssa BENCHRIF",Détail!$B:$B,$A20,Détail!$C:$C,$B20),"")</f>
        <v/>
      </c>
      <c r="F20" s="5" t="n">
        <f aca="false">COUNTIFS(Détail!$A:$A,"Hiba LISSAOUI",Détail!$B:$B,$A20,Détail!$C:$C,$B20)</f>
        <v>0</v>
      </c>
      <c r="G20" s="6" t="str">
        <f aca="false">IFERROR(AVERAGEIFS(Détail!$I:$I,Détail!$A:$A,"Hiba LISSAOUI",Détail!$B:$B,$A20,Détail!$C:$C,$B20),"")</f>
        <v/>
      </c>
      <c r="H20" s="5" t="n">
        <f aca="false">COUNTIFS(Détail!$A:$A,"Imad RMAIDI",Détail!$B:$B,$A20,Détail!$C:$C,$B20)</f>
        <v>0</v>
      </c>
      <c r="I20" s="6" t="str">
        <f aca="false">IFERROR(AVERAGEIFS(Détail!$I:$I,Détail!$A:$A,"Imad RMAIDI",Détail!$B:$B,$A20,Détail!$C:$C,$B20),"")</f>
        <v/>
      </c>
      <c r="J20" s="5" t="n">
        <f aca="false">COUNTIFS(Détail!$A:$A,"Mohamed HAMDANI",Détail!$B:$B,$A20,Détail!$C:$C,$B20)</f>
        <v>0</v>
      </c>
      <c r="K20" s="6" t="str">
        <f aca="false">IFERROR(AVERAGEIFS(Détail!$I:$I,Détail!$A:$A,"Mohamed HAMDANI",Détail!$B:$B,$A20,Détail!$C:$C,$B20),"")</f>
        <v/>
      </c>
      <c r="L20" s="5" t="n">
        <f aca="false">COUNTIFS(Détail!$A:$A,"Youssef",Détail!$B:$B,$A20,Détail!$C:$C,$B20)</f>
        <v>0</v>
      </c>
      <c r="M20" s="6" t="str">
        <f aca="false">IFERROR(AVERAGEIFS(Détail!$I:$I,Détail!$A:$A,"Youssef",Détail!$B:$B,$A20,Détail!$C:$C,$B20),"")</f>
        <v/>
      </c>
      <c r="N20" s="5" t="n">
        <f aca="false">COUNTIFS(Détail!$B:$B,$A20,Détail!$C:$C,$B20)</f>
        <v>0</v>
      </c>
      <c r="O20" s="6" t="str">
        <f aca="false">IFERROR(AVERAGEIFS(Détail!$I:$I,Détail!$B:$B,$A20,Détail!$C:$C,$B20),"")</f>
        <v/>
      </c>
    </row>
    <row r="21" customFormat="false" ht="15" hidden="false" customHeight="false" outlineLevel="0" collapsed="false">
      <c r="A21" s="4" t="n">
        <v>2026</v>
      </c>
      <c r="B21" s="4" t="n">
        <v>14</v>
      </c>
      <c r="C21" s="4" t="s">
        <v>28</v>
      </c>
      <c r="D21" s="5" t="n">
        <f aca="false">COUNTIFS(Détail!$A:$A,"Hafssa BENCHRIF",Détail!$B:$B,$A21,Détail!$C:$C,$B21)</f>
        <v>0</v>
      </c>
      <c r="E21" s="6" t="str">
        <f aca="false">IFERROR(AVERAGEIFS(Détail!$I:$I,Détail!$A:$A,"Hafssa BENCHRIF",Détail!$B:$B,$A21,Détail!$C:$C,$B21),"")</f>
        <v/>
      </c>
      <c r="F21" s="5" t="n">
        <f aca="false">COUNTIFS(Détail!$A:$A,"Hiba LISSAOUI",Détail!$B:$B,$A21,Détail!$C:$C,$B21)</f>
        <v>0</v>
      </c>
      <c r="G21" s="6" t="str">
        <f aca="false">IFERROR(AVERAGEIFS(Détail!$I:$I,Détail!$A:$A,"Hiba LISSAOUI",Détail!$B:$B,$A21,Détail!$C:$C,$B21),"")</f>
        <v/>
      </c>
      <c r="H21" s="5" t="n">
        <f aca="false">COUNTIFS(Détail!$A:$A,"Imad RMAIDI",Détail!$B:$B,$A21,Détail!$C:$C,$B21)</f>
        <v>0</v>
      </c>
      <c r="I21" s="6" t="str">
        <f aca="false">IFERROR(AVERAGEIFS(Détail!$I:$I,Détail!$A:$A,"Imad RMAIDI",Détail!$B:$B,$A21,Détail!$C:$C,$B21),"")</f>
        <v/>
      </c>
      <c r="J21" s="5" t="n">
        <f aca="false">COUNTIFS(Détail!$A:$A,"Mohamed HAMDANI",Détail!$B:$B,$A21,Détail!$C:$C,$B21)</f>
        <v>0</v>
      </c>
      <c r="K21" s="6" t="str">
        <f aca="false">IFERROR(AVERAGEIFS(Détail!$I:$I,Détail!$A:$A,"Mohamed HAMDANI",Détail!$B:$B,$A21,Détail!$C:$C,$B21),"")</f>
        <v/>
      </c>
      <c r="L21" s="5" t="n">
        <f aca="false">COUNTIFS(Détail!$A:$A,"Youssef",Détail!$B:$B,$A21,Détail!$C:$C,$B21)</f>
        <v>0</v>
      </c>
      <c r="M21" s="6" t="str">
        <f aca="false">IFERROR(AVERAGEIFS(Détail!$I:$I,Détail!$A:$A,"Youssef",Détail!$B:$B,$A21,Détail!$C:$C,$B21),"")</f>
        <v/>
      </c>
      <c r="N21" s="5" t="n">
        <f aca="false">COUNTIFS(Détail!$B:$B,$A21,Détail!$C:$C,$B21)</f>
        <v>0</v>
      </c>
      <c r="O21" s="6" t="str">
        <f aca="false">IFERROR(AVERAGEIFS(Détail!$I:$I,Détail!$B:$B,$A21,Détail!$C:$C,$B21),"")</f>
        <v/>
      </c>
    </row>
    <row r="22" customFormat="false" ht="15" hidden="false" customHeight="false" outlineLevel="0" collapsed="false">
      <c r="A22" s="4" t="n">
        <v>2026</v>
      </c>
      <c r="B22" s="4" t="n">
        <v>15</v>
      </c>
      <c r="C22" s="4" t="s">
        <v>29</v>
      </c>
      <c r="D22" s="5" t="n">
        <f aca="false">COUNTIFS(Détail!$A:$A,"Hafssa BENCHRIF",Détail!$B:$B,$A22,Détail!$C:$C,$B22)</f>
        <v>0</v>
      </c>
      <c r="E22" s="6" t="str">
        <f aca="false">IFERROR(AVERAGEIFS(Détail!$I:$I,Détail!$A:$A,"Hafssa BENCHRIF",Détail!$B:$B,$A22,Détail!$C:$C,$B22),"")</f>
        <v/>
      </c>
      <c r="F22" s="5" t="n">
        <f aca="false">COUNTIFS(Détail!$A:$A,"Hiba LISSAOUI",Détail!$B:$B,$A22,Détail!$C:$C,$B22)</f>
        <v>0</v>
      </c>
      <c r="G22" s="6" t="str">
        <f aca="false">IFERROR(AVERAGEIFS(Détail!$I:$I,Détail!$A:$A,"Hiba LISSAOUI",Détail!$B:$B,$A22,Détail!$C:$C,$B22),"")</f>
        <v/>
      </c>
      <c r="H22" s="5" t="n">
        <f aca="false">COUNTIFS(Détail!$A:$A,"Imad RMAIDI",Détail!$B:$B,$A22,Détail!$C:$C,$B22)</f>
        <v>0</v>
      </c>
      <c r="I22" s="6" t="str">
        <f aca="false">IFERROR(AVERAGEIFS(Détail!$I:$I,Détail!$A:$A,"Imad RMAIDI",Détail!$B:$B,$A22,Détail!$C:$C,$B22),"")</f>
        <v/>
      </c>
      <c r="J22" s="5" t="n">
        <f aca="false">COUNTIFS(Détail!$A:$A,"Mohamed HAMDANI",Détail!$B:$B,$A22,Détail!$C:$C,$B22)</f>
        <v>0</v>
      </c>
      <c r="K22" s="6" t="str">
        <f aca="false">IFERROR(AVERAGEIFS(Détail!$I:$I,Détail!$A:$A,"Mohamed HAMDANI",Détail!$B:$B,$A22,Détail!$C:$C,$B22),"")</f>
        <v/>
      </c>
      <c r="L22" s="5" t="n">
        <f aca="false">COUNTIFS(Détail!$A:$A,"Youssef",Détail!$B:$B,$A22,Détail!$C:$C,$B22)</f>
        <v>0</v>
      </c>
      <c r="M22" s="6" t="str">
        <f aca="false">IFERROR(AVERAGEIFS(Détail!$I:$I,Détail!$A:$A,"Youssef",Détail!$B:$B,$A22,Détail!$C:$C,$B22),"")</f>
        <v/>
      </c>
      <c r="N22" s="5" t="n">
        <f aca="false">COUNTIFS(Détail!$B:$B,$A22,Détail!$C:$C,$B22)</f>
        <v>0</v>
      </c>
      <c r="O22" s="6" t="str">
        <f aca="false">IFERROR(AVERAGEIFS(Détail!$I:$I,Détail!$B:$B,$A22,Détail!$C:$C,$B22),"")</f>
        <v/>
      </c>
    </row>
    <row r="23" customFormat="false" ht="15" hidden="false" customHeight="false" outlineLevel="0" collapsed="false">
      <c r="A23" s="4" t="n">
        <v>2026</v>
      </c>
      <c r="B23" s="4" t="n">
        <v>16</v>
      </c>
      <c r="C23" s="4" t="s">
        <v>30</v>
      </c>
      <c r="D23" s="5" t="n">
        <f aca="false">COUNTIFS(Détail!$A:$A,"Hafssa BENCHRIF",Détail!$B:$B,$A23,Détail!$C:$C,$B23)</f>
        <v>1</v>
      </c>
      <c r="E23" s="6" t="str">
        <f aca="false">IFERROR(AVERAGEIFS(Détail!$I:$I,Détail!$A:$A,"Hafssa BENCHRIF",Détail!$B:$B,$A23,Détail!$C:$C,$B23),"")</f>
        <v/>
      </c>
      <c r="F23" s="5" t="n">
        <f aca="false">COUNTIFS(Détail!$A:$A,"Hiba LISSAOUI",Détail!$B:$B,$A23,Détail!$C:$C,$B23)</f>
        <v>1</v>
      </c>
      <c r="G23" s="6" t="n">
        <f aca="false">IFERROR(AVERAGEIFS(Détail!$I:$I,Détail!$A:$A,"Hiba LISSAOUI",Détail!$B:$B,$A23,Détail!$C:$C,$B23),"")</f>
        <v>100</v>
      </c>
      <c r="H23" s="5" t="n">
        <f aca="false">COUNTIFS(Détail!$A:$A,"Imad RMAIDI",Détail!$B:$B,$A23,Détail!$C:$C,$B23)</f>
        <v>1</v>
      </c>
      <c r="I23" s="6" t="n">
        <f aca="false">IFERROR(AVERAGEIFS(Détail!$I:$I,Détail!$A:$A,"Imad RMAIDI",Détail!$B:$B,$A23,Détail!$C:$C,$B23),"")</f>
        <v>100</v>
      </c>
      <c r="J23" s="5" t="n">
        <f aca="false">COUNTIFS(Détail!$A:$A,"Mohamed HAMDANI",Détail!$B:$B,$A23,Détail!$C:$C,$B23)</f>
        <v>1</v>
      </c>
      <c r="K23" s="6" t="n">
        <f aca="false">IFERROR(AVERAGEIFS(Détail!$I:$I,Détail!$A:$A,"Mohamed HAMDANI",Détail!$B:$B,$A23,Détail!$C:$C,$B23),"")</f>
        <v>100</v>
      </c>
      <c r="L23" s="5" t="n">
        <f aca="false">COUNTIFS(Détail!$A:$A,"Youssef",Détail!$B:$B,$A23,Détail!$C:$C,$B23)</f>
        <v>0</v>
      </c>
      <c r="M23" s="6" t="str">
        <f aca="false">IFERROR(AVERAGEIFS(Détail!$I:$I,Détail!$A:$A,"Youssef",Détail!$B:$B,$A23,Détail!$C:$C,$B23),"")</f>
        <v/>
      </c>
      <c r="N23" s="5" t="n">
        <f aca="false">COUNTIFS(Détail!$B:$B,$A23,Détail!$C:$C,$B23)</f>
        <v>4</v>
      </c>
      <c r="O23" s="6" t="n">
        <f aca="false">IFERROR(AVERAGEIFS(Détail!$I:$I,Détail!$B:$B,$A23,Détail!$C:$C,$B23),"")</f>
        <v>100</v>
      </c>
    </row>
    <row r="24" customFormat="false" ht="15" hidden="false" customHeight="false" outlineLevel="0" collapsed="false">
      <c r="A24" s="4" t="n">
        <v>2026</v>
      </c>
      <c r="B24" s="4" t="n">
        <v>17</v>
      </c>
      <c r="C24" s="4" t="s">
        <v>31</v>
      </c>
      <c r="D24" s="5" t="n">
        <f aca="false">COUNTIFS(Détail!$A:$A,"Hafssa BENCHRIF",Détail!$B:$B,$A24,Détail!$C:$C,$B24)</f>
        <v>0</v>
      </c>
      <c r="E24" s="6" t="str">
        <f aca="false">IFERROR(AVERAGEIFS(Détail!$I:$I,Détail!$A:$A,"Hafssa BENCHRIF",Détail!$B:$B,$A24,Détail!$C:$C,$B24),"")</f>
        <v/>
      </c>
      <c r="F24" s="5" t="n">
        <f aca="false">COUNTIFS(Détail!$A:$A,"Hiba LISSAOUI",Détail!$B:$B,$A24,Détail!$C:$C,$B24)</f>
        <v>1</v>
      </c>
      <c r="G24" s="6" t="n">
        <f aca="false">IFERROR(AVERAGEIFS(Détail!$I:$I,Détail!$A:$A,"Hiba LISSAOUI",Détail!$B:$B,$A24,Détail!$C:$C,$B24),"")</f>
        <v>100</v>
      </c>
      <c r="H24" s="5" t="n">
        <f aca="false">COUNTIFS(Détail!$A:$A,"Imad RMAIDI",Détail!$B:$B,$A24,Détail!$C:$C,$B24)</f>
        <v>1</v>
      </c>
      <c r="I24" s="6" t="n">
        <f aca="false">IFERROR(AVERAGEIFS(Détail!$I:$I,Détail!$A:$A,"Imad RMAIDI",Détail!$B:$B,$A24,Détail!$C:$C,$B24),"")</f>
        <v>100</v>
      </c>
      <c r="J24" s="5" t="n">
        <f aca="false">COUNTIFS(Détail!$A:$A,"Mohamed HAMDANI",Détail!$B:$B,$A24,Détail!$C:$C,$B24)</f>
        <v>1</v>
      </c>
      <c r="K24" s="6" t="n">
        <f aca="false">IFERROR(AVERAGEIFS(Détail!$I:$I,Détail!$A:$A,"Mohamed HAMDANI",Détail!$B:$B,$A24,Détail!$C:$C,$B24),"")</f>
        <v>100</v>
      </c>
      <c r="L24" s="5" t="n">
        <f aca="false">COUNTIFS(Détail!$A:$A,"Youssef",Détail!$B:$B,$A24,Détail!$C:$C,$B24)</f>
        <v>0</v>
      </c>
      <c r="M24" s="6" t="str">
        <f aca="false">IFERROR(AVERAGEIFS(Détail!$I:$I,Détail!$A:$A,"Youssef",Détail!$B:$B,$A24,Détail!$C:$C,$B24),"")</f>
        <v/>
      </c>
      <c r="N24" s="5" t="n">
        <f aca="false">COUNTIFS(Détail!$B:$B,$A24,Détail!$C:$C,$B24)</f>
        <v>3</v>
      </c>
      <c r="O24" s="6" t="n">
        <f aca="false">IFERROR(AVERAGEIFS(Détail!$I:$I,Détail!$B:$B,$A24,Détail!$C:$C,$B24),"")</f>
        <v>100</v>
      </c>
    </row>
    <row r="25" customFormat="false" ht="15" hidden="false" customHeight="false" outlineLevel="0" collapsed="false">
      <c r="A25" s="4" t="n">
        <v>2026</v>
      </c>
      <c r="B25" s="4" t="n">
        <v>18</v>
      </c>
      <c r="C25" s="4" t="s">
        <v>32</v>
      </c>
      <c r="D25" s="5" t="n">
        <f aca="false">COUNTIFS(Détail!$A:$A,"Hafssa BENCHRIF",Détail!$B:$B,$A25,Détail!$C:$C,$B25)</f>
        <v>0</v>
      </c>
      <c r="E25" s="6" t="str">
        <f aca="false">IFERROR(AVERAGEIFS(Détail!$I:$I,Détail!$A:$A,"Hafssa BENCHRIF",Détail!$B:$B,$A25,Détail!$C:$C,$B25),"")</f>
        <v/>
      </c>
      <c r="F25" s="5" t="n">
        <f aca="false">COUNTIFS(Détail!$A:$A,"Hiba LISSAOUI",Détail!$B:$B,$A25,Détail!$C:$C,$B25)</f>
        <v>1</v>
      </c>
      <c r="G25" s="6" t="n">
        <f aca="false">IFERROR(AVERAGEIFS(Détail!$I:$I,Détail!$A:$A,"Hiba LISSAOUI",Détail!$B:$B,$A25,Détail!$C:$C,$B25),"")</f>
        <v>100</v>
      </c>
      <c r="H25" s="5" t="n">
        <f aca="false">COUNTIFS(Détail!$A:$A,"Imad RMAIDI",Détail!$B:$B,$A25,Détail!$C:$C,$B25)</f>
        <v>1</v>
      </c>
      <c r="I25" s="6" t="n">
        <f aca="false">IFERROR(AVERAGEIFS(Détail!$I:$I,Détail!$A:$A,"Imad RMAIDI",Détail!$B:$B,$A25,Détail!$C:$C,$B25),"")</f>
        <v>100</v>
      </c>
      <c r="J25" s="5" t="n">
        <f aca="false">COUNTIFS(Détail!$A:$A,"Mohamed HAMDANI",Détail!$B:$B,$A25,Détail!$C:$C,$B25)</f>
        <v>1</v>
      </c>
      <c r="K25" s="6" t="n">
        <f aca="false">IFERROR(AVERAGEIFS(Détail!$I:$I,Détail!$A:$A,"Mohamed HAMDANI",Détail!$B:$B,$A25,Détail!$C:$C,$B25),"")</f>
        <v>100</v>
      </c>
      <c r="L25" s="5" t="n">
        <f aca="false">COUNTIFS(Détail!$A:$A,"Youssef",Détail!$B:$B,$A25,Détail!$C:$C,$B25)</f>
        <v>0</v>
      </c>
      <c r="M25" s="6" t="str">
        <f aca="false">IFERROR(AVERAGEIFS(Détail!$I:$I,Détail!$A:$A,"Youssef",Détail!$B:$B,$A25,Détail!$C:$C,$B25),"")</f>
        <v/>
      </c>
      <c r="N25" s="5" t="n">
        <f aca="false">COUNTIFS(Détail!$B:$B,$A25,Détail!$C:$C,$B25)</f>
        <v>3</v>
      </c>
      <c r="O25" s="6" t="n">
        <f aca="false">IFERROR(AVERAGEIFS(Détail!$I:$I,Détail!$B:$B,$A25,Détail!$C:$C,$B25),"")</f>
        <v>100</v>
      </c>
    </row>
    <row r="26" customFormat="false" ht="15" hidden="false" customHeight="false" outlineLevel="0" collapsed="false">
      <c r="A26" s="4" t="n">
        <v>2026</v>
      </c>
      <c r="B26" s="4" t="n">
        <v>19</v>
      </c>
      <c r="C26" s="4" t="s">
        <v>33</v>
      </c>
      <c r="D26" s="5" t="n">
        <f aca="false">COUNTIFS(Détail!$A:$A,"Hafssa BENCHRIF",Détail!$B:$B,$A26,Détail!$C:$C,$B26)</f>
        <v>0</v>
      </c>
      <c r="E26" s="6" t="str">
        <f aca="false">IFERROR(AVERAGEIFS(Détail!$I:$I,Détail!$A:$A,"Hafssa BENCHRIF",Détail!$B:$B,$A26,Détail!$C:$C,$B26),"")</f>
        <v/>
      </c>
      <c r="F26" s="5" t="n">
        <f aca="false">COUNTIFS(Détail!$A:$A,"Hiba LISSAOUI",Détail!$B:$B,$A26,Détail!$C:$C,$B26)</f>
        <v>1</v>
      </c>
      <c r="G26" s="6" t="n">
        <f aca="false">IFERROR(AVERAGEIFS(Détail!$I:$I,Détail!$A:$A,"Hiba LISSAOUI",Détail!$B:$B,$A26,Détail!$C:$C,$B26),"")</f>
        <v>100</v>
      </c>
      <c r="H26" s="5" t="n">
        <f aca="false">COUNTIFS(Détail!$A:$A,"Imad RMAIDI",Détail!$B:$B,$A26,Détail!$C:$C,$B26)</f>
        <v>1</v>
      </c>
      <c r="I26" s="6" t="n">
        <f aca="false">IFERROR(AVERAGEIFS(Détail!$I:$I,Détail!$A:$A,"Imad RMAIDI",Détail!$B:$B,$A26,Détail!$C:$C,$B26),"")</f>
        <v>100</v>
      </c>
      <c r="J26" s="5" t="n">
        <f aca="false">COUNTIFS(Détail!$A:$A,"Mohamed HAMDANI",Détail!$B:$B,$A26,Détail!$C:$C,$B26)</f>
        <v>1</v>
      </c>
      <c r="K26" s="6" t="n">
        <f aca="false">IFERROR(AVERAGEIFS(Détail!$I:$I,Détail!$A:$A,"Mohamed HAMDANI",Détail!$B:$B,$A26,Détail!$C:$C,$B26),"")</f>
        <v>100</v>
      </c>
      <c r="L26" s="5" t="n">
        <f aca="false">COUNTIFS(Détail!$A:$A,"Youssef",Détail!$B:$B,$A26,Détail!$C:$C,$B26)</f>
        <v>0</v>
      </c>
      <c r="M26" s="6" t="str">
        <f aca="false">IFERROR(AVERAGEIFS(Détail!$I:$I,Détail!$A:$A,"Youssef",Détail!$B:$B,$A26,Détail!$C:$C,$B26),"")</f>
        <v/>
      </c>
      <c r="N26" s="5" t="n">
        <f aca="false">COUNTIFS(Détail!$B:$B,$A26,Détail!$C:$C,$B26)</f>
        <v>3</v>
      </c>
      <c r="O26" s="6" t="n">
        <f aca="false">IFERROR(AVERAGEIFS(Détail!$I:$I,Détail!$B:$B,$A26,Détail!$C:$C,$B26),"")</f>
        <v>100</v>
      </c>
    </row>
    <row r="27" customFormat="false" ht="15" hidden="false" customHeight="false" outlineLevel="0" collapsed="false">
      <c r="A27" s="4" t="n">
        <v>2026</v>
      </c>
      <c r="B27" s="4" t="n">
        <v>20</v>
      </c>
      <c r="C27" s="4" t="s">
        <v>34</v>
      </c>
      <c r="D27" s="5" t="n">
        <f aca="false">COUNTIFS(Détail!$A:$A,"Hafssa BENCHRIF",Détail!$B:$B,$A27,Détail!$C:$C,$B27)</f>
        <v>0</v>
      </c>
      <c r="E27" s="6" t="str">
        <f aca="false">IFERROR(AVERAGEIFS(Détail!$I:$I,Détail!$A:$A,"Hafssa BENCHRIF",Détail!$B:$B,$A27,Détail!$C:$C,$B27),"")</f>
        <v/>
      </c>
      <c r="F27" s="5" t="n">
        <f aca="false">COUNTIFS(Détail!$A:$A,"Hiba LISSAOUI",Détail!$B:$B,$A27,Détail!$C:$C,$B27)</f>
        <v>1</v>
      </c>
      <c r="G27" s="6" t="n">
        <f aca="false">IFERROR(AVERAGEIFS(Détail!$I:$I,Détail!$A:$A,"Hiba LISSAOUI",Détail!$B:$B,$A27,Détail!$C:$C,$B27),"")</f>
        <v>100</v>
      </c>
      <c r="H27" s="5" t="n">
        <f aca="false">COUNTIFS(Détail!$A:$A,"Imad RMAIDI",Détail!$B:$B,$A27,Détail!$C:$C,$B27)</f>
        <v>1</v>
      </c>
      <c r="I27" s="6" t="n">
        <f aca="false">IFERROR(AVERAGEIFS(Détail!$I:$I,Détail!$A:$A,"Imad RMAIDI",Détail!$B:$B,$A27,Détail!$C:$C,$B27),"")</f>
        <v>100</v>
      </c>
      <c r="J27" s="5" t="n">
        <f aca="false">COUNTIFS(Détail!$A:$A,"Mohamed HAMDANI",Détail!$B:$B,$A27,Détail!$C:$C,$B27)</f>
        <v>1</v>
      </c>
      <c r="K27" s="6" t="n">
        <f aca="false">IFERROR(AVERAGEIFS(Détail!$I:$I,Détail!$A:$A,"Mohamed HAMDANI",Détail!$B:$B,$A27,Détail!$C:$C,$B27),"")</f>
        <v>100</v>
      </c>
      <c r="L27" s="5" t="n">
        <f aca="false">COUNTIFS(Détail!$A:$A,"Youssef",Détail!$B:$B,$A27,Détail!$C:$C,$B27)</f>
        <v>0</v>
      </c>
      <c r="M27" s="6" t="str">
        <f aca="false">IFERROR(AVERAGEIFS(Détail!$I:$I,Détail!$A:$A,"Youssef",Détail!$B:$B,$A27,Détail!$C:$C,$B27),"")</f>
        <v/>
      </c>
      <c r="N27" s="5" t="n">
        <f aca="false">COUNTIFS(Détail!$B:$B,$A27,Détail!$C:$C,$B27)</f>
        <v>3</v>
      </c>
      <c r="O27" s="6" t="n">
        <f aca="false">IFERROR(AVERAGEIFS(Détail!$I:$I,Détail!$B:$B,$A27,Détail!$C:$C,$B27),"")</f>
        <v>100</v>
      </c>
    </row>
    <row r="28" customFormat="false" ht="15" hidden="false" customHeight="false" outlineLevel="0" collapsed="false">
      <c r="A28" s="4" t="n">
        <v>2026</v>
      </c>
      <c r="B28" s="4" t="n">
        <v>21</v>
      </c>
      <c r="C28" s="4" t="s">
        <v>35</v>
      </c>
      <c r="D28" s="5" t="n">
        <f aca="false">COUNTIFS(Détail!$A:$A,"Hafssa BENCHRIF",Détail!$B:$B,$A28,Détail!$C:$C,$B28)</f>
        <v>0</v>
      </c>
      <c r="E28" s="6" t="str">
        <f aca="false">IFERROR(AVERAGEIFS(Détail!$I:$I,Détail!$A:$A,"Hafssa BENCHRIF",Détail!$B:$B,$A28,Détail!$C:$C,$B28),"")</f>
        <v/>
      </c>
      <c r="F28" s="5" t="n">
        <f aca="false">COUNTIFS(Détail!$A:$A,"Hiba LISSAOUI",Détail!$B:$B,$A28,Détail!$C:$C,$B28)</f>
        <v>1</v>
      </c>
      <c r="G28" s="6" t="n">
        <f aca="false">IFERROR(AVERAGEIFS(Détail!$I:$I,Détail!$A:$A,"Hiba LISSAOUI",Détail!$B:$B,$A28,Détail!$C:$C,$B28),"")</f>
        <v>100</v>
      </c>
      <c r="H28" s="5" t="n">
        <f aca="false">COUNTIFS(Détail!$A:$A,"Imad RMAIDI",Détail!$B:$B,$A28,Détail!$C:$C,$B28)</f>
        <v>1</v>
      </c>
      <c r="I28" s="6" t="n">
        <f aca="false">IFERROR(AVERAGEIFS(Détail!$I:$I,Détail!$A:$A,"Imad RMAIDI",Détail!$B:$B,$A28,Détail!$C:$C,$B28),"")</f>
        <v>100</v>
      </c>
      <c r="J28" s="5" t="n">
        <f aca="false">COUNTIFS(Détail!$A:$A,"Mohamed HAMDANI",Détail!$B:$B,$A28,Détail!$C:$C,$B28)</f>
        <v>1</v>
      </c>
      <c r="K28" s="6" t="n">
        <f aca="false">IFERROR(AVERAGEIFS(Détail!$I:$I,Détail!$A:$A,"Mohamed HAMDANI",Détail!$B:$B,$A28,Détail!$C:$C,$B28),"")</f>
        <v>100</v>
      </c>
      <c r="L28" s="5" t="n">
        <f aca="false">COUNTIFS(Détail!$A:$A,"Youssef",Détail!$B:$B,$A28,Détail!$C:$C,$B28)</f>
        <v>0</v>
      </c>
      <c r="M28" s="6" t="str">
        <f aca="false">IFERROR(AVERAGEIFS(Détail!$I:$I,Détail!$A:$A,"Youssef",Détail!$B:$B,$A28,Détail!$C:$C,$B28),"")</f>
        <v/>
      </c>
      <c r="N28" s="5" t="n">
        <f aca="false">COUNTIFS(Détail!$B:$B,$A28,Détail!$C:$C,$B28)</f>
        <v>3</v>
      </c>
      <c r="O28" s="6" t="n">
        <f aca="false">IFERROR(AVERAGEIFS(Détail!$I:$I,Détail!$B:$B,$A28,Détail!$C:$C,$B28),"")</f>
        <v>100</v>
      </c>
    </row>
    <row r="29" customFormat="false" ht="15" hidden="false" customHeight="false" outlineLevel="0" collapsed="false">
      <c r="A29" s="4" t="n">
        <v>2026</v>
      </c>
      <c r="B29" s="4" t="n">
        <v>22</v>
      </c>
      <c r="C29" s="4" t="s">
        <v>36</v>
      </c>
      <c r="D29" s="5" t="n">
        <f aca="false">COUNTIFS(Détail!$A:$A,"Hafssa BENCHRIF",Détail!$B:$B,$A29,Détail!$C:$C,$B29)</f>
        <v>0</v>
      </c>
      <c r="E29" s="6" t="str">
        <f aca="false">IFERROR(AVERAGEIFS(Détail!$I:$I,Détail!$A:$A,"Hafssa BENCHRIF",Détail!$B:$B,$A29,Détail!$C:$C,$B29),"")</f>
        <v/>
      </c>
      <c r="F29" s="5" t="n">
        <f aca="false">COUNTIFS(Détail!$A:$A,"Hiba LISSAOUI",Détail!$B:$B,$A29,Détail!$C:$C,$B29)</f>
        <v>1</v>
      </c>
      <c r="G29" s="6" t="n">
        <f aca="false">IFERROR(AVERAGEIFS(Détail!$I:$I,Détail!$A:$A,"Hiba LISSAOUI",Détail!$B:$B,$A29,Détail!$C:$C,$B29),"")</f>
        <v>100</v>
      </c>
      <c r="H29" s="5" t="n">
        <f aca="false">COUNTIFS(Détail!$A:$A,"Imad RMAIDI",Détail!$B:$B,$A29,Détail!$C:$C,$B29)</f>
        <v>1</v>
      </c>
      <c r="I29" s="6" t="n">
        <f aca="false">IFERROR(AVERAGEIFS(Détail!$I:$I,Détail!$A:$A,"Imad RMAIDI",Détail!$B:$B,$A29,Détail!$C:$C,$B29),"")</f>
        <v>100</v>
      </c>
      <c r="J29" s="5" t="n">
        <f aca="false">COUNTIFS(Détail!$A:$A,"Mohamed HAMDANI",Détail!$B:$B,$A29,Détail!$C:$C,$B29)</f>
        <v>0</v>
      </c>
      <c r="K29" s="6" t="str">
        <f aca="false">IFERROR(AVERAGEIFS(Détail!$I:$I,Détail!$A:$A,"Mohamed HAMDANI",Détail!$B:$B,$A29,Détail!$C:$C,$B29),"")</f>
        <v/>
      </c>
      <c r="L29" s="5" t="n">
        <f aca="false">COUNTIFS(Détail!$A:$A,"Youssef",Détail!$B:$B,$A29,Détail!$C:$C,$B29)</f>
        <v>0</v>
      </c>
      <c r="M29" s="6" t="str">
        <f aca="false">IFERROR(AVERAGEIFS(Détail!$I:$I,Détail!$A:$A,"Youssef",Détail!$B:$B,$A29,Détail!$C:$C,$B29),"")</f>
        <v/>
      </c>
      <c r="N29" s="5" t="n">
        <f aca="false">COUNTIFS(Détail!$B:$B,$A29,Détail!$C:$C,$B29)</f>
        <v>2</v>
      </c>
      <c r="O29" s="6" t="n">
        <f aca="false">IFERROR(AVERAGEIFS(Détail!$I:$I,Détail!$B:$B,$A29,Détail!$C:$C,$B29),"")</f>
        <v>100</v>
      </c>
    </row>
    <row r="30" customFormat="false" ht="15" hidden="false" customHeight="false" outlineLevel="0" collapsed="false">
      <c r="A30" s="4" t="n">
        <v>2026</v>
      </c>
      <c r="B30" s="4" t="n">
        <v>23</v>
      </c>
      <c r="C30" s="4" t="s">
        <v>37</v>
      </c>
      <c r="D30" s="5" t="n">
        <f aca="false">COUNTIFS(Détail!$A:$A,"Hafssa BENCHRIF",Détail!$B:$B,$A30,Détail!$C:$C,$B30)</f>
        <v>0</v>
      </c>
      <c r="E30" s="6" t="str">
        <f aca="false">IFERROR(AVERAGEIFS(Détail!$I:$I,Détail!$A:$A,"Hafssa BENCHRIF",Détail!$B:$B,$A30,Détail!$C:$C,$B30),"")</f>
        <v/>
      </c>
      <c r="F30" s="5" t="n">
        <f aca="false">COUNTIFS(Détail!$A:$A,"Hiba LISSAOUI",Détail!$B:$B,$A30,Détail!$C:$C,$B30)</f>
        <v>1</v>
      </c>
      <c r="G30" s="6" t="n">
        <f aca="false">IFERROR(AVERAGEIFS(Détail!$I:$I,Détail!$A:$A,"Hiba LISSAOUI",Détail!$B:$B,$A30,Détail!$C:$C,$B30),"")</f>
        <v>100</v>
      </c>
      <c r="H30" s="5" t="n">
        <f aca="false">COUNTIFS(Détail!$A:$A,"Imad RMAIDI",Détail!$B:$B,$A30,Détail!$C:$C,$B30)</f>
        <v>1</v>
      </c>
      <c r="I30" s="6" t="n">
        <f aca="false">IFERROR(AVERAGEIFS(Détail!$I:$I,Détail!$A:$A,"Imad RMAIDI",Détail!$B:$B,$A30,Détail!$C:$C,$B30),"")</f>
        <v>100</v>
      </c>
      <c r="J30" s="5" t="n">
        <f aca="false">COUNTIFS(Détail!$A:$A,"Mohamed HAMDANI",Détail!$B:$B,$A30,Détail!$C:$C,$B30)</f>
        <v>1</v>
      </c>
      <c r="K30" s="6" t="n">
        <f aca="false">IFERROR(AVERAGEIFS(Détail!$I:$I,Détail!$A:$A,"Mohamed HAMDANI",Détail!$B:$B,$A30,Détail!$C:$C,$B30),"")</f>
        <v>100</v>
      </c>
      <c r="L30" s="5" t="n">
        <f aca="false">COUNTIFS(Détail!$A:$A,"Youssef",Détail!$B:$B,$A30,Détail!$C:$C,$B30)</f>
        <v>0</v>
      </c>
      <c r="M30" s="6" t="str">
        <f aca="false">IFERROR(AVERAGEIFS(Détail!$I:$I,Détail!$A:$A,"Youssef",Détail!$B:$B,$A30,Détail!$C:$C,$B30),"")</f>
        <v/>
      </c>
      <c r="N30" s="5" t="n">
        <f aca="false">COUNTIFS(Détail!$B:$B,$A30,Détail!$C:$C,$B30)</f>
        <v>3</v>
      </c>
      <c r="O30" s="6" t="n">
        <f aca="false">IFERROR(AVERAGEIFS(Détail!$I:$I,Détail!$B:$B,$A30,Détail!$C:$C,$B30),"")</f>
        <v>100</v>
      </c>
    </row>
    <row r="31" customFormat="false" ht="15" hidden="false" customHeight="false" outlineLevel="0" collapsed="false">
      <c r="A31" s="4" t="n">
        <v>2026</v>
      </c>
      <c r="B31" s="4" t="n">
        <v>24</v>
      </c>
      <c r="C31" s="4" t="s">
        <v>38</v>
      </c>
      <c r="D31" s="5" t="n">
        <f aca="false">COUNTIFS(Détail!$A:$A,"Hafssa BENCHRIF",Détail!$B:$B,$A31,Détail!$C:$C,$B31)</f>
        <v>0</v>
      </c>
      <c r="E31" s="6" t="str">
        <f aca="false">IFERROR(AVERAGEIFS(Détail!$I:$I,Détail!$A:$A,"Hafssa BENCHRIF",Détail!$B:$B,$A31,Détail!$C:$C,$B31),"")</f>
        <v/>
      </c>
      <c r="F31" s="5" t="n">
        <f aca="false">COUNTIFS(Détail!$A:$A,"Hiba LISSAOUI",Détail!$B:$B,$A31,Détail!$C:$C,$B31)</f>
        <v>1</v>
      </c>
      <c r="G31" s="6" t="n">
        <f aca="false">IFERROR(AVERAGEIFS(Détail!$I:$I,Détail!$A:$A,"Hiba LISSAOUI",Détail!$B:$B,$A31,Détail!$C:$C,$B31),"")</f>
        <v>100</v>
      </c>
      <c r="H31" s="5" t="n">
        <f aca="false">COUNTIFS(Détail!$A:$A,"Imad RMAIDI",Détail!$B:$B,$A31,Détail!$C:$C,$B31)</f>
        <v>1</v>
      </c>
      <c r="I31" s="6" t="n">
        <f aca="false">IFERROR(AVERAGEIFS(Détail!$I:$I,Détail!$A:$A,"Imad RMAIDI",Détail!$B:$B,$A31,Détail!$C:$C,$B31),"")</f>
        <v>100</v>
      </c>
      <c r="J31" s="5" t="n">
        <f aca="false">COUNTIFS(Détail!$A:$A,"Mohamed HAMDANI",Détail!$B:$B,$A31,Détail!$C:$C,$B31)</f>
        <v>1</v>
      </c>
      <c r="K31" s="6" t="n">
        <f aca="false">IFERROR(AVERAGEIFS(Détail!$I:$I,Détail!$A:$A,"Mohamed HAMDANI",Détail!$B:$B,$A31,Détail!$C:$C,$B31),"")</f>
        <v>92.9</v>
      </c>
      <c r="L31" s="5" t="n">
        <f aca="false">COUNTIFS(Détail!$A:$A,"Youssef",Détail!$B:$B,$A31,Détail!$C:$C,$B31)</f>
        <v>0</v>
      </c>
      <c r="M31" s="6" t="str">
        <f aca="false">IFERROR(AVERAGEIFS(Détail!$I:$I,Détail!$A:$A,"Youssef",Détail!$B:$B,$A31,Détail!$C:$C,$B31),"")</f>
        <v/>
      </c>
      <c r="N31" s="5" t="n">
        <f aca="false">COUNTIFS(Détail!$B:$B,$A31,Détail!$C:$C,$B31)</f>
        <v>3</v>
      </c>
      <c r="O31" s="6" t="n">
        <f aca="false">IFERROR(AVERAGEIFS(Détail!$I:$I,Détail!$B:$B,$A31,Détail!$C:$C,$B31),"")</f>
        <v>97.6333333333333</v>
      </c>
    </row>
    <row r="32" customFormat="false" ht="15" hidden="false" customHeight="false" outlineLevel="0" collapsed="false">
      <c r="A32" s="4" t="n">
        <v>2026</v>
      </c>
      <c r="B32" s="4" t="n">
        <v>25</v>
      </c>
      <c r="C32" s="4" t="s">
        <v>39</v>
      </c>
      <c r="D32" s="5" t="n">
        <f aca="false">COUNTIFS(Détail!$A:$A,"Hafssa BENCHRIF",Détail!$B:$B,$A32,Détail!$C:$C,$B32)</f>
        <v>0</v>
      </c>
      <c r="E32" s="6" t="str">
        <f aca="false">IFERROR(AVERAGEIFS(Détail!$I:$I,Détail!$A:$A,"Hafssa BENCHRIF",Détail!$B:$B,$A32,Détail!$C:$C,$B32),"")</f>
        <v/>
      </c>
      <c r="F32" s="5" t="n">
        <f aca="false">COUNTIFS(Détail!$A:$A,"Hiba LISSAOUI",Détail!$B:$B,$A32,Détail!$C:$C,$B32)</f>
        <v>1</v>
      </c>
      <c r="G32" s="6" t="n">
        <f aca="false">IFERROR(AVERAGEIFS(Détail!$I:$I,Détail!$A:$A,"Hiba LISSAOUI",Détail!$B:$B,$A32,Détail!$C:$C,$B32),"")</f>
        <v>100</v>
      </c>
      <c r="H32" s="5" t="n">
        <f aca="false">COUNTIFS(Détail!$A:$A,"Imad RMAIDI",Détail!$B:$B,$A32,Détail!$C:$C,$B32)</f>
        <v>1</v>
      </c>
      <c r="I32" s="6" t="n">
        <f aca="false">IFERROR(AVERAGEIFS(Détail!$I:$I,Détail!$A:$A,"Imad RMAIDI",Détail!$B:$B,$A32,Détail!$C:$C,$B32),"")</f>
        <v>100</v>
      </c>
      <c r="J32" s="5" t="n">
        <f aca="false">COUNTIFS(Détail!$A:$A,"Mohamed HAMDANI",Détail!$B:$B,$A32,Détail!$C:$C,$B32)</f>
        <v>1</v>
      </c>
      <c r="K32" s="6" t="n">
        <f aca="false">IFERROR(AVERAGEIFS(Détail!$I:$I,Détail!$A:$A,"Mohamed HAMDANI",Détail!$B:$B,$A32,Détail!$C:$C,$B32),"")</f>
        <v>100</v>
      </c>
      <c r="L32" s="5" t="n">
        <f aca="false">COUNTIFS(Détail!$A:$A,"Youssef",Détail!$B:$B,$A32,Détail!$C:$C,$B32)</f>
        <v>0</v>
      </c>
      <c r="M32" s="6" t="str">
        <f aca="false">IFERROR(AVERAGEIFS(Détail!$I:$I,Détail!$A:$A,"Youssef",Détail!$B:$B,$A32,Détail!$C:$C,$B32),"")</f>
        <v/>
      </c>
      <c r="N32" s="5" t="n">
        <f aca="false">COUNTIFS(Détail!$B:$B,$A32,Détail!$C:$C,$B32)</f>
        <v>3</v>
      </c>
      <c r="O32" s="6" t="n">
        <f aca="false">IFERROR(AVERAGEIFS(Détail!$I:$I,Détail!$B:$B,$A32,Détail!$C:$C,$B32),"")</f>
        <v>100</v>
      </c>
    </row>
    <row r="33" customFormat="false" ht="15" hidden="false" customHeight="false" outlineLevel="0" collapsed="false">
      <c r="A33" s="4" t="n">
        <v>2026</v>
      </c>
      <c r="B33" s="4" t="n">
        <v>26</v>
      </c>
      <c r="C33" s="4" t="s">
        <v>40</v>
      </c>
      <c r="D33" s="5" t="n">
        <f aca="false">COUNTIFS(Détail!$A:$A,"Hafssa BENCHRIF",Détail!$B:$B,$A33,Détail!$C:$C,$B33)</f>
        <v>0</v>
      </c>
      <c r="E33" s="6" t="str">
        <f aca="false">IFERROR(AVERAGEIFS(Détail!$I:$I,Détail!$A:$A,"Hafssa BENCHRIF",Détail!$B:$B,$A33,Détail!$C:$C,$B33),"")</f>
        <v/>
      </c>
      <c r="F33" s="5" t="n">
        <f aca="false">COUNTIFS(Détail!$A:$A,"Hiba LISSAOUI",Détail!$B:$B,$A33,Détail!$C:$C,$B33)</f>
        <v>1</v>
      </c>
      <c r="G33" s="6" t="n">
        <f aca="false">IFERROR(AVERAGEIFS(Détail!$I:$I,Détail!$A:$A,"Hiba LISSAOUI",Détail!$B:$B,$A33,Détail!$C:$C,$B33),"")</f>
        <v>100</v>
      </c>
      <c r="H33" s="5" t="n">
        <f aca="false">COUNTIFS(Détail!$A:$A,"Imad RMAIDI",Détail!$B:$B,$A33,Détail!$C:$C,$B33)</f>
        <v>1</v>
      </c>
      <c r="I33" s="6" t="n">
        <f aca="false">IFERROR(AVERAGEIFS(Détail!$I:$I,Détail!$A:$A,"Imad RMAIDI",Détail!$B:$B,$A33,Détail!$C:$C,$B33),"")</f>
        <v>100</v>
      </c>
      <c r="J33" s="5" t="n">
        <f aca="false">COUNTIFS(Détail!$A:$A,"Mohamed HAMDANI",Détail!$B:$B,$A33,Détail!$C:$C,$B33)</f>
        <v>1</v>
      </c>
      <c r="K33" s="6" t="n">
        <f aca="false">IFERROR(AVERAGEIFS(Détail!$I:$I,Détail!$A:$A,"Mohamed HAMDANI",Détail!$B:$B,$A33,Détail!$C:$C,$B33),"")</f>
        <v>100</v>
      </c>
      <c r="L33" s="5" t="n">
        <f aca="false">COUNTIFS(Détail!$A:$A,"Youssef",Détail!$B:$B,$A33,Détail!$C:$C,$B33)</f>
        <v>0</v>
      </c>
      <c r="M33" s="6" t="str">
        <f aca="false">IFERROR(AVERAGEIFS(Détail!$I:$I,Détail!$A:$A,"Youssef",Détail!$B:$B,$A33,Détail!$C:$C,$B33),"")</f>
        <v/>
      </c>
      <c r="N33" s="5" t="n">
        <f aca="false">COUNTIFS(Détail!$B:$B,$A33,Détail!$C:$C,$B33)</f>
        <v>3</v>
      </c>
      <c r="O33" s="6" t="n">
        <f aca="false">IFERROR(AVERAGEIFS(Détail!$I:$I,Détail!$B:$B,$A33,Détail!$C:$C,$B33),"")</f>
        <v>100</v>
      </c>
    </row>
    <row r="34" customFormat="false" ht="15" hidden="false" customHeight="false" outlineLevel="0" collapsed="false">
      <c r="A34" s="4" t="n">
        <v>2026</v>
      </c>
      <c r="B34" s="4" t="n">
        <v>27</v>
      </c>
      <c r="C34" s="4" t="s">
        <v>41</v>
      </c>
      <c r="D34" s="5" t="n">
        <f aca="false">COUNTIFS(Détail!$A:$A,"Hafssa BENCHRIF",Détail!$B:$B,$A34,Détail!$C:$C,$B34)</f>
        <v>0</v>
      </c>
      <c r="E34" s="6" t="str">
        <f aca="false">IFERROR(AVERAGEIFS(Détail!$I:$I,Détail!$A:$A,"Hafssa BENCHRIF",Détail!$B:$B,$A34,Détail!$C:$C,$B34),"")</f>
        <v/>
      </c>
      <c r="F34" s="5" t="n">
        <f aca="false">COUNTIFS(Détail!$A:$A,"Hiba LISSAOUI",Détail!$B:$B,$A34,Détail!$C:$C,$B34)</f>
        <v>1</v>
      </c>
      <c r="G34" s="6" t="n">
        <f aca="false">IFERROR(AVERAGEIFS(Détail!$I:$I,Détail!$A:$A,"Hiba LISSAOUI",Détail!$B:$B,$A34,Détail!$C:$C,$B34),"")</f>
        <v>100</v>
      </c>
      <c r="H34" s="5" t="n">
        <f aca="false">COUNTIFS(Détail!$A:$A,"Imad RMAIDI",Détail!$B:$B,$A34,Détail!$C:$C,$B34)</f>
        <v>1</v>
      </c>
      <c r="I34" s="6" t="n">
        <f aca="false">IFERROR(AVERAGEIFS(Détail!$I:$I,Détail!$A:$A,"Imad RMAIDI",Détail!$B:$B,$A34,Détail!$C:$C,$B34),"")</f>
        <v>100</v>
      </c>
      <c r="J34" s="5" t="n">
        <f aca="false">COUNTIFS(Détail!$A:$A,"Mohamed HAMDANI",Détail!$B:$B,$A34,Détail!$C:$C,$B34)</f>
        <v>1</v>
      </c>
      <c r="K34" s="6" t="n">
        <f aca="false">IFERROR(AVERAGEIFS(Détail!$I:$I,Détail!$A:$A,"Mohamed HAMDANI",Détail!$B:$B,$A34,Détail!$C:$C,$B34),"")</f>
        <v>100</v>
      </c>
      <c r="L34" s="5" t="n">
        <f aca="false">COUNTIFS(Détail!$A:$A,"Youssef",Détail!$B:$B,$A34,Détail!$C:$C,$B34)</f>
        <v>0</v>
      </c>
      <c r="M34" s="6" t="str">
        <f aca="false">IFERROR(AVERAGEIFS(Détail!$I:$I,Détail!$A:$A,"Youssef",Détail!$B:$B,$A34,Détail!$C:$C,$B34),"")</f>
        <v/>
      </c>
      <c r="N34" s="5" t="n">
        <f aca="false">COUNTIFS(Détail!$B:$B,$A34,Détail!$C:$C,$B34)</f>
        <v>3</v>
      </c>
      <c r="O34" s="6" t="n">
        <f aca="false">IFERROR(AVERAGEIFS(Détail!$I:$I,Détail!$B:$B,$A34,Détail!$C:$C,$B34),"")</f>
        <v>100</v>
      </c>
    </row>
    <row r="35" customFormat="false" ht="15" hidden="false" customHeight="false" outlineLevel="0" collapsed="false">
      <c r="A35" s="4" t="n">
        <v>2026</v>
      </c>
      <c r="B35" s="4" t="n">
        <v>28</v>
      </c>
      <c r="C35" s="4" t="s">
        <v>42</v>
      </c>
      <c r="D35" s="5" t="n">
        <f aca="false">COUNTIFS(Détail!$A:$A,"Hafssa BENCHRIF",Détail!$B:$B,$A35,Détail!$C:$C,$B35)</f>
        <v>0</v>
      </c>
      <c r="E35" s="6" t="str">
        <f aca="false">IFERROR(AVERAGEIFS(Détail!$I:$I,Détail!$A:$A,"Hafssa BENCHRIF",Détail!$B:$B,$A35,Détail!$C:$C,$B35),"")</f>
        <v/>
      </c>
      <c r="F35" s="5" t="n">
        <f aca="false">COUNTIFS(Détail!$A:$A,"Hiba LISSAOUI",Détail!$B:$B,$A35,Détail!$C:$C,$B35)</f>
        <v>1</v>
      </c>
      <c r="G35" s="6" t="n">
        <f aca="false">IFERROR(AVERAGEIFS(Détail!$I:$I,Détail!$A:$A,"Hiba LISSAOUI",Détail!$B:$B,$A35,Détail!$C:$C,$B35),"")</f>
        <v>100</v>
      </c>
      <c r="H35" s="5" t="n">
        <f aca="false">COUNTIFS(Détail!$A:$A,"Imad RMAIDI",Détail!$B:$B,$A35,Détail!$C:$C,$B35)</f>
        <v>1</v>
      </c>
      <c r="I35" s="6" t="n">
        <f aca="false">IFERROR(AVERAGEIFS(Détail!$I:$I,Détail!$A:$A,"Imad RMAIDI",Détail!$B:$B,$A35,Détail!$C:$C,$B35),"")</f>
        <v>100</v>
      </c>
      <c r="J35" s="5" t="n">
        <f aca="false">COUNTIFS(Détail!$A:$A,"Mohamed HAMDANI",Détail!$B:$B,$A35,Détail!$C:$C,$B35)</f>
        <v>1</v>
      </c>
      <c r="K35" s="6" t="n">
        <f aca="false">IFERROR(AVERAGEIFS(Détail!$I:$I,Détail!$A:$A,"Mohamed HAMDANI",Détail!$B:$B,$A35,Détail!$C:$C,$B35),"")</f>
        <v>100</v>
      </c>
      <c r="L35" s="5" t="n">
        <f aca="false">COUNTIFS(Détail!$A:$A,"Youssef",Détail!$B:$B,$A35,Détail!$C:$C,$B35)</f>
        <v>0</v>
      </c>
      <c r="M35" s="6" t="str">
        <f aca="false">IFERROR(AVERAGEIFS(Détail!$I:$I,Détail!$A:$A,"Youssef",Détail!$B:$B,$A35,Détail!$C:$C,$B35),"")</f>
        <v/>
      </c>
      <c r="N35" s="5" t="n">
        <f aca="false">COUNTIFS(Détail!$B:$B,$A35,Détail!$C:$C,$B35)</f>
        <v>3</v>
      </c>
      <c r="O35" s="6" t="n">
        <f aca="false">IFERROR(AVERAGEIFS(Détail!$I:$I,Détail!$B:$B,$A35,Détail!$C:$C,$B35),"")</f>
        <v>100</v>
      </c>
    </row>
    <row r="36" customFormat="false" ht="15" hidden="false" customHeight="false" outlineLevel="0" collapsed="false">
      <c r="A36" s="4" t="n">
        <v>2026</v>
      </c>
      <c r="B36" s="4" t="n">
        <v>29</v>
      </c>
      <c r="C36" s="4" t="s">
        <v>43</v>
      </c>
      <c r="D36" s="5" t="n">
        <f aca="false">COUNTIFS(Détail!$A:$A,"Hafssa BENCHRIF",Détail!$B:$B,$A36,Détail!$C:$C,$B36)</f>
        <v>0</v>
      </c>
      <c r="E36" s="6" t="str">
        <f aca="false">IFERROR(AVERAGEIFS(Détail!$I:$I,Détail!$A:$A,"Hafssa BENCHRIF",Détail!$B:$B,$A36,Détail!$C:$C,$B36),"")</f>
        <v/>
      </c>
      <c r="F36" s="5" t="n">
        <f aca="false">COUNTIFS(Détail!$A:$A,"Hiba LISSAOUI",Détail!$B:$B,$A36,Détail!$C:$C,$B36)</f>
        <v>1</v>
      </c>
      <c r="G36" s="6" t="n">
        <f aca="false">IFERROR(AVERAGEIFS(Détail!$I:$I,Détail!$A:$A,"Hiba LISSAOUI",Détail!$B:$B,$A36,Détail!$C:$C,$B36),"")</f>
        <v>92.3</v>
      </c>
      <c r="H36" s="5" t="n">
        <f aca="false">COUNTIFS(Détail!$A:$A,"Imad RMAIDI",Détail!$B:$B,$A36,Détail!$C:$C,$B36)</f>
        <v>1</v>
      </c>
      <c r="I36" s="6" t="n">
        <f aca="false">IFERROR(AVERAGEIFS(Détail!$I:$I,Détail!$A:$A,"Imad RMAIDI",Détail!$B:$B,$A36,Détail!$C:$C,$B36),"")</f>
        <v>100</v>
      </c>
      <c r="J36" s="5" t="n">
        <f aca="false">COUNTIFS(Détail!$A:$A,"Mohamed HAMDANI",Détail!$B:$B,$A36,Détail!$C:$C,$B36)</f>
        <v>0</v>
      </c>
      <c r="K36" s="6" t="str">
        <f aca="false">IFERROR(AVERAGEIFS(Détail!$I:$I,Détail!$A:$A,"Mohamed HAMDANI",Détail!$B:$B,$A36,Détail!$C:$C,$B36),"")</f>
        <v/>
      </c>
      <c r="L36" s="5" t="n">
        <f aca="false">COUNTIFS(Détail!$A:$A,"Youssef",Détail!$B:$B,$A36,Détail!$C:$C,$B36)</f>
        <v>0</v>
      </c>
      <c r="M36" s="6" t="str">
        <f aca="false">IFERROR(AVERAGEIFS(Détail!$I:$I,Détail!$A:$A,"Youssef",Détail!$B:$B,$A36,Détail!$C:$C,$B36),"")</f>
        <v/>
      </c>
      <c r="N36" s="5" t="n">
        <f aca="false">COUNTIFS(Détail!$B:$B,$A36,Détail!$C:$C,$B36)</f>
        <v>2</v>
      </c>
      <c r="O36" s="6" t="n">
        <f aca="false">IFERROR(AVERAGEIFS(Détail!$I:$I,Détail!$B:$B,$A36,Détail!$C:$C,$B36),"")</f>
        <v>96.15</v>
      </c>
    </row>
    <row r="37" customFormat="false" ht="15" hidden="false" customHeight="false" outlineLevel="0" collapsed="false">
      <c r="A37" s="4" t="n">
        <v>2026</v>
      </c>
      <c r="B37" s="4" t="n">
        <v>30</v>
      </c>
      <c r="C37" s="4" t="s">
        <v>44</v>
      </c>
      <c r="D37" s="5" t="n">
        <f aca="false">COUNTIFS(Détail!$A:$A,"Hafssa BENCHRIF",Détail!$B:$B,$A37,Détail!$C:$C,$B37)</f>
        <v>0</v>
      </c>
      <c r="E37" s="6" t="str">
        <f aca="false">IFERROR(AVERAGEIFS(Détail!$I:$I,Détail!$A:$A,"Hafssa BENCHRIF",Détail!$B:$B,$A37,Détail!$C:$C,$B37),"")</f>
        <v/>
      </c>
      <c r="F37" s="5" t="n">
        <f aca="false">COUNTIFS(Détail!$A:$A,"Hiba LISSAOUI",Détail!$B:$B,$A37,Détail!$C:$C,$B37)</f>
        <v>1</v>
      </c>
      <c r="G37" s="6" t="n">
        <f aca="false">IFERROR(AVERAGEIFS(Détail!$I:$I,Détail!$A:$A,"Hiba LISSAOUI",Détail!$B:$B,$A37,Détail!$C:$C,$B37),"")</f>
        <v>100</v>
      </c>
      <c r="H37" s="5" t="n">
        <f aca="false">COUNTIFS(Détail!$A:$A,"Imad RMAIDI",Détail!$B:$B,$A37,Détail!$C:$C,$B37)</f>
        <v>1</v>
      </c>
      <c r="I37" s="6" t="n">
        <f aca="false">IFERROR(AVERAGEIFS(Détail!$I:$I,Détail!$A:$A,"Imad RMAIDI",Détail!$B:$B,$A37,Détail!$C:$C,$B37),"")</f>
        <v>100</v>
      </c>
      <c r="J37" s="5" t="n">
        <f aca="false">COUNTIFS(Détail!$A:$A,"Mohamed HAMDANI",Détail!$B:$B,$A37,Détail!$C:$C,$B37)</f>
        <v>1</v>
      </c>
      <c r="K37" s="6" t="n">
        <f aca="false">IFERROR(AVERAGEIFS(Détail!$I:$I,Détail!$A:$A,"Mohamed HAMDANI",Détail!$B:$B,$A37,Détail!$C:$C,$B37),"")</f>
        <v>100</v>
      </c>
      <c r="L37" s="5" t="n">
        <f aca="false">COUNTIFS(Détail!$A:$A,"Youssef",Détail!$B:$B,$A37,Détail!$C:$C,$B37)</f>
        <v>0</v>
      </c>
      <c r="M37" s="6" t="str">
        <f aca="false">IFERROR(AVERAGEIFS(Détail!$I:$I,Détail!$A:$A,"Youssef",Détail!$B:$B,$A37,Détail!$C:$C,$B37),"")</f>
        <v/>
      </c>
      <c r="N37" s="5" t="n">
        <f aca="false">COUNTIFS(Détail!$B:$B,$A37,Détail!$C:$C,$B37)</f>
        <v>3</v>
      </c>
      <c r="O37" s="6" t="n">
        <f aca="false">IFERROR(AVERAGEIFS(Détail!$I:$I,Détail!$B:$B,$A37,Détail!$C:$C,$B37),"")</f>
        <v>100</v>
      </c>
    </row>
    <row r="38" customFormat="false" ht="15" hidden="false" customHeight="false" outlineLevel="0" collapsed="false">
      <c r="A38" s="4" t="n">
        <v>2026</v>
      </c>
      <c r="B38" s="4" t="n">
        <v>31</v>
      </c>
      <c r="C38" s="4" t="s">
        <v>45</v>
      </c>
      <c r="D38" s="5" t="n">
        <f aca="false">COUNTIFS(Détail!$A:$A,"Hafssa BENCHRIF",Détail!$B:$B,$A38,Détail!$C:$C,$B38)</f>
        <v>0</v>
      </c>
      <c r="E38" s="6" t="str">
        <f aca="false">IFERROR(AVERAGEIFS(Détail!$I:$I,Détail!$A:$A,"Hafssa BENCHRIF",Détail!$B:$B,$A38,Détail!$C:$C,$B38),"")</f>
        <v/>
      </c>
      <c r="F38" s="5" t="n">
        <f aca="false">COUNTIFS(Détail!$A:$A,"Hiba LISSAOUI",Détail!$B:$B,$A38,Détail!$C:$C,$B38)</f>
        <v>1</v>
      </c>
      <c r="G38" s="6" t="n">
        <f aca="false">IFERROR(AVERAGEIFS(Détail!$I:$I,Détail!$A:$A,"Hiba LISSAOUI",Détail!$B:$B,$A38,Détail!$C:$C,$B38),"")</f>
        <v>100</v>
      </c>
      <c r="H38" s="5" t="n">
        <f aca="false">COUNTIFS(Détail!$A:$A,"Imad RMAIDI",Détail!$B:$B,$A38,Détail!$C:$C,$B38)</f>
        <v>1</v>
      </c>
      <c r="I38" s="6" t="n">
        <f aca="false">IFERROR(AVERAGEIFS(Détail!$I:$I,Détail!$A:$A,"Imad RMAIDI",Détail!$B:$B,$A38,Détail!$C:$C,$B38),"")</f>
        <v>100</v>
      </c>
      <c r="J38" s="5" t="n">
        <f aca="false">COUNTIFS(Détail!$A:$A,"Mohamed HAMDANI",Détail!$B:$B,$A38,Détail!$C:$C,$B38)</f>
        <v>1</v>
      </c>
      <c r="K38" s="6" t="n">
        <f aca="false">IFERROR(AVERAGEIFS(Détail!$I:$I,Détail!$A:$A,"Mohamed HAMDANI",Détail!$B:$B,$A38,Détail!$C:$C,$B38),"")</f>
        <v>100</v>
      </c>
      <c r="L38" s="5" t="n">
        <f aca="false">COUNTIFS(Détail!$A:$A,"Youssef",Détail!$B:$B,$A38,Détail!$C:$C,$B38)</f>
        <v>0</v>
      </c>
      <c r="M38" s="6" t="str">
        <f aca="false">IFERROR(AVERAGEIFS(Détail!$I:$I,Détail!$A:$A,"Youssef",Détail!$B:$B,$A38,Détail!$C:$C,$B38),"")</f>
        <v/>
      </c>
      <c r="N38" s="5" t="n">
        <f aca="false">COUNTIFS(Détail!$B:$B,$A38,Détail!$C:$C,$B38)</f>
        <v>3</v>
      </c>
      <c r="O38" s="6" t="n">
        <f aca="false">IFERROR(AVERAGEIFS(Détail!$I:$I,Détail!$B:$B,$A38,Détail!$C:$C,$B38),"")</f>
        <v>100</v>
      </c>
    </row>
    <row r="39" customFormat="false" ht="15" hidden="false" customHeight="false" outlineLevel="0" collapsed="false">
      <c r="A39" s="4" t="n">
        <v>2026</v>
      </c>
      <c r="B39" s="4" t="n">
        <v>32</v>
      </c>
      <c r="C39" s="4" t="s">
        <v>46</v>
      </c>
      <c r="D39" s="5" t="n">
        <f aca="false">COUNTIFS(Détail!$A:$A,"Hafssa BENCHRIF",Détail!$B:$B,$A39,Détail!$C:$C,$B39)</f>
        <v>0</v>
      </c>
      <c r="E39" s="6" t="str">
        <f aca="false">IFERROR(AVERAGEIFS(Détail!$I:$I,Détail!$A:$A,"Hafssa BENCHRIF",Détail!$B:$B,$A39,Détail!$C:$C,$B39),"")</f>
        <v/>
      </c>
      <c r="F39" s="5" t="n">
        <f aca="false">COUNTIFS(Détail!$A:$A,"Hiba LISSAOUI",Détail!$B:$B,$A39,Détail!$C:$C,$B39)</f>
        <v>1</v>
      </c>
      <c r="G39" s="6" t="n">
        <f aca="false">IFERROR(AVERAGEIFS(Détail!$I:$I,Détail!$A:$A,"Hiba LISSAOUI",Détail!$B:$B,$A39,Détail!$C:$C,$B39),"")</f>
        <v>100</v>
      </c>
      <c r="H39" s="5" t="n">
        <f aca="false">COUNTIFS(Détail!$A:$A,"Imad RMAIDI",Détail!$B:$B,$A39,Détail!$C:$C,$B39)</f>
        <v>1</v>
      </c>
      <c r="I39" s="6" t="n">
        <f aca="false">IFERROR(AVERAGEIFS(Détail!$I:$I,Détail!$A:$A,"Imad RMAIDI",Détail!$B:$B,$A39,Détail!$C:$C,$B39),"")</f>
        <v>100</v>
      </c>
      <c r="J39" s="5" t="n">
        <f aca="false">COUNTIFS(Détail!$A:$A,"Mohamed HAMDANI",Détail!$B:$B,$A39,Détail!$C:$C,$B39)</f>
        <v>1</v>
      </c>
      <c r="K39" s="6" t="n">
        <f aca="false">IFERROR(AVERAGEIFS(Détail!$I:$I,Détail!$A:$A,"Mohamed HAMDANI",Détail!$B:$B,$A39,Détail!$C:$C,$B39),"")</f>
        <v>92.3</v>
      </c>
      <c r="L39" s="5" t="n">
        <f aca="false">COUNTIFS(Détail!$A:$A,"Youssef",Détail!$B:$B,$A39,Détail!$C:$C,$B39)</f>
        <v>0</v>
      </c>
      <c r="M39" s="6" t="str">
        <f aca="false">IFERROR(AVERAGEIFS(Détail!$I:$I,Détail!$A:$A,"Youssef",Détail!$B:$B,$A39,Détail!$C:$C,$B39),"")</f>
        <v/>
      </c>
      <c r="N39" s="5" t="n">
        <f aca="false">COUNTIFS(Détail!$B:$B,$A39,Détail!$C:$C,$B39)</f>
        <v>3</v>
      </c>
      <c r="O39" s="6" t="n">
        <f aca="false">IFERROR(AVERAGEIFS(Détail!$I:$I,Détail!$B:$B,$A39,Détail!$C:$C,$B39),"")</f>
        <v>97.4333333333333</v>
      </c>
    </row>
    <row r="40" customFormat="false" ht="15" hidden="false" customHeight="false" outlineLevel="0" collapsed="false">
      <c r="A40" s="4" t="n">
        <v>2026</v>
      </c>
      <c r="B40" s="4" t="n">
        <v>33</v>
      </c>
      <c r="C40" s="4" t="s">
        <v>47</v>
      </c>
      <c r="D40" s="5" t="n">
        <f aca="false">COUNTIFS(Détail!$A:$A,"Hafssa BENCHRIF",Détail!$B:$B,$A40,Détail!$C:$C,$B40)</f>
        <v>0</v>
      </c>
      <c r="E40" s="6" t="str">
        <f aca="false">IFERROR(AVERAGEIFS(Détail!$I:$I,Détail!$A:$A,"Hafssa BENCHRIF",Détail!$B:$B,$A40,Détail!$C:$C,$B40),"")</f>
        <v/>
      </c>
      <c r="F40" s="5" t="n">
        <f aca="false">COUNTIFS(Détail!$A:$A,"Hiba LISSAOUI",Détail!$B:$B,$A40,Détail!$C:$C,$B40)</f>
        <v>1</v>
      </c>
      <c r="G40" s="6" t="n">
        <f aca="false">IFERROR(AVERAGEIFS(Détail!$I:$I,Détail!$A:$A,"Hiba LISSAOUI",Détail!$B:$B,$A40,Détail!$C:$C,$B40),"")</f>
        <v>100</v>
      </c>
      <c r="H40" s="5" t="n">
        <f aca="false">COUNTIFS(Détail!$A:$A,"Imad RMAIDI",Détail!$B:$B,$A40,Détail!$C:$C,$B40)</f>
        <v>1</v>
      </c>
      <c r="I40" s="6" t="n">
        <f aca="false">IFERROR(AVERAGEIFS(Détail!$I:$I,Détail!$A:$A,"Imad RMAIDI",Détail!$B:$B,$A40,Détail!$C:$C,$B40),"")</f>
        <v>100</v>
      </c>
      <c r="J40" s="5" t="n">
        <f aca="false">COUNTIFS(Détail!$A:$A,"Mohamed HAMDANI",Détail!$B:$B,$A40,Détail!$C:$C,$B40)</f>
        <v>1</v>
      </c>
      <c r="K40" s="6" t="n">
        <f aca="false">IFERROR(AVERAGEIFS(Détail!$I:$I,Détail!$A:$A,"Mohamed HAMDANI",Détail!$B:$B,$A40,Détail!$C:$C,$B40),"")</f>
        <v>100</v>
      </c>
      <c r="L40" s="5" t="n">
        <f aca="false">COUNTIFS(Détail!$A:$A,"Youssef",Détail!$B:$B,$A40,Détail!$C:$C,$B40)</f>
        <v>0</v>
      </c>
      <c r="M40" s="6" t="str">
        <f aca="false">IFERROR(AVERAGEIFS(Détail!$I:$I,Détail!$A:$A,"Youssef",Détail!$B:$B,$A40,Détail!$C:$C,$B40),"")</f>
        <v/>
      </c>
      <c r="N40" s="5" t="n">
        <f aca="false">COUNTIFS(Détail!$B:$B,$A40,Détail!$C:$C,$B40)</f>
        <v>3</v>
      </c>
      <c r="O40" s="6" t="n">
        <f aca="false">IFERROR(AVERAGEIFS(Détail!$I:$I,Détail!$B:$B,$A40,Détail!$C:$C,$B40),"")</f>
        <v>100</v>
      </c>
    </row>
    <row r="41" customFormat="false" ht="15" hidden="false" customHeight="false" outlineLevel="0" collapsed="false">
      <c r="A41" s="4" t="n">
        <v>2026</v>
      </c>
      <c r="B41" s="4" t="n">
        <v>34</v>
      </c>
      <c r="C41" s="4" t="s">
        <v>48</v>
      </c>
      <c r="D41" s="5" t="n">
        <f aca="false">COUNTIFS(Détail!$A:$A,"Hafssa BENCHRIF",Détail!$B:$B,$A41,Détail!$C:$C,$B41)</f>
        <v>0</v>
      </c>
      <c r="E41" s="6" t="str">
        <f aca="false">IFERROR(AVERAGEIFS(Détail!$I:$I,Détail!$A:$A,"Hafssa BENCHRIF",Détail!$B:$B,$A41,Détail!$C:$C,$B41),"")</f>
        <v/>
      </c>
      <c r="F41" s="5" t="n">
        <f aca="false">COUNTIFS(Détail!$A:$A,"Hiba LISSAOUI",Détail!$B:$B,$A41,Détail!$C:$C,$B41)</f>
        <v>1</v>
      </c>
      <c r="G41" s="6" t="n">
        <f aca="false">IFERROR(AVERAGEIFS(Détail!$I:$I,Détail!$A:$A,"Hiba LISSAOUI",Détail!$B:$B,$A41,Détail!$C:$C,$B41),"")</f>
        <v>100</v>
      </c>
      <c r="H41" s="5" t="n">
        <f aca="false">COUNTIFS(Détail!$A:$A,"Imad RMAIDI",Détail!$B:$B,$A41,Détail!$C:$C,$B41)</f>
        <v>1</v>
      </c>
      <c r="I41" s="6" t="n">
        <f aca="false">IFERROR(AVERAGEIFS(Détail!$I:$I,Détail!$A:$A,"Imad RMAIDI",Détail!$B:$B,$A41,Détail!$C:$C,$B41),"")</f>
        <v>100</v>
      </c>
      <c r="J41" s="5" t="n">
        <f aca="false">COUNTIFS(Détail!$A:$A,"Mohamed HAMDANI",Détail!$B:$B,$A41,Détail!$C:$C,$B41)</f>
        <v>1</v>
      </c>
      <c r="K41" s="6" t="n">
        <f aca="false">IFERROR(AVERAGEIFS(Détail!$I:$I,Détail!$A:$A,"Mohamed HAMDANI",Détail!$B:$B,$A41,Détail!$C:$C,$B41),"")</f>
        <v>100</v>
      </c>
      <c r="L41" s="5" t="n">
        <f aca="false">COUNTIFS(Détail!$A:$A,"Youssef",Détail!$B:$B,$A41,Détail!$C:$C,$B41)</f>
        <v>0</v>
      </c>
      <c r="M41" s="6" t="str">
        <f aca="false">IFERROR(AVERAGEIFS(Détail!$I:$I,Détail!$A:$A,"Youssef",Détail!$B:$B,$A41,Détail!$C:$C,$B41),"")</f>
        <v/>
      </c>
      <c r="N41" s="5" t="n">
        <f aca="false">COUNTIFS(Détail!$B:$B,$A41,Détail!$C:$C,$B41)</f>
        <v>3</v>
      </c>
      <c r="O41" s="6" t="n">
        <f aca="false">IFERROR(AVERAGEIFS(Détail!$I:$I,Détail!$B:$B,$A41,Détail!$C:$C,$B41),"")</f>
        <v>100</v>
      </c>
    </row>
    <row r="42" customFormat="false" ht="15" hidden="false" customHeight="false" outlineLevel="0" collapsed="false">
      <c r="A42" s="4" t="n">
        <v>2026</v>
      </c>
      <c r="B42" s="4" t="n">
        <v>35</v>
      </c>
      <c r="C42" s="4" t="s">
        <v>49</v>
      </c>
      <c r="D42" s="5" t="n">
        <f aca="false">COUNTIFS(Détail!$A:$A,"Hafssa BENCHRIF",Détail!$B:$B,$A42,Détail!$C:$C,$B42)</f>
        <v>0</v>
      </c>
      <c r="E42" s="6" t="str">
        <f aca="false">IFERROR(AVERAGEIFS(Détail!$I:$I,Détail!$A:$A,"Hafssa BENCHRIF",Détail!$B:$B,$A42,Détail!$C:$C,$B42),"")</f>
        <v/>
      </c>
      <c r="F42" s="5" t="n">
        <f aca="false">COUNTIFS(Détail!$A:$A,"Hiba LISSAOUI",Détail!$B:$B,$A42,Détail!$C:$C,$B42)</f>
        <v>0</v>
      </c>
      <c r="G42" s="6" t="str">
        <f aca="false">IFERROR(AVERAGEIFS(Détail!$I:$I,Détail!$A:$A,"Hiba LISSAOUI",Détail!$B:$B,$A42,Détail!$C:$C,$B42),"")</f>
        <v/>
      </c>
      <c r="H42" s="5" t="n">
        <f aca="false">COUNTIFS(Détail!$A:$A,"Imad RMAIDI",Détail!$B:$B,$A42,Détail!$C:$C,$B42)</f>
        <v>1</v>
      </c>
      <c r="I42" s="6" t="n">
        <f aca="false">IFERROR(AVERAGEIFS(Détail!$I:$I,Détail!$A:$A,"Imad RMAIDI",Détail!$B:$B,$A42,Détail!$C:$C,$B42),"")</f>
        <v>100</v>
      </c>
      <c r="J42" s="5" t="n">
        <f aca="false">COUNTIFS(Détail!$A:$A,"Mohamed HAMDANI",Détail!$B:$B,$A42,Détail!$C:$C,$B42)</f>
        <v>1</v>
      </c>
      <c r="K42" s="6" t="n">
        <f aca="false">IFERROR(AVERAGEIFS(Détail!$I:$I,Détail!$A:$A,"Mohamed HAMDANI",Détail!$B:$B,$A42,Détail!$C:$C,$B42),"")</f>
        <v>100</v>
      </c>
      <c r="L42" s="5" t="n">
        <f aca="false">COUNTIFS(Détail!$A:$A,"Youssef",Détail!$B:$B,$A42,Détail!$C:$C,$B42)</f>
        <v>0</v>
      </c>
      <c r="M42" s="6" t="str">
        <f aca="false">IFERROR(AVERAGEIFS(Détail!$I:$I,Détail!$A:$A,"Youssef",Détail!$B:$B,$A42,Détail!$C:$C,$B42),"")</f>
        <v/>
      </c>
      <c r="N42" s="5" t="n">
        <f aca="false">COUNTIFS(Détail!$B:$B,$A42,Détail!$C:$C,$B42)</f>
        <v>2</v>
      </c>
      <c r="O42" s="6" t="n">
        <f aca="false">IFERROR(AVERAGEIFS(Détail!$I:$I,Détail!$B:$B,$A42,Détail!$C:$C,$B42),"")</f>
        <v>100</v>
      </c>
    </row>
    <row r="43" customFormat="false" ht="15" hidden="false" customHeight="false" outlineLevel="0" collapsed="false">
      <c r="A43" s="4" t="n">
        <v>2026</v>
      </c>
      <c r="B43" s="4" t="n">
        <v>36</v>
      </c>
      <c r="C43" s="4" t="s">
        <v>50</v>
      </c>
      <c r="D43" s="5" t="n">
        <f aca="false">COUNTIFS(Détail!$A:$A,"Hafssa BENCHRIF",Détail!$B:$B,$A43,Détail!$C:$C,$B43)</f>
        <v>0</v>
      </c>
      <c r="E43" s="6" t="str">
        <f aca="false">IFERROR(AVERAGEIFS(Détail!$I:$I,Détail!$A:$A,"Hafssa BENCHRIF",Détail!$B:$B,$A43,Détail!$C:$C,$B43),"")</f>
        <v/>
      </c>
      <c r="F43" s="5" t="n">
        <f aca="false">COUNTIFS(Détail!$A:$A,"Hiba LISSAOUI",Détail!$B:$B,$A43,Détail!$C:$C,$B43)</f>
        <v>1</v>
      </c>
      <c r="G43" s="6" t="n">
        <f aca="false">IFERROR(AVERAGEIFS(Détail!$I:$I,Détail!$A:$A,"Hiba LISSAOUI",Détail!$B:$B,$A43,Détail!$C:$C,$B43),"")</f>
        <v>100</v>
      </c>
      <c r="H43" s="5" t="n">
        <f aca="false">COUNTIFS(Détail!$A:$A,"Imad RMAIDI",Détail!$B:$B,$A43,Détail!$C:$C,$B43)</f>
        <v>0</v>
      </c>
      <c r="I43" s="6" t="str">
        <f aca="false">IFERROR(AVERAGEIFS(Détail!$I:$I,Détail!$A:$A,"Imad RMAIDI",Détail!$B:$B,$A43,Détail!$C:$C,$B43),"")</f>
        <v/>
      </c>
      <c r="J43" s="5" t="n">
        <f aca="false">COUNTIFS(Détail!$A:$A,"Mohamed HAMDANI",Détail!$B:$B,$A43,Détail!$C:$C,$B43)</f>
        <v>1</v>
      </c>
      <c r="K43" s="6" t="n">
        <f aca="false">IFERROR(AVERAGEIFS(Détail!$I:$I,Détail!$A:$A,"Mohamed HAMDANI",Détail!$B:$B,$A43,Détail!$C:$C,$B43),"")</f>
        <v>100</v>
      </c>
      <c r="L43" s="5" t="n">
        <f aca="false">COUNTIFS(Détail!$A:$A,"Youssef",Détail!$B:$B,$A43,Détail!$C:$C,$B43)</f>
        <v>0</v>
      </c>
      <c r="M43" s="6" t="str">
        <f aca="false">IFERROR(AVERAGEIFS(Détail!$I:$I,Détail!$A:$A,"Youssef",Détail!$B:$B,$A43,Détail!$C:$C,$B43),"")</f>
        <v/>
      </c>
      <c r="N43" s="5" t="n">
        <f aca="false">COUNTIFS(Détail!$B:$B,$A43,Détail!$C:$C,$B43)</f>
        <v>2</v>
      </c>
      <c r="O43" s="6" t="n">
        <f aca="false">IFERROR(AVERAGEIFS(Détail!$I:$I,Détail!$B:$B,$A43,Détail!$C:$C,$B43),"")</f>
        <v>100</v>
      </c>
    </row>
    <row r="44" customFormat="false" ht="15" hidden="false" customHeight="false" outlineLevel="0" collapsed="false">
      <c r="A44" s="4" t="n">
        <v>2026</v>
      </c>
      <c r="B44" s="4" t="n">
        <v>37</v>
      </c>
      <c r="C44" s="4" t="s">
        <v>51</v>
      </c>
      <c r="D44" s="5" t="n">
        <f aca="false">COUNTIFS(Détail!$A:$A,"Hafssa BENCHRIF",Détail!$B:$B,$A44,Détail!$C:$C,$B44)</f>
        <v>0</v>
      </c>
      <c r="E44" s="6" t="str">
        <f aca="false">IFERROR(AVERAGEIFS(Détail!$I:$I,Détail!$A:$A,"Hafssa BENCHRIF",Détail!$B:$B,$A44,Détail!$C:$C,$B44),"")</f>
        <v/>
      </c>
      <c r="F44" s="5" t="n">
        <f aca="false">COUNTIFS(Détail!$A:$A,"Hiba LISSAOUI",Détail!$B:$B,$A44,Détail!$C:$C,$B44)</f>
        <v>1</v>
      </c>
      <c r="G44" s="6" t="n">
        <f aca="false">IFERROR(AVERAGEIFS(Détail!$I:$I,Détail!$A:$A,"Hiba LISSAOUI",Détail!$B:$B,$A44,Détail!$C:$C,$B44),"")</f>
        <v>100</v>
      </c>
      <c r="H44" s="5" t="n">
        <f aca="false">COUNTIFS(Détail!$A:$A,"Imad RMAIDI",Détail!$B:$B,$A44,Détail!$C:$C,$B44)</f>
        <v>1</v>
      </c>
      <c r="I44" s="6" t="n">
        <f aca="false">IFERROR(AVERAGEIFS(Détail!$I:$I,Détail!$A:$A,"Imad RMAIDI",Détail!$B:$B,$A44,Détail!$C:$C,$B44),"")</f>
        <v>100</v>
      </c>
      <c r="J44" s="5" t="n">
        <f aca="false">COUNTIFS(Détail!$A:$A,"Mohamed HAMDANI",Détail!$B:$B,$A44,Détail!$C:$C,$B44)</f>
        <v>1</v>
      </c>
      <c r="K44" s="6" t="n">
        <f aca="false">IFERROR(AVERAGEIFS(Détail!$I:$I,Détail!$A:$A,"Mohamed HAMDANI",Détail!$B:$B,$A44,Détail!$C:$C,$B44),"")</f>
        <v>100</v>
      </c>
      <c r="L44" s="5" t="n">
        <f aca="false">COUNTIFS(Détail!$A:$A,"Youssef",Détail!$B:$B,$A44,Détail!$C:$C,$B44)</f>
        <v>0</v>
      </c>
      <c r="M44" s="6" t="str">
        <f aca="false">IFERROR(AVERAGEIFS(Détail!$I:$I,Détail!$A:$A,"Youssef",Détail!$B:$B,$A44,Détail!$C:$C,$B44),"")</f>
        <v/>
      </c>
      <c r="N44" s="5" t="n">
        <f aca="false">COUNTIFS(Détail!$B:$B,$A44,Détail!$C:$C,$B44)</f>
        <v>3</v>
      </c>
      <c r="O44" s="6" t="n">
        <f aca="false">IFERROR(AVERAGEIFS(Détail!$I:$I,Détail!$B:$B,$A44,Détail!$C:$C,$B44),"")</f>
        <v>100</v>
      </c>
    </row>
    <row r="45" customFormat="false" ht="15" hidden="false" customHeight="false" outlineLevel="0" collapsed="false">
      <c r="A45" s="4" t="n">
        <v>2026</v>
      </c>
      <c r="B45" s="4" t="n">
        <v>38</v>
      </c>
      <c r="C45" s="4" t="s">
        <v>52</v>
      </c>
      <c r="D45" s="5" t="n">
        <f aca="false">COUNTIFS(Détail!$A:$A,"Hafssa BENCHRIF",Détail!$B:$B,$A45,Détail!$C:$C,$B45)</f>
        <v>0</v>
      </c>
      <c r="E45" s="6" t="str">
        <f aca="false">IFERROR(AVERAGEIFS(Détail!$I:$I,Détail!$A:$A,"Hafssa BENCHRIF",Détail!$B:$B,$A45,Détail!$C:$C,$B45),"")</f>
        <v/>
      </c>
      <c r="F45" s="5" t="n">
        <f aca="false">COUNTIFS(Détail!$A:$A,"Hiba LISSAOUI",Détail!$B:$B,$A45,Détail!$C:$C,$B45)</f>
        <v>1</v>
      </c>
      <c r="G45" s="6" t="n">
        <f aca="false">IFERROR(AVERAGEIFS(Détail!$I:$I,Détail!$A:$A,"Hiba LISSAOUI",Détail!$B:$B,$A45,Détail!$C:$C,$B45),"")</f>
        <v>100</v>
      </c>
      <c r="H45" s="5" t="n">
        <f aca="false">COUNTIFS(Détail!$A:$A,"Imad RMAIDI",Détail!$B:$B,$A45,Détail!$C:$C,$B45)</f>
        <v>1</v>
      </c>
      <c r="I45" s="6" t="n">
        <f aca="false">IFERROR(AVERAGEIFS(Détail!$I:$I,Détail!$A:$A,"Imad RMAIDI",Détail!$B:$B,$A45,Détail!$C:$C,$B45),"")</f>
        <v>100</v>
      </c>
      <c r="J45" s="5" t="n">
        <f aca="false">COUNTIFS(Détail!$A:$A,"Mohamed HAMDANI",Détail!$B:$B,$A45,Détail!$C:$C,$B45)</f>
        <v>1</v>
      </c>
      <c r="K45" s="6" t="n">
        <f aca="false">IFERROR(AVERAGEIFS(Détail!$I:$I,Détail!$A:$A,"Mohamed HAMDANI",Détail!$B:$B,$A45,Détail!$C:$C,$B45),"")</f>
        <v>100</v>
      </c>
      <c r="L45" s="5" t="n">
        <f aca="false">COUNTIFS(Détail!$A:$A,"Youssef",Détail!$B:$B,$A45,Détail!$C:$C,$B45)</f>
        <v>0</v>
      </c>
      <c r="M45" s="6" t="str">
        <f aca="false">IFERROR(AVERAGEIFS(Détail!$I:$I,Détail!$A:$A,"Youssef",Détail!$B:$B,$A45,Détail!$C:$C,$B45),"")</f>
        <v/>
      </c>
      <c r="N45" s="5" t="n">
        <f aca="false">COUNTIFS(Détail!$B:$B,$A45,Détail!$C:$C,$B45)</f>
        <v>3</v>
      </c>
      <c r="O45" s="6" t="n">
        <f aca="false">IFERROR(AVERAGEIFS(Détail!$I:$I,Détail!$B:$B,$A45,Détail!$C:$C,$B45),"")</f>
        <v>100</v>
      </c>
    </row>
    <row r="46" customFormat="false" ht="15" hidden="false" customHeight="false" outlineLevel="0" collapsed="false">
      <c r="A46" s="4" t="n">
        <v>2026</v>
      </c>
      <c r="B46" s="4" t="n">
        <v>39</v>
      </c>
      <c r="C46" s="4" t="s">
        <v>53</v>
      </c>
      <c r="D46" s="5" t="n">
        <f aca="false">COUNTIFS(Détail!$A:$A,"Hafssa BENCHRIF",Détail!$B:$B,$A46,Détail!$C:$C,$B46)</f>
        <v>0</v>
      </c>
      <c r="E46" s="6" t="str">
        <f aca="false">IFERROR(AVERAGEIFS(Détail!$I:$I,Détail!$A:$A,"Hafssa BENCHRIF",Détail!$B:$B,$A46,Détail!$C:$C,$B46),"")</f>
        <v/>
      </c>
      <c r="F46" s="5" t="n">
        <f aca="false">COUNTIFS(Détail!$A:$A,"Hiba LISSAOUI",Détail!$B:$B,$A46,Détail!$C:$C,$B46)</f>
        <v>1</v>
      </c>
      <c r="G46" s="6" t="n">
        <f aca="false">IFERROR(AVERAGEIFS(Détail!$I:$I,Détail!$A:$A,"Hiba LISSAOUI",Détail!$B:$B,$A46,Détail!$C:$C,$B46),"")</f>
        <v>100</v>
      </c>
      <c r="H46" s="5" t="n">
        <f aca="false">COUNTIFS(Détail!$A:$A,"Imad RMAIDI",Détail!$B:$B,$A46,Détail!$C:$C,$B46)</f>
        <v>1</v>
      </c>
      <c r="I46" s="6" t="n">
        <f aca="false">IFERROR(AVERAGEIFS(Détail!$I:$I,Détail!$A:$A,"Imad RMAIDI",Détail!$B:$B,$A46,Détail!$C:$C,$B46),"")</f>
        <v>100</v>
      </c>
      <c r="J46" s="5" t="n">
        <f aca="false">COUNTIFS(Détail!$A:$A,"Mohamed HAMDANI",Détail!$B:$B,$A46,Détail!$C:$C,$B46)</f>
        <v>0</v>
      </c>
      <c r="K46" s="6" t="str">
        <f aca="false">IFERROR(AVERAGEIFS(Détail!$I:$I,Détail!$A:$A,"Mohamed HAMDANI",Détail!$B:$B,$A46,Détail!$C:$C,$B46),"")</f>
        <v/>
      </c>
      <c r="L46" s="5" t="n">
        <f aca="false">COUNTIFS(Détail!$A:$A,"Youssef",Détail!$B:$B,$A46,Détail!$C:$C,$B46)</f>
        <v>0</v>
      </c>
      <c r="M46" s="6" t="str">
        <f aca="false">IFERROR(AVERAGEIFS(Détail!$I:$I,Détail!$A:$A,"Youssef",Détail!$B:$B,$A46,Détail!$C:$C,$B46),"")</f>
        <v/>
      </c>
      <c r="N46" s="5" t="n">
        <f aca="false">COUNTIFS(Détail!$B:$B,$A46,Détail!$C:$C,$B46)</f>
        <v>2</v>
      </c>
      <c r="O46" s="6" t="n">
        <f aca="false">IFERROR(AVERAGEIFS(Détail!$I:$I,Détail!$B:$B,$A46,Détail!$C:$C,$B46),"")</f>
        <v>100</v>
      </c>
    </row>
    <row r="47" customFormat="false" ht="15" hidden="false" customHeight="false" outlineLevel="0" collapsed="false">
      <c r="A47" s="4" t="n">
        <v>2026</v>
      </c>
      <c r="B47" s="4" t="n">
        <v>40</v>
      </c>
      <c r="C47" s="4" t="s">
        <v>54</v>
      </c>
      <c r="D47" s="5" t="n">
        <f aca="false">COUNTIFS(Détail!$A:$A,"Hafssa BENCHRIF",Détail!$B:$B,$A47,Détail!$C:$C,$B47)</f>
        <v>0</v>
      </c>
      <c r="E47" s="6" t="str">
        <f aca="false">IFERROR(AVERAGEIFS(Détail!$I:$I,Détail!$A:$A,"Hafssa BENCHRIF",Détail!$B:$B,$A47,Détail!$C:$C,$B47),"")</f>
        <v/>
      </c>
      <c r="F47" s="5" t="n">
        <f aca="false">COUNTIFS(Détail!$A:$A,"Hiba LISSAOUI",Détail!$B:$B,$A47,Détail!$C:$C,$B47)</f>
        <v>1</v>
      </c>
      <c r="G47" s="6" t="n">
        <f aca="false">IFERROR(AVERAGEIFS(Détail!$I:$I,Détail!$A:$A,"Hiba LISSAOUI",Détail!$B:$B,$A47,Détail!$C:$C,$B47),"")</f>
        <v>100</v>
      </c>
      <c r="H47" s="5" t="n">
        <f aca="false">COUNTIFS(Détail!$A:$A,"Imad RMAIDI",Détail!$B:$B,$A47,Détail!$C:$C,$B47)</f>
        <v>1</v>
      </c>
      <c r="I47" s="6" t="n">
        <f aca="false">IFERROR(AVERAGEIFS(Détail!$I:$I,Détail!$A:$A,"Imad RMAIDI",Détail!$B:$B,$A47,Détail!$C:$C,$B47),"")</f>
        <v>100</v>
      </c>
      <c r="J47" s="5" t="n">
        <f aca="false">COUNTIFS(Détail!$A:$A,"Mohamed HAMDANI",Détail!$B:$B,$A47,Détail!$C:$C,$B47)</f>
        <v>0</v>
      </c>
      <c r="K47" s="6" t="str">
        <f aca="false">IFERROR(AVERAGEIFS(Détail!$I:$I,Détail!$A:$A,"Mohamed HAMDANI",Détail!$B:$B,$A47,Détail!$C:$C,$B47),"")</f>
        <v/>
      </c>
      <c r="L47" s="5" t="n">
        <f aca="false">COUNTIFS(Détail!$A:$A,"Youssef",Détail!$B:$B,$A47,Détail!$C:$C,$B47)</f>
        <v>1</v>
      </c>
      <c r="M47" s="6" t="n">
        <f aca="false">IFERROR(AVERAGEIFS(Détail!$I:$I,Détail!$A:$A,"Youssef",Détail!$B:$B,$A47,Détail!$C:$C,$B47),"")</f>
        <v>100</v>
      </c>
      <c r="N47" s="5" t="n">
        <f aca="false">COUNTIFS(Détail!$B:$B,$A47,Détail!$C:$C,$B47)</f>
        <v>3</v>
      </c>
      <c r="O47" s="6" t="n">
        <f aca="false">IFERROR(AVERAGEIFS(Détail!$I:$I,Détail!$B:$B,$A47,Détail!$C:$C,$B47),"")</f>
        <v>100</v>
      </c>
    </row>
    <row r="48" customFormat="false" ht="15" hidden="false" customHeight="false" outlineLevel="0" collapsed="false">
      <c r="A48" s="4" t="n">
        <v>2026</v>
      </c>
      <c r="B48" s="4" t="n">
        <v>41</v>
      </c>
      <c r="C48" s="4" t="s">
        <v>55</v>
      </c>
      <c r="D48" s="5" t="n">
        <f aca="false">COUNTIFS(Détail!$A:$A,"Hafssa BENCHRIF",Détail!$B:$B,$A48,Détail!$C:$C,$B48)</f>
        <v>0</v>
      </c>
      <c r="E48" s="6" t="str">
        <f aca="false">IFERROR(AVERAGEIFS(Détail!$I:$I,Détail!$A:$A,"Hafssa BENCHRIF",Détail!$B:$B,$A48,Détail!$C:$C,$B48),"")</f>
        <v/>
      </c>
      <c r="F48" s="5" t="n">
        <f aca="false">COUNTIFS(Détail!$A:$A,"Hiba LISSAOUI",Détail!$B:$B,$A48,Détail!$C:$C,$B48)</f>
        <v>1</v>
      </c>
      <c r="G48" s="6" t="n">
        <f aca="false">IFERROR(AVERAGEIFS(Détail!$I:$I,Détail!$A:$A,"Hiba LISSAOUI",Détail!$B:$B,$A48,Détail!$C:$C,$B48),"")</f>
        <v>100</v>
      </c>
      <c r="H48" s="5" t="n">
        <f aca="false">COUNTIFS(Détail!$A:$A,"Imad RMAIDI",Détail!$B:$B,$A48,Détail!$C:$C,$B48)</f>
        <v>1</v>
      </c>
      <c r="I48" s="6" t="n">
        <f aca="false">IFERROR(AVERAGEIFS(Détail!$I:$I,Détail!$A:$A,"Imad RMAIDI",Détail!$B:$B,$A48,Détail!$C:$C,$B48),"")</f>
        <v>100</v>
      </c>
      <c r="J48" s="5" t="n">
        <f aca="false">COUNTIFS(Détail!$A:$A,"Mohamed HAMDANI",Détail!$B:$B,$A48,Détail!$C:$C,$B48)</f>
        <v>0</v>
      </c>
      <c r="K48" s="6" t="str">
        <f aca="false">IFERROR(AVERAGEIFS(Détail!$I:$I,Détail!$A:$A,"Mohamed HAMDANI",Détail!$B:$B,$A48,Détail!$C:$C,$B48),"")</f>
        <v/>
      </c>
      <c r="L48" s="5" t="n">
        <f aca="false">COUNTIFS(Détail!$A:$A,"Youssef",Détail!$B:$B,$A48,Détail!$C:$C,$B48)</f>
        <v>1</v>
      </c>
      <c r="M48" s="6" t="n">
        <f aca="false">IFERROR(AVERAGEIFS(Détail!$I:$I,Détail!$A:$A,"Youssef",Détail!$B:$B,$A48,Détail!$C:$C,$B48),"")</f>
        <v>100</v>
      </c>
      <c r="N48" s="5" t="n">
        <f aca="false">COUNTIFS(Détail!$B:$B,$A48,Détail!$C:$C,$B48)</f>
        <v>3</v>
      </c>
      <c r="O48" s="6" t="n">
        <f aca="false">IFERROR(AVERAGEIFS(Détail!$I:$I,Détail!$B:$B,$A48,Détail!$C:$C,$B48),"")</f>
        <v>100</v>
      </c>
    </row>
    <row r="49" customFormat="false" ht="15" hidden="false" customHeight="false" outlineLevel="0" collapsed="false">
      <c r="A49" s="4" t="n">
        <v>2026</v>
      </c>
      <c r="B49" s="4" t="n">
        <v>42</v>
      </c>
      <c r="C49" s="4" t="s">
        <v>56</v>
      </c>
      <c r="D49" s="5" t="n">
        <f aca="false">COUNTIFS(Détail!$A:$A,"Hafssa BENCHRIF",Détail!$B:$B,$A49,Détail!$C:$C,$B49)</f>
        <v>0</v>
      </c>
      <c r="E49" s="6" t="str">
        <f aca="false">IFERROR(AVERAGEIFS(Détail!$I:$I,Détail!$A:$A,"Hafssa BENCHRIF",Détail!$B:$B,$A49,Détail!$C:$C,$B49),"")</f>
        <v/>
      </c>
      <c r="F49" s="5" t="n">
        <f aca="false">COUNTIFS(Détail!$A:$A,"Hiba LISSAOUI",Détail!$B:$B,$A49,Détail!$C:$C,$B49)</f>
        <v>1</v>
      </c>
      <c r="G49" s="6" t="n">
        <f aca="false">IFERROR(AVERAGEIFS(Détail!$I:$I,Détail!$A:$A,"Hiba LISSAOUI",Détail!$B:$B,$A49,Détail!$C:$C,$B49),"")</f>
        <v>100</v>
      </c>
      <c r="H49" s="5" t="n">
        <f aca="false">COUNTIFS(Détail!$A:$A,"Imad RMAIDI",Détail!$B:$B,$A49,Détail!$C:$C,$B49)</f>
        <v>1</v>
      </c>
      <c r="I49" s="6" t="n">
        <f aca="false">IFERROR(AVERAGEIFS(Détail!$I:$I,Détail!$A:$A,"Imad RMAIDI",Détail!$B:$B,$A49,Détail!$C:$C,$B49),"")</f>
        <v>100</v>
      </c>
      <c r="J49" s="5" t="n">
        <f aca="false">COUNTIFS(Détail!$A:$A,"Mohamed HAMDANI",Détail!$B:$B,$A49,Détail!$C:$C,$B49)</f>
        <v>0</v>
      </c>
      <c r="K49" s="6" t="str">
        <f aca="false">IFERROR(AVERAGEIFS(Détail!$I:$I,Détail!$A:$A,"Mohamed HAMDANI",Détail!$B:$B,$A49,Détail!$C:$C,$B49),"")</f>
        <v/>
      </c>
      <c r="L49" s="5" t="n">
        <f aca="false">COUNTIFS(Détail!$A:$A,"Youssef",Détail!$B:$B,$A49,Détail!$C:$C,$B49)</f>
        <v>1</v>
      </c>
      <c r="M49" s="6" t="n">
        <f aca="false">IFERROR(AVERAGEIFS(Détail!$I:$I,Détail!$A:$A,"Youssef",Détail!$B:$B,$A49,Détail!$C:$C,$B49),"")</f>
        <v>100</v>
      </c>
      <c r="N49" s="5" t="n">
        <f aca="false">COUNTIFS(Détail!$B:$B,$A49,Détail!$C:$C,$B49)</f>
        <v>3</v>
      </c>
      <c r="O49" s="6" t="n">
        <f aca="false">IFERROR(AVERAGEIFS(Détail!$I:$I,Détail!$B:$B,$A49,Détail!$C:$C,$B49),"")</f>
        <v>100</v>
      </c>
    </row>
    <row r="50" customFormat="false" ht="15" hidden="false" customHeight="false" outlineLevel="0" collapsed="false">
      <c r="A50" s="4" t="n">
        <v>2026</v>
      </c>
      <c r="B50" s="4" t="n">
        <v>43</v>
      </c>
      <c r="C50" s="4" t="s">
        <v>57</v>
      </c>
      <c r="D50" s="5" t="n">
        <f aca="false">COUNTIFS(Détail!$A:$A,"Hafssa BENCHRIF",Détail!$B:$B,$A50,Détail!$C:$C,$B50)</f>
        <v>0</v>
      </c>
      <c r="E50" s="6" t="str">
        <f aca="false">IFERROR(AVERAGEIFS(Détail!$I:$I,Détail!$A:$A,"Hafssa BENCHRIF",Détail!$B:$B,$A50,Détail!$C:$C,$B50),"")</f>
        <v/>
      </c>
      <c r="F50" s="5" t="n">
        <f aca="false">COUNTIFS(Détail!$A:$A,"Hiba LISSAOUI",Détail!$B:$B,$A50,Détail!$C:$C,$B50)</f>
        <v>1</v>
      </c>
      <c r="G50" s="6" t="n">
        <f aca="false">IFERROR(AVERAGEIFS(Détail!$I:$I,Détail!$A:$A,"Hiba LISSAOUI",Détail!$B:$B,$A50,Détail!$C:$C,$B50),"")</f>
        <v>100</v>
      </c>
      <c r="H50" s="5" t="n">
        <f aca="false">COUNTIFS(Détail!$A:$A,"Imad RMAIDI",Détail!$B:$B,$A50,Détail!$C:$C,$B50)</f>
        <v>1</v>
      </c>
      <c r="I50" s="6" t="n">
        <f aca="false">IFERROR(AVERAGEIFS(Détail!$I:$I,Détail!$A:$A,"Imad RMAIDI",Détail!$B:$B,$A50,Détail!$C:$C,$B50),"")</f>
        <v>100</v>
      </c>
      <c r="J50" s="5" t="n">
        <f aca="false">COUNTIFS(Détail!$A:$A,"Mohamed HAMDANI",Détail!$B:$B,$A50,Détail!$C:$C,$B50)</f>
        <v>0</v>
      </c>
      <c r="K50" s="6" t="str">
        <f aca="false">IFERROR(AVERAGEIFS(Détail!$I:$I,Détail!$A:$A,"Mohamed HAMDANI",Détail!$B:$B,$A50,Détail!$C:$C,$B50),"")</f>
        <v/>
      </c>
      <c r="L50" s="5" t="n">
        <f aca="false">COUNTIFS(Détail!$A:$A,"Youssef",Détail!$B:$B,$A50,Détail!$C:$C,$B50)</f>
        <v>1</v>
      </c>
      <c r="M50" s="6" t="n">
        <f aca="false">IFERROR(AVERAGEIFS(Détail!$I:$I,Détail!$A:$A,"Youssef",Détail!$B:$B,$A50,Détail!$C:$C,$B50),"")</f>
        <v>100</v>
      </c>
      <c r="N50" s="5" t="n">
        <f aca="false">COUNTIFS(Détail!$B:$B,$A50,Détail!$C:$C,$B50)</f>
        <v>3</v>
      </c>
      <c r="O50" s="6" t="n">
        <f aca="false">IFERROR(AVERAGEIFS(Détail!$I:$I,Détail!$B:$B,$A50,Détail!$C:$C,$B50),"")</f>
        <v>100</v>
      </c>
    </row>
    <row r="51" customFormat="false" ht="15" hidden="false" customHeight="false" outlineLevel="0" collapsed="false">
      <c r="A51" s="4" t="n">
        <v>2026</v>
      </c>
      <c r="B51" s="4" t="n">
        <v>44</v>
      </c>
      <c r="C51" s="4" t="s">
        <v>58</v>
      </c>
      <c r="D51" s="5" t="n">
        <f aca="false">COUNTIFS(Détail!$A:$A,"Hafssa BENCHRIF",Détail!$B:$B,$A51,Détail!$C:$C,$B51)</f>
        <v>0</v>
      </c>
      <c r="E51" s="6" t="str">
        <f aca="false">IFERROR(AVERAGEIFS(Détail!$I:$I,Détail!$A:$A,"Hafssa BENCHRIF",Détail!$B:$B,$A51,Détail!$C:$C,$B51),"")</f>
        <v/>
      </c>
      <c r="F51" s="5" t="n">
        <f aca="false">COUNTIFS(Détail!$A:$A,"Hiba LISSAOUI",Détail!$B:$B,$A51,Détail!$C:$C,$B51)</f>
        <v>1</v>
      </c>
      <c r="G51" s="6" t="n">
        <f aca="false">IFERROR(AVERAGEIFS(Détail!$I:$I,Détail!$A:$A,"Hiba LISSAOUI",Détail!$B:$B,$A51,Détail!$C:$C,$B51),"")</f>
        <v>100</v>
      </c>
      <c r="H51" s="5" t="n">
        <f aca="false">COUNTIFS(Détail!$A:$A,"Imad RMAIDI",Détail!$B:$B,$A51,Détail!$C:$C,$B51)</f>
        <v>0</v>
      </c>
      <c r="I51" s="6" t="str">
        <f aca="false">IFERROR(AVERAGEIFS(Détail!$I:$I,Détail!$A:$A,"Imad RMAIDI",Détail!$B:$B,$A51,Détail!$C:$C,$B51),"")</f>
        <v/>
      </c>
      <c r="J51" s="5" t="n">
        <f aca="false">COUNTIFS(Détail!$A:$A,"Mohamed HAMDANI",Détail!$B:$B,$A51,Détail!$C:$C,$B51)</f>
        <v>0</v>
      </c>
      <c r="K51" s="6" t="str">
        <f aca="false">IFERROR(AVERAGEIFS(Détail!$I:$I,Détail!$A:$A,"Mohamed HAMDANI",Détail!$B:$B,$A51,Détail!$C:$C,$B51),"")</f>
        <v/>
      </c>
      <c r="L51" s="5" t="n">
        <f aca="false">COUNTIFS(Détail!$A:$A,"Youssef",Détail!$B:$B,$A51,Détail!$C:$C,$B51)</f>
        <v>0</v>
      </c>
      <c r="M51" s="6" t="str">
        <f aca="false">IFERROR(AVERAGEIFS(Détail!$I:$I,Détail!$A:$A,"Youssef",Détail!$B:$B,$A51,Détail!$C:$C,$B51),"")</f>
        <v/>
      </c>
      <c r="N51" s="5" t="n">
        <f aca="false">COUNTIFS(Détail!$B:$B,$A51,Détail!$C:$C,$B51)</f>
        <v>1</v>
      </c>
      <c r="O51" s="6" t="n">
        <f aca="false">IFERROR(AVERAGEIFS(Détail!$I:$I,Détail!$B:$B,$A51,Détail!$C:$C,$B51),"")</f>
        <v>100</v>
      </c>
    </row>
    <row r="52" customFormat="false" ht="15" hidden="false" customHeight="false" outlineLevel="0" collapsed="false">
      <c r="A52" s="7" t="s">
        <v>59</v>
      </c>
      <c r="B52" s="7"/>
      <c r="C52" s="7"/>
      <c r="D52" s="8" t="n">
        <f aca="false">SUM(D6:D51)</f>
        <v>15</v>
      </c>
      <c r="E52" s="9" t="n">
        <f aca="false">IFERROR(AVERAGEIFS(Détail!$I:$I,Détail!$A:$A,"Hafssa BENCHRIF"),"")</f>
        <v>99.5214285714286</v>
      </c>
      <c r="F52" s="8" t="n">
        <f aca="false">SUM(F6:F51)</f>
        <v>41</v>
      </c>
      <c r="G52" s="9" t="n">
        <f aca="false">IFERROR(AVERAGEIFS(Détail!$I:$I,Détail!$A:$A,"Hiba LISSAOUI"),"")</f>
        <v>99.2975609756098</v>
      </c>
      <c r="H52" s="8" t="n">
        <f aca="false">SUM(H6:H51)</f>
        <v>39</v>
      </c>
      <c r="I52" s="9" t="n">
        <f aca="false">IFERROR(AVERAGEIFS(Détail!$I:$I,Détail!$A:$A,"Imad RMAIDI"),"")</f>
        <v>100</v>
      </c>
      <c r="J52" s="8" t="n">
        <f aca="false">SUM(J6:J51)</f>
        <v>34</v>
      </c>
      <c r="K52" s="9" t="n">
        <f aca="false">IFERROR(AVERAGEIFS(Détail!$I:$I,Détail!$A:$A,"Mohamed HAMDANI"),"")</f>
        <v>99.3484848484848</v>
      </c>
      <c r="L52" s="8" t="n">
        <f aca="false">SUM(L6:L51)</f>
        <v>4</v>
      </c>
      <c r="M52" s="9" t="n">
        <f aca="false">IFERROR(AVERAGEIFS(Détail!$I:$I,Détail!$A:$A,"Youssef"),"")</f>
        <v>100</v>
      </c>
      <c r="N52" s="8" t="n">
        <f aca="false">SUM(N6:N51)</f>
        <v>133</v>
      </c>
      <c r="O52" s="9" t="n">
        <f aca="false">IFERROR(AVERAGE(Détail!$I:$I),"")</f>
        <v>99.5615384615385</v>
      </c>
    </row>
  </sheetData>
  <mergeCells count="10">
    <mergeCell ref="A4:A5"/>
    <mergeCell ref="B4:B5"/>
    <mergeCell ref="C4:C5"/>
    <mergeCell ref="D4:E4"/>
    <mergeCell ref="F4:G4"/>
    <mergeCell ref="H4:I4"/>
    <mergeCell ref="J4:K4"/>
    <mergeCell ref="L4:M4"/>
    <mergeCell ref="N4:O4"/>
    <mergeCell ref="A52:C52"/>
  </mergeCells>
  <conditionalFormatting sqref="E6:E51">
    <cfRule type="cellIs" priority="2" operator="lessThan" aboveAverage="0" equalAverage="0" bottom="0" percent="0" rank="0" text="" dxfId="0">
      <formula>85</formula>
    </cfRule>
    <cfRule type="cellIs" priority="3" operator="between" aboveAverage="0" equalAverage="0" bottom="0" percent="0" rank="0" text="" dxfId="1">
      <formula>85</formula>
      <formula>99.94</formula>
    </cfRule>
  </conditionalFormatting>
  <conditionalFormatting sqref="G6:G51">
    <cfRule type="cellIs" priority="4" operator="lessThan" aboveAverage="0" equalAverage="0" bottom="0" percent="0" rank="0" text="" dxfId="0">
      <formula>85</formula>
    </cfRule>
    <cfRule type="cellIs" priority="5" operator="between" aboveAverage="0" equalAverage="0" bottom="0" percent="0" rank="0" text="" dxfId="1">
      <formula>85</formula>
      <formula>99.94</formula>
    </cfRule>
  </conditionalFormatting>
  <conditionalFormatting sqref="I6:I51">
    <cfRule type="cellIs" priority="6" operator="lessThan" aboveAverage="0" equalAverage="0" bottom="0" percent="0" rank="0" text="" dxfId="0">
      <formula>85</formula>
    </cfRule>
    <cfRule type="cellIs" priority="7" operator="between" aboveAverage="0" equalAverage="0" bottom="0" percent="0" rank="0" text="" dxfId="1">
      <formula>85</formula>
      <formula>99.94</formula>
    </cfRule>
  </conditionalFormatting>
  <conditionalFormatting sqref="K6:K51">
    <cfRule type="cellIs" priority="8" operator="lessThan" aboveAverage="0" equalAverage="0" bottom="0" percent="0" rank="0" text="" dxfId="0">
      <formula>85</formula>
    </cfRule>
    <cfRule type="cellIs" priority="9" operator="between" aboveAverage="0" equalAverage="0" bottom="0" percent="0" rank="0" text="" dxfId="1">
      <formula>85</formula>
      <formula>99.94</formula>
    </cfRule>
  </conditionalFormatting>
  <conditionalFormatting sqref="M6:M51">
    <cfRule type="cellIs" priority="10" operator="lessThan" aboveAverage="0" equalAverage="0" bottom="0" percent="0" rank="0" text="" dxfId="0">
      <formula>85</formula>
    </cfRule>
    <cfRule type="cellIs" priority="11" operator="between" aboveAverage="0" equalAverage="0" bottom="0" percent="0" rank="0" text="" dxfId="1">
      <formula>85</formula>
      <formula>99.94</formula>
    </cfRule>
  </conditionalFormatting>
  <conditionalFormatting sqref="O6:O51">
    <cfRule type="cellIs" priority="12" operator="lessThan" aboveAverage="0" equalAverage="0" bottom="0" percent="0" rank="0" text="" dxfId="0">
      <formula>85</formula>
    </cfRule>
    <cfRule type="cellIs" priority="13" operator="between" aboveAverage="0" equalAverage="0" bottom="0" percent="0" rank="0" text="" dxfId="1">
      <formula>85</formula>
      <formula>99.94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2"/>
    <col collapsed="false" customWidth="true" hidden="false" outlineLevel="0" max="6" min="6" style="0" width="10"/>
    <col collapsed="false" customWidth="true" hidden="false" outlineLevel="0" max="10" min="7" style="0" width="12"/>
    <col collapsed="false" customWidth="true" hidden="false" outlineLevel="0" max="11" min="11" style="0" width="13"/>
  </cols>
  <sheetData>
    <row r="1" customFormat="false" ht="17.35" hidden="false" customHeight="false" outlineLevel="0" collapsed="false">
      <c r="A1" s="1" t="s">
        <v>60</v>
      </c>
    </row>
    <row r="3" customFormat="false" ht="31.5" hidden="false" customHeight="true" outlineLevel="0" collapsed="false">
      <c r="A3" s="3" t="s">
        <v>61</v>
      </c>
      <c r="B3" s="3" t="s">
        <v>62</v>
      </c>
      <c r="C3" s="3" t="s">
        <v>63</v>
      </c>
      <c r="D3" s="3" t="s">
        <v>64</v>
      </c>
      <c r="E3" s="3" t="s">
        <v>65</v>
      </c>
      <c r="F3" s="3" t="s">
        <v>66</v>
      </c>
      <c r="G3" s="3" t="s">
        <v>67</v>
      </c>
      <c r="H3" s="3" t="s">
        <v>68</v>
      </c>
      <c r="I3" s="3" t="s">
        <v>69</v>
      </c>
      <c r="J3" s="3" t="s">
        <v>70</v>
      </c>
      <c r="K3" s="3" t="s">
        <v>71</v>
      </c>
    </row>
    <row r="4" customFormat="false" ht="15" hidden="false" customHeight="false" outlineLevel="0" collapsed="false">
      <c r="A4" s="10" t="s">
        <v>5</v>
      </c>
      <c r="B4" s="4" t="n">
        <f aca="false">COUNTIFS(Détail!$A:$A,"Hafssa BENCHRIF")</f>
        <v>15</v>
      </c>
      <c r="C4" s="4" t="n">
        <f aca="false">COUNTIFS(Détail!$A:$A,"Hafssa BENCHRIF",Détail!$I:$I,"&gt;=0")</f>
        <v>14</v>
      </c>
      <c r="D4" s="4" t="n">
        <f aca="false">SUMPRODUCT((Détail!$A$2:$A$134="Hafssa BENCHRIF")/COUNTIFS(Détail!$A$2:$A$134,Détail!$A$2:$A$134,Détail!$D$2:$D$134,Détail!$D$2:$D$134))</f>
        <v>13</v>
      </c>
      <c r="E4" s="6" t="n">
        <f aca="false">IFERROR(AVERAGEIFS(Détail!$I:$I,Détail!$A:$A,"Hafssa BENCHRIF"),"")</f>
        <v>99.5214285714286</v>
      </c>
      <c r="F4" s="6" t="n">
        <f aca="false">_xlfn.MINIFS(Détail!$I$2:$I$134,Détail!$A$2:$A$134,"Hafssa BENCHRIF")</f>
        <v>93.3</v>
      </c>
      <c r="G4" s="4" t="n">
        <f aca="false">COUNTIFS(Détail!$A:$A,"Hafssa BENCHRIF",Détail!$I:$I,"&gt;=99.95")</f>
        <v>13</v>
      </c>
      <c r="H4" s="4" t="n">
        <f aca="false">COUNTIFS(Détail!$A:$A,"Hafssa BENCHRIF",Détail!$I:$I,"&lt;99.95")</f>
        <v>1</v>
      </c>
      <c r="I4" s="4" t="n">
        <f aca="false">COUNTIFS(Détail!$A:$A,"Hafssa BENCHRIF",Détail!$I:$I,"&lt;85")</f>
        <v>0</v>
      </c>
      <c r="J4" s="4" t="n">
        <f aca="false">B4-C4</f>
        <v>1</v>
      </c>
      <c r="K4" s="4" t="n">
        <f aca="false">SUMIFS(Détail!$L:$L,Détail!$A:$A,"Hafssa BENCHRIF")</f>
        <v>1</v>
      </c>
    </row>
    <row r="5" customFormat="false" ht="15" hidden="false" customHeight="false" outlineLevel="0" collapsed="false">
      <c r="A5" s="10" t="s">
        <v>6</v>
      </c>
      <c r="B5" s="4" t="n">
        <f aca="false">COUNTIFS(Détail!$A:$A,"Hiba LISSAOUI")</f>
        <v>41</v>
      </c>
      <c r="C5" s="4" t="n">
        <f aca="false">COUNTIFS(Détail!$A:$A,"Hiba LISSAOUI",Détail!$I:$I,"&gt;=0")</f>
        <v>41</v>
      </c>
      <c r="D5" s="4" t="n">
        <f aca="false">SUMPRODUCT((Détail!$A$2:$A$134="Hiba LISSAOUI")/COUNTIFS(Détail!$A$2:$A$134,Détail!$A$2:$A$134,Détail!$D$2:$D$134,Détail!$D$2:$D$134))</f>
        <v>39</v>
      </c>
      <c r="E5" s="6" t="n">
        <f aca="false">IFERROR(AVERAGEIFS(Détail!$I:$I,Détail!$A:$A,"Hiba LISSAOUI"),"")</f>
        <v>99.2975609756098</v>
      </c>
      <c r="F5" s="6" t="n">
        <f aca="false">_xlfn.MINIFS(Détail!$I$2:$I$134,Détail!$A$2:$A$134,"Hiba LISSAOUI")</f>
        <v>87.5</v>
      </c>
      <c r="G5" s="4" t="n">
        <f aca="false">COUNTIFS(Détail!$A:$A,"Hiba LISSAOUI",Détail!$I:$I,"&gt;=99.95")</f>
        <v>36</v>
      </c>
      <c r="H5" s="4" t="n">
        <f aca="false">COUNTIFS(Détail!$A:$A,"Hiba LISSAOUI",Détail!$I:$I,"&lt;99.95")</f>
        <v>5</v>
      </c>
      <c r="I5" s="4" t="n">
        <f aca="false">COUNTIFS(Détail!$A:$A,"Hiba LISSAOUI",Détail!$I:$I,"&lt;85")</f>
        <v>0</v>
      </c>
      <c r="J5" s="4" t="n">
        <f aca="false">B5-C5</f>
        <v>0</v>
      </c>
      <c r="K5" s="4" t="n">
        <f aca="false">SUMIFS(Détail!$L:$L,Détail!$A:$A,"Hiba LISSAOUI")</f>
        <v>6</v>
      </c>
    </row>
    <row r="6" customFormat="false" ht="15" hidden="false" customHeight="false" outlineLevel="0" collapsed="false">
      <c r="A6" s="10" t="s">
        <v>7</v>
      </c>
      <c r="B6" s="4" t="n">
        <f aca="false">COUNTIFS(Détail!$A:$A,"Imad RMAIDI")</f>
        <v>39</v>
      </c>
      <c r="C6" s="4" t="n">
        <f aca="false">COUNTIFS(Détail!$A:$A,"Imad RMAIDI",Détail!$I:$I,"&gt;=0")</f>
        <v>38</v>
      </c>
      <c r="D6" s="4" t="n">
        <f aca="false">SUMPRODUCT((Détail!$A$2:$A$134="Imad RMAIDI")/COUNTIFS(Détail!$A$2:$A$134,Détail!$A$2:$A$134,Détail!$D$2:$D$134,Détail!$D$2:$D$134))</f>
        <v>37</v>
      </c>
      <c r="E6" s="6" t="n">
        <f aca="false">IFERROR(AVERAGEIFS(Détail!$I:$I,Détail!$A:$A,"Imad RMAIDI"),"")</f>
        <v>100</v>
      </c>
      <c r="F6" s="6" t="n">
        <f aca="false">_xlfn.MINIFS(Détail!$I$2:$I$134,Détail!$A$2:$A$134,"Imad RMAIDI")</f>
        <v>100</v>
      </c>
      <c r="G6" s="4" t="n">
        <f aca="false">COUNTIFS(Détail!$A:$A,"Imad RMAIDI",Détail!$I:$I,"&gt;=99.95")</f>
        <v>38</v>
      </c>
      <c r="H6" s="4" t="n">
        <f aca="false">COUNTIFS(Détail!$A:$A,"Imad RMAIDI",Détail!$I:$I,"&lt;99.95")</f>
        <v>0</v>
      </c>
      <c r="I6" s="4" t="n">
        <f aca="false">COUNTIFS(Détail!$A:$A,"Imad RMAIDI",Détail!$I:$I,"&lt;85")</f>
        <v>0</v>
      </c>
      <c r="J6" s="4" t="n">
        <f aca="false">B6-C6</f>
        <v>1</v>
      </c>
      <c r="K6" s="4" t="n">
        <f aca="false">SUMIFS(Détail!$L:$L,Détail!$A:$A,"Imad RMAIDI")</f>
        <v>0</v>
      </c>
    </row>
    <row r="7" customFormat="false" ht="15" hidden="false" customHeight="false" outlineLevel="0" collapsed="false">
      <c r="A7" s="10" t="s">
        <v>8</v>
      </c>
      <c r="B7" s="4" t="n">
        <f aca="false">COUNTIFS(Détail!$A:$A,"Mohamed HAMDANI")</f>
        <v>34</v>
      </c>
      <c r="C7" s="4" t="n">
        <f aca="false">COUNTIFS(Détail!$A:$A,"Mohamed HAMDANI",Détail!$I:$I,"&gt;=0")</f>
        <v>33</v>
      </c>
      <c r="D7" s="4" t="n">
        <f aca="false">SUMPRODUCT((Détail!$A$2:$A$134="Mohamed HAMDANI")/COUNTIFS(Détail!$A$2:$A$134,Détail!$A$2:$A$134,Détail!$D$2:$D$134,Détail!$D$2:$D$134))</f>
        <v>32</v>
      </c>
      <c r="E7" s="6" t="n">
        <f aca="false">IFERROR(AVERAGEIFS(Détail!$I:$I,Détail!$A:$A,"Mohamed HAMDANI"),"")</f>
        <v>99.3484848484848</v>
      </c>
      <c r="F7" s="6" t="n">
        <f aca="false">_xlfn.MINIFS(Détail!$I$2:$I$134,Détail!$A$2:$A$134,"Mohamed HAMDANI")</f>
        <v>92.3</v>
      </c>
      <c r="G7" s="4" t="n">
        <f aca="false">COUNTIFS(Détail!$A:$A,"Mohamed HAMDANI",Détail!$I:$I,"&gt;=99.95")</f>
        <v>30</v>
      </c>
      <c r="H7" s="4" t="n">
        <f aca="false">COUNTIFS(Détail!$A:$A,"Mohamed HAMDANI",Détail!$I:$I,"&lt;99.95")</f>
        <v>3</v>
      </c>
      <c r="I7" s="4" t="n">
        <f aca="false">COUNTIFS(Détail!$A:$A,"Mohamed HAMDANI",Détail!$I:$I,"&lt;85")</f>
        <v>0</v>
      </c>
      <c r="J7" s="4" t="n">
        <f aca="false">B7-C7</f>
        <v>1</v>
      </c>
      <c r="K7" s="4" t="n">
        <f aca="false">SUMIFS(Détail!$L:$L,Détail!$A:$A,"Mohamed HAMDANI")</f>
        <v>4</v>
      </c>
    </row>
    <row r="8" customFormat="false" ht="15" hidden="false" customHeight="false" outlineLevel="0" collapsed="false">
      <c r="A8" s="10" t="s">
        <v>9</v>
      </c>
      <c r="B8" s="4" t="n">
        <f aca="false">COUNTIFS(Détail!$A:$A,"Youssef")</f>
        <v>4</v>
      </c>
      <c r="C8" s="4" t="n">
        <f aca="false">COUNTIFS(Détail!$A:$A,"Youssef",Détail!$I:$I,"&gt;=0")</f>
        <v>4</v>
      </c>
      <c r="D8" s="4" t="n">
        <f aca="false">SUMPRODUCT((Détail!$A$2:$A$134="Youssef")/COUNTIFS(Détail!$A$2:$A$134,Détail!$A$2:$A$134,Détail!$D$2:$D$134,Détail!$D$2:$D$134))</f>
        <v>4</v>
      </c>
      <c r="E8" s="6" t="n">
        <f aca="false">IFERROR(AVERAGEIFS(Détail!$I:$I,Détail!$A:$A,"Youssef"),"")</f>
        <v>100</v>
      </c>
      <c r="F8" s="6" t="n">
        <f aca="false">_xlfn.MINIFS(Détail!$I$2:$I$134,Détail!$A$2:$A$134,"Youssef")</f>
        <v>100</v>
      </c>
      <c r="G8" s="4" t="n">
        <f aca="false">COUNTIFS(Détail!$A:$A,"Youssef",Détail!$I:$I,"&gt;=99.95")</f>
        <v>4</v>
      </c>
      <c r="H8" s="4" t="n">
        <f aca="false">COUNTIFS(Détail!$A:$A,"Youssef",Détail!$I:$I,"&lt;99.95")</f>
        <v>0</v>
      </c>
      <c r="I8" s="4" t="n">
        <f aca="false">COUNTIFS(Détail!$A:$A,"Youssef",Détail!$I:$I,"&lt;85")</f>
        <v>0</v>
      </c>
      <c r="J8" s="4" t="n">
        <f aca="false">B8-C8</f>
        <v>0</v>
      </c>
      <c r="K8" s="4" t="n">
        <f aca="false">SUMIFS(Détail!$L:$L,Détail!$A:$A,"Youssef")</f>
        <v>0</v>
      </c>
    </row>
    <row r="9" customFormat="false" ht="15" hidden="false" customHeight="false" outlineLevel="0" collapsed="false">
      <c r="A9" s="11" t="s">
        <v>10</v>
      </c>
      <c r="B9" s="8" t="n">
        <f aca="false">SUM(B4:B8)</f>
        <v>133</v>
      </c>
      <c r="C9" s="8" t="n">
        <f aca="false">SUM(C4:C8)</f>
        <v>130</v>
      </c>
      <c r="D9" s="8" t="n">
        <f aca="false">SUM(D4:D8)</f>
        <v>125</v>
      </c>
      <c r="E9" s="9" t="n">
        <f aca="false">IFERROR(AVERAGE(Détail!$I:$I),"")</f>
        <v>99.5615384615385</v>
      </c>
      <c r="F9" s="9" t="n">
        <f aca="false">MIN(F4:F8)</f>
        <v>87.5</v>
      </c>
      <c r="G9" s="8" t="n">
        <f aca="false">SUM(G4:G8)</f>
        <v>121</v>
      </c>
      <c r="H9" s="8" t="n">
        <f aca="false">SUM(H4:H8)</f>
        <v>9</v>
      </c>
      <c r="I9" s="8" t="n">
        <f aca="false">SUM(I4:I8)</f>
        <v>0</v>
      </c>
      <c r="J9" s="8" t="n">
        <f aca="false">SUM(J4:J8)</f>
        <v>3</v>
      </c>
      <c r="K9" s="8" t="n">
        <f aca="false">SUM(K4:K8)</f>
        <v>11</v>
      </c>
    </row>
    <row r="11" customFormat="false" ht="15" hidden="false" customHeight="false" outlineLevel="0" collapsed="false">
      <c r="A11" s="2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52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22"/>
    <col collapsed="false" customWidth="true" hidden="false" outlineLevel="0" max="13" min="11" style="0" width="12"/>
  </cols>
  <sheetData>
    <row r="1" customFormat="false" ht="31.5" hidden="false" customHeight="true" outlineLevel="0" collapsed="false">
      <c r="A1" s="3" t="s">
        <v>61</v>
      </c>
      <c r="B1" s="3" t="s">
        <v>2</v>
      </c>
      <c r="C1" s="3" t="s">
        <v>3</v>
      </c>
      <c r="D1" s="3" t="s">
        <v>73</v>
      </c>
      <c r="E1" s="3" t="s">
        <v>74</v>
      </c>
      <c r="F1" s="3" t="s">
        <v>75</v>
      </c>
      <c r="G1" s="3" t="s">
        <v>76</v>
      </c>
      <c r="H1" s="3" t="s">
        <v>77</v>
      </c>
      <c r="I1" s="3" t="s">
        <v>78</v>
      </c>
      <c r="J1" s="3" t="s">
        <v>79</v>
      </c>
      <c r="K1" s="3" t="s">
        <v>80</v>
      </c>
      <c r="L1" s="3" t="s">
        <v>71</v>
      </c>
      <c r="M1" s="3" t="s">
        <v>81</v>
      </c>
    </row>
    <row r="2" customFormat="false" ht="15" hidden="false" customHeight="false" outlineLevel="0" collapsed="false">
      <c r="A2" s="12" t="s">
        <v>5</v>
      </c>
      <c r="B2" s="4" t="n">
        <v>2025</v>
      </c>
      <c r="C2" s="4" t="n">
        <v>51</v>
      </c>
      <c r="D2" s="4" t="str">
        <f aca="false">B2&amp;"-S"&amp;TEXT(C2,"00")</f>
        <v>2025-S51</v>
      </c>
      <c r="E2" s="12" t="s">
        <v>82</v>
      </c>
      <c r="F2" s="4" t="s">
        <v>83</v>
      </c>
      <c r="G2" s="13"/>
      <c r="H2" s="4" t="s">
        <v>84</v>
      </c>
      <c r="I2" s="6" t="n">
        <v>100</v>
      </c>
      <c r="J2" s="12" t="str">
        <f aca="false">IF(I2="","Rapport manquant",IF(I2&gt;=85,"CONFORME (≥85%)","NON CONFORME (&lt;85%)"))</f>
        <v>CONFORME (≥85%)</v>
      </c>
      <c r="K2" s="4" t="n">
        <v>10</v>
      </c>
      <c r="L2" s="4" t="n">
        <v>0</v>
      </c>
      <c r="M2" s="4" t="n">
        <v>36</v>
      </c>
    </row>
    <row r="3" customFormat="false" ht="15" hidden="false" customHeight="false" outlineLevel="0" collapsed="false">
      <c r="A3" s="12" t="s">
        <v>5</v>
      </c>
      <c r="B3" s="4" t="n">
        <v>2025</v>
      </c>
      <c r="C3" s="4" t="n">
        <v>51</v>
      </c>
      <c r="D3" s="4" t="str">
        <f aca="false">B3&amp;"-S"&amp;TEXT(C3,"00")</f>
        <v>2025-S51</v>
      </c>
      <c r="E3" s="12" t="s">
        <v>85</v>
      </c>
      <c r="F3" s="4" t="s">
        <v>83</v>
      </c>
      <c r="G3" s="13"/>
      <c r="H3" s="4" t="s">
        <v>84</v>
      </c>
      <c r="I3" s="6" t="n">
        <v>100</v>
      </c>
      <c r="J3" s="12" t="str">
        <f aca="false">IF(I3="","Rapport manquant",IF(I3&gt;=85,"CONFORME (≥85%)","NON CONFORME (&lt;85%)"))</f>
        <v>CONFORME (≥85%)</v>
      </c>
      <c r="K3" s="4" t="n">
        <v>8</v>
      </c>
      <c r="L3" s="4" t="n">
        <v>0</v>
      </c>
      <c r="M3" s="4" t="n">
        <v>38</v>
      </c>
    </row>
    <row r="4" customFormat="false" ht="15" hidden="false" customHeight="false" outlineLevel="0" collapsed="false">
      <c r="A4" s="12" t="s">
        <v>6</v>
      </c>
      <c r="B4" s="4" t="n">
        <v>2025</v>
      </c>
      <c r="C4" s="4" t="n">
        <v>51</v>
      </c>
      <c r="D4" s="4" t="str">
        <f aca="false">B4&amp;"-S"&amp;TEXT(C4,"00")</f>
        <v>2025-S51</v>
      </c>
      <c r="E4" s="12" t="s">
        <v>86</v>
      </c>
      <c r="F4" s="4" t="s">
        <v>83</v>
      </c>
      <c r="G4" s="13"/>
      <c r="H4" s="4" t="s">
        <v>84</v>
      </c>
      <c r="I4" s="6" t="n">
        <v>96.7</v>
      </c>
      <c r="J4" s="12" t="str">
        <f aca="false">IF(I4="","Rapport manquant",IF(I4&gt;=85,"CONFORME (≥85%)","NON CONFORME (&lt;85%)"))</f>
        <v>CONFORME (≥85%)</v>
      </c>
      <c r="K4" s="4" t="n">
        <v>9</v>
      </c>
      <c r="L4" s="4" t="n">
        <v>1</v>
      </c>
      <c r="M4" s="4" t="n">
        <v>36</v>
      </c>
    </row>
    <row r="5" customFormat="false" ht="15" hidden="false" customHeight="false" outlineLevel="0" collapsed="false">
      <c r="A5" s="12" t="s">
        <v>6</v>
      </c>
      <c r="B5" s="4" t="n">
        <v>2025</v>
      </c>
      <c r="C5" s="4" t="n">
        <v>51</v>
      </c>
      <c r="D5" s="4" t="str">
        <f aca="false">B5&amp;"-S"&amp;TEXT(C5,"00")</f>
        <v>2025-S51</v>
      </c>
      <c r="E5" s="12" t="s">
        <v>87</v>
      </c>
      <c r="F5" s="4" t="s">
        <v>83</v>
      </c>
      <c r="G5" s="13"/>
      <c r="H5" s="4" t="s">
        <v>84</v>
      </c>
      <c r="I5" s="6" t="n">
        <v>100</v>
      </c>
      <c r="J5" s="12" t="str">
        <f aca="false">IF(I5="","Rapport manquant",IF(I5&gt;=85,"CONFORME (≥85%)","NON CONFORME (&lt;85%)"))</f>
        <v>CONFORME (≥85%)</v>
      </c>
      <c r="K5" s="4" t="n">
        <v>10</v>
      </c>
      <c r="L5" s="4" t="n">
        <v>0</v>
      </c>
      <c r="M5" s="4" t="n">
        <v>36</v>
      </c>
    </row>
    <row r="6" customFormat="false" ht="15" hidden="false" customHeight="false" outlineLevel="0" collapsed="false">
      <c r="A6" s="12" t="s">
        <v>7</v>
      </c>
      <c r="B6" s="4" t="n">
        <v>2025</v>
      </c>
      <c r="C6" s="4" t="n">
        <v>51</v>
      </c>
      <c r="D6" s="4" t="str">
        <f aca="false">B6&amp;"-S"&amp;TEXT(C6,"00")</f>
        <v>2025-S51</v>
      </c>
      <c r="E6" s="12" t="s">
        <v>88</v>
      </c>
      <c r="F6" s="4" t="s">
        <v>83</v>
      </c>
      <c r="G6" s="13"/>
      <c r="H6" s="4" t="s">
        <v>84</v>
      </c>
      <c r="I6" s="6" t="n">
        <v>100</v>
      </c>
      <c r="J6" s="12" t="str">
        <f aca="false">IF(I6="","Rapport manquant",IF(I6&gt;=85,"CONFORME (≥85%)","NON CONFORME (&lt;85%)"))</f>
        <v>CONFORME (≥85%)</v>
      </c>
      <c r="K6" s="4" t="n">
        <v>9</v>
      </c>
      <c r="L6" s="4" t="n">
        <v>0</v>
      </c>
      <c r="M6" s="4" t="n">
        <v>37</v>
      </c>
    </row>
    <row r="7" customFormat="false" ht="15" hidden="false" customHeight="false" outlineLevel="0" collapsed="false">
      <c r="A7" s="12" t="s">
        <v>7</v>
      </c>
      <c r="B7" s="4" t="n">
        <v>2025</v>
      </c>
      <c r="C7" s="4" t="n">
        <v>51</v>
      </c>
      <c r="D7" s="4" t="str">
        <f aca="false">B7&amp;"-S"&amp;TEXT(C7,"00")</f>
        <v>2025-S51</v>
      </c>
      <c r="E7" s="12" t="s">
        <v>89</v>
      </c>
      <c r="F7" s="4" t="s">
        <v>83</v>
      </c>
      <c r="G7" s="13"/>
      <c r="H7" s="4" t="s">
        <v>84</v>
      </c>
      <c r="I7" s="6" t="n">
        <v>100</v>
      </c>
      <c r="J7" s="12" t="str">
        <f aca="false">IF(I7="","Rapport manquant",IF(I7&gt;=85,"CONFORME (≥85%)","NON CONFORME (&lt;85%)"))</f>
        <v>CONFORME (≥85%)</v>
      </c>
      <c r="K7" s="4" t="n">
        <v>12</v>
      </c>
      <c r="L7" s="4" t="n">
        <v>0</v>
      </c>
      <c r="M7" s="4" t="n">
        <v>34</v>
      </c>
    </row>
    <row r="8" customFormat="false" ht="15" hidden="false" customHeight="false" outlineLevel="0" collapsed="false">
      <c r="A8" s="12" t="s">
        <v>8</v>
      </c>
      <c r="B8" s="4" t="n">
        <v>2025</v>
      </c>
      <c r="C8" s="4" t="n">
        <v>51</v>
      </c>
      <c r="D8" s="4" t="str">
        <f aca="false">B8&amp;"-S"&amp;TEXT(C8,"00")</f>
        <v>2025-S51</v>
      </c>
      <c r="E8" s="12" t="s">
        <v>90</v>
      </c>
      <c r="F8" s="4" t="s">
        <v>83</v>
      </c>
      <c r="G8" s="13"/>
      <c r="H8" s="4" t="s">
        <v>84</v>
      </c>
      <c r="I8" s="6" t="n">
        <v>100</v>
      </c>
      <c r="J8" s="12" t="str">
        <f aca="false">IF(I8="","Rapport manquant",IF(I8&gt;=85,"CONFORME (≥85%)","NON CONFORME (&lt;85%)"))</f>
        <v>CONFORME (≥85%)</v>
      </c>
      <c r="K8" s="4" t="n">
        <v>11</v>
      </c>
      <c r="L8" s="4" t="n">
        <v>0</v>
      </c>
      <c r="M8" s="4" t="n">
        <v>35</v>
      </c>
    </row>
    <row r="9" customFormat="false" ht="15" hidden="false" customHeight="false" outlineLevel="0" collapsed="false">
      <c r="A9" s="12" t="s">
        <v>8</v>
      </c>
      <c r="B9" s="4" t="n">
        <v>2025</v>
      </c>
      <c r="C9" s="4" t="n">
        <v>51</v>
      </c>
      <c r="D9" s="4" t="str">
        <f aca="false">B9&amp;"-S"&amp;TEXT(C9,"00")</f>
        <v>2025-S51</v>
      </c>
      <c r="E9" s="12" t="s">
        <v>91</v>
      </c>
      <c r="F9" s="4" t="s">
        <v>83</v>
      </c>
      <c r="G9" s="13"/>
      <c r="H9" s="4" t="s">
        <v>84</v>
      </c>
      <c r="I9" s="6" t="n">
        <v>93.3</v>
      </c>
      <c r="J9" s="12" t="str">
        <f aca="false">IF(I9="","Rapport manquant",IF(I9&gt;=85,"CONFORME (≥85%)","NON CONFORME (&lt;85%)"))</f>
        <v>CONFORME (≥85%)</v>
      </c>
      <c r="K9" s="4" t="n">
        <v>12</v>
      </c>
      <c r="L9" s="4" t="n">
        <v>2</v>
      </c>
      <c r="M9" s="4" t="n">
        <v>32</v>
      </c>
    </row>
    <row r="10" customFormat="false" ht="15" hidden="false" customHeight="false" outlineLevel="0" collapsed="false">
      <c r="A10" s="12" t="s">
        <v>5</v>
      </c>
      <c r="B10" s="4" t="n">
        <v>2025</v>
      </c>
      <c r="C10" s="4" t="n">
        <v>52</v>
      </c>
      <c r="D10" s="4" t="str">
        <f aca="false">B10&amp;"-S"&amp;TEXT(C10,"00")</f>
        <v>2025-S52</v>
      </c>
      <c r="E10" s="12" t="s">
        <v>92</v>
      </c>
      <c r="F10" s="4" t="s">
        <v>83</v>
      </c>
      <c r="G10" s="13"/>
      <c r="H10" s="4" t="s">
        <v>84</v>
      </c>
      <c r="I10" s="6" t="n">
        <v>100</v>
      </c>
      <c r="J10" s="12" t="str">
        <f aca="false">IF(I10="","Rapport manquant",IF(I10&gt;=85,"CONFORME (≥85%)","NON CONFORME (&lt;85%)"))</f>
        <v>CONFORME (≥85%)</v>
      </c>
      <c r="K10" s="4" t="n">
        <v>9</v>
      </c>
      <c r="L10" s="4" t="n">
        <v>0</v>
      </c>
      <c r="M10" s="4" t="n">
        <v>37</v>
      </c>
    </row>
    <row r="11" customFormat="false" ht="15" hidden="false" customHeight="false" outlineLevel="0" collapsed="false">
      <c r="A11" s="12" t="s">
        <v>5</v>
      </c>
      <c r="B11" s="4" t="n">
        <v>2025</v>
      </c>
      <c r="C11" s="4" t="n">
        <v>52</v>
      </c>
      <c r="D11" s="4" t="str">
        <f aca="false">B11&amp;"-S"&amp;TEXT(C11,"00")</f>
        <v>2025-S52</v>
      </c>
      <c r="E11" s="12" t="s">
        <v>93</v>
      </c>
      <c r="F11" s="4" t="s">
        <v>83</v>
      </c>
      <c r="G11" s="13"/>
      <c r="H11" s="4" t="s">
        <v>84</v>
      </c>
      <c r="I11" s="6" t="n">
        <v>100</v>
      </c>
      <c r="J11" s="12" t="str">
        <f aca="false">IF(I11="","Rapport manquant",IF(I11&gt;=85,"CONFORME (≥85%)","NON CONFORME (&lt;85%)"))</f>
        <v>CONFORME (≥85%)</v>
      </c>
      <c r="K11" s="4" t="n">
        <v>13</v>
      </c>
      <c r="L11" s="4" t="n">
        <v>0</v>
      </c>
      <c r="M11" s="4" t="n">
        <v>33</v>
      </c>
    </row>
    <row r="12" customFormat="false" ht="15" hidden="false" customHeight="false" outlineLevel="0" collapsed="false">
      <c r="A12" s="12" t="s">
        <v>6</v>
      </c>
      <c r="B12" s="4" t="n">
        <v>2025</v>
      </c>
      <c r="C12" s="4" t="n">
        <v>52</v>
      </c>
      <c r="D12" s="4" t="str">
        <f aca="false">B12&amp;"-S"&amp;TEXT(C12,"00")</f>
        <v>2025-S52</v>
      </c>
      <c r="E12" s="12" t="s">
        <v>94</v>
      </c>
      <c r="F12" s="4" t="s">
        <v>83</v>
      </c>
      <c r="G12" s="13"/>
      <c r="H12" s="4" t="s">
        <v>84</v>
      </c>
      <c r="I12" s="6" t="n">
        <v>96.7</v>
      </c>
      <c r="J12" s="12" t="str">
        <f aca="false">IF(I12="","Rapport manquant",IF(I12&gt;=85,"CONFORME (≥85%)","NON CONFORME (&lt;85%)"))</f>
        <v>CONFORME (≥85%)</v>
      </c>
      <c r="K12" s="4" t="n">
        <v>14</v>
      </c>
      <c r="L12" s="4" t="n">
        <v>1</v>
      </c>
      <c r="M12" s="4" t="n">
        <v>31</v>
      </c>
    </row>
    <row r="13" customFormat="false" ht="15" hidden="false" customHeight="false" outlineLevel="0" collapsed="false">
      <c r="A13" s="12" t="s">
        <v>6</v>
      </c>
      <c r="B13" s="4" t="n">
        <v>2025</v>
      </c>
      <c r="C13" s="4" t="n">
        <v>52</v>
      </c>
      <c r="D13" s="4" t="str">
        <f aca="false">B13&amp;"-S"&amp;TEXT(C13,"00")</f>
        <v>2025-S52</v>
      </c>
      <c r="E13" s="12" t="s">
        <v>95</v>
      </c>
      <c r="F13" s="4" t="s">
        <v>83</v>
      </c>
      <c r="G13" s="13"/>
      <c r="H13" s="4" t="s">
        <v>84</v>
      </c>
      <c r="I13" s="6" t="n">
        <v>100</v>
      </c>
      <c r="J13" s="12" t="str">
        <f aca="false">IF(I13="","Rapport manquant",IF(I13&gt;=85,"CONFORME (≥85%)","NON CONFORME (&lt;85%)"))</f>
        <v>CONFORME (≥85%)</v>
      </c>
      <c r="K13" s="4" t="n">
        <v>14</v>
      </c>
      <c r="L13" s="4" t="n">
        <v>0</v>
      </c>
      <c r="M13" s="4" t="n">
        <v>32</v>
      </c>
    </row>
    <row r="14" customFormat="false" ht="15" hidden="false" customHeight="false" outlineLevel="0" collapsed="false">
      <c r="A14" s="12" t="s">
        <v>7</v>
      </c>
      <c r="B14" s="4" t="n">
        <v>2025</v>
      </c>
      <c r="C14" s="4" t="n">
        <v>52</v>
      </c>
      <c r="D14" s="4" t="str">
        <f aca="false">B14&amp;"-S"&amp;TEXT(C14,"00")</f>
        <v>2025-S52</v>
      </c>
      <c r="E14" s="12" t="s">
        <v>96</v>
      </c>
      <c r="F14" s="4" t="s">
        <v>83</v>
      </c>
      <c r="G14" s="13"/>
      <c r="H14" s="4" t="s">
        <v>84</v>
      </c>
      <c r="I14" s="6" t="n">
        <v>100</v>
      </c>
      <c r="J14" s="12" t="str">
        <f aca="false">IF(I14="","Rapport manquant",IF(I14&gt;=85,"CONFORME (≥85%)","NON CONFORME (&lt;85%)"))</f>
        <v>CONFORME (≥85%)</v>
      </c>
      <c r="K14" s="4" t="n">
        <v>10</v>
      </c>
      <c r="L14" s="4" t="n">
        <v>0</v>
      </c>
      <c r="M14" s="4" t="n">
        <v>36</v>
      </c>
    </row>
    <row r="15" customFormat="false" ht="15" hidden="false" customHeight="false" outlineLevel="0" collapsed="false">
      <c r="A15" s="12" t="s">
        <v>7</v>
      </c>
      <c r="B15" s="4" t="n">
        <v>2025</v>
      </c>
      <c r="C15" s="4" t="n">
        <v>52</v>
      </c>
      <c r="D15" s="4" t="str">
        <f aca="false">B15&amp;"-S"&amp;TEXT(C15,"00")</f>
        <v>2025-S52</v>
      </c>
      <c r="E15" s="12" t="s">
        <v>97</v>
      </c>
      <c r="F15" s="4" t="s">
        <v>83</v>
      </c>
      <c r="G15" s="13"/>
      <c r="H15" s="4" t="s">
        <v>84</v>
      </c>
      <c r="I15" s="6" t="n">
        <v>100</v>
      </c>
      <c r="J15" s="12" t="str">
        <f aca="false">IF(I15="","Rapport manquant",IF(I15&gt;=85,"CONFORME (≥85%)","NON CONFORME (&lt;85%)"))</f>
        <v>CONFORME (≥85%)</v>
      </c>
      <c r="K15" s="4" t="n">
        <v>10</v>
      </c>
      <c r="L15" s="4" t="n">
        <v>0</v>
      </c>
      <c r="M15" s="4" t="n">
        <v>36</v>
      </c>
    </row>
    <row r="16" customFormat="false" ht="15" hidden="false" customHeight="false" outlineLevel="0" collapsed="false">
      <c r="A16" s="12" t="s">
        <v>8</v>
      </c>
      <c r="B16" s="4" t="n">
        <v>2025</v>
      </c>
      <c r="C16" s="4" t="n">
        <v>52</v>
      </c>
      <c r="D16" s="4" t="str">
        <f aca="false">B16&amp;"-S"&amp;TEXT(C16,"00")</f>
        <v>2025-S52</v>
      </c>
      <c r="E16" s="12" t="s">
        <v>98</v>
      </c>
      <c r="F16" s="4" t="s">
        <v>83</v>
      </c>
      <c r="G16" s="13"/>
      <c r="H16" s="4" t="s">
        <v>84</v>
      </c>
      <c r="I16" s="6" t="n">
        <v>100</v>
      </c>
      <c r="J16" s="12" t="str">
        <f aca="false">IF(I16="","Rapport manquant",IF(I16&gt;=85,"CONFORME (≥85%)","NON CONFORME (&lt;85%)"))</f>
        <v>CONFORME (≥85%)</v>
      </c>
      <c r="K16" s="4" t="n">
        <v>9</v>
      </c>
      <c r="L16" s="4" t="n">
        <v>0</v>
      </c>
      <c r="M16" s="4" t="n">
        <v>37</v>
      </c>
    </row>
    <row r="17" customFormat="false" ht="15" hidden="false" customHeight="false" outlineLevel="0" collapsed="false">
      <c r="A17" s="12" t="s">
        <v>8</v>
      </c>
      <c r="B17" s="4" t="n">
        <v>2025</v>
      </c>
      <c r="C17" s="4" t="n">
        <v>52</v>
      </c>
      <c r="D17" s="4" t="str">
        <f aca="false">B17&amp;"-S"&amp;TEXT(C17,"00")</f>
        <v>2025-S52</v>
      </c>
      <c r="E17" s="12" t="s">
        <v>99</v>
      </c>
      <c r="F17" s="4" t="s">
        <v>83</v>
      </c>
      <c r="G17" s="13"/>
      <c r="H17" s="4" t="s">
        <v>84</v>
      </c>
      <c r="I17" s="6" t="n">
        <v>100</v>
      </c>
      <c r="J17" s="12" t="str">
        <f aca="false">IF(I17="","Rapport manquant",IF(I17&gt;=85,"CONFORME (≥85%)","NON CONFORME (&lt;85%)"))</f>
        <v>CONFORME (≥85%)</v>
      </c>
      <c r="K17" s="4" t="n">
        <v>9</v>
      </c>
      <c r="L17" s="4" t="n">
        <v>0</v>
      </c>
      <c r="M17" s="4" t="n">
        <v>37</v>
      </c>
    </row>
    <row r="18" customFormat="false" ht="15" hidden="false" customHeight="false" outlineLevel="0" collapsed="false">
      <c r="A18" s="12" t="s">
        <v>5</v>
      </c>
      <c r="B18" s="4" t="n">
        <v>2026</v>
      </c>
      <c r="C18" s="4" t="n">
        <v>1</v>
      </c>
      <c r="D18" s="4" t="str">
        <f aca="false">B18&amp;"-S"&amp;TEXT(C18,"00")</f>
        <v>2026-S01</v>
      </c>
      <c r="E18" s="12" t="s">
        <v>100</v>
      </c>
      <c r="F18" s="4" t="s">
        <v>83</v>
      </c>
      <c r="G18" s="13"/>
      <c r="H18" s="4" t="s">
        <v>84</v>
      </c>
      <c r="I18" s="6" t="n">
        <v>100</v>
      </c>
      <c r="J18" s="12" t="str">
        <f aca="false">IF(I18="","Rapport manquant",IF(I18&gt;=85,"CONFORME (≥85%)","NON CONFORME (&lt;85%)"))</f>
        <v>CONFORME (≥85%)</v>
      </c>
      <c r="K18" s="4" t="n">
        <v>14</v>
      </c>
      <c r="L18" s="4" t="n">
        <v>0</v>
      </c>
      <c r="M18" s="4" t="n">
        <v>32</v>
      </c>
    </row>
    <row r="19" customFormat="false" ht="15" hidden="false" customHeight="false" outlineLevel="0" collapsed="false">
      <c r="A19" s="12" t="s">
        <v>6</v>
      </c>
      <c r="B19" s="4" t="n">
        <v>2026</v>
      </c>
      <c r="C19" s="4" t="n">
        <v>1</v>
      </c>
      <c r="D19" s="4" t="str">
        <f aca="false">B19&amp;"-S"&amp;TEXT(C19,"00")</f>
        <v>2026-S01</v>
      </c>
      <c r="E19" s="12" t="s">
        <v>101</v>
      </c>
      <c r="F19" s="4" t="s">
        <v>83</v>
      </c>
      <c r="G19" s="13"/>
      <c r="H19" s="4" t="s">
        <v>84</v>
      </c>
      <c r="I19" s="6" t="n">
        <v>100</v>
      </c>
      <c r="J19" s="12" t="str">
        <f aca="false">IF(I19="","Rapport manquant",IF(I19&gt;=85,"CONFORME (≥85%)","NON CONFORME (&lt;85%)"))</f>
        <v>CONFORME (≥85%)</v>
      </c>
      <c r="K19" s="4" t="n">
        <v>10</v>
      </c>
      <c r="L19" s="4" t="n">
        <v>0</v>
      </c>
      <c r="M19" s="4" t="n">
        <v>36</v>
      </c>
    </row>
    <row r="20" customFormat="false" ht="15" hidden="false" customHeight="false" outlineLevel="0" collapsed="false">
      <c r="A20" s="12" t="s">
        <v>7</v>
      </c>
      <c r="B20" s="4" t="n">
        <v>2026</v>
      </c>
      <c r="C20" s="4" t="n">
        <v>1</v>
      </c>
      <c r="D20" s="4" t="str">
        <f aca="false">B20&amp;"-S"&amp;TEXT(C20,"00")</f>
        <v>2026-S01</v>
      </c>
      <c r="E20" s="12" t="s">
        <v>102</v>
      </c>
      <c r="F20" s="4" t="s">
        <v>83</v>
      </c>
      <c r="G20" s="13"/>
      <c r="H20" s="4" t="s">
        <v>84</v>
      </c>
      <c r="I20" s="6" t="n">
        <v>100</v>
      </c>
      <c r="J20" s="12" t="str">
        <f aca="false">IF(I20="","Rapport manquant",IF(I20&gt;=85,"CONFORME (≥85%)","NON CONFORME (&lt;85%)"))</f>
        <v>CONFORME (≥85%)</v>
      </c>
      <c r="K20" s="4" t="n">
        <v>10</v>
      </c>
      <c r="L20" s="4" t="n">
        <v>0</v>
      </c>
      <c r="M20" s="4" t="n">
        <v>36</v>
      </c>
    </row>
    <row r="21" customFormat="false" ht="15" hidden="false" customHeight="false" outlineLevel="0" collapsed="false">
      <c r="A21" s="12" t="s">
        <v>8</v>
      </c>
      <c r="B21" s="4" t="n">
        <v>2026</v>
      </c>
      <c r="C21" s="4" t="n">
        <v>1</v>
      </c>
      <c r="D21" s="4" t="str">
        <f aca="false">B21&amp;"-S"&amp;TEXT(C21,"00")</f>
        <v>2026-S01</v>
      </c>
      <c r="E21" s="12" t="s">
        <v>103</v>
      </c>
      <c r="F21" s="4" t="s">
        <v>83</v>
      </c>
      <c r="G21" s="13"/>
      <c r="H21" s="4" t="s">
        <v>84</v>
      </c>
      <c r="I21" s="6" t="n">
        <v>100</v>
      </c>
      <c r="J21" s="12" t="str">
        <f aca="false">IF(I21="","Rapport manquant",IF(I21&gt;=85,"CONFORME (≥85%)","NON CONFORME (&lt;85%)"))</f>
        <v>CONFORME (≥85%)</v>
      </c>
      <c r="K21" s="4" t="n">
        <v>9</v>
      </c>
      <c r="L21" s="4" t="n">
        <v>0</v>
      </c>
      <c r="M21" s="4" t="n">
        <v>37</v>
      </c>
    </row>
    <row r="22" customFormat="false" ht="15" hidden="false" customHeight="false" outlineLevel="0" collapsed="false">
      <c r="A22" s="12" t="s">
        <v>5</v>
      </c>
      <c r="B22" s="4" t="n">
        <v>2026</v>
      </c>
      <c r="C22" s="4" t="n">
        <v>2</v>
      </c>
      <c r="D22" s="4" t="str">
        <f aca="false">B22&amp;"-S"&amp;TEXT(C22,"00")</f>
        <v>2026-S02</v>
      </c>
      <c r="E22" s="12" t="s">
        <v>104</v>
      </c>
      <c r="F22" s="4" t="s">
        <v>83</v>
      </c>
      <c r="G22" s="13"/>
      <c r="H22" s="4" t="s">
        <v>84</v>
      </c>
      <c r="I22" s="6" t="n">
        <v>100</v>
      </c>
      <c r="J22" s="12" t="str">
        <f aca="false">IF(I22="","Rapport manquant",IF(I22&gt;=85,"CONFORME (≥85%)","NON CONFORME (&lt;85%)"))</f>
        <v>CONFORME (≥85%)</v>
      </c>
      <c r="K22" s="4" t="n">
        <v>9</v>
      </c>
      <c r="L22" s="4" t="n">
        <v>0</v>
      </c>
      <c r="M22" s="4" t="n">
        <v>37</v>
      </c>
    </row>
    <row r="23" customFormat="false" ht="15" hidden="false" customHeight="false" outlineLevel="0" collapsed="false">
      <c r="A23" s="12" t="s">
        <v>6</v>
      </c>
      <c r="B23" s="4" t="n">
        <v>2026</v>
      </c>
      <c r="C23" s="4" t="n">
        <v>2</v>
      </c>
      <c r="D23" s="4" t="str">
        <f aca="false">B23&amp;"-S"&amp;TEXT(C23,"00")</f>
        <v>2026-S02</v>
      </c>
      <c r="E23" s="12" t="s">
        <v>105</v>
      </c>
      <c r="F23" s="4" t="s">
        <v>83</v>
      </c>
      <c r="G23" s="13"/>
      <c r="H23" s="4" t="s">
        <v>84</v>
      </c>
      <c r="I23" s="6" t="n">
        <v>100</v>
      </c>
      <c r="J23" s="12" t="str">
        <f aca="false">IF(I23="","Rapport manquant",IF(I23&gt;=85,"CONFORME (≥85%)","NON CONFORME (&lt;85%)"))</f>
        <v>CONFORME (≥85%)</v>
      </c>
      <c r="K23" s="4" t="n">
        <v>16</v>
      </c>
      <c r="L23" s="4" t="n">
        <v>0</v>
      </c>
      <c r="M23" s="4" t="n">
        <v>30</v>
      </c>
    </row>
    <row r="24" customFormat="false" ht="15" hidden="false" customHeight="false" outlineLevel="0" collapsed="false">
      <c r="A24" s="12" t="s">
        <v>7</v>
      </c>
      <c r="B24" s="4" t="n">
        <v>2026</v>
      </c>
      <c r="C24" s="4" t="n">
        <v>2</v>
      </c>
      <c r="D24" s="4" t="str">
        <f aca="false">B24&amp;"-S"&amp;TEXT(C24,"00")</f>
        <v>2026-S02</v>
      </c>
      <c r="E24" s="12" t="s">
        <v>106</v>
      </c>
      <c r="F24" s="4" t="s">
        <v>83</v>
      </c>
      <c r="G24" s="13"/>
      <c r="H24" s="4" t="s">
        <v>84</v>
      </c>
      <c r="I24" s="6" t="n">
        <v>100</v>
      </c>
      <c r="J24" s="12" t="str">
        <f aca="false">IF(I24="","Rapport manquant",IF(I24&gt;=85,"CONFORME (≥85%)","NON CONFORME (&lt;85%)"))</f>
        <v>CONFORME (≥85%)</v>
      </c>
      <c r="K24" s="4" t="n">
        <v>17</v>
      </c>
      <c r="L24" s="4" t="n">
        <v>0</v>
      </c>
      <c r="M24" s="4" t="n">
        <v>29</v>
      </c>
    </row>
    <row r="25" customFormat="false" ht="15" hidden="false" customHeight="false" outlineLevel="0" collapsed="false">
      <c r="A25" s="12" t="s">
        <v>8</v>
      </c>
      <c r="B25" s="4" t="n">
        <v>2026</v>
      </c>
      <c r="C25" s="4" t="n">
        <v>2</v>
      </c>
      <c r="D25" s="4" t="str">
        <f aca="false">B25&amp;"-S"&amp;TEXT(C25,"00")</f>
        <v>2026-S02</v>
      </c>
      <c r="E25" s="12" t="s">
        <v>107</v>
      </c>
      <c r="F25" s="4" t="s">
        <v>83</v>
      </c>
      <c r="G25" s="13"/>
      <c r="H25" s="4" t="s">
        <v>84</v>
      </c>
      <c r="I25" s="6" t="n">
        <v>100</v>
      </c>
      <c r="J25" s="12" t="str">
        <f aca="false">IF(I25="","Rapport manquant",IF(I25&gt;=85,"CONFORME (≥85%)","NON CONFORME (&lt;85%)"))</f>
        <v>CONFORME (≥85%)</v>
      </c>
      <c r="K25" s="4" t="n">
        <v>17</v>
      </c>
      <c r="L25" s="4" t="n">
        <v>0</v>
      </c>
      <c r="M25" s="4" t="n">
        <v>29</v>
      </c>
    </row>
    <row r="26" customFormat="false" ht="15" hidden="false" customHeight="false" outlineLevel="0" collapsed="false">
      <c r="A26" s="12" t="s">
        <v>5</v>
      </c>
      <c r="B26" s="4" t="n">
        <v>2026</v>
      </c>
      <c r="C26" s="4" t="n">
        <v>3</v>
      </c>
      <c r="D26" s="4" t="str">
        <f aca="false">B26&amp;"-S"&amp;TEXT(C26,"00")</f>
        <v>2026-S03</v>
      </c>
      <c r="E26" s="12" t="s">
        <v>108</v>
      </c>
      <c r="F26" s="4" t="s">
        <v>83</v>
      </c>
      <c r="G26" s="13"/>
      <c r="H26" s="4" t="s">
        <v>84</v>
      </c>
      <c r="I26" s="6" t="n">
        <v>100</v>
      </c>
      <c r="J26" s="12" t="str">
        <f aca="false">IF(I26="","Rapport manquant",IF(I26&gt;=85,"CONFORME (≥85%)","NON CONFORME (&lt;85%)"))</f>
        <v>CONFORME (≥85%)</v>
      </c>
      <c r="K26" s="4" t="n">
        <v>14</v>
      </c>
      <c r="L26" s="4" t="n">
        <v>0</v>
      </c>
      <c r="M26" s="4" t="n">
        <v>32</v>
      </c>
    </row>
    <row r="27" customFormat="false" ht="15" hidden="false" customHeight="false" outlineLevel="0" collapsed="false">
      <c r="A27" s="12" t="s">
        <v>6</v>
      </c>
      <c r="B27" s="4" t="n">
        <v>2026</v>
      </c>
      <c r="C27" s="4" t="n">
        <v>3</v>
      </c>
      <c r="D27" s="4" t="str">
        <f aca="false">B27&amp;"-S"&amp;TEXT(C27,"00")</f>
        <v>2026-S03</v>
      </c>
      <c r="E27" s="12" t="s">
        <v>109</v>
      </c>
      <c r="F27" s="4" t="s">
        <v>83</v>
      </c>
      <c r="G27" s="13"/>
      <c r="H27" s="4" t="s">
        <v>84</v>
      </c>
      <c r="I27" s="6" t="n">
        <v>100</v>
      </c>
      <c r="J27" s="12" t="str">
        <f aca="false">IF(I27="","Rapport manquant",IF(I27&gt;=85,"CONFORME (≥85%)","NON CONFORME (&lt;85%)"))</f>
        <v>CONFORME (≥85%)</v>
      </c>
      <c r="K27" s="4" t="n">
        <v>10</v>
      </c>
      <c r="L27" s="4" t="n">
        <v>0</v>
      </c>
      <c r="M27" s="4" t="n">
        <v>36</v>
      </c>
    </row>
    <row r="28" customFormat="false" ht="15" hidden="false" customHeight="false" outlineLevel="0" collapsed="false">
      <c r="A28" s="12" t="s">
        <v>7</v>
      </c>
      <c r="B28" s="4" t="n">
        <v>2026</v>
      </c>
      <c r="C28" s="4" t="n">
        <v>3</v>
      </c>
      <c r="D28" s="4" t="str">
        <f aca="false">B28&amp;"-S"&amp;TEXT(C28,"00")</f>
        <v>2026-S03</v>
      </c>
      <c r="E28" s="12" t="s">
        <v>110</v>
      </c>
      <c r="F28" s="4" t="s">
        <v>83</v>
      </c>
      <c r="G28" s="13"/>
      <c r="H28" s="4" t="s">
        <v>84</v>
      </c>
      <c r="I28" s="6" t="n">
        <v>100</v>
      </c>
      <c r="J28" s="12" t="str">
        <f aca="false">IF(I28="","Rapport manquant",IF(I28&gt;=85,"CONFORME (≥85%)","NON CONFORME (&lt;85%)"))</f>
        <v>CONFORME (≥85%)</v>
      </c>
      <c r="K28" s="4" t="n">
        <v>17</v>
      </c>
      <c r="L28" s="4" t="n">
        <v>0</v>
      </c>
      <c r="M28" s="4" t="n">
        <v>29</v>
      </c>
    </row>
    <row r="29" customFormat="false" ht="15" hidden="false" customHeight="false" outlineLevel="0" collapsed="false">
      <c r="A29" s="12" t="s">
        <v>8</v>
      </c>
      <c r="B29" s="4" t="n">
        <v>2026</v>
      </c>
      <c r="C29" s="4" t="n">
        <v>3</v>
      </c>
      <c r="D29" s="4" t="str">
        <f aca="false">B29&amp;"-S"&amp;TEXT(C29,"00")</f>
        <v>2026-S03</v>
      </c>
      <c r="E29" s="12" t="s">
        <v>111</v>
      </c>
      <c r="F29" s="4" t="s">
        <v>83</v>
      </c>
      <c r="G29" s="13"/>
      <c r="H29" s="4" t="s">
        <v>84</v>
      </c>
      <c r="I29" s="6" t="n">
        <v>100</v>
      </c>
      <c r="J29" s="12" t="str">
        <f aca="false">IF(I29="","Rapport manquant",IF(I29&gt;=85,"CONFORME (≥85%)","NON CONFORME (&lt;85%)"))</f>
        <v>CONFORME (≥85%)</v>
      </c>
      <c r="K29" s="4" t="n">
        <v>15</v>
      </c>
      <c r="L29" s="4" t="n">
        <v>0</v>
      </c>
      <c r="M29" s="4" t="n">
        <v>31</v>
      </c>
    </row>
    <row r="30" customFormat="false" ht="15" hidden="false" customHeight="false" outlineLevel="0" collapsed="false">
      <c r="A30" s="12" t="s">
        <v>5</v>
      </c>
      <c r="B30" s="4" t="n">
        <v>2026</v>
      </c>
      <c r="C30" s="4" t="n">
        <v>4</v>
      </c>
      <c r="D30" s="4" t="str">
        <f aca="false">B30&amp;"-S"&amp;TEXT(C30,"00")</f>
        <v>2026-S04</v>
      </c>
      <c r="E30" s="12" t="s">
        <v>112</v>
      </c>
      <c r="F30" s="4" t="s">
        <v>83</v>
      </c>
      <c r="G30" s="13"/>
      <c r="H30" s="4" t="s">
        <v>84</v>
      </c>
      <c r="I30" s="6" t="n">
        <v>100</v>
      </c>
      <c r="J30" s="12" t="str">
        <f aca="false">IF(I30="","Rapport manquant",IF(I30&gt;=85,"CONFORME (≥85%)","NON CONFORME (&lt;85%)"))</f>
        <v>CONFORME (≥85%)</v>
      </c>
      <c r="K30" s="4" t="n">
        <v>15</v>
      </c>
      <c r="L30" s="4" t="n">
        <v>0</v>
      </c>
      <c r="M30" s="4" t="n">
        <v>31</v>
      </c>
    </row>
    <row r="31" customFormat="false" ht="15" hidden="false" customHeight="false" outlineLevel="0" collapsed="false">
      <c r="A31" s="12" t="s">
        <v>6</v>
      </c>
      <c r="B31" s="4" t="n">
        <v>2026</v>
      </c>
      <c r="C31" s="4" t="n">
        <v>4</v>
      </c>
      <c r="D31" s="4" t="str">
        <f aca="false">B31&amp;"-S"&amp;TEXT(C31,"00")</f>
        <v>2026-S04</v>
      </c>
      <c r="E31" s="12" t="s">
        <v>113</v>
      </c>
      <c r="F31" s="4" t="s">
        <v>83</v>
      </c>
      <c r="G31" s="13"/>
      <c r="H31" s="4" t="s">
        <v>84</v>
      </c>
      <c r="I31" s="6" t="n">
        <v>98</v>
      </c>
      <c r="J31" s="12" t="str">
        <f aca="false">IF(I31="","Rapport manquant",IF(I31&gt;=85,"CONFORME (≥85%)","NON CONFORME (&lt;85%)"))</f>
        <v>CONFORME (≥85%)</v>
      </c>
      <c r="K31" s="4" t="n">
        <v>16</v>
      </c>
      <c r="L31" s="4" t="n">
        <v>1</v>
      </c>
      <c r="M31" s="4" t="n">
        <v>29</v>
      </c>
    </row>
    <row r="32" customFormat="false" ht="15" hidden="false" customHeight="false" outlineLevel="0" collapsed="false">
      <c r="A32" s="12" t="s">
        <v>7</v>
      </c>
      <c r="B32" s="4" t="n">
        <v>2026</v>
      </c>
      <c r="C32" s="4" t="n">
        <v>4</v>
      </c>
      <c r="D32" s="4" t="str">
        <f aca="false">B32&amp;"-S"&amp;TEXT(C32,"00")</f>
        <v>2026-S04</v>
      </c>
      <c r="E32" s="12" t="s">
        <v>114</v>
      </c>
      <c r="F32" s="4" t="s">
        <v>83</v>
      </c>
      <c r="G32" s="13"/>
      <c r="H32" s="4" t="s">
        <v>84</v>
      </c>
      <c r="I32" s="6" t="n">
        <v>100</v>
      </c>
      <c r="J32" s="12" t="str">
        <f aca="false">IF(I32="","Rapport manquant",IF(I32&gt;=85,"CONFORME (≥85%)","NON CONFORME (&lt;85%)"))</f>
        <v>CONFORME (≥85%)</v>
      </c>
      <c r="K32" s="4" t="n">
        <v>17</v>
      </c>
      <c r="L32" s="4" t="n">
        <v>0</v>
      </c>
      <c r="M32" s="4" t="n">
        <v>29</v>
      </c>
    </row>
    <row r="33" customFormat="false" ht="15" hidden="false" customHeight="false" outlineLevel="0" collapsed="false">
      <c r="A33" s="12" t="s">
        <v>8</v>
      </c>
      <c r="B33" s="4" t="n">
        <v>2026</v>
      </c>
      <c r="C33" s="4" t="n">
        <v>4</v>
      </c>
      <c r="D33" s="4" t="str">
        <f aca="false">B33&amp;"-S"&amp;TEXT(C33,"00")</f>
        <v>2026-S04</v>
      </c>
      <c r="E33" s="12" t="s">
        <v>115</v>
      </c>
      <c r="F33" s="4" t="s">
        <v>83</v>
      </c>
      <c r="G33" s="13"/>
      <c r="H33" s="4" t="s">
        <v>84</v>
      </c>
      <c r="I33" s="6" t="n">
        <v>100</v>
      </c>
      <c r="J33" s="12" t="str">
        <f aca="false">IF(I33="","Rapport manquant",IF(I33&gt;=85,"CONFORME (≥85%)","NON CONFORME (&lt;85%)"))</f>
        <v>CONFORME (≥85%)</v>
      </c>
      <c r="K33" s="4" t="n">
        <v>10</v>
      </c>
      <c r="L33" s="4" t="n">
        <v>0</v>
      </c>
      <c r="M33" s="4" t="n">
        <v>36</v>
      </c>
    </row>
    <row r="34" customFormat="false" ht="15" hidden="false" customHeight="false" outlineLevel="0" collapsed="false">
      <c r="A34" s="12" t="s">
        <v>5</v>
      </c>
      <c r="B34" s="4" t="n">
        <v>2026</v>
      </c>
      <c r="C34" s="4" t="n">
        <v>5</v>
      </c>
      <c r="D34" s="4" t="str">
        <f aca="false">B34&amp;"-S"&amp;TEXT(C34,"00")</f>
        <v>2026-S05</v>
      </c>
      <c r="E34" s="12" t="s">
        <v>116</v>
      </c>
      <c r="F34" s="4" t="s">
        <v>83</v>
      </c>
      <c r="G34" s="13"/>
      <c r="H34" s="4" t="s">
        <v>84</v>
      </c>
      <c r="I34" s="6" t="n">
        <v>100</v>
      </c>
      <c r="J34" s="12" t="str">
        <f aca="false">IF(I34="","Rapport manquant",IF(I34&gt;=85,"CONFORME (≥85%)","NON CONFORME (&lt;85%)"))</f>
        <v>CONFORME (≥85%)</v>
      </c>
      <c r="K34" s="4" t="n">
        <v>10</v>
      </c>
      <c r="L34" s="4" t="n">
        <v>0</v>
      </c>
      <c r="M34" s="4" t="n">
        <v>36</v>
      </c>
    </row>
    <row r="35" customFormat="false" ht="15" hidden="false" customHeight="false" outlineLevel="0" collapsed="false">
      <c r="A35" s="12" t="s">
        <v>5</v>
      </c>
      <c r="B35" s="4" t="n">
        <v>2026</v>
      </c>
      <c r="C35" s="4" t="n">
        <v>8</v>
      </c>
      <c r="D35" s="4" t="str">
        <f aca="false">B35&amp;"-S"&amp;TEXT(C35,"00")</f>
        <v>2026-S08</v>
      </c>
      <c r="E35" s="12" t="s">
        <v>117</v>
      </c>
      <c r="F35" s="4" t="s">
        <v>118</v>
      </c>
      <c r="G35" s="13" t="n">
        <v>46073</v>
      </c>
      <c r="H35" s="4" t="s">
        <v>119</v>
      </c>
      <c r="I35" s="6" t="n">
        <v>100</v>
      </c>
      <c r="J35" s="12" t="str">
        <f aca="false">IF(I35="","Rapport manquant",IF(I35&gt;=85,"CONFORME (≥85%)","NON CONFORME (&lt;85%)"))</f>
        <v>CONFORME (≥85%)</v>
      </c>
      <c r="K35" s="4" t="n">
        <v>15</v>
      </c>
      <c r="L35" s="4" t="n">
        <v>0</v>
      </c>
      <c r="M35" s="4" t="n">
        <v>31</v>
      </c>
    </row>
    <row r="36" customFormat="false" ht="15" hidden="false" customHeight="false" outlineLevel="0" collapsed="false">
      <c r="A36" s="12" t="s">
        <v>6</v>
      </c>
      <c r="B36" s="4" t="n">
        <v>2026</v>
      </c>
      <c r="C36" s="4" t="n">
        <v>8</v>
      </c>
      <c r="D36" s="4" t="str">
        <f aca="false">B36&amp;"-S"&amp;TEXT(C36,"00")</f>
        <v>2026-S08</v>
      </c>
      <c r="E36" s="12" t="s">
        <v>120</v>
      </c>
      <c r="F36" s="4" t="s">
        <v>118</v>
      </c>
      <c r="G36" s="13" t="n">
        <v>46073</v>
      </c>
      <c r="H36" s="4" t="s">
        <v>119</v>
      </c>
      <c r="I36" s="6" t="n">
        <v>87.5</v>
      </c>
      <c r="J36" s="12" t="str">
        <f aca="false">IF(I36="","Rapport manquant",IF(I36&gt;=85,"CONFORME (≥85%)","NON CONFORME (&lt;85%)"))</f>
        <v>CONFORME (≥85%)</v>
      </c>
      <c r="K36" s="4" t="n">
        <v>14</v>
      </c>
      <c r="L36" s="4" t="n">
        <v>2</v>
      </c>
      <c r="M36" s="4" t="n">
        <v>30</v>
      </c>
    </row>
    <row r="37" customFormat="false" ht="15" hidden="false" customHeight="false" outlineLevel="0" collapsed="false">
      <c r="A37" s="12" t="s">
        <v>7</v>
      </c>
      <c r="B37" s="4" t="n">
        <v>2026</v>
      </c>
      <c r="C37" s="4" t="n">
        <v>8</v>
      </c>
      <c r="D37" s="4" t="str">
        <f aca="false">B37&amp;"-S"&amp;TEXT(C37,"00")</f>
        <v>2026-S08</v>
      </c>
      <c r="E37" s="12" t="s">
        <v>121</v>
      </c>
      <c r="F37" s="4" t="s">
        <v>118</v>
      </c>
      <c r="G37" s="13" t="n">
        <v>46073</v>
      </c>
      <c r="H37" s="4" t="s">
        <v>119</v>
      </c>
      <c r="I37" s="6" t="n">
        <v>100</v>
      </c>
      <c r="J37" s="12" t="str">
        <f aca="false">IF(I37="","Rapport manquant",IF(I37&gt;=85,"CONFORME (≥85%)","NON CONFORME (&lt;85%)"))</f>
        <v>CONFORME (≥85%)</v>
      </c>
      <c r="K37" s="4" t="n">
        <v>12</v>
      </c>
      <c r="L37" s="4" t="n">
        <v>0</v>
      </c>
      <c r="M37" s="4" t="n">
        <v>28</v>
      </c>
    </row>
    <row r="38" customFormat="false" ht="15" hidden="false" customHeight="false" outlineLevel="0" collapsed="false">
      <c r="A38" s="12" t="s">
        <v>8</v>
      </c>
      <c r="B38" s="4" t="n">
        <v>2026</v>
      </c>
      <c r="C38" s="4" t="n">
        <v>8</v>
      </c>
      <c r="D38" s="4" t="str">
        <f aca="false">B38&amp;"-S"&amp;TEXT(C38,"00")</f>
        <v>2026-S08</v>
      </c>
      <c r="E38" s="12" t="s">
        <v>122</v>
      </c>
      <c r="F38" s="4" t="s">
        <v>118</v>
      </c>
      <c r="G38" s="13" t="n">
        <v>46073</v>
      </c>
      <c r="H38" s="4" t="s">
        <v>119</v>
      </c>
      <c r="I38" s="6" t="n">
        <v>100</v>
      </c>
      <c r="J38" s="12" t="str">
        <f aca="false">IF(I38="","Rapport manquant",IF(I38&gt;=85,"CONFORME (≥85%)","NON CONFORME (&lt;85%)"))</f>
        <v>CONFORME (≥85%)</v>
      </c>
      <c r="K38" s="4" t="n">
        <v>12</v>
      </c>
      <c r="L38" s="4" t="n">
        <v>0</v>
      </c>
      <c r="M38" s="4" t="n">
        <v>34</v>
      </c>
    </row>
    <row r="39" customFormat="false" ht="15" hidden="false" customHeight="false" outlineLevel="0" collapsed="false">
      <c r="A39" s="12" t="s">
        <v>5</v>
      </c>
      <c r="B39" s="4" t="n">
        <v>2026</v>
      </c>
      <c r="C39" s="4" t="n">
        <v>9</v>
      </c>
      <c r="D39" s="4" t="str">
        <f aca="false">B39&amp;"-S"&amp;TEXT(C39,"00")</f>
        <v>2026-S09</v>
      </c>
      <c r="E39" s="12" t="s">
        <v>123</v>
      </c>
      <c r="F39" s="4" t="s">
        <v>118</v>
      </c>
      <c r="G39" s="13" t="n">
        <v>46077</v>
      </c>
      <c r="H39" s="4" t="s">
        <v>119</v>
      </c>
      <c r="I39" s="6" t="n">
        <v>100</v>
      </c>
      <c r="J39" s="12" t="str">
        <f aca="false">IF(I39="","Rapport manquant",IF(I39&gt;=85,"CONFORME (≥85%)","NON CONFORME (&lt;85%)"))</f>
        <v>CONFORME (≥85%)</v>
      </c>
      <c r="K39" s="4" t="n">
        <v>15</v>
      </c>
      <c r="L39" s="4" t="n">
        <v>0</v>
      </c>
      <c r="M39" s="4" t="n">
        <v>31</v>
      </c>
    </row>
    <row r="40" customFormat="false" ht="15" hidden="false" customHeight="false" outlineLevel="0" collapsed="false">
      <c r="A40" s="12" t="s">
        <v>6</v>
      </c>
      <c r="B40" s="4" t="n">
        <v>2026</v>
      </c>
      <c r="C40" s="4" t="n">
        <v>9</v>
      </c>
      <c r="D40" s="4" t="str">
        <f aca="false">B40&amp;"-S"&amp;TEXT(C40,"00")</f>
        <v>2026-S09</v>
      </c>
      <c r="E40" s="12" t="s">
        <v>124</v>
      </c>
      <c r="F40" s="4" t="s">
        <v>118</v>
      </c>
      <c r="G40" s="13" t="n">
        <v>46078</v>
      </c>
      <c r="H40" s="4" t="s">
        <v>119</v>
      </c>
      <c r="I40" s="6" t="n">
        <v>100</v>
      </c>
      <c r="J40" s="12" t="str">
        <f aca="false">IF(I40="","Rapport manquant",IF(I40&gt;=85,"CONFORME (≥85%)","NON CONFORME (&lt;85%)"))</f>
        <v>CONFORME (≥85%)</v>
      </c>
      <c r="K40" s="4" t="n">
        <v>14</v>
      </c>
      <c r="L40" s="4" t="n">
        <v>0</v>
      </c>
      <c r="M40" s="4" t="n">
        <v>30</v>
      </c>
    </row>
    <row r="41" customFormat="false" ht="15" hidden="false" customHeight="false" outlineLevel="0" collapsed="false">
      <c r="A41" s="12" t="s">
        <v>7</v>
      </c>
      <c r="B41" s="4" t="n">
        <v>2026</v>
      </c>
      <c r="C41" s="4" t="n">
        <v>9</v>
      </c>
      <c r="D41" s="4" t="str">
        <f aca="false">B41&amp;"-S"&amp;TEXT(C41,"00")</f>
        <v>2026-S09</v>
      </c>
      <c r="E41" s="12" t="s">
        <v>125</v>
      </c>
      <c r="F41" s="4" t="s">
        <v>118</v>
      </c>
      <c r="G41" s="13" t="n">
        <v>46076</v>
      </c>
      <c r="H41" s="4" t="s">
        <v>119</v>
      </c>
      <c r="I41" s="6" t="n">
        <v>100</v>
      </c>
      <c r="J41" s="12" t="str">
        <f aca="false">IF(I41="","Rapport manquant",IF(I41&gt;=85,"CONFORME (≥85%)","NON CONFORME (&lt;85%)"))</f>
        <v>CONFORME (≥85%)</v>
      </c>
      <c r="K41" s="4" t="n">
        <v>12</v>
      </c>
      <c r="L41" s="4" t="n">
        <v>0</v>
      </c>
      <c r="M41" s="4" t="n">
        <v>28</v>
      </c>
    </row>
    <row r="42" customFormat="false" ht="15" hidden="false" customHeight="false" outlineLevel="0" collapsed="false">
      <c r="A42" s="12" t="s">
        <v>8</v>
      </c>
      <c r="B42" s="4" t="n">
        <v>2026</v>
      </c>
      <c r="C42" s="4" t="n">
        <v>9</v>
      </c>
      <c r="D42" s="4" t="str">
        <f aca="false">B42&amp;"-S"&amp;TEXT(C42,"00")</f>
        <v>2026-S09</v>
      </c>
      <c r="E42" s="12" t="s">
        <v>126</v>
      </c>
      <c r="F42" s="4" t="s">
        <v>118</v>
      </c>
      <c r="G42" s="13" t="n">
        <v>46078</v>
      </c>
      <c r="H42" s="4" t="s">
        <v>119</v>
      </c>
      <c r="I42" s="6" t="n">
        <v>100</v>
      </c>
      <c r="J42" s="12" t="str">
        <f aca="false">IF(I42="","Rapport manquant",IF(I42&gt;=85,"CONFORME (≥85%)","NON CONFORME (&lt;85%)"))</f>
        <v>CONFORME (≥85%)</v>
      </c>
      <c r="K42" s="4" t="n">
        <v>13</v>
      </c>
      <c r="L42" s="4" t="n">
        <v>0</v>
      </c>
      <c r="M42" s="4" t="n">
        <v>33</v>
      </c>
    </row>
    <row r="43" customFormat="false" ht="15" hidden="false" customHeight="false" outlineLevel="0" collapsed="false">
      <c r="A43" s="12" t="s">
        <v>5</v>
      </c>
      <c r="B43" s="4" t="n">
        <v>2026</v>
      </c>
      <c r="C43" s="4" t="n">
        <v>10</v>
      </c>
      <c r="D43" s="4" t="str">
        <f aca="false">B43&amp;"-S"&amp;TEXT(C43,"00")</f>
        <v>2026-S10</v>
      </c>
      <c r="E43" s="12" t="s">
        <v>127</v>
      </c>
      <c r="F43" s="4" t="s">
        <v>118</v>
      </c>
      <c r="G43" s="13" t="n">
        <v>46084</v>
      </c>
      <c r="H43" s="4" t="s">
        <v>119</v>
      </c>
      <c r="I43" s="6" t="n">
        <v>93.3</v>
      </c>
      <c r="J43" s="12" t="str">
        <f aca="false">IF(I43="","Rapport manquant",IF(I43&gt;=85,"CONFORME (≥85%)","NON CONFORME (&lt;85%)"))</f>
        <v>CONFORME (≥85%)</v>
      </c>
      <c r="K43" s="4" t="n">
        <v>14</v>
      </c>
      <c r="L43" s="4" t="n">
        <v>1</v>
      </c>
      <c r="M43" s="4" t="n">
        <v>31</v>
      </c>
    </row>
    <row r="44" customFormat="false" ht="15" hidden="false" customHeight="false" outlineLevel="0" collapsed="false">
      <c r="A44" s="12" t="s">
        <v>6</v>
      </c>
      <c r="B44" s="4" t="n">
        <v>2026</v>
      </c>
      <c r="C44" s="4" t="n">
        <v>10</v>
      </c>
      <c r="D44" s="4" t="str">
        <f aca="false">B44&amp;"-S"&amp;TEXT(C44,"00")</f>
        <v>2026-S10</v>
      </c>
      <c r="E44" s="12" t="s">
        <v>128</v>
      </c>
      <c r="F44" s="4" t="s">
        <v>118</v>
      </c>
      <c r="G44" s="13" t="n">
        <v>46085</v>
      </c>
      <c r="H44" s="4" t="s">
        <v>119</v>
      </c>
      <c r="I44" s="6" t="n">
        <v>100</v>
      </c>
      <c r="J44" s="12" t="str">
        <f aca="false">IF(I44="","Rapport manquant",IF(I44&gt;=85,"CONFORME (≥85%)","NON CONFORME (&lt;85%)"))</f>
        <v>CONFORME (≥85%)</v>
      </c>
      <c r="K44" s="4" t="n">
        <v>16</v>
      </c>
      <c r="L44" s="4" t="n">
        <v>0</v>
      </c>
      <c r="M44" s="4" t="n">
        <v>30</v>
      </c>
    </row>
    <row r="45" customFormat="false" ht="15" hidden="false" customHeight="false" outlineLevel="0" collapsed="false">
      <c r="A45" s="12" t="s">
        <v>7</v>
      </c>
      <c r="B45" s="4" t="n">
        <v>2026</v>
      </c>
      <c r="C45" s="4" t="n">
        <v>10</v>
      </c>
      <c r="D45" s="4" t="str">
        <f aca="false">B45&amp;"-S"&amp;TEXT(C45,"00")</f>
        <v>2026-S10</v>
      </c>
      <c r="E45" s="12" t="s">
        <v>129</v>
      </c>
      <c r="F45" s="4" t="s">
        <v>118</v>
      </c>
      <c r="G45" s="13" t="n">
        <v>46084</v>
      </c>
      <c r="H45" s="4" t="s">
        <v>119</v>
      </c>
      <c r="I45" s="6" t="n">
        <v>100</v>
      </c>
      <c r="J45" s="12" t="str">
        <f aca="false">IF(I45="","Rapport manquant",IF(I45&gt;=85,"CONFORME (≥85%)","NON CONFORME (&lt;85%)"))</f>
        <v>CONFORME (≥85%)</v>
      </c>
      <c r="K45" s="4" t="n">
        <v>15</v>
      </c>
      <c r="L45" s="4" t="n">
        <v>0</v>
      </c>
      <c r="M45" s="4" t="n">
        <v>31</v>
      </c>
    </row>
    <row r="46" customFormat="false" ht="15" hidden="false" customHeight="false" outlineLevel="0" collapsed="false">
      <c r="A46" s="12" t="s">
        <v>8</v>
      </c>
      <c r="B46" s="4" t="n">
        <v>2026</v>
      </c>
      <c r="C46" s="4" t="n">
        <v>10</v>
      </c>
      <c r="D46" s="4" t="str">
        <f aca="false">B46&amp;"-S"&amp;TEXT(C46,"00")</f>
        <v>2026-S10</v>
      </c>
      <c r="E46" s="12" t="s">
        <v>130</v>
      </c>
      <c r="F46" s="4" t="s">
        <v>118</v>
      </c>
      <c r="G46" s="13" t="n">
        <v>46086</v>
      </c>
      <c r="H46" s="4" t="s">
        <v>119</v>
      </c>
      <c r="I46" s="6" t="n">
        <v>100</v>
      </c>
      <c r="J46" s="12" t="str">
        <f aca="false">IF(I46="","Rapport manquant",IF(I46&gt;=85,"CONFORME (≥85%)","NON CONFORME (&lt;85%)"))</f>
        <v>CONFORME (≥85%)</v>
      </c>
      <c r="K46" s="4" t="n">
        <v>13</v>
      </c>
      <c r="L46" s="4" t="n">
        <v>0</v>
      </c>
      <c r="M46" s="4" t="n">
        <v>33</v>
      </c>
    </row>
    <row r="47" customFormat="false" ht="15" hidden="false" customHeight="false" outlineLevel="0" collapsed="false">
      <c r="A47" s="12" t="s">
        <v>5</v>
      </c>
      <c r="B47" s="4" t="n">
        <v>2026</v>
      </c>
      <c r="C47" s="4" t="n">
        <v>11</v>
      </c>
      <c r="D47" s="4" t="str">
        <f aca="false">B47&amp;"-S"&amp;TEXT(C47,"00")</f>
        <v>2026-S11</v>
      </c>
      <c r="E47" s="12" t="s">
        <v>131</v>
      </c>
      <c r="F47" s="4" t="s">
        <v>118</v>
      </c>
      <c r="G47" s="13" t="n">
        <v>46094</v>
      </c>
      <c r="H47" s="4" t="s">
        <v>119</v>
      </c>
      <c r="I47" s="6" t="n">
        <v>100</v>
      </c>
      <c r="J47" s="12" t="str">
        <f aca="false">IF(I47="","Rapport manquant",IF(I47&gt;=85,"CONFORME (≥85%)","NON CONFORME (&lt;85%)"))</f>
        <v>CONFORME (≥85%)</v>
      </c>
      <c r="K47" s="4" t="n">
        <v>14</v>
      </c>
      <c r="L47" s="4" t="n">
        <v>0</v>
      </c>
      <c r="M47" s="4" t="n">
        <v>32</v>
      </c>
    </row>
    <row r="48" customFormat="false" ht="15" hidden="false" customHeight="false" outlineLevel="0" collapsed="false">
      <c r="A48" s="12" t="s">
        <v>6</v>
      </c>
      <c r="B48" s="4" t="n">
        <v>2026</v>
      </c>
      <c r="C48" s="4" t="n">
        <v>11</v>
      </c>
      <c r="D48" s="4" t="str">
        <f aca="false">B48&amp;"-S"&amp;TEXT(C48,"00")</f>
        <v>2026-S11</v>
      </c>
      <c r="E48" s="12" t="s">
        <v>132</v>
      </c>
      <c r="F48" s="4" t="s">
        <v>118</v>
      </c>
      <c r="G48" s="13" t="n">
        <v>46093</v>
      </c>
      <c r="H48" s="4" t="s">
        <v>119</v>
      </c>
      <c r="I48" s="6" t="n">
        <v>100</v>
      </c>
      <c r="J48" s="12" t="str">
        <f aca="false">IF(I48="","Rapport manquant",IF(I48&gt;=85,"CONFORME (≥85%)","NON CONFORME (&lt;85%)"))</f>
        <v>CONFORME (≥85%)</v>
      </c>
      <c r="K48" s="4" t="n">
        <v>10</v>
      </c>
      <c r="L48" s="4" t="n">
        <v>0</v>
      </c>
      <c r="M48" s="4" t="n">
        <v>36</v>
      </c>
    </row>
    <row r="49" customFormat="false" ht="15" hidden="false" customHeight="false" outlineLevel="0" collapsed="false">
      <c r="A49" s="12" t="s">
        <v>7</v>
      </c>
      <c r="B49" s="4" t="n">
        <v>2026</v>
      </c>
      <c r="C49" s="4" t="n">
        <v>11</v>
      </c>
      <c r="D49" s="4" t="str">
        <f aca="false">B49&amp;"-S"&amp;TEXT(C49,"00")</f>
        <v>2026-S11</v>
      </c>
      <c r="E49" s="12" t="s">
        <v>133</v>
      </c>
      <c r="F49" s="4" t="s">
        <v>118</v>
      </c>
      <c r="G49" s="13"/>
      <c r="H49" s="4" t="s">
        <v>134</v>
      </c>
      <c r="I49" s="6"/>
      <c r="J49" s="12" t="str">
        <f aca="false">IF(I49="","Rapport manquant",IF(I49&gt;=85,"CONFORME (≥85%)","NON CONFORME (&lt;85%)"))</f>
        <v>Rapport manquant</v>
      </c>
      <c r="K49" s="4"/>
      <c r="L49" s="4"/>
      <c r="M49" s="4"/>
    </row>
    <row r="50" customFormat="false" ht="15" hidden="false" customHeight="false" outlineLevel="0" collapsed="false">
      <c r="A50" s="12" t="s">
        <v>8</v>
      </c>
      <c r="B50" s="4" t="n">
        <v>2026</v>
      </c>
      <c r="C50" s="4" t="n">
        <v>11</v>
      </c>
      <c r="D50" s="4" t="str">
        <f aca="false">B50&amp;"-S"&amp;TEXT(C50,"00")</f>
        <v>2026-S11</v>
      </c>
      <c r="E50" s="12" t="s">
        <v>135</v>
      </c>
      <c r="F50" s="4" t="s">
        <v>118</v>
      </c>
      <c r="G50" s="13"/>
      <c r="H50" s="4" t="s">
        <v>134</v>
      </c>
      <c r="I50" s="6"/>
      <c r="J50" s="12" t="str">
        <f aca="false">IF(I50="","Rapport manquant",IF(I50&gt;=85,"CONFORME (≥85%)","NON CONFORME (&lt;85%)"))</f>
        <v>Rapport manquant</v>
      </c>
      <c r="K50" s="4"/>
      <c r="L50" s="4"/>
      <c r="M50" s="4"/>
    </row>
    <row r="51" customFormat="false" ht="15" hidden="false" customHeight="false" outlineLevel="0" collapsed="false">
      <c r="A51" s="12" t="s">
        <v>5</v>
      </c>
      <c r="B51" s="4" t="n">
        <v>2026</v>
      </c>
      <c r="C51" s="4" t="n">
        <v>12</v>
      </c>
      <c r="D51" s="4" t="str">
        <f aca="false">B51&amp;"-S"&amp;TEXT(C51,"00")</f>
        <v>2026-S12</v>
      </c>
      <c r="E51" s="12" t="s">
        <v>136</v>
      </c>
      <c r="F51" s="4" t="s">
        <v>118</v>
      </c>
      <c r="G51" s="13" t="n">
        <v>46100</v>
      </c>
      <c r="H51" s="4" t="s">
        <v>119</v>
      </c>
      <c r="I51" s="6" t="n">
        <v>100</v>
      </c>
      <c r="J51" s="12" t="str">
        <f aca="false">IF(I51="","Rapport manquant",IF(I51&gt;=85,"CONFORME (≥85%)","NON CONFORME (&lt;85%)"))</f>
        <v>CONFORME (≥85%)</v>
      </c>
      <c r="K51" s="4" t="n">
        <v>18</v>
      </c>
      <c r="L51" s="4" t="n">
        <v>0</v>
      </c>
      <c r="M51" s="4" t="n">
        <v>28</v>
      </c>
    </row>
    <row r="52" customFormat="false" ht="15" hidden="false" customHeight="false" outlineLevel="0" collapsed="false">
      <c r="A52" s="12" t="s">
        <v>6</v>
      </c>
      <c r="B52" s="4" t="n">
        <v>2026</v>
      </c>
      <c r="C52" s="4" t="n">
        <v>12</v>
      </c>
      <c r="D52" s="4" t="str">
        <f aca="false">B52&amp;"-S"&amp;TEXT(C52,"00")</f>
        <v>2026-S12</v>
      </c>
      <c r="E52" s="12" t="s">
        <v>137</v>
      </c>
      <c r="F52" s="4" t="s">
        <v>118</v>
      </c>
      <c r="G52" s="13" t="n">
        <v>46100</v>
      </c>
      <c r="H52" s="4" t="s">
        <v>119</v>
      </c>
      <c r="I52" s="6" t="n">
        <v>100</v>
      </c>
      <c r="J52" s="12" t="str">
        <f aca="false">IF(I52="","Rapport manquant",IF(I52&gt;=85,"CONFORME (≥85%)","NON CONFORME (&lt;85%)"))</f>
        <v>CONFORME (≥85%)</v>
      </c>
      <c r="K52" s="4" t="n">
        <v>14</v>
      </c>
      <c r="L52" s="4" t="n">
        <v>0</v>
      </c>
      <c r="M52" s="4" t="n">
        <v>32</v>
      </c>
    </row>
    <row r="53" customFormat="false" ht="15" hidden="false" customHeight="false" outlineLevel="0" collapsed="false">
      <c r="A53" s="12" t="s">
        <v>8</v>
      </c>
      <c r="B53" s="4" t="n">
        <v>2026</v>
      </c>
      <c r="C53" s="4" t="n">
        <v>12</v>
      </c>
      <c r="D53" s="4" t="str">
        <f aca="false">B53&amp;"-S"&amp;TEXT(C53,"00")</f>
        <v>2026-S12</v>
      </c>
      <c r="E53" s="12" t="s">
        <v>138</v>
      </c>
      <c r="F53" s="4" t="s">
        <v>118</v>
      </c>
      <c r="G53" s="13" t="n">
        <v>46100</v>
      </c>
      <c r="H53" s="4" t="s">
        <v>119</v>
      </c>
      <c r="I53" s="6" t="n">
        <v>100</v>
      </c>
      <c r="J53" s="12" t="str">
        <f aca="false">IF(I53="","Rapport manquant",IF(I53&gt;=85,"CONFORME (≥85%)","NON CONFORME (&lt;85%)"))</f>
        <v>CONFORME (≥85%)</v>
      </c>
      <c r="K53" s="4" t="n">
        <v>13</v>
      </c>
      <c r="L53" s="4" t="n">
        <v>0</v>
      </c>
      <c r="M53" s="4" t="n">
        <v>33</v>
      </c>
    </row>
    <row r="54" customFormat="false" ht="15" hidden="false" customHeight="false" outlineLevel="0" collapsed="false">
      <c r="A54" s="12" t="s">
        <v>5</v>
      </c>
      <c r="B54" s="4" t="n">
        <v>2026</v>
      </c>
      <c r="C54" s="4" t="n">
        <v>16</v>
      </c>
      <c r="D54" s="4" t="str">
        <f aca="false">B54&amp;"-S"&amp;TEXT(C54,"00")</f>
        <v>2026-S16</v>
      </c>
      <c r="E54" s="12" t="s">
        <v>139</v>
      </c>
      <c r="F54" s="4" t="s">
        <v>83</v>
      </c>
      <c r="G54" s="13"/>
      <c r="H54" s="4" t="s">
        <v>134</v>
      </c>
      <c r="I54" s="6"/>
      <c r="J54" s="12" t="str">
        <f aca="false">IF(I54="","Rapport manquant",IF(I54&gt;=85,"CONFORME (≥85%)","NON CONFORME (&lt;85%)"))</f>
        <v>Rapport manquant</v>
      </c>
      <c r="K54" s="4"/>
      <c r="L54" s="4"/>
      <c r="M54" s="4"/>
    </row>
    <row r="55" customFormat="false" ht="15" hidden="false" customHeight="false" outlineLevel="0" collapsed="false">
      <c r="A55" s="12" t="s">
        <v>6</v>
      </c>
      <c r="B55" s="4" t="n">
        <v>2026</v>
      </c>
      <c r="C55" s="4" t="n">
        <v>16</v>
      </c>
      <c r="D55" s="4" t="str">
        <f aca="false">B55&amp;"-S"&amp;TEXT(C55,"00")</f>
        <v>2026-S16</v>
      </c>
      <c r="E55" s="12" t="s">
        <v>140</v>
      </c>
      <c r="F55" s="4" t="s">
        <v>83</v>
      </c>
      <c r="G55" s="13" t="n">
        <v>46129</v>
      </c>
      <c r="H55" s="4" t="s">
        <v>119</v>
      </c>
      <c r="I55" s="6" t="n">
        <v>100</v>
      </c>
      <c r="J55" s="12" t="str">
        <f aca="false">IF(I55="","Rapport manquant",IF(I55&gt;=85,"CONFORME (≥85%)","NON CONFORME (&lt;85%)"))</f>
        <v>CONFORME (≥85%)</v>
      </c>
      <c r="K55" s="4" t="n">
        <v>20</v>
      </c>
      <c r="L55" s="4" t="n">
        <v>0</v>
      </c>
      <c r="M55" s="4" t="n">
        <v>26</v>
      </c>
    </row>
    <row r="56" customFormat="false" ht="15" hidden="false" customHeight="false" outlineLevel="0" collapsed="false">
      <c r="A56" s="12" t="s">
        <v>7</v>
      </c>
      <c r="B56" s="4" t="n">
        <v>2026</v>
      </c>
      <c r="C56" s="4" t="n">
        <v>16</v>
      </c>
      <c r="D56" s="4" t="str">
        <f aca="false">B56&amp;"-S"&amp;TEXT(C56,"00")</f>
        <v>2026-S16</v>
      </c>
      <c r="E56" s="12" t="s">
        <v>141</v>
      </c>
      <c r="F56" s="4" t="s">
        <v>83</v>
      </c>
      <c r="G56" s="13" t="n">
        <v>46129</v>
      </c>
      <c r="H56" s="4" t="s">
        <v>119</v>
      </c>
      <c r="I56" s="6" t="n">
        <v>100</v>
      </c>
      <c r="J56" s="12" t="str">
        <f aca="false">IF(I56="","Rapport manquant",IF(I56&gt;=85,"CONFORME (≥85%)","NON CONFORME (&lt;85%)"))</f>
        <v>CONFORME (≥85%)</v>
      </c>
      <c r="K56" s="4" t="n">
        <v>17</v>
      </c>
      <c r="L56" s="4" t="n">
        <v>0</v>
      </c>
      <c r="M56" s="4" t="n">
        <v>29</v>
      </c>
    </row>
    <row r="57" customFormat="false" ht="15" hidden="false" customHeight="false" outlineLevel="0" collapsed="false">
      <c r="A57" s="12" t="s">
        <v>8</v>
      </c>
      <c r="B57" s="4" t="n">
        <v>2026</v>
      </c>
      <c r="C57" s="4" t="n">
        <v>16</v>
      </c>
      <c r="D57" s="4" t="str">
        <f aca="false">B57&amp;"-S"&amp;TEXT(C57,"00")</f>
        <v>2026-S16</v>
      </c>
      <c r="E57" s="12" t="s">
        <v>142</v>
      </c>
      <c r="F57" s="4" t="s">
        <v>83</v>
      </c>
      <c r="G57" s="13" t="n">
        <v>46129</v>
      </c>
      <c r="H57" s="4" t="s">
        <v>119</v>
      </c>
      <c r="I57" s="6" t="n">
        <v>100</v>
      </c>
      <c r="J57" s="12" t="str">
        <f aca="false">IF(I57="","Rapport manquant",IF(I57&gt;=85,"CONFORME (≥85%)","NON CONFORME (&lt;85%)"))</f>
        <v>CONFORME (≥85%)</v>
      </c>
      <c r="K57" s="4" t="n">
        <v>15</v>
      </c>
      <c r="L57" s="4" t="n">
        <v>0</v>
      </c>
      <c r="M57" s="4" t="n">
        <v>31</v>
      </c>
    </row>
    <row r="58" customFormat="false" ht="15" hidden="false" customHeight="false" outlineLevel="0" collapsed="false">
      <c r="A58" s="12" t="s">
        <v>6</v>
      </c>
      <c r="B58" s="4" t="n">
        <v>2026</v>
      </c>
      <c r="C58" s="4" t="n">
        <v>17</v>
      </c>
      <c r="D58" s="4" t="str">
        <f aca="false">B58&amp;"-S"&amp;TEXT(C58,"00")</f>
        <v>2026-S17</v>
      </c>
      <c r="E58" s="12" t="s">
        <v>143</v>
      </c>
      <c r="F58" s="4" t="s">
        <v>83</v>
      </c>
      <c r="G58" s="13" t="n">
        <v>46135</v>
      </c>
      <c r="H58" s="4" t="s">
        <v>119</v>
      </c>
      <c r="I58" s="6" t="n">
        <v>100</v>
      </c>
      <c r="J58" s="12" t="str">
        <f aca="false">IF(I58="","Rapport manquant",IF(I58&gt;=85,"CONFORME (≥85%)","NON CONFORME (&lt;85%)"))</f>
        <v>CONFORME (≥85%)</v>
      </c>
      <c r="K58" s="4" t="n">
        <v>18</v>
      </c>
      <c r="L58" s="4" t="n">
        <v>0</v>
      </c>
      <c r="M58" s="4" t="n">
        <v>28</v>
      </c>
    </row>
    <row r="59" customFormat="false" ht="15" hidden="false" customHeight="false" outlineLevel="0" collapsed="false">
      <c r="A59" s="12" t="s">
        <v>7</v>
      </c>
      <c r="B59" s="4" t="n">
        <v>2026</v>
      </c>
      <c r="C59" s="4" t="n">
        <v>17</v>
      </c>
      <c r="D59" s="4" t="str">
        <f aca="false">B59&amp;"-S"&amp;TEXT(C59,"00")</f>
        <v>2026-S17</v>
      </c>
      <c r="E59" s="12" t="s">
        <v>144</v>
      </c>
      <c r="F59" s="4" t="s">
        <v>83</v>
      </c>
      <c r="G59" s="13" t="n">
        <v>46136</v>
      </c>
      <c r="H59" s="4" t="s">
        <v>119</v>
      </c>
      <c r="I59" s="6" t="n">
        <v>100</v>
      </c>
      <c r="J59" s="12" t="str">
        <f aca="false">IF(I59="","Rapport manquant",IF(I59&gt;=85,"CONFORME (≥85%)","NON CONFORME (&lt;85%)"))</f>
        <v>CONFORME (≥85%)</v>
      </c>
      <c r="K59" s="4" t="n">
        <v>13</v>
      </c>
      <c r="L59" s="4" t="n">
        <v>0</v>
      </c>
      <c r="M59" s="4" t="n">
        <v>33</v>
      </c>
    </row>
    <row r="60" customFormat="false" ht="15" hidden="false" customHeight="false" outlineLevel="0" collapsed="false">
      <c r="A60" s="12" t="s">
        <v>8</v>
      </c>
      <c r="B60" s="4" t="n">
        <v>2026</v>
      </c>
      <c r="C60" s="4" t="n">
        <v>17</v>
      </c>
      <c r="D60" s="4" t="str">
        <f aca="false">B60&amp;"-S"&amp;TEXT(C60,"00")</f>
        <v>2026-S17</v>
      </c>
      <c r="E60" s="12" t="s">
        <v>145</v>
      </c>
      <c r="F60" s="4" t="s">
        <v>83</v>
      </c>
      <c r="G60" s="13" t="n">
        <v>46136</v>
      </c>
      <c r="H60" s="4" t="s">
        <v>119</v>
      </c>
      <c r="I60" s="6" t="n">
        <v>100</v>
      </c>
      <c r="J60" s="12" t="str">
        <f aca="false">IF(I60="","Rapport manquant",IF(I60&gt;=85,"CONFORME (≥85%)","NON CONFORME (&lt;85%)"))</f>
        <v>CONFORME (≥85%)</v>
      </c>
      <c r="K60" s="4" t="n">
        <v>16</v>
      </c>
      <c r="L60" s="4" t="n">
        <v>0</v>
      </c>
      <c r="M60" s="4" t="n">
        <v>30</v>
      </c>
    </row>
    <row r="61" customFormat="false" ht="15" hidden="false" customHeight="false" outlineLevel="0" collapsed="false">
      <c r="A61" s="12" t="s">
        <v>6</v>
      </c>
      <c r="B61" s="4" t="n">
        <v>2026</v>
      </c>
      <c r="C61" s="4" t="n">
        <v>18</v>
      </c>
      <c r="D61" s="4" t="str">
        <f aca="false">B61&amp;"-S"&amp;TEXT(C61,"00")</f>
        <v>2026-S18</v>
      </c>
      <c r="E61" s="12" t="s">
        <v>146</v>
      </c>
      <c r="F61" s="4" t="s">
        <v>83</v>
      </c>
      <c r="G61" s="13" t="n">
        <v>46143</v>
      </c>
      <c r="H61" s="4" t="s">
        <v>119</v>
      </c>
      <c r="I61" s="6" t="n">
        <v>100</v>
      </c>
      <c r="J61" s="12" t="str">
        <f aca="false">IF(I61="","Rapport manquant",IF(I61&gt;=85,"CONFORME (≥85%)","NON CONFORME (&lt;85%)"))</f>
        <v>CONFORME (≥85%)</v>
      </c>
      <c r="K61" s="4" t="n">
        <v>19</v>
      </c>
      <c r="L61" s="4" t="n">
        <v>0</v>
      </c>
      <c r="M61" s="4" t="n">
        <v>27</v>
      </c>
    </row>
    <row r="62" customFormat="false" ht="15" hidden="false" customHeight="false" outlineLevel="0" collapsed="false">
      <c r="A62" s="12" t="s">
        <v>7</v>
      </c>
      <c r="B62" s="4" t="n">
        <v>2026</v>
      </c>
      <c r="C62" s="4" t="n">
        <v>18</v>
      </c>
      <c r="D62" s="4" t="str">
        <f aca="false">B62&amp;"-S"&amp;TEXT(C62,"00")</f>
        <v>2026-S18</v>
      </c>
      <c r="E62" s="12" t="s">
        <v>147</v>
      </c>
      <c r="F62" s="4" t="s">
        <v>83</v>
      </c>
      <c r="G62" s="13" t="n">
        <v>46143</v>
      </c>
      <c r="H62" s="4" t="s">
        <v>119</v>
      </c>
      <c r="I62" s="6" t="n">
        <v>100</v>
      </c>
      <c r="J62" s="12" t="str">
        <f aca="false">IF(I62="","Rapport manquant",IF(I62&gt;=85,"CONFORME (≥85%)","NON CONFORME (&lt;85%)"))</f>
        <v>CONFORME (≥85%)</v>
      </c>
      <c r="K62" s="4" t="n">
        <v>13</v>
      </c>
      <c r="L62" s="4" t="n">
        <v>0</v>
      </c>
      <c r="M62" s="4" t="n">
        <v>33</v>
      </c>
    </row>
    <row r="63" customFormat="false" ht="15" hidden="false" customHeight="false" outlineLevel="0" collapsed="false">
      <c r="A63" s="12" t="s">
        <v>8</v>
      </c>
      <c r="B63" s="4" t="n">
        <v>2026</v>
      </c>
      <c r="C63" s="4" t="n">
        <v>18</v>
      </c>
      <c r="D63" s="4" t="str">
        <f aca="false">B63&amp;"-S"&amp;TEXT(C63,"00")</f>
        <v>2026-S18</v>
      </c>
      <c r="E63" s="12" t="s">
        <v>148</v>
      </c>
      <c r="F63" s="4" t="s">
        <v>83</v>
      </c>
      <c r="G63" s="13" t="n">
        <v>46142</v>
      </c>
      <c r="H63" s="4" t="s">
        <v>119</v>
      </c>
      <c r="I63" s="6" t="n">
        <v>100</v>
      </c>
      <c r="J63" s="12" t="str">
        <f aca="false">IF(I63="","Rapport manquant",IF(I63&gt;=85,"CONFORME (≥85%)","NON CONFORME (&lt;85%)"))</f>
        <v>CONFORME (≥85%)</v>
      </c>
      <c r="K63" s="4" t="n">
        <v>16</v>
      </c>
      <c r="L63" s="4" t="n">
        <v>0</v>
      </c>
      <c r="M63" s="4" t="n">
        <v>30</v>
      </c>
    </row>
    <row r="64" customFormat="false" ht="15" hidden="false" customHeight="false" outlineLevel="0" collapsed="false">
      <c r="A64" s="12" t="s">
        <v>6</v>
      </c>
      <c r="B64" s="4" t="n">
        <v>2026</v>
      </c>
      <c r="C64" s="4" t="n">
        <v>19</v>
      </c>
      <c r="D64" s="4" t="str">
        <f aca="false">B64&amp;"-S"&amp;TEXT(C64,"00")</f>
        <v>2026-S19</v>
      </c>
      <c r="E64" s="12" t="s">
        <v>149</v>
      </c>
      <c r="F64" s="4" t="s">
        <v>83</v>
      </c>
      <c r="G64" s="13" t="n">
        <v>46146</v>
      </c>
      <c r="H64" s="4" t="s">
        <v>119</v>
      </c>
      <c r="I64" s="6" t="n">
        <v>100</v>
      </c>
      <c r="J64" s="12" t="str">
        <f aca="false">IF(I64="","Rapport manquant",IF(I64&gt;=85,"CONFORME (≥85%)","NON CONFORME (&lt;85%)"))</f>
        <v>CONFORME (≥85%)</v>
      </c>
      <c r="K64" s="4" t="n">
        <v>16</v>
      </c>
      <c r="L64" s="4" t="n">
        <v>0</v>
      </c>
      <c r="M64" s="4" t="n">
        <v>30</v>
      </c>
    </row>
    <row r="65" customFormat="false" ht="15" hidden="false" customHeight="false" outlineLevel="0" collapsed="false">
      <c r="A65" s="12" t="s">
        <v>7</v>
      </c>
      <c r="B65" s="4" t="n">
        <v>2026</v>
      </c>
      <c r="C65" s="4" t="n">
        <v>19</v>
      </c>
      <c r="D65" s="4" t="str">
        <f aca="false">B65&amp;"-S"&amp;TEXT(C65,"00")</f>
        <v>2026-S19</v>
      </c>
      <c r="E65" s="12" t="s">
        <v>150</v>
      </c>
      <c r="F65" s="4" t="s">
        <v>83</v>
      </c>
      <c r="G65" s="13" t="n">
        <v>46146</v>
      </c>
      <c r="H65" s="4" t="s">
        <v>119</v>
      </c>
      <c r="I65" s="6" t="n">
        <v>100</v>
      </c>
      <c r="J65" s="12" t="str">
        <f aca="false">IF(I65="","Rapport manquant",IF(I65&gt;=85,"CONFORME (≥85%)","NON CONFORME (&lt;85%)"))</f>
        <v>CONFORME (≥85%)</v>
      </c>
      <c r="K65" s="4" t="n">
        <v>13</v>
      </c>
      <c r="L65" s="4" t="n">
        <v>0</v>
      </c>
      <c r="M65" s="4" t="n">
        <v>33</v>
      </c>
    </row>
    <row r="66" customFormat="false" ht="15" hidden="false" customHeight="false" outlineLevel="0" collapsed="false">
      <c r="A66" s="12" t="s">
        <v>8</v>
      </c>
      <c r="B66" s="4" t="n">
        <v>2026</v>
      </c>
      <c r="C66" s="4" t="n">
        <v>19</v>
      </c>
      <c r="D66" s="4" t="str">
        <f aca="false">B66&amp;"-S"&amp;TEXT(C66,"00")</f>
        <v>2026-S19</v>
      </c>
      <c r="E66" s="12" t="s">
        <v>151</v>
      </c>
      <c r="F66" s="4" t="s">
        <v>83</v>
      </c>
      <c r="G66" s="13" t="n">
        <v>46146</v>
      </c>
      <c r="H66" s="4" t="s">
        <v>119</v>
      </c>
      <c r="I66" s="6" t="n">
        <v>100</v>
      </c>
      <c r="J66" s="12" t="str">
        <f aca="false">IF(I66="","Rapport manquant",IF(I66&gt;=85,"CONFORME (≥85%)","NON CONFORME (&lt;85%)"))</f>
        <v>CONFORME (≥85%)</v>
      </c>
      <c r="K66" s="4" t="n">
        <v>16</v>
      </c>
      <c r="L66" s="4" t="n">
        <v>0</v>
      </c>
      <c r="M66" s="4" t="n">
        <v>30</v>
      </c>
    </row>
    <row r="67" customFormat="false" ht="15" hidden="false" customHeight="false" outlineLevel="0" collapsed="false">
      <c r="A67" s="12" t="s">
        <v>6</v>
      </c>
      <c r="B67" s="4" t="n">
        <v>2026</v>
      </c>
      <c r="C67" s="4" t="n">
        <v>20</v>
      </c>
      <c r="D67" s="4" t="str">
        <f aca="false">B67&amp;"-S"&amp;TEXT(C67,"00")</f>
        <v>2026-S20</v>
      </c>
      <c r="E67" s="12" t="s">
        <v>152</v>
      </c>
      <c r="F67" s="4" t="s">
        <v>83</v>
      </c>
      <c r="G67" s="13" t="n">
        <v>46154</v>
      </c>
      <c r="H67" s="4" t="s">
        <v>119</v>
      </c>
      <c r="I67" s="6" t="n">
        <v>100</v>
      </c>
      <c r="J67" s="12" t="str">
        <f aca="false">IF(I67="","Rapport manquant",IF(I67&gt;=85,"CONFORME (≥85%)","NON CONFORME (&lt;85%)"))</f>
        <v>CONFORME (≥85%)</v>
      </c>
      <c r="K67" s="4" t="n">
        <v>19</v>
      </c>
      <c r="L67" s="4" t="n">
        <v>0</v>
      </c>
      <c r="M67" s="4" t="n">
        <v>27</v>
      </c>
    </row>
    <row r="68" customFormat="false" ht="15" hidden="false" customHeight="false" outlineLevel="0" collapsed="false">
      <c r="A68" s="12" t="s">
        <v>7</v>
      </c>
      <c r="B68" s="4" t="n">
        <v>2026</v>
      </c>
      <c r="C68" s="4" t="n">
        <v>20</v>
      </c>
      <c r="D68" s="4" t="str">
        <f aca="false">B68&amp;"-S"&amp;TEXT(C68,"00")</f>
        <v>2026-S20</v>
      </c>
      <c r="E68" s="12" t="s">
        <v>153</v>
      </c>
      <c r="F68" s="4" t="s">
        <v>118</v>
      </c>
      <c r="G68" s="13" t="n">
        <v>46155</v>
      </c>
      <c r="H68" s="4" t="s">
        <v>119</v>
      </c>
      <c r="I68" s="6" t="n">
        <v>100</v>
      </c>
      <c r="J68" s="12" t="str">
        <f aca="false">IF(I68="","Rapport manquant",IF(I68&gt;=85,"CONFORME (≥85%)","NON CONFORME (&lt;85%)"))</f>
        <v>CONFORME (≥85%)</v>
      </c>
      <c r="K68" s="4" t="n">
        <v>17</v>
      </c>
      <c r="L68" s="4" t="n">
        <v>0</v>
      </c>
      <c r="M68" s="4" t="n">
        <v>29</v>
      </c>
    </row>
    <row r="69" customFormat="false" ht="15" hidden="false" customHeight="false" outlineLevel="0" collapsed="false">
      <c r="A69" s="12" t="s">
        <v>8</v>
      </c>
      <c r="B69" s="4" t="n">
        <v>2026</v>
      </c>
      <c r="C69" s="4" t="n">
        <v>20</v>
      </c>
      <c r="D69" s="4" t="str">
        <f aca="false">B69&amp;"-S"&amp;TEXT(C69,"00")</f>
        <v>2026-S20</v>
      </c>
      <c r="E69" s="12" t="s">
        <v>154</v>
      </c>
      <c r="F69" s="4" t="s">
        <v>83</v>
      </c>
      <c r="G69" s="13" t="n">
        <v>46154</v>
      </c>
      <c r="H69" s="4" t="s">
        <v>119</v>
      </c>
      <c r="I69" s="6" t="n">
        <v>100</v>
      </c>
      <c r="J69" s="12" t="str">
        <f aca="false">IF(I69="","Rapport manquant",IF(I69&gt;=85,"CONFORME (≥85%)","NON CONFORME (&lt;85%)"))</f>
        <v>CONFORME (≥85%)</v>
      </c>
      <c r="K69" s="4" t="n">
        <v>16</v>
      </c>
      <c r="L69" s="4" t="n">
        <v>0</v>
      </c>
      <c r="M69" s="4" t="n">
        <v>30</v>
      </c>
    </row>
    <row r="70" customFormat="false" ht="15" hidden="false" customHeight="false" outlineLevel="0" collapsed="false">
      <c r="A70" s="12" t="s">
        <v>6</v>
      </c>
      <c r="B70" s="4" t="n">
        <v>2026</v>
      </c>
      <c r="C70" s="4" t="n">
        <v>21</v>
      </c>
      <c r="D70" s="4" t="str">
        <f aca="false">B70&amp;"-S"&amp;TEXT(C70,"00")</f>
        <v>2026-S21</v>
      </c>
      <c r="E70" s="12" t="s">
        <v>155</v>
      </c>
      <c r="F70" s="4" t="s">
        <v>83</v>
      </c>
      <c r="G70" s="13" t="n">
        <v>46161</v>
      </c>
      <c r="H70" s="4" t="s">
        <v>119</v>
      </c>
      <c r="I70" s="6" t="n">
        <v>100</v>
      </c>
      <c r="J70" s="12" t="str">
        <f aca="false">IF(I70="","Rapport manquant",IF(I70&gt;=85,"CONFORME (≥85%)","NON CONFORME (&lt;85%)"))</f>
        <v>CONFORME (≥85%)</v>
      </c>
      <c r="K70" s="4" t="n">
        <v>12</v>
      </c>
      <c r="L70" s="4" t="n">
        <v>0</v>
      </c>
      <c r="M70" s="4" t="n">
        <v>34</v>
      </c>
    </row>
    <row r="71" customFormat="false" ht="15" hidden="false" customHeight="false" outlineLevel="0" collapsed="false">
      <c r="A71" s="12" t="s">
        <v>7</v>
      </c>
      <c r="B71" s="4" t="n">
        <v>2026</v>
      </c>
      <c r="C71" s="4" t="n">
        <v>21</v>
      </c>
      <c r="D71" s="4" t="str">
        <f aca="false">B71&amp;"-S"&amp;TEXT(C71,"00")</f>
        <v>2026-S21</v>
      </c>
      <c r="E71" s="12" t="s">
        <v>156</v>
      </c>
      <c r="F71" s="4" t="s">
        <v>118</v>
      </c>
      <c r="G71" s="13" t="n">
        <v>46162</v>
      </c>
      <c r="H71" s="4" t="s">
        <v>119</v>
      </c>
      <c r="I71" s="6" t="n">
        <v>100</v>
      </c>
      <c r="J71" s="12" t="str">
        <f aca="false">IF(I71="","Rapport manquant",IF(I71&gt;=85,"CONFORME (≥85%)","NON CONFORME (&lt;85%)"))</f>
        <v>CONFORME (≥85%)</v>
      </c>
      <c r="K71" s="4" t="n">
        <v>17</v>
      </c>
      <c r="L71" s="4" t="n">
        <v>0</v>
      </c>
      <c r="M71" s="4" t="n">
        <v>29</v>
      </c>
    </row>
    <row r="72" customFormat="false" ht="15" hidden="false" customHeight="false" outlineLevel="0" collapsed="false">
      <c r="A72" s="12" t="s">
        <v>8</v>
      </c>
      <c r="B72" s="4" t="n">
        <v>2026</v>
      </c>
      <c r="C72" s="4" t="n">
        <v>21</v>
      </c>
      <c r="D72" s="4" t="str">
        <f aca="false">B72&amp;"-S"&amp;TEXT(C72,"00")</f>
        <v>2026-S21</v>
      </c>
      <c r="E72" s="12" t="s">
        <v>157</v>
      </c>
      <c r="F72" s="4" t="s">
        <v>83</v>
      </c>
      <c r="G72" s="13" t="n">
        <v>46161</v>
      </c>
      <c r="H72" s="4" t="s">
        <v>119</v>
      </c>
      <c r="I72" s="6" t="n">
        <v>100</v>
      </c>
      <c r="J72" s="12" t="str">
        <f aca="false">IF(I72="","Rapport manquant",IF(I72&gt;=85,"CONFORME (≥85%)","NON CONFORME (&lt;85%)"))</f>
        <v>CONFORME (≥85%)</v>
      </c>
      <c r="K72" s="4" t="n">
        <v>16</v>
      </c>
      <c r="L72" s="4" t="n">
        <v>0</v>
      </c>
      <c r="M72" s="4" t="n">
        <v>30</v>
      </c>
    </row>
    <row r="73" customFormat="false" ht="15" hidden="false" customHeight="false" outlineLevel="0" collapsed="false">
      <c r="A73" s="12" t="s">
        <v>6</v>
      </c>
      <c r="B73" s="4" t="n">
        <v>2026</v>
      </c>
      <c r="C73" s="4" t="n">
        <v>22</v>
      </c>
      <c r="D73" s="4" t="str">
        <f aca="false">B73&amp;"-S"&amp;TEXT(C73,"00")</f>
        <v>2026-S22</v>
      </c>
      <c r="E73" s="12" t="s">
        <v>133</v>
      </c>
      <c r="F73" s="4" t="s">
        <v>118</v>
      </c>
      <c r="G73" s="13" t="n">
        <v>46170</v>
      </c>
      <c r="H73" s="4" t="s">
        <v>119</v>
      </c>
      <c r="I73" s="6" t="n">
        <v>100</v>
      </c>
      <c r="J73" s="12" t="str">
        <f aca="false">IF(I73="","Rapport manquant",IF(I73&gt;=85,"CONFORME (≥85%)","NON CONFORME (&lt;85%)"))</f>
        <v>CONFORME (≥85%)</v>
      </c>
      <c r="K73" s="4" t="n">
        <v>16</v>
      </c>
      <c r="L73" s="4" t="n">
        <v>0</v>
      </c>
      <c r="M73" s="4" t="n">
        <v>30</v>
      </c>
    </row>
    <row r="74" customFormat="false" ht="15" hidden="false" customHeight="false" outlineLevel="0" collapsed="false">
      <c r="A74" s="12" t="s">
        <v>7</v>
      </c>
      <c r="B74" s="4" t="n">
        <v>2026</v>
      </c>
      <c r="C74" s="4" t="n">
        <v>22</v>
      </c>
      <c r="D74" s="4" t="str">
        <f aca="false">B74&amp;"-S"&amp;TEXT(C74,"00")</f>
        <v>2026-S22</v>
      </c>
      <c r="E74" s="12" t="s">
        <v>158</v>
      </c>
      <c r="F74" s="4" t="s">
        <v>118</v>
      </c>
      <c r="G74" s="13" t="n">
        <v>46170</v>
      </c>
      <c r="H74" s="4" t="s">
        <v>119</v>
      </c>
      <c r="I74" s="6" t="n">
        <v>100</v>
      </c>
      <c r="J74" s="12" t="str">
        <f aca="false">IF(I74="","Rapport manquant",IF(I74&gt;=85,"CONFORME (≥85%)","NON CONFORME (&lt;85%)"))</f>
        <v>CONFORME (≥85%)</v>
      </c>
      <c r="K74" s="4" t="n">
        <v>9</v>
      </c>
      <c r="L74" s="4" t="n">
        <v>0</v>
      </c>
      <c r="M74" s="4" t="n">
        <v>37</v>
      </c>
    </row>
    <row r="75" customFormat="false" ht="15" hidden="false" customHeight="false" outlineLevel="0" collapsed="false">
      <c r="A75" s="12" t="s">
        <v>6</v>
      </c>
      <c r="B75" s="4" t="n">
        <v>2026</v>
      </c>
      <c r="C75" s="4" t="n">
        <v>23</v>
      </c>
      <c r="D75" s="4" t="str">
        <f aca="false">B75&amp;"-S"&amp;TEXT(C75,"00")</f>
        <v>2026-S23</v>
      </c>
      <c r="E75" s="12" t="s">
        <v>159</v>
      </c>
      <c r="F75" s="4" t="s">
        <v>83</v>
      </c>
      <c r="G75" s="13" t="n">
        <v>46174</v>
      </c>
      <c r="H75" s="4" t="s">
        <v>119</v>
      </c>
      <c r="I75" s="6" t="n">
        <v>100</v>
      </c>
      <c r="J75" s="12" t="str">
        <f aca="false">IF(I75="","Rapport manquant",IF(I75&gt;=85,"CONFORME (≥85%)","NON CONFORME (&lt;85%)"))</f>
        <v>CONFORME (≥85%)</v>
      </c>
      <c r="K75" s="4" t="n">
        <v>13</v>
      </c>
      <c r="L75" s="4" t="n">
        <v>0</v>
      </c>
      <c r="M75" s="4" t="n">
        <v>33</v>
      </c>
    </row>
    <row r="76" customFormat="false" ht="15" hidden="false" customHeight="false" outlineLevel="0" collapsed="false">
      <c r="A76" s="12" t="s">
        <v>7</v>
      </c>
      <c r="B76" s="4" t="n">
        <v>2026</v>
      </c>
      <c r="C76" s="4" t="n">
        <v>23</v>
      </c>
      <c r="D76" s="4" t="str">
        <f aca="false">B76&amp;"-S"&amp;TEXT(C76,"00")</f>
        <v>2026-S23</v>
      </c>
      <c r="E76" s="12" t="s">
        <v>160</v>
      </c>
      <c r="F76" s="4" t="s">
        <v>83</v>
      </c>
      <c r="G76" s="13" t="n">
        <v>46176</v>
      </c>
      <c r="H76" s="4" t="s">
        <v>119</v>
      </c>
      <c r="I76" s="6" t="n">
        <v>100</v>
      </c>
      <c r="J76" s="12" t="str">
        <f aca="false">IF(I76="","Rapport manquant",IF(I76&gt;=85,"CONFORME (≥85%)","NON CONFORME (&lt;85%)"))</f>
        <v>CONFORME (≥85%)</v>
      </c>
      <c r="K76" s="4" t="n">
        <v>13</v>
      </c>
      <c r="L76" s="4" t="n">
        <v>0</v>
      </c>
      <c r="M76" s="4" t="n">
        <v>33</v>
      </c>
    </row>
    <row r="77" customFormat="false" ht="15" hidden="false" customHeight="false" outlineLevel="0" collapsed="false">
      <c r="A77" s="12" t="s">
        <v>8</v>
      </c>
      <c r="B77" s="4" t="n">
        <v>2026</v>
      </c>
      <c r="C77" s="4" t="n">
        <v>23</v>
      </c>
      <c r="D77" s="4" t="str">
        <f aca="false">B77&amp;"-S"&amp;TEXT(C77,"00")</f>
        <v>2026-S23</v>
      </c>
      <c r="E77" s="12" t="s">
        <v>161</v>
      </c>
      <c r="F77" s="4" t="s">
        <v>118</v>
      </c>
      <c r="G77" s="13" t="n">
        <v>46175</v>
      </c>
      <c r="H77" s="4" t="s">
        <v>119</v>
      </c>
      <c r="I77" s="6" t="n">
        <v>100</v>
      </c>
      <c r="J77" s="12" t="str">
        <f aca="false">IF(I77="","Rapport manquant",IF(I77&gt;=85,"CONFORME (≥85%)","NON CONFORME (&lt;85%)"))</f>
        <v>CONFORME (≥85%)</v>
      </c>
      <c r="K77" s="4" t="n">
        <v>13</v>
      </c>
      <c r="L77" s="4" t="n">
        <v>0</v>
      </c>
      <c r="M77" s="4" t="n">
        <v>33</v>
      </c>
    </row>
    <row r="78" customFormat="false" ht="15" hidden="false" customHeight="false" outlineLevel="0" collapsed="false">
      <c r="A78" s="12" t="s">
        <v>6</v>
      </c>
      <c r="B78" s="4" t="n">
        <v>2026</v>
      </c>
      <c r="C78" s="4" t="n">
        <v>24</v>
      </c>
      <c r="D78" s="4" t="str">
        <f aca="false">B78&amp;"-S"&amp;TEXT(C78,"00")</f>
        <v>2026-S24</v>
      </c>
      <c r="E78" s="12" t="s">
        <v>162</v>
      </c>
      <c r="F78" s="4" t="s">
        <v>118</v>
      </c>
      <c r="G78" s="13" t="n">
        <v>46231</v>
      </c>
      <c r="H78" s="4" t="s">
        <v>119</v>
      </c>
      <c r="I78" s="6" t="n">
        <v>100</v>
      </c>
      <c r="J78" s="12" t="str">
        <f aca="false">IF(I78="","Rapport manquant",IF(I78&gt;=85,"CONFORME (≥85%)","NON CONFORME (&lt;85%)"))</f>
        <v>CONFORME (≥85%)</v>
      </c>
      <c r="K78" s="4" t="n">
        <v>14</v>
      </c>
      <c r="L78" s="4" t="n">
        <v>0</v>
      </c>
      <c r="M78" s="4" t="n">
        <v>32</v>
      </c>
    </row>
    <row r="79" customFormat="false" ht="15" hidden="false" customHeight="false" outlineLevel="0" collapsed="false">
      <c r="A79" s="12" t="s">
        <v>7</v>
      </c>
      <c r="B79" s="4" t="n">
        <v>2026</v>
      </c>
      <c r="C79" s="4" t="n">
        <v>24</v>
      </c>
      <c r="D79" s="4" t="str">
        <f aca="false">B79&amp;"-S"&amp;TEXT(C79,"00")</f>
        <v>2026-S24</v>
      </c>
      <c r="E79" s="12" t="s">
        <v>163</v>
      </c>
      <c r="F79" s="4" t="s">
        <v>118</v>
      </c>
      <c r="G79" s="13" t="n">
        <v>46182</v>
      </c>
      <c r="H79" s="4" t="s">
        <v>119</v>
      </c>
      <c r="I79" s="6" t="n">
        <v>100</v>
      </c>
      <c r="J79" s="12" t="str">
        <f aca="false">IF(I79="","Rapport manquant",IF(I79&gt;=85,"CONFORME (≥85%)","NON CONFORME (&lt;85%)"))</f>
        <v>CONFORME (≥85%)</v>
      </c>
      <c r="K79" s="4" t="n">
        <v>13</v>
      </c>
      <c r="L79" s="4" t="n">
        <v>0</v>
      </c>
      <c r="M79" s="4" t="n">
        <v>33</v>
      </c>
    </row>
    <row r="80" customFormat="false" ht="15" hidden="false" customHeight="false" outlineLevel="0" collapsed="false">
      <c r="A80" s="12" t="s">
        <v>8</v>
      </c>
      <c r="B80" s="4" t="n">
        <v>2026</v>
      </c>
      <c r="C80" s="4" t="n">
        <v>24</v>
      </c>
      <c r="D80" s="4" t="str">
        <f aca="false">B80&amp;"-S"&amp;TEXT(C80,"00")</f>
        <v>2026-S24</v>
      </c>
      <c r="E80" s="12" t="s">
        <v>164</v>
      </c>
      <c r="F80" s="4" t="s">
        <v>118</v>
      </c>
      <c r="G80" s="13" t="n">
        <v>46182</v>
      </c>
      <c r="H80" s="4" t="s">
        <v>119</v>
      </c>
      <c r="I80" s="6" t="n">
        <v>92.9</v>
      </c>
      <c r="J80" s="12" t="str">
        <f aca="false">IF(I80="","Rapport manquant",IF(I80&gt;=85,"CONFORME (≥85%)","NON CONFORME (&lt;85%)"))</f>
        <v>CONFORME (≥85%)</v>
      </c>
      <c r="K80" s="4" t="n">
        <v>13</v>
      </c>
      <c r="L80" s="4" t="n">
        <v>1</v>
      </c>
      <c r="M80" s="4" t="n">
        <v>32</v>
      </c>
    </row>
    <row r="81" customFormat="false" ht="15" hidden="false" customHeight="false" outlineLevel="0" collapsed="false">
      <c r="A81" s="12" t="s">
        <v>6</v>
      </c>
      <c r="B81" s="4" t="n">
        <v>2026</v>
      </c>
      <c r="C81" s="4" t="n">
        <v>25</v>
      </c>
      <c r="D81" s="4" t="str">
        <f aca="false">B81&amp;"-S"&amp;TEXT(C81,"00")</f>
        <v>2026-S25</v>
      </c>
      <c r="E81" s="12" t="s">
        <v>165</v>
      </c>
      <c r="F81" s="4" t="s">
        <v>118</v>
      </c>
      <c r="G81" s="13" t="n">
        <v>46231</v>
      </c>
      <c r="H81" s="4" t="s">
        <v>119</v>
      </c>
      <c r="I81" s="6" t="n">
        <v>100</v>
      </c>
      <c r="J81" s="12" t="str">
        <f aca="false">IF(I81="","Rapport manquant",IF(I81&gt;=85,"CONFORME (≥85%)","NON CONFORME (&lt;85%)"))</f>
        <v>CONFORME (≥85%)</v>
      </c>
      <c r="K81" s="4" t="n">
        <v>16</v>
      </c>
      <c r="L81" s="4" t="n">
        <v>0</v>
      </c>
      <c r="M81" s="4" t="n">
        <v>30</v>
      </c>
    </row>
    <row r="82" customFormat="false" ht="15" hidden="false" customHeight="false" outlineLevel="0" collapsed="false">
      <c r="A82" s="12" t="s">
        <v>7</v>
      </c>
      <c r="B82" s="4" t="n">
        <v>2026</v>
      </c>
      <c r="C82" s="4" t="n">
        <v>25</v>
      </c>
      <c r="D82" s="4" t="str">
        <f aca="false">B82&amp;"-S"&amp;TEXT(C82,"00")</f>
        <v>2026-S25</v>
      </c>
      <c r="E82" s="12" t="s">
        <v>166</v>
      </c>
      <c r="F82" s="4" t="s">
        <v>83</v>
      </c>
      <c r="G82" s="13" t="n">
        <v>46189</v>
      </c>
      <c r="H82" s="4" t="s">
        <v>119</v>
      </c>
      <c r="I82" s="6" t="n">
        <v>100</v>
      </c>
      <c r="J82" s="12" t="str">
        <f aca="false">IF(I82="","Rapport manquant",IF(I82&gt;=85,"CONFORME (≥85%)","NON CONFORME (&lt;85%)"))</f>
        <v>CONFORME (≥85%)</v>
      </c>
      <c r="K82" s="4" t="n">
        <v>13</v>
      </c>
      <c r="L82" s="4" t="n">
        <v>0</v>
      </c>
      <c r="M82" s="4" t="n">
        <v>33</v>
      </c>
    </row>
    <row r="83" customFormat="false" ht="15" hidden="false" customHeight="false" outlineLevel="0" collapsed="false">
      <c r="A83" s="12" t="s">
        <v>8</v>
      </c>
      <c r="B83" s="4" t="n">
        <v>2026</v>
      </c>
      <c r="C83" s="4" t="n">
        <v>25</v>
      </c>
      <c r="D83" s="4" t="str">
        <f aca="false">B83&amp;"-S"&amp;TEXT(C83,"00")</f>
        <v>2026-S25</v>
      </c>
      <c r="E83" s="12" t="s">
        <v>167</v>
      </c>
      <c r="F83" s="4" t="s">
        <v>118</v>
      </c>
      <c r="G83" s="13" t="n">
        <v>46189</v>
      </c>
      <c r="H83" s="4" t="s">
        <v>119</v>
      </c>
      <c r="I83" s="6" t="n">
        <v>100</v>
      </c>
      <c r="J83" s="12" t="str">
        <f aca="false">IF(I83="","Rapport manquant",IF(I83&gt;=85,"CONFORME (≥85%)","NON CONFORME (&lt;85%)"))</f>
        <v>CONFORME (≥85%)</v>
      </c>
      <c r="K83" s="4" t="n">
        <v>14</v>
      </c>
      <c r="L83" s="4" t="n">
        <v>0</v>
      </c>
      <c r="M83" s="4" t="n">
        <v>32</v>
      </c>
    </row>
    <row r="84" customFormat="false" ht="15" hidden="false" customHeight="false" outlineLevel="0" collapsed="false">
      <c r="A84" s="12" t="s">
        <v>6</v>
      </c>
      <c r="B84" s="4" t="n">
        <v>2026</v>
      </c>
      <c r="C84" s="4" t="n">
        <v>26</v>
      </c>
      <c r="D84" s="4" t="str">
        <f aca="false">B84&amp;"-S"&amp;TEXT(C84,"00")</f>
        <v>2026-S26</v>
      </c>
      <c r="E84" s="12" t="s">
        <v>168</v>
      </c>
      <c r="F84" s="4" t="s">
        <v>83</v>
      </c>
      <c r="G84" s="13" t="n">
        <v>46195</v>
      </c>
      <c r="H84" s="4" t="s">
        <v>119</v>
      </c>
      <c r="I84" s="6" t="n">
        <v>100</v>
      </c>
      <c r="J84" s="12" t="str">
        <f aca="false">IF(I84="","Rapport manquant",IF(I84&gt;=85,"CONFORME (≥85%)","NON CONFORME (&lt;85%)"))</f>
        <v>CONFORME (≥85%)</v>
      </c>
      <c r="K84" s="4" t="n">
        <v>17</v>
      </c>
      <c r="L84" s="4" t="n">
        <v>0</v>
      </c>
      <c r="M84" s="4" t="n">
        <v>29</v>
      </c>
    </row>
    <row r="85" customFormat="false" ht="15" hidden="false" customHeight="false" outlineLevel="0" collapsed="false">
      <c r="A85" s="12" t="s">
        <v>7</v>
      </c>
      <c r="B85" s="4" t="n">
        <v>2026</v>
      </c>
      <c r="C85" s="4" t="n">
        <v>26</v>
      </c>
      <c r="D85" s="4" t="str">
        <f aca="false">B85&amp;"-S"&amp;TEXT(C85,"00")</f>
        <v>2026-S26</v>
      </c>
      <c r="E85" s="12" t="s">
        <v>169</v>
      </c>
      <c r="F85" s="4" t="s">
        <v>83</v>
      </c>
      <c r="G85" s="13" t="n">
        <v>46196</v>
      </c>
      <c r="H85" s="4" t="s">
        <v>119</v>
      </c>
      <c r="I85" s="6" t="n">
        <v>100</v>
      </c>
      <c r="J85" s="12" t="str">
        <f aca="false">IF(I85="","Rapport manquant",IF(I85&gt;=85,"CONFORME (≥85%)","NON CONFORME (&lt;85%)"))</f>
        <v>CONFORME (≥85%)</v>
      </c>
      <c r="K85" s="4" t="n">
        <v>13</v>
      </c>
      <c r="L85" s="4" t="n">
        <v>0</v>
      </c>
      <c r="M85" s="4" t="n">
        <v>33</v>
      </c>
    </row>
    <row r="86" customFormat="false" ht="15" hidden="false" customHeight="false" outlineLevel="0" collapsed="false">
      <c r="A86" s="12" t="s">
        <v>8</v>
      </c>
      <c r="B86" s="4" t="n">
        <v>2026</v>
      </c>
      <c r="C86" s="4" t="n">
        <v>26</v>
      </c>
      <c r="D86" s="4" t="str">
        <f aca="false">B86&amp;"-S"&amp;TEXT(C86,"00")</f>
        <v>2026-S26</v>
      </c>
      <c r="E86" s="12" t="s">
        <v>170</v>
      </c>
      <c r="F86" s="4" t="s">
        <v>118</v>
      </c>
      <c r="G86" s="13" t="n">
        <v>46196</v>
      </c>
      <c r="H86" s="4" t="s">
        <v>119</v>
      </c>
      <c r="I86" s="6" t="n">
        <v>100</v>
      </c>
      <c r="J86" s="12" t="str">
        <f aca="false">IF(I86="","Rapport manquant",IF(I86&gt;=85,"CONFORME (≥85%)","NON CONFORME (&lt;85%)"))</f>
        <v>CONFORME (≥85%)</v>
      </c>
      <c r="K86" s="4" t="n">
        <v>14</v>
      </c>
      <c r="L86" s="4" t="n">
        <v>0</v>
      </c>
      <c r="M86" s="4" t="n">
        <v>32</v>
      </c>
    </row>
    <row r="87" customFormat="false" ht="15" hidden="false" customHeight="false" outlineLevel="0" collapsed="false">
      <c r="A87" s="12" t="s">
        <v>6</v>
      </c>
      <c r="B87" s="4" t="n">
        <v>2026</v>
      </c>
      <c r="C87" s="4" t="n">
        <v>27</v>
      </c>
      <c r="D87" s="4" t="str">
        <f aca="false">B87&amp;"-S"&amp;TEXT(C87,"00")</f>
        <v>2026-S27</v>
      </c>
      <c r="E87" s="12" t="s">
        <v>171</v>
      </c>
      <c r="F87" s="4" t="s">
        <v>118</v>
      </c>
      <c r="G87" s="13" t="n">
        <v>46203</v>
      </c>
      <c r="H87" s="4" t="s">
        <v>119</v>
      </c>
      <c r="I87" s="6" t="n">
        <v>100</v>
      </c>
      <c r="J87" s="12" t="str">
        <f aca="false">IF(I87="","Rapport manquant",IF(I87&gt;=85,"CONFORME (≥85%)","NON CONFORME (&lt;85%)"))</f>
        <v>CONFORME (≥85%)</v>
      </c>
      <c r="K87" s="4" t="n">
        <v>13</v>
      </c>
      <c r="L87" s="4" t="n">
        <v>0</v>
      </c>
      <c r="M87" s="4" t="n">
        <v>33</v>
      </c>
    </row>
    <row r="88" customFormat="false" ht="15" hidden="false" customHeight="false" outlineLevel="0" collapsed="false">
      <c r="A88" s="12" t="s">
        <v>7</v>
      </c>
      <c r="B88" s="4" t="n">
        <v>2026</v>
      </c>
      <c r="C88" s="4" t="n">
        <v>27</v>
      </c>
      <c r="D88" s="4" t="str">
        <f aca="false">B88&amp;"-S"&amp;TEXT(C88,"00")</f>
        <v>2026-S27</v>
      </c>
      <c r="E88" s="12" t="s">
        <v>172</v>
      </c>
      <c r="F88" s="4" t="s">
        <v>118</v>
      </c>
      <c r="G88" s="13" t="n">
        <v>46204</v>
      </c>
      <c r="H88" s="4" t="s">
        <v>119</v>
      </c>
      <c r="I88" s="6" t="n">
        <v>100</v>
      </c>
      <c r="J88" s="12" t="str">
        <f aca="false">IF(I88="","Rapport manquant",IF(I88&gt;=85,"CONFORME (≥85%)","NON CONFORME (&lt;85%)"))</f>
        <v>CONFORME (≥85%)</v>
      </c>
      <c r="K88" s="4" t="n">
        <v>12</v>
      </c>
      <c r="L88" s="4" t="n">
        <v>0</v>
      </c>
      <c r="M88" s="4" t="n">
        <v>34</v>
      </c>
    </row>
    <row r="89" customFormat="false" ht="15" hidden="false" customHeight="false" outlineLevel="0" collapsed="false">
      <c r="A89" s="12" t="s">
        <v>8</v>
      </c>
      <c r="B89" s="4" t="n">
        <v>2026</v>
      </c>
      <c r="C89" s="4" t="n">
        <v>27</v>
      </c>
      <c r="D89" s="4" t="str">
        <f aca="false">B89&amp;"-S"&amp;TEXT(C89,"00")</f>
        <v>2026-S27</v>
      </c>
      <c r="E89" s="12" t="s">
        <v>173</v>
      </c>
      <c r="F89" s="4" t="s">
        <v>118</v>
      </c>
      <c r="G89" s="13" t="n">
        <v>46203</v>
      </c>
      <c r="H89" s="4" t="s">
        <v>119</v>
      </c>
      <c r="I89" s="6" t="n">
        <v>100</v>
      </c>
      <c r="J89" s="12" t="str">
        <f aca="false">IF(I89="","Rapport manquant",IF(I89&gt;=85,"CONFORME (≥85%)","NON CONFORME (&lt;85%)"))</f>
        <v>CONFORME (≥85%)</v>
      </c>
      <c r="K89" s="4" t="n">
        <v>13</v>
      </c>
      <c r="L89" s="4" t="n">
        <v>0</v>
      </c>
      <c r="M89" s="4" t="n">
        <v>33</v>
      </c>
    </row>
    <row r="90" customFormat="false" ht="15" hidden="false" customHeight="false" outlineLevel="0" collapsed="false">
      <c r="A90" s="12" t="s">
        <v>6</v>
      </c>
      <c r="B90" s="4" t="n">
        <v>2026</v>
      </c>
      <c r="C90" s="4" t="n">
        <v>28</v>
      </c>
      <c r="D90" s="4" t="str">
        <f aca="false">B90&amp;"-S"&amp;TEXT(C90,"00")</f>
        <v>2026-S28</v>
      </c>
      <c r="E90" s="12" t="s">
        <v>174</v>
      </c>
      <c r="F90" s="4" t="s">
        <v>118</v>
      </c>
      <c r="G90" s="13" t="n">
        <v>46210</v>
      </c>
      <c r="H90" s="4" t="s">
        <v>119</v>
      </c>
      <c r="I90" s="6" t="n">
        <v>100</v>
      </c>
      <c r="J90" s="12" t="str">
        <f aca="false">IF(I90="","Rapport manquant",IF(I90&gt;=85,"CONFORME (≥85%)","NON CONFORME (&lt;85%)"))</f>
        <v>CONFORME (≥85%)</v>
      </c>
      <c r="K90" s="4" t="n">
        <v>14</v>
      </c>
      <c r="L90" s="4" t="n">
        <v>0</v>
      </c>
      <c r="M90" s="4" t="n">
        <v>32</v>
      </c>
    </row>
    <row r="91" customFormat="false" ht="15" hidden="false" customHeight="false" outlineLevel="0" collapsed="false">
      <c r="A91" s="12" t="s">
        <v>7</v>
      </c>
      <c r="B91" s="4" t="n">
        <v>2026</v>
      </c>
      <c r="C91" s="4" t="n">
        <v>28</v>
      </c>
      <c r="D91" s="4" t="str">
        <f aca="false">B91&amp;"-S"&amp;TEXT(C91,"00")</f>
        <v>2026-S28</v>
      </c>
      <c r="E91" s="12" t="s">
        <v>175</v>
      </c>
      <c r="F91" s="4" t="s">
        <v>118</v>
      </c>
      <c r="G91" s="13" t="n">
        <v>46211</v>
      </c>
      <c r="H91" s="4" t="s">
        <v>119</v>
      </c>
      <c r="I91" s="6" t="n">
        <v>100</v>
      </c>
      <c r="J91" s="12" t="str">
        <f aca="false">IF(I91="","Rapport manquant",IF(I91&gt;=85,"CONFORME (≥85%)","NON CONFORME (&lt;85%)"))</f>
        <v>CONFORME (≥85%)</v>
      </c>
      <c r="K91" s="4" t="n">
        <v>13</v>
      </c>
      <c r="L91" s="4" t="n">
        <v>0</v>
      </c>
      <c r="M91" s="4" t="n">
        <v>33</v>
      </c>
    </row>
    <row r="92" customFormat="false" ht="15" hidden="false" customHeight="false" outlineLevel="0" collapsed="false">
      <c r="A92" s="12" t="s">
        <v>8</v>
      </c>
      <c r="B92" s="4" t="n">
        <v>2026</v>
      </c>
      <c r="C92" s="4" t="n">
        <v>28</v>
      </c>
      <c r="D92" s="4" t="str">
        <f aca="false">B92&amp;"-S"&amp;TEXT(C92,"00")</f>
        <v>2026-S28</v>
      </c>
      <c r="E92" s="12" t="s">
        <v>176</v>
      </c>
      <c r="F92" s="4" t="s">
        <v>118</v>
      </c>
      <c r="G92" s="13" t="n">
        <v>46210</v>
      </c>
      <c r="H92" s="4" t="s">
        <v>119</v>
      </c>
      <c r="I92" s="6" t="n">
        <v>100</v>
      </c>
      <c r="J92" s="12" t="str">
        <f aca="false">IF(I92="","Rapport manquant",IF(I92&gt;=85,"CONFORME (≥85%)","NON CONFORME (&lt;85%)"))</f>
        <v>CONFORME (≥85%)</v>
      </c>
      <c r="K92" s="4" t="n">
        <v>14</v>
      </c>
      <c r="L92" s="4" t="n">
        <v>0</v>
      </c>
      <c r="M92" s="4" t="n">
        <v>32</v>
      </c>
    </row>
    <row r="93" customFormat="false" ht="15" hidden="false" customHeight="false" outlineLevel="0" collapsed="false">
      <c r="A93" s="12" t="s">
        <v>6</v>
      </c>
      <c r="B93" s="4" t="n">
        <v>2026</v>
      </c>
      <c r="C93" s="4" t="n">
        <v>29</v>
      </c>
      <c r="D93" s="4" t="str">
        <f aca="false">B93&amp;"-S"&amp;TEXT(C93,"00")</f>
        <v>2026-S29</v>
      </c>
      <c r="E93" s="12" t="s">
        <v>177</v>
      </c>
      <c r="F93" s="4" t="s">
        <v>118</v>
      </c>
      <c r="G93" s="13" t="n">
        <v>46220</v>
      </c>
      <c r="H93" s="4" t="s">
        <v>119</v>
      </c>
      <c r="I93" s="6" t="n">
        <v>92.3</v>
      </c>
      <c r="J93" s="12" t="str">
        <f aca="false">IF(I93="","Rapport manquant",IF(I93&gt;=85,"CONFORME (≥85%)","NON CONFORME (&lt;85%)"))</f>
        <v>CONFORME (≥85%)</v>
      </c>
      <c r="K93" s="4" t="n">
        <v>12</v>
      </c>
      <c r="L93" s="4" t="n">
        <v>1</v>
      </c>
      <c r="M93" s="4" t="n">
        <v>33</v>
      </c>
    </row>
    <row r="94" customFormat="false" ht="15" hidden="false" customHeight="false" outlineLevel="0" collapsed="false">
      <c r="A94" s="12" t="s">
        <v>7</v>
      </c>
      <c r="B94" s="4" t="n">
        <v>2026</v>
      </c>
      <c r="C94" s="4" t="n">
        <v>29</v>
      </c>
      <c r="D94" s="4" t="str">
        <f aca="false">B94&amp;"-S"&amp;TEXT(C94,"00")</f>
        <v>2026-S29</v>
      </c>
      <c r="E94" s="12" t="s">
        <v>178</v>
      </c>
      <c r="F94" s="4" t="s">
        <v>118</v>
      </c>
      <c r="G94" s="13" t="n">
        <v>46217</v>
      </c>
      <c r="H94" s="4" t="s">
        <v>119</v>
      </c>
      <c r="I94" s="6" t="n">
        <v>100</v>
      </c>
      <c r="J94" s="12" t="str">
        <f aca="false">IF(I94="","Rapport manquant",IF(I94&gt;=85,"CONFORME (≥85%)","NON CONFORME (&lt;85%)"))</f>
        <v>CONFORME (≥85%)</v>
      </c>
      <c r="K94" s="4" t="n">
        <v>16</v>
      </c>
      <c r="L94" s="4" t="n">
        <v>0</v>
      </c>
      <c r="M94" s="4" t="n">
        <v>30</v>
      </c>
    </row>
    <row r="95" customFormat="false" ht="15" hidden="false" customHeight="false" outlineLevel="0" collapsed="false">
      <c r="A95" s="12" t="s">
        <v>6</v>
      </c>
      <c r="B95" s="4" t="n">
        <v>2026</v>
      </c>
      <c r="C95" s="4" t="n">
        <v>30</v>
      </c>
      <c r="D95" s="4" t="str">
        <f aca="false">B95&amp;"-S"&amp;TEXT(C95,"00")</f>
        <v>2026-S30</v>
      </c>
      <c r="E95" s="12" t="s">
        <v>179</v>
      </c>
      <c r="F95" s="4" t="s">
        <v>83</v>
      </c>
      <c r="G95" s="13" t="n">
        <v>46224</v>
      </c>
      <c r="H95" s="4" t="s">
        <v>119</v>
      </c>
      <c r="I95" s="6" t="n">
        <v>100</v>
      </c>
      <c r="J95" s="12" t="str">
        <f aca="false">IF(I95="","Rapport manquant",IF(I95&gt;=85,"CONFORME (≥85%)","NON CONFORME (&lt;85%)"))</f>
        <v>CONFORME (≥85%)</v>
      </c>
      <c r="K95" s="4" t="n">
        <v>15</v>
      </c>
      <c r="L95" s="4" t="n">
        <v>0</v>
      </c>
      <c r="M95" s="4" t="n">
        <v>31</v>
      </c>
    </row>
    <row r="96" customFormat="false" ht="15" hidden="false" customHeight="false" outlineLevel="0" collapsed="false">
      <c r="A96" s="12" t="s">
        <v>7</v>
      </c>
      <c r="B96" s="4" t="n">
        <v>2026</v>
      </c>
      <c r="C96" s="4" t="n">
        <v>30</v>
      </c>
      <c r="D96" s="4" t="str">
        <f aca="false">B96&amp;"-S"&amp;TEXT(C96,"00")</f>
        <v>2026-S30</v>
      </c>
      <c r="E96" s="12" t="s">
        <v>180</v>
      </c>
      <c r="F96" s="4" t="s">
        <v>118</v>
      </c>
      <c r="G96" s="13" t="n">
        <v>46225</v>
      </c>
      <c r="H96" s="4" t="s">
        <v>119</v>
      </c>
      <c r="I96" s="6" t="n">
        <v>100</v>
      </c>
      <c r="J96" s="12" t="str">
        <f aca="false">IF(I96="","Rapport manquant",IF(I96&gt;=85,"CONFORME (≥85%)","NON CONFORME (&lt;85%)"))</f>
        <v>CONFORME (≥85%)</v>
      </c>
      <c r="K96" s="4" t="n">
        <v>13</v>
      </c>
      <c r="L96" s="4" t="n">
        <v>0</v>
      </c>
      <c r="M96" s="4" t="n">
        <v>33</v>
      </c>
    </row>
    <row r="97" customFormat="false" ht="15" hidden="false" customHeight="false" outlineLevel="0" collapsed="false">
      <c r="A97" s="12" t="s">
        <v>8</v>
      </c>
      <c r="B97" s="4" t="n">
        <v>2026</v>
      </c>
      <c r="C97" s="4" t="n">
        <v>30</v>
      </c>
      <c r="D97" s="4" t="str">
        <f aca="false">B97&amp;"-S"&amp;TEXT(C97,"00")</f>
        <v>2026-S30</v>
      </c>
      <c r="E97" s="12" t="s">
        <v>181</v>
      </c>
      <c r="F97" s="4" t="s">
        <v>118</v>
      </c>
      <c r="G97" s="13" t="n">
        <v>46224</v>
      </c>
      <c r="H97" s="4" t="s">
        <v>119</v>
      </c>
      <c r="I97" s="6" t="n">
        <v>100</v>
      </c>
      <c r="J97" s="12" t="str">
        <f aca="false">IF(I97="","Rapport manquant",IF(I97&gt;=85,"CONFORME (≥85%)","NON CONFORME (&lt;85%)"))</f>
        <v>CONFORME (≥85%)</v>
      </c>
      <c r="K97" s="4" t="n">
        <v>16</v>
      </c>
      <c r="L97" s="4" t="n">
        <v>0</v>
      </c>
      <c r="M97" s="4" t="n">
        <v>30</v>
      </c>
    </row>
    <row r="98" customFormat="false" ht="15" hidden="false" customHeight="false" outlineLevel="0" collapsed="false">
      <c r="A98" s="12" t="s">
        <v>6</v>
      </c>
      <c r="B98" s="4" t="n">
        <v>2026</v>
      </c>
      <c r="C98" s="4" t="n">
        <v>31</v>
      </c>
      <c r="D98" s="4" t="str">
        <f aca="false">B98&amp;"-S"&amp;TEXT(C98,"00")</f>
        <v>2026-S31</v>
      </c>
      <c r="E98" s="12" t="s">
        <v>176</v>
      </c>
      <c r="F98" s="4" t="s">
        <v>118</v>
      </c>
      <c r="G98" s="13" t="n">
        <v>46231</v>
      </c>
      <c r="H98" s="4" t="s">
        <v>119</v>
      </c>
      <c r="I98" s="6" t="n">
        <v>100</v>
      </c>
      <c r="J98" s="12" t="str">
        <f aca="false">IF(I98="","Rapport manquant",IF(I98&gt;=85,"CONFORME (≥85%)","NON CONFORME (&lt;85%)"))</f>
        <v>CONFORME (≥85%)</v>
      </c>
      <c r="K98" s="4" t="n">
        <v>14</v>
      </c>
      <c r="L98" s="4" t="n">
        <v>0</v>
      </c>
      <c r="M98" s="4" t="n">
        <v>32</v>
      </c>
    </row>
    <row r="99" customFormat="false" ht="15" hidden="false" customHeight="false" outlineLevel="0" collapsed="false">
      <c r="A99" s="12" t="s">
        <v>7</v>
      </c>
      <c r="B99" s="4" t="n">
        <v>2026</v>
      </c>
      <c r="C99" s="4" t="n">
        <v>31</v>
      </c>
      <c r="D99" s="4" t="str">
        <f aca="false">B99&amp;"-S"&amp;TEXT(C99,"00")</f>
        <v>2026-S31</v>
      </c>
      <c r="E99" s="12" t="s">
        <v>182</v>
      </c>
      <c r="F99" s="4" t="s">
        <v>118</v>
      </c>
      <c r="G99" s="13" t="n">
        <v>46232</v>
      </c>
      <c r="H99" s="4" t="s">
        <v>119</v>
      </c>
      <c r="I99" s="6" t="n">
        <v>100</v>
      </c>
      <c r="J99" s="12" t="str">
        <f aca="false">IF(I99="","Rapport manquant",IF(I99&gt;=85,"CONFORME (≥85%)","NON CONFORME (&lt;85%)"))</f>
        <v>CONFORME (≥85%)</v>
      </c>
      <c r="K99" s="4" t="n">
        <v>16</v>
      </c>
      <c r="L99" s="4" t="n">
        <v>0</v>
      </c>
      <c r="M99" s="4" t="n">
        <v>30</v>
      </c>
    </row>
    <row r="100" customFormat="false" ht="15" hidden="false" customHeight="false" outlineLevel="0" collapsed="false">
      <c r="A100" s="12" t="s">
        <v>8</v>
      </c>
      <c r="B100" s="4" t="n">
        <v>2026</v>
      </c>
      <c r="C100" s="4" t="n">
        <v>31</v>
      </c>
      <c r="D100" s="4" t="str">
        <f aca="false">B100&amp;"-S"&amp;TEXT(C100,"00")</f>
        <v>2026-S31</v>
      </c>
      <c r="E100" s="12" t="s">
        <v>183</v>
      </c>
      <c r="F100" s="4" t="s">
        <v>118</v>
      </c>
      <c r="G100" s="13" t="n">
        <v>46231</v>
      </c>
      <c r="H100" s="4" t="s">
        <v>119</v>
      </c>
      <c r="I100" s="6" t="n">
        <v>100</v>
      </c>
      <c r="J100" s="12" t="str">
        <f aca="false">IF(I100="","Rapport manquant",IF(I100&gt;=85,"CONFORME (≥85%)","NON CONFORME (&lt;85%)"))</f>
        <v>CONFORME (≥85%)</v>
      </c>
      <c r="K100" s="4" t="n">
        <v>14</v>
      </c>
      <c r="L100" s="4" t="n">
        <v>0</v>
      </c>
      <c r="M100" s="4" t="n">
        <v>32</v>
      </c>
    </row>
    <row r="101" customFormat="false" ht="15" hidden="false" customHeight="false" outlineLevel="0" collapsed="false">
      <c r="A101" s="12" t="s">
        <v>6</v>
      </c>
      <c r="B101" s="4" t="n">
        <v>2026</v>
      </c>
      <c r="C101" s="4" t="n">
        <v>32</v>
      </c>
      <c r="D101" s="4" t="str">
        <f aca="false">B101&amp;"-S"&amp;TEXT(C101,"00")</f>
        <v>2026-S32</v>
      </c>
      <c r="E101" s="12" t="s">
        <v>184</v>
      </c>
      <c r="F101" s="4" t="s">
        <v>118</v>
      </c>
      <c r="G101" s="13" t="n">
        <v>46237</v>
      </c>
      <c r="H101" s="4" t="s">
        <v>119</v>
      </c>
      <c r="I101" s="6" t="n">
        <v>100</v>
      </c>
      <c r="J101" s="12" t="str">
        <f aca="false">IF(I101="","Rapport manquant",IF(I101&gt;=85,"CONFORME (≥85%)","NON CONFORME (&lt;85%)"))</f>
        <v>CONFORME (≥85%)</v>
      </c>
      <c r="K101" s="4" t="n">
        <v>18</v>
      </c>
      <c r="L101" s="4" t="n">
        <v>0</v>
      </c>
      <c r="M101" s="4" t="n">
        <v>28</v>
      </c>
    </row>
    <row r="102" customFormat="false" ht="15" hidden="false" customHeight="false" outlineLevel="0" collapsed="false">
      <c r="A102" s="12" t="s">
        <v>7</v>
      </c>
      <c r="B102" s="4" t="n">
        <v>2026</v>
      </c>
      <c r="C102" s="4" t="n">
        <v>32</v>
      </c>
      <c r="D102" s="4" t="str">
        <f aca="false">B102&amp;"-S"&amp;TEXT(C102,"00")</f>
        <v>2026-S32</v>
      </c>
      <c r="E102" s="12" t="s">
        <v>185</v>
      </c>
      <c r="F102" s="4" t="s">
        <v>118</v>
      </c>
      <c r="G102" s="13" t="n">
        <v>46241</v>
      </c>
      <c r="H102" s="4" t="s">
        <v>119</v>
      </c>
      <c r="I102" s="6" t="n">
        <v>100</v>
      </c>
      <c r="J102" s="12" t="str">
        <f aca="false">IF(I102="","Rapport manquant",IF(I102&gt;=85,"CONFORME (≥85%)","NON CONFORME (&lt;85%)"))</f>
        <v>CONFORME (≥85%)</v>
      </c>
      <c r="K102" s="4" t="n">
        <v>18</v>
      </c>
      <c r="L102" s="4" t="n">
        <v>0</v>
      </c>
      <c r="M102" s="4" t="n">
        <v>28</v>
      </c>
    </row>
    <row r="103" customFormat="false" ht="15" hidden="false" customHeight="false" outlineLevel="0" collapsed="false">
      <c r="A103" s="12" t="s">
        <v>8</v>
      </c>
      <c r="B103" s="4" t="n">
        <v>2026</v>
      </c>
      <c r="C103" s="4" t="n">
        <v>32</v>
      </c>
      <c r="D103" s="4" t="str">
        <f aca="false">B103&amp;"-S"&amp;TEXT(C103,"00")</f>
        <v>2026-S32</v>
      </c>
      <c r="E103" s="12" t="s">
        <v>186</v>
      </c>
      <c r="F103" s="4" t="s">
        <v>118</v>
      </c>
      <c r="G103" s="13" t="n">
        <v>46243</v>
      </c>
      <c r="H103" s="4" t="s">
        <v>119</v>
      </c>
      <c r="I103" s="6" t="n">
        <v>92.3</v>
      </c>
      <c r="J103" s="12" t="str">
        <f aca="false">IF(I103="","Rapport manquant",IF(I103&gt;=85,"CONFORME (≥85%)","NON CONFORME (&lt;85%)"))</f>
        <v>CONFORME (≥85%)</v>
      </c>
      <c r="K103" s="4" t="n">
        <v>12</v>
      </c>
      <c r="L103" s="4" t="n">
        <v>1</v>
      </c>
      <c r="M103" s="4" t="n">
        <v>33</v>
      </c>
    </row>
    <row r="104" customFormat="false" ht="15" hidden="false" customHeight="false" outlineLevel="0" collapsed="false">
      <c r="A104" s="12" t="s">
        <v>6</v>
      </c>
      <c r="B104" s="4" t="n">
        <v>2026</v>
      </c>
      <c r="C104" s="4" t="n">
        <v>33</v>
      </c>
      <c r="D104" s="4" t="str">
        <f aca="false">B104&amp;"-S"&amp;TEXT(C104,"00")</f>
        <v>2026-S33</v>
      </c>
      <c r="E104" s="12" t="s">
        <v>187</v>
      </c>
      <c r="F104" s="4" t="s">
        <v>118</v>
      </c>
      <c r="G104" s="13" t="n">
        <v>46249</v>
      </c>
      <c r="H104" s="4" t="s">
        <v>119</v>
      </c>
      <c r="I104" s="6" t="n">
        <v>100</v>
      </c>
      <c r="J104" s="12" t="str">
        <f aca="false">IF(I104="","Rapport manquant",IF(I104&gt;=85,"CONFORME (≥85%)","NON CONFORME (&lt;85%)"))</f>
        <v>CONFORME (≥85%)</v>
      </c>
      <c r="K104" s="4" t="n">
        <v>13</v>
      </c>
      <c r="L104" s="4" t="n">
        <v>0</v>
      </c>
      <c r="M104" s="4" t="n">
        <v>33</v>
      </c>
    </row>
    <row r="105" customFormat="false" ht="15" hidden="false" customHeight="false" outlineLevel="0" collapsed="false">
      <c r="A105" s="12" t="s">
        <v>7</v>
      </c>
      <c r="B105" s="4" t="n">
        <v>2026</v>
      </c>
      <c r="C105" s="4" t="n">
        <v>33</v>
      </c>
      <c r="D105" s="4" t="str">
        <f aca="false">B105&amp;"-S"&amp;TEXT(C105,"00")</f>
        <v>2026-S33</v>
      </c>
      <c r="E105" s="12" t="s">
        <v>188</v>
      </c>
      <c r="F105" s="4" t="s">
        <v>118</v>
      </c>
      <c r="G105" s="13" t="n">
        <v>46244</v>
      </c>
      <c r="H105" s="4" t="s">
        <v>119</v>
      </c>
      <c r="I105" s="6" t="n">
        <v>100</v>
      </c>
      <c r="J105" s="12" t="str">
        <f aca="false">IF(I105="","Rapport manquant",IF(I105&gt;=85,"CONFORME (≥85%)","NON CONFORME (&lt;85%)"))</f>
        <v>CONFORME (≥85%)</v>
      </c>
      <c r="K105" s="4" t="n">
        <v>15</v>
      </c>
      <c r="L105" s="4" t="n">
        <v>0</v>
      </c>
      <c r="M105" s="4" t="n">
        <v>31</v>
      </c>
    </row>
    <row r="106" customFormat="false" ht="15" hidden="false" customHeight="false" outlineLevel="0" collapsed="false">
      <c r="A106" s="12" t="s">
        <v>8</v>
      </c>
      <c r="B106" s="4" t="n">
        <v>2026</v>
      </c>
      <c r="C106" s="4" t="n">
        <v>33</v>
      </c>
      <c r="D106" s="4" t="str">
        <f aca="false">B106&amp;"-S"&amp;TEXT(C106,"00")</f>
        <v>2026-S33</v>
      </c>
      <c r="E106" s="12" t="s">
        <v>189</v>
      </c>
      <c r="F106" s="4" t="s">
        <v>118</v>
      </c>
      <c r="G106" s="13" t="n">
        <v>46247</v>
      </c>
      <c r="H106" s="4" t="s">
        <v>119</v>
      </c>
      <c r="I106" s="6" t="n">
        <v>100</v>
      </c>
      <c r="J106" s="12" t="str">
        <f aca="false">IF(I106="","Rapport manquant",IF(I106&gt;=85,"CONFORME (≥85%)","NON CONFORME (&lt;85%)"))</f>
        <v>CONFORME (≥85%)</v>
      </c>
      <c r="K106" s="4" t="n">
        <v>14</v>
      </c>
      <c r="L106" s="4" t="n">
        <v>0</v>
      </c>
      <c r="M106" s="4" t="n">
        <v>32</v>
      </c>
    </row>
    <row r="107" customFormat="false" ht="15" hidden="false" customHeight="false" outlineLevel="0" collapsed="false">
      <c r="A107" s="12" t="s">
        <v>6</v>
      </c>
      <c r="B107" s="4" t="n">
        <v>2026</v>
      </c>
      <c r="C107" s="4" t="n">
        <v>34</v>
      </c>
      <c r="D107" s="4" t="str">
        <f aca="false">B107&amp;"-S"&amp;TEXT(C107,"00")</f>
        <v>2026-S34</v>
      </c>
      <c r="E107" s="12" t="s">
        <v>190</v>
      </c>
      <c r="F107" s="4" t="s">
        <v>118</v>
      </c>
      <c r="G107" s="13" t="n">
        <v>46251</v>
      </c>
      <c r="H107" s="4" t="s">
        <v>119</v>
      </c>
      <c r="I107" s="6" t="n">
        <v>100</v>
      </c>
      <c r="J107" s="12" t="str">
        <f aca="false">IF(I107="","Rapport manquant",IF(I107&gt;=85,"CONFORME (≥85%)","NON CONFORME (&lt;85%)"))</f>
        <v>CONFORME (≥85%)</v>
      </c>
      <c r="K107" s="4" t="n">
        <v>13</v>
      </c>
      <c r="L107" s="4" t="n">
        <v>0</v>
      </c>
      <c r="M107" s="4" t="n">
        <v>33</v>
      </c>
    </row>
    <row r="108" customFormat="false" ht="15" hidden="false" customHeight="false" outlineLevel="0" collapsed="false">
      <c r="A108" s="12" t="s">
        <v>7</v>
      </c>
      <c r="B108" s="4" t="n">
        <v>2026</v>
      </c>
      <c r="C108" s="4" t="n">
        <v>34</v>
      </c>
      <c r="D108" s="4" t="str">
        <f aca="false">B108&amp;"-S"&amp;TEXT(C108,"00")</f>
        <v>2026-S34</v>
      </c>
      <c r="E108" s="12" t="s">
        <v>191</v>
      </c>
      <c r="F108" s="4" t="s">
        <v>118</v>
      </c>
      <c r="G108" s="13" t="n">
        <v>46256</v>
      </c>
      <c r="H108" s="4" t="s">
        <v>119</v>
      </c>
      <c r="I108" s="6" t="n">
        <v>100</v>
      </c>
      <c r="J108" s="12" t="str">
        <f aca="false">IF(I108="","Rapport manquant",IF(I108&gt;=85,"CONFORME (≥85%)","NON CONFORME (&lt;85%)"))</f>
        <v>CONFORME (≥85%)</v>
      </c>
      <c r="K108" s="4" t="n">
        <v>13</v>
      </c>
      <c r="L108" s="4" t="n">
        <v>0</v>
      </c>
      <c r="M108" s="4" t="n">
        <v>33</v>
      </c>
    </row>
    <row r="109" customFormat="false" ht="15" hidden="false" customHeight="false" outlineLevel="0" collapsed="false">
      <c r="A109" s="12" t="s">
        <v>8</v>
      </c>
      <c r="B109" s="4" t="n">
        <v>2026</v>
      </c>
      <c r="C109" s="4" t="n">
        <v>34</v>
      </c>
      <c r="D109" s="4" t="str">
        <f aca="false">B109&amp;"-S"&amp;TEXT(C109,"00")</f>
        <v>2026-S34</v>
      </c>
      <c r="E109" s="12" t="s">
        <v>192</v>
      </c>
      <c r="F109" s="4" t="s">
        <v>118</v>
      </c>
      <c r="G109" s="13" t="n">
        <v>46256</v>
      </c>
      <c r="H109" s="4" t="s">
        <v>119</v>
      </c>
      <c r="I109" s="6" t="n">
        <v>100</v>
      </c>
      <c r="J109" s="12" t="str">
        <f aca="false">IF(I109="","Rapport manquant",IF(I109&gt;=85,"CONFORME (≥85%)","NON CONFORME (&lt;85%)"))</f>
        <v>CONFORME (≥85%)</v>
      </c>
      <c r="K109" s="4" t="n">
        <v>14</v>
      </c>
      <c r="L109" s="4" t="n">
        <v>0</v>
      </c>
      <c r="M109" s="4" t="n">
        <v>32</v>
      </c>
    </row>
    <row r="110" customFormat="false" ht="15" hidden="false" customHeight="false" outlineLevel="0" collapsed="false">
      <c r="A110" s="12" t="s">
        <v>7</v>
      </c>
      <c r="B110" s="4" t="n">
        <v>2026</v>
      </c>
      <c r="C110" s="4" t="n">
        <v>35</v>
      </c>
      <c r="D110" s="4" t="str">
        <f aca="false">B110&amp;"-S"&amp;TEXT(C110,"00")</f>
        <v>2026-S35</v>
      </c>
      <c r="E110" s="12" t="s">
        <v>193</v>
      </c>
      <c r="F110" s="4" t="s">
        <v>118</v>
      </c>
      <c r="G110" s="13" t="n">
        <v>46259</v>
      </c>
      <c r="H110" s="4" t="s">
        <v>119</v>
      </c>
      <c r="I110" s="6" t="n">
        <v>100</v>
      </c>
      <c r="J110" s="12" t="str">
        <f aca="false">IF(I110="","Rapport manquant",IF(I110&gt;=85,"CONFORME (≥85%)","NON CONFORME (&lt;85%)"))</f>
        <v>CONFORME (≥85%)</v>
      </c>
      <c r="K110" s="4" t="n">
        <v>18</v>
      </c>
      <c r="L110" s="4" t="n">
        <v>0</v>
      </c>
      <c r="M110" s="4" t="n">
        <v>28</v>
      </c>
    </row>
    <row r="111" customFormat="false" ht="15" hidden="false" customHeight="false" outlineLevel="0" collapsed="false">
      <c r="A111" s="12" t="s">
        <v>8</v>
      </c>
      <c r="B111" s="4" t="n">
        <v>2026</v>
      </c>
      <c r="C111" s="4" t="n">
        <v>35</v>
      </c>
      <c r="D111" s="4" t="str">
        <f aca="false">B111&amp;"-S"&amp;TEXT(C111,"00")</f>
        <v>2026-S35</v>
      </c>
      <c r="E111" s="12" t="s">
        <v>194</v>
      </c>
      <c r="F111" s="4" t="s">
        <v>118</v>
      </c>
      <c r="G111" s="13" t="n">
        <v>46262</v>
      </c>
      <c r="H111" s="4" t="s">
        <v>119</v>
      </c>
      <c r="I111" s="6" t="n">
        <v>100</v>
      </c>
      <c r="J111" s="12" t="str">
        <f aca="false">IF(I111="","Rapport manquant",IF(I111&gt;=85,"CONFORME (≥85%)","NON CONFORME (&lt;85%)"))</f>
        <v>CONFORME (≥85%)</v>
      </c>
      <c r="K111" s="4" t="n">
        <v>11</v>
      </c>
      <c r="L111" s="4" t="n">
        <v>0</v>
      </c>
      <c r="M111" s="4" t="n">
        <v>35</v>
      </c>
    </row>
    <row r="112" customFormat="false" ht="15" hidden="false" customHeight="false" outlineLevel="0" collapsed="false">
      <c r="A112" s="12" t="s">
        <v>6</v>
      </c>
      <c r="B112" s="4" t="n">
        <v>2026</v>
      </c>
      <c r="C112" s="4" t="n">
        <v>36</v>
      </c>
      <c r="D112" s="4" t="str">
        <f aca="false">B112&amp;"-S"&amp;TEXT(C112,"00")</f>
        <v>2026-S36</v>
      </c>
      <c r="E112" s="12" t="s">
        <v>194</v>
      </c>
      <c r="F112" s="4" t="s">
        <v>118</v>
      </c>
      <c r="G112" s="13" t="n">
        <v>46266</v>
      </c>
      <c r="H112" s="4" t="s">
        <v>119</v>
      </c>
      <c r="I112" s="6" t="n">
        <v>100</v>
      </c>
      <c r="J112" s="12" t="str">
        <f aca="false">IF(I112="","Rapport manquant",IF(I112&gt;=85,"CONFORME (≥85%)","NON CONFORME (&lt;85%)"))</f>
        <v>CONFORME (≥85%)</v>
      </c>
      <c r="K112" s="4" t="n">
        <v>11</v>
      </c>
      <c r="L112" s="4" t="n">
        <v>0</v>
      </c>
      <c r="M112" s="4" t="n">
        <v>35</v>
      </c>
    </row>
    <row r="113" customFormat="false" ht="15" hidden="false" customHeight="false" outlineLevel="0" collapsed="false">
      <c r="A113" s="12" t="s">
        <v>8</v>
      </c>
      <c r="B113" s="4" t="n">
        <v>2026</v>
      </c>
      <c r="C113" s="4" t="n">
        <v>36</v>
      </c>
      <c r="D113" s="4" t="str">
        <f aca="false">B113&amp;"-S"&amp;TEXT(C113,"00")</f>
        <v>2026-S36</v>
      </c>
      <c r="E113" s="12" t="s">
        <v>195</v>
      </c>
      <c r="F113" s="4" t="s">
        <v>118</v>
      </c>
      <c r="G113" s="13" t="n">
        <v>46268</v>
      </c>
      <c r="H113" s="4" t="s">
        <v>119</v>
      </c>
      <c r="I113" s="6" t="n">
        <v>100</v>
      </c>
      <c r="J113" s="12" t="str">
        <f aca="false">IF(I113="","Rapport manquant",IF(I113&gt;=85,"CONFORME (≥85%)","NON CONFORME (&lt;85%)"))</f>
        <v>CONFORME (≥85%)</v>
      </c>
      <c r="K113" s="4" t="n">
        <v>15</v>
      </c>
      <c r="L113" s="4" t="n">
        <v>0</v>
      </c>
      <c r="M113" s="4" t="n">
        <v>31</v>
      </c>
    </row>
    <row r="114" customFormat="false" ht="15" hidden="false" customHeight="false" outlineLevel="0" collapsed="false">
      <c r="A114" s="12" t="s">
        <v>6</v>
      </c>
      <c r="B114" s="4" t="n">
        <v>2026</v>
      </c>
      <c r="C114" s="4" t="n">
        <v>37</v>
      </c>
      <c r="D114" s="4" t="str">
        <f aca="false">B114&amp;"-S"&amp;TEXT(C114,"00")</f>
        <v>2026-S37</v>
      </c>
      <c r="E114" s="12" t="s">
        <v>196</v>
      </c>
      <c r="F114" s="4" t="s">
        <v>118</v>
      </c>
      <c r="G114" s="13" t="n">
        <v>46276</v>
      </c>
      <c r="H114" s="4" t="s">
        <v>119</v>
      </c>
      <c r="I114" s="6" t="n">
        <v>100</v>
      </c>
      <c r="J114" s="12" t="str">
        <f aca="false">IF(I114="","Rapport manquant",IF(I114&gt;=85,"CONFORME (≥85%)","NON CONFORME (&lt;85%)"))</f>
        <v>CONFORME (≥85%)</v>
      </c>
      <c r="K114" s="4" t="n">
        <v>18</v>
      </c>
      <c r="L114" s="4" t="n">
        <v>0</v>
      </c>
      <c r="M114" s="4" t="n">
        <v>28</v>
      </c>
    </row>
    <row r="115" customFormat="false" ht="15" hidden="false" customHeight="false" outlineLevel="0" collapsed="false">
      <c r="A115" s="12" t="s">
        <v>7</v>
      </c>
      <c r="B115" s="4" t="n">
        <v>2026</v>
      </c>
      <c r="C115" s="4" t="n">
        <v>37</v>
      </c>
      <c r="D115" s="4" t="str">
        <f aca="false">B115&amp;"-S"&amp;TEXT(C115,"00")</f>
        <v>2026-S37</v>
      </c>
      <c r="E115" s="12" t="s">
        <v>197</v>
      </c>
      <c r="F115" s="4" t="s">
        <v>118</v>
      </c>
      <c r="G115" s="13" t="n">
        <v>46276</v>
      </c>
      <c r="H115" s="4" t="s">
        <v>119</v>
      </c>
      <c r="I115" s="6" t="n">
        <v>100</v>
      </c>
      <c r="J115" s="12" t="str">
        <f aca="false">IF(I115="","Rapport manquant",IF(I115&gt;=85,"CONFORME (≥85%)","NON CONFORME (&lt;85%)"))</f>
        <v>CONFORME (≥85%)</v>
      </c>
      <c r="K115" s="4" t="n">
        <v>18</v>
      </c>
      <c r="L115" s="4" t="n">
        <v>0</v>
      </c>
      <c r="M115" s="4" t="n">
        <v>28</v>
      </c>
    </row>
    <row r="116" customFormat="false" ht="15" hidden="false" customHeight="false" outlineLevel="0" collapsed="false">
      <c r="A116" s="12" t="s">
        <v>8</v>
      </c>
      <c r="B116" s="4" t="n">
        <v>2026</v>
      </c>
      <c r="C116" s="4" t="n">
        <v>37</v>
      </c>
      <c r="D116" s="4" t="str">
        <f aca="false">B116&amp;"-S"&amp;TEXT(C116,"00")</f>
        <v>2026-S37</v>
      </c>
      <c r="E116" s="12" t="s">
        <v>198</v>
      </c>
      <c r="F116" s="4" t="s">
        <v>118</v>
      </c>
      <c r="G116" s="13" t="n">
        <v>46276</v>
      </c>
      <c r="H116" s="4" t="s">
        <v>119</v>
      </c>
      <c r="I116" s="6" t="n">
        <v>100</v>
      </c>
      <c r="J116" s="12" t="str">
        <f aca="false">IF(I116="","Rapport manquant",IF(I116&gt;=85,"CONFORME (≥85%)","NON CONFORME (&lt;85%)"))</f>
        <v>CONFORME (≥85%)</v>
      </c>
      <c r="K116" s="4" t="n">
        <v>20</v>
      </c>
      <c r="L116" s="4" t="n">
        <v>0</v>
      </c>
      <c r="M116" s="4" t="n">
        <v>26</v>
      </c>
    </row>
    <row r="117" customFormat="false" ht="15" hidden="false" customHeight="false" outlineLevel="0" collapsed="false">
      <c r="A117" s="12" t="s">
        <v>6</v>
      </c>
      <c r="B117" s="4" t="n">
        <v>2026</v>
      </c>
      <c r="C117" s="4" t="n">
        <v>38</v>
      </c>
      <c r="D117" s="4" t="str">
        <f aca="false">B117&amp;"-S"&amp;TEXT(C117,"00")</f>
        <v>2026-S38</v>
      </c>
      <c r="E117" s="12" t="s">
        <v>199</v>
      </c>
      <c r="F117" s="4" t="s">
        <v>118</v>
      </c>
      <c r="G117" s="13" t="n">
        <v>46279</v>
      </c>
      <c r="H117" s="4" t="s">
        <v>119</v>
      </c>
      <c r="I117" s="6" t="n">
        <v>100</v>
      </c>
      <c r="J117" s="12" t="str">
        <f aca="false">IF(I117="","Rapport manquant",IF(I117&gt;=85,"CONFORME (≥85%)","NON CONFORME (&lt;85%)"))</f>
        <v>CONFORME (≥85%)</v>
      </c>
      <c r="K117" s="4" t="n">
        <v>14</v>
      </c>
      <c r="L117" s="4" t="n">
        <v>0</v>
      </c>
      <c r="M117" s="4" t="n">
        <v>32</v>
      </c>
    </row>
    <row r="118" customFormat="false" ht="15" hidden="false" customHeight="false" outlineLevel="0" collapsed="false">
      <c r="A118" s="12" t="s">
        <v>7</v>
      </c>
      <c r="B118" s="4" t="n">
        <v>2026</v>
      </c>
      <c r="C118" s="4" t="n">
        <v>38</v>
      </c>
      <c r="D118" s="4" t="str">
        <f aca="false">B118&amp;"-S"&amp;TEXT(C118,"00")</f>
        <v>2026-S38</v>
      </c>
      <c r="E118" s="12" t="s">
        <v>200</v>
      </c>
      <c r="F118" s="4" t="s">
        <v>118</v>
      </c>
      <c r="G118" s="13" t="n">
        <v>46280</v>
      </c>
      <c r="H118" s="4" t="s">
        <v>119</v>
      </c>
      <c r="I118" s="6" t="n">
        <v>100</v>
      </c>
      <c r="J118" s="12" t="str">
        <f aca="false">IF(I118="","Rapport manquant",IF(I118&gt;=85,"CONFORME (≥85%)","NON CONFORME (&lt;85%)"))</f>
        <v>CONFORME (≥85%)</v>
      </c>
      <c r="K118" s="4" t="n">
        <v>16</v>
      </c>
      <c r="L118" s="4" t="n">
        <v>0</v>
      </c>
      <c r="M118" s="4" t="n">
        <v>30</v>
      </c>
    </row>
    <row r="119" customFormat="false" ht="15" hidden="false" customHeight="false" outlineLevel="0" collapsed="false">
      <c r="A119" s="12" t="s">
        <v>8</v>
      </c>
      <c r="B119" s="4" t="n">
        <v>2026</v>
      </c>
      <c r="C119" s="4" t="n">
        <v>38</v>
      </c>
      <c r="D119" s="4" t="str">
        <f aca="false">B119&amp;"-S"&amp;TEXT(C119,"00")</f>
        <v>2026-S38</v>
      </c>
      <c r="E119" s="12" t="s">
        <v>201</v>
      </c>
      <c r="F119" s="4" t="s">
        <v>118</v>
      </c>
      <c r="G119" s="13" t="n">
        <v>46279</v>
      </c>
      <c r="H119" s="4" t="s">
        <v>119</v>
      </c>
      <c r="I119" s="6" t="n">
        <v>100</v>
      </c>
      <c r="J119" s="12" t="str">
        <f aca="false">IF(I119="","Rapport manquant",IF(I119&gt;=85,"CONFORME (≥85%)","NON CONFORME (&lt;85%)"))</f>
        <v>CONFORME (≥85%)</v>
      </c>
      <c r="K119" s="4" t="n">
        <v>17</v>
      </c>
      <c r="L119" s="4" t="n">
        <v>0</v>
      </c>
      <c r="M119" s="4" t="n">
        <v>29</v>
      </c>
    </row>
    <row r="120" customFormat="false" ht="15" hidden="false" customHeight="false" outlineLevel="0" collapsed="false">
      <c r="A120" s="12" t="s">
        <v>6</v>
      </c>
      <c r="B120" s="4" t="n">
        <v>2026</v>
      </c>
      <c r="C120" s="4" t="n">
        <v>39</v>
      </c>
      <c r="D120" s="4" t="str">
        <f aca="false">B120&amp;"-S"&amp;TEXT(C120,"00")</f>
        <v>2026-S39</v>
      </c>
      <c r="E120" s="12" t="s">
        <v>202</v>
      </c>
      <c r="F120" s="4" t="s">
        <v>118</v>
      </c>
      <c r="G120" s="13" t="n">
        <v>46287</v>
      </c>
      <c r="H120" s="4" t="s">
        <v>119</v>
      </c>
      <c r="I120" s="6" t="n">
        <v>100</v>
      </c>
      <c r="J120" s="12" t="str">
        <f aca="false">IF(I120="","Rapport manquant",IF(I120&gt;=85,"CONFORME (≥85%)","NON CONFORME (&lt;85%)"))</f>
        <v>CONFORME (≥85%)</v>
      </c>
      <c r="K120" s="4" t="n">
        <v>13</v>
      </c>
      <c r="L120" s="4" t="n">
        <v>0</v>
      </c>
      <c r="M120" s="4" t="n">
        <v>33</v>
      </c>
    </row>
    <row r="121" customFormat="false" ht="15" hidden="false" customHeight="false" outlineLevel="0" collapsed="false">
      <c r="A121" s="12" t="s">
        <v>7</v>
      </c>
      <c r="B121" s="4" t="n">
        <v>2026</v>
      </c>
      <c r="C121" s="4" t="n">
        <v>39</v>
      </c>
      <c r="D121" s="4" t="str">
        <f aca="false">B121&amp;"-S"&amp;TEXT(C121,"00")</f>
        <v>2026-S39</v>
      </c>
      <c r="E121" s="12" t="s">
        <v>203</v>
      </c>
      <c r="F121" s="4" t="s">
        <v>118</v>
      </c>
      <c r="G121" s="13" t="n">
        <v>46292</v>
      </c>
      <c r="H121" s="4" t="s">
        <v>119</v>
      </c>
      <c r="I121" s="6" t="n">
        <v>100</v>
      </c>
      <c r="J121" s="12" t="str">
        <f aca="false">IF(I121="","Rapport manquant",IF(I121&gt;=85,"CONFORME (≥85%)","NON CONFORME (&lt;85%)"))</f>
        <v>CONFORME (≥85%)</v>
      </c>
      <c r="K121" s="4" t="n">
        <v>13</v>
      </c>
      <c r="L121" s="4" t="n">
        <v>0</v>
      </c>
      <c r="M121" s="4" t="n">
        <v>33</v>
      </c>
    </row>
    <row r="122" customFormat="false" ht="15" hidden="false" customHeight="false" outlineLevel="0" collapsed="false">
      <c r="A122" s="12" t="s">
        <v>6</v>
      </c>
      <c r="B122" s="4" t="n">
        <v>2026</v>
      </c>
      <c r="C122" s="4" t="n">
        <v>40</v>
      </c>
      <c r="D122" s="4" t="str">
        <f aca="false">B122&amp;"-S"&amp;TEXT(C122,"00")</f>
        <v>2026-S40</v>
      </c>
      <c r="E122" s="12" t="s">
        <v>204</v>
      </c>
      <c r="F122" s="4" t="s">
        <v>118</v>
      </c>
      <c r="G122" s="13" t="n">
        <v>46299</v>
      </c>
      <c r="H122" s="4" t="s">
        <v>119</v>
      </c>
      <c r="I122" s="6" t="n">
        <v>100</v>
      </c>
      <c r="J122" s="12" t="str">
        <f aca="false">IF(I122="","Rapport manquant",IF(I122&gt;=85,"CONFORME (≥85%)","NON CONFORME (&lt;85%)"))</f>
        <v>CONFORME (≥85%)</v>
      </c>
      <c r="K122" s="4" t="n">
        <v>15</v>
      </c>
      <c r="L122" s="4" t="n">
        <v>0</v>
      </c>
      <c r="M122" s="4" t="n">
        <v>31</v>
      </c>
    </row>
    <row r="123" customFormat="false" ht="15" hidden="false" customHeight="false" outlineLevel="0" collapsed="false">
      <c r="A123" s="12" t="s">
        <v>7</v>
      </c>
      <c r="B123" s="4" t="n">
        <v>2026</v>
      </c>
      <c r="C123" s="4" t="n">
        <v>40</v>
      </c>
      <c r="D123" s="4" t="str">
        <f aca="false">B123&amp;"-S"&amp;TEXT(C123,"00")</f>
        <v>2026-S40</v>
      </c>
      <c r="E123" s="12" t="s">
        <v>205</v>
      </c>
      <c r="F123" s="4" t="s">
        <v>118</v>
      </c>
      <c r="G123" s="13" t="n">
        <v>46293</v>
      </c>
      <c r="H123" s="4" t="s">
        <v>119</v>
      </c>
      <c r="I123" s="6" t="n">
        <v>100</v>
      </c>
      <c r="J123" s="12" t="str">
        <f aca="false">IF(I123="","Rapport manquant",IF(I123&gt;=85,"CONFORME (≥85%)","NON CONFORME (&lt;85%)"))</f>
        <v>CONFORME (≥85%)</v>
      </c>
      <c r="K123" s="4" t="n">
        <v>15</v>
      </c>
      <c r="L123" s="4" t="n">
        <v>0</v>
      </c>
      <c r="M123" s="4" t="n">
        <v>31</v>
      </c>
    </row>
    <row r="124" customFormat="false" ht="15" hidden="false" customHeight="false" outlineLevel="0" collapsed="false">
      <c r="A124" s="12" t="s">
        <v>9</v>
      </c>
      <c r="B124" s="4" t="n">
        <v>2026</v>
      </c>
      <c r="C124" s="4" t="n">
        <v>40</v>
      </c>
      <c r="D124" s="4" t="str">
        <f aca="false">B124&amp;"-S"&amp;TEXT(C124,"00")</f>
        <v>2026-S40</v>
      </c>
      <c r="E124" s="12" t="s">
        <v>206</v>
      </c>
      <c r="F124" s="4" t="s">
        <v>118</v>
      </c>
      <c r="G124" s="13" t="n">
        <v>46293</v>
      </c>
      <c r="H124" s="4" t="s">
        <v>119</v>
      </c>
      <c r="I124" s="6" t="n">
        <v>100</v>
      </c>
      <c r="J124" s="12" t="str">
        <f aca="false">IF(I124="","Rapport manquant",IF(I124&gt;=85,"CONFORME (≥85%)","NON CONFORME (&lt;85%)"))</f>
        <v>CONFORME (≥85%)</v>
      </c>
      <c r="K124" s="4" t="n">
        <v>13</v>
      </c>
      <c r="L124" s="4" t="n">
        <v>0</v>
      </c>
      <c r="M124" s="4" t="n">
        <v>33</v>
      </c>
    </row>
    <row r="125" customFormat="false" ht="15" hidden="false" customHeight="false" outlineLevel="0" collapsed="false">
      <c r="A125" s="12" t="s">
        <v>6</v>
      </c>
      <c r="B125" s="4" t="n">
        <v>2026</v>
      </c>
      <c r="C125" s="4" t="n">
        <v>41</v>
      </c>
      <c r="D125" s="4" t="str">
        <f aca="false">B125&amp;"-S"&amp;TEXT(C125,"00")</f>
        <v>2026-S41</v>
      </c>
      <c r="E125" s="12" t="s">
        <v>207</v>
      </c>
      <c r="F125" s="4" t="s">
        <v>118</v>
      </c>
      <c r="G125" s="13" t="n">
        <v>46303</v>
      </c>
      <c r="H125" s="4" t="s">
        <v>119</v>
      </c>
      <c r="I125" s="6" t="n">
        <v>100</v>
      </c>
      <c r="J125" s="12" t="str">
        <f aca="false">IF(I125="","Rapport manquant",IF(I125&gt;=85,"CONFORME (≥85%)","NON CONFORME (&lt;85%)"))</f>
        <v>CONFORME (≥85%)</v>
      </c>
      <c r="K125" s="4" t="n">
        <v>15</v>
      </c>
      <c r="L125" s="4" t="n">
        <v>0</v>
      </c>
      <c r="M125" s="4" t="n">
        <v>31</v>
      </c>
    </row>
    <row r="126" customFormat="false" ht="15" hidden="false" customHeight="false" outlineLevel="0" collapsed="false">
      <c r="A126" s="12" t="s">
        <v>7</v>
      </c>
      <c r="B126" s="4" t="n">
        <v>2026</v>
      </c>
      <c r="C126" s="4" t="n">
        <v>41</v>
      </c>
      <c r="D126" s="4" t="str">
        <f aca="false">B126&amp;"-S"&amp;TEXT(C126,"00")</f>
        <v>2026-S41</v>
      </c>
      <c r="E126" s="12" t="s">
        <v>208</v>
      </c>
      <c r="F126" s="4" t="s">
        <v>118</v>
      </c>
      <c r="G126" s="13" t="n">
        <v>46306</v>
      </c>
      <c r="H126" s="4" t="s">
        <v>119</v>
      </c>
      <c r="I126" s="6" t="n">
        <v>100</v>
      </c>
      <c r="J126" s="12" t="str">
        <f aca="false">IF(I126="","Rapport manquant",IF(I126&gt;=85,"CONFORME (≥85%)","NON CONFORME (&lt;85%)"))</f>
        <v>CONFORME (≥85%)</v>
      </c>
      <c r="K126" s="4" t="n">
        <v>15</v>
      </c>
      <c r="L126" s="4" t="n">
        <v>0</v>
      </c>
      <c r="M126" s="4" t="n">
        <v>31</v>
      </c>
    </row>
    <row r="127" customFormat="false" ht="15" hidden="false" customHeight="false" outlineLevel="0" collapsed="false">
      <c r="A127" s="12" t="s">
        <v>9</v>
      </c>
      <c r="B127" s="4" t="n">
        <v>2026</v>
      </c>
      <c r="C127" s="4" t="n">
        <v>41</v>
      </c>
      <c r="D127" s="4" t="str">
        <f aca="false">B127&amp;"-S"&amp;TEXT(C127,"00")</f>
        <v>2026-S41</v>
      </c>
      <c r="E127" s="12" t="s">
        <v>209</v>
      </c>
      <c r="F127" s="4" t="s">
        <v>118</v>
      </c>
      <c r="G127" s="13" t="n">
        <v>46303</v>
      </c>
      <c r="H127" s="4" t="s">
        <v>119</v>
      </c>
      <c r="I127" s="6" t="n">
        <v>100</v>
      </c>
      <c r="J127" s="12" t="str">
        <f aca="false">IF(I127="","Rapport manquant",IF(I127&gt;=85,"CONFORME (≥85%)","NON CONFORME (&lt;85%)"))</f>
        <v>CONFORME (≥85%)</v>
      </c>
      <c r="K127" s="4" t="n">
        <v>15</v>
      </c>
      <c r="L127" s="4" t="n">
        <v>0</v>
      </c>
      <c r="M127" s="4" t="n">
        <v>31</v>
      </c>
    </row>
    <row r="128" customFormat="false" ht="15" hidden="false" customHeight="false" outlineLevel="0" collapsed="false">
      <c r="A128" s="12" t="s">
        <v>6</v>
      </c>
      <c r="B128" s="4" t="n">
        <v>2026</v>
      </c>
      <c r="C128" s="4" t="n">
        <v>42</v>
      </c>
      <c r="D128" s="4" t="str">
        <f aca="false">B128&amp;"-S"&amp;TEXT(C128,"00")</f>
        <v>2026-S42</v>
      </c>
      <c r="E128" s="12" t="s">
        <v>210</v>
      </c>
      <c r="F128" s="4" t="s">
        <v>118</v>
      </c>
      <c r="G128" s="13" t="n">
        <v>46307</v>
      </c>
      <c r="H128" s="4" t="s">
        <v>119</v>
      </c>
      <c r="I128" s="6" t="n">
        <v>100</v>
      </c>
      <c r="J128" s="12" t="str">
        <f aca="false">IF(I128="","Rapport manquant",IF(I128&gt;=85,"CONFORME (≥85%)","NON CONFORME (&lt;85%)"))</f>
        <v>CONFORME (≥85%)</v>
      </c>
      <c r="K128" s="4" t="n">
        <v>16</v>
      </c>
      <c r="L128" s="4" t="n">
        <v>0</v>
      </c>
      <c r="M128" s="4" t="n">
        <v>30</v>
      </c>
    </row>
    <row r="129" customFormat="false" ht="15" hidden="false" customHeight="false" outlineLevel="0" collapsed="false">
      <c r="A129" s="12" t="s">
        <v>7</v>
      </c>
      <c r="B129" s="4" t="n">
        <v>2026</v>
      </c>
      <c r="C129" s="4" t="n">
        <v>42</v>
      </c>
      <c r="D129" s="4" t="str">
        <f aca="false">B129&amp;"-S"&amp;TEXT(C129,"00")</f>
        <v>2026-S42</v>
      </c>
      <c r="E129" s="12" t="s">
        <v>211</v>
      </c>
      <c r="F129" s="4" t="s">
        <v>118</v>
      </c>
      <c r="G129" s="13" t="n">
        <v>46308</v>
      </c>
      <c r="H129" s="4" t="s">
        <v>119</v>
      </c>
      <c r="I129" s="6" t="n">
        <v>100</v>
      </c>
      <c r="J129" s="12" t="str">
        <f aca="false">IF(I129="","Rapport manquant",IF(I129&gt;=85,"CONFORME (≥85%)","NON CONFORME (&lt;85%)"))</f>
        <v>CONFORME (≥85%)</v>
      </c>
      <c r="K129" s="4" t="n">
        <v>16</v>
      </c>
      <c r="L129" s="4" t="n">
        <v>0</v>
      </c>
      <c r="M129" s="4" t="n">
        <v>30</v>
      </c>
    </row>
    <row r="130" customFormat="false" ht="15" hidden="false" customHeight="false" outlineLevel="0" collapsed="false">
      <c r="A130" s="12" t="s">
        <v>9</v>
      </c>
      <c r="B130" s="4" t="n">
        <v>2026</v>
      </c>
      <c r="C130" s="4" t="n">
        <v>42</v>
      </c>
      <c r="D130" s="4" t="str">
        <f aca="false">B130&amp;"-S"&amp;TEXT(C130,"00")</f>
        <v>2026-S42</v>
      </c>
      <c r="E130" s="12" t="s">
        <v>212</v>
      </c>
      <c r="F130" s="4" t="s">
        <v>118</v>
      </c>
      <c r="G130" s="13" t="n">
        <v>46313</v>
      </c>
      <c r="H130" s="4" t="s">
        <v>119</v>
      </c>
      <c r="I130" s="6" t="n">
        <v>100</v>
      </c>
      <c r="J130" s="12" t="str">
        <f aca="false">IF(I130="","Rapport manquant",IF(I130&gt;=85,"CONFORME (≥85%)","NON CONFORME (&lt;85%)"))</f>
        <v>CONFORME (≥85%)</v>
      </c>
      <c r="K130" s="4" t="n">
        <v>13</v>
      </c>
      <c r="L130" s="4" t="n">
        <v>0</v>
      </c>
      <c r="M130" s="4" t="n">
        <v>33</v>
      </c>
    </row>
    <row r="131" customFormat="false" ht="15" hidden="false" customHeight="false" outlineLevel="0" collapsed="false">
      <c r="A131" s="12" t="s">
        <v>6</v>
      </c>
      <c r="B131" s="4" t="n">
        <v>2026</v>
      </c>
      <c r="C131" s="4" t="n">
        <v>43</v>
      </c>
      <c r="D131" s="4" t="str">
        <f aca="false">B131&amp;"-S"&amp;TEXT(C131,"00")</f>
        <v>2026-S43</v>
      </c>
      <c r="E131" s="12" t="s">
        <v>213</v>
      </c>
      <c r="F131" s="4" t="s">
        <v>118</v>
      </c>
      <c r="G131" s="13" t="n">
        <v>46314</v>
      </c>
      <c r="H131" s="4" t="s">
        <v>119</v>
      </c>
      <c r="I131" s="6" t="n">
        <v>100</v>
      </c>
      <c r="J131" s="12" t="str">
        <f aca="false">IF(I131="","Rapport manquant",IF(I131&gt;=85,"CONFORME (≥85%)","NON CONFORME (&lt;85%)"))</f>
        <v>CONFORME (≥85%)</v>
      </c>
      <c r="K131" s="4" t="n">
        <v>13</v>
      </c>
      <c r="L131" s="4" t="n">
        <v>0</v>
      </c>
      <c r="M131" s="4" t="n">
        <v>33</v>
      </c>
    </row>
    <row r="132" customFormat="false" ht="15" hidden="false" customHeight="false" outlineLevel="0" collapsed="false">
      <c r="A132" s="12" t="s">
        <v>7</v>
      </c>
      <c r="B132" s="4" t="n">
        <v>2026</v>
      </c>
      <c r="C132" s="4" t="n">
        <v>43</v>
      </c>
      <c r="D132" s="4" t="str">
        <f aca="false">B132&amp;"-S"&amp;TEXT(C132,"00")</f>
        <v>2026-S43</v>
      </c>
      <c r="E132" s="12" t="s">
        <v>214</v>
      </c>
      <c r="F132" s="4" t="s">
        <v>118</v>
      </c>
      <c r="G132" s="13" t="n">
        <v>46317</v>
      </c>
      <c r="H132" s="4" t="s">
        <v>119</v>
      </c>
      <c r="I132" s="6" t="n">
        <v>100</v>
      </c>
      <c r="J132" s="12" t="str">
        <f aca="false">IF(I132="","Rapport manquant",IF(I132&gt;=85,"CONFORME (≥85%)","NON CONFORME (&lt;85%)"))</f>
        <v>CONFORME (≥85%)</v>
      </c>
      <c r="K132" s="4" t="n">
        <v>15</v>
      </c>
      <c r="L132" s="4" t="n">
        <v>0</v>
      </c>
      <c r="M132" s="4" t="n">
        <v>31</v>
      </c>
    </row>
    <row r="133" customFormat="false" ht="15" hidden="false" customHeight="false" outlineLevel="0" collapsed="false">
      <c r="A133" s="12" t="s">
        <v>9</v>
      </c>
      <c r="B133" s="4" t="n">
        <v>2026</v>
      </c>
      <c r="C133" s="4" t="n">
        <v>43</v>
      </c>
      <c r="D133" s="4" t="str">
        <f aca="false">B133&amp;"-S"&amp;TEXT(C133,"00")</f>
        <v>2026-S43</v>
      </c>
      <c r="E133" s="12" t="s">
        <v>215</v>
      </c>
      <c r="F133" s="4" t="s">
        <v>118</v>
      </c>
      <c r="G133" s="13" t="n">
        <v>46319</v>
      </c>
      <c r="H133" s="4" t="s">
        <v>119</v>
      </c>
      <c r="I133" s="6" t="n">
        <v>100</v>
      </c>
      <c r="J133" s="12" t="str">
        <f aca="false">IF(I133="","Rapport manquant",IF(I133&gt;=85,"CONFORME (≥85%)","NON CONFORME (&lt;85%)"))</f>
        <v>CONFORME (≥85%)</v>
      </c>
      <c r="K133" s="4" t="n">
        <v>15</v>
      </c>
      <c r="L133" s="4" t="n">
        <v>0</v>
      </c>
      <c r="M133" s="4" t="n">
        <v>31</v>
      </c>
    </row>
    <row r="134" customFormat="false" ht="15" hidden="false" customHeight="false" outlineLevel="0" collapsed="false">
      <c r="A134" s="12" t="s">
        <v>6</v>
      </c>
      <c r="B134" s="4" t="n">
        <v>2026</v>
      </c>
      <c r="C134" s="4" t="n">
        <v>44</v>
      </c>
      <c r="D134" s="4" t="str">
        <f aca="false">B134&amp;"-S"&amp;TEXT(C134,"00")</f>
        <v>2026-S44</v>
      </c>
      <c r="E134" s="12" t="s">
        <v>216</v>
      </c>
      <c r="F134" s="4" t="s">
        <v>118</v>
      </c>
      <c r="G134" s="13" t="n">
        <v>46324</v>
      </c>
      <c r="H134" s="4" t="s">
        <v>119</v>
      </c>
      <c r="I134" s="6" t="n">
        <v>100</v>
      </c>
      <c r="J134" s="12" t="str">
        <f aca="false">IF(I134="","Rapport manquant",IF(I134&gt;=85,"CONFORME (≥85%)","NON CONFORME (&lt;85%)"))</f>
        <v>CONFORME (≥85%)</v>
      </c>
      <c r="K134" s="4" t="n">
        <v>13</v>
      </c>
      <c r="L134" s="4" t="n">
        <v>0</v>
      </c>
      <c r="M134" s="4" t="n">
        <v>33</v>
      </c>
    </row>
  </sheetData>
  <autoFilter ref="A1:M134"/>
  <conditionalFormatting sqref="I2:I134">
    <cfRule type="cellIs" priority="2" operator="lessThan" aboveAverage="0" equalAverage="0" bottom="0" percent="0" rank="0" text="" dxfId="1">
      <formula>100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45"/>
    <col collapsed="false" customWidth="true" hidden="false" outlineLevel="0" max="5" min="5" style="0" width="90"/>
  </cols>
  <sheetData>
    <row r="1" customFormat="false" ht="15" hidden="false" customHeight="false" outlineLevel="0" collapsed="false">
      <c r="A1" s="3" t="s">
        <v>61</v>
      </c>
      <c r="B1" s="3" t="s">
        <v>2</v>
      </c>
      <c r="C1" s="3" t="s">
        <v>3</v>
      </c>
      <c r="D1" s="3" t="s">
        <v>74</v>
      </c>
      <c r="E1" s="3" t="s">
        <v>217</v>
      </c>
    </row>
    <row r="2" customFormat="false" ht="15" hidden="false" customHeight="false" outlineLevel="0" collapsed="false">
      <c r="A2" s="14" t="s">
        <v>5</v>
      </c>
      <c r="B2" s="14" t="n">
        <v>2025</v>
      </c>
      <c r="C2" s="14" t="n">
        <v>51</v>
      </c>
      <c r="D2" s="14" t="s">
        <v>218</v>
      </c>
      <c r="E2" s="14" t="s">
        <v>219</v>
      </c>
    </row>
    <row r="3" customFormat="false" ht="15" hidden="false" customHeight="false" outlineLevel="0" collapsed="false">
      <c r="A3" s="14" t="s">
        <v>6</v>
      </c>
      <c r="B3" s="14" t="n">
        <v>2025</v>
      </c>
      <c r="C3" s="14" t="n">
        <v>51</v>
      </c>
      <c r="D3" s="14" t="s">
        <v>218</v>
      </c>
      <c r="E3" s="14" t="s">
        <v>219</v>
      </c>
    </row>
    <row r="4" customFormat="false" ht="15" hidden="false" customHeight="false" outlineLevel="0" collapsed="false">
      <c r="A4" s="14" t="s">
        <v>7</v>
      </c>
      <c r="B4" s="14" t="n">
        <v>2025</v>
      </c>
      <c r="C4" s="14" t="n">
        <v>51</v>
      </c>
      <c r="D4" s="14" t="s">
        <v>218</v>
      </c>
      <c r="E4" s="14" t="s">
        <v>219</v>
      </c>
    </row>
    <row r="5" customFormat="false" ht="15" hidden="false" customHeight="false" outlineLevel="0" collapsed="false">
      <c r="A5" s="14" t="s">
        <v>8</v>
      </c>
      <c r="B5" s="14" t="n">
        <v>2025</v>
      </c>
      <c r="C5" s="14" t="n">
        <v>51</v>
      </c>
      <c r="D5" s="14" t="s">
        <v>218</v>
      </c>
      <c r="E5" s="14" t="s">
        <v>219</v>
      </c>
    </row>
    <row r="6" customFormat="false" ht="15" hidden="false" customHeight="false" outlineLevel="0" collapsed="false">
      <c r="A6" s="14" t="s">
        <v>5</v>
      </c>
      <c r="B6" s="14" t="n">
        <v>2025</v>
      </c>
      <c r="C6" s="14" t="n">
        <v>52</v>
      </c>
      <c r="D6" s="14" t="s">
        <v>218</v>
      </c>
      <c r="E6" s="14" t="s">
        <v>219</v>
      </c>
    </row>
    <row r="7" customFormat="false" ht="15" hidden="false" customHeight="false" outlineLevel="0" collapsed="false">
      <c r="A7" s="14" t="s">
        <v>6</v>
      </c>
      <c r="B7" s="14" t="n">
        <v>2025</v>
      </c>
      <c r="C7" s="14" t="n">
        <v>52</v>
      </c>
      <c r="D7" s="14" t="s">
        <v>218</v>
      </c>
      <c r="E7" s="14" t="s">
        <v>219</v>
      </c>
    </row>
    <row r="8" customFormat="false" ht="15" hidden="false" customHeight="false" outlineLevel="0" collapsed="false">
      <c r="A8" s="14" t="s">
        <v>7</v>
      </c>
      <c r="B8" s="14" t="n">
        <v>2025</v>
      </c>
      <c r="C8" s="14" t="n">
        <v>52</v>
      </c>
      <c r="D8" s="14" t="s">
        <v>218</v>
      </c>
      <c r="E8" s="14" t="s">
        <v>219</v>
      </c>
    </row>
    <row r="9" customFormat="false" ht="15" hidden="false" customHeight="false" outlineLevel="0" collapsed="false">
      <c r="A9" s="14" t="s">
        <v>8</v>
      </c>
      <c r="B9" s="14" t="n">
        <v>2025</v>
      </c>
      <c r="C9" s="14" t="n">
        <v>52</v>
      </c>
      <c r="D9" s="14" t="s">
        <v>218</v>
      </c>
      <c r="E9" s="14" t="s">
        <v>219</v>
      </c>
    </row>
    <row r="10" customFormat="false" ht="15" hidden="false" customHeight="false" outlineLevel="0" collapsed="false">
      <c r="A10" s="14" t="s">
        <v>5</v>
      </c>
      <c r="B10" s="14" t="n">
        <v>2026</v>
      </c>
      <c r="C10" s="14" t="n">
        <v>1</v>
      </c>
      <c r="D10" s="14" t="s">
        <v>218</v>
      </c>
      <c r="E10" s="14" t="s">
        <v>219</v>
      </c>
    </row>
    <row r="11" customFormat="false" ht="15" hidden="false" customHeight="false" outlineLevel="0" collapsed="false">
      <c r="A11" s="14" t="s">
        <v>6</v>
      </c>
      <c r="B11" s="14" t="n">
        <v>2026</v>
      </c>
      <c r="C11" s="14" t="n">
        <v>1</v>
      </c>
      <c r="D11" s="14" t="s">
        <v>218</v>
      </c>
      <c r="E11" s="14" t="s">
        <v>219</v>
      </c>
    </row>
    <row r="12" customFormat="false" ht="15" hidden="false" customHeight="false" outlineLevel="0" collapsed="false">
      <c r="A12" s="14" t="s">
        <v>7</v>
      </c>
      <c r="B12" s="14" t="n">
        <v>2026</v>
      </c>
      <c r="C12" s="14" t="n">
        <v>1</v>
      </c>
      <c r="D12" s="14" t="s">
        <v>218</v>
      </c>
      <c r="E12" s="14" t="s">
        <v>219</v>
      </c>
    </row>
    <row r="13" customFormat="false" ht="15" hidden="false" customHeight="false" outlineLevel="0" collapsed="false">
      <c r="A13" s="14" t="s">
        <v>8</v>
      </c>
      <c r="B13" s="14" t="n">
        <v>2026</v>
      </c>
      <c r="C13" s="14" t="n">
        <v>1</v>
      </c>
      <c r="D13" s="14" t="s">
        <v>218</v>
      </c>
      <c r="E13" s="14" t="s">
        <v>219</v>
      </c>
    </row>
    <row r="14" customFormat="false" ht="15" hidden="false" customHeight="false" outlineLevel="0" collapsed="false">
      <c r="A14" s="14" t="s">
        <v>5</v>
      </c>
      <c r="B14" s="14" t="n">
        <v>2026</v>
      </c>
      <c r="C14" s="14" t="n">
        <v>2</v>
      </c>
      <c r="D14" s="14" t="s">
        <v>218</v>
      </c>
      <c r="E14" s="14" t="s">
        <v>219</v>
      </c>
    </row>
    <row r="15" customFormat="false" ht="15" hidden="false" customHeight="false" outlineLevel="0" collapsed="false">
      <c r="A15" s="14" t="s">
        <v>6</v>
      </c>
      <c r="B15" s="14" t="n">
        <v>2026</v>
      </c>
      <c r="C15" s="14" t="n">
        <v>2</v>
      </c>
      <c r="D15" s="14" t="s">
        <v>218</v>
      </c>
      <c r="E15" s="14" t="s">
        <v>219</v>
      </c>
    </row>
    <row r="16" customFormat="false" ht="15" hidden="false" customHeight="false" outlineLevel="0" collapsed="false">
      <c r="A16" s="14" t="s">
        <v>7</v>
      </c>
      <c r="B16" s="14" t="n">
        <v>2026</v>
      </c>
      <c r="C16" s="14" t="n">
        <v>2</v>
      </c>
      <c r="D16" s="14" t="s">
        <v>218</v>
      </c>
      <c r="E16" s="14" t="s">
        <v>219</v>
      </c>
    </row>
    <row r="17" customFormat="false" ht="15" hidden="false" customHeight="false" outlineLevel="0" collapsed="false">
      <c r="A17" s="14" t="s">
        <v>8</v>
      </c>
      <c r="B17" s="14" t="n">
        <v>2026</v>
      </c>
      <c r="C17" s="14" t="n">
        <v>2</v>
      </c>
      <c r="D17" s="14" t="s">
        <v>218</v>
      </c>
      <c r="E17" s="14" t="s">
        <v>219</v>
      </c>
    </row>
    <row r="18" customFormat="false" ht="15" hidden="false" customHeight="false" outlineLevel="0" collapsed="false">
      <c r="A18" s="14" t="s">
        <v>5</v>
      </c>
      <c r="B18" s="14" t="n">
        <v>2026</v>
      </c>
      <c r="C18" s="14" t="n">
        <v>3</v>
      </c>
      <c r="D18" s="14" t="s">
        <v>218</v>
      </c>
      <c r="E18" s="14" t="s">
        <v>219</v>
      </c>
    </row>
    <row r="19" customFormat="false" ht="15" hidden="false" customHeight="false" outlineLevel="0" collapsed="false">
      <c r="A19" s="14" t="s">
        <v>6</v>
      </c>
      <c r="B19" s="14" t="n">
        <v>2026</v>
      </c>
      <c r="C19" s="14" t="n">
        <v>3</v>
      </c>
      <c r="D19" s="14" t="s">
        <v>218</v>
      </c>
      <c r="E19" s="14" t="s">
        <v>219</v>
      </c>
    </row>
    <row r="20" customFormat="false" ht="15" hidden="false" customHeight="false" outlineLevel="0" collapsed="false">
      <c r="A20" s="14" t="s">
        <v>7</v>
      </c>
      <c r="B20" s="14" t="n">
        <v>2026</v>
      </c>
      <c r="C20" s="14" t="n">
        <v>3</v>
      </c>
      <c r="D20" s="14" t="s">
        <v>218</v>
      </c>
      <c r="E20" s="14" t="s">
        <v>219</v>
      </c>
    </row>
    <row r="21" customFormat="false" ht="15" hidden="false" customHeight="false" outlineLevel="0" collapsed="false">
      <c r="A21" s="14" t="s">
        <v>8</v>
      </c>
      <c r="B21" s="14" t="n">
        <v>2026</v>
      </c>
      <c r="C21" s="14" t="n">
        <v>3</v>
      </c>
      <c r="D21" s="14" t="s">
        <v>218</v>
      </c>
      <c r="E21" s="14" t="s">
        <v>219</v>
      </c>
    </row>
    <row r="22" customFormat="false" ht="15" hidden="false" customHeight="false" outlineLevel="0" collapsed="false">
      <c r="A22" s="14" t="s">
        <v>5</v>
      </c>
      <c r="B22" s="14" t="n">
        <v>2026</v>
      </c>
      <c r="C22" s="14" t="n">
        <v>4</v>
      </c>
      <c r="D22" s="14" t="s">
        <v>218</v>
      </c>
      <c r="E22" s="14" t="s">
        <v>219</v>
      </c>
    </row>
    <row r="23" customFormat="false" ht="15" hidden="false" customHeight="false" outlineLevel="0" collapsed="false">
      <c r="A23" s="14" t="s">
        <v>6</v>
      </c>
      <c r="B23" s="14" t="n">
        <v>2026</v>
      </c>
      <c r="C23" s="14" t="n">
        <v>4</v>
      </c>
      <c r="D23" s="14" t="s">
        <v>218</v>
      </c>
      <c r="E23" s="14" t="s">
        <v>219</v>
      </c>
    </row>
    <row r="24" customFormat="false" ht="15" hidden="false" customHeight="false" outlineLevel="0" collapsed="false">
      <c r="A24" s="14" t="s">
        <v>7</v>
      </c>
      <c r="B24" s="14" t="n">
        <v>2026</v>
      </c>
      <c r="C24" s="14" t="n">
        <v>4</v>
      </c>
      <c r="D24" s="14" t="s">
        <v>218</v>
      </c>
      <c r="E24" s="14" t="s">
        <v>219</v>
      </c>
    </row>
    <row r="25" customFormat="false" ht="15" hidden="false" customHeight="false" outlineLevel="0" collapsed="false">
      <c r="A25" s="14" t="s">
        <v>8</v>
      </c>
      <c r="B25" s="14" t="n">
        <v>2026</v>
      </c>
      <c r="C25" s="14" t="n">
        <v>4</v>
      </c>
      <c r="D25" s="14" t="s">
        <v>218</v>
      </c>
      <c r="E25" s="14" t="s">
        <v>219</v>
      </c>
    </row>
    <row r="26" customFormat="false" ht="15" hidden="false" customHeight="false" outlineLevel="0" collapsed="false">
      <c r="A26" s="14" t="s">
        <v>5</v>
      </c>
      <c r="B26" s="14" t="n">
        <v>2026</v>
      </c>
      <c r="C26" s="14" t="n">
        <v>5</v>
      </c>
      <c r="D26" s="14" t="s">
        <v>218</v>
      </c>
      <c r="E26" s="14" t="s">
        <v>219</v>
      </c>
    </row>
    <row r="27" customFormat="false" ht="15" hidden="false" customHeight="false" outlineLevel="0" collapsed="false">
      <c r="A27" s="14" t="s">
        <v>5</v>
      </c>
      <c r="B27" s="14" t="n">
        <v>2026</v>
      </c>
      <c r="C27" s="14" t="n">
        <v>8</v>
      </c>
      <c r="D27" s="14" t="s">
        <v>218</v>
      </c>
      <c r="E27" s="14" t="s">
        <v>219</v>
      </c>
    </row>
    <row r="28" customFormat="false" ht="15" hidden="false" customHeight="false" outlineLevel="0" collapsed="false">
      <c r="A28" s="14" t="s">
        <v>6</v>
      </c>
      <c r="B28" s="14" t="n">
        <v>2026</v>
      </c>
      <c r="C28" s="14" t="n">
        <v>8</v>
      </c>
      <c r="D28" s="14" t="s">
        <v>218</v>
      </c>
      <c r="E28" s="14" t="s">
        <v>219</v>
      </c>
    </row>
    <row r="29" customFormat="false" ht="15" hidden="false" customHeight="false" outlineLevel="0" collapsed="false">
      <c r="A29" s="14" t="s">
        <v>7</v>
      </c>
      <c r="B29" s="14" t="n">
        <v>2026</v>
      </c>
      <c r="C29" s="14" t="n">
        <v>8</v>
      </c>
      <c r="D29" s="14" t="s">
        <v>218</v>
      </c>
      <c r="E29" s="14" t="s">
        <v>219</v>
      </c>
    </row>
    <row r="30" customFormat="false" ht="15" hidden="false" customHeight="false" outlineLevel="0" collapsed="false">
      <c r="A30" s="14" t="s">
        <v>8</v>
      </c>
      <c r="B30" s="14" t="n">
        <v>2026</v>
      </c>
      <c r="C30" s="14" t="n">
        <v>8</v>
      </c>
      <c r="D30" s="14" t="s">
        <v>218</v>
      </c>
      <c r="E30" s="14" t="s">
        <v>219</v>
      </c>
    </row>
    <row r="31" customFormat="false" ht="15" hidden="false" customHeight="false" outlineLevel="0" collapsed="false">
      <c r="A31" s="14" t="s">
        <v>5</v>
      </c>
      <c r="B31" s="14" t="n">
        <v>2026</v>
      </c>
      <c r="C31" s="14" t="n">
        <v>9</v>
      </c>
      <c r="D31" s="14" t="s">
        <v>218</v>
      </c>
      <c r="E31" s="14" t="s">
        <v>219</v>
      </c>
    </row>
    <row r="32" customFormat="false" ht="15" hidden="false" customHeight="false" outlineLevel="0" collapsed="false">
      <c r="A32" s="14" t="s">
        <v>6</v>
      </c>
      <c r="B32" s="14" t="n">
        <v>2026</v>
      </c>
      <c r="C32" s="14" t="n">
        <v>9</v>
      </c>
      <c r="D32" s="14" t="s">
        <v>218</v>
      </c>
      <c r="E32" s="14" t="s">
        <v>219</v>
      </c>
    </row>
    <row r="33" customFormat="false" ht="15" hidden="false" customHeight="false" outlineLevel="0" collapsed="false">
      <c r="A33" s="14" t="s">
        <v>7</v>
      </c>
      <c r="B33" s="14" t="n">
        <v>2026</v>
      </c>
      <c r="C33" s="14" t="n">
        <v>9</v>
      </c>
      <c r="D33" s="14" t="s">
        <v>218</v>
      </c>
      <c r="E33" s="14" t="s">
        <v>219</v>
      </c>
    </row>
    <row r="34" customFormat="false" ht="15" hidden="false" customHeight="false" outlineLevel="0" collapsed="false">
      <c r="A34" s="14" t="s">
        <v>8</v>
      </c>
      <c r="B34" s="14" t="n">
        <v>2026</v>
      </c>
      <c r="C34" s="14" t="n">
        <v>9</v>
      </c>
      <c r="D34" s="14" t="s">
        <v>218</v>
      </c>
      <c r="E34" s="14" t="s">
        <v>219</v>
      </c>
    </row>
    <row r="35" customFormat="false" ht="15" hidden="false" customHeight="false" outlineLevel="0" collapsed="false">
      <c r="A35" s="14" t="s">
        <v>5</v>
      </c>
      <c r="B35" s="14" t="n">
        <v>2026</v>
      </c>
      <c r="C35" s="14" t="n">
        <v>10</v>
      </c>
      <c r="D35" s="14" t="s">
        <v>218</v>
      </c>
      <c r="E35" s="14" t="s">
        <v>219</v>
      </c>
    </row>
    <row r="36" customFormat="false" ht="15" hidden="false" customHeight="false" outlineLevel="0" collapsed="false">
      <c r="A36" s="14" t="s">
        <v>6</v>
      </c>
      <c r="B36" s="14" t="n">
        <v>2026</v>
      </c>
      <c r="C36" s="14" t="n">
        <v>10</v>
      </c>
      <c r="D36" s="14" t="s">
        <v>218</v>
      </c>
      <c r="E36" s="14" t="s">
        <v>219</v>
      </c>
    </row>
    <row r="37" customFormat="false" ht="15" hidden="false" customHeight="false" outlineLevel="0" collapsed="false">
      <c r="A37" s="14" t="s">
        <v>7</v>
      </c>
      <c r="B37" s="14" t="n">
        <v>2026</v>
      </c>
      <c r="C37" s="14" t="n">
        <v>10</v>
      </c>
      <c r="D37" s="14" t="s">
        <v>218</v>
      </c>
      <c r="E37" s="14" t="s">
        <v>219</v>
      </c>
    </row>
    <row r="38" customFormat="false" ht="15" hidden="false" customHeight="false" outlineLevel="0" collapsed="false">
      <c r="A38" s="14" t="s">
        <v>8</v>
      </c>
      <c r="B38" s="14" t="n">
        <v>2026</v>
      </c>
      <c r="C38" s="14" t="n">
        <v>10</v>
      </c>
      <c r="D38" s="14" t="s">
        <v>218</v>
      </c>
      <c r="E38" s="14" t="s">
        <v>219</v>
      </c>
    </row>
    <row r="39" customFormat="false" ht="15" hidden="false" customHeight="false" outlineLevel="0" collapsed="false">
      <c r="A39" s="14" t="s">
        <v>5</v>
      </c>
      <c r="B39" s="14" t="n">
        <v>2026</v>
      </c>
      <c r="C39" s="14" t="n">
        <v>11</v>
      </c>
      <c r="D39" s="14" t="s">
        <v>218</v>
      </c>
      <c r="E39" s="14" t="s">
        <v>219</v>
      </c>
    </row>
    <row r="40" customFormat="false" ht="15" hidden="false" customHeight="false" outlineLevel="0" collapsed="false">
      <c r="A40" s="14" t="s">
        <v>6</v>
      </c>
      <c r="B40" s="14" t="n">
        <v>2026</v>
      </c>
      <c r="C40" s="14" t="n">
        <v>11</v>
      </c>
      <c r="D40" s="14" t="s">
        <v>218</v>
      </c>
      <c r="E40" s="14" t="s">
        <v>219</v>
      </c>
    </row>
    <row r="41" customFormat="false" ht="15" hidden="false" customHeight="false" outlineLevel="0" collapsed="false">
      <c r="A41" s="14" t="s">
        <v>7</v>
      </c>
      <c r="B41" s="14" t="n">
        <v>2026</v>
      </c>
      <c r="C41" s="14" t="n">
        <v>11</v>
      </c>
      <c r="D41" s="14" t="s">
        <v>218</v>
      </c>
      <c r="E41" s="14" t="s">
        <v>219</v>
      </c>
    </row>
    <row r="42" customFormat="false" ht="15" hidden="false" customHeight="false" outlineLevel="0" collapsed="false">
      <c r="A42" s="14" t="s">
        <v>7</v>
      </c>
      <c r="B42" s="14" t="n">
        <v>2026</v>
      </c>
      <c r="C42" s="14" t="n">
        <v>11</v>
      </c>
      <c r="D42" s="14" t="s">
        <v>133</v>
      </c>
      <c r="E42" s="14" t="s">
        <v>220</v>
      </c>
    </row>
    <row r="43" customFormat="false" ht="15" hidden="false" customHeight="false" outlineLevel="0" collapsed="false">
      <c r="A43" s="14" t="s">
        <v>8</v>
      </c>
      <c r="B43" s="14" t="n">
        <v>2026</v>
      </c>
      <c r="C43" s="14" t="n">
        <v>11</v>
      </c>
      <c r="D43" s="14" t="s">
        <v>218</v>
      </c>
      <c r="E43" s="14" t="s">
        <v>219</v>
      </c>
    </row>
    <row r="44" customFormat="false" ht="15" hidden="false" customHeight="false" outlineLevel="0" collapsed="false">
      <c r="A44" s="14" t="s">
        <v>8</v>
      </c>
      <c r="B44" s="14" t="n">
        <v>2026</v>
      </c>
      <c r="C44" s="14" t="n">
        <v>11</v>
      </c>
      <c r="D44" s="14" t="s">
        <v>135</v>
      </c>
      <c r="E44" s="14" t="s">
        <v>220</v>
      </c>
    </row>
    <row r="45" customFormat="false" ht="15" hidden="false" customHeight="false" outlineLevel="0" collapsed="false">
      <c r="A45" s="14" t="s">
        <v>5</v>
      </c>
      <c r="B45" s="14" t="n">
        <v>2026</v>
      </c>
      <c r="C45" s="14" t="n">
        <v>12</v>
      </c>
      <c r="D45" s="14" t="s">
        <v>218</v>
      </c>
      <c r="E45" s="14" t="s">
        <v>219</v>
      </c>
    </row>
    <row r="46" customFormat="false" ht="15" hidden="false" customHeight="false" outlineLevel="0" collapsed="false">
      <c r="A46" s="14" t="s">
        <v>6</v>
      </c>
      <c r="B46" s="14" t="n">
        <v>2026</v>
      </c>
      <c r="C46" s="14" t="n">
        <v>12</v>
      </c>
      <c r="D46" s="14" t="s">
        <v>218</v>
      </c>
      <c r="E46" s="14" t="s">
        <v>219</v>
      </c>
    </row>
    <row r="47" customFormat="false" ht="15" hidden="false" customHeight="false" outlineLevel="0" collapsed="false">
      <c r="A47" s="14" t="s">
        <v>7</v>
      </c>
      <c r="B47" s="14" t="n">
        <v>2026</v>
      </c>
      <c r="C47" s="14" t="n">
        <v>12</v>
      </c>
      <c r="D47" s="14" t="s">
        <v>218</v>
      </c>
      <c r="E47" s="14" t="s">
        <v>219</v>
      </c>
    </row>
    <row r="48" customFormat="false" ht="15" hidden="false" customHeight="false" outlineLevel="0" collapsed="false">
      <c r="A48" s="14" t="s">
        <v>8</v>
      </c>
      <c r="B48" s="14" t="n">
        <v>2026</v>
      </c>
      <c r="C48" s="14" t="n">
        <v>12</v>
      </c>
      <c r="D48" s="14" t="s">
        <v>218</v>
      </c>
      <c r="E48" s="14" t="s">
        <v>219</v>
      </c>
    </row>
    <row r="49" customFormat="false" ht="15" hidden="false" customHeight="false" outlineLevel="0" collapsed="false">
      <c r="A49" s="14" t="s">
        <v>5</v>
      </c>
      <c r="B49" s="14" t="n">
        <v>2026</v>
      </c>
      <c r="C49" s="14" t="n">
        <v>16</v>
      </c>
      <c r="D49" s="14" t="s">
        <v>218</v>
      </c>
      <c r="E49" s="14" t="s">
        <v>219</v>
      </c>
    </row>
    <row r="50" customFormat="false" ht="15" hidden="false" customHeight="false" outlineLevel="0" collapsed="false">
      <c r="A50" s="14" t="s">
        <v>5</v>
      </c>
      <c r="B50" s="14" t="n">
        <v>2026</v>
      </c>
      <c r="C50" s="14" t="n">
        <v>16</v>
      </c>
      <c r="D50" s="14" t="s">
        <v>139</v>
      </c>
      <c r="E50" s="14" t="s">
        <v>220</v>
      </c>
    </row>
    <row r="51" customFormat="false" ht="15" hidden="false" customHeight="false" outlineLevel="0" collapsed="false">
      <c r="A51" s="14" t="s">
        <v>6</v>
      </c>
      <c r="B51" s="14" t="n">
        <v>2026</v>
      </c>
      <c r="C51" s="14" t="n">
        <v>16</v>
      </c>
      <c r="D51" s="14" t="s">
        <v>218</v>
      </c>
      <c r="E51" s="14" t="s">
        <v>219</v>
      </c>
    </row>
    <row r="52" customFormat="false" ht="15" hidden="false" customHeight="false" outlineLevel="0" collapsed="false">
      <c r="A52" s="14" t="s">
        <v>7</v>
      </c>
      <c r="B52" s="14" t="n">
        <v>2026</v>
      </c>
      <c r="C52" s="14" t="n">
        <v>16</v>
      </c>
      <c r="D52" s="14" t="s">
        <v>218</v>
      </c>
      <c r="E52" s="14" t="s">
        <v>219</v>
      </c>
    </row>
    <row r="53" customFormat="false" ht="15" hidden="false" customHeight="false" outlineLevel="0" collapsed="false">
      <c r="A53" s="14" t="s">
        <v>8</v>
      </c>
      <c r="B53" s="14" t="n">
        <v>2026</v>
      </c>
      <c r="C53" s="14" t="n">
        <v>16</v>
      </c>
      <c r="D53" s="14" t="s">
        <v>218</v>
      </c>
      <c r="E53" s="14" t="s">
        <v>219</v>
      </c>
    </row>
    <row r="54" customFormat="false" ht="15" hidden="false" customHeight="false" outlineLevel="0" collapsed="false">
      <c r="A54" s="14" t="s">
        <v>5</v>
      </c>
      <c r="B54" s="14" t="n">
        <v>2026</v>
      </c>
      <c r="C54" s="14" t="n">
        <v>17</v>
      </c>
      <c r="D54" s="14" t="s">
        <v>218</v>
      </c>
      <c r="E54" s="14" t="s">
        <v>219</v>
      </c>
    </row>
    <row r="55" customFormat="false" ht="15" hidden="false" customHeight="false" outlineLevel="0" collapsed="false">
      <c r="A55" s="14" t="s">
        <v>6</v>
      </c>
      <c r="B55" s="14" t="n">
        <v>2026</v>
      </c>
      <c r="C55" s="14" t="n">
        <v>17</v>
      </c>
      <c r="D55" s="14" t="s">
        <v>218</v>
      </c>
      <c r="E55" s="14" t="s">
        <v>219</v>
      </c>
    </row>
    <row r="56" customFormat="false" ht="15" hidden="false" customHeight="false" outlineLevel="0" collapsed="false">
      <c r="A56" s="14" t="s">
        <v>7</v>
      </c>
      <c r="B56" s="14" t="n">
        <v>2026</v>
      </c>
      <c r="C56" s="14" t="n">
        <v>17</v>
      </c>
      <c r="D56" s="14" t="s">
        <v>218</v>
      </c>
      <c r="E56" s="14" t="s">
        <v>219</v>
      </c>
    </row>
    <row r="57" customFormat="false" ht="15" hidden="false" customHeight="false" outlineLevel="0" collapsed="false">
      <c r="A57" s="14" t="s">
        <v>8</v>
      </c>
      <c r="B57" s="14" t="n">
        <v>2026</v>
      </c>
      <c r="C57" s="14" t="n">
        <v>17</v>
      </c>
      <c r="D57" s="14" t="s">
        <v>218</v>
      </c>
      <c r="E57" s="14" t="s">
        <v>219</v>
      </c>
    </row>
    <row r="58" customFormat="false" ht="15" hidden="false" customHeight="false" outlineLevel="0" collapsed="false">
      <c r="A58" s="14" t="s">
        <v>6</v>
      </c>
      <c r="B58" s="14" t="n">
        <v>2026</v>
      </c>
      <c r="C58" s="14" t="n">
        <v>18</v>
      </c>
      <c r="D58" s="14" t="s">
        <v>218</v>
      </c>
      <c r="E58" s="14" t="s">
        <v>219</v>
      </c>
    </row>
    <row r="59" customFormat="false" ht="15" hidden="false" customHeight="false" outlineLevel="0" collapsed="false">
      <c r="A59" s="14" t="s">
        <v>7</v>
      </c>
      <c r="B59" s="14" t="n">
        <v>2026</v>
      </c>
      <c r="C59" s="14" t="n">
        <v>18</v>
      </c>
      <c r="D59" s="14" t="s">
        <v>218</v>
      </c>
      <c r="E59" s="14" t="s">
        <v>219</v>
      </c>
    </row>
    <row r="60" customFormat="false" ht="15" hidden="false" customHeight="false" outlineLevel="0" collapsed="false">
      <c r="A60" s="14" t="s">
        <v>8</v>
      </c>
      <c r="B60" s="14" t="n">
        <v>2026</v>
      </c>
      <c r="C60" s="14" t="n">
        <v>18</v>
      </c>
      <c r="D60" s="14" t="s">
        <v>218</v>
      </c>
      <c r="E60" s="14" t="s">
        <v>219</v>
      </c>
    </row>
    <row r="61" customFormat="false" ht="15" hidden="false" customHeight="false" outlineLevel="0" collapsed="false">
      <c r="A61" s="14" t="s">
        <v>6</v>
      </c>
      <c r="B61" s="14" t="n">
        <v>2026</v>
      </c>
      <c r="C61" s="14" t="n">
        <v>19</v>
      </c>
      <c r="D61" s="14" t="s">
        <v>218</v>
      </c>
      <c r="E61" s="14" t="s">
        <v>219</v>
      </c>
    </row>
    <row r="62" customFormat="false" ht="15" hidden="false" customHeight="false" outlineLevel="0" collapsed="false">
      <c r="A62" s="14" t="s">
        <v>7</v>
      </c>
      <c r="B62" s="14" t="n">
        <v>2026</v>
      </c>
      <c r="C62" s="14" t="n">
        <v>19</v>
      </c>
      <c r="D62" s="14" t="s">
        <v>218</v>
      </c>
      <c r="E62" s="14" t="s">
        <v>219</v>
      </c>
    </row>
    <row r="63" customFormat="false" ht="15" hidden="false" customHeight="false" outlineLevel="0" collapsed="false">
      <c r="A63" s="14" t="s">
        <v>8</v>
      </c>
      <c r="B63" s="14" t="n">
        <v>2026</v>
      </c>
      <c r="C63" s="14" t="n">
        <v>19</v>
      </c>
      <c r="D63" s="14" t="s">
        <v>218</v>
      </c>
      <c r="E63" s="14" t="s">
        <v>219</v>
      </c>
    </row>
    <row r="64" customFormat="false" ht="15" hidden="false" customHeight="false" outlineLevel="0" collapsed="false">
      <c r="A64" s="14" t="s">
        <v>6</v>
      </c>
      <c r="B64" s="14" t="n">
        <v>2026</v>
      </c>
      <c r="C64" s="14" t="n">
        <v>20</v>
      </c>
      <c r="D64" s="14" t="s">
        <v>218</v>
      </c>
      <c r="E64" s="14" t="s">
        <v>219</v>
      </c>
    </row>
    <row r="65" customFormat="false" ht="15" hidden="false" customHeight="false" outlineLevel="0" collapsed="false">
      <c r="A65" s="14" t="s">
        <v>7</v>
      </c>
      <c r="B65" s="14" t="n">
        <v>2026</v>
      </c>
      <c r="C65" s="14" t="n">
        <v>20</v>
      </c>
      <c r="D65" s="14" t="s">
        <v>218</v>
      </c>
      <c r="E65" s="14" t="s">
        <v>219</v>
      </c>
    </row>
    <row r="66" customFormat="false" ht="15" hidden="false" customHeight="false" outlineLevel="0" collapsed="false">
      <c r="A66" s="14" t="s">
        <v>6</v>
      </c>
      <c r="B66" s="14" t="n">
        <v>2026</v>
      </c>
      <c r="C66" s="14" t="n">
        <v>21</v>
      </c>
      <c r="D66" s="14" t="s">
        <v>218</v>
      </c>
      <c r="E66" s="14" t="s">
        <v>219</v>
      </c>
    </row>
    <row r="67" customFormat="false" ht="15" hidden="false" customHeight="false" outlineLevel="0" collapsed="false">
      <c r="A67" s="14" t="s">
        <v>7</v>
      </c>
      <c r="B67" s="14" t="n">
        <v>2026</v>
      </c>
      <c r="C67" s="14" t="n">
        <v>21</v>
      </c>
      <c r="D67" s="14" t="s">
        <v>218</v>
      </c>
      <c r="E67" s="14" t="s">
        <v>219</v>
      </c>
    </row>
    <row r="68" customFormat="false" ht="15" hidden="false" customHeight="false" outlineLevel="0" collapsed="false">
      <c r="A68" s="14" t="s">
        <v>6</v>
      </c>
      <c r="B68" s="14" t="n">
        <v>2026</v>
      </c>
      <c r="C68" s="14" t="n">
        <v>22</v>
      </c>
      <c r="D68" s="14" t="s">
        <v>218</v>
      </c>
      <c r="E68" s="14" t="s">
        <v>219</v>
      </c>
    </row>
    <row r="69" customFormat="false" ht="15" hidden="false" customHeight="false" outlineLevel="0" collapsed="false">
      <c r="A69" s="14" t="s">
        <v>7</v>
      </c>
      <c r="B69" s="14" t="n">
        <v>2026</v>
      </c>
      <c r="C69" s="14" t="n">
        <v>22</v>
      </c>
      <c r="D69" s="14" t="s">
        <v>218</v>
      </c>
      <c r="E69" s="14" t="s">
        <v>219</v>
      </c>
    </row>
    <row r="70" customFormat="false" ht="15" hidden="false" customHeight="false" outlineLevel="0" collapsed="false">
      <c r="A70" s="14" t="s">
        <v>8</v>
      </c>
      <c r="B70" s="14" t="n">
        <v>2026</v>
      </c>
      <c r="C70" s="14" t="n">
        <v>23</v>
      </c>
      <c r="D70" s="14" t="s">
        <v>161</v>
      </c>
      <c r="E70" s="14" t="s">
        <v>221</v>
      </c>
    </row>
    <row r="71" customFormat="false" ht="23.85" hidden="false" customHeight="false" outlineLevel="0" collapsed="false">
      <c r="A71" s="14" t="s">
        <v>6</v>
      </c>
      <c r="B71" s="14" t="n">
        <v>2026</v>
      </c>
      <c r="C71" s="14" t="n">
        <v>24</v>
      </c>
      <c r="D71" s="14" t="s">
        <v>162</v>
      </c>
      <c r="E71" s="14" t="s">
        <v>222</v>
      </c>
    </row>
    <row r="72" customFormat="false" ht="15" hidden="false" customHeight="false" outlineLevel="0" collapsed="false">
      <c r="A72" s="14" t="s">
        <v>6</v>
      </c>
      <c r="B72" s="14" t="n">
        <v>2026</v>
      </c>
      <c r="C72" s="14" t="n">
        <v>24</v>
      </c>
      <c r="D72" s="14" t="s">
        <v>162</v>
      </c>
      <c r="E72" s="14" t="s">
        <v>221</v>
      </c>
    </row>
    <row r="73" customFormat="false" ht="23.85" hidden="false" customHeight="false" outlineLevel="0" collapsed="false">
      <c r="A73" s="14" t="s">
        <v>6</v>
      </c>
      <c r="B73" s="14" t="n">
        <v>2026</v>
      </c>
      <c r="C73" s="14" t="n">
        <v>25</v>
      </c>
      <c r="D73" s="14" t="s">
        <v>165</v>
      </c>
      <c r="E73" s="14" t="s">
        <v>223</v>
      </c>
    </row>
    <row r="74" customFormat="false" ht="15" hidden="false" customHeight="false" outlineLevel="0" collapsed="false">
      <c r="A74" s="14" t="s">
        <v>6</v>
      </c>
      <c r="B74" s="14" t="n">
        <v>2026</v>
      </c>
      <c r="C74" s="14" t="n">
        <v>25</v>
      </c>
      <c r="D74" s="14" t="s">
        <v>165</v>
      </c>
      <c r="E74" s="14" t="s">
        <v>221</v>
      </c>
    </row>
    <row r="75" customFormat="false" ht="15" hidden="false" customHeight="false" outlineLevel="0" collapsed="false">
      <c r="A75" s="14" t="s">
        <v>8</v>
      </c>
      <c r="B75" s="14" t="n">
        <v>2026</v>
      </c>
      <c r="C75" s="14" t="n">
        <v>25</v>
      </c>
      <c r="D75" s="14" t="s">
        <v>167</v>
      </c>
      <c r="E75" s="14" t="s">
        <v>221</v>
      </c>
    </row>
    <row r="76" customFormat="false" ht="15" hidden="false" customHeight="false" outlineLevel="0" collapsed="false">
      <c r="A76" s="14" t="s">
        <v>8</v>
      </c>
      <c r="B76" s="14" t="n">
        <v>2026</v>
      </c>
      <c r="C76" s="14" t="n">
        <v>26</v>
      </c>
      <c r="D76" s="14" t="s">
        <v>170</v>
      </c>
      <c r="E76" s="14" t="s">
        <v>221</v>
      </c>
    </row>
    <row r="77" customFormat="false" ht="15" hidden="false" customHeight="false" outlineLevel="0" collapsed="false">
      <c r="A77" s="14" t="s">
        <v>6</v>
      </c>
      <c r="B77" s="14" t="n">
        <v>2026</v>
      </c>
      <c r="C77" s="14" t="n">
        <v>27</v>
      </c>
      <c r="D77" s="14" t="s">
        <v>171</v>
      </c>
      <c r="E77" s="14" t="s">
        <v>221</v>
      </c>
    </row>
    <row r="78" customFormat="false" ht="15" hidden="false" customHeight="false" outlineLevel="0" collapsed="false">
      <c r="A78" s="14" t="s">
        <v>6</v>
      </c>
      <c r="B78" s="14" t="n">
        <v>2026</v>
      </c>
      <c r="C78" s="14" t="n">
        <v>31</v>
      </c>
      <c r="D78" s="14" t="s">
        <v>176</v>
      </c>
      <c r="E78" s="14" t="s">
        <v>221</v>
      </c>
    </row>
    <row r="79" customFormat="false" ht="15" hidden="false" customHeight="false" outlineLevel="0" collapsed="false">
      <c r="A79" s="14" t="s">
        <v>8</v>
      </c>
      <c r="B79" s="14" t="n">
        <v>2026</v>
      </c>
      <c r="C79" s="14" t="n">
        <v>31</v>
      </c>
      <c r="D79" s="14" t="s">
        <v>183</v>
      </c>
      <c r="E79" s="14" t="s">
        <v>221</v>
      </c>
    </row>
    <row r="80" customFormat="false" ht="15" hidden="false" customHeight="false" outlineLevel="0" collapsed="false">
      <c r="A80" s="14" t="s">
        <v>6</v>
      </c>
      <c r="B80" s="14" t="n">
        <v>2026</v>
      </c>
      <c r="C80" s="14" t="n">
        <v>35</v>
      </c>
      <c r="D80" s="14" t="s">
        <v>218</v>
      </c>
      <c r="E80" s="14" t="s">
        <v>219</v>
      </c>
    </row>
    <row r="81" customFormat="false" ht="15" hidden="false" customHeight="false" outlineLevel="0" collapsed="false">
      <c r="A81" s="14" t="s">
        <v>7</v>
      </c>
      <c r="B81" s="14" t="n">
        <v>2026</v>
      </c>
      <c r="C81" s="14" t="n">
        <v>36</v>
      </c>
      <c r="D81" s="14" t="s">
        <v>218</v>
      </c>
      <c r="E81" s="14" t="s">
        <v>219</v>
      </c>
    </row>
    <row r="82" customFormat="false" ht="15" hidden="false" customHeight="false" outlineLevel="0" collapsed="false">
      <c r="A82" s="14" t="s">
        <v>8</v>
      </c>
      <c r="B82" s="14" t="n">
        <v>2026</v>
      </c>
      <c r="C82" s="14" t="n">
        <v>39</v>
      </c>
      <c r="D82" s="14" t="s">
        <v>218</v>
      </c>
      <c r="E82" s="14" t="s">
        <v>219</v>
      </c>
    </row>
    <row r="83" customFormat="false" ht="15" hidden="false" customHeight="false" outlineLevel="0" collapsed="false">
      <c r="A83" s="14" t="s">
        <v>8</v>
      </c>
      <c r="B83" s="14" t="n">
        <v>2026</v>
      </c>
      <c r="C83" s="14" t="n">
        <v>40</v>
      </c>
      <c r="D83" s="14" t="s">
        <v>218</v>
      </c>
      <c r="E83" s="14" t="s">
        <v>219</v>
      </c>
    </row>
    <row r="84" customFormat="false" ht="15" hidden="false" customHeight="false" outlineLevel="0" collapsed="false">
      <c r="A84" s="14" t="s">
        <v>8</v>
      </c>
      <c r="B84" s="14" t="n">
        <v>2026</v>
      </c>
      <c r="C84" s="14" t="n">
        <v>41</v>
      </c>
      <c r="D84" s="14" t="s">
        <v>218</v>
      </c>
      <c r="E84" s="14" t="s">
        <v>219</v>
      </c>
    </row>
    <row r="85" customFormat="false" ht="15" hidden="false" customHeight="false" outlineLevel="0" collapsed="false">
      <c r="A85" s="14" t="s">
        <v>8</v>
      </c>
      <c r="B85" s="14" t="n">
        <v>2026</v>
      </c>
      <c r="C85" s="14" t="n">
        <v>42</v>
      </c>
      <c r="D85" s="14" t="s">
        <v>218</v>
      </c>
      <c r="E85" s="14" t="s">
        <v>219</v>
      </c>
    </row>
    <row r="86" customFormat="false" ht="15" hidden="false" customHeight="false" outlineLevel="0" collapsed="false">
      <c r="A86" s="14" t="s">
        <v>8</v>
      </c>
      <c r="B86" s="14" t="n">
        <v>2026</v>
      </c>
      <c r="C86" s="14" t="n">
        <v>43</v>
      </c>
      <c r="D86" s="14" t="s">
        <v>218</v>
      </c>
      <c r="E86" s="14" t="s">
        <v>219</v>
      </c>
    </row>
    <row r="87" customFormat="false" ht="15" hidden="false" customHeight="false" outlineLevel="0" collapsed="false">
      <c r="A87" s="14" t="s">
        <v>6</v>
      </c>
      <c r="B87" s="14" t="n">
        <v>2026</v>
      </c>
      <c r="C87" s="14" t="n">
        <v>44</v>
      </c>
      <c r="D87" s="14" t="s">
        <v>216</v>
      </c>
      <c r="E87" s="14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2026-10-27T09:39:42Z</dcterms:created>
  <dc:creator>openpyxl</dc:creator>
  <dc:description/>
  <dc:language>en-US</dc:language>
  <cp:lastModifiedBy/>
  <dcterms:modified xsi:type="dcterms:W3CDTF">2026-10-27T09:39:42Z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