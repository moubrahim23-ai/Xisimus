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ynthèse hebdo" sheetId="1" state="visible" r:id="rId1"/>
    <sheet xmlns:r="http://schemas.openxmlformats.org/officeDocument/2006/relationships" name="Par collaborateur" sheetId="2" state="visible" r:id="rId2"/>
    <sheet xmlns:r="http://schemas.openxmlformats.org/officeDocument/2006/relationships" name="Détail" sheetId="3" state="visible" r:id="rId3"/>
    <sheet xmlns:r="http://schemas.openxmlformats.org/officeDocument/2006/relationships" name="Remarques" sheetId="4" state="visible" r:id="rId4"/>
  </sheets>
  <definedNames>
    <definedName name="_xlnm._FilterDatabase" localSheetId="2" hidden="1">'Détail'!$A$1:$AA$142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;\-0;\–"/>
    <numFmt numFmtId="165" formatCode="0.0"/>
    <numFmt numFmtId="166" formatCode="dd/mm/yyyy"/>
    <numFmt numFmtId="167" formatCode="[hh]:mm:ss"/>
    <numFmt numFmtId="168" formatCode="0.0%"/>
    <numFmt numFmtId="169" formatCode="[h]:mm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001F4E78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bottom style="thin">
        <color rgb="00FFFFF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165" fontId="7" fillId="0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center" vertical="bottom"/>
    </xf>
    <xf numFmtId="165" fontId="8" fillId="3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left" vertical="bottom"/>
    </xf>
    <xf numFmtId="0" fontId="8" fillId="3" borderId="1" applyAlignment="1" pivotButton="0" quotePrefix="0" xfId="0">
      <alignment horizontal="left" vertical="bottom"/>
    </xf>
    <xf numFmtId="0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165" fontId="7" fillId="4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165" fontId="7" fillId="0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center" vertical="bottom"/>
    </xf>
    <xf numFmtId="0" fontId="0" fillId="0" borderId="8" pivotButton="0" quotePrefix="0" xfId="0"/>
    <xf numFmtId="165" fontId="8" fillId="3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left" vertical="bottom"/>
    </xf>
    <xf numFmtId="0" fontId="8" fillId="3" borderId="1" applyAlignment="1" pivotButton="0" quotePrefix="0" xfId="0">
      <alignment horizontal="left" vertical="bottom"/>
    </xf>
    <xf numFmtId="0" fontId="9" fillId="5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center" wrapText="1"/>
    </xf>
    <xf numFmtId="169" fontId="7" fillId="0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5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18" min="1" max="1"/>
    <col width="9" customWidth="1" style="18" min="2" max="2"/>
    <col width="25" customWidth="1" style="18" min="3" max="3"/>
    <col width="11" customWidth="1" style="18" min="4" max="15"/>
  </cols>
  <sheetData>
    <row r="1" ht="17.35" customHeight="1" s="19">
      <c r="A1" s="20" t="inlineStr">
        <is>
          <t>Synthèse des évaluations par collaborateur et par semaine</t>
        </is>
      </c>
    </row>
    <row r="2" ht="15" customHeight="1" s="19">
      <c r="A2" s="21" t="inlineStr">
        <is>
          <t>Nb docs = documents traités dans la semaine ; Note moy. = moyenne des notes /100 des documents évalués (cellule vide = aucun document). Calculé par formules à partir de l'onglet « Détail ».</t>
        </is>
      </c>
    </row>
    <row r="4" ht="30" customHeight="1" s="19">
      <c r="A4" s="22" t="inlineStr">
        <is>
          <t>Année</t>
        </is>
      </c>
      <c r="B4" s="22" t="inlineStr">
        <is>
          <t>Semaine</t>
        </is>
      </c>
      <c r="C4" s="22" t="inlineStr">
        <is>
          <t>Période (lun.–dim.)</t>
        </is>
      </c>
      <c r="D4" s="22" t="inlineStr">
        <is>
          <t>Hafssa BENCHRIF</t>
        </is>
      </c>
      <c r="E4" s="23" t="n"/>
      <c r="F4" s="22" t="inlineStr">
        <is>
          <t>Hiba LISSAOUI</t>
        </is>
      </c>
      <c r="G4" s="23" t="n"/>
      <c r="H4" s="22" t="inlineStr">
        <is>
          <t>Imad RMAIDI</t>
        </is>
      </c>
      <c r="I4" s="23" t="n"/>
      <c r="J4" s="22" t="inlineStr">
        <is>
          <t>Mohamed HAMDANI</t>
        </is>
      </c>
      <c r="K4" s="23" t="n"/>
      <c r="L4" s="22" t="inlineStr">
        <is>
          <t>Youssef</t>
        </is>
      </c>
      <c r="M4" s="23" t="n"/>
      <c r="N4" s="22" t="inlineStr">
        <is>
          <t>Équipe</t>
        </is>
      </c>
      <c r="O4" s="23" t="n"/>
    </row>
    <row r="5" ht="15" customHeight="1" s="19">
      <c r="A5" s="24" t="n"/>
      <c r="B5" s="24" t="n"/>
      <c r="C5" s="24" t="n"/>
      <c r="D5" s="22" t="inlineStr">
        <is>
          <t>Nb docs</t>
        </is>
      </c>
      <c r="E5" s="22" t="inlineStr">
        <is>
          <t>Note moy.</t>
        </is>
      </c>
      <c r="F5" s="22" t="inlineStr">
        <is>
          <t>Nb docs</t>
        </is>
      </c>
      <c r="G5" s="22" t="inlineStr">
        <is>
          <t>Note moy.</t>
        </is>
      </c>
      <c r="H5" s="22" t="inlineStr">
        <is>
          <t>Nb docs</t>
        </is>
      </c>
      <c r="I5" s="22" t="inlineStr">
        <is>
          <t>Note moy.</t>
        </is>
      </c>
      <c r="J5" s="22" t="inlineStr">
        <is>
          <t>Nb docs</t>
        </is>
      </c>
      <c r="K5" s="22" t="inlineStr">
        <is>
          <t>Note moy.</t>
        </is>
      </c>
      <c r="L5" s="22" t="inlineStr">
        <is>
          <t>Nb docs</t>
        </is>
      </c>
      <c r="M5" s="22" t="inlineStr">
        <is>
          <t>Note moy.</t>
        </is>
      </c>
      <c r="N5" s="22" t="inlineStr">
        <is>
          <t>Nb docs</t>
        </is>
      </c>
      <c r="O5" s="22" t="inlineStr">
        <is>
          <t>Note moy.</t>
        </is>
      </c>
    </row>
    <row r="6" ht="15" customHeight="1" s="19">
      <c r="A6" s="25" t="n">
        <v>2025</v>
      </c>
      <c r="B6" s="25" t="n">
        <v>51</v>
      </c>
      <c r="C6" s="25" t="inlineStr">
        <is>
          <t>15/12/2025 – 21/12/2025</t>
        </is>
      </c>
      <c r="D6" s="26">
        <f>COUNTIFS(Détail!$A:$A,"Hafssa BENCHRIF",Détail!$B:$B,$A6,Détail!$C:$C,$B6,Détail!$E:$E,"&lt;&gt;(à saisir)")</f>
        <v/>
      </c>
      <c r="E6" s="27">
        <f>IFERROR(AVERAGEIFS(Détail!$I:$I,Détail!$A:$A,"Hafssa BENCHRIF",Détail!$B:$B,$A6,Détail!$C:$C,$B6),"")</f>
        <v/>
      </c>
      <c r="F6" s="26">
        <f>COUNTIFS(Détail!$A:$A,"Hiba LISSAOUI",Détail!$B:$B,$A6,Détail!$C:$C,$B6,Détail!$E:$E,"&lt;&gt;(à saisir)")</f>
        <v/>
      </c>
      <c r="G6" s="27">
        <f>IFERROR(AVERAGEIFS(Détail!$I:$I,Détail!$A:$A,"Hiba LISSAOUI",Détail!$B:$B,$A6,Détail!$C:$C,$B6),"")</f>
        <v/>
      </c>
      <c r="H6" s="26">
        <f>COUNTIFS(Détail!$A:$A,"Imad RMAIDI",Détail!$B:$B,$A6,Détail!$C:$C,$B6,Détail!$E:$E,"&lt;&gt;(à saisir)")</f>
        <v/>
      </c>
      <c r="I6" s="27">
        <f>IFERROR(AVERAGEIFS(Détail!$I:$I,Détail!$A:$A,"Imad RMAIDI",Détail!$B:$B,$A6,Détail!$C:$C,$B6),"")</f>
        <v/>
      </c>
      <c r="J6" s="26">
        <f>COUNTIFS(Détail!$A:$A,"Mohamed HAMDANI",Détail!$B:$B,$A6,Détail!$C:$C,$B6,Détail!$E:$E,"&lt;&gt;(à saisir)")</f>
        <v/>
      </c>
      <c r="K6" s="27">
        <f>IFERROR(AVERAGEIFS(Détail!$I:$I,Détail!$A:$A,"Mohamed HAMDANI",Détail!$B:$B,$A6,Détail!$C:$C,$B6),"")</f>
        <v/>
      </c>
      <c r="L6" s="26">
        <f>COUNTIFS(Détail!$A:$A,"Youssef",Détail!$B:$B,$A6,Détail!$C:$C,$B6,Détail!$E:$E,"&lt;&gt;(à saisir)")</f>
        <v/>
      </c>
      <c r="M6" s="27">
        <f>IFERROR(AVERAGEIFS(Détail!$I:$I,Détail!$A:$A,"Youssef",Détail!$B:$B,$A6,Détail!$C:$C,$B6),"")</f>
        <v/>
      </c>
      <c r="N6" s="26">
        <f>COUNTIFS(Détail!$B:$B,$A6,Détail!$C:$C,$B6,Détail!$E:$E,"&lt;&gt;(à saisir)")</f>
        <v/>
      </c>
      <c r="O6" s="27">
        <f>IFERROR(AVERAGEIFS(Détail!$I:$I,Détail!$B:$B,$A6,Détail!$C:$C,$B6),"")</f>
        <v/>
      </c>
    </row>
    <row r="7" ht="15" customHeight="1" s="19">
      <c r="A7" s="25" t="n">
        <v>2025</v>
      </c>
      <c r="B7" s="25" t="n">
        <v>52</v>
      </c>
      <c r="C7" s="25" t="inlineStr">
        <is>
          <t>22/12/2025 – 28/12/2025</t>
        </is>
      </c>
      <c r="D7" s="26">
        <f>COUNTIFS(Détail!$A:$A,"Hafssa BENCHRIF",Détail!$B:$B,$A7,Détail!$C:$C,$B7,Détail!$E:$E,"&lt;&gt;(à saisir)")</f>
        <v/>
      </c>
      <c r="E7" s="27">
        <f>IFERROR(AVERAGEIFS(Détail!$I:$I,Détail!$A:$A,"Hafssa BENCHRIF",Détail!$B:$B,$A7,Détail!$C:$C,$B7),"")</f>
        <v/>
      </c>
      <c r="F7" s="26">
        <f>COUNTIFS(Détail!$A:$A,"Hiba LISSAOUI",Détail!$B:$B,$A7,Détail!$C:$C,$B7,Détail!$E:$E,"&lt;&gt;(à saisir)")</f>
        <v/>
      </c>
      <c r="G7" s="27">
        <f>IFERROR(AVERAGEIFS(Détail!$I:$I,Détail!$A:$A,"Hiba LISSAOUI",Détail!$B:$B,$A7,Détail!$C:$C,$B7),"")</f>
        <v/>
      </c>
      <c r="H7" s="26">
        <f>COUNTIFS(Détail!$A:$A,"Imad RMAIDI",Détail!$B:$B,$A7,Détail!$C:$C,$B7,Détail!$E:$E,"&lt;&gt;(à saisir)")</f>
        <v/>
      </c>
      <c r="I7" s="27">
        <f>IFERROR(AVERAGEIFS(Détail!$I:$I,Détail!$A:$A,"Imad RMAIDI",Détail!$B:$B,$A7,Détail!$C:$C,$B7),"")</f>
        <v/>
      </c>
      <c r="J7" s="26">
        <f>COUNTIFS(Détail!$A:$A,"Mohamed HAMDANI",Détail!$B:$B,$A7,Détail!$C:$C,$B7,Détail!$E:$E,"&lt;&gt;(à saisir)")</f>
        <v/>
      </c>
      <c r="K7" s="27">
        <f>IFERROR(AVERAGEIFS(Détail!$I:$I,Détail!$A:$A,"Mohamed HAMDANI",Détail!$B:$B,$A7,Détail!$C:$C,$B7),"")</f>
        <v/>
      </c>
      <c r="L7" s="26">
        <f>COUNTIFS(Détail!$A:$A,"Youssef",Détail!$B:$B,$A7,Détail!$C:$C,$B7,Détail!$E:$E,"&lt;&gt;(à saisir)")</f>
        <v/>
      </c>
      <c r="M7" s="27">
        <f>IFERROR(AVERAGEIFS(Détail!$I:$I,Détail!$A:$A,"Youssef",Détail!$B:$B,$A7,Détail!$C:$C,$B7),"")</f>
        <v/>
      </c>
      <c r="N7" s="26">
        <f>COUNTIFS(Détail!$B:$B,$A7,Détail!$C:$C,$B7,Détail!$E:$E,"&lt;&gt;(à saisir)")</f>
        <v/>
      </c>
      <c r="O7" s="27">
        <f>IFERROR(AVERAGEIFS(Détail!$I:$I,Détail!$B:$B,$A7,Détail!$C:$C,$B7),"")</f>
        <v/>
      </c>
    </row>
    <row r="8" ht="15" customHeight="1" s="19">
      <c r="A8" s="25" t="n">
        <v>2026</v>
      </c>
      <c r="B8" s="25" t="n">
        <v>1</v>
      </c>
      <c r="C8" s="25" t="inlineStr">
        <is>
          <t>29/12/2025 – 04/01/2026</t>
        </is>
      </c>
      <c r="D8" s="26">
        <f>COUNTIFS(Détail!$A:$A,"Hafssa BENCHRIF",Détail!$B:$B,$A8,Détail!$C:$C,$B8,Détail!$E:$E,"&lt;&gt;(à saisir)")</f>
        <v/>
      </c>
      <c r="E8" s="27">
        <f>IFERROR(AVERAGEIFS(Détail!$I:$I,Détail!$A:$A,"Hafssa BENCHRIF",Détail!$B:$B,$A8,Détail!$C:$C,$B8),"")</f>
        <v/>
      </c>
      <c r="F8" s="26">
        <f>COUNTIFS(Détail!$A:$A,"Hiba LISSAOUI",Détail!$B:$B,$A8,Détail!$C:$C,$B8,Détail!$E:$E,"&lt;&gt;(à saisir)")</f>
        <v/>
      </c>
      <c r="G8" s="27">
        <f>IFERROR(AVERAGEIFS(Détail!$I:$I,Détail!$A:$A,"Hiba LISSAOUI",Détail!$B:$B,$A8,Détail!$C:$C,$B8),"")</f>
        <v/>
      </c>
      <c r="H8" s="26">
        <f>COUNTIFS(Détail!$A:$A,"Imad RMAIDI",Détail!$B:$B,$A8,Détail!$C:$C,$B8,Détail!$E:$E,"&lt;&gt;(à saisir)")</f>
        <v/>
      </c>
      <c r="I8" s="27">
        <f>IFERROR(AVERAGEIFS(Détail!$I:$I,Détail!$A:$A,"Imad RMAIDI",Détail!$B:$B,$A8,Détail!$C:$C,$B8),"")</f>
        <v/>
      </c>
      <c r="J8" s="26">
        <f>COUNTIFS(Détail!$A:$A,"Mohamed HAMDANI",Détail!$B:$B,$A8,Détail!$C:$C,$B8,Détail!$E:$E,"&lt;&gt;(à saisir)")</f>
        <v/>
      </c>
      <c r="K8" s="27">
        <f>IFERROR(AVERAGEIFS(Détail!$I:$I,Détail!$A:$A,"Mohamed HAMDANI",Détail!$B:$B,$A8,Détail!$C:$C,$B8),"")</f>
        <v/>
      </c>
      <c r="L8" s="26">
        <f>COUNTIFS(Détail!$A:$A,"Youssef",Détail!$B:$B,$A8,Détail!$C:$C,$B8,Détail!$E:$E,"&lt;&gt;(à saisir)")</f>
        <v/>
      </c>
      <c r="M8" s="27">
        <f>IFERROR(AVERAGEIFS(Détail!$I:$I,Détail!$A:$A,"Youssef",Détail!$B:$B,$A8,Détail!$C:$C,$B8),"")</f>
        <v/>
      </c>
      <c r="N8" s="26">
        <f>COUNTIFS(Détail!$B:$B,$A8,Détail!$C:$C,$B8,Détail!$E:$E,"&lt;&gt;(à saisir)")</f>
        <v/>
      </c>
      <c r="O8" s="27">
        <f>IFERROR(AVERAGEIFS(Détail!$I:$I,Détail!$B:$B,$A8,Détail!$C:$C,$B8),"")</f>
        <v/>
      </c>
    </row>
    <row r="9" ht="15" customHeight="1" s="19">
      <c r="A9" s="25" t="n">
        <v>2026</v>
      </c>
      <c r="B9" s="25" t="n">
        <v>2</v>
      </c>
      <c r="C9" s="25" t="inlineStr">
        <is>
          <t>05/01/2026 – 11/01/2026</t>
        </is>
      </c>
      <c r="D9" s="26">
        <f>COUNTIFS(Détail!$A:$A,"Hafssa BENCHRIF",Détail!$B:$B,$A9,Détail!$C:$C,$B9,Détail!$E:$E,"&lt;&gt;(à saisir)")</f>
        <v/>
      </c>
      <c r="E9" s="27">
        <f>IFERROR(AVERAGEIFS(Détail!$I:$I,Détail!$A:$A,"Hafssa BENCHRIF",Détail!$B:$B,$A9,Détail!$C:$C,$B9),"")</f>
        <v/>
      </c>
      <c r="F9" s="26">
        <f>COUNTIFS(Détail!$A:$A,"Hiba LISSAOUI",Détail!$B:$B,$A9,Détail!$C:$C,$B9,Détail!$E:$E,"&lt;&gt;(à saisir)")</f>
        <v/>
      </c>
      <c r="G9" s="27">
        <f>IFERROR(AVERAGEIFS(Détail!$I:$I,Détail!$A:$A,"Hiba LISSAOUI",Détail!$B:$B,$A9,Détail!$C:$C,$B9),"")</f>
        <v/>
      </c>
      <c r="H9" s="26">
        <f>COUNTIFS(Détail!$A:$A,"Imad RMAIDI",Détail!$B:$B,$A9,Détail!$C:$C,$B9,Détail!$E:$E,"&lt;&gt;(à saisir)")</f>
        <v/>
      </c>
      <c r="I9" s="27">
        <f>IFERROR(AVERAGEIFS(Détail!$I:$I,Détail!$A:$A,"Imad RMAIDI",Détail!$B:$B,$A9,Détail!$C:$C,$B9),"")</f>
        <v/>
      </c>
      <c r="J9" s="26">
        <f>COUNTIFS(Détail!$A:$A,"Mohamed HAMDANI",Détail!$B:$B,$A9,Détail!$C:$C,$B9,Détail!$E:$E,"&lt;&gt;(à saisir)")</f>
        <v/>
      </c>
      <c r="K9" s="27">
        <f>IFERROR(AVERAGEIFS(Détail!$I:$I,Détail!$A:$A,"Mohamed HAMDANI",Détail!$B:$B,$A9,Détail!$C:$C,$B9),"")</f>
        <v/>
      </c>
      <c r="L9" s="26">
        <f>COUNTIFS(Détail!$A:$A,"Youssef",Détail!$B:$B,$A9,Détail!$C:$C,$B9,Détail!$E:$E,"&lt;&gt;(à saisir)")</f>
        <v/>
      </c>
      <c r="M9" s="27">
        <f>IFERROR(AVERAGEIFS(Détail!$I:$I,Détail!$A:$A,"Youssef",Détail!$B:$B,$A9,Détail!$C:$C,$B9),"")</f>
        <v/>
      </c>
      <c r="N9" s="26">
        <f>COUNTIFS(Détail!$B:$B,$A9,Détail!$C:$C,$B9,Détail!$E:$E,"&lt;&gt;(à saisir)")</f>
        <v/>
      </c>
      <c r="O9" s="27">
        <f>IFERROR(AVERAGEIFS(Détail!$I:$I,Détail!$B:$B,$A9,Détail!$C:$C,$B9),"")</f>
        <v/>
      </c>
    </row>
    <row r="10" ht="15" customHeight="1" s="19">
      <c r="A10" s="25" t="n">
        <v>2026</v>
      </c>
      <c r="B10" s="25" t="n">
        <v>3</v>
      </c>
      <c r="C10" s="25" t="inlineStr">
        <is>
          <t>12/01/2026 – 18/01/2026</t>
        </is>
      </c>
      <c r="D10" s="26">
        <f>COUNTIFS(Détail!$A:$A,"Hafssa BENCHRIF",Détail!$B:$B,$A10,Détail!$C:$C,$B10,Détail!$E:$E,"&lt;&gt;(à saisir)")</f>
        <v/>
      </c>
      <c r="E10" s="27">
        <f>IFERROR(AVERAGEIFS(Détail!$I:$I,Détail!$A:$A,"Hafssa BENCHRIF",Détail!$B:$B,$A10,Détail!$C:$C,$B10),"")</f>
        <v/>
      </c>
      <c r="F10" s="26">
        <f>COUNTIFS(Détail!$A:$A,"Hiba LISSAOUI",Détail!$B:$B,$A10,Détail!$C:$C,$B10,Détail!$E:$E,"&lt;&gt;(à saisir)")</f>
        <v/>
      </c>
      <c r="G10" s="27">
        <f>IFERROR(AVERAGEIFS(Détail!$I:$I,Détail!$A:$A,"Hiba LISSAOUI",Détail!$B:$B,$A10,Détail!$C:$C,$B10),"")</f>
        <v/>
      </c>
      <c r="H10" s="26">
        <f>COUNTIFS(Détail!$A:$A,"Imad RMAIDI",Détail!$B:$B,$A10,Détail!$C:$C,$B10,Détail!$E:$E,"&lt;&gt;(à saisir)")</f>
        <v/>
      </c>
      <c r="I10" s="27">
        <f>IFERROR(AVERAGEIFS(Détail!$I:$I,Détail!$A:$A,"Imad RMAIDI",Détail!$B:$B,$A10,Détail!$C:$C,$B10),"")</f>
        <v/>
      </c>
      <c r="J10" s="26">
        <f>COUNTIFS(Détail!$A:$A,"Mohamed HAMDANI",Détail!$B:$B,$A10,Détail!$C:$C,$B10,Détail!$E:$E,"&lt;&gt;(à saisir)")</f>
        <v/>
      </c>
      <c r="K10" s="27">
        <f>IFERROR(AVERAGEIFS(Détail!$I:$I,Détail!$A:$A,"Mohamed HAMDANI",Détail!$B:$B,$A10,Détail!$C:$C,$B10),"")</f>
        <v/>
      </c>
      <c r="L10" s="26">
        <f>COUNTIFS(Détail!$A:$A,"Youssef",Détail!$B:$B,$A10,Détail!$C:$C,$B10,Détail!$E:$E,"&lt;&gt;(à saisir)")</f>
        <v/>
      </c>
      <c r="M10" s="27">
        <f>IFERROR(AVERAGEIFS(Détail!$I:$I,Détail!$A:$A,"Youssef",Détail!$B:$B,$A10,Détail!$C:$C,$B10),"")</f>
        <v/>
      </c>
      <c r="N10" s="26">
        <f>COUNTIFS(Détail!$B:$B,$A10,Détail!$C:$C,$B10,Détail!$E:$E,"&lt;&gt;(à saisir)")</f>
        <v/>
      </c>
      <c r="O10" s="27">
        <f>IFERROR(AVERAGEIFS(Détail!$I:$I,Détail!$B:$B,$A10,Détail!$C:$C,$B10),"")</f>
        <v/>
      </c>
    </row>
    <row r="11" ht="15" customHeight="1" s="19">
      <c r="A11" s="25" t="n">
        <v>2026</v>
      </c>
      <c r="B11" s="25" t="n">
        <v>4</v>
      </c>
      <c r="C11" s="25" t="inlineStr">
        <is>
          <t>19/01/2026 – 25/01/2026</t>
        </is>
      </c>
      <c r="D11" s="26">
        <f>COUNTIFS(Détail!$A:$A,"Hafssa BENCHRIF",Détail!$B:$B,$A11,Détail!$C:$C,$B11,Détail!$E:$E,"&lt;&gt;(à saisir)")</f>
        <v/>
      </c>
      <c r="E11" s="27">
        <f>IFERROR(AVERAGEIFS(Détail!$I:$I,Détail!$A:$A,"Hafssa BENCHRIF",Détail!$B:$B,$A11,Détail!$C:$C,$B11),"")</f>
        <v/>
      </c>
      <c r="F11" s="26">
        <f>COUNTIFS(Détail!$A:$A,"Hiba LISSAOUI",Détail!$B:$B,$A11,Détail!$C:$C,$B11,Détail!$E:$E,"&lt;&gt;(à saisir)")</f>
        <v/>
      </c>
      <c r="G11" s="27">
        <f>IFERROR(AVERAGEIFS(Détail!$I:$I,Détail!$A:$A,"Hiba LISSAOUI",Détail!$B:$B,$A11,Détail!$C:$C,$B11),"")</f>
        <v/>
      </c>
      <c r="H11" s="26">
        <f>COUNTIFS(Détail!$A:$A,"Imad RMAIDI",Détail!$B:$B,$A11,Détail!$C:$C,$B11,Détail!$E:$E,"&lt;&gt;(à saisir)")</f>
        <v/>
      </c>
      <c r="I11" s="27">
        <f>IFERROR(AVERAGEIFS(Détail!$I:$I,Détail!$A:$A,"Imad RMAIDI",Détail!$B:$B,$A11,Détail!$C:$C,$B11),"")</f>
        <v/>
      </c>
      <c r="J11" s="26">
        <f>COUNTIFS(Détail!$A:$A,"Mohamed HAMDANI",Détail!$B:$B,$A11,Détail!$C:$C,$B11,Détail!$E:$E,"&lt;&gt;(à saisir)")</f>
        <v/>
      </c>
      <c r="K11" s="27">
        <f>IFERROR(AVERAGEIFS(Détail!$I:$I,Détail!$A:$A,"Mohamed HAMDANI",Détail!$B:$B,$A11,Détail!$C:$C,$B11),"")</f>
        <v/>
      </c>
      <c r="L11" s="26">
        <f>COUNTIFS(Détail!$A:$A,"Youssef",Détail!$B:$B,$A11,Détail!$C:$C,$B11,Détail!$E:$E,"&lt;&gt;(à saisir)")</f>
        <v/>
      </c>
      <c r="M11" s="27">
        <f>IFERROR(AVERAGEIFS(Détail!$I:$I,Détail!$A:$A,"Youssef",Détail!$B:$B,$A11,Détail!$C:$C,$B11),"")</f>
        <v/>
      </c>
      <c r="N11" s="26">
        <f>COUNTIFS(Détail!$B:$B,$A11,Détail!$C:$C,$B11,Détail!$E:$E,"&lt;&gt;(à saisir)")</f>
        <v/>
      </c>
      <c r="O11" s="27">
        <f>IFERROR(AVERAGEIFS(Détail!$I:$I,Détail!$B:$B,$A11,Détail!$C:$C,$B11),"")</f>
        <v/>
      </c>
    </row>
    <row r="12" ht="15" customHeight="1" s="19">
      <c r="A12" s="25" t="n">
        <v>2026</v>
      </c>
      <c r="B12" s="25" t="n">
        <v>5</v>
      </c>
      <c r="C12" s="25" t="inlineStr">
        <is>
          <t>26/01/2026 – 01/02/2026</t>
        </is>
      </c>
      <c r="D12" s="26">
        <f>COUNTIFS(Détail!$A:$A,"Hafssa BENCHRIF",Détail!$B:$B,$A12,Détail!$C:$C,$B12,Détail!$E:$E,"&lt;&gt;(à saisir)")</f>
        <v/>
      </c>
      <c r="E12" s="27">
        <f>IFERROR(AVERAGEIFS(Détail!$I:$I,Détail!$A:$A,"Hafssa BENCHRIF",Détail!$B:$B,$A12,Détail!$C:$C,$B12),"")</f>
        <v/>
      </c>
      <c r="F12" s="26">
        <f>COUNTIFS(Détail!$A:$A,"Hiba LISSAOUI",Détail!$B:$B,$A12,Détail!$C:$C,$B12,Détail!$E:$E,"&lt;&gt;(à saisir)")</f>
        <v/>
      </c>
      <c r="G12" s="27">
        <f>IFERROR(AVERAGEIFS(Détail!$I:$I,Détail!$A:$A,"Hiba LISSAOUI",Détail!$B:$B,$A12,Détail!$C:$C,$B12),"")</f>
        <v/>
      </c>
      <c r="H12" s="26">
        <f>COUNTIFS(Détail!$A:$A,"Imad RMAIDI",Détail!$B:$B,$A12,Détail!$C:$C,$B12,Détail!$E:$E,"&lt;&gt;(à saisir)")</f>
        <v/>
      </c>
      <c r="I12" s="27">
        <f>IFERROR(AVERAGEIFS(Détail!$I:$I,Détail!$A:$A,"Imad RMAIDI",Détail!$B:$B,$A12,Détail!$C:$C,$B12),"")</f>
        <v/>
      </c>
      <c r="J12" s="26">
        <f>COUNTIFS(Détail!$A:$A,"Mohamed HAMDANI",Détail!$B:$B,$A12,Détail!$C:$C,$B12,Détail!$E:$E,"&lt;&gt;(à saisir)")</f>
        <v/>
      </c>
      <c r="K12" s="27">
        <f>IFERROR(AVERAGEIFS(Détail!$I:$I,Détail!$A:$A,"Mohamed HAMDANI",Détail!$B:$B,$A12,Détail!$C:$C,$B12),"")</f>
        <v/>
      </c>
      <c r="L12" s="26">
        <f>COUNTIFS(Détail!$A:$A,"Youssef",Détail!$B:$B,$A12,Détail!$C:$C,$B12,Détail!$E:$E,"&lt;&gt;(à saisir)")</f>
        <v/>
      </c>
      <c r="M12" s="27">
        <f>IFERROR(AVERAGEIFS(Détail!$I:$I,Détail!$A:$A,"Youssef",Détail!$B:$B,$A12,Détail!$C:$C,$B12),"")</f>
        <v/>
      </c>
      <c r="N12" s="26">
        <f>COUNTIFS(Détail!$B:$B,$A12,Détail!$C:$C,$B12,Détail!$E:$E,"&lt;&gt;(à saisir)")</f>
        <v/>
      </c>
      <c r="O12" s="27">
        <f>IFERROR(AVERAGEIFS(Détail!$I:$I,Détail!$B:$B,$A12,Détail!$C:$C,$B12),"")</f>
        <v/>
      </c>
    </row>
    <row r="13" ht="15" customHeight="1" s="19">
      <c r="A13" s="25" t="n">
        <v>2026</v>
      </c>
      <c r="B13" s="25" t="n">
        <v>6</v>
      </c>
      <c r="C13" s="25" t="inlineStr">
        <is>
          <t>02/02/2026 – 08/02/2026</t>
        </is>
      </c>
      <c r="D13" s="26">
        <f>COUNTIFS(Détail!$A:$A,"Hafssa BENCHRIF",Détail!$B:$B,$A13,Détail!$C:$C,$B13,Détail!$E:$E,"&lt;&gt;(à saisir)")</f>
        <v/>
      </c>
      <c r="E13" s="27">
        <f>IFERROR(AVERAGEIFS(Détail!$I:$I,Détail!$A:$A,"Hafssa BENCHRIF",Détail!$B:$B,$A13,Détail!$C:$C,$B13),"")</f>
        <v/>
      </c>
      <c r="F13" s="26">
        <f>COUNTIFS(Détail!$A:$A,"Hiba LISSAOUI",Détail!$B:$B,$A13,Détail!$C:$C,$B13,Détail!$E:$E,"&lt;&gt;(à saisir)")</f>
        <v/>
      </c>
      <c r="G13" s="27">
        <f>IFERROR(AVERAGEIFS(Détail!$I:$I,Détail!$A:$A,"Hiba LISSAOUI",Détail!$B:$B,$A13,Détail!$C:$C,$B13),"")</f>
        <v/>
      </c>
      <c r="H13" s="26">
        <f>COUNTIFS(Détail!$A:$A,"Imad RMAIDI",Détail!$B:$B,$A13,Détail!$C:$C,$B13,Détail!$E:$E,"&lt;&gt;(à saisir)")</f>
        <v/>
      </c>
      <c r="I13" s="27">
        <f>IFERROR(AVERAGEIFS(Détail!$I:$I,Détail!$A:$A,"Imad RMAIDI",Détail!$B:$B,$A13,Détail!$C:$C,$B13),"")</f>
        <v/>
      </c>
      <c r="J13" s="26">
        <f>COUNTIFS(Détail!$A:$A,"Mohamed HAMDANI",Détail!$B:$B,$A13,Détail!$C:$C,$B13,Détail!$E:$E,"&lt;&gt;(à saisir)")</f>
        <v/>
      </c>
      <c r="K13" s="27">
        <f>IFERROR(AVERAGEIFS(Détail!$I:$I,Détail!$A:$A,"Mohamed HAMDANI",Détail!$B:$B,$A13,Détail!$C:$C,$B13),"")</f>
        <v/>
      </c>
      <c r="L13" s="26">
        <f>COUNTIFS(Détail!$A:$A,"Youssef",Détail!$B:$B,$A13,Détail!$C:$C,$B13,Détail!$E:$E,"&lt;&gt;(à saisir)")</f>
        <v/>
      </c>
      <c r="M13" s="27">
        <f>IFERROR(AVERAGEIFS(Détail!$I:$I,Détail!$A:$A,"Youssef",Détail!$B:$B,$A13,Détail!$C:$C,$B13),"")</f>
        <v/>
      </c>
      <c r="N13" s="26">
        <f>COUNTIFS(Détail!$B:$B,$A13,Détail!$C:$C,$B13,Détail!$E:$E,"&lt;&gt;(à saisir)")</f>
        <v/>
      </c>
      <c r="O13" s="27">
        <f>IFERROR(AVERAGEIFS(Détail!$I:$I,Détail!$B:$B,$A13,Détail!$C:$C,$B13),"")</f>
        <v/>
      </c>
    </row>
    <row r="14" ht="15" customHeight="1" s="19">
      <c r="A14" s="25" t="n">
        <v>2026</v>
      </c>
      <c r="B14" s="25" t="n">
        <v>7</v>
      </c>
      <c r="C14" s="25" t="inlineStr">
        <is>
          <t>09/02/2026 – 15/02/2026</t>
        </is>
      </c>
      <c r="D14" s="26">
        <f>COUNTIFS(Détail!$A:$A,"Hafssa BENCHRIF",Détail!$B:$B,$A14,Détail!$C:$C,$B14,Détail!$E:$E,"&lt;&gt;(à saisir)")</f>
        <v/>
      </c>
      <c r="E14" s="27">
        <f>IFERROR(AVERAGEIFS(Détail!$I:$I,Détail!$A:$A,"Hafssa BENCHRIF",Détail!$B:$B,$A14,Détail!$C:$C,$B14),"")</f>
        <v/>
      </c>
      <c r="F14" s="26">
        <f>COUNTIFS(Détail!$A:$A,"Hiba LISSAOUI",Détail!$B:$B,$A14,Détail!$C:$C,$B14,Détail!$E:$E,"&lt;&gt;(à saisir)")</f>
        <v/>
      </c>
      <c r="G14" s="27">
        <f>IFERROR(AVERAGEIFS(Détail!$I:$I,Détail!$A:$A,"Hiba LISSAOUI",Détail!$B:$B,$A14,Détail!$C:$C,$B14),"")</f>
        <v/>
      </c>
      <c r="H14" s="26">
        <f>COUNTIFS(Détail!$A:$A,"Imad RMAIDI",Détail!$B:$B,$A14,Détail!$C:$C,$B14,Détail!$E:$E,"&lt;&gt;(à saisir)")</f>
        <v/>
      </c>
      <c r="I14" s="27">
        <f>IFERROR(AVERAGEIFS(Détail!$I:$I,Détail!$A:$A,"Imad RMAIDI",Détail!$B:$B,$A14,Détail!$C:$C,$B14),"")</f>
        <v/>
      </c>
      <c r="J14" s="26">
        <f>COUNTIFS(Détail!$A:$A,"Mohamed HAMDANI",Détail!$B:$B,$A14,Détail!$C:$C,$B14,Détail!$E:$E,"&lt;&gt;(à saisir)")</f>
        <v/>
      </c>
      <c r="K14" s="27">
        <f>IFERROR(AVERAGEIFS(Détail!$I:$I,Détail!$A:$A,"Mohamed HAMDANI",Détail!$B:$B,$A14,Détail!$C:$C,$B14),"")</f>
        <v/>
      </c>
      <c r="L14" s="26">
        <f>COUNTIFS(Détail!$A:$A,"Youssef",Détail!$B:$B,$A14,Détail!$C:$C,$B14,Détail!$E:$E,"&lt;&gt;(à saisir)")</f>
        <v/>
      </c>
      <c r="M14" s="27">
        <f>IFERROR(AVERAGEIFS(Détail!$I:$I,Détail!$A:$A,"Youssef",Détail!$B:$B,$A14,Détail!$C:$C,$B14),"")</f>
        <v/>
      </c>
      <c r="N14" s="26">
        <f>COUNTIFS(Détail!$B:$B,$A14,Détail!$C:$C,$B14,Détail!$E:$E,"&lt;&gt;(à saisir)")</f>
        <v/>
      </c>
      <c r="O14" s="27">
        <f>IFERROR(AVERAGEIFS(Détail!$I:$I,Détail!$B:$B,$A14,Détail!$C:$C,$B14),"")</f>
        <v/>
      </c>
    </row>
    <row r="15" ht="15" customHeight="1" s="19">
      <c r="A15" s="25" t="n">
        <v>2026</v>
      </c>
      <c r="B15" s="25" t="n">
        <v>8</v>
      </c>
      <c r="C15" s="25" t="inlineStr">
        <is>
          <t>16/02/2026 – 22/02/2026</t>
        </is>
      </c>
      <c r="D15" s="26">
        <f>COUNTIFS(Détail!$A:$A,"Hafssa BENCHRIF",Détail!$B:$B,$A15,Détail!$C:$C,$B15,Détail!$E:$E,"&lt;&gt;(à saisir)")</f>
        <v/>
      </c>
      <c r="E15" s="27">
        <f>IFERROR(AVERAGEIFS(Détail!$I:$I,Détail!$A:$A,"Hafssa BENCHRIF",Détail!$B:$B,$A15,Détail!$C:$C,$B15),"")</f>
        <v/>
      </c>
      <c r="F15" s="26">
        <f>COUNTIFS(Détail!$A:$A,"Hiba LISSAOUI",Détail!$B:$B,$A15,Détail!$C:$C,$B15,Détail!$E:$E,"&lt;&gt;(à saisir)")</f>
        <v/>
      </c>
      <c r="G15" s="27">
        <f>IFERROR(AVERAGEIFS(Détail!$I:$I,Détail!$A:$A,"Hiba LISSAOUI",Détail!$B:$B,$A15,Détail!$C:$C,$B15),"")</f>
        <v/>
      </c>
      <c r="H15" s="26">
        <f>COUNTIFS(Détail!$A:$A,"Imad RMAIDI",Détail!$B:$B,$A15,Détail!$C:$C,$B15,Détail!$E:$E,"&lt;&gt;(à saisir)")</f>
        <v/>
      </c>
      <c r="I15" s="27">
        <f>IFERROR(AVERAGEIFS(Détail!$I:$I,Détail!$A:$A,"Imad RMAIDI",Détail!$B:$B,$A15,Détail!$C:$C,$B15),"")</f>
        <v/>
      </c>
      <c r="J15" s="26">
        <f>COUNTIFS(Détail!$A:$A,"Mohamed HAMDANI",Détail!$B:$B,$A15,Détail!$C:$C,$B15,Détail!$E:$E,"&lt;&gt;(à saisir)")</f>
        <v/>
      </c>
      <c r="K15" s="27">
        <f>IFERROR(AVERAGEIFS(Détail!$I:$I,Détail!$A:$A,"Mohamed HAMDANI",Détail!$B:$B,$A15,Détail!$C:$C,$B15),"")</f>
        <v/>
      </c>
      <c r="L15" s="26">
        <f>COUNTIFS(Détail!$A:$A,"Youssef",Détail!$B:$B,$A15,Détail!$C:$C,$B15,Détail!$E:$E,"&lt;&gt;(à saisir)")</f>
        <v/>
      </c>
      <c r="M15" s="27">
        <f>IFERROR(AVERAGEIFS(Détail!$I:$I,Détail!$A:$A,"Youssef",Détail!$B:$B,$A15,Détail!$C:$C,$B15),"")</f>
        <v/>
      </c>
      <c r="N15" s="26">
        <f>COUNTIFS(Détail!$B:$B,$A15,Détail!$C:$C,$B15,Détail!$E:$E,"&lt;&gt;(à saisir)")</f>
        <v/>
      </c>
      <c r="O15" s="27">
        <f>IFERROR(AVERAGEIFS(Détail!$I:$I,Détail!$B:$B,$A15,Détail!$C:$C,$B15),"")</f>
        <v/>
      </c>
    </row>
    <row r="16" ht="15" customHeight="1" s="19">
      <c r="A16" s="25" t="n">
        <v>2026</v>
      </c>
      <c r="B16" s="25" t="n">
        <v>9</v>
      </c>
      <c r="C16" s="25" t="inlineStr">
        <is>
          <t>23/02/2026 – 01/03/2026</t>
        </is>
      </c>
      <c r="D16" s="26">
        <f>COUNTIFS(Détail!$A:$A,"Hafssa BENCHRIF",Détail!$B:$B,$A16,Détail!$C:$C,$B16,Détail!$E:$E,"&lt;&gt;(à saisir)")</f>
        <v/>
      </c>
      <c r="E16" s="27">
        <f>IFERROR(AVERAGEIFS(Détail!$I:$I,Détail!$A:$A,"Hafssa BENCHRIF",Détail!$B:$B,$A16,Détail!$C:$C,$B16),"")</f>
        <v/>
      </c>
      <c r="F16" s="26">
        <f>COUNTIFS(Détail!$A:$A,"Hiba LISSAOUI",Détail!$B:$B,$A16,Détail!$C:$C,$B16,Détail!$E:$E,"&lt;&gt;(à saisir)")</f>
        <v/>
      </c>
      <c r="G16" s="27">
        <f>IFERROR(AVERAGEIFS(Détail!$I:$I,Détail!$A:$A,"Hiba LISSAOUI",Détail!$B:$B,$A16,Détail!$C:$C,$B16),"")</f>
        <v/>
      </c>
      <c r="H16" s="26">
        <f>COUNTIFS(Détail!$A:$A,"Imad RMAIDI",Détail!$B:$B,$A16,Détail!$C:$C,$B16,Détail!$E:$E,"&lt;&gt;(à saisir)")</f>
        <v/>
      </c>
      <c r="I16" s="27">
        <f>IFERROR(AVERAGEIFS(Détail!$I:$I,Détail!$A:$A,"Imad RMAIDI",Détail!$B:$B,$A16,Détail!$C:$C,$B16),"")</f>
        <v/>
      </c>
      <c r="J16" s="26">
        <f>COUNTIFS(Détail!$A:$A,"Mohamed HAMDANI",Détail!$B:$B,$A16,Détail!$C:$C,$B16,Détail!$E:$E,"&lt;&gt;(à saisir)")</f>
        <v/>
      </c>
      <c r="K16" s="27">
        <f>IFERROR(AVERAGEIFS(Détail!$I:$I,Détail!$A:$A,"Mohamed HAMDANI",Détail!$B:$B,$A16,Détail!$C:$C,$B16),"")</f>
        <v/>
      </c>
      <c r="L16" s="26">
        <f>COUNTIFS(Détail!$A:$A,"Youssef",Détail!$B:$B,$A16,Détail!$C:$C,$B16,Détail!$E:$E,"&lt;&gt;(à saisir)")</f>
        <v/>
      </c>
      <c r="M16" s="27">
        <f>IFERROR(AVERAGEIFS(Détail!$I:$I,Détail!$A:$A,"Youssef",Détail!$B:$B,$A16,Détail!$C:$C,$B16),"")</f>
        <v/>
      </c>
      <c r="N16" s="26">
        <f>COUNTIFS(Détail!$B:$B,$A16,Détail!$C:$C,$B16,Détail!$E:$E,"&lt;&gt;(à saisir)")</f>
        <v/>
      </c>
      <c r="O16" s="27">
        <f>IFERROR(AVERAGEIFS(Détail!$I:$I,Détail!$B:$B,$A16,Détail!$C:$C,$B16),"")</f>
        <v/>
      </c>
    </row>
    <row r="17" ht="15" customHeight="1" s="19">
      <c r="A17" s="25" t="n">
        <v>2026</v>
      </c>
      <c r="B17" s="25" t="n">
        <v>10</v>
      </c>
      <c r="C17" s="25" t="inlineStr">
        <is>
          <t>02/03/2026 – 08/03/2026</t>
        </is>
      </c>
      <c r="D17" s="26">
        <f>COUNTIFS(Détail!$A:$A,"Hafssa BENCHRIF",Détail!$B:$B,$A17,Détail!$C:$C,$B17,Détail!$E:$E,"&lt;&gt;(à saisir)")</f>
        <v/>
      </c>
      <c r="E17" s="27">
        <f>IFERROR(AVERAGEIFS(Détail!$I:$I,Détail!$A:$A,"Hafssa BENCHRIF",Détail!$B:$B,$A17,Détail!$C:$C,$B17),"")</f>
        <v/>
      </c>
      <c r="F17" s="26">
        <f>COUNTIFS(Détail!$A:$A,"Hiba LISSAOUI",Détail!$B:$B,$A17,Détail!$C:$C,$B17,Détail!$E:$E,"&lt;&gt;(à saisir)")</f>
        <v/>
      </c>
      <c r="G17" s="27">
        <f>IFERROR(AVERAGEIFS(Détail!$I:$I,Détail!$A:$A,"Hiba LISSAOUI",Détail!$B:$B,$A17,Détail!$C:$C,$B17),"")</f>
        <v/>
      </c>
      <c r="H17" s="26">
        <f>COUNTIFS(Détail!$A:$A,"Imad RMAIDI",Détail!$B:$B,$A17,Détail!$C:$C,$B17,Détail!$E:$E,"&lt;&gt;(à saisir)")</f>
        <v/>
      </c>
      <c r="I17" s="27">
        <f>IFERROR(AVERAGEIFS(Détail!$I:$I,Détail!$A:$A,"Imad RMAIDI",Détail!$B:$B,$A17,Détail!$C:$C,$B17),"")</f>
        <v/>
      </c>
      <c r="J17" s="26">
        <f>COUNTIFS(Détail!$A:$A,"Mohamed HAMDANI",Détail!$B:$B,$A17,Détail!$C:$C,$B17,Détail!$E:$E,"&lt;&gt;(à saisir)")</f>
        <v/>
      </c>
      <c r="K17" s="27">
        <f>IFERROR(AVERAGEIFS(Détail!$I:$I,Détail!$A:$A,"Mohamed HAMDANI",Détail!$B:$B,$A17,Détail!$C:$C,$B17),"")</f>
        <v/>
      </c>
      <c r="L17" s="26">
        <f>COUNTIFS(Détail!$A:$A,"Youssef",Détail!$B:$B,$A17,Détail!$C:$C,$B17,Détail!$E:$E,"&lt;&gt;(à saisir)")</f>
        <v/>
      </c>
      <c r="M17" s="27">
        <f>IFERROR(AVERAGEIFS(Détail!$I:$I,Détail!$A:$A,"Youssef",Détail!$B:$B,$A17,Détail!$C:$C,$B17),"")</f>
        <v/>
      </c>
      <c r="N17" s="26">
        <f>COUNTIFS(Détail!$B:$B,$A17,Détail!$C:$C,$B17,Détail!$E:$E,"&lt;&gt;(à saisir)")</f>
        <v/>
      </c>
      <c r="O17" s="27">
        <f>IFERROR(AVERAGEIFS(Détail!$I:$I,Détail!$B:$B,$A17,Détail!$C:$C,$B17),"")</f>
        <v/>
      </c>
    </row>
    <row r="18" ht="15" customHeight="1" s="19">
      <c r="A18" s="25" t="n">
        <v>2026</v>
      </c>
      <c r="B18" s="25" t="n">
        <v>11</v>
      </c>
      <c r="C18" s="25" t="inlineStr">
        <is>
          <t>09/03/2026 – 15/03/2026</t>
        </is>
      </c>
      <c r="D18" s="26">
        <f>COUNTIFS(Détail!$A:$A,"Hafssa BENCHRIF",Détail!$B:$B,$A18,Détail!$C:$C,$B18,Détail!$E:$E,"&lt;&gt;(à saisir)")</f>
        <v/>
      </c>
      <c r="E18" s="27">
        <f>IFERROR(AVERAGEIFS(Détail!$I:$I,Détail!$A:$A,"Hafssa BENCHRIF",Détail!$B:$B,$A18,Détail!$C:$C,$B18),"")</f>
        <v/>
      </c>
      <c r="F18" s="26">
        <f>COUNTIFS(Détail!$A:$A,"Hiba LISSAOUI",Détail!$B:$B,$A18,Détail!$C:$C,$B18,Détail!$E:$E,"&lt;&gt;(à saisir)")</f>
        <v/>
      </c>
      <c r="G18" s="27">
        <f>IFERROR(AVERAGEIFS(Détail!$I:$I,Détail!$A:$A,"Hiba LISSAOUI",Détail!$B:$B,$A18,Détail!$C:$C,$B18),"")</f>
        <v/>
      </c>
      <c r="H18" s="26">
        <f>COUNTIFS(Détail!$A:$A,"Imad RMAIDI",Détail!$B:$B,$A18,Détail!$C:$C,$B18,Détail!$E:$E,"&lt;&gt;(à saisir)")</f>
        <v/>
      </c>
      <c r="I18" s="27">
        <f>IFERROR(AVERAGEIFS(Détail!$I:$I,Détail!$A:$A,"Imad RMAIDI",Détail!$B:$B,$A18,Détail!$C:$C,$B18),"")</f>
        <v/>
      </c>
      <c r="J18" s="26">
        <f>COUNTIFS(Détail!$A:$A,"Mohamed HAMDANI",Détail!$B:$B,$A18,Détail!$C:$C,$B18,Détail!$E:$E,"&lt;&gt;(à saisir)")</f>
        <v/>
      </c>
      <c r="K18" s="27">
        <f>IFERROR(AVERAGEIFS(Détail!$I:$I,Détail!$A:$A,"Mohamed HAMDANI",Détail!$B:$B,$A18,Détail!$C:$C,$B18),"")</f>
        <v/>
      </c>
      <c r="L18" s="26">
        <f>COUNTIFS(Détail!$A:$A,"Youssef",Détail!$B:$B,$A18,Détail!$C:$C,$B18,Détail!$E:$E,"&lt;&gt;(à saisir)")</f>
        <v/>
      </c>
      <c r="M18" s="27">
        <f>IFERROR(AVERAGEIFS(Détail!$I:$I,Détail!$A:$A,"Youssef",Détail!$B:$B,$A18,Détail!$C:$C,$B18),"")</f>
        <v/>
      </c>
      <c r="N18" s="26">
        <f>COUNTIFS(Détail!$B:$B,$A18,Détail!$C:$C,$B18,Détail!$E:$E,"&lt;&gt;(à saisir)")</f>
        <v/>
      </c>
      <c r="O18" s="27">
        <f>IFERROR(AVERAGEIFS(Détail!$I:$I,Détail!$B:$B,$A18,Détail!$C:$C,$B18),"")</f>
        <v/>
      </c>
    </row>
    <row r="19" ht="15" customHeight="1" s="19">
      <c r="A19" s="25" t="n">
        <v>2026</v>
      </c>
      <c r="B19" s="25" t="n">
        <v>12</v>
      </c>
      <c r="C19" s="25" t="inlineStr">
        <is>
          <t>16/03/2026 – 22/03/2026</t>
        </is>
      </c>
      <c r="D19" s="26">
        <f>COUNTIFS(Détail!$A:$A,"Hafssa BENCHRIF",Détail!$B:$B,$A19,Détail!$C:$C,$B19,Détail!$E:$E,"&lt;&gt;(à saisir)")</f>
        <v/>
      </c>
      <c r="E19" s="27">
        <f>IFERROR(AVERAGEIFS(Détail!$I:$I,Détail!$A:$A,"Hafssa BENCHRIF",Détail!$B:$B,$A19,Détail!$C:$C,$B19),"")</f>
        <v/>
      </c>
      <c r="F19" s="26">
        <f>COUNTIFS(Détail!$A:$A,"Hiba LISSAOUI",Détail!$B:$B,$A19,Détail!$C:$C,$B19,Détail!$E:$E,"&lt;&gt;(à saisir)")</f>
        <v/>
      </c>
      <c r="G19" s="27">
        <f>IFERROR(AVERAGEIFS(Détail!$I:$I,Détail!$A:$A,"Hiba LISSAOUI",Détail!$B:$B,$A19,Détail!$C:$C,$B19),"")</f>
        <v/>
      </c>
      <c r="H19" s="26">
        <f>COUNTIFS(Détail!$A:$A,"Imad RMAIDI",Détail!$B:$B,$A19,Détail!$C:$C,$B19,Détail!$E:$E,"&lt;&gt;(à saisir)")</f>
        <v/>
      </c>
      <c r="I19" s="27">
        <f>IFERROR(AVERAGEIFS(Détail!$I:$I,Détail!$A:$A,"Imad RMAIDI",Détail!$B:$B,$A19,Détail!$C:$C,$B19),"")</f>
        <v/>
      </c>
      <c r="J19" s="26">
        <f>COUNTIFS(Détail!$A:$A,"Mohamed HAMDANI",Détail!$B:$B,$A19,Détail!$C:$C,$B19,Détail!$E:$E,"&lt;&gt;(à saisir)")</f>
        <v/>
      </c>
      <c r="K19" s="27">
        <f>IFERROR(AVERAGEIFS(Détail!$I:$I,Détail!$A:$A,"Mohamed HAMDANI",Détail!$B:$B,$A19,Détail!$C:$C,$B19),"")</f>
        <v/>
      </c>
      <c r="L19" s="26">
        <f>COUNTIFS(Détail!$A:$A,"Youssef",Détail!$B:$B,$A19,Détail!$C:$C,$B19,Détail!$E:$E,"&lt;&gt;(à saisir)")</f>
        <v/>
      </c>
      <c r="M19" s="27">
        <f>IFERROR(AVERAGEIFS(Détail!$I:$I,Détail!$A:$A,"Youssef",Détail!$B:$B,$A19,Détail!$C:$C,$B19),"")</f>
        <v/>
      </c>
      <c r="N19" s="26">
        <f>COUNTIFS(Détail!$B:$B,$A19,Détail!$C:$C,$B19,Détail!$E:$E,"&lt;&gt;(à saisir)")</f>
        <v/>
      </c>
      <c r="O19" s="27">
        <f>IFERROR(AVERAGEIFS(Détail!$I:$I,Détail!$B:$B,$A19,Détail!$C:$C,$B19),"")</f>
        <v/>
      </c>
    </row>
    <row r="20" ht="15" customHeight="1" s="19">
      <c r="A20" s="25" t="n">
        <v>2026</v>
      </c>
      <c r="B20" s="25" t="n">
        <v>13</v>
      </c>
      <c r="C20" s="25" t="inlineStr">
        <is>
          <t>23/03/2026 – 29/03/2026</t>
        </is>
      </c>
      <c r="D20" s="26">
        <f>COUNTIFS(Détail!$A:$A,"Hafssa BENCHRIF",Détail!$B:$B,$A20,Détail!$C:$C,$B20,Détail!$E:$E,"&lt;&gt;(à saisir)")</f>
        <v/>
      </c>
      <c r="E20" s="27">
        <f>IFERROR(AVERAGEIFS(Détail!$I:$I,Détail!$A:$A,"Hafssa BENCHRIF",Détail!$B:$B,$A20,Détail!$C:$C,$B20),"")</f>
        <v/>
      </c>
      <c r="F20" s="26">
        <f>COUNTIFS(Détail!$A:$A,"Hiba LISSAOUI",Détail!$B:$B,$A20,Détail!$C:$C,$B20,Détail!$E:$E,"&lt;&gt;(à saisir)")</f>
        <v/>
      </c>
      <c r="G20" s="27">
        <f>IFERROR(AVERAGEIFS(Détail!$I:$I,Détail!$A:$A,"Hiba LISSAOUI",Détail!$B:$B,$A20,Détail!$C:$C,$B20),"")</f>
        <v/>
      </c>
      <c r="H20" s="26">
        <f>COUNTIFS(Détail!$A:$A,"Imad RMAIDI",Détail!$B:$B,$A20,Détail!$C:$C,$B20,Détail!$E:$E,"&lt;&gt;(à saisir)")</f>
        <v/>
      </c>
      <c r="I20" s="27">
        <f>IFERROR(AVERAGEIFS(Détail!$I:$I,Détail!$A:$A,"Imad RMAIDI",Détail!$B:$B,$A20,Détail!$C:$C,$B20),"")</f>
        <v/>
      </c>
      <c r="J20" s="26">
        <f>COUNTIFS(Détail!$A:$A,"Mohamed HAMDANI",Détail!$B:$B,$A20,Détail!$C:$C,$B20,Détail!$E:$E,"&lt;&gt;(à saisir)")</f>
        <v/>
      </c>
      <c r="K20" s="27">
        <f>IFERROR(AVERAGEIFS(Détail!$I:$I,Détail!$A:$A,"Mohamed HAMDANI",Détail!$B:$B,$A20,Détail!$C:$C,$B20),"")</f>
        <v/>
      </c>
      <c r="L20" s="26">
        <f>COUNTIFS(Détail!$A:$A,"Youssef",Détail!$B:$B,$A20,Détail!$C:$C,$B20,Détail!$E:$E,"&lt;&gt;(à saisir)")</f>
        <v/>
      </c>
      <c r="M20" s="27">
        <f>IFERROR(AVERAGEIFS(Détail!$I:$I,Détail!$A:$A,"Youssef",Détail!$B:$B,$A20,Détail!$C:$C,$B20),"")</f>
        <v/>
      </c>
      <c r="N20" s="26">
        <f>COUNTIFS(Détail!$B:$B,$A20,Détail!$C:$C,$B20,Détail!$E:$E,"&lt;&gt;(à saisir)")</f>
        <v/>
      </c>
      <c r="O20" s="27">
        <f>IFERROR(AVERAGEIFS(Détail!$I:$I,Détail!$B:$B,$A20,Détail!$C:$C,$B20),"")</f>
        <v/>
      </c>
    </row>
    <row r="21" ht="15" customHeight="1" s="19">
      <c r="A21" s="25" t="n">
        <v>2026</v>
      </c>
      <c r="B21" s="25" t="n">
        <v>14</v>
      </c>
      <c r="C21" s="25" t="inlineStr">
        <is>
          <t>30/03/2026 – 05/04/2026</t>
        </is>
      </c>
      <c r="D21" s="26">
        <f>COUNTIFS(Détail!$A:$A,"Hafssa BENCHRIF",Détail!$B:$B,$A21,Détail!$C:$C,$B21,Détail!$E:$E,"&lt;&gt;(à saisir)")</f>
        <v/>
      </c>
      <c r="E21" s="27">
        <f>IFERROR(AVERAGEIFS(Détail!$I:$I,Détail!$A:$A,"Hafssa BENCHRIF",Détail!$B:$B,$A21,Détail!$C:$C,$B21),"")</f>
        <v/>
      </c>
      <c r="F21" s="26">
        <f>COUNTIFS(Détail!$A:$A,"Hiba LISSAOUI",Détail!$B:$B,$A21,Détail!$C:$C,$B21,Détail!$E:$E,"&lt;&gt;(à saisir)")</f>
        <v/>
      </c>
      <c r="G21" s="27">
        <f>IFERROR(AVERAGEIFS(Détail!$I:$I,Détail!$A:$A,"Hiba LISSAOUI",Détail!$B:$B,$A21,Détail!$C:$C,$B21),"")</f>
        <v/>
      </c>
      <c r="H21" s="26">
        <f>COUNTIFS(Détail!$A:$A,"Imad RMAIDI",Détail!$B:$B,$A21,Détail!$C:$C,$B21,Détail!$E:$E,"&lt;&gt;(à saisir)")</f>
        <v/>
      </c>
      <c r="I21" s="27">
        <f>IFERROR(AVERAGEIFS(Détail!$I:$I,Détail!$A:$A,"Imad RMAIDI",Détail!$B:$B,$A21,Détail!$C:$C,$B21),"")</f>
        <v/>
      </c>
      <c r="J21" s="26">
        <f>COUNTIFS(Détail!$A:$A,"Mohamed HAMDANI",Détail!$B:$B,$A21,Détail!$C:$C,$B21,Détail!$E:$E,"&lt;&gt;(à saisir)")</f>
        <v/>
      </c>
      <c r="K21" s="27">
        <f>IFERROR(AVERAGEIFS(Détail!$I:$I,Détail!$A:$A,"Mohamed HAMDANI",Détail!$B:$B,$A21,Détail!$C:$C,$B21),"")</f>
        <v/>
      </c>
      <c r="L21" s="26">
        <f>COUNTIFS(Détail!$A:$A,"Youssef",Détail!$B:$B,$A21,Détail!$C:$C,$B21,Détail!$E:$E,"&lt;&gt;(à saisir)")</f>
        <v/>
      </c>
      <c r="M21" s="27">
        <f>IFERROR(AVERAGEIFS(Détail!$I:$I,Détail!$A:$A,"Youssef",Détail!$B:$B,$A21,Détail!$C:$C,$B21),"")</f>
        <v/>
      </c>
      <c r="N21" s="26">
        <f>COUNTIFS(Détail!$B:$B,$A21,Détail!$C:$C,$B21,Détail!$E:$E,"&lt;&gt;(à saisir)")</f>
        <v/>
      </c>
      <c r="O21" s="27">
        <f>IFERROR(AVERAGEIFS(Détail!$I:$I,Détail!$B:$B,$A21,Détail!$C:$C,$B21),"")</f>
        <v/>
      </c>
    </row>
    <row r="22" ht="15" customHeight="1" s="19">
      <c r="A22" s="25" t="n">
        <v>2026</v>
      </c>
      <c r="B22" s="25" t="n">
        <v>15</v>
      </c>
      <c r="C22" s="25" t="inlineStr">
        <is>
          <t>06/04/2026 – 12/04/2026</t>
        </is>
      </c>
      <c r="D22" s="26">
        <f>COUNTIFS(Détail!$A:$A,"Hafssa BENCHRIF",Détail!$B:$B,$A22,Détail!$C:$C,$B22,Détail!$E:$E,"&lt;&gt;(à saisir)")</f>
        <v/>
      </c>
      <c r="E22" s="27">
        <f>IFERROR(AVERAGEIFS(Détail!$I:$I,Détail!$A:$A,"Hafssa BENCHRIF",Détail!$B:$B,$A22,Détail!$C:$C,$B22),"")</f>
        <v/>
      </c>
      <c r="F22" s="26">
        <f>COUNTIFS(Détail!$A:$A,"Hiba LISSAOUI",Détail!$B:$B,$A22,Détail!$C:$C,$B22,Détail!$E:$E,"&lt;&gt;(à saisir)")</f>
        <v/>
      </c>
      <c r="G22" s="27">
        <f>IFERROR(AVERAGEIFS(Détail!$I:$I,Détail!$A:$A,"Hiba LISSAOUI",Détail!$B:$B,$A22,Détail!$C:$C,$B22),"")</f>
        <v/>
      </c>
      <c r="H22" s="26">
        <f>COUNTIFS(Détail!$A:$A,"Imad RMAIDI",Détail!$B:$B,$A22,Détail!$C:$C,$B22,Détail!$E:$E,"&lt;&gt;(à saisir)")</f>
        <v/>
      </c>
      <c r="I22" s="27">
        <f>IFERROR(AVERAGEIFS(Détail!$I:$I,Détail!$A:$A,"Imad RMAIDI",Détail!$B:$B,$A22,Détail!$C:$C,$B22),"")</f>
        <v/>
      </c>
      <c r="J22" s="26">
        <f>COUNTIFS(Détail!$A:$A,"Mohamed HAMDANI",Détail!$B:$B,$A22,Détail!$C:$C,$B22,Détail!$E:$E,"&lt;&gt;(à saisir)")</f>
        <v/>
      </c>
      <c r="K22" s="27">
        <f>IFERROR(AVERAGEIFS(Détail!$I:$I,Détail!$A:$A,"Mohamed HAMDANI",Détail!$B:$B,$A22,Détail!$C:$C,$B22),"")</f>
        <v/>
      </c>
      <c r="L22" s="26">
        <f>COUNTIFS(Détail!$A:$A,"Youssef",Détail!$B:$B,$A22,Détail!$C:$C,$B22,Détail!$E:$E,"&lt;&gt;(à saisir)")</f>
        <v/>
      </c>
      <c r="M22" s="27">
        <f>IFERROR(AVERAGEIFS(Détail!$I:$I,Détail!$A:$A,"Youssef",Détail!$B:$B,$A22,Détail!$C:$C,$B22),"")</f>
        <v/>
      </c>
      <c r="N22" s="26">
        <f>COUNTIFS(Détail!$B:$B,$A22,Détail!$C:$C,$B22,Détail!$E:$E,"&lt;&gt;(à saisir)")</f>
        <v/>
      </c>
      <c r="O22" s="27">
        <f>IFERROR(AVERAGEIFS(Détail!$I:$I,Détail!$B:$B,$A22,Détail!$C:$C,$B22),"")</f>
        <v/>
      </c>
    </row>
    <row r="23" ht="15" customHeight="1" s="19">
      <c r="A23" s="25" t="n">
        <v>2026</v>
      </c>
      <c r="B23" s="25" t="n">
        <v>16</v>
      </c>
      <c r="C23" s="25" t="inlineStr">
        <is>
          <t>13/04/2026 – 19/04/2026</t>
        </is>
      </c>
      <c r="D23" s="26">
        <f>COUNTIFS(Détail!$A:$A,"Hafssa BENCHRIF",Détail!$B:$B,$A23,Détail!$C:$C,$B23,Détail!$E:$E,"&lt;&gt;(à saisir)")</f>
        <v/>
      </c>
      <c r="E23" s="27">
        <f>IFERROR(AVERAGEIFS(Détail!$I:$I,Détail!$A:$A,"Hafssa BENCHRIF",Détail!$B:$B,$A23,Détail!$C:$C,$B23),"")</f>
        <v/>
      </c>
      <c r="F23" s="26">
        <f>COUNTIFS(Détail!$A:$A,"Hiba LISSAOUI",Détail!$B:$B,$A23,Détail!$C:$C,$B23,Détail!$E:$E,"&lt;&gt;(à saisir)")</f>
        <v/>
      </c>
      <c r="G23" s="27">
        <f>IFERROR(AVERAGEIFS(Détail!$I:$I,Détail!$A:$A,"Hiba LISSAOUI",Détail!$B:$B,$A23,Détail!$C:$C,$B23),"")</f>
        <v/>
      </c>
      <c r="H23" s="26">
        <f>COUNTIFS(Détail!$A:$A,"Imad RMAIDI",Détail!$B:$B,$A23,Détail!$C:$C,$B23,Détail!$E:$E,"&lt;&gt;(à saisir)")</f>
        <v/>
      </c>
      <c r="I23" s="27">
        <f>IFERROR(AVERAGEIFS(Détail!$I:$I,Détail!$A:$A,"Imad RMAIDI",Détail!$B:$B,$A23,Détail!$C:$C,$B23),"")</f>
        <v/>
      </c>
      <c r="J23" s="26">
        <f>COUNTIFS(Détail!$A:$A,"Mohamed HAMDANI",Détail!$B:$B,$A23,Détail!$C:$C,$B23,Détail!$E:$E,"&lt;&gt;(à saisir)")</f>
        <v/>
      </c>
      <c r="K23" s="27">
        <f>IFERROR(AVERAGEIFS(Détail!$I:$I,Détail!$A:$A,"Mohamed HAMDANI",Détail!$B:$B,$A23,Détail!$C:$C,$B23),"")</f>
        <v/>
      </c>
      <c r="L23" s="26">
        <f>COUNTIFS(Détail!$A:$A,"Youssef",Détail!$B:$B,$A23,Détail!$C:$C,$B23,Détail!$E:$E,"&lt;&gt;(à saisir)")</f>
        <v/>
      </c>
      <c r="M23" s="27">
        <f>IFERROR(AVERAGEIFS(Détail!$I:$I,Détail!$A:$A,"Youssef",Détail!$B:$B,$A23,Détail!$C:$C,$B23),"")</f>
        <v/>
      </c>
      <c r="N23" s="26">
        <f>COUNTIFS(Détail!$B:$B,$A23,Détail!$C:$C,$B23,Détail!$E:$E,"&lt;&gt;(à saisir)")</f>
        <v/>
      </c>
      <c r="O23" s="27">
        <f>IFERROR(AVERAGEIFS(Détail!$I:$I,Détail!$B:$B,$A23,Détail!$C:$C,$B23),"")</f>
        <v/>
      </c>
    </row>
    <row r="24" ht="15" customHeight="1" s="19">
      <c r="A24" s="25" t="n">
        <v>2026</v>
      </c>
      <c r="B24" s="25" t="n">
        <v>17</v>
      </c>
      <c r="C24" s="25" t="inlineStr">
        <is>
          <t>20/04/2026 – 26/04/2026</t>
        </is>
      </c>
      <c r="D24" s="26">
        <f>COUNTIFS(Détail!$A:$A,"Hafssa BENCHRIF",Détail!$B:$B,$A24,Détail!$C:$C,$B24,Détail!$E:$E,"&lt;&gt;(à saisir)")</f>
        <v/>
      </c>
      <c r="E24" s="27">
        <f>IFERROR(AVERAGEIFS(Détail!$I:$I,Détail!$A:$A,"Hafssa BENCHRIF",Détail!$B:$B,$A24,Détail!$C:$C,$B24),"")</f>
        <v/>
      </c>
      <c r="F24" s="26">
        <f>COUNTIFS(Détail!$A:$A,"Hiba LISSAOUI",Détail!$B:$B,$A24,Détail!$C:$C,$B24,Détail!$E:$E,"&lt;&gt;(à saisir)")</f>
        <v/>
      </c>
      <c r="G24" s="27">
        <f>IFERROR(AVERAGEIFS(Détail!$I:$I,Détail!$A:$A,"Hiba LISSAOUI",Détail!$B:$B,$A24,Détail!$C:$C,$B24),"")</f>
        <v/>
      </c>
      <c r="H24" s="26">
        <f>COUNTIFS(Détail!$A:$A,"Imad RMAIDI",Détail!$B:$B,$A24,Détail!$C:$C,$B24,Détail!$E:$E,"&lt;&gt;(à saisir)")</f>
        <v/>
      </c>
      <c r="I24" s="27">
        <f>IFERROR(AVERAGEIFS(Détail!$I:$I,Détail!$A:$A,"Imad RMAIDI",Détail!$B:$B,$A24,Détail!$C:$C,$B24),"")</f>
        <v/>
      </c>
      <c r="J24" s="26">
        <f>COUNTIFS(Détail!$A:$A,"Mohamed HAMDANI",Détail!$B:$B,$A24,Détail!$C:$C,$B24,Détail!$E:$E,"&lt;&gt;(à saisir)")</f>
        <v/>
      </c>
      <c r="K24" s="27">
        <f>IFERROR(AVERAGEIFS(Détail!$I:$I,Détail!$A:$A,"Mohamed HAMDANI",Détail!$B:$B,$A24,Détail!$C:$C,$B24),"")</f>
        <v/>
      </c>
      <c r="L24" s="26">
        <f>COUNTIFS(Détail!$A:$A,"Youssef",Détail!$B:$B,$A24,Détail!$C:$C,$B24,Détail!$E:$E,"&lt;&gt;(à saisir)")</f>
        <v/>
      </c>
      <c r="M24" s="27">
        <f>IFERROR(AVERAGEIFS(Détail!$I:$I,Détail!$A:$A,"Youssef",Détail!$B:$B,$A24,Détail!$C:$C,$B24),"")</f>
        <v/>
      </c>
      <c r="N24" s="26">
        <f>COUNTIFS(Détail!$B:$B,$A24,Détail!$C:$C,$B24,Détail!$E:$E,"&lt;&gt;(à saisir)")</f>
        <v/>
      </c>
      <c r="O24" s="27">
        <f>IFERROR(AVERAGEIFS(Détail!$I:$I,Détail!$B:$B,$A24,Détail!$C:$C,$B24),"")</f>
        <v/>
      </c>
    </row>
    <row r="25" ht="15" customHeight="1" s="19">
      <c r="A25" s="25" t="n">
        <v>2026</v>
      </c>
      <c r="B25" s="25" t="n">
        <v>18</v>
      </c>
      <c r="C25" s="25" t="inlineStr">
        <is>
          <t>27/04/2026 – 03/05/2026</t>
        </is>
      </c>
      <c r="D25" s="26">
        <f>COUNTIFS(Détail!$A:$A,"Hafssa BENCHRIF",Détail!$B:$B,$A25,Détail!$C:$C,$B25,Détail!$E:$E,"&lt;&gt;(à saisir)")</f>
        <v/>
      </c>
      <c r="E25" s="27">
        <f>IFERROR(AVERAGEIFS(Détail!$I:$I,Détail!$A:$A,"Hafssa BENCHRIF",Détail!$B:$B,$A25,Détail!$C:$C,$B25),"")</f>
        <v/>
      </c>
      <c r="F25" s="26">
        <f>COUNTIFS(Détail!$A:$A,"Hiba LISSAOUI",Détail!$B:$B,$A25,Détail!$C:$C,$B25,Détail!$E:$E,"&lt;&gt;(à saisir)")</f>
        <v/>
      </c>
      <c r="G25" s="27">
        <f>IFERROR(AVERAGEIFS(Détail!$I:$I,Détail!$A:$A,"Hiba LISSAOUI",Détail!$B:$B,$A25,Détail!$C:$C,$B25),"")</f>
        <v/>
      </c>
      <c r="H25" s="26">
        <f>COUNTIFS(Détail!$A:$A,"Imad RMAIDI",Détail!$B:$B,$A25,Détail!$C:$C,$B25,Détail!$E:$E,"&lt;&gt;(à saisir)")</f>
        <v/>
      </c>
      <c r="I25" s="27">
        <f>IFERROR(AVERAGEIFS(Détail!$I:$I,Détail!$A:$A,"Imad RMAIDI",Détail!$B:$B,$A25,Détail!$C:$C,$B25),"")</f>
        <v/>
      </c>
      <c r="J25" s="26">
        <f>COUNTIFS(Détail!$A:$A,"Mohamed HAMDANI",Détail!$B:$B,$A25,Détail!$C:$C,$B25,Détail!$E:$E,"&lt;&gt;(à saisir)")</f>
        <v/>
      </c>
      <c r="K25" s="27">
        <f>IFERROR(AVERAGEIFS(Détail!$I:$I,Détail!$A:$A,"Mohamed HAMDANI",Détail!$B:$B,$A25,Détail!$C:$C,$B25),"")</f>
        <v/>
      </c>
      <c r="L25" s="26">
        <f>COUNTIFS(Détail!$A:$A,"Youssef",Détail!$B:$B,$A25,Détail!$C:$C,$B25,Détail!$E:$E,"&lt;&gt;(à saisir)")</f>
        <v/>
      </c>
      <c r="M25" s="27">
        <f>IFERROR(AVERAGEIFS(Détail!$I:$I,Détail!$A:$A,"Youssef",Détail!$B:$B,$A25,Détail!$C:$C,$B25),"")</f>
        <v/>
      </c>
      <c r="N25" s="26">
        <f>COUNTIFS(Détail!$B:$B,$A25,Détail!$C:$C,$B25,Détail!$E:$E,"&lt;&gt;(à saisir)")</f>
        <v/>
      </c>
      <c r="O25" s="27">
        <f>IFERROR(AVERAGEIFS(Détail!$I:$I,Détail!$B:$B,$A25,Détail!$C:$C,$B25),"")</f>
        <v/>
      </c>
    </row>
    <row r="26" ht="15" customHeight="1" s="19">
      <c r="A26" s="25" t="n">
        <v>2026</v>
      </c>
      <c r="B26" s="25" t="n">
        <v>19</v>
      </c>
      <c r="C26" s="25" t="inlineStr">
        <is>
          <t>04/05/2026 – 10/05/2026</t>
        </is>
      </c>
      <c r="D26" s="26">
        <f>COUNTIFS(Détail!$A:$A,"Hafssa BENCHRIF",Détail!$B:$B,$A26,Détail!$C:$C,$B26,Détail!$E:$E,"&lt;&gt;(à saisir)")</f>
        <v/>
      </c>
      <c r="E26" s="27">
        <f>IFERROR(AVERAGEIFS(Détail!$I:$I,Détail!$A:$A,"Hafssa BENCHRIF",Détail!$B:$B,$A26,Détail!$C:$C,$B26),"")</f>
        <v/>
      </c>
      <c r="F26" s="26">
        <f>COUNTIFS(Détail!$A:$A,"Hiba LISSAOUI",Détail!$B:$B,$A26,Détail!$C:$C,$B26,Détail!$E:$E,"&lt;&gt;(à saisir)")</f>
        <v/>
      </c>
      <c r="G26" s="27">
        <f>IFERROR(AVERAGEIFS(Détail!$I:$I,Détail!$A:$A,"Hiba LISSAOUI",Détail!$B:$B,$A26,Détail!$C:$C,$B26),"")</f>
        <v/>
      </c>
      <c r="H26" s="26">
        <f>COUNTIFS(Détail!$A:$A,"Imad RMAIDI",Détail!$B:$B,$A26,Détail!$C:$C,$B26,Détail!$E:$E,"&lt;&gt;(à saisir)")</f>
        <v/>
      </c>
      <c r="I26" s="27">
        <f>IFERROR(AVERAGEIFS(Détail!$I:$I,Détail!$A:$A,"Imad RMAIDI",Détail!$B:$B,$A26,Détail!$C:$C,$B26),"")</f>
        <v/>
      </c>
      <c r="J26" s="26">
        <f>COUNTIFS(Détail!$A:$A,"Mohamed HAMDANI",Détail!$B:$B,$A26,Détail!$C:$C,$B26,Détail!$E:$E,"&lt;&gt;(à saisir)")</f>
        <v/>
      </c>
      <c r="K26" s="27">
        <f>IFERROR(AVERAGEIFS(Détail!$I:$I,Détail!$A:$A,"Mohamed HAMDANI",Détail!$B:$B,$A26,Détail!$C:$C,$B26),"")</f>
        <v/>
      </c>
      <c r="L26" s="26">
        <f>COUNTIFS(Détail!$A:$A,"Youssef",Détail!$B:$B,$A26,Détail!$C:$C,$B26,Détail!$E:$E,"&lt;&gt;(à saisir)")</f>
        <v/>
      </c>
      <c r="M26" s="27">
        <f>IFERROR(AVERAGEIFS(Détail!$I:$I,Détail!$A:$A,"Youssef",Détail!$B:$B,$A26,Détail!$C:$C,$B26),"")</f>
        <v/>
      </c>
      <c r="N26" s="26">
        <f>COUNTIFS(Détail!$B:$B,$A26,Détail!$C:$C,$B26,Détail!$E:$E,"&lt;&gt;(à saisir)")</f>
        <v/>
      </c>
      <c r="O26" s="27">
        <f>IFERROR(AVERAGEIFS(Détail!$I:$I,Détail!$B:$B,$A26,Détail!$C:$C,$B26),"")</f>
        <v/>
      </c>
    </row>
    <row r="27" ht="15" customHeight="1" s="19">
      <c r="A27" s="25" t="n">
        <v>2026</v>
      </c>
      <c r="B27" s="25" t="n">
        <v>20</v>
      </c>
      <c r="C27" s="25" t="inlineStr">
        <is>
          <t>11/05/2026 – 17/05/2026</t>
        </is>
      </c>
      <c r="D27" s="26">
        <f>COUNTIFS(Détail!$A:$A,"Hafssa BENCHRIF",Détail!$B:$B,$A27,Détail!$C:$C,$B27,Détail!$E:$E,"&lt;&gt;(à saisir)")</f>
        <v/>
      </c>
      <c r="E27" s="27">
        <f>IFERROR(AVERAGEIFS(Détail!$I:$I,Détail!$A:$A,"Hafssa BENCHRIF",Détail!$B:$B,$A27,Détail!$C:$C,$B27),"")</f>
        <v/>
      </c>
      <c r="F27" s="26">
        <f>COUNTIFS(Détail!$A:$A,"Hiba LISSAOUI",Détail!$B:$B,$A27,Détail!$C:$C,$B27,Détail!$E:$E,"&lt;&gt;(à saisir)")</f>
        <v/>
      </c>
      <c r="G27" s="27">
        <f>IFERROR(AVERAGEIFS(Détail!$I:$I,Détail!$A:$A,"Hiba LISSAOUI",Détail!$B:$B,$A27,Détail!$C:$C,$B27),"")</f>
        <v/>
      </c>
      <c r="H27" s="26">
        <f>COUNTIFS(Détail!$A:$A,"Imad RMAIDI",Détail!$B:$B,$A27,Détail!$C:$C,$B27,Détail!$E:$E,"&lt;&gt;(à saisir)")</f>
        <v/>
      </c>
      <c r="I27" s="27">
        <f>IFERROR(AVERAGEIFS(Détail!$I:$I,Détail!$A:$A,"Imad RMAIDI",Détail!$B:$B,$A27,Détail!$C:$C,$B27),"")</f>
        <v/>
      </c>
      <c r="J27" s="26">
        <f>COUNTIFS(Détail!$A:$A,"Mohamed HAMDANI",Détail!$B:$B,$A27,Détail!$C:$C,$B27,Détail!$E:$E,"&lt;&gt;(à saisir)")</f>
        <v/>
      </c>
      <c r="K27" s="27">
        <f>IFERROR(AVERAGEIFS(Détail!$I:$I,Détail!$A:$A,"Mohamed HAMDANI",Détail!$B:$B,$A27,Détail!$C:$C,$B27),"")</f>
        <v/>
      </c>
      <c r="L27" s="26">
        <f>COUNTIFS(Détail!$A:$A,"Youssef",Détail!$B:$B,$A27,Détail!$C:$C,$B27,Détail!$E:$E,"&lt;&gt;(à saisir)")</f>
        <v/>
      </c>
      <c r="M27" s="27">
        <f>IFERROR(AVERAGEIFS(Détail!$I:$I,Détail!$A:$A,"Youssef",Détail!$B:$B,$A27,Détail!$C:$C,$B27),"")</f>
        <v/>
      </c>
      <c r="N27" s="26">
        <f>COUNTIFS(Détail!$B:$B,$A27,Détail!$C:$C,$B27,Détail!$E:$E,"&lt;&gt;(à saisir)")</f>
        <v/>
      </c>
      <c r="O27" s="27">
        <f>IFERROR(AVERAGEIFS(Détail!$I:$I,Détail!$B:$B,$A27,Détail!$C:$C,$B27),"")</f>
        <v/>
      </c>
    </row>
    <row r="28" ht="15" customHeight="1" s="19">
      <c r="A28" s="25" t="n">
        <v>2026</v>
      </c>
      <c r="B28" s="25" t="n">
        <v>21</v>
      </c>
      <c r="C28" s="25" t="inlineStr">
        <is>
          <t>18/05/2026 – 24/05/2026</t>
        </is>
      </c>
      <c r="D28" s="26">
        <f>COUNTIFS(Détail!$A:$A,"Hafssa BENCHRIF",Détail!$B:$B,$A28,Détail!$C:$C,$B28,Détail!$E:$E,"&lt;&gt;(à saisir)")</f>
        <v/>
      </c>
      <c r="E28" s="27">
        <f>IFERROR(AVERAGEIFS(Détail!$I:$I,Détail!$A:$A,"Hafssa BENCHRIF",Détail!$B:$B,$A28,Détail!$C:$C,$B28),"")</f>
        <v/>
      </c>
      <c r="F28" s="26">
        <f>COUNTIFS(Détail!$A:$A,"Hiba LISSAOUI",Détail!$B:$B,$A28,Détail!$C:$C,$B28,Détail!$E:$E,"&lt;&gt;(à saisir)")</f>
        <v/>
      </c>
      <c r="G28" s="27">
        <f>IFERROR(AVERAGEIFS(Détail!$I:$I,Détail!$A:$A,"Hiba LISSAOUI",Détail!$B:$B,$A28,Détail!$C:$C,$B28),"")</f>
        <v/>
      </c>
      <c r="H28" s="26">
        <f>COUNTIFS(Détail!$A:$A,"Imad RMAIDI",Détail!$B:$B,$A28,Détail!$C:$C,$B28,Détail!$E:$E,"&lt;&gt;(à saisir)")</f>
        <v/>
      </c>
      <c r="I28" s="27">
        <f>IFERROR(AVERAGEIFS(Détail!$I:$I,Détail!$A:$A,"Imad RMAIDI",Détail!$B:$B,$A28,Détail!$C:$C,$B28),"")</f>
        <v/>
      </c>
      <c r="J28" s="26">
        <f>COUNTIFS(Détail!$A:$A,"Mohamed HAMDANI",Détail!$B:$B,$A28,Détail!$C:$C,$B28,Détail!$E:$E,"&lt;&gt;(à saisir)")</f>
        <v/>
      </c>
      <c r="K28" s="27">
        <f>IFERROR(AVERAGEIFS(Détail!$I:$I,Détail!$A:$A,"Mohamed HAMDANI",Détail!$B:$B,$A28,Détail!$C:$C,$B28),"")</f>
        <v/>
      </c>
      <c r="L28" s="26">
        <f>COUNTIFS(Détail!$A:$A,"Youssef",Détail!$B:$B,$A28,Détail!$C:$C,$B28,Détail!$E:$E,"&lt;&gt;(à saisir)")</f>
        <v/>
      </c>
      <c r="M28" s="27">
        <f>IFERROR(AVERAGEIFS(Détail!$I:$I,Détail!$A:$A,"Youssef",Détail!$B:$B,$A28,Détail!$C:$C,$B28),"")</f>
        <v/>
      </c>
      <c r="N28" s="26">
        <f>COUNTIFS(Détail!$B:$B,$A28,Détail!$C:$C,$B28,Détail!$E:$E,"&lt;&gt;(à saisir)")</f>
        <v/>
      </c>
      <c r="O28" s="27">
        <f>IFERROR(AVERAGEIFS(Détail!$I:$I,Détail!$B:$B,$A28,Détail!$C:$C,$B28),"")</f>
        <v/>
      </c>
    </row>
    <row r="29" ht="15" customHeight="1" s="19">
      <c r="A29" s="25" t="n">
        <v>2026</v>
      </c>
      <c r="B29" s="25" t="n">
        <v>22</v>
      </c>
      <c r="C29" s="25" t="inlineStr">
        <is>
          <t>25/05/2026 – 31/05/2026</t>
        </is>
      </c>
      <c r="D29" s="26">
        <f>COUNTIFS(Détail!$A:$A,"Hafssa BENCHRIF",Détail!$B:$B,$A29,Détail!$C:$C,$B29,Détail!$E:$E,"&lt;&gt;(à saisir)")</f>
        <v/>
      </c>
      <c r="E29" s="27">
        <f>IFERROR(AVERAGEIFS(Détail!$I:$I,Détail!$A:$A,"Hafssa BENCHRIF",Détail!$B:$B,$A29,Détail!$C:$C,$B29),"")</f>
        <v/>
      </c>
      <c r="F29" s="26">
        <f>COUNTIFS(Détail!$A:$A,"Hiba LISSAOUI",Détail!$B:$B,$A29,Détail!$C:$C,$B29,Détail!$E:$E,"&lt;&gt;(à saisir)")</f>
        <v/>
      </c>
      <c r="G29" s="27">
        <f>IFERROR(AVERAGEIFS(Détail!$I:$I,Détail!$A:$A,"Hiba LISSAOUI",Détail!$B:$B,$A29,Détail!$C:$C,$B29),"")</f>
        <v/>
      </c>
      <c r="H29" s="26">
        <f>COUNTIFS(Détail!$A:$A,"Imad RMAIDI",Détail!$B:$B,$A29,Détail!$C:$C,$B29,Détail!$E:$E,"&lt;&gt;(à saisir)")</f>
        <v/>
      </c>
      <c r="I29" s="27">
        <f>IFERROR(AVERAGEIFS(Détail!$I:$I,Détail!$A:$A,"Imad RMAIDI",Détail!$B:$B,$A29,Détail!$C:$C,$B29),"")</f>
        <v/>
      </c>
      <c r="J29" s="26">
        <f>COUNTIFS(Détail!$A:$A,"Mohamed HAMDANI",Détail!$B:$B,$A29,Détail!$C:$C,$B29,Détail!$E:$E,"&lt;&gt;(à saisir)")</f>
        <v/>
      </c>
      <c r="K29" s="27">
        <f>IFERROR(AVERAGEIFS(Détail!$I:$I,Détail!$A:$A,"Mohamed HAMDANI",Détail!$B:$B,$A29,Détail!$C:$C,$B29),"")</f>
        <v/>
      </c>
      <c r="L29" s="26">
        <f>COUNTIFS(Détail!$A:$A,"Youssef",Détail!$B:$B,$A29,Détail!$C:$C,$B29,Détail!$E:$E,"&lt;&gt;(à saisir)")</f>
        <v/>
      </c>
      <c r="M29" s="27">
        <f>IFERROR(AVERAGEIFS(Détail!$I:$I,Détail!$A:$A,"Youssef",Détail!$B:$B,$A29,Détail!$C:$C,$B29),"")</f>
        <v/>
      </c>
      <c r="N29" s="26">
        <f>COUNTIFS(Détail!$B:$B,$A29,Détail!$C:$C,$B29,Détail!$E:$E,"&lt;&gt;(à saisir)")</f>
        <v/>
      </c>
      <c r="O29" s="27">
        <f>IFERROR(AVERAGEIFS(Détail!$I:$I,Détail!$B:$B,$A29,Détail!$C:$C,$B29),"")</f>
        <v/>
      </c>
    </row>
    <row r="30" ht="15" customHeight="1" s="19">
      <c r="A30" s="25" t="n">
        <v>2026</v>
      </c>
      <c r="B30" s="25" t="n">
        <v>23</v>
      </c>
      <c r="C30" s="25" t="inlineStr">
        <is>
          <t>01/06/2026 – 07/06/2026</t>
        </is>
      </c>
      <c r="D30" s="26">
        <f>COUNTIFS(Détail!$A:$A,"Hafssa BENCHRIF",Détail!$B:$B,$A30,Détail!$C:$C,$B30,Détail!$E:$E,"&lt;&gt;(à saisir)")</f>
        <v/>
      </c>
      <c r="E30" s="27">
        <f>IFERROR(AVERAGEIFS(Détail!$I:$I,Détail!$A:$A,"Hafssa BENCHRIF",Détail!$B:$B,$A30,Détail!$C:$C,$B30),"")</f>
        <v/>
      </c>
      <c r="F30" s="26">
        <f>COUNTIFS(Détail!$A:$A,"Hiba LISSAOUI",Détail!$B:$B,$A30,Détail!$C:$C,$B30,Détail!$E:$E,"&lt;&gt;(à saisir)")</f>
        <v/>
      </c>
      <c r="G30" s="27">
        <f>IFERROR(AVERAGEIFS(Détail!$I:$I,Détail!$A:$A,"Hiba LISSAOUI",Détail!$B:$B,$A30,Détail!$C:$C,$B30),"")</f>
        <v/>
      </c>
      <c r="H30" s="26">
        <f>COUNTIFS(Détail!$A:$A,"Imad RMAIDI",Détail!$B:$B,$A30,Détail!$C:$C,$B30,Détail!$E:$E,"&lt;&gt;(à saisir)")</f>
        <v/>
      </c>
      <c r="I30" s="27">
        <f>IFERROR(AVERAGEIFS(Détail!$I:$I,Détail!$A:$A,"Imad RMAIDI",Détail!$B:$B,$A30,Détail!$C:$C,$B30),"")</f>
        <v/>
      </c>
      <c r="J30" s="26">
        <f>COUNTIFS(Détail!$A:$A,"Mohamed HAMDANI",Détail!$B:$B,$A30,Détail!$C:$C,$B30,Détail!$E:$E,"&lt;&gt;(à saisir)")</f>
        <v/>
      </c>
      <c r="K30" s="27">
        <f>IFERROR(AVERAGEIFS(Détail!$I:$I,Détail!$A:$A,"Mohamed HAMDANI",Détail!$B:$B,$A30,Détail!$C:$C,$B30),"")</f>
        <v/>
      </c>
      <c r="L30" s="26">
        <f>COUNTIFS(Détail!$A:$A,"Youssef",Détail!$B:$B,$A30,Détail!$C:$C,$B30,Détail!$E:$E,"&lt;&gt;(à saisir)")</f>
        <v/>
      </c>
      <c r="M30" s="27">
        <f>IFERROR(AVERAGEIFS(Détail!$I:$I,Détail!$A:$A,"Youssef",Détail!$B:$B,$A30,Détail!$C:$C,$B30),"")</f>
        <v/>
      </c>
      <c r="N30" s="26">
        <f>COUNTIFS(Détail!$B:$B,$A30,Détail!$C:$C,$B30,Détail!$E:$E,"&lt;&gt;(à saisir)")</f>
        <v/>
      </c>
      <c r="O30" s="27">
        <f>IFERROR(AVERAGEIFS(Détail!$I:$I,Détail!$B:$B,$A30,Détail!$C:$C,$B30),"")</f>
        <v/>
      </c>
    </row>
    <row r="31" ht="15" customHeight="1" s="19">
      <c r="A31" s="25" t="n">
        <v>2026</v>
      </c>
      <c r="B31" s="25" t="n">
        <v>24</v>
      </c>
      <c r="C31" s="25" t="inlineStr">
        <is>
          <t>08/06/2026 – 14/06/2026</t>
        </is>
      </c>
      <c r="D31" s="26">
        <f>COUNTIFS(Détail!$A:$A,"Hafssa BENCHRIF",Détail!$B:$B,$A31,Détail!$C:$C,$B31,Détail!$E:$E,"&lt;&gt;(à saisir)")</f>
        <v/>
      </c>
      <c r="E31" s="27">
        <f>IFERROR(AVERAGEIFS(Détail!$I:$I,Détail!$A:$A,"Hafssa BENCHRIF",Détail!$B:$B,$A31,Détail!$C:$C,$B31),"")</f>
        <v/>
      </c>
      <c r="F31" s="26">
        <f>COUNTIFS(Détail!$A:$A,"Hiba LISSAOUI",Détail!$B:$B,$A31,Détail!$C:$C,$B31,Détail!$E:$E,"&lt;&gt;(à saisir)")</f>
        <v/>
      </c>
      <c r="G31" s="27">
        <f>IFERROR(AVERAGEIFS(Détail!$I:$I,Détail!$A:$A,"Hiba LISSAOUI",Détail!$B:$B,$A31,Détail!$C:$C,$B31),"")</f>
        <v/>
      </c>
      <c r="H31" s="26">
        <f>COUNTIFS(Détail!$A:$A,"Imad RMAIDI",Détail!$B:$B,$A31,Détail!$C:$C,$B31,Détail!$E:$E,"&lt;&gt;(à saisir)")</f>
        <v/>
      </c>
      <c r="I31" s="27">
        <f>IFERROR(AVERAGEIFS(Détail!$I:$I,Détail!$A:$A,"Imad RMAIDI",Détail!$B:$B,$A31,Détail!$C:$C,$B31),"")</f>
        <v/>
      </c>
      <c r="J31" s="26">
        <f>COUNTIFS(Détail!$A:$A,"Mohamed HAMDANI",Détail!$B:$B,$A31,Détail!$C:$C,$B31,Détail!$E:$E,"&lt;&gt;(à saisir)")</f>
        <v/>
      </c>
      <c r="K31" s="27">
        <f>IFERROR(AVERAGEIFS(Détail!$I:$I,Détail!$A:$A,"Mohamed HAMDANI",Détail!$B:$B,$A31,Détail!$C:$C,$B31),"")</f>
        <v/>
      </c>
      <c r="L31" s="26">
        <f>COUNTIFS(Détail!$A:$A,"Youssef",Détail!$B:$B,$A31,Détail!$C:$C,$B31,Détail!$E:$E,"&lt;&gt;(à saisir)")</f>
        <v/>
      </c>
      <c r="M31" s="27">
        <f>IFERROR(AVERAGEIFS(Détail!$I:$I,Détail!$A:$A,"Youssef",Détail!$B:$B,$A31,Détail!$C:$C,$B31),"")</f>
        <v/>
      </c>
      <c r="N31" s="26">
        <f>COUNTIFS(Détail!$B:$B,$A31,Détail!$C:$C,$B31,Détail!$E:$E,"&lt;&gt;(à saisir)")</f>
        <v/>
      </c>
      <c r="O31" s="27">
        <f>IFERROR(AVERAGEIFS(Détail!$I:$I,Détail!$B:$B,$A31,Détail!$C:$C,$B31),"")</f>
        <v/>
      </c>
    </row>
    <row r="32" ht="15" customHeight="1" s="19">
      <c r="A32" s="25" t="n">
        <v>2026</v>
      </c>
      <c r="B32" s="25" t="n">
        <v>25</v>
      </c>
      <c r="C32" s="25" t="inlineStr">
        <is>
          <t>15/06/2026 – 21/06/2026</t>
        </is>
      </c>
      <c r="D32" s="26">
        <f>COUNTIFS(Détail!$A:$A,"Hafssa BENCHRIF",Détail!$B:$B,$A32,Détail!$C:$C,$B32,Détail!$E:$E,"&lt;&gt;(à saisir)")</f>
        <v/>
      </c>
      <c r="E32" s="27">
        <f>IFERROR(AVERAGEIFS(Détail!$I:$I,Détail!$A:$A,"Hafssa BENCHRIF",Détail!$B:$B,$A32,Détail!$C:$C,$B32),"")</f>
        <v/>
      </c>
      <c r="F32" s="26">
        <f>COUNTIFS(Détail!$A:$A,"Hiba LISSAOUI",Détail!$B:$B,$A32,Détail!$C:$C,$B32,Détail!$E:$E,"&lt;&gt;(à saisir)")</f>
        <v/>
      </c>
      <c r="G32" s="27">
        <f>IFERROR(AVERAGEIFS(Détail!$I:$I,Détail!$A:$A,"Hiba LISSAOUI",Détail!$B:$B,$A32,Détail!$C:$C,$B32),"")</f>
        <v/>
      </c>
      <c r="H32" s="26">
        <f>COUNTIFS(Détail!$A:$A,"Imad RMAIDI",Détail!$B:$B,$A32,Détail!$C:$C,$B32,Détail!$E:$E,"&lt;&gt;(à saisir)")</f>
        <v/>
      </c>
      <c r="I32" s="27">
        <f>IFERROR(AVERAGEIFS(Détail!$I:$I,Détail!$A:$A,"Imad RMAIDI",Détail!$B:$B,$A32,Détail!$C:$C,$B32),"")</f>
        <v/>
      </c>
      <c r="J32" s="26">
        <f>COUNTIFS(Détail!$A:$A,"Mohamed HAMDANI",Détail!$B:$B,$A32,Détail!$C:$C,$B32,Détail!$E:$E,"&lt;&gt;(à saisir)")</f>
        <v/>
      </c>
      <c r="K32" s="27">
        <f>IFERROR(AVERAGEIFS(Détail!$I:$I,Détail!$A:$A,"Mohamed HAMDANI",Détail!$B:$B,$A32,Détail!$C:$C,$B32),"")</f>
        <v/>
      </c>
      <c r="L32" s="26">
        <f>COUNTIFS(Détail!$A:$A,"Youssef",Détail!$B:$B,$A32,Détail!$C:$C,$B32,Détail!$E:$E,"&lt;&gt;(à saisir)")</f>
        <v/>
      </c>
      <c r="M32" s="27">
        <f>IFERROR(AVERAGEIFS(Détail!$I:$I,Détail!$A:$A,"Youssef",Détail!$B:$B,$A32,Détail!$C:$C,$B32),"")</f>
        <v/>
      </c>
      <c r="N32" s="26">
        <f>COUNTIFS(Détail!$B:$B,$A32,Détail!$C:$C,$B32,Détail!$E:$E,"&lt;&gt;(à saisir)")</f>
        <v/>
      </c>
      <c r="O32" s="27">
        <f>IFERROR(AVERAGEIFS(Détail!$I:$I,Détail!$B:$B,$A32,Détail!$C:$C,$B32),"")</f>
        <v/>
      </c>
    </row>
    <row r="33" ht="15" customHeight="1" s="19">
      <c r="A33" s="25" t="n">
        <v>2026</v>
      </c>
      <c r="B33" s="25" t="n">
        <v>26</v>
      </c>
      <c r="C33" s="25" t="inlineStr">
        <is>
          <t>22/06/2026 – 28/06/2026</t>
        </is>
      </c>
      <c r="D33" s="26">
        <f>COUNTIFS(Détail!$A:$A,"Hafssa BENCHRIF",Détail!$B:$B,$A33,Détail!$C:$C,$B33,Détail!$E:$E,"&lt;&gt;(à saisir)")</f>
        <v/>
      </c>
      <c r="E33" s="27">
        <f>IFERROR(AVERAGEIFS(Détail!$I:$I,Détail!$A:$A,"Hafssa BENCHRIF",Détail!$B:$B,$A33,Détail!$C:$C,$B33),"")</f>
        <v/>
      </c>
      <c r="F33" s="26">
        <f>COUNTIFS(Détail!$A:$A,"Hiba LISSAOUI",Détail!$B:$B,$A33,Détail!$C:$C,$B33,Détail!$E:$E,"&lt;&gt;(à saisir)")</f>
        <v/>
      </c>
      <c r="G33" s="27">
        <f>IFERROR(AVERAGEIFS(Détail!$I:$I,Détail!$A:$A,"Hiba LISSAOUI",Détail!$B:$B,$A33,Détail!$C:$C,$B33),"")</f>
        <v/>
      </c>
      <c r="H33" s="26">
        <f>COUNTIFS(Détail!$A:$A,"Imad RMAIDI",Détail!$B:$B,$A33,Détail!$C:$C,$B33,Détail!$E:$E,"&lt;&gt;(à saisir)")</f>
        <v/>
      </c>
      <c r="I33" s="27">
        <f>IFERROR(AVERAGEIFS(Détail!$I:$I,Détail!$A:$A,"Imad RMAIDI",Détail!$B:$B,$A33,Détail!$C:$C,$B33),"")</f>
        <v/>
      </c>
      <c r="J33" s="26">
        <f>COUNTIFS(Détail!$A:$A,"Mohamed HAMDANI",Détail!$B:$B,$A33,Détail!$C:$C,$B33,Détail!$E:$E,"&lt;&gt;(à saisir)")</f>
        <v/>
      </c>
      <c r="K33" s="27">
        <f>IFERROR(AVERAGEIFS(Détail!$I:$I,Détail!$A:$A,"Mohamed HAMDANI",Détail!$B:$B,$A33,Détail!$C:$C,$B33),"")</f>
        <v/>
      </c>
      <c r="L33" s="26">
        <f>COUNTIFS(Détail!$A:$A,"Youssef",Détail!$B:$B,$A33,Détail!$C:$C,$B33,Détail!$E:$E,"&lt;&gt;(à saisir)")</f>
        <v/>
      </c>
      <c r="M33" s="27">
        <f>IFERROR(AVERAGEIFS(Détail!$I:$I,Détail!$A:$A,"Youssef",Détail!$B:$B,$A33,Détail!$C:$C,$B33),"")</f>
        <v/>
      </c>
      <c r="N33" s="26">
        <f>COUNTIFS(Détail!$B:$B,$A33,Détail!$C:$C,$B33,Détail!$E:$E,"&lt;&gt;(à saisir)")</f>
        <v/>
      </c>
      <c r="O33" s="27">
        <f>IFERROR(AVERAGEIFS(Détail!$I:$I,Détail!$B:$B,$A33,Détail!$C:$C,$B33),"")</f>
        <v/>
      </c>
    </row>
    <row r="34" ht="15" customHeight="1" s="19">
      <c r="A34" s="25" t="n">
        <v>2026</v>
      </c>
      <c r="B34" s="25" t="n">
        <v>27</v>
      </c>
      <c r="C34" s="25" t="inlineStr">
        <is>
          <t>29/06/2026 – 05/07/2026</t>
        </is>
      </c>
      <c r="D34" s="26">
        <f>COUNTIFS(Détail!$A:$A,"Hafssa BENCHRIF",Détail!$B:$B,$A34,Détail!$C:$C,$B34,Détail!$E:$E,"&lt;&gt;(à saisir)")</f>
        <v/>
      </c>
      <c r="E34" s="27">
        <f>IFERROR(AVERAGEIFS(Détail!$I:$I,Détail!$A:$A,"Hafssa BENCHRIF",Détail!$B:$B,$A34,Détail!$C:$C,$B34),"")</f>
        <v/>
      </c>
      <c r="F34" s="26">
        <f>COUNTIFS(Détail!$A:$A,"Hiba LISSAOUI",Détail!$B:$B,$A34,Détail!$C:$C,$B34,Détail!$E:$E,"&lt;&gt;(à saisir)")</f>
        <v/>
      </c>
      <c r="G34" s="27">
        <f>IFERROR(AVERAGEIFS(Détail!$I:$I,Détail!$A:$A,"Hiba LISSAOUI",Détail!$B:$B,$A34,Détail!$C:$C,$B34),"")</f>
        <v/>
      </c>
      <c r="H34" s="26">
        <f>COUNTIFS(Détail!$A:$A,"Imad RMAIDI",Détail!$B:$B,$A34,Détail!$C:$C,$B34,Détail!$E:$E,"&lt;&gt;(à saisir)")</f>
        <v/>
      </c>
      <c r="I34" s="27">
        <f>IFERROR(AVERAGEIFS(Détail!$I:$I,Détail!$A:$A,"Imad RMAIDI",Détail!$B:$B,$A34,Détail!$C:$C,$B34),"")</f>
        <v/>
      </c>
      <c r="J34" s="26">
        <f>COUNTIFS(Détail!$A:$A,"Mohamed HAMDANI",Détail!$B:$B,$A34,Détail!$C:$C,$B34,Détail!$E:$E,"&lt;&gt;(à saisir)")</f>
        <v/>
      </c>
      <c r="K34" s="27">
        <f>IFERROR(AVERAGEIFS(Détail!$I:$I,Détail!$A:$A,"Mohamed HAMDANI",Détail!$B:$B,$A34,Détail!$C:$C,$B34),"")</f>
        <v/>
      </c>
      <c r="L34" s="26">
        <f>COUNTIFS(Détail!$A:$A,"Youssef",Détail!$B:$B,$A34,Détail!$C:$C,$B34,Détail!$E:$E,"&lt;&gt;(à saisir)")</f>
        <v/>
      </c>
      <c r="M34" s="27">
        <f>IFERROR(AVERAGEIFS(Détail!$I:$I,Détail!$A:$A,"Youssef",Détail!$B:$B,$A34,Détail!$C:$C,$B34),"")</f>
        <v/>
      </c>
      <c r="N34" s="26">
        <f>COUNTIFS(Détail!$B:$B,$A34,Détail!$C:$C,$B34,Détail!$E:$E,"&lt;&gt;(à saisir)")</f>
        <v/>
      </c>
      <c r="O34" s="27">
        <f>IFERROR(AVERAGEIFS(Détail!$I:$I,Détail!$B:$B,$A34,Détail!$C:$C,$B34),"")</f>
        <v/>
      </c>
    </row>
    <row r="35" ht="15" customHeight="1" s="19">
      <c r="A35" s="25" t="n">
        <v>2026</v>
      </c>
      <c r="B35" s="25" t="n">
        <v>28</v>
      </c>
      <c r="C35" s="25" t="inlineStr">
        <is>
          <t>06/07/2026 – 12/07/2026</t>
        </is>
      </c>
      <c r="D35" s="26">
        <f>COUNTIFS(Détail!$A:$A,"Hafssa BENCHRIF",Détail!$B:$B,$A35,Détail!$C:$C,$B35,Détail!$E:$E,"&lt;&gt;(à saisir)")</f>
        <v/>
      </c>
      <c r="E35" s="27">
        <f>IFERROR(AVERAGEIFS(Détail!$I:$I,Détail!$A:$A,"Hafssa BENCHRIF",Détail!$B:$B,$A35,Détail!$C:$C,$B35),"")</f>
        <v/>
      </c>
      <c r="F35" s="26">
        <f>COUNTIFS(Détail!$A:$A,"Hiba LISSAOUI",Détail!$B:$B,$A35,Détail!$C:$C,$B35,Détail!$E:$E,"&lt;&gt;(à saisir)")</f>
        <v/>
      </c>
      <c r="G35" s="27">
        <f>IFERROR(AVERAGEIFS(Détail!$I:$I,Détail!$A:$A,"Hiba LISSAOUI",Détail!$B:$B,$A35,Détail!$C:$C,$B35),"")</f>
        <v/>
      </c>
      <c r="H35" s="26">
        <f>COUNTIFS(Détail!$A:$A,"Imad RMAIDI",Détail!$B:$B,$A35,Détail!$C:$C,$B35,Détail!$E:$E,"&lt;&gt;(à saisir)")</f>
        <v/>
      </c>
      <c r="I35" s="27">
        <f>IFERROR(AVERAGEIFS(Détail!$I:$I,Détail!$A:$A,"Imad RMAIDI",Détail!$B:$B,$A35,Détail!$C:$C,$B35),"")</f>
        <v/>
      </c>
      <c r="J35" s="26">
        <f>COUNTIFS(Détail!$A:$A,"Mohamed HAMDANI",Détail!$B:$B,$A35,Détail!$C:$C,$B35,Détail!$E:$E,"&lt;&gt;(à saisir)")</f>
        <v/>
      </c>
      <c r="K35" s="27">
        <f>IFERROR(AVERAGEIFS(Détail!$I:$I,Détail!$A:$A,"Mohamed HAMDANI",Détail!$B:$B,$A35,Détail!$C:$C,$B35),"")</f>
        <v/>
      </c>
      <c r="L35" s="26">
        <f>COUNTIFS(Détail!$A:$A,"Youssef",Détail!$B:$B,$A35,Détail!$C:$C,$B35,Détail!$E:$E,"&lt;&gt;(à saisir)")</f>
        <v/>
      </c>
      <c r="M35" s="27">
        <f>IFERROR(AVERAGEIFS(Détail!$I:$I,Détail!$A:$A,"Youssef",Détail!$B:$B,$A35,Détail!$C:$C,$B35),"")</f>
        <v/>
      </c>
      <c r="N35" s="26">
        <f>COUNTIFS(Détail!$B:$B,$A35,Détail!$C:$C,$B35,Détail!$E:$E,"&lt;&gt;(à saisir)")</f>
        <v/>
      </c>
      <c r="O35" s="27">
        <f>IFERROR(AVERAGEIFS(Détail!$I:$I,Détail!$B:$B,$A35,Détail!$C:$C,$B35),"")</f>
        <v/>
      </c>
    </row>
    <row r="36" ht="15" customHeight="1" s="19">
      <c r="A36" s="25" t="n">
        <v>2026</v>
      </c>
      <c r="B36" s="25" t="n">
        <v>29</v>
      </c>
      <c r="C36" s="25" t="inlineStr">
        <is>
          <t>13/07/2026 – 19/07/2026</t>
        </is>
      </c>
      <c r="D36" s="26">
        <f>COUNTIFS(Détail!$A:$A,"Hafssa BENCHRIF",Détail!$B:$B,$A36,Détail!$C:$C,$B36,Détail!$E:$E,"&lt;&gt;(à saisir)")</f>
        <v/>
      </c>
      <c r="E36" s="27">
        <f>IFERROR(AVERAGEIFS(Détail!$I:$I,Détail!$A:$A,"Hafssa BENCHRIF",Détail!$B:$B,$A36,Détail!$C:$C,$B36),"")</f>
        <v/>
      </c>
      <c r="F36" s="26">
        <f>COUNTIFS(Détail!$A:$A,"Hiba LISSAOUI",Détail!$B:$B,$A36,Détail!$C:$C,$B36,Détail!$E:$E,"&lt;&gt;(à saisir)")</f>
        <v/>
      </c>
      <c r="G36" s="27">
        <f>IFERROR(AVERAGEIFS(Détail!$I:$I,Détail!$A:$A,"Hiba LISSAOUI",Détail!$B:$B,$A36,Détail!$C:$C,$B36),"")</f>
        <v/>
      </c>
      <c r="H36" s="26">
        <f>COUNTIFS(Détail!$A:$A,"Imad RMAIDI",Détail!$B:$B,$A36,Détail!$C:$C,$B36,Détail!$E:$E,"&lt;&gt;(à saisir)")</f>
        <v/>
      </c>
      <c r="I36" s="27">
        <f>IFERROR(AVERAGEIFS(Détail!$I:$I,Détail!$A:$A,"Imad RMAIDI",Détail!$B:$B,$A36,Détail!$C:$C,$B36),"")</f>
        <v/>
      </c>
      <c r="J36" s="26">
        <f>COUNTIFS(Détail!$A:$A,"Mohamed HAMDANI",Détail!$B:$B,$A36,Détail!$C:$C,$B36,Détail!$E:$E,"&lt;&gt;(à saisir)")</f>
        <v/>
      </c>
      <c r="K36" s="27">
        <f>IFERROR(AVERAGEIFS(Détail!$I:$I,Détail!$A:$A,"Mohamed HAMDANI",Détail!$B:$B,$A36,Détail!$C:$C,$B36),"")</f>
        <v/>
      </c>
      <c r="L36" s="26">
        <f>COUNTIFS(Détail!$A:$A,"Youssef",Détail!$B:$B,$A36,Détail!$C:$C,$B36,Détail!$E:$E,"&lt;&gt;(à saisir)")</f>
        <v/>
      </c>
      <c r="M36" s="27">
        <f>IFERROR(AVERAGEIFS(Détail!$I:$I,Détail!$A:$A,"Youssef",Détail!$B:$B,$A36,Détail!$C:$C,$B36),"")</f>
        <v/>
      </c>
      <c r="N36" s="26">
        <f>COUNTIFS(Détail!$B:$B,$A36,Détail!$C:$C,$B36,Détail!$E:$E,"&lt;&gt;(à saisir)")</f>
        <v/>
      </c>
      <c r="O36" s="27">
        <f>IFERROR(AVERAGEIFS(Détail!$I:$I,Détail!$B:$B,$A36,Détail!$C:$C,$B36),"")</f>
        <v/>
      </c>
    </row>
    <row r="37" ht="15" customHeight="1" s="19">
      <c r="A37" s="25" t="n">
        <v>2026</v>
      </c>
      <c r="B37" s="25" t="n">
        <v>30</v>
      </c>
      <c r="C37" s="25" t="inlineStr">
        <is>
          <t>20/07/2026 – 26/07/2026</t>
        </is>
      </c>
      <c r="D37" s="26">
        <f>COUNTIFS(Détail!$A:$A,"Hafssa BENCHRIF",Détail!$B:$B,$A37,Détail!$C:$C,$B37,Détail!$E:$E,"&lt;&gt;(à saisir)")</f>
        <v/>
      </c>
      <c r="E37" s="27">
        <f>IFERROR(AVERAGEIFS(Détail!$I:$I,Détail!$A:$A,"Hafssa BENCHRIF",Détail!$B:$B,$A37,Détail!$C:$C,$B37),"")</f>
        <v/>
      </c>
      <c r="F37" s="26">
        <f>COUNTIFS(Détail!$A:$A,"Hiba LISSAOUI",Détail!$B:$B,$A37,Détail!$C:$C,$B37,Détail!$E:$E,"&lt;&gt;(à saisir)")</f>
        <v/>
      </c>
      <c r="G37" s="27">
        <f>IFERROR(AVERAGEIFS(Détail!$I:$I,Détail!$A:$A,"Hiba LISSAOUI",Détail!$B:$B,$A37,Détail!$C:$C,$B37),"")</f>
        <v/>
      </c>
      <c r="H37" s="26">
        <f>COUNTIFS(Détail!$A:$A,"Imad RMAIDI",Détail!$B:$B,$A37,Détail!$C:$C,$B37,Détail!$E:$E,"&lt;&gt;(à saisir)")</f>
        <v/>
      </c>
      <c r="I37" s="27">
        <f>IFERROR(AVERAGEIFS(Détail!$I:$I,Détail!$A:$A,"Imad RMAIDI",Détail!$B:$B,$A37,Détail!$C:$C,$B37),"")</f>
        <v/>
      </c>
      <c r="J37" s="26">
        <f>COUNTIFS(Détail!$A:$A,"Mohamed HAMDANI",Détail!$B:$B,$A37,Détail!$C:$C,$B37,Détail!$E:$E,"&lt;&gt;(à saisir)")</f>
        <v/>
      </c>
      <c r="K37" s="27">
        <f>IFERROR(AVERAGEIFS(Détail!$I:$I,Détail!$A:$A,"Mohamed HAMDANI",Détail!$B:$B,$A37,Détail!$C:$C,$B37),"")</f>
        <v/>
      </c>
      <c r="L37" s="26">
        <f>COUNTIFS(Détail!$A:$A,"Youssef",Détail!$B:$B,$A37,Détail!$C:$C,$B37,Détail!$E:$E,"&lt;&gt;(à saisir)")</f>
        <v/>
      </c>
      <c r="M37" s="27">
        <f>IFERROR(AVERAGEIFS(Détail!$I:$I,Détail!$A:$A,"Youssef",Détail!$B:$B,$A37,Détail!$C:$C,$B37),"")</f>
        <v/>
      </c>
      <c r="N37" s="26">
        <f>COUNTIFS(Détail!$B:$B,$A37,Détail!$C:$C,$B37,Détail!$E:$E,"&lt;&gt;(à saisir)")</f>
        <v/>
      </c>
      <c r="O37" s="27">
        <f>IFERROR(AVERAGEIFS(Détail!$I:$I,Détail!$B:$B,$A37,Détail!$C:$C,$B37),"")</f>
        <v/>
      </c>
    </row>
    <row r="38" ht="15" customHeight="1" s="19">
      <c r="A38" s="25" t="n">
        <v>2026</v>
      </c>
      <c r="B38" s="25" t="n">
        <v>31</v>
      </c>
      <c r="C38" s="25" t="inlineStr">
        <is>
          <t>27/07/2026 – 02/08/2026</t>
        </is>
      </c>
      <c r="D38" s="26">
        <f>COUNTIFS(Détail!$A:$A,"Hafssa BENCHRIF",Détail!$B:$B,$A38,Détail!$C:$C,$B38,Détail!$E:$E,"&lt;&gt;(à saisir)")</f>
        <v/>
      </c>
      <c r="E38" s="27">
        <f>IFERROR(AVERAGEIFS(Détail!$I:$I,Détail!$A:$A,"Hafssa BENCHRIF",Détail!$B:$B,$A38,Détail!$C:$C,$B38),"")</f>
        <v/>
      </c>
      <c r="F38" s="26">
        <f>COUNTIFS(Détail!$A:$A,"Hiba LISSAOUI",Détail!$B:$B,$A38,Détail!$C:$C,$B38,Détail!$E:$E,"&lt;&gt;(à saisir)")</f>
        <v/>
      </c>
      <c r="G38" s="27">
        <f>IFERROR(AVERAGEIFS(Détail!$I:$I,Détail!$A:$A,"Hiba LISSAOUI",Détail!$B:$B,$A38,Détail!$C:$C,$B38),"")</f>
        <v/>
      </c>
      <c r="H38" s="26">
        <f>COUNTIFS(Détail!$A:$A,"Imad RMAIDI",Détail!$B:$B,$A38,Détail!$C:$C,$B38,Détail!$E:$E,"&lt;&gt;(à saisir)")</f>
        <v/>
      </c>
      <c r="I38" s="27">
        <f>IFERROR(AVERAGEIFS(Détail!$I:$I,Détail!$A:$A,"Imad RMAIDI",Détail!$B:$B,$A38,Détail!$C:$C,$B38),"")</f>
        <v/>
      </c>
      <c r="J38" s="26">
        <f>COUNTIFS(Détail!$A:$A,"Mohamed HAMDANI",Détail!$B:$B,$A38,Détail!$C:$C,$B38,Détail!$E:$E,"&lt;&gt;(à saisir)")</f>
        <v/>
      </c>
      <c r="K38" s="27">
        <f>IFERROR(AVERAGEIFS(Détail!$I:$I,Détail!$A:$A,"Mohamed HAMDANI",Détail!$B:$B,$A38,Détail!$C:$C,$B38),"")</f>
        <v/>
      </c>
      <c r="L38" s="26">
        <f>COUNTIFS(Détail!$A:$A,"Youssef",Détail!$B:$B,$A38,Détail!$C:$C,$B38,Détail!$E:$E,"&lt;&gt;(à saisir)")</f>
        <v/>
      </c>
      <c r="M38" s="27">
        <f>IFERROR(AVERAGEIFS(Détail!$I:$I,Détail!$A:$A,"Youssef",Détail!$B:$B,$A38,Détail!$C:$C,$B38),"")</f>
        <v/>
      </c>
      <c r="N38" s="26">
        <f>COUNTIFS(Détail!$B:$B,$A38,Détail!$C:$C,$B38,Détail!$E:$E,"&lt;&gt;(à saisir)")</f>
        <v/>
      </c>
      <c r="O38" s="27">
        <f>IFERROR(AVERAGEIFS(Détail!$I:$I,Détail!$B:$B,$A38,Détail!$C:$C,$B38),"")</f>
        <v/>
      </c>
    </row>
    <row r="39" ht="15" customHeight="1" s="19">
      <c r="A39" s="25" t="n">
        <v>2026</v>
      </c>
      <c r="B39" s="25" t="n">
        <v>32</v>
      </c>
      <c r="C39" s="25" t="inlineStr">
        <is>
          <t>03/08/2026 – 09/08/2026</t>
        </is>
      </c>
      <c r="D39" s="26">
        <f>COUNTIFS(Détail!$A:$A,"Hafssa BENCHRIF",Détail!$B:$B,$A39,Détail!$C:$C,$B39,Détail!$E:$E,"&lt;&gt;(à saisir)")</f>
        <v/>
      </c>
      <c r="E39" s="27">
        <f>IFERROR(AVERAGEIFS(Détail!$I:$I,Détail!$A:$A,"Hafssa BENCHRIF",Détail!$B:$B,$A39,Détail!$C:$C,$B39),"")</f>
        <v/>
      </c>
      <c r="F39" s="26">
        <f>COUNTIFS(Détail!$A:$A,"Hiba LISSAOUI",Détail!$B:$B,$A39,Détail!$C:$C,$B39,Détail!$E:$E,"&lt;&gt;(à saisir)")</f>
        <v/>
      </c>
      <c r="G39" s="27">
        <f>IFERROR(AVERAGEIFS(Détail!$I:$I,Détail!$A:$A,"Hiba LISSAOUI",Détail!$B:$B,$A39,Détail!$C:$C,$B39),"")</f>
        <v/>
      </c>
      <c r="H39" s="26">
        <f>COUNTIFS(Détail!$A:$A,"Imad RMAIDI",Détail!$B:$B,$A39,Détail!$C:$C,$B39,Détail!$E:$E,"&lt;&gt;(à saisir)")</f>
        <v/>
      </c>
      <c r="I39" s="27">
        <f>IFERROR(AVERAGEIFS(Détail!$I:$I,Détail!$A:$A,"Imad RMAIDI",Détail!$B:$B,$A39,Détail!$C:$C,$B39),"")</f>
        <v/>
      </c>
      <c r="J39" s="26">
        <f>COUNTIFS(Détail!$A:$A,"Mohamed HAMDANI",Détail!$B:$B,$A39,Détail!$C:$C,$B39,Détail!$E:$E,"&lt;&gt;(à saisir)")</f>
        <v/>
      </c>
      <c r="K39" s="27">
        <f>IFERROR(AVERAGEIFS(Détail!$I:$I,Détail!$A:$A,"Mohamed HAMDANI",Détail!$B:$B,$A39,Détail!$C:$C,$B39),"")</f>
        <v/>
      </c>
      <c r="L39" s="26">
        <f>COUNTIFS(Détail!$A:$A,"Youssef",Détail!$B:$B,$A39,Détail!$C:$C,$B39,Détail!$E:$E,"&lt;&gt;(à saisir)")</f>
        <v/>
      </c>
      <c r="M39" s="27">
        <f>IFERROR(AVERAGEIFS(Détail!$I:$I,Détail!$A:$A,"Youssef",Détail!$B:$B,$A39,Détail!$C:$C,$B39),"")</f>
        <v/>
      </c>
      <c r="N39" s="26">
        <f>COUNTIFS(Détail!$B:$B,$A39,Détail!$C:$C,$B39,Détail!$E:$E,"&lt;&gt;(à saisir)")</f>
        <v/>
      </c>
      <c r="O39" s="27">
        <f>IFERROR(AVERAGEIFS(Détail!$I:$I,Détail!$B:$B,$A39,Détail!$C:$C,$B39),"")</f>
        <v/>
      </c>
    </row>
    <row r="40" ht="15" customHeight="1" s="19">
      <c r="A40" s="25" t="n">
        <v>2026</v>
      </c>
      <c r="B40" s="25" t="n">
        <v>33</v>
      </c>
      <c r="C40" s="25" t="inlineStr">
        <is>
          <t>10/08/2026 – 16/08/2026</t>
        </is>
      </c>
      <c r="D40" s="26">
        <f>COUNTIFS(Détail!$A:$A,"Hafssa BENCHRIF",Détail!$B:$B,$A40,Détail!$C:$C,$B40,Détail!$E:$E,"&lt;&gt;(à saisir)")</f>
        <v/>
      </c>
      <c r="E40" s="27">
        <f>IFERROR(AVERAGEIFS(Détail!$I:$I,Détail!$A:$A,"Hafssa BENCHRIF",Détail!$B:$B,$A40,Détail!$C:$C,$B40),"")</f>
        <v/>
      </c>
      <c r="F40" s="26">
        <f>COUNTIFS(Détail!$A:$A,"Hiba LISSAOUI",Détail!$B:$B,$A40,Détail!$C:$C,$B40,Détail!$E:$E,"&lt;&gt;(à saisir)")</f>
        <v/>
      </c>
      <c r="G40" s="27">
        <f>IFERROR(AVERAGEIFS(Détail!$I:$I,Détail!$A:$A,"Hiba LISSAOUI",Détail!$B:$B,$A40,Détail!$C:$C,$B40),"")</f>
        <v/>
      </c>
      <c r="H40" s="26">
        <f>COUNTIFS(Détail!$A:$A,"Imad RMAIDI",Détail!$B:$B,$A40,Détail!$C:$C,$B40,Détail!$E:$E,"&lt;&gt;(à saisir)")</f>
        <v/>
      </c>
      <c r="I40" s="27">
        <f>IFERROR(AVERAGEIFS(Détail!$I:$I,Détail!$A:$A,"Imad RMAIDI",Détail!$B:$B,$A40,Détail!$C:$C,$B40),"")</f>
        <v/>
      </c>
      <c r="J40" s="26">
        <f>COUNTIFS(Détail!$A:$A,"Mohamed HAMDANI",Détail!$B:$B,$A40,Détail!$C:$C,$B40,Détail!$E:$E,"&lt;&gt;(à saisir)")</f>
        <v/>
      </c>
      <c r="K40" s="27">
        <f>IFERROR(AVERAGEIFS(Détail!$I:$I,Détail!$A:$A,"Mohamed HAMDANI",Détail!$B:$B,$A40,Détail!$C:$C,$B40),"")</f>
        <v/>
      </c>
      <c r="L40" s="26">
        <f>COUNTIFS(Détail!$A:$A,"Youssef",Détail!$B:$B,$A40,Détail!$C:$C,$B40,Détail!$E:$E,"&lt;&gt;(à saisir)")</f>
        <v/>
      </c>
      <c r="M40" s="27">
        <f>IFERROR(AVERAGEIFS(Détail!$I:$I,Détail!$A:$A,"Youssef",Détail!$B:$B,$A40,Détail!$C:$C,$B40),"")</f>
        <v/>
      </c>
      <c r="N40" s="26">
        <f>COUNTIFS(Détail!$B:$B,$A40,Détail!$C:$C,$B40,Détail!$E:$E,"&lt;&gt;(à saisir)")</f>
        <v/>
      </c>
      <c r="O40" s="27">
        <f>IFERROR(AVERAGEIFS(Détail!$I:$I,Détail!$B:$B,$A40,Détail!$C:$C,$B40),"")</f>
        <v/>
      </c>
    </row>
    <row r="41" ht="15" customHeight="1" s="19">
      <c r="A41" s="25" t="n">
        <v>2026</v>
      </c>
      <c r="B41" s="25" t="n">
        <v>34</v>
      </c>
      <c r="C41" s="25" t="inlineStr">
        <is>
          <t>17/08/2026 – 23/08/2026</t>
        </is>
      </c>
      <c r="D41" s="26">
        <f>COUNTIFS(Détail!$A:$A,"Hafssa BENCHRIF",Détail!$B:$B,$A41,Détail!$C:$C,$B41,Détail!$E:$E,"&lt;&gt;(à saisir)")</f>
        <v/>
      </c>
      <c r="E41" s="27">
        <f>IFERROR(AVERAGEIFS(Détail!$I:$I,Détail!$A:$A,"Hafssa BENCHRIF",Détail!$B:$B,$A41,Détail!$C:$C,$B41),"")</f>
        <v/>
      </c>
      <c r="F41" s="26">
        <f>COUNTIFS(Détail!$A:$A,"Hiba LISSAOUI",Détail!$B:$B,$A41,Détail!$C:$C,$B41,Détail!$E:$E,"&lt;&gt;(à saisir)")</f>
        <v/>
      </c>
      <c r="G41" s="27">
        <f>IFERROR(AVERAGEIFS(Détail!$I:$I,Détail!$A:$A,"Hiba LISSAOUI",Détail!$B:$B,$A41,Détail!$C:$C,$B41),"")</f>
        <v/>
      </c>
      <c r="H41" s="26">
        <f>COUNTIFS(Détail!$A:$A,"Imad RMAIDI",Détail!$B:$B,$A41,Détail!$C:$C,$B41,Détail!$E:$E,"&lt;&gt;(à saisir)")</f>
        <v/>
      </c>
      <c r="I41" s="27">
        <f>IFERROR(AVERAGEIFS(Détail!$I:$I,Détail!$A:$A,"Imad RMAIDI",Détail!$B:$B,$A41,Détail!$C:$C,$B41),"")</f>
        <v/>
      </c>
      <c r="J41" s="26">
        <f>COUNTIFS(Détail!$A:$A,"Mohamed HAMDANI",Détail!$B:$B,$A41,Détail!$C:$C,$B41,Détail!$E:$E,"&lt;&gt;(à saisir)")</f>
        <v/>
      </c>
      <c r="K41" s="27">
        <f>IFERROR(AVERAGEIFS(Détail!$I:$I,Détail!$A:$A,"Mohamed HAMDANI",Détail!$B:$B,$A41,Détail!$C:$C,$B41),"")</f>
        <v/>
      </c>
      <c r="L41" s="26">
        <f>COUNTIFS(Détail!$A:$A,"Youssef",Détail!$B:$B,$A41,Détail!$C:$C,$B41,Détail!$E:$E,"&lt;&gt;(à saisir)")</f>
        <v/>
      </c>
      <c r="M41" s="27">
        <f>IFERROR(AVERAGEIFS(Détail!$I:$I,Détail!$A:$A,"Youssef",Détail!$B:$B,$A41,Détail!$C:$C,$B41),"")</f>
        <v/>
      </c>
      <c r="N41" s="26">
        <f>COUNTIFS(Détail!$B:$B,$A41,Détail!$C:$C,$B41,Détail!$E:$E,"&lt;&gt;(à saisir)")</f>
        <v/>
      </c>
      <c r="O41" s="27">
        <f>IFERROR(AVERAGEIFS(Détail!$I:$I,Détail!$B:$B,$A41,Détail!$C:$C,$B41),"")</f>
        <v/>
      </c>
    </row>
    <row r="42" ht="15" customHeight="1" s="19">
      <c r="A42" s="25" t="n">
        <v>2026</v>
      </c>
      <c r="B42" s="25" t="n">
        <v>35</v>
      </c>
      <c r="C42" s="25" t="inlineStr">
        <is>
          <t>24/08/2026 – 30/08/2026</t>
        </is>
      </c>
      <c r="D42" s="26">
        <f>COUNTIFS(Détail!$A:$A,"Hafssa BENCHRIF",Détail!$B:$B,$A42,Détail!$C:$C,$B42,Détail!$E:$E,"&lt;&gt;(à saisir)")</f>
        <v/>
      </c>
      <c r="E42" s="27">
        <f>IFERROR(AVERAGEIFS(Détail!$I:$I,Détail!$A:$A,"Hafssa BENCHRIF",Détail!$B:$B,$A42,Détail!$C:$C,$B42),"")</f>
        <v/>
      </c>
      <c r="F42" s="26">
        <f>COUNTIFS(Détail!$A:$A,"Hiba LISSAOUI",Détail!$B:$B,$A42,Détail!$C:$C,$B42,Détail!$E:$E,"&lt;&gt;(à saisir)")</f>
        <v/>
      </c>
      <c r="G42" s="27">
        <f>IFERROR(AVERAGEIFS(Détail!$I:$I,Détail!$A:$A,"Hiba LISSAOUI",Détail!$B:$B,$A42,Détail!$C:$C,$B42),"")</f>
        <v/>
      </c>
      <c r="H42" s="26">
        <f>COUNTIFS(Détail!$A:$A,"Imad RMAIDI",Détail!$B:$B,$A42,Détail!$C:$C,$B42,Détail!$E:$E,"&lt;&gt;(à saisir)")</f>
        <v/>
      </c>
      <c r="I42" s="27">
        <f>IFERROR(AVERAGEIFS(Détail!$I:$I,Détail!$A:$A,"Imad RMAIDI",Détail!$B:$B,$A42,Détail!$C:$C,$B42),"")</f>
        <v/>
      </c>
      <c r="J42" s="26">
        <f>COUNTIFS(Détail!$A:$A,"Mohamed HAMDANI",Détail!$B:$B,$A42,Détail!$C:$C,$B42,Détail!$E:$E,"&lt;&gt;(à saisir)")</f>
        <v/>
      </c>
      <c r="K42" s="27">
        <f>IFERROR(AVERAGEIFS(Détail!$I:$I,Détail!$A:$A,"Mohamed HAMDANI",Détail!$B:$B,$A42,Détail!$C:$C,$B42),"")</f>
        <v/>
      </c>
      <c r="L42" s="26">
        <f>COUNTIFS(Détail!$A:$A,"Youssef",Détail!$B:$B,$A42,Détail!$C:$C,$B42,Détail!$E:$E,"&lt;&gt;(à saisir)")</f>
        <v/>
      </c>
      <c r="M42" s="27">
        <f>IFERROR(AVERAGEIFS(Détail!$I:$I,Détail!$A:$A,"Youssef",Détail!$B:$B,$A42,Détail!$C:$C,$B42),"")</f>
        <v/>
      </c>
      <c r="N42" s="26">
        <f>COUNTIFS(Détail!$B:$B,$A42,Détail!$C:$C,$B42,Détail!$E:$E,"&lt;&gt;(à saisir)")</f>
        <v/>
      </c>
      <c r="O42" s="27">
        <f>IFERROR(AVERAGEIFS(Détail!$I:$I,Détail!$B:$B,$A42,Détail!$C:$C,$B42),"")</f>
        <v/>
      </c>
    </row>
    <row r="43" ht="15" customHeight="1" s="19">
      <c r="A43" s="25" t="n">
        <v>2026</v>
      </c>
      <c r="B43" s="25" t="n">
        <v>36</v>
      </c>
      <c r="C43" s="25" t="inlineStr">
        <is>
          <t>31/08/2026 – 06/09/2026</t>
        </is>
      </c>
      <c r="D43" s="26">
        <f>COUNTIFS(Détail!$A:$A,"Hafssa BENCHRIF",Détail!$B:$B,$A43,Détail!$C:$C,$B43,Détail!$E:$E,"&lt;&gt;(à saisir)")</f>
        <v/>
      </c>
      <c r="E43" s="27">
        <f>IFERROR(AVERAGEIFS(Détail!$I:$I,Détail!$A:$A,"Hafssa BENCHRIF",Détail!$B:$B,$A43,Détail!$C:$C,$B43),"")</f>
        <v/>
      </c>
      <c r="F43" s="26">
        <f>COUNTIFS(Détail!$A:$A,"Hiba LISSAOUI",Détail!$B:$B,$A43,Détail!$C:$C,$B43,Détail!$E:$E,"&lt;&gt;(à saisir)")</f>
        <v/>
      </c>
      <c r="G43" s="27">
        <f>IFERROR(AVERAGEIFS(Détail!$I:$I,Détail!$A:$A,"Hiba LISSAOUI",Détail!$B:$B,$A43,Détail!$C:$C,$B43),"")</f>
        <v/>
      </c>
      <c r="H43" s="26">
        <f>COUNTIFS(Détail!$A:$A,"Imad RMAIDI",Détail!$B:$B,$A43,Détail!$C:$C,$B43,Détail!$E:$E,"&lt;&gt;(à saisir)")</f>
        <v/>
      </c>
      <c r="I43" s="27">
        <f>IFERROR(AVERAGEIFS(Détail!$I:$I,Détail!$A:$A,"Imad RMAIDI",Détail!$B:$B,$A43,Détail!$C:$C,$B43),"")</f>
        <v/>
      </c>
      <c r="J43" s="26">
        <f>COUNTIFS(Détail!$A:$A,"Mohamed HAMDANI",Détail!$B:$B,$A43,Détail!$C:$C,$B43,Détail!$E:$E,"&lt;&gt;(à saisir)")</f>
        <v/>
      </c>
      <c r="K43" s="27">
        <f>IFERROR(AVERAGEIFS(Détail!$I:$I,Détail!$A:$A,"Mohamed HAMDANI",Détail!$B:$B,$A43,Détail!$C:$C,$B43),"")</f>
        <v/>
      </c>
      <c r="L43" s="26">
        <f>COUNTIFS(Détail!$A:$A,"Youssef",Détail!$B:$B,$A43,Détail!$C:$C,$B43,Détail!$E:$E,"&lt;&gt;(à saisir)")</f>
        <v/>
      </c>
      <c r="M43" s="27">
        <f>IFERROR(AVERAGEIFS(Détail!$I:$I,Détail!$A:$A,"Youssef",Détail!$B:$B,$A43,Détail!$C:$C,$B43),"")</f>
        <v/>
      </c>
      <c r="N43" s="26">
        <f>COUNTIFS(Détail!$B:$B,$A43,Détail!$C:$C,$B43,Détail!$E:$E,"&lt;&gt;(à saisir)")</f>
        <v/>
      </c>
      <c r="O43" s="27">
        <f>IFERROR(AVERAGEIFS(Détail!$I:$I,Détail!$B:$B,$A43,Détail!$C:$C,$B43),"")</f>
        <v/>
      </c>
    </row>
    <row r="44" ht="15" customHeight="1" s="19">
      <c r="A44" s="25" t="n">
        <v>2026</v>
      </c>
      <c r="B44" s="25" t="n">
        <v>37</v>
      </c>
      <c r="C44" s="25" t="inlineStr">
        <is>
          <t>07/09/2026 – 13/09/2026</t>
        </is>
      </c>
      <c r="D44" s="26">
        <f>COUNTIFS(Détail!$A:$A,"Hafssa BENCHRIF",Détail!$B:$B,$A44,Détail!$C:$C,$B44,Détail!$E:$E,"&lt;&gt;(à saisir)")</f>
        <v/>
      </c>
      <c r="E44" s="27">
        <f>IFERROR(AVERAGEIFS(Détail!$I:$I,Détail!$A:$A,"Hafssa BENCHRIF",Détail!$B:$B,$A44,Détail!$C:$C,$B44),"")</f>
        <v/>
      </c>
      <c r="F44" s="26">
        <f>COUNTIFS(Détail!$A:$A,"Hiba LISSAOUI",Détail!$B:$B,$A44,Détail!$C:$C,$B44,Détail!$E:$E,"&lt;&gt;(à saisir)")</f>
        <v/>
      </c>
      <c r="G44" s="27">
        <f>IFERROR(AVERAGEIFS(Détail!$I:$I,Détail!$A:$A,"Hiba LISSAOUI",Détail!$B:$B,$A44,Détail!$C:$C,$B44),"")</f>
        <v/>
      </c>
      <c r="H44" s="26">
        <f>COUNTIFS(Détail!$A:$A,"Imad RMAIDI",Détail!$B:$B,$A44,Détail!$C:$C,$B44,Détail!$E:$E,"&lt;&gt;(à saisir)")</f>
        <v/>
      </c>
      <c r="I44" s="27">
        <f>IFERROR(AVERAGEIFS(Détail!$I:$I,Détail!$A:$A,"Imad RMAIDI",Détail!$B:$B,$A44,Détail!$C:$C,$B44),"")</f>
        <v/>
      </c>
      <c r="J44" s="26">
        <f>COUNTIFS(Détail!$A:$A,"Mohamed HAMDANI",Détail!$B:$B,$A44,Détail!$C:$C,$B44,Détail!$E:$E,"&lt;&gt;(à saisir)")</f>
        <v/>
      </c>
      <c r="K44" s="27">
        <f>IFERROR(AVERAGEIFS(Détail!$I:$I,Détail!$A:$A,"Mohamed HAMDANI",Détail!$B:$B,$A44,Détail!$C:$C,$B44),"")</f>
        <v/>
      </c>
      <c r="L44" s="26">
        <f>COUNTIFS(Détail!$A:$A,"Youssef",Détail!$B:$B,$A44,Détail!$C:$C,$B44,Détail!$E:$E,"&lt;&gt;(à saisir)")</f>
        <v/>
      </c>
      <c r="M44" s="27">
        <f>IFERROR(AVERAGEIFS(Détail!$I:$I,Détail!$A:$A,"Youssef",Détail!$B:$B,$A44,Détail!$C:$C,$B44),"")</f>
        <v/>
      </c>
      <c r="N44" s="26">
        <f>COUNTIFS(Détail!$B:$B,$A44,Détail!$C:$C,$B44,Détail!$E:$E,"&lt;&gt;(à saisir)")</f>
        <v/>
      </c>
      <c r="O44" s="27">
        <f>IFERROR(AVERAGEIFS(Détail!$I:$I,Détail!$B:$B,$A44,Détail!$C:$C,$B44),"")</f>
        <v/>
      </c>
    </row>
    <row r="45" ht="15" customHeight="1" s="19">
      <c r="A45" s="25" t="n">
        <v>2026</v>
      </c>
      <c r="B45" s="25" t="n">
        <v>38</v>
      </c>
      <c r="C45" s="25" t="inlineStr">
        <is>
          <t>14/09/2026 – 20/09/2026</t>
        </is>
      </c>
      <c r="D45" s="26">
        <f>COUNTIFS(Détail!$A:$A,"Hafssa BENCHRIF",Détail!$B:$B,$A45,Détail!$C:$C,$B45,Détail!$E:$E,"&lt;&gt;(à saisir)")</f>
        <v/>
      </c>
      <c r="E45" s="27">
        <f>IFERROR(AVERAGEIFS(Détail!$I:$I,Détail!$A:$A,"Hafssa BENCHRIF",Détail!$B:$B,$A45,Détail!$C:$C,$B45),"")</f>
        <v/>
      </c>
      <c r="F45" s="26">
        <f>COUNTIFS(Détail!$A:$A,"Hiba LISSAOUI",Détail!$B:$B,$A45,Détail!$C:$C,$B45,Détail!$E:$E,"&lt;&gt;(à saisir)")</f>
        <v/>
      </c>
      <c r="G45" s="27">
        <f>IFERROR(AVERAGEIFS(Détail!$I:$I,Détail!$A:$A,"Hiba LISSAOUI",Détail!$B:$B,$A45,Détail!$C:$C,$B45),"")</f>
        <v/>
      </c>
      <c r="H45" s="26">
        <f>COUNTIFS(Détail!$A:$A,"Imad RMAIDI",Détail!$B:$B,$A45,Détail!$C:$C,$B45,Détail!$E:$E,"&lt;&gt;(à saisir)")</f>
        <v/>
      </c>
      <c r="I45" s="27">
        <f>IFERROR(AVERAGEIFS(Détail!$I:$I,Détail!$A:$A,"Imad RMAIDI",Détail!$B:$B,$A45,Détail!$C:$C,$B45),"")</f>
        <v/>
      </c>
      <c r="J45" s="26">
        <f>COUNTIFS(Détail!$A:$A,"Mohamed HAMDANI",Détail!$B:$B,$A45,Détail!$C:$C,$B45,Détail!$E:$E,"&lt;&gt;(à saisir)")</f>
        <v/>
      </c>
      <c r="K45" s="27">
        <f>IFERROR(AVERAGEIFS(Détail!$I:$I,Détail!$A:$A,"Mohamed HAMDANI",Détail!$B:$B,$A45,Détail!$C:$C,$B45),"")</f>
        <v/>
      </c>
      <c r="L45" s="26">
        <f>COUNTIFS(Détail!$A:$A,"Youssef",Détail!$B:$B,$A45,Détail!$C:$C,$B45,Détail!$E:$E,"&lt;&gt;(à saisir)")</f>
        <v/>
      </c>
      <c r="M45" s="27">
        <f>IFERROR(AVERAGEIFS(Détail!$I:$I,Détail!$A:$A,"Youssef",Détail!$B:$B,$A45,Détail!$C:$C,$B45),"")</f>
        <v/>
      </c>
      <c r="N45" s="26">
        <f>COUNTIFS(Détail!$B:$B,$A45,Détail!$C:$C,$B45,Détail!$E:$E,"&lt;&gt;(à saisir)")</f>
        <v/>
      </c>
      <c r="O45" s="27">
        <f>IFERROR(AVERAGEIFS(Détail!$I:$I,Détail!$B:$B,$A45,Détail!$C:$C,$B45),"")</f>
        <v/>
      </c>
    </row>
    <row r="46" ht="15" customHeight="1" s="19">
      <c r="A46" s="25" t="n">
        <v>2026</v>
      </c>
      <c r="B46" s="25" t="n">
        <v>39</v>
      </c>
      <c r="C46" s="25" t="inlineStr">
        <is>
          <t>21/09/2026 – 27/09/2026</t>
        </is>
      </c>
      <c r="D46" s="26">
        <f>COUNTIFS(Détail!$A:$A,"Hafssa BENCHRIF",Détail!$B:$B,$A46,Détail!$C:$C,$B46,Détail!$E:$E,"&lt;&gt;(à saisir)")</f>
        <v/>
      </c>
      <c r="E46" s="27">
        <f>IFERROR(AVERAGEIFS(Détail!$I:$I,Détail!$A:$A,"Hafssa BENCHRIF",Détail!$B:$B,$A46,Détail!$C:$C,$B46),"")</f>
        <v/>
      </c>
      <c r="F46" s="26">
        <f>COUNTIFS(Détail!$A:$A,"Hiba LISSAOUI",Détail!$B:$B,$A46,Détail!$C:$C,$B46,Détail!$E:$E,"&lt;&gt;(à saisir)")</f>
        <v/>
      </c>
      <c r="G46" s="27">
        <f>IFERROR(AVERAGEIFS(Détail!$I:$I,Détail!$A:$A,"Hiba LISSAOUI",Détail!$B:$B,$A46,Détail!$C:$C,$B46),"")</f>
        <v/>
      </c>
      <c r="H46" s="26">
        <f>COUNTIFS(Détail!$A:$A,"Imad RMAIDI",Détail!$B:$B,$A46,Détail!$C:$C,$B46,Détail!$E:$E,"&lt;&gt;(à saisir)")</f>
        <v/>
      </c>
      <c r="I46" s="27">
        <f>IFERROR(AVERAGEIFS(Détail!$I:$I,Détail!$A:$A,"Imad RMAIDI",Détail!$B:$B,$A46,Détail!$C:$C,$B46),"")</f>
        <v/>
      </c>
      <c r="J46" s="26">
        <f>COUNTIFS(Détail!$A:$A,"Mohamed HAMDANI",Détail!$B:$B,$A46,Détail!$C:$C,$B46,Détail!$E:$E,"&lt;&gt;(à saisir)")</f>
        <v/>
      </c>
      <c r="K46" s="27">
        <f>IFERROR(AVERAGEIFS(Détail!$I:$I,Détail!$A:$A,"Mohamed HAMDANI",Détail!$B:$B,$A46,Détail!$C:$C,$B46),"")</f>
        <v/>
      </c>
      <c r="L46" s="26">
        <f>COUNTIFS(Détail!$A:$A,"Youssef",Détail!$B:$B,$A46,Détail!$C:$C,$B46,Détail!$E:$E,"&lt;&gt;(à saisir)")</f>
        <v/>
      </c>
      <c r="M46" s="27">
        <f>IFERROR(AVERAGEIFS(Détail!$I:$I,Détail!$A:$A,"Youssef",Détail!$B:$B,$A46,Détail!$C:$C,$B46),"")</f>
        <v/>
      </c>
      <c r="N46" s="26">
        <f>COUNTIFS(Détail!$B:$B,$A46,Détail!$C:$C,$B46,Détail!$E:$E,"&lt;&gt;(à saisir)")</f>
        <v/>
      </c>
      <c r="O46" s="27">
        <f>IFERROR(AVERAGEIFS(Détail!$I:$I,Détail!$B:$B,$A46,Détail!$C:$C,$B46),"")</f>
        <v/>
      </c>
    </row>
    <row r="47" ht="15" customHeight="1" s="19">
      <c r="A47" s="25" t="n">
        <v>2026</v>
      </c>
      <c r="B47" s="25" t="n">
        <v>40</v>
      </c>
      <c r="C47" s="25" t="inlineStr">
        <is>
          <t>28/09/2026 – 04/10/2026</t>
        </is>
      </c>
      <c r="D47" s="26">
        <f>COUNTIFS(Détail!$A:$A,"Hafssa BENCHRIF",Détail!$B:$B,$A47,Détail!$C:$C,$B47,Détail!$E:$E,"&lt;&gt;(à saisir)")</f>
        <v/>
      </c>
      <c r="E47" s="27">
        <f>IFERROR(AVERAGEIFS(Détail!$I:$I,Détail!$A:$A,"Hafssa BENCHRIF",Détail!$B:$B,$A47,Détail!$C:$C,$B47),"")</f>
        <v/>
      </c>
      <c r="F47" s="26">
        <f>COUNTIFS(Détail!$A:$A,"Hiba LISSAOUI",Détail!$B:$B,$A47,Détail!$C:$C,$B47,Détail!$E:$E,"&lt;&gt;(à saisir)")</f>
        <v/>
      </c>
      <c r="G47" s="27">
        <f>IFERROR(AVERAGEIFS(Détail!$I:$I,Détail!$A:$A,"Hiba LISSAOUI",Détail!$B:$B,$A47,Détail!$C:$C,$B47),"")</f>
        <v/>
      </c>
      <c r="H47" s="26">
        <f>COUNTIFS(Détail!$A:$A,"Imad RMAIDI",Détail!$B:$B,$A47,Détail!$C:$C,$B47,Détail!$E:$E,"&lt;&gt;(à saisir)")</f>
        <v/>
      </c>
      <c r="I47" s="27">
        <f>IFERROR(AVERAGEIFS(Détail!$I:$I,Détail!$A:$A,"Imad RMAIDI",Détail!$B:$B,$A47,Détail!$C:$C,$B47),"")</f>
        <v/>
      </c>
      <c r="J47" s="26">
        <f>COUNTIFS(Détail!$A:$A,"Mohamed HAMDANI",Détail!$B:$B,$A47,Détail!$C:$C,$B47,Détail!$E:$E,"&lt;&gt;(à saisir)")</f>
        <v/>
      </c>
      <c r="K47" s="27">
        <f>IFERROR(AVERAGEIFS(Détail!$I:$I,Détail!$A:$A,"Mohamed HAMDANI",Détail!$B:$B,$A47,Détail!$C:$C,$B47),"")</f>
        <v/>
      </c>
      <c r="L47" s="26">
        <f>COUNTIFS(Détail!$A:$A,"Youssef",Détail!$B:$B,$A47,Détail!$C:$C,$B47,Détail!$E:$E,"&lt;&gt;(à saisir)")</f>
        <v/>
      </c>
      <c r="M47" s="27">
        <f>IFERROR(AVERAGEIFS(Détail!$I:$I,Détail!$A:$A,"Youssef",Détail!$B:$B,$A47,Détail!$C:$C,$B47),"")</f>
        <v/>
      </c>
      <c r="N47" s="26">
        <f>COUNTIFS(Détail!$B:$B,$A47,Détail!$C:$C,$B47,Détail!$E:$E,"&lt;&gt;(à saisir)")</f>
        <v/>
      </c>
      <c r="O47" s="27">
        <f>IFERROR(AVERAGEIFS(Détail!$I:$I,Détail!$B:$B,$A47,Détail!$C:$C,$B47),"")</f>
        <v/>
      </c>
    </row>
    <row r="48" ht="15" customHeight="1" s="19">
      <c r="A48" s="25" t="n">
        <v>2026</v>
      </c>
      <c r="B48" s="25" t="n">
        <v>41</v>
      </c>
      <c r="C48" s="25" t="inlineStr">
        <is>
          <t>05/10/2026 – 11/10/2026</t>
        </is>
      </c>
      <c r="D48" s="26">
        <f>COUNTIFS(Détail!$A:$A,"Hafssa BENCHRIF",Détail!$B:$B,$A48,Détail!$C:$C,$B48,Détail!$E:$E,"&lt;&gt;(à saisir)")</f>
        <v/>
      </c>
      <c r="E48" s="27">
        <f>IFERROR(AVERAGEIFS(Détail!$I:$I,Détail!$A:$A,"Hafssa BENCHRIF",Détail!$B:$B,$A48,Détail!$C:$C,$B48),"")</f>
        <v/>
      </c>
      <c r="F48" s="26">
        <f>COUNTIFS(Détail!$A:$A,"Hiba LISSAOUI",Détail!$B:$B,$A48,Détail!$C:$C,$B48,Détail!$E:$E,"&lt;&gt;(à saisir)")</f>
        <v/>
      </c>
      <c r="G48" s="27">
        <f>IFERROR(AVERAGEIFS(Détail!$I:$I,Détail!$A:$A,"Hiba LISSAOUI",Détail!$B:$B,$A48,Détail!$C:$C,$B48),"")</f>
        <v/>
      </c>
      <c r="H48" s="26">
        <f>COUNTIFS(Détail!$A:$A,"Imad RMAIDI",Détail!$B:$B,$A48,Détail!$C:$C,$B48,Détail!$E:$E,"&lt;&gt;(à saisir)")</f>
        <v/>
      </c>
      <c r="I48" s="27">
        <f>IFERROR(AVERAGEIFS(Détail!$I:$I,Détail!$A:$A,"Imad RMAIDI",Détail!$B:$B,$A48,Détail!$C:$C,$B48),"")</f>
        <v/>
      </c>
      <c r="J48" s="26">
        <f>COUNTIFS(Détail!$A:$A,"Mohamed HAMDANI",Détail!$B:$B,$A48,Détail!$C:$C,$B48,Détail!$E:$E,"&lt;&gt;(à saisir)")</f>
        <v/>
      </c>
      <c r="K48" s="27">
        <f>IFERROR(AVERAGEIFS(Détail!$I:$I,Détail!$A:$A,"Mohamed HAMDANI",Détail!$B:$B,$A48,Détail!$C:$C,$B48),"")</f>
        <v/>
      </c>
      <c r="L48" s="26">
        <f>COUNTIFS(Détail!$A:$A,"Youssef",Détail!$B:$B,$A48,Détail!$C:$C,$B48,Détail!$E:$E,"&lt;&gt;(à saisir)")</f>
        <v/>
      </c>
      <c r="M48" s="27">
        <f>IFERROR(AVERAGEIFS(Détail!$I:$I,Détail!$A:$A,"Youssef",Détail!$B:$B,$A48,Détail!$C:$C,$B48),"")</f>
        <v/>
      </c>
      <c r="N48" s="26">
        <f>COUNTIFS(Détail!$B:$B,$A48,Détail!$C:$C,$B48,Détail!$E:$E,"&lt;&gt;(à saisir)")</f>
        <v/>
      </c>
      <c r="O48" s="27">
        <f>IFERROR(AVERAGEIFS(Détail!$I:$I,Détail!$B:$B,$A48,Détail!$C:$C,$B48),"")</f>
        <v/>
      </c>
    </row>
    <row r="49" ht="15" customHeight="1" s="19">
      <c r="A49" s="25" t="n">
        <v>2026</v>
      </c>
      <c r="B49" s="25" t="n">
        <v>42</v>
      </c>
      <c r="C49" s="25" t="inlineStr">
        <is>
          <t>12/10/2026 – 18/10/2026</t>
        </is>
      </c>
      <c r="D49" s="26">
        <f>COUNTIFS(Détail!$A:$A,"Hafssa BENCHRIF",Détail!$B:$B,$A49,Détail!$C:$C,$B49,Détail!$E:$E,"&lt;&gt;(à saisir)")</f>
        <v/>
      </c>
      <c r="E49" s="27">
        <f>IFERROR(AVERAGEIFS(Détail!$I:$I,Détail!$A:$A,"Hafssa BENCHRIF",Détail!$B:$B,$A49,Détail!$C:$C,$B49),"")</f>
        <v/>
      </c>
      <c r="F49" s="26">
        <f>COUNTIFS(Détail!$A:$A,"Hiba LISSAOUI",Détail!$B:$B,$A49,Détail!$C:$C,$B49,Détail!$E:$E,"&lt;&gt;(à saisir)")</f>
        <v/>
      </c>
      <c r="G49" s="27">
        <f>IFERROR(AVERAGEIFS(Détail!$I:$I,Détail!$A:$A,"Hiba LISSAOUI",Détail!$B:$B,$A49,Détail!$C:$C,$B49),"")</f>
        <v/>
      </c>
      <c r="H49" s="26">
        <f>COUNTIFS(Détail!$A:$A,"Imad RMAIDI",Détail!$B:$B,$A49,Détail!$C:$C,$B49,Détail!$E:$E,"&lt;&gt;(à saisir)")</f>
        <v/>
      </c>
      <c r="I49" s="27">
        <f>IFERROR(AVERAGEIFS(Détail!$I:$I,Détail!$A:$A,"Imad RMAIDI",Détail!$B:$B,$A49,Détail!$C:$C,$B49),"")</f>
        <v/>
      </c>
      <c r="J49" s="26">
        <f>COUNTIFS(Détail!$A:$A,"Mohamed HAMDANI",Détail!$B:$B,$A49,Détail!$C:$C,$B49,Détail!$E:$E,"&lt;&gt;(à saisir)")</f>
        <v/>
      </c>
      <c r="K49" s="27">
        <f>IFERROR(AVERAGEIFS(Détail!$I:$I,Détail!$A:$A,"Mohamed HAMDANI",Détail!$B:$B,$A49,Détail!$C:$C,$B49),"")</f>
        <v/>
      </c>
      <c r="L49" s="26">
        <f>COUNTIFS(Détail!$A:$A,"Youssef",Détail!$B:$B,$A49,Détail!$C:$C,$B49,Détail!$E:$E,"&lt;&gt;(à saisir)")</f>
        <v/>
      </c>
      <c r="M49" s="27">
        <f>IFERROR(AVERAGEIFS(Détail!$I:$I,Détail!$A:$A,"Youssef",Détail!$B:$B,$A49,Détail!$C:$C,$B49),"")</f>
        <v/>
      </c>
      <c r="N49" s="26">
        <f>COUNTIFS(Détail!$B:$B,$A49,Détail!$C:$C,$B49,Détail!$E:$E,"&lt;&gt;(à saisir)")</f>
        <v/>
      </c>
      <c r="O49" s="27">
        <f>IFERROR(AVERAGEIFS(Détail!$I:$I,Détail!$B:$B,$A49,Détail!$C:$C,$B49),"")</f>
        <v/>
      </c>
    </row>
    <row r="50" ht="15" customHeight="1" s="19">
      <c r="A50" s="25" t="n">
        <v>2026</v>
      </c>
      <c r="B50" s="25" t="n">
        <v>43</v>
      </c>
      <c r="C50" s="25" t="inlineStr">
        <is>
          <t>19/10/2026 – 25/10/2026</t>
        </is>
      </c>
      <c r="D50" s="26">
        <f>COUNTIFS(Détail!$A:$A,"Hafssa BENCHRIF",Détail!$B:$B,$A50,Détail!$C:$C,$B50,Détail!$E:$E,"&lt;&gt;(à saisir)")</f>
        <v/>
      </c>
      <c r="E50" s="27">
        <f>IFERROR(AVERAGEIFS(Détail!$I:$I,Détail!$A:$A,"Hafssa BENCHRIF",Détail!$B:$B,$A50,Détail!$C:$C,$B50),"")</f>
        <v/>
      </c>
      <c r="F50" s="26">
        <f>COUNTIFS(Détail!$A:$A,"Hiba LISSAOUI",Détail!$B:$B,$A50,Détail!$C:$C,$B50,Détail!$E:$E,"&lt;&gt;(à saisir)")</f>
        <v/>
      </c>
      <c r="G50" s="27">
        <f>IFERROR(AVERAGEIFS(Détail!$I:$I,Détail!$A:$A,"Hiba LISSAOUI",Détail!$B:$B,$A50,Détail!$C:$C,$B50),"")</f>
        <v/>
      </c>
      <c r="H50" s="26">
        <f>COUNTIFS(Détail!$A:$A,"Imad RMAIDI",Détail!$B:$B,$A50,Détail!$C:$C,$B50,Détail!$E:$E,"&lt;&gt;(à saisir)")</f>
        <v/>
      </c>
      <c r="I50" s="27">
        <f>IFERROR(AVERAGEIFS(Détail!$I:$I,Détail!$A:$A,"Imad RMAIDI",Détail!$B:$B,$A50,Détail!$C:$C,$B50),"")</f>
        <v/>
      </c>
      <c r="J50" s="26">
        <f>COUNTIFS(Détail!$A:$A,"Mohamed HAMDANI",Détail!$B:$B,$A50,Détail!$C:$C,$B50,Détail!$E:$E,"&lt;&gt;(à saisir)")</f>
        <v/>
      </c>
      <c r="K50" s="27">
        <f>IFERROR(AVERAGEIFS(Détail!$I:$I,Détail!$A:$A,"Mohamed HAMDANI",Détail!$B:$B,$A50,Détail!$C:$C,$B50),"")</f>
        <v/>
      </c>
      <c r="L50" s="26">
        <f>COUNTIFS(Détail!$A:$A,"Youssef",Détail!$B:$B,$A50,Détail!$C:$C,$B50,Détail!$E:$E,"&lt;&gt;(à saisir)")</f>
        <v/>
      </c>
      <c r="M50" s="27">
        <f>IFERROR(AVERAGEIFS(Détail!$I:$I,Détail!$A:$A,"Youssef",Détail!$B:$B,$A50,Détail!$C:$C,$B50),"")</f>
        <v/>
      </c>
      <c r="N50" s="26">
        <f>COUNTIFS(Détail!$B:$B,$A50,Détail!$C:$C,$B50,Détail!$E:$E,"&lt;&gt;(à saisir)")</f>
        <v/>
      </c>
      <c r="O50" s="27">
        <f>IFERROR(AVERAGEIFS(Détail!$I:$I,Détail!$B:$B,$A50,Détail!$C:$C,$B50),"")</f>
        <v/>
      </c>
    </row>
    <row r="51" ht="15" customHeight="1" s="19">
      <c r="A51" s="25" t="n">
        <v>2026</v>
      </c>
      <c r="B51" s="25" t="n">
        <v>44</v>
      </c>
      <c r="C51" s="25" t="inlineStr">
        <is>
          <t>26/10/2026 – 01/11/2026</t>
        </is>
      </c>
      <c r="D51" s="26">
        <f>COUNTIFS(Détail!$A:$A,"Hafssa BENCHRIF",Détail!$B:$B,$A51,Détail!$C:$C,$B51,Détail!$E:$E,"&lt;&gt;(à saisir)")</f>
        <v/>
      </c>
      <c r="E51" s="27">
        <f>IFERROR(AVERAGEIFS(Détail!$I:$I,Détail!$A:$A,"Hafssa BENCHRIF",Détail!$B:$B,$A51,Détail!$C:$C,$B51),"")</f>
        <v/>
      </c>
      <c r="F51" s="26">
        <f>COUNTIFS(Détail!$A:$A,"Hiba LISSAOUI",Détail!$B:$B,$A51,Détail!$C:$C,$B51,Détail!$E:$E,"&lt;&gt;(à saisir)")</f>
        <v/>
      </c>
      <c r="G51" s="27">
        <f>IFERROR(AVERAGEIFS(Détail!$I:$I,Détail!$A:$A,"Hiba LISSAOUI",Détail!$B:$B,$A51,Détail!$C:$C,$B51),"")</f>
        <v/>
      </c>
      <c r="H51" s="26">
        <f>COUNTIFS(Détail!$A:$A,"Imad RMAIDI",Détail!$B:$B,$A51,Détail!$C:$C,$B51,Détail!$E:$E,"&lt;&gt;(à saisir)")</f>
        <v/>
      </c>
      <c r="I51" s="27">
        <f>IFERROR(AVERAGEIFS(Détail!$I:$I,Détail!$A:$A,"Imad RMAIDI",Détail!$B:$B,$A51,Détail!$C:$C,$B51),"")</f>
        <v/>
      </c>
      <c r="J51" s="26">
        <f>COUNTIFS(Détail!$A:$A,"Mohamed HAMDANI",Détail!$B:$B,$A51,Détail!$C:$C,$B51,Détail!$E:$E,"&lt;&gt;(à saisir)")</f>
        <v/>
      </c>
      <c r="K51" s="27">
        <f>IFERROR(AVERAGEIFS(Détail!$I:$I,Détail!$A:$A,"Mohamed HAMDANI",Détail!$B:$B,$A51,Détail!$C:$C,$B51),"")</f>
        <v/>
      </c>
      <c r="L51" s="26">
        <f>COUNTIFS(Détail!$A:$A,"Youssef",Détail!$B:$B,$A51,Détail!$C:$C,$B51,Détail!$E:$E,"&lt;&gt;(à saisir)")</f>
        <v/>
      </c>
      <c r="M51" s="27">
        <f>IFERROR(AVERAGEIFS(Détail!$I:$I,Détail!$A:$A,"Youssef",Détail!$B:$B,$A51,Détail!$C:$C,$B51),"")</f>
        <v/>
      </c>
      <c r="N51" s="26">
        <f>COUNTIFS(Détail!$B:$B,$A51,Détail!$C:$C,$B51,Détail!$E:$E,"&lt;&gt;(à saisir)")</f>
        <v/>
      </c>
      <c r="O51" s="27">
        <f>IFERROR(AVERAGEIFS(Détail!$I:$I,Détail!$B:$B,$A51,Détail!$C:$C,$B51),"")</f>
        <v/>
      </c>
    </row>
    <row r="52" ht="15" customHeight="1" s="19">
      <c r="A52" s="28" t="inlineStr">
        <is>
          <t>Total / moyenne</t>
        </is>
      </c>
      <c r="B52" s="29" t="n"/>
      <c r="C52" s="23" t="n"/>
      <c r="D52" s="28">
        <f>SUM(D6:D51)</f>
        <v/>
      </c>
      <c r="E52" s="30">
        <f>IFERROR(AVERAGEIFS(Détail!$I:$I,Détail!$A:$A,"Hafssa BENCHRIF"),"")</f>
        <v/>
      </c>
      <c r="F52" s="28">
        <f>SUM(F6:F51)</f>
        <v/>
      </c>
      <c r="G52" s="30">
        <f>IFERROR(AVERAGEIFS(Détail!$I:$I,Détail!$A:$A,"Hiba LISSAOUI"),"")</f>
        <v/>
      </c>
      <c r="H52" s="28">
        <f>SUM(H6:H51)</f>
        <v/>
      </c>
      <c r="I52" s="30">
        <f>IFERROR(AVERAGEIFS(Détail!$I:$I,Détail!$A:$A,"Imad RMAIDI"),"")</f>
        <v/>
      </c>
      <c r="J52" s="28">
        <f>SUM(J6:J51)</f>
        <v/>
      </c>
      <c r="K52" s="30">
        <f>IFERROR(AVERAGEIFS(Détail!$I:$I,Détail!$A:$A,"Mohamed HAMDANI"),"")</f>
        <v/>
      </c>
      <c r="L52" s="28">
        <f>SUM(L6:L51)</f>
        <v/>
      </c>
      <c r="M52" s="30">
        <f>IFERROR(AVERAGEIFS(Détail!$I:$I,Détail!$A:$A,"Youssef"),"")</f>
        <v/>
      </c>
      <c r="N52" s="28">
        <f>SUM(N6:N51)</f>
        <v/>
      </c>
      <c r="O52" s="30">
        <f>IFERROR(AVERAGE(Détail!$I:$I),"")</f>
        <v/>
      </c>
    </row>
  </sheetData>
  <mergeCells count="10">
    <mergeCell ref="F4:G4"/>
    <mergeCell ref="J4:K4"/>
    <mergeCell ref="L4:M4"/>
    <mergeCell ref="B4:B5"/>
    <mergeCell ref="C4:C5"/>
    <mergeCell ref="A4:A5"/>
    <mergeCell ref="D4:E4"/>
    <mergeCell ref="H4:I4"/>
    <mergeCell ref="N4:O4"/>
    <mergeCell ref="A52:C52"/>
  </mergeCells>
  <conditionalFormatting sqref="E6:E51">
    <cfRule type="cellIs" rank="0" priority="2" equalAverage="0" operator="lessThan" aboveAverage="0" dxfId="0" text="" percent="0" bottom="0">
      <formula>85</formula>
    </cfRule>
    <cfRule type="cellIs" rank="0" priority="3" equalAverage="0" operator="between" aboveAverage="0" dxfId="1" text="" percent="0" bottom="0">
      <formula>85</formula>
      <formula>99.94</formula>
    </cfRule>
  </conditionalFormatting>
  <conditionalFormatting sqref="G6:G51">
    <cfRule type="cellIs" rank="0" priority="4" equalAverage="0" operator="lessThan" aboveAverage="0" dxfId="0" text="" percent="0" bottom="0">
      <formula>85</formula>
    </cfRule>
    <cfRule type="cellIs" rank="0" priority="5" equalAverage="0" operator="between" aboveAverage="0" dxfId="1" text="" percent="0" bottom="0">
      <formula>85</formula>
      <formula>99.94</formula>
    </cfRule>
  </conditionalFormatting>
  <conditionalFormatting sqref="I6:I51">
    <cfRule type="cellIs" rank="0" priority="6" equalAverage="0" operator="lessThan" aboveAverage="0" dxfId="0" text="" percent="0" bottom="0">
      <formula>85</formula>
    </cfRule>
    <cfRule type="cellIs" rank="0" priority="7" equalAverage="0" operator="between" aboveAverage="0" dxfId="1" text="" percent="0" bottom="0">
      <formula>85</formula>
      <formula>99.94</formula>
    </cfRule>
  </conditionalFormatting>
  <conditionalFormatting sqref="K6:K51">
    <cfRule type="cellIs" rank="0" priority="8" equalAverage="0" operator="lessThan" aboveAverage="0" dxfId="0" text="" percent="0" bottom="0">
      <formula>85</formula>
    </cfRule>
    <cfRule type="cellIs" rank="0" priority="9" equalAverage="0" operator="between" aboveAverage="0" dxfId="1" text="" percent="0" bottom="0">
      <formula>85</formula>
      <formula>99.94</formula>
    </cfRule>
  </conditionalFormatting>
  <conditionalFormatting sqref="M6:M51">
    <cfRule type="cellIs" rank="0" priority="10" equalAverage="0" operator="lessThan" aboveAverage="0" dxfId="0" text="" percent="0" bottom="0">
      <formula>85</formula>
    </cfRule>
    <cfRule type="cellIs" rank="0" priority="11" equalAverage="0" operator="between" aboveAverage="0" dxfId="1" text="" percent="0" bottom="0">
      <formula>85</formula>
      <formula>99.94</formula>
    </cfRule>
  </conditionalFormatting>
  <conditionalFormatting sqref="O6:O51">
    <cfRule type="cellIs" rank="0" priority="12" equalAverage="0" operator="lessThan" aboveAverage="0" dxfId="0" text="" percent="0" bottom="0">
      <formula>85</formula>
    </cfRule>
    <cfRule type="cellIs" rank="0" priority="13" equalAverage="0" operator="between" aboveAverage="0" dxfId="1" text="" percent="0" bottom="0">
      <formula>85</formula>
      <formula>99.94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8" min="1" max="1"/>
    <col width="12" customWidth="1" style="18" min="2" max="5"/>
    <col width="10" customWidth="1" style="18" min="6" max="6"/>
    <col width="12" customWidth="1" style="18" min="7" max="10"/>
    <col width="13" customWidth="1" style="18" min="11" max="11"/>
    <col width="14" customWidth="1" style="18" min="12" max="12"/>
  </cols>
  <sheetData>
    <row r="1" ht="17.35" customHeight="1" s="19">
      <c r="A1" s="20" t="inlineStr">
        <is>
          <t>Bilan par collaborateur</t>
        </is>
      </c>
    </row>
    <row r="3" ht="31.5" customHeight="1" s="19">
      <c r="A3" s="22" t="inlineStr">
        <is>
          <t>Collaborateur</t>
        </is>
      </c>
      <c r="B3" s="22" t="inlineStr">
        <is>
          <t>Documents traités</t>
        </is>
      </c>
      <c r="C3" s="22" t="inlineStr">
        <is>
          <t>Documents évalués</t>
        </is>
      </c>
      <c r="D3" s="22" t="inlineStr">
        <is>
          <t>Semaines actives</t>
        </is>
      </c>
      <c r="E3" s="22" t="inlineStr">
        <is>
          <t>Note moyenne /100</t>
        </is>
      </c>
      <c r="F3" s="22" t="inlineStr">
        <is>
          <t>Note min.</t>
        </is>
      </c>
      <c r="G3" s="22" t="inlineStr">
        <is>
          <t>Documents à 100 %</t>
        </is>
      </c>
      <c r="H3" s="22" t="inlineStr">
        <is>
          <t>Documents &lt; 100 %</t>
        </is>
      </c>
      <c r="I3" s="22" t="inlineStr">
        <is>
          <t>Documents &lt; 85 %</t>
        </is>
      </c>
      <c r="J3" s="22" t="inlineStr">
        <is>
          <t>Rapports manquants</t>
        </is>
      </c>
      <c r="K3" s="22" t="inlineStr">
        <is>
          <t>Critères non conformes</t>
        </is>
      </c>
      <c r="L3" s="22" t="inlineStr">
        <is>
          <t>Notes à saisir (jaune)</t>
        </is>
      </c>
    </row>
    <row r="4" ht="15" customHeight="1" s="19">
      <c r="A4" s="31" t="inlineStr">
        <is>
          <t>Hafssa BENCHRIF</t>
        </is>
      </c>
      <c r="B4" s="25">
        <f>COUNTIFS(Détail!$A:$A,"Hafssa BENCHRIF",Détail!$E:$E,"&lt;&gt;(à saisir)")</f>
        <v/>
      </c>
      <c r="C4" s="25">
        <f>COUNTIFS(Détail!$A:$A,"Hafssa BENCHRIF",Détail!$I:$I,"&gt;=0")</f>
        <v/>
      </c>
      <c r="D4" s="25">
        <f>SUMPRODUCT((Détail!$A$2:$A$142="Hafssa BENCHRIF")*(Détail!$E$2:$E$142&lt;&gt;"(à saisir)")/COUNTIFS(Détail!$A$2:$A$142,Détail!$A$2:$A$142,Détail!$D$2:$D$142,Détail!$D$2:$D$142))</f>
        <v/>
      </c>
      <c r="E4" s="27">
        <f>IFERROR(AVERAGEIFS(Détail!$I:$I,Détail!$A:$A,"Hafssa BENCHRIF"),"")</f>
        <v/>
      </c>
      <c r="F4" s="27">
        <f>_xlfn.MINIFS(Détail!$I$2:$I$142,Détail!$A$2:$A$142,"Hafssa BENCHRIF")</f>
        <v/>
      </c>
      <c r="G4" s="25">
        <f>COUNTIFS(Détail!$A:$A,"Hafssa BENCHRIF",Détail!$I:$I,"&gt;=99.95")</f>
        <v/>
      </c>
      <c r="H4" s="25">
        <f>COUNTIFS(Détail!$A:$A,"Hafssa BENCHRIF",Détail!$I:$I,"&lt;99.95")</f>
        <v/>
      </c>
      <c r="I4" s="25">
        <f>COUNTIFS(Détail!$A:$A,"Hafssa BENCHRIF",Détail!$I:$I,"&lt;85")</f>
        <v/>
      </c>
      <c r="J4" s="25">
        <f>B4-C4</f>
        <v/>
      </c>
      <c r="K4" s="25">
        <f>SUMIFS(Détail!$L:$L,Détail!$A:$A,"Hafssa BENCHRIF")</f>
        <v/>
      </c>
      <c r="L4" s="25">
        <f>COUNTIFS(Détail!$A:$A,"Hafssa BENCHRIF",Détail!$J:$J,"À saisir")</f>
        <v/>
      </c>
    </row>
    <row r="5" ht="15" customHeight="1" s="19">
      <c r="A5" s="31" t="inlineStr">
        <is>
          <t>Hiba LISSAOUI</t>
        </is>
      </c>
      <c r="B5" s="25">
        <f>COUNTIFS(Détail!$A:$A,"Hiba LISSAOUI",Détail!$E:$E,"&lt;&gt;(à saisir)")</f>
        <v/>
      </c>
      <c r="C5" s="25">
        <f>COUNTIFS(Détail!$A:$A,"Hiba LISSAOUI",Détail!$I:$I,"&gt;=0")</f>
        <v/>
      </c>
      <c r="D5" s="25">
        <f>SUMPRODUCT((Détail!$A$2:$A$142="Hiba LISSAOUI")*(Détail!$E$2:$E$142&lt;&gt;"(à saisir)")/COUNTIFS(Détail!$A$2:$A$142,Détail!$A$2:$A$142,Détail!$D$2:$D$142,Détail!$D$2:$D$142))</f>
        <v/>
      </c>
      <c r="E5" s="27">
        <f>IFERROR(AVERAGEIFS(Détail!$I:$I,Détail!$A:$A,"Hiba LISSAOUI"),"")</f>
        <v/>
      </c>
      <c r="F5" s="27">
        <f>_xlfn.MINIFS(Détail!$I$2:$I$142,Détail!$A$2:$A$142,"Hiba LISSAOUI")</f>
        <v/>
      </c>
      <c r="G5" s="25">
        <f>COUNTIFS(Détail!$A:$A,"Hiba LISSAOUI",Détail!$I:$I,"&gt;=99.95")</f>
        <v/>
      </c>
      <c r="H5" s="25">
        <f>COUNTIFS(Détail!$A:$A,"Hiba LISSAOUI",Détail!$I:$I,"&lt;99.95")</f>
        <v/>
      </c>
      <c r="I5" s="25">
        <f>COUNTIFS(Détail!$A:$A,"Hiba LISSAOUI",Détail!$I:$I,"&lt;85")</f>
        <v/>
      </c>
      <c r="J5" s="25">
        <f>B5-C5</f>
        <v/>
      </c>
      <c r="K5" s="25">
        <f>SUMIFS(Détail!$L:$L,Détail!$A:$A,"Hiba LISSAOUI")</f>
        <v/>
      </c>
      <c r="L5" s="25">
        <f>COUNTIFS(Détail!$A:$A,"Hiba LISSAOUI",Détail!$J:$J,"À saisir")</f>
        <v/>
      </c>
    </row>
    <row r="6" ht="15" customHeight="1" s="19">
      <c r="A6" s="31" t="inlineStr">
        <is>
          <t>Imad RMAIDI</t>
        </is>
      </c>
      <c r="B6" s="25">
        <f>COUNTIFS(Détail!$A:$A,"Imad RMAIDI",Détail!$E:$E,"&lt;&gt;(à saisir)")</f>
        <v/>
      </c>
      <c r="C6" s="25">
        <f>COUNTIFS(Détail!$A:$A,"Imad RMAIDI",Détail!$I:$I,"&gt;=0")</f>
        <v/>
      </c>
      <c r="D6" s="25">
        <f>SUMPRODUCT((Détail!$A$2:$A$142="Imad RMAIDI")*(Détail!$E$2:$E$142&lt;&gt;"(à saisir)")/COUNTIFS(Détail!$A$2:$A$142,Détail!$A$2:$A$142,Détail!$D$2:$D$142,Détail!$D$2:$D$142))</f>
        <v/>
      </c>
      <c r="E6" s="27">
        <f>IFERROR(AVERAGEIFS(Détail!$I:$I,Détail!$A:$A,"Imad RMAIDI"),"")</f>
        <v/>
      </c>
      <c r="F6" s="27">
        <f>_xlfn.MINIFS(Détail!$I$2:$I$142,Détail!$A$2:$A$142,"Imad RMAIDI")</f>
        <v/>
      </c>
      <c r="G6" s="25">
        <f>COUNTIFS(Détail!$A:$A,"Imad RMAIDI",Détail!$I:$I,"&gt;=99.95")</f>
        <v/>
      </c>
      <c r="H6" s="25">
        <f>COUNTIFS(Détail!$A:$A,"Imad RMAIDI",Détail!$I:$I,"&lt;99.95")</f>
        <v/>
      </c>
      <c r="I6" s="25">
        <f>COUNTIFS(Détail!$A:$A,"Imad RMAIDI",Détail!$I:$I,"&lt;85")</f>
        <v/>
      </c>
      <c r="J6" s="25">
        <f>B6-C6</f>
        <v/>
      </c>
      <c r="K6" s="25">
        <f>SUMIFS(Détail!$L:$L,Détail!$A:$A,"Imad RMAIDI")</f>
        <v/>
      </c>
      <c r="L6" s="25">
        <f>COUNTIFS(Détail!$A:$A,"Imad RMAIDI",Détail!$J:$J,"À saisir")</f>
        <v/>
      </c>
    </row>
    <row r="7" ht="15" customHeight="1" s="19">
      <c r="A7" s="31" t="inlineStr">
        <is>
          <t>Mohamed HAMDANI</t>
        </is>
      </c>
      <c r="B7" s="25">
        <f>COUNTIFS(Détail!$A:$A,"Mohamed HAMDANI",Détail!$E:$E,"&lt;&gt;(à saisir)")</f>
        <v/>
      </c>
      <c r="C7" s="25">
        <f>COUNTIFS(Détail!$A:$A,"Mohamed HAMDANI",Détail!$I:$I,"&gt;=0")</f>
        <v/>
      </c>
      <c r="D7" s="25">
        <f>SUMPRODUCT((Détail!$A$2:$A$142="Mohamed HAMDANI")*(Détail!$E$2:$E$142&lt;&gt;"(à saisir)")/COUNTIFS(Détail!$A$2:$A$142,Détail!$A$2:$A$142,Détail!$D$2:$D$142,Détail!$D$2:$D$142))</f>
        <v/>
      </c>
      <c r="E7" s="27">
        <f>IFERROR(AVERAGEIFS(Détail!$I:$I,Détail!$A:$A,"Mohamed HAMDANI"),"")</f>
        <v/>
      </c>
      <c r="F7" s="27">
        <f>_xlfn.MINIFS(Détail!$I$2:$I$142,Détail!$A$2:$A$142,"Mohamed HAMDANI")</f>
        <v/>
      </c>
      <c r="G7" s="25">
        <f>COUNTIFS(Détail!$A:$A,"Mohamed HAMDANI",Détail!$I:$I,"&gt;=99.95")</f>
        <v/>
      </c>
      <c r="H7" s="25">
        <f>COUNTIFS(Détail!$A:$A,"Mohamed HAMDANI",Détail!$I:$I,"&lt;99.95")</f>
        <v/>
      </c>
      <c r="I7" s="25">
        <f>COUNTIFS(Détail!$A:$A,"Mohamed HAMDANI",Détail!$I:$I,"&lt;85")</f>
        <v/>
      </c>
      <c r="J7" s="25">
        <f>B7-C7</f>
        <v/>
      </c>
      <c r="K7" s="25">
        <f>SUMIFS(Détail!$L:$L,Détail!$A:$A,"Mohamed HAMDANI")</f>
        <v/>
      </c>
      <c r="L7" s="25">
        <f>COUNTIFS(Détail!$A:$A,"Mohamed HAMDANI",Détail!$J:$J,"À saisir")</f>
        <v/>
      </c>
    </row>
    <row r="8" ht="15" customHeight="1" s="19">
      <c r="A8" s="31" t="inlineStr">
        <is>
          <t>Youssef</t>
        </is>
      </c>
      <c r="B8" s="25">
        <f>COUNTIFS(Détail!$A:$A,"Youssef",Détail!$E:$E,"&lt;&gt;(à saisir)")</f>
        <v/>
      </c>
      <c r="C8" s="25">
        <f>COUNTIFS(Détail!$A:$A,"Youssef",Détail!$I:$I,"&gt;=0")</f>
        <v/>
      </c>
      <c r="D8" s="25">
        <f>SUMPRODUCT((Détail!$A$2:$A$142="Youssef")*(Détail!$E$2:$E$142&lt;&gt;"(à saisir)")/COUNTIFS(Détail!$A$2:$A$142,Détail!$A$2:$A$142,Détail!$D$2:$D$142,Détail!$D$2:$D$142))</f>
        <v/>
      </c>
      <c r="E8" s="27">
        <f>IFERROR(AVERAGEIFS(Détail!$I:$I,Détail!$A:$A,"Youssef"),"")</f>
        <v/>
      </c>
      <c r="F8" s="27">
        <f>_xlfn.MINIFS(Détail!$I$2:$I$142,Détail!$A$2:$A$142,"Youssef")</f>
        <v/>
      </c>
      <c r="G8" s="25">
        <f>COUNTIFS(Détail!$A:$A,"Youssef",Détail!$I:$I,"&gt;=99.95")</f>
        <v/>
      </c>
      <c r="H8" s="25">
        <f>COUNTIFS(Détail!$A:$A,"Youssef",Détail!$I:$I,"&lt;99.95")</f>
        <v/>
      </c>
      <c r="I8" s="25">
        <f>COUNTIFS(Détail!$A:$A,"Youssef",Détail!$I:$I,"&lt;85")</f>
        <v/>
      </c>
      <c r="J8" s="25">
        <f>B8-C8</f>
        <v/>
      </c>
      <c r="K8" s="25">
        <f>SUMIFS(Détail!$L:$L,Détail!$A:$A,"Youssef")</f>
        <v/>
      </c>
      <c r="L8" s="25">
        <f>COUNTIFS(Détail!$A:$A,"Youssef",Détail!$J:$J,"À saisir")</f>
        <v/>
      </c>
    </row>
    <row r="9" ht="15" customHeight="1" s="19">
      <c r="A9" s="32" t="inlineStr">
        <is>
          <t>Équipe</t>
        </is>
      </c>
      <c r="B9" s="28">
        <f>SUM(B4:B8)</f>
        <v/>
      </c>
      <c r="C9" s="28">
        <f>SUM(C4:C8)</f>
        <v/>
      </c>
      <c r="D9" s="28">
        <f>SUM(D4:D8)</f>
        <v/>
      </c>
      <c r="E9" s="30">
        <f>IFERROR(AVERAGE(Détail!$I:$I),"")</f>
        <v/>
      </c>
      <c r="F9" s="30">
        <f>MIN(F4:F8)</f>
        <v/>
      </c>
      <c r="G9" s="28">
        <f>SUM(G4:G8)</f>
        <v/>
      </c>
      <c r="H9" s="28">
        <f>SUM(H4:H8)</f>
        <v/>
      </c>
      <c r="I9" s="28">
        <f>SUM(I4:I8)</f>
        <v/>
      </c>
      <c r="J9" s="28">
        <f>SUM(J4:J8)</f>
        <v/>
      </c>
      <c r="K9" s="28">
        <f>SUM(K4:K8)</f>
        <v/>
      </c>
      <c r="L9" s="28">
        <f>SUM(L4:L8)</f>
        <v/>
      </c>
    </row>
    <row r="11" ht="15" customHeight="1" s="19">
      <c r="A11" s="21" t="inlineStr">
        <is>
          <t>Seuil de conformité retenu : 85 % (identique aux rapports RAPDF). « Semaines actives » = semaines avec au moins un document.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A1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8" min="1" max="1"/>
    <col width="8" customWidth="1" style="18" min="2" max="2"/>
    <col width="9" customWidth="1" style="18" min="3" max="3"/>
    <col width="11" customWidth="1" style="18" min="4" max="4"/>
    <col width="52" customWidth="1" style="18" min="5" max="5"/>
    <col width="8" customWidth="1" style="18" min="6" max="6"/>
    <col width="14" customWidth="1" style="18" min="7" max="7"/>
    <col width="9" customWidth="1" style="18" min="8" max="8"/>
    <col width="10" customWidth="1" style="18" min="9" max="9"/>
    <col width="22" customWidth="1" style="18" min="10" max="10"/>
    <col width="12" customWidth="1" style="18" min="11" max="13"/>
    <col width="55" customWidth="1" style="18" min="14" max="14"/>
    <col width="60" customWidth="1" style="18" min="15" max="15"/>
    <col width="15" customWidth="1" style="19" min="16" max="16"/>
    <col width="11" customWidth="1" style="19" min="17" max="17"/>
    <col width="11" customWidth="1" style="19" min="18" max="18"/>
    <col width="15" customWidth="1" style="19" min="19" max="19"/>
    <col width="12" customWidth="1" style="19" min="20" max="20"/>
    <col width="14" customWidth="1" style="19" min="21" max="21"/>
    <col width="11" customWidth="1" style="19" min="22" max="22"/>
    <col width="13" customWidth="1" style="19" min="23" max="23"/>
    <col width="16" customWidth="1" style="19" min="24" max="24"/>
    <col width="16" customWidth="1" style="19" min="25" max="25"/>
    <col width="15" customWidth="1" style="19" min="26" max="26"/>
    <col width="15" customWidth="1" style="19" min="27" max="27"/>
  </cols>
  <sheetData>
    <row r="1" ht="42" customHeight="1" s="19">
      <c r="A1" s="22" t="inlineStr">
        <is>
          <t>Collaborateur</t>
        </is>
      </c>
      <c r="B1" s="22" t="inlineStr">
        <is>
          <t>Année</t>
        </is>
      </c>
      <c r="C1" s="22" t="inlineStr">
        <is>
          <t>Semaine</t>
        </is>
      </c>
      <c r="D1" s="22" t="inlineStr">
        <is>
          <t>Clé semaine</t>
        </is>
      </c>
      <c r="E1" s="22" t="inlineStr">
        <is>
          <t>Document</t>
        </is>
      </c>
      <c r="F1" s="22" t="inlineStr">
        <is>
          <t>Type</t>
        </is>
      </c>
      <c r="G1" s="22" t="inlineStr">
        <is>
          <t>Date d'évaluation</t>
        </is>
      </c>
      <c r="H1" s="22" t="inlineStr">
        <is>
          <t>Source</t>
        </is>
      </c>
      <c r="I1" s="22" t="inlineStr">
        <is>
          <t>Note /100</t>
        </is>
      </c>
      <c r="J1" s="22" t="inlineStr">
        <is>
          <t>Statut</t>
        </is>
      </c>
      <c r="K1" s="22" t="inlineStr">
        <is>
          <t>Critères conformes</t>
        </is>
      </c>
      <c r="L1" s="22" t="inlineStr">
        <is>
          <t>Critères non conformes</t>
        </is>
      </c>
      <c r="M1" s="22" t="inlineStr">
        <is>
          <t>Critères non applicables</t>
        </is>
      </c>
      <c r="N1" s="22" t="inlineStr">
        <is>
          <t>Détail des critères non conformes</t>
        </is>
      </c>
      <c r="O1" s="22" t="inlineStr">
        <is>
          <t>Action corrective</t>
        </is>
      </c>
      <c r="P1" s="33" t="inlineStr">
        <is>
          <t>Jours planifiés</t>
        </is>
      </c>
      <c r="Q1" s="33" t="inlineStr">
        <is>
          <t>Présents</t>
        </is>
      </c>
      <c r="R1" s="33" t="inlineStr">
        <is>
          <t>Absents</t>
        </is>
      </c>
      <c r="S1" s="33" t="inlineStr">
        <is>
          <t>Non renseignés</t>
        </is>
      </c>
      <c r="T1" s="33" t="inlineStr">
        <is>
          <t>Congés</t>
        </is>
      </c>
      <c r="U1" s="33" t="inlineStr">
        <is>
          <t>Jours fériés</t>
        </is>
      </c>
      <c r="V1" s="33" t="inlineStr">
        <is>
          <t>Nb retards</t>
        </is>
      </c>
      <c r="W1" s="33" t="inlineStr">
        <is>
          <t>Retards (min)</t>
        </is>
      </c>
      <c r="X1" s="33" t="inlineStr">
        <is>
          <t>Heures planifiées</t>
        </is>
      </c>
      <c r="Y1" s="33" t="inlineStr">
        <is>
          <t>Heures adhérées</t>
        </is>
      </c>
      <c r="Z1" s="33" t="inlineStr">
        <is>
          <t>Taux d’assiduité</t>
        </is>
      </c>
      <c r="AA1" s="33" t="inlineStr">
        <is>
          <t>Adhérence heures</t>
        </is>
      </c>
    </row>
    <row r="2" ht="15" customHeight="1" s="19">
      <c r="A2" s="34" t="inlineStr">
        <is>
          <t>Hafssa BENCHRIF</t>
        </is>
      </c>
      <c r="B2" s="25" t="n">
        <v>2025</v>
      </c>
      <c r="C2" s="25" t="n">
        <v>51</v>
      </c>
      <c r="D2" s="25">
        <f>B2&amp;"-S"&amp;TEXT(C2,"00")</f>
        <v/>
      </c>
      <c r="E2" s="34" t="inlineStr">
        <is>
          <t>CG0570v02 0525</t>
        </is>
      </c>
      <c r="F2" s="25" t="inlineStr">
        <is>
          <t>word</t>
        </is>
      </c>
      <c r="G2" s="35" t="n"/>
      <c r="H2" s="25" t="inlineStr">
        <is>
          <t>Grille</t>
        </is>
      </c>
      <c r="I2" s="27" t="n">
        <v>100</v>
      </c>
      <c r="J2" s="34">
        <f>IF(I2="","Rapport manquant",IF(I2&gt;=85,"CONFORME (≥85%)","NON CONFORME (&lt;85%)"))</f>
        <v/>
      </c>
      <c r="K2" s="25" t="n">
        <v>10</v>
      </c>
      <c r="L2" s="25" t="n">
        <v>0</v>
      </c>
      <c r="M2" s="25" t="n">
        <v>36</v>
      </c>
      <c r="N2" s="36" t="n"/>
      <c r="O2" s="36" t="n"/>
      <c r="P2" s="37" t="n">
        <v>0</v>
      </c>
      <c r="Q2" s="37" t="n">
        <v>0</v>
      </c>
      <c r="R2" s="37" t="n">
        <v>0</v>
      </c>
      <c r="S2" s="37" t="n">
        <v>0</v>
      </c>
      <c r="T2" s="37" t="n">
        <v>0</v>
      </c>
      <c r="U2" s="37" t="n">
        <v>0</v>
      </c>
      <c r="V2" s="37" t="n">
        <v>0</v>
      </c>
      <c r="W2" s="37" t="n">
        <v>0</v>
      </c>
      <c r="X2" s="38" t="n">
        <v>0</v>
      </c>
      <c r="Y2" s="38" t="n">
        <v>0</v>
      </c>
      <c r="Z2" s="39" t="n"/>
      <c r="AA2" s="39" t="n"/>
    </row>
    <row r="3" ht="15" customHeight="1" s="19">
      <c r="A3" s="34" t="inlineStr">
        <is>
          <t>Hafssa BENCHRIF</t>
        </is>
      </c>
      <c r="B3" s="25" t="n">
        <v>2025</v>
      </c>
      <c r="C3" s="25" t="n">
        <v>51</v>
      </c>
      <c r="D3" s="25">
        <f>B3&amp;"-S"&amp;TEXT(C3,"00")</f>
        <v/>
      </c>
      <c r="E3" s="34" t="inlineStr">
        <is>
          <t>CM0409v04 1214 LIVRET PUNCH</t>
        </is>
      </c>
      <c r="F3" s="25" t="inlineStr">
        <is>
          <t>word</t>
        </is>
      </c>
      <c r="G3" s="35" t="n"/>
      <c r="H3" s="25" t="inlineStr">
        <is>
          <t>Grille</t>
        </is>
      </c>
      <c r="I3" s="27" t="n">
        <v>100</v>
      </c>
      <c r="J3" s="34">
        <f>IF(I3="","Rapport manquant",IF(I3&gt;=85,"CONFORME (≥85%)","NON CONFORME (&lt;85%)"))</f>
        <v/>
      </c>
      <c r="K3" s="25" t="n">
        <v>8</v>
      </c>
      <c r="L3" s="25" t="n">
        <v>0</v>
      </c>
      <c r="M3" s="25" t="n">
        <v>38</v>
      </c>
      <c r="N3" s="36" t="n"/>
      <c r="O3" s="36" t="n"/>
      <c r="P3" s="37" t="n">
        <v>0</v>
      </c>
      <c r="Q3" s="37" t="n">
        <v>0</v>
      </c>
      <c r="R3" s="37" t="n">
        <v>0</v>
      </c>
      <c r="S3" s="37" t="n">
        <v>0</v>
      </c>
      <c r="T3" s="37" t="n">
        <v>0</v>
      </c>
      <c r="U3" s="37" t="n">
        <v>0</v>
      </c>
      <c r="V3" s="37" t="n">
        <v>0</v>
      </c>
      <c r="W3" s="37" t="n">
        <v>0</v>
      </c>
      <c r="X3" s="38" t="n">
        <v>0</v>
      </c>
      <c r="Y3" s="38" t="n">
        <v>0</v>
      </c>
      <c r="Z3" s="39" t="n"/>
      <c r="AA3" s="39" t="n"/>
    </row>
    <row r="4" ht="23.85" customHeight="1" s="19">
      <c r="A4" s="34" t="inlineStr">
        <is>
          <t>Hiba LISSAOUI</t>
        </is>
      </c>
      <c r="B4" s="25" t="n">
        <v>2025</v>
      </c>
      <c r="C4" s="25" t="n">
        <v>51</v>
      </c>
      <c r="D4" s="25">
        <f>B4&amp;"-S"&amp;TEXT(C4,"00")</f>
        <v/>
      </c>
      <c r="E4" s="34" t="inlineStr">
        <is>
          <t>CG.05.78v02 1024 CG BAD EI CM CIC</t>
        </is>
      </c>
      <c r="F4" s="25" t="inlineStr">
        <is>
          <t>word</t>
        </is>
      </c>
      <c r="G4" s="35" t="n"/>
      <c r="H4" s="25" t="inlineStr">
        <is>
          <t>Grille</t>
        </is>
      </c>
      <c r="I4" s="27" t="n">
        <v>96.7</v>
      </c>
      <c r="J4" s="34">
        <f>IF(I4="","À saisir",IF(I4&gt;=85,"CONFORME (≥85%)","NON CONFORME (&lt;85%)"))</f>
        <v/>
      </c>
      <c r="K4" s="25" t="n">
        <v>9</v>
      </c>
      <c r="L4" s="25" t="n">
        <v>1</v>
      </c>
      <c r="M4" s="25" t="n">
        <v>36</v>
      </c>
      <c r="N4" s="36" t="inlineStr">
        <is>
          <t>5.2 – Chaque contenu présenté sous forme de liste utilise-t-il un style de liste ?</t>
        </is>
      </c>
      <c r="O4" s="36" t="inlineStr">
        <is>
          <t>Debrief de l’agent pour le sensibiliser à l’importance d’être vigilant sur le traitement, puis exercice pratique avec l’ensemble de l’équipe.</t>
        </is>
      </c>
      <c r="P4" s="37" t="n">
        <v>0</v>
      </c>
      <c r="Q4" s="37" t="n">
        <v>0</v>
      </c>
      <c r="R4" s="37" t="n">
        <v>0</v>
      </c>
      <c r="S4" s="37" t="n">
        <v>0</v>
      </c>
      <c r="T4" s="37" t="n">
        <v>0</v>
      </c>
      <c r="U4" s="37" t="n">
        <v>0</v>
      </c>
      <c r="V4" s="37" t="n">
        <v>0</v>
      </c>
      <c r="W4" s="37" t="n">
        <v>0</v>
      </c>
      <c r="X4" s="38" t="n">
        <v>0</v>
      </c>
      <c r="Y4" s="38" t="n">
        <v>0</v>
      </c>
      <c r="Z4" s="39" t="n"/>
      <c r="AA4" s="39" t="n"/>
    </row>
    <row r="5" ht="15" customHeight="1" s="19">
      <c r="A5" s="34" t="inlineStr">
        <is>
          <t>Hiba LISSAOUI</t>
        </is>
      </c>
      <c r="B5" s="25" t="n">
        <v>2025</v>
      </c>
      <c r="C5" s="25" t="n">
        <v>51</v>
      </c>
      <c r="D5" s="25">
        <f>B5&amp;"-S"&amp;TEXT(C5,"00")</f>
        <v/>
      </c>
      <c r="E5" s="34" t="inlineStr">
        <is>
          <t>CG0566 0725 CM</t>
        </is>
      </c>
      <c r="F5" s="25" t="inlineStr">
        <is>
          <t>word</t>
        </is>
      </c>
      <c r="G5" s="35" t="n"/>
      <c r="H5" s="25" t="inlineStr">
        <is>
          <t>Grille</t>
        </is>
      </c>
      <c r="I5" s="27" t="n">
        <v>100</v>
      </c>
      <c r="J5" s="34">
        <f>IF(I5="","À saisir",IF(I5&gt;=85,"CONFORME (≥85%)","NON CONFORME (&lt;85%)"))</f>
        <v/>
      </c>
      <c r="K5" s="25" t="n">
        <v>10</v>
      </c>
      <c r="L5" s="25" t="n">
        <v>0</v>
      </c>
      <c r="M5" s="25" t="n">
        <v>36</v>
      </c>
      <c r="N5" s="36" t="n"/>
      <c r="O5" s="36" t="n"/>
      <c r="P5" s="37" t="n">
        <v>0</v>
      </c>
      <c r="Q5" s="37" t="n">
        <v>0</v>
      </c>
      <c r="R5" s="37" t="n">
        <v>0</v>
      </c>
      <c r="S5" s="37" t="n">
        <v>0</v>
      </c>
      <c r="T5" s="37" t="n">
        <v>0</v>
      </c>
      <c r="U5" s="37" t="n">
        <v>0</v>
      </c>
      <c r="V5" s="37" t="n">
        <v>0</v>
      </c>
      <c r="W5" s="37" t="n">
        <v>0</v>
      </c>
      <c r="X5" s="38" t="n">
        <v>0</v>
      </c>
      <c r="Y5" s="38" t="n">
        <v>0</v>
      </c>
      <c r="Z5" s="39" t="n"/>
      <c r="AA5" s="39" t="n"/>
    </row>
    <row r="6" ht="15" customHeight="1" s="19">
      <c r="A6" s="34" t="inlineStr">
        <is>
          <t>Imad RMAIDI</t>
        </is>
      </c>
      <c r="B6" s="25" t="n">
        <v>2025</v>
      </c>
      <c r="C6" s="25" t="n">
        <v>51</v>
      </c>
      <c r="D6" s="25">
        <f>B6&amp;"-S"&amp;TEXT(C6,"00")</f>
        <v/>
      </c>
      <c r="E6" s="34" t="inlineStr">
        <is>
          <t>CG0443v02 1214 LIVRET BIENVENUE +</t>
        </is>
      </c>
      <c r="F6" s="25" t="inlineStr">
        <is>
          <t>word</t>
        </is>
      </c>
      <c r="G6" s="35" t="n"/>
      <c r="H6" s="25" t="inlineStr">
        <is>
          <t>Grille</t>
        </is>
      </c>
      <c r="I6" s="27" t="n">
        <v>100</v>
      </c>
      <c r="J6" s="34">
        <f>IF(I6="","À saisir",IF(I6&gt;=85,"CONFORME (≥85%)","NON CONFORME (&lt;85%)"))</f>
        <v/>
      </c>
      <c r="K6" s="25" t="n">
        <v>9</v>
      </c>
      <c r="L6" s="25" t="n">
        <v>0</v>
      </c>
      <c r="M6" s="25" t="n">
        <v>37</v>
      </c>
      <c r="N6" s="36" t="n"/>
      <c r="O6" s="36" t="n"/>
      <c r="P6" s="37" t="n">
        <v>0</v>
      </c>
      <c r="Q6" s="37" t="n">
        <v>0</v>
      </c>
      <c r="R6" s="37" t="n">
        <v>0</v>
      </c>
      <c r="S6" s="37" t="n">
        <v>0</v>
      </c>
      <c r="T6" s="37" t="n">
        <v>0</v>
      </c>
      <c r="U6" s="37" t="n">
        <v>0</v>
      </c>
      <c r="V6" s="37" t="n">
        <v>0</v>
      </c>
      <c r="W6" s="37" t="n">
        <v>0</v>
      </c>
      <c r="X6" s="38" t="n">
        <v>0</v>
      </c>
      <c r="Y6" s="38" t="n">
        <v>0</v>
      </c>
      <c r="Z6" s="39" t="n"/>
      <c r="AA6" s="39" t="n"/>
    </row>
    <row r="7" ht="15" customHeight="1" s="19">
      <c r="A7" s="34" t="inlineStr">
        <is>
          <t>Imad RMAIDI</t>
        </is>
      </c>
      <c r="B7" s="25" t="n">
        <v>2025</v>
      </c>
      <c r="C7" s="25" t="n">
        <v>51</v>
      </c>
      <c r="D7" s="25">
        <f>B7&amp;"-S"&amp;TEXT(C7,"00")</f>
        <v/>
      </c>
      <c r="E7" s="34" t="inlineStr">
        <is>
          <t>CM0310v03 1122 livret bleu Prem's</t>
        </is>
      </c>
      <c r="F7" s="25" t="inlineStr">
        <is>
          <t>word</t>
        </is>
      </c>
      <c r="G7" s="35" t="n"/>
      <c r="H7" s="25" t="inlineStr">
        <is>
          <t>Grille</t>
        </is>
      </c>
      <c r="I7" s="27" t="n">
        <v>100</v>
      </c>
      <c r="J7" s="34">
        <f>IF(I7="","À saisir",IF(I7&gt;=85,"CONFORME (≥85%)","NON CONFORME (&lt;85%)"))</f>
        <v/>
      </c>
      <c r="K7" s="25" t="n">
        <v>12</v>
      </c>
      <c r="L7" s="25" t="n">
        <v>0</v>
      </c>
      <c r="M7" s="25" t="n">
        <v>34</v>
      </c>
      <c r="N7" s="36" t="n"/>
      <c r="O7" s="36" t="n"/>
      <c r="P7" s="37" t="n">
        <v>0</v>
      </c>
      <c r="Q7" s="37" t="n">
        <v>0</v>
      </c>
      <c r="R7" s="37" t="n">
        <v>0</v>
      </c>
      <c r="S7" s="37" t="n">
        <v>0</v>
      </c>
      <c r="T7" s="37" t="n">
        <v>0</v>
      </c>
      <c r="U7" s="37" t="n">
        <v>0</v>
      </c>
      <c r="V7" s="37" t="n">
        <v>0</v>
      </c>
      <c r="W7" s="37" t="n">
        <v>0</v>
      </c>
      <c r="X7" s="38" t="n">
        <v>0</v>
      </c>
      <c r="Y7" s="38" t="n">
        <v>0</v>
      </c>
      <c r="Z7" s="39" t="n"/>
      <c r="AA7" s="39" t="n"/>
    </row>
    <row r="8" ht="15" customHeight="1" s="19">
      <c r="A8" s="34" t="inlineStr">
        <is>
          <t>Mohamed HAMDANI</t>
        </is>
      </c>
      <c r="B8" s="25" t="n">
        <v>2025</v>
      </c>
      <c r="C8" s="25" t="n">
        <v>51</v>
      </c>
      <c r="D8" s="25">
        <f>B8&amp;"-S"&amp;TEXT(C8,"00")</f>
        <v/>
      </c>
      <c r="E8" s="34" t="inlineStr">
        <is>
          <t>CI0396v03 1018 CG carte de retrait DE</t>
        </is>
      </c>
      <c r="F8" s="25" t="inlineStr">
        <is>
          <t>word</t>
        </is>
      </c>
      <c r="G8" s="35" t="n"/>
      <c r="H8" s="25" t="inlineStr">
        <is>
          <t>Grille</t>
        </is>
      </c>
      <c r="I8" s="27" t="n">
        <v>100</v>
      </c>
      <c r="J8" s="34">
        <f>IF(I8="","À saisir",IF(I8&gt;=85,"CONFORME (≥85%)","NON CONFORME (&lt;85%)"))</f>
        <v/>
      </c>
      <c r="K8" s="25" t="n">
        <v>11</v>
      </c>
      <c r="L8" s="25" t="n">
        <v>0</v>
      </c>
      <c r="M8" s="25" t="n">
        <v>35</v>
      </c>
      <c r="N8" s="36" t="n"/>
      <c r="O8" s="36" t="n"/>
      <c r="P8" s="37" t="n">
        <v>0</v>
      </c>
      <c r="Q8" s="37" t="n">
        <v>0</v>
      </c>
      <c r="R8" s="37" t="n">
        <v>0</v>
      </c>
      <c r="S8" s="37" t="n">
        <v>0</v>
      </c>
      <c r="T8" s="37" t="n">
        <v>0</v>
      </c>
      <c r="U8" s="37" t="n">
        <v>0</v>
      </c>
      <c r="V8" s="37" t="n">
        <v>0</v>
      </c>
      <c r="W8" s="37" t="n">
        <v>0</v>
      </c>
      <c r="X8" s="38" t="n">
        <v>0</v>
      </c>
      <c r="Y8" s="38" t="n">
        <v>0</v>
      </c>
      <c r="Z8" s="39" t="n"/>
      <c r="AA8" s="39" t="n"/>
    </row>
    <row r="9" ht="46.25" customHeight="1" s="19">
      <c r="A9" s="34" t="inlineStr">
        <is>
          <t>Mohamed HAMDANI</t>
        </is>
      </c>
      <c r="B9" s="25" t="n">
        <v>2025</v>
      </c>
      <c r="C9" s="25" t="n">
        <v>51</v>
      </c>
      <c r="D9" s="25">
        <f>B9&amp;"-S"&amp;TEXT(C9,"00")</f>
        <v/>
      </c>
      <c r="E9" s="34" t="inlineStr">
        <is>
          <t>CM0575v01 0324 Carte achat public</t>
        </is>
      </c>
      <c r="F9" s="25" t="inlineStr">
        <is>
          <t>word</t>
        </is>
      </c>
      <c r="G9" s="35" t="n"/>
      <c r="H9" s="25" t="inlineStr">
        <is>
          <t>Grille</t>
        </is>
      </c>
      <c r="I9" s="27" t="n">
        <v>93.3</v>
      </c>
      <c r="J9" s="34">
        <f>IF(I9="","À saisir",IF(I9&gt;=85,"CONFORME (≥85%)","NON CONFORME (&lt;85%)"))</f>
        <v/>
      </c>
      <c r="K9" s="25" t="n">
        <v>12</v>
      </c>
      <c r="L9" s="25" t="n">
        <v>2</v>
      </c>
      <c r="M9" s="25" t="n">
        <v>32</v>
      </c>
      <c r="N9" s="36" t="inlineStr">
        <is>
          <t>5.1 – L’information est-elle structurée par l’utilisation appropriée de titres ?
5.2 – Chaque contenu présenté sous forme de liste utilise-t-il un style de liste ?</t>
        </is>
      </c>
      <c r="O9" s="36" t="inlineStr">
        <is>
          <t>Debrief de l’agent pour le sensibiliser à l’importance d’être vigilant sur le traitement, puis exercice pratique avec l’ensemble de l’équipe.</t>
        </is>
      </c>
      <c r="P9" s="37" t="n">
        <v>0</v>
      </c>
      <c r="Q9" s="37" t="n">
        <v>0</v>
      </c>
      <c r="R9" s="37" t="n">
        <v>0</v>
      </c>
      <c r="S9" s="37" t="n">
        <v>0</v>
      </c>
      <c r="T9" s="37" t="n">
        <v>0</v>
      </c>
      <c r="U9" s="37" t="n">
        <v>0</v>
      </c>
      <c r="V9" s="37" t="n">
        <v>0</v>
      </c>
      <c r="W9" s="37" t="n">
        <v>0</v>
      </c>
      <c r="X9" s="38" t="n">
        <v>0</v>
      </c>
      <c r="Y9" s="38" t="n">
        <v>0</v>
      </c>
      <c r="Z9" s="39" t="n"/>
      <c r="AA9" s="39" t="n"/>
    </row>
    <row r="10" ht="15" customHeight="1" s="19">
      <c r="A10" s="34" t="inlineStr">
        <is>
          <t>Hafssa BENCHRIF</t>
        </is>
      </c>
      <c r="B10" s="25" t="n">
        <v>2025</v>
      </c>
      <c r="C10" s="25" t="n">
        <v>52</v>
      </c>
      <c r="D10" s="25">
        <f>B10&amp;"-S"&amp;TEXT(C10,"00")</f>
        <v/>
      </c>
      <c r="E10" s="34" t="inlineStr">
        <is>
          <t>CG0563v01 0123 CG Services de Dépôt</t>
        </is>
      </c>
      <c r="F10" s="25" t="inlineStr">
        <is>
          <t>word</t>
        </is>
      </c>
      <c r="G10" s="35" t="n"/>
      <c r="H10" s="25" t="inlineStr">
        <is>
          <t>Grille</t>
        </is>
      </c>
      <c r="I10" s="27" t="n">
        <v>100</v>
      </c>
      <c r="J10" s="34">
        <f>IF(I10="","Rapport manquant",IF(I10&gt;=85,"CONFORME (≥85%)","NON CONFORME (&lt;85%)"))</f>
        <v/>
      </c>
      <c r="K10" s="25" t="n">
        <v>9</v>
      </c>
      <c r="L10" s="25" t="n">
        <v>0</v>
      </c>
      <c r="M10" s="25" t="n">
        <v>37</v>
      </c>
      <c r="N10" s="36" t="n"/>
      <c r="O10" s="36" t="n"/>
      <c r="P10" s="37" t="n">
        <v>4</v>
      </c>
      <c r="Q10" s="37" t="n">
        <v>4</v>
      </c>
      <c r="R10" s="37" t="n">
        <v>0</v>
      </c>
      <c r="S10" s="37" t="n">
        <v>0</v>
      </c>
      <c r="T10" s="37" t="n">
        <v>0</v>
      </c>
      <c r="U10" s="37" t="n">
        <v>0</v>
      </c>
      <c r="V10" s="37" t="n">
        <v>0</v>
      </c>
      <c r="W10" s="37" t="n">
        <v>0</v>
      </c>
      <c r="X10" s="38" t="n">
        <v>1.458333333333333</v>
      </c>
      <c r="Y10" s="38" t="n">
        <v>1.458333333333333</v>
      </c>
      <c r="Z10" s="39" t="n">
        <v>1</v>
      </c>
      <c r="AA10" s="39" t="n">
        <v>1</v>
      </c>
    </row>
    <row r="11" ht="15" customHeight="1" s="19">
      <c r="A11" s="34" t="inlineStr">
        <is>
          <t>Hafssa BENCHRIF</t>
        </is>
      </c>
      <c r="B11" s="25" t="n">
        <v>2025</v>
      </c>
      <c r="C11" s="25" t="n">
        <v>52</v>
      </c>
      <c r="D11" s="25">
        <f>B11&amp;"-S"&amp;TEXT(C11,"00")</f>
        <v/>
      </c>
      <c r="E11" s="34" t="inlineStr">
        <is>
          <t>CG0706 1219</t>
        </is>
      </c>
      <c r="F11" s="25" t="inlineStr">
        <is>
          <t>word</t>
        </is>
      </c>
      <c r="G11" s="35" t="n"/>
      <c r="H11" s="25" t="inlineStr">
        <is>
          <t>Grille</t>
        </is>
      </c>
      <c r="I11" s="27" t="n">
        <v>100</v>
      </c>
      <c r="J11" s="34">
        <f>IF(I11="","Rapport manquant",IF(I11&gt;=85,"CONFORME (≥85%)","NON CONFORME (&lt;85%)"))</f>
        <v/>
      </c>
      <c r="K11" s="25" t="n">
        <v>13</v>
      </c>
      <c r="L11" s="25" t="n">
        <v>0</v>
      </c>
      <c r="M11" s="25" t="n">
        <v>33</v>
      </c>
      <c r="N11" s="36" t="n"/>
      <c r="O11" s="36" t="n"/>
      <c r="P11" s="37" t="n">
        <v>4</v>
      </c>
      <c r="Q11" s="37" t="n">
        <v>4</v>
      </c>
      <c r="R11" s="37" t="n">
        <v>0</v>
      </c>
      <c r="S11" s="37" t="n">
        <v>0</v>
      </c>
      <c r="T11" s="37" t="n">
        <v>0</v>
      </c>
      <c r="U11" s="37" t="n">
        <v>0</v>
      </c>
      <c r="V11" s="37" t="n">
        <v>0</v>
      </c>
      <c r="W11" s="37" t="n">
        <v>0</v>
      </c>
      <c r="X11" s="38" t="n">
        <v>1.458333333333333</v>
      </c>
      <c r="Y11" s="38" t="n">
        <v>1.458333333333333</v>
      </c>
      <c r="Z11" s="39" t="n">
        <v>1</v>
      </c>
      <c r="AA11" s="39" t="n">
        <v>1</v>
      </c>
    </row>
    <row r="12" ht="35.05" customHeight="1" s="19">
      <c r="A12" s="34" t="inlineStr">
        <is>
          <t>Hiba LISSAOUI</t>
        </is>
      </c>
      <c r="B12" s="25" t="n">
        <v>2025</v>
      </c>
      <c r="C12" s="25" t="n">
        <v>52</v>
      </c>
      <c r="D12" s="25">
        <f>B12&amp;"-S"&amp;TEXT(C12,"00")</f>
        <v/>
      </c>
      <c r="E12" s="34" t="inlineStr">
        <is>
          <t>CG0704 1120</t>
        </is>
      </c>
      <c r="F12" s="25" t="inlineStr">
        <is>
          <t>word</t>
        </is>
      </c>
      <c r="G12" s="35" t="n"/>
      <c r="H12" s="25" t="inlineStr">
        <is>
          <t>Grille</t>
        </is>
      </c>
      <c r="I12" s="27" t="n">
        <v>96.7</v>
      </c>
      <c r="J12" s="34">
        <f>IF(I12="","À saisir",IF(I12&gt;=85,"CONFORME (≥85%)","NON CONFORME (&lt;85%)"))</f>
        <v/>
      </c>
      <c r="K12" s="25" t="n">
        <v>14</v>
      </c>
      <c r="L12" s="25" t="n">
        <v>1</v>
      </c>
      <c r="M12" s="25" t="n">
        <v>31</v>
      </c>
      <c r="N12" s="36" t="inlineStr">
        <is>
          <t>6.3 – Chaque lien signalé uniquement par la couleur et dont la nature n’est pas évidente est-il visible, par rapport au texte environnant ?</t>
        </is>
      </c>
      <c r="O12" s="36" t="inlineStr">
        <is>
          <t>Debrief de l’agent pour le sensibiliser à l’importance d’être vigilant sur le traitement, puis exercice pratique avec l’ensemble de l’équipe.</t>
        </is>
      </c>
      <c r="P12" s="37" t="n">
        <v>4</v>
      </c>
      <c r="Q12" s="37" t="n">
        <v>4</v>
      </c>
      <c r="R12" s="37" t="n">
        <v>0</v>
      </c>
      <c r="S12" s="37" t="n">
        <v>0</v>
      </c>
      <c r="T12" s="37" t="n">
        <v>0</v>
      </c>
      <c r="U12" s="37" t="n">
        <v>0</v>
      </c>
      <c r="V12" s="37" t="n">
        <v>0</v>
      </c>
      <c r="W12" s="37" t="n">
        <v>0</v>
      </c>
      <c r="X12" s="38" t="n">
        <v>1.458333333333333</v>
      </c>
      <c r="Y12" s="38" t="n">
        <v>1.458333333333333</v>
      </c>
      <c r="Z12" s="39" t="n">
        <v>1</v>
      </c>
      <c r="AA12" s="39" t="n">
        <v>1</v>
      </c>
    </row>
    <row r="13" ht="15" customHeight="1" s="19">
      <c r="A13" s="34" t="inlineStr">
        <is>
          <t>Hiba LISSAOUI</t>
        </is>
      </c>
      <c r="B13" s="25" t="n">
        <v>2025</v>
      </c>
      <c r="C13" s="25" t="n">
        <v>52</v>
      </c>
      <c r="D13" s="25">
        <f>B13&amp;"-S"&amp;TEXT(C13,"00")</f>
        <v/>
      </c>
      <c r="E13" s="34" t="inlineStr">
        <is>
          <t>GR8884v11 0122 caut PP EPS</t>
        </is>
      </c>
      <c r="F13" s="25" t="inlineStr">
        <is>
          <t>word</t>
        </is>
      </c>
      <c r="G13" s="35" t="n"/>
      <c r="H13" s="25" t="inlineStr">
        <is>
          <t>Grille</t>
        </is>
      </c>
      <c r="I13" s="27" t="n">
        <v>100</v>
      </c>
      <c r="J13" s="34">
        <f>IF(I13="","À saisir",IF(I13&gt;=85,"CONFORME (≥85%)","NON CONFORME (&lt;85%)"))</f>
        <v/>
      </c>
      <c r="K13" s="25" t="n">
        <v>14</v>
      </c>
      <c r="L13" s="25" t="n">
        <v>0</v>
      </c>
      <c r="M13" s="25" t="n">
        <v>32</v>
      </c>
      <c r="N13" s="36" t="n"/>
      <c r="O13" s="36" t="n"/>
      <c r="P13" s="37" t="n">
        <v>4</v>
      </c>
      <c r="Q13" s="37" t="n">
        <v>4</v>
      </c>
      <c r="R13" s="37" t="n">
        <v>0</v>
      </c>
      <c r="S13" s="37" t="n">
        <v>0</v>
      </c>
      <c r="T13" s="37" t="n">
        <v>0</v>
      </c>
      <c r="U13" s="37" t="n">
        <v>0</v>
      </c>
      <c r="V13" s="37" t="n">
        <v>0</v>
      </c>
      <c r="W13" s="37" t="n">
        <v>0</v>
      </c>
      <c r="X13" s="38" t="n">
        <v>1.458333333333333</v>
      </c>
      <c r="Y13" s="38" t="n">
        <v>1.458333333333333</v>
      </c>
      <c r="Z13" s="39" t="n">
        <v>1</v>
      </c>
      <c r="AA13" s="39" t="n">
        <v>1</v>
      </c>
    </row>
    <row r="14" ht="15" customHeight="1" s="19">
      <c r="A14" s="34" t="inlineStr">
        <is>
          <t>Imad RMAIDI</t>
        </is>
      </c>
      <c r="B14" s="25" t="n">
        <v>2025</v>
      </c>
      <c r="C14" s="25" t="n">
        <v>52</v>
      </c>
      <c r="D14" s="25">
        <f>B14&amp;"-S"&amp;TEXT(C14,"00")</f>
        <v/>
      </c>
      <c r="E14" s="34" t="inlineStr">
        <is>
          <t>CG0403v02 0314 CG Livret bienvenue DE</t>
        </is>
      </c>
      <c r="F14" s="25" t="inlineStr">
        <is>
          <t>word</t>
        </is>
      </c>
      <c r="G14" s="35" t="n"/>
      <c r="H14" s="25" t="inlineStr">
        <is>
          <t>Grille</t>
        </is>
      </c>
      <c r="I14" s="27" t="n">
        <v>100</v>
      </c>
      <c r="J14" s="34">
        <f>IF(I14="","À saisir",IF(I14&gt;=85,"CONFORME (≥85%)","NON CONFORME (&lt;85%)"))</f>
        <v/>
      </c>
      <c r="K14" s="25" t="n">
        <v>10</v>
      </c>
      <c r="L14" s="25" t="n">
        <v>0</v>
      </c>
      <c r="M14" s="25" t="n">
        <v>36</v>
      </c>
      <c r="N14" s="36" t="n"/>
      <c r="O14" s="36" t="n"/>
      <c r="P14" s="37" t="n">
        <v>4</v>
      </c>
      <c r="Q14" s="37" t="n">
        <v>4</v>
      </c>
      <c r="R14" s="37" t="n">
        <v>0</v>
      </c>
      <c r="S14" s="37" t="n">
        <v>0</v>
      </c>
      <c r="T14" s="37" t="n">
        <v>0</v>
      </c>
      <c r="U14" s="37" t="n">
        <v>0</v>
      </c>
      <c r="V14" s="37" t="n">
        <v>0</v>
      </c>
      <c r="W14" s="37" t="n">
        <v>0</v>
      </c>
      <c r="X14" s="38" t="n">
        <v>1.458333333333333</v>
      </c>
      <c r="Y14" s="38" t="n">
        <v>1.458333333333333</v>
      </c>
      <c r="Z14" s="39" t="n">
        <v>1</v>
      </c>
      <c r="AA14" s="39" t="n">
        <v>1</v>
      </c>
    </row>
    <row r="15" ht="15" customHeight="1" s="19">
      <c r="A15" s="34" t="inlineStr">
        <is>
          <t>Imad RMAIDI</t>
        </is>
      </c>
      <c r="B15" s="25" t="n">
        <v>2025</v>
      </c>
      <c r="C15" s="25" t="n">
        <v>52</v>
      </c>
      <c r="D15" s="25">
        <f>B15&amp;"-S"&amp;TEXT(C15,"00")</f>
        <v/>
      </c>
      <c r="E15" s="34" t="inlineStr">
        <is>
          <t>CG0523v01 0616 Livret Crescendo UK</t>
        </is>
      </c>
      <c r="F15" s="25" t="inlineStr">
        <is>
          <t>word</t>
        </is>
      </c>
      <c r="G15" s="35" t="n"/>
      <c r="H15" s="25" t="inlineStr">
        <is>
          <t>Grille</t>
        </is>
      </c>
      <c r="I15" s="27" t="n">
        <v>100</v>
      </c>
      <c r="J15" s="34">
        <f>IF(I15="","À saisir",IF(I15&gt;=85,"CONFORME (≥85%)","NON CONFORME (&lt;85%)"))</f>
        <v/>
      </c>
      <c r="K15" s="25" t="n">
        <v>10</v>
      </c>
      <c r="L15" s="25" t="n">
        <v>0</v>
      </c>
      <c r="M15" s="25" t="n">
        <v>36</v>
      </c>
      <c r="N15" s="36" t="n"/>
      <c r="O15" s="36" t="n"/>
      <c r="P15" s="37" t="n">
        <v>4</v>
      </c>
      <c r="Q15" s="37" t="n">
        <v>4</v>
      </c>
      <c r="R15" s="37" t="n">
        <v>0</v>
      </c>
      <c r="S15" s="37" t="n">
        <v>0</v>
      </c>
      <c r="T15" s="37" t="n">
        <v>0</v>
      </c>
      <c r="U15" s="37" t="n">
        <v>0</v>
      </c>
      <c r="V15" s="37" t="n">
        <v>0</v>
      </c>
      <c r="W15" s="37" t="n">
        <v>0</v>
      </c>
      <c r="X15" s="38" t="n">
        <v>1.458333333333333</v>
      </c>
      <c r="Y15" s="38" t="n">
        <v>1.458333333333333</v>
      </c>
      <c r="Z15" s="39" t="n">
        <v>1</v>
      </c>
      <c r="AA15" s="39" t="n">
        <v>1</v>
      </c>
    </row>
    <row r="16" ht="15" customHeight="1" s="19">
      <c r="A16" s="34" t="inlineStr">
        <is>
          <t>Mohamed HAMDANI</t>
        </is>
      </c>
      <c r="B16" s="25" t="n">
        <v>2025</v>
      </c>
      <c r="C16" s="25" t="n">
        <v>52</v>
      </c>
      <c r="D16" s="25">
        <f>B16&amp;"-S"&amp;TEXT(C16,"00")</f>
        <v/>
      </c>
      <c r="E16" s="34" t="inlineStr">
        <is>
          <t>CG0309v01 0710 carte authen bancaire FR</t>
        </is>
      </c>
      <c r="F16" s="25" t="inlineStr">
        <is>
          <t>word</t>
        </is>
      </c>
      <c r="G16" s="35" t="n"/>
      <c r="H16" s="25" t="inlineStr">
        <is>
          <t>Grille</t>
        </is>
      </c>
      <c r="I16" s="27" t="n">
        <v>100</v>
      </c>
      <c r="J16" s="34">
        <f>IF(I16="","À saisir",IF(I16&gt;=85,"CONFORME (≥85%)","NON CONFORME (&lt;85%)"))</f>
        <v/>
      </c>
      <c r="K16" s="25" t="n">
        <v>9</v>
      </c>
      <c r="L16" s="25" t="n">
        <v>0</v>
      </c>
      <c r="M16" s="25" t="n">
        <v>37</v>
      </c>
      <c r="N16" s="36" t="n"/>
      <c r="O16" s="36" t="n"/>
      <c r="P16" s="37" t="n">
        <v>4</v>
      </c>
      <c r="Q16" s="37" t="n">
        <v>4</v>
      </c>
      <c r="R16" s="37" t="n">
        <v>0</v>
      </c>
      <c r="S16" s="37" t="n">
        <v>0</v>
      </c>
      <c r="T16" s="37" t="n">
        <v>0</v>
      </c>
      <c r="U16" s="37" t="n">
        <v>0</v>
      </c>
      <c r="V16" s="37" t="n">
        <v>0</v>
      </c>
      <c r="W16" s="37" t="n">
        <v>0</v>
      </c>
      <c r="X16" s="38" t="n">
        <v>1.458333333333333</v>
      </c>
      <c r="Y16" s="38" t="n">
        <v>1.458333333333333</v>
      </c>
      <c r="Z16" s="39" t="n">
        <v>1</v>
      </c>
      <c r="AA16" s="39" t="n">
        <v>1</v>
      </c>
    </row>
    <row r="17" ht="15" customHeight="1" s="19">
      <c r="A17" s="34" t="inlineStr">
        <is>
          <t>Mohamed HAMDANI</t>
        </is>
      </c>
      <c r="B17" s="25" t="n">
        <v>2025</v>
      </c>
      <c r="C17" s="25" t="n">
        <v>52</v>
      </c>
      <c r="D17" s="25">
        <f>B17&amp;"-S"&amp;TEXT(C17,"00")</f>
        <v/>
      </c>
      <c r="E17" s="34" t="inlineStr">
        <is>
          <t>CG0309v01 0710 carte authen bancaire UK</t>
        </is>
      </c>
      <c r="F17" s="25" t="inlineStr">
        <is>
          <t>word</t>
        </is>
      </c>
      <c r="G17" s="35" t="n"/>
      <c r="H17" s="25" t="inlineStr">
        <is>
          <t>Grille</t>
        </is>
      </c>
      <c r="I17" s="27" t="n">
        <v>100</v>
      </c>
      <c r="J17" s="34">
        <f>IF(I17="","À saisir",IF(I17&gt;=85,"CONFORME (≥85%)","NON CONFORME (&lt;85%)"))</f>
        <v/>
      </c>
      <c r="K17" s="25" t="n">
        <v>9</v>
      </c>
      <c r="L17" s="25" t="n">
        <v>0</v>
      </c>
      <c r="M17" s="25" t="n">
        <v>37</v>
      </c>
      <c r="N17" s="36" t="n"/>
      <c r="O17" s="36" t="n"/>
      <c r="P17" s="37" t="n">
        <v>4</v>
      </c>
      <c r="Q17" s="37" t="n">
        <v>4</v>
      </c>
      <c r="R17" s="37" t="n">
        <v>0</v>
      </c>
      <c r="S17" s="37" t="n">
        <v>0</v>
      </c>
      <c r="T17" s="37" t="n">
        <v>0</v>
      </c>
      <c r="U17" s="37" t="n">
        <v>0</v>
      </c>
      <c r="V17" s="37" t="n">
        <v>0</v>
      </c>
      <c r="W17" s="37" t="n">
        <v>0</v>
      </c>
      <c r="X17" s="38" t="n">
        <v>1.458333333333333</v>
      </c>
      <c r="Y17" s="38" t="n">
        <v>1.458333333333333</v>
      </c>
      <c r="Z17" s="39" t="n">
        <v>1</v>
      </c>
      <c r="AA17" s="39" t="n">
        <v>1</v>
      </c>
    </row>
    <row r="18" ht="15" customHeight="1" s="19">
      <c r="A18" s="34" t="inlineStr">
        <is>
          <t>Hafssa BENCHRIF</t>
        </is>
      </c>
      <c r="B18" s="25" t="n">
        <v>2026</v>
      </c>
      <c r="C18" s="25" t="n">
        <v>1</v>
      </c>
      <c r="D18" s="25">
        <f>B18&amp;"-S"&amp;TEXT(C18,"00")</f>
        <v/>
      </c>
      <c r="E18" s="34" t="inlineStr">
        <is>
          <t>GR8860v08 0122 nant ass vie ss contre ass</t>
        </is>
      </c>
      <c r="F18" s="25" t="inlineStr">
        <is>
          <t>word</t>
        </is>
      </c>
      <c r="G18" s="35" t="n"/>
      <c r="H18" s="25" t="inlineStr">
        <is>
          <t>Grille</t>
        </is>
      </c>
      <c r="I18" s="27" t="n">
        <v>100</v>
      </c>
      <c r="J18" s="34">
        <f>IF(I18="","Rapport manquant",IF(I18&gt;=85,"CONFORME (≥85%)","NON CONFORME (&lt;85%)"))</f>
        <v/>
      </c>
      <c r="K18" s="25" t="n">
        <v>14</v>
      </c>
      <c r="L18" s="25" t="n">
        <v>0</v>
      </c>
      <c r="M18" s="25" t="n">
        <v>32</v>
      </c>
      <c r="N18" s="36" t="n"/>
      <c r="O18" s="36" t="n"/>
      <c r="P18" s="37" t="n">
        <v>4</v>
      </c>
      <c r="Q18" s="37" t="n">
        <v>4</v>
      </c>
      <c r="R18" s="37" t="n">
        <v>0</v>
      </c>
      <c r="S18" s="37" t="n">
        <v>0</v>
      </c>
      <c r="T18" s="37" t="n">
        <v>0</v>
      </c>
      <c r="U18" s="37" t="n">
        <v>1</v>
      </c>
      <c r="V18" s="37" t="n">
        <v>0</v>
      </c>
      <c r="W18" s="37" t="n">
        <v>0</v>
      </c>
      <c r="X18" s="38" t="n">
        <v>1.458333333333333</v>
      </c>
      <c r="Y18" s="38" t="n">
        <v>1.458333333333333</v>
      </c>
      <c r="Z18" s="39" t="n">
        <v>1</v>
      </c>
      <c r="AA18" s="39" t="n">
        <v>1</v>
      </c>
    </row>
    <row r="19" ht="15" customHeight="1" s="19">
      <c r="A19" s="34" t="inlineStr">
        <is>
          <t>Hiba LISSAOUI</t>
        </is>
      </c>
      <c r="B19" s="25" t="n">
        <v>2026</v>
      </c>
      <c r="C19" s="25" t="n">
        <v>1</v>
      </c>
      <c r="D19" s="25">
        <f>B19&amp;"-S"&amp;TEXT(C19,"00")</f>
        <v/>
      </c>
      <c r="E19" s="34" t="inlineStr">
        <is>
          <t>CG0212v02 0214 conv information conseil</t>
        </is>
      </c>
      <c r="F19" s="25" t="inlineStr">
        <is>
          <t>word</t>
        </is>
      </c>
      <c r="G19" s="35" t="n"/>
      <c r="H19" s="25" t="inlineStr">
        <is>
          <t>Grille</t>
        </is>
      </c>
      <c r="I19" s="27" t="n">
        <v>100</v>
      </c>
      <c r="J19" s="34">
        <f>IF(I19="","À saisir",IF(I19&gt;=85,"CONFORME (≥85%)","NON CONFORME (&lt;85%)"))</f>
        <v/>
      </c>
      <c r="K19" s="25" t="n">
        <v>10</v>
      </c>
      <c r="L19" s="25" t="n">
        <v>0</v>
      </c>
      <c r="M19" s="25" t="n">
        <v>36</v>
      </c>
      <c r="N19" s="36" t="n"/>
      <c r="O19" s="36" t="n"/>
      <c r="P19" s="37" t="n">
        <v>4</v>
      </c>
      <c r="Q19" s="37" t="n">
        <v>4</v>
      </c>
      <c r="R19" s="37" t="n">
        <v>0</v>
      </c>
      <c r="S19" s="37" t="n">
        <v>0</v>
      </c>
      <c r="T19" s="37" t="n">
        <v>0</v>
      </c>
      <c r="U19" s="37" t="n">
        <v>1</v>
      </c>
      <c r="V19" s="37" t="n">
        <v>0</v>
      </c>
      <c r="W19" s="37" t="n">
        <v>0</v>
      </c>
      <c r="X19" s="38" t="n">
        <v>1.458333333333333</v>
      </c>
      <c r="Y19" s="38" t="n">
        <v>1.458333333333333</v>
      </c>
      <c r="Z19" s="39" t="n">
        <v>1</v>
      </c>
      <c r="AA19" s="39" t="n">
        <v>1</v>
      </c>
    </row>
    <row r="20" ht="15" customHeight="1" s="19">
      <c r="A20" s="34" t="inlineStr">
        <is>
          <t>Imad RMAIDI</t>
        </is>
      </c>
      <c r="B20" s="25" t="n">
        <v>2026</v>
      </c>
      <c r="C20" s="25" t="n">
        <v>1</v>
      </c>
      <c r="D20" s="25">
        <f>B20&amp;"-S"&amp;TEXT(C20,"00")</f>
        <v/>
      </c>
      <c r="E20" s="34" t="inlineStr">
        <is>
          <t>CG0312 0725</t>
        </is>
      </c>
      <c r="F20" s="25" t="inlineStr">
        <is>
          <t>word</t>
        </is>
      </c>
      <c r="G20" s="35" t="n"/>
      <c r="H20" s="25" t="inlineStr">
        <is>
          <t>Grille</t>
        </is>
      </c>
      <c r="I20" s="27" t="n">
        <v>100</v>
      </c>
      <c r="J20" s="34">
        <f>IF(I20="","À saisir",IF(I20&gt;=85,"CONFORME (≥85%)","NON CONFORME (&lt;85%)"))</f>
        <v/>
      </c>
      <c r="K20" s="25" t="n">
        <v>10</v>
      </c>
      <c r="L20" s="25" t="n">
        <v>0</v>
      </c>
      <c r="M20" s="25" t="n">
        <v>36</v>
      </c>
      <c r="N20" s="36" t="n"/>
      <c r="O20" s="36" t="n"/>
      <c r="P20" s="37" t="n">
        <v>4</v>
      </c>
      <c r="Q20" s="37" t="n">
        <v>4</v>
      </c>
      <c r="R20" s="37" t="n">
        <v>0</v>
      </c>
      <c r="S20" s="37" t="n">
        <v>0</v>
      </c>
      <c r="T20" s="37" t="n">
        <v>0</v>
      </c>
      <c r="U20" s="37" t="n">
        <v>1</v>
      </c>
      <c r="V20" s="37" t="n">
        <v>0</v>
      </c>
      <c r="W20" s="37" t="n">
        <v>0</v>
      </c>
      <c r="X20" s="38" t="n">
        <v>1.458333333333333</v>
      </c>
      <c r="Y20" s="38" t="n">
        <v>1.458333333333333</v>
      </c>
      <c r="Z20" s="39" t="n">
        <v>1</v>
      </c>
      <c r="AA20" s="39" t="n">
        <v>1</v>
      </c>
    </row>
    <row r="21" ht="15" customHeight="1" s="19">
      <c r="A21" s="34" t="inlineStr">
        <is>
          <t>Mohamed HAMDANI</t>
        </is>
      </c>
      <c r="B21" s="25" t="n">
        <v>2026</v>
      </c>
      <c r="C21" s="25" t="n">
        <v>1</v>
      </c>
      <c r="D21" s="25">
        <f>B21&amp;"-S"&amp;TEXT(C21,"00")</f>
        <v/>
      </c>
      <c r="E21" s="34" t="inlineStr">
        <is>
          <t>CV0508v03 0922 TCN</t>
        </is>
      </c>
      <c r="F21" s="25" t="inlineStr">
        <is>
          <t>word</t>
        </is>
      </c>
      <c r="G21" s="35" t="n"/>
      <c r="H21" s="25" t="inlineStr">
        <is>
          <t>Grille</t>
        </is>
      </c>
      <c r="I21" s="27" t="n">
        <v>100</v>
      </c>
      <c r="J21" s="34">
        <f>IF(I21="","À saisir",IF(I21&gt;=85,"CONFORME (≥85%)","NON CONFORME (&lt;85%)"))</f>
        <v/>
      </c>
      <c r="K21" s="25" t="n">
        <v>9</v>
      </c>
      <c r="L21" s="25" t="n">
        <v>0</v>
      </c>
      <c r="M21" s="25" t="n">
        <v>37</v>
      </c>
      <c r="N21" s="36" t="n"/>
      <c r="O21" s="36" t="n"/>
      <c r="P21" s="37" t="n">
        <v>4</v>
      </c>
      <c r="Q21" s="37" t="n">
        <v>4</v>
      </c>
      <c r="R21" s="37" t="n">
        <v>0</v>
      </c>
      <c r="S21" s="37" t="n">
        <v>0</v>
      </c>
      <c r="T21" s="37" t="n">
        <v>0</v>
      </c>
      <c r="U21" s="37" t="n">
        <v>1</v>
      </c>
      <c r="V21" s="37" t="n">
        <v>0</v>
      </c>
      <c r="W21" s="37" t="n">
        <v>0</v>
      </c>
      <c r="X21" s="38" t="n">
        <v>1.458333333333333</v>
      </c>
      <c r="Y21" s="38" t="n">
        <v>1.458333333333333</v>
      </c>
      <c r="Z21" s="39" t="n">
        <v>1</v>
      </c>
      <c r="AA21" s="39" t="n">
        <v>1</v>
      </c>
    </row>
    <row r="22" ht="15" customHeight="1" s="19">
      <c r="A22" s="34" t="inlineStr">
        <is>
          <t>Hafssa BENCHRIF</t>
        </is>
      </c>
      <c r="B22" s="25" t="n">
        <v>2026</v>
      </c>
      <c r="C22" s="25" t="n">
        <v>2</v>
      </c>
      <c r="D22" s="25">
        <f>B22&amp;"-S"&amp;TEXT(C22,"00")</f>
        <v/>
      </c>
      <c r="E22" s="34" t="inlineStr">
        <is>
          <t>CG0309v01 0710 carte authen bancaire DE</t>
        </is>
      </c>
      <c r="F22" s="25" t="inlineStr">
        <is>
          <t>word</t>
        </is>
      </c>
      <c r="G22" s="35" t="n"/>
      <c r="H22" s="25" t="inlineStr">
        <is>
          <t>Grille</t>
        </is>
      </c>
      <c r="I22" s="27" t="n">
        <v>100</v>
      </c>
      <c r="J22" s="34">
        <f>IF(I22="","Rapport manquant",IF(I22&gt;=85,"CONFORME (≥85%)","NON CONFORME (&lt;85%)"))</f>
        <v/>
      </c>
      <c r="K22" s="25" t="n">
        <v>9</v>
      </c>
      <c r="L22" s="25" t="n">
        <v>0</v>
      </c>
      <c r="M22" s="25" t="n">
        <v>37</v>
      </c>
      <c r="N22" s="36" t="n"/>
      <c r="O22" s="36" t="n"/>
      <c r="P22" s="37" t="n">
        <v>4</v>
      </c>
      <c r="Q22" s="37" t="n">
        <v>4</v>
      </c>
      <c r="R22" s="37" t="n">
        <v>0</v>
      </c>
      <c r="S22" s="37" t="n">
        <v>0</v>
      </c>
      <c r="T22" s="37" t="n">
        <v>1</v>
      </c>
      <c r="U22" s="37" t="n">
        <v>0</v>
      </c>
      <c r="V22" s="37" t="n">
        <v>1</v>
      </c>
      <c r="W22" s="37" t="n">
        <v>5</v>
      </c>
      <c r="X22" s="38" t="n">
        <v>1.5</v>
      </c>
      <c r="Y22" s="38" t="n">
        <v>1.5</v>
      </c>
      <c r="Z22" s="39" t="n">
        <v>1</v>
      </c>
      <c r="AA22" s="39" t="n">
        <v>1</v>
      </c>
    </row>
    <row r="23" ht="15" customHeight="1" s="19">
      <c r="A23" s="34" t="inlineStr">
        <is>
          <t>Hiba LISSAOUI</t>
        </is>
      </c>
      <c r="B23" s="25" t="n">
        <v>2026</v>
      </c>
      <c r="C23" s="25" t="n">
        <v>2</v>
      </c>
      <c r="D23" s="25">
        <f>B23&amp;"-S"&amp;TEXT(C23,"00")</f>
        <v/>
      </c>
      <c r="E23" s="34" t="inlineStr">
        <is>
          <t>GR8903v04 1021 délég ttle capitalisation</t>
        </is>
      </c>
      <c r="F23" s="25" t="inlineStr">
        <is>
          <t>word</t>
        </is>
      </c>
      <c r="G23" s="35" t="n"/>
      <c r="H23" s="25" t="inlineStr">
        <is>
          <t>Grille</t>
        </is>
      </c>
      <c r="I23" s="27" t="n">
        <v>100</v>
      </c>
      <c r="J23" s="34">
        <f>IF(I23="","À saisir",IF(I23&gt;=85,"CONFORME (≥85%)","NON CONFORME (&lt;85%)"))</f>
        <v/>
      </c>
      <c r="K23" s="25" t="n">
        <v>16</v>
      </c>
      <c r="L23" s="25" t="n">
        <v>0</v>
      </c>
      <c r="M23" s="25" t="n">
        <v>30</v>
      </c>
      <c r="N23" s="36" t="n"/>
      <c r="O23" s="36" t="n"/>
      <c r="P23" s="37" t="n">
        <v>5</v>
      </c>
      <c r="Q23" s="37" t="n">
        <v>5</v>
      </c>
      <c r="R23" s="37" t="n">
        <v>0</v>
      </c>
      <c r="S23" s="37" t="n">
        <v>0</v>
      </c>
      <c r="T23" s="37" t="n">
        <v>0</v>
      </c>
      <c r="U23" s="37" t="n">
        <v>0</v>
      </c>
      <c r="V23" s="37" t="n">
        <v>0</v>
      </c>
      <c r="W23" s="37" t="n">
        <v>0</v>
      </c>
      <c r="X23" s="38" t="n">
        <v>1.833333333333333</v>
      </c>
      <c r="Y23" s="38" t="n">
        <v>1.833333333333333</v>
      </c>
      <c r="Z23" s="39" t="n">
        <v>1</v>
      </c>
      <c r="AA23" s="39" t="n">
        <v>1</v>
      </c>
    </row>
    <row r="24" ht="15" customHeight="1" s="19">
      <c r="A24" s="34" t="inlineStr">
        <is>
          <t>Imad RMAIDI</t>
        </is>
      </c>
      <c r="B24" s="25" t="n">
        <v>2026</v>
      </c>
      <c r="C24" s="25" t="n">
        <v>2</v>
      </c>
      <c r="D24" s="25">
        <f>B24&amp;"-S"&amp;TEXT(C24,"00")</f>
        <v/>
      </c>
      <c r="E24" s="34" t="inlineStr">
        <is>
          <t>GR8865v11 0123 gage auto</t>
        </is>
      </c>
      <c r="F24" s="25" t="inlineStr">
        <is>
          <t>word</t>
        </is>
      </c>
      <c r="G24" s="35" t="n"/>
      <c r="H24" s="25" t="inlineStr">
        <is>
          <t>Grille</t>
        </is>
      </c>
      <c r="I24" s="27" t="n">
        <v>100</v>
      </c>
      <c r="J24" s="34">
        <f>IF(I24="","À saisir",IF(I24&gt;=85,"CONFORME (≥85%)","NON CONFORME (&lt;85%)"))</f>
        <v/>
      </c>
      <c r="K24" s="25" t="n">
        <v>17</v>
      </c>
      <c r="L24" s="25" t="n">
        <v>0</v>
      </c>
      <c r="M24" s="25" t="n">
        <v>29</v>
      </c>
      <c r="N24" s="36" t="n"/>
      <c r="O24" s="36" t="n"/>
      <c r="P24" s="37" t="n">
        <v>5</v>
      </c>
      <c r="Q24" s="37" t="n">
        <v>5</v>
      </c>
      <c r="R24" s="37" t="n">
        <v>0</v>
      </c>
      <c r="S24" s="37" t="n">
        <v>0</v>
      </c>
      <c r="T24" s="37" t="n">
        <v>0</v>
      </c>
      <c r="U24" s="37" t="n">
        <v>0</v>
      </c>
      <c r="V24" s="37" t="n">
        <v>0</v>
      </c>
      <c r="W24" s="37" t="n">
        <v>0</v>
      </c>
      <c r="X24" s="38" t="n">
        <v>1.833333333333333</v>
      </c>
      <c r="Y24" s="38" t="n">
        <v>1.833333333333333</v>
      </c>
      <c r="Z24" s="39" t="n">
        <v>1</v>
      </c>
      <c r="AA24" s="39" t="n">
        <v>1</v>
      </c>
    </row>
    <row r="25" ht="15" customHeight="1" s="19">
      <c r="A25" s="34" t="inlineStr">
        <is>
          <t>Mohamed HAMDANI</t>
        </is>
      </c>
      <c r="B25" s="25" t="n">
        <v>2026</v>
      </c>
      <c r="C25" s="25" t="n">
        <v>2</v>
      </c>
      <c r="D25" s="25">
        <f>B25&amp;"-S"&amp;TEXT(C25,"00")</f>
        <v/>
      </c>
      <c r="E25" s="34" t="inlineStr">
        <is>
          <t>GR8875v09 0122 nant cpte bancaire</t>
        </is>
      </c>
      <c r="F25" s="25" t="inlineStr">
        <is>
          <t>word</t>
        </is>
      </c>
      <c r="G25" s="35" t="n"/>
      <c r="H25" s="25" t="inlineStr">
        <is>
          <t>Grille</t>
        </is>
      </c>
      <c r="I25" s="27" t="n">
        <v>100</v>
      </c>
      <c r="J25" s="34">
        <f>IF(I25="","À saisir",IF(I25&gt;=85,"CONFORME (≥85%)","NON CONFORME (&lt;85%)"))</f>
        <v/>
      </c>
      <c r="K25" s="25" t="n">
        <v>17</v>
      </c>
      <c r="L25" s="25" t="n">
        <v>0</v>
      </c>
      <c r="M25" s="25" t="n">
        <v>29</v>
      </c>
      <c r="N25" s="36" t="n"/>
      <c r="O25" s="36" t="n"/>
      <c r="P25" s="37" t="n">
        <v>5</v>
      </c>
      <c r="Q25" s="37" t="n">
        <v>5</v>
      </c>
      <c r="R25" s="37" t="n">
        <v>0</v>
      </c>
      <c r="S25" s="37" t="n">
        <v>0</v>
      </c>
      <c r="T25" s="37" t="n">
        <v>0</v>
      </c>
      <c r="U25" s="37" t="n">
        <v>0</v>
      </c>
      <c r="V25" s="37" t="n">
        <v>0</v>
      </c>
      <c r="W25" s="37" t="n">
        <v>0</v>
      </c>
      <c r="X25" s="38" t="n">
        <v>1.833333333333333</v>
      </c>
      <c r="Y25" s="38" t="n">
        <v>1.833333333333333</v>
      </c>
      <c r="Z25" s="39" t="n">
        <v>1</v>
      </c>
      <c r="AA25" s="39" t="n">
        <v>1</v>
      </c>
    </row>
    <row r="26" ht="15" customHeight="1" s="19">
      <c r="A26" s="34" t="inlineStr">
        <is>
          <t>Hafssa BENCHRIF</t>
        </is>
      </c>
      <c r="B26" s="25" t="n">
        <v>2026</v>
      </c>
      <c r="C26" s="25" t="n">
        <v>3</v>
      </c>
      <c r="D26" s="25">
        <f>B26&amp;"-S"&amp;TEXT(C26,"00")</f>
        <v/>
      </c>
      <c r="E26" s="34" t="inlineStr">
        <is>
          <t>GR8830v05 0221 prom de gage ou nant</t>
        </is>
      </c>
      <c r="F26" s="25" t="inlineStr">
        <is>
          <t>word</t>
        </is>
      </c>
      <c r="G26" s="35" t="n"/>
      <c r="H26" s="25" t="inlineStr">
        <is>
          <t>Grille</t>
        </is>
      </c>
      <c r="I26" s="27" t="n">
        <v>100</v>
      </c>
      <c r="J26" s="34">
        <f>IF(I26="","Rapport manquant",IF(I26&gt;=85,"CONFORME (≥85%)","NON CONFORME (&lt;85%)"))</f>
        <v/>
      </c>
      <c r="K26" s="25" t="n">
        <v>14</v>
      </c>
      <c r="L26" s="25" t="n">
        <v>0</v>
      </c>
      <c r="M26" s="25" t="n">
        <v>32</v>
      </c>
      <c r="N26" s="36" t="n"/>
      <c r="O26" s="36" t="n"/>
      <c r="P26" s="37" t="n">
        <v>5</v>
      </c>
      <c r="Q26" s="37" t="n">
        <v>5</v>
      </c>
      <c r="R26" s="37" t="n">
        <v>0</v>
      </c>
      <c r="S26" s="37" t="n">
        <v>0</v>
      </c>
      <c r="T26" s="37" t="n">
        <v>0</v>
      </c>
      <c r="U26" s="37" t="n">
        <v>0</v>
      </c>
      <c r="V26" s="37" t="n">
        <v>0</v>
      </c>
      <c r="W26" s="37" t="n">
        <v>0</v>
      </c>
      <c r="X26" s="38" t="n">
        <v>1.833333333333333</v>
      </c>
      <c r="Y26" s="38" t="n">
        <v>1.833333333333333</v>
      </c>
      <c r="Z26" s="39" t="n">
        <v>1</v>
      </c>
      <c r="AA26" s="39" t="n">
        <v>1</v>
      </c>
    </row>
    <row r="27" ht="15" customHeight="1" s="19">
      <c r="A27" s="34" t="inlineStr">
        <is>
          <t>Hiba LISSAOUI</t>
        </is>
      </c>
      <c r="B27" s="25" t="n">
        <v>2026</v>
      </c>
      <c r="C27" s="25" t="n">
        <v>3</v>
      </c>
      <c r="D27" s="25">
        <f>B27&amp;"-S"&amp;TEXT(C27,"00")</f>
        <v/>
      </c>
      <c r="E27" s="34" t="inlineStr">
        <is>
          <t>CG0103v17 0323 MCD</t>
        </is>
      </c>
      <c r="F27" s="25" t="inlineStr">
        <is>
          <t>word</t>
        </is>
      </c>
      <c r="G27" s="35" t="n"/>
      <c r="H27" s="25" t="inlineStr">
        <is>
          <t>Grille</t>
        </is>
      </c>
      <c r="I27" s="27" t="n">
        <v>100</v>
      </c>
      <c r="J27" s="34">
        <f>IF(I27="","À saisir",IF(I27&gt;=85,"CONFORME (≥85%)","NON CONFORME (&lt;85%)"))</f>
        <v/>
      </c>
      <c r="K27" s="25" t="n">
        <v>10</v>
      </c>
      <c r="L27" s="25" t="n">
        <v>0</v>
      </c>
      <c r="M27" s="25" t="n">
        <v>36</v>
      </c>
      <c r="N27" s="36" t="n"/>
      <c r="O27" s="36" t="n"/>
      <c r="P27" s="37" t="n">
        <v>5</v>
      </c>
      <c r="Q27" s="37" t="n">
        <v>5</v>
      </c>
      <c r="R27" s="37" t="n">
        <v>0</v>
      </c>
      <c r="S27" s="37" t="n">
        <v>0</v>
      </c>
      <c r="T27" s="37" t="n">
        <v>0</v>
      </c>
      <c r="U27" s="37" t="n">
        <v>0</v>
      </c>
      <c r="V27" s="37" t="n">
        <v>1</v>
      </c>
      <c r="W27" s="37" t="n">
        <v>83</v>
      </c>
      <c r="X27" s="38" t="n">
        <v>1.833333333333333</v>
      </c>
      <c r="Y27" s="38" t="n">
        <v>1.833333333333333</v>
      </c>
      <c r="Z27" s="39" t="n">
        <v>1</v>
      </c>
      <c r="AA27" s="39" t="n">
        <v>1</v>
      </c>
    </row>
    <row r="28" ht="15" customHeight="1" s="19">
      <c r="A28" s="34" t="inlineStr">
        <is>
          <t>Imad RMAIDI</t>
        </is>
      </c>
      <c r="B28" s="25" t="n">
        <v>2026</v>
      </c>
      <c r="C28" s="25" t="n">
        <v>3</v>
      </c>
      <c r="D28" s="25">
        <f>B28&amp;"-S"&amp;TEXT(C28,"00")</f>
        <v/>
      </c>
      <c r="E28" s="34" t="inlineStr">
        <is>
          <t>CI0433v06 0312 Stage prévention</t>
        </is>
      </c>
      <c r="F28" s="25" t="inlineStr">
        <is>
          <t>word</t>
        </is>
      </c>
      <c r="G28" s="35" t="n"/>
      <c r="H28" s="25" t="inlineStr">
        <is>
          <t>Grille</t>
        </is>
      </c>
      <c r="I28" s="27" t="n">
        <v>100</v>
      </c>
      <c r="J28" s="34">
        <f>IF(I28="","À saisir",IF(I28&gt;=85,"CONFORME (≥85%)","NON CONFORME (&lt;85%)"))</f>
        <v/>
      </c>
      <c r="K28" s="25" t="n">
        <v>17</v>
      </c>
      <c r="L28" s="25" t="n">
        <v>0</v>
      </c>
      <c r="M28" s="25" t="n">
        <v>29</v>
      </c>
      <c r="N28" s="36" t="n"/>
      <c r="O28" s="36" t="n"/>
      <c r="P28" s="37" t="n">
        <v>5</v>
      </c>
      <c r="Q28" s="37" t="n">
        <v>5</v>
      </c>
      <c r="R28" s="37" t="n">
        <v>0</v>
      </c>
      <c r="S28" s="37" t="n">
        <v>0</v>
      </c>
      <c r="T28" s="37" t="n">
        <v>0</v>
      </c>
      <c r="U28" s="37" t="n">
        <v>0</v>
      </c>
      <c r="V28" s="37" t="n">
        <v>0</v>
      </c>
      <c r="W28" s="37" t="n">
        <v>0</v>
      </c>
      <c r="X28" s="38" t="n">
        <v>1.833333333333333</v>
      </c>
      <c r="Y28" s="38" t="n">
        <v>1.833333333333333</v>
      </c>
      <c r="Z28" s="39" t="n">
        <v>1</v>
      </c>
      <c r="AA28" s="39" t="n">
        <v>1</v>
      </c>
    </row>
    <row r="29" ht="15" customHeight="1" s="19">
      <c r="A29" s="34" t="inlineStr">
        <is>
          <t>Mohamed HAMDANI</t>
        </is>
      </c>
      <c r="B29" s="25" t="n">
        <v>2026</v>
      </c>
      <c r="C29" s="25" t="n">
        <v>3</v>
      </c>
      <c r="D29" s="25">
        <f>B29&amp;"-S"&amp;TEXT(C29,"00")</f>
        <v/>
      </c>
      <c r="E29" s="34" t="inlineStr">
        <is>
          <t>GR8866v04 0123 bord gage auto</t>
        </is>
      </c>
      <c r="F29" s="25" t="inlineStr">
        <is>
          <t>word</t>
        </is>
      </c>
      <c r="G29" s="35" t="n"/>
      <c r="H29" s="25" t="inlineStr">
        <is>
          <t>Grille</t>
        </is>
      </c>
      <c r="I29" s="27" t="n">
        <v>100</v>
      </c>
      <c r="J29" s="34">
        <f>IF(I29="","À saisir",IF(I29&gt;=85,"CONFORME (≥85%)","NON CONFORME (&lt;85%)"))</f>
        <v/>
      </c>
      <c r="K29" s="25" t="n">
        <v>15</v>
      </c>
      <c r="L29" s="25" t="n">
        <v>0</v>
      </c>
      <c r="M29" s="25" t="n">
        <v>31</v>
      </c>
      <c r="N29" s="36" t="n"/>
      <c r="O29" s="36" t="n"/>
      <c r="P29" s="37" t="n">
        <v>5</v>
      </c>
      <c r="Q29" s="37" t="n">
        <v>5</v>
      </c>
      <c r="R29" s="37" t="n">
        <v>0</v>
      </c>
      <c r="S29" s="37" t="n">
        <v>0</v>
      </c>
      <c r="T29" s="37" t="n">
        <v>0</v>
      </c>
      <c r="U29" s="37" t="n">
        <v>0</v>
      </c>
      <c r="V29" s="37" t="n">
        <v>0</v>
      </c>
      <c r="W29" s="37" t="n">
        <v>0</v>
      </c>
      <c r="X29" s="38" t="n">
        <v>1.833333333333333</v>
      </c>
      <c r="Y29" s="38" t="n">
        <v>1.833333333333333</v>
      </c>
      <c r="Z29" s="39" t="n">
        <v>1</v>
      </c>
      <c r="AA29" s="39" t="n">
        <v>1</v>
      </c>
    </row>
    <row r="30" ht="15" customHeight="1" s="19">
      <c r="A30" s="34" t="inlineStr">
        <is>
          <t>Hafssa BENCHRIF</t>
        </is>
      </c>
      <c r="B30" s="25" t="n">
        <v>2026</v>
      </c>
      <c r="C30" s="25" t="n">
        <v>4</v>
      </c>
      <c r="D30" s="25">
        <f>B30&amp;"-S"&amp;TEXT(C30,"00")</f>
        <v/>
      </c>
      <c r="E30" s="34" t="inlineStr">
        <is>
          <t>GR8847v03 0122 nant CTF conv</t>
        </is>
      </c>
      <c r="F30" s="25" t="inlineStr">
        <is>
          <t>word</t>
        </is>
      </c>
      <c r="G30" s="35" t="n"/>
      <c r="H30" s="25" t="inlineStr">
        <is>
          <t>Grille</t>
        </is>
      </c>
      <c r="I30" s="27" t="n">
        <v>100</v>
      </c>
      <c r="J30" s="34">
        <f>IF(I30="","Rapport manquant",IF(I30&gt;=85,"CONFORME (≥85%)","NON CONFORME (&lt;85%)"))</f>
        <v/>
      </c>
      <c r="K30" s="25" t="n">
        <v>15</v>
      </c>
      <c r="L30" s="25" t="n">
        <v>0</v>
      </c>
      <c r="M30" s="25" t="n">
        <v>31</v>
      </c>
      <c r="N30" s="36" t="n"/>
      <c r="O30" s="36" t="n"/>
      <c r="P30" s="37" t="n">
        <v>3</v>
      </c>
      <c r="Q30" s="37" t="n">
        <v>2</v>
      </c>
      <c r="R30" s="37" t="n">
        <v>1</v>
      </c>
      <c r="S30" s="37" t="n">
        <v>0</v>
      </c>
      <c r="T30" s="37" t="n">
        <v>0</v>
      </c>
      <c r="U30" s="37" t="n">
        <v>0</v>
      </c>
      <c r="V30" s="37" t="n">
        <v>0</v>
      </c>
      <c r="W30" s="37" t="n">
        <v>0</v>
      </c>
      <c r="X30" s="38" t="n">
        <v>1.083333333333333</v>
      </c>
      <c r="Y30" s="38" t="n">
        <v>0.7083333333333334</v>
      </c>
      <c r="Z30" s="39" t="n">
        <v>0.666666666666667</v>
      </c>
      <c r="AA30" s="39" t="n">
        <v>0.653846153846154</v>
      </c>
    </row>
    <row r="31" ht="23.85" customHeight="1" s="19">
      <c r="A31" s="34" t="inlineStr">
        <is>
          <t>Hiba LISSAOUI</t>
        </is>
      </c>
      <c r="B31" s="25" t="n">
        <v>2026</v>
      </c>
      <c r="C31" s="25" t="n">
        <v>4</v>
      </c>
      <c r="D31" s="25">
        <f>B31&amp;"-S"&amp;TEXT(C31,"00")</f>
        <v/>
      </c>
      <c r="E31" s="34" t="inlineStr">
        <is>
          <t>GR8845v11 0122 nant CTF</t>
        </is>
      </c>
      <c r="F31" s="25" t="inlineStr">
        <is>
          <t>word</t>
        </is>
      </c>
      <c r="G31" s="35" t="n"/>
      <c r="H31" s="25" t="inlineStr">
        <is>
          <t>Grille</t>
        </is>
      </c>
      <c r="I31" s="27" t="n">
        <v>98</v>
      </c>
      <c r="J31" s="34">
        <f>IF(I31="","À saisir",IF(I31&gt;=85,"CONFORME (≥85%)","NON CONFORME (&lt;85%)"))</f>
        <v/>
      </c>
      <c r="K31" s="25" t="n">
        <v>16</v>
      </c>
      <c r="L31" s="25" t="n">
        <v>1</v>
      </c>
      <c r="M31" s="25" t="n">
        <v>29</v>
      </c>
      <c r="N31" s="36" t="inlineStr">
        <is>
          <t>3.4 – Pour chaque tableau de présentation, le contenu linéarisé reste-t-il compréhensible ?</t>
        </is>
      </c>
      <c r="O31" s="36" t="inlineStr">
        <is>
          <t>Debrief de l’agent pour le sensibiliser à l’importance d’être vigilant sur le traitement, puis exercice pratique avec l’ensemble de l’équipe.</t>
        </is>
      </c>
      <c r="P31" s="37" t="n">
        <v>3</v>
      </c>
      <c r="Q31" s="37" t="n">
        <v>3</v>
      </c>
      <c r="R31" s="37" t="n">
        <v>0</v>
      </c>
      <c r="S31" s="37" t="n">
        <v>0</v>
      </c>
      <c r="T31" s="37" t="n">
        <v>0</v>
      </c>
      <c r="U31" s="37" t="n">
        <v>0</v>
      </c>
      <c r="V31" s="37" t="n">
        <v>0</v>
      </c>
      <c r="W31" s="37" t="n">
        <v>0</v>
      </c>
      <c r="X31" s="38" t="n">
        <v>1.083333333333333</v>
      </c>
      <c r="Y31" s="38" t="n">
        <v>1.083333333333333</v>
      </c>
      <c r="Z31" s="39" t="n">
        <v>1</v>
      </c>
      <c r="AA31" s="39" t="n">
        <v>1</v>
      </c>
    </row>
    <row r="32" ht="15" customHeight="1" s="19">
      <c r="A32" s="34" t="inlineStr">
        <is>
          <t>Imad RMAIDI</t>
        </is>
      </c>
      <c r="B32" s="25" t="n">
        <v>2026</v>
      </c>
      <c r="C32" s="25" t="n">
        <v>4</v>
      </c>
      <c r="D32" s="25">
        <f>B32&amp;"-S"&amp;TEXT(C32,"00")</f>
        <v/>
      </c>
      <c r="E32" s="34" t="inlineStr">
        <is>
          <t>CM0459v03 1015 CG Tonic Privilege DE</t>
        </is>
      </c>
      <c r="F32" s="25" t="inlineStr">
        <is>
          <t>word</t>
        </is>
      </c>
      <c r="G32" s="35" t="n"/>
      <c r="H32" s="25" t="inlineStr">
        <is>
          <t>Grille</t>
        </is>
      </c>
      <c r="I32" s="27" t="n">
        <v>100</v>
      </c>
      <c r="J32" s="34">
        <f>IF(I32="","À saisir",IF(I32&gt;=85,"CONFORME (≥85%)","NON CONFORME (&lt;85%)"))</f>
        <v/>
      </c>
      <c r="K32" s="25" t="n">
        <v>17</v>
      </c>
      <c r="L32" s="25" t="n">
        <v>0</v>
      </c>
      <c r="M32" s="25" t="n">
        <v>29</v>
      </c>
      <c r="N32" s="36" t="n"/>
      <c r="O32" s="36" t="n"/>
      <c r="P32" s="37" t="n">
        <v>3</v>
      </c>
      <c r="Q32" s="37" t="n">
        <v>3</v>
      </c>
      <c r="R32" s="37" t="n">
        <v>0</v>
      </c>
      <c r="S32" s="37" t="n">
        <v>0</v>
      </c>
      <c r="T32" s="37" t="n">
        <v>0</v>
      </c>
      <c r="U32" s="37" t="n">
        <v>0</v>
      </c>
      <c r="V32" s="37" t="n">
        <v>0</v>
      </c>
      <c r="W32" s="37" t="n">
        <v>0</v>
      </c>
      <c r="X32" s="38" t="n">
        <v>1.083333333333333</v>
      </c>
      <c r="Y32" s="38" t="n">
        <v>1.083333333333333</v>
      </c>
      <c r="Z32" s="39" t="n">
        <v>1</v>
      </c>
      <c r="AA32" s="39" t="n">
        <v>1</v>
      </c>
    </row>
    <row r="33" ht="15" customHeight="1" s="19">
      <c r="A33" s="34" t="inlineStr">
        <is>
          <t>Mohamed HAMDANI</t>
        </is>
      </c>
      <c r="B33" s="25" t="n">
        <v>2026</v>
      </c>
      <c r="C33" s="25" t="n">
        <v>4</v>
      </c>
      <c r="D33" s="25">
        <f>B33&amp;"-S"&amp;TEXT(C33,"00")</f>
        <v/>
      </c>
      <c r="E33" s="34" t="inlineStr">
        <is>
          <t>CI0464v07 1122 CG livret A Prem_s DE</t>
        </is>
      </c>
      <c r="F33" s="25" t="inlineStr">
        <is>
          <t>word</t>
        </is>
      </c>
      <c r="G33" s="35" t="n"/>
      <c r="H33" s="25" t="inlineStr">
        <is>
          <t>Grille</t>
        </is>
      </c>
      <c r="I33" s="27" t="n">
        <v>100</v>
      </c>
      <c r="J33" s="34">
        <f>IF(I33="","À saisir",IF(I33&gt;=85,"CONFORME (≥85%)","NON CONFORME (&lt;85%)"))</f>
        <v/>
      </c>
      <c r="K33" s="25" t="n">
        <v>10</v>
      </c>
      <c r="L33" s="25" t="n">
        <v>0</v>
      </c>
      <c r="M33" s="25" t="n">
        <v>36</v>
      </c>
      <c r="N33" s="36" t="n"/>
      <c r="O33" s="36" t="n"/>
      <c r="P33" s="37" t="n">
        <v>3</v>
      </c>
      <c r="Q33" s="37" t="n">
        <v>3</v>
      </c>
      <c r="R33" s="37" t="n">
        <v>0</v>
      </c>
      <c r="S33" s="37" t="n">
        <v>0</v>
      </c>
      <c r="T33" s="37" t="n">
        <v>0</v>
      </c>
      <c r="U33" s="37" t="n">
        <v>0</v>
      </c>
      <c r="V33" s="37" t="n">
        <v>1</v>
      </c>
      <c r="W33" s="37" t="n">
        <v>12</v>
      </c>
      <c r="X33" s="38" t="n">
        <v>1.083333333333333</v>
      </c>
      <c r="Y33" s="38" t="n">
        <v>1.083333333333333</v>
      </c>
      <c r="Z33" s="39" t="n">
        <v>1</v>
      </c>
      <c r="AA33" s="39" t="n">
        <v>1</v>
      </c>
    </row>
    <row r="34" ht="15" customHeight="1" s="19">
      <c r="A34" s="34" t="inlineStr">
        <is>
          <t>Hafssa BENCHRIF</t>
        </is>
      </c>
      <c r="B34" s="25" t="n">
        <v>2026</v>
      </c>
      <c r="C34" s="25" t="n">
        <v>5</v>
      </c>
      <c r="D34" s="25">
        <f>B34&amp;"-S"&amp;TEXT(C34,"00")</f>
        <v/>
      </c>
      <c r="E34" s="34" t="inlineStr">
        <is>
          <t>CG0552v01 0620 AAD</t>
        </is>
      </c>
      <c r="F34" s="25" t="inlineStr">
        <is>
          <t>word</t>
        </is>
      </c>
      <c r="G34" s="35" t="n"/>
      <c r="H34" s="25" t="inlineStr">
        <is>
          <t>Grille</t>
        </is>
      </c>
      <c r="I34" s="27" t="n">
        <v>100</v>
      </c>
      <c r="J34" s="34">
        <f>IF(I34="","Rapport manquant",IF(I34&gt;=85,"CONFORME (≥85%)","NON CONFORME (&lt;85%)"))</f>
        <v/>
      </c>
      <c r="K34" s="25" t="n">
        <v>10</v>
      </c>
      <c r="L34" s="25" t="n">
        <v>0</v>
      </c>
      <c r="M34" s="25" t="n">
        <v>36</v>
      </c>
      <c r="N34" s="36" t="n"/>
      <c r="O34" s="36" t="n"/>
      <c r="P34" s="37" t="n">
        <v>5</v>
      </c>
      <c r="Q34" s="37" t="n">
        <v>5</v>
      </c>
      <c r="R34" s="37" t="n">
        <v>0</v>
      </c>
      <c r="S34" s="37" t="n">
        <v>0</v>
      </c>
      <c r="T34" s="37" t="n">
        <v>0</v>
      </c>
      <c r="U34" s="37" t="n">
        <v>0</v>
      </c>
      <c r="V34" s="37" t="n">
        <v>0</v>
      </c>
      <c r="W34" s="37" t="n">
        <v>0</v>
      </c>
      <c r="X34" s="38" t="n">
        <v>1.833333333333333</v>
      </c>
      <c r="Y34" s="38" t="n">
        <v>1.833333333333333</v>
      </c>
      <c r="Z34" s="39" t="n">
        <v>1</v>
      </c>
      <c r="AA34" s="39" t="n">
        <v>1</v>
      </c>
    </row>
    <row r="35" ht="15" customHeight="1" s="19">
      <c r="A35" s="34" t="inlineStr">
        <is>
          <t>Hafssa BENCHRIF</t>
        </is>
      </c>
      <c r="B35" s="25" t="n">
        <v>2026</v>
      </c>
      <c r="C35" s="25" t="n">
        <v>8</v>
      </c>
      <c r="D35" s="25">
        <f>B35&amp;"-S"&amp;TEXT(C35,"00")</f>
        <v/>
      </c>
      <c r="E35" s="34" t="inlineStr">
        <is>
          <t>COL_9902030098_011000733309323</t>
        </is>
      </c>
      <c r="F35" s="25" t="inlineStr">
        <is>
          <t>pdf</t>
        </is>
      </c>
      <c r="G35" s="35" t="n">
        <v>46073</v>
      </c>
      <c r="H35" s="25" t="inlineStr">
        <is>
          <t>RAPDF</t>
        </is>
      </c>
      <c r="I35" s="27" t="n">
        <v>100</v>
      </c>
      <c r="J35" s="34">
        <f>IF(I35="","Rapport manquant",IF(I35&gt;=85,"CONFORME (≥85%)","NON CONFORME (&lt;85%)"))</f>
        <v/>
      </c>
      <c r="K35" s="25" t="n">
        <v>15</v>
      </c>
      <c r="L35" s="25" t="n">
        <v>0</v>
      </c>
      <c r="M35" s="25" t="n">
        <v>31</v>
      </c>
      <c r="N35" s="36" t="n"/>
      <c r="O35" s="36" t="n"/>
      <c r="P35" s="37" t="n">
        <v>0</v>
      </c>
      <c r="Q35" s="37" t="n">
        <v>0</v>
      </c>
      <c r="R35" s="37" t="n">
        <v>0</v>
      </c>
      <c r="S35" s="37" t="n">
        <v>0</v>
      </c>
      <c r="T35" s="37" t="n">
        <v>0</v>
      </c>
      <c r="U35" s="37" t="n">
        <v>0</v>
      </c>
      <c r="V35" s="37" t="n">
        <v>0</v>
      </c>
      <c r="W35" s="37" t="n">
        <v>0</v>
      </c>
      <c r="X35" s="38" t="n">
        <v>0</v>
      </c>
      <c r="Y35" s="38" t="n">
        <v>0</v>
      </c>
      <c r="Z35" s="39" t="n"/>
      <c r="AA35" s="39" t="n"/>
    </row>
    <row r="36" ht="57.45" customHeight="1" s="19">
      <c r="A36" s="34" t="inlineStr">
        <is>
          <t>Hiba LISSAOUI</t>
        </is>
      </c>
      <c r="B36" s="25" t="n">
        <v>2026</v>
      </c>
      <c r="C36" s="25" t="n">
        <v>8</v>
      </c>
      <c r="D36" s="25">
        <f>B36&amp;"-S"&amp;TEXT(C36,"00")</f>
        <v/>
      </c>
      <c r="E36" s="34" t="inlineStr">
        <is>
          <t>EMP_9902030152_011000758125238</t>
        </is>
      </c>
      <c r="F36" s="25" t="inlineStr">
        <is>
          <t>pdf</t>
        </is>
      </c>
      <c r="G36" s="35" t="n">
        <v>46073</v>
      </c>
      <c r="H36" s="25" t="inlineStr">
        <is>
          <t>RAPDF</t>
        </is>
      </c>
      <c r="I36" s="27" t="n">
        <v>87.5</v>
      </c>
      <c r="J36" s="34">
        <f>IF(I36="","À saisir",IF(I36&gt;=85,"CONFORME (≥85%)","NON CONFORME (&lt;85%)"))</f>
        <v/>
      </c>
      <c r="K36" s="25" t="n">
        <v>14</v>
      </c>
      <c r="L36" s="25" t="n">
        <v>2</v>
      </c>
      <c r="M36" s="25" t="n">
        <v>30</v>
      </c>
      <c r="N36" s="36" t="inlineStr">
        <is>
          <t>3.1 – Chaque tableau de données complexe a-t-il une alternative ? (le tableau a une alternative "voir texte en bas")
3.2 – Pour chaque tableau de données complexe ayant une alternative, cette alternative est-elle pertinente ? (le texte sous le tableau)</t>
        </is>
      </c>
      <c r="O36" s="36" t="inlineStr">
        <is>
          <t>Debrief de l’agent pour le sensibiliser à l’importance d’être vigilant sur le traitement, puis exercice pratique avec l’ensemble de l’équipe.</t>
        </is>
      </c>
      <c r="P36" s="37" t="n">
        <v>0</v>
      </c>
      <c r="Q36" s="37" t="n">
        <v>0</v>
      </c>
      <c r="R36" s="37" t="n">
        <v>0</v>
      </c>
      <c r="S36" s="37" t="n">
        <v>0</v>
      </c>
      <c r="T36" s="37" t="n">
        <v>0</v>
      </c>
      <c r="U36" s="37" t="n">
        <v>0</v>
      </c>
      <c r="V36" s="37" t="n">
        <v>0</v>
      </c>
      <c r="W36" s="37" t="n">
        <v>0</v>
      </c>
      <c r="X36" s="38" t="n">
        <v>0</v>
      </c>
      <c r="Y36" s="38" t="n">
        <v>0</v>
      </c>
      <c r="Z36" s="39" t="n"/>
      <c r="AA36" s="39" t="n"/>
    </row>
    <row r="37" ht="15" customHeight="1" s="19">
      <c r="A37" s="34" t="inlineStr">
        <is>
          <t>Imad RMAIDI</t>
        </is>
      </c>
      <c r="B37" s="25" t="n">
        <v>2026</v>
      </c>
      <c r="C37" s="25" t="n">
        <v>8</v>
      </c>
      <c r="D37" s="25">
        <f>B37&amp;"-S"&amp;TEXT(C37,"00")</f>
        <v/>
      </c>
      <c r="E37" s="34" t="inlineStr">
        <is>
          <t>SAN_9902030040_011000804912506</t>
        </is>
      </c>
      <c r="F37" s="25" t="inlineStr">
        <is>
          <t>pdf</t>
        </is>
      </c>
      <c r="G37" s="35" t="n">
        <v>46073</v>
      </c>
      <c r="H37" s="25" t="inlineStr">
        <is>
          <t>RAPDF</t>
        </is>
      </c>
      <c r="I37" s="27" t="n">
        <v>100</v>
      </c>
      <c r="J37" s="34">
        <f>IF(I37="","À saisir",IF(I37&gt;=85,"CONFORME (≥85%)","NON CONFORME (&lt;85%)"))</f>
        <v/>
      </c>
      <c r="K37" s="25" t="n">
        <v>12</v>
      </c>
      <c r="L37" s="25" t="n">
        <v>0</v>
      </c>
      <c r="M37" s="25" t="n">
        <v>28</v>
      </c>
      <c r="N37" s="36" t="n"/>
      <c r="O37" s="36" t="n"/>
      <c r="P37" s="37" t="n">
        <v>0</v>
      </c>
      <c r="Q37" s="37" t="n">
        <v>0</v>
      </c>
      <c r="R37" s="37" t="n">
        <v>0</v>
      </c>
      <c r="S37" s="37" t="n">
        <v>0</v>
      </c>
      <c r="T37" s="37" t="n">
        <v>0</v>
      </c>
      <c r="U37" s="37" t="n">
        <v>0</v>
      </c>
      <c r="V37" s="37" t="n">
        <v>0</v>
      </c>
      <c r="W37" s="37" t="n">
        <v>0</v>
      </c>
      <c r="X37" s="38" t="n">
        <v>0</v>
      </c>
      <c r="Y37" s="38" t="n">
        <v>0</v>
      </c>
      <c r="Z37" s="39" t="n"/>
      <c r="AA37" s="39" t="n"/>
    </row>
    <row r="38" ht="15" customHeight="1" s="19">
      <c r="A38" s="34" t="inlineStr">
        <is>
          <t>Mohamed HAMDANI</t>
        </is>
      </c>
      <c r="B38" s="25" t="n">
        <v>2026</v>
      </c>
      <c r="C38" s="25" t="n">
        <v>8</v>
      </c>
      <c r="D38" s="25">
        <f>B38&amp;"-S"&amp;TEXT(C38,"00")</f>
        <v/>
      </c>
      <c r="E38" s="34" t="inlineStr">
        <is>
          <t>SAN_9902030040_011000804912412</t>
        </is>
      </c>
      <c r="F38" s="25" t="inlineStr">
        <is>
          <t>pdf</t>
        </is>
      </c>
      <c r="G38" s="35" t="n">
        <v>46073</v>
      </c>
      <c r="H38" s="25" t="inlineStr">
        <is>
          <t>RAPDF</t>
        </is>
      </c>
      <c r="I38" s="27" t="n">
        <v>100</v>
      </c>
      <c r="J38" s="34">
        <f>IF(I38="","À saisir",IF(I38&gt;=85,"CONFORME (≥85%)","NON CONFORME (&lt;85%)"))</f>
        <v/>
      </c>
      <c r="K38" s="25" t="n">
        <v>12</v>
      </c>
      <c r="L38" s="25" t="n">
        <v>0</v>
      </c>
      <c r="M38" s="25" t="n">
        <v>34</v>
      </c>
      <c r="N38" s="36" t="n"/>
      <c r="O38" s="36" t="n"/>
      <c r="P38" s="37" t="n">
        <v>0</v>
      </c>
      <c r="Q38" s="37" t="n">
        <v>0</v>
      </c>
      <c r="R38" s="37" t="n">
        <v>0</v>
      </c>
      <c r="S38" s="37" t="n">
        <v>0</v>
      </c>
      <c r="T38" s="37" t="n">
        <v>0</v>
      </c>
      <c r="U38" s="37" t="n">
        <v>0</v>
      </c>
      <c r="V38" s="37" t="n">
        <v>0</v>
      </c>
      <c r="W38" s="37" t="n">
        <v>0</v>
      </c>
      <c r="X38" s="38" t="n">
        <v>0</v>
      </c>
      <c r="Y38" s="38" t="n">
        <v>0</v>
      </c>
      <c r="Z38" s="39" t="n"/>
      <c r="AA38" s="39" t="n"/>
    </row>
    <row r="39" ht="15" customHeight="1" s="19">
      <c r="A39" s="34" t="inlineStr">
        <is>
          <t>Hafssa BENCHRIF</t>
        </is>
      </c>
      <c r="B39" s="25" t="n">
        <v>2026</v>
      </c>
      <c r="C39" s="25" t="n">
        <v>9</v>
      </c>
      <c r="D39" s="25">
        <f>B39&amp;"-S"&amp;TEXT(C39,"00")</f>
        <v/>
      </c>
      <c r="E39" s="34" t="inlineStr">
        <is>
          <t>COL_9902030098_011000744004221</t>
        </is>
      </c>
      <c r="F39" s="25" t="inlineStr">
        <is>
          <t>pdf</t>
        </is>
      </c>
      <c r="G39" s="35" t="n">
        <v>46077</v>
      </c>
      <c r="H39" s="25" t="inlineStr">
        <is>
          <t>RAPDF</t>
        </is>
      </c>
      <c r="I39" s="27" t="n">
        <v>100</v>
      </c>
      <c r="J39" s="34">
        <f>IF(I39="","Rapport manquant",IF(I39&gt;=85,"CONFORME (≥85%)","NON CONFORME (&lt;85%)"))</f>
        <v/>
      </c>
      <c r="K39" s="25" t="n">
        <v>15</v>
      </c>
      <c r="L39" s="25" t="n">
        <v>0</v>
      </c>
      <c r="M39" s="25" t="n">
        <v>31</v>
      </c>
      <c r="N39" s="36" t="n"/>
      <c r="O39" s="36" t="n"/>
      <c r="P39" s="37" t="n">
        <v>5</v>
      </c>
      <c r="Q39" s="37" t="n">
        <v>5</v>
      </c>
      <c r="R39" s="37" t="n">
        <v>0</v>
      </c>
      <c r="S39" s="37" t="n">
        <v>0</v>
      </c>
      <c r="T39" s="37" t="n">
        <v>0</v>
      </c>
      <c r="U39" s="37" t="n">
        <v>0</v>
      </c>
      <c r="V39" s="37" t="n">
        <v>0</v>
      </c>
      <c r="W39" s="37" t="n">
        <v>0</v>
      </c>
      <c r="X39" s="38" t="n">
        <v>1.833333333333333</v>
      </c>
      <c r="Y39" s="38" t="n">
        <v>1.833333333333333</v>
      </c>
      <c r="Z39" s="39" t="n">
        <v>1</v>
      </c>
      <c r="AA39" s="39" t="n">
        <v>1</v>
      </c>
    </row>
    <row r="40" ht="35.05" customHeight="1" s="19">
      <c r="A40" s="34" t="inlineStr">
        <is>
          <t>Hiba LISSAOUI</t>
        </is>
      </c>
      <c r="B40" s="25" t="n">
        <v>2026</v>
      </c>
      <c r="C40" s="25" t="n">
        <v>9</v>
      </c>
      <c r="D40" s="25">
        <f>B40&amp;"-S"&amp;TEXT(C40,"00")</f>
        <v/>
      </c>
      <c r="E40" s="34" t="inlineStr">
        <is>
          <t>EMP_9902030152_011000767923078</t>
        </is>
      </c>
      <c r="F40" s="25" t="inlineStr">
        <is>
          <t>pdf</t>
        </is>
      </c>
      <c r="G40" s="35" t="n">
        <v>46078</v>
      </c>
      <c r="H40" s="25" t="inlineStr">
        <is>
          <t>RAPDF</t>
        </is>
      </c>
      <c r="I40" s="27" t="n">
        <v>100</v>
      </c>
      <c r="J40" s="34">
        <f>IF(I40="","À saisir",IF(I40&gt;=85,"CONFORME (≥85%)","NON CONFORME (&lt;85%)"))</f>
        <v/>
      </c>
      <c r="K40" s="25" t="n">
        <v>14</v>
      </c>
      <c r="L40" s="25" t="n">
        <v>0</v>
      </c>
      <c r="M40" s="25" t="n">
        <v>30</v>
      </c>
      <c r="N40" s="36" t="inlineStr">
        <is>
          <t>3.1 – Chaque tableau de données complexe a-t-il une alternative ?
3.2 – Pour chaque tableau de données complexe ayant une alternative, cette alternative est-elle pertinente ?</t>
        </is>
      </c>
      <c r="O40" s="36" t="n"/>
      <c r="P40" s="37" t="n">
        <v>5</v>
      </c>
      <c r="Q40" s="37" t="n">
        <v>5</v>
      </c>
      <c r="R40" s="37" t="n">
        <v>0</v>
      </c>
      <c r="S40" s="37" t="n">
        <v>0</v>
      </c>
      <c r="T40" s="37" t="n">
        <v>0</v>
      </c>
      <c r="U40" s="37" t="n">
        <v>0</v>
      </c>
      <c r="V40" s="37" t="n">
        <v>0</v>
      </c>
      <c r="W40" s="37" t="n">
        <v>0</v>
      </c>
      <c r="X40" s="38" t="n">
        <v>1.833333333333333</v>
      </c>
      <c r="Y40" s="38" t="n">
        <v>1.833333333333333</v>
      </c>
      <c r="Z40" s="39" t="n">
        <v>1</v>
      </c>
      <c r="AA40" s="39" t="n">
        <v>1</v>
      </c>
    </row>
    <row r="41" ht="15" customHeight="1" s="19">
      <c r="A41" s="34" t="inlineStr">
        <is>
          <t>Imad RMAIDI</t>
        </is>
      </c>
      <c r="B41" s="25" t="n">
        <v>2026</v>
      </c>
      <c r="C41" s="25" t="n">
        <v>9</v>
      </c>
      <c r="D41" s="25">
        <f>B41&amp;"-S"&amp;TEXT(C41,"00")</f>
        <v/>
      </c>
      <c r="E41" s="34" t="inlineStr">
        <is>
          <t>SAN_9902030040_011000804912294</t>
        </is>
      </c>
      <c r="F41" s="25" t="inlineStr">
        <is>
          <t>pdf</t>
        </is>
      </c>
      <c r="G41" s="35" t="n">
        <v>46076</v>
      </c>
      <c r="H41" s="25" t="inlineStr">
        <is>
          <t>RAPDF</t>
        </is>
      </c>
      <c r="I41" s="27" t="n">
        <v>100</v>
      </c>
      <c r="J41" s="34">
        <f>IF(I41="","À saisir",IF(I41&gt;=85,"CONFORME (≥85%)","NON CONFORME (&lt;85%)"))</f>
        <v/>
      </c>
      <c r="K41" s="25" t="n">
        <v>12</v>
      </c>
      <c r="L41" s="25" t="n">
        <v>0</v>
      </c>
      <c r="M41" s="25" t="n">
        <v>28</v>
      </c>
      <c r="N41" s="36" t="n"/>
      <c r="O41" s="36" t="n"/>
      <c r="P41" s="37" t="n">
        <v>5</v>
      </c>
      <c r="Q41" s="37" t="n">
        <v>5</v>
      </c>
      <c r="R41" s="37" t="n">
        <v>0</v>
      </c>
      <c r="S41" s="37" t="n">
        <v>0</v>
      </c>
      <c r="T41" s="37" t="n">
        <v>0</v>
      </c>
      <c r="U41" s="37" t="n">
        <v>0</v>
      </c>
      <c r="V41" s="37" t="n">
        <v>0</v>
      </c>
      <c r="W41" s="37" t="n">
        <v>0</v>
      </c>
      <c r="X41" s="38" t="n">
        <v>1.833333333333333</v>
      </c>
      <c r="Y41" s="38" t="n">
        <v>1.833333333333333</v>
      </c>
      <c r="Z41" s="39" t="n">
        <v>1</v>
      </c>
      <c r="AA41" s="39" t="n">
        <v>1</v>
      </c>
    </row>
    <row r="42" ht="15" customHeight="1" s="19">
      <c r="A42" s="34" t="inlineStr">
        <is>
          <t>Mohamed HAMDANI</t>
        </is>
      </c>
      <c r="B42" s="25" t="n">
        <v>2026</v>
      </c>
      <c r="C42" s="25" t="n">
        <v>9</v>
      </c>
      <c r="D42" s="25">
        <f>B42&amp;"-S"&amp;TEXT(C42,"00")</f>
        <v/>
      </c>
      <c r="E42" s="34" t="inlineStr">
        <is>
          <t>SAN_9902030030_011000710963677</t>
        </is>
      </c>
      <c r="F42" s="25" t="inlineStr">
        <is>
          <t>pdf</t>
        </is>
      </c>
      <c r="G42" s="35" t="n">
        <v>46078</v>
      </c>
      <c r="H42" s="25" t="inlineStr">
        <is>
          <t>RAPDF</t>
        </is>
      </c>
      <c r="I42" s="27" t="n">
        <v>100</v>
      </c>
      <c r="J42" s="34">
        <f>IF(I42="","À saisir",IF(I42&gt;=85,"CONFORME (≥85%)","NON CONFORME (&lt;85%)"))</f>
        <v/>
      </c>
      <c r="K42" s="25" t="n">
        <v>13</v>
      </c>
      <c r="L42" s="25" t="n">
        <v>0</v>
      </c>
      <c r="M42" s="25" t="n">
        <v>33</v>
      </c>
      <c r="N42" s="36" t="n"/>
      <c r="O42" s="36" t="n"/>
      <c r="P42" s="37" t="n">
        <v>5</v>
      </c>
      <c r="Q42" s="37" t="n">
        <v>5</v>
      </c>
      <c r="R42" s="37" t="n">
        <v>0</v>
      </c>
      <c r="S42" s="37" t="n">
        <v>0</v>
      </c>
      <c r="T42" s="37" t="n">
        <v>0</v>
      </c>
      <c r="U42" s="37" t="n">
        <v>0</v>
      </c>
      <c r="V42" s="37" t="n">
        <v>0</v>
      </c>
      <c r="W42" s="37" t="n">
        <v>0</v>
      </c>
      <c r="X42" s="38" t="n">
        <v>1.833333333333333</v>
      </c>
      <c r="Y42" s="38" t="n">
        <v>1.833333333333333</v>
      </c>
      <c r="Z42" s="39" t="n">
        <v>1</v>
      </c>
      <c r="AA42" s="39" t="n">
        <v>1</v>
      </c>
    </row>
    <row r="43" ht="35.05" customHeight="1" s="19">
      <c r="A43" s="34" t="inlineStr">
        <is>
          <t>Hafssa BENCHRIF</t>
        </is>
      </c>
      <c r="B43" s="25" t="n">
        <v>2026</v>
      </c>
      <c r="C43" s="25" t="n">
        <v>10</v>
      </c>
      <c r="D43" s="25">
        <f>B43&amp;"-S"&amp;TEXT(C43,"00")</f>
        <v/>
      </c>
      <c r="E43" s="34" t="inlineStr">
        <is>
          <t>COL_9902030098_011000764636583</t>
        </is>
      </c>
      <c r="F43" s="25" t="inlineStr">
        <is>
          <t>pdf</t>
        </is>
      </c>
      <c r="G43" s="35" t="n">
        <v>46084</v>
      </c>
      <c r="H43" s="25" t="inlineStr">
        <is>
          <t>RAPDF</t>
        </is>
      </c>
      <c r="I43" s="27" t="n">
        <v>93.3</v>
      </c>
      <c r="J43" s="34">
        <f>IF(I43="","Rapport manquant",IF(I43&gt;=85,"CONFORME (≥85%)","NON CONFORME (&lt;85%)"))</f>
        <v/>
      </c>
      <c r="K43" s="25" t="n">
        <v>14</v>
      </c>
      <c r="L43" s="25" t="n">
        <v>1</v>
      </c>
      <c r="M43" s="25" t="n">
        <v>31</v>
      </c>
      <c r="N43" s="36" t="inlineStr">
        <is>
          <t>6.3 – Chaque lien, indiqué uniquement par la couleur et dont la nature n'est pas évidente, est-il visible par rapport au texte environnant ? (le lien n'est pas souligné et pas bien contraster)</t>
        </is>
      </c>
      <c r="O43" s="36" t="inlineStr">
        <is>
          <t>Debrief de l’agent pour le sensibiliser à l’importance d’être vigilant sur le traitement, puis exercice pratique avec l’ensemble de l’équipe.</t>
        </is>
      </c>
      <c r="P43" s="37" t="n">
        <v>5</v>
      </c>
      <c r="Q43" s="37" t="n">
        <v>5</v>
      </c>
      <c r="R43" s="37" t="n">
        <v>0</v>
      </c>
      <c r="S43" s="37" t="n">
        <v>0</v>
      </c>
      <c r="T43" s="37" t="n">
        <v>0</v>
      </c>
      <c r="U43" s="37" t="n">
        <v>0</v>
      </c>
      <c r="V43" s="37" t="n">
        <v>0</v>
      </c>
      <c r="W43" s="37" t="n">
        <v>0</v>
      </c>
      <c r="X43" s="38" t="n">
        <v>1.833333333333333</v>
      </c>
      <c r="Y43" s="38" t="n">
        <v>1.833333333333333</v>
      </c>
      <c r="Z43" s="39" t="n">
        <v>1</v>
      </c>
      <c r="AA43" s="39" t="n">
        <v>1</v>
      </c>
    </row>
    <row r="44" ht="15" customHeight="1" s="19">
      <c r="A44" s="34" t="inlineStr">
        <is>
          <t>Hiba LISSAOUI</t>
        </is>
      </c>
      <c r="B44" s="25" t="n">
        <v>2026</v>
      </c>
      <c r="C44" s="25" t="n">
        <v>10</v>
      </c>
      <c r="D44" s="25">
        <f>B44&amp;"-S"&amp;TEXT(C44,"00")</f>
        <v/>
      </c>
      <c r="E44" s="34" t="inlineStr">
        <is>
          <t>EMP_9902030152_011000767923080</t>
        </is>
      </c>
      <c r="F44" s="25" t="inlineStr">
        <is>
          <t>pdf</t>
        </is>
      </c>
      <c r="G44" s="35" t="n">
        <v>46085</v>
      </c>
      <c r="H44" s="25" t="inlineStr">
        <is>
          <t>RAPDF</t>
        </is>
      </c>
      <c r="I44" s="27" t="n">
        <v>100</v>
      </c>
      <c r="J44" s="34">
        <f>IF(I44="","À saisir",IF(I44&gt;=85,"CONFORME (≥85%)","NON CONFORME (&lt;85%)"))</f>
        <v/>
      </c>
      <c r="K44" s="25" t="n">
        <v>16</v>
      </c>
      <c r="L44" s="25" t="n">
        <v>0</v>
      </c>
      <c r="M44" s="25" t="n">
        <v>30</v>
      </c>
      <c r="N44" s="36" t="n"/>
      <c r="O44" s="36" t="n"/>
      <c r="P44" s="37" t="n">
        <v>5</v>
      </c>
      <c r="Q44" s="37" t="n">
        <v>5</v>
      </c>
      <c r="R44" s="37" t="n">
        <v>0</v>
      </c>
      <c r="S44" s="37" t="n">
        <v>0</v>
      </c>
      <c r="T44" s="37" t="n">
        <v>0</v>
      </c>
      <c r="U44" s="37" t="n">
        <v>0</v>
      </c>
      <c r="V44" s="37" t="n">
        <v>0</v>
      </c>
      <c r="W44" s="37" t="n">
        <v>0</v>
      </c>
      <c r="X44" s="38" t="n">
        <v>1.833333333333333</v>
      </c>
      <c r="Y44" s="38" t="n">
        <v>1.833333333333333</v>
      </c>
      <c r="Z44" s="39" t="n">
        <v>1</v>
      </c>
      <c r="AA44" s="39" t="n">
        <v>1</v>
      </c>
    </row>
    <row r="45" ht="15" customHeight="1" s="19">
      <c r="A45" s="34" t="inlineStr">
        <is>
          <t>Imad RMAIDI</t>
        </is>
      </c>
      <c r="B45" s="25" t="n">
        <v>2026</v>
      </c>
      <c r="C45" s="25" t="n">
        <v>10</v>
      </c>
      <c r="D45" s="25">
        <f>B45&amp;"-S"&amp;TEXT(C45,"00")</f>
        <v/>
      </c>
      <c r="E45" s="34" t="inlineStr">
        <is>
          <t>SAN_9902030030_011000710963708</t>
        </is>
      </c>
      <c r="F45" s="25" t="inlineStr">
        <is>
          <t>pdf</t>
        </is>
      </c>
      <c r="G45" s="35" t="n">
        <v>46084</v>
      </c>
      <c r="H45" s="25" t="inlineStr">
        <is>
          <t>RAPDF</t>
        </is>
      </c>
      <c r="I45" s="27" t="n">
        <v>100</v>
      </c>
      <c r="J45" s="34">
        <f>IF(I45="","À saisir",IF(I45&gt;=85,"CONFORME (≥85%)","NON CONFORME (&lt;85%)"))</f>
        <v/>
      </c>
      <c r="K45" s="25" t="n">
        <v>15</v>
      </c>
      <c r="L45" s="25" t="n">
        <v>0</v>
      </c>
      <c r="M45" s="25" t="n">
        <v>31</v>
      </c>
      <c r="N45" s="36" t="n"/>
      <c r="O45" s="36" t="n"/>
      <c r="P45" s="37" t="n">
        <v>5</v>
      </c>
      <c r="Q45" s="37" t="n">
        <v>5</v>
      </c>
      <c r="R45" s="37" t="n">
        <v>0</v>
      </c>
      <c r="S45" s="37" t="n">
        <v>0</v>
      </c>
      <c r="T45" s="37" t="n">
        <v>0</v>
      </c>
      <c r="U45" s="37" t="n">
        <v>0</v>
      </c>
      <c r="V45" s="37" t="n">
        <v>0</v>
      </c>
      <c r="W45" s="37" t="n">
        <v>0</v>
      </c>
      <c r="X45" s="38" t="n">
        <v>1.833333333333333</v>
      </c>
      <c r="Y45" s="38" t="n">
        <v>1.833333333333333</v>
      </c>
      <c r="Z45" s="39" t="n">
        <v>1</v>
      </c>
      <c r="AA45" s="39" t="n">
        <v>1</v>
      </c>
    </row>
    <row r="46" ht="15" customHeight="1" s="19">
      <c r="A46" s="34" t="inlineStr">
        <is>
          <t>Mohamed HAMDANI</t>
        </is>
      </c>
      <c r="B46" s="25" t="n">
        <v>2026</v>
      </c>
      <c r="C46" s="25" t="n">
        <v>10</v>
      </c>
      <c r="D46" s="25">
        <f>B46&amp;"-S"&amp;TEXT(C46,"00")</f>
        <v/>
      </c>
      <c r="E46" s="34" t="inlineStr">
        <is>
          <t>SAN_9902030030_011000710963634</t>
        </is>
      </c>
      <c r="F46" s="25" t="inlineStr">
        <is>
          <t>pdf</t>
        </is>
      </c>
      <c r="G46" s="35" t="n">
        <v>46086</v>
      </c>
      <c r="H46" s="25" t="inlineStr">
        <is>
          <t>RAPDF</t>
        </is>
      </c>
      <c r="I46" s="27" t="n">
        <v>100</v>
      </c>
      <c r="J46" s="34">
        <f>IF(I46="","À saisir",IF(I46&gt;=85,"CONFORME (≥85%)","NON CONFORME (&lt;85%)"))</f>
        <v/>
      </c>
      <c r="K46" s="25" t="n">
        <v>13</v>
      </c>
      <c r="L46" s="25" t="n">
        <v>0</v>
      </c>
      <c r="M46" s="25" t="n">
        <v>33</v>
      </c>
      <c r="N46" s="36" t="n"/>
      <c r="O46" s="36" t="n"/>
      <c r="P46" s="37" t="n">
        <v>5</v>
      </c>
      <c r="Q46" s="37" t="n">
        <v>5</v>
      </c>
      <c r="R46" s="37" t="n">
        <v>0</v>
      </c>
      <c r="S46" s="37" t="n">
        <v>0</v>
      </c>
      <c r="T46" s="37" t="n">
        <v>0</v>
      </c>
      <c r="U46" s="37" t="n">
        <v>0</v>
      </c>
      <c r="V46" s="37" t="n">
        <v>0</v>
      </c>
      <c r="W46" s="37" t="n">
        <v>0</v>
      </c>
      <c r="X46" s="38" t="n">
        <v>1.833333333333333</v>
      </c>
      <c r="Y46" s="38" t="n">
        <v>1.833333333333333</v>
      </c>
      <c r="Z46" s="39" t="n">
        <v>1</v>
      </c>
      <c r="AA46" s="39" t="n">
        <v>1</v>
      </c>
    </row>
    <row r="47" ht="15" customHeight="1" s="19">
      <c r="A47" s="34" t="inlineStr">
        <is>
          <t>Hafssa BENCHRIF</t>
        </is>
      </c>
      <c r="B47" s="25" t="n">
        <v>2026</v>
      </c>
      <c r="C47" s="25" t="n">
        <v>11</v>
      </c>
      <c r="D47" s="25">
        <f>B47&amp;"-S"&amp;TEXT(C47,"00")</f>
        <v/>
      </c>
      <c r="E47" s="34" t="inlineStr">
        <is>
          <t>FGDR10278</t>
        </is>
      </c>
      <c r="F47" s="25" t="inlineStr">
        <is>
          <t>pdf</t>
        </is>
      </c>
      <c r="G47" s="35" t="n">
        <v>46094</v>
      </c>
      <c r="H47" s="25" t="inlineStr">
        <is>
          <t>RAPDF</t>
        </is>
      </c>
      <c r="I47" s="27" t="n">
        <v>100</v>
      </c>
      <c r="J47" s="34">
        <f>IF(I47="","Rapport manquant",IF(I47&gt;=85,"CONFORME (≥85%)","NON CONFORME (&lt;85%)"))</f>
        <v/>
      </c>
      <c r="K47" s="25" t="n">
        <v>14</v>
      </c>
      <c r="L47" s="25" t="n">
        <v>0</v>
      </c>
      <c r="M47" s="25" t="n">
        <v>32</v>
      </c>
      <c r="N47" s="36" t="n"/>
      <c r="O47" s="36" t="n"/>
      <c r="P47" s="37" t="n">
        <v>5</v>
      </c>
      <c r="Q47" s="37" t="n">
        <v>5</v>
      </c>
      <c r="R47" s="37" t="n">
        <v>0</v>
      </c>
      <c r="S47" s="37" t="n">
        <v>0</v>
      </c>
      <c r="T47" s="37" t="n">
        <v>0</v>
      </c>
      <c r="U47" s="37" t="n">
        <v>0</v>
      </c>
      <c r="V47" s="37" t="n">
        <v>0</v>
      </c>
      <c r="W47" s="37" t="n">
        <v>0</v>
      </c>
      <c r="X47" s="38" t="n">
        <v>1.833333333333333</v>
      </c>
      <c r="Y47" s="38" t="n">
        <v>1.833333333333333</v>
      </c>
      <c r="Z47" s="39" t="n">
        <v>1</v>
      </c>
      <c r="AA47" s="39" t="n">
        <v>1</v>
      </c>
    </row>
    <row r="48" ht="15" customHeight="1" s="19">
      <c r="A48" s="34" t="inlineStr">
        <is>
          <t>Hiba LISSAOUI</t>
        </is>
      </c>
      <c r="B48" s="25" t="n">
        <v>2026</v>
      </c>
      <c r="C48" s="25" t="n">
        <v>11</v>
      </c>
      <c r="D48" s="25">
        <f>B48&amp;"-S"&amp;TEXT(C48,"00")</f>
        <v/>
      </c>
      <c r="E48" s="34" t="inlineStr">
        <is>
          <t>CM.05.32</t>
        </is>
      </c>
      <c r="F48" s="25" t="inlineStr">
        <is>
          <t>pdf</t>
        </is>
      </c>
      <c r="G48" s="35" t="n">
        <v>46093</v>
      </c>
      <c r="H48" s="25" t="inlineStr">
        <is>
          <t>RAPDF</t>
        </is>
      </c>
      <c r="I48" s="27" t="n">
        <v>100</v>
      </c>
      <c r="J48" s="34">
        <f>IF(I48="","À saisir",IF(I48&gt;=85,"CONFORME (≥85%)","NON CONFORME (&lt;85%)"))</f>
        <v/>
      </c>
      <c r="K48" s="25" t="n">
        <v>10</v>
      </c>
      <c r="L48" s="25" t="n">
        <v>0</v>
      </c>
      <c r="M48" s="25" t="n">
        <v>36</v>
      </c>
      <c r="N48" s="36" t="n"/>
      <c r="O48" s="36" t="n"/>
      <c r="P48" s="37" t="n">
        <v>5</v>
      </c>
      <c r="Q48" s="37" t="n">
        <v>5</v>
      </c>
      <c r="R48" s="37" t="n">
        <v>0</v>
      </c>
      <c r="S48" s="37" t="n">
        <v>0</v>
      </c>
      <c r="T48" s="37" t="n">
        <v>0</v>
      </c>
      <c r="U48" s="37" t="n">
        <v>0</v>
      </c>
      <c r="V48" s="37" t="n">
        <v>0</v>
      </c>
      <c r="W48" s="37" t="n">
        <v>0</v>
      </c>
      <c r="X48" s="38" t="n">
        <v>1.833333333333333</v>
      </c>
      <c r="Y48" s="38" t="n">
        <v>1.833333333333333</v>
      </c>
      <c r="Z48" s="39" t="n">
        <v>1</v>
      </c>
      <c r="AA48" s="39" t="n">
        <v>1</v>
      </c>
    </row>
    <row r="49" ht="15" customHeight="1" s="19">
      <c r="A49" s="34" t="inlineStr">
        <is>
          <t>Imad RMAIDI</t>
        </is>
      </c>
      <c r="B49" s="25" t="n">
        <v>2026</v>
      </c>
      <c r="C49" s="25" t="n">
        <v>11</v>
      </c>
      <c r="D49" s="25">
        <f>B49&amp;"-S"&amp;TEXT(C49,"00")</f>
        <v/>
      </c>
      <c r="E49" s="34" t="inlineStr">
        <is>
          <t>SAN_9902020008_011000745243123</t>
        </is>
      </c>
      <c r="F49" s="25" t="inlineStr">
        <is>
          <t>pdf</t>
        </is>
      </c>
      <c r="G49" s="35" t="n"/>
      <c r="H49" s="25" t="inlineStr">
        <is>
          <t>—</t>
        </is>
      </c>
      <c r="I49" s="40" t="n"/>
      <c r="J49" s="41">
        <f>IF(I49="","À saisir",IF(I49&gt;=85,"CONFORME (≥85%)","NON CONFORME (&lt;85%)"))</f>
        <v/>
      </c>
      <c r="K49" s="42" t="n"/>
      <c r="L49" s="42" t="n"/>
      <c r="M49" s="42" t="n"/>
      <c r="N49" s="36" t="n"/>
      <c r="O49" s="36" t="n"/>
      <c r="P49" s="37" t="n">
        <v>5</v>
      </c>
      <c r="Q49" s="37" t="n">
        <v>5</v>
      </c>
      <c r="R49" s="37" t="n">
        <v>0</v>
      </c>
      <c r="S49" s="37" t="n">
        <v>0</v>
      </c>
      <c r="T49" s="37" t="n">
        <v>0</v>
      </c>
      <c r="U49" s="37" t="n">
        <v>0</v>
      </c>
      <c r="V49" s="37" t="n">
        <v>0</v>
      </c>
      <c r="W49" s="37" t="n">
        <v>0</v>
      </c>
      <c r="X49" s="38" t="n">
        <v>1.833333333333333</v>
      </c>
      <c r="Y49" s="38" t="n">
        <v>1.833333333333333</v>
      </c>
      <c r="Z49" s="39" t="n">
        <v>1</v>
      </c>
      <c r="AA49" s="39" t="n">
        <v>1</v>
      </c>
    </row>
    <row r="50" ht="15" customHeight="1" s="19">
      <c r="A50" s="34" t="inlineStr">
        <is>
          <t>Mohamed HAMDANI</t>
        </is>
      </c>
      <c r="B50" s="25" t="n">
        <v>2026</v>
      </c>
      <c r="C50" s="25" t="n">
        <v>11</v>
      </c>
      <c r="D50" s="25">
        <f>B50&amp;"-S"&amp;TEXT(C50,"00")</f>
        <v/>
      </c>
      <c r="E50" s="34" t="inlineStr">
        <is>
          <t>SAN_9902030053_011000789059347</t>
        </is>
      </c>
      <c r="F50" s="25" t="inlineStr">
        <is>
          <t>pdf</t>
        </is>
      </c>
      <c r="G50" s="35" t="n"/>
      <c r="H50" s="25" t="inlineStr">
        <is>
          <t>—</t>
        </is>
      </c>
      <c r="I50" s="40" t="n"/>
      <c r="J50" s="41">
        <f>IF(I50="","À saisir",IF(I50&gt;=85,"CONFORME (≥85%)","NON CONFORME (&lt;85%)"))</f>
        <v/>
      </c>
      <c r="K50" s="42" t="n"/>
      <c r="L50" s="42" t="n"/>
      <c r="M50" s="42" t="n"/>
      <c r="N50" s="36" t="n"/>
      <c r="O50" s="36" t="n"/>
      <c r="P50" s="37" t="n">
        <v>5</v>
      </c>
      <c r="Q50" s="37" t="n">
        <v>5</v>
      </c>
      <c r="R50" s="37" t="n">
        <v>0</v>
      </c>
      <c r="S50" s="37" t="n">
        <v>0</v>
      </c>
      <c r="T50" s="37" t="n">
        <v>0</v>
      </c>
      <c r="U50" s="37" t="n">
        <v>0</v>
      </c>
      <c r="V50" s="37" t="n">
        <v>0</v>
      </c>
      <c r="W50" s="37" t="n">
        <v>0</v>
      </c>
      <c r="X50" s="38" t="n">
        <v>1.833333333333333</v>
      </c>
      <c r="Y50" s="38" t="n">
        <v>1.833333333333333</v>
      </c>
      <c r="Z50" s="39" t="n">
        <v>1</v>
      </c>
      <c r="AA50" s="39" t="n">
        <v>1</v>
      </c>
    </row>
    <row r="51" ht="15" customHeight="1" s="19">
      <c r="A51" s="34" t="inlineStr">
        <is>
          <t>Hafssa BENCHRIF</t>
        </is>
      </c>
      <c r="B51" s="25" t="n">
        <v>2026</v>
      </c>
      <c r="C51" s="25" t="n">
        <v>12</v>
      </c>
      <c r="D51" s="25">
        <f>B51&amp;"-S"&amp;TEXT(C51,"00")</f>
        <v/>
      </c>
      <c r="E51" s="34" t="inlineStr">
        <is>
          <t>81.69.55</t>
        </is>
      </c>
      <c r="F51" s="25" t="inlineStr">
        <is>
          <t>pdf</t>
        </is>
      </c>
      <c r="G51" s="35" t="n">
        <v>46100</v>
      </c>
      <c r="H51" s="25" t="inlineStr">
        <is>
          <t>RAPDF</t>
        </is>
      </c>
      <c r="I51" s="27" t="n">
        <v>100</v>
      </c>
      <c r="J51" s="34">
        <f>IF(I51="","Rapport manquant",IF(I51&gt;=85,"CONFORME (≥85%)","NON CONFORME (&lt;85%)"))</f>
        <v/>
      </c>
      <c r="K51" s="25" t="n">
        <v>18</v>
      </c>
      <c r="L51" s="25" t="n">
        <v>0</v>
      </c>
      <c r="M51" s="25" t="n">
        <v>28</v>
      </c>
      <c r="N51" s="36" t="n"/>
      <c r="O51" s="36" t="n"/>
      <c r="P51" s="37" t="n">
        <v>0</v>
      </c>
      <c r="Q51" s="37" t="n">
        <v>0</v>
      </c>
      <c r="R51" s="37" t="n">
        <v>0</v>
      </c>
      <c r="S51" s="37" t="n">
        <v>0</v>
      </c>
      <c r="T51" s="37" t="n">
        <v>0</v>
      </c>
      <c r="U51" s="37" t="n">
        <v>0</v>
      </c>
      <c r="V51" s="37" t="n">
        <v>0</v>
      </c>
      <c r="W51" s="37" t="n">
        <v>0</v>
      </c>
      <c r="X51" s="38" t="n">
        <v>0</v>
      </c>
      <c r="Y51" s="38" t="n">
        <v>0</v>
      </c>
      <c r="Z51" s="39" t="n"/>
      <c r="AA51" s="39" t="n"/>
    </row>
    <row r="52" ht="15" customHeight="1" s="19">
      <c r="A52" s="34" t="inlineStr">
        <is>
          <t>Hiba LISSAOUI</t>
        </is>
      </c>
      <c r="B52" s="25" t="n">
        <v>2026</v>
      </c>
      <c r="C52" s="25" t="n">
        <v>12</v>
      </c>
      <c r="D52" s="25">
        <f>B52&amp;"-S"&amp;TEXT(C52,"00")</f>
        <v/>
      </c>
      <c r="E52" s="34" t="inlineStr">
        <is>
          <t>16.61.12 notice</t>
        </is>
      </c>
      <c r="F52" s="25" t="inlineStr">
        <is>
          <t>pdf</t>
        </is>
      </c>
      <c r="G52" s="35" t="n">
        <v>46100</v>
      </c>
      <c r="H52" s="25" t="inlineStr">
        <is>
          <t>RAPDF</t>
        </is>
      </c>
      <c r="I52" s="27" t="n">
        <v>100</v>
      </c>
      <c r="J52" s="34">
        <f>IF(I52="","À saisir",IF(I52&gt;=85,"CONFORME (≥85%)","NON CONFORME (&lt;85%)"))</f>
        <v/>
      </c>
      <c r="K52" s="25" t="n">
        <v>14</v>
      </c>
      <c r="L52" s="25" t="n">
        <v>0</v>
      </c>
      <c r="M52" s="25" t="n">
        <v>32</v>
      </c>
      <c r="N52" s="36" t="n"/>
      <c r="O52" s="36" t="n"/>
      <c r="P52" s="37" t="n">
        <v>0</v>
      </c>
      <c r="Q52" s="37" t="n">
        <v>0</v>
      </c>
      <c r="R52" s="37" t="n">
        <v>0</v>
      </c>
      <c r="S52" s="37" t="n">
        <v>0</v>
      </c>
      <c r="T52" s="37" t="n">
        <v>0</v>
      </c>
      <c r="U52" s="37" t="n">
        <v>0</v>
      </c>
      <c r="V52" s="37" t="n">
        <v>0</v>
      </c>
      <c r="W52" s="37" t="n">
        <v>0</v>
      </c>
      <c r="X52" s="38" t="n">
        <v>0</v>
      </c>
      <c r="Y52" s="38" t="n">
        <v>0</v>
      </c>
      <c r="Z52" s="39" t="n"/>
      <c r="AA52" s="39" t="n"/>
    </row>
    <row r="53" ht="15" customHeight="1" s="19">
      <c r="A53" s="34" t="inlineStr">
        <is>
          <t>Imad RMAIDI</t>
        </is>
      </c>
      <c r="B53" s="25" t="n">
        <v>2026</v>
      </c>
      <c r="C53" s="25" t="n">
        <v>12</v>
      </c>
      <c r="D53" s="25">
        <f>B53&amp;"-S"&amp;TEXT(C53,"00")</f>
        <v/>
      </c>
      <c r="E53" s="34" t="inlineStr">
        <is>
          <t>(à saisir)</t>
        </is>
      </c>
      <c r="F53" s="25" t="n"/>
      <c r="G53" s="35" t="n"/>
      <c r="H53" s="25" t="inlineStr">
        <is>
          <t>—</t>
        </is>
      </c>
      <c r="I53" s="40" t="n"/>
      <c r="J53" s="41">
        <f>IF(I53="","À saisir",IF(I53&gt;=85,"CONFORME (≥85%)","NON CONFORME (&lt;85%)"))</f>
        <v/>
      </c>
      <c r="K53" s="42" t="n"/>
      <c r="L53" s="42" t="n"/>
      <c r="M53" s="42" t="n"/>
      <c r="N53" s="36" t="n"/>
      <c r="O53" s="36" t="n"/>
      <c r="P53" s="37" t="n">
        <v>0</v>
      </c>
      <c r="Q53" s="37" t="n">
        <v>0</v>
      </c>
      <c r="R53" s="37" t="n">
        <v>0</v>
      </c>
      <c r="S53" s="37" t="n">
        <v>0</v>
      </c>
      <c r="T53" s="37" t="n">
        <v>0</v>
      </c>
      <c r="U53" s="37" t="n">
        <v>0</v>
      </c>
      <c r="V53" s="37" t="n">
        <v>0</v>
      </c>
      <c r="W53" s="37" t="n">
        <v>0</v>
      </c>
      <c r="X53" s="38" t="n">
        <v>0</v>
      </c>
      <c r="Y53" s="38" t="n">
        <v>0</v>
      </c>
      <c r="Z53" s="39" t="n"/>
      <c r="AA53" s="39" t="n"/>
    </row>
    <row r="54" ht="15" customHeight="1" s="19">
      <c r="A54" s="34" t="inlineStr">
        <is>
          <t>Mohamed HAMDANI</t>
        </is>
      </c>
      <c r="B54" s="25" t="n">
        <v>2026</v>
      </c>
      <c r="C54" s="25" t="n">
        <v>12</v>
      </c>
      <c r="D54" s="25">
        <f>B54&amp;"-S"&amp;TEXT(C54,"00")</f>
        <v/>
      </c>
      <c r="E54" s="34" t="inlineStr">
        <is>
          <t>DIT10278</t>
        </is>
      </c>
      <c r="F54" s="25" t="inlineStr">
        <is>
          <t>pdf</t>
        </is>
      </c>
      <c r="G54" s="35" t="n">
        <v>46100</v>
      </c>
      <c r="H54" s="25" t="inlineStr">
        <is>
          <t>RAPDF</t>
        </is>
      </c>
      <c r="I54" s="27" t="n">
        <v>100</v>
      </c>
      <c r="J54" s="34">
        <f>IF(I54="","À saisir",IF(I54&gt;=85,"CONFORME (≥85%)","NON CONFORME (&lt;85%)"))</f>
        <v/>
      </c>
      <c r="K54" s="25" t="n">
        <v>13</v>
      </c>
      <c r="L54" s="25" t="n">
        <v>0</v>
      </c>
      <c r="M54" s="25" t="n">
        <v>33</v>
      </c>
      <c r="N54" s="36" t="n"/>
      <c r="O54" s="36" t="n"/>
      <c r="P54" s="37" t="n">
        <v>0</v>
      </c>
      <c r="Q54" s="37" t="n">
        <v>0</v>
      </c>
      <c r="R54" s="37" t="n">
        <v>0</v>
      </c>
      <c r="S54" s="37" t="n">
        <v>0</v>
      </c>
      <c r="T54" s="37" t="n">
        <v>0</v>
      </c>
      <c r="U54" s="37" t="n">
        <v>0</v>
      </c>
      <c r="V54" s="37" t="n">
        <v>0</v>
      </c>
      <c r="W54" s="37" t="n">
        <v>0</v>
      </c>
      <c r="X54" s="38" t="n">
        <v>0</v>
      </c>
      <c r="Y54" s="38" t="n">
        <v>0</v>
      </c>
      <c r="Z54" s="39" t="n"/>
      <c r="AA54" s="39" t="n"/>
    </row>
    <row r="55" ht="15" customHeight="1" s="19">
      <c r="A55" s="34" t="inlineStr">
        <is>
          <t>Hafssa BENCHRIF</t>
        </is>
      </c>
      <c r="B55" s="25" t="n">
        <v>2026</v>
      </c>
      <c r="C55" s="25" t="n">
        <v>16</v>
      </c>
      <c r="D55" s="25">
        <f>B55&amp;"-S"&amp;TEXT(C55,"00")</f>
        <v/>
      </c>
      <c r="E55" s="34" t="inlineStr">
        <is>
          <t>9800059279 Fc_E-Retrait_v062026</t>
        </is>
      </c>
      <c r="F55" s="25" t="inlineStr">
        <is>
          <t>word</t>
        </is>
      </c>
      <c r="G55" s="35" t="n"/>
      <c r="H55" s="25" t="inlineStr">
        <is>
          <t>—</t>
        </is>
      </c>
      <c r="I55" s="27" t="n"/>
      <c r="J55" s="34">
        <f>IF(I55="","Rapport manquant",IF(I55&gt;=85,"CONFORME (≥85%)","NON CONFORME (&lt;85%)"))</f>
        <v/>
      </c>
      <c r="K55" s="25" t="n"/>
      <c r="L55" s="25" t="n"/>
      <c r="M55" s="25" t="n"/>
      <c r="N55" s="36" t="n"/>
      <c r="O55" s="36" t="n"/>
      <c r="P55" s="37" t="n">
        <v>3</v>
      </c>
      <c r="Q55" s="37" t="n">
        <v>3</v>
      </c>
      <c r="R55" s="37" t="n">
        <v>0</v>
      </c>
      <c r="S55" s="37" t="n">
        <v>0</v>
      </c>
      <c r="T55" s="37" t="n">
        <v>2</v>
      </c>
      <c r="U55" s="37" t="n">
        <v>0</v>
      </c>
      <c r="V55" s="37" t="n">
        <v>0</v>
      </c>
      <c r="W55" s="37" t="n">
        <v>0</v>
      </c>
      <c r="X55" s="38" t="n">
        <v>1.083333333333333</v>
      </c>
      <c r="Y55" s="38" t="n">
        <v>1.083333333333333</v>
      </c>
      <c r="Z55" s="39" t="n">
        <v>1</v>
      </c>
      <c r="AA55" s="39" t="n">
        <v>1</v>
      </c>
    </row>
    <row r="56" ht="15" customHeight="1" s="19">
      <c r="A56" s="34" t="inlineStr">
        <is>
          <t>Hiba LISSAOUI</t>
        </is>
      </c>
      <c r="B56" s="25" t="n">
        <v>2026</v>
      </c>
      <c r="C56" s="25" t="n">
        <v>16</v>
      </c>
      <c r="D56" s="25">
        <f>B56&amp;"-S"&amp;TEXT(C56,"00")</f>
        <v/>
      </c>
      <c r="E56" s="34" t="inlineStr">
        <is>
          <t>9800155243 Fc_CB_MC_Vie_Quotidienne_v062026</t>
        </is>
      </c>
      <c r="F56" s="25" t="inlineStr">
        <is>
          <t>word</t>
        </is>
      </c>
      <c r="G56" s="35" t="n">
        <v>46129</v>
      </c>
      <c r="H56" s="25" t="inlineStr">
        <is>
          <t>RAPDF</t>
        </is>
      </c>
      <c r="I56" s="27" t="n">
        <v>100</v>
      </c>
      <c r="J56" s="34">
        <f>IF(I56="","À saisir",IF(I56&gt;=85,"CONFORME (≥85%)","NON CONFORME (&lt;85%)"))</f>
        <v/>
      </c>
      <c r="K56" s="25" t="n">
        <v>20</v>
      </c>
      <c r="L56" s="25" t="n">
        <v>0</v>
      </c>
      <c r="M56" s="25" t="n">
        <v>26</v>
      </c>
      <c r="N56" s="36" t="n"/>
      <c r="O56" s="36" t="n"/>
      <c r="P56" s="37" t="n">
        <v>5</v>
      </c>
      <c r="Q56" s="37" t="n">
        <v>5</v>
      </c>
      <c r="R56" s="37" t="n">
        <v>0</v>
      </c>
      <c r="S56" s="37" t="n">
        <v>0</v>
      </c>
      <c r="T56" s="37" t="n">
        <v>0</v>
      </c>
      <c r="U56" s="37" t="n">
        <v>0</v>
      </c>
      <c r="V56" s="37" t="n">
        <v>0</v>
      </c>
      <c r="W56" s="37" t="n">
        <v>0</v>
      </c>
      <c r="X56" s="38" t="n">
        <v>1.833333333333333</v>
      </c>
      <c r="Y56" s="38" t="n">
        <v>1.833333333333333</v>
      </c>
      <c r="Z56" s="39" t="n">
        <v>1</v>
      </c>
      <c r="AA56" s="39" t="n">
        <v>1</v>
      </c>
    </row>
    <row r="57" ht="15" customHeight="1" s="19">
      <c r="A57" s="34" t="inlineStr">
        <is>
          <t>Imad RMAIDI</t>
        </is>
      </c>
      <c r="B57" s="25" t="n">
        <v>2026</v>
      </c>
      <c r="C57" s="25" t="n">
        <v>16</v>
      </c>
      <c r="D57" s="25">
        <f>B57&amp;"-S"&amp;TEXT(C57,"00")</f>
        <v/>
      </c>
      <c r="E57" s="34" t="inlineStr">
        <is>
          <t>9800103268 Fz_CB_MC_Gold_Devise_v062026</t>
        </is>
      </c>
      <c r="F57" s="25" t="inlineStr">
        <is>
          <t>word</t>
        </is>
      </c>
      <c r="G57" s="35" t="n">
        <v>46129</v>
      </c>
      <c r="H57" s="25" t="inlineStr">
        <is>
          <t>RAPDF</t>
        </is>
      </c>
      <c r="I57" s="27" t="n">
        <v>100</v>
      </c>
      <c r="J57" s="34">
        <f>IF(I57="","À saisir",IF(I57&gt;=85,"CONFORME (≥85%)","NON CONFORME (&lt;85%)"))</f>
        <v/>
      </c>
      <c r="K57" s="25" t="n">
        <v>17</v>
      </c>
      <c r="L57" s="25" t="n">
        <v>0</v>
      </c>
      <c r="M57" s="25" t="n">
        <v>29</v>
      </c>
      <c r="N57" s="36" t="n"/>
      <c r="O57" s="36" t="n"/>
      <c r="P57" s="37" t="n">
        <v>5</v>
      </c>
      <c r="Q57" s="37" t="n">
        <v>5</v>
      </c>
      <c r="R57" s="37" t="n">
        <v>0</v>
      </c>
      <c r="S57" s="37" t="n">
        <v>0</v>
      </c>
      <c r="T57" s="37" t="n">
        <v>0</v>
      </c>
      <c r="U57" s="37" t="n">
        <v>0</v>
      </c>
      <c r="V57" s="37" t="n">
        <v>0</v>
      </c>
      <c r="W57" s="37" t="n">
        <v>0</v>
      </c>
      <c r="X57" s="38" t="n">
        <v>1.833333333333333</v>
      </c>
      <c r="Y57" s="38" t="n">
        <v>1.833333333333333</v>
      </c>
      <c r="Z57" s="39" t="n">
        <v>1</v>
      </c>
      <c r="AA57" s="39" t="n">
        <v>1</v>
      </c>
    </row>
    <row r="58" ht="15" customHeight="1" s="19">
      <c r="A58" s="34" t="inlineStr">
        <is>
          <t>Mohamed HAMDANI</t>
        </is>
      </c>
      <c r="B58" s="25" t="n">
        <v>2026</v>
      </c>
      <c r="C58" s="25" t="n">
        <v>16</v>
      </c>
      <c r="D58" s="25">
        <f>B58&amp;"-S"&amp;TEXT(C58,"00")</f>
        <v/>
      </c>
      <c r="E58" s="34" t="inlineStr">
        <is>
          <t>9800166677 Fz_Apple_Pay_v062026</t>
        </is>
      </c>
      <c r="F58" s="25" t="inlineStr">
        <is>
          <t>word</t>
        </is>
      </c>
      <c r="G58" s="35" t="n">
        <v>46129</v>
      </c>
      <c r="H58" s="25" t="inlineStr">
        <is>
          <t>RAPDF</t>
        </is>
      </c>
      <c r="I58" s="27" t="n">
        <v>100</v>
      </c>
      <c r="J58" s="34">
        <f>IF(I58="","À saisir",IF(I58&gt;=85,"CONFORME (≥85%)","NON CONFORME (&lt;85%)"))</f>
        <v/>
      </c>
      <c r="K58" s="25" t="n">
        <v>15</v>
      </c>
      <c r="L58" s="25" t="n">
        <v>0</v>
      </c>
      <c r="M58" s="25" t="n">
        <v>31</v>
      </c>
      <c r="N58" s="36" t="n"/>
      <c r="O58" s="36" t="n"/>
      <c r="P58" s="37" t="n">
        <v>5</v>
      </c>
      <c r="Q58" s="37" t="n">
        <v>5</v>
      </c>
      <c r="R58" s="37" t="n">
        <v>0</v>
      </c>
      <c r="S58" s="37" t="n">
        <v>0</v>
      </c>
      <c r="T58" s="37" t="n">
        <v>0</v>
      </c>
      <c r="U58" s="37" t="n">
        <v>0</v>
      </c>
      <c r="V58" s="37" t="n">
        <v>0</v>
      </c>
      <c r="W58" s="37" t="n">
        <v>0</v>
      </c>
      <c r="X58" s="38" t="n">
        <v>1.833333333333333</v>
      </c>
      <c r="Y58" s="38" t="n">
        <v>1.833333333333333</v>
      </c>
      <c r="Z58" s="39" t="n">
        <v>1</v>
      </c>
      <c r="AA58" s="39" t="n">
        <v>1</v>
      </c>
    </row>
    <row r="59" ht="15" customHeight="1" s="19">
      <c r="A59" s="34" t="inlineStr">
        <is>
          <t>Hiba LISSAOUI</t>
        </is>
      </c>
      <c r="B59" s="25" t="n">
        <v>2026</v>
      </c>
      <c r="C59" s="25" t="n">
        <v>17</v>
      </c>
      <c r="D59" s="25">
        <f>B59&amp;"-S"&amp;TEXT(C59,"00")</f>
        <v/>
      </c>
      <c r="E59" s="34" t="inlineStr">
        <is>
          <t>9800165798 Fc_CB_MC_Gold_Certizen_v062026</t>
        </is>
      </c>
      <c r="F59" s="25" t="inlineStr">
        <is>
          <t>word</t>
        </is>
      </c>
      <c r="G59" s="35" t="n">
        <v>46135</v>
      </c>
      <c r="H59" s="25" t="inlineStr">
        <is>
          <t>RAPDF</t>
        </is>
      </c>
      <c r="I59" s="27" t="n">
        <v>100</v>
      </c>
      <c r="J59" s="34">
        <f>IF(I59="","À saisir",IF(I59&gt;=85,"CONFORME (≥85%)","NON CONFORME (&lt;85%)"))</f>
        <v/>
      </c>
      <c r="K59" s="25" t="n">
        <v>18</v>
      </c>
      <c r="L59" s="25" t="n">
        <v>0</v>
      </c>
      <c r="M59" s="25" t="n">
        <v>28</v>
      </c>
      <c r="N59" s="36" t="n"/>
      <c r="O59" s="36" t="n"/>
      <c r="P59" s="37" t="n">
        <v>5</v>
      </c>
      <c r="Q59" s="37" t="n">
        <v>5</v>
      </c>
      <c r="R59" s="37" t="n">
        <v>0</v>
      </c>
      <c r="S59" s="37" t="n">
        <v>0</v>
      </c>
      <c r="T59" s="37" t="n">
        <v>0</v>
      </c>
      <c r="U59" s="37" t="n">
        <v>0</v>
      </c>
      <c r="V59" s="37" t="n">
        <v>0</v>
      </c>
      <c r="W59" s="37" t="n">
        <v>0</v>
      </c>
      <c r="X59" s="38" t="n">
        <v>1.833333333333333</v>
      </c>
      <c r="Y59" s="38" t="n">
        <v>1.833333333333333</v>
      </c>
      <c r="Z59" s="39" t="n">
        <v>1</v>
      </c>
      <c r="AA59" s="39" t="n">
        <v>1</v>
      </c>
    </row>
    <row r="60" ht="15" customHeight="1" s="19">
      <c r="A60" s="34" t="inlineStr">
        <is>
          <t>Imad RMAIDI</t>
        </is>
      </c>
      <c r="B60" s="25" t="n">
        <v>2026</v>
      </c>
      <c r="C60" s="25" t="n">
        <v>17</v>
      </c>
      <c r="D60" s="25">
        <f>B60&amp;"-S"&amp;TEXT(C60,"00")</f>
        <v/>
      </c>
      <c r="E60" s="34" t="inlineStr">
        <is>
          <t>9800182914 CM FC compte courant PART</t>
        </is>
      </c>
      <c r="F60" s="25" t="inlineStr">
        <is>
          <t>word</t>
        </is>
      </c>
      <c r="G60" s="35" t="n">
        <v>46136</v>
      </c>
      <c r="H60" s="25" t="inlineStr">
        <is>
          <t>RAPDF</t>
        </is>
      </c>
      <c r="I60" s="27" t="n">
        <v>100</v>
      </c>
      <c r="J60" s="34">
        <f>IF(I60="","À saisir",IF(I60&gt;=85,"CONFORME (≥85%)","NON CONFORME (&lt;85%)"))</f>
        <v/>
      </c>
      <c r="K60" s="25" t="n">
        <v>13</v>
      </c>
      <c r="L60" s="25" t="n">
        <v>0</v>
      </c>
      <c r="M60" s="25" t="n">
        <v>33</v>
      </c>
      <c r="N60" s="36" t="n"/>
      <c r="O60" s="36" t="n"/>
      <c r="P60" s="37" t="n">
        <v>4</v>
      </c>
      <c r="Q60" s="37" t="n">
        <v>3</v>
      </c>
      <c r="R60" s="37" t="n">
        <v>1</v>
      </c>
      <c r="S60" s="37" t="n">
        <v>0</v>
      </c>
      <c r="T60" s="37" t="n">
        <v>1</v>
      </c>
      <c r="U60" s="37" t="n">
        <v>0</v>
      </c>
      <c r="V60" s="37" t="n">
        <v>0</v>
      </c>
      <c r="W60" s="37" t="n">
        <v>0</v>
      </c>
      <c r="X60" s="38" t="n">
        <v>1.458333333333333</v>
      </c>
      <c r="Y60" s="38" t="n">
        <v>1.083333333333333</v>
      </c>
      <c r="Z60" s="39" t="n">
        <v>0.75</v>
      </c>
      <c r="AA60" s="39" t="n">
        <v>0.742857142857143</v>
      </c>
    </row>
    <row r="61" ht="15" customHeight="1" s="19">
      <c r="A61" s="34" t="inlineStr">
        <is>
          <t>Mohamed HAMDANI</t>
        </is>
      </c>
      <c r="B61" s="25" t="n">
        <v>2026</v>
      </c>
      <c r="C61" s="25" t="n">
        <v>17</v>
      </c>
      <c r="D61" s="25">
        <f>B61&amp;"-S"&amp;TEXT(C61,"00")</f>
        <v/>
      </c>
      <c r="E61" s="34" t="inlineStr">
        <is>
          <t>Fiche Zoom Alertes CIC revue</t>
        </is>
      </c>
      <c r="F61" s="25" t="inlineStr">
        <is>
          <t>word</t>
        </is>
      </c>
      <c r="G61" s="35" t="n">
        <v>46136</v>
      </c>
      <c r="H61" s="25" t="inlineStr">
        <is>
          <t>RAPDF</t>
        </is>
      </c>
      <c r="I61" s="27" t="n">
        <v>100</v>
      </c>
      <c r="J61" s="34">
        <f>IF(I61="","À saisir",IF(I61&gt;=85,"CONFORME (≥85%)","NON CONFORME (&lt;85%)"))</f>
        <v/>
      </c>
      <c r="K61" s="25" t="n">
        <v>16</v>
      </c>
      <c r="L61" s="25" t="n">
        <v>0</v>
      </c>
      <c r="M61" s="25" t="n">
        <v>30</v>
      </c>
      <c r="N61" s="36" t="n"/>
      <c r="O61" s="36" t="n"/>
      <c r="P61" s="37" t="n">
        <v>5</v>
      </c>
      <c r="Q61" s="37" t="n">
        <v>5</v>
      </c>
      <c r="R61" s="37" t="n">
        <v>0</v>
      </c>
      <c r="S61" s="37" t="n">
        <v>0</v>
      </c>
      <c r="T61" s="37" t="n">
        <v>0</v>
      </c>
      <c r="U61" s="37" t="n">
        <v>0</v>
      </c>
      <c r="V61" s="37" t="n">
        <v>0</v>
      </c>
      <c r="W61" s="37" t="n">
        <v>0</v>
      </c>
      <c r="X61" s="38" t="n">
        <v>1.833333333333333</v>
      </c>
      <c r="Y61" s="38" t="n">
        <v>1.833333333333333</v>
      </c>
      <c r="Z61" s="39" t="n">
        <v>1</v>
      </c>
      <c r="AA61" s="39" t="n">
        <v>1</v>
      </c>
    </row>
    <row r="62" ht="15" customHeight="1" s="19">
      <c r="A62" s="34" t="inlineStr">
        <is>
          <t>Hiba LISSAOUI</t>
        </is>
      </c>
      <c r="B62" s="25" t="n">
        <v>2026</v>
      </c>
      <c r="C62" s="25" t="n">
        <v>18</v>
      </c>
      <c r="D62" s="25">
        <f>B62&amp;"-S"&amp;TEXT(C62,"00")</f>
        <v/>
      </c>
      <c r="E62" s="34" t="inlineStr">
        <is>
          <t xml:space="preserve">0110017197 Fc_CB_Visa_Classic_v062026 </t>
        </is>
      </c>
      <c r="F62" s="25" t="inlineStr">
        <is>
          <t>word</t>
        </is>
      </c>
      <c r="G62" s="35" t="n">
        <v>46143</v>
      </c>
      <c r="H62" s="25" t="inlineStr">
        <is>
          <t>RAPDF</t>
        </is>
      </c>
      <c r="I62" s="27" t="n">
        <v>100</v>
      </c>
      <c r="J62" s="34">
        <f>IF(I62="","À saisir",IF(I62&gt;=85,"CONFORME (≥85%)","NON CONFORME (&lt;85%)"))</f>
        <v/>
      </c>
      <c r="K62" s="25" t="n">
        <v>19</v>
      </c>
      <c r="L62" s="25" t="n">
        <v>0</v>
      </c>
      <c r="M62" s="25" t="n">
        <v>27</v>
      </c>
      <c r="N62" s="36" t="n"/>
      <c r="O62" s="36" t="n"/>
      <c r="P62" s="37" t="n">
        <v>4</v>
      </c>
      <c r="Q62" s="37" t="n">
        <v>4</v>
      </c>
      <c r="R62" s="37" t="n">
        <v>0</v>
      </c>
      <c r="S62" s="37" t="n">
        <v>0</v>
      </c>
      <c r="T62" s="37" t="n">
        <v>0</v>
      </c>
      <c r="U62" s="37" t="n">
        <v>1</v>
      </c>
      <c r="V62" s="37" t="n">
        <v>0</v>
      </c>
      <c r="W62" s="37" t="n">
        <v>0</v>
      </c>
      <c r="X62" s="38" t="n">
        <v>1.5</v>
      </c>
      <c r="Y62" s="38" t="n">
        <v>1.5</v>
      </c>
      <c r="Z62" s="39" t="n">
        <v>1</v>
      </c>
      <c r="AA62" s="39" t="n">
        <v>1</v>
      </c>
    </row>
    <row r="63" ht="15" customHeight="1" s="19">
      <c r="A63" s="34" t="inlineStr">
        <is>
          <t>Imad RMAIDI</t>
        </is>
      </c>
      <c r="B63" s="25" t="n">
        <v>2026</v>
      </c>
      <c r="C63" s="25" t="n">
        <v>18</v>
      </c>
      <c r="D63" s="25">
        <f>B63&amp;"-S"&amp;TEXT(C63,"00")</f>
        <v/>
      </c>
      <c r="E63" s="34" t="inlineStr">
        <is>
          <t>9800164541 CM - Digipass</t>
        </is>
      </c>
      <c r="F63" s="25" t="inlineStr">
        <is>
          <t>word</t>
        </is>
      </c>
      <c r="G63" s="35" t="n">
        <v>46143</v>
      </c>
      <c r="H63" s="25" t="inlineStr">
        <is>
          <t>RAPDF</t>
        </is>
      </c>
      <c r="I63" s="27" t="n">
        <v>100</v>
      </c>
      <c r="J63" s="34">
        <f>IF(I63="","À saisir",IF(I63&gt;=85,"CONFORME (≥85%)","NON CONFORME (&lt;85%)"))</f>
        <v/>
      </c>
      <c r="K63" s="25" t="n">
        <v>13</v>
      </c>
      <c r="L63" s="25" t="n">
        <v>0</v>
      </c>
      <c r="M63" s="25" t="n">
        <v>33</v>
      </c>
      <c r="N63" s="36" t="n"/>
      <c r="O63" s="36" t="n"/>
      <c r="P63" s="37" t="n">
        <v>4</v>
      </c>
      <c r="Q63" s="37" t="n">
        <v>4</v>
      </c>
      <c r="R63" s="37" t="n">
        <v>0</v>
      </c>
      <c r="S63" s="37" t="n">
        <v>0</v>
      </c>
      <c r="T63" s="37" t="n">
        <v>0</v>
      </c>
      <c r="U63" s="37" t="n">
        <v>1</v>
      </c>
      <c r="V63" s="37" t="n">
        <v>0</v>
      </c>
      <c r="W63" s="37" t="n">
        <v>0</v>
      </c>
      <c r="X63" s="38" t="n">
        <v>1.5</v>
      </c>
      <c r="Y63" s="38" t="n">
        <v>1.5</v>
      </c>
      <c r="Z63" s="39" t="n">
        <v>1</v>
      </c>
      <c r="AA63" s="39" t="n">
        <v>1</v>
      </c>
    </row>
    <row r="64" ht="15" customHeight="1" s="19">
      <c r="A64" s="34" t="inlineStr">
        <is>
          <t>Mohamed HAMDANI</t>
        </is>
      </c>
      <c r="B64" s="25" t="n">
        <v>2026</v>
      </c>
      <c r="C64" s="25" t="n">
        <v>18</v>
      </c>
      <c r="D64" s="25">
        <f>B64&amp;"-S"&amp;TEXT(C64,"00")</f>
        <v/>
      </c>
      <c r="E64" s="34" t="inlineStr">
        <is>
          <t>PdB 9800135222</t>
        </is>
      </c>
      <c r="F64" s="25" t="inlineStr">
        <is>
          <t>word</t>
        </is>
      </c>
      <c r="G64" s="35" t="n">
        <v>46142</v>
      </c>
      <c r="H64" s="25" t="inlineStr">
        <is>
          <t>RAPDF</t>
        </is>
      </c>
      <c r="I64" s="27" t="n">
        <v>100</v>
      </c>
      <c r="J64" s="34">
        <f>IF(I64="","À saisir",IF(I64&gt;=85,"CONFORME (≥85%)","NON CONFORME (&lt;85%)"))</f>
        <v/>
      </c>
      <c r="K64" s="25" t="n">
        <v>16</v>
      </c>
      <c r="L64" s="25" t="n">
        <v>0</v>
      </c>
      <c r="M64" s="25" t="n">
        <v>30</v>
      </c>
      <c r="N64" s="36" t="n"/>
      <c r="O64" s="36" t="n"/>
      <c r="P64" s="37" t="n">
        <v>4</v>
      </c>
      <c r="Q64" s="37" t="n">
        <v>4</v>
      </c>
      <c r="R64" s="37" t="n">
        <v>0</v>
      </c>
      <c r="S64" s="37" t="n">
        <v>0</v>
      </c>
      <c r="T64" s="37" t="n">
        <v>0</v>
      </c>
      <c r="U64" s="37" t="n">
        <v>1</v>
      </c>
      <c r="V64" s="37" t="n">
        <v>0</v>
      </c>
      <c r="W64" s="37" t="n">
        <v>0</v>
      </c>
      <c r="X64" s="38" t="n">
        <v>1.5</v>
      </c>
      <c r="Y64" s="38" t="n">
        <v>1.5</v>
      </c>
      <c r="Z64" s="39" t="n">
        <v>1</v>
      </c>
      <c r="AA64" s="39" t="n">
        <v>1</v>
      </c>
    </row>
    <row r="65" ht="15" customHeight="1" s="19">
      <c r="A65" s="34" t="inlineStr">
        <is>
          <t>Hiba LISSAOUI</t>
        </is>
      </c>
      <c r="B65" s="25" t="n">
        <v>2026</v>
      </c>
      <c r="C65" s="25" t="n">
        <v>19</v>
      </c>
      <c r="D65" s="25">
        <f>B65&amp;"-S"&amp;TEXT(C65,"00")</f>
        <v/>
      </c>
      <c r="E65" s="34" t="inlineStr">
        <is>
          <t>9800222734 FZ compte courant sequestre judiciaire</t>
        </is>
      </c>
      <c r="F65" s="25" t="inlineStr">
        <is>
          <t>word</t>
        </is>
      </c>
      <c r="G65" s="35" t="n">
        <v>46146</v>
      </c>
      <c r="H65" s="25" t="inlineStr">
        <is>
          <t>RAPDF</t>
        </is>
      </c>
      <c r="I65" s="27" t="n">
        <v>100</v>
      </c>
      <c r="J65" s="34">
        <f>IF(I65="","À saisir",IF(I65&gt;=85,"CONFORME (≥85%)","NON CONFORME (&lt;85%)"))</f>
        <v/>
      </c>
      <c r="K65" s="25" t="n">
        <v>16</v>
      </c>
      <c r="L65" s="25" t="n">
        <v>0</v>
      </c>
      <c r="M65" s="25" t="n">
        <v>30</v>
      </c>
      <c r="N65" s="36" t="n"/>
      <c r="O65" s="36" t="n"/>
      <c r="P65" s="37" t="n">
        <v>4</v>
      </c>
      <c r="Q65" s="37" t="n">
        <v>4</v>
      </c>
      <c r="R65" s="37" t="n">
        <v>0</v>
      </c>
      <c r="S65" s="37" t="n">
        <v>0</v>
      </c>
      <c r="T65" s="37" t="n">
        <v>0</v>
      </c>
      <c r="U65" s="37" t="n">
        <v>0</v>
      </c>
      <c r="V65" s="37" t="n">
        <v>0</v>
      </c>
      <c r="W65" s="37" t="n">
        <v>0</v>
      </c>
      <c r="X65" s="38" t="n">
        <v>1.5</v>
      </c>
      <c r="Y65" s="38" t="n">
        <v>1.5</v>
      </c>
      <c r="Z65" s="39" t="n">
        <v>1</v>
      </c>
      <c r="AA65" s="39" t="n">
        <v>1</v>
      </c>
    </row>
    <row r="66" ht="15" customHeight="1" s="19">
      <c r="A66" s="34" t="inlineStr">
        <is>
          <t>Imad RMAIDI</t>
        </is>
      </c>
      <c r="B66" s="25" t="n">
        <v>2026</v>
      </c>
      <c r="C66" s="25" t="n">
        <v>19</v>
      </c>
      <c r="D66" s="25">
        <f>B66&amp;"-S"&amp;TEXT(C66,"00")</f>
        <v/>
      </c>
      <c r="E66" s="34" t="inlineStr">
        <is>
          <t>9800075418 CM - EUC Vie Quotidienne 2025</t>
        </is>
      </c>
      <c r="F66" s="25" t="inlineStr">
        <is>
          <t>word</t>
        </is>
      </c>
      <c r="G66" s="35" t="n">
        <v>46146</v>
      </c>
      <c r="H66" s="25" t="inlineStr">
        <is>
          <t>RAPDF</t>
        </is>
      </c>
      <c r="I66" s="27" t="n">
        <v>100</v>
      </c>
      <c r="J66" s="34">
        <f>IF(I66="","À saisir",IF(I66&gt;=85,"CONFORME (≥85%)","NON CONFORME (&lt;85%)"))</f>
        <v/>
      </c>
      <c r="K66" s="25" t="n">
        <v>13</v>
      </c>
      <c r="L66" s="25" t="n">
        <v>0</v>
      </c>
      <c r="M66" s="25" t="n">
        <v>33</v>
      </c>
      <c r="N66" s="36" t="n"/>
      <c r="O66" s="36" t="n"/>
      <c r="P66" s="37" t="n">
        <v>4</v>
      </c>
      <c r="Q66" s="37" t="n">
        <v>4</v>
      </c>
      <c r="R66" s="37" t="n">
        <v>0</v>
      </c>
      <c r="S66" s="37" t="n">
        <v>0</v>
      </c>
      <c r="T66" s="37" t="n">
        <v>0</v>
      </c>
      <c r="U66" s="37" t="n">
        <v>0</v>
      </c>
      <c r="V66" s="37" t="n">
        <v>0</v>
      </c>
      <c r="W66" s="37" t="n">
        <v>0</v>
      </c>
      <c r="X66" s="38" t="n">
        <v>1.5</v>
      </c>
      <c r="Y66" s="38" t="n">
        <v>1.5</v>
      </c>
      <c r="Z66" s="39" t="n">
        <v>1</v>
      </c>
      <c r="AA66" s="39" t="n">
        <v>1</v>
      </c>
    </row>
    <row r="67" ht="15" customHeight="1" s="19">
      <c r="A67" s="34" t="inlineStr">
        <is>
          <t>Mohamed HAMDANI</t>
        </is>
      </c>
      <c r="B67" s="25" t="n">
        <v>2026</v>
      </c>
      <c r="C67" s="25" t="n">
        <v>19</v>
      </c>
      <c r="D67" s="25">
        <f>B67&amp;"-S"&amp;TEXT(C67,"00")</f>
        <v/>
      </c>
      <c r="E67" s="34" t="inlineStr">
        <is>
          <t>9800222734 FZ compte courant séquestre judiciaire</t>
        </is>
      </c>
      <c r="F67" s="25" t="inlineStr">
        <is>
          <t>word</t>
        </is>
      </c>
      <c r="G67" s="35" t="n">
        <v>46146</v>
      </c>
      <c r="H67" s="25" t="inlineStr">
        <is>
          <t>RAPDF</t>
        </is>
      </c>
      <c r="I67" s="27" t="n">
        <v>100</v>
      </c>
      <c r="J67" s="34">
        <f>IF(I67="","À saisir",IF(I67&gt;=85,"CONFORME (≥85%)","NON CONFORME (&lt;85%)"))</f>
        <v/>
      </c>
      <c r="K67" s="25" t="n">
        <v>16</v>
      </c>
      <c r="L67" s="25" t="n">
        <v>0</v>
      </c>
      <c r="M67" s="25" t="n">
        <v>30</v>
      </c>
      <c r="N67" s="36" t="n"/>
      <c r="O67" s="36" t="n"/>
      <c r="P67" s="37" t="n">
        <v>4</v>
      </c>
      <c r="Q67" s="37" t="n">
        <v>4</v>
      </c>
      <c r="R67" s="37" t="n">
        <v>0</v>
      </c>
      <c r="S67" s="37" t="n">
        <v>0</v>
      </c>
      <c r="T67" s="37" t="n">
        <v>0</v>
      </c>
      <c r="U67" s="37" t="n">
        <v>0</v>
      </c>
      <c r="V67" s="37" t="n">
        <v>0</v>
      </c>
      <c r="W67" s="37" t="n">
        <v>0</v>
      </c>
      <c r="X67" s="38" t="n">
        <v>1.5</v>
      </c>
      <c r="Y67" s="38" t="n">
        <v>1.5</v>
      </c>
      <c r="Z67" s="39" t="n">
        <v>1</v>
      </c>
      <c r="AA67" s="39" t="n">
        <v>1</v>
      </c>
    </row>
    <row r="68" ht="15" customHeight="1" s="19">
      <c r="A68" s="34" t="inlineStr">
        <is>
          <t>Hiba LISSAOUI</t>
        </is>
      </c>
      <c r="B68" s="25" t="n">
        <v>2026</v>
      </c>
      <c r="C68" s="25" t="n">
        <v>20</v>
      </c>
      <c r="D68" s="25">
        <f>B68&amp;"-S"&amp;TEXT(C68,"00")</f>
        <v/>
      </c>
      <c r="E68" s="34" t="inlineStr">
        <is>
          <t>9800139498 Fz_CB_Visa_Cla_CVVEvo_v062026</t>
        </is>
      </c>
      <c r="F68" s="25" t="inlineStr">
        <is>
          <t>word</t>
        </is>
      </c>
      <c r="G68" s="35" t="n">
        <v>46154</v>
      </c>
      <c r="H68" s="25" t="inlineStr">
        <is>
          <t>RAPDF</t>
        </is>
      </c>
      <c r="I68" s="27" t="n">
        <v>100</v>
      </c>
      <c r="J68" s="34">
        <f>IF(I68="","À saisir",IF(I68&gt;=85,"CONFORME (≥85%)","NON CONFORME (&lt;85%)"))</f>
        <v/>
      </c>
      <c r="K68" s="25" t="n">
        <v>19</v>
      </c>
      <c r="L68" s="25" t="n">
        <v>0</v>
      </c>
      <c r="M68" s="25" t="n">
        <v>27</v>
      </c>
      <c r="N68" s="36" t="n"/>
      <c r="O68" s="36" t="n"/>
      <c r="P68" s="37" t="n">
        <v>2</v>
      </c>
      <c r="Q68" s="37" t="n">
        <v>2</v>
      </c>
      <c r="R68" s="37" t="n">
        <v>0</v>
      </c>
      <c r="S68" s="37" t="n">
        <v>0</v>
      </c>
      <c r="T68" s="37" t="n">
        <v>2</v>
      </c>
      <c r="U68" s="37" t="n">
        <v>0</v>
      </c>
      <c r="V68" s="37" t="n">
        <v>0</v>
      </c>
      <c r="W68" s="37" t="n">
        <v>0</v>
      </c>
      <c r="X68" s="38" t="n">
        <v>0.75</v>
      </c>
      <c r="Y68" s="38" t="n">
        <v>0.75</v>
      </c>
      <c r="Z68" s="39" t="n">
        <v>1</v>
      </c>
      <c r="AA68" s="39" t="n">
        <v>1</v>
      </c>
    </row>
    <row r="69" ht="15" customHeight="1" s="19">
      <c r="A69" s="34" t="inlineStr">
        <is>
          <t>Imad RMAIDI</t>
        </is>
      </c>
      <c r="B69" s="25" t="n">
        <v>2026</v>
      </c>
      <c r="C69" s="25" t="n">
        <v>20</v>
      </c>
      <c r="D69" s="25">
        <f>B69&amp;"-S"&amp;TEXT(C69,"00")</f>
        <v/>
      </c>
      <c r="E69" s="34" t="inlineStr">
        <is>
          <t>9800208498 CIC - e-contrat personnal global FZ</t>
        </is>
      </c>
      <c r="F69" s="25" t="inlineStr">
        <is>
          <t>pdf</t>
        </is>
      </c>
      <c r="G69" s="35" t="n">
        <v>46155</v>
      </c>
      <c r="H69" s="25" t="inlineStr">
        <is>
          <t>RAPDF</t>
        </is>
      </c>
      <c r="I69" s="27" t="n">
        <v>100</v>
      </c>
      <c r="J69" s="34">
        <f>IF(I69="","À saisir",IF(I69&gt;=85,"CONFORME (≥85%)","NON CONFORME (&lt;85%)"))</f>
        <v/>
      </c>
      <c r="K69" s="25" t="n">
        <v>17</v>
      </c>
      <c r="L69" s="25" t="n">
        <v>0</v>
      </c>
      <c r="M69" s="25" t="n">
        <v>29</v>
      </c>
      <c r="N69" s="36" t="n"/>
      <c r="O69" s="36" t="n"/>
      <c r="P69" s="37" t="n">
        <v>2</v>
      </c>
      <c r="Q69" s="37" t="n">
        <v>2</v>
      </c>
      <c r="R69" s="37" t="n">
        <v>0</v>
      </c>
      <c r="S69" s="37" t="n">
        <v>0</v>
      </c>
      <c r="T69" s="37" t="n">
        <v>2</v>
      </c>
      <c r="U69" s="37" t="n">
        <v>0</v>
      </c>
      <c r="V69" s="37" t="n">
        <v>0</v>
      </c>
      <c r="W69" s="37" t="n">
        <v>0</v>
      </c>
      <c r="X69" s="38" t="n">
        <v>0.75</v>
      </c>
      <c r="Y69" s="38" t="n">
        <v>0.75</v>
      </c>
      <c r="Z69" s="39" t="n">
        <v>1</v>
      </c>
      <c r="AA69" s="39" t="n">
        <v>1</v>
      </c>
    </row>
    <row r="70" ht="15" customHeight="1" s="19">
      <c r="A70" s="34" t="inlineStr">
        <is>
          <t>Mohamed HAMDANI</t>
        </is>
      </c>
      <c r="B70" s="25" t="n">
        <v>2026</v>
      </c>
      <c r="C70" s="25" t="n">
        <v>20</v>
      </c>
      <c r="D70" s="25">
        <f>B70&amp;"-S"&amp;TEXT(C70,"00")</f>
        <v/>
      </c>
      <c r="E70" s="34" t="inlineStr">
        <is>
          <t>9800193029 FZ - CC majeurs protégés</t>
        </is>
      </c>
      <c r="F70" s="25" t="inlineStr">
        <is>
          <t>word</t>
        </is>
      </c>
      <c r="G70" s="35" t="n">
        <v>46154</v>
      </c>
      <c r="H70" s="25" t="inlineStr">
        <is>
          <t>RAPDF</t>
        </is>
      </c>
      <c r="I70" s="27" t="n">
        <v>100</v>
      </c>
      <c r="J70" s="34">
        <f>IF(I70="","À saisir",IF(I70&gt;=85,"CONFORME (≥85%)","NON CONFORME (&lt;85%)"))</f>
        <v/>
      </c>
      <c r="K70" s="25" t="n">
        <v>16</v>
      </c>
      <c r="L70" s="25" t="n">
        <v>0</v>
      </c>
      <c r="M70" s="25" t="n">
        <v>30</v>
      </c>
      <c r="N70" s="36" t="n"/>
      <c r="O70" s="36" t="n"/>
      <c r="P70" s="37" t="n">
        <v>2</v>
      </c>
      <c r="Q70" s="37" t="n">
        <v>2</v>
      </c>
      <c r="R70" s="37" t="n">
        <v>0</v>
      </c>
      <c r="S70" s="37" t="n">
        <v>0</v>
      </c>
      <c r="T70" s="37" t="n">
        <v>2</v>
      </c>
      <c r="U70" s="37" t="n">
        <v>0</v>
      </c>
      <c r="V70" s="37" t="n">
        <v>0</v>
      </c>
      <c r="W70" s="37" t="n">
        <v>0</v>
      </c>
      <c r="X70" s="38" t="n">
        <v>0.75</v>
      </c>
      <c r="Y70" s="38" t="n">
        <v>0.75</v>
      </c>
      <c r="Z70" s="39" t="n">
        <v>1</v>
      </c>
      <c r="AA70" s="39" t="n">
        <v>1</v>
      </c>
    </row>
    <row r="71" ht="15" customHeight="1" s="19">
      <c r="A71" s="34" t="inlineStr">
        <is>
          <t>Hiba LISSAOUI</t>
        </is>
      </c>
      <c r="B71" s="25" t="n">
        <v>2026</v>
      </c>
      <c r="C71" s="25" t="n">
        <v>21</v>
      </c>
      <c r="D71" s="25">
        <f>B71&amp;"-S"&amp;TEXT(C71,"00")</f>
        <v/>
      </c>
      <c r="E71" s="34" t="inlineStr">
        <is>
          <t>0110017276 FC PEA 0426_reluNK v2</t>
        </is>
      </c>
      <c r="F71" s="25" t="inlineStr">
        <is>
          <t>word</t>
        </is>
      </c>
      <c r="G71" s="35" t="n">
        <v>46161</v>
      </c>
      <c r="H71" s="25" t="inlineStr">
        <is>
          <t>RAPDF</t>
        </is>
      </c>
      <c r="I71" s="27" t="n">
        <v>100</v>
      </c>
      <c r="J71" s="34">
        <f>IF(I71="","À saisir",IF(I71&gt;=85,"CONFORME (≥85%)","NON CONFORME (&lt;85%)"))</f>
        <v/>
      </c>
      <c r="K71" s="25" t="n">
        <v>12</v>
      </c>
      <c r="L71" s="25" t="n">
        <v>0</v>
      </c>
      <c r="M71" s="25" t="n">
        <v>34</v>
      </c>
      <c r="N71" s="36" t="n"/>
      <c r="O71" s="36" t="n"/>
      <c r="P71" s="37" t="n">
        <v>5</v>
      </c>
      <c r="Q71" s="37" t="n">
        <v>5</v>
      </c>
      <c r="R71" s="37" t="n">
        <v>0</v>
      </c>
      <c r="S71" s="37" t="n">
        <v>0</v>
      </c>
      <c r="T71" s="37" t="n">
        <v>0</v>
      </c>
      <c r="U71" s="37" t="n">
        <v>0</v>
      </c>
      <c r="V71" s="37" t="n">
        <v>0</v>
      </c>
      <c r="W71" s="37" t="n">
        <v>0</v>
      </c>
      <c r="X71" s="38" t="n">
        <v>1.833333333333333</v>
      </c>
      <c r="Y71" s="38" t="n">
        <v>1.833333333333333</v>
      </c>
      <c r="Z71" s="39" t="n">
        <v>1</v>
      </c>
      <c r="AA71" s="39" t="n">
        <v>1</v>
      </c>
    </row>
    <row r="72" ht="15" customHeight="1" s="19">
      <c r="A72" s="34" t="inlineStr">
        <is>
          <t>Imad RMAIDI</t>
        </is>
      </c>
      <c r="B72" s="25" t="n">
        <v>2026</v>
      </c>
      <c r="C72" s="25" t="n">
        <v>21</v>
      </c>
      <c r="D72" s="25">
        <f>B72&amp;"-S"&amp;TEXT(C72,"00")</f>
        <v/>
      </c>
      <c r="E72" s="34" t="inlineStr">
        <is>
          <t>9800132645 CIC FZ - CTO - 0426_reluNK_1</t>
        </is>
      </c>
      <c r="F72" s="25" t="inlineStr">
        <is>
          <t>pdf</t>
        </is>
      </c>
      <c r="G72" s="35" t="n">
        <v>46162</v>
      </c>
      <c r="H72" s="25" t="inlineStr">
        <is>
          <t>RAPDF</t>
        </is>
      </c>
      <c r="I72" s="27" t="n">
        <v>100</v>
      </c>
      <c r="J72" s="34">
        <f>IF(I72="","À saisir",IF(I72&gt;=85,"CONFORME (≥85%)","NON CONFORME (&lt;85%)"))</f>
        <v/>
      </c>
      <c r="K72" s="25" t="n">
        <v>17</v>
      </c>
      <c r="L72" s="25" t="n">
        <v>0</v>
      </c>
      <c r="M72" s="25" t="n">
        <v>29</v>
      </c>
      <c r="N72" s="36" t="n"/>
      <c r="O72" s="36" t="n"/>
      <c r="P72" s="37" t="n">
        <v>5</v>
      </c>
      <c r="Q72" s="37" t="n">
        <v>5</v>
      </c>
      <c r="R72" s="37" t="n">
        <v>0</v>
      </c>
      <c r="S72" s="37" t="n">
        <v>0</v>
      </c>
      <c r="T72" s="37" t="n">
        <v>0</v>
      </c>
      <c r="U72" s="37" t="n">
        <v>0</v>
      </c>
      <c r="V72" s="37" t="n">
        <v>0</v>
      </c>
      <c r="W72" s="37" t="n">
        <v>0</v>
      </c>
      <c r="X72" s="38" t="n">
        <v>1.833333333333333</v>
      </c>
      <c r="Y72" s="38" t="n">
        <v>1.833333333333333</v>
      </c>
      <c r="Z72" s="39" t="n">
        <v>1</v>
      </c>
      <c r="AA72" s="39" t="n">
        <v>1</v>
      </c>
    </row>
    <row r="73" ht="15" customHeight="1" s="19">
      <c r="A73" s="34" t="inlineStr">
        <is>
          <t>Mohamed HAMDANI</t>
        </is>
      </c>
      <c r="B73" s="25" t="n">
        <v>2026</v>
      </c>
      <c r="C73" s="25" t="n">
        <v>21</v>
      </c>
      <c r="D73" s="25">
        <f>B73&amp;"-S"&amp;TEXT(C73,"00")</f>
        <v/>
      </c>
      <c r="E73" s="34" t="inlineStr">
        <is>
          <t>0470004354 CIC FZ PEA 0426_reluNK</t>
        </is>
      </c>
      <c r="F73" s="25" t="inlineStr">
        <is>
          <t>word</t>
        </is>
      </c>
      <c r="G73" s="35" t="n">
        <v>46161</v>
      </c>
      <c r="H73" s="25" t="inlineStr">
        <is>
          <t>RAPDF</t>
        </is>
      </c>
      <c r="I73" s="27" t="n">
        <v>100</v>
      </c>
      <c r="J73" s="34">
        <f>IF(I73="","À saisir",IF(I73&gt;=85,"CONFORME (≥85%)","NON CONFORME (&lt;85%)"))</f>
        <v/>
      </c>
      <c r="K73" s="25" t="n">
        <v>16</v>
      </c>
      <c r="L73" s="25" t="n">
        <v>0</v>
      </c>
      <c r="M73" s="25" t="n">
        <v>30</v>
      </c>
      <c r="N73" s="36" t="n"/>
      <c r="O73" s="36" t="n"/>
      <c r="P73" s="37" t="n">
        <v>5</v>
      </c>
      <c r="Q73" s="37" t="n">
        <v>5</v>
      </c>
      <c r="R73" s="37" t="n">
        <v>0</v>
      </c>
      <c r="S73" s="37" t="n">
        <v>0</v>
      </c>
      <c r="T73" s="37" t="n">
        <v>0</v>
      </c>
      <c r="U73" s="37" t="n">
        <v>0</v>
      </c>
      <c r="V73" s="37" t="n">
        <v>1</v>
      </c>
      <c r="W73" s="37" t="n">
        <v>8</v>
      </c>
      <c r="X73" s="38" t="n">
        <v>1.833333333333333</v>
      </c>
      <c r="Y73" s="38" t="n">
        <v>1.833333333333333</v>
      </c>
      <c r="Z73" s="39" t="n">
        <v>1</v>
      </c>
      <c r="AA73" s="39" t="n">
        <v>1</v>
      </c>
    </row>
    <row r="74" ht="15" customHeight="1" s="19">
      <c r="A74" s="34" t="inlineStr">
        <is>
          <t>Hiba LISSAOUI</t>
        </is>
      </c>
      <c r="B74" s="25" t="n">
        <v>2026</v>
      </c>
      <c r="C74" s="25" t="n">
        <v>22</v>
      </c>
      <c r="D74" s="25">
        <f>B74&amp;"-S"&amp;TEXT(C74,"00")</f>
        <v/>
      </c>
      <c r="E74" s="34" t="inlineStr">
        <is>
          <t>SAN_9902020008_011000745243123</t>
        </is>
      </c>
      <c r="F74" s="25" t="inlineStr">
        <is>
          <t>pdf</t>
        </is>
      </c>
      <c r="G74" s="35" t="n">
        <v>46170</v>
      </c>
      <c r="H74" s="25" t="inlineStr">
        <is>
          <t>RAPDF</t>
        </is>
      </c>
      <c r="I74" s="27" t="n">
        <v>100</v>
      </c>
      <c r="J74" s="34">
        <f>IF(I74="","À saisir",IF(I74&gt;=85,"CONFORME (≥85%)","NON CONFORME (&lt;85%)"))</f>
        <v/>
      </c>
      <c r="K74" s="25" t="n">
        <v>16</v>
      </c>
      <c r="L74" s="25" t="n">
        <v>0</v>
      </c>
      <c r="M74" s="25" t="n">
        <v>30</v>
      </c>
      <c r="N74" s="36" t="n"/>
      <c r="O74" s="36" t="n"/>
      <c r="P74" s="37" t="n">
        <v>4</v>
      </c>
      <c r="Q74" s="37" t="n">
        <v>4</v>
      </c>
      <c r="R74" s="37" t="n">
        <v>0</v>
      </c>
      <c r="S74" s="37" t="n">
        <v>0</v>
      </c>
      <c r="T74" s="37" t="n">
        <v>0</v>
      </c>
      <c r="U74" s="37" t="n">
        <v>0</v>
      </c>
      <c r="V74" s="37" t="n">
        <v>0</v>
      </c>
      <c r="W74" s="37" t="n">
        <v>0</v>
      </c>
      <c r="X74" s="38" t="n">
        <v>1.458333333333333</v>
      </c>
      <c r="Y74" s="38" t="n">
        <v>1.458333333333333</v>
      </c>
      <c r="Z74" s="39" t="n">
        <v>1</v>
      </c>
      <c r="AA74" s="39" t="n">
        <v>1</v>
      </c>
    </row>
    <row r="75" ht="15" customHeight="1" s="19">
      <c r="A75" s="34" t="inlineStr">
        <is>
          <t>Imad RMAIDI</t>
        </is>
      </c>
      <c r="B75" s="25" t="n">
        <v>2026</v>
      </c>
      <c r="C75" s="25" t="n">
        <v>22</v>
      </c>
      <c r="D75" s="25">
        <f>B75&amp;"-S"&amp;TEXT(C75,"00")</f>
        <v/>
      </c>
      <c r="E75" s="34" t="inlineStr">
        <is>
          <t>SAN_9902030032_011000745243124</t>
        </is>
      </c>
      <c r="F75" s="25" t="inlineStr">
        <is>
          <t>pdf</t>
        </is>
      </c>
      <c r="G75" s="35" t="n">
        <v>46170</v>
      </c>
      <c r="H75" s="25" t="inlineStr">
        <is>
          <t>RAPDF</t>
        </is>
      </c>
      <c r="I75" s="27" t="n">
        <v>100</v>
      </c>
      <c r="J75" s="34">
        <f>IF(I75="","À saisir",IF(I75&gt;=85,"CONFORME (≥85%)","NON CONFORME (&lt;85%)"))</f>
        <v/>
      </c>
      <c r="K75" s="25" t="n">
        <v>9</v>
      </c>
      <c r="L75" s="25" t="n">
        <v>0</v>
      </c>
      <c r="M75" s="25" t="n">
        <v>37</v>
      </c>
      <c r="N75" s="36" t="n"/>
      <c r="O75" s="36" t="n"/>
      <c r="P75" s="37" t="n">
        <v>4</v>
      </c>
      <c r="Q75" s="37" t="n">
        <v>4</v>
      </c>
      <c r="R75" s="37" t="n">
        <v>0</v>
      </c>
      <c r="S75" s="37" t="n">
        <v>0</v>
      </c>
      <c r="T75" s="37" t="n">
        <v>0</v>
      </c>
      <c r="U75" s="37" t="n">
        <v>0</v>
      </c>
      <c r="V75" s="37" t="n">
        <v>1</v>
      </c>
      <c r="W75" s="37" t="n">
        <v>2</v>
      </c>
      <c r="X75" s="38" t="n">
        <v>1.458333333333333</v>
      </c>
      <c r="Y75" s="38" t="n">
        <v>1.458333333333333</v>
      </c>
      <c r="Z75" s="39" t="n">
        <v>1</v>
      </c>
      <c r="AA75" s="39" t="n">
        <v>1</v>
      </c>
    </row>
    <row r="76" ht="15" customHeight="1" s="19">
      <c r="A76" s="34" t="inlineStr">
        <is>
          <t>Hiba LISSAOUI</t>
        </is>
      </c>
      <c r="B76" s="25" t="n">
        <v>2026</v>
      </c>
      <c r="C76" s="25" t="n">
        <v>23</v>
      </c>
      <c r="D76" s="25">
        <f>B76&amp;"-S"&amp;TEXT(C76,"00")</f>
        <v/>
      </c>
      <c r="E76" s="34" t="inlineStr">
        <is>
          <t>PEAPME _0140025040-Vadsf2026</t>
        </is>
      </c>
      <c r="F76" s="25" t="inlineStr">
        <is>
          <t>word</t>
        </is>
      </c>
      <c r="G76" s="35" t="n">
        <v>46174</v>
      </c>
      <c r="H76" s="25" t="inlineStr">
        <is>
          <t>RAPDF</t>
        </is>
      </c>
      <c r="I76" s="27" t="n">
        <v>100</v>
      </c>
      <c r="J76" s="34">
        <f>IF(I76="","À saisir",IF(I76&gt;=85,"CONFORME (≥85%)","NON CONFORME (&lt;85%)"))</f>
        <v/>
      </c>
      <c r="K76" s="25" t="n">
        <v>13</v>
      </c>
      <c r="L76" s="25" t="n">
        <v>0</v>
      </c>
      <c r="M76" s="25" t="n">
        <v>33</v>
      </c>
      <c r="N76" s="36" t="n"/>
      <c r="O76" s="36" t="n"/>
      <c r="P76" s="37" t="n">
        <v>5</v>
      </c>
      <c r="Q76" s="37" t="n">
        <v>5</v>
      </c>
      <c r="R76" s="37" t="n">
        <v>0</v>
      </c>
      <c r="S76" s="37" t="n">
        <v>0</v>
      </c>
      <c r="T76" s="37" t="n">
        <v>0</v>
      </c>
      <c r="U76" s="37" t="n">
        <v>0</v>
      </c>
      <c r="V76" s="37" t="n">
        <v>0</v>
      </c>
      <c r="W76" s="37" t="n">
        <v>0</v>
      </c>
      <c r="X76" s="38" t="n">
        <v>1.833333333333333</v>
      </c>
      <c r="Y76" s="38" t="n">
        <v>1.833333333333333</v>
      </c>
      <c r="Z76" s="39" t="n">
        <v>1</v>
      </c>
      <c r="AA76" s="39" t="n">
        <v>1</v>
      </c>
    </row>
    <row r="77" ht="15" customHeight="1" s="19">
      <c r="A77" s="34" t="inlineStr">
        <is>
          <t>Imad RMAIDI</t>
        </is>
      </c>
      <c r="B77" s="25" t="n">
        <v>2026</v>
      </c>
      <c r="C77" s="25" t="n">
        <v>23</v>
      </c>
      <c r="D77" s="25">
        <f>B77&amp;"-S"&amp;TEXT(C77,"00")</f>
        <v/>
      </c>
      <c r="E77" s="34" t="inlineStr">
        <is>
          <t>CTO _0140025607-Vadsf2026.doc</t>
        </is>
      </c>
      <c r="F77" s="25" t="inlineStr">
        <is>
          <t>word</t>
        </is>
      </c>
      <c r="G77" s="35" t="n">
        <v>46176</v>
      </c>
      <c r="H77" s="25" t="inlineStr">
        <is>
          <t>RAPDF</t>
        </is>
      </c>
      <c r="I77" s="27" t="n">
        <v>100</v>
      </c>
      <c r="J77" s="34">
        <f>IF(I77="","À saisir",IF(I77&gt;=85,"CONFORME (≥85%)","NON CONFORME (&lt;85%)"))</f>
        <v/>
      </c>
      <c r="K77" s="25" t="n">
        <v>13</v>
      </c>
      <c r="L77" s="25" t="n">
        <v>0</v>
      </c>
      <c r="M77" s="25" t="n">
        <v>33</v>
      </c>
      <c r="N77" s="36" t="n"/>
      <c r="O77" s="36" t="n"/>
      <c r="P77" s="37" t="n">
        <v>5</v>
      </c>
      <c r="Q77" s="37" t="n">
        <v>5</v>
      </c>
      <c r="R77" s="37" t="n">
        <v>0</v>
      </c>
      <c r="S77" s="37" t="n">
        <v>0</v>
      </c>
      <c r="T77" s="37" t="n">
        <v>0</v>
      </c>
      <c r="U77" s="37" t="n">
        <v>0</v>
      </c>
      <c r="V77" s="37" t="n">
        <v>1</v>
      </c>
      <c r="W77" s="37" t="n">
        <v>6</v>
      </c>
      <c r="X77" s="38" t="n">
        <v>1.833333333333333</v>
      </c>
      <c r="Y77" s="38" t="n">
        <v>1.833333333333333</v>
      </c>
      <c r="Z77" s="39" t="n">
        <v>1</v>
      </c>
      <c r="AA77" s="39" t="n">
        <v>1</v>
      </c>
    </row>
    <row r="78" ht="15" customHeight="1" s="19">
      <c r="A78" s="34" t="inlineStr">
        <is>
          <t>Mohamed HAMDANI</t>
        </is>
      </c>
      <c r="B78" s="25" t="n">
        <v>2026</v>
      </c>
      <c r="C78" s="25" t="n">
        <v>23</v>
      </c>
      <c r="D78" s="25">
        <f>B78&amp;"-S"&amp;TEXT(C78,"00")</f>
        <v/>
      </c>
      <c r="E78" s="34" t="inlineStr">
        <is>
          <t>PEA _0140020765-Vadsf2026</t>
        </is>
      </c>
      <c r="F78" s="25" t="inlineStr">
        <is>
          <t>pdf</t>
        </is>
      </c>
      <c r="G78" s="35" t="n">
        <v>46175</v>
      </c>
      <c r="H78" s="25" t="inlineStr">
        <is>
          <t>RAPDF</t>
        </is>
      </c>
      <c r="I78" s="27" t="n">
        <v>100</v>
      </c>
      <c r="J78" s="34">
        <f>IF(I78="","À saisir",IF(I78&gt;=85,"CONFORME (≥85%)","NON CONFORME (&lt;85%)"))</f>
        <v/>
      </c>
      <c r="K78" s="25" t="n">
        <v>13</v>
      </c>
      <c r="L78" s="25" t="n">
        <v>0</v>
      </c>
      <c r="M78" s="25" t="n">
        <v>33</v>
      </c>
      <c r="N78" s="36" t="n"/>
      <c r="O78" s="36" t="n"/>
      <c r="P78" s="37" t="n">
        <v>5</v>
      </c>
      <c r="Q78" s="37" t="n">
        <v>5</v>
      </c>
      <c r="R78" s="37" t="n">
        <v>0</v>
      </c>
      <c r="S78" s="37" t="n">
        <v>0</v>
      </c>
      <c r="T78" s="37" t="n">
        <v>0</v>
      </c>
      <c r="U78" s="37" t="n">
        <v>0</v>
      </c>
      <c r="V78" s="37" t="n">
        <v>1</v>
      </c>
      <c r="W78" s="37" t="n">
        <v>5</v>
      </c>
      <c r="X78" s="38" t="n">
        <v>1.833333333333333</v>
      </c>
      <c r="Y78" s="38" t="n">
        <v>1.833333333333333</v>
      </c>
      <c r="Z78" s="39" t="n">
        <v>1</v>
      </c>
      <c r="AA78" s="39" t="n">
        <v>1</v>
      </c>
    </row>
    <row r="79" ht="15" customHeight="1" s="19">
      <c r="A79" s="34" t="inlineStr">
        <is>
          <t>Hiba LISSAOUI</t>
        </is>
      </c>
      <c r="B79" s="25" t="n">
        <v>2026</v>
      </c>
      <c r="C79" s="25" t="n">
        <v>24</v>
      </c>
      <c r="D79" s="25">
        <f>B79&amp;"-S"&amp;TEXT(C79,"00")</f>
        <v/>
      </c>
      <c r="E79" s="34" t="inlineStr">
        <is>
          <t>P1_Notice_Monabanq_10-2026</t>
        </is>
      </c>
      <c r="F79" s="25" t="inlineStr">
        <is>
          <t>pdf</t>
        </is>
      </c>
      <c r="G79" s="35" t="n">
        <v>46231</v>
      </c>
      <c r="H79" s="25" t="inlineStr">
        <is>
          <t>RAPDF</t>
        </is>
      </c>
      <c r="I79" s="27" t="n">
        <v>100</v>
      </c>
      <c r="J79" s="34">
        <f>IF(I79="","À saisir",IF(I79&gt;=85,"CONFORME (≥85%)","NON CONFORME (&lt;85%)"))</f>
        <v/>
      </c>
      <c r="K79" s="25" t="n">
        <v>14</v>
      </c>
      <c r="L79" s="25" t="n">
        <v>0</v>
      </c>
      <c r="M79" s="25" t="n">
        <v>32</v>
      </c>
      <c r="N79" s="36" t="n"/>
      <c r="O79" s="36" t="n"/>
      <c r="P79" s="37" t="n">
        <v>5</v>
      </c>
      <c r="Q79" s="37" t="n">
        <v>5</v>
      </c>
      <c r="R79" s="37" t="n">
        <v>0</v>
      </c>
      <c r="S79" s="37" t="n">
        <v>0</v>
      </c>
      <c r="T79" s="37" t="n">
        <v>0</v>
      </c>
      <c r="U79" s="37" t="n">
        <v>0</v>
      </c>
      <c r="V79" s="37" t="n">
        <v>0</v>
      </c>
      <c r="W79" s="37" t="n">
        <v>0</v>
      </c>
      <c r="X79" s="38" t="n">
        <v>1.833333333333333</v>
      </c>
      <c r="Y79" s="38" t="n">
        <v>1.833333333333333</v>
      </c>
      <c r="Z79" s="39" t="n">
        <v>1</v>
      </c>
      <c r="AA79" s="39" t="n">
        <v>1</v>
      </c>
    </row>
    <row r="80" ht="15" customHeight="1" s="19">
      <c r="A80" s="34" t="inlineStr">
        <is>
          <t>Imad RMAIDI</t>
        </is>
      </c>
      <c r="B80" s="25" t="n">
        <v>2026</v>
      </c>
      <c r="C80" s="25" t="n">
        <v>24</v>
      </c>
      <c r="D80" s="25">
        <f>B80&amp;"-S"&amp;TEXT(C80,"00")</f>
        <v/>
      </c>
      <c r="E80" s="34" t="inlineStr">
        <is>
          <t>P1_Notice_Cofidis-France_10-2026</t>
        </is>
      </c>
      <c r="F80" s="25" t="inlineStr">
        <is>
          <t>pdf</t>
        </is>
      </c>
      <c r="G80" s="35" t="n">
        <v>46182</v>
      </c>
      <c r="H80" s="25" t="inlineStr">
        <is>
          <t>RAPDF</t>
        </is>
      </c>
      <c r="I80" s="27" t="n">
        <v>100</v>
      </c>
      <c r="J80" s="34">
        <f>IF(I80="","À saisir",IF(I80&gt;=85,"CONFORME (≥85%)","NON CONFORME (&lt;85%)"))</f>
        <v/>
      </c>
      <c r="K80" s="25" t="n">
        <v>13</v>
      </c>
      <c r="L80" s="25" t="n">
        <v>0</v>
      </c>
      <c r="M80" s="25" t="n">
        <v>33</v>
      </c>
      <c r="N80" s="36" t="n"/>
      <c r="O80" s="36" t="n"/>
      <c r="P80" s="37" t="n">
        <v>5</v>
      </c>
      <c r="Q80" s="37" t="n">
        <v>5</v>
      </c>
      <c r="R80" s="37" t="n">
        <v>0</v>
      </c>
      <c r="S80" s="37" t="n">
        <v>0</v>
      </c>
      <c r="T80" s="37" t="n">
        <v>0</v>
      </c>
      <c r="U80" s="37" t="n">
        <v>0</v>
      </c>
      <c r="V80" s="37" t="n">
        <v>0</v>
      </c>
      <c r="W80" s="37" t="n">
        <v>0</v>
      </c>
      <c r="X80" s="38" t="n">
        <v>1.833333333333333</v>
      </c>
      <c r="Y80" s="38" t="n">
        <v>1.833333333333333</v>
      </c>
      <c r="Z80" s="39" t="n">
        <v>1</v>
      </c>
      <c r="AA80" s="39" t="n">
        <v>1</v>
      </c>
    </row>
    <row r="81" ht="35.05" customHeight="1" s="19">
      <c r="A81" s="34" t="inlineStr">
        <is>
          <t>Mohamed HAMDANI</t>
        </is>
      </c>
      <c r="B81" s="25" t="n">
        <v>2026</v>
      </c>
      <c r="C81" s="25" t="n">
        <v>24</v>
      </c>
      <c r="D81" s="25">
        <f>B81&amp;"-S"&amp;TEXT(C81,"00")</f>
        <v/>
      </c>
      <c r="E81" s="34" t="inlineStr">
        <is>
          <t>P1_IPID_Monabanq_10-2026</t>
        </is>
      </c>
      <c r="F81" s="25" t="inlineStr">
        <is>
          <t>pdf</t>
        </is>
      </c>
      <c r="G81" s="35" t="n">
        <v>46182</v>
      </c>
      <c r="H81" s="25" t="inlineStr">
        <is>
          <t>RAPDF</t>
        </is>
      </c>
      <c r="I81" s="27" t="n">
        <v>92.90000000000001</v>
      </c>
      <c r="J81" s="34">
        <f>IF(I81="","À saisir",IF(I81&gt;=85,"CONFORME (≥85%)","NON CONFORME (&lt;85%)"))</f>
        <v/>
      </c>
      <c r="K81" s="25" t="n">
        <v>13</v>
      </c>
      <c r="L81" s="25" t="n">
        <v>1</v>
      </c>
      <c r="M81" s="25" t="n">
        <v>32</v>
      </c>
      <c r="N81" s="36" t="inlineStr">
        <is>
          <t>2.2 – Le contraste entre la couleur du texte et la couleur de son arrière-plan est-il suffisamment élevé ? (LE contraste des puces "point d'exclamation" est NON-CONFORME)</t>
        </is>
      </c>
      <c r="O81" s="36" t="inlineStr">
        <is>
          <t>Debrief de l’agent pour le sensibiliser à l’importance d’être vigilant sur le traitement, puis exercice pratique avec l’ensemble de l’équipe.</t>
        </is>
      </c>
      <c r="P81" s="37" t="n">
        <v>5</v>
      </c>
      <c r="Q81" s="37" t="n">
        <v>5</v>
      </c>
      <c r="R81" s="37" t="n">
        <v>0</v>
      </c>
      <c r="S81" s="37" t="n">
        <v>0</v>
      </c>
      <c r="T81" s="37" t="n">
        <v>0</v>
      </c>
      <c r="U81" s="37" t="n">
        <v>0</v>
      </c>
      <c r="V81" s="37" t="n">
        <v>0</v>
      </c>
      <c r="W81" s="37" t="n">
        <v>0</v>
      </c>
      <c r="X81" s="38" t="n">
        <v>1.833333333333333</v>
      </c>
      <c r="Y81" s="38" t="n">
        <v>1.833333333333333</v>
      </c>
      <c r="Z81" s="39" t="n">
        <v>1</v>
      </c>
      <c r="AA81" s="39" t="n">
        <v>1</v>
      </c>
    </row>
    <row r="82" ht="15" customHeight="1" s="19">
      <c r="A82" s="34" t="inlineStr">
        <is>
          <t>Hiba LISSAOUI</t>
        </is>
      </c>
      <c r="B82" s="25" t="n">
        <v>2026</v>
      </c>
      <c r="C82" s="25" t="n">
        <v>25</v>
      </c>
      <c r="D82" s="25">
        <f>B82&amp;"-S"&amp;TEXT(C82,"00")</f>
        <v/>
      </c>
      <c r="E82" s="34" t="inlineStr">
        <is>
          <t>0130015514_FC Tonic Privilège à préavis_072026</t>
        </is>
      </c>
      <c r="F82" s="25" t="inlineStr">
        <is>
          <t>pdf</t>
        </is>
      </c>
      <c r="G82" s="35" t="n">
        <v>46231</v>
      </c>
      <c r="H82" s="25" t="inlineStr">
        <is>
          <t>RAPDF</t>
        </is>
      </c>
      <c r="I82" s="27" t="n">
        <v>100</v>
      </c>
      <c r="J82" s="34">
        <f>IF(I82="","À saisir",IF(I82&gt;=85,"CONFORME (≥85%)","NON CONFORME (&lt;85%)"))</f>
        <v/>
      </c>
      <c r="K82" s="25" t="n">
        <v>16</v>
      </c>
      <c r="L82" s="25" t="n">
        <v>0</v>
      </c>
      <c r="M82" s="25" t="n">
        <v>30</v>
      </c>
      <c r="N82" s="36" t="n"/>
      <c r="O82" s="36" t="n"/>
      <c r="P82" s="37" t="n">
        <v>5</v>
      </c>
      <c r="Q82" s="37" t="n">
        <v>5</v>
      </c>
      <c r="R82" s="37" t="n">
        <v>0</v>
      </c>
      <c r="S82" s="37" t="n">
        <v>0</v>
      </c>
      <c r="T82" s="37" t="n">
        <v>0</v>
      </c>
      <c r="U82" s="37" t="n">
        <v>0</v>
      </c>
      <c r="V82" s="37" t="n">
        <v>0</v>
      </c>
      <c r="W82" s="37" t="n">
        <v>0</v>
      </c>
      <c r="X82" s="38" t="n">
        <v>1.833333333333333</v>
      </c>
      <c r="Y82" s="38" t="n">
        <v>1.833333333333333</v>
      </c>
      <c r="Z82" s="39" t="n">
        <v>1</v>
      </c>
      <c r="AA82" s="39" t="n">
        <v>1</v>
      </c>
    </row>
    <row r="83" ht="15" customHeight="1" s="19">
      <c r="A83" s="34" t="inlineStr">
        <is>
          <t>Imad RMAIDI</t>
        </is>
      </c>
      <c r="B83" s="25" t="n">
        <v>2026</v>
      </c>
      <c r="C83" s="25" t="n">
        <v>25</v>
      </c>
      <c r="D83" s="25">
        <f>B83&amp;"-S"&amp;TEXT(C83,"00")</f>
        <v/>
      </c>
      <c r="E83" s="34" t="inlineStr">
        <is>
          <t>0130022152_FC Tonic Plus_072026</t>
        </is>
      </c>
      <c r="F83" s="25" t="inlineStr">
        <is>
          <t>word</t>
        </is>
      </c>
      <c r="G83" s="35" t="n">
        <v>46189</v>
      </c>
      <c r="H83" s="25" t="inlineStr">
        <is>
          <t>RAPDF</t>
        </is>
      </c>
      <c r="I83" s="27" t="n">
        <v>100</v>
      </c>
      <c r="J83" s="34">
        <f>IF(I83="","À saisir",IF(I83&gt;=85,"CONFORME (≥85%)","NON CONFORME (&lt;85%)"))</f>
        <v/>
      </c>
      <c r="K83" s="25" t="n">
        <v>13</v>
      </c>
      <c r="L83" s="25" t="n">
        <v>0</v>
      </c>
      <c r="M83" s="25" t="n">
        <v>33</v>
      </c>
      <c r="N83" s="36" t="n"/>
      <c r="O83" s="36" t="n"/>
      <c r="P83" s="37" t="n">
        <v>4</v>
      </c>
      <c r="Q83" s="37" t="n">
        <v>4</v>
      </c>
      <c r="R83" s="37" t="n">
        <v>0</v>
      </c>
      <c r="S83" s="37" t="n">
        <v>0</v>
      </c>
      <c r="T83" s="37" t="n">
        <v>1</v>
      </c>
      <c r="U83" s="37" t="n">
        <v>0</v>
      </c>
      <c r="V83" s="37" t="n">
        <v>0</v>
      </c>
      <c r="W83" s="37" t="n">
        <v>0</v>
      </c>
      <c r="X83" s="38" t="n">
        <v>1.5</v>
      </c>
      <c r="Y83" s="38" t="n">
        <v>1.5</v>
      </c>
      <c r="Z83" s="39" t="n">
        <v>1</v>
      </c>
      <c r="AA83" s="39" t="n">
        <v>1</v>
      </c>
    </row>
    <row r="84" ht="15" customHeight="1" s="19">
      <c r="A84" s="34" t="inlineStr">
        <is>
          <t>Mohamed HAMDANI</t>
        </is>
      </c>
      <c r="B84" s="25" t="n">
        <v>2026</v>
      </c>
      <c r="C84" s="25" t="n">
        <v>25</v>
      </c>
      <c r="D84" s="25">
        <f>B84&amp;"-S"&amp;TEXT(C84,"00")</f>
        <v/>
      </c>
      <c r="E84" s="34" t="inlineStr">
        <is>
          <t>0130018095_FC CM ADD_072026</t>
        </is>
      </c>
      <c r="F84" s="25" t="inlineStr">
        <is>
          <t>pdf</t>
        </is>
      </c>
      <c r="G84" s="35" t="n">
        <v>46189</v>
      </c>
      <c r="H84" s="25" t="inlineStr">
        <is>
          <t>RAPDF</t>
        </is>
      </c>
      <c r="I84" s="27" t="n">
        <v>100</v>
      </c>
      <c r="J84" s="34">
        <f>IF(I84="","À saisir",IF(I84&gt;=85,"CONFORME (≥85%)","NON CONFORME (&lt;85%)"))</f>
        <v/>
      </c>
      <c r="K84" s="25" t="n">
        <v>14</v>
      </c>
      <c r="L84" s="25" t="n">
        <v>0</v>
      </c>
      <c r="M84" s="25" t="n">
        <v>32</v>
      </c>
      <c r="N84" s="36" t="n"/>
      <c r="O84" s="36" t="n"/>
      <c r="P84" s="37" t="n">
        <v>5</v>
      </c>
      <c r="Q84" s="37" t="n">
        <v>5</v>
      </c>
      <c r="R84" s="37" t="n">
        <v>0</v>
      </c>
      <c r="S84" s="37" t="n">
        <v>0</v>
      </c>
      <c r="T84" s="37" t="n">
        <v>0</v>
      </c>
      <c r="U84" s="37" t="n">
        <v>0</v>
      </c>
      <c r="V84" s="37" t="n">
        <v>0</v>
      </c>
      <c r="W84" s="37" t="n">
        <v>0</v>
      </c>
      <c r="X84" s="38" t="n">
        <v>1.833333333333333</v>
      </c>
      <c r="Y84" s="38" t="n">
        <v>1.833333333333333</v>
      </c>
      <c r="Z84" s="39" t="n">
        <v>1</v>
      </c>
      <c r="AA84" s="39" t="n">
        <v>1</v>
      </c>
    </row>
    <row r="85" ht="15" customHeight="1" s="19">
      <c r="A85" s="34" t="inlineStr">
        <is>
          <t>Hiba LISSAOUI</t>
        </is>
      </c>
      <c r="B85" s="25" t="n">
        <v>2026</v>
      </c>
      <c r="C85" s="25" t="n">
        <v>26</v>
      </c>
      <c r="D85" s="25">
        <f>B85&amp;"-S"&amp;TEXT(C85,"00")</f>
        <v/>
      </c>
      <c r="E85" s="34" t="inlineStr">
        <is>
          <t>0130024381_FC_Wero _072026</t>
        </is>
      </c>
      <c r="F85" s="25" t="inlineStr">
        <is>
          <t>word</t>
        </is>
      </c>
      <c r="G85" s="35" t="n">
        <v>46195</v>
      </c>
      <c r="H85" s="25" t="inlineStr">
        <is>
          <t>RAPDF</t>
        </is>
      </c>
      <c r="I85" s="27" t="n">
        <v>100</v>
      </c>
      <c r="J85" s="34">
        <f>IF(I85="","À saisir",IF(I85&gt;=85,"CONFORME (≥85%)","NON CONFORME (&lt;85%)"))</f>
        <v/>
      </c>
      <c r="K85" s="25" t="n">
        <v>17</v>
      </c>
      <c r="L85" s="25" t="n">
        <v>0</v>
      </c>
      <c r="M85" s="25" t="n">
        <v>29</v>
      </c>
      <c r="N85" s="36" t="n"/>
      <c r="O85" s="36" t="n"/>
      <c r="P85" s="37" t="n">
        <v>5</v>
      </c>
      <c r="Q85" s="37" t="n">
        <v>5</v>
      </c>
      <c r="R85" s="37" t="n">
        <v>0</v>
      </c>
      <c r="S85" s="37" t="n">
        <v>0</v>
      </c>
      <c r="T85" s="37" t="n">
        <v>0</v>
      </c>
      <c r="U85" s="37" t="n">
        <v>0</v>
      </c>
      <c r="V85" s="37" t="n">
        <v>0</v>
      </c>
      <c r="W85" s="37" t="n">
        <v>0</v>
      </c>
      <c r="X85" s="38" t="n">
        <v>1.833333333333333</v>
      </c>
      <c r="Y85" s="38" t="n">
        <v>1.833333333333333</v>
      </c>
      <c r="Z85" s="39" t="n">
        <v>1</v>
      </c>
      <c r="AA85" s="39" t="n">
        <v>1</v>
      </c>
    </row>
    <row r="86" ht="15" customHeight="1" s="19">
      <c r="A86" s="34" t="inlineStr">
        <is>
          <t>Imad RMAIDI</t>
        </is>
      </c>
      <c r="B86" s="25" t="n">
        <v>2026</v>
      </c>
      <c r="C86" s="25" t="n">
        <v>26</v>
      </c>
      <c r="D86" s="25">
        <f>B86&amp;"-S"&amp;TEXT(C86,"00")</f>
        <v/>
      </c>
      <c r="E86" s="34" t="inlineStr">
        <is>
          <t>0130025139 Fc_Payweb_Card_v072026</t>
        </is>
      </c>
      <c r="F86" s="25" t="inlineStr">
        <is>
          <t>word</t>
        </is>
      </c>
      <c r="G86" s="35" t="n">
        <v>46196</v>
      </c>
      <c r="H86" s="25" t="inlineStr">
        <is>
          <t>RAPDF</t>
        </is>
      </c>
      <c r="I86" s="27" t="n">
        <v>100</v>
      </c>
      <c r="J86" s="34">
        <f>IF(I86="","À saisir",IF(I86&gt;=85,"CONFORME (≥85%)","NON CONFORME (&lt;85%)"))</f>
        <v/>
      </c>
      <c r="K86" s="25" t="n">
        <v>13</v>
      </c>
      <c r="L86" s="25" t="n">
        <v>0</v>
      </c>
      <c r="M86" s="25" t="n">
        <v>33</v>
      </c>
      <c r="N86" s="36" t="n"/>
      <c r="O86" s="36" t="n"/>
      <c r="P86" s="37" t="n">
        <v>5</v>
      </c>
      <c r="Q86" s="37" t="n">
        <v>5</v>
      </c>
      <c r="R86" s="37" t="n">
        <v>0</v>
      </c>
      <c r="S86" s="37" t="n">
        <v>0</v>
      </c>
      <c r="T86" s="37" t="n">
        <v>0</v>
      </c>
      <c r="U86" s="37" t="n">
        <v>0</v>
      </c>
      <c r="V86" s="37" t="n">
        <v>0</v>
      </c>
      <c r="W86" s="37" t="n">
        <v>0</v>
      </c>
      <c r="X86" s="38" t="n">
        <v>1.833333333333333</v>
      </c>
      <c r="Y86" s="38" t="n">
        <v>1.833333333333333</v>
      </c>
      <c r="Z86" s="39" t="n">
        <v>1</v>
      </c>
      <c r="AA86" s="39" t="n">
        <v>1</v>
      </c>
    </row>
    <row r="87" ht="15" customHeight="1" s="19">
      <c r="A87" s="34" t="inlineStr">
        <is>
          <t>Mohamed HAMDANI</t>
        </is>
      </c>
      <c r="B87" s="25" t="n">
        <v>2026</v>
      </c>
      <c r="C87" s="25" t="n">
        <v>26</v>
      </c>
      <c r="D87" s="25">
        <f>B87&amp;"-S"&amp;TEXT(C87,"00")</f>
        <v/>
      </c>
      <c r="E87" s="34" t="inlineStr">
        <is>
          <t>0130009109 CM - Eurocompte jeune 072026</t>
        </is>
      </c>
      <c r="F87" s="25" t="inlineStr">
        <is>
          <t>pdf</t>
        </is>
      </c>
      <c r="G87" s="35" t="n">
        <v>46196</v>
      </c>
      <c r="H87" s="25" t="inlineStr">
        <is>
          <t>RAPDF</t>
        </is>
      </c>
      <c r="I87" s="27" t="n">
        <v>100</v>
      </c>
      <c r="J87" s="34">
        <f>IF(I87="","À saisir",IF(I87&gt;=85,"CONFORME (≥85%)","NON CONFORME (&lt;85%)"))</f>
        <v/>
      </c>
      <c r="K87" s="25" t="n">
        <v>14</v>
      </c>
      <c r="L87" s="25" t="n">
        <v>0</v>
      </c>
      <c r="M87" s="25" t="n">
        <v>32</v>
      </c>
      <c r="N87" s="36" t="n"/>
      <c r="O87" s="36" t="n"/>
      <c r="P87" s="37" t="n">
        <v>5</v>
      </c>
      <c r="Q87" s="37" t="n">
        <v>5</v>
      </c>
      <c r="R87" s="37" t="n">
        <v>0</v>
      </c>
      <c r="S87" s="37" t="n">
        <v>0</v>
      </c>
      <c r="T87" s="37" t="n">
        <v>0</v>
      </c>
      <c r="U87" s="37" t="n">
        <v>0</v>
      </c>
      <c r="V87" s="37" t="n">
        <v>1</v>
      </c>
      <c r="W87" s="37" t="n">
        <v>51</v>
      </c>
      <c r="X87" s="38" t="n">
        <v>1.833333333333333</v>
      </c>
      <c r="Y87" s="38" t="n">
        <v>1.833333333333333</v>
      </c>
      <c r="Z87" s="39" t="n">
        <v>1</v>
      </c>
      <c r="AA87" s="39" t="n">
        <v>1</v>
      </c>
    </row>
    <row r="88" ht="15" customHeight="1" s="19">
      <c r="A88" s="34" t="inlineStr">
        <is>
          <t>Hiba LISSAOUI</t>
        </is>
      </c>
      <c r="B88" s="25" t="n">
        <v>2026</v>
      </c>
      <c r="C88" s="25" t="n">
        <v>27</v>
      </c>
      <c r="D88" s="25">
        <f>B88&amp;"-S"&amp;TEXT(C88,"00")</f>
        <v/>
      </c>
      <c r="E88" s="34" t="inlineStr">
        <is>
          <t>COL_9902030098_011000823633463</t>
        </is>
      </c>
      <c r="F88" s="25" t="inlineStr">
        <is>
          <t>pdf</t>
        </is>
      </c>
      <c r="G88" s="35" t="n">
        <v>46203</v>
      </c>
      <c r="H88" s="25" t="inlineStr">
        <is>
          <t>RAPDF</t>
        </is>
      </c>
      <c r="I88" s="27" t="n">
        <v>100</v>
      </c>
      <c r="J88" s="34">
        <f>IF(I88="","À saisir",IF(I88&gt;=85,"CONFORME (≥85%)","NON CONFORME (&lt;85%)"))</f>
        <v/>
      </c>
      <c r="K88" s="25" t="n">
        <v>13</v>
      </c>
      <c r="L88" s="25" t="n">
        <v>0</v>
      </c>
      <c r="M88" s="25" t="n">
        <v>33</v>
      </c>
      <c r="N88" s="36" t="n"/>
      <c r="O88" s="36" t="n"/>
      <c r="P88" s="37" t="n">
        <v>5</v>
      </c>
      <c r="Q88" s="37" t="n">
        <v>5</v>
      </c>
      <c r="R88" s="37" t="n">
        <v>0</v>
      </c>
      <c r="S88" s="37" t="n">
        <v>0</v>
      </c>
      <c r="T88" s="37" t="n">
        <v>0</v>
      </c>
      <c r="U88" s="37" t="n">
        <v>0</v>
      </c>
      <c r="V88" s="37" t="n">
        <v>0</v>
      </c>
      <c r="W88" s="37" t="n">
        <v>0</v>
      </c>
      <c r="X88" s="38" t="n">
        <v>1.833333333333333</v>
      </c>
      <c r="Y88" s="38" t="n">
        <v>1.833333333333333</v>
      </c>
      <c r="Z88" s="39" t="n">
        <v>1</v>
      </c>
      <c r="AA88" s="39" t="n">
        <v>1</v>
      </c>
    </row>
    <row r="89" ht="15" customHeight="1" s="19">
      <c r="A89" s="34" t="inlineStr">
        <is>
          <t>Imad RMAIDI</t>
        </is>
      </c>
      <c r="B89" s="25" t="n">
        <v>2026</v>
      </c>
      <c r="C89" s="25" t="n">
        <v>27</v>
      </c>
      <c r="D89" s="25">
        <f>B89&amp;"-S"&amp;TEXT(C89,"00")</f>
        <v/>
      </c>
      <c r="E89" s="34" t="inlineStr">
        <is>
          <t>COL_9902030098_011000823633466</t>
        </is>
      </c>
      <c r="F89" s="25" t="inlineStr">
        <is>
          <t>pdf</t>
        </is>
      </c>
      <c r="G89" s="35" t="n">
        <v>46204</v>
      </c>
      <c r="H89" s="25" t="inlineStr">
        <is>
          <t>RAPDF</t>
        </is>
      </c>
      <c r="I89" s="27" t="n">
        <v>100</v>
      </c>
      <c r="J89" s="34">
        <f>IF(I89="","À saisir",IF(I89&gt;=85,"CONFORME (≥85%)","NON CONFORME (&lt;85%)"))</f>
        <v/>
      </c>
      <c r="K89" s="25" t="n">
        <v>12</v>
      </c>
      <c r="L89" s="25" t="n">
        <v>0</v>
      </c>
      <c r="M89" s="25" t="n">
        <v>34</v>
      </c>
      <c r="N89" s="36" t="n"/>
      <c r="O89" s="36" t="n"/>
      <c r="P89" s="37" t="n">
        <v>5</v>
      </c>
      <c r="Q89" s="37" t="n">
        <v>5</v>
      </c>
      <c r="R89" s="37" t="n">
        <v>0</v>
      </c>
      <c r="S89" s="37" t="n">
        <v>0</v>
      </c>
      <c r="T89" s="37" t="n">
        <v>0</v>
      </c>
      <c r="U89" s="37" t="n">
        <v>0</v>
      </c>
      <c r="V89" s="37" t="n">
        <v>0</v>
      </c>
      <c r="W89" s="37" t="n">
        <v>0</v>
      </c>
      <c r="X89" s="38" t="n">
        <v>1.833333333333333</v>
      </c>
      <c r="Y89" s="38" t="n">
        <v>1.833333333333333</v>
      </c>
      <c r="Z89" s="39" t="n">
        <v>1</v>
      </c>
      <c r="AA89" s="39" t="n">
        <v>1</v>
      </c>
    </row>
    <row r="90" ht="15" customHeight="1" s="19">
      <c r="A90" s="34" t="inlineStr">
        <is>
          <t>Mohamed HAMDANI</t>
        </is>
      </c>
      <c r="B90" s="25" t="n">
        <v>2026</v>
      </c>
      <c r="C90" s="25" t="n">
        <v>27</v>
      </c>
      <c r="D90" s="25">
        <f>B90&amp;"-S"&amp;TEXT(C90,"00")</f>
        <v/>
      </c>
      <c r="E90" s="34" t="inlineStr">
        <is>
          <t>COL_9902030092_011000709664942</t>
        </is>
      </c>
      <c r="F90" s="25" t="inlineStr">
        <is>
          <t>pdf</t>
        </is>
      </c>
      <c r="G90" s="35" t="n">
        <v>46203</v>
      </c>
      <c r="H90" s="25" t="inlineStr">
        <is>
          <t>RAPDF</t>
        </is>
      </c>
      <c r="I90" s="27" t="n">
        <v>100</v>
      </c>
      <c r="J90" s="34">
        <f>IF(I90="","À saisir",IF(I90&gt;=85,"CONFORME (≥85%)","NON CONFORME (&lt;85%)"))</f>
        <v/>
      </c>
      <c r="K90" s="25" t="n">
        <v>13</v>
      </c>
      <c r="L90" s="25" t="n">
        <v>0</v>
      </c>
      <c r="M90" s="25" t="n">
        <v>33</v>
      </c>
      <c r="N90" s="36" t="n"/>
      <c r="O90" s="36" t="n"/>
      <c r="P90" s="37" t="n">
        <v>5</v>
      </c>
      <c r="Q90" s="37" t="n">
        <v>5</v>
      </c>
      <c r="R90" s="37" t="n">
        <v>0</v>
      </c>
      <c r="S90" s="37" t="n">
        <v>0</v>
      </c>
      <c r="T90" s="37" t="n">
        <v>0</v>
      </c>
      <c r="U90" s="37" t="n">
        <v>0</v>
      </c>
      <c r="V90" s="37" t="n">
        <v>0</v>
      </c>
      <c r="W90" s="37" t="n">
        <v>0</v>
      </c>
      <c r="X90" s="38" t="n">
        <v>1.833333333333333</v>
      </c>
      <c r="Y90" s="38" t="n">
        <v>1.833333333333333</v>
      </c>
      <c r="Z90" s="39" t="n">
        <v>1</v>
      </c>
      <c r="AA90" s="39" t="n">
        <v>1</v>
      </c>
    </row>
    <row r="91" ht="15" customHeight="1" s="19">
      <c r="A91" s="34" t="inlineStr">
        <is>
          <t>Hiba LISSAOUI</t>
        </is>
      </c>
      <c r="B91" s="25" t="n">
        <v>2026</v>
      </c>
      <c r="C91" s="25" t="n">
        <v>28</v>
      </c>
      <c r="D91" s="25">
        <f>B91&amp;"-S"&amp;TEXT(C91,"00")</f>
        <v/>
      </c>
      <c r="E91" s="34" t="inlineStr">
        <is>
          <t>IRD_9902030015_011000527904321</t>
        </is>
      </c>
      <c r="F91" s="25" t="inlineStr">
        <is>
          <t>pdf</t>
        </is>
      </c>
      <c r="G91" s="35" t="n">
        <v>46210</v>
      </c>
      <c r="H91" s="25" t="inlineStr">
        <is>
          <t>RAPDF</t>
        </is>
      </c>
      <c r="I91" s="27" t="n">
        <v>100</v>
      </c>
      <c r="J91" s="34">
        <f>IF(I91="","À saisir",IF(I91&gt;=85,"CONFORME (≥85%)","NON CONFORME (&lt;85%)"))</f>
        <v/>
      </c>
      <c r="K91" s="25" t="n">
        <v>14</v>
      </c>
      <c r="L91" s="25" t="n">
        <v>0</v>
      </c>
      <c r="M91" s="25" t="n">
        <v>32</v>
      </c>
      <c r="N91" s="36" t="n"/>
      <c r="O91" s="36" t="n"/>
      <c r="P91" s="37" t="n">
        <v>5</v>
      </c>
      <c r="Q91" s="37" t="n">
        <v>5</v>
      </c>
      <c r="R91" s="37" t="n">
        <v>0</v>
      </c>
      <c r="S91" s="37" t="n">
        <v>0</v>
      </c>
      <c r="T91" s="37" t="n">
        <v>0</v>
      </c>
      <c r="U91" s="37" t="n">
        <v>0</v>
      </c>
      <c r="V91" s="37" t="n">
        <v>0</v>
      </c>
      <c r="W91" s="37" t="n">
        <v>0</v>
      </c>
      <c r="X91" s="38" t="n">
        <v>1.833333333333333</v>
      </c>
      <c r="Y91" s="38" t="n">
        <v>1.833333333333333</v>
      </c>
      <c r="Z91" s="39" t="n">
        <v>1</v>
      </c>
      <c r="AA91" s="39" t="n">
        <v>1</v>
      </c>
    </row>
    <row r="92" ht="15" customHeight="1" s="19">
      <c r="A92" s="34" t="inlineStr">
        <is>
          <t>Imad RMAIDI</t>
        </is>
      </c>
      <c r="B92" s="25" t="n">
        <v>2026</v>
      </c>
      <c r="C92" s="25" t="n">
        <v>28</v>
      </c>
      <c r="D92" s="25">
        <f>B92&amp;"-S"&amp;TEXT(C92,"00")</f>
        <v/>
      </c>
      <c r="E92" s="34" t="inlineStr">
        <is>
          <t>IRD_9902030015_011000527904323</t>
        </is>
      </c>
      <c r="F92" s="25" t="inlineStr">
        <is>
          <t>pdf</t>
        </is>
      </c>
      <c r="G92" s="35" t="n">
        <v>46211</v>
      </c>
      <c r="H92" s="25" t="inlineStr">
        <is>
          <t>RAPDF</t>
        </is>
      </c>
      <c r="I92" s="27" t="n">
        <v>100</v>
      </c>
      <c r="J92" s="34">
        <f>IF(I92="","À saisir",IF(I92&gt;=85,"CONFORME (≥85%)","NON CONFORME (&lt;85%)"))</f>
        <v/>
      </c>
      <c r="K92" s="25" t="n">
        <v>13</v>
      </c>
      <c r="L92" s="25" t="n">
        <v>0</v>
      </c>
      <c r="M92" s="25" t="n">
        <v>33</v>
      </c>
      <c r="N92" s="36" t="n"/>
      <c r="O92" s="36" t="n"/>
      <c r="P92" s="37" t="n">
        <v>5</v>
      </c>
      <c r="Q92" s="37" t="n">
        <v>5</v>
      </c>
      <c r="R92" s="37" t="n">
        <v>0</v>
      </c>
      <c r="S92" s="37" t="n">
        <v>0</v>
      </c>
      <c r="T92" s="37" t="n">
        <v>0</v>
      </c>
      <c r="U92" s="37" t="n">
        <v>0</v>
      </c>
      <c r="V92" s="37" t="n">
        <v>0</v>
      </c>
      <c r="W92" s="37" t="n">
        <v>0</v>
      </c>
      <c r="X92" s="38" t="n">
        <v>1.833333333333333</v>
      </c>
      <c r="Y92" s="38" t="n">
        <v>1.833333333333333</v>
      </c>
      <c r="Z92" s="39" t="n">
        <v>1</v>
      </c>
      <c r="AA92" s="39" t="n">
        <v>1</v>
      </c>
    </row>
    <row r="93" ht="15" customHeight="1" s="19">
      <c r="A93" s="34" t="inlineStr">
        <is>
          <t>Mohamed HAMDANI</t>
        </is>
      </c>
      <c r="B93" s="25" t="n">
        <v>2026</v>
      </c>
      <c r="C93" s="25" t="n">
        <v>28</v>
      </c>
      <c r="D93" s="25">
        <f>B93&amp;"-S"&amp;TEXT(C93,"00")</f>
        <v/>
      </c>
      <c r="E93" s="34" t="inlineStr">
        <is>
          <t>IRD_9902030015_011000527904322</t>
        </is>
      </c>
      <c r="F93" s="25" t="inlineStr">
        <is>
          <t>pdf</t>
        </is>
      </c>
      <c r="G93" s="35" t="n">
        <v>46210</v>
      </c>
      <c r="H93" s="25" t="inlineStr">
        <is>
          <t>RAPDF</t>
        </is>
      </c>
      <c r="I93" s="27" t="n">
        <v>100</v>
      </c>
      <c r="J93" s="34">
        <f>IF(I93="","À saisir",IF(I93&gt;=85,"CONFORME (≥85%)","NON CONFORME (&lt;85%)"))</f>
        <v/>
      </c>
      <c r="K93" s="25" t="n">
        <v>14</v>
      </c>
      <c r="L93" s="25" t="n">
        <v>0</v>
      </c>
      <c r="M93" s="25" t="n">
        <v>32</v>
      </c>
      <c r="N93" s="36" t="n"/>
      <c r="O93" s="36" t="n"/>
      <c r="P93" s="37" t="n">
        <v>5</v>
      </c>
      <c r="Q93" s="37" t="n">
        <v>5</v>
      </c>
      <c r="R93" s="37" t="n">
        <v>0</v>
      </c>
      <c r="S93" s="37" t="n">
        <v>0</v>
      </c>
      <c r="T93" s="37" t="n">
        <v>0</v>
      </c>
      <c r="U93" s="37" t="n">
        <v>0</v>
      </c>
      <c r="V93" s="37" t="n">
        <v>0</v>
      </c>
      <c r="W93" s="37" t="n">
        <v>0</v>
      </c>
      <c r="X93" s="38" t="n">
        <v>1.833333333333333</v>
      </c>
      <c r="Y93" s="38" t="n">
        <v>1.833333333333333</v>
      </c>
      <c r="Z93" s="39" t="n">
        <v>1</v>
      </c>
      <c r="AA93" s="39" t="n">
        <v>1</v>
      </c>
    </row>
    <row r="94" ht="35.05" customHeight="1" s="19">
      <c r="A94" s="34" t="inlineStr">
        <is>
          <t>Hiba LISSAOUI</t>
        </is>
      </c>
      <c r="B94" s="25" t="n">
        <v>2026</v>
      </c>
      <c r="C94" s="25" t="n">
        <v>29</v>
      </c>
      <c r="D94" s="25">
        <f>B94&amp;"-S"&amp;TEXT(C94,"00")</f>
        <v/>
      </c>
      <c r="E94" s="34" t="inlineStr">
        <is>
          <t>PJU_9902030015_011000715122529</t>
        </is>
      </c>
      <c r="F94" s="25" t="inlineStr">
        <is>
          <t>pdf</t>
        </is>
      </c>
      <c r="G94" s="35" t="n">
        <v>46220</v>
      </c>
      <c r="H94" s="25" t="inlineStr">
        <is>
          <t>RAPDF</t>
        </is>
      </c>
      <c r="I94" s="27" t="n">
        <v>92.3</v>
      </c>
      <c r="J94" s="34">
        <f>IF(I94="","À saisir",IF(I94&gt;=85,"CONFORME (≥85%)","NON CONFORME (&lt;85%)"))</f>
        <v/>
      </c>
      <c r="K94" s="25" t="n">
        <v>12</v>
      </c>
      <c r="L94" s="25" t="n">
        <v>1</v>
      </c>
      <c r="M94" s="25" t="n">
        <v>33</v>
      </c>
      <c r="N94" s="36" t="inlineStr">
        <is>
          <t>2.2 – Le contraste entre la couleur du texte et la couleur de son arrière-plan est-il suffisamment élevé ? (Le Ratio d e contraste des puces n'est pas conforme "car il s'adit d'un document IPID")</t>
        </is>
      </c>
      <c r="O94" s="36" t="inlineStr">
        <is>
          <t>Debrief de l’agent pour le sensibiliser à l’importance d’être vigilant sur le traitement, puis exercice pratique avec l’ensemble de l’équipe.</t>
        </is>
      </c>
      <c r="P94" s="37" t="n">
        <v>4</v>
      </c>
      <c r="Q94" s="37" t="n">
        <v>4</v>
      </c>
      <c r="R94" s="37" t="n">
        <v>0</v>
      </c>
      <c r="S94" s="37" t="n">
        <v>0</v>
      </c>
      <c r="T94" s="37" t="n">
        <v>0</v>
      </c>
      <c r="U94" s="37" t="n">
        <v>0</v>
      </c>
      <c r="V94" s="37" t="n">
        <v>0</v>
      </c>
      <c r="W94" s="37" t="n">
        <v>0</v>
      </c>
      <c r="X94" s="38" t="n">
        <v>1.458333333333333</v>
      </c>
      <c r="Y94" s="38" t="n">
        <v>1.458333333333333</v>
      </c>
      <c r="Z94" s="39" t="n">
        <v>1</v>
      </c>
      <c r="AA94" s="39" t="n">
        <v>1</v>
      </c>
    </row>
    <row r="95" ht="15" customHeight="1" s="19">
      <c r="A95" s="34" t="inlineStr">
        <is>
          <t>Imad RMAIDI</t>
        </is>
      </c>
      <c r="B95" s="25" t="n">
        <v>2026</v>
      </c>
      <c r="C95" s="25" t="n">
        <v>29</v>
      </c>
      <c r="D95" s="25">
        <f>B95&amp;"-S"&amp;TEXT(C95,"00")</f>
        <v/>
      </c>
      <c r="E95" s="34" t="inlineStr">
        <is>
          <t>IRD_9902030015_011000882672599</t>
        </is>
      </c>
      <c r="F95" s="25" t="inlineStr">
        <is>
          <t>pdf</t>
        </is>
      </c>
      <c r="G95" s="35" t="n">
        <v>46217</v>
      </c>
      <c r="H95" s="25" t="inlineStr">
        <is>
          <t>RAPDF</t>
        </is>
      </c>
      <c r="I95" s="27" t="n">
        <v>100</v>
      </c>
      <c r="J95" s="34">
        <f>IF(I95="","À saisir",IF(I95&gt;=85,"CONFORME (≥85%)","NON CONFORME (&lt;85%)"))</f>
        <v/>
      </c>
      <c r="K95" s="25" t="n">
        <v>16</v>
      </c>
      <c r="L95" s="25" t="n">
        <v>0</v>
      </c>
      <c r="M95" s="25" t="n">
        <v>30</v>
      </c>
      <c r="N95" s="36" t="n"/>
      <c r="O95" s="36" t="n"/>
      <c r="P95" s="37" t="n">
        <v>4</v>
      </c>
      <c r="Q95" s="37" t="n">
        <v>4</v>
      </c>
      <c r="R95" s="37" t="n">
        <v>0</v>
      </c>
      <c r="S95" s="37" t="n">
        <v>0</v>
      </c>
      <c r="T95" s="37" t="n">
        <v>0</v>
      </c>
      <c r="U95" s="37" t="n">
        <v>0</v>
      </c>
      <c r="V95" s="37" t="n">
        <v>0</v>
      </c>
      <c r="W95" s="37" t="n">
        <v>0</v>
      </c>
      <c r="X95" s="38" t="n">
        <v>1.458333333333333</v>
      </c>
      <c r="Y95" s="38" t="n">
        <v>1.458333333333333</v>
      </c>
      <c r="Z95" s="39" t="n">
        <v>1</v>
      </c>
      <c r="AA95" s="39" t="n">
        <v>1</v>
      </c>
    </row>
    <row r="96" ht="15" customHeight="1" s="19">
      <c r="A96" s="34" t="inlineStr">
        <is>
          <t>Hiba LISSAOUI</t>
        </is>
      </c>
      <c r="B96" s="25" t="n">
        <v>2026</v>
      </c>
      <c r="C96" s="25" t="n">
        <v>30</v>
      </c>
      <c r="D96" s="25">
        <f>B96&amp;"-S"&amp;TEXT(C96,"00")</f>
        <v/>
      </c>
      <c r="E96" s="34" t="inlineStr">
        <is>
          <t>FC Compte courant basic</t>
        </is>
      </c>
      <c r="F96" s="25" t="inlineStr">
        <is>
          <t>word</t>
        </is>
      </c>
      <c r="G96" s="35" t="n">
        <v>46224</v>
      </c>
      <c r="H96" s="25" t="inlineStr">
        <is>
          <t>RAPDF</t>
        </is>
      </c>
      <c r="I96" s="27" t="n">
        <v>100</v>
      </c>
      <c r="J96" s="34">
        <f>IF(I96="","À saisir",IF(I96&gt;=85,"CONFORME (≥85%)","NON CONFORME (&lt;85%)"))</f>
        <v/>
      </c>
      <c r="K96" s="25" t="n">
        <v>15</v>
      </c>
      <c r="L96" s="25" t="n">
        <v>0</v>
      </c>
      <c r="M96" s="25" t="n">
        <v>31</v>
      </c>
      <c r="N96" s="36" t="n"/>
      <c r="O96" s="36" t="n"/>
      <c r="P96" s="37" t="n">
        <v>5</v>
      </c>
      <c r="Q96" s="37" t="n">
        <v>5</v>
      </c>
      <c r="R96" s="37" t="n">
        <v>0</v>
      </c>
      <c r="S96" s="37" t="n">
        <v>0</v>
      </c>
      <c r="T96" s="37" t="n">
        <v>0</v>
      </c>
      <c r="U96" s="37" t="n">
        <v>0</v>
      </c>
      <c r="V96" s="37" t="n">
        <v>0</v>
      </c>
      <c r="W96" s="37" t="n">
        <v>0</v>
      </c>
      <c r="X96" s="38" t="n">
        <v>1.833333333333333</v>
      </c>
      <c r="Y96" s="38" t="n">
        <v>1.833333333333333</v>
      </c>
      <c r="Z96" s="39" t="n">
        <v>1</v>
      </c>
      <c r="AA96" s="39" t="n">
        <v>1</v>
      </c>
    </row>
    <row r="97" ht="15" customHeight="1" s="19">
      <c r="A97" s="34" t="inlineStr">
        <is>
          <t>Imad RMAIDI</t>
        </is>
      </c>
      <c r="B97" s="25" t="n">
        <v>2026</v>
      </c>
      <c r="C97" s="25" t="n">
        <v>30</v>
      </c>
      <c r="D97" s="25">
        <f>B97&amp;"-S"&amp;TEXT(C97,"00")</f>
        <v/>
      </c>
      <c r="E97" s="34" t="inlineStr">
        <is>
          <t>FC capital expansion 07 2026</t>
        </is>
      </c>
      <c r="F97" s="25" t="inlineStr">
        <is>
          <t>pdf</t>
        </is>
      </c>
      <c r="G97" s="35" t="n">
        <v>46225</v>
      </c>
      <c r="H97" s="25" t="inlineStr">
        <is>
          <t>RAPDF</t>
        </is>
      </c>
      <c r="I97" s="27" t="n">
        <v>100</v>
      </c>
      <c r="J97" s="34">
        <f>IF(I97="","À saisir",IF(I97&gt;=85,"CONFORME (≥85%)","NON CONFORME (&lt;85%)"))</f>
        <v/>
      </c>
      <c r="K97" s="25" t="n">
        <v>13</v>
      </c>
      <c r="L97" s="25" t="n">
        <v>0</v>
      </c>
      <c r="M97" s="25" t="n">
        <v>33</v>
      </c>
      <c r="N97" s="36" t="n"/>
      <c r="O97" s="36" t="n"/>
      <c r="P97" s="37" t="n">
        <v>5</v>
      </c>
      <c r="Q97" s="37" t="n">
        <v>5</v>
      </c>
      <c r="R97" s="37" t="n">
        <v>0</v>
      </c>
      <c r="S97" s="37" t="n">
        <v>0</v>
      </c>
      <c r="T97" s="37" t="n">
        <v>0</v>
      </c>
      <c r="U97" s="37" t="n">
        <v>0</v>
      </c>
      <c r="V97" s="37" t="n">
        <v>0</v>
      </c>
      <c r="W97" s="37" t="n">
        <v>0</v>
      </c>
      <c r="X97" s="38" t="n">
        <v>1.833333333333333</v>
      </c>
      <c r="Y97" s="38" t="n">
        <v>1.833333333333333</v>
      </c>
      <c r="Z97" s="39" t="n">
        <v>1</v>
      </c>
      <c r="AA97" s="39" t="n">
        <v>1</v>
      </c>
    </row>
    <row r="98" ht="15" customHeight="1" s="19">
      <c r="A98" s="34" t="inlineStr">
        <is>
          <t>Mohamed HAMDANI</t>
        </is>
      </c>
      <c r="B98" s="25" t="n">
        <v>2026</v>
      </c>
      <c r="C98" s="25" t="n">
        <v>30</v>
      </c>
      <c r="D98" s="25">
        <f>B98&amp;"-S"&amp;TEXT(C98,"00")</f>
        <v/>
      </c>
      <c r="E98" s="34" t="inlineStr">
        <is>
          <t>FC LIVRET JEUNE 07 2026</t>
        </is>
      </c>
      <c r="F98" s="25" t="inlineStr">
        <is>
          <t>pdf</t>
        </is>
      </c>
      <c r="G98" s="35" t="n">
        <v>46224</v>
      </c>
      <c r="H98" s="25" t="inlineStr">
        <is>
          <t>RAPDF</t>
        </is>
      </c>
      <c r="I98" s="27" t="n">
        <v>100</v>
      </c>
      <c r="J98" s="34">
        <f>IF(I98="","À saisir",IF(I98&gt;=85,"CONFORME (≥85%)","NON CONFORME (&lt;85%)"))</f>
        <v/>
      </c>
      <c r="K98" s="25" t="n">
        <v>16</v>
      </c>
      <c r="L98" s="25" t="n">
        <v>0</v>
      </c>
      <c r="M98" s="25" t="n">
        <v>30</v>
      </c>
      <c r="N98" s="36" t="n"/>
      <c r="O98" s="36" t="n"/>
      <c r="P98" s="37" t="n">
        <v>4</v>
      </c>
      <c r="Q98" s="37" t="n">
        <v>4</v>
      </c>
      <c r="R98" s="37" t="n">
        <v>0</v>
      </c>
      <c r="S98" s="37" t="n">
        <v>0</v>
      </c>
      <c r="T98" s="37" t="n">
        <v>1</v>
      </c>
      <c r="U98" s="37" t="n">
        <v>0</v>
      </c>
      <c r="V98" s="37" t="n">
        <v>0</v>
      </c>
      <c r="W98" s="37" t="n">
        <v>0</v>
      </c>
      <c r="X98" s="38" t="n">
        <v>1.5</v>
      </c>
      <c r="Y98" s="38" t="n">
        <v>1.5</v>
      </c>
      <c r="Z98" s="39" t="n">
        <v>1</v>
      </c>
      <c r="AA98" s="39" t="n">
        <v>1</v>
      </c>
    </row>
    <row r="99" ht="15" customHeight="1" s="19">
      <c r="A99" s="34" t="inlineStr">
        <is>
          <t>Hiba LISSAOUI</t>
        </is>
      </c>
      <c r="B99" s="25" t="n">
        <v>2026</v>
      </c>
      <c r="C99" s="25" t="n">
        <v>31</v>
      </c>
      <c r="D99" s="25">
        <f>B99&amp;"-S"&amp;TEXT(C99,"00")</f>
        <v/>
      </c>
      <c r="E99" s="34" t="inlineStr">
        <is>
          <t>IRD_9902030015_011000527904322</t>
        </is>
      </c>
      <c r="F99" s="25" t="inlineStr">
        <is>
          <t>pdf</t>
        </is>
      </c>
      <c r="G99" s="35" t="n">
        <v>46231</v>
      </c>
      <c r="H99" s="25" t="inlineStr">
        <is>
          <t>RAPDF</t>
        </is>
      </c>
      <c r="I99" s="27" t="n">
        <v>100</v>
      </c>
      <c r="J99" s="34">
        <f>IF(I99="","À saisir",IF(I99&gt;=85,"CONFORME (≥85%)","NON CONFORME (&lt;85%)"))</f>
        <v/>
      </c>
      <c r="K99" s="25" t="n">
        <v>14</v>
      </c>
      <c r="L99" s="25" t="n">
        <v>0</v>
      </c>
      <c r="M99" s="25" t="n">
        <v>32</v>
      </c>
      <c r="N99" s="36" t="n"/>
      <c r="O99" s="36" t="n"/>
      <c r="P99" s="37" t="n">
        <v>4</v>
      </c>
      <c r="Q99" s="37" t="n">
        <v>4</v>
      </c>
      <c r="R99" s="37" t="n">
        <v>0</v>
      </c>
      <c r="S99" s="37" t="n">
        <v>0</v>
      </c>
      <c r="T99" s="37" t="n">
        <v>1</v>
      </c>
      <c r="U99" s="37" t="n">
        <v>0</v>
      </c>
      <c r="V99" s="37" t="n">
        <v>0</v>
      </c>
      <c r="W99" s="37" t="n">
        <v>0</v>
      </c>
      <c r="X99" s="38" t="n">
        <v>1.458333333333333</v>
      </c>
      <c r="Y99" s="38" t="n">
        <v>1.458333333333333</v>
      </c>
      <c r="Z99" s="39" t="n">
        <v>1</v>
      </c>
      <c r="AA99" s="39" t="n">
        <v>1</v>
      </c>
    </row>
    <row r="100" ht="15" customHeight="1" s="19">
      <c r="A100" s="34" t="inlineStr">
        <is>
          <t>Imad RMAIDI</t>
        </is>
      </c>
      <c r="B100" s="25" t="n">
        <v>2026</v>
      </c>
      <c r="C100" s="25" t="n">
        <v>31</v>
      </c>
      <c r="D100" s="25">
        <f>B100&amp;"-S"&amp;TEXT(C100,"00")</f>
        <v/>
      </c>
      <c r="E100" s="34" t="inlineStr">
        <is>
          <t>IRD_9902030015_011000527904325</t>
        </is>
      </c>
      <c r="F100" s="25" t="inlineStr">
        <is>
          <t>pdf</t>
        </is>
      </c>
      <c r="G100" s="35" t="n">
        <v>46232</v>
      </c>
      <c r="H100" s="25" t="inlineStr">
        <is>
          <t>RAPDF</t>
        </is>
      </c>
      <c r="I100" s="27" t="n">
        <v>100</v>
      </c>
      <c r="J100" s="34">
        <f>IF(I100="","À saisir",IF(I100&gt;=85,"CONFORME (≥85%)","NON CONFORME (&lt;85%)"))</f>
        <v/>
      </c>
      <c r="K100" s="25" t="n">
        <v>16</v>
      </c>
      <c r="L100" s="25" t="n">
        <v>0</v>
      </c>
      <c r="M100" s="25" t="n">
        <v>30</v>
      </c>
      <c r="N100" s="36" t="n"/>
      <c r="O100" s="36" t="n"/>
      <c r="P100" s="37" t="n">
        <v>5</v>
      </c>
      <c r="Q100" s="37" t="n">
        <v>5</v>
      </c>
      <c r="R100" s="37" t="n">
        <v>0</v>
      </c>
      <c r="S100" s="37" t="n">
        <v>0</v>
      </c>
      <c r="T100" s="37" t="n">
        <v>0</v>
      </c>
      <c r="U100" s="37" t="n">
        <v>0</v>
      </c>
      <c r="V100" s="37" t="n">
        <v>0</v>
      </c>
      <c r="W100" s="37" t="n">
        <v>0</v>
      </c>
      <c r="X100" s="38" t="n">
        <v>1.833333333333333</v>
      </c>
      <c r="Y100" s="38" t="n">
        <v>1.833333333333333</v>
      </c>
      <c r="Z100" s="39" t="n">
        <v>1</v>
      </c>
      <c r="AA100" s="39" t="n">
        <v>1</v>
      </c>
    </row>
    <row r="101" ht="15" customHeight="1" s="19">
      <c r="A101" s="34" t="inlineStr">
        <is>
          <t>Mohamed HAMDANI</t>
        </is>
      </c>
      <c r="B101" s="25" t="n">
        <v>2026</v>
      </c>
      <c r="C101" s="25" t="n">
        <v>31</v>
      </c>
      <c r="D101" s="25">
        <f>B101&amp;"-S"&amp;TEXT(C101,"00")</f>
        <v/>
      </c>
      <c r="E101" s="34" t="inlineStr">
        <is>
          <t>0470005537 CIC - FZ Parcours J</t>
        </is>
      </c>
      <c r="F101" s="25" t="inlineStr">
        <is>
          <t>pdf</t>
        </is>
      </c>
      <c r="G101" s="35" t="n">
        <v>46231</v>
      </c>
      <c r="H101" s="25" t="inlineStr">
        <is>
          <t>RAPDF</t>
        </is>
      </c>
      <c r="I101" s="27" t="n">
        <v>100</v>
      </c>
      <c r="J101" s="34">
        <f>IF(I101="","À saisir",IF(I101&gt;=85,"CONFORME (≥85%)","NON CONFORME (&lt;85%)"))</f>
        <v/>
      </c>
      <c r="K101" s="25" t="n">
        <v>14</v>
      </c>
      <c r="L101" s="25" t="n">
        <v>0</v>
      </c>
      <c r="M101" s="25" t="n">
        <v>32</v>
      </c>
      <c r="N101" s="36" t="n"/>
      <c r="O101" s="36" t="n"/>
      <c r="P101" s="37" t="n">
        <v>5</v>
      </c>
      <c r="Q101" s="37" t="n">
        <v>5</v>
      </c>
      <c r="R101" s="37" t="n">
        <v>0</v>
      </c>
      <c r="S101" s="37" t="n">
        <v>0</v>
      </c>
      <c r="T101" s="37" t="n">
        <v>0</v>
      </c>
      <c r="U101" s="37" t="n">
        <v>0</v>
      </c>
      <c r="V101" s="37" t="n">
        <v>0</v>
      </c>
      <c r="W101" s="37" t="n">
        <v>0</v>
      </c>
      <c r="X101" s="38" t="n">
        <v>1.833333333333333</v>
      </c>
      <c r="Y101" s="38" t="n">
        <v>1.833333333333333</v>
      </c>
      <c r="Z101" s="39" t="n">
        <v>1</v>
      </c>
      <c r="AA101" s="39" t="n">
        <v>1</v>
      </c>
    </row>
    <row r="102" ht="15" customHeight="1" s="19">
      <c r="A102" s="34" t="inlineStr">
        <is>
          <t>Hiba LISSAOUI</t>
        </is>
      </c>
      <c r="B102" s="25" t="n">
        <v>2026</v>
      </c>
      <c r="C102" s="25" t="n">
        <v>32</v>
      </c>
      <c r="D102" s="25">
        <f>B102&amp;"-S"&amp;TEXT(C102,"00")</f>
        <v/>
      </c>
      <c r="E102" s="34" t="inlineStr">
        <is>
          <t>IRD_9902030015_011000625586072</t>
        </is>
      </c>
      <c r="F102" s="25" t="inlineStr">
        <is>
          <t>pdf</t>
        </is>
      </c>
      <c r="G102" s="35" t="n">
        <v>46237</v>
      </c>
      <c r="H102" s="25" t="inlineStr">
        <is>
          <t>RAPDF</t>
        </is>
      </c>
      <c r="I102" s="27" t="n">
        <v>100</v>
      </c>
      <c r="J102" s="34">
        <f>IF(I102="","À saisir",IF(I102&gt;=85,"CONFORME (≥85%)","NON CONFORME (&lt;85%)"))</f>
        <v/>
      </c>
      <c r="K102" s="25" t="n">
        <v>18</v>
      </c>
      <c r="L102" s="25" t="n">
        <v>0</v>
      </c>
      <c r="M102" s="25" t="n">
        <v>28</v>
      </c>
      <c r="N102" s="36" t="n"/>
      <c r="O102" s="36" t="n"/>
      <c r="P102" s="37" t="n">
        <v>5</v>
      </c>
      <c r="Q102" s="37" t="n">
        <v>5</v>
      </c>
      <c r="R102" s="37" t="n">
        <v>0</v>
      </c>
      <c r="S102" s="37" t="n">
        <v>0</v>
      </c>
      <c r="T102" s="37" t="n">
        <v>0</v>
      </c>
      <c r="U102" s="37" t="n">
        <v>0</v>
      </c>
      <c r="V102" s="37" t="n">
        <v>0</v>
      </c>
      <c r="W102" s="37" t="n">
        <v>0</v>
      </c>
      <c r="X102" s="38" t="n">
        <v>1.833333333333333</v>
      </c>
      <c r="Y102" s="38" t="n">
        <v>1.833333333333333</v>
      </c>
      <c r="Z102" s="39" t="n">
        <v>1</v>
      </c>
      <c r="AA102" s="39" t="n">
        <v>1</v>
      </c>
    </row>
    <row r="103" ht="15" customHeight="1" s="19">
      <c r="A103" s="34" t="inlineStr">
        <is>
          <t>Imad RMAIDI</t>
        </is>
      </c>
      <c r="B103" s="25" t="n">
        <v>2026</v>
      </c>
      <c r="C103" s="25" t="n">
        <v>32</v>
      </c>
      <c r="D103" s="25">
        <f>B103&amp;"-S"&amp;TEXT(C103,"00")</f>
        <v/>
      </c>
      <c r="E103" s="34" t="inlineStr">
        <is>
          <t>IRD_9902030015_011000625586081</t>
        </is>
      </c>
      <c r="F103" s="25" t="inlineStr">
        <is>
          <t>pdf</t>
        </is>
      </c>
      <c r="G103" s="35" t="n">
        <v>46241</v>
      </c>
      <c r="H103" s="25" t="inlineStr">
        <is>
          <t>RAPDF</t>
        </is>
      </c>
      <c r="I103" s="27" t="n">
        <v>100</v>
      </c>
      <c r="J103" s="34">
        <f>IF(I103="","À saisir",IF(I103&gt;=85,"CONFORME (≥85%)","NON CONFORME (&lt;85%)"))</f>
        <v/>
      </c>
      <c r="K103" s="25" t="n">
        <v>18</v>
      </c>
      <c r="L103" s="25" t="n">
        <v>0</v>
      </c>
      <c r="M103" s="25" t="n">
        <v>28</v>
      </c>
      <c r="N103" s="36" t="n"/>
      <c r="O103" s="36" t="n"/>
      <c r="P103" s="37" t="n">
        <v>5</v>
      </c>
      <c r="Q103" s="37" t="n">
        <v>5</v>
      </c>
      <c r="R103" s="37" t="n">
        <v>0</v>
      </c>
      <c r="S103" s="37" t="n">
        <v>0</v>
      </c>
      <c r="T103" s="37" t="n">
        <v>0</v>
      </c>
      <c r="U103" s="37" t="n">
        <v>0</v>
      </c>
      <c r="V103" s="37" t="n">
        <v>0</v>
      </c>
      <c r="W103" s="37" t="n">
        <v>0</v>
      </c>
      <c r="X103" s="38" t="n">
        <v>1.833333333333333</v>
      </c>
      <c r="Y103" s="38" t="n">
        <v>1.833333333333333</v>
      </c>
      <c r="Z103" s="39" t="n">
        <v>1</v>
      </c>
      <c r="AA103" s="39" t="n">
        <v>1</v>
      </c>
    </row>
    <row r="104" ht="79.84999999999999" customHeight="1" s="19">
      <c r="A104" s="34" t="inlineStr">
        <is>
          <t>Mohamed HAMDANI</t>
        </is>
      </c>
      <c r="B104" s="25" t="n">
        <v>2026</v>
      </c>
      <c r="C104" s="25" t="n">
        <v>32</v>
      </c>
      <c r="D104" s="25">
        <f>B104&amp;"-S"&amp;TEXT(C104,"00")</f>
        <v/>
      </c>
      <c r="E104" s="34" t="inlineStr">
        <is>
          <t>IRD_9902030015_011000586849369</t>
        </is>
      </c>
      <c r="F104" s="25" t="inlineStr">
        <is>
          <t>pdf</t>
        </is>
      </c>
      <c r="G104" s="35" t="n">
        <v>46243</v>
      </c>
      <c r="H104" s="25" t="inlineStr">
        <is>
          <t>RAPDF</t>
        </is>
      </c>
      <c r="I104" s="27" t="n">
        <v>92.3</v>
      </c>
      <c r="J104" s="34">
        <f>IF(I104="","À saisir",IF(I104&gt;=85,"CONFORME (≥85%)","NON CONFORME (&lt;85%)"))</f>
        <v/>
      </c>
      <c r="K104" s="25" t="n">
        <v>12</v>
      </c>
      <c r="L104" s="25" t="n">
        <v>1</v>
      </c>
      <c r="M104" s="25" t="n">
        <v>33</v>
      </c>
      <c r="N104" s="36" t="inlineStr">
        <is>
          <t>2.2 – Le contraste entre la couleur du texte et la couleur de son arrière-plan est-il suffisamment élevé ? ([Commentaire source] Le ratio de contraste sur les textes doit être respecté.
Remarque concernant les documents dont la forme est régie par une réglementation (Cerfa...) : il déroge à ce critère si une norme ou une loi l'y oblige.)</t>
        </is>
      </c>
      <c r="O104" s="36" t="inlineStr">
        <is>
          <t>Debrief de l’agent pour le sensibiliser à l’importance d’être vigilant sur le traitement, puis exercice pratique avec l’ensemble de l’équipe.</t>
        </is>
      </c>
      <c r="P104" s="37" t="n">
        <v>5</v>
      </c>
      <c r="Q104" s="37" t="n">
        <v>5</v>
      </c>
      <c r="R104" s="37" t="n">
        <v>0</v>
      </c>
      <c r="S104" s="37" t="n">
        <v>0</v>
      </c>
      <c r="T104" s="37" t="n">
        <v>0</v>
      </c>
      <c r="U104" s="37" t="n">
        <v>0</v>
      </c>
      <c r="V104" s="37" t="n">
        <v>1</v>
      </c>
      <c r="W104" s="37" t="n">
        <v>21</v>
      </c>
      <c r="X104" s="38" t="n">
        <v>1.833333333333333</v>
      </c>
      <c r="Y104" s="38" t="n">
        <v>1.833333333333333</v>
      </c>
      <c r="Z104" s="39" t="n">
        <v>1</v>
      </c>
      <c r="AA104" s="39" t="n">
        <v>1</v>
      </c>
    </row>
    <row r="105" ht="15" customHeight="1" s="19">
      <c r="A105" s="34" t="inlineStr">
        <is>
          <t>Hiba LISSAOUI</t>
        </is>
      </c>
      <c r="B105" s="25" t="n">
        <v>2026</v>
      </c>
      <c r="C105" s="25" t="n">
        <v>33</v>
      </c>
      <c r="D105" s="25">
        <f>B105&amp;"-S"&amp;TEXT(C105,"00")</f>
        <v/>
      </c>
      <c r="E105" s="34" t="inlineStr">
        <is>
          <t>9800207241_FC Credit Vélo</t>
        </is>
      </c>
      <c r="F105" s="25" t="inlineStr">
        <is>
          <t>pdf</t>
        </is>
      </c>
      <c r="G105" s="35" t="n">
        <v>46249</v>
      </c>
      <c r="H105" s="25" t="inlineStr">
        <is>
          <t>RAPDF</t>
        </is>
      </c>
      <c r="I105" s="27" t="n">
        <v>100</v>
      </c>
      <c r="J105" s="34">
        <f>IF(I105="","À saisir",IF(I105&gt;=85,"CONFORME (≥85%)","NON CONFORME (&lt;85%)"))</f>
        <v/>
      </c>
      <c r="K105" s="25" t="n">
        <v>13</v>
      </c>
      <c r="L105" s="25" t="n">
        <v>0</v>
      </c>
      <c r="M105" s="25" t="n">
        <v>33</v>
      </c>
      <c r="N105" s="36" t="n"/>
      <c r="O105" s="36" t="n"/>
      <c r="P105" s="37" t="n">
        <v>5</v>
      </c>
      <c r="Q105" s="37" t="n">
        <v>5</v>
      </c>
      <c r="R105" s="37" t="n">
        <v>0</v>
      </c>
      <c r="S105" s="37" t="n">
        <v>0</v>
      </c>
      <c r="T105" s="37" t="n">
        <v>0</v>
      </c>
      <c r="U105" s="37" t="n">
        <v>0</v>
      </c>
      <c r="V105" s="37" t="n">
        <v>0</v>
      </c>
      <c r="W105" s="37" t="n">
        <v>0</v>
      </c>
      <c r="X105" s="38" t="n">
        <v>1.833333333333333</v>
      </c>
      <c r="Y105" s="38" t="n">
        <v>1.833333333333333</v>
      </c>
      <c r="Z105" s="39" t="n">
        <v>1</v>
      </c>
      <c r="AA105" s="39" t="n">
        <v>1</v>
      </c>
    </row>
    <row r="106" ht="15" customHeight="1" s="19">
      <c r="A106" s="34" t="inlineStr">
        <is>
          <t>Imad RMAIDI</t>
        </is>
      </c>
      <c r="B106" s="25" t="n">
        <v>2026</v>
      </c>
      <c r="C106" s="25" t="n">
        <v>33</v>
      </c>
      <c r="D106" s="25">
        <f>B106&amp;"-S"&amp;TEXT(C106,"00")</f>
        <v/>
      </c>
      <c r="E106" s="34" t="inlineStr">
        <is>
          <t>2026 FC Top infos</t>
        </is>
      </c>
      <c r="F106" s="25" t="inlineStr">
        <is>
          <t>pdf</t>
        </is>
      </c>
      <c r="G106" s="35" t="n">
        <v>46244</v>
      </c>
      <c r="H106" s="25" t="inlineStr">
        <is>
          <t>RAPDF</t>
        </is>
      </c>
      <c r="I106" s="27" t="n">
        <v>100</v>
      </c>
      <c r="J106" s="34">
        <f>IF(I106="","À saisir",IF(I106&gt;=85,"CONFORME (≥85%)","NON CONFORME (&lt;85%)"))</f>
        <v/>
      </c>
      <c r="K106" s="25" t="n">
        <v>15</v>
      </c>
      <c r="L106" s="25" t="n">
        <v>0</v>
      </c>
      <c r="M106" s="25" t="n">
        <v>31</v>
      </c>
      <c r="N106" s="36" t="n"/>
      <c r="O106" s="36" t="n"/>
      <c r="P106" s="37" t="n">
        <v>5</v>
      </c>
      <c r="Q106" s="37" t="n">
        <v>5</v>
      </c>
      <c r="R106" s="37" t="n">
        <v>0</v>
      </c>
      <c r="S106" s="37" t="n">
        <v>0</v>
      </c>
      <c r="T106" s="37" t="n">
        <v>0</v>
      </c>
      <c r="U106" s="37" t="n">
        <v>0</v>
      </c>
      <c r="V106" s="37" t="n">
        <v>0</v>
      </c>
      <c r="W106" s="37" t="n">
        <v>0</v>
      </c>
      <c r="X106" s="38" t="n">
        <v>1.833333333333333</v>
      </c>
      <c r="Y106" s="38" t="n">
        <v>1.833333333333333</v>
      </c>
      <c r="Z106" s="39" t="n">
        <v>1</v>
      </c>
      <c r="AA106" s="39" t="n">
        <v>1</v>
      </c>
    </row>
    <row r="107" ht="15" customHeight="1" s="19">
      <c r="A107" s="34" t="inlineStr">
        <is>
          <t>Mohamed HAMDANI</t>
        </is>
      </c>
      <c r="B107" s="25" t="n">
        <v>2026</v>
      </c>
      <c r="C107" s="25" t="n">
        <v>33</v>
      </c>
      <c r="D107" s="25">
        <f>B107&amp;"-S"&amp;TEXT(C107,"00")</f>
        <v/>
      </c>
      <c r="E107" s="34" t="inlineStr">
        <is>
          <t>9800133888_FZ Start etudiant entrepreneurs</t>
        </is>
      </c>
      <c r="F107" s="25" t="inlineStr">
        <is>
          <t>pdf</t>
        </is>
      </c>
      <c r="G107" s="35" t="n">
        <v>46247</v>
      </c>
      <c r="H107" s="25" t="inlineStr">
        <is>
          <t>RAPDF</t>
        </is>
      </c>
      <c r="I107" s="27" t="n">
        <v>100</v>
      </c>
      <c r="J107" s="34">
        <f>IF(I107="","À saisir",IF(I107&gt;=85,"CONFORME (≥85%)","NON CONFORME (&lt;85%)"))</f>
        <v/>
      </c>
      <c r="K107" s="25" t="n">
        <v>14</v>
      </c>
      <c r="L107" s="25" t="n">
        <v>0</v>
      </c>
      <c r="M107" s="25" t="n">
        <v>32</v>
      </c>
      <c r="N107" s="36" t="n"/>
      <c r="O107" s="36" t="n"/>
      <c r="P107" s="37" t="n">
        <v>5</v>
      </c>
      <c r="Q107" s="37" t="n">
        <v>5</v>
      </c>
      <c r="R107" s="37" t="n">
        <v>0</v>
      </c>
      <c r="S107" s="37" t="n">
        <v>0</v>
      </c>
      <c r="T107" s="37" t="n">
        <v>0</v>
      </c>
      <c r="U107" s="37" t="n">
        <v>0</v>
      </c>
      <c r="V107" s="37" t="n">
        <v>0</v>
      </c>
      <c r="W107" s="37" t="n">
        <v>0</v>
      </c>
      <c r="X107" s="38" t="n">
        <v>1.833333333333333</v>
      </c>
      <c r="Y107" s="38" t="n">
        <v>1.833333333333333</v>
      </c>
      <c r="Z107" s="39" t="n">
        <v>1</v>
      </c>
      <c r="AA107" s="39" t="n">
        <v>1</v>
      </c>
    </row>
    <row r="108" ht="15" customHeight="1" s="19">
      <c r="A108" s="34" t="inlineStr">
        <is>
          <t>Hiba LISSAOUI</t>
        </is>
      </c>
      <c r="B108" s="25" t="n">
        <v>2026</v>
      </c>
      <c r="C108" s="25" t="n">
        <v>34</v>
      </c>
      <c r="D108" s="25">
        <f>B108&amp;"-S"&amp;TEXT(C108,"00")</f>
        <v/>
      </c>
      <c r="E108" s="34" t="inlineStr">
        <is>
          <t>9800242964 fiche clarté CREDIT REBOND</t>
        </is>
      </c>
      <c r="F108" s="25" t="inlineStr">
        <is>
          <t>pdf</t>
        </is>
      </c>
      <c r="G108" s="35" t="n">
        <v>46251</v>
      </c>
      <c r="H108" s="25" t="inlineStr">
        <is>
          <t>RAPDF</t>
        </is>
      </c>
      <c r="I108" s="27" t="n">
        <v>100</v>
      </c>
      <c r="J108" s="34">
        <f>IF(I108="","À saisir",IF(I108&gt;=85,"CONFORME (≥85%)","NON CONFORME (&lt;85%)"))</f>
        <v/>
      </c>
      <c r="K108" s="25" t="n">
        <v>13</v>
      </c>
      <c r="L108" s="25" t="n">
        <v>0</v>
      </c>
      <c r="M108" s="25" t="n">
        <v>33</v>
      </c>
      <c r="N108" s="36" t="n"/>
      <c r="O108" s="36" t="n"/>
      <c r="P108" s="37" t="n">
        <v>5</v>
      </c>
      <c r="Q108" s="37" t="n">
        <v>5</v>
      </c>
      <c r="R108" s="37" t="n">
        <v>0</v>
      </c>
      <c r="S108" s="37" t="n">
        <v>0</v>
      </c>
      <c r="T108" s="37" t="n">
        <v>0</v>
      </c>
      <c r="U108" s="37" t="n">
        <v>0</v>
      </c>
      <c r="V108" s="37" t="n">
        <v>0</v>
      </c>
      <c r="W108" s="37" t="n">
        <v>0</v>
      </c>
      <c r="X108" s="38" t="n">
        <v>1.833333333333333</v>
      </c>
      <c r="Y108" s="38" t="n">
        <v>1.833333333333333</v>
      </c>
      <c r="Z108" s="39" t="n">
        <v>1</v>
      </c>
      <c r="AA108" s="39" t="n">
        <v>1</v>
      </c>
    </row>
    <row r="109" ht="15" customHeight="1" s="19">
      <c r="A109" s="34" t="inlineStr">
        <is>
          <t>Imad RMAIDI</t>
        </is>
      </c>
      <c r="B109" s="25" t="n">
        <v>2026</v>
      </c>
      <c r="C109" s="25" t="n">
        <v>34</v>
      </c>
      <c r="D109" s="25">
        <f>B109&amp;"-S"&amp;TEXT(C109,"00")</f>
        <v/>
      </c>
      <c r="E109" s="34" t="inlineStr">
        <is>
          <t>9800223162_Fiche Clarté Multiprojets</t>
        </is>
      </c>
      <c r="F109" s="25" t="inlineStr">
        <is>
          <t>pdf</t>
        </is>
      </c>
      <c r="G109" s="35" t="n">
        <v>46256</v>
      </c>
      <c r="H109" s="25" t="inlineStr">
        <is>
          <t>RAPDF</t>
        </is>
      </c>
      <c r="I109" s="27" t="n">
        <v>100</v>
      </c>
      <c r="J109" s="34">
        <f>IF(I109="","À saisir",IF(I109&gt;=85,"CONFORME (≥85%)","NON CONFORME (&lt;85%)"))</f>
        <v/>
      </c>
      <c r="K109" s="25" t="n">
        <v>13</v>
      </c>
      <c r="L109" s="25" t="n">
        <v>0</v>
      </c>
      <c r="M109" s="25" t="n">
        <v>33</v>
      </c>
      <c r="N109" s="36" t="n"/>
      <c r="O109" s="36" t="n"/>
      <c r="P109" s="37" t="n">
        <v>5</v>
      </c>
      <c r="Q109" s="37" t="n">
        <v>5</v>
      </c>
      <c r="R109" s="37" t="n">
        <v>0</v>
      </c>
      <c r="S109" s="37" t="n">
        <v>0</v>
      </c>
      <c r="T109" s="37" t="n">
        <v>0</v>
      </c>
      <c r="U109" s="37" t="n">
        <v>0</v>
      </c>
      <c r="V109" s="37" t="n">
        <v>0</v>
      </c>
      <c r="W109" s="37" t="n">
        <v>0</v>
      </c>
      <c r="X109" s="38" t="n">
        <v>1.833333333333333</v>
      </c>
      <c r="Y109" s="38" t="n">
        <v>1.833333333333333</v>
      </c>
      <c r="Z109" s="39" t="n">
        <v>1</v>
      </c>
      <c r="AA109" s="39" t="n">
        <v>1</v>
      </c>
    </row>
    <row r="110" ht="15" customHeight="1" s="19">
      <c r="A110" s="34" t="inlineStr">
        <is>
          <t>Mohamed HAMDANI</t>
        </is>
      </c>
      <c r="B110" s="25" t="n">
        <v>2026</v>
      </c>
      <c r="C110" s="25" t="n">
        <v>34</v>
      </c>
      <c r="D110" s="25">
        <f>B110&amp;"-S"&amp;TEXT(C110,"00")</f>
        <v/>
      </c>
      <c r="E110" s="34" t="inlineStr">
        <is>
          <t>9800223972_Fiche ZOOM Multiprojets CIC</t>
        </is>
      </c>
      <c r="F110" s="25" t="inlineStr">
        <is>
          <t>pdf</t>
        </is>
      </c>
      <c r="G110" s="35" t="n">
        <v>46256</v>
      </c>
      <c r="H110" s="25" t="inlineStr">
        <is>
          <t>RAPDF</t>
        </is>
      </c>
      <c r="I110" s="27" t="n">
        <v>100</v>
      </c>
      <c r="J110" s="34">
        <f>IF(I110="","À saisir",IF(I110&gt;=85,"CONFORME (≥85%)","NON CONFORME (&lt;85%)"))</f>
        <v/>
      </c>
      <c r="K110" s="25" t="n">
        <v>14</v>
      </c>
      <c r="L110" s="25" t="n">
        <v>0</v>
      </c>
      <c r="M110" s="25" t="n">
        <v>32</v>
      </c>
      <c r="N110" s="36" t="n"/>
      <c r="O110" s="36" t="n"/>
      <c r="P110" s="37" t="n">
        <v>5</v>
      </c>
      <c r="Q110" s="37" t="n">
        <v>5</v>
      </c>
      <c r="R110" s="37" t="n">
        <v>0</v>
      </c>
      <c r="S110" s="37" t="n">
        <v>0</v>
      </c>
      <c r="T110" s="37" t="n">
        <v>0</v>
      </c>
      <c r="U110" s="37" t="n">
        <v>0</v>
      </c>
      <c r="V110" s="37" t="n">
        <v>0</v>
      </c>
      <c r="W110" s="37" t="n">
        <v>0</v>
      </c>
      <c r="X110" s="38" t="n">
        <v>1.833333333333333</v>
      </c>
      <c r="Y110" s="38" t="n">
        <v>1.833333333333333</v>
      </c>
      <c r="Z110" s="39" t="n">
        <v>1</v>
      </c>
      <c r="AA110" s="39" t="n">
        <v>1</v>
      </c>
    </row>
    <row r="111" ht="15" customHeight="1" s="19">
      <c r="A111" s="34" t="inlineStr">
        <is>
          <t>Hiba LISSAOUI</t>
        </is>
      </c>
      <c r="B111" s="25" t="n">
        <v>2026</v>
      </c>
      <c r="C111" s="25" t="n">
        <v>35</v>
      </c>
      <c r="D111" s="25">
        <f>B111&amp;"-S"&amp;TEXT(C111,"00")</f>
        <v/>
      </c>
      <c r="E111" s="34" t="inlineStr">
        <is>
          <t>(à saisir)</t>
        </is>
      </c>
      <c r="F111" s="25" t="n"/>
      <c r="G111" s="35" t="n"/>
      <c r="H111" s="25" t="inlineStr">
        <is>
          <t>—</t>
        </is>
      </c>
      <c r="I111" s="40" t="n"/>
      <c r="J111" s="41">
        <f>IF(I111="","À saisir",IF(I111&gt;=85,"CONFORME (≥85%)","NON CONFORME (&lt;85%)"))</f>
        <v/>
      </c>
      <c r="K111" s="42" t="n"/>
      <c r="L111" s="42" t="n"/>
      <c r="M111" s="42" t="n"/>
      <c r="N111" s="36" t="n"/>
      <c r="O111" s="36" t="n"/>
      <c r="P111" s="37" t="n">
        <v>0</v>
      </c>
      <c r="Q111" s="37" t="n">
        <v>0</v>
      </c>
      <c r="R111" s="37" t="n">
        <v>0</v>
      </c>
      <c r="S111" s="37" t="n">
        <v>0</v>
      </c>
      <c r="T111" s="37" t="n">
        <v>4</v>
      </c>
      <c r="U111" s="37" t="n">
        <v>1</v>
      </c>
      <c r="V111" s="37" t="n">
        <v>0</v>
      </c>
      <c r="W111" s="37" t="n">
        <v>0</v>
      </c>
      <c r="X111" s="38" t="n">
        <v>0</v>
      </c>
      <c r="Y111" s="38" t="n">
        <v>0</v>
      </c>
      <c r="Z111" s="39" t="n"/>
      <c r="AA111" s="39" t="n"/>
    </row>
    <row r="112" ht="15" customHeight="1" s="19">
      <c r="A112" s="34" t="inlineStr">
        <is>
          <t>Imad RMAIDI</t>
        </is>
      </c>
      <c r="B112" s="25" t="n">
        <v>2026</v>
      </c>
      <c r="C112" s="25" t="n">
        <v>35</v>
      </c>
      <c r="D112" s="25">
        <f>B112&amp;"-S"&amp;TEXT(C112,"00")</f>
        <v/>
      </c>
      <c r="E112" s="34" t="inlineStr">
        <is>
          <t>IRD_9902030015_011000625586104</t>
        </is>
      </c>
      <c r="F112" s="25" t="inlineStr">
        <is>
          <t>pdf</t>
        </is>
      </c>
      <c r="G112" s="35" t="n">
        <v>46259</v>
      </c>
      <c r="H112" s="25" t="inlineStr">
        <is>
          <t>RAPDF</t>
        </is>
      </c>
      <c r="I112" s="27" t="n">
        <v>100</v>
      </c>
      <c r="J112" s="34">
        <f>IF(I112="","À saisir",IF(I112&gt;=85,"CONFORME (≥85%)","NON CONFORME (&lt;85%)"))</f>
        <v/>
      </c>
      <c r="K112" s="25" t="n">
        <v>18</v>
      </c>
      <c r="L112" s="25" t="n">
        <v>0</v>
      </c>
      <c r="M112" s="25" t="n">
        <v>28</v>
      </c>
      <c r="N112" s="36" t="n"/>
      <c r="O112" s="36" t="n"/>
      <c r="P112" s="37" t="n">
        <v>5</v>
      </c>
      <c r="Q112" s="37" t="n">
        <v>5</v>
      </c>
      <c r="R112" s="37" t="n">
        <v>0</v>
      </c>
      <c r="S112" s="37" t="n">
        <v>0</v>
      </c>
      <c r="T112" s="37" t="n">
        <v>0</v>
      </c>
      <c r="U112" s="37" t="n">
        <v>0</v>
      </c>
      <c r="V112" s="37" t="n">
        <v>0</v>
      </c>
      <c r="W112" s="37" t="n">
        <v>0</v>
      </c>
      <c r="X112" s="38" t="n">
        <v>1.833333333333333</v>
      </c>
      <c r="Y112" s="38" t="n">
        <v>1.833333333333333</v>
      </c>
      <c r="Z112" s="39" t="n">
        <v>1</v>
      </c>
      <c r="AA112" s="39" t="n">
        <v>1</v>
      </c>
    </row>
    <row r="113" ht="15" customHeight="1" s="19">
      <c r="A113" s="34" t="inlineStr">
        <is>
          <t>Mohamed HAMDANI</t>
        </is>
      </c>
      <c r="B113" s="25" t="n">
        <v>2026</v>
      </c>
      <c r="C113" s="25" t="n">
        <v>35</v>
      </c>
      <c r="D113" s="25">
        <f>B113&amp;"-S"&amp;TEXT(C113,"00")</f>
        <v/>
      </c>
      <c r="E113" s="34" t="inlineStr">
        <is>
          <t>MC CG0610 0725 GSM PP</t>
        </is>
      </c>
      <c r="F113" s="25" t="inlineStr">
        <is>
          <t>pdf</t>
        </is>
      </c>
      <c r="G113" s="35" t="n">
        <v>46262</v>
      </c>
      <c r="H113" s="25" t="inlineStr">
        <is>
          <t>RAPDF</t>
        </is>
      </c>
      <c r="I113" s="27" t="n">
        <v>100</v>
      </c>
      <c r="J113" s="34">
        <f>IF(I113="","À saisir",IF(I113&gt;=85,"CONFORME (≥85%)","NON CONFORME (&lt;85%)"))</f>
        <v/>
      </c>
      <c r="K113" s="25" t="n">
        <v>11</v>
      </c>
      <c r="L113" s="25" t="n">
        <v>0</v>
      </c>
      <c r="M113" s="25" t="n">
        <v>35</v>
      </c>
      <c r="N113" s="36" t="n"/>
      <c r="O113" s="36" t="n"/>
      <c r="P113" s="37" t="n">
        <v>5</v>
      </c>
      <c r="Q113" s="37" t="n">
        <v>5</v>
      </c>
      <c r="R113" s="37" t="n">
        <v>0</v>
      </c>
      <c r="S113" s="37" t="n">
        <v>0</v>
      </c>
      <c r="T113" s="37" t="n">
        <v>0</v>
      </c>
      <c r="U113" s="37" t="n">
        <v>0</v>
      </c>
      <c r="V113" s="37" t="n">
        <v>0</v>
      </c>
      <c r="W113" s="37" t="n">
        <v>0</v>
      </c>
      <c r="X113" s="38" t="n">
        <v>1.833333333333333</v>
      </c>
      <c r="Y113" s="38" t="n">
        <v>1.833333333333333</v>
      </c>
      <c r="Z113" s="39" t="n">
        <v>1</v>
      </c>
      <c r="AA113" s="39" t="n">
        <v>1</v>
      </c>
    </row>
    <row r="114" ht="15" customHeight="1" s="19">
      <c r="A114" s="34" t="inlineStr">
        <is>
          <t>Hiba LISSAOUI</t>
        </is>
      </c>
      <c r="B114" s="25" t="n">
        <v>2026</v>
      </c>
      <c r="C114" s="25" t="n">
        <v>36</v>
      </c>
      <c r="D114" s="25">
        <f>B114&amp;"-S"&amp;TEXT(C114,"00")</f>
        <v/>
      </c>
      <c r="E114" s="34" t="inlineStr">
        <is>
          <t>MC CG0610 0725 GSM PP</t>
        </is>
      </c>
      <c r="F114" s="25" t="inlineStr">
        <is>
          <t>pdf</t>
        </is>
      </c>
      <c r="G114" s="35" t="n">
        <v>46266</v>
      </c>
      <c r="H114" s="25" t="inlineStr">
        <is>
          <t>RAPDF</t>
        </is>
      </c>
      <c r="I114" s="27" t="n">
        <v>100</v>
      </c>
      <c r="J114" s="34">
        <f>IF(I114="","À saisir",IF(I114&gt;=85,"CONFORME (≥85%)","NON CONFORME (&lt;85%)"))</f>
        <v/>
      </c>
      <c r="K114" s="25" t="n">
        <v>11</v>
      </c>
      <c r="L114" s="25" t="n">
        <v>0</v>
      </c>
      <c r="M114" s="25" t="n">
        <v>35</v>
      </c>
      <c r="N114" s="36" t="n"/>
      <c r="O114" s="36" t="n"/>
      <c r="P114" s="37" t="n">
        <v>5</v>
      </c>
      <c r="Q114" s="37" t="n">
        <v>5</v>
      </c>
      <c r="R114" s="37" t="n">
        <v>0</v>
      </c>
      <c r="S114" s="37" t="n">
        <v>0</v>
      </c>
      <c r="T114" s="37" t="n">
        <v>0</v>
      </c>
      <c r="U114" s="37" t="n">
        <v>0</v>
      </c>
      <c r="V114" s="37" t="n">
        <v>0</v>
      </c>
      <c r="W114" s="37" t="n">
        <v>0</v>
      </c>
      <c r="X114" s="38" t="n">
        <v>1.833333333333333</v>
      </c>
      <c r="Y114" s="38" t="n">
        <v>1.833333333333333</v>
      </c>
      <c r="Z114" s="39" t="n">
        <v>1</v>
      </c>
      <c r="AA114" s="39" t="n">
        <v>1</v>
      </c>
    </row>
    <row r="115" ht="15" customHeight="1" s="19">
      <c r="A115" s="34" t="inlineStr">
        <is>
          <t>Imad RMAIDI</t>
        </is>
      </c>
      <c r="B115" s="25" t="n">
        <v>2026</v>
      </c>
      <c r="C115" s="25" t="n">
        <v>36</v>
      </c>
      <c r="D115" s="25">
        <f>B115&amp;"-S"&amp;TEXT(C115,"00")</f>
        <v/>
      </c>
      <c r="E115" s="34" t="inlineStr">
        <is>
          <t>(à saisir)</t>
        </is>
      </c>
      <c r="F115" s="25" t="n"/>
      <c r="G115" s="35" t="n"/>
      <c r="H115" s="25" t="inlineStr">
        <is>
          <t>—</t>
        </is>
      </c>
      <c r="I115" s="40" t="n"/>
      <c r="J115" s="41">
        <f>IF(I115="","À saisir",IF(I115&gt;=85,"CONFORME (≥85%)","NON CONFORME (&lt;85%)"))</f>
        <v/>
      </c>
      <c r="K115" s="42" t="n"/>
      <c r="L115" s="42" t="n"/>
      <c r="M115" s="42" t="n"/>
      <c r="N115" s="36" t="n"/>
      <c r="O115" s="36" t="n"/>
      <c r="P115" s="37" t="n">
        <v>0</v>
      </c>
      <c r="Q115" s="37" t="n">
        <v>0</v>
      </c>
      <c r="R115" s="37" t="n">
        <v>0</v>
      </c>
      <c r="S115" s="37" t="n">
        <v>0</v>
      </c>
      <c r="T115" s="37" t="n">
        <v>5</v>
      </c>
      <c r="U115" s="37" t="n">
        <v>0</v>
      </c>
      <c r="V115" s="37" t="n">
        <v>0</v>
      </c>
      <c r="W115" s="37" t="n">
        <v>0</v>
      </c>
      <c r="X115" s="38" t="n">
        <v>0</v>
      </c>
      <c r="Y115" s="38" t="n">
        <v>0</v>
      </c>
      <c r="Z115" s="39" t="n"/>
      <c r="AA115" s="39" t="n"/>
    </row>
    <row r="116" ht="15" customHeight="1" s="19">
      <c r="A116" s="34" t="inlineStr">
        <is>
          <t>Mohamed HAMDANI</t>
        </is>
      </c>
      <c r="B116" s="25" t="n">
        <v>2026</v>
      </c>
      <c r="C116" s="25" t="n">
        <v>36</v>
      </c>
      <c r="D116" s="25">
        <f>B116&amp;"-S"&amp;TEXT(C116,"00")</f>
        <v/>
      </c>
      <c r="E116" s="34" t="inlineStr">
        <is>
          <t>CG 14 03 12 Livret Jeune 10 2026</t>
        </is>
      </c>
      <c r="F116" s="25" t="inlineStr">
        <is>
          <t>pdf</t>
        </is>
      </c>
      <c r="G116" s="35" t="n">
        <v>46268</v>
      </c>
      <c r="H116" s="25" t="inlineStr">
        <is>
          <t>RAPDF</t>
        </is>
      </c>
      <c r="I116" s="27" t="n">
        <v>100</v>
      </c>
      <c r="J116" s="34">
        <f>IF(I116="","À saisir",IF(I116&gt;=85,"CONFORME (≥85%)","NON CONFORME (&lt;85%)"))</f>
        <v/>
      </c>
      <c r="K116" s="25" t="n">
        <v>15</v>
      </c>
      <c r="L116" s="25" t="n">
        <v>0</v>
      </c>
      <c r="M116" s="25" t="n">
        <v>31</v>
      </c>
      <c r="N116" s="36" t="n"/>
      <c r="O116" s="36" t="n"/>
      <c r="P116" s="37" t="n">
        <v>5</v>
      </c>
      <c r="Q116" s="37" t="n">
        <v>5</v>
      </c>
      <c r="R116" s="37" t="n">
        <v>0</v>
      </c>
      <c r="S116" s="37" t="n">
        <v>0</v>
      </c>
      <c r="T116" s="37" t="n">
        <v>0</v>
      </c>
      <c r="U116" s="37" t="n">
        <v>0</v>
      </c>
      <c r="V116" s="37" t="n">
        <v>0</v>
      </c>
      <c r="W116" s="37" t="n">
        <v>0</v>
      </c>
      <c r="X116" s="38" t="n">
        <v>1.833333333333333</v>
      </c>
      <c r="Y116" s="38" t="n">
        <v>1.833333333333333</v>
      </c>
      <c r="Z116" s="39" t="n">
        <v>1</v>
      </c>
      <c r="AA116" s="39" t="n">
        <v>1</v>
      </c>
    </row>
    <row r="117" ht="15" customHeight="1" s="19">
      <c r="A117" s="34" t="inlineStr">
        <is>
          <t>Hiba LISSAOUI</t>
        </is>
      </c>
      <c r="B117" s="25" t="n">
        <v>2026</v>
      </c>
      <c r="C117" s="25" t="n">
        <v>37</v>
      </c>
      <c r="D117" s="25">
        <f>B117&amp;"-S"&amp;TEXT(C117,"00")</f>
        <v/>
      </c>
      <c r="E117" s="34" t="inlineStr">
        <is>
          <t>1_0626_066_CC PART CEE IDF SE SMB 81.69.55</t>
        </is>
      </c>
      <c r="F117" s="25" t="inlineStr">
        <is>
          <t>pdf</t>
        </is>
      </c>
      <c r="G117" s="35" t="n">
        <v>46276</v>
      </c>
      <c r="H117" s="25" t="inlineStr">
        <is>
          <t>RAPDF</t>
        </is>
      </c>
      <c r="I117" s="27" t="n">
        <v>100</v>
      </c>
      <c r="J117" s="34">
        <f>IF(I117="","À saisir",IF(I117&gt;=85,"CONFORME (≥85%)","NON CONFORME (&lt;85%)"))</f>
        <v/>
      </c>
      <c r="K117" s="25" t="n">
        <v>18</v>
      </c>
      <c r="L117" s="25" t="n">
        <v>0</v>
      </c>
      <c r="M117" s="25" t="n">
        <v>28</v>
      </c>
      <c r="N117" s="36" t="n"/>
      <c r="O117" s="36" t="n"/>
      <c r="P117" s="37" t="n">
        <v>5</v>
      </c>
      <c r="Q117" s="37" t="n">
        <v>5</v>
      </c>
      <c r="R117" s="37" t="n">
        <v>0</v>
      </c>
      <c r="S117" s="37" t="n">
        <v>0</v>
      </c>
      <c r="T117" s="37" t="n">
        <v>0</v>
      </c>
      <c r="U117" s="37" t="n">
        <v>0</v>
      </c>
      <c r="V117" s="37" t="n">
        <v>0</v>
      </c>
      <c r="W117" s="37" t="n">
        <v>0</v>
      </c>
      <c r="X117" s="38" t="n">
        <v>1.833333333333333</v>
      </c>
      <c r="Y117" s="38" t="n">
        <v>1.833333333333333</v>
      </c>
      <c r="Z117" s="39" t="n">
        <v>1</v>
      </c>
      <c r="AA117" s="39" t="n">
        <v>1</v>
      </c>
    </row>
    <row r="118" ht="15" customHeight="1" s="19">
      <c r="A118" s="34" t="inlineStr">
        <is>
          <t>Imad RMAIDI</t>
        </is>
      </c>
      <c r="B118" s="25" t="n">
        <v>2026</v>
      </c>
      <c r="C118" s="25" t="n">
        <v>37</v>
      </c>
      <c r="D118" s="25">
        <f>B118&amp;"-S"&amp;TEXT(C118,"00")</f>
        <v/>
      </c>
      <c r="E118" s="34" t="inlineStr">
        <is>
          <t>3_0626_066_CC PART CMN 81.31.92</t>
        </is>
      </c>
      <c r="F118" s="25" t="inlineStr">
        <is>
          <t>pdf</t>
        </is>
      </c>
      <c r="G118" s="35" t="n">
        <v>46276</v>
      </c>
      <c r="H118" s="25" t="inlineStr">
        <is>
          <t>RAPDF</t>
        </is>
      </c>
      <c r="I118" s="27" t="n">
        <v>100</v>
      </c>
      <c r="J118" s="34">
        <f>IF(I118="","À saisir",IF(I118&gt;=85,"CONFORME (≥85%)","NON CONFORME (&lt;85%)"))</f>
        <v/>
      </c>
      <c r="K118" s="25" t="n">
        <v>18</v>
      </c>
      <c r="L118" s="25" t="n">
        <v>0</v>
      </c>
      <c r="M118" s="25" t="n">
        <v>28</v>
      </c>
      <c r="N118" s="36" t="n"/>
      <c r="O118" s="36" t="n"/>
      <c r="P118" s="37" t="n">
        <v>5</v>
      </c>
      <c r="Q118" s="37" t="n">
        <v>5</v>
      </c>
      <c r="R118" s="37" t="n">
        <v>0</v>
      </c>
      <c r="S118" s="37" t="n">
        <v>0</v>
      </c>
      <c r="T118" s="37" t="n">
        <v>0</v>
      </c>
      <c r="U118" s="37" t="n">
        <v>0</v>
      </c>
      <c r="V118" s="37" t="n">
        <v>0</v>
      </c>
      <c r="W118" s="37" t="n">
        <v>0</v>
      </c>
      <c r="X118" s="38" t="n">
        <v>1.833333333333333</v>
      </c>
      <c r="Y118" s="38" t="n">
        <v>1.833333333333333</v>
      </c>
      <c r="Z118" s="39" t="n">
        <v>1</v>
      </c>
      <c r="AA118" s="39" t="n">
        <v>1</v>
      </c>
    </row>
    <row r="119" ht="15" customHeight="1" s="19">
      <c r="A119" s="34" t="inlineStr">
        <is>
          <t>Mohamed HAMDANI</t>
        </is>
      </c>
      <c r="B119" s="25" t="n">
        <v>2026</v>
      </c>
      <c r="C119" s="25" t="n">
        <v>37</v>
      </c>
      <c r="D119" s="25">
        <f>B119&amp;"-S"&amp;TEXT(C119,"00")</f>
        <v/>
      </c>
      <c r="E119" s="34" t="inlineStr">
        <is>
          <t>11_0626_066_CC PART CMMC CME 90.02.23</t>
        </is>
      </c>
      <c r="F119" s="25" t="inlineStr">
        <is>
          <t>pdf</t>
        </is>
      </c>
      <c r="G119" s="35" t="n">
        <v>46276</v>
      </c>
      <c r="H119" s="25" t="inlineStr">
        <is>
          <t>RAPDF</t>
        </is>
      </c>
      <c r="I119" s="27" t="n">
        <v>100</v>
      </c>
      <c r="J119" s="34">
        <f>IF(I119="","À saisir",IF(I119&gt;=85,"CONFORME (≥85%)","NON CONFORME (&lt;85%)"))</f>
        <v/>
      </c>
      <c r="K119" s="25" t="n">
        <v>20</v>
      </c>
      <c r="L119" s="25" t="n">
        <v>0</v>
      </c>
      <c r="M119" s="25" t="n">
        <v>26</v>
      </c>
      <c r="N119" s="36" t="n"/>
      <c r="O119" s="36" t="n"/>
      <c r="P119" s="37" t="n">
        <v>5</v>
      </c>
      <c r="Q119" s="37" t="n">
        <v>5</v>
      </c>
      <c r="R119" s="37" t="n">
        <v>0</v>
      </c>
      <c r="S119" s="37" t="n">
        <v>0</v>
      </c>
      <c r="T119" s="37" t="n">
        <v>0</v>
      </c>
      <c r="U119" s="37" t="n">
        <v>0</v>
      </c>
      <c r="V119" s="37" t="n">
        <v>0</v>
      </c>
      <c r="W119" s="37" t="n">
        <v>0</v>
      </c>
      <c r="X119" s="38" t="n">
        <v>1.833333333333333</v>
      </c>
      <c r="Y119" s="38" t="n">
        <v>1.833333333333333</v>
      </c>
      <c r="Z119" s="39" t="n">
        <v>1</v>
      </c>
      <c r="AA119" s="39" t="n">
        <v>1</v>
      </c>
    </row>
    <row r="120" ht="15" customHeight="1" s="19">
      <c r="A120" s="34" t="inlineStr">
        <is>
          <t>Hiba LISSAOUI</t>
        </is>
      </c>
      <c r="B120" s="25" t="n">
        <v>2026</v>
      </c>
      <c r="C120" s="25" t="n">
        <v>38</v>
      </c>
      <c r="D120" s="25">
        <f>B120&amp;"-S"&amp;TEXT(C120,"00")</f>
        <v/>
      </c>
      <c r="E120" s="34" t="inlineStr">
        <is>
          <t>CG LIVRET CAP12 13 05 89 1026 CMO</t>
        </is>
      </c>
      <c r="F120" s="25" t="inlineStr">
        <is>
          <t>pdf</t>
        </is>
      </c>
      <c r="G120" s="35" t="n">
        <v>46279</v>
      </c>
      <c r="H120" s="25" t="inlineStr">
        <is>
          <t>RAPDF</t>
        </is>
      </c>
      <c r="I120" s="27" t="n">
        <v>100</v>
      </c>
      <c r="J120" s="34">
        <f>IF(I120="","À saisir",IF(I120&gt;=85,"CONFORME (≥85%)","NON CONFORME (&lt;85%)"))</f>
        <v/>
      </c>
      <c r="K120" s="25" t="n">
        <v>14</v>
      </c>
      <c r="L120" s="25" t="n">
        <v>0</v>
      </c>
      <c r="M120" s="25" t="n">
        <v>32</v>
      </c>
      <c r="N120" s="36" t="n"/>
      <c r="O120" s="36" t="n"/>
      <c r="P120" s="37" t="n">
        <v>5</v>
      </c>
      <c r="Q120" s="37" t="n">
        <v>5</v>
      </c>
      <c r="R120" s="37" t="n">
        <v>0</v>
      </c>
      <c r="S120" s="37" t="n">
        <v>0</v>
      </c>
      <c r="T120" s="37" t="n">
        <v>0</v>
      </c>
      <c r="U120" s="37" t="n">
        <v>0</v>
      </c>
      <c r="V120" s="37" t="n">
        <v>0</v>
      </c>
      <c r="W120" s="37" t="n">
        <v>0</v>
      </c>
      <c r="X120" s="38" t="n">
        <v>1.833333333333333</v>
      </c>
      <c r="Y120" s="38" t="n">
        <v>1.833333333333333</v>
      </c>
      <c r="Z120" s="39" t="n">
        <v>1</v>
      </c>
      <c r="AA120" s="39" t="n">
        <v>1</v>
      </c>
    </row>
    <row r="121" ht="15" customHeight="1" s="19">
      <c r="A121" s="34" t="inlineStr">
        <is>
          <t>Imad RMAIDI</t>
        </is>
      </c>
      <c r="B121" s="25" t="n">
        <v>2026</v>
      </c>
      <c r="C121" s="25" t="n">
        <v>38</v>
      </c>
      <c r="D121" s="25">
        <f>B121&amp;"-S"&amp;TEXT(C121,"00")</f>
        <v/>
      </c>
      <c r="E121" s="34" t="inlineStr">
        <is>
          <t>9800220548_Fiche clarté P3F</t>
        </is>
      </c>
      <c r="F121" s="25" t="inlineStr">
        <is>
          <t>pdf</t>
        </is>
      </c>
      <c r="G121" s="35" t="n">
        <v>46280</v>
      </c>
      <c r="H121" s="25" t="inlineStr">
        <is>
          <t>RAPDF</t>
        </is>
      </c>
      <c r="I121" s="27" t="n">
        <v>100</v>
      </c>
      <c r="J121" s="34">
        <f>IF(I121="","À saisir",IF(I121&gt;=85,"CONFORME (≥85%)","NON CONFORME (&lt;85%)"))</f>
        <v/>
      </c>
      <c r="K121" s="25" t="n">
        <v>16</v>
      </c>
      <c r="L121" s="25" t="n">
        <v>0</v>
      </c>
      <c r="M121" s="25" t="n">
        <v>30</v>
      </c>
      <c r="N121" s="36" t="n"/>
      <c r="O121" s="36" t="n"/>
      <c r="P121" s="37" t="n">
        <v>5</v>
      </c>
      <c r="Q121" s="37" t="n">
        <v>5</v>
      </c>
      <c r="R121" s="37" t="n">
        <v>0</v>
      </c>
      <c r="S121" s="37" t="n">
        <v>0</v>
      </c>
      <c r="T121" s="37" t="n">
        <v>0</v>
      </c>
      <c r="U121" s="37" t="n">
        <v>0</v>
      </c>
      <c r="V121" s="37" t="n">
        <v>0</v>
      </c>
      <c r="W121" s="37" t="n">
        <v>0</v>
      </c>
      <c r="X121" s="38" t="n">
        <v>1.833333333333333</v>
      </c>
      <c r="Y121" s="38" t="n">
        <v>1.833333333333333</v>
      </c>
      <c r="Z121" s="39" t="n">
        <v>1</v>
      </c>
      <c r="AA121" s="39" t="n">
        <v>1</v>
      </c>
    </row>
    <row r="122" ht="15" customHeight="1" s="19">
      <c r="A122" s="34" t="inlineStr">
        <is>
          <t>Mohamed HAMDANI</t>
        </is>
      </c>
      <c r="B122" s="25" t="n">
        <v>2026</v>
      </c>
      <c r="C122" s="25" t="n">
        <v>38</v>
      </c>
      <c r="D122" s="25">
        <f>B122&amp;"-S"&amp;TEXT(C122,"00")</f>
        <v/>
      </c>
      <c r="E122" s="34" t="inlineStr">
        <is>
          <t>9800220547_Fiche ZOOM ETALIS+</t>
        </is>
      </c>
      <c r="F122" s="25" t="inlineStr">
        <is>
          <t>pdf</t>
        </is>
      </c>
      <c r="G122" s="35" t="n">
        <v>46279</v>
      </c>
      <c r="H122" s="25" t="inlineStr">
        <is>
          <t>RAPDF</t>
        </is>
      </c>
      <c r="I122" s="27" t="n">
        <v>100</v>
      </c>
      <c r="J122" s="34">
        <f>IF(I122="","À saisir",IF(I122&gt;=85,"CONFORME (≥85%)","NON CONFORME (&lt;85%)"))</f>
        <v/>
      </c>
      <c r="K122" s="25" t="n">
        <v>17</v>
      </c>
      <c r="L122" s="25" t="n">
        <v>0</v>
      </c>
      <c r="M122" s="25" t="n">
        <v>29</v>
      </c>
      <c r="N122" s="36" t="n"/>
      <c r="O122" s="36" t="n"/>
      <c r="P122" s="37" t="n">
        <v>5</v>
      </c>
      <c r="Q122" s="37" t="n">
        <v>5</v>
      </c>
      <c r="R122" s="37" t="n">
        <v>0</v>
      </c>
      <c r="S122" s="37" t="n">
        <v>0</v>
      </c>
      <c r="T122" s="37" t="n">
        <v>0</v>
      </c>
      <c r="U122" s="37" t="n">
        <v>0</v>
      </c>
      <c r="V122" s="37" t="n">
        <v>1</v>
      </c>
      <c r="W122" s="37" t="n">
        <v>17</v>
      </c>
      <c r="X122" s="38" t="n">
        <v>1.833333333333333</v>
      </c>
      <c r="Y122" s="38" t="n">
        <v>1.833333333333333</v>
      </c>
      <c r="Z122" s="39" t="n">
        <v>1</v>
      </c>
      <c r="AA122" s="39" t="n">
        <v>1</v>
      </c>
    </row>
    <row r="123" ht="15" customHeight="1" s="19">
      <c r="A123" s="34" t="inlineStr">
        <is>
          <t>Hiba LISSAOUI</t>
        </is>
      </c>
      <c r="B123" s="25" t="n">
        <v>2026</v>
      </c>
      <c r="C123" s="25" t="n">
        <v>39</v>
      </c>
      <c r="D123" s="25">
        <f>B123&amp;"-S"&amp;TEXT(C123,"00")</f>
        <v/>
      </c>
      <c r="E123" s="34" t="inlineStr">
        <is>
          <t>9800111626 CM Découvert Eurocompte</t>
        </is>
      </c>
      <c r="F123" s="25" t="inlineStr">
        <is>
          <t>pdf</t>
        </is>
      </c>
      <c r="G123" s="35" t="n">
        <v>46287</v>
      </c>
      <c r="H123" s="25" t="inlineStr">
        <is>
          <t>RAPDF</t>
        </is>
      </c>
      <c r="I123" s="27" t="n">
        <v>100</v>
      </c>
      <c r="J123" s="34">
        <f>IF(I123="","À saisir",IF(I123&gt;=85,"CONFORME (≥85%)","NON CONFORME (&lt;85%)"))</f>
        <v/>
      </c>
      <c r="K123" s="25" t="n">
        <v>13</v>
      </c>
      <c r="L123" s="25" t="n">
        <v>0</v>
      </c>
      <c r="M123" s="25" t="n">
        <v>33</v>
      </c>
      <c r="N123" s="36" t="n"/>
      <c r="O123" s="36" t="n"/>
      <c r="P123" s="37" t="n">
        <v>4</v>
      </c>
      <c r="Q123" s="37" t="n">
        <v>4</v>
      </c>
      <c r="R123" s="37" t="n">
        <v>0</v>
      </c>
      <c r="S123" s="37" t="n">
        <v>0</v>
      </c>
      <c r="T123" s="37" t="n">
        <v>1</v>
      </c>
      <c r="U123" s="37" t="n">
        <v>0</v>
      </c>
      <c r="V123" s="37" t="n">
        <v>0</v>
      </c>
      <c r="W123" s="37" t="n">
        <v>0</v>
      </c>
      <c r="X123" s="38" t="n">
        <v>1.458333333333333</v>
      </c>
      <c r="Y123" s="38" t="n">
        <v>1.458333333333333</v>
      </c>
      <c r="Z123" s="39" t="n">
        <v>1</v>
      </c>
      <c r="AA123" s="39" t="n">
        <v>1</v>
      </c>
    </row>
    <row r="124" ht="15" customHeight="1" s="19">
      <c r="A124" s="34" t="inlineStr">
        <is>
          <t>Imad RMAIDI</t>
        </is>
      </c>
      <c r="B124" s="25" t="n">
        <v>2026</v>
      </c>
      <c r="C124" s="25" t="n">
        <v>39</v>
      </c>
      <c r="D124" s="25">
        <f>B124&amp;"-S"&amp;TEXT(C124,"00")</f>
        <v/>
      </c>
      <c r="E124" s="34" t="inlineStr">
        <is>
          <t>9800227649_Fiche clarté Prêt Coup de Pouce 2026</t>
        </is>
      </c>
      <c r="F124" s="25" t="inlineStr">
        <is>
          <t>pdf</t>
        </is>
      </c>
      <c r="G124" s="35" t="n">
        <v>46292</v>
      </c>
      <c r="H124" s="25" t="inlineStr">
        <is>
          <t>RAPDF</t>
        </is>
      </c>
      <c r="I124" s="27" t="n">
        <v>100</v>
      </c>
      <c r="J124" s="34">
        <f>IF(I124="","À saisir",IF(I124&gt;=85,"CONFORME (≥85%)","NON CONFORME (&lt;85%)"))</f>
        <v/>
      </c>
      <c r="K124" s="25" t="n">
        <v>13</v>
      </c>
      <c r="L124" s="25" t="n">
        <v>0</v>
      </c>
      <c r="M124" s="25" t="n">
        <v>33</v>
      </c>
      <c r="N124" s="36" t="n"/>
      <c r="O124" s="36" t="n"/>
      <c r="P124" s="37" t="n">
        <v>5</v>
      </c>
      <c r="Q124" s="37" t="n">
        <v>5</v>
      </c>
      <c r="R124" s="37" t="n">
        <v>0</v>
      </c>
      <c r="S124" s="37" t="n">
        <v>0</v>
      </c>
      <c r="T124" s="37" t="n">
        <v>0</v>
      </c>
      <c r="U124" s="37" t="n">
        <v>0</v>
      </c>
      <c r="V124" s="37" t="n">
        <v>0</v>
      </c>
      <c r="W124" s="37" t="n">
        <v>0</v>
      </c>
      <c r="X124" s="38" t="n">
        <v>1.833333333333333</v>
      </c>
      <c r="Y124" s="38" t="n">
        <v>1.833333333333333</v>
      </c>
      <c r="Z124" s="39" t="n">
        <v>1</v>
      </c>
      <c r="AA124" s="39" t="n">
        <v>1</v>
      </c>
    </row>
    <row r="125" ht="15" customHeight="1" s="19">
      <c r="A125" s="34" t="inlineStr">
        <is>
          <t>Mohamed HAMDANI</t>
        </is>
      </c>
      <c r="B125" s="25" t="n">
        <v>2026</v>
      </c>
      <c r="C125" s="25" t="n">
        <v>39</v>
      </c>
      <c r="D125" s="25">
        <f>B125&amp;"-S"&amp;TEXT(C125,"00")</f>
        <v/>
      </c>
      <c r="E125" s="34" t="inlineStr">
        <is>
          <t>(à saisir)</t>
        </is>
      </c>
      <c r="F125" s="25" t="n"/>
      <c r="G125" s="35" t="n"/>
      <c r="H125" s="25" t="inlineStr">
        <is>
          <t>—</t>
        </is>
      </c>
      <c r="I125" s="40" t="n"/>
      <c r="J125" s="41">
        <f>IF(I125="","À saisir",IF(I125&gt;=85,"CONFORME (≥85%)","NON CONFORME (&lt;85%)"))</f>
        <v/>
      </c>
      <c r="K125" s="42" t="n"/>
      <c r="L125" s="42" t="n"/>
      <c r="M125" s="42" t="n"/>
      <c r="N125" s="36" t="n"/>
      <c r="O125" s="36" t="n"/>
      <c r="P125" s="37" t="n">
        <v>5</v>
      </c>
      <c r="Q125" s="37" t="n">
        <v>5</v>
      </c>
      <c r="R125" s="37" t="n">
        <v>0</v>
      </c>
      <c r="S125" s="37" t="n">
        <v>0</v>
      </c>
      <c r="T125" s="37" t="n">
        <v>0</v>
      </c>
      <c r="U125" s="37" t="n">
        <v>0</v>
      </c>
      <c r="V125" s="37" t="n">
        <v>0</v>
      </c>
      <c r="W125" s="37" t="n">
        <v>0</v>
      </c>
      <c r="X125" s="38" t="n">
        <v>1.833333333333333</v>
      </c>
      <c r="Y125" s="38" t="n">
        <v>1.833333333333333</v>
      </c>
      <c r="Z125" s="39" t="n">
        <v>1</v>
      </c>
      <c r="AA125" s="39" t="n">
        <v>1</v>
      </c>
    </row>
    <row r="126" ht="15" customHeight="1" s="19">
      <c r="A126" s="34" t="inlineStr">
        <is>
          <t>Hiba LISSAOUI</t>
        </is>
      </c>
      <c r="B126" s="25" t="n">
        <v>2026</v>
      </c>
      <c r="C126" s="25" t="n">
        <v>40</v>
      </c>
      <c r="D126" s="25">
        <f>B126&amp;"-S"&amp;TEXT(C126,"00")</f>
        <v/>
      </c>
      <c r="E126" s="34" t="inlineStr">
        <is>
          <t>contrat-cadre-de-services-de-paiement-creatis-v2</t>
        </is>
      </c>
      <c r="F126" s="25" t="inlineStr">
        <is>
          <t>pdf</t>
        </is>
      </c>
      <c r="G126" s="35" t="n">
        <v>46299</v>
      </c>
      <c r="H126" s="25" t="inlineStr">
        <is>
          <t>RAPDF</t>
        </is>
      </c>
      <c r="I126" s="27" t="n">
        <v>100</v>
      </c>
      <c r="J126" s="34">
        <f>IF(I126="","À saisir",IF(I126&gt;=85,"CONFORME (≥85%)","NON CONFORME (&lt;85%)"))</f>
        <v/>
      </c>
      <c r="K126" s="25" t="n">
        <v>15</v>
      </c>
      <c r="L126" s="25" t="n">
        <v>0</v>
      </c>
      <c r="M126" s="25" t="n">
        <v>31</v>
      </c>
      <c r="N126" s="36" t="n"/>
      <c r="O126" s="36" t="n"/>
      <c r="P126" s="37" t="n">
        <v>5</v>
      </c>
      <c r="Q126" s="37" t="n">
        <v>5</v>
      </c>
      <c r="R126" s="37" t="n">
        <v>0</v>
      </c>
      <c r="S126" s="37" t="n">
        <v>0</v>
      </c>
      <c r="T126" s="37" t="n">
        <v>0</v>
      </c>
      <c r="U126" s="37" t="n">
        <v>0</v>
      </c>
      <c r="V126" s="37" t="n">
        <v>0</v>
      </c>
      <c r="W126" s="37" t="n">
        <v>0</v>
      </c>
      <c r="X126" s="38" t="n">
        <v>1.833333333333333</v>
      </c>
      <c r="Y126" s="38" t="n">
        <v>1.833333333333333</v>
      </c>
      <c r="Z126" s="39" t="n">
        <v>1</v>
      </c>
      <c r="AA126" s="39" t="n">
        <v>1</v>
      </c>
    </row>
    <row r="127" ht="15" customHeight="1" s="19">
      <c r="A127" s="34" t="inlineStr">
        <is>
          <t>Imad RMAIDI</t>
        </is>
      </c>
      <c r="B127" s="25" t="n">
        <v>2026</v>
      </c>
      <c r="C127" s="25" t="n">
        <v>40</v>
      </c>
      <c r="D127" s="25">
        <f>B127&amp;"-S"&amp;TEXT(C127,"00")</f>
        <v/>
      </c>
      <c r="E127" s="34" t="inlineStr">
        <is>
          <t>9800111648 CIC Fiche Zoom Eco Ptz 2026</t>
        </is>
      </c>
      <c r="F127" s="25" t="inlineStr">
        <is>
          <t>pdf</t>
        </is>
      </c>
      <c r="G127" s="35" t="n">
        <v>46293</v>
      </c>
      <c r="H127" s="25" t="inlineStr">
        <is>
          <t>RAPDF</t>
        </is>
      </c>
      <c r="I127" s="27" t="n">
        <v>100</v>
      </c>
      <c r="J127" s="34">
        <f>IF(I127="","À saisir",IF(I127&gt;=85,"CONFORME (≥85%)","NON CONFORME (&lt;85%)"))</f>
        <v/>
      </c>
      <c r="K127" s="25" t="n">
        <v>15</v>
      </c>
      <c r="L127" s="25" t="n">
        <v>0</v>
      </c>
      <c r="M127" s="25" t="n">
        <v>31</v>
      </c>
      <c r="N127" s="36" t="n"/>
      <c r="O127" s="36" t="n"/>
      <c r="P127" s="37" t="n">
        <v>5</v>
      </c>
      <c r="Q127" s="37" t="n">
        <v>5</v>
      </c>
      <c r="R127" s="37" t="n">
        <v>0</v>
      </c>
      <c r="S127" s="37" t="n">
        <v>0</v>
      </c>
      <c r="T127" s="37" t="n">
        <v>0</v>
      </c>
      <c r="U127" s="37" t="n">
        <v>0</v>
      </c>
      <c r="V127" s="37" t="n">
        <v>0</v>
      </c>
      <c r="W127" s="37" t="n">
        <v>0</v>
      </c>
      <c r="X127" s="38" t="n">
        <v>1.833333333333333</v>
      </c>
      <c r="Y127" s="38" t="n">
        <v>1.833333333333333</v>
      </c>
      <c r="Z127" s="39" t="n">
        <v>1</v>
      </c>
      <c r="AA127" s="39" t="n">
        <v>1</v>
      </c>
    </row>
    <row r="128" ht="15" customHeight="1" s="19">
      <c r="A128" s="34" t="inlineStr">
        <is>
          <t>Mohamed HAMDANI</t>
        </is>
      </c>
      <c r="B128" s="25" t="n">
        <v>2026</v>
      </c>
      <c r="C128" s="25" t="n">
        <v>40</v>
      </c>
      <c r="D128" s="25">
        <f>B128&amp;"-S"&amp;TEXT(C128,"00")</f>
        <v/>
      </c>
      <c r="E128" s="34" t="inlineStr">
        <is>
          <t>(à saisir)</t>
        </is>
      </c>
      <c r="F128" s="25" t="n"/>
      <c r="G128" s="35" t="n"/>
      <c r="H128" s="25" t="inlineStr">
        <is>
          <t>—</t>
        </is>
      </c>
      <c r="I128" s="40" t="n"/>
      <c r="J128" s="41">
        <f>IF(I128="","À saisir",IF(I128&gt;=85,"CONFORME (≥85%)","NON CONFORME (&lt;85%)"))</f>
        <v/>
      </c>
      <c r="K128" s="42" t="n"/>
      <c r="L128" s="42" t="n"/>
      <c r="M128" s="42" t="n"/>
      <c r="N128" s="36" t="n"/>
      <c r="O128" s="36" t="n"/>
      <c r="P128" s="37" t="n">
        <v>5</v>
      </c>
      <c r="Q128" s="37" t="n">
        <v>5</v>
      </c>
      <c r="R128" s="37" t="n">
        <v>0</v>
      </c>
      <c r="S128" s="37" t="n">
        <v>0</v>
      </c>
      <c r="T128" s="37" t="n">
        <v>0</v>
      </c>
      <c r="U128" s="37" t="n">
        <v>0</v>
      </c>
      <c r="V128" s="37" t="n">
        <v>1</v>
      </c>
      <c r="W128" s="37" t="n">
        <v>27</v>
      </c>
      <c r="X128" s="38" t="n">
        <v>1.833333333333333</v>
      </c>
      <c r="Y128" s="38" t="n">
        <v>1.833333333333333</v>
      </c>
      <c r="Z128" s="39" t="n">
        <v>1</v>
      </c>
      <c r="AA128" s="39" t="n">
        <v>1</v>
      </c>
    </row>
    <row r="129" ht="15" customHeight="1" s="19">
      <c r="A129" s="34" t="inlineStr">
        <is>
          <t>Youssef</t>
        </is>
      </c>
      <c r="B129" s="25" t="n">
        <v>2026</v>
      </c>
      <c r="C129" s="25" t="n">
        <v>40</v>
      </c>
      <c r="D129" s="25">
        <f>B129&amp;"-S"&amp;TEXT(C129,"00")</f>
        <v/>
      </c>
      <c r="E129" s="34" t="inlineStr">
        <is>
          <t>42.LVC.07.26</t>
        </is>
      </c>
      <c r="F129" s="25" t="inlineStr">
        <is>
          <t>pdf</t>
        </is>
      </c>
      <c r="G129" s="35" t="n">
        <v>46293</v>
      </c>
      <c r="H129" s="25" t="inlineStr">
        <is>
          <t>RAPDF</t>
        </is>
      </c>
      <c r="I129" s="27" t="n">
        <v>100</v>
      </c>
      <c r="J129" s="34">
        <f>IF(I129="","Rapport manquant",IF(I129&gt;=85,"CONFORME (≥85%)","NON CONFORME (&lt;85%)"))</f>
        <v/>
      </c>
      <c r="K129" s="25" t="n">
        <v>13</v>
      </c>
      <c r="L129" s="25" t="n">
        <v>0</v>
      </c>
      <c r="M129" s="25" t="n">
        <v>33</v>
      </c>
      <c r="N129" s="36" t="n"/>
      <c r="O129" s="36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8" t="n"/>
      <c r="Y129" s="38" t="n"/>
      <c r="Z129" s="39" t="n"/>
      <c r="AA129" s="39" t="n"/>
    </row>
    <row r="130" ht="15" customHeight="1" s="19">
      <c r="A130" s="34" t="inlineStr">
        <is>
          <t>Hiba LISSAOUI</t>
        </is>
      </c>
      <c r="B130" s="25" t="n">
        <v>2026</v>
      </c>
      <c r="C130" s="25" t="n">
        <v>41</v>
      </c>
      <c r="D130" s="25">
        <f>B130&amp;"-S"&amp;TEXT(C130,"00")</f>
        <v/>
      </c>
      <c r="E130" s="34" t="inlineStr">
        <is>
          <t>42.LVJ.07.26</t>
        </is>
      </c>
      <c r="F130" s="25" t="inlineStr">
        <is>
          <t>pdf</t>
        </is>
      </c>
      <c r="G130" s="35" t="n">
        <v>46303</v>
      </c>
      <c r="H130" s="25" t="inlineStr">
        <is>
          <t>RAPDF</t>
        </is>
      </c>
      <c r="I130" s="27" t="n">
        <v>100</v>
      </c>
      <c r="J130" s="34">
        <f>IF(I130="","À saisir",IF(I130&gt;=85,"CONFORME (≥85%)","NON CONFORME (&lt;85%)"))</f>
        <v/>
      </c>
      <c r="K130" s="25" t="n">
        <v>15</v>
      </c>
      <c r="L130" s="25" t="n">
        <v>0</v>
      </c>
      <c r="M130" s="25" t="n">
        <v>31</v>
      </c>
      <c r="N130" s="36" t="n"/>
      <c r="O130" s="36" t="n"/>
      <c r="P130" s="37" t="n">
        <v>5</v>
      </c>
      <c r="Q130" s="37" t="n">
        <v>5</v>
      </c>
      <c r="R130" s="37" t="n">
        <v>0</v>
      </c>
      <c r="S130" s="37" t="n">
        <v>0</v>
      </c>
      <c r="T130" s="37" t="n">
        <v>0</v>
      </c>
      <c r="U130" s="37" t="n">
        <v>0</v>
      </c>
      <c r="V130" s="37" t="n">
        <v>0</v>
      </c>
      <c r="W130" s="37" t="n">
        <v>0</v>
      </c>
      <c r="X130" s="38" t="n">
        <v>1.833333333333333</v>
      </c>
      <c r="Y130" s="38" t="n">
        <v>1.833333333333333</v>
      </c>
      <c r="Z130" s="39" t="n">
        <v>1</v>
      </c>
      <c r="AA130" s="39" t="n">
        <v>1</v>
      </c>
    </row>
    <row r="131" ht="15" customHeight="1" s="19">
      <c r="A131" s="34" t="inlineStr">
        <is>
          <t>Imad RMAIDI</t>
        </is>
      </c>
      <c r="B131" s="25" t="n">
        <v>2026</v>
      </c>
      <c r="C131" s="25" t="n">
        <v>41</v>
      </c>
      <c r="D131" s="25">
        <f>B131&amp;"-S"&amp;TEXT(C131,"00")</f>
        <v/>
      </c>
      <c r="E131" s="34" t="inlineStr">
        <is>
          <t>42.LPA.07.26</t>
        </is>
      </c>
      <c r="F131" s="25" t="inlineStr">
        <is>
          <t>pdf</t>
        </is>
      </c>
      <c r="G131" s="35" t="n">
        <v>46306</v>
      </c>
      <c r="H131" s="25" t="inlineStr">
        <is>
          <t>RAPDF</t>
        </is>
      </c>
      <c r="I131" s="27" t="n">
        <v>100</v>
      </c>
      <c r="J131" s="34">
        <f>IF(I131="","À saisir",IF(I131&gt;=85,"CONFORME (≥85%)","NON CONFORME (&lt;85%)"))</f>
        <v/>
      </c>
      <c r="K131" s="25" t="n">
        <v>15</v>
      </c>
      <c r="L131" s="25" t="n">
        <v>0</v>
      </c>
      <c r="M131" s="25" t="n">
        <v>31</v>
      </c>
      <c r="N131" s="36" t="n"/>
      <c r="O131" s="36" t="n"/>
      <c r="P131" s="37" t="n">
        <v>5</v>
      </c>
      <c r="Q131" s="37" t="n">
        <v>5</v>
      </c>
      <c r="R131" s="37" t="n">
        <v>0</v>
      </c>
      <c r="S131" s="37" t="n">
        <v>0</v>
      </c>
      <c r="T131" s="37" t="n">
        <v>0</v>
      </c>
      <c r="U131" s="37" t="n">
        <v>0</v>
      </c>
      <c r="V131" s="37" t="n">
        <v>0</v>
      </c>
      <c r="W131" s="37" t="n">
        <v>0</v>
      </c>
      <c r="X131" s="38" t="n">
        <v>1.833333333333333</v>
      </c>
      <c r="Y131" s="38" t="n">
        <v>1.833333333333333</v>
      </c>
      <c r="Z131" s="39" t="n">
        <v>1</v>
      </c>
      <c r="AA131" s="39" t="n">
        <v>1</v>
      </c>
    </row>
    <row r="132" ht="15" customHeight="1" s="19">
      <c r="A132" s="34" t="inlineStr">
        <is>
          <t>Mohamed HAMDANI</t>
        </is>
      </c>
      <c r="B132" s="25" t="n">
        <v>2026</v>
      </c>
      <c r="C132" s="25" t="n">
        <v>41</v>
      </c>
      <c r="D132" s="25">
        <f>B132&amp;"-S"&amp;TEXT(C132,"00")</f>
        <v/>
      </c>
      <c r="E132" s="34" t="inlineStr">
        <is>
          <t>(à saisir)</t>
        </is>
      </c>
      <c r="F132" s="25" t="n"/>
      <c r="G132" s="35" t="n"/>
      <c r="H132" s="25" t="inlineStr">
        <is>
          <t>—</t>
        </is>
      </c>
      <c r="I132" s="40" t="n"/>
      <c r="J132" s="41">
        <f>IF(I132="","À saisir",IF(I132&gt;=85,"CONFORME (≥85%)","NON CONFORME (&lt;85%)"))</f>
        <v/>
      </c>
      <c r="K132" s="42" t="n"/>
      <c r="L132" s="42" t="n"/>
      <c r="M132" s="42" t="n"/>
      <c r="N132" s="36" t="n"/>
      <c r="O132" s="36" t="n"/>
      <c r="P132" s="37" t="n">
        <v>5</v>
      </c>
      <c r="Q132" s="37" t="n">
        <v>5</v>
      </c>
      <c r="R132" s="37" t="n">
        <v>0</v>
      </c>
      <c r="S132" s="37" t="n">
        <v>0</v>
      </c>
      <c r="T132" s="37" t="n">
        <v>0</v>
      </c>
      <c r="U132" s="37" t="n">
        <v>0</v>
      </c>
      <c r="V132" s="37" t="n">
        <v>0</v>
      </c>
      <c r="W132" s="37" t="n">
        <v>0</v>
      </c>
      <c r="X132" s="38" t="n">
        <v>1.833333333333333</v>
      </c>
      <c r="Y132" s="38" t="n">
        <v>1.833333333333333</v>
      </c>
      <c r="Z132" s="39" t="n">
        <v>1</v>
      </c>
      <c r="AA132" s="39" t="n">
        <v>1</v>
      </c>
    </row>
    <row r="133" ht="15" customHeight="1" s="19">
      <c r="A133" s="34" t="inlineStr">
        <is>
          <t>Youssef</t>
        </is>
      </c>
      <c r="B133" s="25" t="n">
        <v>2026</v>
      </c>
      <c r="C133" s="25" t="n">
        <v>41</v>
      </c>
      <c r="D133" s="25">
        <f>B133&amp;"-S"&amp;TEXT(C133,"00")</f>
        <v/>
      </c>
      <c r="E133" s="34" t="inlineStr">
        <is>
          <t>FC comptes de campagne</t>
        </is>
      </c>
      <c r="F133" s="25" t="inlineStr">
        <is>
          <t>pdf</t>
        </is>
      </c>
      <c r="G133" s="35" t="n">
        <v>46303</v>
      </c>
      <c r="H133" s="25" t="inlineStr">
        <is>
          <t>RAPDF</t>
        </is>
      </c>
      <c r="I133" s="27" t="n">
        <v>100</v>
      </c>
      <c r="J133" s="34">
        <f>IF(I133="","Rapport manquant",IF(I133&gt;=85,"CONFORME (≥85%)","NON CONFORME (&lt;85%)"))</f>
        <v/>
      </c>
      <c r="K133" s="25" t="n">
        <v>15</v>
      </c>
      <c r="L133" s="25" t="n">
        <v>0</v>
      </c>
      <c r="M133" s="25" t="n">
        <v>31</v>
      </c>
      <c r="N133" s="36" t="n"/>
      <c r="O133" s="36" t="n"/>
      <c r="P133" s="37" t="n">
        <v>5</v>
      </c>
      <c r="Q133" s="37" t="n">
        <v>5</v>
      </c>
      <c r="R133" s="37" t="n">
        <v>0</v>
      </c>
      <c r="S133" s="37" t="n">
        <v>0</v>
      </c>
      <c r="T133" s="37" t="n">
        <v>0</v>
      </c>
      <c r="U133" s="37" t="n">
        <v>0</v>
      </c>
      <c r="V133" s="37" t="n">
        <v>0</v>
      </c>
      <c r="W133" s="37" t="n">
        <v>0</v>
      </c>
      <c r="X133" s="38" t="n">
        <v>0</v>
      </c>
      <c r="Y133" s="38" t="n">
        <v>0</v>
      </c>
      <c r="Z133" s="39" t="n">
        <v>1</v>
      </c>
      <c r="AA133" s="39" t="n"/>
    </row>
    <row r="134" ht="15" customHeight="1" s="19">
      <c r="A134" s="34" t="inlineStr">
        <is>
          <t>Hiba LISSAOUI</t>
        </is>
      </c>
      <c r="B134" s="25" t="n">
        <v>2026</v>
      </c>
      <c r="C134" s="25" t="n">
        <v>42</v>
      </c>
      <c r="D134" s="25">
        <f>B134&amp;"-S"&amp;TEXT(C134,"00")</f>
        <v/>
      </c>
      <c r="E134" s="34" t="inlineStr">
        <is>
          <t>COL_9902030097_011000533279802</t>
        </is>
      </c>
      <c r="F134" s="25" t="inlineStr">
        <is>
          <t>pdf</t>
        </is>
      </c>
      <c r="G134" s="35" t="n">
        <v>46307</v>
      </c>
      <c r="H134" s="25" t="inlineStr">
        <is>
          <t>RAPDF</t>
        </is>
      </c>
      <c r="I134" s="27" t="n">
        <v>100</v>
      </c>
      <c r="J134" s="34">
        <f>IF(I134="","À saisir",IF(I134&gt;=85,"CONFORME (≥85%)","NON CONFORME (&lt;85%)"))</f>
        <v/>
      </c>
      <c r="K134" s="25" t="n">
        <v>16</v>
      </c>
      <c r="L134" s="25" t="n">
        <v>0</v>
      </c>
      <c r="M134" s="25" t="n">
        <v>30</v>
      </c>
      <c r="N134" s="36" t="n"/>
      <c r="O134" s="36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8" t="n"/>
      <c r="Y134" s="38" t="n"/>
      <c r="Z134" s="39" t="n"/>
      <c r="AA134" s="39" t="n"/>
    </row>
    <row r="135" ht="15" customHeight="1" s="19">
      <c r="A135" s="34" t="inlineStr">
        <is>
          <t>Imad RMAIDI</t>
        </is>
      </c>
      <c r="B135" s="25" t="n">
        <v>2026</v>
      </c>
      <c r="C135" s="25" t="n">
        <v>42</v>
      </c>
      <c r="D135" s="25">
        <f>B135&amp;"-S"&amp;TEXT(C135,"00")</f>
        <v/>
      </c>
      <c r="E135" s="34" t="inlineStr">
        <is>
          <t>COL_9902030097_011000533279771</t>
        </is>
      </c>
      <c r="F135" s="25" t="inlineStr">
        <is>
          <t>pdf</t>
        </is>
      </c>
      <c r="G135" s="35" t="n">
        <v>46308</v>
      </c>
      <c r="H135" s="25" t="inlineStr">
        <is>
          <t>RAPDF</t>
        </is>
      </c>
      <c r="I135" s="27" t="n">
        <v>100</v>
      </c>
      <c r="J135" s="34">
        <f>IF(I135="","À saisir",IF(I135&gt;=85,"CONFORME (≥85%)","NON CONFORME (&lt;85%)"))</f>
        <v/>
      </c>
      <c r="K135" s="25" t="n">
        <v>16</v>
      </c>
      <c r="L135" s="25" t="n">
        <v>0</v>
      </c>
      <c r="M135" s="25" t="n">
        <v>30</v>
      </c>
      <c r="N135" s="36" t="n"/>
      <c r="O135" s="36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8" t="n"/>
      <c r="Y135" s="38" t="n"/>
      <c r="Z135" s="39" t="n"/>
      <c r="AA135" s="39" t="n"/>
    </row>
    <row r="136" ht="15" customHeight="1" s="19">
      <c r="A136" s="34" t="inlineStr">
        <is>
          <t>Mohamed HAMDANI</t>
        </is>
      </c>
      <c r="B136" s="25" t="n">
        <v>2026</v>
      </c>
      <c r="C136" s="25" t="n">
        <v>42</v>
      </c>
      <c r="D136" s="25">
        <f>B136&amp;"-S"&amp;TEXT(C136,"00")</f>
        <v/>
      </c>
      <c r="E136" s="34" t="inlineStr">
        <is>
          <t>(à saisir)</t>
        </is>
      </c>
      <c r="F136" s="25" t="n"/>
      <c r="G136" s="35" t="n"/>
      <c r="H136" s="25" t="inlineStr">
        <is>
          <t>—</t>
        </is>
      </c>
      <c r="I136" s="40" t="n"/>
      <c r="J136" s="41">
        <f>IF(I136="","À saisir",IF(I136&gt;=85,"CONFORME (≥85%)","NON CONFORME (&lt;85%)"))</f>
        <v/>
      </c>
      <c r="K136" s="42" t="n"/>
      <c r="L136" s="42" t="n"/>
      <c r="M136" s="42" t="n"/>
      <c r="N136" s="36" t="n"/>
      <c r="O136" s="36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8" t="n"/>
      <c r="Y136" s="38" t="n"/>
      <c r="Z136" s="39" t="n"/>
      <c r="AA136" s="39" t="n"/>
    </row>
    <row r="137" ht="15" customHeight="1" s="19">
      <c r="A137" s="34" t="inlineStr">
        <is>
          <t>Youssef</t>
        </is>
      </c>
      <c r="B137" s="25" t="n">
        <v>2026</v>
      </c>
      <c r="C137" s="25" t="n">
        <v>42</v>
      </c>
      <c r="D137" s="25">
        <f>B137&amp;"-S"&amp;TEXT(C137,"00")</f>
        <v/>
      </c>
      <c r="E137" s="34" t="inlineStr">
        <is>
          <t>FC Connect Plus</t>
        </is>
      </c>
      <c r="F137" s="25" t="inlineStr">
        <is>
          <t>pdf</t>
        </is>
      </c>
      <c r="G137" s="35" t="n">
        <v>46313</v>
      </c>
      <c r="H137" s="25" t="inlineStr">
        <is>
          <t>RAPDF</t>
        </is>
      </c>
      <c r="I137" s="27" t="n">
        <v>100</v>
      </c>
      <c r="J137" s="34">
        <f>IF(I137="","Rapport manquant",IF(I137&gt;=85,"CONFORME (≥85%)","NON CONFORME (&lt;85%)"))</f>
        <v/>
      </c>
      <c r="K137" s="25" t="n">
        <v>13</v>
      </c>
      <c r="L137" s="25" t="n">
        <v>0</v>
      </c>
      <c r="M137" s="25" t="n">
        <v>33</v>
      </c>
      <c r="N137" s="36" t="n"/>
      <c r="O137" s="36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8" t="n"/>
      <c r="Y137" s="38" t="n"/>
      <c r="Z137" s="39" t="n"/>
      <c r="AA137" s="39" t="n"/>
    </row>
    <row r="138" ht="15" customHeight="1" s="19">
      <c r="A138" s="34" t="inlineStr">
        <is>
          <t>Hiba LISSAOUI</t>
        </is>
      </c>
      <c r="B138" s="25" t="n">
        <v>2026</v>
      </c>
      <c r="C138" s="25" t="n">
        <v>43</v>
      </c>
      <c r="D138" s="25">
        <f>B138&amp;"-S"&amp;TEXT(C138,"00")</f>
        <v/>
      </c>
      <c r="E138" s="34" t="inlineStr">
        <is>
          <t>9800142590 - FC Le prêt Jeunes</t>
        </is>
      </c>
      <c r="F138" s="25" t="inlineStr">
        <is>
          <t>pdf</t>
        </is>
      </c>
      <c r="G138" s="35" t="n">
        <v>46314</v>
      </c>
      <c r="H138" s="25" t="inlineStr">
        <is>
          <t>RAPDF</t>
        </is>
      </c>
      <c r="I138" s="27" t="n">
        <v>100</v>
      </c>
      <c r="J138" s="34">
        <f>IF(I138="","À saisir",IF(I138&gt;=85,"CONFORME (≥85%)","NON CONFORME (&lt;85%)"))</f>
        <v/>
      </c>
      <c r="K138" s="25" t="n">
        <v>13</v>
      </c>
      <c r="L138" s="25" t="n">
        <v>0</v>
      </c>
      <c r="M138" s="25" t="n">
        <v>33</v>
      </c>
      <c r="N138" s="36" t="n"/>
      <c r="O138" s="36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8" t="n"/>
      <c r="Y138" s="38" t="n"/>
      <c r="Z138" s="39" t="n"/>
      <c r="AA138" s="39" t="n"/>
    </row>
    <row r="139" ht="15" customHeight="1" s="19">
      <c r="A139" s="34" t="inlineStr">
        <is>
          <t>Imad RMAIDI</t>
        </is>
      </c>
      <c r="B139" s="25" t="n">
        <v>2026</v>
      </c>
      <c r="C139" s="25" t="n">
        <v>43</v>
      </c>
      <c r="D139" s="25">
        <f>B139&amp;"-S"&amp;TEXT(C139,"00")</f>
        <v/>
      </c>
      <c r="E139" s="34" t="inlineStr">
        <is>
          <t>CG0574 1026 CGU IP CIC SUD OUEST</t>
        </is>
      </c>
      <c r="F139" s="25" t="inlineStr">
        <is>
          <t>pdf</t>
        </is>
      </c>
      <c r="G139" s="35" t="n">
        <v>46317</v>
      </c>
      <c r="H139" s="25" t="inlineStr">
        <is>
          <t>RAPDF</t>
        </is>
      </c>
      <c r="I139" s="27" t="n">
        <v>100</v>
      </c>
      <c r="J139" s="34">
        <f>IF(I139="","À saisir",IF(I139&gt;=85,"CONFORME (≥85%)","NON CONFORME (&lt;85%)"))</f>
        <v/>
      </c>
      <c r="K139" s="25" t="n">
        <v>15</v>
      </c>
      <c r="L139" s="25" t="n">
        <v>0</v>
      </c>
      <c r="M139" s="25" t="n">
        <v>31</v>
      </c>
      <c r="N139" s="36" t="n"/>
      <c r="O139" s="36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8" t="n"/>
      <c r="Y139" s="38" t="n"/>
      <c r="Z139" s="39" t="n"/>
      <c r="AA139" s="39" t="n"/>
    </row>
    <row r="140" ht="15" customHeight="1" s="19">
      <c r="A140" s="34" t="inlineStr">
        <is>
          <t>Mohamed HAMDANI</t>
        </is>
      </c>
      <c r="B140" s="25" t="n">
        <v>2026</v>
      </c>
      <c r="C140" s="25" t="n">
        <v>43</v>
      </c>
      <c r="D140" s="25">
        <f>B140&amp;"-S"&amp;TEXT(C140,"00")</f>
        <v/>
      </c>
      <c r="E140" s="34" t="inlineStr">
        <is>
          <t>(à saisir)</t>
        </is>
      </c>
      <c r="F140" s="25" t="n"/>
      <c r="G140" s="35" t="n"/>
      <c r="H140" s="25" t="inlineStr">
        <is>
          <t>—</t>
        </is>
      </c>
      <c r="I140" s="40" t="n"/>
      <c r="J140" s="41">
        <f>IF(I140="","À saisir",IF(I140&gt;=85,"CONFORME (≥85%)","NON CONFORME (&lt;85%)"))</f>
        <v/>
      </c>
      <c r="K140" s="42" t="n"/>
      <c r="L140" s="42" t="n"/>
      <c r="M140" s="42" t="n"/>
      <c r="N140" s="36" t="n"/>
      <c r="O140" s="36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8" t="n"/>
      <c r="Y140" s="38" t="n"/>
      <c r="Z140" s="39" t="n"/>
      <c r="AA140" s="39" t="n"/>
    </row>
    <row r="141" ht="15" customHeight="1" s="19">
      <c r="A141" s="34" t="inlineStr">
        <is>
          <t>Youssef</t>
        </is>
      </c>
      <c r="B141" s="25" t="n">
        <v>2026</v>
      </c>
      <c r="C141" s="25" t="n">
        <v>43</v>
      </c>
      <c r="D141" s="25">
        <f>B141&amp;"-S"&amp;TEXT(C141,"00")</f>
        <v/>
      </c>
      <c r="E141" s="34" t="inlineStr">
        <is>
          <t>CG0574 1026 CGU IP CM</t>
        </is>
      </c>
      <c r="F141" s="25" t="inlineStr">
        <is>
          <t>pdf</t>
        </is>
      </c>
      <c r="G141" s="35" t="n">
        <v>46319</v>
      </c>
      <c r="H141" s="25" t="inlineStr">
        <is>
          <t>RAPDF</t>
        </is>
      </c>
      <c r="I141" s="27" t="n">
        <v>100</v>
      </c>
      <c r="J141" s="34">
        <f>IF(I141="","Rapport manquant",IF(I141&gt;=85,"CONFORME (≥85%)","NON CONFORME (&lt;85%)"))</f>
        <v/>
      </c>
      <c r="K141" s="25" t="n">
        <v>15</v>
      </c>
      <c r="L141" s="25" t="n">
        <v>0</v>
      </c>
      <c r="M141" s="25" t="n">
        <v>31</v>
      </c>
      <c r="N141" s="36" t="n"/>
      <c r="O141" s="36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8" t="n"/>
      <c r="Y141" s="38" t="n"/>
      <c r="Z141" s="39" t="n"/>
      <c r="AA141" s="39" t="n"/>
    </row>
    <row r="142" ht="15" customHeight="1" s="19">
      <c r="A142" s="34" t="inlineStr">
        <is>
          <t>Hiba LISSAOUI</t>
        </is>
      </c>
      <c r="B142" s="25" t="n">
        <v>2026</v>
      </c>
      <c r="C142" s="25" t="n">
        <v>44</v>
      </c>
      <c r="D142" s="25">
        <f>B142&amp;"-S"&amp;TEXT(C142,"00")</f>
        <v/>
      </c>
      <c r="E142" s="34" t="inlineStr">
        <is>
          <t>VIE_9902030044_011000541137492</t>
        </is>
      </c>
      <c r="F142" s="25" t="inlineStr">
        <is>
          <t>pdf</t>
        </is>
      </c>
      <c r="G142" s="35" t="n">
        <v>46324</v>
      </c>
      <c r="H142" s="25" t="inlineStr">
        <is>
          <t>RAPDF</t>
        </is>
      </c>
      <c r="I142" s="27" t="n">
        <v>100</v>
      </c>
      <c r="J142" s="34">
        <f>IF(I142="","À saisir",IF(I142&gt;=85,"CONFORME (≥85%)","NON CONFORME (&lt;85%)"))</f>
        <v/>
      </c>
      <c r="K142" s="25" t="n">
        <v>13</v>
      </c>
      <c r="L142" s="25" t="n">
        <v>0</v>
      </c>
      <c r="M142" s="25" t="n">
        <v>33</v>
      </c>
      <c r="N142" s="36" t="n"/>
      <c r="O142" s="36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8" t="n"/>
      <c r="Y142" s="38" t="n"/>
      <c r="Z142" s="39" t="n"/>
      <c r="AA142" s="39" t="n"/>
    </row>
  </sheetData>
  <autoFilter ref="A1:AA142"/>
  <conditionalFormatting sqref="I2:I142">
    <cfRule type="cellIs" rank="0" priority="2" equalAverage="0" operator="lessThan" aboveAverage="0" dxfId="1" text="" percent="0" bottom="0">
      <formula>100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8" min="1" max="1"/>
    <col width="8" customWidth="1" style="18" min="2" max="2"/>
    <col width="9" customWidth="1" style="18" min="3" max="3"/>
    <col width="45" customWidth="1" style="18" min="4" max="4"/>
    <col width="90" customWidth="1" style="18" min="5" max="5"/>
  </cols>
  <sheetData>
    <row r="1" ht="15" customHeight="1" s="19">
      <c r="A1" s="22" t="inlineStr">
        <is>
          <t>Collaborateur</t>
        </is>
      </c>
      <c r="B1" s="22" t="inlineStr">
        <is>
          <t>Année</t>
        </is>
      </c>
      <c r="C1" s="22" t="inlineStr">
        <is>
          <t>Semaine</t>
        </is>
      </c>
      <c r="D1" s="22" t="inlineStr">
        <is>
          <t>Document</t>
        </is>
      </c>
      <c r="E1" s="22" t="inlineStr">
        <is>
          <t>Remarque</t>
        </is>
      </c>
    </row>
    <row r="2" ht="15" customHeight="1" s="19">
      <c r="A2" s="36" t="inlineStr">
        <is>
          <t>Imad RMAIDI</t>
        </is>
      </c>
      <c r="B2" s="36" t="n">
        <v>2026</v>
      </c>
      <c r="C2" s="36" t="n">
        <v>11</v>
      </c>
      <c r="D2" s="36" t="inlineStr">
        <is>
          <t>SAN_9902020008_011000745243123</t>
        </is>
      </c>
      <c r="E2" s="36" t="inlineStr">
        <is>
          <t>Document traité (fichiers présents) mais aucun rapport d'évaluation : note non renseignée.</t>
        </is>
      </c>
    </row>
    <row r="3" ht="15" customHeight="1" s="19">
      <c r="A3" s="36" t="inlineStr">
        <is>
          <t>Mohamed HAMDANI</t>
        </is>
      </c>
      <c r="B3" s="36" t="n">
        <v>2026</v>
      </c>
      <c r="C3" s="36" t="n">
        <v>11</v>
      </c>
      <c r="D3" s="36" t="inlineStr">
        <is>
          <t>SAN_9902030053_011000789059347</t>
        </is>
      </c>
      <c r="E3" s="36" t="inlineStr">
        <is>
          <t>Document traité (fichiers présents) mais aucun rapport d'évaluation : note non renseignée.</t>
        </is>
      </c>
    </row>
    <row r="4" ht="15" customHeight="1" s="19">
      <c r="A4" s="36" t="inlineStr">
        <is>
          <t>Imad RMAIDI</t>
        </is>
      </c>
      <c r="B4" s="36" t="n">
        <v>2026</v>
      </c>
      <c r="C4" s="36" t="n">
        <v>12</v>
      </c>
      <c r="D4" s="36" t="inlineStr">
        <is>
          <t>(dossier vide)</t>
        </is>
      </c>
      <c r="E4" s="36" t="inlineStr">
        <is>
          <t>Dossier de la semaine créé mais vide : aucun document ni rapport.</t>
        </is>
      </c>
    </row>
    <row r="5" ht="15" customHeight="1" s="19">
      <c r="A5" s="36" t="inlineStr">
        <is>
          <t>Hafssa BENCHRIF</t>
        </is>
      </c>
      <c r="B5" s="36" t="n">
        <v>2026</v>
      </c>
      <c r="C5" s="36" t="n">
        <v>16</v>
      </c>
      <c r="D5" s="36" t="inlineStr">
        <is>
          <t>9800059279 Fc_E-Retrait_v062026</t>
        </is>
      </c>
      <c r="E5" s="36" t="inlineStr">
        <is>
          <t>Document traité (fichiers présents) mais aucun rapport d'évaluation : note non renseignée.</t>
        </is>
      </c>
    </row>
    <row r="6" ht="15" customHeight="1" s="19">
      <c r="A6" s="36" t="inlineStr">
        <is>
          <t>Hafssa BENCHRIF</t>
        </is>
      </c>
      <c r="B6" s="36" t="n">
        <v>2026</v>
      </c>
      <c r="C6" s="36" t="n">
        <v>17</v>
      </c>
      <c r="D6" s="36" t="inlineStr">
        <is>
          <t>(dossier vide)</t>
        </is>
      </c>
      <c r="E6" s="36" t="inlineStr">
        <is>
          <t>Dossier de la semaine créé mais vide : aucun document ni rapport.</t>
        </is>
      </c>
    </row>
    <row r="7" ht="15" customHeight="1" s="19">
      <c r="A7" s="36" t="inlineStr">
        <is>
          <t>Mohamed HAMDANI</t>
        </is>
      </c>
      <c r="B7" s="36" t="n">
        <v>2026</v>
      </c>
      <c r="C7" s="36" t="n">
        <v>23</v>
      </c>
      <c r="D7" s="36" t="inlineStr">
        <is>
          <t>PEA _0140020765-Vadsf2026</t>
        </is>
      </c>
      <c r="E7" s="36" t="inlineStr">
        <is>
          <t>Type de document « Non spécifié » dans le rapport : déduit du dossier (pdf).</t>
        </is>
      </c>
    </row>
    <row r="8" ht="23.85" customHeight="1" s="19">
      <c r="A8" s="36" t="inlineStr">
        <is>
          <t>Hiba LISSAOUI</t>
        </is>
      </c>
      <c r="B8" s="36" t="n">
        <v>2026</v>
      </c>
      <c r="C8" s="36" t="n">
        <v>24</v>
      </c>
      <c r="D8" s="36" t="inlineStr">
        <is>
          <t>P1_Notice_Monabanq_10-2026</t>
        </is>
      </c>
      <c r="E8" s="36" t="inlineStr">
        <is>
          <t>Dossier classé en S24 mais le rapport indique « Semaine 31 » (évalué le 2026-07-28) : semaine du dossier retenue.</t>
        </is>
      </c>
    </row>
    <row r="9" ht="15" customHeight="1" s="19">
      <c r="A9" s="36" t="inlineStr">
        <is>
          <t>Hiba LISSAOUI</t>
        </is>
      </c>
      <c r="B9" s="36" t="n">
        <v>2026</v>
      </c>
      <c r="C9" s="36" t="n">
        <v>24</v>
      </c>
      <c r="D9" s="36" t="inlineStr">
        <is>
          <t>P1_Notice_Monabanq_10-2026</t>
        </is>
      </c>
      <c r="E9" s="36" t="inlineStr">
        <is>
          <t>Type de document « Non spécifié » dans le rapport : déduit du dossier (pdf).</t>
        </is>
      </c>
    </row>
    <row r="10" ht="23.85" customHeight="1" s="19">
      <c r="A10" s="36" t="inlineStr">
        <is>
          <t>Hiba LISSAOUI</t>
        </is>
      </c>
      <c r="B10" s="36" t="n">
        <v>2026</v>
      </c>
      <c r="C10" s="36" t="n">
        <v>25</v>
      </c>
      <c r="D10" s="36" t="inlineStr">
        <is>
          <t>0130015514_FC Tonic Privilège à préavis_072026</t>
        </is>
      </c>
      <c r="E10" s="36" t="inlineStr">
        <is>
          <t>Dossier classé en S25 mais le rapport indique « Semaine 31 » (évalué le 2026-07-28) : semaine du dossier retenue.</t>
        </is>
      </c>
    </row>
    <row r="11" ht="15" customHeight="1" s="19">
      <c r="A11" s="36" t="inlineStr">
        <is>
          <t>Hiba LISSAOUI</t>
        </is>
      </c>
      <c r="B11" s="36" t="n">
        <v>2026</v>
      </c>
      <c r="C11" s="36" t="n">
        <v>25</v>
      </c>
      <c r="D11" s="36" t="inlineStr">
        <is>
          <t>0130015514_FC Tonic Privilège à préavis_072026</t>
        </is>
      </c>
      <c r="E11" s="36" t="inlineStr">
        <is>
          <t>Type de document « Non spécifié » dans le rapport : déduit du dossier (pdf).</t>
        </is>
      </c>
    </row>
    <row r="12" ht="15" customHeight="1" s="19">
      <c r="A12" s="36" t="inlineStr">
        <is>
          <t>Mohamed HAMDANI</t>
        </is>
      </c>
      <c r="B12" s="36" t="n">
        <v>2026</v>
      </c>
      <c r="C12" s="36" t="n">
        <v>25</v>
      </c>
      <c r="D12" s="36" t="inlineStr">
        <is>
          <t>0130018095_FC CM ADD_072026</t>
        </is>
      </c>
      <c r="E12" s="36" t="inlineStr">
        <is>
          <t>Type de document « Non spécifié » dans le rapport : déduit du dossier (pdf).</t>
        </is>
      </c>
    </row>
    <row r="13" ht="15" customHeight="1" s="19">
      <c r="A13" s="36" t="inlineStr">
        <is>
          <t>Mohamed HAMDANI</t>
        </is>
      </c>
      <c r="B13" s="36" t="n">
        <v>2026</v>
      </c>
      <c r="C13" s="36" t="n">
        <v>26</v>
      </c>
      <c r="D13" s="36" t="inlineStr">
        <is>
          <t>0130009109 CM - Eurocompte jeune 072026</t>
        </is>
      </c>
      <c r="E13" s="36" t="inlineStr">
        <is>
          <t>Type de document « Non spécifié » dans le rapport : déduit du dossier (pdf).</t>
        </is>
      </c>
    </row>
    <row r="14" ht="15" customHeight="1" s="19">
      <c r="A14" s="36" t="inlineStr">
        <is>
          <t>Hiba LISSAOUI</t>
        </is>
      </c>
      <c r="B14" s="36" t="n">
        <v>2026</v>
      </c>
      <c r="C14" s="36" t="n">
        <v>27</v>
      </c>
      <c r="D14" s="36" t="inlineStr">
        <is>
          <t>COL_9902030098_011000823633463</t>
        </is>
      </c>
      <c r="E14" s="36" t="inlineStr">
        <is>
          <t>Type de document « Non spécifié » dans le rapport : déduit du dossier (pdf).</t>
        </is>
      </c>
    </row>
    <row r="15" ht="15" customHeight="1" s="19">
      <c r="A15" s="36" t="inlineStr">
        <is>
          <t>Hiba LISSAOUI</t>
        </is>
      </c>
      <c r="B15" s="36" t="n">
        <v>2026</v>
      </c>
      <c r="C15" s="36" t="n">
        <v>31</v>
      </c>
      <c r="D15" s="36" t="inlineStr">
        <is>
          <t>IRD_9902030015_011000527904322</t>
        </is>
      </c>
      <c r="E15" s="36" t="inlineStr">
        <is>
          <t>Type de document « Non spécifié » dans le rapport : déduit du dossier (pdf).</t>
        </is>
      </c>
    </row>
    <row r="16" ht="15" customHeight="1" s="19">
      <c r="A16" s="36" t="inlineStr">
        <is>
          <t>Mohamed HAMDANI</t>
        </is>
      </c>
      <c r="B16" s="36" t="n">
        <v>2026</v>
      </c>
      <c r="C16" s="36" t="n">
        <v>31</v>
      </c>
      <c r="D16" s="36" t="inlineStr">
        <is>
          <t>0470005537 CIC - FZ Parcours J</t>
        </is>
      </c>
      <c r="E16" s="36" t="inlineStr">
        <is>
          <t>Type de document « Non spécifié » dans le rapport : déduit du dossier (pdf).</t>
        </is>
      </c>
    </row>
    <row r="17" ht="15" customHeight="1" s="19">
      <c r="A17" s="36" t="inlineStr">
        <is>
          <t>Hiba LISSAOUI</t>
        </is>
      </c>
      <c r="B17" s="36" t="n">
        <v>2026</v>
      </c>
      <c r="C17" s="36" t="n">
        <v>35</v>
      </c>
      <c r="D17" s="36" t="inlineStr">
        <is>
          <t>(dossier vide)</t>
        </is>
      </c>
      <c r="E17" s="36" t="inlineStr">
        <is>
          <t>Dossier de la semaine créé mais vide : aucun document ni rapport.</t>
        </is>
      </c>
    </row>
    <row r="18" ht="15" customHeight="1" s="19">
      <c r="A18" s="36" t="inlineStr">
        <is>
          <t>Imad RMAIDI</t>
        </is>
      </c>
      <c r="B18" s="36" t="n">
        <v>2026</v>
      </c>
      <c r="C18" s="36" t="n">
        <v>36</v>
      </c>
      <c r="D18" s="36" t="inlineStr">
        <is>
          <t>(dossier vide)</t>
        </is>
      </c>
      <c r="E18" s="36" t="inlineStr">
        <is>
          <t>Dossier de la semaine créé mais vide : aucun document ni rapport.</t>
        </is>
      </c>
    </row>
    <row r="19" ht="15" customHeight="1" s="19">
      <c r="A19" s="36" t="inlineStr">
        <is>
          <t>Mohamed HAMDANI</t>
        </is>
      </c>
      <c r="B19" s="36" t="n">
        <v>2026</v>
      </c>
      <c r="C19" s="36" t="n">
        <v>39</v>
      </c>
      <c r="D19" s="36" t="inlineStr">
        <is>
          <t>(dossier vide)</t>
        </is>
      </c>
      <c r="E19" s="36" t="inlineStr">
        <is>
          <t>Dossier de la semaine créé mais vide : aucun document ni rapport.</t>
        </is>
      </c>
    </row>
    <row r="20" ht="15" customHeight="1" s="19">
      <c r="A20" s="36" t="inlineStr">
        <is>
          <t>Mohamed HAMDANI</t>
        </is>
      </c>
      <c r="B20" s="36" t="n">
        <v>2026</v>
      </c>
      <c r="C20" s="36" t="n">
        <v>40</v>
      </c>
      <c r="D20" s="36" t="inlineStr">
        <is>
          <t>(dossier vide)</t>
        </is>
      </c>
      <c r="E20" s="36" t="inlineStr">
        <is>
          <t>Dossier de la semaine créé mais vide : aucun document ni rapport.</t>
        </is>
      </c>
    </row>
    <row r="21" ht="15" customHeight="1" s="19">
      <c r="A21" s="36" t="inlineStr">
        <is>
          <t>Mohamed HAMDANI</t>
        </is>
      </c>
      <c r="B21" s="36" t="n">
        <v>2026</v>
      </c>
      <c r="C21" s="36" t="n">
        <v>41</v>
      </c>
      <c r="D21" s="36" t="inlineStr">
        <is>
          <t>(dossier vide)</t>
        </is>
      </c>
      <c r="E21" s="36" t="inlineStr">
        <is>
          <t>Dossier de la semaine créé mais vide : aucun document ni rapport.</t>
        </is>
      </c>
    </row>
    <row r="22" ht="15" customHeight="1" s="19">
      <c r="A22" s="36" t="inlineStr">
        <is>
          <t>Mohamed HAMDANI</t>
        </is>
      </c>
      <c r="B22" s="36" t="n">
        <v>2026</v>
      </c>
      <c r="C22" s="36" t="n">
        <v>42</v>
      </c>
      <c r="D22" s="36" t="inlineStr">
        <is>
          <t>(dossier vide)</t>
        </is>
      </c>
      <c r="E22" s="36" t="inlineStr">
        <is>
          <t>Dossier de la semaine créé mais vide : aucun document ni rapport.</t>
        </is>
      </c>
    </row>
    <row r="23" ht="15" customHeight="1" s="19">
      <c r="A23" s="36" t="inlineStr">
        <is>
          <t>Mohamed HAMDANI</t>
        </is>
      </c>
      <c r="B23" s="36" t="n">
        <v>2026</v>
      </c>
      <c r="C23" s="36" t="n">
        <v>43</v>
      </c>
      <c r="D23" s="36" t="inlineStr">
        <is>
          <t>(dossier vide)</t>
        </is>
      </c>
      <c r="E23" s="36" t="inlineStr">
        <is>
          <t>Dossier de la semaine créé mais vide : aucun document ni rapport.</t>
        </is>
      </c>
    </row>
    <row r="24" ht="15" customHeight="1" s="19">
      <c r="A24" s="36" t="inlineStr">
        <is>
          <t>Hiba LISSAOUI</t>
        </is>
      </c>
      <c r="B24" s="36" t="n">
        <v>2026</v>
      </c>
      <c r="C24" s="36" t="n">
        <v>44</v>
      </c>
      <c r="D24" s="36" t="inlineStr">
        <is>
          <t>VIE_9902030044_011000541137492</t>
        </is>
      </c>
      <c r="E24" s="36" t="inlineStr">
        <is>
          <t>Date d'évaluation (2026-10-29) postérieure à aujourd'hui : à vérifier.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Synthèse collaborateurs semaines avec assiduité dans Détail</dc:title>
  <dc:subject xmlns:dc="http://purl.org/dc/elements/1.1/">Intégration des indicateurs hebdomadaires d’assiduité dans l’onglet Détail</dc:subject>
  <dc:language xmlns:dc="http://purl.org/dc/elements/1.1/">en-US</dc:language>
  <dcterms:created xmlns:dcterms="http://purl.org/dc/terms/" xmlns:xsi="http://www.w3.org/2001/XMLSchema-instance" xsi:type="dcterms:W3CDTF">2026-10-27T11:38:17Z</dcterms:created>
  <dcterms:modified xmlns:dcterms="http://purl.org/dc/terms/" xmlns:xsi="http://www.w3.org/2001/XMLSchema-instance" xsi:type="dcterms:W3CDTF">2026-10-27T14:35:44Z</dcterms:modified>
  <cp:revision>0</cp:revision>
</cp:coreProperties>
</file>