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6f08ace84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a8b17eec71c34965"/>
    <x:sheet xmlns:r="http://schemas.openxmlformats.org/officeDocument/2006/relationships" name="2026-10" sheetId="2" r:id="Ra47fe3ab1f5b4131"/>
    <x:sheet xmlns:r="http://schemas.openxmlformats.org/officeDocument/2006/relationships" name="2026-11" sheetId="3" r:id="Rb143b8aa71764b92"/>
    <x:sheet xmlns:r="http://schemas.openxmlformats.org/officeDocument/2006/relationships" name="2026-12" sheetId="4" r:id="Rdeec7d35af11448c"/>
    <x:sheet xmlns:r="http://schemas.openxmlformats.org/officeDocument/2006/relationships" name="2027-01" sheetId="5" r:id="Rd9569c9875c544e1"/>
    <x:sheet xmlns:r="http://schemas.openxmlformats.org/officeDocument/2006/relationships" name="2027-02" sheetId="6" r:id="Rabd134f6a01d406d"/>
    <x:sheet xmlns:r="http://schemas.openxmlformats.org/officeDocument/2006/relationships" name="2027-03" sheetId="7" r:id="R195a9cbc92c946f9"/>
    <x:sheet xmlns:r="http://schemas.openxmlformats.org/officeDocument/2006/relationships" name="2027-04" sheetId="8" r:id="Rfe9ec43c20fa4fa8"/>
    <x:sheet xmlns:r="http://schemas.openxmlformats.org/officeDocument/2006/relationships" name="2027-05" sheetId="9" r:id="R5a0676d55f5146ec"/>
    <x:sheet xmlns:r="http://schemas.openxmlformats.org/officeDocument/2006/relationships" name="2027-06" sheetId="10" r:id="R69f337b4eda94f3c"/>
    <x:sheet xmlns:r="http://schemas.openxmlformats.org/officeDocument/2006/relationships" name="2027-07" sheetId="11" r:id="R20ec282d1e2b4931"/>
    <x:sheet xmlns:r="http://schemas.openxmlformats.org/officeDocument/2006/relationships" name="2027-08" sheetId="12" r:id="R1e2e58415126477d"/>
    <x:sheet xmlns:r="http://schemas.openxmlformats.org/officeDocument/2006/relationships" name="2027-09" sheetId="13" r:id="R4133dab1bb9540ca"/>
    <x:sheet xmlns:r="http://schemas.openxmlformats.org/officeDocument/2006/relationships" name="2027-10" sheetId="14" r:id="R837dd1b9ab3c4e8f"/>
    <x:sheet xmlns:r="http://schemas.openxmlformats.org/officeDocument/2006/relationships" name="2027-11" sheetId="15" r:id="R3cd264ce4bd747e3"/>
    <x:sheet xmlns:r="http://schemas.openxmlformats.org/officeDocument/2006/relationships" name="2027-12" sheetId="16" r:id="R0c6d199abc1b493c"/>
    <x:sheet xmlns:r="http://schemas.openxmlformats.org/officeDocument/2006/relationships" name="BILAN PAR ENTITE" sheetId="17" r:id="R3239e8cc0bb5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"/>
    <x:numFmt numFmtId="165" formatCode="dddd dd mmmm yyyy"/>
    <x:numFmt numFmtId="200" formatCode="0"/>
    <x:numFmt numFmtId="201" formatCode="0.00"/>
  </x:numFmts>
  <x:fonts count="13">
    <x:font>
      <x:sz val="11"/>
      <x:color theme="1"/>
      <x:name val="Calibri"/>
    </x:font>
    <x:font>
      <x:b/>
      <x:color rgb="FFFFFFFF"/>
    </x:font>
    <x:font>
      <x:b/>
    </x:font>
    <x:font>
      <x:b/>
      <x:sz val="11"/>
      <x:color rgb="FFFFFFFF"/>
      <x:name val="Calibri"/>
    </x:font>
    <x:font>
      <x:b/>
      <x:sz val="10"/>
      <x:color rgb="FF17364D"/>
    </x:font>
    <x:font>
      <x:b/>
      <x:sz val="11"/>
      <x:color rgb="FF17364D"/>
      <x:name val="Calibri"/>
    </x:font>
    <x:font>
      <x:b/>
      <x:color rgb="FF17364D"/>
    </x:font>
    <x:font>
      <x:b/>
      <x:sz val="15"/>
      <x:color rgb="FFFFFFFF"/>
      <x:name val="Calibri"/>
    </x:font>
    <x:font>
      <x:sz val="10"/>
      <x:color rgb="FF35546B"/>
      <x:name val="Calibri"/>
    </x:font>
    <x:font>
      <x:b/>
      <x:sz val="11"/>
      <x:color rgb="FF244357"/>
      <x:name val="Calibri"/>
    </x:font>
    <x:font>
      <x:b/>
      <x:sz val="11"/>
      <x:color rgb="FF173A43"/>
      <x:name val="Calibri"/>
    </x:font>
    <x:font>
      <x:b/>
      <x:sz val="11"/>
      <x:color rgb="FF133B55"/>
      <x:name val="Calibri"/>
    </x:font>
    <x:font>
      <x:b/>
      <x:sz val="11"/>
      <x:color rgb="FF15364B"/>
      <x:name val="Calibri"/>
    </x:font>
  </x:fonts>
  <x:fills count="20">
    <x:fill>
      <x:patternFill patternType="none"/>
    </x:fill>
    <x:fill>
      <x:patternFill patternType="gray125"/>
    </x:fill>
    <x:fill>
      <x:patternFill patternType="solid">
        <x:fgColor rgb="FFEAF6FC"/>
      </x:patternFill>
    </x:fill>
    <x:fill>
      <x:patternFill patternType="solid">
        <x:fgColor rgb="FFE5E7EB"/>
      </x:patternFill>
    </x:fill>
    <x:fill>
      <x:patternFill patternType="solid">
        <x:fgColor rgb="FF1877A3"/>
      </x:patternFill>
    </x:fill>
    <x:fill>
      <x:patternFill patternType="solid">
        <x:fgColor rgb="FFF4B544"/>
      </x:patternFill>
    </x:fill>
    <x:fill>
      <x:patternFill patternType="solid">
        <x:fgColor rgb="FF087EB1"/>
      </x:patternFill>
    </x:fill>
    <x:fill>
      <x:patternFill patternType="solid">
        <x:fgColor rgb="FFDCEFF8"/>
      </x:patternFill>
    </x:fill>
    <x:fill>
      <x:patternFill patternType="solid">
        <x:fgColor rgb="FF16425B"/>
      </x:patternFill>
    </x:fill>
    <x:fill>
      <x:patternFill patternType="solid">
        <x:fgColor rgb="FF0F3553"/>
      </x:patternFill>
    </x:fill>
    <x:fill>
      <x:patternFill patternType="solid">
        <x:fgColor rgb="FFD8E9ED"/>
      </x:patternFill>
    </x:fill>
    <x:fill>
      <x:patternFill patternType="solid">
        <x:fgColor rgb="FFF7E2D4"/>
      </x:patternFill>
    </x:fill>
    <x:fill>
      <x:patternFill patternType="solid">
        <x:fgColor rgb="FFF4F7F8"/>
      </x:patternFill>
    </x:fill>
    <x:fill>
      <x:patternFill patternType="solid">
        <x:fgColor rgb="FFEAF4F7"/>
      </x:patternFill>
    </x:fill>
    <x:fill>
      <x:patternFill patternType="solid">
        <x:fgColor rgb="FFF7FBFD"/>
      </x:patternFill>
    </x:fill>
    <x:fill>
      <x:patternFill patternType="solid">
        <x:fgColor rgb="FFEAF5FB"/>
      </x:patternFill>
    </x:fill>
    <x:fill>
      <x:patternFill patternType="solid">
        <x:fgColor rgb="FFDCEAEF"/>
      </x:patternFill>
    </x:fill>
    <x:fill>
      <x:patternFill patternType="solid">
        <x:fgColor rgb="FFD9E9D0"/>
      </x:patternFill>
    </x:fill>
    <x:fill>
      <x:patternFill patternType="solid">
        <x:fgColor rgb="FF123B57"/>
      </x:patternFill>
    </x:fill>
    <x:fill>
      <x:patternFill patternType="solid">
        <x:fgColor rgb="FFF3C76B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1" fillId="4" borderId="0" xfId="0"/>
    <x:xf numFmtId="0" fontId="1" fillId="4" borderId="0" xfId="0" applyAlignment="1">
      <x:alignment wrapText="1"/>
    </x:xf>
    <x:xf numFmtId="165" fontId="0" fillId="0" borderId="0" xfId="0"/>
    <x:xf numFmtId="2" fontId="0" fillId="2" borderId="0" xfId="0"/>
    <x:xf numFmtId="165" fontId="0" fillId="3" borderId="0" xfId="0"/>
    <x:xf numFmtId="0" fontId="2" fillId="5" borderId="0" xfId="0"/>
    <x:xf numFmtId="0" fontId="0" fillId="0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165" fontId="0" fillId="0" borderId="1" xfId="0" applyNumberFormat="1" applyFont="1" applyFill="1" applyBorder="1"/>
    <x:xf numFmtId="2" fontId="0" fillId="2" borderId="1" xfId="0" applyNumberFormat="1" applyFont="1" applyFill="1" applyBorder="1"/>
    <x:xf numFmtId="165" fontId="0" fillId="3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165" fontId="0" fillId="0" borderId="0" xfId="0" applyNumberFormat="1" applyFont="1" applyFill="1" applyBorder="1"/>
    <x:xf numFmtId="2" fontId="0" fillId="2" borderId="0" xfId="0" applyNumberFormat="1" applyFont="1" applyFill="1" applyBorder="1"/>
    <x:xf numFmtId="165" fontId="0" fillId="3" borderId="0" xfId="0" applyNumberFormat="1" applyFont="1" applyFill="1" applyBorder="1"/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200" fontId="0" fillId="14" borderId="0" xfId="0" applyNumberFormat="1" applyFont="1" applyFill="1" applyBorder="1"/>
    <x:xf numFmtId="201" fontId="0" fillId="15" borderId="0" xfId="0" applyNumberFormat="1" applyFont="1" applyFill="1" applyBorder="1"/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201" fontId="11" fillId="16" borderId="0" xfId="0" applyNumberFormat="1" applyFont="1" applyFill="1" applyBorder="1"/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201" fontId="12" fillId="19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59b2b8792422d" /><Relationship Type="http://schemas.openxmlformats.org/officeDocument/2006/relationships/theme" Target="/xl/theme/theme1.xml" Id="R2bdec036b95a47ab" /><Relationship Type="http://schemas.openxmlformats.org/officeDocument/2006/relationships/sharedStrings" Target="/xl/sharedStrings.xml" Id="R408e5ec311c34108" /><Relationship Type="http://schemas.openxmlformats.org/officeDocument/2006/relationships/worksheet" Target="/xl/worksheets/sheet1.xml" Id="Ra8b17eec71c34965" /><Relationship Type="http://schemas.openxmlformats.org/officeDocument/2006/relationships/worksheet" Target="/xl/worksheets/sheet2.xml" Id="Ra47fe3ab1f5b4131" /><Relationship Type="http://schemas.openxmlformats.org/officeDocument/2006/relationships/worksheet" Target="/xl/worksheets/sheet3.xml" Id="Rb143b8aa71764b92" /><Relationship Type="http://schemas.openxmlformats.org/officeDocument/2006/relationships/worksheet" Target="/xl/worksheets/sheet4.xml" Id="Rdeec7d35af11448c" /><Relationship Type="http://schemas.openxmlformats.org/officeDocument/2006/relationships/worksheet" Target="/xl/worksheets/sheet5.xml" Id="Rd9569c9875c544e1" /><Relationship Type="http://schemas.openxmlformats.org/officeDocument/2006/relationships/worksheet" Target="/xl/worksheets/sheet6.xml" Id="Rabd134f6a01d406d" /><Relationship Type="http://schemas.openxmlformats.org/officeDocument/2006/relationships/worksheet" Target="/xl/worksheets/sheet7.xml" Id="R195a9cbc92c946f9" /><Relationship Type="http://schemas.openxmlformats.org/officeDocument/2006/relationships/worksheet" Target="/xl/worksheets/sheet8.xml" Id="Rfe9ec43c20fa4fa8" /><Relationship Type="http://schemas.openxmlformats.org/officeDocument/2006/relationships/worksheet" Target="/xl/worksheets/sheet9.xml" Id="R5a0676d55f5146ec" /><Relationship Type="http://schemas.openxmlformats.org/officeDocument/2006/relationships/worksheet" Target="/xl/worksheets/sheet10.xml" Id="R69f337b4eda94f3c" /><Relationship Type="http://schemas.openxmlformats.org/officeDocument/2006/relationships/worksheet" Target="/xl/worksheets/sheet11.xml" Id="R20ec282d1e2b4931" /><Relationship Type="http://schemas.openxmlformats.org/officeDocument/2006/relationships/worksheet" Target="/xl/worksheets/sheet12.xml" Id="R1e2e58415126477d" /><Relationship Type="http://schemas.openxmlformats.org/officeDocument/2006/relationships/worksheet" Target="/xl/worksheets/sheet13.xml" Id="R4133dab1bb9540ca" /><Relationship Type="http://schemas.openxmlformats.org/officeDocument/2006/relationships/worksheet" Target="/xl/worksheets/sheet14.xml" Id="R837dd1b9ab3c4e8f" /><Relationship Type="http://schemas.openxmlformats.org/officeDocument/2006/relationships/worksheet" Target="/xl/worksheets/sheet15.xml" Id="R3cd264ce4bd747e3" /><Relationship Type="http://schemas.openxmlformats.org/officeDocument/2006/relationships/worksheet" Target="/xl/worksheets/sheet16.xml" Id="R0c6d199abc1b493c" /><Relationship Type="http://schemas.openxmlformats.org/officeDocument/2006/relationships/worksheet" Target="/xl/worksheets/sheet17.xml" Id="R3239e8cc0bb547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baseColWidth="8" defaultRowHeight="15"/>
  <x:cols>
    <x:col min="1" max="1" width="27" customWidth="1"/>
    <x:col min="2" max="2" width="22" customWidth="1"/>
    <x:col min="3" max="3" width="22" customWidth="1"/>
    <x:col min="4" max="4" width="22" customWidth="1"/>
  </x:cols>
  <x:sheetData>
    <x:row r="1">
      <x:c r="A1" t="inlineStr">
        <x:is>
          <x:t xml:space="preserve">SYNTHESE MENSUELLE</x:t>
        </x:is>
      </x:c>
    </x:row>
    <x:row r="2">
      <x:c r="A2" t="inlineStr">
        <x:is>
          <x:t xml:space="preserve">Saisie manuelle sur les feuilles mensuelles — aucune importation</x:t>
        </x:is>
      </x:c>
    </x:row>
    <x:row r="3">
      <x:c r="A3" s="1" t="inlineStr">
        <x:is>
          <x:t xml:space="preserve">Mois</x:t>
        </x:is>
      </x:c>
      <x:c r="B3" s="1" t="inlineStr">
        <x:is>
          <x:t xml:space="preserve">Heures</x:t>
        </x:is>
      </x:c>
      <x:c r="C3" s="1" t="inlineStr">
        <x:is>
          <x:t xml:space="preserve">Actes</x:t>
        </x:is>
      </x:c>
      <x:c r="D3" s="1" t="inlineStr">
        <x:is>
          <x:t xml:space="preserve">Heures / acte</x:t>
        </x:is>
      </x:c>
    </x:row>
    <x:row r="4">
      <x:c r="A4" t="inlineStr">
        <x:is>
          <x:t xml:space="preserve">2026-10</x:t>
        </x:is>
      </x:c>
      <x:c r="B4" t="n">
        <x:f>'2026-10'!X36</x:f>
        <x:v>0</x:v>
      </x:c>
      <x:c r="C4" t="n">
        <x:f>'2026-10'!Y36</x:f>
        <x:v>0</x:v>
      </x:c>
      <x:c r="D4" t="n">
        <x:f>IFERROR(B4/C4,0)</x:f>
        <x:v>0</x:v>
      </x:c>
    </x:row>
    <x:row r="5">
      <x:c r="A5" t="inlineStr">
        <x:is>
          <x:t xml:space="preserve">2026-11</x:t>
        </x:is>
      </x:c>
      <x:c r="B5" t="n">
        <x:f>'2026-11'!X35</x:f>
        <x:v>0</x:v>
      </x:c>
      <x:c r="C5" t="n">
        <x:f>'2026-11'!Y35</x:f>
        <x:v>0</x:v>
      </x:c>
      <x:c r="D5" t="n">
        <x:f>IFERROR(B5/C5,0)</x:f>
        <x:v>0</x:v>
      </x:c>
    </x:row>
    <x:row r="6">
      <x:c r="A6" t="inlineStr">
        <x:is>
          <x:t xml:space="preserve">2026-12</x:t>
        </x:is>
      </x:c>
      <x:c r="B6" t="n">
        <x:f>'2026-12'!X36</x:f>
        <x:v>0</x:v>
      </x:c>
      <x:c r="C6" t="n">
        <x:f>'2026-12'!Y36</x:f>
        <x:v>0</x:v>
      </x:c>
      <x:c r="D6" t="n">
        <x:f>IFERROR(B6/C6,0)</x:f>
        <x:v>0</x:v>
      </x:c>
    </x:row>
    <x:row r="7">
      <x:c r="A7" t="inlineStr">
        <x:is>
          <x:t xml:space="preserve">2027-01</x:t>
        </x:is>
      </x:c>
      <x:c r="B7" t="n">
        <x:f>'2027-01'!X36</x:f>
        <x:v>0</x:v>
      </x:c>
      <x:c r="C7" t="n">
        <x:f>'2027-01'!Y36</x:f>
        <x:v>0</x:v>
      </x:c>
      <x:c r="D7" t="n">
        <x:f>IFERROR(B7/C7,0)</x:f>
        <x:v>0</x:v>
      </x:c>
    </x:row>
    <x:row r="8">
      <x:c r="A8" t="inlineStr">
        <x:is>
          <x:t xml:space="preserve">2027-02</x:t>
        </x:is>
      </x:c>
      <x:c r="B8" t="n">
        <x:f>'2027-02'!X33</x:f>
        <x:v>0</x:v>
      </x:c>
      <x:c r="C8" t="n">
        <x:f>'2027-02'!Y33</x:f>
        <x:v>0</x:v>
      </x:c>
      <x:c r="D8" t="n">
        <x:f>IFERROR(B8/C8,0)</x:f>
        <x:v>0</x:v>
      </x:c>
    </x:row>
    <x:row r="9">
      <x:c r="A9" t="inlineStr">
        <x:is>
          <x:t xml:space="preserve">2027-03</x:t>
        </x:is>
      </x:c>
      <x:c r="B9" t="n">
        <x:f>'2027-03'!X36</x:f>
        <x:v>0</x:v>
      </x:c>
      <x:c r="C9" t="n">
        <x:f>'2027-03'!Y36</x:f>
        <x:v>0</x:v>
      </x:c>
      <x:c r="D9" t="n">
        <x:f>IFERROR(B9/C9,0)</x:f>
        <x:v>0</x:v>
      </x:c>
    </x:row>
    <x:row r="10">
      <x:c r="A10" t="inlineStr">
        <x:is>
          <x:t xml:space="preserve">2027-04</x:t>
        </x:is>
      </x:c>
      <x:c r="B10" t="n">
        <x:f>'2027-04'!X35</x:f>
        <x:v>0</x:v>
      </x:c>
      <x:c r="C10" t="n">
        <x:f>'2027-04'!Y35</x:f>
        <x:v>0</x:v>
      </x:c>
      <x:c r="D10" t="n">
        <x:f>IFERROR(B10/C10,0)</x:f>
        <x:v>0</x:v>
      </x:c>
    </x:row>
    <x:row r="11">
      <x:c r="A11" t="inlineStr">
        <x:is>
          <x:t xml:space="preserve">2027-05</x:t>
        </x:is>
      </x:c>
      <x:c r="B11" t="n">
        <x:f>'2027-05'!X36</x:f>
        <x:v>0</x:v>
      </x:c>
      <x:c r="C11" t="n">
        <x:f>'2027-05'!Y36</x:f>
        <x:v>0</x:v>
      </x:c>
      <x:c r="D11" t="n">
        <x:f>IFERROR(B11/C11,0)</x:f>
        <x:v>0</x:v>
      </x:c>
    </x:row>
    <x:row r="12">
      <x:c r="A12" t="inlineStr">
        <x:is>
          <x:t xml:space="preserve">2027-06</x:t>
        </x:is>
      </x:c>
      <x:c r="B12" t="n">
        <x:f>'2027-06'!X35</x:f>
        <x:v>0</x:v>
      </x:c>
      <x:c r="C12" t="n">
        <x:f>'2027-06'!Y35</x:f>
        <x:v>0</x:v>
      </x:c>
      <x:c r="D12" t="n">
        <x:f>IFERROR(B12/C12,0)</x:f>
        <x:v>0</x:v>
      </x:c>
    </x:row>
    <x:row r="13">
      <x:c r="A13" t="inlineStr">
        <x:is>
          <x:t xml:space="preserve">2027-07</x:t>
        </x:is>
      </x:c>
      <x:c r="B13" t="n">
        <x:f>'2027-07'!X36</x:f>
        <x:v>0</x:v>
      </x:c>
      <x:c r="C13" t="n">
        <x:f>'2027-07'!Y36</x:f>
        <x:v>0</x:v>
      </x:c>
      <x:c r="D13" t="n">
        <x:f>IFERROR(B13/C13,0)</x:f>
        <x:v>0</x:v>
      </x:c>
    </x:row>
    <x:row r="14">
      <x:c r="A14" t="inlineStr">
        <x:is>
          <x:t xml:space="preserve">2027-08</x:t>
        </x:is>
      </x:c>
      <x:c r="B14" t="n">
        <x:f>'2027-08'!X36</x:f>
        <x:v>0</x:v>
      </x:c>
      <x:c r="C14" t="n">
        <x:f>'2027-08'!Y36</x:f>
        <x:v>0</x:v>
      </x:c>
      <x:c r="D14" t="n">
        <x:f>IFERROR(B14/C14,0)</x:f>
        <x:v>0</x:v>
      </x:c>
    </x:row>
    <x:row r="15">
      <x:c r="A15" t="inlineStr">
        <x:is>
          <x:t xml:space="preserve">2027-09</x:t>
        </x:is>
      </x:c>
      <x:c r="B15" t="n">
        <x:f>'2027-09'!X35</x:f>
        <x:v>0</x:v>
      </x:c>
      <x:c r="C15" t="n">
        <x:f>'2027-09'!Y35</x:f>
        <x:v>0</x:v>
      </x:c>
      <x:c r="D15" t="n">
        <x:f>IFERROR(B15/C15,0)</x:f>
        <x:v>0</x:v>
      </x:c>
    </x:row>
    <x:row r="16">
      <x:c r="A16" t="inlineStr">
        <x:is>
          <x:t xml:space="preserve">2027-10</x:t>
        </x:is>
      </x:c>
      <x:c r="B16" t="n">
        <x:f>'2027-10'!X36</x:f>
        <x:v>0</x:v>
      </x:c>
      <x:c r="C16" t="n">
        <x:f>'2027-10'!Y36</x:f>
        <x:v>0</x:v>
      </x:c>
      <x:c r="D16" t="n">
        <x:f>IFERROR(B16/C16,0)</x:f>
        <x:v>0</x:v>
      </x:c>
    </x:row>
    <x:row r="17">
      <x:c r="A17" t="inlineStr">
        <x:is>
          <x:t xml:space="preserve">2027-11</x:t>
        </x:is>
      </x:c>
      <x:c r="B17" t="n">
        <x:f>'2027-11'!X35</x:f>
        <x:v>0</x:v>
      </x:c>
      <x:c r="C17" t="n">
        <x:f>'2027-11'!Y35</x:f>
        <x:v>0</x:v>
      </x:c>
      <x:c r="D17" t="n">
        <x:f>IFERROR(B17/C17,0)</x:f>
        <x:v>0</x:v>
      </x:c>
    </x:row>
    <x:row r="18">
      <x:c r="A18" t="inlineStr">
        <x:is>
          <x:t xml:space="preserve">2027-12</x:t>
        </x:is>
      </x:c>
      <x:c r="B18" t="n">
        <x:f>'2027-12'!X36</x:f>
        <x:v>0</x:v>
      </x:c>
      <x:c r="C18" t="n">
        <x:f>'2027-12'!Y36</x:f>
        <x:v>0</x:v>
      </x:c>
      <x:c r="D18" t="n">
        <x:f>IFERROR(B18/C18,0)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2026-10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46296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46297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5" t="n">
        <x:v>46298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5" t="n">
        <x:v>46299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46300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46301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46302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46303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46304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5" t="n">
        <x:v>46305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5" t="n">
        <x:v>46306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46307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46308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46309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46310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46311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5" t="n">
        <x:v>46312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5" t="n">
        <x:v>46313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46314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46315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46316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46317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46318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5" t="n">
        <x:v>46319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5" t="n">
        <x:v>46320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46321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46322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46323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46324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46325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5" t="n">
        <x:v>46326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2026-11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5" t="n">
        <x:v>46327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46328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46329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46330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46331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46332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5" t="n">
        <x:v>46333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5" t="n">
        <x:v>46334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46335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46336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46337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46338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46339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5" t="n">
        <x:v>46340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5" t="n">
        <x:v>46341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46342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46343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46344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46345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46346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5" t="n">
        <x:v>46347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5" t="n">
        <x:v>46348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46349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46350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46351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46352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46353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5" t="n">
        <x:v>46354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5" t="n">
        <x:v>46355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46356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6" t="inlineStr">
        <x:is>
          <x:t xml:space="preserve">TOTAL MENSUEL</x:t>
        </x:is>
      </x:c>
      <x:c r="B35" s="6" t="n">
        <x:f>SUM(B5:B34)</x:f>
        <x:v>0</x:v>
      </x:c>
      <x:c r="C35" s="6" t="n">
        <x:f>SUM(C5:C34)</x:f>
        <x:v>0</x:v>
      </x:c>
      <x:c r="D35" s="6" t="n">
        <x:f>SUM(D5:D34)</x:f>
        <x:v>0</x:v>
      </x:c>
      <x:c r="E35" s="6" t="n">
        <x:f>SUM(E5:E34)</x:f>
        <x:v>0</x:v>
      </x:c>
      <x:c r="F35" s="6" t="n">
        <x:f>SUM(F5:F34)</x:f>
        <x:v>0</x:v>
      </x:c>
      <x:c r="G35" s="6" t="n">
        <x:f>SUM(G5:G34)</x:f>
        <x:v>0</x:v>
      </x:c>
      <x:c r="H35" s="6" t="n">
        <x:f>SUM(H5:H34)</x:f>
        <x:v>0</x:v>
      </x:c>
      <x:c r="I35" s="6" t="n">
        <x:f>SUM(I5:I34)</x:f>
        <x:v>0</x:v>
      </x:c>
      <x:c r="J35" s="6" t="n">
        <x:f>SUM(J5:J34)</x:f>
        <x:v>0</x:v>
      </x:c>
      <x:c r="K35" s="6" t="n">
        <x:f>SUM(K5:K34)</x:f>
        <x:v>0</x:v>
      </x:c>
      <x:c r="L35" s="6" t="n">
        <x:f>SUM(L5:L34)</x:f>
        <x:v>0</x:v>
      </x:c>
      <x:c r="M35" s="6" t="n">
        <x:f>SUM(M5:M34)</x:f>
        <x:v>0</x:v>
      </x:c>
      <x:c r="N35" s="6" t="n">
        <x:f>SUM(N5:N34)</x:f>
        <x:v>0</x:v>
      </x:c>
      <x:c r="O35" s="6" t="n">
        <x:f>SUM(O5:O34)</x:f>
        <x:v>0</x:v>
      </x:c>
      <x:c r="P35" s="6" t="n">
        <x:f>SUM(P5:P34)</x:f>
        <x:v>0</x:v>
      </x:c>
      <x:c r="Q35" s="6" t="n">
        <x:f>SUM(Q5:Q34)</x:f>
        <x:v>0</x:v>
      </x:c>
      <x:c r="R35" s="6" t="n">
        <x:f>SUM(R5:R34)</x:f>
        <x:v>0</x:v>
      </x:c>
      <x:c r="S35" s="6" t="n">
        <x:f>SUM(S5:S34)</x:f>
        <x:v>0</x:v>
      </x:c>
      <x:c r="T35" s="6" t="n">
        <x:f>SUM(T5:T34)</x:f>
        <x:v>0</x:v>
      </x:c>
      <x:c r="U35" s="6" t="n">
        <x:f>SUM(U5:U34)</x:f>
        <x:v>0</x:v>
      </x:c>
      <x:c r="V35" s="6" t="n">
        <x:f>SUM(V5:V34)</x:f>
        <x:v>0</x:v>
      </x:c>
      <x:c r="W35" s="6" t="n">
        <x:f>SUM(W5:W34)</x:f>
        <x:v>0</x:v>
      </x:c>
      <x:c r="X35" s="6" t="n">
        <x:f>SUM(X5:X34)</x:f>
        <x:v>0</x:v>
      </x:c>
      <x:c r="Y35" s="6" t="n">
        <x:f>SUM(Y5:Y34)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2026-12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46357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46358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46359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46360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5" t="n">
        <x:v>46361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5" t="n">
        <x:v>46362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46363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46364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46365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46366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46367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5" t="n">
        <x:v>46368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5" t="n">
        <x:v>46369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46370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46371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46372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46373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46374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5" t="n">
        <x:v>46375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5" t="n">
        <x:v>46376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46377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46378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46379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46380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46381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5" t="n">
        <x:v>46382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5" t="n">
        <x:v>46383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46384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46385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46386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3" t="n">
        <x:v>46387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2027-01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46388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5" t="n">
        <x:v>46389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5" t="n">
        <x:v>46390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46391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46392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46393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46394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46395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5" t="n">
        <x:v>46396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5" t="n">
        <x:v>46397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46398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46399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46400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46401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46402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5" t="n">
        <x:v>46403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5" t="n">
        <x:v>46404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46405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46406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46407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46408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46409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5" t="n">
        <x:v>46410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5" t="n">
        <x:v>46411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46412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46413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46414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46415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46416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5" t="n">
        <x:v>46417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5" t="n">
        <x:v>46418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2027-02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46419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46420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46421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46422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46423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5" t="n">
        <x:v>46424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5" t="n">
        <x:v>46425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46426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46427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46428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46429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46430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5" t="n">
        <x:v>46431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5" t="n">
        <x:v>46432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46433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46434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46435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46436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46437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5" t="n">
        <x:v>46438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5" t="n">
        <x:v>46439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46440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46441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46442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46443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46444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5" t="n">
        <x:v>46445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5" t="n">
        <x:v>46446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6" t="inlineStr">
        <x:is>
          <x:t xml:space="preserve">TOTAL MENSUEL</x:t>
        </x:is>
      </x:c>
      <x:c r="B33" s="6" t="n">
        <x:f>SUM(B5:B32)</x:f>
        <x:v>0</x:v>
      </x:c>
      <x:c r="C33" s="6" t="n">
        <x:f>SUM(C5:C32)</x:f>
        <x:v>0</x:v>
      </x:c>
      <x:c r="D33" s="6" t="n">
        <x:f>SUM(D5:D32)</x:f>
        <x:v>0</x:v>
      </x:c>
      <x:c r="E33" s="6" t="n">
        <x:f>SUM(E5:E32)</x:f>
        <x:v>0</x:v>
      </x:c>
      <x:c r="F33" s="6" t="n">
        <x:f>SUM(F5:F32)</x:f>
        <x:v>0</x:v>
      </x:c>
      <x:c r="G33" s="6" t="n">
        <x:f>SUM(G5:G32)</x:f>
        <x:v>0</x:v>
      </x:c>
      <x:c r="H33" s="6" t="n">
        <x:f>SUM(H5:H32)</x:f>
        <x:v>0</x:v>
      </x:c>
      <x:c r="I33" s="6" t="n">
        <x:f>SUM(I5:I32)</x:f>
        <x:v>0</x:v>
      </x:c>
      <x:c r="J33" s="6" t="n">
        <x:f>SUM(J5:J32)</x:f>
        <x:v>0</x:v>
      </x:c>
      <x:c r="K33" s="6" t="n">
        <x:f>SUM(K5:K32)</x:f>
        <x:v>0</x:v>
      </x:c>
      <x:c r="L33" s="6" t="n">
        <x:f>SUM(L5:L32)</x:f>
        <x:v>0</x:v>
      </x:c>
      <x:c r="M33" s="6" t="n">
        <x:f>SUM(M5:M32)</x:f>
        <x:v>0</x:v>
      </x:c>
      <x:c r="N33" s="6" t="n">
        <x:f>SUM(N5:N32)</x:f>
        <x:v>0</x:v>
      </x:c>
      <x:c r="O33" s="6" t="n">
        <x:f>SUM(O5:O32)</x:f>
        <x:v>0</x:v>
      </x:c>
      <x:c r="P33" s="6" t="n">
        <x:f>SUM(P5:P32)</x:f>
        <x:v>0</x:v>
      </x:c>
      <x:c r="Q33" s="6" t="n">
        <x:f>SUM(Q5:Q32)</x:f>
        <x:v>0</x:v>
      </x:c>
      <x:c r="R33" s="6" t="n">
        <x:f>SUM(R5:R32)</x:f>
        <x:v>0</x:v>
      </x:c>
      <x:c r="S33" s="6" t="n">
        <x:f>SUM(S5:S32)</x:f>
        <x:v>0</x:v>
      </x:c>
      <x:c r="T33" s="6" t="n">
        <x:f>SUM(T5:T32)</x:f>
        <x:v>0</x:v>
      </x:c>
      <x:c r="U33" s="6" t="n">
        <x:f>SUM(U5:U32)</x:f>
        <x:v>0</x:v>
      </x:c>
      <x:c r="V33" s="6" t="n">
        <x:f>SUM(V5:V32)</x:f>
        <x:v>0</x:v>
      </x:c>
      <x:c r="W33" s="6" t="n">
        <x:f>SUM(W5:W32)</x:f>
        <x:v>0</x:v>
      </x:c>
      <x:c r="X33" s="6" t="n">
        <x:f>SUM(X5:X32)</x:f>
        <x:v>0</x:v>
      </x:c>
      <x:c r="Y33" s="6" t="n">
        <x:f>SUM(Y5:Y32)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2027-03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46447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46448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46449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46450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46451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5" t="n">
        <x:v>46452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5" t="n">
        <x:v>46453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46454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46455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46456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46457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46458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5" t="n">
        <x:v>46459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5" t="n">
        <x:v>46460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46461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46462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46463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46464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46465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5" t="n">
        <x:v>46466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5" t="n">
        <x:v>46467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46468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46469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46470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46471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46472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5" t="n">
        <x:v>46473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5" t="n">
        <x:v>46474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46475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46476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3" t="n">
        <x:v>46477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2027-04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46478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46479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5" t="n">
        <x:v>46480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5" t="n">
        <x:v>46481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46482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46483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46484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46485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46486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5" t="n">
        <x:v>46487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5" t="n">
        <x:v>46488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46489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46490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46491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46492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46493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5" t="n">
        <x:v>46494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5" t="n">
        <x:v>46495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46496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46497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46498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46499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46500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5" t="n">
        <x:v>46501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5" t="n">
        <x:v>46502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46503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46504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46505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46506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46507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6" t="inlineStr">
        <x:is>
          <x:t xml:space="preserve">TOTAL MENSUEL</x:t>
        </x:is>
      </x:c>
      <x:c r="B35" s="6" t="n">
        <x:f>SUM(B5:B34)</x:f>
        <x:v>0</x:v>
      </x:c>
      <x:c r="C35" s="6" t="n">
        <x:f>SUM(C5:C34)</x:f>
        <x:v>0</x:v>
      </x:c>
      <x:c r="D35" s="6" t="n">
        <x:f>SUM(D5:D34)</x:f>
        <x:v>0</x:v>
      </x:c>
      <x:c r="E35" s="6" t="n">
        <x:f>SUM(E5:E34)</x:f>
        <x:v>0</x:v>
      </x:c>
      <x:c r="F35" s="6" t="n">
        <x:f>SUM(F5:F34)</x:f>
        <x:v>0</x:v>
      </x:c>
      <x:c r="G35" s="6" t="n">
        <x:f>SUM(G5:G34)</x:f>
        <x:v>0</x:v>
      </x:c>
      <x:c r="H35" s="6" t="n">
        <x:f>SUM(H5:H34)</x:f>
        <x:v>0</x:v>
      </x:c>
      <x:c r="I35" s="6" t="n">
        <x:f>SUM(I5:I34)</x:f>
        <x:v>0</x:v>
      </x:c>
      <x:c r="J35" s="6" t="n">
        <x:f>SUM(J5:J34)</x:f>
        <x:v>0</x:v>
      </x:c>
      <x:c r="K35" s="6" t="n">
        <x:f>SUM(K5:K34)</x:f>
        <x:v>0</x:v>
      </x:c>
      <x:c r="L35" s="6" t="n">
        <x:f>SUM(L5:L34)</x:f>
        <x:v>0</x:v>
      </x:c>
      <x:c r="M35" s="6" t="n">
        <x:f>SUM(M5:M34)</x:f>
        <x:v>0</x:v>
      </x:c>
      <x:c r="N35" s="6" t="n">
        <x:f>SUM(N5:N34)</x:f>
        <x:v>0</x:v>
      </x:c>
      <x:c r="O35" s="6" t="n">
        <x:f>SUM(O5:O34)</x:f>
        <x:v>0</x:v>
      </x:c>
      <x:c r="P35" s="6" t="n">
        <x:f>SUM(P5:P34)</x:f>
        <x:v>0</x:v>
      </x:c>
      <x:c r="Q35" s="6" t="n">
        <x:f>SUM(Q5:Q34)</x:f>
        <x:v>0</x:v>
      </x:c>
      <x:c r="R35" s="6" t="n">
        <x:f>SUM(R5:R34)</x:f>
        <x:v>0</x:v>
      </x:c>
      <x:c r="S35" s="6" t="n">
        <x:f>SUM(S5:S34)</x:f>
        <x:v>0</x:v>
      </x:c>
      <x:c r="T35" s="6" t="n">
        <x:f>SUM(T5:T34)</x:f>
        <x:v>0</x:v>
      </x:c>
      <x:c r="U35" s="6" t="n">
        <x:f>SUM(U5:U34)</x:f>
        <x:v>0</x:v>
      </x:c>
      <x:c r="V35" s="6" t="n">
        <x:f>SUM(V5:V34)</x:f>
        <x:v>0</x:v>
      </x:c>
      <x:c r="W35" s="6" t="n">
        <x:f>SUM(W5:W34)</x:f>
        <x:v>0</x:v>
      </x:c>
      <x:c r="X35" s="6" t="n">
        <x:f>SUM(X5:X34)</x:f>
        <x:v>0</x:v>
      </x:c>
      <x:c r="Y35" s="6" t="n">
        <x:f>SUM(Y5:Y34)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2027-05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5" t="n">
        <x:v>46508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5" t="n">
        <x:v>46509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46510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46511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46512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46513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46514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5" t="n">
        <x:v>46515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5" t="n">
        <x:v>46516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46517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46518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46519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46520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46521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5" t="n">
        <x:v>46522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5" t="n">
        <x:v>46523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46524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46525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46526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46527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46528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5" t="n">
        <x:v>46529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5" t="n">
        <x:v>46530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46531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46532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46533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46534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46535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5" t="n">
        <x:v>46536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5" t="n">
        <x:v>46537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3" t="n">
        <x:v>46538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2027-06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46539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46540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46541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46542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5" t="n">
        <x:v>46543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5" t="n">
        <x:v>46544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46545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46546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46547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46548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46549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5" t="n">
        <x:v>46550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5" t="n">
        <x:v>46551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46552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46553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46554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46555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46556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5" t="n">
        <x:v>46557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5" t="n">
        <x:v>46558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46559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46560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46561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46562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46563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5" t="n">
        <x:v>46564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5" t="n">
        <x:v>46565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46566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46567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46568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6" t="inlineStr">
        <x:is>
          <x:t xml:space="preserve">TOTAL MENSUEL</x:t>
        </x:is>
      </x:c>
      <x:c r="B35" s="6" t="n">
        <x:f>SUM(B5:B34)</x:f>
        <x:v>0</x:v>
      </x:c>
      <x:c r="C35" s="6" t="n">
        <x:f>SUM(C5:C34)</x:f>
        <x:v>0</x:v>
      </x:c>
      <x:c r="D35" s="6" t="n">
        <x:f>SUM(D5:D34)</x:f>
        <x:v>0</x:v>
      </x:c>
      <x:c r="E35" s="6" t="n">
        <x:f>SUM(E5:E34)</x:f>
        <x:v>0</x:v>
      </x:c>
      <x:c r="F35" s="6" t="n">
        <x:f>SUM(F5:F34)</x:f>
        <x:v>0</x:v>
      </x:c>
      <x:c r="G35" s="6" t="n">
        <x:f>SUM(G5:G34)</x:f>
        <x:v>0</x:v>
      </x:c>
      <x:c r="H35" s="6" t="n">
        <x:f>SUM(H5:H34)</x:f>
        <x:v>0</x:v>
      </x:c>
      <x:c r="I35" s="6" t="n">
        <x:f>SUM(I5:I34)</x:f>
        <x:v>0</x:v>
      </x:c>
      <x:c r="J35" s="6" t="n">
        <x:f>SUM(J5:J34)</x:f>
        <x:v>0</x:v>
      </x:c>
      <x:c r="K35" s="6" t="n">
        <x:f>SUM(K5:K34)</x:f>
        <x:v>0</x:v>
      </x:c>
      <x:c r="L35" s="6" t="n">
        <x:f>SUM(L5:L34)</x:f>
        <x:v>0</x:v>
      </x:c>
      <x:c r="M35" s="6" t="n">
        <x:f>SUM(M5:M34)</x:f>
        <x:v>0</x:v>
      </x:c>
      <x:c r="N35" s="6" t="n">
        <x:f>SUM(N5:N34)</x:f>
        <x:v>0</x:v>
      </x:c>
      <x:c r="O35" s="6" t="n">
        <x:f>SUM(O5:O34)</x:f>
        <x:v>0</x:v>
      </x:c>
      <x:c r="P35" s="6" t="n">
        <x:f>SUM(P5:P34)</x:f>
        <x:v>0</x:v>
      </x:c>
      <x:c r="Q35" s="6" t="n">
        <x:f>SUM(Q5:Q34)</x:f>
        <x:v>0</x:v>
      </x:c>
      <x:c r="R35" s="6" t="n">
        <x:f>SUM(R5:R34)</x:f>
        <x:v>0</x:v>
      </x:c>
      <x:c r="S35" s="6" t="n">
        <x:f>SUM(S5:S34)</x:f>
        <x:v>0</x:v>
      </x:c>
      <x:c r="T35" s="6" t="n">
        <x:f>SUM(T5:T34)</x:f>
        <x:v>0</x:v>
      </x:c>
      <x:c r="U35" s="6" t="n">
        <x:f>SUM(U5:U34)</x:f>
        <x:v>0</x:v>
      </x:c>
      <x:c r="V35" s="6" t="n">
        <x:f>SUM(V5:V34)</x:f>
        <x:v>0</x:v>
      </x:c>
      <x:c r="W35" s="6" t="n">
        <x:f>SUM(W5:W34)</x:f>
        <x:v>0</x:v>
      </x:c>
      <x:c r="X35" s="6" t="n">
        <x:f>SUM(X5:X34)</x:f>
        <x:v>0</x:v>
      </x:c>
      <x:c r="Y35" s="6" t="n">
        <x:f>SUM(Y5:Y34)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2027-07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46569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46570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5" t="n">
        <x:v>46571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5" t="n">
        <x:v>46572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46573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46574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46575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46576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46577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5" t="n">
        <x:v>46578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5" t="n">
        <x:v>46579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46580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46581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46582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46583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46584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5" t="n">
        <x:v>46585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5" t="n">
        <x:v>46586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46587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46588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46589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46590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46591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5" t="n">
        <x:v>46592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5" t="n">
        <x:v>46593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46594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46595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46596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46597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46598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5" t="n">
        <x:v>46599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2027-08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5" t="n">
        <x:v>46600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46601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46602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46603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46604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46605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5" t="n">
        <x:v>46606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5" t="n">
        <x:v>46607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46608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46609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46610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46611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46612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5" t="n">
        <x:v>46613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5" t="n">
        <x:v>46614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46615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46616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46617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46618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46619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5" t="n">
        <x:v>46620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5" t="n">
        <x:v>46621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46622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46623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46624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46625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46626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5" t="n">
        <x:v>46627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5" t="n">
        <x:v>46628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46629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3" t="n">
        <x:v>46630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2027-09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46631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46632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46633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5" t="n">
        <x:v>46634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5" t="n">
        <x:v>46635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46636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46637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46638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46639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46640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5" t="n">
        <x:v>46641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5" t="n">
        <x:v>46642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46643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46644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46645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46646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46647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5" t="n">
        <x:v>46648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5" t="n">
        <x:v>46649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46650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46651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46652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46653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46654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5" t="n">
        <x:v>46655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5" t="n">
        <x:v>46656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46657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46658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46659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46660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6" t="inlineStr">
        <x:is>
          <x:t xml:space="preserve">TOTAL MENSUEL</x:t>
        </x:is>
      </x:c>
      <x:c r="B35" s="6" t="n">
        <x:f>SUM(B5:B34)</x:f>
        <x:v>0</x:v>
      </x:c>
      <x:c r="C35" s="6" t="n">
        <x:f>SUM(C5:C34)</x:f>
        <x:v>0</x:v>
      </x:c>
      <x:c r="D35" s="6" t="n">
        <x:f>SUM(D5:D34)</x:f>
        <x:v>0</x:v>
      </x:c>
      <x:c r="E35" s="6" t="n">
        <x:f>SUM(E5:E34)</x:f>
        <x:v>0</x:v>
      </x:c>
      <x:c r="F35" s="6" t="n">
        <x:f>SUM(F5:F34)</x:f>
        <x:v>0</x:v>
      </x:c>
      <x:c r="G35" s="6" t="n">
        <x:f>SUM(G5:G34)</x:f>
        <x:v>0</x:v>
      </x:c>
      <x:c r="H35" s="6" t="n">
        <x:f>SUM(H5:H34)</x:f>
        <x:v>0</x:v>
      </x:c>
      <x:c r="I35" s="6" t="n">
        <x:f>SUM(I5:I34)</x:f>
        <x:v>0</x:v>
      </x:c>
      <x:c r="J35" s="6" t="n">
        <x:f>SUM(J5:J34)</x:f>
        <x:v>0</x:v>
      </x:c>
      <x:c r="K35" s="6" t="n">
        <x:f>SUM(K5:K34)</x:f>
        <x:v>0</x:v>
      </x:c>
      <x:c r="L35" s="6" t="n">
        <x:f>SUM(L5:L34)</x:f>
        <x:v>0</x:v>
      </x:c>
      <x:c r="M35" s="6" t="n">
        <x:f>SUM(M5:M34)</x:f>
        <x:v>0</x:v>
      </x:c>
      <x:c r="N35" s="6" t="n">
        <x:f>SUM(N5:N34)</x:f>
        <x:v>0</x:v>
      </x:c>
      <x:c r="O35" s="6" t="n">
        <x:f>SUM(O5:O34)</x:f>
        <x:v>0</x:v>
      </x:c>
      <x:c r="P35" s="6" t="n">
        <x:f>SUM(P5:P34)</x:f>
        <x:v>0</x:v>
      </x:c>
      <x:c r="Q35" s="6" t="n">
        <x:f>SUM(Q5:Q34)</x:f>
        <x:v>0</x:v>
      </x:c>
      <x:c r="R35" s="6" t="n">
        <x:f>SUM(R5:R34)</x:f>
        <x:v>0</x:v>
      </x:c>
      <x:c r="S35" s="6" t="n">
        <x:f>SUM(S5:S34)</x:f>
        <x:v>0</x:v>
      </x:c>
      <x:c r="T35" s="6" t="n">
        <x:f>SUM(T5:T34)</x:f>
        <x:v>0</x:v>
      </x:c>
      <x:c r="U35" s="6" t="n">
        <x:f>SUM(U5:U34)</x:f>
        <x:v>0</x:v>
      </x:c>
      <x:c r="V35" s="6" t="n">
        <x:f>SUM(V5:V34)</x:f>
        <x:v>0</x:v>
      </x:c>
      <x:c r="W35" s="6" t="n">
        <x:f>SUM(W5:W34)</x:f>
        <x:v>0</x:v>
      </x:c>
      <x:c r="X35" s="6" t="n">
        <x:f>SUM(X5:X34)</x:f>
        <x:v>0</x:v>
      </x:c>
      <x:c r="Y35" s="6" t="n">
        <x:f>SUM(Y5:Y34)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2027-10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46661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5" t="n">
        <x:v>46662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5" t="n">
        <x:v>46663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46664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46665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46666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46667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46668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5" t="n">
        <x:v>46669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5" t="n">
        <x:v>46670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46671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46672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46673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46674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46675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5" t="n">
        <x:v>46676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5" t="n">
        <x:v>46677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46678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46679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46680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46681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46682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5" t="n">
        <x:v>46683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5" t="n">
        <x:v>46684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46685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46686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46687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46688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46689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5" t="n">
        <x:v>46690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5" t="n">
        <x:v>46691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2027-11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46692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46693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46694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46695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46696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5" t="n">
        <x:v>46697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5" t="n">
        <x:v>46698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46699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46700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46701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46702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46703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5" t="n">
        <x:v>46704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5" t="n">
        <x:v>46705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46706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46707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46708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46709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46710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5" t="n">
        <x:v>46711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5" t="n">
        <x:v>46712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46713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46714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46715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46716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46717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5" t="n">
        <x:v>46718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5" t="n">
        <x:v>46719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46720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46721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6" t="inlineStr">
        <x:is>
          <x:t xml:space="preserve">TOTAL MENSUEL</x:t>
        </x:is>
      </x:c>
      <x:c r="B35" s="6" t="n">
        <x:f>SUM(B5:B34)</x:f>
        <x:v>0</x:v>
      </x:c>
      <x:c r="C35" s="6" t="n">
        <x:f>SUM(C5:C34)</x:f>
        <x:v>0</x:v>
      </x:c>
      <x:c r="D35" s="6" t="n">
        <x:f>SUM(D5:D34)</x:f>
        <x:v>0</x:v>
      </x:c>
      <x:c r="E35" s="6" t="n">
        <x:f>SUM(E5:E34)</x:f>
        <x:v>0</x:v>
      </x:c>
      <x:c r="F35" s="6" t="n">
        <x:f>SUM(F5:F34)</x:f>
        <x:v>0</x:v>
      </x:c>
      <x:c r="G35" s="6" t="n">
        <x:f>SUM(G5:G34)</x:f>
        <x:v>0</x:v>
      </x:c>
      <x:c r="H35" s="6" t="n">
        <x:f>SUM(H5:H34)</x:f>
        <x:v>0</x:v>
      </x:c>
      <x:c r="I35" s="6" t="n">
        <x:f>SUM(I5:I34)</x:f>
        <x:v>0</x:v>
      </x:c>
      <x:c r="J35" s="6" t="n">
        <x:f>SUM(J5:J34)</x:f>
        <x:v>0</x:v>
      </x:c>
      <x:c r="K35" s="6" t="n">
        <x:f>SUM(K5:K34)</x:f>
        <x:v>0</x:v>
      </x:c>
      <x:c r="L35" s="6" t="n">
        <x:f>SUM(L5:L34)</x:f>
        <x:v>0</x:v>
      </x:c>
      <x:c r="M35" s="6" t="n">
        <x:f>SUM(M5:M34)</x:f>
        <x:v>0</x:v>
      </x:c>
      <x:c r="N35" s="6" t="n">
        <x:f>SUM(N5:N34)</x:f>
        <x:v>0</x:v>
      </x:c>
      <x:c r="O35" s="6" t="n">
        <x:f>SUM(O5:O34)</x:f>
        <x:v>0</x:v>
      </x:c>
      <x:c r="P35" s="6" t="n">
        <x:f>SUM(P5:P34)</x:f>
        <x:v>0</x:v>
      </x:c>
      <x:c r="Q35" s="6" t="n">
        <x:f>SUM(Q5:Q34)</x:f>
        <x:v>0</x:v>
      </x:c>
      <x:c r="R35" s="6" t="n">
        <x:f>SUM(R5:R34)</x:f>
        <x:v>0</x:v>
      </x:c>
      <x:c r="S35" s="6" t="n">
        <x:f>SUM(S5:S34)</x:f>
        <x:v>0</x:v>
      </x:c>
      <x:c r="T35" s="6" t="n">
        <x:f>SUM(T5:T34)</x:f>
        <x:v>0</x:v>
      </x:c>
      <x:c r="U35" s="6" t="n">
        <x:f>SUM(U5:U34)</x:f>
        <x:v>0</x:v>
      </x:c>
      <x:c r="V35" s="6" t="n">
        <x:f>SUM(V5:V34)</x:f>
        <x:v>0</x:v>
      </x:c>
      <x:c r="W35" s="6" t="n">
        <x:f>SUM(W5:W34)</x:f>
        <x:v>0</x:v>
      </x:c>
      <x:c r="X35" s="6" t="n">
        <x:f>SUM(X5:X34)</x:f>
        <x:v>0</x:v>
      </x:c>
      <x:c r="Y35" s="6" t="n">
        <x:f>SUM(Y5:Y34)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2027-12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46722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46723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46724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5" t="n">
        <x:v>46725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5" t="n">
        <x:v>46726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46727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46728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46729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46730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46731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5" t="n">
        <x:v>46732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5" t="n">
        <x:v>46733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46734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46735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46736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46737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46738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5" t="n">
        <x:v>46739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5" t="n">
        <x:v>46740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46741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46742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46743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46744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46745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5" t="n">
        <x:v>46746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5" t="n">
        <x:v>46747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46748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46749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46750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46751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3" t="n">
        <x:v>46752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9" hidden="0" customWidth="1"/>
    <x:col min="3" max="3" width="3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42" customHeight="1">
      <x:c r="A1" s="65" t="str">
        <x:v>EIDS  |  ACCESSIBILITÉ PDF — DÉCLARATIF PAR ENTITÉ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</x:row>
    <x:row r="2">
      <x:c r="A2" s="66" t="str">
        <x:v>Données réalisées  •  Saisie manuelle des actes et heures par sous-domaine  •  Totalisation automatique par entité et par mois</x:v>
      </x:c>
    </x:row>
    <x:row r="4" ht="28" customHeight="1">
      <x:c r="A4" s="69" t="str">
        <x:v>Entité</x:v>
      </x:c>
      <x:c r="B4" s="69" t="str">
        <x:v>Domaine</x:v>
      </x:c>
      <x:c r="C4" s="69" t="str">
        <x:v>Sous-domaine</x:v>
      </x:c>
      <x:c r="D4" s="69" t="str">
        <x:v>oct-26</x:v>
      </x:c>
      <x:c r="E4" s="69" t="str">
        <x:v>nov-26</x:v>
      </x:c>
      <x:c r="F4" s="69" t="str">
        <x:v>déc-26</x:v>
      </x:c>
      <x:c r="G4" s="69" t="str">
        <x:v>janv-27</x:v>
      </x:c>
      <x:c r="H4" s="69" t="str">
        <x:v>févr-27</x:v>
      </x:c>
      <x:c r="I4" s="69" t="str">
        <x:v>mars-27</x:v>
      </x:c>
      <x:c r="J4" s="69" t="str">
        <x:v>avr-27</x:v>
      </x:c>
      <x:c r="K4" s="69" t="str">
        <x:v>mai-27</x:v>
      </x:c>
      <x:c r="L4" s="69" t="str">
        <x:v>juin-27</x:v>
      </x:c>
      <x:c r="M4" s="69" t="str">
        <x:v>juil-27</x:v>
      </x:c>
      <x:c r="N4" s="69" t="str">
        <x:v>août-27</x:v>
      </x:c>
      <x:c r="O4" s="69" t="str">
        <x:v>sept-27</x:v>
      </x:c>
      <x:c r="P4" s="69" t="str">
        <x:v>oct-27</x:v>
      </x:c>
      <x:c r="Q4" s="69" t="str">
        <x:v>nov-27</x:v>
      </x:c>
      <x:c r="R4" s="69" t="str">
        <x:v>déc-27</x:v>
      </x:c>
    </x:row>
    <x:row r="6" ht="27" customHeight="1">
      <x:c r="A6" s="71" t="str">
        <x:v>ACM</x:v>
      </x:c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</x:row>
    <x:row r="7">
      <x:c r="A7" s="72" t="str">
        <x:v>ACM</x:v>
      </x:c>
      <x:c r="B7" s="72" t="str">
        <x:v>ASS-BIENS</x:v>
      </x:c>
      <x:c r="C7" s="72" t="str">
        <x:v>(général)</x:v>
      </x:c>
      <x:c r="D7" s="76"/>
      <x:c r="E7" s="76"/>
      <x:c r="F7" s="76"/>
      <x:c r="G7" s="76"/>
      <x:c r="H7" s="76"/>
      <x:c r="I7" s="76"/>
      <x:c r="J7" s="76"/>
      <x:c r="K7" s="76"/>
      <x:c r="L7" s="76"/>
      <x:c r="M7" s="76"/>
      <x:c r="N7" s="76"/>
      <x:c r="O7" s="76"/>
      <x:c r="P7" s="76"/>
      <x:c r="Q7" s="76"/>
      <x:c r="R7" s="76"/>
    </x:row>
    <x:row r="8">
      <x:c r="A8" s="73" t="str"/>
      <x:c r="B8" s="73" t="str"/>
      <x:c r="C8" s="73" t="str">
        <x:v>Heures</x:v>
      </x:c>
      <x:c r="D8" s="77"/>
      <x:c r="E8" s="77"/>
      <x:c r="F8" s="77"/>
      <x:c r="G8" s="77"/>
      <x:c r="H8" s="77"/>
      <x:c r="I8" s="77"/>
      <x:c r="J8" s="77"/>
      <x:c r="K8" s="77"/>
      <x:c r="L8" s="77"/>
      <x:c r="M8" s="77"/>
      <x:c r="N8" s="77"/>
      <x:c r="O8" s="77"/>
      <x:c r="P8" s="77"/>
      <x:c r="Q8" s="77"/>
      <x:c r="R8" s="77"/>
    </x:row>
    <x:row r="9">
      <x:c r="A9" s="72" t="str">
        <x:v>ACM</x:v>
      </x:c>
      <x:c r="B9" s="72" t="str">
        <x:v>ASS-COMPTA-CONTENTIEUX</x:v>
      </x:c>
      <x:c r="C9" s="72" t="str">
        <x:v>(général)</x:v>
      </x:c>
      <x:c r="D9" s="76"/>
      <x:c r="E9" s="76"/>
      <x:c r="F9" s="76"/>
      <x:c r="G9" s="76"/>
      <x:c r="H9" s="76"/>
      <x:c r="I9" s="76"/>
      <x:c r="J9" s="76"/>
      <x:c r="K9" s="76"/>
      <x:c r="L9" s="76"/>
      <x:c r="M9" s="76"/>
      <x:c r="N9" s="76"/>
      <x:c r="O9" s="76"/>
      <x:c r="P9" s="76"/>
      <x:c r="Q9" s="76"/>
      <x:c r="R9" s="76"/>
    </x:row>
    <x:row r="10">
      <x:c r="A10" s="73" t="str"/>
      <x:c r="B10" s="73" t="str"/>
      <x:c r="C10" s="73" t="str">
        <x:v>Heures</x:v>
      </x:c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7"/>
      <x:c r="Q10" s="77"/>
      <x:c r="R10" s="77"/>
    </x:row>
    <x:row r="11">
      <x:c r="A11" s="72" t="str">
        <x:v>ACM</x:v>
      </x:c>
      <x:c r="B11" s="72" t="str">
        <x:v>ASS-EMPRUNTEURS</x:v>
      </x:c>
      <x:c r="C11" s="72" t="str">
        <x:v>(général)</x:v>
      </x:c>
      <x:c r="D11" s="76"/>
      <x:c r="E11" s="76"/>
      <x:c r="F11" s="76"/>
      <x:c r="G11" s="76"/>
      <x:c r="H11" s="76"/>
      <x:c r="I11" s="76"/>
      <x:c r="J11" s="76"/>
      <x:c r="K11" s="76"/>
      <x:c r="L11" s="76"/>
      <x:c r="M11" s="76"/>
      <x:c r="N11" s="76"/>
      <x:c r="O11" s="76"/>
      <x:c r="P11" s="76"/>
      <x:c r="Q11" s="76"/>
      <x:c r="R11" s="76"/>
    </x:row>
    <x:row r="12">
      <x:c r="A12" s="73" t="str"/>
      <x:c r="B12" s="73" t="str"/>
      <x:c r="C12" s="73" t="str">
        <x:v>Heures</x:v>
      </x:c>
      <x:c r="D12" s="77"/>
      <x:c r="E12" s="77"/>
      <x:c r="F12" s="77"/>
      <x:c r="G12" s="77"/>
      <x:c r="H12" s="77"/>
      <x:c r="I12" s="77"/>
      <x:c r="J12" s="77"/>
      <x:c r="K12" s="77"/>
      <x:c r="L12" s="77"/>
      <x:c r="M12" s="77"/>
      <x:c r="N12" s="77"/>
      <x:c r="O12" s="77"/>
      <x:c r="P12" s="77"/>
      <x:c r="Q12" s="77"/>
      <x:c r="R12" s="77"/>
    </x:row>
    <x:row r="13">
      <x:c r="A13" s="72" t="str">
        <x:v>ACM</x:v>
      </x:c>
      <x:c r="B13" s="72" t="str">
        <x:v>ASS-ERE</x:v>
      </x:c>
      <x:c r="C13" s="72" t="str">
        <x:v>(général)</x:v>
      </x:c>
      <x:c r="D13" s="76"/>
      <x:c r="E13" s="76"/>
      <x:c r="F13" s="76"/>
      <x:c r="G13" s="76"/>
      <x:c r="H13" s="76"/>
      <x:c r="I13" s="76"/>
      <x:c r="J13" s="76"/>
      <x:c r="K13" s="76"/>
      <x:c r="L13" s="76"/>
      <x:c r="M13" s="76"/>
      <x:c r="N13" s="76"/>
      <x:c r="O13" s="76"/>
      <x:c r="P13" s="76"/>
      <x:c r="Q13" s="76"/>
      <x:c r="R13" s="76"/>
    </x:row>
    <x:row r="14">
      <x:c r="A14" s="73" t="str"/>
      <x:c r="B14" s="73" t="str"/>
      <x:c r="C14" s="73" t="str">
        <x:v>Heures</x:v>
      </x:c>
      <x:c r="D14" s="77"/>
      <x:c r="E14" s="77"/>
      <x:c r="F14" s="77"/>
      <x:c r="G14" s="77"/>
      <x:c r="H14" s="77"/>
      <x:c r="I14" s="77"/>
      <x:c r="J14" s="77"/>
      <x:c r="K14" s="77"/>
      <x:c r="L14" s="77"/>
      <x:c r="M14" s="77"/>
      <x:c r="N14" s="77"/>
      <x:c r="O14" s="77"/>
      <x:c r="P14" s="77"/>
      <x:c r="Q14" s="77"/>
      <x:c r="R14" s="77"/>
    </x:row>
    <x:row r="15">
      <x:c r="A15" s="72" t="str">
        <x:v>ACM</x:v>
      </x:c>
      <x:c r="B15" s="72" t="str">
        <x:v>ASS-INDEMN-BIENS-PERS</x:v>
      </x:c>
      <x:c r="C15" s="72" t="str">
        <x:v>(général)</x:v>
      </x:c>
      <x:c r="D15" s="76"/>
      <x:c r="E15" s="76"/>
      <x:c r="F15" s="76"/>
      <x:c r="G15" s="76"/>
      <x:c r="H15" s="76"/>
      <x:c r="I15" s="76"/>
      <x:c r="J15" s="76"/>
      <x:c r="K15" s="76"/>
      <x:c r="L15" s="76"/>
      <x:c r="M15" s="76"/>
      <x:c r="N15" s="76"/>
      <x:c r="O15" s="76"/>
      <x:c r="P15" s="76"/>
      <x:c r="Q15" s="76"/>
      <x:c r="R15" s="76"/>
    </x:row>
    <x:row r="16">
      <x:c r="A16" s="73" t="str"/>
      <x:c r="B16" s="73" t="str"/>
      <x:c r="C16" s="73" t="str">
        <x:v>Heures</x:v>
      </x:c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  <x:c r="O16" s="77"/>
      <x:c r="P16" s="77"/>
      <x:c r="Q16" s="77"/>
      <x:c r="R16" s="77"/>
    </x:row>
    <x:row r="17">
      <x:c r="A17" s="72" t="str">
        <x:v>ACM</x:v>
      </x:c>
      <x:c r="B17" s="72" t="str">
        <x:v>ASS-PERS-COLL</x:v>
      </x:c>
      <x:c r="C17" s="72" t="str">
        <x:v>(général)</x:v>
      </x:c>
      <x:c r="D17" s="76"/>
      <x:c r="E17" s="76"/>
      <x:c r="F17" s="76"/>
      <x:c r="G17" s="76"/>
      <x:c r="H17" s="76"/>
      <x:c r="I17" s="76"/>
      <x:c r="J17" s="76"/>
      <x:c r="K17" s="76"/>
      <x:c r="L17" s="76"/>
      <x:c r="M17" s="76"/>
      <x:c r="N17" s="76"/>
      <x:c r="O17" s="76"/>
      <x:c r="P17" s="76"/>
      <x:c r="Q17" s="76"/>
      <x:c r="R17" s="76"/>
    </x:row>
    <x:row r="18">
      <x:c r="A18" s="73" t="str"/>
      <x:c r="B18" s="73" t="str"/>
      <x:c r="C18" s="73" t="str">
        <x:v>Heures</x:v>
      </x:c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  <x:c r="O18" s="77"/>
      <x:c r="P18" s="77"/>
      <x:c r="Q18" s="77"/>
      <x:c r="R18" s="77"/>
    </x:row>
    <x:row r="19">
      <x:c r="A19" s="72" t="str">
        <x:v>ACM</x:v>
      </x:c>
      <x:c r="B19" s="72" t="str">
        <x:v>ASS-PERS-IND</x:v>
      </x:c>
      <x:c r="C19" s="72" t="str">
        <x:v>(général)</x:v>
      </x:c>
      <x:c r="D19" s="76"/>
      <x:c r="E19" s="76"/>
      <x:c r="F19" s="76"/>
      <x:c r="G19" s="76"/>
      <x:c r="H19" s="76"/>
      <x:c r="I19" s="76"/>
      <x:c r="J19" s="76"/>
      <x:c r="K19" s="76"/>
      <x:c r="L19" s="76"/>
      <x:c r="M19" s="76"/>
      <x:c r="N19" s="76"/>
      <x:c r="O19" s="76"/>
      <x:c r="P19" s="76"/>
      <x:c r="Q19" s="76"/>
      <x:c r="R19" s="76"/>
    </x:row>
    <x:row r="20">
      <x:c r="A20" s="73" t="str"/>
      <x:c r="B20" s="73" t="str"/>
      <x:c r="C20" s="73" t="str">
        <x:v>Heures</x:v>
      </x:c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  <x:c r="O20" s="77"/>
      <x:c r="P20" s="77"/>
      <x:c r="Q20" s="77"/>
      <x:c r="R20" s="77"/>
    </x:row>
    <x:row r="21">
      <x:c r="A21" s="72" t="str">
        <x:v>ACM</x:v>
      </x:c>
      <x:c r="B21" s="72" t="str">
        <x:v>ASS-PROTECTION-JUR</x:v>
      </x:c>
      <x:c r="C21" s="72" t="str">
        <x:v>(général)</x:v>
      </x:c>
      <x:c r="D21" s="76"/>
      <x:c r="E21" s="76"/>
      <x:c r="F21" s="76"/>
      <x:c r="G21" s="76"/>
      <x:c r="H21" s="76"/>
      <x:c r="I21" s="76"/>
      <x:c r="J21" s="76"/>
      <x:c r="K21" s="76"/>
      <x:c r="L21" s="76"/>
      <x:c r="M21" s="76"/>
      <x:c r="N21" s="76"/>
      <x:c r="O21" s="76"/>
      <x:c r="P21" s="76"/>
      <x:c r="Q21" s="76"/>
      <x:c r="R21" s="76"/>
    </x:row>
    <x:row r="22">
      <x:c r="A22" s="73" t="str"/>
      <x:c r="B22" s="73" t="str"/>
      <x:c r="C22" s="73" t="str">
        <x:v>Heures</x:v>
      </x:c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  <x:c r="O22" s="77"/>
      <x:c r="P22" s="77"/>
      <x:c r="Q22" s="77"/>
      <x:c r="R22" s="77"/>
    </x:row>
    <x:row r="23">
      <x:c r="A23" s="72" t="str">
        <x:v>ACM</x:v>
      </x:c>
      <x:c r="B23" s="72" t="str">
        <x:v>ASS-VIE-EPARGNE-RET</x:v>
      </x:c>
      <x:c r="C23" s="72" t="str">
        <x:v>(général)</x:v>
      </x:c>
      <x:c r="D23" s="76"/>
      <x:c r="E23" s="76"/>
      <x:c r="F23" s="76"/>
      <x:c r="G23" s="76"/>
      <x:c r="H23" s="76"/>
      <x:c r="I23" s="76"/>
      <x:c r="J23" s="76"/>
      <x:c r="K23" s="76"/>
      <x:c r="L23" s="76"/>
      <x:c r="M23" s="76"/>
      <x:c r="N23" s="76"/>
      <x:c r="O23" s="76"/>
      <x:c r="P23" s="76"/>
      <x:c r="Q23" s="76"/>
      <x:c r="R23" s="76"/>
    </x:row>
    <x:row r="24">
      <x:c r="A24" s="73" t="str"/>
      <x:c r="B24" s="73" t="str"/>
      <x:c r="C24" s="73" t="str">
        <x:v>Heures</x:v>
      </x:c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  <x:c r="O24" s="77"/>
      <x:c r="P24" s="77"/>
      <x:c r="Q24" s="77"/>
      <x:c r="R24" s="77"/>
    </x:row>
    <x:row r="25">
      <x:c r="A25" s="79" t="str">
        <x:v>TOTAL ACM</x:v>
      </x:c>
      <x:c r="B25" s="79" t="str">
        <x:v>Actes</x:v>
      </x:c>
      <x:c r="C25" s="79"/>
      <x:c r="D25" s="79" t="n">
        <x:f>D7+D9+D11+D13+D15+D17+D19+D21+D23</x:f>
        <x:v>0</x:v>
      </x:c>
      <x:c r="E25" s="79" t="n">
        <x:f>E7+E9+E11+E13+E15+E17+E19+E21+E23</x:f>
        <x:v>0</x:v>
      </x:c>
      <x:c r="F25" s="79" t="n">
        <x:f>F7+F9+F11+F13+F15+F17+F19+F21+F23</x:f>
        <x:v>0</x:v>
      </x:c>
      <x:c r="G25" s="79" t="n">
        <x:f>G7+G9+G11+G13+G15+G17+G19+G21+G23</x:f>
        <x:v>0</x:v>
      </x:c>
      <x:c r="H25" s="79" t="n">
        <x:f>H7+H9+H11+H13+H15+H17+H19+H21+H23</x:f>
        <x:v>0</x:v>
      </x:c>
      <x:c r="I25" s="79" t="n">
        <x:f>I7+I9+I11+I13+I15+I17+I19+I21+I23</x:f>
        <x:v>0</x:v>
      </x:c>
      <x:c r="J25" s="79" t="n">
        <x:f>J7+J9+J11+J13+J15+J17+J19+J21+J23</x:f>
        <x:v>0</x:v>
      </x:c>
      <x:c r="K25" s="79" t="n">
        <x:f>K7+K9+K11+K13+K15+K17+K19+K21+K23</x:f>
        <x:v>0</x:v>
      </x:c>
      <x:c r="L25" s="79" t="n">
        <x:f>L7+L9+L11+L13+L15+L17+L19+L21+L23</x:f>
        <x:v>0</x:v>
      </x:c>
      <x:c r="M25" s="79" t="n">
        <x:f>M7+M9+M11+M13+M15+M17+M19+M21+M23</x:f>
        <x:v>0</x:v>
      </x:c>
      <x:c r="N25" s="79" t="n">
        <x:f>N7+N9+N11+N13+N15+N17+N19+N21+N23</x:f>
        <x:v>0</x:v>
      </x:c>
      <x:c r="O25" s="79" t="n">
        <x:f>O7+O9+O11+O13+O15+O17+O19+O21+O23</x:f>
        <x:v>0</x:v>
      </x:c>
      <x:c r="P25" s="79" t="n">
        <x:f>P7+P9+P11+P13+P15+P17+P19+P21+P23</x:f>
        <x:v>0</x:v>
      </x:c>
      <x:c r="Q25" s="79" t="n">
        <x:f>Q7+Q9+Q11+Q13+Q15+Q17+Q19+Q21+Q23</x:f>
        <x:v>0</x:v>
      </x:c>
      <x:c r="R25" s="79" t="n">
        <x:f>R7+R9+R11+R13+R15+R17+R19+R21+R23</x:f>
        <x:v>0</x:v>
      </x:c>
    </x:row>
    <x:row r="26">
      <x:c r="A26" s="79" t="str"/>
      <x:c r="B26" s="79" t="str">
        <x:v>Heures</x:v>
      </x:c>
      <x:c r="C26" s="79"/>
      <x:c r="D26" s="80" t="n">
        <x:f>D8+D10+D12+D14+D16+D18+D20+D22+D24</x:f>
        <x:v>0</x:v>
      </x:c>
      <x:c r="E26" s="80" t="n">
        <x:f>E8+E10+E12+E14+E16+E18+E20+E22+E24</x:f>
        <x:v>0</x:v>
      </x:c>
      <x:c r="F26" s="80" t="n">
        <x:f>F8+F10+F12+F14+F16+F18+F20+F22+F24</x:f>
        <x:v>0</x:v>
      </x:c>
      <x:c r="G26" s="80" t="n">
        <x:f>G8+G10+G12+G14+G16+G18+G20+G22+G24</x:f>
        <x:v>0</x:v>
      </x:c>
      <x:c r="H26" s="80" t="n">
        <x:f>H8+H10+H12+H14+H16+H18+H20+H22+H24</x:f>
        <x:v>0</x:v>
      </x:c>
      <x:c r="I26" s="80" t="n">
        <x:f>I8+I10+I12+I14+I16+I18+I20+I22+I24</x:f>
        <x:v>0</x:v>
      </x:c>
      <x:c r="J26" s="80" t="n">
        <x:f>J8+J10+J12+J14+J16+J18+J20+J22+J24</x:f>
        <x:v>0</x:v>
      </x:c>
      <x:c r="K26" s="80" t="n">
        <x:f>K8+K10+K12+K14+K16+K18+K20+K22+K24</x:f>
        <x:v>0</x:v>
      </x:c>
      <x:c r="L26" s="80" t="n">
        <x:f>L8+L10+L12+L14+L16+L18+L20+L22+L24</x:f>
        <x:v>0</x:v>
      </x:c>
      <x:c r="M26" s="80" t="n">
        <x:f>M8+M10+M12+M14+M16+M18+M20+M22+M24</x:f>
        <x:v>0</x:v>
      </x:c>
      <x:c r="N26" s="80" t="n">
        <x:f>N8+N10+N12+N14+N16+N18+N20+N22+N24</x:f>
        <x:v>0</x:v>
      </x:c>
      <x:c r="O26" s="80" t="n">
        <x:f>O8+O10+O12+O14+O16+O18+O20+O22+O24</x:f>
        <x:v>0</x:v>
      </x:c>
      <x:c r="P26" s="80" t="n">
        <x:f>P8+P10+P12+P14+P16+P18+P20+P22+P24</x:f>
        <x:v>0</x:v>
      </x:c>
      <x:c r="Q26" s="80" t="n">
        <x:f>Q8+Q10+Q12+Q14+Q16+Q18+Q20+Q22+Q24</x:f>
        <x:v>0</x:v>
      </x:c>
      <x:c r="R26" s="80" t="n">
        <x:f>R8+R10+R12+R14+R16+R18+R20+R22+R24</x:f>
        <x:v>0</x:v>
      </x:c>
    </x:row>
    <x:row r="28" ht="27" customHeight="1">
      <x:c r="A28" s="82" t="str">
        <x:v>COFIDIS FRANCE</x:v>
      </x:c>
      <x:c r="B28" s="82"/>
      <x:c r="C28" s="82"/>
      <x:c r="D28" s="82"/>
      <x:c r="E28" s="82"/>
      <x:c r="F28" s="82"/>
      <x:c r="G28" s="82"/>
      <x:c r="H28" s="82"/>
      <x:c r="I28" s="82"/>
      <x:c r="J28" s="82"/>
      <x:c r="K28" s="82"/>
      <x:c r="L28" s="82"/>
      <x:c r="M28" s="82"/>
      <x:c r="N28" s="82"/>
      <x:c r="O28" s="82"/>
      <x:c r="P28" s="82"/>
      <x:c r="Q28" s="82"/>
      <x:c r="R28" s="82"/>
    </x:row>
    <x:row r="29">
      <x:c r="A29" s="72" t="str">
        <x:v>COFIDIS France</x:v>
      </x:c>
      <x:c r="B29" s="72" t="str">
        <x:v>DMA</x:v>
      </x:c>
      <x:c r="C29" s="72" t="str">
        <x:v>Agence WEB</x:v>
      </x:c>
      <x:c r="D29" s="76"/>
      <x:c r="E29" s="76"/>
      <x:c r="F29" s="76"/>
      <x:c r="G29" s="76"/>
      <x:c r="H29" s="76"/>
      <x:c r="I29" s="76"/>
      <x:c r="J29" s="76"/>
      <x:c r="K29" s="76"/>
      <x:c r="L29" s="76"/>
      <x:c r="M29" s="76"/>
      <x:c r="N29" s="76"/>
      <x:c r="O29" s="76"/>
      <x:c r="P29" s="76"/>
      <x:c r="Q29" s="76"/>
      <x:c r="R29" s="76"/>
    </x:row>
    <x:row r="30">
      <x:c r="A30" s="73" t="str"/>
      <x:c r="B30" s="73" t="str"/>
      <x:c r="C30" s="73" t="str">
        <x:v>Heures</x:v>
      </x:c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  <x:c r="O30" s="77"/>
      <x:c r="P30" s="77"/>
      <x:c r="Q30" s="77"/>
      <x:c r="R30" s="77"/>
    </x:row>
    <x:row r="31">
      <x:c r="A31" s="72" t="str">
        <x:v>COFIDIS France</x:v>
      </x:c>
      <x:c r="B31" s="72" t="str">
        <x:v>DMA</x:v>
      </x:c>
      <x:c r="C31" s="72" t="str">
        <x:v>Marque et Stratégie</x:v>
      </x:c>
      <x:c r="D31" s="76"/>
      <x:c r="E31" s="76"/>
      <x:c r="F31" s="76"/>
      <x:c r="G31" s="76"/>
      <x:c r="H31" s="76"/>
      <x:c r="I31" s="76"/>
      <x:c r="J31" s="76"/>
      <x:c r="K31" s="76"/>
      <x:c r="L31" s="76"/>
      <x:c r="M31" s="76"/>
      <x:c r="N31" s="76"/>
      <x:c r="O31" s="76"/>
      <x:c r="P31" s="76"/>
      <x:c r="Q31" s="76"/>
      <x:c r="R31" s="76"/>
    </x:row>
    <x:row r="32">
      <x:c r="A32" s="73" t="str"/>
      <x:c r="B32" s="73" t="str"/>
      <x:c r="C32" s="73" t="str">
        <x:v>Heures</x:v>
      </x:c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  <x:c r="O32" s="77"/>
      <x:c r="P32" s="77"/>
      <x:c r="Q32" s="77"/>
      <x:c r="R32" s="77"/>
    </x:row>
    <x:row r="33">
      <x:c r="A33" s="72" t="str">
        <x:v>COFIDIS France</x:v>
      </x:c>
      <x:c r="B33" s="72" t="str">
        <x:v>DMA</x:v>
      </x:c>
      <x:c r="C33" s="72" t="str">
        <x:v>Performance Digitale</x:v>
      </x:c>
      <x:c r="D33" s="76"/>
      <x:c r="E33" s="76"/>
      <x:c r="F33" s="76"/>
      <x:c r="G33" s="76"/>
      <x:c r="H33" s="76"/>
      <x:c r="I33" s="76"/>
      <x:c r="J33" s="76"/>
      <x:c r="K33" s="76"/>
      <x:c r="L33" s="76"/>
      <x:c r="M33" s="76"/>
      <x:c r="N33" s="76"/>
      <x:c r="O33" s="76"/>
      <x:c r="P33" s="76"/>
      <x:c r="Q33" s="76"/>
      <x:c r="R33" s="76"/>
    </x:row>
    <x:row r="34">
      <x:c r="A34" s="73" t="str"/>
      <x:c r="B34" s="73" t="str"/>
      <x:c r="C34" s="73" t="str">
        <x:v>Heures</x:v>
      </x:c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  <x:c r="O34" s="77"/>
      <x:c r="P34" s="77"/>
      <x:c r="Q34" s="77"/>
      <x:c r="R34" s="77"/>
    </x:row>
    <x:row r="35">
      <x:c r="A35" s="72" t="str">
        <x:v>COFIDIS France</x:v>
      </x:c>
      <x:c r="B35" s="72" t="str">
        <x:v>DPA</x:v>
      </x:c>
      <x:c r="C35" s="72" t="str">
        <x:v>Domaine Marketing</x:v>
      </x:c>
      <x:c r="D35" s="76"/>
      <x:c r="E35" s="76"/>
      <x:c r="F35" s="76"/>
      <x:c r="G35" s="76"/>
      <x:c r="H35" s="76"/>
      <x:c r="I35" s="76"/>
      <x:c r="J35" s="76"/>
      <x:c r="K35" s="76"/>
      <x:c r="L35" s="76"/>
      <x:c r="M35" s="76"/>
      <x:c r="N35" s="76"/>
      <x:c r="O35" s="76"/>
      <x:c r="P35" s="76"/>
      <x:c r="Q35" s="76"/>
      <x:c r="R35" s="76"/>
    </x:row>
    <x:row r="36">
      <x:c r="A36" s="73" t="str"/>
      <x:c r="B36" s="73" t="str"/>
      <x:c r="C36" s="73" t="str">
        <x:v>Heures</x:v>
      </x:c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  <x:c r="O36" s="77"/>
      <x:c r="P36" s="77"/>
      <x:c r="Q36" s="77"/>
      <x:c r="R36" s="77"/>
    </x:row>
    <x:row r="37">
      <x:c r="A37" s="72" t="str">
        <x:v>COFIDIS France</x:v>
      </x:c>
      <x:c r="B37" s="72" t="str">
        <x:v>DPA</x:v>
      </x:c>
      <x:c r="C37" s="72" t="str">
        <x:v>Service Marketing</x:v>
      </x:c>
      <x:c r="D37" s="76"/>
      <x:c r="E37" s="76"/>
      <x:c r="F37" s="76"/>
      <x:c r="G37" s="76"/>
      <x:c r="H37" s="76"/>
      <x:c r="I37" s="76"/>
      <x:c r="J37" s="76"/>
      <x:c r="K37" s="76"/>
      <x:c r="L37" s="76"/>
      <x:c r="M37" s="76"/>
      <x:c r="N37" s="76"/>
      <x:c r="O37" s="76"/>
      <x:c r="P37" s="76"/>
      <x:c r="Q37" s="76"/>
      <x:c r="R37" s="76"/>
    </x:row>
    <x:row r="38">
      <x:c r="A38" s="73" t="str"/>
      <x:c r="B38" s="73" t="str"/>
      <x:c r="C38" s="73" t="str">
        <x:v>Heures</x:v>
      </x:c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  <x:c r="O38" s="77"/>
      <x:c r="P38" s="77"/>
      <x:c r="Q38" s="77"/>
      <x:c r="R38" s="77"/>
    </x:row>
    <x:row r="39">
      <x:c r="A39" s="72" t="str">
        <x:v>COFIDIS France</x:v>
      </x:c>
      <x:c r="B39" s="72" t="str">
        <x:v>DPA</x:v>
      </x:c>
      <x:c r="C39" s="72" t="str">
        <x:v>Service Relation</x:v>
      </x:c>
      <x:c r="D39" s="76"/>
      <x:c r="E39" s="76"/>
      <x:c r="F39" s="76"/>
      <x:c r="G39" s="76"/>
      <x:c r="H39" s="76"/>
      <x:c r="I39" s="76"/>
      <x:c r="J39" s="76"/>
      <x:c r="K39" s="76"/>
      <x:c r="L39" s="76"/>
      <x:c r="M39" s="76"/>
      <x:c r="N39" s="76"/>
      <x:c r="O39" s="76"/>
      <x:c r="P39" s="76"/>
      <x:c r="Q39" s="76"/>
      <x:c r="R39" s="76"/>
    </x:row>
    <x:row r="40">
      <x:c r="A40" s="73" t="str"/>
      <x:c r="B40" s="73" t="str"/>
      <x:c r="C40" s="73" t="str">
        <x:v>Heures</x:v>
      </x:c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  <x:c r="O40" s="77"/>
      <x:c r="P40" s="77"/>
      <x:c r="Q40" s="77"/>
      <x:c r="R40" s="77"/>
    </x:row>
    <x:row r="41">
      <x:c r="A41" s="79" t="str">
        <x:v>TOTAL COFIDIS France</x:v>
      </x:c>
      <x:c r="B41" s="79" t="str">
        <x:v>Actes</x:v>
      </x:c>
      <x:c r="C41" s="79"/>
      <x:c r="D41" s="79" t="n">
        <x:f>D29+D31+D33+D35+D37+D39</x:f>
        <x:v>0</x:v>
      </x:c>
      <x:c r="E41" s="79" t="n">
        <x:f>E29+E31+E33+E35+E37+E39</x:f>
        <x:v>0</x:v>
      </x:c>
      <x:c r="F41" s="79" t="n">
        <x:f>F29+F31+F33+F35+F37+F39</x:f>
        <x:v>0</x:v>
      </x:c>
      <x:c r="G41" s="79" t="n">
        <x:f>G29+G31+G33+G35+G37+G39</x:f>
        <x:v>0</x:v>
      </x:c>
      <x:c r="H41" s="79" t="n">
        <x:f>H29+H31+H33+H35+H37+H39</x:f>
        <x:v>0</x:v>
      </x:c>
      <x:c r="I41" s="79" t="n">
        <x:f>I29+I31+I33+I35+I37+I39</x:f>
        <x:v>0</x:v>
      </x:c>
      <x:c r="J41" s="79" t="n">
        <x:f>J29+J31+J33+J35+J37+J39</x:f>
        <x:v>0</x:v>
      </x:c>
      <x:c r="K41" s="79" t="n">
        <x:f>K29+K31+K33+K35+K37+K39</x:f>
        <x:v>0</x:v>
      </x:c>
      <x:c r="L41" s="79" t="n">
        <x:f>L29+L31+L33+L35+L37+L39</x:f>
        <x:v>0</x:v>
      </x:c>
      <x:c r="M41" s="79" t="n">
        <x:f>M29+M31+M33+M35+M37+M39</x:f>
        <x:v>0</x:v>
      </x:c>
      <x:c r="N41" s="79" t="n">
        <x:f>N29+N31+N33+N35+N37+N39</x:f>
        <x:v>0</x:v>
      </x:c>
      <x:c r="O41" s="79" t="n">
        <x:f>O29+O31+O33+O35+O37+O39</x:f>
        <x:v>0</x:v>
      </x:c>
      <x:c r="P41" s="79" t="n">
        <x:f>P29+P31+P33+P35+P37+P39</x:f>
        <x:v>0</x:v>
      </x:c>
      <x:c r="Q41" s="79" t="n">
        <x:f>Q29+Q31+Q33+Q35+Q37+Q39</x:f>
        <x:v>0</x:v>
      </x:c>
      <x:c r="R41" s="79" t="n">
        <x:f>R29+R31+R33+R35+R37+R39</x:f>
        <x:v>0</x:v>
      </x:c>
    </x:row>
    <x:row r="42">
      <x:c r="A42" s="79" t="str"/>
      <x:c r="B42" s="79" t="str">
        <x:v>Heures</x:v>
      </x:c>
      <x:c r="C42" s="79"/>
      <x:c r="D42" s="80" t="n">
        <x:f>D30+D32+D34+D36+D38+D40</x:f>
        <x:v>0</x:v>
      </x:c>
      <x:c r="E42" s="80" t="n">
        <x:f>E30+E32+E34+E36+E38+E40</x:f>
        <x:v>0</x:v>
      </x:c>
      <x:c r="F42" s="80" t="n">
        <x:f>F30+F32+F34+F36+F38+F40</x:f>
        <x:v>0</x:v>
      </x:c>
      <x:c r="G42" s="80" t="n">
        <x:f>G30+G32+G34+G36+G38+G40</x:f>
        <x:v>0</x:v>
      </x:c>
      <x:c r="H42" s="80" t="n">
        <x:f>H30+H32+H34+H36+H38+H40</x:f>
        <x:v>0</x:v>
      </x:c>
      <x:c r="I42" s="80" t="n">
        <x:f>I30+I32+I34+I36+I38+I40</x:f>
        <x:v>0</x:v>
      </x:c>
      <x:c r="J42" s="80" t="n">
        <x:f>J30+J32+J34+J36+J38+J40</x:f>
        <x:v>0</x:v>
      </x:c>
      <x:c r="K42" s="80" t="n">
        <x:f>K30+K32+K34+K36+K38+K40</x:f>
        <x:v>0</x:v>
      </x:c>
      <x:c r="L42" s="80" t="n">
        <x:f>L30+L32+L34+L36+L38+L40</x:f>
        <x:v>0</x:v>
      </x:c>
      <x:c r="M42" s="80" t="n">
        <x:f>M30+M32+M34+M36+M38+M40</x:f>
        <x:v>0</x:v>
      </x:c>
      <x:c r="N42" s="80" t="n">
        <x:f>N30+N32+N34+N36+N38+N40</x:f>
        <x:v>0</x:v>
      </x:c>
      <x:c r="O42" s="80" t="n">
        <x:f>O30+O32+O34+O36+O38+O40</x:f>
        <x:v>0</x:v>
      </x:c>
      <x:c r="P42" s="80" t="n">
        <x:f>P30+P32+P34+P36+P38+P40</x:f>
        <x:v>0</x:v>
      </x:c>
      <x:c r="Q42" s="80" t="n">
        <x:f>Q30+Q32+Q34+Q36+Q38+Q40</x:f>
        <x:v>0</x:v>
      </x:c>
      <x:c r="R42" s="80" t="n">
        <x:f>R30+R32+R34+R36+R38+R40</x:f>
        <x:v>0</x:v>
      </x:c>
    </x:row>
    <x:row r="44" ht="27" customHeight="1">
      <x:c r="A44" s="71" t="str">
        <x:v>CONTRATHEQUE</x:v>
      </x:c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</x:row>
    <x:row r="45">
      <x:c r="A45" s="72" t="str">
        <x:v>CONTRATHEQUE</x:v>
      </x:c>
      <x:c r="B45" s="72" t="str">
        <x:v>CONDITIONS GENERALES</x:v>
      </x:c>
      <x:c r="C45" s="72" t="str">
        <x:v>CIC</x:v>
      </x:c>
      <x:c r="D45" s="76"/>
      <x:c r="E45" s="76"/>
      <x:c r="F45" s="76"/>
      <x:c r="G45" s="76"/>
      <x:c r="H45" s="76"/>
      <x:c r="I45" s="76"/>
      <x:c r="J45" s="76"/>
      <x:c r="K45" s="76"/>
      <x:c r="L45" s="76"/>
      <x:c r="M45" s="76"/>
      <x:c r="N45" s="76"/>
      <x:c r="O45" s="76"/>
      <x:c r="P45" s="76"/>
      <x:c r="Q45" s="76"/>
      <x:c r="R45" s="76"/>
    </x:row>
    <x:row r="46">
      <x:c r="A46" s="73" t="str"/>
      <x:c r="B46" s="73" t="str"/>
      <x:c r="C46" s="73" t="str">
        <x:v>Heures</x:v>
      </x:c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  <x:c r="O46" s="77"/>
      <x:c r="P46" s="77"/>
      <x:c r="Q46" s="77"/>
      <x:c r="R46" s="77"/>
    </x:row>
    <x:row r="47">
      <x:c r="A47" s="72" t="str">
        <x:v>CONTRATHEQUE</x:v>
      </x:c>
      <x:c r="B47" s="72" t="str">
        <x:v>CONDITIONS GENERALES</x:v>
      </x:c>
      <x:c r="C47" s="72" t="str">
        <x:v>CM</x:v>
      </x:c>
      <x:c r="D47" s="76"/>
      <x:c r="E47" s="76"/>
      <x:c r="F47" s="76"/>
      <x:c r="G47" s="76"/>
      <x:c r="H47" s="76"/>
      <x:c r="I47" s="76"/>
      <x:c r="J47" s="76"/>
      <x:c r="K47" s="76"/>
      <x:c r="L47" s="76"/>
      <x:c r="M47" s="76"/>
      <x:c r="N47" s="76"/>
      <x:c r="O47" s="76"/>
      <x:c r="P47" s="76"/>
      <x:c r="Q47" s="76"/>
      <x:c r="R47" s="76"/>
    </x:row>
    <x:row r="48">
      <x:c r="A48" s="73" t="str"/>
      <x:c r="B48" s="73" t="str"/>
      <x:c r="C48" s="73" t="str">
        <x:v>Heures</x:v>
      </x:c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  <x:c r="O48" s="77"/>
      <x:c r="P48" s="77"/>
      <x:c r="Q48" s="77"/>
      <x:c r="R48" s="77"/>
    </x:row>
    <x:row r="49">
      <x:c r="A49" s="72" t="str">
        <x:v>CONTRATHEQUE</x:v>
      </x:c>
      <x:c r="B49" s="72" t="str">
        <x:v>CONDITIONS GENERALES</x:v>
      </x:c>
      <x:c r="C49" s="72" t="str">
        <x:v>Mixte</x:v>
      </x:c>
      <x:c r="D49" s="76"/>
      <x:c r="E49" s="76"/>
      <x:c r="F49" s="76"/>
      <x:c r="G49" s="76"/>
      <x:c r="H49" s="76"/>
      <x:c r="I49" s="76"/>
      <x:c r="J49" s="76"/>
      <x:c r="K49" s="76"/>
      <x:c r="L49" s="76"/>
      <x:c r="M49" s="76"/>
      <x:c r="N49" s="76"/>
      <x:c r="O49" s="76"/>
      <x:c r="P49" s="76"/>
      <x:c r="Q49" s="76"/>
      <x:c r="R49" s="76"/>
    </x:row>
    <x:row r="50">
      <x:c r="A50" s="73" t="str"/>
      <x:c r="B50" s="73" t="str"/>
      <x:c r="C50" s="73" t="str">
        <x:v>Heures</x:v>
      </x:c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  <x:c r="O50" s="77"/>
      <x:c r="P50" s="77"/>
      <x:c r="Q50" s="77"/>
      <x:c r="R50" s="77"/>
    </x:row>
    <x:row r="51">
      <x:c r="A51" s="72" t="str">
        <x:v>CONTRATHEQUE</x:v>
      </x:c>
      <x:c r="B51" s="72" t="str">
        <x:v>DOCUMENT D'INFORMATION TARIFAIRE</x:v>
      </x:c>
      <x:c r="C51" s="72" t="str">
        <x:v>(général)</x:v>
      </x:c>
      <x:c r="D51" s="76"/>
      <x:c r="E51" s="76"/>
      <x:c r="F51" s="76"/>
      <x:c r="G51" s="76"/>
      <x:c r="H51" s="76"/>
      <x:c r="I51" s="76"/>
      <x:c r="J51" s="76"/>
      <x:c r="K51" s="76"/>
      <x:c r="L51" s="76"/>
      <x:c r="M51" s="76"/>
      <x:c r="N51" s="76"/>
      <x:c r="O51" s="76"/>
      <x:c r="P51" s="76"/>
      <x:c r="Q51" s="76"/>
      <x:c r="R51" s="76"/>
    </x:row>
    <x:row r="52">
      <x:c r="A52" s="73" t="str"/>
      <x:c r="B52" s="73" t="str"/>
      <x:c r="C52" s="73" t="str">
        <x:v>Heures</x:v>
      </x:c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  <x:c r="O52" s="77"/>
      <x:c r="P52" s="77"/>
      <x:c r="Q52" s="77"/>
      <x:c r="R52" s="77"/>
    </x:row>
    <x:row r="53">
      <x:c r="A53" s="72" t="str">
        <x:v>CONTRATHEQUE</x:v>
      </x:c>
      <x:c r="B53" s="72" t="str">
        <x:v>GARANTIES</x:v>
      </x:c>
      <x:c r="C53" s="72" t="str">
        <x:v>(général)</x:v>
      </x:c>
      <x:c r="D53" s="76"/>
      <x:c r="E53" s="76"/>
      <x:c r="F53" s="76"/>
      <x:c r="G53" s="76"/>
      <x:c r="H53" s="76"/>
      <x:c r="I53" s="76"/>
      <x:c r="J53" s="76"/>
      <x:c r="K53" s="76"/>
      <x:c r="L53" s="76"/>
      <x:c r="M53" s="76"/>
      <x:c r="N53" s="76"/>
      <x:c r="O53" s="76"/>
      <x:c r="P53" s="76"/>
      <x:c r="Q53" s="76"/>
      <x:c r="R53" s="76"/>
    </x:row>
    <x:row r="54">
      <x:c r="A54" s="73" t="str"/>
      <x:c r="B54" s="73" t="str"/>
      <x:c r="C54" s="73" t="str">
        <x:v>Heures</x:v>
      </x:c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  <x:c r="O54" s="77"/>
      <x:c r="P54" s="77"/>
      <x:c r="Q54" s="77"/>
      <x:c r="R54" s="77"/>
    </x:row>
    <x:row r="55">
      <x:c r="A55" s="72" t="str">
        <x:v>CONTRATHEQUE</x:v>
      </x:c>
      <x:c r="B55" s="72" t="str">
        <x:v>POLITIQUE DE PROTECTION</x:v>
      </x:c>
      <x:c r="C55" s="72" t="str">
        <x:v>(général)</x:v>
      </x:c>
      <x:c r="D55" s="76"/>
      <x:c r="E55" s="76"/>
      <x:c r="F55" s="76"/>
      <x:c r="G55" s="76"/>
      <x:c r="H55" s="76"/>
      <x:c r="I55" s="76"/>
      <x:c r="J55" s="76"/>
      <x:c r="K55" s="76"/>
      <x:c r="L55" s="76"/>
      <x:c r="M55" s="76"/>
      <x:c r="N55" s="76"/>
      <x:c r="O55" s="76"/>
      <x:c r="P55" s="76"/>
      <x:c r="Q55" s="76"/>
      <x:c r="R55" s="76"/>
    </x:row>
    <x:row r="56">
      <x:c r="A56" s="73" t="str"/>
      <x:c r="B56" s="73" t="str"/>
      <x:c r="C56" s="73" t="str">
        <x:v>Heures</x:v>
      </x:c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  <x:c r="O56" s="77"/>
      <x:c r="P56" s="77"/>
      <x:c r="Q56" s="77"/>
      <x:c r="R56" s="77"/>
    </x:row>
    <x:row r="57">
      <x:c r="A57" s="79" t="str">
        <x:v>TOTAL CONTRATHEQUE</x:v>
      </x:c>
      <x:c r="B57" s="79" t="str">
        <x:v>Actes</x:v>
      </x:c>
      <x:c r="C57" s="79"/>
      <x:c r="D57" s="79" t="n">
        <x:f>D45+D47+D49+D51+D53+D55</x:f>
        <x:v>0</x:v>
      </x:c>
      <x:c r="E57" s="79" t="n">
        <x:f>E45+E47+E49+E51+E53+E55</x:f>
        <x:v>0</x:v>
      </x:c>
      <x:c r="F57" s="79" t="n">
        <x:f>F45+F47+F49+F51+F53+F55</x:f>
        <x:v>0</x:v>
      </x:c>
      <x:c r="G57" s="79" t="n">
        <x:f>G45+G47+G49+G51+G53+G55</x:f>
        <x:v>0</x:v>
      </x:c>
      <x:c r="H57" s="79" t="n">
        <x:f>H45+H47+H49+H51+H53+H55</x:f>
        <x:v>0</x:v>
      </x:c>
      <x:c r="I57" s="79" t="n">
        <x:f>I45+I47+I49+I51+I53+I55</x:f>
        <x:v>0</x:v>
      </x:c>
      <x:c r="J57" s="79" t="n">
        <x:f>J45+J47+J49+J51+J53+J55</x:f>
        <x:v>0</x:v>
      </x:c>
      <x:c r="K57" s="79" t="n">
        <x:f>K45+K47+K49+K51+K53+K55</x:f>
        <x:v>0</x:v>
      </x:c>
      <x:c r="L57" s="79" t="n">
        <x:f>L45+L47+L49+L51+L53+L55</x:f>
        <x:v>0</x:v>
      </x:c>
      <x:c r="M57" s="79" t="n">
        <x:f>M45+M47+M49+M51+M53+M55</x:f>
        <x:v>0</x:v>
      </x:c>
      <x:c r="N57" s="79" t="n">
        <x:f>N45+N47+N49+N51+N53+N55</x:f>
        <x:v>0</x:v>
      </x:c>
      <x:c r="O57" s="79" t="n">
        <x:f>O45+O47+O49+O51+O53+O55</x:f>
        <x:v>0</x:v>
      </x:c>
      <x:c r="P57" s="79" t="n">
        <x:f>P45+P47+P49+P51+P53+P55</x:f>
        <x:v>0</x:v>
      </x:c>
      <x:c r="Q57" s="79" t="n">
        <x:f>Q45+Q47+Q49+Q51+Q53+Q55</x:f>
        <x:v>0</x:v>
      </x:c>
      <x:c r="R57" s="79" t="n">
        <x:f>R45+R47+R49+R51+R53+R55</x:f>
        <x:v>0</x:v>
      </x:c>
    </x:row>
    <x:row r="58">
      <x:c r="A58" s="79" t="str"/>
      <x:c r="B58" s="79" t="str">
        <x:v>Heures</x:v>
      </x:c>
      <x:c r="C58" s="79"/>
      <x:c r="D58" s="80" t="n">
        <x:f>D46+D48+D50+D52+D54+D56</x:f>
        <x:v>0</x:v>
      </x:c>
      <x:c r="E58" s="80" t="n">
        <x:f>E46+E48+E50+E52+E54+E56</x:f>
        <x:v>0</x:v>
      </x:c>
      <x:c r="F58" s="80" t="n">
        <x:f>F46+F48+F50+F52+F54+F56</x:f>
        <x:v>0</x:v>
      </x:c>
      <x:c r="G58" s="80" t="n">
        <x:f>G46+G48+G50+G52+G54+G56</x:f>
        <x:v>0</x:v>
      </x:c>
      <x:c r="H58" s="80" t="n">
        <x:f>H46+H48+H50+H52+H54+H56</x:f>
        <x:v>0</x:v>
      </x:c>
      <x:c r="I58" s="80" t="n">
        <x:f>I46+I48+I50+I52+I54+I56</x:f>
        <x:v>0</x:v>
      </x:c>
      <x:c r="J58" s="80" t="n">
        <x:f>J46+J48+J50+J52+J54+J56</x:f>
        <x:v>0</x:v>
      </x:c>
      <x:c r="K58" s="80" t="n">
        <x:f>K46+K48+K50+K52+K54+K56</x:f>
        <x:v>0</x:v>
      </x:c>
      <x:c r="L58" s="80" t="n">
        <x:f>L46+L48+L50+L52+L54+L56</x:f>
        <x:v>0</x:v>
      </x:c>
      <x:c r="M58" s="80" t="n">
        <x:f>M46+M48+M50+M52+M54+M56</x:f>
        <x:v>0</x:v>
      </x:c>
      <x:c r="N58" s="80" t="n">
        <x:f>N46+N48+N50+N52+N54+N56</x:f>
        <x:v>0</x:v>
      </x:c>
      <x:c r="O58" s="80" t="n">
        <x:f>O46+O48+O50+O52+O54+O56</x:f>
        <x:v>0</x:v>
      </x:c>
      <x:c r="P58" s="80" t="n">
        <x:f>P46+P48+P50+P52+P54+P56</x:f>
        <x:v>0</x:v>
      </x:c>
      <x:c r="Q58" s="80" t="n">
        <x:f>Q46+Q48+Q50+Q52+Q54+Q56</x:f>
        <x:v>0</x:v>
      </x:c>
      <x:c r="R58" s="80" t="n">
        <x:f>R46+R48+R50+R52+R54+R56</x:f>
        <x:v>0</x:v>
      </x:c>
    </x:row>
    <x:row r="60" ht="27" customHeight="1">
      <x:c r="A60" s="82" t="str">
        <x:v>CREATIS</x:v>
      </x:c>
      <x:c r="B60" s="82"/>
      <x:c r="C60" s="82"/>
      <x:c r="D60" s="82"/>
      <x:c r="E60" s="82"/>
      <x:c r="F60" s="82"/>
      <x:c r="G60" s="82"/>
      <x:c r="H60" s="82"/>
      <x:c r="I60" s="82"/>
      <x:c r="J60" s="82"/>
      <x:c r="K60" s="82"/>
      <x:c r="L60" s="82"/>
      <x:c r="M60" s="82"/>
      <x:c r="N60" s="82"/>
      <x:c r="O60" s="82"/>
      <x:c r="P60" s="82"/>
      <x:c r="Q60" s="82"/>
      <x:c r="R60" s="82"/>
    </x:row>
    <x:row r="61">
      <x:c r="A61" s="72" t="str">
        <x:v>CREATIS</x:v>
      </x:c>
      <x:c r="B61" s="72" t="str"/>
      <x:c r="C61" s="72" t="str">
        <x:v>(général)</x:v>
      </x:c>
      <x:c r="D61" s="76"/>
      <x:c r="E61" s="76"/>
      <x:c r="F61" s="76"/>
      <x:c r="G61" s="76"/>
      <x:c r="H61" s="76"/>
      <x:c r="I61" s="76"/>
      <x:c r="J61" s="76"/>
      <x:c r="K61" s="76"/>
      <x:c r="L61" s="76"/>
      <x:c r="M61" s="76"/>
      <x:c r="N61" s="76"/>
      <x:c r="O61" s="76"/>
      <x:c r="P61" s="76"/>
      <x:c r="Q61" s="76"/>
      <x:c r="R61" s="76"/>
    </x:row>
    <x:row r="62">
      <x:c r="A62" s="73" t="str"/>
      <x:c r="B62" s="73" t="str"/>
      <x:c r="C62" s="73" t="str">
        <x:v>Heures</x:v>
      </x:c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  <x:c r="O62" s="77"/>
      <x:c r="P62" s="77"/>
      <x:c r="Q62" s="77"/>
      <x:c r="R62" s="77"/>
    </x:row>
    <x:row r="63">
      <x:c r="A63" s="79" t="str">
        <x:v>TOTAL CREATIS</x:v>
      </x:c>
      <x:c r="B63" s="79" t="str">
        <x:v>Actes</x:v>
      </x:c>
      <x:c r="C63" s="79"/>
      <x:c r="D63" s="79" t="n">
        <x:f>D61</x:f>
        <x:v>0</x:v>
      </x:c>
      <x:c r="E63" s="79" t="n">
        <x:f>E61</x:f>
        <x:v>0</x:v>
      </x:c>
      <x:c r="F63" s="79" t="n">
        <x:f>F61</x:f>
        <x:v>0</x:v>
      </x:c>
      <x:c r="G63" s="79" t="n">
        <x:f>G61</x:f>
        <x:v>0</x:v>
      </x:c>
      <x:c r="H63" s="79" t="n">
        <x:f>H61</x:f>
        <x:v>0</x:v>
      </x:c>
      <x:c r="I63" s="79" t="n">
        <x:f>I61</x:f>
        <x:v>0</x:v>
      </x:c>
      <x:c r="J63" s="79" t="n">
        <x:f>J61</x:f>
        <x:v>0</x:v>
      </x:c>
      <x:c r="K63" s="79" t="n">
        <x:f>K61</x:f>
        <x:v>0</x:v>
      </x:c>
      <x:c r="L63" s="79" t="n">
        <x:f>L61</x:f>
        <x:v>0</x:v>
      </x:c>
      <x:c r="M63" s="79" t="n">
        <x:f>M61</x:f>
        <x:v>0</x:v>
      </x:c>
      <x:c r="N63" s="79" t="n">
        <x:f>N61</x:f>
        <x:v>0</x:v>
      </x:c>
      <x:c r="O63" s="79" t="n">
        <x:f>O61</x:f>
        <x:v>0</x:v>
      </x:c>
      <x:c r="P63" s="79" t="n">
        <x:f>P61</x:f>
        <x:v>0</x:v>
      </x:c>
      <x:c r="Q63" s="79" t="n">
        <x:f>Q61</x:f>
        <x:v>0</x:v>
      </x:c>
      <x:c r="R63" s="79" t="n">
        <x:f>R61</x:f>
        <x:v>0</x:v>
      </x:c>
    </x:row>
    <x:row r="64">
      <x:c r="A64" s="79" t="str"/>
      <x:c r="B64" s="79" t="str">
        <x:v>Heures</x:v>
      </x:c>
      <x:c r="C64" s="79"/>
      <x:c r="D64" s="80" t="n">
        <x:f>D62</x:f>
        <x:v>0</x:v>
      </x:c>
      <x:c r="E64" s="80" t="n">
        <x:f>E62</x:f>
        <x:v>0</x:v>
      </x:c>
      <x:c r="F64" s="80" t="n">
        <x:f>F62</x:f>
        <x:v>0</x:v>
      </x:c>
      <x:c r="G64" s="80" t="n">
        <x:f>G62</x:f>
        <x:v>0</x:v>
      </x:c>
      <x:c r="H64" s="80" t="n">
        <x:f>H62</x:f>
        <x:v>0</x:v>
      </x:c>
      <x:c r="I64" s="80" t="n">
        <x:f>I62</x:f>
        <x:v>0</x:v>
      </x:c>
      <x:c r="J64" s="80" t="n">
        <x:f>J62</x:f>
        <x:v>0</x:v>
      </x:c>
      <x:c r="K64" s="80" t="n">
        <x:f>K62</x:f>
        <x:v>0</x:v>
      </x:c>
      <x:c r="L64" s="80" t="n">
        <x:f>L62</x:f>
        <x:v>0</x:v>
      </x:c>
      <x:c r="M64" s="80" t="n">
        <x:f>M62</x:f>
        <x:v>0</x:v>
      </x:c>
      <x:c r="N64" s="80" t="n">
        <x:f>N62</x:f>
        <x:v>0</x:v>
      </x:c>
      <x:c r="O64" s="80" t="n">
        <x:f>O62</x:f>
        <x:v>0</x:v>
      </x:c>
      <x:c r="P64" s="80" t="n">
        <x:f>P62</x:f>
        <x:v>0</x:v>
      </x:c>
      <x:c r="Q64" s="80" t="n">
        <x:f>Q62</x:f>
        <x:v>0</x:v>
      </x:c>
      <x:c r="R64" s="80" t="n">
        <x:f>R62</x:f>
        <x:v>0</x:v>
      </x:c>
    </x:row>
    <x:row r="66" ht="27" customHeight="1">
      <x:c r="A66" s="71" t="str">
        <x:v>CMMABN</x:v>
      </x:c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/>
      <x:c r="O66" s="71"/>
      <x:c r="P66" s="71"/>
      <x:c r="Q66" s="71"/>
      <x:c r="R66" s="71"/>
    </x:row>
    <x:row r="67">
      <x:c r="A67" s="72" t="str">
        <x:v>CMMABN</x:v>
      </x:c>
      <x:c r="B67" s="72" t="str"/>
      <x:c r="C67" s="72" t="str">
        <x:v>(général)</x:v>
      </x:c>
      <x:c r="D67" s="76"/>
      <x:c r="E67" s="76"/>
      <x:c r="F67" s="76"/>
      <x:c r="G67" s="76"/>
      <x:c r="H67" s="76"/>
      <x:c r="I67" s="76"/>
      <x:c r="J67" s="76"/>
      <x:c r="K67" s="76"/>
      <x:c r="L67" s="76"/>
      <x:c r="M67" s="76"/>
      <x:c r="N67" s="76"/>
      <x:c r="O67" s="76"/>
      <x:c r="P67" s="76"/>
      <x:c r="Q67" s="76"/>
      <x:c r="R67" s="76"/>
    </x:row>
    <x:row r="68">
      <x:c r="A68" s="73" t="str"/>
      <x:c r="B68" s="73" t="str"/>
      <x:c r="C68" s="73" t="str">
        <x:v>Heures</x:v>
      </x:c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  <x:c r="O68" s="77"/>
      <x:c r="P68" s="77"/>
      <x:c r="Q68" s="77"/>
      <x:c r="R68" s="77"/>
    </x:row>
    <x:row r="69">
      <x:c r="A69" s="79" t="str">
        <x:v>TOTAL CMMABN</x:v>
      </x:c>
      <x:c r="B69" s="79" t="str">
        <x:v>Actes</x:v>
      </x:c>
      <x:c r="C69" s="79"/>
      <x:c r="D69" s="79" t="n">
        <x:f>D67</x:f>
        <x:v>0</x:v>
      </x:c>
      <x:c r="E69" s="79" t="n">
        <x:f>E67</x:f>
        <x:v>0</x:v>
      </x:c>
      <x:c r="F69" s="79" t="n">
        <x:f>F67</x:f>
        <x:v>0</x:v>
      </x:c>
      <x:c r="G69" s="79" t="n">
        <x:f>G67</x:f>
        <x:v>0</x:v>
      </x:c>
      <x:c r="H69" s="79" t="n">
        <x:f>H67</x:f>
        <x:v>0</x:v>
      </x:c>
      <x:c r="I69" s="79" t="n">
        <x:f>I67</x:f>
        <x:v>0</x:v>
      </x:c>
      <x:c r="J69" s="79" t="n">
        <x:f>J67</x:f>
        <x:v>0</x:v>
      </x:c>
      <x:c r="K69" s="79" t="n">
        <x:f>K67</x:f>
        <x:v>0</x:v>
      </x:c>
      <x:c r="L69" s="79" t="n">
        <x:f>L67</x:f>
        <x:v>0</x:v>
      </x:c>
      <x:c r="M69" s="79" t="n">
        <x:f>M67</x:f>
        <x:v>0</x:v>
      </x:c>
      <x:c r="N69" s="79" t="n">
        <x:f>N67</x:f>
        <x:v>0</x:v>
      </x:c>
      <x:c r="O69" s="79" t="n">
        <x:f>O67</x:f>
        <x:v>0</x:v>
      </x:c>
      <x:c r="P69" s="79" t="n">
        <x:f>P67</x:f>
        <x:v>0</x:v>
      </x:c>
      <x:c r="Q69" s="79" t="n">
        <x:f>Q67</x:f>
        <x:v>0</x:v>
      </x:c>
      <x:c r="R69" s="79" t="n">
        <x:f>R67</x:f>
        <x:v>0</x:v>
      </x:c>
    </x:row>
    <x:row r="70">
      <x:c r="A70" s="79" t="str"/>
      <x:c r="B70" s="79" t="str">
        <x:v>Heures</x:v>
      </x:c>
      <x:c r="C70" s="79"/>
      <x:c r="D70" s="80" t="n">
        <x:f>D68</x:f>
        <x:v>0</x:v>
      </x:c>
      <x:c r="E70" s="80" t="n">
        <x:f>E68</x:f>
        <x:v>0</x:v>
      </x:c>
      <x:c r="F70" s="80" t="n">
        <x:f>F68</x:f>
        <x:v>0</x:v>
      </x:c>
      <x:c r="G70" s="80" t="n">
        <x:f>G68</x:f>
        <x:v>0</x:v>
      </x:c>
      <x:c r="H70" s="80" t="n">
        <x:f>H68</x:f>
        <x:v>0</x:v>
      </x:c>
      <x:c r="I70" s="80" t="n">
        <x:f>I68</x:f>
        <x:v>0</x:v>
      </x:c>
      <x:c r="J70" s="80" t="n">
        <x:f>J68</x:f>
        <x:v>0</x:v>
      </x:c>
      <x:c r="K70" s="80" t="n">
        <x:f>K68</x:f>
        <x:v>0</x:v>
      </x:c>
      <x:c r="L70" s="80" t="n">
        <x:f>L68</x:f>
        <x:v>0</x:v>
      </x:c>
      <x:c r="M70" s="80" t="n">
        <x:f>M68</x:f>
        <x:v>0</x:v>
      </x:c>
      <x:c r="N70" s="80" t="n">
        <x:f>N68</x:f>
        <x:v>0</x:v>
      </x:c>
      <x:c r="O70" s="80" t="n">
        <x:f>O68</x:f>
        <x:v>0</x:v>
      </x:c>
      <x:c r="P70" s="80" t="n">
        <x:f>P68</x:f>
        <x:v>0</x:v>
      </x:c>
      <x:c r="Q70" s="80" t="n">
        <x:f>Q68</x:f>
        <x:v>0</x:v>
      </x:c>
      <x:c r="R70" s="80" t="n">
        <x:f>R68</x:f>
        <x:v>0</x:v>
      </x:c>
    </x:row>
    <x:row r="72" ht="27" customHeight="1">
      <x:c r="A72" s="82" t="str">
        <x:v>DIRCOM</x:v>
      </x:c>
      <x:c r="B72" s="82"/>
      <x:c r="C72" s="82"/>
      <x:c r="D72" s="82"/>
      <x:c r="E72" s="82"/>
      <x:c r="F72" s="82"/>
      <x:c r="G72" s="82"/>
      <x:c r="H72" s="82"/>
      <x:c r="I72" s="82"/>
      <x:c r="J72" s="82"/>
      <x:c r="K72" s="82"/>
      <x:c r="L72" s="82"/>
      <x:c r="M72" s="82"/>
      <x:c r="N72" s="82"/>
      <x:c r="O72" s="82"/>
      <x:c r="P72" s="82"/>
      <x:c r="Q72" s="82"/>
      <x:c r="R72" s="82"/>
    </x:row>
    <x:row r="73">
      <x:c r="A73" s="72" t="str">
        <x:v>DIRCOM</x:v>
      </x:c>
      <x:c r="B73" s="72" t="str">
        <x:v>CIC</x:v>
      </x:c>
      <x:c r="C73" s="72" t="str">
        <x:v>(général)</x:v>
      </x:c>
      <x:c r="D73" s="76"/>
      <x:c r="E73" s="76"/>
      <x:c r="F73" s="76"/>
      <x:c r="G73" s="76"/>
      <x:c r="H73" s="76"/>
      <x:c r="I73" s="76"/>
      <x:c r="J73" s="76"/>
      <x:c r="K73" s="76"/>
      <x:c r="L73" s="76"/>
      <x:c r="M73" s="76"/>
      <x:c r="N73" s="76"/>
      <x:c r="O73" s="76"/>
      <x:c r="P73" s="76"/>
      <x:c r="Q73" s="76"/>
      <x:c r="R73" s="76"/>
    </x:row>
    <x:row r="74">
      <x:c r="A74" s="73" t="str"/>
      <x:c r="B74" s="73" t="str"/>
      <x:c r="C74" s="73" t="str">
        <x:v>Heures</x:v>
      </x:c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  <x:c r="O74" s="77"/>
      <x:c r="P74" s="77"/>
      <x:c r="Q74" s="77"/>
      <x:c r="R74" s="77"/>
    </x:row>
    <x:row r="75">
      <x:c r="A75" s="72" t="str">
        <x:v>DIRCOM</x:v>
      </x:c>
      <x:c r="B75" s="72" t="str">
        <x:v>CM</x:v>
      </x:c>
      <x:c r="C75" s="72" t="str">
        <x:v>(général)</x:v>
      </x:c>
      <x:c r="D75" s="76"/>
      <x:c r="E75" s="76"/>
      <x:c r="F75" s="76"/>
      <x:c r="G75" s="76"/>
      <x:c r="H75" s="76"/>
      <x:c r="I75" s="76"/>
      <x:c r="J75" s="76"/>
      <x:c r="K75" s="76"/>
      <x:c r="L75" s="76"/>
      <x:c r="M75" s="76"/>
      <x:c r="N75" s="76"/>
      <x:c r="O75" s="76"/>
      <x:c r="P75" s="76"/>
      <x:c r="Q75" s="76"/>
      <x:c r="R75" s="76"/>
    </x:row>
    <x:row r="76">
      <x:c r="A76" s="73" t="str"/>
      <x:c r="B76" s="73" t="str"/>
      <x:c r="C76" s="73" t="str">
        <x:v>Heures</x:v>
      </x:c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  <x:c r="O76" s="77"/>
      <x:c r="P76" s="77"/>
      <x:c r="Q76" s="77"/>
      <x:c r="R76" s="77"/>
    </x:row>
    <x:row r="77">
      <x:c r="A77" s="79" t="str">
        <x:v>TOTAL DIRCOM</x:v>
      </x:c>
      <x:c r="B77" s="79" t="str">
        <x:v>Actes</x:v>
      </x:c>
      <x:c r="C77" s="79"/>
      <x:c r="D77" s="79" t="n">
        <x:f>D73+D75</x:f>
        <x:v>0</x:v>
      </x:c>
      <x:c r="E77" s="79" t="n">
        <x:f>E73+E75</x:f>
        <x:v>0</x:v>
      </x:c>
      <x:c r="F77" s="79" t="n">
        <x:f>F73+F75</x:f>
        <x:v>0</x:v>
      </x:c>
      <x:c r="G77" s="79" t="n">
        <x:f>G73+G75</x:f>
        <x:v>0</x:v>
      </x:c>
      <x:c r="H77" s="79" t="n">
        <x:f>H73+H75</x:f>
        <x:v>0</x:v>
      </x:c>
      <x:c r="I77" s="79" t="n">
        <x:f>I73+I75</x:f>
        <x:v>0</x:v>
      </x:c>
      <x:c r="J77" s="79" t="n">
        <x:f>J73+J75</x:f>
        <x:v>0</x:v>
      </x:c>
      <x:c r="K77" s="79" t="n">
        <x:f>K73+K75</x:f>
        <x:v>0</x:v>
      </x:c>
      <x:c r="L77" s="79" t="n">
        <x:f>L73+L75</x:f>
        <x:v>0</x:v>
      </x:c>
      <x:c r="M77" s="79" t="n">
        <x:f>M73+M75</x:f>
        <x:v>0</x:v>
      </x:c>
      <x:c r="N77" s="79" t="n">
        <x:f>N73+N75</x:f>
        <x:v>0</x:v>
      </x:c>
      <x:c r="O77" s="79" t="n">
        <x:f>O73+O75</x:f>
        <x:v>0</x:v>
      </x:c>
      <x:c r="P77" s="79" t="n">
        <x:f>P73+P75</x:f>
        <x:v>0</x:v>
      </x:c>
      <x:c r="Q77" s="79" t="n">
        <x:f>Q73+Q75</x:f>
        <x:v>0</x:v>
      </x:c>
      <x:c r="R77" s="79" t="n">
        <x:f>R73+R75</x:f>
        <x:v>0</x:v>
      </x:c>
    </x:row>
    <x:row r="78">
      <x:c r="A78" s="79" t="str"/>
      <x:c r="B78" s="79" t="str">
        <x:v>Heures</x:v>
      </x:c>
      <x:c r="C78" s="79"/>
      <x:c r="D78" s="80" t="n">
        <x:f>D74+D76</x:f>
        <x:v>0</x:v>
      </x:c>
      <x:c r="E78" s="80" t="n">
        <x:f>E74+E76</x:f>
        <x:v>0</x:v>
      </x:c>
      <x:c r="F78" s="80" t="n">
        <x:f>F74+F76</x:f>
        <x:v>0</x:v>
      </x:c>
      <x:c r="G78" s="80" t="n">
        <x:f>G74+G76</x:f>
        <x:v>0</x:v>
      </x:c>
      <x:c r="H78" s="80" t="n">
        <x:f>H74+H76</x:f>
        <x:v>0</x:v>
      </x:c>
      <x:c r="I78" s="80" t="n">
        <x:f>I74+I76</x:f>
        <x:v>0</x:v>
      </x:c>
      <x:c r="J78" s="80" t="n">
        <x:f>J74+J76</x:f>
        <x:v>0</x:v>
      </x:c>
      <x:c r="K78" s="80" t="n">
        <x:f>K74+K76</x:f>
        <x:v>0</x:v>
      </x:c>
      <x:c r="L78" s="80" t="n">
        <x:f>L74+L76</x:f>
        <x:v>0</x:v>
      </x:c>
      <x:c r="M78" s="80" t="n">
        <x:f>M74+M76</x:f>
        <x:v>0</x:v>
      </x:c>
      <x:c r="N78" s="80" t="n">
        <x:f>N74+N76</x:f>
        <x:v>0</x:v>
      </x:c>
      <x:c r="O78" s="80" t="n">
        <x:f>O74+O76</x:f>
        <x:v>0</x:v>
      </x:c>
      <x:c r="P78" s="80" t="n">
        <x:f>P74+P76</x:f>
        <x:v>0</x:v>
      </x:c>
      <x:c r="Q78" s="80" t="n">
        <x:f>Q74+Q76</x:f>
        <x:v>0</x:v>
      </x:c>
      <x:c r="R78" s="80" t="n">
        <x:f>R74+R76</x:f>
        <x:v>0</x:v>
      </x:c>
    </x:row>
    <x:row r="80" ht="27" customHeight="1">
      <x:c r="A80" s="71" t="str">
        <x:v>DIRCO</x:v>
      </x:c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</x:row>
    <x:row r="81">
      <x:c r="A81" s="72" t="str">
        <x:v>DIRCO</x:v>
      </x:c>
      <x:c r="B81" s="72" t="str">
        <x:v>CIC</x:v>
      </x:c>
      <x:c r="C81" s="72" t="str">
        <x:v>(général)</x:v>
      </x:c>
      <x:c r="D81" s="76"/>
      <x:c r="E81" s="76"/>
      <x:c r="F81" s="76"/>
      <x:c r="G81" s="76"/>
      <x:c r="H81" s="76"/>
      <x:c r="I81" s="76"/>
      <x:c r="J81" s="76"/>
      <x:c r="K81" s="76"/>
      <x:c r="L81" s="76"/>
      <x:c r="M81" s="76"/>
      <x:c r="N81" s="76"/>
      <x:c r="O81" s="76"/>
      <x:c r="P81" s="76"/>
      <x:c r="Q81" s="76"/>
      <x:c r="R81" s="76"/>
    </x:row>
    <x:row r="82">
      <x:c r="A82" s="73" t="str"/>
      <x:c r="B82" s="73" t="str"/>
      <x:c r="C82" s="73" t="str">
        <x:v>Heures</x:v>
      </x:c>
      <x:c r="D82" s="77"/>
      <x:c r="E82" s="77"/>
      <x:c r="F82" s="77"/>
      <x:c r="G82" s="77"/>
      <x:c r="H82" s="77"/>
      <x:c r="I82" s="77"/>
      <x:c r="J82" s="77"/>
      <x:c r="K82" s="77"/>
      <x:c r="L82" s="77"/>
      <x:c r="M82" s="77"/>
      <x:c r="N82" s="77"/>
      <x:c r="O82" s="77"/>
      <x:c r="P82" s="77"/>
      <x:c r="Q82" s="77"/>
      <x:c r="R82" s="77"/>
    </x:row>
    <x:row r="83">
      <x:c r="A83" s="72" t="str">
        <x:v>DIRCO</x:v>
      </x:c>
      <x:c r="B83" s="72" t="str">
        <x:v>CM</x:v>
      </x:c>
      <x:c r="C83" s="72" t="str">
        <x:v>(général)</x:v>
      </x:c>
      <x:c r="D83" s="76"/>
      <x:c r="E83" s="76"/>
      <x:c r="F83" s="76"/>
      <x:c r="G83" s="76"/>
      <x:c r="H83" s="76"/>
      <x:c r="I83" s="76"/>
      <x:c r="J83" s="76"/>
      <x:c r="K83" s="76"/>
      <x:c r="L83" s="76"/>
      <x:c r="M83" s="76"/>
      <x:c r="N83" s="76"/>
      <x:c r="O83" s="76"/>
      <x:c r="P83" s="76"/>
      <x:c r="Q83" s="76"/>
      <x:c r="R83" s="76"/>
    </x:row>
    <x:row r="84">
      <x:c r="A84" s="73" t="str"/>
      <x:c r="B84" s="73" t="str"/>
      <x:c r="C84" s="73" t="str">
        <x:v>Heures</x:v>
      </x:c>
      <x:c r="D84" s="77"/>
      <x:c r="E84" s="77"/>
      <x:c r="F84" s="77"/>
      <x:c r="G84" s="77"/>
      <x:c r="H84" s="77"/>
      <x:c r="I84" s="77"/>
      <x:c r="J84" s="77"/>
      <x:c r="K84" s="77"/>
      <x:c r="L84" s="77"/>
      <x:c r="M84" s="77"/>
      <x:c r="N84" s="77"/>
      <x:c r="O84" s="77"/>
      <x:c r="P84" s="77"/>
      <x:c r="Q84" s="77"/>
      <x:c r="R84" s="77"/>
    </x:row>
    <x:row r="85">
      <x:c r="A85" s="79" t="str">
        <x:v>TOTAL DIRCO</x:v>
      </x:c>
      <x:c r="B85" s="79" t="str">
        <x:v>Actes</x:v>
      </x:c>
      <x:c r="C85" s="79"/>
      <x:c r="D85" s="79" t="n">
        <x:f>D81+D83</x:f>
        <x:v>0</x:v>
      </x:c>
      <x:c r="E85" s="79" t="n">
        <x:f>E81+E83</x:f>
        <x:v>0</x:v>
      </x:c>
      <x:c r="F85" s="79" t="n">
        <x:f>F81+F83</x:f>
        <x:v>0</x:v>
      </x:c>
      <x:c r="G85" s="79" t="n">
        <x:f>G81+G83</x:f>
        <x:v>0</x:v>
      </x:c>
      <x:c r="H85" s="79" t="n">
        <x:f>H81+H83</x:f>
        <x:v>0</x:v>
      </x:c>
      <x:c r="I85" s="79" t="n">
        <x:f>I81+I83</x:f>
        <x:v>0</x:v>
      </x:c>
      <x:c r="J85" s="79" t="n">
        <x:f>J81+J83</x:f>
        <x:v>0</x:v>
      </x:c>
      <x:c r="K85" s="79" t="n">
        <x:f>K81+K83</x:f>
        <x:v>0</x:v>
      </x:c>
      <x:c r="L85" s="79" t="n">
        <x:f>L81+L83</x:f>
        <x:v>0</x:v>
      </x:c>
      <x:c r="M85" s="79" t="n">
        <x:f>M81+M83</x:f>
        <x:v>0</x:v>
      </x:c>
      <x:c r="N85" s="79" t="n">
        <x:f>N81+N83</x:f>
        <x:v>0</x:v>
      </x:c>
      <x:c r="O85" s="79" t="n">
        <x:f>O81+O83</x:f>
        <x:v>0</x:v>
      </x:c>
      <x:c r="P85" s="79" t="n">
        <x:f>P81+P83</x:f>
        <x:v>0</x:v>
      </x:c>
      <x:c r="Q85" s="79" t="n">
        <x:f>Q81+Q83</x:f>
        <x:v>0</x:v>
      </x:c>
      <x:c r="R85" s="79" t="n">
        <x:f>R81+R83</x:f>
        <x:v>0</x:v>
      </x:c>
    </x:row>
    <x:row r="86">
      <x:c r="A86" s="79" t="str"/>
      <x:c r="B86" s="79" t="str">
        <x:v>Heures</x:v>
      </x:c>
      <x:c r="C86" s="79"/>
      <x:c r="D86" s="80" t="n">
        <x:f>D82+D84</x:f>
        <x:v>0</x:v>
      </x:c>
      <x:c r="E86" s="80" t="n">
        <x:f>E82+E84</x:f>
        <x:v>0</x:v>
      </x:c>
      <x:c r="F86" s="80" t="n">
        <x:f>F82+F84</x:f>
        <x:v>0</x:v>
      </x:c>
      <x:c r="G86" s="80" t="n">
        <x:f>G82+G84</x:f>
        <x:v>0</x:v>
      </x:c>
      <x:c r="H86" s="80" t="n">
        <x:f>H82+H84</x:f>
        <x:v>0</x:v>
      </x:c>
      <x:c r="I86" s="80" t="n">
        <x:f>I82+I84</x:f>
        <x:v>0</x:v>
      </x:c>
      <x:c r="J86" s="80" t="n">
        <x:f>J82+J84</x:f>
        <x:v>0</x:v>
      </x:c>
      <x:c r="K86" s="80" t="n">
        <x:f>K82+K84</x:f>
        <x:v>0</x:v>
      </x:c>
      <x:c r="L86" s="80" t="n">
        <x:f>L82+L84</x:f>
        <x:v>0</x:v>
      </x:c>
      <x:c r="M86" s="80" t="n">
        <x:f>M82+M84</x:f>
        <x:v>0</x:v>
      </x:c>
      <x:c r="N86" s="80" t="n">
        <x:f>N82+N84</x:f>
        <x:v>0</x:v>
      </x:c>
      <x:c r="O86" s="80" t="n">
        <x:f>O82+O84</x:f>
        <x:v>0</x:v>
      </x:c>
      <x:c r="P86" s="80" t="n">
        <x:f>P82+P84</x:f>
        <x:v>0</x:v>
      </x:c>
      <x:c r="Q86" s="80" t="n">
        <x:f>Q82+Q84</x:f>
        <x:v>0</x:v>
      </x:c>
      <x:c r="R86" s="80" t="n">
        <x:f>R82+R84</x:f>
        <x:v>0</x:v>
      </x:c>
    </x:row>
    <x:row r="88" ht="27" customHeight="1">
      <x:c r="A88" s="82" t="str">
        <x:v>MONABANQ</x:v>
      </x:c>
      <x:c r="B88" s="82"/>
      <x:c r="C88" s="82"/>
      <x:c r="D88" s="82"/>
      <x:c r="E88" s="82"/>
      <x:c r="F88" s="82"/>
      <x:c r="G88" s="82"/>
      <x:c r="H88" s="82"/>
      <x:c r="I88" s="82"/>
      <x:c r="J88" s="82"/>
      <x:c r="K88" s="82"/>
      <x:c r="L88" s="82"/>
      <x:c r="M88" s="82"/>
      <x:c r="N88" s="82"/>
      <x:c r="O88" s="82"/>
      <x:c r="P88" s="82"/>
      <x:c r="Q88" s="82"/>
      <x:c r="R88" s="82"/>
    </x:row>
    <x:row r="89">
      <x:c r="A89" s="72" t="str">
        <x:v>MONABANQ</x:v>
      </x:c>
      <x:c r="B89" s="72" t="str"/>
      <x:c r="C89" s="72" t="str">
        <x:v>(général)</x:v>
      </x:c>
      <x:c r="D89" s="76"/>
      <x:c r="E89" s="76"/>
      <x:c r="F89" s="76"/>
      <x:c r="G89" s="76"/>
      <x:c r="H89" s="76"/>
      <x:c r="I89" s="76"/>
      <x:c r="J89" s="76"/>
      <x:c r="K89" s="76"/>
      <x:c r="L89" s="76"/>
      <x:c r="M89" s="76"/>
      <x:c r="N89" s="76"/>
      <x:c r="O89" s="76"/>
      <x:c r="P89" s="76"/>
      <x:c r="Q89" s="76"/>
      <x:c r="R89" s="76"/>
    </x:row>
    <x:row r="90">
      <x:c r="A90" s="73" t="str"/>
      <x:c r="B90" s="73" t="str"/>
      <x:c r="C90" s="73" t="str">
        <x:v>Heures</x:v>
      </x:c>
      <x:c r="D90" s="77"/>
      <x:c r="E90" s="77"/>
      <x:c r="F90" s="77"/>
      <x:c r="G90" s="77"/>
      <x:c r="H90" s="77"/>
      <x:c r="I90" s="77"/>
      <x:c r="J90" s="77"/>
      <x:c r="K90" s="77"/>
      <x:c r="L90" s="77"/>
      <x:c r="M90" s="77"/>
      <x:c r="N90" s="77"/>
      <x:c r="O90" s="77"/>
      <x:c r="P90" s="77"/>
      <x:c r="Q90" s="77"/>
      <x:c r="R90" s="77"/>
    </x:row>
    <x:row r="91">
      <x:c r="A91" s="79" t="str">
        <x:v>TOTAL MONABANQ</x:v>
      </x:c>
      <x:c r="B91" s="79" t="str">
        <x:v>Actes</x:v>
      </x:c>
      <x:c r="C91" s="79"/>
      <x:c r="D91" s="79" t="n">
        <x:f>D89</x:f>
        <x:v>0</x:v>
      </x:c>
      <x:c r="E91" s="79" t="n">
        <x:f>E89</x:f>
        <x:v>0</x:v>
      </x:c>
      <x:c r="F91" s="79" t="n">
        <x:f>F89</x:f>
        <x:v>0</x:v>
      </x:c>
      <x:c r="G91" s="79" t="n">
        <x:f>G89</x:f>
        <x:v>0</x:v>
      </x:c>
      <x:c r="H91" s="79" t="n">
        <x:f>H89</x:f>
        <x:v>0</x:v>
      </x:c>
      <x:c r="I91" s="79" t="n">
        <x:f>I89</x:f>
        <x:v>0</x:v>
      </x:c>
      <x:c r="J91" s="79" t="n">
        <x:f>J89</x:f>
        <x:v>0</x:v>
      </x:c>
      <x:c r="K91" s="79" t="n">
        <x:f>K89</x:f>
        <x:v>0</x:v>
      </x:c>
      <x:c r="L91" s="79" t="n">
        <x:f>L89</x:f>
        <x:v>0</x:v>
      </x:c>
      <x:c r="M91" s="79" t="n">
        <x:f>M89</x:f>
        <x:v>0</x:v>
      </x:c>
      <x:c r="N91" s="79" t="n">
        <x:f>N89</x:f>
        <x:v>0</x:v>
      </x:c>
      <x:c r="O91" s="79" t="n">
        <x:f>O89</x:f>
        <x:v>0</x:v>
      </x:c>
      <x:c r="P91" s="79" t="n">
        <x:f>P89</x:f>
        <x:v>0</x:v>
      </x:c>
      <x:c r="Q91" s="79" t="n">
        <x:f>Q89</x:f>
        <x:v>0</x:v>
      </x:c>
      <x:c r="R91" s="79" t="n">
        <x:f>R89</x:f>
        <x:v>0</x:v>
      </x:c>
    </x:row>
    <x:row r="92">
      <x:c r="A92" s="79" t="str"/>
      <x:c r="B92" s="79" t="str">
        <x:v>Heures</x:v>
      </x:c>
      <x:c r="C92" s="79"/>
      <x:c r="D92" s="80" t="n">
        <x:f>D90</x:f>
        <x:v>0</x:v>
      </x:c>
      <x:c r="E92" s="80" t="n">
        <x:f>E90</x:f>
        <x:v>0</x:v>
      </x:c>
      <x:c r="F92" s="80" t="n">
        <x:f>F90</x:f>
        <x:v>0</x:v>
      </x:c>
      <x:c r="G92" s="80" t="n">
        <x:f>G90</x:f>
        <x:v>0</x:v>
      </x:c>
      <x:c r="H92" s="80" t="n">
        <x:f>H90</x:f>
        <x:v>0</x:v>
      </x:c>
      <x:c r="I92" s="80" t="n">
        <x:f>I90</x:f>
        <x:v>0</x:v>
      </x:c>
      <x:c r="J92" s="80" t="n">
        <x:f>J90</x:f>
        <x:v>0</x:v>
      </x:c>
      <x:c r="K92" s="80" t="n">
        <x:f>K90</x:f>
        <x:v>0</x:v>
      </x:c>
      <x:c r="L92" s="80" t="n">
        <x:f>L90</x:f>
        <x:v>0</x:v>
      </x:c>
      <x:c r="M92" s="80" t="n">
        <x:f>M90</x:f>
        <x:v>0</x:v>
      </x:c>
      <x:c r="N92" s="80" t="n">
        <x:f>N90</x:f>
        <x:v>0</x:v>
      </x:c>
      <x:c r="O92" s="80" t="n">
        <x:f>O90</x:f>
        <x:v>0</x:v>
      </x:c>
      <x:c r="P92" s="80" t="n">
        <x:f>P90</x:f>
        <x:v>0</x:v>
      </x:c>
      <x:c r="Q92" s="80" t="n">
        <x:f>Q90</x:f>
        <x:v>0</x:v>
      </x:c>
      <x:c r="R92" s="80" t="n">
        <x:f>R90</x:f>
        <x:v>0</x:v>
      </x:c>
    </x:row>
    <x:row r="94" ht="27" customHeight="1">
      <x:c r="A94" s="71" t="str">
        <x:v>BOUYGUES TELECOM</x:v>
      </x:c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</x:row>
    <x:row r="95">
      <x:c r="A95" s="72" t="str">
        <x:v>Bouygues Telecom</x:v>
      </x:c>
      <x:c r="B95" s="72" t="str"/>
      <x:c r="C95" s="72" t="str">
        <x:v>(général)</x:v>
      </x:c>
      <x:c r="D95" s="76"/>
      <x:c r="E95" s="76"/>
      <x:c r="F95" s="76"/>
      <x:c r="G95" s="76"/>
      <x:c r="H95" s="76"/>
      <x:c r="I95" s="76"/>
      <x:c r="J95" s="76"/>
      <x:c r="K95" s="76"/>
      <x:c r="L95" s="76"/>
      <x:c r="M95" s="76"/>
      <x:c r="N95" s="76"/>
      <x:c r="O95" s="76"/>
      <x:c r="P95" s="76"/>
      <x:c r="Q95" s="76"/>
      <x:c r="R95" s="76"/>
    </x:row>
    <x:row r="96">
      <x:c r="A96" s="73" t="str"/>
      <x:c r="B96" s="73" t="str"/>
      <x:c r="C96" s="73" t="str">
        <x:v>Heures</x:v>
      </x:c>
      <x:c r="D96" s="77"/>
      <x:c r="E96" s="77"/>
      <x:c r="F96" s="77"/>
      <x:c r="G96" s="77"/>
      <x:c r="H96" s="77"/>
      <x:c r="I96" s="77"/>
      <x:c r="J96" s="77"/>
      <x:c r="K96" s="77"/>
      <x:c r="L96" s="77"/>
      <x:c r="M96" s="77"/>
      <x:c r="N96" s="77"/>
      <x:c r="O96" s="77"/>
      <x:c r="P96" s="77"/>
      <x:c r="Q96" s="77"/>
      <x:c r="R96" s="77"/>
    </x:row>
    <x:row r="97">
      <x:c r="A97" s="79" t="str">
        <x:v>TOTAL Bouygues Telecom</x:v>
      </x:c>
      <x:c r="B97" s="79" t="str">
        <x:v>Actes</x:v>
      </x:c>
      <x:c r="C97" s="79"/>
      <x:c r="D97" s="79" t="n">
        <x:f>D95</x:f>
        <x:v>0</x:v>
      </x:c>
      <x:c r="E97" s="79" t="n">
        <x:f>E95</x:f>
        <x:v>0</x:v>
      </x:c>
      <x:c r="F97" s="79" t="n">
        <x:f>F95</x:f>
        <x:v>0</x:v>
      </x:c>
      <x:c r="G97" s="79" t="n">
        <x:f>G95</x:f>
        <x:v>0</x:v>
      </x:c>
      <x:c r="H97" s="79" t="n">
        <x:f>H95</x:f>
        <x:v>0</x:v>
      </x:c>
      <x:c r="I97" s="79" t="n">
        <x:f>I95</x:f>
        <x:v>0</x:v>
      </x:c>
      <x:c r="J97" s="79" t="n">
        <x:f>J95</x:f>
        <x:v>0</x:v>
      </x:c>
      <x:c r="K97" s="79" t="n">
        <x:f>K95</x:f>
        <x:v>0</x:v>
      </x:c>
      <x:c r="L97" s="79" t="n">
        <x:f>L95</x:f>
        <x:v>0</x:v>
      </x:c>
      <x:c r="M97" s="79" t="n">
        <x:f>M95</x:f>
        <x:v>0</x:v>
      </x:c>
      <x:c r="N97" s="79" t="n">
        <x:f>N95</x:f>
        <x:v>0</x:v>
      </x:c>
      <x:c r="O97" s="79" t="n">
        <x:f>O95</x:f>
        <x:v>0</x:v>
      </x:c>
      <x:c r="P97" s="79" t="n">
        <x:f>P95</x:f>
        <x:v>0</x:v>
      </x:c>
      <x:c r="Q97" s="79" t="n">
        <x:f>Q95</x:f>
        <x:v>0</x:v>
      </x:c>
      <x:c r="R97" s="79" t="n">
        <x:f>R95</x:f>
        <x:v>0</x:v>
      </x:c>
    </x:row>
    <x:row r="98">
      <x:c r="A98" s="79" t="str"/>
      <x:c r="B98" s="79" t="str">
        <x:v>Heures</x:v>
      </x:c>
      <x:c r="C98" s="79"/>
      <x:c r="D98" s="80" t="n">
        <x:f>D96</x:f>
        <x:v>0</x:v>
      </x:c>
      <x:c r="E98" s="80" t="n">
        <x:f>E96</x:f>
        <x:v>0</x:v>
      </x:c>
      <x:c r="F98" s="80" t="n">
        <x:f>F96</x:f>
        <x:v>0</x:v>
      </x:c>
      <x:c r="G98" s="80" t="n">
        <x:f>G96</x:f>
        <x:v>0</x:v>
      </x:c>
      <x:c r="H98" s="80" t="n">
        <x:f>H96</x:f>
        <x:v>0</x:v>
      </x:c>
      <x:c r="I98" s="80" t="n">
        <x:f>I96</x:f>
        <x:v>0</x:v>
      </x:c>
      <x:c r="J98" s="80" t="n">
        <x:f>J96</x:f>
        <x:v>0</x:v>
      </x:c>
      <x:c r="K98" s="80" t="n">
        <x:f>K96</x:f>
        <x:v>0</x:v>
      </x:c>
      <x:c r="L98" s="80" t="n">
        <x:f>L96</x:f>
        <x:v>0</x:v>
      </x:c>
      <x:c r="M98" s="80" t="n">
        <x:f>M96</x:f>
        <x:v>0</x:v>
      </x:c>
      <x:c r="N98" s="80" t="n">
        <x:f>N96</x:f>
        <x:v>0</x:v>
      </x:c>
      <x:c r="O98" s="80" t="n">
        <x:f>O96</x:f>
        <x:v>0</x:v>
      </x:c>
      <x:c r="P98" s="80" t="n">
        <x:f>P96</x:f>
        <x:v>0</x:v>
      </x:c>
      <x:c r="Q98" s="80" t="n">
        <x:f>Q96</x:f>
        <x:v>0</x:v>
      </x:c>
      <x:c r="R98" s="80" t="n">
        <x:f>R96</x:f>
        <x:v>0</x:v>
      </x:c>
    </x:row>
    <x:row r="100" ht="27" customHeight="1">
      <x:c r="A100" s="82" t="str">
        <x:v>CIC CIB ASSET SERVICING</x:v>
      </x:c>
      <x:c r="B100" s="82"/>
      <x:c r="C100" s="82"/>
      <x:c r="D100" s="82"/>
      <x:c r="E100" s="82"/>
      <x:c r="F100" s="82"/>
      <x:c r="G100" s="82"/>
      <x:c r="H100" s="82"/>
      <x:c r="I100" s="82"/>
      <x:c r="J100" s="82"/>
      <x:c r="K100" s="82"/>
      <x:c r="L100" s="82"/>
      <x:c r="M100" s="82"/>
      <x:c r="N100" s="82"/>
      <x:c r="O100" s="82"/>
      <x:c r="P100" s="82"/>
      <x:c r="Q100" s="82"/>
      <x:c r="R100" s="82"/>
    </x:row>
    <x:row r="101">
      <x:c r="A101" s="72" t="str">
        <x:v>CIC CIB Asset Servicing</x:v>
      </x:c>
      <x:c r="B101" s="72" t="str">
        <x:v>Agence Clientèle Déposée</x:v>
      </x:c>
      <x:c r="C101" s="72" t="str">
        <x:v>(général)</x:v>
      </x:c>
      <x:c r="D101" s="76"/>
      <x:c r="E101" s="76"/>
      <x:c r="F101" s="76"/>
      <x:c r="G101" s="76"/>
      <x:c r="H101" s="76"/>
      <x:c r="I101" s="76"/>
      <x:c r="J101" s="76"/>
      <x:c r="K101" s="76"/>
      <x:c r="L101" s="76"/>
      <x:c r="M101" s="76"/>
      <x:c r="N101" s="76"/>
      <x:c r="O101" s="76"/>
      <x:c r="P101" s="76"/>
      <x:c r="Q101" s="76"/>
      <x:c r="R101" s="76"/>
    </x:row>
    <x:row r="102">
      <x:c r="A102" s="73" t="str"/>
      <x:c r="B102" s="73" t="str"/>
      <x:c r="C102" s="73" t="str">
        <x:v>Heures</x:v>
      </x:c>
      <x:c r="D102" s="77"/>
      <x:c r="E102" s="77"/>
      <x:c r="F102" s="77"/>
      <x:c r="G102" s="77"/>
      <x:c r="H102" s="77"/>
      <x:c r="I102" s="77"/>
      <x:c r="J102" s="77"/>
      <x:c r="K102" s="77"/>
      <x:c r="L102" s="77"/>
      <x:c r="M102" s="77"/>
      <x:c r="N102" s="77"/>
      <x:c r="O102" s="77"/>
      <x:c r="P102" s="77"/>
      <x:c r="Q102" s="77"/>
      <x:c r="R102" s="77"/>
    </x:row>
    <x:row r="103">
      <x:c r="A103" s="79" t="str">
        <x:v>TOTAL CIC CIB Asset Servicing</x:v>
      </x:c>
      <x:c r="B103" s="79" t="str">
        <x:v>Actes</x:v>
      </x:c>
      <x:c r="C103" s="79"/>
      <x:c r="D103" s="79" t="n">
        <x:f>D101</x:f>
        <x:v>0</x:v>
      </x:c>
      <x:c r="E103" s="79" t="n">
        <x:f>E101</x:f>
        <x:v>0</x:v>
      </x:c>
      <x:c r="F103" s="79" t="n">
        <x:f>F101</x:f>
        <x:v>0</x:v>
      </x:c>
      <x:c r="G103" s="79" t="n">
        <x:f>G101</x:f>
        <x:v>0</x:v>
      </x:c>
      <x:c r="H103" s="79" t="n">
        <x:f>H101</x:f>
        <x:v>0</x:v>
      </x:c>
      <x:c r="I103" s="79" t="n">
        <x:f>I101</x:f>
        <x:v>0</x:v>
      </x:c>
      <x:c r="J103" s="79" t="n">
        <x:f>J101</x:f>
        <x:v>0</x:v>
      </x:c>
      <x:c r="K103" s="79" t="n">
        <x:f>K101</x:f>
        <x:v>0</x:v>
      </x:c>
      <x:c r="L103" s="79" t="n">
        <x:f>L101</x:f>
        <x:v>0</x:v>
      </x:c>
      <x:c r="M103" s="79" t="n">
        <x:f>M101</x:f>
        <x:v>0</x:v>
      </x:c>
      <x:c r="N103" s="79" t="n">
        <x:f>N101</x:f>
        <x:v>0</x:v>
      </x:c>
      <x:c r="O103" s="79" t="n">
        <x:f>O101</x:f>
        <x:v>0</x:v>
      </x:c>
      <x:c r="P103" s="79" t="n">
        <x:f>P101</x:f>
        <x:v>0</x:v>
      </x:c>
      <x:c r="Q103" s="79" t="n">
        <x:f>Q101</x:f>
        <x:v>0</x:v>
      </x:c>
      <x:c r="R103" s="79" t="n">
        <x:f>R101</x:f>
        <x:v>0</x:v>
      </x:c>
    </x:row>
    <x:row r="104">
      <x:c r="A104" s="79" t="str"/>
      <x:c r="B104" s="79" t="str">
        <x:v>Heures</x:v>
      </x:c>
      <x:c r="C104" s="79"/>
      <x:c r="D104" s="80" t="n">
        <x:f>D102</x:f>
        <x:v>0</x:v>
      </x:c>
      <x:c r="E104" s="80" t="n">
        <x:f>E102</x:f>
        <x:v>0</x:v>
      </x:c>
      <x:c r="F104" s="80" t="n">
        <x:f>F102</x:f>
        <x:v>0</x:v>
      </x:c>
      <x:c r="G104" s="80" t="n">
        <x:f>G102</x:f>
        <x:v>0</x:v>
      </x:c>
      <x:c r="H104" s="80" t="n">
        <x:f>H102</x:f>
        <x:v>0</x:v>
      </x:c>
      <x:c r="I104" s="80" t="n">
        <x:f>I102</x:f>
        <x:v>0</x:v>
      </x:c>
      <x:c r="J104" s="80" t="n">
        <x:f>J102</x:f>
        <x:v>0</x:v>
      </x:c>
      <x:c r="K104" s="80" t="n">
        <x:f>K102</x:f>
        <x:v>0</x:v>
      </x:c>
      <x:c r="L104" s="80" t="n">
        <x:f>L102</x:f>
        <x:v>0</x:v>
      </x:c>
      <x:c r="M104" s="80" t="n">
        <x:f>M102</x:f>
        <x:v>0</x:v>
      </x:c>
      <x:c r="N104" s="80" t="n">
        <x:f>N102</x:f>
        <x:v>0</x:v>
      </x:c>
      <x:c r="O104" s="80" t="n">
        <x:f>O102</x:f>
        <x:v>0</x:v>
      </x:c>
      <x:c r="P104" s="80" t="n">
        <x:f>P102</x:f>
        <x:v>0</x:v>
      </x:c>
      <x:c r="Q104" s="80" t="n">
        <x:f>Q102</x:f>
        <x:v>0</x:v>
      </x:c>
      <x:c r="R104" s="80" t="n">
        <x:f>R102</x:f>
        <x:v>0</x:v>
      </x:c>
    </x:row>
    <x:row r="106" ht="27" customHeight="1">
      <x:c r="A106" s="71" t="str">
        <x:v>CMO</x:v>
      </x:c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/>
      <x:c r="O106" s="71"/>
      <x:c r="P106" s="71"/>
      <x:c r="Q106" s="71"/>
      <x:c r="R106" s="71"/>
    </x:row>
    <x:row r="107">
      <x:c r="A107" s="72" t="str">
        <x:v>CMO</x:v>
      </x:c>
      <x:c r="B107" s="72" t="str">
        <x:v>BAD</x:v>
      </x:c>
      <x:c r="C107" s="72" t="str">
        <x:v>(général)</x:v>
      </x:c>
      <x:c r="D107" s="76"/>
      <x:c r="E107" s="76"/>
      <x:c r="F107" s="76"/>
      <x:c r="G107" s="76"/>
      <x:c r="H107" s="76"/>
      <x:c r="I107" s="76"/>
      <x:c r="J107" s="76"/>
      <x:c r="K107" s="76"/>
      <x:c r="L107" s="76"/>
      <x:c r="M107" s="76"/>
      <x:c r="N107" s="76"/>
      <x:c r="O107" s="76"/>
      <x:c r="P107" s="76"/>
      <x:c r="Q107" s="76"/>
      <x:c r="R107" s="76"/>
    </x:row>
    <x:row r="108">
      <x:c r="A108" s="73" t="str"/>
      <x:c r="B108" s="73" t="str"/>
      <x:c r="C108" s="73" t="str">
        <x:v>Heures</x:v>
      </x:c>
      <x:c r="D108" s="77"/>
      <x:c r="E108" s="77"/>
      <x:c r="F108" s="77"/>
      <x:c r="G108" s="77"/>
      <x:c r="H108" s="77"/>
      <x:c r="I108" s="77"/>
      <x:c r="J108" s="77"/>
      <x:c r="K108" s="77"/>
      <x:c r="L108" s="77"/>
      <x:c r="M108" s="77"/>
      <x:c r="N108" s="77"/>
      <x:c r="O108" s="77"/>
      <x:c r="P108" s="77"/>
      <x:c r="Q108" s="77"/>
      <x:c r="R108" s="77"/>
    </x:row>
    <x:row r="109">
      <x:c r="A109" s="72" t="str">
        <x:v>CMO</x:v>
      </x:c>
      <x:c r="B109" s="72" t="str">
        <x:v>Cartes bancaires</x:v>
      </x:c>
      <x:c r="C109" s="72" t="str">
        <x:v>(général)</x:v>
      </x:c>
      <x:c r="D109" s="76"/>
      <x:c r="E109" s="76"/>
      <x:c r="F109" s="76"/>
      <x:c r="G109" s="76"/>
      <x:c r="H109" s="76"/>
      <x:c r="I109" s="76"/>
      <x:c r="J109" s="76"/>
      <x:c r="K109" s="76"/>
      <x:c r="L109" s="76"/>
      <x:c r="M109" s="76"/>
      <x:c r="N109" s="76"/>
      <x:c r="O109" s="76"/>
      <x:c r="P109" s="76"/>
      <x:c r="Q109" s="76"/>
      <x:c r="R109" s="76"/>
    </x:row>
    <x:row r="110">
      <x:c r="A110" s="73" t="str"/>
      <x:c r="B110" s="73" t="str"/>
      <x:c r="C110" s="73" t="str">
        <x:v>Heures</x:v>
      </x:c>
      <x:c r="D110" s="77"/>
      <x:c r="E110" s="77"/>
      <x:c r="F110" s="77"/>
      <x:c r="G110" s="77"/>
      <x:c r="H110" s="77"/>
      <x:c r="I110" s="77"/>
      <x:c r="J110" s="77"/>
      <x:c r="K110" s="77"/>
      <x:c r="L110" s="77"/>
      <x:c r="M110" s="77"/>
      <x:c r="N110" s="77"/>
      <x:c r="O110" s="77"/>
      <x:c r="P110" s="77"/>
      <x:c r="Q110" s="77"/>
      <x:c r="R110" s="77"/>
    </x:row>
    <x:row r="111">
      <x:c r="A111" s="72" t="str">
        <x:v>CMO</x:v>
      </x:c>
      <x:c r="B111" s="72" t="str">
        <x:v>Compte courant</x:v>
      </x:c>
      <x:c r="C111" s="72" t="str">
        <x:v>(général)</x:v>
      </x:c>
      <x:c r="D111" s="76"/>
      <x:c r="E111" s="76"/>
      <x:c r="F111" s="76"/>
      <x:c r="G111" s="76"/>
      <x:c r="H111" s="76"/>
      <x:c r="I111" s="76"/>
      <x:c r="J111" s="76"/>
      <x:c r="K111" s="76"/>
      <x:c r="L111" s="76"/>
      <x:c r="M111" s="76"/>
      <x:c r="N111" s="76"/>
      <x:c r="O111" s="76"/>
      <x:c r="P111" s="76"/>
      <x:c r="Q111" s="76"/>
      <x:c r="R111" s="76"/>
    </x:row>
    <x:row r="112">
      <x:c r="A112" s="73" t="str"/>
      <x:c r="B112" s="73" t="str"/>
      <x:c r="C112" s="73" t="str">
        <x:v>Heures</x:v>
      </x:c>
      <x:c r="D112" s="77"/>
      <x:c r="E112" s="77"/>
      <x:c r="F112" s="77"/>
      <x:c r="G112" s="77"/>
      <x:c r="H112" s="77"/>
      <x:c r="I112" s="77"/>
      <x:c r="J112" s="77"/>
      <x:c r="K112" s="77"/>
      <x:c r="L112" s="77"/>
      <x:c r="M112" s="77"/>
      <x:c r="N112" s="77"/>
      <x:c r="O112" s="77"/>
      <x:c r="P112" s="77"/>
      <x:c r="Q112" s="77"/>
      <x:c r="R112" s="77"/>
    </x:row>
    <x:row r="113">
      <x:c r="A113" s="72" t="str">
        <x:v>CMO</x:v>
      </x:c>
      <x:c r="B113" s="72" t="str">
        <x:v>Épargne bancaire</x:v>
      </x:c>
      <x:c r="C113" s="72" t="str">
        <x:v>(général)</x:v>
      </x:c>
      <x:c r="D113" s="76"/>
      <x:c r="E113" s="76"/>
      <x:c r="F113" s="76"/>
      <x:c r="G113" s="76"/>
      <x:c r="H113" s="76"/>
      <x:c r="I113" s="76"/>
      <x:c r="J113" s="76"/>
      <x:c r="K113" s="76"/>
      <x:c r="L113" s="76"/>
      <x:c r="M113" s="76"/>
      <x:c r="N113" s="76"/>
      <x:c r="O113" s="76"/>
      <x:c r="P113" s="76"/>
      <x:c r="Q113" s="76"/>
      <x:c r="R113" s="76"/>
    </x:row>
    <x:row r="114">
      <x:c r="A114" s="73" t="str"/>
      <x:c r="B114" s="73" t="str"/>
      <x:c r="C114" s="73" t="str">
        <x:v>Heures</x:v>
      </x:c>
      <x:c r="D114" s="77"/>
      <x:c r="E114" s="77"/>
      <x:c r="F114" s="77"/>
      <x:c r="G114" s="77"/>
      <x:c r="H114" s="77"/>
      <x:c r="I114" s="77"/>
      <x:c r="J114" s="77"/>
      <x:c r="K114" s="77"/>
      <x:c r="L114" s="77"/>
      <x:c r="M114" s="77"/>
      <x:c r="N114" s="77"/>
      <x:c r="O114" s="77"/>
      <x:c r="P114" s="77"/>
      <x:c r="Q114" s="77"/>
      <x:c r="R114" s="77"/>
    </x:row>
    <x:row r="115">
      <x:c r="A115" s="72" t="str">
        <x:v>CMO</x:v>
      </x:c>
      <x:c r="B115" s="72" t="str">
        <x:v>Épargne financière</x:v>
      </x:c>
      <x:c r="C115" s="72" t="str">
        <x:v>(général)</x:v>
      </x:c>
      <x:c r="D115" s="76"/>
      <x:c r="E115" s="76"/>
      <x:c r="F115" s="76"/>
      <x:c r="G115" s="76"/>
      <x:c r="H115" s="76"/>
      <x:c r="I115" s="76"/>
      <x:c r="J115" s="76"/>
      <x:c r="K115" s="76"/>
      <x:c r="L115" s="76"/>
      <x:c r="M115" s="76"/>
      <x:c r="N115" s="76"/>
      <x:c r="O115" s="76"/>
      <x:c r="P115" s="76"/>
      <x:c r="Q115" s="76"/>
      <x:c r="R115" s="76"/>
    </x:row>
    <x:row r="116">
      <x:c r="A116" s="73" t="str"/>
      <x:c r="B116" s="73" t="str"/>
      <x:c r="C116" s="73" t="str">
        <x:v>Heures</x:v>
      </x:c>
      <x:c r="D116" s="77"/>
      <x:c r="E116" s="77"/>
      <x:c r="F116" s="77"/>
      <x:c r="G116" s="77"/>
      <x:c r="H116" s="77"/>
      <x:c r="I116" s="77"/>
      <x:c r="J116" s="77"/>
      <x:c r="K116" s="77"/>
      <x:c r="L116" s="77"/>
      <x:c r="M116" s="77"/>
      <x:c r="N116" s="77"/>
      <x:c r="O116" s="77"/>
      <x:c r="P116" s="77"/>
      <x:c r="Q116" s="77"/>
      <x:c r="R116" s="77"/>
    </x:row>
    <x:row r="117">
      <x:c r="A117" s="72" t="str">
        <x:v>CMO</x:v>
      </x:c>
      <x:c r="B117" s="72" t="str">
        <x:v>Packages</x:v>
      </x:c>
      <x:c r="C117" s="72" t="str">
        <x:v>(général)</x:v>
      </x:c>
      <x:c r="D117" s="76"/>
      <x:c r="E117" s="76"/>
      <x:c r="F117" s="76"/>
      <x:c r="G117" s="76"/>
      <x:c r="H117" s="76"/>
      <x:c r="I117" s="76"/>
      <x:c r="J117" s="76"/>
      <x:c r="K117" s="76"/>
      <x:c r="L117" s="76"/>
      <x:c r="M117" s="76"/>
      <x:c r="N117" s="76"/>
      <x:c r="O117" s="76"/>
      <x:c r="P117" s="76"/>
      <x:c r="Q117" s="76"/>
      <x:c r="R117" s="76"/>
    </x:row>
    <x:row r="118">
      <x:c r="A118" s="73" t="str"/>
      <x:c r="B118" s="73" t="str"/>
      <x:c r="C118" s="73" t="str">
        <x:v>Heures</x:v>
      </x:c>
      <x:c r="D118" s="77"/>
      <x:c r="E118" s="77"/>
      <x:c r="F118" s="77"/>
      <x:c r="G118" s="77"/>
      <x:c r="H118" s="77"/>
      <x:c r="I118" s="77"/>
      <x:c r="J118" s="77"/>
      <x:c r="K118" s="77"/>
      <x:c r="L118" s="77"/>
      <x:c r="M118" s="77"/>
      <x:c r="N118" s="77"/>
      <x:c r="O118" s="77"/>
      <x:c r="P118" s="77"/>
      <x:c r="Q118" s="77"/>
      <x:c r="R118" s="77"/>
    </x:row>
    <x:row r="119">
      <x:c r="A119" s="72" t="str">
        <x:v>CMO</x:v>
      </x:c>
      <x:c r="B119" s="72" t="str">
        <x:v>Tarif</x:v>
      </x:c>
      <x:c r="C119" s="72" t="str">
        <x:v>(général)</x:v>
      </x:c>
      <x:c r="D119" s="76"/>
      <x:c r="E119" s="76"/>
      <x:c r="F119" s="76"/>
      <x:c r="G119" s="76"/>
      <x:c r="H119" s="76"/>
      <x:c r="I119" s="76"/>
      <x:c r="J119" s="76"/>
      <x:c r="K119" s="76"/>
      <x:c r="L119" s="76"/>
      <x:c r="M119" s="76"/>
      <x:c r="N119" s="76"/>
      <x:c r="O119" s="76"/>
      <x:c r="P119" s="76"/>
      <x:c r="Q119" s="76"/>
      <x:c r="R119" s="76"/>
    </x:row>
    <x:row r="120">
      <x:c r="A120" s="73" t="str"/>
      <x:c r="B120" s="73" t="str"/>
      <x:c r="C120" s="73" t="str">
        <x:v>Heures</x:v>
      </x:c>
      <x:c r="D120" s="77"/>
      <x:c r="E120" s="77"/>
      <x:c r="F120" s="77"/>
      <x:c r="G120" s="77"/>
      <x:c r="H120" s="77"/>
      <x:c r="I120" s="77"/>
      <x:c r="J120" s="77"/>
      <x:c r="K120" s="77"/>
      <x:c r="L120" s="77"/>
      <x:c r="M120" s="77"/>
      <x:c r="N120" s="77"/>
      <x:c r="O120" s="77"/>
      <x:c r="P120" s="77"/>
      <x:c r="Q120" s="77"/>
      <x:c r="R120" s="77"/>
    </x:row>
    <x:row r="121">
      <x:c r="A121" s="79" t="str">
        <x:v>TOTAL CMO</x:v>
      </x:c>
      <x:c r="B121" s="79" t="str">
        <x:v>Actes</x:v>
      </x:c>
      <x:c r="C121" s="79"/>
      <x:c r="D121" s="79" t="n">
        <x:f>D107+D109+D111+D113+D115+D117+D119</x:f>
        <x:v>0</x:v>
      </x:c>
      <x:c r="E121" s="79" t="n">
        <x:f>E107+E109+E111+E113+E115+E117+E119</x:f>
        <x:v>0</x:v>
      </x:c>
      <x:c r="F121" s="79" t="n">
        <x:f>F107+F109+F111+F113+F115+F117+F119</x:f>
        <x:v>0</x:v>
      </x:c>
      <x:c r="G121" s="79" t="n">
        <x:f>G107+G109+G111+G113+G115+G117+G119</x:f>
        <x:v>0</x:v>
      </x:c>
      <x:c r="H121" s="79" t="n">
        <x:f>H107+H109+H111+H113+H115+H117+H119</x:f>
        <x:v>0</x:v>
      </x:c>
      <x:c r="I121" s="79" t="n">
        <x:f>I107+I109+I111+I113+I115+I117+I119</x:f>
        <x:v>0</x:v>
      </x:c>
      <x:c r="J121" s="79" t="n">
        <x:f>J107+J109+J111+J113+J115+J117+J119</x:f>
        <x:v>0</x:v>
      </x:c>
      <x:c r="K121" s="79" t="n">
        <x:f>K107+K109+K111+K113+K115+K117+K119</x:f>
        <x:v>0</x:v>
      </x:c>
      <x:c r="L121" s="79" t="n">
        <x:f>L107+L109+L111+L113+L115+L117+L119</x:f>
        <x:v>0</x:v>
      </x:c>
      <x:c r="M121" s="79" t="n">
        <x:f>M107+M109+M111+M113+M115+M117+M119</x:f>
        <x:v>0</x:v>
      </x:c>
      <x:c r="N121" s="79" t="n">
        <x:f>N107+N109+N111+N113+N115+N117+N119</x:f>
        <x:v>0</x:v>
      </x:c>
      <x:c r="O121" s="79" t="n">
        <x:f>O107+O109+O111+O113+O115+O117+O119</x:f>
        <x:v>0</x:v>
      </x:c>
      <x:c r="P121" s="79" t="n">
        <x:f>P107+P109+P111+P113+P115+P117+P119</x:f>
        <x:v>0</x:v>
      </x:c>
      <x:c r="Q121" s="79" t="n">
        <x:f>Q107+Q109+Q111+Q113+Q115+Q117+Q119</x:f>
        <x:v>0</x:v>
      </x:c>
      <x:c r="R121" s="79" t="n">
        <x:f>R107+R109+R111+R113+R115+R117+R119</x:f>
        <x:v>0</x:v>
      </x:c>
    </x:row>
    <x:row r="122">
      <x:c r="A122" s="79" t="str"/>
      <x:c r="B122" s="79" t="str">
        <x:v>Heures</x:v>
      </x:c>
      <x:c r="C122" s="79"/>
      <x:c r="D122" s="80" t="n">
        <x:f>D108+D110+D112+D114+D116+D118+D120</x:f>
        <x:v>0</x:v>
      </x:c>
      <x:c r="E122" s="80" t="n">
        <x:f>E108+E110+E112+E114+E116+E118+E120</x:f>
        <x:v>0</x:v>
      </x:c>
      <x:c r="F122" s="80" t="n">
        <x:f>F108+F110+F112+F114+F116+F118+F120</x:f>
        <x:v>0</x:v>
      </x:c>
      <x:c r="G122" s="80" t="n">
        <x:f>G108+G110+G112+G114+G116+G118+G120</x:f>
        <x:v>0</x:v>
      </x:c>
      <x:c r="H122" s="80" t="n">
        <x:f>H108+H110+H112+H114+H116+H118+H120</x:f>
        <x:v>0</x:v>
      </x:c>
      <x:c r="I122" s="80" t="n">
        <x:f>I108+I110+I112+I114+I116+I118+I120</x:f>
        <x:v>0</x:v>
      </x:c>
      <x:c r="J122" s="80" t="n">
        <x:f>J108+J110+J112+J114+J116+J118+J120</x:f>
        <x:v>0</x:v>
      </x:c>
      <x:c r="K122" s="80" t="n">
        <x:f>K108+K110+K112+K114+K116+K118+K120</x:f>
        <x:v>0</x:v>
      </x:c>
      <x:c r="L122" s="80" t="n">
        <x:f>L108+L110+L112+L114+L116+L118+L120</x:f>
        <x:v>0</x:v>
      </x:c>
      <x:c r="M122" s="80" t="n">
        <x:f>M108+M110+M112+M114+M116+M118+M120</x:f>
        <x:v>0</x:v>
      </x:c>
      <x:c r="N122" s="80" t="n">
        <x:f>N108+N110+N112+N114+N116+N118+N120</x:f>
        <x:v>0</x:v>
      </x:c>
      <x:c r="O122" s="80" t="n">
        <x:f>O108+O110+O112+O114+O116+O118+O120</x:f>
        <x:v>0</x:v>
      </x:c>
      <x:c r="P122" s="80" t="n">
        <x:f>P108+P110+P112+P114+P116+P118+P120</x:f>
        <x:v>0</x:v>
      </x:c>
      <x:c r="Q122" s="80" t="n">
        <x:f>Q108+Q110+Q112+Q114+Q116+Q118+Q120</x:f>
        <x:v>0</x:v>
      </x:c>
      <x:c r="R122" s="80" t="n">
        <x:f>R108+R110+R112+R114+R116+R118+R120</x:f>
        <x:v>0</x:v>
      </x:c>
    </x:row>
    <x:row r="125" ht="29" customHeight="1">
      <x:c r="A125" s="84" t="str">
        <x:v>RÉCAPITULATIF GÉNÉRAL — TOUS CLIENTS</x:v>
      </x:c>
      <x:c r="B125" s="84"/>
      <x:c r="C125" s="84"/>
      <x:c r="D125" s="84"/>
      <x:c r="E125" s="84"/>
      <x:c r="F125" s="84"/>
      <x:c r="G125" s="84"/>
      <x:c r="H125" s="84"/>
      <x:c r="I125" s="84"/>
      <x:c r="J125" s="84"/>
      <x:c r="K125" s="84"/>
      <x:c r="L125" s="84"/>
      <x:c r="M125" s="84"/>
      <x:c r="N125" s="84"/>
      <x:c r="O125" s="84"/>
      <x:c r="P125" s="84"/>
      <x:c r="Q125" s="84"/>
      <x:c r="R125" s="84"/>
    </x:row>
    <x:row r="126" ht="25" customHeight="1">
      <x:c r="A126" s="86" t="str">
        <x:v>TOTAL ACTIVITÉ</x:v>
      </x:c>
      <x:c r="B126" s="86" t="str">
        <x:v>Actes</x:v>
      </x:c>
      <x:c r="C126" s="86"/>
      <x:c r="D126" s="86" t="n">
        <x:f>D25+D41+D57+D63+D69+D77+D85+D91+D97+D103+D121</x:f>
        <x:v>0</x:v>
      </x:c>
      <x:c r="E126" s="86" t="n">
        <x:f>E25+E41+E57+E63+E69+E77+E85+E91+E97+E103+E121</x:f>
        <x:v>0</x:v>
      </x:c>
      <x:c r="F126" s="86" t="n">
        <x:f>F25+F41+F57+F63+F69+F77+F85+F91+F97+F103+F121</x:f>
        <x:v>0</x:v>
      </x:c>
      <x:c r="G126" s="86" t="n">
        <x:f>G25+G41+G57+G63+G69+G77+G85+G91+G97+G103+G121</x:f>
        <x:v>0</x:v>
      </x:c>
      <x:c r="H126" s="86" t="n">
        <x:f>H25+H41+H57+H63+H69+H77+H85+H91+H97+H103+H121</x:f>
        <x:v>0</x:v>
      </x:c>
      <x:c r="I126" s="86" t="n">
        <x:f>I25+I41+I57+I63+I69+I77+I85+I91+I97+I103+I121</x:f>
        <x:v>0</x:v>
      </x:c>
      <x:c r="J126" s="86" t="n">
        <x:f>J25+J41+J57+J63+J69+J77+J85+J91+J97+J103+J121</x:f>
        <x:v>0</x:v>
      </x:c>
      <x:c r="K126" s="86" t="n">
        <x:f>K25+K41+K57+K63+K69+K77+K85+K91+K97+K103+K121</x:f>
        <x:v>0</x:v>
      </x:c>
      <x:c r="L126" s="86" t="n">
        <x:f>L25+L41+L57+L63+L69+L77+L85+L91+L97+L103+L121</x:f>
        <x:v>0</x:v>
      </x:c>
      <x:c r="M126" s="86" t="n">
        <x:f>M25+M41+M57+M63+M69+M77+M85+M91+M97+M103+M121</x:f>
        <x:v>0</x:v>
      </x:c>
      <x:c r="N126" s="86" t="n">
        <x:f>N25+N41+N57+N63+N69+N77+N85+N91+N97+N103+N121</x:f>
        <x:v>0</x:v>
      </x:c>
      <x:c r="O126" s="86" t="n">
        <x:f>O25+O41+O57+O63+O69+O77+O85+O91+O97+O103+O121</x:f>
        <x:v>0</x:v>
      </x:c>
      <x:c r="P126" s="86" t="n">
        <x:f>P25+P41+P57+P63+P69+P77+P85+P91+P97+P103+P121</x:f>
        <x:v>0</x:v>
      </x:c>
      <x:c r="Q126" s="86" t="n">
        <x:f>Q25+Q41+Q57+Q63+Q69+Q77+Q85+Q91+Q97+Q103+Q121</x:f>
        <x:v>0</x:v>
      </x:c>
      <x:c r="R126" s="86" t="n">
        <x:f>R25+R41+R57+R63+R69+R77+R85+R91+R97+R103+R121</x:f>
        <x:v>0</x:v>
      </x:c>
    </x:row>
    <x:row r="127" ht="25" customHeight="1">
      <x:c r="A127" s="86" t="str"/>
      <x:c r="B127" s="86" t="str">
        <x:v>Heures</x:v>
      </x:c>
      <x:c r="C127" s="86"/>
      <x:c r="D127" s="87" t="n">
        <x:f>D26+D42+D58+D64+D70+D78+D86+D92+D98+D104+D122</x:f>
        <x:v>0</x:v>
      </x:c>
      <x:c r="E127" s="87" t="n">
        <x:f>E26+E42+E58+E64+E70+E78+E86+E92+E98+E104+E122</x:f>
        <x:v>0</x:v>
      </x:c>
      <x:c r="F127" s="87" t="n">
        <x:f>F26+F42+F58+F64+F70+F78+F86+F92+F98+F104+F122</x:f>
        <x:v>0</x:v>
      </x:c>
      <x:c r="G127" s="87" t="n">
        <x:f>G26+G42+G58+G64+G70+G78+G86+G92+G98+G104+G122</x:f>
        <x:v>0</x:v>
      </x:c>
      <x:c r="H127" s="87" t="n">
        <x:f>H26+H42+H58+H64+H70+H78+H86+H92+H98+H104+H122</x:f>
        <x:v>0</x:v>
      </x:c>
      <x:c r="I127" s="87" t="n">
        <x:f>I26+I42+I58+I64+I70+I78+I86+I92+I98+I104+I122</x:f>
        <x:v>0</x:v>
      </x:c>
      <x:c r="J127" s="87" t="n">
        <x:f>J26+J42+J58+J64+J70+J78+J86+J92+J98+J104+J122</x:f>
        <x:v>0</x:v>
      </x:c>
      <x:c r="K127" s="87" t="n">
        <x:f>K26+K42+K58+K64+K70+K78+K86+K92+K98+K104+K122</x:f>
        <x:v>0</x:v>
      </x:c>
      <x:c r="L127" s="87" t="n">
        <x:f>L26+L42+L58+L64+L70+L78+L86+L92+L98+L104+L122</x:f>
        <x:v>0</x:v>
      </x:c>
      <x:c r="M127" s="87" t="n">
        <x:f>M26+M42+M58+M64+M70+M78+M86+M92+M98+M104+M122</x:f>
        <x:v>0</x:v>
      </x:c>
      <x:c r="N127" s="87" t="n">
        <x:f>N26+N42+N58+N64+N70+N78+N86+N92+N98+N104+N122</x:f>
        <x:v>0</x:v>
      </x:c>
      <x:c r="O127" s="87" t="n">
        <x:f>O26+O42+O58+O64+O70+O78+O86+O92+O98+O104+O122</x:f>
        <x:v>0</x:v>
      </x:c>
      <x:c r="P127" s="87" t="n">
        <x:f>P26+P42+P58+P64+P70+P78+P86+P92+P98+P104+P122</x:f>
        <x:v>0</x:v>
      </x:c>
      <x:c r="Q127" s="87" t="n">
        <x:f>Q26+Q42+Q58+Q64+Q70+Q78+Q86+Q92+Q98+Q104+Q122</x:f>
        <x:v>0</x:v>
      </x:c>
      <x:c r="R127" s="87" t="n">
        <x:f>R26+R42+R58+R64+R70+R78+R86+R92+R98+R104+R122</x:f>
        <x:v>0</x:v>
      </x:c>
    </x:row>
  </x:sheetData>
  <x:mergeCells>
    <x:mergeCell ref="A1:R1"/>
    <x:mergeCell ref="A2:R2"/>
    <x:mergeCell ref="A6:R6"/>
    <x:mergeCell ref="A28:R28"/>
    <x:mergeCell ref="A44:R44"/>
    <x:mergeCell ref="A60:R60"/>
    <x:mergeCell ref="A66:R66"/>
    <x:mergeCell ref="A72:R72"/>
    <x:mergeCell ref="A80:R80"/>
    <x:mergeCell ref="A88:R88"/>
    <x:mergeCell ref="A94:R94"/>
    <x:mergeCell ref="A100:R100"/>
    <x:mergeCell ref="A106:R106"/>
    <x:mergeCell ref="A125:R125"/>
  </x:mergeCells>
  <x:dataValidations count="74">
    <x:dataValidation type="decimal" sqref="D7:R7">
      <x:formula1>0</x:formula1>
    </x:dataValidation>
    <x:dataValidation type="decimal" sqref="D8:R8">
      <x:formula1>0</x:formula1>
    </x:dataValidation>
    <x:dataValidation type="decimal" sqref="D9:R9">
      <x:formula1>0</x:formula1>
    </x:dataValidation>
    <x:dataValidation type="decimal" sqref="D10:R10">
      <x:formula1>0</x:formula1>
    </x:dataValidation>
    <x:dataValidation type="decimal" sqref="D11:R11">
      <x:formula1>0</x:formula1>
    </x:dataValidation>
    <x:dataValidation type="decimal" sqref="D12:R12">
      <x:formula1>0</x:formula1>
    </x:dataValidation>
    <x:dataValidation type="decimal" sqref="D13:R13">
      <x:formula1>0</x:formula1>
    </x:dataValidation>
    <x:dataValidation type="decimal" sqref="D14:R14">
      <x:formula1>0</x:formula1>
    </x:dataValidation>
    <x:dataValidation type="decimal" sqref="D15:R15">
      <x:formula1>0</x:formula1>
    </x:dataValidation>
    <x:dataValidation type="decimal" sqref="D16:R16">
      <x:formula1>0</x:formula1>
    </x:dataValidation>
    <x:dataValidation type="decimal" sqref="D17:R17">
      <x:formula1>0</x:formula1>
    </x:dataValidation>
    <x:dataValidation type="decimal" sqref="D18:R18">
      <x:formula1>0</x:formula1>
    </x:dataValidation>
    <x:dataValidation type="decimal" sqref="D19:R19">
      <x:formula1>0</x:formula1>
    </x:dataValidation>
    <x:dataValidation type="decimal" sqref="D20:R20">
      <x:formula1>0</x:formula1>
    </x:dataValidation>
    <x:dataValidation type="decimal" sqref="D21:R21">
      <x:formula1>0</x:formula1>
    </x:dataValidation>
    <x:dataValidation type="decimal" sqref="D22:R22">
      <x:formula1>0</x:formula1>
    </x:dataValidation>
    <x:dataValidation type="decimal" sqref="D23:R23">
      <x:formula1>0</x:formula1>
    </x:dataValidation>
    <x:dataValidation type="decimal" sqref="D24:R24">
      <x:formula1>0</x:formula1>
    </x:dataValidation>
    <x:dataValidation type="decimal" sqref="D29:R29">
      <x:formula1>0</x:formula1>
    </x:dataValidation>
    <x:dataValidation type="decimal" sqref="D30:R30">
      <x:formula1>0</x:formula1>
    </x:dataValidation>
    <x:dataValidation type="decimal" sqref="D31:R31">
      <x:formula1>0</x:formula1>
    </x:dataValidation>
    <x:dataValidation type="decimal" sqref="D32:R32">
      <x:formula1>0</x:formula1>
    </x:dataValidation>
    <x:dataValidation type="decimal" sqref="D33:R33">
      <x:formula1>0</x:formula1>
    </x:dataValidation>
    <x:dataValidation type="decimal" sqref="D34:R34">
      <x:formula1>0</x:formula1>
    </x:dataValidation>
    <x:dataValidation type="decimal" sqref="D35:R35">
      <x:formula1>0</x:formula1>
    </x:dataValidation>
    <x:dataValidation type="decimal" sqref="D36:R36">
      <x:formula1>0</x:formula1>
    </x:dataValidation>
    <x:dataValidation type="decimal" sqref="D37:R37">
      <x:formula1>0</x:formula1>
    </x:dataValidation>
    <x:dataValidation type="decimal" sqref="D38:R38">
      <x:formula1>0</x:formula1>
    </x:dataValidation>
    <x:dataValidation type="decimal" sqref="D39:R39">
      <x:formula1>0</x:formula1>
    </x:dataValidation>
    <x:dataValidation type="decimal" sqref="D40:R40">
      <x:formula1>0</x:formula1>
    </x:dataValidation>
    <x:dataValidation type="decimal" sqref="D45:R45">
      <x:formula1>0</x:formula1>
    </x:dataValidation>
    <x:dataValidation type="decimal" sqref="D46:R46">
      <x:formula1>0</x:formula1>
    </x:dataValidation>
    <x:dataValidation type="decimal" sqref="D47:R47">
      <x:formula1>0</x:formula1>
    </x:dataValidation>
    <x:dataValidation type="decimal" sqref="D48:R48">
      <x:formula1>0</x:formula1>
    </x:dataValidation>
    <x:dataValidation type="decimal" sqref="D49:R49">
      <x:formula1>0</x:formula1>
    </x:dataValidation>
    <x:dataValidation type="decimal" sqref="D50:R50">
      <x:formula1>0</x:formula1>
    </x:dataValidation>
    <x:dataValidation type="decimal" sqref="D51:R51">
      <x:formula1>0</x:formula1>
    </x:dataValidation>
    <x:dataValidation type="decimal" sqref="D52:R52">
      <x:formula1>0</x:formula1>
    </x:dataValidation>
    <x:dataValidation type="decimal" sqref="D53:R53">
      <x:formula1>0</x:formula1>
    </x:dataValidation>
    <x:dataValidation type="decimal" sqref="D54:R54">
      <x:formula1>0</x:formula1>
    </x:dataValidation>
    <x:dataValidation type="decimal" sqref="D55:R55">
      <x:formula1>0</x:formula1>
    </x:dataValidation>
    <x:dataValidation type="decimal" sqref="D56:R56">
      <x:formula1>0</x:formula1>
    </x:dataValidation>
    <x:dataValidation type="decimal" sqref="D61:R61">
      <x:formula1>0</x:formula1>
    </x:dataValidation>
    <x:dataValidation type="decimal" sqref="D62:R62">
      <x:formula1>0</x:formula1>
    </x:dataValidation>
    <x:dataValidation type="decimal" sqref="D67:R67">
      <x:formula1>0</x:formula1>
    </x:dataValidation>
    <x:dataValidation type="decimal" sqref="D68:R68">
      <x:formula1>0</x:formula1>
    </x:dataValidation>
    <x:dataValidation type="decimal" sqref="D73:R73">
      <x:formula1>0</x:formula1>
    </x:dataValidation>
    <x:dataValidation type="decimal" sqref="D74:R74">
      <x:formula1>0</x:formula1>
    </x:dataValidation>
    <x:dataValidation type="decimal" sqref="D75:R75">
      <x:formula1>0</x:formula1>
    </x:dataValidation>
    <x:dataValidation type="decimal" sqref="D76:R76">
      <x:formula1>0</x:formula1>
    </x:dataValidation>
    <x:dataValidation type="decimal" sqref="D81:R81">
      <x:formula1>0</x:formula1>
    </x:dataValidation>
    <x:dataValidation type="decimal" sqref="D82:R82">
      <x:formula1>0</x:formula1>
    </x:dataValidation>
    <x:dataValidation type="decimal" sqref="D83:R83">
      <x:formula1>0</x:formula1>
    </x:dataValidation>
    <x:dataValidation type="decimal" sqref="D84:R84">
      <x:formula1>0</x:formula1>
    </x:dataValidation>
    <x:dataValidation type="decimal" sqref="D89:R89">
      <x:formula1>0</x:formula1>
    </x:dataValidation>
    <x:dataValidation type="decimal" sqref="D90:R90">
      <x:formula1>0</x:formula1>
    </x:dataValidation>
    <x:dataValidation type="decimal" sqref="D95:R95">
      <x:formula1>0</x:formula1>
    </x:dataValidation>
    <x:dataValidation type="decimal" sqref="D96:R96">
      <x:formula1>0</x:formula1>
    </x:dataValidation>
    <x:dataValidation type="decimal" sqref="D101:R101">
      <x:formula1>0</x:formula1>
    </x:dataValidation>
    <x:dataValidation type="decimal" sqref="D102:R102">
      <x:formula1>0</x:formula1>
    </x:dataValidation>
    <x:dataValidation type="decimal" sqref="D107:R107">
      <x:formula1>0</x:formula1>
    </x:dataValidation>
    <x:dataValidation type="decimal" sqref="D108:R108">
      <x:formula1>0</x:formula1>
    </x:dataValidation>
    <x:dataValidation type="decimal" sqref="D109:R109">
      <x:formula1>0</x:formula1>
    </x:dataValidation>
    <x:dataValidation type="decimal" sqref="D110:R110">
      <x:formula1>0</x:formula1>
    </x:dataValidation>
    <x:dataValidation type="decimal" sqref="D111:R111">
      <x:formula1>0</x:formula1>
    </x:dataValidation>
    <x:dataValidation type="decimal" sqref="D112:R112">
      <x:formula1>0</x:formula1>
    </x:dataValidation>
    <x:dataValidation type="decimal" sqref="D113:R113">
      <x:formula1>0</x:formula1>
    </x:dataValidation>
    <x:dataValidation type="decimal" sqref="D114:R114">
      <x:formula1>0</x:formula1>
    </x:dataValidation>
    <x:dataValidation type="decimal" sqref="D115:R115">
      <x:formula1>0</x:formula1>
    </x:dataValidation>
    <x:dataValidation type="decimal" sqref="D116:R116">
      <x:formula1>0</x:formula1>
    </x:dataValidation>
    <x:dataValidation type="decimal" sqref="D117:R117">
      <x:formula1>0</x:formula1>
    </x:dataValidation>
    <x:dataValidation type="decimal" sqref="D118:R118">
      <x:formula1>0</x:formula1>
    </x:dataValidation>
    <x:dataValidation type="decimal" sqref="D119:R119">
      <x:formula1>0</x:formula1>
    </x:dataValidation>
    <x:dataValidation type="decimal" sqref="D120:R120">
      <x:formula1>0</x:formula1>
    </x:dataValidation>
  </x:dataValidations>
  <x:pageMargins left="0.7" right="0.7" top="0.75" bottom="0.75" header="0.3" footer="0.3"/>
</x:worksheet>
</file>