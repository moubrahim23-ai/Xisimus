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 agents" sheetId="1" state="visible" r:id="rId3"/>
    <sheet name="Par semaine" sheetId="2" state="visible" r:id="rId4"/>
    <sheet name="Par mois" sheetId="3" state="visible" r:id="rId5"/>
    <sheet name="Données" sheetId="4" state="visible" r:id="rId6"/>
    <sheet name="Agents" sheetId="5" state="visible" r:id="rId7"/>
  </sheets>
  <definedNames>
    <definedName function="false" hidden="true" localSheetId="3" name="_xlnm._FilterDatabase" vbProcedure="false">Données!$A$1:$AG$1219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<sst xmlns="http://schemas.openxmlformats.org/spreadsheetml/2006/main" count="3457" uniqueCount="133">
  <si>
    <t xml:space="preserve">Synthèse d'assiduité par agent</t>
  </si>
  <si>
    <t xml:space="preserve">Du</t>
  </si>
  <si>
    <t xml:space="preserve">← Période modifiable : saisir une date pour filtrer toutes les colonnes (par défaut : tout l'historique).</t>
  </si>
  <si>
    <t xml:space="preserve">Au</t>
  </si>
  <si>
    <t xml:space="preserve">Agent</t>
  </si>
  <si>
    <t xml:space="preserve">Jours planifiés</t>
  </si>
  <si>
    <t xml:space="preserve">Jours d'absence</t>
  </si>
  <si>
    <t xml:space="preserve">Taux d'absentéisme (jours)</t>
  </si>
  <si>
    <t xml:space="preserve">Nb retards</t>
  </si>
  <si>
    <t xml:space="preserve">Total retards</t>
  </si>
  <si>
    <t xml:space="preserve">Nb départs anticipés</t>
  </si>
  <si>
    <t xml:space="preserve">Total départs anticipés</t>
  </si>
  <si>
    <t xml:space="preserve">Hr planifiées</t>
  </si>
  <si>
    <t xml:space="preserve">Hr adhérées</t>
  </si>
  <si>
    <t xml:space="preserve">Taux d'adhérence</t>
  </si>
  <si>
    <t xml:space="preserve">Hr absence totales</t>
  </si>
  <si>
    <t xml:space="preserve">Taux d'absentéisme (heures)</t>
  </si>
  <si>
    <t xml:space="preserve">Heures sup</t>
  </si>
  <si>
    <t xml:space="preserve">Jours congé payé</t>
  </si>
  <si>
    <t xml:space="preserve">Jours congé sans solde</t>
  </si>
  <si>
    <t xml:space="preserve">Jours congé spécial</t>
  </si>
  <si>
    <t xml:space="preserve">Jours fériés</t>
  </si>
  <si>
    <t xml:space="preserve">TOTAL</t>
  </si>
  <si>
    <t xml:space="preserve">Notes</t>
  </si>
  <si>
    <t xml:space="preserve">• Absence = jour planifié (Hr planifiée &gt; 0) sans heure de début réalisée. Adhérence = Hr adhérées / Hr planifiées.</t>
  </si>
  <si>
    <t xml:space="preserve">• Congés : valeurs d'origine 1/3 de jour = 8 h ; les colonnes « Jours » = somme × 3 (1 = journée complète, 0,5 = demi-journée).</t>
  </si>
  <si>
    <t xml:space="preserve">• Les durées sont au format [h]:mm (heures cumulées, pas limitées à 24 h).</t>
  </si>
  <si>
    <t xml:space="preserve">• Feuille Données : cellules bleues = saisies issues des fichiers hebdomadaires ; cellules noires = formules (reprises à l'identique de vos fichiers).</t>
  </si>
  <si>
    <t xml:space="preserve">• Ajouter une semaine : coller les lignes à la suite dans Données (colonnes bleues), recopier les formules vers le bas ; les synthèses se mettent à jour.</t>
  </si>
  <si>
    <t xml:space="preserve">Assiduité par semaine</t>
  </si>
  <si>
    <t xml:space="preserve">Tous</t>
  </si>
  <si>
    <t xml:space="preserve">← Choisir « Tous » ou un agent dans la liste.</t>
  </si>
  <si>
    <t xml:space="preserve">Critère</t>
  </si>
  <si>
    <t xml:space="preserve">Semaine</t>
  </si>
  <si>
    <t xml:space="preserve">Début</t>
  </si>
  <si>
    <t xml:space="preserve">Fin</t>
  </si>
  <si>
    <t xml:space="preserve">Assiduité par mois</t>
  </si>
  <si>
    <t xml:space="preserve">Mois</t>
  </si>
  <si>
    <t xml:space="preserve">Clé semaine (ISO)</t>
  </si>
  <si>
    <t xml:space="preserve">Nom De l'agent</t>
  </si>
  <si>
    <t xml:space="preserve">Hr début shift Réalisée</t>
  </si>
  <si>
    <t xml:space="preserve">Hr début shift Planifiée</t>
  </si>
  <si>
    <t xml:space="preserve">Hr fin shift Réalisée</t>
  </si>
  <si>
    <t xml:space="preserve">Hr Fin shift Planifiée</t>
  </si>
  <si>
    <t xml:space="preserve">Durée de la Pause Dej</t>
  </si>
  <si>
    <t xml:space="preserve">Dépassement des pauses</t>
  </si>
  <si>
    <t xml:space="preserve">Retard Debut de shift</t>
  </si>
  <si>
    <t xml:space="preserve">Retard Dej</t>
  </si>
  <si>
    <t xml:space="preserve">Somme des retards</t>
  </si>
  <si>
    <t xml:space="preserve">Départs Anticipés</t>
  </si>
  <si>
    <t xml:space="preserve">Absences</t>
  </si>
  <si>
    <t xml:space="preserve">Hr Adhérée</t>
  </si>
  <si>
    <t xml:space="preserve">Hr Planifiée</t>
  </si>
  <si>
    <t xml:space="preserve">Segment</t>
  </si>
  <si>
    <t xml:space="preserve">Date</t>
  </si>
  <si>
    <t xml:space="preserve">Hr Abs Pure</t>
  </si>
  <si>
    <t xml:space="preserve">Hr Abs Totales</t>
  </si>
  <si>
    <t xml:space="preserve">Année</t>
  </si>
  <si>
    <t xml:space="preserve">VTO</t>
  </si>
  <si>
    <t xml:space="preserve">Heures SUP</t>
  </si>
  <si>
    <t xml:space="preserve">Team</t>
  </si>
  <si>
    <t xml:space="preserve">Business</t>
  </si>
  <si>
    <t xml:space="preserve">Fichier source</t>
  </si>
  <si>
    <t xml:space="preserve">Congé payé</t>
  </si>
  <si>
    <t xml:space="preserve">Congé sans solde</t>
  </si>
  <si>
    <t xml:space="preserve">Congé spécial</t>
  </si>
  <si>
    <t xml:space="preserve">Jour férié</t>
  </si>
  <si>
    <t xml:space="preserve">Commentaire</t>
  </si>
  <si>
    <t xml:space="preserve">Plannif spécial</t>
  </si>
  <si>
    <t xml:space="preserve">BENCHRIF HAFSSA</t>
  </si>
  <si>
    <t xml:space="preserve">S47-2025</t>
  </si>
  <si>
    <t xml:space="preserve">LISSAOUI HIBA</t>
  </si>
  <si>
    <t xml:space="preserve">RMAIDI IMAD</t>
  </si>
  <si>
    <t xml:space="preserve">HAMDANI MOHAMED</t>
  </si>
  <si>
    <t xml:space="preserve">OFF</t>
  </si>
  <si>
    <t xml:space="preserve">S48-2025</t>
  </si>
  <si>
    <t xml:space="preserve">S49-2025</t>
  </si>
  <si>
    <t xml:space="preserve">S50-2025</t>
  </si>
  <si>
    <t xml:space="preserve">S51-2025</t>
  </si>
  <si>
    <t xml:space="preserve">S52-2025</t>
  </si>
  <si>
    <t xml:space="preserve">S01-2026</t>
  </si>
  <si>
    <t xml:space="preserve">Férié</t>
  </si>
  <si>
    <t xml:space="preserve">S02-2026</t>
  </si>
  <si>
    <t xml:space="preserve">Congé</t>
  </si>
  <si>
    <t xml:space="preserve">S03-2026</t>
  </si>
  <si>
    <t xml:space="preserve">S04-2026</t>
  </si>
  <si>
    <t xml:space="preserve">S05-2026</t>
  </si>
  <si>
    <t xml:space="preserve">S06-2026</t>
  </si>
  <si>
    <t xml:space="preserve">S07-2026</t>
  </si>
  <si>
    <t xml:space="preserve">S08-2026</t>
  </si>
  <si>
    <t xml:space="preserve">S09-2026</t>
  </si>
  <si>
    <t xml:space="preserve">Sans déjeuner</t>
  </si>
  <si>
    <t xml:space="preserve">S10-2026</t>
  </si>
  <si>
    <t xml:space="preserve">S11-2026</t>
  </si>
  <si>
    <t xml:space="preserve">S12-2026</t>
  </si>
  <si>
    <t xml:space="preserve">S13-2026</t>
  </si>
  <si>
    <t xml:space="preserve">S14-2026</t>
  </si>
  <si>
    <t xml:space="preserve">S15-2026</t>
  </si>
  <si>
    <t xml:space="preserve">S16-2026</t>
  </si>
  <si>
    <t xml:space="preserve">S17-2026</t>
  </si>
  <si>
    <t xml:space="preserve">S18-2026</t>
  </si>
  <si>
    <t xml:space="preserve">S19-2026</t>
  </si>
  <si>
    <t xml:space="preserve">S20-2026</t>
  </si>
  <si>
    <t xml:space="preserve">S21-2026</t>
  </si>
  <si>
    <t xml:space="preserve">S22-2026</t>
  </si>
  <si>
    <t xml:space="preserve">S23-2026</t>
  </si>
  <si>
    <t xml:space="preserve">S24-2026</t>
  </si>
  <si>
    <t xml:space="preserve">S25-2026</t>
  </si>
  <si>
    <t xml:space="preserve">S26-2026</t>
  </si>
  <si>
    <t xml:space="preserve">S27-2026</t>
  </si>
  <si>
    <t xml:space="preserve">S28-2026</t>
  </si>
  <si>
    <t xml:space="preserve">S29-2026</t>
  </si>
  <si>
    <t xml:space="preserve">S30-2026</t>
  </si>
  <si>
    <t xml:space="preserve">S31-2026</t>
  </si>
  <si>
    <t xml:space="preserve">S32-2026</t>
  </si>
  <si>
    <t xml:space="preserve">S33-2026</t>
  </si>
  <si>
    <t xml:space="preserve">S34-2026</t>
  </si>
  <si>
    <t xml:space="preserve">S35-2026</t>
  </si>
  <si>
    <t xml:space="preserve">S36-2026</t>
  </si>
  <si>
    <t xml:space="preserve">S37-2026</t>
  </si>
  <si>
    <t xml:space="preserve">S38-2026</t>
  </si>
  <si>
    <t xml:space="preserve">S39-2026</t>
  </si>
  <si>
    <t xml:space="preserve">S40-2026</t>
  </si>
  <si>
    <t xml:space="preserve">S41-2026</t>
  </si>
  <si>
    <t xml:space="preserve">JEBBALI YOUSSEF</t>
  </si>
  <si>
    <t xml:space="preserve">S42-2026</t>
  </si>
  <si>
    <t xml:space="preserve">S43-2026</t>
  </si>
  <si>
    <t xml:space="preserve">S44-2026</t>
  </si>
  <si>
    <t xml:space="preserve">Nom de l'agent</t>
  </si>
  <si>
    <t xml:space="preserve">Table de référence : ajouter ici tout nouvel agent (Segment/Team/Business alimentent la feuille Données par RECHERCHEV).</t>
  </si>
  <si>
    <t xml:space="preserve">Accessibilité</t>
  </si>
  <si>
    <t xml:space="preserve">OUBRAHIM Mohammed</t>
  </si>
  <si>
    <t xml:space="preserve">Credit Mutuel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</si>
</sst>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.0%"/>
    <numFmt numFmtId="167" formatCode="[h]:mm"/>
    <numFmt numFmtId="168" formatCode="0.0"/>
    <numFmt numFmtId="169" formatCode="0%"/>
    <numFmt numFmtId="170" formatCode="hh:mm"/>
    <numFmt numFmtId="171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Adhérence et absentéisme (heures) par semaine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'Par semaine'!L5</c:f>
              <c:strCache>
                <c:ptCount val="1"/>
                <c:pt idx="0">
                  <c:v>Taux d'adhérence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 semaine'!$A$6:$A$55</c:f>
              <c:strCache>
                <c:ptCount val="50"/>
                <c:pt idx="0">
                  <c:v>2025-S47</c:v>
                </c:pt>
                <c:pt idx="1">
                  <c:v>2025-S48</c:v>
                </c:pt>
                <c:pt idx="2">
                  <c:v>2025-S49</c:v>
                </c:pt>
                <c:pt idx="3">
                  <c:v>2025-S50</c:v>
                </c:pt>
                <c:pt idx="4">
                  <c:v>2025-S51</c:v>
                </c:pt>
                <c:pt idx="5">
                  <c:v>2025-S52</c:v>
                </c:pt>
                <c:pt idx="6">
                  <c:v>2026-S01</c:v>
                </c:pt>
                <c:pt idx="7">
                  <c:v>2026-S02</c:v>
                </c:pt>
                <c:pt idx="8">
                  <c:v>2026-S03</c:v>
                </c:pt>
                <c:pt idx="9">
                  <c:v>2026-S04</c:v>
                </c:pt>
                <c:pt idx="10">
                  <c:v>2026-S05</c:v>
                </c:pt>
                <c:pt idx="11">
                  <c:v>2026-S06</c:v>
                </c:pt>
                <c:pt idx="12">
                  <c:v>2026-S07</c:v>
                </c:pt>
                <c:pt idx="13">
                  <c:v>2026-S08</c:v>
                </c:pt>
                <c:pt idx="14">
                  <c:v>2026-S09</c:v>
                </c:pt>
                <c:pt idx="15">
                  <c:v>2026-S10</c:v>
                </c:pt>
                <c:pt idx="16">
                  <c:v>2026-S11</c:v>
                </c:pt>
                <c:pt idx="17">
                  <c:v>2026-S12</c:v>
                </c:pt>
                <c:pt idx="18">
                  <c:v>2026-S13</c:v>
                </c:pt>
                <c:pt idx="19">
                  <c:v>2026-S14</c:v>
                </c:pt>
                <c:pt idx="20">
                  <c:v>2026-S15</c:v>
                </c:pt>
                <c:pt idx="21">
                  <c:v>2026-S16</c:v>
                </c:pt>
                <c:pt idx="22">
                  <c:v>2026-S17</c:v>
                </c:pt>
                <c:pt idx="23">
                  <c:v>2026-S18</c:v>
                </c:pt>
                <c:pt idx="24">
                  <c:v>2026-S19</c:v>
                </c:pt>
                <c:pt idx="25">
                  <c:v>2026-S20</c:v>
                </c:pt>
                <c:pt idx="26">
                  <c:v>2026-S21</c:v>
                </c:pt>
                <c:pt idx="27">
                  <c:v>2026-S22</c:v>
                </c:pt>
                <c:pt idx="28">
                  <c:v>2026-S23</c:v>
                </c:pt>
                <c:pt idx="29">
                  <c:v>2026-S24</c:v>
                </c:pt>
                <c:pt idx="30">
                  <c:v>2026-S25</c:v>
                </c:pt>
                <c:pt idx="31">
                  <c:v>2026-S26</c:v>
                </c:pt>
                <c:pt idx="32">
                  <c:v>2026-S27</c:v>
                </c:pt>
                <c:pt idx="33">
                  <c:v>2026-S28</c:v>
                </c:pt>
                <c:pt idx="34">
                  <c:v>2026-S29</c:v>
                </c:pt>
                <c:pt idx="35">
                  <c:v>2026-S30</c:v>
                </c:pt>
                <c:pt idx="36">
                  <c:v>2026-S31</c:v>
                </c:pt>
                <c:pt idx="37">
                  <c:v>2026-S32</c:v>
                </c:pt>
                <c:pt idx="38">
                  <c:v>2026-S33</c:v>
                </c:pt>
                <c:pt idx="39">
                  <c:v>2026-S34</c:v>
                </c:pt>
                <c:pt idx="40">
                  <c:v>2026-S35</c:v>
                </c:pt>
                <c:pt idx="41">
                  <c:v>2026-S36</c:v>
                </c:pt>
                <c:pt idx="42">
                  <c:v>2026-S37</c:v>
                </c:pt>
                <c:pt idx="43">
                  <c:v>2026-S38</c:v>
                </c:pt>
                <c:pt idx="44">
                  <c:v>2026-S39</c:v>
                </c:pt>
                <c:pt idx="45">
                  <c:v>2026-S40</c:v>
                </c:pt>
                <c:pt idx="46">
                  <c:v>2026-S41</c:v>
                </c:pt>
                <c:pt idx="47">
                  <c:v>2026-S42</c:v>
                </c:pt>
                <c:pt idx="48">
                  <c:v>2026-S43</c:v>
                </c:pt>
                <c:pt idx="49">
                  <c:v>2026-S44</c:v>
                </c:pt>
              </c:strCache>
            </c:strRef>
          </c:cat>
          <c:val>
            <c:numRef>
              <c:f>'Par semaine'!$L$6:$L$55</c:f>
              <c:numCache>
                <c:formatCode>0.0%</c:formatCode>
                <c:ptCount val="50"/>
                <c:pt idx="0">
                  <c:v>1</c:v>
                </c:pt>
                <c:pt idx="1">
                  <c:v>0.999621212121212</c:v>
                </c:pt>
                <c:pt idx="2">
                  <c:v>0.999526515151515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0.999503968253968</c:v>
                </c:pt>
                <c:pt idx="8">
                  <c:v>0.992140151515152</c:v>
                </c:pt>
                <c:pt idx="9">
                  <c:v>0.947727272727273</c:v>
                </c:pt>
                <c:pt idx="10">
                  <c:v>1</c:v>
                </c:pt>
                <c:pt idx="11">
                  <c:v>0.994602272727273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0.75</c:v>
                </c:pt>
                <c:pt idx="21">
                  <c:v>1</c:v>
                </c:pt>
                <c:pt idx="22">
                  <c:v>0.936170212765958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0.930808080808081</c:v>
                </c:pt>
                <c:pt idx="27">
                  <c:v>0.99968253968254</c:v>
                </c:pt>
                <c:pt idx="28">
                  <c:v>0.998611111111111</c:v>
                </c:pt>
                <c:pt idx="29">
                  <c:v>1</c:v>
                </c:pt>
                <c:pt idx="30">
                  <c:v>1</c:v>
                </c:pt>
                <c:pt idx="31">
                  <c:v>0.993560606060606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0.997348484848485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0.997853535353535</c:v>
                </c:pt>
                <c:pt idx="44">
                  <c:v>1</c:v>
                </c:pt>
                <c:pt idx="45">
                  <c:v>0.996590909090909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0.808383233532934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'Par semaine'!N5</c:f>
              <c:strCache>
                <c:ptCount val="1"/>
                <c:pt idx="0">
                  <c:v>Taux d'absentéisme (heures)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 semaine'!$A$6:$A$55</c:f>
              <c:strCache>
                <c:ptCount val="50"/>
                <c:pt idx="0">
                  <c:v>2025-S47</c:v>
                </c:pt>
                <c:pt idx="1">
                  <c:v>2025-S48</c:v>
                </c:pt>
                <c:pt idx="2">
                  <c:v>2025-S49</c:v>
                </c:pt>
                <c:pt idx="3">
                  <c:v>2025-S50</c:v>
                </c:pt>
                <c:pt idx="4">
                  <c:v>2025-S51</c:v>
                </c:pt>
                <c:pt idx="5">
                  <c:v>2025-S52</c:v>
                </c:pt>
                <c:pt idx="6">
                  <c:v>2026-S01</c:v>
                </c:pt>
                <c:pt idx="7">
                  <c:v>2026-S02</c:v>
                </c:pt>
                <c:pt idx="8">
                  <c:v>2026-S03</c:v>
                </c:pt>
                <c:pt idx="9">
                  <c:v>2026-S04</c:v>
                </c:pt>
                <c:pt idx="10">
                  <c:v>2026-S05</c:v>
                </c:pt>
                <c:pt idx="11">
                  <c:v>2026-S06</c:v>
                </c:pt>
                <c:pt idx="12">
                  <c:v>2026-S07</c:v>
                </c:pt>
                <c:pt idx="13">
                  <c:v>2026-S08</c:v>
                </c:pt>
                <c:pt idx="14">
                  <c:v>2026-S09</c:v>
                </c:pt>
                <c:pt idx="15">
                  <c:v>2026-S10</c:v>
                </c:pt>
                <c:pt idx="16">
                  <c:v>2026-S11</c:v>
                </c:pt>
                <c:pt idx="17">
                  <c:v>2026-S12</c:v>
                </c:pt>
                <c:pt idx="18">
                  <c:v>2026-S13</c:v>
                </c:pt>
                <c:pt idx="19">
                  <c:v>2026-S14</c:v>
                </c:pt>
                <c:pt idx="20">
                  <c:v>2026-S15</c:v>
                </c:pt>
                <c:pt idx="21">
                  <c:v>2026-S16</c:v>
                </c:pt>
                <c:pt idx="22">
                  <c:v>2026-S17</c:v>
                </c:pt>
                <c:pt idx="23">
                  <c:v>2026-S18</c:v>
                </c:pt>
                <c:pt idx="24">
                  <c:v>2026-S19</c:v>
                </c:pt>
                <c:pt idx="25">
                  <c:v>2026-S20</c:v>
                </c:pt>
                <c:pt idx="26">
                  <c:v>2026-S21</c:v>
                </c:pt>
                <c:pt idx="27">
                  <c:v>2026-S22</c:v>
                </c:pt>
                <c:pt idx="28">
                  <c:v>2026-S23</c:v>
                </c:pt>
                <c:pt idx="29">
                  <c:v>2026-S24</c:v>
                </c:pt>
                <c:pt idx="30">
                  <c:v>2026-S25</c:v>
                </c:pt>
                <c:pt idx="31">
                  <c:v>2026-S26</c:v>
                </c:pt>
                <c:pt idx="32">
                  <c:v>2026-S27</c:v>
                </c:pt>
                <c:pt idx="33">
                  <c:v>2026-S28</c:v>
                </c:pt>
                <c:pt idx="34">
                  <c:v>2026-S29</c:v>
                </c:pt>
                <c:pt idx="35">
                  <c:v>2026-S30</c:v>
                </c:pt>
                <c:pt idx="36">
                  <c:v>2026-S31</c:v>
                </c:pt>
                <c:pt idx="37">
                  <c:v>2026-S32</c:v>
                </c:pt>
                <c:pt idx="38">
                  <c:v>2026-S33</c:v>
                </c:pt>
                <c:pt idx="39">
                  <c:v>2026-S34</c:v>
                </c:pt>
                <c:pt idx="40">
                  <c:v>2026-S35</c:v>
                </c:pt>
                <c:pt idx="41">
                  <c:v>2026-S36</c:v>
                </c:pt>
                <c:pt idx="42">
                  <c:v>2026-S37</c:v>
                </c:pt>
                <c:pt idx="43">
                  <c:v>2026-S38</c:v>
                </c:pt>
                <c:pt idx="44">
                  <c:v>2026-S39</c:v>
                </c:pt>
                <c:pt idx="45">
                  <c:v>2026-S40</c:v>
                </c:pt>
                <c:pt idx="46">
                  <c:v>2026-S41</c:v>
                </c:pt>
                <c:pt idx="47">
                  <c:v>2026-S42</c:v>
                </c:pt>
                <c:pt idx="48">
                  <c:v>2026-S43</c:v>
                </c:pt>
                <c:pt idx="49">
                  <c:v>2026-S44</c:v>
                </c:pt>
              </c:strCache>
            </c:strRef>
          </c:cat>
          <c:val>
            <c:numRef>
              <c:f>'Par semaine'!$N$6:$N$55</c:f>
              <c:numCache>
                <c:formatCode>0.0%</c:formatCode>
                <c:ptCount val="50"/>
                <c:pt idx="0">
                  <c:v>0</c:v>
                </c:pt>
                <c:pt idx="1">
                  <c:v>0.000378787878787879</c:v>
                </c:pt>
                <c:pt idx="2">
                  <c:v>0.000473484848484849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0.000496031746031746</c:v>
                </c:pt>
                <c:pt idx="8">
                  <c:v>0.00785984848484849</c:v>
                </c:pt>
                <c:pt idx="9">
                  <c:v>0.0522727272727273</c:v>
                </c:pt>
                <c:pt idx="10">
                  <c:v>0</c:v>
                </c:pt>
                <c:pt idx="11">
                  <c:v>0.00539772727272727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0.25</c:v>
                </c:pt>
                <c:pt idx="21">
                  <c:v>0</c:v>
                </c:pt>
                <c:pt idx="22">
                  <c:v>0.0638297872340426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0.0691919191919192</c:v>
                </c:pt>
                <c:pt idx="27">
                  <c:v>0.000317460317460317</c:v>
                </c:pt>
                <c:pt idx="28">
                  <c:v>0.00138888888888889</c:v>
                </c:pt>
                <c:pt idx="29">
                  <c:v>0</c:v>
                </c:pt>
                <c:pt idx="30">
                  <c:v>0</c:v>
                </c:pt>
                <c:pt idx="31">
                  <c:v>0.00643939393939394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0.00265151515151515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0.00214646464646465</c:v>
                </c:pt>
                <c:pt idx="44">
                  <c:v>0</c:v>
                </c:pt>
                <c:pt idx="45">
                  <c:v>0.00340909090909091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0.191616766467066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99587"/>
        <c:axId val="44326541"/>
      </c:lineChart>
      <c:catAx>
        <c:axId val="39995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26541"/>
        <c:crosses val="autoZero"/>
        <c:auto val="1"/>
        <c:lblAlgn val="ctr"/>
        <c:lblOffset val="100"/>
        <c:noMultiLvlLbl val="0"/>
      </c:catAx>
      <c:valAx>
        <c:axId val="443265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95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3</xdr:row>
      <xdr:rowOff>160920</xdr:rowOff>
    </xdr:from>
    <xdr:to>
      <xdr:col>31</xdr:col>
      <xdr:colOff>187200</xdr:colOff>
      <xdr:row>16</xdr:row>
      <xdr:rowOff>182880</xdr:rowOff>
    </xdr:to>
    <xdr:graphicFrame>
      <xdr:nvGraphicFramePr>
        <xdr:cNvPr id="0" name="Chart 1"/>
        <xdr:cNvGraphicFramePr/>
      </xdr:nvGraphicFramePr>
      <xdr:xfrm>
        <a:off x="14708520" y="76212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8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f aca="false">MIN(Données!$Q$2:$Q$5000)</f>
        <v>45982</v>
      </c>
      <c r="C2" s="4" t="s">
        <v>2</v>
      </c>
    </row>
    <row r="3" customFormat="false" ht="15" hidden="false" customHeight="false" outlineLevel="0" collapsed="false">
      <c r="A3" s="2" t="s">
        <v>3</v>
      </c>
      <c r="B3" s="3" t="n">
        <f aca="false">MAX(Données!$Q$2:$Q$5000)</f>
        <v>46327</v>
      </c>
    </row>
    <row r="5" customFormat="false" ht="45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</row>
    <row r="6" customFormat="false" ht="15" hidden="false" customHeight="false" outlineLevel="0" collapsed="false">
      <c r="A6" s="6" t="str">
        <f aca="false">Agents!A2</f>
        <v>BENCHRIF HAFSSA</v>
      </c>
      <c r="B6" s="6" t="n">
        <f aca="false">COUNTIFS(Données!$B$2:$B$5000,$A6,Données!$Q$2:$Q$5000,"&gt;="&amp;$B$2,Données!$Q$2:$Q$5000,"&lt;="&amp;$B$3,Données!$O$2:$O$5000,"&gt;0")</f>
        <v>102</v>
      </c>
      <c r="C6" s="6" t="n">
        <f aca="false">COUNTIFS(Données!$B$2:$B$5000,$A6,Données!$Q$2:$Q$5000,"&gt;="&amp;$B$2,Données!$Q$2:$Q$5000,"&lt;="&amp;$B$3,Données!$M$2:$M$5000,"Abs")</f>
        <v>1</v>
      </c>
      <c r="D6" s="7" t="n">
        <f aca="false">IFERROR(C6/B6,0)</f>
        <v>0.00980392156862745</v>
      </c>
      <c r="E6" s="6" t="n">
        <f aca="false">COUNTIFS(Données!$B$2:$B$5000,$A6,Données!$Q$2:$Q$5000,"&gt;="&amp;$B$2,Données!$Q$2:$Q$5000,"&lt;="&amp;$B$3,Données!$I$2:$I$5000,"&gt;0")</f>
        <v>2</v>
      </c>
      <c r="F6" s="8" t="n">
        <f aca="false">SUMIFS(Données!$I$2:$I$5000,Données!$B$2:$B$5000,$A6,Données!$Q$2:$Q$5000,"&gt;="&amp;$B$2,Données!$Q$2:$Q$5000,"&lt;="&amp;$B$3)</f>
        <v>0.0194444444444444</v>
      </c>
      <c r="G6" s="6" t="n">
        <f aca="false">COUNTIFS(Données!$B$2:$B$5000,$A6,Données!$Q$2:$Q$5000,"&gt;="&amp;$B$2,Données!$Q$2:$Q$5000,"&lt;="&amp;$B$3,Données!$L$2:$L$5000,"&gt;0")</f>
        <v>0</v>
      </c>
      <c r="H6" s="8" t="n">
        <f aca="false">SUMIFS(Données!$L$2:$L$5000,Données!$B$2:$B$5000,$A6,Données!$Q$2:$Q$5000,"&gt;="&amp;$B$2,Données!$Q$2:$Q$5000,"&lt;="&amp;$B$3)</f>
        <v>0</v>
      </c>
      <c r="I6" s="8" t="n">
        <f aca="false">SUMIFS(Données!$O$2:$O$5000,Données!$B$2:$B$5000,$A6,Données!$Q$2:$Q$5000,"&gt;="&amp;$B$2,Données!$Q$2:$Q$5000,"&lt;="&amp;$B$3)</f>
        <v>37.2916666666667</v>
      </c>
      <c r="J6" s="8" t="n">
        <f aca="false">SUMIFS(Données!$N$2:$N$5000,Données!$B$2:$B$5000,$A6,Données!$Q$2:$Q$5000,"&gt;="&amp;$B$2,Données!$Q$2:$Q$5000,"&lt;="&amp;$B$3)</f>
        <v>36.8972222222222</v>
      </c>
      <c r="K6" s="7" t="n">
        <f aca="false">IFERROR(J6/I6,0)</f>
        <v>0.989422718808194</v>
      </c>
      <c r="L6" s="8" t="n">
        <f aca="false">SUMIFS(Données!$S$2:$S$5000,Données!$B$2:$B$5000,$A6,Données!$Q$2:$Q$5000,"&gt;="&amp;$B$2,Données!$Q$2:$Q$5000,"&lt;="&amp;$B$3)</f>
        <v>0.394444444444444</v>
      </c>
      <c r="M6" s="7" t="n">
        <f aca="false">IFERROR(L6/I6,0)</f>
        <v>0.0105772811918063</v>
      </c>
      <c r="N6" s="8" t="n">
        <f aca="false">SUMIFS(Données!$X$2:$X$5000,Données!$B$2:$B$5000,$A6,Données!$Q$2:$Q$5000,"&gt;="&amp;$B$2,Données!$Q$2:$Q$5000,"&lt;="&amp;$B$3)</f>
        <v>0.0104166666666667</v>
      </c>
      <c r="O6" s="9" t="n">
        <f aca="false">ROUND(SUMIFS(Données!$AB$2:$AB$5000,Données!$B$2:$B$5000,$A6,Données!$Q$2:$Q$5000,"&gt;="&amp;$B$2,Données!$Q$2:$Q$5000,"&lt;="&amp;$B$3)*3,2)</f>
        <v>3</v>
      </c>
      <c r="P6" s="9" t="n">
        <f aca="false">ROUND(SUMIFS(Données!$AC$2:$AC$5000,Données!$B$2:$B$5000,$A6,Données!$Q$2:$Q$5000,"&gt;="&amp;$B$2,Données!$Q$2:$Q$5000,"&lt;="&amp;$B$3)*3,2)</f>
        <v>0</v>
      </c>
      <c r="Q6" s="9" t="n">
        <f aca="false">ROUND(SUMIFS(Données!$AD$2:$AD$5000,Données!$B$2:$B$5000,$A6,Données!$Q$2:$Q$5000,"&gt;="&amp;$B$2,Données!$Q$2:$Q$5000,"&lt;="&amp;$B$3)*3,2)</f>
        <v>0</v>
      </c>
      <c r="R6" s="9" t="n">
        <f aca="false">ROUND(SUMIFS(Données!$AE$2:$AE$5000,Données!$B$2:$B$5000,$A6,Données!$Q$2:$Q$5000,"&gt;="&amp;$B$2,Données!$Q$2:$Q$5000,"&lt;="&amp;$B$3)*3,2)</f>
        <v>1</v>
      </c>
    </row>
    <row r="7" customFormat="false" ht="15" hidden="false" customHeight="false" outlineLevel="0" collapsed="false">
      <c r="A7" s="6" t="str">
        <f aca="false">Agents!A3</f>
        <v>HAMDANI MOHAMED</v>
      </c>
      <c r="B7" s="6" t="n">
        <f aca="false">COUNTIFS(Données!$B$2:$B$5000,$A7,Données!$Q$2:$Q$5000,"&gt;="&amp;$B$2,Données!$Q$2:$Q$5000,"&lt;="&amp;$B$3,Données!$O$2:$O$5000,"&gt;0")</f>
        <v>233</v>
      </c>
      <c r="C7" s="6" t="n">
        <f aca="false">COUNTIFS(Données!$B$2:$B$5000,$A7,Données!$Q$2:$Q$5000,"&gt;="&amp;$B$2,Données!$Q$2:$Q$5000,"&lt;="&amp;$B$3,Données!$M$2:$M$5000,"Abs")</f>
        <v>6</v>
      </c>
      <c r="D7" s="7" t="n">
        <f aca="false">IFERROR(C7/B7,0)</f>
        <v>0.0257510729613734</v>
      </c>
      <c r="E7" s="6" t="n">
        <f aca="false">COUNTIFS(Données!$B$2:$B$5000,$A7,Données!$Q$2:$Q$5000,"&gt;="&amp;$B$2,Données!$Q$2:$Q$5000,"&lt;="&amp;$B$3,Données!$I$2:$I$5000,"&gt;0")</f>
        <v>9</v>
      </c>
      <c r="F7" s="8" t="n">
        <f aca="false">SUMIFS(Données!$I$2:$I$5000,Données!$B$2:$B$5000,$A7,Données!$Q$2:$Q$5000,"&gt;="&amp;$B$2,Données!$Q$2:$Q$5000,"&lt;="&amp;$B$3)</f>
        <v>0.109027777777778</v>
      </c>
      <c r="G7" s="6" t="n">
        <f aca="false">COUNTIFS(Données!$B$2:$B$5000,$A7,Données!$Q$2:$Q$5000,"&gt;="&amp;$B$2,Données!$Q$2:$Q$5000,"&lt;="&amp;$B$3,Données!$L$2:$L$5000,"&gt;0")</f>
        <v>0</v>
      </c>
      <c r="H7" s="8" t="n">
        <f aca="false">SUMIFS(Données!$L$2:$L$5000,Données!$B$2:$B$5000,$A7,Données!$Q$2:$Q$5000,"&gt;="&amp;$B$2,Données!$Q$2:$Q$5000,"&lt;="&amp;$B$3)</f>
        <v>0</v>
      </c>
      <c r="I7" s="8" t="n">
        <f aca="false">SUMIFS(Données!$O$2:$O$5000,Données!$B$2:$B$5000,$A7,Données!$Q$2:$Q$5000,"&gt;="&amp;$B$2,Données!$Q$2:$Q$5000,"&lt;="&amp;$B$3)</f>
        <v>85.4166666666667</v>
      </c>
      <c r="J7" s="8" t="n">
        <f aca="false">SUMIFS(Données!$N$2:$N$5000,Données!$B$2:$B$5000,$A7,Données!$Q$2:$Q$5000,"&gt;="&amp;$B$2,Données!$Q$2:$Q$5000,"&lt;="&amp;$B$3)</f>
        <v>83.1409722222222</v>
      </c>
      <c r="K7" s="7" t="n">
        <f aca="false">IFERROR(J7/I7,0)</f>
        <v>0.973357723577236</v>
      </c>
      <c r="L7" s="8" t="n">
        <f aca="false">SUMIFS(Données!$S$2:$S$5000,Données!$B$2:$B$5000,$A7,Données!$Q$2:$Q$5000,"&gt;="&amp;$B$2,Données!$Q$2:$Q$5000,"&lt;="&amp;$B$3)</f>
        <v>2.27569444444444</v>
      </c>
      <c r="M7" s="7" t="n">
        <f aca="false">IFERROR(L7/I7,0)</f>
        <v>0.0266422764227642</v>
      </c>
      <c r="N7" s="8" t="n">
        <f aca="false">SUMIFS(Données!$X$2:$X$5000,Données!$B$2:$B$5000,$A7,Données!$Q$2:$Q$5000,"&gt;="&amp;$B$2,Données!$Q$2:$Q$5000,"&lt;="&amp;$B$3)</f>
        <v>0.146527777777778</v>
      </c>
      <c r="O7" s="9" t="n">
        <f aca="false">ROUND(SUMIFS(Données!$AB$2:$AB$5000,Données!$B$2:$B$5000,$A7,Données!$Q$2:$Q$5000,"&gt;="&amp;$B$2,Données!$Q$2:$Q$5000,"&lt;="&amp;$B$3)*3,2)</f>
        <v>4</v>
      </c>
      <c r="P7" s="9" t="n">
        <f aca="false">ROUND(SUMIFS(Données!$AC$2:$AC$5000,Données!$B$2:$B$5000,$A7,Données!$Q$2:$Q$5000,"&gt;="&amp;$B$2,Données!$Q$2:$Q$5000,"&lt;="&amp;$B$3)*3,2)</f>
        <v>0</v>
      </c>
      <c r="Q7" s="9" t="n">
        <f aca="false">ROUND(SUMIFS(Données!$AD$2:$AD$5000,Données!$B$2:$B$5000,$A7,Données!$Q$2:$Q$5000,"&gt;="&amp;$B$2,Données!$Q$2:$Q$5000,"&lt;="&amp;$B$3)*3,2)</f>
        <v>0</v>
      </c>
      <c r="R7" s="9" t="n">
        <f aca="false">ROUND(SUMIFS(Données!$AE$2:$AE$5000,Données!$B$2:$B$5000,$A7,Données!$Q$2:$Q$5000,"&gt;="&amp;$B$2,Données!$Q$2:$Q$5000,"&lt;="&amp;$B$3)*3,2)</f>
        <v>4</v>
      </c>
    </row>
    <row r="8" customFormat="false" ht="15" hidden="false" customHeight="false" outlineLevel="0" collapsed="false">
      <c r="A8" s="6" t="str">
        <f aca="false">Agents!A4</f>
        <v>JEBBALI YOUSSEF</v>
      </c>
      <c r="B8" s="6" t="n">
        <f aca="false">COUNTIFS(Données!$B$2:$B$5000,$A8,Données!$Q$2:$Q$5000,"&gt;="&amp;$B$2,Données!$Q$2:$Q$5000,"&lt;="&amp;$B$3,Données!$O$2:$O$5000,"&gt;0")</f>
        <v>20</v>
      </c>
      <c r="C8" s="6" t="n">
        <f aca="false">COUNTIFS(Données!$B$2:$B$5000,$A8,Données!$Q$2:$Q$5000,"&gt;="&amp;$B$2,Données!$Q$2:$Q$5000,"&lt;="&amp;$B$3,Données!$M$2:$M$5000,"Abs")</f>
        <v>1</v>
      </c>
      <c r="D8" s="7" t="n">
        <f aca="false">IFERROR(C8/B8,0)</f>
        <v>0.05</v>
      </c>
      <c r="E8" s="6" t="n">
        <f aca="false">COUNTIFS(Données!$B$2:$B$5000,$A8,Données!$Q$2:$Q$5000,"&gt;="&amp;$B$2,Données!$Q$2:$Q$5000,"&lt;="&amp;$B$3,Données!$I$2:$I$5000,"&gt;0")</f>
        <v>0</v>
      </c>
      <c r="F8" s="8" t="n">
        <f aca="false">SUMIFS(Données!$I$2:$I$5000,Données!$B$2:$B$5000,$A8,Données!$Q$2:$Q$5000,"&gt;="&amp;$B$2,Données!$Q$2:$Q$5000,"&lt;="&amp;$B$3)</f>
        <v>0</v>
      </c>
      <c r="G8" s="6" t="n">
        <f aca="false">COUNTIFS(Données!$B$2:$B$5000,$A8,Données!$Q$2:$Q$5000,"&gt;="&amp;$B$2,Données!$Q$2:$Q$5000,"&lt;="&amp;$B$3,Données!$L$2:$L$5000,"&gt;0")</f>
        <v>0</v>
      </c>
      <c r="H8" s="8" t="n">
        <f aca="false">SUMIFS(Données!$L$2:$L$5000,Données!$B$2:$B$5000,$A8,Données!$Q$2:$Q$5000,"&gt;="&amp;$B$2,Données!$Q$2:$Q$5000,"&lt;="&amp;$B$3)</f>
        <v>0</v>
      </c>
      <c r="I8" s="8" t="n">
        <f aca="false">SUMIFS(Données!$O$2:$O$5000,Données!$B$2:$B$5000,$A8,Données!$Q$2:$Q$5000,"&gt;="&amp;$B$2,Données!$Q$2:$Q$5000,"&lt;="&amp;$B$3)</f>
        <v>7.33333333333333</v>
      </c>
      <c r="J8" s="8" t="n">
        <f aca="false">SUMIFS(Données!$N$2:$N$5000,Données!$B$2:$B$5000,$A8,Données!$Q$2:$Q$5000,"&gt;="&amp;$B$2,Données!$Q$2:$Q$5000,"&lt;="&amp;$B$3)</f>
        <v>7</v>
      </c>
      <c r="K8" s="7" t="n">
        <f aca="false">IFERROR(J8/I8,0)</f>
        <v>0.954545454545455</v>
      </c>
      <c r="L8" s="8" t="n">
        <f aca="false">SUMIFS(Données!$S$2:$S$5000,Données!$B$2:$B$5000,$A8,Données!$Q$2:$Q$5000,"&gt;="&amp;$B$2,Données!$Q$2:$Q$5000,"&lt;="&amp;$B$3)</f>
        <v>0.333333333333333</v>
      </c>
      <c r="M8" s="7" t="n">
        <f aca="false">IFERROR(L8/I8,0)</f>
        <v>0.0454545454545455</v>
      </c>
      <c r="N8" s="8" t="n">
        <f aca="false">SUMIFS(Données!$X$2:$X$5000,Données!$B$2:$B$5000,$A8,Données!$Q$2:$Q$5000,"&gt;="&amp;$B$2,Données!$Q$2:$Q$5000,"&lt;="&amp;$B$3)</f>
        <v>0.0208333333333333</v>
      </c>
      <c r="O8" s="9" t="n">
        <f aca="false">ROUND(SUMIFS(Données!$AB$2:$AB$5000,Données!$B$2:$B$5000,$A8,Données!$Q$2:$Q$5000,"&gt;="&amp;$B$2,Données!$Q$2:$Q$5000,"&lt;="&amp;$B$3)*3,2)</f>
        <v>0</v>
      </c>
      <c r="P8" s="9" t="n">
        <f aca="false">ROUND(SUMIFS(Données!$AC$2:$AC$5000,Données!$B$2:$B$5000,$A8,Données!$Q$2:$Q$5000,"&gt;="&amp;$B$2,Données!$Q$2:$Q$5000,"&lt;="&amp;$B$3)*3,2)</f>
        <v>0</v>
      </c>
      <c r="Q8" s="9" t="n">
        <f aca="false">ROUND(SUMIFS(Données!$AD$2:$AD$5000,Données!$B$2:$B$5000,$A8,Données!$Q$2:$Q$5000,"&gt;="&amp;$B$2,Données!$Q$2:$Q$5000,"&lt;="&amp;$B$3)*3,2)</f>
        <v>0</v>
      </c>
      <c r="R8" s="9" t="n">
        <f aca="false">ROUND(SUMIFS(Données!$AE$2:$AE$5000,Données!$B$2:$B$5000,$A8,Données!$Q$2:$Q$5000,"&gt;="&amp;$B$2,Données!$Q$2:$Q$5000,"&lt;="&amp;$B$3)*3,2)</f>
        <v>0</v>
      </c>
    </row>
    <row r="9" customFormat="false" ht="15" hidden="false" customHeight="false" outlineLevel="0" collapsed="false">
      <c r="A9" s="6" t="str">
        <f aca="false">Agents!A5</f>
        <v>LISSAOUI HIBA</v>
      </c>
      <c r="B9" s="6" t="n">
        <f aca="false">COUNTIFS(Données!$B$2:$B$5000,$A9,Données!$Q$2:$Q$5000,"&gt;="&amp;$B$2,Données!$Q$2:$Q$5000,"&lt;="&amp;$B$3,Données!$O$2:$O$5000,"&gt;0")</f>
        <v>228</v>
      </c>
      <c r="C9" s="6" t="n">
        <f aca="false">COUNTIFS(Données!$B$2:$B$5000,$A9,Données!$Q$2:$Q$5000,"&gt;="&amp;$B$2,Données!$Q$2:$Q$5000,"&lt;="&amp;$B$3,Données!$M$2:$M$5000,"Abs")</f>
        <v>7</v>
      </c>
      <c r="D9" s="7" t="n">
        <f aca="false">IFERROR(C9/B9,0)</f>
        <v>0.0307017543859649</v>
      </c>
      <c r="E9" s="6" t="n">
        <f aca="false">COUNTIFS(Données!$B$2:$B$5000,$A9,Données!$Q$2:$Q$5000,"&gt;="&amp;$B$2,Données!$Q$2:$Q$5000,"&lt;="&amp;$B$3,Données!$I$2:$I$5000,"&gt;0")</f>
        <v>1</v>
      </c>
      <c r="F9" s="8" t="n">
        <f aca="false">SUMIFS(Données!$I$2:$I$5000,Données!$B$2:$B$5000,$A9,Données!$Q$2:$Q$5000,"&gt;="&amp;$B$2,Données!$Q$2:$Q$5000,"&lt;="&amp;$B$3)</f>
        <v>0.0576388888888889</v>
      </c>
      <c r="G9" s="6" t="n">
        <f aca="false">COUNTIFS(Données!$B$2:$B$5000,$A9,Données!$Q$2:$Q$5000,"&gt;="&amp;$B$2,Données!$Q$2:$Q$5000,"&lt;="&amp;$B$3,Données!$L$2:$L$5000,"&gt;0")</f>
        <v>0</v>
      </c>
      <c r="H9" s="8" t="n">
        <f aca="false">SUMIFS(Données!$L$2:$L$5000,Données!$B$2:$B$5000,$A9,Données!$Q$2:$Q$5000,"&gt;="&amp;$B$2,Données!$Q$2:$Q$5000,"&lt;="&amp;$B$3)</f>
        <v>0</v>
      </c>
      <c r="I9" s="8" t="n">
        <f aca="false">SUMIFS(Données!$O$2:$O$5000,Données!$B$2:$B$5000,$A9,Données!$Q$2:$Q$5000,"&gt;="&amp;$B$2,Données!$Q$2:$Q$5000,"&lt;="&amp;$B$3)</f>
        <v>83.5416666666667</v>
      </c>
      <c r="J9" s="8" t="n">
        <f aca="false">SUMIFS(Données!$N$2:$N$5000,Données!$B$2:$B$5000,$A9,Données!$Q$2:$Q$5000,"&gt;="&amp;$B$2,Données!$Q$2:$Q$5000,"&lt;="&amp;$B$3)</f>
        <v>80.9423611111111</v>
      </c>
      <c r="K9" s="7" t="n">
        <f aca="false">IFERROR(J9/I9,0)</f>
        <v>0.968886118038238</v>
      </c>
      <c r="L9" s="8" t="n">
        <f aca="false">SUMIFS(Données!$S$2:$S$5000,Données!$B$2:$B$5000,$A9,Données!$Q$2:$Q$5000,"&gt;="&amp;$B$2,Données!$Q$2:$Q$5000,"&lt;="&amp;$B$3)</f>
        <v>2.59930555555556</v>
      </c>
      <c r="M9" s="7" t="n">
        <f aca="false">IFERROR(L9/I9,0)</f>
        <v>0.0311138819617623</v>
      </c>
      <c r="N9" s="8" t="n">
        <f aca="false">SUMIFS(Données!$X$2:$X$5000,Données!$B$2:$B$5000,$A9,Données!$Q$2:$Q$5000,"&gt;="&amp;$B$2,Données!$Q$2:$Q$5000,"&lt;="&amp;$B$3)</f>
        <v>0.190972222222222</v>
      </c>
      <c r="O9" s="9" t="n">
        <f aca="false">ROUND(SUMIFS(Données!$AB$2:$AB$5000,Données!$B$2:$B$5000,$A9,Données!$Q$2:$Q$5000,"&gt;="&amp;$B$2,Données!$Q$2:$Q$5000,"&lt;="&amp;$B$3)*3,2)</f>
        <v>8</v>
      </c>
      <c r="P9" s="9" t="n">
        <f aca="false">ROUND(SUMIFS(Données!$AC$2:$AC$5000,Données!$B$2:$B$5000,$A9,Données!$Q$2:$Q$5000,"&gt;="&amp;$B$2,Données!$Q$2:$Q$5000,"&lt;="&amp;$B$3)*3,2)</f>
        <v>0</v>
      </c>
      <c r="Q9" s="9" t="n">
        <f aca="false">ROUND(SUMIFS(Données!$AD$2:$AD$5000,Données!$B$2:$B$5000,$A9,Données!$Q$2:$Q$5000,"&gt;="&amp;$B$2,Données!$Q$2:$Q$5000,"&lt;="&amp;$B$3)*3,2)</f>
        <v>0</v>
      </c>
      <c r="R9" s="9" t="n">
        <f aca="false">ROUND(SUMIFS(Données!$AE$2:$AE$5000,Données!$B$2:$B$5000,$A9,Données!$Q$2:$Q$5000,"&gt;="&amp;$B$2,Données!$Q$2:$Q$5000,"&lt;="&amp;$B$3)*3,2)</f>
        <v>5</v>
      </c>
    </row>
    <row r="10" customFormat="false" ht="15" hidden="false" customHeight="false" outlineLevel="0" collapsed="false">
      <c r="A10" s="6" t="str">
        <f aca="false">Agents!A6</f>
        <v>RMAIDI IMAD</v>
      </c>
      <c r="B10" s="6" t="n">
        <f aca="false">COUNTIFS(Données!$B$2:$B$5000,$A10,Données!$Q$2:$Q$5000,"&gt;="&amp;$B$2,Données!$Q$2:$Q$5000,"&lt;="&amp;$B$3,Données!$O$2:$O$5000,"&gt;0")</f>
        <v>228</v>
      </c>
      <c r="C10" s="6" t="n">
        <f aca="false">COUNTIFS(Données!$B$2:$B$5000,$A10,Données!$Q$2:$Q$5000,"&gt;="&amp;$B$2,Données!$Q$2:$Q$5000,"&lt;="&amp;$B$3,Données!$M$2:$M$5000,"Abs")</f>
        <v>6</v>
      </c>
      <c r="D10" s="7" t="n">
        <f aca="false">IFERROR(C10/B10,0)</f>
        <v>0.0263157894736842</v>
      </c>
      <c r="E10" s="6" t="n">
        <f aca="false">COUNTIFS(Données!$B$2:$B$5000,$A10,Données!$Q$2:$Q$5000,"&gt;="&amp;$B$2,Données!$Q$2:$Q$5000,"&lt;="&amp;$B$3,Données!$I$2:$I$5000,"&gt;0")</f>
        <v>4</v>
      </c>
      <c r="F10" s="8" t="n">
        <f aca="false">SUMIFS(Données!$I$2:$I$5000,Données!$B$2:$B$5000,$A10,Données!$Q$2:$Q$5000,"&gt;="&amp;$B$2,Données!$Q$2:$Q$5000,"&lt;="&amp;$B$3)</f>
        <v>0.0243055555555556</v>
      </c>
      <c r="G10" s="6" t="n">
        <f aca="false">COUNTIFS(Données!$B$2:$B$5000,$A10,Données!$Q$2:$Q$5000,"&gt;="&amp;$B$2,Données!$Q$2:$Q$5000,"&lt;="&amp;$B$3,Données!$L$2:$L$5000,"&gt;0")</f>
        <v>0</v>
      </c>
      <c r="H10" s="8" t="n">
        <f aca="false">SUMIFS(Données!$L$2:$L$5000,Données!$B$2:$B$5000,$A10,Données!$Q$2:$Q$5000,"&gt;="&amp;$B$2,Données!$Q$2:$Q$5000,"&lt;="&amp;$B$3)</f>
        <v>0</v>
      </c>
      <c r="I10" s="8" t="n">
        <f aca="false">SUMIFS(Données!$O$2:$O$5000,Données!$B$2:$B$5000,$A10,Données!$Q$2:$Q$5000,"&gt;="&amp;$B$2,Données!$Q$2:$Q$5000,"&lt;="&amp;$B$3)</f>
        <v>83.5416666666667</v>
      </c>
      <c r="J10" s="8" t="n">
        <f aca="false">SUMIFS(Données!$N$2:$N$5000,Données!$B$2:$B$5000,$A10,Données!$Q$2:$Q$5000,"&gt;="&amp;$B$2,Données!$Q$2:$Q$5000,"&lt;="&amp;$B$3)</f>
        <v>81.3506944444444</v>
      </c>
      <c r="K10" s="7" t="n">
        <f aca="false">IFERROR(J10/I10,0)</f>
        <v>0.973773898586866</v>
      </c>
      <c r="L10" s="8" t="n">
        <f aca="false">SUMIFS(Données!$S$2:$S$5000,Données!$B$2:$B$5000,$A10,Données!$Q$2:$Q$5000,"&gt;="&amp;$B$2,Données!$Q$2:$Q$5000,"&lt;="&amp;$B$3)</f>
        <v>2.19097222222222</v>
      </c>
      <c r="M10" s="7" t="n">
        <f aca="false">IFERROR(L10/I10,0)</f>
        <v>0.0262261014131338</v>
      </c>
      <c r="N10" s="8" t="n">
        <f aca="false">SUMIFS(Données!$X$2:$X$5000,Données!$B$2:$B$5000,$A10,Données!$Q$2:$Q$5000,"&gt;="&amp;$B$2,Données!$Q$2:$Q$5000,"&lt;="&amp;$B$3)</f>
        <v>0.177777777777778</v>
      </c>
      <c r="O10" s="9" t="n">
        <f aca="false">ROUND(SUMIFS(Données!$AB$2:$AB$5000,Données!$B$2:$B$5000,$A10,Données!$Q$2:$Q$5000,"&gt;="&amp;$B$2,Données!$Q$2:$Q$5000,"&lt;="&amp;$B$3)*3,2)</f>
        <v>10</v>
      </c>
      <c r="P10" s="9" t="n">
        <f aca="false">ROUND(SUMIFS(Données!$AC$2:$AC$5000,Données!$B$2:$B$5000,$A10,Données!$Q$2:$Q$5000,"&gt;="&amp;$B$2,Données!$Q$2:$Q$5000,"&lt;="&amp;$B$3)*3,2)</f>
        <v>0</v>
      </c>
      <c r="Q10" s="9" t="n">
        <f aca="false">ROUND(SUMIFS(Données!$AD$2:$AD$5000,Données!$B$2:$B$5000,$A10,Données!$Q$2:$Q$5000,"&gt;="&amp;$B$2,Données!$Q$2:$Q$5000,"&lt;="&amp;$B$3)*3,2)</f>
        <v>0</v>
      </c>
      <c r="R10" s="9" t="n">
        <f aca="false">ROUND(SUMIFS(Données!$AE$2:$AE$5000,Données!$B$2:$B$5000,$A10,Données!$Q$2:$Q$5000,"&gt;="&amp;$B$2,Données!$Q$2:$Q$5000,"&lt;="&amp;$B$3)*3,2)</f>
        <v>3</v>
      </c>
    </row>
    <row r="11" customFormat="false" ht="15" hidden="false" customHeight="false" outlineLevel="0" collapsed="false">
      <c r="A11" s="10" t="s">
        <v>22</v>
      </c>
      <c r="B11" s="10" t="n">
        <f aca="false">SUM(B6:B10)</f>
        <v>811</v>
      </c>
      <c r="C11" s="10" t="n">
        <f aca="false">SUM(C6:C10)</f>
        <v>21</v>
      </c>
      <c r="D11" s="11" t="n">
        <f aca="false">IFERROR(C11/B11,0)</f>
        <v>0.0258939580764488</v>
      </c>
      <c r="E11" s="10" t="n">
        <f aca="false">SUM(E6:E10)</f>
        <v>16</v>
      </c>
      <c r="F11" s="12" t="n">
        <f aca="false">SUM(F6:F10)</f>
        <v>0.210416666666667</v>
      </c>
      <c r="G11" s="10" t="n">
        <f aca="false">SUM(G6:G10)</f>
        <v>0</v>
      </c>
      <c r="H11" s="12" t="n">
        <f aca="false">SUM(H6:H10)</f>
        <v>0</v>
      </c>
      <c r="I11" s="12" t="n">
        <f aca="false">SUM(I6:I10)</f>
        <v>297.125</v>
      </c>
      <c r="J11" s="12" t="n">
        <f aca="false">SUM(J6:J10)</f>
        <v>289.33125</v>
      </c>
      <c r="K11" s="11" t="n">
        <f aca="false">IFERROR(J11/I11,0)</f>
        <v>0.973769457299117</v>
      </c>
      <c r="L11" s="12" t="n">
        <f aca="false">SUM(L6:L10)</f>
        <v>7.79375</v>
      </c>
      <c r="M11" s="11" t="n">
        <f aca="false">IFERROR(L11/I11,0)</f>
        <v>0.0262305427008835</v>
      </c>
      <c r="N11" s="12" t="n">
        <f aca="false">SUM(N6:N10)</f>
        <v>0.546527777777778</v>
      </c>
      <c r="O11" s="13" t="n">
        <f aca="false">SUM(O6:O10)</f>
        <v>25</v>
      </c>
      <c r="P11" s="13" t="n">
        <f aca="false">SUM(P6:P10)</f>
        <v>0</v>
      </c>
      <c r="Q11" s="13" t="n">
        <f aca="false">SUM(Q6:Q10)</f>
        <v>0</v>
      </c>
      <c r="R11" s="13" t="n">
        <f aca="false">SUM(R6:R10)</f>
        <v>13</v>
      </c>
    </row>
    <row r="13" customFormat="false" ht="15" hidden="false" customHeight="false" outlineLevel="0" collapsed="false">
      <c r="A13" s="14" t="s">
        <v>23</v>
      </c>
    </row>
    <row r="14" customFormat="false" ht="15" hidden="false" customHeight="false" outlineLevel="0" collapsed="false">
      <c r="A14" s="4" t="s">
        <v>24</v>
      </c>
    </row>
    <row r="15" customFormat="false" ht="15" hidden="false" customHeight="false" outlineLevel="0" collapsed="false">
      <c r="A15" s="4" t="s">
        <v>25</v>
      </c>
    </row>
    <row r="16" customFormat="false" ht="15" hidden="false" customHeight="false" outlineLevel="0" collapsed="false">
      <c r="A16" s="4" t="s">
        <v>26</v>
      </c>
    </row>
    <row r="17" customFormat="false" ht="15" hidden="false" customHeight="false" outlineLevel="0" collapsed="false">
      <c r="A17" s="4" t="s">
        <v>27</v>
      </c>
    </row>
    <row r="18" customFormat="false" ht="15" hidden="false" customHeight="false" outlineLevel="0" collapsed="false">
      <c r="A18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5" min="2" style="0" width="13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4</v>
      </c>
      <c r="B2" s="15" t="s">
        <v>30</v>
      </c>
      <c r="C2" s="4" t="s">
        <v>31</v>
      </c>
    </row>
    <row r="3" customFormat="false" ht="15" hidden="false" customHeight="false" outlineLevel="0" collapsed="false">
      <c r="A3" s="16" t="s">
        <v>32</v>
      </c>
      <c r="B3" s="16" t="str">
        <f aca="false">IF($B$2="Tous","*",$B$2)</f>
        <v>*</v>
      </c>
    </row>
    <row r="5" customFormat="false" ht="45" hidden="false" customHeight="true" outlineLevel="0" collapsed="false">
      <c r="A5" s="5" t="s">
        <v>33</v>
      </c>
      <c r="B5" s="5" t="s">
        <v>34</v>
      </c>
      <c r="C5" s="5" t="s">
        <v>35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</row>
    <row r="6" customFormat="false" ht="15" hidden="false" customHeight="false" outlineLevel="0" collapsed="false">
      <c r="A6" s="6" t="str">
        <f aca="false">IF(B6="","",YEAR(B6+3)&amp;"-S"&amp;TEXT(WEEKNUM(B6,21),"00"))</f>
        <v>2025-S47</v>
      </c>
      <c r="B6" s="17" t="n">
        <f aca="false">MIN(Données!$Q$2:$Q$5000)-WEEKDAY(MIN(Données!$Q$2:$Q$5000),2)+1</f>
        <v>45978</v>
      </c>
      <c r="C6" s="17" t="n">
        <f aca="false">IF(B6="","",B6+6)</f>
        <v>45984</v>
      </c>
      <c r="D6" s="6" t="n">
        <f aca="false">IF($B6="","",COUNTIFS(Données!$A$2:$A$5000,$A6,Données!$B$2:$B$5000,$B$3,Données!$O$2:$O$5000,"&gt;0"))</f>
        <v>4</v>
      </c>
      <c r="E6" s="6" t="n">
        <f aca="false">IF($B6="","",COUNTIFS(Données!$A$2:$A$5000,$A6,Données!$B$2:$B$5000,$B$3,Données!$M$2:$M$5000,"Abs"))</f>
        <v>0</v>
      </c>
      <c r="F6" s="7" t="n">
        <f aca="false">IF($B6="","",IFERROR(E6/D6,0))</f>
        <v>0</v>
      </c>
      <c r="G6" s="6" t="n">
        <f aca="false">IF($B6="","",COUNTIFS(Données!$A$2:$A$5000,$A6,Données!$B$2:$B$5000,$B$3,Données!$I$2:$I$5000,"&gt;0"))</f>
        <v>0</v>
      </c>
      <c r="H6" s="8" t="n">
        <f aca="false">IF($B6="","",SUMIFS(Données!$I$2:$I$5000,Données!$A$2:$A$5000,$A6,Données!$B$2:$B$5000,$B$3))</f>
        <v>0</v>
      </c>
      <c r="I6" s="8" t="n">
        <f aca="false">IF($B6="","",SUMIFS(Données!$L$2:$L$5000,Données!$A$2:$A$5000,$A6,Données!$B$2:$B$5000,$B$3))</f>
        <v>0</v>
      </c>
      <c r="J6" s="8" t="n">
        <f aca="false">IF($B6="","",SUMIFS(Données!$O$2:$O$5000,Données!$A$2:$A$5000,$A6,Données!$B$2:$B$5000,$B$3))</f>
        <v>1.5</v>
      </c>
      <c r="K6" s="8" t="n">
        <f aca="false">IF($B6="","",SUMIFS(Données!$N$2:$N$5000,Données!$A$2:$A$5000,$A6,Données!$B$2:$B$5000,$B$3))</f>
        <v>1.5</v>
      </c>
      <c r="L6" s="7" t="n">
        <f aca="false">IF($B6="","",IFERROR(K6/J6,0))</f>
        <v>1</v>
      </c>
      <c r="M6" s="8" t="n">
        <f aca="false">IF($B6="","",SUMIFS(Données!$S$2:$S$5000,Données!$A$2:$A$5000,$A6,Données!$B$2:$B$5000,$B$3))</f>
        <v>0</v>
      </c>
      <c r="N6" s="7" t="n">
        <f aca="false">IF($B6="","",IFERROR(M6/J6,0))</f>
        <v>0</v>
      </c>
      <c r="O6" s="8" t="n">
        <f aca="false">IF($B6="","",SUMIFS(Données!$X$2:$X$5000,Données!$A$2:$A$5000,$A6,Données!$B$2:$B$5000,$B$3))</f>
        <v>0</v>
      </c>
    </row>
    <row r="7" customFormat="false" ht="15" hidden="false" customHeight="false" outlineLevel="0" collapsed="false">
      <c r="A7" s="6" t="str">
        <f aca="false">IF(B7="","",YEAR(B7+3)&amp;"-S"&amp;TEXT(WEEKNUM(B7,21),"00"))</f>
        <v>2025-S48</v>
      </c>
      <c r="B7" s="17" t="n">
        <f aca="false">IF(B6="","",IF(B6+7&gt;MAX(Données!$Q$2:$Q$5000),"",B6+7))</f>
        <v>45985</v>
      </c>
      <c r="C7" s="17" t="n">
        <f aca="false">IF(B7="","",B7+6)</f>
        <v>45991</v>
      </c>
      <c r="D7" s="6" t="n">
        <f aca="false">IF($B7="","",COUNTIFS(Données!$A$2:$A$5000,$A7,Données!$B$2:$B$5000,$B$3,Données!$O$2:$O$5000,"&gt;0"))</f>
        <v>20</v>
      </c>
      <c r="E7" s="6" t="n">
        <f aca="false">IF($B7="","",COUNTIFS(Données!$A$2:$A$5000,$A7,Données!$B$2:$B$5000,$B$3,Données!$M$2:$M$5000,"Abs"))</f>
        <v>0</v>
      </c>
      <c r="F7" s="7" t="n">
        <f aca="false">IF($B7="","",IFERROR(E7/D7,0))</f>
        <v>0</v>
      </c>
      <c r="G7" s="6" t="n">
        <f aca="false">IF($B7="","",COUNTIFS(Données!$A$2:$A$5000,$A7,Données!$B$2:$B$5000,$B$3,Données!$I$2:$I$5000,"&gt;0"))</f>
        <v>1</v>
      </c>
      <c r="H7" s="8" t="n">
        <f aca="false">IF($B7="","",SUMIFS(Données!$I$2:$I$5000,Données!$A$2:$A$5000,$A7,Données!$B$2:$B$5000,$B$3))</f>
        <v>0.00277777777777778</v>
      </c>
      <c r="I7" s="8" t="n">
        <f aca="false">IF($B7="","",SUMIFS(Données!$L$2:$L$5000,Données!$A$2:$A$5000,$A7,Données!$B$2:$B$5000,$B$3))</f>
        <v>0</v>
      </c>
      <c r="J7" s="8" t="n">
        <f aca="false">IF($B7="","",SUMIFS(Données!$O$2:$O$5000,Données!$A$2:$A$5000,$A7,Données!$B$2:$B$5000,$B$3))</f>
        <v>7.33333333333333</v>
      </c>
      <c r="K7" s="8" t="n">
        <f aca="false">IF($B7="","",SUMIFS(Données!$N$2:$N$5000,Données!$A$2:$A$5000,$A7,Données!$B$2:$B$5000,$B$3))</f>
        <v>7.33055555555556</v>
      </c>
      <c r="L7" s="7" t="n">
        <f aca="false">IF($B7="","",IFERROR(K7/J7,0))</f>
        <v>0.999621212121212</v>
      </c>
      <c r="M7" s="8" t="n">
        <f aca="false">IF($B7="","",SUMIFS(Données!$S$2:$S$5000,Données!$A$2:$A$5000,$A7,Données!$B$2:$B$5000,$B$3))</f>
        <v>0.00277777777777778</v>
      </c>
      <c r="N7" s="7" t="n">
        <f aca="false">IF($B7="","",IFERROR(M7/J7,0))</f>
        <v>0.000378787878787879</v>
      </c>
      <c r="O7" s="8" t="n">
        <f aca="false">IF($B7="","",SUMIFS(Données!$X$2:$X$5000,Données!$A$2:$A$5000,$A7,Données!$B$2:$B$5000,$B$3))</f>
        <v>0.00694444444444445</v>
      </c>
    </row>
    <row r="8" customFormat="false" ht="15" hidden="false" customHeight="false" outlineLevel="0" collapsed="false">
      <c r="A8" s="6" t="str">
        <f aca="false">IF(B8="","",YEAR(B8+3)&amp;"-S"&amp;TEXT(WEEKNUM(B8,21),"00"))</f>
        <v>2025-S49</v>
      </c>
      <c r="B8" s="17" t="n">
        <f aca="false">IF(B7="","",IF(B7+7&gt;MAX(Données!$Q$2:$Q$5000),"",B7+7))</f>
        <v>45992</v>
      </c>
      <c r="C8" s="17" t="n">
        <f aca="false">IF(B8="","",B8+6)</f>
        <v>45998</v>
      </c>
      <c r="D8" s="6" t="n">
        <f aca="false">IF($B8="","",COUNTIFS(Données!$A$2:$A$5000,$A8,Données!$B$2:$B$5000,$B$3,Données!$O$2:$O$5000,"&gt;0"))</f>
        <v>20</v>
      </c>
      <c r="E8" s="6" t="n">
        <f aca="false">IF($B8="","",COUNTIFS(Données!$A$2:$A$5000,$A8,Données!$B$2:$B$5000,$B$3,Données!$M$2:$M$5000,"Abs"))</f>
        <v>0</v>
      </c>
      <c r="F8" s="7" t="n">
        <f aca="false">IF($B8="","",IFERROR(E8/D8,0))</f>
        <v>0</v>
      </c>
      <c r="G8" s="6" t="n">
        <f aca="false">IF($B8="","",COUNTIFS(Données!$A$2:$A$5000,$A8,Données!$B$2:$B$5000,$B$3,Données!$I$2:$I$5000,"&gt;0"))</f>
        <v>1</v>
      </c>
      <c r="H8" s="8" t="n">
        <f aca="false">IF($B8="","",SUMIFS(Données!$I$2:$I$5000,Données!$A$2:$A$5000,$A8,Données!$B$2:$B$5000,$B$3))</f>
        <v>0.00347222222222222</v>
      </c>
      <c r="I8" s="8" t="n">
        <f aca="false">IF($B8="","",SUMIFS(Données!$L$2:$L$5000,Données!$A$2:$A$5000,$A8,Données!$B$2:$B$5000,$B$3))</f>
        <v>0</v>
      </c>
      <c r="J8" s="8" t="n">
        <f aca="false">IF($B8="","",SUMIFS(Données!$O$2:$O$5000,Données!$A$2:$A$5000,$A8,Données!$B$2:$B$5000,$B$3))</f>
        <v>7.33333333333333</v>
      </c>
      <c r="K8" s="8" t="n">
        <f aca="false">IF($B8="","",SUMIFS(Données!$N$2:$N$5000,Données!$A$2:$A$5000,$A8,Données!$B$2:$B$5000,$B$3))</f>
        <v>7.32986111111111</v>
      </c>
      <c r="L8" s="7" t="n">
        <f aca="false">IF($B8="","",IFERROR(K8/J8,0))</f>
        <v>0.999526515151515</v>
      </c>
      <c r="M8" s="8" t="n">
        <f aca="false">IF($B8="","",SUMIFS(Données!$S$2:$S$5000,Données!$A$2:$A$5000,$A8,Données!$B$2:$B$5000,$B$3))</f>
        <v>0.00347222222222222</v>
      </c>
      <c r="N8" s="7" t="n">
        <f aca="false">IF($B8="","",IFERROR(M8/J8,0))</f>
        <v>0.000473484848484849</v>
      </c>
      <c r="O8" s="8" t="n">
        <f aca="false">IF($B8="","",SUMIFS(Données!$X$2:$X$5000,Données!$A$2:$A$5000,$A8,Données!$B$2:$B$5000,$B$3))</f>
        <v>0.00416666666666667</v>
      </c>
    </row>
    <row r="9" customFormat="false" ht="15" hidden="false" customHeight="false" outlineLevel="0" collapsed="false">
      <c r="A9" s="6" t="str">
        <f aca="false">IF(B9="","",YEAR(B9+3)&amp;"-S"&amp;TEXT(WEEKNUM(B9,21),"00"))</f>
        <v>2025-S50</v>
      </c>
      <c r="B9" s="17" t="n">
        <f aca="false">IF(B8="","",IF(B8+7&gt;MAX(Données!$Q$2:$Q$5000),"",B8+7))</f>
        <v>45999</v>
      </c>
      <c r="C9" s="17" t="n">
        <f aca="false">IF(B9="","",B9+6)</f>
        <v>46005</v>
      </c>
      <c r="D9" s="6" t="n">
        <f aca="false">IF($B9="","",COUNTIFS(Données!$A$2:$A$5000,$A9,Données!$B$2:$B$5000,$B$3,Données!$O$2:$O$5000,"&gt;0"))</f>
        <v>20</v>
      </c>
      <c r="E9" s="6" t="n">
        <f aca="false">IF($B9="","",COUNTIFS(Données!$A$2:$A$5000,$A9,Données!$B$2:$B$5000,$B$3,Données!$M$2:$M$5000,"Abs"))</f>
        <v>0</v>
      </c>
      <c r="F9" s="7" t="n">
        <f aca="false">IF($B9="","",IFERROR(E9/D9,0))</f>
        <v>0</v>
      </c>
      <c r="G9" s="6" t="n">
        <f aca="false">IF($B9="","",COUNTIFS(Données!$A$2:$A$5000,$A9,Données!$B$2:$B$5000,$B$3,Données!$I$2:$I$5000,"&gt;0"))</f>
        <v>0</v>
      </c>
      <c r="H9" s="8" t="n">
        <f aca="false">IF($B9="","",SUMIFS(Données!$I$2:$I$5000,Données!$A$2:$A$5000,$A9,Données!$B$2:$B$5000,$B$3))</f>
        <v>0</v>
      </c>
      <c r="I9" s="8" t="n">
        <f aca="false">IF($B9="","",SUMIFS(Données!$L$2:$L$5000,Données!$A$2:$A$5000,$A9,Données!$B$2:$B$5000,$B$3))</f>
        <v>0</v>
      </c>
      <c r="J9" s="8" t="n">
        <f aca="false">IF($B9="","",SUMIFS(Données!$O$2:$O$5000,Données!$A$2:$A$5000,$A9,Données!$B$2:$B$5000,$B$3))</f>
        <v>7.33333333333333</v>
      </c>
      <c r="K9" s="8" t="n">
        <f aca="false">IF($B9="","",SUMIFS(Données!$N$2:$N$5000,Données!$A$2:$A$5000,$A9,Données!$B$2:$B$5000,$B$3))</f>
        <v>7.33333333333333</v>
      </c>
      <c r="L9" s="7" t="n">
        <f aca="false">IF($B9="","",IFERROR(K9/J9,0))</f>
        <v>1</v>
      </c>
      <c r="M9" s="8" t="n">
        <f aca="false">IF($B9="","",SUMIFS(Données!$S$2:$S$5000,Données!$A$2:$A$5000,$A9,Données!$B$2:$B$5000,$B$3))</f>
        <v>0</v>
      </c>
      <c r="N9" s="7" t="n">
        <f aca="false">IF($B9="","",IFERROR(M9/J9,0))</f>
        <v>0</v>
      </c>
      <c r="O9" s="8" t="n">
        <f aca="false">IF($B9="","",SUMIFS(Données!$X$2:$X$5000,Données!$A$2:$A$5000,$A9,Données!$B$2:$B$5000,$B$3))</f>
        <v>0.0125</v>
      </c>
    </row>
    <row r="10" customFormat="false" ht="15" hidden="false" customHeight="false" outlineLevel="0" collapsed="false">
      <c r="A10" s="6" t="str">
        <f aca="false">IF(B10="","",YEAR(B10+3)&amp;"-S"&amp;TEXT(WEEKNUM(B10,21),"00"))</f>
        <v>2025-S51</v>
      </c>
      <c r="B10" s="17" t="n">
        <f aca="false">IF(B9="","",IF(B9+7&gt;MAX(Données!$Q$2:$Q$5000),"",B9+7))</f>
        <v>46006</v>
      </c>
      <c r="C10" s="17" t="n">
        <f aca="false">IF(B10="","",B10+6)</f>
        <v>46012</v>
      </c>
      <c r="D10" s="6" t="n">
        <f aca="false">IF($B10="","",COUNTIFS(Données!$A$2:$A$5000,$A10,Données!$B$2:$B$5000,$B$3,Données!$O$2:$O$5000,"&gt;0"))</f>
        <v>20</v>
      </c>
      <c r="E10" s="6" t="n">
        <f aca="false">IF($B10="","",COUNTIFS(Données!$A$2:$A$5000,$A10,Données!$B$2:$B$5000,$B$3,Données!$M$2:$M$5000,"Abs"))</f>
        <v>0</v>
      </c>
      <c r="F10" s="7" t="n">
        <f aca="false">IF($B10="","",IFERROR(E10/D10,0))</f>
        <v>0</v>
      </c>
      <c r="G10" s="6" t="n">
        <f aca="false">IF($B10="","",COUNTIFS(Données!$A$2:$A$5000,$A10,Données!$B$2:$B$5000,$B$3,Données!$I$2:$I$5000,"&gt;0"))</f>
        <v>0</v>
      </c>
      <c r="H10" s="8" t="n">
        <f aca="false">IF($B10="","",SUMIFS(Données!$I$2:$I$5000,Données!$A$2:$A$5000,$A10,Données!$B$2:$B$5000,$B$3))</f>
        <v>0</v>
      </c>
      <c r="I10" s="8" t="n">
        <f aca="false">IF($B10="","",SUMIFS(Données!$L$2:$L$5000,Données!$A$2:$A$5000,$A10,Données!$B$2:$B$5000,$B$3))</f>
        <v>0</v>
      </c>
      <c r="J10" s="8" t="n">
        <f aca="false">IF($B10="","",SUMIFS(Données!$O$2:$O$5000,Données!$A$2:$A$5000,$A10,Données!$B$2:$B$5000,$B$3))</f>
        <v>7.33333333333333</v>
      </c>
      <c r="K10" s="8" t="n">
        <f aca="false">IF($B10="","",SUMIFS(Données!$N$2:$N$5000,Données!$A$2:$A$5000,$A10,Données!$B$2:$B$5000,$B$3))</f>
        <v>7.33333333333333</v>
      </c>
      <c r="L10" s="7" t="n">
        <f aca="false">IF($B10="","",IFERROR(K10/J10,0))</f>
        <v>1</v>
      </c>
      <c r="M10" s="8" t="n">
        <f aca="false">IF($B10="","",SUMIFS(Données!$S$2:$S$5000,Données!$A$2:$A$5000,$A10,Données!$B$2:$B$5000,$B$3))</f>
        <v>0</v>
      </c>
      <c r="N10" s="7" t="n">
        <f aca="false">IF($B10="","",IFERROR(M10/J10,0))</f>
        <v>0</v>
      </c>
      <c r="O10" s="8" t="n">
        <f aca="false">IF($B10="","",SUMIFS(Données!$X$2:$X$5000,Données!$A$2:$A$5000,$A10,Données!$B$2:$B$5000,$B$3))</f>
        <v>0.00555555555555556</v>
      </c>
    </row>
    <row r="11" customFormat="false" ht="15" hidden="false" customHeight="false" outlineLevel="0" collapsed="false">
      <c r="A11" s="6" t="str">
        <f aca="false">IF(B11="","",YEAR(B11+3)&amp;"-S"&amp;TEXT(WEEKNUM(B11,21),"00"))</f>
        <v>2025-S52</v>
      </c>
      <c r="B11" s="17" t="n">
        <f aca="false">IF(B10="","",IF(B10+7&gt;MAX(Données!$Q$2:$Q$5000),"",B10+7))</f>
        <v>46013</v>
      </c>
      <c r="C11" s="17" t="n">
        <f aca="false">IF(B11="","",B11+6)</f>
        <v>46019</v>
      </c>
      <c r="D11" s="6" t="n">
        <f aca="false">IF($B11="","",COUNTIFS(Données!$A$2:$A$5000,$A11,Données!$B$2:$B$5000,$B$3,Données!$O$2:$O$5000,"&gt;0"))</f>
        <v>16</v>
      </c>
      <c r="E11" s="6" t="n">
        <f aca="false">IF($B11="","",COUNTIFS(Données!$A$2:$A$5000,$A11,Données!$B$2:$B$5000,$B$3,Données!$M$2:$M$5000,"Abs"))</f>
        <v>0</v>
      </c>
      <c r="F11" s="7" t="n">
        <f aca="false">IF($B11="","",IFERROR(E11/D11,0))</f>
        <v>0</v>
      </c>
      <c r="G11" s="6" t="n">
        <f aca="false">IF($B11="","",COUNTIFS(Données!$A$2:$A$5000,$A11,Données!$B$2:$B$5000,$B$3,Données!$I$2:$I$5000,"&gt;0"))</f>
        <v>0</v>
      </c>
      <c r="H11" s="8" t="n">
        <f aca="false">IF($B11="","",SUMIFS(Données!$I$2:$I$5000,Données!$A$2:$A$5000,$A11,Données!$B$2:$B$5000,$B$3))</f>
        <v>0</v>
      </c>
      <c r="I11" s="8" t="n">
        <f aca="false">IF($B11="","",SUMIFS(Données!$L$2:$L$5000,Données!$A$2:$A$5000,$A11,Données!$B$2:$B$5000,$B$3))</f>
        <v>0</v>
      </c>
      <c r="J11" s="8" t="n">
        <f aca="false">IF($B11="","",SUMIFS(Données!$O$2:$O$5000,Données!$A$2:$A$5000,$A11,Données!$B$2:$B$5000,$B$3))</f>
        <v>5.83333333333333</v>
      </c>
      <c r="K11" s="8" t="n">
        <f aca="false">IF($B11="","",SUMIFS(Données!$N$2:$N$5000,Données!$A$2:$A$5000,$A11,Données!$B$2:$B$5000,$B$3))</f>
        <v>5.83333333333333</v>
      </c>
      <c r="L11" s="7" t="n">
        <f aca="false">IF($B11="","",IFERROR(K11/J11,0))</f>
        <v>1</v>
      </c>
      <c r="M11" s="8" t="n">
        <f aca="false">IF($B11="","",SUMIFS(Données!$S$2:$S$5000,Données!$A$2:$A$5000,$A11,Données!$B$2:$B$5000,$B$3))</f>
        <v>0</v>
      </c>
      <c r="N11" s="7" t="n">
        <f aca="false">IF($B11="","",IFERROR(M11/J11,0))</f>
        <v>0</v>
      </c>
      <c r="O11" s="8" t="n">
        <f aca="false">IF($B11="","",SUMIFS(Données!$X$2:$X$5000,Données!$A$2:$A$5000,$A11,Données!$B$2:$B$5000,$B$3))</f>
        <v>0.00486111111111111</v>
      </c>
    </row>
    <row r="12" customFormat="false" ht="15" hidden="false" customHeight="false" outlineLevel="0" collapsed="false">
      <c r="A12" s="6" t="str">
        <f aca="false">IF(B12="","",YEAR(B12+3)&amp;"-S"&amp;TEXT(WEEKNUM(B12,21),"00"))</f>
        <v>2026-S01</v>
      </c>
      <c r="B12" s="17" t="n">
        <f aca="false">IF(B11="","",IF(B11+7&gt;MAX(Données!$Q$2:$Q$5000),"",B11+7))</f>
        <v>46020</v>
      </c>
      <c r="C12" s="17" t="n">
        <f aca="false">IF(B12="","",B12+6)</f>
        <v>46026</v>
      </c>
      <c r="D12" s="6" t="n">
        <f aca="false">IF($B12="","",COUNTIFS(Données!$A$2:$A$5000,$A12,Données!$B$2:$B$5000,$B$3,Données!$O$2:$O$5000,"&gt;0"))</f>
        <v>16</v>
      </c>
      <c r="E12" s="6" t="n">
        <f aca="false">IF($B12="","",COUNTIFS(Données!$A$2:$A$5000,$A12,Données!$B$2:$B$5000,$B$3,Données!$M$2:$M$5000,"Abs"))</f>
        <v>0</v>
      </c>
      <c r="F12" s="7" t="n">
        <f aca="false">IF($B12="","",IFERROR(E12/D12,0))</f>
        <v>0</v>
      </c>
      <c r="G12" s="6" t="n">
        <f aca="false">IF($B12="","",COUNTIFS(Données!$A$2:$A$5000,$A12,Données!$B$2:$B$5000,$B$3,Données!$I$2:$I$5000,"&gt;0"))</f>
        <v>0</v>
      </c>
      <c r="H12" s="8" t="n">
        <f aca="false">IF($B12="","",SUMIFS(Données!$I$2:$I$5000,Données!$A$2:$A$5000,$A12,Données!$B$2:$B$5000,$B$3))</f>
        <v>0</v>
      </c>
      <c r="I12" s="8" t="n">
        <f aca="false">IF($B12="","",SUMIFS(Données!$L$2:$L$5000,Données!$A$2:$A$5000,$A12,Données!$B$2:$B$5000,$B$3))</f>
        <v>0</v>
      </c>
      <c r="J12" s="8" t="n">
        <f aca="false">IF($B12="","",SUMIFS(Données!$O$2:$O$5000,Données!$A$2:$A$5000,$A12,Données!$B$2:$B$5000,$B$3))</f>
        <v>5.83333333333333</v>
      </c>
      <c r="K12" s="8" t="n">
        <f aca="false">IF($B12="","",SUMIFS(Données!$N$2:$N$5000,Données!$A$2:$A$5000,$A12,Données!$B$2:$B$5000,$B$3))</f>
        <v>5.83333333333333</v>
      </c>
      <c r="L12" s="7" t="n">
        <f aca="false">IF($B12="","",IFERROR(K12/J12,0))</f>
        <v>1</v>
      </c>
      <c r="M12" s="8" t="n">
        <f aca="false">IF($B12="","",SUMIFS(Données!$S$2:$S$5000,Données!$A$2:$A$5000,$A12,Données!$B$2:$B$5000,$B$3))</f>
        <v>0</v>
      </c>
      <c r="N12" s="7" t="n">
        <f aca="false">IF($B12="","",IFERROR(M12/J12,0))</f>
        <v>0</v>
      </c>
      <c r="O12" s="8" t="n">
        <f aca="false">IF($B12="","",SUMIFS(Données!$X$2:$X$5000,Données!$A$2:$A$5000,$A12,Données!$B$2:$B$5000,$B$3))</f>
        <v>0.00486111111111111</v>
      </c>
    </row>
    <row r="13" customFormat="false" ht="15" hidden="false" customHeight="false" outlineLevel="0" collapsed="false">
      <c r="A13" s="6" t="str">
        <f aca="false">IF(B13="","",YEAR(B13+3)&amp;"-S"&amp;TEXT(WEEKNUM(B13,21),"00"))</f>
        <v>2026-S02</v>
      </c>
      <c r="B13" s="17" t="n">
        <f aca="false">IF(B12="","",IF(B12+7&gt;MAX(Données!$Q$2:$Q$5000),"",B12+7))</f>
        <v>46027</v>
      </c>
      <c r="C13" s="17" t="n">
        <f aca="false">IF(B13="","",B13+6)</f>
        <v>46033</v>
      </c>
      <c r="D13" s="6" t="n">
        <f aca="false">IF($B13="","",COUNTIFS(Données!$A$2:$A$5000,$A13,Données!$B$2:$B$5000,$B$3,Données!$O$2:$O$5000,"&gt;0"))</f>
        <v>19</v>
      </c>
      <c r="E13" s="6" t="n">
        <f aca="false">IF($B13="","",COUNTIFS(Données!$A$2:$A$5000,$A13,Données!$B$2:$B$5000,$B$3,Données!$M$2:$M$5000,"Abs"))</f>
        <v>0</v>
      </c>
      <c r="F13" s="7" t="n">
        <f aca="false">IF($B13="","",IFERROR(E13/D13,0))</f>
        <v>0</v>
      </c>
      <c r="G13" s="6" t="n">
        <f aca="false">IF($B13="","",COUNTIFS(Données!$A$2:$A$5000,$A13,Données!$B$2:$B$5000,$B$3,Données!$I$2:$I$5000,"&gt;0"))</f>
        <v>1</v>
      </c>
      <c r="H13" s="8" t="n">
        <f aca="false">IF($B13="","",SUMIFS(Données!$I$2:$I$5000,Données!$A$2:$A$5000,$A13,Données!$B$2:$B$5000,$B$3))</f>
        <v>0.00347222222222222</v>
      </c>
      <c r="I13" s="8" t="n">
        <f aca="false">IF($B13="","",SUMIFS(Données!$L$2:$L$5000,Données!$A$2:$A$5000,$A13,Données!$B$2:$B$5000,$B$3))</f>
        <v>0</v>
      </c>
      <c r="J13" s="8" t="n">
        <f aca="false">IF($B13="","",SUMIFS(Données!$O$2:$O$5000,Données!$A$2:$A$5000,$A13,Données!$B$2:$B$5000,$B$3))</f>
        <v>7</v>
      </c>
      <c r="K13" s="8" t="n">
        <f aca="false">IF($B13="","",SUMIFS(Données!$N$2:$N$5000,Données!$A$2:$A$5000,$A13,Données!$B$2:$B$5000,$B$3))</f>
        <v>6.99652777777778</v>
      </c>
      <c r="L13" s="7" t="n">
        <f aca="false">IF($B13="","",IFERROR(K13/J13,0))</f>
        <v>0.999503968253968</v>
      </c>
      <c r="M13" s="8" t="n">
        <f aca="false">IF($B13="","",SUMIFS(Données!$S$2:$S$5000,Données!$A$2:$A$5000,$A13,Données!$B$2:$B$5000,$B$3))</f>
        <v>0.00347222222222222</v>
      </c>
      <c r="N13" s="7" t="n">
        <f aca="false">IF($B13="","",IFERROR(M13/J13,0))</f>
        <v>0.000496031746031746</v>
      </c>
      <c r="O13" s="8" t="n">
        <f aca="false">IF($B13="","",SUMIFS(Données!$X$2:$X$5000,Données!$A$2:$A$5000,$A13,Données!$B$2:$B$5000,$B$3))</f>
        <v>0.0104166666666667</v>
      </c>
    </row>
    <row r="14" customFormat="false" ht="15" hidden="false" customHeight="false" outlineLevel="0" collapsed="false">
      <c r="A14" s="6" t="str">
        <f aca="false">IF(B14="","",YEAR(B14+3)&amp;"-S"&amp;TEXT(WEEKNUM(B14,21),"00"))</f>
        <v>2026-S03</v>
      </c>
      <c r="B14" s="17" t="n">
        <f aca="false">IF(B13="","",IF(B13+7&gt;MAX(Données!$Q$2:$Q$5000),"",B13+7))</f>
        <v>46034</v>
      </c>
      <c r="C14" s="17" t="n">
        <f aca="false">IF(B14="","",B14+6)</f>
        <v>46040</v>
      </c>
      <c r="D14" s="6" t="n">
        <f aca="false">IF($B14="","",COUNTIFS(Données!$A$2:$A$5000,$A14,Données!$B$2:$B$5000,$B$3,Données!$O$2:$O$5000,"&gt;0"))</f>
        <v>20</v>
      </c>
      <c r="E14" s="6" t="n">
        <f aca="false">IF($B14="","",COUNTIFS(Données!$A$2:$A$5000,$A14,Données!$B$2:$B$5000,$B$3,Données!$M$2:$M$5000,"Abs"))</f>
        <v>0</v>
      </c>
      <c r="F14" s="7" t="n">
        <f aca="false">IF($B14="","",IFERROR(E14/D14,0))</f>
        <v>0</v>
      </c>
      <c r="G14" s="6" t="n">
        <f aca="false">IF($B14="","",COUNTIFS(Données!$A$2:$A$5000,$A14,Données!$B$2:$B$5000,$B$3,Données!$I$2:$I$5000,"&gt;0"))</f>
        <v>1</v>
      </c>
      <c r="H14" s="8" t="n">
        <f aca="false">IF($B14="","",SUMIFS(Données!$I$2:$I$5000,Données!$A$2:$A$5000,$A14,Données!$B$2:$B$5000,$B$3))</f>
        <v>0.0576388888888889</v>
      </c>
      <c r="I14" s="8" t="n">
        <f aca="false">IF($B14="","",SUMIFS(Données!$L$2:$L$5000,Données!$A$2:$A$5000,$A14,Données!$B$2:$B$5000,$B$3))</f>
        <v>0</v>
      </c>
      <c r="J14" s="8" t="n">
        <f aca="false">IF($B14="","",SUMIFS(Données!$O$2:$O$5000,Données!$A$2:$A$5000,$A14,Données!$B$2:$B$5000,$B$3))</f>
        <v>7.33333333333333</v>
      </c>
      <c r="K14" s="8" t="n">
        <f aca="false">IF($B14="","",SUMIFS(Données!$N$2:$N$5000,Données!$A$2:$A$5000,$A14,Données!$B$2:$B$5000,$B$3))</f>
        <v>7.27569444444444</v>
      </c>
      <c r="L14" s="7" t="n">
        <f aca="false">IF($B14="","",IFERROR(K14/J14,0))</f>
        <v>0.992140151515152</v>
      </c>
      <c r="M14" s="8" t="n">
        <f aca="false">IF($B14="","",SUMIFS(Données!$S$2:$S$5000,Données!$A$2:$A$5000,$A14,Données!$B$2:$B$5000,$B$3))</f>
        <v>0.0576388888888889</v>
      </c>
      <c r="N14" s="7" t="n">
        <f aca="false">IF($B14="","",IFERROR(M14/J14,0))</f>
        <v>0.00785984848484849</v>
      </c>
      <c r="O14" s="8" t="n">
        <f aca="false">IF($B14="","",SUMIFS(Données!$X$2:$X$5000,Données!$A$2:$A$5000,$A14,Données!$B$2:$B$5000,$B$3))</f>
        <v>0.0159722222222222</v>
      </c>
    </row>
    <row r="15" customFormat="false" ht="15" hidden="false" customHeight="false" outlineLevel="0" collapsed="false">
      <c r="A15" s="6" t="str">
        <f aca="false">IF(B15="","",YEAR(B15+3)&amp;"-S"&amp;TEXT(WEEKNUM(B15,21),"00"))</f>
        <v>2026-S04</v>
      </c>
      <c r="B15" s="17" t="n">
        <f aca="false">IF(B14="","",IF(B14+7&gt;MAX(Données!$Q$2:$Q$5000),"",B14+7))</f>
        <v>46041</v>
      </c>
      <c r="C15" s="17" t="n">
        <f aca="false">IF(B15="","",B15+6)</f>
        <v>46047</v>
      </c>
      <c r="D15" s="6" t="n">
        <f aca="false">IF($B15="","",COUNTIFS(Données!$A$2:$A$5000,$A15,Données!$B$2:$B$5000,$B$3,Données!$O$2:$O$5000,"&gt;0"))</f>
        <v>20</v>
      </c>
      <c r="E15" s="6" t="n">
        <f aca="false">IF($B15="","",COUNTIFS(Données!$A$2:$A$5000,$A15,Données!$B$2:$B$5000,$B$3,Données!$M$2:$M$5000,"Abs"))</f>
        <v>1</v>
      </c>
      <c r="F15" s="7" t="n">
        <f aca="false">IF($B15="","",IFERROR(E15/D15,0))</f>
        <v>0.05</v>
      </c>
      <c r="G15" s="6" t="n">
        <f aca="false">IF($B15="","",COUNTIFS(Données!$A$2:$A$5000,$A15,Données!$B$2:$B$5000,$B$3,Données!$I$2:$I$5000,"&gt;0"))</f>
        <v>1</v>
      </c>
      <c r="H15" s="8" t="n">
        <f aca="false">IF($B15="","",SUMIFS(Données!$I$2:$I$5000,Données!$A$2:$A$5000,$A15,Données!$B$2:$B$5000,$B$3))</f>
        <v>0.00833333333333333</v>
      </c>
      <c r="I15" s="8" t="n">
        <f aca="false">IF($B15="","",SUMIFS(Données!$L$2:$L$5000,Données!$A$2:$A$5000,$A15,Données!$B$2:$B$5000,$B$3))</f>
        <v>0</v>
      </c>
      <c r="J15" s="8" t="n">
        <f aca="false">IF($B15="","",SUMIFS(Données!$O$2:$O$5000,Données!$A$2:$A$5000,$A15,Données!$B$2:$B$5000,$B$3))</f>
        <v>7.33333333333333</v>
      </c>
      <c r="K15" s="8" t="n">
        <f aca="false">IF($B15="","",SUMIFS(Données!$N$2:$N$5000,Données!$A$2:$A$5000,$A15,Données!$B$2:$B$5000,$B$3))</f>
        <v>6.95</v>
      </c>
      <c r="L15" s="7" t="n">
        <f aca="false">IF($B15="","",IFERROR(K15/J15,0))</f>
        <v>0.947727272727273</v>
      </c>
      <c r="M15" s="8" t="n">
        <f aca="false">IF($B15="","",SUMIFS(Données!$S$2:$S$5000,Données!$A$2:$A$5000,$A15,Données!$B$2:$B$5000,$B$3))</f>
        <v>0.383333333333333</v>
      </c>
      <c r="N15" s="7" t="n">
        <f aca="false">IF($B15="","",IFERROR(M15/J15,0))</f>
        <v>0.0522727272727273</v>
      </c>
      <c r="O15" s="8" t="n">
        <f aca="false">IF($B15="","",SUMIFS(Données!$X$2:$X$5000,Données!$A$2:$A$5000,$A15,Données!$B$2:$B$5000,$B$3))</f>
        <v>0.0152777777777778</v>
      </c>
    </row>
    <row r="16" customFormat="false" ht="15" hidden="false" customHeight="false" outlineLevel="0" collapsed="false">
      <c r="A16" s="6" t="str">
        <f aca="false">IF(B16="","",YEAR(B16+3)&amp;"-S"&amp;TEXT(WEEKNUM(B16,21),"00"))</f>
        <v>2026-S05</v>
      </c>
      <c r="B16" s="17" t="n">
        <f aca="false">IF(B15="","",IF(B15+7&gt;MAX(Données!$Q$2:$Q$5000),"",B15+7))</f>
        <v>46048</v>
      </c>
      <c r="C16" s="17" t="n">
        <f aca="false">IF(B16="","",B16+6)</f>
        <v>46054</v>
      </c>
      <c r="D16" s="6" t="n">
        <f aca="false">IF($B16="","",COUNTIFS(Données!$A$2:$A$5000,$A16,Données!$B$2:$B$5000,$B$3,Données!$O$2:$O$5000,"&gt;0"))</f>
        <v>19</v>
      </c>
      <c r="E16" s="6" t="n">
        <f aca="false">IF($B16="","",COUNTIFS(Données!$A$2:$A$5000,$A16,Données!$B$2:$B$5000,$B$3,Données!$M$2:$M$5000,"Abs"))</f>
        <v>0</v>
      </c>
      <c r="F16" s="7" t="n">
        <f aca="false">IF($B16="","",IFERROR(E16/D16,0))</f>
        <v>0</v>
      </c>
      <c r="G16" s="6" t="n">
        <f aca="false">IF($B16="","",COUNTIFS(Données!$A$2:$A$5000,$A16,Données!$B$2:$B$5000,$B$3,Données!$I$2:$I$5000,"&gt;0"))</f>
        <v>0</v>
      </c>
      <c r="H16" s="8" t="n">
        <f aca="false">IF($B16="","",SUMIFS(Données!$I$2:$I$5000,Données!$A$2:$A$5000,$A16,Données!$B$2:$B$5000,$B$3))</f>
        <v>0</v>
      </c>
      <c r="I16" s="8" t="n">
        <f aca="false">IF($B16="","",SUMIFS(Données!$L$2:$L$5000,Données!$A$2:$A$5000,$A16,Données!$B$2:$B$5000,$B$3))</f>
        <v>0</v>
      </c>
      <c r="J16" s="8" t="n">
        <f aca="false">IF($B16="","",SUMIFS(Données!$O$2:$O$5000,Données!$A$2:$A$5000,$A16,Données!$B$2:$B$5000,$B$3))</f>
        <v>6.95833333333333</v>
      </c>
      <c r="K16" s="8" t="n">
        <f aca="false">IF($B16="","",SUMIFS(Données!$N$2:$N$5000,Données!$A$2:$A$5000,$A16,Données!$B$2:$B$5000,$B$3))</f>
        <v>6.95833333333333</v>
      </c>
      <c r="L16" s="7" t="n">
        <f aca="false">IF($B16="","",IFERROR(K16/J16,0))</f>
        <v>1</v>
      </c>
      <c r="M16" s="8" t="n">
        <f aca="false">IF($B16="","",SUMIFS(Données!$S$2:$S$5000,Données!$A$2:$A$5000,$A16,Données!$B$2:$B$5000,$B$3))</f>
        <v>0</v>
      </c>
      <c r="N16" s="7" t="n">
        <f aca="false">IF($B16="","",IFERROR(M16/J16,0))</f>
        <v>0</v>
      </c>
      <c r="O16" s="8" t="n">
        <f aca="false">IF($B16="","",SUMIFS(Données!$X$2:$X$5000,Données!$A$2:$A$5000,$A16,Données!$B$2:$B$5000,$B$3))</f>
        <v>0.00763888888888889</v>
      </c>
    </row>
    <row r="17" customFormat="false" ht="15" hidden="false" customHeight="false" outlineLevel="0" collapsed="false">
      <c r="A17" s="6" t="str">
        <f aca="false">IF(B17="","",YEAR(B17+3)&amp;"-S"&amp;TEXT(WEEKNUM(B17,21),"00"))</f>
        <v>2026-S06</v>
      </c>
      <c r="B17" s="17" t="n">
        <f aca="false">IF(B16="","",IF(B16+7&gt;MAX(Données!$Q$2:$Q$5000),"",B16+7))</f>
        <v>46055</v>
      </c>
      <c r="C17" s="17" t="n">
        <f aca="false">IF(B17="","",B17+6)</f>
        <v>46061</v>
      </c>
      <c r="D17" s="6" t="n">
        <f aca="false">IF($B17="","",COUNTIFS(Données!$A$2:$A$5000,$A17,Données!$B$2:$B$5000,$B$3,Données!$O$2:$O$5000,"&gt;0"))</f>
        <v>20</v>
      </c>
      <c r="E17" s="6" t="n">
        <f aca="false">IF($B17="","",COUNTIFS(Données!$A$2:$A$5000,$A17,Données!$B$2:$B$5000,$B$3,Données!$M$2:$M$5000,"Abs"))</f>
        <v>0</v>
      </c>
      <c r="F17" s="7" t="n">
        <f aca="false">IF($B17="","",IFERROR(E17/D17,0))</f>
        <v>0</v>
      </c>
      <c r="G17" s="6" t="n">
        <f aca="false">IF($B17="","",COUNTIFS(Données!$A$2:$A$5000,$A17,Données!$B$2:$B$5000,$B$3,Données!$I$2:$I$5000,"&gt;0"))</f>
        <v>3</v>
      </c>
      <c r="H17" s="8" t="n">
        <f aca="false">IF($B17="","",SUMIFS(Données!$I$2:$I$5000,Données!$A$2:$A$5000,$A17,Données!$B$2:$B$5000,$B$3))</f>
        <v>0.0395833333333333</v>
      </c>
      <c r="I17" s="8" t="n">
        <f aca="false">IF($B17="","",SUMIFS(Données!$L$2:$L$5000,Données!$A$2:$A$5000,$A17,Données!$B$2:$B$5000,$B$3))</f>
        <v>0</v>
      </c>
      <c r="J17" s="8" t="n">
        <f aca="false">IF($B17="","",SUMIFS(Données!$O$2:$O$5000,Données!$A$2:$A$5000,$A17,Données!$B$2:$B$5000,$B$3))</f>
        <v>7.33333333333333</v>
      </c>
      <c r="K17" s="8" t="n">
        <f aca="false">IF($B17="","",SUMIFS(Données!$N$2:$N$5000,Données!$A$2:$A$5000,$A17,Données!$B$2:$B$5000,$B$3))</f>
        <v>7.29375</v>
      </c>
      <c r="L17" s="7" t="n">
        <f aca="false">IF($B17="","",IFERROR(K17/J17,0))</f>
        <v>0.994602272727273</v>
      </c>
      <c r="M17" s="8" t="n">
        <f aca="false">IF($B17="","",SUMIFS(Données!$S$2:$S$5000,Données!$A$2:$A$5000,$A17,Données!$B$2:$B$5000,$B$3))</f>
        <v>0.0395833333333333</v>
      </c>
      <c r="N17" s="7" t="n">
        <f aca="false">IF($B17="","",IFERROR(M17/J17,0))</f>
        <v>0.00539772727272727</v>
      </c>
      <c r="O17" s="8" t="n">
        <f aca="false">IF($B17="","",SUMIFS(Données!$X$2:$X$5000,Données!$A$2:$A$5000,$A17,Données!$B$2:$B$5000,$B$3))</f>
        <v>0.0104166666666667</v>
      </c>
    </row>
    <row r="18" customFormat="false" ht="15" hidden="false" customHeight="false" outlineLevel="0" collapsed="false">
      <c r="A18" s="6" t="str">
        <f aca="false">IF(B18="","",YEAR(B18+3)&amp;"-S"&amp;TEXT(WEEKNUM(B18,21),"00"))</f>
        <v>2026-S07</v>
      </c>
      <c r="B18" s="17" t="n">
        <f aca="false">IF(B17="","",IF(B17+7&gt;MAX(Données!$Q$2:$Q$5000),"",B17+7))</f>
        <v>46062</v>
      </c>
      <c r="C18" s="17" t="n">
        <f aca="false">IF(B18="","",B18+6)</f>
        <v>46068</v>
      </c>
      <c r="D18" s="6" t="n">
        <f aca="false">IF($B18="","",COUNTIFS(Données!$A$2:$A$5000,$A18,Données!$B$2:$B$5000,$B$3,Données!$O$2:$O$5000,"&gt;0"))</f>
        <v>20</v>
      </c>
      <c r="E18" s="6" t="n">
        <f aca="false">IF($B18="","",COUNTIFS(Données!$A$2:$A$5000,$A18,Données!$B$2:$B$5000,$B$3,Données!$M$2:$M$5000,"Abs"))</f>
        <v>0</v>
      </c>
      <c r="F18" s="7" t="n">
        <f aca="false">IF($B18="","",IFERROR(E18/D18,0))</f>
        <v>0</v>
      </c>
      <c r="G18" s="6" t="n">
        <f aca="false">IF($B18="","",COUNTIFS(Données!$A$2:$A$5000,$A18,Données!$B$2:$B$5000,$B$3,Données!$I$2:$I$5000,"&gt;0"))</f>
        <v>0</v>
      </c>
      <c r="H18" s="8" t="n">
        <f aca="false">IF($B18="","",SUMIFS(Données!$I$2:$I$5000,Données!$A$2:$A$5000,$A18,Données!$B$2:$B$5000,$B$3))</f>
        <v>0</v>
      </c>
      <c r="I18" s="8" t="n">
        <f aca="false">IF($B18="","",SUMIFS(Données!$L$2:$L$5000,Données!$A$2:$A$5000,$A18,Données!$B$2:$B$5000,$B$3))</f>
        <v>0</v>
      </c>
      <c r="J18" s="8" t="n">
        <f aca="false">IF($B18="","",SUMIFS(Données!$O$2:$O$5000,Données!$A$2:$A$5000,$A18,Données!$B$2:$B$5000,$B$3))</f>
        <v>7.33333333333333</v>
      </c>
      <c r="K18" s="8" t="n">
        <f aca="false">IF($B18="","",SUMIFS(Données!$N$2:$N$5000,Données!$A$2:$A$5000,$A18,Données!$B$2:$B$5000,$B$3))</f>
        <v>7.33333333333333</v>
      </c>
      <c r="L18" s="7" t="n">
        <f aca="false">IF($B18="","",IFERROR(K18/J18,0))</f>
        <v>1</v>
      </c>
      <c r="M18" s="8" t="n">
        <f aca="false">IF($B18="","",SUMIFS(Données!$S$2:$S$5000,Données!$A$2:$A$5000,$A18,Données!$B$2:$B$5000,$B$3))</f>
        <v>0</v>
      </c>
      <c r="N18" s="7" t="n">
        <f aca="false">IF($B18="","",IFERROR(M18/J18,0))</f>
        <v>0</v>
      </c>
      <c r="O18" s="8" t="n">
        <f aca="false">IF($B18="","",SUMIFS(Données!$X$2:$X$5000,Données!$A$2:$A$5000,$A18,Données!$B$2:$B$5000,$B$3))</f>
        <v>0.00625</v>
      </c>
    </row>
    <row r="19" customFormat="false" ht="15" hidden="false" customHeight="false" outlineLevel="0" collapsed="false">
      <c r="A19" s="6" t="str">
        <f aca="false">IF(B19="","",YEAR(B19+3)&amp;"-S"&amp;TEXT(WEEKNUM(B19,21),"00"))</f>
        <v>2026-S08</v>
      </c>
      <c r="B19" s="17" t="n">
        <f aca="false">IF(B18="","",IF(B18+7&gt;MAX(Données!$Q$2:$Q$5000),"",B18+7))</f>
        <v>46069</v>
      </c>
      <c r="C19" s="17" t="n">
        <f aca="false">IF(B19="","",B19+6)</f>
        <v>46075</v>
      </c>
      <c r="D19" s="6" t="n">
        <f aca="false">IF($B19="","",COUNTIFS(Données!$A$2:$A$5000,$A19,Données!$B$2:$B$5000,$B$3,Données!$O$2:$O$5000,"&gt;0"))</f>
        <v>20</v>
      </c>
      <c r="E19" s="6" t="n">
        <f aca="false">IF($B19="","",COUNTIFS(Données!$A$2:$A$5000,$A19,Données!$B$2:$B$5000,$B$3,Données!$M$2:$M$5000,"Abs"))</f>
        <v>0</v>
      </c>
      <c r="F19" s="7" t="n">
        <f aca="false">IF($B19="","",IFERROR(E19/D19,0))</f>
        <v>0</v>
      </c>
      <c r="G19" s="6" t="n">
        <f aca="false">IF($B19="","",COUNTIFS(Données!$A$2:$A$5000,$A19,Données!$B$2:$B$5000,$B$3,Données!$I$2:$I$5000,"&gt;0"))</f>
        <v>0</v>
      </c>
      <c r="H19" s="8" t="n">
        <f aca="false">IF($B19="","",SUMIFS(Données!$I$2:$I$5000,Données!$A$2:$A$5000,$A19,Données!$B$2:$B$5000,$B$3))</f>
        <v>0</v>
      </c>
      <c r="I19" s="8" t="n">
        <f aca="false">IF($B19="","",SUMIFS(Données!$L$2:$L$5000,Données!$A$2:$A$5000,$A19,Données!$B$2:$B$5000,$B$3))</f>
        <v>0</v>
      </c>
      <c r="J19" s="8" t="n">
        <f aca="false">IF($B19="","",SUMIFS(Données!$O$2:$O$5000,Données!$A$2:$A$5000,$A19,Données!$B$2:$B$5000,$B$3))</f>
        <v>6.83333333333333</v>
      </c>
      <c r="K19" s="8" t="n">
        <f aca="false">IF($B19="","",SUMIFS(Données!$N$2:$N$5000,Données!$A$2:$A$5000,$A19,Données!$B$2:$B$5000,$B$3))</f>
        <v>6.83333333333333</v>
      </c>
      <c r="L19" s="7" t="n">
        <f aca="false">IF($B19="","",IFERROR(K19/J19,0))</f>
        <v>1</v>
      </c>
      <c r="M19" s="8" t="n">
        <f aca="false">IF($B19="","",SUMIFS(Données!$S$2:$S$5000,Données!$A$2:$A$5000,$A19,Données!$B$2:$B$5000,$B$3))</f>
        <v>0</v>
      </c>
      <c r="N19" s="7" t="n">
        <f aca="false">IF($B19="","",IFERROR(M19/J19,0))</f>
        <v>0</v>
      </c>
      <c r="O19" s="8" t="n">
        <f aca="false">IF($B19="","",SUMIFS(Données!$X$2:$X$5000,Données!$A$2:$A$5000,$A19,Données!$B$2:$B$5000,$B$3))</f>
        <v>0.00486111111111111</v>
      </c>
    </row>
    <row r="20" customFormat="false" ht="15" hidden="false" customHeight="false" outlineLevel="0" collapsed="false">
      <c r="A20" s="6" t="str">
        <f aca="false">IF(B20="","",YEAR(B20+3)&amp;"-S"&amp;TEXT(WEEKNUM(B20,21),"00"))</f>
        <v>2026-S09</v>
      </c>
      <c r="B20" s="17" t="n">
        <f aca="false">IF(B19="","",IF(B19+7&gt;MAX(Données!$Q$2:$Q$5000),"",B19+7))</f>
        <v>46076</v>
      </c>
      <c r="C20" s="17" t="n">
        <f aca="false">IF(B20="","",B20+6)</f>
        <v>46082</v>
      </c>
      <c r="D20" s="6" t="n">
        <f aca="false">IF($B20="","",COUNTIFS(Données!$A$2:$A$5000,$A20,Données!$B$2:$B$5000,$B$3,Données!$O$2:$O$5000,"&gt;0"))</f>
        <v>20</v>
      </c>
      <c r="E20" s="6" t="n">
        <f aca="false">IF($B20="","",COUNTIFS(Données!$A$2:$A$5000,$A20,Données!$B$2:$B$5000,$B$3,Données!$M$2:$M$5000,"Abs"))</f>
        <v>0</v>
      </c>
      <c r="F20" s="7" t="n">
        <f aca="false">IF($B20="","",IFERROR(E20/D20,0))</f>
        <v>0</v>
      </c>
      <c r="G20" s="6" t="n">
        <f aca="false">IF($B20="","",COUNTIFS(Données!$A$2:$A$5000,$A20,Données!$B$2:$B$5000,$B$3,Données!$I$2:$I$5000,"&gt;0"))</f>
        <v>0</v>
      </c>
      <c r="H20" s="8" t="n">
        <f aca="false">IF($B20="","",SUMIFS(Données!$I$2:$I$5000,Données!$A$2:$A$5000,$A20,Données!$B$2:$B$5000,$B$3))</f>
        <v>0</v>
      </c>
      <c r="I20" s="8" t="n">
        <f aca="false">IF($B20="","",SUMIFS(Données!$L$2:$L$5000,Données!$A$2:$A$5000,$A20,Données!$B$2:$B$5000,$B$3))</f>
        <v>0</v>
      </c>
      <c r="J20" s="8" t="n">
        <f aca="false">IF($B20="","",SUMIFS(Données!$O$2:$O$5000,Données!$A$2:$A$5000,$A20,Données!$B$2:$B$5000,$B$3))</f>
        <v>7.33333333333333</v>
      </c>
      <c r="K20" s="8" t="n">
        <f aca="false">IF($B20="","",SUMIFS(Données!$N$2:$N$5000,Données!$A$2:$A$5000,$A20,Données!$B$2:$B$5000,$B$3))</f>
        <v>7.33333333333333</v>
      </c>
      <c r="L20" s="7" t="n">
        <f aca="false">IF($B20="","",IFERROR(K20/J20,0))</f>
        <v>1</v>
      </c>
      <c r="M20" s="8" t="n">
        <f aca="false">IF($B20="","",SUMIFS(Données!$S$2:$S$5000,Données!$A$2:$A$5000,$A20,Données!$B$2:$B$5000,$B$3))</f>
        <v>0</v>
      </c>
      <c r="N20" s="7" t="n">
        <f aca="false">IF($B20="","",IFERROR(M20/J20,0))</f>
        <v>0</v>
      </c>
      <c r="O20" s="8" t="n">
        <f aca="false">IF($B20="","",SUMIFS(Données!$X$2:$X$5000,Données!$A$2:$A$5000,$A20,Données!$B$2:$B$5000,$B$3))</f>
        <v>0.00347222222222222</v>
      </c>
    </row>
    <row r="21" customFormat="false" ht="15" hidden="false" customHeight="false" outlineLevel="0" collapsed="false">
      <c r="A21" s="6" t="str">
        <f aca="false">IF(B21="","",YEAR(B21+3)&amp;"-S"&amp;TEXT(WEEKNUM(B21,21),"00"))</f>
        <v>2026-S10</v>
      </c>
      <c r="B21" s="17" t="n">
        <f aca="false">IF(B20="","",IF(B20+7&gt;MAX(Données!$Q$2:$Q$5000),"",B20+7))</f>
        <v>46083</v>
      </c>
      <c r="C21" s="17" t="n">
        <f aca="false">IF(B21="","",B21+6)</f>
        <v>46089</v>
      </c>
      <c r="D21" s="6" t="n">
        <f aca="false">IF($B21="","",COUNTIFS(Données!$A$2:$A$5000,$A21,Données!$B$2:$B$5000,$B$3,Données!$O$2:$O$5000,"&gt;0"))</f>
        <v>20</v>
      </c>
      <c r="E21" s="6" t="n">
        <f aca="false">IF($B21="","",COUNTIFS(Données!$A$2:$A$5000,$A21,Données!$B$2:$B$5000,$B$3,Données!$M$2:$M$5000,"Abs"))</f>
        <v>0</v>
      </c>
      <c r="F21" s="7" t="n">
        <f aca="false">IF($B21="","",IFERROR(E21/D21,0))</f>
        <v>0</v>
      </c>
      <c r="G21" s="6" t="n">
        <f aca="false">IF($B21="","",COUNTIFS(Données!$A$2:$A$5000,$A21,Données!$B$2:$B$5000,$B$3,Données!$I$2:$I$5000,"&gt;0"))</f>
        <v>0</v>
      </c>
      <c r="H21" s="8" t="n">
        <f aca="false">IF($B21="","",SUMIFS(Données!$I$2:$I$5000,Données!$A$2:$A$5000,$A21,Données!$B$2:$B$5000,$B$3))</f>
        <v>0</v>
      </c>
      <c r="I21" s="8" t="n">
        <f aca="false">IF($B21="","",SUMIFS(Données!$L$2:$L$5000,Données!$A$2:$A$5000,$A21,Données!$B$2:$B$5000,$B$3))</f>
        <v>0</v>
      </c>
      <c r="J21" s="8" t="n">
        <f aca="false">IF($B21="","",SUMIFS(Données!$O$2:$O$5000,Données!$A$2:$A$5000,$A21,Données!$B$2:$B$5000,$B$3))</f>
        <v>7.33333333333333</v>
      </c>
      <c r="K21" s="8" t="n">
        <f aca="false">IF($B21="","",SUMIFS(Données!$N$2:$N$5000,Données!$A$2:$A$5000,$A21,Données!$B$2:$B$5000,$B$3))</f>
        <v>7.33333333333333</v>
      </c>
      <c r="L21" s="7" t="n">
        <f aca="false">IF($B21="","",IFERROR(K21/J21,0))</f>
        <v>1</v>
      </c>
      <c r="M21" s="8" t="n">
        <f aca="false">IF($B21="","",SUMIFS(Données!$S$2:$S$5000,Données!$A$2:$A$5000,$A21,Données!$B$2:$B$5000,$B$3))</f>
        <v>0</v>
      </c>
      <c r="N21" s="7" t="n">
        <f aca="false">IF($B21="","",IFERROR(M21/J21,0))</f>
        <v>0</v>
      </c>
      <c r="O21" s="8" t="n">
        <f aca="false">IF($B21="","",SUMIFS(Données!$X$2:$X$5000,Données!$A$2:$A$5000,$A21,Données!$B$2:$B$5000,$B$3))</f>
        <v>0.00555555555555556</v>
      </c>
    </row>
    <row r="22" customFormat="false" ht="15" hidden="false" customHeight="false" outlineLevel="0" collapsed="false">
      <c r="A22" s="6" t="str">
        <f aca="false">IF(B22="","",YEAR(B22+3)&amp;"-S"&amp;TEXT(WEEKNUM(B22,21),"00"))</f>
        <v>2026-S11</v>
      </c>
      <c r="B22" s="17" t="n">
        <f aca="false">IF(B21="","",IF(B21+7&gt;MAX(Données!$Q$2:$Q$5000),"",B21+7))</f>
        <v>46090</v>
      </c>
      <c r="C22" s="17" t="n">
        <f aca="false">IF(B22="","",B22+6)</f>
        <v>46096</v>
      </c>
      <c r="D22" s="6" t="n">
        <f aca="false">IF($B22="","",COUNTIFS(Données!$A$2:$A$5000,$A22,Données!$B$2:$B$5000,$B$3,Données!$O$2:$O$5000,"&gt;0"))</f>
        <v>20</v>
      </c>
      <c r="E22" s="6" t="n">
        <f aca="false">IF($B22="","",COUNTIFS(Données!$A$2:$A$5000,$A22,Données!$B$2:$B$5000,$B$3,Données!$M$2:$M$5000,"Abs"))</f>
        <v>0</v>
      </c>
      <c r="F22" s="7" t="n">
        <f aca="false">IF($B22="","",IFERROR(E22/D22,0))</f>
        <v>0</v>
      </c>
      <c r="G22" s="6" t="n">
        <f aca="false">IF($B22="","",COUNTIFS(Données!$A$2:$A$5000,$A22,Données!$B$2:$B$5000,$B$3,Données!$I$2:$I$5000,"&gt;0"))</f>
        <v>0</v>
      </c>
      <c r="H22" s="8" t="n">
        <f aca="false">IF($B22="","",SUMIFS(Données!$I$2:$I$5000,Données!$A$2:$A$5000,$A22,Données!$B$2:$B$5000,$B$3))</f>
        <v>0</v>
      </c>
      <c r="I22" s="8" t="n">
        <f aca="false">IF($B22="","",SUMIFS(Données!$L$2:$L$5000,Données!$A$2:$A$5000,$A22,Données!$B$2:$B$5000,$B$3))</f>
        <v>0</v>
      </c>
      <c r="J22" s="8" t="n">
        <f aca="false">IF($B22="","",SUMIFS(Données!$O$2:$O$5000,Données!$A$2:$A$5000,$A22,Données!$B$2:$B$5000,$B$3))</f>
        <v>7.33333333333333</v>
      </c>
      <c r="K22" s="8" t="n">
        <f aca="false">IF($B22="","",SUMIFS(Données!$N$2:$N$5000,Données!$A$2:$A$5000,$A22,Données!$B$2:$B$5000,$B$3))</f>
        <v>7.33333333333333</v>
      </c>
      <c r="L22" s="7" t="n">
        <f aca="false">IF($B22="","",IFERROR(K22/J22,0))</f>
        <v>1</v>
      </c>
      <c r="M22" s="8" t="n">
        <f aca="false">IF($B22="","",SUMIFS(Données!$S$2:$S$5000,Données!$A$2:$A$5000,$A22,Données!$B$2:$B$5000,$B$3))</f>
        <v>0</v>
      </c>
      <c r="N22" s="7" t="n">
        <f aca="false">IF($B22="","",IFERROR(M22/J22,0))</f>
        <v>0</v>
      </c>
      <c r="O22" s="8" t="n">
        <f aca="false">IF($B22="","",SUMIFS(Données!$X$2:$X$5000,Données!$A$2:$A$5000,$A22,Données!$B$2:$B$5000,$B$3))</f>
        <v>0.00625</v>
      </c>
    </row>
    <row r="23" customFormat="false" ht="15" hidden="false" customHeight="false" outlineLevel="0" collapsed="false">
      <c r="A23" s="6" t="str">
        <f aca="false">IF(B23="","",YEAR(B23+3)&amp;"-S"&amp;TEXT(WEEKNUM(B23,21),"00"))</f>
        <v>2026-S12</v>
      </c>
      <c r="B23" s="17" t="n">
        <f aca="false">IF(B22="","",IF(B22+7&gt;MAX(Données!$Q$2:$Q$5000),"",B22+7))</f>
        <v>46097</v>
      </c>
      <c r="C23" s="17" t="n">
        <f aca="false">IF(B23="","",B23+6)</f>
        <v>46103</v>
      </c>
      <c r="D23" s="6" t="n">
        <f aca="false">IF($B23="","",COUNTIFS(Données!$A$2:$A$5000,$A23,Données!$B$2:$B$5000,$B$3,Données!$O$2:$O$5000,"&gt;0"))</f>
        <v>18</v>
      </c>
      <c r="E23" s="6" t="n">
        <f aca="false">IF($B23="","",COUNTIFS(Données!$A$2:$A$5000,$A23,Données!$B$2:$B$5000,$B$3,Données!$M$2:$M$5000,"Abs"))</f>
        <v>0</v>
      </c>
      <c r="F23" s="7" t="n">
        <f aca="false">IF($B23="","",IFERROR(E23/D23,0))</f>
        <v>0</v>
      </c>
      <c r="G23" s="6" t="n">
        <f aca="false">IF($B23="","",COUNTIFS(Données!$A$2:$A$5000,$A23,Données!$B$2:$B$5000,$B$3,Données!$I$2:$I$5000,"&gt;0"))</f>
        <v>0</v>
      </c>
      <c r="H23" s="8" t="n">
        <f aca="false">IF($B23="","",SUMIFS(Données!$I$2:$I$5000,Données!$A$2:$A$5000,$A23,Données!$B$2:$B$5000,$B$3))</f>
        <v>0</v>
      </c>
      <c r="I23" s="8" t="n">
        <f aca="false">IF($B23="","",SUMIFS(Données!$L$2:$L$5000,Données!$A$2:$A$5000,$A23,Données!$B$2:$B$5000,$B$3))</f>
        <v>0</v>
      </c>
      <c r="J23" s="8" t="n">
        <f aca="false">IF($B23="","",SUMIFS(Données!$O$2:$O$5000,Données!$A$2:$A$5000,$A23,Données!$B$2:$B$5000,$B$3))</f>
        <v>6.66666666666667</v>
      </c>
      <c r="K23" s="8" t="n">
        <f aca="false">IF($B23="","",SUMIFS(Données!$N$2:$N$5000,Données!$A$2:$A$5000,$A23,Données!$B$2:$B$5000,$B$3))</f>
        <v>6.66666666666667</v>
      </c>
      <c r="L23" s="7" t="n">
        <f aca="false">IF($B23="","",IFERROR(K23/J23,0))</f>
        <v>1</v>
      </c>
      <c r="M23" s="8" t="n">
        <f aca="false">IF($B23="","",SUMIFS(Données!$S$2:$S$5000,Données!$A$2:$A$5000,$A23,Données!$B$2:$B$5000,$B$3))</f>
        <v>0</v>
      </c>
      <c r="N23" s="7" t="n">
        <f aca="false">IF($B23="","",IFERROR(M23/J23,0))</f>
        <v>0</v>
      </c>
      <c r="O23" s="8" t="n">
        <f aca="false">IF($B23="","",SUMIFS(Données!$X$2:$X$5000,Données!$A$2:$A$5000,$A23,Données!$B$2:$B$5000,$B$3))</f>
        <v>0.00625</v>
      </c>
    </row>
    <row r="24" customFormat="false" ht="15" hidden="false" customHeight="false" outlineLevel="0" collapsed="false">
      <c r="A24" s="6" t="str">
        <f aca="false">IF(B24="","",YEAR(B24+3)&amp;"-S"&amp;TEXT(WEEKNUM(B24,21),"00"))</f>
        <v>2026-S13</v>
      </c>
      <c r="B24" s="17" t="n">
        <f aca="false">IF(B23="","",IF(B23+7&gt;MAX(Données!$Q$2:$Q$5000),"",B23+7))</f>
        <v>46104</v>
      </c>
      <c r="C24" s="17" t="n">
        <f aca="false">IF(B24="","",B24+6)</f>
        <v>46110</v>
      </c>
      <c r="D24" s="6" t="n">
        <f aca="false">IF($B24="","",COUNTIFS(Données!$A$2:$A$5000,$A24,Données!$B$2:$B$5000,$B$3,Données!$O$2:$O$5000,"&gt;0"))</f>
        <v>20</v>
      </c>
      <c r="E24" s="6" t="n">
        <f aca="false">IF($B24="","",COUNTIFS(Données!$A$2:$A$5000,$A24,Données!$B$2:$B$5000,$B$3,Données!$M$2:$M$5000,"Abs"))</f>
        <v>0</v>
      </c>
      <c r="F24" s="7" t="n">
        <f aca="false">IF($B24="","",IFERROR(E24/D24,0))</f>
        <v>0</v>
      </c>
      <c r="G24" s="6" t="n">
        <f aca="false">IF($B24="","",COUNTIFS(Données!$A$2:$A$5000,$A24,Données!$B$2:$B$5000,$B$3,Données!$I$2:$I$5000,"&gt;0"))</f>
        <v>0</v>
      </c>
      <c r="H24" s="8" t="n">
        <f aca="false">IF($B24="","",SUMIFS(Données!$I$2:$I$5000,Données!$A$2:$A$5000,$A24,Données!$B$2:$B$5000,$B$3))</f>
        <v>0</v>
      </c>
      <c r="I24" s="8" t="n">
        <f aca="false">IF($B24="","",SUMIFS(Données!$L$2:$L$5000,Données!$A$2:$A$5000,$A24,Données!$B$2:$B$5000,$B$3))</f>
        <v>0</v>
      </c>
      <c r="J24" s="8" t="n">
        <f aca="false">IF($B24="","",SUMIFS(Données!$O$2:$O$5000,Données!$A$2:$A$5000,$A24,Données!$B$2:$B$5000,$B$3))</f>
        <v>7.33333333333333</v>
      </c>
      <c r="K24" s="8" t="n">
        <f aca="false">IF($B24="","",SUMIFS(Données!$N$2:$N$5000,Données!$A$2:$A$5000,$A24,Données!$B$2:$B$5000,$B$3))</f>
        <v>7.33333333333333</v>
      </c>
      <c r="L24" s="7" t="n">
        <f aca="false">IF($B24="","",IFERROR(K24/J24,0))</f>
        <v>1</v>
      </c>
      <c r="M24" s="8" t="n">
        <f aca="false">IF($B24="","",SUMIFS(Données!$S$2:$S$5000,Données!$A$2:$A$5000,$A24,Données!$B$2:$B$5000,$B$3))</f>
        <v>0</v>
      </c>
      <c r="N24" s="7" t="n">
        <f aca="false">IF($B24="","",IFERROR(M24/J24,0))</f>
        <v>0</v>
      </c>
      <c r="O24" s="8" t="n">
        <f aca="false">IF($B24="","",SUMIFS(Données!$X$2:$X$5000,Données!$A$2:$A$5000,$A24,Données!$B$2:$B$5000,$B$3))</f>
        <v>0.00763888888888889</v>
      </c>
    </row>
    <row r="25" customFormat="false" ht="15" hidden="false" customHeight="false" outlineLevel="0" collapsed="false">
      <c r="A25" s="6" t="str">
        <f aca="false">IF(B25="","",YEAR(B25+3)&amp;"-S"&amp;TEXT(WEEKNUM(B25,21),"00"))</f>
        <v>2026-S14</v>
      </c>
      <c r="B25" s="17" t="n">
        <f aca="false">IF(B24="","",IF(B24+7&gt;MAX(Données!$Q$2:$Q$5000),"",B24+7))</f>
        <v>46111</v>
      </c>
      <c r="C25" s="17" t="n">
        <f aca="false">IF(B25="","",B25+6)</f>
        <v>46117</v>
      </c>
      <c r="D25" s="6" t="n">
        <f aca="false">IF($B25="","",COUNTIFS(Données!$A$2:$A$5000,$A25,Données!$B$2:$B$5000,$B$3,Données!$O$2:$O$5000,"&gt;0"))</f>
        <v>20</v>
      </c>
      <c r="E25" s="6" t="n">
        <f aca="false">IF($B25="","",COUNTIFS(Données!$A$2:$A$5000,$A25,Données!$B$2:$B$5000,$B$3,Données!$M$2:$M$5000,"Abs"))</f>
        <v>0</v>
      </c>
      <c r="F25" s="7" t="n">
        <f aca="false">IF($B25="","",IFERROR(E25/D25,0))</f>
        <v>0</v>
      </c>
      <c r="G25" s="6" t="n">
        <f aca="false">IF($B25="","",COUNTIFS(Données!$A$2:$A$5000,$A25,Données!$B$2:$B$5000,$B$3,Données!$I$2:$I$5000,"&gt;0"))</f>
        <v>0</v>
      </c>
      <c r="H25" s="8" t="n">
        <f aca="false">IF($B25="","",SUMIFS(Données!$I$2:$I$5000,Données!$A$2:$A$5000,$A25,Données!$B$2:$B$5000,$B$3))</f>
        <v>0</v>
      </c>
      <c r="I25" s="8" t="n">
        <f aca="false">IF($B25="","",SUMIFS(Données!$L$2:$L$5000,Données!$A$2:$A$5000,$A25,Données!$B$2:$B$5000,$B$3))</f>
        <v>0</v>
      </c>
      <c r="J25" s="8" t="n">
        <f aca="false">IF($B25="","",SUMIFS(Données!$O$2:$O$5000,Données!$A$2:$A$5000,$A25,Données!$B$2:$B$5000,$B$3))</f>
        <v>7.33333333333333</v>
      </c>
      <c r="K25" s="8" t="n">
        <f aca="false">IF($B25="","",SUMIFS(Données!$N$2:$N$5000,Données!$A$2:$A$5000,$A25,Données!$B$2:$B$5000,$B$3))</f>
        <v>7.33333333333333</v>
      </c>
      <c r="L25" s="7" t="n">
        <f aca="false">IF($B25="","",IFERROR(K25/J25,0))</f>
        <v>1</v>
      </c>
      <c r="M25" s="8" t="n">
        <f aca="false">IF($B25="","",SUMIFS(Données!$S$2:$S$5000,Données!$A$2:$A$5000,$A25,Données!$B$2:$B$5000,$B$3))</f>
        <v>0</v>
      </c>
      <c r="N25" s="7" t="n">
        <f aca="false">IF($B25="","",IFERROR(M25/J25,0))</f>
        <v>0</v>
      </c>
      <c r="O25" s="8" t="n">
        <f aca="false">IF($B25="","",SUMIFS(Données!$X$2:$X$5000,Données!$A$2:$A$5000,$A25,Données!$B$2:$B$5000,$B$3))</f>
        <v>0.0104166666666667</v>
      </c>
    </row>
    <row r="26" customFormat="false" ht="15" hidden="false" customHeight="false" outlineLevel="0" collapsed="false">
      <c r="A26" s="6" t="str">
        <f aca="false">IF(B26="","",YEAR(B26+3)&amp;"-S"&amp;TEXT(WEEKNUM(B26,21),"00"))</f>
        <v>2026-S15</v>
      </c>
      <c r="B26" s="17" t="n">
        <f aca="false">IF(B25="","",IF(B25+7&gt;MAX(Données!$Q$2:$Q$5000),"",B25+7))</f>
        <v>46118</v>
      </c>
      <c r="C26" s="17" t="n">
        <f aca="false">IF(B26="","",B26+6)</f>
        <v>46124</v>
      </c>
      <c r="D26" s="6" t="n">
        <f aca="false">IF($B26="","",COUNTIFS(Données!$A$2:$A$5000,$A26,Données!$B$2:$B$5000,$B$3,Données!$O$2:$O$5000,"&gt;0"))</f>
        <v>16</v>
      </c>
      <c r="E26" s="6" t="n">
        <f aca="false">IF($B26="","",COUNTIFS(Données!$A$2:$A$5000,$A26,Données!$B$2:$B$5000,$B$3,Données!$M$2:$M$5000,"Abs"))</f>
        <v>4</v>
      </c>
      <c r="F26" s="7" t="n">
        <f aca="false">IF($B26="","",IFERROR(E26/D26,0))</f>
        <v>0.25</v>
      </c>
      <c r="G26" s="6" t="n">
        <f aca="false">IF($B26="","",COUNTIFS(Données!$A$2:$A$5000,$A26,Données!$B$2:$B$5000,$B$3,Données!$I$2:$I$5000,"&gt;0"))</f>
        <v>0</v>
      </c>
      <c r="H26" s="8" t="n">
        <f aca="false">IF($B26="","",SUMIFS(Données!$I$2:$I$5000,Données!$A$2:$A$5000,$A26,Données!$B$2:$B$5000,$B$3))</f>
        <v>0</v>
      </c>
      <c r="I26" s="8" t="n">
        <f aca="false">IF($B26="","",SUMIFS(Données!$L$2:$L$5000,Données!$A$2:$A$5000,$A26,Données!$B$2:$B$5000,$B$3))</f>
        <v>0</v>
      </c>
      <c r="J26" s="8" t="n">
        <f aca="false">IF($B26="","",SUMIFS(Données!$O$2:$O$5000,Données!$A$2:$A$5000,$A26,Données!$B$2:$B$5000,$B$3))</f>
        <v>5.83333333333333</v>
      </c>
      <c r="K26" s="8" t="n">
        <f aca="false">IF($B26="","",SUMIFS(Données!$N$2:$N$5000,Données!$A$2:$A$5000,$A26,Données!$B$2:$B$5000,$B$3))</f>
        <v>4.375</v>
      </c>
      <c r="L26" s="7" t="n">
        <f aca="false">IF($B26="","",IFERROR(K26/J26,0))</f>
        <v>0.75</v>
      </c>
      <c r="M26" s="8" t="n">
        <f aca="false">IF($B26="","",SUMIFS(Données!$S$2:$S$5000,Données!$A$2:$A$5000,$A26,Données!$B$2:$B$5000,$B$3))</f>
        <v>1.45833333333333</v>
      </c>
      <c r="N26" s="7" t="n">
        <f aca="false">IF($B26="","",IFERROR(M26/J26,0))</f>
        <v>0.25</v>
      </c>
      <c r="O26" s="8" t="n">
        <f aca="false">IF($B26="","",SUMIFS(Données!$X$2:$X$5000,Données!$A$2:$A$5000,$A26,Données!$B$2:$B$5000,$B$3))</f>
        <v>0.00277777777777778</v>
      </c>
    </row>
    <row r="27" customFormat="false" ht="15" hidden="false" customHeight="false" outlineLevel="0" collapsed="false">
      <c r="A27" s="6" t="str">
        <f aca="false">IF(B27="","",YEAR(B27+3)&amp;"-S"&amp;TEXT(WEEKNUM(B27,21),"00"))</f>
        <v>2026-S16</v>
      </c>
      <c r="B27" s="17" t="n">
        <f aca="false">IF(B26="","",IF(B26+7&gt;MAX(Données!$Q$2:$Q$5000),"",B26+7))</f>
        <v>46125</v>
      </c>
      <c r="C27" s="17" t="n">
        <f aca="false">IF(B27="","",B27+6)</f>
        <v>46131</v>
      </c>
      <c r="D27" s="6" t="n">
        <f aca="false">IF($B27="","",COUNTIFS(Données!$A$2:$A$5000,$A27,Données!$B$2:$B$5000,$B$3,Données!$O$2:$O$5000,"&gt;0"))</f>
        <v>18</v>
      </c>
      <c r="E27" s="6" t="n">
        <f aca="false">IF($B27="","",COUNTIFS(Données!$A$2:$A$5000,$A27,Données!$B$2:$B$5000,$B$3,Données!$M$2:$M$5000,"Abs"))</f>
        <v>0</v>
      </c>
      <c r="F27" s="7" t="n">
        <f aca="false">IF($B27="","",IFERROR(E27/D27,0))</f>
        <v>0</v>
      </c>
      <c r="G27" s="6" t="n">
        <f aca="false">IF($B27="","",COUNTIFS(Données!$A$2:$A$5000,$A27,Données!$B$2:$B$5000,$B$3,Données!$I$2:$I$5000,"&gt;0"))</f>
        <v>0</v>
      </c>
      <c r="H27" s="8" t="n">
        <f aca="false">IF($B27="","",SUMIFS(Données!$I$2:$I$5000,Données!$A$2:$A$5000,$A27,Données!$B$2:$B$5000,$B$3))</f>
        <v>0</v>
      </c>
      <c r="I27" s="8" t="n">
        <f aca="false">IF($B27="","",SUMIFS(Données!$L$2:$L$5000,Données!$A$2:$A$5000,$A27,Données!$B$2:$B$5000,$B$3))</f>
        <v>0</v>
      </c>
      <c r="J27" s="8" t="n">
        <f aca="false">IF($B27="","",SUMIFS(Données!$O$2:$O$5000,Données!$A$2:$A$5000,$A27,Données!$B$2:$B$5000,$B$3))</f>
        <v>6.58333333333333</v>
      </c>
      <c r="K27" s="8" t="n">
        <f aca="false">IF($B27="","",SUMIFS(Données!$N$2:$N$5000,Données!$A$2:$A$5000,$A27,Données!$B$2:$B$5000,$B$3))</f>
        <v>6.58333333333333</v>
      </c>
      <c r="L27" s="7" t="n">
        <f aca="false">IF($B27="","",IFERROR(K27/J27,0))</f>
        <v>1</v>
      </c>
      <c r="M27" s="8" t="n">
        <f aca="false">IF($B27="","",SUMIFS(Données!$S$2:$S$5000,Données!$A$2:$A$5000,$A27,Données!$B$2:$B$5000,$B$3))</f>
        <v>0</v>
      </c>
      <c r="N27" s="7" t="n">
        <f aca="false">IF($B27="","",IFERROR(M27/J27,0))</f>
        <v>0</v>
      </c>
      <c r="O27" s="8" t="n">
        <f aca="false">IF($B27="","",SUMIFS(Données!$X$2:$X$5000,Données!$A$2:$A$5000,$A27,Données!$B$2:$B$5000,$B$3))</f>
        <v>0.0152777777777778</v>
      </c>
    </row>
    <row r="28" customFormat="false" ht="15" hidden="false" customHeight="false" outlineLevel="0" collapsed="false">
      <c r="A28" s="6" t="str">
        <f aca="false">IF(B28="","",YEAR(B28+3)&amp;"-S"&amp;TEXT(WEEKNUM(B28,21),"00"))</f>
        <v>2026-S17</v>
      </c>
      <c r="B28" s="17" t="n">
        <f aca="false">IF(B27="","",IF(B27+7&gt;MAX(Données!$Q$2:$Q$5000),"",B27+7))</f>
        <v>46132</v>
      </c>
      <c r="C28" s="17" t="n">
        <f aca="false">IF(B28="","",B28+6)</f>
        <v>46138</v>
      </c>
      <c r="D28" s="6" t="n">
        <f aca="false">IF($B28="","",COUNTIFS(Données!$A$2:$A$5000,$A28,Données!$B$2:$B$5000,$B$3,Données!$O$2:$O$5000,"&gt;0"))</f>
        <v>16</v>
      </c>
      <c r="E28" s="6" t="n">
        <f aca="false">IF($B28="","",COUNTIFS(Données!$A$2:$A$5000,$A28,Données!$B$2:$B$5000,$B$3,Données!$M$2:$M$5000,"Abs"))</f>
        <v>1</v>
      </c>
      <c r="F28" s="7" t="n">
        <f aca="false">IF($B28="","",IFERROR(E28/D28,0))</f>
        <v>0.0625</v>
      </c>
      <c r="G28" s="6" t="n">
        <f aca="false">IF($B28="","",COUNTIFS(Données!$A$2:$A$5000,$A28,Données!$B$2:$B$5000,$B$3,Données!$I$2:$I$5000,"&gt;0"))</f>
        <v>0</v>
      </c>
      <c r="H28" s="8" t="n">
        <f aca="false">IF($B28="","",SUMIFS(Données!$I$2:$I$5000,Données!$A$2:$A$5000,$A28,Données!$B$2:$B$5000,$B$3))</f>
        <v>0</v>
      </c>
      <c r="I28" s="8" t="n">
        <f aca="false">IF($B28="","",SUMIFS(Données!$L$2:$L$5000,Données!$A$2:$A$5000,$A28,Données!$B$2:$B$5000,$B$3))</f>
        <v>0</v>
      </c>
      <c r="J28" s="8" t="n">
        <f aca="false">IF($B28="","",SUMIFS(Données!$O$2:$O$5000,Données!$A$2:$A$5000,$A28,Données!$B$2:$B$5000,$B$3))</f>
        <v>5.875</v>
      </c>
      <c r="K28" s="8" t="n">
        <f aca="false">IF($B28="","",SUMIFS(Données!$N$2:$N$5000,Données!$A$2:$A$5000,$A28,Données!$B$2:$B$5000,$B$3))</f>
        <v>5.5</v>
      </c>
      <c r="L28" s="7" t="n">
        <f aca="false">IF($B28="","",IFERROR(K28/J28,0))</f>
        <v>0.936170212765958</v>
      </c>
      <c r="M28" s="8" t="n">
        <f aca="false">IF($B28="","",SUMIFS(Données!$S$2:$S$5000,Données!$A$2:$A$5000,$A28,Données!$B$2:$B$5000,$B$3))</f>
        <v>0.375</v>
      </c>
      <c r="N28" s="7" t="n">
        <f aca="false">IF($B28="","",IFERROR(M28/J28,0))</f>
        <v>0.0638297872340426</v>
      </c>
      <c r="O28" s="8" t="n">
        <f aca="false">IF($B28="","",SUMIFS(Données!$X$2:$X$5000,Données!$A$2:$A$5000,$A28,Données!$B$2:$B$5000,$B$3))</f>
        <v>0.0111111111111111</v>
      </c>
    </row>
    <row r="29" customFormat="false" ht="15" hidden="false" customHeight="false" outlineLevel="0" collapsed="false">
      <c r="A29" s="6" t="str">
        <f aca="false">IF(B29="","",YEAR(B29+3)&amp;"-S"&amp;TEXT(WEEKNUM(B29,21),"00"))</f>
        <v>2026-S18</v>
      </c>
      <c r="B29" s="17" t="n">
        <f aca="false">IF(B28="","",IF(B28+7&gt;MAX(Données!$Q$2:$Q$5000),"",B28+7))</f>
        <v>46139</v>
      </c>
      <c r="C29" s="17" t="n">
        <f aca="false">IF(B29="","",B29+6)</f>
        <v>46145</v>
      </c>
      <c r="D29" s="6" t="n">
        <f aca="false">IF($B29="","",COUNTIFS(Données!$A$2:$A$5000,$A29,Données!$B$2:$B$5000,$B$3,Données!$O$2:$O$5000,"&gt;0"))</f>
        <v>12</v>
      </c>
      <c r="E29" s="6" t="n">
        <f aca="false">IF($B29="","",COUNTIFS(Données!$A$2:$A$5000,$A29,Données!$B$2:$B$5000,$B$3,Données!$M$2:$M$5000,"Abs"))</f>
        <v>0</v>
      </c>
      <c r="F29" s="7" t="n">
        <f aca="false">IF($B29="","",IFERROR(E29/D29,0))</f>
        <v>0</v>
      </c>
      <c r="G29" s="6" t="n">
        <f aca="false">IF($B29="","",COUNTIFS(Données!$A$2:$A$5000,$A29,Données!$B$2:$B$5000,$B$3,Données!$I$2:$I$5000,"&gt;0"))</f>
        <v>0</v>
      </c>
      <c r="H29" s="8" t="n">
        <f aca="false">IF($B29="","",SUMIFS(Données!$I$2:$I$5000,Données!$A$2:$A$5000,$A29,Données!$B$2:$B$5000,$B$3))</f>
        <v>0</v>
      </c>
      <c r="I29" s="8" t="n">
        <f aca="false">IF($B29="","",SUMIFS(Données!$L$2:$L$5000,Données!$A$2:$A$5000,$A29,Données!$B$2:$B$5000,$B$3))</f>
        <v>0</v>
      </c>
      <c r="J29" s="8" t="n">
        <f aca="false">IF($B29="","",SUMIFS(Données!$O$2:$O$5000,Données!$A$2:$A$5000,$A29,Données!$B$2:$B$5000,$B$3))</f>
        <v>4.5</v>
      </c>
      <c r="K29" s="8" t="n">
        <f aca="false">IF($B29="","",SUMIFS(Données!$N$2:$N$5000,Données!$A$2:$A$5000,$A29,Données!$B$2:$B$5000,$B$3))</f>
        <v>4.5</v>
      </c>
      <c r="L29" s="7" t="n">
        <f aca="false">IF($B29="","",IFERROR(K29/J29,0))</f>
        <v>1</v>
      </c>
      <c r="M29" s="8" t="n">
        <f aca="false">IF($B29="","",SUMIFS(Données!$S$2:$S$5000,Données!$A$2:$A$5000,$A29,Données!$B$2:$B$5000,$B$3))</f>
        <v>0</v>
      </c>
      <c r="N29" s="7" t="n">
        <f aca="false">IF($B29="","",IFERROR(M29/J29,0))</f>
        <v>0</v>
      </c>
      <c r="O29" s="8" t="n">
        <f aca="false">IF($B29="","",SUMIFS(Données!$X$2:$X$5000,Données!$A$2:$A$5000,$A29,Données!$B$2:$B$5000,$B$3))</f>
        <v>0.00694444444444445</v>
      </c>
    </row>
    <row r="30" customFormat="false" ht="15" hidden="false" customHeight="false" outlineLevel="0" collapsed="false">
      <c r="A30" s="6" t="str">
        <f aca="false">IF(B30="","",YEAR(B30+3)&amp;"-S"&amp;TEXT(WEEKNUM(B30,21),"00"))</f>
        <v>2026-S19</v>
      </c>
      <c r="B30" s="17" t="n">
        <f aca="false">IF(B29="","",IF(B29+7&gt;MAX(Données!$Q$2:$Q$5000),"",B29+7))</f>
        <v>46146</v>
      </c>
      <c r="C30" s="17" t="n">
        <f aca="false">IF(B30="","",B30+6)</f>
        <v>46152</v>
      </c>
      <c r="D30" s="6" t="n">
        <f aca="false">IF($B30="","",COUNTIFS(Données!$A$2:$A$5000,$A30,Données!$B$2:$B$5000,$B$3,Données!$O$2:$O$5000,"&gt;0"))</f>
        <v>12</v>
      </c>
      <c r="E30" s="6" t="n">
        <f aca="false">IF($B30="","",COUNTIFS(Données!$A$2:$A$5000,$A30,Données!$B$2:$B$5000,$B$3,Données!$M$2:$M$5000,"Abs"))</f>
        <v>0</v>
      </c>
      <c r="F30" s="7" t="n">
        <f aca="false">IF($B30="","",IFERROR(E30/D30,0))</f>
        <v>0</v>
      </c>
      <c r="G30" s="6" t="n">
        <f aca="false">IF($B30="","",COUNTIFS(Données!$A$2:$A$5000,$A30,Données!$B$2:$B$5000,$B$3,Données!$I$2:$I$5000,"&gt;0"))</f>
        <v>0</v>
      </c>
      <c r="H30" s="8" t="n">
        <f aca="false">IF($B30="","",SUMIFS(Données!$I$2:$I$5000,Données!$A$2:$A$5000,$A30,Données!$B$2:$B$5000,$B$3))</f>
        <v>0</v>
      </c>
      <c r="I30" s="8" t="n">
        <f aca="false">IF($B30="","",SUMIFS(Données!$L$2:$L$5000,Données!$A$2:$A$5000,$A30,Données!$B$2:$B$5000,$B$3))</f>
        <v>0</v>
      </c>
      <c r="J30" s="8" t="n">
        <f aca="false">IF($B30="","",SUMIFS(Données!$O$2:$O$5000,Données!$A$2:$A$5000,$A30,Données!$B$2:$B$5000,$B$3))</f>
        <v>4.5</v>
      </c>
      <c r="K30" s="8" t="n">
        <f aca="false">IF($B30="","",SUMIFS(Données!$N$2:$N$5000,Données!$A$2:$A$5000,$A30,Données!$B$2:$B$5000,$B$3))</f>
        <v>4.5</v>
      </c>
      <c r="L30" s="7" t="n">
        <f aca="false">IF($B30="","",IFERROR(K30/J30,0))</f>
        <v>1</v>
      </c>
      <c r="M30" s="8" t="n">
        <f aca="false">IF($B30="","",SUMIFS(Données!$S$2:$S$5000,Données!$A$2:$A$5000,$A30,Données!$B$2:$B$5000,$B$3))</f>
        <v>0</v>
      </c>
      <c r="N30" s="7" t="n">
        <f aca="false">IF($B30="","",IFERROR(M30/J30,0))</f>
        <v>0</v>
      </c>
      <c r="O30" s="8" t="n">
        <f aca="false">IF($B30="","",SUMIFS(Données!$X$2:$X$5000,Données!$A$2:$A$5000,$A30,Données!$B$2:$B$5000,$B$3))</f>
        <v>0.00972222222222222</v>
      </c>
    </row>
    <row r="31" customFormat="false" ht="15" hidden="false" customHeight="false" outlineLevel="0" collapsed="false">
      <c r="A31" s="6" t="str">
        <f aca="false">IF(B31="","",YEAR(B31+3)&amp;"-S"&amp;TEXT(WEEKNUM(B31,21),"00"))</f>
        <v>2026-S20</v>
      </c>
      <c r="B31" s="17" t="n">
        <f aca="false">IF(B30="","",IF(B30+7&gt;MAX(Données!$Q$2:$Q$5000),"",B30+7))</f>
        <v>46153</v>
      </c>
      <c r="C31" s="17" t="n">
        <f aca="false">IF(B31="","",B31+6)</f>
        <v>46159</v>
      </c>
      <c r="D31" s="6" t="n">
        <f aca="false">IF($B31="","",COUNTIFS(Données!$A$2:$A$5000,$A31,Données!$B$2:$B$5000,$B$3,Données!$O$2:$O$5000,"&gt;0"))</f>
        <v>6</v>
      </c>
      <c r="E31" s="6" t="n">
        <f aca="false">IF($B31="","",COUNTIFS(Données!$A$2:$A$5000,$A31,Données!$B$2:$B$5000,$B$3,Données!$M$2:$M$5000,"Abs"))</f>
        <v>0</v>
      </c>
      <c r="F31" s="7" t="n">
        <f aca="false">IF($B31="","",IFERROR(E31/D31,0))</f>
        <v>0</v>
      </c>
      <c r="G31" s="6" t="n">
        <f aca="false">IF($B31="","",COUNTIFS(Données!$A$2:$A$5000,$A31,Données!$B$2:$B$5000,$B$3,Données!$I$2:$I$5000,"&gt;0"))</f>
        <v>0</v>
      </c>
      <c r="H31" s="8" t="n">
        <f aca="false">IF($B31="","",SUMIFS(Données!$I$2:$I$5000,Données!$A$2:$A$5000,$A31,Données!$B$2:$B$5000,$B$3))</f>
        <v>0</v>
      </c>
      <c r="I31" s="8" t="n">
        <f aca="false">IF($B31="","",SUMIFS(Données!$L$2:$L$5000,Données!$A$2:$A$5000,$A31,Données!$B$2:$B$5000,$B$3))</f>
        <v>0</v>
      </c>
      <c r="J31" s="8" t="n">
        <f aca="false">IF($B31="","",SUMIFS(Données!$O$2:$O$5000,Données!$A$2:$A$5000,$A31,Données!$B$2:$B$5000,$B$3))</f>
        <v>2.25</v>
      </c>
      <c r="K31" s="8" t="n">
        <f aca="false">IF($B31="","",SUMIFS(Données!$N$2:$N$5000,Données!$A$2:$A$5000,$A31,Données!$B$2:$B$5000,$B$3))</f>
        <v>2.25</v>
      </c>
      <c r="L31" s="7" t="n">
        <f aca="false">IF($B31="","",IFERROR(K31/J31,0))</f>
        <v>1</v>
      </c>
      <c r="M31" s="8" t="n">
        <f aca="false">IF($B31="","",SUMIFS(Données!$S$2:$S$5000,Données!$A$2:$A$5000,$A31,Données!$B$2:$B$5000,$B$3))</f>
        <v>0</v>
      </c>
      <c r="N31" s="7" t="n">
        <f aca="false">IF($B31="","",IFERROR(M31/J31,0))</f>
        <v>0</v>
      </c>
      <c r="O31" s="8" t="n">
        <f aca="false">IF($B31="","",SUMIFS(Données!$X$2:$X$5000,Données!$A$2:$A$5000,$A31,Données!$B$2:$B$5000,$B$3))</f>
        <v>0.00416666666666667</v>
      </c>
    </row>
    <row r="32" customFormat="false" ht="15" hidden="false" customHeight="false" outlineLevel="0" collapsed="false">
      <c r="A32" s="6" t="str">
        <f aca="false">IF(B32="","",YEAR(B32+3)&amp;"-S"&amp;TEXT(WEEKNUM(B32,21),"00"))</f>
        <v>2026-S21</v>
      </c>
      <c r="B32" s="17" t="n">
        <f aca="false">IF(B31="","",IF(B31+7&gt;MAX(Données!$Q$2:$Q$5000),"",B31+7))</f>
        <v>46160</v>
      </c>
      <c r="C32" s="17" t="n">
        <f aca="false">IF(B32="","",B32+6)</f>
        <v>46166</v>
      </c>
      <c r="D32" s="6" t="n">
        <f aca="false">IF($B32="","",COUNTIFS(Données!$A$2:$A$5000,$A32,Données!$B$2:$B$5000,$B$3,Données!$O$2:$O$5000,"&gt;0"))</f>
        <v>15</v>
      </c>
      <c r="E32" s="6" t="n">
        <f aca="false">IF($B32="","",COUNTIFS(Données!$A$2:$A$5000,$A32,Données!$B$2:$B$5000,$B$3,Données!$M$2:$M$5000,"Abs"))</f>
        <v>1</v>
      </c>
      <c r="F32" s="7" t="n">
        <f aca="false">IF($B32="","",IFERROR(E32/D32,0))</f>
        <v>0.0666666666666667</v>
      </c>
      <c r="G32" s="6" t="n">
        <f aca="false">IF($B32="","",COUNTIFS(Données!$A$2:$A$5000,$A32,Données!$B$2:$B$5000,$B$3,Données!$I$2:$I$5000,"&gt;0"))</f>
        <v>1</v>
      </c>
      <c r="H32" s="8" t="n">
        <f aca="false">IF($B32="","",SUMIFS(Données!$I$2:$I$5000,Données!$A$2:$A$5000,$A32,Données!$B$2:$B$5000,$B$3))</f>
        <v>0.00555555555555556</v>
      </c>
      <c r="I32" s="8" t="n">
        <f aca="false">IF($B32="","",SUMIFS(Données!$L$2:$L$5000,Données!$A$2:$A$5000,$A32,Données!$B$2:$B$5000,$B$3))</f>
        <v>0</v>
      </c>
      <c r="J32" s="8" t="n">
        <f aca="false">IF($B32="","",SUMIFS(Données!$O$2:$O$5000,Données!$A$2:$A$5000,$A32,Données!$B$2:$B$5000,$B$3))</f>
        <v>5.5</v>
      </c>
      <c r="K32" s="8" t="n">
        <f aca="false">IF($B32="","",SUMIFS(Données!$N$2:$N$5000,Données!$A$2:$A$5000,$A32,Données!$B$2:$B$5000,$B$3))</f>
        <v>5.11944444444444</v>
      </c>
      <c r="L32" s="7" t="n">
        <f aca="false">IF($B32="","",IFERROR(K32/J32,0))</f>
        <v>0.930808080808081</v>
      </c>
      <c r="M32" s="8" t="n">
        <f aca="false">IF($B32="","",SUMIFS(Données!$S$2:$S$5000,Données!$A$2:$A$5000,$A32,Données!$B$2:$B$5000,$B$3))</f>
        <v>0.380555555555556</v>
      </c>
      <c r="N32" s="7" t="n">
        <f aca="false">IF($B32="","",IFERROR(M32/J32,0))</f>
        <v>0.0691919191919192</v>
      </c>
      <c r="O32" s="8" t="n">
        <f aca="false">IF($B32="","",SUMIFS(Données!$X$2:$X$5000,Données!$A$2:$A$5000,$A32,Données!$B$2:$B$5000,$B$3))</f>
        <v>0.00555555555555556</v>
      </c>
    </row>
    <row r="33" customFormat="false" ht="15" hidden="false" customHeight="false" outlineLevel="0" collapsed="false">
      <c r="A33" s="6" t="str">
        <f aca="false">IF(B33="","",YEAR(B33+3)&amp;"-S"&amp;TEXT(WEEKNUM(B33,21),"00"))</f>
        <v>2026-S22</v>
      </c>
      <c r="B33" s="17" t="n">
        <f aca="false">IF(B32="","",IF(B32+7&gt;MAX(Données!$Q$2:$Q$5000),"",B32+7))</f>
        <v>46167</v>
      </c>
      <c r="C33" s="17" t="n">
        <f aca="false">IF(B33="","",B33+6)</f>
        <v>46173</v>
      </c>
      <c r="D33" s="6" t="n">
        <f aca="false">IF($B33="","",COUNTIFS(Données!$A$2:$A$5000,$A33,Données!$B$2:$B$5000,$B$3,Données!$O$2:$O$5000,"&gt;0"))</f>
        <v>12</v>
      </c>
      <c r="E33" s="6" t="n">
        <f aca="false">IF($B33="","",COUNTIFS(Données!$A$2:$A$5000,$A33,Données!$B$2:$B$5000,$B$3,Données!$M$2:$M$5000,"Abs"))</f>
        <v>0</v>
      </c>
      <c r="F33" s="7" t="n">
        <f aca="false">IF($B33="","",IFERROR(E33/D33,0))</f>
        <v>0</v>
      </c>
      <c r="G33" s="6" t="n">
        <f aca="false">IF($B33="","",COUNTIFS(Données!$A$2:$A$5000,$A33,Données!$B$2:$B$5000,$B$3,Données!$I$2:$I$5000,"&gt;0"))</f>
        <v>1</v>
      </c>
      <c r="H33" s="8" t="n">
        <f aca="false">IF($B33="","",SUMIFS(Données!$I$2:$I$5000,Données!$A$2:$A$5000,$A33,Données!$B$2:$B$5000,$B$3))</f>
        <v>0.00138888888888889</v>
      </c>
      <c r="I33" s="8" t="n">
        <f aca="false">IF($B33="","",SUMIFS(Données!$L$2:$L$5000,Données!$A$2:$A$5000,$A33,Données!$B$2:$B$5000,$B$3))</f>
        <v>0</v>
      </c>
      <c r="J33" s="8" t="n">
        <f aca="false">IF($B33="","",SUMIFS(Données!$O$2:$O$5000,Données!$A$2:$A$5000,$A33,Données!$B$2:$B$5000,$B$3))</f>
        <v>4.375</v>
      </c>
      <c r="K33" s="8" t="n">
        <f aca="false">IF($B33="","",SUMIFS(Données!$N$2:$N$5000,Données!$A$2:$A$5000,$A33,Données!$B$2:$B$5000,$B$3))</f>
        <v>4.37361111111111</v>
      </c>
      <c r="L33" s="7" t="n">
        <f aca="false">IF($B33="","",IFERROR(K33/J33,0))</f>
        <v>0.99968253968254</v>
      </c>
      <c r="M33" s="8" t="n">
        <f aca="false">IF($B33="","",SUMIFS(Données!$S$2:$S$5000,Données!$A$2:$A$5000,$A33,Données!$B$2:$B$5000,$B$3))</f>
        <v>0.00138888888888889</v>
      </c>
      <c r="N33" s="7" t="n">
        <f aca="false">IF($B33="","",IFERROR(M33/J33,0))</f>
        <v>0.000317460317460317</v>
      </c>
      <c r="O33" s="8" t="n">
        <f aca="false">IF($B33="","",SUMIFS(Données!$X$2:$X$5000,Données!$A$2:$A$5000,$A33,Données!$B$2:$B$5000,$B$3))</f>
        <v>0.00486111111111111</v>
      </c>
    </row>
    <row r="34" customFormat="false" ht="15" hidden="false" customHeight="false" outlineLevel="0" collapsed="false">
      <c r="A34" s="6" t="str">
        <f aca="false">IF(B34="","",YEAR(B34+3)&amp;"-S"&amp;TEXT(WEEKNUM(B34,21),"00"))</f>
        <v>2026-S23</v>
      </c>
      <c r="B34" s="17" t="n">
        <f aca="false">IF(B33="","",IF(B33+7&gt;MAX(Données!$Q$2:$Q$5000),"",B33+7))</f>
        <v>46174</v>
      </c>
      <c r="C34" s="17" t="n">
        <f aca="false">IF(B34="","",B34+6)</f>
        <v>46180</v>
      </c>
      <c r="D34" s="6" t="n">
        <f aca="false">IF($B34="","",COUNTIFS(Données!$A$2:$A$5000,$A34,Données!$B$2:$B$5000,$B$3,Données!$O$2:$O$5000,"&gt;0"))</f>
        <v>15</v>
      </c>
      <c r="E34" s="6" t="n">
        <f aca="false">IF($B34="","",COUNTIFS(Données!$A$2:$A$5000,$A34,Données!$B$2:$B$5000,$B$3,Données!$M$2:$M$5000,"Abs"))</f>
        <v>0</v>
      </c>
      <c r="F34" s="7" t="n">
        <f aca="false">IF($B34="","",IFERROR(E34/D34,0))</f>
        <v>0</v>
      </c>
      <c r="G34" s="6" t="n">
        <f aca="false">IF($B34="","",COUNTIFS(Données!$A$2:$A$5000,$A34,Données!$B$2:$B$5000,$B$3,Données!$I$2:$I$5000,"&gt;0"))</f>
        <v>2</v>
      </c>
      <c r="H34" s="8" t="n">
        <f aca="false">IF($B34="","",SUMIFS(Données!$I$2:$I$5000,Données!$A$2:$A$5000,$A34,Données!$B$2:$B$5000,$B$3))</f>
        <v>0.00763888888888889</v>
      </c>
      <c r="I34" s="8" t="n">
        <f aca="false">IF($B34="","",SUMIFS(Données!$L$2:$L$5000,Données!$A$2:$A$5000,$A34,Données!$B$2:$B$5000,$B$3))</f>
        <v>0</v>
      </c>
      <c r="J34" s="8" t="n">
        <f aca="false">IF($B34="","",SUMIFS(Données!$O$2:$O$5000,Données!$A$2:$A$5000,$A34,Données!$B$2:$B$5000,$B$3))</f>
        <v>5.5</v>
      </c>
      <c r="K34" s="8" t="n">
        <f aca="false">IF($B34="","",SUMIFS(Données!$N$2:$N$5000,Données!$A$2:$A$5000,$A34,Données!$B$2:$B$5000,$B$3))</f>
        <v>5.49236111111111</v>
      </c>
      <c r="L34" s="7" t="n">
        <f aca="false">IF($B34="","",IFERROR(K34/J34,0))</f>
        <v>0.998611111111111</v>
      </c>
      <c r="M34" s="8" t="n">
        <f aca="false">IF($B34="","",SUMIFS(Données!$S$2:$S$5000,Données!$A$2:$A$5000,$A34,Données!$B$2:$B$5000,$B$3))</f>
        <v>0.00763888888888889</v>
      </c>
      <c r="N34" s="7" t="n">
        <f aca="false">IF($B34="","",IFERROR(M34/J34,0))</f>
        <v>0.00138888888888889</v>
      </c>
      <c r="O34" s="8" t="n">
        <f aca="false">IF($B34="","",SUMIFS(Données!$X$2:$X$5000,Données!$A$2:$A$5000,$A34,Données!$B$2:$B$5000,$B$3))</f>
        <v>0.0152777777777778</v>
      </c>
    </row>
    <row r="35" customFormat="false" ht="15" hidden="false" customHeight="false" outlineLevel="0" collapsed="false">
      <c r="A35" s="6" t="str">
        <f aca="false">IF(B35="","",YEAR(B35+3)&amp;"-S"&amp;TEXT(WEEKNUM(B35,21),"00"))</f>
        <v>2026-S24</v>
      </c>
      <c r="B35" s="17" t="n">
        <f aca="false">IF(B34="","",IF(B34+7&gt;MAX(Données!$Q$2:$Q$5000),"",B34+7))</f>
        <v>46181</v>
      </c>
      <c r="C35" s="17" t="n">
        <f aca="false">IF(B35="","",B35+6)</f>
        <v>46187</v>
      </c>
      <c r="D35" s="6" t="n">
        <f aca="false">IF($B35="","",COUNTIFS(Données!$A$2:$A$5000,$A35,Données!$B$2:$B$5000,$B$3,Données!$O$2:$O$5000,"&gt;0"))</f>
        <v>15</v>
      </c>
      <c r="E35" s="6" t="n">
        <f aca="false">IF($B35="","",COUNTIFS(Données!$A$2:$A$5000,$A35,Données!$B$2:$B$5000,$B$3,Données!$M$2:$M$5000,"Abs"))</f>
        <v>0</v>
      </c>
      <c r="F35" s="7" t="n">
        <f aca="false">IF($B35="","",IFERROR(E35/D35,0))</f>
        <v>0</v>
      </c>
      <c r="G35" s="6" t="n">
        <f aca="false">IF($B35="","",COUNTIFS(Données!$A$2:$A$5000,$A35,Données!$B$2:$B$5000,$B$3,Données!$I$2:$I$5000,"&gt;0"))</f>
        <v>0</v>
      </c>
      <c r="H35" s="8" t="n">
        <f aca="false">IF($B35="","",SUMIFS(Données!$I$2:$I$5000,Données!$A$2:$A$5000,$A35,Données!$B$2:$B$5000,$B$3))</f>
        <v>0</v>
      </c>
      <c r="I35" s="8" t="n">
        <f aca="false">IF($B35="","",SUMIFS(Données!$L$2:$L$5000,Données!$A$2:$A$5000,$A35,Données!$B$2:$B$5000,$B$3))</f>
        <v>0</v>
      </c>
      <c r="J35" s="8" t="n">
        <f aca="false">IF($B35="","",SUMIFS(Données!$O$2:$O$5000,Données!$A$2:$A$5000,$A35,Données!$B$2:$B$5000,$B$3))</f>
        <v>5.5</v>
      </c>
      <c r="K35" s="8" t="n">
        <f aca="false">IF($B35="","",SUMIFS(Données!$N$2:$N$5000,Données!$A$2:$A$5000,$A35,Données!$B$2:$B$5000,$B$3))</f>
        <v>5.5</v>
      </c>
      <c r="L35" s="7" t="n">
        <f aca="false">IF($B35="","",IFERROR(K35/J35,0))</f>
        <v>1</v>
      </c>
      <c r="M35" s="8" t="n">
        <f aca="false">IF($B35="","",SUMIFS(Données!$S$2:$S$5000,Données!$A$2:$A$5000,$A35,Données!$B$2:$B$5000,$B$3))</f>
        <v>0</v>
      </c>
      <c r="N35" s="7" t="n">
        <f aca="false">IF($B35="","",IFERROR(M35/J35,0))</f>
        <v>0</v>
      </c>
      <c r="O35" s="8" t="n">
        <f aca="false">IF($B35="","",SUMIFS(Données!$X$2:$X$5000,Données!$A$2:$A$5000,$A35,Données!$B$2:$B$5000,$B$3))</f>
        <v>0.00555555555555556</v>
      </c>
    </row>
    <row r="36" customFormat="false" ht="15" hidden="false" customHeight="false" outlineLevel="0" collapsed="false">
      <c r="A36" s="6" t="str">
        <f aca="false">IF(B36="","",YEAR(B36+3)&amp;"-S"&amp;TEXT(WEEKNUM(B36,21),"00"))</f>
        <v>2026-S25</v>
      </c>
      <c r="B36" s="17" t="n">
        <f aca="false">IF(B35="","",IF(B35+7&gt;MAX(Données!$Q$2:$Q$5000),"",B35+7))</f>
        <v>46188</v>
      </c>
      <c r="C36" s="17" t="n">
        <f aca="false">IF(B36="","",B36+6)</f>
        <v>46194</v>
      </c>
      <c r="D36" s="6" t="n">
        <f aca="false">IF($B36="","",COUNTIFS(Données!$A$2:$A$5000,$A36,Données!$B$2:$B$5000,$B$3,Données!$O$2:$O$5000,"&gt;0"))</f>
        <v>14</v>
      </c>
      <c r="E36" s="6" t="n">
        <f aca="false">IF($B36="","",COUNTIFS(Données!$A$2:$A$5000,$A36,Données!$B$2:$B$5000,$B$3,Données!$M$2:$M$5000,"Abs"))</f>
        <v>0</v>
      </c>
      <c r="F36" s="7" t="n">
        <f aca="false">IF($B36="","",IFERROR(E36/D36,0))</f>
        <v>0</v>
      </c>
      <c r="G36" s="6" t="n">
        <f aca="false">IF($B36="","",COUNTIFS(Données!$A$2:$A$5000,$A36,Données!$B$2:$B$5000,$B$3,Données!$I$2:$I$5000,"&gt;0"))</f>
        <v>0</v>
      </c>
      <c r="H36" s="8" t="n">
        <f aca="false">IF($B36="","",SUMIFS(Données!$I$2:$I$5000,Données!$A$2:$A$5000,$A36,Données!$B$2:$B$5000,$B$3))</f>
        <v>0</v>
      </c>
      <c r="I36" s="8" t="n">
        <f aca="false">IF($B36="","",SUMIFS(Données!$L$2:$L$5000,Données!$A$2:$A$5000,$A36,Données!$B$2:$B$5000,$B$3))</f>
        <v>0</v>
      </c>
      <c r="J36" s="8" t="n">
        <f aca="false">IF($B36="","",SUMIFS(Données!$O$2:$O$5000,Données!$A$2:$A$5000,$A36,Données!$B$2:$B$5000,$B$3))</f>
        <v>5.16666666666667</v>
      </c>
      <c r="K36" s="8" t="n">
        <f aca="false">IF($B36="","",SUMIFS(Données!$N$2:$N$5000,Données!$A$2:$A$5000,$A36,Données!$B$2:$B$5000,$B$3))</f>
        <v>5.16666666666667</v>
      </c>
      <c r="L36" s="7" t="n">
        <f aca="false">IF($B36="","",IFERROR(K36/J36,0))</f>
        <v>1</v>
      </c>
      <c r="M36" s="8" t="n">
        <f aca="false">IF($B36="","",SUMIFS(Données!$S$2:$S$5000,Données!$A$2:$A$5000,$A36,Données!$B$2:$B$5000,$B$3))</f>
        <v>0</v>
      </c>
      <c r="N36" s="7" t="n">
        <f aca="false">IF($B36="","",IFERROR(M36/J36,0))</f>
        <v>0</v>
      </c>
      <c r="O36" s="8" t="n">
        <f aca="false">IF($B36="","",SUMIFS(Données!$X$2:$X$5000,Données!$A$2:$A$5000,$A36,Données!$B$2:$B$5000,$B$3))</f>
        <v>0.00972222222222222</v>
      </c>
    </row>
    <row r="37" customFormat="false" ht="15" hidden="false" customHeight="false" outlineLevel="0" collapsed="false">
      <c r="A37" s="6" t="str">
        <f aca="false">IF(B37="","",YEAR(B37+3)&amp;"-S"&amp;TEXT(WEEKNUM(B37,21),"00"))</f>
        <v>2026-S26</v>
      </c>
      <c r="B37" s="17" t="n">
        <f aca="false">IF(B36="","",IF(B36+7&gt;MAX(Données!$Q$2:$Q$5000),"",B36+7))</f>
        <v>46195</v>
      </c>
      <c r="C37" s="17" t="n">
        <f aca="false">IF(B37="","",B37+6)</f>
        <v>46201</v>
      </c>
      <c r="D37" s="6" t="n">
        <f aca="false">IF($B37="","",COUNTIFS(Données!$A$2:$A$5000,$A37,Données!$B$2:$B$5000,$B$3,Données!$O$2:$O$5000,"&gt;0"))</f>
        <v>15</v>
      </c>
      <c r="E37" s="6" t="n">
        <f aca="false">IF($B37="","",COUNTIFS(Données!$A$2:$A$5000,$A37,Données!$B$2:$B$5000,$B$3,Données!$M$2:$M$5000,"Abs"))</f>
        <v>0</v>
      </c>
      <c r="F37" s="7" t="n">
        <f aca="false">IF($B37="","",IFERROR(E37/D37,0))</f>
        <v>0</v>
      </c>
      <c r="G37" s="6" t="n">
        <f aca="false">IF($B37="","",COUNTIFS(Données!$A$2:$A$5000,$A37,Données!$B$2:$B$5000,$B$3,Données!$I$2:$I$5000,"&gt;0"))</f>
        <v>1</v>
      </c>
      <c r="H37" s="8" t="n">
        <f aca="false">IF($B37="","",SUMIFS(Données!$I$2:$I$5000,Données!$A$2:$A$5000,$A37,Données!$B$2:$B$5000,$B$3))</f>
        <v>0.0354166666666667</v>
      </c>
      <c r="I37" s="8" t="n">
        <f aca="false">IF($B37="","",SUMIFS(Données!$L$2:$L$5000,Données!$A$2:$A$5000,$A37,Données!$B$2:$B$5000,$B$3))</f>
        <v>0</v>
      </c>
      <c r="J37" s="8" t="n">
        <f aca="false">IF($B37="","",SUMIFS(Données!$O$2:$O$5000,Données!$A$2:$A$5000,$A37,Données!$B$2:$B$5000,$B$3))</f>
        <v>5.5</v>
      </c>
      <c r="K37" s="8" t="n">
        <f aca="false">IF($B37="","",SUMIFS(Données!$N$2:$N$5000,Données!$A$2:$A$5000,$A37,Données!$B$2:$B$5000,$B$3))</f>
        <v>5.46458333333333</v>
      </c>
      <c r="L37" s="7" t="n">
        <f aca="false">IF($B37="","",IFERROR(K37/J37,0))</f>
        <v>0.993560606060606</v>
      </c>
      <c r="M37" s="8" t="n">
        <f aca="false">IF($B37="","",SUMIFS(Données!$S$2:$S$5000,Données!$A$2:$A$5000,$A37,Données!$B$2:$B$5000,$B$3))</f>
        <v>0.0354166666666667</v>
      </c>
      <c r="N37" s="7" t="n">
        <f aca="false">IF($B37="","",IFERROR(M37/J37,0))</f>
        <v>0.00643939393939394</v>
      </c>
      <c r="O37" s="8" t="n">
        <f aca="false">IF($B37="","",SUMIFS(Données!$X$2:$X$5000,Données!$A$2:$A$5000,$A37,Données!$B$2:$B$5000,$B$3))</f>
        <v>0.00833333333333333</v>
      </c>
    </row>
    <row r="38" customFormat="false" ht="15" hidden="false" customHeight="false" outlineLevel="0" collapsed="false">
      <c r="A38" s="6" t="str">
        <f aca="false">IF(B38="","",YEAR(B38+3)&amp;"-S"&amp;TEXT(WEEKNUM(B38,21),"00"))</f>
        <v>2026-S27</v>
      </c>
      <c r="B38" s="17" t="n">
        <f aca="false">IF(B37="","",IF(B37+7&gt;MAX(Données!$Q$2:$Q$5000),"",B37+7))</f>
        <v>46202</v>
      </c>
      <c r="C38" s="17" t="n">
        <f aca="false">IF(B38="","",B38+6)</f>
        <v>46208</v>
      </c>
      <c r="D38" s="6" t="n">
        <f aca="false">IF($B38="","",COUNTIFS(Données!$A$2:$A$5000,$A38,Données!$B$2:$B$5000,$B$3,Données!$O$2:$O$5000,"&gt;0"))</f>
        <v>15</v>
      </c>
      <c r="E38" s="6" t="n">
        <f aca="false">IF($B38="","",COUNTIFS(Données!$A$2:$A$5000,$A38,Données!$B$2:$B$5000,$B$3,Données!$M$2:$M$5000,"Abs"))</f>
        <v>0</v>
      </c>
      <c r="F38" s="7" t="n">
        <f aca="false">IF($B38="","",IFERROR(E38/D38,0))</f>
        <v>0</v>
      </c>
      <c r="G38" s="6" t="n">
        <f aca="false">IF($B38="","",COUNTIFS(Données!$A$2:$A$5000,$A38,Données!$B$2:$B$5000,$B$3,Données!$I$2:$I$5000,"&gt;0"))</f>
        <v>0</v>
      </c>
      <c r="H38" s="8" t="n">
        <f aca="false">IF($B38="","",SUMIFS(Données!$I$2:$I$5000,Données!$A$2:$A$5000,$A38,Données!$B$2:$B$5000,$B$3))</f>
        <v>0</v>
      </c>
      <c r="I38" s="8" t="n">
        <f aca="false">IF($B38="","",SUMIFS(Données!$L$2:$L$5000,Données!$A$2:$A$5000,$A38,Données!$B$2:$B$5000,$B$3))</f>
        <v>0</v>
      </c>
      <c r="J38" s="8" t="n">
        <f aca="false">IF($B38="","",SUMIFS(Données!$O$2:$O$5000,Données!$A$2:$A$5000,$A38,Données!$B$2:$B$5000,$B$3))</f>
        <v>5.5</v>
      </c>
      <c r="K38" s="8" t="n">
        <f aca="false">IF($B38="","",SUMIFS(Données!$N$2:$N$5000,Données!$A$2:$A$5000,$A38,Données!$B$2:$B$5000,$B$3))</f>
        <v>5.5</v>
      </c>
      <c r="L38" s="7" t="n">
        <f aca="false">IF($B38="","",IFERROR(K38/J38,0))</f>
        <v>1</v>
      </c>
      <c r="M38" s="8" t="n">
        <f aca="false">IF($B38="","",SUMIFS(Données!$S$2:$S$5000,Données!$A$2:$A$5000,$A38,Données!$B$2:$B$5000,$B$3))</f>
        <v>0</v>
      </c>
      <c r="N38" s="7" t="n">
        <f aca="false">IF($B38="","",IFERROR(M38/J38,0))</f>
        <v>0</v>
      </c>
      <c r="O38" s="8" t="n">
        <f aca="false">IF($B38="","",SUMIFS(Données!$X$2:$X$5000,Données!$A$2:$A$5000,$A38,Données!$B$2:$B$5000,$B$3))</f>
        <v>0.0118055555555556</v>
      </c>
    </row>
    <row r="39" customFormat="false" ht="15" hidden="false" customHeight="false" outlineLevel="0" collapsed="false">
      <c r="A39" s="6" t="str">
        <f aca="false">IF(B39="","",YEAR(B39+3)&amp;"-S"&amp;TEXT(WEEKNUM(B39,21),"00"))</f>
        <v>2026-S28</v>
      </c>
      <c r="B39" s="17" t="n">
        <f aca="false">IF(B38="","",IF(B38+7&gt;MAX(Données!$Q$2:$Q$5000),"",B38+7))</f>
        <v>46209</v>
      </c>
      <c r="C39" s="17" t="n">
        <f aca="false">IF(B39="","",B39+6)</f>
        <v>46215</v>
      </c>
      <c r="D39" s="6" t="n">
        <f aca="false">IF($B39="","",COUNTIFS(Données!$A$2:$A$5000,$A39,Données!$B$2:$B$5000,$B$3,Données!$O$2:$O$5000,"&gt;0"))</f>
        <v>15</v>
      </c>
      <c r="E39" s="6" t="n">
        <f aca="false">IF($B39="","",COUNTIFS(Données!$A$2:$A$5000,$A39,Données!$B$2:$B$5000,$B$3,Données!$M$2:$M$5000,"Abs"))</f>
        <v>0</v>
      </c>
      <c r="F39" s="7" t="n">
        <f aca="false">IF($B39="","",IFERROR(E39/D39,0))</f>
        <v>0</v>
      </c>
      <c r="G39" s="6" t="n">
        <f aca="false">IF($B39="","",COUNTIFS(Données!$A$2:$A$5000,$A39,Données!$B$2:$B$5000,$B$3,Données!$I$2:$I$5000,"&gt;0"))</f>
        <v>0</v>
      </c>
      <c r="H39" s="8" t="n">
        <f aca="false">IF($B39="","",SUMIFS(Données!$I$2:$I$5000,Données!$A$2:$A$5000,$A39,Données!$B$2:$B$5000,$B$3))</f>
        <v>0</v>
      </c>
      <c r="I39" s="8" t="n">
        <f aca="false">IF($B39="","",SUMIFS(Données!$L$2:$L$5000,Données!$A$2:$A$5000,$A39,Données!$B$2:$B$5000,$B$3))</f>
        <v>0</v>
      </c>
      <c r="J39" s="8" t="n">
        <f aca="false">IF($B39="","",SUMIFS(Données!$O$2:$O$5000,Données!$A$2:$A$5000,$A39,Données!$B$2:$B$5000,$B$3))</f>
        <v>5.5</v>
      </c>
      <c r="K39" s="8" t="n">
        <f aca="false">IF($B39="","",SUMIFS(Données!$N$2:$N$5000,Données!$A$2:$A$5000,$A39,Données!$B$2:$B$5000,$B$3))</f>
        <v>5.5</v>
      </c>
      <c r="L39" s="7" t="n">
        <f aca="false">IF($B39="","",IFERROR(K39/J39,0))</f>
        <v>1</v>
      </c>
      <c r="M39" s="8" t="n">
        <f aca="false">IF($B39="","",SUMIFS(Données!$S$2:$S$5000,Données!$A$2:$A$5000,$A39,Données!$B$2:$B$5000,$B$3))</f>
        <v>0</v>
      </c>
      <c r="N39" s="7" t="n">
        <f aca="false">IF($B39="","",IFERROR(M39/J39,0))</f>
        <v>0</v>
      </c>
      <c r="O39" s="8" t="n">
        <f aca="false">IF($B39="","",SUMIFS(Données!$X$2:$X$5000,Données!$A$2:$A$5000,$A39,Données!$B$2:$B$5000,$B$3))</f>
        <v>0.00486111111111111</v>
      </c>
    </row>
    <row r="40" customFormat="false" ht="15" hidden="false" customHeight="false" outlineLevel="0" collapsed="false">
      <c r="A40" s="6" t="str">
        <f aca="false">IF(B40="","",YEAR(B40+3)&amp;"-S"&amp;TEXT(WEEKNUM(B40,21),"00"))</f>
        <v>2026-S29</v>
      </c>
      <c r="B40" s="17" t="n">
        <f aca="false">IF(B39="","",IF(B39+7&gt;MAX(Données!$Q$2:$Q$5000),"",B39+7))</f>
        <v>46216</v>
      </c>
      <c r="C40" s="17" t="n">
        <f aca="false">IF(B40="","",B40+6)</f>
        <v>46222</v>
      </c>
      <c r="D40" s="6" t="n">
        <f aca="false">IF($B40="","",COUNTIFS(Données!$A$2:$A$5000,$A40,Données!$B$2:$B$5000,$B$3,Données!$O$2:$O$5000,"&gt;0"))</f>
        <v>12</v>
      </c>
      <c r="E40" s="6" t="n">
        <f aca="false">IF($B40="","",COUNTIFS(Données!$A$2:$A$5000,$A40,Données!$B$2:$B$5000,$B$3,Données!$M$2:$M$5000,"Abs"))</f>
        <v>0</v>
      </c>
      <c r="F40" s="7" t="n">
        <f aca="false">IF($B40="","",IFERROR(E40/D40,0))</f>
        <v>0</v>
      </c>
      <c r="G40" s="6" t="n">
        <f aca="false">IF($B40="","",COUNTIFS(Données!$A$2:$A$5000,$A40,Données!$B$2:$B$5000,$B$3,Données!$I$2:$I$5000,"&gt;0"))</f>
        <v>0</v>
      </c>
      <c r="H40" s="8" t="n">
        <f aca="false">IF($B40="","",SUMIFS(Données!$I$2:$I$5000,Données!$A$2:$A$5000,$A40,Données!$B$2:$B$5000,$B$3))</f>
        <v>0</v>
      </c>
      <c r="I40" s="8" t="n">
        <f aca="false">IF($B40="","",SUMIFS(Données!$L$2:$L$5000,Données!$A$2:$A$5000,$A40,Données!$B$2:$B$5000,$B$3))</f>
        <v>0</v>
      </c>
      <c r="J40" s="8" t="n">
        <f aca="false">IF($B40="","",SUMIFS(Données!$O$2:$O$5000,Données!$A$2:$A$5000,$A40,Données!$B$2:$B$5000,$B$3))</f>
        <v>4.375</v>
      </c>
      <c r="K40" s="8" t="n">
        <f aca="false">IF($B40="","",SUMIFS(Données!$N$2:$N$5000,Données!$A$2:$A$5000,$A40,Données!$B$2:$B$5000,$B$3))</f>
        <v>4.375</v>
      </c>
      <c r="L40" s="7" t="n">
        <f aca="false">IF($B40="","",IFERROR(K40/J40,0))</f>
        <v>1</v>
      </c>
      <c r="M40" s="8" t="n">
        <f aca="false">IF($B40="","",SUMIFS(Données!$S$2:$S$5000,Données!$A$2:$A$5000,$A40,Données!$B$2:$B$5000,$B$3))</f>
        <v>0</v>
      </c>
      <c r="N40" s="7" t="n">
        <f aca="false">IF($B40="","",IFERROR(M40/J40,0))</f>
        <v>0</v>
      </c>
      <c r="O40" s="8" t="n">
        <f aca="false">IF($B40="","",SUMIFS(Données!$X$2:$X$5000,Données!$A$2:$A$5000,$A40,Données!$B$2:$B$5000,$B$3))</f>
        <v>0.0534722222222222</v>
      </c>
    </row>
    <row r="41" customFormat="false" ht="15" hidden="false" customHeight="false" outlineLevel="0" collapsed="false">
      <c r="A41" s="6" t="str">
        <f aca="false">IF(B41="","",YEAR(B41+3)&amp;"-S"&amp;TEXT(WEEKNUM(B41,21),"00"))</f>
        <v>2026-S30</v>
      </c>
      <c r="B41" s="17" t="n">
        <f aca="false">IF(B40="","",IF(B40+7&gt;MAX(Données!$Q$2:$Q$5000),"",B40+7))</f>
        <v>46223</v>
      </c>
      <c r="C41" s="17" t="n">
        <f aca="false">IF(B41="","",B41+6)</f>
        <v>46229</v>
      </c>
      <c r="D41" s="6" t="n">
        <f aca="false">IF($B41="","",COUNTIFS(Données!$A$2:$A$5000,$A41,Données!$B$2:$B$5000,$B$3,Données!$O$2:$O$5000,"&gt;0"))</f>
        <v>14</v>
      </c>
      <c r="E41" s="6" t="n">
        <f aca="false">IF($B41="","",COUNTIFS(Données!$A$2:$A$5000,$A41,Données!$B$2:$B$5000,$B$3,Données!$M$2:$M$5000,"Abs"))</f>
        <v>0</v>
      </c>
      <c r="F41" s="7" t="n">
        <f aca="false">IF($B41="","",IFERROR(E41/D41,0))</f>
        <v>0</v>
      </c>
      <c r="G41" s="6" t="n">
        <f aca="false">IF($B41="","",COUNTIFS(Données!$A$2:$A$5000,$A41,Données!$B$2:$B$5000,$B$3,Données!$I$2:$I$5000,"&gt;0"))</f>
        <v>0</v>
      </c>
      <c r="H41" s="8" t="n">
        <f aca="false">IF($B41="","",SUMIFS(Données!$I$2:$I$5000,Données!$A$2:$A$5000,$A41,Données!$B$2:$B$5000,$B$3))</f>
        <v>0</v>
      </c>
      <c r="I41" s="8" t="n">
        <f aca="false">IF($B41="","",SUMIFS(Données!$L$2:$L$5000,Données!$A$2:$A$5000,$A41,Données!$B$2:$B$5000,$B$3))</f>
        <v>0</v>
      </c>
      <c r="J41" s="8" t="n">
        <f aca="false">IF($B41="","",SUMIFS(Données!$O$2:$O$5000,Données!$A$2:$A$5000,$A41,Données!$B$2:$B$5000,$B$3))</f>
        <v>5.16666666666667</v>
      </c>
      <c r="K41" s="8" t="n">
        <f aca="false">IF($B41="","",SUMIFS(Données!$N$2:$N$5000,Données!$A$2:$A$5000,$A41,Données!$B$2:$B$5000,$B$3))</f>
        <v>5.16666666666667</v>
      </c>
      <c r="L41" s="7" t="n">
        <f aca="false">IF($B41="","",IFERROR(K41/J41,0))</f>
        <v>1</v>
      </c>
      <c r="M41" s="8" t="n">
        <f aca="false">IF($B41="","",SUMIFS(Données!$S$2:$S$5000,Données!$A$2:$A$5000,$A41,Données!$B$2:$B$5000,$B$3))</f>
        <v>0</v>
      </c>
      <c r="N41" s="7" t="n">
        <f aca="false">IF($B41="","",IFERROR(M41/J41,0))</f>
        <v>0</v>
      </c>
      <c r="O41" s="8" t="n">
        <f aca="false">IF($B41="","",SUMIFS(Données!$X$2:$X$5000,Données!$A$2:$A$5000,$A41,Données!$B$2:$B$5000,$B$3))</f>
        <v>0.0229166666666667</v>
      </c>
    </row>
    <row r="42" customFormat="false" ht="15" hidden="false" customHeight="false" outlineLevel="0" collapsed="false">
      <c r="A42" s="6" t="str">
        <f aca="false">IF(B42="","",YEAR(B42+3)&amp;"-S"&amp;TEXT(WEEKNUM(B42,21),"00"))</f>
        <v>2026-S31</v>
      </c>
      <c r="B42" s="17" t="n">
        <f aca="false">IF(B41="","",IF(B41+7&gt;MAX(Données!$Q$2:$Q$5000),"",B41+7))</f>
        <v>46230</v>
      </c>
      <c r="C42" s="17" t="n">
        <f aca="false">IF(B42="","",B42+6)</f>
        <v>46236</v>
      </c>
      <c r="D42" s="6" t="n">
        <f aca="false">IF($B42="","",COUNTIFS(Données!$A$2:$A$5000,$A42,Données!$B$2:$B$5000,$B$3,Données!$O$2:$O$5000,"&gt;0"))</f>
        <v>14</v>
      </c>
      <c r="E42" s="6" t="n">
        <f aca="false">IF($B42="","",COUNTIFS(Données!$A$2:$A$5000,$A42,Données!$B$2:$B$5000,$B$3,Données!$M$2:$M$5000,"Abs"))</f>
        <v>0</v>
      </c>
      <c r="F42" s="7" t="n">
        <f aca="false">IF($B42="","",IFERROR(E42/D42,0))</f>
        <v>0</v>
      </c>
      <c r="G42" s="6" t="n">
        <f aca="false">IF($B42="","",COUNTIFS(Données!$A$2:$A$5000,$A42,Données!$B$2:$B$5000,$B$3,Données!$I$2:$I$5000,"&gt;0"))</f>
        <v>0</v>
      </c>
      <c r="H42" s="8" t="n">
        <f aca="false">IF($B42="","",SUMIFS(Données!$I$2:$I$5000,Données!$A$2:$A$5000,$A42,Données!$B$2:$B$5000,$B$3))</f>
        <v>0</v>
      </c>
      <c r="I42" s="8" t="n">
        <f aca="false">IF($B42="","",SUMIFS(Données!$L$2:$L$5000,Données!$A$2:$A$5000,$A42,Données!$B$2:$B$5000,$B$3))</f>
        <v>0</v>
      </c>
      <c r="J42" s="8" t="n">
        <f aca="false">IF($B42="","",SUMIFS(Données!$O$2:$O$5000,Données!$A$2:$A$5000,$A42,Données!$B$2:$B$5000,$B$3))</f>
        <v>5.125</v>
      </c>
      <c r="K42" s="8" t="n">
        <f aca="false">IF($B42="","",SUMIFS(Données!$N$2:$N$5000,Données!$A$2:$A$5000,$A42,Données!$B$2:$B$5000,$B$3))</f>
        <v>5.125</v>
      </c>
      <c r="L42" s="7" t="n">
        <f aca="false">IF($B42="","",IFERROR(K42/J42,0))</f>
        <v>1</v>
      </c>
      <c r="M42" s="8" t="n">
        <f aca="false">IF($B42="","",SUMIFS(Données!$S$2:$S$5000,Données!$A$2:$A$5000,$A42,Données!$B$2:$B$5000,$B$3))</f>
        <v>0</v>
      </c>
      <c r="N42" s="7" t="n">
        <f aca="false">IF($B42="","",IFERROR(M42/J42,0))</f>
        <v>0</v>
      </c>
      <c r="O42" s="8" t="n">
        <f aca="false">IF($B42="","",SUMIFS(Données!$X$2:$X$5000,Données!$A$2:$A$5000,$A42,Données!$B$2:$B$5000,$B$3))</f>
        <v>0.01875</v>
      </c>
    </row>
    <row r="43" customFormat="false" ht="15" hidden="false" customHeight="false" outlineLevel="0" collapsed="false">
      <c r="A43" s="6" t="str">
        <f aca="false">IF(B43="","",YEAR(B43+3)&amp;"-S"&amp;TEXT(WEEKNUM(B43,21),"00"))</f>
        <v>2026-S32</v>
      </c>
      <c r="B43" s="17" t="n">
        <f aca="false">IF(B42="","",IF(B42+7&gt;MAX(Données!$Q$2:$Q$5000),"",B42+7))</f>
        <v>46237</v>
      </c>
      <c r="C43" s="17" t="n">
        <f aca="false">IF(B43="","",B43+6)</f>
        <v>46243</v>
      </c>
      <c r="D43" s="6" t="n">
        <f aca="false">IF($B43="","",COUNTIFS(Données!$A$2:$A$5000,$A43,Données!$B$2:$B$5000,$B$3,Données!$O$2:$O$5000,"&gt;0"))</f>
        <v>15</v>
      </c>
      <c r="E43" s="6" t="n">
        <f aca="false">IF($B43="","",COUNTIFS(Données!$A$2:$A$5000,$A43,Données!$B$2:$B$5000,$B$3,Données!$M$2:$M$5000,"Abs"))</f>
        <v>0</v>
      </c>
      <c r="F43" s="7" t="n">
        <f aca="false">IF($B43="","",IFERROR(E43/D43,0))</f>
        <v>0</v>
      </c>
      <c r="G43" s="6" t="n">
        <f aca="false">IF($B43="","",COUNTIFS(Données!$A$2:$A$5000,$A43,Données!$B$2:$B$5000,$B$3,Données!$I$2:$I$5000,"&gt;0"))</f>
        <v>1</v>
      </c>
      <c r="H43" s="8" t="n">
        <f aca="false">IF($B43="","",SUMIFS(Données!$I$2:$I$5000,Données!$A$2:$A$5000,$A43,Données!$B$2:$B$5000,$B$3))</f>
        <v>0.0145833333333333</v>
      </c>
      <c r="I43" s="8" t="n">
        <f aca="false">IF($B43="","",SUMIFS(Données!$L$2:$L$5000,Données!$A$2:$A$5000,$A43,Données!$B$2:$B$5000,$B$3))</f>
        <v>0</v>
      </c>
      <c r="J43" s="8" t="n">
        <f aca="false">IF($B43="","",SUMIFS(Données!$O$2:$O$5000,Données!$A$2:$A$5000,$A43,Données!$B$2:$B$5000,$B$3))</f>
        <v>5.5</v>
      </c>
      <c r="K43" s="8" t="n">
        <f aca="false">IF($B43="","",SUMIFS(Données!$N$2:$N$5000,Données!$A$2:$A$5000,$A43,Données!$B$2:$B$5000,$B$3))</f>
        <v>5.48541666666667</v>
      </c>
      <c r="L43" s="7" t="n">
        <f aca="false">IF($B43="","",IFERROR(K43/J43,0))</f>
        <v>0.997348484848485</v>
      </c>
      <c r="M43" s="8" t="n">
        <f aca="false">IF($B43="","",SUMIFS(Données!$S$2:$S$5000,Données!$A$2:$A$5000,$A43,Données!$B$2:$B$5000,$B$3))</f>
        <v>0.0145833333333333</v>
      </c>
      <c r="N43" s="7" t="n">
        <f aca="false">IF($B43="","",IFERROR(M43/J43,0))</f>
        <v>0.00265151515151515</v>
      </c>
      <c r="O43" s="8" t="n">
        <f aca="false">IF($B43="","",SUMIFS(Données!$X$2:$X$5000,Données!$A$2:$A$5000,$A43,Données!$B$2:$B$5000,$B$3))</f>
        <v>0.0159722222222222</v>
      </c>
    </row>
    <row r="44" customFormat="false" ht="15" hidden="false" customHeight="false" outlineLevel="0" collapsed="false">
      <c r="A44" s="6" t="str">
        <f aca="false">IF(B44="","",YEAR(B44+3)&amp;"-S"&amp;TEXT(WEEKNUM(B44,21),"00"))</f>
        <v>2026-S33</v>
      </c>
      <c r="B44" s="17" t="n">
        <f aca="false">IF(B43="","",IF(B43+7&gt;MAX(Données!$Q$2:$Q$5000),"",B43+7))</f>
        <v>46244</v>
      </c>
      <c r="C44" s="17" t="n">
        <f aca="false">IF(B44="","",B44+6)</f>
        <v>46250</v>
      </c>
      <c r="D44" s="6" t="n">
        <f aca="false">IF($B44="","",COUNTIFS(Données!$A$2:$A$5000,$A44,Données!$B$2:$B$5000,$B$3,Données!$O$2:$O$5000,"&gt;0"))</f>
        <v>15</v>
      </c>
      <c r="E44" s="6" t="n">
        <f aca="false">IF($B44="","",COUNTIFS(Données!$A$2:$A$5000,$A44,Données!$B$2:$B$5000,$B$3,Données!$M$2:$M$5000,"Abs"))</f>
        <v>0</v>
      </c>
      <c r="F44" s="7" t="n">
        <f aca="false">IF($B44="","",IFERROR(E44/D44,0))</f>
        <v>0</v>
      </c>
      <c r="G44" s="6" t="n">
        <f aca="false">IF($B44="","",COUNTIFS(Données!$A$2:$A$5000,$A44,Données!$B$2:$B$5000,$B$3,Données!$I$2:$I$5000,"&gt;0"))</f>
        <v>0</v>
      </c>
      <c r="H44" s="8" t="n">
        <f aca="false">IF($B44="","",SUMIFS(Données!$I$2:$I$5000,Données!$A$2:$A$5000,$A44,Données!$B$2:$B$5000,$B$3))</f>
        <v>0</v>
      </c>
      <c r="I44" s="8" t="n">
        <f aca="false">IF($B44="","",SUMIFS(Données!$L$2:$L$5000,Données!$A$2:$A$5000,$A44,Données!$B$2:$B$5000,$B$3))</f>
        <v>0</v>
      </c>
      <c r="J44" s="8" t="n">
        <f aca="false">IF($B44="","",SUMIFS(Données!$O$2:$O$5000,Données!$A$2:$A$5000,$A44,Données!$B$2:$B$5000,$B$3))</f>
        <v>5.5</v>
      </c>
      <c r="K44" s="8" t="n">
        <f aca="false">IF($B44="","",SUMIFS(Données!$N$2:$N$5000,Données!$A$2:$A$5000,$A44,Données!$B$2:$B$5000,$B$3))</f>
        <v>5.5</v>
      </c>
      <c r="L44" s="7" t="n">
        <f aca="false">IF($B44="","",IFERROR(K44/J44,0))</f>
        <v>1</v>
      </c>
      <c r="M44" s="8" t="n">
        <f aca="false">IF($B44="","",SUMIFS(Données!$S$2:$S$5000,Données!$A$2:$A$5000,$A44,Données!$B$2:$B$5000,$B$3))</f>
        <v>0</v>
      </c>
      <c r="N44" s="7" t="n">
        <f aca="false">IF($B44="","",IFERROR(M44/J44,0))</f>
        <v>0</v>
      </c>
      <c r="O44" s="8" t="n">
        <f aca="false">IF($B44="","",SUMIFS(Données!$X$2:$X$5000,Données!$A$2:$A$5000,$A44,Données!$B$2:$B$5000,$B$3))</f>
        <v>0.0215277777777778</v>
      </c>
    </row>
    <row r="45" customFormat="false" ht="15" hidden="false" customHeight="false" outlineLevel="0" collapsed="false">
      <c r="A45" s="6" t="str">
        <f aca="false">IF(B45="","",YEAR(B45+3)&amp;"-S"&amp;TEXT(WEEKNUM(B45,21),"00"))</f>
        <v>2026-S34</v>
      </c>
      <c r="B45" s="17" t="n">
        <f aca="false">IF(B44="","",IF(B44+7&gt;MAX(Données!$Q$2:$Q$5000),"",B44+7))</f>
        <v>46251</v>
      </c>
      <c r="C45" s="17" t="n">
        <f aca="false">IF(B45="","",B45+6)</f>
        <v>46257</v>
      </c>
      <c r="D45" s="6" t="n">
        <f aca="false">IF($B45="","",COUNTIFS(Données!$A$2:$A$5000,$A45,Données!$B$2:$B$5000,$B$3,Données!$O$2:$O$5000,"&gt;0"))</f>
        <v>15</v>
      </c>
      <c r="E45" s="6" t="n">
        <f aca="false">IF($B45="","",COUNTIFS(Données!$A$2:$A$5000,$A45,Données!$B$2:$B$5000,$B$3,Données!$M$2:$M$5000,"Abs"))</f>
        <v>0</v>
      </c>
      <c r="F45" s="7" t="n">
        <f aca="false">IF($B45="","",IFERROR(E45/D45,0))</f>
        <v>0</v>
      </c>
      <c r="G45" s="6" t="n">
        <f aca="false">IF($B45="","",COUNTIFS(Données!$A$2:$A$5000,$A45,Données!$B$2:$B$5000,$B$3,Données!$I$2:$I$5000,"&gt;0"))</f>
        <v>0</v>
      </c>
      <c r="H45" s="8" t="n">
        <f aca="false">IF($B45="","",SUMIFS(Données!$I$2:$I$5000,Données!$A$2:$A$5000,$A45,Données!$B$2:$B$5000,$B$3))</f>
        <v>0</v>
      </c>
      <c r="I45" s="8" t="n">
        <f aca="false">IF($B45="","",SUMIFS(Données!$L$2:$L$5000,Données!$A$2:$A$5000,$A45,Données!$B$2:$B$5000,$B$3))</f>
        <v>0</v>
      </c>
      <c r="J45" s="8" t="n">
        <f aca="false">IF($B45="","",SUMIFS(Données!$O$2:$O$5000,Données!$A$2:$A$5000,$A45,Données!$B$2:$B$5000,$B$3))</f>
        <v>5.5</v>
      </c>
      <c r="K45" s="8" t="n">
        <f aca="false">IF($B45="","",SUMIFS(Données!$N$2:$N$5000,Données!$A$2:$A$5000,$A45,Données!$B$2:$B$5000,$B$3))</f>
        <v>5.5</v>
      </c>
      <c r="L45" s="7" t="n">
        <f aca="false">IF($B45="","",IFERROR(K45/J45,0))</f>
        <v>1</v>
      </c>
      <c r="M45" s="8" t="n">
        <f aca="false">IF($B45="","",SUMIFS(Données!$S$2:$S$5000,Données!$A$2:$A$5000,$A45,Données!$B$2:$B$5000,$B$3))</f>
        <v>0</v>
      </c>
      <c r="N45" s="7" t="n">
        <f aca="false">IF($B45="","",IFERROR(M45/J45,0))</f>
        <v>0</v>
      </c>
      <c r="O45" s="8" t="n">
        <f aca="false">IF($B45="","",SUMIFS(Données!$X$2:$X$5000,Données!$A$2:$A$5000,$A45,Données!$B$2:$B$5000,$B$3))</f>
        <v>0.0145833333333333</v>
      </c>
    </row>
    <row r="46" customFormat="false" ht="15" hidden="false" customHeight="false" outlineLevel="0" collapsed="false">
      <c r="A46" s="6" t="str">
        <f aca="false">IF(B46="","",YEAR(B46+3)&amp;"-S"&amp;TEXT(WEEKNUM(B46,21),"00"))</f>
        <v>2026-S35</v>
      </c>
      <c r="B46" s="17" t="n">
        <f aca="false">IF(B45="","",IF(B45+7&gt;MAX(Données!$Q$2:$Q$5000),"",B45+7))</f>
        <v>46258</v>
      </c>
      <c r="C46" s="17" t="n">
        <f aca="false">IF(B46="","",B46+6)</f>
        <v>46264</v>
      </c>
      <c r="D46" s="6" t="n">
        <f aca="false">IF($B46="","",COUNTIFS(Données!$A$2:$A$5000,$A46,Données!$B$2:$B$5000,$B$3,Données!$O$2:$O$5000,"&gt;0"))</f>
        <v>10</v>
      </c>
      <c r="E46" s="6" t="n">
        <f aca="false">IF($B46="","",COUNTIFS(Données!$A$2:$A$5000,$A46,Données!$B$2:$B$5000,$B$3,Données!$M$2:$M$5000,"Abs"))</f>
        <v>0</v>
      </c>
      <c r="F46" s="7" t="n">
        <f aca="false">IF($B46="","",IFERROR(E46/D46,0))</f>
        <v>0</v>
      </c>
      <c r="G46" s="6" t="n">
        <f aca="false">IF($B46="","",COUNTIFS(Données!$A$2:$A$5000,$A46,Données!$B$2:$B$5000,$B$3,Données!$I$2:$I$5000,"&gt;0"))</f>
        <v>0</v>
      </c>
      <c r="H46" s="8" t="n">
        <f aca="false">IF($B46="","",SUMIFS(Données!$I$2:$I$5000,Données!$A$2:$A$5000,$A46,Données!$B$2:$B$5000,$B$3))</f>
        <v>0</v>
      </c>
      <c r="I46" s="8" t="n">
        <f aca="false">IF($B46="","",SUMIFS(Données!$L$2:$L$5000,Données!$A$2:$A$5000,$A46,Données!$B$2:$B$5000,$B$3))</f>
        <v>0</v>
      </c>
      <c r="J46" s="8" t="n">
        <f aca="false">IF($B46="","",SUMIFS(Données!$O$2:$O$5000,Données!$A$2:$A$5000,$A46,Données!$B$2:$B$5000,$B$3))</f>
        <v>3.66666666666667</v>
      </c>
      <c r="K46" s="8" t="n">
        <f aca="false">IF($B46="","",SUMIFS(Données!$N$2:$N$5000,Données!$A$2:$A$5000,$A46,Données!$B$2:$B$5000,$B$3))</f>
        <v>3.66666666666667</v>
      </c>
      <c r="L46" s="7" t="n">
        <f aca="false">IF($B46="","",IFERROR(K46/J46,0))</f>
        <v>1</v>
      </c>
      <c r="M46" s="8" t="n">
        <f aca="false">IF($B46="","",SUMIFS(Données!$S$2:$S$5000,Données!$A$2:$A$5000,$A46,Données!$B$2:$B$5000,$B$3))</f>
        <v>0</v>
      </c>
      <c r="N46" s="7" t="n">
        <f aca="false">IF($B46="","",IFERROR(M46/J46,0))</f>
        <v>0</v>
      </c>
      <c r="O46" s="8" t="n">
        <f aca="false">IF($B46="","",SUMIFS(Données!$X$2:$X$5000,Données!$A$2:$A$5000,$A46,Données!$B$2:$B$5000,$B$3))</f>
        <v>0.00694444444444444</v>
      </c>
    </row>
    <row r="47" customFormat="false" ht="15" hidden="false" customHeight="false" outlineLevel="0" collapsed="false">
      <c r="A47" s="6" t="str">
        <f aca="false">IF(B47="","",YEAR(B47+3)&amp;"-S"&amp;TEXT(WEEKNUM(B47,21),"00"))</f>
        <v>2026-S36</v>
      </c>
      <c r="B47" s="17" t="n">
        <f aca="false">IF(B46="","",IF(B46+7&gt;MAX(Données!$Q$2:$Q$5000),"",B46+7))</f>
        <v>46265</v>
      </c>
      <c r="C47" s="17" t="n">
        <f aca="false">IF(B47="","",B47+6)</f>
        <v>46271</v>
      </c>
      <c r="D47" s="6" t="n">
        <f aca="false">IF($B47="","",COUNTIFS(Données!$A$2:$A$5000,$A47,Données!$B$2:$B$5000,$B$3,Données!$O$2:$O$5000,"&gt;0"))</f>
        <v>10</v>
      </c>
      <c r="E47" s="6" t="n">
        <f aca="false">IF($B47="","",COUNTIFS(Données!$A$2:$A$5000,$A47,Données!$B$2:$B$5000,$B$3,Données!$M$2:$M$5000,"Abs"))</f>
        <v>10</v>
      </c>
      <c r="F47" s="7" t="n">
        <f aca="false">IF($B47="","",IFERROR(E47/D47,0))</f>
        <v>1</v>
      </c>
      <c r="G47" s="6" t="n">
        <f aca="false">IF($B47="","",COUNTIFS(Données!$A$2:$A$5000,$A47,Données!$B$2:$B$5000,$B$3,Données!$I$2:$I$5000,"&gt;0"))</f>
        <v>0</v>
      </c>
      <c r="H47" s="8" t="n">
        <f aca="false">IF($B47="","",SUMIFS(Données!$I$2:$I$5000,Données!$A$2:$A$5000,$A47,Données!$B$2:$B$5000,$B$3))</f>
        <v>0</v>
      </c>
      <c r="I47" s="8" t="n">
        <f aca="false">IF($B47="","",SUMIFS(Données!$L$2:$L$5000,Données!$A$2:$A$5000,$A47,Données!$B$2:$B$5000,$B$3))</f>
        <v>0</v>
      </c>
      <c r="J47" s="8" t="n">
        <f aca="false">IF($B47="","",SUMIFS(Données!$O$2:$O$5000,Données!$A$2:$A$5000,$A47,Données!$B$2:$B$5000,$B$3))</f>
        <v>3.66666666666667</v>
      </c>
      <c r="K47" s="8" t="n">
        <f aca="false">IF($B47="","",SUMIFS(Données!$N$2:$N$5000,Données!$A$2:$A$5000,$A47,Données!$B$2:$B$5000,$B$3))</f>
        <v>0</v>
      </c>
      <c r="L47" s="7" t="n">
        <f aca="false">IF($B47="","",IFERROR(K47/J47,0))</f>
        <v>0</v>
      </c>
      <c r="M47" s="8" t="n">
        <f aca="false">IF($B47="","",SUMIFS(Données!$S$2:$S$5000,Données!$A$2:$A$5000,$A47,Données!$B$2:$B$5000,$B$3))</f>
        <v>3.66666666666667</v>
      </c>
      <c r="N47" s="7" t="n">
        <f aca="false">IF($B47="","",IFERROR(M47/J47,0))</f>
        <v>1</v>
      </c>
      <c r="O47" s="8" t="n">
        <f aca="false">IF($B47="","",SUMIFS(Données!$X$2:$X$5000,Données!$A$2:$A$5000,$A47,Données!$B$2:$B$5000,$B$3))</f>
        <v>0</v>
      </c>
    </row>
    <row r="48" customFormat="false" ht="15" hidden="false" customHeight="false" outlineLevel="0" collapsed="false">
      <c r="A48" s="6" t="str">
        <f aca="false">IF(B48="","",YEAR(B48+3)&amp;"-S"&amp;TEXT(WEEKNUM(B48,21),"00"))</f>
        <v>2026-S37</v>
      </c>
      <c r="B48" s="17" t="n">
        <f aca="false">IF(B47="","",IF(B47+7&gt;MAX(Données!$Q$2:$Q$5000),"",B47+7))</f>
        <v>46272</v>
      </c>
      <c r="C48" s="17" t="n">
        <f aca="false">IF(B48="","",B48+6)</f>
        <v>46278</v>
      </c>
      <c r="D48" s="6" t="n">
        <f aca="false">IF($B48="","",COUNTIFS(Données!$A$2:$A$5000,$A48,Données!$B$2:$B$5000,$B$3,Données!$O$2:$O$5000,"&gt;0"))</f>
        <v>15</v>
      </c>
      <c r="E48" s="6" t="n">
        <f aca="false">IF($B48="","",COUNTIFS(Données!$A$2:$A$5000,$A48,Données!$B$2:$B$5000,$B$3,Données!$M$2:$M$5000,"Abs"))</f>
        <v>0</v>
      </c>
      <c r="F48" s="7" t="n">
        <f aca="false">IF($B48="","",IFERROR(E48/D48,0))</f>
        <v>0</v>
      </c>
      <c r="G48" s="6" t="n">
        <f aca="false">IF($B48="","",COUNTIFS(Données!$A$2:$A$5000,$A48,Données!$B$2:$B$5000,$B$3,Données!$I$2:$I$5000,"&gt;0"))</f>
        <v>0</v>
      </c>
      <c r="H48" s="8" t="n">
        <f aca="false">IF($B48="","",SUMIFS(Données!$I$2:$I$5000,Données!$A$2:$A$5000,$A48,Données!$B$2:$B$5000,$B$3))</f>
        <v>0</v>
      </c>
      <c r="I48" s="8" t="n">
        <f aca="false">IF($B48="","",SUMIFS(Données!$L$2:$L$5000,Données!$A$2:$A$5000,$A48,Données!$B$2:$B$5000,$B$3))</f>
        <v>0</v>
      </c>
      <c r="J48" s="8" t="n">
        <f aca="false">IF($B48="","",SUMIFS(Données!$O$2:$O$5000,Données!$A$2:$A$5000,$A48,Données!$B$2:$B$5000,$B$3))</f>
        <v>5.5</v>
      </c>
      <c r="K48" s="8" t="n">
        <f aca="false">IF($B48="","",SUMIFS(Données!$N$2:$N$5000,Données!$A$2:$A$5000,$A48,Données!$B$2:$B$5000,$B$3))</f>
        <v>5.5</v>
      </c>
      <c r="L48" s="7" t="n">
        <f aca="false">IF($B48="","",IFERROR(K48/J48,0))</f>
        <v>1</v>
      </c>
      <c r="M48" s="8" t="n">
        <f aca="false">IF($B48="","",SUMIFS(Données!$S$2:$S$5000,Données!$A$2:$A$5000,$A48,Données!$B$2:$B$5000,$B$3))</f>
        <v>0</v>
      </c>
      <c r="N48" s="7" t="n">
        <f aca="false">IF($B48="","",IFERROR(M48/J48,0))</f>
        <v>0</v>
      </c>
      <c r="O48" s="8" t="n">
        <f aca="false">IF($B48="","",SUMIFS(Données!$X$2:$X$5000,Données!$A$2:$A$5000,$A48,Données!$B$2:$B$5000,$B$3))</f>
        <v>0</v>
      </c>
    </row>
    <row r="49" customFormat="false" ht="15" hidden="false" customHeight="false" outlineLevel="0" collapsed="false">
      <c r="A49" s="6" t="str">
        <f aca="false">IF(B49="","",YEAR(B49+3)&amp;"-S"&amp;TEXT(WEEKNUM(B49,21),"00"))</f>
        <v>2026-S38</v>
      </c>
      <c r="B49" s="17" t="n">
        <f aca="false">IF(B48="","",IF(B48+7&gt;MAX(Données!$Q$2:$Q$5000),"",B48+7))</f>
        <v>46279</v>
      </c>
      <c r="C49" s="17" t="n">
        <f aca="false">IF(B49="","",B49+6)</f>
        <v>46285</v>
      </c>
      <c r="D49" s="6" t="n">
        <f aca="false">IF($B49="","",COUNTIFS(Données!$A$2:$A$5000,$A49,Données!$B$2:$B$5000,$B$3,Données!$O$2:$O$5000,"&gt;0"))</f>
        <v>15</v>
      </c>
      <c r="E49" s="6" t="n">
        <f aca="false">IF($B49="","",COUNTIFS(Données!$A$2:$A$5000,$A49,Données!$B$2:$B$5000,$B$3,Données!$M$2:$M$5000,"Abs"))</f>
        <v>0</v>
      </c>
      <c r="F49" s="7" t="n">
        <f aca="false">IF($B49="","",IFERROR(E49/D49,0))</f>
        <v>0</v>
      </c>
      <c r="G49" s="6" t="n">
        <f aca="false">IF($B49="","",COUNTIFS(Données!$A$2:$A$5000,$A49,Données!$B$2:$B$5000,$B$3,Données!$I$2:$I$5000,"&gt;0"))</f>
        <v>1</v>
      </c>
      <c r="H49" s="8" t="n">
        <f aca="false">IF($B49="","",SUMIFS(Données!$I$2:$I$5000,Données!$A$2:$A$5000,$A49,Données!$B$2:$B$5000,$B$3))</f>
        <v>0.0118055555555556</v>
      </c>
      <c r="I49" s="8" t="n">
        <f aca="false">IF($B49="","",SUMIFS(Données!$L$2:$L$5000,Données!$A$2:$A$5000,$A49,Données!$B$2:$B$5000,$B$3))</f>
        <v>0</v>
      </c>
      <c r="J49" s="8" t="n">
        <f aca="false">IF($B49="","",SUMIFS(Données!$O$2:$O$5000,Données!$A$2:$A$5000,$A49,Données!$B$2:$B$5000,$B$3))</f>
        <v>5.5</v>
      </c>
      <c r="K49" s="8" t="n">
        <f aca="false">IF($B49="","",SUMIFS(Données!$N$2:$N$5000,Données!$A$2:$A$5000,$A49,Données!$B$2:$B$5000,$B$3))</f>
        <v>5.48819444444444</v>
      </c>
      <c r="L49" s="7" t="n">
        <f aca="false">IF($B49="","",IFERROR(K49/J49,0))</f>
        <v>0.997853535353535</v>
      </c>
      <c r="M49" s="8" t="n">
        <f aca="false">IF($B49="","",SUMIFS(Données!$S$2:$S$5000,Données!$A$2:$A$5000,$A49,Données!$B$2:$B$5000,$B$3))</f>
        <v>0.0118055555555556</v>
      </c>
      <c r="N49" s="7" t="n">
        <f aca="false">IF($B49="","",IFERROR(M49/J49,0))</f>
        <v>0.00214646464646465</v>
      </c>
      <c r="O49" s="8" t="n">
        <f aca="false">IF($B49="","",SUMIFS(Données!$X$2:$X$5000,Données!$A$2:$A$5000,$A49,Données!$B$2:$B$5000,$B$3))</f>
        <v>0.0270833333333333</v>
      </c>
    </row>
    <row r="50" customFormat="false" ht="15" hidden="false" customHeight="false" outlineLevel="0" collapsed="false">
      <c r="A50" s="6" t="str">
        <f aca="false">IF(B50="","",YEAR(B50+3)&amp;"-S"&amp;TEXT(WEEKNUM(B50,21),"00"))</f>
        <v>2026-S39</v>
      </c>
      <c r="B50" s="17" t="n">
        <f aca="false">IF(B49="","",IF(B49+7&gt;MAX(Données!$Q$2:$Q$5000),"",B49+7))</f>
        <v>46286</v>
      </c>
      <c r="C50" s="17" t="n">
        <f aca="false">IF(B50="","",B50+6)</f>
        <v>46292</v>
      </c>
      <c r="D50" s="6" t="n">
        <f aca="false">IF($B50="","",COUNTIFS(Données!$A$2:$A$5000,$A50,Données!$B$2:$B$5000,$B$3,Données!$O$2:$O$5000,"&gt;0"))</f>
        <v>14</v>
      </c>
      <c r="E50" s="6" t="n">
        <f aca="false">IF($B50="","",COUNTIFS(Données!$A$2:$A$5000,$A50,Données!$B$2:$B$5000,$B$3,Données!$M$2:$M$5000,"Abs"))</f>
        <v>0</v>
      </c>
      <c r="F50" s="7" t="n">
        <f aca="false">IF($B50="","",IFERROR(E50/D50,0))</f>
        <v>0</v>
      </c>
      <c r="G50" s="6" t="n">
        <f aca="false">IF($B50="","",COUNTIFS(Données!$A$2:$A$5000,$A50,Données!$B$2:$B$5000,$B$3,Données!$I$2:$I$5000,"&gt;0"))</f>
        <v>0</v>
      </c>
      <c r="H50" s="8" t="n">
        <f aca="false">IF($B50="","",SUMIFS(Données!$I$2:$I$5000,Données!$A$2:$A$5000,$A50,Données!$B$2:$B$5000,$B$3))</f>
        <v>0</v>
      </c>
      <c r="I50" s="8" t="n">
        <f aca="false">IF($B50="","",SUMIFS(Données!$L$2:$L$5000,Données!$A$2:$A$5000,$A50,Données!$B$2:$B$5000,$B$3))</f>
        <v>0</v>
      </c>
      <c r="J50" s="8" t="n">
        <f aca="false">IF($B50="","",SUMIFS(Données!$O$2:$O$5000,Données!$A$2:$A$5000,$A50,Données!$B$2:$B$5000,$B$3))</f>
        <v>5.125</v>
      </c>
      <c r="K50" s="8" t="n">
        <f aca="false">IF($B50="","",SUMIFS(Données!$N$2:$N$5000,Données!$A$2:$A$5000,$A50,Données!$B$2:$B$5000,$B$3))</f>
        <v>5.125</v>
      </c>
      <c r="L50" s="7" t="n">
        <f aca="false">IF($B50="","",IFERROR(K50/J50,0))</f>
        <v>1</v>
      </c>
      <c r="M50" s="8" t="n">
        <f aca="false">IF($B50="","",SUMIFS(Données!$S$2:$S$5000,Données!$A$2:$A$5000,$A50,Données!$B$2:$B$5000,$B$3))</f>
        <v>0</v>
      </c>
      <c r="N50" s="7" t="n">
        <f aca="false">IF($B50="","",IFERROR(M50/J50,0))</f>
        <v>0</v>
      </c>
      <c r="O50" s="8" t="n">
        <f aca="false">IF($B50="","",SUMIFS(Données!$X$2:$X$5000,Données!$A$2:$A$5000,$A50,Données!$B$2:$B$5000,$B$3))</f>
        <v>0.0145833333333333</v>
      </c>
    </row>
    <row r="51" customFormat="false" ht="15" hidden="false" customHeight="false" outlineLevel="0" collapsed="false">
      <c r="A51" s="6" t="str">
        <f aca="false">IF(B51="","",YEAR(B51+3)&amp;"-S"&amp;TEXT(WEEKNUM(B51,21),"00"))</f>
        <v>2026-S40</v>
      </c>
      <c r="B51" s="17" t="n">
        <f aca="false">IF(B50="","",IF(B50+7&gt;MAX(Données!$Q$2:$Q$5000),"",B50+7))</f>
        <v>46293</v>
      </c>
      <c r="C51" s="17" t="n">
        <f aca="false">IF(B51="","",B51+6)</f>
        <v>46299</v>
      </c>
      <c r="D51" s="6" t="n">
        <f aca="false">IF($B51="","",COUNTIFS(Données!$A$2:$A$5000,$A51,Données!$B$2:$B$5000,$B$3,Données!$O$2:$O$5000,"&gt;0"))</f>
        <v>15</v>
      </c>
      <c r="E51" s="6" t="n">
        <f aca="false">IF($B51="","",COUNTIFS(Données!$A$2:$A$5000,$A51,Données!$B$2:$B$5000,$B$3,Données!$M$2:$M$5000,"Abs"))</f>
        <v>0</v>
      </c>
      <c r="F51" s="7" t="n">
        <f aca="false">IF($B51="","",IFERROR(E51/D51,0))</f>
        <v>0</v>
      </c>
      <c r="G51" s="6" t="n">
        <f aca="false">IF($B51="","",COUNTIFS(Données!$A$2:$A$5000,$A51,Données!$B$2:$B$5000,$B$3,Données!$I$2:$I$5000,"&gt;0"))</f>
        <v>1</v>
      </c>
      <c r="H51" s="8" t="n">
        <f aca="false">IF($B51="","",SUMIFS(Données!$I$2:$I$5000,Données!$A$2:$A$5000,$A51,Données!$B$2:$B$5000,$B$3))</f>
        <v>0.01875</v>
      </c>
      <c r="I51" s="8" t="n">
        <f aca="false">IF($B51="","",SUMIFS(Données!$L$2:$L$5000,Données!$A$2:$A$5000,$A51,Données!$B$2:$B$5000,$B$3))</f>
        <v>0</v>
      </c>
      <c r="J51" s="8" t="n">
        <f aca="false">IF($B51="","",SUMIFS(Données!$O$2:$O$5000,Données!$A$2:$A$5000,$A51,Données!$B$2:$B$5000,$B$3))</f>
        <v>5.5</v>
      </c>
      <c r="K51" s="8" t="n">
        <f aca="false">IF($B51="","",SUMIFS(Données!$N$2:$N$5000,Données!$A$2:$A$5000,$A51,Données!$B$2:$B$5000,$B$3))</f>
        <v>5.48125</v>
      </c>
      <c r="L51" s="7" t="n">
        <f aca="false">IF($B51="","",IFERROR(K51/J51,0))</f>
        <v>0.996590909090909</v>
      </c>
      <c r="M51" s="8" t="n">
        <f aca="false">IF($B51="","",SUMIFS(Données!$S$2:$S$5000,Données!$A$2:$A$5000,$A51,Données!$B$2:$B$5000,$B$3))</f>
        <v>0.01875</v>
      </c>
      <c r="N51" s="7" t="n">
        <f aca="false">IF($B51="","",IFERROR(M51/J51,0))</f>
        <v>0.00340909090909091</v>
      </c>
      <c r="O51" s="8" t="n">
        <f aca="false">IF($B51="","",SUMIFS(Données!$X$2:$X$5000,Données!$A$2:$A$5000,$A51,Données!$B$2:$B$5000,$B$3))</f>
        <v>0.0180555555555556</v>
      </c>
    </row>
    <row r="52" customFormat="false" ht="15" hidden="false" customHeight="false" outlineLevel="0" collapsed="false">
      <c r="A52" s="6" t="str">
        <f aca="false">IF(B52="","",YEAR(B52+3)&amp;"-S"&amp;TEXT(WEEKNUM(B52,21),"00"))</f>
        <v>2026-S41</v>
      </c>
      <c r="B52" s="17" t="n">
        <f aca="false">IF(B51="","",IF(B51+7&gt;MAX(Données!$Q$2:$Q$5000),"",B51+7))</f>
        <v>46300</v>
      </c>
      <c r="C52" s="17" t="n">
        <f aca="false">IF(B52="","",B52+6)</f>
        <v>46306</v>
      </c>
      <c r="D52" s="6" t="n">
        <f aca="false">IF($B52="","",COUNTIFS(Données!$A$2:$A$5000,$A52,Données!$B$2:$B$5000,$B$3,Données!$O$2:$O$5000,"&gt;0"))</f>
        <v>20</v>
      </c>
      <c r="E52" s="6" t="n">
        <f aca="false">IF($B52="","",COUNTIFS(Données!$A$2:$A$5000,$A52,Données!$B$2:$B$5000,$B$3,Données!$M$2:$M$5000,"Abs"))</f>
        <v>0</v>
      </c>
      <c r="F52" s="7" t="n">
        <f aca="false">IF($B52="","",IFERROR(E52/D52,0))</f>
        <v>0</v>
      </c>
      <c r="G52" s="6" t="n">
        <f aca="false">IF($B52="","",COUNTIFS(Données!$A$2:$A$5000,$A52,Données!$B$2:$B$5000,$B$3,Données!$I$2:$I$5000,"&gt;0"))</f>
        <v>0</v>
      </c>
      <c r="H52" s="8" t="n">
        <f aca="false">IF($B52="","",SUMIFS(Données!$I$2:$I$5000,Données!$A$2:$A$5000,$A52,Données!$B$2:$B$5000,$B$3))</f>
        <v>0</v>
      </c>
      <c r="I52" s="8" t="n">
        <f aca="false">IF($B52="","",SUMIFS(Données!$L$2:$L$5000,Données!$A$2:$A$5000,$A52,Données!$B$2:$B$5000,$B$3))</f>
        <v>0</v>
      </c>
      <c r="J52" s="8" t="n">
        <f aca="false">IF($B52="","",SUMIFS(Données!$O$2:$O$5000,Données!$A$2:$A$5000,$A52,Données!$B$2:$B$5000,$B$3))</f>
        <v>7.33333333333333</v>
      </c>
      <c r="K52" s="8" t="n">
        <f aca="false">IF($B52="","",SUMIFS(Données!$N$2:$N$5000,Données!$A$2:$A$5000,$A52,Données!$B$2:$B$5000,$B$3))</f>
        <v>7.33333333333333</v>
      </c>
      <c r="L52" s="7" t="n">
        <f aca="false">IF($B52="","",IFERROR(K52/J52,0))</f>
        <v>1</v>
      </c>
      <c r="M52" s="8" t="n">
        <f aca="false">IF($B52="","",SUMIFS(Données!$S$2:$S$5000,Données!$A$2:$A$5000,$A52,Données!$B$2:$B$5000,$B$3))</f>
        <v>0</v>
      </c>
      <c r="N52" s="7" t="n">
        <f aca="false">IF($B52="","",IFERROR(M52/J52,0))</f>
        <v>0</v>
      </c>
      <c r="O52" s="8" t="n">
        <f aca="false">IF($B52="","",SUMIFS(Données!$X$2:$X$5000,Données!$A$2:$A$5000,$A52,Données!$B$2:$B$5000,$B$3))</f>
        <v>0.00416666666666667</v>
      </c>
    </row>
    <row r="53" customFormat="false" ht="15" hidden="false" customHeight="false" outlineLevel="0" collapsed="false">
      <c r="A53" s="6" t="str">
        <f aca="false">IF(B53="","",YEAR(B53+3)&amp;"-S"&amp;TEXT(WEEKNUM(B53,21),"00"))</f>
        <v>2026-S42</v>
      </c>
      <c r="B53" s="17" t="n">
        <f aca="false">IF(B52="","",IF(B52+7&gt;MAX(Données!$Q$2:$Q$5000),"",B52+7))</f>
        <v>46307</v>
      </c>
      <c r="C53" s="17" t="n">
        <f aca="false">IF(B53="","",B53+6)</f>
        <v>46313</v>
      </c>
      <c r="D53" s="6" t="n">
        <f aca="false">IF($B53="","",COUNTIFS(Données!$A$2:$A$5000,$A53,Données!$B$2:$B$5000,$B$3,Données!$O$2:$O$5000,"&gt;0"))</f>
        <v>20</v>
      </c>
      <c r="E53" s="6" t="n">
        <f aca="false">IF($B53="","",COUNTIFS(Données!$A$2:$A$5000,$A53,Données!$B$2:$B$5000,$B$3,Données!$M$2:$M$5000,"Abs"))</f>
        <v>0</v>
      </c>
      <c r="F53" s="7" t="n">
        <f aca="false">IF($B53="","",IFERROR(E53/D53,0))</f>
        <v>0</v>
      </c>
      <c r="G53" s="6" t="n">
        <f aca="false">IF($B53="","",COUNTIFS(Données!$A$2:$A$5000,$A53,Données!$B$2:$B$5000,$B$3,Données!$I$2:$I$5000,"&gt;0"))</f>
        <v>0</v>
      </c>
      <c r="H53" s="8" t="n">
        <f aca="false">IF($B53="","",SUMIFS(Données!$I$2:$I$5000,Données!$A$2:$A$5000,$A53,Données!$B$2:$B$5000,$B$3))</f>
        <v>0</v>
      </c>
      <c r="I53" s="8" t="n">
        <f aca="false">IF($B53="","",SUMIFS(Données!$L$2:$L$5000,Données!$A$2:$A$5000,$A53,Données!$B$2:$B$5000,$B$3))</f>
        <v>0</v>
      </c>
      <c r="J53" s="8" t="n">
        <f aca="false">IF($B53="","",SUMIFS(Données!$O$2:$O$5000,Données!$A$2:$A$5000,$A53,Données!$B$2:$B$5000,$B$3))</f>
        <v>7.33333333333333</v>
      </c>
      <c r="K53" s="8" t="n">
        <f aca="false">IF($B53="","",SUMIFS(Données!$N$2:$N$5000,Données!$A$2:$A$5000,$A53,Données!$B$2:$B$5000,$B$3))</f>
        <v>7.33333333333333</v>
      </c>
      <c r="L53" s="7" t="n">
        <f aca="false">IF($B53="","",IFERROR(K53/J53,0))</f>
        <v>1</v>
      </c>
      <c r="M53" s="8" t="n">
        <f aca="false">IF($B53="","",SUMIFS(Données!$S$2:$S$5000,Données!$A$2:$A$5000,$A53,Données!$B$2:$B$5000,$B$3))</f>
        <v>0</v>
      </c>
      <c r="N53" s="7" t="n">
        <f aca="false">IF($B53="","",IFERROR(M53/J53,0))</f>
        <v>0</v>
      </c>
      <c r="O53" s="8" t="n">
        <f aca="false">IF($B53="","",SUMIFS(Données!$X$2:$X$5000,Données!$A$2:$A$5000,$A53,Données!$B$2:$B$5000,$B$3))</f>
        <v>0.00555555555555556</v>
      </c>
    </row>
    <row r="54" customFormat="false" ht="15" hidden="false" customHeight="false" outlineLevel="0" collapsed="false">
      <c r="A54" s="6" t="str">
        <f aca="false">IF(B54="","",YEAR(B54+3)&amp;"-S"&amp;TEXT(WEEKNUM(B54,21),"00"))</f>
        <v>2026-S43</v>
      </c>
      <c r="B54" s="17" t="n">
        <f aca="false">IF(B53="","",IF(B53+7&gt;MAX(Données!$Q$2:$Q$5000),"",B53+7))</f>
        <v>46314</v>
      </c>
      <c r="C54" s="17" t="n">
        <f aca="false">IF(B54="","",B54+6)</f>
        <v>46320</v>
      </c>
      <c r="D54" s="6" t="n">
        <f aca="false">IF($B54="","",COUNTIFS(Données!$A$2:$A$5000,$A54,Données!$B$2:$B$5000,$B$3,Données!$O$2:$O$5000,"&gt;0"))</f>
        <v>20</v>
      </c>
      <c r="E54" s="6" t="n">
        <f aca="false">IF($B54="","",COUNTIFS(Données!$A$2:$A$5000,$A54,Données!$B$2:$B$5000,$B$3,Données!$M$2:$M$5000,"Abs"))</f>
        <v>0</v>
      </c>
      <c r="F54" s="7" t="n">
        <f aca="false">IF($B54="","",IFERROR(E54/D54,0))</f>
        <v>0</v>
      </c>
      <c r="G54" s="6" t="n">
        <f aca="false">IF($B54="","",COUNTIFS(Données!$A$2:$A$5000,$A54,Données!$B$2:$B$5000,$B$3,Données!$I$2:$I$5000,"&gt;0"))</f>
        <v>0</v>
      </c>
      <c r="H54" s="8" t="n">
        <f aca="false">IF($B54="","",SUMIFS(Données!$I$2:$I$5000,Données!$A$2:$A$5000,$A54,Données!$B$2:$B$5000,$B$3))</f>
        <v>0</v>
      </c>
      <c r="I54" s="8" t="n">
        <f aca="false">IF($B54="","",SUMIFS(Données!$L$2:$L$5000,Données!$A$2:$A$5000,$A54,Données!$B$2:$B$5000,$B$3))</f>
        <v>0</v>
      </c>
      <c r="J54" s="8" t="n">
        <f aca="false">IF($B54="","",SUMIFS(Données!$O$2:$O$5000,Données!$A$2:$A$5000,$A54,Données!$B$2:$B$5000,$B$3))</f>
        <v>7.33333333333333</v>
      </c>
      <c r="K54" s="8" t="n">
        <f aca="false">IF($B54="","",SUMIFS(Données!$N$2:$N$5000,Données!$A$2:$A$5000,$A54,Données!$B$2:$B$5000,$B$3))</f>
        <v>7.33333333333333</v>
      </c>
      <c r="L54" s="7" t="n">
        <f aca="false">IF($B54="","",IFERROR(K54/J54,0))</f>
        <v>1</v>
      </c>
      <c r="M54" s="8" t="n">
        <f aca="false">IF($B54="","",SUMIFS(Données!$S$2:$S$5000,Données!$A$2:$A$5000,$A54,Données!$B$2:$B$5000,$B$3))</f>
        <v>0</v>
      </c>
      <c r="N54" s="7" t="n">
        <f aca="false">IF($B54="","",IFERROR(M54/J54,0))</f>
        <v>0</v>
      </c>
      <c r="O54" s="8" t="n">
        <f aca="false">IF($B54="","",SUMIFS(Données!$X$2:$X$5000,Données!$A$2:$A$5000,$A54,Données!$B$2:$B$5000,$B$3))</f>
        <v>0.03125</v>
      </c>
    </row>
    <row r="55" customFormat="false" ht="15" hidden="false" customHeight="false" outlineLevel="0" collapsed="false">
      <c r="A55" s="6" t="str">
        <f aca="false">IF(B55="","",YEAR(B55+3)&amp;"-S"&amp;TEXT(WEEKNUM(B55,21),"00"))</f>
        <v>2026-S44</v>
      </c>
      <c r="B55" s="17" t="n">
        <f aca="false">IF(B54="","",IF(B54+7&gt;MAX(Données!$Q$2:$Q$5000),"",B54+7))</f>
        <v>46321</v>
      </c>
      <c r="C55" s="17" t="n">
        <f aca="false">IF(B55="","",B55+6)</f>
        <v>46327</v>
      </c>
      <c r="D55" s="6" t="n">
        <f aca="false">IF($B55="","",COUNTIFS(Données!$A$2:$A$5000,$A55,Données!$B$2:$B$5000,$B$3,Données!$O$2:$O$5000,"&gt;0"))</f>
        <v>19</v>
      </c>
      <c r="E55" s="6" t="n">
        <f aca="false">IF($B55="","",COUNTIFS(Données!$A$2:$A$5000,$A55,Données!$B$2:$B$5000,$B$3,Données!$M$2:$M$5000,"Abs"))</f>
        <v>4</v>
      </c>
      <c r="F55" s="7" t="n">
        <f aca="false">IF($B55="","",IFERROR(E55/D55,0))</f>
        <v>0.210526315789474</v>
      </c>
      <c r="G55" s="6" t="n">
        <f aca="false">IF($B55="","",COUNTIFS(Données!$A$2:$A$5000,$A55,Données!$B$2:$B$5000,$B$3,Données!$I$2:$I$5000,"&gt;0"))</f>
        <v>0</v>
      </c>
      <c r="H55" s="8" t="n">
        <f aca="false">IF($B55="","",SUMIFS(Données!$I$2:$I$5000,Données!$A$2:$A$5000,$A55,Données!$B$2:$B$5000,$B$3))</f>
        <v>0</v>
      </c>
      <c r="I55" s="8" t="n">
        <f aca="false">IF($B55="","",SUMIFS(Données!$L$2:$L$5000,Données!$A$2:$A$5000,$A55,Données!$B$2:$B$5000,$B$3))</f>
        <v>0</v>
      </c>
      <c r="J55" s="8" t="n">
        <f aca="false">IF($B55="","",SUMIFS(Données!$O$2:$O$5000,Données!$A$2:$A$5000,$A55,Données!$B$2:$B$5000,$B$3))</f>
        <v>6.95833333333333</v>
      </c>
      <c r="K55" s="8" t="n">
        <f aca="false">IF($B55="","",SUMIFS(Données!$N$2:$N$5000,Données!$A$2:$A$5000,$A55,Données!$B$2:$B$5000,$B$3))</f>
        <v>5.625</v>
      </c>
      <c r="L55" s="7" t="n">
        <f aca="false">IF($B55="","",IFERROR(K55/J55,0))</f>
        <v>0.808383233532934</v>
      </c>
      <c r="M55" s="8" t="n">
        <f aca="false">IF($B55="","",SUMIFS(Données!$S$2:$S$5000,Données!$A$2:$A$5000,$A55,Données!$B$2:$B$5000,$B$3))</f>
        <v>1.33333333333333</v>
      </c>
      <c r="N55" s="7" t="n">
        <f aca="false">IF($B55="","",IFERROR(M55/J55,0))</f>
        <v>0.191616766467066</v>
      </c>
      <c r="O55" s="8" t="n">
        <f aca="false">IF($B55="","",SUMIFS(Données!$X$2:$X$5000,Données!$A$2:$A$5000,$A55,Données!$B$2:$B$5000,$B$3))</f>
        <v>0.0263888888888889</v>
      </c>
    </row>
    <row r="56" customFormat="false" ht="15" hidden="false" customHeight="false" outlineLevel="0" collapsed="false">
      <c r="A56" s="6" t="str">
        <f aca="false">IF(B56="","",YEAR(B56+3)&amp;"-S"&amp;TEXT(WEEKNUM(B56,21),"00"))</f>
        <v/>
      </c>
      <c r="B56" s="17" t="str">
        <f aca="false">IF(B55="","",IF(B55+7&gt;MAX(Données!$Q$2:$Q$5000),"",B55+7))</f>
        <v/>
      </c>
      <c r="C56" s="17" t="str">
        <f aca="false">IF(B56="","",B56+6)</f>
        <v/>
      </c>
      <c r="D56" s="6" t="str">
        <f aca="false">IF($B56="","",COUNTIFS(Données!$A$2:$A$5000,$A56,Données!$B$2:$B$5000,$B$3,Données!$O$2:$O$5000,"&gt;0"))</f>
        <v/>
      </c>
      <c r="E56" s="6" t="str">
        <f aca="false">IF($B56="","",COUNTIFS(Données!$A$2:$A$5000,$A56,Données!$B$2:$B$5000,$B$3,Données!$M$2:$M$5000,"Abs"))</f>
        <v/>
      </c>
      <c r="F56" s="7" t="str">
        <f aca="false">IF($B56="","",IFERROR(E56/D56,0))</f>
        <v/>
      </c>
      <c r="G56" s="6" t="str">
        <f aca="false">IF($B56="","",COUNTIFS(Données!$A$2:$A$5000,$A56,Données!$B$2:$B$5000,$B$3,Données!$I$2:$I$5000,"&gt;0"))</f>
        <v/>
      </c>
      <c r="H56" s="8" t="str">
        <f aca="false">IF($B56="","",SUMIFS(Données!$I$2:$I$5000,Données!$A$2:$A$5000,$A56,Données!$B$2:$B$5000,$B$3))</f>
        <v/>
      </c>
      <c r="I56" s="8" t="str">
        <f aca="false">IF($B56="","",SUMIFS(Données!$L$2:$L$5000,Données!$A$2:$A$5000,$A56,Données!$B$2:$B$5000,$B$3))</f>
        <v/>
      </c>
      <c r="J56" s="8" t="str">
        <f aca="false">IF($B56="","",SUMIFS(Données!$O$2:$O$5000,Données!$A$2:$A$5000,$A56,Données!$B$2:$B$5000,$B$3))</f>
        <v/>
      </c>
      <c r="K56" s="8" t="str">
        <f aca="false">IF($B56="","",SUMIFS(Données!$N$2:$N$5000,Données!$A$2:$A$5000,$A56,Données!$B$2:$B$5000,$B$3))</f>
        <v/>
      </c>
      <c r="L56" s="7" t="str">
        <f aca="false">IF($B56="","",IFERROR(K56/J56,0))</f>
        <v/>
      </c>
      <c r="M56" s="8" t="str">
        <f aca="false">IF($B56="","",SUMIFS(Données!$S$2:$S$5000,Données!$A$2:$A$5000,$A56,Données!$B$2:$B$5000,$B$3))</f>
        <v/>
      </c>
      <c r="N56" s="7" t="str">
        <f aca="false">IF($B56="","",IFERROR(M56/J56,0))</f>
        <v/>
      </c>
      <c r="O56" s="8" t="str">
        <f aca="false">IF($B56="","",SUMIFS(Données!$X$2:$X$5000,Données!$A$2:$A$5000,$A56,Données!$B$2:$B$5000,$B$3))</f>
        <v/>
      </c>
    </row>
    <row r="57" customFormat="false" ht="15" hidden="false" customHeight="false" outlineLevel="0" collapsed="false">
      <c r="A57" s="6" t="str">
        <f aca="false">IF(B57="","",YEAR(B57+3)&amp;"-S"&amp;TEXT(WEEKNUM(B57,21),"00"))</f>
        <v/>
      </c>
      <c r="B57" s="17" t="str">
        <f aca="false">IF(B56="","",IF(B56+7&gt;MAX(Données!$Q$2:$Q$5000),"",B56+7))</f>
        <v/>
      </c>
      <c r="C57" s="17" t="str">
        <f aca="false">IF(B57="","",B57+6)</f>
        <v/>
      </c>
      <c r="D57" s="6" t="str">
        <f aca="false">IF($B57="","",COUNTIFS(Données!$A$2:$A$5000,$A57,Données!$B$2:$B$5000,$B$3,Données!$O$2:$O$5000,"&gt;0"))</f>
        <v/>
      </c>
      <c r="E57" s="6" t="str">
        <f aca="false">IF($B57="","",COUNTIFS(Données!$A$2:$A$5000,$A57,Données!$B$2:$B$5000,$B$3,Données!$M$2:$M$5000,"Abs"))</f>
        <v/>
      </c>
      <c r="F57" s="7" t="str">
        <f aca="false">IF($B57="","",IFERROR(E57/D57,0))</f>
        <v/>
      </c>
      <c r="G57" s="6" t="str">
        <f aca="false">IF($B57="","",COUNTIFS(Données!$A$2:$A$5000,$A57,Données!$B$2:$B$5000,$B$3,Données!$I$2:$I$5000,"&gt;0"))</f>
        <v/>
      </c>
      <c r="H57" s="8" t="str">
        <f aca="false">IF($B57="","",SUMIFS(Données!$I$2:$I$5000,Données!$A$2:$A$5000,$A57,Données!$B$2:$B$5000,$B$3))</f>
        <v/>
      </c>
      <c r="I57" s="8" t="str">
        <f aca="false">IF($B57="","",SUMIFS(Données!$L$2:$L$5000,Données!$A$2:$A$5000,$A57,Données!$B$2:$B$5000,$B$3))</f>
        <v/>
      </c>
      <c r="J57" s="8" t="str">
        <f aca="false">IF($B57="","",SUMIFS(Données!$O$2:$O$5000,Données!$A$2:$A$5000,$A57,Données!$B$2:$B$5000,$B$3))</f>
        <v/>
      </c>
      <c r="K57" s="8" t="str">
        <f aca="false">IF($B57="","",SUMIFS(Données!$N$2:$N$5000,Données!$A$2:$A$5000,$A57,Données!$B$2:$B$5000,$B$3))</f>
        <v/>
      </c>
      <c r="L57" s="7" t="str">
        <f aca="false">IF($B57="","",IFERROR(K57/J57,0))</f>
        <v/>
      </c>
      <c r="M57" s="8" t="str">
        <f aca="false">IF($B57="","",SUMIFS(Données!$S$2:$S$5000,Données!$A$2:$A$5000,$A57,Données!$B$2:$B$5000,$B$3))</f>
        <v/>
      </c>
      <c r="N57" s="7" t="str">
        <f aca="false">IF($B57="","",IFERROR(M57/J57,0))</f>
        <v/>
      </c>
      <c r="O57" s="8" t="str">
        <f aca="false">IF($B57="","",SUMIFS(Données!$X$2:$X$5000,Données!$A$2:$A$5000,$A57,Données!$B$2:$B$5000,$B$3))</f>
        <v/>
      </c>
    </row>
    <row r="58" customFormat="false" ht="15" hidden="false" customHeight="false" outlineLevel="0" collapsed="false">
      <c r="A58" s="6" t="str">
        <f aca="false">IF(B58="","",YEAR(B58+3)&amp;"-S"&amp;TEXT(WEEKNUM(B58,21),"00"))</f>
        <v/>
      </c>
      <c r="B58" s="17" t="str">
        <f aca="false">IF(B57="","",IF(B57+7&gt;MAX(Données!$Q$2:$Q$5000),"",B57+7))</f>
        <v/>
      </c>
      <c r="C58" s="17" t="str">
        <f aca="false">IF(B58="","",B58+6)</f>
        <v/>
      </c>
      <c r="D58" s="6" t="str">
        <f aca="false">IF($B58="","",COUNTIFS(Données!$A$2:$A$5000,$A58,Données!$B$2:$B$5000,$B$3,Données!$O$2:$O$5000,"&gt;0"))</f>
        <v/>
      </c>
      <c r="E58" s="6" t="str">
        <f aca="false">IF($B58="","",COUNTIFS(Données!$A$2:$A$5000,$A58,Données!$B$2:$B$5000,$B$3,Données!$M$2:$M$5000,"Abs"))</f>
        <v/>
      </c>
      <c r="F58" s="7" t="str">
        <f aca="false">IF($B58="","",IFERROR(E58/D58,0))</f>
        <v/>
      </c>
      <c r="G58" s="6" t="str">
        <f aca="false">IF($B58="","",COUNTIFS(Données!$A$2:$A$5000,$A58,Données!$B$2:$B$5000,$B$3,Données!$I$2:$I$5000,"&gt;0"))</f>
        <v/>
      </c>
      <c r="H58" s="8" t="str">
        <f aca="false">IF($B58="","",SUMIFS(Données!$I$2:$I$5000,Données!$A$2:$A$5000,$A58,Données!$B$2:$B$5000,$B$3))</f>
        <v/>
      </c>
      <c r="I58" s="8" t="str">
        <f aca="false">IF($B58="","",SUMIFS(Données!$L$2:$L$5000,Données!$A$2:$A$5000,$A58,Données!$B$2:$B$5000,$B$3))</f>
        <v/>
      </c>
      <c r="J58" s="8" t="str">
        <f aca="false">IF($B58="","",SUMIFS(Données!$O$2:$O$5000,Données!$A$2:$A$5000,$A58,Données!$B$2:$B$5000,$B$3))</f>
        <v/>
      </c>
      <c r="K58" s="8" t="str">
        <f aca="false">IF($B58="","",SUMIFS(Données!$N$2:$N$5000,Données!$A$2:$A$5000,$A58,Données!$B$2:$B$5000,$B$3))</f>
        <v/>
      </c>
      <c r="L58" s="7" t="str">
        <f aca="false">IF($B58="","",IFERROR(K58/J58,0))</f>
        <v/>
      </c>
      <c r="M58" s="8" t="str">
        <f aca="false">IF($B58="","",SUMIFS(Données!$S$2:$S$5000,Données!$A$2:$A$5000,$A58,Données!$B$2:$B$5000,$B$3))</f>
        <v/>
      </c>
      <c r="N58" s="7" t="str">
        <f aca="false">IF($B58="","",IFERROR(M58/J58,0))</f>
        <v/>
      </c>
      <c r="O58" s="8" t="str">
        <f aca="false">IF($B58="","",SUMIFS(Données!$X$2:$X$5000,Données!$A$2:$A$5000,$A58,Données!$B$2:$B$5000,$B$3))</f>
        <v/>
      </c>
    </row>
    <row r="59" customFormat="false" ht="15" hidden="false" customHeight="false" outlineLevel="0" collapsed="false">
      <c r="A59" s="6" t="str">
        <f aca="false">IF(B59="","",YEAR(B59+3)&amp;"-S"&amp;TEXT(WEEKNUM(B59,21),"00"))</f>
        <v/>
      </c>
      <c r="B59" s="17" t="str">
        <f aca="false">IF(B58="","",IF(B58+7&gt;MAX(Données!$Q$2:$Q$5000),"",B58+7))</f>
        <v/>
      </c>
      <c r="C59" s="17" t="str">
        <f aca="false">IF(B59="","",B59+6)</f>
        <v/>
      </c>
      <c r="D59" s="6" t="str">
        <f aca="false">IF($B59="","",COUNTIFS(Données!$A$2:$A$5000,$A59,Données!$B$2:$B$5000,$B$3,Données!$O$2:$O$5000,"&gt;0"))</f>
        <v/>
      </c>
      <c r="E59" s="6" t="str">
        <f aca="false">IF($B59="","",COUNTIFS(Données!$A$2:$A$5000,$A59,Données!$B$2:$B$5000,$B$3,Données!$M$2:$M$5000,"Abs"))</f>
        <v/>
      </c>
      <c r="F59" s="7" t="str">
        <f aca="false">IF($B59="","",IFERROR(E59/D59,0))</f>
        <v/>
      </c>
      <c r="G59" s="6" t="str">
        <f aca="false">IF($B59="","",COUNTIFS(Données!$A$2:$A$5000,$A59,Données!$B$2:$B$5000,$B$3,Données!$I$2:$I$5000,"&gt;0"))</f>
        <v/>
      </c>
      <c r="H59" s="8" t="str">
        <f aca="false">IF($B59="","",SUMIFS(Données!$I$2:$I$5000,Données!$A$2:$A$5000,$A59,Données!$B$2:$B$5000,$B$3))</f>
        <v/>
      </c>
      <c r="I59" s="8" t="str">
        <f aca="false">IF($B59="","",SUMIFS(Données!$L$2:$L$5000,Données!$A$2:$A$5000,$A59,Données!$B$2:$B$5000,$B$3))</f>
        <v/>
      </c>
      <c r="J59" s="8" t="str">
        <f aca="false">IF($B59="","",SUMIFS(Données!$O$2:$O$5000,Données!$A$2:$A$5000,$A59,Données!$B$2:$B$5000,$B$3))</f>
        <v/>
      </c>
      <c r="K59" s="8" t="str">
        <f aca="false">IF($B59="","",SUMIFS(Données!$N$2:$N$5000,Données!$A$2:$A$5000,$A59,Données!$B$2:$B$5000,$B$3))</f>
        <v/>
      </c>
      <c r="L59" s="7" t="str">
        <f aca="false">IF($B59="","",IFERROR(K59/J59,0))</f>
        <v/>
      </c>
      <c r="M59" s="8" t="str">
        <f aca="false">IF($B59="","",SUMIFS(Données!$S$2:$S$5000,Données!$A$2:$A$5000,$A59,Données!$B$2:$B$5000,$B$3))</f>
        <v/>
      </c>
      <c r="N59" s="7" t="str">
        <f aca="false">IF($B59="","",IFERROR(M59/J59,0))</f>
        <v/>
      </c>
      <c r="O59" s="8" t="str">
        <f aca="false">IF($B59="","",SUMIFS(Données!$X$2:$X$5000,Données!$A$2:$A$5000,$A59,Données!$B$2:$B$5000,$B$3))</f>
        <v/>
      </c>
    </row>
    <row r="60" customFormat="false" ht="15" hidden="false" customHeight="false" outlineLevel="0" collapsed="false">
      <c r="A60" s="6" t="str">
        <f aca="false">IF(B60="","",YEAR(B60+3)&amp;"-S"&amp;TEXT(WEEKNUM(B60,21),"00"))</f>
        <v/>
      </c>
      <c r="B60" s="17" t="str">
        <f aca="false">IF(B59="","",IF(B59+7&gt;MAX(Données!$Q$2:$Q$5000),"",B59+7))</f>
        <v/>
      </c>
      <c r="C60" s="17" t="str">
        <f aca="false">IF(B60="","",B60+6)</f>
        <v/>
      </c>
      <c r="D60" s="6" t="str">
        <f aca="false">IF($B60="","",COUNTIFS(Données!$A$2:$A$5000,$A60,Données!$B$2:$B$5000,$B$3,Données!$O$2:$O$5000,"&gt;0"))</f>
        <v/>
      </c>
      <c r="E60" s="6" t="str">
        <f aca="false">IF($B60="","",COUNTIFS(Données!$A$2:$A$5000,$A60,Données!$B$2:$B$5000,$B$3,Données!$M$2:$M$5000,"Abs"))</f>
        <v/>
      </c>
      <c r="F60" s="7" t="str">
        <f aca="false">IF($B60="","",IFERROR(E60/D60,0))</f>
        <v/>
      </c>
      <c r="G60" s="6" t="str">
        <f aca="false">IF($B60="","",COUNTIFS(Données!$A$2:$A$5000,$A60,Données!$B$2:$B$5000,$B$3,Données!$I$2:$I$5000,"&gt;0"))</f>
        <v/>
      </c>
      <c r="H60" s="8" t="str">
        <f aca="false">IF($B60="","",SUMIFS(Données!$I$2:$I$5000,Données!$A$2:$A$5000,$A60,Données!$B$2:$B$5000,$B$3))</f>
        <v/>
      </c>
      <c r="I60" s="8" t="str">
        <f aca="false">IF($B60="","",SUMIFS(Données!$L$2:$L$5000,Données!$A$2:$A$5000,$A60,Données!$B$2:$B$5000,$B$3))</f>
        <v/>
      </c>
      <c r="J60" s="8" t="str">
        <f aca="false">IF($B60="","",SUMIFS(Données!$O$2:$O$5000,Données!$A$2:$A$5000,$A60,Données!$B$2:$B$5000,$B$3))</f>
        <v/>
      </c>
      <c r="K60" s="8" t="str">
        <f aca="false">IF($B60="","",SUMIFS(Données!$N$2:$N$5000,Données!$A$2:$A$5000,$A60,Données!$B$2:$B$5000,$B$3))</f>
        <v/>
      </c>
      <c r="L60" s="7" t="str">
        <f aca="false">IF($B60="","",IFERROR(K60/J60,0))</f>
        <v/>
      </c>
      <c r="M60" s="8" t="str">
        <f aca="false">IF($B60="","",SUMIFS(Données!$S$2:$S$5000,Données!$A$2:$A$5000,$A60,Données!$B$2:$B$5000,$B$3))</f>
        <v/>
      </c>
      <c r="N60" s="7" t="str">
        <f aca="false">IF($B60="","",IFERROR(M60/J60,0))</f>
        <v/>
      </c>
      <c r="O60" s="8" t="str">
        <f aca="false">IF($B60="","",SUMIFS(Données!$X$2:$X$5000,Données!$A$2:$A$5000,$A60,Données!$B$2:$B$5000,$B$3))</f>
        <v/>
      </c>
    </row>
    <row r="61" customFormat="false" ht="15" hidden="false" customHeight="false" outlineLevel="0" collapsed="false">
      <c r="A61" s="6" t="str">
        <f aca="false">IF(B61="","",YEAR(B61+3)&amp;"-S"&amp;TEXT(WEEKNUM(B61,21),"00"))</f>
        <v/>
      </c>
      <c r="B61" s="17" t="str">
        <f aca="false">IF(B60="","",IF(B60+7&gt;MAX(Données!$Q$2:$Q$5000),"",B60+7))</f>
        <v/>
      </c>
      <c r="C61" s="17" t="str">
        <f aca="false">IF(B61="","",B61+6)</f>
        <v/>
      </c>
      <c r="D61" s="6" t="str">
        <f aca="false">IF($B61="","",COUNTIFS(Données!$A$2:$A$5000,$A61,Données!$B$2:$B$5000,$B$3,Données!$O$2:$O$5000,"&gt;0"))</f>
        <v/>
      </c>
      <c r="E61" s="6" t="str">
        <f aca="false">IF($B61="","",COUNTIFS(Données!$A$2:$A$5000,$A61,Données!$B$2:$B$5000,$B$3,Données!$M$2:$M$5000,"Abs"))</f>
        <v/>
      </c>
      <c r="F61" s="7" t="str">
        <f aca="false">IF($B61="","",IFERROR(E61/D61,0))</f>
        <v/>
      </c>
      <c r="G61" s="6" t="str">
        <f aca="false">IF($B61="","",COUNTIFS(Données!$A$2:$A$5000,$A61,Données!$B$2:$B$5000,$B$3,Données!$I$2:$I$5000,"&gt;0"))</f>
        <v/>
      </c>
      <c r="H61" s="8" t="str">
        <f aca="false">IF($B61="","",SUMIFS(Données!$I$2:$I$5000,Données!$A$2:$A$5000,$A61,Données!$B$2:$B$5000,$B$3))</f>
        <v/>
      </c>
      <c r="I61" s="8" t="str">
        <f aca="false">IF($B61="","",SUMIFS(Données!$L$2:$L$5000,Données!$A$2:$A$5000,$A61,Données!$B$2:$B$5000,$B$3))</f>
        <v/>
      </c>
      <c r="J61" s="8" t="str">
        <f aca="false">IF($B61="","",SUMIFS(Données!$O$2:$O$5000,Données!$A$2:$A$5000,$A61,Données!$B$2:$B$5000,$B$3))</f>
        <v/>
      </c>
      <c r="K61" s="8" t="str">
        <f aca="false">IF($B61="","",SUMIFS(Données!$N$2:$N$5000,Données!$A$2:$A$5000,$A61,Données!$B$2:$B$5000,$B$3))</f>
        <v/>
      </c>
      <c r="L61" s="7" t="str">
        <f aca="false">IF($B61="","",IFERROR(K61/J61,0))</f>
        <v/>
      </c>
      <c r="M61" s="8" t="str">
        <f aca="false">IF($B61="","",SUMIFS(Données!$S$2:$S$5000,Données!$A$2:$A$5000,$A61,Données!$B$2:$B$5000,$B$3))</f>
        <v/>
      </c>
      <c r="N61" s="7" t="str">
        <f aca="false">IF($B61="","",IFERROR(M61/J61,0))</f>
        <v/>
      </c>
      <c r="O61" s="8" t="str">
        <f aca="false">IF($B61="","",SUMIFS(Données!$X$2:$X$5000,Données!$A$2:$A$5000,$A61,Données!$B$2:$B$5000,$B$3))</f>
        <v/>
      </c>
    </row>
    <row r="62" customFormat="false" ht="15" hidden="false" customHeight="false" outlineLevel="0" collapsed="false">
      <c r="A62" s="6" t="str">
        <f aca="false">IF(B62="","",YEAR(B62+3)&amp;"-S"&amp;TEXT(WEEKNUM(B62,21),"00"))</f>
        <v/>
      </c>
      <c r="B62" s="17" t="str">
        <f aca="false">IF(B61="","",IF(B61+7&gt;MAX(Données!$Q$2:$Q$5000),"",B61+7))</f>
        <v/>
      </c>
      <c r="C62" s="17" t="str">
        <f aca="false">IF(B62="","",B62+6)</f>
        <v/>
      </c>
      <c r="D62" s="6" t="str">
        <f aca="false">IF($B62="","",COUNTIFS(Données!$A$2:$A$5000,$A62,Données!$B$2:$B$5000,$B$3,Données!$O$2:$O$5000,"&gt;0"))</f>
        <v/>
      </c>
      <c r="E62" s="6" t="str">
        <f aca="false">IF($B62="","",COUNTIFS(Données!$A$2:$A$5000,$A62,Données!$B$2:$B$5000,$B$3,Données!$M$2:$M$5000,"Abs"))</f>
        <v/>
      </c>
      <c r="F62" s="7" t="str">
        <f aca="false">IF($B62="","",IFERROR(E62/D62,0))</f>
        <v/>
      </c>
      <c r="G62" s="6" t="str">
        <f aca="false">IF($B62="","",COUNTIFS(Données!$A$2:$A$5000,$A62,Données!$B$2:$B$5000,$B$3,Données!$I$2:$I$5000,"&gt;0"))</f>
        <v/>
      </c>
      <c r="H62" s="8" t="str">
        <f aca="false">IF($B62="","",SUMIFS(Données!$I$2:$I$5000,Données!$A$2:$A$5000,$A62,Données!$B$2:$B$5000,$B$3))</f>
        <v/>
      </c>
      <c r="I62" s="8" t="str">
        <f aca="false">IF($B62="","",SUMIFS(Données!$L$2:$L$5000,Données!$A$2:$A$5000,$A62,Données!$B$2:$B$5000,$B$3))</f>
        <v/>
      </c>
      <c r="J62" s="8" t="str">
        <f aca="false">IF($B62="","",SUMIFS(Données!$O$2:$O$5000,Données!$A$2:$A$5000,$A62,Données!$B$2:$B$5000,$B$3))</f>
        <v/>
      </c>
      <c r="K62" s="8" t="str">
        <f aca="false">IF($B62="","",SUMIFS(Données!$N$2:$N$5000,Données!$A$2:$A$5000,$A62,Données!$B$2:$B$5000,$B$3))</f>
        <v/>
      </c>
      <c r="L62" s="7" t="str">
        <f aca="false">IF($B62="","",IFERROR(K62/J62,0))</f>
        <v/>
      </c>
      <c r="M62" s="8" t="str">
        <f aca="false">IF($B62="","",SUMIFS(Données!$S$2:$S$5000,Données!$A$2:$A$5000,$A62,Données!$B$2:$B$5000,$B$3))</f>
        <v/>
      </c>
      <c r="N62" s="7" t="str">
        <f aca="false">IF($B62="","",IFERROR(M62/J62,0))</f>
        <v/>
      </c>
      <c r="O62" s="8" t="str">
        <f aca="false">IF($B62="","",SUMIFS(Données!$X$2:$X$5000,Données!$A$2:$A$5000,$A62,Données!$B$2:$B$5000,$B$3))</f>
        <v/>
      </c>
    </row>
    <row r="63" customFormat="false" ht="15" hidden="false" customHeight="false" outlineLevel="0" collapsed="false">
      <c r="A63" s="6" t="str">
        <f aca="false">IF(B63="","",YEAR(B63+3)&amp;"-S"&amp;TEXT(WEEKNUM(B63,21),"00"))</f>
        <v/>
      </c>
      <c r="B63" s="17" t="str">
        <f aca="false">IF(B62="","",IF(B62+7&gt;MAX(Données!$Q$2:$Q$5000),"",B62+7))</f>
        <v/>
      </c>
      <c r="C63" s="17" t="str">
        <f aca="false">IF(B63="","",B63+6)</f>
        <v/>
      </c>
      <c r="D63" s="6" t="str">
        <f aca="false">IF($B63="","",COUNTIFS(Données!$A$2:$A$5000,$A63,Données!$B$2:$B$5000,$B$3,Données!$O$2:$O$5000,"&gt;0"))</f>
        <v/>
      </c>
      <c r="E63" s="6" t="str">
        <f aca="false">IF($B63="","",COUNTIFS(Données!$A$2:$A$5000,$A63,Données!$B$2:$B$5000,$B$3,Données!$M$2:$M$5000,"Abs"))</f>
        <v/>
      </c>
      <c r="F63" s="7" t="str">
        <f aca="false">IF($B63="","",IFERROR(E63/D63,0))</f>
        <v/>
      </c>
      <c r="G63" s="6" t="str">
        <f aca="false">IF($B63="","",COUNTIFS(Données!$A$2:$A$5000,$A63,Données!$B$2:$B$5000,$B$3,Données!$I$2:$I$5000,"&gt;0"))</f>
        <v/>
      </c>
      <c r="H63" s="8" t="str">
        <f aca="false">IF($B63="","",SUMIFS(Données!$I$2:$I$5000,Données!$A$2:$A$5000,$A63,Données!$B$2:$B$5000,$B$3))</f>
        <v/>
      </c>
      <c r="I63" s="8" t="str">
        <f aca="false">IF($B63="","",SUMIFS(Données!$L$2:$L$5000,Données!$A$2:$A$5000,$A63,Données!$B$2:$B$5000,$B$3))</f>
        <v/>
      </c>
      <c r="J63" s="8" t="str">
        <f aca="false">IF($B63="","",SUMIFS(Données!$O$2:$O$5000,Données!$A$2:$A$5000,$A63,Données!$B$2:$B$5000,$B$3))</f>
        <v/>
      </c>
      <c r="K63" s="8" t="str">
        <f aca="false">IF($B63="","",SUMIFS(Données!$N$2:$N$5000,Données!$A$2:$A$5000,$A63,Données!$B$2:$B$5000,$B$3))</f>
        <v/>
      </c>
      <c r="L63" s="7" t="str">
        <f aca="false">IF($B63="","",IFERROR(K63/J63,0))</f>
        <v/>
      </c>
      <c r="M63" s="8" t="str">
        <f aca="false">IF($B63="","",SUMIFS(Données!$S$2:$S$5000,Données!$A$2:$A$5000,$A63,Données!$B$2:$B$5000,$B$3))</f>
        <v/>
      </c>
      <c r="N63" s="7" t="str">
        <f aca="false">IF($B63="","",IFERROR(M63/J63,0))</f>
        <v/>
      </c>
      <c r="O63" s="8" t="str">
        <f aca="false">IF($B63="","",SUMIFS(Données!$X$2:$X$5000,Données!$A$2:$A$5000,$A63,Données!$B$2:$B$5000,$B$3))</f>
        <v/>
      </c>
    </row>
    <row r="64" customFormat="false" ht="15" hidden="false" customHeight="false" outlineLevel="0" collapsed="false">
      <c r="A64" s="6" t="str">
        <f aca="false">IF(B64="","",YEAR(B64+3)&amp;"-S"&amp;TEXT(WEEKNUM(B64,21),"00"))</f>
        <v/>
      </c>
      <c r="B64" s="17" t="str">
        <f aca="false">IF(B63="","",IF(B63+7&gt;MAX(Données!$Q$2:$Q$5000),"",B63+7))</f>
        <v/>
      </c>
      <c r="C64" s="17" t="str">
        <f aca="false">IF(B64="","",B64+6)</f>
        <v/>
      </c>
      <c r="D64" s="6" t="str">
        <f aca="false">IF($B64="","",COUNTIFS(Données!$A$2:$A$5000,$A64,Données!$B$2:$B$5000,$B$3,Données!$O$2:$O$5000,"&gt;0"))</f>
        <v/>
      </c>
      <c r="E64" s="6" t="str">
        <f aca="false">IF($B64="","",COUNTIFS(Données!$A$2:$A$5000,$A64,Données!$B$2:$B$5000,$B$3,Données!$M$2:$M$5000,"Abs"))</f>
        <v/>
      </c>
      <c r="F64" s="7" t="str">
        <f aca="false">IF($B64="","",IFERROR(E64/D64,0))</f>
        <v/>
      </c>
      <c r="G64" s="6" t="str">
        <f aca="false">IF($B64="","",COUNTIFS(Données!$A$2:$A$5000,$A64,Données!$B$2:$B$5000,$B$3,Données!$I$2:$I$5000,"&gt;0"))</f>
        <v/>
      </c>
      <c r="H64" s="8" t="str">
        <f aca="false">IF($B64="","",SUMIFS(Données!$I$2:$I$5000,Données!$A$2:$A$5000,$A64,Données!$B$2:$B$5000,$B$3))</f>
        <v/>
      </c>
      <c r="I64" s="8" t="str">
        <f aca="false">IF($B64="","",SUMIFS(Données!$L$2:$L$5000,Données!$A$2:$A$5000,$A64,Données!$B$2:$B$5000,$B$3))</f>
        <v/>
      </c>
      <c r="J64" s="8" t="str">
        <f aca="false">IF($B64="","",SUMIFS(Données!$O$2:$O$5000,Données!$A$2:$A$5000,$A64,Données!$B$2:$B$5000,$B$3))</f>
        <v/>
      </c>
      <c r="K64" s="8" t="str">
        <f aca="false">IF($B64="","",SUMIFS(Données!$N$2:$N$5000,Données!$A$2:$A$5000,$A64,Données!$B$2:$B$5000,$B$3))</f>
        <v/>
      </c>
      <c r="L64" s="7" t="str">
        <f aca="false">IF($B64="","",IFERROR(K64/J64,0))</f>
        <v/>
      </c>
      <c r="M64" s="8" t="str">
        <f aca="false">IF($B64="","",SUMIFS(Données!$S$2:$S$5000,Données!$A$2:$A$5000,$A64,Données!$B$2:$B$5000,$B$3))</f>
        <v/>
      </c>
      <c r="N64" s="7" t="str">
        <f aca="false">IF($B64="","",IFERROR(M64/J64,0))</f>
        <v/>
      </c>
      <c r="O64" s="8" t="str">
        <f aca="false">IF($B64="","",SUMIFS(Données!$X$2:$X$5000,Données!$A$2:$A$5000,$A64,Données!$B$2:$B$5000,$B$3))</f>
        <v/>
      </c>
    </row>
    <row r="65" customFormat="false" ht="15" hidden="false" customHeight="false" outlineLevel="0" collapsed="false">
      <c r="A65" s="6" t="str">
        <f aca="false">IF(B65="","",YEAR(B65+3)&amp;"-S"&amp;TEXT(WEEKNUM(B65,21),"00"))</f>
        <v/>
      </c>
      <c r="B65" s="17" t="str">
        <f aca="false">IF(B64="","",IF(B64+7&gt;MAX(Données!$Q$2:$Q$5000),"",B64+7))</f>
        <v/>
      </c>
      <c r="C65" s="17" t="str">
        <f aca="false">IF(B65="","",B65+6)</f>
        <v/>
      </c>
      <c r="D65" s="6" t="str">
        <f aca="false">IF($B65="","",COUNTIFS(Données!$A$2:$A$5000,$A65,Données!$B$2:$B$5000,$B$3,Données!$O$2:$O$5000,"&gt;0"))</f>
        <v/>
      </c>
      <c r="E65" s="6" t="str">
        <f aca="false">IF($B65="","",COUNTIFS(Données!$A$2:$A$5000,$A65,Données!$B$2:$B$5000,$B$3,Données!$M$2:$M$5000,"Abs"))</f>
        <v/>
      </c>
      <c r="F65" s="7" t="str">
        <f aca="false">IF($B65="","",IFERROR(E65/D65,0))</f>
        <v/>
      </c>
      <c r="G65" s="6" t="str">
        <f aca="false">IF($B65="","",COUNTIFS(Données!$A$2:$A$5000,$A65,Données!$B$2:$B$5000,$B$3,Données!$I$2:$I$5000,"&gt;0"))</f>
        <v/>
      </c>
      <c r="H65" s="8" t="str">
        <f aca="false">IF($B65="","",SUMIFS(Données!$I$2:$I$5000,Données!$A$2:$A$5000,$A65,Données!$B$2:$B$5000,$B$3))</f>
        <v/>
      </c>
      <c r="I65" s="8" t="str">
        <f aca="false">IF($B65="","",SUMIFS(Données!$L$2:$L$5000,Données!$A$2:$A$5000,$A65,Données!$B$2:$B$5000,$B$3))</f>
        <v/>
      </c>
      <c r="J65" s="8" t="str">
        <f aca="false">IF($B65="","",SUMIFS(Données!$O$2:$O$5000,Données!$A$2:$A$5000,$A65,Données!$B$2:$B$5000,$B$3))</f>
        <v/>
      </c>
      <c r="K65" s="8" t="str">
        <f aca="false">IF($B65="","",SUMIFS(Données!$N$2:$N$5000,Données!$A$2:$A$5000,$A65,Données!$B$2:$B$5000,$B$3))</f>
        <v/>
      </c>
      <c r="L65" s="7" t="str">
        <f aca="false">IF($B65="","",IFERROR(K65/J65,0))</f>
        <v/>
      </c>
      <c r="M65" s="8" t="str">
        <f aca="false">IF($B65="","",SUMIFS(Données!$S$2:$S$5000,Données!$A$2:$A$5000,$A65,Données!$B$2:$B$5000,$B$3))</f>
        <v/>
      </c>
      <c r="N65" s="7" t="str">
        <f aca="false">IF($B65="","",IFERROR(M65/J65,0))</f>
        <v/>
      </c>
      <c r="O65" s="8" t="str">
        <f aca="false">IF($B65="","",SUMIFS(Données!$X$2:$X$5000,Données!$A$2:$A$5000,$A65,Données!$B$2:$B$5000,$B$3))</f>
        <v/>
      </c>
    </row>
  </sheetData>
  <dataValidations count="1">
    <dataValidation allowBlank="false" errorStyle="stop" operator="between" showDropDown="false" showErrorMessage="false" showInputMessage="false" sqref="B2" type="list">
      <formula1>"Tous,BENCHRIF HAFSSA,HAMDANI MOHAMED,JEBBALI YOUSSEF,LISSAOUI HIBA,RMAIDI IMAD"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5" min="2" style="0" width="13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4</v>
      </c>
      <c r="B2" s="15" t="s">
        <v>30</v>
      </c>
      <c r="C2" s="4" t="s">
        <v>31</v>
      </c>
    </row>
    <row r="3" customFormat="false" ht="15" hidden="false" customHeight="false" outlineLevel="0" collapsed="false">
      <c r="A3" s="16" t="s">
        <v>32</v>
      </c>
      <c r="B3" s="16" t="str">
        <f aca="false">IF($B$2="Tous","*",$B$2)</f>
        <v>*</v>
      </c>
    </row>
    <row r="5" customFormat="false" ht="45" hidden="false" customHeight="true" outlineLevel="0" collapsed="false">
      <c r="A5" s="5" t="s">
        <v>37</v>
      </c>
      <c r="B5" s="5" t="s">
        <v>34</v>
      </c>
      <c r="C5" s="5" t="s">
        <v>35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</row>
    <row r="6" customFormat="false" ht="15" hidden="false" customHeight="false" outlineLevel="0" collapsed="false">
      <c r="A6" s="6" t="str">
        <f aca="false">IF(B6="","",CHOOSE(MONTH(B6),"Janvier","Février","Mars","Avril","Mai","Juin","Juillet","Août","Septembre","Octobre","Novembre","Décembre")&amp;" "&amp;YEAR(B6))</f>
        <v>Novembre 2025</v>
      </c>
      <c r="B6" s="17" t="n">
        <f aca="false">DATE(YEAR(MIN(Données!$Q$2:$Q$5000)),MONTH(MIN(Données!$Q$2:$Q$5000)),1)</f>
        <v>45962</v>
      </c>
      <c r="C6" s="17" t="n">
        <f aca="false">IF(B6="","",EDATE(B6,1)-1)</f>
        <v>45991</v>
      </c>
      <c r="D6" s="6" t="n">
        <f aca="false">IF($B6="","",COUNTIFS(Données!$Q$2:$Q$5000,"&gt;="&amp;$B6,Données!$Q$2:$Q$5000,"&lt;="&amp;$C6,Données!$B$2:$B$5000,$B$3,Données!$O$2:$O$5000,"&gt;0"))</f>
        <v>24</v>
      </c>
      <c r="E6" s="6" t="n">
        <f aca="false">IF($B6="","",COUNTIFS(Données!$Q$2:$Q$5000,"&gt;="&amp;$B6,Données!$Q$2:$Q$5000,"&lt;="&amp;$C6,Données!$B$2:$B$5000,$B$3,Données!$M$2:$M$5000,"Abs"))</f>
        <v>0</v>
      </c>
      <c r="F6" s="7" t="n">
        <f aca="false">IF($B6="","",IFERROR(E6/D6,0))</f>
        <v>0</v>
      </c>
      <c r="G6" s="6" t="n">
        <f aca="false">IF($B6="","",COUNTIFS(Données!$Q$2:$Q$5000,"&gt;="&amp;$B6,Données!$Q$2:$Q$5000,"&lt;="&amp;$C6,Données!$B$2:$B$5000,$B$3,Données!$I$2:$I$5000,"&gt;0"))</f>
        <v>1</v>
      </c>
      <c r="H6" s="8" t="n">
        <f aca="false">IF($B6="","",SUMIFS(Données!$I$2:$I$5000,Données!$Q$2:$Q$5000,"&gt;="&amp;$B6,Données!$Q$2:$Q$5000,"&lt;="&amp;$C6,Données!$B$2:$B$5000,$B$3))</f>
        <v>0.00277777777777778</v>
      </c>
      <c r="I6" s="8" t="n">
        <f aca="false">IF($B6="","",SUMIFS(Données!$L$2:$L$5000,Données!$Q$2:$Q$5000,"&gt;="&amp;$B6,Données!$Q$2:$Q$5000,"&lt;="&amp;$C6,Données!$B$2:$B$5000,$B$3))</f>
        <v>0</v>
      </c>
      <c r="J6" s="8" t="n">
        <f aca="false">IF($B6="","",SUMIFS(Données!$O$2:$O$5000,Données!$Q$2:$Q$5000,"&gt;="&amp;$B6,Données!$Q$2:$Q$5000,"&lt;="&amp;$C6,Données!$B$2:$B$5000,$B$3))</f>
        <v>8.83333333333333</v>
      </c>
      <c r="K6" s="8" t="n">
        <f aca="false">IF($B6="","",SUMIFS(Données!$N$2:$N$5000,Données!$Q$2:$Q$5000,"&gt;="&amp;$B6,Données!$Q$2:$Q$5000,"&lt;="&amp;$C6,Données!$B$2:$B$5000,$B$3))</f>
        <v>8.83055555555556</v>
      </c>
      <c r="L6" s="7" t="n">
        <f aca="false">IF($B6="","",IFERROR(K6/J6,0))</f>
        <v>0.999685534591195</v>
      </c>
      <c r="M6" s="8" t="n">
        <f aca="false">IF($B6="","",SUMIFS(Données!$S$2:$S$5000,Données!$Q$2:$Q$5000,"&gt;="&amp;$B6,Données!$Q$2:$Q$5000,"&lt;="&amp;$C6,Données!$B$2:$B$5000,$B$3))</f>
        <v>0.00277777777777778</v>
      </c>
      <c r="N6" s="7" t="n">
        <f aca="false">IF($B6="","",IFERROR(M6/J6,0))</f>
        <v>0.000314465408805031</v>
      </c>
      <c r="O6" s="8" t="n">
        <f aca="false">IF($B6="","",SUMIFS(Données!$X$2:$X$5000,Données!$Q$2:$Q$5000,"&gt;="&amp;$B6,Données!$Q$2:$Q$5000,"&lt;="&amp;$C6,Données!$B$2:$B$5000,$B$3))</f>
        <v>0.00694444444444445</v>
      </c>
    </row>
    <row r="7" customFormat="false" ht="15" hidden="false" customHeight="false" outlineLevel="0" collapsed="false">
      <c r="A7" s="6" t="str">
        <f aca="false">IF(B7="","",CHOOSE(MONTH(B7),"Janvier","Février","Mars","Avril","Mai","Juin","Juillet","Août","Septembre","Octobre","Novembre","Décembre")&amp;" "&amp;YEAR(B7))</f>
        <v>Décembre 2025</v>
      </c>
      <c r="B7" s="17" t="n">
        <f aca="false">IF(B6="","",IF(EDATE(B6,1)&gt;MAX(Données!$Q$2:$Q$5000),"",EDATE(B6,1)))</f>
        <v>45992</v>
      </c>
      <c r="C7" s="17" t="n">
        <f aca="false">IF(B7="","",EDATE(B7,1)-1)</f>
        <v>46022</v>
      </c>
      <c r="D7" s="6" t="n">
        <f aca="false">IF($B7="","",COUNTIFS(Données!$Q$2:$Q$5000,"&gt;="&amp;$B7,Données!$Q$2:$Q$5000,"&lt;="&amp;$C7,Données!$B$2:$B$5000,$B$3,Données!$O$2:$O$5000,"&gt;0"))</f>
        <v>88</v>
      </c>
      <c r="E7" s="6" t="n">
        <f aca="false">IF($B7="","",COUNTIFS(Données!$Q$2:$Q$5000,"&gt;="&amp;$B7,Données!$Q$2:$Q$5000,"&lt;="&amp;$C7,Données!$B$2:$B$5000,$B$3,Données!$M$2:$M$5000,"Abs"))</f>
        <v>0</v>
      </c>
      <c r="F7" s="7" t="n">
        <f aca="false">IF($B7="","",IFERROR(E7/D7,0))</f>
        <v>0</v>
      </c>
      <c r="G7" s="6" t="n">
        <f aca="false">IF($B7="","",COUNTIFS(Données!$Q$2:$Q$5000,"&gt;="&amp;$B7,Données!$Q$2:$Q$5000,"&lt;="&amp;$C7,Données!$B$2:$B$5000,$B$3,Données!$I$2:$I$5000,"&gt;0"))</f>
        <v>1</v>
      </c>
      <c r="H7" s="8" t="n">
        <f aca="false">IF($B7="","",SUMIFS(Données!$I$2:$I$5000,Données!$Q$2:$Q$5000,"&gt;="&amp;$B7,Données!$Q$2:$Q$5000,"&lt;="&amp;$C7,Données!$B$2:$B$5000,$B$3))</f>
        <v>0.00347222222222222</v>
      </c>
      <c r="I7" s="8" t="n">
        <f aca="false">IF($B7="","",SUMIFS(Données!$L$2:$L$5000,Données!$Q$2:$Q$5000,"&gt;="&amp;$B7,Données!$Q$2:$Q$5000,"&lt;="&amp;$C7,Données!$B$2:$B$5000,$B$3))</f>
        <v>0</v>
      </c>
      <c r="J7" s="8" t="n">
        <f aca="false">IF($B7="","",SUMIFS(Données!$O$2:$O$5000,Données!$Q$2:$Q$5000,"&gt;="&amp;$B7,Données!$Q$2:$Q$5000,"&lt;="&amp;$C7,Données!$B$2:$B$5000,$B$3))</f>
        <v>32.3333333333333</v>
      </c>
      <c r="K7" s="8" t="n">
        <f aca="false">IF($B7="","",SUMIFS(Données!$N$2:$N$5000,Données!$Q$2:$Q$5000,"&gt;="&amp;$B7,Données!$Q$2:$Q$5000,"&lt;="&amp;$C7,Données!$B$2:$B$5000,$B$3))</f>
        <v>32.3298611111111</v>
      </c>
      <c r="L7" s="7" t="n">
        <f aca="false">IF($B7="","",IFERROR(K7/J7,0))</f>
        <v>0.999892611683849</v>
      </c>
      <c r="M7" s="8" t="n">
        <f aca="false">IF($B7="","",SUMIFS(Données!$S$2:$S$5000,Données!$Q$2:$Q$5000,"&gt;="&amp;$B7,Données!$Q$2:$Q$5000,"&lt;="&amp;$C7,Données!$B$2:$B$5000,$B$3))</f>
        <v>0.00347222222222222</v>
      </c>
      <c r="N7" s="7" t="n">
        <f aca="false">IF($B7="","",IFERROR(M7/J7,0))</f>
        <v>0.000107388316151203</v>
      </c>
      <c r="O7" s="8" t="n">
        <f aca="false">IF($B7="","",SUMIFS(Données!$X$2:$X$5000,Données!$Q$2:$Q$5000,"&gt;="&amp;$B7,Données!$Q$2:$Q$5000,"&lt;="&amp;$C7,Données!$B$2:$B$5000,$B$3))</f>
        <v>0.0319444444444444</v>
      </c>
    </row>
    <row r="8" customFormat="false" ht="15" hidden="false" customHeight="false" outlineLevel="0" collapsed="false">
      <c r="A8" s="6" t="str">
        <f aca="false">IF(B8="","",CHOOSE(MONTH(B8),"Janvier","Février","Mars","Avril","Mai","Juin","Juillet","Août","Septembre","Octobre","Novembre","Décembre")&amp;" "&amp;YEAR(B8))</f>
        <v>Janvier 2026</v>
      </c>
      <c r="B8" s="17" t="n">
        <f aca="false">IF(B7="","",IF(EDATE(B7,1)&gt;MAX(Données!$Q$2:$Q$5000),"",EDATE(B7,1)))</f>
        <v>46023</v>
      </c>
      <c r="C8" s="17" t="n">
        <f aca="false">IF(B8="","",EDATE(B8,1)-1)</f>
        <v>46053</v>
      </c>
      <c r="D8" s="6" t="n">
        <f aca="false">IF($B8="","",COUNTIFS(Données!$Q$2:$Q$5000,"&gt;="&amp;$B8,Données!$Q$2:$Q$5000,"&lt;="&amp;$C8,Données!$B$2:$B$5000,$B$3,Données!$O$2:$O$5000,"&gt;0"))</f>
        <v>82</v>
      </c>
      <c r="E8" s="6" t="n">
        <f aca="false">IF($B8="","",COUNTIFS(Données!$Q$2:$Q$5000,"&gt;="&amp;$B8,Données!$Q$2:$Q$5000,"&lt;="&amp;$C8,Données!$B$2:$B$5000,$B$3,Données!$M$2:$M$5000,"Abs"))</f>
        <v>1</v>
      </c>
      <c r="F8" s="7" t="n">
        <f aca="false">IF($B8="","",IFERROR(E8/D8,0))</f>
        <v>0.0121951219512195</v>
      </c>
      <c r="G8" s="6" t="n">
        <f aca="false">IF($B8="","",COUNTIFS(Données!$Q$2:$Q$5000,"&gt;="&amp;$B8,Données!$Q$2:$Q$5000,"&lt;="&amp;$C8,Données!$B$2:$B$5000,$B$3,Données!$I$2:$I$5000,"&gt;0"))</f>
        <v>3</v>
      </c>
      <c r="H8" s="8" t="n">
        <f aca="false">IF($B8="","",SUMIFS(Données!$I$2:$I$5000,Données!$Q$2:$Q$5000,"&gt;="&amp;$B8,Données!$Q$2:$Q$5000,"&lt;="&amp;$C8,Données!$B$2:$B$5000,$B$3))</f>
        <v>0.0694444444444445</v>
      </c>
      <c r="I8" s="8" t="n">
        <f aca="false">IF($B8="","",SUMIFS(Données!$L$2:$L$5000,Données!$Q$2:$Q$5000,"&gt;="&amp;$B8,Données!$Q$2:$Q$5000,"&lt;="&amp;$C8,Données!$B$2:$B$5000,$B$3))</f>
        <v>0</v>
      </c>
      <c r="J8" s="8" t="n">
        <f aca="false">IF($B8="","",SUMIFS(Données!$O$2:$O$5000,Données!$Q$2:$Q$5000,"&gt;="&amp;$B8,Données!$Q$2:$Q$5000,"&lt;="&amp;$C8,Données!$B$2:$B$5000,$B$3))</f>
        <v>29.9583333333333</v>
      </c>
      <c r="K8" s="8" t="n">
        <f aca="false">IF($B8="","",SUMIFS(Données!$N$2:$N$5000,Données!$Q$2:$Q$5000,"&gt;="&amp;$B8,Données!$Q$2:$Q$5000,"&lt;="&amp;$C8,Données!$B$2:$B$5000,$B$3))</f>
        <v>29.5138888888889</v>
      </c>
      <c r="L8" s="7" t="n">
        <f aca="false">IF($B8="","",IFERROR(K8/J8,0))</f>
        <v>0.985164580435791</v>
      </c>
      <c r="M8" s="8" t="n">
        <f aca="false">IF($B8="","",SUMIFS(Données!$S$2:$S$5000,Données!$Q$2:$Q$5000,"&gt;="&amp;$B8,Données!$Q$2:$Q$5000,"&lt;="&amp;$C8,Données!$B$2:$B$5000,$B$3))</f>
        <v>0.444444444444444</v>
      </c>
      <c r="N8" s="7" t="n">
        <f aca="false">IF($B8="","",IFERROR(M8/J8,0))</f>
        <v>0.0148354195642096</v>
      </c>
      <c r="O8" s="8" t="n">
        <f aca="false">IF($B8="","",SUMIFS(Données!$X$2:$X$5000,Données!$Q$2:$Q$5000,"&gt;="&amp;$B8,Données!$Q$2:$Q$5000,"&lt;="&amp;$C8,Données!$B$2:$B$5000,$B$3))</f>
        <v>0.0493055555555556</v>
      </c>
    </row>
    <row r="9" customFormat="false" ht="15" hidden="false" customHeight="false" outlineLevel="0" collapsed="false">
      <c r="A9" s="6" t="str">
        <f aca="false">IF(B9="","",CHOOSE(MONTH(B9),"Janvier","Février","Mars","Avril","Mai","Juin","Juillet","Août","Septembre","Octobre","Novembre","Décembre")&amp;" "&amp;YEAR(B9))</f>
        <v>Février 2026</v>
      </c>
      <c r="B9" s="17" t="n">
        <f aca="false">IF(B8="","",IF(EDATE(B8,1)&gt;MAX(Données!$Q$2:$Q$5000),"",EDATE(B8,1)))</f>
        <v>46054</v>
      </c>
      <c r="C9" s="17" t="n">
        <f aca="false">IF(B9="","",EDATE(B9,1)-1)</f>
        <v>46081</v>
      </c>
      <c r="D9" s="6" t="n">
        <f aca="false">IF($B9="","",COUNTIFS(Données!$Q$2:$Q$5000,"&gt;="&amp;$B9,Données!$Q$2:$Q$5000,"&lt;="&amp;$C9,Données!$B$2:$B$5000,$B$3,Données!$O$2:$O$5000,"&gt;0"))</f>
        <v>80</v>
      </c>
      <c r="E9" s="6" t="n">
        <f aca="false">IF($B9="","",COUNTIFS(Données!$Q$2:$Q$5000,"&gt;="&amp;$B9,Données!$Q$2:$Q$5000,"&lt;="&amp;$C9,Données!$B$2:$B$5000,$B$3,Données!$M$2:$M$5000,"Abs"))</f>
        <v>0</v>
      </c>
      <c r="F9" s="7" t="n">
        <f aca="false">IF($B9="","",IFERROR(E9/D9,0))</f>
        <v>0</v>
      </c>
      <c r="G9" s="6" t="n">
        <f aca="false">IF($B9="","",COUNTIFS(Données!$Q$2:$Q$5000,"&gt;="&amp;$B9,Données!$Q$2:$Q$5000,"&lt;="&amp;$C9,Données!$B$2:$B$5000,$B$3,Données!$I$2:$I$5000,"&gt;0"))</f>
        <v>3</v>
      </c>
      <c r="H9" s="8" t="n">
        <f aca="false">IF($B9="","",SUMIFS(Données!$I$2:$I$5000,Données!$Q$2:$Q$5000,"&gt;="&amp;$B9,Données!$Q$2:$Q$5000,"&lt;="&amp;$C9,Données!$B$2:$B$5000,$B$3))</f>
        <v>0.0395833333333333</v>
      </c>
      <c r="I9" s="8" t="n">
        <f aca="false">IF($B9="","",SUMIFS(Données!$L$2:$L$5000,Données!$Q$2:$Q$5000,"&gt;="&amp;$B9,Données!$Q$2:$Q$5000,"&lt;="&amp;$C9,Données!$B$2:$B$5000,$B$3))</f>
        <v>0</v>
      </c>
      <c r="J9" s="8" t="n">
        <f aca="false">IF($B9="","",SUMIFS(Données!$O$2:$O$5000,Données!$Q$2:$Q$5000,"&gt;="&amp;$B9,Données!$Q$2:$Q$5000,"&lt;="&amp;$C9,Données!$B$2:$B$5000,$B$3))</f>
        <v>28.8333333333333</v>
      </c>
      <c r="K9" s="8" t="n">
        <f aca="false">IF($B9="","",SUMIFS(Données!$N$2:$N$5000,Données!$Q$2:$Q$5000,"&gt;="&amp;$B9,Données!$Q$2:$Q$5000,"&lt;="&amp;$C9,Données!$B$2:$B$5000,$B$3))</f>
        <v>28.79375</v>
      </c>
      <c r="L9" s="7" t="n">
        <f aca="false">IF($B9="","",IFERROR(K9/J9,0))</f>
        <v>0.998627167630058</v>
      </c>
      <c r="M9" s="8" t="n">
        <f aca="false">IF($B9="","",SUMIFS(Données!$S$2:$S$5000,Données!$Q$2:$Q$5000,"&gt;="&amp;$B9,Données!$Q$2:$Q$5000,"&lt;="&amp;$C9,Données!$B$2:$B$5000,$B$3))</f>
        <v>0.0395833333333333</v>
      </c>
      <c r="N9" s="7" t="n">
        <f aca="false">IF($B9="","",IFERROR(M9/J9,0))</f>
        <v>0.0013728323699422</v>
      </c>
      <c r="O9" s="8" t="n">
        <f aca="false">IF($B9="","",SUMIFS(Données!$X$2:$X$5000,Données!$Q$2:$Q$5000,"&gt;="&amp;$B9,Données!$Q$2:$Q$5000,"&lt;="&amp;$C9,Données!$B$2:$B$5000,$B$3))</f>
        <v>0.025</v>
      </c>
    </row>
    <row r="10" customFormat="false" ht="15" hidden="false" customHeight="false" outlineLevel="0" collapsed="false">
      <c r="A10" s="6" t="str">
        <f aca="false">IF(B10="","",CHOOSE(MONTH(B10),"Janvier","Février","Mars","Avril","Mai","Juin","Juillet","Août","Septembre","Octobre","Novembre","Décembre")&amp;" "&amp;YEAR(B10))</f>
        <v>Mars 2026</v>
      </c>
      <c r="B10" s="17" t="n">
        <f aca="false">IF(B9="","",IF(EDATE(B9,1)&gt;MAX(Données!$Q$2:$Q$5000),"",EDATE(B9,1)))</f>
        <v>46082</v>
      </c>
      <c r="C10" s="17" t="n">
        <f aca="false">IF(B10="","",EDATE(B10,1)-1)</f>
        <v>46112</v>
      </c>
      <c r="D10" s="6" t="n">
        <f aca="false">IF($B10="","",COUNTIFS(Données!$Q$2:$Q$5000,"&gt;="&amp;$B10,Données!$Q$2:$Q$5000,"&lt;="&amp;$C10,Données!$B$2:$B$5000,$B$3,Données!$O$2:$O$5000,"&gt;0"))</f>
        <v>86</v>
      </c>
      <c r="E10" s="6" t="n">
        <f aca="false">IF($B10="","",COUNTIFS(Données!$Q$2:$Q$5000,"&gt;="&amp;$B10,Données!$Q$2:$Q$5000,"&lt;="&amp;$C10,Données!$B$2:$B$5000,$B$3,Données!$M$2:$M$5000,"Abs"))</f>
        <v>0</v>
      </c>
      <c r="F10" s="7" t="n">
        <f aca="false">IF($B10="","",IFERROR(E10/D10,0))</f>
        <v>0</v>
      </c>
      <c r="G10" s="6" t="n">
        <f aca="false">IF($B10="","",COUNTIFS(Données!$Q$2:$Q$5000,"&gt;="&amp;$B10,Données!$Q$2:$Q$5000,"&lt;="&amp;$C10,Données!$B$2:$B$5000,$B$3,Données!$I$2:$I$5000,"&gt;0"))</f>
        <v>0</v>
      </c>
      <c r="H10" s="8" t="n">
        <f aca="false">IF($B10="","",SUMIFS(Données!$I$2:$I$5000,Données!$Q$2:$Q$5000,"&gt;="&amp;$B10,Données!$Q$2:$Q$5000,"&lt;="&amp;$C10,Données!$B$2:$B$5000,$B$3))</f>
        <v>0</v>
      </c>
      <c r="I10" s="8" t="n">
        <f aca="false">IF($B10="","",SUMIFS(Données!$L$2:$L$5000,Données!$Q$2:$Q$5000,"&gt;="&amp;$B10,Données!$Q$2:$Q$5000,"&lt;="&amp;$C10,Données!$B$2:$B$5000,$B$3))</f>
        <v>0</v>
      </c>
      <c r="J10" s="8" t="n">
        <f aca="false">IF($B10="","",SUMIFS(Données!$O$2:$O$5000,Données!$Q$2:$Q$5000,"&gt;="&amp;$B10,Données!$Q$2:$Q$5000,"&lt;="&amp;$C10,Données!$B$2:$B$5000,$B$3))</f>
        <v>31.6666666666667</v>
      </c>
      <c r="K10" s="8" t="n">
        <f aca="false">IF($B10="","",SUMIFS(Données!$N$2:$N$5000,Données!$Q$2:$Q$5000,"&gt;="&amp;$B10,Données!$Q$2:$Q$5000,"&lt;="&amp;$C10,Données!$B$2:$B$5000,$B$3))</f>
        <v>31.6666666666667</v>
      </c>
      <c r="L10" s="7" t="n">
        <f aca="false">IF($B10="","",IFERROR(K10/J10,0))</f>
        <v>1</v>
      </c>
      <c r="M10" s="8" t="n">
        <f aca="false">IF($B10="","",SUMIFS(Données!$S$2:$S$5000,Données!$Q$2:$Q$5000,"&gt;="&amp;$B10,Données!$Q$2:$Q$5000,"&lt;="&amp;$C10,Données!$B$2:$B$5000,$B$3))</f>
        <v>0</v>
      </c>
      <c r="N10" s="7" t="n">
        <f aca="false">IF($B10="","",IFERROR(M10/J10,0))</f>
        <v>0</v>
      </c>
      <c r="O10" s="8" t="n">
        <f aca="false">IF($B10="","",SUMIFS(Données!$X$2:$X$5000,Données!$Q$2:$Q$5000,"&gt;="&amp;$B10,Données!$Q$2:$Q$5000,"&lt;="&amp;$C10,Données!$B$2:$B$5000,$B$3))</f>
        <v>0.0319444444444444</v>
      </c>
    </row>
    <row r="11" customFormat="false" ht="15" hidden="false" customHeight="false" outlineLevel="0" collapsed="false">
      <c r="A11" s="6" t="str">
        <f aca="false">IF(B11="","",CHOOSE(MONTH(B11),"Janvier","Février","Mars","Avril","Mai","Juin","Juillet","Août","Septembre","Octobre","Novembre","Décembre")&amp;" "&amp;YEAR(B11))</f>
        <v>Avril 2026</v>
      </c>
      <c r="B11" s="17" t="n">
        <f aca="false">IF(B10="","",IF(EDATE(B10,1)&gt;MAX(Données!$Q$2:$Q$5000),"",EDATE(B10,1)))</f>
        <v>46113</v>
      </c>
      <c r="C11" s="17" t="n">
        <f aca="false">IF(B11="","",EDATE(B11,1)-1)</f>
        <v>46142</v>
      </c>
      <c r="D11" s="6" t="n">
        <f aca="false">IF($B11="","",COUNTIFS(Données!$Q$2:$Q$5000,"&gt;="&amp;$B11,Données!$Q$2:$Q$5000,"&lt;="&amp;$C11,Données!$B$2:$B$5000,$B$3,Données!$O$2:$O$5000,"&gt;0"))</f>
        <v>74</v>
      </c>
      <c r="E11" s="6" t="n">
        <f aca="false">IF($B11="","",COUNTIFS(Données!$Q$2:$Q$5000,"&gt;="&amp;$B11,Données!$Q$2:$Q$5000,"&lt;="&amp;$C11,Données!$B$2:$B$5000,$B$3,Données!$M$2:$M$5000,"Abs"))</f>
        <v>5</v>
      </c>
      <c r="F11" s="7" t="n">
        <f aca="false">IF($B11="","",IFERROR(E11/D11,0))</f>
        <v>0.0675675675675676</v>
      </c>
      <c r="G11" s="6" t="n">
        <f aca="false">IF($B11="","",COUNTIFS(Données!$Q$2:$Q$5000,"&gt;="&amp;$B11,Données!$Q$2:$Q$5000,"&lt;="&amp;$C11,Données!$B$2:$B$5000,$B$3,Données!$I$2:$I$5000,"&gt;0"))</f>
        <v>0</v>
      </c>
      <c r="H11" s="8" t="n">
        <f aca="false">IF($B11="","",SUMIFS(Données!$I$2:$I$5000,Données!$Q$2:$Q$5000,"&gt;="&amp;$B11,Données!$Q$2:$Q$5000,"&lt;="&amp;$C11,Données!$B$2:$B$5000,$B$3))</f>
        <v>0</v>
      </c>
      <c r="I11" s="8" t="n">
        <f aca="false">IF($B11="","",SUMIFS(Données!$L$2:$L$5000,Données!$Q$2:$Q$5000,"&gt;="&amp;$B11,Données!$Q$2:$Q$5000,"&lt;="&amp;$C11,Données!$B$2:$B$5000,$B$3))</f>
        <v>0</v>
      </c>
      <c r="J11" s="8" t="n">
        <f aca="false">IF($B11="","",SUMIFS(Données!$O$2:$O$5000,Données!$Q$2:$Q$5000,"&gt;="&amp;$B11,Données!$Q$2:$Q$5000,"&lt;="&amp;$C11,Données!$B$2:$B$5000,$B$3))</f>
        <v>27.125</v>
      </c>
      <c r="K11" s="8" t="n">
        <f aca="false">IF($B11="","",SUMIFS(Données!$N$2:$N$5000,Données!$Q$2:$Q$5000,"&gt;="&amp;$B11,Données!$Q$2:$Q$5000,"&lt;="&amp;$C11,Données!$B$2:$B$5000,$B$3))</f>
        <v>25.2916666666667</v>
      </c>
      <c r="L11" s="7" t="n">
        <f aca="false">IF($B11="","",IFERROR(K11/J11,0))</f>
        <v>0.932411674347158</v>
      </c>
      <c r="M11" s="8" t="n">
        <f aca="false">IF($B11="","",SUMIFS(Données!$S$2:$S$5000,Données!$Q$2:$Q$5000,"&gt;="&amp;$B11,Données!$Q$2:$Q$5000,"&lt;="&amp;$C11,Données!$B$2:$B$5000,$B$3))</f>
        <v>1.83333333333333</v>
      </c>
      <c r="N11" s="7" t="n">
        <f aca="false">IF($B11="","",IFERROR(M11/J11,0))</f>
        <v>0.0675883256528418</v>
      </c>
      <c r="O11" s="8" t="n">
        <f aca="false">IF($B11="","",SUMIFS(Données!$X$2:$X$5000,Données!$Q$2:$Q$5000,"&gt;="&amp;$B11,Données!$Q$2:$Q$5000,"&lt;="&amp;$C11,Données!$B$2:$B$5000,$B$3))</f>
        <v>0.0402777777777778</v>
      </c>
    </row>
    <row r="12" customFormat="false" ht="15" hidden="false" customHeight="false" outlineLevel="0" collapsed="false">
      <c r="A12" s="6" t="str">
        <f aca="false">IF(B12="","",CHOOSE(MONTH(B12),"Janvier","Février","Mars","Avril","Mai","Juin","Juillet","Août","Septembre","Octobre","Novembre","Décembre")&amp;" "&amp;YEAR(B12))</f>
        <v>Mai 2026</v>
      </c>
      <c r="B12" s="17" t="n">
        <f aca="false">IF(B11="","",IF(EDATE(B11,1)&gt;MAX(Données!$Q$2:$Q$5000),"",EDATE(B11,1)))</f>
        <v>46143</v>
      </c>
      <c r="C12" s="17" t="n">
        <f aca="false">IF(B12="","",EDATE(B12,1)-1)</f>
        <v>46173</v>
      </c>
      <c r="D12" s="6" t="n">
        <f aca="false">IF($B12="","",COUNTIFS(Données!$Q$2:$Q$5000,"&gt;="&amp;$B12,Données!$Q$2:$Q$5000,"&lt;="&amp;$C12,Données!$B$2:$B$5000,$B$3,Données!$O$2:$O$5000,"&gt;0"))</f>
        <v>45</v>
      </c>
      <c r="E12" s="6" t="n">
        <f aca="false">IF($B12="","",COUNTIFS(Données!$Q$2:$Q$5000,"&gt;="&amp;$B12,Données!$Q$2:$Q$5000,"&lt;="&amp;$C12,Données!$B$2:$B$5000,$B$3,Données!$M$2:$M$5000,"Abs"))</f>
        <v>1</v>
      </c>
      <c r="F12" s="7" t="n">
        <f aca="false">IF($B12="","",IFERROR(E12/D12,0))</f>
        <v>0.0222222222222222</v>
      </c>
      <c r="G12" s="6" t="n">
        <f aca="false">IF($B12="","",COUNTIFS(Données!$Q$2:$Q$5000,"&gt;="&amp;$B12,Données!$Q$2:$Q$5000,"&lt;="&amp;$C12,Données!$B$2:$B$5000,$B$3,Données!$I$2:$I$5000,"&gt;0"))</f>
        <v>2</v>
      </c>
      <c r="H12" s="8" t="n">
        <f aca="false">IF($B12="","",SUMIFS(Données!$I$2:$I$5000,Données!$Q$2:$Q$5000,"&gt;="&amp;$B12,Données!$Q$2:$Q$5000,"&lt;="&amp;$C12,Données!$B$2:$B$5000,$B$3))</f>
        <v>0.00694444444444445</v>
      </c>
      <c r="I12" s="8" t="n">
        <f aca="false">IF($B12="","",SUMIFS(Données!$L$2:$L$5000,Données!$Q$2:$Q$5000,"&gt;="&amp;$B12,Données!$Q$2:$Q$5000,"&lt;="&amp;$C12,Données!$B$2:$B$5000,$B$3))</f>
        <v>0</v>
      </c>
      <c r="J12" s="8" t="n">
        <f aca="false">IF($B12="","",SUMIFS(Données!$O$2:$O$5000,Données!$Q$2:$Q$5000,"&gt;="&amp;$B12,Données!$Q$2:$Q$5000,"&lt;="&amp;$C12,Données!$B$2:$B$5000,$B$3))</f>
        <v>16.625</v>
      </c>
      <c r="K12" s="8" t="n">
        <f aca="false">IF($B12="","",SUMIFS(Données!$N$2:$N$5000,Données!$Q$2:$Q$5000,"&gt;="&amp;$B12,Données!$Q$2:$Q$5000,"&lt;="&amp;$C12,Données!$B$2:$B$5000,$B$3))</f>
        <v>16.2430555555556</v>
      </c>
      <c r="L12" s="7" t="n">
        <f aca="false">IF($B12="","",IFERROR(K12/J12,0))</f>
        <v>0.97702589807853</v>
      </c>
      <c r="M12" s="8" t="n">
        <f aca="false">IF($B12="","",SUMIFS(Données!$S$2:$S$5000,Données!$Q$2:$Q$5000,"&gt;="&amp;$B12,Données!$Q$2:$Q$5000,"&lt;="&amp;$C12,Données!$B$2:$B$5000,$B$3))</f>
        <v>0.381944444444444</v>
      </c>
      <c r="N12" s="7" t="n">
        <f aca="false">IF($B12="","",IFERROR(M12/J12,0))</f>
        <v>0.0229741019214703</v>
      </c>
      <c r="O12" s="8" t="n">
        <f aca="false">IF($B12="","",SUMIFS(Données!$X$2:$X$5000,Données!$Q$2:$Q$5000,"&gt;="&amp;$B12,Données!$Q$2:$Q$5000,"&lt;="&amp;$C12,Données!$B$2:$B$5000,$B$3))</f>
        <v>0.0243055555555556</v>
      </c>
    </row>
    <row r="13" customFormat="false" ht="15" hidden="false" customHeight="false" outlineLevel="0" collapsed="false">
      <c r="A13" s="6" t="str">
        <f aca="false">IF(B13="","",CHOOSE(MONTH(B13),"Janvier","Février","Mars","Avril","Mai","Juin","Juillet","Août","Septembre","Octobre","Novembre","Décembre")&amp;" "&amp;YEAR(B13))</f>
        <v>Juin 2026</v>
      </c>
      <c r="B13" s="17" t="n">
        <f aca="false">IF(B12="","",IF(EDATE(B12,1)&gt;MAX(Données!$Q$2:$Q$5000),"",EDATE(B12,1)))</f>
        <v>46174</v>
      </c>
      <c r="C13" s="17" t="n">
        <f aca="false">IF(B13="","",EDATE(B13,1)-1)</f>
        <v>46203</v>
      </c>
      <c r="D13" s="6" t="n">
        <f aca="false">IF($B13="","",COUNTIFS(Données!$Q$2:$Q$5000,"&gt;="&amp;$B13,Données!$Q$2:$Q$5000,"&lt;="&amp;$C13,Données!$B$2:$B$5000,$B$3,Données!$O$2:$O$5000,"&gt;0"))</f>
        <v>65</v>
      </c>
      <c r="E13" s="6" t="n">
        <f aca="false">IF($B13="","",COUNTIFS(Données!$Q$2:$Q$5000,"&gt;="&amp;$B13,Données!$Q$2:$Q$5000,"&lt;="&amp;$C13,Données!$B$2:$B$5000,$B$3,Données!$M$2:$M$5000,"Abs"))</f>
        <v>0</v>
      </c>
      <c r="F13" s="7" t="n">
        <f aca="false">IF($B13="","",IFERROR(E13/D13,0))</f>
        <v>0</v>
      </c>
      <c r="G13" s="6" t="n">
        <f aca="false">IF($B13="","",COUNTIFS(Données!$Q$2:$Q$5000,"&gt;="&amp;$B13,Données!$Q$2:$Q$5000,"&lt;="&amp;$C13,Données!$B$2:$B$5000,$B$3,Données!$I$2:$I$5000,"&gt;0"))</f>
        <v>3</v>
      </c>
      <c r="H13" s="8" t="n">
        <f aca="false">IF($B13="","",SUMIFS(Données!$I$2:$I$5000,Données!$Q$2:$Q$5000,"&gt;="&amp;$B13,Données!$Q$2:$Q$5000,"&lt;="&amp;$C13,Données!$B$2:$B$5000,$B$3))</f>
        <v>0.0430555555555556</v>
      </c>
      <c r="I13" s="8" t="n">
        <f aca="false">IF($B13="","",SUMIFS(Données!$L$2:$L$5000,Données!$Q$2:$Q$5000,"&gt;="&amp;$B13,Données!$Q$2:$Q$5000,"&lt;="&amp;$C13,Données!$B$2:$B$5000,$B$3))</f>
        <v>0</v>
      </c>
      <c r="J13" s="8" t="n">
        <f aca="false">IF($B13="","",SUMIFS(Données!$O$2:$O$5000,Données!$Q$2:$Q$5000,"&gt;="&amp;$B13,Données!$Q$2:$Q$5000,"&lt;="&amp;$C13,Données!$B$2:$B$5000,$B$3))</f>
        <v>23.9166666666667</v>
      </c>
      <c r="K13" s="8" t="n">
        <f aca="false">IF($B13="","",SUMIFS(Données!$N$2:$N$5000,Données!$Q$2:$Q$5000,"&gt;="&amp;$B13,Données!$Q$2:$Q$5000,"&lt;="&amp;$C13,Données!$B$2:$B$5000,$B$3))</f>
        <v>23.8736111111111</v>
      </c>
      <c r="L13" s="7" t="n">
        <f aca="false">IF($B13="","",IFERROR(K13/J13,0))</f>
        <v>0.998199767711963</v>
      </c>
      <c r="M13" s="8" t="n">
        <f aca="false">IF($B13="","",SUMIFS(Données!$S$2:$S$5000,Données!$Q$2:$Q$5000,"&gt;="&amp;$B13,Données!$Q$2:$Q$5000,"&lt;="&amp;$C13,Données!$B$2:$B$5000,$B$3))</f>
        <v>0.0430555555555556</v>
      </c>
      <c r="N13" s="7" t="n">
        <f aca="false">IF($B13="","",IFERROR(M13/J13,0))</f>
        <v>0.00180023228803717</v>
      </c>
      <c r="O13" s="8" t="n">
        <f aca="false">IF($B13="","",SUMIFS(Données!$X$2:$X$5000,Données!$Q$2:$Q$5000,"&gt;="&amp;$B13,Données!$Q$2:$Q$5000,"&lt;="&amp;$C13,Données!$B$2:$B$5000,$B$3))</f>
        <v>0.0430555555555556</v>
      </c>
    </row>
    <row r="14" customFormat="false" ht="15" hidden="false" customHeight="false" outlineLevel="0" collapsed="false">
      <c r="A14" s="6" t="str">
        <f aca="false">IF(B14="","",CHOOSE(MONTH(B14),"Janvier","Février","Mars","Avril","Mai","Juin","Juillet","Août","Septembre","Octobre","Novembre","Décembre")&amp;" "&amp;YEAR(B14))</f>
        <v>Juillet 2026</v>
      </c>
      <c r="B14" s="17" t="n">
        <f aca="false">IF(B13="","",IF(EDATE(B13,1)&gt;MAX(Données!$Q$2:$Q$5000),"",EDATE(B13,1)))</f>
        <v>46204</v>
      </c>
      <c r="C14" s="17" t="n">
        <f aca="false">IF(B14="","",EDATE(B14,1)-1)</f>
        <v>46234</v>
      </c>
      <c r="D14" s="6" t="n">
        <f aca="false">IF($B14="","",COUNTIFS(Données!$Q$2:$Q$5000,"&gt;="&amp;$B14,Données!$Q$2:$Q$5000,"&lt;="&amp;$C14,Données!$B$2:$B$5000,$B$3,Données!$O$2:$O$5000,"&gt;0"))</f>
        <v>64</v>
      </c>
      <c r="E14" s="6" t="n">
        <f aca="false">IF($B14="","",COUNTIFS(Données!$Q$2:$Q$5000,"&gt;="&amp;$B14,Données!$Q$2:$Q$5000,"&lt;="&amp;$C14,Données!$B$2:$B$5000,$B$3,Données!$M$2:$M$5000,"Abs"))</f>
        <v>0</v>
      </c>
      <c r="F14" s="7" t="n">
        <f aca="false">IF($B14="","",IFERROR(E14/D14,0))</f>
        <v>0</v>
      </c>
      <c r="G14" s="6" t="n">
        <f aca="false">IF($B14="","",COUNTIFS(Données!$Q$2:$Q$5000,"&gt;="&amp;$B14,Données!$Q$2:$Q$5000,"&lt;="&amp;$C14,Données!$B$2:$B$5000,$B$3,Données!$I$2:$I$5000,"&gt;0"))</f>
        <v>0</v>
      </c>
      <c r="H14" s="8" t="n">
        <f aca="false">IF($B14="","",SUMIFS(Données!$I$2:$I$5000,Données!$Q$2:$Q$5000,"&gt;="&amp;$B14,Données!$Q$2:$Q$5000,"&lt;="&amp;$C14,Données!$B$2:$B$5000,$B$3))</f>
        <v>0</v>
      </c>
      <c r="I14" s="8" t="n">
        <f aca="false">IF($B14="","",SUMIFS(Données!$L$2:$L$5000,Données!$Q$2:$Q$5000,"&gt;="&amp;$B14,Données!$Q$2:$Q$5000,"&lt;="&amp;$C14,Données!$B$2:$B$5000,$B$3))</f>
        <v>0</v>
      </c>
      <c r="J14" s="8" t="n">
        <f aca="false">IF($B14="","",SUMIFS(Données!$O$2:$O$5000,Données!$Q$2:$Q$5000,"&gt;="&amp;$B14,Données!$Q$2:$Q$5000,"&lt;="&amp;$C14,Données!$B$2:$B$5000,$B$3))</f>
        <v>23.4166666666667</v>
      </c>
      <c r="K14" s="8" t="n">
        <f aca="false">IF($B14="","",SUMIFS(Données!$N$2:$N$5000,Données!$Q$2:$Q$5000,"&gt;="&amp;$B14,Données!$Q$2:$Q$5000,"&lt;="&amp;$C14,Données!$B$2:$B$5000,$B$3))</f>
        <v>23.4166666666667</v>
      </c>
      <c r="L14" s="7" t="n">
        <f aca="false">IF($B14="","",IFERROR(K14/J14,0))</f>
        <v>1</v>
      </c>
      <c r="M14" s="8" t="n">
        <f aca="false">IF($B14="","",SUMIFS(Données!$S$2:$S$5000,Données!$Q$2:$Q$5000,"&gt;="&amp;$B14,Données!$Q$2:$Q$5000,"&lt;="&amp;$C14,Données!$B$2:$B$5000,$B$3))</f>
        <v>0</v>
      </c>
      <c r="N14" s="7" t="n">
        <f aca="false">IF($B14="","",IFERROR(M14/J14,0))</f>
        <v>0</v>
      </c>
      <c r="O14" s="8" t="n">
        <f aca="false">IF($B14="","",SUMIFS(Données!$X$2:$X$5000,Données!$Q$2:$Q$5000,"&gt;="&amp;$B14,Données!$Q$2:$Q$5000,"&lt;="&amp;$C14,Données!$B$2:$B$5000,$B$3))</f>
        <v>0.107638888888889</v>
      </c>
    </row>
    <row r="15" customFormat="false" ht="15" hidden="false" customHeight="false" outlineLevel="0" collapsed="false">
      <c r="A15" s="6" t="str">
        <f aca="false">IF(B15="","",CHOOSE(MONTH(B15),"Janvier","Février","Mars","Avril","Mai","Juin","Juillet","Août","Septembre","Octobre","Novembre","Décembre")&amp;" "&amp;YEAR(B15))</f>
        <v>Août 2026</v>
      </c>
      <c r="B15" s="17" t="n">
        <f aca="false">IF(B14="","",IF(EDATE(B14,1)&gt;MAX(Données!$Q$2:$Q$5000),"",EDATE(B14,1)))</f>
        <v>46235</v>
      </c>
      <c r="C15" s="17" t="n">
        <f aca="false">IF(B15="","",EDATE(B15,1)-1)</f>
        <v>46265</v>
      </c>
      <c r="D15" s="6" t="n">
        <f aca="false">IF($B15="","",COUNTIFS(Données!$Q$2:$Q$5000,"&gt;="&amp;$B15,Données!$Q$2:$Q$5000,"&lt;="&amp;$C15,Données!$B$2:$B$5000,$B$3,Données!$O$2:$O$5000,"&gt;0"))</f>
        <v>57</v>
      </c>
      <c r="E15" s="6" t="n">
        <f aca="false">IF($B15="","",COUNTIFS(Données!$Q$2:$Q$5000,"&gt;="&amp;$B15,Données!$Q$2:$Q$5000,"&lt;="&amp;$C15,Données!$B$2:$B$5000,$B$3,Données!$M$2:$M$5000,"Abs"))</f>
        <v>2</v>
      </c>
      <c r="F15" s="7" t="n">
        <f aca="false">IF($B15="","",IFERROR(E15/D15,0))</f>
        <v>0.0350877192982456</v>
      </c>
      <c r="G15" s="6" t="n">
        <f aca="false">IF($B15="","",COUNTIFS(Données!$Q$2:$Q$5000,"&gt;="&amp;$B15,Données!$Q$2:$Q$5000,"&lt;="&amp;$C15,Données!$B$2:$B$5000,$B$3,Données!$I$2:$I$5000,"&gt;0"))</f>
        <v>1</v>
      </c>
      <c r="H15" s="8" t="n">
        <f aca="false">IF($B15="","",SUMIFS(Données!$I$2:$I$5000,Données!$Q$2:$Q$5000,"&gt;="&amp;$B15,Données!$Q$2:$Q$5000,"&lt;="&amp;$C15,Données!$B$2:$B$5000,$B$3))</f>
        <v>0.0145833333333333</v>
      </c>
      <c r="I15" s="8" t="n">
        <f aca="false">IF($B15="","",SUMIFS(Données!$L$2:$L$5000,Données!$Q$2:$Q$5000,"&gt;="&amp;$B15,Données!$Q$2:$Q$5000,"&lt;="&amp;$C15,Données!$B$2:$B$5000,$B$3))</f>
        <v>0</v>
      </c>
      <c r="J15" s="8" t="n">
        <f aca="false">IF($B15="","",SUMIFS(Données!$O$2:$O$5000,Données!$Q$2:$Q$5000,"&gt;="&amp;$B15,Données!$Q$2:$Q$5000,"&lt;="&amp;$C15,Données!$B$2:$B$5000,$B$3))</f>
        <v>20.9166666666667</v>
      </c>
      <c r="K15" s="8" t="n">
        <f aca="false">IF($B15="","",SUMIFS(Données!$N$2:$N$5000,Données!$Q$2:$Q$5000,"&gt;="&amp;$B15,Données!$Q$2:$Q$5000,"&lt;="&amp;$C15,Données!$B$2:$B$5000,$B$3))</f>
        <v>20.1520833333333</v>
      </c>
      <c r="L15" s="7" t="n">
        <f aca="false">IF($B15="","",IFERROR(K15/J15,0))</f>
        <v>0.963446215139442</v>
      </c>
      <c r="M15" s="8" t="n">
        <f aca="false">IF($B15="","",SUMIFS(Données!$S$2:$S$5000,Données!$Q$2:$Q$5000,"&gt;="&amp;$B15,Données!$Q$2:$Q$5000,"&lt;="&amp;$C15,Données!$B$2:$B$5000,$B$3))</f>
        <v>0.764583333333333</v>
      </c>
      <c r="N15" s="7" t="n">
        <f aca="false">IF($B15="","",IFERROR(M15/J15,0))</f>
        <v>0.0365537848605578</v>
      </c>
      <c r="O15" s="8" t="n">
        <f aca="false">IF($B15="","",SUMIFS(Données!$X$2:$X$5000,Données!$Q$2:$Q$5000,"&gt;="&amp;$B15,Données!$Q$2:$Q$5000,"&lt;="&amp;$C15,Données!$B$2:$B$5000,$B$3))</f>
        <v>0.0590277777777778</v>
      </c>
    </row>
    <row r="16" customFormat="false" ht="15" hidden="false" customHeight="false" outlineLevel="0" collapsed="false">
      <c r="A16" s="6" t="str">
        <f aca="false">IF(B16="","",CHOOSE(MONTH(B16),"Janvier","Février","Mars","Avril","Mai","Juin","Juillet","Août","Septembre","Octobre","Novembre","Décembre")&amp;" "&amp;YEAR(B16))</f>
        <v>Septembre 2026</v>
      </c>
      <c r="B16" s="17" t="n">
        <f aca="false">IF(B15="","",IF(EDATE(B15,1)&gt;MAX(Données!$Q$2:$Q$5000),"",EDATE(B15,1)))</f>
        <v>46266</v>
      </c>
      <c r="C16" s="17" t="n">
        <f aca="false">IF(B16="","",EDATE(B16,1)-1)</f>
        <v>46295</v>
      </c>
      <c r="D16" s="6" t="n">
        <f aca="false">IF($B16="","",COUNTIFS(Données!$Q$2:$Q$5000,"&gt;="&amp;$B16,Données!$Q$2:$Q$5000,"&lt;="&amp;$C16,Données!$B$2:$B$5000,$B$3,Données!$O$2:$O$5000,"&gt;0"))</f>
        <v>61</v>
      </c>
      <c r="E16" s="6" t="n">
        <f aca="false">IF($B16="","",COUNTIFS(Données!$Q$2:$Q$5000,"&gt;="&amp;$B16,Données!$Q$2:$Q$5000,"&lt;="&amp;$C16,Données!$B$2:$B$5000,$B$3,Données!$M$2:$M$5000,"Abs"))</f>
        <v>8</v>
      </c>
      <c r="F16" s="7" t="n">
        <f aca="false">IF($B16="","",IFERROR(E16/D16,0))</f>
        <v>0.131147540983607</v>
      </c>
      <c r="G16" s="6" t="n">
        <f aca="false">IF($B16="","",COUNTIFS(Données!$Q$2:$Q$5000,"&gt;="&amp;$B16,Données!$Q$2:$Q$5000,"&lt;="&amp;$C16,Données!$B$2:$B$5000,$B$3,Données!$I$2:$I$5000,"&gt;0"))</f>
        <v>2</v>
      </c>
      <c r="H16" s="8" t="n">
        <f aca="false">IF($B16="","",SUMIFS(Données!$I$2:$I$5000,Données!$Q$2:$Q$5000,"&gt;="&amp;$B16,Données!$Q$2:$Q$5000,"&lt;="&amp;$C16,Données!$B$2:$B$5000,$B$3))</f>
        <v>0.0305555555555556</v>
      </c>
      <c r="I16" s="8" t="n">
        <f aca="false">IF($B16="","",SUMIFS(Données!$L$2:$L$5000,Données!$Q$2:$Q$5000,"&gt;="&amp;$B16,Données!$Q$2:$Q$5000,"&lt;="&amp;$C16,Données!$B$2:$B$5000,$B$3))</f>
        <v>0</v>
      </c>
      <c r="J16" s="8" t="n">
        <f aca="false">IF($B16="","",SUMIFS(Données!$O$2:$O$5000,Données!$Q$2:$Q$5000,"&gt;="&amp;$B16,Données!$Q$2:$Q$5000,"&lt;="&amp;$C16,Données!$B$2:$B$5000,$B$3))</f>
        <v>22.4166666666667</v>
      </c>
      <c r="K16" s="8" t="n">
        <f aca="false">IF($B16="","",SUMIFS(Données!$N$2:$N$5000,Données!$Q$2:$Q$5000,"&gt;="&amp;$B16,Données!$Q$2:$Q$5000,"&lt;="&amp;$C16,Données!$B$2:$B$5000,$B$3))</f>
        <v>19.4694444444444</v>
      </c>
      <c r="L16" s="7" t="n">
        <f aca="false">IF($B16="","",IFERROR(K16/J16,0))</f>
        <v>0.868525402726146</v>
      </c>
      <c r="M16" s="8" t="n">
        <f aca="false">IF($B16="","",SUMIFS(Données!$S$2:$S$5000,Données!$Q$2:$Q$5000,"&gt;="&amp;$B16,Données!$Q$2:$Q$5000,"&lt;="&amp;$C16,Données!$B$2:$B$5000,$B$3))</f>
        <v>2.94722222222222</v>
      </c>
      <c r="N16" s="7" t="n">
        <f aca="false">IF($B16="","",IFERROR(M16/J16,0))</f>
        <v>0.131474597273854</v>
      </c>
      <c r="O16" s="8" t="n">
        <f aca="false">IF($B16="","",SUMIFS(Données!$X$2:$X$5000,Données!$Q$2:$Q$5000,"&gt;="&amp;$B16,Données!$Q$2:$Q$5000,"&lt;="&amp;$C16,Données!$B$2:$B$5000,$B$3))</f>
        <v>0.0569444444444444</v>
      </c>
    </row>
    <row r="17" customFormat="false" ht="15" hidden="false" customHeight="false" outlineLevel="0" collapsed="false">
      <c r="A17" s="6" t="str">
        <f aca="false">IF(B17="","",CHOOSE(MONTH(B17),"Janvier","Février","Mars","Avril","Mai","Juin","Juillet","Août","Septembre","Octobre","Novembre","Décembre")&amp;" "&amp;YEAR(B17))</f>
        <v>Octobre 2026</v>
      </c>
      <c r="B17" s="17" t="n">
        <f aca="false">IF(B16="","",IF(EDATE(B16,1)&gt;MAX(Données!$Q$2:$Q$5000),"",EDATE(B16,1)))</f>
        <v>46296</v>
      </c>
      <c r="C17" s="17" t="n">
        <f aca="false">IF(B17="","",EDATE(B17,1)-1)</f>
        <v>46326</v>
      </c>
      <c r="D17" s="6" t="n">
        <f aca="false">IF($B17="","",COUNTIFS(Données!$Q$2:$Q$5000,"&gt;="&amp;$B17,Données!$Q$2:$Q$5000,"&lt;="&amp;$C17,Données!$B$2:$B$5000,$B$3,Données!$O$2:$O$5000,"&gt;0"))</f>
        <v>85</v>
      </c>
      <c r="E17" s="6" t="n">
        <f aca="false">IF($B17="","",COUNTIFS(Données!$Q$2:$Q$5000,"&gt;="&amp;$B17,Données!$Q$2:$Q$5000,"&lt;="&amp;$C17,Données!$B$2:$B$5000,$B$3,Données!$M$2:$M$5000,"Abs"))</f>
        <v>4</v>
      </c>
      <c r="F17" s="7" t="n">
        <f aca="false">IF($B17="","",IFERROR(E17/D17,0))</f>
        <v>0.0470588235294118</v>
      </c>
      <c r="G17" s="6" t="n">
        <f aca="false">IF($B17="","",COUNTIFS(Données!$Q$2:$Q$5000,"&gt;="&amp;$B17,Données!$Q$2:$Q$5000,"&lt;="&amp;$C17,Données!$B$2:$B$5000,$B$3,Données!$I$2:$I$5000,"&gt;0"))</f>
        <v>0</v>
      </c>
      <c r="H17" s="8" t="n">
        <f aca="false">IF($B17="","",SUMIFS(Données!$I$2:$I$5000,Données!$Q$2:$Q$5000,"&gt;="&amp;$B17,Données!$Q$2:$Q$5000,"&lt;="&amp;$C17,Données!$B$2:$B$5000,$B$3))</f>
        <v>0</v>
      </c>
      <c r="I17" s="8" t="n">
        <f aca="false">IF($B17="","",SUMIFS(Données!$L$2:$L$5000,Données!$Q$2:$Q$5000,"&gt;="&amp;$B17,Données!$Q$2:$Q$5000,"&lt;="&amp;$C17,Données!$B$2:$B$5000,$B$3))</f>
        <v>0</v>
      </c>
      <c r="J17" s="8" t="n">
        <f aca="false">IF($B17="","",SUMIFS(Données!$O$2:$O$5000,Données!$Q$2:$Q$5000,"&gt;="&amp;$B17,Données!$Q$2:$Q$5000,"&lt;="&amp;$C17,Données!$B$2:$B$5000,$B$3))</f>
        <v>31.0833333333333</v>
      </c>
      <c r="K17" s="8" t="n">
        <f aca="false">IF($B17="","",SUMIFS(Données!$N$2:$N$5000,Données!$Q$2:$Q$5000,"&gt;="&amp;$B17,Données!$Q$2:$Q$5000,"&lt;="&amp;$C17,Données!$B$2:$B$5000,$B$3))</f>
        <v>29.75</v>
      </c>
      <c r="L17" s="7" t="n">
        <f aca="false">IF($B17="","",IFERROR(K17/J17,0))</f>
        <v>0.957104557640751</v>
      </c>
      <c r="M17" s="8" t="n">
        <f aca="false">IF($B17="","",SUMIFS(Données!$S$2:$S$5000,Données!$Q$2:$Q$5000,"&gt;="&amp;$B17,Données!$Q$2:$Q$5000,"&lt;="&amp;$C17,Données!$B$2:$B$5000,$B$3))</f>
        <v>1.33333333333333</v>
      </c>
      <c r="N17" s="7" t="n">
        <f aca="false">IF($B17="","",IFERROR(M17/J17,0))</f>
        <v>0.0428954423592493</v>
      </c>
      <c r="O17" s="8" t="n">
        <f aca="false">IF($B17="","",SUMIFS(Données!$X$2:$X$5000,Données!$Q$2:$Q$5000,"&gt;="&amp;$B17,Données!$Q$2:$Q$5000,"&lt;="&amp;$C17,Données!$B$2:$B$5000,$B$3))</f>
        <v>0.0701388888888889</v>
      </c>
    </row>
    <row r="18" customFormat="false" ht="15" hidden="false" customHeight="false" outlineLevel="0" collapsed="false">
      <c r="A18" s="6" t="str">
        <f aca="false">IF(B18="","",CHOOSE(MONTH(B18),"Janvier","Février","Mars","Avril","Mai","Juin","Juillet","Août","Septembre","Octobre","Novembre","Décembre")&amp;" "&amp;YEAR(B18))</f>
        <v>Novembre 2026</v>
      </c>
      <c r="B18" s="17" t="n">
        <f aca="false">IF(B17="","",IF(EDATE(B17,1)&gt;MAX(Données!$Q$2:$Q$5000),"",EDATE(B17,1)))</f>
        <v>46327</v>
      </c>
      <c r="C18" s="17" t="n">
        <f aca="false">IF(B18="","",EDATE(B18,1)-1)</f>
        <v>46356</v>
      </c>
      <c r="D18" s="6" t="n">
        <f aca="false">IF($B18="","",COUNTIFS(Données!$Q$2:$Q$5000,"&gt;="&amp;$B18,Données!$Q$2:$Q$5000,"&lt;="&amp;$C18,Données!$B$2:$B$5000,$B$3,Données!$O$2:$O$5000,"&gt;0"))</f>
        <v>0</v>
      </c>
      <c r="E18" s="6" t="n">
        <f aca="false">IF($B18="","",COUNTIFS(Données!$Q$2:$Q$5000,"&gt;="&amp;$B18,Données!$Q$2:$Q$5000,"&lt;="&amp;$C18,Données!$B$2:$B$5000,$B$3,Données!$M$2:$M$5000,"Abs"))</f>
        <v>0</v>
      </c>
      <c r="F18" s="7" t="n">
        <f aca="false">IF($B18="","",IFERROR(E18/D18,0))</f>
        <v>0</v>
      </c>
      <c r="G18" s="6" t="n">
        <f aca="false">IF($B18="","",COUNTIFS(Données!$Q$2:$Q$5000,"&gt;="&amp;$B18,Données!$Q$2:$Q$5000,"&lt;="&amp;$C18,Données!$B$2:$B$5000,$B$3,Données!$I$2:$I$5000,"&gt;0"))</f>
        <v>0</v>
      </c>
      <c r="H18" s="8" t="n">
        <f aca="false">IF($B18="","",SUMIFS(Données!$I$2:$I$5000,Données!$Q$2:$Q$5000,"&gt;="&amp;$B18,Données!$Q$2:$Q$5000,"&lt;="&amp;$C18,Données!$B$2:$B$5000,$B$3))</f>
        <v>0</v>
      </c>
      <c r="I18" s="8" t="n">
        <f aca="false">IF($B18="","",SUMIFS(Données!$L$2:$L$5000,Données!$Q$2:$Q$5000,"&gt;="&amp;$B18,Données!$Q$2:$Q$5000,"&lt;="&amp;$C18,Données!$B$2:$B$5000,$B$3))</f>
        <v>0</v>
      </c>
      <c r="J18" s="8" t="n">
        <f aca="false">IF($B18="","",SUMIFS(Données!$O$2:$O$5000,Données!$Q$2:$Q$5000,"&gt;="&amp;$B18,Données!$Q$2:$Q$5000,"&lt;="&amp;$C18,Données!$B$2:$B$5000,$B$3))</f>
        <v>0</v>
      </c>
      <c r="K18" s="8" t="n">
        <f aca="false">IF($B18="","",SUMIFS(Données!$N$2:$N$5000,Données!$Q$2:$Q$5000,"&gt;="&amp;$B18,Données!$Q$2:$Q$5000,"&lt;="&amp;$C18,Données!$B$2:$B$5000,$B$3))</f>
        <v>0</v>
      </c>
      <c r="L18" s="7" t="n">
        <f aca="false">IF($B18="","",IFERROR(K18/J18,0))</f>
        <v>0</v>
      </c>
      <c r="M18" s="8" t="n">
        <f aca="false">IF($B18="","",SUMIFS(Données!$S$2:$S$5000,Données!$Q$2:$Q$5000,"&gt;="&amp;$B18,Données!$Q$2:$Q$5000,"&lt;="&amp;$C18,Données!$B$2:$B$5000,$B$3))</f>
        <v>0</v>
      </c>
      <c r="N18" s="7" t="n">
        <f aca="false">IF($B18="","",IFERROR(M18/J18,0))</f>
        <v>0</v>
      </c>
      <c r="O18" s="8" t="n">
        <f aca="false">IF($B18="","",SUMIFS(Données!$X$2:$X$5000,Données!$Q$2:$Q$5000,"&gt;="&amp;$B18,Données!$Q$2:$Q$5000,"&lt;="&amp;$C18,Données!$B$2:$B$5000,$B$3))</f>
        <v>0</v>
      </c>
    </row>
    <row r="19" customFormat="false" ht="15" hidden="false" customHeight="false" outlineLevel="0" collapsed="false">
      <c r="A19" s="6" t="str">
        <f aca="false">IF(B19="","",CHOOSE(MONTH(B19),"Janvier","Février","Mars","Avril","Mai","Juin","Juillet","Août","Septembre","Octobre","Novembre","Décembre")&amp;" "&amp;YEAR(B19))</f>
        <v/>
      </c>
      <c r="B19" s="17" t="str">
        <f aca="false">IF(B18="","",IF(EDATE(B18,1)&gt;MAX(Données!$Q$2:$Q$5000),"",EDATE(B18,1)))</f>
        <v/>
      </c>
      <c r="C19" s="17" t="str">
        <f aca="false">IF(B19="","",EDATE(B19,1)-1)</f>
        <v/>
      </c>
      <c r="D19" s="6" t="str">
        <f aca="false">IF($B19="","",COUNTIFS(Données!$Q$2:$Q$5000,"&gt;="&amp;$B19,Données!$Q$2:$Q$5000,"&lt;="&amp;$C19,Données!$B$2:$B$5000,$B$3,Données!$O$2:$O$5000,"&gt;0"))</f>
        <v/>
      </c>
      <c r="E19" s="6" t="str">
        <f aca="false">IF($B19="","",COUNTIFS(Données!$Q$2:$Q$5000,"&gt;="&amp;$B19,Données!$Q$2:$Q$5000,"&lt;="&amp;$C19,Données!$B$2:$B$5000,$B$3,Données!$M$2:$M$5000,"Abs"))</f>
        <v/>
      </c>
      <c r="F19" s="7" t="str">
        <f aca="false">IF($B19="","",IFERROR(E19/D19,0))</f>
        <v/>
      </c>
      <c r="G19" s="6" t="str">
        <f aca="false">IF($B19="","",COUNTIFS(Données!$Q$2:$Q$5000,"&gt;="&amp;$B19,Données!$Q$2:$Q$5000,"&lt;="&amp;$C19,Données!$B$2:$B$5000,$B$3,Données!$I$2:$I$5000,"&gt;0"))</f>
        <v/>
      </c>
      <c r="H19" s="8" t="str">
        <f aca="false">IF($B19="","",SUMIFS(Données!$I$2:$I$5000,Données!$Q$2:$Q$5000,"&gt;="&amp;$B19,Données!$Q$2:$Q$5000,"&lt;="&amp;$C19,Données!$B$2:$B$5000,$B$3))</f>
        <v/>
      </c>
      <c r="I19" s="8" t="str">
        <f aca="false">IF($B19="","",SUMIFS(Données!$L$2:$L$5000,Données!$Q$2:$Q$5000,"&gt;="&amp;$B19,Données!$Q$2:$Q$5000,"&lt;="&amp;$C19,Données!$B$2:$B$5000,$B$3))</f>
        <v/>
      </c>
      <c r="J19" s="8" t="str">
        <f aca="false">IF($B19="","",SUMIFS(Données!$O$2:$O$5000,Données!$Q$2:$Q$5000,"&gt;="&amp;$B19,Données!$Q$2:$Q$5000,"&lt;="&amp;$C19,Données!$B$2:$B$5000,$B$3))</f>
        <v/>
      </c>
      <c r="K19" s="8" t="str">
        <f aca="false">IF($B19="","",SUMIFS(Données!$N$2:$N$5000,Données!$Q$2:$Q$5000,"&gt;="&amp;$B19,Données!$Q$2:$Q$5000,"&lt;="&amp;$C19,Données!$B$2:$B$5000,$B$3))</f>
        <v/>
      </c>
      <c r="L19" s="7" t="str">
        <f aca="false">IF($B19="","",IFERROR(K19/J19,0))</f>
        <v/>
      </c>
      <c r="M19" s="8" t="str">
        <f aca="false">IF($B19="","",SUMIFS(Données!$S$2:$S$5000,Données!$Q$2:$Q$5000,"&gt;="&amp;$B19,Données!$Q$2:$Q$5000,"&lt;="&amp;$C19,Données!$B$2:$B$5000,$B$3))</f>
        <v/>
      </c>
      <c r="N19" s="7" t="str">
        <f aca="false">IF($B19="","",IFERROR(M19/J19,0))</f>
        <v/>
      </c>
      <c r="O19" s="8" t="str">
        <f aca="false">IF($B19="","",SUMIFS(Données!$X$2:$X$5000,Données!$Q$2:$Q$5000,"&gt;="&amp;$B19,Données!$Q$2:$Q$5000,"&lt;="&amp;$C19,Données!$B$2:$B$5000,$B$3))</f>
        <v/>
      </c>
    </row>
    <row r="20" customFormat="false" ht="15" hidden="false" customHeight="false" outlineLevel="0" collapsed="false">
      <c r="A20" s="6" t="str">
        <f aca="false">IF(B20="","",CHOOSE(MONTH(B20),"Janvier","Février","Mars","Avril","Mai","Juin","Juillet","Août","Septembre","Octobre","Novembre","Décembre")&amp;" "&amp;YEAR(B20))</f>
        <v/>
      </c>
      <c r="B20" s="17" t="str">
        <f aca="false">IF(B19="","",IF(EDATE(B19,1)&gt;MAX(Données!$Q$2:$Q$5000),"",EDATE(B19,1)))</f>
        <v/>
      </c>
      <c r="C20" s="17" t="str">
        <f aca="false">IF(B20="","",EDATE(B20,1)-1)</f>
        <v/>
      </c>
      <c r="D20" s="6" t="str">
        <f aca="false">IF($B20="","",COUNTIFS(Données!$Q$2:$Q$5000,"&gt;="&amp;$B20,Données!$Q$2:$Q$5000,"&lt;="&amp;$C20,Données!$B$2:$B$5000,$B$3,Données!$O$2:$O$5000,"&gt;0"))</f>
        <v/>
      </c>
      <c r="E20" s="6" t="str">
        <f aca="false">IF($B20="","",COUNTIFS(Données!$Q$2:$Q$5000,"&gt;="&amp;$B20,Données!$Q$2:$Q$5000,"&lt;="&amp;$C20,Données!$B$2:$B$5000,$B$3,Données!$M$2:$M$5000,"Abs"))</f>
        <v/>
      </c>
      <c r="F20" s="7" t="str">
        <f aca="false">IF($B20="","",IFERROR(E20/D20,0))</f>
        <v/>
      </c>
      <c r="G20" s="6" t="str">
        <f aca="false">IF($B20="","",COUNTIFS(Données!$Q$2:$Q$5000,"&gt;="&amp;$B20,Données!$Q$2:$Q$5000,"&lt;="&amp;$C20,Données!$B$2:$B$5000,$B$3,Données!$I$2:$I$5000,"&gt;0"))</f>
        <v/>
      </c>
      <c r="H20" s="8" t="str">
        <f aca="false">IF($B20="","",SUMIFS(Données!$I$2:$I$5000,Données!$Q$2:$Q$5000,"&gt;="&amp;$B20,Données!$Q$2:$Q$5000,"&lt;="&amp;$C20,Données!$B$2:$B$5000,$B$3))</f>
        <v/>
      </c>
      <c r="I20" s="8" t="str">
        <f aca="false">IF($B20="","",SUMIFS(Données!$L$2:$L$5000,Données!$Q$2:$Q$5000,"&gt;="&amp;$B20,Données!$Q$2:$Q$5000,"&lt;="&amp;$C20,Données!$B$2:$B$5000,$B$3))</f>
        <v/>
      </c>
      <c r="J20" s="8" t="str">
        <f aca="false">IF($B20="","",SUMIFS(Données!$O$2:$O$5000,Données!$Q$2:$Q$5000,"&gt;="&amp;$B20,Données!$Q$2:$Q$5000,"&lt;="&amp;$C20,Données!$B$2:$B$5000,$B$3))</f>
        <v/>
      </c>
      <c r="K20" s="8" t="str">
        <f aca="false">IF($B20="","",SUMIFS(Données!$N$2:$N$5000,Données!$Q$2:$Q$5000,"&gt;="&amp;$B20,Données!$Q$2:$Q$5000,"&lt;="&amp;$C20,Données!$B$2:$B$5000,$B$3))</f>
        <v/>
      </c>
      <c r="L20" s="7" t="str">
        <f aca="false">IF($B20="","",IFERROR(K20/J20,0))</f>
        <v/>
      </c>
      <c r="M20" s="8" t="str">
        <f aca="false">IF($B20="","",SUMIFS(Données!$S$2:$S$5000,Données!$Q$2:$Q$5000,"&gt;="&amp;$B20,Données!$Q$2:$Q$5000,"&lt;="&amp;$C20,Données!$B$2:$B$5000,$B$3))</f>
        <v/>
      </c>
      <c r="N20" s="7" t="str">
        <f aca="false">IF($B20="","",IFERROR(M20/J20,0))</f>
        <v/>
      </c>
      <c r="O20" s="8" t="str">
        <f aca="false">IF($B20="","",SUMIFS(Données!$X$2:$X$5000,Données!$Q$2:$Q$5000,"&gt;="&amp;$B20,Données!$Q$2:$Q$5000,"&lt;="&amp;$C20,Données!$B$2:$B$5000,$B$3))</f>
        <v/>
      </c>
    </row>
    <row r="21" customFormat="false" ht="15" hidden="false" customHeight="false" outlineLevel="0" collapsed="false">
      <c r="A21" s="6" t="str">
        <f aca="false">IF(B21="","",CHOOSE(MONTH(B21),"Janvier","Février","Mars","Avril","Mai","Juin","Juillet","Août","Septembre","Octobre","Novembre","Décembre")&amp;" "&amp;YEAR(B21))</f>
        <v/>
      </c>
      <c r="B21" s="17" t="str">
        <f aca="false">IF(B20="","",IF(EDATE(B20,1)&gt;MAX(Données!$Q$2:$Q$5000),"",EDATE(B20,1)))</f>
        <v/>
      </c>
      <c r="C21" s="17" t="str">
        <f aca="false">IF(B21="","",EDATE(B21,1)-1)</f>
        <v/>
      </c>
      <c r="D21" s="6" t="str">
        <f aca="false">IF($B21="","",COUNTIFS(Données!$Q$2:$Q$5000,"&gt;="&amp;$B21,Données!$Q$2:$Q$5000,"&lt;="&amp;$C21,Données!$B$2:$B$5000,$B$3,Données!$O$2:$O$5000,"&gt;0"))</f>
        <v/>
      </c>
      <c r="E21" s="6" t="str">
        <f aca="false">IF($B21="","",COUNTIFS(Données!$Q$2:$Q$5000,"&gt;="&amp;$B21,Données!$Q$2:$Q$5000,"&lt;="&amp;$C21,Données!$B$2:$B$5000,$B$3,Données!$M$2:$M$5000,"Abs"))</f>
        <v/>
      </c>
      <c r="F21" s="7" t="str">
        <f aca="false">IF($B21="","",IFERROR(E21/D21,0))</f>
        <v/>
      </c>
      <c r="G21" s="6" t="str">
        <f aca="false">IF($B21="","",COUNTIFS(Données!$Q$2:$Q$5000,"&gt;="&amp;$B21,Données!$Q$2:$Q$5000,"&lt;="&amp;$C21,Données!$B$2:$B$5000,$B$3,Données!$I$2:$I$5000,"&gt;0"))</f>
        <v/>
      </c>
      <c r="H21" s="8" t="str">
        <f aca="false">IF($B21="","",SUMIFS(Données!$I$2:$I$5000,Données!$Q$2:$Q$5000,"&gt;="&amp;$B21,Données!$Q$2:$Q$5000,"&lt;="&amp;$C21,Données!$B$2:$B$5000,$B$3))</f>
        <v/>
      </c>
      <c r="I21" s="8" t="str">
        <f aca="false">IF($B21="","",SUMIFS(Données!$L$2:$L$5000,Données!$Q$2:$Q$5000,"&gt;="&amp;$B21,Données!$Q$2:$Q$5000,"&lt;="&amp;$C21,Données!$B$2:$B$5000,$B$3))</f>
        <v/>
      </c>
      <c r="J21" s="8" t="str">
        <f aca="false">IF($B21="","",SUMIFS(Données!$O$2:$O$5000,Données!$Q$2:$Q$5000,"&gt;="&amp;$B21,Données!$Q$2:$Q$5000,"&lt;="&amp;$C21,Données!$B$2:$B$5000,$B$3))</f>
        <v/>
      </c>
      <c r="K21" s="8" t="str">
        <f aca="false">IF($B21="","",SUMIFS(Données!$N$2:$N$5000,Données!$Q$2:$Q$5000,"&gt;="&amp;$B21,Données!$Q$2:$Q$5000,"&lt;="&amp;$C21,Données!$B$2:$B$5000,$B$3))</f>
        <v/>
      </c>
      <c r="L21" s="7" t="str">
        <f aca="false">IF($B21="","",IFERROR(K21/J21,0))</f>
        <v/>
      </c>
      <c r="M21" s="8" t="str">
        <f aca="false">IF($B21="","",SUMIFS(Données!$S$2:$S$5000,Données!$Q$2:$Q$5000,"&gt;="&amp;$B21,Données!$Q$2:$Q$5000,"&lt;="&amp;$C21,Données!$B$2:$B$5000,$B$3))</f>
        <v/>
      </c>
      <c r="N21" s="7" t="str">
        <f aca="false">IF($B21="","",IFERROR(M21/J21,0))</f>
        <v/>
      </c>
      <c r="O21" s="8" t="str">
        <f aca="false">IF($B21="","",SUMIFS(Données!$X$2:$X$5000,Données!$Q$2:$Q$5000,"&gt;="&amp;$B21,Données!$Q$2:$Q$5000,"&lt;="&amp;$C21,Données!$B$2:$B$5000,$B$3))</f>
        <v/>
      </c>
    </row>
    <row r="22" customFormat="false" ht="15" hidden="false" customHeight="false" outlineLevel="0" collapsed="false">
      <c r="A22" s="6" t="str">
        <f aca="false">IF(B22="","",CHOOSE(MONTH(B22),"Janvier","Février","Mars","Avril","Mai","Juin","Juillet","Août","Septembre","Octobre","Novembre","Décembre")&amp;" "&amp;YEAR(B22))</f>
        <v/>
      </c>
      <c r="B22" s="17" t="str">
        <f aca="false">IF(B21="","",IF(EDATE(B21,1)&gt;MAX(Données!$Q$2:$Q$5000),"",EDATE(B21,1)))</f>
        <v/>
      </c>
      <c r="C22" s="17" t="str">
        <f aca="false">IF(B22="","",EDATE(B22,1)-1)</f>
        <v/>
      </c>
      <c r="D22" s="6" t="str">
        <f aca="false">IF($B22="","",COUNTIFS(Données!$Q$2:$Q$5000,"&gt;="&amp;$B22,Données!$Q$2:$Q$5000,"&lt;="&amp;$C22,Données!$B$2:$B$5000,$B$3,Données!$O$2:$O$5000,"&gt;0"))</f>
        <v/>
      </c>
      <c r="E22" s="6" t="str">
        <f aca="false">IF($B22="","",COUNTIFS(Données!$Q$2:$Q$5000,"&gt;="&amp;$B22,Données!$Q$2:$Q$5000,"&lt;="&amp;$C22,Données!$B$2:$B$5000,$B$3,Données!$M$2:$M$5000,"Abs"))</f>
        <v/>
      </c>
      <c r="F22" s="7" t="str">
        <f aca="false">IF($B22="","",IFERROR(E22/D22,0))</f>
        <v/>
      </c>
      <c r="G22" s="6" t="str">
        <f aca="false">IF($B22="","",COUNTIFS(Données!$Q$2:$Q$5000,"&gt;="&amp;$B22,Données!$Q$2:$Q$5000,"&lt;="&amp;$C22,Données!$B$2:$B$5000,$B$3,Données!$I$2:$I$5000,"&gt;0"))</f>
        <v/>
      </c>
      <c r="H22" s="8" t="str">
        <f aca="false">IF($B22="","",SUMIFS(Données!$I$2:$I$5000,Données!$Q$2:$Q$5000,"&gt;="&amp;$B22,Données!$Q$2:$Q$5000,"&lt;="&amp;$C22,Données!$B$2:$B$5000,$B$3))</f>
        <v/>
      </c>
      <c r="I22" s="8" t="str">
        <f aca="false">IF($B22="","",SUMIFS(Données!$L$2:$L$5000,Données!$Q$2:$Q$5000,"&gt;="&amp;$B22,Données!$Q$2:$Q$5000,"&lt;="&amp;$C22,Données!$B$2:$B$5000,$B$3))</f>
        <v/>
      </c>
      <c r="J22" s="8" t="str">
        <f aca="false">IF($B22="","",SUMIFS(Données!$O$2:$O$5000,Données!$Q$2:$Q$5000,"&gt;="&amp;$B22,Données!$Q$2:$Q$5000,"&lt;="&amp;$C22,Données!$B$2:$B$5000,$B$3))</f>
        <v/>
      </c>
      <c r="K22" s="8" t="str">
        <f aca="false">IF($B22="","",SUMIFS(Données!$N$2:$N$5000,Données!$Q$2:$Q$5000,"&gt;="&amp;$B22,Données!$Q$2:$Q$5000,"&lt;="&amp;$C22,Données!$B$2:$B$5000,$B$3))</f>
        <v/>
      </c>
      <c r="L22" s="7" t="str">
        <f aca="false">IF($B22="","",IFERROR(K22/J22,0))</f>
        <v/>
      </c>
      <c r="M22" s="8" t="str">
        <f aca="false">IF($B22="","",SUMIFS(Données!$S$2:$S$5000,Données!$Q$2:$Q$5000,"&gt;="&amp;$B22,Données!$Q$2:$Q$5000,"&lt;="&amp;$C22,Données!$B$2:$B$5000,$B$3))</f>
        <v/>
      </c>
      <c r="N22" s="7" t="str">
        <f aca="false">IF($B22="","",IFERROR(M22/J22,0))</f>
        <v/>
      </c>
      <c r="O22" s="8" t="str">
        <f aca="false">IF($B22="","",SUMIFS(Données!$X$2:$X$5000,Données!$Q$2:$Q$5000,"&gt;="&amp;$B22,Données!$Q$2:$Q$5000,"&lt;="&amp;$C22,Données!$B$2:$B$5000,$B$3))</f>
        <v/>
      </c>
    </row>
    <row r="23" customFormat="false" ht="15" hidden="false" customHeight="false" outlineLevel="0" collapsed="false">
      <c r="A23" s="6" t="str">
        <f aca="false">IF(B23="","",CHOOSE(MONTH(B23),"Janvier","Février","Mars","Avril","Mai","Juin","Juillet","Août","Septembre","Octobre","Novembre","Décembre")&amp;" "&amp;YEAR(B23))</f>
        <v/>
      </c>
      <c r="B23" s="17" t="str">
        <f aca="false">IF(B22="","",IF(EDATE(B22,1)&gt;MAX(Données!$Q$2:$Q$5000),"",EDATE(B22,1)))</f>
        <v/>
      </c>
      <c r="C23" s="17" t="str">
        <f aca="false">IF(B23="","",EDATE(B23,1)-1)</f>
        <v/>
      </c>
      <c r="D23" s="6" t="str">
        <f aca="false">IF($B23="","",COUNTIFS(Données!$Q$2:$Q$5000,"&gt;="&amp;$B23,Données!$Q$2:$Q$5000,"&lt;="&amp;$C23,Données!$B$2:$B$5000,$B$3,Données!$O$2:$O$5000,"&gt;0"))</f>
        <v/>
      </c>
      <c r="E23" s="6" t="str">
        <f aca="false">IF($B23="","",COUNTIFS(Données!$Q$2:$Q$5000,"&gt;="&amp;$B23,Données!$Q$2:$Q$5000,"&lt;="&amp;$C23,Données!$B$2:$B$5000,$B$3,Données!$M$2:$M$5000,"Abs"))</f>
        <v/>
      </c>
      <c r="F23" s="7" t="str">
        <f aca="false">IF($B23="","",IFERROR(E23/D23,0))</f>
        <v/>
      </c>
      <c r="G23" s="6" t="str">
        <f aca="false">IF($B23="","",COUNTIFS(Données!$Q$2:$Q$5000,"&gt;="&amp;$B23,Données!$Q$2:$Q$5000,"&lt;="&amp;$C23,Données!$B$2:$B$5000,$B$3,Données!$I$2:$I$5000,"&gt;0"))</f>
        <v/>
      </c>
      <c r="H23" s="8" t="str">
        <f aca="false">IF($B23="","",SUMIFS(Données!$I$2:$I$5000,Données!$Q$2:$Q$5000,"&gt;="&amp;$B23,Données!$Q$2:$Q$5000,"&lt;="&amp;$C23,Données!$B$2:$B$5000,$B$3))</f>
        <v/>
      </c>
      <c r="I23" s="8" t="str">
        <f aca="false">IF($B23="","",SUMIFS(Données!$L$2:$L$5000,Données!$Q$2:$Q$5000,"&gt;="&amp;$B23,Données!$Q$2:$Q$5000,"&lt;="&amp;$C23,Données!$B$2:$B$5000,$B$3))</f>
        <v/>
      </c>
      <c r="J23" s="8" t="str">
        <f aca="false">IF($B23="","",SUMIFS(Données!$O$2:$O$5000,Données!$Q$2:$Q$5000,"&gt;="&amp;$B23,Données!$Q$2:$Q$5000,"&lt;="&amp;$C23,Données!$B$2:$B$5000,$B$3))</f>
        <v/>
      </c>
      <c r="K23" s="8" t="str">
        <f aca="false">IF($B23="","",SUMIFS(Données!$N$2:$N$5000,Données!$Q$2:$Q$5000,"&gt;="&amp;$B23,Données!$Q$2:$Q$5000,"&lt;="&amp;$C23,Données!$B$2:$B$5000,$B$3))</f>
        <v/>
      </c>
      <c r="L23" s="7" t="str">
        <f aca="false">IF($B23="","",IFERROR(K23/J23,0))</f>
        <v/>
      </c>
      <c r="M23" s="8" t="str">
        <f aca="false">IF($B23="","",SUMIFS(Données!$S$2:$S$5000,Données!$Q$2:$Q$5000,"&gt;="&amp;$B23,Données!$Q$2:$Q$5000,"&lt;="&amp;$C23,Données!$B$2:$B$5000,$B$3))</f>
        <v/>
      </c>
      <c r="N23" s="7" t="str">
        <f aca="false">IF($B23="","",IFERROR(M23/J23,0))</f>
        <v/>
      </c>
      <c r="O23" s="8" t="str">
        <f aca="false">IF($B23="","",SUMIFS(Données!$X$2:$X$5000,Données!$Q$2:$Q$5000,"&gt;="&amp;$B23,Données!$Q$2:$Q$5000,"&lt;="&amp;$C23,Données!$B$2:$B$5000,$B$3))</f>
        <v/>
      </c>
    </row>
    <row r="24" customFormat="false" ht="15" hidden="false" customHeight="false" outlineLevel="0" collapsed="false">
      <c r="A24" s="6" t="str">
        <f aca="false">IF(B24="","",CHOOSE(MONTH(B24),"Janvier","Février","Mars","Avril","Mai","Juin","Juillet","Août","Septembre","Octobre","Novembre","Décembre")&amp;" "&amp;YEAR(B24))</f>
        <v/>
      </c>
      <c r="B24" s="17" t="str">
        <f aca="false">IF(B23="","",IF(EDATE(B23,1)&gt;MAX(Données!$Q$2:$Q$5000),"",EDATE(B23,1)))</f>
        <v/>
      </c>
      <c r="C24" s="17" t="str">
        <f aca="false">IF(B24="","",EDATE(B24,1)-1)</f>
        <v/>
      </c>
      <c r="D24" s="6" t="str">
        <f aca="false">IF($B24="","",COUNTIFS(Données!$Q$2:$Q$5000,"&gt;="&amp;$B24,Données!$Q$2:$Q$5000,"&lt;="&amp;$C24,Données!$B$2:$B$5000,$B$3,Données!$O$2:$O$5000,"&gt;0"))</f>
        <v/>
      </c>
      <c r="E24" s="6" t="str">
        <f aca="false">IF($B24="","",COUNTIFS(Données!$Q$2:$Q$5000,"&gt;="&amp;$B24,Données!$Q$2:$Q$5000,"&lt;="&amp;$C24,Données!$B$2:$B$5000,$B$3,Données!$M$2:$M$5000,"Abs"))</f>
        <v/>
      </c>
      <c r="F24" s="7" t="str">
        <f aca="false">IF($B24="","",IFERROR(E24/D24,0))</f>
        <v/>
      </c>
      <c r="G24" s="6" t="str">
        <f aca="false">IF($B24="","",COUNTIFS(Données!$Q$2:$Q$5000,"&gt;="&amp;$B24,Données!$Q$2:$Q$5000,"&lt;="&amp;$C24,Données!$B$2:$B$5000,$B$3,Données!$I$2:$I$5000,"&gt;0"))</f>
        <v/>
      </c>
      <c r="H24" s="8" t="str">
        <f aca="false">IF($B24="","",SUMIFS(Données!$I$2:$I$5000,Données!$Q$2:$Q$5000,"&gt;="&amp;$B24,Données!$Q$2:$Q$5000,"&lt;="&amp;$C24,Données!$B$2:$B$5000,$B$3))</f>
        <v/>
      </c>
      <c r="I24" s="8" t="str">
        <f aca="false">IF($B24="","",SUMIFS(Données!$L$2:$L$5000,Données!$Q$2:$Q$5000,"&gt;="&amp;$B24,Données!$Q$2:$Q$5000,"&lt;="&amp;$C24,Données!$B$2:$B$5000,$B$3))</f>
        <v/>
      </c>
      <c r="J24" s="8" t="str">
        <f aca="false">IF($B24="","",SUMIFS(Données!$O$2:$O$5000,Données!$Q$2:$Q$5000,"&gt;="&amp;$B24,Données!$Q$2:$Q$5000,"&lt;="&amp;$C24,Données!$B$2:$B$5000,$B$3))</f>
        <v/>
      </c>
      <c r="K24" s="8" t="str">
        <f aca="false">IF($B24="","",SUMIFS(Données!$N$2:$N$5000,Données!$Q$2:$Q$5000,"&gt;="&amp;$B24,Données!$Q$2:$Q$5000,"&lt;="&amp;$C24,Données!$B$2:$B$5000,$B$3))</f>
        <v/>
      </c>
      <c r="L24" s="7" t="str">
        <f aca="false">IF($B24="","",IFERROR(K24/J24,0))</f>
        <v/>
      </c>
      <c r="M24" s="8" t="str">
        <f aca="false">IF($B24="","",SUMIFS(Données!$S$2:$S$5000,Données!$Q$2:$Q$5000,"&gt;="&amp;$B24,Données!$Q$2:$Q$5000,"&lt;="&amp;$C24,Données!$B$2:$B$5000,$B$3))</f>
        <v/>
      </c>
      <c r="N24" s="7" t="str">
        <f aca="false">IF($B24="","",IFERROR(M24/J24,0))</f>
        <v/>
      </c>
      <c r="O24" s="8" t="str">
        <f aca="false">IF($B24="","",SUMIFS(Données!$X$2:$X$5000,Données!$Q$2:$Q$5000,"&gt;="&amp;$B24,Données!$Q$2:$Q$5000,"&lt;="&amp;$C24,Données!$B$2:$B$5000,$B$3))</f>
        <v/>
      </c>
    </row>
    <row r="25" customFormat="false" ht="15" hidden="false" customHeight="false" outlineLevel="0" collapsed="false">
      <c r="A25" s="6" t="str">
        <f aca="false">IF(B25="","",CHOOSE(MONTH(B25),"Janvier","Février","Mars","Avril","Mai","Juin","Juillet","Août","Septembre","Octobre","Novembre","Décembre")&amp;" "&amp;YEAR(B25))</f>
        <v/>
      </c>
      <c r="B25" s="17" t="str">
        <f aca="false">IF(B24="","",IF(EDATE(B24,1)&gt;MAX(Données!$Q$2:$Q$5000),"",EDATE(B24,1)))</f>
        <v/>
      </c>
      <c r="C25" s="17" t="str">
        <f aca="false">IF(B25="","",EDATE(B25,1)-1)</f>
        <v/>
      </c>
      <c r="D25" s="6" t="str">
        <f aca="false">IF($B25="","",COUNTIFS(Données!$Q$2:$Q$5000,"&gt;="&amp;$B25,Données!$Q$2:$Q$5000,"&lt;="&amp;$C25,Données!$B$2:$B$5000,$B$3,Données!$O$2:$O$5000,"&gt;0"))</f>
        <v/>
      </c>
      <c r="E25" s="6" t="str">
        <f aca="false">IF($B25="","",COUNTIFS(Données!$Q$2:$Q$5000,"&gt;="&amp;$B25,Données!$Q$2:$Q$5000,"&lt;="&amp;$C25,Données!$B$2:$B$5000,$B$3,Données!$M$2:$M$5000,"Abs"))</f>
        <v/>
      </c>
      <c r="F25" s="7" t="str">
        <f aca="false">IF($B25="","",IFERROR(E25/D25,0))</f>
        <v/>
      </c>
      <c r="G25" s="6" t="str">
        <f aca="false">IF($B25="","",COUNTIFS(Données!$Q$2:$Q$5000,"&gt;="&amp;$B25,Données!$Q$2:$Q$5000,"&lt;="&amp;$C25,Données!$B$2:$B$5000,$B$3,Données!$I$2:$I$5000,"&gt;0"))</f>
        <v/>
      </c>
      <c r="H25" s="8" t="str">
        <f aca="false">IF($B25="","",SUMIFS(Données!$I$2:$I$5000,Données!$Q$2:$Q$5000,"&gt;="&amp;$B25,Données!$Q$2:$Q$5000,"&lt;="&amp;$C25,Données!$B$2:$B$5000,$B$3))</f>
        <v/>
      </c>
      <c r="I25" s="8" t="str">
        <f aca="false">IF($B25="","",SUMIFS(Données!$L$2:$L$5000,Données!$Q$2:$Q$5000,"&gt;="&amp;$B25,Données!$Q$2:$Q$5000,"&lt;="&amp;$C25,Données!$B$2:$B$5000,$B$3))</f>
        <v/>
      </c>
      <c r="J25" s="8" t="str">
        <f aca="false">IF($B25="","",SUMIFS(Données!$O$2:$O$5000,Données!$Q$2:$Q$5000,"&gt;="&amp;$B25,Données!$Q$2:$Q$5000,"&lt;="&amp;$C25,Données!$B$2:$B$5000,$B$3))</f>
        <v/>
      </c>
      <c r="K25" s="8" t="str">
        <f aca="false">IF($B25="","",SUMIFS(Données!$N$2:$N$5000,Données!$Q$2:$Q$5000,"&gt;="&amp;$B25,Données!$Q$2:$Q$5000,"&lt;="&amp;$C25,Données!$B$2:$B$5000,$B$3))</f>
        <v/>
      </c>
      <c r="L25" s="7" t="str">
        <f aca="false">IF($B25="","",IFERROR(K25/J25,0))</f>
        <v/>
      </c>
      <c r="M25" s="8" t="str">
        <f aca="false">IF($B25="","",SUMIFS(Données!$S$2:$S$5000,Données!$Q$2:$Q$5000,"&gt;="&amp;$B25,Données!$Q$2:$Q$5000,"&lt;="&amp;$C25,Données!$B$2:$B$5000,$B$3))</f>
        <v/>
      </c>
      <c r="N25" s="7" t="str">
        <f aca="false">IF($B25="","",IFERROR(M25/J25,0))</f>
        <v/>
      </c>
      <c r="O25" s="8" t="str">
        <f aca="false">IF($B25="","",SUMIFS(Données!$X$2:$X$5000,Données!$Q$2:$Q$5000,"&gt;="&amp;$B25,Données!$Q$2:$Q$5000,"&lt;="&amp;$C25,Données!$B$2:$B$5000,$B$3))</f>
        <v/>
      </c>
    </row>
    <row r="26" customFormat="false" ht="15" hidden="false" customHeight="false" outlineLevel="0" collapsed="false">
      <c r="A26" s="6" t="str">
        <f aca="false">IF(B26="","",CHOOSE(MONTH(B26),"Janvier","Février","Mars","Avril","Mai","Juin","Juillet","Août","Septembre","Octobre","Novembre","Décembre")&amp;" "&amp;YEAR(B26))</f>
        <v/>
      </c>
      <c r="B26" s="17" t="str">
        <f aca="false">IF(B25="","",IF(EDATE(B25,1)&gt;MAX(Données!$Q$2:$Q$5000),"",EDATE(B25,1)))</f>
        <v/>
      </c>
      <c r="C26" s="17" t="str">
        <f aca="false">IF(B26="","",EDATE(B26,1)-1)</f>
        <v/>
      </c>
      <c r="D26" s="6" t="str">
        <f aca="false">IF($B26="","",COUNTIFS(Données!$Q$2:$Q$5000,"&gt;="&amp;$B26,Données!$Q$2:$Q$5000,"&lt;="&amp;$C26,Données!$B$2:$B$5000,$B$3,Données!$O$2:$O$5000,"&gt;0"))</f>
        <v/>
      </c>
      <c r="E26" s="6" t="str">
        <f aca="false">IF($B26="","",COUNTIFS(Données!$Q$2:$Q$5000,"&gt;="&amp;$B26,Données!$Q$2:$Q$5000,"&lt;="&amp;$C26,Données!$B$2:$B$5000,$B$3,Données!$M$2:$M$5000,"Abs"))</f>
        <v/>
      </c>
      <c r="F26" s="7" t="str">
        <f aca="false">IF($B26="","",IFERROR(E26/D26,0))</f>
        <v/>
      </c>
      <c r="G26" s="6" t="str">
        <f aca="false">IF($B26="","",COUNTIFS(Données!$Q$2:$Q$5000,"&gt;="&amp;$B26,Données!$Q$2:$Q$5000,"&lt;="&amp;$C26,Données!$B$2:$B$5000,$B$3,Données!$I$2:$I$5000,"&gt;0"))</f>
        <v/>
      </c>
      <c r="H26" s="8" t="str">
        <f aca="false">IF($B26="","",SUMIFS(Données!$I$2:$I$5000,Données!$Q$2:$Q$5000,"&gt;="&amp;$B26,Données!$Q$2:$Q$5000,"&lt;="&amp;$C26,Données!$B$2:$B$5000,$B$3))</f>
        <v/>
      </c>
      <c r="I26" s="8" t="str">
        <f aca="false">IF($B26="","",SUMIFS(Données!$L$2:$L$5000,Données!$Q$2:$Q$5000,"&gt;="&amp;$B26,Données!$Q$2:$Q$5000,"&lt;="&amp;$C26,Données!$B$2:$B$5000,$B$3))</f>
        <v/>
      </c>
      <c r="J26" s="8" t="str">
        <f aca="false">IF($B26="","",SUMIFS(Données!$O$2:$O$5000,Données!$Q$2:$Q$5000,"&gt;="&amp;$B26,Données!$Q$2:$Q$5000,"&lt;="&amp;$C26,Données!$B$2:$B$5000,$B$3))</f>
        <v/>
      </c>
      <c r="K26" s="8" t="str">
        <f aca="false">IF($B26="","",SUMIFS(Données!$N$2:$N$5000,Données!$Q$2:$Q$5000,"&gt;="&amp;$B26,Données!$Q$2:$Q$5000,"&lt;="&amp;$C26,Données!$B$2:$B$5000,$B$3))</f>
        <v/>
      </c>
      <c r="L26" s="7" t="str">
        <f aca="false">IF($B26="","",IFERROR(K26/J26,0))</f>
        <v/>
      </c>
      <c r="M26" s="8" t="str">
        <f aca="false">IF($B26="","",SUMIFS(Données!$S$2:$S$5000,Données!$Q$2:$Q$5000,"&gt;="&amp;$B26,Données!$Q$2:$Q$5000,"&lt;="&amp;$C26,Données!$B$2:$B$5000,$B$3))</f>
        <v/>
      </c>
      <c r="N26" s="7" t="str">
        <f aca="false">IF($B26="","",IFERROR(M26/J26,0))</f>
        <v/>
      </c>
      <c r="O26" s="8" t="str">
        <f aca="false">IF($B26="","",SUMIFS(Données!$X$2:$X$5000,Données!$Q$2:$Q$5000,"&gt;="&amp;$B26,Données!$Q$2:$Q$5000,"&lt;="&amp;$C26,Données!$B$2:$B$5000,$B$3))</f>
        <v/>
      </c>
    </row>
    <row r="27" customFormat="false" ht="15" hidden="false" customHeight="false" outlineLevel="0" collapsed="false">
      <c r="A27" s="6" t="str">
        <f aca="false">IF(B27="","",CHOOSE(MONTH(B27),"Janvier","Février","Mars","Avril","Mai","Juin","Juillet","Août","Septembre","Octobre","Novembre","Décembre")&amp;" "&amp;YEAR(B27))</f>
        <v/>
      </c>
      <c r="B27" s="17" t="str">
        <f aca="false">IF(B26="","",IF(EDATE(B26,1)&gt;MAX(Données!$Q$2:$Q$5000),"",EDATE(B26,1)))</f>
        <v/>
      </c>
      <c r="C27" s="17" t="str">
        <f aca="false">IF(B27="","",EDATE(B27,1)-1)</f>
        <v/>
      </c>
      <c r="D27" s="6" t="str">
        <f aca="false">IF($B27="","",COUNTIFS(Données!$Q$2:$Q$5000,"&gt;="&amp;$B27,Données!$Q$2:$Q$5000,"&lt;="&amp;$C27,Données!$B$2:$B$5000,$B$3,Données!$O$2:$O$5000,"&gt;0"))</f>
        <v/>
      </c>
      <c r="E27" s="6" t="str">
        <f aca="false">IF($B27="","",COUNTIFS(Données!$Q$2:$Q$5000,"&gt;="&amp;$B27,Données!$Q$2:$Q$5000,"&lt;="&amp;$C27,Données!$B$2:$B$5000,$B$3,Données!$M$2:$M$5000,"Abs"))</f>
        <v/>
      </c>
      <c r="F27" s="7" t="str">
        <f aca="false">IF($B27="","",IFERROR(E27/D27,0))</f>
        <v/>
      </c>
      <c r="G27" s="6" t="str">
        <f aca="false">IF($B27="","",COUNTIFS(Données!$Q$2:$Q$5000,"&gt;="&amp;$B27,Données!$Q$2:$Q$5000,"&lt;="&amp;$C27,Données!$B$2:$B$5000,$B$3,Données!$I$2:$I$5000,"&gt;0"))</f>
        <v/>
      </c>
      <c r="H27" s="8" t="str">
        <f aca="false">IF($B27="","",SUMIFS(Données!$I$2:$I$5000,Données!$Q$2:$Q$5000,"&gt;="&amp;$B27,Données!$Q$2:$Q$5000,"&lt;="&amp;$C27,Données!$B$2:$B$5000,$B$3))</f>
        <v/>
      </c>
      <c r="I27" s="8" t="str">
        <f aca="false">IF($B27="","",SUMIFS(Données!$L$2:$L$5000,Données!$Q$2:$Q$5000,"&gt;="&amp;$B27,Données!$Q$2:$Q$5000,"&lt;="&amp;$C27,Données!$B$2:$B$5000,$B$3))</f>
        <v/>
      </c>
      <c r="J27" s="8" t="str">
        <f aca="false">IF($B27="","",SUMIFS(Données!$O$2:$O$5000,Données!$Q$2:$Q$5000,"&gt;="&amp;$B27,Données!$Q$2:$Q$5000,"&lt;="&amp;$C27,Données!$B$2:$B$5000,$B$3))</f>
        <v/>
      </c>
      <c r="K27" s="8" t="str">
        <f aca="false">IF($B27="","",SUMIFS(Données!$N$2:$N$5000,Données!$Q$2:$Q$5000,"&gt;="&amp;$B27,Données!$Q$2:$Q$5000,"&lt;="&amp;$C27,Données!$B$2:$B$5000,$B$3))</f>
        <v/>
      </c>
      <c r="L27" s="7" t="str">
        <f aca="false">IF($B27="","",IFERROR(K27/J27,0))</f>
        <v/>
      </c>
      <c r="M27" s="8" t="str">
        <f aca="false">IF($B27="","",SUMIFS(Données!$S$2:$S$5000,Données!$Q$2:$Q$5000,"&gt;="&amp;$B27,Données!$Q$2:$Q$5000,"&lt;="&amp;$C27,Données!$B$2:$B$5000,$B$3))</f>
        <v/>
      </c>
      <c r="N27" s="7" t="str">
        <f aca="false">IF($B27="","",IFERROR(M27/J27,0))</f>
        <v/>
      </c>
      <c r="O27" s="8" t="str">
        <f aca="false">IF($B27="","",SUMIFS(Données!$X$2:$X$5000,Données!$Q$2:$Q$5000,"&gt;="&amp;$B27,Données!$Q$2:$Q$5000,"&lt;="&amp;$C27,Données!$B$2:$B$5000,$B$3))</f>
        <v/>
      </c>
    </row>
    <row r="28" customFormat="false" ht="15" hidden="false" customHeight="false" outlineLevel="0" collapsed="false">
      <c r="A28" s="6" t="str">
        <f aca="false">IF(B28="","",CHOOSE(MONTH(B28),"Janvier","Février","Mars","Avril","Mai","Juin","Juillet","Août","Septembre","Octobre","Novembre","Décembre")&amp;" "&amp;YEAR(B28))</f>
        <v/>
      </c>
      <c r="B28" s="17" t="str">
        <f aca="false">IF(B27="","",IF(EDATE(B27,1)&gt;MAX(Données!$Q$2:$Q$5000),"",EDATE(B27,1)))</f>
        <v/>
      </c>
      <c r="C28" s="17" t="str">
        <f aca="false">IF(B28="","",EDATE(B28,1)-1)</f>
        <v/>
      </c>
      <c r="D28" s="6" t="str">
        <f aca="false">IF($B28="","",COUNTIFS(Données!$Q$2:$Q$5000,"&gt;="&amp;$B28,Données!$Q$2:$Q$5000,"&lt;="&amp;$C28,Données!$B$2:$B$5000,$B$3,Données!$O$2:$O$5000,"&gt;0"))</f>
        <v/>
      </c>
      <c r="E28" s="6" t="str">
        <f aca="false">IF($B28="","",COUNTIFS(Données!$Q$2:$Q$5000,"&gt;="&amp;$B28,Données!$Q$2:$Q$5000,"&lt;="&amp;$C28,Données!$B$2:$B$5000,$B$3,Données!$M$2:$M$5000,"Abs"))</f>
        <v/>
      </c>
      <c r="F28" s="7" t="str">
        <f aca="false">IF($B28="","",IFERROR(E28/D28,0))</f>
        <v/>
      </c>
      <c r="G28" s="6" t="str">
        <f aca="false">IF($B28="","",COUNTIFS(Données!$Q$2:$Q$5000,"&gt;="&amp;$B28,Données!$Q$2:$Q$5000,"&lt;="&amp;$C28,Données!$B$2:$B$5000,$B$3,Données!$I$2:$I$5000,"&gt;0"))</f>
        <v/>
      </c>
      <c r="H28" s="8" t="str">
        <f aca="false">IF($B28="","",SUMIFS(Données!$I$2:$I$5000,Données!$Q$2:$Q$5000,"&gt;="&amp;$B28,Données!$Q$2:$Q$5000,"&lt;="&amp;$C28,Données!$B$2:$B$5000,$B$3))</f>
        <v/>
      </c>
      <c r="I28" s="8" t="str">
        <f aca="false">IF($B28="","",SUMIFS(Données!$L$2:$L$5000,Données!$Q$2:$Q$5000,"&gt;="&amp;$B28,Données!$Q$2:$Q$5000,"&lt;="&amp;$C28,Données!$B$2:$B$5000,$B$3))</f>
        <v/>
      </c>
      <c r="J28" s="8" t="str">
        <f aca="false">IF($B28="","",SUMIFS(Données!$O$2:$O$5000,Données!$Q$2:$Q$5000,"&gt;="&amp;$B28,Données!$Q$2:$Q$5000,"&lt;="&amp;$C28,Données!$B$2:$B$5000,$B$3))</f>
        <v/>
      </c>
      <c r="K28" s="8" t="str">
        <f aca="false">IF($B28="","",SUMIFS(Données!$N$2:$N$5000,Données!$Q$2:$Q$5000,"&gt;="&amp;$B28,Données!$Q$2:$Q$5000,"&lt;="&amp;$C28,Données!$B$2:$B$5000,$B$3))</f>
        <v/>
      </c>
      <c r="L28" s="7" t="str">
        <f aca="false">IF($B28="","",IFERROR(K28/J28,0))</f>
        <v/>
      </c>
      <c r="M28" s="8" t="str">
        <f aca="false">IF($B28="","",SUMIFS(Données!$S$2:$S$5000,Données!$Q$2:$Q$5000,"&gt;="&amp;$B28,Données!$Q$2:$Q$5000,"&lt;="&amp;$C28,Données!$B$2:$B$5000,$B$3))</f>
        <v/>
      </c>
      <c r="N28" s="7" t="str">
        <f aca="false">IF($B28="","",IFERROR(M28/J28,0))</f>
        <v/>
      </c>
      <c r="O28" s="8" t="str">
        <f aca="false">IF($B28="","",SUMIFS(Données!$X$2:$X$5000,Données!$Q$2:$Q$5000,"&gt;="&amp;$B28,Données!$Q$2:$Q$5000,"&lt;="&amp;$C28,Données!$B$2:$B$5000,$B$3))</f>
        <v/>
      </c>
    </row>
    <row r="29" customFormat="false" ht="15" hidden="false" customHeight="false" outlineLevel="0" collapsed="false">
      <c r="A29" s="6" t="str">
        <f aca="false">IF(B29="","",CHOOSE(MONTH(B29),"Janvier","Février","Mars","Avril","Mai","Juin","Juillet","Août","Septembre","Octobre","Novembre","Décembre")&amp;" "&amp;YEAR(B29))</f>
        <v/>
      </c>
      <c r="B29" s="17" t="str">
        <f aca="false">IF(B28="","",IF(EDATE(B28,1)&gt;MAX(Données!$Q$2:$Q$5000),"",EDATE(B28,1)))</f>
        <v/>
      </c>
      <c r="C29" s="17" t="str">
        <f aca="false">IF(B29="","",EDATE(B29,1)-1)</f>
        <v/>
      </c>
      <c r="D29" s="6" t="str">
        <f aca="false">IF($B29="","",COUNTIFS(Données!$Q$2:$Q$5000,"&gt;="&amp;$B29,Données!$Q$2:$Q$5000,"&lt;="&amp;$C29,Données!$B$2:$B$5000,$B$3,Données!$O$2:$O$5000,"&gt;0"))</f>
        <v/>
      </c>
      <c r="E29" s="6" t="str">
        <f aca="false">IF($B29="","",COUNTIFS(Données!$Q$2:$Q$5000,"&gt;="&amp;$B29,Données!$Q$2:$Q$5000,"&lt;="&amp;$C29,Données!$B$2:$B$5000,$B$3,Données!$M$2:$M$5000,"Abs"))</f>
        <v/>
      </c>
      <c r="F29" s="7" t="str">
        <f aca="false">IF($B29="","",IFERROR(E29/D29,0))</f>
        <v/>
      </c>
      <c r="G29" s="6" t="str">
        <f aca="false">IF($B29="","",COUNTIFS(Données!$Q$2:$Q$5000,"&gt;="&amp;$B29,Données!$Q$2:$Q$5000,"&lt;="&amp;$C29,Données!$B$2:$B$5000,$B$3,Données!$I$2:$I$5000,"&gt;0"))</f>
        <v/>
      </c>
      <c r="H29" s="8" t="str">
        <f aca="false">IF($B29="","",SUMIFS(Données!$I$2:$I$5000,Données!$Q$2:$Q$5000,"&gt;="&amp;$B29,Données!$Q$2:$Q$5000,"&lt;="&amp;$C29,Données!$B$2:$B$5000,$B$3))</f>
        <v/>
      </c>
      <c r="I29" s="8" t="str">
        <f aca="false">IF($B29="","",SUMIFS(Données!$L$2:$L$5000,Données!$Q$2:$Q$5000,"&gt;="&amp;$B29,Données!$Q$2:$Q$5000,"&lt;="&amp;$C29,Données!$B$2:$B$5000,$B$3))</f>
        <v/>
      </c>
      <c r="J29" s="8" t="str">
        <f aca="false">IF($B29="","",SUMIFS(Données!$O$2:$O$5000,Données!$Q$2:$Q$5000,"&gt;="&amp;$B29,Données!$Q$2:$Q$5000,"&lt;="&amp;$C29,Données!$B$2:$B$5000,$B$3))</f>
        <v/>
      </c>
      <c r="K29" s="8" t="str">
        <f aca="false">IF($B29="","",SUMIFS(Données!$N$2:$N$5000,Données!$Q$2:$Q$5000,"&gt;="&amp;$B29,Données!$Q$2:$Q$5000,"&lt;="&amp;$C29,Données!$B$2:$B$5000,$B$3))</f>
        <v/>
      </c>
      <c r="L29" s="7" t="str">
        <f aca="false">IF($B29="","",IFERROR(K29/J29,0))</f>
        <v/>
      </c>
      <c r="M29" s="8" t="str">
        <f aca="false">IF($B29="","",SUMIFS(Données!$S$2:$S$5000,Données!$Q$2:$Q$5000,"&gt;="&amp;$B29,Données!$Q$2:$Q$5000,"&lt;="&amp;$C29,Données!$B$2:$B$5000,$B$3))</f>
        <v/>
      </c>
      <c r="N29" s="7" t="str">
        <f aca="false">IF($B29="","",IFERROR(M29/J29,0))</f>
        <v/>
      </c>
      <c r="O29" s="8" t="str">
        <f aca="false">IF($B29="","",SUMIFS(Données!$X$2:$X$5000,Données!$Q$2:$Q$5000,"&gt;="&amp;$B29,Données!$Q$2:$Q$5000,"&lt;="&amp;$C29,Données!$B$2:$B$5000,$B$3))</f>
        <v/>
      </c>
    </row>
  </sheetData>
  <dataValidations count="1">
    <dataValidation allowBlank="false" errorStyle="stop" operator="between" showDropDown="false" showErrorMessage="false" showInputMessage="false" sqref="B2" type="list">
      <formula1>"Tous,BENCHRIF HAFSSA,HAMDANI MOHAMED,JEBBALI YOUSSEF,LISSAOUI HIBA,RMAIDI IMAD"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6" min="3" style="0" width="11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3" min="13" style="0" width="9"/>
    <col collapsed="false" customWidth="true" hidden="false" outlineLevel="0" max="15" min="14" style="0" width="11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9" min="18" style="0" width="11"/>
    <col collapsed="false" customWidth="true" hidden="false" outlineLevel="0" max="20" min="20" style="0" width="10"/>
    <col collapsed="false" customWidth="true" hidden="false" outlineLevel="0" max="21" min="21" style="0" width="11"/>
    <col collapsed="false" customWidth="true" hidden="false" outlineLevel="0" max="23" min="22" style="0" width="8"/>
    <col collapsed="false" customWidth="true" hidden="false" outlineLevel="0" max="24" min="24" style="0" width="10"/>
    <col collapsed="false" customWidth="true" hidden="false" outlineLevel="0" max="25" min="25" style="0" width="20"/>
    <col collapsed="false" customWidth="true" hidden="false" outlineLevel="0" max="26" min="26" style="0" width="15"/>
    <col collapsed="false" customWidth="true" hidden="false" outlineLevel="0" max="27" min="27" style="0" width="16"/>
    <col collapsed="false" customWidth="true" hidden="false" outlineLevel="0" max="31" min="28" style="0" width="11"/>
    <col collapsed="false" customWidth="true" hidden="false" outlineLevel="0" max="32" min="32" style="0" width="20"/>
    <col collapsed="false" customWidth="true" hidden="false" outlineLevel="0" max="33" min="33" style="0" width="18"/>
  </cols>
  <sheetData>
    <row r="1" customFormat="false" ht="45" hidden="false" customHeight="true" outlineLevel="0" collapsed="false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  <c r="O1" s="5" t="s">
        <v>52</v>
      </c>
      <c r="P1" s="5" t="s">
        <v>53</v>
      </c>
      <c r="Q1" s="5" t="s">
        <v>54</v>
      </c>
      <c r="R1" s="5" t="s">
        <v>55</v>
      </c>
      <c r="S1" s="5" t="s">
        <v>56</v>
      </c>
      <c r="T1" s="5" t="s">
        <v>33</v>
      </c>
      <c r="U1" s="5" t="s">
        <v>37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</row>
    <row r="2" customFormat="false" ht="15" hidden="false" customHeight="false" outlineLevel="0" collapsed="false">
      <c r="A2" s="6" t="str">
        <f aca="false">YEAR(Q2-WEEKDAY(Q2,2)+4)&amp;"-S"&amp;TEXT(WEEKNUM(Q2,21),"00")</f>
        <v>2025-S47</v>
      </c>
      <c r="B2" s="18" t="s">
        <v>69</v>
      </c>
      <c r="C2" s="19" t="n">
        <v>0.333333333333333</v>
      </c>
      <c r="D2" s="19" t="n">
        <v>0.333333333333333</v>
      </c>
      <c r="E2" s="19" t="n">
        <v>0.75</v>
      </c>
      <c r="F2" s="19" t="n">
        <v>0.75</v>
      </c>
      <c r="G2" s="20"/>
      <c r="H2" s="20"/>
      <c r="I2" s="8" t="str">
        <f aca="false">IF(IF(OR(C2="",D2="Congé",D2="OFF",D2="Congé spécial"),"",IF(D2&gt;F2,D2-C2,IF(C2-D2&lt;0,0,C2-D2)))&lt;0.00068287037037037,"",IF(OR(D2="Congé",D2="OFF",C2="",D2="Congé spécial"),"",IF(D2&gt;F2,D2-C2,IF(C2-D2&lt;0,0,C2-D2))))</f>
        <v/>
      </c>
      <c r="J2" s="20"/>
      <c r="K2" s="8" t="n">
        <f aca="false">IF(SUM(H2:J2)&lt;0.00068287037037037,0,SUM(H2:J2))</f>
        <v>0</v>
      </c>
      <c r="L2" s="8" t="n">
        <f aca="false">IF(OR(F2="Congé",F2="OFF",M2="Abs",F2="Congé sans solde",F2="Férié",F2="Congé spécial",D2="Congé spécial"),0,IF(F2-E2&lt;0,0,IF(F2-E2&lt;=0.00068287037037037,0,F2-E2)))</f>
        <v>0</v>
      </c>
      <c r="M2" s="6" t="n">
        <f aca="false">IF(AND(O2&lt;&gt;0,C2=""),"Abs",0)</f>
        <v>0</v>
      </c>
      <c r="N2" s="8" t="n">
        <f aca="false">IFERROR(IF(OR(D2="OFF",D2="Congé",M2="Abs",D2="Congé sans solde",D2="Férié"),"",IF(O2-K2-L2&gt;O2,O2,IF(O2-K2-L2&lt;0,"",O2-K2-L2))),"")</f>
        <v>0.375</v>
      </c>
      <c r="O2" s="8" t="n">
        <f aca="false">IF(AG2="2H Pause déjeuner",IF(F2-D2-0.0833333333333333&lt;0,F2-D2-0.0833333333333333+1,F2-D2-0.0833333333333333),IF(OR(AND(F2="OFF",D2="OFF"),AND(F2="Congé",D2="Congé"),AND(F2="Congé sans solde",D2="Congé sans solde"),AND(F2="Congé spécial",D2="Congé spécial"),AND(F2="Férié",D2="Férié"),AND(F2="OFF",D2="Congé"),AND(F2="OFF",D2="Congé sans solde"),AND(F2="OFF",D2="Congé spécial"),AND(F2="OFF",D2="Férié"),AND(F2="Congé",D2="OFF"),AND(F2="Congé",D2="Congé sans solde"),AND(F2="Congé",D2="Congé spécial"),AND(F2="Congé",D2="Férié"),AND(F2="Congé sans solde",D2="OFF"),AND(F2="Congé sans solde",D2="Congé"),AND(F2="Congé sans solde",D2="Congé spécial"),AND(F2="Congé sans solde",D2="Férié"),AND(F2="Congé spécial",D2="OFF"),AND(F2="Congé spécial",D2="Congé"),AND(F2="Congé spécial",D2="Congé sans solde"),AND(F2="Congé spécial",D2="Férié"),AND(F2="Férié",D2="OFF"),AND(F2="Férié",D2="Congé"),AND(F2="Férié",D2="Congé sans solde"),AND(F2="Férié",D2="Congé spécial")),0,IF(OR(F2="OFF",F2="Congé",F2="Congé spécial",F2="Congé sans solde",D2="OFF",D2="Congé",D2="Congé spécial",D2="Congé sans solde"),0.208333333333334,IF(AND(AG2="",F2-D2&lt;0),("24:00:00"-D2)+("00:00:00"+F2)-0.0416666666666667,IF(AND(OR(AG2="Allaitement",AG2="Sans déjeuner"),F2-D2&lt;0),("24:00:00"-D2)+("00:00:00"+F2),IF(AND(AG2="",F2-D2&gt;0.166666666666667),F2-D2-0.0416666666666667,IF(AND(OR(AG2="Allaitement",AG2="Sans déjeuner"),F2-D2&gt;0.166666666666667),F2-D2,F2-D2)))))))</f>
        <v>0.375</v>
      </c>
      <c r="P2" s="6" t="str">
        <f aca="false">IFERROR(VLOOKUP($B2,Agents!$A:$D,2,0),"-")</f>
        <v>Accessibilité</v>
      </c>
      <c r="Q2" s="21" t="n">
        <v>45982</v>
      </c>
      <c r="R2" s="8" t="n">
        <f aca="false">IF(M2="Abs",O2,0)</f>
        <v>0</v>
      </c>
      <c r="S2" s="8" t="n">
        <f aca="false">SUM(R2,L2,I2,J2,W2,H2)</f>
        <v>0</v>
      </c>
      <c r="T2" s="6" t="str">
        <f aca="false">"Sem - "&amp;WEEKNUM(Q2,21)</f>
        <v>Sem - 47</v>
      </c>
      <c r="U2" s="6" t="str">
        <f aca="false">CHOOSE(MONTH(Q2),"Janvier","Février","Mars","Avril","Mai","Juin","Juillet","Août","Septembre","Octobre","Novembre","Décembre")</f>
        <v>Novembre</v>
      </c>
      <c r="V2" s="22" t="n">
        <f aca="false">YEAR(Q2)</f>
        <v>2025</v>
      </c>
      <c r="W2" s="20"/>
      <c r="X2" s="8" t="n">
        <f aca="false">IFERROR(IF(M2="Abs",0,IF(ROUND((D2-C2+E2-F2)*1440,0)&lt;=1,0,D2-C2+E2-F2)),0)</f>
        <v>0</v>
      </c>
      <c r="Y2" s="6" t="str">
        <f aca="false">IFERROR(VLOOKUP($B2,Agents!$A:$D,3,0),"-")</f>
        <v>OUBRAHIM Mohammed</v>
      </c>
      <c r="Z2" s="6" t="str">
        <f aca="false">IFERROR(VLOOKUP($B2,Agents!$A:$D,4,0),"-")</f>
        <v>Credit Mutuel</v>
      </c>
      <c r="AA2" s="18" t="s">
        <v>70</v>
      </c>
      <c r="AB2" s="8" t="str">
        <f aca="false">IF(AND(D2="Congé",F2="Congé"),0.333333333333333,IF(OR(AND(D2="Congé",F2&lt;&gt;"Congé"),(AND(F2="Congé",D2&lt;&gt;"Congé"))),0.166666666666667,""))</f>
        <v/>
      </c>
      <c r="AC2" s="8" t="str">
        <f aca="false">IF(AND(D2="Congé sans solde",F2="Congé sans solde"),0.333333333333333,IF(OR(AND(D2="Congé sans solde",F2&lt;&gt;"Congé sans solde"),(AND(F2="Congé sans solde",D2&lt;&gt;"Congé sans solde"))),0.166666666666667,""))</f>
        <v/>
      </c>
      <c r="AD2" s="8" t="str">
        <f aca="false">IF(AND(D2="Congé spécial",F2="Congé spécial"),0.333333333333333,IF(OR(AND(D2="Congé spécial",F2&lt;&gt;"Congé spécial"),AND(F2="Congé spécial",D2&lt;&gt;"Congé spécial")),0.166666666666667,""))</f>
        <v/>
      </c>
      <c r="AE2" s="8" t="str">
        <f aca="false">IF(AND(D2="Férié",F2="Férié"),0.333333333333333,IF(OR(AND(D2="Férié",F2&lt;&gt;"Férié"),(AND(F2="Férié",D2&lt;&gt;"Férié"))),0.166666666666667,""))</f>
        <v/>
      </c>
      <c r="AF2" s="18"/>
      <c r="AG2" s="18"/>
    </row>
    <row r="3" customFormat="false" ht="15" hidden="false" customHeight="false" outlineLevel="0" collapsed="false">
      <c r="A3" s="6" t="str">
        <f aca="false">YEAR(Q3-WEEKDAY(Q3,2)+4)&amp;"-S"&amp;TEXT(WEEKNUM(Q3,21),"00")</f>
        <v>2025-S47</v>
      </c>
      <c r="B3" s="18" t="s">
        <v>71</v>
      </c>
      <c r="C3" s="19" t="n">
        <v>0.333333333333333</v>
      </c>
      <c r="D3" s="19" t="n">
        <v>0.333333333333333</v>
      </c>
      <c r="E3" s="19" t="n">
        <v>0.75</v>
      </c>
      <c r="F3" s="19" t="n">
        <v>0.75</v>
      </c>
      <c r="G3" s="20"/>
      <c r="H3" s="20"/>
      <c r="I3" s="8" t="str">
        <f aca="false">IF(IF(OR(C3="",D3="Congé",D3="OFF",D3="Congé spécial"),"",IF(D3&gt;F3,D3-C3,IF(C3-D3&lt;0,0,C3-D3)))&lt;0.00068287037037037,"",IF(OR(D3="Congé",D3="OFF",C3="",D3="Congé spécial"),"",IF(D3&gt;F3,D3-C3,IF(C3-D3&lt;0,0,C3-D3))))</f>
        <v/>
      </c>
      <c r="J3" s="20"/>
      <c r="K3" s="8" t="n">
        <f aca="false">IF(SUM(H3:J3)&lt;0.00068287037037037,0,SUM(H3:J3))</f>
        <v>0</v>
      </c>
      <c r="L3" s="8" t="n">
        <f aca="false">IF(OR(F3="Congé",F3="OFF",M3="Abs",F3="Congé sans solde",F3="Férié",F3="Congé spécial",D3="Congé spécial"),0,IF(F3-E3&lt;0,0,IF(F3-E3&lt;=0.00068287037037037,0,F3-E3)))</f>
        <v>0</v>
      </c>
      <c r="M3" s="6" t="n">
        <f aca="false">IF(AND(O3&lt;&gt;0,C3=""),"Abs",0)</f>
        <v>0</v>
      </c>
      <c r="N3" s="8" t="n">
        <f aca="false">IFERROR(IF(OR(D3="OFF",D3="Congé",M3="Abs",D3="Congé sans solde",D3="Férié"),"",IF(O3-K3-L3&gt;O3,O3,IF(O3-K3-L3&lt;0,"",O3-K3-L3))),"")</f>
        <v>0.375</v>
      </c>
      <c r="O3" s="8" t="n">
        <f aca="false">IF(AG3="2H Pause déjeuner",IF(F3-D3-0.0833333333333333&lt;0,F3-D3-0.0833333333333333+1,F3-D3-0.0833333333333333),IF(OR(AND(F3="OFF",D3="OFF"),AND(F3="Congé",D3="Congé"),AND(F3="Congé sans solde",D3="Congé sans solde"),AND(F3="Congé spécial",D3="Congé spécial"),AND(F3="Férié",D3="Férié"),AND(F3="OFF",D3="Congé"),AND(F3="OFF",D3="Congé sans solde"),AND(F3="OFF",D3="Congé spécial"),AND(F3="OFF",D3="Férié"),AND(F3="Congé",D3="OFF"),AND(F3="Congé",D3="Congé sans solde"),AND(F3="Congé",D3="Congé spécial"),AND(F3="Congé",D3="Férié"),AND(F3="Congé sans solde",D3="OFF"),AND(F3="Congé sans solde",D3="Congé"),AND(F3="Congé sans solde",D3="Congé spécial"),AND(F3="Congé sans solde",D3="Férié"),AND(F3="Congé spécial",D3="OFF"),AND(F3="Congé spécial",D3="Congé"),AND(F3="Congé spécial",D3="Congé sans solde"),AND(F3="Congé spécial",D3="Férié"),AND(F3="Férié",D3="OFF"),AND(F3="Férié",D3="Congé"),AND(F3="Férié",D3="Congé sans solde"),AND(F3="Férié",D3="Congé spécial")),0,IF(OR(F3="OFF",F3="Congé",F3="Congé spécial",F3="Congé sans solde",D3="OFF",D3="Congé",D3="Congé spécial",D3="Congé sans solde"),0.208333333333334,IF(AND(AG3="",F3-D3&lt;0),("24:00:00"-D3)+("00:00:00"+F3)-0.0416666666666667,IF(AND(OR(AG3="Allaitement",AG3="Sans déjeuner"),F3-D3&lt;0),("24:00:00"-D3)+("00:00:00"+F3),IF(AND(AG3="",F3-D3&gt;0.166666666666667),F3-D3-0.0416666666666667,IF(AND(OR(AG3="Allaitement",AG3="Sans déjeuner"),F3-D3&gt;0.166666666666667),F3-D3,F3-D3)))))))</f>
        <v>0.375</v>
      </c>
      <c r="P3" s="6" t="str">
        <f aca="false">IFERROR(VLOOKUP($B3,Agents!$A:$D,2,0),"-")</f>
        <v>Accessibilité</v>
      </c>
      <c r="Q3" s="21" t="n">
        <v>45982</v>
      </c>
      <c r="R3" s="8" t="n">
        <f aca="false">IF(M3="Abs",O3,0)</f>
        <v>0</v>
      </c>
      <c r="S3" s="8" t="n">
        <f aca="false">SUM(R3,L3,I3,J3,W3,H3)</f>
        <v>0</v>
      </c>
      <c r="T3" s="6" t="str">
        <f aca="false">"Sem - "&amp;WEEKNUM(Q3,21)</f>
        <v>Sem - 47</v>
      </c>
      <c r="U3" s="6" t="str">
        <f aca="false">CHOOSE(MONTH(Q3),"Janvier","Février","Mars","Avril","Mai","Juin","Juillet","Août","Septembre","Octobre","Novembre","Décembre")</f>
        <v>Novembre</v>
      </c>
      <c r="V3" s="22" t="n">
        <f aca="false">YEAR(Q3)</f>
        <v>2025</v>
      </c>
      <c r="W3" s="20"/>
      <c r="X3" s="8" t="n">
        <f aca="false">IFERROR(IF(M3="Abs",0,IF(ROUND((D3-C3+E3-F3)*1440,0)&lt;=1,0,D3-C3+E3-F3)),0)</f>
        <v>0</v>
      </c>
      <c r="Y3" s="6" t="str">
        <f aca="false">IFERROR(VLOOKUP($B3,Agents!$A:$D,3,0),"-")</f>
        <v>OUBRAHIM Mohammed</v>
      </c>
      <c r="Z3" s="6" t="str">
        <f aca="false">IFERROR(VLOOKUP($B3,Agents!$A:$D,4,0),"-")</f>
        <v>Credit Mutuel</v>
      </c>
      <c r="AA3" s="18" t="s">
        <v>70</v>
      </c>
      <c r="AB3" s="8" t="str">
        <f aca="false">IF(AND(D3="Congé",F3="Congé"),0.333333333333333,IF(OR(AND(D3="Congé",F3&lt;&gt;"Congé"),(AND(F3="Congé",D3&lt;&gt;"Congé"))),0.166666666666667,""))</f>
        <v/>
      </c>
      <c r="AC3" s="8" t="str">
        <f aca="false">IF(AND(D3="Congé sans solde",F3="Congé sans solde"),0.333333333333333,IF(OR(AND(D3="Congé sans solde",F3&lt;&gt;"Congé sans solde"),(AND(F3="Congé sans solde",D3&lt;&gt;"Congé sans solde"))),0.166666666666667,""))</f>
        <v/>
      </c>
      <c r="AD3" s="8" t="str">
        <f aca="false">IF(AND(D3="Congé spécial",F3="Congé spécial"),0.333333333333333,IF(OR(AND(D3="Congé spécial",F3&lt;&gt;"Congé spécial"),AND(F3="Congé spécial",D3&lt;&gt;"Congé spécial")),0.166666666666667,""))</f>
        <v/>
      </c>
      <c r="AE3" s="8" t="str">
        <f aca="false">IF(AND(D3="Férié",F3="Férié"),0.333333333333333,IF(OR(AND(D3="Férié",F3&lt;&gt;"Férié"),(AND(F3="Férié",D3&lt;&gt;"Férié"))),0.166666666666667,""))</f>
        <v/>
      </c>
      <c r="AF3" s="18"/>
      <c r="AG3" s="18"/>
    </row>
    <row r="4" customFormat="false" ht="15" hidden="false" customHeight="false" outlineLevel="0" collapsed="false">
      <c r="A4" s="6" t="str">
        <f aca="false">YEAR(Q4-WEEKDAY(Q4,2)+4)&amp;"-S"&amp;TEXT(WEEKNUM(Q4,21),"00")</f>
        <v>2025-S47</v>
      </c>
      <c r="B4" s="18" t="s">
        <v>72</v>
      </c>
      <c r="C4" s="19" t="n">
        <v>0.333333333333333</v>
      </c>
      <c r="D4" s="19" t="n">
        <v>0.333333333333333</v>
      </c>
      <c r="E4" s="19" t="n">
        <v>0.75</v>
      </c>
      <c r="F4" s="19" t="n">
        <v>0.75</v>
      </c>
      <c r="G4" s="20"/>
      <c r="H4" s="20"/>
      <c r="I4" s="8" t="str">
        <f aca="false">IF(IF(OR(C4="",D4="Congé",D4="OFF",D4="Congé spécial"),"",IF(D4&gt;F4,D4-C4,IF(C4-D4&lt;0,0,C4-D4)))&lt;0.00068287037037037,"",IF(OR(D4="Congé",D4="OFF",C4="",D4="Congé spécial"),"",IF(D4&gt;F4,D4-C4,IF(C4-D4&lt;0,0,C4-D4))))</f>
        <v/>
      </c>
      <c r="J4" s="20"/>
      <c r="K4" s="8" t="n">
        <f aca="false">IF(SUM(H4:J4)&lt;0.00068287037037037,0,SUM(H4:J4))</f>
        <v>0</v>
      </c>
      <c r="L4" s="8" t="n">
        <f aca="false">IF(OR(F4="Congé",F4="OFF",M4="Abs",F4="Congé sans solde",F4="Férié",F4="Congé spécial",D4="Congé spécial"),0,IF(F4-E4&lt;0,0,IF(F4-E4&lt;=0.00068287037037037,0,F4-E4)))</f>
        <v>0</v>
      </c>
      <c r="M4" s="6" t="n">
        <f aca="false">IF(AND(O4&lt;&gt;0,C4=""),"Abs",0)</f>
        <v>0</v>
      </c>
      <c r="N4" s="8" t="n">
        <f aca="false">IFERROR(IF(OR(D4="OFF",D4="Congé",M4="Abs",D4="Congé sans solde",D4="Férié"),"",IF(O4-K4-L4&gt;O4,O4,IF(O4-K4-L4&lt;0,"",O4-K4-L4))),"")</f>
        <v>0.375</v>
      </c>
      <c r="O4" s="8" t="n">
        <f aca="false">IF(AG4="2H Pause déjeuner",IF(F4-D4-0.0833333333333333&lt;0,F4-D4-0.0833333333333333+1,F4-D4-0.0833333333333333),IF(OR(AND(F4="OFF",D4="OFF"),AND(F4="Congé",D4="Congé"),AND(F4="Congé sans solde",D4="Congé sans solde"),AND(F4="Congé spécial",D4="Congé spécial"),AND(F4="Férié",D4="Férié"),AND(F4="OFF",D4="Congé"),AND(F4="OFF",D4="Congé sans solde"),AND(F4="OFF",D4="Congé spécial"),AND(F4="OFF",D4="Férié"),AND(F4="Congé",D4="OFF"),AND(F4="Congé",D4="Congé sans solde"),AND(F4="Congé",D4="Congé spécial"),AND(F4="Congé",D4="Férié"),AND(F4="Congé sans solde",D4="OFF"),AND(F4="Congé sans solde",D4="Congé"),AND(F4="Congé sans solde",D4="Congé spécial"),AND(F4="Congé sans solde",D4="Férié"),AND(F4="Congé spécial",D4="OFF"),AND(F4="Congé spécial",D4="Congé"),AND(F4="Congé spécial",D4="Congé sans solde"),AND(F4="Congé spécial",D4="Férié"),AND(F4="Férié",D4="OFF"),AND(F4="Férié",D4="Congé"),AND(F4="Férié",D4="Congé sans solde"),AND(F4="Férié",D4="Congé spécial")),0,IF(OR(F4="OFF",F4="Congé",F4="Congé spécial",F4="Congé sans solde",D4="OFF",D4="Congé",D4="Congé spécial",D4="Congé sans solde"),0.208333333333334,IF(AND(AG4="",F4-D4&lt;0),("24:00:00"-D4)+("00:00:00"+F4)-0.0416666666666667,IF(AND(OR(AG4="Allaitement",AG4="Sans déjeuner"),F4-D4&lt;0),("24:00:00"-D4)+("00:00:00"+F4),IF(AND(AG4="",F4-D4&gt;0.166666666666667),F4-D4-0.0416666666666667,IF(AND(OR(AG4="Allaitement",AG4="Sans déjeuner"),F4-D4&gt;0.166666666666667),F4-D4,F4-D4)))))))</f>
        <v>0.375</v>
      </c>
      <c r="P4" s="6" t="str">
        <f aca="false">IFERROR(VLOOKUP($B4,Agents!$A:$D,2,0),"-")</f>
        <v>Accessibilité</v>
      </c>
      <c r="Q4" s="21" t="n">
        <v>45982</v>
      </c>
      <c r="R4" s="8" t="n">
        <f aca="false">IF(M4="Abs",O4,0)</f>
        <v>0</v>
      </c>
      <c r="S4" s="8" t="n">
        <f aca="false">SUM(R4,L4,I4,J4,W4,H4)</f>
        <v>0</v>
      </c>
      <c r="T4" s="6" t="str">
        <f aca="false">"Sem - "&amp;WEEKNUM(Q4,21)</f>
        <v>Sem - 47</v>
      </c>
      <c r="U4" s="6" t="str">
        <f aca="false">CHOOSE(MONTH(Q4),"Janvier","Février","Mars","Avril","Mai","Juin","Juillet","Août","Septembre","Octobre","Novembre","Décembre")</f>
        <v>Novembre</v>
      </c>
      <c r="V4" s="22" t="n">
        <f aca="false">YEAR(Q4)</f>
        <v>2025</v>
      </c>
      <c r="W4" s="20"/>
      <c r="X4" s="8" t="n">
        <f aca="false">IFERROR(IF(M4="Abs",0,IF(ROUND((D4-C4+E4-F4)*1440,0)&lt;=1,0,D4-C4+E4-F4)),0)</f>
        <v>0</v>
      </c>
      <c r="Y4" s="6" t="str">
        <f aca="false">IFERROR(VLOOKUP($B4,Agents!$A:$D,3,0),"-")</f>
        <v>OUBRAHIM Mohammed</v>
      </c>
      <c r="Z4" s="6" t="str">
        <f aca="false">IFERROR(VLOOKUP($B4,Agents!$A:$D,4,0),"-")</f>
        <v>Credit Mutuel</v>
      </c>
      <c r="AA4" s="18" t="s">
        <v>70</v>
      </c>
      <c r="AB4" s="8" t="str">
        <f aca="false">IF(AND(D4="Congé",F4="Congé"),0.333333333333333,IF(OR(AND(D4="Congé",F4&lt;&gt;"Congé"),(AND(F4="Congé",D4&lt;&gt;"Congé"))),0.166666666666667,""))</f>
        <v/>
      </c>
      <c r="AC4" s="8" t="str">
        <f aca="false">IF(AND(D4="Congé sans solde",F4="Congé sans solde"),0.333333333333333,IF(OR(AND(D4="Congé sans solde",F4&lt;&gt;"Congé sans solde"),(AND(F4="Congé sans solde",D4&lt;&gt;"Congé sans solde"))),0.166666666666667,""))</f>
        <v/>
      </c>
      <c r="AD4" s="8" t="str">
        <f aca="false">IF(AND(D4="Congé spécial",F4="Congé spécial"),0.333333333333333,IF(OR(AND(D4="Congé spécial",F4&lt;&gt;"Congé spécial"),AND(F4="Congé spécial",D4&lt;&gt;"Congé spécial")),0.166666666666667,""))</f>
        <v/>
      </c>
      <c r="AE4" s="8" t="str">
        <f aca="false">IF(AND(D4="Férié",F4="Férié"),0.333333333333333,IF(OR(AND(D4="Férié",F4&lt;&gt;"Férié"),(AND(F4="Férié",D4&lt;&gt;"Férié"))),0.166666666666667,""))</f>
        <v/>
      </c>
      <c r="AF4" s="18"/>
      <c r="AG4" s="18"/>
    </row>
    <row r="5" customFormat="false" ht="15" hidden="false" customHeight="false" outlineLevel="0" collapsed="false">
      <c r="A5" s="6" t="str">
        <f aca="false">YEAR(Q5-WEEKDAY(Q5,2)+4)&amp;"-S"&amp;TEXT(WEEKNUM(Q5,21),"00")</f>
        <v>2025-S47</v>
      </c>
      <c r="B5" s="18" t="s">
        <v>73</v>
      </c>
      <c r="C5" s="19" t="n">
        <v>0.333333333333333</v>
      </c>
      <c r="D5" s="19" t="n">
        <v>0.333333333333333</v>
      </c>
      <c r="E5" s="19" t="n">
        <v>0.75</v>
      </c>
      <c r="F5" s="19" t="n">
        <v>0.75</v>
      </c>
      <c r="G5" s="20"/>
      <c r="H5" s="20"/>
      <c r="I5" s="8" t="str">
        <f aca="false">IF(IF(OR(C5="",D5="Congé",D5="OFF",D5="Congé spécial"),"",IF(D5&gt;F5,D5-C5,IF(C5-D5&lt;0,0,C5-D5)))&lt;0.00068287037037037,"",IF(OR(D5="Congé",D5="OFF",C5="",D5="Congé spécial"),"",IF(D5&gt;F5,D5-C5,IF(C5-D5&lt;0,0,C5-D5))))</f>
        <v/>
      </c>
      <c r="J5" s="20"/>
      <c r="K5" s="8" t="n">
        <f aca="false">IF(SUM(H5:J5)&lt;0.00068287037037037,0,SUM(H5:J5))</f>
        <v>0</v>
      </c>
      <c r="L5" s="8" t="n">
        <f aca="false">IF(OR(F5="Congé",F5="OFF",M5="Abs",F5="Congé sans solde",F5="Férié",F5="Congé spécial",D5="Congé spécial"),0,IF(F5-E5&lt;0,0,IF(F5-E5&lt;=0.00068287037037037,0,F5-E5)))</f>
        <v>0</v>
      </c>
      <c r="M5" s="6" t="n">
        <f aca="false">IF(AND(O5&lt;&gt;0,C5=""),"Abs",0)</f>
        <v>0</v>
      </c>
      <c r="N5" s="8" t="n">
        <f aca="false">IFERROR(IF(OR(D5="OFF",D5="Congé",M5="Abs",D5="Congé sans solde",D5="Férié"),"",IF(O5-K5-L5&gt;O5,O5,IF(O5-K5-L5&lt;0,"",O5-K5-L5))),"")</f>
        <v>0.375</v>
      </c>
      <c r="O5" s="8" t="n">
        <f aca="false">IF(AG5="2H Pause déjeuner",IF(F5-D5-0.0833333333333333&lt;0,F5-D5-0.0833333333333333+1,F5-D5-0.0833333333333333),IF(OR(AND(F5="OFF",D5="OFF"),AND(F5="Congé",D5="Congé"),AND(F5="Congé sans solde",D5="Congé sans solde"),AND(F5="Congé spécial",D5="Congé spécial"),AND(F5="Férié",D5="Férié"),AND(F5="OFF",D5="Congé"),AND(F5="OFF",D5="Congé sans solde"),AND(F5="OFF",D5="Congé spécial"),AND(F5="OFF",D5="Férié"),AND(F5="Congé",D5="OFF"),AND(F5="Congé",D5="Congé sans solde"),AND(F5="Congé",D5="Congé spécial"),AND(F5="Congé",D5="Férié"),AND(F5="Congé sans solde",D5="OFF"),AND(F5="Congé sans solde",D5="Congé"),AND(F5="Congé sans solde",D5="Congé spécial"),AND(F5="Congé sans solde",D5="Férié"),AND(F5="Congé spécial",D5="OFF"),AND(F5="Congé spécial",D5="Congé"),AND(F5="Congé spécial",D5="Congé sans solde"),AND(F5="Congé spécial",D5="Férié"),AND(F5="Férié",D5="OFF"),AND(F5="Férié",D5="Congé"),AND(F5="Férié",D5="Congé sans solde"),AND(F5="Férié",D5="Congé spécial")),0,IF(OR(F5="OFF",F5="Congé",F5="Congé spécial",F5="Congé sans solde",D5="OFF",D5="Congé",D5="Congé spécial",D5="Congé sans solde"),0.208333333333334,IF(AND(AG5="",F5-D5&lt;0),("24:00:00"-D5)+("00:00:00"+F5)-0.0416666666666667,IF(AND(OR(AG5="Allaitement",AG5="Sans déjeuner"),F5-D5&lt;0),("24:00:00"-D5)+("00:00:00"+F5),IF(AND(AG5="",F5-D5&gt;0.166666666666667),F5-D5-0.0416666666666667,IF(AND(OR(AG5="Allaitement",AG5="Sans déjeuner"),F5-D5&gt;0.166666666666667),F5-D5,F5-D5)))))))</f>
        <v>0.375</v>
      </c>
      <c r="P5" s="6" t="str">
        <f aca="false">IFERROR(VLOOKUP($B5,Agents!$A:$D,2,0),"-")</f>
        <v>Accessibilité</v>
      </c>
      <c r="Q5" s="21" t="n">
        <v>45982</v>
      </c>
      <c r="R5" s="8" t="n">
        <f aca="false">IF(M5="Abs",O5,0)</f>
        <v>0</v>
      </c>
      <c r="S5" s="8" t="n">
        <f aca="false">SUM(R5,L5,I5,J5,W5,H5)</f>
        <v>0</v>
      </c>
      <c r="T5" s="6" t="str">
        <f aca="false">"Sem - "&amp;WEEKNUM(Q5,21)</f>
        <v>Sem - 47</v>
      </c>
      <c r="U5" s="6" t="str">
        <f aca="false">CHOOSE(MONTH(Q5),"Janvier","Février","Mars","Avril","Mai","Juin","Juillet","Août","Septembre","Octobre","Novembre","Décembre")</f>
        <v>Novembre</v>
      </c>
      <c r="V5" s="22" t="n">
        <f aca="false">YEAR(Q5)</f>
        <v>2025</v>
      </c>
      <c r="W5" s="20"/>
      <c r="X5" s="8" t="n">
        <f aca="false">IFERROR(IF(M5="Abs",0,IF(ROUND((D5-C5+E5-F5)*1440,0)&lt;=1,0,D5-C5+E5-F5)),0)</f>
        <v>0</v>
      </c>
      <c r="Y5" s="6" t="str">
        <f aca="false">IFERROR(VLOOKUP($B5,Agents!$A:$D,3,0),"-")</f>
        <v>OUBRAHIM Mohammed</v>
      </c>
      <c r="Z5" s="6" t="str">
        <f aca="false">IFERROR(VLOOKUP($B5,Agents!$A:$D,4,0),"-")</f>
        <v>Credit Mutuel</v>
      </c>
      <c r="AA5" s="18" t="s">
        <v>70</v>
      </c>
      <c r="AB5" s="8" t="str">
        <f aca="false">IF(AND(D5="Congé",F5="Congé"),0.333333333333333,IF(OR(AND(D5="Congé",F5&lt;&gt;"Congé"),(AND(F5="Congé",D5&lt;&gt;"Congé"))),0.166666666666667,""))</f>
        <v/>
      </c>
      <c r="AC5" s="8" t="str">
        <f aca="false">IF(AND(D5="Congé sans solde",F5="Congé sans solde"),0.333333333333333,IF(OR(AND(D5="Congé sans solde",F5&lt;&gt;"Congé sans solde"),(AND(F5="Congé sans solde",D5&lt;&gt;"Congé sans solde"))),0.166666666666667,""))</f>
        <v/>
      </c>
      <c r="AD5" s="8" t="str">
        <f aca="false">IF(AND(D5="Congé spécial",F5="Congé spécial"),0.333333333333333,IF(OR(AND(D5="Congé spécial",F5&lt;&gt;"Congé spécial"),AND(F5="Congé spécial",D5&lt;&gt;"Congé spécial")),0.166666666666667,""))</f>
        <v/>
      </c>
      <c r="AE5" s="8" t="str">
        <f aca="false">IF(AND(D5="Férié",F5="Férié"),0.333333333333333,IF(OR(AND(D5="Férié",F5&lt;&gt;"Férié"),(AND(F5="Férié",D5&lt;&gt;"Férié"))),0.166666666666667,""))</f>
        <v/>
      </c>
      <c r="AF5" s="18"/>
      <c r="AG5" s="18"/>
    </row>
    <row r="6" customFormat="false" ht="15" hidden="false" customHeight="false" outlineLevel="0" collapsed="false">
      <c r="A6" s="6" t="str">
        <f aca="false">YEAR(Q6-WEEKDAY(Q6,2)+4)&amp;"-S"&amp;TEXT(WEEKNUM(Q6,21),"00")</f>
        <v>2025-S47</v>
      </c>
      <c r="B6" s="18" t="s">
        <v>69</v>
      </c>
      <c r="C6" s="19"/>
      <c r="D6" s="19" t="s">
        <v>74</v>
      </c>
      <c r="E6" s="19"/>
      <c r="F6" s="19" t="s">
        <v>74</v>
      </c>
      <c r="G6" s="20"/>
      <c r="H6" s="20"/>
      <c r="I6" s="8" t="str">
        <f aca="false">IF(IF(OR(C6="",D6="Congé",D6="OFF",D6="Congé spécial"),"",IF(D6&gt;F6,D6-C6,IF(C6-D6&lt;0,0,C6-D6)))&lt;0.00068287037037037,"",IF(OR(D6="Congé",D6="OFF",C6="",D6="Congé spécial"),"",IF(D6&gt;F6,D6-C6,IF(C6-D6&lt;0,0,C6-D6))))</f>
        <v/>
      </c>
      <c r="J6" s="20"/>
      <c r="K6" s="8" t="n">
        <f aca="false">IF(SUM(H6:J6)&lt;0.00068287037037037,0,SUM(H6:J6))</f>
        <v>0</v>
      </c>
      <c r="L6" s="8" t="n">
        <f aca="false">IF(OR(F6="Congé",F6="OFF",M6="Abs",F6="Congé sans solde",F6="Férié",F6="Congé spécial",D6="Congé spécial"),0,IF(F6-E6&lt;0,0,IF(F6-E6&lt;=0.00068287037037037,0,F6-E6)))</f>
        <v>0</v>
      </c>
      <c r="M6" s="6" t="n">
        <f aca="false">IF(AND(O6&lt;&gt;0,C6=""),"Abs",0)</f>
        <v>0</v>
      </c>
      <c r="N6" s="8" t="str">
        <f aca="false">IFERROR(IF(OR(D6="OFF",D6="Congé",M6="Abs",D6="Congé sans solde",D6="Férié"),"",IF(O6-K6-L6&gt;O6,O6,IF(O6-K6-L6&lt;0,"",O6-K6-L6))),"")</f>
        <v/>
      </c>
      <c r="O6" s="8" t="n">
        <f aca="false">IF(AG6="2H Pause déjeuner",IF(F6-D6-0.0833333333333333&lt;0,F6-D6-0.0833333333333333+1,F6-D6-0.0833333333333333),IF(OR(AND(F6="OFF",D6="OFF"),AND(F6="Congé",D6="Congé"),AND(F6="Congé sans solde",D6="Congé sans solde"),AND(F6="Congé spécial",D6="Congé spécial"),AND(F6="Férié",D6="Férié"),AND(F6="OFF",D6="Congé"),AND(F6="OFF",D6="Congé sans solde"),AND(F6="OFF",D6="Congé spécial"),AND(F6="OFF",D6="Férié"),AND(F6="Congé",D6="OFF"),AND(F6="Congé",D6="Congé sans solde"),AND(F6="Congé",D6="Congé spécial"),AND(F6="Congé",D6="Férié"),AND(F6="Congé sans solde",D6="OFF"),AND(F6="Congé sans solde",D6="Congé"),AND(F6="Congé sans solde",D6="Congé spécial"),AND(F6="Congé sans solde",D6="Férié"),AND(F6="Congé spécial",D6="OFF"),AND(F6="Congé spécial",D6="Congé"),AND(F6="Congé spécial",D6="Congé sans solde"),AND(F6="Congé spécial",D6="Férié"),AND(F6="Férié",D6="OFF"),AND(F6="Férié",D6="Congé"),AND(F6="Férié",D6="Congé sans solde"),AND(F6="Férié",D6="Congé spécial")),0,IF(OR(F6="OFF",F6="Congé",F6="Congé spécial",F6="Congé sans solde",D6="OFF",D6="Congé",D6="Congé spécial",D6="Congé sans solde"),0.208333333333334,IF(AND(AG6="",F6-D6&lt;0),("24:00:00"-D6)+("00:00:00"+F6)-0.0416666666666667,IF(AND(OR(AG6="Allaitement",AG6="Sans déjeuner"),F6-D6&lt;0),("24:00:00"-D6)+("00:00:00"+F6),IF(AND(AG6="",F6-D6&gt;0.166666666666667),F6-D6-0.0416666666666667,IF(AND(OR(AG6="Allaitement",AG6="Sans déjeuner"),F6-D6&gt;0.166666666666667),F6-D6,F6-D6)))))))</f>
        <v>0</v>
      </c>
      <c r="P6" s="6" t="str">
        <f aca="false">IFERROR(VLOOKUP($B6,Agents!$A:$D,2,0),"-")</f>
        <v>Accessibilité</v>
      </c>
      <c r="Q6" s="21" t="n">
        <v>45983</v>
      </c>
      <c r="R6" s="8" t="n">
        <f aca="false">IF(M6="Abs",O6,0)</f>
        <v>0</v>
      </c>
      <c r="S6" s="8" t="n">
        <f aca="false">SUM(R6,L6,I6,J6,W6,H6)</f>
        <v>0</v>
      </c>
      <c r="T6" s="6" t="str">
        <f aca="false">"Sem - "&amp;WEEKNUM(Q6,21)</f>
        <v>Sem - 47</v>
      </c>
      <c r="U6" s="6" t="str">
        <f aca="false">CHOOSE(MONTH(Q6),"Janvier","Février","Mars","Avril","Mai","Juin","Juillet","Août","Septembre","Octobre","Novembre","Décembre")</f>
        <v>Novembre</v>
      </c>
      <c r="V6" s="22" t="n">
        <f aca="false">YEAR(Q6)</f>
        <v>2025</v>
      </c>
      <c r="W6" s="20"/>
      <c r="X6" s="8" t="n">
        <f aca="false">IFERROR(IF(M6="Abs",0,IF(ROUND((D6-C6+E6-F6)*1440,0)&lt;=1,0,D6-C6+E6-F6)),0)</f>
        <v>0</v>
      </c>
      <c r="Y6" s="6" t="str">
        <f aca="false">IFERROR(VLOOKUP($B6,Agents!$A:$D,3,0),"-")</f>
        <v>OUBRAHIM Mohammed</v>
      </c>
      <c r="Z6" s="6" t="str">
        <f aca="false">IFERROR(VLOOKUP($B6,Agents!$A:$D,4,0),"-")</f>
        <v>Credit Mutuel</v>
      </c>
      <c r="AA6" s="18" t="s">
        <v>70</v>
      </c>
      <c r="AB6" s="8" t="str">
        <f aca="false">IF(AND(D6="Congé",F6="Congé"),0.333333333333333,IF(OR(AND(D6="Congé",F6&lt;&gt;"Congé"),(AND(F6="Congé",D6&lt;&gt;"Congé"))),0.166666666666667,""))</f>
        <v/>
      </c>
      <c r="AC6" s="8" t="str">
        <f aca="false">IF(AND(D6="Congé sans solde",F6="Congé sans solde"),0.333333333333333,IF(OR(AND(D6="Congé sans solde",F6&lt;&gt;"Congé sans solde"),(AND(F6="Congé sans solde",D6&lt;&gt;"Congé sans solde"))),0.166666666666667,""))</f>
        <v/>
      </c>
      <c r="AD6" s="8" t="str">
        <f aca="false">IF(AND(D6="Congé spécial",F6="Congé spécial"),0.333333333333333,IF(OR(AND(D6="Congé spécial",F6&lt;&gt;"Congé spécial"),AND(F6="Congé spécial",D6&lt;&gt;"Congé spécial")),0.166666666666667,""))</f>
        <v/>
      </c>
      <c r="AE6" s="8" t="str">
        <f aca="false">IF(AND(D6="Férié",F6="Férié"),0.333333333333333,IF(OR(AND(D6="Férié",F6&lt;&gt;"Férié"),(AND(F6="Férié",D6&lt;&gt;"Férié"))),0.166666666666667,""))</f>
        <v/>
      </c>
      <c r="AF6" s="18"/>
      <c r="AG6" s="18"/>
    </row>
    <row r="7" customFormat="false" ht="15" hidden="false" customHeight="false" outlineLevel="0" collapsed="false">
      <c r="A7" s="6" t="str">
        <f aca="false">YEAR(Q7-WEEKDAY(Q7,2)+4)&amp;"-S"&amp;TEXT(WEEKNUM(Q7,21),"00")</f>
        <v>2025-S47</v>
      </c>
      <c r="B7" s="18" t="s">
        <v>71</v>
      </c>
      <c r="C7" s="19"/>
      <c r="D7" s="19" t="s">
        <v>74</v>
      </c>
      <c r="E7" s="19"/>
      <c r="F7" s="19" t="s">
        <v>74</v>
      </c>
      <c r="G7" s="20"/>
      <c r="H7" s="20"/>
      <c r="I7" s="8" t="str">
        <f aca="false">IF(IF(OR(C7="",D7="Congé",D7="OFF",D7="Congé spécial"),"",IF(D7&gt;F7,D7-C7,IF(C7-D7&lt;0,0,C7-D7)))&lt;0.00068287037037037,"",IF(OR(D7="Congé",D7="OFF",C7="",D7="Congé spécial"),"",IF(D7&gt;F7,D7-C7,IF(C7-D7&lt;0,0,C7-D7))))</f>
        <v/>
      </c>
      <c r="J7" s="20"/>
      <c r="K7" s="8" t="n">
        <f aca="false">IF(SUM(H7:J7)&lt;0.00068287037037037,0,SUM(H7:J7))</f>
        <v>0</v>
      </c>
      <c r="L7" s="8" t="n">
        <f aca="false">IF(OR(F7="Congé",F7="OFF",M7="Abs",F7="Congé sans solde",F7="Férié",F7="Congé spécial",D7="Congé spécial"),0,IF(F7-E7&lt;0,0,IF(F7-E7&lt;=0.00068287037037037,0,F7-E7)))</f>
        <v>0</v>
      </c>
      <c r="M7" s="6" t="n">
        <f aca="false">IF(AND(O7&lt;&gt;0,C7=""),"Abs",0)</f>
        <v>0</v>
      </c>
      <c r="N7" s="8" t="str">
        <f aca="false">IFERROR(IF(OR(D7="OFF",D7="Congé",M7="Abs",D7="Congé sans solde",D7="Férié"),"",IF(O7-K7-L7&gt;O7,O7,IF(O7-K7-L7&lt;0,"",O7-K7-L7))),"")</f>
        <v/>
      </c>
      <c r="O7" s="8" t="n">
        <f aca="false">IF(AG7="2H Pause déjeuner",IF(F7-D7-0.0833333333333333&lt;0,F7-D7-0.0833333333333333+1,F7-D7-0.0833333333333333),IF(OR(AND(F7="OFF",D7="OFF"),AND(F7="Congé",D7="Congé"),AND(F7="Congé sans solde",D7="Congé sans solde"),AND(F7="Congé spécial",D7="Congé spécial"),AND(F7="Férié",D7="Férié"),AND(F7="OFF",D7="Congé"),AND(F7="OFF",D7="Congé sans solde"),AND(F7="OFF",D7="Congé spécial"),AND(F7="OFF",D7="Férié"),AND(F7="Congé",D7="OFF"),AND(F7="Congé",D7="Congé sans solde"),AND(F7="Congé",D7="Congé spécial"),AND(F7="Congé",D7="Férié"),AND(F7="Congé sans solde",D7="OFF"),AND(F7="Congé sans solde",D7="Congé"),AND(F7="Congé sans solde",D7="Congé spécial"),AND(F7="Congé sans solde",D7="Férié"),AND(F7="Congé spécial",D7="OFF"),AND(F7="Congé spécial",D7="Congé"),AND(F7="Congé spécial",D7="Congé sans solde"),AND(F7="Congé spécial",D7="Férié"),AND(F7="Férié",D7="OFF"),AND(F7="Férié",D7="Congé"),AND(F7="Férié",D7="Congé sans solde"),AND(F7="Férié",D7="Congé spécial")),0,IF(OR(F7="OFF",F7="Congé",F7="Congé spécial",F7="Congé sans solde",D7="OFF",D7="Congé",D7="Congé spécial",D7="Congé sans solde"),0.208333333333334,IF(AND(AG7="",F7-D7&lt;0),("24:00:00"-D7)+("00:00:00"+F7)-0.0416666666666667,IF(AND(OR(AG7="Allaitement",AG7="Sans déjeuner"),F7-D7&lt;0),("24:00:00"-D7)+("00:00:00"+F7),IF(AND(AG7="",F7-D7&gt;0.166666666666667),F7-D7-0.0416666666666667,IF(AND(OR(AG7="Allaitement",AG7="Sans déjeuner"),F7-D7&gt;0.166666666666667),F7-D7,F7-D7)))))))</f>
        <v>0</v>
      </c>
      <c r="P7" s="6" t="str">
        <f aca="false">IFERROR(VLOOKUP($B7,Agents!$A:$D,2,0),"-")</f>
        <v>Accessibilité</v>
      </c>
      <c r="Q7" s="21" t="n">
        <v>45983</v>
      </c>
      <c r="R7" s="8" t="n">
        <f aca="false">IF(M7="Abs",O7,0)</f>
        <v>0</v>
      </c>
      <c r="S7" s="8" t="n">
        <f aca="false">SUM(R7,L7,I7,J7,W7,H7)</f>
        <v>0</v>
      </c>
      <c r="T7" s="6" t="str">
        <f aca="false">"Sem - "&amp;WEEKNUM(Q7,21)</f>
        <v>Sem - 47</v>
      </c>
      <c r="U7" s="6" t="str">
        <f aca="false">CHOOSE(MONTH(Q7),"Janvier","Février","Mars","Avril","Mai","Juin","Juillet","Août","Septembre","Octobre","Novembre","Décembre")</f>
        <v>Novembre</v>
      </c>
      <c r="V7" s="22" t="n">
        <f aca="false">YEAR(Q7)</f>
        <v>2025</v>
      </c>
      <c r="W7" s="20"/>
      <c r="X7" s="8" t="n">
        <f aca="false">IFERROR(IF(M7="Abs",0,IF(ROUND((D7-C7+E7-F7)*1440,0)&lt;=1,0,D7-C7+E7-F7)),0)</f>
        <v>0</v>
      </c>
      <c r="Y7" s="6" t="str">
        <f aca="false">IFERROR(VLOOKUP($B7,Agents!$A:$D,3,0),"-")</f>
        <v>OUBRAHIM Mohammed</v>
      </c>
      <c r="Z7" s="6" t="str">
        <f aca="false">IFERROR(VLOOKUP($B7,Agents!$A:$D,4,0),"-")</f>
        <v>Credit Mutuel</v>
      </c>
      <c r="AA7" s="18" t="s">
        <v>70</v>
      </c>
      <c r="AB7" s="8" t="str">
        <f aca="false">IF(AND(D7="Congé",F7="Congé"),0.333333333333333,IF(OR(AND(D7="Congé",F7&lt;&gt;"Congé"),(AND(F7="Congé",D7&lt;&gt;"Congé"))),0.166666666666667,""))</f>
        <v/>
      </c>
      <c r="AC7" s="8" t="str">
        <f aca="false">IF(AND(D7="Congé sans solde",F7="Congé sans solde"),0.333333333333333,IF(OR(AND(D7="Congé sans solde",F7&lt;&gt;"Congé sans solde"),(AND(F7="Congé sans solde",D7&lt;&gt;"Congé sans solde"))),0.166666666666667,""))</f>
        <v/>
      </c>
      <c r="AD7" s="8" t="str">
        <f aca="false">IF(AND(D7="Congé spécial",F7="Congé spécial"),0.333333333333333,IF(OR(AND(D7="Congé spécial",F7&lt;&gt;"Congé spécial"),AND(F7="Congé spécial",D7&lt;&gt;"Congé spécial")),0.166666666666667,""))</f>
        <v/>
      </c>
      <c r="AE7" s="8" t="str">
        <f aca="false">IF(AND(D7="Férié",F7="Férié"),0.333333333333333,IF(OR(AND(D7="Férié",F7&lt;&gt;"Férié"),(AND(F7="Férié",D7&lt;&gt;"Férié"))),0.166666666666667,""))</f>
        <v/>
      </c>
      <c r="AF7" s="18"/>
      <c r="AG7" s="18"/>
    </row>
    <row r="8" customFormat="false" ht="15" hidden="false" customHeight="false" outlineLevel="0" collapsed="false">
      <c r="A8" s="6" t="str">
        <f aca="false">YEAR(Q8-WEEKDAY(Q8,2)+4)&amp;"-S"&amp;TEXT(WEEKNUM(Q8,21),"00")</f>
        <v>2025-S47</v>
      </c>
      <c r="B8" s="18" t="s">
        <v>72</v>
      </c>
      <c r="C8" s="19"/>
      <c r="D8" s="19" t="s">
        <v>74</v>
      </c>
      <c r="E8" s="19"/>
      <c r="F8" s="19" t="s">
        <v>74</v>
      </c>
      <c r="G8" s="20"/>
      <c r="H8" s="20"/>
      <c r="I8" s="8" t="str">
        <f aca="false">IF(IF(OR(C8="",D8="Congé",D8="OFF",D8="Congé spécial"),"",IF(D8&gt;F8,D8-C8,IF(C8-D8&lt;0,0,C8-D8)))&lt;0.00068287037037037,"",IF(OR(D8="Congé",D8="OFF",C8="",D8="Congé spécial"),"",IF(D8&gt;F8,D8-C8,IF(C8-D8&lt;0,0,C8-D8))))</f>
        <v/>
      </c>
      <c r="J8" s="20"/>
      <c r="K8" s="8" t="n">
        <f aca="false">IF(SUM(H8:J8)&lt;0.00068287037037037,0,SUM(H8:J8))</f>
        <v>0</v>
      </c>
      <c r="L8" s="8" t="n">
        <f aca="false">IF(OR(F8="Congé",F8="OFF",M8="Abs",F8="Congé sans solde",F8="Férié",F8="Congé spécial",D8="Congé spécial"),0,IF(F8-E8&lt;0,0,IF(F8-E8&lt;=0.00068287037037037,0,F8-E8)))</f>
        <v>0</v>
      </c>
      <c r="M8" s="6" t="n">
        <f aca="false">IF(AND(O8&lt;&gt;0,C8=""),"Abs",0)</f>
        <v>0</v>
      </c>
      <c r="N8" s="8" t="str">
        <f aca="false">IFERROR(IF(OR(D8="OFF",D8="Congé",M8="Abs",D8="Congé sans solde",D8="Férié"),"",IF(O8-K8-L8&gt;O8,O8,IF(O8-K8-L8&lt;0,"",O8-K8-L8))),"")</f>
        <v/>
      </c>
      <c r="O8" s="8" t="n">
        <f aca="false">IF(AG8="2H Pause déjeuner",IF(F8-D8-0.0833333333333333&lt;0,F8-D8-0.0833333333333333+1,F8-D8-0.0833333333333333),IF(OR(AND(F8="OFF",D8="OFF"),AND(F8="Congé",D8="Congé"),AND(F8="Congé sans solde",D8="Congé sans solde"),AND(F8="Congé spécial",D8="Congé spécial"),AND(F8="Férié",D8="Férié"),AND(F8="OFF",D8="Congé"),AND(F8="OFF",D8="Congé sans solde"),AND(F8="OFF",D8="Congé spécial"),AND(F8="OFF",D8="Férié"),AND(F8="Congé",D8="OFF"),AND(F8="Congé",D8="Congé sans solde"),AND(F8="Congé",D8="Congé spécial"),AND(F8="Congé",D8="Férié"),AND(F8="Congé sans solde",D8="OFF"),AND(F8="Congé sans solde",D8="Congé"),AND(F8="Congé sans solde",D8="Congé spécial"),AND(F8="Congé sans solde",D8="Férié"),AND(F8="Congé spécial",D8="OFF"),AND(F8="Congé spécial",D8="Congé"),AND(F8="Congé spécial",D8="Congé sans solde"),AND(F8="Congé spécial",D8="Férié"),AND(F8="Férié",D8="OFF"),AND(F8="Férié",D8="Congé"),AND(F8="Férié",D8="Congé sans solde"),AND(F8="Férié",D8="Congé spécial")),0,IF(OR(F8="OFF",F8="Congé",F8="Congé spécial",F8="Congé sans solde",D8="OFF",D8="Congé",D8="Congé spécial",D8="Congé sans solde"),0.208333333333334,IF(AND(AG8="",F8-D8&lt;0),("24:00:00"-D8)+("00:00:00"+F8)-0.0416666666666667,IF(AND(OR(AG8="Allaitement",AG8="Sans déjeuner"),F8-D8&lt;0),("24:00:00"-D8)+("00:00:00"+F8),IF(AND(AG8="",F8-D8&gt;0.166666666666667),F8-D8-0.0416666666666667,IF(AND(OR(AG8="Allaitement",AG8="Sans déjeuner"),F8-D8&gt;0.166666666666667),F8-D8,F8-D8)))))))</f>
        <v>0</v>
      </c>
      <c r="P8" s="6" t="str">
        <f aca="false">IFERROR(VLOOKUP($B8,Agents!$A:$D,2,0),"-")</f>
        <v>Accessibilité</v>
      </c>
      <c r="Q8" s="21" t="n">
        <v>45983</v>
      </c>
      <c r="R8" s="8" t="n">
        <f aca="false">IF(M8="Abs",O8,0)</f>
        <v>0</v>
      </c>
      <c r="S8" s="8" t="n">
        <f aca="false">SUM(R8,L8,I8,J8,W8,H8)</f>
        <v>0</v>
      </c>
      <c r="T8" s="6" t="str">
        <f aca="false">"Sem - "&amp;WEEKNUM(Q8,21)</f>
        <v>Sem - 47</v>
      </c>
      <c r="U8" s="6" t="str">
        <f aca="false">CHOOSE(MONTH(Q8),"Janvier","Février","Mars","Avril","Mai","Juin","Juillet","Août","Septembre","Octobre","Novembre","Décembre")</f>
        <v>Novembre</v>
      </c>
      <c r="V8" s="22" t="n">
        <f aca="false">YEAR(Q8)</f>
        <v>2025</v>
      </c>
      <c r="W8" s="20"/>
      <c r="X8" s="8" t="n">
        <f aca="false">IFERROR(IF(M8="Abs",0,IF(ROUND((D8-C8+E8-F8)*1440,0)&lt;=1,0,D8-C8+E8-F8)),0)</f>
        <v>0</v>
      </c>
      <c r="Y8" s="6" t="str">
        <f aca="false">IFERROR(VLOOKUP($B8,Agents!$A:$D,3,0),"-")</f>
        <v>OUBRAHIM Mohammed</v>
      </c>
      <c r="Z8" s="6" t="str">
        <f aca="false">IFERROR(VLOOKUP($B8,Agents!$A:$D,4,0),"-")</f>
        <v>Credit Mutuel</v>
      </c>
      <c r="AA8" s="18" t="s">
        <v>70</v>
      </c>
      <c r="AB8" s="8" t="str">
        <f aca="false">IF(AND(D8="Congé",F8="Congé"),0.333333333333333,IF(OR(AND(D8="Congé",F8&lt;&gt;"Congé"),(AND(F8="Congé",D8&lt;&gt;"Congé"))),0.166666666666667,""))</f>
        <v/>
      </c>
      <c r="AC8" s="8" t="str">
        <f aca="false">IF(AND(D8="Congé sans solde",F8="Congé sans solde"),0.333333333333333,IF(OR(AND(D8="Congé sans solde",F8&lt;&gt;"Congé sans solde"),(AND(F8="Congé sans solde",D8&lt;&gt;"Congé sans solde"))),0.166666666666667,""))</f>
        <v/>
      </c>
      <c r="AD8" s="8" t="str">
        <f aca="false">IF(AND(D8="Congé spécial",F8="Congé spécial"),0.333333333333333,IF(OR(AND(D8="Congé spécial",F8&lt;&gt;"Congé spécial"),AND(F8="Congé spécial",D8&lt;&gt;"Congé spécial")),0.166666666666667,""))</f>
        <v/>
      </c>
      <c r="AE8" s="8" t="str">
        <f aca="false">IF(AND(D8="Férié",F8="Férié"),0.333333333333333,IF(OR(AND(D8="Férié",F8&lt;&gt;"Férié"),(AND(F8="Férié",D8&lt;&gt;"Férié"))),0.166666666666667,""))</f>
        <v/>
      </c>
      <c r="AF8" s="18"/>
      <c r="AG8" s="18"/>
    </row>
    <row r="9" customFormat="false" ht="15" hidden="false" customHeight="false" outlineLevel="0" collapsed="false">
      <c r="A9" s="6" t="str">
        <f aca="false">YEAR(Q9-WEEKDAY(Q9,2)+4)&amp;"-S"&amp;TEXT(WEEKNUM(Q9,21),"00")</f>
        <v>2025-S47</v>
      </c>
      <c r="B9" s="18" t="s">
        <v>73</v>
      </c>
      <c r="C9" s="19"/>
      <c r="D9" s="19" t="s">
        <v>74</v>
      </c>
      <c r="E9" s="19"/>
      <c r="F9" s="19" t="s">
        <v>74</v>
      </c>
      <c r="G9" s="20"/>
      <c r="H9" s="20"/>
      <c r="I9" s="8" t="str">
        <f aca="false">IF(IF(OR(C9="",D9="Congé",D9="OFF",D9="Congé spécial"),"",IF(D9&gt;F9,D9-C9,IF(C9-D9&lt;0,0,C9-D9)))&lt;0.00068287037037037,"",IF(OR(D9="Congé",D9="OFF",C9="",D9="Congé spécial"),"",IF(D9&gt;F9,D9-C9,IF(C9-D9&lt;0,0,C9-D9))))</f>
        <v/>
      </c>
      <c r="J9" s="20"/>
      <c r="K9" s="8" t="n">
        <f aca="false">IF(SUM(H9:J9)&lt;0.00068287037037037,0,SUM(H9:J9))</f>
        <v>0</v>
      </c>
      <c r="L9" s="8" t="n">
        <f aca="false">IF(OR(F9="Congé",F9="OFF",M9="Abs",F9="Congé sans solde",F9="Férié",F9="Congé spécial",D9="Congé spécial"),0,IF(F9-E9&lt;0,0,IF(F9-E9&lt;=0.00068287037037037,0,F9-E9)))</f>
        <v>0</v>
      </c>
      <c r="M9" s="6" t="n">
        <f aca="false">IF(AND(O9&lt;&gt;0,C9=""),"Abs",0)</f>
        <v>0</v>
      </c>
      <c r="N9" s="8" t="str">
        <f aca="false">IFERROR(IF(OR(D9="OFF",D9="Congé",M9="Abs",D9="Congé sans solde",D9="Férié"),"",IF(O9-K9-L9&gt;O9,O9,IF(O9-K9-L9&lt;0,"",O9-K9-L9))),"")</f>
        <v/>
      </c>
      <c r="O9" s="8" t="n">
        <f aca="false">IF(AG9="2H Pause déjeuner",IF(F9-D9-0.0833333333333333&lt;0,F9-D9-0.0833333333333333+1,F9-D9-0.0833333333333333),IF(OR(AND(F9="OFF",D9="OFF"),AND(F9="Congé",D9="Congé"),AND(F9="Congé sans solde",D9="Congé sans solde"),AND(F9="Congé spécial",D9="Congé spécial"),AND(F9="Férié",D9="Férié"),AND(F9="OFF",D9="Congé"),AND(F9="OFF",D9="Congé sans solde"),AND(F9="OFF",D9="Congé spécial"),AND(F9="OFF",D9="Férié"),AND(F9="Congé",D9="OFF"),AND(F9="Congé",D9="Congé sans solde"),AND(F9="Congé",D9="Congé spécial"),AND(F9="Congé",D9="Férié"),AND(F9="Congé sans solde",D9="OFF"),AND(F9="Congé sans solde",D9="Congé"),AND(F9="Congé sans solde",D9="Congé spécial"),AND(F9="Congé sans solde",D9="Férié"),AND(F9="Congé spécial",D9="OFF"),AND(F9="Congé spécial",D9="Congé"),AND(F9="Congé spécial",D9="Congé sans solde"),AND(F9="Congé spécial",D9="Férié"),AND(F9="Férié",D9="OFF"),AND(F9="Férié",D9="Congé"),AND(F9="Férié",D9="Congé sans solde"),AND(F9="Férié",D9="Congé spécial")),0,IF(OR(F9="OFF",F9="Congé",F9="Congé spécial",F9="Congé sans solde",D9="OFF",D9="Congé",D9="Congé spécial",D9="Congé sans solde"),0.208333333333334,IF(AND(AG9="",F9-D9&lt;0),("24:00:00"-D9)+("00:00:00"+F9)-0.0416666666666667,IF(AND(OR(AG9="Allaitement",AG9="Sans déjeuner"),F9-D9&lt;0),("24:00:00"-D9)+("00:00:00"+F9),IF(AND(AG9="",F9-D9&gt;0.166666666666667),F9-D9-0.0416666666666667,IF(AND(OR(AG9="Allaitement",AG9="Sans déjeuner"),F9-D9&gt;0.166666666666667),F9-D9,F9-D9)))))))</f>
        <v>0</v>
      </c>
      <c r="P9" s="6" t="str">
        <f aca="false">IFERROR(VLOOKUP($B9,Agents!$A:$D,2,0),"-")</f>
        <v>Accessibilité</v>
      </c>
      <c r="Q9" s="21" t="n">
        <v>45983</v>
      </c>
      <c r="R9" s="8" t="n">
        <f aca="false">IF(M9="Abs",O9,0)</f>
        <v>0</v>
      </c>
      <c r="S9" s="8" t="n">
        <f aca="false">SUM(R9,L9,I9,J9,W9,H9)</f>
        <v>0</v>
      </c>
      <c r="T9" s="6" t="str">
        <f aca="false">"Sem - "&amp;WEEKNUM(Q9,21)</f>
        <v>Sem - 47</v>
      </c>
      <c r="U9" s="6" t="str">
        <f aca="false">CHOOSE(MONTH(Q9),"Janvier","Février","Mars","Avril","Mai","Juin","Juillet","Août","Septembre","Octobre","Novembre","Décembre")</f>
        <v>Novembre</v>
      </c>
      <c r="V9" s="22" t="n">
        <f aca="false">YEAR(Q9)</f>
        <v>2025</v>
      </c>
      <c r="W9" s="20"/>
      <c r="X9" s="8" t="n">
        <f aca="false">IFERROR(IF(M9="Abs",0,IF(ROUND((D9-C9+E9-F9)*1440,0)&lt;=1,0,D9-C9+E9-F9)),0)</f>
        <v>0</v>
      </c>
      <c r="Y9" s="6" t="str">
        <f aca="false">IFERROR(VLOOKUP($B9,Agents!$A:$D,3,0),"-")</f>
        <v>OUBRAHIM Mohammed</v>
      </c>
      <c r="Z9" s="6" t="str">
        <f aca="false">IFERROR(VLOOKUP($B9,Agents!$A:$D,4,0),"-")</f>
        <v>Credit Mutuel</v>
      </c>
      <c r="AA9" s="18" t="s">
        <v>70</v>
      </c>
      <c r="AB9" s="8" t="str">
        <f aca="false">IF(AND(D9="Congé",F9="Congé"),0.333333333333333,IF(OR(AND(D9="Congé",F9&lt;&gt;"Congé"),(AND(F9="Congé",D9&lt;&gt;"Congé"))),0.166666666666667,""))</f>
        <v/>
      </c>
      <c r="AC9" s="8" t="str">
        <f aca="false">IF(AND(D9="Congé sans solde",F9="Congé sans solde"),0.333333333333333,IF(OR(AND(D9="Congé sans solde",F9&lt;&gt;"Congé sans solde"),(AND(F9="Congé sans solde",D9&lt;&gt;"Congé sans solde"))),0.166666666666667,""))</f>
        <v/>
      </c>
      <c r="AD9" s="8" t="str">
        <f aca="false">IF(AND(D9="Congé spécial",F9="Congé spécial"),0.333333333333333,IF(OR(AND(D9="Congé spécial",F9&lt;&gt;"Congé spécial"),AND(F9="Congé spécial",D9&lt;&gt;"Congé spécial")),0.166666666666667,""))</f>
        <v/>
      </c>
      <c r="AE9" s="8" t="str">
        <f aca="false">IF(AND(D9="Férié",F9="Férié"),0.333333333333333,IF(OR(AND(D9="Férié",F9&lt;&gt;"Férié"),(AND(F9="Férié",D9&lt;&gt;"Férié"))),0.166666666666667,""))</f>
        <v/>
      </c>
      <c r="AF9" s="18"/>
      <c r="AG9" s="18"/>
    </row>
    <row r="10" customFormat="false" ht="15" hidden="false" customHeight="false" outlineLevel="0" collapsed="false">
      <c r="A10" s="6" t="str">
        <f aca="false">YEAR(Q10-WEEKDAY(Q10,2)+4)&amp;"-S"&amp;TEXT(WEEKNUM(Q10,21),"00")</f>
        <v>2025-S47</v>
      </c>
      <c r="B10" s="18" t="s">
        <v>69</v>
      </c>
      <c r="C10" s="19"/>
      <c r="D10" s="19" t="s">
        <v>74</v>
      </c>
      <c r="E10" s="19"/>
      <c r="F10" s="19" t="s">
        <v>74</v>
      </c>
      <c r="G10" s="20"/>
      <c r="H10" s="20"/>
      <c r="I10" s="8" t="str">
        <f aca="false">IF(IF(OR(C10="",D10="Congé",D10="OFF",D10="Congé spécial"),"",IF(D10&gt;F10,D10-C10,IF(C10-D10&lt;0,0,C10-D10)))&lt;0.00068287037037037,"",IF(OR(D10="Congé",D10="OFF",C10="",D10="Congé spécial"),"",IF(D10&gt;F10,D10-C10,IF(C10-D10&lt;0,0,C10-D10))))</f>
        <v/>
      </c>
      <c r="J10" s="20"/>
      <c r="K10" s="8" t="n">
        <f aca="false">IF(SUM(H10:J10)&lt;0.00068287037037037,0,SUM(H10:J10))</f>
        <v>0</v>
      </c>
      <c r="L10" s="8" t="n">
        <f aca="false">IF(OR(F10="Congé",F10="OFF",M10="Abs",F10="Congé sans solde",F10="Férié",F10="Congé spécial",D10="Congé spécial"),0,IF(F10-E10&lt;0,0,IF(F10-E10&lt;=0.00068287037037037,0,F10-E10)))</f>
        <v>0</v>
      </c>
      <c r="M10" s="6" t="n">
        <f aca="false">IF(AND(O10&lt;&gt;0,C10=""),"Abs",0)</f>
        <v>0</v>
      </c>
      <c r="N10" s="8" t="str">
        <f aca="false">IFERROR(IF(OR(D10="OFF",D10="Congé",M10="Abs",D10="Congé sans solde",D10="Férié"),"",IF(O10-K10-L10&gt;O10,O10,IF(O10-K10-L10&lt;0,"",O10-K10-L10))),"")</f>
        <v/>
      </c>
      <c r="O10" s="8" t="n">
        <f aca="false">IF(AG10="2H Pause déjeuner",IF(F10-D10-0.0833333333333333&lt;0,F10-D10-0.0833333333333333+1,F10-D10-0.0833333333333333),IF(OR(AND(F10="OFF",D10="OFF"),AND(F10="Congé",D10="Congé"),AND(F10="Congé sans solde",D10="Congé sans solde"),AND(F10="Congé spécial",D10="Congé spécial"),AND(F10="Férié",D10="Férié"),AND(F10="OFF",D10="Congé"),AND(F10="OFF",D10="Congé sans solde"),AND(F10="OFF",D10="Congé spécial"),AND(F10="OFF",D10="Férié"),AND(F10="Congé",D10="OFF"),AND(F10="Congé",D10="Congé sans solde"),AND(F10="Congé",D10="Congé spécial"),AND(F10="Congé",D10="Férié"),AND(F10="Congé sans solde",D10="OFF"),AND(F10="Congé sans solde",D10="Congé"),AND(F10="Congé sans solde",D10="Congé spécial"),AND(F10="Congé sans solde",D10="Férié"),AND(F10="Congé spécial",D10="OFF"),AND(F10="Congé spécial",D10="Congé"),AND(F10="Congé spécial",D10="Congé sans solde"),AND(F10="Congé spécial",D10="Férié"),AND(F10="Férié",D10="OFF"),AND(F10="Férié",D10="Congé"),AND(F10="Férié",D10="Congé sans solde"),AND(F10="Férié",D10="Congé spécial")),0,IF(OR(F10="OFF",F10="Congé",F10="Congé spécial",F10="Congé sans solde",D10="OFF",D10="Congé",D10="Congé spécial",D10="Congé sans solde"),0.208333333333334,IF(AND(AG10="",F10-D10&lt;0),("24:00:00"-D10)+("00:00:00"+F10)-0.0416666666666667,IF(AND(OR(AG10="Allaitement",AG10="Sans déjeuner"),F10-D10&lt;0),("24:00:00"-D10)+("00:00:00"+F10),IF(AND(AG10="",F10-D10&gt;0.166666666666667),F10-D10-0.0416666666666667,IF(AND(OR(AG10="Allaitement",AG10="Sans déjeuner"),F10-D10&gt;0.166666666666667),F10-D10,F10-D10)))))))</f>
        <v>0</v>
      </c>
      <c r="P10" s="6" t="str">
        <f aca="false">IFERROR(VLOOKUP($B10,Agents!$A:$D,2,0),"-")</f>
        <v>Accessibilité</v>
      </c>
      <c r="Q10" s="21" t="n">
        <v>45984</v>
      </c>
      <c r="R10" s="8" t="n">
        <f aca="false">IF(M10="Abs",O10,0)</f>
        <v>0</v>
      </c>
      <c r="S10" s="8" t="n">
        <f aca="false">SUM(R10,L10,I10,J10,W10,H10)</f>
        <v>0</v>
      </c>
      <c r="T10" s="6" t="str">
        <f aca="false">"Sem - "&amp;WEEKNUM(Q10,21)</f>
        <v>Sem - 47</v>
      </c>
      <c r="U10" s="6" t="str">
        <f aca="false">CHOOSE(MONTH(Q10),"Janvier","Février","Mars","Avril","Mai","Juin","Juillet","Août","Septembre","Octobre","Novembre","Décembre")</f>
        <v>Novembre</v>
      </c>
      <c r="V10" s="22" t="n">
        <f aca="false">YEAR(Q10)</f>
        <v>2025</v>
      </c>
      <c r="W10" s="20"/>
      <c r="X10" s="8" t="n">
        <f aca="false">IFERROR(IF(M10="Abs",0,IF(ROUND((D10-C10+E10-F10)*1440,0)&lt;=1,0,D10-C10+E10-F10)),0)</f>
        <v>0</v>
      </c>
      <c r="Y10" s="6" t="str">
        <f aca="false">IFERROR(VLOOKUP($B10,Agents!$A:$D,3,0),"-")</f>
        <v>OUBRAHIM Mohammed</v>
      </c>
      <c r="Z10" s="6" t="str">
        <f aca="false">IFERROR(VLOOKUP($B10,Agents!$A:$D,4,0),"-")</f>
        <v>Credit Mutuel</v>
      </c>
      <c r="AA10" s="18" t="s">
        <v>70</v>
      </c>
      <c r="AB10" s="8" t="str">
        <f aca="false">IF(AND(D10="Congé",F10="Congé"),0.333333333333333,IF(OR(AND(D10="Congé",F10&lt;&gt;"Congé"),(AND(F10="Congé",D10&lt;&gt;"Congé"))),0.166666666666667,""))</f>
        <v/>
      </c>
      <c r="AC10" s="8" t="str">
        <f aca="false">IF(AND(D10="Congé sans solde",F10="Congé sans solde"),0.333333333333333,IF(OR(AND(D10="Congé sans solde",F10&lt;&gt;"Congé sans solde"),(AND(F10="Congé sans solde",D10&lt;&gt;"Congé sans solde"))),0.166666666666667,""))</f>
        <v/>
      </c>
      <c r="AD10" s="8" t="str">
        <f aca="false">IF(AND(D10="Congé spécial",F10="Congé spécial"),0.333333333333333,IF(OR(AND(D10="Congé spécial",F10&lt;&gt;"Congé spécial"),AND(F10="Congé spécial",D10&lt;&gt;"Congé spécial")),0.166666666666667,""))</f>
        <v/>
      </c>
      <c r="AE10" s="8" t="str">
        <f aca="false">IF(AND(D10="Férié",F10="Férié"),0.333333333333333,IF(OR(AND(D10="Férié",F10&lt;&gt;"Férié"),(AND(F10="Férié",D10&lt;&gt;"Férié"))),0.166666666666667,""))</f>
        <v/>
      </c>
      <c r="AF10" s="18"/>
      <c r="AG10" s="18"/>
    </row>
    <row r="11" customFormat="false" ht="15" hidden="false" customHeight="false" outlineLevel="0" collapsed="false">
      <c r="A11" s="6" t="str">
        <f aca="false">YEAR(Q11-WEEKDAY(Q11,2)+4)&amp;"-S"&amp;TEXT(WEEKNUM(Q11,21),"00")</f>
        <v>2025-S47</v>
      </c>
      <c r="B11" s="18" t="s">
        <v>71</v>
      </c>
      <c r="C11" s="19"/>
      <c r="D11" s="19" t="s">
        <v>74</v>
      </c>
      <c r="E11" s="19"/>
      <c r="F11" s="19" t="s">
        <v>74</v>
      </c>
      <c r="G11" s="20"/>
      <c r="H11" s="20"/>
      <c r="I11" s="8" t="str">
        <f aca="false">IF(IF(OR(C11="",D11="Congé",D11="OFF",D11="Congé spécial"),"",IF(D11&gt;F11,D11-C11,IF(C11-D11&lt;0,0,C11-D11)))&lt;0.00068287037037037,"",IF(OR(D11="Congé",D11="OFF",C11="",D11="Congé spécial"),"",IF(D11&gt;F11,D11-C11,IF(C11-D11&lt;0,0,C11-D11))))</f>
        <v/>
      </c>
      <c r="J11" s="20"/>
      <c r="K11" s="8" t="n">
        <f aca="false">IF(SUM(H11:J11)&lt;0.00068287037037037,0,SUM(H11:J11))</f>
        <v>0</v>
      </c>
      <c r="L11" s="8" t="n">
        <f aca="false">IF(OR(F11="Congé",F11="OFF",M11="Abs",F11="Congé sans solde",F11="Férié",F11="Congé spécial",D11="Congé spécial"),0,IF(F11-E11&lt;0,0,IF(F11-E11&lt;=0.00068287037037037,0,F11-E11)))</f>
        <v>0</v>
      </c>
      <c r="M11" s="6" t="n">
        <f aca="false">IF(AND(O11&lt;&gt;0,C11=""),"Abs",0)</f>
        <v>0</v>
      </c>
      <c r="N11" s="8" t="str">
        <f aca="false">IFERROR(IF(OR(D11="OFF",D11="Congé",M11="Abs",D11="Congé sans solde",D11="Férié"),"",IF(O11-K11-L11&gt;O11,O11,IF(O11-K11-L11&lt;0,"",O11-K11-L11))),"")</f>
        <v/>
      </c>
      <c r="O11" s="8" t="n">
        <f aca="false">IF(AG11="2H Pause déjeuner",IF(F11-D11-0.0833333333333333&lt;0,F11-D11-0.0833333333333333+1,F11-D11-0.0833333333333333),IF(OR(AND(F11="OFF",D11="OFF"),AND(F11="Congé",D11="Congé"),AND(F11="Congé sans solde",D11="Congé sans solde"),AND(F11="Congé spécial",D11="Congé spécial"),AND(F11="Férié",D11="Férié"),AND(F11="OFF",D11="Congé"),AND(F11="OFF",D11="Congé sans solde"),AND(F11="OFF",D11="Congé spécial"),AND(F11="OFF",D11="Férié"),AND(F11="Congé",D11="OFF"),AND(F11="Congé",D11="Congé sans solde"),AND(F11="Congé",D11="Congé spécial"),AND(F11="Congé",D11="Férié"),AND(F11="Congé sans solde",D11="OFF"),AND(F11="Congé sans solde",D11="Congé"),AND(F11="Congé sans solde",D11="Congé spécial"),AND(F11="Congé sans solde",D11="Férié"),AND(F11="Congé spécial",D11="OFF"),AND(F11="Congé spécial",D11="Congé"),AND(F11="Congé spécial",D11="Congé sans solde"),AND(F11="Congé spécial",D11="Férié"),AND(F11="Férié",D11="OFF"),AND(F11="Férié",D11="Congé"),AND(F11="Férié",D11="Congé sans solde"),AND(F11="Férié",D11="Congé spécial")),0,IF(OR(F11="OFF",F11="Congé",F11="Congé spécial",F11="Congé sans solde",D11="OFF",D11="Congé",D11="Congé spécial",D11="Congé sans solde"),0.208333333333334,IF(AND(AG11="",F11-D11&lt;0),("24:00:00"-D11)+("00:00:00"+F11)-0.0416666666666667,IF(AND(OR(AG11="Allaitement",AG11="Sans déjeuner"),F11-D11&lt;0),("24:00:00"-D11)+("00:00:00"+F11),IF(AND(AG11="",F11-D11&gt;0.166666666666667),F11-D11-0.0416666666666667,IF(AND(OR(AG11="Allaitement",AG11="Sans déjeuner"),F11-D11&gt;0.166666666666667),F11-D11,F11-D11)))))))</f>
        <v>0</v>
      </c>
      <c r="P11" s="6" t="str">
        <f aca="false">IFERROR(VLOOKUP($B11,Agents!$A:$D,2,0),"-")</f>
        <v>Accessibilité</v>
      </c>
      <c r="Q11" s="21" t="n">
        <v>45984</v>
      </c>
      <c r="R11" s="8" t="n">
        <f aca="false">IF(M11="Abs",O11,0)</f>
        <v>0</v>
      </c>
      <c r="S11" s="8" t="n">
        <f aca="false">SUM(R11,L11,I11,J11,W11,H11)</f>
        <v>0</v>
      </c>
      <c r="T11" s="6" t="str">
        <f aca="false">"Sem - "&amp;WEEKNUM(Q11,21)</f>
        <v>Sem - 47</v>
      </c>
      <c r="U11" s="6" t="str">
        <f aca="false">CHOOSE(MONTH(Q11),"Janvier","Février","Mars","Avril","Mai","Juin","Juillet","Août","Septembre","Octobre","Novembre","Décembre")</f>
        <v>Novembre</v>
      </c>
      <c r="V11" s="22" t="n">
        <f aca="false">YEAR(Q11)</f>
        <v>2025</v>
      </c>
      <c r="W11" s="20"/>
      <c r="X11" s="8" t="n">
        <f aca="false">IFERROR(IF(M11="Abs",0,IF(ROUND((D11-C11+E11-F11)*1440,0)&lt;=1,0,D11-C11+E11-F11)),0)</f>
        <v>0</v>
      </c>
      <c r="Y11" s="6" t="str">
        <f aca="false">IFERROR(VLOOKUP($B11,Agents!$A:$D,3,0),"-")</f>
        <v>OUBRAHIM Mohammed</v>
      </c>
      <c r="Z11" s="6" t="str">
        <f aca="false">IFERROR(VLOOKUP($B11,Agents!$A:$D,4,0),"-")</f>
        <v>Credit Mutuel</v>
      </c>
      <c r="AA11" s="18" t="s">
        <v>70</v>
      </c>
      <c r="AB11" s="8" t="str">
        <f aca="false">IF(AND(D11="Congé",F11="Congé"),0.333333333333333,IF(OR(AND(D11="Congé",F11&lt;&gt;"Congé"),(AND(F11="Congé",D11&lt;&gt;"Congé"))),0.166666666666667,""))</f>
        <v/>
      </c>
      <c r="AC11" s="8" t="str">
        <f aca="false">IF(AND(D11="Congé sans solde",F11="Congé sans solde"),0.333333333333333,IF(OR(AND(D11="Congé sans solde",F11&lt;&gt;"Congé sans solde"),(AND(F11="Congé sans solde",D11&lt;&gt;"Congé sans solde"))),0.166666666666667,""))</f>
        <v/>
      </c>
      <c r="AD11" s="8" t="str">
        <f aca="false">IF(AND(D11="Congé spécial",F11="Congé spécial"),0.333333333333333,IF(OR(AND(D11="Congé spécial",F11&lt;&gt;"Congé spécial"),AND(F11="Congé spécial",D11&lt;&gt;"Congé spécial")),0.166666666666667,""))</f>
        <v/>
      </c>
      <c r="AE11" s="8" t="str">
        <f aca="false">IF(AND(D11="Férié",F11="Férié"),0.333333333333333,IF(OR(AND(D11="Férié",F11&lt;&gt;"Férié"),(AND(F11="Férié",D11&lt;&gt;"Férié"))),0.166666666666667,""))</f>
        <v/>
      </c>
      <c r="AF11" s="18"/>
      <c r="AG11" s="18"/>
    </row>
    <row r="12" customFormat="false" ht="15" hidden="false" customHeight="false" outlineLevel="0" collapsed="false">
      <c r="A12" s="6" t="str">
        <f aca="false">YEAR(Q12-WEEKDAY(Q12,2)+4)&amp;"-S"&amp;TEXT(WEEKNUM(Q12,21),"00")</f>
        <v>2025-S47</v>
      </c>
      <c r="B12" s="18" t="s">
        <v>72</v>
      </c>
      <c r="C12" s="19"/>
      <c r="D12" s="19" t="s">
        <v>74</v>
      </c>
      <c r="E12" s="19"/>
      <c r="F12" s="19" t="s">
        <v>74</v>
      </c>
      <c r="G12" s="20"/>
      <c r="H12" s="20"/>
      <c r="I12" s="8" t="str">
        <f aca="false">IF(IF(OR(C12="",D12="Congé",D12="OFF",D12="Congé spécial"),"",IF(D12&gt;F12,D12-C12,IF(C12-D12&lt;0,0,C12-D12)))&lt;0.00068287037037037,"",IF(OR(D12="Congé",D12="OFF",C12="",D12="Congé spécial"),"",IF(D12&gt;F12,D12-C12,IF(C12-D12&lt;0,0,C12-D12))))</f>
        <v/>
      </c>
      <c r="J12" s="20"/>
      <c r="K12" s="8" t="n">
        <f aca="false">IF(SUM(H12:J12)&lt;0.00068287037037037,0,SUM(H12:J12))</f>
        <v>0</v>
      </c>
      <c r="L12" s="8" t="n">
        <f aca="false">IF(OR(F12="Congé",F12="OFF",M12="Abs",F12="Congé sans solde",F12="Férié",F12="Congé spécial",D12="Congé spécial"),0,IF(F12-E12&lt;0,0,IF(F12-E12&lt;=0.00068287037037037,0,F12-E12)))</f>
        <v>0</v>
      </c>
      <c r="M12" s="6" t="n">
        <f aca="false">IF(AND(O12&lt;&gt;0,C12=""),"Abs",0)</f>
        <v>0</v>
      </c>
      <c r="N12" s="8" t="str">
        <f aca="false">IFERROR(IF(OR(D12="OFF",D12="Congé",M12="Abs",D12="Congé sans solde",D12="Férié"),"",IF(O12-K12-L12&gt;O12,O12,IF(O12-K12-L12&lt;0,"",O12-K12-L12))),"")</f>
        <v/>
      </c>
      <c r="O12" s="8" t="n">
        <f aca="false">IF(AG12="2H Pause déjeuner",IF(F12-D12-0.0833333333333333&lt;0,F12-D12-0.0833333333333333+1,F12-D12-0.0833333333333333),IF(OR(AND(F12="OFF",D12="OFF"),AND(F12="Congé",D12="Congé"),AND(F12="Congé sans solde",D12="Congé sans solde"),AND(F12="Congé spécial",D12="Congé spécial"),AND(F12="Férié",D12="Férié"),AND(F12="OFF",D12="Congé"),AND(F12="OFF",D12="Congé sans solde"),AND(F12="OFF",D12="Congé spécial"),AND(F12="OFF",D12="Férié"),AND(F12="Congé",D12="OFF"),AND(F12="Congé",D12="Congé sans solde"),AND(F12="Congé",D12="Congé spécial"),AND(F12="Congé",D12="Férié"),AND(F12="Congé sans solde",D12="OFF"),AND(F12="Congé sans solde",D12="Congé"),AND(F12="Congé sans solde",D12="Congé spécial"),AND(F12="Congé sans solde",D12="Férié"),AND(F12="Congé spécial",D12="OFF"),AND(F12="Congé spécial",D12="Congé"),AND(F12="Congé spécial",D12="Congé sans solde"),AND(F12="Congé spécial",D12="Férié"),AND(F12="Férié",D12="OFF"),AND(F12="Férié",D12="Congé"),AND(F12="Férié",D12="Congé sans solde"),AND(F12="Férié",D12="Congé spécial")),0,IF(OR(F12="OFF",F12="Congé",F12="Congé spécial",F12="Congé sans solde",D12="OFF",D12="Congé",D12="Congé spécial",D12="Congé sans solde"),0.208333333333334,IF(AND(AG12="",F12-D12&lt;0),("24:00:00"-D12)+("00:00:00"+F12)-0.0416666666666667,IF(AND(OR(AG12="Allaitement",AG12="Sans déjeuner"),F12-D12&lt;0),("24:00:00"-D12)+("00:00:00"+F12),IF(AND(AG12="",F12-D12&gt;0.166666666666667),F12-D12-0.0416666666666667,IF(AND(OR(AG12="Allaitement",AG12="Sans déjeuner"),F12-D12&gt;0.166666666666667),F12-D12,F12-D12)))))))</f>
        <v>0</v>
      </c>
      <c r="P12" s="6" t="str">
        <f aca="false">IFERROR(VLOOKUP($B12,Agents!$A:$D,2,0),"-")</f>
        <v>Accessibilité</v>
      </c>
      <c r="Q12" s="21" t="n">
        <v>45984</v>
      </c>
      <c r="R12" s="8" t="n">
        <f aca="false">IF(M12="Abs",O12,0)</f>
        <v>0</v>
      </c>
      <c r="S12" s="8" t="n">
        <f aca="false">SUM(R12,L12,I12,J12,W12,H12)</f>
        <v>0</v>
      </c>
      <c r="T12" s="6" t="str">
        <f aca="false">"Sem - "&amp;WEEKNUM(Q12,21)</f>
        <v>Sem - 47</v>
      </c>
      <c r="U12" s="6" t="str">
        <f aca="false">CHOOSE(MONTH(Q12),"Janvier","Février","Mars","Avril","Mai","Juin","Juillet","Août","Septembre","Octobre","Novembre","Décembre")</f>
        <v>Novembre</v>
      </c>
      <c r="V12" s="22" t="n">
        <f aca="false">YEAR(Q12)</f>
        <v>2025</v>
      </c>
      <c r="W12" s="20"/>
      <c r="X12" s="8" t="n">
        <f aca="false">IFERROR(IF(M12="Abs",0,IF(ROUND((D12-C12+E12-F12)*1440,0)&lt;=1,0,D12-C12+E12-F12)),0)</f>
        <v>0</v>
      </c>
      <c r="Y12" s="6" t="str">
        <f aca="false">IFERROR(VLOOKUP($B12,Agents!$A:$D,3,0),"-")</f>
        <v>OUBRAHIM Mohammed</v>
      </c>
      <c r="Z12" s="6" t="str">
        <f aca="false">IFERROR(VLOOKUP($B12,Agents!$A:$D,4,0),"-")</f>
        <v>Credit Mutuel</v>
      </c>
      <c r="AA12" s="18" t="s">
        <v>70</v>
      </c>
      <c r="AB12" s="8" t="str">
        <f aca="false">IF(AND(D12="Congé",F12="Congé"),0.333333333333333,IF(OR(AND(D12="Congé",F12&lt;&gt;"Congé"),(AND(F12="Congé",D12&lt;&gt;"Congé"))),0.166666666666667,""))</f>
        <v/>
      </c>
      <c r="AC12" s="8" t="str">
        <f aca="false">IF(AND(D12="Congé sans solde",F12="Congé sans solde"),0.333333333333333,IF(OR(AND(D12="Congé sans solde",F12&lt;&gt;"Congé sans solde"),(AND(F12="Congé sans solde",D12&lt;&gt;"Congé sans solde"))),0.166666666666667,""))</f>
        <v/>
      </c>
      <c r="AD12" s="8" t="str">
        <f aca="false">IF(AND(D12="Congé spécial",F12="Congé spécial"),0.333333333333333,IF(OR(AND(D12="Congé spécial",F12&lt;&gt;"Congé spécial"),AND(F12="Congé spécial",D12&lt;&gt;"Congé spécial")),0.166666666666667,""))</f>
        <v/>
      </c>
      <c r="AE12" s="8" t="str">
        <f aca="false">IF(AND(D12="Férié",F12="Férié"),0.333333333333333,IF(OR(AND(D12="Férié",F12&lt;&gt;"Férié"),(AND(F12="Férié",D12&lt;&gt;"Férié"))),0.166666666666667,""))</f>
        <v/>
      </c>
      <c r="AF12" s="18"/>
      <c r="AG12" s="18"/>
    </row>
    <row r="13" customFormat="false" ht="15" hidden="false" customHeight="false" outlineLevel="0" collapsed="false">
      <c r="A13" s="6" t="str">
        <f aca="false">YEAR(Q13-WEEKDAY(Q13,2)+4)&amp;"-S"&amp;TEXT(WEEKNUM(Q13,21),"00")</f>
        <v>2025-S47</v>
      </c>
      <c r="B13" s="18" t="s">
        <v>73</v>
      </c>
      <c r="C13" s="19"/>
      <c r="D13" s="19" t="s">
        <v>74</v>
      </c>
      <c r="E13" s="19"/>
      <c r="F13" s="19" t="s">
        <v>74</v>
      </c>
      <c r="G13" s="20"/>
      <c r="H13" s="20"/>
      <c r="I13" s="8" t="str">
        <f aca="false">IF(IF(OR(C13="",D13="Congé",D13="OFF",D13="Congé spécial"),"",IF(D13&gt;F13,D13-C13,IF(C13-D13&lt;0,0,C13-D13)))&lt;0.00068287037037037,"",IF(OR(D13="Congé",D13="OFF",C13="",D13="Congé spécial"),"",IF(D13&gt;F13,D13-C13,IF(C13-D13&lt;0,0,C13-D13))))</f>
        <v/>
      </c>
      <c r="J13" s="20"/>
      <c r="K13" s="8" t="n">
        <f aca="false">IF(SUM(H13:J13)&lt;0.00068287037037037,0,SUM(H13:J13))</f>
        <v>0</v>
      </c>
      <c r="L13" s="8" t="n">
        <f aca="false">IF(OR(F13="Congé",F13="OFF",M13="Abs",F13="Congé sans solde",F13="Férié",F13="Congé spécial",D13="Congé spécial"),0,IF(F13-E13&lt;0,0,IF(F13-E13&lt;=0.00068287037037037,0,F13-E13)))</f>
        <v>0</v>
      </c>
      <c r="M13" s="6" t="n">
        <f aca="false">IF(AND(O13&lt;&gt;0,C13=""),"Abs",0)</f>
        <v>0</v>
      </c>
      <c r="N13" s="8" t="str">
        <f aca="false">IFERROR(IF(OR(D13="OFF",D13="Congé",M13="Abs",D13="Congé sans solde",D13="Férié"),"",IF(O13-K13-L13&gt;O13,O13,IF(O13-K13-L13&lt;0,"",O13-K13-L13))),"")</f>
        <v/>
      </c>
      <c r="O13" s="8" t="n">
        <f aca="false">IF(AG13="2H Pause déjeuner",IF(F13-D13-0.0833333333333333&lt;0,F13-D13-0.0833333333333333+1,F13-D13-0.0833333333333333),IF(OR(AND(F13="OFF",D13="OFF"),AND(F13="Congé",D13="Congé"),AND(F13="Congé sans solde",D13="Congé sans solde"),AND(F13="Congé spécial",D13="Congé spécial"),AND(F13="Férié",D13="Férié"),AND(F13="OFF",D13="Congé"),AND(F13="OFF",D13="Congé sans solde"),AND(F13="OFF",D13="Congé spécial"),AND(F13="OFF",D13="Férié"),AND(F13="Congé",D13="OFF"),AND(F13="Congé",D13="Congé sans solde"),AND(F13="Congé",D13="Congé spécial"),AND(F13="Congé",D13="Férié"),AND(F13="Congé sans solde",D13="OFF"),AND(F13="Congé sans solde",D13="Congé"),AND(F13="Congé sans solde",D13="Congé spécial"),AND(F13="Congé sans solde",D13="Férié"),AND(F13="Congé spécial",D13="OFF"),AND(F13="Congé spécial",D13="Congé"),AND(F13="Congé spécial",D13="Congé sans solde"),AND(F13="Congé spécial",D13="Férié"),AND(F13="Férié",D13="OFF"),AND(F13="Férié",D13="Congé"),AND(F13="Férié",D13="Congé sans solde"),AND(F13="Férié",D13="Congé spécial")),0,IF(OR(F13="OFF",F13="Congé",F13="Congé spécial",F13="Congé sans solde",D13="OFF",D13="Congé",D13="Congé spécial",D13="Congé sans solde"),0.208333333333334,IF(AND(AG13="",F13-D13&lt;0),("24:00:00"-D13)+("00:00:00"+F13)-0.0416666666666667,IF(AND(OR(AG13="Allaitement",AG13="Sans déjeuner"),F13-D13&lt;0),("24:00:00"-D13)+("00:00:00"+F13),IF(AND(AG13="",F13-D13&gt;0.166666666666667),F13-D13-0.0416666666666667,IF(AND(OR(AG13="Allaitement",AG13="Sans déjeuner"),F13-D13&gt;0.166666666666667),F13-D13,F13-D13)))))))</f>
        <v>0</v>
      </c>
      <c r="P13" s="6" t="str">
        <f aca="false">IFERROR(VLOOKUP($B13,Agents!$A:$D,2,0),"-")</f>
        <v>Accessibilité</v>
      </c>
      <c r="Q13" s="21" t="n">
        <v>45984</v>
      </c>
      <c r="R13" s="8" t="n">
        <f aca="false">IF(M13="Abs",O13,0)</f>
        <v>0</v>
      </c>
      <c r="S13" s="8" t="n">
        <f aca="false">SUM(R13,L13,I13,J13,W13,H13)</f>
        <v>0</v>
      </c>
      <c r="T13" s="6" t="str">
        <f aca="false">"Sem - "&amp;WEEKNUM(Q13,21)</f>
        <v>Sem - 47</v>
      </c>
      <c r="U13" s="6" t="str">
        <f aca="false">CHOOSE(MONTH(Q13),"Janvier","Février","Mars","Avril","Mai","Juin","Juillet","Août","Septembre","Octobre","Novembre","Décembre")</f>
        <v>Novembre</v>
      </c>
      <c r="V13" s="22" t="n">
        <f aca="false">YEAR(Q13)</f>
        <v>2025</v>
      </c>
      <c r="W13" s="20"/>
      <c r="X13" s="8" t="n">
        <f aca="false">IFERROR(IF(M13="Abs",0,IF(ROUND((D13-C13+E13-F13)*1440,0)&lt;=1,0,D13-C13+E13-F13)),0)</f>
        <v>0</v>
      </c>
      <c r="Y13" s="6" t="str">
        <f aca="false">IFERROR(VLOOKUP($B13,Agents!$A:$D,3,0),"-")</f>
        <v>OUBRAHIM Mohammed</v>
      </c>
      <c r="Z13" s="6" t="str">
        <f aca="false">IFERROR(VLOOKUP($B13,Agents!$A:$D,4,0),"-")</f>
        <v>Credit Mutuel</v>
      </c>
      <c r="AA13" s="18" t="s">
        <v>70</v>
      </c>
      <c r="AB13" s="8" t="str">
        <f aca="false">IF(AND(D13="Congé",F13="Congé"),0.333333333333333,IF(OR(AND(D13="Congé",F13&lt;&gt;"Congé"),(AND(F13="Congé",D13&lt;&gt;"Congé"))),0.166666666666667,""))</f>
        <v/>
      </c>
      <c r="AC13" s="8" t="str">
        <f aca="false">IF(AND(D13="Congé sans solde",F13="Congé sans solde"),0.333333333333333,IF(OR(AND(D13="Congé sans solde",F13&lt;&gt;"Congé sans solde"),(AND(F13="Congé sans solde",D13&lt;&gt;"Congé sans solde"))),0.166666666666667,""))</f>
        <v/>
      </c>
      <c r="AD13" s="8" t="str">
        <f aca="false">IF(AND(D13="Congé spécial",F13="Congé spécial"),0.333333333333333,IF(OR(AND(D13="Congé spécial",F13&lt;&gt;"Congé spécial"),AND(F13="Congé spécial",D13&lt;&gt;"Congé spécial")),0.166666666666667,""))</f>
        <v/>
      </c>
      <c r="AE13" s="8" t="str">
        <f aca="false">IF(AND(D13="Férié",F13="Férié"),0.333333333333333,IF(OR(AND(D13="Férié",F13&lt;&gt;"Férié"),(AND(F13="Férié",D13&lt;&gt;"Férié"))),0.166666666666667,""))</f>
        <v/>
      </c>
      <c r="AF13" s="18"/>
      <c r="AG13" s="18"/>
    </row>
    <row r="14" customFormat="false" ht="15" hidden="false" customHeight="false" outlineLevel="0" collapsed="false">
      <c r="A14" s="6" t="str">
        <f aca="false">YEAR(Q14-WEEKDAY(Q14,2)+4)&amp;"-S"&amp;TEXT(WEEKNUM(Q14,21),"00")</f>
        <v>2025-S48</v>
      </c>
      <c r="B14" s="18" t="s">
        <v>69</v>
      </c>
      <c r="C14" s="19" t="n">
        <v>0.333333333333333</v>
      </c>
      <c r="D14" s="19" t="n">
        <v>0.333333333333333</v>
      </c>
      <c r="E14" s="19" t="n">
        <v>0.75</v>
      </c>
      <c r="F14" s="19" t="n">
        <v>0.75</v>
      </c>
      <c r="G14" s="20"/>
      <c r="H14" s="20"/>
      <c r="I14" s="8" t="str">
        <f aca="false">IF(IF(OR(C14="",D14="Congé",D14="OFF",D14="Congé spécial"),"",IF(D14&gt;F14,D14-C14,IF(C14-D14&lt;0,0,C14-D14)))&lt;0.00068287037037037,"",IF(OR(D14="Congé",D14="OFF",C14="",D14="Congé spécial"),"",IF(D14&gt;F14,D14-C14,IF(C14-D14&lt;0,0,C14-D14))))</f>
        <v/>
      </c>
      <c r="J14" s="20"/>
      <c r="K14" s="8" t="n">
        <f aca="false">IF(SUM(H14:J14)&lt;0.00068287037037037,0,SUM(H14:J14))</f>
        <v>0</v>
      </c>
      <c r="L14" s="8" t="n">
        <f aca="false">IF(OR(F14="Congé",F14="OFF",M14="Abs",F14="Congé sans solde",F14="Férié",F14="Congé spécial",D14="Congé spécial"),0,IF(F14-E14&lt;0,0,IF(F14-E14&lt;=0.00068287037037037,0,F14-E14)))</f>
        <v>0</v>
      </c>
      <c r="M14" s="6" t="n">
        <f aca="false">IF(AND(O14&lt;&gt;0,C14=""),"Abs",0)</f>
        <v>0</v>
      </c>
      <c r="N14" s="8" t="n">
        <f aca="false">IFERROR(IF(OR(D14="OFF",D14="Congé",M14="Abs",D14="Congé sans solde",D14="Férié"),"",IF(O14-K14-L14&gt;O14,O14,IF(O14-K14-L14&lt;0,"",O14-K14-L14))),"")</f>
        <v>0.375</v>
      </c>
      <c r="O14" s="8" t="n">
        <f aca="false">IF(AG14="2H Pause déjeuner",IF(F14-D14-0.0833333333333333&lt;0,F14-D14-0.0833333333333333+1,F14-D14-0.0833333333333333),IF(OR(AND(F14="OFF",D14="OFF"),AND(F14="Congé",D14="Congé"),AND(F14="Congé sans solde",D14="Congé sans solde"),AND(F14="Congé spécial",D14="Congé spécial"),AND(F14="Férié",D14="Férié"),AND(F14="OFF",D14="Congé"),AND(F14="OFF",D14="Congé sans solde"),AND(F14="OFF",D14="Congé spécial"),AND(F14="OFF",D14="Férié"),AND(F14="Congé",D14="OFF"),AND(F14="Congé",D14="Congé sans solde"),AND(F14="Congé",D14="Congé spécial"),AND(F14="Congé",D14="Férié"),AND(F14="Congé sans solde",D14="OFF"),AND(F14="Congé sans solde",D14="Congé"),AND(F14="Congé sans solde",D14="Congé spécial"),AND(F14="Congé sans solde",D14="Férié"),AND(F14="Congé spécial",D14="OFF"),AND(F14="Congé spécial",D14="Congé"),AND(F14="Congé spécial",D14="Congé sans solde"),AND(F14="Congé spécial",D14="Férié"),AND(F14="Férié",D14="OFF"),AND(F14="Férié",D14="Congé"),AND(F14="Férié",D14="Congé sans solde"),AND(F14="Férié",D14="Congé spécial")),0,IF(OR(F14="OFF",F14="Congé",F14="Congé spécial",F14="Congé sans solde",D14="OFF",D14="Congé",D14="Congé spécial",D14="Congé sans solde"),0.208333333333334,IF(AND(AG14="",F14-D14&lt;0),("24:00:00"-D14)+("00:00:00"+F14)-0.0416666666666667,IF(AND(OR(AG14="Allaitement",AG14="Sans déjeuner"),F14-D14&lt;0),("24:00:00"-D14)+("00:00:00"+F14),IF(AND(AG14="",F14-D14&gt;0.166666666666667),F14-D14-0.0416666666666667,IF(AND(OR(AG14="Allaitement",AG14="Sans déjeuner"),F14-D14&gt;0.166666666666667),F14-D14,F14-D14)))))))</f>
        <v>0.375</v>
      </c>
      <c r="P14" s="6" t="str">
        <f aca="false">IFERROR(VLOOKUP($B14,Agents!$A:$D,2,0),"-")</f>
        <v>Accessibilité</v>
      </c>
      <c r="Q14" s="21" t="n">
        <v>45985</v>
      </c>
      <c r="R14" s="8" t="n">
        <f aca="false">IF(M14="Abs",O14,0)</f>
        <v>0</v>
      </c>
      <c r="S14" s="8" t="n">
        <f aca="false">SUM(R14,L14,I14,J14,W14,H14)</f>
        <v>0</v>
      </c>
      <c r="T14" s="6" t="str">
        <f aca="false">"Sem - "&amp;WEEKNUM(Q14,21)</f>
        <v>Sem - 48</v>
      </c>
      <c r="U14" s="6" t="str">
        <f aca="false">CHOOSE(MONTH(Q14),"Janvier","Février","Mars","Avril","Mai","Juin","Juillet","Août","Septembre","Octobre","Novembre","Décembre")</f>
        <v>Novembre</v>
      </c>
      <c r="V14" s="22" t="n">
        <f aca="false">YEAR(Q14)</f>
        <v>2025</v>
      </c>
      <c r="W14" s="20"/>
      <c r="X14" s="8" t="n">
        <f aca="false">IFERROR(IF(M14="Abs",0,IF(ROUND((D14-C14+E14-F14)*1440,0)&lt;=1,0,D14-C14+E14-F14)),0)</f>
        <v>0</v>
      </c>
      <c r="Y14" s="6" t="str">
        <f aca="false">IFERROR(VLOOKUP($B14,Agents!$A:$D,3,0),"-")</f>
        <v>OUBRAHIM Mohammed</v>
      </c>
      <c r="Z14" s="6" t="str">
        <f aca="false">IFERROR(VLOOKUP($B14,Agents!$A:$D,4,0),"-")</f>
        <v>Credit Mutuel</v>
      </c>
      <c r="AA14" s="18" t="s">
        <v>75</v>
      </c>
      <c r="AB14" s="8" t="str">
        <f aca="false">IF(AND(D14="Congé",F14="Congé"),0.333333333333333,IF(OR(AND(D14="Congé",F14&lt;&gt;"Congé"),(AND(F14="Congé",D14&lt;&gt;"Congé"))),0.166666666666667,""))</f>
        <v/>
      </c>
      <c r="AC14" s="8" t="str">
        <f aca="false">IF(AND(D14="Congé sans solde",F14="Congé sans solde"),0.333333333333333,IF(OR(AND(D14="Congé sans solde",F14&lt;&gt;"Congé sans solde"),(AND(F14="Congé sans solde",D14&lt;&gt;"Congé sans solde"))),0.166666666666667,""))</f>
        <v/>
      </c>
      <c r="AD14" s="8" t="str">
        <f aca="false">IF(AND(D14="Congé spécial",F14="Congé spécial"),0.333333333333333,IF(OR(AND(D14="Congé spécial",F14&lt;&gt;"Congé spécial"),AND(F14="Congé spécial",D14&lt;&gt;"Congé spécial")),0.166666666666667,""))</f>
        <v/>
      </c>
      <c r="AE14" s="8" t="str">
        <f aca="false">IF(AND(D14="Férié",F14="Férié"),0.333333333333333,IF(OR(AND(D14="Férié",F14&lt;&gt;"Férié"),(AND(F14="Férié",D14&lt;&gt;"Férié"))),0.166666666666667,""))</f>
        <v/>
      </c>
      <c r="AF14" s="18"/>
      <c r="AG14" s="18"/>
    </row>
    <row r="15" customFormat="false" ht="15" hidden="false" customHeight="false" outlineLevel="0" collapsed="false">
      <c r="A15" s="6" t="str">
        <f aca="false">YEAR(Q15-WEEKDAY(Q15,2)+4)&amp;"-S"&amp;TEXT(WEEKNUM(Q15,21),"00")</f>
        <v>2025-S48</v>
      </c>
      <c r="B15" s="18" t="s">
        <v>71</v>
      </c>
      <c r="C15" s="19" t="n">
        <v>0.331944444444444</v>
      </c>
      <c r="D15" s="19" t="n">
        <v>0.333333333333333</v>
      </c>
      <c r="E15" s="19" t="n">
        <v>0.75</v>
      </c>
      <c r="F15" s="19" t="n">
        <v>0.75</v>
      </c>
      <c r="G15" s="20"/>
      <c r="H15" s="20"/>
      <c r="I15" s="8" t="str">
        <f aca="false">IF(IF(OR(C15="",D15="Congé",D15="OFF",D15="Congé spécial"),"",IF(D15&gt;F15,D15-C15,IF(C15-D15&lt;0,0,C15-D15)))&lt;0.00068287037037037,"",IF(OR(D15="Congé",D15="OFF",C15="",D15="Congé spécial"),"",IF(D15&gt;F15,D15-C15,IF(C15-D15&lt;0,0,C15-D15))))</f>
        <v/>
      </c>
      <c r="J15" s="20"/>
      <c r="K15" s="8" t="n">
        <f aca="false">IF(SUM(H15:J15)&lt;0.00068287037037037,0,SUM(H15:J15))</f>
        <v>0</v>
      </c>
      <c r="L15" s="8" t="n">
        <f aca="false">IF(OR(F15="Congé",F15="OFF",M15="Abs",F15="Congé sans solde",F15="Férié",F15="Congé spécial",D15="Congé spécial"),0,IF(F15-E15&lt;0,0,IF(F15-E15&lt;=0.00068287037037037,0,F15-E15)))</f>
        <v>0</v>
      </c>
      <c r="M15" s="6" t="n">
        <f aca="false">IF(AND(O15&lt;&gt;0,C15=""),"Abs",0)</f>
        <v>0</v>
      </c>
      <c r="N15" s="8" t="n">
        <f aca="false">IFERROR(IF(OR(D15="OFF",D15="Congé",M15="Abs",D15="Congé sans solde",D15="Férié"),"",IF(O15-K15-L15&gt;O15,O15,IF(O15-K15-L15&lt;0,"",O15-K15-L15))),"")</f>
        <v>0.375</v>
      </c>
      <c r="O15" s="8" t="n">
        <f aca="false">IF(AG15="2H Pause déjeuner",IF(F15-D15-0.0833333333333333&lt;0,F15-D15-0.0833333333333333+1,F15-D15-0.0833333333333333),IF(OR(AND(F15="OFF",D15="OFF"),AND(F15="Congé",D15="Congé"),AND(F15="Congé sans solde",D15="Congé sans solde"),AND(F15="Congé spécial",D15="Congé spécial"),AND(F15="Férié",D15="Férié"),AND(F15="OFF",D15="Congé"),AND(F15="OFF",D15="Congé sans solde"),AND(F15="OFF",D15="Congé spécial"),AND(F15="OFF",D15="Férié"),AND(F15="Congé",D15="OFF"),AND(F15="Congé",D15="Congé sans solde"),AND(F15="Congé",D15="Congé spécial"),AND(F15="Congé",D15="Férié"),AND(F15="Congé sans solde",D15="OFF"),AND(F15="Congé sans solde",D15="Congé"),AND(F15="Congé sans solde",D15="Congé spécial"),AND(F15="Congé sans solde",D15="Férié"),AND(F15="Congé spécial",D15="OFF"),AND(F15="Congé spécial",D15="Congé"),AND(F15="Congé spécial",D15="Congé sans solde"),AND(F15="Congé spécial",D15="Férié"),AND(F15="Férié",D15="OFF"),AND(F15="Férié",D15="Congé"),AND(F15="Férié",D15="Congé sans solde"),AND(F15="Férié",D15="Congé spécial")),0,IF(OR(F15="OFF",F15="Congé",F15="Congé spécial",F15="Congé sans solde",D15="OFF",D15="Congé",D15="Congé spécial",D15="Congé sans solde"),0.208333333333334,IF(AND(AG15="",F15-D15&lt;0),("24:00:00"-D15)+("00:00:00"+F15)-0.0416666666666667,IF(AND(OR(AG15="Allaitement",AG15="Sans déjeuner"),F15-D15&lt;0),("24:00:00"-D15)+("00:00:00"+F15),IF(AND(AG15="",F15-D15&gt;0.166666666666667),F15-D15-0.0416666666666667,IF(AND(OR(AG15="Allaitement",AG15="Sans déjeuner"),F15-D15&gt;0.166666666666667),F15-D15,F15-D15)))))))</f>
        <v>0.375</v>
      </c>
      <c r="P15" s="6" t="str">
        <f aca="false">IFERROR(VLOOKUP($B15,Agents!$A:$D,2,0),"-")</f>
        <v>Accessibilité</v>
      </c>
      <c r="Q15" s="21" t="n">
        <v>45985</v>
      </c>
      <c r="R15" s="8" t="n">
        <f aca="false">IF(M15="Abs",O15,0)</f>
        <v>0</v>
      </c>
      <c r="S15" s="8" t="n">
        <f aca="false">SUM(R15,L15,I15,J15,W15,H15)</f>
        <v>0</v>
      </c>
      <c r="T15" s="6" t="str">
        <f aca="false">"Sem - "&amp;WEEKNUM(Q15,21)</f>
        <v>Sem - 48</v>
      </c>
      <c r="U15" s="6" t="str">
        <f aca="false">CHOOSE(MONTH(Q15),"Janvier","Février","Mars","Avril","Mai","Juin","Juillet","Août","Septembre","Octobre","Novembre","Décembre")</f>
        <v>Novembre</v>
      </c>
      <c r="V15" s="22" t="n">
        <f aca="false">YEAR(Q15)</f>
        <v>2025</v>
      </c>
      <c r="W15" s="20"/>
      <c r="X15" s="8" t="n">
        <f aca="false">IFERROR(IF(M15="Abs",0,IF(ROUND((D15-C15+E15-F15)*1440,0)&lt;=1,0,D15-C15+E15-F15)),0)</f>
        <v>0.00138888888888889</v>
      </c>
      <c r="Y15" s="6" t="str">
        <f aca="false">IFERROR(VLOOKUP($B15,Agents!$A:$D,3,0),"-")</f>
        <v>OUBRAHIM Mohammed</v>
      </c>
      <c r="Z15" s="6" t="str">
        <f aca="false">IFERROR(VLOOKUP($B15,Agents!$A:$D,4,0),"-")</f>
        <v>Credit Mutuel</v>
      </c>
      <c r="AA15" s="18" t="s">
        <v>75</v>
      </c>
      <c r="AB15" s="8" t="str">
        <f aca="false">IF(AND(D15="Congé",F15="Congé"),0.333333333333333,IF(OR(AND(D15="Congé",F15&lt;&gt;"Congé"),(AND(F15="Congé",D15&lt;&gt;"Congé"))),0.166666666666667,""))</f>
        <v/>
      </c>
      <c r="AC15" s="8" t="str">
        <f aca="false">IF(AND(D15="Congé sans solde",F15="Congé sans solde"),0.333333333333333,IF(OR(AND(D15="Congé sans solde",F15&lt;&gt;"Congé sans solde"),(AND(F15="Congé sans solde",D15&lt;&gt;"Congé sans solde"))),0.166666666666667,""))</f>
        <v/>
      </c>
      <c r="AD15" s="8" t="str">
        <f aca="false">IF(AND(D15="Congé spécial",F15="Congé spécial"),0.333333333333333,IF(OR(AND(D15="Congé spécial",F15&lt;&gt;"Congé spécial"),AND(F15="Congé spécial",D15&lt;&gt;"Congé spécial")),0.166666666666667,""))</f>
        <v/>
      </c>
      <c r="AE15" s="8" t="str">
        <f aca="false">IF(AND(D15="Férié",F15="Férié"),0.333333333333333,IF(OR(AND(D15="Férié",F15&lt;&gt;"Férié"),(AND(F15="Férié",D15&lt;&gt;"Férié"))),0.166666666666667,""))</f>
        <v/>
      </c>
      <c r="AF15" s="18"/>
      <c r="AG15" s="18"/>
    </row>
    <row r="16" customFormat="false" ht="15" hidden="false" customHeight="false" outlineLevel="0" collapsed="false">
      <c r="A16" s="6" t="str">
        <f aca="false">YEAR(Q16-WEEKDAY(Q16,2)+4)&amp;"-S"&amp;TEXT(WEEKNUM(Q16,21),"00")</f>
        <v>2025-S48</v>
      </c>
      <c r="B16" s="18" t="s">
        <v>72</v>
      </c>
      <c r="C16" s="19" t="n">
        <v>0.333333333333333</v>
      </c>
      <c r="D16" s="19" t="n">
        <v>0.333333333333333</v>
      </c>
      <c r="E16" s="19" t="n">
        <v>0.75</v>
      </c>
      <c r="F16" s="19" t="n">
        <v>0.75</v>
      </c>
      <c r="G16" s="20"/>
      <c r="H16" s="20"/>
      <c r="I16" s="8" t="str">
        <f aca="false">IF(IF(OR(C16="",D16="Congé",D16="OFF",D16="Congé spécial"),"",IF(D16&gt;F16,D16-C16,IF(C16-D16&lt;0,0,C16-D16)))&lt;0.00068287037037037,"",IF(OR(D16="Congé",D16="OFF",C16="",D16="Congé spécial"),"",IF(D16&gt;F16,D16-C16,IF(C16-D16&lt;0,0,C16-D16))))</f>
        <v/>
      </c>
      <c r="J16" s="20"/>
      <c r="K16" s="8" t="n">
        <f aca="false">IF(SUM(H16:J16)&lt;0.00068287037037037,0,SUM(H16:J16))</f>
        <v>0</v>
      </c>
      <c r="L16" s="8" t="n">
        <f aca="false">IF(OR(F16="Congé",F16="OFF",M16="Abs",F16="Congé sans solde",F16="Férié",F16="Congé spécial",D16="Congé spécial"),0,IF(F16-E16&lt;0,0,IF(F16-E16&lt;=0.00068287037037037,0,F16-E16)))</f>
        <v>0</v>
      </c>
      <c r="M16" s="6" t="n">
        <f aca="false">IF(AND(O16&lt;&gt;0,C16=""),"Abs",0)</f>
        <v>0</v>
      </c>
      <c r="N16" s="8" t="n">
        <f aca="false">IFERROR(IF(OR(D16="OFF",D16="Congé",M16="Abs",D16="Congé sans solde",D16="Férié"),"",IF(O16-K16-L16&gt;O16,O16,IF(O16-K16-L16&lt;0,"",O16-K16-L16))),"")</f>
        <v>0.375</v>
      </c>
      <c r="O16" s="8" t="n">
        <f aca="false">IF(AG16="2H Pause déjeuner",IF(F16-D16-0.0833333333333333&lt;0,F16-D16-0.0833333333333333+1,F16-D16-0.0833333333333333),IF(OR(AND(F16="OFF",D16="OFF"),AND(F16="Congé",D16="Congé"),AND(F16="Congé sans solde",D16="Congé sans solde"),AND(F16="Congé spécial",D16="Congé spécial"),AND(F16="Férié",D16="Férié"),AND(F16="OFF",D16="Congé"),AND(F16="OFF",D16="Congé sans solde"),AND(F16="OFF",D16="Congé spécial"),AND(F16="OFF",D16="Férié"),AND(F16="Congé",D16="OFF"),AND(F16="Congé",D16="Congé sans solde"),AND(F16="Congé",D16="Congé spécial"),AND(F16="Congé",D16="Férié"),AND(F16="Congé sans solde",D16="OFF"),AND(F16="Congé sans solde",D16="Congé"),AND(F16="Congé sans solde",D16="Congé spécial"),AND(F16="Congé sans solde",D16="Férié"),AND(F16="Congé spécial",D16="OFF"),AND(F16="Congé spécial",D16="Congé"),AND(F16="Congé spécial",D16="Congé sans solde"),AND(F16="Congé spécial",D16="Férié"),AND(F16="Férié",D16="OFF"),AND(F16="Férié",D16="Congé"),AND(F16="Férié",D16="Congé sans solde"),AND(F16="Férié",D16="Congé spécial")),0,IF(OR(F16="OFF",F16="Congé",F16="Congé spécial",F16="Congé sans solde",D16="OFF",D16="Congé",D16="Congé spécial",D16="Congé sans solde"),0.208333333333334,IF(AND(AG16="",F16-D16&lt;0),("24:00:00"-D16)+("00:00:00"+F16)-0.0416666666666667,IF(AND(OR(AG16="Allaitement",AG16="Sans déjeuner"),F16-D16&lt;0),("24:00:00"-D16)+("00:00:00"+F16),IF(AND(AG16="",F16-D16&gt;0.166666666666667),F16-D16-0.0416666666666667,IF(AND(OR(AG16="Allaitement",AG16="Sans déjeuner"),F16-D16&gt;0.166666666666667),F16-D16,F16-D16)))))))</f>
        <v>0.375</v>
      </c>
      <c r="P16" s="6" t="str">
        <f aca="false">IFERROR(VLOOKUP($B16,Agents!$A:$D,2,0),"-")</f>
        <v>Accessibilité</v>
      </c>
      <c r="Q16" s="21" t="n">
        <v>45985</v>
      </c>
      <c r="R16" s="8" t="n">
        <f aca="false">IF(M16="Abs",O16,0)</f>
        <v>0</v>
      </c>
      <c r="S16" s="8" t="n">
        <f aca="false">SUM(R16,L16,I16,J16,W16,H16)</f>
        <v>0</v>
      </c>
      <c r="T16" s="6" t="str">
        <f aca="false">"Sem - "&amp;WEEKNUM(Q16,21)</f>
        <v>Sem - 48</v>
      </c>
      <c r="U16" s="6" t="str">
        <f aca="false">CHOOSE(MONTH(Q16),"Janvier","Février","Mars","Avril","Mai","Juin","Juillet","Août","Septembre","Octobre","Novembre","Décembre")</f>
        <v>Novembre</v>
      </c>
      <c r="V16" s="22" t="n">
        <f aca="false">YEAR(Q16)</f>
        <v>2025</v>
      </c>
      <c r="W16" s="20"/>
      <c r="X16" s="8" t="n">
        <f aca="false">IFERROR(IF(M16="Abs",0,IF(ROUND((D16-C16+E16-F16)*1440,0)&lt;=1,0,D16-C16+E16-F16)),0)</f>
        <v>0</v>
      </c>
      <c r="Y16" s="6" t="str">
        <f aca="false">IFERROR(VLOOKUP($B16,Agents!$A:$D,3,0),"-")</f>
        <v>OUBRAHIM Mohammed</v>
      </c>
      <c r="Z16" s="6" t="str">
        <f aca="false">IFERROR(VLOOKUP($B16,Agents!$A:$D,4,0),"-")</f>
        <v>Credit Mutuel</v>
      </c>
      <c r="AA16" s="18" t="s">
        <v>75</v>
      </c>
      <c r="AB16" s="8" t="str">
        <f aca="false">IF(AND(D16="Congé",F16="Congé"),0.333333333333333,IF(OR(AND(D16="Congé",F16&lt;&gt;"Congé"),(AND(F16="Congé",D16&lt;&gt;"Congé"))),0.166666666666667,""))</f>
        <v/>
      </c>
      <c r="AC16" s="8" t="str">
        <f aca="false">IF(AND(D16="Congé sans solde",F16="Congé sans solde"),0.333333333333333,IF(OR(AND(D16="Congé sans solde",F16&lt;&gt;"Congé sans solde"),(AND(F16="Congé sans solde",D16&lt;&gt;"Congé sans solde"))),0.166666666666667,""))</f>
        <v/>
      </c>
      <c r="AD16" s="8" t="str">
        <f aca="false">IF(AND(D16="Congé spécial",F16="Congé spécial"),0.333333333333333,IF(OR(AND(D16="Congé spécial",F16&lt;&gt;"Congé spécial"),AND(F16="Congé spécial",D16&lt;&gt;"Congé spécial")),0.166666666666667,""))</f>
        <v/>
      </c>
      <c r="AE16" s="8" t="str">
        <f aca="false">IF(AND(D16="Férié",F16="Férié"),0.333333333333333,IF(OR(AND(D16="Férié",F16&lt;&gt;"Férié"),(AND(F16="Férié",D16&lt;&gt;"Férié"))),0.166666666666667,""))</f>
        <v/>
      </c>
      <c r="AF16" s="18"/>
      <c r="AG16" s="18"/>
    </row>
    <row r="17" customFormat="false" ht="15" hidden="false" customHeight="false" outlineLevel="0" collapsed="false">
      <c r="A17" s="6" t="str">
        <f aca="false">YEAR(Q17-WEEKDAY(Q17,2)+4)&amp;"-S"&amp;TEXT(WEEKNUM(Q17,21),"00")</f>
        <v>2025-S48</v>
      </c>
      <c r="B17" s="18" t="s">
        <v>73</v>
      </c>
      <c r="C17" s="19" t="n">
        <v>0.333333333333333</v>
      </c>
      <c r="D17" s="19" t="n">
        <v>0.333333333333333</v>
      </c>
      <c r="E17" s="19" t="n">
        <v>0.75</v>
      </c>
      <c r="F17" s="19" t="n">
        <v>0.75</v>
      </c>
      <c r="G17" s="20"/>
      <c r="H17" s="20"/>
      <c r="I17" s="8" t="str">
        <f aca="false">IF(IF(OR(C17="",D17="Congé",D17="OFF",D17="Congé spécial"),"",IF(D17&gt;F17,D17-C17,IF(C17-D17&lt;0,0,C17-D17)))&lt;0.00068287037037037,"",IF(OR(D17="Congé",D17="OFF",C17="",D17="Congé spécial"),"",IF(D17&gt;F17,D17-C17,IF(C17-D17&lt;0,0,C17-D17))))</f>
        <v/>
      </c>
      <c r="J17" s="20"/>
      <c r="K17" s="8" t="n">
        <f aca="false">IF(SUM(H17:J17)&lt;0.00068287037037037,0,SUM(H17:J17))</f>
        <v>0</v>
      </c>
      <c r="L17" s="8" t="n">
        <f aca="false">IF(OR(F17="Congé",F17="OFF",M17="Abs",F17="Congé sans solde",F17="Férié",F17="Congé spécial",D17="Congé spécial"),0,IF(F17-E17&lt;0,0,IF(F17-E17&lt;=0.00068287037037037,0,F17-E17)))</f>
        <v>0</v>
      </c>
      <c r="M17" s="6" t="n">
        <f aca="false">IF(AND(O17&lt;&gt;0,C17=""),"Abs",0)</f>
        <v>0</v>
      </c>
      <c r="N17" s="8" t="n">
        <f aca="false">IFERROR(IF(OR(D17="OFF",D17="Congé",M17="Abs",D17="Congé sans solde",D17="Férié"),"",IF(O17-K17-L17&gt;O17,O17,IF(O17-K17-L17&lt;0,"",O17-K17-L17))),"")</f>
        <v>0.375</v>
      </c>
      <c r="O17" s="8" t="n">
        <f aca="false">IF(AG17="2H Pause déjeuner",IF(F17-D17-0.0833333333333333&lt;0,F17-D17-0.0833333333333333+1,F17-D17-0.0833333333333333),IF(OR(AND(F17="OFF",D17="OFF"),AND(F17="Congé",D17="Congé"),AND(F17="Congé sans solde",D17="Congé sans solde"),AND(F17="Congé spécial",D17="Congé spécial"),AND(F17="Férié",D17="Férié"),AND(F17="OFF",D17="Congé"),AND(F17="OFF",D17="Congé sans solde"),AND(F17="OFF",D17="Congé spécial"),AND(F17="OFF",D17="Férié"),AND(F17="Congé",D17="OFF"),AND(F17="Congé",D17="Congé sans solde"),AND(F17="Congé",D17="Congé spécial"),AND(F17="Congé",D17="Férié"),AND(F17="Congé sans solde",D17="OFF"),AND(F17="Congé sans solde",D17="Congé"),AND(F17="Congé sans solde",D17="Congé spécial"),AND(F17="Congé sans solde",D17="Férié"),AND(F17="Congé spécial",D17="OFF"),AND(F17="Congé spécial",D17="Congé"),AND(F17="Congé spécial",D17="Congé sans solde"),AND(F17="Congé spécial",D17="Férié"),AND(F17="Férié",D17="OFF"),AND(F17="Férié",D17="Congé"),AND(F17="Férié",D17="Congé sans solde"),AND(F17="Férié",D17="Congé spécial")),0,IF(OR(F17="OFF",F17="Congé",F17="Congé spécial",F17="Congé sans solde",D17="OFF",D17="Congé",D17="Congé spécial",D17="Congé sans solde"),0.208333333333334,IF(AND(AG17="",F17-D17&lt;0),("24:00:00"-D17)+("00:00:00"+F17)-0.0416666666666667,IF(AND(OR(AG17="Allaitement",AG17="Sans déjeuner"),F17-D17&lt;0),("24:00:00"-D17)+("00:00:00"+F17),IF(AND(AG17="",F17-D17&gt;0.166666666666667),F17-D17-0.0416666666666667,IF(AND(OR(AG17="Allaitement",AG17="Sans déjeuner"),F17-D17&gt;0.166666666666667),F17-D17,F17-D17)))))))</f>
        <v>0.375</v>
      </c>
      <c r="P17" s="6" t="str">
        <f aca="false">IFERROR(VLOOKUP($B17,Agents!$A:$D,2,0),"-")</f>
        <v>Accessibilité</v>
      </c>
      <c r="Q17" s="21" t="n">
        <v>45985</v>
      </c>
      <c r="R17" s="8" t="n">
        <f aca="false">IF(M17="Abs",O17,0)</f>
        <v>0</v>
      </c>
      <c r="S17" s="8" t="n">
        <f aca="false">SUM(R17,L17,I17,J17,W17,H17)</f>
        <v>0</v>
      </c>
      <c r="T17" s="6" t="str">
        <f aca="false">"Sem - "&amp;WEEKNUM(Q17,21)</f>
        <v>Sem - 48</v>
      </c>
      <c r="U17" s="6" t="str">
        <f aca="false">CHOOSE(MONTH(Q17),"Janvier","Février","Mars","Avril","Mai","Juin","Juillet","Août","Septembre","Octobre","Novembre","Décembre")</f>
        <v>Novembre</v>
      </c>
      <c r="V17" s="22" t="n">
        <f aca="false">YEAR(Q17)</f>
        <v>2025</v>
      </c>
      <c r="W17" s="20"/>
      <c r="X17" s="8" t="n">
        <f aca="false">IFERROR(IF(M17="Abs",0,IF(ROUND((D17-C17+E17-F17)*1440,0)&lt;=1,0,D17-C17+E17-F17)),0)</f>
        <v>0</v>
      </c>
      <c r="Y17" s="6" t="str">
        <f aca="false">IFERROR(VLOOKUP($B17,Agents!$A:$D,3,0),"-")</f>
        <v>OUBRAHIM Mohammed</v>
      </c>
      <c r="Z17" s="6" t="str">
        <f aca="false">IFERROR(VLOOKUP($B17,Agents!$A:$D,4,0),"-")</f>
        <v>Credit Mutuel</v>
      </c>
      <c r="AA17" s="18" t="s">
        <v>75</v>
      </c>
      <c r="AB17" s="8" t="str">
        <f aca="false">IF(AND(D17="Congé",F17="Congé"),0.333333333333333,IF(OR(AND(D17="Congé",F17&lt;&gt;"Congé"),(AND(F17="Congé",D17&lt;&gt;"Congé"))),0.166666666666667,""))</f>
        <v/>
      </c>
      <c r="AC17" s="8" t="str">
        <f aca="false">IF(AND(D17="Congé sans solde",F17="Congé sans solde"),0.333333333333333,IF(OR(AND(D17="Congé sans solde",F17&lt;&gt;"Congé sans solde"),(AND(F17="Congé sans solde",D17&lt;&gt;"Congé sans solde"))),0.166666666666667,""))</f>
        <v/>
      </c>
      <c r="AD17" s="8" t="str">
        <f aca="false">IF(AND(D17="Congé spécial",F17="Congé spécial"),0.333333333333333,IF(OR(AND(D17="Congé spécial",F17&lt;&gt;"Congé spécial"),AND(F17="Congé spécial",D17&lt;&gt;"Congé spécial")),0.166666666666667,""))</f>
        <v/>
      </c>
      <c r="AE17" s="8" t="str">
        <f aca="false">IF(AND(D17="Férié",F17="Férié"),0.333333333333333,IF(OR(AND(D17="Férié",F17&lt;&gt;"Férié"),(AND(F17="Férié",D17&lt;&gt;"Férié"))),0.166666666666667,""))</f>
        <v/>
      </c>
      <c r="AF17" s="18"/>
      <c r="AG17" s="18"/>
    </row>
    <row r="18" customFormat="false" ht="15" hidden="false" customHeight="false" outlineLevel="0" collapsed="false">
      <c r="A18" s="6" t="str">
        <f aca="false">YEAR(Q18-WEEKDAY(Q18,2)+4)&amp;"-S"&amp;TEXT(WEEKNUM(Q18,21),"00")</f>
        <v>2025-S48</v>
      </c>
      <c r="B18" s="18" t="s">
        <v>69</v>
      </c>
      <c r="C18" s="19" t="n">
        <v>0.331944444444444</v>
      </c>
      <c r="D18" s="19" t="n">
        <v>0.333333333333333</v>
      </c>
      <c r="E18" s="19" t="n">
        <v>0.75</v>
      </c>
      <c r="F18" s="19" t="n">
        <v>0.75</v>
      </c>
      <c r="G18" s="20"/>
      <c r="H18" s="20"/>
      <c r="I18" s="8" t="str">
        <f aca="false">IF(IF(OR(C18="",D18="Congé",D18="OFF",D18="Congé spécial"),"",IF(D18&gt;F18,D18-C18,IF(C18-D18&lt;0,0,C18-D18)))&lt;0.00068287037037037,"",IF(OR(D18="Congé",D18="OFF",C18="",D18="Congé spécial"),"",IF(D18&gt;F18,D18-C18,IF(C18-D18&lt;0,0,C18-D18))))</f>
        <v/>
      </c>
      <c r="J18" s="20"/>
      <c r="K18" s="8" t="n">
        <f aca="false">IF(SUM(H18:J18)&lt;0.00068287037037037,0,SUM(H18:J18))</f>
        <v>0</v>
      </c>
      <c r="L18" s="8" t="n">
        <f aca="false">IF(OR(F18="Congé",F18="OFF",M18="Abs",F18="Congé sans solde",F18="Férié",F18="Congé spécial",D18="Congé spécial"),0,IF(F18-E18&lt;0,0,IF(F18-E18&lt;=0.00068287037037037,0,F18-E18)))</f>
        <v>0</v>
      </c>
      <c r="M18" s="6" t="n">
        <f aca="false">IF(AND(O18&lt;&gt;0,C18=""),"Abs",0)</f>
        <v>0</v>
      </c>
      <c r="N18" s="8" t="n">
        <f aca="false">IFERROR(IF(OR(D18="OFF",D18="Congé",M18="Abs",D18="Congé sans solde",D18="Férié"),"",IF(O18-K18-L18&gt;O18,O18,IF(O18-K18-L18&lt;0,"",O18-K18-L18))),"")</f>
        <v>0.375</v>
      </c>
      <c r="O18" s="8" t="n">
        <f aca="false">IF(AG18="2H Pause déjeuner",IF(F18-D18-0.0833333333333333&lt;0,F18-D18-0.0833333333333333+1,F18-D18-0.0833333333333333),IF(OR(AND(F18="OFF",D18="OFF"),AND(F18="Congé",D18="Congé"),AND(F18="Congé sans solde",D18="Congé sans solde"),AND(F18="Congé spécial",D18="Congé spécial"),AND(F18="Férié",D18="Férié"),AND(F18="OFF",D18="Congé"),AND(F18="OFF",D18="Congé sans solde"),AND(F18="OFF",D18="Congé spécial"),AND(F18="OFF",D18="Férié"),AND(F18="Congé",D18="OFF"),AND(F18="Congé",D18="Congé sans solde"),AND(F18="Congé",D18="Congé spécial"),AND(F18="Congé",D18="Férié"),AND(F18="Congé sans solde",D18="OFF"),AND(F18="Congé sans solde",D18="Congé"),AND(F18="Congé sans solde",D18="Congé spécial"),AND(F18="Congé sans solde",D18="Férié"),AND(F18="Congé spécial",D18="OFF"),AND(F18="Congé spécial",D18="Congé"),AND(F18="Congé spécial",D18="Congé sans solde"),AND(F18="Congé spécial",D18="Férié"),AND(F18="Férié",D18="OFF"),AND(F18="Férié",D18="Congé"),AND(F18="Férié",D18="Congé sans solde"),AND(F18="Férié",D18="Congé spécial")),0,IF(OR(F18="OFF",F18="Congé",F18="Congé spécial",F18="Congé sans solde",D18="OFF",D18="Congé",D18="Congé spécial",D18="Congé sans solde"),0.208333333333334,IF(AND(AG18="",F18-D18&lt;0),("24:00:00"-D18)+("00:00:00"+F18)-0.0416666666666667,IF(AND(OR(AG18="Allaitement",AG18="Sans déjeuner"),F18-D18&lt;0),("24:00:00"-D18)+("00:00:00"+F18),IF(AND(AG18="",F18-D18&gt;0.166666666666667),F18-D18-0.0416666666666667,IF(AND(OR(AG18="Allaitement",AG18="Sans déjeuner"),F18-D18&gt;0.166666666666667),F18-D18,F18-D18)))))))</f>
        <v>0.375</v>
      </c>
      <c r="P18" s="6" t="str">
        <f aca="false">IFERROR(VLOOKUP($B18,Agents!$A:$D,2,0),"-")</f>
        <v>Accessibilité</v>
      </c>
      <c r="Q18" s="21" t="n">
        <v>45986</v>
      </c>
      <c r="R18" s="8" t="n">
        <f aca="false">IF(M18="Abs",O18,0)</f>
        <v>0</v>
      </c>
      <c r="S18" s="8" t="n">
        <f aca="false">SUM(R18,L18,I18,J18,W18,H18)</f>
        <v>0</v>
      </c>
      <c r="T18" s="6" t="str">
        <f aca="false">"Sem - "&amp;WEEKNUM(Q18,21)</f>
        <v>Sem - 48</v>
      </c>
      <c r="U18" s="6" t="str">
        <f aca="false">CHOOSE(MONTH(Q18),"Janvier","Février","Mars","Avril","Mai","Juin","Juillet","Août","Septembre","Octobre","Novembre","Décembre")</f>
        <v>Novembre</v>
      </c>
      <c r="V18" s="22" t="n">
        <f aca="false">YEAR(Q18)</f>
        <v>2025</v>
      </c>
      <c r="W18" s="20"/>
      <c r="X18" s="8" t="n">
        <f aca="false">IFERROR(IF(M18="Abs",0,IF(ROUND((D18-C18+E18-F18)*1440,0)&lt;=1,0,D18-C18+E18-F18)),0)</f>
        <v>0.00138888888888889</v>
      </c>
      <c r="Y18" s="6" t="str">
        <f aca="false">IFERROR(VLOOKUP($B18,Agents!$A:$D,3,0),"-")</f>
        <v>OUBRAHIM Mohammed</v>
      </c>
      <c r="Z18" s="6" t="str">
        <f aca="false">IFERROR(VLOOKUP($B18,Agents!$A:$D,4,0),"-")</f>
        <v>Credit Mutuel</v>
      </c>
      <c r="AA18" s="18" t="s">
        <v>75</v>
      </c>
      <c r="AB18" s="8" t="str">
        <f aca="false">IF(AND(D18="Congé",F18="Congé"),0.333333333333333,IF(OR(AND(D18="Congé",F18&lt;&gt;"Congé"),(AND(F18="Congé",D18&lt;&gt;"Congé"))),0.166666666666667,""))</f>
        <v/>
      </c>
      <c r="AC18" s="8" t="str">
        <f aca="false">IF(AND(D18="Congé sans solde",F18="Congé sans solde"),0.333333333333333,IF(OR(AND(D18="Congé sans solde",F18&lt;&gt;"Congé sans solde"),(AND(F18="Congé sans solde",D18&lt;&gt;"Congé sans solde"))),0.166666666666667,""))</f>
        <v/>
      </c>
      <c r="AD18" s="8" t="str">
        <f aca="false">IF(AND(D18="Congé spécial",F18="Congé spécial"),0.333333333333333,IF(OR(AND(D18="Congé spécial",F18&lt;&gt;"Congé spécial"),AND(F18="Congé spécial",D18&lt;&gt;"Congé spécial")),0.166666666666667,""))</f>
        <v/>
      </c>
      <c r="AE18" s="8" t="str">
        <f aca="false">IF(AND(D18="Férié",F18="Férié"),0.333333333333333,IF(OR(AND(D18="Férié",F18&lt;&gt;"Férié"),(AND(F18="Férié",D18&lt;&gt;"Férié"))),0.166666666666667,""))</f>
        <v/>
      </c>
      <c r="AF18" s="18"/>
      <c r="AG18" s="18"/>
    </row>
    <row r="19" customFormat="false" ht="15" hidden="false" customHeight="false" outlineLevel="0" collapsed="false">
      <c r="A19" s="6" t="str">
        <f aca="false">YEAR(Q19-WEEKDAY(Q19,2)+4)&amp;"-S"&amp;TEXT(WEEKNUM(Q19,21),"00")</f>
        <v>2025-S48</v>
      </c>
      <c r="B19" s="18" t="s">
        <v>71</v>
      </c>
      <c r="C19" s="19" t="n">
        <v>0.331944444444444</v>
      </c>
      <c r="D19" s="19" t="n">
        <v>0.333333333333333</v>
      </c>
      <c r="E19" s="19" t="n">
        <v>0.75</v>
      </c>
      <c r="F19" s="19" t="n">
        <v>0.75</v>
      </c>
      <c r="G19" s="20"/>
      <c r="H19" s="20"/>
      <c r="I19" s="8" t="str">
        <f aca="false">IF(IF(OR(C19="",D19="Congé",D19="OFF",D19="Congé spécial"),"",IF(D19&gt;F19,D19-C19,IF(C19-D19&lt;0,0,C19-D19)))&lt;0.00068287037037037,"",IF(OR(D19="Congé",D19="OFF",C19="",D19="Congé spécial"),"",IF(D19&gt;F19,D19-C19,IF(C19-D19&lt;0,0,C19-D19))))</f>
        <v/>
      </c>
      <c r="J19" s="20"/>
      <c r="K19" s="8" t="n">
        <f aca="false">IF(SUM(H19:J19)&lt;0.00068287037037037,0,SUM(H19:J19))</f>
        <v>0</v>
      </c>
      <c r="L19" s="8" t="n">
        <f aca="false">IF(OR(F19="Congé",F19="OFF",M19="Abs",F19="Congé sans solde",F19="Férié",F19="Congé spécial",D19="Congé spécial"),0,IF(F19-E19&lt;0,0,IF(F19-E19&lt;=0.00068287037037037,0,F19-E19)))</f>
        <v>0</v>
      </c>
      <c r="M19" s="6" t="n">
        <f aca="false">IF(AND(O19&lt;&gt;0,C19=""),"Abs",0)</f>
        <v>0</v>
      </c>
      <c r="N19" s="8" t="n">
        <f aca="false">IFERROR(IF(OR(D19="OFF",D19="Congé",M19="Abs",D19="Congé sans solde",D19="Férié"),"",IF(O19-K19-L19&gt;O19,O19,IF(O19-K19-L19&lt;0,"",O19-K19-L19))),"")</f>
        <v>0.375</v>
      </c>
      <c r="O19" s="8" t="n">
        <f aca="false">IF(AG19="2H Pause déjeuner",IF(F19-D19-0.0833333333333333&lt;0,F19-D19-0.0833333333333333+1,F19-D19-0.0833333333333333),IF(OR(AND(F19="OFF",D19="OFF"),AND(F19="Congé",D19="Congé"),AND(F19="Congé sans solde",D19="Congé sans solde"),AND(F19="Congé spécial",D19="Congé spécial"),AND(F19="Férié",D19="Férié"),AND(F19="OFF",D19="Congé"),AND(F19="OFF",D19="Congé sans solde"),AND(F19="OFF",D19="Congé spécial"),AND(F19="OFF",D19="Férié"),AND(F19="Congé",D19="OFF"),AND(F19="Congé",D19="Congé sans solde"),AND(F19="Congé",D19="Congé spécial"),AND(F19="Congé",D19="Férié"),AND(F19="Congé sans solde",D19="OFF"),AND(F19="Congé sans solde",D19="Congé"),AND(F19="Congé sans solde",D19="Congé spécial"),AND(F19="Congé sans solde",D19="Férié"),AND(F19="Congé spécial",D19="OFF"),AND(F19="Congé spécial",D19="Congé"),AND(F19="Congé spécial",D19="Congé sans solde"),AND(F19="Congé spécial",D19="Férié"),AND(F19="Férié",D19="OFF"),AND(F19="Férié",D19="Congé"),AND(F19="Férié",D19="Congé sans solde"),AND(F19="Férié",D19="Congé spécial")),0,IF(OR(F19="OFF",F19="Congé",F19="Congé spécial",F19="Congé sans solde",D19="OFF",D19="Congé",D19="Congé spécial",D19="Congé sans solde"),0.208333333333334,IF(AND(AG19="",F19-D19&lt;0),("24:00:00"-D19)+("00:00:00"+F19)-0.0416666666666667,IF(AND(OR(AG19="Allaitement",AG19="Sans déjeuner"),F19-D19&lt;0),("24:00:00"-D19)+("00:00:00"+F19),IF(AND(AG19="",F19-D19&gt;0.166666666666667),F19-D19-0.0416666666666667,IF(AND(OR(AG19="Allaitement",AG19="Sans déjeuner"),F19-D19&gt;0.166666666666667),F19-D19,F19-D19)))))))</f>
        <v>0.375</v>
      </c>
      <c r="P19" s="6" t="str">
        <f aca="false">IFERROR(VLOOKUP($B19,Agents!$A:$D,2,0),"-")</f>
        <v>Accessibilité</v>
      </c>
      <c r="Q19" s="21" t="n">
        <v>45986</v>
      </c>
      <c r="R19" s="8" t="n">
        <f aca="false">IF(M19="Abs",O19,0)</f>
        <v>0</v>
      </c>
      <c r="S19" s="8" t="n">
        <f aca="false">SUM(R19,L19,I19,J19,W19,H19)</f>
        <v>0</v>
      </c>
      <c r="T19" s="6" t="str">
        <f aca="false">"Sem - "&amp;WEEKNUM(Q19,21)</f>
        <v>Sem - 48</v>
      </c>
      <c r="U19" s="6" t="str">
        <f aca="false">CHOOSE(MONTH(Q19),"Janvier","Février","Mars","Avril","Mai","Juin","Juillet","Août","Septembre","Octobre","Novembre","Décembre")</f>
        <v>Novembre</v>
      </c>
      <c r="V19" s="22" t="n">
        <f aca="false">YEAR(Q19)</f>
        <v>2025</v>
      </c>
      <c r="W19" s="20"/>
      <c r="X19" s="8" t="n">
        <f aca="false">IFERROR(IF(M19="Abs",0,IF(ROUND((D19-C19+E19-F19)*1440,0)&lt;=1,0,D19-C19+E19-F19)),0)</f>
        <v>0.00138888888888889</v>
      </c>
      <c r="Y19" s="6" t="str">
        <f aca="false">IFERROR(VLOOKUP($B19,Agents!$A:$D,3,0),"-")</f>
        <v>OUBRAHIM Mohammed</v>
      </c>
      <c r="Z19" s="6" t="str">
        <f aca="false">IFERROR(VLOOKUP($B19,Agents!$A:$D,4,0),"-")</f>
        <v>Credit Mutuel</v>
      </c>
      <c r="AA19" s="18" t="s">
        <v>75</v>
      </c>
      <c r="AB19" s="8" t="str">
        <f aca="false">IF(AND(D19="Congé",F19="Congé"),0.333333333333333,IF(OR(AND(D19="Congé",F19&lt;&gt;"Congé"),(AND(F19="Congé",D19&lt;&gt;"Congé"))),0.166666666666667,""))</f>
        <v/>
      </c>
      <c r="AC19" s="8" t="str">
        <f aca="false">IF(AND(D19="Congé sans solde",F19="Congé sans solde"),0.333333333333333,IF(OR(AND(D19="Congé sans solde",F19&lt;&gt;"Congé sans solde"),(AND(F19="Congé sans solde",D19&lt;&gt;"Congé sans solde"))),0.166666666666667,""))</f>
        <v/>
      </c>
      <c r="AD19" s="8" t="str">
        <f aca="false">IF(AND(D19="Congé spécial",F19="Congé spécial"),0.333333333333333,IF(OR(AND(D19="Congé spécial",F19&lt;&gt;"Congé spécial"),AND(F19="Congé spécial",D19&lt;&gt;"Congé spécial")),0.166666666666667,""))</f>
        <v/>
      </c>
      <c r="AE19" s="8" t="str">
        <f aca="false">IF(AND(D19="Férié",F19="Férié"),0.333333333333333,IF(OR(AND(D19="Férié",F19&lt;&gt;"Férié"),(AND(F19="Férié",D19&lt;&gt;"Férié"))),0.166666666666667,""))</f>
        <v/>
      </c>
      <c r="AF19" s="18"/>
      <c r="AG19" s="18"/>
    </row>
    <row r="20" customFormat="false" ht="15" hidden="false" customHeight="false" outlineLevel="0" collapsed="false">
      <c r="A20" s="6" t="str">
        <f aca="false">YEAR(Q20-WEEKDAY(Q20,2)+4)&amp;"-S"&amp;TEXT(WEEKNUM(Q20,21),"00")</f>
        <v>2025-S48</v>
      </c>
      <c r="B20" s="18" t="s">
        <v>72</v>
      </c>
      <c r="C20" s="19" t="n">
        <v>0.332638888888889</v>
      </c>
      <c r="D20" s="19" t="n">
        <v>0.333333333333333</v>
      </c>
      <c r="E20" s="19" t="n">
        <v>0.75</v>
      </c>
      <c r="F20" s="19" t="n">
        <v>0.75</v>
      </c>
      <c r="G20" s="20"/>
      <c r="H20" s="20"/>
      <c r="I20" s="8" t="str">
        <f aca="false">IF(IF(OR(C20="",D20="Congé",D20="OFF",D20="Congé spécial"),"",IF(D20&gt;F20,D20-C20,IF(C20-D20&lt;0,0,C20-D20)))&lt;0.00068287037037037,"",IF(OR(D20="Congé",D20="OFF",C20="",D20="Congé spécial"),"",IF(D20&gt;F20,D20-C20,IF(C20-D20&lt;0,0,C20-D20))))</f>
        <v/>
      </c>
      <c r="J20" s="20"/>
      <c r="K20" s="8" t="n">
        <f aca="false">IF(SUM(H20:J20)&lt;0.00068287037037037,0,SUM(H20:J20))</f>
        <v>0</v>
      </c>
      <c r="L20" s="8" t="n">
        <f aca="false">IF(OR(F20="Congé",F20="OFF",M20="Abs",F20="Congé sans solde",F20="Férié",F20="Congé spécial",D20="Congé spécial"),0,IF(F20-E20&lt;0,0,IF(F20-E20&lt;=0.00068287037037037,0,F20-E20)))</f>
        <v>0</v>
      </c>
      <c r="M20" s="6" t="n">
        <f aca="false">IF(AND(O20&lt;&gt;0,C20=""),"Abs",0)</f>
        <v>0</v>
      </c>
      <c r="N20" s="8" t="n">
        <f aca="false">IFERROR(IF(OR(D20="OFF",D20="Congé",M20="Abs",D20="Congé sans solde",D20="Férié"),"",IF(O20-K20-L20&gt;O20,O20,IF(O20-K20-L20&lt;0,"",O20-K20-L20))),"")</f>
        <v>0.375</v>
      </c>
      <c r="O20" s="8" t="n">
        <f aca="false">IF(AG20="2H Pause déjeuner",IF(F20-D20-0.0833333333333333&lt;0,F20-D20-0.0833333333333333+1,F20-D20-0.0833333333333333),IF(OR(AND(F20="OFF",D20="OFF"),AND(F20="Congé",D20="Congé"),AND(F20="Congé sans solde",D20="Congé sans solde"),AND(F20="Congé spécial",D20="Congé spécial"),AND(F20="Férié",D20="Férié"),AND(F20="OFF",D20="Congé"),AND(F20="OFF",D20="Congé sans solde"),AND(F20="OFF",D20="Congé spécial"),AND(F20="OFF",D20="Férié"),AND(F20="Congé",D20="OFF"),AND(F20="Congé",D20="Congé sans solde"),AND(F20="Congé",D20="Congé spécial"),AND(F20="Congé",D20="Férié"),AND(F20="Congé sans solde",D20="OFF"),AND(F20="Congé sans solde",D20="Congé"),AND(F20="Congé sans solde",D20="Congé spécial"),AND(F20="Congé sans solde",D20="Férié"),AND(F20="Congé spécial",D20="OFF"),AND(F20="Congé spécial",D20="Congé"),AND(F20="Congé spécial",D20="Congé sans solde"),AND(F20="Congé spécial",D20="Férié"),AND(F20="Férié",D20="OFF"),AND(F20="Férié",D20="Congé"),AND(F20="Férié",D20="Congé sans solde"),AND(F20="Férié",D20="Congé spécial")),0,IF(OR(F20="OFF",F20="Congé",F20="Congé spécial",F20="Congé sans solde",D20="OFF",D20="Congé",D20="Congé spécial",D20="Congé sans solde"),0.208333333333334,IF(AND(AG20="",F20-D20&lt;0),("24:00:00"-D20)+("00:00:00"+F20)-0.0416666666666667,IF(AND(OR(AG20="Allaitement",AG20="Sans déjeuner"),F20-D20&lt;0),("24:00:00"-D20)+("00:00:00"+F20),IF(AND(AG20="",F20-D20&gt;0.166666666666667),F20-D20-0.0416666666666667,IF(AND(OR(AG20="Allaitement",AG20="Sans déjeuner"),F20-D20&gt;0.166666666666667),F20-D20,F20-D20)))))))</f>
        <v>0.375</v>
      </c>
      <c r="P20" s="6" t="str">
        <f aca="false">IFERROR(VLOOKUP($B20,Agents!$A:$D,2,0),"-")</f>
        <v>Accessibilité</v>
      </c>
      <c r="Q20" s="21" t="n">
        <v>45986</v>
      </c>
      <c r="R20" s="8" t="n">
        <f aca="false">IF(M20="Abs",O20,0)</f>
        <v>0</v>
      </c>
      <c r="S20" s="8" t="n">
        <f aca="false">SUM(R20,L20,I20,J20,W20,H20)</f>
        <v>0</v>
      </c>
      <c r="T20" s="6" t="str">
        <f aca="false">"Sem - "&amp;WEEKNUM(Q20,21)</f>
        <v>Sem - 48</v>
      </c>
      <c r="U20" s="6" t="str">
        <f aca="false">CHOOSE(MONTH(Q20),"Janvier","Février","Mars","Avril","Mai","Juin","Juillet","Août","Septembre","Octobre","Novembre","Décembre")</f>
        <v>Novembre</v>
      </c>
      <c r="V20" s="22" t="n">
        <f aca="false">YEAR(Q20)</f>
        <v>2025</v>
      </c>
      <c r="W20" s="20"/>
      <c r="X20" s="8" t="n">
        <f aca="false">IFERROR(IF(M20="Abs",0,IF(ROUND((D20-C20+E20-F20)*1440,0)&lt;=1,0,D20-C20+E20-F20)),0)</f>
        <v>0</v>
      </c>
      <c r="Y20" s="6" t="str">
        <f aca="false">IFERROR(VLOOKUP($B20,Agents!$A:$D,3,0),"-")</f>
        <v>OUBRAHIM Mohammed</v>
      </c>
      <c r="Z20" s="6" t="str">
        <f aca="false">IFERROR(VLOOKUP($B20,Agents!$A:$D,4,0),"-")</f>
        <v>Credit Mutuel</v>
      </c>
      <c r="AA20" s="18" t="s">
        <v>75</v>
      </c>
      <c r="AB20" s="8" t="str">
        <f aca="false">IF(AND(D20="Congé",F20="Congé"),0.333333333333333,IF(OR(AND(D20="Congé",F20&lt;&gt;"Congé"),(AND(F20="Congé",D20&lt;&gt;"Congé"))),0.166666666666667,""))</f>
        <v/>
      </c>
      <c r="AC20" s="8" t="str">
        <f aca="false">IF(AND(D20="Congé sans solde",F20="Congé sans solde"),0.333333333333333,IF(OR(AND(D20="Congé sans solde",F20&lt;&gt;"Congé sans solde"),(AND(F20="Congé sans solde",D20&lt;&gt;"Congé sans solde"))),0.166666666666667,""))</f>
        <v/>
      </c>
      <c r="AD20" s="8" t="str">
        <f aca="false">IF(AND(D20="Congé spécial",F20="Congé spécial"),0.333333333333333,IF(OR(AND(D20="Congé spécial",F20&lt;&gt;"Congé spécial"),AND(F20="Congé spécial",D20&lt;&gt;"Congé spécial")),0.166666666666667,""))</f>
        <v/>
      </c>
      <c r="AE20" s="8" t="str">
        <f aca="false">IF(AND(D20="Férié",F20="Férié"),0.333333333333333,IF(OR(AND(D20="Férié",F20&lt;&gt;"Férié"),(AND(F20="Férié",D20&lt;&gt;"Férié"))),0.166666666666667,""))</f>
        <v/>
      </c>
      <c r="AF20" s="18"/>
      <c r="AG20" s="18"/>
    </row>
    <row r="21" customFormat="false" ht="15" hidden="false" customHeight="false" outlineLevel="0" collapsed="false">
      <c r="A21" s="6" t="str">
        <f aca="false">YEAR(Q21-WEEKDAY(Q21,2)+4)&amp;"-S"&amp;TEXT(WEEKNUM(Q21,21),"00")</f>
        <v>2025-S48</v>
      </c>
      <c r="B21" s="18" t="s">
        <v>73</v>
      </c>
      <c r="C21" s="19" t="n">
        <v>0.332638888888889</v>
      </c>
      <c r="D21" s="19" t="n">
        <v>0.333333333333333</v>
      </c>
      <c r="E21" s="19" t="n">
        <v>0.75</v>
      </c>
      <c r="F21" s="19" t="n">
        <v>0.75</v>
      </c>
      <c r="G21" s="20"/>
      <c r="H21" s="20"/>
      <c r="I21" s="8" t="str">
        <f aca="false">IF(IF(OR(C21="",D21="Congé",D21="OFF",D21="Congé spécial"),"",IF(D21&gt;F21,D21-C21,IF(C21-D21&lt;0,0,C21-D21)))&lt;0.00068287037037037,"",IF(OR(D21="Congé",D21="OFF",C21="",D21="Congé spécial"),"",IF(D21&gt;F21,D21-C21,IF(C21-D21&lt;0,0,C21-D21))))</f>
        <v/>
      </c>
      <c r="J21" s="20"/>
      <c r="K21" s="8" t="n">
        <f aca="false">IF(SUM(H21:J21)&lt;0.00068287037037037,0,SUM(H21:J21))</f>
        <v>0</v>
      </c>
      <c r="L21" s="8" t="n">
        <f aca="false">IF(OR(F21="Congé",F21="OFF",M21="Abs",F21="Congé sans solde",F21="Férié",F21="Congé spécial",D21="Congé spécial"),0,IF(F21-E21&lt;0,0,IF(F21-E21&lt;=0.00068287037037037,0,F21-E21)))</f>
        <v>0</v>
      </c>
      <c r="M21" s="6" t="n">
        <f aca="false">IF(AND(O21&lt;&gt;0,C21=""),"Abs",0)</f>
        <v>0</v>
      </c>
      <c r="N21" s="8" t="n">
        <f aca="false">IFERROR(IF(OR(D21="OFF",D21="Congé",M21="Abs",D21="Congé sans solde",D21="Férié"),"",IF(O21-K21-L21&gt;O21,O21,IF(O21-K21-L21&lt;0,"",O21-K21-L21))),"")</f>
        <v>0.375</v>
      </c>
      <c r="O21" s="8" t="n">
        <f aca="false">IF(AG21="2H Pause déjeuner",IF(F21-D21-0.0833333333333333&lt;0,F21-D21-0.0833333333333333+1,F21-D21-0.0833333333333333),IF(OR(AND(F21="OFF",D21="OFF"),AND(F21="Congé",D21="Congé"),AND(F21="Congé sans solde",D21="Congé sans solde"),AND(F21="Congé spécial",D21="Congé spécial"),AND(F21="Férié",D21="Férié"),AND(F21="OFF",D21="Congé"),AND(F21="OFF",D21="Congé sans solde"),AND(F21="OFF",D21="Congé spécial"),AND(F21="OFF",D21="Férié"),AND(F21="Congé",D21="OFF"),AND(F21="Congé",D21="Congé sans solde"),AND(F21="Congé",D21="Congé spécial"),AND(F21="Congé",D21="Férié"),AND(F21="Congé sans solde",D21="OFF"),AND(F21="Congé sans solde",D21="Congé"),AND(F21="Congé sans solde",D21="Congé spécial"),AND(F21="Congé sans solde",D21="Férié"),AND(F21="Congé spécial",D21="OFF"),AND(F21="Congé spécial",D21="Congé"),AND(F21="Congé spécial",D21="Congé sans solde"),AND(F21="Congé spécial",D21="Férié"),AND(F21="Férié",D21="OFF"),AND(F21="Férié",D21="Congé"),AND(F21="Férié",D21="Congé sans solde"),AND(F21="Férié",D21="Congé spécial")),0,IF(OR(F21="OFF",F21="Congé",F21="Congé spécial",F21="Congé sans solde",D21="OFF",D21="Congé",D21="Congé spécial",D21="Congé sans solde"),0.208333333333334,IF(AND(AG21="",F21-D21&lt;0),("24:00:00"-D21)+("00:00:00"+F21)-0.0416666666666667,IF(AND(OR(AG21="Allaitement",AG21="Sans déjeuner"),F21-D21&lt;0),("24:00:00"-D21)+("00:00:00"+F21),IF(AND(AG21="",F21-D21&gt;0.166666666666667),F21-D21-0.0416666666666667,IF(AND(OR(AG21="Allaitement",AG21="Sans déjeuner"),F21-D21&gt;0.166666666666667),F21-D21,F21-D21)))))))</f>
        <v>0.375</v>
      </c>
      <c r="P21" s="6" t="str">
        <f aca="false">IFERROR(VLOOKUP($B21,Agents!$A:$D,2,0),"-")</f>
        <v>Accessibilité</v>
      </c>
      <c r="Q21" s="21" t="n">
        <v>45986</v>
      </c>
      <c r="R21" s="8" t="n">
        <f aca="false">IF(M21="Abs",O21,0)</f>
        <v>0</v>
      </c>
      <c r="S21" s="8" t="n">
        <f aca="false">SUM(R21,L21,I21,J21,W21,H21)</f>
        <v>0</v>
      </c>
      <c r="T21" s="6" t="str">
        <f aca="false">"Sem - "&amp;WEEKNUM(Q21,21)</f>
        <v>Sem - 48</v>
      </c>
      <c r="U21" s="6" t="str">
        <f aca="false">CHOOSE(MONTH(Q21),"Janvier","Février","Mars","Avril","Mai","Juin","Juillet","Août","Septembre","Octobre","Novembre","Décembre")</f>
        <v>Novembre</v>
      </c>
      <c r="V21" s="22" t="n">
        <f aca="false">YEAR(Q21)</f>
        <v>2025</v>
      </c>
      <c r="W21" s="20"/>
      <c r="X21" s="8" t="n">
        <f aca="false">IFERROR(IF(M21="Abs",0,IF(ROUND((D21-C21+E21-F21)*1440,0)&lt;=1,0,D21-C21+E21-F21)),0)</f>
        <v>0</v>
      </c>
      <c r="Y21" s="6" t="str">
        <f aca="false">IFERROR(VLOOKUP($B21,Agents!$A:$D,3,0),"-")</f>
        <v>OUBRAHIM Mohammed</v>
      </c>
      <c r="Z21" s="6" t="str">
        <f aca="false">IFERROR(VLOOKUP($B21,Agents!$A:$D,4,0),"-")</f>
        <v>Credit Mutuel</v>
      </c>
      <c r="AA21" s="18" t="s">
        <v>75</v>
      </c>
      <c r="AB21" s="8" t="str">
        <f aca="false">IF(AND(D21="Congé",F21="Congé"),0.333333333333333,IF(OR(AND(D21="Congé",F21&lt;&gt;"Congé"),(AND(F21="Congé",D21&lt;&gt;"Congé"))),0.166666666666667,""))</f>
        <v/>
      </c>
      <c r="AC21" s="8" t="str">
        <f aca="false">IF(AND(D21="Congé sans solde",F21="Congé sans solde"),0.333333333333333,IF(OR(AND(D21="Congé sans solde",F21&lt;&gt;"Congé sans solde"),(AND(F21="Congé sans solde",D21&lt;&gt;"Congé sans solde"))),0.166666666666667,""))</f>
        <v/>
      </c>
      <c r="AD21" s="8" t="str">
        <f aca="false">IF(AND(D21="Congé spécial",F21="Congé spécial"),0.333333333333333,IF(OR(AND(D21="Congé spécial",F21&lt;&gt;"Congé spécial"),AND(F21="Congé spécial",D21&lt;&gt;"Congé spécial")),0.166666666666667,""))</f>
        <v/>
      </c>
      <c r="AE21" s="8" t="str">
        <f aca="false">IF(AND(D21="Férié",F21="Férié"),0.333333333333333,IF(OR(AND(D21="Férié",F21&lt;&gt;"Férié"),(AND(F21="Férié",D21&lt;&gt;"Férié"))),0.166666666666667,""))</f>
        <v/>
      </c>
      <c r="AF21" s="18"/>
      <c r="AG21" s="18"/>
    </row>
    <row r="22" customFormat="false" ht="15" hidden="false" customHeight="false" outlineLevel="0" collapsed="false">
      <c r="A22" s="6" t="str">
        <f aca="false">YEAR(Q22-WEEKDAY(Q22,2)+4)&amp;"-S"&amp;TEXT(WEEKNUM(Q22,21),"00")</f>
        <v>2025-S48</v>
      </c>
      <c r="B22" s="18" t="s">
        <v>69</v>
      </c>
      <c r="C22" s="19" t="n">
        <v>0.331944444444444</v>
      </c>
      <c r="D22" s="19" t="n">
        <v>0.333333333333333</v>
      </c>
      <c r="E22" s="19" t="n">
        <v>0.75</v>
      </c>
      <c r="F22" s="19" t="n">
        <v>0.75</v>
      </c>
      <c r="G22" s="20"/>
      <c r="H22" s="20"/>
      <c r="I22" s="8" t="str">
        <f aca="false">IF(IF(OR(C22="",D22="Congé",D22="OFF",D22="Congé spécial"),"",IF(D22&gt;F22,D22-C22,IF(C22-D22&lt;0,0,C22-D22)))&lt;0.00068287037037037,"",IF(OR(D22="Congé",D22="OFF",C22="",D22="Congé spécial"),"",IF(D22&gt;F22,D22-C22,IF(C22-D22&lt;0,0,C22-D22))))</f>
        <v/>
      </c>
      <c r="J22" s="20"/>
      <c r="K22" s="8" t="n">
        <f aca="false">IF(SUM(H22:J22)&lt;0.00068287037037037,0,SUM(H22:J22))</f>
        <v>0</v>
      </c>
      <c r="L22" s="8" t="n">
        <f aca="false">IF(OR(F22="Congé",F22="OFF",M22="Abs",F22="Congé sans solde",F22="Férié",F22="Congé spécial",D22="Congé spécial"),0,IF(F22-E22&lt;0,0,IF(F22-E22&lt;=0.00068287037037037,0,F22-E22)))</f>
        <v>0</v>
      </c>
      <c r="M22" s="6" t="n">
        <f aca="false">IF(AND(O22&lt;&gt;0,C22=""),"Abs",0)</f>
        <v>0</v>
      </c>
      <c r="N22" s="8" t="n">
        <f aca="false">IFERROR(IF(OR(D22="OFF",D22="Congé",M22="Abs",D22="Congé sans solde",D22="Férié"),"",IF(O22-K22-L22&gt;O22,O22,IF(O22-K22-L22&lt;0,"",O22-K22-L22))),"")</f>
        <v>0.375</v>
      </c>
      <c r="O22" s="8" t="n">
        <f aca="false">IF(AG22="2H Pause déjeuner",IF(F22-D22-0.0833333333333333&lt;0,F22-D22-0.0833333333333333+1,F22-D22-0.0833333333333333),IF(OR(AND(F22="OFF",D22="OFF"),AND(F22="Congé",D22="Congé"),AND(F22="Congé sans solde",D22="Congé sans solde"),AND(F22="Congé spécial",D22="Congé spécial"),AND(F22="Férié",D22="Férié"),AND(F22="OFF",D22="Congé"),AND(F22="OFF",D22="Congé sans solde"),AND(F22="OFF",D22="Congé spécial"),AND(F22="OFF",D22="Férié"),AND(F22="Congé",D22="OFF"),AND(F22="Congé",D22="Congé sans solde"),AND(F22="Congé",D22="Congé spécial"),AND(F22="Congé",D22="Férié"),AND(F22="Congé sans solde",D22="OFF"),AND(F22="Congé sans solde",D22="Congé"),AND(F22="Congé sans solde",D22="Congé spécial"),AND(F22="Congé sans solde",D22="Férié"),AND(F22="Congé spécial",D22="OFF"),AND(F22="Congé spécial",D22="Congé"),AND(F22="Congé spécial",D22="Congé sans solde"),AND(F22="Congé spécial",D22="Férié"),AND(F22="Férié",D22="OFF"),AND(F22="Férié",D22="Congé"),AND(F22="Férié",D22="Congé sans solde"),AND(F22="Férié",D22="Congé spécial")),0,IF(OR(F22="OFF",F22="Congé",F22="Congé spécial",F22="Congé sans solde",D22="OFF",D22="Congé",D22="Congé spécial",D22="Congé sans solde"),0.208333333333334,IF(AND(AG22="",F22-D22&lt;0),("24:00:00"-D22)+("00:00:00"+F22)-0.0416666666666667,IF(AND(OR(AG22="Allaitement",AG22="Sans déjeuner"),F22-D22&lt;0),("24:00:00"-D22)+("00:00:00"+F22),IF(AND(AG22="",F22-D22&gt;0.166666666666667),F22-D22-0.0416666666666667,IF(AND(OR(AG22="Allaitement",AG22="Sans déjeuner"),F22-D22&gt;0.166666666666667),F22-D22,F22-D22)))))))</f>
        <v>0.375</v>
      </c>
      <c r="P22" s="6" t="str">
        <f aca="false">IFERROR(VLOOKUP($B22,Agents!$A:$D,2,0),"-")</f>
        <v>Accessibilité</v>
      </c>
      <c r="Q22" s="21" t="n">
        <v>45987</v>
      </c>
      <c r="R22" s="8" t="n">
        <f aca="false">IF(M22="Abs",O22,0)</f>
        <v>0</v>
      </c>
      <c r="S22" s="8" t="n">
        <f aca="false">SUM(R22,L22,I22,J22,W22,H22)</f>
        <v>0</v>
      </c>
      <c r="T22" s="6" t="str">
        <f aca="false">"Sem - "&amp;WEEKNUM(Q22,21)</f>
        <v>Sem - 48</v>
      </c>
      <c r="U22" s="6" t="str">
        <f aca="false">CHOOSE(MONTH(Q22),"Janvier","Février","Mars","Avril","Mai","Juin","Juillet","Août","Septembre","Octobre","Novembre","Décembre")</f>
        <v>Novembre</v>
      </c>
      <c r="V22" s="22" t="n">
        <f aca="false">YEAR(Q22)</f>
        <v>2025</v>
      </c>
      <c r="W22" s="20"/>
      <c r="X22" s="8" t="n">
        <f aca="false">IFERROR(IF(M22="Abs",0,IF(ROUND((D22-C22+E22-F22)*1440,0)&lt;=1,0,D22-C22+E22-F22)),0)</f>
        <v>0.00138888888888889</v>
      </c>
      <c r="Y22" s="6" t="str">
        <f aca="false">IFERROR(VLOOKUP($B22,Agents!$A:$D,3,0),"-")</f>
        <v>OUBRAHIM Mohammed</v>
      </c>
      <c r="Z22" s="6" t="str">
        <f aca="false">IFERROR(VLOOKUP($B22,Agents!$A:$D,4,0),"-")</f>
        <v>Credit Mutuel</v>
      </c>
      <c r="AA22" s="18" t="s">
        <v>75</v>
      </c>
      <c r="AB22" s="8" t="str">
        <f aca="false">IF(AND(D22="Congé",F22="Congé"),0.333333333333333,IF(OR(AND(D22="Congé",F22&lt;&gt;"Congé"),(AND(F22="Congé",D22&lt;&gt;"Congé"))),0.166666666666667,""))</f>
        <v/>
      </c>
      <c r="AC22" s="8" t="str">
        <f aca="false">IF(AND(D22="Congé sans solde",F22="Congé sans solde"),0.333333333333333,IF(OR(AND(D22="Congé sans solde",F22&lt;&gt;"Congé sans solde"),(AND(F22="Congé sans solde",D22&lt;&gt;"Congé sans solde"))),0.166666666666667,""))</f>
        <v/>
      </c>
      <c r="AD22" s="8" t="str">
        <f aca="false">IF(AND(D22="Congé spécial",F22="Congé spécial"),0.333333333333333,IF(OR(AND(D22="Congé spécial",F22&lt;&gt;"Congé spécial"),AND(F22="Congé spécial",D22&lt;&gt;"Congé spécial")),0.166666666666667,""))</f>
        <v/>
      </c>
      <c r="AE22" s="8" t="str">
        <f aca="false">IF(AND(D22="Férié",F22="Férié"),0.333333333333333,IF(OR(AND(D22="Férié",F22&lt;&gt;"Férié"),(AND(F22="Férié",D22&lt;&gt;"Férié"))),0.166666666666667,""))</f>
        <v/>
      </c>
      <c r="AF22" s="18"/>
      <c r="AG22" s="18"/>
    </row>
    <row r="23" customFormat="false" ht="15" hidden="false" customHeight="false" outlineLevel="0" collapsed="false">
      <c r="A23" s="6" t="str">
        <f aca="false">YEAR(Q23-WEEKDAY(Q23,2)+4)&amp;"-S"&amp;TEXT(WEEKNUM(Q23,21),"00")</f>
        <v>2025-S48</v>
      </c>
      <c r="B23" s="18" t="s">
        <v>71</v>
      </c>
      <c r="C23" s="19" t="n">
        <v>0.332638888888889</v>
      </c>
      <c r="D23" s="19" t="n">
        <v>0.333333333333333</v>
      </c>
      <c r="E23" s="19" t="n">
        <v>0.75</v>
      </c>
      <c r="F23" s="19" t="n">
        <v>0.75</v>
      </c>
      <c r="G23" s="20"/>
      <c r="H23" s="20"/>
      <c r="I23" s="8" t="str">
        <f aca="false">IF(IF(OR(C23="",D23="Congé",D23="OFF",D23="Congé spécial"),"",IF(D23&gt;F23,D23-C23,IF(C23-D23&lt;0,0,C23-D23)))&lt;0.00068287037037037,"",IF(OR(D23="Congé",D23="OFF",C23="",D23="Congé spécial"),"",IF(D23&gt;F23,D23-C23,IF(C23-D23&lt;0,0,C23-D23))))</f>
        <v/>
      </c>
      <c r="J23" s="20"/>
      <c r="K23" s="8" t="n">
        <f aca="false">IF(SUM(H23:J23)&lt;0.00068287037037037,0,SUM(H23:J23))</f>
        <v>0</v>
      </c>
      <c r="L23" s="8" t="n">
        <f aca="false">IF(OR(F23="Congé",F23="OFF",M23="Abs",F23="Congé sans solde",F23="Férié",F23="Congé spécial",D23="Congé spécial"),0,IF(F23-E23&lt;0,0,IF(F23-E23&lt;=0.00068287037037037,0,F23-E23)))</f>
        <v>0</v>
      </c>
      <c r="M23" s="6" t="n">
        <f aca="false">IF(AND(O23&lt;&gt;0,C23=""),"Abs",0)</f>
        <v>0</v>
      </c>
      <c r="N23" s="8" t="n">
        <f aca="false">IFERROR(IF(OR(D23="OFF",D23="Congé",M23="Abs",D23="Congé sans solde",D23="Férié"),"",IF(O23-K23-L23&gt;O23,O23,IF(O23-K23-L23&lt;0,"",O23-K23-L23))),"")</f>
        <v>0.375</v>
      </c>
      <c r="O23" s="8" t="n">
        <f aca="false">IF(AG23="2H Pause déjeuner",IF(F23-D23-0.0833333333333333&lt;0,F23-D23-0.0833333333333333+1,F23-D23-0.0833333333333333),IF(OR(AND(F23="OFF",D23="OFF"),AND(F23="Congé",D23="Congé"),AND(F23="Congé sans solde",D23="Congé sans solde"),AND(F23="Congé spécial",D23="Congé spécial"),AND(F23="Férié",D23="Férié"),AND(F23="OFF",D23="Congé"),AND(F23="OFF",D23="Congé sans solde"),AND(F23="OFF",D23="Congé spécial"),AND(F23="OFF",D23="Férié"),AND(F23="Congé",D23="OFF"),AND(F23="Congé",D23="Congé sans solde"),AND(F23="Congé",D23="Congé spécial"),AND(F23="Congé",D23="Férié"),AND(F23="Congé sans solde",D23="OFF"),AND(F23="Congé sans solde",D23="Congé"),AND(F23="Congé sans solde",D23="Congé spécial"),AND(F23="Congé sans solde",D23="Férié"),AND(F23="Congé spécial",D23="OFF"),AND(F23="Congé spécial",D23="Congé"),AND(F23="Congé spécial",D23="Congé sans solde"),AND(F23="Congé spécial",D23="Férié"),AND(F23="Férié",D23="OFF"),AND(F23="Férié",D23="Congé"),AND(F23="Férié",D23="Congé sans solde"),AND(F23="Férié",D23="Congé spécial")),0,IF(OR(F23="OFF",F23="Congé",F23="Congé spécial",F23="Congé sans solde",D23="OFF",D23="Congé",D23="Congé spécial",D23="Congé sans solde"),0.208333333333334,IF(AND(AG23="",F23-D23&lt;0),("24:00:00"-D23)+("00:00:00"+F23)-0.0416666666666667,IF(AND(OR(AG23="Allaitement",AG23="Sans déjeuner"),F23-D23&lt;0),("24:00:00"-D23)+("00:00:00"+F23),IF(AND(AG23="",F23-D23&gt;0.166666666666667),F23-D23-0.0416666666666667,IF(AND(OR(AG23="Allaitement",AG23="Sans déjeuner"),F23-D23&gt;0.166666666666667),F23-D23,F23-D23)))))))</f>
        <v>0.375</v>
      </c>
      <c r="P23" s="6" t="str">
        <f aca="false">IFERROR(VLOOKUP($B23,Agents!$A:$D,2,0),"-")</f>
        <v>Accessibilité</v>
      </c>
      <c r="Q23" s="21" t="n">
        <v>45987</v>
      </c>
      <c r="R23" s="8" t="n">
        <f aca="false">IF(M23="Abs",O23,0)</f>
        <v>0</v>
      </c>
      <c r="S23" s="8" t="n">
        <f aca="false">SUM(R23,L23,I23,J23,W23,H23)</f>
        <v>0</v>
      </c>
      <c r="T23" s="6" t="str">
        <f aca="false">"Sem - "&amp;WEEKNUM(Q23,21)</f>
        <v>Sem - 48</v>
      </c>
      <c r="U23" s="6" t="str">
        <f aca="false">CHOOSE(MONTH(Q23),"Janvier","Février","Mars","Avril","Mai","Juin","Juillet","Août","Septembre","Octobre","Novembre","Décembre")</f>
        <v>Novembre</v>
      </c>
      <c r="V23" s="22" t="n">
        <f aca="false">YEAR(Q23)</f>
        <v>2025</v>
      </c>
      <c r="W23" s="20"/>
      <c r="X23" s="8" t="n">
        <f aca="false">IFERROR(IF(M23="Abs",0,IF(ROUND((D23-C23+E23-F23)*1440,0)&lt;=1,0,D23-C23+E23-F23)),0)</f>
        <v>0</v>
      </c>
      <c r="Y23" s="6" t="str">
        <f aca="false">IFERROR(VLOOKUP($B23,Agents!$A:$D,3,0),"-")</f>
        <v>OUBRAHIM Mohammed</v>
      </c>
      <c r="Z23" s="6" t="str">
        <f aca="false">IFERROR(VLOOKUP($B23,Agents!$A:$D,4,0),"-")</f>
        <v>Credit Mutuel</v>
      </c>
      <c r="AA23" s="18" t="s">
        <v>75</v>
      </c>
      <c r="AB23" s="8" t="str">
        <f aca="false">IF(AND(D23="Congé",F23="Congé"),0.333333333333333,IF(OR(AND(D23="Congé",F23&lt;&gt;"Congé"),(AND(F23="Congé",D23&lt;&gt;"Congé"))),0.166666666666667,""))</f>
        <v/>
      </c>
      <c r="AC23" s="8" t="str">
        <f aca="false">IF(AND(D23="Congé sans solde",F23="Congé sans solde"),0.333333333333333,IF(OR(AND(D23="Congé sans solde",F23&lt;&gt;"Congé sans solde"),(AND(F23="Congé sans solde",D23&lt;&gt;"Congé sans solde"))),0.166666666666667,""))</f>
        <v/>
      </c>
      <c r="AD23" s="8" t="str">
        <f aca="false">IF(AND(D23="Congé spécial",F23="Congé spécial"),0.333333333333333,IF(OR(AND(D23="Congé spécial",F23&lt;&gt;"Congé spécial"),AND(F23="Congé spécial",D23&lt;&gt;"Congé spécial")),0.166666666666667,""))</f>
        <v/>
      </c>
      <c r="AE23" s="8" t="str">
        <f aca="false">IF(AND(D23="Férié",F23="Férié"),0.333333333333333,IF(OR(AND(D23="Férié",F23&lt;&gt;"Férié"),(AND(F23="Férié",D23&lt;&gt;"Férié"))),0.166666666666667,""))</f>
        <v/>
      </c>
      <c r="AF23" s="18"/>
      <c r="AG23" s="18"/>
    </row>
    <row r="24" customFormat="false" ht="15" hidden="false" customHeight="false" outlineLevel="0" collapsed="false">
      <c r="A24" s="6" t="str">
        <f aca="false">YEAR(Q24-WEEKDAY(Q24,2)+4)&amp;"-S"&amp;TEXT(WEEKNUM(Q24,21),"00")</f>
        <v>2025-S48</v>
      </c>
      <c r="B24" s="18" t="s">
        <v>72</v>
      </c>
      <c r="C24" s="19" t="n">
        <v>0.336111111111111</v>
      </c>
      <c r="D24" s="19" t="n">
        <v>0.333333333333333</v>
      </c>
      <c r="E24" s="19" t="n">
        <v>0.75</v>
      </c>
      <c r="F24" s="19" t="n">
        <v>0.75</v>
      </c>
      <c r="G24" s="20"/>
      <c r="H24" s="20"/>
      <c r="I24" s="8" t="n">
        <f aca="false">IF(IF(OR(C24="",D24="Congé",D24="OFF",D24="Congé spécial"),"",IF(D24&gt;F24,D24-C24,IF(C24-D24&lt;0,0,C24-D24)))&lt;0.00068287037037037,"",IF(OR(D24="Congé",D24="OFF",C24="",D24="Congé spécial"),"",IF(D24&gt;F24,D24-C24,IF(C24-D24&lt;0,0,C24-D24))))</f>
        <v>0.00277777777777778</v>
      </c>
      <c r="J24" s="20"/>
      <c r="K24" s="8" t="n">
        <f aca="false">IF(SUM(H24:J24)&lt;0.00068287037037037,0,SUM(H24:J24))</f>
        <v>0.00277777777777778</v>
      </c>
      <c r="L24" s="8" t="n">
        <f aca="false">IF(OR(F24="Congé",F24="OFF",M24="Abs",F24="Congé sans solde",F24="Férié",F24="Congé spécial",D24="Congé spécial"),0,IF(F24-E24&lt;0,0,IF(F24-E24&lt;=0.00068287037037037,0,F24-E24)))</f>
        <v>0</v>
      </c>
      <c r="M24" s="6" t="n">
        <f aca="false">IF(AND(O24&lt;&gt;0,C24=""),"Abs",0)</f>
        <v>0</v>
      </c>
      <c r="N24" s="8" t="n">
        <f aca="false">IFERROR(IF(OR(D24="OFF",D24="Congé",M24="Abs",D24="Congé sans solde",D24="Férié"),"",IF(O24-K24-L24&gt;O24,O24,IF(O24-K24-L24&lt;0,"",O24-K24-L24))),"")</f>
        <v>0.372222222222222</v>
      </c>
      <c r="O24" s="8" t="n">
        <f aca="false">IF(AG24="2H Pause déjeuner",IF(F24-D24-0.0833333333333333&lt;0,F24-D24-0.0833333333333333+1,F24-D24-0.0833333333333333),IF(OR(AND(F24="OFF",D24="OFF"),AND(F24="Congé",D24="Congé"),AND(F24="Congé sans solde",D24="Congé sans solde"),AND(F24="Congé spécial",D24="Congé spécial"),AND(F24="Férié",D24="Férié"),AND(F24="OFF",D24="Congé"),AND(F24="OFF",D24="Congé sans solde"),AND(F24="OFF",D24="Congé spécial"),AND(F24="OFF",D24="Férié"),AND(F24="Congé",D24="OFF"),AND(F24="Congé",D24="Congé sans solde"),AND(F24="Congé",D24="Congé spécial"),AND(F24="Congé",D24="Férié"),AND(F24="Congé sans solde",D24="OFF"),AND(F24="Congé sans solde",D24="Congé"),AND(F24="Congé sans solde",D24="Congé spécial"),AND(F24="Congé sans solde",D24="Férié"),AND(F24="Congé spécial",D24="OFF"),AND(F24="Congé spécial",D24="Congé"),AND(F24="Congé spécial",D24="Congé sans solde"),AND(F24="Congé spécial",D24="Férié"),AND(F24="Férié",D24="OFF"),AND(F24="Férié",D24="Congé"),AND(F24="Férié",D24="Congé sans solde"),AND(F24="Férié",D24="Congé spécial")),0,IF(OR(F24="OFF",F24="Congé",F24="Congé spécial",F24="Congé sans solde",D24="OFF",D24="Congé",D24="Congé spécial",D24="Congé sans solde"),0.208333333333334,IF(AND(AG24="",F24-D24&lt;0),("24:00:00"-D24)+("00:00:00"+F24)-0.0416666666666667,IF(AND(OR(AG24="Allaitement",AG24="Sans déjeuner"),F24-D24&lt;0),("24:00:00"-D24)+("00:00:00"+F24),IF(AND(AG24="",F24-D24&gt;0.166666666666667),F24-D24-0.0416666666666667,IF(AND(OR(AG24="Allaitement",AG24="Sans déjeuner"),F24-D24&gt;0.166666666666667),F24-D24,F24-D24)))))))</f>
        <v>0.375</v>
      </c>
      <c r="P24" s="6" t="str">
        <f aca="false">IFERROR(VLOOKUP($B24,Agents!$A:$D,2,0),"-")</f>
        <v>Accessibilité</v>
      </c>
      <c r="Q24" s="21" t="n">
        <v>45987</v>
      </c>
      <c r="R24" s="8" t="n">
        <f aca="false">IF(M24="Abs",O24,0)</f>
        <v>0</v>
      </c>
      <c r="S24" s="8" t="n">
        <f aca="false">SUM(R24,L24,I24,J24,W24,H24)</f>
        <v>0.00277777777777778</v>
      </c>
      <c r="T24" s="6" t="str">
        <f aca="false">"Sem - "&amp;WEEKNUM(Q24,21)</f>
        <v>Sem - 48</v>
      </c>
      <c r="U24" s="6" t="str">
        <f aca="false">CHOOSE(MONTH(Q24),"Janvier","Février","Mars","Avril","Mai","Juin","Juillet","Août","Septembre","Octobre","Novembre","Décembre")</f>
        <v>Novembre</v>
      </c>
      <c r="V24" s="22" t="n">
        <f aca="false">YEAR(Q24)</f>
        <v>2025</v>
      </c>
      <c r="W24" s="20"/>
      <c r="X24" s="8" t="n">
        <f aca="false">IFERROR(IF(M24="Abs",0,IF(ROUND((D24-C24+E24-F24)*1440,0)&lt;=1,0,D24-C24+E24-F24)),0)</f>
        <v>0</v>
      </c>
      <c r="Y24" s="6" t="str">
        <f aca="false">IFERROR(VLOOKUP($B24,Agents!$A:$D,3,0),"-")</f>
        <v>OUBRAHIM Mohammed</v>
      </c>
      <c r="Z24" s="6" t="str">
        <f aca="false">IFERROR(VLOOKUP($B24,Agents!$A:$D,4,0),"-")</f>
        <v>Credit Mutuel</v>
      </c>
      <c r="AA24" s="18" t="s">
        <v>75</v>
      </c>
      <c r="AB24" s="8" t="str">
        <f aca="false">IF(AND(D24="Congé",F24="Congé"),0.333333333333333,IF(OR(AND(D24="Congé",F24&lt;&gt;"Congé"),(AND(F24="Congé",D24&lt;&gt;"Congé"))),0.166666666666667,""))</f>
        <v/>
      </c>
      <c r="AC24" s="8" t="str">
        <f aca="false">IF(AND(D24="Congé sans solde",F24="Congé sans solde"),0.333333333333333,IF(OR(AND(D24="Congé sans solde",F24&lt;&gt;"Congé sans solde"),(AND(F24="Congé sans solde",D24&lt;&gt;"Congé sans solde"))),0.166666666666667,""))</f>
        <v/>
      </c>
      <c r="AD24" s="8" t="str">
        <f aca="false">IF(AND(D24="Congé spécial",F24="Congé spécial"),0.333333333333333,IF(OR(AND(D24="Congé spécial",F24&lt;&gt;"Congé spécial"),AND(F24="Congé spécial",D24&lt;&gt;"Congé spécial")),0.166666666666667,""))</f>
        <v/>
      </c>
      <c r="AE24" s="8" t="str">
        <f aca="false">IF(AND(D24="Férié",F24="Férié"),0.333333333333333,IF(OR(AND(D24="Férié",F24&lt;&gt;"Férié"),(AND(F24="Férié",D24&lt;&gt;"Férié"))),0.166666666666667,""))</f>
        <v/>
      </c>
      <c r="AF24" s="18"/>
      <c r="AG24" s="18"/>
    </row>
    <row r="25" customFormat="false" ht="15" hidden="false" customHeight="false" outlineLevel="0" collapsed="false">
      <c r="A25" s="6" t="str">
        <f aca="false">YEAR(Q25-WEEKDAY(Q25,2)+4)&amp;"-S"&amp;TEXT(WEEKNUM(Q25,21),"00")</f>
        <v>2025-S48</v>
      </c>
      <c r="B25" s="18" t="s">
        <v>73</v>
      </c>
      <c r="C25" s="19" t="n">
        <v>0.331944444444444</v>
      </c>
      <c r="D25" s="19" t="n">
        <v>0.333333333333333</v>
      </c>
      <c r="E25" s="19" t="n">
        <v>0.75</v>
      </c>
      <c r="F25" s="19" t="n">
        <v>0.75</v>
      </c>
      <c r="G25" s="20"/>
      <c r="H25" s="20"/>
      <c r="I25" s="8" t="str">
        <f aca="false">IF(IF(OR(C25="",D25="Congé",D25="OFF",D25="Congé spécial"),"",IF(D25&gt;F25,D25-C25,IF(C25-D25&lt;0,0,C25-D25)))&lt;0.00068287037037037,"",IF(OR(D25="Congé",D25="OFF",C25="",D25="Congé spécial"),"",IF(D25&gt;F25,D25-C25,IF(C25-D25&lt;0,0,C25-D25))))</f>
        <v/>
      </c>
      <c r="J25" s="20"/>
      <c r="K25" s="8" t="n">
        <f aca="false">IF(SUM(H25:J25)&lt;0.00068287037037037,0,SUM(H25:J25))</f>
        <v>0</v>
      </c>
      <c r="L25" s="8" t="n">
        <f aca="false">IF(OR(F25="Congé",F25="OFF",M25="Abs",F25="Congé sans solde",F25="Férié",F25="Congé spécial",D25="Congé spécial"),0,IF(F25-E25&lt;0,0,IF(F25-E25&lt;=0.00068287037037037,0,F25-E25)))</f>
        <v>0</v>
      </c>
      <c r="M25" s="6" t="n">
        <f aca="false">IF(AND(O25&lt;&gt;0,C25=""),"Abs",0)</f>
        <v>0</v>
      </c>
      <c r="N25" s="8" t="n">
        <f aca="false">IFERROR(IF(OR(D25="OFF",D25="Congé",M25="Abs",D25="Congé sans solde",D25="Férié"),"",IF(O25-K25-L25&gt;O25,O25,IF(O25-K25-L25&lt;0,"",O25-K25-L25))),"")</f>
        <v>0.375</v>
      </c>
      <c r="O25" s="8" t="n">
        <f aca="false">IF(AG25="2H Pause déjeuner",IF(F25-D25-0.0833333333333333&lt;0,F25-D25-0.0833333333333333+1,F25-D25-0.0833333333333333),IF(OR(AND(F25="OFF",D25="OFF"),AND(F25="Congé",D25="Congé"),AND(F25="Congé sans solde",D25="Congé sans solde"),AND(F25="Congé spécial",D25="Congé spécial"),AND(F25="Férié",D25="Férié"),AND(F25="OFF",D25="Congé"),AND(F25="OFF",D25="Congé sans solde"),AND(F25="OFF",D25="Congé spécial"),AND(F25="OFF",D25="Férié"),AND(F25="Congé",D25="OFF"),AND(F25="Congé",D25="Congé sans solde"),AND(F25="Congé",D25="Congé spécial"),AND(F25="Congé",D25="Férié"),AND(F25="Congé sans solde",D25="OFF"),AND(F25="Congé sans solde",D25="Congé"),AND(F25="Congé sans solde",D25="Congé spécial"),AND(F25="Congé sans solde",D25="Férié"),AND(F25="Congé spécial",D25="OFF"),AND(F25="Congé spécial",D25="Congé"),AND(F25="Congé spécial",D25="Congé sans solde"),AND(F25="Congé spécial",D25="Férié"),AND(F25="Férié",D25="OFF"),AND(F25="Férié",D25="Congé"),AND(F25="Férié",D25="Congé sans solde"),AND(F25="Férié",D25="Congé spécial")),0,IF(OR(F25="OFF",F25="Congé",F25="Congé spécial",F25="Congé sans solde",D25="OFF",D25="Congé",D25="Congé spécial",D25="Congé sans solde"),0.208333333333334,IF(AND(AG25="",F25-D25&lt;0),("24:00:00"-D25)+("00:00:00"+F25)-0.0416666666666667,IF(AND(OR(AG25="Allaitement",AG25="Sans déjeuner"),F25-D25&lt;0),("24:00:00"-D25)+("00:00:00"+F25),IF(AND(AG25="",F25-D25&gt;0.166666666666667),F25-D25-0.0416666666666667,IF(AND(OR(AG25="Allaitement",AG25="Sans déjeuner"),F25-D25&gt;0.166666666666667),F25-D25,F25-D25)))))))</f>
        <v>0.375</v>
      </c>
      <c r="P25" s="6" t="str">
        <f aca="false">IFERROR(VLOOKUP($B25,Agents!$A:$D,2,0),"-")</f>
        <v>Accessibilité</v>
      </c>
      <c r="Q25" s="21" t="n">
        <v>45987</v>
      </c>
      <c r="R25" s="8" t="n">
        <f aca="false">IF(M25="Abs",O25,0)</f>
        <v>0</v>
      </c>
      <c r="S25" s="8" t="n">
        <f aca="false">SUM(R25,L25,I25,J25,W25,H25)</f>
        <v>0</v>
      </c>
      <c r="T25" s="6" t="str">
        <f aca="false">"Sem - "&amp;WEEKNUM(Q25,21)</f>
        <v>Sem - 48</v>
      </c>
      <c r="U25" s="6" t="str">
        <f aca="false">CHOOSE(MONTH(Q25),"Janvier","Février","Mars","Avril","Mai","Juin","Juillet","Août","Septembre","Octobre","Novembre","Décembre")</f>
        <v>Novembre</v>
      </c>
      <c r="V25" s="22" t="n">
        <f aca="false">YEAR(Q25)</f>
        <v>2025</v>
      </c>
      <c r="W25" s="20"/>
      <c r="X25" s="8" t="n">
        <f aca="false">IFERROR(IF(M25="Abs",0,IF(ROUND((D25-C25+E25-F25)*1440,0)&lt;=1,0,D25-C25+E25-F25)),0)</f>
        <v>0.00138888888888889</v>
      </c>
      <c r="Y25" s="6" t="str">
        <f aca="false">IFERROR(VLOOKUP($B25,Agents!$A:$D,3,0),"-")</f>
        <v>OUBRAHIM Mohammed</v>
      </c>
      <c r="Z25" s="6" t="str">
        <f aca="false">IFERROR(VLOOKUP($B25,Agents!$A:$D,4,0),"-")</f>
        <v>Credit Mutuel</v>
      </c>
      <c r="AA25" s="18" t="s">
        <v>75</v>
      </c>
      <c r="AB25" s="8" t="str">
        <f aca="false">IF(AND(D25="Congé",F25="Congé"),0.333333333333333,IF(OR(AND(D25="Congé",F25&lt;&gt;"Congé"),(AND(F25="Congé",D25&lt;&gt;"Congé"))),0.166666666666667,""))</f>
        <v/>
      </c>
      <c r="AC25" s="8" t="str">
        <f aca="false">IF(AND(D25="Congé sans solde",F25="Congé sans solde"),0.333333333333333,IF(OR(AND(D25="Congé sans solde",F25&lt;&gt;"Congé sans solde"),(AND(F25="Congé sans solde",D25&lt;&gt;"Congé sans solde"))),0.166666666666667,""))</f>
        <v/>
      </c>
      <c r="AD25" s="8" t="str">
        <f aca="false">IF(AND(D25="Congé spécial",F25="Congé spécial"),0.333333333333333,IF(OR(AND(D25="Congé spécial",F25&lt;&gt;"Congé spécial"),AND(F25="Congé spécial",D25&lt;&gt;"Congé spécial")),0.166666666666667,""))</f>
        <v/>
      </c>
      <c r="AE25" s="8" t="str">
        <f aca="false">IF(AND(D25="Férié",F25="Férié"),0.333333333333333,IF(OR(AND(D25="Férié",F25&lt;&gt;"Férié"),(AND(F25="Férié",D25&lt;&gt;"Férié"))),0.166666666666667,""))</f>
        <v/>
      </c>
      <c r="AF25" s="18"/>
      <c r="AG25" s="18"/>
    </row>
    <row r="26" customFormat="false" ht="15" hidden="false" customHeight="false" outlineLevel="0" collapsed="false">
      <c r="A26" s="6" t="str">
        <f aca="false">YEAR(Q26-WEEKDAY(Q26,2)+4)&amp;"-S"&amp;TEXT(WEEKNUM(Q26,21),"00")</f>
        <v>2025-S48</v>
      </c>
      <c r="B26" s="18" t="s">
        <v>69</v>
      </c>
      <c r="C26" s="19" t="n">
        <v>0.332638888888889</v>
      </c>
      <c r="D26" s="19" t="n">
        <v>0.333333333333333</v>
      </c>
      <c r="E26" s="19" t="n">
        <v>0.75</v>
      </c>
      <c r="F26" s="19" t="n">
        <v>0.75</v>
      </c>
      <c r="G26" s="20"/>
      <c r="H26" s="20"/>
      <c r="I26" s="8" t="str">
        <f aca="false">IF(IF(OR(C26="",D26="Congé",D26="OFF",D26="Congé spécial"),"",IF(D26&gt;F26,D26-C26,IF(C26-D26&lt;0,0,C26-D26)))&lt;0.00068287037037037,"",IF(OR(D26="Congé",D26="OFF",C26="",D26="Congé spécial"),"",IF(D26&gt;F26,D26-C26,IF(C26-D26&lt;0,0,C26-D26))))</f>
        <v/>
      </c>
      <c r="J26" s="20"/>
      <c r="K26" s="8" t="n">
        <f aca="false">IF(SUM(H26:J26)&lt;0.00068287037037037,0,SUM(H26:J26))</f>
        <v>0</v>
      </c>
      <c r="L26" s="8" t="n">
        <f aca="false">IF(OR(F26="Congé",F26="OFF",M26="Abs",F26="Congé sans solde",F26="Férié",F26="Congé spécial",D26="Congé spécial"),0,IF(F26-E26&lt;0,0,IF(F26-E26&lt;=0.00068287037037037,0,F26-E26)))</f>
        <v>0</v>
      </c>
      <c r="M26" s="6" t="n">
        <f aca="false">IF(AND(O26&lt;&gt;0,C26=""),"Abs",0)</f>
        <v>0</v>
      </c>
      <c r="N26" s="8" t="n">
        <f aca="false">IFERROR(IF(OR(D26="OFF",D26="Congé",M26="Abs",D26="Congé sans solde",D26="Férié"),"",IF(O26-K26-L26&gt;O26,O26,IF(O26-K26-L26&lt;0,"",O26-K26-L26))),"")</f>
        <v>0.375</v>
      </c>
      <c r="O26" s="8" t="n">
        <f aca="false">IF(AG26="2H Pause déjeuner",IF(F26-D26-0.0833333333333333&lt;0,F26-D26-0.0833333333333333+1,F26-D26-0.0833333333333333),IF(OR(AND(F26="OFF",D26="OFF"),AND(F26="Congé",D26="Congé"),AND(F26="Congé sans solde",D26="Congé sans solde"),AND(F26="Congé spécial",D26="Congé spécial"),AND(F26="Férié",D26="Férié"),AND(F26="OFF",D26="Congé"),AND(F26="OFF",D26="Congé sans solde"),AND(F26="OFF",D26="Congé spécial"),AND(F26="OFF",D26="Férié"),AND(F26="Congé",D26="OFF"),AND(F26="Congé",D26="Congé sans solde"),AND(F26="Congé",D26="Congé spécial"),AND(F26="Congé",D26="Férié"),AND(F26="Congé sans solde",D26="OFF"),AND(F26="Congé sans solde",D26="Congé"),AND(F26="Congé sans solde",D26="Congé spécial"),AND(F26="Congé sans solde",D26="Férié"),AND(F26="Congé spécial",D26="OFF"),AND(F26="Congé spécial",D26="Congé"),AND(F26="Congé spécial",D26="Congé sans solde"),AND(F26="Congé spécial",D26="Férié"),AND(F26="Férié",D26="OFF"),AND(F26="Férié",D26="Congé"),AND(F26="Férié",D26="Congé sans solde"),AND(F26="Férié",D26="Congé spécial")),0,IF(OR(F26="OFF",F26="Congé",F26="Congé spécial",F26="Congé sans solde",D26="OFF",D26="Congé",D26="Congé spécial",D26="Congé sans solde"),0.208333333333334,IF(AND(AG26="",F26-D26&lt;0),("24:00:00"-D26)+("00:00:00"+F26)-0.0416666666666667,IF(AND(OR(AG26="Allaitement",AG26="Sans déjeuner"),F26-D26&lt;0),("24:00:00"-D26)+("00:00:00"+F26),IF(AND(AG26="",F26-D26&gt;0.166666666666667),F26-D26-0.0416666666666667,IF(AND(OR(AG26="Allaitement",AG26="Sans déjeuner"),F26-D26&gt;0.166666666666667),F26-D26,F26-D26)))))))</f>
        <v>0.375</v>
      </c>
      <c r="P26" s="6" t="str">
        <f aca="false">IFERROR(VLOOKUP($B26,Agents!$A:$D,2,0),"-")</f>
        <v>Accessibilité</v>
      </c>
      <c r="Q26" s="21" t="n">
        <v>45988</v>
      </c>
      <c r="R26" s="8" t="n">
        <f aca="false">IF(M26="Abs",O26,0)</f>
        <v>0</v>
      </c>
      <c r="S26" s="8" t="n">
        <f aca="false">SUM(R26,L26,I26,J26,W26,H26)</f>
        <v>0</v>
      </c>
      <c r="T26" s="6" t="str">
        <f aca="false">"Sem - "&amp;WEEKNUM(Q26,21)</f>
        <v>Sem - 48</v>
      </c>
      <c r="U26" s="6" t="str">
        <f aca="false">CHOOSE(MONTH(Q26),"Janvier","Février","Mars","Avril","Mai","Juin","Juillet","Août","Septembre","Octobre","Novembre","Décembre")</f>
        <v>Novembre</v>
      </c>
      <c r="V26" s="22" t="n">
        <f aca="false">YEAR(Q26)</f>
        <v>2025</v>
      </c>
      <c r="W26" s="20"/>
      <c r="X26" s="8" t="n">
        <f aca="false">IFERROR(IF(M26="Abs",0,IF(ROUND((D26-C26+E26-F26)*1440,0)&lt;=1,0,D26-C26+E26-F26)),0)</f>
        <v>0</v>
      </c>
      <c r="Y26" s="6" t="str">
        <f aca="false">IFERROR(VLOOKUP($B26,Agents!$A:$D,3,0),"-")</f>
        <v>OUBRAHIM Mohammed</v>
      </c>
      <c r="Z26" s="6" t="str">
        <f aca="false">IFERROR(VLOOKUP($B26,Agents!$A:$D,4,0),"-")</f>
        <v>Credit Mutuel</v>
      </c>
      <c r="AA26" s="18" t="s">
        <v>75</v>
      </c>
      <c r="AB26" s="8" t="str">
        <f aca="false">IF(AND(D26="Congé",F26="Congé"),0.333333333333333,IF(OR(AND(D26="Congé",F26&lt;&gt;"Congé"),(AND(F26="Congé",D26&lt;&gt;"Congé"))),0.166666666666667,""))</f>
        <v/>
      </c>
      <c r="AC26" s="8" t="str">
        <f aca="false">IF(AND(D26="Congé sans solde",F26="Congé sans solde"),0.333333333333333,IF(OR(AND(D26="Congé sans solde",F26&lt;&gt;"Congé sans solde"),(AND(F26="Congé sans solde",D26&lt;&gt;"Congé sans solde"))),0.166666666666667,""))</f>
        <v/>
      </c>
      <c r="AD26" s="8" t="str">
        <f aca="false">IF(AND(D26="Congé spécial",F26="Congé spécial"),0.333333333333333,IF(OR(AND(D26="Congé spécial",F26&lt;&gt;"Congé spécial"),AND(F26="Congé spécial",D26&lt;&gt;"Congé spécial")),0.166666666666667,""))</f>
        <v/>
      </c>
      <c r="AE26" s="8" t="str">
        <f aca="false">IF(AND(D26="Férié",F26="Férié"),0.333333333333333,IF(OR(AND(D26="Férié",F26&lt;&gt;"Férié"),(AND(F26="Férié",D26&lt;&gt;"Férié"))),0.166666666666667,""))</f>
        <v/>
      </c>
      <c r="AF26" s="18"/>
      <c r="AG26" s="18"/>
    </row>
    <row r="27" customFormat="false" ht="15" hidden="false" customHeight="false" outlineLevel="0" collapsed="false">
      <c r="A27" s="6" t="str">
        <f aca="false">YEAR(Q27-WEEKDAY(Q27,2)+4)&amp;"-S"&amp;TEXT(WEEKNUM(Q27,21),"00")</f>
        <v>2025-S48</v>
      </c>
      <c r="B27" s="18" t="s">
        <v>71</v>
      </c>
      <c r="C27" s="19" t="n">
        <v>0.332638888888889</v>
      </c>
      <c r="D27" s="19" t="n">
        <v>0.333333333333333</v>
      </c>
      <c r="E27" s="19" t="n">
        <v>0.75</v>
      </c>
      <c r="F27" s="19" t="n">
        <v>0.75</v>
      </c>
      <c r="G27" s="20"/>
      <c r="H27" s="20"/>
      <c r="I27" s="8" t="str">
        <f aca="false">IF(IF(OR(C27="",D27="Congé",D27="OFF",D27="Congé spécial"),"",IF(D27&gt;F27,D27-C27,IF(C27-D27&lt;0,0,C27-D27)))&lt;0.00068287037037037,"",IF(OR(D27="Congé",D27="OFF",C27="",D27="Congé spécial"),"",IF(D27&gt;F27,D27-C27,IF(C27-D27&lt;0,0,C27-D27))))</f>
        <v/>
      </c>
      <c r="J27" s="20"/>
      <c r="K27" s="8" t="n">
        <f aca="false">IF(SUM(H27:J27)&lt;0.00068287037037037,0,SUM(H27:J27))</f>
        <v>0</v>
      </c>
      <c r="L27" s="8" t="n">
        <f aca="false">IF(OR(F27="Congé",F27="OFF",M27="Abs",F27="Congé sans solde",F27="Férié",F27="Congé spécial",D27="Congé spécial"),0,IF(F27-E27&lt;0,0,IF(F27-E27&lt;=0.00068287037037037,0,F27-E27)))</f>
        <v>0</v>
      </c>
      <c r="M27" s="6" t="n">
        <f aca="false">IF(AND(O27&lt;&gt;0,C27=""),"Abs",0)</f>
        <v>0</v>
      </c>
      <c r="N27" s="8" t="n">
        <f aca="false">IFERROR(IF(OR(D27="OFF",D27="Congé",M27="Abs",D27="Congé sans solde",D27="Férié"),"",IF(O27-K27-L27&gt;O27,O27,IF(O27-K27-L27&lt;0,"",O27-K27-L27))),"")</f>
        <v>0.375</v>
      </c>
      <c r="O27" s="8" t="n">
        <f aca="false">IF(AG27="2H Pause déjeuner",IF(F27-D27-0.0833333333333333&lt;0,F27-D27-0.0833333333333333+1,F27-D27-0.0833333333333333),IF(OR(AND(F27="OFF",D27="OFF"),AND(F27="Congé",D27="Congé"),AND(F27="Congé sans solde",D27="Congé sans solde"),AND(F27="Congé spécial",D27="Congé spécial"),AND(F27="Férié",D27="Férié"),AND(F27="OFF",D27="Congé"),AND(F27="OFF",D27="Congé sans solde"),AND(F27="OFF",D27="Congé spécial"),AND(F27="OFF",D27="Férié"),AND(F27="Congé",D27="OFF"),AND(F27="Congé",D27="Congé sans solde"),AND(F27="Congé",D27="Congé spécial"),AND(F27="Congé",D27="Férié"),AND(F27="Congé sans solde",D27="OFF"),AND(F27="Congé sans solde",D27="Congé"),AND(F27="Congé sans solde",D27="Congé spécial"),AND(F27="Congé sans solde",D27="Férié"),AND(F27="Congé spécial",D27="OFF"),AND(F27="Congé spécial",D27="Congé"),AND(F27="Congé spécial",D27="Congé sans solde"),AND(F27="Congé spécial",D27="Férié"),AND(F27="Férié",D27="OFF"),AND(F27="Férié",D27="Congé"),AND(F27="Férié",D27="Congé sans solde"),AND(F27="Férié",D27="Congé spécial")),0,IF(OR(F27="OFF",F27="Congé",F27="Congé spécial",F27="Congé sans solde",D27="OFF",D27="Congé",D27="Congé spécial",D27="Congé sans solde"),0.208333333333334,IF(AND(AG27="",F27-D27&lt;0),("24:00:00"-D27)+("00:00:00"+F27)-0.0416666666666667,IF(AND(OR(AG27="Allaitement",AG27="Sans déjeuner"),F27-D27&lt;0),("24:00:00"-D27)+("00:00:00"+F27),IF(AND(AG27="",F27-D27&gt;0.166666666666667),F27-D27-0.0416666666666667,IF(AND(OR(AG27="Allaitement",AG27="Sans déjeuner"),F27-D27&gt;0.166666666666667),F27-D27,F27-D27)))))))</f>
        <v>0.375</v>
      </c>
      <c r="P27" s="6" t="str">
        <f aca="false">IFERROR(VLOOKUP($B27,Agents!$A:$D,2,0),"-")</f>
        <v>Accessibilité</v>
      </c>
      <c r="Q27" s="21" t="n">
        <v>45988</v>
      </c>
      <c r="R27" s="8" t="n">
        <f aca="false">IF(M27="Abs",O27,0)</f>
        <v>0</v>
      </c>
      <c r="S27" s="8" t="n">
        <f aca="false">SUM(R27,L27,I27,J27,W27,H27)</f>
        <v>0</v>
      </c>
      <c r="T27" s="6" t="str">
        <f aca="false">"Sem - "&amp;WEEKNUM(Q27,21)</f>
        <v>Sem - 48</v>
      </c>
      <c r="U27" s="6" t="str">
        <f aca="false">CHOOSE(MONTH(Q27),"Janvier","Février","Mars","Avril","Mai","Juin","Juillet","Août","Septembre","Octobre","Novembre","Décembre")</f>
        <v>Novembre</v>
      </c>
      <c r="V27" s="22" t="n">
        <f aca="false">YEAR(Q27)</f>
        <v>2025</v>
      </c>
      <c r="W27" s="20"/>
      <c r="X27" s="8" t="n">
        <f aca="false">IFERROR(IF(M27="Abs",0,IF(ROUND((D27-C27+E27-F27)*1440,0)&lt;=1,0,D27-C27+E27-F27)),0)</f>
        <v>0</v>
      </c>
      <c r="Y27" s="6" t="str">
        <f aca="false">IFERROR(VLOOKUP($B27,Agents!$A:$D,3,0),"-")</f>
        <v>OUBRAHIM Mohammed</v>
      </c>
      <c r="Z27" s="6" t="str">
        <f aca="false">IFERROR(VLOOKUP($B27,Agents!$A:$D,4,0),"-")</f>
        <v>Credit Mutuel</v>
      </c>
      <c r="AA27" s="18" t="s">
        <v>75</v>
      </c>
      <c r="AB27" s="8" t="str">
        <f aca="false">IF(AND(D27="Congé",F27="Congé"),0.333333333333333,IF(OR(AND(D27="Congé",F27&lt;&gt;"Congé"),(AND(F27="Congé",D27&lt;&gt;"Congé"))),0.166666666666667,""))</f>
        <v/>
      </c>
      <c r="AC27" s="8" t="str">
        <f aca="false">IF(AND(D27="Congé sans solde",F27="Congé sans solde"),0.333333333333333,IF(OR(AND(D27="Congé sans solde",F27&lt;&gt;"Congé sans solde"),(AND(F27="Congé sans solde",D27&lt;&gt;"Congé sans solde"))),0.166666666666667,""))</f>
        <v/>
      </c>
      <c r="AD27" s="8" t="str">
        <f aca="false">IF(AND(D27="Congé spécial",F27="Congé spécial"),0.333333333333333,IF(OR(AND(D27="Congé spécial",F27&lt;&gt;"Congé spécial"),AND(F27="Congé spécial",D27&lt;&gt;"Congé spécial")),0.166666666666667,""))</f>
        <v/>
      </c>
      <c r="AE27" s="8" t="str">
        <f aca="false">IF(AND(D27="Férié",F27="Férié"),0.333333333333333,IF(OR(AND(D27="Férié",F27&lt;&gt;"Férié"),(AND(F27="Férié",D27&lt;&gt;"Férié"))),0.166666666666667,""))</f>
        <v/>
      </c>
      <c r="AF27" s="18"/>
      <c r="AG27" s="18"/>
    </row>
    <row r="28" customFormat="false" ht="15" hidden="false" customHeight="false" outlineLevel="0" collapsed="false">
      <c r="A28" s="6" t="str">
        <f aca="false">YEAR(Q28-WEEKDAY(Q28,2)+4)&amp;"-S"&amp;TEXT(WEEKNUM(Q28,21),"00")</f>
        <v>2025-S48</v>
      </c>
      <c r="B28" s="18" t="s">
        <v>72</v>
      </c>
      <c r="C28" s="19" t="n">
        <v>0.333333333333333</v>
      </c>
      <c r="D28" s="19" t="n">
        <v>0.333333333333333</v>
      </c>
      <c r="E28" s="19" t="n">
        <v>0.75</v>
      </c>
      <c r="F28" s="19" t="n">
        <v>0.75</v>
      </c>
      <c r="G28" s="20"/>
      <c r="H28" s="20"/>
      <c r="I28" s="8" t="str">
        <f aca="false">IF(IF(OR(C28="",D28="Congé",D28="OFF",D28="Congé spécial"),"",IF(D28&gt;F28,D28-C28,IF(C28-D28&lt;0,0,C28-D28)))&lt;0.00068287037037037,"",IF(OR(D28="Congé",D28="OFF",C28="",D28="Congé spécial"),"",IF(D28&gt;F28,D28-C28,IF(C28-D28&lt;0,0,C28-D28))))</f>
        <v/>
      </c>
      <c r="J28" s="20"/>
      <c r="K28" s="8" t="n">
        <f aca="false">IF(SUM(H28:J28)&lt;0.00068287037037037,0,SUM(H28:J28))</f>
        <v>0</v>
      </c>
      <c r="L28" s="8" t="n">
        <f aca="false">IF(OR(F28="Congé",F28="OFF",M28="Abs",F28="Congé sans solde",F28="Férié",F28="Congé spécial",D28="Congé spécial"),0,IF(F28-E28&lt;0,0,IF(F28-E28&lt;=0.00068287037037037,0,F28-E28)))</f>
        <v>0</v>
      </c>
      <c r="M28" s="6" t="n">
        <f aca="false">IF(AND(O28&lt;&gt;0,C28=""),"Abs",0)</f>
        <v>0</v>
      </c>
      <c r="N28" s="8" t="n">
        <f aca="false">IFERROR(IF(OR(D28="OFF",D28="Congé",M28="Abs",D28="Congé sans solde",D28="Férié"),"",IF(O28-K28-L28&gt;O28,O28,IF(O28-K28-L28&lt;0,"",O28-K28-L28))),"")</f>
        <v>0.375</v>
      </c>
      <c r="O28" s="8" t="n">
        <f aca="false">IF(AG28="2H Pause déjeuner",IF(F28-D28-0.0833333333333333&lt;0,F28-D28-0.0833333333333333+1,F28-D28-0.0833333333333333),IF(OR(AND(F28="OFF",D28="OFF"),AND(F28="Congé",D28="Congé"),AND(F28="Congé sans solde",D28="Congé sans solde"),AND(F28="Congé spécial",D28="Congé spécial"),AND(F28="Férié",D28="Férié"),AND(F28="OFF",D28="Congé"),AND(F28="OFF",D28="Congé sans solde"),AND(F28="OFF",D28="Congé spécial"),AND(F28="OFF",D28="Férié"),AND(F28="Congé",D28="OFF"),AND(F28="Congé",D28="Congé sans solde"),AND(F28="Congé",D28="Congé spécial"),AND(F28="Congé",D28="Férié"),AND(F28="Congé sans solde",D28="OFF"),AND(F28="Congé sans solde",D28="Congé"),AND(F28="Congé sans solde",D28="Congé spécial"),AND(F28="Congé sans solde",D28="Férié"),AND(F28="Congé spécial",D28="OFF"),AND(F28="Congé spécial",D28="Congé"),AND(F28="Congé spécial",D28="Congé sans solde"),AND(F28="Congé spécial",D28="Férié"),AND(F28="Férié",D28="OFF"),AND(F28="Férié",D28="Congé"),AND(F28="Férié",D28="Congé sans solde"),AND(F28="Férié",D28="Congé spécial")),0,IF(OR(F28="OFF",F28="Congé",F28="Congé spécial",F28="Congé sans solde",D28="OFF",D28="Congé",D28="Congé spécial",D28="Congé sans solde"),0.208333333333334,IF(AND(AG28="",F28-D28&lt;0),("24:00:00"-D28)+("00:00:00"+F28)-0.0416666666666667,IF(AND(OR(AG28="Allaitement",AG28="Sans déjeuner"),F28-D28&lt;0),("24:00:00"-D28)+("00:00:00"+F28),IF(AND(AG28="",F28-D28&gt;0.166666666666667),F28-D28-0.0416666666666667,IF(AND(OR(AG28="Allaitement",AG28="Sans déjeuner"),F28-D28&gt;0.166666666666667),F28-D28,F28-D28)))))))</f>
        <v>0.375</v>
      </c>
      <c r="P28" s="6" t="str">
        <f aca="false">IFERROR(VLOOKUP($B28,Agents!$A:$D,2,0),"-")</f>
        <v>Accessibilité</v>
      </c>
      <c r="Q28" s="21" t="n">
        <v>45988</v>
      </c>
      <c r="R28" s="8" t="n">
        <f aca="false">IF(M28="Abs",O28,0)</f>
        <v>0</v>
      </c>
      <c r="S28" s="8" t="n">
        <f aca="false">SUM(R28,L28,I28,J28,W28,H28)</f>
        <v>0</v>
      </c>
      <c r="T28" s="6" t="str">
        <f aca="false">"Sem - "&amp;WEEKNUM(Q28,21)</f>
        <v>Sem - 48</v>
      </c>
      <c r="U28" s="6" t="str">
        <f aca="false">CHOOSE(MONTH(Q28),"Janvier","Février","Mars","Avril","Mai","Juin","Juillet","Août","Septembre","Octobre","Novembre","Décembre")</f>
        <v>Novembre</v>
      </c>
      <c r="V28" s="22" t="n">
        <f aca="false">YEAR(Q28)</f>
        <v>2025</v>
      </c>
      <c r="W28" s="20"/>
      <c r="X28" s="8" t="n">
        <f aca="false">IFERROR(IF(M28="Abs",0,IF(ROUND((D28-C28+E28-F28)*1440,0)&lt;=1,0,D28-C28+E28-F28)),0)</f>
        <v>0</v>
      </c>
      <c r="Y28" s="6" t="str">
        <f aca="false">IFERROR(VLOOKUP($B28,Agents!$A:$D,3,0),"-")</f>
        <v>OUBRAHIM Mohammed</v>
      </c>
      <c r="Z28" s="6" t="str">
        <f aca="false">IFERROR(VLOOKUP($B28,Agents!$A:$D,4,0),"-")</f>
        <v>Credit Mutuel</v>
      </c>
      <c r="AA28" s="18" t="s">
        <v>75</v>
      </c>
      <c r="AB28" s="8" t="str">
        <f aca="false">IF(AND(D28="Congé",F28="Congé"),0.333333333333333,IF(OR(AND(D28="Congé",F28&lt;&gt;"Congé"),(AND(F28="Congé",D28&lt;&gt;"Congé"))),0.166666666666667,""))</f>
        <v/>
      </c>
      <c r="AC28" s="8" t="str">
        <f aca="false">IF(AND(D28="Congé sans solde",F28="Congé sans solde"),0.333333333333333,IF(OR(AND(D28="Congé sans solde",F28&lt;&gt;"Congé sans solde"),(AND(F28="Congé sans solde",D28&lt;&gt;"Congé sans solde"))),0.166666666666667,""))</f>
        <v/>
      </c>
      <c r="AD28" s="8" t="str">
        <f aca="false">IF(AND(D28="Congé spécial",F28="Congé spécial"),0.333333333333333,IF(OR(AND(D28="Congé spécial",F28&lt;&gt;"Congé spécial"),AND(F28="Congé spécial",D28&lt;&gt;"Congé spécial")),0.166666666666667,""))</f>
        <v/>
      </c>
      <c r="AE28" s="8" t="str">
        <f aca="false">IF(AND(D28="Férié",F28="Férié"),0.333333333333333,IF(OR(AND(D28="Férié",F28&lt;&gt;"Férié"),(AND(F28="Férié",D28&lt;&gt;"Férié"))),0.166666666666667,""))</f>
        <v/>
      </c>
      <c r="AF28" s="18"/>
      <c r="AG28" s="18"/>
    </row>
    <row r="29" customFormat="false" ht="15" hidden="false" customHeight="false" outlineLevel="0" collapsed="false">
      <c r="A29" s="6" t="str">
        <f aca="false">YEAR(Q29-WEEKDAY(Q29,2)+4)&amp;"-S"&amp;TEXT(WEEKNUM(Q29,21),"00")</f>
        <v>2025-S48</v>
      </c>
      <c r="B29" s="18" t="s">
        <v>73</v>
      </c>
      <c r="C29" s="19" t="n">
        <v>0.333333333333333</v>
      </c>
      <c r="D29" s="19" t="n">
        <v>0.333333333333333</v>
      </c>
      <c r="E29" s="19" t="n">
        <v>0.75</v>
      </c>
      <c r="F29" s="19" t="n">
        <v>0.75</v>
      </c>
      <c r="G29" s="20"/>
      <c r="H29" s="20"/>
      <c r="I29" s="8" t="str">
        <f aca="false">IF(IF(OR(C29="",D29="Congé",D29="OFF",D29="Congé spécial"),"",IF(D29&gt;F29,D29-C29,IF(C29-D29&lt;0,0,C29-D29)))&lt;0.00068287037037037,"",IF(OR(D29="Congé",D29="OFF",C29="",D29="Congé spécial"),"",IF(D29&gt;F29,D29-C29,IF(C29-D29&lt;0,0,C29-D29))))</f>
        <v/>
      </c>
      <c r="J29" s="20"/>
      <c r="K29" s="8" t="n">
        <f aca="false">IF(SUM(H29:J29)&lt;0.00068287037037037,0,SUM(H29:J29))</f>
        <v>0</v>
      </c>
      <c r="L29" s="8" t="n">
        <f aca="false">IF(OR(F29="Congé",F29="OFF",M29="Abs",F29="Congé sans solde",F29="Férié",F29="Congé spécial",D29="Congé spécial"),0,IF(F29-E29&lt;0,0,IF(F29-E29&lt;=0.00068287037037037,0,F29-E29)))</f>
        <v>0</v>
      </c>
      <c r="M29" s="6" t="n">
        <f aca="false">IF(AND(O29&lt;&gt;0,C29=""),"Abs",0)</f>
        <v>0</v>
      </c>
      <c r="N29" s="8" t="n">
        <f aca="false">IFERROR(IF(OR(D29="OFF",D29="Congé",M29="Abs",D29="Congé sans solde",D29="Férié"),"",IF(O29-K29-L29&gt;O29,O29,IF(O29-K29-L29&lt;0,"",O29-K29-L29))),"")</f>
        <v>0.375</v>
      </c>
      <c r="O29" s="8" t="n">
        <f aca="false">IF(AG29="2H Pause déjeuner",IF(F29-D29-0.0833333333333333&lt;0,F29-D29-0.0833333333333333+1,F29-D29-0.0833333333333333),IF(OR(AND(F29="OFF",D29="OFF"),AND(F29="Congé",D29="Congé"),AND(F29="Congé sans solde",D29="Congé sans solde"),AND(F29="Congé spécial",D29="Congé spécial"),AND(F29="Férié",D29="Férié"),AND(F29="OFF",D29="Congé"),AND(F29="OFF",D29="Congé sans solde"),AND(F29="OFF",D29="Congé spécial"),AND(F29="OFF",D29="Férié"),AND(F29="Congé",D29="OFF"),AND(F29="Congé",D29="Congé sans solde"),AND(F29="Congé",D29="Congé spécial"),AND(F29="Congé",D29="Férié"),AND(F29="Congé sans solde",D29="OFF"),AND(F29="Congé sans solde",D29="Congé"),AND(F29="Congé sans solde",D29="Congé spécial"),AND(F29="Congé sans solde",D29="Férié"),AND(F29="Congé spécial",D29="OFF"),AND(F29="Congé spécial",D29="Congé"),AND(F29="Congé spécial",D29="Congé sans solde"),AND(F29="Congé spécial",D29="Férié"),AND(F29="Férié",D29="OFF"),AND(F29="Férié",D29="Congé"),AND(F29="Férié",D29="Congé sans solde"),AND(F29="Férié",D29="Congé spécial")),0,IF(OR(F29="OFF",F29="Congé",F29="Congé spécial",F29="Congé sans solde",D29="OFF",D29="Congé",D29="Congé spécial",D29="Congé sans solde"),0.208333333333334,IF(AND(AG29="",F29-D29&lt;0),("24:00:00"-D29)+("00:00:00"+F29)-0.0416666666666667,IF(AND(OR(AG29="Allaitement",AG29="Sans déjeuner"),F29-D29&lt;0),("24:00:00"-D29)+("00:00:00"+F29),IF(AND(AG29="",F29-D29&gt;0.166666666666667),F29-D29-0.0416666666666667,IF(AND(OR(AG29="Allaitement",AG29="Sans déjeuner"),F29-D29&gt;0.166666666666667),F29-D29,F29-D29)))))))</f>
        <v>0.375</v>
      </c>
      <c r="P29" s="6" t="str">
        <f aca="false">IFERROR(VLOOKUP($B29,Agents!$A:$D,2,0),"-")</f>
        <v>Accessibilité</v>
      </c>
      <c r="Q29" s="21" t="n">
        <v>45988</v>
      </c>
      <c r="R29" s="8" t="n">
        <f aca="false">IF(M29="Abs",O29,0)</f>
        <v>0</v>
      </c>
      <c r="S29" s="8" t="n">
        <f aca="false">SUM(R29,L29,I29,J29,W29,H29)</f>
        <v>0</v>
      </c>
      <c r="T29" s="6" t="str">
        <f aca="false">"Sem - "&amp;WEEKNUM(Q29,21)</f>
        <v>Sem - 48</v>
      </c>
      <c r="U29" s="6" t="str">
        <f aca="false">CHOOSE(MONTH(Q29),"Janvier","Février","Mars","Avril","Mai","Juin","Juillet","Août","Septembre","Octobre","Novembre","Décembre")</f>
        <v>Novembre</v>
      </c>
      <c r="V29" s="22" t="n">
        <f aca="false">YEAR(Q29)</f>
        <v>2025</v>
      </c>
      <c r="W29" s="20"/>
      <c r="X29" s="8" t="n">
        <f aca="false">IFERROR(IF(M29="Abs",0,IF(ROUND((D29-C29+E29-F29)*1440,0)&lt;=1,0,D29-C29+E29-F29)),0)</f>
        <v>0</v>
      </c>
      <c r="Y29" s="6" t="str">
        <f aca="false">IFERROR(VLOOKUP($B29,Agents!$A:$D,3,0),"-")</f>
        <v>OUBRAHIM Mohammed</v>
      </c>
      <c r="Z29" s="6" t="str">
        <f aca="false">IFERROR(VLOOKUP($B29,Agents!$A:$D,4,0),"-")</f>
        <v>Credit Mutuel</v>
      </c>
      <c r="AA29" s="18" t="s">
        <v>75</v>
      </c>
      <c r="AB29" s="8" t="str">
        <f aca="false">IF(AND(D29="Congé",F29="Congé"),0.333333333333333,IF(OR(AND(D29="Congé",F29&lt;&gt;"Congé"),(AND(F29="Congé",D29&lt;&gt;"Congé"))),0.166666666666667,""))</f>
        <v/>
      </c>
      <c r="AC29" s="8" t="str">
        <f aca="false">IF(AND(D29="Congé sans solde",F29="Congé sans solde"),0.333333333333333,IF(OR(AND(D29="Congé sans solde",F29&lt;&gt;"Congé sans solde"),(AND(F29="Congé sans solde",D29&lt;&gt;"Congé sans solde"))),0.166666666666667,""))</f>
        <v/>
      </c>
      <c r="AD29" s="8" t="str">
        <f aca="false">IF(AND(D29="Congé spécial",F29="Congé spécial"),0.333333333333333,IF(OR(AND(D29="Congé spécial",F29&lt;&gt;"Congé spécial"),AND(F29="Congé spécial",D29&lt;&gt;"Congé spécial")),0.166666666666667,""))</f>
        <v/>
      </c>
      <c r="AE29" s="8" t="str">
        <f aca="false">IF(AND(D29="Férié",F29="Férié"),0.333333333333333,IF(OR(AND(D29="Férié",F29&lt;&gt;"Férié"),(AND(F29="Férié",D29&lt;&gt;"Férié"))),0.166666666666667,""))</f>
        <v/>
      </c>
      <c r="AF29" s="18"/>
      <c r="AG29" s="18"/>
    </row>
    <row r="30" customFormat="false" ht="15" hidden="false" customHeight="false" outlineLevel="0" collapsed="false">
      <c r="A30" s="6" t="str">
        <f aca="false">YEAR(Q30-WEEKDAY(Q30,2)+4)&amp;"-S"&amp;TEXT(WEEKNUM(Q30,21),"00")</f>
        <v>2025-S48</v>
      </c>
      <c r="B30" s="18" t="s">
        <v>69</v>
      </c>
      <c r="C30" s="19" t="n">
        <v>0.332638888888889</v>
      </c>
      <c r="D30" s="19" t="n">
        <v>0.333333333333333</v>
      </c>
      <c r="E30" s="19" t="n">
        <v>0.708333333333333</v>
      </c>
      <c r="F30" s="19" t="n">
        <v>0.708333333333333</v>
      </c>
      <c r="G30" s="20"/>
      <c r="H30" s="20"/>
      <c r="I30" s="8" t="str">
        <f aca="false">IF(IF(OR(C30="",D30="Congé",D30="OFF",D30="Congé spécial"),"",IF(D30&gt;F30,D30-C30,IF(C30-D30&lt;0,0,C30-D30)))&lt;0.00068287037037037,"",IF(OR(D30="Congé",D30="OFF",C30="",D30="Congé spécial"),"",IF(D30&gt;F30,D30-C30,IF(C30-D30&lt;0,0,C30-D30))))</f>
        <v/>
      </c>
      <c r="J30" s="20"/>
      <c r="K30" s="8" t="n">
        <f aca="false">IF(SUM(H30:J30)&lt;0.00068287037037037,0,SUM(H30:J30))</f>
        <v>0</v>
      </c>
      <c r="L30" s="8" t="n">
        <f aca="false">IF(OR(F30="Congé",F30="OFF",M30="Abs",F30="Congé sans solde",F30="Férié",F30="Congé spécial",D30="Congé spécial"),0,IF(F30-E30&lt;0,0,IF(F30-E30&lt;=0.00068287037037037,0,F30-E30)))</f>
        <v>0</v>
      </c>
      <c r="M30" s="6" t="n">
        <f aca="false">IF(AND(O30&lt;&gt;0,C30=""),"Abs",0)</f>
        <v>0</v>
      </c>
      <c r="N30" s="8" t="n">
        <f aca="false">IFERROR(IF(OR(D30="OFF",D30="Congé",M30="Abs",D30="Congé sans solde",D30="Férié"),"",IF(O30-K30-L30&gt;O30,O30,IF(O30-K30-L30&lt;0,"",O30-K30-L30))),"")</f>
        <v>0.333333333333333</v>
      </c>
      <c r="O30" s="8" t="n">
        <f aca="false">IF(AG30="2H Pause déjeuner",IF(F30-D30-0.0833333333333333&lt;0,F30-D30-0.0833333333333333+1,F30-D30-0.0833333333333333),IF(OR(AND(F30="OFF",D30="OFF"),AND(F30="Congé",D30="Congé"),AND(F30="Congé sans solde",D30="Congé sans solde"),AND(F30="Congé spécial",D30="Congé spécial"),AND(F30="Férié",D30="Férié"),AND(F30="OFF",D30="Congé"),AND(F30="OFF",D30="Congé sans solde"),AND(F30="OFF",D30="Congé spécial"),AND(F30="OFF",D30="Férié"),AND(F30="Congé",D30="OFF"),AND(F30="Congé",D30="Congé sans solde"),AND(F30="Congé",D30="Congé spécial"),AND(F30="Congé",D30="Férié"),AND(F30="Congé sans solde",D30="OFF"),AND(F30="Congé sans solde",D30="Congé"),AND(F30="Congé sans solde",D30="Congé spécial"),AND(F30="Congé sans solde",D30="Férié"),AND(F30="Congé spécial",D30="OFF"),AND(F30="Congé spécial",D30="Congé"),AND(F30="Congé spécial",D30="Congé sans solde"),AND(F30="Congé spécial",D30="Férié"),AND(F30="Férié",D30="OFF"),AND(F30="Férié",D30="Congé"),AND(F30="Férié",D30="Congé sans solde"),AND(F30="Férié",D30="Congé spécial")),0,IF(OR(F30="OFF",F30="Congé",F30="Congé spécial",F30="Congé sans solde",D30="OFF",D30="Congé",D30="Congé spécial",D30="Congé sans solde"),0.208333333333334,IF(AND(AG30="",F30-D30&lt;0),("24:00:00"-D30)+("00:00:00"+F30)-0.0416666666666667,IF(AND(OR(AG30="Allaitement",AG30="Sans déjeuner"),F30-D30&lt;0),("24:00:00"-D30)+("00:00:00"+F30),IF(AND(AG30="",F30-D30&gt;0.166666666666667),F30-D30-0.0416666666666667,IF(AND(OR(AG30="Allaitement",AG30="Sans déjeuner"),F30-D30&gt;0.166666666666667),F30-D30,F30-D30)))))))</f>
        <v>0.333333333333333</v>
      </c>
      <c r="P30" s="6" t="str">
        <f aca="false">IFERROR(VLOOKUP($B30,Agents!$A:$D,2,0),"-")</f>
        <v>Accessibilité</v>
      </c>
      <c r="Q30" s="21" t="n">
        <v>45989</v>
      </c>
      <c r="R30" s="8" t="n">
        <f aca="false">IF(M30="Abs",O30,0)</f>
        <v>0</v>
      </c>
      <c r="S30" s="8" t="n">
        <f aca="false">SUM(R30,L30,I30,J30,W30,H30)</f>
        <v>0</v>
      </c>
      <c r="T30" s="6" t="str">
        <f aca="false">"Sem - "&amp;WEEKNUM(Q30,21)</f>
        <v>Sem - 48</v>
      </c>
      <c r="U30" s="6" t="str">
        <f aca="false">CHOOSE(MONTH(Q30),"Janvier","Février","Mars","Avril","Mai","Juin","Juillet","Août","Septembre","Octobre","Novembre","Décembre")</f>
        <v>Novembre</v>
      </c>
      <c r="V30" s="22" t="n">
        <f aca="false">YEAR(Q30)</f>
        <v>2025</v>
      </c>
      <c r="W30" s="20"/>
      <c r="X30" s="8" t="n">
        <f aca="false">IFERROR(IF(M30="Abs",0,IF(ROUND((D30-C30+E30-F30)*1440,0)&lt;=1,0,D30-C30+E30-F30)),0)</f>
        <v>0</v>
      </c>
      <c r="Y30" s="6" t="str">
        <f aca="false">IFERROR(VLOOKUP($B30,Agents!$A:$D,3,0),"-")</f>
        <v>OUBRAHIM Mohammed</v>
      </c>
      <c r="Z30" s="6" t="str">
        <f aca="false">IFERROR(VLOOKUP($B30,Agents!$A:$D,4,0),"-")</f>
        <v>Credit Mutuel</v>
      </c>
      <c r="AA30" s="18" t="s">
        <v>75</v>
      </c>
      <c r="AB30" s="8" t="str">
        <f aca="false">IF(AND(D30="Congé",F30="Congé"),0.333333333333333,IF(OR(AND(D30="Congé",F30&lt;&gt;"Congé"),(AND(F30="Congé",D30&lt;&gt;"Congé"))),0.166666666666667,""))</f>
        <v/>
      </c>
      <c r="AC30" s="8" t="str">
        <f aca="false">IF(AND(D30="Congé sans solde",F30="Congé sans solde"),0.333333333333333,IF(OR(AND(D30="Congé sans solde",F30&lt;&gt;"Congé sans solde"),(AND(F30="Congé sans solde",D30&lt;&gt;"Congé sans solde"))),0.166666666666667,""))</f>
        <v/>
      </c>
      <c r="AD30" s="8" t="str">
        <f aca="false">IF(AND(D30="Congé spécial",F30="Congé spécial"),0.333333333333333,IF(OR(AND(D30="Congé spécial",F30&lt;&gt;"Congé spécial"),AND(F30="Congé spécial",D30&lt;&gt;"Congé spécial")),0.166666666666667,""))</f>
        <v/>
      </c>
      <c r="AE30" s="8" t="str">
        <f aca="false">IF(AND(D30="Férié",F30="Férié"),0.333333333333333,IF(OR(AND(D30="Férié",F30&lt;&gt;"Férié"),(AND(F30="Férié",D30&lt;&gt;"Férié"))),0.166666666666667,""))</f>
        <v/>
      </c>
      <c r="AF30" s="18"/>
      <c r="AG30" s="18"/>
    </row>
    <row r="31" customFormat="false" ht="15" hidden="false" customHeight="false" outlineLevel="0" collapsed="false">
      <c r="A31" s="6" t="str">
        <f aca="false">YEAR(Q31-WEEKDAY(Q31,2)+4)&amp;"-S"&amp;TEXT(WEEKNUM(Q31,21),"00")</f>
        <v>2025-S48</v>
      </c>
      <c r="B31" s="18" t="s">
        <v>71</v>
      </c>
      <c r="C31" s="19" t="n">
        <v>0.332638888888889</v>
      </c>
      <c r="D31" s="19" t="n">
        <v>0.333333333333333</v>
      </c>
      <c r="E31" s="19" t="n">
        <v>0.708333333333333</v>
      </c>
      <c r="F31" s="19" t="n">
        <v>0.708333333333333</v>
      </c>
      <c r="G31" s="20"/>
      <c r="H31" s="20"/>
      <c r="I31" s="8" t="str">
        <f aca="false">IF(IF(OR(C31="",D31="Congé",D31="OFF",D31="Congé spécial"),"",IF(D31&gt;F31,D31-C31,IF(C31-D31&lt;0,0,C31-D31)))&lt;0.00068287037037037,"",IF(OR(D31="Congé",D31="OFF",C31="",D31="Congé spécial"),"",IF(D31&gt;F31,D31-C31,IF(C31-D31&lt;0,0,C31-D31))))</f>
        <v/>
      </c>
      <c r="J31" s="20"/>
      <c r="K31" s="8" t="n">
        <f aca="false">IF(SUM(H31:J31)&lt;0.00068287037037037,0,SUM(H31:J31))</f>
        <v>0</v>
      </c>
      <c r="L31" s="8" t="n">
        <f aca="false">IF(OR(F31="Congé",F31="OFF",M31="Abs",F31="Congé sans solde",F31="Férié",F31="Congé spécial",D31="Congé spécial"),0,IF(F31-E31&lt;0,0,IF(F31-E31&lt;=0.00068287037037037,0,F31-E31)))</f>
        <v>0</v>
      </c>
      <c r="M31" s="6" t="n">
        <f aca="false">IF(AND(O31&lt;&gt;0,C31=""),"Abs",0)</f>
        <v>0</v>
      </c>
      <c r="N31" s="8" t="n">
        <f aca="false">IFERROR(IF(OR(D31="OFF",D31="Congé",M31="Abs",D31="Congé sans solde",D31="Férié"),"",IF(O31-K31-L31&gt;O31,O31,IF(O31-K31-L31&lt;0,"",O31-K31-L31))),"")</f>
        <v>0.333333333333333</v>
      </c>
      <c r="O31" s="8" t="n">
        <f aca="false">IF(AG31="2H Pause déjeuner",IF(F31-D31-0.0833333333333333&lt;0,F31-D31-0.0833333333333333+1,F31-D31-0.0833333333333333),IF(OR(AND(F31="OFF",D31="OFF"),AND(F31="Congé",D31="Congé"),AND(F31="Congé sans solde",D31="Congé sans solde"),AND(F31="Congé spécial",D31="Congé spécial"),AND(F31="Férié",D31="Férié"),AND(F31="OFF",D31="Congé"),AND(F31="OFF",D31="Congé sans solde"),AND(F31="OFF",D31="Congé spécial"),AND(F31="OFF",D31="Férié"),AND(F31="Congé",D31="OFF"),AND(F31="Congé",D31="Congé sans solde"),AND(F31="Congé",D31="Congé spécial"),AND(F31="Congé",D31="Férié"),AND(F31="Congé sans solde",D31="OFF"),AND(F31="Congé sans solde",D31="Congé"),AND(F31="Congé sans solde",D31="Congé spécial"),AND(F31="Congé sans solde",D31="Férié"),AND(F31="Congé spécial",D31="OFF"),AND(F31="Congé spécial",D31="Congé"),AND(F31="Congé spécial",D31="Congé sans solde"),AND(F31="Congé spécial",D31="Férié"),AND(F31="Férié",D31="OFF"),AND(F31="Férié",D31="Congé"),AND(F31="Férié",D31="Congé sans solde"),AND(F31="Férié",D31="Congé spécial")),0,IF(OR(F31="OFF",F31="Congé",F31="Congé spécial",F31="Congé sans solde",D31="OFF",D31="Congé",D31="Congé spécial",D31="Congé sans solde"),0.208333333333334,IF(AND(AG31="",F31-D31&lt;0),("24:00:00"-D31)+("00:00:00"+F31)-0.0416666666666667,IF(AND(OR(AG31="Allaitement",AG31="Sans déjeuner"),F31-D31&lt;0),("24:00:00"-D31)+("00:00:00"+F31),IF(AND(AG31="",F31-D31&gt;0.166666666666667),F31-D31-0.0416666666666667,IF(AND(OR(AG31="Allaitement",AG31="Sans déjeuner"),F31-D31&gt;0.166666666666667),F31-D31,F31-D31)))))))</f>
        <v>0.333333333333333</v>
      </c>
      <c r="P31" s="6" t="str">
        <f aca="false">IFERROR(VLOOKUP($B31,Agents!$A:$D,2,0),"-")</f>
        <v>Accessibilité</v>
      </c>
      <c r="Q31" s="21" t="n">
        <v>45989</v>
      </c>
      <c r="R31" s="8" t="n">
        <f aca="false">IF(M31="Abs",O31,0)</f>
        <v>0</v>
      </c>
      <c r="S31" s="8" t="n">
        <f aca="false">SUM(R31,L31,I31,J31,W31,H31)</f>
        <v>0</v>
      </c>
      <c r="T31" s="6" t="str">
        <f aca="false">"Sem - "&amp;WEEKNUM(Q31,21)</f>
        <v>Sem - 48</v>
      </c>
      <c r="U31" s="6" t="str">
        <f aca="false">CHOOSE(MONTH(Q31),"Janvier","Février","Mars","Avril","Mai","Juin","Juillet","Août","Septembre","Octobre","Novembre","Décembre")</f>
        <v>Novembre</v>
      </c>
      <c r="V31" s="22" t="n">
        <f aca="false">YEAR(Q31)</f>
        <v>2025</v>
      </c>
      <c r="W31" s="20"/>
      <c r="X31" s="8" t="n">
        <f aca="false">IFERROR(IF(M31="Abs",0,IF(ROUND((D31-C31+E31-F31)*1440,0)&lt;=1,0,D31-C31+E31-F31)),0)</f>
        <v>0</v>
      </c>
      <c r="Y31" s="6" t="str">
        <f aca="false">IFERROR(VLOOKUP($B31,Agents!$A:$D,3,0),"-")</f>
        <v>OUBRAHIM Mohammed</v>
      </c>
      <c r="Z31" s="6" t="str">
        <f aca="false">IFERROR(VLOOKUP($B31,Agents!$A:$D,4,0),"-")</f>
        <v>Credit Mutuel</v>
      </c>
      <c r="AA31" s="18" t="s">
        <v>75</v>
      </c>
      <c r="AB31" s="8" t="str">
        <f aca="false">IF(AND(D31="Congé",F31="Congé"),0.333333333333333,IF(OR(AND(D31="Congé",F31&lt;&gt;"Congé"),(AND(F31="Congé",D31&lt;&gt;"Congé"))),0.166666666666667,""))</f>
        <v/>
      </c>
      <c r="AC31" s="8" t="str">
        <f aca="false">IF(AND(D31="Congé sans solde",F31="Congé sans solde"),0.333333333333333,IF(OR(AND(D31="Congé sans solde",F31&lt;&gt;"Congé sans solde"),(AND(F31="Congé sans solde",D31&lt;&gt;"Congé sans solde"))),0.166666666666667,""))</f>
        <v/>
      </c>
      <c r="AD31" s="8" t="str">
        <f aca="false">IF(AND(D31="Congé spécial",F31="Congé spécial"),0.333333333333333,IF(OR(AND(D31="Congé spécial",F31&lt;&gt;"Congé spécial"),AND(F31="Congé spécial",D31&lt;&gt;"Congé spécial")),0.166666666666667,""))</f>
        <v/>
      </c>
      <c r="AE31" s="8" t="str">
        <f aca="false">IF(AND(D31="Férié",F31="Férié"),0.333333333333333,IF(OR(AND(D31="Férié",F31&lt;&gt;"Férié"),(AND(F31="Férié",D31&lt;&gt;"Férié"))),0.166666666666667,""))</f>
        <v/>
      </c>
      <c r="AF31" s="18"/>
      <c r="AG31" s="18"/>
    </row>
    <row r="32" customFormat="false" ht="15" hidden="false" customHeight="false" outlineLevel="0" collapsed="false">
      <c r="A32" s="6" t="str">
        <f aca="false">YEAR(Q32-WEEKDAY(Q32,2)+4)&amp;"-S"&amp;TEXT(WEEKNUM(Q32,21),"00")</f>
        <v>2025-S48</v>
      </c>
      <c r="B32" s="18" t="s">
        <v>72</v>
      </c>
      <c r="C32" s="19" t="n">
        <v>0.332638888888889</v>
      </c>
      <c r="D32" s="19" t="n">
        <v>0.333333333333333</v>
      </c>
      <c r="E32" s="19" t="n">
        <v>0.708333333333333</v>
      </c>
      <c r="F32" s="19" t="n">
        <v>0.708333333333333</v>
      </c>
      <c r="G32" s="20"/>
      <c r="H32" s="20"/>
      <c r="I32" s="8" t="str">
        <f aca="false">IF(IF(OR(C32="",D32="Congé",D32="OFF",D32="Congé spécial"),"",IF(D32&gt;F32,D32-C32,IF(C32-D32&lt;0,0,C32-D32)))&lt;0.00068287037037037,"",IF(OR(D32="Congé",D32="OFF",C32="",D32="Congé spécial"),"",IF(D32&gt;F32,D32-C32,IF(C32-D32&lt;0,0,C32-D32))))</f>
        <v/>
      </c>
      <c r="J32" s="20"/>
      <c r="K32" s="8" t="n">
        <f aca="false">IF(SUM(H32:J32)&lt;0.00068287037037037,0,SUM(H32:J32))</f>
        <v>0</v>
      </c>
      <c r="L32" s="8" t="n">
        <f aca="false">IF(OR(F32="Congé",F32="OFF",M32="Abs",F32="Congé sans solde",F32="Férié",F32="Congé spécial",D32="Congé spécial"),0,IF(F32-E32&lt;0,0,IF(F32-E32&lt;=0.00068287037037037,0,F32-E32)))</f>
        <v>0</v>
      </c>
      <c r="M32" s="6" t="n">
        <f aca="false">IF(AND(O32&lt;&gt;0,C32=""),"Abs",0)</f>
        <v>0</v>
      </c>
      <c r="N32" s="8" t="n">
        <f aca="false">IFERROR(IF(OR(D32="OFF",D32="Congé",M32="Abs",D32="Congé sans solde",D32="Férié"),"",IF(O32-K32-L32&gt;O32,O32,IF(O32-K32-L32&lt;0,"",O32-K32-L32))),"")</f>
        <v>0.333333333333333</v>
      </c>
      <c r="O32" s="8" t="n">
        <f aca="false">IF(AG32="2H Pause déjeuner",IF(F32-D32-0.0833333333333333&lt;0,F32-D32-0.0833333333333333+1,F32-D32-0.0833333333333333),IF(OR(AND(F32="OFF",D32="OFF"),AND(F32="Congé",D32="Congé"),AND(F32="Congé sans solde",D32="Congé sans solde"),AND(F32="Congé spécial",D32="Congé spécial"),AND(F32="Férié",D32="Férié"),AND(F32="OFF",D32="Congé"),AND(F32="OFF",D32="Congé sans solde"),AND(F32="OFF",D32="Congé spécial"),AND(F32="OFF",D32="Férié"),AND(F32="Congé",D32="OFF"),AND(F32="Congé",D32="Congé sans solde"),AND(F32="Congé",D32="Congé spécial"),AND(F32="Congé",D32="Férié"),AND(F32="Congé sans solde",D32="OFF"),AND(F32="Congé sans solde",D32="Congé"),AND(F32="Congé sans solde",D32="Congé spécial"),AND(F32="Congé sans solde",D32="Férié"),AND(F32="Congé spécial",D32="OFF"),AND(F32="Congé spécial",D32="Congé"),AND(F32="Congé spécial",D32="Congé sans solde"),AND(F32="Congé spécial",D32="Férié"),AND(F32="Férié",D32="OFF"),AND(F32="Férié",D32="Congé"),AND(F32="Férié",D32="Congé sans solde"),AND(F32="Férié",D32="Congé spécial")),0,IF(OR(F32="OFF",F32="Congé",F32="Congé spécial",F32="Congé sans solde",D32="OFF",D32="Congé",D32="Congé spécial",D32="Congé sans solde"),0.208333333333334,IF(AND(AG32="",F32-D32&lt;0),("24:00:00"-D32)+("00:00:00"+F32)-0.0416666666666667,IF(AND(OR(AG32="Allaitement",AG32="Sans déjeuner"),F32-D32&lt;0),("24:00:00"-D32)+("00:00:00"+F32),IF(AND(AG32="",F32-D32&gt;0.166666666666667),F32-D32-0.0416666666666667,IF(AND(OR(AG32="Allaitement",AG32="Sans déjeuner"),F32-D32&gt;0.166666666666667),F32-D32,F32-D32)))))))</f>
        <v>0.333333333333333</v>
      </c>
      <c r="P32" s="6" t="str">
        <f aca="false">IFERROR(VLOOKUP($B32,Agents!$A:$D,2,0),"-")</f>
        <v>Accessibilité</v>
      </c>
      <c r="Q32" s="21" t="n">
        <v>45989</v>
      </c>
      <c r="R32" s="8" t="n">
        <f aca="false">IF(M32="Abs",O32,0)</f>
        <v>0</v>
      </c>
      <c r="S32" s="8" t="n">
        <f aca="false">SUM(R32,L32,I32,J32,W32,H32)</f>
        <v>0</v>
      </c>
      <c r="T32" s="6" t="str">
        <f aca="false">"Sem - "&amp;WEEKNUM(Q32,21)</f>
        <v>Sem - 48</v>
      </c>
      <c r="U32" s="6" t="str">
        <f aca="false">CHOOSE(MONTH(Q32),"Janvier","Février","Mars","Avril","Mai","Juin","Juillet","Août","Septembre","Octobre","Novembre","Décembre")</f>
        <v>Novembre</v>
      </c>
      <c r="V32" s="22" t="n">
        <f aca="false">YEAR(Q32)</f>
        <v>2025</v>
      </c>
      <c r="W32" s="20"/>
      <c r="X32" s="8" t="n">
        <f aca="false">IFERROR(IF(M32="Abs",0,IF(ROUND((D32-C32+E32-F32)*1440,0)&lt;=1,0,D32-C32+E32-F32)),0)</f>
        <v>0</v>
      </c>
      <c r="Y32" s="6" t="str">
        <f aca="false">IFERROR(VLOOKUP($B32,Agents!$A:$D,3,0),"-")</f>
        <v>OUBRAHIM Mohammed</v>
      </c>
      <c r="Z32" s="6" t="str">
        <f aca="false">IFERROR(VLOOKUP($B32,Agents!$A:$D,4,0),"-")</f>
        <v>Credit Mutuel</v>
      </c>
      <c r="AA32" s="18" t="s">
        <v>75</v>
      </c>
      <c r="AB32" s="8" t="str">
        <f aca="false">IF(AND(D32="Congé",F32="Congé"),0.333333333333333,IF(OR(AND(D32="Congé",F32&lt;&gt;"Congé"),(AND(F32="Congé",D32&lt;&gt;"Congé"))),0.166666666666667,""))</f>
        <v/>
      </c>
      <c r="AC32" s="8" t="str">
        <f aca="false">IF(AND(D32="Congé sans solde",F32="Congé sans solde"),0.333333333333333,IF(OR(AND(D32="Congé sans solde",F32&lt;&gt;"Congé sans solde"),(AND(F32="Congé sans solde",D32&lt;&gt;"Congé sans solde"))),0.166666666666667,""))</f>
        <v/>
      </c>
      <c r="AD32" s="8" t="str">
        <f aca="false">IF(AND(D32="Congé spécial",F32="Congé spécial"),0.333333333333333,IF(OR(AND(D32="Congé spécial",F32&lt;&gt;"Congé spécial"),AND(F32="Congé spécial",D32&lt;&gt;"Congé spécial")),0.166666666666667,""))</f>
        <v/>
      </c>
      <c r="AE32" s="8" t="str">
        <f aca="false">IF(AND(D32="Férié",F32="Férié"),0.333333333333333,IF(OR(AND(D32="Férié",F32&lt;&gt;"Férié"),(AND(F32="Férié",D32&lt;&gt;"Férié"))),0.166666666666667,""))</f>
        <v/>
      </c>
      <c r="AF32" s="18"/>
      <c r="AG32" s="18"/>
    </row>
    <row r="33" customFormat="false" ht="15" hidden="false" customHeight="false" outlineLevel="0" collapsed="false">
      <c r="A33" s="6" t="str">
        <f aca="false">YEAR(Q33-WEEKDAY(Q33,2)+4)&amp;"-S"&amp;TEXT(WEEKNUM(Q33,21),"00")</f>
        <v>2025-S48</v>
      </c>
      <c r="B33" s="18" t="s">
        <v>73</v>
      </c>
      <c r="C33" s="19" t="n">
        <v>0.332638888888889</v>
      </c>
      <c r="D33" s="19" t="n">
        <v>0.333333333333333</v>
      </c>
      <c r="E33" s="19" t="n">
        <v>0.708333333333333</v>
      </c>
      <c r="F33" s="19" t="n">
        <v>0.708333333333333</v>
      </c>
      <c r="G33" s="20"/>
      <c r="H33" s="20"/>
      <c r="I33" s="8" t="str">
        <f aca="false">IF(IF(OR(C33="",D33="Congé",D33="OFF",D33="Congé spécial"),"",IF(D33&gt;F33,D33-C33,IF(C33-D33&lt;0,0,C33-D33)))&lt;0.00068287037037037,"",IF(OR(D33="Congé",D33="OFF",C33="",D33="Congé spécial"),"",IF(D33&gt;F33,D33-C33,IF(C33-D33&lt;0,0,C33-D33))))</f>
        <v/>
      </c>
      <c r="J33" s="20"/>
      <c r="K33" s="8" t="n">
        <f aca="false">IF(SUM(H33:J33)&lt;0.00068287037037037,0,SUM(H33:J33))</f>
        <v>0</v>
      </c>
      <c r="L33" s="8" t="n">
        <f aca="false">IF(OR(F33="Congé",F33="OFF",M33="Abs",F33="Congé sans solde",F33="Férié",F33="Congé spécial",D33="Congé spécial"),0,IF(F33-E33&lt;0,0,IF(F33-E33&lt;=0.00068287037037037,0,F33-E33)))</f>
        <v>0</v>
      </c>
      <c r="M33" s="6" t="n">
        <f aca="false">IF(AND(O33&lt;&gt;0,C33=""),"Abs",0)</f>
        <v>0</v>
      </c>
      <c r="N33" s="8" t="n">
        <f aca="false">IFERROR(IF(OR(D33="OFF",D33="Congé",M33="Abs",D33="Congé sans solde",D33="Férié"),"",IF(O33-K33-L33&gt;O33,O33,IF(O33-K33-L33&lt;0,"",O33-K33-L33))),"")</f>
        <v>0.333333333333333</v>
      </c>
      <c r="O33" s="8" t="n">
        <f aca="false">IF(AG33="2H Pause déjeuner",IF(F33-D33-0.0833333333333333&lt;0,F33-D33-0.0833333333333333+1,F33-D33-0.0833333333333333),IF(OR(AND(F33="OFF",D33="OFF"),AND(F33="Congé",D33="Congé"),AND(F33="Congé sans solde",D33="Congé sans solde"),AND(F33="Congé spécial",D33="Congé spécial"),AND(F33="Férié",D33="Férié"),AND(F33="OFF",D33="Congé"),AND(F33="OFF",D33="Congé sans solde"),AND(F33="OFF",D33="Congé spécial"),AND(F33="OFF",D33="Férié"),AND(F33="Congé",D33="OFF"),AND(F33="Congé",D33="Congé sans solde"),AND(F33="Congé",D33="Congé spécial"),AND(F33="Congé",D33="Férié"),AND(F33="Congé sans solde",D33="OFF"),AND(F33="Congé sans solde",D33="Congé"),AND(F33="Congé sans solde",D33="Congé spécial"),AND(F33="Congé sans solde",D33="Férié"),AND(F33="Congé spécial",D33="OFF"),AND(F33="Congé spécial",D33="Congé"),AND(F33="Congé spécial",D33="Congé sans solde"),AND(F33="Congé spécial",D33="Férié"),AND(F33="Férié",D33="OFF"),AND(F33="Férié",D33="Congé"),AND(F33="Férié",D33="Congé sans solde"),AND(F33="Férié",D33="Congé spécial")),0,IF(OR(F33="OFF",F33="Congé",F33="Congé spécial",F33="Congé sans solde",D33="OFF",D33="Congé",D33="Congé spécial",D33="Congé sans solde"),0.208333333333334,IF(AND(AG33="",F33-D33&lt;0),("24:00:00"-D33)+("00:00:00"+F33)-0.0416666666666667,IF(AND(OR(AG33="Allaitement",AG33="Sans déjeuner"),F33-D33&lt;0),("24:00:00"-D33)+("00:00:00"+F33),IF(AND(AG33="",F33-D33&gt;0.166666666666667),F33-D33-0.0416666666666667,IF(AND(OR(AG33="Allaitement",AG33="Sans déjeuner"),F33-D33&gt;0.166666666666667),F33-D33,F33-D33)))))))</f>
        <v>0.333333333333333</v>
      </c>
      <c r="P33" s="6" t="str">
        <f aca="false">IFERROR(VLOOKUP($B33,Agents!$A:$D,2,0),"-")</f>
        <v>Accessibilité</v>
      </c>
      <c r="Q33" s="21" t="n">
        <v>45989</v>
      </c>
      <c r="R33" s="8" t="n">
        <f aca="false">IF(M33="Abs",O33,0)</f>
        <v>0</v>
      </c>
      <c r="S33" s="8" t="n">
        <f aca="false">SUM(R33,L33,I33,J33,W33,H33)</f>
        <v>0</v>
      </c>
      <c r="T33" s="6" t="str">
        <f aca="false">"Sem - "&amp;WEEKNUM(Q33,21)</f>
        <v>Sem - 48</v>
      </c>
      <c r="U33" s="6" t="str">
        <f aca="false">CHOOSE(MONTH(Q33),"Janvier","Février","Mars","Avril","Mai","Juin","Juillet","Août","Septembre","Octobre","Novembre","Décembre")</f>
        <v>Novembre</v>
      </c>
      <c r="V33" s="22" t="n">
        <f aca="false">YEAR(Q33)</f>
        <v>2025</v>
      </c>
      <c r="W33" s="20"/>
      <c r="X33" s="8" t="n">
        <f aca="false">IFERROR(IF(M33="Abs",0,IF(ROUND((D33-C33+E33-F33)*1440,0)&lt;=1,0,D33-C33+E33-F33)),0)</f>
        <v>0</v>
      </c>
      <c r="Y33" s="6" t="str">
        <f aca="false">IFERROR(VLOOKUP($B33,Agents!$A:$D,3,0),"-")</f>
        <v>OUBRAHIM Mohammed</v>
      </c>
      <c r="Z33" s="6" t="str">
        <f aca="false">IFERROR(VLOOKUP($B33,Agents!$A:$D,4,0),"-")</f>
        <v>Credit Mutuel</v>
      </c>
      <c r="AA33" s="18" t="s">
        <v>75</v>
      </c>
      <c r="AB33" s="8" t="str">
        <f aca="false">IF(AND(D33="Congé",F33="Congé"),0.333333333333333,IF(OR(AND(D33="Congé",F33&lt;&gt;"Congé"),(AND(F33="Congé",D33&lt;&gt;"Congé"))),0.166666666666667,""))</f>
        <v/>
      </c>
      <c r="AC33" s="8" t="str">
        <f aca="false">IF(AND(D33="Congé sans solde",F33="Congé sans solde"),0.333333333333333,IF(OR(AND(D33="Congé sans solde",F33&lt;&gt;"Congé sans solde"),(AND(F33="Congé sans solde",D33&lt;&gt;"Congé sans solde"))),0.166666666666667,""))</f>
        <v/>
      </c>
      <c r="AD33" s="8" t="str">
        <f aca="false">IF(AND(D33="Congé spécial",F33="Congé spécial"),0.333333333333333,IF(OR(AND(D33="Congé spécial",F33&lt;&gt;"Congé spécial"),AND(F33="Congé spécial",D33&lt;&gt;"Congé spécial")),0.166666666666667,""))</f>
        <v/>
      </c>
      <c r="AE33" s="8" t="str">
        <f aca="false">IF(AND(D33="Férié",F33="Férié"),0.333333333333333,IF(OR(AND(D33="Férié",F33&lt;&gt;"Férié"),(AND(F33="Férié",D33&lt;&gt;"Férié"))),0.166666666666667,""))</f>
        <v/>
      </c>
      <c r="AF33" s="18"/>
      <c r="AG33" s="18"/>
    </row>
    <row r="34" customFormat="false" ht="15" hidden="false" customHeight="false" outlineLevel="0" collapsed="false">
      <c r="A34" s="6" t="str">
        <f aca="false">YEAR(Q34-WEEKDAY(Q34,2)+4)&amp;"-S"&amp;TEXT(WEEKNUM(Q34,21),"00")</f>
        <v>2025-S48</v>
      </c>
      <c r="B34" s="18" t="s">
        <v>69</v>
      </c>
      <c r="C34" s="19"/>
      <c r="D34" s="19" t="s">
        <v>74</v>
      </c>
      <c r="E34" s="19"/>
      <c r="F34" s="19" t="s">
        <v>74</v>
      </c>
      <c r="G34" s="20"/>
      <c r="H34" s="20"/>
      <c r="I34" s="8" t="str">
        <f aca="false">IF(IF(OR(C34="",D34="Congé",D34="OFF",D34="Congé spécial"),"",IF(D34&gt;F34,D34-C34,IF(C34-D34&lt;0,0,C34-D34)))&lt;0.00068287037037037,"",IF(OR(D34="Congé",D34="OFF",C34="",D34="Congé spécial"),"",IF(D34&gt;F34,D34-C34,IF(C34-D34&lt;0,0,C34-D34))))</f>
        <v/>
      </c>
      <c r="J34" s="20"/>
      <c r="K34" s="8" t="n">
        <f aca="false">IF(SUM(H34:J34)&lt;0.00068287037037037,0,SUM(H34:J34))</f>
        <v>0</v>
      </c>
      <c r="L34" s="8" t="n">
        <f aca="false">IF(OR(F34="Congé",F34="OFF",M34="Abs",F34="Congé sans solde",F34="Férié",F34="Congé spécial",D34="Congé spécial"),0,IF(F34-E34&lt;0,0,IF(F34-E34&lt;=0.00068287037037037,0,F34-E34)))</f>
        <v>0</v>
      </c>
      <c r="M34" s="6" t="n">
        <f aca="false">IF(AND(O34&lt;&gt;0,C34=""),"Abs",0)</f>
        <v>0</v>
      </c>
      <c r="N34" s="8" t="str">
        <f aca="false">IFERROR(IF(OR(D34="OFF",D34="Congé",M34="Abs",D34="Congé sans solde",D34="Férié"),"",IF(O34-K34-L34&gt;O34,O34,IF(O34-K34-L34&lt;0,"",O34-K34-L34))),"")</f>
        <v/>
      </c>
      <c r="O34" s="8" t="n">
        <f aca="false">IF(AG34="2H Pause déjeuner",IF(F34-D34-0.0833333333333333&lt;0,F34-D34-0.0833333333333333+1,F34-D34-0.0833333333333333),IF(OR(AND(F34="OFF",D34="OFF"),AND(F34="Congé",D34="Congé"),AND(F34="Congé sans solde",D34="Congé sans solde"),AND(F34="Congé spécial",D34="Congé spécial"),AND(F34="Férié",D34="Férié"),AND(F34="OFF",D34="Congé"),AND(F34="OFF",D34="Congé sans solde"),AND(F34="OFF",D34="Congé spécial"),AND(F34="OFF",D34="Férié"),AND(F34="Congé",D34="OFF"),AND(F34="Congé",D34="Congé sans solde"),AND(F34="Congé",D34="Congé spécial"),AND(F34="Congé",D34="Férié"),AND(F34="Congé sans solde",D34="OFF"),AND(F34="Congé sans solde",D34="Congé"),AND(F34="Congé sans solde",D34="Congé spécial"),AND(F34="Congé sans solde",D34="Férié"),AND(F34="Congé spécial",D34="OFF"),AND(F34="Congé spécial",D34="Congé"),AND(F34="Congé spécial",D34="Congé sans solde"),AND(F34="Congé spécial",D34="Férié"),AND(F34="Férié",D34="OFF"),AND(F34="Férié",D34="Congé"),AND(F34="Férié",D34="Congé sans solde"),AND(F34="Férié",D34="Congé spécial")),0,IF(OR(F34="OFF",F34="Congé",F34="Congé spécial",F34="Congé sans solde",D34="OFF",D34="Congé",D34="Congé spécial",D34="Congé sans solde"),0.208333333333334,IF(AND(AG34="",F34-D34&lt;0),("24:00:00"-D34)+("00:00:00"+F34)-0.0416666666666667,IF(AND(OR(AG34="Allaitement",AG34="Sans déjeuner"),F34-D34&lt;0),("24:00:00"-D34)+("00:00:00"+F34),IF(AND(AG34="",F34-D34&gt;0.166666666666667),F34-D34-0.0416666666666667,IF(AND(OR(AG34="Allaitement",AG34="Sans déjeuner"),F34-D34&gt;0.166666666666667),F34-D34,F34-D34)))))))</f>
        <v>0</v>
      </c>
      <c r="P34" s="6" t="str">
        <f aca="false">IFERROR(VLOOKUP($B34,Agents!$A:$D,2,0),"-")</f>
        <v>Accessibilité</v>
      </c>
      <c r="Q34" s="21" t="n">
        <v>45990</v>
      </c>
      <c r="R34" s="8" t="n">
        <f aca="false">IF(M34="Abs",O34,0)</f>
        <v>0</v>
      </c>
      <c r="S34" s="8" t="n">
        <f aca="false">SUM(R34,L34,I34,J34,W34,H34)</f>
        <v>0</v>
      </c>
      <c r="T34" s="6" t="str">
        <f aca="false">"Sem - "&amp;WEEKNUM(Q34,21)</f>
        <v>Sem - 48</v>
      </c>
      <c r="U34" s="6" t="str">
        <f aca="false">CHOOSE(MONTH(Q34),"Janvier","Février","Mars","Avril","Mai","Juin","Juillet","Août","Septembre","Octobre","Novembre","Décembre")</f>
        <v>Novembre</v>
      </c>
      <c r="V34" s="22" t="n">
        <f aca="false">YEAR(Q34)</f>
        <v>2025</v>
      </c>
      <c r="W34" s="20"/>
      <c r="X34" s="8" t="n">
        <f aca="false">IFERROR(IF(M34="Abs",0,IF(ROUND((D34-C34+E34-F34)*1440,0)&lt;=1,0,D34-C34+E34-F34)),0)</f>
        <v>0</v>
      </c>
      <c r="Y34" s="6" t="str">
        <f aca="false">IFERROR(VLOOKUP($B34,Agents!$A:$D,3,0),"-")</f>
        <v>OUBRAHIM Mohammed</v>
      </c>
      <c r="Z34" s="6" t="str">
        <f aca="false">IFERROR(VLOOKUP($B34,Agents!$A:$D,4,0),"-")</f>
        <v>Credit Mutuel</v>
      </c>
      <c r="AA34" s="18" t="s">
        <v>75</v>
      </c>
      <c r="AB34" s="8" t="str">
        <f aca="false">IF(AND(D34="Congé",F34="Congé"),0.333333333333333,IF(OR(AND(D34="Congé",F34&lt;&gt;"Congé"),(AND(F34="Congé",D34&lt;&gt;"Congé"))),0.166666666666667,""))</f>
        <v/>
      </c>
      <c r="AC34" s="8" t="str">
        <f aca="false">IF(AND(D34="Congé sans solde",F34="Congé sans solde"),0.333333333333333,IF(OR(AND(D34="Congé sans solde",F34&lt;&gt;"Congé sans solde"),(AND(F34="Congé sans solde",D34&lt;&gt;"Congé sans solde"))),0.166666666666667,""))</f>
        <v/>
      </c>
      <c r="AD34" s="8" t="str">
        <f aca="false">IF(AND(D34="Congé spécial",F34="Congé spécial"),0.333333333333333,IF(OR(AND(D34="Congé spécial",F34&lt;&gt;"Congé spécial"),AND(F34="Congé spécial",D34&lt;&gt;"Congé spécial")),0.166666666666667,""))</f>
        <v/>
      </c>
      <c r="AE34" s="8" t="str">
        <f aca="false">IF(AND(D34="Férié",F34="Férié"),0.333333333333333,IF(OR(AND(D34="Férié",F34&lt;&gt;"Férié"),(AND(F34="Férié",D34&lt;&gt;"Férié"))),0.166666666666667,""))</f>
        <v/>
      </c>
      <c r="AF34" s="18"/>
      <c r="AG34" s="18"/>
    </row>
    <row r="35" customFormat="false" ht="15" hidden="false" customHeight="false" outlineLevel="0" collapsed="false">
      <c r="A35" s="6" t="str">
        <f aca="false">YEAR(Q35-WEEKDAY(Q35,2)+4)&amp;"-S"&amp;TEXT(WEEKNUM(Q35,21),"00")</f>
        <v>2025-S48</v>
      </c>
      <c r="B35" s="18" t="s">
        <v>71</v>
      </c>
      <c r="C35" s="19"/>
      <c r="D35" s="19" t="s">
        <v>74</v>
      </c>
      <c r="E35" s="19"/>
      <c r="F35" s="19" t="s">
        <v>74</v>
      </c>
      <c r="G35" s="20"/>
      <c r="H35" s="20"/>
      <c r="I35" s="8" t="str">
        <f aca="false">IF(IF(OR(C35="",D35="Congé",D35="OFF",D35="Congé spécial"),"",IF(D35&gt;F35,D35-C35,IF(C35-D35&lt;0,0,C35-D35)))&lt;0.00068287037037037,"",IF(OR(D35="Congé",D35="OFF",C35="",D35="Congé spécial"),"",IF(D35&gt;F35,D35-C35,IF(C35-D35&lt;0,0,C35-D35))))</f>
        <v/>
      </c>
      <c r="J35" s="20"/>
      <c r="K35" s="8" t="n">
        <f aca="false">IF(SUM(H35:J35)&lt;0.00068287037037037,0,SUM(H35:J35))</f>
        <v>0</v>
      </c>
      <c r="L35" s="8" t="n">
        <f aca="false">IF(OR(F35="Congé",F35="OFF",M35="Abs",F35="Congé sans solde",F35="Férié",F35="Congé spécial",D35="Congé spécial"),0,IF(F35-E35&lt;0,0,IF(F35-E35&lt;=0.00068287037037037,0,F35-E35)))</f>
        <v>0</v>
      </c>
      <c r="M35" s="6" t="n">
        <f aca="false">IF(AND(O35&lt;&gt;0,C35=""),"Abs",0)</f>
        <v>0</v>
      </c>
      <c r="N35" s="8" t="str">
        <f aca="false">IFERROR(IF(OR(D35="OFF",D35="Congé",M35="Abs",D35="Congé sans solde",D35="Férié"),"",IF(O35-K35-L35&gt;O35,O35,IF(O35-K35-L35&lt;0,"",O35-K35-L35))),"")</f>
        <v/>
      </c>
      <c r="O35" s="8" t="n">
        <f aca="false">IF(AG35="2H Pause déjeuner",IF(F35-D35-0.0833333333333333&lt;0,F35-D35-0.0833333333333333+1,F35-D35-0.0833333333333333),IF(OR(AND(F35="OFF",D35="OFF"),AND(F35="Congé",D35="Congé"),AND(F35="Congé sans solde",D35="Congé sans solde"),AND(F35="Congé spécial",D35="Congé spécial"),AND(F35="Férié",D35="Férié"),AND(F35="OFF",D35="Congé"),AND(F35="OFF",D35="Congé sans solde"),AND(F35="OFF",D35="Congé spécial"),AND(F35="OFF",D35="Férié"),AND(F35="Congé",D35="OFF"),AND(F35="Congé",D35="Congé sans solde"),AND(F35="Congé",D35="Congé spécial"),AND(F35="Congé",D35="Férié"),AND(F35="Congé sans solde",D35="OFF"),AND(F35="Congé sans solde",D35="Congé"),AND(F35="Congé sans solde",D35="Congé spécial"),AND(F35="Congé sans solde",D35="Férié"),AND(F35="Congé spécial",D35="OFF"),AND(F35="Congé spécial",D35="Congé"),AND(F35="Congé spécial",D35="Congé sans solde"),AND(F35="Congé spécial",D35="Férié"),AND(F35="Férié",D35="OFF"),AND(F35="Férié",D35="Congé"),AND(F35="Férié",D35="Congé sans solde"),AND(F35="Férié",D35="Congé spécial")),0,IF(OR(F35="OFF",F35="Congé",F35="Congé spécial",F35="Congé sans solde",D35="OFF",D35="Congé",D35="Congé spécial",D35="Congé sans solde"),0.208333333333334,IF(AND(AG35="",F35-D35&lt;0),("24:00:00"-D35)+("00:00:00"+F35)-0.0416666666666667,IF(AND(OR(AG35="Allaitement",AG35="Sans déjeuner"),F35-D35&lt;0),("24:00:00"-D35)+("00:00:00"+F35),IF(AND(AG35="",F35-D35&gt;0.166666666666667),F35-D35-0.0416666666666667,IF(AND(OR(AG35="Allaitement",AG35="Sans déjeuner"),F35-D35&gt;0.166666666666667),F35-D35,F35-D35)))))))</f>
        <v>0</v>
      </c>
      <c r="P35" s="6" t="str">
        <f aca="false">IFERROR(VLOOKUP($B35,Agents!$A:$D,2,0),"-")</f>
        <v>Accessibilité</v>
      </c>
      <c r="Q35" s="21" t="n">
        <v>45990</v>
      </c>
      <c r="R35" s="8" t="n">
        <f aca="false">IF(M35="Abs",O35,0)</f>
        <v>0</v>
      </c>
      <c r="S35" s="8" t="n">
        <f aca="false">SUM(R35,L35,I35,J35,W35,H35)</f>
        <v>0</v>
      </c>
      <c r="T35" s="6" t="str">
        <f aca="false">"Sem - "&amp;WEEKNUM(Q35,21)</f>
        <v>Sem - 48</v>
      </c>
      <c r="U35" s="6" t="str">
        <f aca="false">CHOOSE(MONTH(Q35),"Janvier","Février","Mars","Avril","Mai","Juin","Juillet","Août","Septembre","Octobre","Novembre","Décembre")</f>
        <v>Novembre</v>
      </c>
      <c r="V35" s="22" t="n">
        <f aca="false">YEAR(Q35)</f>
        <v>2025</v>
      </c>
      <c r="W35" s="20"/>
      <c r="X35" s="8" t="n">
        <f aca="false">IFERROR(IF(M35="Abs",0,IF(ROUND((D35-C35+E35-F35)*1440,0)&lt;=1,0,D35-C35+E35-F35)),0)</f>
        <v>0</v>
      </c>
      <c r="Y35" s="6" t="str">
        <f aca="false">IFERROR(VLOOKUP($B35,Agents!$A:$D,3,0),"-")</f>
        <v>OUBRAHIM Mohammed</v>
      </c>
      <c r="Z35" s="6" t="str">
        <f aca="false">IFERROR(VLOOKUP($B35,Agents!$A:$D,4,0),"-")</f>
        <v>Credit Mutuel</v>
      </c>
      <c r="AA35" s="18" t="s">
        <v>75</v>
      </c>
      <c r="AB35" s="8" t="str">
        <f aca="false">IF(AND(D35="Congé",F35="Congé"),0.333333333333333,IF(OR(AND(D35="Congé",F35&lt;&gt;"Congé"),(AND(F35="Congé",D35&lt;&gt;"Congé"))),0.166666666666667,""))</f>
        <v/>
      </c>
      <c r="AC35" s="8" t="str">
        <f aca="false">IF(AND(D35="Congé sans solde",F35="Congé sans solde"),0.333333333333333,IF(OR(AND(D35="Congé sans solde",F35&lt;&gt;"Congé sans solde"),(AND(F35="Congé sans solde",D35&lt;&gt;"Congé sans solde"))),0.166666666666667,""))</f>
        <v/>
      </c>
      <c r="AD35" s="8" t="str">
        <f aca="false">IF(AND(D35="Congé spécial",F35="Congé spécial"),0.333333333333333,IF(OR(AND(D35="Congé spécial",F35&lt;&gt;"Congé spécial"),AND(F35="Congé spécial",D35&lt;&gt;"Congé spécial")),0.166666666666667,""))</f>
        <v/>
      </c>
      <c r="AE35" s="8" t="str">
        <f aca="false">IF(AND(D35="Férié",F35="Férié"),0.333333333333333,IF(OR(AND(D35="Férié",F35&lt;&gt;"Férié"),(AND(F35="Férié",D35&lt;&gt;"Férié"))),0.166666666666667,""))</f>
        <v/>
      </c>
      <c r="AF35" s="18"/>
      <c r="AG35" s="18"/>
    </row>
    <row r="36" customFormat="false" ht="15" hidden="false" customHeight="false" outlineLevel="0" collapsed="false">
      <c r="A36" s="6" t="str">
        <f aca="false">YEAR(Q36-WEEKDAY(Q36,2)+4)&amp;"-S"&amp;TEXT(WEEKNUM(Q36,21),"00")</f>
        <v>2025-S48</v>
      </c>
      <c r="B36" s="18" t="s">
        <v>72</v>
      </c>
      <c r="C36" s="19"/>
      <c r="D36" s="19" t="s">
        <v>74</v>
      </c>
      <c r="E36" s="19"/>
      <c r="F36" s="19" t="s">
        <v>74</v>
      </c>
      <c r="G36" s="20"/>
      <c r="H36" s="20"/>
      <c r="I36" s="8" t="str">
        <f aca="false">IF(IF(OR(C36="",D36="Congé",D36="OFF",D36="Congé spécial"),"",IF(D36&gt;F36,D36-C36,IF(C36-D36&lt;0,0,C36-D36)))&lt;0.00068287037037037,"",IF(OR(D36="Congé",D36="OFF",C36="",D36="Congé spécial"),"",IF(D36&gt;F36,D36-C36,IF(C36-D36&lt;0,0,C36-D36))))</f>
        <v/>
      </c>
      <c r="J36" s="20"/>
      <c r="K36" s="8" t="n">
        <f aca="false">IF(SUM(H36:J36)&lt;0.00068287037037037,0,SUM(H36:J36))</f>
        <v>0</v>
      </c>
      <c r="L36" s="8" t="n">
        <f aca="false">IF(OR(F36="Congé",F36="OFF",M36="Abs",F36="Congé sans solde",F36="Férié",F36="Congé spécial",D36="Congé spécial"),0,IF(F36-E36&lt;0,0,IF(F36-E36&lt;=0.00068287037037037,0,F36-E36)))</f>
        <v>0</v>
      </c>
      <c r="M36" s="6" t="n">
        <f aca="false">IF(AND(O36&lt;&gt;0,C36=""),"Abs",0)</f>
        <v>0</v>
      </c>
      <c r="N36" s="8" t="str">
        <f aca="false">IFERROR(IF(OR(D36="OFF",D36="Congé",M36="Abs",D36="Congé sans solde",D36="Férié"),"",IF(O36-K36-L36&gt;O36,O36,IF(O36-K36-L36&lt;0,"",O36-K36-L36))),"")</f>
        <v/>
      </c>
      <c r="O36" s="8" t="n">
        <f aca="false">IF(AG36="2H Pause déjeuner",IF(F36-D36-0.0833333333333333&lt;0,F36-D36-0.0833333333333333+1,F36-D36-0.0833333333333333),IF(OR(AND(F36="OFF",D36="OFF"),AND(F36="Congé",D36="Congé"),AND(F36="Congé sans solde",D36="Congé sans solde"),AND(F36="Congé spécial",D36="Congé spécial"),AND(F36="Férié",D36="Férié"),AND(F36="OFF",D36="Congé"),AND(F36="OFF",D36="Congé sans solde"),AND(F36="OFF",D36="Congé spécial"),AND(F36="OFF",D36="Férié"),AND(F36="Congé",D36="OFF"),AND(F36="Congé",D36="Congé sans solde"),AND(F36="Congé",D36="Congé spécial"),AND(F36="Congé",D36="Férié"),AND(F36="Congé sans solde",D36="OFF"),AND(F36="Congé sans solde",D36="Congé"),AND(F36="Congé sans solde",D36="Congé spécial"),AND(F36="Congé sans solde",D36="Férié"),AND(F36="Congé spécial",D36="OFF"),AND(F36="Congé spécial",D36="Congé"),AND(F36="Congé spécial",D36="Congé sans solde"),AND(F36="Congé spécial",D36="Férié"),AND(F36="Férié",D36="OFF"),AND(F36="Férié",D36="Congé"),AND(F36="Férié",D36="Congé sans solde"),AND(F36="Férié",D36="Congé spécial")),0,IF(OR(F36="OFF",F36="Congé",F36="Congé spécial",F36="Congé sans solde",D36="OFF",D36="Congé",D36="Congé spécial",D36="Congé sans solde"),0.208333333333334,IF(AND(AG36="",F36-D36&lt;0),("24:00:00"-D36)+("00:00:00"+F36)-0.0416666666666667,IF(AND(OR(AG36="Allaitement",AG36="Sans déjeuner"),F36-D36&lt;0),("24:00:00"-D36)+("00:00:00"+F36),IF(AND(AG36="",F36-D36&gt;0.166666666666667),F36-D36-0.0416666666666667,IF(AND(OR(AG36="Allaitement",AG36="Sans déjeuner"),F36-D36&gt;0.166666666666667),F36-D36,F36-D36)))))))</f>
        <v>0</v>
      </c>
      <c r="P36" s="6" t="str">
        <f aca="false">IFERROR(VLOOKUP($B36,Agents!$A:$D,2,0),"-")</f>
        <v>Accessibilité</v>
      </c>
      <c r="Q36" s="21" t="n">
        <v>45990</v>
      </c>
      <c r="R36" s="8" t="n">
        <f aca="false">IF(M36="Abs",O36,0)</f>
        <v>0</v>
      </c>
      <c r="S36" s="8" t="n">
        <f aca="false">SUM(R36,L36,I36,J36,W36,H36)</f>
        <v>0</v>
      </c>
      <c r="T36" s="6" t="str">
        <f aca="false">"Sem - "&amp;WEEKNUM(Q36,21)</f>
        <v>Sem - 48</v>
      </c>
      <c r="U36" s="6" t="str">
        <f aca="false">CHOOSE(MONTH(Q36),"Janvier","Février","Mars","Avril","Mai","Juin","Juillet","Août","Septembre","Octobre","Novembre","Décembre")</f>
        <v>Novembre</v>
      </c>
      <c r="V36" s="22" t="n">
        <f aca="false">YEAR(Q36)</f>
        <v>2025</v>
      </c>
      <c r="W36" s="20"/>
      <c r="X36" s="8" t="n">
        <f aca="false">IFERROR(IF(M36="Abs",0,IF(ROUND((D36-C36+E36-F36)*1440,0)&lt;=1,0,D36-C36+E36-F36)),0)</f>
        <v>0</v>
      </c>
      <c r="Y36" s="6" t="str">
        <f aca="false">IFERROR(VLOOKUP($B36,Agents!$A:$D,3,0),"-")</f>
        <v>OUBRAHIM Mohammed</v>
      </c>
      <c r="Z36" s="6" t="str">
        <f aca="false">IFERROR(VLOOKUP($B36,Agents!$A:$D,4,0),"-")</f>
        <v>Credit Mutuel</v>
      </c>
      <c r="AA36" s="18" t="s">
        <v>75</v>
      </c>
      <c r="AB36" s="8" t="str">
        <f aca="false">IF(AND(D36="Congé",F36="Congé"),0.333333333333333,IF(OR(AND(D36="Congé",F36&lt;&gt;"Congé"),(AND(F36="Congé",D36&lt;&gt;"Congé"))),0.166666666666667,""))</f>
        <v/>
      </c>
      <c r="AC36" s="8" t="str">
        <f aca="false">IF(AND(D36="Congé sans solde",F36="Congé sans solde"),0.333333333333333,IF(OR(AND(D36="Congé sans solde",F36&lt;&gt;"Congé sans solde"),(AND(F36="Congé sans solde",D36&lt;&gt;"Congé sans solde"))),0.166666666666667,""))</f>
        <v/>
      </c>
      <c r="AD36" s="8" t="str">
        <f aca="false">IF(AND(D36="Congé spécial",F36="Congé spécial"),0.333333333333333,IF(OR(AND(D36="Congé spécial",F36&lt;&gt;"Congé spécial"),AND(F36="Congé spécial",D36&lt;&gt;"Congé spécial")),0.166666666666667,""))</f>
        <v/>
      </c>
      <c r="AE36" s="8" t="str">
        <f aca="false">IF(AND(D36="Férié",F36="Férié"),0.333333333333333,IF(OR(AND(D36="Férié",F36&lt;&gt;"Férié"),(AND(F36="Férié",D36&lt;&gt;"Férié"))),0.166666666666667,""))</f>
        <v/>
      </c>
      <c r="AF36" s="18"/>
      <c r="AG36" s="18"/>
    </row>
    <row r="37" customFormat="false" ht="15" hidden="false" customHeight="false" outlineLevel="0" collapsed="false">
      <c r="A37" s="6" t="str">
        <f aca="false">YEAR(Q37-WEEKDAY(Q37,2)+4)&amp;"-S"&amp;TEXT(WEEKNUM(Q37,21),"00")</f>
        <v>2025-S48</v>
      </c>
      <c r="B37" s="18" t="s">
        <v>73</v>
      </c>
      <c r="C37" s="19"/>
      <c r="D37" s="19" t="s">
        <v>74</v>
      </c>
      <c r="E37" s="19"/>
      <c r="F37" s="19" t="s">
        <v>74</v>
      </c>
      <c r="G37" s="20"/>
      <c r="H37" s="20"/>
      <c r="I37" s="8" t="str">
        <f aca="false">IF(IF(OR(C37="",D37="Congé",D37="OFF",D37="Congé spécial"),"",IF(D37&gt;F37,D37-C37,IF(C37-D37&lt;0,0,C37-D37)))&lt;0.00068287037037037,"",IF(OR(D37="Congé",D37="OFF",C37="",D37="Congé spécial"),"",IF(D37&gt;F37,D37-C37,IF(C37-D37&lt;0,0,C37-D37))))</f>
        <v/>
      </c>
      <c r="J37" s="20"/>
      <c r="K37" s="8" t="n">
        <f aca="false">IF(SUM(H37:J37)&lt;0.00068287037037037,0,SUM(H37:J37))</f>
        <v>0</v>
      </c>
      <c r="L37" s="8" t="n">
        <f aca="false">IF(OR(F37="Congé",F37="OFF",M37="Abs",F37="Congé sans solde",F37="Férié",F37="Congé spécial",D37="Congé spécial"),0,IF(F37-E37&lt;0,0,IF(F37-E37&lt;=0.00068287037037037,0,F37-E37)))</f>
        <v>0</v>
      </c>
      <c r="M37" s="6" t="n">
        <f aca="false">IF(AND(O37&lt;&gt;0,C37=""),"Abs",0)</f>
        <v>0</v>
      </c>
      <c r="N37" s="8" t="str">
        <f aca="false">IFERROR(IF(OR(D37="OFF",D37="Congé",M37="Abs",D37="Congé sans solde",D37="Férié"),"",IF(O37-K37-L37&gt;O37,O37,IF(O37-K37-L37&lt;0,"",O37-K37-L37))),"")</f>
        <v/>
      </c>
      <c r="O37" s="8" t="n">
        <f aca="false">IF(AG37="2H Pause déjeuner",IF(F37-D37-0.0833333333333333&lt;0,F37-D37-0.0833333333333333+1,F37-D37-0.0833333333333333),IF(OR(AND(F37="OFF",D37="OFF"),AND(F37="Congé",D37="Congé"),AND(F37="Congé sans solde",D37="Congé sans solde"),AND(F37="Congé spécial",D37="Congé spécial"),AND(F37="Férié",D37="Férié"),AND(F37="OFF",D37="Congé"),AND(F37="OFF",D37="Congé sans solde"),AND(F37="OFF",D37="Congé spécial"),AND(F37="OFF",D37="Férié"),AND(F37="Congé",D37="OFF"),AND(F37="Congé",D37="Congé sans solde"),AND(F37="Congé",D37="Congé spécial"),AND(F37="Congé",D37="Férié"),AND(F37="Congé sans solde",D37="OFF"),AND(F37="Congé sans solde",D37="Congé"),AND(F37="Congé sans solde",D37="Congé spécial"),AND(F37="Congé sans solde",D37="Férié"),AND(F37="Congé spécial",D37="OFF"),AND(F37="Congé spécial",D37="Congé"),AND(F37="Congé spécial",D37="Congé sans solde"),AND(F37="Congé spécial",D37="Férié"),AND(F37="Férié",D37="OFF"),AND(F37="Férié",D37="Congé"),AND(F37="Férié",D37="Congé sans solde"),AND(F37="Férié",D37="Congé spécial")),0,IF(OR(F37="OFF",F37="Congé",F37="Congé spécial",F37="Congé sans solde",D37="OFF",D37="Congé",D37="Congé spécial",D37="Congé sans solde"),0.208333333333334,IF(AND(AG37="",F37-D37&lt;0),("24:00:00"-D37)+("00:00:00"+F37)-0.0416666666666667,IF(AND(OR(AG37="Allaitement",AG37="Sans déjeuner"),F37-D37&lt;0),("24:00:00"-D37)+("00:00:00"+F37),IF(AND(AG37="",F37-D37&gt;0.166666666666667),F37-D37-0.0416666666666667,IF(AND(OR(AG37="Allaitement",AG37="Sans déjeuner"),F37-D37&gt;0.166666666666667),F37-D37,F37-D37)))))))</f>
        <v>0</v>
      </c>
      <c r="P37" s="6" t="str">
        <f aca="false">IFERROR(VLOOKUP($B37,Agents!$A:$D,2,0),"-")</f>
        <v>Accessibilité</v>
      </c>
      <c r="Q37" s="21" t="n">
        <v>45990</v>
      </c>
      <c r="R37" s="8" t="n">
        <f aca="false">IF(M37="Abs",O37,0)</f>
        <v>0</v>
      </c>
      <c r="S37" s="8" t="n">
        <f aca="false">SUM(R37,L37,I37,J37,W37,H37)</f>
        <v>0</v>
      </c>
      <c r="T37" s="6" t="str">
        <f aca="false">"Sem - "&amp;WEEKNUM(Q37,21)</f>
        <v>Sem - 48</v>
      </c>
      <c r="U37" s="6" t="str">
        <f aca="false">CHOOSE(MONTH(Q37),"Janvier","Février","Mars","Avril","Mai","Juin","Juillet","Août","Septembre","Octobre","Novembre","Décembre")</f>
        <v>Novembre</v>
      </c>
      <c r="V37" s="22" t="n">
        <f aca="false">YEAR(Q37)</f>
        <v>2025</v>
      </c>
      <c r="W37" s="20"/>
      <c r="X37" s="8" t="n">
        <f aca="false">IFERROR(IF(M37="Abs",0,IF(ROUND((D37-C37+E37-F37)*1440,0)&lt;=1,0,D37-C37+E37-F37)),0)</f>
        <v>0</v>
      </c>
      <c r="Y37" s="6" t="str">
        <f aca="false">IFERROR(VLOOKUP($B37,Agents!$A:$D,3,0),"-")</f>
        <v>OUBRAHIM Mohammed</v>
      </c>
      <c r="Z37" s="6" t="str">
        <f aca="false">IFERROR(VLOOKUP($B37,Agents!$A:$D,4,0),"-")</f>
        <v>Credit Mutuel</v>
      </c>
      <c r="AA37" s="18" t="s">
        <v>75</v>
      </c>
      <c r="AB37" s="8" t="str">
        <f aca="false">IF(AND(D37="Congé",F37="Congé"),0.333333333333333,IF(OR(AND(D37="Congé",F37&lt;&gt;"Congé"),(AND(F37="Congé",D37&lt;&gt;"Congé"))),0.166666666666667,""))</f>
        <v/>
      </c>
      <c r="AC37" s="8" t="str">
        <f aca="false">IF(AND(D37="Congé sans solde",F37="Congé sans solde"),0.333333333333333,IF(OR(AND(D37="Congé sans solde",F37&lt;&gt;"Congé sans solde"),(AND(F37="Congé sans solde",D37&lt;&gt;"Congé sans solde"))),0.166666666666667,""))</f>
        <v/>
      </c>
      <c r="AD37" s="8" t="str">
        <f aca="false">IF(AND(D37="Congé spécial",F37="Congé spécial"),0.333333333333333,IF(OR(AND(D37="Congé spécial",F37&lt;&gt;"Congé spécial"),AND(F37="Congé spécial",D37&lt;&gt;"Congé spécial")),0.166666666666667,""))</f>
        <v/>
      </c>
      <c r="AE37" s="8" t="str">
        <f aca="false">IF(AND(D37="Férié",F37="Férié"),0.333333333333333,IF(OR(AND(D37="Férié",F37&lt;&gt;"Férié"),(AND(F37="Férié",D37&lt;&gt;"Férié"))),0.166666666666667,""))</f>
        <v/>
      </c>
      <c r="AF37" s="18"/>
      <c r="AG37" s="18"/>
    </row>
    <row r="38" customFormat="false" ht="15" hidden="false" customHeight="false" outlineLevel="0" collapsed="false">
      <c r="A38" s="6" t="str">
        <f aca="false">YEAR(Q38-WEEKDAY(Q38,2)+4)&amp;"-S"&amp;TEXT(WEEKNUM(Q38,21),"00")</f>
        <v>2025-S48</v>
      </c>
      <c r="B38" s="18" t="s">
        <v>69</v>
      </c>
      <c r="C38" s="19"/>
      <c r="D38" s="19" t="s">
        <v>74</v>
      </c>
      <c r="E38" s="19"/>
      <c r="F38" s="19" t="s">
        <v>74</v>
      </c>
      <c r="G38" s="20"/>
      <c r="H38" s="20"/>
      <c r="I38" s="8" t="str">
        <f aca="false">IF(IF(OR(C38="",D38="Congé",D38="OFF",D38="Congé spécial"),"",IF(D38&gt;F38,D38-C38,IF(C38-D38&lt;0,0,C38-D38)))&lt;0.00068287037037037,"",IF(OR(D38="Congé",D38="OFF",C38="",D38="Congé spécial"),"",IF(D38&gt;F38,D38-C38,IF(C38-D38&lt;0,0,C38-D38))))</f>
        <v/>
      </c>
      <c r="J38" s="20"/>
      <c r="K38" s="8" t="n">
        <f aca="false">IF(SUM(H38:J38)&lt;0.00068287037037037,0,SUM(H38:J38))</f>
        <v>0</v>
      </c>
      <c r="L38" s="8" t="n">
        <f aca="false">IF(OR(F38="Congé",F38="OFF",M38="Abs",F38="Congé sans solde",F38="Férié",F38="Congé spécial",D38="Congé spécial"),0,IF(F38-E38&lt;0,0,IF(F38-E38&lt;=0.00068287037037037,0,F38-E38)))</f>
        <v>0</v>
      </c>
      <c r="M38" s="6" t="n">
        <f aca="false">IF(AND(O38&lt;&gt;0,C38=""),"Abs",0)</f>
        <v>0</v>
      </c>
      <c r="N38" s="8" t="str">
        <f aca="false">IFERROR(IF(OR(D38="OFF",D38="Congé",M38="Abs",D38="Congé sans solde",D38="Férié"),"",IF(O38-K38-L38&gt;O38,O38,IF(O38-K38-L38&lt;0,"",O38-K38-L38))),"")</f>
        <v/>
      </c>
      <c r="O38" s="8" t="n">
        <f aca="false">IF(AG38="2H Pause déjeuner",IF(F38-D38-0.0833333333333333&lt;0,F38-D38-0.0833333333333333+1,F38-D38-0.0833333333333333),IF(OR(AND(F38="OFF",D38="OFF"),AND(F38="Congé",D38="Congé"),AND(F38="Congé sans solde",D38="Congé sans solde"),AND(F38="Congé spécial",D38="Congé spécial"),AND(F38="Férié",D38="Férié"),AND(F38="OFF",D38="Congé"),AND(F38="OFF",D38="Congé sans solde"),AND(F38="OFF",D38="Congé spécial"),AND(F38="OFF",D38="Férié"),AND(F38="Congé",D38="OFF"),AND(F38="Congé",D38="Congé sans solde"),AND(F38="Congé",D38="Congé spécial"),AND(F38="Congé",D38="Férié"),AND(F38="Congé sans solde",D38="OFF"),AND(F38="Congé sans solde",D38="Congé"),AND(F38="Congé sans solde",D38="Congé spécial"),AND(F38="Congé sans solde",D38="Férié"),AND(F38="Congé spécial",D38="OFF"),AND(F38="Congé spécial",D38="Congé"),AND(F38="Congé spécial",D38="Congé sans solde"),AND(F38="Congé spécial",D38="Férié"),AND(F38="Férié",D38="OFF"),AND(F38="Férié",D38="Congé"),AND(F38="Férié",D38="Congé sans solde"),AND(F38="Férié",D38="Congé spécial")),0,IF(OR(F38="OFF",F38="Congé",F38="Congé spécial",F38="Congé sans solde",D38="OFF",D38="Congé",D38="Congé spécial",D38="Congé sans solde"),0.208333333333334,IF(AND(AG38="",F38-D38&lt;0),("24:00:00"-D38)+("00:00:00"+F38)-0.0416666666666667,IF(AND(OR(AG38="Allaitement",AG38="Sans déjeuner"),F38-D38&lt;0),("24:00:00"-D38)+("00:00:00"+F38),IF(AND(AG38="",F38-D38&gt;0.166666666666667),F38-D38-0.0416666666666667,IF(AND(OR(AG38="Allaitement",AG38="Sans déjeuner"),F38-D38&gt;0.166666666666667),F38-D38,F38-D38)))))))</f>
        <v>0</v>
      </c>
      <c r="P38" s="6" t="str">
        <f aca="false">IFERROR(VLOOKUP($B38,Agents!$A:$D,2,0),"-")</f>
        <v>Accessibilité</v>
      </c>
      <c r="Q38" s="21" t="n">
        <v>45991</v>
      </c>
      <c r="R38" s="8" t="n">
        <f aca="false">IF(M38="Abs",O38,0)</f>
        <v>0</v>
      </c>
      <c r="S38" s="8" t="n">
        <f aca="false">SUM(R38,L38,I38,J38,W38,H38)</f>
        <v>0</v>
      </c>
      <c r="T38" s="6" t="str">
        <f aca="false">"Sem - "&amp;WEEKNUM(Q38,21)</f>
        <v>Sem - 48</v>
      </c>
      <c r="U38" s="6" t="str">
        <f aca="false">CHOOSE(MONTH(Q38),"Janvier","Février","Mars","Avril","Mai","Juin","Juillet","Août","Septembre","Octobre","Novembre","Décembre")</f>
        <v>Novembre</v>
      </c>
      <c r="V38" s="22" t="n">
        <f aca="false">YEAR(Q38)</f>
        <v>2025</v>
      </c>
      <c r="W38" s="20"/>
      <c r="X38" s="8" t="n">
        <f aca="false">IFERROR(IF(M38="Abs",0,IF(ROUND((D38-C38+E38-F38)*1440,0)&lt;=1,0,D38-C38+E38-F38)),0)</f>
        <v>0</v>
      </c>
      <c r="Y38" s="6" t="str">
        <f aca="false">IFERROR(VLOOKUP($B38,Agents!$A:$D,3,0),"-")</f>
        <v>OUBRAHIM Mohammed</v>
      </c>
      <c r="Z38" s="6" t="str">
        <f aca="false">IFERROR(VLOOKUP($B38,Agents!$A:$D,4,0),"-")</f>
        <v>Credit Mutuel</v>
      </c>
      <c r="AA38" s="18" t="s">
        <v>75</v>
      </c>
      <c r="AB38" s="8" t="str">
        <f aca="false">IF(AND(D38="Congé",F38="Congé"),0.333333333333333,IF(OR(AND(D38="Congé",F38&lt;&gt;"Congé"),(AND(F38="Congé",D38&lt;&gt;"Congé"))),0.166666666666667,""))</f>
        <v/>
      </c>
      <c r="AC38" s="8" t="str">
        <f aca="false">IF(AND(D38="Congé sans solde",F38="Congé sans solde"),0.333333333333333,IF(OR(AND(D38="Congé sans solde",F38&lt;&gt;"Congé sans solde"),(AND(F38="Congé sans solde",D38&lt;&gt;"Congé sans solde"))),0.166666666666667,""))</f>
        <v/>
      </c>
      <c r="AD38" s="8" t="str">
        <f aca="false">IF(AND(D38="Congé spécial",F38="Congé spécial"),0.333333333333333,IF(OR(AND(D38="Congé spécial",F38&lt;&gt;"Congé spécial"),AND(F38="Congé spécial",D38&lt;&gt;"Congé spécial")),0.166666666666667,""))</f>
        <v/>
      </c>
      <c r="AE38" s="8" t="str">
        <f aca="false">IF(AND(D38="Férié",F38="Férié"),0.333333333333333,IF(OR(AND(D38="Férié",F38&lt;&gt;"Férié"),(AND(F38="Férié",D38&lt;&gt;"Férié"))),0.166666666666667,""))</f>
        <v/>
      </c>
      <c r="AF38" s="18"/>
      <c r="AG38" s="18"/>
    </row>
    <row r="39" customFormat="false" ht="15" hidden="false" customHeight="false" outlineLevel="0" collapsed="false">
      <c r="A39" s="6" t="str">
        <f aca="false">YEAR(Q39-WEEKDAY(Q39,2)+4)&amp;"-S"&amp;TEXT(WEEKNUM(Q39,21),"00")</f>
        <v>2025-S48</v>
      </c>
      <c r="B39" s="18" t="s">
        <v>71</v>
      </c>
      <c r="C39" s="19"/>
      <c r="D39" s="19" t="s">
        <v>74</v>
      </c>
      <c r="E39" s="19"/>
      <c r="F39" s="19" t="s">
        <v>74</v>
      </c>
      <c r="G39" s="20"/>
      <c r="H39" s="20"/>
      <c r="I39" s="8" t="str">
        <f aca="false">IF(IF(OR(C39="",D39="Congé",D39="OFF",D39="Congé spécial"),"",IF(D39&gt;F39,D39-C39,IF(C39-D39&lt;0,0,C39-D39)))&lt;0.00068287037037037,"",IF(OR(D39="Congé",D39="OFF",C39="",D39="Congé spécial"),"",IF(D39&gt;F39,D39-C39,IF(C39-D39&lt;0,0,C39-D39))))</f>
        <v/>
      </c>
      <c r="J39" s="20"/>
      <c r="K39" s="8" t="n">
        <f aca="false">IF(SUM(H39:J39)&lt;0.00068287037037037,0,SUM(H39:J39))</f>
        <v>0</v>
      </c>
      <c r="L39" s="8" t="n">
        <f aca="false">IF(OR(F39="Congé",F39="OFF",M39="Abs",F39="Congé sans solde",F39="Férié",F39="Congé spécial",D39="Congé spécial"),0,IF(F39-E39&lt;0,0,IF(F39-E39&lt;=0.00068287037037037,0,F39-E39)))</f>
        <v>0</v>
      </c>
      <c r="M39" s="6" t="n">
        <f aca="false">IF(AND(O39&lt;&gt;0,C39=""),"Abs",0)</f>
        <v>0</v>
      </c>
      <c r="N39" s="8" t="str">
        <f aca="false">IFERROR(IF(OR(D39="OFF",D39="Congé",M39="Abs",D39="Congé sans solde",D39="Férié"),"",IF(O39-K39-L39&gt;O39,O39,IF(O39-K39-L39&lt;0,"",O39-K39-L39))),"")</f>
        <v/>
      </c>
      <c r="O39" s="8" t="n">
        <f aca="false">IF(AG39="2H Pause déjeuner",IF(F39-D39-0.0833333333333333&lt;0,F39-D39-0.0833333333333333+1,F39-D39-0.0833333333333333),IF(OR(AND(F39="OFF",D39="OFF"),AND(F39="Congé",D39="Congé"),AND(F39="Congé sans solde",D39="Congé sans solde"),AND(F39="Congé spécial",D39="Congé spécial"),AND(F39="Férié",D39="Férié"),AND(F39="OFF",D39="Congé"),AND(F39="OFF",D39="Congé sans solde"),AND(F39="OFF",D39="Congé spécial"),AND(F39="OFF",D39="Férié"),AND(F39="Congé",D39="OFF"),AND(F39="Congé",D39="Congé sans solde"),AND(F39="Congé",D39="Congé spécial"),AND(F39="Congé",D39="Férié"),AND(F39="Congé sans solde",D39="OFF"),AND(F39="Congé sans solde",D39="Congé"),AND(F39="Congé sans solde",D39="Congé spécial"),AND(F39="Congé sans solde",D39="Férié"),AND(F39="Congé spécial",D39="OFF"),AND(F39="Congé spécial",D39="Congé"),AND(F39="Congé spécial",D39="Congé sans solde"),AND(F39="Congé spécial",D39="Férié"),AND(F39="Férié",D39="OFF"),AND(F39="Férié",D39="Congé"),AND(F39="Férié",D39="Congé sans solde"),AND(F39="Férié",D39="Congé spécial")),0,IF(OR(F39="OFF",F39="Congé",F39="Congé spécial",F39="Congé sans solde",D39="OFF",D39="Congé",D39="Congé spécial",D39="Congé sans solde"),0.208333333333334,IF(AND(AG39="",F39-D39&lt;0),("24:00:00"-D39)+("00:00:00"+F39)-0.0416666666666667,IF(AND(OR(AG39="Allaitement",AG39="Sans déjeuner"),F39-D39&lt;0),("24:00:00"-D39)+("00:00:00"+F39),IF(AND(AG39="",F39-D39&gt;0.166666666666667),F39-D39-0.0416666666666667,IF(AND(OR(AG39="Allaitement",AG39="Sans déjeuner"),F39-D39&gt;0.166666666666667),F39-D39,F39-D39)))))))</f>
        <v>0</v>
      </c>
      <c r="P39" s="6" t="str">
        <f aca="false">IFERROR(VLOOKUP($B39,Agents!$A:$D,2,0),"-")</f>
        <v>Accessibilité</v>
      </c>
      <c r="Q39" s="21" t="n">
        <v>45991</v>
      </c>
      <c r="R39" s="8" t="n">
        <f aca="false">IF(M39="Abs",O39,0)</f>
        <v>0</v>
      </c>
      <c r="S39" s="8" t="n">
        <f aca="false">SUM(R39,L39,I39,J39,W39,H39)</f>
        <v>0</v>
      </c>
      <c r="T39" s="6" t="str">
        <f aca="false">"Sem - "&amp;WEEKNUM(Q39,21)</f>
        <v>Sem - 48</v>
      </c>
      <c r="U39" s="6" t="str">
        <f aca="false">CHOOSE(MONTH(Q39),"Janvier","Février","Mars","Avril","Mai","Juin","Juillet","Août","Septembre","Octobre","Novembre","Décembre")</f>
        <v>Novembre</v>
      </c>
      <c r="V39" s="22" t="n">
        <f aca="false">YEAR(Q39)</f>
        <v>2025</v>
      </c>
      <c r="W39" s="20"/>
      <c r="X39" s="8" t="n">
        <f aca="false">IFERROR(IF(M39="Abs",0,IF(ROUND((D39-C39+E39-F39)*1440,0)&lt;=1,0,D39-C39+E39-F39)),0)</f>
        <v>0</v>
      </c>
      <c r="Y39" s="6" t="str">
        <f aca="false">IFERROR(VLOOKUP($B39,Agents!$A:$D,3,0),"-")</f>
        <v>OUBRAHIM Mohammed</v>
      </c>
      <c r="Z39" s="6" t="str">
        <f aca="false">IFERROR(VLOOKUP($B39,Agents!$A:$D,4,0),"-")</f>
        <v>Credit Mutuel</v>
      </c>
      <c r="AA39" s="18" t="s">
        <v>75</v>
      </c>
      <c r="AB39" s="8" t="str">
        <f aca="false">IF(AND(D39="Congé",F39="Congé"),0.333333333333333,IF(OR(AND(D39="Congé",F39&lt;&gt;"Congé"),(AND(F39="Congé",D39&lt;&gt;"Congé"))),0.166666666666667,""))</f>
        <v/>
      </c>
      <c r="AC39" s="8" t="str">
        <f aca="false">IF(AND(D39="Congé sans solde",F39="Congé sans solde"),0.333333333333333,IF(OR(AND(D39="Congé sans solde",F39&lt;&gt;"Congé sans solde"),(AND(F39="Congé sans solde",D39&lt;&gt;"Congé sans solde"))),0.166666666666667,""))</f>
        <v/>
      </c>
      <c r="AD39" s="8" t="str">
        <f aca="false">IF(AND(D39="Congé spécial",F39="Congé spécial"),0.333333333333333,IF(OR(AND(D39="Congé spécial",F39&lt;&gt;"Congé spécial"),AND(F39="Congé spécial",D39&lt;&gt;"Congé spécial")),0.166666666666667,""))</f>
        <v/>
      </c>
      <c r="AE39" s="8" t="str">
        <f aca="false">IF(AND(D39="Férié",F39="Férié"),0.333333333333333,IF(OR(AND(D39="Férié",F39&lt;&gt;"Férié"),(AND(F39="Férié",D39&lt;&gt;"Férié"))),0.166666666666667,""))</f>
        <v/>
      </c>
      <c r="AF39" s="18"/>
      <c r="AG39" s="18"/>
    </row>
    <row r="40" customFormat="false" ht="15" hidden="false" customHeight="false" outlineLevel="0" collapsed="false">
      <c r="A40" s="6" t="str">
        <f aca="false">YEAR(Q40-WEEKDAY(Q40,2)+4)&amp;"-S"&amp;TEXT(WEEKNUM(Q40,21),"00")</f>
        <v>2025-S48</v>
      </c>
      <c r="B40" s="18" t="s">
        <v>72</v>
      </c>
      <c r="C40" s="19"/>
      <c r="D40" s="19" t="s">
        <v>74</v>
      </c>
      <c r="E40" s="19"/>
      <c r="F40" s="19" t="s">
        <v>74</v>
      </c>
      <c r="G40" s="20"/>
      <c r="H40" s="20"/>
      <c r="I40" s="8" t="str">
        <f aca="false">IF(IF(OR(C40="",D40="Congé",D40="OFF",D40="Congé spécial"),"",IF(D40&gt;F40,D40-C40,IF(C40-D40&lt;0,0,C40-D40)))&lt;0.00068287037037037,"",IF(OR(D40="Congé",D40="OFF",C40="",D40="Congé spécial"),"",IF(D40&gt;F40,D40-C40,IF(C40-D40&lt;0,0,C40-D40))))</f>
        <v/>
      </c>
      <c r="J40" s="20"/>
      <c r="K40" s="8" t="n">
        <f aca="false">IF(SUM(H40:J40)&lt;0.00068287037037037,0,SUM(H40:J40))</f>
        <v>0</v>
      </c>
      <c r="L40" s="8" t="n">
        <f aca="false">IF(OR(F40="Congé",F40="OFF",M40="Abs",F40="Congé sans solde",F40="Férié",F40="Congé spécial",D40="Congé spécial"),0,IF(F40-E40&lt;0,0,IF(F40-E40&lt;=0.00068287037037037,0,F40-E40)))</f>
        <v>0</v>
      </c>
      <c r="M40" s="6" t="n">
        <f aca="false">IF(AND(O40&lt;&gt;0,C40=""),"Abs",0)</f>
        <v>0</v>
      </c>
      <c r="N40" s="8" t="str">
        <f aca="false">IFERROR(IF(OR(D40="OFF",D40="Congé",M40="Abs",D40="Congé sans solde",D40="Férié"),"",IF(O40-K40-L40&gt;O40,O40,IF(O40-K40-L40&lt;0,"",O40-K40-L40))),"")</f>
        <v/>
      </c>
      <c r="O40" s="8" t="n">
        <f aca="false">IF(AG40="2H Pause déjeuner",IF(F40-D40-0.0833333333333333&lt;0,F40-D40-0.0833333333333333+1,F40-D40-0.0833333333333333),IF(OR(AND(F40="OFF",D40="OFF"),AND(F40="Congé",D40="Congé"),AND(F40="Congé sans solde",D40="Congé sans solde"),AND(F40="Congé spécial",D40="Congé spécial"),AND(F40="Férié",D40="Férié"),AND(F40="OFF",D40="Congé"),AND(F40="OFF",D40="Congé sans solde"),AND(F40="OFF",D40="Congé spécial"),AND(F40="OFF",D40="Férié"),AND(F40="Congé",D40="OFF"),AND(F40="Congé",D40="Congé sans solde"),AND(F40="Congé",D40="Congé spécial"),AND(F40="Congé",D40="Férié"),AND(F40="Congé sans solde",D40="OFF"),AND(F40="Congé sans solde",D40="Congé"),AND(F40="Congé sans solde",D40="Congé spécial"),AND(F40="Congé sans solde",D40="Férié"),AND(F40="Congé spécial",D40="OFF"),AND(F40="Congé spécial",D40="Congé"),AND(F40="Congé spécial",D40="Congé sans solde"),AND(F40="Congé spécial",D40="Férié"),AND(F40="Férié",D40="OFF"),AND(F40="Férié",D40="Congé"),AND(F40="Férié",D40="Congé sans solde"),AND(F40="Férié",D40="Congé spécial")),0,IF(OR(F40="OFF",F40="Congé",F40="Congé spécial",F40="Congé sans solde",D40="OFF",D40="Congé",D40="Congé spécial",D40="Congé sans solde"),0.208333333333334,IF(AND(AG40="",F40-D40&lt;0),("24:00:00"-D40)+("00:00:00"+F40)-0.0416666666666667,IF(AND(OR(AG40="Allaitement",AG40="Sans déjeuner"),F40-D40&lt;0),("24:00:00"-D40)+("00:00:00"+F40),IF(AND(AG40="",F40-D40&gt;0.166666666666667),F40-D40-0.0416666666666667,IF(AND(OR(AG40="Allaitement",AG40="Sans déjeuner"),F40-D40&gt;0.166666666666667),F40-D40,F40-D40)))))))</f>
        <v>0</v>
      </c>
      <c r="P40" s="6" t="str">
        <f aca="false">IFERROR(VLOOKUP($B40,Agents!$A:$D,2,0),"-")</f>
        <v>Accessibilité</v>
      </c>
      <c r="Q40" s="21" t="n">
        <v>45991</v>
      </c>
      <c r="R40" s="8" t="n">
        <f aca="false">IF(M40="Abs",O40,0)</f>
        <v>0</v>
      </c>
      <c r="S40" s="8" t="n">
        <f aca="false">SUM(R40,L40,I40,J40,W40,H40)</f>
        <v>0</v>
      </c>
      <c r="T40" s="6" t="str">
        <f aca="false">"Sem - "&amp;WEEKNUM(Q40,21)</f>
        <v>Sem - 48</v>
      </c>
      <c r="U40" s="6" t="str">
        <f aca="false">CHOOSE(MONTH(Q40),"Janvier","Février","Mars","Avril","Mai","Juin","Juillet","Août","Septembre","Octobre","Novembre","Décembre")</f>
        <v>Novembre</v>
      </c>
      <c r="V40" s="22" t="n">
        <f aca="false">YEAR(Q40)</f>
        <v>2025</v>
      </c>
      <c r="W40" s="20"/>
      <c r="X40" s="8" t="n">
        <f aca="false">IFERROR(IF(M40="Abs",0,IF(ROUND((D40-C40+E40-F40)*1440,0)&lt;=1,0,D40-C40+E40-F40)),0)</f>
        <v>0</v>
      </c>
      <c r="Y40" s="6" t="str">
        <f aca="false">IFERROR(VLOOKUP($B40,Agents!$A:$D,3,0),"-")</f>
        <v>OUBRAHIM Mohammed</v>
      </c>
      <c r="Z40" s="6" t="str">
        <f aca="false">IFERROR(VLOOKUP($B40,Agents!$A:$D,4,0),"-")</f>
        <v>Credit Mutuel</v>
      </c>
      <c r="AA40" s="18" t="s">
        <v>75</v>
      </c>
      <c r="AB40" s="8" t="str">
        <f aca="false">IF(AND(D40="Congé",F40="Congé"),0.333333333333333,IF(OR(AND(D40="Congé",F40&lt;&gt;"Congé"),(AND(F40="Congé",D40&lt;&gt;"Congé"))),0.166666666666667,""))</f>
        <v/>
      </c>
      <c r="AC40" s="8" t="str">
        <f aca="false">IF(AND(D40="Congé sans solde",F40="Congé sans solde"),0.333333333333333,IF(OR(AND(D40="Congé sans solde",F40&lt;&gt;"Congé sans solde"),(AND(F40="Congé sans solde",D40&lt;&gt;"Congé sans solde"))),0.166666666666667,""))</f>
        <v/>
      </c>
      <c r="AD40" s="8" t="str">
        <f aca="false">IF(AND(D40="Congé spécial",F40="Congé spécial"),0.333333333333333,IF(OR(AND(D40="Congé spécial",F40&lt;&gt;"Congé spécial"),AND(F40="Congé spécial",D40&lt;&gt;"Congé spécial")),0.166666666666667,""))</f>
        <v/>
      </c>
      <c r="AE40" s="8" t="str">
        <f aca="false">IF(AND(D40="Férié",F40="Férié"),0.333333333333333,IF(OR(AND(D40="Férié",F40&lt;&gt;"Férié"),(AND(F40="Férié",D40&lt;&gt;"Férié"))),0.166666666666667,""))</f>
        <v/>
      </c>
      <c r="AF40" s="18"/>
      <c r="AG40" s="18"/>
    </row>
    <row r="41" customFormat="false" ht="15" hidden="false" customHeight="false" outlineLevel="0" collapsed="false">
      <c r="A41" s="6" t="str">
        <f aca="false">YEAR(Q41-WEEKDAY(Q41,2)+4)&amp;"-S"&amp;TEXT(WEEKNUM(Q41,21),"00")</f>
        <v>2025-S48</v>
      </c>
      <c r="B41" s="18" t="s">
        <v>73</v>
      </c>
      <c r="C41" s="19"/>
      <c r="D41" s="19" t="s">
        <v>74</v>
      </c>
      <c r="E41" s="19"/>
      <c r="F41" s="19" t="s">
        <v>74</v>
      </c>
      <c r="G41" s="20"/>
      <c r="H41" s="20"/>
      <c r="I41" s="8" t="str">
        <f aca="false">IF(IF(OR(C41="",D41="Congé",D41="OFF",D41="Congé spécial"),"",IF(D41&gt;F41,D41-C41,IF(C41-D41&lt;0,0,C41-D41)))&lt;0.00068287037037037,"",IF(OR(D41="Congé",D41="OFF",C41="",D41="Congé spécial"),"",IF(D41&gt;F41,D41-C41,IF(C41-D41&lt;0,0,C41-D41))))</f>
        <v/>
      </c>
      <c r="J41" s="20"/>
      <c r="K41" s="8" t="n">
        <f aca="false">IF(SUM(H41:J41)&lt;0.00068287037037037,0,SUM(H41:J41))</f>
        <v>0</v>
      </c>
      <c r="L41" s="8" t="n">
        <f aca="false">IF(OR(F41="Congé",F41="OFF",M41="Abs",F41="Congé sans solde",F41="Férié",F41="Congé spécial",D41="Congé spécial"),0,IF(F41-E41&lt;0,0,IF(F41-E41&lt;=0.00068287037037037,0,F41-E41)))</f>
        <v>0</v>
      </c>
      <c r="M41" s="6" t="n">
        <f aca="false">IF(AND(O41&lt;&gt;0,C41=""),"Abs",0)</f>
        <v>0</v>
      </c>
      <c r="N41" s="8" t="str">
        <f aca="false">IFERROR(IF(OR(D41="OFF",D41="Congé",M41="Abs",D41="Congé sans solde",D41="Férié"),"",IF(O41-K41-L41&gt;O41,O41,IF(O41-K41-L41&lt;0,"",O41-K41-L41))),"")</f>
        <v/>
      </c>
      <c r="O41" s="8" t="n">
        <f aca="false">IF(AG41="2H Pause déjeuner",IF(F41-D41-0.0833333333333333&lt;0,F41-D41-0.0833333333333333+1,F41-D41-0.0833333333333333),IF(OR(AND(F41="OFF",D41="OFF"),AND(F41="Congé",D41="Congé"),AND(F41="Congé sans solde",D41="Congé sans solde"),AND(F41="Congé spécial",D41="Congé spécial"),AND(F41="Férié",D41="Férié"),AND(F41="OFF",D41="Congé"),AND(F41="OFF",D41="Congé sans solde"),AND(F41="OFF",D41="Congé spécial"),AND(F41="OFF",D41="Férié"),AND(F41="Congé",D41="OFF"),AND(F41="Congé",D41="Congé sans solde"),AND(F41="Congé",D41="Congé spécial"),AND(F41="Congé",D41="Férié"),AND(F41="Congé sans solde",D41="OFF"),AND(F41="Congé sans solde",D41="Congé"),AND(F41="Congé sans solde",D41="Congé spécial"),AND(F41="Congé sans solde",D41="Férié"),AND(F41="Congé spécial",D41="OFF"),AND(F41="Congé spécial",D41="Congé"),AND(F41="Congé spécial",D41="Congé sans solde"),AND(F41="Congé spécial",D41="Férié"),AND(F41="Férié",D41="OFF"),AND(F41="Férié",D41="Congé"),AND(F41="Férié",D41="Congé sans solde"),AND(F41="Férié",D41="Congé spécial")),0,IF(OR(F41="OFF",F41="Congé",F41="Congé spécial",F41="Congé sans solde",D41="OFF",D41="Congé",D41="Congé spécial",D41="Congé sans solde"),0.208333333333334,IF(AND(AG41="",F41-D41&lt;0),("24:00:00"-D41)+("00:00:00"+F41)-0.0416666666666667,IF(AND(OR(AG41="Allaitement",AG41="Sans déjeuner"),F41-D41&lt;0),("24:00:00"-D41)+("00:00:00"+F41),IF(AND(AG41="",F41-D41&gt;0.166666666666667),F41-D41-0.0416666666666667,IF(AND(OR(AG41="Allaitement",AG41="Sans déjeuner"),F41-D41&gt;0.166666666666667),F41-D41,F41-D41)))))))</f>
        <v>0</v>
      </c>
      <c r="P41" s="6" t="str">
        <f aca="false">IFERROR(VLOOKUP($B41,Agents!$A:$D,2,0),"-")</f>
        <v>Accessibilité</v>
      </c>
      <c r="Q41" s="21" t="n">
        <v>45991</v>
      </c>
      <c r="R41" s="8" t="n">
        <f aca="false">IF(M41="Abs",O41,0)</f>
        <v>0</v>
      </c>
      <c r="S41" s="8" t="n">
        <f aca="false">SUM(R41,L41,I41,J41,W41,H41)</f>
        <v>0</v>
      </c>
      <c r="T41" s="6" t="str">
        <f aca="false">"Sem - "&amp;WEEKNUM(Q41,21)</f>
        <v>Sem - 48</v>
      </c>
      <c r="U41" s="6" t="str">
        <f aca="false">CHOOSE(MONTH(Q41),"Janvier","Février","Mars","Avril","Mai","Juin","Juillet","Août","Septembre","Octobre","Novembre","Décembre")</f>
        <v>Novembre</v>
      </c>
      <c r="V41" s="22" t="n">
        <f aca="false">YEAR(Q41)</f>
        <v>2025</v>
      </c>
      <c r="W41" s="20"/>
      <c r="X41" s="8" t="n">
        <f aca="false">IFERROR(IF(M41="Abs",0,IF(ROUND((D41-C41+E41-F41)*1440,0)&lt;=1,0,D41-C41+E41-F41)),0)</f>
        <v>0</v>
      </c>
      <c r="Y41" s="6" t="str">
        <f aca="false">IFERROR(VLOOKUP($B41,Agents!$A:$D,3,0),"-")</f>
        <v>OUBRAHIM Mohammed</v>
      </c>
      <c r="Z41" s="6" t="str">
        <f aca="false">IFERROR(VLOOKUP($B41,Agents!$A:$D,4,0),"-")</f>
        <v>Credit Mutuel</v>
      </c>
      <c r="AA41" s="18" t="s">
        <v>75</v>
      </c>
      <c r="AB41" s="8" t="str">
        <f aca="false">IF(AND(D41="Congé",F41="Congé"),0.333333333333333,IF(OR(AND(D41="Congé",F41&lt;&gt;"Congé"),(AND(F41="Congé",D41&lt;&gt;"Congé"))),0.166666666666667,""))</f>
        <v/>
      </c>
      <c r="AC41" s="8" t="str">
        <f aca="false">IF(AND(D41="Congé sans solde",F41="Congé sans solde"),0.333333333333333,IF(OR(AND(D41="Congé sans solde",F41&lt;&gt;"Congé sans solde"),(AND(F41="Congé sans solde",D41&lt;&gt;"Congé sans solde"))),0.166666666666667,""))</f>
        <v/>
      </c>
      <c r="AD41" s="8" t="str">
        <f aca="false">IF(AND(D41="Congé spécial",F41="Congé spécial"),0.333333333333333,IF(OR(AND(D41="Congé spécial",F41&lt;&gt;"Congé spécial"),AND(F41="Congé spécial",D41&lt;&gt;"Congé spécial")),0.166666666666667,""))</f>
        <v/>
      </c>
      <c r="AE41" s="8" t="str">
        <f aca="false">IF(AND(D41="Férié",F41="Férié"),0.333333333333333,IF(OR(AND(D41="Férié",F41&lt;&gt;"Férié"),(AND(F41="Férié",D41&lt;&gt;"Férié"))),0.166666666666667,""))</f>
        <v/>
      </c>
      <c r="AF41" s="18"/>
      <c r="AG41" s="18"/>
    </row>
    <row r="42" customFormat="false" ht="15" hidden="false" customHeight="false" outlineLevel="0" collapsed="false">
      <c r="A42" s="6" t="str">
        <f aca="false">YEAR(Q42-WEEKDAY(Q42,2)+4)&amp;"-S"&amp;TEXT(WEEKNUM(Q42,21),"00")</f>
        <v>2025-S49</v>
      </c>
      <c r="B42" s="18" t="s">
        <v>69</v>
      </c>
      <c r="C42" s="19" t="n">
        <v>0.333333333333333</v>
      </c>
      <c r="D42" s="19" t="n">
        <v>0.333333333333333</v>
      </c>
      <c r="E42" s="19" t="n">
        <v>0.75</v>
      </c>
      <c r="F42" s="19" t="n">
        <v>0.75</v>
      </c>
      <c r="G42" s="20"/>
      <c r="H42" s="20"/>
      <c r="I42" s="8" t="str">
        <f aca="false">IF(IF(OR(C42="",D42="Congé",D42="OFF",D42="Congé spécial"),"",IF(D42&gt;F42,D42-C42,IF(C42-D42&lt;0,0,C42-D42)))&lt;0.00068287037037037,"",IF(OR(D42="Congé",D42="OFF",C42="",D42="Congé spécial"),"",IF(D42&gt;F42,D42-C42,IF(C42-D42&lt;0,0,C42-D42))))</f>
        <v/>
      </c>
      <c r="J42" s="20"/>
      <c r="K42" s="8" t="n">
        <f aca="false">IF(SUM(H42:J42)&lt;0.00068287037037037,0,SUM(H42:J42))</f>
        <v>0</v>
      </c>
      <c r="L42" s="8" t="n">
        <f aca="false">IF(OR(F42="Congé",F42="OFF",M42="Abs",F42="Congé sans solde",F42="Férié",F42="Congé spécial",D42="Congé spécial"),0,IF(F42-E42&lt;0,0,IF(F42-E42&lt;=0.00068287037037037,0,F42-E42)))</f>
        <v>0</v>
      </c>
      <c r="M42" s="6" t="n">
        <f aca="false">IF(AND(O42&lt;&gt;0,C42=""),"Abs",0)</f>
        <v>0</v>
      </c>
      <c r="N42" s="8" t="n">
        <f aca="false">IFERROR(IF(OR(D42="OFF",D42="Congé",M42="Abs",D42="Congé sans solde",D42="Férié"),"",IF(O42-K42-L42&gt;O42,O42,IF(O42-K42-L42&lt;0,"",O42-K42-L42))),"")</f>
        <v>0.375</v>
      </c>
      <c r="O42" s="8" t="n">
        <f aca="false">IF(AG42="2H Pause déjeuner",IF(F42-D42-0.0833333333333333&lt;0,F42-D42-0.0833333333333333+1,F42-D42-0.0833333333333333),IF(OR(AND(F42="OFF",D42="OFF"),AND(F42="Congé",D42="Congé"),AND(F42="Congé sans solde",D42="Congé sans solde"),AND(F42="Congé spécial",D42="Congé spécial"),AND(F42="Férié",D42="Férié"),AND(F42="OFF",D42="Congé"),AND(F42="OFF",D42="Congé sans solde"),AND(F42="OFF",D42="Congé spécial"),AND(F42="OFF",D42="Férié"),AND(F42="Congé",D42="OFF"),AND(F42="Congé",D42="Congé sans solde"),AND(F42="Congé",D42="Congé spécial"),AND(F42="Congé",D42="Férié"),AND(F42="Congé sans solde",D42="OFF"),AND(F42="Congé sans solde",D42="Congé"),AND(F42="Congé sans solde",D42="Congé spécial"),AND(F42="Congé sans solde",D42="Férié"),AND(F42="Congé spécial",D42="OFF"),AND(F42="Congé spécial",D42="Congé"),AND(F42="Congé spécial",D42="Congé sans solde"),AND(F42="Congé spécial",D42="Férié"),AND(F42="Férié",D42="OFF"),AND(F42="Férié",D42="Congé"),AND(F42="Férié",D42="Congé sans solde"),AND(F42="Férié",D42="Congé spécial")),0,IF(OR(F42="OFF",F42="Congé",F42="Congé spécial",F42="Congé sans solde",D42="OFF",D42="Congé",D42="Congé spécial",D42="Congé sans solde"),0.208333333333334,IF(AND(AG42="",F42-D42&lt;0),("24:00:00"-D42)+("00:00:00"+F42)-0.0416666666666667,IF(AND(OR(AG42="Allaitement",AG42="Sans déjeuner"),F42-D42&lt;0),("24:00:00"-D42)+("00:00:00"+F42),IF(AND(AG42="",F42-D42&gt;0.166666666666667),F42-D42-0.0416666666666667,IF(AND(OR(AG42="Allaitement",AG42="Sans déjeuner"),F42-D42&gt;0.166666666666667),F42-D42,F42-D42)))))))</f>
        <v>0.375</v>
      </c>
      <c r="P42" s="6" t="str">
        <f aca="false">IFERROR(VLOOKUP($B42,Agents!$A:$D,2,0),"-")</f>
        <v>Accessibilité</v>
      </c>
      <c r="Q42" s="21" t="n">
        <v>45992</v>
      </c>
      <c r="R42" s="8" t="n">
        <f aca="false">IF(M42="Abs",O42,0)</f>
        <v>0</v>
      </c>
      <c r="S42" s="8" t="n">
        <f aca="false">SUM(R42,L42,I42,J42,W42,H42)</f>
        <v>0</v>
      </c>
      <c r="T42" s="6" t="str">
        <f aca="false">"Sem - "&amp;WEEKNUM(Q42,21)</f>
        <v>Sem - 49</v>
      </c>
      <c r="U42" s="6" t="str">
        <f aca="false">CHOOSE(MONTH(Q42),"Janvier","Février","Mars","Avril","Mai","Juin","Juillet","Août","Septembre","Octobre","Novembre","Décembre")</f>
        <v>Décembre</v>
      </c>
      <c r="V42" s="22" t="n">
        <f aca="false">YEAR(Q42)</f>
        <v>2025</v>
      </c>
      <c r="W42" s="20"/>
      <c r="X42" s="8" t="n">
        <f aca="false">IFERROR(IF(M42="Abs",0,IF(ROUND((D42-C42+E42-F42)*1440,0)&lt;=1,0,D42-C42+E42-F42)),0)</f>
        <v>0</v>
      </c>
      <c r="Y42" s="6" t="str">
        <f aca="false">IFERROR(VLOOKUP($B42,Agents!$A:$D,3,0),"-")</f>
        <v>OUBRAHIM Mohammed</v>
      </c>
      <c r="Z42" s="6" t="str">
        <f aca="false">IFERROR(VLOOKUP($B42,Agents!$A:$D,4,0),"-")</f>
        <v>Credit Mutuel</v>
      </c>
      <c r="AA42" s="18" t="s">
        <v>76</v>
      </c>
      <c r="AB42" s="8" t="str">
        <f aca="false">IF(AND(D42="Congé",F42="Congé"),0.333333333333333,IF(OR(AND(D42="Congé",F42&lt;&gt;"Congé"),(AND(F42="Congé",D42&lt;&gt;"Congé"))),0.166666666666667,""))</f>
        <v/>
      </c>
      <c r="AC42" s="8" t="str">
        <f aca="false">IF(AND(D42="Congé sans solde",F42="Congé sans solde"),0.333333333333333,IF(OR(AND(D42="Congé sans solde",F42&lt;&gt;"Congé sans solde"),(AND(F42="Congé sans solde",D42&lt;&gt;"Congé sans solde"))),0.166666666666667,""))</f>
        <v/>
      </c>
      <c r="AD42" s="8" t="str">
        <f aca="false">IF(AND(D42="Congé spécial",F42="Congé spécial"),0.333333333333333,IF(OR(AND(D42="Congé spécial",F42&lt;&gt;"Congé spécial"),AND(F42="Congé spécial",D42&lt;&gt;"Congé spécial")),0.166666666666667,""))</f>
        <v/>
      </c>
      <c r="AE42" s="8" t="str">
        <f aca="false">IF(AND(D42="Férié",F42="Férié"),0.333333333333333,IF(OR(AND(D42="Férié",F42&lt;&gt;"Férié"),(AND(F42="Férié",D42&lt;&gt;"Férié"))),0.166666666666667,""))</f>
        <v/>
      </c>
      <c r="AF42" s="18"/>
      <c r="AG42" s="18"/>
    </row>
    <row r="43" customFormat="false" ht="15" hidden="false" customHeight="false" outlineLevel="0" collapsed="false">
      <c r="A43" s="6" t="str">
        <f aca="false">YEAR(Q43-WEEKDAY(Q43,2)+4)&amp;"-S"&amp;TEXT(WEEKNUM(Q43,21),"00")</f>
        <v>2025-S49</v>
      </c>
      <c r="B43" s="18" t="s">
        <v>71</v>
      </c>
      <c r="C43" s="19" t="n">
        <v>0.330555555555556</v>
      </c>
      <c r="D43" s="19" t="n">
        <v>0.333333333333333</v>
      </c>
      <c r="E43" s="19" t="n">
        <v>0.75</v>
      </c>
      <c r="F43" s="19" t="n">
        <v>0.75</v>
      </c>
      <c r="G43" s="20"/>
      <c r="H43" s="20"/>
      <c r="I43" s="8" t="str">
        <f aca="false">IF(IF(OR(C43="",D43="Congé",D43="OFF",D43="Congé spécial"),"",IF(D43&gt;F43,D43-C43,IF(C43-D43&lt;0,0,C43-D43)))&lt;0.00068287037037037,"",IF(OR(D43="Congé",D43="OFF",C43="",D43="Congé spécial"),"",IF(D43&gt;F43,D43-C43,IF(C43-D43&lt;0,0,C43-D43))))</f>
        <v/>
      </c>
      <c r="J43" s="20"/>
      <c r="K43" s="8" t="n">
        <f aca="false">IF(SUM(H43:J43)&lt;0.00068287037037037,0,SUM(H43:J43))</f>
        <v>0</v>
      </c>
      <c r="L43" s="8" t="n">
        <f aca="false">IF(OR(F43="Congé",F43="OFF",M43="Abs",F43="Congé sans solde",F43="Férié",F43="Congé spécial",D43="Congé spécial"),0,IF(F43-E43&lt;0,0,IF(F43-E43&lt;=0.00068287037037037,0,F43-E43)))</f>
        <v>0</v>
      </c>
      <c r="M43" s="6" t="n">
        <f aca="false">IF(AND(O43&lt;&gt;0,C43=""),"Abs",0)</f>
        <v>0</v>
      </c>
      <c r="N43" s="8" t="n">
        <f aca="false">IFERROR(IF(OR(D43="OFF",D43="Congé",M43="Abs",D43="Congé sans solde",D43="Férié"),"",IF(O43-K43-L43&gt;O43,O43,IF(O43-K43-L43&lt;0,"",O43-K43-L43))),"")</f>
        <v>0.375</v>
      </c>
      <c r="O43" s="8" t="n">
        <f aca="false">IF(AG43="2H Pause déjeuner",IF(F43-D43-0.0833333333333333&lt;0,F43-D43-0.0833333333333333+1,F43-D43-0.0833333333333333),IF(OR(AND(F43="OFF",D43="OFF"),AND(F43="Congé",D43="Congé"),AND(F43="Congé sans solde",D43="Congé sans solde"),AND(F43="Congé spécial",D43="Congé spécial"),AND(F43="Férié",D43="Férié"),AND(F43="OFF",D43="Congé"),AND(F43="OFF",D43="Congé sans solde"),AND(F43="OFF",D43="Congé spécial"),AND(F43="OFF",D43="Férié"),AND(F43="Congé",D43="OFF"),AND(F43="Congé",D43="Congé sans solde"),AND(F43="Congé",D43="Congé spécial"),AND(F43="Congé",D43="Férié"),AND(F43="Congé sans solde",D43="OFF"),AND(F43="Congé sans solde",D43="Congé"),AND(F43="Congé sans solde",D43="Congé spécial"),AND(F43="Congé sans solde",D43="Férié"),AND(F43="Congé spécial",D43="OFF"),AND(F43="Congé spécial",D43="Congé"),AND(F43="Congé spécial",D43="Congé sans solde"),AND(F43="Congé spécial",D43="Férié"),AND(F43="Férié",D43="OFF"),AND(F43="Férié",D43="Congé"),AND(F43="Férié",D43="Congé sans solde"),AND(F43="Férié",D43="Congé spécial")),0,IF(OR(F43="OFF",F43="Congé",F43="Congé spécial",F43="Congé sans solde",D43="OFF",D43="Congé",D43="Congé spécial",D43="Congé sans solde"),0.208333333333334,IF(AND(AG43="",F43-D43&lt;0),("24:00:00"-D43)+("00:00:00"+F43)-0.0416666666666667,IF(AND(OR(AG43="Allaitement",AG43="Sans déjeuner"),F43-D43&lt;0),("24:00:00"-D43)+("00:00:00"+F43),IF(AND(AG43="",F43-D43&gt;0.166666666666667),F43-D43-0.0416666666666667,IF(AND(OR(AG43="Allaitement",AG43="Sans déjeuner"),F43-D43&gt;0.166666666666667),F43-D43,F43-D43)))))))</f>
        <v>0.375</v>
      </c>
      <c r="P43" s="6" t="str">
        <f aca="false">IFERROR(VLOOKUP($B43,Agents!$A:$D,2,0),"-")</f>
        <v>Accessibilité</v>
      </c>
      <c r="Q43" s="21" t="n">
        <v>45992</v>
      </c>
      <c r="R43" s="8" t="n">
        <f aca="false">IF(M43="Abs",O43,0)</f>
        <v>0</v>
      </c>
      <c r="S43" s="8" t="n">
        <f aca="false">SUM(R43,L43,I43,J43,W43,H43)</f>
        <v>0</v>
      </c>
      <c r="T43" s="6" t="str">
        <f aca="false">"Sem - "&amp;WEEKNUM(Q43,21)</f>
        <v>Sem - 49</v>
      </c>
      <c r="U43" s="6" t="str">
        <f aca="false">CHOOSE(MONTH(Q43),"Janvier","Février","Mars","Avril","Mai","Juin","Juillet","Août","Septembre","Octobre","Novembre","Décembre")</f>
        <v>Décembre</v>
      </c>
      <c r="V43" s="22" t="n">
        <f aca="false">YEAR(Q43)</f>
        <v>2025</v>
      </c>
      <c r="W43" s="20"/>
      <c r="X43" s="8" t="n">
        <f aca="false">IFERROR(IF(M43="Abs",0,IF(ROUND((D43-C43+E43-F43)*1440,0)&lt;=1,0,D43-C43+E43-F43)),0)</f>
        <v>0.00277777777777778</v>
      </c>
      <c r="Y43" s="6" t="str">
        <f aca="false">IFERROR(VLOOKUP($B43,Agents!$A:$D,3,0),"-")</f>
        <v>OUBRAHIM Mohammed</v>
      </c>
      <c r="Z43" s="6" t="str">
        <f aca="false">IFERROR(VLOOKUP($B43,Agents!$A:$D,4,0),"-")</f>
        <v>Credit Mutuel</v>
      </c>
      <c r="AA43" s="18" t="s">
        <v>76</v>
      </c>
      <c r="AB43" s="8" t="str">
        <f aca="false">IF(AND(D43="Congé",F43="Congé"),0.333333333333333,IF(OR(AND(D43="Congé",F43&lt;&gt;"Congé"),(AND(F43="Congé",D43&lt;&gt;"Congé"))),0.166666666666667,""))</f>
        <v/>
      </c>
      <c r="AC43" s="8" t="str">
        <f aca="false">IF(AND(D43="Congé sans solde",F43="Congé sans solde"),0.333333333333333,IF(OR(AND(D43="Congé sans solde",F43&lt;&gt;"Congé sans solde"),(AND(F43="Congé sans solde",D43&lt;&gt;"Congé sans solde"))),0.166666666666667,""))</f>
        <v/>
      </c>
      <c r="AD43" s="8" t="str">
        <f aca="false">IF(AND(D43="Congé spécial",F43="Congé spécial"),0.333333333333333,IF(OR(AND(D43="Congé spécial",F43&lt;&gt;"Congé spécial"),AND(F43="Congé spécial",D43&lt;&gt;"Congé spécial")),0.166666666666667,""))</f>
        <v/>
      </c>
      <c r="AE43" s="8" t="str">
        <f aca="false">IF(AND(D43="Férié",F43="Férié"),0.333333333333333,IF(OR(AND(D43="Férié",F43&lt;&gt;"Férié"),(AND(F43="Férié",D43&lt;&gt;"Férié"))),0.166666666666667,""))</f>
        <v/>
      </c>
      <c r="AF43" s="18"/>
      <c r="AG43" s="18"/>
    </row>
    <row r="44" customFormat="false" ht="15" hidden="false" customHeight="false" outlineLevel="0" collapsed="false">
      <c r="A44" s="6" t="str">
        <f aca="false">YEAR(Q44-WEEKDAY(Q44,2)+4)&amp;"-S"&amp;TEXT(WEEKNUM(Q44,21),"00")</f>
        <v>2025-S49</v>
      </c>
      <c r="B44" s="18" t="s">
        <v>72</v>
      </c>
      <c r="C44" s="19" t="n">
        <v>0.332638888888889</v>
      </c>
      <c r="D44" s="19" t="n">
        <v>0.333333333333333</v>
      </c>
      <c r="E44" s="19" t="n">
        <v>0.75</v>
      </c>
      <c r="F44" s="19" t="n">
        <v>0.75</v>
      </c>
      <c r="G44" s="20"/>
      <c r="H44" s="20"/>
      <c r="I44" s="8" t="str">
        <f aca="false">IF(IF(OR(C44="",D44="Congé",D44="OFF",D44="Congé spécial"),"",IF(D44&gt;F44,D44-C44,IF(C44-D44&lt;0,0,C44-D44)))&lt;0.00068287037037037,"",IF(OR(D44="Congé",D44="OFF",C44="",D44="Congé spécial"),"",IF(D44&gt;F44,D44-C44,IF(C44-D44&lt;0,0,C44-D44))))</f>
        <v/>
      </c>
      <c r="J44" s="20"/>
      <c r="K44" s="8" t="n">
        <f aca="false">IF(SUM(H44:J44)&lt;0.00068287037037037,0,SUM(H44:J44))</f>
        <v>0</v>
      </c>
      <c r="L44" s="8" t="n">
        <f aca="false">IF(OR(F44="Congé",F44="OFF",M44="Abs",F44="Congé sans solde",F44="Férié",F44="Congé spécial",D44="Congé spécial"),0,IF(F44-E44&lt;0,0,IF(F44-E44&lt;=0.00068287037037037,0,F44-E44)))</f>
        <v>0</v>
      </c>
      <c r="M44" s="6" t="n">
        <f aca="false">IF(AND(O44&lt;&gt;0,C44=""),"Abs",0)</f>
        <v>0</v>
      </c>
      <c r="N44" s="8" t="n">
        <f aca="false">IFERROR(IF(OR(D44="OFF",D44="Congé",M44="Abs",D44="Congé sans solde",D44="Férié"),"",IF(O44-K44-L44&gt;O44,O44,IF(O44-K44-L44&lt;0,"",O44-K44-L44))),"")</f>
        <v>0.375</v>
      </c>
      <c r="O44" s="8" t="n">
        <f aca="false">IF(AG44="2H Pause déjeuner",IF(F44-D44-0.0833333333333333&lt;0,F44-D44-0.0833333333333333+1,F44-D44-0.0833333333333333),IF(OR(AND(F44="OFF",D44="OFF"),AND(F44="Congé",D44="Congé"),AND(F44="Congé sans solde",D44="Congé sans solde"),AND(F44="Congé spécial",D44="Congé spécial"),AND(F44="Férié",D44="Férié"),AND(F44="OFF",D44="Congé"),AND(F44="OFF",D44="Congé sans solde"),AND(F44="OFF",D44="Congé spécial"),AND(F44="OFF",D44="Férié"),AND(F44="Congé",D44="OFF"),AND(F44="Congé",D44="Congé sans solde"),AND(F44="Congé",D44="Congé spécial"),AND(F44="Congé",D44="Férié"),AND(F44="Congé sans solde",D44="OFF"),AND(F44="Congé sans solde",D44="Congé"),AND(F44="Congé sans solde",D44="Congé spécial"),AND(F44="Congé sans solde",D44="Férié"),AND(F44="Congé spécial",D44="OFF"),AND(F44="Congé spécial",D44="Congé"),AND(F44="Congé spécial",D44="Congé sans solde"),AND(F44="Congé spécial",D44="Férié"),AND(F44="Férié",D44="OFF"),AND(F44="Férié",D44="Congé"),AND(F44="Férié",D44="Congé sans solde"),AND(F44="Férié",D44="Congé spécial")),0,IF(OR(F44="OFF",F44="Congé",F44="Congé spécial",F44="Congé sans solde",D44="OFF",D44="Congé",D44="Congé spécial",D44="Congé sans solde"),0.208333333333334,IF(AND(AG44="",F44-D44&lt;0),("24:00:00"-D44)+("00:00:00"+F44)-0.0416666666666667,IF(AND(OR(AG44="Allaitement",AG44="Sans déjeuner"),F44-D44&lt;0),("24:00:00"-D44)+("00:00:00"+F44),IF(AND(AG44="",F44-D44&gt;0.166666666666667),F44-D44-0.0416666666666667,IF(AND(OR(AG44="Allaitement",AG44="Sans déjeuner"),F44-D44&gt;0.166666666666667),F44-D44,F44-D44)))))))</f>
        <v>0.375</v>
      </c>
      <c r="P44" s="6" t="str">
        <f aca="false">IFERROR(VLOOKUP($B44,Agents!$A:$D,2,0),"-")</f>
        <v>Accessibilité</v>
      </c>
      <c r="Q44" s="21" t="n">
        <v>45992</v>
      </c>
      <c r="R44" s="8" t="n">
        <f aca="false">IF(M44="Abs",O44,0)</f>
        <v>0</v>
      </c>
      <c r="S44" s="8" t="n">
        <f aca="false">SUM(R44,L44,I44,J44,W44,H44)</f>
        <v>0</v>
      </c>
      <c r="T44" s="6" t="str">
        <f aca="false">"Sem - "&amp;WEEKNUM(Q44,21)</f>
        <v>Sem - 49</v>
      </c>
      <c r="U44" s="6" t="str">
        <f aca="false">CHOOSE(MONTH(Q44),"Janvier","Février","Mars","Avril","Mai","Juin","Juillet","Août","Septembre","Octobre","Novembre","Décembre")</f>
        <v>Décembre</v>
      </c>
      <c r="V44" s="22" t="n">
        <f aca="false">YEAR(Q44)</f>
        <v>2025</v>
      </c>
      <c r="W44" s="20"/>
      <c r="X44" s="8" t="n">
        <f aca="false">IFERROR(IF(M44="Abs",0,IF(ROUND((D44-C44+E44-F44)*1440,0)&lt;=1,0,D44-C44+E44-F44)),0)</f>
        <v>0</v>
      </c>
      <c r="Y44" s="6" t="str">
        <f aca="false">IFERROR(VLOOKUP($B44,Agents!$A:$D,3,0),"-")</f>
        <v>OUBRAHIM Mohammed</v>
      </c>
      <c r="Z44" s="6" t="str">
        <f aca="false">IFERROR(VLOOKUP($B44,Agents!$A:$D,4,0),"-")</f>
        <v>Credit Mutuel</v>
      </c>
      <c r="AA44" s="18" t="s">
        <v>76</v>
      </c>
      <c r="AB44" s="8" t="str">
        <f aca="false">IF(AND(D44="Congé",F44="Congé"),0.333333333333333,IF(OR(AND(D44="Congé",F44&lt;&gt;"Congé"),(AND(F44="Congé",D44&lt;&gt;"Congé"))),0.166666666666667,""))</f>
        <v/>
      </c>
      <c r="AC44" s="8" t="str">
        <f aca="false">IF(AND(D44="Congé sans solde",F44="Congé sans solde"),0.333333333333333,IF(OR(AND(D44="Congé sans solde",F44&lt;&gt;"Congé sans solde"),(AND(F44="Congé sans solde",D44&lt;&gt;"Congé sans solde"))),0.166666666666667,""))</f>
        <v/>
      </c>
      <c r="AD44" s="8" t="str">
        <f aca="false">IF(AND(D44="Congé spécial",F44="Congé spécial"),0.333333333333333,IF(OR(AND(D44="Congé spécial",F44&lt;&gt;"Congé spécial"),AND(F44="Congé spécial",D44&lt;&gt;"Congé spécial")),0.166666666666667,""))</f>
        <v/>
      </c>
      <c r="AE44" s="8" t="str">
        <f aca="false">IF(AND(D44="Férié",F44="Férié"),0.333333333333333,IF(OR(AND(D44="Férié",F44&lt;&gt;"Férié"),(AND(F44="Férié",D44&lt;&gt;"Férié"))),0.166666666666667,""))</f>
        <v/>
      </c>
      <c r="AF44" s="18"/>
      <c r="AG44" s="18"/>
    </row>
    <row r="45" customFormat="false" ht="15" hidden="false" customHeight="false" outlineLevel="0" collapsed="false">
      <c r="A45" s="6" t="str">
        <f aca="false">YEAR(Q45-WEEKDAY(Q45,2)+4)&amp;"-S"&amp;TEXT(WEEKNUM(Q45,21),"00")</f>
        <v>2025-S49</v>
      </c>
      <c r="B45" s="18" t="s">
        <v>73</v>
      </c>
      <c r="C45" s="19" t="n">
        <v>0.332638888888889</v>
      </c>
      <c r="D45" s="19" t="n">
        <v>0.333333333333333</v>
      </c>
      <c r="E45" s="19" t="n">
        <v>0.75</v>
      </c>
      <c r="F45" s="19" t="n">
        <v>0.75</v>
      </c>
      <c r="G45" s="20"/>
      <c r="H45" s="20"/>
      <c r="I45" s="8" t="str">
        <f aca="false">IF(IF(OR(C45="",D45="Congé",D45="OFF",D45="Congé spécial"),"",IF(D45&gt;F45,D45-C45,IF(C45-D45&lt;0,0,C45-D45)))&lt;0.00068287037037037,"",IF(OR(D45="Congé",D45="OFF",C45="",D45="Congé spécial"),"",IF(D45&gt;F45,D45-C45,IF(C45-D45&lt;0,0,C45-D45))))</f>
        <v/>
      </c>
      <c r="J45" s="20"/>
      <c r="K45" s="8" t="n">
        <f aca="false">IF(SUM(H45:J45)&lt;0.00068287037037037,0,SUM(H45:J45))</f>
        <v>0</v>
      </c>
      <c r="L45" s="8" t="n">
        <f aca="false">IF(OR(F45="Congé",F45="OFF",M45="Abs",F45="Congé sans solde",F45="Férié",F45="Congé spécial",D45="Congé spécial"),0,IF(F45-E45&lt;0,0,IF(F45-E45&lt;=0.00068287037037037,0,F45-E45)))</f>
        <v>0</v>
      </c>
      <c r="M45" s="6" t="n">
        <f aca="false">IF(AND(O45&lt;&gt;0,C45=""),"Abs",0)</f>
        <v>0</v>
      </c>
      <c r="N45" s="8" t="n">
        <f aca="false">IFERROR(IF(OR(D45="OFF",D45="Congé",M45="Abs",D45="Congé sans solde",D45="Férié"),"",IF(O45-K45-L45&gt;O45,O45,IF(O45-K45-L45&lt;0,"",O45-K45-L45))),"")</f>
        <v>0.375</v>
      </c>
      <c r="O45" s="8" t="n">
        <f aca="false">IF(AG45="2H Pause déjeuner",IF(F45-D45-0.0833333333333333&lt;0,F45-D45-0.0833333333333333+1,F45-D45-0.0833333333333333),IF(OR(AND(F45="OFF",D45="OFF"),AND(F45="Congé",D45="Congé"),AND(F45="Congé sans solde",D45="Congé sans solde"),AND(F45="Congé spécial",D45="Congé spécial"),AND(F45="Férié",D45="Férié"),AND(F45="OFF",D45="Congé"),AND(F45="OFF",D45="Congé sans solde"),AND(F45="OFF",D45="Congé spécial"),AND(F45="OFF",D45="Férié"),AND(F45="Congé",D45="OFF"),AND(F45="Congé",D45="Congé sans solde"),AND(F45="Congé",D45="Congé spécial"),AND(F45="Congé",D45="Férié"),AND(F45="Congé sans solde",D45="OFF"),AND(F45="Congé sans solde",D45="Congé"),AND(F45="Congé sans solde",D45="Congé spécial"),AND(F45="Congé sans solde",D45="Férié"),AND(F45="Congé spécial",D45="OFF"),AND(F45="Congé spécial",D45="Congé"),AND(F45="Congé spécial",D45="Congé sans solde"),AND(F45="Congé spécial",D45="Férié"),AND(F45="Férié",D45="OFF"),AND(F45="Férié",D45="Congé"),AND(F45="Férié",D45="Congé sans solde"),AND(F45="Férié",D45="Congé spécial")),0,IF(OR(F45="OFF",F45="Congé",F45="Congé spécial",F45="Congé sans solde",D45="OFF",D45="Congé",D45="Congé spécial",D45="Congé sans solde"),0.208333333333334,IF(AND(AG45="",F45-D45&lt;0),("24:00:00"-D45)+("00:00:00"+F45)-0.0416666666666667,IF(AND(OR(AG45="Allaitement",AG45="Sans déjeuner"),F45-D45&lt;0),("24:00:00"-D45)+("00:00:00"+F45),IF(AND(AG45="",F45-D45&gt;0.166666666666667),F45-D45-0.0416666666666667,IF(AND(OR(AG45="Allaitement",AG45="Sans déjeuner"),F45-D45&gt;0.166666666666667),F45-D45,F45-D45)))))))</f>
        <v>0.375</v>
      </c>
      <c r="P45" s="6" t="str">
        <f aca="false">IFERROR(VLOOKUP($B45,Agents!$A:$D,2,0),"-")</f>
        <v>Accessibilité</v>
      </c>
      <c r="Q45" s="21" t="n">
        <v>45992</v>
      </c>
      <c r="R45" s="8" t="n">
        <f aca="false">IF(M45="Abs",O45,0)</f>
        <v>0</v>
      </c>
      <c r="S45" s="8" t="n">
        <f aca="false">SUM(R45,L45,I45,J45,W45,H45)</f>
        <v>0</v>
      </c>
      <c r="T45" s="6" t="str">
        <f aca="false">"Sem - "&amp;WEEKNUM(Q45,21)</f>
        <v>Sem - 49</v>
      </c>
      <c r="U45" s="6" t="str">
        <f aca="false">CHOOSE(MONTH(Q45),"Janvier","Février","Mars","Avril","Mai","Juin","Juillet","Août","Septembre","Octobre","Novembre","Décembre")</f>
        <v>Décembre</v>
      </c>
      <c r="V45" s="22" t="n">
        <f aca="false">YEAR(Q45)</f>
        <v>2025</v>
      </c>
      <c r="W45" s="20"/>
      <c r="X45" s="8" t="n">
        <f aca="false">IFERROR(IF(M45="Abs",0,IF(ROUND((D45-C45+E45-F45)*1440,0)&lt;=1,0,D45-C45+E45-F45)),0)</f>
        <v>0</v>
      </c>
      <c r="Y45" s="6" t="str">
        <f aca="false">IFERROR(VLOOKUP($B45,Agents!$A:$D,3,0),"-")</f>
        <v>OUBRAHIM Mohammed</v>
      </c>
      <c r="Z45" s="6" t="str">
        <f aca="false">IFERROR(VLOOKUP($B45,Agents!$A:$D,4,0),"-")</f>
        <v>Credit Mutuel</v>
      </c>
      <c r="AA45" s="18" t="s">
        <v>76</v>
      </c>
      <c r="AB45" s="8" t="str">
        <f aca="false">IF(AND(D45="Congé",F45="Congé"),0.333333333333333,IF(OR(AND(D45="Congé",F45&lt;&gt;"Congé"),(AND(F45="Congé",D45&lt;&gt;"Congé"))),0.166666666666667,""))</f>
        <v/>
      </c>
      <c r="AC45" s="8" t="str">
        <f aca="false">IF(AND(D45="Congé sans solde",F45="Congé sans solde"),0.333333333333333,IF(OR(AND(D45="Congé sans solde",F45&lt;&gt;"Congé sans solde"),(AND(F45="Congé sans solde",D45&lt;&gt;"Congé sans solde"))),0.166666666666667,""))</f>
        <v/>
      </c>
      <c r="AD45" s="8" t="str">
        <f aca="false">IF(AND(D45="Congé spécial",F45="Congé spécial"),0.333333333333333,IF(OR(AND(D45="Congé spécial",F45&lt;&gt;"Congé spécial"),AND(F45="Congé spécial",D45&lt;&gt;"Congé spécial")),0.166666666666667,""))</f>
        <v/>
      </c>
      <c r="AE45" s="8" t="str">
        <f aca="false">IF(AND(D45="Férié",F45="Férié"),0.333333333333333,IF(OR(AND(D45="Férié",F45&lt;&gt;"Férié"),(AND(F45="Férié",D45&lt;&gt;"Férié"))),0.166666666666667,""))</f>
        <v/>
      </c>
      <c r="AF45" s="18"/>
      <c r="AG45" s="18"/>
    </row>
    <row r="46" customFormat="false" ht="15" hidden="false" customHeight="false" outlineLevel="0" collapsed="false">
      <c r="A46" s="6" t="str">
        <f aca="false">YEAR(Q46-WEEKDAY(Q46,2)+4)&amp;"-S"&amp;TEXT(WEEKNUM(Q46,21),"00")</f>
        <v>2025-S49</v>
      </c>
      <c r="B46" s="18" t="s">
        <v>69</v>
      </c>
      <c r="C46" s="19" t="n">
        <v>0.332638888888889</v>
      </c>
      <c r="D46" s="19" t="n">
        <v>0.333333333333333</v>
      </c>
      <c r="E46" s="19" t="n">
        <v>0.75</v>
      </c>
      <c r="F46" s="19" t="n">
        <v>0.75</v>
      </c>
      <c r="G46" s="20"/>
      <c r="H46" s="20"/>
      <c r="I46" s="8" t="str">
        <f aca="false">IF(IF(OR(C46="",D46="Congé",D46="OFF",D46="Congé spécial"),"",IF(D46&gt;F46,D46-C46,IF(C46-D46&lt;0,0,C46-D46)))&lt;0.00068287037037037,"",IF(OR(D46="Congé",D46="OFF",C46="",D46="Congé spécial"),"",IF(D46&gt;F46,D46-C46,IF(C46-D46&lt;0,0,C46-D46))))</f>
        <v/>
      </c>
      <c r="J46" s="20"/>
      <c r="K46" s="8" t="n">
        <f aca="false">IF(SUM(H46:J46)&lt;0.00068287037037037,0,SUM(H46:J46))</f>
        <v>0</v>
      </c>
      <c r="L46" s="8" t="n">
        <f aca="false">IF(OR(F46="Congé",F46="OFF",M46="Abs",F46="Congé sans solde",F46="Férié",F46="Congé spécial",D46="Congé spécial"),0,IF(F46-E46&lt;0,0,IF(F46-E46&lt;=0.00068287037037037,0,F46-E46)))</f>
        <v>0</v>
      </c>
      <c r="M46" s="6" t="n">
        <f aca="false">IF(AND(O46&lt;&gt;0,C46=""),"Abs",0)</f>
        <v>0</v>
      </c>
      <c r="N46" s="8" t="n">
        <f aca="false">IFERROR(IF(OR(D46="OFF",D46="Congé",M46="Abs",D46="Congé sans solde",D46="Férié"),"",IF(O46-K46-L46&gt;O46,O46,IF(O46-K46-L46&lt;0,"",O46-K46-L46))),"")</f>
        <v>0.375</v>
      </c>
      <c r="O46" s="8" t="n">
        <f aca="false">IF(AG46="2H Pause déjeuner",IF(F46-D46-0.0833333333333333&lt;0,F46-D46-0.0833333333333333+1,F46-D46-0.0833333333333333),IF(OR(AND(F46="OFF",D46="OFF"),AND(F46="Congé",D46="Congé"),AND(F46="Congé sans solde",D46="Congé sans solde"),AND(F46="Congé spécial",D46="Congé spécial"),AND(F46="Férié",D46="Férié"),AND(F46="OFF",D46="Congé"),AND(F46="OFF",D46="Congé sans solde"),AND(F46="OFF",D46="Congé spécial"),AND(F46="OFF",D46="Férié"),AND(F46="Congé",D46="OFF"),AND(F46="Congé",D46="Congé sans solde"),AND(F46="Congé",D46="Congé spécial"),AND(F46="Congé",D46="Férié"),AND(F46="Congé sans solde",D46="OFF"),AND(F46="Congé sans solde",D46="Congé"),AND(F46="Congé sans solde",D46="Congé spécial"),AND(F46="Congé sans solde",D46="Férié"),AND(F46="Congé spécial",D46="OFF"),AND(F46="Congé spécial",D46="Congé"),AND(F46="Congé spécial",D46="Congé sans solde"),AND(F46="Congé spécial",D46="Férié"),AND(F46="Férié",D46="OFF"),AND(F46="Férié",D46="Congé"),AND(F46="Férié",D46="Congé sans solde"),AND(F46="Férié",D46="Congé spécial")),0,IF(OR(F46="OFF",F46="Congé",F46="Congé spécial",F46="Congé sans solde",D46="OFF",D46="Congé",D46="Congé spécial",D46="Congé sans solde"),0.208333333333334,IF(AND(AG46="",F46-D46&lt;0),("24:00:00"-D46)+("00:00:00"+F46)-0.0416666666666667,IF(AND(OR(AG46="Allaitement",AG46="Sans déjeuner"),F46-D46&lt;0),("24:00:00"-D46)+("00:00:00"+F46),IF(AND(AG46="",F46-D46&gt;0.166666666666667),F46-D46-0.0416666666666667,IF(AND(OR(AG46="Allaitement",AG46="Sans déjeuner"),F46-D46&gt;0.166666666666667),F46-D46,F46-D46)))))))</f>
        <v>0.375</v>
      </c>
      <c r="P46" s="6" t="str">
        <f aca="false">IFERROR(VLOOKUP($B46,Agents!$A:$D,2,0),"-")</f>
        <v>Accessibilité</v>
      </c>
      <c r="Q46" s="21" t="n">
        <v>45993</v>
      </c>
      <c r="R46" s="8" t="n">
        <f aca="false">IF(M46="Abs",O46,0)</f>
        <v>0</v>
      </c>
      <c r="S46" s="8" t="n">
        <f aca="false">SUM(R46,L46,I46,J46,W46,H46)</f>
        <v>0</v>
      </c>
      <c r="T46" s="6" t="str">
        <f aca="false">"Sem - "&amp;WEEKNUM(Q46,21)</f>
        <v>Sem - 49</v>
      </c>
      <c r="U46" s="6" t="str">
        <f aca="false">CHOOSE(MONTH(Q46),"Janvier","Février","Mars","Avril","Mai","Juin","Juillet","Août","Septembre","Octobre","Novembre","Décembre")</f>
        <v>Décembre</v>
      </c>
      <c r="V46" s="22" t="n">
        <f aca="false">YEAR(Q46)</f>
        <v>2025</v>
      </c>
      <c r="W46" s="20"/>
      <c r="X46" s="8" t="n">
        <f aca="false">IFERROR(IF(M46="Abs",0,IF(ROUND((D46-C46+E46-F46)*1440,0)&lt;=1,0,D46-C46+E46-F46)),0)</f>
        <v>0</v>
      </c>
      <c r="Y46" s="6" t="str">
        <f aca="false">IFERROR(VLOOKUP($B46,Agents!$A:$D,3,0),"-")</f>
        <v>OUBRAHIM Mohammed</v>
      </c>
      <c r="Z46" s="6" t="str">
        <f aca="false">IFERROR(VLOOKUP($B46,Agents!$A:$D,4,0),"-")</f>
        <v>Credit Mutuel</v>
      </c>
      <c r="AA46" s="18" t="s">
        <v>76</v>
      </c>
      <c r="AB46" s="8" t="str">
        <f aca="false">IF(AND(D46="Congé",F46="Congé"),0.333333333333333,IF(OR(AND(D46="Congé",F46&lt;&gt;"Congé"),(AND(F46="Congé",D46&lt;&gt;"Congé"))),0.166666666666667,""))</f>
        <v/>
      </c>
      <c r="AC46" s="8" t="str">
        <f aca="false">IF(AND(D46="Congé sans solde",F46="Congé sans solde"),0.333333333333333,IF(OR(AND(D46="Congé sans solde",F46&lt;&gt;"Congé sans solde"),(AND(F46="Congé sans solde",D46&lt;&gt;"Congé sans solde"))),0.166666666666667,""))</f>
        <v/>
      </c>
      <c r="AD46" s="8" t="str">
        <f aca="false">IF(AND(D46="Congé spécial",F46="Congé spécial"),0.333333333333333,IF(OR(AND(D46="Congé spécial",F46&lt;&gt;"Congé spécial"),AND(F46="Congé spécial",D46&lt;&gt;"Congé spécial")),0.166666666666667,""))</f>
        <v/>
      </c>
      <c r="AE46" s="8" t="str">
        <f aca="false">IF(AND(D46="Férié",F46="Férié"),0.333333333333333,IF(OR(AND(D46="Férié",F46&lt;&gt;"Férié"),(AND(F46="Férié",D46&lt;&gt;"Férié"))),0.166666666666667,""))</f>
        <v/>
      </c>
      <c r="AF46" s="18"/>
      <c r="AG46" s="18"/>
    </row>
    <row r="47" customFormat="false" ht="15" hidden="false" customHeight="false" outlineLevel="0" collapsed="false">
      <c r="A47" s="6" t="str">
        <f aca="false">YEAR(Q47-WEEKDAY(Q47,2)+4)&amp;"-S"&amp;TEXT(WEEKNUM(Q47,21),"00")</f>
        <v>2025-S49</v>
      </c>
      <c r="B47" s="18" t="s">
        <v>71</v>
      </c>
      <c r="C47" s="19" t="n">
        <v>0.332638888888889</v>
      </c>
      <c r="D47" s="19" t="n">
        <v>0.333333333333333</v>
      </c>
      <c r="E47" s="19" t="n">
        <v>0.75</v>
      </c>
      <c r="F47" s="19" t="n">
        <v>0.75</v>
      </c>
      <c r="G47" s="20"/>
      <c r="H47" s="20"/>
      <c r="I47" s="8" t="str">
        <f aca="false">IF(IF(OR(C47="",D47="Congé",D47="OFF",D47="Congé spécial"),"",IF(D47&gt;F47,D47-C47,IF(C47-D47&lt;0,0,C47-D47)))&lt;0.00068287037037037,"",IF(OR(D47="Congé",D47="OFF",C47="",D47="Congé spécial"),"",IF(D47&gt;F47,D47-C47,IF(C47-D47&lt;0,0,C47-D47))))</f>
        <v/>
      </c>
      <c r="J47" s="20"/>
      <c r="K47" s="8" t="n">
        <f aca="false">IF(SUM(H47:J47)&lt;0.00068287037037037,0,SUM(H47:J47))</f>
        <v>0</v>
      </c>
      <c r="L47" s="8" t="n">
        <f aca="false">IF(OR(F47="Congé",F47="OFF",M47="Abs",F47="Congé sans solde",F47="Férié",F47="Congé spécial",D47="Congé spécial"),0,IF(F47-E47&lt;0,0,IF(F47-E47&lt;=0.00068287037037037,0,F47-E47)))</f>
        <v>0</v>
      </c>
      <c r="M47" s="6" t="n">
        <f aca="false">IF(AND(O47&lt;&gt;0,C47=""),"Abs",0)</f>
        <v>0</v>
      </c>
      <c r="N47" s="8" t="n">
        <f aca="false">IFERROR(IF(OR(D47="OFF",D47="Congé",M47="Abs",D47="Congé sans solde",D47="Férié"),"",IF(O47-K47-L47&gt;O47,O47,IF(O47-K47-L47&lt;0,"",O47-K47-L47))),"")</f>
        <v>0.375</v>
      </c>
      <c r="O47" s="8" t="n">
        <f aca="false">IF(AG47="2H Pause déjeuner",IF(F47-D47-0.0833333333333333&lt;0,F47-D47-0.0833333333333333+1,F47-D47-0.0833333333333333),IF(OR(AND(F47="OFF",D47="OFF"),AND(F47="Congé",D47="Congé"),AND(F47="Congé sans solde",D47="Congé sans solde"),AND(F47="Congé spécial",D47="Congé spécial"),AND(F47="Férié",D47="Férié"),AND(F47="OFF",D47="Congé"),AND(F47="OFF",D47="Congé sans solde"),AND(F47="OFF",D47="Congé spécial"),AND(F47="OFF",D47="Férié"),AND(F47="Congé",D47="OFF"),AND(F47="Congé",D47="Congé sans solde"),AND(F47="Congé",D47="Congé spécial"),AND(F47="Congé",D47="Férié"),AND(F47="Congé sans solde",D47="OFF"),AND(F47="Congé sans solde",D47="Congé"),AND(F47="Congé sans solde",D47="Congé spécial"),AND(F47="Congé sans solde",D47="Férié"),AND(F47="Congé spécial",D47="OFF"),AND(F47="Congé spécial",D47="Congé"),AND(F47="Congé spécial",D47="Congé sans solde"),AND(F47="Congé spécial",D47="Férié"),AND(F47="Férié",D47="OFF"),AND(F47="Férié",D47="Congé"),AND(F47="Férié",D47="Congé sans solde"),AND(F47="Férié",D47="Congé spécial")),0,IF(OR(F47="OFF",F47="Congé",F47="Congé spécial",F47="Congé sans solde",D47="OFF",D47="Congé",D47="Congé spécial",D47="Congé sans solde"),0.208333333333334,IF(AND(AG47="",F47-D47&lt;0),("24:00:00"-D47)+("00:00:00"+F47)-0.0416666666666667,IF(AND(OR(AG47="Allaitement",AG47="Sans déjeuner"),F47-D47&lt;0),("24:00:00"-D47)+("00:00:00"+F47),IF(AND(AG47="",F47-D47&gt;0.166666666666667),F47-D47-0.0416666666666667,IF(AND(OR(AG47="Allaitement",AG47="Sans déjeuner"),F47-D47&gt;0.166666666666667),F47-D47,F47-D47)))))))</f>
        <v>0.375</v>
      </c>
      <c r="P47" s="6" t="str">
        <f aca="false">IFERROR(VLOOKUP($B47,Agents!$A:$D,2,0),"-")</f>
        <v>Accessibilité</v>
      </c>
      <c r="Q47" s="21" t="n">
        <v>45993</v>
      </c>
      <c r="R47" s="8" t="n">
        <f aca="false">IF(M47="Abs",O47,0)</f>
        <v>0</v>
      </c>
      <c r="S47" s="8" t="n">
        <f aca="false">SUM(R47,L47,I47,J47,W47,H47)</f>
        <v>0</v>
      </c>
      <c r="T47" s="6" t="str">
        <f aca="false">"Sem - "&amp;WEEKNUM(Q47,21)</f>
        <v>Sem - 49</v>
      </c>
      <c r="U47" s="6" t="str">
        <f aca="false">CHOOSE(MONTH(Q47),"Janvier","Février","Mars","Avril","Mai","Juin","Juillet","Août","Septembre","Octobre","Novembre","Décembre")</f>
        <v>Décembre</v>
      </c>
      <c r="V47" s="22" t="n">
        <f aca="false">YEAR(Q47)</f>
        <v>2025</v>
      </c>
      <c r="W47" s="20"/>
      <c r="X47" s="8" t="n">
        <f aca="false">IFERROR(IF(M47="Abs",0,IF(ROUND((D47-C47+E47-F47)*1440,0)&lt;=1,0,D47-C47+E47-F47)),0)</f>
        <v>0</v>
      </c>
      <c r="Y47" s="6" t="str">
        <f aca="false">IFERROR(VLOOKUP($B47,Agents!$A:$D,3,0),"-")</f>
        <v>OUBRAHIM Mohammed</v>
      </c>
      <c r="Z47" s="6" t="str">
        <f aca="false">IFERROR(VLOOKUP($B47,Agents!$A:$D,4,0),"-")</f>
        <v>Credit Mutuel</v>
      </c>
      <c r="AA47" s="18" t="s">
        <v>76</v>
      </c>
      <c r="AB47" s="8" t="str">
        <f aca="false">IF(AND(D47="Congé",F47="Congé"),0.333333333333333,IF(OR(AND(D47="Congé",F47&lt;&gt;"Congé"),(AND(F47="Congé",D47&lt;&gt;"Congé"))),0.166666666666667,""))</f>
        <v/>
      </c>
      <c r="AC47" s="8" t="str">
        <f aca="false">IF(AND(D47="Congé sans solde",F47="Congé sans solde"),0.333333333333333,IF(OR(AND(D47="Congé sans solde",F47&lt;&gt;"Congé sans solde"),(AND(F47="Congé sans solde",D47&lt;&gt;"Congé sans solde"))),0.166666666666667,""))</f>
        <v/>
      </c>
      <c r="AD47" s="8" t="str">
        <f aca="false">IF(AND(D47="Congé spécial",F47="Congé spécial"),0.333333333333333,IF(OR(AND(D47="Congé spécial",F47&lt;&gt;"Congé spécial"),AND(F47="Congé spécial",D47&lt;&gt;"Congé spécial")),0.166666666666667,""))</f>
        <v/>
      </c>
      <c r="AE47" s="8" t="str">
        <f aca="false">IF(AND(D47="Férié",F47="Férié"),0.333333333333333,IF(OR(AND(D47="Férié",F47&lt;&gt;"Férié"),(AND(F47="Férié",D47&lt;&gt;"Férié"))),0.166666666666667,""))</f>
        <v/>
      </c>
      <c r="AF47" s="18"/>
      <c r="AG47" s="18"/>
    </row>
    <row r="48" customFormat="false" ht="15" hidden="false" customHeight="false" outlineLevel="0" collapsed="false">
      <c r="A48" s="6" t="str">
        <f aca="false">YEAR(Q48-WEEKDAY(Q48,2)+4)&amp;"-S"&amp;TEXT(WEEKNUM(Q48,21),"00")</f>
        <v>2025-S49</v>
      </c>
      <c r="B48" s="18" t="s">
        <v>72</v>
      </c>
      <c r="C48" s="19" t="n">
        <v>0.332638888888889</v>
      </c>
      <c r="D48" s="19" t="n">
        <v>0.333333333333333</v>
      </c>
      <c r="E48" s="19" t="n">
        <v>0.75</v>
      </c>
      <c r="F48" s="19" t="n">
        <v>0.75</v>
      </c>
      <c r="G48" s="20"/>
      <c r="H48" s="20"/>
      <c r="I48" s="8" t="str">
        <f aca="false">IF(IF(OR(C48="",D48="Congé",D48="OFF",D48="Congé spécial"),"",IF(D48&gt;F48,D48-C48,IF(C48-D48&lt;0,0,C48-D48)))&lt;0.00068287037037037,"",IF(OR(D48="Congé",D48="OFF",C48="",D48="Congé spécial"),"",IF(D48&gt;F48,D48-C48,IF(C48-D48&lt;0,0,C48-D48))))</f>
        <v/>
      </c>
      <c r="J48" s="20"/>
      <c r="K48" s="8" t="n">
        <f aca="false">IF(SUM(H48:J48)&lt;0.00068287037037037,0,SUM(H48:J48))</f>
        <v>0</v>
      </c>
      <c r="L48" s="8" t="n">
        <f aca="false">IF(OR(F48="Congé",F48="OFF",M48="Abs",F48="Congé sans solde",F48="Férié",F48="Congé spécial",D48="Congé spécial"),0,IF(F48-E48&lt;0,0,IF(F48-E48&lt;=0.00068287037037037,0,F48-E48)))</f>
        <v>0</v>
      </c>
      <c r="M48" s="6" t="n">
        <f aca="false">IF(AND(O48&lt;&gt;0,C48=""),"Abs",0)</f>
        <v>0</v>
      </c>
      <c r="N48" s="8" t="n">
        <f aca="false">IFERROR(IF(OR(D48="OFF",D48="Congé",M48="Abs",D48="Congé sans solde",D48="Férié"),"",IF(O48-K48-L48&gt;O48,O48,IF(O48-K48-L48&lt;0,"",O48-K48-L48))),"")</f>
        <v>0.375</v>
      </c>
      <c r="O48" s="8" t="n">
        <f aca="false">IF(AG48="2H Pause déjeuner",IF(F48-D48-0.0833333333333333&lt;0,F48-D48-0.0833333333333333+1,F48-D48-0.0833333333333333),IF(OR(AND(F48="OFF",D48="OFF"),AND(F48="Congé",D48="Congé"),AND(F48="Congé sans solde",D48="Congé sans solde"),AND(F48="Congé spécial",D48="Congé spécial"),AND(F48="Férié",D48="Férié"),AND(F48="OFF",D48="Congé"),AND(F48="OFF",D48="Congé sans solde"),AND(F48="OFF",D48="Congé spécial"),AND(F48="OFF",D48="Férié"),AND(F48="Congé",D48="OFF"),AND(F48="Congé",D48="Congé sans solde"),AND(F48="Congé",D48="Congé spécial"),AND(F48="Congé",D48="Férié"),AND(F48="Congé sans solde",D48="OFF"),AND(F48="Congé sans solde",D48="Congé"),AND(F48="Congé sans solde",D48="Congé spécial"),AND(F48="Congé sans solde",D48="Férié"),AND(F48="Congé spécial",D48="OFF"),AND(F48="Congé spécial",D48="Congé"),AND(F48="Congé spécial",D48="Congé sans solde"),AND(F48="Congé spécial",D48="Férié"),AND(F48="Férié",D48="OFF"),AND(F48="Férié",D48="Congé"),AND(F48="Férié",D48="Congé sans solde"),AND(F48="Férié",D48="Congé spécial")),0,IF(OR(F48="OFF",F48="Congé",F48="Congé spécial",F48="Congé sans solde",D48="OFF",D48="Congé",D48="Congé spécial",D48="Congé sans solde"),0.208333333333334,IF(AND(AG48="",F48-D48&lt;0),("24:00:00"-D48)+("00:00:00"+F48)-0.0416666666666667,IF(AND(OR(AG48="Allaitement",AG48="Sans déjeuner"),F48-D48&lt;0),("24:00:00"-D48)+("00:00:00"+F48),IF(AND(AG48="",F48-D48&gt;0.166666666666667),F48-D48-0.0416666666666667,IF(AND(OR(AG48="Allaitement",AG48="Sans déjeuner"),F48-D48&gt;0.166666666666667),F48-D48,F48-D48)))))))</f>
        <v>0.375</v>
      </c>
      <c r="P48" s="6" t="str">
        <f aca="false">IFERROR(VLOOKUP($B48,Agents!$A:$D,2,0),"-")</f>
        <v>Accessibilité</v>
      </c>
      <c r="Q48" s="21" t="n">
        <v>45993</v>
      </c>
      <c r="R48" s="8" t="n">
        <f aca="false">IF(M48="Abs",O48,0)</f>
        <v>0</v>
      </c>
      <c r="S48" s="8" t="n">
        <f aca="false">SUM(R48,L48,I48,J48,W48,H48)</f>
        <v>0</v>
      </c>
      <c r="T48" s="6" t="str">
        <f aca="false">"Sem - "&amp;WEEKNUM(Q48,21)</f>
        <v>Sem - 49</v>
      </c>
      <c r="U48" s="6" t="str">
        <f aca="false">CHOOSE(MONTH(Q48),"Janvier","Février","Mars","Avril","Mai","Juin","Juillet","Août","Septembre","Octobre","Novembre","Décembre")</f>
        <v>Décembre</v>
      </c>
      <c r="V48" s="22" t="n">
        <f aca="false">YEAR(Q48)</f>
        <v>2025</v>
      </c>
      <c r="W48" s="20"/>
      <c r="X48" s="8" t="n">
        <f aca="false">IFERROR(IF(M48="Abs",0,IF(ROUND((D48-C48+E48-F48)*1440,0)&lt;=1,0,D48-C48+E48-F48)),0)</f>
        <v>0</v>
      </c>
      <c r="Y48" s="6" t="str">
        <f aca="false">IFERROR(VLOOKUP($B48,Agents!$A:$D,3,0),"-")</f>
        <v>OUBRAHIM Mohammed</v>
      </c>
      <c r="Z48" s="6" t="str">
        <f aca="false">IFERROR(VLOOKUP($B48,Agents!$A:$D,4,0),"-")</f>
        <v>Credit Mutuel</v>
      </c>
      <c r="AA48" s="18" t="s">
        <v>76</v>
      </c>
      <c r="AB48" s="8" t="str">
        <f aca="false">IF(AND(D48="Congé",F48="Congé"),0.333333333333333,IF(OR(AND(D48="Congé",F48&lt;&gt;"Congé"),(AND(F48="Congé",D48&lt;&gt;"Congé"))),0.166666666666667,""))</f>
        <v/>
      </c>
      <c r="AC48" s="8" t="str">
        <f aca="false">IF(AND(D48="Congé sans solde",F48="Congé sans solde"),0.333333333333333,IF(OR(AND(D48="Congé sans solde",F48&lt;&gt;"Congé sans solde"),(AND(F48="Congé sans solde",D48&lt;&gt;"Congé sans solde"))),0.166666666666667,""))</f>
        <v/>
      </c>
      <c r="AD48" s="8" t="str">
        <f aca="false">IF(AND(D48="Congé spécial",F48="Congé spécial"),0.333333333333333,IF(OR(AND(D48="Congé spécial",F48&lt;&gt;"Congé spécial"),AND(F48="Congé spécial",D48&lt;&gt;"Congé spécial")),0.166666666666667,""))</f>
        <v/>
      </c>
      <c r="AE48" s="8" t="str">
        <f aca="false">IF(AND(D48="Férié",F48="Férié"),0.333333333333333,IF(OR(AND(D48="Férié",F48&lt;&gt;"Férié"),(AND(F48="Férié",D48&lt;&gt;"Férié"))),0.166666666666667,""))</f>
        <v/>
      </c>
      <c r="AF48" s="18"/>
      <c r="AG48" s="18"/>
    </row>
    <row r="49" customFormat="false" ht="15" hidden="false" customHeight="false" outlineLevel="0" collapsed="false">
      <c r="A49" s="6" t="str">
        <f aca="false">YEAR(Q49-WEEKDAY(Q49,2)+4)&amp;"-S"&amp;TEXT(WEEKNUM(Q49,21),"00")</f>
        <v>2025-S49</v>
      </c>
      <c r="B49" s="18" t="s">
        <v>73</v>
      </c>
      <c r="C49" s="19" t="n">
        <v>0.336805555555556</v>
      </c>
      <c r="D49" s="19" t="n">
        <v>0.333333333333333</v>
      </c>
      <c r="E49" s="19" t="n">
        <v>0.75</v>
      </c>
      <c r="F49" s="19" t="n">
        <v>0.75</v>
      </c>
      <c r="G49" s="20"/>
      <c r="H49" s="20"/>
      <c r="I49" s="8" t="n">
        <f aca="false">IF(IF(OR(C49="",D49="Congé",D49="OFF",D49="Congé spécial"),"",IF(D49&gt;F49,D49-C49,IF(C49-D49&lt;0,0,C49-D49)))&lt;0.00068287037037037,"",IF(OR(D49="Congé",D49="OFF",C49="",D49="Congé spécial"),"",IF(D49&gt;F49,D49-C49,IF(C49-D49&lt;0,0,C49-D49))))</f>
        <v>0.00347222222222222</v>
      </c>
      <c r="J49" s="20"/>
      <c r="K49" s="8" t="n">
        <f aca="false">IF(SUM(H49:J49)&lt;0.00068287037037037,0,SUM(H49:J49))</f>
        <v>0.00347222222222222</v>
      </c>
      <c r="L49" s="8" t="n">
        <f aca="false">IF(OR(F49="Congé",F49="OFF",M49="Abs",F49="Congé sans solde",F49="Férié",F49="Congé spécial",D49="Congé spécial"),0,IF(F49-E49&lt;0,0,IF(F49-E49&lt;=0.00068287037037037,0,F49-E49)))</f>
        <v>0</v>
      </c>
      <c r="M49" s="6" t="n">
        <f aca="false">IF(AND(O49&lt;&gt;0,C49=""),"Abs",0)</f>
        <v>0</v>
      </c>
      <c r="N49" s="8" t="n">
        <f aca="false">IFERROR(IF(OR(D49="OFF",D49="Congé",M49="Abs",D49="Congé sans solde",D49="Férié"),"",IF(O49-K49-L49&gt;O49,O49,IF(O49-K49-L49&lt;0,"",O49-K49-L49))),"")</f>
        <v>0.371527777777778</v>
      </c>
      <c r="O49" s="8" t="n">
        <f aca="false">IF(AG49="2H Pause déjeuner",IF(F49-D49-0.0833333333333333&lt;0,F49-D49-0.0833333333333333+1,F49-D49-0.0833333333333333),IF(OR(AND(F49="OFF",D49="OFF"),AND(F49="Congé",D49="Congé"),AND(F49="Congé sans solde",D49="Congé sans solde"),AND(F49="Congé spécial",D49="Congé spécial"),AND(F49="Férié",D49="Férié"),AND(F49="OFF",D49="Congé"),AND(F49="OFF",D49="Congé sans solde"),AND(F49="OFF",D49="Congé spécial"),AND(F49="OFF",D49="Férié"),AND(F49="Congé",D49="OFF"),AND(F49="Congé",D49="Congé sans solde"),AND(F49="Congé",D49="Congé spécial"),AND(F49="Congé",D49="Férié"),AND(F49="Congé sans solde",D49="OFF"),AND(F49="Congé sans solde",D49="Congé"),AND(F49="Congé sans solde",D49="Congé spécial"),AND(F49="Congé sans solde",D49="Férié"),AND(F49="Congé spécial",D49="OFF"),AND(F49="Congé spécial",D49="Congé"),AND(F49="Congé spécial",D49="Congé sans solde"),AND(F49="Congé spécial",D49="Férié"),AND(F49="Férié",D49="OFF"),AND(F49="Férié",D49="Congé"),AND(F49="Férié",D49="Congé sans solde"),AND(F49="Férié",D49="Congé spécial")),0,IF(OR(F49="OFF",F49="Congé",F49="Congé spécial",F49="Congé sans solde",D49="OFF",D49="Congé",D49="Congé spécial",D49="Congé sans solde"),0.208333333333334,IF(AND(AG49="",F49-D49&lt;0),("24:00:00"-D49)+("00:00:00"+F49)-0.0416666666666667,IF(AND(OR(AG49="Allaitement",AG49="Sans déjeuner"),F49-D49&lt;0),("24:00:00"-D49)+("00:00:00"+F49),IF(AND(AG49="",F49-D49&gt;0.166666666666667),F49-D49-0.0416666666666667,IF(AND(OR(AG49="Allaitement",AG49="Sans déjeuner"),F49-D49&gt;0.166666666666667),F49-D49,F49-D49)))))))</f>
        <v>0.375</v>
      </c>
      <c r="P49" s="6" t="str">
        <f aca="false">IFERROR(VLOOKUP($B49,Agents!$A:$D,2,0),"-")</f>
        <v>Accessibilité</v>
      </c>
      <c r="Q49" s="21" t="n">
        <v>45993</v>
      </c>
      <c r="R49" s="8" t="n">
        <f aca="false">IF(M49="Abs",O49,0)</f>
        <v>0</v>
      </c>
      <c r="S49" s="8" t="n">
        <f aca="false">SUM(R49,L49,I49,J49,W49,H49)</f>
        <v>0.00347222222222222</v>
      </c>
      <c r="T49" s="6" t="str">
        <f aca="false">"Sem - "&amp;WEEKNUM(Q49,21)</f>
        <v>Sem - 49</v>
      </c>
      <c r="U49" s="6" t="str">
        <f aca="false">CHOOSE(MONTH(Q49),"Janvier","Février","Mars","Avril","Mai","Juin","Juillet","Août","Septembre","Octobre","Novembre","Décembre")</f>
        <v>Décembre</v>
      </c>
      <c r="V49" s="22" t="n">
        <f aca="false">YEAR(Q49)</f>
        <v>2025</v>
      </c>
      <c r="W49" s="20"/>
      <c r="X49" s="8" t="n">
        <f aca="false">IFERROR(IF(M49="Abs",0,IF(ROUND((D49-C49+E49-F49)*1440,0)&lt;=1,0,D49-C49+E49-F49)),0)</f>
        <v>0</v>
      </c>
      <c r="Y49" s="6" t="str">
        <f aca="false">IFERROR(VLOOKUP($B49,Agents!$A:$D,3,0),"-")</f>
        <v>OUBRAHIM Mohammed</v>
      </c>
      <c r="Z49" s="6" t="str">
        <f aca="false">IFERROR(VLOOKUP($B49,Agents!$A:$D,4,0),"-")</f>
        <v>Credit Mutuel</v>
      </c>
      <c r="AA49" s="18" t="s">
        <v>76</v>
      </c>
      <c r="AB49" s="8" t="str">
        <f aca="false">IF(AND(D49="Congé",F49="Congé"),0.333333333333333,IF(OR(AND(D49="Congé",F49&lt;&gt;"Congé"),(AND(F49="Congé",D49&lt;&gt;"Congé"))),0.166666666666667,""))</f>
        <v/>
      </c>
      <c r="AC49" s="8" t="str">
        <f aca="false">IF(AND(D49="Congé sans solde",F49="Congé sans solde"),0.333333333333333,IF(OR(AND(D49="Congé sans solde",F49&lt;&gt;"Congé sans solde"),(AND(F49="Congé sans solde",D49&lt;&gt;"Congé sans solde"))),0.166666666666667,""))</f>
        <v/>
      </c>
      <c r="AD49" s="8" t="str">
        <f aca="false">IF(AND(D49="Congé spécial",F49="Congé spécial"),0.333333333333333,IF(OR(AND(D49="Congé spécial",F49&lt;&gt;"Congé spécial"),AND(F49="Congé spécial",D49&lt;&gt;"Congé spécial")),0.166666666666667,""))</f>
        <v/>
      </c>
      <c r="AE49" s="8" t="str">
        <f aca="false">IF(AND(D49="Férié",F49="Férié"),0.333333333333333,IF(OR(AND(D49="Férié",F49&lt;&gt;"Férié"),(AND(F49="Férié",D49&lt;&gt;"Férié"))),0.166666666666667,""))</f>
        <v/>
      </c>
      <c r="AF49" s="18"/>
      <c r="AG49" s="18"/>
    </row>
    <row r="50" customFormat="false" ht="15" hidden="false" customHeight="false" outlineLevel="0" collapsed="false">
      <c r="A50" s="6" t="str">
        <f aca="false">YEAR(Q50-WEEKDAY(Q50,2)+4)&amp;"-S"&amp;TEXT(WEEKNUM(Q50,21),"00")</f>
        <v>2025-S49</v>
      </c>
      <c r="B50" s="18" t="s">
        <v>69</v>
      </c>
      <c r="C50" s="19" t="n">
        <v>0.332638888888889</v>
      </c>
      <c r="D50" s="19" t="n">
        <v>0.333333333333333</v>
      </c>
      <c r="E50" s="19" t="n">
        <v>0.75</v>
      </c>
      <c r="F50" s="19" t="n">
        <v>0.75</v>
      </c>
      <c r="G50" s="20"/>
      <c r="H50" s="20"/>
      <c r="I50" s="8" t="str">
        <f aca="false">IF(IF(OR(C50="",D50="Congé",D50="OFF",D50="Congé spécial"),"",IF(D50&gt;F50,D50-C50,IF(C50-D50&lt;0,0,C50-D50)))&lt;0.00068287037037037,"",IF(OR(D50="Congé",D50="OFF",C50="",D50="Congé spécial"),"",IF(D50&gt;F50,D50-C50,IF(C50-D50&lt;0,0,C50-D50))))</f>
        <v/>
      </c>
      <c r="J50" s="20"/>
      <c r="K50" s="8" t="n">
        <f aca="false">IF(SUM(H50:J50)&lt;0.00068287037037037,0,SUM(H50:J50))</f>
        <v>0</v>
      </c>
      <c r="L50" s="8" t="n">
        <f aca="false">IF(OR(F50="Congé",F50="OFF",M50="Abs",F50="Congé sans solde",F50="Férié",F50="Congé spécial",D50="Congé spécial"),0,IF(F50-E50&lt;0,0,IF(F50-E50&lt;=0.00068287037037037,0,F50-E50)))</f>
        <v>0</v>
      </c>
      <c r="M50" s="6" t="n">
        <f aca="false">IF(AND(O50&lt;&gt;0,C50=""),"Abs",0)</f>
        <v>0</v>
      </c>
      <c r="N50" s="8" t="n">
        <f aca="false">IFERROR(IF(OR(D50="OFF",D50="Congé",M50="Abs",D50="Congé sans solde",D50="Férié"),"",IF(O50-K50-L50&gt;O50,O50,IF(O50-K50-L50&lt;0,"",O50-K50-L50))),"")</f>
        <v>0.375</v>
      </c>
      <c r="O50" s="8" t="n">
        <f aca="false">IF(AG50="2H Pause déjeuner",IF(F50-D50-0.0833333333333333&lt;0,F50-D50-0.0833333333333333+1,F50-D50-0.0833333333333333),IF(OR(AND(F50="OFF",D50="OFF"),AND(F50="Congé",D50="Congé"),AND(F50="Congé sans solde",D50="Congé sans solde"),AND(F50="Congé spécial",D50="Congé spécial"),AND(F50="Férié",D50="Férié"),AND(F50="OFF",D50="Congé"),AND(F50="OFF",D50="Congé sans solde"),AND(F50="OFF",D50="Congé spécial"),AND(F50="OFF",D50="Férié"),AND(F50="Congé",D50="OFF"),AND(F50="Congé",D50="Congé sans solde"),AND(F50="Congé",D50="Congé spécial"),AND(F50="Congé",D50="Férié"),AND(F50="Congé sans solde",D50="OFF"),AND(F50="Congé sans solde",D50="Congé"),AND(F50="Congé sans solde",D50="Congé spécial"),AND(F50="Congé sans solde",D50="Férié"),AND(F50="Congé spécial",D50="OFF"),AND(F50="Congé spécial",D50="Congé"),AND(F50="Congé spécial",D50="Congé sans solde"),AND(F50="Congé spécial",D50="Férié"),AND(F50="Férié",D50="OFF"),AND(F50="Férié",D50="Congé"),AND(F50="Férié",D50="Congé sans solde"),AND(F50="Férié",D50="Congé spécial")),0,IF(OR(F50="OFF",F50="Congé",F50="Congé spécial",F50="Congé sans solde",D50="OFF",D50="Congé",D50="Congé spécial",D50="Congé sans solde"),0.208333333333334,IF(AND(AG50="",F50-D50&lt;0),("24:00:00"-D50)+("00:00:00"+F50)-0.0416666666666667,IF(AND(OR(AG50="Allaitement",AG50="Sans déjeuner"),F50-D50&lt;0),("24:00:00"-D50)+("00:00:00"+F50),IF(AND(AG50="",F50-D50&gt;0.166666666666667),F50-D50-0.0416666666666667,IF(AND(OR(AG50="Allaitement",AG50="Sans déjeuner"),F50-D50&gt;0.166666666666667),F50-D50,F50-D50)))))))</f>
        <v>0.375</v>
      </c>
      <c r="P50" s="6" t="str">
        <f aca="false">IFERROR(VLOOKUP($B50,Agents!$A:$D,2,0),"-")</f>
        <v>Accessibilité</v>
      </c>
      <c r="Q50" s="21" t="n">
        <v>45994</v>
      </c>
      <c r="R50" s="8" t="n">
        <f aca="false">IF(M50="Abs",O50,0)</f>
        <v>0</v>
      </c>
      <c r="S50" s="8" t="n">
        <f aca="false">SUM(R50,L50,I50,J50,W50,H50)</f>
        <v>0</v>
      </c>
      <c r="T50" s="6" t="str">
        <f aca="false">"Sem - "&amp;WEEKNUM(Q50,21)</f>
        <v>Sem - 49</v>
      </c>
      <c r="U50" s="6" t="str">
        <f aca="false">CHOOSE(MONTH(Q50),"Janvier","Février","Mars","Avril","Mai","Juin","Juillet","Août","Septembre","Octobre","Novembre","Décembre")</f>
        <v>Décembre</v>
      </c>
      <c r="V50" s="22" t="n">
        <f aca="false">YEAR(Q50)</f>
        <v>2025</v>
      </c>
      <c r="W50" s="20"/>
      <c r="X50" s="8" t="n">
        <f aca="false">IFERROR(IF(M50="Abs",0,IF(ROUND((D50-C50+E50-F50)*1440,0)&lt;=1,0,D50-C50+E50-F50)),0)</f>
        <v>0</v>
      </c>
      <c r="Y50" s="6" t="str">
        <f aca="false">IFERROR(VLOOKUP($B50,Agents!$A:$D,3,0),"-")</f>
        <v>OUBRAHIM Mohammed</v>
      </c>
      <c r="Z50" s="6" t="str">
        <f aca="false">IFERROR(VLOOKUP($B50,Agents!$A:$D,4,0),"-")</f>
        <v>Credit Mutuel</v>
      </c>
      <c r="AA50" s="18" t="s">
        <v>76</v>
      </c>
      <c r="AB50" s="8" t="str">
        <f aca="false">IF(AND(D50="Congé",F50="Congé"),0.333333333333333,IF(OR(AND(D50="Congé",F50&lt;&gt;"Congé"),(AND(F50="Congé",D50&lt;&gt;"Congé"))),0.166666666666667,""))</f>
        <v/>
      </c>
      <c r="AC50" s="8" t="str">
        <f aca="false">IF(AND(D50="Congé sans solde",F50="Congé sans solde"),0.333333333333333,IF(OR(AND(D50="Congé sans solde",F50&lt;&gt;"Congé sans solde"),(AND(F50="Congé sans solde",D50&lt;&gt;"Congé sans solde"))),0.166666666666667,""))</f>
        <v/>
      </c>
      <c r="AD50" s="8" t="str">
        <f aca="false">IF(AND(D50="Congé spécial",F50="Congé spécial"),0.333333333333333,IF(OR(AND(D50="Congé spécial",F50&lt;&gt;"Congé spécial"),AND(F50="Congé spécial",D50&lt;&gt;"Congé spécial")),0.166666666666667,""))</f>
        <v/>
      </c>
      <c r="AE50" s="8" t="str">
        <f aca="false">IF(AND(D50="Férié",F50="Férié"),0.333333333333333,IF(OR(AND(D50="Férié",F50&lt;&gt;"Férié"),(AND(F50="Férié",D50&lt;&gt;"Férié"))),0.166666666666667,""))</f>
        <v/>
      </c>
      <c r="AF50" s="18"/>
      <c r="AG50" s="18"/>
    </row>
    <row r="51" customFormat="false" ht="15" hidden="false" customHeight="false" outlineLevel="0" collapsed="false">
      <c r="A51" s="6" t="str">
        <f aca="false">YEAR(Q51-WEEKDAY(Q51,2)+4)&amp;"-S"&amp;TEXT(WEEKNUM(Q51,21),"00")</f>
        <v>2025-S49</v>
      </c>
      <c r="B51" s="18" t="s">
        <v>71</v>
      </c>
      <c r="C51" s="19" t="n">
        <v>0.333333333333333</v>
      </c>
      <c r="D51" s="19" t="n">
        <v>0.333333333333333</v>
      </c>
      <c r="E51" s="19" t="n">
        <v>0.75</v>
      </c>
      <c r="F51" s="19" t="n">
        <v>0.75</v>
      </c>
      <c r="G51" s="20"/>
      <c r="H51" s="20"/>
      <c r="I51" s="8" t="str">
        <f aca="false">IF(IF(OR(C51="",D51="Congé",D51="OFF",D51="Congé spécial"),"",IF(D51&gt;F51,D51-C51,IF(C51-D51&lt;0,0,C51-D51)))&lt;0.00068287037037037,"",IF(OR(D51="Congé",D51="OFF",C51="",D51="Congé spécial"),"",IF(D51&gt;F51,D51-C51,IF(C51-D51&lt;0,0,C51-D51))))</f>
        <v/>
      </c>
      <c r="J51" s="20"/>
      <c r="K51" s="8" t="n">
        <f aca="false">IF(SUM(H51:J51)&lt;0.00068287037037037,0,SUM(H51:J51))</f>
        <v>0</v>
      </c>
      <c r="L51" s="8" t="n">
        <f aca="false">IF(OR(F51="Congé",F51="OFF",M51="Abs",F51="Congé sans solde",F51="Férié",F51="Congé spécial",D51="Congé spécial"),0,IF(F51-E51&lt;0,0,IF(F51-E51&lt;=0.00068287037037037,0,F51-E51)))</f>
        <v>0</v>
      </c>
      <c r="M51" s="6" t="n">
        <f aca="false">IF(AND(O51&lt;&gt;0,C51=""),"Abs",0)</f>
        <v>0</v>
      </c>
      <c r="N51" s="8" t="n">
        <f aca="false">IFERROR(IF(OR(D51="OFF",D51="Congé",M51="Abs",D51="Congé sans solde",D51="Férié"),"",IF(O51-K51-L51&gt;O51,O51,IF(O51-K51-L51&lt;0,"",O51-K51-L51))),"")</f>
        <v>0.375</v>
      </c>
      <c r="O51" s="8" t="n">
        <f aca="false">IF(AG51="2H Pause déjeuner",IF(F51-D51-0.0833333333333333&lt;0,F51-D51-0.0833333333333333+1,F51-D51-0.0833333333333333),IF(OR(AND(F51="OFF",D51="OFF"),AND(F51="Congé",D51="Congé"),AND(F51="Congé sans solde",D51="Congé sans solde"),AND(F51="Congé spécial",D51="Congé spécial"),AND(F51="Férié",D51="Férié"),AND(F51="OFF",D51="Congé"),AND(F51="OFF",D51="Congé sans solde"),AND(F51="OFF",D51="Congé spécial"),AND(F51="OFF",D51="Férié"),AND(F51="Congé",D51="OFF"),AND(F51="Congé",D51="Congé sans solde"),AND(F51="Congé",D51="Congé spécial"),AND(F51="Congé",D51="Férié"),AND(F51="Congé sans solde",D51="OFF"),AND(F51="Congé sans solde",D51="Congé"),AND(F51="Congé sans solde",D51="Congé spécial"),AND(F51="Congé sans solde",D51="Férié"),AND(F51="Congé spécial",D51="OFF"),AND(F51="Congé spécial",D51="Congé"),AND(F51="Congé spécial",D51="Congé sans solde"),AND(F51="Congé spécial",D51="Férié"),AND(F51="Férié",D51="OFF"),AND(F51="Férié",D51="Congé"),AND(F51="Férié",D51="Congé sans solde"),AND(F51="Férié",D51="Congé spécial")),0,IF(OR(F51="OFF",F51="Congé",F51="Congé spécial",F51="Congé sans solde",D51="OFF",D51="Congé",D51="Congé spécial",D51="Congé sans solde"),0.208333333333334,IF(AND(AG51="",F51-D51&lt;0),("24:00:00"-D51)+("00:00:00"+F51)-0.0416666666666667,IF(AND(OR(AG51="Allaitement",AG51="Sans déjeuner"),F51-D51&lt;0),("24:00:00"-D51)+("00:00:00"+F51),IF(AND(AG51="",F51-D51&gt;0.166666666666667),F51-D51-0.0416666666666667,IF(AND(OR(AG51="Allaitement",AG51="Sans déjeuner"),F51-D51&gt;0.166666666666667),F51-D51,F51-D51)))))))</f>
        <v>0.375</v>
      </c>
      <c r="P51" s="6" t="str">
        <f aca="false">IFERROR(VLOOKUP($B51,Agents!$A:$D,2,0),"-")</f>
        <v>Accessibilité</v>
      </c>
      <c r="Q51" s="21" t="n">
        <v>45994</v>
      </c>
      <c r="R51" s="8" t="n">
        <f aca="false">IF(M51="Abs",O51,0)</f>
        <v>0</v>
      </c>
      <c r="S51" s="8" t="n">
        <f aca="false">SUM(R51,L51,I51,J51,W51,H51)</f>
        <v>0</v>
      </c>
      <c r="T51" s="6" t="str">
        <f aca="false">"Sem - "&amp;WEEKNUM(Q51,21)</f>
        <v>Sem - 49</v>
      </c>
      <c r="U51" s="6" t="str">
        <f aca="false">CHOOSE(MONTH(Q51),"Janvier","Février","Mars","Avril","Mai","Juin","Juillet","Août","Septembre","Octobre","Novembre","Décembre")</f>
        <v>Décembre</v>
      </c>
      <c r="V51" s="22" t="n">
        <f aca="false">YEAR(Q51)</f>
        <v>2025</v>
      </c>
      <c r="W51" s="20"/>
      <c r="X51" s="8" t="n">
        <f aca="false">IFERROR(IF(M51="Abs",0,IF(ROUND((D51-C51+E51-F51)*1440,0)&lt;=1,0,D51-C51+E51-F51)),0)</f>
        <v>0</v>
      </c>
      <c r="Y51" s="6" t="str">
        <f aca="false">IFERROR(VLOOKUP($B51,Agents!$A:$D,3,0),"-")</f>
        <v>OUBRAHIM Mohammed</v>
      </c>
      <c r="Z51" s="6" t="str">
        <f aca="false">IFERROR(VLOOKUP($B51,Agents!$A:$D,4,0),"-")</f>
        <v>Credit Mutuel</v>
      </c>
      <c r="AA51" s="18" t="s">
        <v>76</v>
      </c>
      <c r="AB51" s="8" t="str">
        <f aca="false">IF(AND(D51="Congé",F51="Congé"),0.333333333333333,IF(OR(AND(D51="Congé",F51&lt;&gt;"Congé"),(AND(F51="Congé",D51&lt;&gt;"Congé"))),0.166666666666667,""))</f>
        <v/>
      </c>
      <c r="AC51" s="8" t="str">
        <f aca="false">IF(AND(D51="Congé sans solde",F51="Congé sans solde"),0.333333333333333,IF(OR(AND(D51="Congé sans solde",F51&lt;&gt;"Congé sans solde"),(AND(F51="Congé sans solde",D51&lt;&gt;"Congé sans solde"))),0.166666666666667,""))</f>
        <v/>
      </c>
      <c r="AD51" s="8" t="str">
        <f aca="false">IF(AND(D51="Congé spécial",F51="Congé spécial"),0.333333333333333,IF(OR(AND(D51="Congé spécial",F51&lt;&gt;"Congé spécial"),AND(F51="Congé spécial",D51&lt;&gt;"Congé spécial")),0.166666666666667,""))</f>
        <v/>
      </c>
      <c r="AE51" s="8" t="str">
        <f aca="false">IF(AND(D51="Férié",F51="Férié"),0.333333333333333,IF(OR(AND(D51="Férié",F51&lt;&gt;"Férié"),(AND(F51="Férié",D51&lt;&gt;"Férié"))),0.166666666666667,""))</f>
        <v/>
      </c>
      <c r="AF51" s="18"/>
      <c r="AG51" s="18"/>
    </row>
    <row r="52" customFormat="false" ht="15" hidden="false" customHeight="false" outlineLevel="0" collapsed="false">
      <c r="A52" s="6" t="str">
        <f aca="false">YEAR(Q52-WEEKDAY(Q52,2)+4)&amp;"-S"&amp;TEXT(WEEKNUM(Q52,21),"00")</f>
        <v>2025-S49</v>
      </c>
      <c r="B52" s="18" t="s">
        <v>72</v>
      </c>
      <c r="C52" s="19" t="n">
        <v>0.332638888888889</v>
      </c>
      <c r="D52" s="19" t="n">
        <v>0.333333333333333</v>
      </c>
      <c r="E52" s="19" t="n">
        <v>0.75</v>
      </c>
      <c r="F52" s="19" t="n">
        <v>0.75</v>
      </c>
      <c r="G52" s="20"/>
      <c r="H52" s="20"/>
      <c r="I52" s="8" t="str">
        <f aca="false">IF(IF(OR(C52="",D52="Congé",D52="OFF",D52="Congé spécial"),"",IF(D52&gt;F52,D52-C52,IF(C52-D52&lt;0,0,C52-D52)))&lt;0.00068287037037037,"",IF(OR(D52="Congé",D52="OFF",C52="",D52="Congé spécial"),"",IF(D52&gt;F52,D52-C52,IF(C52-D52&lt;0,0,C52-D52))))</f>
        <v/>
      </c>
      <c r="J52" s="20"/>
      <c r="K52" s="8" t="n">
        <f aca="false">IF(SUM(H52:J52)&lt;0.00068287037037037,0,SUM(H52:J52))</f>
        <v>0</v>
      </c>
      <c r="L52" s="8" t="n">
        <f aca="false">IF(OR(F52="Congé",F52="OFF",M52="Abs",F52="Congé sans solde",F52="Férié",F52="Congé spécial",D52="Congé spécial"),0,IF(F52-E52&lt;0,0,IF(F52-E52&lt;=0.00068287037037037,0,F52-E52)))</f>
        <v>0</v>
      </c>
      <c r="M52" s="6" t="n">
        <f aca="false">IF(AND(O52&lt;&gt;0,C52=""),"Abs",0)</f>
        <v>0</v>
      </c>
      <c r="N52" s="8" t="n">
        <f aca="false">IFERROR(IF(OR(D52="OFF",D52="Congé",M52="Abs",D52="Congé sans solde",D52="Férié"),"",IF(O52-K52-L52&gt;O52,O52,IF(O52-K52-L52&lt;0,"",O52-K52-L52))),"")</f>
        <v>0.375</v>
      </c>
      <c r="O52" s="8" t="n">
        <f aca="false">IF(AG52="2H Pause déjeuner",IF(F52-D52-0.0833333333333333&lt;0,F52-D52-0.0833333333333333+1,F52-D52-0.0833333333333333),IF(OR(AND(F52="OFF",D52="OFF"),AND(F52="Congé",D52="Congé"),AND(F52="Congé sans solde",D52="Congé sans solde"),AND(F52="Congé spécial",D52="Congé spécial"),AND(F52="Férié",D52="Férié"),AND(F52="OFF",D52="Congé"),AND(F52="OFF",D52="Congé sans solde"),AND(F52="OFF",D52="Congé spécial"),AND(F52="OFF",D52="Férié"),AND(F52="Congé",D52="OFF"),AND(F52="Congé",D52="Congé sans solde"),AND(F52="Congé",D52="Congé spécial"),AND(F52="Congé",D52="Férié"),AND(F52="Congé sans solde",D52="OFF"),AND(F52="Congé sans solde",D52="Congé"),AND(F52="Congé sans solde",D52="Congé spécial"),AND(F52="Congé sans solde",D52="Férié"),AND(F52="Congé spécial",D52="OFF"),AND(F52="Congé spécial",D52="Congé"),AND(F52="Congé spécial",D52="Congé sans solde"),AND(F52="Congé spécial",D52="Férié"),AND(F52="Férié",D52="OFF"),AND(F52="Férié",D52="Congé"),AND(F52="Férié",D52="Congé sans solde"),AND(F52="Férié",D52="Congé spécial")),0,IF(OR(F52="OFF",F52="Congé",F52="Congé spécial",F52="Congé sans solde",D52="OFF",D52="Congé",D52="Congé spécial",D52="Congé sans solde"),0.208333333333334,IF(AND(AG52="",F52-D52&lt;0),("24:00:00"-D52)+("00:00:00"+F52)-0.0416666666666667,IF(AND(OR(AG52="Allaitement",AG52="Sans déjeuner"),F52-D52&lt;0),("24:00:00"-D52)+("00:00:00"+F52),IF(AND(AG52="",F52-D52&gt;0.166666666666667),F52-D52-0.0416666666666667,IF(AND(OR(AG52="Allaitement",AG52="Sans déjeuner"),F52-D52&gt;0.166666666666667),F52-D52,F52-D52)))))))</f>
        <v>0.375</v>
      </c>
      <c r="P52" s="6" t="str">
        <f aca="false">IFERROR(VLOOKUP($B52,Agents!$A:$D,2,0),"-")</f>
        <v>Accessibilité</v>
      </c>
      <c r="Q52" s="21" t="n">
        <v>45994</v>
      </c>
      <c r="R52" s="8" t="n">
        <f aca="false">IF(M52="Abs",O52,0)</f>
        <v>0</v>
      </c>
      <c r="S52" s="8" t="n">
        <f aca="false">SUM(R52,L52,I52,J52,W52,H52)</f>
        <v>0</v>
      </c>
      <c r="T52" s="6" t="str">
        <f aca="false">"Sem - "&amp;WEEKNUM(Q52,21)</f>
        <v>Sem - 49</v>
      </c>
      <c r="U52" s="6" t="str">
        <f aca="false">CHOOSE(MONTH(Q52),"Janvier","Février","Mars","Avril","Mai","Juin","Juillet","Août","Septembre","Octobre","Novembre","Décembre")</f>
        <v>Décembre</v>
      </c>
      <c r="V52" s="22" t="n">
        <f aca="false">YEAR(Q52)</f>
        <v>2025</v>
      </c>
      <c r="W52" s="20"/>
      <c r="X52" s="8" t="n">
        <f aca="false">IFERROR(IF(M52="Abs",0,IF(ROUND((D52-C52+E52-F52)*1440,0)&lt;=1,0,D52-C52+E52-F52)),0)</f>
        <v>0</v>
      </c>
      <c r="Y52" s="6" t="str">
        <f aca="false">IFERROR(VLOOKUP($B52,Agents!$A:$D,3,0),"-")</f>
        <v>OUBRAHIM Mohammed</v>
      </c>
      <c r="Z52" s="6" t="str">
        <f aca="false">IFERROR(VLOOKUP($B52,Agents!$A:$D,4,0),"-")</f>
        <v>Credit Mutuel</v>
      </c>
      <c r="AA52" s="18" t="s">
        <v>76</v>
      </c>
      <c r="AB52" s="8" t="str">
        <f aca="false">IF(AND(D52="Congé",F52="Congé"),0.333333333333333,IF(OR(AND(D52="Congé",F52&lt;&gt;"Congé"),(AND(F52="Congé",D52&lt;&gt;"Congé"))),0.166666666666667,""))</f>
        <v/>
      </c>
      <c r="AC52" s="8" t="str">
        <f aca="false">IF(AND(D52="Congé sans solde",F52="Congé sans solde"),0.333333333333333,IF(OR(AND(D52="Congé sans solde",F52&lt;&gt;"Congé sans solde"),(AND(F52="Congé sans solde",D52&lt;&gt;"Congé sans solde"))),0.166666666666667,""))</f>
        <v/>
      </c>
      <c r="AD52" s="8" t="str">
        <f aca="false">IF(AND(D52="Congé spécial",F52="Congé spécial"),0.333333333333333,IF(OR(AND(D52="Congé spécial",F52&lt;&gt;"Congé spécial"),AND(F52="Congé spécial",D52&lt;&gt;"Congé spécial")),0.166666666666667,""))</f>
        <v/>
      </c>
      <c r="AE52" s="8" t="str">
        <f aca="false">IF(AND(D52="Férié",F52="Férié"),0.333333333333333,IF(OR(AND(D52="Férié",F52&lt;&gt;"Férié"),(AND(F52="Férié",D52&lt;&gt;"Férié"))),0.166666666666667,""))</f>
        <v/>
      </c>
      <c r="AF52" s="18"/>
      <c r="AG52" s="18"/>
    </row>
    <row r="53" customFormat="false" ht="15" hidden="false" customHeight="false" outlineLevel="0" collapsed="false">
      <c r="A53" s="6" t="str">
        <f aca="false">YEAR(Q53-WEEKDAY(Q53,2)+4)&amp;"-S"&amp;TEXT(WEEKNUM(Q53,21),"00")</f>
        <v>2025-S49</v>
      </c>
      <c r="B53" s="18" t="s">
        <v>73</v>
      </c>
      <c r="C53" s="19" t="n">
        <v>0.331944444444444</v>
      </c>
      <c r="D53" s="19" t="n">
        <v>0.333333333333333</v>
      </c>
      <c r="E53" s="19" t="n">
        <v>0.75</v>
      </c>
      <c r="F53" s="19" t="n">
        <v>0.75</v>
      </c>
      <c r="G53" s="20"/>
      <c r="H53" s="20"/>
      <c r="I53" s="8" t="str">
        <f aca="false">IF(IF(OR(C53="",D53="Congé",D53="OFF",D53="Congé spécial"),"",IF(D53&gt;F53,D53-C53,IF(C53-D53&lt;0,0,C53-D53)))&lt;0.00068287037037037,"",IF(OR(D53="Congé",D53="OFF",C53="",D53="Congé spécial"),"",IF(D53&gt;F53,D53-C53,IF(C53-D53&lt;0,0,C53-D53))))</f>
        <v/>
      </c>
      <c r="J53" s="20"/>
      <c r="K53" s="8" t="n">
        <f aca="false">IF(SUM(H53:J53)&lt;0.00068287037037037,0,SUM(H53:J53))</f>
        <v>0</v>
      </c>
      <c r="L53" s="8" t="n">
        <f aca="false">IF(OR(F53="Congé",F53="OFF",M53="Abs",F53="Congé sans solde",F53="Férié",F53="Congé spécial",D53="Congé spécial"),0,IF(F53-E53&lt;0,0,IF(F53-E53&lt;=0.00068287037037037,0,F53-E53)))</f>
        <v>0</v>
      </c>
      <c r="M53" s="6" t="n">
        <f aca="false">IF(AND(O53&lt;&gt;0,C53=""),"Abs",0)</f>
        <v>0</v>
      </c>
      <c r="N53" s="8" t="n">
        <f aca="false">IFERROR(IF(OR(D53="OFF",D53="Congé",M53="Abs",D53="Congé sans solde",D53="Férié"),"",IF(O53-K53-L53&gt;O53,O53,IF(O53-K53-L53&lt;0,"",O53-K53-L53))),"")</f>
        <v>0.375</v>
      </c>
      <c r="O53" s="8" t="n">
        <f aca="false">IF(AG53="2H Pause déjeuner",IF(F53-D53-0.0833333333333333&lt;0,F53-D53-0.0833333333333333+1,F53-D53-0.0833333333333333),IF(OR(AND(F53="OFF",D53="OFF"),AND(F53="Congé",D53="Congé"),AND(F53="Congé sans solde",D53="Congé sans solde"),AND(F53="Congé spécial",D53="Congé spécial"),AND(F53="Férié",D53="Férié"),AND(F53="OFF",D53="Congé"),AND(F53="OFF",D53="Congé sans solde"),AND(F53="OFF",D53="Congé spécial"),AND(F53="OFF",D53="Férié"),AND(F53="Congé",D53="OFF"),AND(F53="Congé",D53="Congé sans solde"),AND(F53="Congé",D53="Congé spécial"),AND(F53="Congé",D53="Férié"),AND(F53="Congé sans solde",D53="OFF"),AND(F53="Congé sans solde",D53="Congé"),AND(F53="Congé sans solde",D53="Congé spécial"),AND(F53="Congé sans solde",D53="Férié"),AND(F53="Congé spécial",D53="OFF"),AND(F53="Congé spécial",D53="Congé"),AND(F53="Congé spécial",D53="Congé sans solde"),AND(F53="Congé spécial",D53="Férié"),AND(F53="Férié",D53="OFF"),AND(F53="Férié",D53="Congé"),AND(F53="Férié",D53="Congé sans solde"),AND(F53="Férié",D53="Congé spécial")),0,IF(OR(F53="OFF",F53="Congé",F53="Congé spécial",F53="Congé sans solde",D53="OFF",D53="Congé",D53="Congé spécial",D53="Congé sans solde"),0.208333333333334,IF(AND(AG53="",F53-D53&lt;0),("24:00:00"-D53)+("00:00:00"+F53)-0.0416666666666667,IF(AND(OR(AG53="Allaitement",AG53="Sans déjeuner"),F53-D53&lt;0),("24:00:00"-D53)+("00:00:00"+F53),IF(AND(AG53="",F53-D53&gt;0.166666666666667),F53-D53-0.0416666666666667,IF(AND(OR(AG53="Allaitement",AG53="Sans déjeuner"),F53-D53&gt;0.166666666666667),F53-D53,F53-D53)))))))</f>
        <v>0.375</v>
      </c>
      <c r="P53" s="6" t="str">
        <f aca="false">IFERROR(VLOOKUP($B53,Agents!$A:$D,2,0),"-")</f>
        <v>Accessibilité</v>
      </c>
      <c r="Q53" s="21" t="n">
        <v>45994</v>
      </c>
      <c r="R53" s="8" t="n">
        <f aca="false">IF(M53="Abs",O53,0)</f>
        <v>0</v>
      </c>
      <c r="S53" s="8" t="n">
        <f aca="false">SUM(R53,L53,I53,J53,W53,H53)</f>
        <v>0</v>
      </c>
      <c r="T53" s="6" t="str">
        <f aca="false">"Sem - "&amp;WEEKNUM(Q53,21)</f>
        <v>Sem - 49</v>
      </c>
      <c r="U53" s="6" t="str">
        <f aca="false">CHOOSE(MONTH(Q53),"Janvier","Février","Mars","Avril","Mai","Juin","Juillet","Août","Septembre","Octobre","Novembre","Décembre")</f>
        <v>Décembre</v>
      </c>
      <c r="V53" s="22" t="n">
        <f aca="false">YEAR(Q53)</f>
        <v>2025</v>
      </c>
      <c r="W53" s="20"/>
      <c r="X53" s="8" t="n">
        <f aca="false">IFERROR(IF(M53="Abs",0,IF(ROUND((D53-C53+E53-F53)*1440,0)&lt;=1,0,D53-C53+E53-F53)),0)</f>
        <v>0.00138888888888889</v>
      </c>
      <c r="Y53" s="6" t="str">
        <f aca="false">IFERROR(VLOOKUP($B53,Agents!$A:$D,3,0),"-")</f>
        <v>OUBRAHIM Mohammed</v>
      </c>
      <c r="Z53" s="6" t="str">
        <f aca="false">IFERROR(VLOOKUP($B53,Agents!$A:$D,4,0),"-")</f>
        <v>Credit Mutuel</v>
      </c>
      <c r="AA53" s="18" t="s">
        <v>76</v>
      </c>
      <c r="AB53" s="8" t="str">
        <f aca="false">IF(AND(D53="Congé",F53="Congé"),0.333333333333333,IF(OR(AND(D53="Congé",F53&lt;&gt;"Congé"),(AND(F53="Congé",D53&lt;&gt;"Congé"))),0.166666666666667,""))</f>
        <v/>
      </c>
      <c r="AC53" s="8" t="str">
        <f aca="false">IF(AND(D53="Congé sans solde",F53="Congé sans solde"),0.333333333333333,IF(OR(AND(D53="Congé sans solde",F53&lt;&gt;"Congé sans solde"),(AND(F53="Congé sans solde",D53&lt;&gt;"Congé sans solde"))),0.166666666666667,""))</f>
        <v/>
      </c>
      <c r="AD53" s="8" t="str">
        <f aca="false">IF(AND(D53="Congé spécial",F53="Congé spécial"),0.333333333333333,IF(OR(AND(D53="Congé spécial",F53&lt;&gt;"Congé spécial"),AND(F53="Congé spécial",D53&lt;&gt;"Congé spécial")),0.166666666666667,""))</f>
        <v/>
      </c>
      <c r="AE53" s="8" t="str">
        <f aca="false">IF(AND(D53="Férié",F53="Férié"),0.333333333333333,IF(OR(AND(D53="Férié",F53&lt;&gt;"Férié"),(AND(F53="Férié",D53&lt;&gt;"Férié"))),0.166666666666667,""))</f>
        <v/>
      </c>
      <c r="AF53" s="18"/>
      <c r="AG53" s="18"/>
    </row>
    <row r="54" customFormat="false" ht="15" hidden="false" customHeight="false" outlineLevel="0" collapsed="false">
      <c r="A54" s="6" t="str">
        <f aca="false">YEAR(Q54-WEEKDAY(Q54,2)+4)&amp;"-S"&amp;TEXT(WEEKNUM(Q54,21),"00")</f>
        <v>2025-S49</v>
      </c>
      <c r="B54" s="18" t="s">
        <v>69</v>
      </c>
      <c r="C54" s="19" t="n">
        <v>0.333333333333333</v>
      </c>
      <c r="D54" s="19" t="n">
        <v>0.333333333333333</v>
      </c>
      <c r="E54" s="19" t="n">
        <v>0.75</v>
      </c>
      <c r="F54" s="19" t="n">
        <v>0.75</v>
      </c>
      <c r="G54" s="20"/>
      <c r="H54" s="20"/>
      <c r="I54" s="8" t="str">
        <f aca="false">IF(IF(OR(C54="",D54="Congé",D54="OFF",D54="Congé spécial"),"",IF(D54&gt;F54,D54-C54,IF(C54-D54&lt;0,0,C54-D54)))&lt;0.00068287037037037,"",IF(OR(D54="Congé",D54="OFF",C54="",D54="Congé spécial"),"",IF(D54&gt;F54,D54-C54,IF(C54-D54&lt;0,0,C54-D54))))</f>
        <v/>
      </c>
      <c r="J54" s="20"/>
      <c r="K54" s="8" t="n">
        <f aca="false">IF(SUM(H54:J54)&lt;0.00068287037037037,0,SUM(H54:J54))</f>
        <v>0</v>
      </c>
      <c r="L54" s="8" t="n">
        <f aca="false">IF(OR(F54="Congé",F54="OFF",M54="Abs",F54="Congé sans solde",F54="Férié",F54="Congé spécial",D54="Congé spécial"),0,IF(F54-E54&lt;0,0,IF(F54-E54&lt;=0.00068287037037037,0,F54-E54)))</f>
        <v>0</v>
      </c>
      <c r="M54" s="6" t="n">
        <f aca="false">IF(AND(O54&lt;&gt;0,C54=""),"Abs",0)</f>
        <v>0</v>
      </c>
      <c r="N54" s="8" t="n">
        <f aca="false">IFERROR(IF(OR(D54="OFF",D54="Congé",M54="Abs",D54="Congé sans solde",D54="Férié"),"",IF(O54-K54-L54&gt;O54,O54,IF(O54-K54-L54&lt;0,"",O54-K54-L54))),"")</f>
        <v>0.375</v>
      </c>
      <c r="O54" s="8" t="n">
        <f aca="false">IF(AG54="2H Pause déjeuner",IF(F54-D54-0.0833333333333333&lt;0,F54-D54-0.0833333333333333+1,F54-D54-0.0833333333333333),IF(OR(AND(F54="OFF",D54="OFF"),AND(F54="Congé",D54="Congé"),AND(F54="Congé sans solde",D54="Congé sans solde"),AND(F54="Congé spécial",D54="Congé spécial"),AND(F54="Férié",D54="Férié"),AND(F54="OFF",D54="Congé"),AND(F54="OFF",D54="Congé sans solde"),AND(F54="OFF",D54="Congé spécial"),AND(F54="OFF",D54="Férié"),AND(F54="Congé",D54="OFF"),AND(F54="Congé",D54="Congé sans solde"),AND(F54="Congé",D54="Congé spécial"),AND(F54="Congé",D54="Férié"),AND(F54="Congé sans solde",D54="OFF"),AND(F54="Congé sans solde",D54="Congé"),AND(F54="Congé sans solde",D54="Congé spécial"),AND(F54="Congé sans solde",D54="Férié"),AND(F54="Congé spécial",D54="OFF"),AND(F54="Congé spécial",D54="Congé"),AND(F54="Congé spécial",D54="Congé sans solde"),AND(F54="Congé spécial",D54="Férié"),AND(F54="Férié",D54="OFF"),AND(F54="Férié",D54="Congé"),AND(F54="Férié",D54="Congé sans solde"),AND(F54="Férié",D54="Congé spécial")),0,IF(OR(F54="OFF",F54="Congé",F54="Congé spécial",F54="Congé sans solde",D54="OFF",D54="Congé",D54="Congé spécial",D54="Congé sans solde"),0.208333333333334,IF(AND(AG54="",F54-D54&lt;0),("24:00:00"-D54)+("00:00:00"+F54)-0.0416666666666667,IF(AND(OR(AG54="Allaitement",AG54="Sans déjeuner"),F54-D54&lt;0),("24:00:00"-D54)+("00:00:00"+F54),IF(AND(AG54="",F54-D54&gt;0.166666666666667),F54-D54-0.0416666666666667,IF(AND(OR(AG54="Allaitement",AG54="Sans déjeuner"),F54-D54&gt;0.166666666666667),F54-D54,F54-D54)))))))</f>
        <v>0.375</v>
      </c>
      <c r="P54" s="6" t="str">
        <f aca="false">IFERROR(VLOOKUP($B54,Agents!$A:$D,2,0),"-")</f>
        <v>Accessibilité</v>
      </c>
      <c r="Q54" s="21" t="n">
        <v>45995</v>
      </c>
      <c r="R54" s="8" t="n">
        <f aca="false">IF(M54="Abs",O54,0)</f>
        <v>0</v>
      </c>
      <c r="S54" s="8" t="n">
        <f aca="false">SUM(R54,L54,I54,J54,W54,H54)</f>
        <v>0</v>
      </c>
      <c r="T54" s="6" t="str">
        <f aca="false">"Sem - "&amp;WEEKNUM(Q54,21)</f>
        <v>Sem - 49</v>
      </c>
      <c r="U54" s="6" t="str">
        <f aca="false">CHOOSE(MONTH(Q54),"Janvier","Février","Mars","Avril","Mai","Juin","Juillet","Août","Septembre","Octobre","Novembre","Décembre")</f>
        <v>Décembre</v>
      </c>
      <c r="V54" s="22" t="n">
        <f aca="false">YEAR(Q54)</f>
        <v>2025</v>
      </c>
      <c r="W54" s="20"/>
      <c r="X54" s="8" t="n">
        <f aca="false">IFERROR(IF(M54="Abs",0,IF(ROUND((D54-C54+E54-F54)*1440,0)&lt;=1,0,D54-C54+E54-F54)),0)</f>
        <v>0</v>
      </c>
      <c r="Y54" s="6" t="str">
        <f aca="false">IFERROR(VLOOKUP($B54,Agents!$A:$D,3,0),"-")</f>
        <v>OUBRAHIM Mohammed</v>
      </c>
      <c r="Z54" s="6" t="str">
        <f aca="false">IFERROR(VLOOKUP($B54,Agents!$A:$D,4,0),"-")</f>
        <v>Credit Mutuel</v>
      </c>
      <c r="AA54" s="18" t="s">
        <v>76</v>
      </c>
      <c r="AB54" s="8" t="str">
        <f aca="false">IF(AND(D54="Congé",F54="Congé"),0.333333333333333,IF(OR(AND(D54="Congé",F54&lt;&gt;"Congé"),(AND(F54="Congé",D54&lt;&gt;"Congé"))),0.166666666666667,""))</f>
        <v/>
      </c>
      <c r="AC54" s="8" t="str">
        <f aca="false">IF(AND(D54="Congé sans solde",F54="Congé sans solde"),0.333333333333333,IF(OR(AND(D54="Congé sans solde",F54&lt;&gt;"Congé sans solde"),(AND(F54="Congé sans solde",D54&lt;&gt;"Congé sans solde"))),0.166666666666667,""))</f>
        <v/>
      </c>
      <c r="AD54" s="8" t="str">
        <f aca="false">IF(AND(D54="Congé spécial",F54="Congé spécial"),0.333333333333333,IF(OR(AND(D54="Congé spécial",F54&lt;&gt;"Congé spécial"),AND(F54="Congé spécial",D54&lt;&gt;"Congé spécial")),0.166666666666667,""))</f>
        <v/>
      </c>
      <c r="AE54" s="8" t="str">
        <f aca="false">IF(AND(D54="Férié",F54="Férié"),0.333333333333333,IF(OR(AND(D54="Férié",F54&lt;&gt;"Férié"),(AND(F54="Férié",D54&lt;&gt;"Férié"))),0.166666666666667,""))</f>
        <v/>
      </c>
      <c r="AF54" s="18"/>
      <c r="AG54" s="18"/>
    </row>
    <row r="55" customFormat="false" ht="15" hidden="false" customHeight="false" outlineLevel="0" collapsed="false">
      <c r="A55" s="6" t="str">
        <f aca="false">YEAR(Q55-WEEKDAY(Q55,2)+4)&amp;"-S"&amp;TEXT(WEEKNUM(Q55,21),"00")</f>
        <v>2025-S49</v>
      </c>
      <c r="B55" s="18" t="s">
        <v>71</v>
      </c>
      <c r="C55" s="19" t="n">
        <v>0.333333333333333</v>
      </c>
      <c r="D55" s="19" t="n">
        <v>0.333333333333333</v>
      </c>
      <c r="E55" s="19" t="n">
        <v>0.75</v>
      </c>
      <c r="F55" s="19" t="n">
        <v>0.75</v>
      </c>
      <c r="G55" s="20"/>
      <c r="H55" s="20"/>
      <c r="I55" s="8" t="str">
        <f aca="false">IF(IF(OR(C55="",D55="Congé",D55="OFF",D55="Congé spécial"),"",IF(D55&gt;F55,D55-C55,IF(C55-D55&lt;0,0,C55-D55)))&lt;0.00068287037037037,"",IF(OR(D55="Congé",D55="OFF",C55="",D55="Congé spécial"),"",IF(D55&gt;F55,D55-C55,IF(C55-D55&lt;0,0,C55-D55))))</f>
        <v/>
      </c>
      <c r="J55" s="20"/>
      <c r="K55" s="8" t="n">
        <f aca="false">IF(SUM(H55:J55)&lt;0.00068287037037037,0,SUM(H55:J55))</f>
        <v>0</v>
      </c>
      <c r="L55" s="8" t="n">
        <f aca="false">IF(OR(F55="Congé",F55="OFF",M55="Abs",F55="Congé sans solde",F55="Férié",F55="Congé spécial",D55="Congé spécial"),0,IF(F55-E55&lt;0,0,IF(F55-E55&lt;=0.00068287037037037,0,F55-E55)))</f>
        <v>0</v>
      </c>
      <c r="M55" s="6" t="n">
        <f aca="false">IF(AND(O55&lt;&gt;0,C55=""),"Abs",0)</f>
        <v>0</v>
      </c>
      <c r="N55" s="8" t="n">
        <f aca="false">IFERROR(IF(OR(D55="OFF",D55="Congé",M55="Abs",D55="Congé sans solde",D55="Férié"),"",IF(O55-K55-L55&gt;O55,O55,IF(O55-K55-L55&lt;0,"",O55-K55-L55))),"")</f>
        <v>0.375</v>
      </c>
      <c r="O55" s="8" t="n">
        <f aca="false">IF(AG55="2H Pause déjeuner",IF(F55-D55-0.0833333333333333&lt;0,F55-D55-0.0833333333333333+1,F55-D55-0.0833333333333333),IF(OR(AND(F55="OFF",D55="OFF"),AND(F55="Congé",D55="Congé"),AND(F55="Congé sans solde",D55="Congé sans solde"),AND(F55="Congé spécial",D55="Congé spécial"),AND(F55="Férié",D55="Férié"),AND(F55="OFF",D55="Congé"),AND(F55="OFF",D55="Congé sans solde"),AND(F55="OFF",D55="Congé spécial"),AND(F55="OFF",D55="Férié"),AND(F55="Congé",D55="OFF"),AND(F55="Congé",D55="Congé sans solde"),AND(F55="Congé",D55="Congé spécial"),AND(F55="Congé",D55="Férié"),AND(F55="Congé sans solde",D55="OFF"),AND(F55="Congé sans solde",D55="Congé"),AND(F55="Congé sans solde",D55="Congé spécial"),AND(F55="Congé sans solde",D55="Férié"),AND(F55="Congé spécial",D55="OFF"),AND(F55="Congé spécial",D55="Congé"),AND(F55="Congé spécial",D55="Congé sans solde"),AND(F55="Congé spécial",D55="Férié"),AND(F55="Férié",D55="OFF"),AND(F55="Férié",D55="Congé"),AND(F55="Férié",D55="Congé sans solde"),AND(F55="Férié",D55="Congé spécial")),0,IF(OR(F55="OFF",F55="Congé",F55="Congé spécial",F55="Congé sans solde",D55="OFF",D55="Congé",D55="Congé spécial",D55="Congé sans solde"),0.208333333333334,IF(AND(AG55="",F55-D55&lt;0),("24:00:00"-D55)+("00:00:00"+F55)-0.0416666666666667,IF(AND(OR(AG55="Allaitement",AG55="Sans déjeuner"),F55-D55&lt;0),("24:00:00"-D55)+("00:00:00"+F55),IF(AND(AG55="",F55-D55&gt;0.166666666666667),F55-D55-0.0416666666666667,IF(AND(OR(AG55="Allaitement",AG55="Sans déjeuner"),F55-D55&gt;0.166666666666667),F55-D55,F55-D55)))))))</f>
        <v>0.375</v>
      </c>
      <c r="P55" s="6" t="str">
        <f aca="false">IFERROR(VLOOKUP($B55,Agents!$A:$D,2,0),"-")</f>
        <v>Accessibilité</v>
      </c>
      <c r="Q55" s="21" t="n">
        <v>45995</v>
      </c>
      <c r="R55" s="8" t="n">
        <f aca="false">IF(M55="Abs",O55,0)</f>
        <v>0</v>
      </c>
      <c r="S55" s="8" t="n">
        <f aca="false">SUM(R55,L55,I55,J55,W55,H55)</f>
        <v>0</v>
      </c>
      <c r="T55" s="6" t="str">
        <f aca="false">"Sem - "&amp;WEEKNUM(Q55,21)</f>
        <v>Sem - 49</v>
      </c>
      <c r="U55" s="6" t="str">
        <f aca="false">CHOOSE(MONTH(Q55),"Janvier","Février","Mars","Avril","Mai","Juin","Juillet","Août","Septembre","Octobre","Novembre","Décembre")</f>
        <v>Décembre</v>
      </c>
      <c r="V55" s="22" t="n">
        <f aca="false">YEAR(Q55)</f>
        <v>2025</v>
      </c>
      <c r="W55" s="20"/>
      <c r="X55" s="8" t="n">
        <f aca="false">IFERROR(IF(M55="Abs",0,IF(ROUND((D55-C55+E55-F55)*1440,0)&lt;=1,0,D55-C55+E55-F55)),0)</f>
        <v>0</v>
      </c>
      <c r="Y55" s="6" t="str">
        <f aca="false">IFERROR(VLOOKUP($B55,Agents!$A:$D,3,0),"-")</f>
        <v>OUBRAHIM Mohammed</v>
      </c>
      <c r="Z55" s="6" t="str">
        <f aca="false">IFERROR(VLOOKUP($B55,Agents!$A:$D,4,0),"-")</f>
        <v>Credit Mutuel</v>
      </c>
      <c r="AA55" s="18" t="s">
        <v>76</v>
      </c>
      <c r="AB55" s="8" t="str">
        <f aca="false">IF(AND(D55="Congé",F55="Congé"),0.333333333333333,IF(OR(AND(D55="Congé",F55&lt;&gt;"Congé"),(AND(F55="Congé",D55&lt;&gt;"Congé"))),0.166666666666667,""))</f>
        <v/>
      </c>
      <c r="AC55" s="8" t="str">
        <f aca="false">IF(AND(D55="Congé sans solde",F55="Congé sans solde"),0.333333333333333,IF(OR(AND(D55="Congé sans solde",F55&lt;&gt;"Congé sans solde"),(AND(F55="Congé sans solde",D55&lt;&gt;"Congé sans solde"))),0.166666666666667,""))</f>
        <v/>
      </c>
      <c r="AD55" s="8" t="str">
        <f aca="false">IF(AND(D55="Congé spécial",F55="Congé spécial"),0.333333333333333,IF(OR(AND(D55="Congé spécial",F55&lt;&gt;"Congé spécial"),AND(F55="Congé spécial",D55&lt;&gt;"Congé spécial")),0.166666666666667,""))</f>
        <v/>
      </c>
      <c r="AE55" s="8" t="str">
        <f aca="false">IF(AND(D55="Férié",F55="Férié"),0.333333333333333,IF(OR(AND(D55="Férié",F55&lt;&gt;"Férié"),(AND(F55="Férié",D55&lt;&gt;"Férié"))),0.166666666666667,""))</f>
        <v/>
      </c>
      <c r="AF55" s="18"/>
      <c r="AG55" s="18"/>
    </row>
    <row r="56" customFormat="false" ht="15" hidden="false" customHeight="false" outlineLevel="0" collapsed="false">
      <c r="A56" s="6" t="str">
        <f aca="false">YEAR(Q56-WEEKDAY(Q56,2)+4)&amp;"-S"&amp;TEXT(WEEKNUM(Q56,21),"00")</f>
        <v>2025-S49</v>
      </c>
      <c r="B56" s="18" t="s">
        <v>72</v>
      </c>
      <c r="C56" s="19" t="n">
        <v>0.333333333333333</v>
      </c>
      <c r="D56" s="19" t="n">
        <v>0.333333333333333</v>
      </c>
      <c r="E56" s="19" t="n">
        <v>0.75</v>
      </c>
      <c r="F56" s="19" t="n">
        <v>0.75</v>
      </c>
      <c r="G56" s="20"/>
      <c r="H56" s="20"/>
      <c r="I56" s="8" t="str">
        <f aca="false">IF(IF(OR(C56="",D56="Congé",D56="OFF",D56="Congé spécial"),"",IF(D56&gt;F56,D56-C56,IF(C56-D56&lt;0,0,C56-D56)))&lt;0.00068287037037037,"",IF(OR(D56="Congé",D56="OFF",C56="",D56="Congé spécial"),"",IF(D56&gt;F56,D56-C56,IF(C56-D56&lt;0,0,C56-D56))))</f>
        <v/>
      </c>
      <c r="J56" s="20"/>
      <c r="K56" s="8" t="n">
        <f aca="false">IF(SUM(H56:J56)&lt;0.00068287037037037,0,SUM(H56:J56))</f>
        <v>0</v>
      </c>
      <c r="L56" s="8" t="n">
        <f aca="false">IF(OR(F56="Congé",F56="OFF",M56="Abs",F56="Congé sans solde",F56="Férié",F56="Congé spécial",D56="Congé spécial"),0,IF(F56-E56&lt;0,0,IF(F56-E56&lt;=0.00068287037037037,0,F56-E56)))</f>
        <v>0</v>
      </c>
      <c r="M56" s="6" t="n">
        <f aca="false">IF(AND(O56&lt;&gt;0,C56=""),"Abs",0)</f>
        <v>0</v>
      </c>
      <c r="N56" s="8" t="n">
        <f aca="false">IFERROR(IF(OR(D56="OFF",D56="Congé",M56="Abs",D56="Congé sans solde",D56="Férié"),"",IF(O56-K56-L56&gt;O56,O56,IF(O56-K56-L56&lt;0,"",O56-K56-L56))),"")</f>
        <v>0.375</v>
      </c>
      <c r="O56" s="8" t="n">
        <f aca="false">IF(AG56="2H Pause déjeuner",IF(F56-D56-0.0833333333333333&lt;0,F56-D56-0.0833333333333333+1,F56-D56-0.0833333333333333),IF(OR(AND(F56="OFF",D56="OFF"),AND(F56="Congé",D56="Congé"),AND(F56="Congé sans solde",D56="Congé sans solde"),AND(F56="Congé spécial",D56="Congé spécial"),AND(F56="Férié",D56="Férié"),AND(F56="OFF",D56="Congé"),AND(F56="OFF",D56="Congé sans solde"),AND(F56="OFF",D56="Congé spécial"),AND(F56="OFF",D56="Férié"),AND(F56="Congé",D56="OFF"),AND(F56="Congé",D56="Congé sans solde"),AND(F56="Congé",D56="Congé spécial"),AND(F56="Congé",D56="Férié"),AND(F56="Congé sans solde",D56="OFF"),AND(F56="Congé sans solde",D56="Congé"),AND(F56="Congé sans solde",D56="Congé spécial"),AND(F56="Congé sans solde",D56="Férié"),AND(F56="Congé spécial",D56="OFF"),AND(F56="Congé spécial",D56="Congé"),AND(F56="Congé spécial",D56="Congé sans solde"),AND(F56="Congé spécial",D56="Férié"),AND(F56="Férié",D56="OFF"),AND(F56="Férié",D56="Congé"),AND(F56="Férié",D56="Congé sans solde"),AND(F56="Férié",D56="Congé spécial")),0,IF(OR(F56="OFF",F56="Congé",F56="Congé spécial",F56="Congé sans solde",D56="OFF",D56="Congé",D56="Congé spécial",D56="Congé sans solde"),0.208333333333334,IF(AND(AG56="",F56-D56&lt;0),("24:00:00"-D56)+("00:00:00"+F56)-0.0416666666666667,IF(AND(OR(AG56="Allaitement",AG56="Sans déjeuner"),F56-D56&lt;0),("24:00:00"-D56)+("00:00:00"+F56),IF(AND(AG56="",F56-D56&gt;0.166666666666667),F56-D56-0.0416666666666667,IF(AND(OR(AG56="Allaitement",AG56="Sans déjeuner"),F56-D56&gt;0.166666666666667),F56-D56,F56-D56)))))))</f>
        <v>0.375</v>
      </c>
      <c r="P56" s="6" t="str">
        <f aca="false">IFERROR(VLOOKUP($B56,Agents!$A:$D,2,0),"-")</f>
        <v>Accessibilité</v>
      </c>
      <c r="Q56" s="21" t="n">
        <v>45995</v>
      </c>
      <c r="R56" s="8" t="n">
        <f aca="false">IF(M56="Abs",O56,0)</f>
        <v>0</v>
      </c>
      <c r="S56" s="8" t="n">
        <f aca="false">SUM(R56,L56,I56,J56,W56,H56)</f>
        <v>0</v>
      </c>
      <c r="T56" s="6" t="str">
        <f aca="false">"Sem - "&amp;WEEKNUM(Q56,21)</f>
        <v>Sem - 49</v>
      </c>
      <c r="U56" s="6" t="str">
        <f aca="false">CHOOSE(MONTH(Q56),"Janvier","Février","Mars","Avril","Mai","Juin","Juillet","Août","Septembre","Octobre","Novembre","Décembre")</f>
        <v>Décembre</v>
      </c>
      <c r="V56" s="22" t="n">
        <f aca="false">YEAR(Q56)</f>
        <v>2025</v>
      </c>
      <c r="W56" s="20"/>
      <c r="X56" s="8" t="n">
        <f aca="false">IFERROR(IF(M56="Abs",0,IF(ROUND((D56-C56+E56-F56)*1440,0)&lt;=1,0,D56-C56+E56-F56)),0)</f>
        <v>0</v>
      </c>
      <c r="Y56" s="6" t="str">
        <f aca="false">IFERROR(VLOOKUP($B56,Agents!$A:$D,3,0),"-")</f>
        <v>OUBRAHIM Mohammed</v>
      </c>
      <c r="Z56" s="6" t="str">
        <f aca="false">IFERROR(VLOOKUP($B56,Agents!$A:$D,4,0),"-")</f>
        <v>Credit Mutuel</v>
      </c>
      <c r="AA56" s="18" t="s">
        <v>76</v>
      </c>
      <c r="AB56" s="8" t="str">
        <f aca="false">IF(AND(D56="Congé",F56="Congé"),0.333333333333333,IF(OR(AND(D56="Congé",F56&lt;&gt;"Congé"),(AND(F56="Congé",D56&lt;&gt;"Congé"))),0.166666666666667,""))</f>
        <v/>
      </c>
      <c r="AC56" s="8" t="str">
        <f aca="false">IF(AND(D56="Congé sans solde",F56="Congé sans solde"),0.333333333333333,IF(OR(AND(D56="Congé sans solde",F56&lt;&gt;"Congé sans solde"),(AND(F56="Congé sans solde",D56&lt;&gt;"Congé sans solde"))),0.166666666666667,""))</f>
        <v/>
      </c>
      <c r="AD56" s="8" t="str">
        <f aca="false">IF(AND(D56="Congé spécial",F56="Congé spécial"),0.333333333333333,IF(OR(AND(D56="Congé spécial",F56&lt;&gt;"Congé spécial"),AND(F56="Congé spécial",D56&lt;&gt;"Congé spécial")),0.166666666666667,""))</f>
        <v/>
      </c>
      <c r="AE56" s="8" t="str">
        <f aca="false">IF(AND(D56="Férié",F56="Férié"),0.333333333333333,IF(OR(AND(D56="Férié",F56&lt;&gt;"Férié"),(AND(F56="Férié",D56&lt;&gt;"Férié"))),0.166666666666667,""))</f>
        <v/>
      </c>
      <c r="AF56" s="18"/>
      <c r="AG56" s="18"/>
    </row>
    <row r="57" customFormat="false" ht="15" hidden="false" customHeight="false" outlineLevel="0" collapsed="false">
      <c r="A57" s="6" t="str">
        <f aca="false">YEAR(Q57-WEEKDAY(Q57,2)+4)&amp;"-S"&amp;TEXT(WEEKNUM(Q57,21),"00")</f>
        <v>2025-S49</v>
      </c>
      <c r="B57" s="18" t="s">
        <v>73</v>
      </c>
      <c r="C57" s="19" t="n">
        <v>0.333333333333333</v>
      </c>
      <c r="D57" s="19" t="n">
        <v>0.333333333333333</v>
      </c>
      <c r="E57" s="19" t="n">
        <v>0.75</v>
      </c>
      <c r="F57" s="19" t="n">
        <v>0.75</v>
      </c>
      <c r="G57" s="20"/>
      <c r="H57" s="20"/>
      <c r="I57" s="8" t="str">
        <f aca="false">IF(IF(OR(C57="",D57="Congé",D57="OFF",D57="Congé spécial"),"",IF(D57&gt;F57,D57-C57,IF(C57-D57&lt;0,0,C57-D57)))&lt;0.00068287037037037,"",IF(OR(D57="Congé",D57="OFF",C57="",D57="Congé spécial"),"",IF(D57&gt;F57,D57-C57,IF(C57-D57&lt;0,0,C57-D57))))</f>
        <v/>
      </c>
      <c r="J57" s="20"/>
      <c r="K57" s="8" t="n">
        <f aca="false">IF(SUM(H57:J57)&lt;0.00068287037037037,0,SUM(H57:J57))</f>
        <v>0</v>
      </c>
      <c r="L57" s="8" t="n">
        <f aca="false">IF(OR(F57="Congé",F57="OFF",M57="Abs",F57="Congé sans solde",F57="Férié",F57="Congé spécial",D57="Congé spécial"),0,IF(F57-E57&lt;0,0,IF(F57-E57&lt;=0.00068287037037037,0,F57-E57)))</f>
        <v>0</v>
      </c>
      <c r="M57" s="6" t="n">
        <f aca="false">IF(AND(O57&lt;&gt;0,C57=""),"Abs",0)</f>
        <v>0</v>
      </c>
      <c r="N57" s="8" t="n">
        <f aca="false">IFERROR(IF(OR(D57="OFF",D57="Congé",M57="Abs",D57="Congé sans solde",D57="Férié"),"",IF(O57-K57-L57&gt;O57,O57,IF(O57-K57-L57&lt;0,"",O57-K57-L57))),"")</f>
        <v>0.375</v>
      </c>
      <c r="O57" s="8" t="n">
        <f aca="false">IF(AG57="2H Pause déjeuner",IF(F57-D57-0.0833333333333333&lt;0,F57-D57-0.0833333333333333+1,F57-D57-0.0833333333333333),IF(OR(AND(F57="OFF",D57="OFF"),AND(F57="Congé",D57="Congé"),AND(F57="Congé sans solde",D57="Congé sans solde"),AND(F57="Congé spécial",D57="Congé spécial"),AND(F57="Férié",D57="Férié"),AND(F57="OFF",D57="Congé"),AND(F57="OFF",D57="Congé sans solde"),AND(F57="OFF",D57="Congé spécial"),AND(F57="OFF",D57="Férié"),AND(F57="Congé",D57="OFF"),AND(F57="Congé",D57="Congé sans solde"),AND(F57="Congé",D57="Congé spécial"),AND(F57="Congé",D57="Férié"),AND(F57="Congé sans solde",D57="OFF"),AND(F57="Congé sans solde",D57="Congé"),AND(F57="Congé sans solde",D57="Congé spécial"),AND(F57="Congé sans solde",D57="Férié"),AND(F57="Congé spécial",D57="OFF"),AND(F57="Congé spécial",D57="Congé"),AND(F57="Congé spécial",D57="Congé sans solde"),AND(F57="Congé spécial",D57="Férié"),AND(F57="Férié",D57="OFF"),AND(F57="Férié",D57="Congé"),AND(F57="Férié",D57="Congé sans solde"),AND(F57="Férié",D57="Congé spécial")),0,IF(OR(F57="OFF",F57="Congé",F57="Congé spécial",F57="Congé sans solde",D57="OFF",D57="Congé",D57="Congé spécial",D57="Congé sans solde"),0.208333333333334,IF(AND(AG57="",F57-D57&lt;0),("24:00:00"-D57)+("00:00:00"+F57)-0.0416666666666667,IF(AND(OR(AG57="Allaitement",AG57="Sans déjeuner"),F57-D57&lt;0),("24:00:00"-D57)+("00:00:00"+F57),IF(AND(AG57="",F57-D57&gt;0.166666666666667),F57-D57-0.0416666666666667,IF(AND(OR(AG57="Allaitement",AG57="Sans déjeuner"),F57-D57&gt;0.166666666666667),F57-D57,F57-D57)))))))</f>
        <v>0.375</v>
      </c>
      <c r="P57" s="6" t="str">
        <f aca="false">IFERROR(VLOOKUP($B57,Agents!$A:$D,2,0),"-")</f>
        <v>Accessibilité</v>
      </c>
      <c r="Q57" s="21" t="n">
        <v>45995</v>
      </c>
      <c r="R57" s="8" t="n">
        <f aca="false">IF(M57="Abs",O57,0)</f>
        <v>0</v>
      </c>
      <c r="S57" s="8" t="n">
        <f aca="false">SUM(R57,L57,I57,J57,W57,H57)</f>
        <v>0</v>
      </c>
      <c r="T57" s="6" t="str">
        <f aca="false">"Sem - "&amp;WEEKNUM(Q57,21)</f>
        <v>Sem - 49</v>
      </c>
      <c r="U57" s="6" t="str">
        <f aca="false">CHOOSE(MONTH(Q57),"Janvier","Février","Mars","Avril","Mai","Juin","Juillet","Août","Septembre","Octobre","Novembre","Décembre")</f>
        <v>Décembre</v>
      </c>
      <c r="V57" s="22" t="n">
        <f aca="false">YEAR(Q57)</f>
        <v>2025</v>
      </c>
      <c r="W57" s="20"/>
      <c r="X57" s="8" t="n">
        <f aca="false">IFERROR(IF(M57="Abs",0,IF(ROUND((D57-C57+E57-F57)*1440,0)&lt;=1,0,D57-C57+E57-F57)),0)</f>
        <v>0</v>
      </c>
      <c r="Y57" s="6" t="str">
        <f aca="false">IFERROR(VLOOKUP($B57,Agents!$A:$D,3,0),"-")</f>
        <v>OUBRAHIM Mohammed</v>
      </c>
      <c r="Z57" s="6" t="str">
        <f aca="false">IFERROR(VLOOKUP($B57,Agents!$A:$D,4,0),"-")</f>
        <v>Credit Mutuel</v>
      </c>
      <c r="AA57" s="18" t="s">
        <v>76</v>
      </c>
      <c r="AB57" s="8" t="str">
        <f aca="false">IF(AND(D57="Congé",F57="Congé"),0.333333333333333,IF(OR(AND(D57="Congé",F57&lt;&gt;"Congé"),(AND(F57="Congé",D57&lt;&gt;"Congé"))),0.166666666666667,""))</f>
        <v/>
      </c>
      <c r="AC57" s="8" t="str">
        <f aca="false">IF(AND(D57="Congé sans solde",F57="Congé sans solde"),0.333333333333333,IF(OR(AND(D57="Congé sans solde",F57&lt;&gt;"Congé sans solde"),(AND(F57="Congé sans solde",D57&lt;&gt;"Congé sans solde"))),0.166666666666667,""))</f>
        <v/>
      </c>
      <c r="AD57" s="8" t="str">
        <f aca="false">IF(AND(D57="Congé spécial",F57="Congé spécial"),0.333333333333333,IF(OR(AND(D57="Congé spécial",F57&lt;&gt;"Congé spécial"),AND(F57="Congé spécial",D57&lt;&gt;"Congé spécial")),0.166666666666667,""))</f>
        <v/>
      </c>
      <c r="AE57" s="8" t="str">
        <f aca="false">IF(AND(D57="Férié",F57="Férié"),0.333333333333333,IF(OR(AND(D57="Férié",F57&lt;&gt;"Férié"),(AND(F57="Férié",D57&lt;&gt;"Férié"))),0.166666666666667,""))</f>
        <v/>
      </c>
      <c r="AF57" s="18"/>
      <c r="AG57" s="18"/>
    </row>
    <row r="58" customFormat="false" ht="15" hidden="false" customHeight="false" outlineLevel="0" collapsed="false">
      <c r="A58" s="6" t="str">
        <f aca="false">YEAR(Q58-WEEKDAY(Q58,2)+4)&amp;"-S"&amp;TEXT(WEEKNUM(Q58,21),"00")</f>
        <v>2025-S49</v>
      </c>
      <c r="B58" s="18" t="s">
        <v>69</v>
      </c>
      <c r="C58" s="19" t="n">
        <v>0.333333333333333</v>
      </c>
      <c r="D58" s="19" t="n">
        <v>0.333333333333333</v>
      </c>
      <c r="E58" s="19" t="n">
        <v>0.708333333333333</v>
      </c>
      <c r="F58" s="19" t="n">
        <v>0.708333333333333</v>
      </c>
      <c r="G58" s="20"/>
      <c r="H58" s="20"/>
      <c r="I58" s="8" t="str">
        <f aca="false">IF(IF(OR(C58="",D58="Congé",D58="OFF",D58="Congé spécial"),"",IF(D58&gt;F58,D58-C58,IF(C58-D58&lt;0,0,C58-D58)))&lt;0.00068287037037037,"",IF(OR(D58="Congé",D58="OFF",C58="",D58="Congé spécial"),"",IF(D58&gt;F58,D58-C58,IF(C58-D58&lt;0,0,C58-D58))))</f>
        <v/>
      </c>
      <c r="J58" s="20"/>
      <c r="K58" s="8" t="n">
        <f aca="false">IF(SUM(H58:J58)&lt;0.00068287037037037,0,SUM(H58:J58))</f>
        <v>0</v>
      </c>
      <c r="L58" s="8" t="n">
        <f aca="false">IF(OR(F58="Congé",F58="OFF",M58="Abs",F58="Congé sans solde",F58="Férié",F58="Congé spécial",D58="Congé spécial"),0,IF(F58-E58&lt;0,0,IF(F58-E58&lt;=0.00068287037037037,0,F58-E58)))</f>
        <v>0</v>
      </c>
      <c r="M58" s="6" t="n">
        <f aca="false">IF(AND(O58&lt;&gt;0,C58=""),"Abs",0)</f>
        <v>0</v>
      </c>
      <c r="N58" s="8" t="n">
        <f aca="false">IFERROR(IF(OR(D58="OFF",D58="Congé",M58="Abs",D58="Congé sans solde",D58="Férié"),"",IF(O58-K58-L58&gt;O58,O58,IF(O58-K58-L58&lt;0,"",O58-K58-L58))),"")</f>
        <v>0.333333333333333</v>
      </c>
      <c r="O58" s="8" t="n">
        <f aca="false">IF(AG58="2H Pause déjeuner",IF(F58-D58-0.0833333333333333&lt;0,F58-D58-0.0833333333333333+1,F58-D58-0.0833333333333333),IF(OR(AND(F58="OFF",D58="OFF"),AND(F58="Congé",D58="Congé"),AND(F58="Congé sans solde",D58="Congé sans solde"),AND(F58="Congé spécial",D58="Congé spécial"),AND(F58="Férié",D58="Férié"),AND(F58="OFF",D58="Congé"),AND(F58="OFF",D58="Congé sans solde"),AND(F58="OFF",D58="Congé spécial"),AND(F58="OFF",D58="Férié"),AND(F58="Congé",D58="OFF"),AND(F58="Congé",D58="Congé sans solde"),AND(F58="Congé",D58="Congé spécial"),AND(F58="Congé",D58="Férié"),AND(F58="Congé sans solde",D58="OFF"),AND(F58="Congé sans solde",D58="Congé"),AND(F58="Congé sans solde",D58="Congé spécial"),AND(F58="Congé sans solde",D58="Férié"),AND(F58="Congé spécial",D58="OFF"),AND(F58="Congé spécial",D58="Congé"),AND(F58="Congé spécial",D58="Congé sans solde"),AND(F58="Congé spécial",D58="Férié"),AND(F58="Férié",D58="OFF"),AND(F58="Férié",D58="Congé"),AND(F58="Férié",D58="Congé sans solde"),AND(F58="Férié",D58="Congé spécial")),0,IF(OR(F58="OFF",F58="Congé",F58="Congé spécial",F58="Congé sans solde",D58="OFF",D58="Congé",D58="Congé spécial",D58="Congé sans solde"),0.208333333333334,IF(AND(AG58="",F58-D58&lt;0),("24:00:00"-D58)+("00:00:00"+F58)-0.0416666666666667,IF(AND(OR(AG58="Allaitement",AG58="Sans déjeuner"),F58-D58&lt;0),("24:00:00"-D58)+("00:00:00"+F58),IF(AND(AG58="",F58-D58&gt;0.166666666666667),F58-D58-0.0416666666666667,IF(AND(OR(AG58="Allaitement",AG58="Sans déjeuner"),F58-D58&gt;0.166666666666667),F58-D58,F58-D58)))))))</f>
        <v>0.333333333333333</v>
      </c>
      <c r="P58" s="6" t="str">
        <f aca="false">IFERROR(VLOOKUP($B58,Agents!$A:$D,2,0),"-")</f>
        <v>Accessibilité</v>
      </c>
      <c r="Q58" s="21" t="n">
        <v>45996</v>
      </c>
      <c r="R58" s="8" t="n">
        <f aca="false">IF(M58="Abs",O58,0)</f>
        <v>0</v>
      </c>
      <c r="S58" s="8" t="n">
        <f aca="false">SUM(R58,L58,I58,J58,W58,H58)</f>
        <v>0</v>
      </c>
      <c r="T58" s="6" t="str">
        <f aca="false">"Sem - "&amp;WEEKNUM(Q58,21)</f>
        <v>Sem - 49</v>
      </c>
      <c r="U58" s="6" t="str">
        <f aca="false">CHOOSE(MONTH(Q58),"Janvier","Février","Mars","Avril","Mai","Juin","Juillet","Août","Septembre","Octobre","Novembre","Décembre")</f>
        <v>Décembre</v>
      </c>
      <c r="V58" s="22" t="n">
        <f aca="false">YEAR(Q58)</f>
        <v>2025</v>
      </c>
      <c r="W58" s="20"/>
      <c r="X58" s="8" t="n">
        <f aca="false">IFERROR(IF(M58="Abs",0,IF(ROUND((D58-C58+E58-F58)*1440,0)&lt;=1,0,D58-C58+E58-F58)),0)</f>
        <v>0</v>
      </c>
      <c r="Y58" s="6" t="str">
        <f aca="false">IFERROR(VLOOKUP($B58,Agents!$A:$D,3,0),"-")</f>
        <v>OUBRAHIM Mohammed</v>
      </c>
      <c r="Z58" s="6" t="str">
        <f aca="false">IFERROR(VLOOKUP($B58,Agents!$A:$D,4,0),"-")</f>
        <v>Credit Mutuel</v>
      </c>
      <c r="AA58" s="18" t="s">
        <v>76</v>
      </c>
      <c r="AB58" s="8" t="str">
        <f aca="false">IF(AND(D58="Congé",F58="Congé"),0.333333333333333,IF(OR(AND(D58="Congé",F58&lt;&gt;"Congé"),(AND(F58="Congé",D58&lt;&gt;"Congé"))),0.166666666666667,""))</f>
        <v/>
      </c>
      <c r="AC58" s="8" t="str">
        <f aca="false">IF(AND(D58="Congé sans solde",F58="Congé sans solde"),0.333333333333333,IF(OR(AND(D58="Congé sans solde",F58&lt;&gt;"Congé sans solde"),(AND(F58="Congé sans solde",D58&lt;&gt;"Congé sans solde"))),0.166666666666667,""))</f>
        <v/>
      </c>
      <c r="AD58" s="8" t="str">
        <f aca="false">IF(AND(D58="Congé spécial",F58="Congé spécial"),0.333333333333333,IF(OR(AND(D58="Congé spécial",F58&lt;&gt;"Congé spécial"),AND(F58="Congé spécial",D58&lt;&gt;"Congé spécial")),0.166666666666667,""))</f>
        <v/>
      </c>
      <c r="AE58" s="8" t="str">
        <f aca="false">IF(AND(D58="Férié",F58="Férié"),0.333333333333333,IF(OR(AND(D58="Férié",F58&lt;&gt;"Férié"),(AND(F58="Férié",D58&lt;&gt;"Férié"))),0.166666666666667,""))</f>
        <v/>
      </c>
      <c r="AF58" s="18"/>
      <c r="AG58" s="18"/>
    </row>
    <row r="59" customFormat="false" ht="15" hidden="false" customHeight="false" outlineLevel="0" collapsed="false">
      <c r="A59" s="6" t="str">
        <f aca="false">YEAR(Q59-WEEKDAY(Q59,2)+4)&amp;"-S"&amp;TEXT(WEEKNUM(Q59,21),"00")</f>
        <v>2025-S49</v>
      </c>
      <c r="B59" s="18" t="s">
        <v>71</v>
      </c>
      <c r="C59" s="19" t="n">
        <v>0.333333333333333</v>
      </c>
      <c r="D59" s="19" t="n">
        <v>0.333333333333333</v>
      </c>
      <c r="E59" s="19" t="n">
        <v>0.708333333333333</v>
      </c>
      <c r="F59" s="19" t="n">
        <v>0.708333333333333</v>
      </c>
      <c r="G59" s="20"/>
      <c r="H59" s="20"/>
      <c r="I59" s="8" t="str">
        <f aca="false">IF(IF(OR(C59="",D59="Congé",D59="OFF",D59="Congé spécial"),"",IF(D59&gt;F59,D59-C59,IF(C59-D59&lt;0,0,C59-D59)))&lt;0.00068287037037037,"",IF(OR(D59="Congé",D59="OFF",C59="",D59="Congé spécial"),"",IF(D59&gt;F59,D59-C59,IF(C59-D59&lt;0,0,C59-D59))))</f>
        <v/>
      </c>
      <c r="J59" s="20"/>
      <c r="K59" s="8" t="n">
        <f aca="false">IF(SUM(H59:J59)&lt;0.00068287037037037,0,SUM(H59:J59))</f>
        <v>0</v>
      </c>
      <c r="L59" s="8" t="n">
        <f aca="false">IF(OR(F59="Congé",F59="OFF",M59="Abs",F59="Congé sans solde",F59="Férié",F59="Congé spécial",D59="Congé spécial"),0,IF(F59-E59&lt;0,0,IF(F59-E59&lt;=0.00068287037037037,0,F59-E59)))</f>
        <v>0</v>
      </c>
      <c r="M59" s="6" t="n">
        <f aca="false">IF(AND(O59&lt;&gt;0,C59=""),"Abs",0)</f>
        <v>0</v>
      </c>
      <c r="N59" s="8" t="n">
        <f aca="false">IFERROR(IF(OR(D59="OFF",D59="Congé",M59="Abs",D59="Congé sans solde",D59="Férié"),"",IF(O59-K59-L59&gt;O59,O59,IF(O59-K59-L59&lt;0,"",O59-K59-L59))),"")</f>
        <v>0.333333333333333</v>
      </c>
      <c r="O59" s="8" t="n">
        <f aca="false">IF(AG59="2H Pause déjeuner",IF(F59-D59-0.0833333333333333&lt;0,F59-D59-0.0833333333333333+1,F59-D59-0.0833333333333333),IF(OR(AND(F59="OFF",D59="OFF"),AND(F59="Congé",D59="Congé"),AND(F59="Congé sans solde",D59="Congé sans solde"),AND(F59="Congé spécial",D59="Congé spécial"),AND(F59="Férié",D59="Férié"),AND(F59="OFF",D59="Congé"),AND(F59="OFF",D59="Congé sans solde"),AND(F59="OFF",D59="Congé spécial"),AND(F59="OFF",D59="Férié"),AND(F59="Congé",D59="OFF"),AND(F59="Congé",D59="Congé sans solde"),AND(F59="Congé",D59="Congé spécial"),AND(F59="Congé",D59="Férié"),AND(F59="Congé sans solde",D59="OFF"),AND(F59="Congé sans solde",D59="Congé"),AND(F59="Congé sans solde",D59="Congé spécial"),AND(F59="Congé sans solde",D59="Férié"),AND(F59="Congé spécial",D59="OFF"),AND(F59="Congé spécial",D59="Congé"),AND(F59="Congé spécial",D59="Congé sans solde"),AND(F59="Congé spécial",D59="Férié"),AND(F59="Férié",D59="OFF"),AND(F59="Férié",D59="Congé"),AND(F59="Férié",D59="Congé sans solde"),AND(F59="Férié",D59="Congé spécial")),0,IF(OR(F59="OFF",F59="Congé",F59="Congé spécial",F59="Congé sans solde",D59="OFF",D59="Congé",D59="Congé spécial",D59="Congé sans solde"),0.208333333333334,IF(AND(AG59="",F59-D59&lt;0),("24:00:00"-D59)+("00:00:00"+F59)-0.0416666666666667,IF(AND(OR(AG59="Allaitement",AG59="Sans déjeuner"),F59-D59&lt;0),("24:00:00"-D59)+("00:00:00"+F59),IF(AND(AG59="",F59-D59&gt;0.166666666666667),F59-D59-0.0416666666666667,IF(AND(OR(AG59="Allaitement",AG59="Sans déjeuner"),F59-D59&gt;0.166666666666667),F59-D59,F59-D59)))))))</f>
        <v>0.333333333333333</v>
      </c>
      <c r="P59" s="6" t="str">
        <f aca="false">IFERROR(VLOOKUP($B59,Agents!$A:$D,2,0),"-")</f>
        <v>Accessibilité</v>
      </c>
      <c r="Q59" s="21" t="n">
        <v>45996</v>
      </c>
      <c r="R59" s="8" t="n">
        <f aca="false">IF(M59="Abs",O59,0)</f>
        <v>0</v>
      </c>
      <c r="S59" s="8" t="n">
        <f aca="false">SUM(R59,L59,I59,J59,W59,H59)</f>
        <v>0</v>
      </c>
      <c r="T59" s="6" t="str">
        <f aca="false">"Sem - "&amp;WEEKNUM(Q59,21)</f>
        <v>Sem - 49</v>
      </c>
      <c r="U59" s="6" t="str">
        <f aca="false">CHOOSE(MONTH(Q59),"Janvier","Février","Mars","Avril","Mai","Juin","Juillet","Août","Septembre","Octobre","Novembre","Décembre")</f>
        <v>Décembre</v>
      </c>
      <c r="V59" s="22" t="n">
        <f aca="false">YEAR(Q59)</f>
        <v>2025</v>
      </c>
      <c r="W59" s="20"/>
      <c r="X59" s="8" t="n">
        <f aca="false">IFERROR(IF(M59="Abs",0,IF(ROUND((D59-C59+E59-F59)*1440,0)&lt;=1,0,D59-C59+E59-F59)),0)</f>
        <v>0</v>
      </c>
      <c r="Y59" s="6" t="str">
        <f aca="false">IFERROR(VLOOKUP($B59,Agents!$A:$D,3,0),"-")</f>
        <v>OUBRAHIM Mohammed</v>
      </c>
      <c r="Z59" s="6" t="str">
        <f aca="false">IFERROR(VLOOKUP($B59,Agents!$A:$D,4,0),"-")</f>
        <v>Credit Mutuel</v>
      </c>
      <c r="AA59" s="18" t="s">
        <v>76</v>
      </c>
      <c r="AB59" s="8" t="str">
        <f aca="false">IF(AND(D59="Congé",F59="Congé"),0.333333333333333,IF(OR(AND(D59="Congé",F59&lt;&gt;"Congé"),(AND(F59="Congé",D59&lt;&gt;"Congé"))),0.166666666666667,""))</f>
        <v/>
      </c>
      <c r="AC59" s="8" t="str">
        <f aca="false">IF(AND(D59="Congé sans solde",F59="Congé sans solde"),0.333333333333333,IF(OR(AND(D59="Congé sans solde",F59&lt;&gt;"Congé sans solde"),(AND(F59="Congé sans solde",D59&lt;&gt;"Congé sans solde"))),0.166666666666667,""))</f>
        <v/>
      </c>
      <c r="AD59" s="8" t="str">
        <f aca="false">IF(AND(D59="Congé spécial",F59="Congé spécial"),0.333333333333333,IF(OR(AND(D59="Congé spécial",F59&lt;&gt;"Congé spécial"),AND(F59="Congé spécial",D59&lt;&gt;"Congé spécial")),0.166666666666667,""))</f>
        <v/>
      </c>
      <c r="AE59" s="8" t="str">
        <f aca="false">IF(AND(D59="Férié",F59="Férié"),0.333333333333333,IF(OR(AND(D59="Férié",F59&lt;&gt;"Férié"),(AND(F59="Férié",D59&lt;&gt;"Férié"))),0.166666666666667,""))</f>
        <v/>
      </c>
      <c r="AF59" s="18"/>
      <c r="AG59" s="18"/>
    </row>
    <row r="60" customFormat="false" ht="15" hidden="false" customHeight="false" outlineLevel="0" collapsed="false">
      <c r="A60" s="6" t="str">
        <f aca="false">YEAR(Q60-WEEKDAY(Q60,2)+4)&amp;"-S"&amp;TEXT(WEEKNUM(Q60,21),"00")</f>
        <v>2025-S49</v>
      </c>
      <c r="B60" s="18" t="s">
        <v>72</v>
      </c>
      <c r="C60" s="19" t="n">
        <v>0.333333333333333</v>
      </c>
      <c r="D60" s="19" t="n">
        <v>0.333333333333333</v>
      </c>
      <c r="E60" s="19" t="n">
        <v>0.708333333333333</v>
      </c>
      <c r="F60" s="19" t="n">
        <v>0.708333333333333</v>
      </c>
      <c r="G60" s="20"/>
      <c r="H60" s="20"/>
      <c r="I60" s="8" t="str">
        <f aca="false">IF(IF(OR(C60="",D60="Congé",D60="OFF",D60="Congé spécial"),"",IF(D60&gt;F60,D60-C60,IF(C60-D60&lt;0,0,C60-D60)))&lt;0.00068287037037037,"",IF(OR(D60="Congé",D60="OFF",C60="",D60="Congé spécial"),"",IF(D60&gt;F60,D60-C60,IF(C60-D60&lt;0,0,C60-D60))))</f>
        <v/>
      </c>
      <c r="J60" s="20"/>
      <c r="K60" s="8" t="n">
        <f aca="false">IF(SUM(H60:J60)&lt;0.00068287037037037,0,SUM(H60:J60))</f>
        <v>0</v>
      </c>
      <c r="L60" s="8" t="n">
        <f aca="false">IF(OR(F60="Congé",F60="OFF",M60="Abs",F60="Congé sans solde",F60="Férié",F60="Congé spécial",D60="Congé spécial"),0,IF(F60-E60&lt;0,0,IF(F60-E60&lt;=0.00068287037037037,0,F60-E60)))</f>
        <v>0</v>
      </c>
      <c r="M60" s="6" t="n">
        <f aca="false">IF(AND(O60&lt;&gt;0,C60=""),"Abs",0)</f>
        <v>0</v>
      </c>
      <c r="N60" s="8" t="n">
        <f aca="false">IFERROR(IF(OR(D60="OFF",D60="Congé",M60="Abs",D60="Congé sans solde",D60="Férié"),"",IF(O60-K60-L60&gt;O60,O60,IF(O60-K60-L60&lt;0,"",O60-K60-L60))),"")</f>
        <v>0.333333333333333</v>
      </c>
      <c r="O60" s="8" t="n">
        <f aca="false">IF(AG60="2H Pause déjeuner",IF(F60-D60-0.0833333333333333&lt;0,F60-D60-0.0833333333333333+1,F60-D60-0.0833333333333333),IF(OR(AND(F60="OFF",D60="OFF"),AND(F60="Congé",D60="Congé"),AND(F60="Congé sans solde",D60="Congé sans solde"),AND(F60="Congé spécial",D60="Congé spécial"),AND(F60="Férié",D60="Férié"),AND(F60="OFF",D60="Congé"),AND(F60="OFF",D60="Congé sans solde"),AND(F60="OFF",D60="Congé spécial"),AND(F60="OFF",D60="Férié"),AND(F60="Congé",D60="OFF"),AND(F60="Congé",D60="Congé sans solde"),AND(F60="Congé",D60="Congé spécial"),AND(F60="Congé",D60="Férié"),AND(F60="Congé sans solde",D60="OFF"),AND(F60="Congé sans solde",D60="Congé"),AND(F60="Congé sans solde",D60="Congé spécial"),AND(F60="Congé sans solde",D60="Férié"),AND(F60="Congé spécial",D60="OFF"),AND(F60="Congé spécial",D60="Congé"),AND(F60="Congé spécial",D60="Congé sans solde"),AND(F60="Congé spécial",D60="Férié"),AND(F60="Férié",D60="OFF"),AND(F60="Férié",D60="Congé"),AND(F60="Férié",D60="Congé sans solde"),AND(F60="Férié",D60="Congé spécial")),0,IF(OR(F60="OFF",F60="Congé",F60="Congé spécial",F60="Congé sans solde",D60="OFF",D60="Congé",D60="Congé spécial",D60="Congé sans solde"),0.208333333333334,IF(AND(AG60="",F60-D60&lt;0),("24:00:00"-D60)+("00:00:00"+F60)-0.0416666666666667,IF(AND(OR(AG60="Allaitement",AG60="Sans déjeuner"),F60-D60&lt;0),("24:00:00"-D60)+("00:00:00"+F60),IF(AND(AG60="",F60-D60&gt;0.166666666666667),F60-D60-0.0416666666666667,IF(AND(OR(AG60="Allaitement",AG60="Sans déjeuner"),F60-D60&gt;0.166666666666667),F60-D60,F60-D60)))))))</f>
        <v>0.333333333333333</v>
      </c>
      <c r="P60" s="6" t="str">
        <f aca="false">IFERROR(VLOOKUP($B60,Agents!$A:$D,2,0),"-")</f>
        <v>Accessibilité</v>
      </c>
      <c r="Q60" s="21" t="n">
        <v>45996</v>
      </c>
      <c r="R60" s="8" t="n">
        <f aca="false">IF(M60="Abs",O60,0)</f>
        <v>0</v>
      </c>
      <c r="S60" s="8" t="n">
        <f aca="false">SUM(R60,L60,I60,J60,W60,H60)</f>
        <v>0</v>
      </c>
      <c r="T60" s="6" t="str">
        <f aca="false">"Sem - "&amp;WEEKNUM(Q60,21)</f>
        <v>Sem - 49</v>
      </c>
      <c r="U60" s="6" t="str">
        <f aca="false">CHOOSE(MONTH(Q60),"Janvier","Février","Mars","Avril","Mai","Juin","Juillet","Août","Septembre","Octobre","Novembre","Décembre")</f>
        <v>Décembre</v>
      </c>
      <c r="V60" s="22" t="n">
        <f aca="false">YEAR(Q60)</f>
        <v>2025</v>
      </c>
      <c r="W60" s="20"/>
      <c r="X60" s="8" t="n">
        <f aca="false">IFERROR(IF(M60="Abs",0,IF(ROUND((D60-C60+E60-F60)*1440,0)&lt;=1,0,D60-C60+E60-F60)),0)</f>
        <v>0</v>
      </c>
      <c r="Y60" s="6" t="str">
        <f aca="false">IFERROR(VLOOKUP($B60,Agents!$A:$D,3,0),"-")</f>
        <v>OUBRAHIM Mohammed</v>
      </c>
      <c r="Z60" s="6" t="str">
        <f aca="false">IFERROR(VLOOKUP($B60,Agents!$A:$D,4,0),"-")</f>
        <v>Credit Mutuel</v>
      </c>
      <c r="AA60" s="18" t="s">
        <v>76</v>
      </c>
      <c r="AB60" s="8" t="str">
        <f aca="false">IF(AND(D60="Congé",F60="Congé"),0.333333333333333,IF(OR(AND(D60="Congé",F60&lt;&gt;"Congé"),(AND(F60="Congé",D60&lt;&gt;"Congé"))),0.166666666666667,""))</f>
        <v/>
      </c>
      <c r="AC60" s="8" t="str">
        <f aca="false">IF(AND(D60="Congé sans solde",F60="Congé sans solde"),0.333333333333333,IF(OR(AND(D60="Congé sans solde",F60&lt;&gt;"Congé sans solde"),(AND(F60="Congé sans solde",D60&lt;&gt;"Congé sans solde"))),0.166666666666667,""))</f>
        <v/>
      </c>
      <c r="AD60" s="8" t="str">
        <f aca="false">IF(AND(D60="Congé spécial",F60="Congé spécial"),0.333333333333333,IF(OR(AND(D60="Congé spécial",F60&lt;&gt;"Congé spécial"),AND(F60="Congé spécial",D60&lt;&gt;"Congé spécial")),0.166666666666667,""))</f>
        <v/>
      </c>
      <c r="AE60" s="8" t="str">
        <f aca="false">IF(AND(D60="Férié",F60="Férié"),0.333333333333333,IF(OR(AND(D60="Férié",F60&lt;&gt;"Férié"),(AND(F60="Férié",D60&lt;&gt;"Férié"))),0.166666666666667,""))</f>
        <v/>
      </c>
      <c r="AF60" s="18"/>
      <c r="AG60" s="18"/>
    </row>
    <row r="61" customFormat="false" ht="15" hidden="false" customHeight="false" outlineLevel="0" collapsed="false">
      <c r="A61" s="6" t="str">
        <f aca="false">YEAR(Q61-WEEKDAY(Q61,2)+4)&amp;"-S"&amp;TEXT(WEEKNUM(Q61,21),"00")</f>
        <v>2025-S49</v>
      </c>
      <c r="B61" s="18" t="s">
        <v>73</v>
      </c>
      <c r="C61" s="19" t="n">
        <v>0.333333333333333</v>
      </c>
      <c r="D61" s="19" t="n">
        <v>0.333333333333333</v>
      </c>
      <c r="E61" s="19" t="n">
        <v>0.708333333333333</v>
      </c>
      <c r="F61" s="19" t="n">
        <v>0.708333333333333</v>
      </c>
      <c r="G61" s="20"/>
      <c r="H61" s="20"/>
      <c r="I61" s="8" t="str">
        <f aca="false">IF(IF(OR(C61="",D61="Congé",D61="OFF",D61="Congé spécial"),"",IF(D61&gt;F61,D61-C61,IF(C61-D61&lt;0,0,C61-D61)))&lt;0.00068287037037037,"",IF(OR(D61="Congé",D61="OFF",C61="",D61="Congé spécial"),"",IF(D61&gt;F61,D61-C61,IF(C61-D61&lt;0,0,C61-D61))))</f>
        <v/>
      </c>
      <c r="J61" s="20"/>
      <c r="K61" s="8" t="n">
        <f aca="false">IF(SUM(H61:J61)&lt;0.00068287037037037,0,SUM(H61:J61))</f>
        <v>0</v>
      </c>
      <c r="L61" s="8" t="n">
        <f aca="false">IF(OR(F61="Congé",F61="OFF",M61="Abs",F61="Congé sans solde",F61="Férié",F61="Congé spécial",D61="Congé spécial"),0,IF(F61-E61&lt;0,0,IF(F61-E61&lt;=0.00068287037037037,0,F61-E61)))</f>
        <v>0</v>
      </c>
      <c r="M61" s="6" t="n">
        <f aca="false">IF(AND(O61&lt;&gt;0,C61=""),"Abs",0)</f>
        <v>0</v>
      </c>
      <c r="N61" s="8" t="n">
        <f aca="false">IFERROR(IF(OR(D61="OFF",D61="Congé",M61="Abs",D61="Congé sans solde",D61="Férié"),"",IF(O61-K61-L61&gt;O61,O61,IF(O61-K61-L61&lt;0,"",O61-K61-L61))),"")</f>
        <v>0.333333333333333</v>
      </c>
      <c r="O61" s="8" t="n">
        <f aca="false">IF(AG61="2H Pause déjeuner",IF(F61-D61-0.0833333333333333&lt;0,F61-D61-0.0833333333333333+1,F61-D61-0.0833333333333333),IF(OR(AND(F61="OFF",D61="OFF"),AND(F61="Congé",D61="Congé"),AND(F61="Congé sans solde",D61="Congé sans solde"),AND(F61="Congé spécial",D61="Congé spécial"),AND(F61="Férié",D61="Férié"),AND(F61="OFF",D61="Congé"),AND(F61="OFF",D61="Congé sans solde"),AND(F61="OFF",D61="Congé spécial"),AND(F61="OFF",D61="Férié"),AND(F61="Congé",D61="OFF"),AND(F61="Congé",D61="Congé sans solde"),AND(F61="Congé",D61="Congé spécial"),AND(F61="Congé",D61="Férié"),AND(F61="Congé sans solde",D61="OFF"),AND(F61="Congé sans solde",D61="Congé"),AND(F61="Congé sans solde",D61="Congé spécial"),AND(F61="Congé sans solde",D61="Férié"),AND(F61="Congé spécial",D61="OFF"),AND(F61="Congé spécial",D61="Congé"),AND(F61="Congé spécial",D61="Congé sans solde"),AND(F61="Congé spécial",D61="Férié"),AND(F61="Férié",D61="OFF"),AND(F61="Férié",D61="Congé"),AND(F61="Férié",D61="Congé sans solde"),AND(F61="Férié",D61="Congé spécial")),0,IF(OR(F61="OFF",F61="Congé",F61="Congé spécial",F61="Congé sans solde",D61="OFF",D61="Congé",D61="Congé spécial",D61="Congé sans solde"),0.208333333333334,IF(AND(AG61="",F61-D61&lt;0),("24:00:00"-D61)+("00:00:00"+F61)-0.0416666666666667,IF(AND(OR(AG61="Allaitement",AG61="Sans déjeuner"),F61-D61&lt;0),("24:00:00"-D61)+("00:00:00"+F61),IF(AND(AG61="",F61-D61&gt;0.166666666666667),F61-D61-0.0416666666666667,IF(AND(OR(AG61="Allaitement",AG61="Sans déjeuner"),F61-D61&gt;0.166666666666667),F61-D61,F61-D61)))))))</f>
        <v>0.333333333333333</v>
      </c>
      <c r="P61" s="6" t="str">
        <f aca="false">IFERROR(VLOOKUP($B61,Agents!$A:$D,2,0),"-")</f>
        <v>Accessibilité</v>
      </c>
      <c r="Q61" s="21" t="n">
        <v>45996</v>
      </c>
      <c r="R61" s="8" t="n">
        <f aca="false">IF(M61="Abs",O61,0)</f>
        <v>0</v>
      </c>
      <c r="S61" s="8" t="n">
        <f aca="false">SUM(R61,L61,I61,J61,W61,H61)</f>
        <v>0</v>
      </c>
      <c r="T61" s="6" t="str">
        <f aca="false">"Sem - "&amp;WEEKNUM(Q61,21)</f>
        <v>Sem - 49</v>
      </c>
      <c r="U61" s="6" t="str">
        <f aca="false">CHOOSE(MONTH(Q61),"Janvier","Février","Mars","Avril","Mai","Juin","Juillet","Août","Septembre","Octobre","Novembre","Décembre")</f>
        <v>Décembre</v>
      </c>
      <c r="V61" s="22" t="n">
        <f aca="false">YEAR(Q61)</f>
        <v>2025</v>
      </c>
      <c r="W61" s="20"/>
      <c r="X61" s="8" t="n">
        <f aca="false">IFERROR(IF(M61="Abs",0,IF(ROUND((D61-C61+E61-F61)*1440,0)&lt;=1,0,D61-C61+E61-F61)),0)</f>
        <v>0</v>
      </c>
      <c r="Y61" s="6" t="str">
        <f aca="false">IFERROR(VLOOKUP($B61,Agents!$A:$D,3,0),"-")</f>
        <v>OUBRAHIM Mohammed</v>
      </c>
      <c r="Z61" s="6" t="str">
        <f aca="false">IFERROR(VLOOKUP($B61,Agents!$A:$D,4,0),"-")</f>
        <v>Credit Mutuel</v>
      </c>
      <c r="AA61" s="18" t="s">
        <v>76</v>
      </c>
      <c r="AB61" s="8" t="str">
        <f aca="false">IF(AND(D61="Congé",F61="Congé"),0.333333333333333,IF(OR(AND(D61="Congé",F61&lt;&gt;"Congé"),(AND(F61="Congé",D61&lt;&gt;"Congé"))),0.166666666666667,""))</f>
        <v/>
      </c>
      <c r="AC61" s="8" t="str">
        <f aca="false">IF(AND(D61="Congé sans solde",F61="Congé sans solde"),0.333333333333333,IF(OR(AND(D61="Congé sans solde",F61&lt;&gt;"Congé sans solde"),(AND(F61="Congé sans solde",D61&lt;&gt;"Congé sans solde"))),0.166666666666667,""))</f>
        <v/>
      </c>
      <c r="AD61" s="8" t="str">
        <f aca="false">IF(AND(D61="Congé spécial",F61="Congé spécial"),0.333333333333333,IF(OR(AND(D61="Congé spécial",F61&lt;&gt;"Congé spécial"),AND(F61="Congé spécial",D61&lt;&gt;"Congé spécial")),0.166666666666667,""))</f>
        <v/>
      </c>
      <c r="AE61" s="8" t="str">
        <f aca="false">IF(AND(D61="Férié",F61="Férié"),0.333333333333333,IF(OR(AND(D61="Férié",F61&lt;&gt;"Férié"),(AND(F61="Férié",D61&lt;&gt;"Férié"))),0.166666666666667,""))</f>
        <v/>
      </c>
      <c r="AF61" s="18"/>
      <c r="AG61" s="18"/>
    </row>
    <row r="62" customFormat="false" ht="15" hidden="false" customHeight="false" outlineLevel="0" collapsed="false">
      <c r="A62" s="6" t="str">
        <f aca="false">YEAR(Q62-WEEKDAY(Q62,2)+4)&amp;"-S"&amp;TEXT(WEEKNUM(Q62,21),"00")</f>
        <v>2025-S49</v>
      </c>
      <c r="B62" s="18" t="s">
        <v>69</v>
      </c>
      <c r="C62" s="19"/>
      <c r="D62" s="19" t="s">
        <v>74</v>
      </c>
      <c r="E62" s="19"/>
      <c r="F62" s="19" t="s">
        <v>74</v>
      </c>
      <c r="G62" s="20"/>
      <c r="H62" s="20"/>
      <c r="I62" s="8" t="str">
        <f aca="false">IF(IF(OR(C62="",D62="Congé",D62="OFF",D62="Congé spécial"),"",IF(D62&gt;F62,D62-C62,IF(C62-D62&lt;0,0,C62-D62)))&lt;0.00068287037037037,"",IF(OR(D62="Congé",D62="OFF",C62="",D62="Congé spécial"),"",IF(D62&gt;F62,D62-C62,IF(C62-D62&lt;0,0,C62-D62))))</f>
        <v/>
      </c>
      <c r="J62" s="20"/>
      <c r="K62" s="8" t="n">
        <f aca="false">IF(SUM(H62:J62)&lt;0.00068287037037037,0,SUM(H62:J62))</f>
        <v>0</v>
      </c>
      <c r="L62" s="8" t="n">
        <f aca="false">IF(OR(F62="Congé",F62="OFF",M62="Abs",F62="Congé sans solde",F62="Férié",F62="Congé spécial",D62="Congé spécial"),0,IF(F62-E62&lt;0,0,IF(F62-E62&lt;=0.00068287037037037,0,F62-E62)))</f>
        <v>0</v>
      </c>
      <c r="M62" s="6" t="n">
        <f aca="false">IF(AND(O62&lt;&gt;0,C62=""),"Abs",0)</f>
        <v>0</v>
      </c>
      <c r="N62" s="8" t="str">
        <f aca="false">IFERROR(IF(OR(D62="OFF",D62="Congé",M62="Abs",D62="Congé sans solde",D62="Férié"),"",IF(O62-K62-L62&gt;O62,O62,IF(O62-K62-L62&lt;0,"",O62-K62-L62))),"")</f>
        <v/>
      </c>
      <c r="O62" s="8" t="n">
        <f aca="false">IF(AG62="2H Pause déjeuner",IF(F62-D62-0.0833333333333333&lt;0,F62-D62-0.0833333333333333+1,F62-D62-0.0833333333333333),IF(OR(AND(F62="OFF",D62="OFF"),AND(F62="Congé",D62="Congé"),AND(F62="Congé sans solde",D62="Congé sans solde"),AND(F62="Congé spécial",D62="Congé spécial"),AND(F62="Férié",D62="Férié"),AND(F62="OFF",D62="Congé"),AND(F62="OFF",D62="Congé sans solde"),AND(F62="OFF",D62="Congé spécial"),AND(F62="OFF",D62="Férié"),AND(F62="Congé",D62="OFF"),AND(F62="Congé",D62="Congé sans solde"),AND(F62="Congé",D62="Congé spécial"),AND(F62="Congé",D62="Férié"),AND(F62="Congé sans solde",D62="OFF"),AND(F62="Congé sans solde",D62="Congé"),AND(F62="Congé sans solde",D62="Congé spécial"),AND(F62="Congé sans solde",D62="Férié"),AND(F62="Congé spécial",D62="OFF"),AND(F62="Congé spécial",D62="Congé"),AND(F62="Congé spécial",D62="Congé sans solde"),AND(F62="Congé spécial",D62="Férié"),AND(F62="Férié",D62="OFF"),AND(F62="Férié",D62="Congé"),AND(F62="Férié",D62="Congé sans solde"),AND(F62="Férié",D62="Congé spécial")),0,IF(OR(F62="OFF",F62="Congé",F62="Congé spécial",F62="Congé sans solde",D62="OFF",D62="Congé",D62="Congé spécial",D62="Congé sans solde"),0.208333333333334,IF(AND(AG62="",F62-D62&lt;0),("24:00:00"-D62)+("00:00:00"+F62)-0.0416666666666667,IF(AND(OR(AG62="Allaitement",AG62="Sans déjeuner"),F62-D62&lt;0),("24:00:00"-D62)+("00:00:00"+F62),IF(AND(AG62="",F62-D62&gt;0.166666666666667),F62-D62-0.0416666666666667,IF(AND(OR(AG62="Allaitement",AG62="Sans déjeuner"),F62-D62&gt;0.166666666666667),F62-D62,F62-D62)))))))</f>
        <v>0</v>
      </c>
      <c r="P62" s="6" t="str">
        <f aca="false">IFERROR(VLOOKUP($B62,Agents!$A:$D,2,0),"-")</f>
        <v>Accessibilité</v>
      </c>
      <c r="Q62" s="21" t="n">
        <v>45997</v>
      </c>
      <c r="R62" s="8" t="n">
        <f aca="false">IF(M62="Abs",O62,0)</f>
        <v>0</v>
      </c>
      <c r="S62" s="8" t="n">
        <f aca="false">SUM(R62,L62,I62,J62,W62,H62)</f>
        <v>0</v>
      </c>
      <c r="T62" s="6" t="str">
        <f aca="false">"Sem - "&amp;WEEKNUM(Q62,21)</f>
        <v>Sem - 49</v>
      </c>
      <c r="U62" s="6" t="str">
        <f aca="false">CHOOSE(MONTH(Q62),"Janvier","Février","Mars","Avril","Mai","Juin","Juillet","Août","Septembre","Octobre","Novembre","Décembre")</f>
        <v>Décembre</v>
      </c>
      <c r="V62" s="22" t="n">
        <f aca="false">YEAR(Q62)</f>
        <v>2025</v>
      </c>
      <c r="W62" s="20"/>
      <c r="X62" s="8" t="n">
        <f aca="false">IFERROR(IF(M62="Abs",0,IF(ROUND((D62-C62+E62-F62)*1440,0)&lt;=1,0,D62-C62+E62-F62)),0)</f>
        <v>0</v>
      </c>
      <c r="Y62" s="6" t="str">
        <f aca="false">IFERROR(VLOOKUP($B62,Agents!$A:$D,3,0),"-")</f>
        <v>OUBRAHIM Mohammed</v>
      </c>
      <c r="Z62" s="6" t="str">
        <f aca="false">IFERROR(VLOOKUP($B62,Agents!$A:$D,4,0),"-")</f>
        <v>Credit Mutuel</v>
      </c>
      <c r="AA62" s="18" t="s">
        <v>76</v>
      </c>
      <c r="AB62" s="8" t="str">
        <f aca="false">IF(AND(D62="Congé",F62="Congé"),0.333333333333333,IF(OR(AND(D62="Congé",F62&lt;&gt;"Congé"),(AND(F62="Congé",D62&lt;&gt;"Congé"))),0.166666666666667,""))</f>
        <v/>
      </c>
      <c r="AC62" s="8" t="str">
        <f aca="false">IF(AND(D62="Congé sans solde",F62="Congé sans solde"),0.333333333333333,IF(OR(AND(D62="Congé sans solde",F62&lt;&gt;"Congé sans solde"),(AND(F62="Congé sans solde",D62&lt;&gt;"Congé sans solde"))),0.166666666666667,""))</f>
        <v/>
      </c>
      <c r="AD62" s="8" t="str">
        <f aca="false">IF(AND(D62="Congé spécial",F62="Congé spécial"),0.333333333333333,IF(OR(AND(D62="Congé spécial",F62&lt;&gt;"Congé spécial"),AND(F62="Congé spécial",D62&lt;&gt;"Congé spécial")),0.166666666666667,""))</f>
        <v/>
      </c>
      <c r="AE62" s="8" t="str">
        <f aca="false">IF(AND(D62="Férié",F62="Férié"),0.333333333333333,IF(OR(AND(D62="Férié",F62&lt;&gt;"Férié"),(AND(F62="Férié",D62&lt;&gt;"Férié"))),0.166666666666667,""))</f>
        <v/>
      </c>
      <c r="AF62" s="18"/>
      <c r="AG62" s="18"/>
    </row>
    <row r="63" customFormat="false" ht="15" hidden="false" customHeight="false" outlineLevel="0" collapsed="false">
      <c r="A63" s="6" t="str">
        <f aca="false">YEAR(Q63-WEEKDAY(Q63,2)+4)&amp;"-S"&amp;TEXT(WEEKNUM(Q63,21),"00")</f>
        <v>2025-S49</v>
      </c>
      <c r="B63" s="18" t="s">
        <v>71</v>
      </c>
      <c r="C63" s="19"/>
      <c r="D63" s="19" t="s">
        <v>74</v>
      </c>
      <c r="E63" s="19"/>
      <c r="F63" s="19" t="s">
        <v>74</v>
      </c>
      <c r="G63" s="20"/>
      <c r="H63" s="20"/>
      <c r="I63" s="8" t="str">
        <f aca="false">IF(IF(OR(C63="",D63="Congé",D63="OFF",D63="Congé spécial"),"",IF(D63&gt;F63,D63-C63,IF(C63-D63&lt;0,0,C63-D63)))&lt;0.00068287037037037,"",IF(OR(D63="Congé",D63="OFF",C63="",D63="Congé spécial"),"",IF(D63&gt;F63,D63-C63,IF(C63-D63&lt;0,0,C63-D63))))</f>
        <v/>
      </c>
      <c r="J63" s="20"/>
      <c r="K63" s="8" t="n">
        <f aca="false">IF(SUM(H63:J63)&lt;0.00068287037037037,0,SUM(H63:J63))</f>
        <v>0</v>
      </c>
      <c r="L63" s="8" t="n">
        <f aca="false">IF(OR(F63="Congé",F63="OFF",M63="Abs",F63="Congé sans solde",F63="Férié",F63="Congé spécial",D63="Congé spécial"),0,IF(F63-E63&lt;0,0,IF(F63-E63&lt;=0.00068287037037037,0,F63-E63)))</f>
        <v>0</v>
      </c>
      <c r="M63" s="6" t="n">
        <f aca="false">IF(AND(O63&lt;&gt;0,C63=""),"Abs",0)</f>
        <v>0</v>
      </c>
      <c r="N63" s="8" t="str">
        <f aca="false">IFERROR(IF(OR(D63="OFF",D63="Congé",M63="Abs",D63="Congé sans solde",D63="Férié"),"",IF(O63-K63-L63&gt;O63,O63,IF(O63-K63-L63&lt;0,"",O63-K63-L63))),"")</f>
        <v/>
      </c>
      <c r="O63" s="8" t="n">
        <f aca="false">IF(AG63="2H Pause déjeuner",IF(F63-D63-0.0833333333333333&lt;0,F63-D63-0.0833333333333333+1,F63-D63-0.0833333333333333),IF(OR(AND(F63="OFF",D63="OFF"),AND(F63="Congé",D63="Congé"),AND(F63="Congé sans solde",D63="Congé sans solde"),AND(F63="Congé spécial",D63="Congé spécial"),AND(F63="Férié",D63="Férié"),AND(F63="OFF",D63="Congé"),AND(F63="OFF",D63="Congé sans solde"),AND(F63="OFF",D63="Congé spécial"),AND(F63="OFF",D63="Férié"),AND(F63="Congé",D63="OFF"),AND(F63="Congé",D63="Congé sans solde"),AND(F63="Congé",D63="Congé spécial"),AND(F63="Congé",D63="Férié"),AND(F63="Congé sans solde",D63="OFF"),AND(F63="Congé sans solde",D63="Congé"),AND(F63="Congé sans solde",D63="Congé spécial"),AND(F63="Congé sans solde",D63="Férié"),AND(F63="Congé spécial",D63="OFF"),AND(F63="Congé spécial",D63="Congé"),AND(F63="Congé spécial",D63="Congé sans solde"),AND(F63="Congé spécial",D63="Férié"),AND(F63="Férié",D63="OFF"),AND(F63="Férié",D63="Congé"),AND(F63="Férié",D63="Congé sans solde"),AND(F63="Férié",D63="Congé spécial")),0,IF(OR(F63="OFF",F63="Congé",F63="Congé spécial",F63="Congé sans solde",D63="OFF",D63="Congé",D63="Congé spécial",D63="Congé sans solde"),0.208333333333334,IF(AND(AG63="",F63-D63&lt;0),("24:00:00"-D63)+("00:00:00"+F63)-0.0416666666666667,IF(AND(OR(AG63="Allaitement",AG63="Sans déjeuner"),F63-D63&lt;0),("24:00:00"-D63)+("00:00:00"+F63),IF(AND(AG63="",F63-D63&gt;0.166666666666667),F63-D63-0.0416666666666667,IF(AND(OR(AG63="Allaitement",AG63="Sans déjeuner"),F63-D63&gt;0.166666666666667),F63-D63,F63-D63)))))))</f>
        <v>0</v>
      </c>
      <c r="P63" s="6" t="str">
        <f aca="false">IFERROR(VLOOKUP($B63,Agents!$A:$D,2,0),"-")</f>
        <v>Accessibilité</v>
      </c>
      <c r="Q63" s="21" t="n">
        <v>45997</v>
      </c>
      <c r="R63" s="8" t="n">
        <f aca="false">IF(M63="Abs",O63,0)</f>
        <v>0</v>
      </c>
      <c r="S63" s="8" t="n">
        <f aca="false">SUM(R63,L63,I63,J63,W63,H63)</f>
        <v>0</v>
      </c>
      <c r="T63" s="6" t="str">
        <f aca="false">"Sem - "&amp;WEEKNUM(Q63,21)</f>
        <v>Sem - 49</v>
      </c>
      <c r="U63" s="6" t="str">
        <f aca="false">CHOOSE(MONTH(Q63),"Janvier","Février","Mars","Avril","Mai","Juin","Juillet","Août","Septembre","Octobre","Novembre","Décembre")</f>
        <v>Décembre</v>
      </c>
      <c r="V63" s="22" t="n">
        <f aca="false">YEAR(Q63)</f>
        <v>2025</v>
      </c>
      <c r="W63" s="20"/>
      <c r="X63" s="8" t="n">
        <f aca="false">IFERROR(IF(M63="Abs",0,IF(ROUND((D63-C63+E63-F63)*1440,0)&lt;=1,0,D63-C63+E63-F63)),0)</f>
        <v>0</v>
      </c>
      <c r="Y63" s="6" t="str">
        <f aca="false">IFERROR(VLOOKUP($B63,Agents!$A:$D,3,0),"-")</f>
        <v>OUBRAHIM Mohammed</v>
      </c>
      <c r="Z63" s="6" t="str">
        <f aca="false">IFERROR(VLOOKUP($B63,Agents!$A:$D,4,0),"-")</f>
        <v>Credit Mutuel</v>
      </c>
      <c r="AA63" s="18" t="s">
        <v>76</v>
      </c>
      <c r="AB63" s="8" t="str">
        <f aca="false">IF(AND(D63="Congé",F63="Congé"),0.333333333333333,IF(OR(AND(D63="Congé",F63&lt;&gt;"Congé"),(AND(F63="Congé",D63&lt;&gt;"Congé"))),0.166666666666667,""))</f>
        <v/>
      </c>
      <c r="AC63" s="8" t="str">
        <f aca="false">IF(AND(D63="Congé sans solde",F63="Congé sans solde"),0.333333333333333,IF(OR(AND(D63="Congé sans solde",F63&lt;&gt;"Congé sans solde"),(AND(F63="Congé sans solde",D63&lt;&gt;"Congé sans solde"))),0.166666666666667,""))</f>
        <v/>
      </c>
      <c r="AD63" s="8" t="str">
        <f aca="false">IF(AND(D63="Congé spécial",F63="Congé spécial"),0.333333333333333,IF(OR(AND(D63="Congé spécial",F63&lt;&gt;"Congé spécial"),AND(F63="Congé spécial",D63&lt;&gt;"Congé spécial")),0.166666666666667,""))</f>
        <v/>
      </c>
      <c r="AE63" s="8" t="str">
        <f aca="false">IF(AND(D63="Férié",F63="Férié"),0.333333333333333,IF(OR(AND(D63="Férié",F63&lt;&gt;"Férié"),(AND(F63="Férié",D63&lt;&gt;"Férié"))),0.166666666666667,""))</f>
        <v/>
      </c>
      <c r="AF63" s="18"/>
      <c r="AG63" s="18"/>
    </row>
    <row r="64" customFormat="false" ht="15" hidden="false" customHeight="false" outlineLevel="0" collapsed="false">
      <c r="A64" s="6" t="str">
        <f aca="false">YEAR(Q64-WEEKDAY(Q64,2)+4)&amp;"-S"&amp;TEXT(WEEKNUM(Q64,21),"00")</f>
        <v>2025-S49</v>
      </c>
      <c r="B64" s="18" t="s">
        <v>72</v>
      </c>
      <c r="C64" s="19"/>
      <c r="D64" s="19" t="s">
        <v>74</v>
      </c>
      <c r="E64" s="19"/>
      <c r="F64" s="19" t="s">
        <v>74</v>
      </c>
      <c r="G64" s="20"/>
      <c r="H64" s="20"/>
      <c r="I64" s="8" t="str">
        <f aca="false">IF(IF(OR(C64="",D64="Congé",D64="OFF",D64="Congé spécial"),"",IF(D64&gt;F64,D64-C64,IF(C64-D64&lt;0,0,C64-D64)))&lt;0.00068287037037037,"",IF(OR(D64="Congé",D64="OFF",C64="",D64="Congé spécial"),"",IF(D64&gt;F64,D64-C64,IF(C64-D64&lt;0,0,C64-D64))))</f>
        <v/>
      </c>
      <c r="J64" s="20"/>
      <c r="K64" s="8" t="n">
        <f aca="false">IF(SUM(H64:J64)&lt;0.00068287037037037,0,SUM(H64:J64))</f>
        <v>0</v>
      </c>
      <c r="L64" s="8" t="n">
        <f aca="false">IF(OR(F64="Congé",F64="OFF",M64="Abs",F64="Congé sans solde",F64="Férié",F64="Congé spécial",D64="Congé spécial"),0,IF(F64-E64&lt;0,0,IF(F64-E64&lt;=0.00068287037037037,0,F64-E64)))</f>
        <v>0</v>
      </c>
      <c r="M64" s="6" t="n">
        <f aca="false">IF(AND(O64&lt;&gt;0,C64=""),"Abs",0)</f>
        <v>0</v>
      </c>
      <c r="N64" s="8" t="str">
        <f aca="false">IFERROR(IF(OR(D64="OFF",D64="Congé",M64="Abs",D64="Congé sans solde",D64="Férié"),"",IF(O64-K64-L64&gt;O64,O64,IF(O64-K64-L64&lt;0,"",O64-K64-L64))),"")</f>
        <v/>
      </c>
      <c r="O64" s="8" t="n">
        <f aca="false">IF(AG64="2H Pause déjeuner",IF(F64-D64-0.0833333333333333&lt;0,F64-D64-0.0833333333333333+1,F64-D64-0.0833333333333333),IF(OR(AND(F64="OFF",D64="OFF"),AND(F64="Congé",D64="Congé"),AND(F64="Congé sans solde",D64="Congé sans solde"),AND(F64="Congé spécial",D64="Congé spécial"),AND(F64="Férié",D64="Férié"),AND(F64="OFF",D64="Congé"),AND(F64="OFF",D64="Congé sans solde"),AND(F64="OFF",D64="Congé spécial"),AND(F64="OFF",D64="Férié"),AND(F64="Congé",D64="OFF"),AND(F64="Congé",D64="Congé sans solde"),AND(F64="Congé",D64="Congé spécial"),AND(F64="Congé",D64="Férié"),AND(F64="Congé sans solde",D64="OFF"),AND(F64="Congé sans solde",D64="Congé"),AND(F64="Congé sans solde",D64="Congé spécial"),AND(F64="Congé sans solde",D64="Férié"),AND(F64="Congé spécial",D64="OFF"),AND(F64="Congé spécial",D64="Congé"),AND(F64="Congé spécial",D64="Congé sans solde"),AND(F64="Congé spécial",D64="Férié"),AND(F64="Férié",D64="OFF"),AND(F64="Férié",D64="Congé"),AND(F64="Férié",D64="Congé sans solde"),AND(F64="Férié",D64="Congé spécial")),0,IF(OR(F64="OFF",F64="Congé",F64="Congé spécial",F64="Congé sans solde",D64="OFF",D64="Congé",D64="Congé spécial",D64="Congé sans solde"),0.208333333333334,IF(AND(AG64="",F64-D64&lt;0),("24:00:00"-D64)+("00:00:00"+F64)-0.0416666666666667,IF(AND(OR(AG64="Allaitement",AG64="Sans déjeuner"),F64-D64&lt;0),("24:00:00"-D64)+("00:00:00"+F64),IF(AND(AG64="",F64-D64&gt;0.166666666666667),F64-D64-0.0416666666666667,IF(AND(OR(AG64="Allaitement",AG64="Sans déjeuner"),F64-D64&gt;0.166666666666667),F64-D64,F64-D64)))))))</f>
        <v>0</v>
      </c>
      <c r="P64" s="6" t="str">
        <f aca="false">IFERROR(VLOOKUP($B64,Agents!$A:$D,2,0),"-")</f>
        <v>Accessibilité</v>
      </c>
      <c r="Q64" s="21" t="n">
        <v>45997</v>
      </c>
      <c r="R64" s="8" t="n">
        <f aca="false">IF(M64="Abs",O64,0)</f>
        <v>0</v>
      </c>
      <c r="S64" s="8" t="n">
        <f aca="false">SUM(R64,L64,I64,J64,W64,H64)</f>
        <v>0</v>
      </c>
      <c r="T64" s="6" t="str">
        <f aca="false">"Sem - "&amp;WEEKNUM(Q64,21)</f>
        <v>Sem - 49</v>
      </c>
      <c r="U64" s="6" t="str">
        <f aca="false">CHOOSE(MONTH(Q64),"Janvier","Février","Mars","Avril","Mai","Juin","Juillet","Août","Septembre","Octobre","Novembre","Décembre")</f>
        <v>Décembre</v>
      </c>
      <c r="V64" s="22" t="n">
        <f aca="false">YEAR(Q64)</f>
        <v>2025</v>
      </c>
      <c r="W64" s="20"/>
      <c r="X64" s="8" t="n">
        <f aca="false">IFERROR(IF(M64="Abs",0,IF(ROUND((D64-C64+E64-F64)*1440,0)&lt;=1,0,D64-C64+E64-F64)),0)</f>
        <v>0</v>
      </c>
      <c r="Y64" s="6" t="str">
        <f aca="false">IFERROR(VLOOKUP($B64,Agents!$A:$D,3,0),"-")</f>
        <v>OUBRAHIM Mohammed</v>
      </c>
      <c r="Z64" s="6" t="str">
        <f aca="false">IFERROR(VLOOKUP($B64,Agents!$A:$D,4,0),"-")</f>
        <v>Credit Mutuel</v>
      </c>
      <c r="AA64" s="18" t="s">
        <v>76</v>
      </c>
      <c r="AB64" s="8" t="str">
        <f aca="false">IF(AND(D64="Congé",F64="Congé"),0.333333333333333,IF(OR(AND(D64="Congé",F64&lt;&gt;"Congé"),(AND(F64="Congé",D64&lt;&gt;"Congé"))),0.166666666666667,""))</f>
        <v/>
      </c>
      <c r="AC64" s="8" t="str">
        <f aca="false">IF(AND(D64="Congé sans solde",F64="Congé sans solde"),0.333333333333333,IF(OR(AND(D64="Congé sans solde",F64&lt;&gt;"Congé sans solde"),(AND(F64="Congé sans solde",D64&lt;&gt;"Congé sans solde"))),0.166666666666667,""))</f>
        <v/>
      </c>
      <c r="AD64" s="8" t="str">
        <f aca="false">IF(AND(D64="Congé spécial",F64="Congé spécial"),0.333333333333333,IF(OR(AND(D64="Congé spécial",F64&lt;&gt;"Congé spécial"),AND(F64="Congé spécial",D64&lt;&gt;"Congé spécial")),0.166666666666667,""))</f>
        <v/>
      </c>
      <c r="AE64" s="8" t="str">
        <f aca="false">IF(AND(D64="Férié",F64="Férié"),0.333333333333333,IF(OR(AND(D64="Férié",F64&lt;&gt;"Férié"),(AND(F64="Férié",D64&lt;&gt;"Férié"))),0.166666666666667,""))</f>
        <v/>
      </c>
      <c r="AF64" s="18"/>
      <c r="AG64" s="18"/>
    </row>
    <row r="65" customFormat="false" ht="15" hidden="false" customHeight="false" outlineLevel="0" collapsed="false">
      <c r="A65" s="6" t="str">
        <f aca="false">YEAR(Q65-WEEKDAY(Q65,2)+4)&amp;"-S"&amp;TEXT(WEEKNUM(Q65,21),"00")</f>
        <v>2025-S49</v>
      </c>
      <c r="B65" s="18" t="s">
        <v>73</v>
      </c>
      <c r="C65" s="19"/>
      <c r="D65" s="19" t="s">
        <v>74</v>
      </c>
      <c r="E65" s="19"/>
      <c r="F65" s="19" t="s">
        <v>74</v>
      </c>
      <c r="G65" s="20"/>
      <c r="H65" s="20"/>
      <c r="I65" s="8" t="str">
        <f aca="false">IF(IF(OR(C65="",D65="Congé",D65="OFF",D65="Congé spécial"),"",IF(D65&gt;F65,D65-C65,IF(C65-D65&lt;0,0,C65-D65)))&lt;0.00068287037037037,"",IF(OR(D65="Congé",D65="OFF",C65="",D65="Congé spécial"),"",IF(D65&gt;F65,D65-C65,IF(C65-D65&lt;0,0,C65-D65))))</f>
        <v/>
      </c>
      <c r="J65" s="20"/>
      <c r="K65" s="8" t="n">
        <f aca="false">IF(SUM(H65:J65)&lt;0.00068287037037037,0,SUM(H65:J65))</f>
        <v>0</v>
      </c>
      <c r="L65" s="8" t="n">
        <f aca="false">IF(OR(F65="Congé",F65="OFF",M65="Abs",F65="Congé sans solde",F65="Férié",F65="Congé spécial",D65="Congé spécial"),0,IF(F65-E65&lt;0,0,IF(F65-E65&lt;=0.00068287037037037,0,F65-E65)))</f>
        <v>0</v>
      </c>
      <c r="M65" s="6" t="n">
        <f aca="false">IF(AND(O65&lt;&gt;0,C65=""),"Abs",0)</f>
        <v>0</v>
      </c>
      <c r="N65" s="8" t="str">
        <f aca="false">IFERROR(IF(OR(D65="OFF",D65="Congé",M65="Abs",D65="Congé sans solde",D65="Férié"),"",IF(O65-K65-L65&gt;O65,O65,IF(O65-K65-L65&lt;0,"",O65-K65-L65))),"")</f>
        <v/>
      </c>
      <c r="O65" s="8" t="n">
        <f aca="false">IF(AG65="2H Pause déjeuner",IF(F65-D65-0.0833333333333333&lt;0,F65-D65-0.0833333333333333+1,F65-D65-0.0833333333333333),IF(OR(AND(F65="OFF",D65="OFF"),AND(F65="Congé",D65="Congé"),AND(F65="Congé sans solde",D65="Congé sans solde"),AND(F65="Congé spécial",D65="Congé spécial"),AND(F65="Férié",D65="Férié"),AND(F65="OFF",D65="Congé"),AND(F65="OFF",D65="Congé sans solde"),AND(F65="OFF",D65="Congé spécial"),AND(F65="OFF",D65="Férié"),AND(F65="Congé",D65="OFF"),AND(F65="Congé",D65="Congé sans solde"),AND(F65="Congé",D65="Congé spécial"),AND(F65="Congé",D65="Férié"),AND(F65="Congé sans solde",D65="OFF"),AND(F65="Congé sans solde",D65="Congé"),AND(F65="Congé sans solde",D65="Congé spécial"),AND(F65="Congé sans solde",D65="Férié"),AND(F65="Congé spécial",D65="OFF"),AND(F65="Congé spécial",D65="Congé"),AND(F65="Congé spécial",D65="Congé sans solde"),AND(F65="Congé spécial",D65="Férié"),AND(F65="Férié",D65="OFF"),AND(F65="Férié",D65="Congé"),AND(F65="Férié",D65="Congé sans solde"),AND(F65="Férié",D65="Congé spécial")),0,IF(OR(F65="OFF",F65="Congé",F65="Congé spécial",F65="Congé sans solde",D65="OFF",D65="Congé",D65="Congé spécial",D65="Congé sans solde"),0.208333333333334,IF(AND(AG65="",F65-D65&lt;0),("24:00:00"-D65)+("00:00:00"+F65)-0.0416666666666667,IF(AND(OR(AG65="Allaitement",AG65="Sans déjeuner"),F65-D65&lt;0),("24:00:00"-D65)+("00:00:00"+F65),IF(AND(AG65="",F65-D65&gt;0.166666666666667),F65-D65-0.0416666666666667,IF(AND(OR(AG65="Allaitement",AG65="Sans déjeuner"),F65-D65&gt;0.166666666666667),F65-D65,F65-D65)))))))</f>
        <v>0</v>
      </c>
      <c r="P65" s="6" t="str">
        <f aca="false">IFERROR(VLOOKUP($B65,Agents!$A:$D,2,0),"-")</f>
        <v>Accessibilité</v>
      </c>
      <c r="Q65" s="21" t="n">
        <v>45997</v>
      </c>
      <c r="R65" s="8" t="n">
        <f aca="false">IF(M65="Abs",O65,0)</f>
        <v>0</v>
      </c>
      <c r="S65" s="8" t="n">
        <f aca="false">SUM(R65,L65,I65,J65,W65,H65)</f>
        <v>0</v>
      </c>
      <c r="T65" s="6" t="str">
        <f aca="false">"Sem - "&amp;WEEKNUM(Q65,21)</f>
        <v>Sem - 49</v>
      </c>
      <c r="U65" s="6" t="str">
        <f aca="false">CHOOSE(MONTH(Q65),"Janvier","Février","Mars","Avril","Mai","Juin","Juillet","Août","Septembre","Octobre","Novembre","Décembre")</f>
        <v>Décembre</v>
      </c>
      <c r="V65" s="22" t="n">
        <f aca="false">YEAR(Q65)</f>
        <v>2025</v>
      </c>
      <c r="W65" s="20"/>
      <c r="X65" s="8" t="n">
        <f aca="false">IFERROR(IF(M65="Abs",0,IF(ROUND((D65-C65+E65-F65)*1440,0)&lt;=1,0,D65-C65+E65-F65)),0)</f>
        <v>0</v>
      </c>
      <c r="Y65" s="6" t="str">
        <f aca="false">IFERROR(VLOOKUP($B65,Agents!$A:$D,3,0),"-")</f>
        <v>OUBRAHIM Mohammed</v>
      </c>
      <c r="Z65" s="6" t="str">
        <f aca="false">IFERROR(VLOOKUP($B65,Agents!$A:$D,4,0),"-")</f>
        <v>Credit Mutuel</v>
      </c>
      <c r="AA65" s="18" t="s">
        <v>76</v>
      </c>
      <c r="AB65" s="8" t="str">
        <f aca="false">IF(AND(D65="Congé",F65="Congé"),0.333333333333333,IF(OR(AND(D65="Congé",F65&lt;&gt;"Congé"),(AND(F65="Congé",D65&lt;&gt;"Congé"))),0.166666666666667,""))</f>
        <v/>
      </c>
      <c r="AC65" s="8" t="str">
        <f aca="false">IF(AND(D65="Congé sans solde",F65="Congé sans solde"),0.333333333333333,IF(OR(AND(D65="Congé sans solde",F65&lt;&gt;"Congé sans solde"),(AND(F65="Congé sans solde",D65&lt;&gt;"Congé sans solde"))),0.166666666666667,""))</f>
        <v/>
      </c>
      <c r="AD65" s="8" t="str">
        <f aca="false">IF(AND(D65="Congé spécial",F65="Congé spécial"),0.333333333333333,IF(OR(AND(D65="Congé spécial",F65&lt;&gt;"Congé spécial"),AND(F65="Congé spécial",D65&lt;&gt;"Congé spécial")),0.166666666666667,""))</f>
        <v/>
      </c>
      <c r="AE65" s="8" t="str">
        <f aca="false">IF(AND(D65="Férié",F65="Férié"),0.333333333333333,IF(OR(AND(D65="Férié",F65&lt;&gt;"Férié"),(AND(F65="Férié",D65&lt;&gt;"Férié"))),0.166666666666667,""))</f>
        <v/>
      </c>
      <c r="AF65" s="18"/>
      <c r="AG65" s="18"/>
    </row>
    <row r="66" customFormat="false" ht="15" hidden="false" customHeight="false" outlineLevel="0" collapsed="false">
      <c r="A66" s="6" t="str">
        <f aca="false">YEAR(Q66-WEEKDAY(Q66,2)+4)&amp;"-S"&amp;TEXT(WEEKNUM(Q66,21),"00")</f>
        <v>2025-S49</v>
      </c>
      <c r="B66" s="18" t="s">
        <v>69</v>
      </c>
      <c r="C66" s="19"/>
      <c r="D66" s="19" t="s">
        <v>74</v>
      </c>
      <c r="E66" s="19"/>
      <c r="F66" s="19" t="s">
        <v>74</v>
      </c>
      <c r="G66" s="20"/>
      <c r="H66" s="20"/>
      <c r="I66" s="8" t="str">
        <f aca="false">IF(IF(OR(C66="",D66="Congé",D66="OFF",D66="Congé spécial"),"",IF(D66&gt;F66,D66-C66,IF(C66-D66&lt;0,0,C66-D66)))&lt;0.00068287037037037,"",IF(OR(D66="Congé",D66="OFF",C66="",D66="Congé spécial"),"",IF(D66&gt;F66,D66-C66,IF(C66-D66&lt;0,0,C66-D66))))</f>
        <v/>
      </c>
      <c r="J66" s="20"/>
      <c r="K66" s="8" t="n">
        <f aca="false">IF(SUM(H66:J66)&lt;0.00068287037037037,0,SUM(H66:J66))</f>
        <v>0</v>
      </c>
      <c r="L66" s="8" t="n">
        <f aca="false">IF(OR(F66="Congé",F66="OFF",M66="Abs",F66="Congé sans solde",F66="Férié",F66="Congé spécial",D66="Congé spécial"),0,IF(F66-E66&lt;0,0,IF(F66-E66&lt;=0.00068287037037037,0,F66-E66)))</f>
        <v>0</v>
      </c>
      <c r="M66" s="6" t="n">
        <f aca="false">IF(AND(O66&lt;&gt;0,C66=""),"Abs",0)</f>
        <v>0</v>
      </c>
      <c r="N66" s="8" t="str">
        <f aca="false">IFERROR(IF(OR(D66="OFF",D66="Congé",M66="Abs",D66="Congé sans solde",D66="Férié"),"",IF(O66-K66-L66&gt;O66,O66,IF(O66-K66-L66&lt;0,"",O66-K66-L66))),"")</f>
        <v/>
      </c>
      <c r="O66" s="8" t="n">
        <f aca="false">IF(AG66="2H Pause déjeuner",IF(F66-D66-0.0833333333333333&lt;0,F66-D66-0.0833333333333333+1,F66-D66-0.0833333333333333),IF(OR(AND(F66="OFF",D66="OFF"),AND(F66="Congé",D66="Congé"),AND(F66="Congé sans solde",D66="Congé sans solde"),AND(F66="Congé spécial",D66="Congé spécial"),AND(F66="Férié",D66="Férié"),AND(F66="OFF",D66="Congé"),AND(F66="OFF",D66="Congé sans solde"),AND(F66="OFF",D66="Congé spécial"),AND(F66="OFF",D66="Férié"),AND(F66="Congé",D66="OFF"),AND(F66="Congé",D66="Congé sans solde"),AND(F66="Congé",D66="Congé spécial"),AND(F66="Congé",D66="Férié"),AND(F66="Congé sans solde",D66="OFF"),AND(F66="Congé sans solde",D66="Congé"),AND(F66="Congé sans solde",D66="Congé spécial"),AND(F66="Congé sans solde",D66="Férié"),AND(F66="Congé spécial",D66="OFF"),AND(F66="Congé spécial",D66="Congé"),AND(F66="Congé spécial",D66="Congé sans solde"),AND(F66="Congé spécial",D66="Férié"),AND(F66="Férié",D66="OFF"),AND(F66="Férié",D66="Congé"),AND(F66="Férié",D66="Congé sans solde"),AND(F66="Férié",D66="Congé spécial")),0,IF(OR(F66="OFF",F66="Congé",F66="Congé spécial",F66="Congé sans solde",D66="OFF",D66="Congé",D66="Congé spécial",D66="Congé sans solde"),0.208333333333334,IF(AND(AG66="",F66-D66&lt;0),("24:00:00"-D66)+("00:00:00"+F66)-0.0416666666666667,IF(AND(OR(AG66="Allaitement",AG66="Sans déjeuner"),F66-D66&lt;0),("24:00:00"-D66)+("00:00:00"+F66),IF(AND(AG66="",F66-D66&gt;0.166666666666667),F66-D66-0.0416666666666667,IF(AND(OR(AG66="Allaitement",AG66="Sans déjeuner"),F66-D66&gt;0.166666666666667),F66-D66,F66-D66)))))))</f>
        <v>0</v>
      </c>
      <c r="P66" s="6" t="str">
        <f aca="false">IFERROR(VLOOKUP($B66,Agents!$A:$D,2,0),"-")</f>
        <v>Accessibilité</v>
      </c>
      <c r="Q66" s="21" t="n">
        <v>45998</v>
      </c>
      <c r="R66" s="8" t="n">
        <f aca="false">IF(M66="Abs",O66,0)</f>
        <v>0</v>
      </c>
      <c r="S66" s="8" t="n">
        <f aca="false">SUM(R66,L66,I66,J66,W66,H66)</f>
        <v>0</v>
      </c>
      <c r="T66" s="6" t="str">
        <f aca="false">"Sem - "&amp;WEEKNUM(Q66,21)</f>
        <v>Sem - 49</v>
      </c>
      <c r="U66" s="6" t="str">
        <f aca="false">CHOOSE(MONTH(Q66),"Janvier","Février","Mars","Avril","Mai","Juin","Juillet","Août","Septembre","Octobre","Novembre","Décembre")</f>
        <v>Décembre</v>
      </c>
      <c r="V66" s="22" t="n">
        <f aca="false">YEAR(Q66)</f>
        <v>2025</v>
      </c>
      <c r="W66" s="20"/>
      <c r="X66" s="8" t="n">
        <f aca="false">IFERROR(IF(M66="Abs",0,IF(ROUND((D66-C66+E66-F66)*1440,0)&lt;=1,0,D66-C66+E66-F66)),0)</f>
        <v>0</v>
      </c>
      <c r="Y66" s="6" t="str">
        <f aca="false">IFERROR(VLOOKUP($B66,Agents!$A:$D,3,0),"-")</f>
        <v>OUBRAHIM Mohammed</v>
      </c>
      <c r="Z66" s="6" t="str">
        <f aca="false">IFERROR(VLOOKUP($B66,Agents!$A:$D,4,0),"-")</f>
        <v>Credit Mutuel</v>
      </c>
      <c r="AA66" s="18" t="s">
        <v>76</v>
      </c>
      <c r="AB66" s="8" t="str">
        <f aca="false">IF(AND(D66="Congé",F66="Congé"),0.333333333333333,IF(OR(AND(D66="Congé",F66&lt;&gt;"Congé"),(AND(F66="Congé",D66&lt;&gt;"Congé"))),0.166666666666667,""))</f>
        <v/>
      </c>
      <c r="AC66" s="8" t="str">
        <f aca="false">IF(AND(D66="Congé sans solde",F66="Congé sans solde"),0.333333333333333,IF(OR(AND(D66="Congé sans solde",F66&lt;&gt;"Congé sans solde"),(AND(F66="Congé sans solde",D66&lt;&gt;"Congé sans solde"))),0.166666666666667,""))</f>
        <v/>
      </c>
      <c r="AD66" s="8" t="str">
        <f aca="false">IF(AND(D66="Congé spécial",F66="Congé spécial"),0.333333333333333,IF(OR(AND(D66="Congé spécial",F66&lt;&gt;"Congé spécial"),AND(F66="Congé spécial",D66&lt;&gt;"Congé spécial")),0.166666666666667,""))</f>
        <v/>
      </c>
      <c r="AE66" s="8" t="str">
        <f aca="false">IF(AND(D66="Férié",F66="Férié"),0.333333333333333,IF(OR(AND(D66="Férié",F66&lt;&gt;"Férié"),(AND(F66="Férié",D66&lt;&gt;"Férié"))),0.166666666666667,""))</f>
        <v/>
      </c>
      <c r="AF66" s="18"/>
      <c r="AG66" s="18"/>
    </row>
    <row r="67" customFormat="false" ht="15" hidden="false" customHeight="false" outlineLevel="0" collapsed="false">
      <c r="A67" s="6" t="str">
        <f aca="false">YEAR(Q67-WEEKDAY(Q67,2)+4)&amp;"-S"&amp;TEXT(WEEKNUM(Q67,21),"00")</f>
        <v>2025-S49</v>
      </c>
      <c r="B67" s="18" t="s">
        <v>71</v>
      </c>
      <c r="C67" s="19"/>
      <c r="D67" s="19" t="s">
        <v>74</v>
      </c>
      <c r="E67" s="19"/>
      <c r="F67" s="19" t="s">
        <v>74</v>
      </c>
      <c r="G67" s="20"/>
      <c r="H67" s="20"/>
      <c r="I67" s="8" t="str">
        <f aca="false">IF(IF(OR(C67="",D67="Congé",D67="OFF",D67="Congé spécial"),"",IF(D67&gt;F67,D67-C67,IF(C67-D67&lt;0,0,C67-D67)))&lt;0.00068287037037037,"",IF(OR(D67="Congé",D67="OFF",C67="",D67="Congé spécial"),"",IF(D67&gt;F67,D67-C67,IF(C67-D67&lt;0,0,C67-D67))))</f>
        <v/>
      </c>
      <c r="J67" s="20"/>
      <c r="K67" s="8" t="n">
        <f aca="false">IF(SUM(H67:J67)&lt;0.00068287037037037,0,SUM(H67:J67))</f>
        <v>0</v>
      </c>
      <c r="L67" s="8" t="n">
        <f aca="false">IF(OR(F67="Congé",F67="OFF",M67="Abs",F67="Congé sans solde",F67="Férié",F67="Congé spécial",D67="Congé spécial"),0,IF(F67-E67&lt;0,0,IF(F67-E67&lt;=0.00068287037037037,0,F67-E67)))</f>
        <v>0</v>
      </c>
      <c r="M67" s="6" t="n">
        <f aca="false">IF(AND(O67&lt;&gt;0,C67=""),"Abs",0)</f>
        <v>0</v>
      </c>
      <c r="N67" s="8" t="str">
        <f aca="false">IFERROR(IF(OR(D67="OFF",D67="Congé",M67="Abs",D67="Congé sans solde",D67="Férié"),"",IF(O67-K67-L67&gt;O67,O67,IF(O67-K67-L67&lt;0,"",O67-K67-L67))),"")</f>
        <v/>
      </c>
      <c r="O67" s="8" t="n">
        <f aca="false">IF(AG67="2H Pause déjeuner",IF(F67-D67-0.0833333333333333&lt;0,F67-D67-0.0833333333333333+1,F67-D67-0.0833333333333333),IF(OR(AND(F67="OFF",D67="OFF"),AND(F67="Congé",D67="Congé"),AND(F67="Congé sans solde",D67="Congé sans solde"),AND(F67="Congé spécial",D67="Congé spécial"),AND(F67="Férié",D67="Férié"),AND(F67="OFF",D67="Congé"),AND(F67="OFF",D67="Congé sans solde"),AND(F67="OFF",D67="Congé spécial"),AND(F67="OFF",D67="Férié"),AND(F67="Congé",D67="OFF"),AND(F67="Congé",D67="Congé sans solde"),AND(F67="Congé",D67="Congé spécial"),AND(F67="Congé",D67="Férié"),AND(F67="Congé sans solde",D67="OFF"),AND(F67="Congé sans solde",D67="Congé"),AND(F67="Congé sans solde",D67="Congé spécial"),AND(F67="Congé sans solde",D67="Férié"),AND(F67="Congé spécial",D67="OFF"),AND(F67="Congé spécial",D67="Congé"),AND(F67="Congé spécial",D67="Congé sans solde"),AND(F67="Congé spécial",D67="Férié"),AND(F67="Férié",D67="OFF"),AND(F67="Férié",D67="Congé"),AND(F67="Férié",D67="Congé sans solde"),AND(F67="Férié",D67="Congé spécial")),0,IF(OR(F67="OFF",F67="Congé",F67="Congé spécial",F67="Congé sans solde",D67="OFF",D67="Congé",D67="Congé spécial",D67="Congé sans solde"),0.208333333333334,IF(AND(AG67="",F67-D67&lt;0),("24:00:00"-D67)+("00:00:00"+F67)-0.0416666666666667,IF(AND(OR(AG67="Allaitement",AG67="Sans déjeuner"),F67-D67&lt;0),("24:00:00"-D67)+("00:00:00"+F67),IF(AND(AG67="",F67-D67&gt;0.166666666666667),F67-D67-0.0416666666666667,IF(AND(OR(AG67="Allaitement",AG67="Sans déjeuner"),F67-D67&gt;0.166666666666667),F67-D67,F67-D67)))))))</f>
        <v>0</v>
      </c>
      <c r="P67" s="6" t="str">
        <f aca="false">IFERROR(VLOOKUP($B67,Agents!$A:$D,2,0),"-")</f>
        <v>Accessibilité</v>
      </c>
      <c r="Q67" s="21" t="n">
        <v>45998</v>
      </c>
      <c r="R67" s="8" t="n">
        <f aca="false">IF(M67="Abs",O67,0)</f>
        <v>0</v>
      </c>
      <c r="S67" s="8" t="n">
        <f aca="false">SUM(R67,L67,I67,J67,W67,H67)</f>
        <v>0</v>
      </c>
      <c r="T67" s="6" t="str">
        <f aca="false">"Sem - "&amp;WEEKNUM(Q67,21)</f>
        <v>Sem - 49</v>
      </c>
      <c r="U67" s="6" t="str">
        <f aca="false">CHOOSE(MONTH(Q67),"Janvier","Février","Mars","Avril","Mai","Juin","Juillet","Août","Septembre","Octobre","Novembre","Décembre")</f>
        <v>Décembre</v>
      </c>
      <c r="V67" s="22" t="n">
        <f aca="false">YEAR(Q67)</f>
        <v>2025</v>
      </c>
      <c r="W67" s="20"/>
      <c r="X67" s="8" t="n">
        <f aca="false">IFERROR(IF(M67="Abs",0,IF(ROUND((D67-C67+E67-F67)*1440,0)&lt;=1,0,D67-C67+E67-F67)),0)</f>
        <v>0</v>
      </c>
      <c r="Y67" s="6" t="str">
        <f aca="false">IFERROR(VLOOKUP($B67,Agents!$A:$D,3,0),"-")</f>
        <v>OUBRAHIM Mohammed</v>
      </c>
      <c r="Z67" s="6" t="str">
        <f aca="false">IFERROR(VLOOKUP($B67,Agents!$A:$D,4,0),"-")</f>
        <v>Credit Mutuel</v>
      </c>
      <c r="AA67" s="18" t="s">
        <v>76</v>
      </c>
      <c r="AB67" s="8" t="str">
        <f aca="false">IF(AND(D67="Congé",F67="Congé"),0.333333333333333,IF(OR(AND(D67="Congé",F67&lt;&gt;"Congé"),(AND(F67="Congé",D67&lt;&gt;"Congé"))),0.166666666666667,""))</f>
        <v/>
      </c>
      <c r="AC67" s="8" t="str">
        <f aca="false">IF(AND(D67="Congé sans solde",F67="Congé sans solde"),0.333333333333333,IF(OR(AND(D67="Congé sans solde",F67&lt;&gt;"Congé sans solde"),(AND(F67="Congé sans solde",D67&lt;&gt;"Congé sans solde"))),0.166666666666667,""))</f>
        <v/>
      </c>
      <c r="AD67" s="8" t="str">
        <f aca="false">IF(AND(D67="Congé spécial",F67="Congé spécial"),0.333333333333333,IF(OR(AND(D67="Congé spécial",F67&lt;&gt;"Congé spécial"),AND(F67="Congé spécial",D67&lt;&gt;"Congé spécial")),0.166666666666667,""))</f>
        <v/>
      </c>
      <c r="AE67" s="8" t="str">
        <f aca="false">IF(AND(D67="Férié",F67="Férié"),0.333333333333333,IF(OR(AND(D67="Férié",F67&lt;&gt;"Férié"),(AND(F67="Férié",D67&lt;&gt;"Férié"))),0.166666666666667,""))</f>
        <v/>
      </c>
      <c r="AF67" s="18"/>
      <c r="AG67" s="18"/>
    </row>
    <row r="68" customFormat="false" ht="15" hidden="false" customHeight="false" outlineLevel="0" collapsed="false">
      <c r="A68" s="6" t="str">
        <f aca="false">YEAR(Q68-WEEKDAY(Q68,2)+4)&amp;"-S"&amp;TEXT(WEEKNUM(Q68,21),"00")</f>
        <v>2025-S49</v>
      </c>
      <c r="B68" s="18" t="s">
        <v>72</v>
      </c>
      <c r="C68" s="19"/>
      <c r="D68" s="19" t="s">
        <v>74</v>
      </c>
      <c r="E68" s="19"/>
      <c r="F68" s="19" t="s">
        <v>74</v>
      </c>
      <c r="G68" s="20"/>
      <c r="H68" s="20"/>
      <c r="I68" s="8" t="str">
        <f aca="false">IF(IF(OR(C68="",D68="Congé",D68="OFF",D68="Congé spécial"),"",IF(D68&gt;F68,D68-C68,IF(C68-D68&lt;0,0,C68-D68)))&lt;0.00068287037037037,"",IF(OR(D68="Congé",D68="OFF",C68="",D68="Congé spécial"),"",IF(D68&gt;F68,D68-C68,IF(C68-D68&lt;0,0,C68-D68))))</f>
        <v/>
      </c>
      <c r="J68" s="20"/>
      <c r="K68" s="8" t="n">
        <f aca="false">IF(SUM(H68:J68)&lt;0.00068287037037037,0,SUM(H68:J68))</f>
        <v>0</v>
      </c>
      <c r="L68" s="8" t="n">
        <f aca="false">IF(OR(F68="Congé",F68="OFF",M68="Abs",F68="Congé sans solde",F68="Férié",F68="Congé spécial",D68="Congé spécial"),0,IF(F68-E68&lt;0,0,IF(F68-E68&lt;=0.00068287037037037,0,F68-E68)))</f>
        <v>0</v>
      </c>
      <c r="M68" s="6" t="n">
        <f aca="false">IF(AND(O68&lt;&gt;0,C68=""),"Abs",0)</f>
        <v>0</v>
      </c>
      <c r="N68" s="8" t="str">
        <f aca="false">IFERROR(IF(OR(D68="OFF",D68="Congé",M68="Abs",D68="Congé sans solde",D68="Férié"),"",IF(O68-K68-L68&gt;O68,O68,IF(O68-K68-L68&lt;0,"",O68-K68-L68))),"")</f>
        <v/>
      </c>
      <c r="O68" s="8" t="n">
        <f aca="false">IF(AG68="2H Pause déjeuner",IF(F68-D68-0.0833333333333333&lt;0,F68-D68-0.0833333333333333+1,F68-D68-0.0833333333333333),IF(OR(AND(F68="OFF",D68="OFF"),AND(F68="Congé",D68="Congé"),AND(F68="Congé sans solde",D68="Congé sans solde"),AND(F68="Congé spécial",D68="Congé spécial"),AND(F68="Férié",D68="Férié"),AND(F68="OFF",D68="Congé"),AND(F68="OFF",D68="Congé sans solde"),AND(F68="OFF",D68="Congé spécial"),AND(F68="OFF",D68="Férié"),AND(F68="Congé",D68="OFF"),AND(F68="Congé",D68="Congé sans solde"),AND(F68="Congé",D68="Congé spécial"),AND(F68="Congé",D68="Férié"),AND(F68="Congé sans solde",D68="OFF"),AND(F68="Congé sans solde",D68="Congé"),AND(F68="Congé sans solde",D68="Congé spécial"),AND(F68="Congé sans solde",D68="Férié"),AND(F68="Congé spécial",D68="OFF"),AND(F68="Congé spécial",D68="Congé"),AND(F68="Congé spécial",D68="Congé sans solde"),AND(F68="Congé spécial",D68="Férié"),AND(F68="Férié",D68="OFF"),AND(F68="Férié",D68="Congé"),AND(F68="Férié",D68="Congé sans solde"),AND(F68="Férié",D68="Congé spécial")),0,IF(OR(F68="OFF",F68="Congé",F68="Congé spécial",F68="Congé sans solde",D68="OFF",D68="Congé",D68="Congé spécial",D68="Congé sans solde"),0.208333333333334,IF(AND(AG68="",F68-D68&lt;0),("24:00:00"-D68)+("00:00:00"+F68)-0.0416666666666667,IF(AND(OR(AG68="Allaitement",AG68="Sans déjeuner"),F68-D68&lt;0),("24:00:00"-D68)+("00:00:00"+F68),IF(AND(AG68="",F68-D68&gt;0.166666666666667),F68-D68-0.0416666666666667,IF(AND(OR(AG68="Allaitement",AG68="Sans déjeuner"),F68-D68&gt;0.166666666666667),F68-D68,F68-D68)))))))</f>
        <v>0</v>
      </c>
      <c r="P68" s="6" t="str">
        <f aca="false">IFERROR(VLOOKUP($B68,Agents!$A:$D,2,0),"-")</f>
        <v>Accessibilité</v>
      </c>
      <c r="Q68" s="21" t="n">
        <v>45998</v>
      </c>
      <c r="R68" s="8" t="n">
        <f aca="false">IF(M68="Abs",O68,0)</f>
        <v>0</v>
      </c>
      <c r="S68" s="8" t="n">
        <f aca="false">SUM(R68,L68,I68,J68,W68,H68)</f>
        <v>0</v>
      </c>
      <c r="T68" s="6" t="str">
        <f aca="false">"Sem - "&amp;WEEKNUM(Q68,21)</f>
        <v>Sem - 49</v>
      </c>
      <c r="U68" s="6" t="str">
        <f aca="false">CHOOSE(MONTH(Q68),"Janvier","Février","Mars","Avril","Mai","Juin","Juillet","Août","Septembre","Octobre","Novembre","Décembre")</f>
        <v>Décembre</v>
      </c>
      <c r="V68" s="22" t="n">
        <f aca="false">YEAR(Q68)</f>
        <v>2025</v>
      </c>
      <c r="W68" s="20"/>
      <c r="X68" s="8" t="n">
        <f aca="false">IFERROR(IF(M68="Abs",0,IF(ROUND((D68-C68+E68-F68)*1440,0)&lt;=1,0,D68-C68+E68-F68)),0)</f>
        <v>0</v>
      </c>
      <c r="Y68" s="6" t="str">
        <f aca="false">IFERROR(VLOOKUP($B68,Agents!$A:$D,3,0),"-")</f>
        <v>OUBRAHIM Mohammed</v>
      </c>
      <c r="Z68" s="6" t="str">
        <f aca="false">IFERROR(VLOOKUP($B68,Agents!$A:$D,4,0),"-")</f>
        <v>Credit Mutuel</v>
      </c>
      <c r="AA68" s="18" t="s">
        <v>76</v>
      </c>
      <c r="AB68" s="8" t="str">
        <f aca="false">IF(AND(D68="Congé",F68="Congé"),0.333333333333333,IF(OR(AND(D68="Congé",F68&lt;&gt;"Congé"),(AND(F68="Congé",D68&lt;&gt;"Congé"))),0.166666666666667,""))</f>
        <v/>
      </c>
      <c r="AC68" s="8" t="str">
        <f aca="false">IF(AND(D68="Congé sans solde",F68="Congé sans solde"),0.333333333333333,IF(OR(AND(D68="Congé sans solde",F68&lt;&gt;"Congé sans solde"),(AND(F68="Congé sans solde",D68&lt;&gt;"Congé sans solde"))),0.166666666666667,""))</f>
        <v/>
      </c>
      <c r="AD68" s="8" t="str">
        <f aca="false">IF(AND(D68="Congé spécial",F68="Congé spécial"),0.333333333333333,IF(OR(AND(D68="Congé spécial",F68&lt;&gt;"Congé spécial"),AND(F68="Congé spécial",D68&lt;&gt;"Congé spécial")),0.166666666666667,""))</f>
        <v/>
      </c>
      <c r="AE68" s="8" t="str">
        <f aca="false">IF(AND(D68="Férié",F68="Férié"),0.333333333333333,IF(OR(AND(D68="Férié",F68&lt;&gt;"Férié"),(AND(F68="Férié",D68&lt;&gt;"Férié"))),0.166666666666667,""))</f>
        <v/>
      </c>
      <c r="AF68" s="18"/>
      <c r="AG68" s="18"/>
    </row>
    <row r="69" customFormat="false" ht="15" hidden="false" customHeight="false" outlineLevel="0" collapsed="false">
      <c r="A69" s="6" t="str">
        <f aca="false">YEAR(Q69-WEEKDAY(Q69,2)+4)&amp;"-S"&amp;TEXT(WEEKNUM(Q69,21),"00")</f>
        <v>2025-S49</v>
      </c>
      <c r="B69" s="18" t="s">
        <v>73</v>
      </c>
      <c r="C69" s="19"/>
      <c r="D69" s="19" t="s">
        <v>74</v>
      </c>
      <c r="E69" s="19"/>
      <c r="F69" s="19" t="s">
        <v>74</v>
      </c>
      <c r="G69" s="20"/>
      <c r="H69" s="20"/>
      <c r="I69" s="8" t="str">
        <f aca="false">IF(IF(OR(C69="",D69="Congé",D69="OFF",D69="Congé spécial"),"",IF(D69&gt;F69,D69-C69,IF(C69-D69&lt;0,0,C69-D69)))&lt;0.00068287037037037,"",IF(OR(D69="Congé",D69="OFF",C69="",D69="Congé spécial"),"",IF(D69&gt;F69,D69-C69,IF(C69-D69&lt;0,0,C69-D69))))</f>
        <v/>
      </c>
      <c r="J69" s="20"/>
      <c r="K69" s="8" t="n">
        <f aca="false">IF(SUM(H69:J69)&lt;0.00068287037037037,0,SUM(H69:J69))</f>
        <v>0</v>
      </c>
      <c r="L69" s="8" t="n">
        <f aca="false">IF(OR(F69="Congé",F69="OFF",M69="Abs",F69="Congé sans solde",F69="Férié",F69="Congé spécial",D69="Congé spécial"),0,IF(F69-E69&lt;0,0,IF(F69-E69&lt;=0.00068287037037037,0,F69-E69)))</f>
        <v>0</v>
      </c>
      <c r="M69" s="6" t="n">
        <f aca="false">IF(AND(O69&lt;&gt;0,C69=""),"Abs",0)</f>
        <v>0</v>
      </c>
      <c r="N69" s="8" t="str">
        <f aca="false">IFERROR(IF(OR(D69="OFF",D69="Congé",M69="Abs",D69="Congé sans solde",D69="Férié"),"",IF(O69-K69-L69&gt;O69,O69,IF(O69-K69-L69&lt;0,"",O69-K69-L69))),"")</f>
        <v/>
      </c>
      <c r="O69" s="8" t="n">
        <f aca="false">IF(AG69="2H Pause déjeuner",IF(F69-D69-0.0833333333333333&lt;0,F69-D69-0.0833333333333333+1,F69-D69-0.0833333333333333),IF(OR(AND(F69="OFF",D69="OFF"),AND(F69="Congé",D69="Congé"),AND(F69="Congé sans solde",D69="Congé sans solde"),AND(F69="Congé spécial",D69="Congé spécial"),AND(F69="Férié",D69="Férié"),AND(F69="OFF",D69="Congé"),AND(F69="OFF",D69="Congé sans solde"),AND(F69="OFF",D69="Congé spécial"),AND(F69="OFF",D69="Férié"),AND(F69="Congé",D69="OFF"),AND(F69="Congé",D69="Congé sans solde"),AND(F69="Congé",D69="Congé spécial"),AND(F69="Congé",D69="Férié"),AND(F69="Congé sans solde",D69="OFF"),AND(F69="Congé sans solde",D69="Congé"),AND(F69="Congé sans solde",D69="Congé spécial"),AND(F69="Congé sans solde",D69="Férié"),AND(F69="Congé spécial",D69="OFF"),AND(F69="Congé spécial",D69="Congé"),AND(F69="Congé spécial",D69="Congé sans solde"),AND(F69="Congé spécial",D69="Férié"),AND(F69="Férié",D69="OFF"),AND(F69="Férié",D69="Congé"),AND(F69="Férié",D69="Congé sans solde"),AND(F69="Férié",D69="Congé spécial")),0,IF(OR(F69="OFF",F69="Congé",F69="Congé spécial",F69="Congé sans solde",D69="OFF",D69="Congé",D69="Congé spécial",D69="Congé sans solde"),0.208333333333334,IF(AND(AG69="",F69-D69&lt;0),("24:00:00"-D69)+("00:00:00"+F69)-0.0416666666666667,IF(AND(OR(AG69="Allaitement",AG69="Sans déjeuner"),F69-D69&lt;0),("24:00:00"-D69)+("00:00:00"+F69),IF(AND(AG69="",F69-D69&gt;0.166666666666667),F69-D69-0.0416666666666667,IF(AND(OR(AG69="Allaitement",AG69="Sans déjeuner"),F69-D69&gt;0.166666666666667),F69-D69,F69-D69)))))))</f>
        <v>0</v>
      </c>
      <c r="P69" s="6" t="str">
        <f aca="false">IFERROR(VLOOKUP($B69,Agents!$A:$D,2,0),"-")</f>
        <v>Accessibilité</v>
      </c>
      <c r="Q69" s="21" t="n">
        <v>45998</v>
      </c>
      <c r="R69" s="8" t="n">
        <f aca="false">IF(M69="Abs",O69,0)</f>
        <v>0</v>
      </c>
      <c r="S69" s="8" t="n">
        <f aca="false">SUM(R69,L69,I69,J69,W69,H69)</f>
        <v>0</v>
      </c>
      <c r="T69" s="6" t="str">
        <f aca="false">"Sem - "&amp;WEEKNUM(Q69,21)</f>
        <v>Sem - 49</v>
      </c>
      <c r="U69" s="6" t="str">
        <f aca="false">CHOOSE(MONTH(Q69),"Janvier","Février","Mars","Avril","Mai","Juin","Juillet","Août","Septembre","Octobre","Novembre","Décembre")</f>
        <v>Décembre</v>
      </c>
      <c r="V69" s="22" t="n">
        <f aca="false">YEAR(Q69)</f>
        <v>2025</v>
      </c>
      <c r="W69" s="20"/>
      <c r="X69" s="8" t="n">
        <f aca="false">IFERROR(IF(M69="Abs",0,IF(ROUND((D69-C69+E69-F69)*1440,0)&lt;=1,0,D69-C69+E69-F69)),0)</f>
        <v>0</v>
      </c>
      <c r="Y69" s="6" t="str">
        <f aca="false">IFERROR(VLOOKUP($B69,Agents!$A:$D,3,0),"-")</f>
        <v>OUBRAHIM Mohammed</v>
      </c>
      <c r="Z69" s="6" t="str">
        <f aca="false">IFERROR(VLOOKUP($B69,Agents!$A:$D,4,0),"-")</f>
        <v>Credit Mutuel</v>
      </c>
      <c r="AA69" s="18" t="s">
        <v>76</v>
      </c>
      <c r="AB69" s="8" t="str">
        <f aca="false">IF(AND(D69="Congé",F69="Congé"),0.333333333333333,IF(OR(AND(D69="Congé",F69&lt;&gt;"Congé"),(AND(F69="Congé",D69&lt;&gt;"Congé"))),0.166666666666667,""))</f>
        <v/>
      </c>
      <c r="AC69" s="8" t="str">
        <f aca="false">IF(AND(D69="Congé sans solde",F69="Congé sans solde"),0.333333333333333,IF(OR(AND(D69="Congé sans solde",F69&lt;&gt;"Congé sans solde"),(AND(F69="Congé sans solde",D69&lt;&gt;"Congé sans solde"))),0.166666666666667,""))</f>
        <v/>
      </c>
      <c r="AD69" s="8" t="str">
        <f aca="false">IF(AND(D69="Congé spécial",F69="Congé spécial"),0.333333333333333,IF(OR(AND(D69="Congé spécial",F69&lt;&gt;"Congé spécial"),AND(F69="Congé spécial",D69&lt;&gt;"Congé spécial")),0.166666666666667,""))</f>
        <v/>
      </c>
      <c r="AE69" s="8" t="str">
        <f aca="false">IF(AND(D69="Férié",F69="Férié"),0.333333333333333,IF(OR(AND(D69="Férié",F69&lt;&gt;"Férié"),(AND(F69="Férié",D69&lt;&gt;"Férié"))),0.166666666666667,""))</f>
        <v/>
      </c>
      <c r="AF69" s="18"/>
      <c r="AG69" s="18"/>
    </row>
    <row r="70" customFormat="false" ht="15" hidden="false" customHeight="false" outlineLevel="0" collapsed="false">
      <c r="A70" s="6" t="str">
        <f aca="false">YEAR(Q70-WEEKDAY(Q70,2)+4)&amp;"-S"&amp;TEXT(WEEKNUM(Q70,21),"00")</f>
        <v>2025-S50</v>
      </c>
      <c r="B70" s="18" t="s">
        <v>69</v>
      </c>
      <c r="C70" s="19" t="n">
        <v>0.332638888888889</v>
      </c>
      <c r="D70" s="19" t="n">
        <v>0.333333333333333</v>
      </c>
      <c r="E70" s="19" t="n">
        <v>0.75</v>
      </c>
      <c r="F70" s="19" t="n">
        <v>0.75</v>
      </c>
      <c r="G70" s="20"/>
      <c r="H70" s="20"/>
      <c r="I70" s="8" t="str">
        <f aca="false">IF(IF(OR(C70="",D70="Congé",D70="OFF",D70="Congé spécial"),"",IF(D70&gt;F70,D70-C70,IF(C70-D70&lt;0,0,C70-D70)))&lt;0.00068287037037037,"",IF(OR(D70="Congé",D70="OFF",C70="",D70="Congé spécial"),"",IF(D70&gt;F70,D70-C70,IF(C70-D70&lt;0,0,C70-D70))))</f>
        <v/>
      </c>
      <c r="J70" s="20"/>
      <c r="K70" s="8" t="n">
        <f aca="false">IF(SUM(H70:J70)&lt;0.00068287037037037,0,SUM(H70:J70))</f>
        <v>0</v>
      </c>
      <c r="L70" s="8" t="n">
        <f aca="false">IF(OR(F70="Congé",F70="OFF",M70="Abs",F70="Congé sans solde",F70="Férié",F70="Congé spécial",D70="Congé spécial"),0,IF(F70-E70&lt;0,0,IF(F70-E70&lt;=0.00068287037037037,0,F70-E70)))</f>
        <v>0</v>
      </c>
      <c r="M70" s="6" t="n">
        <f aca="false">IF(AND(O70&lt;&gt;0,C70=""),"Abs",0)</f>
        <v>0</v>
      </c>
      <c r="N70" s="8" t="n">
        <f aca="false">IFERROR(IF(OR(D70="OFF",D70="Congé",M70="Abs",D70="Congé sans solde",D70="Férié"),"",IF(O70-K70-L70&gt;O70,O70,IF(O70-K70-L70&lt;0,"",O70-K70-L70))),"")</f>
        <v>0.375</v>
      </c>
      <c r="O70" s="8" t="n">
        <f aca="false">IF(AG70="2H Pause déjeuner",IF(F70-D70-0.0833333333333333&lt;0,F70-D70-0.0833333333333333+1,F70-D70-0.0833333333333333),IF(OR(AND(F70="OFF",D70="OFF"),AND(F70="Congé",D70="Congé"),AND(F70="Congé sans solde",D70="Congé sans solde"),AND(F70="Congé spécial",D70="Congé spécial"),AND(F70="Férié",D70="Férié"),AND(F70="OFF",D70="Congé"),AND(F70="OFF",D70="Congé sans solde"),AND(F70="OFF",D70="Congé spécial"),AND(F70="OFF",D70="Férié"),AND(F70="Congé",D70="OFF"),AND(F70="Congé",D70="Congé sans solde"),AND(F70="Congé",D70="Congé spécial"),AND(F70="Congé",D70="Férié"),AND(F70="Congé sans solde",D70="OFF"),AND(F70="Congé sans solde",D70="Congé"),AND(F70="Congé sans solde",D70="Congé spécial"),AND(F70="Congé sans solde",D70="Férié"),AND(F70="Congé spécial",D70="OFF"),AND(F70="Congé spécial",D70="Congé"),AND(F70="Congé spécial",D70="Congé sans solde"),AND(F70="Congé spécial",D70="Férié"),AND(F70="Férié",D70="OFF"),AND(F70="Férié",D70="Congé"),AND(F70="Férié",D70="Congé sans solde"),AND(F70="Férié",D70="Congé spécial")),0,IF(OR(F70="OFF",F70="Congé",F70="Congé spécial",F70="Congé sans solde",D70="OFF",D70="Congé",D70="Congé spécial",D70="Congé sans solde"),0.208333333333334,IF(AND(AG70="",F70-D70&lt;0),("24:00:00"-D70)+("00:00:00"+F70)-0.0416666666666667,IF(AND(OR(AG70="Allaitement",AG70="Sans déjeuner"),F70-D70&lt;0),("24:00:00"-D70)+("00:00:00"+F70),IF(AND(AG70="",F70-D70&gt;0.166666666666667),F70-D70-0.0416666666666667,IF(AND(OR(AG70="Allaitement",AG70="Sans déjeuner"),F70-D70&gt;0.166666666666667),F70-D70,F70-D70)))))))</f>
        <v>0.375</v>
      </c>
      <c r="P70" s="6" t="str">
        <f aca="false">IFERROR(VLOOKUP($B70,Agents!$A:$D,2,0),"-")</f>
        <v>Accessibilité</v>
      </c>
      <c r="Q70" s="21" t="n">
        <v>45999</v>
      </c>
      <c r="R70" s="8" t="n">
        <f aca="false">IF(M70="Abs",O70,0)</f>
        <v>0</v>
      </c>
      <c r="S70" s="8" t="n">
        <f aca="false">SUM(R70,L70,I70,J70,W70,H70)</f>
        <v>0</v>
      </c>
      <c r="T70" s="6" t="str">
        <f aca="false">"Sem - "&amp;WEEKNUM(Q70,21)</f>
        <v>Sem - 50</v>
      </c>
      <c r="U70" s="6" t="str">
        <f aca="false">CHOOSE(MONTH(Q70),"Janvier","Février","Mars","Avril","Mai","Juin","Juillet","Août","Septembre","Octobre","Novembre","Décembre")</f>
        <v>Décembre</v>
      </c>
      <c r="V70" s="22" t="n">
        <f aca="false">YEAR(Q70)</f>
        <v>2025</v>
      </c>
      <c r="W70" s="20"/>
      <c r="X70" s="8" t="n">
        <f aca="false">IFERROR(IF(M70="Abs",0,IF(ROUND((D70-C70+E70-F70)*1440,0)&lt;=1,0,D70-C70+E70-F70)),0)</f>
        <v>0</v>
      </c>
      <c r="Y70" s="6" t="str">
        <f aca="false">IFERROR(VLOOKUP($B70,Agents!$A:$D,3,0),"-")</f>
        <v>OUBRAHIM Mohammed</v>
      </c>
      <c r="Z70" s="6" t="str">
        <f aca="false">IFERROR(VLOOKUP($B70,Agents!$A:$D,4,0),"-")</f>
        <v>Credit Mutuel</v>
      </c>
      <c r="AA70" s="18" t="s">
        <v>77</v>
      </c>
      <c r="AB70" s="8" t="str">
        <f aca="false">IF(AND(D70="Congé",F70="Congé"),0.333333333333333,IF(OR(AND(D70="Congé",F70&lt;&gt;"Congé"),(AND(F70="Congé",D70&lt;&gt;"Congé"))),0.166666666666667,""))</f>
        <v/>
      </c>
      <c r="AC70" s="8" t="str">
        <f aca="false">IF(AND(D70="Congé sans solde",F70="Congé sans solde"),0.333333333333333,IF(OR(AND(D70="Congé sans solde",F70&lt;&gt;"Congé sans solde"),(AND(F70="Congé sans solde",D70&lt;&gt;"Congé sans solde"))),0.166666666666667,""))</f>
        <v/>
      </c>
      <c r="AD70" s="8" t="str">
        <f aca="false">IF(AND(D70="Congé spécial",F70="Congé spécial"),0.333333333333333,IF(OR(AND(D70="Congé spécial",F70&lt;&gt;"Congé spécial"),AND(F70="Congé spécial",D70&lt;&gt;"Congé spécial")),0.166666666666667,""))</f>
        <v/>
      </c>
      <c r="AE70" s="8" t="str">
        <f aca="false">IF(AND(D70="Férié",F70="Férié"),0.333333333333333,IF(OR(AND(D70="Férié",F70&lt;&gt;"Férié"),(AND(F70="Férié",D70&lt;&gt;"Férié"))),0.166666666666667,""))</f>
        <v/>
      </c>
      <c r="AF70" s="18"/>
      <c r="AG70" s="18"/>
    </row>
    <row r="71" customFormat="false" ht="15" hidden="false" customHeight="false" outlineLevel="0" collapsed="false">
      <c r="A71" s="6" t="str">
        <f aca="false">YEAR(Q71-WEEKDAY(Q71,2)+4)&amp;"-S"&amp;TEXT(WEEKNUM(Q71,21),"00")</f>
        <v>2025-S50</v>
      </c>
      <c r="B71" s="18" t="s">
        <v>71</v>
      </c>
      <c r="C71" s="19" t="n">
        <v>0.331944444444444</v>
      </c>
      <c r="D71" s="19" t="n">
        <v>0.333333333333333</v>
      </c>
      <c r="E71" s="19" t="n">
        <v>0.75</v>
      </c>
      <c r="F71" s="19" t="n">
        <v>0.75</v>
      </c>
      <c r="G71" s="20"/>
      <c r="H71" s="20"/>
      <c r="I71" s="8" t="str">
        <f aca="false">IF(IF(OR(C71="",D71="Congé",D71="OFF",D71="Congé spécial"),"",IF(D71&gt;F71,D71-C71,IF(C71-D71&lt;0,0,C71-D71)))&lt;0.00068287037037037,"",IF(OR(D71="Congé",D71="OFF",C71="",D71="Congé spécial"),"",IF(D71&gt;F71,D71-C71,IF(C71-D71&lt;0,0,C71-D71))))</f>
        <v/>
      </c>
      <c r="J71" s="20"/>
      <c r="K71" s="8" t="n">
        <f aca="false">IF(SUM(H71:J71)&lt;0.00068287037037037,0,SUM(H71:J71))</f>
        <v>0</v>
      </c>
      <c r="L71" s="8" t="n">
        <f aca="false">IF(OR(F71="Congé",F71="OFF",M71="Abs",F71="Congé sans solde",F71="Férié",F71="Congé spécial",D71="Congé spécial"),0,IF(F71-E71&lt;0,0,IF(F71-E71&lt;=0.00068287037037037,0,F71-E71)))</f>
        <v>0</v>
      </c>
      <c r="M71" s="6" t="n">
        <f aca="false">IF(AND(O71&lt;&gt;0,C71=""),"Abs",0)</f>
        <v>0</v>
      </c>
      <c r="N71" s="8" t="n">
        <f aca="false">IFERROR(IF(OR(D71="OFF",D71="Congé",M71="Abs",D71="Congé sans solde",D71="Férié"),"",IF(O71-K71-L71&gt;O71,O71,IF(O71-K71-L71&lt;0,"",O71-K71-L71))),"")</f>
        <v>0.375</v>
      </c>
      <c r="O71" s="8" t="n">
        <f aca="false">IF(AG71="2H Pause déjeuner",IF(F71-D71-0.0833333333333333&lt;0,F71-D71-0.0833333333333333+1,F71-D71-0.0833333333333333),IF(OR(AND(F71="OFF",D71="OFF"),AND(F71="Congé",D71="Congé"),AND(F71="Congé sans solde",D71="Congé sans solde"),AND(F71="Congé spécial",D71="Congé spécial"),AND(F71="Férié",D71="Férié"),AND(F71="OFF",D71="Congé"),AND(F71="OFF",D71="Congé sans solde"),AND(F71="OFF",D71="Congé spécial"),AND(F71="OFF",D71="Férié"),AND(F71="Congé",D71="OFF"),AND(F71="Congé",D71="Congé sans solde"),AND(F71="Congé",D71="Congé spécial"),AND(F71="Congé",D71="Férié"),AND(F71="Congé sans solde",D71="OFF"),AND(F71="Congé sans solde",D71="Congé"),AND(F71="Congé sans solde",D71="Congé spécial"),AND(F71="Congé sans solde",D71="Férié"),AND(F71="Congé spécial",D71="OFF"),AND(F71="Congé spécial",D71="Congé"),AND(F71="Congé spécial",D71="Congé sans solde"),AND(F71="Congé spécial",D71="Férié"),AND(F71="Férié",D71="OFF"),AND(F71="Férié",D71="Congé"),AND(F71="Férié",D71="Congé sans solde"),AND(F71="Férié",D71="Congé spécial")),0,IF(OR(F71="OFF",F71="Congé",F71="Congé spécial",F71="Congé sans solde",D71="OFF",D71="Congé",D71="Congé spécial",D71="Congé sans solde"),0.208333333333334,IF(AND(AG71="",F71-D71&lt;0),("24:00:00"-D71)+("00:00:00"+F71)-0.0416666666666667,IF(AND(OR(AG71="Allaitement",AG71="Sans déjeuner"),F71-D71&lt;0),("24:00:00"-D71)+("00:00:00"+F71),IF(AND(AG71="",F71-D71&gt;0.166666666666667),F71-D71-0.0416666666666667,IF(AND(OR(AG71="Allaitement",AG71="Sans déjeuner"),F71-D71&gt;0.166666666666667),F71-D71,F71-D71)))))))</f>
        <v>0.375</v>
      </c>
      <c r="P71" s="6" t="str">
        <f aca="false">IFERROR(VLOOKUP($B71,Agents!$A:$D,2,0),"-")</f>
        <v>Accessibilité</v>
      </c>
      <c r="Q71" s="21" t="n">
        <v>45999</v>
      </c>
      <c r="R71" s="8" t="n">
        <f aca="false">IF(M71="Abs",O71,0)</f>
        <v>0</v>
      </c>
      <c r="S71" s="8" t="n">
        <f aca="false">SUM(R71,L71,I71,J71,W71,H71)</f>
        <v>0</v>
      </c>
      <c r="T71" s="6" t="str">
        <f aca="false">"Sem - "&amp;WEEKNUM(Q71,21)</f>
        <v>Sem - 50</v>
      </c>
      <c r="U71" s="6" t="str">
        <f aca="false">CHOOSE(MONTH(Q71),"Janvier","Février","Mars","Avril","Mai","Juin","Juillet","Août","Septembre","Octobre","Novembre","Décembre")</f>
        <v>Décembre</v>
      </c>
      <c r="V71" s="22" t="n">
        <f aca="false">YEAR(Q71)</f>
        <v>2025</v>
      </c>
      <c r="W71" s="20"/>
      <c r="X71" s="8" t="n">
        <f aca="false">IFERROR(IF(M71="Abs",0,IF(ROUND((D71-C71+E71-F71)*1440,0)&lt;=1,0,D71-C71+E71-F71)),0)</f>
        <v>0.00138888888888889</v>
      </c>
      <c r="Y71" s="6" t="str">
        <f aca="false">IFERROR(VLOOKUP($B71,Agents!$A:$D,3,0),"-")</f>
        <v>OUBRAHIM Mohammed</v>
      </c>
      <c r="Z71" s="6" t="str">
        <f aca="false">IFERROR(VLOOKUP($B71,Agents!$A:$D,4,0),"-")</f>
        <v>Credit Mutuel</v>
      </c>
      <c r="AA71" s="18" t="s">
        <v>77</v>
      </c>
      <c r="AB71" s="8" t="str">
        <f aca="false">IF(AND(D71="Congé",F71="Congé"),0.333333333333333,IF(OR(AND(D71="Congé",F71&lt;&gt;"Congé"),(AND(F71="Congé",D71&lt;&gt;"Congé"))),0.166666666666667,""))</f>
        <v/>
      </c>
      <c r="AC71" s="8" t="str">
        <f aca="false">IF(AND(D71="Congé sans solde",F71="Congé sans solde"),0.333333333333333,IF(OR(AND(D71="Congé sans solde",F71&lt;&gt;"Congé sans solde"),(AND(F71="Congé sans solde",D71&lt;&gt;"Congé sans solde"))),0.166666666666667,""))</f>
        <v/>
      </c>
      <c r="AD71" s="8" t="str">
        <f aca="false">IF(AND(D71="Congé spécial",F71="Congé spécial"),0.333333333333333,IF(OR(AND(D71="Congé spécial",F71&lt;&gt;"Congé spécial"),AND(F71="Congé spécial",D71&lt;&gt;"Congé spécial")),0.166666666666667,""))</f>
        <v/>
      </c>
      <c r="AE71" s="8" t="str">
        <f aca="false">IF(AND(D71="Férié",F71="Férié"),0.333333333333333,IF(OR(AND(D71="Férié",F71&lt;&gt;"Férié"),(AND(F71="Férié",D71&lt;&gt;"Férié"))),0.166666666666667,""))</f>
        <v/>
      </c>
      <c r="AF71" s="18"/>
      <c r="AG71" s="18"/>
    </row>
    <row r="72" customFormat="false" ht="15" hidden="false" customHeight="false" outlineLevel="0" collapsed="false">
      <c r="A72" s="6" t="str">
        <f aca="false">YEAR(Q72-WEEKDAY(Q72,2)+4)&amp;"-S"&amp;TEXT(WEEKNUM(Q72,21),"00")</f>
        <v>2025-S50</v>
      </c>
      <c r="B72" s="18" t="s">
        <v>72</v>
      </c>
      <c r="C72" s="19" t="n">
        <v>0.333333333333333</v>
      </c>
      <c r="D72" s="19" t="n">
        <v>0.333333333333333</v>
      </c>
      <c r="E72" s="19" t="n">
        <v>0.75</v>
      </c>
      <c r="F72" s="19" t="n">
        <v>0.75</v>
      </c>
      <c r="G72" s="20"/>
      <c r="H72" s="20"/>
      <c r="I72" s="8" t="str">
        <f aca="false">IF(IF(OR(C72="",D72="Congé",D72="OFF",D72="Congé spécial"),"",IF(D72&gt;F72,D72-C72,IF(C72-D72&lt;0,0,C72-D72)))&lt;0.00068287037037037,"",IF(OR(D72="Congé",D72="OFF",C72="",D72="Congé spécial"),"",IF(D72&gt;F72,D72-C72,IF(C72-D72&lt;0,0,C72-D72))))</f>
        <v/>
      </c>
      <c r="J72" s="20"/>
      <c r="K72" s="8" t="n">
        <f aca="false">IF(SUM(H72:J72)&lt;0.00068287037037037,0,SUM(H72:J72))</f>
        <v>0</v>
      </c>
      <c r="L72" s="8" t="n">
        <f aca="false">IF(OR(F72="Congé",F72="OFF",M72="Abs",F72="Congé sans solde",F72="Férié",F72="Congé spécial",D72="Congé spécial"),0,IF(F72-E72&lt;0,0,IF(F72-E72&lt;=0.00068287037037037,0,F72-E72)))</f>
        <v>0</v>
      </c>
      <c r="M72" s="6" t="n">
        <f aca="false">IF(AND(O72&lt;&gt;0,C72=""),"Abs",0)</f>
        <v>0</v>
      </c>
      <c r="N72" s="8" t="n">
        <f aca="false">IFERROR(IF(OR(D72="OFF",D72="Congé",M72="Abs",D72="Congé sans solde",D72="Férié"),"",IF(O72-K72-L72&gt;O72,O72,IF(O72-K72-L72&lt;0,"",O72-K72-L72))),"")</f>
        <v>0.375</v>
      </c>
      <c r="O72" s="8" t="n">
        <f aca="false">IF(AG72="2H Pause déjeuner",IF(F72-D72-0.0833333333333333&lt;0,F72-D72-0.0833333333333333+1,F72-D72-0.0833333333333333),IF(OR(AND(F72="OFF",D72="OFF"),AND(F72="Congé",D72="Congé"),AND(F72="Congé sans solde",D72="Congé sans solde"),AND(F72="Congé spécial",D72="Congé spécial"),AND(F72="Férié",D72="Férié"),AND(F72="OFF",D72="Congé"),AND(F72="OFF",D72="Congé sans solde"),AND(F72="OFF",D72="Congé spécial"),AND(F72="OFF",D72="Férié"),AND(F72="Congé",D72="OFF"),AND(F72="Congé",D72="Congé sans solde"),AND(F72="Congé",D72="Congé spécial"),AND(F72="Congé",D72="Férié"),AND(F72="Congé sans solde",D72="OFF"),AND(F72="Congé sans solde",D72="Congé"),AND(F72="Congé sans solde",D72="Congé spécial"),AND(F72="Congé sans solde",D72="Férié"),AND(F72="Congé spécial",D72="OFF"),AND(F72="Congé spécial",D72="Congé"),AND(F72="Congé spécial",D72="Congé sans solde"),AND(F72="Congé spécial",D72="Férié"),AND(F72="Férié",D72="OFF"),AND(F72="Férié",D72="Congé"),AND(F72="Férié",D72="Congé sans solde"),AND(F72="Férié",D72="Congé spécial")),0,IF(OR(F72="OFF",F72="Congé",F72="Congé spécial",F72="Congé sans solde",D72="OFF",D72="Congé",D72="Congé spécial",D72="Congé sans solde"),0.208333333333334,IF(AND(AG72="",F72-D72&lt;0),("24:00:00"-D72)+("00:00:00"+F72)-0.0416666666666667,IF(AND(OR(AG72="Allaitement",AG72="Sans déjeuner"),F72-D72&lt;0),("24:00:00"-D72)+("00:00:00"+F72),IF(AND(AG72="",F72-D72&gt;0.166666666666667),F72-D72-0.0416666666666667,IF(AND(OR(AG72="Allaitement",AG72="Sans déjeuner"),F72-D72&gt;0.166666666666667),F72-D72,F72-D72)))))))</f>
        <v>0.375</v>
      </c>
      <c r="P72" s="6" t="str">
        <f aca="false">IFERROR(VLOOKUP($B72,Agents!$A:$D,2,0),"-")</f>
        <v>Accessibilité</v>
      </c>
      <c r="Q72" s="21" t="n">
        <v>45999</v>
      </c>
      <c r="R72" s="8" t="n">
        <f aca="false">IF(M72="Abs",O72,0)</f>
        <v>0</v>
      </c>
      <c r="S72" s="8" t="n">
        <f aca="false">SUM(R72,L72,I72,J72,W72,H72)</f>
        <v>0</v>
      </c>
      <c r="T72" s="6" t="str">
        <f aca="false">"Sem - "&amp;WEEKNUM(Q72,21)</f>
        <v>Sem - 50</v>
      </c>
      <c r="U72" s="6" t="str">
        <f aca="false">CHOOSE(MONTH(Q72),"Janvier","Février","Mars","Avril","Mai","Juin","Juillet","Août","Septembre","Octobre","Novembre","Décembre")</f>
        <v>Décembre</v>
      </c>
      <c r="V72" s="22" t="n">
        <f aca="false">YEAR(Q72)</f>
        <v>2025</v>
      </c>
      <c r="W72" s="20"/>
      <c r="X72" s="8" t="n">
        <f aca="false">IFERROR(IF(M72="Abs",0,IF(ROUND((D72-C72+E72-F72)*1440,0)&lt;=1,0,D72-C72+E72-F72)),0)</f>
        <v>0</v>
      </c>
      <c r="Y72" s="6" t="str">
        <f aca="false">IFERROR(VLOOKUP($B72,Agents!$A:$D,3,0),"-")</f>
        <v>OUBRAHIM Mohammed</v>
      </c>
      <c r="Z72" s="6" t="str">
        <f aca="false">IFERROR(VLOOKUP($B72,Agents!$A:$D,4,0),"-")</f>
        <v>Credit Mutuel</v>
      </c>
      <c r="AA72" s="18" t="s">
        <v>77</v>
      </c>
      <c r="AB72" s="8" t="str">
        <f aca="false">IF(AND(D72="Congé",F72="Congé"),0.333333333333333,IF(OR(AND(D72="Congé",F72&lt;&gt;"Congé"),(AND(F72="Congé",D72&lt;&gt;"Congé"))),0.166666666666667,""))</f>
        <v/>
      </c>
      <c r="AC72" s="8" t="str">
        <f aca="false">IF(AND(D72="Congé sans solde",F72="Congé sans solde"),0.333333333333333,IF(OR(AND(D72="Congé sans solde",F72&lt;&gt;"Congé sans solde"),(AND(F72="Congé sans solde",D72&lt;&gt;"Congé sans solde"))),0.166666666666667,""))</f>
        <v/>
      </c>
      <c r="AD72" s="8" t="str">
        <f aca="false">IF(AND(D72="Congé spécial",F72="Congé spécial"),0.333333333333333,IF(OR(AND(D72="Congé spécial",F72&lt;&gt;"Congé spécial"),AND(F72="Congé spécial",D72&lt;&gt;"Congé spécial")),0.166666666666667,""))</f>
        <v/>
      </c>
      <c r="AE72" s="8" t="str">
        <f aca="false">IF(AND(D72="Férié",F72="Férié"),0.333333333333333,IF(OR(AND(D72="Férié",F72&lt;&gt;"Férié"),(AND(F72="Férié",D72&lt;&gt;"Férié"))),0.166666666666667,""))</f>
        <v/>
      </c>
      <c r="AF72" s="18"/>
      <c r="AG72" s="18"/>
    </row>
    <row r="73" customFormat="false" ht="15" hidden="false" customHeight="false" outlineLevel="0" collapsed="false">
      <c r="A73" s="6" t="str">
        <f aca="false">YEAR(Q73-WEEKDAY(Q73,2)+4)&amp;"-S"&amp;TEXT(WEEKNUM(Q73,21),"00")</f>
        <v>2025-S50</v>
      </c>
      <c r="B73" s="18" t="s">
        <v>73</v>
      </c>
      <c r="C73" s="19" t="n">
        <v>0.330555555555556</v>
      </c>
      <c r="D73" s="19" t="n">
        <v>0.333333333333333</v>
      </c>
      <c r="E73" s="19" t="n">
        <v>0.75</v>
      </c>
      <c r="F73" s="19" t="n">
        <v>0.75</v>
      </c>
      <c r="G73" s="20"/>
      <c r="H73" s="20"/>
      <c r="I73" s="8" t="str">
        <f aca="false">IF(IF(OR(C73="",D73="Congé",D73="OFF",D73="Congé spécial"),"",IF(D73&gt;F73,D73-C73,IF(C73-D73&lt;0,0,C73-D73)))&lt;0.00068287037037037,"",IF(OR(D73="Congé",D73="OFF",C73="",D73="Congé spécial"),"",IF(D73&gt;F73,D73-C73,IF(C73-D73&lt;0,0,C73-D73))))</f>
        <v/>
      </c>
      <c r="J73" s="20"/>
      <c r="K73" s="8" t="n">
        <f aca="false">IF(SUM(H73:J73)&lt;0.00068287037037037,0,SUM(H73:J73))</f>
        <v>0</v>
      </c>
      <c r="L73" s="8" t="n">
        <f aca="false">IF(OR(F73="Congé",F73="OFF",M73="Abs",F73="Congé sans solde",F73="Férié",F73="Congé spécial",D73="Congé spécial"),0,IF(F73-E73&lt;0,0,IF(F73-E73&lt;=0.00068287037037037,0,F73-E73)))</f>
        <v>0</v>
      </c>
      <c r="M73" s="6" t="n">
        <f aca="false">IF(AND(O73&lt;&gt;0,C73=""),"Abs",0)</f>
        <v>0</v>
      </c>
      <c r="N73" s="8" t="n">
        <f aca="false">IFERROR(IF(OR(D73="OFF",D73="Congé",M73="Abs",D73="Congé sans solde",D73="Férié"),"",IF(O73-K73-L73&gt;O73,O73,IF(O73-K73-L73&lt;0,"",O73-K73-L73))),"")</f>
        <v>0.375</v>
      </c>
      <c r="O73" s="8" t="n">
        <f aca="false">IF(AG73="2H Pause déjeuner",IF(F73-D73-0.0833333333333333&lt;0,F73-D73-0.0833333333333333+1,F73-D73-0.0833333333333333),IF(OR(AND(F73="OFF",D73="OFF"),AND(F73="Congé",D73="Congé"),AND(F73="Congé sans solde",D73="Congé sans solde"),AND(F73="Congé spécial",D73="Congé spécial"),AND(F73="Férié",D73="Férié"),AND(F73="OFF",D73="Congé"),AND(F73="OFF",D73="Congé sans solde"),AND(F73="OFF",D73="Congé spécial"),AND(F73="OFF",D73="Férié"),AND(F73="Congé",D73="OFF"),AND(F73="Congé",D73="Congé sans solde"),AND(F73="Congé",D73="Congé spécial"),AND(F73="Congé",D73="Férié"),AND(F73="Congé sans solde",D73="OFF"),AND(F73="Congé sans solde",D73="Congé"),AND(F73="Congé sans solde",D73="Congé spécial"),AND(F73="Congé sans solde",D73="Férié"),AND(F73="Congé spécial",D73="OFF"),AND(F73="Congé spécial",D73="Congé"),AND(F73="Congé spécial",D73="Congé sans solde"),AND(F73="Congé spécial",D73="Férié"),AND(F73="Férié",D73="OFF"),AND(F73="Férié",D73="Congé"),AND(F73="Férié",D73="Congé sans solde"),AND(F73="Férié",D73="Congé spécial")),0,IF(OR(F73="OFF",F73="Congé",F73="Congé spécial",F73="Congé sans solde",D73="OFF",D73="Congé",D73="Congé spécial",D73="Congé sans solde"),0.208333333333334,IF(AND(AG73="",F73-D73&lt;0),("24:00:00"-D73)+("00:00:00"+F73)-0.0416666666666667,IF(AND(OR(AG73="Allaitement",AG73="Sans déjeuner"),F73-D73&lt;0),("24:00:00"-D73)+("00:00:00"+F73),IF(AND(AG73="",F73-D73&gt;0.166666666666667),F73-D73-0.0416666666666667,IF(AND(OR(AG73="Allaitement",AG73="Sans déjeuner"),F73-D73&gt;0.166666666666667),F73-D73,F73-D73)))))))</f>
        <v>0.375</v>
      </c>
      <c r="P73" s="6" t="str">
        <f aca="false">IFERROR(VLOOKUP($B73,Agents!$A:$D,2,0),"-")</f>
        <v>Accessibilité</v>
      </c>
      <c r="Q73" s="21" t="n">
        <v>45999</v>
      </c>
      <c r="R73" s="8" t="n">
        <f aca="false">IF(M73="Abs",O73,0)</f>
        <v>0</v>
      </c>
      <c r="S73" s="8" t="n">
        <f aca="false">SUM(R73,L73,I73,J73,W73,H73)</f>
        <v>0</v>
      </c>
      <c r="T73" s="6" t="str">
        <f aca="false">"Sem - "&amp;WEEKNUM(Q73,21)</f>
        <v>Sem - 50</v>
      </c>
      <c r="U73" s="6" t="str">
        <f aca="false">CHOOSE(MONTH(Q73),"Janvier","Février","Mars","Avril","Mai","Juin","Juillet","Août","Septembre","Octobre","Novembre","Décembre")</f>
        <v>Décembre</v>
      </c>
      <c r="V73" s="22" t="n">
        <f aca="false">YEAR(Q73)</f>
        <v>2025</v>
      </c>
      <c r="W73" s="20"/>
      <c r="X73" s="8" t="n">
        <f aca="false">IFERROR(IF(M73="Abs",0,IF(ROUND((D73-C73+E73-F73)*1440,0)&lt;=1,0,D73-C73+E73-F73)),0)</f>
        <v>0.00277777777777778</v>
      </c>
      <c r="Y73" s="6" t="str">
        <f aca="false">IFERROR(VLOOKUP($B73,Agents!$A:$D,3,0),"-")</f>
        <v>OUBRAHIM Mohammed</v>
      </c>
      <c r="Z73" s="6" t="str">
        <f aca="false">IFERROR(VLOOKUP($B73,Agents!$A:$D,4,0),"-")</f>
        <v>Credit Mutuel</v>
      </c>
      <c r="AA73" s="18" t="s">
        <v>77</v>
      </c>
      <c r="AB73" s="8" t="str">
        <f aca="false">IF(AND(D73="Congé",F73="Congé"),0.333333333333333,IF(OR(AND(D73="Congé",F73&lt;&gt;"Congé"),(AND(F73="Congé",D73&lt;&gt;"Congé"))),0.166666666666667,""))</f>
        <v/>
      </c>
      <c r="AC73" s="8" t="str">
        <f aca="false">IF(AND(D73="Congé sans solde",F73="Congé sans solde"),0.333333333333333,IF(OR(AND(D73="Congé sans solde",F73&lt;&gt;"Congé sans solde"),(AND(F73="Congé sans solde",D73&lt;&gt;"Congé sans solde"))),0.166666666666667,""))</f>
        <v/>
      </c>
      <c r="AD73" s="8" t="str">
        <f aca="false">IF(AND(D73="Congé spécial",F73="Congé spécial"),0.333333333333333,IF(OR(AND(D73="Congé spécial",F73&lt;&gt;"Congé spécial"),AND(F73="Congé spécial",D73&lt;&gt;"Congé spécial")),0.166666666666667,""))</f>
        <v/>
      </c>
      <c r="AE73" s="8" t="str">
        <f aca="false">IF(AND(D73="Férié",F73="Férié"),0.333333333333333,IF(OR(AND(D73="Férié",F73&lt;&gt;"Férié"),(AND(F73="Férié",D73&lt;&gt;"Férié"))),0.166666666666667,""))</f>
        <v/>
      </c>
      <c r="AF73" s="18"/>
      <c r="AG73" s="18"/>
    </row>
    <row r="74" customFormat="false" ht="15" hidden="false" customHeight="false" outlineLevel="0" collapsed="false">
      <c r="A74" s="6" t="str">
        <f aca="false">YEAR(Q74-WEEKDAY(Q74,2)+4)&amp;"-S"&amp;TEXT(WEEKNUM(Q74,21),"00")</f>
        <v>2025-S50</v>
      </c>
      <c r="B74" s="18" t="s">
        <v>69</v>
      </c>
      <c r="C74" s="19" t="n">
        <v>0.332638888888889</v>
      </c>
      <c r="D74" s="19" t="n">
        <v>0.333333333333333</v>
      </c>
      <c r="E74" s="19" t="n">
        <v>0.75</v>
      </c>
      <c r="F74" s="19" t="n">
        <v>0.75</v>
      </c>
      <c r="G74" s="20"/>
      <c r="H74" s="20"/>
      <c r="I74" s="8" t="str">
        <f aca="false">IF(IF(OR(C74="",D74="Congé",D74="OFF",D74="Congé spécial"),"",IF(D74&gt;F74,D74-C74,IF(C74-D74&lt;0,0,C74-D74)))&lt;0.00068287037037037,"",IF(OR(D74="Congé",D74="OFF",C74="",D74="Congé spécial"),"",IF(D74&gt;F74,D74-C74,IF(C74-D74&lt;0,0,C74-D74))))</f>
        <v/>
      </c>
      <c r="J74" s="20"/>
      <c r="K74" s="8" t="n">
        <f aca="false">IF(SUM(H74:J74)&lt;0.00068287037037037,0,SUM(H74:J74))</f>
        <v>0</v>
      </c>
      <c r="L74" s="8" t="n">
        <f aca="false">IF(OR(F74="Congé",F74="OFF",M74="Abs",F74="Congé sans solde",F74="Férié",F74="Congé spécial",D74="Congé spécial"),0,IF(F74-E74&lt;0,0,IF(F74-E74&lt;=0.00068287037037037,0,F74-E74)))</f>
        <v>0</v>
      </c>
      <c r="M74" s="6" t="n">
        <f aca="false">IF(AND(O74&lt;&gt;0,C74=""),"Abs",0)</f>
        <v>0</v>
      </c>
      <c r="N74" s="8" t="n">
        <f aca="false">IFERROR(IF(OR(D74="OFF",D74="Congé",M74="Abs",D74="Congé sans solde",D74="Férié"),"",IF(O74-K74-L74&gt;O74,O74,IF(O74-K74-L74&lt;0,"",O74-K74-L74))),"")</f>
        <v>0.375</v>
      </c>
      <c r="O74" s="8" t="n">
        <f aca="false">IF(AG74="2H Pause déjeuner",IF(F74-D74-0.0833333333333333&lt;0,F74-D74-0.0833333333333333+1,F74-D74-0.0833333333333333),IF(OR(AND(F74="OFF",D74="OFF"),AND(F74="Congé",D74="Congé"),AND(F74="Congé sans solde",D74="Congé sans solde"),AND(F74="Congé spécial",D74="Congé spécial"),AND(F74="Férié",D74="Férié"),AND(F74="OFF",D74="Congé"),AND(F74="OFF",D74="Congé sans solde"),AND(F74="OFF",D74="Congé spécial"),AND(F74="OFF",D74="Férié"),AND(F74="Congé",D74="OFF"),AND(F74="Congé",D74="Congé sans solde"),AND(F74="Congé",D74="Congé spécial"),AND(F74="Congé",D74="Férié"),AND(F74="Congé sans solde",D74="OFF"),AND(F74="Congé sans solde",D74="Congé"),AND(F74="Congé sans solde",D74="Congé spécial"),AND(F74="Congé sans solde",D74="Férié"),AND(F74="Congé spécial",D74="OFF"),AND(F74="Congé spécial",D74="Congé"),AND(F74="Congé spécial",D74="Congé sans solde"),AND(F74="Congé spécial",D74="Férié"),AND(F74="Férié",D74="OFF"),AND(F74="Férié",D74="Congé"),AND(F74="Férié",D74="Congé sans solde"),AND(F74="Férié",D74="Congé spécial")),0,IF(OR(F74="OFF",F74="Congé",F74="Congé spécial",F74="Congé sans solde",D74="OFF",D74="Congé",D74="Congé spécial",D74="Congé sans solde"),0.208333333333334,IF(AND(AG74="",F74-D74&lt;0),("24:00:00"-D74)+("00:00:00"+F74)-0.0416666666666667,IF(AND(OR(AG74="Allaitement",AG74="Sans déjeuner"),F74-D74&lt;0),("24:00:00"-D74)+("00:00:00"+F74),IF(AND(AG74="",F74-D74&gt;0.166666666666667),F74-D74-0.0416666666666667,IF(AND(OR(AG74="Allaitement",AG74="Sans déjeuner"),F74-D74&gt;0.166666666666667),F74-D74,F74-D74)))))))</f>
        <v>0.375</v>
      </c>
      <c r="P74" s="6" t="str">
        <f aca="false">IFERROR(VLOOKUP($B74,Agents!$A:$D,2,0),"-")</f>
        <v>Accessibilité</v>
      </c>
      <c r="Q74" s="21" t="n">
        <v>46000</v>
      </c>
      <c r="R74" s="8" t="n">
        <f aca="false">IF(M74="Abs",O74,0)</f>
        <v>0</v>
      </c>
      <c r="S74" s="8" t="n">
        <f aca="false">SUM(R74,L74,I74,J74,W74,H74)</f>
        <v>0</v>
      </c>
      <c r="T74" s="6" t="str">
        <f aca="false">"Sem - "&amp;WEEKNUM(Q74,21)</f>
        <v>Sem - 50</v>
      </c>
      <c r="U74" s="6" t="str">
        <f aca="false">CHOOSE(MONTH(Q74),"Janvier","Février","Mars","Avril","Mai","Juin","Juillet","Août","Septembre","Octobre","Novembre","Décembre")</f>
        <v>Décembre</v>
      </c>
      <c r="V74" s="22" t="n">
        <f aca="false">YEAR(Q74)</f>
        <v>2025</v>
      </c>
      <c r="W74" s="20"/>
      <c r="X74" s="8" t="n">
        <f aca="false">IFERROR(IF(M74="Abs",0,IF(ROUND((D74-C74+E74-F74)*1440,0)&lt;=1,0,D74-C74+E74-F74)),0)</f>
        <v>0</v>
      </c>
      <c r="Y74" s="6" t="str">
        <f aca="false">IFERROR(VLOOKUP($B74,Agents!$A:$D,3,0),"-")</f>
        <v>OUBRAHIM Mohammed</v>
      </c>
      <c r="Z74" s="6" t="str">
        <f aca="false">IFERROR(VLOOKUP($B74,Agents!$A:$D,4,0),"-")</f>
        <v>Credit Mutuel</v>
      </c>
      <c r="AA74" s="18" t="s">
        <v>77</v>
      </c>
      <c r="AB74" s="8" t="str">
        <f aca="false">IF(AND(D74="Congé",F74="Congé"),0.333333333333333,IF(OR(AND(D74="Congé",F74&lt;&gt;"Congé"),(AND(F74="Congé",D74&lt;&gt;"Congé"))),0.166666666666667,""))</f>
        <v/>
      </c>
      <c r="AC74" s="8" t="str">
        <f aca="false">IF(AND(D74="Congé sans solde",F74="Congé sans solde"),0.333333333333333,IF(OR(AND(D74="Congé sans solde",F74&lt;&gt;"Congé sans solde"),(AND(F74="Congé sans solde",D74&lt;&gt;"Congé sans solde"))),0.166666666666667,""))</f>
        <v/>
      </c>
      <c r="AD74" s="8" t="str">
        <f aca="false">IF(AND(D74="Congé spécial",F74="Congé spécial"),0.333333333333333,IF(OR(AND(D74="Congé spécial",F74&lt;&gt;"Congé spécial"),AND(F74="Congé spécial",D74&lt;&gt;"Congé spécial")),0.166666666666667,""))</f>
        <v/>
      </c>
      <c r="AE74" s="8" t="str">
        <f aca="false">IF(AND(D74="Férié",F74="Férié"),0.333333333333333,IF(OR(AND(D74="Férié",F74&lt;&gt;"Férié"),(AND(F74="Férié",D74&lt;&gt;"Férié"))),0.166666666666667,""))</f>
        <v/>
      </c>
      <c r="AF74" s="18"/>
      <c r="AG74" s="18"/>
    </row>
    <row r="75" customFormat="false" ht="15" hidden="false" customHeight="false" outlineLevel="0" collapsed="false">
      <c r="A75" s="6" t="str">
        <f aca="false">YEAR(Q75-WEEKDAY(Q75,2)+4)&amp;"-S"&amp;TEXT(WEEKNUM(Q75,21),"00")</f>
        <v>2025-S50</v>
      </c>
      <c r="B75" s="18" t="s">
        <v>71</v>
      </c>
      <c r="C75" s="19" t="n">
        <v>0.331944444444444</v>
      </c>
      <c r="D75" s="19" t="n">
        <v>0.333333333333333</v>
      </c>
      <c r="E75" s="19" t="n">
        <v>0.75</v>
      </c>
      <c r="F75" s="19" t="n">
        <v>0.75</v>
      </c>
      <c r="G75" s="20"/>
      <c r="H75" s="20"/>
      <c r="I75" s="8" t="str">
        <f aca="false">IF(IF(OR(C75="",D75="Congé",D75="OFF",D75="Congé spécial"),"",IF(D75&gt;F75,D75-C75,IF(C75-D75&lt;0,0,C75-D75)))&lt;0.00068287037037037,"",IF(OR(D75="Congé",D75="OFF",C75="",D75="Congé spécial"),"",IF(D75&gt;F75,D75-C75,IF(C75-D75&lt;0,0,C75-D75))))</f>
        <v/>
      </c>
      <c r="J75" s="20"/>
      <c r="K75" s="8" t="n">
        <f aca="false">IF(SUM(H75:J75)&lt;0.00068287037037037,0,SUM(H75:J75))</f>
        <v>0</v>
      </c>
      <c r="L75" s="8" t="n">
        <f aca="false">IF(OR(F75="Congé",F75="OFF",M75="Abs",F75="Congé sans solde",F75="Férié",F75="Congé spécial",D75="Congé spécial"),0,IF(F75-E75&lt;0,0,IF(F75-E75&lt;=0.00068287037037037,0,F75-E75)))</f>
        <v>0</v>
      </c>
      <c r="M75" s="6" t="n">
        <f aca="false">IF(AND(O75&lt;&gt;0,C75=""),"Abs",0)</f>
        <v>0</v>
      </c>
      <c r="N75" s="8" t="n">
        <f aca="false">IFERROR(IF(OR(D75="OFF",D75="Congé",M75="Abs",D75="Congé sans solde",D75="Férié"),"",IF(O75-K75-L75&gt;O75,O75,IF(O75-K75-L75&lt;0,"",O75-K75-L75))),"")</f>
        <v>0.375</v>
      </c>
      <c r="O75" s="8" t="n">
        <f aca="false">IF(AG75="2H Pause déjeuner",IF(F75-D75-0.0833333333333333&lt;0,F75-D75-0.0833333333333333+1,F75-D75-0.0833333333333333),IF(OR(AND(F75="OFF",D75="OFF"),AND(F75="Congé",D75="Congé"),AND(F75="Congé sans solde",D75="Congé sans solde"),AND(F75="Congé spécial",D75="Congé spécial"),AND(F75="Férié",D75="Férié"),AND(F75="OFF",D75="Congé"),AND(F75="OFF",D75="Congé sans solde"),AND(F75="OFF",D75="Congé spécial"),AND(F75="OFF",D75="Férié"),AND(F75="Congé",D75="OFF"),AND(F75="Congé",D75="Congé sans solde"),AND(F75="Congé",D75="Congé spécial"),AND(F75="Congé",D75="Férié"),AND(F75="Congé sans solde",D75="OFF"),AND(F75="Congé sans solde",D75="Congé"),AND(F75="Congé sans solde",D75="Congé spécial"),AND(F75="Congé sans solde",D75="Férié"),AND(F75="Congé spécial",D75="OFF"),AND(F75="Congé spécial",D75="Congé"),AND(F75="Congé spécial",D75="Congé sans solde"),AND(F75="Congé spécial",D75="Férié"),AND(F75="Férié",D75="OFF"),AND(F75="Férié",D75="Congé"),AND(F75="Férié",D75="Congé sans solde"),AND(F75="Férié",D75="Congé spécial")),0,IF(OR(F75="OFF",F75="Congé",F75="Congé spécial",F75="Congé sans solde",D75="OFF",D75="Congé",D75="Congé spécial",D75="Congé sans solde"),0.208333333333334,IF(AND(AG75="",F75-D75&lt;0),("24:00:00"-D75)+("00:00:00"+F75)-0.0416666666666667,IF(AND(OR(AG75="Allaitement",AG75="Sans déjeuner"),F75-D75&lt;0),("24:00:00"-D75)+("00:00:00"+F75),IF(AND(AG75="",F75-D75&gt;0.166666666666667),F75-D75-0.0416666666666667,IF(AND(OR(AG75="Allaitement",AG75="Sans déjeuner"),F75-D75&gt;0.166666666666667),F75-D75,F75-D75)))))))</f>
        <v>0.375</v>
      </c>
      <c r="P75" s="6" t="str">
        <f aca="false">IFERROR(VLOOKUP($B75,Agents!$A:$D,2,0),"-")</f>
        <v>Accessibilité</v>
      </c>
      <c r="Q75" s="21" t="n">
        <v>46000</v>
      </c>
      <c r="R75" s="8" t="n">
        <f aca="false">IF(M75="Abs",O75,0)</f>
        <v>0</v>
      </c>
      <c r="S75" s="8" t="n">
        <f aca="false">SUM(R75,L75,I75,J75,W75,H75)</f>
        <v>0</v>
      </c>
      <c r="T75" s="6" t="str">
        <f aca="false">"Sem - "&amp;WEEKNUM(Q75,21)</f>
        <v>Sem - 50</v>
      </c>
      <c r="U75" s="6" t="str">
        <f aca="false">CHOOSE(MONTH(Q75),"Janvier","Février","Mars","Avril","Mai","Juin","Juillet","Août","Septembre","Octobre","Novembre","Décembre")</f>
        <v>Décembre</v>
      </c>
      <c r="V75" s="22" t="n">
        <f aca="false">YEAR(Q75)</f>
        <v>2025</v>
      </c>
      <c r="W75" s="20"/>
      <c r="X75" s="8" t="n">
        <f aca="false">IFERROR(IF(M75="Abs",0,IF(ROUND((D75-C75+E75-F75)*1440,0)&lt;=1,0,D75-C75+E75-F75)),0)</f>
        <v>0.00138888888888889</v>
      </c>
      <c r="Y75" s="6" t="str">
        <f aca="false">IFERROR(VLOOKUP($B75,Agents!$A:$D,3,0),"-")</f>
        <v>OUBRAHIM Mohammed</v>
      </c>
      <c r="Z75" s="6" t="str">
        <f aca="false">IFERROR(VLOOKUP($B75,Agents!$A:$D,4,0),"-")</f>
        <v>Credit Mutuel</v>
      </c>
      <c r="AA75" s="18" t="s">
        <v>77</v>
      </c>
      <c r="AB75" s="8" t="str">
        <f aca="false">IF(AND(D75="Congé",F75="Congé"),0.333333333333333,IF(OR(AND(D75="Congé",F75&lt;&gt;"Congé"),(AND(F75="Congé",D75&lt;&gt;"Congé"))),0.166666666666667,""))</f>
        <v/>
      </c>
      <c r="AC75" s="8" t="str">
        <f aca="false">IF(AND(D75="Congé sans solde",F75="Congé sans solde"),0.333333333333333,IF(OR(AND(D75="Congé sans solde",F75&lt;&gt;"Congé sans solde"),(AND(F75="Congé sans solde",D75&lt;&gt;"Congé sans solde"))),0.166666666666667,""))</f>
        <v/>
      </c>
      <c r="AD75" s="8" t="str">
        <f aca="false">IF(AND(D75="Congé spécial",F75="Congé spécial"),0.333333333333333,IF(OR(AND(D75="Congé spécial",F75&lt;&gt;"Congé spécial"),AND(F75="Congé spécial",D75&lt;&gt;"Congé spécial")),0.166666666666667,""))</f>
        <v/>
      </c>
      <c r="AE75" s="8" t="str">
        <f aca="false">IF(AND(D75="Férié",F75="Férié"),0.333333333333333,IF(OR(AND(D75="Férié",F75&lt;&gt;"Férié"),(AND(F75="Férié",D75&lt;&gt;"Férié"))),0.166666666666667,""))</f>
        <v/>
      </c>
      <c r="AF75" s="18"/>
      <c r="AG75" s="18"/>
    </row>
    <row r="76" customFormat="false" ht="15" hidden="false" customHeight="false" outlineLevel="0" collapsed="false">
      <c r="A76" s="6" t="str">
        <f aca="false">YEAR(Q76-WEEKDAY(Q76,2)+4)&amp;"-S"&amp;TEXT(WEEKNUM(Q76,21),"00")</f>
        <v>2025-S50</v>
      </c>
      <c r="B76" s="18" t="s">
        <v>72</v>
      </c>
      <c r="C76" s="19" t="n">
        <v>0.331944444444444</v>
      </c>
      <c r="D76" s="19" t="n">
        <v>0.333333333333333</v>
      </c>
      <c r="E76" s="19" t="n">
        <v>0.75</v>
      </c>
      <c r="F76" s="19" t="n">
        <v>0.75</v>
      </c>
      <c r="G76" s="20"/>
      <c r="H76" s="20"/>
      <c r="I76" s="8" t="str">
        <f aca="false">IF(IF(OR(C76="",D76="Congé",D76="OFF",D76="Congé spécial"),"",IF(D76&gt;F76,D76-C76,IF(C76-D76&lt;0,0,C76-D76)))&lt;0.00068287037037037,"",IF(OR(D76="Congé",D76="OFF",C76="",D76="Congé spécial"),"",IF(D76&gt;F76,D76-C76,IF(C76-D76&lt;0,0,C76-D76))))</f>
        <v/>
      </c>
      <c r="J76" s="20"/>
      <c r="K76" s="8" t="n">
        <f aca="false">IF(SUM(H76:J76)&lt;0.00068287037037037,0,SUM(H76:J76))</f>
        <v>0</v>
      </c>
      <c r="L76" s="8" t="n">
        <f aca="false">IF(OR(F76="Congé",F76="OFF",M76="Abs",F76="Congé sans solde",F76="Férié",F76="Congé spécial",D76="Congé spécial"),0,IF(F76-E76&lt;0,0,IF(F76-E76&lt;=0.00068287037037037,0,F76-E76)))</f>
        <v>0</v>
      </c>
      <c r="M76" s="6" t="n">
        <f aca="false">IF(AND(O76&lt;&gt;0,C76=""),"Abs",0)</f>
        <v>0</v>
      </c>
      <c r="N76" s="8" t="n">
        <f aca="false">IFERROR(IF(OR(D76="OFF",D76="Congé",M76="Abs",D76="Congé sans solde",D76="Férié"),"",IF(O76-K76-L76&gt;O76,O76,IF(O76-K76-L76&lt;0,"",O76-K76-L76))),"")</f>
        <v>0.375</v>
      </c>
      <c r="O76" s="8" t="n">
        <f aca="false">IF(AG76="2H Pause déjeuner",IF(F76-D76-0.0833333333333333&lt;0,F76-D76-0.0833333333333333+1,F76-D76-0.0833333333333333),IF(OR(AND(F76="OFF",D76="OFF"),AND(F76="Congé",D76="Congé"),AND(F76="Congé sans solde",D76="Congé sans solde"),AND(F76="Congé spécial",D76="Congé spécial"),AND(F76="Férié",D76="Férié"),AND(F76="OFF",D76="Congé"),AND(F76="OFF",D76="Congé sans solde"),AND(F76="OFF",D76="Congé spécial"),AND(F76="OFF",D76="Férié"),AND(F76="Congé",D76="OFF"),AND(F76="Congé",D76="Congé sans solde"),AND(F76="Congé",D76="Congé spécial"),AND(F76="Congé",D76="Férié"),AND(F76="Congé sans solde",D76="OFF"),AND(F76="Congé sans solde",D76="Congé"),AND(F76="Congé sans solde",D76="Congé spécial"),AND(F76="Congé sans solde",D76="Férié"),AND(F76="Congé spécial",D76="OFF"),AND(F76="Congé spécial",D76="Congé"),AND(F76="Congé spécial",D76="Congé sans solde"),AND(F76="Congé spécial",D76="Férié"),AND(F76="Férié",D76="OFF"),AND(F76="Férié",D76="Congé"),AND(F76="Férié",D76="Congé sans solde"),AND(F76="Férié",D76="Congé spécial")),0,IF(OR(F76="OFF",F76="Congé",F76="Congé spécial",F76="Congé sans solde",D76="OFF",D76="Congé",D76="Congé spécial",D76="Congé sans solde"),0.208333333333334,IF(AND(AG76="",F76-D76&lt;0),("24:00:00"-D76)+("00:00:00"+F76)-0.0416666666666667,IF(AND(OR(AG76="Allaitement",AG76="Sans déjeuner"),F76-D76&lt;0),("24:00:00"-D76)+("00:00:00"+F76),IF(AND(AG76="",F76-D76&gt;0.166666666666667),F76-D76-0.0416666666666667,IF(AND(OR(AG76="Allaitement",AG76="Sans déjeuner"),F76-D76&gt;0.166666666666667),F76-D76,F76-D76)))))))</f>
        <v>0.375</v>
      </c>
      <c r="P76" s="6" t="str">
        <f aca="false">IFERROR(VLOOKUP($B76,Agents!$A:$D,2,0),"-")</f>
        <v>Accessibilité</v>
      </c>
      <c r="Q76" s="21" t="n">
        <v>46000</v>
      </c>
      <c r="R76" s="8" t="n">
        <f aca="false">IF(M76="Abs",O76,0)</f>
        <v>0</v>
      </c>
      <c r="S76" s="8" t="n">
        <f aca="false">SUM(R76,L76,I76,J76,W76,H76)</f>
        <v>0</v>
      </c>
      <c r="T76" s="6" t="str">
        <f aca="false">"Sem - "&amp;WEEKNUM(Q76,21)</f>
        <v>Sem - 50</v>
      </c>
      <c r="U76" s="6" t="str">
        <f aca="false">CHOOSE(MONTH(Q76),"Janvier","Février","Mars","Avril","Mai","Juin","Juillet","Août","Septembre","Octobre","Novembre","Décembre")</f>
        <v>Décembre</v>
      </c>
      <c r="V76" s="22" t="n">
        <f aca="false">YEAR(Q76)</f>
        <v>2025</v>
      </c>
      <c r="W76" s="20"/>
      <c r="X76" s="8" t="n">
        <f aca="false">IFERROR(IF(M76="Abs",0,IF(ROUND((D76-C76+E76-F76)*1440,0)&lt;=1,0,D76-C76+E76-F76)),0)</f>
        <v>0.00138888888888889</v>
      </c>
      <c r="Y76" s="6" t="str">
        <f aca="false">IFERROR(VLOOKUP($B76,Agents!$A:$D,3,0),"-")</f>
        <v>OUBRAHIM Mohammed</v>
      </c>
      <c r="Z76" s="6" t="str">
        <f aca="false">IFERROR(VLOOKUP($B76,Agents!$A:$D,4,0),"-")</f>
        <v>Credit Mutuel</v>
      </c>
      <c r="AA76" s="18" t="s">
        <v>77</v>
      </c>
      <c r="AB76" s="8" t="str">
        <f aca="false">IF(AND(D76="Congé",F76="Congé"),0.333333333333333,IF(OR(AND(D76="Congé",F76&lt;&gt;"Congé"),(AND(F76="Congé",D76&lt;&gt;"Congé"))),0.166666666666667,""))</f>
        <v/>
      </c>
      <c r="AC76" s="8" t="str">
        <f aca="false">IF(AND(D76="Congé sans solde",F76="Congé sans solde"),0.333333333333333,IF(OR(AND(D76="Congé sans solde",F76&lt;&gt;"Congé sans solde"),(AND(F76="Congé sans solde",D76&lt;&gt;"Congé sans solde"))),0.166666666666667,""))</f>
        <v/>
      </c>
      <c r="AD76" s="8" t="str">
        <f aca="false">IF(AND(D76="Congé spécial",F76="Congé spécial"),0.333333333333333,IF(OR(AND(D76="Congé spécial",F76&lt;&gt;"Congé spécial"),AND(F76="Congé spécial",D76&lt;&gt;"Congé spécial")),0.166666666666667,""))</f>
        <v/>
      </c>
      <c r="AE76" s="8" t="str">
        <f aca="false">IF(AND(D76="Férié",F76="Férié"),0.333333333333333,IF(OR(AND(D76="Férié",F76&lt;&gt;"Férié"),(AND(F76="Férié",D76&lt;&gt;"Férié"))),0.166666666666667,""))</f>
        <v/>
      </c>
      <c r="AF76" s="18"/>
      <c r="AG76" s="18"/>
    </row>
    <row r="77" customFormat="false" ht="15" hidden="false" customHeight="false" outlineLevel="0" collapsed="false">
      <c r="A77" s="6" t="str">
        <f aca="false">YEAR(Q77-WEEKDAY(Q77,2)+4)&amp;"-S"&amp;TEXT(WEEKNUM(Q77,21),"00")</f>
        <v>2025-S50</v>
      </c>
      <c r="B77" s="18" t="s">
        <v>73</v>
      </c>
      <c r="C77" s="19" t="n">
        <v>0.33125</v>
      </c>
      <c r="D77" s="19" t="n">
        <v>0.333333333333333</v>
      </c>
      <c r="E77" s="19" t="n">
        <v>0.75</v>
      </c>
      <c r="F77" s="19" t="n">
        <v>0.75</v>
      </c>
      <c r="G77" s="20"/>
      <c r="H77" s="20"/>
      <c r="I77" s="8" t="str">
        <f aca="false">IF(IF(OR(C77="",D77="Congé",D77="OFF",D77="Congé spécial"),"",IF(D77&gt;F77,D77-C77,IF(C77-D77&lt;0,0,C77-D77)))&lt;0.00068287037037037,"",IF(OR(D77="Congé",D77="OFF",C77="",D77="Congé spécial"),"",IF(D77&gt;F77,D77-C77,IF(C77-D77&lt;0,0,C77-D77))))</f>
        <v/>
      </c>
      <c r="J77" s="20"/>
      <c r="K77" s="8" t="n">
        <f aca="false">IF(SUM(H77:J77)&lt;0.00068287037037037,0,SUM(H77:J77))</f>
        <v>0</v>
      </c>
      <c r="L77" s="8" t="n">
        <f aca="false">IF(OR(F77="Congé",F77="OFF",M77="Abs",F77="Congé sans solde",F77="Férié",F77="Congé spécial",D77="Congé spécial"),0,IF(F77-E77&lt;0,0,IF(F77-E77&lt;=0.00068287037037037,0,F77-E77)))</f>
        <v>0</v>
      </c>
      <c r="M77" s="6" t="n">
        <f aca="false">IF(AND(O77&lt;&gt;0,C77=""),"Abs",0)</f>
        <v>0</v>
      </c>
      <c r="N77" s="8" t="n">
        <f aca="false">IFERROR(IF(OR(D77="OFF",D77="Congé",M77="Abs",D77="Congé sans solde",D77="Férié"),"",IF(O77-K77-L77&gt;O77,O77,IF(O77-K77-L77&lt;0,"",O77-K77-L77))),"")</f>
        <v>0.375</v>
      </c>
      <c r="O77" s="8" t="n">
        <f aca="false">IF(AG77="2H Pause déjeuner",IF(F77-D77-0.0833333333333333&lt;0,F77-D77-0.0833333333333333+1,F77-D77-0.0833333333333333),IF(OR(AND(F77="OFF",D77="OFF"),AND(F77="Congé",D77="Congé"),AND(F77="Congé sans solde",D77="Congé sans solde"),AND(F77="Congé spécial",D77="Congé spécial"),AND(F77="Férié",D77="Férié"),AND(F77="OFF",D77="Congé"),AND(F77="OFF",D77="Congé sans solde"),AND(F77="OFF",D77="Congé spécial"),AND(F77="OFF",D77="Férié"),AND(F77="Congé",D77="OFF"),AND(F77="Congé",D77="Congé sans solde"),AND(F77="Congé",D77="Congé spécial"),AND(F77="Congé",D77="Férié"),AND(F77="Congé sans solde",D77="OFF"),AND(F77="Congé sans solde",D77="Congé"),AND(F77="Congé sans solde",D77="Congé spécial"),AND(F77="Congé sans solde",D77="Férié"),AND(F77="Congé spécial",D77="OFF"),AND(F77="Congé spécial",D77="Congé"),AND(F77="Congé spécial",D77="Congé sans solde"),AND(F77="Congé spécial",D77="Férié"),AND(F77="Férié",D77="OFF"),AND(F77="Férié",D77="Congé"),AND(F77="Férié",D77="Congé sans solde"),AND(F77="Férié",D77="Congé spécial")),0,IF(OR(F77="OFF",F77="Congé",F77="Congé spécial",F77="Congé sans solde",D77="OFF",D77="Congé",D77="Congé spécial",D77="Congé sans solde"),0.208333333333334,IF(AND(AG77="",F77-D77&lt;0),("24:00:00"-D77)+("00:00:00"+F77)-0.0416666666666667,IF(AND(OR(AG77="Allaitement",AG77="Sans déjeuner"),F77-D77&lt;0),("24:00:00"-D77)+("00:00:00"+F77),IF(AND(AG77="",F77-D77&gt;0.166666666666667),F77-D77-0.0416666666666667,IF(AND(OR(AG77="Allaitement",AG77="Sans déjeuner"),F77-D77&gt;0.166666666666667),F77-D77,F77-D77)))))))</f>
        <v>0.375</v>
      </c>
      <c r="P77" s="6" t="str">
        <f aca="false">IFERROR(VLOOKUP($B77,Agents!$A:$D,2,0),"-")</f>
        <v>Accessibilité</v>
      </c>
      <c r="Q77" s="21" t="n">
        <v>46000</v>
      </c>
      <c r="R77" s="8" t="n">
        <f aca="false">IF(M77="Abs",O77,0)</f>
        <v>0</v>
      </c>
      <c r="S77" s="8" t="n">
        <f aca="false">SUM(R77,L77,I77,J77,W77,H77)</f>
        <v>0</v>
      </c>
      <c r="T77" s="6" t="str">
        <f aca="false">"Sem - "&amp;WEEKNUM(Q77,21)</f>
        <v>Sem - 50</v>
      </c>
      <c r="U77" s="6" t="str">
        <f aca="false">CHOOSE(MONTH(Q77),"Janvier","Février","Mars","Avril","Mai","Juin","Juillet","Août","Septembre","Octobre","Novembre","Décembre")</f>
        <v>Décembre</v>
      </c>
      <c r="V77" s="22" t="n">
        <f aca="false">YEAR(Q77)</f>
        <v>2025</v>
      </c>
      <c r="W77" s="20"/>
      <c r="X77" s="8" t="n">
        <f aca="false">IFERROR(IF(M77="Abs",0,IF(ROUND((D77-C77+E77-F77)*1440,0)&lt;=1,0,D77-C77+E77-F77)),0)</f>
        <v>0.00208333333333333</v>
      </c>
      <c r="Y77" s="6" t="str">
        <f aca="false">IFERROR(VLOOKUP($B77,Agents!$A:$D,3,0),"-")</f>
        <v>OUBRAHIM Mohammed</v>
      </c>
      <c r="Z77" s="6" t="str">
        <f aca="false">IFERROR(VLOOKUP($B77,Agents!$A:$D,4,0),"-")</f>
        <v>Credit Mutuel</v>
      </c>
      <c r="AA77" s="18" t="s">
        <v>77</v>
      </c>
      <c r="AB77" s="8" t="str">
        <f aca="false">IF(AND(D77="Congé",F77="Congé"),0.333333333333333,IF(OR(AND(D77="Congé",F77&lt;&gt;"Congé"),(AND(F77="Congé",D77&lt;&gt;"Congé"))),0.166666666666667,""))</f>
        <v/>
      </c>
      <c r="AC77" s="8" t="str">
        <f aca="false">IF(AND(D77="Congé sans solde",F77="Congé sans solde"),0.333333333333333,IF(OR(AND(D77="Congé sans solde",F77&lt;&gt;"Congé sans solde"),(AND(F77="Congé sans solde",D77&lt;&gt;"Congé sans solde"))),0.166666666666667,""))</f>
        <v/>
      </c>
      <c r="AD77" s="8" t="str">
        <f aca="false">IF(AND(D77="Congé spécial",F77="Congé spécial"),0.333333333333333,IF(OR(AND(D77="Congé spécial",F77&lt;&gt;"Congé spécial"),AND(F77="Congé spécial",D77&lt;&gt;"Congé spécial")),0.166666666666667,""))</f>
        <v/>
      </c>
      <c r="AE77" s="8" t="str">
        <f aca="false">IF(AND(D77="Férié",F77="Férié"),0.333333333333333,IF(OR(AND(D77="Férié",F77&lt;&gt;"Férié"),(AND(F77="Férié",D77&lt;&gt;"Férié"))),0.166666666666667,""))</f>
        <v/>
      </c>
      <c r="AF77" s="18"/>
      <c r="AG77" s="18"/>
    </row>
    <row r="78" customFormat="false" ht="15" hidden="false" customHeight="false" outlineLevel="0" collapsed="false">
      <c r="A78" s="6" t="str">
        <f aca="false">YEAR(Q78-WEEKDAY(Q78,2)+4)&amp;"-S"&amp;TEXT(WEEKNUM(Q78,21),"00")</f>
        <v>2025-S50</v>
      </c>
      <c r="B78" s="18" t="s">
        <v>69</v>
      </c>
      <c r="C78" s="19" t="n">
        <v>0.332638888888889</v>
      </c>
      <c r="D78" s="19" t="n">
        <v>0.333333333333333</v>
      </c>
      <c r="E78" s="19" t="n">
        <v>0.75</v>
      </c>
      <c r="F78" s="19" t="n">
        <v>0.75</v>
      </c>
      <c r="G78" s="20"/>
      <c r="H78" s="20"/>
      <c r="I78" s="8" t="str">
        <f aca="false">IF(IF(OR(C78="",D78="Congé",D78="OFF",D78="Congé spécial"),"",IF(D78&gt;F78,D78-C78,IF(C78-D78&lt;0,0,C78-D78)))&lt;0.00068287037037037,"",IF(OR(D78="Congé",D78="OFF",C78="",D78="Congé spécial"),"",IF(D78&gt;F78,D78-C78,IF(C78-D78&lt;0,0,C78-D78))))</f>
        <v/>
      </c>
      <c r="J78" s="20"/>
      <c r="K78" s="8" t="n">
        <f aca="false">IF(SUM(H78:J78)&lt;0.00068287037037037,0,SUM(H78:J78))</f>
        <v>0</v>
      </c>
      <c r="L78" s="8" t="n">
        <f aca="false">IF(OR(F78="Congé",F78="OFF",M78="Abs",F78="Congé sans solde",F78="Férié",F78="Congé spécial",D78="Congé spécial"),0,IF(F78-E78&lt;0,0,IF(F78-E78&lt;=0.00068287037037037,0,F78-E78)))</f>
        <v>0</v>
      </c>
      <c r="M78" s="6" t="n">
        <f aca="false">IF(AND(O78&lt;&gt;0,C78=""),"Abs",0)</f>
        <v>0</v>
      </c>
      <c r="N78" s="8" t="n">
        <f aca="false">IFERROR(IF(OR(D78="OFF",D78="Congé",M78="Abs",D78="Congé sans solde",D78="Férié"),"",IF(O78-K78-L78&gt;O78,O78,IF(O78-K78-L78&lt;0,"",O78-K78-L78))),"")</f>
        <v>0.375</v>
      </c>
      <c r="O78" s="8" t="n">
        <f aca="false">IF(AG78="2H Pause déjeuner",IF(F78-D78-0.0833333333333333&lt;0,F78-D78-0.0833333333333333+1,F78-D78-0.0833333333333333),IF(OR(AND(F78="OFF",D78="OFF"),AND(F78="Congé",D78="Congé"),AND(F78="Congé sans solde",D78="Congé sans solde"),AND(F78="Congé spécial",D78="Congé spécial"),AND(F78="Férié",D78="Férié"),AND(F78="OFF",D78="Congé"),AND(F78="OFF",D78="Congé sans solde"),AND(F78="OFF",D78="Congé spécial"),AND(F78="OFF",D78="Férié"),AND(F78="Congé",D78="OFF"),AND(F78="Congé",D78="Congé sans solde"),AND(F78="Congé",D78="Congé spécial"),AND(F78="Congé",D78="Férié"),AND(F78="Congé sans solde",D78="OFF"),AND(F78="Congé sans solde",D78="Congé"),AND(F78="Congé sans solde",D78="Congé spécial"),AND(F78="Congé sans solde",D78="Férié"),AND(F78="Congé spécial",D78="OFF"),AND(F78="Congé spécial",D78="Congé"),AND(F78="Congé spécial",D78="Congé sans solde"),AND(F78="Congé spécial",D78="Férié"),AND(F78="Férié",D78="OFF"),AND(F78="Férié",D78="Congé"),AND(F78="Férié",D78="Congé sans solde"),AND(F78="Férié",D78="Congé spécial")),0,IF(OR(F78="OFF",F78="Congé",F78="Congé spécial",F78="Congé sans solde",D78="OFF",D78="Congé",D78="Congé spécial",D78="Congé sans solde"),0.208333333333334,IF(AND(AG78="",F78-D78&lt;0),("24:00:00"-D78)+("00:00:00"+F78)-0.0416666666666667,IF(AND(OR(AG78="Allaitement",AG78="Sans déjeuner"),F78-D78&lt;0),("24:00:00"-D78)+("00:00:00"+F78),IF(AND(AG78="",F78-D78&gt;0.166666666666667),F78-D78-0.0416666666666667,IF(AND(OR(AG78="Allaitement",AG78="Sans déjeuner"),F78-D78&gt;0.166666666666667),F78-D78,F78-D78)))))))</f>
        <v>0.375</v>
      </c>
      <c r="P78" s="6" t="str">
        <f aca="false">IFERROR(VLOOKUP($B78,Agents!$A:$D,2,0),"-")</f>
        <v>Accessibilité</v>
      </c>
      <c r="Q78" s="21" t="n">
        <v>46001</v>
      </c>
      <c r="R78" s="8" t="n">
        <f aca="false">IF(M78="Abs",O78,0)</f>
        <v>0</v>
      </c>
      <c r="S78" s="8" t="n">
        <f aca="false">SUM(R78,L78,I78,J78,W78,H78)</f>
        <v>0</v>
      </c>
      <c r="T78" s="6" t="str">
        <f aca="false">"Sem - "&amp;WEEKNUM(Q78,21)</f>
        <v>Sem - 50</v>
      </c>
      <c r="U78" s="6" t="str">
        <f aca="false">CHOOSE(MONTH(Q78),"Janvier","Février","Mars","Avril","Mai","Juin","Juillet","Août","Septembre","Octobre","Novembre","Décembre")</f>
        <v>Décembre</v>
      </c>
      <c r="V78" s="22" t="n">
        <f aca="false">YEAR(Q78)</f>
        <v>2025</v>
      </c>
      <c r="W78" s="20"/>
      <c r="X78" s="8" t="n">
        <f aca="false">IFERROR(IF(M78="Abs",0,IF(ROUND((D78-C78+E78-F78)*1440,0)&lt;=1,0,D78-C78+E78-F78)),0)</f>
        <v>0</v>
      </c>
      <c r="Y78" s="6" t="str">
        <f aca="false">IFERROR(VLOOKUP($B78,Agents!$A:$D,3,0),"-")</f>
        <v>OUBRAHIM Mohammed</v>
      </c>
      <c r="Z78" s="6" t="str">
        <f aca="false">IFERROR(VLOOKUP($B78,Agents!$A:$D,4,0),"-")</f>
        <v>Credit Mutuel</v>
      </c>
      <c r="AA78" s="18" t="s">
        <v>77</v>
      </c>
      <c r="AB78" s="8" t="str">
        <f aca="false">IF(AND(D78="Congé",F78="Congé"),0.333333333333333,IF(OR(AND(D78="Congé",F78&lt;&gt;"Congé"),(AND(F78="Congé",D78&lt;&gt;"Congé"))),0.166666666666667,""))</f>
        <v/>
      </c>
      <c r="AC78" s="8" t="str">
        <f aca="false">IF(AND(D78="Congé sans solde",F78="Congé sans solde"),0.333333333333333,IF(OR(AND(D78="Congé sans solde",F78&lt;&gt;"Congé sans solde"),(AND(F78="Congé sans solde",D78&lt;&gt;"Congé sans solde"))),0.166666666666667,""))</f>
        <v/>
      </c>
      <c r="AD78" s="8" t="str">
        <f aca="false">IF(AND(D78="Congé spécial",F78="Congé spécial"),0.333333333333333,IF(OR(AND(D78="Congé spécial",F78&lt;&gt;"Congé spécial"),AND(F78="Congé spécial",D78&lt;&gt;"Congé spécial")),0.166666666666667,""))</f>
        <v/>
      </c>
      <c r="AE78" s="8" t="str">
        <f aca="false">IF(AND(D78="Férié",F78="Férié"),0.333333333333333,IF(OR(AND(D78="Férié",F78&lt;&gt;"Férié"),(AND(F78="Férié",D78&lt;&gt;"Férié"))),0.166666666666667,""))</f>
        <v/>
      </c>
      <c r="AF78" s="18"/>
      <c r="AG78" s="18"/>
    </row>
    <row r="79" customFormat="false" ht="15" hidden="false" customHeight="false" outlineLevel="0" collapsed="false">
      <c r="A79" s="6" t="str">
        <f aca="false">YEAR(Q79-WEEKDAY(Q79,2)+4)&amp;"-S"&amp;TEXT(WEEKNUM(Q79,21),"00")</f>
        <v>2025-S50</v>
      </c>
      <c r="B79" s="18" t="s">
        <v>71</v>
      </c>
      <c r="C79" s="19" t="n">
        <v>0.332638888888889</v>
      </c>
      <c r="D79" s="19" t="n">
        <v>0.333333333333333</v>
      </c>
      <c r="E79" s="19" t="n">
        <v>0.75</v>
      </c>
      <c r="F79" s="19" t="n">
        <v>0.75</v>
      </c>
      <c r="G79" s="20"/>
      <c r="H79" s="20"/>
      <c r="I79" s="8" t="str">
        <f aca="false">IF(IF(OR(C79="",D79="Congé",D79="OFF",D79="Congé spécial"),"",IF(D79&gt;F79,D79-C79,IF(C79-D79&lt;0,0,C79-D79)))&lt;0.00068287037037037,"",IF(OR(D79="Congé",D79="OFF",C79="",D79="Congé spécial"),"",IF(D79&gt;F79,D79-C79,IF(C79-D79&lt;0,0,C79-D79))))</f>
        <v/>
      </c>
      <c r="J79" s="20"/>
      <c r="K79" s="8" t="n">
        <f aca="false">IF(SUM(H79:J79)&lt;0.00068287037037037,0,SUM(H79:J79))</f>
        <v>0</v>
      </c>
      <c r="L79" s="8" t="n">
        <f aca="false">IF(OR(F79="Congé",F79="OFF",M79="Abs",F79="Congé sans solde",F79="Férié",F79="Congé spécial",D79="Congé spécial"),0,IF(F79-E79&lt;0,0,IF(F79-E79&lt;=0.00068287037037037,0,F79-E79)))</f>
        <v>0</v>
      </c>
      <c r="M79" s="6" t="n">
        <f aca="false">IF(AND(O79&lt;&gt;0,C79=""),"Abs",0)</f>
        <v>0</v>
      </c>
      <c r="N79" s="8" t="n">
        <f aca="false">IFERROR(IF(OR(D79="OFF",D79="Congé",M79="Abs",D79="Congé sans solde",D79="Férié"),"",IF(O79-K79-L79&gt;O79,O79,IF(O79-K79-L79&lt;0,"",O79-K79-L79))),"")</f>
        <v>0.375</v>
      </c>
      <c r="O79" s="8" t="n">
        <f aca="false">IF(AG79="2H Pause déjeuner",IF(F79-D79-0.0833333333333333&lt;0,F79-D79-0.0833333333333333+1,F79-D79-0.0833333333333333),IF(OR(AND(F79="OFF",D79="OFF"),AND(F79="Congé",D79="Congé"),AND(F79="Congé sans solde",D79="Congé sans solde"),AND(F79="Congé spécial",D79="Congé spécial"),AND(F79="Férié",D79="Férié"),AND(F79="OFF",D79="Congé"),AND(F79="OFF",D79="Congé sans solde"),AND(F79="OFF",D79="Congé spécial"),AND(F79="OFF",D79="Férié"),AND(F79="Congé",D79="OFF"),AND(F79="Congé",D79="Congé sans solde"),AND(F79="Congé",D79="Congé spécial"),AND(F79="Congé",D79="Férié"),AND(F79="Congé sans solde",D79="OFF"),AND(F79="Congé sans solde",D79="Congé"),AND(F79="Congé sans solde",D79="Congé spécial"),AND(F79="Congé sans solde",D79="Férié"),AND(F79="Congé spécial",D79="OFF"),AND(F79="Congé spécial",D79="Congé"),AND(F79="Congé spécial",D79="Congé sans solde"),AND(F79="Congé spécial",D79="Férié"),AND(F79="Férié",D79="OFF"),AND(F79="Férié",D79="Congé"),AND(F79="Férié",D79="Congé sans solde"),AND(F79="Férié",D79="Congé spécial")),0,IF(OR(F79="OFF",F79="Congé",F79="Congé spécial",F79="Congé sans solde",D79="OFF",D79="Congé",D79="Congé spécial",D79="Congé sans solde"),0.208333333333334,IF(AND(AG79="",F79-D79&lt;0),("24:00:00"-D79)+("00:00:00"+F79)-0.0416666666666667,IF(AND(OR(AG79="Allaitement",AG79="Sans déjeuner"),F79-D79&lt;0),("24:00:00"-D79)+("00:00:00"+F79),IF(AND(AG79="",F79-D79&gt;0.166666666666667),F79-D79-0.0416666666666667,IF(AND(OR(AG79="Allaitement",AG79="Sans déjeuner"),F79-D79&gt;0.166666666666667),F79-D79,F79-D79)))))))</f>
        <v>0.375</v>
      </c>
      <c r="P79" s="6" t="str">
        <f aca="false">IFERROR(VLOOKUP($B79,Agents!$A:$D,2,0),"-")</f>
        <v>Accessibilité</v>
      </c>
      <c r="Q79" s="21" t="n">
        <v>46001</v>
      </c>
      <c r="R79" s="8" t="n">
        <f aca="false">IF(M79="Abs",O79,0)</f>
        <v>0</v>
      </c>
      <c r="S79" s="8" t="n">
        <f aca="false">SUM(R79,L79,I79,J79,W79,H79)</f>
        <v>0</v>
      </c>
      <c r="T79" s="6" t="str">
        <f aca="false">"Sem - "&amp;WEEKNUM(Q79,21)</f>
        <v>Sem - 50</v>
      </c>
      <c r="U79" s="6" t="str">
        <f aca="false">CHOOSE(MONTH(Q79),"Janvier","Février","Mars","Avril","Mai","Juin","Juillet","Août","Septembre","Octobre","Novembre","Décembre")</f>
        <v>Décembre</v>
      </c>
      <c r="V79" s="22" t="n">
        <f aca="false">YEAR(Q79)</f>
        <v>2025</v>
      </c>
      <c r="W79" s="20"/>
      <c r="X79" s="8" t="n">
        <f aca="false">IFERROR(IF(M79="Abs",0,IF(ROUND((D79-C79+E79-F79)*1440,0)&lt;=1,0,D79-C79+E79-F79)),0)</f>
        <v>0</v>
      </c>
      <c r="Y79" s="6" t="str">
        <f aca="false">IFERROR(VLOOKUP($B79,Agents!$A:$D,3,0),"-")</f>
        <v>OUBRAHIM Mohammed</v>
      </c>
      <c r="Z79" s="6" t="str">
        <f aca="false">IFERROR(VLOOKUP($B79,Agents!$A:$D,4,0),"-")</f>
        <v>Credit Mutuel</v>
      </c>
      <c r="AA79" s="18" t="s">
        <v>77</v>
      </c>
      <c r="AB79" s="8" t="str">
        <f aca="false">IF(AND(D79="Congé",F79="Congé"),0.333333333333333,IF(OR(AND(D79="Congé",F79&lt;&gt;"Congé"),(AND(F79="Congé",D79&lt;&gt;"Congé"))),0.166666666666667,""))</f>
        <v/>
      </c>
      <c r="AC79" s="8" t="str">
        <f aca="false">IF(AND(D79="Congé sans solde",F79="Congé sans solde"),0.333333333333333,IF(OR(AND(D79="Congé sans solde",F79&lt;&gt;"Congé sans solde"),(AND(F79="Congé sans solde",D79&lt;&gt;"Congé sans solde"))),0.166666666666667,""))</f>
        <v/>
      </c>
      <c r="AD79" s="8" t="str">
        <f aca="false">IF(AND(D79="Congé spécial",F79="Congé spécial"),0.333333333333333,IF(OR(AND(D79="Congé spécial",F79&lt;&gt;"Congé spécial"),AND(F79="Congé spécial",D79&lt;&gt;"Congé spécial")),0.166666666666667,""))</f>
        <v/>
      </c>
      <c r="AE79" s="8" t="str">
        <f aca="false">IF(AND(D79="Férié",F79="Férié"),0.333333333333333,IF(OR(AND(D79="Férié",F79&lt;&gt;"Férié"),(AND(F79="Férié",D79&lt;&gt;"Férié"))),0.166666666666667,""))</f>
        <v/>
      </c>
      <c r="AF79" s="18"/>
      <c r="AG79" s="18"/>
    </row>
    <row r="80" customFormat="false" ht="15" hidden="false" customHeight="false" outlineLevel="0" collapsed="false">
      <c r="A80" s="6" t="str">
        <f aca="false">YEAR(Q80-WEEKDAY(Q80,2)+4)&amp;"-S"&amp;TEXT(WEEKNUM(Q80,21),"00")</f>
        <v>2025-S50</v>
      </c>
      <c r="B80" s="18" t="s">
        <v>72</v>
      </c>
      <c r="C80" s="19" t="n">
        <v>0.332638888888889</v>
      </c>
      <c r="D80" s="19" t="n">
        <v>0.333333333333333</v>
      </c>
      <c r="E80" s="19" t="n">
        <v>0.75</v>
      </c>
      <c r="F80" s="19" t="n">
        <v>0.75</v>
      </c>
      <c r="G80" s="20"/>
      <c r="H80" s="20"/>
      <c r="I80" s="8" t="str">
        <f aca="false">IF(IF(OR(C80="",D80="Congé",D80="OFF",D80="Congé spécial"),"",IF(D80&gt;F80,D80-C80,IF(C80-D80&lt;0,0,C80-D80)))&lt;0.00068287037037037,"",IF(OR(D80="Congé",D80="OFF",C80="",D80="Congé spécial"),"",IF(D80&gt;F80,D80-C80,IF(C80-D80&lt;0,0,C80-D80))))</f>
        <v/>
      </c>
      <c r="J80" s="20"/>
      <c r="K80" s="8" t="n">
        <f aca="false">IF(SUM(H80:J80)&lt;0.00068287037037037,0,SUM(H80:J80))</f>
        <v>0</v>
      </c>
      <c r="L80" s="8" t="n">
        <f aca="false">IF(OR(F80="Congé",F80="OFF",M80="Abs",F80="Congé sans solde",F80="Férié",F80="Congé spécial",D80="Congé spécial"),0,IF(F80-E80&lt;0,0,IF(F80-E80&lt;=0.00068287037037037,0,F80-E80)))</f>
        <v>0</v>
      </c>
      <c r="M80" s="6" t="n">
        <f aca="false">IF(AND(O80&lt;&gt;0,C80=""),"Abs",0)</f>
        <v>0</v>
      </c>
      <c r="N80" s="8" t="n">
        <f aca="false">IFERROR(IF(OR(D80="OFF",D80="Congé",M80="Abs",D80="Congé sans solde",D80="Férié"),"",IF(O80-K80-L80&gt;O80,O80,IF(O80-K80-L80&lt;0,"",O80-K80-L80))),"")</f>
        <v>0.375</v>
      </c>
      <c r="O80" s="8" t="n">
        <f aca="false">IF(AG80="2H Pause déjeuner",IF(F80-D80-0.0833333333333333&lt;0,F80-D80-0.0833333333333333+1,F80-D80-0.0833333333333333),IF(OR(AND(F80="OFF",D80="OFF"),AND(F80="Congé",D80="Congé"),AND(F80="Congé sans solde",D80="Congé sans solde"),AND(F80="Congé spécial",D80="Congé spécial"),AND(F80="Férié",D80="Férié"),AND(F80="OFF",D80="Congé"),AND(F80="OFF",D80="Congé sans solde"),AND(F80="OFF",D80="Congé spécial"),AND(F80="OFF",D80="Férié"),AND(F80="Congé",D80="OFF"),AND(F80="Congé",D80="Congé sans solde"),AND(F80="Congé",D80="Congé spécial"),AND(F80="Congé",D80="Férié"),AND(F80="Congé sans solde",D80="OFF"),AND(F80="Congé sans solde",D80="Congé"),AND(F80="Congé sans solde",D80="Congé spécial"),AND(F80="Congé sans solde",D80="Férié"),AND(F80="Congé spécial",D80="OFF"),AND(F80="Congé spécial",D80="Congé"),AND(F80="Congé spécial",D80="Congé sans solde"),AND(F80="Congé spécial",D80="Férié"),AND(F80="Férié",D80="OFF"),AND(F80="Férié",D80="Congé"),AND(F80="Férié",D80="Congé sans solde"),AND(F80="Férié",D80="Congé spécial")),0,IF(OR(F80="OFF",F80="Congé",F80="Congé spécial",F80="Congé sans solde",D80="OFF",D80="Congé",D80="Congé spécial",D80="Congé sans solde"),0.208333333333334,IF(AND(AG80="",F80-D80&lt;0),("24:00:00"-D80)+("00:00:00"+F80)-0.0416666666666667,IF(AND(OR(AG80="Allaitement",AG80="Sans déjeuner"),F80-D80&lt;0),("24:00:00"-D80)+("00:00:00"+F80),IF(AND(AG80="",F80-D80&gt;0.166666666666667),F80-D80-0.0416666666666667,IF(AND(OR(AG80="Allaitement",AG80="Sans déjeuner"),F80-D80&gt;0.166666666666667),F80-D80,F80-D80)))))))</f>
        <v>0.375</v>
      </c>
      <c r="P80" s="6" t="str">
        <f aca="false">IFERROR(VLOOKUP($B80,Agents!$A:$D,2,0),"-")</f>
        <v>Accessibilité</v>
      </c>
      <c r="Q80" s="21" t="n">
        <v>46001</v>
      </c>
      <c r="R80" s="8" t="n">
        <f aca="false">IF(M80="Abs",O80,0)</f>
        <v>0</v>
      </c>
      <c r="S80" s="8" t="n">
        <f aca="false">SUM(R80,L80,I80,J80,W80,H80)</f>
        <v>0</v>
      </c>
      <c r="T80" s="6" t="str">
        <f aca="false">"Sem - "&amp;WEEKNUM(Q80,21)</f>
        <v>Sem - 50</v>
      </c>
      <c r="U80" s="6" t="str">
        <f aca="false">CHOOSE(MONTH(Q80),"Janvier","Février","Mars","Avril","Mai","Juin","Juillet","Août","Septembre","Octobre","Novembre","Décembre")</f>
        <v>Décembre</v>
      </c>
      <c r="V80" s="22" t="n">
        <f aca="false">YEAR(Q80)</f>
        <v>2025</v>
      </c>
      <c r="W80" s="20"/>
      <c r="X80" s="8" t="n">
        <f aca="false">IFERROR(IF(M80="Abs",0,IF(ROUND((D80-C80+E80-F80)*1440,0)&lt;=1,0,D80-C80+E80-F80)),0)</f>
        <v>0</v>
      </c>
      <c r="Y80" s="6" t="str">
        <f aca="false">IFERROR(VLOOKUP($B80,Agents!$A:$D,3,0),"-")</f>
        <v>OUBRAHIM Mohammed</v>
      </c>
      <c r="Z80" s="6" t="str">
        <f aca="false">IFERROR(VLOOKUP($B80,Agents!$A:$D,4,0),"-")</f>
        <v>Credit Mutuel</v>
      </c>
      <c r="AA80" s="18" t="s">
        <v>77</v>
      </c>
      <c r="AB80" s="8" t="str">
        <f aca="false">IF(AND(D80="Congé",F80="Congé"),0.333333333333333,IF(OR(AND(D80="Congé",F80&lt;&gt;"Congé"),(AND(F80="Congé",D80&lt;&gt;"Congé"))),0.166666666666667,""))</f>
        <v/>
      </c>
      <c r="AC80" s="8" t="str">
        <f aca="false">IF(AND(D80="Congé sans solde",F80="Congé sans solde"),0.333333333333333,IF(OR(AND(D80="Congé sans solde",F80&lt;&gt;"Congé sans solde"),(AND(F80="Congé sans solde",D80&lt;&gt;"Congé sans solde"))),0.166666666666667,""))</f>
        <v/>
      </c>
      <c r="AD80" s="8" t="str">
        <f aca="false">IF(AND(D80="Congé spécial",F80="Congé spécial"),0.333333333333333,IF(OR(AND(D80="Congé spécial",F80&lt;&gt;"Congé spécial"),AND(F80="Congé spécial",D80&lt;&gt;"Congé spécial")),0.166666666666667,""))</f>
        <v/>
      </c>
      <c r="AE80" s="8" t="str">
        <f aca="false">IF(AND(D80="Férié",F80="Férié"),0.333333333333333,IF(OR(AND(D80="Férié",F80&lt;&gt;"Férié"),(AND(F80="Férié",D80&lt;&gt;"Férié"))),0.166666666666667,""))</f>
        <v/>
      </c>
      <c r="AF80" s="18"/>
      <c r="AG80" s="18"/>
    </row>
    <row r="81" customFormat="false" ht="15" hidden="false" customHeight="false" outlineLevel="0" collapsed="false">
      <c r="A81" s="6" t="str">
        <f aca="false">YEAR(Q81-WEEKDAY(Q81,2)+4)&amp;"-S"&amp;TEXT(WEEKNUM(Q81,21),"00")</f>
        <v>2025-S50</v>
      </c>
      <c r="B81" s="18" t="s">
        <v>73</v>
      </c>
      <c r="C81" s="19" t="n">
        <v>0.333333333333333</v>
      </c>
      <c r="D81" s="19" t="n">
        <v>0.333333333333333</v>
      </c>
      <c r="E81" s="19" t="n">
        <v>0.75</v>
      </c>
      <c r="F81" s="19" t="n">
        <v>0.75</v>
      </c>
      <c r="G81" s="20"/>
      <c r="H81" s="20"/>
      <c r="I81" s="8" t="str">
        <f aca="false">IF(IF(OR(C81="",D81="Congé",D81="OFF",D81="Congé spécial"),"",IF(D81&gt;F81,D81-C81,IF(C81-D81&lt;0,0,C81-D81)))&lt;0.00068287037037037,"",IF(OR(D81="Congé",D81="OFF",C81="",D81="Congé spécial"),"",IF(D81&gt;F81,D81-C81,IF(C81-D81&lt;0,0,C81-D81))))</f>
        <v/>
      </c>
      <c r="J81" s="20"/>
      <c r="K81" s="8" t="n">
        <f aca="false">IF(SUM(H81:J81)&lt;0.00068287037037037,0,SUM(H81:J81))</f>
        <v>0</v>
      </c>
      <c r="L81" s="8" t="n">
        <f aca="false">IF(OR(F81="Congé",F81="OFF",M81="Abs",F81="Congé sans solde",F81="Férié",F81="Congé spécial",D81="Congé spécial"),0,IF(F81-E81&lt;0,0,IF(F81-E81&lt;=0.00068287037037037,0,F81-E81)))</f>
        <v>0</v>
      </c>
      <c r="M81" s="6" t="n">
        <f aca="false">IF(AND(O81&lt;&gt;0,C81=""),"Abs",0)</f>
        <v>0</v>
      </c>
      <c r="N81" s="8" t="n">
        <f aca="false">IFERROR(IF(OR(D81="OFF",D81="Congé",M81="Abs",D81="Congé sans solde",D81="Férié"),"",IF(O81-K81-L81&gt;O81,O81,IF(O81-K81-L81&lt;0,"",O81-K81-L81))),"")</f>
        <v>0.375</v>
      </c>
      <c r="O81" s="8" t="n">
        <f aca="false">IF(AG81="2H Pause déjeuner",IF(F81-D81-0.0833333333333333&lt;0,F81-D81-0.0833333333333333+1,F81-D81-0.0833333333333333),IF(OR(AND(F81="OFF",D81="OFF"),AND(F81="Congé",D81="Congé"),AND(F81="Congé sans solde",D81="Congé sans solde"),AND(F81="Congé spécial",D81="Congé spécial"),AND(F81="Férié",D81="Férié"),AND(F81="OFF",D81="Congé"),AND(F81="OFF",D81="Congé sans solde"),AND(F81="OFF",D81="Congé spécial"),AND(F81="OFF",D81="Férié"),AND(F81="Congé",D81="OFF"),AND(F81="Congé",D81="Congé sans solde"),AND(F81="Congé",D81="Congé spécial"),AND(F81="Congé",D81="Férié"),AND(F81="Congé sans solde",D81="OFF"),AND(F81="Congé sans solde",D81="Congé"),AND(F81="Congé sans solde",D81="Congé spécial"),AND(F81="Congé sans solde",D81="Férié"),AND(F81="Congé spécial",D81="OFF"),AND(F81="Congé spécial",D81="Congé"),AND(F81="Congé spécial",D81="Congé sans solde"),AND(F81="Congé spécial",D81="Férié"),AND(F81="Férié",D81="OFF"),AND(F81="Férié",D81="Congé"),AND(F81="Férié",D81="Congé sans solde"),AND(F81="Férié",D81="Congé spécial")),0,IF(OR(F81="OFF",F81="Congé",F81="Congé spécial",F81="Congé sans solde",D81="OFF",D81="Congé",D81="Congé spécial",D81="Congé sans solde"),0.208333333333334,IF(AND(AG81="",F81-D81&lt;0),("24:00:00"-D81)+("00:00:00"+F81)-0.0416666666666667,IF(AND(OR(AG81="Allaitement",AG81="Sans déjeuner"),F81-D81&lt;0),("24:00:00"-D81)+("00:00:00"+F81),IF(AND(AG81="",F81-D81&gt;0.166666666666667),F81-D81-0.0416666666666667,IF(AND(OR(AG81="Allaitement",AG81="Sans déjeuner"),F81-D81&gt;0.166666666666667),F81-D81,F81-D81)))))))</f>
        <v>0.375</v>
      </c>
      <c r="P81" s="6" t="str">
        <f aca="false">IFERROR(VLOOKUP($B81,Agents!$A:$D,2,0),"-")</f>
        <v>Accessibilité</v>
      </c>
      <c r="Q81" s="21" t="n">
        <v>46001</v>
      </c>
      <c r="R81" s="8" t="n">
        <f aca="false">IF(M81="Abs",O81,0)</f>
        <v>0</v>
      </c>
      <c r="S81" s="8" t="n">
        <f aca="false">SUM(R81,L81,I81,J81,W81,H81)</f>
        <v>0</v>
      </c>
      <c r="T81" s="6" t="str">
        <f aca="false">"Sem - "&amp;WEEKNUM(Q81,21)</f>
        <v>Sem - 50</v>
      </c>
      <c r="U81" s="6" t="str">
        <f aca="false">CHOOSE(MONTH(Q81),"Janvier","Février","Mars","Avril","Mai","Juin","Juillet","Août","Septembre","Octobre","Novembre","Décembre")</f>
        <v>Décembre</v>
      </c>
      <c r="V81" s="22" t="n">
        <f aca="false">YEAR(Q81)</f>
        <v>2025</v>
      </c>
      <c r="W81" s="20"/>
      <c r="X81" s="8" t="n">
        <f aca="false">IFERROR(IF(M81="Abs",0,IF(ROUND((D81-C81+E81-F81)*1440,0)&lt;=1,0,D81-C81+E81-F81)),0)</f>
        <v>0</v>
      </c>
      <c r="Y81" s="6" t="str">
        <f aca="false">IFERROR(VLOOKUP($B81,Agents!$A:$D,3,0),"-")</f>
        <v>OUBRAHIM Mohammed</v>
      </c>
      <c r="Z81" s="6" t="str">
        <f aca="false">IFERROR(VLOOKUP($B81,Agents!$A:$D,4,0),"-")</f>
        <v>Credit Mutuel</v>
      </c>
      <c r="AA81" s="18" t="s">
        <v>77</v>
      </c>
      <c r="AB81" s="8" t="str">
        <f aca="false">IF(AND(D81="Congé",F81="Congé"),0.333333333333333,IF(OR(AND(D81="Congé",F81&lt;&gt;"Congé"),(AND(F81="Congé",D81&lt;&gt;"Congé"))),0.166666666666667,""))</f>
        <v/>
      </c>
      <c r="AC81" s="8" t="str">
        <f aca="false">IF(AND(D81="Congé sans solde",F81="Congé sans solde"),0.333333333333333,IF(OR(AND(D81="Congé sans solde",F81&lt;&gt;"Congé sans solde"),(AND(F81="Congé sans solde",D81&lt;&gt;"Congé sans solde"))),0.166666666666667,""))</f>
        <v/>
      </c>
      <c r="AD81" s="8" t="str">
        <f aca="false">IF(AND(D81="Congé spécial",F81="Congé spécial"),0.333333333333333,IF(OR(AND(D81="Congé spécial",F81&lt;&gt;"Congé spécial"),AND(F81="Congé spécial",D81&lt;&gt;"Congé spécial")),0.166666666666667,""))</f>
        <v/>
      </c>
      <c r="AE81" s="8" t="str">
        <f aca="false">IF(AND(D81="Férié",F81="Férié"),0.333333333333333,IF(OR(AND(D81="Férié",F81&lt;&gt;"Férié"),(AND(F81="Férié",D81&lt;&gt;"Férié"))),0.166666666666667,""))</f>
        <v/>
      </c>
      <c r="AF81" s="18"/>
      <c r="AG81" s="18"/>
    </row>
    <row r="82" customFormat="false" ht="15" hidden="false" customHeight="false" outlineLevel="0" collapsed="false">
      <c r="A82" s="6" t="str">
        <f aca="false">YEAR(Q82-WEEKDAY(Q82,2)+4)&amp;"-S"&amp;TEXT(WEEKNUM(Q82,21),"00")</f>
        <v>2025-S50</v>
      </c>
      <c r="B82" s="18" t="s">
        <v>69</v>
      </c>
      <c r="C82" s="19" t="n">
        <v>0.332638888888889</v>
      </c>
      <c r="D82" s="19" t="n">
        <v>0.333333333333333</v>
      </c>
      <c r="E82" s="19" t="n">
        <v>0.75</v>
      </c>
      <c r="F82" s="19" t="n">
        <v>0.75</v>
      </c>
      <c r="G82" s="20"/>
      <c r="H82" s="20"/>
      <c r="I82" s="8" t="str">
        <f aca="false">IF(IF(OR(C82="",D82="Congé",D82="OFF",D82="Congé spécial"),"",IF(D82&gt;F82,D82-C82,IF(C82-D82&lt;0,0,C82-D82)))&lt;0.00068287037037037,"",IF(OR(D82="Congé",D82="OFF",C82="",D82="Congé spécial"),"",IF(D82&gt;F82,D82-C82,IF(C82-D82&lt;0,0,C82-D82))))</f>
        <v/>
      </c>
      <c r="J82" s="20"/>
      <c r="K82" s="8" t="n">
        <f aca="false">IF(SUM(H82:J82)&lt;0.00068287037037037,0,SUM(H82:J82))</f>
        <v>0</v>
      </c>
      <c r="L82" s="8" t="n">
        <f aca="false">IF(OR(F82="Congé",F82="OFF",M82="Abs",F82="Congé sans solde",F82="Férié",F82="Congé spécial",D82="Congé spécial"),0,IF(F82-E82&lt;0,0,IF(F82-E82&lt;=0.00068287037037037,0,F82-E82)))</f>
        <v>0</v>
      </c>
      <c r="M82" s="6" t="n">
        <f aca="false">IF(AND(O82&lt;&gt;0,C82=""),"Abs",0)</f>
        <v>0</v>
      </c>
      <c r="N82" s="8" t="n">
        <f aca="false">IFERROR(IF(OR(D82="OFF",D82="Congé",M82="Abs",D82="Congé sans solde",D82="Férié"),"",IF(O82-K82-L82&gt;O82,O82,IF(O82-K82-L82&lt;0,"",O82-K82-L82))),"")</f>
        <v>0.375</v>
      </c>
      <c r="O82" s="8" t="n">
        <f aca="false">IF(AG82="2H Pause déjeuner",IF(F82-D82-0.0833333333333333&lt;0,F82-D82-0.0833333333333333+1,F82-D82-0.0833333333333333),IF(OR(AND(F82="OFF",D82="OFF"),AND(F82="Congé",D82="Congé"),AND(F82="Congé sans solde",D82="Congé sans solde"),AND(F82="Congé spécial",D82="Congé spécial"),AND(F82="Férié",D82="Férié"),AND(F82="OFF",D82="Congé"),AND(F82="OFF",D82="Congé sans solde"),AND(F82="OFF",D82="Congé spécial"),AND(F82="OFF",D82="Férié"),AND(F82="Congé",D82="OFF"),AND(F82="Congé",D82="Congé sans solde"),AND(F82="Congé",D82="Congé spécial"),AND(F82="Congé",D82="Férié"),AND(F82="Congé sans solde",D82="OFF"),AND(F82="Congé sans solde",D82="Congé"),AND(F82="Congé sans solde",D82="Congé spécial"),AND(F82="Congé sans solde",D82="Férié"),AND(F82="Congé spécial",D82="OFF"),AND(F82="Congé spécial",D82="Congé"),AND(F82="Congé spécial",D82="Congé sans solde"),AND(F82="Congé spécial",D82="Férié"),AND(F82="Férié",D82="OFF"),AND(F82="Férié",D82="Congé"),AND(F82="Férié",D82="Congé sans solde"),AND(F82="Férié",D82="Congé spécial")),0,IF(OR(F82="OFF",F82="Congé",F82="Congé spécial",F82="Congé sans solde",D82="OFF",D82="Congé",D82="Congé spécial",D82="Congé sans solde"),0.208333333333334,IF(AND(AG82="",F82-D82&lt;0),("24:00:00"-D82)+("00:00:00"+F82)-0.0416666666666667,IF(AND(OR(AG82="Allaitement",AG82="Sans déjeuner"),F82-D82&lt;0),("24:00:00"-D82)+("00:00:00"+F82),IF(AND(AG82="",F82-D82&gt;0.166666666666667),F82-D82-0.0416666666666667,IF(AND(OR(AG82="Allaitement",AG82="Sans déjeuner"),F82-D82&gt;0.166666666666667),F82-D82,F82-D82)))))))</f>
        <v>0.375</v>
      </c>
      <c r="P82" s="6" t="str">
        <f aca="false">IFERROR(VLOOKUP($B82,Agents!$A:$D,2,0),"-")</f>
        <v>Accessibilité</v>
      </c>
      <c r="Q82" s="21" t="n">
        <v>46002</v>
      </c>
      <c r="R82" s="8" t="n">
        <f aca="false">IF(M82="Abs",O82,0)</f>
        <v>0</v>
      </c>
      <c r="S82" s="8" t="n">
        <f aca="false">SUM(R82,L82,I82,J82,W82,H82)</f>
        <v>0</v>
      </c>
      <c r="T82" s="6" t="str">
        <f aca="false">"Sem - "&amp;WEEKNUM(Q82,21)</f>
        <v>Sem - 50</v>
      </c>
      <c r="U82" s="6" t="str">
        <f aca="false">CHOOSE(MONTH(Q82),"Janvier","Février","Mars","Avril","Mai","Juin","Juillet","Août","Septembre","Octobre","Novembre","Décembre")</f>
        <v>Décembre</v>
      </c>
      <c r="V82" s="22" t="n">
        <f aca="false">YEAR(Q82)</f>
        <v>2025</v>
      </c>
      <c r="W82" s="20"/>
      <c r="X82" s="8" t="n">
        <f aca="false">IFERROR(IF(M82="Abs",0,IF(ROUND((D82-C82+E82-F82)*1440,0)&lt;=1,0,D82-C82+E82-F82)),0)</f>
        <v>0</v>
      </c>
      <c r="Y82" s="6" t="str">
        <f aca="false">IFERROR(VLOOKUP($B82,Agents!$A:$D,3,0),"-")</f>
        <v>OUBRAHIM Mohammed</v>
      </c>
      <c r="Z82" s="6" t="str">
        <f aca="false">IFERROR(VLOOKUP($B82,Agents!$A:$D,4,0),"-")</f>
        <v>Credit Mutuel</v>
      </c>
      <c r="AA82" s="18" t="s">
        <v>77</v>
      </c>
      <c r="AB82" s="8" t="str">
        <f aca="false">IF(AND(D82="Congé",F82="Congé"),0.333333333333333,IF(OR(AND(D82="Congé",F82&lt;&gt;"Congé"),(AND(F82="Congé",D82&lt;&gt;"Congé"))),0.166666666666667,""))</f>
        <v/>
      </c>
      <c r="AC82" s="8" t="str">
        <f aca="false">IF(AND(D82="Congé sans solde",F82="Congé sans solde"),0.333333333333333,IF(OR(AND(D82="Congé sans solde",F82&lt;&gt;"Congé sans solde"),(AND(F82="Congé sans solde",D82&lt;&gt;"Congé sans solde"))),0.166666666666667,""))</f>
        <v/>
      </c>
      <c r="AD82" s="8" t="str">
        <f aca="false">IF(AND(D82="Congé spécial",F82="Congé spécial"),0.333333333333333,IF(OR(AND(D82="Congé spécial",F82&lt;&gt;"Congé spécial"),AND(F82="Congé spécial",D82&lt;&gt;"Congé spécial")),0.166666666666667,""))</f>
        <v/>
      </c>
      <c r="AE82" s="8" t="str">
        <f aca="false">IF(AND(D82="Férié",F82="Férié"),0.333333333333333,IF(OR(AND(D82="Férié",F82&lt;&gt;"Férié"),(AND(F82="Férié",D82&lt;&gt;"Férié"))),0.166666666666667,""))</f>
        <v/>
      </c>
      <c r="AF82" s="18"/>
      <c r="AG82" s="18"/>
    </row>
    <row r="83" customFormat="false" ht="15" hidden="false" customHeight="false" outlineLevel="0" collapsed="false">
      <c r="A83" s="6" t="str">
        <f aca="false">YEAR(Q83-WEEKDAY(Q83,2)+4)&amp;"-S"&amp;TEXT(WEEKNUM(Q83,21),"00")</f>
        <v>2025-S50</v>
      </c>
      <c r="B83" s="18" t="s">
        <v>71</v>
      </c>
      <c r="C83" s="19" t="n">
        <v>0.333333333333333</v>
      </c>
      <c r="D83" s="19" t="n">
        <v>0.333333333333333</v>
      </c>
      <c r="E83" s="19" t="n">
        <v>0.75</v>
      </c>
      <c r="F83" s="19" t="n">
        <v>0.75</v>
      </c>
      <c r="G83" s="20"/>
      <c r="H83" s="20"/>
      <c r="I83" s="8" t="str">
        <f aca="false">IF(IF(OR(C83="",D83="Congé",D83="OFF",D83="Congé spécial"),"",IF(D83&gt;F83,D83-C83,IF(C83-D83&lt;0,0,C83-D83)))&lt;0.00068287037037037,"",IF(OR(D83="Congé",D83="OFF",C83="",D83="Congé spécial"),"",IF(D83&gt;F83,D83-C83,IF(C83-D83&lt;0,0,C83-D83))))</f>
        <v/>
      </c>
      <c r="J83" s="20"/>
      <c r="K83" s="8" t="n">
        <f aca="false">IF(SUM(H83:J83)&lt;0.00068287037037037,0,SUM(H83:J83))</f>
        <v>0</v>
      </c>
      <c r="L83" s="8" t="n">
        <f aca="false">IF(OR(F83="Congé",F83="OFF",M83="Abs",F83="Congé sans solde",F83="Férié",F83="Congé spécial",D83="Congé spécial"),0,IF(F83-E83&lt;0,0,IF(F83-E83&lt;=0.00068287037037037,0,F83-E83)))</f>
        <v>0</v>
      </c>
      <c r="M83" s="6" t="n">
        <f aca="false">IF(AND(O83&lt;&gt;0,C83=""),"Abs",0)</f>
        <v>0</v>
      </c>
      <c r="N83" s="8" t="n">
        <f aca="false">IFERROR(IF(OR(D83="OFF",D83="Congé",M83="Abs",D83="Congé sans solde",D83="Férié"),"",IF(O83-K83-L83&gt;O83,O83,IF(O83-K83-L83&lt;0,"",O83-K83-L83))),"")</f>
        <v>0.375</v>
      </c>
      <c r="O83" s="8" t="n">
        <f aca="false">IF(AG83="2H Pause déjeuner",IF(F83-D83-0.0833333333333333&lt;0,F83-D83-0.0833333333333333+1,F83-D83-0.0833333333333333),IF(OR(AND(F83="OFF",D83="OFF"),AND(F83="Congé",D83="Congé"),AND(F83="Congé sans solde",D83="Congé sans solde"),AND(F83="Congé spécial",D83="Congé spécial"),AND(F83="Férié",D83="Férié"),AND(F83="OFF",D83="Congé"),AND(F83="OFF",D83="Congé sans solde"),AND(F83="OFF",D83="Congé spécial"),AND(F83="OFF",D83="Férié"),AND(F83="Congé",D83="OFF"),AND(F83="Congé",D83="Congé sans solde"),AND(F83="Congé",D83="Congé spécial"),AND(F83="Congé",D83="Férié"),AND(F83="Congé sans solde",D83="OFF"),AND(F83="Congé sans solde",D83="Congé"),AND(F83="Congé sans solde",D83="Congé spécial"),AND(F83="Congé sans solde",D83="Férié"),AND(F83="Congé spécial",D83="OFF"),AND(F83="Congé spécial",D83="Congé"),AND(F83="Congé spécial",D83="Congé sans solde"),AND(F83="Congé spécial",D83="Férié"),AND(F83="Férié",D83="OFF"),AND(F83="Férié",D83="Congé"),AND(F83="Férié",D83="Congé sans solde"),AND(F83="Férié",D83="Congé spécial")),0,IF(OR(F83="OFF",F83="Congé",F83="Congé spécial",F83="Congé sans solde",D83="OFF",D83="Congé",D83="Congé spécial",D83="Congé sans solde"),0.208333333333334,IF(AND(AG83="",F83-D83&lt;0),("24:00:00"-D83)+("00:00:00"+F83)-0.0416666666666667,IF(AND(OR(AG83="Allaitement",AG83="Sans déjeuner"),F83-D83&lt;0),("24:00:00"-D83)+("00:00:00"+F83),IF(AND(AG83="",F83-D83&gt;0.166666666666667),F83-D83-0.0416666666666667,IF(AND(OR(AG83="Allaitement",AG83="Sans déjeuner"),F83-D83&gt;0.166666666666667),F83-D83,F83-D83)))))))</f>
        <v>0.375</v>
      </c>
      <c r="P83" s="6" t="str">
        <f aca="false">IFERROR(VLOOKUP($B83,Agents!$A:$D,2,0),"-")</f>
        <v>Accessibilité</v>
      </c>
      <c r="Q83" s="21" t="n">
        <v>46002</v>
      </c>
      <c r="R83" s="8" t="n">
        <f aca="false">IF(M83="Abs",O83,0)</f>
        <v>0</v>
      </c>
      <c r="S83" s="8" t="n">
        <f aca="false">SUM(R83,L83,I83,J83,W83,H83)</f>
        <v>0</v>
      </c>
      <c r="T83" s="6" t="str">
        <f aca="false">"Sem - "&amp;WEEKNUM(Q83,21)</f>
        <v>Sem - 50</v>
      </c>
      <c r="U83" s="6" t="str">
        <f aca="false">CHOOSE(MONTH(Q83),"Janvier","Février","Mars","Avril","Mai","Juin","Juillet","Août","Septembre","Octobre","Novembre","Décembre")</f>
        <v>Décembre</v>
      </c>
      <c r="V83" s="22" t="n">
        <f aca="false">YEAR(Q83)</f>
        <v>2025</v>
      </c>
      <c r="W83" s="20"/>
      <c r="X83" s="8" t="n">
        <f aca="false">IFERROR(IF(M83="Abs",0,IF(ROUND((D83-C83+E83-F83)*1440,0)&lt;=1,0,D83-C83+E83-F83)),0)</f>
        <v>0</v>
      </c>
      <c r="Y83" s="6" t="str">
        <f aca="false">IFERROR(VLOOKUP($B83,Agents!$A:$D,3,0),"-")</f>
        <v>OUBRAHIM Mohammed</v>
      </c>
      <c r="Z83" s="6" t="str">
        <f aca="false">IFERROR(VLOOKUP($B83,Agents!$A:$D,4,0),"-")</f>
        <v>Credit Mutuel</v>
      </c>
      <c r="AA83" s="18" t="s">
        <v>77</v>
      </c>
      <c r="AB83" s="8" t="str">
        <f aca="false">IF(AND(D83="Congé",F83="Congé"),0.333333333333333,IF(OR(AND(D83="Congé",F83&lt;&gt;"Congé"),(AND(F83="Congé",D83&lt;&gt;"Congé"))),0.166666666666667,""))</f>
        <v/>
      </c>
      <c r="AC83" s="8" t="str">
        <f aca="false">IF(AND(D83="Congé sans solde",F83="Congé sans solde"),0.333333333333333,IF(OR(AND(D83="Congé sans solde",F83&lt;&gt;"Congé sans solde"),(AND(F83="Congé sans solde",D83&lt;&gt;"Congé sans solde"))),0.166666666666667,""))</f>
        <v/>
      </c>
      <c r="AD83" s="8" t="str">
        <f aca="false">IF(AND(D83="Congé spécial",F83="Congé spécial"),0.333333333333333,IF(OR(AND(D83="Congé spécial",F83&lt;&gt;"Congé spécial"),AND(F83="Congé spécial",D83&lt;&gt;"Congé spécial")),0.166666666666667,""))</f>
        <v/>
      </c>
      <c r="AE83" s="8" t="str">
        <f aca="false">IF(AND(D83="Férié",F83="Férié"),0.333333333333333,IF(OR(AND(D83="Férié",F83&lt;&gt;"Férié"),(AND(F83="Férié",D83&lt;&gt;"Férié"))),0.166666666666667,""))</f>
        <v/>
      </c>
      <c r="AF83" s="18"/>
      <c r="AG83" s="18"/>
    </row>
    <row r="84" customFormat="false" ht="15" hidden="false" customHeight="false" outlineLevel="0" collapsed="false">
      <c r="A84" s="6" t="str">
        <f aca="false">YEAR(Q84-WEEKDAY(Q84,2)+4)&amp;"-S"&amp;TEXT(WEEKNUM(Q84,21),"00")</f>
        <v>2025-S50</v>
      </c>
      <c r="B84" s="18" t="s">
        <v>72</v>
      </c>
      <c r="C84" s="19" t="n">
        <v>0.333333333333333</v>
      </c>
      <c r="D84" s="19" t="n">
        <v>0.333333333333333</v>
      </c>
      <c r="E84" s="19" t="n">
        <v>0.75</v>
      </c>
      <c r="F84" s="19" t="n">
        <v>0.75</v>
      </c>
      <c r="G84" s="20"/>
      <c r="H84" s="20"/>
      <c r="I84" s="8" t="str">
        <f aca="false">IF(IF(OR(C84="",D84="Congé",D84="OFF",D84="Congé spécial"),"",IF(D84&gt;F84,D84-C84,IF(C84-D84&lt;0,0,C84-D84)))&lt;0.00068287037037037,"",IF(OR(D84="Congé",D84="OFF",C84="",D84="Congé spécial"),"",IF(D84&gt;F84,D84-C84,IF(C84-D84&lt;0,0,C84-D84))))</f>
        <v/>
      </c>
      <c r="J84" s="20"/>
      <c r="K84" s="8" t="n">
        <f aca="false">IF(SUM(H84:J84)&lt;0.00068287037037037,0,SUM(H84:J84))</f>
        <v>0</v>
      </c>
      <c r="L84" s="8" t="n">
        <f aca="false">IF(OR(F84="Congé",F84="OFF",M84="Abs",F84="Congé sans solde",F84="Férié",F84="Congé spécial",D84="Congé spécial"),0,IF(F84-E84&lt;0,0,IF(F84-E84&lt;=0.00068287037037037,0,F84-E84)))</f>
        <v>0</v>
      </c>
      <c r="M84" s="6" t="n">
        <f aca="false">IF(AND(O84&lt;&gt;0,C84=""),"Abs",0)</f>
        <v>0</v>
      </c>
      <c r="N84" s="8" t="n">
        <f aca="false">IFERROR(IF(OR(D84="OFF",D84="Congé",M84="Abs",D84="Congé sans solde",D84="Férié"),"",IF(O84-K84-L84&gt;O84,O84,IF(O84-K84-L84&lt;0,"",O84-K84-L84))),"")</f>
        <v>0.375</v>
      </c>
      <c r="O84" s="8" t="n">
        <f aca="false">IF(AG84="2H Pause déjeuner",IF(F84-D84-0.0833333333333333&lt;0,F84-D84-0.0833333333333333+1,F84-D84-0.0833333333333333),IF(OR(AND(F84="OFF",D84="OFF"),AND(F84="Congé",D84="Congé"),AND(F84="Congé sans solde",D84="Congé sans solde"),AND(F84="Congé spécial",D84="Congé spécial"),AND(F84="Férié",D84="Férié"),AND(F84="OFF",D84="Congé"),AND(F84="OFF",D84="Congé sans solde"),AND(F84="OFF",D84="Congé spécial"),AND(F84="OFF",D84="Férié"),AND(F84="Congé",D84="OFF"),AND(F84="Congé",D84="Congé sans solde"),AND(F84="Congé",D84="Congé spécial"),AND(F84="Congé",D84="Férié"),AND(F84="Congé sans solde",D84="OFF"),AND(F84="Congé sans solde",D84="Congé"),AND(F84="Congé sans solde",D84="Congé spécial"),AND(F84="Congé sans solde",D84="Férié"),AND(F84="Congé spécial",D84="OFF"),AND(F84="Congé spécial",D84="Congé"),AND(F84="Congé spécial",D84="Congé sans solde"),AND(F84="Congé spécial",D84="Férié"),AND(F84="Férié",D84="OFF"),AND(F84="Férié",D84="Congé"),AND(F84="Férié",D84="Congé sans solde"),AND(F84="Férié",D84="Congé spécial")),0,IF(OR(F84="OFF",F84="Congé",F84="Congé spécial",F84="Congé sans solde",D84="OFF",D84="Congé",D84="Congé spécial",D84="Congé sans solde"),0.208333333333334,IF(AND(AG84="",F84-D84&lt;0),("24:00:00"-D84)+("00:00:00"+F84)-0.0416666666666667,IF(AND(OR(AG84="Allaitement",AG84="Sans déjeuner"),F84-D84&lt;0),("24:00:00"-D84)+("00:00:00"+F84),IF(AND(AG84="",F84-D84&gt;0.166666666666667),F84-D84-0.0416666666666667,IF(AND(OR(AG84="Allaitement",AG84="Sans déjeuner"),F84-D84&gt;0.166666666666667),F84-D84,F84-D84)))))))</f>
        <v>0.375</v>
      </c>
      <c r="P84" s="6" t="str">
        <f aca="false">IFERROR(VLOOKUP($B84,Agents!$A:$D,2,0),"-")</f>
        <v>Accessibilité</v>
      </c>
      <c r="Q84" s="21" t="n">
        <v>46002</v>
      </c>
      <c r="R84" s="8" t="n">
        <f aca="false">IF(M84="Abs",O84,0)</f>
        <v>0</v>
      </c>
      <c r="S84" s="8" t="n">
        <f aca="false">SUM(R84,L84,I84,J84,W84,H84)</f>
        <v>0</v>
      </c>
      <c r="T84" s="6" t="str">
        <f aca="false">"Sem - "&amp;WEEKNUM(Q84,21)</f>
        <v>Sem - 50</v>
      </c>
      <c r="U84" s="6" t="str">
        <f aca="false">CHOOSE(MONTH(Q84),"Janvier","Février","Mars","Avril","Mai","Juin","Juillet","Août","Septembre","Octobre","Novembre","Décembre")</f>
        <v>Décembre</v>
      </c>
      <c r="V84" s="22" t="n">
        <f aca="false">YEAR(Q84)</f>
        <v>2025</v>
      </c>
      <c r="W84" s="20"/>
      <c r="X84" s="8" t="n">
        <f aca="false">IFERROR(IF(M84="Abs",0,IF(ROUND((D84-C84+E84-F84)*1440,0)&lt;=1,0,D84-C84+E84-F84)),0)</f>
        <v>0</v>
      </c>
      <c r="Y84" s="6" t="str">
        <f aca="false">IFERROR(VLOOKUP($B84,Agents!$A:$D,3,0),"-")</f>
        <v>OUBRAHIM Mohammed</v>
      </c>
      <c r="Z84" s="6" t="str">
        <f aca="false">IFERROR(VLOOKUP($B84,Agents!$A:$D,4,0),"-")</f>
        <v>Credit Mutuel</v>
      </c>
      <c r="AA84" s="18" t="s">
        <v>77</v>
      </c>
      <c r="AB84" s="8" t="str">
        <f aca="false">IF(AND(D84="Congé",F84="Congé"),0.333333333333333,IF(OR(AND(D84="Congé",F84&lt;&gt;"Congé"),(AND(F84="Congé",D84&lt;&gt;"Congé"))),0.166666666666667,""))</f>
        <v/>
      </c>
      <c r="AC84" s="8" t="str">
        <f aca="false">IF(AND(D84="Congé sans solde",F84="Congé sans solde"),0.333333333333333,IF(OR(AND(D84="Congé sans solde",F84&lt;&gt;"Congé sans solde"),(AND(F84="Congé sans solde",D84&lt;&gt;"Congé sans solde"))),0.166666666666667,""))</f>
        <v/>
      </c>
      <c r="AD84" s="8" t="str">
        <f aca="false">IF(AND(D84="Congé spécial",F84="Congé spécial"),0.333333333333333,IF(OR(AND(D84="Congé spécial",F84&lt;&gt;"Congé spécial"),AND(F84="Congé spécial",D84&lt;&gt;"Congé spécial")),0.166666666666667,""))</f>
        <v/>
      </c>
      <c r="AE84" s="8" t="str">
        <f aca="false">IF(AND(D84="Férié",F84="Férié"),0.333333333333333,IF(OR(AND(D84="Férié",F84&lt;&gt;"Férié"),(AND(F84="Férié",D84&lt;&gt;"Férié"))),0.166666666666667,""))</f>
        <v/>
      </c>
      <c r="AF84" s="18"/>
      <c r="AG84" s="18"/>
    </row>
    <row r="85" customFormat="false" ht="15" hidden="false" customHeight="false" outlineLevel="0" collapsed="false">
      <c r="A85" s="6" t="str">
        <f aca="false">YEAR(Q85-WEEKDAY(Q85,2)+4)&amp;"-S"&amp;TEXT(WEEKNUM(Q85,21),"00")</f>
        <v>2025-S50</v>
      </c>
      <c r="B85" s="18" t="s">
        <v>73</v>
      </c>
      <c r="C85" s="19" t="n">
        <v>0.33125</v>
      </c>
      <c r="D85" s="19" t="n">
        <v>0.333333333333333</v>
      </c>
      <c r="E85" s="19" t="n">
        <v>0.75</v>
      </c>
      <c r="F85" s="19" t="n">
        <v>0.75</v>
      </c>
      <c r="G85" s="20"/>
      <c r="H85" s="20"/>
      <c r="I85" s="8" t="str">
        <f aca="false">IF(IF(OR(C85="",D85="Congé",D85="OFF",D85="Congé spécial"),"",IF(D85&gt;F85,D85-C85,IF(C85-D85&lt;0,0,C85-D85)))&lt;0.00068287037037037,"",IF(OR(D85="Congé",D85="OFF",C85="",D85="Congé spécial"),"",IF(D85&gt;F85,D85-C85,IF(C85-D85&lt;0,0,C85-D85))))</f>
        <v/>
      </c>
      <c r="J85" s="20"/>
      <c r="K85" s="8" t="n">
        <f aca="false">IF(SUM(H85:J85)&lt;0.00068287037037037,0,SUM(H85:J85))</f>
        <v>0</v>
      </c>
      <c r="L85" s="8" t="n">
        <f aca="false">IF(OR(F85="Congé",F85="OFF",M85="Abs",F85="Congé sans solde",F85="Férié",F85="Congé spécial",D85="Congé spécial"),0,IF(F85-E85&lt;0,0,IF(F85-E85&lt;=0.00068287037037037,0,F85-E85)))</f>
        <v>0</v>
      </c>
      <c r="M85" s="6" t="n">
        <f aca="false">IF(AND(O85&lt;&gt;0,C85=""),"Abs",0)</f>
        <v>0</v>
      </c>
      <c r="N85" s="8" t="n">
        <f aca="false">IFERROR(IF(OR(D85="OFF",D85="Congé",M85="Abs",D85="Congé sans solde",D85="Férié"),"",IF(O85-K85-L85&gt;O85,O85,IF(O85-K85-L85&lt;0,"",O85-K85-L85))),"")</f>
        <v>0.375</v>
      </c>
      <c r="O85" s="8" t="n">
        <f aca="false">IF(AG85="2H Pause déjeuner",IF(F85-D85-0.0833333333333333&lt;0,F85-D85-0.0833333333333333+1,F85-D85-0.0833333333333333),IF(OR(AND(F85="OFF",D85="OFF"),AND(F85="Congé",D85="Congé"),AND(F85="Congé sans solde",D85="Congé sans solde"),AND(F85="Congé spécial",D85="Congé spécial"),AND(F85="Férié",D85="Férié"),AND(F85="OFF",D85="Congé"),AND(F85="OFF",D85="Congé sans solde"),AND(F85="OFF",D85="Congé spécial"),AND(F85="OFF",D85="Férié"),AND(F85="Congé",D85="OFF"),AND(F85="Congé",D85="Congé sans solde"),AND(F85="Congé",D85="Congé spécial"),AND(F85="Congé",D85="Férié"),AND(F85="Congé sans solde",D85="OFF"),AND(F85="Congé sans solde",D85="Congé"),AND(F85="Congé sans solde",D85="Congé spécial"),AND(F85="Congé sans solde",D85="Férié"),AND(F85="Congé spécial",D85="OFF"),AND(F85="Congé spécial",D85="Congé"),AND(F85="Congé spécial",D85="Congé sans solde"),AND(F85="Congé spécial",D85="Férié"),AND(F85="Férié",D85="OFF"),AND(F85="Férié",D85="Congé"),AND(F85="Férié",D85="Congé sans solde"),AND(F85="Férié",D85="Congé spécial")),0,IF(OR(F85="OFF",F85="Congé",F85="Congé spécial",F85="Congé sans solde",D85="OFF",D85="Congé",D85="Congé spécial",D85="Congé sans solde"),0.208333333333334,IF(AND(AG85="",F85-D85&lt;0),("24:00:00"-D85)+("00:00:00"+F85)-0.0416666666666667,IF(AND(OR(AG85="Allaitement",AG85="Sans déjeuner"),F85-D85&lt;0),("24:00:00"-D85)+("00:00:00"+F85),IF(AND(AG85="",F85-D85&gt;0.166666666666667),F85-D85-0.0416666666666667,IF(AND(OR(AG85="Allaitement",AG85="Sans déjeuner"),F85-D85&gt;0.166666666666667),F85-D85,F85-D85)))))))</f>
        <v>0.375</v>
      </c>
      <c r="P85" s="6" t="str">
        <f aca="false">IFERROR(VLOOKUP($B85,Agents!$A:$D,2,0),"-")</f>
        <v>Accessibilité</v>
      </c>
      <c r="Q85" s="21" t="n">
        <v>46002</v>
      </c>
      <c r="R85" s="8" t="n">
        <f aca="false">IF(M85="Abs",O85,0)</f>
        <v>0</v>
      </c>
      <c r="S85" s="8" t="n">
        <f aca="false">SUM(R85,L85,I85,J85,W85,H85)</f>
        <v>0</v>
      </c>
      <c r="T85" s="6" t="str">
        <f aca="false">"Sem - "&amp;WEEKNUM(Q85,21)</f>
        <v>Sem - 50</v>
      </c>
      <c r="U85" s="6" t="str">
        <f aca="false">CHOOSE(MONTH(Q85),"Janvier","Février","Mars","Avril","Mai","Juin","Juillet","Août","Septembre","Octobre","Novembre","Décembre")</f>
        <v>Décembre</v>
      </c>
      <c r="V85" s="22" t="n">
        <f aca="false">YEAR(Q85)</f>
        <v>2025</v>
      </c>
      <c r="W85" s="20"/>
      <c r="X85" s="8" t="n">
        <f aca="false">IFERROR(IF(M85="Abs",0,IF(ROUND((D85-C85+E85-F85)*1440,0)&lt;=1,0,D85-C85+E85-F85)),0)</f>
        <v>0.00208333333333333</v>
      </c>
      <c r="Y85" s="6" t="str">
        <f aca="false">IFERROR(VLOOKUP($B85,Agents!$A:$D,3,0),"-")</f>
        <v>OUBRAHIM Mohammed</v>
      </c>
      <c r="Z85" s="6" t="str">
        <f aca="false">IFERROR(VLOOKUP($B85,Agents!$A:$D,4,0),"-")</f>
        <v>Credit Mutuel</v>
      </c>
      <c r="AA85" s="18" t="s">
        <v>77</v>
      </c>
      <c r="AB85" s="8" t="str">
        <f aca="false">IF(AND(D85="Congé",F85="Congé"),0.333333333333333,IF(OR(AND(D85="Congé",F85&lt;&gt;"Congé"),(AND(F85="Congé",D85&lt;&gt;"Congé"))),0.166666666666667,""))</f>
        <v/>
      </c>
      <c r="AC85" s="8" t="str">
        <f aca="false">IF(AND(D85="Congé sans solde",F85="Congé sans solde"),0.333333333333333,IF(OR(AND(D85="Congé sans solde",F85&lt;&gt;"Congé sans solde"),(AND(F85="Congé sans solde",D85&lt;&gt;"Congé sans solde"))),0.166666666666667,""))</f>
        <v/>
      </c>
      <c r="AD85" s="8" t="str">
        <f aca="false">IF(AND(D85="Congé spécial",F85="Congé spécial"),0.333333333333333,IF(OR(AND(D85="Congé spécial",F85&lt;&gt;"Congé spécial"),AND(F85="Congé spécial",D85&lt;&gt;"Congé spécial")),0.166666666666667,""))</f>
        <v/>
      </c>
      <c r="AE85" s="8" t="str">
        <f aca="false">IF(AND(D85="Férié",F85="Férié"),0.333333333333333,IF(OR(AND(D85="Férié",F85&lt;&gt;"Férié"),(AND(F85="Férié",D85&lt;&gt;"Férié"))),0.166666666666667,""))</f>
        <v/>
      </c>
      <c r="AF85" s="18"/>
      <c r="AG85" s="18"/>
    </row>
    <row r="86" customFormat="false" ht="15" hidden="false" customHeight="false" outlineLevel="0" collapsed="false">
      <c r="A86" s="6" t="str">
        <f aca="false">YEAR(Q86-WEEKDAY(Q86,2)+4)&amp;"-S"&amp;TEXT(WEEKNUM(Q86,21),"00")</f>
        <v>2025-S50</v>
      </c>
      <c r="B86" s="18" t="s">
        <v>69</v>
      </c>
      <c r="C86" s="19" t="n">
        <v>0.332638888888889</v>
      </c>
      <c r="D86" s="19" t="n">
        <v>0.333333333333333</v>
      </c>
      <c r="E86" s="19" t="n">
        <v>0.708333333333333</v>
      </c>
      <c r="F86" s="19" t="n">
        <v>0.708333333333333</v>
      </c>
      <c r="G86" s="20"/>
      <c r="H86" s="20"/>
      <c r="I86" s="8" t="str">
        <f aca="false">IF(IF(OR(C86="",D86="Congé",D86="OFF",D86="Congé spécial"),"",IF(D86&gt;F86,D86-C86,IF(C86-D86&lt;0,0,C86-D86)))&lt;0.00068287037037037,"",IF(OR(D86="Congé",D86="OFF",C86="",D86="Congé spécial"),"",IF(D86&gt;F86,D86-C86,IF(C86-D86&lt;0,0,C86-D86))))</f>
        <v/>
      </c>
      <c r="J86" s="20"/>
      <c r="K86" s="8" t="n">
        <f aca="false">IF(SUM(H86:J86)&lt;0.00068287037037037,0,SUM(H86:J86))</f>
        <v>0</v>
      </c>
      <c r="L86" s="8" t="n">
        <f aca="false">IF(OR(F86="Congé",F86="OFF",M86="Abs",F86="Congé sans solde",F86="Férié",F86="Congé spécial",D86="Congé spécial"),0,IF(F86-E86&lt;0,0,IF(F86-E86&lt;=0.00068287037037037,0,F86-E86)))</f>
        <v>0</v>
      </c>
      <c r="M86" s="6" t="n">
        <f aca="false">IF(AND(O86&lt;&gt;0,C86=""),"Abs",0)</f>
        <v>0</v>
      </c>
      <c r="N86" s="8" t="n">
        <f aca="false">IFERROR(IF(OR(D86="OFF",D86="Congé",M86="Abs",D86="Congé sans solde",D86="Férié"),"",IF(O86-K86-L86&gt;O86,O86,IF(O86-K86-L86&lt;0,"",O86-K86-L86))),"")</f>
        <v>0.333333333333333</v>
      </c>
      <c r="O86" s="8" t="n">
        <f aca="false">IF(AG86="2H Pause déjeuner",IF(F86-D86-0.0833333333333333&lt;0,F86-D86-0.0833333333333333+1,F86-D86-0.0833333333333333),IF(OR(AND(F86="OFF",D86="OFF"),AND(F86="Congé",D86="Congé"),AND(F86="Congé sans solde",D86="Congé sans solde"),AND(F86="Congé spécial",D86="Congé spécial"),AND(F86="Férié",D86="Férié"),AND(F86="OFF",D86="Congé"),AND(F86="OFF",D86="Congé sans solde"),AND(F86="OFF",D86="Congé spécial"),AND(F86="OFF",D86="Férié"),AND(F86="Congé",D86="OFF"),AND(F86="Congé",D86="Congé sans solde"),AND(F86="Congé",D86="Congé spécial"),AND(F86="Congé",D86="Férié"),AND(F86="Congé sans solde",D86="OFF"),AND(F86="Congé sans solde",D86="Congé"),AND(F86="Congé sans solde",D86="Congé spécial"),AND(F86="Congé sans solde",D86="Férié"),AND(F86="Congé spécial",D86="OFF"),AND(F86="Congé spécial",D86="Congé"),AND(F86="Congé spécial",D86="Congé sans solde"),AND(F86="Congé spécial",D86="Férié"),AND(F86="Férié",D86="OFF"),AND(F86="Férié",D86="Congé"),AND(F86="Férié",D86="Congé sans solde"),AND(F86="Férié",D86="Congé spécial")),0,IF(OR(F86="OFF",F86="Congé",F86="Congé spécial",F86="Congé sans solde",D86="OFF",D86="Congé",D86="Congé spécial",D86="Congé sans solde"),0.208333333333334,IF(AND(AG86="",F86-D86&lt;0),("24:00:00"-D86)+("00:00:00"+F86)-0.0416666666666667,IF(AND(OR(AG86="Allaitement",AG86="Sans déjeuner"),F86-D86&lt;0),("24:00:00"-D86)+("00:00:00"+F86),IF(AND(AG86="",F86-D86&gt;0.166666666666667),F86-D86-0.0416666666666667,IF(AND(OR(AG86="Allaitement",AG86="Sans déjeuner"),F86-D86&gt;0.166666666666667),F86-D86,F86-D86)))))))</f>
        <v>0.333333333333333</v>
      </c>
      <c r="P86" s="6" t="str">
        <f aca="false">IFERROR(VLOOKUP($B86,Agents!$A:$D,2,0),"-")</f>
        <v>Accessibilité</v>
      </c>
      <c r="Q86" s="21" t="n">
        <v>46003</v>
      </c>
      <c r="R86" s="8" t="n">
        <f aca="false">IF(M86="Abs",O86,0)</f>
        <v>0</v>
      </c>
      <c r="S86" s="8" t="n">
        <f aca="false">SUM(R86,L86,I86,J86,W86,H86)</f>
        <v>0</v>
      </c>
      <c r="T86" s="6" t="str">
        <f aca="false">"Sem - "&amp;WEEKNUM(Q86,21)</f>
        <v>Sem - 50</v>
      </c>
      <c r="U86" s="6" t="str">
        <f aca="false">CHOOSE(MONTH(Q86),"Janvier","Février","Mars","Avril","Mai","Juin","Juillet","Août","Septembre","Octobre","Novembre","Décembre")</f>
        <v>Décembre</v>
      </c>
      <c r="V86" s="22" t="n">
        <f aca="false">YEAR(Q86)</f>
        <v>2025</v>
      </c>
      <c r="W86" s="20"/>
      <c r="X86" s="8" t="n">
        <f aca="false">IFERROR(IF(M86="Abs",0,IF(ROUND((D86-C86+E86-F86)*1440,0)&lt;=1,0,D86-C86+E86-F86)),0)</f>
        <v>0</v>
      </c>
      <c r="Y86" s="6" t="str">
        <f aca="false">IFERROR(VLOOKUP($B86,Agents!$A:$D,3,0),"-")</f>
        <v>OUBRAHIM Mohammed</v>
      </c>
      <c r="Z86" s="6" t="str">
        <f aca="false">IFERROR(VLOOKUP($B86,Agents!$A:$D,4,0),"-")</f>
        <v>Credit Mutuel</v>
      </c>
      <c r="AA86" s="18" t="s">
        <v>77</v>
      </c>
      <c r="AB86" s="8" t="str">
        <f aca="false">IF(AND(D86="Congé",F86="Congé"),0.333333333333333,IF(OR(AND(D86="Congé",F86&lt;&gt;"Congé"),(AND(F86="Congé",D86&lt;&gt;"Congé"))),0.166666666666667,""))</f>
        <v/>
      </c>
      <c r="AC86" s="8" t="str">
        <f aca="false">IF(AND(D86="Congé sans solde",F86="Congé sans solde"),0.333333333333333,IF(OR(AND(D86="Congé sans solde",F86&lt;&gt;"Congé sans solde"),(AND(F86="Congé sans solde",D86&lt;&gt;"Congé sans solde"))),0.166666666666667,""))</f>
        <v/>
      </c>
      <c r="AD86" s="8" t="str">
        <f aca="false">IF(AND(D86="Congé spécial",F86="Congé spécial"),0.333333333333333,IF(OR(AND(D86="Congé spécial",F86&lt;&gt;"Congé spécial"),AND(F86="Congé spécial",D86&lt;&gt;"Congé spécial")),0.166666666666667,""))</f>
        <v/>
      </c>
      <c r="AE86" s="8" t="str">
        <f aca="false">IF(AND(D86="Férié",F86="Férié"),0.333333333333333,IF(OR(AND(D86="Férié",F86&lt;&gt;"Férié"),(AND(F86="Férié",D86&lt;&gt;"Férié"))),0.166666666666667,""))</f>
        <v/>
      </c>
      <c r="AF86" s="18"/>
      <c r="AG86" s="18"/>
    </row>
    <row r="87" customFormat="false" ht="15" hidden="false" customHeight="false" outlineLevel="0" collapsed="false">
      <c r="A87" s="6" t="str">
        <f aca="false">YEAR(Q87-WEEKDAY(Q87,2)+4)&amp;"-S"&amp;TEXT(WEEKNUM(Q87,21),"00")</f>
        <v>2025-S50</v>
      </c>
      <c r="B87" s="18" t="s">
        <v>71</v>
      </c>
      <c r="C87" s="19" t="n">
        <v>0.333333333333333</v>
      </c>
      <c r="D87" s="19" t="n">
        <v>0.333333333333333</v>
      </c>
      <c r="E87" s="19" t="n">
        <v>0.708333333333333</v>
      </c>
      <c r="F87" s="19" t="n">
        <v>0.708333333333333</v>
      </c>
      <c r="G87" s="20"/>
      <c r="H87" s="20"/>
      <c r="I87" s="8" t="str">
        <f aca="false">IF(IF(OR(C87="",D87="Congé",D87="OFF",D87="Congé spécial"),"",IF(D87&gt;F87,D87-C87,IF(C87-D87&lt;0,0,C87-D87)))&lt;0.00068287037037037,"",IF(OR(D87="Congé",D87="OFF",C87="",D87="Congé spécial"),"",IF(D87&gt;F87,D87-C87,IF(C87-D87&lt;0,0,C87-D87))))</f>
        <v/>
      </c>
      <c r="J87" s="20"/>
      <c r="K87" s="8" t="n">
        <f aca="false">IF(SUM(H87:J87)&lt;0.00068287037037037,0,SUM(H87:J87))</f>
        <v>0</v>
      </c>
      <c r="L87" s="8" t="n">
        <f aca="false">IF(OR(F87="Congé",F87="OFF",M87="Abs",F87="Congé sans solde",F87="Férié",F87="Congé spécial",D87="Congé spécial"),0,IF(F87-E87&lt;0,0,IF(F87-E87&lt;=0.00068287037037037,0,F87-E87)))</f>
        <v>0</v>
      </c>
      <c r="M87" s="6" t="n">
        <f aca="false">IF(AND(O87&lt;&gt;0,C87=""),"Abs",0)</f>
        <v>0</v>
      </c>
      <c r="N87" s="8" t="n">
        <f aca="false">IFERROR(IF(OR(D87="OFF",D87="Congé",M87="Abs",D87="Congé sans solde",D87="Férié"),"",IF(O87-K87-L87&gt;O87,O87,IF(O87-K87-L87&lt;0,"",O87-K87-L87))),"")</f>
        <v>0.333333333333333</v>
      </c>
      <c r="O87" s="8" t="n">
        <f aca="false">IF(AG87="2H Pause déjeuner",IF(F87-D87-0.0833333333333333&lt;0,F87-D87-0.0833333333333333+1,F87-D87-0.0833333333333333),IF(OR(AND(F87="OFF",D87="OFF"),AND(F87="Congé",D87="Congé"),AND(F87="Congé sans solde",D87="Congé sans solde"),AND(F87="Congé spécial",D87="Congé spécial"),AND(F87="Férié",D87="Férié"),AND(F87="OFF",D87="Congé"),AND(F87="OFF",D87="Congé sans solde"),AND(F87="OFF",D87="Congé spécial"),AND(F87="OFF",D87="Férié"),AND(F87="Congé",D87="OFF"),AND(F87="Congé",D87="Congé sans solde"),AND(F87="Congé",D87="Congé spécial"),AND(F87="Congé",D87="Férié"),AND(F87="Congé sans solde",D87="OFF"),AND(F87="Congé sans solde",D87="Congé"),AND(F87="Congé sans solde",D87="Congé spécial"),AND(F87="Congé sans solde",D87="Férié"),AND(F87="Congé spécial",D87="OFF"),AND(F87="Congé spécial",D87="Congé"),AND(F87="Congé spécial",D87="Congé sans solde"),AND(F87="Congé spécial",D87="Férié"),AND(F87="Férié",D87="OFF"),AND(F87="Férié",D87="Congé"),AND(F87="Férié",D87="Congé sans solde"),AND(F87="Férié",D87="Congé spécial")),0,IF(OR(F87="OFF",F87="Congé",F87="Congé spécial",F87="Congé sans solde",D87="OFF",D87="Congé",D87="Congé spécial",D87="Congé sans solde"),0.208333333333334,IF(AND(AG87="",F87-D87&lt;0),("24:00:00"-D87)+("00:00:00"+F87)-0.0416666666666667,IF(AND(OR(AG87="Allaitement",AG87="Sans déjeuner"),F87-D87&lt;0),("24:00:00"-D87)+("00:00:00"+F87),IF(AND(AG87="",F87-D87&gt;0.166666666666667),F87-D87-0.0416666666666667,IF(AND(OR(AG87="Allaitement",AG87="Sans déjeuner"),F87-D87&gt;0.166666666666667),F87-D87,F87-D87)))))))</f>
        <v>0.333333333333333</v>
      </c>
      <c r="P87" s="6" t="str">
        <f aca="false">IFERROR(VLOOKUP($B87,Agents!$A:$D,2,0),"-")</f>
        <v>Accessibilité</v>
      </c>
      <c r="Q87" s="21" t="n">
        <v>46003</v>
      </c>
      <c r="R87" s="8" t="n">
        <f aca="false">IF(M87="Abs",O87,0)</f>
        <v>0</v>
      </c>
      <c r="S87" s="8" t="n">
        <f aca="false">SUM(R87,L87,I87,J87,W87,H87)</f>
        <v>0</v>
      </c>
      <c r="T87" s="6" t="str">
        <f aca="false">"Sem - "&amp;WEEKNUM(Q87,21)</f>
        <v>Sem - 50</v>
      </c>
      <c r="U87" s="6" t="str">
        <f aca="false">CHOOSE(MONTH(Q87),"Janvier","Février","Mars","Avril","Mai","Juin","Juillet","Août","Septembre","Octobre","Novembre","Décembre")</f>
        <v>Décembre</v>
      </c>
      <c r="V87" s="22" t="n">
        <f aca="false">YEAR(Q87)</f>
        <v>2025</v>
      </c>
      <c r="W87" s="20"/>
      <c r="X87" s="8" t="n">
        <f aca="false">IFERROR(IF(M87="Abs",0,IF(ROUND((D87-C87+E87-F87)*1440,0)&lt;=1,0,D87-C87+E87-F87)),0)</f>
        <v>0</v>
      </c>
      <c r="Y87" s="6" t="str">
        <f aca="false">IFERROR(VLOOKUP($B87,Agents!$A:$D,3,0),"-")</f>
        <v>OUBRAHIM Mohammed</v>
      </c>
      <c r="Z87" s="6" t="str">
        <f aca="false">IFERROR(VLOOKUP($B87,Agents!$A:$D,4,0),"-")</f>
        <v>Credit Mutuel</v>
      </c>
      <c r="AA87" s="18" t="s">
        <v>77</v>
      </c>
      <c r="AB87" s="8" t="str">
        <f aca="false">IF(AND(D87="Congé",F87="Congé"),0.333333333333333,IF(OR(AND(D87="Congé",F87&lt;&gt;"Congé"),(AND(F87="Congé",D87&lt;&gt;"Congé"))),0.166666666666667,""))</f>
        <v/>
      </c>
      <c r="AC87" s="8" t="str">
        <f aca="false">IF(AND(D87="Congé sans solde",F87="Congé sans solde"),0.333333333333333,IF(OR(AND(D87="Congé sans solde",F87&lt;&gt;"Congé sans solde"),(AND(F87="Congé sans solde",D87&lt;&gt;"Congé sans solde"))),0.166666666666667,""))</f>
        <v/>
      </c>
      <c r="AD87" s="8" t="str">
        <f aca="false">IF(AND(D87="Congé spécial",F87="Congé spécial"),0.333333333333333,IF(OR(AND(D87="Congé spécial",F87&lt;&gt;"Congé spécial"),AND(F87="Congé spécial",D87&lt;&gt;"Congé spécial")),0.166666666666667,""))</f>
        <v/>
      </c>
      <c r="AE87" s="8" t="str">
        <f aca="false">IF(AND(D87="Férié",F87="Férié"),0.333333333333333,IF(OR(AND(D87="Férié",F87&lt;&gt;"Férié"),(AND(F87="Férié",D87&lt;&gt;"Férié"))),0.166666666666667,""))</f>
        <v/>
      </c>
      <c r="AF87" s="18"/>
      <c r="AG87" s="18"/>
    </row>
    <row r="88" customFormat="false" ht="15" hidden="false" customHeight="false" outlineLevel="0" collapsed="false">
      <c r="A88" s="6" t="str">
        <f aca="false">YEAR(Q88-WEEKDAY(Q88,2)+4)&amp;"-S"&amp;TEXT(WEEKNUM(Q88,21),"00")</f>
        <v>2025-S50</v>
      </c>
      <c r="B88" s="18" t="s">
        <v>72</v>
      </c>
      <c r="C88" s="19" t="n">
        <v>0.332638888888889</v>
      </c>
      <c r="D88" s="19" t="n">
        <v>0.333333333333333</v>
      </c>
      <c r="E88" s="19" t="n">
        <v>0.708333333333333</v>
      </c>
      <c r="F88" s="19" t="n">
        <v>0.708333333333333</v>
      </c>
      <c r="G88" s="20"/>
      <c r="H88" s="20"/>
      <c r="I88" s="8" t="str">
        <f aca="false">IF(IF(OR(C88="",D88="Congé",D88="OFF",D88="Congé spécial"),"",IF(D88&gt;F88,D88-C88,IF(C88-D88&lt;0,0,C88-D88)))&lt;0.00068287037037037,"",IF(OR(D88="Congé",D88="OFF",C88="",D88="Congé spécial"),"",IF(D88&gt;F88,D88-C88,IF(C88-D88&lt;0,0,C88-D88))))</f>
        <v/>
      </c>
      <c r="J88" s="20"/>
      <c r="K88" s="8" t="n">
        <f aca="false">IF(SUM(H88:J88)&lt;0.00068287037037037,0,SUM(H88:J88))</f>
        <v>0</v>
      </c>
      <c r="L88" s="8" t="n">
        <f aca="false">IF(OR(F88="Congé",F88="OFF",M88="Abs",F88="Congé sans solde",F88="Férié",F88="Congé spécial",D88="Congé spécial"),0,IF(F88-E88&lt;0,0,IF(F88-E88&lt;=0.00068287037037037,0,F88-E88)))</f>
        <v>0</v>
      </c>
      <c r="M88" s="6" t="n">
        <f aca="false">IF(AND(O88&lt;&gt;0,C88=""),"Abs",0)</f>
        <v>0</v>
      </c>
      <c r="N88" s="8" t="n">
        <f aca="false">IFERROR(IF(OR(D88="OFF",D88="Congé",M88="Abs",D88="Congé sans solde",D88="Férié"),"",IF(O88-K88-L88&gt;O88,O88,IF(O88-K88-L88&lt;0,"",O88-K88-L88))),"")</f>
        <v>0.333333333333333</v>
      </c>
      <c r="O88" s="8" t="n">
        <f aca="false">IF(AG88="2H Pause déjeuner",IF(F88-D88-0.0833333333333333&lt;0,F88-D88-0.0833333333333333+1,F88-D88-0.0833333333333333),IF(OR(AND(F88="OFF",D88="OFF"),AND(F88="Congé",D88="Congé"),AND(F88="Congé sans solde",D88="Congé sans solde"),AND(F88="Congé spécial",D88="Congé spécial"),AND(F88="Férié",D88="Férié"),AND(F88="OFF",D88="Congé"),AND(F88="OFF",D88="Congé sans solde"),AND(F88="OFF",D88="Congé spécial"),AND(F88="OFF",D88="Férié"),AND(F88="Congé",D88="OFF"),AND(F88="Congé",D88="Congé sans solde"),AND(F88="Congé",D88="Congé spécial"),AND(F88="Congé",D88="Férié"),AND(F88="Congé sans solde",D88="OFF"),AND(F88="Congé sans solde",D88="Congé"),AND(F88="Congé sans solde",D88="Congé spécial"),AND(F88="Congé sans solde",D88="Férié"),AND(F88="Congé spécial",D88="OFF"),AND(F88="Congé spécial",D88="Congé"),AND(F88="Congé spécial",D88="Congé sans solde"),AND(F88="Congé spécial",D88="Férié"),AND(F88="Férié",D88="OFF"),AND(F88="Férié",D88="Congé"),AND(F88="Férié",D88="Congé sans solde"),AND(F88="Férié",D88="Congé spécial")),0,IF(OR(F88="OFF",F88="Congé",F88="Congé spécial",F88="Congé sans solde",D88="OFF",D88="Congé",D88="Congé spécial",D88="Congé sans solde"),0.208333333333334,IF(AND(AG88="",F88-D88&lt;0),("24:00:00"-D88)+("00:00:00"+F88)-0.0416666666666667,IF(AND(OR(AG88="Allaitement",AG88="Sans déjeuner"),F88-D88&lt;0),("24:00:00"-D88)+("00:00:00"+F88),IF(AND(AG88="",F88-D88&gt;0.166666666666667),F88-D88-0.0416666666666667,IF(AND(OR(AG88="Allaitement",AG88="Sans déjeuner"),F88-D88&gt;0.166666666666667),F88-D88,F88-D88)))))))</f>
        <v>0.333333333333333</v>
      </c>
      <c r="P88" s="6" t="str">
        <f aca="false">IFERROR(VLOOKUP($B88,Agents!$A:$D,2,0),"-")</f>
        <v>Accessibilité</v>
      </c>
      <c r="Q88" s="21" t="n">
        <v>46003</v>
      </c>
      <c r="R88" s="8" t="n">
        <f aca="false">IF(M88="Abs",O88,0)</f>
        <v>0</v>
      </c>
      <c r="S88" s="8" t="n">
        <f aca="false">SUM(R88,L88,I88,J88,W88,H88)</f>
        <v>0</v>
      </c>
      <c r="T88" s="6" t="str">
        <f aca="false">"Sem - "&amp;WEEKNUM(Q88,21)</f>
        <v>Sem - 50</v>
      </c>
      <c r="U88" s="6" t="str">
        <f aca="false">CHOOSE(MONTH(Q88),"Janvier","Février","Mars","Avril","Mai","Juin","Juillet","Août","Septembre","Octobre","Novembre","Décembre")</f>
        <v>Décembre</v>
      </c>
      <c r="V88" s="22" t="n">
        <f aca="false">YEAR(Q88)</f>
        <v>2025</v>
      </c>
      <c r="W88" s="20"/>
      <c r="X88" s="8" t="n">
        <f aca="false">IFERROR(IF(M88="Abs",0,IF(ROUND((D88-C88+E88-F88)*1440,0)&lt;=1,0,D88-C88+E88-F88)),0)</f>
        <v>0</v>
      </c>
      <c r="Y88" s="6" t="str">
        <f aca="false">IFERROR(VLOOKUP($B88,Agents!$A:$D,3,0),"-")</f>
        <v>OUBRAHIM Mohammed</v>
      </c>
      <c r="Z88" s="6" t="str">
        <f aca="false">IFERROR(VLOOKUP($B88,Agents!$A:$D,4,0),"-")</f>
        <v>Credit Mutuel</v>
      </c>
      <c r="AA88" s="18" t="s">
        <v>77</v>
      </c>
      <c r="AB88" s="8" t="str">
        <f aca="false">IF(AND(D88="Congé",F88="Congé"),0.333333333333333,IF(OR(AND(D88="Congé",F88&lt;&gt;"Congé"),(AND(F88="Congé",D88&lt;&gt;"Congé"))),0.166666666666667,""))</f>
        <v/>
      </c>
      <c r="AC88" s="8" t="str">
        <f aca="false">IF(AND(D88="Congé sans solde",F88="Congé sans solde"),0.333333333333333,IF(OR(AND(D88="Congé sans solde",F88&lt;&gt;"Congé sans solde"),(AND(F88="Congé sans solde",D88&lt;&gt;"Congé sans solde"))),0.166666666666667,""))</f>
        <v/>
      </c>
      <c r="AD88" s="8" t="str">
        <f aca="false">IF(AND(D88="Congé spécial",F88="Congé spécial"),0.333333333333333,IF(OR(AND(D88="Congé spécial",F88&lt;&gt;"Congé spécial"),AND(F88="Congé spécial",D88&lt;&gt;"Congé spécial")),0.166666666666667,""))</f>
        <v/>
      </c>
      <c r="AE88" s="8" t="str">
        <f aca="false">IF(AND(D88="Férié",F88="Férié"),0.333333333333333,IF(OR(AND(D88="Férié",F88&lt;&gt;"Férié"),(AND(F88="Férié",D88&lt;&gt;"Férié"))),0.166666666666667,""))</f>
        <v/>
      </c>
      <c r="AF88" s="18"/>
      <c r="AG88" s="18"/>
    </row>
    <row r="89" customFormat="false" ht="15" hidden="false" customHeight="false" outlineLevel="0" collapsed="false">
      <c r="A89" s="6" t="str">
        <f aca="false">YEAR(Q89-WEEKDAY(Q89,2)+4)&amp;"-S"&amp;TEXT(WEEKNUM(Q89,21),"00")</f>
        <v>2025-S50</v>
      </c>
      <c r="B89" s="18" t="s">
        <v>73</v>
      </c>
      <c r="C89" s="19" t="n">
        <v>0.331944444444444</v>
      </c>
      <c r="D89" s="19" t="n">
        <v>0.333333333333333</v>
      </c>
      <c r="E89" s="19" t="n">
        <v>0.708333333333333</v>
      </c>
      <c r="F89" s="19" t="n">
        <v>0.708333333333333</v>
      </c>
      <c r="G89" s="20"/>
      <c r="H89" s="20"/>
      <c r="I89" s="8" t="str">
        <f aca="false">IF(IF(OR(C89="",D89="Congé",D89="OFF",D89="Congé spécial"),"",IF(D89&gt;F89,D89-C89,IF(C89-D89&lt;0,0,C89-D89)))&lt;0.00068287037037037,"",IF(OR(D89="Congé",D89="OFF",C89="",D89="Congé spécial"),"",IF(D89&gt;F89,D89-C89,IF(C89-D89&lt;0,0,C89-D89))))</f>
        <v/>
      </c>
      <c r="J89" s="20"/>
      <c r="K89" s="8" t="n">
        <f aca="false">IF(SUM(H89:J89)&lt;0.00068287037037037,0,SUM(H89:J89))</f>
        <v>0</v>
      </c>
      <c r="L89" s="8" t="n">
        <f aca="false">IF(OR(F89="Congé",F89="OFF",M89="Abs",F89="Congé sans solde",F89="Férié",F89="Congé spécial",D89="Congé spécial"),0,IF(F89-E89&lt;0,0,IF(F89-E89&lt;=0.00068287037037037,0,F89-E89)))</f>
        <v>0</v>
      </c>
      <c r="M89" s="6" t="n">
        <f aca="false">IF(AND(O89&lt;&gt;0,C89=""),"Abs",0)</f>
        <v>0</v>
      </c>
      <c r="N89" s="8" t="n">
        <f aca="false">IFERROR(IF(OR(D89="OFF",D89="Congé",M89="Abs",D89="Congé sans solde",D89="Férié"),"",IF(O89-K89-L89&gt;O89,O89,IF(O89-K89-L89&lt;0,"",O89-K89-L89))),"")</f>
        <v>0.333333333333333</v>
      </c>
      <c r="O89" s="8" t="n">
        <f aca="false">IF(AG89="2H Pause déjeuner",IF(F89-D89-0.0833333333333333&lt;0,F89-D89-0.0833333333333333+1,F89-D89-0.0833333333333333),IF(OR(AND(F89="OFF",D89="OFF"),AND(F89="Congé",D89="Congé"),AND(F89="Congé sans solde",D89="Congé sans solde"),AND(F89="Congé spécial",D89="Congé spécial"),AND(F89="Férié",D89="Férié"),AND(F89="OFF",D89="Congé"),AND(F89="OFF",D89="Congé sans solde"),AND(F89="OFF",D89="Congé spécial"),AND(F89="OFF",D89="Férié"),AND(F89="Congé",D89="OFF"),AND(F89="Congé",D89="Congé sans solde"),AND(F89="Congé",D89="Congé spécial"),AND(F89="Congé",D89="Férié"),AND(F89="Congé sans solde",D89="OFF"),AND(F89="Congé sans solde",D89="Congé"),AND(F89="Congé sans solde",D89="Congé spécial"),AND(F89="Congé sans solde",D89="Férié"),AND(F89="Congé spécial",D89="OFF"),AND(F89="Congé spécial",D89="Congé"),AND(F89="Congé spécial",D89="Congé sans solde"),AND(F89="Congé spécial",D89="Férié"),AND(F89="Férié",D89="OFF"),AND(F89="Férié",D89="Congé"),AND(F89="Férié",D89="Congé sans solde"),AND(F89="Férié",D89="Congé spécial")),0,IF(OR(F89="OFF",F89="Congé",F89="Congé spécial",F89="Congé sans solde",D89="OFF",D89="Congé",D89="Congé spécial",D89="Congé sans solde"),0.208333333333334,IF(AND(AG89="",F89-D89&lt;0),("24:00:00"-D89)+("00:00:00"+F89)-0.0416666666666667,IF(AND(OR(AG89="Allaitement",AG89="Sans déjeuner"),F89-D89&lt;0),("24:00:00"-D89)+("00:00:00"+F89),IF(AND(AG89="",F89-D89&gt;0.166666666666667),F89-D89-0.0416666666666667,IF(AND(OR(AG89="Allaitement",AG89="Sans déjeuner"),F89-D89&gt;0.166666666666667),F89-D89,F89-D89)))))))</f>
        <v>0.333333333333333</v>
      </c>
      <c r="P89" s="6" t="str">
        <f aca="false">IFERROR(VLOOKUP($B89,Agents!$A:$D,2,0),"-")</f>
        <v>Accessibilité</v>
      </c>
      <c r="Q89" s="21" t="n">
        <v>46003</v>
      </c>
      <c r="R89" s="8" t="n">
        <f aca="false">IF(M89="Abs",O89,0)</f>
        <v>0</v>
      </c>
      <c r="S89" s="8" t="n">
        <f aca="false">SUM(R89,L89,I89,J89,W89,H89)</f>
        <v>0</v>
      </c>
      <c r="T89" s="6" t="str">
        <f aca="false">"Sem - "&amp;WEEKNUM(Q89,21)</f>
        <v>Sem - 50</v>
      </c>
      <c r="U89" s="6" t="str">
        <f aca="false">CHOOSE(MONTH(Q89),"Janvier","Février","Mars","Avril","Mai","Juin","Juillet","Août","Septembre","Octobre","Novembre","Décembre")</f>
        <v>Décembre</v>
      </c>
      <c r="V89" s="22" t="n">
        <f aca="false">YEAR(Q89)</f>
        <v>2025</v>
      </c>
      <c r="W89" s="20"/>
      <c r="X89" s="8" t="n">
        <f aca="false">IFERROR(IF(M89="Abs",0,IF(ROUND((D89-C89+E89-F89)*1440,0)&lt;=1,0,D89-C89+E89-F89)),0)</f>
        <v>0.00138888888888889</v>
      </c>
      <c r="Y89" s="6" t="str">
        <f aca="false">IFERROR(VLOOKUP($B89,Agents!$A:$D,3,0),"-")</f>
        <v>OUBRAHIM Mohammed</v>
      </c>
      <c r="Z89" s="6" t="str">
        <f aca="false">IFERROR(VLOOKUP($B89,Agents!$A:$D,4,0),"-")</f>
        <v>Credit Mutuel</v>
      </c>
      <c r="AA89" s="18" t="s">
        <v>77</v>
      </c>
      <c r="AB89" s="8" t="str">
        <f aca="false">IF(AND(D89="Congé",F89="Congé"),0.333333333333333,IF(OR(AND(D89="Congé",F89&lt;&gt;"Congé"),(AND(F89="Congé",D89&lt;&gt;"Congé"))),0.166666666666667,""))</f>
        <v/>
      </c>
      <c r="AC89" s="8" t="str">
        <f aca="false">IF(AND(D89="Congé sans solde",F89="Congé sans solde"),0.333333333333333,IF(OR(AND(D89="Congé sans solde",F89&lt;&gt;"Congé sans solde"),(AND(F89="Congé sans solde",D89&lt;&gt;"Congé sans solde"))),0.166666666666667,""))</f>
        <v/>
      </c>
      <c r="AD89" s="8" t="str">
        <f aca="false">IF(AND(D89="Congé spécial",F89="Congé spécial"),0.333333333333333,IF(OR(AND(D89="Congé spécial",F89&lt;&gt;"Congé spécial"),AND(F89="Congé spécial",D89&lt;&gt;"Congé spécial")),0.166666666666667,""))</f>
        <v/>
      </c>
      <c r="AE89" s="8" t="str">
        <f aca="false">IF(AND(D89="Férié",F89="Férié"),0.333333333333333,IF(OR(AND(D89="Férié",F89&lt;&gt;"Férié"),(AND(F89="Férié",D89&lt;&gt;"Férié"))),0.166666666666667,""))</f>
        <v/>
      </c>
      <c r="AF89" s="18"/>
      <c r="AG89" s="18"/>
    </row>
    <row r="90" customFormat="false" ht="15" hidden="false" customHeight="false" outlineLevel="0" collapsed="false">
      <c r="A90" s="6" t="str">
        <f aca="false">YEAR(Q90-WEEKDAY(Q90,2)+4)&amp;"-S"&amp;TEXT(WEEKNUM(Q90,21),"00")</f>
        <v>2025-S50</v>
      </c>
      <c r="B90" s="18" t="s">
        <v>69</v>
      </c>
      <c r="C90" s="19"/>
      <c r="D90" s="19" t="s">
        <v>74</v>
      </c>
      <c r="E90" s="19"/>
      <c r="F90" s="19" t="s">
        <v>74</v>
      </c>
      <c r="G90" s="20"/>
      <c r="H90" s="20"/>
      <c r="I90" s="8" t="str">
        <f aca="false">IF(IF(OR(C90="",D90="Congé",D90="OFF",D90="Congé spécial"),"",IF(D90&gt;F90,D90-C90,IF(C90-D90&lt;0,0,C90-D90)))&lt;0.00068287037037037,"",IF(OR(D90="Congé",D90="OFF",C90="",D90="Congé spécial"),"",IF(D90&gt;F90,D90-C90,IF(C90-D90&lt;0,0,C90-D90))))</f>
        <v/>
      </c>
      <c r="J90" s="20"/>
      <c r="K90" s="8" t="n">
        <f aca="false">IF(SUM(H90:J90)&lt;0.00068287037037037,0,SUM(H90:J90))</f>
        <v>0</v>
      </c>
      <c r="L90" s="8" t="n">
        <f aca="false">IF(OR(F90="Congé",F90="OFF",M90="Abs",F90="Congé sans solde",F90="Férié",F90="Congé spécial",D90="Congé spécial"),0,IF(F90-E90&lt;0,0,IF(F90-E90&lt;=0.00068287037037037,0,F90-E90)))</f>
        <v>0</v>
      </c>
      <c r="M90" s="6" t="n">
        <f aca="false">IF(AND(O90&lt;&gt;0,C90=""),"Abs",0)</f>
        <v>0</v>
      </c>
      <c r="N90" s="8" t="str">
        <f aca="false">IFERROR(IF(OR(D90="OFF",D90="Congé",M90="Abs",D90="Congé sans solde",D90="Férié"),"",IF(O90-K90-L90&gt;O90,O90,IF(O90-K90-L90&lt;0,"",O90-K90-L90))),"")</f>
        <v/>
      </c>
      <c r="O90" s="8" t="n">
        <f aca="false">IF(AG90="2H Pause déjeuner",IF(F90-D90-0.0833333333333333&lt;0,F90-D90-0.0833333333333333+1,F90-D90-0.0833333333333333),IF(OR(AND(F90="OFF",D90="OFF"),AND(F90="Congé",D90="Congé"),AND(F90="Congé sans solde",D90="Congé sans solde"),AND(F90="Congé spécial",D90="Congé spécial"),AND(F90="Férié",D90="Férié"),AND(F90="OFF",D90="Congé"),AND(F90="OFF",D90="Congé sans solde"),AND(F90="OFF",D90="Congé spécial"),AND(F90="OFF",D90="Férié"),AND(F90="Congé",D90="OFF"),AND(F90="Congé",D90="Congé sans solde"),AND(F90="Congé",D90="Congé spécial"),AND(F90="Congé",D90="Férié"),AND(F90="Congé sans solde",D90="OFF"),AND(F90="Congé sans solde",D90="Congé"),AND(F90="Congé sans solde",D90="Congé spécial"),AND(F90="Congé sans solde",D90="Férié"),AND(F90="Congé spécial",D90="OFF"),AND(F90="Congé spécial",D90="Congé"),AND(F90="Congé spécial",D90="Congé sans solde"),AND(F90="Congé spécial",D90="Férié"),AND(F90="Férié",D90="OFF"),AND(F90="Férié",D90="Congé"),AND(F90="Férié",D90="Congé sans solde"),AND(F90="Férié",D90="Congé spécial")),0,IF(OR(F90="OFF",F90="Congé",F90="Congé spécial",F90="Congé sans solde",D90="OFF",D90="Congé",D90="Congé spécial",D90="Congé sans solde"),0.208333333333334,IF(AND(AG90="",F90-D90&lt;0),("24:00:00"-D90)+("00:00:00"+F90)-0.0416666666666667,IF(AND(OR(AG90="Allaitement",AG90="Sans déjeuner"),F90-D90&lt;0),("24:00:00"-D90)+("00:00:00"+F90),IF(AND(AG90="",F90-D90&gt;0.166666666666667),F90-D90-0.0416666666666667,IF(AND(OR(AG90="Allaitement",AG90="Sans déjeuner"),F90-D90&gt;0.166666666666667),F90-D90,F90-D90)))))))</f>
        <v>0</v>
      </c>
      <c r="P90" s="6" t="str">
        <f aca="false">IFERROR(VLOOKUP($B90,Agents!$A:$D,2,0),"-")</f>
        <v>Accessibilité</v>
      </c>
      <c r="Q90" s="21" t="n">
        <v>46004</v>
      </c>
      <c r="R90" s="8" t="n">
        <f aca="false">IF(M90="Abs",O90,0)</f>
        <v>0</v>
      </c>
      <c r="S90" s="8" t="n">
        <f aca="false">SUM(R90,L90,I90,J90,W90,H90)</f>
        <v>0</v>
      </c>
      <c r="T90" s="6" t="str">
        <f aca="false">"Sem - "&amp;WEEKNUM(Q90,21)</f>
        <v>Sem - 50</v>
      </c>
      <c r="U90" s="6" t="str">
        <f aca="false">CHOOSE(MONTH(Q90),"Janvier","Février","Mars","Avril","Mai","Juin","Juillet","Août","Septembre","Octobre","Novembre","Décembre")</f>
        <v>Décembre</v>
      </c>
      <c r="V90" s="22" t="n">
        <f aca="false">YEAR(Q90)</f>
        <v>2025</v>
      </c>
      <c r="W90" s="20"/>
      <c r="X90" s="8" t="n">
        <f aca="false">IFERROR(IF(M90="Abs",0,IF(ROUND((D90-C90+E90-F90)*1440,0)&lt;=1,0,D90-C90+E90-F90)),0)</f>
        <v>0</v>
      </c>
      <c r="Y90" s="6" t="str">
        <f aca="false">IFERROR(VLOOKUP($B90,Agents!$A:$D,3,0),"-")</f>
        <v>OUBRAHIM Mohammed</v>
      </c>
      <c r="Z90" s="6" t="str">
        <f aca="false">IFERROR(VLOOKUP($B90,Agents!$A:$D,4,0),"-")</f>
        <v>Credit Mutuel</v>
      </c>
      <c r="AA90" s="18" t="s">
        <v>77</v>
      </c>
      <c r="AB90" s="8" t="str">
        <f aca="false">IF(AND(D90="Congé",F90="Congé"),0.333333333333333,IF(OR(AND(D90="Congé",F90&lt;&gt;"Congé"),(AND(F90="Congé",D90&lt;&gt;"Congé"))),0.166666666666667,""))</f>
        <v/>
      </c>
      <c r="AC90" s="8" t="str">
        <f aca="false">IF(AND(D90="Congé sans solde",F90="Congé sans solde"),0.333333333333333,IF(OR(AND(D90="Congé sans solde",F90&lt;&gt;"Congé sans solde"),(AND(F90="Congé sans solde",D90&lt;&gt;"Congé sans solde"))),0.166666666666667,""))</f>
        <v/>
      </c>
      <c r="AD90" s="8" t="str">
        <f aca="false">IF(AND(D90="Congé spécial",F90="Congé spécial"),0.333333333333333,IF(OR(AND(D90="Congé spécial",F90&lt;&gt;"Congé spécial"),AND(F90="Congé spécial",D90&lt;&gt;"Congé spécial")),0.166666666666667,""))</f>
        <v/>
      </c>
      <c r="AE90" s="8" t="str">
        <f aca="false">IF(AND(D90="Férié",F90="Férié"),0.333333333333333,IF(OR(AND(D90="Férié",F90&lt;&gt;"Férié"),(AND(F90="Férié",D90&lt;&gt;"Férié"))),0.166666666666667,""))</f>
        <v/>
      </c>
      <c r="AF90" s="18"/>
      <c r="AG90" s="18"/>
    </row>
    <row r="91" customFormat="false" ht="15" hidden="false" customHeight="false" outlineLevel="0" collapsed="false">
      <c r="A91" s="6" t="str">
        <f aca="false">YEAR(Q91-WEEKDAY(Q91,2)+4)&amp;"-S"&amp;TEXT(WEEKNUM(Q91,21),"00")</f>
        <v>2025-S50</v>
      </c>
      <c r="B91" s="18" t="s">
        <v>71</v>
      </c>
      <c r="C91" s="19"/>
      <c r="D91" s="19" t="s">
        <v>74</v>
      </c>
      <c r="E91" s="19"/>
      <c r="F91" s="19" t="s">
        <v>74</v>
      </c>
      <c r="G91" s="20"/>
      <c r="H91" s="20"/>
      <c r="I91" s="8" t="str">
        <f aca="false">IF(IF(OR(C91="",D91="Congé",D91="OFF",D91="Congé spécial"),"",IF(D91&gt;F91,D91-C91,IF(C91-D91&lt;0,0,C91-D91)))&lt;0.00068287037037037,"",IF(OR(D91="Congé",D91="OFF",C91="",D91="Congé spécial"),"",IF(D91&gt;F91,D91-C91,IF(C91-D91&lt;0,0,C91-D91))))</f>
        <v/>
      </c>
      <c r="J91" s="20"/>
      <c r="K91" s="8" t="n">
        <f aca="false">IF(SUM(H91:J91)&lt;0.00068287037037037,0,SUM(H91:J91))</f>
        <v>0</v>
      </c>
      <c r="L91" s="8" t="n">
        <f aca="false">IF(OR(F91="Congé",F91="OFF",M91="Abs",F91="Congé sans solde",F91="Férié",F91="Congé spécial",D91="Congé spécial"),0,IF(F91-E91&lt;0,0,IF(F91-E91&lt;=0.00068287037037037,0,F91-E91)))</f>
        <v>0</v>
      </c>
      <c r="M91" s="6" t="n">
        <f aca="false">IF(AND(O91&lt;&gt;0,C91=""),"Abs",0)</f>
        <v>0</v>
      </c>
      <c r="N91" s="8" t="str">
        <f aca="false">IFERROR(IF(OR(D91="OFF",D91="Congé",M91="Abs",D91="Congé sans solde",D91="Férié"),"",IF(O91-K91-L91&gt;O91,O91,IF(O91-K91-L91&lt;0,"",O91-K91-L91))),"")</f>
        <v/>
      </c>
      <c r="O91" s="8" t="n">
        <f aca="false">IF(AG91="2H Pause déjeuner",IF(F91-D91-0.0833333333333333&lt;0,F91-D91-0.0833333333333333+1,F91-D91-0.0833333333333333),IF(OR(AND(F91="OFF",D91="OFF"),AND(F91="Congé",D91="Congé"),AND(F91="Congé sans solde",D91="Congé sans solde"),AND(F91="Congé spécial",D91="Congé spécial"),AND(F91="Férié",D91="Férié"),AND(F91="OFF",D91="Congé"),AND(F91="OFF",D91="Congé sans solde"),AND(F91="OFF",D91="Congé spécial"),AND(F91="OFF",D91="Férié"),AND(F91="Congé",D91="OFF"),AND(F91="Congé",D91="Congé sans solde"),AND(F91="Congé",D91="Congé spécial"),AND(F91="Congé",D91="Férié"),AND(F91="Congé sans solde",D91="OFF"),AND(F91="Congé sans solde",D91="Congé"),AND(F91="Congé sans solde",D91="Congé spécial"),AND(F91="Congé sans solde",D91="Férié"),AND(F91="Congé spécial",D91="OFF"),AND(F91="Congé spécial",D91="Congé"),AND(F91="Congé spécial",D91="Congé sans solde"),AND(F91="Congé spécial",D91="Férié"),AND(F91="Férié",D91="OFF"),AND(F91="Férié",D91="Congé"),AND(F91="Férié",D91="Congé sans solde"),AND(F91="Férié",D91="Congé spécial")),0,IF(OR(F91="OFF",F91="Congé",F91="Congé spécial",F91="Congé sans solde",D91="OFF",D91="Congé",D91="Congé spécial",D91="Congé sans solde"),0.208333333333334,IF(AND(AG91="",F91-D91&lt;0),("24:00:00"-D91)+("00:00:00"+F91)-0.0416666666666667,IF(AND(OR(AG91="Allaitement",AG91="Sans déjeuner"),F91-D91&lt;0),("24:00:00"-D91)+("00:00:00"+F91),IF(AND(AG91="",F91-D91&gt;0.166666666666667),F91-D91-0.0416666666666667,IF(AND(OR(AG91="Allaitement",AG91="Sans déjeuner"),F91-D91&gt;0.166666666666667),F91-D91,F91-D91)))))))</f>
        <v>0</v>
      </c>
      <c r="P91" s="6" t="str">
        <f aca="false">IFERROR(VLOOKUP($B91,Agents!$A:$D,2,0),"-")</f>
        <v>Accessibilité</v>
      </c>
      <c r="Q91" s="21" t="n">
        <v>46004</v>
      </c>
      <c r="R91" s="8" t="n">
        <f aca="false">IF(M91="Abs",O91,0)</f>
        <v>0</v>
      </c>
      <c r="S91" s="8" t="n">
        <f aca="false">SUM(R91,L91,I91,J91,W91,H91)</f>
        <v>0</v>
      </c>
      <c r="T91" s="6" t="str">
        <f aca="false">"Sem - "&amp;WEEKNUM(Q91,21)</f>
        <v>Sem - 50</v>
      </c>
      <c r="U91" s="6" t="str">
        <f aca="false">CHOOSE(MONTH(Q91),"Janvier","Février","Mars","Avril","Mai","Juin","Juillet","Août","Septembre","Octobre","Novembre","Décembre")</f>
        <v>Décembre</v>
      </c>
      <c r="V91" s="22" t="n">
        <f aca="false">YEAR(Q91)</f>
        <v>2025</v>
      </c>
      <c r="W91" s="20"/>
      <c r="X91" s="8" t="n">
        <f aca="false">IFERROR(IF(M91="Abs",0,IF(ROUND((D91-C91+E91-F91)*1440,0)&lt;=1,0,D91-C91+E91-F91)),0)</f>
        <v>0</v>
      </c>
      <c r="Y91" s="6" t="str">
        <f aca="false">IFERROR(VLOOKUP($B91,Agents!$A:$D,3,0),"-")</f>
        <v>OUBRAHIM Mohammed</v>
      </c>
      <c r="Z91" s="6" t="str">
        <f aca="false">IFERROR(VLOOKUP($B91,Agents!$A:$D,4,0),"-")</f>
        <v>Credit Mutuel</v>
      </c>
      <c r="AA91" s="18" t="s">
        <v>77</v>
      </c>
      <c r="AB91" s="8" t="str">
        <f aca="false">IF(AND(D91="Congé",F91="Congé"),0.333333333333333,IF(OR(AND(D91="Congé",F91&lt;&gt;"Congé"),(AND(F91="Congé",D91&lt;&gt;"Congé"))),0.166666666666667,""))</f>
        <v/>
      </c>
      <c r="AC91" s="8" t="str">
        <f aca="false">IF(AND(D91="Congé sans solde",F91="Congé sans solde"),0.333333333333333,IF(OR(AND(D91="Congé sans solde",F91&lt;&gt;"Congé sans solde"),(AND(F91="Congé sans solde",D91&lt;&gt;"Congé sans solde"))),0.166666666666667,""))</f>
        <v/>
      </c>
      <c r="AD91" s="8" t="str">
        <f aca="false">IF(AND(D91="Congé spécial",F91="Congé spécial"),0.333333333333333,IF(OR(AND(D91="Congé spécial",F91&lt;&gt;"Congé spécial"),AND(F91="Congé spécial",D91&lt;&gt;"Congé spécial")),0.166666666666667,""))</f>
        <v/>
      </c>
      <c r="AE91" s="8" t="str">
        <f aca="false">IF(AND(D91="Férié",F91="Férié"),0.333333333333333,IF(OR(AND(D91="Férié",F91&lt;&gt;"Férié"),(AND(F91="Férié",D91&lt;&gt;"Férié"))),0.166666666666667,""))</f>
        <v/>
      </c>
      <c r="AF91" s="18"/>
      <c r="AG91" s="18"/>
    </row>
    <row r="92" customFormat="false" ht="15" hidden="false" customHeight="false" outlineLevel="0" collapsed="false">
      <c r="A92" s="6" t="str">
        <f aca="false">YEAR(Q92-WEEKDAY(Q92,2)+4)&amp;"-S"&amp;TEXT(WEEKNUM(Q92,21),"00")</f>
        <v>2025-S50</v>
      </c>
      <c r="B92" s="18" t="s">
        <v>72</v>
      </c>
      <c r="C92" s="19"/>
      <c r="D92" s="19" t="s">
        <v>74</v>
      </c>
      <c r="E92" s="19"/>
      <c r="F92" s="19" t="s">
        <v>74</v>
      </c>
      <c r="G92" s="20"/>
      <c r="H92" s="20"/>
      <c r="I92" s="8" t="str">
        <f aca="false">IF(IF(OR(C92="",D92="Congé",D92="OFF",D92="Congé spécial"),"",IF(D92&gt;F92,D92-C92,IF(C92-D92&lt;0,0,C92-D92)))&lt;0.00068287037037037,"",IF(OR(D92="Congé",D92="OFF",C92="",D92="Congé spécial"),"",IF(D92&gt;F92,D92-C92,IF(C92-D92&lt;0,0,C92-D92))))</f>
        <v/>
      </c>
      <c r="J92" s="20"/>
      <c r="K92" s="8" t="n">
        <f aca="false">IF(SUM(H92:J92)&lt;0.00068287037037037,0,SUM(H92:J92))</f>
        <v>0</v>
      </c>
      <c r="L92" s="8" t="n">
        <f aca="false">IF(OR(F92="Congé",F92="OFF",M92="Abs",F92="Congé sans solde",F92="Férié",F92="Congé spécial",D92="Congé spécial"),0,IF(F92-E92&lt;0,0,IF(F92-E92&lt;=0.00068287037037037,0,F92-E92)))</f>
        <v>0</v>
      </c>
      <c r="M92" s="6" t="n">
        <f aca="false">IF(AND(O92&lt;&gt;0,C92=""),"Abs",0)</f>
        <v>0</v>
      </c>
      <c r="N92" s="8" t="str">
        <f aca="false">IFERROR(IF(OR(D92="OFF",D92="Congé",M92="Abs",D92="Congé sans solde",D92="Férié"),"",IF(O92-K92-L92&gt;O92,O92,IF(O92-K92-L92&lt;0,"",O92-K92-L92))),"")</f>
        <v/>
      </c>
      <c r="O92" s="8" t="n">
        <f aca="false">IF(AG92="2H Pause déjeuner",IF(F92-D92-0.0833333333333333&lt;0,F92-D92-0.0833333333333333+1,F92-D92-0.0833333333333333),IF(OR(AND(F92="OFF",D92="OFF"),AND(F92="Congé",D92="Congé"),AND(F92="Congé sans solde",D92="Congé sans solde"),AND(F92="Congé spécial",D92="Congé spécial"),AND(F92="Férié",D92="Férié"),AND(F92="OFF",D92="Congé"),AND(F92="OFF",D92="Congé sans solde"),AND(F92="OFF",D92="Congé spécial"),AND(F92="OFF",D92="Férié"),AND(F92="Congé",D92="OFF"),AND(F92="Congé",D92="Congé sans solde"),AND(F92="Congé",D92="Congé spécial"),AND(F92="Congé",D92="Férié"),AND(F92="Congé sans solde",D92="OFF"),AND(F92="Congé sans solde",D92="Congé"),AND(F92="Congé sans solde",D92="Congé spécial"),AND(F92="Congé sans solde",D92="Férié"),AND(F92="Congé spécial",D92="OFF"),AND(F92="Congé spécial",D92="Congé"),AND(F92="Congé spécial",D92="Congé sans solde"),AND(F92="Congé spécial",D92="Férié"),AND(F92="Férié",D92="OFF"),AND(F92="Férié",D92="Congé"),AND(F92="Férié",D92="Congé sans solde"),AND(F92="Férié",D92="Congé spécial")),0,IF(OR(F92="OFF",F92="Congé",F92="Congé spécial",F92="Congé sans solde",D92="OFF",D92="Congé",D92="Congé spécial",D92="Congé sans solde"),0.208333333333334,IF(AND(AG92="",F92-D92&lt;0),("24:00:00"-D92)+("00:00:00"+F92)-0.0416666666666667,IF(AND(OR(AG92="Allaitement",AG92="Sans déjeuner"),F92-D92&lt;0),("24:00:00"-D92)+("00:00:00"+F92),IF(AND(AG92="",F92-D92&gt;0.166666666666667),F92-D92-0.0416666666666667,IF(AND(OR(AG92="Allaitement",AG92="Sans déjeuner"),F92-D92&gt;0.166666666666667),F92-D92,F92-D92)))))))</f>
        <v>0</v>
      </c>
      <c r="P92" s="6" t="str">
        <f aca="false">IFERROR(VLOOKUP($B92,Agents!$A:$D,2,0),"-")</f>
        <v>Accessibilité</v>
      </c>
      <c r="Q92" s="21" t="n">
        <v>46004</v>
      </c>
      <c r="R92" s="8" t="n">
        <f aca="false">IF(M92="Abs",O92,0)</f>
        <v>0</v>
      </c>
      <c r="S92" s="8" t="n">
        <f aca="false">SUM(R92,L92,I92,J92,W92,H92)</f>
        <v>0</v>
      </c>
      <c r="T92" s="6" t="str">
        <f aca="false">"Sem - "&amp;WEEKNUM(Q92,21)</f>
        <v>Sem - 50</v>
      </c>
      <c r="U92" s="6" t="str">
        <f aca="false">CHOOSE(MONTH(Q92),"Janvier","Février","Mars","Avril","Mai","Juin","Juillet","Août","Septembre","Octobre","Novembre","Décembre")</f>
        <v>Décembre</v>
      </c>
      <c r="V92" s="22" t="n">
        <f aca="false">YEAR(Q92)</f>
        <v>2025</v>
      </c>
      <c r="W92" s="20"/>
      <c r="X92" s="8" t="n">
        <f aca="false">IFERROR(IF(M92="Abs",0,IF(ROUND((D92-C92+E92-F92)*1440,0)&lt;=1,0,D92-C92+E92-F92)),0)</f>
        <v>0</v>
      </c>
      <c r="Y92" s="6" t="str">
        <f aca="false">IFERROR(VLOOKUP($B92,Agents!$A:$D,3,0),"-")</f>
        <v>OUBRAHIM Mohammed</v>
      </c>
      <c r="Z92" s="6" t="str">
        <f aca="false">IFERROR(VLOOKUP($B92,Agents!$A:$D,4,0),"-")</f>
        <v>Credit Mutuel</v>
      </c>
      <c r="AA92" s="18" t="s">
        <v>77</v>
      </c>
      <c r="AB92" s="8" t="str">
        <f aca="false">IF(AND(D92="Congé",F92="Congé"),0.333333333333333,IF(OR(AND(D92="Congé",F92&lt;&gt;"Congé"),(AND(F92="Congé",D92&lt;&gt;"Congé"))),0.166666666666667,""))</f>
        <v/>
      </c>
      <c r="AC92" s="8" t="str">
        <f aca="false">IF(AND(D92="Congé sans solde",F92="Congé sans solde"),0.333333333333333,IF(OR(AND(D92="Congé sans solde",F92&lt;&gt;"Congé sans solde"),(AND(F92="Congé sans solde",D92&lt;&gt;"Congé sans solde"))),0.166666666666667,""))</f>
        <v/>
      </c>
      <c r="AD92" s="8" t="str">
        <f aca="false">IF(AND(D92="Congé spécial",F92="Congé spécial"),0.333333333333333,IF(OR(AND(D92="Congé spécial",F92&lt;&gt;"Congé spécial"),AND(F92="Congé spécial",D92&lt;&gt;"Congé spécial")),0.166666666666667,""))</f>
        <v/>
      </c>
      <c r="AE92" s="8" t="str">
        <f aca="false">IF(AND(D92="Férié",F92="Férié"),0.333333333333333,IF(OR(AND(D92="Férié",F92&lt;&gt;"Férié"),(AND(F92="Férié",D92&lt;&gt;"Férié"))),0.166666666666667,""))</f>
        <v/>
      </c>
      <c r="AF92" s="18"/>
      <c r="AG92" s="18"/>
    </row>
    <row r="93" customFormat="false" ht="15" hidden="false" customHeight="false" outlineLevel="0" collapsed="false">
      <c r="A93" s="6" t="str">
        <f aca="false">YEAR(Q93-WEEKDAY(Q93,2)+4)&amp;"-S"&amp;TEXT(WEEKNUM(Q93,21),"00")</f>
        <v>2025-S50</v>
      </c>
      <c r="B93" s="18" t="s">
        <v>73</v>
      </c>
      <c r="C93" s="19"/>
      <c r="D93" s="19" t="s">
        <v>74</v>
      </c>
      <c r="E93" s="19"/>
      <c r="F93" s="19" t="s">
        <v>74</v>
      </c>
      <c r="G93" s="20"/>
      <c r="H93" s="20"/>
      <c r="I93" s="8" t="str">
        <f aca="false">IF(IF(OR(C93="",D93="Congé",D93="OFF",D93="Congé spécial"),"",IF(D93&gt;F93,D93-C93,IF(C93-D93&lt;0,0,C93-D93)))&lt;0.00068287037037037,"",IF(OR(D93="Congé",D93="OFF",C93="",D93="Congé spécial"),"",IF(D93&gt;F93,D93-C93,IF(C93-D93&lt;0,0,C93-D93))))</f>
        <v/>
      </c>
      <c r="J93" s="20"/>
      <c r="K93" s="8" t="n">
        <f aca="false">IF(SUM(H93:J93)&lt;0.00068287037037037,0,SUM(H93:J93))</f>
        <v>0</v>
      </c>
      <c r="L93" s="8" t="n">
        <f aca="false">IF(OR(F93="Congé",F93="OFF",M93="Abs",F93="Congé sans solde",F93="Férié",F93="Congé spécial",D93="Congé spécial"),0,IF(F93-E93&lt;0,0,IF(F93-E93&lt;=0.00068287037037037,0,F93-E93)))</f>
        <v>0</v>
      </c>
      <c r="M93" s="6" t="n">
        <f aca="false">IF(AND(O93&lt;&gt;0,C93=""),"Abs",0)</f>
        <v>0</v>
      </c>
      <c r="N93" s="8" t="str">
        <f aca="false">IFERROR(IF(OR(D93="OFF",D93="Congé",M93="Abs",D93="Congé sans solde",D93="Férié"),"",IF(O93-K93-L93&gt;O93,O93,IF(O93-K93-L93&lt;0,"",O93-K93-L93))),"")</f>
        <v/>
      </c>
      <c r="O93" s="8" t="n">
        <f aca="false">IF(AG93="2H Pause déjeuner",IF(F93-D93-0.0833333333333333&lt;0,F93-D93-0.0833333333333333+1,F93-D93-0.0833333333333333),IF(OR(AND(F93="OFF",D93="OFF"),AND(F93="Congé",D93="Congé"),AND(F93="Congé sans solde",D93="Congé sans solde"),AND(F93="Congé spécial",D93="Congé spécial"),AND(F93="Férié",D93="Férié"),AND(F93="OFF",D93="Congé"),AND(F93="OFF",D93="Congé sans solde"),AND(F93="OFF",D93="Congé spécial"),AND(F93="OFF",D93="Férié"),AND(F93="Congé",D93="OFF"),AND(F93="Congé",D93="Congé sans solde"),AND(F93="Congé",D93="Congé spécial"),AND(F93="Congé",D93="Férié"),AND(F93="Congé sans solde",D93="OFF"),AND(F93="Congé sans solde",D93="Congé"),AND(F93="Congé sans solde",D93="Congé spécial"),AND(F93="Congé sans solde",D93="Férié"),AND(F93="Congé spécial",D93="OFF"),AND(F93="Congé spécial",D93="Congé"),AND(F93="Congé spécial",D93="Congé sans solde"),AND(F93="Congé spécial",D93="Férié"),AND(F93="Férié",D93="OFF"),AND(F93="Férié",D93="Congé"),AND(F93="Férié",D93="Congé sans solde"),AND(F93="Férié",D93="Congé spécial")),0,IF(OR(F93="OFF",F93="Congé",F93="Congé spécial",F93="Congé sans solde",D93="OFF",D93="Congé",D93="Congé spécial",D93="Congé sans solde"),0.208333333333334,IF(AND(AG93="",F93-D93&lt;0),("24:00:00"-D93)+("00:00:00"+F93)-0.0416666666666667,IF(AND(OR(AG93="Allaitement",AG93="Sans déjeuner"),F93-D93&lt;0),("24:00:00"-D93)+("00:00:00"+F93),IF(AND(AG93="",F93-D93&gt;0.166666666666667),F93-D93-0.0416666666666667,IF(AND(OR(AG93="Allaitement",AG93="Sans déjeuner"),F93-D93&gt;0.166666666666667),F93-D93,F93-D93)))))))</f>
        <v>0</v>
      </c>
      <c r="P93" s="6" t="str">
        <f aca="false">IFERROR(VLOOKUP($B93,Agents!$A:$D,2,0),"-")</f>
        <v>Accessibilité</v>
      </c>
      <c r="Q93" s="21" t="n">
        <v>46004</v>
      </c>
      <c r="R93" s="8" t="n">
        <f aca="false">IF(M93="Abs",O93,0)</f>
        <v>0</v>
      </c>
      <c r="S93" s="8" t="n">
        <f aca="false">SUM(R93,L93,I93,J93,W93,H93)</f>
        <v>0</v>
      </c>
      <c r="T93" s="6" t="str">
        <f aca="false">"Sem - "&amp;WEEKNUM(Q93,21)</f>
        <v>Sem - 50</v>
      </c>
      <c r="U93" s="6" t="str">
        <f aca="false">CHOOSE(MONTH(Q93),"Janvier","Février","Mars","Avril","Mai","Juin","Juillet","Août","Septembre","Octobre","Novembre","Décembre")</f>
        <v>Décembre</v>
      </c>
      <c r="V93" s="22" t="n">
        <f aca="false">YEAR(Q93)</f>
        <v>2025</v>
      </c>
      <c r="W93" s="20"/>
      <c r="X93" s="8" t="n">
        <f aca="false">IFERROR(IF(M93="Abs",0,IF(ROUND((D93-C93+E93-F93)*1440,0)&lt;=1,0,D93-C93+E93-F93)),0)</f>
        <v>0</v>
      </c>
      <c r="Y93" s="6" t="str">
        <f aca="false">IFERROR(VLOOKUP($B93,Agents!$A:$D,3,0),"-")</f>
        <v>OUBRAHIM Mohammed</v>
      </c>
      <c r="Z93" s="6" t="str">
        <f aca="false">IFERROR(VLOOKUP($B93,Agents!$A:$D,4,0),"-")</f>
        <v>Credit Mutuel</v>
      </c>
      <c r="AA93" s="18" t="s">
        <v>77</v>
      </c>
      <c r="AB93" s="8" t="str">
        <f aca="false">IF(AND(D93="Congé",F93="Congé"),0.333333333333333,IF(OR(AND(D93="Congé",F93&lt;&gt;"Congé"),(AND(F93="Congé",D93&lt;&gt;"Congé"))),0.166666666666667,""))</f>
        <v/>
      </c>
      <c r="AC93" s="8" t="str">
        <f aca="false">IF(AND(D93="Congé sans solde",F93="Congé sans solde"),0.333333333333333,IF(OR(AND(D93="Congé sans solde",F93&lt;&gt;"Congé sans solde"),(AND(F93="Congé sans solde",D93&lt;&gt;"Congé sans solde"))),0.166666666666667,""))</f>
        <v/>
      </c>
      <c r="AD93" s="8" t="str">
        <f aca="false">IF(AND(D93="Congé spécial",F93="Congé spécial"),0.333333333333333,IF(OR(AND(D93="Congé spécial",F93&lt;&gt;"Congé spécial"),AND(F93="Congé spécial",D93&lt;&gt;"Congé spécial")),0.166666666666667,""))</f>
        <v/>
      </c>
      <c r="AE93" s="8" t="str">
        <f aca="false">IF(AND(D93="Férié",F93="Férié"),0.333333333333333,IF(OR(AND(D93="Férié",F93&lt;&gt;"Férié"),(AND(F93="Férié",D93&lt;&gt;"Férié"))),0.166666666666667,""))</f>
        <v/>
      </c>
      <c r="AF93" s="18"/>
      <c r="AG93" s="18"/>
    </row>
    <row r="94" customFormat="false" ht="15" hidden="false" customHeight="false" outlineLevel="0" collapsed="false">
      <c r="A94" s="6" t="str">
        <f aca="false">YEAR(Q94-WEEKDAY(Q94,2)+4)&amp;"-S"&amp;TEXT(WEEKNUM(Q94,21),"00")</f>
        <v>2025-S50</v>
      </c>
      <c r="B94" s="18" t="s">
        <v>69</v>
      </c>
      <c r="C94" s="19"/>
      <c r="D94" s="19" t="s">
        <v>74</v>
      </c>
      <c r="E94" s="19"/>
      <c r="F94" s="19" t="s">
        <v>74</v>
      </c>
      <c r="G94" s="20"/>
      <c r="H94" s="20"/>
      <c r="I94" s="8" t="str">
        <f aca="false">IF(IF(OR(C94="",D94="Congé",D94="OFF",D94="Congé spécial"),"",IF(D94&gt;F94,D94-C94,IF(C94-D94&lt;0,0,C94-D94)))&lt;0.00068287037037037,"",IF(OR(D94="Congé",D94="OFF",C94="",D94="Congé spécial"),"",IF(D94&gt;F94,D94-C94,IF(C94-D94&lt;0,0,C94-D94))))</f>
        <v/>
      </c>
      <c r="J94" s="20"/>
      <c r="K94" s="8" t="n">
        <f aca="false">IF(SUM(H94:J94)&lt;0.00068287037037037,0,SUM(H94:J94))</f>
        <v>0</v>
      </c>
      <c r="L94" s="8" t="n">
        <f aca="false">IF(OR(F94="Congé",F94="OFF",M94="Abs",F94="Congé sans solde",F94="Férié",F94="Congé spécial",D94="Congé spécial"),0,IF(F94-E94&lt;0,0,IF(F94-E94&lt;=0.00068287037037037,0,F94-E94)))</f>
        <v>0</v>
      </c>
      <c r="M94" s="6" t="n">
        <f aca="false">IF(AND(O94&lt;&gt;0,C94=""),"Abs",0)</f>
        <v>0</v>
      </c>
      <c r="N94" s="8" t="str">
        <f aca="false">IFERROR(IF(OR(D94="OFF",D94="Congé",M94="Abs",D94="Congé sans solde",D94="Férié"),"",IF(O94-K94-L94&gt;O94,O94,IF(O94-K94-L94&lt;0,"",O94-K94-L94))),"")</f>
        <v/>
      </c>
      <c r="O94" s="8" t="n">
        <f aca="false">IF(AG94="2H Pause déjeuner",IF(F94-D94-0.0833333333333333&lt;0,F94-D94-0.0833333333333333+1,F94-D94-0.0833333333333333),IF(OR(AND(F94="OFF",D94="OFF"),AND(F94="Congé",D94="Congé"),AND(F94="Congé sans solde",D94="Congé sans solde"),AND(F94="Congé spécial",D94="Congé spécial"),AND(F94="Férié",D94="Férié"),AND(F94="OFF",D94="Congé"),AND(F94="OFF",D94="Congé sans solde"),AND(F94="OFF",D94="Congé spécial"),AND(F94="OFF",D94="Férié"),AND(F94="Congé",D94="OFF"),AND(F94="Congé",D94="Congé sans solde"),AND(F94="Congé",D94="Congé spécial"),AND(F94="Congé",D94="Férié"),AND(F94="Congé sans solde",D94="OFF"),AND(F94="Congé sans solde",D94="Congé"),AND(F94="Congé sans solde",D94="Congé spécial"),AND(F94="Congé sans solde",D94="Férié"),AND(F94="Congé spécial",D94="OFF"),AND(F94="Congé spécial",D94="Congé"),AND(F94="Congé spécial",D94="Congé sans solde"),AND(F94="Congé spécial",D94="Férié"),AND(F94="Férié",D94="OFF"),AND(F94="Férié",D94="Congé"),AND(F94="Férié",D94="Congé sans solde"),AND(F94="Férié",D94="Congé spécial")),0,IF(OR(F94="OFF",F94="Congé",F94="Congé spécial",F94="Congé sans solde",D94="OFF",D94="Congé",D94="Congé spécial",D94="Congé sans solde"),0.208333333333334,IF(AND(AG94="",F94-D94&lt;0),("24:00:00"-D94)+("00:00:00"+F94)-0.0416666666666667,IF(AND(OR(AG94="Allaitement",AG94="Sans déjeuner"),F94-D94&lt;0),("24:00:00"-D94)+("00:00:00"+F94),IF(AND(AG94="",F94-D94&gt;0.166666666666667),F94-D94-0.0416666666666667,IF(AND(OR(AG94="Allaitement",AG94="Sans déjeuner"),F94-D94&gt;0.166666666666667),F94-D94,F94-D94)))))))</f>
        <v>0</v>
      </c>
      <c r="P94" s="6" t="str">
        <f aca="false">IFERROR(VLOOKUP($B94,Agents!$A:$D,2,0),"-")</f>
        <v>Accessibilité</v>
      </c>
      <c r="Q94" s="21" t="n">
        <v>46005</v>
      </c>
      <c r="R94" s="8" t="n">
        <f aca="false">IF(M94="Abs",O94,0)</f>
        <v>0</v>
      </c>
      <c r="S94" s="8" t="n">
        <f aca="false">SUM(R94,L94,I94,J94,W94,H94)</f>
        <v>0</v>
      </c>
      <c r="T94" s="6" t="str">
        <f aca="false">"Sem - "&amp;WEEKNUM(Q94,21)</f>
        <v>Sem - 50</v>
      </c>
      <c r="U94" s="6" t="str">
        <f aca="false">CHOOSE(MONTH(Q94),"Janvier","Février","Mars","Avril","Mai","Juin","Juillet","Août","Septembre","Octobre","Novembre","Décembre")</f>
        <v>Décembre</v>
      </c>
      <c r="V94" s="22" t="n">
        <f aca="false">YEAR(Q94)</f>
        <v>2025</v>
      </c>
      <c r="W94" s="20"/>
      <c r="X94" s="8" t="n">
        <f aca="false">IFERROR(IF(M94="Abs",0,IF(ROUND((D94-C94+E94-F94)*1440,0)&lt;=1,0,D94-C94+E94-F94)),0)</f>
        <v>0</v>
      </c>
      <c r="Y94" s="6" t="str">
        <f aca="false">IFERROR(VLOOKUP($B94,Agents!$A:$D,3,0),"-")</f>
        <v>OUBRAHIM Mohammed</v>
      </c>
      <c r="Z94" s="6" t="str">
        <f aca="false">IFERROR(VLOOKUP($B94,Agents!$A:$D,4,0),"-")</f>
        <v>Credit Mutuel</v>
      </c>
      <c r="AA94" s="18" t="s">
        <v>77</v>
      </c>
      <c r="AB94" s="8" t="str">
        <f aca="false">IF(AND(D94="Congé",F94="Congé"),0.333333333333333,IF(OR(AND(D94="Congé",F94&lt;&gt;"Congé"),(AND(F94="Congé",D94&lt;&gt;"Congé"))),0.166666666666667,""))</f>
        <v/>
      </c>
      <c r="AC94" s="8" t="str">
        <f aca="false">IF(AND(D94="Congé sans solde",F94="Congé sans solde"),0.333333333333333,IF(OR(AND(D94="Congé sans solde",F94&lt;&gt;"Congé sans solde"),(AND(F94="Congé sans solde",D94&lt;&gt;"Congé sans solde"))),0.166666666666667,""))</f>
        <v/>
      </c>
      <c r="AD94" s="8" t="str">
        <f aca="false">IF(AND(D94="Congé spécial",F94="Congé spécial"),0.333333333333333,IF(OR(AND(D94="Congé spécial",F94&lt;&gt;"Congé spécial"),AND(F94="Congé spécial",D94&lt;&gt;"Congé spécial")),0.166666666666667,""))</f>
        <v/>
      </c>
      <c r="AE94" s="8" t="str">
        <f aca="false">IF(AND(D94="Férié",F94="Férié"),0.333333333333333,IF(OR(AND(D94="Férié",F94&lt;&gt;"Férié"),(AND(F94="Férié",D94&lt;&gt;"Férié"))),0.166666666666667,""))</f>
        <v/>
      </c>
      <c r="AF94" s="18"/>
      <c r="AG94" s="18"/>
    </row>
    <row r="95" customFormat="false" ht="15" hidden="false" customHeight="false" outlineLevel="0" collapsed="false">
      <c r="A95" s="6" t="str">
        <f aca="false">YEAR(Q95-WEEKDAY(Q95,2)+4)&amp;"-S"&amp;TEXT(WEEKNUM(Q95,21),"00")</f>
        <v>2025-S50</v>
      </c>
      <c r="B95" s="18" t="s">
        <v>71</v>
      </c>
      <c r="C95" s="19"/>
      <c r="D95" s="19" t="s">
        <v>74</v>
      </c>
      <c r="E95" s="19"/>
      <c r="F95" s="19" t="s">
        <v>74</v>
      </c>
      <c r="G95" s="20"/>
      <c r="H95" s="20"/>
      <c r="I95" s="8" t="str">
        <f aca="false">IF(IF(OR(C95="",D95="Congé",D95="OFF",D95="Congé spécial"),"",IF(D95&gt;F95,D95-C95,IF(C95-D95&lt;0,0,C95-D95)))&lt;0.00068287037037037,"",IF(OR(D95="Congé",D95="OFF",C95="",D95="Congé spécial"),"",IF(D95&gt;F95,D95-C95,IF(C95-D95&lt;0,0,C95-D95))))</f>
        <v/>
      </c>
      <c r="J95" s="20"/>
      <c r="K95" s="8" t="n">
        <f aca="false">IF(SUM(H95:J95)&lt;0.00068287037037037,0,SUM(H95:J95))</f>
        <v>0</v>
      </c>
      <c r="L95" s="8" t="n">
        <f aca="false">IF(OR(F95="Congé",F95="OFF",M95="Abs",F95="Congé sans solde",F95="Férié",F95="Congé spécial",D95="Congé spécial"),0,IF(F95-E95&lt;0,0,IF(F95-E95&lt;=0.00068287037037037,0,F95-E95)))</f>
        <v>0</v>
      </c>
      <c r="M95" s="6" t="n">
        <f aca="false">IF(AND(O95&lt;&gt;0,C95=""),"Abs",0)</f>
        <v>0</v>
      </c>
      <c r="N95" s="8" t="str">
        <f aca="false">IFERROR(IF(OR(D95="OFF",D95="Congé",M95="Abs",D95="Congé sans solde",D95="Férié"),"",IF(O95-K95-L95&gt;O95,O95,IF(O95-K95-L95&lt;0,"",O95-K95-L95))),"")</f>
        <v/>
      </c>
      <c r="O95" s="8" t="n">
        <f aca="false">IF(AG95="2H Pause déjeuner",IF(F95-D95-0.0833333333333333&lt;0,F95-D95-0.0833333333333333+1,F95-D95-0.0833333333333333),IF(OR(AND(F95="OFF",D95="OFF"),AND(F95="Congé",D95="Congé"),AND(F95="Congé sans solde",D95="Congé sans solde"),AND(F95="Congé spécial",D95="Congé spécial"),AND(F95="Férié",D95="Férié"),AND(F95="OFF",D95="Congé"),AND(F95="OFF",D95="Congé sans solde"),AND(F95="OFF",D95="Congé spécial"),AND(F95="OFF",D95="Férié"),AND(F95="Congé",D95="OFF"),AND(F95="Congé",D95="Congé sans solde"),AND(F95="Congé",D95="Congé spécial"),AND(F95="Congé",D95="Férié"),AND(F95="Congé sans solde",D95="OFF"),AND(F95="Congé sans solde",D95="Congé"),AND(F95="Congé sans solde",D95="Congé spécial"),AND(F95="Congé sans solde",D95="Férié"),AND(F95="Congé spécial",D95="OFF"),AND(F95="Congé spécial",D95="Congé"),AND(F95="Congé spécial",D95="Congé sans solde"),AND(F95="Congé spécial",D95="Férié"),AND(F95="Férié",D95="OFF"),AND(F95="Férié",D95="Congé"),AND(F95="Férié",D95="Congé sans solde"),AND(F95="Férié",D95="Congé spécial")),0,IF(OR(F95="OFF",F95="Congé",F95="Congé spécial",F95="Congé sans solde",D95="OFF",D95="Congé",D95="Congé spécial",D95="Congé sans solde"),0.208333333333334,IF(AND(AG95="",F95-D95&lt;0),("24:00:00"-D95)+("00:00:00"+F95)-0.0416666666666667,IF(AND(OR(AG95="Allaitement",AG95="Sans déjeuner"),F95-D95&lt;0),("24:00:00"-D95)+("00:00:00"+F95),IF(AND(AG95="",F95-D95&gt;0.166666666666667),F95-D95-0.0416666666666667,IF(AND(OR(AG95="Allaitement",AG95="Sans déjeuner"),F95-D95&gt;0.166666666666667),F95-D95,F95-D95)))))))</f>
        <v>0</v>
      </c>
      <c r="P95" s="6" t="str">
        <f aca="false">IFERROR(VLOOKUP($B95,Agents!$A:$D,2,0),"-")</f>
        <v>Accessibilité</v>
      </c>
      <c r="Q95" s="21" t="n">
        <v>46005</v>
      </c>
      <c r="R95" s="8" t="n">
        <f aca="false">IF(M95="Abs",O95,0)</f>
        <v>0</v>
      </c>
      <c r="S95" s="8" t="n">
        <f aca="false">SUM(R95,L95,I95,J95,W95,H95)</f>
        <v>0</v>
      </c>
      <c r="T95" s="6" t="str">
        <f aca="false">"Sem - "&amp;WEEKNUM(Q95,21)</f>
        <v>Sem - 50</v>
      </c>
      <c r="U95" s="6" t="str">
        <f aca="false">CHOOSE(MONTH(Q95),"Janvier","Février","Mars","Avril","Mai","Juin","Juillet","Août","Septembre","Octobre","Novembre","Décembre")</f>
        <v>Décembre</v>
      </c>
      <c r="V95" s="22" t="n">
        <f aca="false">YEAR(Q95)</f>
        <v>2025</v>
      </c>
      <c r="W95" s="20"/>
      <c r="X95" s="8" t="n">
        <f aca="false">IFERROR(IF(M95="Abs",0,IF(ROUND((D95-C95+E95-F95)*1440,0)&lt;=1,0,D95-C95+E95-F95)),0)</f>
        <v>0</v>
      </c>
      <c r="Y95" s="6" t="str">
        <f aca="false">IFERROR(VLOOKUP($B95,Agents!$A:$D,3,0),"-")</f>
        <v>OUBRAHIM Mohammed</v>
      </c>
      <c r="Z95" s="6" t="str">
        <f aca="false">IFERROR(VLOOKUP($B95,Agents!$A:$D,4,0),"-")</f>
        <v>Credit Mutuel</v>
      </c>
      <c r="AA95" s="18" t="s">
        <v>77</v>
      </c>
      <c r="AB95" s="8" t="str">
        <f aca="false">IF(AND(D95="Congé",F95="Congé"),0.333333333333333,IF(OR(AND(D95="Congé",F95&lt;&gt;"Congé"),(AND(F95="Congé",D95&lt;&gt;"Congé"))),0.166666666666667,""))</f>
        <v/>
      </c>
      <c r="AC95" s="8" t="str">
        <f aca="false">IF(AND(D95="Congé sans solde",F95="Congé sans solde"),0.333333333333333,IF(OR(AND(D95="Congé sans solde",F95&lt;&gt;"Congé sans solde"),(AND(F95="Congé sans solde",D95&lt;&gt;"Congé sans solde"))),0.166666666666667,""))</f>
        <v/>
      </c>
      <c r="AD95" s="8" t="str">
        <f aca="false">IF(AND(D95="Congé spécial",F95="Congé spécial"),0.333333333333333,IF(OR(AND(D95="Congé spécial",F95&lt;&gt;"Congé spécial"),AND(F95="Congé spécial",D95&lt;&gt;"Congé spécial")),0.166666666666667,""))</f>
        <v/>
      </c>
      <c r="AE95" s="8" t="str">
        <f aca="false">IF(AND(D95="Férié",F95="Férié"),0.333333333333333,IF(OR(AND(D95="Férié",F95&lt;&gt;"Férié"),(AND(F95="Férié",D95&lt;&gt;"Férié"))),0.166666666666667,""))</f>
        <v/>
      </c>
      <c r="AF95" s="18"/>
      <c r="AG95" s="18"/>
    </row>
    <row r="96" customFormat="false" ht="15" hidden="false" customHeight="false" outlineLevel="0" collapsed="false">
      <c r="A96" s="6" t="str">
        <f aca="false">YEAR(Q96-WEEKDAY(Q96,2)+4)&amp;"-S"&amp;TEXT(WEEKNUM(Q96,21),"00")</f>
        <v>2025-S50</v>
      </c>
      <c r="B96" s="18" t="s">
        <v>72</v>
      </c>
      <c r="C96" s="19"/>
      <c r="D96" s="19" t="s">
        <v>74</v>
      </c>
      <c r="E96" s="19"/>
      <c r="F96" s="19" t="s">
        <v>74</v>
      </c>
      <c r="G96" s="20"/>
      <c r="H96" s="20"/>
      <c r="I96" s="8" t="str">
        <f aca="false">IF(IF(OR(C96="",D96="Congé",D96="OFF",D96="Congé spécial"),"",IF(D96&gt;F96,D96-C96,IF(C96-D96&lt;0,0,C96-D96)))&lt;0.00068287037037037,"",IF(OR(D96="Congé",D96="OFF",C96="",D96="Congé spécial"),"",IF(D96&gt;F96,D96-C96,IF(C96-D96&lt;0,0,C96-D96))))</f>
        <v/>
      </c>
      <c r="J96" s="20"/>
      <c r="K96" s="8" t="n">
        <f aca="false">IF(SUM(H96:J96)&lt;0.00068287037037037,0,SUM(H96:J96))</f>
        <v>0</v>
      </c>
      <c r="L96" s="8" t="n">
        <f aca="false">IF(OR(F96="Congé",F96="OFF",M96="Abs",F96="Congé sans solde",F96="Férié",F96="Congé spécial",D96="Congé spécial"),0,IF(F96-E96&lt;0,0,IF(F96-E96&lt;=0.00068287037037037,0,F96-E96)))</f>
        <v>0</v>
      </c>
      <c r="M96" s="6" t="n">
        <f aca="false">IF(AND(O96&lt;&gt;0,C96=""),"Abs",0)</f>
        <v>0</v>
      </c>
      <c r="N96" s="8" t="str">
        <f aca="false">IFERROR(IF(OR(D96="OFF",D96="Congé",M96="Abs",D96="Congé sans solde",D96="Férié"),"",IF(O96-K96-L96&gt;O96,O96,IF(O96-K96-L96&lt;0,"",O96-K96-L96))),"")</f>
        <v/>
      </c>
      <c r="O96" s="8" t="n">
        <f aca="false">IF(AG96="2H Pause déjeuner",IF(F96-D96-0.0833333333333333&lt;0,F96-D96-0.0833333333333333+1,F96-D96-0.0833333333333333),IF(OR(AND(F96="OFF",D96="OFF"),AND(F96="Congé",D96="Congé"),AND(F96="Congé sans solde",D96="Congé sans solde"),AND(F96="Congé spécial",D96="Congé spécial"),AND(F96="Férié",D96="Férié"),AND(F96="OFF",D96="Congé"),AND(F96="OFF",D96="Congé sans solde"),AND(F96="OFF",D96="Congé spécial"),AND(F96="OFF",D96="Férié"),AND(F96="Congé",D96="OFF"),AND(F96="Congé",D96="Congé sans solde"),AND(F96="Congé",D96="Congé spécial"),AND(F96="Congé",D96="Férié"),AND(F96="Congé sans solde",D96="OFF"),AND(F96="Congé sans solde",D96="Congé"),AND(F96="Congé sans solde",D96="Congé spécial"),AND(F96="Congé sans solde",D96="Férié"),AND(F96="Congé spécial",D96="OFF"),AND(F96="Congé spécial",D96="Congé"),AND(F96="Congé spécial",D96="Congé sans solde"),AND(F96="Congé spécial",D96="Férié"),AND(F96="Férié",D96="OFF"),AND(F96="Férié",D96="Congé"),AND(F96="Férié",D96="Congé sans solde"),AND(F96="Férié",D96="Congé spécial")),0,IF(OR(F96="OFF",F96="Congé",F96="Congé spécial",F96="Congé sans solde",D96="OFF",D96="Congé",D96="Congé spécial",D96="Congé sans solde"),0.208333333333334,IF(AND(AG96="",F96-D96&lt;0),("24:00:00"-D96)+("00:00:00"+F96)-0.0416666666666667,IF(AND(OR(AG96="Allaitement",AG96="Sans déjeuner"),F96-D96&lt;0),("24:00:00"-D96)+("00:00:00"+F96),IF(AND(AG96="",F96-D96&gt;0.166666666666667),F96-D96-0.0416666666666667,IF(AND(OR(AG96="Allaitement",AG96="Sans déjeuner"),F96-D96&gt;0.166666666666667),F96-D96,F96-D96)))))))</f>
        <v>0</v>
      </c>
      <c r="P96" s="6" t="str">
        <f aca="false">IFERROR(VLOOKUP($B96,Agents!$A:$D,2,0),"-")</f>
        <v>Accessibilité</v>
      </c>
      <c r="Q96" s="21" t="n">
        <v>46005</v>
      </c>
      <c r="R96" s="8" t="n">
        <f aca="false">IF(M96="Abs",O96,0)</f>
        <v>0</v>
      </c>
      <c r="S96" s="8" t="n">
        <f aca="false">SUM(R96,L96,I96,J96,W96,H96)</f>
        <v>0</v>
      </c>
      <c r="T96" s="6" t="str">
        <f aca="false">"Sem - "&amp;WEEKNUM(Q96,21)</f>
        <v>Sem - 50</v>
      </c>
      <c r="U96" s="6" t="str">
        <f aca="false">CHOOSE(MONTH(Q96),"Janvier","Février","Mars","Avril","Mai","Juin","Juillet","Août","Septembre","Octobre","Novembre","Décembre")</f>
        <v>Décembre</v>
      </c>
      <c r="V96" s="22" t="n">
        <f aca="false">YEAR(Q96)</f>
        <v>2025</v>
      </c>
      <c r="W96" s="20"/>
      <c r="X96" s="8" t="n">
        <f aca="false">IFERROR(IF(M96="Abs",0,IF(ROUND((D96-C96+E96-F96)*1440,0)&lt;=1,0,D96-C96+E96-F96)),0)</f>
        <v>0</v>
      </c>
      <c r="Y96" s="6" t="str">
        <f aca="false">IFERROR(VLOOKUP($B96,Agents!$A:$D,3,0),"-")</f>
        <v>OUBRAHIM Mohammed</v>
      </c>
      <c r="Z96" s="6" t="str">
        <f aca="false">IFERROR(VLOOKUP($B96,Agents!$A:$D,4,0),"-")</f>
        <v>Credit Mutuel</v>
      </c>
      <c r="AA96" s="18" t="s">
        <v>77</v>
      </c>
      <c r="AB96" s="8" t="str">
        <f aca="false">IF(AND(D96="Congé",F96="Congé"),0.333333333333333,IF(OR(AND(D96="Congé",F96&lt;&gt;"Congé"),(AND(F96="Congé",D96&lt;&gt;"Congé"))),0.166666666666667,""))</f>
        <v/>
      </c>
      <c r="AC96" s="8" t="str">
        <f aca="false">IF(AND(D96="Congé sans solde",F96="Congé sans solde"),0.333333333333333,IF(OR(AND(D96="Congé sans solde",F96&lt;&gt;"Congé sans solde"),(AND(F96="Congé sans solde",D96&lt;&gt;"Congé sans solde"))),0.166666666666667,""))</f>
        <v/>
      </c>
      <c r="AD96" s="8" t="str">
        <f aca="false">IF(AND(D96="Congé spécial",F96="Congé spécial"),0.333333333333333,IF(OR(AND(D96="Congé spécial",F96&lt;&gt;"Congé spécial"),AND(F96="Congé spécial",D96&lt;&gt;"Congé spécial")),0.166666666666667,""))</f>
        <v/>
      </c>
      <c r="AE96" s="8" t="str">
        <f aca="false">IF(AND(D96="Férié",F96="Férié"),0.333333333333333,IF(OR(AND(D96="Férié",F96&lt;&gt;"Férié"),(AND(F96="Férié",D96&lt;&gt;"Férié"))),0.166666666666667,""))</f>
        <v/>
      </c>
      <c r="AF96" s="18"/>
      <c r="AG96" s="18"/>
    </row>
    <row r="97" customFormat="false" ht="15" hidden="false" customHeight="false" outlineLevel="0" collapsed="false">
      <c r="A97" s="6" t="str">
        <f aca="false">YEAR(Q97-WEEKDAY(Q97,2)+4)&amp;"-S"&amp;TEXT(WEEKNUM(Q97,21),"00")</f>
        <v>2025-S50</v>
      </c>
      <c r="B97" s="18" t="s">
        <v>73</v>
      </c>
      <c r="C97" s="19"/>
      <c r="D97" s="19" t="s">
        <v>74</v>
      </c>
      <c r="E97" s="19"/>
      <c r="F97" s="19" t="s">
        <v>74</v>
      </c>
      <c r="G97" s="20"/>
      <c r="H97" s="20"/>
      <c r="I97" s="8" t="str">
        <f aca="false">IF(IF(OR(C97="",D97="Congé",D97="OFF",D97="Congé spécial"),"",IF(D97&gt;F97,D97-C97,IF(C97-D97&lt;0,0,C97-D97)))&lt;0.00068287037037037,"",IF(OR(D97="Congé",D97="OFF",C97="",D97="Congé spécial"),"",IF(D97&gt;F97,D97-C97,IF(C97-D97&lt;0,0,C97-D97))))</f>
        <v/>
      </c>
      <c r="J97" s="20"/>
      <c r="K97" s="8" t="n">
        <f aca="false">IF(SUM(H97:J97)&lt;0.00068287037037037,0,SUM(H97:J97))</f>
        <v>0</v>
      </c>
      <c r="L97" s="8" t="n">
        <f aca="false">IF(OR(F97="Congé",F97="OFF",M97="Abs",F97="Congé sans solde",F97="Férié",F97="Congé spécial",D97="Congé spécial"),0,IF(F97-E97&lt;0,0,IF(F97-E97&lt;=0.00068287037037037,0,F97-E97)))</f>
        <v>0</v>
      </c>
      <c r="M97" s="6" t="n">
        <f aca="false">IF(AND(O97&lt;&gt;0,C97=""),"Abs",0)</f>
        <v>0</v>
      </c>
      <c r="N97" s="8" t="str">
        <f aca="false">IFERROR(IF(OR(D97="OFF",D97="Congé",M97="Abs",D97="Congé sans solde",D97="Férié"),"",IF(O97-K97-L97&gt;O97,O97,IF(O97-K97-L97&lt;0,"",O97-K97-L97))),"")</f>
        <v/>
      </c>
      <c r="O97" s="8" t="n">
        <f aca="false">IF(AG97="2H Pause déjeuner",IF(F97-D97-0.0833333333333333&lt;0,F97-D97-0.0833333333333333+1,F97-D97-0.0833333333333333),IF(OR(AND(F97="OFF",D97="OFF"),AND(F97="Congé",D97="Congé"),AND(F97="Congé sans solde",D97="Congé sans solde"),AND(F97="Congé spécial",D97="Congé spécial"),AND(F97="Férié",D97="Férié"),AND(F97="OFF",D97="Congé"),AND(F97="OFF",D97="Congé sans solde"),AND(F97="OFF",D97="Congé spécial"),AND(F97="OFF",D97="Férié"),AND(F97="Congé",D97="OFF"),AND(F97="Congé",D97="Congé sans solde"),AND(F97="Congé",D97="Congé spécial"),AND(F97="Congé",D97="Férié"),AND(F97="Congé sans solde",D97="OFF"),AND(F97="Congé sans solde",D97="Congé"),AND(F97="Congé sans solde",D97="Congé spécial"),AND(F97="Congé sans solde",D97="Férié"),AND(F97="Congé spécial",D97="OFF"),AND(F97="Congé spécial",D97="Congé"),AND(F97="Congé spécial",D97="Congé sans solde"),AND(F97="Congé spécial",D97="Férié"),AND(F97="Férié",D97="OFF"),AND(F97="Férié",D97="Congé"),AND(F97="Férié",D97="Congé sans solde"),AND(F97="Férié",D97="Congé spécial")),0,IF(OR(F97="OFF",F97="Congé",F97="Congé spécial",F97="Congé sans solde",D97="OFF",D97="Congé",D97="Congé spécial",D97="Congé sans solde"),0.208333333333334,IF(AND(AG97="",F97-D97&lt;0),("24:00:00"-D97)+("00:00:00"+F97)-0.0416666666666667,IF(AND(OR(AG97="Allaitement",AG97="Sans déjeuner"),F97-D97&lt;0),("24:00:00"-D97)+("00:00:00"+F97),IF(AND(AG97="",F97-D97&gt;0.166666666666667),F97-D97-0.0416666666666667,IF(AND(OR(AG97="Allaitement",AG97="Sans déjeuner"),F97-D97&gt;0.166666666666667),F97-D97,F97-D97)))))))</f>
        <v>0</v>
      </c>
      <c r="P97" s="6" t="str">
        <f aca="false">IFERROR(VLOOKUP($B97,Agents!$A:$D,2,0),"-")</f>
        <v>Accessibilité</v>
      </c>
      <c r="Q97" s="21" t="n">
        <v>46005</v>
      </c>
      <c r="R97" s="8" t="n">
        <f aca="false">IF(M97="Abs",O97,0)</f>
        <v>0</v>
      </c>
      <c r="S97" s="8" t="n">
        <f aca="false">SUM(R97,L97,I97,J97,W97,H97)</f>
        <v>0</v>
      </c>
      <c r="T97" s="6" t="str">
        <f aca="false">"Sem - "&amp;WEEKNUM(Q97,21)</f>
        <v>Sem - 50</v>
      </c>
      <c r="U97" s="6" t="str">
        <f aca="false">CHOOSE(MONTH(Q97),"Janvier","Février","Mars","Avril","Mai","Juin","Juillet","Août","Septembre","Octobre","Novembre","Décembre")</f>
        <v>Décembre</v>
      </c>
      <c r="V97" s="22" t="n">
        <f aca="false">YEAR(Q97)</f>
        <v>2025</v>
      </c>
      <c r="W97" s="20"/>
      <c r="X97" s="8" t="n">
        <f aca="false">IFERROR(IF(M97="Abs",0,IF(ROUND((D97-C97+E97-F97)*1440,0)&lt;=1,0,D97-C97+E97-F97)),0)</f>
        <v>0</v>
      </c>
      <c r="Y97" s="6" t="str">
        <f aca="false">IFERROR(VLOOKUP($B97,Agents!$A:$D,3,0),"-")</f>
        <v>OUBRAHIM Mohammed</v>
      </c>
      <c r="Z97" s="6" t="str">
        <f aca="false">IFERROR(VLOOKUP($B97,Agents!$A:$D,4,0),"-")</f>
        <v>Credit Mutuel</v>
      </c>
      <c r="AA97" s="18" t="s">
        <v>77</v>
      </c>
      <c r="AB97" s="8" t="str">
        <f aca="false">IF(AND(D97="Congé",F97="Congé"),0.333333333333333,IF(OR(AND(D97="Congé",F97&lt;&gt;"Congé"),(AND(F97="Congé",D97&lt;&gt;"Congé"))),0.166666666666667,""))</f>
        <v/>
      </c>
      <c r="AC97" s="8" t="str">
        <f aca="false">IF(AND(D97="Congé sans solde",F97="Congé sans solde"),0.333333333333333,IF(OR(AND(D97="Congé sans solde",F97&lt;&gt;"Congé sans solde"),(AND(F97="Congé sans solde",D97&lt;&gt;"Congé sans solde"))),0.166666666666667,""))</f>
        <v/>
      </c>
      <c r="AD97" s="8" t="str">
        <f aca="false">IF(AND(D97="Congé spécial",F97="Congé spécial"),0.333333333333333,IF(OR(AND(D97="Congé spécial",F97&lt;&gt;"Congé spécial"),AND(F97="Congé spécial",D97&lt;&gt;"Congé spécial")),0.166666666666667,""))</f>
        <v/>
      </c>
      <c r="AE97" s="8" t="str">
        <f aca="false">IF(AND(D97="Férié",F97="Férié"),0.333333333333333,IF(OR(AND(D97="Férié",F97&lt;&gt;"Férié"),(AND(F97="Férié",D97&lt;&gt;"Férié"))),0.166666666666667,""))</f>
        <v/>
      </c>
      <c r="AF97" s="18"/>
      <c r="AG97" s="18"/>
    </row>
    <row r="98" customFormat="false" ht="15" hidden="false" customHeight="false" outlineLevel="0" collapsed="false">
      <c r="A98" s="6" t="str">
        <f aca="false">YEAR(Q98-WEEKDAY(Q98,2)+4)&amp;"-S"&amp;TEXT(WEEKNUM(Q98,21),"00")</f>
        <v>2025-S51</v>
      </c>
      <c r="B98" s="18" t="s">
        <v>69</v>
      </c>
      <c r="C98" s="19" t="n">
        <v>0.332638888888889</v>
      </c>
      <c r="D98" s="19" t="n">
        <v>0.333333333333333</v>
      </c>
      <c r="E98" s="19" t="n">
        <v>0.75</v>
      </c>
      <c r="F98" s="19" t="n">
        <v>0.75</v>
      </c>
      <c r="G98" s="20"/>
      <c r="H98" s="20"/>
      <c r="I98" s="8" t="str">
        <f aca="false">IF(IF(OR(C98="",D98="Congé",D98="OFF",D98="Congé spécial"),"",IF(D98&gt;F98,D98-C98,IF(C98-D98&lt;0,0,C98-D98)))&lt;0.00068287037037037,"",IF(OR(D98="Congé",D98="OFF",C98="",D98="Congé spécial"),"",IF(D98&gt;F98,D98-C98,IF(C98-D98&lt;0,0,C98-D98))))</f>
        <v/>
      </c>
      <c r="J98" s="20"/>
      <c r="K98" s="8" t="n">
        <f aca="false">IF(SUM(H98:J98)&lt;0.00068287037037037,0,SUM(H98:J98))</f>
        <v>0</v>
      </c>
      <c r="L98" s="8" t="n">
        <f aca="false">IF(OR(F98="Congé",F98="OFF",M98="Abs",F98="Congé sans solde",F98="Férié",F98="Congé spécial",D98="Congé spécial"),0,IF(F98-E98&lt;0,0,IF(F98-E98&lt;=0.00068287037037037,0,F98-E98)))</f>
        <v>0</v>
      </c>
      <c r="M98" s="6" t="n">
        <f aca="false">IF(AND(O98&lt;&gt;0,C98=""),"Abs",0)</f>
        <v>0</v>
      </c>
      <c r="N98" s="8" t="n">
        <f aca="false">IFERROR(IF(OR(D98="OFF",D98="Congé",M98="Abs",D98="Congé sans solde",D98="Férié"),"",IF(O98-K98-L98&gt;O98,O98,IF(O98-K98-L98&lt;0,"",O98-K98-L98))),"")</f>
        <v>0.375</v>
      </c>
      <c r="O98" s="8" t="n">
        <f aca="false">IF(AG98="2H Pause déjeuner",IF(F98-D98-0.0833333333333333&lt;0,F98-D98-0.0833333333333333+1,F98-D98-0.0833333333333333),IF(OR(AND(F98="OFF",D98="OFF"),AND(F98="Congé",D98="Congé"),AND(F98="Congé sans solde",D98="Congé sans solde"),AND(F98="Congé spécial",D98="Congé spécial"),AND(F98="Férié",D98="Férié"),AND(F98="OFF",D98="Congé"),AND(F98="OFF",D98="Congé sans solde"),AND(F98="OFF",D98="Congé spécial"),AND(F98="OFF",D98="Férié"),AND(F98="Congé",D98="OFF"),AND(F98="Congé",D98="Congé sans solde"),AND(F98="Congé",D98="Congé spécial"),AND(F98="Congé",D98="Férié"),AND(F98="Congé sans solde",D98="OFF"),AND(F98="Congé sans solde",D98="Congé"),AND(F98="Congé sans solde",D98="Congé spécial"),AND(F98="Congé sans solde",D98="Férié"),AND(F98="Congé spécial",D98="OFF"),AND(F98="Congé spécial",D98="Congé"),AND(F98="Congé spécial",D98="Congé sans solde"),AND(F98="Congé spécial",D98="Férié"),AND(F98="Férié",D98="OFF"),AND(F98="Férié",D98="Congé"),AND(F98="Férié",D98="Congé sans solde"),AND(F98="Férié",D98="Congé spécial")),0,IF(OR(F98="OFF",F98="Congé",F98="Congé spécial",F98="Congé sans solde",D98="OFF",D98="Congé",D98="Congé spécial",D98="Congé sans solde"),0.208333333333334,IF(AND(AG98="",F98-D98&lt;0),("24:00:00"-D98)+("00:00:00"+F98)-0.0416666666666667,IF(AND(OR(AG98="Allaitement",AG98="Sans déjeuner"),F98-D98&lt;0),("24:00:00"-D98)+("00:00:00"+F98),IF(AND(AG98="",F98-D98&gt;0.166666666666667),F98-D98-0.0416666666666667,IF(AND(OR(AG98="Allaitement",AG98="Sans déjeuner"),F98-D98&gt;0.166666666666667),F98-D98,F98-D98)))))))</f>
        <v>0.375</v>
      </c>
      <c r="P98" s="6" t="str">
        <f aca="false">IFERROR(VLOOKUP($B98,Agents!$A:$D,2,0),"-")</f>
        <v>Accessibilité</v>
      </c>
      <c r="Q98" s="21" t="n">
        <v>46006</v>
      </c>
      <c r="R98" s="8" t="n">
        <f aca="false">IF(M98="Abs",O98,0)</f>
        <v>0</v>
      </c>
      <c r="S98" s="8" t="n">
        <f aca="false">SUM(R98,L98,I98,J98,W98,H98)</f>
        <v>0</v>
      </c>
      <c r="T98" s="6" t="str">
        <f aca="false">"Sem - "&amp;WEEKNUM(Q98,21)</f>
        <v>Sem - 51</v>
      </c>
      <c r="U98" s="6" t="str">
        <f aca="false">CHOOSE(MONTH(Q98),"Janvier","Février","Mars","Avril","Mai","Juin","Juillet","Août","Septembre","Octobre","Novembre","Décembre")</f>
        <v>Décembre</v>
      </c>
      <c r="V98" s="22" t="n">
        <f aca="false">YEAR(Q98)</f>
        <v>2025</v>
      </c>
      <c r="W98" s="20"/>
      <c r="X98" s="8" t="n">
        <f aca="false">IFERROR(IF(M98="Abs",0,IF(ROUND((D98-C98+E98-F98)*1440,0)&lt;=1,0,D98-C98+E98-F98)),0)</f>
        <v>0</v>
      </c>
      <c r="Y98" s="6" t="str">
        <f aca="false">IFERROR(VLOOKUP($B98,Agents!$A:$D,3,0),"-")</f>
        <v>OUBRAHIM Mohammed</v>
      </c>
      <c r="Z98" s="6" t="str">
        <f aca="false">IFERROR(VLOOKUP($B98,Agents!$A:$D,4,0),"-")</f>
        <v>Credit Mutuel</v>
      </c>
      <c r="AA98" s="18" t="s">
        <v>78</v>
      </c>
      <c r="AB98" s="8" t="str">
        <f aca="false">IF(AND(D98="Congé",F98="Congé"),0.333333333333333,IF(OR(AND(D98="Congé",F98&lt;&gt;"Congé"),(AND(F98="Congé",D98&lt;&gt;"Congé"))),0.166666666666667,""))</f>
        <v/>
      </c>
      <c r="AC98" s="8" t="str">
        <f aca="false">IF(AND(D98="Congé sans solde",F98="Congé sans solde"),0.333333333333333,IF(OR(AND(D98="Congé sans solde",F98&lt;&gt;"Congé sans solde"),(AND(F98="Congé sans solde",D98&lt;&gt;"Congé sans solde"))),0.166666666666667,""))</f>
        <v/>
      </c>
      <c r="AD98" s="8" t="str">
        <f aca="false">IF(AND(D98="Congé spécial",F98="Congé spécial"),0.333333333333333,IF(OR(AND(D98="Congé spécial",F98&lt;&gt;"Congé spécial"),AND(F98="Congé spécial",D98&lt;&gt;"Congé spécial")),0.166666666666667,""))</f>
        <v/>
      </c>
      <c r="AE98" s="8" t="str">
        <f aca="false">IF(AND(D98="Férié",F98="Férié"),0.333333333333333,IF(OR(AND(D98="Férié",F98&lt;&gt;"Férié"),(AND(F98="Férié",D98&lt;&gt;"Férié"))),0.166666666666667,""))</f>
        <v/>
      </c>
      <c r="AF98" s="18"/>
      <c r="AG98" s="18"/>
    </row>
    <row r="99" customFormat="false" ht="15" hidden="false" customHeight="false" outlineLevel="0" collapsed="false">
      <c r="A99" s="6" t="str">
        <f aca="false">YEAR(Q99-WEEKDAY(Q99,2)+4)&amp;"-S"&amp;TEXT(WEEKNUM(Q99,21),"00")</f>
        <v>2025-S51</v>
      </c>
      <c r="B99" s="18" t="s">
        <v>71</v>
      </c>
      <c r="C99" s="19" t="n">
        <v>0.332638888888889</v>
      </c>
      <c r="D99" s="19" t="n">
        <v>0.333333333333333</v>
      </c>
      <c r="E99" s="19" t="n">
        <v>0.75</v>
      </c>
      <c r="F99" s="19" t="n">
        <v>0.75</v>
      </c>
      <c r="G99" s="20"/>
      <c r="H99" s="20"/>
      <c r="I99" s="8" t="str">
        <f aca="false">IF(IF(OR(C99="",D99="Congé",D99="OFF",D99="Congé spécial"),"",IF(D99&gt;F99,D99-C99,IF(C99-D99&lt;0,0,C99-D99)))&lt;0.00068287037037037,"",IF(OR(D99="Congé",D99="OFF",C99="",D99="Congé spécial"),"",IF(D99&gt;F99,D99-C99,IF(C99-D99&lt;0,0,C99-D99))))</f>
        <v/>
      </c>
      <c r="J99" s="20"/>
      <c r="K99" s="8" t="n">
        <f aca="false">IF(SUM(H99:J99)&lt;0.00068287037037037,0,SUM(H99:J99))</f>
        <v>0</v>
      </c>
      <c r="L99" s="8" t="n">
        <f aca="false">IF(OR(F99="Congé",F99="OFF",M99="Abs",F99="Congé sans solde",F99="Férié",F99="Congé spécial",D99="Congé spécial"),0,IF(F99-E99&lt;0,0,IF(F99-E99&lt;=0.00068287037037037,0,F99-E99)))</f>
        <v>0</v>
      </c>
      <c r="M99" s="6" t="n">
        <f aca="false">IF(AND(O99&lt;&gt;0,C99=""),"Abs",0)</f>
        <v>0</v>
      </c>
      <c r="N99" s="8" t="n">
        <f aca="false">IFERROR(IF(OR(D99="OFF",D99="Congé",M99="Abs",D99="Congé sans solde",D99="Férié"),"",IF(O99-K99-L99&gt;O99,O99,IF(O99-K99-L99&lt;0,"",O99-K99-L99))),"")</f>
        <v>0.375</v>
      </c>
      <c r="O99" s="8" t="n">
        <f aca="false">IF(AG99="2H Pause déjeuner",IF(F99-D99-0.0833333333333333&lt;0,F99-D99-0.0833333333333333+1,F99-D99-0.0833333333333333),IF(OR(AND(F99="OFF",D99="OFF"),AND(F99="Congé",D99="Congé"),AND(F99="Congé sans solde",D99="Congé sans solde"),AND(F99="Congé spécial",D99="Congé spécial"),AND(F99="Férié",D99="Férié"),AND(F99="OFF",D99="Congé"),AND(F99="OFF",D99="Congé sans solde"),AND(F99="OFF",D99="Congé spécial"),AND(F99="OFF",D99="Férié"),AND(F99="Congé",D99="OFF"),AND(F99="Congé",D99="Congé sans solde"),AND(F99="Congé",D99="Congé spécial"),AND(F99="Congé",D99="Férié"),AND(F99="Congé sans solde",D99="OFF"),AND(F99="Congé sans solde",D99="Congé"),AND(F99="Congé sans solde",D99="Congé spécial"),AND(F99="Congé sans solde",D99="Férié"),AND(F99="Congé spécial",D99="OFF"),AND(F99="Congé spécial",D99="Congé"),AND(F99="Congé spécial",D99="Congé sans solde"),AND(F99="Congé spécial",D99="Férié"),AND(F99="Férié",D99="OFF"),AND(F99="Férié",D99="Congé"),AND(F99="Férié",D99="Congé sans solde"),AND(F99="Férié",D99="Congé spécial")),0,IF(OR(F99="OFF",F99="Congé",F99="Congé spécial",F99="Congé sans solde",D99="OFF",D99="Congé",D99="Congé spécial",D99="Congé sans solde"),0.208333333333334,IF(AND(AG99="",F99-D99&lt;0),("24:00:00"-D99)+("00:00:00"+F99)-0.0416666666666667,IF(AND(OR(AG99="Allaitement",AG99="Sans déjeuner"),F99-D99&lt;0),("24:00:00"-D99)+("00:00:00"+F99),IF(AND(AG99="",F99-D99&gt;0.166666666666667),F99-D99-0.0416666666666667,IF(AND(OR(AG99="Allaitement",AG99="Sans déjeuner"),F99-D99&gt;0.166666666666667),F99-D99,F99-D99)))))))</f>
        <v>0.375</v>
      </c>
      <c r="P99" s="6" t="str">
        <f aca="false">IFERROR(VLOOKUP($B99,Agents!$A:$D,2,0),"-")</f>
        <v>Accessibilité</v>
      </c>
      <c r="Q99" s="21" t="n">
        <v>46006</v>
      </c>
      <c r="R99" s="8" t="n">
        <f aca="false">IF(M99="Abs",O99,0)</f>
        <v>0</v>
      </c>
      <c r="S99" s="8" t="n">
        <f aca="false">SUM(R99,L99,I99,J99,W99,H99)</f>
        <v>0</v>
      </c>
      <c r="T99" s="6" t="str">
        <f aca="false">"Sem - "&amp;WEEKNUM(Q99,21)</f>
        <v>Sem - 51</v>
      </c>
      <c r="U99" s="6" t="str">
        <f aca="false">CHOOSE(MONTH(Q99),"Janvier","Février","Mars","Avril","Mai","Juin","Juillet","Août","Septembre","Octobre","Novembre","Décembre")</f>
        <v>Décembre</v>
      </c>
      <c r="V99" s="22" t="n">
        <f aca="false">YEAR(Q99)</f>
        <v>2025</v>
      </c>
      <c r="W99" s="20"/>
      <c r="X99" s="8" t="n">
        <f aca="false">IFERROR(IF(M99="Abs",0,IF(ROUND((D99-C99+E99-F99)*1440,0)&lt;=1,0,D99-C99+E99-F99)),0)</f>
        <v>0</v>
      </c>
      <c r="Y99" s="6" t="str">
        <f aca="false">IFERROR(VLOOKUP($B99,Agents!$A:$D,3,0),"-")</f>
        <v>OUBRAHIM Mohammed</v>
      </c>
      <c r="Z99" s="6" t="str">
        <f aca="false">IFERROR(VLOOKUP($B99,Agents!$A:$D,4,0),"-")</f>
        <v>Credit Mutuel</v>
      </c>
      <c r="AA99" s="18" t="s">
        <v>78</v>
      </c>
      <c r="AB99" s="8" t="str">
        <f aca="false">IF(AND(D99="Congé",F99="Congé"),0.333333333333333,IF(OR(AND(D99="Congé",F99&lt;&gt;"Congé"),(AND(F99="Congé",D99&lt;&gt;"Congé"))),0.166666666666667,""))</f>
        <v/>
      </c>
      <c r="AC99" s="8" t="str">
        <f aca="false">IF(AND(D99="Congé sans solde",F99="Congé sans solde"),0.333333333333333,IF(OR(AND(D99="Congé sans solde",F99&lt;&gt;"Congé sans solde"),(AND(F99="Congé sans solde",D99&lt;&gt;"Congé sans solde"))),0.166666666666667,""))</f>
        <v/>
      </c>
      <c r="AD99" s="8" t="str">
        <f aca="false">IF(AND(D99="Congé spécial",F99="Congé spécial"),0.333333333333333,IF(OR(AND(D99="Congé spécial",F99&lt;&gt;"Congé spécial"),AND(F99="Congé spécial",D99&lt;&gt;"Congé spécial")),0.166666666666667,""))</f>
        <v/>
      </c>
      <c r="AE99" s="8" t="str">
        <f aca="false">IF(AND(D99="Férié",F99="Férié"),0.333333333333333,IF(OR(AND(D99="Férié",F99&lt;&gt;"Férié"),(AND(F99="Férié",D99&lt;&gt;"Férié"))),0.166666666666667,""))</f>
        <v/>
      </c>
      <c r="AF99" s="18"/>
      <c r="AG99" s="18"/>
    </row>
    <row r="100" customFormat="false" ht="15" hidden="false" customHeight="false" outlineLevel="0" collapsed="false">
      <c r="A100" s="6" t="str">
        <f aca="false">YEAR(Q100-WEEKDAY(Q100,2)+4)&amp;"-S"&amp;TEXT(WEEKNUM(Q100,21),"00")</f>
        <v>2025-S51</v>
      </c>
      <c r="B100" s="18" t="s">
        <v>72</v>
      </c>
      <c r="C100" s="19" t="n">
        <v>0.332638888888889</v>
      </c>
      <c r="D100" s="19" t="n">
        <v>0.333333333333333</v>
      </c>
      <c r="E100" s="19" t="n">
        <v>0.75</v>
      </c>
      <c r="F100" s="19" t="n">
        <v>0.75</v>
      </c>
      <c r="G100" s="20"/>
      <c r="H100" s="20"/>
      <c r="I100" s="8" t="str">
        <f aca="false">IF(IF(OR(C100="",D100="Congé",D100="OFF",D100="Congé spécial"),"",IF(D100&gt;F100,D100-C100,IF(C100-D100&lt;0,0,C100-D100)))&lt;0.00068287037037037,"",IF(OR(D100="Congé",D100="OFF",C100="",D100="Congé spécial"),"",IF(D100&gt;F100,D100-C100,IF(C100-D100&lt;0,0,C100-D100))))</f>
        <v/>
      </c>
      <c r="J100" s="20"/>
      <c r="K100" s="8" t="n">
        <f aca="false">IF(SUM(H100:J100)&lt;0.00068287037037037,0,SUM(H100:J100))</f>
        <v>0</v>
      </c>
      <c r="L100" s="8" t="n">
        <f aca="false">IF(OR(F100="Congé",F100="OFF",M100="Abs",F100="Congé sans solde",F100="Férié",F100="Congé spécial",D100="Congé spécial"),0,IF(F100-E100&lt;0,0,IF(F100-E100&lt;=0.00068287037037037,0,F100-E100)))</f>
        <v>0</v>
      </c>
      <c r="M100" s="6" t="n">
        <f aca="false">IF(AND(O100&lt;&gt;0,C100=""),"Abs",0)</f>
        <v>0</v>
      </c>
      <c r="N100" s="8" t="n">
        <f aca="false">IFERROR(IF(OR(D100="OFF",D100="Congé",M100="Abs",D100="Congé sans solde",D100="Férié"),"",IF(O100-K100-L100&gt;O100,O100,IF(O100-K100-L100&lt;0,"",O100-K100-L100))),"")</f>
        <v>0.375</v>
      </c>
      <c r="O100" s="8" t="n">
        <f aca="false">IF(AG100="2H Pause déjeuner",IF(F100-D100-0.0833333333333333&lt;0,F100-D100-0.0833333333333333+1,F100-D100-0.0833333333333333),IF(OR(AND(F100="OFF",D100="OFF"),AND(F100="Congé",D100="Congé"),AND(F100="Congé sans solde",D100="Congé sans solde"),AND(F100="Congé spécial",D100="Congé spécial"),AND(F100="Férié",D100="Férié"),AND(F100="OFF",D100="Congé"),AND(F100="OFF",D100="Congé sans solde"),AND(F100="OFF",D100="Congé spécial"),AND(F100="OFF",D100="Férié"),AND(F100="Congé",D100="OFF"),AND(F100="Congé",D100="Congé sans solde"),AND(F100="Congé",D100="Congé spécial"),AND(F100="Congé",D100="Férié"),AND(F100="Congé sans solde",D100="OFF"),AND(F100="Congé sans solde",D100="Congé"),AND(F100="Congé sans solde",D100="Congé spécial"),AND(F100="Congé sans solde",D100="Férié"),AND(F100="Congé spécial",D100="OFF"),AND(F100="Congé spécial",D100="Congé"),AND(F100="Congé spécial",D100="Congé sans solde"),AND(F100="Congé spécial",D100="Férié"),AND(F100="Férié",D100="OFF"),AND(F100="Férié",D100="Congé"),AND(F100="Férié",D100="Congé sans solde"),AND(F100="Férié",D100="Congé spécial")),0,IF(OR(F100="OFF",F100="Congé",F100="Congé spécial",F100="Congé sans solde",D100="OFF",D100="Congé",D100="Congé spécial",D100="Congé sans solde"),0.208333333333334,IF(AND(AG100="",F100-D100&lt;0),("24:00:00"-D100)+("00:00:00"+F100)-0.0416666666666667,IF(AND(OR(AG100="Allaitement",AG100="Sans déjeuner"),F100-D100&lt;0),("24:00:00"-D100)+("00:00:00"+F100),IF(AND(AG100="",F100-D100&gt;0.166666666666667),F100-D100-0.0416666666666667,IF(AND(OR(AG100="Allaitement",AG100="Sans déjeuner"),F100-D100&gt;0.166666666666667),F100-D100,F100-D100)))))))</f>
        <v>0.375</v>
      </c>
      <c r="P100" s="6" t="str">
        <f aca="false">IFERROR(VLOOKUP($B100,Agents!$A:$D,2,0),"-")</f>
        <v>Accessibilité</v>
      </c>
      <c r="Q100" s="21" t="n">
        <v>46006</v>
      </c>
      <c r="R100" s="8" t="n">
        <f aca="false">IF(M100="Abs",O100,0)</f>
        <v>0</v>
      </c>
      <c r="S100" s="8" t="n">
        <f aca="false">SUM(R100,L100,I100,J100,W100,H100)</f>
        <v>0</v>
      </c>
      <c r="T100" s="6" t="str">
        <f aca="false">"Sem - "&amp;WEEKNUM(Q100,21)</f>
        <v>Sem - 51</v>
      </c>
      <c r="U100" s="6" t="str">
        <f aca="false">CHOOSE(MONTH(Q100),"Janvier","Février","Mars","Avril","Mai","Juin","Juillet","Août","Septembre","Octobre","Novembre","Décembre")</f>
        <v>Décembre</v>
      </c>
      <c r="V100" s="22" t="n">
        <f aca="false">YEAR(Q100)</f>
        <v>2025</v>
      </c>
      <c r="W100" s="20"/>
      <c r="X100" s="8" t="n">
        <f aca="false">IFERROR(IF(M100="Abs",0,IF(ROUND((D100-C100+E100-F100)*1440,0)&lt;=1,0,D100-C100+E100-F100)),0)</f>
        <v>0</v>
      </c>
      <c r="Y100" s="6" t="str">
        <f aca="false">IFERROR(VLOOKUP($B100,Agents!$A:$D,3,0),"-")</f>
        <v>OUBRAHIM Mohammed</v>
      </c>
      <c r="Z100" s="6" t="str">
        <f aca="false">IFERROR(VLOOKUP($B100,Agents!$A:$D,4,0),"-")</f>
        <v>Credit Mutuel</v>
      </c>
      <c r="AA100" s="18" t="s">
        <v>78</v>
      </c>
      <c r="AB100" s="8" t="str">
        <f aca="false">IF(AND(D100="Congé",F100="Congé"),0.333333333333333,IF(OR(AND(D100="Congé",F100&lt;&gt;"Congé"),(AND(F100="Congé",D100&lt;&gt;"Congé"))),0.166666666666667,""))</f>
        <v/>
      </c>
      <c r="AC100" s="8" t="str">
        <f aca="false">IF(AND(D100="Congé sans solde",F100="Congé sans solde"),0.333333333333333,IF(OR(AND(D100="Congé sans solde",F100&lt;&gt;"Congé sans solde"),(AND(F100="Congé sans solde",D100&lt;&gt;"Congé sans solde"))),0.166666666666667,""))</f>
        <v/>
      </c>
      <c r="AD100" s="8" t="str">
        <f aca="false">IF(AND(D100="Congé spécial",F100="Congé spécial"),0.333333333333333,IF(OR(AND(D100="Congé spécial",F100&lt;&gt;"Congé spécial"),AND(F100="Congé spécial",D100&lt;&gt;"Congé spécial")),0.166666666666667,""))</f>
        <v/>
      </c>
      <c r="AE100" s="8" t="str">
        <f aca="false">IF(AND(D100="Férié",F100="Férié"),0.333333333333333,IF(OR(AND(D100="Férié",F100&lt;&gt;"Férié"),(AND(F100="Férié",D100&lt;&gt;"Férié"))),0.166666666666667,""))</f>
        <v/>
      </c>
      <c r="AF100" s="18"/>
      <c r="AG100" s="18"/>
    </row>
    <row r="101" customFormat="false" ht="15" hidden="false" customHeight="false" outlineLevel="0" collapsed="false">
      <c r="A101" s="6" t="str">
        <f aca="false">YEAR(Q101-WEEKDAY(Q101,2)+4)&amp;"-S"&amp;TEXT(WEEKNUM(Q101,21),"00")</f>
        <v>2025-S51</v>
      </c>
      <c r="B101" s="18" t="s">
        <v>73</v>
      </c>
      <c r="C101" s="19" t="n">
        <v>0.331944444444444</v>
      </c>
      <c r="D101" s="19" t="n">
        <v>0.333333333333333</v>
      </c>
      <c r="E101" s="19" t="n">
        <v>0.75</v>
      </c>
      <c r="F101" s="19" t="n">
        <v>0.75</v>
      </c>
      <c r="G101" s="20"/>
      <c r="H101" s="20"/>
      <c r="I101" s="8" t="str">
        <f aca="false">IF(IF(OR(C101="",D101="Congé",D101="OFF",D101="Congé spécial"),"",IF(D101&gt;F101,D101-C101,IF(C101-D101&lt;0,0,C101-D101)))&lt;0.00068287037037037,"",IF(OR(D101="Congé",D101="OFF",C101="",D101="Congé spécial"),"",IF(D101&gt;F101,D101-C101,IF(C101-D101&lt;0,0,C101-D101))))</f>
        <v/>
      </c>
      <c r="J101" s="20"/>
      <c r="K101" s="8" t="n">
        <f aca="false">IF(SUM(H101:J101)&lt;0.00068287037037037,0,SUM(H101:J101))</f>
        <v>0</v>
      </c>
      <c r="L101" s="8" t="n">
        <f aca="false">IF(OR(F101="Congé",F101="OFF",M101="Abs",F101="Congé sans solde",F101="Férié",F101="Congé spécial",D101="Congé spécial"),0,IF(F101-E101&lt;0,0,IF(F101-E101&lt;=0.00068287037037037,0,F101-E101)))</f>
        <v>0</v>
      </c>
      <c r="M101" s="6" t="n">
        <f aca="false">IF(AND(O101&lt;&gt;0,C101=""),"Abs",0)</f>
        <v>0</v>
      </c>
      <c r="N101" s="8" t="n">
        <f aca="false">IFERROR(IF(OR(D101="OFF",D101="Congé",M101="Abs",D101="Congé sans solde",D101="Férié"),"",IF(O101-K101-L101&gt;O101,O101,IF(O101-K101-L101&lt;0,"",O101-K101-L101))),"")</f>
        <v>0.375</v>
      </c>
      <c r="O101" s="8" t="n">
        <f aca="false">IF(AG101="2H Pause déjeuner",IF(F101-D101-0.0833333333333333&lt;0,F101-D101-0.0833333333333333+1,F101-D101-0.0833333333333333),IF(OR(AND(F101="OFF",D101="OFF"),AND(F101="Congé",D101="Congé"),AND(F101="Congé sans solde",D101="Congé sans solde"),AND(F101="Congé spécial",D101="Congé spécial"),AND(F101="Férié",D101="Férié"),AND(F101="OFF",D101="Congé"),AND(F101="OFF",D101="Congé sans solde"),AND(F101="OFF",D101="Congé spécial"),AND(F101="OFF",D101="Férié"),AND(F101="Congé",D101="OFF"),AND(F101="Congé",D101="Congé sans solde"),AND(F101="Congé",D101="Congé spécial"),AND(F101="Congé",D101="Férié"),AND(F101="Congé sans solde",D101="OFF"),AND(F101="Congé sans solde",D101="Congé"),AND(F101="Congé sans solde",D101="Congé spécial"),AND(F101="Congé sans solde",D101="Férié"),AND(F101="Congé spécial",D101="OFF"),AND(F101="Congé spécial",D101="Congé"),AND(F101="Congé spécial",D101="Congé sans solde"),AND(F101="Congé spécial",D101="Férié"),AND(F101="Férié",D101="OFF"),AND(F101="Férié",D101="Congé"),AND(F101="Férié",D101="Congé sans solde"),AND(F101="Férié",D101="Congé spécial")),0,IF(OR(F101="OFF",F101="Congé",F101="Congé spécial",F101="Congé sans solde",D101="OFF",D101="Congé",D101="Congé spécial",D101="Congé sans solde"),0.208333333333334,IF(AND(AG101="",F101-D101&lt;0),("24:00:00"-D101)+("00:00:00"+F101)-0.0416666666666667,IF(AND(OR(AG101="Allaitement",AG101="Sans déjeuner"),F101-D101&lt;0),("24:00:00"-D101)+("00:00:00"+F101),IF(AND(AG101="",F101-D101&gt;0.166666666666667),F101-D101-0.0416666666666667,IF(AND(OR(AG101="Allaitement",AG101="Sans déjeuner"),F101-D101&gt;0.166666666666667),F101-D101,F101-D101)))))))</f>
        <v>0.375</v>
      </c>
      <c r="P101" s="6" t="str">
        <f aca="false">IFERROR(VLOOKUP($B101,Agents!$A:$D,2,0),"-")</f>
        <v>Accessibilité</v>
      </c>
      <c r="Q101" s="21" t="n">
        <v>46006</v>
      </c>
      <c r="R101" s="8" t="n">
        <f aca="false">IF(M101="Abs",O101,0)</f>
        <v>0</v>
      </c>
      <c r="S101" s="8" t="n">
        <f aca="false">SUM(R101,L101,I101,J101,W101,H101)</f>
        <v>0</v>
      </c>
      <c r="T101" s="6" t="str">
        <f aca="false">"Sem - "&amp;WEEKNUM(Q101,21)</f>
        <v>Sem - 51</v>
      </c>
      <c r="U101" s="6" t="str">
        <f aca="false">CHOOSE(MONTH(Q101),"Janvier","Février","Mars","Avril","Mai","Juin","Juillet","Août","Septembre","Octobre","Novembre","Décembre")</f>
        <v>Décembre</v>
      </c>
      <c r="V101" s="22" t="n">
        <f aca="false">YEAR(Q101)</f>
        <v>2025</v>
      </c>
      <c r="W101" s="20"/>
      <c r="X101" s="8" t="n">
        <f aca="false">IFERROR(IF(M101="Abs",0,IF(ROUND((D101-C101+E101-F101)*1440,0)&lt;=1,0,D101-C101+E101-F101)),0)</f>
        <v>0.00138888888888889</v>
      </c>
      <c r="Y101" s="6" t="str">
        <f aca="false">IFERROR(VLOOKUP($B101,Agents!$A:$D,3,0),"-")</f>
        <v>OUBRAHIM Mohammed</v>
      </c>
      <c r="Z101" s="6" t="str">
        <f aca="false">IFERROR(VLOOKUP($B101,Agents!$A:$D,4,0),"-")</f>
        <v>Credit Mutuel</v>
      </c>
      <c r="AA101" s="18" t="s">
        <v>78</v>
      </c>
      <c r="AB101" s="8" t="str">
        <f aca="false">IF(AND(D101="Congé",F101="Congé"),0.333333333333333,IF(OR(AND(D101="Congé",F101&lt;&gt;"Congé"),(AND(F101="Congé",D101&lt;&gt;"Congé"))),0.166666666666667,""))</f>
        <v/>
      </c>
      <c r="AC101" s="8" t="str">
        <f aca="false">IF(AND(D101="Congé sans solde",F101="Congé sans solde"),0.333333333333333,IF(OR(AND(D101="Congé sans solde",F101&lt;&gt;"Congé sans solde"),(AND(F101="Congé sans solde",D101&lt;&gt;"Congé sans solde"))),0.166666666666667,""))</f>
        <v/>
      </c>
      <c r="AD101" s="8" t="str">
        <f aca="false">IF(AND(D101="Congé spécial",F101="Congé spécial"),0.333333333333333,IF(OR(AND(D101="Congé spécial",F101&lt;&gt;"Congé spécial"),AND(F101="Congé spécial",D101&lt;&gt;"Congé spécial")),0.166666666666667,""))</f>
        <v/>
      </c>
      <c r="AE101" s="8" t="str">
        <f aca="false">IF(AND(D101="Férié",F101="Férié"),0.333333333333333,IF(OR(AND(D101="Férié",F101&lt;&gt;"Férié"),(AND(F101="Férié",D101&lt;&gt;"Férié"))),0.166666666666667,""))</f>
        <v/>
      </c>
      <c r="AF101" s="18"/>
      <c r="AG101" s="18"/>
    </row>
    <row r="102" customFormat="false" ht="15" hidden="false" customHeight="false" outlineLevel="0" collapsed="false">
      <c r="A102" s="6" t="str">
        <f aca="false">YEAR(Q102-WEEKDAY(Q102,2)+4)&amp;"-S"&amp;TEXT(WEEKNUM(Q102,21),"00")</f>
        <v>2025-S51</v>
      </c>
      <c r="B102" s="18" t="s">
        <v>69</v>
      </c>
      <c r="C102" s="19" t="n">
        <v>0.333333333333333</v>
      </c>
      <c r="D102" s="19" t="n">
        <v>0.333333333333333</v>
      </c>
      <c r="E102" s="19" t="n">
        <v>0.75</v>
      </c>
      <c r="F102" s="19" t="n">
        <v>0.75</v>
      </c>
      <c r="G102" s="20"/>
      <c r="H102" s="20"/>
      <c r="I102" s="8" t="str">
        <f aca="false">IF(IF(OR(C102="",D102="Congé",D102="OFF",D102="Congé spécial"),"",IF(D102&gt;F102,D102-C102,IF(C102-D102&lt;0,0,C102-D102)))&lt;0.00068287037037037,"",IF(OR(D102="Congé",D102="OFF",C102="",D102="Congé spécial"),"",IF(D102&gt;F102,D102-C102,IF(C102-D102&lt;0,0,C102-D102))))</f>
        <v/>
      </c>
      <c r="J102" s="20"/>
      <c r="K102" s="8" t="n">
        <f aca="false">IF(SUM(H102:J102)&lt;0.00068287037037037,0,SUM(H102:J102))</f>
        <v>0</v>
      </c>
      <c r="L102" s="8" t="n">
        <f aca="false">IF(OR(F102="Congé",F102="OFF",M102="Abs",F102="Congé sans solde",F102="Férié",F102="Congé spécial",D102="Congé spécial"),0,IF(F102-E102&lt;0,0,IF(F102-E102&lt;=0.00068287037037037,0,F102-E102)))</f>
        <v>0</v>
      </c>
      <c r="M102" s="6" t="n">
        <f aca="false">IF(AND(O102&lt;&gt;0,C102=""),"Abs",0)</f>
        <v>0</v>
      </c>
      <c r="N102" s="8" t="n">
        <f aca="false">IFERROR(IF(OR(D102="OFF",D102="Congé",M102="Abs",D102="Congé sans solde",D102="Férié"),"",IF(O102-K102-L102&gt;O102,O102,IF(O102-K102-L102&lt;0,"",O102-K102-L102))),"")</f>
        <v>0.375</v>
      </c>
      <c r="O102" s="8" t="n">
        <f aca="false">IF(AG102="2H Pause déjeuner",IF(F102-D102-0.0833333333333333&lt;0,F102-D102-0.0833333333333333+1,F102-D102-0.0833333333333333),IF(OR(AND(F102="OFF",D102="OFF"),AND(F102="Congé",D102="Congé"),AND(F102="Congé sans solde",D102="Congé sans solde"),AND(F102="Congé spécial",D102="Congé spécial"),AND(F102="Férié",D102="Férié"),AND(F102="OFF",D102="Congé"),AND(F102="OFF",D102="Congé sans solde"),AND(F102="OFF",D102="Congé spécial"),AND(F102="OFF",D102="Férié"),AND(F102="Congé",D102="OFF"),AND(F102="Congé",D102="Congé sans solde"),AND(F102="Congé",D102="Congé spécial"),AND(F102="Congé",D102="Férié"),AND(F102="Congé sans solde",D102="OFF"),AND(F102="Congé sans solde",D102="Congé"),AND(F102="Congé sans solde",D102="Congé spécial"),AND(F102="Congé sans solde",D102="Férié"),AND(F102="Congé spécial",D102="OFF"),AND(F102="Congé spécial",D102="Congé"),AND(F102="Congé spécial",D102="Congé sans solde"),AND(F102="Congé spécial",D102="Férié"),AND(F102="Férié",D102="OFF"),AND(F102="Férié",D102="Congé"),AND(F102="Férié",D102="Congé sans solde"),AND(F102="Férié",D102="Congé spécial")),0,IF(OR(F102="OFF",F102="Congé",F102="Congé spécial",F102="Congé sans solde",D102="OFF",D102="Congé",D102="Congé spécial",D102="Congé sans solde"),0.208333333333334,IF(AND(AG102="",F102-D102&lt;0),("24:00:00"-D102)+("00:00:00"+F102)-0.0416666666666667,IF(AND(OR(AG102="Allaitement",AG102="Sans déjeuner"),F102-D102&lt;0),("24:00:00"-D102)+("00:00:00"+F102),IF(AND(AG102="",F102-D102&gt;0.166666666666667),F102-D102-0.0416666666666667,IF(AND(OR(AG102="Allaitement",AG102="Sans déjeuner"),F102-D102&gt;0.166666666666667),F102-D102,F102-D102)))))))</f>
        <v>0.375</v>
      </c>
      <c r="P102" s="6" t="str">
        <f aca="false">IFERROR(VLOOKUP($B102,Agents!$A:$D,2,0),"-")</f>
        <v>Accessibilité</v>
      </c>
      <c r="Q102" s="21" t="n">
        <v>46007</v>
      </c>
      <c r="R102" s="8" t="n">
        <f aca="false">IF(M102="Abs",O102,0)</f>
        <v>0</v>
      </c>
      <c r="S102" s="8" t="n">
        <f aca="false">SUM(R102,L102,I102,J102,W102,H102)</f>
        <v>0</v>
      </c>
      <c r="T102" s="6" t="str">
        <f aca="false">"Sem - "&amp;WEEKNUM(Q102,21)</f>
        <v>Sem - 51</v>
      </c>
      <c r="U102" s="6" t="str">
        <f aca="false">CHOOSE(MONTH(Q102),"Janvier","Février","Mars","Avril","Mai","Juin","Juillet","Août","Septembre","Octobre","Novembre","Décembre")</f>
        <v>Décembre</v>
      </c>
      <c r="V102" s="22" t="n">
        <f aca="false">YEAR(Q102)</f>
        <v>2025</v>
      </c>
      <c r="W102" s="20"/>
      <c r="X102" s="8" t="n">
        <f aca="false">IFERROR(IF(M102="Abs",0,IF(ROUND((D102-C102+E102-F102)*1440,0)&lt;=1,0,D102-C102+E102-F102)),0)</f>
        <v>0</v>
      </c>
      <c r="Y102" s="6" t="str">
        <f aca="false">IFERROR(VLOOKUP($B102,Agents!$A:$D,3,0),"-")</f>
        <v>OUBRAHIM Mohammed</v>
      </c>
      <c r="Z102" s="6" t="str">
        <f aca="false">IFERROR(VLOOKUP($B102,Agents!$A:$D,4,0),"-")</f>
        <v>Credit Mutuel</v>
      </c>
      <c r="AA102" s="18" t="s">
        <v>78</v>
      </c>
      <c r="AB102" s="8" t="str">
        <f aca="false">IF(AND(D102="Congé",F102="Congé"),0.333333333333333,IF(OR(AND(D102="Congé",F102&lt;&gt;"Congé"),(AND(F102="Congé",D102&lt;&gt;"Congé"))),0.166666666666667,""))</f>
        <v/>
      </c>
      <c r="AC102" s="8" t="str">
        <f aca="false">IF(AND(D102="Congé sans solde",F102="Congé sans solde"),0.333333333333333,IF(OR(AND(D102="Congé sans solde",F102&lt;&gt;"Congé sans solde"),(AND(F102="Congé sans solde",D102&lt;&gt;"Congé sans solde"))),0.166666666666667,""))</f>
        <v/>
      </c>
      <c r="AD102" s="8" t="str">
        <f aca="false">IF(AND(D102="Congé spécial",F102="Congé spécial"),0.333333333333333,IF(OR(AND(D102="Congé spécial",F102&lt;&gt;"Congé spécial"),AND(F102="Congé spécial",D102&lt;&gt;"Congé spécial")),0.166666666666667,""))</f>
        <v/>
      </c>
      <c r="AE102" s="8" t="str">
        <f aca="false">IF(AND(D102="Férié",F102="Férié"),0.333333333333333,IF(OR(AND(D102="Férié",F102&lt;&gt;"Férié"),(AND(F102="Férié",D102&lt;&gt;"Férié"))),0.166666666666667,""))</f>
        <v/>
      </c>
      <c r="AF102" s="18"/>
      <c r="AG102" s="18"/>
    </row>
    <row r="103" customFormat="false" ht="15" hidden="false" customHeight="false" outlineLevel="0" collapsed="false">
      <c r="A103" s="6" t="str">
        <f aca="false">YEAR(Q103-WEEKDAY(Q103,2)+4)&amp;"-S"&amp;TEXT(WEEKNUM(Q103,21),"00")</f>
        <v>2025-S51</v>
      </c>
      <c r="B103" s="18" t="s">
        <v>71</v>
      </c>
      <c r="C103" s="19" t="n">
        <v>0.332638888888889</v>
      </c>
      <c r="D103" s="19" t="n">
        <v>0.333333333333333</v>
      </c>
      <c r="E103" s="19" t="n">
        <v>0.75</v>
      </c>
      <c r="F103" s="19" t="n">
        <v>0.75</v>
      </c>
      <c r="G103" s="20"/>
      <c r="H103" s="20"/>
      <c r="I103" s="8" t="str">
        <f aca="false">IF(IF(OR(C103="",D103="Congé",D103="OFF",D103="Congé spécial"),"",IF(D103&gt;F103,D103-C103,IF(C103-D103&lt;0,0,C103-D103)))&lt;0.00068287037037037,"",IF(OR(D103="Congé",D103="OFF",C103="",D103="Congé spécial"),"",IF(D103&gt;F103,D103-C103,IF(C103-D103&lt;0,0,C103-D103))))</f>
        <v/>
      </c>
      <c r="J103" s="20"/>
      <c r="K103" s="8" t="n">
        <f aca="false">IF(SUM(H103:J103)&lt;0.00068287037037037,0,SUM(H103:J103))</f>
        <v>0</v>
      </c>
      <c r="L103" s="8" t="n">
        <f aca="false">IF(OR(F103="Congé",F103="OFF",M103="Abs",F103="Congé sans solde",F103="Férié",F103="Congé spécial",D103="Congé spécial"),0,IF(F103-E103&lt;0,0,IF(F103-E103&lt;=0.00068287037037037,0,F103-E103)))</f>
        <v>0</v>
      </c>
      <c r="M103" s="6" t="n">
        <f aca="false">IF(AND(O103&lt;&gt;0,C103=""),"Abs",0)</f>
        <v>0</v>
      </c>
      <c r="N103" s="8" t="n">
        <f aca="false">IFERROR(IF(OR(D103="OFF",D103="Congé",M103="Abs",D103="Congé sans solde",D103="Férié"),"",IF(O103-K103-L103&gt;O103,O103,IF(O103-K103-L103&lt;0,"",O103-K103-L103))),"")</f>
        <v>0.375</v>
      </c>
      <c r="O103" s="8" t="n">
        <f aca="false">IF(AG103="2H Pause déjeuner",IF(F103-D103-0.0833333333333333&lt;0,F103-D103-0.0833333333333333+1,F103-D103-0.0833333333333333),IF(OR(AND(F103="OFF",D103="OFF"),AND(F103="Congé",D103="Congé"),AND(F103="Congé sans solde",D103="Congé sans solde"),AND(F103="Congé spécial",D103="Congé spécial"),AND(F103="Férié",D103="Férié"),AND(F103="OFF",D103="Congé"),AND(F103="OFF",D103="Congé sans solde"),AND(F103="OFF",D103="Congé spécial"),AND(F103="OFF",D103="Férié"),AND(F103="Congé",D103="OFF"),AND(F103="Congé",D103="Congé sans solde"),AND(F103="Congé",D103="Congé spécial"),AND(F103="Congé",D103="Férié"),AND(F103="Congé sans solde",D103="OFF"),AND(F103="Congé sans solde",D103="Congé"),AND(F103="Congé sans solde",D103="Congé spécial"),AND(F103="Congé sans solde",D103="Férié"),AND(F103="Congé spécial",D103="OFF"),AND(F103="Congé spécial",D103="Congé"),AND(F103="Congé spécial",D103="Congé sans solde"),AND(F103="Congé spécial",D103="Férié"),AND(F103="Férié",D103="OFF"),AND(F103="Férié",D103="Congé"),AND(F103="Férié",D103="Congé sans solde"),AND(F103="Férié",D103="Congé spécial")),0,IF(OR(F103="OFF",F103="Congé",F103="Congé spécial",F103="Congé sans solde",D103="OFF",D103="Congé",D103="Congé spécial",D103="Congé sans solde"),0.208333333333334,IF(AND(AG103="",F103-D103&lt;0),("24:00:00"-D103)+("00:00:00"+F103)-0.0416666666666667,IF(AND(OR(AG103="Allaitement",AG103="Sans déjeuner"),F103-D103&lt;0),("24:00:00"-D103)+("00:00:00"+F103),IF(AND(AG103="",F103-D103&gt;0.166666666666667),F103-D103-0.0416666666666667,IF(AND(OR(AG103="Allaitement",AG103="Sans déjeuner"),F103-D103&gt;0.166666666666667),F103-D103,F103-D103)))))))</f>
        <v>0.375</v>
      </c>
      <c r="P103" s="6" t="str">
        <f aca="false">IFERROR(VLOOKUP($B103,Agents!$A:$D,2,0),"-")</f>
        <v>Accessibilité</v>
      </c>
      <c r="Q103" s="21" t="n">
        <v>46007</v>
      </c>
      <c r="R103" s="8" t="n">
        <f aca="false">IF(M103="Abs",O103,0)</f>
        <v>0</v>
      </c>
      <c r="S103" s="8" t="n">
        <f aca="false">SUM(R103,L103,I103,J103,W103,H103)</f>
        <v>0</v>
      </c>
      <c r="T103" s="6" t="str">
        <f aca="false">"Sem - "&amp;WEEKNUM(Q103,21)</f>
        <v>Sem - 51</v>
      </c>
      <c r="U103" s="6" t="str">
        <f aca="false">CHOOSE(MONTH(Q103),"Janvier","Février","Mars","Avril","Mai","Juin","Juillet","Août","Septembre","Octobre","Novembre","Décembre")</f>
        <v>Décembre</v>
      </c>
      <c r="V103" s="22" t="n">
        <f aca="false">YEAR(Q103)</f>
        <v>2025</v>
      </c>
      <c r="W103" s="20"/>
      <c r="X103" s="8" t="n">
        <f aca="false">IFERROR(IF(M103="Abs",0,IF(ROUND((D103-C103+E103-F103)*1440,0)&lt;=1,0,D103-C103+E103-F103)),0)</f>
        <v>0</v>
      </c>
      <c r="Y103" s="6" t="str">
        <f aca="false">IFERROR(VLOOKUP($B103,Agents!$A:$D,3,0),"-")</f>
        <v>OUBRAHIM Mohammed</v>
      </c>
      <c r="Z103" s="6" t="str">
        <f aca="false">IFERROR(VLOOKUP($B103,Agents!$A:$D,4,0),"-")</f>
        <v>Credit Mutuel</v>
      </c>
      <c r="AA103" s="18" t="s">
        <v>78</v>
      </c>
      <c r="AB103" s="8" t="str">
        <f aca="false">IF(AND(D103="Congé",F103="Congé"),0.333333333333333,IF(OR(AND(D103="Congé",F103&lt;&gt;"Congé"),(AND(F103="Congé",D103&lt;&gt;"Congé"))),0.166666666666667,""))</f>
        <v/>
      </c>
      <c r="AC103" s="8" t="str">
        <f aca="false">IF(AND(D103="Congé sans solde",F103="Congé sans solde"),0.333333333333333,IF(OR(AND(D103="Congé sans solde",F103&lt;&gt;"Congé sans solde"),(AND(F103="Congé sans solde",D103&lt;&gt;"Congé sans solde"))),0.166666666666667,""))</f>
        <v/>
      </c>
      <c r="AD103" s="8" t="str">
        <f aca="false">IF(AND(D103="Congé spécial",F103="Congé spécial"),0.333333333333333,IF(OR(AND(D103="Congé spécial",F103&lt;&gt;"Congé spécial"),AND(F103="Congé spécial",D103&lt;&gt;"Congé spécial")),0.166666666666667,""))</f>
        <v/>
      </c>
      <c r="AE103" s="8" t="str">
        <f aca="false">IF(AND(D103="Férié",F103="Férié"),0.333333333333333,IF(OR(AND(D103="Férié",F103&lt;&gt;"Férié"),(AND(F103="Férié",D103&lt;&gt;"Férié"))),0.166666666666667,""))</f>
        <v/>
      </c>
      <c r="AF103" s="18"/>
      <c r="AG103" s="18"/>
    </row>
    <row r="104" customFormat="false" ht="15" hidden="false" customHeight="false" outlineLevel="0" collapsed="false">
      <c r="A104" s="6" t="str">
        <f aca="false">YEAR(Q104-WEEKDAY(Q104,2)+4)&amp;"-S"&amp;TEXT(WEEKNUM(Q104,21),"00")</f>
        <v>2025-S51</v>
      </c>
      <c r="B104" s="18" t="s">
        <v>72</v>
      </c>
      <c r="C104" s="19" t="n">
        <v>0.333333333333333</v>
      </c>
      <c r="D104" s="19" t="n">
        <v>0.333333333333333</v>
      </c>
      <c r="E104" s="19" t="n">
        <v>0.75</v>
      </c>
      <c r="F104" s="19" t="n">
        <v>0.75</v>
      </c>
      <c r="G104" s="20"/>
      <c r="H104" s="20"/>
      <c r="I104" s="8" t="str">
        <f aca="false">IF(IF(OR(C104="",D104="Congé",D104="OFF",D104="Congé spécial"),"",IF(D104&gt;F104,D104-C104,IF(C104-D104&lt;0,0,C104-D104)))&lt;0.00068287037037037,"",IF(OR(D104="Congé",D104="OFF",C104="",D104="Congé spécial"),"",IF(D104&gt;F104,D104-C104,IF(C104-D104&lt;0,0,C104-D104))))</f>
        <v/>
      </c>
      <c r="J104" s="20"/>
      <c r="K104" s="8" t="n">
        <f aca="false">IF(SUM(H104:J104)&lt;0.00068287037037037,0,SUM(H104:J104))</f>
        <v>0</v>
      </c>
      <c r="L104" s="8" t="n">
        <f aca="false">IF(OR(F104="Congé",F104="OFF",M104="Abs",F104="Congé sans solde",F104="Férié",F104="Congé spécial",D104="Congé spécial"),0,IF(F104-E104&lt;0,0,IF(F104-E104&lt;=0.00068287037037037,0,F104-E104)))</f>
        <v>0</v>
      </c>
      <c r="M104" s="6" t="n">
        <f aca="false">IF(AND(O104&lt;&gt;0,C104=""),"Abs",0)</f>
        <v>0</v>
      </c>
      <c r="N104" s="8" t="n">
        <f aca="false">IFERROR(IF(OR(D104="OFF",D104="Congé",M104="Abs",D104="Congé sans solde",D104="Férié"),"",IF(O104-K104-L104&gt;O104,O104,IF(O104-K104-L104&lt;0,"",O104-K104-L104))),"")</f>
        <v>0.375</v>
      </c>
      <c r="O104" s="8" t="n">
        <f aca="false">IF(AG104="2H Pause déjeuner",IF(F104-D104-0.0833333333333333&lt;0,F104-D104-0.0833333333333333+1,F104-D104-0.0833333333333333),IF(OR(AND(F104="OFF",D104="OFF"),AND(F104="Congé",D104="Congé"),AND(F104="Congé sans solde",D104="Congé sans solde"),AND(F104="Congé spécial",D104="Congé spécial"),AND(F104="Férié",D104="Férié"),AND(F104="OFF",D104="Congé"),AND(F104="OFF",D104="Congé sans solde"),AND(F104="OFF",D104="Congé spécial"),AND(F104="OFF",D104="Férié"),AND(F104="Congé",D104="OFF"),AND(F104="Congé",D104="Congé sans solde"),AND(F104="Congé",D104="Congé spécial"),AND(F104="Congé",D104="Férié"),AND(F104="Congé sans solde",D104="OFF"),AND(F104="Congé sans solde",D104="Congé"),AND(F104="Congé sans solde",D104="Congé spécial"),AND(F104="Congé sans solde",D104="Férié"),AND(F104="Congé spécial",D104="OFF"),AND(F104="Congé spécial",D104="Congé"),AND(F104="Congé spécial",D104="Congé sans solde"),AND(F104="Congé spécial",D104="Férié"),AND(F104="Férié",D104="OFF"),AND(F104="Férié",D104="Congé"),AND(F104="Férié",D104="Congé sans solde"),AND(F104="Férié",D104="Congé spécial")),0,IF(OR(F104="OFF",F104="Congé",F104="Congé spécial",F104="Congé sans solde",D104="OFF",D104="Congé",D104="Congé spécial",D104="Congé sans solde"),0.208333333333334,IF(AND(AG104="",F104-D104&lt;0),("24:00:00"-D104)+("00:00:00"+F104)-0.0416666666666667,IF(AND(OR(AG104="Allaitement",AG104="Sans déjeuner"),F104-D104&lt;0),("24:00:00"-D104)+("00:00:00"+F104),IF(AND(AG104="",F104-D104&gt;0.166666666666667),F104-D104-0.0416666666666667,IF(AND(OR(AG104="Allaitement",AG104="Sans déjeuner"),F104-D104&gt;0.166666666666667),F104-D104,F104-D104)))))))</f>
        <v>0.375</v>
      </c>
      <c r="P104" s="6" t="str">
        <f aca="false">IFERROR(VLOOKUP($B104,Agents!$A:$D,2,0),"-")</f>
        <v>Accessibilité</v>
      </c>
      <c r="Q104" s="21" t="n">
        <v>46007</v>
      </c>
      <c r="R104" s="8" t="n">
        <f aca="false">IF(M104="Abs",O104,0)</f>
        <v>0</v>
      </c>
      <c r="S104" s="8" t="n">
        <f aca="false">SUM(R104,L104,I104,J104,W104,H104)</f>
        <v>0</v>
      </c>
      <c r="T104" s="6" t="str">
        <f aca="false">"Sem - "&amp;WEEKNUM(Q104,21)</f>
        <v>Sem - 51</v>
      </c>
      <c r="U104" s="6" t="str">
        <f aca="false">CHOOSE(MONTH(Q104),"Janvier","Février","Mars","Avril","Mai","Juin","Juillet","Août","Septembre","Octobre","Novembre","Décembre")</f>
        <v>Décembre</v>
      </c>
      <c r="V104" s="22" t="n">
        <f aca="false">YEAR(Q104)</f>
        <v>2025</v>
      </c>
      <c r="W104" s="20"/>
      <c r="X104" s="8" t="n">
        <f aca="false">IFERROR(IF(M104="Abs",0,IF(ROUND((D104-C104+E104-F104)*1440,0)&lt;=1,0,D104-C104+E104-F104)),0)</f>
        <v>0</v>
      </c>
      <c r="Y104" s="6" t="str">
        <f aca="false">IFERROR(VLOOKUP($B104,Agents!$A:$D,3,0),"-")</f>
        <v>OUBRAHIM Mohammed</v>
      </c>
      <c r="Z104" s="6" t="str">
        <f aca="false">IFERROR(VLOOKUP($B104,Agents!$A:$D,4,0),"-")</f>
        <v>Credit Mutuel</v>
      </c>
      <c r="AA104" s="18" t="s">
        <v>78</v>
      </c>
      <c r="AB104" s="8" t="str">
        <f aca="false">IF(AND(D104="Congé",F104="Congé"),0.333333333333333,IF(OR(AND(D104="Congé",F104&lt;&gt;"Congé"),(AND(F104="Congé",D104&lt;&gt;"Congé"))),0.166666666666667,""))</f>
        <v/>
      </c>
      <c r="AC104" s="8" t="str">
        <f aca="false">IF(AND(D104="Congé sans solde",F104="Congé sans solde"),0.333333333333333,IF(OR(AND(D104="Congé sans solde",F104&lt;&gt;"Congé sans solde"),(AND(F104="Congé sans solde",D104&lt;&gt;"Congé sans solde"))),0.166666666666667,""))</f>
        <v/>
      </c>
      <c r="AD104" s="8" t="str">
        <f aca="false">IF(AND(D104="Congé spécial",F104="Congé spécial"),0.333333333333333,IF(OR(AND(D104="Congé spécial",F104&lt;&gt;"Congé spécial"),AND(F104="Congé spécial",D104&lt;&gt;"Congé spécial")),0.166666666666667,""))</f>
        <v/>
      </c>
      <c r="AE104" s="8" t="str">
        <f aca="false">IF(AND(D104="Férié",F104="Férié"),0.333333333333333,IF(OR(AND(D104="Férié",F104&lt;&gt;"Férié"),(AND(F104="Férié",D104&lt;&gt;"Férié"))),0.166666666666667,""))</f>
        <v/>
      </c>
      <c r="AF104" s="18"/>
      <c r="AG104" s="18"/>
    </row>
    <row r="105" customFormat="false" ht="15" hidden="false" customHeight="false" outlineLevel="0" collapsed="false">
      <c r="A105" s="6" t="str">
        <f aca="false">YEAR(Q105-WEEKDAY(Q105,2)+4)&amp;"-S"&amp;TEXT(WEEKNUM(Q105,21),"00")</f>
        <v>2025-S51</v>
      </c>
      <c r="B105" s="18" t="s">
        <v>73</v>
      </c>
      <c r="C105" s="19" t="n">
        <v>0.332638888888889</v>
      </c>
      <c r="D105" s="19" t="n">
        <v>0.333333333333333</v>
      </c>
      <c r="E105" s="19" t="n">
        <v>0.75</v>
      </c>
      <c r="F105" s="19" t="n">
        <v>0.75</v>
      </c>
      <c r="G105" s="20"/>
      <c r="H105" s="20"/>
      <c r="I105" s="8" t="str">
        <f aca="false">IF(IF(OR(C105="",D105="Congé",D105="OFF",D105="Congé spécial"),"",IF(D105&gt;F105,D105-C105,IF(C105-D105&lt;0,0,C105-D105)))&lt;0.00068287037037037,"",IF(OR(D105="Congé",D105="OFF",C105="",D105="Congé spécial"),"",IF(D105&gt;F105,D105-C105,IF(C105-D105&lt;0,0,C105-D105))))</f>
        <v/>
      </c>
      <c r="J105" s="20"/>
      <c r="K105" s="8" t="n">
        <f aca="false">IF(SUM(H105:J105)&lt;0.00068287037037037,0,SUM(H105:J105))</f>
        <v>0</v>
      </c>
      <c r="L105" s="8" t="n">
        <f aca="false">IF(OR(F105="Congé",F105="OFF",M105="Abs",F105="Congé sans solde",F105="Férié",F105="Congé spécial",D105="Congé spécial"),0,IF(F105-E105&lt;0,0,IF(F105-E105&lt;=0.00068287037037037,0,F105-E105)))</f>
        <v>0</v>
      </c>
      <c r="M105" s="6" t="n">
        <f aca="false">IF(AND(O105&lt;&gt;0,C105=""),"Abs",0)</f>
        <v>0</v>
      </c>
      <c r="N105" s="8" t="n">
        <f aca="false">IFERROR(IF(OR(D105="OFF",D105="Congé",M105="Abs",D105="Congé sans solde",D105="Férié"),"",IF(O105-K105-L105&gt;O105,O105,IF(O105-K105-L105&lt;0,"",O105-K105-L105))),"")</f>
        <v>0.375</v>
      </c>
      <c r="O105" s="8" t="n">
        <f aca="false">IF(AG105="2H Pause déjeuner",IF(F105-D105-0.0833333333333333&lt;0,F105-D105-0.0833333333333333+1,F105-D105-0.0833333333333333),IF(OR(AND(F105="OFF",D105="OFF"),AND(F105="Congé",D105="Congé"),AND(F105="Congé sans solde",D105="Congé sans solde"),AND(F105="Congé spécial",D105="Congé spécial"),AND(F105="Férié",D105="Férié"),AND(F105="OFF",D105="Congé"),AND(F105="OFF",D105="Congé sans solde"),AND(F105="OFF",D105="Congé spécial"),AND(F105="OFF",D105="Férié"),AND(F105="Congé",D105="OFF"),AND(F105="Congé",D105="Congé sans solde"),AND(F105="Congé",D105="Congé spécial"),AND(F105="Congé",D105="Férié"),AND(F105="Congé sans solde",D105="OFF"),AND(F105="Congé sans solde",D105="Congé"),AND(F105="Congé sans solde",D105="Congé spécial"),AND(F105="Congé sans solde",D105="Férié"),AND(F105="Congé spécial",D105="OFF"),AND(F105="Congé spécial",D105="Congé"),AND(F105="Congé spécial",D105="Congé sans solde"),AND(F105="Congé spécial",D105="Férié"),AND(F105="Férié",D105="OFF"),AND(F105="Férié",D105="Congé"),AND(F105="Férié",D105="Congé sans solde"),AND(F105="Férié",D105="Congé spécial")),0,IF(OR(F105="OFF",F105="Congé",F105="Congé spécial",F105="Congé sans solde",D105="OFF",D105="Congé",D105="Congé spécial",D105="Congé sans solde"),0.208333333333334,IF(AND(AG105="",F105-D105&lt;0),("24:00:00"-D105)+("00:00:00"+F105)-0.0416666666666667,IF(AND(OR(AG105="Allaitement",AG105="Sans déjeuner"),F105-D105&lt;0),("24:00:00"-D105)+("00:00:00"+F105),IF(AND(AG105="",F105-D105&gt;0.166666666666667),F105-D105-0.0416666666666667,IF(AND(OR(AG105="Allaitement",AG105="Sans déjeuner"),F105-D105&gt;0.166666666666667),F105-D105,F105-D105)))))))</f>
        <v>0.375</v>
      </c>
      <c r="P105" s="6" t="str">
        <f aca="false">IFERROR(VLOOKUP($B105,Agents!$A:$D,2,0),"-")</f>
        <v>Accessibilité</v>
      </c>
      <c r="Q105" s="21" t="n">
        <v>46007</v>
      </c>
      <c r="R105" s="8" t="n">
        <f aca="false">IF(M105="Abs",O105,0)</f>
        <v>0</v>
      </c>
      <c r="S105" s="8" t="n">
        <f aca="false">SUM(R105,L105,I105,J105,W105,H105)</f>
        <v>0</v>
      </c>
      <c r="T105" s="6" t="str">
        <f aca="false">"Sem - "&amp;WEEKNUM(Q105,21)</f>
        <v>Sem - 51</v>
      </c>
      <c r="U105" s="6" t="str">
        <f aca="false">CHOOSE(MONTH(Q105),"Janvier","Février","Mars","Avril","Mai","Juin","Juillet","Août","Septembre","Octobre","Novembre","Décembre")</f>
        <v>Décembre</v>
      </c>
      <c r="V105" s="22" t="n">
        <f aca="false">YEAR(Q105)</f>
        <v>2025</v>
      </c>
      <c r="W105" s="20"/>
      <c r="X105" s="8" t="n">
        <f aca="false">IFERROR(IF(M105="Abs",0,IF(ROUND((D105-C105+E105-F105)*1440,0)&lt;=1,0,D105-C105+E105-F105)),0)</f>
        <v>0</v>
      </c>
      <c r="Y105" s="6" t="str">
        <f aca="false">IFERROR(VLOOKUP($B105,Agents!$A:$D,3,0),"-")</f>
        <v>OUBRAHIM Mohammed</v>
      </c>
      <c r="Z105" s="6" t="str">
        <f aca="false">IFERROR(VLOOKUP($B105,Agents!$A:$D,4,0),"-")</f>
        <v>Credit Mutuel</v>
      </c>
      <c r="AA105" s="18" t="s">
        <v>78</v>
      </c>
      <c r="AB105" s="8" t="str">
        <f aca="false">IF(AND(D105="Congé",F105="Congé"),0.333333333333333,IF(OR(AND(D105="Congé",F105&lt;&gt;"Congé"),(AND(F105="Congé",D105&lt;&gt;"Congé"))),0.166666666666667,""))</f>
        <v/>
      </c>
      <c r="AC105" s="8" t="str">
        <f aca="false">IF(AND(D105="Congé sans solde",F105="Congé sans solde"),0.333333333333333,IF(OR(AND(D105="Congé sans solde",F105&lt;&gt;"Congé sans solde"),(AND(F105="Congé sans solde",D105&lt;&gt;"Congé sans solde"))),0.166666666666667,""))</f>
        <v/>
      </c>
      <c r="AD105" s="8" t="str">
        <f aca="false">IF(AND(D105="Congé spécial",F105="Congé spécial"),0.333333333333333,IF(OR(AND(D105="Congé spécial",F105&lt;&gt;"Congé spécial"),AND(F105="Congé spécial",D105&lt;&gt;"Congé spécial")),0.166666666666667,""))</f>
        <v/>
      </c>
      <c r="AE105" s="8" t="str">
        <f aca="false">IF(AND(D105="Férié",F105="Férié"),0.333333333333333,IF(OR(AND(D105="Férié",F105&lt;&gt;"Férié"),(AND(F105="Férié",D105&lt;&gt;"Férié"))),0.166666666666667,""))</f>
        <v/>
      </c>
      <c r="AF105" s="18"/>
      <c r="AG105" s="18"/>
    </row>
    <row r="106" customFormat="false" ht="15" hidden="false" customHeight="false" outlineLevel="0" collapsed="false">
      <c r="A106" s="6" t="str">
        <f aca="false">YEAR(Q106-WEEKDAY(Q106,2)+4)&amp;"-S"&amp;TEXT(WEEKNUM(Q106,21),"00")</f>
        <v>2025-S51</v>
      </c>
      <c r="B106" s="18" t="s">
        <v>69</v>
      </c>
      <c r="C106" s="19" t="n">
        <v>0.332638888888889</v>
      </c>
      <c r="D106" s="19" t="n">
        <v>0.333333333333333</v>
      </c>
      <c r="E106" s="19" t="n">
        <v>0.75</v>
      </c>
      <c r="F106" s="19" t="n">
        <v>0.75</v>
      </c>
      <c r="G106" s="20"/>
      <c r="H106" s="20"/>
      <c r="I106" s="8" t="str">
        <f aca="false">IF(IF(OR(C106="",D106="Congé",D106="OFF",D106="Congé spécial"),"",IF(D106&gt;F106,D106-C106,IF(C106-D106&lt;0,0,C106-D106)))&lt;0.00068287037037037,"",IF(OR(D106="Congé",D106="OFF",C106="",D106="Congé spécial"),"",IF(D106&gt;F106,D106-C106,IF(C106-D106&lt;0,0,C106-D106))))</f>
        <v/>
      </c>
      <c r="J106" s="20"/>
      <c r="K106" s="8" t="n">
        <f aca="false">IF(SUM(H106:J106)&lt;0.00068287037037037,0,SUM(H106:J106))</f>
        <v>0</v>
      </c>
      <c r="L106" s="8" t="n">
        <f aca="false">IF(OR(F106="Congé",F106="OFF",M106="Abs",F106="Congé sans solde",F106="Férié",F106="Congé spécial",D106="Congé spécial"),0,IF(F106-E106&lt;0,0,IF(F106-E106&lt;=0.00068287037037037,0,F106-E106)))</f>
        <v>0</v>
      </c>
      <c r="M106" s="6" t="n">
        <f aca="false">IF(AND(O106&lt;&gt;0,C106=""),"Abs",0)</f>
        <v>0</v>
      </c>
      <c r="N106" s="8" t="n">
        <f aca="false">IFERROR(IF(OR(D106="OFF",D106="Congé",M106="Abs",D106="Congé sans solde",D106="Férié"),"",IF(O106-K106-L106&gt;O106,O106,IF(O106-K106-L106&lt;0,"",O106-K106-L106))),"")</f>
        <v>0.375</v>
      </c>
      <c r="O106" s="8" t="n">
        <f aca="false">IF(AG106="2H Pause déjeuner",IF(F106-D106-0.0833333333333333&lt;0,F106-D106-0.0833333333333333+1,F106-D106-0.0833333333333333),IF(OR(AND(F106="OFF",D106="OFF"),AND(F106="Congé",D106="Congé"),AND(F106="Congé sans solde",D106="Congé sans solde"),AND(F106="Congé spécial",D106="Congé spécial"),AND(F106="Férié",D106="Férié"),AND(F106="OFF",D106="Congé"),AND(F106="OFF",D106="Congé sans solde"),AND(F106="OFF",D106="Congé spécial"),AND(F106="OFF",D106="Férié"),AND(F106="Congé",D106="OFF"),AND(F106="Congé",D106="Congé sans solde"),AND(F106="Congé",D106="Congé spécial"),AND(F106="Congé",D106="Férié"),AND(F106="Congé sans solde",D106="OFF"),AND(F106="Congé sans solde",D106="Congé"),AND(F106="Congé sans solde",D106="Congé spécial"),AND(F106="Congé sans solde",D106="Férié"),AND(F106="Congé spécial",D106="OFF"),AND(F106="Congé spécial",D106="Congé"),AND(F106="Congé spécial",D106="Congé sans solde"),AND(F106="Congé spécial",D106="Férié"),AND(F106="Férié",D106="OFF"),AND(F106="Férié",D106="Congé"),AND(F106="Férié",D106="Congé sans solde"),AND(F106="Férié",D106="Congé spécial")),0,IF(OR(F106="OFF",F106="Congé",F106="Congé spécial",F106="Congé sans solde",D106="OFF",D106="Congé",D106="Congé spécial",D106="Congé sans solde"),0.208333333333334,IF(AND(AG106="",F106-D106&lt;0),("24:00:00"-D106)+("00:00:00"+F106)-0.0416666666666667,IF(AND(OR(AG106="Allaitement",AG106="Sans déjeuner"),F106-D106&lt;0),("24:00:00"-D106)+("00:00:00"+F106),IF(AND(AG106="",F106-D106&gt;0.166666666666667),F106-D106-0.0416666666666667,IF(AND(OR(AG106="Allaitement",AG106="Sans déjeuner"),F106-D106&gt;0.166666666666667),F106-D106,F106-D106)))))))</f>
        <v>0.375</v>
      </c>
      <c r="P106" s="6" t="str">
        <f aca="false">IFERROR(VLOOKUP($B106,Agents!$A:$D,2,0),"-")</f>
        <v>Accessibilité</v>
      </c>
      <c r="Q106" s="21" t="n">
        <v>46008</v>
      </c>
      <c r="R106" s="8" t="n">
        <f aca="false">IF(M106="Abs",O106,0)</f>
        <v>0</v>
      </c>
      <c r="S106" s="8" t="n">
        <f aca="false">SUM(R106,L106,I106,J106,W106,H106)</f>
        <v>0</v>
      </c>
      <c r="T106" s="6" t="str">
        <f aca="false">"Sem - "&amp;WEEKNUM(Q106,21)</f>
        <v>Sem - 51</v>
      </c>
      <c r="U106" s="6" t="str">
        <f aca="false">CHOOSE(MONTH(Q106),"Janvier","Février","Mars","Avril","Mai","Juin","Juillet","Août","Septembre","Octobre","Novembre","Décembre")</f>
        <v>Décembre</v>
      </c>
      <c r="V106" s="22" t="n">
        <f aca="false">YEAR(Q106)</f>
        <v>2025</v>
      </c>
      <c r="W106" s="20"/>
      <c r="X106" s="8" t="n">
        <f aca="false">IFERROR(IF(M106="Abs",0,IF(ROUND((D106-C106+E106-F106)*1440,0)&lt;=1,0,D106-C106+E106-F106)),0)</f>
        <v>0</v>
      </c>
      <c r="Y106" s="6" t="str">
        <f aca="false">IFERROR(VLOOKUP($B106,Agents!$A:$D,3,0),"-")</f>
        <v>OUBRAHIM Mohammed</v>
      </c>
      <c r="Z106" s="6" t="str">
        <f aca="false">IFERROR(VLOOKUP($B106,Agents!$A:$D,4,0),"-")</f>
        <v>Credit Mutuel</v>
      </c>
      <c r="AA106" s="18" t="s">
        <v>78</v>
      </c>
      <c r="AB106" s="8" t="str">
        <f aca="false">IF(AND(D106="Congé",F106="Congé"),0.333333333333333,IF(OR(AND(D106="Congé",F106&lt;&gt;"Congé"),(AND(F106="Congé",D106&lt;&gt;"Congé"))),0.166666666666667,""))</f>
        <v/>
      </c>
      <c r="AC106" s="8" t="str">
        <f aca="false">IF(AND(D106="Congé sans solde",F106="Congé sans solde"),0.333333333333333,IF(OR(AND(D106="Congé sans solde",F106&lt;&gt;"Congé sans solde"),(AND(F106="Congé sans solde",D106&lt;&gt;"Congé sans solde"))),0.166666666666667,""))</f>
        <v/>
      </c>
      <c r="AD106" s="8" t="str">
        <f aca="false">IF(AND(D106="Congé spécial",F106="Congé spécial"),0.333333333333333,IF(OR(AND(D106="Congé spécial",F106&lt;&gt;"Congé spécial"),AND(F106="Congé spécial",D106&lt;&gt;"Congé spécial")),0.166666666666667,""))</f>
        <v/>
      </c>
      <c r="AE106" s="8" t="str">
        <f aca="false">IF(AND(D106="Férié",F106="Férié"),0.333333333333333,IF(OR(AND(D106="Férié",F106&lt;&gt;"Férié"),(AND(F106="Férié",D106&lt;&gt;"Férié"))),0.166666666666667,""))</f>
        <v/>
      </c>
      <c r="AF106" s="18"/>
      <c r="AG106" s="18"/>
    </row>
    <row r="107" customFormat="false" ht="15" hidden="false" customHeight="false" outlineLevel="0" collapsed="false">
      <c r="A107" s="6" t="str">
        <f aca="false">YEAR(Q107-WEEKDAY(Q107,2)+4)&amp;"-S"&amp;TEXT(WEEKNUM(Q107,21),"00")</f>
        <v>2025-S51</v>
      </c>
      <c r="B107" s="18" t="s">
        <v>71</v>
      </c>
      <c r="C107" s="19" t="n">
        <v>0.332638888888889</v>
      </c>
      <c r="D107" s="19" t="n">
        <v>0.333333333333333</v>
      </c>
      <c r="E107" s="19" t="n">
        <v>0.75</v>
      </c>
      <c r="F107" s="19" t="n">
        <v>0.75</v>
      </c>
      <c r="G107" s="20"/>
      <c r="H107" s="20"/>
      <c r="I107" s="8" t="str">
        <f aca="false">IF(IF(OR(C107="",D107="Congé",D107="OFF",D107="Congé spécial"),"",IF(D107&gt;F107,D107-C107,IF(C107-D107&lt;0,0,C107-D107)))&lt;0.00068287037037037,"",IF(OR(D107="Congé",D107="OFF",C107="",D107="Congé spécial"),"",IF(D107&gt;F107,D107-C107,IF(C107-D107&lt;0,0,C107-D107))))</f>
        <v/>
      </c>
      <c r="J107" s="20"/>
      <c r="K107" s="8" t="n">
        <f aca="false">IF(SUM(H107:J107)&lt;0.00068287037037037,0,SUM(H107:J107))</f>
        <v>0</v>
      </c>
      <c r="L107" s="8" t="n">
        <f aca="false">IF(OR(F107="Congé",F107="OFF",M107="Abs",F107="Congé sans solde",F107="Férié",F107="Congé spécial",D107="Congé spécial"),0,IF(F107-E107&lt;0,0,IF(F107-E107&lt;=0.00068287037037037,0,F107-E107)))</f>
        <v>0</v>
      </c>
      <c r="M107" s="6" t="n">
        <f aca="false">IF(AND(O107&lt;&gt;0,C107=""),"Abs",0)</f>
        <v>0</v>
      </c>
      <c r="N107" s="8" t="n">
        <f aca="false">IFERROR(IF(OR(D107="OFF",D107="Congé",M107="Abs",D107="Congé sans solde",D107="Férié"),"",IF(O107-K107-L107&gt;O107,O107,IF(O107-K107-L107&lt;0,"",O107-K107-L107))),"")</f>
        <v>0.375</v>
      </c>
      <c r="O107" s="8" t="n">
        <f aca="false">IF(AG107="2H Pause déjeuner",IF(F107-D107-0.0833333333333333&lt;0,F107-D107-0.0833333333333333+1,F107-D107-0.0833333333333333),IF(OR(AND(F107="OFF",D107="OFF"),AND(F107="Congé",D107="Congé"),AND(F107="Congé sans solde",D107="Congé sans solde"),AND(F107="Congé spécial",D107="Congé spécial"),AND(F107="Férié",D107="Férié"),AND(F107="OFF",D107="Congé"),AND(F107="OFF",D107="Congé sans solde"),AND(F107="OFF",D107="Congé spécial"),AND(F107="OFF",D107="Férié"),AND(F107="Congé",D107="OFF"),AND(F107="Congé",D107="Congé sans solde"),AND(F107="Congé",D107="Congé spécial"),AND(F107="Congé",D107="Férié"),AND(F107="Congé sans solde",D107="OFF"),AND(F107="Congé sans solde",D107="Congé"),AND(F107="Congé sans solde",D107="Congé spécial"),AND(F107="Congé sans solde",D107="Férié"),AND(F107="Congé spécial",D107="OFF"),AND(F107="Congé spécial",D107="Congé"),AND(F107="Congé spécial",D107="Congé sans solde"),AND(F107="Congé spécial",D107="Férié"),AND(F107="Férié",D107="OFF"),AND(F107="Férié",D107="Congé"),AND(F107="Férié",D107="Congé sans solde"),AND(F107="Férié",D107="Congé spécial")),0,IF(OR(F107="OFF",F107="Congé",F107="Congé spécial",F107="Congé sans solde",D107="OFF",D107="Congé",D107="Congé spécial",D107="Congé sans solde"),0.208333333333334,IF(AND(AG107="",F107-D107&lt;0),("24:00:00"-D107)+("00:00:00"+F107)-0.0416666666666667,IF(AND(OR(AG107="Allaitement",AG107="Sans déjeuner"),F107-D107&lt;0),("24:00:00"-D107)+("00:00:00"+F107),IF(AND(AG107="",F107-D107&gt;0.166666666666667),F107-D107-0.0416666666666667,IF(AND(OR(AG107="Allaitement",AG107="Sans déjeuner"),F107-D107&gt;0.166666666666667),F107-D107,F107-D107)))))))</f>
        <v>0.375</v>
      </c>
      <c r="P107" s="6" t="str">
        <f aca="false">IFERROR(VLOOKUP($B107,Agents!$A:$D,2,0),"-")</f>
        <v>Accessibilité</v>
      </c>
      <c r="Q107" s="21" t="n">
        <v>46008</v>
      </c>
      <c r="R107" s="8" t="n">
        <f aca="false">IF(M107="Abs",O107,0)</f>
        <v>0</v>
      </c>
      <c r="S107" s="8" t="n">
        <f aca="false">SUM(R107,L107,I107,J107,W107,H107)</f>
        <v>0</v>
      </c>
      <c r="T107" s="6" t="str">
        <f aca="false">"Sem - "&amp;WEEKNUM(Q107,21)</f>
        <v>Sem - 51</v>
      </c>
      <c r="U107" s="6" t="str">
        <f aca="false">CHOOSE(MONTH(Q107),"Janvier","Février","Mars","Avril","Mai","Juin","Juillet","Août","Septembre","Octobre","Novembre","Décembre")</f>
        <v>Décembre</v>
      </c>
      <c r="V107" s="22" t="n">
        <f aca="false">YEAR(Q107)</f>
        <v>2025</v>
      </c>
      <c r="W107" s="20"/>
      <c r="X107" s="8" t="n">
        <f aca="false">IFERROR(IF(M107="Abs",0,IF(ROUND((D107-C107+E107-F107)*1440,0)&lt;=1,0,D107-C107+E107-F107)),0)</f>
        <v>0</v>
      </c>
      <c r="Y107" s="6" t="str">
        <f aca="false">IFERROR(VLOOKUP($B107,Agents!$A:$D,3,0),"-")</f>
        <v>OUBRAHIM Mohammed</v>
      </c>
      <c r="Z107" s="6" t="str">
        <f aca="false">IFERROR(VLOOKUP($B107,Agents!$A:$D,4,0),"-")</f>
        <v>Credit Mutuel</v>
      </c>
      <c r="AA107" s="18" t="s">
        <v>78</v>
      </c>
      <c r="AB107" s="8" t="str">
        <f aca="false">IF(AND(D107="Congé",F107="Congé"),0.333333333333333,IF(OR(AND(D107="Congé",F107&lt;&gt;"Congé"),(AND(F107="Congé",D107&lt;&gt;"Congé"))),0.166666666666667,""))</f>
        <v/>
      </c>
      <c r="AC107" s="8" t="str">
        <f aca="false">IF(AND(D107="Congé sans solde",F107="Congé sans solde"),0.333333333333333,IF(OR(AND(D107="Congé sans solde",F107&lt;&gt;"Congé sans solde"),(AND(F107="Congé sans solde",D107&lt;&gt;"Congé sans solde"))),0.166666666666667,""))</f>
        <v/>
      </c>
      <c r="AD107" s="8" t="str">
        <f aca="false">IF(AND(D107="Congé spécial",F107="Congé spécial"),0.333333333333333,IF(OR(AND(D107="Congé spécial",F107&lt;&gt;"Congé spécial"),AND(F107="Congé spécial",D107&lt;&gt;"Congé spécial")),0.166666666666667,""))</f>
        <v/>
      </c>
      <c r="AE107" s="8" t="str">
        <f aca="false">IF(AND(D107="Férié",F107="Férié"),0.333333333333333,IF(OR(AND(D107="Férié",F107&lt;&gt;"Férié"),(AND(F107="Férié",D107&lt;&gt;"Férié"))),0.166666666666667,""))</f>
        <v/>
      </c>
      <c r="AF107" s="18"/>
      <c r="AG107" s="18"/>
    </row>
    <row r="108" customFormat="false" ht="15" hidden="false" customHeight="false" outlineLevel="0" collapsed="false">
      <c r="A108" s="6" t="str">
        <f aca="false">YEAR(Q108-WEEKDAY(Q108,2)+4)&amp;"-S"&amp;TEXT(WEEKNUM(Q108,21),"00")</f>
        <v>2025-S51</v>
      </c>
      <c r="B108" s="18" t="s">
        <v>72</v>
      </c>
      <c r="C108" s="19" t="n">
        <v>0.332638888888889</v>
      </c>
      <c r="D108" s="19" t="n">
        <v>0.333333333333333</v>
      </c>
      <c r="E108" s="19" t="n">
        <v>0.75</v>
      </c>
      <c r="F108" s="19" t="n">
        <v>0.75</v>
      </c>
      <c r="G108" s="20"/>
      <c r="H108" s="20"/>
      <c r="I108" s="8" t="str">
        <f aca="false">IF(IF(OR(C108="",D108="Congé",D108="OFF",D108="Congé spécial"),"",IF(D108&gt;F108,D108-C108,IF(C108-D108&lt;0,0,C108-D108)))&lt;0.00068287037037037,"",IF(OR(D108="Congé",D108="OFF",C108="",D108="Congé spécial"),"",IF(D108&gt;F108,D108-C108,IF(C108-D108&lt;0,0,C108-D108))))</f>
        <v/>
      </c>
      <c r="J108" s="20"/>
      <c r="K108" s="8" t="n">
        <f aca="false">IF(SUM(H108:J108)&lt;0.00068287037037037,0,SUM(H108:J108))</f>
        <v>0</v>
      </c>
      <c r="L108" s="8" t="n">
        <f aca="false">IF(OR(F108="Congé",F108="OFF",M108="Abs",F108="Congé sans solde",F108="Férié",F108="Congé spécial",D108="Congé spécial"),0,IF(F108-E108&lt;0,0,IF(F108-E108&lt;=0.00068287037037037,0,F108-E108)))</f>
        <v>0</v>
      </c>
      <c r="M108" s="6" t="n">
        <f aca="false">IF(AND(O108&lt;&gt;0,C108=""),"Abs",0)</f>
        <v>0</v>
      </c>
      <c r="N108" s="8" t="n">
        <f aca="false">IFERROR(IF(OR(D108="OFF",D108="Congé",M108="Abs",D108="Congé sans solde",D108="Férié"),"",IF(O108-K108-L108&gt;O108,O108,IF(O108-K108-L108&lt;0,"",O108-K108-L108))),"")</f>
        <v>0.375</v>
      </c>
      <c r="O108" s="8" t="n">
        <f aca="false">IF(AG108="2H Pause déjeuner",IF(F108-D108-0.0833333333333333&lt;0,F108-D108-0.0833333333333333+1,F108-D108-0.0833333333333333),IF(OR(AND(F108="OFF",D108="OFF"),AND(F108="Congé",D108="Congé"),AND(F108="Congé sans solde",D108="Congé sans solde"),AND(F108="Congé spécial",D108="Congé spécial"),AND(F108="Férié",D108="Férié"),AND(F108="OFF",D108="Congé"),AND(F108="OFF",D108="Congé sans solde"),AND(F108="OFF",D108="Congé spécial"),AND(F108="OFF",D108="Férié"),AND(F108="Congé",D108="OFF"),AND(F108="Congé",D108="Congé sans solde"),AND(F108="Congé",D108="Congé spécial"),AND(F108="Congé",D108="Férié"),AND(F108="Congé sans solde",D108="OFF"),AND(F108="Congé sans solde",D108="Congé"),AND(F108="Congé sans solde",D108="Congé spécial"),AND(F108="Congé sans solde",D108="Férié"),AND(F108="Congé spécial",D108="OFF"),AND(F108="Congé spécial",D108="Congé"),AND(F108="Congé spécial",D108="Congé sans solde"),AND(F108="Congé spécial",D108="Férié"),AND(F108="Férié",D108="OFF"),AND(F108="Férié",D108="Congé"),AND(F108="Férié",D108="Congé sans solde"),AND(F108="Férié",D108="Congé spécial")),0,IF(OR(F108="OFF",F108="Congé",F108="Congé spécial",F108="Congé sans solde",D108="OFF",D108="Congé",D108="Congé spécial",D108="Congé sans solde"),0.208333333333334,IF(AND(AG108="",F108-D108&lt;0),("24:00:00"-D108)+("00:00:00"+F108)-0.0416666666666667,IF(AND(OR(AG108="Allaitement",AG108="Sans déjeuner"),F108-D108&lt;0),("24:00:00"-D108)+("00:00:00"+F108),IF(AND(AG108="",F108-D108&gt;0.166666666666667),F108-D108-0.0416666666666667,IF(AND(OR(AG108="Allaitement",AG108="Sans déjeuner"),F108-D108&gt;0.166666666666667),F108-D108,F108-D108)))))))</f>
        <v>0.375</v>
      </c>
      <c r="P108" s="6" t="str">
        <f aca="false">IFERROR(VLOOKUP($B108,Agents!$A:$D,2,0),"-")</f>
        <v>Accessibilité</v>
      </c>
      <c r="Q108" s="21" t="n">
        <v>46008</v>
      </c>
      <c r="R108" s="8" t="n">
        <f aca="false">IF(M108="Abs",O108,0)</f>
        <v>0</v>
      </c>
      <c r="S108" s="8" t="n">
        <f aca="false">SUM(R108,L108,I108,J108,W108,H108)</f>
        <v>0</v>
      </c>
      <c r="T108" s="6" t="str">
        <f aca="false">"Sem - "&amp;WEEKNUM(Q108,21)</f>
        <v>Sem - 51</v>
      </c>
      <c r="U108" s="6" t="str">
        <f aca="false">CHOOSE(MONTH(Q108),"Janvier","Février","Mars","Avril","Mai","Juin","Juillet","Août","Septembre","Octobre","Novembre","Décembre")</f>
        <v>Décembre</v>
      </c>
      <c r="V108" s="22" t="n">
        <f aca="false">YEAR(Q108)</f>
        <v>2025</v>
      </c>
      <c r="W108" s="20"/>
      <c r="X108" s="8" t="n">
        <f aca="false">IFERROR(IF(M108="Abs",0,IF(ROUND((D108-C108+E108-F108)*1440,0)&lt;=1,0,D108-C108+E108-F108)),0)</f>
        <v>0</v>
      </c>
      <c r="Y108" s="6" t="str">
        <f aca="false">IFERROR(VLOOKUP($B108,Agents!$A:$D,3,0),"-")</f>
        <v>OUBRAHIM Mohammed</v>
      </c>
      <c r="Z108" s="6" t="str">
        <f aca="false">IFERROR(VLOOKUP($B108,Agents!$A:$D,4,0),"-")</f>
        <v>Credit Mutuel</v>
      </c>
      <c r="AA108" s="18" t="s">
        <v>78</v>
      </c>
      <c r="AB108" s="8" t="str">
        <f aca="false">IF(AND(D108="Congé",F108="Congé"),0.333333333333333,IF(OR(AND(D108="Congé",F108&lt;&gt;"Congé"),(AND(F108="Congé",D108&lt;&gt;"Congé"))),0.166666666666667,""))</f>
        <v/>
      </c>
      <c r="AC108" s="8" t="str">
        <f aca="false">IF(AND(D108="Congé sans solde",F108="Congé sans solde"),0.333333333333333,IF(OR(AND(D108="Congé sans solde",F108&lt;&gt;"Congé sans solde"),(AND(F108="Congé sans solde",D108&lt;&gt;"Congé sans solde"))),0.166666666666667,""))</f>
        <v/>
      </c>
      <c r="AD108" s="8" t="str">
        <f aca="false">IF(AND(D108="Congé spécial",F108="Congé spécial"),0.333333333333333,IF(OR(AND(D108="Congé spécial",F108&lt;&gt;"Congé spécial"),AND(F108="Congé spécial",D108&lt;&gt;"Congé spécial")),0.166666666666667,""))</f>
        <v/>
      </c>
      <c r="AE108" s="8" t="str">
        <f aca="false">IF(AND(D108="Férié",F108="Férié"),0.333333333333333,IF(OR(AND(D108="Férié",F108&lt;&gt;"Férié"),(AND(F108="Férié",D108&lt;&gt;"Férié"))),0.166666666666667,""))</f>
        <v/>
      </c>
      <c r="AF108" s="18"/>
      <c r="AG108" s="18"/>
    </row>
    <row r="109" customFormat="false" ht="15" hidden="false" customHeight="false" outlineLevel="0" collapsed="false">
      <c r="A109" s="6" t="str">
        <f aca="false">YEAR(Q109-WEEKDAY(Q109,2)+4)&amp;"-S"&amp;TEXT(WEEKNUM(Q109,21),"00")</f>
        <v>2025-S51</v>
      </c>
      <c r="B109" s="18" t="s">
        <v>73</v>
      </c>
      <c r="C109" s="19" t="n">
        <v>0.331944444444444</v>
      </c>
      <c r="D109" s="19" t="n">
        <v>0.333333333333333</v>
      </c>
      <c r="E109" s="19" t="n">
        <v>0.75</v>
      </c>
      <c r="F109" s="19" t="n">
        <v>0.75</v>
      </c>
      <c r="G109" s="20"/>
      <c r="H109" s="20"/>
      <c r="I109" s="8" t="str">
        <f aca="false">IF(IF(OR(C109="",D109="Congé",D109="OFF",D109="Congé spécial"),"",IF(D109&gt;F109,D109-C109,IF(C109-D109&lt;0,0,C109-D109)))&lt;0.00068287037037037,"",IF(OR(D109="Congé",D109="OFF",C109="",D109="Congé spécial"),"",IF(D109&gt;F109,D109-C109,IF(C109-D109&lt;0,0,C109-D109))))</f>
        <v/>
      </c>
      <c r="J109" s="20"/>
      <c r="K109" s="8" t="n">
        <f aca="false">IF(SUM(H109:J109)&lt;0.00068287037037037,0,SUM(H109:J109))</f>
        <v>0</v>
      </c>
      <c r="L109" s="8" t="n">
        <f aca="false">IF(OR(F109="Congé",F109="OFF",M109="Abs",F109="Congé sans solde",F109="Férié",F109="Congé spécial",D109="Congé spécial"),0,IF(F109-E109&lt;0,0,IF(F109-E109&lt;=0.00068287037037037,0,F109-E109)))</f>
        <v>0</v>
      </c>
      <c r="M109" s="6" t="n">
        <f aca="false">IF(AND(O109&lt;&gt;0,C109=""),"Abs",0)</f>
        <v>0</v>
      </c>
      <c r="N109" s="8" t="n">
        <f aca="false">IFERROR(IF(OR(D109="OFF",D109="Congé",M109="Abs",D109="Congé sans solde",D109="Férié"),"",IF(O109-K109-L109&gt;O109,O109,IF(O109-K109-L109&lt;0,"",O109-K109-L109))),"")</f>
        <v>0.375</v>
      </c>
      <c r="O109" s="8" t="n">
        <f aca="false">IF(AG109="2H Pause déjeuner",IF(F109-D109-0.0833333333333333&lt;0,F109-D109-0.0833333333333333+1,F109-D109-0.0833333333333333),IF(OR(AND(F109="OFF",D109="OFF"),AND(F109="Congé",D109="Congé"),AND(F109="Congé sans solde",D109="Congé sans solde"),AND(F109="Congé spécial",D109="Congé spécial"),AND(F109="Férié",D109="Férié"),AND(F109="OFF",D109="Congé"),AND(F109="OFF",D109="Congé sans solde"),AND(F109="OFF",D109="Congé spécial"),AND(F109="OFF",D109="Férié"),AND(F109="Congé",D109="OFF"),AND(F109="Congé",D109="Congé sans solde"),AND(F109="Congé",D109="Congé spécial"),AND(F109="Congé",D109="Férié"),AND(F109="Congé sans solde",D109="OFF"),AND(F109="Congé sans solde",D109="Congé"),AND(F109="Congé sans solde",D109="Congé spécial"),AND(F109="Congé sans solde",D109="Férié"),AND(F109="Congé spécial",D109="OFF"),AND(F109="Congé spécial",D109="Congé"),AND(F109="Congé spécial",D109="Congé sans solde"),AND(F109="Congé spécial",D109="Férié"),AND(F109="Férié",D109="OFF"),AND(F109="Férié",D109="Congé"),AND(F109="Férié",D109="Congé sans solde"),AND(F109="Férié",D109="Congé spécial")),0,IF(OR(F109="OFF",F109="Congé",F109="Congé spécial",F109="Congé sans solde",D109="OFF",D109="Congé",D109="Congé spécial",D109="Congé sans solde"),0.208333333333334,IF(AND(AG109="",F109-D109&lt;0),("24:00:00"-D109)+("00:00:00"+F109)-0.0416666666666667,IF(AND(OR(AG109="Allaitement",AG109="Sans déjeuner"),F109-D109&lt;0),("24:00:00"-D109)+("00:00:00"+F109),IF(AND(AG109="",F109-D109&gt;0.166666666666667),F109-D109-0.0416666666666667,IF(AND(OR(AG109="Allaitement",AG109="Sans déjeuner"),F109-D109&gt;0.166666666666667),F109-D109,F109-D109)))))))</f>
        <v>0.375</v>
      </c>
      <c r="P109" s="6" t="str">
        <f aca="false">IFERROR(VLOOKUP($B109,Agents!$A:$D,2,0),"-")</f>
        <v>Accessibilité</v>
      </c>
      <c r="Q109" s="21" t="n">
        <v>46008</v>
      </c>
      <c r="R109" s="8" t="n">
        <f aca="false">IF(M109="Abs",O109,0)</f>
        <v>0</v>
      </c>
      <c r="S109" s="8" t="n">
        <f aca="false">SUM(R109,L109,I109,J109,W109,H109)</f>
        <v>0</v>
      </c>
      <c r="T109" s="6" t="str">
        <f aca="false">"Sem - "&amp;WEEKNUM(Q109,21)</f>
        <v>Sem - 51</v>
      </c>
      <c r="U109" s="6" t="str">
        <f aca="false">CHOOSE(MONTH(Q109),"Janvier","Février","Mars","Avril","Mai","Juin","Juillet","Août","Septembre","Octobre","Novembre","Décembre")</f>
        <v>Décembre</v>
      </c>
      <c r="V109" s="22" t="n">
        <f aca="false">YEAR(Q109)</f>
        <v>2025</v>
      </c>
      <c r="W109" s="20"/>
      <c r="X109" s="8" t="n">
        <f aca="false">IFERROR(IF(M109="Abs",0,IF(ROUND((D109-C109+E109-F109)*1440,0)&lt;=1,0,D109-C109+E109-F109)),0)</f>
        <v>0.00138888888888889</v>
      </c>
      <c r="Y109" s="6" t="str">
        <f aca="false">IFERROR(VLOOKUP($B109,Agents!$A:$D,3,0),"-")</f>
        <v>OUBRAHIM Mohammed</v>
      </c>
      <c r="Z109" s="6" t="str">
        <f aca="false">IFERROR(VLOOKUP($B109,Agents!$A:$D,4,0),"-")</f>
        <v>Credit Mutuel</v>
      </c>
      <c r="AA109" s="18" t="s">
        <v>78</v>
      </c>
      <c r="AB109" s="8" t="str">
        <f aca="false">IF(AND(D109="Congé",F109="Congé"),0.333333333333333,IF(OR(AND(D109="Congé",F109&lt;&gt;"Congé"),(AND(F109="Congé",D109&lt;&gt;"Congé"))),0.166666666666667,""))</f>
        <v/>
      </c>
      <c r="AC109" s="8" t="str">
        <f aca="false">IF(AND(D109="Congé sans solde",F109="Congé sans solde"),0.333333333333333,IF(OR(AND(D109="Congé sans solde",F109&lt;&gt;"Congé sans solde"),(AND(F109="Congé sans solde",D109&lt;&gt;"Congé sans solde"))),0.166666666666667,""))</f>
        <v/>
      </c>
      <c r="AD109" s="8" t="str">
        <f aca="false">IF(AND(D109="Congé spécial",F109="Congé spécial"),0.333333333333333,IF(OR(AND(D109="Congé spécial",F109&lt;&gt;"Congé spécial"),AND(F109="Congé spécial",D109&lt;&gt;"Congé spécial")),0.166666666666667,""))</f>
        <v/>
      </c>
      <c r="AE109" s="8" t="str">
        <f aca="false">IF(AND(D109="Férié",F109="Férié"),0.333333333333333,IF(OR(AND(D109="Férié",F109&lt;&gt;"Férié"),(AND(F109="Férié",D109&lt;&gt;"Férié"))),0.166666666666667,""))</f>
        <v/>
      </c>
      <c r="AF109" s="18"/>
      <c r="AG109" s="18"/>
    </row>
    <row r="110" customFormat="false" ht="15" hidden="false" customHeight="false" outlineLevel="0" collapsed="false">
      <c r="A110" s="6" t="str">
        <f aca="false">YEAR(Q110-WEEKDAY(Q110,2)+4)&amp;"-S"&amp;TEXT(WEEKNUM(Q110,21),"00")</f>
        <v>2025-S51</v>
      </c>
      <c r="B110" s="18" t="s">
        <v>69</v>
      </c>
      <c r="C110" s="19" t="n">
        <v>0.333333333333333</v>
      </c>
      <c r="D110" s="19" t="n">
        <v>0.333333333333333</v>
      </c>
      <c r="E110" s="19" t="n">
        <v>0.75</v>
      </c>
      <c r="F110" s="19" t="n">
        <v>0.75</v>
      </c>
      <c r="G110" s="20"/>
      <c r="H110" s="20"/>
      <c r="I110" s="8" t="str">
        <f aca="false">IF(IF(OR(C110="",D110="Congé",D110="OFF",D110="Congé spécial"),"",IF(D110&gt;F110,D110-C110,IF(C110-D110&lt;0,0,C110-D110)))&lt;0.00068287037037037,"",IF(OR(D110="Congé",D110="OFF",C110="",D110="Congé spécial"),"",IF(D110&gt;F110,D110-C110,IF(C110-D110&lt;0,0,C110-D110))))</f>
        <v/>
      </c>
      <c r="J110" s="20"/>
      <c r="K110" s="8" t="n">
        <f aca="false">IF(SUM(H110:J110)&lt;0.00068287037037037,0,SUM(H110:J110))</f>
        <v>0</v>
      </c>
      <c r="L110" s="8" t="n">
        <f aca="false">IF(OR(F110="Congé",F110="OFF",M110="Abs",F110="Congé sans solde",F110="Férié",F110="Congé spécial",D110="Congé spécial"),0,IF(F110-E110&lt;0,0,IF(F110-E110&lt;=0.00068287037037037,0,F110-E110)))</f>
        <v>0</v>
      </c>
      <c r="M110" s="6" t="n">
        <f aca="false">IF(AND(O110&lt;&gt;0,C110=""),"Abs",0)</f>
        <v>0</v>
      </c>
      <c r="N110" s="8" t="n">
        <f aca="false">IFERROR(IF(OR(D110="OFF",D110="Congé",M110="Abs",D110="Congé sans solde",D110="Férié"),"",IF(O110-K110-L110&gt;O110,O110,IF(O110-K110-L110&lt;0,"",O110-K110-L110))),"")</f>
        <v>0.375</v>
      </c>
      <c r="O110" s="8" t="n">
        <f aca="false">IF(AG110="2H Pause déjeuner",IF(F110-D110-0.0833333333333333&lt;0,F110-D110-0.0833333333333333+1,F110-D110-0.0833333333333333),IF(OR(AND(F110="OFF",D110="OFF"),AND(F110="Congé",D110="Congé"),AND(F110="Congé sans solde",D110="Congé sans solde"),AND(F110="Congé spécial",D110="Congé spécial"),AND(F110="Férié",D110="Férié"),AND(F110="OFF",D110="Congé"),AND(F110="OFF",D110="Congé sans solde"),AND(F110="OFF",D110="Congé spécial"),AND(F110="OFF",D110="Férié"),AND(F110="Congé",D110="OFF"),AND(F110="Congé",D110="Congé sans solde"),AND(F110="Congé",D110="Congé spécial"),AND(F110="Congé",D110="Férié"),AND(F110="Congé sans solde",D110="OFF"),AND(F110="Congé sans solde",D110="Congé"),AND(F110="Congé sans solde",D110="Congé spécial"),AND(F110="Congé sans solde",D110="Férié"),AND(F110="Congé spécial",D110="OFF"),AND(F110="Congé spécial",D110="Congé"),AND(F110="Congé spécial",D110="Congé sans solde"),AND(F110="Congé spécial",D110="Férié"),AND(F110="Férié",D110="OFF"),AND(F110="Férié",D110="Congé"),AND(F110="Férié",D110="Congé sans solde"),AND(F110="Férié",D110="Congé spécial")),0,IF(OR(F110="OFF",F110="Congé",F110="Congé spécial",F110="Congé sans solde",D110="OFF",D110="Congé",D110="Congé spécial",D110="Congé sans solde"),0.208333333333334,IF(AND(AG110="",F110-D110&lt;0),("24:00:00"-D110)+("00:00:00"+F110)-0.0416666666666667,IF(AND(OR(AG110="Allaitement",AG110="Sans déjeuner"),F110-D110&lt;0),("24:00:00"-D110)+("00:00:00"+F110),IF(AND(AG110="",F110-D110&gt;0.166666666666667),F110-D110-0.0416666666666667,IF(AND(OR(AG110="Allaitement",AG110="Sans déjeuner"),F110-D110&gt;0.166666666666667),F110-D110,F110-D110)))))))</f>
        <v>0.375</v>
      </c>
      <c r="P110" s="6" t="str">
        <f aca="false">IFERROR(VLOOKUP($B110,Agents!$A:$D,2,0),"-")</f>
        <v>Accessibilité</v>
      </c>
      <c r="Q110" s="21" t="n">
        <v>46009</v>
      </c>
      <c r="R110" s="8" t="n">
        <f aca="false">IF(M110="Abs",O110,0)</f>
        <v>0</v>
      </c>
      <c r="S110" s="8" t="n">
        <f aca="false">SUM(R110,L110,I110,J110,W110,H110)</f>
        <v>0</v>
      </c>
      <c r="T110" s="6" t="str">
        <f aca="false">"Sem - "&amp;WEEKNUM(Q110,21)</f>
        <v>Sem - 51</v>
      </c>
      <c r="U110" s="6" t="str">
        <f aca="false">CHOOSE(MONTH(Q110),"Janvier","Février","Mars","Avril","Mai","Juin","Juillet","Août","Septembre","Octobre","Novembre","Décembre")</f>
        <v>Décembre</v>
      </c>
      <c r="V110" s="22" t="n">
        <f aca="false">YEAR(Q110)</f>
        <v>2025</v>
      </c>
      <c r="W110" s="20"/>
      <c r="X110" s="8" t="n">
        <f aca="false">IFERROR(IF(M110="Abs",0,IF(ROUND((D110-C110+E110-F110)*1440,0)&lt;=1,0,D110-C110+E110-F110)),0)</f>
        <v>0</v>
      </c>
      <c r="Y110" s="6" t="str">
        <f aca="false">IFERROR(VLOOKUP($B110,Agents!$A:$D,3,0),"-")</f>
        <v>OUBRAHIM Mohammed</v>
      </c>
      <c r="Z110" s="6" t="str">
        <f aca="false">IFERROR(VLOOKUP($B110,Agents!$A:$D,4,0),"-")</f>
        <v>Credit Mutuel</v>
      </c>
      <c r="AA110" s="18" t="s">
        <v>78</v>
      </c>
      <c r="AB110" s="8" t="str">
        <f aca="false">IF(AND(D110="Congé",F110="Congé"),0.333333333333333,IF(OR(AND(D110="Congé",F110&lt;&gt;"Congé"),(AND(F110="Congé",D110&lt;&gt;"Congé"))),0.166666666666667,""))</f>
        <v/>
      </c>
      <c r="AC110" s="8" t="str">
        <f aca="false">IF(AND(D110="Congé sans solde",F110="Congé sans solde"),0.333333333333333,IF(OR(AND(D110="Congé sans solde",F110&lt;&gt;"Congé sans solde"),(AND(F110="Congé sans solde",D110&lt;&gt;"Congé sans solde"))),0.166666666666667,""))</f>
        <v/>
      </c>
      <c r="AD110" s="8" t="str">
        <f aca="false">IF(AND(D110="Congé spécial",F110="Congé spécial"),0.333333333333333,IF(OR(AND(D110="Congé spécial",F110&lt;&gt;"Congé spécial"),AND(F110="Congé spécial",D110&lt;&gt;"Congé spécial")),0.166666666666667,""))</f>
        <v/>
      </c>
      <c r="AE110" s="8" t="str">
        <f aca="false">IF(AND(D110="Férié",F110="Férié"),0.333333333333333,IF(OR(AND(D110="Férié",F110&lt;&gt;"Férié"),(AND(F110="Férié",D110&lt;&gt;"Férié"))),0.166666666666667,""))</f>
        <v/>
      </c>
      <c r="AF110" s="18"/>
      <c r="AG110" s="18"/>
    </row>
    <row r="111" customFormat="false" ht="15" hidden="false" customHeight="false" outlineLevel="0" collapsed="false">
      <c r="A111" s="6" t="str">
        <f aca="false">YEAR(Q111-WEEKDAY(Q111,2)+4)&amp;"-S"&amp;TEXT(WEEKNUM(Q111,21),"00")</f>
        <v>2025-S51</v>
      </c>
      <c r="B111" s="18" t="s">
        <v>71</v>
      </c>
      <c r="C111" s="19" t="n">
        <v>0.332638888888889</v>
      </c>
      <c r="D111" s="19" t="n">
        <v>0.333333333333333</v>
      </c>
      <c r="E111" s="19" t="n">
        <v>0.75</v>
      </c>
      <c r="F111" s="19" t="n">
        <v>0.75</v>
      </c>
      <c r="G111" s="20"/>
      <c r="H111" s="20"/>
      <c r="I111" s="8" t="str">
        <f aca="false">IF(IF(OR(C111="",D111="Congé",D111="OFF",D111="Congé spécial"),"",IF(D111&gt;F111,D111-C111,IF(C111-D111&lt;0,0,C111-D111)))&lt;0.00068287037037037,"",IF(OR(D111="Congé",D111="OFF",C111="",D111="Congé spécial"),"",IF(D111&gt;F111,D111-C111,IF(C111-D111&lt;0,0,C111-D111))))</f>
        <v/>
      </c>
      <c r="J111" s="20"/>
      <c r="K111" s="8" t="n">
        <f aca="false">IF(SUM(H111:J111)&lt;0.00068287037037037,0,SUM(H111:J111))</f>
        <v>0</v>
      </c>
      <c r="L111" s="8" t="n">
        <f aca="false">IF(OR(F111="Congé",F111="OFF",M111="Abs",F111="Congé sans solde",F111="Férié",F111="Congé spécial",D111="Congé spécial"),0,IF(F111-E111&lt;0,0,IF(F111-E111&lt;=0.00068287037037037,0,F111-E111)))</f>
        <v>0</v>
      </c>
      <c r="M111" s="6" t="n">
        <f aca="false">IF(AND(O111&lt;&gt;0,C111=""),"Abs",0)</f>
        <v>0</v>
      </c>
      <c r="N111" s="8" t="n">
        <f aca="false">IFERROR(IF(OR(D111="OFF",D111="Congé",M111="Abs",D111="Congé sans solde",D111="Férié"),"",IF(O111-K111-L111&gt;O111,O111,IF(O111-K111-L111&lt;0,"",O111-K111-L111))),"")</f>
        <v>0.375</v>
      </c>
      <c r="O111" s="8" t="n">
        <f aca="false">IF(AG111="2H Pause déjeuner",IF(F111-D111-0.0833333333333333&lt;0,F111-D111-0.0833333333333333+1,F111-D111-0.0833333333333333),IF(OR(AND(F111="OFF",D111="OFF"),AND(F111="Congé",D111="Congé"),AND(F111="Congé sans solde",D111="Congé sans solde"),AND(F111="Congé spécial",D111="Congé spécial"),AND(F111="Férié",D111="Férié"),AND(F111="OFF",D111="Congé"),AND(F111="OFF",D111="Congé sans solde"),AND(F111="OFF",D111="Congé spécial"),AND(F111="OFF",D111="Férié"),AND(F111="Congé",D111="OFF"),AND(F111="Congé",D111="Congé sans solde"),AND(F111="Congé",D111="Congé spécial"),AND(F111="Congé",D111="Férié"),AND(F111="Congé sans solde",D111="OFF"),AND(F111="Congé sans solde",D111="Congé"),AND(F111="Congé sans solde",D111="Congé spécial"),AND(F111="Congé sans solde",D111="Férié"),AND(F111="Congé spécial",D111="OFF"),AND(F111="Congé spécial",D111="Congé"),AND(F111="Congé spécial",D111="Congé sans solde"),AND(F111="Congé spécial",D111="Férié"),AND(F111="Férié",D111="OFF"),AND(F111="Férié",D111="Congé"),AND(F111="Férié",D111="Congé sans solde"),AND(F111="Férié",D111="Congé spécial")),0,IF(OR(F111="OFF",F111="Congé",F111="Congé spécial",F111="Congé sans solde",D111="OFF",D111="Congé",D111="Congé spécial",D111="Congé sans solde"),0.208333333333334,IF(AND(AG111="",F111-D111&lt;0),("24:00:00"-D111)+("00:00:00"+F111)-0.0416666666666667,IF(AND(OR(AG111="Allaitement",AG111="Sans déjeuner"),F111-D111&lt;0),("24:00:00"-D111)+("00:00:00"+F111),IF(AND(AG111="",F111-D111&gt;0.166666666666667),F111-D111-0.0416666666666667,IF(AND(OR(AG111="Allaitement",AG111="Sans déjeuner"),F111-D111&gt;0.166666666666667),F111-D111,F111-D111)))))))</f>
        <v>0.375</v>
      </c>
      <c r="P111" s="6" t="str">
        <f aca="false">IFERROR(VLOOKUP($B111,Agents!$A:$D,2,0),"-")</f>
        <v>Accessibilité</v>
      </c>
      <c r="Q111" s="21" t="n">
        <v>46009</v>
      </c>
      <c r="R111" s="8" t="n">
        <f aca="false">IF(M111="Abs",O111,0)</f>
        <v>0</v>
      </c>
      <c r="S111" s="8" t="n">
        <f aca="false">SUM(R111,L111,I111,J111,W111,H111)</f>
        <v>0</v>
      </c>
      <c r="T111" s="6" t="str">
        <f aca="false">"Sem - "&amp;WEEKNUM(Q111,21)</f>
        <v>Sem - 51</v>
      </c>
      <c r="U111" s="6" t="str">
        <f aca="false">CHOOSE(MONTH(Q111),"Janvier","Février","Mars","Avril","Mai","Juin","Juillet","Août","Septembre","Octobre","Novembre","Décembre")</f>
        <v>Décembre</v>
      </c>
      <c r="V111" s="22" t="n">
        <f aca="false">YEAR(Q111)</f>
        <v>2025</v>
      </c>
      <c r="W111" s="20"/>
      <c r="X111" s="8" t="n">
        <f aca="false">IFERROR(IF(M111="Abs",0,IF(ROUND((D111-C111+E111-F111)*1440,0)&lt;=1,0,D111-C111+E111-F111)),0)</f>
        <v>0</v>
      </c>
      <c r="Y111" s="6" t="str">
        <f aca="false">IFERROR(VLOOKUP($B111,Agents!$A:$D,3,0),"-")</f>
        <v>OUBRAHIM Mohammed</v>
      </c>
      <c r="Z111" s="6" t="str">
        <f aca="false">IFERROR(VLOOKUP($B111,Agents!$A:$D,4,0),"-")</f>
        <v>Credit Mutuel</v>
      </c>
      <c r="AA111" s="18" t="s">
        <v>78</v>
      </c>
      <c r="AB111" s="8" t="str">
        <f aca="false">IF(AND(D111="Congé",F111="Congé"),0.333333333333333,IF(OR(AND(D111="Congé",F111&lt;&gt;"Congé"),(AND(F111="Congé",D111&lt;&gt;"Congé"))),0.166666666666667,""))</f>
        <v/>
      </c>
      <c r="AC111" s="8" t="str">
        <f aca="false">IF(AND(D111="Congé sans solde",F111="Congé sans solde"),0.333333333333333,IF(OR(AND(D111="Congé sans solde",F111&lt;&gt;"Congé sans solde"),(AND(F111="Congé sans solde",D111&lt;&gt;"Congé sans solde"))),0.166666666666667,""))</f>
        <v/>
      </c>
      <c r="AD111" s="8" t="str">
        <f aca="false">IF(AND(D111="Congé spécial",F111="Congé spécial"),0.333333333333333,IF(OR(AND(D111="Congé spécial",F111&lt;&gt;"Congé spécial"),AND(F111="Congé spécial",D111&lt;&gt;"Congé spécial")),0.166666666666667,""))</f>
        <v/>
      </c>
      <c r="AE111" s="8" t="str">
        <f aca="false">IF(AND(D111="Férié",F111="Férié"),0.333333333333333,IF(OR(AND(D111="Férié",F111&lt;&gt;"Férié"),(AND(F111="Férié",D111&lt;&gt;"Férié"))),0.166666666666667,""))</f>
        <v/>
      </c>
      <c r="AF111" s="18"/>
      <c r="AG111" s="18"/>
    </row>
    <row r="112" customFormat="false" ht="15" hidden="false" customHeight="false" outlineLevel="0" collapsed="false">
      <c r="A112" s="6" t="str">
        <f aca="false">YEAR(Q112-WEEKDAY(Q112,2)+4)&amp;"-S"&amp;TEXT(WEEKNUM(Q112,21),"00")</f>
        <v>2025-S51</v>
      </c>
      <c r="B112" s="18" t="s">
        <v>72</v>
      </c>
      <c r="C112" s="19" t="n">
        <v>0.331944444444444</v>
      </c>
      <c r="D112" s="19" t="n">
        <v>0.333333333333333</v>
      </c>
      <c r="E112" s="19" t="n">
        <v>0.75</v>
      </c>
      <c r="F112" s="19" t="n">
        <v>0.75</v>
      </c>
      <c r="G112" s="20"/>
      <c r="H112" s="20"/>
      <c r="I112" s="8" t="str">
        <f aca="false">IF(IF(OR(C112="",D112="Congé",D112="OFF",D112="Congé spécial"),"",IF(D112&gt;F112,D112-C112,IF(C112-D112&lt;0,0,C112-D112)))&lt;0.00068287037037037,"",IF(OR(D112="Congé",D112="OFF",C112="",D112="Congé spécial"),"",IF(D112&gt;F112,D112-C112,IF(C112-D112&lt;0,0,C112-D112))))</f>
        <v/>
      </c>
      <c r="J112" s="20"/>
      <c r="K112" s="8" t="n">
        <f aca="false">IF(SUM(H112:J112)&lt;0.00068287037037037,0,SUM(H112:J112))</f>
        <v>0</v>
      </c>
      <c r="L112" s="8" t="n">
        <f aca="false">IF(OR(F112="Congé",F112="OFF",M112="Abs",F112="Congé sans solde",F112="Férié",F112="Congé spécial",D112="Congé spécial"),0,IF(F112-E112&lt;0,0,IF(F112-E112&lt;=0.00068287037037037,0,F112-E112)))</f>
        <v>0</v>
      </c>
      <c r="M112" s="6" t="n">
        <f aca="false">IF(AND(O112&lt;&gt;0,C112=""),"Abs",0)</f>
        <v>0</v>
      </c>
      <c r="N112" s="8" t="n">
        <f aca="false">IFERROR(IF(OR(D112="OFF",D112="Congé",M112="Abs",D112="Congé sans solde",D112="Férié"),"",IF(O112-K112-L112&gt;O112,O112,IF(O112-K112-L112&lt;0,"",O112-K112-L112))),"")</f>
        <v>0.375</v>
      </c>
      <c r="O112" s="8" t="n">
        <f aca="false">IF(AG112="2H Pause déjeuner",IF(F112-D112-0.0833333333333333&lt;0,F112-D112-0.0833333333333333+1,F112-D112-0.0833333333333333),IF(OR(AND(F112="OFF",D112="OFF"),AND(F112="Congé",D112="Congé"),AND(F112="Congé sans solde",D112="Congé sans solde"),AND(F112="Congé spécial",D112="Congé spécial"),AND(F112="Férié",D112="Férié"),AND(F112="OFF",D112="Congé"),AND(F112="OFF",D112="Congé sans solde"),AND(F112="OFF",D112="Congé spécial"),AND(F112="OFF",D112="Férié"),AND(F112="Congé",D112="OFF"),AND(F112="Congé",D112="Congé sans solde"),AND(F112="Congé",D112="Congé spécial"),AND(F112="Congé",D112="Férié"),AND(F112="Congé sans solde",D112="OFF"),AND(F112="Congé sans solde",D112="Congé"),AND(F112="Congé sans solde",D112="Congé spécial"),AND(F112="Congé sans solde",D112="Férié"),AND(F112="Congé spécial",D112="OFF"),AND(F112="Congé spécial",D112="Congé"),AND(F112="Congé spécial",D112="Congé sans solde"),AND(F112="Congé spécial",D112="Férié"),AND(F112="Férié",D112="OFF"),AND(F112="Férié",D112="Congé"),AND(F112="Férié",D112="Congé sans solde"),AND(F112="Férié",D112="Congé spécial")),0,IF(OR(F112="OFF",F112="Congé",F112="Congé spécial",F112="Congé sans solde",D112="OFF",D112="Congé",D112="Congé spécial",D112="Congé sans solde"),0.208333333333334,IF(AND(AG112="",F112-D112&lt;0),("24:00:00"-D112)+("00:00:00"+F112)-0.0416666666666667,IF(AND(OR(AG112="Allaitement",AG112="Sans déjeuner"),F112-D112&lt;0),("24:00:00"-D112)+("00:00:00"+F112),IF(AND(AG112="",F112-D112&gt;0.166666666666667),F112-D112-0.0416666666666667,IF(AND(OR(AG112="Allaitement",AG112="Sans déjeuner"),F112-D112&gt;0.166666666666667),F112-D112,F112-D112)))))))</f>
        <v>0.375</v>
      </c>
      <c r="P112" s="6" t="str">
        <f aca="false">IFERROR(VLOOKUP($B112,Agents!$A:$D,2,0),"-")</f>
        <v>Accessibilité</v>
      </c>
      <c r="Q112" s="21" t="n">
        <v>46009</v>
      </c>
      <c r="R112" s="8" t="n">
        <f aca="false">IF(M112="Abs",O112,0)</f>
        <v>0</v>
      </c>
      <c r="S112" s="8" t="n">
        <f aca="false">SUM(R112,L112,I112,J112,W112,H112)</f>
        <v>0</v>
      </c>
      <c r="T112" s="6" t="str">
        <f aca="false">"Sem - "&amp;WEEKNUM(Q112,21)</f>
        <v>Sem - 51</v>
      </c>
      <c r="U112" s="6" t="str">
        <f aca="false">CHOOSE(MONTH(Q112),"Janvier","Février","Mars","Avril","Mai","Juin","Juillet","Août","Septembre","Octobre","Novembre","Décembre")</f>
        <v>Décembre</v>
      </c>
      <c r="V112" s="22" t="n">
        <f aca="false">YEAR(Q112)</f>
        <v>2025</v>
      </c>
      <c r="W112" s="20"/>
      <c r="X112" s="8" t="n">
        <f aca="false">IFERROR(IF(M112="Abs",0,IF(ROUND((D112-C112+E112-F112)*1440,0)&lt;=1,0,D112-C112+E112-F112)),0)</f>
        <v>0.00138888888888889</v>
      </c>
      <c r="Y112" s="6" t="str">
        <f aca="false">IFERROR(VLOOKUP($B112,Agents!$A:$D,3,0),"-")</f>
        <v>OUBRAHIM Mohammed</v>
      </c>
      <c r="Z112" s="6" t="str">
        <f aca="false">IFERROR(VLOOKUP($B112,Agents!$A:$D,4,0),"-")</f>
        <v>Credit Mutuel</v>
      </c>
      <c r="AA112" s="18" t="s">
        <v>78</v>
      </c>
      <c r="AB112" s="8" t="str">
        <f aca="false">IF(AND(D112="Congé",F112="Congé"),0.333333333333333,IF(OR(AND(D112="Congé",F112&lt;&gt;"Congé"),(AND(F112="Congé",D112&lt;&gt;"Congé"))),0.166666666666667,""))</f>
        <v/>
      </c>
      <c r="AC112" s="8" t="str">
        <f aca="false">IF(AND(D112="Congé sans solde",F112="Congé sans solde"),0.333333333333333,IF(OR(AND(D112="Congé sans solde",F112&lt;&gt;"Congé sans solde"),(AND(F112="Congé sans solde",D112&lt;&gt;"Congé sans solde"))),0.166666666666667,""))</f>
        <v/>
      </c>
      <c r="AD112" s="8" t="str">
        <f aca="false">IF(AND(D112="Congé spécial",F112="Congé spécial"),0.333333333333333,IF(OR(AND(D112="Congé spécial",F112&lt;&gt;"Congé spécial"),AND(F112="Congé spécial",D112&lt;&gt;"Congé spécial")),0.166666666666667,""))</f>
        <v/>
      </c>
      <c r="AE112" s="8" t="str">
        <f aca="false">IF(AND(D112="Férié",F112="Férié"),0.333333333333333,IF(OR(AND(D112="Férié",F112&lt;&gt;"Férié"),(AND(F112="Férié",D112&lt;&gt;"Férié"))),0.166666666666667,""))</f>
        <v/>
      </c>
      <c r="AF112" s="18"/>
      <c r="AG112" s="18"/>
    </row>
    <row r="113" customFormat="false" ht="15" hidden="false" customHeight="false" outlineLevel="0" collapsed="false">
      <c r="A113" s="6" t="str">
        <f aca="false">YEAR(Q113-WEEKDAY(Q113,2)+4)&amp;"-S"&amp;TEXT(WEEKNUM(Q113,21),"00")</f>
        <v>2025-S51</v>
      </c>
      <c r="B113" s="18" t="s">
        <v>73</v>
      </c>
      <c r="C113" s="19" t="n">
        <v>0.331944444444444</v>
      </c>
      <c r="D113" s="19" t="n">
        <v>0.333333333333333</v>
      </c>
      <c r="E113" s="19" t="n">
        <v>0.75</v>
      </c>
      <c r="F113" s="19" t="n">
        <v>0.75</v>
      </c>
      <c r="G113" s="20"/>
      <c r="H113" s="20"/>
      <c r="I113" s="8" t="str">
        <f aca="false">IF(IF(OR(C113="",D113="Congé",D113="OFF",D113="Congé spécial"),"",IF(D113&gt;F113,D113-C113,IF(C113-D113&lt;0,0,C113-D113)))&lt;0.00068287037037037,"",IF(OR(D113="Congé",D113="OFF",C113="",D113="Congé spécial"),"",IF(D113&gt;F113,D113-C113,IF(C113-D113&lt;0,0,C113-D113))))</f>
        <v/>
      </c>
      <c r="J113" s="20"/>
      <c r="K113" s="8" t="n">
        <f aca="false">IF(SUM(H113:J113)&lt;0.00068287037037037,0,SUM(H113:J113))</f>
        <v>0</v>
      </c>
      <c r="L113" s="8" t="n">
        <f aca="false">IF(OR(F113="Congé",F113="OFF",M113="Abs",F113="Congé sans solde",F113="Férié",F113="Congé spécial",D113="Congé spécial"),0,IF(F113-E113&lt;0,0,IF(F113-E113&lt;=0.00068287037037037,0,F113-E113)))</f>
        <v>0</v>
      </c>
      <c r="M113" s="6" t="n">
        <f aca="false">IF(AND(O113&lt;&gt;0,C113=""),"Abs",0)</f>
        <v>0</v>
      </c>
      <c r="N113" s="8" t="n">
        <f aca="false">IFERROR(IF(OR(D113="OFF",D113="Congé",M113="Abs",D113="Congé sans solde",D113="Férié"),"",IF(O113-K113-L113&gt;O113,O113,IF(O113-K113-L113&lt;0,"",O113-K113-L113))),"")</f>
        <v>0.375</v>
      </c>
      <c r="O113" s="8" t="n">
        <f aca="false">IF(AG113="2H Pause déjeuner",IF(F113-D113-0.0833333333333333&lt;0,F113-D113-0.0833333333333333+1,F113-D113-0.0833333333333333),IF(OR(AND(F113="OFF",D113="OFF"),AND(F113="Congé",D113="Congé"),AND(F113="Congé sans solde",D113="Congé sans solde"),AND(F113="Congé spécial",D113="Congé spécial"),AND(F113="Férié",D113="Férié"),AND(F113="OFF",D113="Congé"),AND(F113="OFF",D113="Congé sans solde"),AND(F113="OFF",D113="Congé spécial"),AND(F113="OFF",D113="Férié"),AND(F113="Congé",D113="OFF"),AND(F113="Congé",D113="Congé sans solde"),AND(F113="Congé",D113="Congé spécial"),AND(F113="Congé",D113="Férié"),AND(F113="Congé sans solde",D113="OFF"),AND(F113="Congé sans solde",D113="Congé"),AND(F113="Congé sans solde",D113="Congé spécial"),AND(F113="Congé sans solde",D113="Férié"),AND(F113="Congé spécial",D113="OFF"),AND(F113="Congé spécial",D113="Congé"),AND(F113="Congé spécial",D113="Congé sans solde"),AND(F113="Congé spécial",D113="Férié"),AND(F113="Férié",D113="OFF"),AND(F113="Férié",D113="Congé"),AND(F113="Férié",D113="Congé sans solde"),AND(F113="Férié",D113="Congé spécial")),0,IF(OR(F113="OFF",F113="Congé",F113="Congé spécial",F113="Congé sans solde",D113="OFF",D113="Congé",D113="Congé spécial",D113="Congé sans solde"),0.208333333333334,IF(AND(AG113="",F113-D113&lt;0),("24:00:00"-D113)+("00:00:00"+F113)-0.0416666666666667,IF(AND(OR(AG113="Allaitement",AG113="Sans déjeuner"),F113-D113&lt;0),("24:00:00"-D113)+("00:00:00"+F113),IF(AND(AG113="",F113-D113&gt;0.166666666666667),F113-D113-0.0416666666666667,IF(AND(OR(AG113="Allaitement",AG113="Sans déjeuner"),F113-D113&gt;0.166666666666667),F113-D113,F113-D113)))))))</f>
        <v>0.375</v>
      </c>
      <c r="P113" s="6" t="str">
        <f aca="false">IFERROR(VLOOKUP($B113,Agents!$A:$D,2,0),"-")</f>
        <v>Accessibilité</v>
      </c>
      <c r="Q113" s="21" t="n">
        <v>46009</v>
      </c>
      <c r="R113" s="8" t="n">
        <f aca="false">IF(M113="Abs",O113,0)</f>
        <v>0</v>
      </c>
      <c r="S113" s="8" t="n">
        <f aca="false">SUM(R113,L113,I113,J113,W113,H113)</f>
        <v>0</v>
      </c>
      <c r="T113" s="6" t="str">
        <f aca="false">"Sem - "&amp;WEEKNUM(Q113,21)</f>
        <v>Sem - 51</v>
      </c>
      <c r="U113" s="6" t="str">
        <f aca="false">CHOOSE(MONTH(Q113),"Janvier","Février","Mars","Avril","Mai","Juin","Juillet","Août","Septembre","Octobre","Novembre","Décembre")</f>
        <v>Décembre</v>
      </c>
      <c r="V113" s="22" t="n">
        <f aca="false">YEAR(Q113)</f>
        <v>2025</v>
      </c>
      <c r="W113" s="20"/>
      <c r="X113" s="8" t="n">
        <f aca="false">IFERROR(IF(M113="Abs",0,IF(ROUND((D113-C113+E113-F113)*1440,0)&lt;=1,0,D113-C113+E113-F113)),0)</f>
        <v>0.00138888888888889</v>
      </c>
      <c r="Y113" s="6" t="str">
        <f aca="false">IFERROR(VLOOKUP($B113,Agents!$A:$D,3,0),"-")</f>
        <v>OUBRAHIM Mohammed</v>
      </c>
      <c r="Z113" s="6" t="str">
        <f aca="false">IFERROR(VLOOKUP($B113,Agents!$A:$D,4,0),"-")</f>
        <v>Credit Mutuel</v>
      </c>
      <c r="AA113" s="18" t="s">
        <v>78</v>
      </c>
      <c r="AB113" s="8" t="str">
        <f aca="false">IF(AND(D113="Congé",F113="Congé"),0.333333333333333,IF(OR(AND(D113="Congé",F113&lt;&gt;"Congé"),(AND(F113="Congé",D113&lt;&gt;"Congé"))),0.166666666666667,""))</f>
        <v/>
      </c>
      <c r="AC113" s="8" t="str">
        <f aca="false">IF(AND(D113="Congé sans solde",F113="Congé sans solde"),0.333333333333333,IF(OR(AND(D113="Congé sans solde",F113&lt;&gt;"Congé sans solde"),(AND(F113="Congé sans solde",D113&lt;&gt;"Congé sans solde"))),0.166666666666667,""))</f>
        <v/>
      </c>
      <c r="AD113" s="8" t="str">
        <f aca="false">IF(AND(D113="Congé spécial",F113="Congé spécial"),0.333333333333333,IF(OR(AND(D113="Congé spécial",F113&lt;&gt;"Congé spécial"),AND(F113="Congé spécial",D113&lt;&gt;"Congé spécial")),0.166666666666667,""))</f>
        <v/>
      </c>
      <c r="AE113" s="8" t="str">
        <f aca="false">IF(AND(D113="Férié",F113="Férié"),0.333333333333333,IF(OR(AND(D113="Férié",F113&lt;&gt;"Férié"),(AND(F113="Férié",D113&lt;&gt;"Férié"))),0.166666666666667,""))</f>
        <v/>
      </c>
      <c r="AF113" s="18"/>
      <c r="AG113" s="18"/>
    </row>
    <row r="114" customFormat="false" ht="15" hidden="false" customHeight="false" outlineLevel="0" collapsed="false">
      <c r="A114" s="6" t="str">
        <f aca="false">YEAR(Q114-WEEKDAY(Q114,2)+4)&amp;"-S"&amp;TEXT(WEEKNUM(Q114,21),"00")</f>
        <v>2025-S51</v>
      </c>
      <c r="B114" s="18" t="s">
        <v>69</v>
      </c>
      <c r="C114" s="19" t="n">
        <v>0.333333333333333</v>
      </c>
      <c r="D114" s="19" t="n">
        <v>0.333333333333333</v>
      </c>
      <c r="E114" s="19" t="n">
        <v>0.708333333333333</v>
      </c>
      <c r="F114" s="19" t="n">
        <v>0.708333333333333</v>
      </c>
      <c r="G114" s="20"/>
      <c r="H114" s="20"/>
      <c r="I114" s="8" t="str">
        <f aca="false">IF(IF(OR(C114="",D114="Congé",D114="OFF",D114="Congé spécial"),"",IF(D114&gt;F114,D114-C114,IF(C114-D114&lt;0,0,C114-D114)))&lt;0.00068287037037037,"",IF(OR(D114="Congé",D114="OFF",C114="",D114="Congé spécial"),"",IF(D114&gt;F114,D114-C114,IF(C114-D114&lt;0,0,C114-D114))))</f>
        <v/>
      </c>
      <c r="J114" s="20"/>
      <c r="K114" s="8" t="n">
        <f aca="false">IF(SUM(H114:J114)&lt;0.00068287037037037,0,SUM(H114:J114))</f>
        <v>0</v>
      </c>
      <c r="L114" s="8" t="n">
        <f aca="false">IF(OR(F114="Congé",F114="OFF",M114="Abs",F114="Congé sans solde",F114="Férié",F114="Congé spécial",D114="Congé spécial"),0,IF(F114-E114&lt;0,0,IF(F114-E114&lt;=0.00068287037037037,0,F114-E114)))</f>
        <v>0</v>
      </c>
      <c r="M114" s="6" t="n">
        <f aca="false">IF(AND(O114&lt;&gt;0,C114=""),"Abs",0)</f>
        <v>0</v>
      </c>
      <c r="N114" s="8" t="n">
        <f aca="false">IFERROR(IF(OR(D114="OFF",D114="Congé",M114="Abs",D114="Congé sans solde",D114="Férié"),"",IF(O114-K114-L114&gt;O114,O114,IF(O114-K114-L114&lt;0,"",O114-K114-L114))),"")</f>
        <v>0.333333333333333</v>
      </c>
      <c r="O114" s="8" t="n">
        <f aca="false">IF(AG114="2H Pause déjeuner",IF(F114-D114-0.0833333333333333&lt;0,F114-D114-0.0833333333333333+1,F114-D114-0.0833333333333333),IF(OR(AND(F114="OFF",D114="OFF"),AND(F114="Congé",D114="Congé"),AND(F114="Congé sans solde",D114="Congé sans solde"),AND(F114="Congé spécial",D114="Congé spécial"),AND(F114="Férié",D114="Férié"),AND(F114="OFF",D114="Congé"),AND(F114="OFF",D114="Congé sans solde"),AND(F114="OFF",D114="Congé spécial"),AND(F114="OFF",D114="Férié"),AND(F114="Congé",D114="OFF"),AND(F114="Congé",D114="Congé sans solde"),AND(F114="Congé",D114="Congé spécial"),AND(F114="Congé",D114="Férié"),AND(F114="Congé sans solde",D114="OFF"),AND(F114="Congé sans solde",D114="Congé"),AND(F114="Congé sans solde",D114="Congé spécial"),AND(F114="Congé sans solde",D114="Férié"),AND(F114="Congé spécial",D114="OFF"),AND(F114="Congé spécial",D114="Congé"),AND(F114="Congé spécial",D114="Congé sans solde"),AND(F114="Congé spécial",D114="Férié"),AND(F114="Férié",D114="OFF"),AND(F114="Férié",D114="Congé"),AND(F114="Férié",D114="Congé sans solde"),AND(F114="Férié",D114="Congé spécial")),0,IF(OR(F114="OFF",F114="Congé",F114="Congé spécial",F114="Congé sans solde",D114="OFF",D114="Congé",D114="Congé spécial",D114="Congé sans solde"),0.208333333333334,IF(AND(AG114="",F114-D114&lt;0),("24:00:00"-D114)+("00:00:00"+F114)-0.0416666666666667,IF(AND(OR(AG114="Allaitement",AG114="Sans déjeuner"),F114-D114&lt;0),("24:00:00"-D114)+("00:00:00"+F114),IF(AND(AG114="",F114-D114&gt;0.166666666666667),F114-D114-0.0416666666666667,IF(AND(OR(AG114="Allaitement",AG114="Sans déjeuner"),F114-D114&gt;0.166666666666667),F114-D114,F114-D114)))))))</f>
        <v>0.333333333333333</v>
      </c>
      <c r="P114" s="6" t="str">
        <f aca="false">IFERROR(VLOOKUP($B114,Agents!$A:$D,2,0),"-")</f>
        <v>Accessibilité</v>
      </c>
      <c r="Q114" s="21" t="n">
        <v>46010</v>
      </c>
      <c r="R114" s="8" t="n">
        <f aca="false">IF(M114="Abs",O114,0)</f>
        <v>0</v>
      </c>
      <c r="S114" s="8" t="n">
        <f aca="false">SUM(R114,L114,I114,J114,W114,H114)</f>
        <v>0</v>
      </c>
      <c r="T114" s="6" t="str">
        <f aca="false">"Sem - "&amp;WEEKNUM(Q114,21)</f>
        <v>Sem - 51</v>
      </c>
      <c r="U114" s="6" t="str">
        <f aca="false">CHOOSE(MONTH(Q114),"Janvier","Février","Mars","Avril","Mai","Juin","Juillet","Août","Septembre","Octobre","Novembre","Décembre")</f>
        <v>Décembre</v>
      </c>
      <c r="V114" s="22" t="n">
        <f aca="false">YEAR(Q114)</f>
        <v>2025</v>
      </c>
      <c r="W114" s="20"/>
      <c r="X114" s="8" t="n">
        <f aca="false">IFERROR(IF(M114="Abs",0,IF(ROUND((D114-C114+E114-F114)*1440,0)&lt;=1,0,D114-C114+E114-F114)),0)</f>
        <v>0</v>
      </c>
      <c r="Y114" s="6" t="str">
        <f aca="false">IFERROR(VLOOKUP($B114,Agents!$A:$D,3,0),"-")</f>
        <v>OUBRAHIM Mohammed</v>
      </c>
      <c r="Z114" s="6" t="str">
        <f aca="false">IFERROR(VLOOKUP($B114,Agents!$A:$D,4,0),"-")</f>
        <v>Credit Mutuel</v>
      </c>
      <c r="AA114" s="18" t="s">
        <v>78</v>
      </c>
      <c r="AB114" s="8" t="str">
        <f aca="false">IF(AND(D114="Congé",F114="Congé"),0.333333333333333,IF(OR(AND(D114="Congé",F114&lt;&gt;"Congé"),(AND(F114="Congé",D114&lt;&gt;"Congé"))),0.166666666666667,""))</f>
        <v/>
      </c>
      <c r="AC114" s="8" t="str">
        <f aca="false">IF(AND(D114="Congé sans solde",F114="Congé sans solde"),0.333333333333333,IF(OR(AND(D114="Congé sans solde",F114&lt;&gt;"Congé sans solde"),(AND(F114="Congé sans solde",D114&lt;&gt;"Congé sans solde"))),0.166666666666667,""))</f>
        <v/>
      </c>
      <c r="AD114" s="8" t="str">
        <f aca="false">IF(AND(D114="Congé spécial",F114="Congé spécial"),0.333333333333333,IF(OR(AND(D114="Congé spécial",F114&lt;&gt;"Congé spécial"),AND(F114="Congé spécial",D114&lt;&gt;"Congé spécial")),0.166666666666667,""))</f>
        <v/>
      </c>
      <c r="AE114" s="8" t="str">
        <f aca="false">IF(AND(D114="Férié",F114="Férié"),0.333333333333333,IF(OR(AND(D114="Férié",F114&lt;&gt;"Férié"),(AND(F114="Férié",D114&lt;&gt;"Férié"))),0.166666666666667,""))</f>
        <v/>
      </c>
      <c r="AF114" s="18"/>
      <c r="AG114" s="18"/>
    </row>
    <row r="115" customFormat="false" ht="15" hidden="false" customHeight="false" outlineLevel="0" collapsed="false">
      <c r="A115" s="6" t="str">
        <f aca="false">YEAR(Q115-WEEKDAY(Q115,2)+4)&amp;"-S"&amp;TEXT(WEEKNUM(Q115,21),"00")</f>
        <v>2025-S51</v>
      </c>
      <c r="B115" s="18" t="s">
        <v>71</v>
      </c>
      <c r="C115" s="19" t="n">
        <v>0.333333333333333</v>
      </c>
      <c r="D115" s="19" t="n">
        <v>0.333333333333333</v>
      </c>
      <c r="E115" s="19" t="n">
        <v>0.708333333333333</v>
      </c>
      <c r="F115" s="19" t="n">
        <v>0.708333333333333</v>
      </c>
      <c r="G115" s="20"/>
      <c r="H115" s="20"/>
      <c r="I115" s="8" t="str">
        <f aca="false">IF(IF(OR(C115="",D115="Congé",D115="OFF",D115="Congé spécial"),"",IF(D115&gt;F115,D115-C115,IF(C115-D115&lt;0,0,C115-D115)))&lt;0.00068287037037037,"",IF(OR(D115="Congé",D115="OFF",C115="",D115="Congé spécial"),"",IF(D115&gt;F115,D115-C115,IF(C115-D115&lt;0,0,C115-D115))))</f>
        <v/>
      </c>
      <c r="J115" s="20"/>
      <c r="K115" s="8" t="n">
        <f aca="false">IF(SUM(H115:J115)&lt;0.00068287037037037,0,SUM(H115:J115))</f>
        <v>0</v>
      </c>
      <c r="L115" s="8" t="n">
        <f aca="false">IF(OR(F115="Congé",F115="OFF",M115="Abs",F115="Congé sans solde",F115="Férié",F115="Congé spécial",D115="Congé spécial"),0,IF(F115-E115&lt;0,0,IF(F115-E115&lt;=0.00068287037037037,0,F115-E115)))</f>
        <v>0</v>
      </c>
      <c r="M115" s="6" t="n">
        <f aca="false">IF(AND(O115&lt;&gt;0,C115=""),"Abs",0)</f>
        <v>0</v>
      </c>
      <c r="N115" s="8" t="n">
        <f aca="false">IFERROR(IF(OR(D115="OFF",D115="Congé",M115="Abs",D115="Congé sans solde",D115="Férié"),"",IF(O115-K115-L115&gt;O115,O115,IF(O115-K115-L115&lt;0,"",O115-K115-L115))),"")</f>
        <v>0.333333333333333</v>
      </c>
      <c r="O115" s="8" t="n">
        <f aca="false">IF(AG115="2H Pause déjeuner",IF(F115-D115-0.0833333333333333&lt;0,F115-D115-0.0833333333333333+1,F115-D115-0.0833333333333333),IF(OR(AND(F115="OFF",D115="OFF"),AND(F115="Congé",D115="Congé"),AND(F115="Congé sans solde",D115="Congé sans solde"),AND(F115="Congé spécial",D115="Congé spécial"),AND(F115="Férié",D115="Férié"),AND(F115="OFF",D115="Congé"),AND(F115="OFF",D115="Congé sans solde"),AND(F115="OFF",D115="Congé spécial"),AND(F115="OFF",D115="Férié"),AND(F115="Congé",D115="OFF"),AND(F115="Congé",D115="Congé sans solde"),AND(F115="Congé",D115="Congé spécial"),AND(F115="Congé",D115="Férié"),AND(F115="Congé sans solde",D115="OFF"),AND(F115="Congé sans solde",D115="Congé"),AND(F115="Congé sans solde",D115="Congé spécial"),AND(F115="Congé sans solde",D115="Férié"),AND(F115="Congé spécial",D115="OFF"),AND(F115="Congé spécial",D115="Congé"),AND(F115="Congé spécial",D115="Congé sans solde"),AND(F115="Congé spécial",D115="Férié"),AND(F115="Férié",D115="OFF"),AND(F115="Férié",D115="Congé"),AND(F115="Férié",D115="Congé sans solde"),AND(F115="Férié",D115="Congé spécial")),0,IF(OR(F115="OFF",F115="Congé",F115="Congé spécial",F115="Congé sans solde",D115="OFF",D115="Congé",D115="Congé spécial",D115="Congé sans solde"),0.208333333333334,IF(AND(AG115="",F115-D115&lt;0),("24:00:00"-D115)+("00:00:00"+F115)-0.0416666666666667,IF(AND(OR(AG115="Allaitement",AG115="Sans déjeuner"),F115-D115&lt;0),("24:00:00"-D115)+("00:00:00"+F115),IF(AND(AG115="",F115-D115&gt;0.166666666666667),F115-D115-0.0416666666666667,IF(AND(OR(AG115="Allaitement",AG115="Sans déjeuner"),F115-D115&gt;0.166666666666667),F115-D115,F115-D115)))))))</f>
        <v>0.333333333333333</v>
      </c>
      <c r="P115" s="6" t="str">
        <f aca="false">IFERROR(VLOOKUP($B115,Agents!$A:$D,2,0),"-")</f>
        <v>Accessibilité</v>
      </c>
      <c r="Q115" s="21" t="n">
        <v>46010</v>
      </c>
      <c r="R115" s="8" t="n">
        <f aca="false">IF(M115="Abs",O115,0)</f>
        <v>0</v>
      </c>
      <c r="S115" s="8" t="n">
        <f aca="false">SUM(R115,L115,I115,J115,W115,H115)</f>
        <v>0</v>
      </c>
      <c r="T115" s="6" t="str">
        <f aca="false">"Sem - "&amp;WEEKNUM(Q115,21)</f>
        <v>Sem - 51</v>
      </c>
      <c r="U115" s="6" t="str">
        <f aca="false">CHOOSE(MONTH(Q115),"Janvier","Février","Mars","Avril","Mai","Juin","Juillet","Août","Septembre","Octobre","Novembre","Décembre")</f>
        <v>Décembre</v>
      </c>
      <c r="V115" s="22" t="n">
        <f aca="false">YEAR(Q115)</f>
        <v>2025</v>
      </c>
      <c r="W115" s="20"/>
      <c r="X115" s="8" t="n">
        <f aca="false">IFERROR(IF(M115="Abs",0,IF(ROUND((D115-C115+E115-F115)*1440,0)&lt;=1,0,D115-C115+E115-F115)),0)</f>
        <v>0</v>
      </c>
      <c r="Y115" s="6" t="str">
        <f aca="false">IFERROR(VLOOKUP($B115,Agents!$A:$D,3,0),"-")</f>
        <v>OUBRAHIM Mohammed</v>
      </c>
      <c r="Z115" s="6" t="str">
        <f aca="false">IFERROR(VLOOKUP($B115,Agents!$A:$D,4,0),"-")</f>
        <v>Credit Mutuel</v>
      </c>
      <c r="AA115" s="18" t="s">
        <v>78</v>
      </c>
      <c r="AB115" s="8" t="str">
        <f aca="false">IF(AND(D115="Congé",F115="Congé"),0.333333333333333,IF(OR(AND(D115="Congé",F115&lt;&gt;"Congé"),(AND(F115="Congé",D115&lt;&gt;"Congé"))),0.166666666666667,""))</f>
        <v/>
      </c>
      <c r="AC115" s="8" t="str">
        <f aca="false">IF(AND(D115="Congé sans solde",F115="Congé sans solde"),0.333333333333333,IF(OR(AND(D115="Congé sans solde",F115&lt;&gt;"Congé sans solde"),(AND(F115="Congé sans solde",D115&lt;&gt;"Congé sans solde"))),0.166666666666667,""))</f>
        <v/>
      </c>
      <c r="AD115" s="8" t="str">
        <f aca="false">IF(AND(D115="Congé spécial",F115="Congé spécial"),0.333333333333333,IF(OR(AND(D115="Congé spécial",F115&lt;&gt;"Congé spécial"),AND(F115="Congé spécial",D115&lt;&gt;"Congé spécial")),0.166666666666667,""))</f>
        <v/>
      </c>
      <c r="AE115" s="8" t="str">
        <f aca="false">IF(AND(D115="Férié",F115="Férié"),0.333333333333333,IF(OR(AND(D115="Férié",F115&lt;&gt;"Férié"),(AND(F115="Férié",D115&lt;&gt;"Férié"))),0.166666666666667,""))</f>
        <v/>
      </c>
      <c r="AF115" s="18"/>
      <c r="AG115" s="18"/>
    </row>
    <row r="116" customFormat="false" ht="15" hidden="false" customHeight="false" outlineLevel="0" collapsed="false">
      <c r="A116" s="6" t="str">
        <f aca="false">YEAR(Q116-WEEKDAY(Q116,2)+4)&amp;"-S"&amp;TEXT(WEEKNUM(Q116,21),"00")</f>
        <v>2025-S51</v>
      </c>
      <c r="B116" s="18" t="s">
        <v>72</v>
      </c>
      <c r="C116" s="19" t="n">
        <v>0.333333333333333</v>
      </c>
      <c r="D116" s="19" t="n">
        <v>0.333333333333333</v>
      </c>
      <c r="E116" s="19" t="n">
        <v>0.708333333333333</v>
      </c>
      <c r="F116" s="19" t="n">
        <v>0.708333333333333</v>
      </c>
      <c r="G116" s="20"/>
      <c r="H116" s="20"/>
      <c r="I116" s="8" t="str">
        <f aca="false">IF(IF(OR(C116="",D116="Congé",D116="OFF",D116="Congé spécial"),"",IF(D116&gt;F116,D116-C116,IF(C116-D116&lt;0,0,C116-D116)))&lt;0.00068287037037037,"",IF(OR(D116="Congé",D116="OFF",C116="",D116="Congé spécial"),"",IF(D116&gt;F116,D116-C116,IF(C116-D116&lt;0,0,C116-D116))))</f>
        <v/>
      </c>
      <c r="J116" s="20"/>
      <c r="K116" s="8" t="n">
        <f aca="false">IF(SUM(H116:J116)&lt;0.00068287037037037,0,SUM(H116:J116))</f>
        <v>0</v>
      </c>
      <c r="L116" s="8" t="n">
        <f aca="false">IF(OR(F116="Congé",F116="OFF",M116="Abs",F116="Congé sans solde",F116="Férié",F116="Congé spécial",D116="Congé spécial"),0,IF(F116-E116&lt;0,0,IF(F116-E116&lt;=0.00068287037037037,0,F116-E116)))</f>
        <v>0</v>
      </c>
      <c r="M116" s="6" t="n">
        <f aca="false">IF(AND(O116&lt;&gt;0,C116=""),"Abs",0)</f>
        <v>0</v>
      </c>
      <c r="N116" s="8" t="n">
        <f aca="false">IFERROR(IF(OR(D116="OFF",D116="Congé",M116="Abs",D116="Congé sans solde",D116="Férié"),"",IF(O116-K116-L116&gt;O116,O116,IF(O116-K116-L116&lt;0,"",O116-K116-L116))),"")</f>
        <v>0.333333333333333</v>
      </c>
      <c r="O116" s="8" t="n">
        <f aca="false">IF(AG116="2H Pause déjeuner",IF(F116-D116-0.0833333333333333&lt;0,F116-D116-0.0833333333333333+1,F116-D116-0.0833333333333333),IF(OR(AND(F116="OFF",D116="OFF"),AND(F116="Congé",D116="Congé"),AND(F116="Congé sans solde",D116="Congé sans solde"),AND(F116="Congé spécial",D116="Congé spécial"),AND(F116="Férié",D116="Férié"),AND(F116="OFF",D116="Congé"),AND(F116="OFF",D116="Congé sans solde"),AND(F116="OFF",D116="Congé spécial"),AND(F116="OFF",D116="Férié"),AND(F116="Congé",D116="OFF"),AND(F116="Congé",D116="Congé sans solde"),AND(F116="Congé",D116="Congé spécial"),AND(F116="Congé",D116="Férié"),AND(F116="Congé sans solde",D116="OFF"),AND(F116="Congé sans solde",D116="Congé"),AND(F116="Congé sans solde",D116="Congé spécial"),AND(F116="Congé sans solde",D116="Férié"),AND(F116="Congé spécial",D116="OFF"),AND(F116="Congé spécial",D116="Congé"),AND(F116="Congé spécial",D116="Congé sans solde"),AND(F116="Congé spécial",D116="Férié"),AND(F116="Férié",D116="OFF"),AND(F116="Férié",D116="Congé"),AND(F116="Férié",D116="Congé sans solde"),AND(F116="Férié",D116="Congé spécial")),0,IF(OR(F116="OFF",F116="Congé",F116="Congé spécial",F116="Congé sans solde",D116="OFF",D116="Congé",D116="Congé spécial",D116="Congé sans solde"),0.208333333333334,IF(AND(AG116="",F116-D116&lt;0),("24:00:00"-D116)+("00:00:00"+F116)-0.0416666666666667,IF(AND(OR(AG116="Allaitement",AG116="Sans déjeuner"),F116-D116&lt;0),("24:00:00"-D116)+("00:00:00"+F116),IF(AND(AG116="",F116-D116&gt;0.166666666666667),F116-D116-0.0416666666666667,IF(AND(OR(AG116="Allaitement",AG116="Sans déjeuner"),F116-D116&gt;0.166666666666667),F116-D116,F116-D116)))))))</f>
        <v>0.333333333333333</v>
      </c>
      <c r="P116" s="6" t="str">
        <f aca="false">IFERROR(VLOOKUP($B116,Agents!$A:$D,2,0),"-")</f>
        <v>Accessibilité</v>
      </c>
      <c r="Q116" s="21" t="n">
        <v>46010</v>
      </c>
      <c r="R116" s="8" t="n">
        <f aca="false">IF(M116="Abs",O116,0)</f>
        <v>0</v>
      </c>
      <c r="S116" s="8" t="n">
        <f aca="false">SUM(R116,L116,I116,J116,W116,H116)</f>
        <v>0</v>
      </c>
      <c r="T116" s="6" t="str">
        <f aca="false">"Sem - "&amp;WEEKNUM(Q116,21)</f>
        <v>Sem - 51</v>
      </c>
      <c r="U116" s="6" t="str">
        <f aca="false">CHOOSE(MONTH(Q116),"Janvier","Février","Mars","Avril","Mai","Juin","Juillet","Août","Septembre","Octobre","Novembre","Décembre")</f>
        <v>Décembre</v>
      </c>
      <c r="V116" s="22" t="n">
        <f aca="false">YEAR(Q116)</f>
        <v>2025</v>
      </c>
      <c r="W116" s="20"/>
      <c r="X116" s="8" t="n">
        <f aca="false">IFERROR(IF(M116="Abs",0,IF(ROUND((D116-C116+E116-F116)*1440,0)&lt;=1,0,D116-C116+E116-F116)),0)</f>
        <v>0</v>
      </c>
      <c r="Y116" s="6" t="str">
        <f aca="false">IFERROR(VLOOKUP($B116,Agents!$A:$D,3,0),"-")</f>
        <v>OUBRAHIM Mohammed</v>
      </c>
      <c r="Z116" s="6" t="str">
        <f aca="false">IFERROR(VLOOKUP($B116,Agents!$A:$D,4,0),"-")</f>
        <v>Credit Mutuel</v>
      </c>
      <c r="AA116" s="18" t="s">
        <v>78</v>
      </c>
      <c r="AB116" s="8" t="str">
        <f aca="false">IF(AND(D116="Congé",F116="Congé"),0.333333333333333,IF(OR(AND(D116="Congé",F116&lt;&gt;"Congé"),(AND(F116="Congé",D116&lt;&gt;"Congé"))),0.166666666666667,""))</f>
        <v/>
      </c>
      <c r="AC116" s="8" t="str">
        <f aca="false">IF(AND(D116="Congé sans solde",F116="Congé sans solde"),0.333333333333333,IF(OR(AND(D116="Congé sans solde",F116&lt;&gt;"Congé sans solde"),(AND(F116="Congé sans solde",D116&lt;&gt;"Congé sans solde"))),0.166666666666667,""))</f>
        <v/>
      </c>
      <c r="AD116" s="8" t="str">
        <f aca="false">IF(AND(D116="Congé spécial",F116="Congé spécial"),0.333333333333333,IF(OR(AND(D116="Congé spécial",F116&lt;&gt;"Congé spécial"),AND(F116="Congé spécial",D116&lt;&gt;"Congé spécial")),0.166666666666667,""))</f>
        <v/>
      </c>
      <c r="AE116" s="8" t="str">
        <f aca="false">IF(AND(D116="Férié",F116="Férié"),0.333333333333333,IF(OR(AND(D116="Férié",F116&lt;&gt;"Férié"),(AND(F116="Férié",D116&lt;&gt;"Férié"))),0.166666666666667,""))</f>
        <v/>
      </c>
      <c r="AF116" s="18"/>
      <c r="AG116" s="18"/>
    </row>
    <row r="117" customFormat="false" ht="15" hidden="false" customHeight="false" outlineLevel="0" collapsed="false">
      <c r="A117" s="6" t="str">
        <f aca="false">YEAR(Q117-WEEKDAY(Q117,2)+4)&amp;"-S"&amp;TEXT(WEEKNUM(Q117,21),"00")</f>
        <v>2025-S51</v>
      </c>
      <c r="B117" s="18" t="s">
        <v>73</v>
      </c>
      <c r="C117" s="19" t="n">
        <v>0.333333333333333</v>
      </c>
      <c r="D117" s="19" t="n">
        <v>0.333333333333333</v>
      </c>
      <c r="E117" s="19" t="n">
        <v>0.708333333333333</v>
      </c>
      <c r="F117" s="19" t="n">
        <v>0.708333333333333</v>
      </c>
      <c r="G117" s="20"/>
      <c r="H117" s="20"/>
      <c r="I117" s="8" t="str">
        <f aca="false">IF(IF(OR(C117="",D117="Congé",D117="OFF",D117="Congé spécial"),"",IF(D117&gt;F117,D117-C117,IF(C117-D117&lt;0,0,C117-D117)))&lt;0.00068287037037037,"",IF(OR(D117="Congé",D117="OFF",C117="",D117="Congé spécial"),"",IF(D117&gt;F117,D117-C117,IF(C117-D117&lt;0,0,C117-D117))))</f>
        <v/>
      </c>
      <c r="J117" s="20"/>
      <c r="K117" s="8" t="n">
        <f aca="false">IF(SUM(H117:J117)&lt;0.00068287037037037,0,SUM(H117:J117))</f>
        <v>0</v>
      </c>
      <c r="L117" s="8" t="n">
        <f aca="false">IF(OR(F117="Congé",F117="OFF",M117="Abs",F117="Congé sans solde",F117="Férié",F117="Congé spécial",D117="Congé spécial"),0,IF(F117-E117&lt;0,0,IF(F117-E117&lt;=0.00068287037037037,0,F117-E117)))</f>
        <v>0</v>
      </c>
      <c r="M117" s="6" t="n">
        <f aca="false">IF(AND(O117&lt;&gt;0,C117=""),"Abs",0)</f>
        <v>0</v>
      </c>
      <c r="N117" s="8" t="n">
        <f aca="false">IFERROR(IF(OR(D117="OFF",D117="Congé",M117="Abs",D117="Congé sans solde",D117="Férié"),"",IF(O117-K117-L117&gt;O117,O117,IF(O117-K117-L117&lt;0,"",O117-K117-L117))),"")</f>
        <v>0.333333333333333</v>
      </c>
      <c r="O117" s="8" t="n">
        <f aca="false">IF(AG117="2H Pause déjeuner",IF(F117-D117-0.0833333333333333&lt;0,F117-D117-0.0833333333333333+1,F117-D117-0.0833333333333333),IF(OR(AND(F117="OFF",D117="OFF"),AND(F117="Congé",D117="Congé"),AND(F117="Congé sans solde",D117="Congé sans solde"),AND(F117="Congé spécial",D117="Congé spécial"),AND(F117="Férié",D117="Férié"),AND(F117="OFF",D117="Congé"),AND(F117="OFF",D117="Congé sans solde"),AND(F117="OFF",D117="Congé spécial"),AND(F117="OFF",D117="Férié"),AND(F117="Congé",D117="OFF"),AND(F117="Congé",D117="Congé sans solde"),AND(F117="Congé",D117="Congé spécial"),AND(F117="Congé",D117="Férié"),AND(F117="Congé sans solde",D117="OFF"),AND(F117="Congé sans solde",D117="Congé"),AND(F117="Congé sans solde",D117="Congé spécial"),AND(F117="Congé sans solde",D117="Férié"),AND(F117="Congé spécial",D117="OFF"),AND(F117="Congé spécial",D117="Congé"),AND(F117="Congé spécial",D117="Congé sans solde"),AND(F117="Congé spécial",D117="Férié"),AND(F117="Férié",D117="OFF"),AND(F117="Férié",D117="Congé"),AND(F117="Férié",D117="Congé sans solde"),AND(F117="Férié",D117="Congé spécial")),0,IF(OR(F117="OFF",F117="Congé",F117="Congé spécial",F117="Congé sans solde",D117="OFF",D117="Congé",D117="Congé spécial",D117="Congé sans solde"),0.208333333333334,IF(AND(AG117="",F117-D117&lt;0),("24:00:00"-D117)+("00:00:00"+F117)-0.0416666666666667,IF(AND(OR(AG117="Allaitement",AG117="Sans déjeuner"),F117-D117&lt;0),("24:00:00"-D117)+("00:00:00"+F117),IF(AND(AG117="",F117-D117&gt;0.166666666666667),F117-D117-0.0416666666666667,IF(AND(OR(AG117="Allaitement",AG117="Sans déjeuner"),F117-D117&gt;0.166666666666667),F117-D117,F117-D117)))))))</f>
        <v>0.333333333333333</v>
      </c>
      <c r="P117" s="6" t="str">
        <f aca="false">IFERROR(VLOOKUP($B117,Agents!$A:$D,2,0),"-")</f>
        <v>Accessibilité</v>
      </c>
      <c r="Q117" s="21" t="n">
        <v>46010</v>
      </c>
      <c r="R117" s="8" t="n">
        <f aca="false">IF(M117="Abs",O117,0)</f>
        <v>0</v>
      </c>
      <c r="S117" s="8" t="n">
        <f aca="false">SUM(R117,L117,I117,J117,W117,H117)</f>
        <v>0</v>
      </c>
      <c r="T117" s="6" t="str">
        <f aca="false">"Sem - "&amp;WEEKNUM(Q117,21)</f>
        <v>Sem - 51</v>
      </c>
      <c r="U117" s="6" t="str">
        <f aca="false">CHOOSE(MONTH(Q117),"Janvier","Février","Mars","Avril","Mai","Juin","Juillet","Août","Septembre","Octobre","Novembre","Décembre")</f>
        <v>Décembre</v>
      </c>
      <c r="V117" s="22" t="n">
        <f aca="false">YEAR(Q117)</f>
        <v>2025</v>
      </c>
      <c r="W117" s="20"/>
      <c r="X117" s="8" t="n">
        <f aca="false">IFERROR(IF(M117="Abs",0,IF(ROUND((D117-C117+E117-F117)*1440,0)&lt;=1,0,D117-C117+E117-F117)),0)</f>
        <v>0</v>
      </c>
      <c r="Y117" s="6" t="str">
        <f aca="false">IFERROR(VLOOKUP($B117,Agents!$A:$D,3,0),"-")</f>
        <v>OUBRAHIM Mohammed</v>
      </c>
      <c r="Z117" s="6" t="str">
        <f aca="false">IFERROR(VLOOKUP($B117,Agents!$A:$D,4,0),"-")</f>
        <v>Credit Mutuel</v>
      </c>
      <c r="AA117" s="18" t="s">
        <v>78</v>
      </c>
      <c r="AB117" s="8" t="str">
        <f aca="false">IF(AND(D117="Congé",F117="Congé"),0.333333333333333,IF(OR(AND(D117="Congé",F117&lt;&gt;"Congé"),(AND(F117="Congé",D117&lt;&gt;"Congé"))),0.166666666666667,""))</f>
        <v/>
      </c>
      <c r="AC117" s="8" t="str">
        <f aca="false">IF(AND(D117="Congé sans solde",F117="Congé sans solde"),0.333333333333333,IF(OR(AND(D117="Congé sans solde",F117&lt;&gt;"Congé sans solde"),(AND(F117="Congé sans solde",D117&lt;&gt;"Congé sans solde"))),0.166666666666667,""))</f>
        <v/>
      </c>
      <c r="AD117" s="8" t="str">
        <f aca="false">IF(AND(D117="Congé spécial",F117="Congé spécial"),0.333333333333333,IF(OR(AND(D117="Congé spécial",F117&lt;&gt;"Congé spécial"),AND(F117="Congé spécial",D117&lt;&gt;"Congé spécial")),0.166666666666667,""))</f>
        <v/>
      </c>
      <c r="AE117" s="8" t="str">
        <f aca="false">IF(AND(D117="Férié",F117="Férié"),0.333333333333333,IF(OR(AND(D117="Férié",F117&lt;&gt;"Férié"),(AND(F117="Férié",D117&lt;&gt;"Férié"))),0.166666666666667,""))</f>
        <v/>
      </c>
      <c r="AF117" s="18"/>
      <c r="AG117" s="18"/>
    </row>
    <row r="118" customFormat="false" ht="15" hidden="false" customHeight="false" outlineLevel="0" collapsed="false">
      <c r="A118" s="6" t="str">
        <f aca="false">YEAR(Q118-WEEKDAY(Q118,2)+4)&amp;"-S"&amp;TEXT(WEEKNUM(Q118,21),"00")</f>
        <v>2025-S51</v>
      </c>
      <c r="B118" s="18" t="s">
        <v>69</v>
      </c>
      <c r="C118" s="19"/>
      <c r="D118" s="19" t="s">
        <v>74</v>
      </c>
      <c r="E118" s="19"/>
      <c r="F118" s="19" t="s">
        <v>74</v>
      </c>
      <c r="G118" s="20"/>
      <c r="H118" s="20"/>
      <c r="I118" s="8" t="str">
        <f aca="false">IF(IF(OR(C118="",D118="Congé",D118="OFF",D118="Congé spécial"),"",IF(D118&gt;F118,D118-C118,IF(C118-D118&lt;0,0,C118-D118)))&lt;0.00068287037037037,"",IF(OR(D118="Congé",D118="OFF",C118="",D118="Congé spécial"),"",IF(D118&gt;F118,D118-C118,IF(C118-D118&lt;0,0,C118-D118))))</f>
        <v/>
      </c>
      <c r="J118" s="20"/>
      <c r="K118" s="8" t="n">
        <f aca="false">IF(SUM(H118:J118)&lt;0.00068287037037037,0,SUM(H118:J118))</f>
        <v>0</v>
      </c>
      <c r="L118" s="8" t="n">
        <f aca="false">IF(OR(F118="Congé",F118="OFF",M118="Abs",F118="Congé sans solde",F118="Férié",F118="Congé spécial",D118="Congé spécial"),0,IF(F118-E118&lt;0,0,IF(F118-E118&lt;=0.00068287037037037,0,F118-E118)))</f>
        <v>0</v>
      </c>
      <c r="M118" s="6" t="n">
        <f aca="false">IF(AND(O118&lt;&gt;0,C118=""),"Abs",0)</f>
        <v>0</v>
      </c>
      <c r="N118" s="8" t="str">
        <f aca="false">IFERROR(IF(OR(D118="OFF",D118="Congé",M118="Abs",D118="Congé sans solde",D118="Férié"),"",IF(O118-K118-L118&gt;O118,O118,IF(O118-K118-L118&lt;0,"",O118-K118-L118))),"")</f>
        <v/>
      </c>
      <c r="O118" s="8" t="n">
        <f aca="false">IF(AG118="2H Pause déjeuner",IF(F118-D118-0.0833333333333333&lt;0,F118-D118-0.0833333333333333+1,F118-D118-0.0833333333333333),IF(OR(AND(F118="OFF",D118="OFF"),AND(F118="Congé",D118="Congé"),AND(F118="Congé sans solde",D118="Congé sans solde"),AND(F118="Congé spécial",D118="Congé spécial"),AND(F118="Férié",D118="Férié"),AND(F118="OFF",D118="Congé"),AND(F118="OFF",D118="Congé sans solde"),AND(F118="OFF",D118="Congé spécial"),AND(F118="OFF",D118="Férié"),AND(F118="Congé",D118="OFF"),AND(F118="Congé",D118="Congé sans solde"),AND(F118="Congé",D118="Congé spécial"),AND(F118="Congé",D118="Férié"),AND(F118="Congé sans solde",D118="OFF"),AND(F118="Congé sans solde",D118="Congé"),AND(F118="Congé sans solde",D118="Congé spécial"),AND(F118="Congé sans solde",D118="Férié"),AND(F118="Congé spécial",D118="OFF"),AND(F118="Congé spécial",D118="Congé"),AND(F118="Congé spécial",D118="Congé sans solde"),AND(F118="Congé spécial",D118="Férié"),AND(F118="Férié",D118="OFF"),AND(F118="Férié",D118="Congé"),AND(F118="Férié",D118="Congé sans solde"),AND(F118="Férié",D118="Congé spécial")),0,IF(OR(F118="OFF",F118="Congé",F118="Congé spécial",F118="Congé sans solde",D118="OFF",D118="Congé",D118="Congé spécial",D118="Congé sans solde"),0.208333333333334,IF(AND(AG118="",F118-D118&lt;0),("24:00:00"-D118)+("00:00:00"+F118)-0.0416666666666667,IF(AND(OR(AG118="Allaitement",AG118="Sans déjeuner"),F118-D118&lt;0),("24:00:00"-D118)+("00:00:00"+F118),IF(AND(AG118="",F118-D118&gt;0.166666666666667),F118-D118-0.0416666666666667,IF(AND(OR(AG118="Allaitement",AG118="Sans déjeuner"),F118-D118&gt;0.166666666666667),F118-D118,F118-D118)))))))</f>
        <v>0</v>
      </c>
      <c r="P118" s="6" t="str">
        <f aca="false">IFERROR(VLOOKUP($B118,Agents!$A:$D,2,0),"-")</f>
        <v>Accessibilité</v>
      </c>
      <c r="Q118" s="21" t="n">
        <v>46011</v>
      </c>
      <c r="R118" s="8" t="n">
        <f aca="false">IF(M118="Abs",O118,0)</f>
        <v>0</v>
      </c>
      <c r="S118" s="8" t="n">
        <f aca="false">SUM(R118,L118,I118,J118,W118,H118)</f>
        <v>0</v>
      </c>
      <c r="T118" s="6" t="str">
        <f aca="false">"Sem - "&amp;WEEKNUM(Q118,21)</f>
        <v>Sem - 51</v>
      </c>
      <c r="U118" s="6" t="str">
        <f aca="false">CHOOSE(MONTH(Q118),"Janvier","Février","Mars","Avril","Mai","Juin","Juillet","Août","Septembre","Octobre","Novembre","Décembre")</f>
        <v>Décembre</v>
      </c>
      <c r="V118" s="22" t="n">
        <f aca="false">YEAR(Q118)</f>
        <v>2025</v>
      </c>
      <c r="W118" s="20"/>
      <c r="X118" s="8" t="n">
        <f aca="false">IFERROR(IF(M118="Abs",0,IF(ROUND((D118-C118+E118-F118)*1440,0)&lt;=1,0,D118-C118+E118-F118)),0)</f>
        <v>0</v>
      </c>
      <c r="Y118" s="6" t="str">
        <f aca="false">IFERROR(VLOOKUP($B118,Agents!$A:$D,3,0),"-")</f>
        <v>OUBRAHIM Mohammed</v>
      </c>
      <c r="Z118" s="6" t="str">
        <f aca="false">IFERROR(VLOOKUP($B118,Agents!$A:$D,4,0),"-")</f>
        <v>Credit Mutuel</v>
      </c>
      <c r="AA118" s="18" t="s">
        <v>78</v>
      </c>
      <c r="AB118" s="8" t="str">
        <f aca="false">IF(AND(D118="Congé",F118="Congé"),0.333333333333333,IF(OR(AND(D118="Congé",F118&lt;&gt;"Congé"),(AND(F118="Congé",D118&lt;&gt;"Congé"))),0.166666666666667,""))</f>
        <v/>
      </c>
      <c r="AC118" s="8" t="str">
        <f aca="false">IF(AND(D118="Congé sans solde",F118="Congé sans solde"),0.333333333333333,IF(OR(AND(D118="Congé sans solde",F118&lt;&gt;"Congé sans solde"),(AND(F118="Congé sans solde",D118&lt;&gt;"Congé sans solde"))),0.166666666666667,""))</f>
        <v/>
      </c>
      <c r="AD118" s="8" t="str">
        <f aca="false">IF(AND(D118="Congé spécial",F118="Congé spécial"),0.333333333333333,IF(OR(AND(D118="Congé spécial",F118&lt;&gt;"Congé spécial"),AND(F118="Congé spécial",D118&lt;&gt;"Congé spécial")),0.166666666666667,""))</f>
        <v/>
      </c>
      <c r="AE118" s="8" t="str">
        <f aca="false">IF(AND(D118="Férié",F118="Férié"),0.333333333333333,IF(OR(AND(D118="Férié",F118&lt;&gt;"Férié"),(AND(F118="Férié",D118&lt;&gt;"Férié"))),0.166666666666667,""))</f>
        <v/>
      </c>
      <c r="AF118" s="18"/>
      <c r="AG118" s="18"/>
    </row>
    <row r="119" customFormat="false" ht="15" hidden="false" customHeight="false" outlineLevel="0" collapsed="false">
      <c r="A119" s="6" t="str">
        <f aca="false">YEAR(Q119-WEEKDAY(Q119,2)+4)&amp;"-S"&amp;TEXT(WEEKNUM(Q119,21),"00")</f>
        <v>2025-S51</v>
      </c>
      <c r="B119" s="18" t="s">
        <v>71</v>
      </c>
      <c r="C119" s="19"/>
      <c r="D119" s="19" t="s">
        <v>74</v>
      </c>
      <c r="E119" s="19"/>
      <c r="F119" s="19" t="s">
        <v>74</v>
      </c>
      <c r="G119" s="20"/>
      <c r="H119" s="20"/>
      <c r="I119" s="8" t="str">
        <f aca="false">IF(IF(OR(C119="",D119="Congé",D119="OFF",D119="Congé spécial"),"",IF(D119&gt;F119,D119-C119,IF(C119-D119&lt;0,0,C119-D119)))&lt;0.00068287037037037,"",IF(OR(D119="Congé",D119="OFF",C119="",D119="Congé spécial"),"",IF(D119&gt;F119,D119-C119,IF(C119-D119&lt;0,0,C119-D119))))</f>
        <v/>
      </c>
      <c r="J119" s="20"/>
      <c r="K119" s="8" t="n">
        <f aca="false">IF(SUM(H119:J119)&lt;0.00068287037037037,0,SUM(H119:J119))</f>
        <v>0</v>
      </c>
      <c r="L119" s="8" t="n">
        <f aca="false">IF(OR(F119="Congé",F119="OFF",M119="Abs",F119="Congé sans solde",F119="Férié",F119="Congé spécial",D119="Congé spécial"),0,IF(F119-E119&lt;0,0,IF(F119-E119&lt;=0.00068287037037037,0,F119-E119)))</f>
        <v>0</v>
      </c>
      <c r="M119" s="6" t="n">
        <f aca="false">IF(AND(O119&lt;&gt;0,C119=""),"Abs",0)</f>
        <v>0</v>
      </c>
      <c r="N119" s="8" t="str">
        <f aca="false">IFERROR(IF(OR(D119="OFF",D119="Congé",M119="Abs",D119="Congé sans solde",D119="Férié"),"",IF(O119-K119-L119&gt;O119,O119,IF(O119-K119-L119&lt;0,"",O119-K119-L119))),"")</f>
        <v/>
      </c>
      <c r="O119" s="8" t="n">
        <f aca="false">IF(AG119="2H Pause déjeuner",IF(F119-D119-0.0833333333333333&lt;0,F119-D119-0.0833333333333333+1,F119-D119-0.0833333333333333),IF(OR(AND(F119="OFF",D119="OFF"),AND(F119="Congé",D119="Congé"),AND(F119="Congé sans solde",D119="Congé sans solde"),AND(F119="Congé spécial",D119="Congé spécial"),AND(F119="Férié",D119="Férié"),AND(F119="OFF",D119="Congé"),AND(F119="OFF",D119="Congé sans solde"),AND(F119="OFF",D119="Congé spécial"),AND(F119="OFF",D119="Férié"),AND(F119="Congé",D119="OFF"),AND(F119="Congé",D119="Congé sans solde"),AND(F119="Congé",D119="Congé spécial"),AND(F119="Congé",D119="Férié"),AND(F119="Congé sans solde",D119="OFF"),AND(F119="Congé sans solde",D119="Congé"),AND(F119="Congé sans solde",D119="Congé spécial"),AND(F119="Congé sans solde",D119="Férié"),AND(F119="Congé spécial",D119="OFF"),AND(F119="Congé spécial",D119="Congé"),AND(F119="Congé spécial",D119="Congé sans solde"),AND(F119="Congé spécial",D119="Férié"),AND(F119="Férié",D119="OFF"),AND(F119="Férié",D119="Congé"),AND(F119="Férié",D119="Congé sans solde"),AND(F119="Férié",D119="Congé spécial")),0,IF(OR(F119="OFF",F119="Congé",F119="Congé spécial",F119="Congé sans solde",D119="OFF",D119="Congé",D119="Congé spécial",D119="Congé sans solde"),0.208333333333334,IF(AND(AG119="",F119-D119&lt;0),("24:00:00"-D119)+("00:00:00"+F119)-0.0416666666666667,IF(AND(OR(AG119="Allaitement",AG119="Sans déjeuner"),F119-D119&lt;0),("24:00:00"-D119)+("00:00:00"+F119),IF(AND(AG119="",F119-D119&gt;0.166666666666667),F119-D119-0.0416666666666667,IF(AND(OR(AG119="Allaitement",AG119="Sans déjeuner"),F119-D119&gt;0.166666666666667),F119-D119,F119-D119)))))))</f>
        <v>0</v>
      </c>
      <c r="P119" s="6" t="str">
        <f aca="false">IFERROR(VLOOKUP($B119,Agents!$A:$D,2,0),"-")</f>
        <v>Accessibilité</v>
      </c>
      <c r="Q119" s="21" t="n">
        <v>46011</v>
      </c>
      <c r="R119" s="8" t="n">
        <f aca="false">IF(M119="Abs",O119,0)</f>
        <v>0</v>
      </c>
      <c r="S119" s="8" t="n">
        <f aca="false">SUM(R119,L119,I119,J119,W119,H119)</f>
        <v>0</v>
      </c>
      <c r="T119" s="6" t="str">
        <f aca="false">"Sem - "&amp;WEEKNUM(Q119,21)</f>
        <v>Sem - 51</v>
      </c>
      <c r="U119" s="6" t="str">
        <f aca="false">CHOOSE(MONTH(Q119),"Janvier","Février","Mars","Avril","Mai","Juin","Juillet","Août","Septembre","Octobre","Novembre","Décembre")</f>
        <v>Décembre</v>
      </c>
      <c r="V119" s="22" t="n">
        <f aca="false">YEAR(Q119)</f>
        <v>2025</v>
      </c>
      <c r="W119" s="20"/>
      <c r="X119" s="8" t="n">
        <f aca="false">IFERROR(IF(M119="Abs",0,IF(ROUND((D119-C119+E119-F119)*1440,0)&lt;=1,0,D119-C119+E119-F119)),0)</f>
        <v>0</v>
      </c>
      <c r="Y119" s="6" t="str">
        <f aca="false">IFERROR(VLOOKUP($B119,Agents!$A:$D,3,0),"-")</f>
        <v>OUBRAHIM Mohammed</v>
      </c>
      <c r="Z119" s="6" t="str">
        <f aca="false">IFERROR(VLOOKUP($B119,Agents!$A:$D,4,0),"-")</f>
        <v>Credit Mutuel</v>
      </c>
      <c r="AA119" s="18" t="s">
        <v>78</v>
      </c>
      <c r="AB119" s="8" t="str">
        <f aca="false">IF(AND(D119="Congé",F119="Congé"),0.333333333333333,IF(OR(AND(D119="Congé",F119&lt;&gt;"Congé"),(AND(F119="Congé",D119&lt;&gt;"Congé"))),0.166666666666667,""))</f>
        <v/>
      </c>
      <c r="AC119" s="8" t="str">
        <f aca="false">IF(AND(D119="Congé sans solde",F119="Congé sans solde"),0.333333333333333,IF(OR(AND(D119="Congé sans solde",F119&lt;&gt;"Congé sans solde"),(AND(F119="Congé sans solde",D119&lt;&gt;"Congé sans solde"))),0.166666666666667,""))</f>
        <v/>
      </c>
      <c r="AD119" s="8" t="str">
        <f aca="false">IF(AND(D119="Congé spécial",F119="Congé spécial"),0.333333333333333,IF(OR(AND(D119="Congé spécial",F119&lt;&gt;"Congé spécial"),AND(F119="Congé spécial",D119&lt;&gt;"Congé spécial")),0.166666666666667,""))</f>
        <v/>
      </c>
      <c r="AE119" s="8" t="str">
        <f aca="false">IF(AND(D119="Férié",F119="Férié"),0.333333333333333,IF(OR(AND(D119="Férié",F119&lt;&gt;"Férié"),(AND(F119="Férié",D119&lt;&gt;"Férié"))),0.166666666666667,""))</f>
        <v/>
      </c>
      <c r="AF119" s="18"/>
      <c r="AG119" s="18"/>
    </row>
    <row r="120" customFormat="false" ht="15" hidden="false" customHeight="false" outlineLevel="0" collapsed="false">
      <c r="A120" s="6" t="str">
        <f aca="false">YEAR(Q120-WEEKDAY(Q120,2)+4)&amp;"-S"&amp;TEXT(WEEKNUM(Q120,21),"00")</f>
        <v>2025-S51</v>
      </c>
      <c r="B120" s="18" t="s">
        <v>72</v>
      </c>
      <c r="C120" s="19"/>
      <c r="D120" s="19" t="s">
        <v>74</v>
      </c>
      <c r="E120" s="19"/>
      <c r="F120" s="19" t="s">
        <v>74</v>
      </c>
      <c r="G120" s="20"/>
      <c r="H120" s="20"/>
      <c r="I120" s="8" t="str">
        <f aca="false">IF(IF(OR(C120="",D120="Congé",D120="OFF",D120="Congé spécial"),"",IF(D120&gt;F120,D120-C120,IF(C120-D120&lt;0,0,C120-D120)))&lt;0.00068287037037037,"",IF(OR(D120="Congé",D120="OFF",C120="",D120="Congé spécial"),"",IF(D120&gt;F120,D120-C120,IF(C120-D120&lt;0,0,C120-D120))))</f>
        <v/>
      </c>
      <c r="J120" s="20"/>
      <c r="K120" s="8" t="n">
        <f aca="false">IF(SUM(H120:J120)&lt;0.00068287037037037,0,SUM(H120:J120))</f>
        <v>0</v>
      </c>
      <c r="L120" s="8" t="n">
        <f aca="false">IF(OR(F120="Congé",F120="OFF",M120="Abs",F120="Congé sans solde",F120="Férié",F120="Congé spécial",D120="Congé spécial"),0,IF(F120-E120&lt;0,0,IF(F120-E120&lt;=0.00068287037037037,0,F120-E120)))</f>
        <v>0</v>
      </c>
      <c r="M120" s="6" t="n">
        <f aca="false">IF(AND(O120&lt;&gt;0,C120=""),"Abs",0)</f>
        <v>0</v>
      </c>
      <c r="N120" s="8" t="str">
        <f aca="false">IFERROR(IF(OR(D120="OFF",D120="Congé",M120="Abs",D120="Congé sans solde",D120="Férié"),"",IF(O120-K120-L120&gt;O120,O120,IF(O120-K120-L120&lt;0,"",O120-K120-L120))),"")</f>
        <v/>
      </c>
      <c r="O120" s="8" t="n">
        <f aca="false">IF(AG120="2H Pause déjeuner",IF(F120-D120-0.0833333333333333&lt;0,F120-D120-0.0833333333333333+1,F120-D120-0.0833333333333333),IF(OR(AND(F120="OFF",D120="OFF"),AND(F120="Congé",D120="Congé"),AND(F120="Congé sans solde",D120="Congé sans solde"),AND(F120="Congé spécial",D120="Congé spécial"),AND(F120="Férié",D120="Férié"),AND(F120="OFF",D120="Congé"),AND(F120="OFF",D120="Congé sans solde"),AND(F120="OFF",D120="Congé spécial"),AND(F120="OFF",D120="Férié"),AND(F120="Congé",D120="OFF"),AND(F120="Congé",D120="Congé sans solde"),AND(F120="Congé",D120="Congé spécial"),AND(F120="Congé",D120="Férié"),AND(F120="Congé sans solde",D120="OFF"),AND(F120="Congé sans solde",D120="Congé"),AND(F120="Congé sans solde",D120="Congé spécial"),AND(F120="Congé sans solde",D120="Férié"),AND(F120="Congé spécial",D120="OFF"),AND(F120="Congé spécial",D120="Congé"),AND(F120="Congé spécial",D120="Congé sans solde"),AND(F120="Congé spécial",D120="Férié"),AND(F120="Férié",D120="OFF"),AND(F120="Férié",D120="Congé"),AND(F120="Férié",D120="Congé sans solde"),AND(F120="Férié",D120="Congé spécial")),0,IF(OR(F120="OFF",F120="Congé",F120="Congé spécial",F120="Congé sans solde",D120="OFF",D120="Congé",D120="Congé spécial",D120="Congé sans solde"),0.208333333333334,IF(AND(AG120="",F120-D120&lt;0),("24:00:00"-D120)+("00:00:00"+F120)-0.0416666666666667,IF(AND(OR(AG120="Allaitement",AG120="Sans déjeuner"),F120-D120&lt;0),("24:00:00"-D120)+("00:00:00"+F120),IF(AND(AG120="",F120-D120&gt;0.166666666666667),F120-D120-0.0416666666666667,IF(AND(OR(AG120="Allaitement",AG120="Sans déjeuner"),F120-D120&gt;0.166666666666667),F120-D120,F120-D120)))))))</f>
        <v>0</v>
      </c>
      <c r="P120" s="6" t="str">
        <f aca="false">IFERROR(VLOOKUP($B120,Agents!$A:$D,2,0),"-")</f>
        <v>Accessibilité</v>
      </c>
      <c r="Q120" s="21" t="n">
        <v>46011</v>
      </c>
      <c r="R120" s="8" t="n">
        <f aca="false">IF(M120="Abs",O120,0)</f>
        <v>0</v>
      </c>
      <c r="S120" s="8" t="n">
        <f aca="false">SUM(R120,L120,I120,J120,W120,H120)</f>
        <v>0</v>
      </c>
      <c r="T120" s="6" t="str">
        <f aca="false">"Sem - "&amp;WEEKNUM(Q120,21)</f>
        <v>Sem - 51</v>
      </c>
      <c r="U120" s="6" t="str">
        <f aca="false">CHOOSE(MONTH(Q120),"Janvier","Février","Mars","Avril","Mai","Juin","Juillet","Août","Septembre","Octobre","Novembre","Décembre")</f>
        <v>Décembre</v>
      </c>
      <c r="V120" s="22" t="n">
        <f aca="false">YEAR(Q120)</f>
        <v>2025</v>
      </c>
      <c r="W120" s="20"/>
      <c r="X120" s="8" t="n">
        <f aca="false">IFERROR(IF(M120="Abs",0,IF(ROUND((D120-C120+E120-F120)*1440,0)&lt;=1,0,D120-C120+E120-F120)),0)</f>
        <v>0</v>
      </c>
      <c r="Y120" s="6" t="str">
        <f aca="false">IFERROR(VLOOKUP($B120,Agents!$A:$D,3,0),"-")</f>
        <v>OUBRAHIM Mohammed</v>
      </c>
      <c r="Z120" s="6" t="str">
        <f aca="false">IFERROR(VLOOKUP($B120,Agents!$A:$D,4,0),"-")</f>
        <v>Credit Mutuel</v>
      </c>
      <c r="AA120" s="18" t="s">
        <v>78</v>
      </c>
      <c r="AB120" s="8" t="str">
        <f aca="false">IF(AND(D120="Congé",F120="Congé"),0.333333333333333,IF(OR(AND(D120="Congé",F120&lt;&gt;"Congé"),(AND(F120="Congé",D120&lt;&gt;"Congé"))),0.166666666666667,""))</f>
        <v/>
      </c>
      <c r="AC120" s="8" t="str">
        <f aca="false">IF(AND(D120="Congé sans solde",F120="Congé sans solde"),0.333333333333333,IF(OR(AND(D120="Congé sans solde",F120&lt;&gt;"Congé sans solde"),(AND(F120="Congé sans solde",D120&lt;&gt;"Congé sans solde"))),0.166666666666667,""))</f>
        <v/>
      </c>
      <c r="AD120" s="8" t="str">
        <f aca="false">IF(AND(D120="Congé spécial",F120="Congé spécial"),0.333333333333333,IF(OR(AND(D120="Congé spécial",F120&lt;&gt;"Congé spécial"),AND(F120="Congé spécial",D120&lt;&gt;"Congé spécial")),0.166666666666667,""))</f>
        <v/>
      </c>
      <c r="AE120" s="8" t="str">
        <f aca="false">IF(AND(D120="Férié",F120="Férié"),0.333333333333333,IF(OR(AND(D120="Férié",F120&lt;&gt;"Férié"),(AND(F120="Férié",D120&lt;&gt;"Férié"))),0.166666666666667,""))</f>
        <v/>
      </c>
      <c r="AF120" s="18"/>
      <c r="AG120" s="18"/>
    </row>
    <row r="121" customFormat="false" ht="15" hidden="false" customHeight="false" outlineLevel="0" collapsed="false">
      <c r="A121" s="6" t="str">
        <f aca="false">YEAR(Q121-WEEKDAY(Q121,2)+4)&amp;"-S"&amp;TEXT(WEEKNUM(Q121,21),"00")</f>
        <v>2025-S51</v>
      </c>
      <c r="B121" s="18" t="s">
        <v>73</v>
      </c>
      <c r="C121" s="19"/>
      <c r="D121" s="19" t="s">
        <v>74</v>
      </c>
      <c r="E121" s="19"/>
      <c r="F121" s="19" t="s">
        <v>74</v>
      </c>
      <c r="G121" s="20"/>
      <c r="H121" s="20"/>
      <c r="I121" s="8" t="str">
        <f aca="false">IF(IF(OR(C121="",D121="Congé",D121="OFF",D121="Congé spécial"),"",IF(D121&gt;F121,D121-C121,IF(C121-D121&lt;0,0,C121-D121)))&lt;0.00068287037037037,"",IF(OR(D121="Congé",D121="OFF",C121="",D121="Congé spécial"),"",IF(D121&gt;F121,D121-C121,IF(C121-D121&lt;0,0,C121-D121))))</f>
        <v/>
      </c>
      <c r="J121" s="20"/>
      <c r="K121" s="8" t="n">
        <f aca="false">IF(SUM(H121:J121)&lt;0.00068287037037037,0,SUM(H121:J121))</f>
        <v>0</v>
      </c>
      <c r="L121" s="8" t="n">
        <f aca="false">IF(OR(F121="Congé",F121="OFF",M121="Abs",F121="Congé sans solde",F121="Férié",F121="Congé spécial",D121="Congé spécial"),0,IF(F121-E121&lt;0,0,IF(F121-E121&lt;=0.00068287037037037,0,F121-E121)))</f>
        <v>0</v>
      </c>
      <c r="M121" s="6" t="n">
        <f aca="false">IF(AND(O121&lt;&gt;0,C121=""),"Abs",0)</f>
        <v>0</v>
      </c>
      <c r="N121" s="8" t="str">
        <f aca="false">IFERROR(IF(OR(D121="OFF",D121="Congé",M121="Abs",D121="Congé sans solde",D121="Férié"),"",IF(O121-K121-L121&gt;O121,O121,IF(O121-K121-L121&lt;0,"",O121-K121-L121))),"")</f>
        <v/>
      </c>
      <c r="O121" s="8" t="n">
        <f aca="false">IF(AG121="2H Pause déjeuner",IF(F121-D121-0.0833333333333333&lt;0,F121-D121-0.0833333333333333+1,F121-D121-0.0833333333333333),IF(OR(AND(F121="OFF",D121="OFF"),AND(F121="Congé",D121="Congé"),AND(F121="Congé sans solde",D121="Congé sans solde"),AND(F121="Congé spécial",D121="Congé spécial"),AND(F121="Férié",D121="Férié"),AND(F121="OFF",D121="Congé"),AND(F121="OFF",D121="Congé sans solde"),AND(F121="OFF",D121="Congé spécial"),AND(F121="OFF",D121="Férié"),AND(F121="Congé",D121="OFF"),AND(F121="Congé",D121="Congé sans solde"),AND(F121="Congé",D121="Congé spécial"),AND(F121="Congé",D121="Férié"),AND(F121="Congé sans solde",D121="OFF"),AND(F121="Congé sans solde",D121="Congé"),AND(F121="Congé sans solde",D121="Congé spécial"),AND(F121="Congé sans solde",D121="Férié"),AND(F121="Congé spécial",D121="OFF"),AND(F121="Congé spécial",D121="Congé"),AND(F121="Congé spécial",D121="Congé sans solde"),AND(F121="Congé spécial",D121="Férié"),AND(F121="Férié",D121="OFF"),AND(F121="Férié",D121="Congé"),AND(F121="Férié",D121="Congé sans solde"),AND(F121="Férié",D121="Congé spécial")),0,IF(OR(F121="OFF",F121="Congé",F121="Congé spécial",F121="Congé sans solde",D121="OFF",D121="Congé",D121="Congé spécial",D121="Congé sans solde"),0.208333333333334,IF(AND(AG121="",F121-D121&lt;0),("24:00:00"-D121)+("00:00:00"+F121)-0.0416666666666667,IF(AND(OR(AG121="Allaitement",AG121="Sans déjeuner"),F121-D121&lt;0),("24:00:00"-D121)+("00:00:00"+F121),IF(AND(AG121="",F121-D121&gt;0.166666666666667),F121-D121-0.0416666666666667,IF(AND(OR(AG121="Allaitement",AG121="Sans déjeuner"),F121-D121&gt;0.166666666666667),F121-D121,F121-D121)))))))</f>
        <v>0</v>
      </c>
      <c r="P121" s="6" t="str">
        <f aca="false">IFERROR(VLOOKUP($B121,Agents!$A:$D,2,0),"-")</f>
        <v>Accessibilité</v>
      </c>
      <c r="Q121" s="21" t="n">
        <v>46011</v>
      </c>
      <c r="R121" s="8" t="n">
        <f aca="false">IF(M121="Abs",O121,0)</f>
        <v>0</v>
      </c>
      <c r="S121" s="8" t="n">
        <f aca="false">SUM(R121,L121,I121,J121,W121,H121)</f>
        <v>0</v>
      </c>
      <c r="T121" s="6" t="str">
        <f aca="false">"Sem - "&amp;WEEKNUM(Q121,21)</f>
        <v>Sem - 51</v>
      </c>
      <c r="U121" s="6" t="str">
        <f aca="false">CHOOSE(MONTH(Q121),"Janvier","Février","Mars","Avril","Mai","Juin","Juillet","Août","Septembre","Octobre","Novembre","Décembre")</f>
        <v>Décembre</v>
      </c>
      <c r="V121" s="22" t="n">
        <f aca="false">YEAR(Q121)</f>
        <v>2025</v>
      </c>
      <c r="W121" s="20"/>
      <c r="X121" s="8" t="n">
        <f aca="false">IFERROR(IF(M121="Abs",0,IF(ROUND((D121-C121+E121-F121)*1440,0)&lt;=1,0,D121-C121+E121-F121)),0)</f>
        <v>0</v>
      </c>
      <c r="Y121" s="6" t="str">
        <f aca="false">IFERROR(VLOOKUP($B121,Agents!$A:$D,3,0),"-")</f>
        <v>OUBRAHIM Mohammed</v>
      </c>
      <c r="Z121" s="6" t="str">
        <f aca="false">IFERROR(VLOOKUP($B121,Agents!$A:$D,4,0),"-")</f>
        <v>Credit Mutuel</v>
      </c>
      <c r="AA121" s="18" t="s">
        <v>78</v>
      </c>
      <c r="AB121" s="8" t="str">
        <f aca="false">IF(AND(D121="Congé",F121="Congé"),0.333333333333333,IF(OR(AND(D121="Congé",F121&lt;&gt;"Congé"),(AND(F121="Congé",D121&lt;&gt;"Congé"))),0.166666666666667,""))</f>
        <v/>
      </c>
      <c r="AC121" s="8" t="str">
        <f aca="false">IF(AND(D121="Congé sans solde",F121="Congé sans solde"),0.333333333333333,IF(OR(AND(D121="Congé sans solde",F121&lt;&gt;"Congé sans solde"),(AND(F121="Congé sans solde",D121&lt;&gt;"Congé sans solde"))),0.166666666666667,""))</f>
        <v/>
      </c>
      <c r="AD121" s="8" t="str">
        <f aca="false">IF(AND(D121="Congé spécial",F121="Congé spécial"),0.333333333333333,IF(OR(AND(D121="Congé spécial",F121&lt;&gt;"Congé spécial"),AND(F121="Congé spécial",D121&lt;&gt;"Congé spécial")),0.166666666666667,""))</f>
        <v/>
      </c>
      <c r="AE121" s="8" t="str">
        <f aca="false">IF(AND(D121="Férié",F121="Férié"),0.333333333333333,IF(OR(AND(D121="Férié",F121&lt;&gt;"Férié"),(AND(F121="Férié",D121&lt;&gt;"Férié"))),0.166666666666667,""))</f>
        <v/>
      </c>
      <c r="AF121" s="18"/>
      <c r="AG121" s="18"/>
    </row>
    <row r="122" customFormat="false" ht="15" hidden="false" customHeight="false" outlineLevel="0" collapsed="false">
      <c r="A122" s="6" t="str">
        <f aca="false">YEAR(Q122-WEEKDAY(Q122,2)+4)&amp;"-S"&amp;TEXT(WEEKNUM(Q122,21),"00")</f>
        <v>2025-S51</v>
      </c>
      <c r="B122" s="18" t="s">
        <v>69</v>
      </c>
      <c r="C122" s="19"/>
      <c r="D122" s="19" t="s">
        <v>74</v>
      </c>
      <c r="E122" s="19"/>
      <c r="F122" s="19" t="s">
        <v>74</v>
      </c>
      <c r="G122" s="20"/>
      <c r="H122" s="20"/>
      <c r="I122" s="8" t="str">
        <f aca="false">IF(IF(OR(C122="",D122="Congé",D122="OFF",D122="Congé spécial"),"",IF(D122&gt;F122,D122-C122,IF(C122-D122&lt;0,0,C122-D122)))&lt;0.00068287037037037,"",IF(OR(D122="Congé",D122="OFF",C122="",D122="Congé spécial"),"",IF(D122&gt;F122,D122-C122,IF(C122-D122&lt;0,0,C122-D122))))</f>
        <v/>
      </c>
      <c r="J122" s="20"/>
      <c r="K122" s="8" t="n">
        <f aca="false">IF(SUM(H122:J122)&lt;0.00068287037037037,0,SUM(H122:J122))</f>
        <v>0</v>
      </c>
      <c r="L122" s="8" t="n">
        <f aca="false">IF(OR(F122="Congé",F122="OFF",M122="Abs",F122="Congé sans solde",F122="Férié",F122="Congé spécial",D122="Congé spécial"),0,IF(F122-E122&lt;0,0,IF(F122-E122&lt;=0.00068287037037037,0,F122-E122)))</f>
        <v>0</v>
      </c>
      <c r="M122" s="6" t="n">
        <f aca="false">IF(AND(O122&lt;&gt;0,C122=""),"Abs",0)</f>
        <v>0</v>
      </c>
      <c r="N122" s="8" t="str">
        <f aca="false">IFERROR(IF(OR(D122="OFF",D122="Congé",M122="Abs",D122="Congé sans solde",D122="Férié"),"",IF(O122-K122-L122&gt;O122,O122,IF(O122-K122-L122&lt;0,"",O122-K122-L122))),"")</f>
        <v/>
      </c>
      <c r="O122" s="8" t="n">
        <f aca="false">IF(AG122="2H Pause déjeuner",IF(F122-D122-0.0833333333333333&lt;0,F122-D122-0.0833333333333333+1,F122-D122-0.0833333333333333),IF(OR(AND(F122="OFF",D122="OFF"),AND(F122="Congé",D122="Congé"),AND(F122="Congé sans solde",D122="Congé sans solde"),AND(F122="Congé spécial",D122="Congé spécial"),AND(F122="Férié",D122="Férié"),AND(F122="OFF",D122="Congé"),AND(F122="OFF",D122="Congé sans solde"),AND(F122="OFF",D122="Congé spécial"),AND(F122="OFF",D122="Férié"),AND(F122="Congé",D122="OFF"),AND(F122="Congé",D122="Congé sans solde"),AND(F122="Congé",D122="Congé spécial"),AND(F122="Congé",D122="Férié"),AND(F122="Congé sans solde",D122="OFF"),AND(F122="Congé sans solde",D122="Congé"),AND(F122="Congé sans solde",D122="Congé spécial"),AND(F122="Congé sans solde",D122="Férié"),AND(F122="Congé spécial",D122="OFF"),AND(F122="Congé spécial",D122="Congé"),AND(F122="Congé spécial",D122="Congé sans solde"),AND(F122="Congé spécial",D122="Férié"),AND(F122="Férié",D122="OFF"),AND(F122="Férié",D122="Congé"),AND(F122="Férié",D122="Congé sans solde"),AND(F122="Férié",D122="Congé spécial")),0,IF(OR(F122="OFF",F122="Congé",F122="Congé spécial",F122="Congé sans solde",D122="OFF",D122="Congé",D122="Congé spécial",D122="Congé sans solde"),0.208333333333334,IF(AND(AG122="",F122-D122&lt;0),("24:00:00"-D122)+("00:00:00"+F122)-0.0416666666666667,IF(AND(OR(AG122="Allaitement",AG122="Sans déjeuner"),F122-D122&lt;0),("24:00:00"-D122)+("00:00:00"+F122),IF(AND(AG122="",F122-D122&gt;0.166666666666667),F122-D122-0.0416666666666667,IF(AND(OR(AG122="Allaitement",AG122="Sans déjeuner"),F122-D122&gt;0.166666666666667),F122-D122,F122-D122)))))))</f>
        <v>0</v>
      </c>
      <c r="P122" s="6" t="str">
        <f aca="false">IFERROR(VLOOKUP($B122,Agents!$A:$D,2,0),"-")</f>
        <v>Accessibilité</v>
      </c>
      <c r="Q122" s="21" t="n">
        <v>46012</v>
      </c>
      <c r="R122" s="8" t="n">
        <f aca="false">IF(M122="Abs",O122,0)</f>
        <v>0</v>
      </c>
      <c r="S122" s="8" t="n">
        <f aca="false">SUM(R122,L122,I122,J122,W122,H122)</f>
        <v>0</v>
      </c>
      <c r="T122" s="6" t="str">
        <f aca="false">"Sem - "&amp;WEEKNUM(Q122,21)</f>
        <v>Sem - 51</v>
      </c>
      <c r="U122" s="6" t="str">
        <f aca="false">CHOOSE(MONTH(Q122),"Janvier","Février","Mars","Avril","Mai","Juin","Juillet","Août","Septembre","Octobre","Novembre","Décembre")</f>
        <v>Décembre</v>
      </c>
      <c r="V122" s="22" t="n">
        <f aca="false">YEAR(Q122)</f>
        <v>2025</v>
      </c>
      <c r="W122" s="20"/>
      <c r="X122" s="8" t="n">
        <f aca="false">IFERROR(IF(M122="Abs",0,IF(ROUND((D122-C122+E122-F122)*1440,0)&lt;=1,0,D122-C122+E122-F122)),0)</f>
        <v>0</v>
      </c>
      <c r="Y122" s="6" t="str">
        <f aca="false">IFERROR(VLOOKUP($B122,Agents!$A:$D,3,0),"-")</f>
        <v>OUBRAHIM Mohammed</v>
      </c>
      <c r="Z122" s="6" t="str">
        <f aca="false">IFERROR(VLOOKUP($B122,Agents!$A:$D,4,0),"-")</f>
        <v>Credit Mutuel</v>
      </c>
      <c r="AA122" s="18" t="s">
        <v>78</v>
      </c>
      <c r="AB122" s="8" t="str">
        <f aca="false">IF(AND(D122="Congé",F122="Congé"),0.333333333333333,IF(OR(AND(D122="Congé",F122&lt;&gt;"Congé"),(AND(F122="Congé",D122&lt;&gt;"Congé"))),0.166666666666667,""))</f>
        <v/>
      </c>
      <c r="AC122" s="8" t="str">
        <f aca="false">IF(AND(D122="Congé sans solde",F122="Congé sans solde"),0.333333333333333,IF(OR(AND(D122="Congé sans solde",F122&lt;&gt;"Congé sans solde"),(AND(F122="Congé sans solde",D122&lt;&gt;"Congé sans solde"))),0.166666666666667,""))</f>
        <v/>
      </c>
      <c r="AD122" s="8" t="str">
        <f aca="false">IF(AND(D122="Congé spécial",F122="Congé spécial"),0.333333333333333,IF(OR(AND(D122="Congé spécial",F122&lt;&gt;"Congé spécial"),AND(F122="Congé spécial",D122&lt;&gt;"Congé spécial")),0.166666666666667,""))</f>
        <v/>
      </c>
      <c r="AE122" s="8" t="str">
        <f aca="false">IF(AND(D122="Férié",F122="Férié"),0.333333333333333,IF(OR(AND(D122="Férié",F122&lt;&gt;"Férié"),(AND(F122="Férié",D122&lt;&gt;"Férié"))),0.166666666666667,""))</f>
        <v/>
      </c>
      <c r="AF122" s="18"/>
      <c r="AG122" s="18"/>
    </row>
    <row r="123" customFormat="false" ht="15" hidden="false" customHeight="false" outlineLevel="0" collapsed="false">
      <c r="A123" s="6" t="str">
        <f aca="false">YEAR(Q123-WEEKDAY(Q123,2)+4)&amp;"-S"&amp;TEXT(WEEKNUM(Q123,21),"00")</f>
        <v>2025-S51</v>
      </c>
      <c r="B123" s="18" t="s">
        <v>71</v>
      </c>
      <c r="C123" s="19"/>
      <c r="D123" s="19" t="s">
        <v>74</v>
      </c>
      <c r="E123" s="19"/>
      <c r="F123" s="19" t="s">
        <v>74</v>
      </c>
      <c r="G123" s="20"/>
      <c r="H123" s="20"/>
      <c r="I123" s="8" t="str">
        <f aca="false">IF(IF(OR(C123="",D123="Congé",D123="OFF",D123="Congé spécial"),"",IF(D123&gt;F123,D123-C123,IF(C123-D123&lt;0,0,C123-D123)))&lt;0.00068287037037037,"",IF(OR(D123="Congé",D123="OFF",C123="",D123="Congé spécial"),"",IF(D123&gt;F123,D123-C123,IF(C123-D123&lt;0,0,C123-D123))))</f>
        <v/>
      </c>
      <c r="J123" s="20"/>
      <c r="K123" s="8" t="n">
        <f aca="false">IF(SUM(H123:J123)&lt;0.00068287037037037,0,SUM(H123:J123))</f>
        <v>0</v>
      </c>
      <c r="L123" s="8" t="n">
        <f aca="false">IF(OR(F123="Congé",F123="OFF",M123="Abs",F123="Congé sans solde",F123="Férié",F123="Congé spécial",D123="Congé spécial"),0,IF(F123-E123&lt;0,0,IF(F123-E123&lt;=0.00068287037037037,0,F123-E123)))</f>
        <v>0</v>
      </c>
      <c r="M123" s="6" t="n">
        <f aca="false">IF(AND(O123&lt;&gt;0,C123=""),"Abs",0)</f>
        <v>0</v>
      </c>
      <c r="N123" s="8" t="str">
        <f aca="false">IFERROR(IF(OR(D123="OFF",D123="Congé",M123="Abs",D123="Congé sans solde",D123="Férié"),"",IF(O123-K123-L123&gt;O123,O123,IF(O123-K123-L123&lt;0,"",O123-K123-L123))),"")</f>
        <v/>
      </c>
      <c r="O123" s="8" t="n">
        <f aca="false">IF(AG123="2H Pause déjeuner",IF(F123-D123-0.0833333333333333&lt;0,F123-D123-0.0833333333333333+1,F123-D123-0.0833333333333333),IF(OR(AND(F123="OFF",D123="OFF"),AND(F123="Congé",D123="Congé"),AND(F123="Congé sans solde",D123="Congé sans solde"),AND(F123="Congé spécial",D123="Congé spécial"),AND(F123="Férié",D123="Férié"),AND(F123="OFF",D123="Congé"),AND(F123="OFF",D123="Congé sans solde"),AND(F123="OFF",D123="Congé spécial"),AND(F123="OFF",D123="Férié"),AND(F123="Congé",D123="OFF"),AND(F123="Congé",D123="Congé sans solde"),AND(F123="Congé",D123="Congé spécial"),AND(F123="Congé",D123="Férié"),AND(F123="Congé sans solde",D123="OFF"),AND(F123="Congé sans solde",D123="Congé"),AND(F123="Congé sans solde",D123="Congé spécial"),AND(F123="Congé sans solde",D123="Férié"),AND(F123="Congé spécial",D123="OFF"),AND(F123="Congé spécial",D123="Congé"),AND(F123="Congé spécial",D123="Congé sans solde"),AND(F123="Congé spécial",D123="Férié"),AND(F123="Férié",D123="OFF"),AND(F123="Férié",D123="Congé"),AND(F123="Férié",D123="Congé sans solde"),AND(F123="Férié",D123="Congé spécial")),0,IF(OR(F123="OFF",F123="Congé",F123="Congé spécial",F123="Congé sans solde",D123="OFF",D123="Congé",D123="Congé spécial",D123="Congé sans solde"),0.208333333333334,IF(AND(AG123="",F123-D123&lt;0),("24:00:00"-D123)+("00:00:00"+F123)-0.0416666666666667,IF(AND(OR(AG123="Allaitement",AG123="Sans déjeuner"),F123-D123&lt;0),("24:00:00"-D123)+("00:00:00"+F123),IF(AND(AG123="",F123-D123&gt;0.166666666666667),F123-D123-0.0416666666666667,IF(AND(OR(AG123="Allaitement",AG123="Sans déjeuner"),F123-D123&gt;0.166666666666667),F123-D123,F123-D123)))))))</f>
        <v>0</v>
      </c>
      <c r="P123" s="6" t="str">
        <f aca="false">IFERROR(VLOOKUP($B123,Agents!$A:$D,2,0),"-")</f>
        <v>Accessibilité</v>
      </c>
      <c r="Q123" s="21" t="n">
        <v>46012</v>
      </c>
      <c r="R123" s="8" t="n">
        <f aca="false">IF(M123="Abs",O123,0)</f>
        <v>0</v>
      </c>
      <c r="S123" s="8" t="n">
        <f aca="false">SUM(R123,L123,I123,J123,W123,H123)</f>
        <v>0</v>
      </c>
      <c r="T123" s="6" t="str">
        <f aca="false">"Sem - "&amp;WEEKNUM(Q123,21)</f>
        <v>Sem - 51</v>
      </c>
      <c r="U123" s="6" t="str">
        <f aca="false">CHOOSE(MONTH(Q123),"Janvier","Février","Mars","Avril","Mai","Juin","Juillet","Août","Septembre","Octobre","Novembre","Décembre")</f>
        <v>Décembre</v>
      </c>
      <c r="V123" s="22" t="n">
        <f aca="false">YEAR(Q123)</f>
        <v>2025</v>
      </c>
      <c r="W123" s="20"/>
      <c r="X123" s="8" t="n">
        <f aca="false">IFERROR(IF(M123="Abs",0,IF(ROUND((D123-C123+E123-F123)*1440,0)&lt;=1,0,D123-C123+E123-F123)),0)</f>
        <v>0</v>
      </c>
      <c r="Y123" s="6" t="str">
        <f aca="false">IFERROR(VLOOKUP($B123,Agents!$A:$D,3,0),"-")</f>
        <v>OUBRAHIM Mohammed</v>
      </c>
      <c r="Z123" s="6" t="str">
        <f aca="false">IFERROR(VLOOKUP($B123,Agents!$A:$D,4,0),"-")</f>
        <v>Credit Mutuel</v>
      </c>
      <c r="AA123" s="18" t="s">
        <v>78</v>
      </c>
      <c r="AB123" s="8" t="str">
        <f aca="false">IF(AND(D123="Congé",F123="Congé"),0.333333333333333,IF(OR(AND(D123="Congé",F123&lt;&gt;"Congé"),(AND(F123="Congé",D123&lt;&gt;"Congé"))),0.166666666666667,""))</f>
        <v/>
      </c>
      <c r="AC123" s="8" t="str">
        <f aca="false">IF(AND(D123="Congé sans solde",F123="Congé sans solde"),0.333333333333333,IF(OR(AND(D123="Congé sans solde",F123&lt;&gt;"Congé sans solde"),(AND(F123="Congé sans solde",D123&lt;&gt;"Congé sans solde"))),0.166666666666667,""))</f>
        <v/>
      </c>
      <c r="AD123" s="8" t="str">
        <f aca="false">IF(AND(D123="Congé spécial",F123="Congé spécial"),0.333333333333333,IF(OR(AND(D123="Congé spécial",F123&lt;&gt;"Congé spécial"),AND(F123="Congé spécial",D123&lt;&gt;"Congé spécial")),0.166666666666667,""))</f>
        <v/>
      </c>
      <c r="AE123" s="8" t="str">
        <f aca="false">IF(AND(D123="Férié",F123="Férié"),0.333333333333333,IF(OR(AND(D123="Férié",F123&lt;&gt;"Férié"),(AND(F123="Férié",D123&lt;&gt;"Férié"))),0.166666666666667,""))</f>
        <v/>
      </c>
      <c r="AF123" s="18"/>
      <c r="AG123" s="18"/>
    </row>
    <row r="124" customFormat="false" ht="15" hidden="false" customHeight="false" outlineLevel="0" collapsed="false">
      <c r="A124" s="6" t="str">
        <f aca="false">YEAR(Q124-WEEKDAY(Q124,2)+4)&amp;"-S"&amp;TEXT(WEEKNUM(Q124,21),"00")</f>
        <v>2025-S51</v>
      </c>
      <c r="B124" s="18" t="s">
        <v>72</v>
      </c>
      <c r="C124" s="19"/>
      <c r="D124" s="19" t="s">
        <v>74</v>
      </c>
      <c r="E124" s="19"/>
      <c r="F124" s="19" t="s">
        <v>74</v>
      </c>
      <c r="G124" s="20"/>
      <c r="H124" s="20"/>
      <c r="I124" s="8" t="str">
        <f aca="false">IF(IF(OR(C124="",D124="Congé",D124="OFF",D124="Congé spécial"),"",IF(D124&gt;F124,D124-C124,IF(C124-D124&lt;0,0,C124-D124)))&lt;0.00068287037037037,"",IF(OR(D124="Congé",D124="OFF",C124="",D124="Congé spécial"),"",IF(D124&gt;F124,D124-C124,IF(C124-D124&lt;0,0,C124-D124))))</f>
        <v/>
      </c>
      <c r="J124" s="20"/>
      <c r="K124" s="8" t="n">
        <f aca="false">IF(SUM(H124:J124)&lt;0.00068287037037037,0,SUM(H124:J124))</f>
        <v>0</v>
      </c>
      <c r="L124" s="8" t="n">
        <f aca="false">IF(OR(F124="Congé",F124="OFF",M124="Abs",F124="Congé sans solde",F124="Férié",F124="Congé spécial",D124="Congé spécial"),0,IF(F124-E124&lt;0,0,IF(F124-E124&lt;=0.00068287037037037,0,F124-E124)))</f>
        <v>0</v>
      </c>
      <c r="M124" s="6" t="n">
        <f aca="false">IF(AND(O124&lt;&gt;0,C124=""),"Abs",0)</f>
        <v>0</v>
      </c>
      <c r="N124" s="8" t="str">
        <f aca="false">IFERROR(IF(OR(D124="OFF",D124="Congé",M124="Abs",D124="Congé sans solde",D124="Férié"),"",IF(O124-K124-L124&gt;O124,O124,IF(O124-K124-L124&lt;0,"",O124-K124-L124))),"")</f>
        <v/>
      </c>
      <c r="O124" s="8" t="n">
        <f aca="false">IF(AG124="2H Pause déjeuner",IF(F124-D124-0.0833333333333333&lt;0,F124-D124-0.0833333333333333+1,F124-D124-0.0833333333333333),IF(OR(AND(F124="OFF",D124="OFF"),AND(F124="Congé",D124="Congé"),AND(F124="Congé sans solde",D124="Congé sans solde"),AND(F124="Congé spécial",D124="Congé spécial"),AND(F124="Férié",D124="Férié"),AND(F124="OFF",D124="Congé"),AND(F124="OFF",D124="Congé sans solde"),AND(F124="OFF",D124="Congé spécial"),AND(F124="OFF",D124="Férié"),AND(F124="Congé",D124="OFF"),AND(F124="Congé",D124="Congé sans solde"),AND(F124="Congé",D124="Congé spécial"),AND(F124="Congé",D124="Férié"),AND(F124="Congé sans solde",D124="OFF"),AND(F124="Congé sans solde",D124="Congé"),AND(F124="Congé sans solde",D124="Congé spécial"),AND(F124="Congé sans solde",D124="Férié"),AND(F124="Congé spécial",D124="OFF"),AND(F124="Congé spécial",D124="Congé"),AND(F124="Congé spécial",D124="Congé sans solde"),AND(F124="Congé spécial",D124="Férié"),AND(F124="Férié",D124="OFF"),AND(F124="Férié",D124="Congé"),AND(F124="Férié",D124="Congé sans solde"),AND(F124="Férié",D124="Congé spécial")),0,IF(OR(F124="OFF",F124="Congé",F124="Congé spécial",F124="Congé sans solde",D124="OFF",D124="Congé",D124="Congé spécial",D124="Congé sans solde"),0.208333333333334,IF(AND(AG124="",F124-D124&lt;0),("24:00:00"-D124)+("00:00:00"+F124)-0.0416666666666667,IF(AND(OR(AG124="Allaitement",AG124="Sans déjeuner"),F124-D124&lt;0),("24:00:00"-D124)+("00:00:00"+F124),IF(AND(AG124="",F124-D124&gt;0.166666666666667),F124-D124-0.0416666666666667,IF(AND(OR(AG124="Allaitement",AG124="Sans déjeuner"),F124-D124&gt;0.166666666666667),F124-D124,F124-D124)))))))</f>
        <v>0</v>
      </c>
      <c r="P124" s="6" t="str">
        <f aca="false">IFERROR(VLOOKUP($B124,Agents!$A:$D,2,0),"-")</f>
        <v>Accessibilité</v>
      </c>
      <c r="Q124" s="21" t="n">
        <v>46012</v>
      </c>
      <c r="R124" s="8" t="n">
        <f aca="false">IF(M124="Abs",O124,0)</f>
        <v>0</v>
      </c>
      <c r="S124" s="8" t="n">
        <f aca="false">SUM(R124,L124,I124,J124,W124,H124)</f>
        <v>0</v>
      </c>
      <c r="T124" s="6" t="str">
        <f aca="false">"Sem - "&amp;WEEKNUM(Q124,21)</f>
        <v>Sem - 51</v>
      </c>
      <c r="U124" s="6" t="str">
        <f aca="false">CHOOSE(MONTH(Q124),"Janvier","Février","Mars","Avril","Mai","Juin","Juillet","Août","Septembre","Octobre","Novembre","Décembre")</f>
        <v>Décembre</v>
      </c>
      <c r="V124" s="22" t="n">
        <f aca="false">YEAR(Q124)</f>
        <v>2025</v>
      </c>
      <c r="W124" s="20"/>
      <c r="X124" s="8" t="n">
        <f aca="false">IFERROR(IF(M124="Abs",0,IF(ROUND((D124-C124+E124-F124)*1440,0)&lt;=1,0,D124-C124+E124-F124)),0)</f>
        <v>0</v>
      </c>
      <c r="Y124" s="6" t="str">
        <f aca="false">IFERROR(VLOOKUP($B124,Agents!$A:$D,3,0),"-")</f>
        <v>OUBRAHIM Mohammed</v>
      </c>
      <c r="Z124" s="6" t="str">
        <f aca="false">IFERROR(VLOOKUP($B124,Agents!$A:$D,4,0),"-")</f>
        <v>Credit Mutuel</v>
      </c>
      <c r="AA124" s="18" t="s">
        <v>78</v>
      </c>
      <c r="AB124" s="8" t="str">
        <f aca="false">IF(AND(D124="Congé",F124="Congé"),0.333333333333333,IF(OR(AND(D124="Congé",F124&lt;&gt;"Congé"),(AND(F124="Congé",D124&lt;&gt;"Congé"))),0.166666666666667,""))</f>
        <v/>
      </c>
      <c r="AC124" s="8" t="str">
        <f aca="false">IF(AND(D124="Congé sans solde",F124="Congé sans solde"),0.333333333333333,IF(OR(AND(D124="Congé sans solde",F124&lt;&gt;"Congé sans solde"),(AND(F124="Congé sans solde",D124&lt;&gt;"Congé sans solde"))),0.166666666666667,""))</f>
        <v/>
      </c>
      <c r="AD124" s="8" t="str">
        <f aca="false">IF(AND(D124="Congé spécial",F124="Congé spécial"),0.333333333333333,IF(OR(AND(D124="Congé spécial",F124&lt;&gt;"Congé spécial"),AND(F124="Congé spécial",D124&lt;&gt;"Congé spécial")),0.166666666666667,""))</f>
        <v/>
      </c>
      <c r="AE124" s="8" t="str">
        <f aca="false">IF(AND(D124="Férié",F124="Férié"),0.333333333333333,IF(OR(AND(D124="Férié",F124&lt;&gt;"Férié"),(AND(F124="Férié",D124&lt;&gt;"Férié"))),0.166666666666667,""))</f>
        <v/>
      </c>
      <c r="AF124" s="18"/>
      <c r="AG124" s="18"/>
    </row>
    <row r="125" customFormat="false" ht="15" hidden="false" customHeight="false" outlineLevel="0" collapsed="false">
      <c r="A125" s="6" t="str">
        <f aca="false">YEAR(Q125-WEEKDAY(Q125,2)+4)&amp;"-S"&amp;TEXT(WEEKNUM(Q125,21),"00")</f>
        <v>2025-S51</v>
      </c>
      <c r="B125" s="18" t="s">
        <v>73</v>
      </c>
      <c r="C125" s="19"/>
      <c r="D125" s="19" t="s">
        <v>74</v>
      </c>
      <c r="E125" s="19"/>
      <c r="F125" s="19" t="s">
        <v>74</v>
      </c>
      <c r="G125" s="20"/>
      <c r="H125" s="20"/>
      <c r="I125" s="8" t="str">
        <f aca="false">IF(IF(OR(C125="",D125="Congé",D125="OFF",D125="Congé spécial"),"",IF(D125&gt;F125,D125-C125,IF(C125-D125&lt;0,0,C125-D125)))&lt;0.00068287037037037,"",IF(OR(D125="Congé",D125="OFF",C125="",D125="Congé spécial"),"",IF(D125&gt;F125,D125-C125,IF(C125-D125&lt;0,0,C125-D125))))</f>
        <v/>
      </c>
      <c r="J125" s="20"/>
      <c r="K125" s="8" t="n">
        <f aca="false">IF(SUM(H125:J125)&lt;0.00068287037037037,0,SUM(H125:J125))</f>
        <v>0</v>
      </c>
      <c r="L125" s="8" t="n">
        <f aca="false">IF(OR(F125="Congé",F125="OFF",M125="Abs",F125="Congé sans solde",F125="Férié",F125="Congé spécial",D125="Congé spécial"),0,IF(F125-E125&lt;0,0,IF(F125-E125&lt;=0.00068287037037037,0,F125-E125)))</f>
        <v>0</v>
      </c>
      <c r="M125" s="6" t="n">
        <f aca="false">IF(AND(O125&lt;&gt;0,C125=""),"Abs",0)</f>
        <v>0</v>
      </c>
      <c r="N125" s="8" t="str">
        <f aca="false">IFERROR(IF(OR(D125="OFF",D125="Congé",M125="Abs",D125="Congé sans solde",D125="Férié"),"",IF(O125-K125-L125&gt;O125,O125,IF(O125-K125-L125&lt;0,"",O125-K125-L125))),"")</f>
        <v/>
      </c>
      <c r="O125" s="8" t="n">
        <f aca="false">IF(AG125="2H Pause déjeuner",IF(F125-D125-0.0833333333333333&lt;0,F125-D125-0.0833333333333333+1,F125-D125-0.0833333333333333),IF(OR(AND(F125="OFF",D125="OFF"),AND(F125="Congé",D125="Congé"),AND(F125="Congé sans solde",D125="Congé sans solde"),AND(F125="Congé spécial",D125="Congé spécial"),AND(F125="Férié",D125="Férié"),AND(F125="OFF",D125="Congé"),AND(F125="OFF",D125="Congé sans solde"),AND(F125="OFF",D125="Congé spécial"),AND(F125="OFF",D125="Férié"),AND(F125="Congé",D125="OFF"),AND(F125="Congé",D125="Congé sans solde"),AND(F125="Congé",D125="Congé spécial"),AND(F125="Congé",D125="Férié"),AND(F125="Congé sans solde",D125="OFF"),AND(F125="Congé sans solde",D125="Congé"),AND(F125="Congé sans solde",D125="Congé spécial"),AND(F125="Congé sans solde",D125="Férié"),AND(F125="Congé spécial",D125="OFF"),AND(F125="Congé spécial",D125="Congé"),AND(F125="Congé spécial",D125="Congé sans solde"),AND(F125="Congé spécial",D125="Férié"),AND(F125="Férié",D125="OFF"),AND(F125="Férié",D125="Congé"),AND(F125="Férié",D125="Congé sans solde"),AND(F125="Férié",D125="Congé spécial")),0,IF(OR(F125="OFF",F125="Congé",F125="Congé spécial",F125="Congé sans solde",D125="OFF",D125="Congé",D125="Congé spécial",D125="Congé sans solde"),0.208333333333334,IF(AND(AG125="",F125-D125&lt;0),("24:00:00"-D125)+("00:00:00"+F125)-0.0416666666666667,IF(AND(OR(AG125="Allaitement",AG125="Sans déjeuner"),F125-D125&lt;0),("24:00:00"-D125)+("00:00:00"+F125),IF(AND(AG125="",F125-D125&gt;0.166666666666667),F125-D125-0.0416666666666667,IF(AND(OR(AG125="Allaitement",AG125="Sans déjeuner"),F125-D125&gt;0.166666666666667),F125-D125,F125-D125)))))))</f>
        <v>0</v>
      </c>
      <c r="P125" s="6" t="str">
        <f aca="false">IFERROR(VLOOKUP($B125,Agents!$A:$D,2,0),"-")</f>
        <v>Accessibilité</v>
      </c>
      <c r="Q125" s="21" t="n">
        <v>46012</v>
      </c>
      <c r="R125" s="8" t="n">
        <f aca="false">IF(M125="Abs",O125,0)</f>
        <v>0</v>
      </c>
      <c r="S125" s="8" t="n">
        <f aca="false">SUM(R125,L125,I125,J125,W125,H125)</f>
        <v>0</v>
      </c>
      <c r="T125" s="6" t="str">
        <f aca="false">"Sem - "&amp;WEEKNUM(Q125,21)</f>
        <v>Sem - 51</v>
      </c>
      <c r="U125" s="6" t="str">
        <f aca="false">CHOOSE(MONTH(Q125),"Janvier","Février","Mars","Avril","Mai","Juin","Juillet","Août","Septembre","Octobre","Novembre","Décembre")</f>
        <v>Décembre</v>
      </c>
      <c r="V125" s="22" t="n">
        <f aca="false">YEAR(Q125)</f>
        <v>2025</v>
      </c>
      <c r="W125" s="20"/>
      <c r="X125" s="8" t="n">
        <f aca="false">IFERROR(IF(M125="Abs",0,IF(ROUND((D125-C125+E125-F125)*1440,0)&lt;=1,0,D125-C125+E125-F125)),0)</f>
        <v>0</v>
      </c>
      <c r="Y125" s="6" t="str">
        <f aca="false">IFERROR(VLOOKUP($B125,Agents!$A:$D,3,0),"-")</f>
        <v>OUBRAHIM Mohammed</v>
      </c>
      <c r="Z125" s="6" t="str">
        <f aca="false">IFERROR(VLOOKUP($B125,Agents!$A:$D,4,0),"-")</f>
        <v>Credit Mutuel</v>
      </c>
      <c r="AA125" s="18" t="s">
        <v>78</v>
      </c>
      <c r="AB125" s="8" t="str">
        <f aca="false">IF(AND(D125="Congé",F125="Congé"),0.333333333333333,IF(OR(AND(D125="Congé",F125&lt;&gt;"Congé"),(AND(F125="Congé",D125&lt;&gt;"Congé"))),0.166666666666667,""))</f>
        <v/>
      </c>
      <c r="AC125" s="8" t="str">
        <f aca="false">IF(AND(D125="Congé sans solde",F125="Congé sans solde"),0.333333333333333,IF(OR(AND(D125="Congé sans solde",F125&lt;&gt;"Congé sans solde"),(AND(F125="Congé sans solde",D125&lt;&gt;"Congé sans solde"))),0.166666666666667,""))</f>
        <v/>
      </c>
      <c r="AD125" s="8" t="str">
        <f aca="false">IF(AND(D125="Congé spécial",F125="Congé spécial"),0.333333333333333,IF(OR(AND(D125="Congé spécial",F125&lt;&gt;"Congé spécial"),AND(F125="Congé spécial",D125&lt;&gt;"Congé spécial")),0.166666666666667,""))</f>
        <v/>
      </c>
      <c r="AE125" s="8" t="str">
        <f aca="false">IF(AND(D125="Férié",F125="Férié"),0.333333333333333,IF(OR(AND(D125="Férié",F125&lt;&gt;"Férié"),(AND(F125="Férié",D125&lt;&gt;"Férié"))),0.166666666666667,""))</f>
        <v/>
      </c>
      <c r="AF125" s="18"/>
      <c r="AG125" s="18"/>
    </row>
    <row r="126" customFormat="false" ht="15" hidden="false" customHeight="false" outlineLevel="0" collapsed="false">
      <c r="A126" s="6" t="str">
        <f aca="false">YEAR(Q126-WEEKDAY(Q126,2)+4)&amp;"-S"&amp;TEXT(WEEKNUM(Q126,21),"00")</f>
        <v>2025-S52</v>
      </c>
      <c r="B126" s="18" t="s">
        <v>69</v>
      </c>
      <c r="C126" s="19" t="n">
        <v>0.332638888888889</v>
      </c>
      <c r="D126" s="19" t="n">
        <v>0.333333333333333</v>
      </c>
      <c r="E126" s="19" t="n">
        <v>0.75</v>
      </c>
      <c r="F126" s="19" t="n">
        <v>0.75</v>
      </c>
      <c r="G126" s="20"/>
      <c r="H126" s="20"/>
      <c r="I126" s="8" t="str">
        <f aca="false">IF(IF(OR(C126="",D126="Congé",D126="OFF",D126="Congé spécial"),"",IF(D126&gt;F126,D126-C126,IF(C126-D126&lt;0,0,C126-D126)))&lt;0.00068287037037037,"",IF(OR(D126="Congé",D126="OFF",C126="",D126="Congé spécial"),"",IF(D126&gt;F126,D126-C126,IF(C126-D126&lt;0,0,C126-D126))))</f>
        <v/>
      </c>
      <c r="J126" s="20"/>
      <c r="K126" s="8" t="n">
        <f aca="false">IF(SUM(H126:J126)&lt;0.00068287037037037,0,SUM(H126:J126))</f>
        <v>0</v>
      </c>
      <c r="L126" s="8" t="n">
        <f aca="false">IF(OR(F126="Congé",F126="OFF",M126="Abs",F126="Congé sans solde",F126="Férié",F126="Congé spécial",D126="Congé spécial"),0,IF(F126-E126&lt;0,0,IF(F126-E126&lt;=0.00068287037037037,0,F126-E126)))</f>
        <v>0</v>
      </c>
      <c r="M126" s="6" t="n">
        <f aca="false">IF(AND(O126&lt;&gt;0,C126=""),"Abs",0)</f>
        <v>0</v>
      </c>
      <c r="N126" s="8" t="n">
        <f aca="false">IFERROR(IF(OR(D126="OFF",D126="Congé",M126="Abs",D126="Congé sans solde",D126="Férié"),"",IF(O126-K126-L126&gt;O126,O126,IF(O126-K126-L126&lt;0,"",O126-K126-L126))),"")</f>
        <v>0.375</v>
      </c>
      <c r="O126" s="8" t="n">
        <f aca="false">IF(AG126="2H Pause déjeuner",IF(F126-D126-0.0833333333333333&lt;0,F126-D126-0.0833333333333333+1,F126-D126-0.0833333333333333),IF(OR(AND(F126="OFF",D126="OFF"),AND(F126="Congé",D126="Congé"),AND(F126="Congé sans solde",D126="Congé sans solde"),AND(F126="Congé spécial",D126="Congé spécial"),AND(F126="Férié",D126="Férié"),AND(F126="OFF",D126="Congé"),AND(F126="OFF",D126="Congé sans solde"),AND(F126="OFF",D126="Congé spécial"),AND(F126="OFF",D126="Férié"),AND(F126="Congé",D126="OFF"),AND(F126="Congé",D126="Congé sans solde"),AND(F126="Congé",D126="Congé spécial"),AND(F126="Congé",D126="Férié"),AND(F126="Congé sans solde",D126="OFF"),AND(F126="Congé sans solde",D126="Congé"),AND(F126="Congé sans solde",D126="Congé spécial"),AND(F126="Congé sans solde",D126="Férié"),AND(F126="Congé spécial",D126="OFF"),AND(F126="Congé spécial",D126="Congé"),AND(F126="Congé spécial",D126="Congé sans solde"),AND(F126="Congé spécial",D126="Férié"),AND(F126="Férié",D126="OFF"),AND(F126="Férié",D126="Congé"),AND(F126="Férié",D126="Congé sans solde"),AND(F126="Férié",D126="Congé spécial")),0,IF(OR(F126="OFF",F126="Congé",F126="Congé spécial",F126="Congé sans solde",D126="OFF",D126="Congé",D126="Congé spécial",D126="Congé sans solde"),0.208333333333334,IF(AND(AG126="",F126-D126&lt;0),("24:00:00"-D126)+("00:00:00"+F126)-0.0416666666666667,IF(AND(OR(AG126="Allaitement",AG126="Sans déjeuner"),F126-D126&lt;0),("24:00:00"-D126)+("00:00:00"+F126),IF(AND(AG126="",F126-D126&gt;0.166666666666667),F126-D126-0.0416666666666667,IF(AND(OR(AG126="Allaitement",AG126="Sans déjeuner"),F126-D126&gt;0.166666666666667),F126-D126,F126-D126)))))))</f>
        <v>0.375</v>
      </c>
      <c r="P126" s="6" t="str">
        <f aca="false">IFERROR(VLOOKUP($B126,Agents!$A:$D,2,0),"-")</f>
        <v>Accessibilité</v>
      </c>
      <c r="Q126" s="21" t="n">
        <v>46013</v>
      </c>
      <c r="R126" s="8" t="n">
        <f aca="false">IF(M126="Abs",O126,0)</f>
        <v>0</v>
      </c>
      <c r="S126" s="8" t="n">
        <f aca="false">SUM(R126,L126,I126,J126,W126,H126)</f>
        <v>0</v>
      </c>
      <c r="T126" s="6" t="str">
        <f aca="false">"Sem - "&amp;WEEKNUM(Q126,21)</f>
        <v>Sem - 52</v>
      </c>
      <c r="U126" s="6" t="str">
        <f aca="false">CHOOSE(MONTH(Q126),"Janvier","Février","Mars","Avril","Mai","Juin","Juillet","Août","Septembre","Octobre","Novembre","Décembre")</f>
        <v>Décembre</v>
      </c>
      <c r="V126" s="22" t="n">
        <f aca="false">YEAR(Q126)</f>
        <v>2025</v>
      </c>
      <c r="W126" s="20"/>
      <c r="X126" s="8" t="n">
        <f aca="false">IFERROR(IF(M126="Abs",0,IF(ROUND((D126-C126+E126-F126)*1440,0)&lt;=1,0,D126-C126+E126-F126)),0)</f>
        <v>0</v>
      </c>
      <c r="Y126" s="6" t="str">
        <f aca="false">IFERROR(VLOOKUP($B126,Agents!$A:$D,3,0),"-")</f>
        <v>OUBRAHIM Mohammed</v>
      </c>
      <c r="Z126" s="6" t="str">
        <f aca="false">IFERROR(VLOOKUP($B126,Agents!$A:$D,4,0),"-")</f>
        <v>Credit Mutuel</v>
      </c>
      <c r="AA126" s="18" t="s">
        <v>79</v>
      </c>
      <c r="AB126" s="8" t="str">
        <f aca="false">IF(AND(D126="Congé",F126="Congé"),0.333333333333333,IF(OR(AND(D126="Congé",F126&lt;&gt;"Congé"),(AND(F126="Congé",D126&lt;&gt;"Congé"))),0.166666666666667,""))</f>
        <v/>
      </c>
      <c r="AC126" s="8" t="str">
        <f aca="false">IF(AND(D126="Congé sans solde",F126="Congé sans solde"),0.333333333333333,IF(OR(AND(D126="Congé sans solde",F126&lt;&gt;"Congé sans solde"),(AND(F126="Congé sans solde",D126&lt;&gt;"Congé sans solde"))),0.166666666666667,""))</f>
        <v/>
      </c>
      <c r="AD126" s="8" t="str">
        <f aca="false">IF(AND(D126="Congé spécial",F126="Congé spécial"),0.333333333333333,IF(OR(AND(D126="Congé spécial",F126&lt;&gt;"Congé spécial"),AND(F126="Congé spécial",D126&lt;&gt;"Congé spécial")),0.166666666666667,""))</f>
        <v/>
      </c>
      <c r="AE126" s="8" t="str">
        <f aca="false">IF(AND(D126="Férié",F126="Férié"),0.333333333333333,IF(OR(AND(D126="Férié",F126&lt;&gt;"Férié"),(AND(F126="Férié",D126&lt;&gt;"Férié"))),0.166666666666667,""))</f>
        <v/>
      </c>
      <c r="AF126" s="18"/>
      <c r="AG126" s="18"/>
    </row>
    <row r="127" customFormat="false" ht="15" hidden="false" customHeight="false" outlineLevel="0" collapsed="false">
      <c r="A127" s="6" t="str">
        <f aca="false">YEAR(Q127-WEEKDAY(Q127,2)+4)&amp;"-S"&amp;TEXT(WEEKNUM(Q127,21),"00")</f>
        <v>2025-S52</v>
      </c>
      <c r="B127" s="18" t="s">
        <v>71</v>
      </c>
      <c r="C127" s="19" t="n">
        <v>0.332638888888889</v>
      </c>
      <c r="D127" s="19" t="n">
        <v>0.333333333333333</v>
      </c>
      <c r="E127" s="19" t="n">
        <v>0.75</v>
      </c>
      <c r="F127" s="19" t="n">
        <v>0.75</v>
      </c>
      <c r="G127" s="20"/>
      <c r="H127" s="20"/>
      <c r="I127" s="8" t="str">
        <f aca="false">IF(IF(OR(C127="",D127="Congé",D127="OFF",D127="Congé spécial"),"",IF(D127&gt;F127,D127-C127,IF(C127-D127&lt;0,0,C127-D127)))&lt;0.00068287037037037,"",IF(OR(D127="Congé",D127="OFF",C127="",D127="Congé spécial"),"",IF(D127&gt;F127,D127-C127,IF(C127-D127&lt;0,0,C127-D127))))</f>
        <v/>
      </c>
      <c r="J127" s="20"/>
      <c r="K127" s="8" t="n">
        <f aca="false">IF(SUM(H127:J127)&lt;0.00068287037037037,0,SUM(H127:J127))</f>
        <v>0</v>
      </c>
      <c r="L127" s="8" t="n">
        <f aca="false">IF(OR(F127="Congé",F127="OFF",M127="Abs",F127="Congé sans solde",F127="Férié",F127="Congé spécial",D127="Congé spécial"),0,IF(F127-E127&lt;0,0,IF(F127-E127&lt;=0.00068287037037037,0,F127-E127)))</f>
        <v>0</v>
      </c>
      <c r="M127" s="6" t="n">
        <f aca="false">IF(AND(O127&lt;&gt;0,C127=""),"Abs",0)</f>
        <v>0</v>
      </c>
      <c r="N127" s="8" t="n">
        <f aca="false">IFERROR(IF(OR(D127="OFF",D127="Congé",M127="Abs",D127="Congé sans solde",D127="Férié"),"",IF(O127-K127-L127&gt;O127,O127,IF(O127-K127-L127&lt;0,"",O127-K127-L127))),"")</f>
        <v>0.375</v>
      </c>
      <c r="O127" s="8" t="n">
        <f aca="false">IF(AG127="2H Pause déjeuner",IF(F127-D127-0.0833333333333333&lt;0,F127-D127-0.0833333333333333+1,F127-D127-0.0833333333333333),IF(OR(AND(F127="OFF",D127="OFF"),AND(F127="Congé",D127="Congé"),AND(F127="Congé sans solde",D127="Congé sans solde"),AND(F127="Congé spécial",D127="Congé spécial"),AND(F127="Férié",D127="Férié"),AND(F127="OFF",D127="Congé"),AND(F127="OFF",D127="Congé sans solde"),AND(F127="OFF",D127="Congé spécial"),AND(F127="OFF",D127="Férié"),AND(F127="Congé",D127="OFF"),AND(F127="Congé",D127="Congé sans solde"),AND(F127="Congé",D127="Congé spécial"),AND(F127="Congé",D127="Férié"),AND(F127="Congé sans solde",D127="OFF"),AND(F127="Congé sans solde",D127="Congé"),AND(F127="Congé sans solde",D127="Congé spécial"),AND(F127="Congé sans solde",D127="Férié"),AND(F127="Congé spécial",D127="OFF"),AND(F127="Congé spécial",D127="Congé"),AND(F127="Congé spécial",D127="Congé sans solde"),AND(F127="Congé spécial",D127="Férié"),AND(F127="Férié",D127="OFF"),AND(F127="Férié",D127="Congé"),AND(F127="Férié",D127="Congé sans solde"),AND(F127="Férié",D127="Congé spécial")),0,IF(OR(F127="OFF",F127="Congé",F127="Congé spécial",F127="Congé sans solde",D127="OFF",D127="Congé",D127="Congé spécial",D127="Congé sans solde"),0.208333333333334,IF(AND(AG127="",F127-D127&lt;0),("24:00:00"-D127)+("00:00:00"+F127)-0.0416666666666667,IF(AND(OR(AG127="Allaitement",AG127="Sans déjeuner"),F127-D127&lt;0),("24:00:00"-D127)+("00:00:00"+F127),IF(AND(AG127="",F127-D127&gt;0.166666666666667),F127-D127-0.0416666666666667,IF(AND(OR(AG127="Allaitement",AG127="Sans déjeuner"),F127-D127&gt;0.166666666666667),F127-D127,F127-D127)))))))</f>
        <v>0.375</v>
      </c>
      <c r="P127" s="6" t="str">
        <f aca="false">IFERROR(VLOOKUP($B127,Agents!$A:$D,2,0),"-")</f>
        <v>Accessibilité</v>
      </c>
      <c r="Q127" s="21" t="n">
        <v>46013</v>
      </c>
      <c r="R127" s="8" t="n">
        <f aca="false">IF(M127="Abs",O127,0)</f>
        <v>0</v>
      </c>
      <c r="S127" s="8" t="n">
        <f aca="false">SUM(R127,L127,I127,J127,W127,H127)</f>
        <v>0</v>
      </c>
      <c r="T127" s="6" t="str">
        <f aca="false">"Sem - "&amp;WEEKNUM(Q127,21)</f>
        <v>Sem - 52</v>
      </c>
      <c r="U127" s="6" t="str">
        <f aca="false">CHOOSE(MONTH(Q127),"Janvier","Février","Mars","Avril","Mai","Juin","Juillet","Août","Septembre","Octobre","Novembre","Décembre")</f>
        <v>Décembre</v>
      </c>
      <c r="V127" s="22" t="n">
        <f aca="false">YEAR(Q127)</f>
        <v>2025</v>
      </c>
      <c r="W127" s="20"/>
      <c r="X127" s="8" t="n">
        <f aca="false">IFERROR(IF(M127="Abs",0,IF(ROUND((D127-C127+E127-F127)*1440,0)&lt;=1,0,D127-C127+E127-F127)),0)</f>
        <v>0</v>
      </c>
      <c r="Y127" s="6" t="str">
        <f aca="false">IFERROR(VLOOKUP($B127,Agents!$A:$D,3,0),"-")</f>
        <v>OUBRAHIM Mohammed</v>
      </c>
      <c r="Z127" s="6" t="str">
        <f aca="false">IFERROR(VLOOKUP($B127,Agents!$A:$D,4,0),"-")</f>
        <v>Credit Mutuel</v>
      </c>
      <c r="AA127" s="18" t="s">
        <v>79</v>
      </c>
      <c r="AB127" s="8" t="str">
        <f aca="false">IF(AND(D127="Congé",F127="Congé"),0.333333333333333,IF(OR(AND(D127="Congé",F127&lt;&gt;"Congé"),(AND(F127="Congé",D127&lt;&gt;"Congé"))),0.166666666666667,""))</f>
        <v/>
      </c>
      <c r="AC127" s="8" t="str">
        <f aca="false">IF(AND(D127="Congé sans solde",F127="Congé sans solde"),0.333333333333333,IF(OR(AND(D127="Congé sans solde",F127&lt;&gt;"Congé sans solde"),(AND(F127="Congé sans solde",D127&lt;&gt;"Congé sans solde"))),0.166666666666667,""))</f>
        <v/>
      </c>
      <c r="AD127" s="8" t="str">
        <f aca="false">IF(AND(D127="Congé spécial",F127="Congé spécial"),0.333333333333333,IF(OR(AND(D127="Congé spécial",F127&lt;&gt;"Congé spécial"),AND(F127="Congé spécial",D127&lt;&gt;"Congé spécial")),0.166666666666667,""))</f>
        <v/>
      </c>
      <c r="AE127" s="8" t="str">
        <f aca="false">IF(AND(D127="Férié",F127="Férié"),0.333333333333333,IF(OR(AND(D127="Férié",F127&lt;&gt;"Férié"),(AND(F127="Férié",D127&lt;&gt;"Férié"))),0.166666666666667,""))</f>
        <v/>
      </c>
      <c r="AF127" s="18"/>
      <c r="AG127" s="18"/>
    </row>
    <row r="128" customFormat="false" ht="15" hidden="false" customHeight="false" outlineLevel="0" collapsed="false">
      <c r="A128" s="6" t="str">
        <f aca="false">YEAR(Q128-WEEKDAY(Q128,2)+4)&amp;"-S"&amp;TEXT(WEEKNUM(Q128,21),"00")</f>
        <v>2025-S52</v>
      </c>
      <c r="B128" s="18" t="s">
        <v>72</v>
      </c>
      <c r="C128" s="19" t="n">
        <v>0.331944444444444</v>
      </c>
      <c r="D128" s="19" t="n">
        <v>0.333333333333333</v>
      </c>
      <c r="E128" s="19" t="n">
        <v>0.75</v>
      </c>
      <c r="F128" s="19" t="n">
        <v>0.75</v>
      </c>
      <c r="G128" s="20"/>
      <c r="H128" s="20"/>
      <c r="I128" s="8" t="str">
        <f aca="false">IF(IF(OR(C128="",D128="Congé",D128="OFF",D128="Congé spécial"),"",IF(D128&gt;F128,D128-C128,IF(C128-D128&lt;0,0,C128-D128)))&lt;0.00068287037037037,"",IF(OR(D128="Congé",D128="OFF",C128="",D128="Congé spécial"),"",IF(D128&gt;F128,D128-C128,IF(C128-D128&lt;0,0,C128-D128))))</f>
        <v/>
      </c>
      <c r="J128" s="20"/>
      <c r="K128" s="8" t="n">
        <f aca="false">IF(SUM(H128:J128)&lt;0.00068287037037037,0,SUM(H128:J128))</f>
        <v>0</v>
      </c>
      <c r="L128" s="8" t="n">
        <f aca="false">IF(OR(F128="Congé",F128="OFF",M128="Abs",F128="Congé sans solde",F128="Férié",F128="Congé spécial",D128="Congé spécial"),0,IF(F128-E128&lt;0,0,IF(F128-E128&lt;=0.00068287037037037,0,F128-E128)))</f>
        <v>0</v>
      </c>
      <c r="M128" s="6" t="n">
        <f aca="false">IF(AND(O128&lt;&gt;0,C128=""),"Abs",0)</f>
        <v>0</v>
      </c>
      <c r="N128" s="8" t="n">
        <f aca="false">IFERROR(IF(OR(D128="OFF",D128="Congé",M128="Abs",D128="Congé sans solde",D128="Férié"),"",IF(O128-K128-L128&gt;O128,O128,IF(O128-K128-L128&lt;0,"",O128-K128-L128))),"")</f>
        <v>0.375</v>
      </c>
      <c r="O128" s="8" t="n">
        <f aca="false">IF(AG128="2H Pause déjeuner",IF(F128-D128-0.0833333333333333&lt;0,F128-D128-0.0833333333333333+1,F128-D128-0.0833333333333333),IF(OR(AND(F128="OFF",D128="OFF"),AND(F128="Congé",D128="Congé"),AND(F128="Congé sans solde",D128="Congé sans solde"),AND(F128="Congé spécial",D128="Congé spécial"),AND(F128="Férié",D128="Férié"),AND(F128="OFF",D128="Congé"),AND(F128="OFF",D128="Congé sans solde"),AND(F128="OFF",D128="Congé spécial"),AND(F128="OFF",D128="Férié"),AND(F128="Congé",D128="OFF"),AND(F128="Congé",D128="Congé sans solde"),AND(F128="Congé",D128="Congé spécial"),AND(F128="Congé",D128="Férié"),AND(F128="Congé sans solde",D128="OFF"),AND(F128="Congé sans solde",D128="Congé"),AND(F128="Congé sans solde",D128="Congé spécial"),AND(F128="Congé sans solde",D128="Férié"),AND(F128="Congé spécial",D128="OFF"),AND(F128="Congé spécial",D128="Congé"),AND(F128="Congé spécial",D128="Congé sans solde"),AND(F128="Congé spécial",D128="Férié"),AND(F128="Férié",D128="OFF"),AND(F128="Férié",D128="Congé"),AND(F128="Férié",D128="Congé sans solde"),AND(F128="Férié",D128="Congé spécial")),0,IF(OR(F128="OFF",F128="Congé",F128="Congé spécial",F128="Congé sans solde",D128="OFF",D128="Congé",D128="Congé spécial",D128="Congé sans solde"),0.208333333333334,IF(AND(AG128="",F128-D128&lt;0),("24:00:00"-D128)+("00:00:00"+F128)-0.0416666666666667,IF(AND(OR(AG128="Allaitement",AG128="Sans déjeuner"),F128-D128&lt;0),("24:00:00"-D128)+("00:00:00"+F128),IF(AND(AG128="",F128-D128&gt;0.166666666666667),F128-D128-0.0416666666666667,IF(AND(OR(AG128="Allaitement",AG128="Sans déjeuner"),F128-D128&gt;0.166666666666667),F128-D128,F128-D128)))))))</f>
        <v>0.375</v>
      </c>
      <c r="P128" s="6" t="str">
        <f aca="false">IFERROR(VLOOKUP($B128,Agents!$A:$D,2,0),"-")</f>
        <v>Accessibilité</v>
      </c>
      <c r="Q128" s="21" t="n">
        <v>46013</v>
      </c>
      <c r="R128" s="8" t="n">
        <f aca="false">IF(M128="Abs",O128,0)</f>
        <v>0</v>
      </c>
      <c r="S128" s="8" t="n">
        <f aca="false">SUM(R128,L128,I128,J128,W128,H128)</f>
        <v>0</v>
      </c>
      <c r="T128" s="6" t="str">
        <f aca="false">"Sem - "&amp;WEEKNUM(Q128,21)</f>
        <v>Sem - 52</v>
      </c>
      <c r="U128" s="6" t="str">
        <f aca="false">CHOOSE(MONTH(Q128),"Janvier","Février","Mars","Avril","Mai","Juin","Juillet","Août","Septembre","Octobre","Novembre","Décembre")</f>
        <v>Décembre</v>
      </c>
      <c r="V128" s="22" t="n">
        <f aca="false">YEAR(Q128)</f>
        <v>2025</v>
      </c>
      <c r="W128" s="20"/>
      <c r="X128" s="8" t="n">
        <f aca="false">IFERROR(IF(M128="Abs",0,IF(ROUND((D128-C128+E128-F128)*1440,0)&lt;=1,0,D128-C128+E128-F128)),0)</f>
        <v>0.00138888888888889</v>
      </c>
      <c r="Y128" s="6" t="str">
        <f aca="false">IFERROR(VLOOKUP($B128,Agents!$A:$D,3,0),"-")</f>
        <v>OUBRAHIM Mohammed</v>
      </c>
      <c r="Z128" s="6" t="str">
        <f aca="false">IFERROR(VLOOKUP($B128,Agents!$A:$D,4,0),"-")</f>
        <v>Credit Mutuel</v>
      </c>
      <c r="AA128" s="18" t="s">
        <v>79</v>
      </c>
      <c r="AB128" s="8" t="str">
        <f aca="false">IF(AND(D128="Congé",F128="Congé"),0.333333333333333,IF(OR(AND(D128="Congé",F128&lt;&gt;"Congé"),(AND(F128="Congé",D128&lt;&gt;"Congé"))),0.166666666666667,""))</f>
        <v/>
      </c>
      <c r="AC128" s="8" t="str">
        <f aca="false">IF(AND(D128="Congé sans solde",F128="Congé sans solde"),0.333333333333333,IF(OR(AND(D128="Congé sans solde",F128&lt;&gt;"Congé sans solde"),(AND(F128="Congé sans solde",D128&lt;&gt;"Congé sans solde"))),0.166666666666667,""))</f>
        <v/>
      </c>
      <c r="AD128" s="8" t="str">
        <f aca="false">IF(AND(D128="Congé spécial",F128="Congé spécial"),0.333333333333333,IF(OR(AND(D128="Congé spécial",F128&lt;&gt;"Congé spécial"),AND(F128="Congé spécial",D128&lt;&gt;"Congé spécial")),0.166666666666667,""))</f>
        <v/>
      </c>
      <c r="AE128" s="8" t="str">
        <f aca="false">IF(AND(D128="Férié",F128="Férié"),0.333333333333333,IF(OR(AND(D128="Férié",F128&lt;&gt;"Férié"),(AND(F128="Férié",D128&lt;&gt;"Férié"))),0.166666666666667,""))</f>
        <v/>
      </c>
      <c r="AF128" s="18"/>
      <c r="AG128" s="18"/>
    </row>
    <row r="129" customFormat="false" ht="15" hidden="false" customHeight="false" outlineLevel="0" collapsed="false">
      <c r="A129" s="6" t="str">
        <f aca="false">YEAR(Q129-WEEKDAY(Q129,2)+4)&amp;"-S"&amp;TEXT(WEEKNUM(Q129,21),"00")</f>
        <v>2025-S52</v>
      </c>
      <c r="B129" s="18" t="s">
        <v>73</v>
      </c>
      <c r="C129" s="19" t="n">
        <v>0.332638888888889</v>
      </c>
      <c r="D129" s="19" t="n">
        <v>0.333333333333333</v>
      </c>
      <c r="E129" s="19" t="n">
        <v>0.75</v>
      </c>
      <c r="F129" s="19" t="n">
        <v>0.75</v>
      </c>
      <c r="G129" s="20"/>
      <c r="H129" s="20"/>
      <c r="I129" s="8" t="str">
        <f aca="false">IF(IF(OR(C129="",D129="Congé",D129="OFF",D129="Congé spécial"),"",IF(D129&gt;F129,D129-C129,IF(C129-D129&lt;0,0,C129-D129)))&lt;0.00068287037037037,"",IF(OR(D129="Congé",D129="OFF",C129="",D129="Congé spécial"),"",IF(D129&gt;F129,D129-C129,IF(C129-D129&lt;0,0,C129-D129))))</f>
        <v/>
      </c>
      <c r="J129" s="20"/>
      <c r="K129" s="8" t="n">
        <f aca="false">IF(SUM(H129:J129)&lt;0.00068287037037037,0,SUM(H129:J129))</f>
        <v>0</v>
      </c>
      <c r="L129" s="8" t="n">
        <f aca="false">IF(OR(F129="Congé",F129="OFF",M129="Abs",F129="Congé sans solde",F129="Férié",F129="Congé spécial",D129="Congé spécial"),0,IF(F129-E129&lt;0,0,IF(F129-E129&lt;=0.00068287037037037,0,F129-E129)))</f>
        <v>0</v>
      </c>
      <c r="M129" s="6" t="n">
        <f aca="false">IF(AND(O129&lt;&gt;0,C129=""),"Abs",0)</f>
        <v>0</v>
      </c>
      <c r="N129" s="8" t="n">
        <f aca="false">IFERROR(IF(OR(D129="OFF",D129="Congé",M129="Abs",D129="Congé sans solde",D129="Férié"),"",IF(O129-K129-L129&gt;O129,O129,IF(O129-K129-L129&lt;0,"",O129-K129-L129))),"")</f>
        <v>0.375</v>
      </c>
      <c r="O129" s="8" t="n">
        <f aca="false">IF(AG129="2H Pause déjeuner",IF(F129-D129-0.0833333333333333&lt;0,F129-D129-0.0833333333333333+1,F129-D129-0.0833333333333333),IF(OR(AND(F129="OFF",D129="OFF"),AND(F129="Congé",D129="Congé"),AND(F129="Congé sans solde",D129="Congé sans solde"),AND(F129="Congé spécial",D129="Congé spécial"),AND(F129="Férié",D129="Férié"),AND(F129="OFF",D129="Congé"),AND(F129="OFF",D129="Congé sans solde"),AND(F129="OFF",D129="Congé spécial"),AND(F129="OFF",D129="Férié"),AND(F129="Congé",D129="OFF"),AND(F129="Congé",D129="Congé sans solde"),AND(F129="Congé",D129="Congé spécial"),AND(F129="Congé",D129="Férié"),AND(F129="Congé sans solde",D129="OFF"),AND(F129="Congé sans solde",D129="Congé"),AND(F129="Congé sans solde",D129="Congé spécial"),AND(F129="Congé sans solde",D129="Férié"),AND(F129="Congé spécial",D129="OFF"),AND(F129="Congé spécial",D129="Congé"),AND(F129="Congé spécial",D129="Congé sans solde"),AND(F129="Congé spécial",D129="Férié"),AND(F129="Férié",D129="OFF"),AND(F129="Férié",D129="Congé"),AND(F129="Férié",D129="Congé sans solde"),AND(F129="Férié",D129="Congé spécial")),0,IF(OR(F129="OFF",F129="Congé",F129="Congé spécial",F129="Congé sans solde",D129="OFF",D129="Congé",D129="Congé spécial",D129="Congé sans solde"),0.208333333333334,IF(AND(AG129="",F129-D129&lt;0),("24:00:00"-D129)+("00:00:00"+F129)-0.0416666666666667,IF(AND(OR(AG129="Allaitement",AG129="Sans déjeuner"),F129-D129&lt;0),("24:00:00"-D129)+("00:00:00"+F129),IF(AND(AG129="",F129-D129&gt;0.166666666666667),F129-D129-0.0416666666666667,IF(AND(OR(AG129="Allaitement",AG129="Sans déjeuner"),F129-D129&gt;0.166666666666667),F129-D129,F129-D129)))))))</f>
        <v>0.375</v>
      </c>
      <c r="P129" s="6" t="str">
        <f aca="false">IFERROR(VLOOKUP($B129,Agents!$A:$D,2,0),"-")</f>
        <v>Accessibilité</v>
      </c>
      <c r="Q129" s="21" t="n">
        <v>46013</v>
      </c>
      <c r="R129" s="8" t="n">
        <f aca="false">IF(M129="Abs",O129,0)</f>
        <v>0</v>
      </c>
      <c r="S129" s="8" t="n">
        <f aca="false">SUM(R129,L129,I129,J129,W129,H129)</f>
        <v>0</v>
      </c>
      <c r="T129" s="6" t="str">
        <f aca="false">"Sem - "&amp;WEEKNUM(Q129,21)</f>
        <v>Sem - 52</v>
      </c>
      <c r="U129" s="6" t="str">
        <f aca="false">CHOOSE(MONTH(Q129),"Janvier","Février","Mars","Avril","Mai","Juin","Juillet","Août","Septembre","Octobre","Novembre","Décembre")</f>
        <v>Décembre</v>
      </c>
      <c r="V129" s="22" t="n">
        <f aca="false">YEAR(Q129)</f>
        <v>2025</v>
      </c>
      <c r="W129" s="20"/>
      <c r="X129" s="8" t="n">
        <f aca="false">IFERROR(IF(M129="Abs",0,IF(ROUND((D129-C129+E129-F129)*1440,0)&lt;=1,0,D129-C129+E129-F129)),0)</f>
        <v>0</v>
      </c>
      <c r="Y129" s="6" t="str">
        <f aca="false">IFERROR(VLOOKUP($B129,Agents!$A:$D,3,0),"-")</f>
        <v>OUBRAHIM Mohammed</v>
      </c>
      <c r="Z129" s="6" t="str">
        <f aca="false">IFERROR(VLOOKUP($B129,Agents!$A:$D,4,0),"-")</f>
        <v>Credit Mutuel</v>
      </c>
      <c r="AA129" s="18" t="s">
        <v>79</v>
      </c>
      <c r="AB129" s="8" t="str">
        <f aca="false">IF(AND(D129="Congé",F129="Congé"),0.333333333333333,IF(OR(AND(D129="Congé",F129&lt;&gt;"Congé"),(AND(F129="Congé",D129&lt;&gt;"Congé"))),0.166666666666667,""))</f>
        <v/>
      </c>
      <c r="AC129" s="8" t="str">
        <f aca="false">IF(AND(D129="Congé sans solde",F129="Congé sans solde"),0.333333333333333,IF(OR(AND(D129="Congé sans solde",F129&lt;&gt;"Congé sans solde"),(AND(F129="Congé sans solde",D129&lt;&gt;"Congé sans solde"))),0.166666666666667,""))</f>
        <v/>
      </c>
      <c r="AD129" s="8" t="str">
        <f aca="false">IF(AND(D129="Congé spécial",F129="Congé spécial"),0.333333333333333,IF(OR(AND(D129="Congé spécial",F129&lt;&gt;"Congé spécial"),AND(F129="Congé spécial",D129&lt;&gt;"Congé spécial")),0.166666666666667,""))</f>
        <v/>
      </c>
      <c r="AE129" s="8" t="str">
        <f aca="false">IF(AND(D129="Férié",F129="Férié"),0.333333333333333,IF(OR(AND(D129="Férié",F129&lt;&gt;"Férié"),(AND(F129="Férié",D129&lt;&gt;"Férié"))),0.166666666666667,""))</f>
        <v/>
      </c>
      <c r="AF129" s="18"/>
      <c r="AG129" s="18"/>
    </row>
    <row r="130" customFormat="false" ht="15" hidden="false" customHeight="false" outlineLevel="0" collapsed="false">
      <c r="A130" s="6" t="str">
        <f aca="false">YEAR(Q130-WEEKDAY(Q130,2)+4)&amp;"-S"&amp;TEXT(WEEKNUM(Q130,21),"00")</f>
        <v>2025-S52</v>
      </c>
      <c r="B130" s="18" t="s">
        <v>69</v>
      </c>
      <c r="C130" s="19" t="n">
        <v>0.332638888888889</v>
      </c>
      <c r="D130" s="19" t="n">
        <v>0.333333333333333</v>
      </c>
      <c r="E130" s="19" t="n">
        <v>0.75</v>
      </c>
      <c r="F130" s="19" t="n">
        <v>0.75</v>
      </c>
      <c r="G130" s="20"/>
      <c r="H130" s="20"/>
      <c r="I130" s="8" t="str">
        <f aca="false">IF(IF(OR(C130="",D130="Congé",D130="OFF",D130="Congé spécial"),"",IF(D130&gt;F130,D130-C130,IF(C130-D130&lt;0,0,C130-D130)))&lt;0.00068287037037037,"",IF(OR(D130="Congé",D130="OFF",C130="",D130="Congé spécial"),"",IF(D130&gt;F130,D130-C130,IF(C130-D130&lt;0,0,C130-D130))))</f>
        <v/>
      </c>
      <c r="J130" s="20"/>
      <c r="K130" s="8" t="n">
        <f aca="false">IF(SUM(H130:J130)&lt;0.00068287037037037,0,SUM(H130:J130))</f>
        <v>0</v>
      </c>
      <c r="L130" s="8" t="n">
        <f aca="false">IF(OR(F130="Congé",F130="OFF",M130="Abs",F130="Congé sans solde",F130="Férié",F130="Congé spécial",D130="Congé spécial"),0,IF(F130-E130&lt;0,0,IF(F130-E130&lt;=0.00068287037037037,0,F130-E130)))</f>
        <v>0</v>
      </c>
      <c r="M130" s="6" t="n">
        <f aca="false">IF(AND(O130&lt;&gt;0,C130=""),"Abs",0)</f>
        <v>0</v>
      </c>
      <c r="N130" s="8" t="n">
        <f aca="false">IFERROR(IF(OR(D130="OFF",D130="Congé",M130="Abs",D130="Congé sans solde",D130="Férié"),"",IF(O130-K130-L130&gt;O130,O130,IF(O130-K130-L130&lt;0,"",O130-K130-L130))),"")</f>
        <v>0.375</v>
      </c>
      <c r="O130" s="8" t="n">
        <f aca="false">IF(AG130="2H Pause déjeuner",IF(F130-D130-0.0833333333333333&lt;0,F130-D130-0.0833333333333333+1,F130-D130-0.0833333333333333),IF(OR(AND(F130="OFF",D130="OFF"),AND(F130="Congé",D130="Congé"),AND(F130="Congé sans solde",D130="Congé sans solde"),AND(F130="Congé spécial",D130="Congé spécial"),AND(F130="Férié",D130="Férié"),AND(F130="OFF",D130="Congé"),AND(F130="OFF",D130="Congé sans solde"),AND(F130="OFF",D130="Congé spécial"),AND(F130="OFF",D130="Férié"),AND(F130="Congé",D130="OFF"),AND(F130="Congé",D130="Congé sans solde"),AND(F130="Congé",D130="Congé spécial"),AND(F130="Congé",D130="Férié"),AND(F130="Congé sans solde",D130="OFF"),AND(F130="Congé sans solde",D130="Congé"),AND(F130="Congé sans solde",D130="Congé spécial"),AND(F130="Congé sans solde",D130="Férié"),AND(F130="Congé spécial",D130="OFF"),AND(F130="Congé spécial",D130="Congé"),AND(F130="Congé spécial",D130="Congé sans solde"),AND(F130="Congé spécial",D130="Férié"),AND(F130="Férié",D130="OFF"),AND(F130="Férié",D130="Congé"),AND(F130="Férié",D130="Congé sans solde"),AND(F130="Férié",D130="Congé spécial")),0,IF(OR(F130="OFF",F130="Congé",F130="Congé spécial",F130="Congé sans solde",D130="OFF",D130="Congé",D130="Congé spécial",D130="Congé sans solde"),0.208333333333334,IF(AND(AG130="",F130-D130&lt;0),("24:00:00"-D130)+("00:00:00"+F130)-0.0416666666666667,IF(AND(OR(AG130="Allaitement",AG130="Sans déjeuner"),F130-D130&lt;0),("24:00:00"-D130)+("00:00:00"+F130),IF(AND(AG130="",F130-D130&gt;0.166666666666667),F130-D130-0.0416666666666667,IF(AND(OR(AG130="Allaitement",AG130="Sans déjeuner"),F130-D130&gt;0.166666666666667),F130-D130,F130-D130)))))))</f>
        <v>0.375</v>
      </c>
      <c r="P130" s="6" t="str">
        <f aca="false">IFERROR(VLOOKUP($B130,Agents!$A:$D,2,0),"-")</f>
        <v>Accessibilité</v>
      </c>
      <c r="Q130" s="21" t="n">
        <v>46014</v>
      </c>
      <c r="R130" s="8" t="n">
        <f aca="false">IF(M130="Abs",O130,0)</f>
        <v>0</v>
      </c>
      <c r="S130" s="8" t="n">
        <f aca="false">SUM(R130,L130,I130,J130,W130,H130)</f>
        <v>0</v>
      </c>
      <c r="T130" s="6" t="str">
        <f aca="false">"Sem - "&amp;WEEKNUM(Q130,21)</f>
        <v>Sem - 52</v>
      </c>
      <c r="U130" s="6" t="str">
        <f aca="false">CHOOSE(MONTH(Q130),"Janvier","Février","Mars","Avril","Mai","Juin","Juillet","Août","Septembre","Octobre","Novembre","Décembre")</f>
        <v>Décembre</v>
      </c>
      <c r="V130" s="22" t="n">
        <f aca="false">YEAR(Q130)</f>
        <v>2025</v>
      </c>
      <c r="W130" s="20"/>
      <c r="X130" s="8" t="n">
        <f aca="false">IFERROR(IF(M130="Abs",0,IF(ROUND((D130-C130+E130-F130)*1440,0)&lt;=1,0,D130-C130+E130-F130)),0)</f>
        <v>0</v>
      </c>
      <c r="Y130" s="6" t="str">
        <f aca="false">IFERROR(VLOOKUP($B130,Agents!$A:$D,3,0),"-")</f>
        <v>OUBRAHIM Mohammed</v>
      </c>
      <c r="Z130" s="6" t="str">
        <f aca="false">IFERROR(VLOOKUP($B130,Agents!$A:$D,4,0),"-")</f>
        <v>Credit Mutuel</v>
      </c>
      <c r="AA130" s="18" t="s">
        <v>79</v>
      </c>
      <c r="AB130" s="8" t="str">
        <f aca="false">IF(AND(D130="Congé",F130="Congé"),0.333333333333333,IF(OR(AND(D130="Congé",F130&lt;&gt;"Congé"),(AND(F130="Congé",D130&lt;&gt;"Congé"))),0.166666666666667,""))</f>
        <v/>
      </c>
      <c r="AC130" s="8" t="str">
        <f aca="false">IF(AND(D130="Congé sans solde",F130="Congé sans solde"),0.333333333333333,IF(OR(AND(D130="Congé sans solde",F130&lt;&gt;"Congé sans solde"),(AND(F130="Congé sans solde",D130&lt;&gt;"Congé sans solde"))),0.166666666666667,""))</f>
        <v/>
      </c>
      <c r="AD130" s="8" t="str">
        <f aca="false">IF(AND(D130="Congé spécial",F130="Congé spécial"),0.333333333333333,IF(OR(AND(D130="Congé spécial",F130&lt;&gt;"Congé spécial"),AND(F130="Congé spécial",D130&lt;&gt;"Congé spécial")),0.166666666666667,""))</f>
        <v/>
      </c>
      <c r="AE130" s="8" t="str">
        <f aca="false">IF(AND(D130="Férié",F130="Férié"),0.333333333333333,IF(OR(AND(D130="Férié",F130&lt;&gt;"Férié"),(AND(F130="Férié",D130&lt;&gt;"Férié"))),0.166666666666667,""))</f>
        <v/>
      </c>
      <c r="AF130" s="18"/>
      <c r="AG130" s="18"/>
    </row>
    <row r="131" customFormat="false" ht="15" hidden="false" customHeight="false" outlineLevel="0" collapsed="false">
      <c r="A131" s="6" t="str">
        <f aca="false">YEAR(Q131-WEEKDAY(Q131,2)+4)&amp;"-S"&amp;TEXT(WEEKNUM(Q131,21),"00")</f>
        <v>2025-S52</v>
      </c>
      <c r="B131" s="18" t="s">
        <v>71</v>
      </c>
      <c r="C131" s="19" t="n">
        <v>0.332638888888889</v>
      </c>
      <c r="D131" s="19" t="n">
        <v>0.333333333333333</v>
      </c>
      <c r="E131" s="19" t="n">
        <v>0.75</v>
      </c>
      <c r="F131" s="19" t="n">
        <v>0.75</v>
      </c>
      <c r="G131" s="20"/>
      <c r="H131" s="20"/>
      <c r="I131" s="8" t="str">
        <f aca="false">IF(IF(OR(C131="",D131="Congé",D131="OFF",D131="Congé spécial"),"",IF(D131&gt;F131,D131-C131,IF(C131-D131&lt;0,0,C131-D131)))&lt;0.00068287037037037,"",IF(OR(D131="Congé",D131="OFF",C131="",D131="Congé spécial"),"",IF(D131&gt;F131,D131-C131,IF(C131-D131&lt;0,0,C131-D131))))</f>
        <v/>
      </c>
      <c r="J131" s="20"/>
      <c r="K131" s="8" t="n">
        <f aca="false">IF(SUM(H131:J131)&lt;0.00068287037037037,0,SUM(H131:J131))</f>
        <v>0</v>
      </c>
      <c r="L131" s="8" t="n">
        <f aca="false">IF(OR(F131="Congé",F131="OFF",M131="Abs",F131="Congé sans solde",F131="Férié",F131="Congé spécial",D131="Congé spécial"),0,IF(F131-E131&lt;0,0,IF(F131-E131&lt;=0.00068287037037037,0,F131-E131)))</f>
        <v>0</v>
      </c>
      <c r="M131" s="6" t="n">
        <f aca="false">IF(AND(O131&lt;&gt;0,C131=""),"Abs",0)</f>
        <v>0</v>
      </c>
      <c r="N131" s="8" t="n">
        <f aca="false">IFERROR(IF(OR(D131="OFF",D131="Congé",M131="Abs",D131="Congé sans solde",D131="Férié"),"",IF(O131-K131-L131&gt;O131,O131,IF(O131-K131-L131&lt;0,"",O131-K131-L131))),"")</f>
        <v>0.375</v>
      </c>
      <c r="O131" s="8" t="n">
        <f aca="false">IF(AG131="2H Pause déjeuner",IF(F131-D131-0.0833333333333333&lt;0,F131-D131-0.0833333333333333+1,F131-D131-0.0833333333333333),IF(OR(AND(F131="OFF",D131="OFF"),AND(F131="Congé",D131="Congé"),AND(F131="Congé sans solde",D131="Congé sans solde"),AND(F131="Congé spécial",D131="Congé spécial"),AND(F131="Férié",D131="Férié"),AND(F131="OFF",D131="Congé"),AND(F131="OFF",D131="Congé sans solde"),AND(F131="OFF",D131="Congé spécial"),AND(F131="OFF",D131="Férié"),AND(F131="Congé",D131="OFF"),AND(F131="Congé",D131="Congé sans solde"),AND(F131="Congé",D131="Congé spécial"),AND(F131="Congé",D131="Férié"),AND(F131="Congé sans solde",D131="OFF"),AND(F131="Congé sans solde",D131="Congé"),AND(F131="Congé sans solde",D131="Congé spécial"),AND(F131="Congé sans solde",D131="Férié"),AND(F131="Congé spécial",D131="OFF"),AND(F131="Congé spécial",D131="Congé"),AND(F131="Congé spécial",D131="Congé sans solde"),AND(F131="Congé spécial",D131="Férié"),AND(F131="Férié",D131="OFF"),AND(F131="Férié",D131="Congé"),AND(F131="Férié",D131="Congé sans solde"),AND(F131="Férié",D131="Congé spécial")),0,IF(OR(F131="OFF",F131="Congé",F131="Congé spécial",F131="Congé sans solde",D131="OFF",D131="Congé",D131="Congé spécial",D131="Congé sans solde"),0.208333333333334,IF(AND(AG131="",F131-D131&lt;0),("24:00:00"-D131)+("00:00:00"+F131)-0.0416666666666667,IF(AND(OR(AG131="Allaitement",AG131="Sans déjeuner"),F131-D131&lt;0),("24:00:00"-D131)+("00:00:00"+F131),IF(AND(AG131="",F131-D131&gt;0.166666666666667),F131-D131-0.0416666666666667,IF(AND(OR(AG131="Allaitement",AG131="Sans déjeuner"),F131-D131&gt;0.166666666666667),F131-D131,F131-D131)))))))</f>
        <v>0.375</v>
      </c>
      <c r="P131" s="6" t="str">
        <f aca="false">IFERROR(VLOOKUP($B131,Agents!$A:$D,2,0),"-")</f>
        <v>Accessibilité</v>
      </c>
      <c r="Q131" s="21" t="n">
        <v>46014</v>
      </c>
      <c r="R131" s="8" t="n">
        <f aca="false">IF(M131="Abs",O131,0)</f>
        <v>0</v>
      </c>
      <c r="S131" s="8" t="n">
        <f aca="false">SUM(R131,L131,I131,J131,W131,H131)</f>
        <v>0</v>
      </c>
      <c r="T131" s="6" t="str">
        <f aca="false">"Sem - "&amp;WEEKNUM(Q131,21)</f>
        <v>Sem - 52</v>
      </c>
      <c r="U131" s="6" t="str">
        <f aca="false">CHOOSE(MONTH(Q131),"Janvier","Février","Mars","Avril","Mai","Juin","Juillet","Août","Septembre","Octobre","Novembre","Décembre")</f>
        <v>Décembre</v>
      </c>
      <c r="V131" s="22" t="n">
        <f aca="false">YEAR(Q131)</f>
        <v>2025</v>
      </c>
      <c r="W131" s="20"/>
      <c r="X131" s="8" t="n">
        <f aca="false">IFERROR(IF(M131="Abs",0,IF(ROUND((D131-C131+E131-F131)*1440,0)&lt;=1,0,D131-C131+E131-F131)),0)</f>
        <v>0</v>
      </c>
      <c r="Y131" s="6" t="str">
        <f aca="false">IFERROR(VLOOKUP($B131,Agents!$A:$D,3,0),"-")</f>
        <v>OUBRAHIM Mohammed</v>
      </c>
      <c r="Z131" s="6" t="str">
        <f aca="false">IFERROR(VLOOKUP($B131,Agents!$A:$D,4,0),"-")</f>
        <v>Credit Mutuel</v>
      </c>
      <c r="AA131" s="18" t="s">
        <v>79</v>
      </c>
      <c r="AB131" s="8" t="str">
        <f aca="false">IF(AND(D131="Congé",F131="Congé"),0.333333333333333,IF(OR(AND(D131="Congé",F131&lt;&gt;"Congé"),(AND(F131="Congé",D131&lt;&gt;"Congé"))),0.166666666666667,""))</f>
        <v/>
      </c>
      <c r="AC131" s="8" t="str">
        <f aca="false">IF(AND(D131="Congé sans solde",F131="Congé sans solde"),0.333333333333333,IF(OR(AND(D131="Congé sans solde",F131&lt;&gt;"Congé sans solde"),(AND(F131="Congé sans solde",D131&lt;&gt;"Congé sans solde"))),0.166666666666667,""))</f>
        <v/>
      </c>
      <c r="AD131" s="8" t="str">
        <f aca="false">IF(AND(D131="Congé spécial",F131="Congé spécial"),0.333333333333333,IF(OR(AND(D131="Congé spécial",F131&lt;&gt;"Congé spécial"),AND(F131="Congé spécial",D131&lt;&gt;"Congé spécial")),0.166666666666667,""))</f>
        <v/>
      </c>
      <c r="AE131" s="8" t="str">
        <f aca="false">IF(AND(D131="Férié",F131="Férié"),0.333333333333333,IF(OR(AND(D131="Férié",F131&lt;&gt;"Férié"),(AND(F131="Férié",D131&lt;&gt;"Férié"))),0.166666666666667,""))</f>
        <v/>
      </c>
      <c r="AF131" s="18"/>
      <c r="AG131" s="18"/>
    </row>
    <row r="132" customFormat="false" ht="15" hidden="false" customHeight="false" outlineLevel="0" collapsed="false">
      <c r="A132" s="6" t="str">
        <f aca="false">YEAR(Q132-WEEKDAY(Q132,2)+4)&amp;"-S"&amp;TEXT(WEEKNUM(Q132,21),"00")</f>
        <v>2025-S52</v>
      </c>
      <c r="B132" s="18" t="s">
        <v>72</v>
      </c>
      <c r="C132" s="19" t="n">
        <v>0.331944444444444</v>
      </c>
      <c r="D132" s="19" t="n">
        <v>0.333333333333333</v>
      </c>
      <c r="E132" s="19" t="n">
        <v>0.75</v>
      </c>
      <c r="F132" s="19" t="n">
        <v>0.75</v>
      </c>
      <c r="G132" s="20"/>
      <c r="H132" s="20"/>
      <c r="I132" s="8" t="str">
        <f aca="false">IF(IF(OR(C132="",D132="Congé",D132="OFF",D132="Congé spécial"),"",IF(D132&gt;F132,D132-C132,IF(C132-D132&lt;0,0,C132-D132)))&lt;0.00068287037037037,"",IF(OR(D132="Congé",D132="OFF",C132="",D132="Congé spécial"),"",IF(D132&gt;F132,D132-C132,IF(C132-D132&lt;0,0,C132-D132))))</f>
        <v/>
      </c>
      <c r="J132" s="20"/>
      <c r="K132" s="8" t="n">
        <f aca="false">IF(SUM(H132:J132)&lt;0.00068287037037037,0,SUM(H132:J132))</f>
        <v>0</v>
      </c>
      <c r="L132" s="8" t="n">
        <f aca="false">IF(OR(F132="Congé",F132="OFF",M132="Abs",F132="Congé sans solde",F132="Férié",F132="Congé spécial",D132="Congé spécial"),0,IF(F132-E132&lt;0,0,IF(F132-E132&lt;=0.00068287037037037,0,F132-E132)))</f>
        <v>0</v>
      </c>
      <c r="M132" s="6" t="n">
        <f aca="false">IF(AND(O132&lt;&gt;0,C132=""),"Abs",0)</f>
        <v>0</v>
      </c>
      <c r="N132" s="8" t="n">
        <f aca="false">IFERROR(IF(OR(D132="OFF",D132="Congé",M132="Abs",D132="Congé sans solde",D132="Férié"),"",IF(O132-K132-L132&gt;O132,O132,IF(O132-K132-L132&lt;0,"",O132-K132-L132))),"")</f>
        <v>0.375</v>
      </c>
      <c r="O132" s="8" t="n">
        <f aca="false">IF(AG132="2H Pause déjeuner",IF(F132-D132-0.0833333333333333&lt;0,F132-D132-0.0833333333333333+1,F132-D132-0.0833333333333333),IF(OR(AND(F132="OFF",D132="OFF"),AND(F132="Congé",D132="Congé"),AND(F132="Congé sans solde",D132="Congé sans solde"),AND(F132="Congé spécial",D132="Congé spécial"),AND(F132="Férié",D132="Férié"),AND(F132="OFF",D132="Congé"),AND(F132="OFF",D132="Congé sans solde"),AND(F132="OFF",D132="Congé spécial"),AND(F132="OFF",D132="Férié"),AND(F132="Congé",D132="OFF"),AND(F132="Congé",D132="Congé sans solde"),AND(F132="Congé",D132="Congé spécial"),AND(F132="Congé",D132="Férié"),AND(F132="Congé sans solde",D132="OFF"),AND(F132="Congé sans solde",D132="Congé"),AND(F132="Congé sans solde",D132="Congé spécial"),AND(F132="Congé sans solde",D132="Férié"),AND(F132="Congé spécial",D132="OFF"),AND(F132="Congé spécial",D132="Congé"),AND(F132="Congé spécial",D132="Congé sans solde"),AND(F132="Congé spécial",D132="Férié"),AND(F132="Férié",D132="OFF"),AND(F132="Férié",D132="Congé"),AND(F132="Férié",D132="Congé sans solde"),AND(F132="Férié",D132="Congé spécial")),0,IF(OR(F132="OFF",F132="Congé",F132="Congé spécial",F132="Congé sans solde",D132="OFF",D132="Congé",D132="Congé spécial",D132="Congé sans solde"),0.208333333333334,IF(AND(AG132="",F132-D132&lt;0),("24:00:00"-D132)+("00:00:00"+F132)-0.0416666666666667,IF(AND(OR(AG132="Allaitement",AG132="Sans déjeuner"),F132-D132&lt;0),("24:00:00"-D132)+("00:00:00"+F132),IF(AND(AG132="",F132-D132&gt;0.166666666666667),F132-D132-0.0416666666666667,IF(AND(OR(AG132="Allaitement",AG132="Sans déjeuner"),F132-D132&gt;0.166666666666667),F132-D132,F132-D132)))))))</f>
        <v>0.375</v>
      </c>
      <c r="P132" s="6" t="str">
        <f aca="false">IFERROR(VLOOKUP($B132,Agents!$A:$D,2,0),"-")</f>
        <v>Accessibilité</v>
      </c>
      <c r="Q132" s="21" t="n">
        <v>46014</v>
      </c>
      <c r="R132" s="8" t="n">
        <f aca="false">IF(M132="Abs",O132,0)</f>
        <v>0</v>
      </c>
      <c r="S132" s="8" t="n">
        <f aca="false">SUM(R132,L132,I132,J132,W132,H132)</f>
        <v>0</v>
      </c>
      <c r="T132" s="6" t="str">
        <f aca="false">"Sem - "&amp;WEEKNUM(Q132,21)</f>
        <v>Sem - 52</v>
      </c>
      <c r="U132" s="6" t="str">
        <f aca="false">CHOOSE(MONTH(Q132),"Janvier","Février","Mars","Avril","Mai","Juin","Juillet","Août","Septembre","Octobre","Novembre","Décembre")</f>
        <v>Décembre</v>
      </c>
      <c r="V132" s="22" t="n">
        <f aca="false">YEAR(Q132)</f>
        <v>2025</v>
      </c>
      <c r="W132" s="20"/>
      <c r="X132" s="8" t="n">
        <f aca="false">IFERROR(IF(M132="Abs",0,IF(ROUND((D132-C132+E132-F132)*1440,0)&lt;=1,0,D132-C132+E132-F132)),0)</f>
        <v>0.00138888888888889</v>
      </c>
      <c r="Y132" s="6" t="str">
        <f aca="false">IFERROR(VLOOKUP($B132,Agents!$A:$D,3,0),"-")</f>
        <v>OUBRAHIM Mohammed</v>
      </c>
      <c r="Z132" s="6" t="str">
        <f aca="false">IFERROR(VLOOKUP($B132,Agents!$A:$D,4,0),"-")</f>
        <v>Credit Mutuel</v>
      </c>
      <c r="AA132" s="18" t="s">
        <v>79</v>
      </c>
      <c r="AB132" s="8" t="str">
        <f aca="false">IF(AND(D132="Congé",F132="Congé"),0.333333333333333,IF(OR(AND(D132="Congé",F132&lt;&gt;"Congé"),(AND(F132="Congé",D132&lt;&gt;"Congé"))),0.166666666666667,""))</f>
        <v/>
      </c>
      <c r="AC132" s="8" t="str">
        <f aca="false">IF(AND(D132="Congé sans solde",F132="Congé sans solde"),0.333333333333333,IF(OR(AND(D132="Congé sans solde",F132&lt;&gt;"Congé sans solde"),(AND(F132="Congé sans solde",D132&lt;&gt;"Congé sans solde"))),0.166666666666667,""))</f>
        <v/>
      </c>
      <c r="AD132" s="8" t="str">
        <f aca="false">IF(AND(D132="Congé spécial",F132="Congé spécial"),0.333333333333333,IF(OR(AND(D132="Congé spécial",F132&lt;&gt;"Congé spécial"),AND(F132="Congé spécial",D132&lt;&gt;"Congé spécial")),0.166666666666667,""))</f>
        <v/>
      </c>
      <c r="AE132" s="8" t="str">
        <f aca="false">IF(AND(D132="Férié",F132="Férié"),0.333333333333333,IF(OR(AND(D132="Férié",F132&lt;&gt;"Férié"),(AND(F132="Férié",D132&lt;&gt;"Férié"))),0.166666666666667,""))</f>
        <v/>
      </c>
      <c r="AF132" s="18"/>
      <c r="AG132" s="18"/>
    </row>
    <row r="133" customFormat="false" ht="15" hidden="false" customHeight="false" outlineLevel="0" collapsed="false">
      <c r="A133" s="6" t="str">
        <f aca="false">YEAR(Q133-WEEKDAY(Q133,2)+4)&amp;"-S"&amp;TEXT(WEEKNUM(Q133,21),"00")</f>
        <v>2025-S52</v>
      </c>
      <c r="B133" s="18" t="s">
        <v>73</v>
      </c>
      <c r="C133" s="19" t="n">
        <v>0.333333333333333</v>
      </c>
      <c r="D133" s="19" t="n">
        <v>0.333333333333333</v>
      </c>
      <c r="E133" s="19" t="n">
        <v>0.75</v>
      </c>
      <c r="F133" s="19" t="n">
        <v>0.75</v>
      </c>
      <c r="G133" s="20"/>
      <c r="H133" s="20"/>
      <c r="I133" s="8" t="str">
        <f aca="false">IF(IF(OR(C133="",D133="Congé",D133="OFF",D133="Congé spécial"),"",IF(D133&gt;F133,D133-C133,IF(C133-D133&lt;0,0,C133-D133)))&lt;0.00068287037037037,"",IF(OR(D133="Congé",D133="OFF",C133="",D133="Congé spécial"),"",IF(D133&gt;F133,D133-C133,IF(C133-D133&lt;0,0,C133-D133))))</f>
        <v/>
      </c>
      <c r="J133" s="20"/>
      <c r="K133" s="8" t="n">
        <f aca="false">IF(SUM(H133:J133)&lt;0.00068287037037037,0,SUM(H133:J133))</f>
        <v>0</v>
      </c>
      <c r="L133" s="8" t="n">
        <f aca="false">IF(OR(F133="Congé",F133="OFF",M133="Abs",F133="Congé sans solde",F133="Férié",F133="Congé spécial",D133="Congé spécial"),0,IF(F133-E133&lt;0,0,IF(F133-E133&lt;=0.00068287037037037,0,F133-E133)))</f>
        <v>0</v>
      </c>
      <c r="M133" s="6" t="n">
        <f aca="false">IF(AND(O133&lt;&gt;0,C133=""),"Abs",0)</f>
        <v>0</v>
      </c>
      <c r="N133" s="8" t="n">
        <f aca="false">IFERROR(IF(OR(D133="OFF",D133="Congé",M133="Abs",D133="Congé sans solde",D133="Férié"),"",IF(O133-K133-L133&gt;O133,O133,IF(O133-K133-L133&lt;0,"",O133-K133-L133))),"")</f>
        <v>0.375</v>
      </c>
      <c r="O133" s="8" t="n">
        <f aca="false">IF(AG133="2H Pause déjeuner",IF(F133-D133-0.0833333333333333&lt;0,F133-D133-0.0833333333333333+1,F133-D133-0.0833333333333333),IF(OR(AND(F133="OFF",D133="OFF"),AND(F133="Congé",D133="Congé"),AND(F133="Congé sans solde",D133="Congé sans solde"),AND(F133="Congé spécial",D133="Congé spécial"),AND(F133="Férié",D133="Férié"),AND(F133="OFF",D133="Congé"),AND(F133="OFF",D133="Congé sans solde"),AND(F133="OFF",D133="Congé spécial"),AND(F133="OFF",D133="Férié"),AND(F133="Congé",D133="OFF"),AND(F133="Congé",D133="Congé sans solde"),AND(F133="Congé",D133="Congé spécial"),AND(F133="Congé",D133="Férié"),AND(F133="Congé sans solde",D133="OFF"),AND(F133="Congé sans solde",D133="Congé"),AND(F133="Congé sans solde",D133="Congé spécial"),AND(F133="Congé sans solde",D133="Férié"),AND(F133="Congé spécial",D133="OFF"),AND(F133="Congé spécial",D133="Congé"),AND(F133="Congé spécial",D133="Congé sans solde"),AND(F133="Congé spécial",D133="Férié"),AND(F133="Férié",D133="OFF"),AND(F133="Férié",D133="Congé"),AND(F133="Férié",D133="Congé sans solde"),AND(F133="Férié",D133="Congé spécial")),0,IF(OR(F133="OFF",F133="Congé",F133="Congé spécial",F133="Congé sans solde",D133="OFF",D133="Congé",D133="Congé spécial",D133="Congé sans solde"),0.208333333333334,IF(AND(AG133="",F133-D133&lt;0),("24:00:00"-D133)+("00:00:00"+F133)-0.0416666666666667,IF(AND(OR(AG133="Allaitement",AG133="Sans déjeuner"),F133-D133&lt;0),("24:00:00"-D133)+("00:00:00"+F133),IF(AND(AG133="",F133-D133&gt;0.166666666666667),F133-D133-0.0416666666666667,IF(AND(OR(AG133="Allaitement",AG133="Sans déjeuner"),F133-D133&gt;0.166666666666667),F133-D133,F133-D133)))))))</f>
        <v>0.375</v>
      </c>
      <c r="P133" s="6" t="str">
        <f aca="false">IFERROR(VLOOKUP($B133,Agents!$A:$D,2,0),"-")</f>
        <v>Accessibilité</v>
      </c>
      <c r="Q133" s="21" t="n">
        <v>46014</v>
      </c>
      <c r="R133" s="8" t="n">
        <f aca="false">IF(M133="Abs",O133,0)</f>
        <v>0</v>
      </c>
      <c r="S133" s="8" t="n">
        <f aca="false">SUM(R133,L133,I133,J133,W133,H133)</f>
        <v>0</v>
      </c>
      <c r="T133" s="6" t="str">
        <f aca="false">"Sem - "&amp;WEEKNUM(Q133,21)</f>
        <v>Sem - 52</v>
      </c>
      <c r="U133" s="6" t="str">
        <f aca="false">CHOOSE(MONTH(Q133),"Janvier","Février","Mars","Avril","Mai","Juin","Juillet","Août","Septembre","Octobre","Novembre","Décembre")</f>
        <v>Décembre</v>
      </c>
      <c r="V133" s="22" t="n">
        <f aca="false">YEAR(Q133)</f>
        <v>2025</v>
      </c>
      <c r="W133" s="20"/>
      <c r="X133" s="8" t="n">
        <f aca="false">IFERROR(IF(M133="Abs",0,IF(ROUND((D133-C133+E133-F133)*1440,0)&lt;=1,0,D133-C133+E133-F133)),0)</f>
        <v>0</v>
      </c>
      <c r="Y133" s="6" t="str">
        <f aca="false">IFERROR(VLOOKUP($B133,Agents!$A:$D,3,0),"-")</f>
        <v>OUBRAHIM Mohammed</v>
      </c>
      <c r="Z133" s="6" t="str">
        <f aca="false">IFERROR(VLOOKUP($B133,Agents!$A:$D,4,0),"-")</f>
        <v>Credit Mutuel</v>
      </c>
      <c r="AA133" s="18" t="s">
        <v>79</v>
      </c>
      <c r="AB133" s="8" t="str">
        <f aca="false">IF(AND(D133="Congé",F133="Congé"),0.333333333333333,IF(OR(AND(D133="Congé",F133&lt;&gt;"Congé"),(AND(F133="Congé",D133&lt;&gt;"Congé"))),0.166666666666667,""))</f>
        <v/>
      </c>
      <c r="AC133" s="8" t="str">
        <f aca="false">IF(AND(D133="Congé sans solde",F133="Congé sans solde"),0.333333333333333,IF(OR(AND(D133="Congé sans solde",F133&lt;&gt;"Congé sans solde"),(AND(F133="Congé sans solde",D133&lt;&gt;"Congé sans solde"))),0.166666666666667,""))</f>
        <v/>
      </c>
      <c r="AD133" s="8" t="str">
        <f aca="false">IF(AND(D133="Congé spécial",F133="Congé spécial"),0.333333333333333,IF(OR(AND(D133="Congé spécial",F133&lt;&gt;"Congé spécial"),AND(F133="Congé spécial",D133&lt;&gt;"Congé spécial")),0.166666666666667,""))</f>
        <v/>
      </c>
      <c r="AE133" s="8" t="str">
        <f aca="false">IF(AND(D133="Férié",F133="Férié"),0.333333333333333,IF(OR(AND(D133="Férié",F133&lt;&gt;"Férié"),(AND(F133="Férié",D133&lt;&gt;"Férié"))),0.166666666666667,""))</f>
        <v/>
      </c>
      <c r="AF133" s="18"/>
      <c r="AG133" s="18"/>
    </row>
    <row r="134" customFormat="false" ht="15" hidden="false" customHeight="false" outlineLevel="0" collapsed="false">
      <c r="A134" s="6" t="str">
        <f aca="false">YEAR(Q134-WEEKDAY(Q134,2)+4)&amp;"-S"&amp;TEXT(WEEKNUM(Q134,21),"00")</f>
        <v>2025-S52</v>
      </c>
      <c r="B134" s="18" t="s">
        <v>69</v>
      </c>
      <c r="C134" s="19" t="n">
        <v>0.332638888888889</v>
      </c>
      <c r="D134" s="19" t="n">
        <v>0.333333333333333</v>
      </c>
      <c r="E134" s="19" t="n">
        <v>0.75</v>
      </c>
      <c r="F134" s="19" t="n">
        <v>0.75</v>
      </c>
      <c r="G134" s="20"/>
      <c r="H134" s="20"/>
      <c r="I134" s="8" t="str">
        <f aca="false">IF(IF(OR(C134="",D134="Congé",D134="OFF",D134="Congé spécial"),"",IF(D134&gt;F134,D134-C134,IF(C134-D134&lt;0,0,C134-D134)))&lt;0.00068287037037037,"",IF(OR(D134="Congé",D134="OFF",C134="",D134="Congé spécial"),"",IF(D134&gt;F134,D134-C134,IF(C134-D134&lt;0,0,C134-D134))))</f>
        <v/>
      </c>
      <c r="J134" s="20"/>
      <c r="K134" s="8" t="n">
        <f aca="false">IF(SUM(H134:J134)&lt;0.00068287037037037,0,SUM(H134:J134))</f>
        <v>0</v>
      </c>
      <c r="L134" s="8" t="n">
        <f aca="false">IF(OR(F134="Congé",F134="OFF",M134="Abs",F134="Congé sans solde",F134="Férié",F134="Congé spécial",D134="Congé spécial"),0,IF(F134-E134&lt;0,0,IF(F134-E134&lt;=0.00068287037037037,0,F134-E134)))</f>
        <v>0</v>
      </c>
      <c r="M134" s="6" t="n">
        <f aca="false">IF(AND(O134&lt;&gt;0,C134=""),"Abs",0)</f>
        <v>0</v>
      </c>
      <c r="N134" s="8" t="n">
        <f aca="false">IFERROR(IF(OR(D134="OFF",D134="Congé",M134="Abs",D134="Congé sans solde",D134="Férié"),"",IF(O134-K134-L134&gt;O134,O134,IF(O134-K134-L134&lt;0,"",O134-K134-L134))),"")</f>
        <v>0.375</v>
      </c>
      <c r="O134" s="8" t="n">
        <f aca="false">IF(AG134="2H Pause déjeuner",IF(F134-D134-0.0833333333333333&lt;0,F134-D134-0.0833333333333333+1,F134-D134-0.0833333333333333),IF(OR(AND(F134="OFF",D134="OFF"),AND(F134="Congé",D134="Congé"),AND(F134="Congé sans solde",D134="Congé sans solde"),AND(F134="Congé spécial",D134="Congé spécial"),AND(F134="Férié",D134="Férié"),AND(F134="OFF",D134="Congé"),AND(F134="OFF",D134="Congé sans solde"),AND(F134="OFF",D134="Congé spécial"),AND(F134="OFF",D134="Férié"),AND(F134="Congé",D134="OFF"),AND(F134="Congé",D134="Congé sans solde"),AND(F134="Congé",D134="Congé spécial"),AND(F134="Congé",D134="Férié"),AND(F134="Congé sans solde",D134="OFF"),AND(F134="Congé sans solde",D134="Congé"),AND(F134="Congé sans solde",D134="Congé spécial"),AND(F134="Congé sans solde",D134="Férié"),AND(F134="Congé spécial",D134="OFF"),AND(F134="Congé spécial",D134="Congé"),AND(F134="Congé spécial",D134="Congé sans solde"),AND(F134="Congé spécial",D134="Férié"),AND(F134="Férié",D134="OFF"),AND(F134="Férié",D134="Congé"),AND(F134="Férié",D134="Congé sans solde"),AND(F134="Férié",D134="Congé spécial")),0,IF(OR(F134="OFF",F134="Congé",F134="Congé spécial",F134="Congé sans solde",D134="OFF",D134="Congé",D134="Congé spécial",D134="Congé sans solde"),0.208333333333334,IF(AND(AG134="",F134-D134&lt;0),("24:00:00"-D134)+("00:00:00"+F134)-0.0416666666666667,IF(AND(OR(AG134="Allaitement",AG134="Sans déjeuner"),F134-D134&lt;0),("24:00:00"-D134)+("00:00:00"+F134),IF(AND(AG134="",F134-D134&gt;0.166666666666667),F134-D134-0.0416666666666667,IF(AND(OR(AG134="Allaitement",AG134="Sans déjeuner"),F134-D134&gt;0.166666666666667),F134-D134,F134-D134)))))))</f>
        <v>0.375</v>
      </c>
      <c r="P134" s="6" t="str">
        <f aca="false">IFERROR(VLOOKUP($B134,Agents!$A:$D,2,0),"-")</f>
        <v>Accessibilité</v>
      </c>
      <c r="Q134" s="21" t="n">
        <v>46015</v>
      </c>
      <c r="R134" s="8" t="n">
        <f aca="false">IF(M134="Abs",O134,0)</f>
        <v>0</v>
      </c>
      <c r="S134" s="8" t="n">
        <f aca="false">SUM(R134,L134,I134,J134,W134,H134)</f>
        <v>0</v>
      </c>
      <c r="T134" s="6" t="str">
        <f aca="false">"Sem - "&amp;WEEKNUM(Q134,21)</f>
        <v>Sem - 52</v>
      </c>
      <c r="U134" s="6" t="str">
        <f aca="false">CHOOSE(MONTH(Q134),"Janvier","Février","Mars","Avril","Mai","Juin","Juillet","Août","Septembre","Octobre","Novembre","Décembre")</f>
        <v>Décembre</v>
      </c>
      <c r="V134" s="22" t="n">
        <f aca="false">YEAR(Q134)</f>
        <v>2025</v>
      </c>
      <c r="W134" s="20"/>
      <c r="X134" s="8" t="n">
        <f aca="false">IFERROR(IF(M134="Abs",0,IF(ROUND((D134-C134+E134-F134)*1440,0)&lt;=1,0,D134-C134+E134-F134)),0)</f>
        <v>0</v>
      </c>
      <c r="Y134" s="6" t="str">
        <f aca="false">IFERROR(VLOOKUP($B134,Agents!$A:$D,3,0),"-")</f>
        <v>OUBRAHIM Mohammed</v>
      </c>
      <c r="Z134" s="6" t="str">
        <f aca="false">IFERROR(VLOOKUP($B134,Agents!$A:$D,4,0),"-")</f>
        <v>Credit Mutuel</v>
      </c>
      <c r="AA134" s="18" t="s">
        <v>79</v>
      </c>
      <c r="AB134" s="8" t="str">
        <f aca="false">IF(AND(D134="Congé",F134="Congé"),0.333333333333333,IF(OR(AND(D134="Congé",F134&lt;&gt;"Congé"),(AND(F134="Congé",D134&lt;&gt;"Congé"))),0.166666666666667,""))</f>
        <v/>
      </c>
      <c r="AC134" s="8" t="str">
        <f aca="false">IF(AND(D134="Congé sans solde",F134="Congé sans solde"),0.333333333333333,IF(OR(AND(D134="Congé sans solde",F134&lt;&gt;"Congé sans solde"),(AND(F134="Congé sans solde",D134&lt;&gt;"Congé sans solde"))),0.166666666666667,""))</f>
        <v/>
      </c>
      <c r="AD134" s="8" t="str">
        <f aca="false">IF(AND(D134="Congé spécial",F134="Congé spécial"),0.333333333333333,IF(OR(AND(D134="Congé spécial",F134&lt;&gt;"Congé spécial"),AND(F134="Congé spécial",D134&lt;&gt;"Congé spécial")),0.166666666666667,""))</f>
        <v/>
      </c>
      <c r="AE134" s="8" t="str">
        <f aca="false">IF(AND(D134="Férié",F134="Férié"),0.333333333333333,IF(OR(AND(D134="Férié",F134&lt;&gt;"Férié"),(AND(F134="Férié",D134&lt;&gt;"Férié"))),0.166666666666667,""))</f>
        <v/>
      </c>
      <c r="AF134" s="18"/>
      <c r="AG134" s="18"/>
    </row>
    <row r="135" customFormat="false" ht="15" hidden="false" customHeight="false" outlineLevel="0" collapsed="false">
      <c r="A135" s="6" t="str">
        <f aca="false">YEAR(Q135-WEEKDAY(Q135,2)+4)&amp;"-S"&amp;TEXT(WEEKNUM(Q135,21),"00")</f>
        <v>2025-S52</v>
      </c>
      <c r="B135" s="18" t="s">
        <v>71</v>
      </c>
      <c r="C135" s="19" t="n">
        <v>0.332638888888889</v>
      </c>
      <c r="D135" s="19" t="n">
        <v>0.333333333333333</v>
      </c>
      <c r="E135" s="19" t="n">
        <v>0.75</v>
      </c>
      <c r="F135" s="19" t="n">
        <v>0.75</v>
      </c>
      <c r="G135" s="20"/>
      <c r="H135" s="20"/>
      <c r="I135" s="8" t="str">
        <f aca="false">IF(IF(OR(C135="",D135="Congé",D135="OFF",D135="Congé spécial"),"",IF(D135&gt;F135,D135-C135,IF(C135-D135&lt;0,0,C135-D135)))&lt;0.00068287037037037,"",IF(OR(D135="Congé",D135="OFF",C135="",D135="Congé spécial"),"",IF(D135&gt;F135,D135-C135,IF(C135-D135&lt;0,0,C135-D135))))</f>
        <v/>
      </c>
      <c r="J135" s="20"/>
      <c r="K135" s="8" t="n">
        <f aca="false">IF(SUM(H135:J135)&lt;0.00068287037037037,0,SUM(H135:J135))</f>
        <v>0</v>
      </c>
      <c r="L135" s="8" t="n">
        <f aca="false">IF(OR(F135="Congé",F135="OFF",M135="Abs",F135="Congé sans solde",F135="Férié",F135="Congé spécial",D135="Congé spécial"),0,IF(F135-E135&lt;0,0,IF(F135-E135&lt;=0.00068287037037037,0,F135-E135)))</f>
        <v>0</v>
      </c>
      <c r="M135" s="6" t="n">
        <f aca="false">IF(AND(O135&lt;&gt;0,C135=""),"Abs",0)</f>
        <v>0</v>
      </c>
      <c r="N135" s="8" t="n">
        <f aca="false">IFERROR(IF(OR(D135="OFF",D135="Congé",M135="Abs",D135="Congé sans solde",D135="Férié"),"",IF(O135-K135-L135&gt;O135,O135,IF(O135-K135-L135&lt;0,"",O135-K135-L135))),"")</f>
        <v>0.375</v>
      </c>
      <c r="O135" s="8" t="n">
        <f aca="false">IF(AG135="2H Pause déjeuner",IF(F135-D135-0.0833333333333333&lt;0,F135-D135-0.0833333333333333+1,F135-D135-0.0833333333333333),IF(OR(AND(F135="OFF",D135="OFF"),AND(F135="Congé",D135="Congé"),AND(F135="Congé sans solde",D135="Congé sans solde"),AND(F135="Congé spécial",D135="Congé spécial"),AND(F135="Férié",D135="Férié"),AND(F135="OFF",D135="Congé"),AND(F135="OFF",D135="Congé sans solde"),AND(F135="OFF",D135="Congé spécial"),AND(F135="OFF",D135="Férié"),AND(F135="Congé",D135="OFF"),AND(F135="Congé",D135="Congé sans solde"),AND(F135="Congé",D135="Congé spécial"),AND(F135="Congé",D135="Férié"),AND(F135="Congé sans solde",D135="OFF"),AND(F135="Congé sans solde",D135="Congé"),AND(F135="Congé sans solde",D135="Congé spécial"),AND(F135="Congé sans solde",D135="Férié"),AND(F135="Congé spécial",D135="OFF"),AND(F135="Congé spécial",D135="Congé"),AND(F135="Congé spécial",D135="Congé sans solde"),AND(F135="Congé spécial",D135="Férié"),AND(F135="Férié",D135="OFF"),AND(F135="Férié",D135="Congé"),AND(F135="Férié",D135="Congé sans solde"),AND(F135="Férié",D135="Congé spécial")),0,IF(OR(F135="OFF",F135="Congé",F135="Congé spécial",F135="Congé sans solde",D135="OFF",D135="Congé",D135="Congé spécial",D135="Congé sans solde"),0.208333333333334,IF(AND(AG135="",F135-D135&lt;0),("24:00:00"-D135)+("00:00:00"+F135)-0.0416666666666667,IF(AND(OR(AG135="Allaitement",AG135="Sans déjeuner"),F135-D135&lt;0),("24:00:00"-D135)+("00:00:00"+F135),IF(AND(AG135="",F135-D135&gt;0.166666666666667),F135-D135-0.0416666666666667,IF(AND(OR(AG135="Allaitement",AG135="Sans déjeuner"),F135-D135&gt;0.166666666666667),F135-D135,F135-D135)))))))</f>
        <v>0.375</v>
      </c>
      <c r="P135" s="6" t="str">
        <f aca="false">IFERROR(VLOOKUP($B135,Agents!$A:$D,2,0),"-")</f>
        <v>Accessibilité</v>
      </c>
      <c r="Q135" s="21" t="n">
        <v>46015</v>
      </c>
      <c r="R135" s="8" t="n">
        <f aca="false">IF(M135="Abs",O135,0)</f>
        <v>0</v>
      </c>
      <c r="S135" s="8" t="n">
        <f aca="false">SUM(R135,L135,I135,J135,W135,H135)</f>
        <v>0</v>
      </c>
      <c r="T135" s="6" t="str">
        <f aca="false">"Sem - "&amp;WEEKNUM(Q135,21)</f>
        <v>Sem - 52</v>
      </c>
      <c r="U135" s="6" t="str">
        <f aca="false">CHOOSE(MONTH(Q135),"Janvier","Février","Mars","Avril","Mai","Juin","Juillet","Août","Septembre","Octobre","Novembre","Décembre")</f>
        <v>Décembre</v>
      </c>
      <c r="V135" s="22" t="n">
        <f aca="false">YEAR(Q135)</f>
        <v>2025</v>
      </c>
      <c r="W135" s="20"/>
      <c r="X135" s="8" t="n">
        <f aca="false">IFERROR(IF(M135="Abs",0,IF(ROUND((D135-C135+E135-F135)*1440,0)&lt;=1,0,D135-C135+E135-F135)),0)</f>
        <v>0</v>
      </c>
      <c r="Y135" s="6" t="str">
        <f aca="false">IFERROR(VLOOKUP($B135,Agents!$A:$D,3,0),"-")</f>
        <v>OUBRAHIM Mohammed</v>
      </c>
      <c r="Z135" s="6" t="str">
        <f aca="false">IFERROR(VLOOKUP($B135,Agents!$A:$D,4,0),"-")</f>
        <v>Credit Mutuel</v>
      </c>
      <c r="AA135" s="18" t="s">
        <v>79</v>
      </c>
      <c r="AB135" s="8" t="str">
        <f aca="false">IF(AND(D135="Congé",F135="Congé"),0.333333333333333,IF(OR(AND(D135="Congé",F135&lt;&gt;"Congé"),(AND(F135="Congé",D135&lt;&gt;"Congé"))),0.166666666666667,""))</f>
        <v/>
      </c>
      <c r="AC135" s="8" t="str">
        <f aca="false">IF(AND(D135="Congé sans solde",F135="Congé sans solde"),0.333333333333333,IF(OR(AND(D135="Congé sans solde",F135&lt;&gt;"Congé sans solde"),(AND(F135="Congé sans solde",D135&lt;&gt;"Congé sans solde"))),0.166666666666667,""))</f>
        <v/>
      </c>
      <c r="AD135" s="8" t="str">
        <f aca="false">IF(AND(D135="Congé spécial",F135="Congé spécial"),0.333333333333333,IF(OR(AND(D135="Congé spécial",F135&lt;&gt;"Congé spécial"),AND(F135="Congé spécial",D135&lt;&gt;"Congé spécial")),0.166666666666667,""))</f>
        <v/>
      </c>
      <c r="AE135" s="8" t="str">
        <f aca="false">IF(AND(D135="Férié",F135="Férié"),0.333333333333333,IF(OR(AND(D135="Férié",F135&lt;&gt;"Férié"),(AND(F135="Férié",D135&lt;&gt;"Férié"))),0.166666666666667,""))</f>
        <v/>
      </c>
      <c r="AF135" s="18"/>
      <c r="AG135" s="18"/>
    </row>
    <row r="136" customFormat="false" ht="15" hidden="false" customHeight="false" outlineLevel="0" collapsed="false">
      <c r="A136" s="6" t="str">
        <f aca="false">YEAR(Q136-WEEKDAY(Q136,2)+4)&amp;"-S"&amp;TEXT(WEEKNUM(Q136,21),"00")</f>
        <v>2025-S52</v>
      </c>
      <c r="B136" s="18" t="s">
        <v>72</v>
      </c>
      <c r="C136" s="19" t="n">
        <v>0.333333333333333</v>
      </c>
      <c r="D136" s="19" t="n">
        <v>0.333333333333333</v>
      </c>
      <c r="E136" s="19" t="n">
        <v>0.75</v>
      </c>
      <c r="F136" s="19" t="n">
        <v>0.75</v>
      </c>
      <c r="G136" s="20"/>
      <c r="H136" s="20"/>
      <c r="I136" s="8" t="str">
        <f aca="false">IF(IF(OR(C136="",D136="Congé",D136="OFF",D136="Congé spécial"),"",IF(D136&gt;F136,D136-C136,IF(C136-D136&lt;0,0,C136-D136)))&lt;0.00068287037037037,"",IF(OR(D136="Congé",D136="OFF",C136="",D136="Congé spécial"),"",IF(D136&gt;F136,D136-C136,IF(C136-D136&lt;0,0,C136-D136))))</f>
        <v/>
      </c>
      <c r="J136" s="20"/>
      <c r="K136" s="8" t="n">
        <f aca="false">IF(SUM(H136:J136)&lt;0.00068287037037037,0,SUM(H136:J136))</f>
        <v>0</v>
      </c>
      <c r="L136" s="8" t="n">
        <f aca="false">IF(OR(F136="Congé",F136="OFF",M136="Abs",F136="Congé sans solde",F136="Férié",F136="Congé spécial",D136="Congé spécial"),0,IF(F136-E136&lt;0,0,IF(F136-E136&lt;=0.00068287037037037,0,F136-E136)))</f>
        <v>0</v>
      </c>
      <c r="M136" s="6" t="n">
        <f aca="false">IF(AND(O136&lt;&gt;0,C136=""),"Abs",0)</f>
        <v>0</v>
      </c>
      <c r="N136" s="8" t="n">
        <f aca="false">IFERROR(IF(OR(D136="OFF",D136="Congé",M136="Abs",D136="Congé sans solde",D136="Férié"),"",IF(O136-K136-L136&gt;O136,O136,IF(O136-K136-L136&lt;0,"",O136-K136-L136))),"")</f>
        <v>0.375</v>
      </c>
      <c r="O136" s="8" t="n">
        <f aca="false">IF(AG136="2H Pause déjeuner",IF(F136-D136-0.0833333333333333&lt;0,F136-D136-0.0833333333333333+1,F136-D136-0.0833333333333333),IF(OR(AND(F136="OFF",D136="OFF"),AND(F136="Congé",D136="Congé"),AND(F136="Congé sans solde",D136="Congé sans solde"),AND(F136="Congé spécial",D136="Congé spécial"),AND(F136="Férié",D136="Férié"),AND(F136="OFF",D136="Congé"),AND(F136="OFF",D136="Congé sans solde"),AND(F136="OFF",D136="Congé spécial"),AND(F136="OFF",D136="Férié"),AND(F136="Congé",D136="OFF"),AND(F136="Congé",D136="Congé sans solde"),AND(F136="Congé",D136="Congé spécial"),AND(F136="Congé",D136="Férié"),AND(F136="Congé sans solde",D136="OFF"),AND(F136="Congé sans solde",D136="Congé"),AND(F136="Congé sans solde",D136="Congé spécial"),AND(F136="Congé sans solde",D136="Férié"),AND(F136="Congé spécial",D136="OFF"),AND(F136="Congé spécial",D136="Congé"),AND(F136="Congé spécial",D136="Congé sans solde"),AND(F136="Congé spécial",D136="Férié"),AND(F136="Férié",D136="OFF"),AND(F136="Férié",D136="Congé"),AND(F136="Férié",D136="Congé sans solde"),AND(F136="Férié",D136="Congé spécial")),0,IF(OR(F136="OFF",F136="Congé",F136="Congé spécial",F136="Congé sans solde",D136="OFF",D136="Congé",D136="Congé spécial",D136="Congé sans solde"),0.208333333333334,IF(AND(AG136="",F136-D136&lt;0),("24:00:00"-D136)+("00:00:00"+F136)-0.0416666666666667,IF(AND(OR(AG136="Allaitement",AG136="Sans déjeuner"),F136-D136&lt;0),("24:00:00"-D136)+("00:00:00"+F136),IF(AND(AG136="",F136-D136&gt;0.166666666666667),F136-D136-0.0416666666666667,IF(AND(OR(AG136="Allaitement",AG136="Sans déjeuner"),F136-D136&gt;0.166666666666667),F136-D136,F136-D136)))))))</f>
        <v>0.375</v>
      </c>
      <c r="P136" s="6" t="str">
        <f aca="false">IFERROR(VLOOKUP($B136,Agents!$A:$D,2,0),"-")</f>
        <v>Accessibilité</v>
      </c>
      <c r="Q136" s="21" t="n">
        <v>46015</v>
      </c>
      <c r="R136" s="8" t="n">
        <f aca="false">IF(M136="Abs",O136,0)</f>
        <v>0</v>
      </c>
      <c r="S136" s="8" t="n">
        <f aca="false">SUM(R136,L136,I136,J136,W136,H136)</f>
        <v>0</v>
      </c>
      <c r="T136" s="6" t="str">
        <f aca="false">"Sem - "&amp;WEEKNUM(Q136,21)</f>
        <v>Sem - 52</v>
      </c>
      <c r="U136" s="6" t="str">
        <f aca="false">CHOOSE(MONTH(Q136),"Janvier","Février","Mars","Avril","Mai","Juin","Juillet","Août","Septembre","Octobre","Novembre","Décembre")</f>
        <v>Décembre</v>
      </c>
      <c r="V136" s="22" t="n">
        <f aca="false">YEAR(Q136)</f>
        <v>2025</v>
      </c>
      <c r="W136" s="20"/>
      <c r="X136" s="8" t="n">
        <f aca="false">IFERROR(IF(M136="Abs",0,IF(ROUND((D136-C136+E136-F136)*1440,0)&lt;=1,0,D136-C136+E136-F136)),0)</f>
        <v>0</v>
      </c>
      <c r="Y136" s="6" t="str">
        <f aca="false">IFERROR(VLOOKUP($B136,Agents!$A:$D,3,0),"-")</f>
        <v>OUBRAHIM Mohammed</v>
      </c>
      <c r="Z136" s="6" t="str">
        <f aca="false">IFERROR(VLOOKUP($B136,Agents!$A:$D,4,0),"-")</f>
        <v>Credit Mutuel</v>
      </c>
      <c r="AA136" s="18" t="s">
        <v>79</v>
      </c>
      <c r="AB136" s="8" t="str">
        <f aca="false">IF(AND(D136="Congé",F136="Congé"),0.333333333333333,IF(OR(AND(D136="Congé",F136&lt;&gt;"Congé"),(AND(F136="Congé",D136&lt;&gt;"Congé"))),0.166666666666667,""))</f>
        <v/>
      </c>
      <c r="AC136" s="8" t="str">
        <f aca="false">IF(AND(D136="Congé sans solde",F136="Congé sans solde"),0.333333333333333,IF(OR(AND(D136="Congé sans solde",F136&lt;&gt;"Congé sans solde"),(AND(F136="Congé sans solde",D136&lt;&gt;"Congé sans solde"))),0.166666666666667,""))</f>
        <v/>
      </c>
      <c r="AD136" s="8" t="str">
        <f aca="false">IF(AND(D136="Congé spécial",F136="Congé spécial"),0.333333333333333,IF(OR(AND(D136="Congé spécial",F136&lt;&gt;"Congé spécial"),AND(F136="Congé spécial",D136&lt;&gt;"Congé spécial")),0.166666666666667,""))</f>
        <v/>
      </c>
      <c r="AE136" s="8" t="str">
        <f aca="false">IF(AND(D136="Férié",F136="Férié"),0.333333333333333,IF(OR(AND(D136="Férié",F136&lt;&gt;"Férié"),(AND(F136="Férié",D136&lt;&gt;"Férié"))),0.166666666666667,""))</f>
        <v/>
      </c>
      <c r="AF136" s="18"/>
      <c r="AG136" s="18"/>
    </row>
    <row r="137" customFormat="false" ht="15" hidden="false" customHeight="false" outlineLevel="0" collapsed="false">
      <c r="A137" s="6" t="str">
        <f aca="false">YEAR(Q137-WEEKDAY(Q137,2)+4)&amp;"-S"&amp;TEXT(WEEKNUM(Q137,21),"00")</f>
        <v>2025-S52</v>
      </c>
      <c r="B137" s="18" t="s">
        <v>73</v>
      </c>
      <c r="C137" s="19" t="n">
        <v>0.33125</v>
      </c>
      <c r="D137" s="19" t="n">
        <v>0.333333333333333</v>
      </c>
      <c r="E137" s="19" t="n">
        <v>0.75</v>
      </c>
      <c r="F137" s="19" t="n">
        <v>0.75</v>
      </c>
      <c r="G137" s="20"/>
      <c r="H137" s="20"/>
      <c r="I137" s="8" t="str">
        <f aca="false">IF(IF(OR(C137="",D137="Congé",D137="OFF",D137="Congé spécial"),"",IF(D137&gt;F137,D137-C137,IF(C137-D137&lt;0,0,C137-D137)))&lt;0.00068287037037037,"",IF(OR(D137="Congé",D137="OFF",C137="",D137="Congé spécial"),"",IF(D137&gt;F137,D137-C137,IF(C137-D137&lt;0,0,C137-D137))))</f>
        <v/>
      </c>
      <c r="J137" s="20"/>
      <c r="K137" s="8" t="n">
        <f aca="false">IF(SUM(H137:J137)&lt;0.00068287037037037,0,SUM(H137:J137))</f>
        <v>0</v>
      </c>
      <c r="L137" s="8" t="n">
        <f aca="false">IF(OR(F137="Congé",F137="OFF",M137="Abs",F137="Congé sans solde",F137="Férié",F137="Congé spécial",D137="Congé spécial"),0,IF(F137-E137&lt;0,0,IF(F137-E137&lt;=0.00068287037037037,0,F137-E137)))</f>
        <v>0</v>
      </c>
      <c r="M137" s="6" t="n">
        <f aca="false">IF(AND(O137&lt;&gt;0,C137=""),"Abs",0)</f>
        <v>0</v>
      </c>
      <c r="N137" s="8" t="n">
        <f aca="false">IFERROR(IF(OR(D137="OFF",D137="Congé",M137="Abs",D137="Congé sans solde",D137="Férié"),"",IF(O137-K137-L137&gt;O137,O137,IF(O137-K137-L137&lt;0,"",O137-K137-L137))),"")</f>
        <v>0.375</v>
      </c>
      <c r="O137" s="8" t="n">
        <f aca="false">IF(AG137="2H Pause déjeuner",IF(F137-D137-0.0833333333333333&lt;0,F137-D137-0.0833333333333333+1,F137-D137-0.0833333333333333),IF(OR(AND(F137="OFF",D137="OFF"),AND(F137="Congé",D137="Congé"),AND(F137="Congé sans solde",D137="Congé sans solde"),AND(F137="Congé spécial",D137="Congé spécial"),AND(F137="Férié",D137="Férié"),AND(F137="OFF",D137="Congé"),AND(F137="OFF",D137="Congé sans solde"),AND(F137="OFF",D137="Congé spécial"),AND(F137="OFF",D137="Férié"),AND(F137="Congé",D137="OFF"),AND(F137="Congé",D137="Congé sans solde"),AND(F137="Congé",D137="Congé spécial"),AND(F137="Congé",D137="Férié"),AND(F137="Congé sans solde",D137="OFF"),AND(F137="Congé sans solde",D137="Congé"),AND(F137="Congé sans solde",D137="Congé spécial"),AND(F137="Congé sans solde",D137="Férié"),AND(F137="Congé spécial",D137="OFF"),AND(F137="Congé spécial",D137="Congé"),AND(F137="Congé spécial",D137="Congé sans solde"),AND(F137="Congé spécial",D137="Férié"),AND(F137="Férié",D137="OFF"),AND(F137="Férié",D137="Congé"),AND(F137="Férié",D137="Congé sans solde"),AND(F137="Férié",D137="Congé spécial")),0,IF(OR(F137="OFF",F137="Congé",F137="Congé spécial",F137="Congé sans solde",D137="OFF",D137="Congé",D137="Congé spécial",D137="Congé sans solde"),0.208333333333334,IF(AND(AG137="",F137-D137&lt;0),("24:00:00"-D137)+("00:00:00"+F137)-0.0416666666666667,IF(AND(OR(AG137="Allaitement",AG137="Sans déjeuner"),F137-D137&lt;0),("24:00:00"-D137)+("00:00:00"+F137),IF(AND(AG137="",F137-D137&gt;0.166666666666667),F137-D137-0.0416666666666667,IF(AND(OR(AG137="Allaitement",AG137="Sans déjeuner"),F137-D137&gt;0.166666666666667),F137-D137,F137-D137)))))))</f>
        <v>0.375</v>
      </c>
      <c r="P137" s="6" t="str">
        <f aca="false">IFERROR(VLOOKUP($B137,Agents!$A:$D,2,0),"-")</f>
        <v>Accessibilité</v>
      </c>
      <c r="Q137" s="21" t="n">
        <v>46015</v>
      </c>
      <c r="R137" s="8" t="n">
        <f aca="false">IF(M137="Abs",O137,0)</f>
        <v>0</v>
      </c>
      <c r="S137" s="8" t="n">
        <f aca="false">SUM(R137,L137,I137,J137,W137,H137)</f>
        <v>0</v>
      </c>
      <c r="T137" s="6" t="str">
        <f aca="false">"Sem - "&amp;WEEKNUM(Q137,21)</f>
        <v>Sem - 52</v>
      </c>
      <c r="U137" s="6" t="str">
        <f aca="false">CHOOSE(MONTH(Q137),"Janvier","Février","Mars","Avril","Mai","Juin","Juillet","Août","Septembre","Octobre","Novembre","Décembre")</f>
        <v>Décembre</v>
      </c>
      <c r="V137" s="22" t="n">
        <f aca="false">YEAR(Q137)</f>
        <v>2025</v>
      </c>
      <c r="W137" s="20"/>
      <c r="X137" s="8" t="n">
        <f aca="false">IFERROR(IF(M137="Abs",0,IF(ROUND((D137-C137+E137-F137)*1440,0)&lt;=1,0,D137-C137+E137-F137)),0)</f>
        <v>0.00208333333333333</v>
      </c>
      <c r="Y137" s="6" t="str">
        <f aca="false">IFERROR(VLOOKUP($B137,Agents!$A:$D,3,0),"-")</f>
        <v>OUBRAHIM Mohammed</v>
      </c>
      <c r="Z137" s="6" t="str">
        <f aca="false">IFERROR(VLOOKUP($B137,Agents!$A:$D,4,0),"-")</f>
        <v>Credit Mutuel</v>
      </c>
      <c r="AA137" s="18" t="s">
        <v>79</v>
      </c>
      <c r="AB137" s="8" t="str">
        <f aca="false">IF(AND(D137="Congé",F137="Congé"),0.333333333333333,IF(OR(AND(D137="Congé",F137&lt;&gt;"Congé"),(AND(F137="Congé",D137&lt;&gt;"Congé"))),0.166666666666667,""))</f>
        <v/>
      </c>
      <c r="AC137" s="8" t="str">
        <f aca="false">IF(AND(D137="Congé sans solde",F137="Congé sans solde"),0.333333333333333,IF(OR(AND(D137="Congé sans solde",F137&lt;&gt;"Congé sans solde"),(AND(F137="Congé sans solde",D137&lt;&gt;"Congé sans solde"))),0.166666666666667,""))</f>
        <v/>
      </c>
      <c r="AD137" s="8" t="str">
        <f aca="false">IF(AND(D137="Congé spécial",F137="Congé spécial"),0.333333333333333,IF(OR(AND(D137="Congé spécial",F137&lt;&gt;"Congé spécial"),AND(F137="Congé spécial",D137&lt;&gt;"Congé spécial")),0.166666666666667,""))</f>
        <v/>
      </c>
      <c r="AE137" s="8" t="str">
        <f aca="false">IF(AND(D137="Férié",F137="Férié"),0.333333333333333,IF(OR(AND(D137="Férié",F137&lt;&gt;"Férié"),(AND(F137="Férié",D137&lt;&gt;"Férié"))),0.166666666666667,""))</f>
        <v/>
      </c>
      <c r="AF137" s="18"/>
      <c r="AG137" s="18"/>
    </row>
    <row r="138" customFormat="false" ht="15" hidden="false" customHeight="false" outlineLevel="0" collapsed="false">
      <c r="A138" s="6" t="str">
        <f aca="false">YEAR(Q138-WEEKDAY(Q138,2)+4)&amp;"-S"&amp;TEXT(WEEKNUM(Q138,21),"00")</f>
        <v>2025-S52</v>
      </c>
      <c r="B138" s="18" t="s">
        <v>69</v>
      </c>
      <c r="C138" s="19"/>
      <c r="D138" s="19" t="s">
        <v>74</v>
      </c>
      <c r="E138" s="19"/>
      <c r="F138" s="19" t="s">
        <v>74</v>
      </c>
      <c r="G138" s="20"/>
      <c r="H138" s="20"/>
      <c r="I138" s="8" t="str">
        <f aca="false">IF(IF(OR(C138="",D138="Congé",D138="OFF",D138="Congé spécial"),"",IF(D138&gt;F138,D138-C138,IF(C138-D138&lt;0,0,C138-D138)))&lt;0.00068287037037037,"",IF(OR(D138="Congé",D138="OFF",C138="",D138="Congé spécial"),"",IF(D138&gt;F138,D138-C138,IF(C138-D138&lt;0,0,C138-D138))))</f>
        <v/>
      </c>
      <c r="J138" s="20"/>
      <c r="K138" s="8" t="n">
        <f aca="false">IF(SUM(H138:J138)&lt;0.00068287037037037,0,SUM(H138:J138))</f>
        <v>0</v>
      </c>
      <c r="L138" s="8" t="n">
        <f aca="false">IF(OR(F138="Congé",F138="OFF",M138="Abs",F138="Congé sans solde",F138="Férié",F138="Congé spécial",D138="Congé spécial"),0,IF(F138-E138&lt;0,0,IF(F138-E138&lt;=0.00068287037037037,0,F138-E138)))</f>
        <v>0</v>
      </c>
      <c r="M138" s="6" t="n">
        <f aca="false">IF(AND(O138&lt;&gt;0,C138=""),"Abs",0)</f>
        <v>0</v>
      </c>
      <c r="N138" s="8" t="str">
        <f aca="false">IFERROR(IF(OR(D138="OFF",D138="Congé",M138="Abs",D138="Congé sans solde",D138="Férié"),"",IF(O138-K138-L138&gt;O138,O138,IF(O138-K138-L138&lt;0,"",O138-K138-L138))),"")</f>
        <v/>
      </c>
      <c r="O138" s="8" t="n">
        <f aca="false">IF(AG138="2H Pause déjeuner",IF(F138-D138-0.0833333333333333&lt;0,F138-D138-0.0833333333333333+1,F138-D138-0.0833333333333333),IF(OR(AND(F138="OFF",D138="OFF"),AND(F138="Congé",D138="Congé"),AND(F138="Congé sans solde",D138="Congé sans solde"),AND(F138="Congé spécial",D138="Congé spécial"),AND(F138="Férié",D138="Férié"),AND(F138="OFF",D138="Congé"),AND(F138="OFF",D138="Congé sans solde"),AND(F138="OFF",D138="Congé spécial"),AND(F138="OFF",D138="Férié"),AND(F138="Congé",D138="OFF"),AND(F138="Congé",D138="Congé sans solde"),AND(F138="Congé",D138="Congé spécial"),AND(F138="Congé",D138="Férié"),AND(F138="Congé sans solde",D138="OFF"),AND(F138="Congé sans solde",D138="Congé"),AND(F138="Congé sans solde",D138="Congé spécial"),AND(F138="Congé sans solde",D138="Férié"),AND(F138="Congé spécial",D138="OFF"),AND(F138="Congé spécial",D138="Congé"),AND(F138="Congé spécial",D138="Congé sans solde"),AND(F138="Congé spécial",D138="Férié"),AND(F138="Férié",D138="OFF"),AND(F138="Férié",D138="Congé"),AND(F138="Férié",D138="Congé sans solde"),AND(F138="Férié",D138="Congé spécial")),0,IF(OR(F138="OFF",F138="Congé",F138="Congé spécial",F138="Congé sans solde",D138="OFF",D138="Congé",D138="Congé spécial",D138="Congé sans solde"),0.208333333333334,IF(AND(AG138="",F138-D138&lt;0),("24:00:00"-D138)+("00:00:00"+F138)-0.0416666666666667,IF(AND(OR(AG138="Allaitement",AG138="Sans déjeuner"),F138-D138&lt;0),("24:00:00"-D138)+("00:00:00"+F138),IF(AND(AG138="",F138-D138&gt;0.166666666666667),F138-D138-0.0416666666666667,IF(AND(OR(AG138="Allaitement",AG138="Sans déjeuner"),F138-D138&gt;0.166666666666667),F138-D138,F138-D138)))))))</f>
        <v>0</v>
      </c>
      <c r="P138" s="6" t="str">
        <f aca="false">IFERROR(VLOOKUP($B138,Agents!$A:$D,2,0),"-")</f>
        <v>Accessibilité</v>
      </c>
      <c r="Q138" s="21" t="n">
        <v>46016</v>
      </c>
      <c r="R138" s="8" t="n">
        <f aca="false">IF(M138="Abs",O138,0)</f>
        <v>0</v>
      </c>
      <c r="S138" s="8" t="n">
        <f aca="false">SUM(R138,L138,I138,J138,W138,H138)</f>
        <v>0</v>
      </c>
      <c r="T138" s="6" t="str">
        <f aca="false">"Sem - "&amp;WEEKNUM(Q138,21)</f>
        <v>Sem - 52</v>
      </c>
      <c r="U138" s="6" t="str">
        <f aca="false">CHOOSE(MONTH(Q138),"Janvier","Février","Mars","Avril","Mai","Juin","Juillet","Août","Septembre","Octobre","Novembre","Décembre")</f>
        <v>Décembre</v>
      </c>
      <c r="V138" s="22" t="n">
        <f aca="false">YEAR(Q138)</f>
        <v>2025</v>
      </c>
      <c r="W138" s="20"/>
      <c r="X138" s="8" t="n">
        <f aca="false">IFERROR(IF(M138="Abs",0,IF(ROUND((D138-C138+E138-F138)*1440,0)&lt;=1,0,D138-C138+E138-F138)),0)</f>
        <v>0</v>
      </c>
      <c r="Y138" s="6" t="str">
        <f aca="false">IFERROR(VLOOKUP($B138,Agents!$A:$D,3,0),"-")</f>
        <v>OUBRAHIM Mohammed</v>
      </c>
      <c r="Z138" s="6" t="str">
        <f aca="false">IFERROR(VLOOKUP($B138,Agents!$A:$D,4,0),"-")</f>
        <v>Credit Mutuel</v>
      </c>
      <c r="AA138" s="18" t="s">
        <v>79</v>
      </c>
      <c r="AB138" s="8" t="str">
        <f aca="false">IF(AND(D138="Congé",F138="Congé"),0.333333333333333,IF(OR(AND(D138="Congé",F138&lt;&gt;"Congé"),(AND(F138="Congé",D138&lt;&gt;"Congé"))),0.166666666666667,""))</f>
        <v/>
      </c>
      <c r="AC138" s="8" t="str">
        <f aca="false">IF(AND(D138="Congé sans solde",F138="Congé sans solde"),0.333333333333333,IF(OR(AND(D138="Congé sans solde",F138&lt;&gt;"Congé sans solde"),(AND(F138="Congé sans solde",D138&lt;&gt;"Congé sans solde"))),0.166666666666667,""))</f>
        <v/>
      </c>
      <c r="AD138" s="8" t="str">
        <f aca="false">IF(AND(D138="Congé spécial",F138="Congé spécial"),0.333333333333333,IF(OR(AND(D138="Congé spécial",F138&lt;&gt;"Congé spécial"),AND(F138="Congé spécial",D138&lt;&gt;"Congé spécial")),0.166666666666667,""))</f>
        <v/>
      </c>
      <c r="AE138" s="8" t="str">
        <f aca="false">IF(AND(D138="Férié",F138="Férié"),0.333333333333333,IF(OR(AND(D138="Férié",F138&lt;&gt;"Férié"),(AND(F138="Férié",D138&lt;&gt;"Férié"))),0.166666666666667,""))</f>
        <v/>
      </c>
      <c r="AF138" s="18"/>
      <c r="AG138" s="18"/>
    </row>
    <row r="139" customFormat="false" ht="15" hidden="false" customHeight="false" outlineLevel="0" collapsed="false">
      <c r="A139" s="6" t="str">
        <f aca="false">YEAR(Q139-WEEKDAY(Q139,2)+4)&amp;"-S"&amp;TEXT(WEEKNUM(Q139,21),"00")</f>
        <v>2025-S52</v>
      </c>
      <c r="B139" s="18" t="s">
        <v>71</v>
      </c>
      <c r="C139" s="19"/>
      <c r="D139" s="19" t="s">
        <v>74</v>
      </c>
      <c r="E139" s="19"/>
      <c r="F139" s="19" t="s">
        <v>74</v>
      </c>
      <c r="G139" s="20"/>
      <c r="H139" s="20"/>
      <c r="I139" s="8" t="str">
        <f aca="false">IF(IF(OR(C139="",D139="Congé",D139="OFF",D139="Congé spécial"),"",IF(D139&gt;F139,D139-C139,IF(C139-D139&lt;0,0,C139-D139)))&lt;0.00068287037037037,"",IF(OR(D139="Congé",D139="OFF",C139="",D139="Congé spécial"),"",IF(D139&gt;F139,D139-C139,IF(C139-D139&lt;0,0,C139-D139))))</f>
        <v/>
      </c>
      <c r="J139" s="20"/>
      <c r="K139" s="8" t="n">
        <f aca="false">IF(SUM(H139:J139)&lt;0.00068287037037037,0,SUM(H139:J139))</f>
        <v>0</v>
      </c>
      <c r="L139" s="8" t="n">
        <f aca="false">IF(OR(F139="Congé",F139="OFF",M139="Abs",F139="Congé sans solde",F139="Férié",F139="Congé spécial",D139="Congé spécial"),0,IF(F139-E139&lt;0,0,IF(F139-E139&lt;=0.00068287037037037,0,F139-E139)))</f>
        <v>0</v>
      </c>
      <c r="M139" s="6" t="n">
        <f aca="false">IF(AND(O139&lt;&gt;0,C139=""),"Abs",0)</f>
        <v>0</v>
      </c>
      <c r="N139" s="8" t="str">
        <f aca="false">IFERROR(IF(OR(D139="OFF",D139="Congé",M139="Abs",D139="Congé sans solde",D139="Férié"),"",IF(O139-K139-L139&gt;O139,O139,IF(O139-K139-L139&lt;0,"",O139-K139-L139))),"")</f>
        <v/>
      </c>
      <c r="O139" s="8" t="n">
        <f aca="false">IF(AG139="2H Pause déjeuner",IF(F139-D139-0.0833333333333333&lt;0,F139-D139-0.0833333333333333+1,F139-D139-0.0833333333333333),IF(OR(AND(F139="OFF",D139="OFF"),AND(F139="Congé",D139="Congé"),AND(F139="Congé sans solde",D139="Congé sans solde"),AND(F139="Congé spécial",D139="Congé spécial"),AND(F139="Férié",D139="Férié"),AND(F139="OFF",D139="Congé"),AND(F139="OFF",D139="Congé sans solde"),AND(F139="OFF",D139="Congé spécial"),AND(F139="OFF",D139="Férié"),AND(F139="Congé",D139="OFF"),AND(F139="Congé",D139="Congé sans solde"),AND(F139="Congé",D139="Congé spécial"),AND(F139="Congé",D139="Férié"),AND(F139="Congé sans solde",D139="OFF"),AND(F139="Congé sans solde",D139="Congé"),AND(F139="Congé sans solde",D139="Congé spécial"),AND(F139="Congé sans solde",D139="Férié"),AND(F139="Congé spécial",D139="OFF"),AND(F139="Congé spécial",D139="Congé"),AND(F139="Congé spécial",D139="Congé sans solde"),AND(F139="Congé spécial",D139="Férié"),AND(F139="Férié",D139="OFF"),AND(F139="Férié",D139="Congé"),AND(F139="Férié",D139="Congé sans solde"),AND(F139="Férié",D139="Congé spécial")),0,IF(OR(F139="OFF",F139="Congé",F139="Congé spécial",F139="Congé sans solde",D139="OFF",D139="Congé",D139="Congé spécial",D139="Congé sans solde"),0.208333333333334,IF(AND(AG139="",F139-D139&lt;0),("24:00:00"-D139)+("00:00:00"+F139)-0.0416666666666667,IF(AND(OR(AG139="Allaitement",AG139="Sans déjeuner"),F139-D139&lt;0),("24:00:00"-D139)+("00:00:00"+F139),IF(AND(AG139="",F139-D139&gt;0.166666666666667),F139-D139-0.0416666666666667,IF(AND(OR(AG139="Allaitement",AG139="Sans déjeuner"),F139-D139&gt;0.166666666666667),F139-D139,F139-D139)))))))</f>
        <v>0</v>
      </c>
      <c r="P139" s="6" t="str">
        <f aca="false">IFERROR(VLOOKUP($B139,Agents!$A:$D,2,0),"-")</f>
        <v>Accessibilité</v>
      </c>
      <c r="Q139" s="21" t="n">
        <v>46016</v>
      </c>
      <c r="R139" s="8" t="n">
        <f aca="false">IF(M139="Abs",O139,0)</f>
        <v>0</v>
      </c>
      <c r="S139" s="8" t="n">
        <f aca="false">SUM(R139,L139,I139,J139,W139,H139)</f>
        <v>0</v>
      </c>
      <c r="T139" s="6" t="str">
        <f aca="false">"Sem - "&amp;WEEKNUM(Q139,21)</f>
        <v>Sem - 52</v>
      </c>
      <c r="U139" s="6" t="str">
        <f aca="false">CHOOSE(MONTH(Q139),"Janvier","Février","Mars","Avril","Mai","Juin","Juillet","Août","Septembre","Octobre","Novembre","Décembre")</f>
        <v>Décembre</v>
      </c>
      <c r="V139" s="22" t="n">
        <f aca="false">YEAR(Q139)</f>
        <v>2025</v>
      </c>
      <c r="W139" s="20"/>
      <c r="X139" s="8" t="n">
        <f aca="false">IFERROR(IF(M139="Abs",0,IF(ROUND((D139-C139+E139-F139)*1440,0)&lt;=1,0,D139-C139+E139-F139)),0)</f>
        <v>0</v>
      </c>
      <c r="Y139" s="6" t="str">
        <f aca="false">IFERROR(VLOOKUP($B139,Agents!$A:$D,3,0),"-")</f>
        <v>OUBRAHIM Mohammed</v>
      </c>
      <c r="Z139" s="6" t="str">
        <f aca="false">IFERROR(VLOOKUP($B139,Agents!$A:$D,4,0),"-")</f>
        <v>Credit Mutuel</v>
      </c>
      <c r="AA139" s="18" t="s">
        <v>79</v>
      </c>
      <c r="AB139" s="8" t="str">
        <f aca="false">IF(AND(D139="Congé",F139="Congé"),0.333333333333333,IF(OR(AND(D139="Congé",F139&lt;&gt;"Congé"),(AND(F139="Congé",D139&lt;&gt;"Congé"))),0.166666666666667,""))</f>
        <v/>
      </c>
      <c r="AC139" s="8" t="str">
        <f aca="false">IF(AND(D139="Congé sans solde",F139="Congé sans solde"),0.333333333333333,IF(OR(AND(D139="Congé sans solde",F139&lt;&gt;"Congé sans solde"),(AND(F139="Congé sans solde",D139&lt;&gt;"Congé sans solde"))),0.166666666666667,""))</f>
        <v/>
      </c>
      <c r="AD139" s="8" t="str">
        <f aca="false">IF(AND(D139="Congé spécial",F139="Congé spécial"),0.333333333333333,IF(OR(AND(D139="Congé spécial",F139&lt;&gt;"Congé spécial"),AND(F139="Congé spécial",D139&lt;&gt;"Congé spécial")),0.166666666666667,""))</f>
        <v/>
      </c>
      <c r="AE139" s="8" t="str">
        <f aca="false">IF(AND(D139="Férié",F139="Férié"),0.333333333333333,IF(OR(AND(D139="Férié",F139&lt;&gt;"Férié"),(AND(F139="Férié",D139&lt;&gt;"Férié"))),0.166666666666667,""))</f>
        <v/>
      </c>
      <c r="AF139" s="18"/>
      <c r="AG139" s="18"/>
    </row>
    <row r="140" customFormat="false" ht="15" hidden="false" customHeight="false" outlineLevel="0" collapsed="false">
      <c r="A140" s="6" t="str">
        <f aca="false">YEAR(Q140-WEEKDAY(Q140,2)+4)&amp;"-S"&amp;TEXT(WEEKNUM(Q140,21),"00")</f>
        <v>2025-S52</v>
      </c>
      <c r="B140" s="18" t="s">
        <v>72</v>
      </c>
      <c r="C140" s="19"/>
      <c r="D140" s="19" t="s">
        <v>74</v>
      </c>
      <c r="E140" s="19"/>
      <c r="F140" s="19" t="s">
        <v>74</v>
      </c>
      <c r="G140" s="20"/>
      <c r="H140" s="20"/>
      <c r="I140" s="8" t="str">
        <f aca="false">IF(IF(OR(C140="",D140="Congé",D140="OFF",D140="Congé spécial"),"",IF(D140&gt;F140,D140-C140,IF(C140-D140&lt;0,0,C140-D140)))&lt;0.00068287037037037,"",IF(OR(D140="Congé",D140="OFF",C140="",D140="Congé spécial"),"",IF(D140&gt;F140,D140-C140,IF(C140-D140&lt;0,0,C140-D140))))</f>
        <v/>
      </c>
      <c r="J140" s="20"/>
      <c r="K140" s="8" t="n">
        <f aca="false">IF(SUM(H140:J140)&lt;0.00068287037037037,0,SUM(H140:J140))</f>
        <v>0</v>
      </c>
      <c r="L140" s="8" t="n">
        <f aca="false">IF(OR(F140="Congé",F140="OFF",M140="Abs",F140="Congé sans solde",F140="Férié",F140="Congé spécial",D140="Congé spécial"),0,IF(F140-E140&lt;0,0,IF(F140-E140&lt;=0.00068287037037037,0,F140-E140)))</f>
        <v>0</v>
      </c>
      <c r="M140" s="6" t="n">
        <f aca="false">IF(AND(O140&lt;&gt;0,C140=""),"Abs",0)</f>
        <v>0</v>
      </c>
      <c r="N140" s="8" t="str">
        <f aca="false">IFERROR(IF(OR(D140="OFF",D140="Congé",M140="Abs",D140="Congé sans solde",D140="Férié"),"",IF(O140-K140-L140&gt;O140,O140,IF(O140-K140-L140&lt;0,"",O140-K140-L140))),"")</f>
        <v/>
      </c>
      <c r="O140" s="8" t="n">
        <f aca="false">IF(AG140="2H Pause déjeuner",IF(F140-D140-0.0833333333333333&lt;0,F140-D140-0.0833333333333333+1,F140-D140-0.0833333333333333),IF(OR(AND(F140="OFF",D140="OFF"),AND(F140="Congé",D140="Congé"),AND(F140="Congé sans solde",D140="Congé sans solde"),AND(F140="Congé spécial",D140="Congé spécial"),AND(F140="Férié",D140="Férié"),AND(F140="OFF",D140="Congé"),AND(F140="OFF",D140="Congé sans solde"),AND(F140="OFF",D140="Congé spécial"),AND(F140="OFF",D140="Férié"),AND(F140="Congé",D140="OFF"),AND(F140="Congé",D140="Congé sans solde"),AND(F140="Congé",D140="Congé spécial"),AND(F140="Congé",D140="Férié"),AND(F140="Congé sans solde",D140="OFF"),AND(F140="Congé sans solde",D140="Congé"),AND(F140="Congé sans solde",D140="Congé spécial"),AND(F140="Congé sans solde",D140="Férié"),AND(F140="Congé spécial",D140="OFF"),AND(F140="Congé spécial",D140="Congé"),AND(F140="Congé spécial",D140="Congé sans solde"),AND(F140="Congé spécial",D140="Férié"),AND(F140="Férié",D140="OFF"),AND(F140="Férié",D140="Congé"),AND(F140="Férié",D140="Congé sans solde"),AND(F140="Férié",D140="Congé spécial")),0,IF(OR(F140="OFF",F140="Congé",F140="Congé spécial",F140="Congé sans solde",D140="OFF",D140="Congé",D140="Congé spécial",D140="Congé sans solde"),0.208333333333334,IF(AND(AG140="",F140-D140&lt;0),("24:00:00"-D140)+("00:00:00"+F140)-0.0416666666666667,IF(AND(OR(AG140="Allaitement",AG140="Sans déjeuner"),F140-D140&lt;0),("24:00:00"-D140)+("00:00:00"+F140),IF(AND(AG140="",F140-D140&gt;0.166666666666667),F140-D140-0.0416666666666667,IF(AND(OR(AG140="Allaitement",AG140="Sans déjeuner"),F140-D140&gt;0.166666666666667),F140-D140,F140-D140)))))))</f>
        <v>0</v>
      </c>
      <c r="P140" s="6" t="str">
        <f aca="false">IFERROR(VLOOKUP($B140,Agents!$A:$D,2,0),"-")</f>
        <v>Accessibilité</v>
      </c>
      <c r="Q140" s="21" t="n">
        <v>46016</v>
      </c>
      <c r="R140" s="8" t="n">
        <f aca="false">IF(M140="Abs",O140,0)</f>
        <v>0</v>
      </c>
      <c r="S140" s="8" t="n">
        <f aca="false">SUM(R140,L140,I140,J140,W140,H140)</f>
        <v>0</v>
      </c>
      <c r="T140" s="6" t="str">
        <f aca="false">"Sem - "&amp;WEEKNUM(Q140,21)</f>
        <v>Sem - 52</v>
      </c>
      <c r="U140" s="6" t="str">
        <f aca="false">CHOOSE(MONTH(Q140),"Janvier","Février","Mars","Avril","Mai","Juin","Juillet","Août","Septembre","Octobre","Novembre","Décembre")</f>
        <v>Décembre</v>
      </c>
      <c r="V140" s="22" t="n">
        <f aca="false">YEAR(Q140)</f>
        <v>2025</v>
      </c>
      <c r="W140" s="20"/>
      <c r="X140" s="8" t="n">
        <f aca="false">IFERROR(IF(M140="Abs",0,IF(ROUND((D140-C140+E140-F140)*1440,0)&lt;=1,0,D140-C140+E140-F140)),0)</f>
        <v>0</v>
      </c>
      <c r="Y140" s="6" t="str">
        <f aca="false">IFERROR(VLOOKUP($B140,Agents!$A:$D,3,0),"-")</f>
        <v>OUBRAHIM Mohammed</v>
      </c>
      <c r="Z140" s="6" t="str">
        <f aca="false">IFERROR(VLOOKUP($B140,Agents!$A:$D,4,0),"-")</f>
        <v>Credit Mutuel</v>
      </c>
      <c r="AA140" s="18" t="s">
        <v>79</v>
      </c>
      <c r="AB140" s="8" t="str">
        <f aca="false">IF(AND(D140="Congé",F140="Congé"),0.333333333333333,IF(OR(AND(D140="Congé",F140&lt;&gt;"Congé"),(AND(F140="Congé",D140&lt;&gt;"Congé"))),0.166666666666667,""))</f>
        <v/>
      </c>
      <c r="AC140" s="8" t="str">
        <f aca="false">IF(AND(D140="Congé sans solde",F140="Congé sans solde"),0.333333333333333,IF(OR(AND(D140="Congé sans solde",F140&lt;&gt;"Congé sans solde"),(AND(F140="Congé sans solde",D140&lt;&gt;"Congé sans solde"))),0.166666666666667,""))</f>
        <v/>
      </c>
      <c r="AD140" s="8" t="str">
        <f aca="false">IF(AND(D140="Congé spécial",F140="Congé spécial"),0.333333333333333,IF(OR(AND(D140="Congé spécial",F140&lt;&gt;"Congé spécial"),AND(F140="Congé spécial",D140&lt;&gt;"Congé spécial")),0.166666666666667,""))</f>
        <v/>
      </c>
      <c r="AE140" s="8" t="str">
        <f aca="false">IF(AND(D140="Férié",F140="Férié"),0.333333333333333,IF(OR(AND(D140="Férié",F140&lt;&gt;"Férié"),(AND(F140="Férié",D140&lt;&gt;"Férié"))),0.166666666666667,""))</f>
        <v/>
      </c>
      <c r="AF140" s="18"/>
      <c r="AG140" s="18"/>
    </row>
    <row r="141" customFormat="false" ht="15" hidden="false" customHeight="false" outlineLevel="0" collapsed="false">
      <c r="A141" s="6" t="str">
        <f aca="false">YEAR(Q141-WEEKDAY(Q141,2)+4)&amp;"-S"&amp;TEXT(WEEKNUM(Q141,21),"00")</f>
        <v>2025-S52</v>
      </c>
      <c r="B141" s="18" t="s">
        <v>73</v>
      </c>
      <c r="C141" s="19"/>
      <c r="D141" s="19" t="s">
        <v>74</v>
      </c>
      <c r="E141" s="19"/>
      <c r="F141" s="19" t="s">
        <v>74</v>
      </c>
      <c r="G141" s="20"/>
      <c r="H141" s="20"/>
      <c r="I141" s="8" t="str">
        <f aca="false">IF(IF(OR(C141="",D141="Congé",D141="OFF",D141="Congé spécial"),"",IF(D141&gt;F141,D141-C141,IF(C141-D141&lt;0,0,C141-D141)))&lt;0.00068287037037037,"",IF(OR(D141="Congé",D141="OFF",C141="",D141="Congé spécial"),"",IF(D141&gt;F141,D141-C141,IF(C141-D141&lt;0,0,C141-D141))))</f>
        <v/>
      </c>
      <c r="J141" s="20"/>
      <c r="K141" s="8" t="n">
        <f aca="false">IF(SUM(H141:J141)&lt;0.00068287037037037,0,SUM(H141:J141))</f>
        <v>0</v>
      </c>
      <c r="L141" s="8" t="n">
        <f aca="false">IF(OR(F141="Congé",F141="OFF",M141="Abs",F141="Congé sans solde",F141="Férié",F141="Congé spécial",D141="Congé spécial"),0,IF(F141-E141&lt;0,0,IF(F141-E141&lt;=0.00068287037037037,0,F141-E141)))</f>
        <v>0</v>
      </c>
      <c r="M141" s="6" t="n">
        <f aca="false">IF(AND(O141&lt;&gt;0,C141=""),"Abs",0)</f>
        <v>0</v>
      </c>
      <c r="N141" s="8" t="str">
        <f aca="false">IFERROR(IF(OR(D141="OFF",D141="Congé",M141="Abs",D141="Congé sans solde",D141="Férié"),"",IF(O141-K141-L141&gt;O141,O141,IF(O141-K141-L141&lt;0,"",O141-K141-L141))),"")</f>
        <v/>
      </c>
      <c r="O141" s="8" t="n">
        <f aca="false">IF(AG141="2H Pause déjeuner",IF(F141-D141-0.0833333333333333&lt;0,F141-D141-0.0833333333333333+1,F141-D141-0.0833333333333333),IF(OR(AND(F141="OFF",D141="OFF"),AND(F141="Congé",D141="Congé"),AND(F141="Congé sans solde",D141="Congé sans solde"),AND(F141="Congé spécial",D141="Congé spécial"),AND(F141="Férié",D141="Férié"),AND(F141="OFF",D141="Congé"),AND(F141="OFF",D141="Congé sans solde"),AND(F141="OFF",D141="Congé spécial"),AND(F141="OFF",D141="Férié"),AND(F141="Congé",D141="OFF"),AND(F141="Congé",D141="Congé sans solde"),AND(F141="Congé",D141="Congé spécial"),AND(F141="Congé",D141="Férié"),AND(F141="Congé sans solde",D141="OFF"),AND(F141="Congé sans solde",D141="Congé"),AND(F141="Congé sans solde",D141="Congé spécial"),AND(F141="Congé sans solde",D141="Férié"),AND(F141="Congé spécial",D141="OFF"),AND(F141="Congé spécial",D141="Congé"),AND(F141="Congé spécial",D141="Congé sans solde"),AND(F141="Congé spécial",D141="Férié"),AND(F141="Férié",D141="OFF"),AND(F141="Férié",D141="Congé"),AND(F141="Férié",D141="Congé sans solde"),AND(F141="Férié",D141="Congé spécial")),0,IF(OR(F141="OFF",F141="Congé",F141="Congé spécial",F141="Congé sans solde",D141="OFF",D141="Congé",D141="Congé spécial",D141="Congé sans solde"),0.208333333333334,IF(AND(AG141="",F141-D141&lt;0),("24:00:00"-D141)+("00:00:00"+F141)-0.0416666666666667,IF(AND(OR(AG141="Allaitement",AG141="Sans déjeuner"),F141-D141&lt;0),("24:00:00"-D141)+("00:00:00"+F141),IF(AND(AG141="",F141-D141&gt;0.166666666666667),F141-D141-0.0416666666666667,IF(AND(OR(AG141="Allaitement",AG141="Sans déjeuner"),F141-D141&gt;0.166666666666667),F141-D141,F141-D141)))))))</f>
        <v>0</v>
      </c>
      <c r="P141" s="6" t="str">
        <f aca="false">IFERROR(VLOOKUP($B141,Agents!$A:$D,2,0),"-")</f>
        <v>Accessibilité</v>
      </c>
      <c r="Q141" s="21" t="n">
        <v>46016</v>
      </c>
      <c r="R141" s="8" t="n">
        <f aca="false">IF(M141="Abs",O141,0)</f>
        <v>0</v>
      </c>
      <c r="S141" s="8" t="n">
        <f aca="false">SUM(R141,L141,I141,J141,W141,H141)</f>
        <v>0</v>
      </c>
      <c r="T141" s="6" t="str">
        <f aca="false">"Sem - "&amp;WEEKNUM(Q141,21)</f>
        <v>Sem - 52</v>
      </c>
      <c r="U141" s="6" t="str">
        <f aca="false">CHOOSE(MONTH(Q141),"Janvier","Février","Mars","Avril","Mai","Juin","Juillet","Août","Septembre","Octobre","Novembre","Décembre")</f>
        <v>Décembre</v>
      </c>
      <c r="V141" s="22" t="n">
        <f aca="false">YEAR(Q141)</f>
        <v>2025</v>
      </c>
      <c r="W141" s="20"/>
      <c r="X141" s="8" t="n">
        <f aca="false">IFERROR(IF(M141="Abs",0,IF(ROUND((D141-C141+E141-F141)*1440,0)&lt;=1,0,D141-C141+E141-F141)),0)</f>
        <v>0</v>
      </c>
      <c r="Y141" s="6" t="str">
        <f aca="false">IFERROR(VLOOKUP($B141,Agents!$A:$D,3,0),"-")</f>
        <v>OUBRAHIM Mohammed</v>
      </c>
      <c r="Z141" s="6" t="str">
        <f aca="false">IFERROR(VLOOKUP($B141,Agents!$A:$D,4,0),"-")</f>
        <v>Credit Mutuel</v>
      </c>
      <c r="AA141" s="18" t="s">
        <v>79</v>
      </c>
      <c r="AB141" s="8" t="str">
        <f aca="false">IF(AND(D141="Congé",F141="Congé"),0.333333333333333,IF(OR(AND(D141="Congé",F141&lt;&gt;"Congé"),(AND(F141="Congé",D141&lt;&gt;"Congé"))),0.166666666666667,""))</f>
        <v/>
      </c>
      <c r="AC141" s="8" t="str">
        <f aca="false">IF(AND(D141="Congé sans solde",F141="Congé sans solde"),0.333333333333333,IF(OR(AND(D141="Congé sans solde",F141&lt;&gt;"Congé sans solde"),(AND(F141="Congé sans solde",D141&lt;&gt;"Congé sans solde"))),0.166666666666667,""))</f>
        <v/>
      </c>
      <c r="AD141" s="8" t="str">
        <f aca="false">IF(AND(D141="Congé spécial",F141="Congé spécial"),0.333333333333333,IF(OR(AND(D141="Congé spécial",F141&lt;&gt;"Congé spécial"),AND(F141="Congé spécial",D141&lt;&gt;"Congé spécial")),0.166666666666667,""))</f>
        <v/>
      </c>
      <c r="AE141" s="8" t="str">
        <f aca="false">IF(AND(D141="Férié",F141="Férié"),0.333333333333333,IF(OR(AND(D141="Férié",F141&lt;&gt;"Férié"),(AND(F141="Férié",D141&lt;&gt;"Férié"))),0.166666666666667,""))</f>
        <v/>
      </c>
      <c r="AF141" s="18"/>
      <c r="AG141" s="18"/>
    </row>
    <row r="142" customFormat="false" ht="15" hidden="false" customHeight="false" outlineLevel="0" collapsed="false">
      <c r="A142" s="6" t="str">
        <f aca="false">YEAR(Q142-WEEKDAY(Q142,2)+4)&amp;"-S"&amp;TEXT(WEEKNUM(Q142,21),"00")</f>
        <v>2025-S52</v>
      </c>
      <c r="B142" s="18" t="s">
        <v>69</v>
      </c>
      <c r="C142" s="19" t="n">
        <v>0.333333333333333</v>
      </c>
      <c r="D142" s="19" t="n">
        <v>0.333333333333333</v>
      </c>
      <c r="E142" s="19" t="n">
        <v>0.708333333333333</v>
      </c>
      <c r="F142" s="19" t="n">
        <v>0.708333333333333</v>
      </c>
      <c r="G142" s="20"/>
      <c r="H142" s="20"/>
      <c r="I142" s="8" t="str">
        <f aca="false">IF(IF(OR(C142="",D142="Congé",D142="OFF",D142="Congé spécial"),"",IF(D142&gt;F142,D142-C142,IF(C142-D142&lt;0,0,C142-D142)))&lt;0.00068287037037037,"",IF(OR(D142="Congé",D142="OFF",C142="",D142="Congé spécial"),"",IF(D142&gt;F142,D142-C142,IF(C142-D142&lt;0,0,C142-D142))))</f>
        <v/>
      </c>
      <c r="J142" s="20"/>
      <c r="K142" s="8" t="n">
        <f aca="false">IF(SUM(H142:J142)&lt;0.00068287037037037,0,SUM(H142:J142))</f>
        <v>0</v>
      </c>
      <c r="L142" s="8" t="n">
        <f aca="false">IF(OR(F142="Congé",F142="OFF",M142="Abs",F142="Congé sans solde",F142="Férié",F142="Congé spécial",D142="Congé spécial"),0,IF(F142-E142&lt;0,0,IF(F142-E142&lt;=0.00068287037037037,0,F142-E142)))</f>
        <v>0</v>
      </c>
      <c r="M142" s="6" t="n">
        <f aca="false">IF(AND(O142&lt;&gt;0,C142=""),"Abs",0)</f>
        <v>0</v>
      </c>
      <c r="N142" s="8" t="n">
        <f aca="false">IFERROR(IF(OR(D142="OFF",D142="Congé",M142="Abs",D142="Congé sans solde",D142="Férié"),"",IF(O142-K142-L142&gt;O142,O142,IF(O142-K142-L142&lt;0,"",O142-K142-L142))),"")</f>
        <v>0.333333333333333</v>
      </c>
      <c r="O142" s="8" t="n">
        <f aca="false">IF(AG142="2H Pause déjeuner",IF(F142-D142-0.0833333333333333&lt;0,F142-D142-0.0833333333333333+1,F142-D142-0.0833333333333333),IF(OR(AND(F142="OFF",D142="OFF"),AND(F142="Congé",D142="Congé"),AND(F142="Congé sans solde",D142="Congé sans solde"),AND(F142="Congé spécial",D142="Congé spécial"),AND(F142="Férié",D142="Férié"),AND(F142="OFF",D142="Congé"),AND(F142="OFF",D142="Congé sans solde"),AND(F142="OFF",D142="Congé spécial"),AND(F142="OFF",D142="Férié"),AND(F142="Congé",D142="OFF"),AND(F142="Congé",D142="Congé sans solde"),AND(F142="Congé",D142="Congé spécial"),AND(F142="Congé",D142="Férié"),AND(F142="Congé sans solde",D142="OFF"),AND(F142="Congé sans solde",D142="Congé"),AND(F142="Congé sans solde",D142="Congé spécial"),AND(F142="Congé sans solde",D142="Férié"),AND(F142="Congé spécial",D142="OFF"),AND(F142="Congé spécial",D142="Congé"),AND(F142="Congé spécial",D142="Congé sans solde"),AND(F142="Congé spécial",D142="Férié"),AND(F142="Férié",D142="OFF"),AND(F142="Férié",D142="Congé"),AND(F142="Férié",D142="Congé sans solde"),AND(F142="Férié",D142="Congé spécial")),0,IF(OR(F142="OFF",F142="Congé",F142="Congé spécial",F142="Congé sans solde",D142="OFF",D142="Congé",D142="Congé spécial",D142="Congé sans solde"),0.208333333333334,IF(AND(AG142="",F142-D142&lt;0),("24:00:00"-D142)+("00:00:00"+F142)-0.0416666666666667,IF(AND(OR(AG142="Allaitement",AG142="Sans déjeuner"),F142-D142&lt;0),("24:00:00"-D142)+("00:00:00"+F142),IF(AND(AG142="",F142-D142&gt;0.166666666666667),F142-D142-0.0416666666666667,IF(AND(OR(AG142="Allaitement",AG142="Sans déjeuner"),F142-D142&gt;0.166666666666667),F142-D142,F142-D142)))))))</f>
        <v>0.333333333333333</v>
      </c>
      <c r="P142" s="6" t="str">
        <f aca="false">IFERROR(VLOOKUP($B142,Agents!$A:$D,2,0),"-")</f>
        <v>Accessibilité</v>
      </c>
      <c r="Q142" s="21" t="n">
        <v>46017</v>
      </c>
      <c r="R142" s="8" t="n">
        <f aca="false">IF(M142="Abs",O142,0)</f>
        <v>0</v>
      </c>
      <c r="S142" s="8" t="n">
        <f aca="false">SUM(R142,L142,I142,J142,W142,H142)</f>
        <v>0</v>
      </c>
      <c r="T142" s="6" t="str">
        <f aca="false">"Sem - "&amp;WEEKNUM(Q142,21)</f>
        <v>Sem - 52</v>
      </c>
      <c r="U142" s="6" t="str">
        <f aca="false">CHOOSE(MONTH(Q142),"Janvier","Février","Mars","Avril","Mai","Juin","Juillet","Août","Septembre","Octobre","Novembre","Décembre")</f>
        <v>Décembre</v>
      </c>
      <c r="V142" s="22" t="n">
        <f aca="false">YEAR(Q142)</f>
        <v>2025</v>
      </c>
      <c r="W142" s="20"/>
      <c r="X142" s="8" t="n">
        <f aca="false">IFERROR(IF(M142="Abs",0,IF(ROUND((D142-C142+E142-F142)*1440,0)&lt;=1,0,D142-C142+E142-F142)),0)</f>
        <v>0</v>
      </c>
      <c r="Y142" s="6" t="str">
        <f aca="false">IFERROR(VLOOKUP($B142,Agents!$A:$D,3,0),"-")</f>
        <v>OUBRAHIM Mohammed</v>
      </c>
      <c r="Z142" s="6" t="str">
        <f aca="false">IFERROR(VLOOKUP($B142,Agents!$A:$D,4,0),"-")</f>
        <v>Credit Mutuel</v>
      </c>
      <c r="AA142" s="18" t="s">
        <v>79</v>
      </c>
      <c r="AB142" s="8" t="str">
        <f aca="false">IF(AND(D142="Congé",F142="Congé"),0.333333333333333,IF(OR(AND(D142="Congé",F142&lt;&gt;"Congé"),(AND(F142="Congé",D142&lt;&gt;"Congé"))),0.166666666666667,""))</f>
        <v/>
      </c>
      <c r="AC142" s="8" t="str">
        <f aca="false">IF(AND(D142="Congé sans solde",F142="Congé sans solde"),0.333333333333333,IF(OR(AND(D142="Congé sans solde",F142&lt;&gt;"Congé sans solde"),(AND(F142="Congé sans solde",D142&lt;&gt;"Congé sans solde"))),0.166666666666667,""))</f>
        <v/>
      </c>
      <c r="AD142" s="8" t="str">
        <f aca="false">IF(AND(D142="Congé spécial",F142="Congé spécial"),0.333333333333333,IF(OR(AND(D142="Congé spécial",F142&lt;&gt;"Congé spécial"),AND(F142="Congé spécial",D142&lt;&gt;"Congé spécial")),0.166666666666667,""))</f>
        <v/>
      </c>
      <c r="AE142" s="8" t="str">
        <f aca="false">IF(AND(D142="Férié",F142="Férié"),0.333333333333333,IF(OR(AND(D142="Férié",F142&lt;&gt;"Férié"),(AND(F142="Férié",D142&lt;&gt;"Férié"))),0.166666666666667,""))</f>
        <v/>
      </c>
      <c r="AF142" s="18"/>
      <c r="AG142" s="18"/>
    </row>
    <row r="143" customFormat="false" ht="15" hidden="false" customHeight="false" outlineLevel="0" collapsed="false">
      <c r="A143" s="6" t="str">
        <f aca="false">YEAR(Q143-WEEKDAY(Q143,2)+4)&amp;"-S"&amp;TEXT(WEEKNUM(Q143,21),"00")</f>
        <v>2025-S52</v>
      </c>
      <c r="B143" s="18" t="s">
        <v>71</v>
      </c>
      <c r="C143" s="19" t="n">
        <v>0.333333333333333</v>
      </c>
      <c r="D143" s="19" t="n">
        <v>0.333333333333333</v>
      </c>
      <c r="E143" s="19" t="n">
        <v>0.708333333333333</v>
      </c>
      <c r="F143" s="19" t="n">
        <v>0.708333333333333</v>
      </c>
      <c r="G143" s="20"/>
      <c r="H143" s="20"/>
      <c r="I143" s="8" t="str">
        <f aca="false">IF(IF(OR(C143="",D143="Congé",D143="OFF",D143="Congé spécial"),"",IF(D143&gt;F143,D143-C143,IF(C143-D143&lt;0,0,C143-D143)))&lt;0.00068287037037037,"",IF(OR(D143="Congé",D143="OFF",C143="",D143="Congé spécial"),"",IF(D143&gt;F143,D143-C143,IF(C143-D143&lt;0,0,C143-D143))))</f>
        <v/>
      </c>
      <c r="J143" s="20"/>
      <c r="K143" s="8" t="n">
        <f aca="false">IF(SUM(H143:J143)&lt;0.00068287037037037,0,SUM(H143:J143))</f>
        <v>0</v>
      </c>
      <c r="L143" s="8" t="n">
        <f aca="false">IF(OR(F143="Congé",F143="OFF",M143="Abs",F143="Congé sans solde",F143="Férié",F143="Congé spécial",D143="Congé spécial"),0,IF(F143-E143&lt;0,0,IF(F143-E143&lt;=0.00068287037037037,0,F143-E143)))</f>
        <v>0</v>
      </c>
      <c r="M143" s="6" t="n">
        <f aca="false">IF(AND(O143&lt;&gt;0,C143=""),"Abs",0)</f>
        <v>0</v>
      </c>
      <c r="N143" s="8" t="n">
        <f aca="false">IFERROR(IF(OR(D143="OFF",D143="Congé",M143="Abs",D143="Congé sans solde",D143="Férié"),"",IF(O143-K143-L143&gt;O143,O143,IF(O143-K143-L143&lt;0,"",O143-K143-L143))),"")</f>
        <v>0.333333333333333</v>
      </c>
      <c r="O143" s="8" t="n">
        <f aca="false">IF(AG143="2H Pause déjeuner",IF(F143-D143-0.0833333333333333&lt;0,F143-D143-0.0833333333333333+1,F143-D143-0.0833333333333333),IF(OR(AND(F143="OFF",D143="OFF"),AND(F143="Congé",D143="Congé"),AND(F143="Congé sans solde",D143="Congé sans solde"),AND(F143="Congé spécial",D143="Congé spécial"),AND(F143="Férié",D143="Férié"),AND(F143="OFF",D143="Congé"),AND(F143="OFF",D143="Congé sans solde"),AND(F143="OFF",D143="Congé spécial"),AND(F143="OFF",D143="Férié"),AND(F143="Congé",D143="OFF"),AND(F143="Congé",D143="Congé sans solde"),AND(F143="Congé",D143="Congé spécial"),AND(F143="Congé",D143="Férié"),AND(F143="Congé sans solde",D143="OFF"),AND(F143="Congé sans solde",D143="Congé"),AND(F143="Congé sans solde",D143="Congé spécial"),AND(F143="Congé sans solde",D143="Férié"),AND(F143="Congé spécial",D143="OFF"),AND(F143="Congé spécial",D143="Congé"),AND(F143="Congé spécial",D143="Congé sans solde"),AND(F143="Congé spécial",D143="Férié"),AND(F143="Férié",D143="OFF"),AND(F143="Férié",D143="Congé"),AND(F143="Férié",D143="Congé sans solde"),AND(F143="Férié",D143="Congé spécial")),0,IF(OR(F143="OFF",F143="Congé",F143="Congé spécial",F143="Congé sans solde",D143="OFF",D143="Congé",D143="Congé spécial",D143="Congé sans solde"),0.208333333333334,IF(AND(AG143="",F143-D143&lt;0),("24:00:00"-D143)+("00:00:00"+F143)-0.0416666666666667,IF(AND(OR(AG143="Allaitement",AG143="Sans déjeuner"),F143-D143&lt;0),("24:00:00"-D143)+("00:00:00"+F143),IF(AND(AG143="",F143-D143&gt;0.166666666666667),F143-D143-0.0416666666666667,IF(AND(OR(AG143="Allaitement",AG143="Sans déjeuner"),F143-D143&gt;0.166666666666667),F143-D143,F143-D143)))))))</f>
        <v>0.333333333333333</v>
      </c>
      <c r="P143" s="6" t="str">
        <f aca="false">IFERROR(VLOOKUP($B143,Agents!$A:$D,2,0),"-")</f>
        <v>Accessibilité</v>
      </c>
      <c r="Q143" s="21" t="n">
        <v>46017</v>
      </c>
      <c r="R143" s="8" t="n">
        <f aca="false">IF(M143="Abs",O143,0)</f>
        <v>0</v>
      </c>
      <c r="S143" s="8" t="n">
        <f aca="false">SUM(R143,L143,I143,J143,W143,H143)</f>
        <v>0</v>
      </c>
      <c r="T143" s="6" t="str">
        <f aca="false">"Sem - "&amp;WEEKNUM(Q143,21)</f>
        <v>Sem - 52</v>
      </c>
      <c r="U143" s="6" t="str">
        <f aca="false">CHOOSE(MONTH(Q143),"Janvier","Février","Mars","Avril","Mai","Juin","Juillet","Août","Septembre","Octobre","Novembre","Décembre")</f>
        <v>Décembre</v>
      </c>
      <c r="V143" s="22" t="n">
        <f aca="false">YEAR(Q143)</f>
        <v>2025</v>
      </c>
      <c r="W143" s="20"/>
      <c r="X143" s="8" t="n">
        <f aca="false">IFERROR(IF(M143="Abs",0,IF(ROUND((D143-C143+E143-F143)*1440,0)&lt;=1,0,D143-C143+E143-F143)),0)</f>
        <v>0</v>
      </c>
      <c r="Y143" s="6" t="str">
        <f aca="false">IFERROR(VLOOKUP($B143,Agents!$A:$D,3,0),"-")</f>
        <v>OUBRAHIM Mohammed</v>
      </c>
      <c r="Z143" s="6" t="str">
        <f aca="false">IFERROR(VLOOKUP($B143,Agents!$A:$D,4,0),"-")</f>
        <v>Credit Mutuel</v>
      </c>
      <c r="AA143" s="18" t="s">
        <v>79</v>
      </c>
      <c r="AB143" s="8" t="str">
        <f aca="false">IF(AND(D143="Congé",F143="Congé"),0.333333333333333,IF(OR(AND(D143="Congé",F143&lt;&gt;"Congé"),(AND(F143="Congé",D143&lt;&gt;"Congé"))),0.166666666666667,""))</f>
        <v/>
      </c>
      <c r="AC143" s="8" t="str">
        <f aca="false">IF(AND(D143="Congé sans solde",F143="Congé sans solde"),0.333333333333333,IF(OR(AND(D143="Congé sans solde",F143&lt;&gt;"Congé sans solde"),(AND(F143="Congé sans solde",D143&lt;&gt;"Congé sans solde"))),0.166666666666667,""))</f>
        <v/>
      </c>
      <c r="AD143" s="8" t="str">
        <f aca="false">IF(AND(D143="Congé spécial",F143="Congé spécial"),0.333333333333333,IF(OR(AND(D143="Congé spécial",F143&lt;&gt;"Congé spécial"),AND(F143="Congé spécial",D143&lt;&gt;"Congé spécial")),0.166666666666667,""))</f>
        <v/>
      </c>
      <c r="AE143" s="8" t="str">
        <f aca="false">IF(AND(D143="Férié",F143="Férié"),0.333333333333333,IF(OR(AND(D143="Férié",F143&lt;&gt;"Férié"),(AND(F143="Férié",D143&lt;&gt;"Férié"))),0.166666666666667,""))</f>
        <v/>
      </c>
      <c r="AF143" s="18"/>
      <c r="AG143" s="18"/>
    </row>
    <row r="144" customFormat="false" ht="15" hidden="false" customHeight="false" outlineLevel="0" collapsed="false">
      <c r="A144" s="6" t="str">
        <f aca="false">YEAR(Q144-WEEKDAY(Q144,2)+4)&amp;"-S"&amp;TEXT(WEEKNUM(Q144,21),"00")</f>
        <v>2025-S52</v>
      </c>
      <c r="B144" s="18" t="s">
        <v>72</v>
      </c>
      <c r="C144" s="19" t="n">
        <v>0.333333333333333</v>
      </c>
      <c r="D144" s="19" t="n">
        <v>0.333333333333333</v>
      </c>
      <c r="E144" s="19" t="n">
        <v>0.708333333333333</v>
      </c>
      <c r="F144" s="19" t="n">
        <v>0.708333333333333</v>
      </c>
      <c r="G144" s="20"/>
      <c r="H144" s="20"/>
      <c r="I144" s="8" t="str">
        <f aca="false">IF(IF(OR(C144="",D144="Congé",D144="OFF",D144="Congé spécial"),"",IF(D144&gt;F144,D144-C144,IF(C144-D144&lt;0,0,C144-D144)))&lt;0.00068287037037037,"",IF(OR(D144="Congé",D144="OFF",C144="",D144="Congé spécial"),"",IF(D144&gt;F144,D144-C144,IF(C144-D144&lt;0,0,C144-D144))))</f>
        <v/>
      </c>
      <c r="J144" s="20"/>
      <c r="K144" s="8" t="n">
        <f aca="false">IF(SUM(H144:J144)&lt;0.00068287037037037,0,SUM(H144:J144))</f>
        <v>0</v>
      </c>
      <c r="L144" s="8" t="n">
        <f aca="false">IF(OR(F144="Congé",F144="OFF",M144="Abs",F144="Congé sans solde",F144="Férié",F144="Congé spécial",D144="Congé spécial"),0,IF(F144-E144&lt;0,0,IF(F144-E144&lt;=0.00068287037037037,0,F144-E144)))</f>
        <v>0</v>
      </c>
      <c r="M144" s="6" t="n">
        <f aca="false">IF(AND(O144&lt;&gt;0,C144=""),"Abs",0)</f>
        <v>0</v>
      </c>
      <c r="N144" s="8" t="n">
        <f aca="false">IFERROR(IF(OR(D144="OFF",D144="Congé",M144="Abs",D144="Congé sans solde",D144="Férié"),"",IF(O144-K144-L144&gt;O144,O144,IF(O144-K144-L144&lt;0,"",O144-K144-L144))),"")</f>
        <v>0.333333333333333</v>
      </c>
      <c r="O144" s="8" t="n">
        <f aca="false">IF(AG144="2H Pause déjeuner",IF(F144-D144-0.0833333333333333&lt;0,F144-D144-0.0833333333333333+1,F144-D144-0.0833333333333333),IF(OR(AND(F144="OFF",D144="OFF"),AND(F144="Congé",D144="Congé"),AND(F144="Congé sans solde",D144="Congé sans solde"),AND(F144="Congé spécial",D144="Congé spécial"),AND(F144="Férié",D144="Férié"),AND(F144="OFF",D144="Congé"),AND(F144="OFF",D144="Congé sans solde"),AND(F144="OFF",D144="Congé spécial"),AND(F144="OFF",D144="Férié"),AND(F144="Congé",D144="OFF"),AND(F144="Congé",D144="Congé sans solde"),AND(F144="Congé",D144="Congé spécial"),AND(F144="Congé",D144="Férié"),AND(F144="Congé sans solde",D144="OFF"),AND(F144="Congé sans solde",D144="Congé"),AND(F144="Congé sans solde",D144="Congé spécial"),AND(F144="Congé sans solde",D144="Férié"),AND(F144="Congé spécial",D144="OFF"),AND(F144="Congé spécial",D144="Congé"),AND(F144="Congé spécial",D144="Congé sans solde"),AND(F144="Congé spécial",D144="Férié"),AND(F144="Férié",D144="OFF"),AND(F144="Férié",D144="Congé"),AND(F144="Férié",D144="Congé sans solde"),AND(F144="Férié",D144="Congé spécial")),0,IF(OR(F144="OFF",F144="Congé",F144="Congé spécial",F144="Congé sans solde",D144="OFF",D144="Congé",D144="Congé spécial",D144="Congé sans solde"),0.208333333333334,IF(AND(AG144="",F144-D144&lt;0),("24:00:00"-D144)+("00:00:00"+F144)-0.0416666666666667,IF(AND(OR(AG144="Allaitement",AG144="Sans déjeuner"),F144-D144&lt;0),("24:00:00"-D144)+("00:00:00"+F144),IF(AND(AG144="",F144-D144&gt;0.166666666666667),F144-D144-0.0416666666666667,IF(AND(OR(AG144="Allaitement",AG144="Sans déjeuner"),F144-D144&gt;0.166666666666667),F144-D144,F144-D144)))))))</f>
        <v>0.333333333333333</v>
      </c>
      <c r="P144" s="6" t="str">
        <f aca="false">IFERROR(VLOOKUP($B144,Agents!$A:$D,2,0),"-")</f>
        <v>Accessibilité</v>
      </c>
      <c r="Q144" s="21" t="n">
        <v>46017</v>
      </c>
      <c r="R144" s="8" t="n">
        <f aca="false">IF(M144="Abs",O144,0)</f>
        <v>0</v>
      </c>
      <c r="S144" s="8" t="n">
        <f aca="false">SUM(R144,L144,I144,J144,W144,H144)</f>
        <v>0</v>
      </c>
      <c r="T144" s="6" t="str">
        <f aca="false">"Sem - "&amp;WEEKNUM(Q144,21)</f>
        <v>Sem - 52</v>
      </c>
      <c r="U144" s="6" t="str">
        <f aca="false">CHOOSE(MONTH(Q144),"Janvier","Février","Mars","Avril","Mai","Juin","Juillet","Août","Septembre","Octobre","Novembre","Décembre")</f>
        <v>Décembre</v>
      </c>
      <c r="V144" s="22" t="n">
        <f aca="false">YEAR(Q144)</f>
        <v>2025</v>
      </c>
      <c r="W144" s="20"/>
      <c r="X144" s="8" t="n">
        <f aca="false">IFERROR(IF(M144="Abs",0,IF(ROUND((D144-C144+E144-F144)*1440,0)&lt;=1,0,D144-C144+E144-F144)),0)</f>
        <v>0</v>
      </c>
      <c r="Y144" s="6" t="str">
        <f aca="false">IFERROR(VLOOKUP($B144,Agents!$A:$D,3,0),"-")</f>
        <v>OUBRAHIM Mohammed</v>
      </c>
      <c r="Z144" s="6" t="str">
        <f aca="false">IFERROR(VLOOKUP($B144,Agents!$A:$D,4,0),"-")</f>
        <v>Credit Mutuel</v>
      </c>
      <c r="AA144" s="18" t="s">
        <v>79</v>
      </c>
      <c r="AB144" s="8" t="str">
        <f aca="false">IF(AND(D144="Congé",F144="Congé"),0.333333333333333,IF(OR(AND(D144="Congé",F144&lt;&gt;"Congé"),(AND(F144="Congé",D144&lt;&gt;"Congé"))),0.166666666666667,""))</f>
        <v/>
      </c>
      <c r="AC144" s="8" t="str">
        <f aca="false">IF(AND(D144="Congé sans solde",F144="Congé sans solde"),0.333333333333333,IF(OR(AND(D144="Congé sans solde",F144&lt;&gt;"Congé sans solde"),(AND(F144="Congé sans solde",D144&lt;&gt;"Congé sans solde"))),0.166666666666667,""))</f>
        <v/>
      </c>
      <c r="AD144" s="8" t="str">
        <f aca="false">IF(AND(D144="Congé spécial",F144="Congé spécial"),0.333333333333333,IF(OR(AND(D144="Congé spécial",F144&lt;&gt;"Congé spécial"),AND(F144="Congé spécial",D144&lt;&gt;"Congé spécial")),0.166666666666667,""))</f>
        <v/>
      </c>
      <c r="AE144" s="8" t="str">
        <f aca="false">IF(AND(D144="Férié",F144="Férié"),0.333333333333333,IF(OR(AND(D144="Férié",F144&lt;&gt;"Férié"),(AND(F144="Férié",D144&lt;&gt;"Férié"))),0.166666666666667,""))</f>
        <v/>
      </c>
      <c r="AF144" s="18"/>
      <c r="AG144" s="18"/>
    </row>
    <row r="145" customFormat="false" ht="15" hidden="false" customHeight="false" outlineLevel="0" collapsed="false">
      <c r="A145" s="6" t="str">
        <f aca="false">YEAR(Q145-WEEKDAY(Q145,2)+4)&amp;"-S"&amp;TEXT(WEEKNUM(Q145,21),"00")</f>
        <v>2025-S52</v>
      </c>
      <c r="B145" s="18" t="s">
        <v>73</v>
      </c>
      <c r="C145" s="19" t="n">
        <v>0.333333333333333</v>
      </c>
      <c r="D145" s="19" t="n">
        <v>0.333333333333333</v>
      </c>
      <c r="E145" s="19" t="n">
        <v>0.708333333333333</v>
      </c>
      <c r="F145" s="19" t="n">
        <v>0.708333333333333</v>
      </c>
      <c r="G145" s="20"/>
      <c r="H145" s="20"/>
      <c r="I145" s="8" t="str">
        <f aca="false">IF(IF(OR(C145="",D145="Congé",D145="OFF",D145="Congé spécial"),"",IF(D145&gt;F145,D145-C145,IF(C145-D145&lt;0,0,C145-D145)))&lt;0.00068287037037037,"",IF(OR(D145="Congé",D145="OFF",C145="",D145="Congé spécial"),"",IF(D145&gt;F145,D145-C145,IF(C145-D145&lt;0,0,C145-D145))))</f>
        <v/>
      </c>
      <c r="J145" s="20"/>
      <c r="K145" s="8" t="n">
        <f aca="false">IF(SUM(H145:J145)&lt;0.00068287037037037,0,SUM(H145:J145))</f>
        <v>0</v>
      </c>
      <c r="L145" s="8" t="n">
        <f aca="false">IF(OR(F145="Congé",F145="OFF",M145="Abs",F145="Congé sans solde",F145="Férié",F145="Congé spécial",D145="Congé spécial"),0,IF(F145-E145&lt;0,0,IF(F145-E145&lt;=0.00068287037037037,0,F145-E145)))</f>
        <v>0</v>
      </c>
      <c r="M145" s="6" t="n">
        <f aca="false">IF(AND(O145&lt;&gt;0,C145=""),"Abs",0)</f>
        <v>0</v>
      </c>
      <c r="N145" s="8" t="n">
        <f aca="false">IFERROR(IF(OR(D145="OFF",D145="Congé",M145="Abs",D145="Congé sans solde",D145="Férié"),"",IF(O145-K145-L145&gt;O145,O145,IF(O145-K145-L145&lt;0,"",O145-K145-L145))),"")</f>
        <v>0.333333333333333</v>
      </c>
      <c r="O145" s="8" t="n">
        <f aca="false">IF(AG145="2H Pause déjeuner",IF(F145-D145-0.0833333333333333&lt;0,F145-D145-0.0833333333333333+1,F145-D145-0.0833333333333333),IF(OR(AND(F145="OFF",D145="OFF"),AND(F145="Congé",D145="Congé"),AND(F145="Congé sans solde",D145="Congé sans solde"),AND(F145="Congé spécial",D145="Congé spécial"),AND(F145="Férié",D145="Férié"),AND(F145="OFF",D145="Congé"),AND(F145="OFF",D145="Congé sans solde"),AND(F145="OFF",D145="Congé spécial"),AND(F145="OFF",D145="Férié"),AND(F145="Congé",D145="OFF"),AND(F145="Congé",D145="Congé sans solde"),AND(F145="Congé",D145="Congé spécial"),AND(F145="Congé",D145="Férié"),AND(F145="Congé sans solde",D145="OFF"),AND(F145="Congé sans solde",D145="Congé"),AND(F145="Congé sans solde",D145="Congé spécial"),AND(F145="Congé sans solde",D145="Férié"),AND(F145="Congé spécial",D145="OFF"),AND(F145="Congé spécial",D145="Congé"),AND(F145="Congé spécial",D145="Congé sans solde"),AND(F145="Congé spécial",D145="Férié"),AND(F145="Férié",D145="OFF"),AND(F145="Férié",D145="Congé"),AND(F145="Férié",D145="Congé sans solde"),AND(F145="Férié",D145="Congé spécial")),0,IF(OR(F145="OFF",F145="Congé",F145="Congé spécial",F145="Congé sans solde",D145="OFF",D145="Congé",D145="Congé spécial",D145="Congé sans solde"),0.208333333333334,IF(AND(AG145="",F145-D145&lt;0),("24:00:00"-D145)+("00:00:00"+F145)-0.0416666666666667,IF(AND(OR(AG145="Allaitement",AG145="Sans déjeuner"),F145-D145&lt;0),("24:00:00"-D145)+("00:00:00"+F145),IF(AND(AG145="",F145-D145&gt;0.166666666666667),F145-D145-0.0416666666666667,IF(AND(OR(AG145="Allaitement",AG145="Sans déjeuner"),F145-D145&gt;0.166666666666667),F145-D145,F145-D145)))))))</f>
        <v>0.333333333333333</v>
      </c>
      <c r="P145" s="6" t="str">
        <f aca="false">IFERROR(VLOOKUP($B145,Agents!$A:$D,2,0),"-")</f>
        <v>Accessibilité</v>
      </c>
      <c r="Q145" s="21" t="n">
        <v>46017</v>
      </c>
      <c r="R145" s="8" t="n">
        <f aca="false">IF(M145="Abs",O145,0)</f>
        <v>0</v>
      </c>
      <c r="S145" s="8" t="n">
        <f aca="false">SUM(R145,L145,I145,J145,W145,H145)</f>
        <v>0</v>
      </c>
      <c r="T145" s="6" t="str">
        <f aca="false">"Sem - "&amp;WEEKNUM(Q145,21)</f>
        <v>Sem - 52</v>
      </c>
      <c r="U145" s="6" t="str">
        <f aca="false">CHOOSE(MONTH(Q145),"Janvier","Février","Mars","Avril","Mai","Juin","Juillet","Août","Septembre","Octobre","Novembre","Décembre")</f>
        <v>Décembre</v>
      </c>
      <c r="V145" s="22" t="n">
        <f aca="false">YEAR(Q145)</f>
        <v>2025</v>
      </c>
      <c r="W145" s="20"/>
      <c r="X145" s="8" t="n">
        <f aca="false">IFERROR(IF(M145="Abs",0,IF(ROUND((D145-C145+E145-F145)*1440,0)&lt;=1,0,D145-C145+E145-F145)),0)</f>
        <v>0</v>
      </c>
      <c r="Y145" s="6" t="str">
        <f aca="false">IFERROR(VLOOKUP($B145,Agents!$A:$D,3,0),"-")</f>
        <v>OUBRAHIM Mohammed</v>
      </c>
      <c r="Z145" s="6" t="str">
        <f aca="false">IFERROR(VLOOKUP($B145,Agents!$A:$D,4,0),"-")</f>
        <v>Credit Mutuel</v>
      </c>
      <c r="AA145" s="18" t="s">
        <v>79</v>
      </c>
      <c r="AB145" s="8" t="str">
        <f aca="false">IF(AND(D145="Congé",F145="Congé"),0.333333333333333,IF(OR(AND(D145="Congé",F145&lt;&gt;"Congé"),(AND(F145="Congé",D145&lt;&gt;"Congé"))),0.166666666666667,""))</f>
        <v/>
      </c>
      <c r="AC145" s="8" t="str">
        <f aca="false">IF(AND(D145="Congé sans solde",F145="Congé sans solde"),0.333333333333333,IF(OR(AND(D145="Congé sans solde",F145&lt;&gt;"Congé sans solde"),(AND(F145="Congé sans solde",D145&lt;&gt;"Congé sans solde"))),0.166666666666667,""))</f>
        <v/>
      </c>
      <c r="AD145" s="8" t="str">
        <f aca="false">IF(AND(D145="Congé spécial",F145="Congé spécial"),0.333333333333333,IF(OR(AND(D145="Congé spécial",F145&lt;&gt;"Congé spécial"),AND(F145="Congé spécial",D145&lt;&gt;"Congé spécial")),0.166666666666667,""))</f>
        <v/>
      </c>
      <c r="AE145" s="8" t="str">
        <f aca="false">IF(AND(D145="Férié",F145="Férié"),0.333333333333333,IF(OR(AND(D145="Férié",F145&lt;&gt;"Férié"),(AND(F145="Férié",D145&lt;&gt;"Férié"))),0.166666666666667,""))</f>
        <v/>
      </c>
      <c r="AF145" s="18"/>
      <c r="AG145" s="18"/>
    </row>
    <row r="146" customFormat="false" ht="15" hidden="false" customHeight="false" outlineLevel="0" collapsed="false">
      <c r="A146" s="6" t="str">
        <f aca="false">YEAR(Q146-WEEKDAY(Q146,2)+4)&amp;"-S"&amp;TEXT(WEEKNUM(Q146,21),"00")</f>
        <v>2025-S52</v>
      </c>
      <c r="B146" s="18" t="s">
        <v>69</v>
      </c>
      <c r="C146" s="19"/>
      <c r="D146" s="19" t="s">
        <v>74</v>
      </c>
      <c r="E146" s="19"/>
      <c r="F146" s="19" t="s">
        <v>74</v>
      </c>
      <c r="G146" s="20"/>
      <c r="H146" s="20"/>
      <c r="I146" s="8" t="str">
        <f aca="false">IF(IF(OR(C146="",D146="Congé",D146="OFF",D146="Congé spécial"),"",IF(D146&gt;F146,D146-C146,IF(C146-D146&lt;0,0,C146-D146)))&lt;0.00068287037037037,"",IF(OR(D146="Congé",D146="OFF",C146="",D146="Congé spécial"),"",IF(D146&gt;F146,D146-C146,IF(C146-D146&lt;0,0,C146-D146))))</f>
        <v/>
      </c>
      <c r="J146" s="20"/>
      <c r="K146" s="8" t="n">
        <f aca="false">IF(SUM(H146:J146)&lt;0.00068287037037037,0,SUM(H146:J146))</f>
        <v>0</v>
      </c>
      <c r="L146" s="8" t="n">
        <f aca="false">IF(OR(F146="Congé",F146="OFF",M146="Abs",F146="Congé sans solde",F146="Férié",F146="Congé spécial",D146="Congé spécial"),0,IF(F146-E146&lt;0,0,IF(F146-E146&lt;=0.00068287037037037,0,F146-E146)))</f>
        <v>0</v>
      </c>
      <c r="M146" s="6" t="n">
        <f aca="false">IF(AND(O146&lt;&gt;0,C146=""),"Abs",0)</f>
        <v>0</v>
      </c>
      <c r="N146" s="8" t="str">
        <f aca="false">IFERROR(IF(OR(D146="OFF",D146="Congé",M146="Abs",D146="Congé sans solde",D146="Férié"),"",IF(O146-K146-L146&gt;O146,O146,IF(O146-K146-L146&lt;0,"",O146-K146-L146))),"")</f>
        <v/>
      </c>
      <c r="O146" s="8" t="n">
        <f aca="false">IF(AG146="2H Pause déjeuner",IF(F146-D146-0.0833333333333333&lt;0,F146-D146-0.0833333333333333+1,F146-D146-0.0833333333333333),IF(OR(AND(F146="OFF",D146="OFF"),AND(F146="Congé",D146="Congé"),AND(F146="Congé sans solde",D146="Congé sans solde"),AND(F146="Congé spécial",D146="Congé spécial"),AND(F146="Férié",D146="Férié"),AND(F146="OFF",D146="Congé"),AND(F146="OFF",D146="Congé sans solde"),AND(F146="OFF",D146="Congé spécial"),AND(F146="OFF",D146="Férié"),AND(F146="Congé",D146="OFF"),AND(F146="Congé",D146="Congé sans solde"),AND(F146="Congé",D146="Congé spécial"),AND(F146="Congé",D146="Férié"),AND(F146="Congé sans solde",D146="OFF"),AND(F146="Congé sans solde",D146="Congé"),AND(F146="Congé sans solde",D146="Congé spécial"),AND(F146="Congé sans solde",D146="Férié"),AND(F146="Congé spécial",D146="OFF"),AND(F146="Congé spécial",D146="Congé"),AND(F146="Congé spécial",D146="Congé sans solde"),AND(F146="Congé spécial",D146="Férié"),AND(F146="Férié",D146="OFF"),AND(F146="Férié",D146="Congé"),AND(F146="Férié",D146="Congé sans solde"),AND(F146="Férié",D146="Congé spécial")),0,IF(OR(F146="OFF",F146="Congé",F146="Congé spécial",F146="Congé sans solde",D146="OFF",D146="Congé",D146="Congé spécial",D146="Congé sans solde"),0.208333333333334,IF(AND(AG146="",F146-D146&lt;0),("24:00:00"-D146)+("00:00:00"+F146)-0.0416666666666667,IF(AND(OR(AG146="Allaitement",AG146="Sans déjeuner"),F146-D146&lt;0),("24:00:00"-D146)+("00:00:00"+F146),IF(AND(AG146="",F146-D146&gt;0.166666666666667),F146-D146-0.0416666666666667,IF(AND(OR(AG146="Allaitement",AG146="Sans déjeuner"),F146-D146&gt;0.166666666666667),F146-D146,F146-D146)))))))</f>
        <v>0</v>
      </c>
      <c r="P146" s="6" t="str">
        <f aca="false">IFERROR(VLOOKUP($B146,Agents!$A:$D,2,0),"-")</f>
        <v>Accessibilité</v>
      </c>
      <c r="Q146" s="21" t="n">
        <v>46018</v>
      </c>
      <c r="R146" s="8" t="n">
        <f aca="false">IF(M146="Abs",O146,0)</f>
        <v>0</v>
      </c>
      <c r="S146" s="8" t="n">
        <f aca="false">SUM(R146,L146,I146,J146,W146,H146)</f>
        <v>0</v>
      </c>
      <c r="T146" s="6" t="str">
        <f aca="false">"Sem - "&amp;WEEKNUM(Q146,21)</f>
        <v>Sem - 52</v>
      </c>
      <c r="U146" s="6" t="str">
        <f aca="false">CHOOSE(MONTH(Q146),"Janvier","Février","Mars","Avril","Mai","Juin","Juillet","Août","Septembre","Octobre","Novembre","Décembre")</f>
        <v>Décembre</v>
      </c>
      <c r="V146" s="22" t="n">
        <f aca="false">YEAR(Q146)</f>
        <v>2025</v>
      </c>
      <c r="W146" s="20"/>
      <c r="X146" s="8" t="n">
        <f aca="false">IFERROR(IF(M146="Abs",0,IF(ROUND((D146-C146+E146-F146)*1440,0)&lt;=1,0,D146-C146+E146-F146)),0)</f>
        <v>0</v>
      </c>
      <c r="Y146" s="6" t="str">
        <f aca="false">IFERROR(VLOOKUP($B146,Agents!$A:$D,3,0),"-")</f>
        <v>OUBRAHIM Mohammed</v>
      </c>
      <c r="Z146" s="6" t="str">
        <f aca="false">IFERROR(VLOOKUP($B146,Agents!$A:$D,4,0),"-")</f>
        <v>Credit Mutuel</v>
      </c>
      <c r="AA146" s="18" t="s">
        <v>79</v>
      </c>
      <c r="AB146" s="8" t="str">
        <f aca="false">IF(AND(D146="Congé",F146="Congé"),0.333333333333333,IF(OR(AND(D146="Congé",F146&lt;&gt;"Congé"),(AND(F146="Congé",D146&lt;&gt;"Congé"))),0.166666666666667,""))</f>
        <v/>
      </c>
      <c r="AC146" s="8" t="str">
        <f aca="false">IF(AND(D146="Congé sans solde",F146="Congé sans solde"),0.333333333333333,IF(OR(AND(D146="Congé sans solde",F146&lt;&gt;"Congé sans solde"),(AND(F146="Congé sans solde",D146&lt;&gt;"Congé sans solde"))),0.166666666666667,""))</f>
        <v/>
      </c>
      <c r="AD146" s="8" t="str">
        <f aca="false">IF(AND(D146="Congé spécial",F146="Congé spécial"),0.333333333333333,IF(OR(AND(D146="Congé spécial",F146&lt;&gt;"Congé spécial"),AND(F146="Congé spécial",D146&lt;&gt;"Congé spécial")),0.166666666666667,""))</f>
        <v/>
      </c>
      <c r="AE146" s="8" t="str">
        <f aca="false">IF(AND(D146="Férié",F146="Férié"),0.333333333333333,IF(OR(AND(D146="Férié",F146&lt;&gt;"Férié"),(AND(F146="Férié",D146&lt;&gt;"Férié"))),0.166666666666667,""))</f>
        <v/>
      </c>
      <c r="AF146" s="18"/>
      <c r="AG146" s="18"/>
    </row>
    <row r="147" customFormat="false" ht="15" hidden="false" customHeight="false" outlineLevel="0" collapsed="false">
      <c r="A147" s="6" t="str">
        <f aca="false">YEAR(Q147-WEEKDAY(Q147,2)+4)&amp;"-S"&amp;TEXT(WEEKNUM(Q147,21),"00")</f>
        <v>2025-S52</v>
      </c>
      <c r="B147" s="18" t="s">
        <v>71</v>
      </c>
      <c r="C147" s="19"/>
      <c r="D147" s="19" t="s">
        <v>74</v>
      </c>
      <c r="E147" s="19"/>
      <c r="F147" s="19" t="s">
        <v>74</v>
      </c>
      <c r="G147" s="20"/>
      <c r="H147" s="20"/>
      <c r="I147" s="8" t="str">
        <f aca="false">IF(IF(OR(C147="",D147="Congé",D147="OFF",D147="Congé spécial"),"",IF(D147&gt;F147,D147-C147,IF(C147-D147&lt;0,0,C147-D147)))&lt;0.00068287037037037,"",IF(OR(D147="Congé",D147="OFF",C147="",D147="Congé spécial"),"",IF(D147&gt;F147,D147-C147,IF(C147-D147&lt;0,0,C147-D147))))</f>
        <v/>
      </c>
      <c r="J147" s="20"/>
      <c r="K147" s="8" t="n">
        <f aca="false">IF(SUM(H147:J147)&lt;0.00068287037037037,0,SUM(H147:J147))</f>
        <v>0</v>
      </c>
      <c r="L147" s="8" t="n">
        <f aca="false">IF(OR(F147="Congé",F147="OFF",M147="Abs",F147="Congé sans solde",F147="Férié",F147="Congé spécial",D147="Congé spécial"),0,IF(F147-E147&lt;0,0,IF(F147-E147&lt;=0.00068287037037037,0,F147-E147)))</f>
        <v>0</v>
      </c>
      <c r="M147" s="6" t="n">
        <f aca="false">IF(AND(O147&lt;&gt;0,C147=""),"Abs",0)</f>
        <v>0</v>
      </c>
      <c r="N147" s="8" t="str">
        <f aca="false">IFERROR(IF(OR(D147="OFF",D147="Congé",M147="Abs",D147="Congé sans solde",D147="Férié"),"",IF(O147-K147-L147&gt;O147,O147,IF(O147-K147-L147&lt;0,"",O147-K147-L147))),"")</f>
        <v/>
      </c>
      <c r="O147" s="8" t="n">
        <f aca="false">IF(AG147="2H Pause déjeuner",IF(F147-D147-0.0833333333333333&lt;0,F147-D147-0.0833333333333333+1,F147-D147-0.0833333333333333),IF(OR(AND(F147="OFF",D147="OFF"),AND(F147="Congé",D147="Congé"),AND(F147="Congé sans solde",D147="Congé sans solde"),AND(F147="Congé spécial",D147="Congé spécial"),AND(F147="Férié",D147="Férié"),AND(F147="OFF",D147="Congé"),AND(F147="OFF",D147="Congé sans solde"),AND(F147="OFF",D147="Congé spécial"),AND(F147="OFF",D147="Férié"),AND(F147="Congé",D147="OFF"),AND(F147="Congé",D147="Congé sans solde"),AND(F147="Congé",D147="Congé spécial"),AND(F147="Congé",D147="Férié"),AND(F147="Congé sans solde",D147="OFF"),AND(F147="Congé sans solde",D147="Congé"),AND(F147="Congé sans solde",D147="Congé spécial"),AND(F147="Congé sans solde",D147="Férié"),AND(F147="Congé spécial",D147="OFF"),AND(F147="Congé spécial",D147="Congé"),AND(F147="Congé spécial",D147="Congé sans solde"),AND(F147="Congé spécial",D147="Férié"),AND(F147="Férié",D147="OFF"),AND(F147="Férié",D147="Congé"),AND(F147="Férié",D147="Congé sans solde"),AND(F147="Férié",D147="Congé spécial")),0,IF(OR(F147="OFF",F147="Congé",F147="Congé spécial",F147="Congé sans solde",D147="OFF",D147="Congé",D147="Congé spécial",D147="Congé sans solde"),0.208333333333334,IF(AND(AG147="",F147-D147&lt;0),("24:00:00"-D147)+("00:00:00"+F147)-0.0416666666666667,IF(AND(OR(AG147="Allaitement",AG147="Sans déjeuner"),F147-D147&lt;0),("24:00:00"-D147)+("00:00:00"+F147),IF(AND(AG147="",F147-D147&gt;0.166666666666667),F147-D147-0.0416666666666667,IF(AND(OR(AG147="Allaitement",AG147="Sans déjeuner"),F147-D147&gt;0.166666666666667),F147-D147,F147-D147)))))))</f>
        <v>0</v>
      </c>
      <c r="P147" s="6" t="str">
        <f aca="false">IFERROR(VLOOKUP($B147,Agents!$A:$D,2,0),"-")</f>
        <v>Accessibilité</v>
      </c>
      <c r="Q147" s="21" t="n">
        <v>46018</v>
      </c>
      <c r="R147" s="8" t="n">
        <f aca="false">IF(M147="Abs",O147,0)</f>
        <v>0</v>
      </c>
      <c r="S147" s="8" t="n">
        <f aca="false">SUM(R147,L147,I147,J147,W147,H147)</f>
        <v>0</v>
      </c>
      <c r="T147" s="6" t="str">
        <f aca="false">"Sem - "&amp;WEEKNUM(Q147,21)</f>
        <v>Sem - 52</v>
      </c>
      <c r="U147" s="6" t="str">
        <f aca="false">CHOOSE(MONTH(Q147),"Janvier","Février","Mars","Avril","Mai","Juin","Juillet","Août","Septembre","Octobre","Novembre","Décembre")</f>
        <v>Décembre</v>
      </c>
      <c r="V147" s="22" t="n">
        <f aca="false">YEAR(Q147)</f>
        <v>2025</v>
      </c>
      <c r="W147" s="20"/>
      <c r="X147" s="8" t="n">
        <f aca="false">IFERROR(IF(M147="Abs",0,IF(ROUND((D147-C147+E147-F147)*1440,0)&lt;=1,0,D147-C147+E147-F147)),0)</f>
        <v>0</v>
      </c>
      <c r="Y147" s="6" t="str">
        <f aca="false">IFERROR(VLOOKUP($B147,Agents!$A:$D,3,0),"-")</f>
        <v>OUBRAHIM Mohammed</v>
      </c>
      <c r="Z147" s="6" t="str">
        <f aca="false">IFERROR(VLOOKUP($B147,Agents!$A:$D,4,0),"-")</f>
        <v>Credit Mutuel</v>
      </c>
      <c r="AA147" s="18" t="s">
        <v>79</v>
      </c>
      <c r="AB147" s="8" t="str">
        <f aca="false">IF(AND(D147="Congé",F147="Congé"),0.333333333333333,IF(OR(AND(D147="Congé",F147&lt;&gt;"Congé"),(AND(F147="Congé",D147&lt;&gt;"Congé"))),0.166666666666667,""))</f>
        <v/>
      </c>
      <c r="AC147" s="8" t="str">
        <f aca="false">IF(AND(D147="Congé sans solde",F147="Congé sans solde"),0.333333333333333,IF(OR(AND(D147="Congé sans solde",F147&lt;&gt;"Congé sans solde"),(AND(F147="Congé sans solde",D147&lt;&gt;"Congé sans solde"))),0.166666666666667,""))</f>
        <v/>
      </c>
      <c r="AD147" s="8" t="str">
        <f aca="false">IF(AND(D147="Congé spécial",F147="Congé spécial"),0.333333333333333,IF(OR(AND(D147="Congé spécial",F147&lt;&gt;"Congé spécial"),AND(F147="Congé spécial",D147&lt;&gt;"Congé spécial")),0.166666666666667,""))</f>
        <v/>
      </c>
      <c r="AE147" s="8" t="str">
        <f aca="false">IF(AND(D147="Férié",F147="Férié"),0.333333333333333,IF(OR(AND(D147="Férié",F147&lt;&gt;"Férié"),(AND(F147="Férié",D147&lt;&gt;"Férié"))),0.166666666666667,""))</f>
        <v/>
      </c>
      <c r="AF147" s="18"/>
      <c r="AG147" s="18"/>
    </row>
    <row r="148" customFormat="false" ht="15" hidden="false" customHeight="false" outlineLevel="0" collapsed="false">
      <c r="A148" s="6" t="str">
        <f aca="false">YEAR(Q148-WEEKDAY(Q148,2)+4)&amp;"-S"&amp;TEXT(WEEKNUM(Q148,21),"00")</f>
        <v>2025-S52</v>
      </c>
      <c r="B148" s="18" t="s">
        <v>72</v>
      </c>
      <c r="C148" s="19"/>
      <c r="D148" s="19" t="s">
        <v>74</v>
      </c>
      <c r="E148" s="19"/>
      <c r="F148" s="19" t="s">
        <v>74</v>
      </c>
      <c r="G148" s="20"/>
      <c r="H148" s="20"/>
      <c r="I148" s="8" t="str">
        <f aca="false">IF(IF(OR(C148="",D148="Congé",D148="OFF",D148="Congé spécial"),"",IF(D148&gt;F148,D148-C148,IF(C148-D148&lt;0,0,C148-D148)))&lt;0.00068287037037037,"",IF(OR(D148="Congé",D148="OFF",C148="",D148="Congé spécial"),"",IF(D148&gt;F148,D148-C148,IF(C148-D148&lt;0,0,C148-D148))))</f>
        <v/>
      </c>
      <c r="J148" s="20"/>
      <c r="K148" s="8" t="n">
        <f aca="false">IF(SUM(H148:J148)&lt;0.00068287037037037,0,SUM(H148:J148))</f>
        <v>0</v>
      </c>
      <c r="L148" s="8" t="n">
        <f aca="false">IF(OR(F148="Congé",F148="OFF",M148="Abs",F148="Congé sans solde",F148="Férié",F148="Congé spécial",D148="Congé spécial"),0,IF(F148-E148&lt;0,0,IF(F148-E148&lt;=0.00068287037037037,0,F148-E148)))</f>
        <v>0</v>
      </c>
      <c r="M148" s="6" t="n">
        <f aca="false">IF(AND(O148&lt;&gt;0,C148=""),"Abs",0)</f>
        <v>0</v>
      </c>
      <c r="N148" s="8" t="str">
        <f aca="false">IFERROR(IF(OR(D148="OFF",D148="Congé",M148="Abs",D148="Congé sans solde",D148="Férié"),"",IF(O148-K148-L148&gt;O148,O148,IF(O148-K148-L148&lt;0,"",O148-K148-L148))),"")</f>
        <v/>
      </c>
      <c r="O148" s="8" t="n">
        <f aca="false">IF(AG148="2H Pause déjeuner",IF(F148-D148-0.0833333333333333&lt;0,F148-D148-0.0833333333333333+1,F148-D148-0.0833333333333333),IF(OR(AND(F148="OFF",D148="OFF"),AND(F148="Congé",D148="Congé"),AND(F148="Congé sans solde",D148="Congé sans solde"),AND(F148="Congé spécial",D148="Congé spécial"),AND(F148="Férié",D148="Férié"),AND(F148="OFF",D148="Congé"),AND(F148="OFF",D148="Congé sans solde"),AND(F148="OFF",D148="Congé spécial"),AND(F148="OFF",D148="Férié"),AND(F148="Congé",D148="OFF"),AND(F148="Congé",D148="Congé sans solde"),AND(F148="Congé",D148="Congé spécial"),AND(F148="Congé",D148="Férié"),AND(F148="Congé sans solde",D148="OFF"),AND(F148="Congé sans solde",D148="Congé"),AND(F148="Congé sans solde",D148="Congé spécial"),AND(F148="Congé sans solde",D148="Férié"),AND(F148="Congé spécial",D148="OFF"),AND(F148="Congé spécial",D148="Congé"),AND(F148="Congé spécial",D148="Congé sans solde"),AND(F148="Congé spécial",D148="Férié"),AND(F148="Férié",D148="OFF"),AND(F148="Férié",D148="Congé"),AND(F148="Férié",D148="Congé sans solde"),AND(F148="Férié",D148="Congé spécial")),0,IF(OR(F148="OFF",F148="Congé",F148="Congé spécial",F148="Congé sans solde",D148="OFF",D148="Congé",D148="Congé spécial",D148="Congé sans solde"),0.208333333333334,IF(AND(AG148="",F148-D148&lt;0),("24:00:00"-D148)+("00:00:00"+F148)-0.0416666666666667,IF(AND(OR(AG148="Allaitement",AG148="Sans déjeuner"),F148-D148&lt;0),("24:00:00"-D148)+("00:00:00"+F148),IF(AND(AG148="",F148-D148&gt;0.166666666666667),F148-D148-0.0416666666666667,IF(AND(OR(AG148="Allaitement",AG148="Sans déjeuner"),F148-D148&gt;0.166666666666667),F148-D148,F148-D148)))))))</f>
        <v>0</v>
      </c>
      <c r="P148" s="6" t="str">
        <f aca="false">IFERROR(VLOOKUP($B148,Agents!$A:$D,2,0),"-")</f>
        <v>Accessibilité</v>
      </c>
      <c r="Q148" s="21" t="n">
        <v>46018</v>
      </c>
      <c r="R148" s="8" t="n">
        <f aca="false">IF(M148="Abs",O148,0)</f>
        <v>0</v>
      </c>
      <c r="S148" s="8" t="n">
        <f aca="false">SUM(R148,L148,I148,J148,W148,H148)</f>
        <v>0</v>
      </c>
      <c r="T148" s="6" t="str">
        <f aca="false">"Sem - "&amp;WEEKNUM(Q148,21)</f>
        <v>Sem - 52</v>
      </c>
      <c r="U148" s="6" t="str">
        <f aca="false">CHOOSE(MONTH(Q148),"Janvier","Février","Mars","Avril","Mai","Juin","Juillet","Août","Septembre","Octobre","Novembre","Décembre")</f>
        <v>Décembre</v>
      </c>
      <c r="V148" s="22" t="n">
        <f aca="false">YEAR(Q148)</f>
        <v>2025</v>
      </c>
      <c r="W148" s="20"/>
      <c r="X148" s="8" t="n">
        <f aca="false">IFERROR(IF(M148="Abs",0,IF(ROUND((D148-C148+E148-F148)*1440,0)&lt;=1,0,D148-C148+E148-F148)),0)</f>
        <v>0</v>
      </c>
      <c r="Y148" s="6" t="str">
        <f aca="false">IFERROR(VLOOKUP($B148,Agents!$A:$D,3,0),"-")</f>
        <v>OUBRAHIM Mohammed</v>
      </c>
      <c r="Z148" s="6" t="str">
        <f aca="false">IFERROR(VLOOKUP($B148,Agents!$A:$D,4,0),"-")</f>
        <v>Credit Mutuel</v>
      </c>
      <c r="AA148" s="18" t="s">
        <v>79</v>
      </c>
      <c r="AB148" s="8" t="str">
        <f aca="false">IF(AND(D148="Congé",F148="Congé"),0.333333333333333,IF(OR(AND(D148="Congé",F148&lt;&gt;"Congé"),(AND(F148="Congé",D148&lt;&gt;"Congé"))),0.166666666666667,""))</f>
        <v/>
      </c>
      <c r="AC148" s="8" t="str">
        <f aca="false">IF(AND(D148="Congé sans solde",F148="Congé sans solde"),0.333333333333333,IF(OR(AND(D148="Congé sans solde",F148&lt;&gt;"Congé sans solde"),(AND(F148="Congé sans solde",D148&lt;&gt;"Congé sans solde"))),0.166666666666667,""))</f>
        <v/>
      </c>
      <c r="AD148" s="8" t="str">
        <f aca="false">IF(AND(D148="Congé spécial",F148="Congé spécial"),0.333333333333333,IF(OR(AND(D148="Congé spécial",F148&lt;&gt;"Congé spécial"),AND(F148="Congé spécial",D148&lt;&gt;"Congé spécial")),0.166666666666667,""))</f>
        <v/>
      </c>
      <c r="AE148" s="8" t="str">
        <f aca="false">IF(AND(D148="Férié",F148="Férié"),0.333333333333333,IF(OR(AND(D148="Férié",F148&lt;&gt;"Férié"),(AND(F148="Férié",D148&lt;&gt;"Férié"))),0.166666666666667,""))</f>
        <v/>
      </c>
      <c r="AF148" s="18"/>
      <c r="AG148" s="18"/>
    </row>
    <row r="149" customFormat="false" ht="15" hidden="false" customHeight="false" outlineLevel="0" collapsed="false">
      <c r="A149" s="6" t="str">
        <f aca="false">YEAR(Q149-WEEKDAY(Q149,2)+4)&amp;"-S"&amp;TEXT(WEEKNUM(Q149,21),"00")</f>
        <v>2025-S52</v>
      </c>
      <c r="B149" s="18" t="s">
        <v>73</v>
      </c>
      <c r="C149" s="19"/>
      <c r="D149" s="19" t="s">
        <v>74</v>
      </c>
      <c r="E149" s="19"/>
      <c r="F149" s="19" t="s">
        <v>74</v>
      </c>
      <c r="G149" s="20"/>
      <c r="H149" s="20"/>
      <c r="I149" s="8" t="str">
        <f aca="false">IF(IF(OR(C149="",D149="Congé",D149="OFF",D149="Congé spécial"),"",IF(D149&gt;F149,D149-C149,IF(C149-D149&lt;0,0,C149-D149)))&lt;0.00068287037037037,"",IF(OR(D149="Congé",D149="OFF",C149="",D149="Congé spécial"),"",IF(D149&gt;F149,D149-C149,IF(C149-D149&lt;0,0,C149-D149))))</f>
        <v/>
      </c>
      <c r="J149" s="20"/>
      <c r="K149" s="8" t="n">
        <f aca="false">IF(SUM(H149:J149)&lt;0.00068287037037037,0,SUM(H149:J149))</f>
        <v>0</v>
      </c>
      <c r="L149" s="8" t="n">
        <f aca="false">IF(OR(F149="Congé",F149="OFF",M149="Abs",F149="Congé sans solde",F149="Férié",F149="Congé spécial",D149="Congé spécial"),0,IF(F149-E149&lt;0,0,IF(F149-E149&lt;=0.00068287037037037,0,F149-E149)))</f>
        <v>0</v>
      </c>
      <c r="M149" s="6" t="n">
        <f aca="false">IF(AND(O149&lt;&gt;0,C149=""),"Abs",0)</f>
        <v>0</v>
      </c>
      <c r="N149" s="8" t="str">
        <f aca="false">IFERROR(IF(OR(D149="OFF",D149="Congé",M149="Abs",D149="Congé sans solde",D149="Férié"),"",IF(O149-K149-L149&gt;O149,O149,IF(O149-K149-L149&lt;0,"",O149-K149-L149))),"")</f>
        <v/>
      </c>
      <c r="O149" s="8" t="n">
        <f aca="false">IF(AG149="2H Pause déjeuner",IF(F149-D149-0.0833333333333333&lt;0,F149-D149-0.0833333333333333+1,F149-D149-0.0833333333333333),IF(OR(AND(F149="OFF",D149="OFF"),AND(F149="Congé",D149="Congé"),AND(F149="Congé sans solde",D149="Congé sans solde"),AND(F149="Congé spécial",D149="Congé spécial"),AND(F149="Férié",D149="Férié"),AND(F149="OFF",D149="Congé"),AND(F149="OFF",D149="Congé sans solde"),AND(F149="OFF",D149="Congé spécial"),AND(F149="OFF",D149="Férié"),AND(F149="Congé",D149="OFF"),AND(F149="Congé",D149="Congé sans solde"),AND(F149="Congé",D149="Congé spécial"),AND(F149="Congé",D149="Férié"),AND(F149="Congé sans solde",D149="OFF"),AND(F149="Congé sans solde",D149="Congé"),AND(F149="Congé sans solde",D149="Congé spécial"),AND(F149="Congé sans solde",D149="Férié"),AND(F149="Congé spécial",D149="OFF"),AND(F149="Congé spécial",D149="Congé"),AND(F149="Congé spécial",D149="Congé sans solde"),AND(F149="Congé spécial",D149="Férié"),AND(F149="Férié",D149="OFF"),AND(F149="Férié",D149="Congé"),AND(F149="Férié",D149="Congé sans solde"),AND(F149="Férié",D149="Congé spécial")),0,IF(OR(F149="OFF",F149="Congé",F149="Congé spécial",F149="Congé sans solde",D149="OFF",D149="Congé",D149="Congé spécial",D149="Congé sans solde"),0.208333333333334,IF(AND(AG149="",F149-D149&lt;0),("24:00:00"-D149)+("00:00:00"+F149)-0.0416666666666667,IF(AND(OR(AG149="Allaitement",AG149="Sans déjeuner"),F149-D149&lt;0),("24:00:00"-D149)+("00:00:00"+F149),IF(AND(AG149="",F149-D149&gt;0.166666666666667),F149-D149-0.0416666666666667,IF(AND(OR(AG149="Allaitement",AG149="Sans déjeuner"),F149-D149&gt;0.166666666666667),F149-D149,F149-D149)))))))</f>
        <v>0</v>
      </c>
      <c r="P149" s="6" t="str">
        <f aca="false">IFERROR(VLOOKUP($B149,Agents!$A:$D,2,0),"-")</f>
        <v>Accessibilité</v>
      </c>
      <c r="Q149" s="21" t="n">
        <v>46018</v>
      </c>
      <c r="R149" s="8" t="n">
        <f aca="false">IF(M149="Abs",O149,0)</f>
        <v>0</v>
      </c>
      <c r="S149" s="8" t="n">
        <f aca="false">SUM(R149,L149,I149,J149,W149,H149)</f>
        <v>0</v>
      </c>
      <c r="T149" s="6" t="str">
        <f aca="false">"Sem - "&amp;WEEKNUM(Q149,21)</f>
        <v>Sem - 52</v>
      </c>
      <c r="U149" s="6" t="str">
        <f aca="false">CHOOSE(MONTH(Q149),"Janvier","Février","Mars","Avril","Mai","Juin","Juillet","Août","Septembre","Octobre","Novembre","Décembre")</f>
        <v>Décembre</v>
      </c>
      <c r="V149" s="22" t="n">
        <f aca="false">YEAR(Q149)</f>
        <v>2025</v>
      </c>
      <c r="W149" s="20"/>
      <c r="X149" s="8" t="n">
        <f aca="false">IFERROR(IF(M149="Abs",0,IF(ROUND((D149-C149+E149-F149)*1440,0)&lt;=1,0,D149-C149+E149-F149)),0)</f>
        <v>0</v>
      </c>
      <c r="Y149" s="6" t="str">
        <f aca="false">IFERROR(VLOOKUP($B149,Agents!$A:$D,3,0),"-")</f>
        <v>OUBRAHIM Mohammed</v>
      </c>
      <c r="Z149" s="6" t="str">
        <f aca="false">IFERROR(VLOOKUP($B149,Agents!$A:$D,4,0),"-")</f>
        <v>Credit Mutuel</v>
      </c>
      <c r="AA149" s="18" t="s">
        <v>79</v>
      </c>
      <c r="AB149" s="8" t="str">
        <f aca="false">IF(AND(D149="Congé",F149="Congé"),0.333333333333333,IF(OR(AND(D149="Congé",F149&lt;&gt;"Congé"),(AND(F149="Congé",D149&lt;&gt;"Congé"))),0.166666666666667,""))</f>
        <v/>
      </c>
      <c r="AC149" s="8" t="str">
        <f aca="false">IF(AND(D149="Congé sans solde",F149="Congé sans solde"),0.333333333333333,IF(OR(AND(D149="Congé sans solde",F149&lt;&gt;"Congé sans solde"),(AND(F149="Congé sans solde",D149&lt;&gt;"Congé sans solde"))),0.166666666666667,""))</f>
        <v/>
      </c>
      <c r="AD149" s="8" t="str">
        <f aca="false">IF(AND(D149="Congé spécial",F149="Congé spécial"),0.333333333333333,IF(OR(AND(D149="Congé spécial",F149&lt;&gt;"Congé spécial"),AND(F149="Congé spécial",D149&lt;&gt;"Congé spécial")),0.166666666666667,""))</f>
        <v/>
      </c>
      <c r="AE149" s="8" t="str">
        <f aca="false">IF(AND(D149="Férié",F149="Férié"),0.333333333333333,IF(OR(AND(D149="Férié",F149&lt;&gt;"Férié"),(AND(F149="Férié",D149&lt;&gt;"Férié"))),0.166666666666667,""))</f>
        <v/>
      </c>
      <c r="AF149" s="18"/>
      <c r="AG149" s="18"/>
    </row>
    <row r="150" customFormat="false" ht="15" hidden="false" customHeight="false" outlineLevel="0" collapsed="false">
      <c r="A150" s="6" t="str">
        <f aca="false">YEAR(Q150-WEEKDAY(Q150,2)+4)&amp;"-S"&amp;TEXT(WEEKNUM(Q150,21),"00")</f>
        <v>2025-S52</v>
      </c>
      <c r="B150" s="18" t="s">
        <v>69</v>
      </c>
      <c r="C150" s="19"/>
      <c r="D150" s="19" t="s">
        <v>74</v>
      </c>
      <c r="E150" s="19"/>
      <c r="F150" s="19" t="s">
        <v>74</v>
      </c>
      <c r="G150" s="20"/>
      <c r="H150" s="20"/>
      <c r="I150" s="8" t="str">
        <f aca="false">IF(IF(OR(C150="",D150="Congé",D150="OFF",D150="Congé spécial"),"",IF(D150&gt;F150,D150-C150,IF(C150-D150&lt;0,0,C150-D150)))&lt;0.00068287037037037,"",IF(OR(D150="Congé",D150="OFF",C150="",D150="Congé spécial"),"",IF(D150&gt;F150,D150-C150,IF(C150-D150&lt;0,0,C150-D150))))</f>
        <v/>
      </c>
      <c r="J150" s="20"/>
      <c r="K150" s="8" t="n">
        <f aca="false">IF(SUM(H150:J150)&lt;0.00068287037037037,0,SUM(H150:J150))</f>
        <v>0</v>
      </c>
      <c r="L150" s="8" t="n">
        <f aca="false">IF(OR(F150="Congé",F150="OFF",M150="Abs",F150="Congé sans solde",F150="Férié",F150="Congé spécial",D150="Congé spécial"),0,IF(F150-E150&lt;0,0,IF(F150-E150&lt;=0.00068287037037037,0,F150-E150)))</f>
        <v>0</v>
      </c>
      <c r="M150" s="6" t="n">
        <f aca="false">IF(AND(O150&lt;&gt;0,C150=""),"Abs",0)</f>
        <v>0</v>
      </c>
      <c r="N150" s="8" t="str">
        <f aca="false">IFERROR(IF(OR(D150="OFF",D150="Congé",M150="Abs",D150="Congé sans solde",D150="Férié"),"",IF(O150-K150-L150&gt;O150,O150,IF(O150-K150-L150&lt;0,"",O150-K150-L150))),"")</f>
        <v/>
      </c>
      <c r="O150" s="8" t="n">
        <f aca="false">IF(AG150="2H Pause déjeuner",IF(F150-D150-0.0833333333333333&lt;0,F150-D150-0.0833333333333333+1,F150-D150-0.0833333333333333),IF(OR(AND(F150="OFF",D150="OFF"),AND(F150="Congé",D150="Congé"),AND(F150="Congé sans solde",D150="Congé sans solde"),AND(F150="Congé spécial",D150="Congé spécial"),AND(F150="Férié",D150="Férié"),AND(F150="OFF",D150="Congé"),AND(F150="OFF",D150="Congé sans solde"),AND(F150="OFF",D150="Congé spécial"),AND(F150="OFF",D150="Férié"),AND(F150="Congé",D150="OFF"),AND(F150="Congé",D150="Congé sans solde"),AND(F150="Congé",D150="Congé spécial"),AND(F150="Congé",D150="Férié"),AND(F150="Congé sans solde",D150="OFF"),AND(F150="Congé sans solde",D150="Congé"),AND(F150="Congé sans solde",D150="Congé spécial"),AND(F150="Congé sans solde",D150="Férié"),AND(F150="Congé spécial",D150="OFF"),AND(F150="Congé spécial",D150="Congé"),AND(F150="Congé spécial",D150="Congé sans solde"),AND(F150="Congé spécial",D150="Férié"),AND(F150="Férié",D150="OFF"),AND(F150="Férié",D150="Congé"),AND(F150="Férié",D150="Congé sans solde"),AND(F150="Férié",D150="Congé spécial")),0,IF(OR(F150="OFF",F150="Congé",F150="Congé spécial",F150="Congé sans solde",D150="OFF",D150="Congé",D150="Congé spécial",D150="Congé sans solde"),0.208333333333334,IF(AND(AG150="",F150-D150&lt;0),("24:00:00"-D150)+("00:00:00"+F150)-0.0416666666666667,IF(AND(OR(AG150="Allaitement",AG150="Sans déjeuner"),F150-D150&lt;0),("24:00:00"-D150)+("00:00:00"+F150),IF(AND(AG150="",F150-D150&gt;0.166666666666667),F150-D150-0.0416666666666667,IF(AND(OR(AG150="Allaitement",AG150="Sans déjeuner"),F150-D150&gt;0.166666666666667),F150-D150,F150-D150)))))))</f>
        <v>0</v>
      </c>
      <c r="P150" s="6" t="str">
        <f aca="false">IFERROR(VLOOKUP($B150,Agents!$A:$D,2,0),"-")</f>
        <v>Accessibilité</v>
      </c>
      <c r="Q150" s="21" t="n">
        <v>46019</v>
      </c>
      <c r="R150" s="8" t="n">
        <f aca="false">IF(M150="Abs",O150,0)</f>
        <v>0</v>
      </c>
      <c r="S150" s="8" t="n">
        <f aca="false">SUM(R150,L150,I150,J150,W150,H150)</f>
        <v>0</v>
      </c>
      <c r="T150" s="6" t="str">
        <f aca="false">"Sem - "&amp;WEEKNUM(Q150,21)</f>
        <v>Sem - 52</v>
      </c>
      <c r="U150" s="6" t="str">
        <f aca="false">CHOOSE(MONTH(Q150),"Janvier","Février","Mars","Avril","Mai","Juin","Juillet","Août","Septembre","Octobre","Novembre","Décembre")</f>
        <v>Décembre</v>
      </c>
      <c r="V150" s="22" t="n">
        <f aca="false">YEAR(Q150)</f>
        <v>2025</v>
      </c>
      <c r="W150" s="20"/>
      <c r="X150" s="8" t="n">
        <f aca="false">IFERROR(IF(M150="Abs",0,IF(ROUND((D150-C150+E150-F150)*1440,0)&lt;=1,0,D150-C150+E150-F150)),0)</f>
        <v>0</v>
      </c>
      <c r="Y150" s="6" t="str">
        <f aca="false">IFERROR(VLOOKUP($B150,Agents!$A:$D,3,0),"-")</f>
        <v>OUBRAHIM Mohammed</v>
      </c>
      <c r="Z150" s="6" t="str">
        <f aca="false">IFERROR(VLOOKUP($B150,Agents!$A:$D,4,0),"-")</f>
        <v>Credit Mutuel</v>
      </c>
      <c r="AA150" s="18" t="s">
        <v>79</v>
      </c>
      <c r="AB150" s="8" t="str">
        <f aca="false">IF(AND(D150="Congé",F150="Congé"),0.333333333333333,IF(OR(AND(D150="Congé",F150&lt;&gt;"Congé"),(AND(F150="Congé",D150&lt;&gt;"Congé"))),0.166666666666667,""))</f>
        <v/>
      </c>
      <c r="AC150" s="8" t="str">
        <f aca="false">IF(AND(D150="Congé sans solde",F150="Congé sans solde"),0.333333333333333,IF(OR(AND(D150="Congé sans solde",F150&lt;&gt;"Congé sans solde"),(AND(F150="Congé sans solde",D150&lt;&gt;"Congé sans solde"))),0.166666666666667,""))</f>
        <v/>
      </c>
      <c r="AD150" s="8" t="str">
        <f aca="false">IF(AND(D150="Congé spécial",F150="Congé spécial"),0.333333333333333,IF(OR(AND(D150="Congé spécial",F150&lt;&gt;"Congé spécial"),AND(F150="Congé spécial",D150&lt;&gt;"Congé spécial")),0.166666666666667,""))</f>
        <v/>
      </c>
      <c r="AE150" s="8" t="str">
        <f aca="false">IF(AND(D150="Férié",F150="Férié"),0.333333333333333,IF(OR(AND(D150="Férié",F150&lt;&gt;"Férié"),(AND(F150="Férié",D150&lt;&gt;"Férié"))),0.166666666666667,""))</f>
        <v/>
      </c>
      <c r="AF150" s="18"/>
      <c r="AG150" s="18"/>
    </row>
    <row r="151" customFormat="false" ht="15" hidden="false" customHeight="false" outlineLevel="0" collapsed="false">
      <c r="A151" s="6" t="str">
        <f aca="false">YEAR(Q151-WEEKDAY(Q151,2)+4)&amp;"-S"&amp;TEXT(WEEKNUM(Q151,21),"00")</f>
        <v>2025-S52</v>
      </c>
      <c r="B151" s="18" t="s">
        <v>71</v>
      </c>
      <c r="C151" s="19"/>
      <c r="D151" s="19" t="s">
        <v>74</v>
      </c>
      <c r="E151" s="19"/>
      <c r="F151" s="19" t="s">
        <v>74</v>
      </c>
      <c r="G151" s="20"/>
      <c r="H151" s="20"/>
      <c r="I151" s="8" t="str">
        <f aca="false">IF(IF(OR(C151="",D151="Congé",D151="OFF",D151="Congé spécial"),"",IF(D151&gt;F151,D151-C151,IF(C151-D151&lt;0,0,C151-D151)))&lt;0.00068287037037037,"",IF(OR(D151="Congé",D151="OFF",C151="",D151="Congé spécial"),"",IF(D151&gt;F151,D151-C151,IF(C151-D151&lt;0,0,C151-D151))))</f>
        <v/>
      </c>
      <c r="J151" s="20"/>
      <c r="K151" s="8" t="n">
        <f aca="false">IF(SUM(H151:J151)&lt;0.00068287037037037,0,SUM(H151:J151))</f>
        <v>0</v>
      </c>
      <c r="L151" s="8" t="n">
        <f aca="false">IF(OR(F151="Congé",F151="OFF",M151="Abs",F151="Congé sans solde",F151="Férié",F151="Congé spécial",D151="Congé spécial"),0,IF(F151-E151&lt;0,0,IF(F151-E151&lt;=0.00068287037037037,0,F151-E151)))</f>
        <v>0</v>
      </c>
      <c r="M151" s="6" t="n">
        <f aca="false">IF(AND(O151&lt;&gt;0,C151=""),"Abs",0)</f>
        <v>0</v>
      </c>
      <c r="N151" s="8" t="str">
        <f aca="false">IFERROR(IF(OR(D151="OFF",D151="Congé",M151="Abs",D151="Congé sans solde",D151="Férié"),"",IF(O151-K151-L151&gt;O151,O151,IF(O151-K151-L151&lt;0,"",O151-K151-L151))),"")</f>
        <v/>
      </c>
      <c r="O151" s="8" t="n">
        <f aca="false">IF(AG151="2H Pause déjeuner",IF(F151-D151-0.0833333333333333&lt;0,F151-D151-0.0833333333333333+1,F151-D151-0.0833333333333333),IF(OR(AND(F151="OFF",D151="OFF"),AND(F151="Congé",D151="Congé"),AND(F151="Congé sans solde",D151="Congé sans solde"),AND(F151="Congé spécial",D151="Congé spécial"),AND(F151="Férié",D151="Férié"),AND(F151="OFF",D151="Congé"),AND(F151="OFF",D151="Congé sans solde"),AND(F151="OFF",D151="Congé spécial"),AND(F151="OFF",D151="Férié"),AND(F151="Congé",D151="OFF"),AND(F151="Congé",D151="Congé sans solde"),AND(F151="Congé",D151="Congé spécial"),AND(F151="Congé",D151="Férié"),AND(F151="Congé sans solde",D151="OFF"),AND(F151="Congé sans solde",D151="Congé"),AND(F151="Congé sans solde",D151="Congé spécial"),AND(F151="Congé sans solde",D151="Férié"),AND(F151="Congé spécial",D151="OFF"),AND(F151="Congé spécial",D151="Congé"),AND(F151="Congé spécial",D151="Congé sans solde"),AND(F151="Congé spécial",D151="Férié"),AND(F151="Férié",D151="OFF"),AND(F151="Férié",D151="Congé"),AND(F151="Férié",D151="Congé sans solde"),AND(F151="Férié",D151="Congé spécial")),0,IF(OR(F151="OFF",F151="Congé",F151="Congé spécial",F151="Congé sans solde",D151="OFF",D151="Congé",D151="Congé spécial",D151="Congé sans solde"),0.208333333333334,IF(AND(AG151="",F151-D151&lt;0),("24:00:00"-D151)+("00:00:00"+F151)-0.0416666666666667,IF(AND(OR(AG151="Allaitement",AG151="Sans déjeuner"),F151-D151&lt;0),("24:00:00"-D151)+("00:00:00"+F151),IF(AND(AG151="",F151-D151&gt;0.166666666666667),F151-D151-0.0416666666666667,IF(AND(OR(AG151="Allaitement",AG151="Sans déjeuner"),F151-D151&gt;0.166666666666667),F151-D151,F151-D151)))))))</f>
        <v>0</v>
      </c>
      <c r="P151" s="6" t="str">
        <f aca="false">IFERROR(VLOOKUP($B151,Agents!$A:$D,2,0),"-")</f>
        <v>Accessibilité</v>
      </c>
      <c r="Q151" s="21" t="n">
        <v>46019</v>
      </c>
      <c r="R151" s="8" t="n">
        <f aca="false">IF(M151="Abs",O151,0)</f>
        <v>0</v>
      </c>
      <c r="S151" s="8" t="n">
        <f aca="false">SUM(R151,L151,I151,J151,W151,H151)</f>
        <v>0</v>
      </c>
      <c r="T151" s="6" t="str">
        <f aca="false">"Sem - "&amp;WEEKNUM(Q151,21)</f>
        <v>Sem - 52</v>
      </c>
      <c r="U151" s="6" t="str">
        <f aca="false">CHOOSE(MONTH(Q151),"Janvier","Février","Mars","Avril","Mai","Juin","Juillet","Août","Septembre","Octobre","Novembre","Décembre")</f>
        <v>Décembre</v>
      </c>
      <c r="V151" s="22" t="n">
        <f aca="false">YEAR(Q151)</f>
        <v>2025</v>
      </c>
      <c r="W151" s="20"/>
      <c r="X151" s="8" t="n">
        <f aca="false">IFERROR(IF(M151="Abs",0,IF(ROUND((D151-C151+E151-F151)*1440,0)&lt;=1,0,D151-C151+E151-F151)),0)</f>
        <v>0</v>
      </c>
      <c r="Y151" s="6" t="str">
        <f aca="false">IFERROR(VLOOKUP($B151,Agents!$A:$D,3,0),"-")</f>
        <v>OUBRAHIM Mohammed</v>
      </c>
      <c r="Z151" s="6" t="str">
        <f aca="false">IFERROR(VLOOKUP($B151,Agents!$A:$D,4,0),"-")</f>
        <v>Credit Mutuel</v>
      </c>
      <c r="AA151" s="18" t="s">
        <v>79</v>
      </c>
      <c r="AB151" s="8" t="str">
        <f aca="false">IF(AND(D151="Congé",F151="Congé"),0.333333333333333,IF(OR(AND(D151="Congé",F151&lt;&gt;"Congé"),(AND(F151="Congé",D151&lt;&gt;"Congé"))),0.166666666666667,""))</f>
        <v/>
      </c>
      <c r="AC151" s="8" t="str">
        <f aca="false">IF(AND(D151="Congé sans solde",F151="Congé sans solde"),0.333333333333333,IF(OR(AND(D151="Congé sans solde",F151&lt;&gt;"Congé sans solde"),(AND(F151="Congé sans solde",D151&lt;&gt;"Congé sans solde"))),0.166666666666667,""))</f>
        <v/>
      </c>
      <c r="AD151" s="8" t="str">
        <f aca="false">IF(AND(D151="Congé spécial",F151="Congé spécial"),0.333333333333333,IF(OR(AND(D151="Congé spécial",F151&lt;&gt;"Congé spécial"),AND(F151="Congé spécial",D151&lt;&gt;"Congé spécial")),0.166666666666667,""))</f>
        <v/>
      </c>
      <c r="AE151" s="8" t="str">
        <f aca="false">IF(AND(D151="Férié",F151="Férié"),0.333333333333333,IF(OR(AND(D151="Férié",F151&lt;&gt;"Férié"),(AND(F151="Férié",D151&lt;&gt;"Férié"))),0.166666666666667,""))</f>
        <v/>
      </c>
      <c r="AF151" s="18"/>
      <c r="AG151" s="18"/>
    </row>
    <row r="152" customFormat="false" ht="15" hidden="false" customHeight="false" outlineLevel="0" collapsed="false">
      <c r="A152" s="6" t="str">
        <f aca="false">YEAR(Q152-WEEKDAY(Q152,2)+4)&amp;"-S"&amp;TEXT(WEEKNUM(Q152,21),"00")</f>
        <v>2025-S52</v>
      </c>
      <c r="B152" s="18" t="s">
        <v>72</v>
      </c>
      <c r="C152" s="19"/>
      <c r="D152" s="19" t="s">
        <v>74</v>
      </c>
      <c r="E152" s="19"/>
      <c r="F152" s="19" t="s">
        <v>74</v>
      </c>
      <c r="G152" s="20"/>
      <c r="H152" s="20"/>
      <c r="I152" s="8" t="str">
        <f aca="false">IF(IF(OR(C152="",D152="Congé",D152="OFF",D152="Congé spécial"),"",IF(D152&gt;F152,D152-C152,IF(C152-D152&lt;0,0,C152-D152)))&lt;0.00068287037037037,"",IF(OR(D152="Congé",D152="OFF",C152="",D152="Congé spécial"),"",IF(D152&gt;F152,D152-C152,IF(C152-D152&lt;0,0,C152-D152))))</f>
        <v/>
      </c>
      <c r="J152" s="20"/>
      <c r="K152" s="8" t="n">
        <f aca="false">IF(SUM(H152:J152)&lt;0.00068287037037037,0,SUM(H152:J152))</f>
        <v>0</v>
      </c>
      <c r="L152" s="8" t="n">
        <f aca="false">IF(OR(F152="Congé",F152="OFF",M152="Abs",F152="Congé sans solde",F152="Férié",F152="Congé spécial",D152="Congé spécial"),0,IF(F152-E152&lt;0,0,IF(F152-E152&lt;=0.00068287037037037,0,F152-E152)))</f>
        <v>0</v>
      </c>
      <c r="M152" s="6" t="n">
        <f aca="false">IF(AND(O152&lt;&gt;0,C152=""),"Abs",0)</f>
        <v>0</v>
      </c>
      <c r="N152" s="8" t="str">
        <f aca="false">IFERROR(IF(OR(D152="OFF",D152="Congé",M152="Abs",D152="Congé sans solde",D152="Férié"),"",IF(O152-K152-L152&gt;O152,O152,IF(O152-K152-L152&lt;0,"",O152-K152-L152))),"")</f>
        <v/>
      </c>
      <c r="O152" s="8" t="n">
        <f aca="false">IF(AG152="2H Pause déjeuner",IF(F152-D152-0.0833333333333333&lt;0,F152-D152-0.0833333333333333+1,F152-D152-0.0833333333333333),IF(OR(AND(F152="OFF",D152="OFF"),AND(F152="Congé",D152="Congé"),AND(F152="Congé sans solde",D152="Congé sans solde"),AND(F152="Congé spécial",D152="Congé spécial"),AND(F152="Férié",D152="Férié"),AND(F152="OFF",D152="Congé"),AND(F152="OFF",D152="Congé sans solde"),AND(F152="OFF",D152="Congé spécial"),AND(F152="OFF",D152="Férié"),AND(F152="Congé",D152="OFF"),AND(F152="Congé",D152="Congé sans solde"),AND(F152="Congé",D152="Congé spécial"),AND(F152="Congé",D152="Férié"),AND(F152="Congé sans solde",D152="OFF"),AND(F152="Congé sans solde",D152="Congé"),AND(F152="Congé sans solde",D152="Congé spécial"),AND(F152="Congé sans solde",D152="Férié"),AND(F152="Congé spécial",D152="OFF"),AND(F152="Congé spécial",D152="Congé"),AND(F152="Congé spécial",D152="Congé sans solde"),AND(F152="Congé spécial",D152="Férié"),AND(F152="Férié",D152="OFF"),AND(F152="Férié",D152="Congé"),AND(F152="Férié",D152="Congé sans solde"),AND(F152="Férié",D152="Congé spécial")),0,IF(OR(F152="OFF",F152="Congé",F152="Congé spécial",F152="Congé sans solde",D152="OFF",D152="Congé",D152="Congé spécial",D152="Congé sans solde"),0.208333333333334,IF(AND(AG152="",F152-D152&lt;0),("24:00:00"-D152)+("00:00:00"+F152)-0.0416666666666667,IF(AND(OR(AG152="Allaitement",AG152="Sans déjeuner"),F152-D152&lt;0),("24:00:00"-D152)+("00:00:00"+F152),IF(AND(AG152="",F152-D152&gt;0.166666666666667),F152-D152-0.0416666666666667,IF(AND(OR(AG152="Allaitement",AG152="Sans déjeuner"),F152-D152&gt;0.166666666666667),F152-D152,F152-D152)))))))</f>
        <v>0</v>
      </c>
      <c r="P152" s="6" t="str">
        <f aca="false">IFERROR(VLOOKUP($B152,Agents!$A:$D,2,0),"-")</f>
        <v>Accessibilité</v>
      </c>
      <c r="Q152" s="21" t="n">
        <v>46019</v>
      </c>
      <c r="R152" s="8" t="n">
        <f aca="false">IF(M152="Abs",O152,0)</f>
        <v>0</v>
      </c>
      <c r="S152" s="8" t="n">
        <f aca="false">SUM(R152,L152,I152,J152,W152,H152)</f>
        <v>0</v>
      </c>
      <c r="T152" s="6" t="str">
        <f aca="false">"Sem - "&amp;WEEKNUM(Q152,21)</f>
        <v>Sem - 52</v>
      </c>
      <c r="U152" s="6" t="str">
        <f aca="false">CHOOSE(MONTH(Q152),"Janvier","Février","Mars","Avril","Mai","Juin","Juillet","Août","Septembre","Octobre","Novembre","Décembre")</f>
        <v>Décembre</v>
      </c>
      <c r="V152" s="22" t="n">
        <f aca="false">YEAR(Q152)</f>
        <v>2025</v>
      </c>
      <c r="W152" s="20"/>
      <c r="X152" s="8" t="n">
        <f aca="false">IFERROR(IF(M152="Abs",0,IF(ROUND((D152-C152+E152-F152)*1440,0)&lt;=1,0,D152-C152+E152-F152)),0)</f>
        <v>0</v>
      </c>
      <c r="Y152" s="6" t="str">
        <f aca="false">IFERROR(VLOOKUP($B152,Agents!$A:$D,3,0),"-")</f>
        <v>OUBRAHIM Mohammed</v>
      </c>
      <c r="Z152" s="6" t="str">
        <f aca="false">IFERROR(VLOOKUP($B152,Agents!$A:$D,4,0),"-")</f>
        <v>Credit Mutuel</v>
      </c>
      <c r="AA152" s="18" t="s">
        <v>79</v>
      </c>
      <c r="AB152" s="8" t="str">
        <f aca="false">IF(AND(D152="Congé",F152="Congé"),0.333333333333333,IF(OR(AND(D152="Congé",F152&lt;&gt;"Congé"),(AND(F152="Congé",D152&lt;&gt;"Congé"))),0.166666666666667,""))</f>
        <v/>
      </c>
      <c r="AC152" s="8" t="str">
        <f aca="false">IF(AND(D152="Congé sans solde",F152="Congé sans solde"),0.333333333333333,IF(OR(AND(D152="Congé sans solde",F152&lt;&gt;"Congé sans solde"),(AND(F152="Congé sans solde",D152&lt;&gt;"Congé sans solde"))),0.166666666666667,""))</f>
        <v/>
      </c>
      <c r="AD152" s="8" t="str">
        <f aca="false">IF(AND(D152="Congé spécial",F152="Congé spécial"),0.333333333333333,IF(OR(AND(D152="Congé spécial",F152&lt;&gt;"Congé spécial"),AND(F152="Congé spécial",D152&lt;&gt;"Congé spécial")),0.166666666666667,""))</f>
        <v/>
      </c>
      <c r="AE152" s="8" t="str">
        <f aca="false">IF(AND(D152="Férié",F152="Férié"),0.333333333333333,IF(OR(AND(D152="Férié",F152&lt;&gt;"Férié"),(AND(F152="Férié",D152&lt;&gt;"Férié"))),0.166666666666667,""))</f>
        <v/>
      </c>
      <c r="AF152" s="18"/>
      <c r="AG152" s="18"/>
    </row>
    <row r="153" customFormat="false" ht="15" hidden="false" customHeight="false" outlineLevel="0" collapsed="false">
      <c r="A153" s="6" t="str">
        <f aca="false">YEAR(Q153-WEEKDAY(Q153,2)+4)&amp;"-S"&amp;TEXT(WEEKNUM(Q153,21),"00")</f>
        <v>2025-S52</v>
      </c>
      <c r="B153" s="18" t="s">
        <v>73</v>
      </c>
      <c r="C153" s="19"/>
      <c r="D153" s="19" t="s">
        <v>74</v>
      </c>
      <c r="E153" s="19"/>
      <c r="F153" s="19" t="s">
        <v>74</v>
      </c>
      <c r="G153" s="20"/>
      <c r="H153" s="20"/>
      <c r="I153" s="8" t="str">
        <f aca="false">IF(IF(OR(C153="",D153="Congé",D153="OFF",D153="Congé spécial"),"",IF(D153&gt;F153,D153-C153,IF(C153-D153&lt;0,0,C153-D153)))&lt;0.00068287037037037,"",IF(OR(D153="Congé",D153="OFF",C153="",D153="Congé spécial"),"",IF(D153&gt;F153,D153-C153,IF(C153-D153&lt;0,0,C153-D153))))</f>
        <v/>
      </c>
      <c r="J153" s="20"/>
      <c r="K153" s="8" t="n">
        <f aca="false">IF(SUM(H153:J153)&lt;0.00068287037037037,0,SUM(H153:J153))</f>
        <v>0</v>
      </c>
      <c r="L153" s="8" t="n">
        <f aca="false">IF(OR(F153="Congé",F153="OFF",M153="Abs",F153="Congé sans solde",F153="Férié",F153="Congé spécial",D153="Congé spécial"),0,IF(F153-E153&lt;0,0,IF(F153-E153&lt;=0.00068287037037037,0,F153-E153)))</f>
        <v>0</v>
      </c>
      <c r="M153" s="6" t="n">
        <f aca="false">IF(AND(O153&lt;&gt;0,C153=""),"Abs",0)</f>
        <v>0</v>
      </c>
      <c r="N153" s="8" t="str">
        <f aca="false">IFERROR(IF(OR(D153="OFF",D153="Congé",M153="Abs",D153="Congé sans solde",D153="Férié"),"",IF(O153-K153-L153&gt;O153,O153,IF(O153-K153-L153&lt;0,"",O153-K153-L153))),"")</f>
        <v/>
      </c>
      <c r="O153" s="8" t="n">
        <f aca="false">IF(AG153="2H Pause déjeuner",IF(F153-D153-0.0833333333333333&lt;0,F153-D153-0.0833333333333333+1,F153-D153-0.0833333333333333),IF(OR(AND(F153="OFF",D153="OFF"),AND(F153="Congé",D153="Congé"),AND(F153="Congé sans solde",D153="Congé sans solde"),AND(F153="Congé spécial",D153="Congé spécial"),AND(F153="Férié",D153="Férié"),AND(F153="OFF",D153="Congé"),AND(F153="OFF",D153="Congé sans solde"),AND(F153="OFF",D153="Congé spécial"),AND(F153="OFF",D153="Férié"),AND(F153="Congé",D153="OFF"),AND(F153="Congé",D153="Congé sans solde"),AND(F153="Congé",D153="Congé spécial"),AND(F153="Congé",D153="Férié"),AND(F153="Congé sans solde",D153="OFF"),AND(F153="Congé sans solde",D153="Congé"),AND(F153="Congé sans solde",D153="Congé spécial"),AND(F153="Congé sans solde",D153="Férié"),AND(F153="Congé spécial",D153="OFF"),AND(F153="Congé spécial",D153="Congé"),AND(F153="Congé spécial",D153="Congé sans solde"),AND(F153="Congé spécial",D153="Férié"),AND(F153="Férié",D153="OFF"),AND(F153="Férié",D153="Congé"),AND(F153="Férié",D153="Congé sans solde"),AND(F153="Férié",D153="Congé spécial")),0,IF(OR(F153="OFF",F153="Congé",F153="Congé spécial",F153="Congé sans solde",D153="OFF",D153="Congé",D153="Congé spécial",D153="Congé sans solde"),0.208333333333334,IF(AND(AG153="",F153-D153&lt;0),("24:00:00"-D153)+("00:00:00"+F153)-0.0416666666666667,IF(AND(OR(AG153="Allaitement",AG153="Sans déjeuner"),F153-D153&lt;0),("24:00:00"-D153)+("00:00:00"+F153),IF(AND(AG153="",F153-D153&gt;0.166666666666667),F153-D153-0.0416666666666667,IF(AND(OR(AG153="Allaitement",AG153="Sans déjeuner"),F153-D153&gt;0.166666666666667),F153-D153,F153-D153)))))))</f>
        <v>0</v>
      </c>
      <c r="P153" s="6" t="str">
        <f aca="false">IFERROR(VLOOKUP($B153,Agents!$A:$D,2,0),"-")</f>
        <v>Accessibilité</v>
      </c>
      <c r="Q153" s="21" t="n">
        <v>46019</v>
      </c>
      <c r="R153" s="8" t="n">
        <f aca="false">IF(M153="Abs",O153,0)</f>
        <v>0</v>
      </c>
      <c r="S153" s="8" t="n">
        <f aca="false">SUM(R153,L153,I153,J153,W153,H153)</f>
        <v>0</v>
      </c>
      <c r="T153" s="6" t="str">
        <f aca="false">"Sem - "&amp;WEEKNUM(Q153,21)</f>
        <v>Sem - 52</v>
      </c>
      <c r="U153" s="6" t="str">
        <f aca="false">CHOOSE(MONTH(Q153),"Janvier","Février","Mars","Avril","Mai","Juin","Juillet","Août","Septembre","Octobre","Novembre","Décembre")</f>
        <v>Décembre</v>
      </c>
      <c r="V153" s="22" t="n">
        <f aca="false">YEAR(Q153)</f>
        <v>2025</v>
      </c>
      <c r="W153" s="20"/>
      <c r="X153" s="8" t="n">
        <f aca="false">IFERROR(IF(M153="Abs",0,IF(ROUND((D153-C153+E153-F153)*1440,0)&lt;=1,0,D153-C153+E153-F153)),0)</f>
        <v>0</v>
      </c>
      <c r="Y153" s="6" t="str">
        <f aca="false">IFERROR(VLOOKUP($B153,Agents!$A:$D,3,0),"-")</f>
        <v>OUBRAHIM Mohammed</v>
      </c>
      <c r="Z153" s="6" t="str">
        <f aca="false">IFERROR(VLOOKUP($B153,Agents!$A:$D,4,0),"-")</f>
        <v>Credit Mutuel</v>
      </c>
      <c r="AA153" s="18" t="s">
        <v>79</v>
      </c>
      <c r="AB153" s="8" t="str">
        <f aca="false">IF(AND(D153="Congé",F153="Congé"),0.333333333333333,IF(OR(AND(D153="Congé",F153&lt;&gt;"Congé"),(AND(F153="Congé",D153&lt;&gt;"Congé"))),0.166666666666667,""))</f>
        <v/>
      </c>
      <c r="AC153" s="8" t="str">
        <f aca="false">IF(AND(D153="Congé sans solde",F153="Congé sans solde"),0.333333333333333,IF(OR(AND(D153="Congé sans solde",F153&lt;&gt;"Congé sans solde"),(AND(F153="Congé sans solde",D153&lt;&gt;"Congé sans solde"))),0.166666666666667,""))</f>
        <v/>
      </c>
      <c r="AD153" s="8" t="str">
        <f aca="false">IF(AND(D153="Congé spécial",F153="Congé spécial"),0.333333333333333,IF(OR(AND(D153="Congé spécial",F153&lt;&gt;"Congé spécial"),AND(F153="Congé spécial",D153&lt;&gt;"Congé spécial")),0.166666666666667,""))</f>
        <v/>
      </c>
      <c r="AE153" s="8" t="str">
        <f aca="false">IF(AND(D153="Férié",F153="Férié"),0.333333333333333,IF(OR(AND(D153="Férié",F153&lt;&gt;"Férié"),(AND(F153="Férié",D153&lt;&gt;"Férié"))),0.166666666666667,""))</f>
        <v/>
      </c>
      <c r="AF153" s="18"/>
      <c r="AG153" s="18"/>
    </row>
    <row r="154" customFormat="false" ht="15" hidden="false" customHeight="false" outlineLevel="0" collapsed="false">
      <c r="A154" s="6" t="str">
        <f aca="false">YEAR(Q154-WEEKDAY(Q154,2)+4)&amp;"-S"&amp;TEXT(WEEKNUM(Q154,21),"00")</f>
        <v>2026-S01</v>
      </c>
      <c r="B154" s="18" t="s">
        <v>69</v>
      </c>
      <c r="C154" s="19" t="n">
        <v>0.332638888888889</v>
      </c>
      <c r="D154" s="19" t="n">
        <v>0.333333333333333</v>
      </c>
      <c r="E154" s="19" t="n">
        <v>0.75</v>
      </c>
      <c r="F154" s="19" t="n">
        <v>0.75</v>
      </c>
      <c r="G154" s="20"/>
      <c r="H154" s="20"/>
      <c r="I154" s="8" t="str">
        <f aca="false">IF(IF(OR(C154="",D154="Congé",D154="OFF",D154="Congé spécial"),"",IF(D154&gt;F154,D154-C154,IF(C154-D154&lt;0,0,C154-D154)))&lt;0.00068287037037037,"",IF(OR(D154="Congé",D154="OFF",C154="",D154="Congé spécial"),"",IF(D154&gt;F154,D154-C154,IF(C154-D154&lt;0,0,C154-D154))))</f>
        <v/>
      </c>
      <c r="J154" s="20"/>
      <c r="K154" s="8" t="n">
        <f aca="false">IF(SUM(H154:J154)&lt;0.00068287037037037,0,SUM(H154:J154))</f>
        <v>0</v>
      </c>
      <c r="L154" s="8" t="n">
        <f aca="false">IF(OR(F154="Congé",F154="OFF",M154="Abs",F154="Congé sans solde",F154="Férié",F154="Congé spécial",D154="Congé spécial"),0,IF(F154-E154&lt;0,0,IF(F154-E154&lt;=0.00068287037037037,0,F154-E154)))</f>
        <v>0</v>
      </c>
      <c r="M154" s="6" t="n">
        <f aca="false">IF(AND(O154&lt;&gt;0,C154=""),"Abs",0)</f>
        <v>0</v>
      </c>
      <c r="N154" s="8" t="n">
        <f aca="false">IFERROR(IF(OR(D154="OFF",D154="Congé",M154="Abs",D154="Congé sans solde",D154="Férié"),"",IF(O154-K154-L154&gt;O154,O154,IF(O154-K154-L154&lt;0,"",O154-K154-L154))),"")</f>
        <v>0.375</v>
      </c>
      <c r="O154" s="8" t="n">
        <f aca="false">IF(AG154="2H Pause déjeuner",IF(F154-D154-0.0833333333333333&lt;0,F154-D154-0.0833333333333333+1,F154-D154-0.0833333333333333),IF(OR(AND(F154="OFF",D154="OFF"),AND(F154="Congé",D154="Congé"),AND(F154="Congé sans solde",D154="Congé sans solde"),AND(F154="Congé spécial",D154="Congé spécial"),AND(F154="Férié",D154="Férié"),AND(F154="OFF",D154="Congé"),AND(F154="OFF",D154="Congé sans solde"),AND(F154="OFF",D154="Congé spécial"),AND(F154="OFF",D154="Férié"),AND(F154="Congé",D154="OFF"),AND(F154="Congé",D154="Congé sans solde"),AND(F154="Congé",D154="Congé spécial"),AND(F154="Congé",D154="Férié"),AND(F154="Congé sans solde",D154="OFF"),AND(F154="Congé sans solde",D154="Congé"),AND(F154="Congé sans solde",D154="Congé spécial"),AND(F154="Congé sans solde",D154="Férié"),AND(F154="Congé spécial",D154="OFF"),AND(F154="Congé spécial",D154="Congé"),AND(F154="Congé spécial",D154="Congé sans solde"),AND(F154="Congé spécial",D154="Férié"),AND(F154="Férié",D154="OFF"),AND(F154="Férié",D154="Congé"),AND(F154="Férié",D154="Congé sans solde"),AND(F154="Férié",D154="Congé spécial")),0,IF(OR(F154="OFF",F154="Congé",F154="Congé spécial",F154="Congé sans solde",D154="OFF",D154="Congé",D154="Congé spécial",D154="Congé sans solde"),0.208333333333334,IF(AND(AG154="",F154-D154&lt;0),("24:00:00"-D154)+("00:00:00"+F154)-0.0416666666666667,IF(AND(OR(AG154="Allaitement",AG154="Sans déjeuner"),F154-D154&lt;0),("24:00:00"-D154)+("00:00:00"+F154),IF(AND(AG154="",F154-D154&gt;0.166666666666667),F154-D154-0.0416666666666667,IF(AND(OR(AG154="Allaitement",AG154="Sans déjeuner"),F154-D154&gt;0.166666666666667),F154-D154,F154-D154)))))))</f>
        <v>0.375</v>
      </c>
      <c r="P154" s="6" t="str">
        <f aca="false">IFERROR(VLOOKUP($B154,Agents!$A:$D,2,0),"-")</f>
        <v>Accessibilité</v>
      </c>
      <c r="Q154" s="21" t="n">
        <v>46020</v>
      </c>
      <c r="R154" s="8" t="n">
        <f aca="false">IF(M154="Abs",O154,0)</f>
        <v>0</v>
      </c>
      <c r="S154" s="8" t="n">
        <f aca="false">SUM(R154,L154,I154,J154,W154,H154)</f>
        <v>0</v>
      </c>
      <c r="T154" s="6" t="str">
        <f aca="false">"Sem - "&amp;WEEKNUM(Q154,21)</f>
        <v>Sem - 1</v>
      </c>
      <c r="U154" s="6" t="str">
        <f aca="false">CHOOSE(MONTH(Q154),"Janvier","Février","Mars","Avril","Mai","Juin","Juillet","Août","Septembre","Octobre","Novembre","Décembre")</f>
        <v>Décembre</v>
      </c>
      <c r="V154" s="22" t="n">
        <f aca="false">YEAR(Q154)</f>
        <v>2025</v>
      </c>
      <c r="W154" s="20"/>
      <c r="X154" s="8" t="n">
        <f aca="false">IFERROR(IF(M154="Abs",0,IF(ROUND((D154-C154+E154-F154)*1440,0)&lt;=1,0,D154-C154+E154-F154)),0)</f>
        <v>0</v>
      </c>
      <c r="Y154" s="6" t="str">
        <f aca="false">IFERROR(VLOOKUP($B154,Agents!$A:$D,3,0),"-")</f>
        <v>OUBRAHIM Mohammed</v>
      </c>
      <c r="Z154" s="6" t="str">
        <f aca="false">IFERROR(VLOOKUP($B154,Agents!$A:$D,4,0),"-")</f>
        <v>Credit Mutuel</v>
      </c>
      <c r="AA154" s="18" t="s">
        <v>80</v>
      </c>
      <c r="AB154" s="8" t="str">
        <f aca="false">IF(AND(D154="Congé",F154="Congé"),0.333333333333333,IF(OR(AND(D154="Congé",F154&lt;&gt;"Congé"),(AND(F154="Congé",D154&lt;&gt;"Congé"))),0.166666666666667,""))</f>
        <v/>
      </c>
      <c r="AC154" s="8" t="str">
        <f aca="false">IF(AND(D154="Congé sans solde",F154="Congé sans solde"),0.333333333333333,IF(OR(AND(D154="Congé sans solde",F154&lt;&gt;"Congé sans solde"),(AND(F154="Congé sans solde",D154&lt;&gt;"Congé sans solde"))),0.166666666666667,""))</f>
        <v/>
      </c>
      <c r="AD154" s="8" t="str">
        <f aca="false">IF(AND(D154="Congé spécial",F154="Congé spécial"),0.333333333333333,IF(OR(AND(D154="Congé spécial",F154&lt;&gt;"Congé spécial"),AND(F154="Congé spécial",D154&lt;&gt;"Congé spécial")),0.166666666666667,""))</f>
        <v/>
      </c>
      <c r="AE154" s="8" t="str">
        <f aca="false">IF(AND(D154="Férié",F154="Férié"),0.333333333333333,IF(OR(AND(D154="Férié",F154&lt;&gt;"Férié"),(AND(F154="Férié",D154&lt;&gt;"Férié"))),0.166666666666667,""))</f>
        <v/>
      </c>
      <c r="AF154" s="18"/>
      <c r="AG154" s="18"/>
    </row>
    <row r="155" customFormat="false" ht="15" hidden="false" customHeight="false" outlineLevel="0" collapsed="false">
      <c r="A155" s="6" t="str">
        <f aca="false">YEAR(Q155-WEEKDAY(Q155,2)+4)&amp;"-S"&amp;TEXT(WEEKNUM(Q155,21),"00")</f>
        <v>2026-S01</v>
      </c>
      <c r="B155" s="18" t="s">
        <v>71</v>
      </c>
      <c r="C155" s="19" t="n">
        <v>0.332638888888889</v>
      </c>
      <c r="D155" s="19" t="n">
        <v>0.333333333333333</v>
      </c>
      <c r="E155" s="19" t="n">
        <v>0.75</v>
      </c>
      <c r="F155" s="19" t="n">
        <v>0.75</v>
      </c>
      <c r="G155" s="20"/>
      <c r="H155" s="20"/>
      <c r="I155" s="8" t="str">
        <f aca="false">IF(IF(OR(C155="",D155="Congé",D155="OFF",D155="Congé spécial"),"",IF(D155&gt;F155,D155-C155,IF(C155-D155&lt;0,0,C155-D155)))&lt;0.00068287037037037,"",IF(OR(D155="Congé",D155="OFF",C155="",D155="Congé spécial"),"",IF(D155&gt;F155,D155-C155,IF(C155-D155&lt;0,0,C155-D155))))</f>
        <v/>
      </c>
      <c r="J155" s="20"/>
      <c r="K155" s="8" t="n">
        <f aca="false">IF(SUM(H155:J155)&lt;0.00068287037037037,0,SUM(H155:J155))</f>
        <v>0</v>
      </c>
      <c r="L155" s="8" t="n">
        <f aca="false">IF(OR(F155="Congé",F155="OFF",M155="Abs",F155="Congé sans solde",F155="Férié",F155="Congé spécial",D155="Congé spécial"),0,IF(F155-E155&lt;0,0,IF(F155-E155&lt;=0.00068287037037037,0,F155-E155)))</f>
        <v>0</v>
      </c>
      <c r="M155" s="6" t="n">
        <f aca="false">IF(AND(O155&lt;&gt;0,C155=""),"Abs",0)</f>
        <v>0</v>
      </c>
      <c r="N155" s="8" t="n">
        <f aca="false">IFERROR(IF(OR(D155="OFF",D155="Congé",M155="Abs",D155="Congé sans solde",D155="Férié"),"",IF(O155-K155-L155&gt;O155,O155,IF(O155-K155-L155&lt;0,"",O155-K155-L155))),"")</f>
        <v>0.375</v>
      </c>
      <c r="O155" s="8" t="n">
        <f aca="false">IF(AG155="2H Pause déjeuner",IF(F155-D155-0.0833333333333333&lt;0,F155-D155-0.0833333333333333+1,F155-D155-0.0833333333333333),IF(OR(AND(F155="OFF",D155="OFF"),AND(F155="Congé",D155="Congé"),AND(F155="Congé sans solde",D155="Congé sans solde"),AND(F155="Congé spécial",D155="Congé spécial"),AND(F155="Férié",D155="Férié"),AND(F155="OFF",D155="Congé"),AND(F155="OFF",D155="Congé sans solde"),AND(F155="OFF",D155="Congé spécial"),AND(F155="OFF",D155="Férié"),AND(F155="Congé",D155="OFF"),AND(F155="Congé",D155="Congé sans solde"),AND(F155="Congé",D155="Congé spécial"),AND(F155="Congé",D155="Férié"),AND(F155="Congé sans solde",D155="OFF"),AND(F155="Congé sans solde",D155="Congé"),AND(F155="Congé sans solde",D155="Congé spécial"),AND(F155="Congé sans solde",D155="Férié"),AND(F155="Congé spécial",D155="OFF"),AND(F155="Congé spécial",D155="Congé"),AND(F155="Congé spécial",D155="Congé sans solde"),AND(F155="Congé spécial",D155="Férié"),AND(F155="Férié",D155="OFF"),AND(F155="Férié",D155="Congé"),AND(F155="Férié",D155="Congé sans solde"),AND(F155="Férié",D155="Congé spécial")),0,IF(OR(F155="OFF",F155="Congé",F155="Congé spécial",F155="Congé sans solde",D155="OFF",D155="Congé",D155="Congé spécial",D155="Congé sans solde"),0.208333333333334,IF(AND(AG155="",F155-D155&lt;0),("24:00:00"-D155)+("00:00:00"+F155)-0.0416666666666667,IF(AND(OR(AG155="Allaitement",AG155="Sans déjeuner"),F155-D155&lt;0),("24:00:00"-D155)+("00:00:00"+F155),IF(AND(AG155="",F155-D155&gt;0.166666666666667),F155-D155-0.0416666666666667,IF(AND(OR(AG155="Allaitement",AG155="Sans déjeuner"),F155-D155&gt;0.166666666666667),F155-D155,F155-D155)))))))</f>
        <v>0.375</v>
      </c>
      <c r="P155" s="6" t="str">
        <f aca="false">IFERROR(VLOOKUP($B155,Agents!$A:$D,2,0),"-")</f>
        <v>Accessibilité</v>
      </c>
      <c r="Q155" s="21" t="n">
        <v>46020</v>
      </c>
      <c r="R155" s="8" t="n">
        <f aca="false">IF(M155="Abs",O155,0)</f>
        <v>0</v>
      </c>
      <c r="S155" s="8" t="n">
        <f aca="false">SUM(R155,L155,I155,J155,W155,H155)</f>
        <v>0</v>
      </c>
      <c r="T155" s="6" t="str">
        <f aca="false">"Sem - "&amp;WEEKNUM(Q155,21)</f>
        <v>Sem - 1</v>
      </c>
      <c r="U155" s="6" t="str">
        <f aca="false">CHOOSE(MONTH(Q155),"Janvier","Février","Mars","Avril","Mai","Juin","Juillet","Août","Septembre","Octobre","Novembre","Décembre")</f>
        <v>Décembre</v>
      </c>
      <c r="V155" s="22" t="n">
        <f aca="false">YEAR(Q155)</f>
        <v>2025</v>
      </c>
      <c r="W155" s="20"/>
      <c r="X155" s="8" t="n">
        <f aca="false">IFERROR(IF(M155="Abs",0,IF(ROUND((D155-C155+E155-F155)*1440,0)&lt;=1,0,D155-C155+E155-F155)),0)</f>
        <v>0</v>
      </c>
      <c r="Y155" s="6" t="str">
        <f aca="false">IFERROR(VLOOKUP($B155,Agents!$A:$D,3,0),"-")</f>
        <v>OUBRAHIM Mohammed</v>
      </c>
      <c r="Z155" s="6" t="str">
        <f aca="false">IFERROR(VLOOKUP($B155,Agents!$A:$D,4,0),"-")</f>
        <v>Credit Mutuel</v>
      </c>
      <c r="AA155" s="18" t="s">
        <v>80</v>
      </c>
      <c r="AB155" s="8" t="str">
        <f aca="false">IF(AND(D155="Congé",F155="Congé"),0.333333333333333,IF(OR(AND(D155="Congé",F155&lt;&gt;"Congé"),(AND(F155="Congé",D155&lt;&gt;"Congé"))),0.166666666666667,""))</f>
        <v/>
      </c>
      <c r="AC155" s="8" t="str">
        <f aca="false">IF(AND(D155="Congé sans solde",F155="Congé sans solde"),0.333333333333333,IF(OR(AND(D155="Congé sans solde",F155&lt;&gt;"Congé sans solde"),(AND(F155="Congé sans solde",D155&lt;&gt;"Congé sans solde"))),0.166666666666667,""))</f>
        <v/>
      </c>
      <c r="AD155" s="8" t="str">
        <f aca="false">IF(AND(D155="Congé spécial",F155="Congé spécial"),0.333333333333333,IF(OR(AND(D155="Congé spécial",F155&lt;&gt;"Congé spécial"),AND(F155="Congé spécial",D155&lt;&gt;"Congé spécial")),0.166666666666667,""))</f>
        <v/>
      </c>
      <c r="AE155" s="8" t="str">
        <f aca="false">IF(AND(D155="Férié",F155="Férié"),0.333333333333333,IF(OR(AND(D155="Férié",F155&lt;&gt;"Férié"),(AND(F155="Férié",D155&lt;&gt;"Férié"))),0.166666666666667,""))</f>
        <v/>
      </c>
      <c r="AF155" s="18"/>
      <c r="AG155" s="18"/>
    </row>
    <row r="156" customFormat="false" ht="15" hidden="false" customHeight="false" outlineLevel="0" collapsed="false">
      <c r="A156" s="6" t="str">
        <f aca="false">YEAR(Q156-WEEKDAY(Q156,2)+4)&amp;"-S"&amp;TEXT(WEEKNUM(Q156,21),"00")</f>
        <v>2026-S01</v>
      </c>
      <c r="B156" s="18" t="s">
        <v>72</v>
      </c>
      <c r="C156" s="19" t="n">
        <v>0.333333333333333</v>
      </c>
      <c r="D156" s="19" t="n">
        <v>0.333333333333333</v>
      </c>
      <c r="E156" s="19" t="n">
        <v>0.75</v>
      </c>
      <c r="F156" s="19" t="n">
        <v>0.75</v>
      </c>
      <c r="G156" s="20"/>
      <c r="H156" s="20"/>
      <c r="I156" s="8" t="str">
        <f aca="false">IF(IF(OR(C156="",D156="Congé",D156="OFF",D156="Congé spécial"),"",IF(D156&gt;F156,D156-C156,IF(C156-D156&lt;0,0,C156-D156)))&lt;0.00068287037037037,"",IF(OR(D156="Congé",D156="OFF",C156="",D156="Congé spécial"),"",IF(D156&gt;F156,D156-C156,IF(C156-D156&lt;0,0,C156-D156))))</f>
        <v/>
      </c>
      <c r="J156" s="20"/>
      <c r="K156" s="8" t="n">
        <f aca="false">IF(SUM(H156:J156)&lt;0.00068287037037037,0,SUM(H156:J156))</f>
        <v>0</v>
      </c>
      <c r="L156" s="8" t="n">
        <f aca="false">IF(OR(F156="Congé",F156="OFF",M156="Abs",F156="Congé sans solde",F156="Férié",F156="Congé spécial",D156="Congé spécial"),0,IF(F156-E156&lt;0,0,IF(F156-E156&lt;=0.00068287037037037,0,F156-E156)))</f>
        <v>0</v>
      </c>
      <c r="M156" s="6" t="n">
        <f aca="false">IF(AND(O156&lt;&gt;0,C156=""),"Abs",0)</f>
        <v>0</v>
      </c>
      <c r="N156" s="8" t="n">
        <f aca="false">IFERROR(IF(OR(D156="OFF",D156="Congé",M156="Abs",D156="Congé sans solde",D156="Férié"),"",IF(O156-K156-L156&gt;O156,O156,IF(O156-K156-L156&lt;0,"",O156-K156-L156))),"")</f>
        <v>0.375</v>
      </c>
      <c r="O156" s="8" t="n">
        <f aca="false">IF(AG156="2H Pause déjeuner",IF(F156-D156-0.0833333333333333&lt;0,F156-D156-0.0833333333333333+1,F156-D156-0.0833333333333333),IF(OR(AND(F156="OFF",D156="OFF"),AND(F156="Congé",D156="Congé"),AND(F156="Congé sans solde",D156="Congé sans solde"),AND(F156="Congé spécial",D156="Congé spécial"),AND(F156="Férié",D156="Férié"),AND(F156="OFF",D156="Congé"),AND(F156="OFF",D156="Congé sans solde"),AND(F156="OFF",D156="Congé spécial"),AND(F156="OFF",D156="Férié"),AND(F156="Congé",D156="OFF"),AND(F156="Congé",D156="Congé sans solde"),AND(F156="Congé",D156="Congé spécial"),AND(F156="Congé",D156="Férié"),AND(F156="Congé sans solde",D156="OFF"),AND(F156="Congé sans solde",D156="Congé"),AND(F156="Congé sans solde",D156="Congé spécial"),AND(F156="Congé sans solde",D156="Férié"),AND(F156="Congé spécial",D156="OFF"),AND(F156="Congé spécial",D156="Congé"),AND(F156="Congé spécial",D156="Congé sans solde"),AND(F156="Congé spécial",D156="Férié"),AND(F156="Férié",D156="OFF"),AND(F156="Férié",D156="Congé"),AND(F156="Férié",D156="Congé sans solde"),AND(F156="Férié",D156="Congé spécial")),0,IF(OR(F156="OFF",F156="Congé",F156="Congé spécial",F156="Congé sans solde",D156="OFF",D156="Congé",D156="Congé spécial",D156="Congé sans solde"),0.208333333333334,IF(AND(AG156="",F156-D156&lt;0),("24:00:00"-D156)+("00:00:00"+F156)-0.0416666666666667,IF(AND(OR(AG156="Allaitement",AG156="Sans déjeuner"),F156-D156&lt;0),("24:00:00"-D156)+("00:00:00"+F156),IF(AND(AG156="",F156-D156&gt;0.166666666666667),F156-D156-0.0416666666666667,IF(AND(OR(AG156="Allaitement",AG156="Sans déjeuner"),F156-D156&gt;0.166666666666667),F156-D156,F156-D156)))))))</f>
        <v>0.375</v>
      </c>
      <c r="P156" s="6" t="str">
        <f aca="false">IFERROR(VLOOKUP($B156,Agents!$A:$D,2,0),"-")</f>
        <v>Accessibilité</v>
      </c>
      <c r="Q156" s="21" t="n">
        <v>46020</v>
      </c>
      <c r="R156" s="8" t="n">
        <f aca="false">IF(M156="Abs",O156,0)</f>
        <v>0</v>
      </c>
      <c r="S156" s="8" t="n">
        <f aca="false">SUM(R156,L156,I156,J156,W156,H156)</f>
        <v>0</v>
      </c>
      <c r="T156" s="6" t="str">
        <f aca="false">"Sem - "&amp;WEEKNUM(Q156,21)</f>
        <v>Sem - 1</v>
      </c>
      <c r="U156" s="6" t="str">
        <f aca="false">CHOOSE(MONTH(Q156),"Janvier","Février","Mars","Avril","Mai","Juin","Juillet","Août","Septembre","Octobre","Novembre","Décembre")</f>
        <v>Décembre</v>
      </c>
      <c r="V156" s="22" t="n">
        <f aca="false">YEAR(Q156)</f>
        <v>2025</v>
      </c>
      <c r="W156" s="20"/>
      <c r="X156" s="8" t="n">
        <f aca="false">IFERROR(IF(M156="Abs",0,IF(ROUND((D156-C156+E156-F156)*1440,0)&lt;=1,0,D156-C156+E156-F156)),0)</f>
        <v>0</v>
      </c>
      <c r="Y156" s="6" t="str">
        <f aca="false">IFERROR(VLOOKUP($B156,Agents!$A:$D,3,0),"-")</f>
        <v>OUBRAHIM Mohammed</v>
      </c>
      <c r="Z156" s="6" t="str">
        <f aca="false">IFERROR(VLOOKUP($B156,Agents!$A:$D,4,0),"-")</f>
        <v>Credit Mutuel</v>
      </c>
      <c r="AA156" s="18" t="s">
        <v>80</v>
      </c>
      <c r="AB156" s="8" t="str">
        <f aca="false">IF(AND(D156="Congé",F156="Congé"),0.333333333333333,IF(OR(AND(D156="Congé",F156&lt;&gt;"Congé"),(AND(F156="Congé",D156&lt;&gt;"Congé"))),0.166666666666667,""))</f>
        <v/>
      </c>
      <c r="AC156" s="8" t="str">
        <f aca="false">IF(AND(D156="Congé sans solde",F156="Congé sans solde"),0.333333333333333,IF(OR(AND(D156="Congé sans solde",F156&lt;&gt;"Congé sans solde"),(AND(F156="Congé sans solde",D156&lt;&gt;"Congé sans solde"))),0.166666666666667,""))</f>
        <v/>
      </c>
      <c r="AD156" s="8" t="str">
        <f aca="false">IF(AND(D156="Congé spécial",F156="Congé spécial"),0.333333333333333,IF(OR(AND(D156="Congé spécial",F156&lt;&gt;"Congé spécial"),AND(F156="Congé spécial",D156&lt;&gt;"Congé spécial")),0.166666666666667,""))</f>
        <v/>
      </c>
      <c r="AE156" s="8" t="str">
        <f aca="false">IF(AND(D156="Férié",F156="Férié"),0.333333333333333,IF(OR(AND(D156="Férié",F156&lt;&gt;"Férié"),(AND(F156="Férié",D156&lt;&gt;"Férié"))),0.166666666666667,""))</f>
        <v/>
      </c>
      <c r="AF156" s="18"/>
      <c r="AG156" s="18"/>
    </row>
    <row r="157" customFormat="false" ht="15" hidden="false" customHeight="false" outlineLevel="0" collapsed="false">
      <c r="A157" s="6" t="str">
        <f aca="false">YEAR(Q157-WEEKDAY(Q157,2)+4)&amp;"-S"&amp;TEXT(WEEKNUM(Q157,21),"00")</f>
        <v>2026-S01</v>
      </c>
      <c r="B157" s="18" t="s">
        <v>73</v>
      </c>
      <c r="C157" s="19" t="n">
        <v>0.333333333333333</v>
      </c>
      <c r="D157" s="19" t="n">
        <v>0.333333333333333</v>
      </c>
      <c r="E157" s="19" t="n">
        <v>0.75</v>
      </c>
      <c r="F157" s="19" t="n">
        <v>0.75</v>
      </c>
      <c r="G157" s="20"/>
      <c r="H157" s="20"/>
      <c r="I157" s="8" t="str">
        <f aca="false">IF(IF(OR(C157="",D157="Congé",D157="OFF",D157="Congé spécial"),"",IF(D157&gt;F157,D157-C157,IF(C157-D157&lt;0,0,C157-D157)))&lt;0.00068287037037037,"",IF(OR(D157="Congé",D157="OFF",C157="",D157="Congé spécial"),"",IF(D157&gt;F157,D157-C157,IF(C157-D157&lt;0,0,C157-D157))))</f>
        <v/>
      </c>
      <c r="J157" s="20"/>
      <c r="K157" s="8" t="n">
        <f aca="false">IF(SUM(H157:J157)&lt;0.00068287037037037,0,SUM(H157:J157))</f>
        <v>0</v>
      </c>
      <c r="L157" s="8" t="n">
        <f aca="false">IF(OR(F157="Congé",F157="OFF",M157="Abs",F157="Congé sans solde",F157="Férié",F157="Congé spécial",D157="Congé spécial"),0,IF(F157-E157&lt;0,0,IF(F157-E157&lt;=0.00068287037037037,0,F157-E157)))</f>
        <v>0</v>
      </c>
      <c r="M157" s="6" t="n">
        <f aca="false">IF(AND(O157&lt;&gt;0,C157=""),"Abs",0)</f>
        <v>0</v>
      </c>
      <c r="N157" s="8" t="n">
        <f aca="false">IFERROR(IF(OR(D157="OFF",D157="Congé",M157="Abs",D157="Congé sans solde",D157="Férié"),"",IF(O157-K157-L157&gt;O157,O157,IF(O157-K157-L157&lt;0,"",O157-K157-L157))),"")</f>
        <v>0.375</v>
      </c>
      <c r="O157" s="8" t="n">
        <f aca="false">IF(AG157="2H Pause déjeuner",IF(F157-D157-0.0833333333333333&lt;0,F157-D157-0.0833333333333333+1,F157-D157-0.0833333333333333),IF(OR(AND(F157="OFF",D157="OFF"),AND(F157="Congé",D157="Congé"),AND(F157="Congé sans solde",D157="Congé sans solde"),AND(F157="Congé spécial",D157="Congé spécial"),AND(F157="Férié",D157="Férié"),AND(F157="OFF",D157="Congé"),AND(F157="OFF",D157="Congé sans solde"),AND(F157="OFF",D157="Congé spécial"),AND(F157="OFF",D157="Férié"),AND(F157="Congé",D157="OFF"),AND(F157="Congé",D157="Congé sans solde"),AND(F157="Congé",D157="Congé spécial"),AND(F157="Congé",D157="Férié"),AND(F157="Congé sans solde",D157="OFF"),AND(F157="Congé sans solde",D157="Congé"),AND(F157="Congé sans solde",D157="Congé spécial"),AND(F157="Congé sans solde",D157="Férié"),AND(F157="Congé spécial",D157="OFF"),AND(F157="Congé spécial",D157="Congé"),AND(F157="Congé spécial",D157="Congé sans solde"),AND(F157="Congé spécial",D157="Férié"),AND(F157="Férié",D157="OFF"),AND(F157="Férié",D157="Congé"),AND(F157="Férié",D157="Congé sans solde"),AND(F157="Férié",D157="Congé spécial")),0,IF(OR(F157="OFF",F157="Congé",F157="Congé spécial",F157="Congé sans solde",D157="OFF",D157="Congé",D157="Congé spécial",D157="Congé sans solde"),0.208333333333334,IF(AND(AG157="",F157-D157&lt;0),("24:00:00"-D157)+("00:00:00"+F157)-0.0416666666666667,IF(AND(OR(AG157="Allaitement",AG157="Sans déjeuner"),F157-D157&lt;0),("24:00:00"-D157)+("00:00:00"+F157),IF(AND(AG157="",F157-D157&gt;0.166666666666667),F157-D157-0.0416666666666667,IF(AND(OR(AG157="Allaitement",AG157="Sans déjeuner"),F157-D157&gt;0.166666666666667),F157-D157,F157-D157)))))))</f>
        <v>0.375</v>
      </c>
      <c r="P157" s="6" t="str">
        <f aca="false">IFERROR(VLOOKUP($B157,Agents!$A:$D,2,0),"-")</f>
        <v>Accessibilité</v>
      </c>
      <c r="Q157" s="21" t="n">
        <v>46020</v>
      </c>
      <c r="R157" s="8" t="n">
        <f aca="false">IF(M157="Abs",O157,0)</f>
        <v>0</v>
      </c>
      <c r="S157" s="8" t="n">
        <f aca="false">SUM(R157,L157,I157,J157,W157,H157)</f>
        <v>0</v>
      </c>
      <c r="T157" s="6" t="str">
        <f aca="false">"Sem - "&amp;WEEKNUM(Q157,21)</f>
        <v>Sem - 1</v>
      </c>
      <c r="U157" s="6" t="str">
        <f aca="false">CHOOSE(MONTH(Q157),"Janvier","Février","Mars","Avril","Mai","Juin","Juillet","Août","Septembre","Octobre","Novembre","Décembre")</f>
        <v>Décembre</v>
      </c>
      <c r="V157" s="22" t="n">
        <f aca="false">YEAR(Q157)</f>
        <v>2025</v>
      </c>
      <c r="W157" s="20"/>
      <c r="X157" s="8" t="n">
        <f aca="false">IFERROR(IF(M157="Abs",0,IF(ROUND((D157-C157+E157-F157)*1440,0)&lt;=1,0,D157-C157+E157-F157)),0)</f>
        <v>0</v>
      </c>
      <c r="Y157" s="6" t="str">
        <f aca="false">IFERROR(VLOOKUP($B157,Agents!$A:$D,3,0),"-")</f>
        <v>OUBRAHIM Mohammed</v>
      </c>
      <c r="Z157" s="6" t="str">
        <f aca="false">IFERROR(VLOOKUP($B157,Agents!$A:$D,4,0),"-")</f>
        <v>Credit Mutuel</v>
      </c>
      <c r="AA157" s="18" t="s">
        <v>80</v>
      </c>
      <c r="AB157" s="8" t="str">
        <f aca="false">IF(AND(D157="Congé",F157="Congé"),0.333333333333333,IF(OR(AND(D157="Congé",F157&lt;&gt;"Congé"),(AND(F157="Congé",D157&lt;&gt;"Congé"))),0.166666666666667,""))</f>
        <v/>
      </c>
      <c r="AC157" s="8" t="str">
        <f aca="false">IF(AND(D157="Congé sans solde",F157="Congé sans solde"),0.333333333333333,IF(OR(AND(D157="Congé sans solde",F157&lt;&gt;"Congé sans solde"),(AND(F157="Congé sans solde",D157&lt;&gt;"Congé sans solde"))),0.166666666666667,""))</f>
        <v/>
      </c>
      <c r="AD157" s="8" t="str">
        <f aca="false">IF(AND(D157="Congé spécial",F157="Congé spécial"),0.333333333333333,IF(OR(AND(D157="Congé spécial",F157&lt;&gt;"Congé spécial"),AND(F157="Congé spécial",D157&lt;&gt;"Congé spécial")),0.166666666666667,""))</f>
        <v/>
      </c>
      <c r="AE157" s="8" t="str">
        <f aca="false">IF(AND(D157="Férié",F157="Férié"),0.333333333333333,IF(OR(AND(D157="Férié",F157&lt;&gt;"Férié"),(AND(F157="Férié",D157&lt;&gt;"Férié"))),0.166666666666667,""))</f>
        <v/>
      </c>
      <c r="AF157" s="18"/>
      <c r="AG157" s="18"/>
    </row>
    <row r="158" customFormat="false" ht="15" hidden="false" customHeight="false" outlineLevel="0" collapsed="false">
      <c r="A158" s="6" t="str">
        <f aca="false">YEAR(Q158-WEEKDAY(Q158,2)+4)&amp;"-S"&amp;TEXT(WEEKNUM(Q158,21),"00")</f>
        <v>2026-S01</v>
      </c>
      <c r="B158" s="18" t="s">
        <v>69</v>
      </c>
      <c r="C158" s="19" t="n">
        <v>0.332638888888889</v>
      </c>
      <c r="D158" s="19" t="n">
        <v>0.333333333333333</v>
      </c>
      <c r="E158" s="19" t="n">
        <v>0.75</v>
      </c>
      <c r="F158" s="19" t="n">
        <v>0.75</v>
      </c>
      <c r="G158" s="20"/>
      <c r="H158" s="20"/>
      <c r="I158" s="8" t="str">
        <f aca="false">IF(IF(OR(C158="",D158="Congé",D158="OFF",D158="Congé spécial"),"",IF(D158&gt;F158,D158-C158,IF(C158-D158&lt;0,0,C158-D158)))&lt;0.00068287037037037,"",IF(OR(D158="Congé",D158="OFF",C158="",D158="Congé spécial"),"",IF(D158&gt;F158,D158-C158,IF(C158-D158&lt;0,0,C158-D158))))</f>
        <v/>
      </c>
      <c r="J158" s="20"/>
      <c r="K158" s="8" t="n">
        <f aca="false">IF(SUM(H158:J158)&lt;0.00068287037037037,0,SUM(H158:J158))</f>
        <v>0</v>
      </c>
      <c r="L158" s="8" t="n">
        <f aca="false">IF(OR(F158="Congé",F158="OFF",M158="Abs",F158="Congé sans solde",F158="Férié",F158="Congé spécial",D158="Congé spécial"),0,IF(F158-E158&lt;0,0,IF(F158-E158&lt;=0.00068287037037037,0,F158-E158)))</f>
        <v>0</v>
      </c>
      <c r="M158" s="6" t="n">
        <f aca="false">IF(AND(O158&lt;&gt;0,C158=""),"Abs",0)</f>
        <v>0</v>
      </c>
      <c r="N158" s="8" t="n">
        <f aca="false">IFERROR(IF(OR(D158="OFF",D158="Congé",M158="Abs",D158="Congé sans solde",D158="Férié"),"",IF(O158-K158-L158&gt;O158,O158,IF(O158-K158-L158&lt;0,"",O158-K158-L158))),"")</f>
        <v>0.375</v>
      </c>
      <c r="O158" s="8" t="n">
        <f aca="false">IF(AG158="2H Pause déjeuner",IF(F158-D158-0.0833333333333333&lt;0,F158-D158-0.0833333333333333+1,F158-D158-0.0833333333333333),IF(OR(AND(F158="OFF",D158="OFF"),AND(F158="Congé",D158="Congé"),AND(F158="Congé sans solde",D158="Congé sans solde"),AND(F158="Congé spécial",D158="Congé spécial"),AND(F158="Férié",D158="Férié"),AND(F158="OFF",D158="Congé"),AND(F158="OFF",D158="Congé sans solde"),AND(F158="OFF",D158="Congé spécial"),AND(F158="OFF",D158="Férié"),AND(F158="Congé",D158="OFF"),AND(F158="Congé",D158="Congé sans solde"),AND(F158="Congé",D158="Congé spécial"),AND(F158="Congé",D158="Férié"),AND(F158="Congé sans solde",D158="OFF"),AND(F158="Congé sans solde",D158="Congé"),AND(F158="Congé sans solde",D158="Congé spécial"),AND(F158="Congé sans solde",D158="Férié"),AND(F158="Congé spécial",D158="OFF"),AND(F158="Congé spécial",D158="Congé"),AND(F158="Congé spécial",D158="Congé sans solde"),AND(F158="Congé spécial",D158="Férié"),AND(F158="Férié",D158="OFF"),AND(F158="Férié",D158="Congé"),AND(F158="Férié",D158="Congé sans solde"),AND(F158="Férié",D158="Congé spécial")),0,IF(OR(F158="OFF",F158="Congé",F158="Congé spécial",F158="Congé sans solde",D158="OFF",D158="Congé",D158="Congé spécial",D158="Congé sans solde"),0.208333333333334,IF(AND(AG158="",F158-D158&lt;0),("24:00:00"-D158)+("00:00:00"+F158)-0.0416666666666667,IF(AND(OR(AG158="Allaitement",AG158="Sans déjeuner"),F158-D158&lt;0),("24:00:00"-D158)+("00:00:00"+F158),IF(AND(AG158="",F158-D158&gt;0.166666666666667),F158-D158-0.0416666666666667,IF(AND(OR(AG158="Allaitement",AG158="Sans déjeuner"),F158-D158&gt;0.166666666666667),F158-D158,F158-D158)))))))</f>
        <v>0.375</v>
      </c>
      <c r="P158" s="6" t="str">
        <f aca="false">IFERROR(VLOOKUP($B158,Agents!$A:$D,2,0),"-")</f>
        <v>Accessibilité</v>
      </c>
      <c r="Q158" s="21" t="n">
        <v>46021</v>
      </c>
      <c r="R158" s="8" t="n">
        <f aca="false">IF(M158="Abs",O158,0)</f>
        <v>0</v>
      </c>
      <c r="S158" s="8" t="n">
        <f aca="false">SUM(R158,L158,I158,J158,W158,H158)</f>
        <v>0</v>
      </c>
      <c r="T158" s="6" t="str">
        <f aca="false">"Sem - "&amp;WEEKNUM(Q158,21)</f>
        <v>Sem - 1</v>
      </c>
      <c r="U158" s="6" t="str">
        <f aca="false">CHOOSE(MONTH(Q158),"Janvier","Février","Mars","Avril","Mai","Juin","Juillet","Août","Septembre","Octobre","Novembre","Décembre")</f>
        <v>Décembre</v>
      </c>
      <c r="V158" s="22" t="n">
        <f aca="false">YEAR(Q158)</f>
        <v>2025</v>
      </c>
      <c r="W158" s="20"/>
      <c r="X158" s="8" t="n">
        <f aca="false">IFERROR(IF(M158="Abs",0,IF(ROUND((D158-C158+E158-F158)*1440,0)&lt;=1,0,D158-C158+E158-F158)),0)</f>
        <v>0</v>
      </c>
      <c r="Y158" s="6" t="str">
        <f aca="false">IFERROR(VLOOKUP($B158,Agents!$A:$D,3,0),"-")</f>
        <v>OUBRAHIM Mohammed</v>
      </c>
      <c r="Z158" s="6" t="str">
        <f aca="false">IFERROR(VLOOKUP($B158,Agents!$A:$D,4,0),"-")</f>
        <v>Credit Mutuel</v>
      </c>
      <c r="AA158" s="18" t="s">
        <v>80</v>
      </c>
      <c r="AB158" s="8" t="str">
        <f aca="false">IF(AND(D158="Congé",F158="Congé"),0.333333333333333,IF(OR(AND(D158="Congé",F158&lt;&gt;"Congé"),(AND(F158="Congé",D158&lt;&gt;"Congé"))),0.166666666666667,""))</f>
        <v/>
      </c>
      <c r="AC158" s="8" t="str">
        <f aca="false">IF(AND(D158="Congé sans solde",F158="Congé sans solde"),0.333333333333333,IF(OR(AND(D158="Congé sans solde",F158&lt;&gt;"Congé sans solde"),(AND(F158="Congé sans solde",D158&lt;&gt;"Congé sans solde"))),0.166666666666667,""))</f>
        <v/>
      </c>
      <c r="AD158" s="8" t="str">
        <f aca="false">IF(AND(D158="Congé spécial",F158="Congé spécial"),0.333333333333333,IF(OR(AND(D158="Congé spécial",F158&lt;&gt;"Congé spécial"),AND(F158="Congé spécial",D158&lt;&gt;"Congé spécial")),0.166666666666667,""))</f>
        <v/>
      </c>
      <c r="AE158" s="8" t="str">
        <f aca="false">IF(AND(D158="Férié",F158="Férié"),0.333333333333333,IF(OR(AND(D158="Férié",F158&lt;&gt;"Férié"),(AND(F158="Férié",D158&lt;&gt;"Férié"))),0.166666666666667,""))</f>
        <v/>
      </c>
      <c r="AF158" s="18"/>
      <c r="AG158" s="18"/>
    </row>
    <row r="159" customFormat="false" ht="15" hidden="false" customHeight="false" outlineLevel="0" collapsed="false">
      <c r="A159" s="6" t="str">
        <f aca="false">YEAR(Q159-WEEKDAY(Q159,2)+4)&amp;"-S"&amp;TEXT(WEEKNUM(Q159,21),"00")</f>
        <v>2026-S01</v>
      </c>
      <c r="B159" s="18" t="s">
        <v>71</v>
      </c>
      <c r="C159" s="19" t="n">
        <v>0.332638888888889</v>
      </c>
      <c r="D159" s="19" t="n">
        <v>0.333333333333333</v>
      </c>
      <c r="E159" s="19" t="n">
        <v>0.75</v>
      </c>
      <c r="F159" s="19" t="n">
        <v>0.75</v>
      </c>
      <c r="G159" s="20"/>
      <c r="H159" s="20"/>
      <c r="I159" s="8" t="str">
        <f aca="false">IF(IF(OR(C159="",D159="Congé",D159="OFF",D159="Congé spécial"),"",IF(D159&gt;F159,D159-C159,IF(C159-D159&lt;0,0,C159-D159)))&lt;0.00068287037037037,"",IF(OR(D159="Congé",D159="OFF",C159="",D159="Congé spécial"),"",IF(D159&gt;F159,D159-C159,IF(C159-D159&lt;0,0,C159-D159))))</f>
        <v/>
      </c>
      <c r="J159" s="20"/>
      <c r="K159" s="8" t="n">
        <f aca="false">IF(SUM(H159:J159)&lt;0.00068287037037037,0,SUM(H159:J159))</f>
        <v>0</v>
      </c>
      <c r="L159" s="8" t="n">
        <f aca="false">IF(OR(F159="Congé",F159="OFF",M159="Abs",F159="Congé sans solde",F159="Férié",F159="Congé spécial",D159="Congé spécial"),0,IF(F159-E159&lt;0,0,IF(F159-E159&lt;=0.00068287037037037,0,F159-E159)))</f>
        <v>0</v>
      </c>
      <c r="M159" s="6" t="n">
        <f aca="false">IF(AND(O159&lt;&gt;0,C159=""),"Abs",0)</f>
        <v>0</v>
      </c>
      <c r="N159" s="8" t="n">
        <f aca="false">IFERROR(IF(OR(D159="OFF",D159="Congé",M159="Abs",D159="Congé sans solde",D159="Férié"),"",IF(O159-K159-L159&gt;O159,O159,IF(O159-K159-L159&lt;0,"",O159-K159-L159))),"")</f>
        <v>0.375</v>
      </c>
      <c r="O159" s="8" t="n">
        <f aca="false">IF(AG159="2H Pause déjeuner",IF(F159-D159-0.0833333333333333&lt;0,F159-D159-0.0833333333333333+1,F159-D159-0.0833333333333333),IF(OR(AND(F159="OFF",D159="OFF"),AND(F159="Congé",D159="Congé"),AND(F159="Congé sans solde",D159="Congé sans solde"),AND(F159="Congé spécial",D159="Congé spécial"),AND(F159="Férié",D159="Férié"),AND(F159="OFF",D159="Congé"),AND(F159="OFF",D159="Congé sans solde"),AND(F159="OFF",D159="Congé spécial"),AND(F159="OFF",D159="Férié"),AND(F159="Congé",D159="OFF"),AND(F159="Congé",D159="Congé sans solde"),AND(F159="Congé",D159="Congé spécial"),AND(F159="Congé",D159="Férié"),AND(F159="Congé sans solde",D159="OFF"),AND(F159="Congé sans solde",D159="Congé"),AND(F159="Congé sans solde",D159="Congé spécial"),AND(F159="Congé sans solde",D159="Férié"),AND(F159="Congé spécial",D159="OFF"),AND(F159="Congé spécial",D159="Congé"),AND(F159="Congé spécial",D159="Congé sans solde"),AND(F159="Congé spécial",D159="Férié"),AND(F159="Férié",D159="OFF"),AND(F159="Férié",D159="Congé"),AND(F159="Férié",D159="Congé sans solde"),AND(F159="Férié",D159="Congé spécial")),0,IF(OR(F159="OFF",F159="Congé",F159="Congé spécial",F159="Congé sans solde",D159="OFF",D159="Congé",D159="Congé spécial",D159="Congé sans solde"),0.208333333333334,IF(AND(AG159="",F159-D159&lt;0),("24:00:00"-D159)+("00:00:00"+F159)-0.0416666666666667,IF(AND(OR(AG159="Allaitement",AG159="Sans déjeuner"),F159-D159&lt;0),("24:00:00"-D159)+("00:00:00"+F159),IF(AND(AG159="",F159-D159&gt;0.166666666666667),F159-D159-0.0416666666666667,IF(AND(OR(AG159="Allaitement",AG159="Sans déjeuner"),F159-D159&gt;0.166666666666667),F159-D159,F159-D159)))))))</f>
        <v>0.375</v>
      </c>
      <c r="P159" s="6" t="str">
        <f aca="false">IFERROR(VLOOKUP($B159,Agents!$A:$D,2,0),"-")</f>
        <v>Accessibilité</v>
      </c>
      <c r="Q159" s="21" t="n">
        <v>46021</v>
      </c>
      <c r="R159" s="8" t="n">
        <f aca="false">IF(M159="Abs",O159,0)</f>
        <v>0</v>
      </c>
      <c r="S159" s="8" t="n">
        <f aca="false">SUM(R159,L159,I159,J159,W159,H159)</f>
        <v>0</v>
      </c>
      <c r="T159" s="6" t="str">
        <f aca="false">"Sem - "&amp;WEEKNUM(Q159,21)</f>
        <v>Sem - 1</v>
      </c>
      <c r="U159" s="6" t="str">
        <f aca="false">CHOOSE(MONTH(Q159),"Janvier","Février","Mars","Avril","Mai","Juin","Juillet","Août","Septembre","Octobre","Novembre","Décembre")</f>
        <v>Décembre</v>
      </c>
      <c r="V159" s="22" t="n">
        <f aca="false">YEAR(Q159)</f>
        <v>2025</v>
      </c>
      <c r="W159" s="20"/>
      <c r="X159" s="8" t="n">
        <f aca="false">IFERROR(IF(M159="Abs",0,IF(ROUND((D159-C159+E159-F159)*1440,0)&lt;=1,0,D159-C159+E159-F159)),0)</f>
        <v>0</v>
      </c>
      <c r="Y159" s="6" t="str">
        <f aca="false">IFERROR(VLOOKUP($B159,Agents!$A:$D,3,0),"-")</f>
        <v>OUBRAHIM Mohammed</v>
      </c>
      <c r="Z159" s="6" t="str">
        <f aca="false">IFERROR(VLOOKUP($B159,Agents!$A:$D,4,0),"-")</f>
        <v>Credit Mutuel</v>
      </c>
      <c r="AA159" s="18" t="s">
        <v>80</v>
      </c>
      <c r="AB159" s="8" t="str">
        <f aca="false">IF(AND(D159="Congé",F159="Congé"),0.333333333333333,IF(OR(AND(D159="Congé",F159&lt;&gt;"Congé"),(AND(F159="Congé",D159&lt;&gt;"Congé"))),0.166666666666667,""))</f>
        <v/>
      </c>
      <c r="AC159" s="8" t="str">
        <f aca="false">IF(AND(D159="Congé sans solde",F159="Congé sans solde"),0.333333333333333,IF(OR(AND(D159="Congé sans solde",F159&lt;&gt;"Congé sans solde"),(AND(F159="Congé sans solde",D159&lt;&gt;"Congé sans solde"))),0.166666666666667,""))</f>
        <v/>
      </c>
      <c r="AD159" s="8" t="str">
        <f aca="false">IF(AND(D159="Congé spécial",F159="Congé spécial"),0.333333333333333,IF(OR(AND(D159="Congé spécial",F159&lt;&gt;"Congé spécial"),AND(F159="Congé spécial",D159&lt;&gt;"Congé spécial")),0.166666666666667,""))</f>
        <v/>
      </c>
      <c r="AE159" s="8" t="str">
        <f aca="false">IF(AND(D159="Férié",F159="Férié"),0.333333333333333,IF(OR(AND(D159="Férié",F159&lt;&gt;"Férié"),(AND(F159="Férié",D159&lt;&gt;"Férié"))),0.166666666666667,""))</f>
        <v/>
      </c>
      <c r="AF159" s="18"/>
      <c r="AG159" s="18"/>
    </row>
    <row r="160" customFormat="false" ht="15" hidden="false" customHeight="false" outlineLevel="0" collapsed="false">
      <c r="A160" s="6" t="str">
        <f aca="false">YEAR(Q160-WEEKDAY(Q160,2)+4)&amp;"-S"&amp;TEXT(WEEKNUM(Q160,21),"00")</f>
        <v>2026-S01</v>
      </c>
      <c r="B160" s="18" t="s">
        <v>72</v>
      </c>
      <c r="C160" s="19" t="n">
        <v>0.331944444444444</v>
      </c>
      <c r="D160" s="19" t="n">
        <v>0.333333333333333</v>
      </c>
      <c r="E160" s="19" t="n">
        <v>0.75</v>
      </c>
      <c r="F160" s="19" t="n">
        <v>0.75</v>
      </c>
      <c r="G160" s="20"/>
      <c r="H160" s="20"/>
      <c r="I160" s="8" t="str">
        <f aca="false">IF(IF(OR(C160="",D160="Congé",D160="OFF",D160="Congé spécial"),"",IF(D160&gt;F160,D160-C160,IF(C160-D160&lt;0,0,C160-D160)))&lt;0.00068287037037037,"",IF(OR(D160="Congé",D160="OFF",C160="",D160="Congé spécial"),"",IF(D160&gt;F160,D160-C160,IF(C160-D160&lt;0,0,C160-D160))))</f>
        <v/>
      </c>
      <c r="J160" s="20"/>
      <c r="K160" s="8" t="n">
        <f aca="false">IF(SUM(H160:J160)&lt;0.00068287037037037,0,SUM(H160:J160))</f>
        <v>0</v>
      </c>
      <c r="L160" s="8" t="n">
        <f aca="false">IF(OR(F160="Congé",F160="OFF",M160="Abs",F160="Congé sans solde",F160="Férié",F160="Congé spécial",D160="Congé spécial"),0,IF(F160-E160&lt;0,0,IF(F160-E160&lt;=0.00068287037037037,0,F160-E160)))</f>
        <v>0</v>
      </c>
      <c r="M160" s="6" t="n">
        <f aca="false">IF(AND(O160&lt;&gt;0,C160=""),"Abs",0)</f>
        <v>0</v>
      </c>
      <c r="N160" s="8" t="n">
        <f aca="false">IFERROR(IF(OR(D160="OFF",D160="Congé",M160="Abs",D160="Congé sans solde",D160="Férié"),"",IF(O160-K160-L160&gt;O160,O160,IF(O160-K160-L160&lt;0,"",O160-K160-L160))),"")</f>
        <v>0.375</v>
      </c>
      <c r="O160" s="8" t="n">
        <f aca="false">IF(AG160="2H Pause déjeuner",IF(F160-D160-0.0833333333333333&lt;0,F160-D160-0.0833333333333333+1,F160-D160-0.0833333333333333),IF(OR(AND(F160="OFF",D160="OFF"),AND(F160="Congé",D160="Congé"),AND(F160="Congé sans solde",D160="Congé sans solde"),AND(F160="Congé spécial",D160="Congé spécial"),AND(F160="Férié",D160="Férié"),AND(F160="OFF",D160="Congé"),AND(F160="OFF",D160="Congé sans solde"),AND(F160="OFF",D160="Congé spécial"),AND(F160="OFF",D160="Férié"),AND(F160="Congé",D160="OFF"),AND(F160="Congé",D160="Congé sans solde"),AND(F160="Congé",D160="Congé spécial"),AND(F160="Congé",D160="Férié"),AND(F160="Congé sans solde",D160="OFF"),AND(F160="Congé sans solde",D160="Congé"),AND(F160="Congé sans solde",D160="Congé spécial"),AND(F160="Congé sans solde",D160="Férié"),AND(F160="Congé spécial",D160="OFF"),AND(F160="Congé spécial",D160="Congé"),AND(F160="Congé spécial",D160="Congé sans solde"),AND(F160="Congé spécial",D160="Férié"),AND(F160="Férié",D160="OFF"),AND(F160="Férié",D160="Congé"),AND(F160="Férié",D160="Congé sans solde"),AND(F160="Férié",D160="Congé spécial")),0,IF(OR(F160="OFF",F160="Congé",F160="Congé spécial",F160="Congé sans solde",D160="OFF",D160="Congé",D160="Congé spécial",D160="Congé sans solde"),0.208333333333334,IF(AND(AG160="",F160-D160&lt;0),("24:00:00"-D160)+("00:00:00"+F160)-0.0416666666666667,IF(AND(OR(AG160="Allaitement",AG160="Sans déjeuner"),F160-D160&lt;0),("24:00:00"-D160)+("00:00:00"+F160),IF(AND(AG160="",F160-D160&gt;0.166666666666667),F160-D160-0.0416666666666667,IF(AND(OR(AG160="Allaitement",AG160="Sans déjeuner"),F160-D160&gt;0.166666666666667),F160-D160,F160-D160)))))))</f>
        <v>0.375</v>
      </c>
      <c r="P160" s="6" t="str">
        <f aca="false">IFERROR(VLOOKUP($B160,Agents!$A:$D,2,0),"-")</f>
        <v>Accessibilité</v>
      </c>
      <c r="Q160" s="21" t="n">
        <v>46021</v>
      </c>
      <c r="R160" s="8" t="n">
        <f aca="false">IF(M160="Abs",O160,0)</f>
        <v>0</v>
      </c>
      <c r="S160" s="8" t="n">
        <f aca="false">SUM(R160,L160,I160,J160,W160,H160)</f>
        <v>0</v>
      </c>
      <c r="T160" s="6" t="str">
        <f aca="false">"Sem - "&amp;WEEKNUM(Q160,21)</f>
        <v>Sem - 1</v>
      </c>
      <c r="U160" s="6" t="str">
        <f aca="false">CHOOSE(MONTH(Q160),"Janvier","Février","Mars","Avril","Mai","Juin","Juillet","Août","Septembre","Octobre","Novembre","Décembre")</f>
        <v>Décembre</v>
      </c>
      <c r="V160" s="22" t="n">
        <f aca="false">YEAR(Q160)</f>
        <v>2025</v>
      </c>
      <c r="W160" s="20"/>
      <c r="X160" s="8" t="n">
        <f aca="false">IFERROR(IF(M160="Abs",0,IF(ROUND((D160-C160+E160-F160)*1440,0)&lt;=1,0,D160-C160+E160-F160)),0)</f>
        <v>0.00138888888888889</v>
      </c>
      <c r="Y160" s="6" t="str">
        <f aca="false">IFERROR(VLOOKUP($B160,Agents!$A:$D,3,0),"-")</f>
        <v>OUBRAHIM Mohammed</v>
      </c>
      <c r="Z160" s="6" t="str">
        <f aca="false">IFERROR(VLOOKUP($B160,Agents!$A:$D,4,0),"-")</f>
        <v>Credit Mutuel</v>
      </c>
      <c r="AA160" s="18" t="s">
        <v>80</v>
      </c>
      <c r="AB160" s="8" t="str">
        <f aca="false">IF(AND(D160="Congé",F160="Congé"),0.333333333333333,IF(OR(AND(D160="Congé",F160&lt;&gt;"Congé"),(AND(F160="Congé",D160&lt;&gt;"Congé"))),0.166666666666667,""))</f>
        <v/>
      </c>
      <c r="AC160" s="8" t="str">
        <f aca="false">IF(AND(D160="Congé sans solde",F160="Congé sans solde"),0.333333333333333,IF(OR(AND(D160="Congé sans solde",F160&lt;&gt;"Congé sans solde"),(AND(F160="Congé sans solde",D160&lt;&gt;"Congé sans solde"))),0.166666666666667,""))</f>
        <v/>
      </c>
      <c r="AD160" s="8" t="str">
        <f aca="false">IF(AND(D160="Congé spécial",F160="Congé spécial"),0.333333333333333,IF(OR(AND(D160="Congé spécial",F160&lt;&gt;"Congé spécial"),AND(F160="Congé spécial",D160&lt;&gt;"Congé spécial")),0.166666666666667,""))</f>
        <v/>
      </c>
      <c r="AE160" s="8" t="str">
        <f aca="false">IF(AND(D160="Férié",F160="Férié"),0.333333333333333,IF(OR(AND(D160="Férié",F160&lt;&gt;"Férié"),(AND(F160="Férié",D160&lt;&gt;"Férié"))),0.166666666666667,""))</f>
        <v/>
      </c>
      <c r="AF160" s="18"/>
      <c r="AG160" s="18"/>
    </row>
    <row r="161" customFormat="false" ht="15" hidden="false" customHeight="false" outlineLevel="0" collapsed="false">
      <c r="A161" s="6" t="str">
        <f aca="false">YEAR(Q161-WEEKDAY(Q161,2)+4)&amp;"-S"&amp;TEXT(WEEKNUM(Q161,21),"00")</f>
        <v>2026-S01</v>
      </c>
      <c r="B161" s="18" t="s">
        <v>73</v>
      </c>
      <c r="C161" s="19" t="n">
        <v>0.331944444444444</v>
      </c>
      <c r="D161" s="19" t="n">
        <v>0.333333333333333</v>
      </c>
      <c r="E161" s="19" t="n">
        <v>0.75</v>
      </c>
      <c r="F161" s="19" t="n">
        <v>0.75</v>
      </c>
      <c r="G161" s="20"/>
      <c r="H161" s="20"/>
      <c r="I161" s="8" t="str">
        <f aca="false">IF(IF(OR(C161="",D161="Congé",D161="OFF",D161="Congé spécial"),"",IF(D161&gt;F161,D161-C161,IF(C161-D161&lt;0,0,C161-D161)))&lt;0.00068287037037037,"",IF(OR(D161="Congé",D161="OFF",C161="",D161="Congé spécial"),"",IF(D161&gt;F161,D161-C161,IF(C161-D161&lt;0,0,C161-D161))))</f>
        <v/>
      </c>
      <c r="J161" s="20"/>
      <c r="K161" s="8" t="n">
        <f aca="false">IF(SUM(H161:J161)&lt;0.00068287037037037,0,SUM(H161:J161))</f>
        <v>0</v>
      </c>
      <c r="L161" s="8" t="n">
        <f aca="false">IF(OR(F161="Congé",F161="OFF",M161="Abs",F161="Congé sans solde",F161="Férié",F161="Congé spécial",D161="Congé spécial"),0,IF(F161-E161&lt;0,0,IF(F161-E161&lt;=0.00068287037037037,0,F161-E161)))</f>
        <v>0</v>
      </c>
      <c r="M161" s="6" t="n">
        <f aca="false">IF(AND(O161&lt;&gt;0,C161=""),"Abs",0)</f>
        <v>0</v>
      </c>
      <c r="N161" s="8" t="n">
        <f aca="false">IFERROR(IF(OR(D161="OFF",D161="Congé",M161="Abs",D161="Congé sans solde",D161="Férié"),"",IF(O161-K161-L161&gt;O161,O161,IF(O161-K161-L161&lt;0,"",O161-K161-L161))),"")</f>
        <v>0.375</v>
      </c>
      <c r="O161" s="8" t="n">
        <f aca="false">IF(AG161="2H Pause déjeuner",IF(F161-D161-0.0833333333333333&lt;0,F161-D161-0.0833333333333333+1,F161-D161-0.0833333333333333),IF(OR(AND(F161="OFF",D161="OFF"),AND(F161="Congé",D161="Congé"),AND(F161="Congé sans solde",D161="Congé sans solde"),AND(F161="Congé spécial",D161="Congé spécial"),AND(F161="Férié",D161="Férié"),AND(F161="OFF",D161="Congé"),AND(F161="OFF",D161="Congé sans solde"),AND(F161="OFF",D161="Congé spécial"),AND(F161="OFF",D161="Férié"),AND(F161="Congé",D161="OFF"),AND(F161="Congé",D161="Congé sans solde"),AND(F161="Congé",D161="Congé spécial"),AND(F161="Congé",D161="Férié"),AND(F161="Congé sans solde",D161="OFF"),AND(F161="Congé sans solde",D161="Congé"),AND(F161="Congé sans solde",D161="Congé spécial"),AND(F161="Congé sans solde",D161="Férié"),AND(F161="Congé spécial",D161="OFF"),AND(F161="Congé spécial",D161="Congé"),AND(F161="Congé spécial",D161="Congé sans solde"),AND(F161="Congé spécial",D161="Férié"),AND(F161="Férié",D161="OFF"),AND(F161="Férié",D161="Congé"),AND(F161="Férié",D161="Congé sans solde"),AND(F161="Férié",D161="Congé spécial")),0,IF(OR(F161="OFF",F161="Congé",F161="Congé spécial",F161="Congé sans solde",D161="OFF",D161="Congé",D161="Congé spécial",D161="Congé sans solde"),0.208333333333334,IF(AND(AG161="",F161-D161&lt;0),("24:00:00"-D161)+("00:00:00"+F161)-0.0416666666666667,IF(AND(OR(AG161="Allaitement",AG161="Sans déjeuner"),F161-D161&lt;0),("24:00:00"-D161)+("00:00:00"+F161),IF(AND(AG161="",F161-D161&gt;0.166666666666667),F161-D161-0.0416666666666667,IF(AND(OR(AG161="Allaitement",AG161="Sans déjeuner"),F161-D161&gt;0.166666666666667),F161-D161,F161-D161)))))))</f>
        <v>0.375</v>
      </c>
      <c r="P161" s="6" t="str">
        <f aca="false">IFERROR(VLOOKUP($B161,Agents!$A:$D,2,0),"-")</f>
        <v>Accessibilité</v>
      </c>
      <c r="Q161" s="21" t="n">
        <v>46021</v>
      </c>
      <c r="R161" s="8" t="n">
        <f aca="false">IF(M161="Abs",O161,0)</f>
        <v>0</v>
      </c>
      <c r="S161" s="8" t="n">
        <f aca="false">SUM(R161,L161,I161,J161,W161,H161)</f>
        <v>0</v>
      </c>
      <c r="T161" s="6" t="str">
        <f aca="false">"Sem - "&amp;WEEKNUM(Q161,21)</f>
        <v>Sem - 1</v>
      </c>
      <c r="U161" s="6" t="str">
        <f aca="false">CHOOSE(MONTH(Q161),"Janvier","Février","Mars","Avril","Mai","Juin","Juillet","Août","Septembre","Octobre","Novembre","Décembre")</f>
        <v>Décembre</v>
      </c>
      <c r="V161" s="22" t="n">
        <f aca="false">YEAR(Q161)</f>
        <v>2025</v>
      </c>
      <c r="W161" s="20"/>
      <c r="X161" s="8" t="n">
        <f aca="false">IFERROR(IF(M161="Abs",0,IF(ROUND((D161-C161+E161-F161)*1440,0)&lt;=1,0,D161-C161+E161-F161)),0)</f>
        <v>0.00138888888888889</v>
      </c>
      <c r="Y161" s="6" t="str">
        <f aca="false">IFERROR(VLOOKUP($B161,Agents!$A:$D,3,0),"-")</f>
        <v>OUBRAHIM Mohammed</v>
      </c>
      <c r="Z161" s="6" t="str">
        <f aca="false">IFERROR(VLOOKUP($B161,Agents!$A:$D,4,0),"-")</f>
        <v>Credit Mutuel</v>
      </c>
      <c r="AA161" s="18" t="s">
        <v>80</v>
      </c>
      <c r="AB161" s="8" t="str">
        <f aca="false">IF(AND(D161="Congé",F161="Congé"),0.333333333333333,IF(OR(AND(D161="Congé",F161&lt;&gt;"Congé"),(AND(F161="Congé",D161&lt;&gt;"Congé"))),0.166666666666667,""))</f>
        <v/>
      </c>
      <c r="AC161" s="8" t="str">
        <f aca="false">IF(AND(D161="Congé sans solde",F161="Congé sans solde"),0.333333333333333,IF(OR(AND(D161="Congé sans solde",F161&lt;&gt;"Congé sans solde"),(AND(F161="Congé sans solde",D161&lt;&gt;"Congé sans solde"))),0.166666666666667,""))</f>
        <v/>
      </c>
      <c r="AD161" s="8" t="str">
        <f aca="false">IF(AND(D161="Congé spécial",F161="Congé spécial"),0.333333333333333,IF(OR(AND(D161="Congé spécial",F161&lt;&gt;"Congé spécial"),AND(F161="Congé spécial",D161&lt;&gt;"Congé spécial")),0.166666666666667,""))</f>
        <v/>
      </c>
      <c r="AE161" s="8" t="str">
        <f aca="false">IF(AND(D161="Férié",F161="Férié"),0.333333333333333,IF(OR(AND(D161="Férié",F161&lt;&gt;"Férié"),(AND(F161="Férié",D161&lt;&gt;"Férié"))),0.166666666666667,""))</f>
        <v/>
      </c>
      <c r="AF161" s="18"/>
      <c r="AG161" s="18"/>
    </row>
    <row r="162" customFormat="false" ht="15" hidden="false" customHeight="false" outlineLevel="0" collapsed="false">
      <c r="A162" s="6" t="str">
        <f aca="false">YEAR(Q162-WEEKDAY(Q162,2)+4)&amp;"-S"&amp;TEXT(WEEKNUM(Q162,21),"00")</f>
        <v>2026-S01</v>
      </c>
      <c r="B162" s="18" t="s">
        <v>69</v>
      </c>
      <c r="C162" s="19" t="n">
        <v>0.332638888888889</v>
      </c>
      <c r="D162" s="19" t="n">
        <v>0.333333333333333</v>
      </c>
      <c r="E162" s="19" t="n">
        <v>0.75</v>
      </c>
      <c r="F162" s="19" t="n">
        <v>0.75</v>
      </c>
      <c r="G162" s="20"/>
      <c r="H162" s="20"/>
      <c r="I162" s="8" t="str">
        <f aca="false">IF(IF(OR(C162="",D162="Congé",D162="OFF",D162="Congé spécial"),"",IF(D162&gt;F162,D162-C162,IF(C162-D162&lt;0,0,C162-D162)))&lt;0.00068287037037037,"",IF(OR(D162="Congé",D162="OFF",C162="",D162="Congé spécial"),"",IF(D162&gt;F162,D162-C162,IF(C162-D162&lt;0,0,C162-D162))))</f>
        <v/>
      </c>
      <c r="J162" s="20"/>
      <c r="K162" s="8" t="n">
        <f aca="false">IF(SUM(H162:J162)&lt;0.00068287037037037,0,SUM(H162:J162))</f>
        <v>0</v>
      </c>
      <c r="L162" s="8" t="n">
        <f aca="false">IF(OR(F162="Congé",F162="OFF",M162="Abs",F162="Congé sans solde",F162="Férié",F162="Congé spécial",D162="Congé spécial"),0,IF(F162-E162&lt;0,0,IF(F162-E162&lt;=0.00068287037037037,0,F162-E162)))</f>
        <v>0</v>
      </c>
      <c r="M162" s="6" t="n">
        <f aca="false">IF(AND(O162&lt;&gt;0,C162=""),"Abs",0)</f>
        <v>0</v>
      </c>
      <c r="N162" s="8" t="n">
        <f aca="false">IFERROR(IF(OR(D162="OFF",D162="Congé",M162="Abs",D162="Congé sans solde",D162="Férié"),"",IF(O162-K162-L162&gt;O162,O162,IF(O162-K162-L162&lt;0,"",O162-K162-L162))),"")</f>
        <v>0.375</v>
      </c>
      <c r="O162" s="8" t="n">
        <f aca="false">IF(AG162="2H Pause déjeuner",IF(F162-D162-0.0833333333333333&lt;0,F162-D162-0.0833333333333333+1,F162-D162-0.0833333333333333),IF(OR(AND(F162="OFF",D162="OFF"),AND(F162="Congé",D162="Congé"),AND(F162="Congé sans solde",D162="Congé sans solde"),AND(F162="Congé spécial",D162="Congé spécial"),AND(F162="Férié",D162="Férié"),AND(F162="OFF",D162="Congé"),AND(F162="OFF",D162="Congé sans solde"),AND(F162="OFF",D162="Congé spécial"),AND(F162="OFF",D162="Férié"),AND(F162="Congé",D162="OFF"),AND(F162="Congé",D162="Congé sans solde"),AND(F162="Congé",D162="Congé spécial"),AND(F162="Congé",D162="Férié"),AND(F162="Congé sans solde",D162="OFF"),AND(F162="Congé sans solde",D162="Congé"),AND(F162="Congé sans solde",D162="Congé spécial"),AND(F162="Congé sans solde",D162="Férié"),AND(F162="Congé spécial",D162="OFF"),AND(F162="Congé spécial",D162="Congé"),AND(F162="Congé spécial",D162="Congé sans solde"),AND(F162="Congé spécial",D162="Férié"),AND(F162="Férié",D162="OFF"),AND(F162="Férié",D162="Congé"),AND(F162="Férié",D162="Congé sans solde"),AND(F162="Férié",D162="Congé spécial")),0,IF(OR(F162="OFF",F162="Congé",F162="Congé spécial",F162="Congé sans solde",D162="OFF",D162="Congé",D162="Congé spécial",D162="Congé sans solde"),0.208333333333334,IF(AND(AG162="",F162-D162&lt;0),("24:00:00"-D162)+("00:00:00"+F162)-0.0416666666666667,IF(AND(OR(AG162="Allaitement",AG162="Sans déjeuner"),F162-D162&lt;0),("24:00:00"-D162)+("00:00:00"+F162),IF(AND(AG162="",F162-D162&gt;0.166666666666667),F162-D162-0.0416666666666667,IF(AND(OR(AG162="Allaitement",AG162="Sans déjeuner"),F162-D162&gt;0.166666666666667),F162-D162,F162-D162)))))))</f>
        <v>0.375</v>
      </c>
      <c r="P162" s="6" t="str">
        <f aca="false">IFERROR(VLOOKUP($B162,Agents!$A:$D,2,0),"-")</f>
        <v>Accessibilité</v>
      </c>
      <c r="Q162" s="21" t="n">
        <v>46022</v>
      </c>
      <c r="R162" s="8" t="n">
        <f aca="false">IF(M162="Abs",O162,0)</f>
        <v>0</v>
      </c>
      <c r="S162" s="8" t="n">
        <f aca="false">SUM(R162,L162,I162,J162,W162,H162)</f>
        <v>0</v>
      </c>
      <c r="T162" s="6" t="str">
        <f aca="false">"Sem - "&amp;WEEKNUM(Q162,21)</f>
        <v>Sem - 1</v>
      </c>
      <c r="U162" s="6" t="str">
        <f aca="false">CHOOSE(MONTH(Q162),"Janvier","Février","Mars","Avril","Mai","Juin","Juillet","Août","Septembre","Octobre","Novembre","Décembre")</f>
        <v>Décembre</v>
      </c>
      <c r="V162" s="22" t="n">
        <f aca="false">YEAR(Q162)</f>
        <v>2025</v>
      </c>
      <c r="W162" s="20"/>
      <c r="X162" s="8" t="n">
        <f aca="false">IFERROR(IF(M162="Abs",0,IF(ROUND((D162-C162+E162-F162)*1440,0)&lt;=1,0,D162-C162+E162-F162)),0)</f>
        <v>0</v>
      </c>
      <c r="Y162" s="6" t="str">
        <f aca="false">IFERROR(VLOOKUP($B162,Agents!$A:$D,3,0),"-")</f>
        <v>OUBRAHIM Mohammed</v>
      </c>
      <c r="Z162" s="6" t="str">
        <f aca="false">IFERROR(VLOOKUP($B162,Agents!$A:$D,4,0),"-")</f>
        <v>Credit Mutuel</v>
      </c>
      <c r="AA162" s="18" t="s">
        <v>80</v>
      </c>
      <c r="AB162" s="8" t="str">
        <f aca="false">IF(AND(D162="Congé",F162="Congé"),0.333333333333333,IF(OR(AND(D162="Congé",F162&lt;&gt;"Congé"),(AND(F162="Congé",D162&lt;&gt;"Congé"))),0.166666666666667,""))</f>
        <v/>
      </c>
      <c r="AC162" s="8" t="str">
        <f aca="false">IF(AND(D162="Congé sans solde",F162="Congé sans solde"),0.333333333333333,IF(OR(AND(D162="Congé sans solde",F162&lt;&gt;"Congé sans solde"),(AND(F162="Congé sans solde",D162&lt;&gt;"Congé sans solde"))),0.166666666666667,""))</f>
        <v/>
      </c>
      <c r="AD162" s="8" t="str">
        <f aca="false">IF(AND(D162="Congé spécial",F162="Congé spécial"),0.333333333333333,IF(OR(AND(D162="Congé spécial",F162&lt;&gt;"Congé spécial"),AND(F162="Congé spécial",D162&lt;&gt;"Congé spécial")),0.166666666666667,""))</f>
        <v/>
      </c>
      <c r="AE162" s="8" t="str">
        <f aca="false">IF(AND(D162="Férié",F162="Férié"),0.333333333333333,IF(OR(AND(D162="Férié",F162&lt;&gt;"Férié"),(AND(F162="Férié",D162&lt;&gt;"Férié"))),0.166666666666667,""))</f>
        <v/>
      </c>
      <c r="AF162" s="18"/>
      <c r="AG162" s="18"/>
    </row>
    <row r="163" customFormat="false" ht="15" hidden="false" customHeight="false" outlineLevel="0" collapsed="false">
      <c r="A163" s="6" t="str">
        <f aca="false">YEAR(Q163-WEEKDAY(Q163,2)+4)&amp;"-S"&amp;TEXT(WEEKNUM(Q163,21),"00")</f>
        <v>2026-S01</v>
      </c>
      <c r="B163" s="18" t="s">
        <v>71</v>
      </c>
      <c r="C163" s="19" t="n">
        <v>0.332638888888889</v>
      </c>
      <c r="D163" s="19" t="n">
        <v>0.333333333333333</v>
      </c>
      <c r="E163" s="19" t="n">
        <v>0.75</v>
      </c>
      <c r="F163" s="19" t="n">
        <v>0.75</v>
      </c>
      <c r="G163" s="20"/>
      <c r="H163" s="20"/>
      <c r="I163" s="8" t="str">
        <f aca="false">IF(IF(OR(C163="",D163="Congé",D163="OFF",D163="Congé spécial"),"",IF(D163&gt;F163,D163-C163,IF(C163-D163&lt;0,0,C163-D163)))&lt;0.00068287037037037,"",IF(OR(D163="Congé",D163="OFF",C163="",D163="Congé spécial"),"",IF(D163&gt;F163,D163-C163,IF(C163-D163&lt;0,0,C163-D163))))</f>
        <v/>
      </c>
      <c r="J163" s="20"/>
      <c r="K163" s="8" t="n">
        <f aca="false">IF(SUM(H163:J163)&lt;0.00068287037037037,0,SUM(H163:J163))</f>
        <v>0</v>
      </c>
      <c r="L163" s="8" t="n">
        <f aca="false">IF(OR(F163="Congé",F163="OFF",M163="Abs",F163="Congé sans solde",F163="Férié",F163="Congé spécial",D163="Congé spécial"),0,IF(F163-E163&lt;0,0,IF(F163-E163&lt;=0.00068287037037037,0,F163-E163)))</f>
        <v>0</v>
      </c>
      <c r="M163" s="6" t="n">
        <f aca="false">IF(AND(O163&lt;&gt;0,C163=""),"Abs",0)</f>
        <v>0</v>
      </c>
      <c r="N163" s="8" t="n">
        <f aca="false">IFERROR(IF(OR(D163="OFF",D163="Congé",M163="Abs",D163="Congé sans solde",D163="Férié"),"",IF(O163-K163-L163&gt;O163,O163,IF(O163-K163-L163&lt;0,"",O163-K163-L163))),"")</f>
        <v>0.375</v>
      </c>
      <c r="O163" s="8" t="n">
        <f aca="false">IF(AG163="2H Pause déjeuner",IF(F163-D163-0.0833333333333333&lt;0,F163-D163-0.0833333333333333+1,F163-D163-0.0833333333333333),IF(OR(AND(F163="OFF",D163="OFF"),AND(F163="Congé",D163="Congé"),AND(F163="Congé sans solde",D163="Congé sans solde"),AND(F163="Congé spécial",D163="Congé spécial"),AND(F163="Férié",D163="Férié"),AND(F163="OFF",D163="Congé"),AND(F163="OFF",D163="Congé sans solde"),AND(F163="OFF",D163="Congé spécial"),AND(F163="OFF",D163="Férié"),AND(F163="Congé",D163="OFF"),AND(F163="Congé",D163="Congé sans solde"),AND(F163="Congé",D163="Congé spécial"),AND(F163="Congé",D163="Férié"),AND(F163="Congé sans solde",D163="OFF"),AND(F163="Congé sans solde",D163="Congé"),AND(F163="Congé sans solde",D163="Congé spécial"),AND(F163="Congé sans solde",D163="Férié"),AND(F163="Congé spécial",D163="OFF"),AND(F163="Congé spécial",D163="Congé"),AND(F163="Congé spécial",D163="Congé sans solde"),AND(F163="Congé spécial",D163="Férié"),AND(F163="Férié",D163="OFF"),AND(F163="Férié",D163="Congé"),AND(F163="Férié",D163="Congé sans solde"),AND(F163="Férié",D163="Congé spécial")),0,IF(OR(F163="OFF",F163="Congé",F163="Congé spécial",F163="Congé sans solde",D163="OFF",D163="Congé",D163="Congé spécial",D163="Congé sans solde"),0.208333333333334,IF(AND(AG163="",F163-D163&lt;0),("24:00:00"-D163)+("00:00:00"+F163)-0.0416666666666667,IF(AND(OR(AG163="Allaitement",AG163="Sans déjeuner"),F163-D163&lt;0),("24:00:00"-D163)+("00:00:00"+F163),IF(AND(AG163="",F163-D163&gt;0.166666666666667),F163-D163-0.0416666666666667,IF(AND(OR(AG163="Allaitement",AG163="Sans déjeuner"),F163-D163&gt;0.166666666666667),F163-D163,F163-D163)))))))</f>
        <v>0.375</v>
      </c>
      <c r="P163" s="6" t="str">
        <f aca="false">IFERROR(VLOOKUP($B163,Agents!$A:$D,2,0),"-")</f>
        <v>Accessibilité</v>
      </c>
      <c r="Q163" s="21" t="n">
        <v>46022</v>
      </c>
      <c r="R163" s="8" t="n">
        <f aca="false">IF(M163="Abs",O163,0)</f>
        <v>0</v>
      </c>
      <c r="S163" s="8" t="n">
        <f aca="false">SUM(R163,L163,I163,J163,W163,H163)</f>
        <v>0</v>
      </c>
      <c r="T163" s="6" t="str">
        <f aca="false">"Sem - "&amp;WEEKNUM(Q163,21)</f>
        <v>Sem - 1</v>
      </c>
      <c r="U163" s="6" t="str">
        <f aca="false">CHOOSE(MONTH(Q163),"Janvier","Février","Mars","Avril","Mai","Juin","Juillet","Août","Septembre","Octobre","Novembre","Décembre")</f>
        <v>Décembre</v>
      </c>
      <c r="V163" s="22" t="n">
        <f aca="false">YEAR(Q163)</f>
        <v>2025</v>
      </c>
      <c r="W163" s="20"/>
      <c r="X163" s="8" t="n">
        <f aca="false">IFERROR(IF(M163="Abs",0,IF(ROUND((D163-C163+E163-F163)*1440,0)&lt;=1,0,D163-C163+E163-F163)),0)</f>
        <v>0</v>
      </c>
      <c r="Y163" s="6" t="str">
        <f aca="false">IFERROR(VLOOKUP($B163,Agents!$A:$D,3,0),"-")</f>
        <v>OUBRAHIM Mohammed</v>
      </c>
      <c r="Z163" s="6" t="str">
        <f aca="false">IFERROR(VLOOKUP($B163,Agents!$A:$D,4,0),"-")</f>
        <v>Credit Mutuel</v>
      </c>
      <c r="AA163" s="18" t="s">
        <v>80</v>
      </c>
      <c r="AB163" s="8" t="str">
        <f aca="false">IF(AND(D163="Congé",F163="Congé"),0.333333333333333,IF(OR(AND(D163="Congé",F163&lt;&gt;"Congé"),(AND(F163="Congé",D163&lt;&gt;"Congé"))),0.166666666666667,""))</f>
        <v/>
      </c>
      <c r="AC163" s="8" t="str">
        <f aca="false">IF(AND(D163="Congé sans solde",F163="Congé sans solde"),0.333333333333333,IF(OR(AND(D163="Congé sans solde",F163&lt;&gt;"Congé sans solde"),(AND(F163="Congé sans solde",D163&lt;&gt;"Congé sans solde"))),0.166666666666667,""))</f>
        <v/>
      </c>
      <c r="AD163" s="8" t="str">
        <f aca="false">IF(AND(D163="Congé spécial",F163="Congé spécial"),0.333333333333333,IF(OR(AND(D163="Congé spécial",F163&lt;&gt;"Congé spécial"),AND(F163="Congé spécial",D163&lt;&gt;"Congé spécial")),0.166666666666667,""))</f>
        <v/>
      </c>
      <c r="AE163" s="8" t="str">
        <f aca="false">IF(AND(D163="Férié",F163="Férié"),0.333333333333333,IF(OR(AND(D163="Férié",F163&lt;&gt;"Férié"),(AND(F163="Férié",D163&lt;&gt;"Férié"))),0.166666666666667,""))</f>
        <v/>
      </c>
      <c r="AF163" s="18"/>
      <c r="AG163" s="18"/>
    </row>
    <row r="164" customFormat="false" ht="15" hidden="false" customHeight="false" outlineLevel="0" collapsed="false">
      <c r="A164" s="6" t="str">
        <f aca="false">YEAR(Q164-WEEKDAY(Q164,2)+4)&amp;"-S"&amp;TEXT(WEEKNUM(Q164,21),"00")</f>
        <v>2026-S01</v>
      </c>
      <c r="B164" s="18" t="s">
        <v>72</v>
      </c>
      <c r="C164" s="19" t="n">
        <v>0.33125</v>
      </c>
      <c r="D164" s="19" t="n">
        <v>0.333333333333333</v>
      </c>
      <c r="E164" s="19" t="n">
        <v>0.75</v>
      </c>
      <c r="F164" s="19" t="n">
        <v>0.75</v>
      </c>
      <c r="G164" s="20"/>
      <c r="H164" s="20"/>
      <c r="I164" s="8" t="str">
        <f aca="false">IF(IF(OR(C164="",D164="Congé",D164="OFF",D164="Congé spécial"),"",IF(D164&gt;F164,D164-C164,IF(C164-D164&lt;0,0,C164-D164)))&lt;0.00068287037037037,"",IF(OR(D164="Congé",D164="OFF",C164="",D164="Congé spécial"),"",IF(D164&gt;F164,D164-C164,IF(C164-D164&lt;0,0,C164-D164))))</f>
        <v/>
      </c>
      <c r="J164" s="20"/>
      <c r="K164" s="8" t="n">
        <f aca="false">IF(SUM(H164:J164)&lt;0.00068287037037037,0,SUM(H164:J164))</f>
        <v>0</v>
      </c>
      <c r="L164" s="8" t="n">
        <f aca="false">IF(OR(F164="Congé",F164="OFF",M164="Abs",F164="Congé sans solde",F164="Férié",F164="Congé spécial",D164="Congé spécial"),0,IF(F164-E164&lt;0,0,IF(F164-E164&lt;=0.00068287037037037,0,F164-E164)))</f>
        <v>0</v>
      </c>
      <c r="M164" s="6" t="n">
        <f aca="false">IF(AND(O164&lt;&gt;0,C164=""),"Abs",0)</f>
        <v>0</v>
      </c>
      <c r="N164" s="8" t="n">
        <f aca="false">IFERROR(IF(OR(D164="OFF",D164="Congé",M164="Abs",D164="Congé sans solde",D164="Férié"),"",IF(O164-K164-L164&gt;O164,O164,IF(O164-K164-L164&lt;0,"",O164-K164-L164))),"")</f>
        <v>0.375</v>
      </c>
      <c r="O164" s="8" t="n">
        <f aca="false">IF(AG164="2H Pause déjeuner",IF(F164-D164-0.0833333333333333&lt;0,F164-D164-0.0833333333333333+1,F164-D164-0.0833333333333333),IF(OR(AND(F164="OFF",D164="OFF"),AND(F164="Congé",D164="Congé"),AND(F164="Congé sans solde",D164="Congé sans solde"),AND(F164="Congé spécial",D164="Congé spécial"),AND(F164="Férié",D164="Férié"),AND(F164="OFF",D164="Congé"),AND(F164="OFF",D164="Congé sans solde"),AND(F164="OFF",D164="Congé spécial"),AND(F164="OFF",D164="Férié"),AND(F164="Congé",D164="OFF"),AND(F164="Congé",D164="Congé sans solde"),AND(F164="Congé",D164="Congé spécial"),AND(F164="Congé",D164="Férié"),AND(F164="Congé sans solde",D164="OFF"),AND(F164="Congé sans solde",D164="Congé"),AND(F164="Congé sans solde",D164="Congé spécial"),AND(F164="Congé sans solde",D164="Férié"),AND(F164="Congé spécial",D164="OFF"),AND(F164="Congé spécial",D164="Congé"),AND(F164="Congé spécial",D164="Congé sans solde"),AND(F164="Congé spécial",D164="Férié"),AND(F164="Férié",D164="OFF"),AND(F164="Férié",D164="Congé"),AND(F164="Férié",D164="Congé sans solde"),AND(F164="Férié",D164="Congé spécial")),0,IF(OR(F164="OFF",F164="Congé",F164="Congé spécial",F164="Congé sans solde",D164="OFF",D164="Congé",D164="Congé spécial",D164="Congé sans solde"),0.208333333333334,IF(AND(AG164="",F164-D164&lt;0),("24:00:00"-D164)+("00:00:00"+F164)-0.0416666666666667,IF(AND(OR(AG164="Allaitement",AG164="Sans déjeuner"),F164-D164&lt;0),("24:00:00"-D164)+("00:00:00"+F164),IF(AND(AG164="",F164-D164&gt;0.166666666666667),F164-D164-0.0416666666666667,IF(AND(OR(AG164="Allaitement",AG164="Sans déjeuner"),F164-D164&gt;0.166666666666667),F164-D164,F164-D164)))))))</f>
        <v>0.375</v>
      </c>
      <c r="P164" s="6" t="str">
        <f aca="false">IFERROR(VLOOKUP($B164,Agents!$A:$D,2,0),"-")</f>
        <v>Accessibilité</v>
      </c>
      <c r="Q164" s="21" t="n">
        <v>46022</v>
      </c>
      <c r="R164" s="8" t="n">
        <f aca="false">IF(M164="Abs",O164,0)</f>
        <v>0</v>
      </c>
      <c r="S164" s="8" t="n">
        <f aca="false">SUM(R164,L164,I164,J164,W164,H164)</f>
        <v>0</v>
      </c>
      <c r="T164" s="6" t="str">
        <f aca="false">"Sem - "&amp;WEEKNUM(Q164,21)</f>
        <v>Sem - 1</v>
      </c>
      <c r="U164" s="6" t="str">
        <f aca="false">CHOOSE(MONTH(Q164),"Janvier","Février","Mars","Avril","Mai","Juin","Juillet","Août","Septembre","Octobre","Novembre","Décembre")</f>
        <v>Décembre</v>
      </c>
      <c r="V164" s="22" t="n">
        <f aca="false">YEAR(Q164)</f>
        <v>2025</v>
      </c>
      <c r="W164" s="20"/>
      <c r="X164" s="8" t="n">
        <f aca="false">IFERROR(IF(M164="Abs",0,IF(ROUND((D164-C164+E164-F164)*1440,0)&lt;=1,0,D164-C164+E164-F164)),0)</f>
        <v>0.00208333333333333</v>
      </c>
      <c r="Y164" s="6" t="str">
        <f aca="false">IFERROR(VLOOKUP($B164,Agents!$A:$D,3,0),"-")</f>
        <v>OUBRAHIM Mohammed</v>
      </c>
      <c r="Z164" s="6" t="str">
        <f aca="false">IFERROR(VLOOKUP($B164,Agents!$A:$D,4,0),"-")</f>
        <v>Credit Mutuel</v>
      </c>
      <c r="AA164" s="18" t="s">
        <v>80</v>
      </c>
      <c r="AB164" s="8" t="str">
        <f aca="false">IF(AND(D164="Congé",F164="Congé"),0.333333333333333,IF(OR(AND(D164="Congé",F164&lt;&gt;"Congé"),(AND(F164="Congé",D164&lt;&gt;"Congé"))),0.166666666666667,""))</f>
        <v/>
      </c>
      <c r="AC164" s="8" t="str">
        <f aca="false">IF(AND(D164="Congé sans solde",F164="Congé sans solde"),0.333333333333333,IF(OR(AND(D164="Congé sans solde",F164&lt;&gt;"Congé sans solde"),(AND(F164="Congé sans solde",D164&lt;&gt;"Congé sans solde"))),0.166666666666667,""))</f>
        <v/>
      </c>
      <c r="AD164" s="8" t="str">
        <f aca="false">IF(AND(D164="Congé spécial",F164="Congé spécial"),0.333333333333333,IF(OR(AND(D164="Congé spécial",F164&lt;&gt;"Congé spécial"),AND(F164="Congé spécial",D164&lt;&gt;"Congé spécial")),0.166666666666667,""))</f>
        <v/>
      </c>
      <c r="AE164" s="8" t="str">
        <f aca="false">IF(AND(D164="Férié",F164="Férié"),0.333333333333333,IF(OR(AND(D164="Férié",F164&lt;&gt;"Férié"),(AND(F164="Férié",D164&lt;&gt;"Férié"))),0.166666666666667,""))</f>
        <v/>
      </c>
      <c r="AF164" s="18"/>
      <c r="AG164" s="18"/>
    </row>
    <row r="165" customFormat="false" ht="15" hidden="false" customHeight="false" outlineLevel="0" collapsed="false">
      <c r="A165" s="6" t="str">
        <f aca="false">YEAR(Q165-WEEKDAY(Q165,2)+4)&amp;"-S"&amp;TEXT(WEEKNUM(Q165,21),"00")</f>
        <v>2026-S01</v>
      </c>
      <c r="B165" s="18" t="s">
        <v>73</v>
      </c>
      <c r="C165" s="19" t="n">
        <v>0.332638888888889</v>
      </c>
      <c r="D165" s="19" t="n">
        <v>0.333333333333333</v>
      </c>
      <c r="E165" s="19" t="n">
        <v>0.75</v>
      </c>
      <c r="F165" s="19" t="n">
        <v>0.75</v>
      </c>
      <c r="G165" s="20"/>
      <c r="H165" s="20"/>
      <c r="I165" s="8" t="str">
        <f aca="false">IF(IF(OR(C165="",D165="Congé",D165="OFF",D165="Congé spécial"),"",IF(D165&gt;F165,D165-C165,IF(C165-D165&lt;0,0,C165-D165)))&lt;0.00068287037037037,"",IF(OR(D165="Congé",D165="OFF",C165="",D165="Congé spécial"),"",IF(D165&gt;F165,D165-C165,IF(C165-D165&lt;0,0,C165-D165))))</f>
        <v/>
      </c>
      <c r="J165" s="20"/>
      <c r="K165" s="8" t="n">
        <f aca="false">IF(SUM(H165:J165)&lt;0.00068287037037037,0,SUM(H165:J165))</f>
        <v>0</v>
      </c>
      <c r="L165" s="8" t="n">
        <f aca="false">IF(OR(F165="Congé",F165="OFF",M165="Abs",F165="Congé sans solde",F165="Férié",F165="Congé spécial",D165="Congé spécial"),0,IF(F165-E165&lt;0,0,IF(F165-E165&lt;=0.00068287037037037,0,F165-E165)))</f>
        <v>0</v>
      </c>
      <c r="M165" s="6" t="n">
        <f aca="false">IF(AND(O165&lt;&gt;0,C165=""),"Abs",0)</f>
        <v>0</v>
      </c>
      <c r="N165" s="8" t="n">
        <f aca="false">IFERROR(IF(OR(D165="OFF",D165="Congé",M165="Abs",D165="Congé sans solde",D165="Férié"),"",IF(O165-K165-L165&gt;O165,O165,IF(O165-K165-L165&lt;0,"",O165-K165-L165))),"")</f>
        <v>0.375</v>
      </c>
      <c r="O165" s="8" t="n">
        <f aca="false">IF(AG165="2H Pause déjeuner",IF(F165-D165-0.0833333333333333&lt;0,F165-D165-0.0833333333333333+1,F165-D165-0.0833333333333333),IF(OR(AND(F165="OFF",D165="OFF"),AND(F165="Congé",D165="Congé"),AND(F165="Congé sans solde",D165="Congé sans solde"),AND(F165="Congé spécial",D165="Congé spécial"),AND(F165="Férié",D165="Férié"),AND(F165="OFF",D165="Congé"),AND(F165="OFF",D165="Congé sans solde"),AND(F165="OFF",D165="Congé spécial"),AND(F165="OFF",D165="Férié"),AND(F165="Congé",D165="OFF"),AND(F165="Congé",D165="Congé sans solde"),AND(F165="Congé",D165="Congé spécial"),AND(F165="Congé",D165="Férié"),AND(F165="Congé sans solde",D165="OFF"),AND(F165="Congé sans solde",D165="Congé"),AND(F165="Congé sans solde",D165="Congé spécial"),AND(F165="Congé sans solde",D165="Férié"),AND(F165="Congé spécial",D165="OFF"),AND(F165="Congé spécial",D165="Congé"),AND(F165="Congé spécial",D165="Congé sans solde"),AND(F165="Congé spécial",D165="Férié"),AND(F165="Férié",D165="OFF"),AND(F165="Férié",D165="Congé"),AND(F165="Férié",D165="Congé sans solde"),AND(F165="Férié",D165="Congé spécial")),0,IF(OR(F165="OFF",F165="Congé",F165="Congé spécial",F165="Congé sans solde",D165="OFF",D165="Congé",D165="Congé spécial",D165="Congé sans solde"),0.208333333333334,IF(AND(AG165="",F165-D165&lt;0),("24:00:00"-D165)+("00:00:00"+F165)-0.0416666666666667,IF(AND(OR(AG165="Allaitement",AG165="Sans déjeuner"),F165-D165&lt;0),("24:00:00"-D165)+("00:00:00"+F165),IF(AND(AG165="",F165-D165&gt;0.166666666666667),F165-D165-0.0416666666666667,IF(AND(OR(AG165="Allaitement",AG165="Sans déjeuner"),F165-D165&gt;0.166666666666667),F165-D165,F165-D165)))))))</f>
        <v>0.375</v>
      </c>
      <c r="P165" s="6" t="str">
        <f aca="false">IFERROR(VLOOKUP($B165,Agents!$A:$D,2,0),"-")</f>
        <v>Accessibilité</v>
      </c>
      <c r="Q165" s="21" t="n">
        <v>46022</v>
      </c>
      <c r="R165" s="8" t="n">
        <f aca="false">IF(M165="Abs",O165,0)</f>
        <v>0</v>
      </c>
      <c r="S165" s="8" t="n">
        <f aca="false">SUM(R165,L165,I165,J165,W165,H165)</f>
        <v>0</v>
      </c>
      <c r="T165" s="6" t="str">
        <f aca="false">"Sem - "&amp;WEEKNUM(Q165,21)</f>
        <v>Sem - 1</v>
      </c>
      <c r="U165" s="6" t="str">
        <f aca="false">CHOOSE(MONTH(Q165),"Janvier","Février","Mars","Avril","Mai","Juin","Juillet","Août","Septembre","Octobre","Novembre","Décembre")</f>
        <v>Décembre</v>
      </c>
      <c r="V165" s="22" t="n">
        <f aca="false">YEAR(Q165)</f>
        <v>2025</v>
      </c>
      <c r="W165" s="20"/>
      <c r="X165" s="8" t="n">
        <f aca="false">IFERROR(IF(M165="Abs",0,IF(ROUND((D165-C165+E165-F165)*1440,0)&lt;=1,0,D165-C165+E165-F165)),0)</f>
        <v>0</v>
      </c>
      <c r="Y165" s="6" t="str">
        <f aca="false">IFERROR(VLOOKUP($B165,Agents!$A:$D,3,0),"-")</f>
        <v>OUBRAHIM Mohammed</v>
      </c>
      <c r="Z165" s="6" t="str">
        <f aca="false">IFERROR(VLOOKUP($B165,Agents!$A:$D,4,0),"-")</f>
        <v>Credit Mutuel</v>
      </c>
      <c r="AA165" s="18" t="s">
        <v>80</v>
      </c>
      <c r="AB165" s="8" t="str">
        <f aca="false">IF(AND(D165="Congé",F165="Congé"),0.333333333333333,IF(OR(AND(D165="Congé",F165&lt;&gt;"Congé"),(AND(F165="Congé",D165&lt;&gt;"Congé"))),0.166666666666667,""))</f>
        <v/>
      </c>
      <c r="AC165" s="8" t="str">
        <f aca="false">IF(AND(D165="Congé sans solde",F165="Congé sans solde"),0.333333333333333,IF(OR(AND(D165="Congé sans solde",F165&lt;&gt;"Congé sans solde"),(AND(F165="Congé sans solde",D165&lt;&gt;"Congé sans solde"))),0.166666666666667,""))</f>
        <v/>
      </c>
      <c r="AD165" s="8" t="str">
        <f aca="false">IF(AND(D165="Congé spécial",F165="Congé spécial"),0.333333333333333,IF(OR(AND(D165="Congé spécial",F165&lt;&gt;"Congé spécial"),AND(F165="Congé spécial",D165&lt;&gt;"Congé spécial")),0.166666666666667,""))</f>
        <v/>
      </c>
      <c r="AE165" s="8" t="str">
        <f aca="false">IF(AND(D165="Férié",F165="Férié"),0.333333333333333,IF(OR(AND(D165="Férié",F165&lt;&gt;"Férié"),(AND(F165="Férié",D165&lt;&gt;"Férié"))),0.166666666666667,""))</f>
        <v/>
      </c>
      <c r="AF165" s="18"/>
      <c r="AG165" s="18"/>
    </row>
    <row r="166" customFormat="false" ht="15" hidden="false" customHeight="false" outlineLevel="0" collapsed="false">
      <c r="A166" s="6" t="str">
        <f aca="false">YEAR(Q166-WEEKDAY(Q166,2)+4)&amp;"-S"&amp;TEXT(WEEKNUM(Q166,21),"00")</f>
        <v>2026-S01</v>
      </c>
      <c r="B166" s="18" t="s">
        <v>69</v>
      </c>
      <c r="C166" s="19"/>
      <c r="D166" s="19" t="s">
        <v>81</v>
      </c>
      <c r="E166" s="19"/>
      <c r="F166" s="19" t="s">
        <v>81</v>
      </c>
      <c r="G166" s="20"/>
      <c r="H166" s="20"/>
      <c r="I166" s="8" t="str">
        <f aca="false">IF(IF(OR(C166="",D166="Congé",D166="OFF",D166="Congé spécial"),"",IF(D166&gt;F166,D166-C166,IF(C166-D166&lt;0,0,C166-D166)))&lt;0.00068287037037037,"",IF(OR(D166="Congé",D166="OFF",C166="",D166="Congé spécial"),"",IF(D166&gt;F166,D166-C166,IF(C166-D166&lt;0,0,C166-D166))))</f>
        <v/>
      </c>
      <c r="J166" s="20"/>
      <c r="K166" s="8" t="n">
        <f aca="false">IF(SUM(H166:J166)&lt;0.00068287037037037,0,SUM(H166:J166))</f>
        <v>0</v>
      </c>
      <c r="L166" s="8" t="n">
        <f aca="false">IF(OR(F166="Congé",F166="OFF",M166="Abs",F166="Congé sans solde",F166="Férié",F166="Congé spécial",D166="Congé spécial"),0,IF(F166-E166&lt;0,0,IF(F166-E166&lt;=0.00068287037037037,0,F166-E166)))</f>
        <v>0</v>
      </c>
      <c r="M166" s="6" t="n">
        <f aca="false">IF(AND(O166&lt;&gt;0,C166=""),"Abs",0)</f>
        <v>0</v>
      </c>
      <c r="N166" s="8" t="str">
        <f aca="false">IFERROR(IF(OR(D166="OFF",D166="Congé",M166="Abs",D166="Congé sans solde",D166="Férié"),"",IF(O166-K166-L166&gt;O166,O166,IF(O166-K166-L166&lt;0,"",O166-K166-L166))),"")</f>
        <v/>
      </c>
      <c r="O166" s="8" t="n">
        <f aca="false">IF(AG166="2H Pause déjeuner",IF(F166-D166-0.0833333333333333&lt;0,F166-D166-0.0833333333333333+1,F166-D166-0.0833333333333333),IF(OR(AND(F166="OFF",D166="OFF"),AND(F166="Congé",D166="Congé"),AND(F166="Congé sans solde",D166="Congé sans solde"),AND(F166="Congé spécial",D166="Congé spécial"),AND(F166="Férié",D166="Férié"),AND(F166="OFF",D166="Congé"),AND(F166="OFF",D166="Congé sans solde"),AND(F166="OFF",D166="Congé spécial"),AND(F166="OFF",D166="Férié"),AND(F166="Congé",D166="OFF"),AND(F166="Congé",D166="Congé sans solde"),AND(F166="Congé",D166="Congé spécial"),AND(F166="Congé",D166="Férié"),AND(F166="Congé sans solde",D166="OFF"),AND(F166="Congé sans solde",D166="Congé"),AND(F166="Congé sans solde",D166="Congé spécial"),AND(F166="Congé sans solde",D166="Férié"),AND(F166="Congé spécial",D166="OFF"),AND(F166="Congé spécial",D166="Congé"),AND(F166="Congé spécial",D166="Congé sans solde"),AND(F166="Congé spécial",D166="Férié"),AND(F166="Férié",D166="OFF"),AND(F166="Férié",D166="Congé"),AND(F166="Férié",D166="Congé sans solde"),AND(F166="Férié",D166="Congé spécial")),0,IF(OR(F166="OFF",F166="Congé",F166="Congé spécial",F166="Congé sans solde",D166="OFF",D166="Congé",D166="Congé spécial",D166="Congé sans solde"),0.208333333333334,IF(AND(AG166="",F166-D166&lt;0),("24:00:00"-D166)+("00:00:00"+F166)-0.0416666666666667,IF(AND(OR(AG166="Allaitement",AG166="Sans déjeuner"),F166-D166&lt;0),("24:00:00"-D166)+("00:00:00"+F166),IF(AND(AG166="",F166-D166&gt;0.166666666666667),F166-D166-0.0416666666666667,IF(AND(OR(AG166="Allaitement",AG166="Sans déjeuner"),F166-D166&gt;0.166666666666667),F166-D166,F166-D166)))))))</f>
        <v>0</v>
      </c>
      <c r="P166" s="6" t="str">
        <f aca="false">IFERROR(VLOOKUP($B166,Agents!$A:$D,2,0),"-")</f>
        <v>Accessibilité</v>
      </c>
      <c r="Q166" s="21" t="n">
        <v>46023</v>
      </c>
      <c r="R166" s="8" t="n">
        <f aca="false">IF(M166="Abs",O166,0)</f>
        <v>0</v>
      </c>
      <c r="S166" s="8" t="n">
        <f aca="false">SUM(R166,L166,I166,J166,W166,H166)</f>
        <v>0</v>
      </c>
      <c r="T166" s="6" t="str">
        <f aca="false">"Sem - "&amp;WEEKNUM(Q166,21)</f>
        <v>Sem - 1</v>
      </c>
      <c r="U166" s="6" t="str">
        <f aca="false">CHOOSE(MONTH(Q166),"Janvier","Février","Mars","Avril","Mai","Juin","Juillet","Août","Septembre","Octobre","Novembre","Décembre")</f>
        <v>Janvier</v>
      </c>
      <c r="V166" s="22" t="n">
        <f aca="false">YEAR(Q166)</f>
        <v>2026</v>
      </c>
      <c r="W166" s="20"/>
      <c r="X166" s="8" t="n">
        <f aca="false">IFERROR(IF(M166="Abs",0,IF(ROUND((D166-C166+E166-F166)*1440,0)&lt;=1,0,D166-C166+E166-F166)),0)</f>
        <v>0</v>
      </c>
      <c r="Y166" s="6" t="str">
        <f aca="false">IFERROR(VLOOKUP($B166,Agents!$A:$D,3,0),"-")</f>
        <v>OUBRAHIM Mohammed</v>
      </c>
      <c r="Z166" s="6" t="str">
        <f aca="false">IFERROR(VLOOKUP($B166,Agents!$A:$D,4,0),"-")</f>
        <v>Credit Mutuel</v>
      </c>
      <c r="AA166" s="18" t="s">
        <v>80</v>
      </c>
      <c r="AB166" s="8" t="str">
        <f aca="false">IF(AND(D166="Congé",F166="Congé"),0.333333333333333,IF(OR(AND(D166="Congé",F166&lt;&gt;"Congé"),(AND(F166="Congé",D166&lt;&gt;"Congé"))),0.166666666666667,""))</f>
        <v/>
      </c>
      <c r="AC166" s="8" t="str">
        <f aca="false">IF(AND(D166="Congé sans solde",F166="Congé sans solde"),0.333333333333333,IF(OR(AND(D166="Congé sans solde",F166&lt;&gt;"Congé sans solde"),(AND(F166="Congé sans solde",D166&lt;&gt;"Congé sans solde"))),0.166666666666667,""))</f>
        <v/>
      </c>
      <c r="AD166" s="8" t="str">
        <f aca="false">IF(AND(D166="Congé spécial",F166="Congé spécial"),0.333333333333333,IF(OR(AND(D166="Congé spécial",F166&lt;&gt;"Congé spécial"),AND(F166="Congé spécial",D166&lt;&gt;"Congé spécial")),0.166666666666667,""))</f>
        <v/>
      </c>
      <c r="AE166" s="8" t="n">
        <f aca="false">IF(AND(D166="Férié",F166="Férié"),0.333333333333333,IF(OR(AND(D166="Férié",F166&lt;&gt;"Férié"),(AND(F166="Férié",D166&lt;&gt;"Férié"))),0.166666666666667,""))</f>
        <v>0.333333333333333</v>
      </c>
      <c r="AF166" s="18"/>
      <c r="AG166" s="18"/>
    </row>
    <row r="167" customFormat="false" ht="15" hidden="false" customHeight="false" outlineLevel="0" collapsed="false">
      <c r="A167" s="6" t="str">
        <f aca="false">YEAR(Q167-WEEKDAY(Q167,2)+4)&amp;"-S"&amp;TEXT(WEEKNUM(Q167,21),"00")</f>
        <v>2026-S01</v>
      </c>
      <c r="B167" s="18" t="s">
        <v>71</v>
      </c>
      <c r="C167" s="19"/>
      <c r="D167" s="19" t="s">
        <v>81</v>
      </c>
      <c r="E167" s="19"/>
      <c r="F167" s="19" t="s">
        <v>81</v>
      </c>
      <c r="G167" s="20"/>
      <c r="H167" s="20"/>
      <c r="I167" s="8" t="str">
        <f aca="false">IF(IF(OR(C167="",D167="Congé",D167="OFF",D167="Congé spécial"),"",IF(D167&gt;F167,D167-C167,IF(C167-D167&lt;0,0,C167-D167)))&lt;0.00068287037037037,"",IF(OR(D167="Congé",D167="OFF",C167="",D167="Congé spécial"),"",IF(D167&gt;F167,D167-C167,IF(C167-D167&lt;0,0,C167-D167))))</f>
        <v/>
      </c>
      <c r="J167" s="20"/>
      <c r="K167" s="8" t="n">
        <f aca="false">IF(SUM(H167:J167)&lt;0.00068287037037037,0,SUM(H167:J167))</f>
        <v>0</v>
      </c>
      <c r="L167" s="8" t="n">
        <f aca="false">IF(OR(F167="Congé",F167="OFF",M167="Abs",F167="Congé sans solde",F167="Férié",F167="Congé spécial",D167="Congé spécial"),0,IF(F167-E167&lt;0,0,IF(F167-E167&lt;=0.00068287037037037,0,F167-E167)))</f>
        <v>0</v>
      </c>
      <c r="M167" s="6" t="n">
        <f aca="false">IF(AND(O167&lt;&gt;0,C167=""),"Abs",0)</f>
        <v>0</v>
      </c>
      <c r="N167" s="8" t="str">
        <f aca="false">IFERROR(IF(OR(D167="OFF",D167="Congé",M167="Abs",D167="Congé sans solde",D167="Férié"),"",IF(O167-K167-L167&gt;O167,O167,IF(O167-K167-L167&lt;0,"",O167-K167-L167))),"")</f>
        <v/>
      </c>
      <c r="O167" s="8" t="n">
        <f aca="false">IF(AG167="2H Pause déjeuner",IF(F167-D167-0.0833333333333333&lt;0,F167-D167-0.0833333333333333+1,F167-D167-0.0833333333333333),IF(OR(AND(F167="OFF",D167="OFF"),AND(F167="Congé",D167="Congé"),AND(F167="Congé sans solde",D167="Congé sans solde"),AND(F167="Congé spécial",D167="Congé spécial"),AND(F167="Férié",D167="Férié"),AND(F167="OFF",D167="Congé"),AND(F167="OFF",D167="Congé sans solde"),AND(F167="OFF",D167="Congé spécial"),AND(F167="OFF",D167="Férié"),AND(F167="Congé",D167="OFF"),AND(F167="Congé",D167="Congé sans solde"),AND(F167="Congé",D167="Congé spécial"),AND(F167="Congé",D167="Férié"),AND(F167="Congé sans solde",D167="OFF"),AND(F167="Congé sans solde",D167="Congé"),AND(F167="Congé sans solde",D167="Congé spécial"),AND(F167="Congé sans solde",D167="Férié"),AND(F167="Congé spécial",D167="OFF"),AND(F167="Congé spécial",D167="Congé"),AND(F167="Congé spécial",D167="Congé sans solde"),AND(F167="Congé spécial",D167="Férié"),AND(F167="Férié",D167="OFF"),AND(F167="Férié",D167="Congé"),AND(F167="Férié",D167="Congé sans solde"),AND(F167="Férié",D167="Congé spécial")),0,IF(OR(F167="OFF",F167="Congé",F167="Congé spécial",F167="Congé sans solde",D167="OFF",D167="Congé",D167="Congé spécial",D167="Congé sans solde"),0.208333333333334,IF(AND(AG167="",F167-D167&lt;0),("24:00:00"-D167)+("00:00:00"+F167)-0.0416666666666667,IF(AND(OR(AG167="Allaitement",AG167="Sans déjeuner"),F167-D167&lt;0),("24:00:00"-D167)+("00:00:00"+F167),IF(AND(AG167="",F167-D167&gt;0.166666666666667),F167-D167-0.0416666666666667,IF(AND(OR(AG167="Allaitement",AG167="Sans déjeuner"),F167-D167&gt;0.166666666666667),F167-D167,F167-D167)))))))</f>
        <v>0</v>
      </c>
      <c r="P167" s="6" t="str">
        <f aca="false">IFERROR(VLOOKUP($B167,Agents!$A:$D,2,0),"-")</f>
        <v>Accessibilité</v>
      </c>
      <c r="Q167" s="21" t="n">
        <v>46023</v>
      </c>
      <c r="R167" s="8" t="n">
        <f aca="false">IF(M167="Abs",O167,0)</f>
        <v>0</v>
      </c>
      <c r="S167" s="8" t="n">
        <f aca="false">SUM(R167,L167,I167,J167,W167,H167)</f>
        <v>0</v>
      </c>
      <c r="T167" s="6" t="str">
        <f aca="false">"Sem - "&amp;WEEKNUM(Q167,21)</f>
        <v>Sem - 1</v>
      </c>
      <c r="U167" s="6" t="str">
        <f aca="false">CHOOSE(MONTH(Q167),"Janvier","Février","Mars","Avril","Mai","Juin","Juillet","Août","Septembre","Octobre","Novembre","Décembre")</f>
        <v>Janvier</v>
      </c>
      <c r="V167" s="22" t="n">
        <f aca="false">YEAR(Q167)</f>
        <v>2026</v>
      </c>
      <c r="W167" s="20"/>
      <c r="X167" s="8" t="n">
        <f aca="false">IFERROR(IF(M167="Abs",0,IF(ROUND((D167-C167+E167-F167)*1440,0)&lt;=1,0,D167-C167+E167-F167)),0)</f>
        <v>0</v>
      </c>
      <c r="Y167" s="6" t="str">
        <f aca="false">IFERROR(VLOOKUP($B167,Agents!$A:$D,3,0),"-")</f>
        <v>OUBRAHIM Mohammed</v>
      </c>
      <c r="Z167" s="6" t="str">
        <f aca="false">IFERROR(VLOOKUP($B167,Agents!$A:$D,4,0),"-")</f>
        <v>Credit Mutuel</v>
      </c>
      <c r="AA167" s="18" t="s">
        <v>80</v>
      </c>
      <c r="AB167" s="8" t="str">
        <f aca="false">IF(AND(D167="Congé",F167="Congé"),0.333333333333333,IF(OR(AND(D167="Congé",F167&lt;&gt;"Congé"),(AND(F167="Congé",D167&lt;&gt;"Congé"))),0.166666666666667,""))</f>
        <v/>
      </c>
      <c r="AC167" s="8" t="str">
        <f aca="false">IF(AND(D167="Congé sans solde",F167="Congé sans solde"),0.333333333333333,IF(OR(AND(D167="Congé sans solde",F167&lt;&gt;"Congé sans solde"),(AND(F167="Congé sans solde",D167&lt;&gt;"Congé sans solde"))),0.166666666666667,""))</f>
        <v/>
      </c>
      <c r="AD167" s="8" t="str">
        <f aca="false">IF(AND(D167="Congé spécial",F167="Congé spécial"),0.333333333333333,IF(OR(AND(D167="Congé spécial",F167&lt;&gt;"Congé spécial"),AND(F167="Congé spécial",D167&lt;&gt;"Congé spécial")),0.166666666666667,""))</f>
        <v/>
      </c>
      <c r="AE167" s="8" t="n">
        <f aca="false">IF(AND(D167="Férié",F167="Férié"),0.333333333333333,IF(OR(AND(D167="Férié",F167&lt;&gt;"Férié"),(AND(F167="Férié",D167&lt;&gt;"Férié"))),0.166666666666667,""))</f>
        <v>0.333333333333333</v>
      </c>
      <c r="AF167" s="18"/>
      <c r="AG167" s="18"/>
    </row>
    <row r="168" customFormat="false" ht="15" hidden="false" customHeight="false" outlineLevel="0" collapsed="false">
      <c r="A168" s="6" t="str">
        <f aca="false">YEAR(Q168-WEEKDAY(Q168,2)+4)&amp;"-S"&amp;TEXT(WEEKNUM(Q168,21),"00")</f>
        <v>2026-S01</v>
      </c>
      <c r="B168" s="18" t="s">
        <v>72</v>
      </c>
      <c r="C168" s="19"/>
      <c r="D168" s="19" t="s">
        <v>81</v>
      </c>
      <c r="E168" s="19"/>
      <c r="F168" s="19" t="s">
        <v>81</v>
      </c>
      <c r="G168" s="20"/>
      <c r="H168" s="20"/>
      <c r="I168" s="8" t="str">
        <f aca="false">IF(IF(OR(C168="",D168="Congé",D168="OFF",D168="Congé spécial"),"",IF(D168&gt;F168,D168-C168,IF(C168-D168&lt;0,0,C168-D168)))&lt;0.00068287037037037,"",IF(OR(D168="Congé",D168="OFF",C168="",D168="Congé spécial"),"",IF(D168&gt;F168,D168-C168,IF(C168-D168&lt;0,0,C168-D168))))</f>
        <v/>
      </c>
      <c r="J168" s="20"/>
      <c r="K168" s="8" t="n">
        <f aca="false">IF(SUM(H168:J168)&lt;0.00068287037037037,0,SUM(H168:J168))</f>
        <v>0</v>
      </c>
      <c r="L168" s="8" t="n">
        <f aca="false">IF(OR(F168="Congé",F168="OFF",M168="Abs",F168="Congé sans solde",F168="Férié",F168="Congé spécial",D168="Congé spécial"),0,IF(F168-E168&lt;0,0,IF(F168-E168&lt;=0.00068287037037037,0,F168-E168)))</f>
        <v>0</v>
      </c>
      <c r="M168" s="6" t="n">
        <f aca="false">IF(AND(O168&lt;&gt;0,C168=""),"Abs",0)</f>
        <v>0</v>
      </c>
      <c r="N168" s="8" t="str">
        <f aca="false">IFERROR(IF(OR(D168="OFF",D168="Congé",M168="Abs",D168="Congé sans solde",D168="Férié"),"",IF(O168-K168-L168&gt;O168,O168,IF(O168-K168-L168&lt;0,"",O168-K168-L168))),"")</f>
        <v/>
      </c>
      <c r="O168" s="8" t="n">
        <f aca="false">IF(AG168="2H Pause déjeuner",IF(F168-D168-0.0833333333333333&lt;0,F168-D168-0.0833333333333333+1,F168-D168-0.0833333333333333),IF(OR(AND(F168="OFF",D168="OFF"),AND(F168="Congé",D168="Congé"),AND(F168="Congé sans solde",D168="Congé sans solde"),AND(F168="Congé spécial",D168="Congé spécial"),AND(F168="Férié",D168="Férié"),AND(F168="OFF",D168="Congé"),AND(F168="OFF",D168="Congé sans solde"),AND(F168="OFF",D168="Congé spécial"),AND(F168="OFF",D168="Férié"),AND(F168="Congé",D168="OFF"),AND(F168="Congé",D168="Congé sans solde"),AND(F168="Congé",D168="Congé spécial"),AND(F168="Congé",D168="Férié"),AND(F168="Congé sans solde",D168="OFF"),AND(F168="Congé sans solde",D168="Congé"),AND(F168="Congé sans solde",D168="Congé spécial"),AND(F168="Congé sans solde",D168="Férié"),AND(F168="Congé spécial",D168="OFF"),AND(F168="Congé spécial",D168="Congé"),AND(F168="Congé spécial",D168="Congé sans solde"),AND(F168="Congé spécial",D168="Férié"),AND(F168="Férié",D168="OFF"),AND(F168="Férié",D168="Congé"),AND(F168="Férié",D168="Congé sans solde"),AND(F168="Férié",D168="Congé spécial")),0,IF(OR(F168="OFF",F168="Congé",F168="Congé spécial",F168="Congé sans solde",D168="OFF",D168="Congé",D168="Congé spécial",D168="Congé sans solde"),0.208333333333334,IF(AND(AG168="",F168-D168&lt;0),("24:00:00"-D168)+("00:00:00"+F168)-0.0416666666666667,IF(AND(OR(AG168="Allaitement",AG168="Sans déjeuner"),F168-D168&lt;0),("24:00:00"-D168)+("00:00:00"+F168),IF(AND(AG168="",F168-D168&gt;0.166666666666667),F168-D168-0.0416666666666667,IF(AND(OR(AG168="Allaitement",AG168="Sans déjeuner"),F168-D168&gt;0.166666666666667),F168-D168,F168-D168)))))))</f>
        <v>0</v>
      </c>
      <c r="P168" s="6" t="str">
        <f aca="false">IFERROR(VLOOKUP($B168,Agents!$A:$D,2,0),"-")</f>
        <v>Accessibilité</v>
      </c>
      <c r="Q168" s="21" t="n">
        <v>46023</v>
      </c>
      <c r="R168" s="8" t="n">
        <f aca="false">IF(M168="Abs",O168,0)</f>
        <v>0</v>
      </c>
      <c r="S168" s="8" t="n">
        <f aca="false">SUM(R168,L168,I168,J168,W168,H168)</f>
        <v>0</v>
      </c>
      <c r="T168" s="6" t="str">
        <f aca="false">"Sem - "&amp;WEEKNUM(Q168,21)</f>
        <v>Sem - 1</v>
      </c>
      <c r="U168" s="6" t="str">
        <f aca="false">CHOOSE(MONTH(Q168),"Janvier","Février","Mars","Avril","Mai","Juin","Juillet","Août","Septembre","Octobre","Novembre","Décembre")</f>
        <v>Janvier</v>
      </c>
      <c r="V168" s="22" t="n">
        <f aca="false">YEAR(Q168)</f>
        <v>2026</v>
      </c>
      <c r="W168" s="20"/>
      <c r="X168" s="8" t="n">
        <f aca="false">IFERROR(IF(M168="Abs",0,IF(ROUND((D168-C168+E168-F168)*1440,0)&lt;=1,0,D168-C168+E168-F168)),0)</f>
        <v>0</v>
      </c>
      <c r="Y168" s="6" t="str">
        <f aca="false">IFERROR(VLOOKUP($B168,Agents!$A:$D,3,0),"-")</f>
        <v>OUBRAHIM Mohammed</v>
      </c>
      <c r="Z168" s="6" t="str">
        <f aca="false">IFERROR(VLOOKUP($B168,Agents!$A:$D,4,0),"-")</f>
        <v>Credit Mutuel</v>
      </c>
      <c r="AA168" s="18" t="s">
        <v>80</v>
      </c>
      <c r="AB168" s="8" t="str">
        <f aca="false">IF(AND(D168="Congé",F168="Congé"),0.333333333333333,IF(OR(AND(D168="Congé",F168&lt;&gt;"Congé"),(AND(F168="Congé",D168&lt;&gt;"Congé"))),0.166666666666667,""))</f>
        <v/>
      </c>
      <c r="AC168" s="8" t="str">
        <f aca="false">IF(AND(D168="Congé sans solde",F168="Congé sans solde"),0.333333333333333,IF(OR(AND(D168="Congé sans solde",F168&lt;&gt;"Congé sans solde"),(AND(F168="Congé sans solde",D168&lt;&gt;"Congé sans solde"))),0.166666666666667,""))</f>
        <v/>
      </c>
      <c r="AD168" s="8" t="str">
        <f aca="false">IF(AND(D168="Congé spécial",F168="Congé spécial"),0.333333333333333,IF(OR(AND(D168="Congé spécial",F168&lt;&gt;"Congé spécial"),AND(F168="Congé spécial",D168&lt;&gt;"Congé spécial")),0.166666666666667,""))</f>
        <v/>
      </c>
      <c r="AE168" s="8" t="n">
        <f aca="false">IF(AND(D168="Férié",F168="Férié"),0.333333333333333,IF(OR(AND(D168="Férié",F168&lt;&gt;"Férié"),(AND(F168="Férié",D168&lt;&gt;"Férié"))),0.166666666666667,""))</f>
        <v>0.333333333333333</v>
      </c>
      <c r="AF168" s="18"/>
      <c r="AG168" s="18"/>
    </row>
    <row r="169" customFormat="false" ht="15" hidden="false" customHeight="false" outlineLevel="0" collapsed="false">
      <c r="A169" s="6" t="str">
        <f aca="false">YEAR(Q169-WEEKDAY(Q169,2)+4)&amp;"-S"&amp;TEXT(WEEKNUM(Q169,21),"00")</f>
        <v>2026-S01</v>
      </c>
      <c r="B169" s="18" t="s">
        <v>73</v>
      </c>
      <c r="C169" s="19"/>
      <c r="D169" s="19" t="s">
        <v>81</v>
      </c>
      <c r="E169" s="19"/>
      <c r="F169" s="19" t="s">
        <v>81</v>
      </c>
      <c r="G169" s="20"/>
      <c r="H169" s="20"/>
      <c r="I169" s="8" t="str">
        <f aca="false">IF(IF(OR(C169="",D169="Congé",D169="OFF",D169="Congé spécial"),"",IF(D169&gt;F169,D169-C169,IF(C169-D169&lt;0,0,C169-D169)))&lt;0.00068287037037037,"",IF(OR(D169="Congé",D169="OFF",C169="",D169="Congé spécial"),"",IF(D169&gt;F169,D169-C169,IF(C169-D169&lt;0,0,C169-D169))))</f>
        <v/>
      </c>
      <c r="J169" s="20"/>
      <c r="K169" s="8" t="n">
        <f aca="false">IF(SUM(H169:J169)&lt;0.00068287037037037,0,SUM(H169:J169))</f>
        <v>0</v>
      </c>
      <c r="L169" s="8" t="n">
        <f aca="false">IF(OR(F169="Congé",F169="OFF",M169="Abs",F169="Congé sans solde",F169="Férié",F169="Congé spécial",D169="Congé spécial"),0,IF(F169-E169&lt;0,0,IF(F169-E169&lt;=0.00068287037037037,0,F169-E169)))</f>
        <v>0</v>
      </c>
      <c r="M169" s="6" t="n">
        <f aca="false">IF(AND(O169&lt;&gt;0,C169=""),"Abs",0)</f>
        <v>0</v>
      </c>
      <c r="N169" s="8" t="str">
        <f aca="false">IFERROR(IF(OR(D169="OFF",D169="Congé",M169="Abs",D169="Congé sans solde",D169="Férié"),"",IF(O169-K169-L169&gt;O169,O169,IF(O169-K169-L169&lt;0,"",O169-K169-L169))),"")</f>
        <v/>
      </c>
      <c r="O169" s="8" t="n">
        <f aca="false">IF(AG169="2H Pause déjeuner",IF(F169-D169-0.0833333333333333&lt;0,F169-D169-0.0833333333333333+1,F169-D169-0.0833333333333333),IF(OR(AND(F169="OFF",D169="OFF"),AND(F169="Congé",D169="Congé"),AND(F169="Congé sans solde",D169="Congé sans solde"),AND(F169="Congé spécial",D169="Congé spécial"),AND(F169="Férié",D169="Férié"),AND(F169="OFF",D169="Congé"),AND(F169="OFF",D169="Congé sans solde"),AND(F169="OFF",D169="Congé spécial"),AND(F169="OFF",D169="Férié"),AND(F169="Congé",D169="OFF"),AND(F169="Congé",D169="Congé sans solde"),AND(F169="Congé",D169="Congé spécial"),AND(F169="Congé",D169="Férié"),AND(F169="Congé sans solde",D169="OFF"),AND(F169="Congé sans solde",D169="Congé"),AND(F169="Congé sans solde",D169="Congé spécial"),AND(F169="Congé sans solde",D169="Férié"),AND(F169="Congé spécial",D169="OFF"),AND(F169="Congé spécial",D169="Congé"),AND(F169="Congé spécial",D169="Congé sans solde"),AND(F169="Congé spécial",D169="Férié"),AND(F169="Férié",D169="OFF"),AND(F169="Férié",D169="Congé"),AND(F169="Férié",D169="Congé sans solde"),AND(F169="Férié",D169="Congé spécial")),0,IF(OR(F169="OFF",F169="Congé",F169="Congé spécial",F169="Congé sans solde",D169="OFF",D169="Congé",D169="Congé spécial",D169="Congé sans solde"),0.208333333333334,IF(AND(AG169="",F169-D169&lt;0),("24:00:00"-D169)+("00:00:00"+F169)-0.0416666666666667,IF(AND(OR(AG169="Allaitement",AG169="Sans déjeuner"),F169-D169&lt;0),("24:00:00"-D169)+("00:00:00"+F169),IF(AND(AG169="",F169-D169&gt;0.166666666666667),F169-D169-0.0416666666666667,IF(AND(OR(AG169="Allaitement",AG169="Sans déjeuner"),F169-D169&gt;0.166666666666667),F169-D169,F169-D169)))))))</f>
        <v>0</v>
      </c>
      <c r="P169" s="6" t="str">
        <f aca="false">IFERROR(VLOOKUP($B169,Agents!$A:$D,2,0),"-")</f>
        <v>Accessibilité</v>
      </c>
      <c r="Q169" s="21" t="n">
        <v>46023</v>
      </c>
      <c r="R169" s="8" t="n">
        <f aca="false">IF(M169="Abs",O169,0)</f>
        <v>0</v>
      </c>
      <c r="S169" s="8" t="n">
        <f aca="false">SUM(R169,L169,I169,J169,W169,H169)</f>
        <v>0</v>
      </c>
      <c r="T169" s="6" t="str">
        <f aca="false">"Sem - "&amp;WEEKNUM(Q169,21)</f>
        <v>Sem - 1</v>
      </c>
      <c r="U169" s="6" t="str">
        <f aca="false">CHOOSE(MONTH(Q169),"Janvier","Février","Mars","Avril","Mai","Juin","Juillet","Août","Septembre","Octobre","Novembre","Décembre")</f>
        <v>Janvier</v>
      </c>
      <c r="V169" s="22" t="n">
        <f aca="false">YEAR(Q169)</f>
        <v>2026</v>
      </c>
      <c r="W169" s="20"/>
      <c r="X169" s="8" t="n">
        <f aca="false">IFERROR(IF(M169="Abs",0,IF(ROUND((D169-C169+E169-F169)*1440,0)&lt;=1,0,D169-C169+E169-F169)),0)</f>
        <v>0</v>
      </c>
      <c r="Y169" s="6" t="str">
        <f aca="false">IFERROR(VLOOKUP($B169,Agents!$A:$D,3,0),"-")</f>
        <v>OUBRAHIM Mohammed</v>
      </c>
      <c r="Z169" s="6" t="str">
        <f aca="false">IFERROR(VLOOKUP($B169,Agents!$A:$D,4,0),"-")</f>
        <v>Credit Mutuel</v>
      </c>
      <c r="AA169" s="18" t="s">
        <v>80</v>
      </c>
      <c r="AB169" s="8" t="str">
        <f aca="false">IF(AND(D169="Congé",F169="Congé"),0.333333333333333,IF(OR(AND(D169="Congé",F169&lt;&gt;"Congé"),(AND(F169="Congé",D169&lt;&gt;"Congé"))),0.166666666666667,""))</f>
        <v/>
      </c>
      <c r="AC169" s="8" t="str">
        <f aca="false">IF(AND(D169="Congé sans solde",F169="Congé sans solde"),0.333333333333333,IF(OR(AND(D169="Congé sans solde",F169&lt;&gt;"Congé sans solde"),(AND(F169="Congé sans solde",D169&lt;&gt;"Congé sans solde"))),0.166666666666667,""))</f>
        <v/>
      </c>
      <c r="AD169" s="8" t="str">
        <f aca="false">IF(AND(D169="Congé spécial",F169="Congé spécial"),0.333333333333333,IF(OR(AND(D169="Congé spécial",F169&lt;&gt;"Congé spécial"),AND(F169="Congé spécial",D169&lt;&gt;"Congé spécial")),0.166666666666667,""))</f>
        <v/>
      </c>
      <c r="AE169" s="8" t="n">
        <f aca="false">IF(AND(D169="Férié",F169="Férié"),0.333333333333333,IF(OR(AND(D169="Férié",F169&lt;&gt;"Férié"),(AND(F169="Férié",D169&lt;&gt;"Férié"))),0.166666666666667,""))</f>
        <v>0.333333333333333</v>
      </c>
      <c r="AF169" s="18"/>
      <c r="AG169" s="18"/>
    </row>
    <row r="170" customFormat="false" ht="15" hidden="false" customHeight="false" outlineLevel="0" collapsed="false">
      <c r="A170" s="6" t="str">
        <f aca="false">YEAR(Q170-WEEKDAY(Q170,2)+4)&amp;"-S"&amp;TEXT(WEEKNUM(Q170,21),"00")</f>
        <v>2026-S01</v>
      </c>
      <c r="B170" s="18" t="s">
        <v>69</v>
      </c>
      <c r="C170" s="19" t="n">
        <v>0.333333333333333</v>
      </c>
      <c r="D170" s="19" t="n">
        <v>0.333333333333333</v>
      </c>
      <c r="E170" s="19" t="n">
        <v>0.708333333333333</v>
      </c>
      <c r="F170" s="19" t="n">
        <v>0.708333333333333</v>
      </c>
      <c r="G170" s="20"/>
      <c r="H170" s="20"/>
      <c r="I170" s="8" t="str">
        <f aca="false">IF(IF(OR(C170="",D170="Congé",D170="OFF",D170="Congé spécial"),"",IF(D170&gt;F170,D170-C170,IF(C170-D170&lt;0,0,C170-D170)))&lt;0.00068287037037037,"",IF(OR(D170="Congé",D170="OFF",C170="",D170="Congé spécial"),"",IF(D170&gt;F170,D170-C170,IF(C170-D170&lt;0,0,C170-D170))))</f>
        <v/>
      </c>
      <c r="J170" s="20"/>
      <c r="K170" s="8" t="n">
        <f aca="false">IF(SUM(H170:J170)&lt;0.00068287037037037,0,SUM(H170:J170))</f>
        <v>0</v>
      </c>
      <c r="L170" s="8" t="n">
        <f aca="false">IF(OR(F170="Congé",F170="OFF",M170="Abs",F170="Congé sans solde",F170="Férié",F170="Congé spécial",D170="Congé spécial"),0,IF(F170-E170&lt;0,0,IF(F170-E170&lt;=0.00068287037037037,0,F170-E170)))</f>
        <v>0</v>
      </c>
      <c r="M170" s="6" t="n">
        <f aca="false">IF(AND(O170&lt;&gt;0,C170=""),"Abs",0)</f>
        <v>0</v>
      </c>
      <c r="N170" s="8" t="n">
        <f aca="false">IFERROR(IF(OR(D170="OFF",D170="Congé",M170="Abs",D170="Congé sans solde",D170="Férié"),"",IF(O170-K170-L170&gt;O170,O170,IF(O170-K170-L170&lt;0,"",O170-K170-L170))),"")</f>
        <v>0.333333333333333</v>
      </c>
      <c r="O170" s="8" t="n">
        <f aca="false">IF(AG170="2H Pause déjeuner",IF(F170-D170-0.0833333333333333&lt;0,F170-D170-0.0833333333333333+1,F170-D170-0.0833333333333333),IF(OR(AND(F170="OFF",D170="OFF"),AND(F170="Congé",D170="Congé"),AND(F170="Congé sans solde",D170="Congé sans solde"),AND(F170="Congé spécial",D170="Congé spécial"),AND(F170="Férié",D170="Férié"),AND(F170="OFF",D170="Congé"),AND(F170="OFF",D170="Congé sans solde"),AND(F170="OFF",D170="Congé spécial"),AND(F170="OFF",D170="Férié"),AND(F170="Congé",D170="OFF"),AND(F170="Congé",D170="Congé sans solde"),AND(F170="Congé",D170="Congé spécial"),AND(F170="Congé",D170="Férié"),AND(F170="Congé sans solde",D170="OFF"),AND(F170="Congé sans solde",D170="Congé"),AND(F170="Congé sans solde",D170="Congé spécial"),AND(F170="Congé sans solde",D170="Férié"),AND(F170="Congé spécial",D170="OFF"),AND(F170="Congé spécial",D170="Congé"),AND(F170="Congé spécial",D170="Congé sans solde"),AND(F170="Congé spécial",D170="Férié"),AND(F170="Férié",D170="OFF"),AND(F170="Férié",D170="Congé"),AND(F170="Férié",D170="Congé sans solde"),AND(F170="Férié",D170="Congé spécial")),0,IF(OR(F170="OFF",F170="Congé",F170="Congé spécial",F170="Congé sans solde",D170="OFF",D170="Congé",D170="Congé spécial",D170="Congé sans solde"),0.208333333333334,IF(AND(AG170="",F170-D170&lt;0),("24:00:00"-D170)+("00:00:00"+F170)-0.0416666666666667,IF(AND(OR(AG170="Allaitement",AG170="Sans déjeuner"),F170-D170&lt;0),("24:00:00"-D170)+("00:00:00"+F170),IF(AND(AG170="",F170-D170&gt;0.166666666666667),F170-D170-0.0416666666666667,IF(AND(OR(AG170="Allaitement",AG170="Sans déjeuner"),F170-D170&gt;0.166666666666667),F170-D170,F170-D170)))))))</f>
        <v>0.333333333333333</v>
      </c>
      <c r="P170" s="6" t="str">
        <f aca="false">IFERROR(VLOOKUP($B170,Agents!$A:$D,2,0),"-")</f>
        <v>Accessibilité</v>
      </c>
      <c r="Q170" s="21" t="n">
        <v>46024</v>
      </c>
      <c r="R170" s="8" t="n">
        <f aca="false">IF(M170="Abs",O170,0)</f>
        <v>0</v>
      </c>
      <c r="S170" s="8" t="n">
        <f aca="false">SUM(R170,L170,I170,J170,W170,H170)</f>
        <v>0</v>
      </c>
      <c r="T170" s="6" t="str">
        <f aca="false">"Sem - "&amp;WEEKNUM(Q170,21)</f>
        <v>Sem - 1</v>
      </c>
      <c r="U170" s="6" t="str">
        <f aca="false">CHOOSE(MONTH(Q170),"Janvier","Février","Mars","Avril","Mai","Juin","Juillet","Août","Septembre","Octobre","Novembre","Décembre")</f>
        <v>Janvier</v>
      </c>
      <c r="V170" s="22" t="n">
        <f aca="false">YEAR(Q170)</f>
        <v>2026</v>
      </c>
      <c r="W170" s="20"/>
      <c r="X170" s="8" t="n">
        <f aca="false">IFERROR(IF(M170="Abs",0,IF(ROUND((D170-C170+E170-F170)*1440,0)&lt;=1,0,D170-C170+E170-F170)),0)</f>
        <v>0</v>
      </c>
      <c r="Y170" s="6" t="str">
        <f aca="false">IFERROR(VLOOKUP($B170,Agents!$A:$D,3,0),"-")</f>
        <v>OUBRAHIM Mohammed</v>
      </c>
      <c r="Z170" s="6" t="str">
        <f aca="false">IFERROR(VLOOKUP($B170,Agents!$A:$D,4,0),"-")</f>
        <v>Credit Mutuel</v>
      </c>
      <c r="AA170" s="18" t="s">
        <v>80</v>
      </c>
      <c r="AB170" s="8" t="str">
        <f aca="false">IF(AND(D170="Congé",F170="Congé"),0.333333333333333,IF(OR(AND(D170="Congé",F170&lt;&gt;"Congé"),(AND(F170="Congé",D170&lt;&gt;"Congé"))),0.166666666666667,""))</f>
        <v/>
      </c>
      <c r="AC170" s="8" t="str">
        <f aca="false">IF(AND(D170="Congé sans solde",F170="Congé sans solde"),0.333333333333333,IF(OR(AND(D170="Congé sans solde",F170&lt;&gt;"Congé sans solde"),(AND(F170="Congé sans solde",D170&lt;&gt;"Congé sans solde"))),0.166666666666667,""))</f>
        <v/>
      </c>
      <c r="AD170" s="8" t="str">
        <f aca="false">IF(AND(D170="Congé spécial",F170="Congé spécial"),0.333333333333333,IF(OR(AND(D170="Congé spécial",F170&lt;&gt;"Congé spécial"),AND(F170="Congé spécial",D170&lt;&gt;"Congé spécial")),0.166666666666667,""))</f>
        <v/>
      </c>
      <c r="AE170" s="8" t="str">
        <f aca="false">IF(AND(D170="Férié",F170="Férié"),0.333333333333333,IF(OR(AND(D170="Férié",F170&lt;&gt;"Férié"),(AND(F170="Férié",D170&lt;&gt;"Férié"))),0.166666666666667,""))</f>
        <v/>
      </c>
      <c r="AF170" s="18"/>
      <c r="AG170" s="18"/>
    </row>
    <row r="171" customFormat="false" ht="15" hidden="false" customHeight="false" outlineLevel="0" collapsed="false">
      <c r="A171" s="6" t="str">
        <f aca="false">YEAR(Q171-WEEKDAY(Q171,2)+4)&amp;"-S"&amp;TEXT(WEEKNUM(Q171,21),"00")</f>
        <v>2026-S01</v>
      </c>
      <c r="B171" s="18" t="s">
        <v>71</v>
      </c>
      <c r="C171" s="19" t="n">
        <v>0.333333333333333</v>
      </c>
      <c r="D171" s="19" t="n">
        <v>0.333333333333333</v>
      </c>
      <c r="E171" s="19" t="n">
        <v>0.708333333333333</v>
      </c>
      <c r="F171" s="19" t="n">
        <v>0.708333333333333</v>
      </c>
      <c r="G171" s="20"/>
      <c r="H171" s="20"/>
      <c r="I171" s="8" t="str">
        <f aca="false">IF(IF(OR(C171="",D171="Congé",D171="OFF",D171="Congé spécial"),"",IF(D171&gt;F171,D171-C171,IF(C171-D171&lt;0,0,C171-D171)))&lt;0.00068287037037037,"",IF(OR(D171="Congé",D171="OFF",C171="",D171="Congé spécial"),"",IF(D171&gt;F171,D171-C171,IF(C171-D171&lt;0,0,C171-D171))))</f>
        <v/>
      </c>
      <c r="J171" s="20"/>
      <c r="K171" s="8" t="n">
        <f aca="false">IF(SUM(H171:J171)&lt;0.00068287037037037,0,SUM(H171:J171))</f>
        <v>0</v>
      </c>
      <c r="L171" s="8" t="n">
        <f aca="false">IF(OR(F171="Congé",F171="OFF",M171="Abs",F171="Congé sans solde",F171="Férié",F171="Congé spécial",D171="Congé spécial"),0,IF(F171-E171&lt;0,0,IF(F171-E171&lt;=0.00068287037037037,0,F171-E171)))</f>
        <v>0</v>
      </c>
      <c r="M171" s="6" t="n">
        <f aca="false">IF(AND(O171&lt;&gt;0,C171=""),"Abs",0)</f>
        <v>0</v>
      </c>
      <c r="N171" s="8" t="n">
        <f aca="false">IFERROR(IF(OR(D171="OFF",D171="Congé",M171="Abs",D171="Congé sans solde",D171="Férié"),"",IF(O171-K171-L171&gt;O171,O171,IF(O171-K171-L171&lt;0,"",O171-K171-L171))),"")</f>
        <v>0.333333333333333</v>
      </c>
      <c r="O171" s="8" t="n">
        <f aca="false">IF(AG171="2H Pause déjeuner",IF(F171-D171-0.0833333333333333&lt;0,F171-D171-0.0833333333333333+1,F171-D171-0.0833333333333333),IF(OR(AND(F171="OFF",D171="OFF"),AND(F171="Congé",D171="Congé"),AND(F171="Congé sans solde",D171="Congé sans solde"),AND(F171="Congé spécial",D171="Congé spécial"),AND(F171="Férié",D171="Férié"),AND(F171="OFF",D171="Congé"),AND(F171="OFF",D171="Congé sans solde"),AND(F171="OFF",D171="Congé spécial"),AND(F171="OFF",D171="Férié"),AND(F171="Congé",D171="OFF"),AND(F171="Congé",D171="Congé sans solde"),AND(F171="Congé",D171="Congé spécial"),AND(F171="Congé",D171="Férié"),AND(F171="Congé sans solde",D171="OFF"),AND(F171="Congé sans solde",D171="Congé"),AND(F171="Congé sans solde",D171="Congé spécial"),AND(F171="Congé sans solde",D171="Férié"),AND(F171="Congé spécial",D171="OFF"),AND(F171="Congé spécial",D171="Congé"),AND(F171="Congé spécial",D171="Congé sans solde"),AND(F171="Congé spécial",D171="Férié"),AND(F171="Férié",D171="OFF"),AND(F171="Férié",D171="Congé"),AND(F171="Férié",D171="Congé sans solde"),AND(F171="Férié",D171="Congé spécial")),0,IF(OR(F171="OFF",F171="Congé",F171="Congé spécial",F171="Congé sans solde",D171="OFF",D171="Congé",D171="Congé spécial",D171="Congé sans solde"),0.208333333333334,IF(AND(AG171="",F171-D171&lt;0),("24:00:00"-D171)+("00:00:00"+F171)-0.0416666666666667,IF(AND(OR(AG171="Allaitement",AG171="Sans déjeuner"),F171-D171&lt;0),("24:00:00"-D171)+("00:00:00"+F171),IF(AND(AG171="",F171-D171&gt;0.166666666666667),F171-D171-0.0416666666666667,IF(AND(OR(AG171="Allaitement",AG171="Sans déjeuner"),F171-D171&gt;0.166666666666667),F171-D171,F171-D171)))))))</f>
        <v>0.333333333333333</v>
      </c>
      <c r="P171" s="6" t="str">
        <f aca="false">IFERROR(VLOOKUP($B171,Agents!$A:$D,2,0),"-")</f>
        <v>Accessibilité</v>
      </c>
      <c r="Q171" s="21" t="n">
        <v>46024</v>
      </c>
      <c r="R171" s="8" t="n">
        <f aca="false">IF(M171="Abs",O171,0)</f>
        <v>0</v>
      </c>
      <c r="S171" s="8" t="n">
        <f aca="false">SUM(R171,L171,I171,J171,W171,H171)</f>
        <v>0</v>
      </c>
      <c r="T171" s="6" t="str">
        <f aca="false">"Sem - "&amp;WEEKNUM(Q171,21)</f>
        <v>Sem - 1</v>
      </c>
      <c r="U171" s="6" t="str">
        <f aca="false">CHOOSE(MONTH(Q171),"Janvier","Février","Mars","Avril","Mai","Juin","Juillet","Août","Septembre","Octobre","Novembre","Décembre")</f>
        <v>Janvier</v>
      </c>
      <c r="V171" s="22" t="n">
        <f aca="false">YEAR(Q171)</f>
        <v>2026</v>
      </c>
      <c r="W171" s="20"/>
      <c r="X171" s="8" t="n">
        <f aca="false">IFERROR(IF(M171="Abs",0,IF(ROUND((D171-C171+E171-F171)*1440,0)&lt;=1,0,D171-C171+E171-F171)),0)</f>
        <v>0</v>
      </c>
      <c r="Y171" s="6" t="str">
        <f aca="false">IFERROR(VLOOKUP($B171,Agents!$A:$D,3,0),"-")</f>
        <v>OUBRAHIM Mohammed</v>
      </c>
      <c r="Z171" s="6" t="str">
        <f aca="false">IFERROR(VLOOKUP($B171,Agents!$A:$D,4,0),"-")</f>
        <v>Credit Mutuel</v>
      </c>
      <c r="AA171" s="18" t="s">
        <v>80</v>
      </c>
      <c r="AB171" s="8" t="str">
        <f aca="false">IF(AND(D171="Congé",F171="Congé"),0.333333333333333,IF(OR(AND(D171="Congé",F171&lt;&gt;"Congé"),(AND(F171="Congé",D171&lt;&gt;"Congé"))),0.166666666666667,""))</f>
        <v/>
      </c>
      <c r="AC171" s="8" t="str">
        <f aca="false">IF(AND(D171="Congé sans solde",F171="Congé sans solde"),0.333333333333333,IF(OR(AND(D171="Congé sans solde",F171&lt;&gt;"Congé sans solde"),(AND(F171="Congé sans solde",D171&lt;&gt;"Congé sans solde"))),0.166666666666667,""))</f>
        <v/>
      </c>
      <c r="AD171" s="8" t="str">
        <f aca="false">IF(AND(D171="Congé spécial",F171="Congé spécial"),0.333333333333333,IF(OR(AND(D171="Congé spécial",F171&lt;&gt;"Congé spécial"),AND(F171="Congé spécial",D171&lt;&gt;"Congé spécial")),0.166666666666667,""))</f>
        <v/>
      </c>
      <c r="AE171" s="8" t="str">
        <f aca="false">IF(AND(D171="Férié",F171="Férié"),0.333333333333333,IF(OR(AND(D171="Férié",F171&lt;&gt;"Férié"),(AND(F171="Férié",D171&lt;&gt;"Férié"))),0.166666666666667,""))</f>
        <v/>
      </c>
      <c r="AF171" s="18"/>
      <c r="AG171" s="18"/>
    </row>
    <row r="172" customFormat="false" ht="15" hidden="false" customHeight="false" outlineLevel="0" collapsed="false">
      <c r="A172" s="6" t="str">
        <f aca="false">YEAR(Q172-WEEKDAY(Q172,2)+4)&amp;"-S"&amp;TEXT(WEEKNUM(Q172,21),"00")</f>
        <v>2026-S01</v>
      </c>
      <c r="B172" s="18" t="s">
        <v>72</v>
      </c>
      <c r="C172" s="19" t="n">
        <v>0.333333333333333</v>
      </c>
      <c r="D172" s="19" t="n">
        <v>0.333333333333333</v>
      </c>
      <c r="E172" s="19" t="n">
        <v>0.708333333333333</v>
      </c>
      <c r="F172" s="19" t="n">
        <v>0.708333333333333</v>
      </c>
      <c r="G172" s="20"/>
      <c r="H172" s="20"/>
      <c r="I172" s="8" t="str">
        <f aca="false">IF(IF(OR(C172="",D172="Congé",D172="OFF",D172="Congé spécial"),"",IF(D172&gt;F172,D172-C172,IF(C172-D172&lt;0,0,C172-D172)))&lt;0.00068287037037037,"",IF(OR(D172="Congé",D172="OFF",C172="",D172="Congé spécial"),"",IF(D172&gt;F172,D172-C172,IF(C172-D172&lt;0,0,C172-D172))))</f>
        <v/>
      </c>
      <c r="J172" s="20"/>
      <c r="K172" s="8" t="n">
        <f aca="false">IF(SUM(H172:J172)&lt;0.00068287037037037,0,SUM(H172:J172))</f>
        <v>0</v>
      </c>
      <c r="L172" s="8" t="n">
        <f aca="false">IF(OR(F172="Congé",F172="OFF",M172="Abs",F172="Congé sans solde",F172="Férié",F172="Congé spécial",D172="Congé spécial"),0,IF(F172-E172&lt;0,0,IF(F172-E172&lt;=0.00068287037037037,0,F172-E172)))</f>
        <v>0</v>
      </c>
      <c r="M172" s="6" t="n">
        <f aca="false">IF(AND(O172&lt;&gt;0,C172=""),"Abs",0)</f>
        <v>0</v>
      </c>
      <c r="N172" s="8" t="n">
        <f aca="false">IFERROR(IF(OR(D172="OFF",D172="Congé",M172="Abs",D172="Congé sans solde",D172="Férié"),"",IF(O172-K172-L172&gt;O172,O172,IF(O172-K172-L172&lt;0,"",O172-K172-L172))),"")</f>
        <v>0.333333333333333</v>
      </c>
      <c r="O172" s="8" t="n">
        <f aca="false">IF(AG172="2H Pause déjeuner",IF(F172-D172-0.0833333333333333&lt;0,F172-D172-0.0833333333333333+1,F172-D172-0.0833333333333333),IF(OR(AND(F172="OFF",D172="OFF"),AND(F172="Congé",D172="Congé"),AND(F172="Congé sans solde",D172="Congé sans solde"),AND(F172="Congé spécial",D172="Congé spécial"),AND(F172="Férié",D172="Férié"),AND(F172="OFF",D172="Congé"),AND(F172="OFF",D172="Congé sans solde"),AND(F172="OFF",D172="Congé spécial"),AND(F172="OFF",D172="Férié"),AND(F172="Congé",D172="OFF"),AND(F172="Congé",D172="Congé sans solde"),AND(F172="Congé",D172="Congé spécial"),AND(F172="Congé",D172="Férié"),AND(F172="Congé sans solde",D172="OFF"),AND(F172="Congé sans solde",D172="Congé"),AND(F172="Congé sans solde",D172="Congé spécial"),AND(F172="Congé sans solde",D172="Férié"),AND(F172="Congé spécial",D172="OFF"),AND(F172="Congé spécial",D172="Congé"),AND(F172="Congé spécial",D172="Congé sans solde"),AND(F172="Congé spécial",D172="Férié"),AND(F172="Férié",D172="OFF"),AND(F172="Férié",D172="Congé"),AND(F172="Férié",D172="Congé sans solde"),AND(F172="Férié",D172="Congé spécial")),0,IF(OR(F172="OFF",F172="Congé",F172="Congé spécial",F172="Congé sans solde",D172="OFF",D172="Congé",D172="Congé spécial",D172="Congé sans solde"),0.208333333333334,IF(AND(AG172="",F172-D172&lt;0),("24:00:00"-D172)+("00:00:00"+F172)-0.0416666666666667,IF(AND(OR(AG172="Allaitement",AG172="Sans déjeuner"),F172-D172&lt;0),("24:00:00"-D172)+("00:00:00"+F172),IF(AND(AG172="",F172-D172&gt;0.166666666666667),F172-D172-0.0416666666666667,IF(AND(OR(AG172="Allaitement",AG172="Sans déjeuner"),F172-D172&gt;0.166666666666667),F172-D172,F172-D172)))))))</f>
        <v>0.333333333333333</v>
      </c>
      <c r="P172" s="6" t="str">
        <f aca="false">IFERROR(VLOOKUP($B172,Agents!$A:$D,2,0),"-")</f>
        <v>Accessibilité</v>
      </c>
      <c r="Q172" s="21" t="n">
        <v>46024</v>
      </c>
      <c r="R172" s="8" t="n">
        <f aca="false">IF(M172="Abs",O172,0)</f>
        <v>0</v>
      </c>
      <c r="S172" s="8" t="n">
        <f aca="false">SUM(R172,L172,I172,J172,W172,H172)</f>
        <v>0</v>
      </c>
      <c r="T172" s="6" t="str">
        <f aca="false">"Sem - "&amp;WEEKNUM(Q172,21)</f>
        <v>Sem - 1</v>
      </c>
      <c r="U172" s="6" t="str">
        <f aca="false">CHOOSE(MONTH(Q172),"Janvier","Février","Mars","Avril","Mai","Juin","Juillet","Août","Septembre","Octobre","Novembre","Décembre")</f>
        <v>Janvier</v>
      </c>
      <c r="V172" s="22" t="n">
        <f aca="false">YEAR(Q172)</f>
        <v>2026</v>
      </c>
      <c r="W172" s="20"/>
      <c r="X172" s="8" t="n">
        <f aca="false">IFERROR(IF(M172="Abs",0,IF(ROUND((D172-C172+E172-F172)*1440,0)&lt;=1,0,D172-C172+E172-F172)),0)</f>
        <v>0</v>
      </c>
      <c r="Y172" s="6" t="str">
        <f aca="false">IFERROR(VLOOKUP($B172,Agents!$A:$D,3,0),"-")</f>
        <v>OUBRAHIM Mohammed</v>
      </c>
      <c r="Z172" s="6" t="str">
        <f aca="false">IFERROR(VLOOKUP($B172,Agents!$A:$D,4,0),"-")</f>
        <v>Credit Mutuel</v>
      </c>
      <c r="AA172" s="18" t="s">
        <v>80</v>
      </c>
      <c r="AB172" s="8" t="str">
        <f aca="false">IF(AND(D172="Congé",F172="Congé"),0.333333333333333,IF(OR(AND(D172="Congé",F172&lt;&gt;"Congé"),(AND(F172="Congé",D172&lt;&gt;"Congé"))),0.166666666666667,""))</f>
        <v/>
      </c>
      <c r="AC172" s="8" t="str">
        <f aca="false">IF(AND(D172="Congé sans solde",F172="Congé sans solde"),0.333333333333333,IF(OR(AND(D172="Congé sans solde",F172&lt;&gt;"Congé sans solde"),(AND(F172="Congé sans solde",D172&lt;&gt;"Congé sans solde"))),0.166666666666667,""))</f>
        <v/>
      </c>
      <c r="AD172" s="8" t="str">
        <f aca="false">IF(AND(D172="Congé spécial",F172="Congé spécial"),0.333333333333333,IF(OR(AND(D172="Congé spécial",F172&lt;&gt;"Congé spécial"),AND(F172="Congé spécial",D172&lt;&gt;"Congé spécial")),0.166666666666667,""))</f>
        <v/>
      </c>
      <c r="AE172" s="8" t="str">
        <f aca="false">IF(AND(D172="Férié",F172="Férié"),0.333333333333333,IF(OR(AND(D172="Férié",F172&lt;&gt;"Férié"),(AND(F172="Férié",D172&lt;&gt;"Férié"))),0.166666666666667,""))</f>
        <v/>
      </c>
      <c r="AF172" s="18"/>
      <c r="AG172" s="18"/>
    </row>
    <row r="173" customFormat="false" ht="15" hidden="false" customHeight="false" outlineLevel="0" collapsed="false">
      <c r="A173" s="6" t="str">
        <f aca="false">YEAR(Q173-WEEKDAY(Q173,2)+4)&amp;"-S"&amp;TEXT(WEEKNUM(Q173,21),"00")</f>
        <v>2026-S01</v>
      </c>
      <c r="B173" s="18" t="s">
        <v>73</v>
      </c>
      <c r="C173" s="19" t="n">
        <v>0.333333333333333</v>
      </c>
      <c r="D173" s="19" t="n">
        <v>0.333333333333333</v>
      </c>
      <c r="E173" s="19" t="n">
        <v>0.708333333333333</v>
      </c>
      <c r="F173" s="19" t="n">
        <v>0.708333333333333</v>
      </c>
      <c r="G173" s="20"/>
      <c r="H173" s="20"/>
      <c r="I173" s="8" t="str">
        <f aca="false">IF(IF(OR(C173="",D173="Congé",D173="OFF",D173="Congé spécial"),"",IF(D173&gt;F173,D173-C173,IF(C173-D173&lt;0,0,C173-D173)))&lt;0.00068287037037037,"",IF(OR(D173="Congé",D173="OFF",C173="",D173="Congé spécial"),"",IF(D173&gt;F173,D173-C173,IF(C173-D173&lt;0,0,C173-D173))))</f>
        <v/>
      </c>
      <c r="J173" s="20"/>
      <c r="K173" s="8" t="n">
        <f aca="false">IF(SUM(H173:J173)&lt;0.00068287037037037,0,SUM(H173:J173))</f>
        <v>0</v>
      </c>
      <c r="L173" s="8" t="n">
        <f aca="false">IF(OR(F173="Congé",F173="OFF",M173="Abs",F173="Congé sans solde",F173="Férié",F173="Congé spécial",D173="Congé spécial"),0,IF(F173-E173&lt;0,0,IF(F173-E173&lt;=0.00068287037037037,0,F173-E173)))</f>
        <v>0</v>
      </c>
      <c r="M173" s="6" t="n">
        <f aca="false">IF(AND(O173&lt;&gt;0,C173=""),"Abs",0)</f>
        <v>0</v>
      </c>
      <c r="N173" s="8" t="n">
        <f aca="false">IFERROR(IF(OR(D173="OFF",D173="Congé",M173="Abs",D173="Congé sans solde",D173="Férié"),"",IF(O173-K173-L173&gt;O173,O173,IF(O173-K173-L173&lt;0,"",O173-K173-L173))),"")</f>
        <v>0.333333333333333</v>
      </c>
      <c r="O173" s="8" t="n">
        <f aca="false">IF(AG173="2H Pause déjeuner",IF(F173-D173-0.0833333333333333&lt;0,F173-D173-0.0833333333333333+1,F173-D173-0.0833333333333333),IF(OR(AND(F173="OFF",D173="OFF"),AND(F173="Congé",D173="Congé"),AND(F173="Congé sans solde",D173="Congé sans solde"),AND(F173="Congé spécial",D173="Congé spécial"),AND(F173="Férié",D173="Férié"),AND(F173="OFF",D173="Congé"),AND(F173="OFF",D173="Congé sans solde"),AND(F173="OFF",D173="Congé spécial"),AND(F173="OFF",D173="Férié"),AND(F173="Congé",D173="OFF"),AND(F173="Congé",D173="Congé sans solde"),AND(F173="Congé",D173="Congé spécial"),AND(F173="Congé",D173="Férié"),AND(F173="Congé sans solde",D173="OFF"),AND(F173="Congé sans solde",D173="Congé"),AND(F173="Congé sans solde",D173="Congé spécial"),AND(F173="Congé sans solde",D173="Férié"),AND(F173="Congé spécial",D173="OFF"),AND(F173="Congé spécial",D173="Congé"),AND(F173="Congé spécial",D173="Congé sans solde"),AND(F173="Congé spécial",D173="Férié"),AND(F173="Férié",D173="OFF"),AND(F173="Férié",D173="Congé"),AND(F173="Férié",D173="Congé sans solde"),AND(F173="Férié",D173="Congé spécial")),0,IF(OR(F173="OFF",F173="Congé",F173="Congé spécial",F173="Congé sans solde",D173="OFF",D173="Congé",D173="Congé spécial",D173="Congé sans solde"),0.208333333333334,IF(AND(AG173="",F173-D173&lt;0),("24:00:00"-D173)+("00:00:00"+F173)-0.0416666666666667,IF(AND(OR(AG173="Allaitement",AG173="Sans déjeuner"),F173-D173&lt;0),("24:00:00"-D173)+("00:00:00"+F173),IF(AND(AG173="",F173-D173&gt;0.166666666666667),F173-D173-0.0416666666666667,IF(AND(OR(AG173="Allaitement",AG173="Sans déjeuner"),F173-D173&gt;0.166666666666667),F173-D173,F173-D173)))))))</f>
        <v>0.333333333333333</v>
      </c>
      <c r="P173" s="6" t="str">
        <f aca="false">IFERROR(VLOOKUP($B173,Agents!$A:$D,2,0),"-")</f>
        <v>Accessibilité</v>
      </c>
      <c r="Q173" s="21" t="n">
        <v>46024</v>
      </c>
      <c r="R173" s="8" t="n">
        <f aca="false">IF(M173="Abs",O173,0)</f>
        <v>0</v>
      </c>
      <c r="S173" s="8" t="n">
        <f aca="false">SUM(R173,L173,I173,J173,W173,H173)</f>
        <v>0</v>
      </c>
      <c r="T173" s="6" t="str">
        <f aca="false">"Sem - "&amp;WEEKNUM(Q173,21)</f>
        <v>Sem - 1</v>
      </c>
      <c r="U173" s="6" t="str">
        <f aca="false">CHOOSE(MONTH(Q173),"Janvier","Février","Mars","Avril","Mai","Juin","Juillet","Août","Septembre","Octobre","Novembre","Décembre")</f>
        <v>Janvier</v>
      </c>
      <c r="V173" s="22" t="n">
        <f aca="false">YEAR(Q173)</f>
        <v>2026</v>
      </c>
      <c r="W173" s="20"/>
      <c r="X173" s="8" t="n">
        <f aca="false">IFERROR(IF(M173="Abs",0,IF(ROUND((D173-C173+E173-F173)*1440,0)&lt;=1,0,D173-C173+E173-F173)),0)</f>
        <v>0</v>
      </c>
      <c r="Y173" s="6" t="str">
        <f aca="false">IFERROR(VLOOKUP($B173,Agents!$A:$D,3,0),"-")</f>
        <v>OUBRAHIM Mohammed</v>
      </c>
      <c r="Z173" s="6" t="str">
        <f aca="false">IFERROR(VLOOKUP($B173,Agents!$A:$D,4,0),"-")</f>
        <v>Credit Mutuel</v>
      </c>
      <c r="AA173" s="18" t="s">
        <v>80</v>
      </c>
      <c r="AB173" s="8" t="str">
        <f aca="false">IF(AND(D173="Congé",F173="Congé"),0.333333333333333,IF(OR(AND(D173="Congé",F173&lt;&gt;"Congé"),(AND(F173="Congé",D173&lt;&gt;"Congé"))),0.166666666666667,""))</f>
        <v/>
      </c>
      <c r="AC173" s="8" t="str">
        <f aca="false">IF(AND(D173="Congé sans solde",F173="Congé sans solde"),0.333333333333333,IF(OR(AND(D173="Congé sans solde",F173&lt;&gt;"Congé sans solde"),(AND(F173="Congé sans solde",D173&lt;&gt;"Congé sans solde"))),0.166666666666667,""))</f>
        <v/>
      </c>
      <c r="AD173" s="8" t="str">
        <f aca="false">IF(AND(D173="Congé spécial",F173="Congé spécial"),0.333333333333333,IF(OR(AND(D173="Congé spécial",F173&lt;&gt;"Congé spécial"),AND(F173="Congé spécial",D173&lt;&gt;"Congé spécial")),0.166666666666667,""))</f>
        <v/>
      </c>
      <c r="AE173" s="8" t="str">
        <f aca="false">IF(AND(D173="Férié",F173="Férié"),0.333333333333333,IF(OR(AND(D173="Férié",F173&lt;&gt;"Férié"),(AND(F173="Férié",D173&lt;&gt;"Férié"))),0.166666666666667,""))</f>
        <v/>
      </c>
      <c r="AF173" s="18"/>
      <c r="AG173" s="18"/>
    </row>
    <row r="174" customFormat="false" ht="15" hidden="false" customHeight="false" outlineLevel="0" collapsed="false">
      <c r="A174" s="6" t="str">
        <f aca="false">YEAR(Q174-WEEKDAY(Q174,2)+4)&amp;"-S"&amp;TEXT(WEEKNUM(Q174,21),"00")</f>
        <v>2026-S01</v>
      </c>
      <c r="B174" s="18" t="s">
        <v>69</v>
      </c>
      <c r="C174" s="19"/>
      <c r="D174" s="19" t="s">
        <v>74</v>
      </c>
      <c r="E174" s="19"/>
      <c r="F174" s="19" t="s">
        <v>74</v>
      </c>
      <c r="G174" s="20"/>
      <c r="H174" s="20"/>
      <c r="I174" s="8" t="str">
        <f aca="false">IF(IF(OR(C174="",D174="Congé",D174="OFF",D174="Congé spécial"),"",IF(D174&gt;F174,D174-C174,IF(C174-D174&lt;0,0,C174-D174)))&lt;0.00068287037037037,"",IF(OR(D174="Congé",D174="OFF",C174="",D174="Congé spécial"),"",IF(D174&gt;F174,D174-C174,IF(C174-D174&lt;0,0,C174-D174))))</f>
        <v/>
      </c>
      <c r="J174" s="20"/>
      <c r="K174" s="8" t="n">
        <f aca="false">IF(SUM(H174:J174)&lt;0.00068287037037037,0,SUM(H174:J174))</f>
        <v>0</v>
      </c>
      <c r="L174" s="8" t="n">
        <f aca="false">IF(OR(F174="Congé",F174="OFF",M174="Abs",F174="Congé sans solde",F174="Férié",F174="Congé spécial",D174="Congé spécial"),0,IF(F174-E174&lt;0,0,IF(F174-E174&lt;=0.00068287037037037,0,F174-E174)))</f>
        <v>0</v>
      </c>
      <c r="M174" s="6" t="n">
        <f aca="false">IF(AND(O174&lt;&gt;0,C174=""),"Abs",0)</f>
        <v>0</v>
      </c>
      <c r="N174" s="8" t="str">
        <f aca="false">IFERROR(IF(OR(D174="OFF",D174="Congé",M174="Abs",D174="Congé sans solde",D174="Férié"),"",IF(O174-K174-L174&gt;O174,O174,IF(O174-K174-L174&lt;0,"",O174-K174-L174))),"")</f>
        <v/>
      </c>
      <c r="O174" s="8" t="n">
        <f aca="false">IF(AG174="2H Pause déjeuner",IF(F174-D174-0.0833333333333333&lt;0,F174-D174-0.0833333333333333+1,F174-D174-0.0833333333333333),IF(OR(AND(F174="OFF",D174="OFF"),AND(F174="Congé",D174="Congé"),AND(F174="Congé sans solde",D174="Congé sans solde"),AND(F174="Congé spécial",D174="Congé spécial"),AND(F174="Férié",D174="Férié"),AND(F174="OFF",D174="Congé"),AND(F174="OFF",D174="Congé sans solde"),AND(F174="OFF",D174="Congé spécial"),AND(F174="OFF",D174="Férié"),AND(F174="Congé",D174="OFF"),AND(F174="Congé",D174="Congé sans solde"),AND(F174="Congé",D174="Congé spécial"),AND(F174="Congé",D174="Férié"),AND(F174="Congé sans solde",D174="OFF"),AND(F174="Congé sans solde",D174="Congé"),AND(F174="Congé sans solde",D174="Congé spécial"),AND(F174="Congé sans solde",D174="Férié"),AND(F174="Congé spécial",D174="OFF"),AND(F174="Congé spécial",D174="Congé"),AND(F174="Congé spécial",D174="Congé sans solde"),AND(F174="Congé spécial",D174="Férié"),AND(F174="Férié",D174="OFF"),AND(F174="Férié",D174="Congé"),AND(F174="Férié",D174="Congé sans solde"),AND(F174="Férié",D174="Congé spécial")),0,IF(OR(F174="OFF",F174="Congé",F174="Congé spécial",F174="Congé sans solde",D174="OFF",D174="Congé",D174="Congé spécial",D174="Congé sans solde"),0.208333333333334,IF(AND(AG174="",F174-D174&lt;0),("24:00:00"-D174)+("00:00:00"+F174)-0.0416666666666667,IF(AND(OR(AG174="Allaitement",AG174="Sans déjeuner"),F174-D174&lt;0),("24:00:00"-D174)+("00:00:00"+F174),IF(AND(AG174="",F174-D174&gt;0.166666666666667),F174-D174-0.0416666666666667,IF(AND(OR(AG174="Allaitement",AG174="Sans déjeuner"),F174-D174&gt;0.166666666666667),F174-D174,F174-D174)))))))</f>
        <v>0</v>
      </c>
      <c r="P174" s="6" t="str">
        <f aca="false">IFERROR(VLOOKUP($B174,Agents!$A:$D,2,0),"-")</f>
        <v>Accessibilité</v>
      </c>
      <c r="Q174" s="21" t="n">
        <v>46025</v>
      </c>
      <c r="R174" s="8" t="n">
        <f aca="false">IF(M174="Abs",O174,0)</f>
        <v>0</v>
      </c>
      <c r="S174" s="8" t="n">
        <f aca="false">SUM(R174,L174,I174,J174,W174,H174)</f>
        <v>0</v>
      </c>
      <c r="T174" s="6" t="str">
        <f aca="false">"Sem - "&amp;WEEKNUM(Q174,21)</f>
        <v>Sem - 1</v>
      </c>
      <c r="U174" s="6" t="str">
        <f aca="false">CHOOSE(MONTH(Q174),"Janvier","Février","Mars","Avril","Mai","Juin","Juillet","Août","Septembre","Octobre","Novembre","Décembre")</f>
        <v>Janvier</v>
      </c>
      <c r="V174" s="22" t="n">
        <f aca="false">YEAR(Q174)</f>
        <v>2026</v>
      </c>
      <c r="W174" s="20"/>
      <c r="X174" s="8" t="n">
        <f aca="false">IFERROR(IF(M174="Abs",0,IF(ROUND((D174-C174+E174-F174)*1440,0)&lt;=1,0,D174-C174+E174-F174)),0)</f>
        <v>0</v>
      </c>
      <c r="Y174" s="6" t="str">
        <f aca="false">IFERROR(VLOOKUP($B174,Agents!$A:$D,3,0),"-")</f>
        <v>OUBRAHIM Mohammed</v>
      </c>
      <c r="Z174" s="6" t="str">
        <f aca="false">IFERROR(VLOOKUP($B174,Agents!$A:$D,4,0),"-")</f>
        <v>Credit Mutuel</v>
      </c>
      <c r="AA174" s="18" t="s">
        <v>80</v>
      </c>
      <c r="AB174" s="8" t="str">
        <f aca="false">IF(AND(D174="Congé",F174="Congé"),0.333333333333333,IF(OR(AND(D174="Congé",F174&lt;&gt;"Congé"),(AND(F174="Congé",D174&lt;&gt;"Congé"))),0.166666666666667,""))</f>
        <v/>
      </c>
      <c r="AC174" s="8" t="str">
        <f aca="false">IF(AND(D174="Congé sans solde",F174="Congé sans solde"),0.333333333333333,IF(OR(AND(D174="Congé sans solde",F174&lt;&gt;"Congé sans solde"),(AND(F174="Congé sans solde",D174&lt;&gt;"Congé sans solde"))),0.166666666666667,""))</f>
        <v/>
      </c>
      <c r="AD174" s="8" t="str">
        <f aca="false">IF(AND(D174="Congé spécial",F174="Congé spécial"),0.333333333333333,IF(OR(AND(D174="Congé spécial",F174&lt;&gt;"Congé spécial"),AND(F174="Congé spécial",D174&lt;&gt;"Congé spécial")),0.166666666666667,""))</f>
        <v/>
      </c>
      <c r="AE174" s="8" t="str">
        <f aca="false">IF(AND(D174="Férié",F174="Férié"),0.333333333333333,IF(OR(AND(D174="Férié",F174&lt;&gt;"Férié"),(AND(F174="Férié",D174&lt;&gt;"Férié"))),0.166666666666667,""))</f>
        <v/>
      </c>
      <c r="AF174" s="18"/>
      <c r="AG174" s="18"/>
    </row>
    <row r="175" customFormat="false" ht="15" hidden="false" customHeight="false" outlineLevel="0" collapsed="false">
      <c r="A175" s="6" t="str">
        <f aca="false">YEAR(Q175-WEEKDAY(Q175,2)+4)&amp;"-S"&amp;TEXT(WEEKNUM(Q175,21),"00")</f>
        <v>2026-S01</v>
      </c>
      <c r="B175" s="18" t="s">
        <v>71</v>
      </c>
      <c r="C175" s="19"/>
      <c r="D175" s="19" t="s">
        <v>74</v>
      </c>
      <c r="E175" s="19"/>
      <c r="F175" s="19" t="s">
        <v>74</v>
      </c>
      <c r="G175" s="20"/>
      <c r="H175" s="20"/>
      <c r="I175" s="8" t="str">
        <f aca="false">IF(IF(OR(C175="",D175="Congé",D175="OFF",D175="Congé spécial"),"",IF(D175&gt;F175,D175-C175,IF(C175-D175&lt;0,0,C175-D175)))&lt;0.00068287037037037,"",IF(OR(D175="Congé",D175="OFF",C175="",D175="Congé spécial"),"",IF(D175&gt;F175,D175-C175,IF(C175-D175&lt;0,0,C175-D175))))</f>
        <v/>
      </c>
      <c r="J175" s="20"/>
      <c r="K175" s="8" t="n">
        <f aca="false">IF(SUM(H175:J175)&lt;0.00068287037037037,0,SUM(H175:J175))</f>
        <v>0</v>
      </c>
      <c r="L175" s="8" t="n">
        <f aca="false">IF(OR(F175="Congé",F175="OFF",M175="Abs",F175="Congé sans solde",F175="Férié",F175="Congé spécial",D175="Congé spécial"),0,IF(F175-E175&lt;0,0,IF(F175-E175&lt;=0.00068287037037037,0,F175-E175)))</f>
        <v>0</v>
      </c>
      <c r="M175" s="6" t="n">
        <f aca="false">IF(AND(O175&lt;&gt;0,C175=""),"Abs",0)</f>
        <v>0</v>
      </c>
      <c r="N175" s="8" t="str">
        <f aca="false">IFERROR(IF(OR(D175="OFF",D175="Congé",M175="Abs",D175="Congé sans solde",D175="Férié"),"",IF(O175-K175-L175&gt;O175,O175,IF(O175-K175-L175&lt;0,"",O175-K175-L175))),"")</f>
        <v/>
      </c>
      <c r="O175" s="8" t="n">
        <f aca="false">IF(AG175="2H Pause déjeuner",IF(F175-D175-0.0833333333333333&lt;0,F175-D175-0.0833333333333333+1,F175-D175-0.0833333333333333),IF(OR(AND(F175="OFF",D175="OFF"),AND(F175="Congé",D175="Congé"),AND(F175="Congé sans solde",D175="Congé sans solde"),AND(F175="Congé spécial",D175="Congé spécial"),AND(F175="Férié",D175="Férié"),AND(F175="OFF",D175="Congé"),AND(F175="OFF",D175="Congé sans solde"),AND(F175="OFF",D175="Congé spécial"),AND(F175="OFF",D175="Férié"),AND(F175="Congé",D175="OFF"),AND(F175="Congé",D175="Congé sans solde"),AND(F175="Congé",D175="Congé spécial"),AND(F175="Congé",D175="Férié"),AND(F175="Congé sans solde",D175="OFF"),AND(F175="Congé sans solde",D175="Congé"),AND(F175="Congé sans solde",D175="Congé spécial"),AND(F175="Congé sans solde",D175="Férié"),AND(F175="Congé spécial",D175="OFF"),AND(F175="Congé spécial",D175="Congé"),AND(F175="Congé spécial",D175="Congé sans solde"),AND(F175="Congé spécial",D175="Férié"),AND(F175="Férié",D175="OFF"),AND(F175="Férié",D175="Congé"),AND(F175="Férié",D175="Congé sans solde"),AND(F175="Férié",D175="Congé spécial")),0,IF(OR(F175="OFF",F175="Congé",F175="Congé spécial",F175="Congé sans solde",D175="OFF",D175="Congé",D175="Congé spécial",D175="Congé sans solde"),0.208333333333334,IF(AND(AG175="",F175-D175&lt;0),("24:00:00"-D175)+("00:00:00"+F175)-0.0416666666666667,IF(AND(OR(AG175="Allaitement",AG175="Sans déjeuner"),F175-D175&lt;0),("24:00:00"-D175)+("00:00:00"+F175),IF(AND(AG175="",F175-D175&gt;0.166666666666667),F175-D175-0.0416666666666667,IF(AND(OR(AG175="Allaitement",AG175="Sans déjeuner"),F175-D175&gt;0.166666666666667),F175-D175,F175-D175)))))))</f>
        <v>0</v>
      </c>
      <c r="P175" s="6" t="str">
        <f aca="false">IFERROR(VLOOKUP($B175,Agents!$A:$D,2,0),"-")</f>
        <v>Accessibilité</v>
      </c>
      <c r="Q175" s="21" t="n">
        <v>46025</v>
      </c>
      <c r="R175" s="8" t="n">
        <f aca="false">IF(M175="Abs",O175,0)</f>
        <v>0</v>
      </c>
      <c r="S175" s="8" t="n">
        <f aca="false">SUM(R175,L175,I175,J175,W175,H175)</f>
        <v>0</v>
      </c>
      <c r="T175" s="6" t="str">
        <f aca="false">"Sem - "&amp;WEEKNUM(Q175,21)</f>
        <v>Sem - 1</v>
      </c>
      <c r="U175" s="6" t="str">
        <f aca="false">CHOOSE(MONTH(Q175),"Janvier","Février","Mars","Avril","Mai","Juin","Juillet","Août","Septembre","Octobre","Novembre","Décembre")</f>
        <v>Janvier</v>
      </c>
      <c r="V175" s="22" t="n">
        <f aca="false">YEAR(Q175)</f>
        <v>2026</v>
      </c>
      <c r="W175" s="20"/>
      <c r="X175" s="8" t="n">
        <f aca="false">IFERROR(IF(M175="Abs",0,IF(ROUND((D175-C175+E175-F175)*1440,0)&lt;=1,0,D175-C175+E175-F175)),0)</f>
        <v>0</v>
      </c>
      <c r="Y175" s="6" t="str">
        <f aca="false">IFERROR(VLOOKUP($B175,Agents!$A:$D,3,0),"-")</f>
        <v>OUBRAHIM Mohammed</v>
      </c>
      <c r="Z175" s="6" t="str">
        <f aca="false">IFERROR(VLOOKUP($B175,Agents!$A:$D,4,0),"-")</f>
        <v>Credit Mutuel</v>
      </c>
      <c r="AA175" s="18" t="s">
        <v>80</v>
      </c>
      <c r="AB175" s="8" t="str">
        <f aca="false">IF(AND(D175="Congé",F175="Congé"),0.333333333333333,IF(OR(AND(D175="Congé",F175&lt;&gt;"Congé"),(AND(F175="Congé",D175&lt;&gt;"Congé"))),0.166666666666667,""))</f>
        <v/>
      </c>
      <c r="AC175" s="8" t="str">
        <f aca="false">IF(AND(D175="Congé sans solde",F175="Congé sans solde"),0.333333333333333,IF(OR(AND(D175="Congé sans solde",F175&lt;&gt;"Congé sans solde"),(AND(F175="Congé sans solde",D175&lt;&gt;"Congé sans solde"))),0.166666666666667,""))</f>
        <v/>
      </c>
      <c r="AD175" s="8" t="str">
        <f aca="false">IF(AND(D175="Congé spécial",F175="Congé spécial"),0.333333333333333,IF(OR(AND(D175="Congé spécial",F175&lt;&gt;"Congé spécial"),AND(F175="Congé spécial",D175&lt;&gt;"Congé spécial")),0.166666666666667,""))</f>
        <v/>
      </c>
      <c r="AE175" s="8" t="str">
        <f aca="false">IF(AND(D175="Férié",F175="Férié"),0.333333333333333,IF(OR(AND(D175="Férié",F175&lt;&gt;"Férié"),(AND(F175="Férié",D175&lt;&gt;"Férié"))),0.166666666666667,""))</f>
        <v/>
      </c>
      <c r="AF175" s="18"/>
      <c r="AG175" s="18"/>
    </row>
    <row r="176" customFormat="false" ht="15" hidden="false" customHeight="false" outlineLevel="0" collapsed="false">
      <c r="A176" s="6" t="str">
        <f aca="false">YEAR(Q176-WEEKDAY(Q176,2)+4)&amp;"-S"&amp;TEXT(WEEKNUM(Q176,21),"00")</f>
        <v>2026-S01</v>
      </c>
      <c r="B176" s="18" t="s">
        <v>72</v>
      </c>
      <c r="C176" s="19"/>
      <c r="D176" s="19" t="s">
        <v>74</v>
      </c>
      <c r="E176" s="19"/>
      <c r="F176" s="19" t="s">
        <v>74</v>
      </c>
      <c r="G176" s="20"/>
      <c r="H176" s="20"/>
      <c r="I176" s="8" t="str">
        <f aca="false">IF(IF(OR(C176="",D176="Congé",D176="OFF",D176="Congé spécial"),"",IF(D176&gt;F176,D176-C176,IF(C176-D176&lt;0,0,C176-D176)))&lt;0.00068287037037037,"",IF(OR(D176="Congé",D176="OFF",C176="",D176="Congé spécial"),"",IF(D176&gt;F176,D176-C176,IF(C176-D176&lt;0,0,C176-D176))))</f>
        <v/>
      </c>
      <c r="J176" s="20"/>
      <c r="K176" s="8" t="n">
        <f aca="false">IF(SUM(H176:J176)&lt;0.00068287037037037,0,SUM(H176:J176))</f>
        <v>0</v>
      </c>
      <c r="L176" s="8" t="n">
        <f aca="false">IF(OR(F176="Congé",F176="OFF",M176="Abs",F176="Congé sans solde",F176="Férié",F176="Congé spécial",D176="Congé spécial"),0,IF(F176-E176&lt;0,0,IF(F176-E176&lt;=0.00068287037037037,0,F176-E176)))</f>
        <v>0</v>
      </c>
      <c r="M176" s="6" t="n">
        <f aca="false">IF(AND(O176&lt;&gt;0,C176=""),"Abs",0)</f>
        <v>0</v>
      </c>
      <c r="N176" s="8" t="str">
        <f aca="false">IFERROR(IF(OR(D176="OFF",D176="Congé",M176="Abs",D176="Congé sans solde",D176="Férié"),"",IF(O176-K176-L176&gt;O176,O176,IF(O176-K176-L176&lt;0,"",O176-K176-L176))),"")</f>
        <v/>
      </c>
      <c r="O176" s="8" t="n">
        <f aca="false">IF(AG176="2H Pause déjeuner",IF(F176-D176-0.0833333333333333&lt;0,F176-D176-0.0833333333333333+1,F176-D176-0.0833333333333333),IF(OR(AND(F176="OFF",D176="OFF"),AND(F176="Congé",D176="Congé"),AND(F176="Congé sans solde",D176="Congé sans solde"),AND(F176="Congé spécial",D176="Congé spécial"),AND(F176="Férié",D176="Férié"),AND(F176="OFF",D176="Congé"),AND(F176="OFF",D176="Congé sans solde"),AND(F176="OFF",D176="Congé spécial"),AND(F176="OFF",D176="Férié"),AND(F176="Congé",D176="OFF"),AND(F176="Congé",D176="Congé sans solde"),AND(F176="Congé",D176="Congé spécial"),AND(F176="Congé",D176="Férié"),AND(F176="Congé sans solde",D176="OFF"),AND(F176="Congé sans solde",D176="Congé"),AND(F176="Congé sans solde",D176="Congé spécial"),AND(F176="Congé sans solde",D176="Férié"),AND(F176="Congé spécial",D176="OFF"),AND(F176="Congé spécial",D176="Congé"),AND(F176="Congé spécial",D176="Congé sans solde"),AND(F176="Congé spécial",D176="Férié"),AND(F176="Férié",D176="OFF"),AND(F176="Férié",D176="Congé"),AND(F176="Férié",D176="Congé sans solde"),AND(F176="Férié",D176="Congé spécial")),0,IF(OR(F176="OFF",F176="Congé",F176="Congé spécial",F176="Congé sans solde",D176="OFF",D176="Congé",D176="Congé spécial",D176="Congé sans solde"),0.208333333333334,IF(AND(AG176="",F176-D176&lt;0),("24:00:00"-D176)+("00:00:00"+F176)-0.0416666666666667,IF(AND(OR(AG176="Allaitement",AG176="Sans déjeuner"),F176-D176&lt;0),("24:00:00"-D176)+("00:00:00"+F176),IF(AND(AG176="",F176-D176&gt;0.166666666666667),F176-D176-0.0416666666666667,IF(AND(OR(AG176="Allaitement",AG176="Sans déjeuner"),F176-D176&gt;0.166666666666667),F176-D176,F176-D176)))))))</f>
        <v>0</v>
      </c>
      <c r="P176" s="6" t="str">
        <f aca="false">IFERROR(VLOOKUP($B176,Agents!$A:$D,2,0),"-")</f>
        <v>Accessibilité</v>
      </c>
      <c r="Q176" s="21" t="n">
        <v>46025</v>
      </c>
      <c r="R176" s="8" t="n">
        <f aca="false">IF(M176="Abs",O176,0)</f>
        <v>0</v>
      </c>
      <c r="S176" s="8" t="n">
        <f aca="false">SUM(R176,L176,I176,J176,W176,H176)</f>
        <v>0</v>
      </c>
      <c r="T176" s="6" t="str">
        <f aca="false">"Sem - "&amp;WEEKNUM(Q176,21)</f>
        <v>Sem - 1</v>
      </c>
      <c r="U176" s="6" t="str">
        <f aca="false">CHOOSE(MONTH(Q176),"Janvier","Février","Mars","Avril","Mai","Juin","Juillet","Août","Septembre","Octobre","Novembre","Décembre")</f>
        <v>Janvier</v>
      </c>
      <c r="V176" s="22" t="n">
        <f aca="false">YEAR(Q176)</f>
        <v>2026</v>
      </c>
      <c r="W176" s="20"/>
      <c r="X176" s="8" t="n">
        <f aca="false">IFERROR(IF(M176="Abs",0,IF(ROUND((D176-C176+E176-F176)*1440,0)&lt;=1,0,D176-C176+E176-F176)),0)</f>
        <v>0</v>
      </c>
      <c r="Y176" s="6" t="str">
        <f aca="false">IFERROR(VLOOKUP($B176,Agents!$A:$D,3,0),"-")</f>
        <v>OUBRAHIM Mohammed</v>
      </c>
      <c r="Z176" s="6" t="str">
        <f aca="false">IFERROR(VLOOKUP($B176,Agents!$A:$D,4,0),"-")</f>
        <v>Credit Mutuel</v>
      </c>
      <c r="AA176" s="18" t="s">
        <v>80</v>
      </c>
      <c r="AB176" s="8" t="str">
        <f aca="false">IF(AND(D176="Congé",F176="Congé"),0.333333333333333,IF(OR(AND(D176="Congé",F176&lt;&gt;"Congé"),(AND(F176="Congé",D176&lt;&gt;"Congé"))),0.166666666666667,""))</f>
        <v/>
      </c>
      <c r="AC176" s="8" t="str">
        <f aca="false">IF(AND(D176="Congé sans solde",F176="Congé sans solde"),0.333333333333333,IF(OR(AND(D176="Congé sans solde",F176&lt;&gt;"Congé sans solde"),(AND(F176="Congé sans solde",D176&lt;&gt;"Congé sans solde"))),0.166666666666667,""))</f>
        <v/>
      </c>
      <c r="AD176" s="8" t="str">
        <f aca="false">IF(AND(D176="Congé spécial",F176="Congé spécial"),0.333333333333333,IF(OR(AND(D176="Congé spécial",F176&lt;&gt;"Congé spécial"),AND(F176="Congé spécial",D176&lt;&gt;"Congé spécial")),0.166666666666667,""))</f>
        <v/>
      </c>
      <c r="AE176" s="8" t="str">
        <f aca="false">IF(AND(D176="Férié",F176="Férié"),0.333333333333333,IF(OR(AND(D176="Férié",F176&lt;&gt;"Férié"),(AND(F176="Férié",D176&lt;&gt;"Férié"))),0.166666666666667,""))</f>
        <v/>
      </c>
      <c r="AF176" s="18"/>
      <c r="AG176" s="18"/>
    </row>
    <row r="177" customFormat="false" ht="15" hidden="false" customHeight="false" outlineLevel="0" collapsed="false">
      <c r="A177" s="6" t="str">
        <f aca="false">YEAR(Q177-WEEKDAY(Q177,2)+4)&amp;"-S"&amp;TEXT(WEEKNUM(Q177,21),"00")</f>
        <v>2026-S01</v>
      </c>
      <c r="B177" s="18" t="s">
        <v>73</v>
      </c>
      <c r="C177" s="19"/>
      <c r="D177" s="19" t="s">
        <v>74</v>
      </c>
      <c r="E177" s="19"/>
      <c r="F177" s="19" t="s">
        <v>74</v>
      </c>
      <c r="G177" s="20"/>
      <c r="H177" s="20"/>
      <c r="I177" s="8" t="str">
        <f aca="false">IF(IF(OR(C177="",D177="Congé",D177="OFF",D177="Congé spécial"),"",IF(D177&gt;F177,D177-C177,IF(C177-D177&lt;0,0,C177-D177)))&lt;0.00068287037037037,"",IF(OR(D177="Congé",D177="OFF",C177="",D177="Congé spécial"),"",IF(D177&gt;F177,D177-C177,IF(C177-D177&lt;0,0,C177-D177))))</f>
        <v/>
      </c>
      <c r="J177" s="20"/>
      <c r="K177" s="8" t="n">
        <f aca="false">IF(SUM(H177:J177)&lt;0.00068287037037037,0,SUM(H177:J177))</f>
        <v>0</v>
      </c>
      <c r="L177" s="8" t="n">
        <f aca="false">IF(OR(F177="Congé",F177="OFF",M177="Abs",F177="Congé sans solde",F177="Férié",F177="Congé spécial",D177="Congé spécial"),0,IF(F177-E177&lt;0,0,IF(F177-E177&lt;=0.00068287037037037,0,F177-E177)))</f>
        <v>0</v>
      </c>
      <c r="M177" s="6" t="n">
        <f aca="false">IF(AND(O177&lt;&gt;0,C177=""),"Abs",0)</f>
        <v>0</v>
      </c>
      <c r="N177" s="8" t="str">
        <f aca="false">IFERROR(IF(OR(D177="OFF",D177="Congé",M177="Abs",D177="Congé sans solde",D177="Férié"),"",IF(O177-K177-L177&gt;O177,O177,IF(O177-K177-L177&lt;0,"",O177-K177-L177))),"")</f>
        <v/>
      </c>
      <c r="O177" s="8" t="n">
        <f aca="false">IF(AG177="2H Pause déjeuner",IF(F177-D177-0.0833333333333333&lt;0,F177-D177-0.0833333333333333+1,F177-D177-0.0833333333333333),IF(OR(AND(F177="OFF",D177="OFF"),AND(F177="Congé",D177="Congé"),AND(F177="Congé sans solde",D177="Congé sans solde"),AND(F177="Congé spécial",D177="Congé spécial"),AND(F177="Férié",D177="Férié"),AND(F177="OFF",D177="Congé"),AND(F177="OFF",D177="Congé sans solde"),AND(F177="OFF",D177="Congé spécial"),AND(F177="OFF",D177="Férié"),AND(F177="Congé",D177="OFF"),AND(F177="Congé",D177="Congé sans solde"),AND(F177="Congé",D177="Congé spécial"),AND(F177="Congé",D177="Férié"),AND(F177="Congé sans solde",D177="OFF"),AND(F177="Congé sans solde",D177="Congé"),AND(F177="Congé sans solde",D177="Congé spécial"),AND(F177="Congé sans solde",D177="Férié"),AND(F177="Congé spécial",D177="OFF"),AND(F177="Congé spécial",D177="Congé"),AND(F177="Congé spécial",D177="Congé sans solde"),AND(F177="Congé spécial",D177="Férié"),AND(F177="Férié",D177="OFF"),AND(F177="Férié",D177="Congé"),AND(F177="Férié",D177="Congé sans solde"),AND(F177="Férié",D177="Congé spécial")),0,IF(OR(F177="OFF",F177="Congé",F177="Congé spécial",F177="Congé sans solde",D177="OFF",D177="Congé",D177="Congé spécial",D177="Congé sans solde"),0.208333333333334,IF(AND(AG177="",F177-D177&lt;0),("24:00:00"-D177)+("00:00:00"+F177)-0.0416666666666667,IF(AND(OR(AG177="Allaitement",AG177="Sans déjeuner"),F177-D177&lt;0),("24:00:00"-D177)+("00:00:00"+F177),IF(AND(AG177="",F177-D177&gt;0.166666666666667),F177-D177-0.0416666666666667,IF(AND(OR(AG177="Allaitement",AG177="Sans déjeuner"),F177-D177&gt;0.166666666666667),F177-D177,F177-D177)))))))</f>
        <v>0</v>
      </c>
      <c r="P177" s="6" t="str">
        <f aca="false">IFERROR(VLOOKUP($B177,Agents!$A:$D,2,0),"-")</f>
        <v>Accessibilité</v>
      </c>
      <c r="Q177" s="21" t="n">
        <v>46025</v>
      </c>
      <c r="R177" s="8" t="n">
        <f aca="false">IF(M177="Abs",O177,0)</f>
        <v>0</v>
      </c>
      <c r="S177" s="8" t="n">
        <f aca="false">SUM(R177,L177,I177,J177,W177,H177)</f>
        <v>0</v>
      </c>
      <c r="T177" s="6" t="str">
        <f aca="false">"Sem - "&amp;WEEKNUM(Q177,21)</f>
        <v>Sem - 1</v>
      </c>
      <c r="U177" s="6" t="str">
        <f aca="false">CHOOSE(MONTH(Q177),"Janvier","Février","Mars","Avril","Mai","Juin","Juillet","Août","Septembre","Octobre","Novembre","Décembre")</f>
        <v>Janvier</v>
      </c>
      <c r="V177" s="22" t="n">
        <f aca="false">YEAR(Q177)</f>
        <v>2026</v>
      </c>
      <c r="W177" s="20"/>
      <c r="X177" s="8" t="n">
        <f aca="false">IFERROR(IF(M177="Abs",0,IF(ROUND((D177-C177+E177-F177)*1440,0)&lt;=1,0,D177-C177+E177-F177)),0)</f>
        <v>0</v>
      </c>
      <c r="Y177" s="6" t="str">
        <f aca="false">IFERROR(VLOOKUP($B177,Agents!$A:$D,3,0),"-")</f>
        <v>OUBRAHIM Mohammed</v>
      </c>
      <c r="Z177" s="6" t="str">
        <f aca="false">IFERROR(VLOOKUP($B177,Agents!$A:$D,4,0),"-")</f>
        <v>Credit Mutuel</v>
      </c>
      <c r="AA177" s="18" t="s">
        <v>80</v>
      </c>
      <c r="AB177" s="8" t="str">
        <f aca="false">IF(AND(D177="Congé",F177="Congé"),0.333333333333333,IF(OR(AND(D177="Congé",F177&lt;&gt;"Congé"),(AND(F177="Congé",D177&lt;&gt;"Congé"))),0.166666666666667,""))</f>
        <v/>
      </c>
      <c r="AC177" s="8" t="str">
        <f aca="false">IF(AND(D177="Congé sans solde",F177="Congé sans solde"),0.333333333333333,IF(OR(AND(D177="Congé sans solde",F177&lt;&gt;"Congé sans solde"),(AND(F177="Congé sans solde",D177&lt;&gt;"Congé sans solde"))),0.166666666666667,""))</f>
        <v/>
      </c>
      <c r="AD177" s="8" t="str">
        <f aca="false">IF(AND(D177="Congé spécial",F177="Congé spécial"),0.333333333333333,IF(OR(AND(D177="Congé spécial",F177&lt;&gt;"Congé spécial"),AND(F177="Congé spécial",D177&lt;&gt;"Congé spécial")),0.166666666666667,""))</f>
        <v/>
      </c>
      <c r="AE177" s="8" t="str">
        <f aca="false">IF(AND(D177="Férié",F177="Férié"),0.333333333333333,IF(OR(AND(D177="Férié",F177&lt;&gt;"Férié"),(AND(F177="Férié",D177&lt;&gt;"Férié"))),0.166666666666667,""))</f>
        <v/>
      </c>
      <c r="AF177" s="18"/>
      <c r="AG177" s="18"/>
    </row>
    <row r="178" customFormat="false" ht="15" hidden="false" customHeight="false" outlineLevel="0" collapsed="false">
      <c r="A178" s="6" t="str">
        <f aca="false">YEAR(Q178-WEEKDAY(Q178,2)+4)&amp;"-S"&amp;TEXT(WEEKNUM(Q178,21),"00")</f>
        <v>2026-S01</v>
      </c>
      <c r="B178" s="18" t="s">
        <v>69</v>
      </c>
      <c r="C178" s="19"/>
      <c r="D178" s="19" t="s">
        <v>74</v>
      </c>
      <c r="E178" s="19"/>
      <c r="F178" s="19" t="s">
        <v>74</v>
      </c>
      <c r="G178" s="20"/>
      <c r="H178" s="20"/>
      <c r="I178" s="8" t="str">
        <f aca="false">IF(IF(OR(C178="",D178="Congé",D178="OFF",D178="Congé spécial"),"",IF(D178&gt;F178,D178-C178,IF(C178-D178&lt;0,0,C178-D178)))&lt;0.00068287037037037,"",IF(OR(D178="Congé",D178="OFF",C178="",D178="Congé spécial"),"",IF(D178&gt;F178,D178-C178,IF(C178-D178&lt;0,0,C178-D178))))</f>
        <v/>
      </c>
      <c r="J178" s="20"/>
      <c r="K178" s="8" t="n">
        <f aca="false">IF(SUM(H178:J178)&lt;0.00068287037037037,0,SUM(H178:J178))</f>
        <v>0</v>
      </c>
      <c r="L178" s="8" t="n">
        <f aca="false">IF(OR(F178="Congé",F178="OFF",M178="Abs",F178="Congé sans solde",F178="Férié",F178="Congé spécial",D178="Congé spécial"),0,IF(F178-E178&lt;0,0,IF(F178-E178&lt;=0.00068287037037037,0,F178-E178)))</f>
        <v>0</v>
      </c>
      <c r="M178" s="6" t="n">
        <f aca="false">IF(AND(O178&lt;&gt;0,C178=""),"Abs",0)</f>
        <v>0</v>
      </c>
      <c r="N178" s="8" t="str">
        <f aca="false">IFERROR(IF(OR(D178="OFF",D178="Congé",M178="Abs",D178="Congé sans solde",D178="Férié"),"",IF(O178-K178-L178&gt;O178,O178,IF(O178-K178-L178&lt;0,"",O178-K178-L178))),"")</f>
        <v/>
      </c>
      <c r="O178" s="8" t="n">
        <f aca="false">IF(AG178="2H Pause déjeuner",IF(F178-D178-0.0833333333333333&lt;0,F178-D178-0.0833333333333333+1,F178-D178-0.0833333333333333),IF(OR(AND(F178="OFF",D178="OFF"),AND(F178="Congé",D178="Congé"),AND(F178="Congé sans solde",D178="Congé sans solde"),AND(F178="Congé spécial",D178="Congé spécial"),AND(F178="Férié",D178="Férié"),AND(F178="OFF",D178="Congé"),AND(F178="OFF",D178="Congé sans solde"),AND(F178="OFF",D178="Congé spécial"),AND(F178="OFF",D178="Férié"),AND(F178="Congé",D178="OFF"),AND(F178="Congé",D178="Congé sans solde"),AND(F178="Congé",D178="Congé spécial"),AND(F178="Congé",D178="Férié"),AND(F178="Congé sans solde",D178="OFF"),AND(F178="Congé sans solde",D178="Congé"),AND(F178="Congé sans solde",D178="Congé spécial"),AND(F178="Congé sans solde",D178="Férié"),AND(F178="Congé spécial",D178="OFF"),AND(F178="Congé spécial",D178="Congé"),AND(F178="Congé spécial",D178="Congé sans solde"),AND(F178="Congé spécial",D178="Férié"),AND(F178="Férié",D178="OFF"),AND(F178="Férié",D178="Congé"),AND(F178="Férié",D178="Congé sans solde"),AND(F178="Férié",D178="Congé spécial")),0,IF(OR(F178="OFF",F178="Congé",F178="Congé spécial",F178="Congé sans solde",D178="OFF",D178="Congé",D178="Congé spécial",D178="Congé sans solde"),0.208333333333334,IF(AND(AG178="",F178-D178&lt;0),("24:00:00"-D178)+("00:00:00"+F178)-0.0416666666666667,IF(AND(OR(AG178="Allaitement",AG178="Sans déjeuner"),F178-D178&lt;0),("24:00:00"-D178)+("00:00:00"+F178),IF(AND(AG178="",F178-D178&gt;0.166666666666667),F178-D178-0.0416666666666667,IF(AND(OR(AG178="Allaitement",AG178="Sans déjeuner"),F178-D178&gt;0.166666666666667),F178-D178,F178-D178)))))))</f>
        <v>0</v>
      </c>
      <c r="P178" s="6" t="str">
        <f aca="false">IFERROR(VLOOKUP($B178,Agents!$A:$D,2,0),"-")</f>
        <v>Accessibilité</v>
      </c>
      <c r="Q178" s="21" t="n">
        <v>46026</v>
      </c>
      <c r="R178" s="8" t="n">
        <f aca="false">IF(M178="Abs",O178,0)</f>
        <v>0</v>
      </c>
      <c r="S178" s="8" t="n">
        <f aca="false">SUM(R178,L178,I178,J178,W178,H178)</f>
        <v>0</v>
      </c>
      <c r="T178" s="6" t="str">
        <f aca="false">"Sem - "&amp;WEEKNUM(Q178,21)</f>
        <v>Sem - 1</v>
      </c>
      <c r="U178" s="6" t="str">
        <f aca="false">CHOOSE(MONTH(Q178),"Janvier","Février","Mars","Avril","Mai","Juin","Juillet","Août","Septembre","Octobre","Novembre","Décembre")</f>
        <v>Janvier</v>
      </c>
      <c r="V178" s="22" t="n">
        <f aca="false">YEAR(Q178)</f>
        <v>2026</v>
      </c>
      <c r="W178" s="20"/>
      <c r="X178" s="8" t="n">
        <f aca="false">IFERROR(IF(M178="Abs",0,IF(ROUND((D178-C178+E178-F178)*1440,0)&lt;=1,0,D178-C178+E178-F178)),0)</f>
        <v>0</v>
      </c>
      <c r="Y178" s="6" t="str">
        <f aca="false">IFERROR(VLOOKUP($B178,Agents!$A:$D,3,0),"-")</f>
        <v>OUBRAHIM Mohammed</v>
      </c>
      <c r="Z178" s="6" t="str">
        <f aca="false">IFERROR(VLOOKUP($B178,Agents!$A:$D,4,0),"-")</f>
        <v>Credit Mutuel</v>
      </c>
      <c r="AA178" s="18" t="s">
        <v>80</v>
      </c>
      <c r="AB178" s="8" t="str">
        <f aca="false">IF(AND(D178="Congé",F178="Congé"),0.333333333333333,IF(OR(AND(D178="Congé",F178&lt;&gt;"Congé"),(AND(F178="Congé",D178&lt;&gt;"Congé"))),0.166666666666667,""))</f>
        <v/>
      </c>
      <c r="AC178" s="8" t="str">
        <f aca="false">IF(AND(D178="Congé sans solde",F178="Congé sans solde"),0.333333333333333,IF(OR(AND(D178="Congé sans solde",F178&lt;&gt;"Congé sans solde"),(AND(F178="Congé sans solde",D178&lt;&gt;"Congé sans solde"))),0.166666666666667,""))</f>
        <v/>
      </c>
      <c r="AD178" s="8" t="str">
        <f aca="false">IF(AND(D178="Congé spécial",F178="Congé spécial"),0.333333333333333,IF(OR(AND(D178="Congé spécial",F178&lt;&gt;"Congé spécial"),AND(F178="Congé spécial",D178&lt;&gt;"Congé spécial")),0.166666666666667,""))</f>
        <v/>
      </c>
      <c r="AE178" s="8" t="str">
        <f aca="false">IF(AND(D178="Férié",F178="Férié"),0.333333333333333,IF(OR(AND(D178="Férié",F178&lt;&gt;"Férié"),(AND(F178="Férié",D178&lt;&gt;"Férié"))),0.166666666666667,""))</f>
        <v/>
      </c>
      <c r="AF178" s="18"/>
      <c r="AG178" s="18"/>
    </row>
    <row r="179" customFormat="false" ht="15" hidden="false" customHeight="false" outlineLevel="0" collapsed="false">
      <c r="A179" s="6" t="str">
        <f aca="false">YEAR(Q179-WEEKDAY(Q179,2)+4)&amp;"-S"&amp;TEXT(WEEKNUM(Q179,21),"00")</f>
        <v>2026-S01</v>
      </c>
      <c r="B179" s="18" t="s">
        <v>71</v>
      </c>
      <c r="C179" s="19"/>
      <c r="D179" s="19" t="s">
        <v>74</v>
      </c>
      <c r="E179" s="19"/>
      <c r="F179" s="19" t="s">
        <v>74</v>
      </c>
      <c r="G179" s="20"/>
      <c r="H179" s="20"/>
      <c r="I179" s="8" t="str">
        <f aca="false">IF(IF(OR(C179="",D179="Congé",D179="OFF",D179="Congé spécial"),"",IF(D179&gt;F179,D179-C179,IF(C179-D179&lt;0,0,C179-D179)))&lt;0.00068287037037037,"",IF(OR(D179="Congé",D179="OFF",C179="",D179="Congé spécial"),"",IF(D179&gt;F179,D179-C179,IF(C179-D179&lt;0,0,C179-D179))))</f>
        <v/>
      </c>
      <c r="J179" s="20"/>
      <c r="K179" s="8" t="n">
        <f aca="false">IF(SUM(H179:J179)&lt;0.00068287037037037,0,SUM(H179:J179))</f>
        <v>0</v>
      </c>
      <c r="L179" s="8" t="n">
        <f aca="false">IF(OR(F179="Congé",F179="OFF",M179="Abs",F179="Congé sans solde",F179="Férié",F179="Congé spécial",D179="Congé spécial"),0,IF(F179-E179&lt;0,0,IF(F179-E179&lt;=0.00068287037037037,0,F179-E179)))</f>
        <v>0</v>
      </c>
      <c r="M179" s="6" t="n">
        <f aca="false">IF(AND(O179&lt;&gt;0,C179=""),"Abs",0)</f>
        <v>0</v>
      </c>
      <c r="N179" s="8" t="str">
        <f aca="false">IFERROR(IF(OR(D179="OFF",D179="Congé",M179="Abs",D179="Congé sans solde",D179="Férié"),"",IF(O179-K179-L179&gt;O179,O179,IF(O179-K179-L179&lt;0,"",O179-K179-L179))),"")</f>
        <v/>
      </c>
      <c r="O179" s="8" t="n">
        <f aca="false">IF(AG179="2H Pause déjeuner",IF(F179-D179-0.0833333333333333&lt;0,F179-D179-0.0833333333333333+1,F179-D179-0.0833333333333333),IF(OR(AND(F179="OFF",D179="OFF"),AND(F179="Congé",D179="Congé"),AND(F179="Congé sans solde",D179="Congé sans solde"),AND(F179="Congé spécial",D179="Congé spécial"),AND(F179="Férié",D179="Férié"),AND(F179="OFF",D179="Congé"),AND(F179="OFF",D179="Congé sans solde"),AND(F179="OFF",D179="Congé spécial"),AND(F179="OFF",D179="Férié"),AND(F179="Congé",D179="OFF"),AND(F179="Congé",D179="Congé sans solde"),AND(F179="Congé",D179="Congé spécial"),AND(F179="Congé",D179="Férié"),AND(F179="Congé sans solde",D179="OFF"),AND(F179="Congé sans solde",D179="Congé"),AND(F179="Congé sans solde",D179="Congé spécial"),AND(F179="Congé sans solde",D179="Férié"),AND(F179="Congé spécial",D179="OFF"),AND(F179="Congé spécial",D179="Congé"),AND(F179="Congé spécial",D179="Congé sans solde"),AND(F179="Congé spécial",D179="Férié"),AND(F179="Férié",D179="OFF"),AND(F179="Férié",D179="Congé"),AND(F179="Férié",D179="Congé sans solde"),AND(F179="Férié",D179="Congé spécial")),0,IF(OR(F179="OFF",F179="Congé",F179="Congé spécial",F179="Congé sans solde",D179="OFF",D179="Congé",D179="Congé spécial",D179="Congé sans solde"),0.208333333333334,IF(AND(AG179="",F179-D179&lt;0),("24:00:00"-D179)+("00:00:00"+F179)-0.0416666666666667,IF(AND(OR(AG179="Allaitement",AG179="Sans déjeuner"),F179-D179&lt;0),("24:00:00"-D179)+("00:00:00"+F179),IF(AND(AG179="",F179-D179&gt;0.166666666666667),F179-D179-0.0416666666666667,IF(AND(OR(AG179="Allaitement",AG179="Sans déjeuner"),F179-D179&gt;0.166666666666667),F179-D179,F179-D179)))))))</f>
        <v>0</v>
      </c>
      <c r="P179" s="6" t="str">
        <f aca="false">IFERROR(VLOOKUP($B179,Agents!$A:$D,2,0),"-")</f>
        <v>Accessibilité</v>
      </c>
      <c r="Q179" s="21" t="n">
        <v>46026</v>
      </c>
      <c r="R179" s="8" t="n">
        <f aca="false">IF(M179="Abs",O179,0)</f>
        <v>0</v>
      </c>
      <c r="S179" s="8" t="n">
        <f aca="false">SUM(R179,L179,I179,J179,W179,H179)</f>
        <v>0</v>
      </c>
      <c r="T179" s="6" t="str">
        <f aca="false">"Sem - "&amp;WEEKNUM(Q179,21)</f>
        <v>Sem - 1</v>
      </c>
      <c r="U179" s="6" t="str">
        <f aca="false">CHOOSE(MONTH(Q179),"Janvier","Février","Mars","Avril","Mai","Juin","Juillet","Août","Septembre","Octobre","Novembre","Décembre")</f>
        <v>Janvier</v>
      </c>
      <c r="V179" s="22" t="n">
        <f aca="false">YEAR(Q179)</f>
        <v>2026</v>
      </c>
      <c r="W179" s="20"/>
      <c r="X179" s="8" t="n">
        <f aca="false">IFERROR(IF(M179="Abs",0,IF(ROUND((D179-C179+E179-F179)*1440,0)&lt;=1,0,D179-C179+E179-F179)),0)</f>
        <v>0</v>
      </c>
      <c r="Y179" s="6" t="str">
        <f aca="false">IFERROR(VLOOKUP($B179,Agents!$A:$D,3,0),"-")</f>
        <v>OUBRAHIM Mohammed</v>
      </c>
      <c r="Z179" s="6" t="str">
        <f aca="false">IFERROR(VLOOKUP($B179,Agents!$A:$D,4,0),"-")</f>
        <v>Credit Mutuel</v>
      </c>
      <c r="AA179" s="18" t="s">
        <v>80</v>
      </c>
      <c r="AB179" s="8" t="str">
        <f aca="false">IF(AND(D179="Congé",F179="Congé"),0.333333333333333,IF(OR(AND(D179="Congé",F179&lt;&gt;"Congé"),(AND(F179="Congé",D179&lt;&gt;"Congé"))),0.166666666666667,""))</f>
        <v/>
      </c>
      <c r="AC179" s="8" t="str">
        <f aca="false">IF(AND(D179="Congé sans solde",F179="Congé sans solde"),0.333333333333333,IF(OR(AND(D179="Congé sans solde",F179&lt;&gt;"Congé sans solde"),(AND(F179="Congé sans solde",D179&lt;&gt;"Congé sans solde"))),0.166666666666667,""))</f>
        <v/>
      </c>
      <c r="AD179" s="8" t="str">
        <f aca="false">IF(AND(D179="Congé spécial",F179="Congé spécial"),0.333333333333333,IF(OR(AND(D179="Congé spécial",F179&lt;&gt;"Congé spécial"),AND(F179="Congé spécial",D179&lt;&gt;"Congé spécial")),0.166666666666667,""))</f>
        <v/>
      </c>
      <c r="AE179" s="8" t="str">
        <f aca="false">IF(AND(D179="Férié",F179="Férié"),0.333333333333333,IF(OR(AND(D179="Férié",F179&lt;&gt;"Férié"),(AND(F179="Férié",D179&lt;&gt;"Férié"))),0.166666666666667,""))</f>
        <v/>
      </c>
      <c r="AF179" s="18"/>
      <c r="AG179" s="18"/>
    </row>
    <row r="180" customFormat="false" ht="15" hidden="false" customHeight="false" outlineLevel="0" collapsed="false">
      <c r="A180" s="6" t="str">
        <f aca="false">YEAR(Q180-WEEKDAY(Q180,2)+4)&amp;"-S"&amp;TEXT(WEEKNUM(Q180,21),"00")</f>
        <v>2026-S01</v>
      </c>
      <c r="B180" s="18" t="s">
        <v>72</v>
      </c>
      <c r="C180" s="19"/>
      <c r="D180" s="19" t="s">
        <v>74</v>
      </c>
      <c r="E180" s="19"/>
      <c r="F180" s="19" t="s">
        <v>74</v>
      </c>
      <c r="G180" s="20"/>
      <c r="H180" s="20"/>
      <c r="I180" s="8" t="str">
        <f aca="false">IF(IF(OR(C180="",D180="Congé",D180="OFF",D180="Congé spécial"),"",IF(D180&gt;F180,D180-C180,IF(C180-D180&lt;0,0,C180-D180)))&lt;0.00068287037037037,"",IF(OR(D180="Congé",D180="OFF",C180="",D180="Congé spécial"),"",IF(D180&gt;F180,D180-C180,IF(C180-D180&lt;0,0,C180-D180))))</f>
        <v/>
      </c>
      <c r="J180" s="20"/>
      <c r="K180" s="8" t="n">
        <f aca="false">IF(SUM(H180:J180)&lt;0.00068287037037037,0,SUM(H180:J180))</f>
        <v>0</v>
      </c>
      <c r="L180" s="8" t="n">
        <f aca="false">IF(OR(F180="Congé",F180="OFF",M180="Abs",F180="Congé sans solde",F180="Férié",F180="Congé spécial",D180="Congé spécial"),0,IF(F180-E180&lt;0,0,IF(F180-E180&lt;=0.00068287037037037,0,F180-E180)))</f>
        <v>0</v>
      </c>
      <c r="M180" s="6" t="n">
        <f aca="false">IF(AND(O180&lt;&gt;0,C180=""),"Abs",0)</f>
        <v>0</v>
      </c>
      <c r="N180" s="8" t="str">
        <f aca="false">IFERROR(IF(OR(D180="OFF",D180="Congé",M180="Abs",D180="Congé sans solde",D180="Férié"),"",IF(O180-K180-L180&gt;O180,O180,IF(O180-K180-L180&lt;0,"",O180-K180-L180))),"")</f>
        <v/>
      </c>
      <c r="O180" s="8" t="n">
        <f aca="false">IF(AG180="2H Pause déjeuner",IF(F180-D180-0.0833333333333333&lt;0,F180-D180-0.0833333333333333+1,F180-D180-0.0833333333333333),IF(OR(AND(F180="OFF",D180="OFF"),AND(F180="Congé",D180="Congé"),AND(F180="Congé sans solde",D180="Congé sans solde"),AND(F180="Congé spécial",D180="Congé spécial"),AND(F180="Férié",D180="Férié"),AND(F180="OFF",D180="Congé"),AND(F180="OFF",D180="Congé sans solde"),AND(F180="OFF",D180="Congé spécial"),AND(F180="OFF",D180="Férié"),AND(F180="Congé",D180="OFF"),AND(F180="Congé",D180="Congé sans solde"),AND(F180="Congé",D180="Congé spécial"),AND(F180="Congé",D180="Férié"),AND(F180="Congé sans solde",D180="OFF"),AND(F180="Congé sans solde",D180="Congé"),AND(F180="Congé sans solde",D180="Congé spécial"),AND(F180="Congé sans solde",D180="Férié"),AND(F180="Congé spécial",D180="OFF"),AND(F180="Congé spécial",D180="Congé"),AND(F180="Congé spécial",D180="Congé sans solde"),AND(F180="Congé spécial",D180="Férié"),AND(F180="Férié",D180="OFF"),AND(F180="Férié",D180="Congé"),AND(F180="Férié",D180="Congé sans solde"),AND(F180="Férié",D180="Congé spécial")),0,IF(OR(F180="OFF",F180="Congé",F180="Congé spécial",F180="Congé sans solde",D180="OFF",D180="Congé",D180="Congé spécial",D180="Congé sans solde"),0.208333333333334,IF(AND(AG180="",F180-D180&lt;0),("24:00:00"-D180)+("00:00:00"+F180)-0.0416666666666667,IF(AND(OR(AG180="Allaitement",AG180="Sans déjeuner"),F180-D180&lt;0),("24:00:00"-D180)+("00:00:00"+F180),IF(AND(AG180="",F180-D180&gt;0.166666666666667),F180-D180-0.0416666666666667,IF(AND(OR(AG180="Allaitement",AG180="Sans déjeuner"),F180-D180&gt;0.166666666666667),F180-D180,F180-D180)))))))</f>
        <v>0</v>
      </c>
      <c r="P180" s="6" t="str">
        <f aca="false">IFERROR(VLOOKUP($B180,Agents!$A:$D,2,0),"-")</f>
        <v>Accessibilité</v>
      </c>
      <c r="Q180" s="21" t="n">
        <v>46026</v>
      </c>
      <c r="R180" s="8" t="n">
        <f aca="false">IF(M180="Abs",O180,0)</f>
        <v>0</v>
      </c>
      <c r="S180" s="8" t="n">
        <f aca="false">SUM(R180,L180,I180,J180,W180,H180)</f>
        <v>0</v>
      </c>
      <c r="T180" s="6" t="str">
        <f aca="false">"Sem - "&amp;WEEKNUM(Q180,21)</f>
        <v>Sem - 1</v>
      </c>
      <c r="U180" s="6" t="str">
        <f aca="false">CHOOSE(MONTH(Q180),"Janvier","Février","Mars","Avril","Mai","Juin","Juillet","Août","Septembre","Octobre","Novembre","Décembre")</f>
        <v>Janvier</v>
      </c>
      <c r="V180" s="22" t="n">
        <f aca="false">YEAR(Q180)</f>
        <v>2026</v>
      </c>
      <c r="W180" s="20"/>
      <c r="X180" s="8" t="n">
        <f aca="false">IFERROR(IF(M180="Abs",0,IF(ROUND((D180-C180+E180-F180)*1440,0)&lt;=1,0,D180-C180+E180-F180)),0)</f>
        <v>0</v>
      </c>
      <c r="Y180" s="6" t="str">
        <f aca="false">IFERROR(VLOOKUP($B180,Agents!$A:$D,3,0),"-")</f>
        <v>OUBRAHIM Mohammed</v>
      </c>
      <c r="Z180" s="6" t="str">
        <f aca="false">IFERROR(VLOOKUP($B180,Agents!$A:$D,4,0),"-")</f>
        <v>Credit Mutuel</v>
      </c>
      <c r="AA180" s="18" t="s">
        <v>80</v>
      </c>
      <c r="AB180" s="8" t="str">
        <f aca="false">IF(AND(D180="Congé",F180="Congé"),0.333333333333333,IF(OR(AND(D180="Congé",F180&lt;&gt;"Congé"),(AND(F180="Congé",D180&lt;&gt;"Congé"))),0.166666666666667,""))</f>
        <v/>
      </c>
      <c r="AC180" s="8" t="str">
        <f aca="false">IF(AND(D180="Congé sans solde",F180="Congé sans solde"),0.333333333333333,IF(OR(AND(D180="Congé sans solde",F180&lt;&gt;"Congé sans solde"),(AND(F180="Congé sans solde",D180&lt;&gt;"Congé sans solde"))),0.166666666666667,""))</f>
        <v/>
      </c>
      <c r="AD180" s="8" t="str">
        <f aca="false">IF(AND(D180="Congé spécial",F180="Congé spécial"),0.333333333333333,IF(OR(AND(D180="Congé spécial",F180&lt;&gt;"Congé spécial"),AND(F180="Congé spécial",D180&lt;&gt;"Congé spécial")),0.166666666666667,""))</f>
        <v/>
      </c>
      <c r="AE180" s="8" t="str">
        <f aca="false">IF(AND(D180="Férié",F180="Férié"),0.333333333333333,IF(OR(AND(D180="Férié",F180&lt;&gt;"Férié"),(AND(F180="Férié",D180&lt;&gt;"Férié"))),0.166666666666667,""))</f>
        <v/>
      </c>
      <c r="AF180" s="18"/>
      <c r="AG180" s="18"/>
    </row>
    <row r="181" customFormat="false" ht="15" hidden="false" customHeight="false" outlineLevel="0" collapsed="false">
      <c r="A181" s="6" t="str">
        <f aca="false">YEAR(Q181-WEEKDAY(Q181,2)+4)&amp;"-S"&amp;TEXT(WEEKNUM(Q181,21),"00")</f>
        <v>2026-S01</v>
      </c>
      <c r="B181" s="18" t="s">
        <v>73</v>
      </c>
      <c r="C181" s="19"/>
      <c r="D181" s="19" t="s">
        <v>74</v>
      </c>
      <c r="E181" s="19"/>
      <c r="F181" s="19" t="s">
        <v>74</v>
      </c>
      <c r="G181" s="20"/>
      <c r="H181" s="20"/>
      <c r="I181" s="8" t="str">
        <f aca="false">IF(IF(OR(C181="",D181="Congé",D181="OFF",D181="Congé spécial"),"",IF(D181&gt;F181,D181-C181,IF(C181-D181&lt;0,0,C181-D181)))&lt;0.00068287037037037,"",IF(OR(D181="Congé",D181="OFF",C181="",D181="Congé spécial"),"",IF(D181&gt;F181,D181-C181,IF(C181-D181&lt;0,0,C181-D181))))</f>
        <v/>
      </c>
      <c r="J181" s="20"/>
      <c r="K181" s="8" t="n">
        <f aca="false">IF(SUM(H181:J181)&lt;0.00068287037037037,0,SUM(H181:J181))</f>
        <v>0</v>
      </c>
      <c r="L181" s="8" t="n">
        <f aca="false">IF(OR(F181="Congé",F181="OFF",M181="Abs",F181="Congé sans solde",F181="Férié",F181="Congé spécial",D181="Congé spécial"),0,IF(F181-E181&lt;0,0,IF(F181-E181&lt;=0.00068287037037037,0,F181-E181)))</f>
        <v>0</v>
      </c>
      <c r="M181" s="6" t="n">
        <f aca="false">IF(AND(O181&lt;&gt;0,C181=""),"Abs",0)</f>
        <v>0</v>
      </c>
      <c r="N181" s="8" t="str">
        <f aca="false">IFERROR(IF(OR(D181="OFF",D181="Congé",M181="Abs",D181="Congé sans solde",D181="Férié"),"",IF(O181-K181-L181&gt;O181,O181,IF(O181-K181-L181&lt;0,"",O181-K181-L181))),"")</f>
        <v/>
      </c>
      <c r="O181" s="8" t="n">
        <f aca="false">IF(AG181="2H Pause déjeuner",IF(F181-D181-0.0833333333333333&lt;0,F181-D181-0.0833333333333333+1,F181-D181-0.0833333333333333),IF(OR(AND(F181="OFF",D181="OFF"),AND(F181="Congé",D181="Congé"),AND(F181="Congé sans solde",D181="Congé sans solde"),AND(F181="Congé spécial",D181="Congé spécial"),AND(F181="Férié",D181="Férié"),AND(F181="OFF",D181="Congé"),AND(F181="OFF",D181="Congé sans solde"),AND(F181="OFF",D181="Congé spécial"),AND(F181="OFF",D181="Férié"),AND(F181="Congé",D181="OFF"),AND(F181="Congé",D181="Congé sans solde"),AND(F181="Congé",D181="Congé spécial"),AND(F181="Congé",D181="Férié"),AND(F181="Congé sans solde",D181="OFF"),AND(F181="Congé sans solde",D181="Congé"),AND(F181="Congé sans solde",D181="Congé spécial"),AND(F181="Congé sans solde",D181="Férié"),AND(F181="Congé spécial",D181="OFF"),AND(F181="Congé spécial",D181="Congé"),AND(F181="Congé spécial",D181="Congé sans solde"),AND(F181="Congé spécial",D181="Férié"),AND(F181="Férié",D181="OFF"),AND(F181="Férié",D181="Congé"),AND(F181="Férié",D181="Congé sans solde"),AND(F181="Férié",D181="Congé spécial")),0,IF(OR(F181="OFF",F181="Congé",F181="Congé spécial",F181="Congé sans solde",D181="OFF",D181="Congé",D181="Congé spécial",D181="Congé sans solde"),0.208333333333334,IF(AND(AG181="",F181-D181&lt;0),("24:00:00"-D181)+("00:00:00"+F181)-0.0416666666666667,IF(AND(OR(AG181="Allaitement",AG181="Sans déjeuner"),F181-D181&lt;0),("24:00:00"-D181)+("00:00:00"+F181),IF(AND(AG181="",F181-D181&gt;0.166666666666667),F181-D181-0.0416666666666667,IF(AND(OR(AG181="Allaitement",AG181="Sans déjeuner"),F181-D181&gt;0.166666666666667),F181-D181,F181-D181)))))))</f>
        <v>0</v>
      </c>
      <c r="P181" s="6" t="str">
        <f aca="false">IFERROR(VLOOKUP($B181,Agents!$A:$D,2,0),"-")</f>
        <v>Accessibilité</v>
      </c>
      <c r="Q181" s="21" t="n">
        <v>46026</v>
      </c>
      <c r="R181" s="8" t="n">
        <f aca="false">IF(M181="Abs",O181,0)</f>
        <v>0</v>
      </c>
      <c r="S181" s="8" t="n">
        <f aca="false">SUM(R181,L181,I181,J181,W181,H181)</f>
        <v>0</v>
      </c>
      <c r="T181" s="6" t="str">
        <f aca="false">"Sem - "&amp;WEEKNUM(Q181,21)</f>
        <v>Sem - 1</v>
      </c>
      <c r="U181" s="6" t="str">
        <f aca="false">CHOOSE(MONTH(Q181),"Janvier","Février","Mars","Avril","Mai","Juin","Juillet","Août","Septembre","Octobre","Novembre","Décembre")</f>
        <v>Janvier</v>
      </c>
      <c r="V181" s="22" t="n">
        <f aca="false">YEAR(Q181)</f>
        <v>2026</v>
      </c>
      <c r="W181" s="20"/>
      <c r="X181" s="8" t="n">
        <f aca="false">IFERROR(IF(M181="Abs",0,IF(ROUND((D181-C181+E181-F181)*1440,0)&lt;=1,0,D181-C181+E181-F181)),0)</f>
        <v>0</v>
      </c>
      <c r="Y181" s="6" t="str">
        <f aca="false">IFERROR(VLOOKUP($B181,Agents!$A:$D,3,0),"-")</f>
        <v>OUBRAHIM Mohammed</v>
      </c>
      <c r="Z181" s="6" t="str">
        <f aca="false">IFERROR(VLOOKUP($B181,Agents!$A:$D,4,0),"-")</f>
        <v>Credit Mutuel</v>
      </c>
      <c r="AA181" s="18" t="s">
        <v>80</v>
      </c>
      <c r="AB181" s="8" t="str">
        <f aca="false">IF(AND(D181="Congé",F181="Congé"),0.333333333333333,IF(OR(AND(D181="Congé",F181&lt;&gt;"Congé"),(AND(F181="Congé",D181&lt;&gt;"Congé"))),0.166666666666667,""))</f>
        <v/>
      </c>
      <c r="AC181" s="8" t="str">
        <f aca="false">IF(AND(D181="Congé sans solde",F181="Congé sans solde"),0.333333333333333,IF(OR(AND(D181="Congé sans solde",F181&lt;&gt;"Congé sans solde"),(AND(F181="Congé sans solde",D181&lt;&gt;"Congé sans solde"))),0.166666666666667,""))</f>
        <v/>
      </c>
      <c r="AD181" s="8" t="str">
        <f aca="false">IF(AND(D181="Congé spécial",F181="Congé spécial"),0.333333333333333,IF(OR(AND(D181="Congé spécial",F181&lt;&gt;"Congé spécial"),AND(F181="Congé spécial",D181&lt;&gt;"Congé spécial")),0.166666666666667,""))</f>
        <v/>
      </c>
      <c r="AE181" s="8" t="str">
        <f aca="false">IF(AND(D181="Férié",F181="Férié"),0.333333333333333,IF(OR(AND(D181="Férié",F181&lt;&gt;"Férié"),(AND(F181="Férié",D181&lt;&gt;"Férié"))),0.166666666666667,""))</f>
        <v/>
      </c>
      <c r="AF181" s="18"/>
      <c r="AG181" s="18"/>
    </row>
    <row r="182" customFormat="false" ht="15" hidden="false" customHeight="false" outlineLevel="0" collapsed="false">
      <c r="A182" s="6" t="str">
        <f aca="false">YEAR(Q182-WEEKDAY(Q182,2)+4)&amp;"-S"&amp;TEXT(WEEKNUM(Q182,21),"00")</f>
        <v>2026-S02</v>
      </c>
      <c r="B182" s="18" t="s">
        <v>69</v>
      </c>
      <c r="C182" s="19" t="n">
        <v>0.332638888888889</v>
      </c>
      <c r="D182" s="19" t="n">
        <v>0.333333333333333</v>
      </c>
      <c r="E182" s="19" t="n">
        <v>0.75</v>
      </c>
      <c r="F182" s="19" t="n">
        <v>0.75</v>
      </c>
      <c r="G182" s="20"/>
      <c r="H182" s="20"/>
      <c r="I182" s="8" t="str">
        <f aca="false">IF(IF(OR(C182="",D182="Congé",D182="OFF",D182="Congé spécial"),"",IF(D182&gt;F182,D182-C182,IF(C182-D182&lt;0,0,C182-D182)))&lt;0.00068287037037037,"",IF(OR(D182="Congé",D182="OFF",C182="",D182="Congé spécial"),"",IF(D182&gt;F182,D182-C182,IF(C182-D182&lt;0,0,C182-D182))))</f>
        <v/>
      </c>
      <c r="J182" s="20"/>
      <c r="K182" s="8" t="n">
        <f aca="false">IF(SUM(H182:J182)&lt;0.00068287037037037,0,SUM(H182:J182))</f>
        <v>0</v>
      </c>
      <c r="L182" s="8" t="n">
        <f aca="false">IF(OR(F182="Congé",F182="OFF",M182="Abs",F182="Congé sans solde",F182="Férié",F182="Congé spécial",D182="Congé spécial"),0,IF(F182-E182&lt;0,0,IF(F182-E182&lt;=0.00068287037037037,0,F182-E182)))</f>
        <v>0</v>
      </c>
      <c r="M182" s="6" t="n">
        <f aca="false">IF(AND(O182&lt;&gt;0,C182=""),"Abs",0)</f>
        <v>0</v>
      </c>
      <c r="N182" s="8" t="n">
        <f aca="false">IFERROR(IF(OR(D182="OFF",D182="Congé",M182="Abs",D182="Congé sans solde",D182="Férié"),"",IF(O182-K182-L182&gt;O182,O182,IF(O182-K182-L182&lt;0,"",O182-K182-L182))),"")</f>
        <v>0.375</v>
      </c>
      <c r="O182" s="8" t="n">
        <f aca="false">IF(AG182="2H Pause déjeuner",IF(F182-D182-0.0833333333333333&lt;0,F182-D182-0.0833333333333333+1,F182-D182-0.0833333333333333),IF(OR(AND(F182="OFF",D182="OFF"),AND(F182="Congé",D182="Congé"),AND(F182="Congé sans solde",D182="Congé sans solde"),AND(F182="Congé spécial",D182="Congé spécial"),AND(F182="Férié",D182="Férié"),AND(F182="OFF",D182="Congé"),AND(F182="OFF",D182="Congé sans solde"),AND(F182="OFF",D182="Congé spécial"),AND(F182="OFF",D182="Férié"),AND(F182="Congé",D182="OFF"),AND(F182="Congé",D182="Congé sans solde"),AND(F182="Congé",D182="Congé spécial"),AND(F182="Congé",D182="Férié"),AND(F182="Congé sans solde",D182="OFF"),AND(F182="Congé sans solde",D182="Congé"),AND(F182="Congé sans solde",D182="Congé spécial"),AND(F182="Congé sans solde",D182="Férié"),AND(F182="Congé spécial",D182="OFF"),AND(F182="Congé spécial",D182="Congé"),AND(F182="Congé spécial",D182="Congé sans solde"),AND(F182="Congé spécial",D182="Férié"),AND(F182="Férié",D182="OFF"),AND(F182="Férié",D182="Congé"),AND(F182="Férié",D182="Congé sans solde"),AND(F182="Férié",D182="Congé spécial")),0,IF(OR(F182="OFF",F182="Congé",F182="Congé spécial",F182="Congé sans solde",D182="OFF",D182="Congé",D182="Congé spécial",D182="Congé sans solde"),0.208333333333334,IF(AND(AG182="",F182-D182&lt;0),("24:00:00"-D182)+("00:00:00"+F182)-0.0416666666666667,IF(AND(OR(AG182="Allaitement",AG182="Sans déjeuner"),F182-D182&lt;0),("24:00:00"-D182)+("00:00:00"+F182),IF(AND(AG182="",F182-D182&gt;0.166666666666667),F182-D182-0.0416666666666667,IF(AND(OR(AG182="Allaitement",AG182="Sans déjeuner"),F182-D182&gt;0.166666666666667),F182-D182,F182-D182)))))))</f>
        <v>0.375</v>
      </c>
      <c r="P182" s="6" t="str">
        <f aca="false">IFERROR(VLOOKUP($B182,Agents!$A:$D,2,0),"-")</f>
        <v>Accessibilité</v>
      </c>
      <c r="Q182" s="21" t="n">
        <v>46027</v>
      </c>
      <c r="R182" s="8" t="n">
        <f aca="false">IF(M182="Abs",O182,0)</f>
        <v>0</v>
      </c>
      <c r="S182" s="8" t="n">
        <f aca="false">SUM(R182,L182,I182,J182,W182,H182)</f>
        <v>0</v>
      </c>
      <c r="T182" s="6" t="str">
        <f aca="false">"Sem - "&amp;WEEKNUM(Q182,21)</f>
        <v>Sem - 2</v>
      </c>
      <c r="U182" s="6" t="str">
        <f aca="false">CHOOSE(MONTH(Q182),"Janvier","Février","Mars","Avril","Mai","Juin","Juillet","Août","Septembre","Octobre","Novembre","Décembre")</f>
        <v>Janvier</v>
      </c>
      <c r="V182" s="22" t="n">
        <f aca="false">YEAR(Q182)</f>
        <v>2026</v>
      </c>
      <c r="W182" s="20"/>
      <c r="X182" s="8" t="n">
        <f aca="false">IFERROR(IF(M182="Abs",0,IF(ROUND((D182-C182+E182-F182)*1440,0)&lt;=1,0,D182-C182+E182-F182)),0)</f>
        <v>0</v>
      </c>
      <c r="Y182" s="6" t="str">
        <f aca="false">IFERROR(VLOOKUP($B182,Agents!$A:$D,3,0),"-")</f>
        <v>OUBRAHIM Mohammed</v>
      </c>
      <c r="Z182" s="6" t="str">
        <f aca="false">IFERROR(VLOOKUP($B182,Agents!$A:$D,4,0),"-")</f>
        <v>Credit Mutuel</v>
      </c>
      <c r="AA182" s="18" t="s">
        <v>82</v>
      </c>
      <c r="AB182" s="8" t="str">
        <f aca="false">IF(AND(D182="Congé",F182="Congé"),0.333333333333333,IF(OR(AND(D182="Congé",F182&lt;&gt;"Congé"),(AND(F182="Congé",D182&lt;&gt;"Congé"))),0.166666666666667,""))</f>
        <v/>
      </c>
      <c r="AC182" s="8" t="str">
        <f aca="false">IF(AND(D182="Congé sans solde",F182="Congé sans solde"),0.333333333333333,IF(OR(AND(D182="Congé sans solde",F182&lt;&gt;"Congé sans solde"),(AND(F182="Congé sans solde",D182&lt;&gt;"Congé sans solde"))),0.166666666666667,""))</f>
        <v/>
      </c>
      <c r="AD182" s="8" t="str">
        <f aca="false">IF(AND(D182="Congé spécial",F182="Congé spécial"),0.333333333333333,IF(OR(AND(D182="Congé spécial",F182&lt;&gt;"Congé spécial"),AND(F182="Congé spécial",D182&lt;&gt;"Congé spécial")),0.166666666666667,""))</f>
        <v/>
      </c>
      <c r="AE182" s="8" t="str">
        <f aca="false">IF(AND(D182="Férié",F182="Férié"),0.333333333333333,IF(OR(AND(D182="Férié",F182&lt;&gt;"Férié"),(AND(F182="Férié",D182&lt;&gt;"Férié"))),0.166666666666667,""))</f>
        <v/>
      </c>
      <c r="AF182" s="18"/>
      <c r="AG182" s="18"/>
    </row>
    <row r="183" customFormat="false" ht="15" hidden="false" customHeight="false" outlineLevel="0" collapsed="false">
      <c r="A183" s="6" t="str">
        <f aca="false">YEAR(Q183-WEEKDAY(Q183,2)+4)&amp;"-S"&amp;TEXT(WEEKNUM(Q183,21),"00")</f>
        <v>2026-S02</v>
      </c>
      <c r="B183" s="18" t="s">
        <v>71</v>
      </c>
      <c r="C183" s="19" t="n">
        <v>0.332638888888889</v>
      </c>
      <c r="D183" s="19" t="n">
        <v>0.333333333333333</v>
      </c>
      <c r="E183" s="19" t="n">
        <v>0.75</v>
      </c>
      <c r="F183" s="19" t="n">
        <v>0.75</v>
      </c>
      <c r="G183" s="20"/>
      <c r="H183" s="20"/>
      <c r="I183" s="8" t="str">
        <f aca="false">IF(IF(OR(C183="",D183="Congé",D183="OFF",D183="Congé spécial"),"",IF(D183&gt;F183,D183-C183,IF(C183-D183&lt;0,0,C183-D183)))&lt;0.00068287037037037,"",IF(OR(D183="Congé",D183="OFF",C183="",D183="Congé spécial"),"",IF(D183&gt;F183,D183-C183,IF(C183-D183&lt;0,0,C183-D183))))</f>
        <v/>
      </c>
      <c r="J183" s="20"/>
      <c r="K183" s="8" t="n">
        <f aca="false">IF(SUM(H183:J183)&lt;0.00068287037037037,0,SUM(H183:J183))</f>
        <v>0</v>
      </c>
      <c r="L183" s="8" t="n">
        <f aca="false">IF(OR(F183="Congé",F183="OFF",M183="Abs",F183="Congé sans solde",F183="Férié",F183="Congé spécial",D183="Congé spécial"),0,IF(F183-E183&lt;0,0,IF(F183-E183&lt;=0.00068287037037037,0,F183-E183)))</f>
        <v>0</v>
      </c>
      <c r="M183" s="6" t="n">
        <f aca="false">IF(AND(O183&lt;&gt;0,C183=""),"Abs",0)</f>
        <v>0</v>
      </c>
      <c r="N183" s="8" t="n">
        <f aca="false">IFERROR(IF(OR(D183="OFF",D183="Congé",M183="Abs",D183="Congé sans solde",D183="Férié"),"",IF(O183-K183-L183&gt;O183,O183,IF(O183-K183-L183&lt;0,"",O183-K183-L183))),"")</f>
        <v>0.375</v>
      </c>
      <c r="O183" s="8" t="n">
        <f aca="false">IF(AG183="2H Pause déjeuner",IF(F183-D183-0.0833333333333333&lt;0,F183-D183-0.0833333333333333+1,F183-D183-0.0833333333333333),IF(OR(AND(F183="OFF",D183="OFF"),AND(F183="Congé",D183="Congé"),AND(F183="Congé sans solde",D183="Congé sans solde"),AND(F183="Congé spécial",D183="Congé spécial"),AND(F183="Férié",D183="Férié"),AND(F183="OFF",D183="Congé"),AND(F183="OFF",D183="Congé sans solde"),AND(F183="OFF",D183="Congé spécial"),AND(F183="OFF",D183="Férié"),AND(F183="Congé",D183="OFF"),AND(F183="Congé",D183="Congé sans solde"),AND(F183="Congé",D183="Congé spécial"),AND(F183="Congé",D183="Férié"),AND(F183="Congé sans solde",D183="OFF"),AND(F183="Congé sans solde",D183="Congé"),AND(F183="Congé sans solde",D183="Congé spécial"),AND(F183="Congé sans solde",D183="Férié"),AND(F183="Congé spécial",D183="OFF"),AND(F183="Congé spécial",D183="Congé"),AND(F183="Congé spécial",D183="Congé sans solde"),AND(F183="Congé spécial",D183="Férié"),AND(F183="Férié",D183="OFF"),AND(F183="Férié",D183="Congé"),AND(F183="Férié",D183="Congé sans solde"),AND(F183="Férié",D183="Congé spécial")),0,IF(OR(F183="OFF",F183="Congé",F183="Congé spécial",F183="Congé sans solde",D183="OFF",D183="Congé",D183="Congé spécial",D183="Congé sans solde"),0.208333333333334,IF(AND(AG183="",F183-D183&lt;0),("24:00:00"-D183)+("00:00:00"+F183)-0.0416666666666667,IF(AND(OR(AG183="Allaitement",AG183="Sans déjeuner"),F183-D183&lt;0),("24:00:00"-D183)+("00:00:00"+F183),IF(AND(AG183="",F183-D183&gt;0.166666666666667),F183-D183-0.0416666666666667,IF(AND(OR(AG183="Allaitement",AG183="Sans déjeuner"),F183-D183&gt;0.166666666666667),F183-D183,F183-D183)))))))</f>
        <v>0.375</v>
      </c>
      <c r="P183" s="6" t="str">
        <f aca="false">IFERROR(VLOOKUP($B183,Agents!$A:$D,2,0),"-")</f>
        <v>Accessibilité</v>
      </c>
      <c r="Q183" s="21" t="n">
        <v>46027</v>
      </c>
      <c r="R183" s="8" t="n">
        <f aca="false">IF(M183="Abs",O183,0)</f>
        <v>0</v>
      </c>
      <c r="S183" s="8" t="n">
        <f aca="false">SUM(R183,L183,I183,J183,W183,H183)</f>
        <v>0</v>
      </c>
      <c r="T183" s="6" t="str">
        <f aca="false">"Sem - "&amp;WEEKNUM(Q183,21)</f>
        <v>Sem - 2</v>
      </c>
      <c r="U183" s="6" t="str">
        <f aca="false">CHOOSE(MONTH(Q183),"Janvier","Février","Mars","Avril","Mai","Juin","Juillet","Août","Septembre","Octobre","Novembre","Décembre")</f>
        <v>Janvier</v>
      </c>
      <c r="V183" s="22" t="n">
        <f aca="false">YEAR(Q183)</f>
        <v>2026</v>
      </c>
      <c r="W183" s="20"/>
      <c r="X183" s="8" t="n">
        <f aca="false">IFERROR(IF(M183="Abs",0,IF(ROUND((D183-C183+E183-F183)*1440,0)&lt;=1,0,D183-C183+E183-F183)),0)</f>
        <v>0</v>
      </c>
      <c r="Y183" s="6" t="str">
        <f aca="false">IFERROR(VLOOKUP($B183,Agents!$A:$D,3,0),"-")</f>
        <v>OUBRAHIM Mohammed</v>
      </c>
      <c r="Z183" s="6" t="str">
        <f aca="false">IFERROR(VLOOKUP($B183,Agents!$A:$D,4,0),"-")</f>
        <v>Credit Mutuel</v>
      </c>
      <c r="AA183" s="18" t="s">
        <v>82</v>
      </c>
      <c r="AB183" s="8" t="str">
        <f aca="false">IF(AND(D183="Congé",F183="Congé"),0.333333333333333,IF(OR(AND(D183="Congé",F183&lt;&gt;"Congé"),(AND(F183="Congé",D183&lt;&gt;"Congé"))),0.166666666666667,""))</f>
        <v/>
      </c>
      <c r="AC183" s="8" t="str">
        <f aca="false">IF(AND(D183="Congé sans solde",F183="Congé sans solde"),0.333333333333333,IF(OR(AND(D183="Congé sans solde",F183&lt;&gt;"Congé sans solde"),(AND(F183="Congé sans solde",D183&lt;&gt;"Congé sans solde"))),0.166666666666667,""))</f>
        <v/>
      </c>
      <c r="AD183" s="8" t="str">
        <f aca="false">IF(AND(D183="Congé spécial",F183="Congé spécial"),0.333333333333333,IF(OR(AND(D183="Congé spécial",F183&lt;&gt;"Congé spécial"),AND(F183="Congé spécial",D183&lt;&gt;"Congé spécial")),0.166666666666667,""))</f>
        <v/>
      </c>
      <c r="AE183" s="8" t="str">
        <f aca="false">IF(AND(D183="Férié",F183="Férié"),0.333333333333333,IF(OR(AND(D183="Férié",F183&lt;&gt;"Férié"),(AND(F183="Férié",D183&lt;&gt;"Férié"))),0.166666666666667,""))</f>
        <v/>
      </c>
      <c r="AF183" s="18"/>
      <c r="AG183" s="18"/>
    </row>
    <row r="184" customFormat="false" ht="15" hidden="false" customHeight="false" outlineLevel="0" collapsed="false">
      <c r="A184" s="6" t="str">
        <f aca="false">YEAR(Q184-WEEKDAY(Q184,2)+4)&amp;"-S"&amp;TEXT(WEEKNUM(Q184,21),"00")</f>
        <v>2026-S02</v>
      </c>
      <c r="B184" s="18" t="s">
        <v>72</v>
      </c>
      <c r="C184" s="19" t="n">
        <v>0.330555555555556</v>
      </c>
      <c r="D184" s="19" t="n">
        <v>0.333333333333333</v>
      </c>
      <c r="E184" s="19" t="n">
        <v>0.75</v>
      </c>
      <c r="F184" s="19" t="n">
        <v>0.75</v>
      </c>
      <c r="G184" s="20"/>
      <c r="H184" s="20"/>
      <c r="I184" s="8" t="str">
        <f aca="false">IF(IF(OR(C184="",D184="Congé",D184="OFF",D184="Congé spécial"),"",IF(D184&gt;F184,D184-C184,IF(C184-D184&lt;0,0,C184-D184)))&lt;0.00068287037037037,"",IF(OR(D184="Congé",D184="OFF",C184="",D184="Congé spécial"),"",IF(D184&gt;F184,D184-C184,IF(C184-D184&lt;0,0,C184-D184))))</f>
        <v/>
      </c>
      <c r="J184" s="20"/>
      <c r="K184" s="8" t="n">
        <f aca="false">IF(SUM(H184:J184)&lt;0.00068287037037037,0,SUM(H184:J184))</f>
        <v>0</v>
      </c>
      <c r="L184" s="8" t="n">
        <f aca="false">IF(OR(F184="Congé",F184="OFF",M184="Abs",F184="Congé sans solde",F184="Férié",F184="Congé spécial",D184="Congé spécial"),0,IF(F184-E184&lt;0,0,IF(F184-E184&lt;=0.00068287037037037,0,F184-E184)))</f>
        <v>0</v>
      </c>
      <c r="M184" s="6" t="n">
        <f aca="false">IF(AND(O184&lt;&gt;0,C184=""),"Abs",0)</f>
        <v>0</v>
      </c>
      <c r="N184" s="8" t="n">
        <f aca="false">IFERROR(IF(OR(D184="OFF",D184="Congé",M184="Abs",D184="Congé sans solde",D184="Férié"),"",IF(O184-K184-L184&gt;O184,O184,IF(O184-K184-L184&lt;0,"",O184-K184-L184))),"")</f>
        <v>0.375</v>
      </c>
      <c r="O184" s="8" t="n">
        <f aca="false">IF(AG184="2H Pause déjeuner",IF(F184-D184-0.0833333333333333&lt;0,F184-D184-0.0833333333333333+1,F184-D184-0.0833333333333333),IF(OR(AND(F184="OFF",D184="OFF"),AND(F184="Congé",D184="Congé"),AND(F184="Congé sans solde",D184="Congé sans solde"),AND(F184="Congé spécial",D184="Congé spécial"),AND(F184="Férié",D184="Férié"),AND(F184="OFF",D184="Congé"),AND(F184="OFF",D184="Congé sans solde"),AND(F184="OFF",D184="Congé spécial"),AND(F184="OFF",D184="Férié"),AND(F184="Congé",D184="OFF"),AND(F184="Congé",D184="Congé sans solde"),AND(F184="Congé",D184="Congé spécial"),AND(F184="Congé",D184="Férié"),AND(F184="Congé sans solde",D184="OFF"),AND(F184="Congé sans solde",D184="Congé"),AND(F184="Congé sans solde",D184="Congé spécial"),AND(F184="Congé sans solde",D184="Férié"),AND(F184="Congé spécial",D184="OFF"),AND(F184="Congé spécial",D184="Congé"),AND(F184="Congé spécial",D184="Congé sans solde"),AND(F184="Congé spécial",D184="Férié"),AND(F184="Férié",D184="OFF"),AND(F184="Férié",D184="Congé"),AND(F184="Férié",D184="Congé sans solde"),AND(F184="Férié",D184="Congé spécial")),0,IF(OR(F184="OFF",F184="Congé",F184="Congé spécial",F184="Congé sans solde",D184="OFF",D184="Congé",D184="Congé spécial",D184="Congé sans solde"),0.208333333333334,IF(AND(AG184="",F184-D184&lt;0),("24:00:00"-D184)+("00:00:00"+F184)-0.0416666666666667,IF(AND(OR(AG184="Allaitement",AG184="Sans déjeuner"),F184-D184&lt;0),("24:00:00"-D184)+("00:00:00"+F184),IF(AND(AG184="",F184-D184&gt;0.166666666666667),F184-D184-0.0416666666666667,IF(AND(OR(AG184="Allaitement",AG184="Sans déjeuner"),F184-D184&gt;0.166666666666667),F184-D184,F184-D184)))))))</f>
        <v>0.375</v>
      </c>
      <c r="P184" s="6" t="str">
        <f aca="false">IFERROR(VLOOKUP($B184,Agents!$A:$D,2,0),"-")</f>
        <v>Accessibilité</v>
      </c>
      <c r="Q184" s="21" t="n">
        <v>46027</v>
      </c>
      <c r="R184" s="8" t="n">
        <f aca="false">IF(M184="Abs",O184,0)</f>
        <v>0</v>
      </c>
      <c r="S184" s="8" t="n">
        <f aca="false">SUM(R184,L184,I184,J184,W184,H184)</f>
        <v>0</v>
      </c>
      <c r="T184" s="6" t="str">
        <f aca="false">"Sem - "&amp;WEEKNUM(Q184,21)</f>
        <v>Sem - 2</v>
      </c>
      <c r="U184" s="6" t="str">
        <f aca="false">CHOOSE(MONTH(Q184),"Janvier","Février","Mars","Avril","Mai","Juin","Juillet","Août","Septembre","Octobre","Novembre","Décembre")</f>
        <v>Janvier</v>
      </c>
      <c r="V184" s="22" t="n">
        <f aca="false">YEAR(Q184)</f>
        <v>2026</v>
      </c>
      <c r="W184" s="20"/>
      <c r="X184" s="8" t="n">
        <f aca="false">IFERROR(IF(M184="Abs",0,IF(ROUND((D184-C184+E184-F184)*1440,0)&lt;=1,0,D184-C184+E184-F184)),0)</f>
        <v>0.00277777777777778</v>
      </c>
      <c r="Y184" s="6" t="str">
        <f aca="false">IFERROR(VLOOKUP($B184,Agents!$A:$D,3,0),"-")</f>
        <v>OUBRAHIM Mohammed</v>
      </c>
      <c r="Z184" s="6" t="str">
        <f aca="false">IFERROR(VLOOKUP($B184,Agents!$A:$D,4,0),"-")</f>
        <v>Credit Mutuel</v>
      </c>
      <c r="AA184" s="18" t="s">
        <v>82</v>
      </c>
      <c r="AB184" s="8" t="str">
        <f aca="false">IF(AND(D184="Congé",F184="Congé"),0.333333333333333,IF(OR(AND(D184="Congé",F184&lt;&gt;"Congé"),(AND(F184="Congé",D184&lt;&gt;"Congé"))),0.166666666666667,""))</f>
        <v/>
      </c>
      <c r="AC184" s="8" t="str">
        <f aca="false">IF(AND(D184="Congé sans solde",F184="Congé sans solde"),0.333333333333333,IF(OR(AND(D184="Congé sans solde",F184&lt;&gt;"Congé sans solde"),(AND(F184="Congé sans solde",D184&lt;&gt;"Congé sans solde"))),0.166666666666667,""))</f>
        <v/>
      </c>
      <c r="AD184" s="8" t="str">
        <f aca="false">IF(AND(D184="Congé spécial",F184="Congé spécial"),0.333333333333333,IF(OR(AND(D184="Congé spécial",F184&lt;&gt;"Congé spécial"),AND(F184="Congé spécial",D184&lt;&gt;"Congé spécial")),0.166666666666667,""))</f>
        <v/>
      </c>
      <c r="AE184" s="8" t="str">
        <f aca="false">IF(AND(D184="Férié",F184="Férié"),0.333333333333333,IF(OR(AND(D184="Férié",F184&lt;&gt;"Férié"),(AND(F184="Férié",D184&lt;&gt;"Férié"))),0.166666666666667,""))</f>
        <v/>
      </c>
      <c r="AF184" s="18"/>
      <c r="AG184" s="18"/>
    </row>
    <row r="185" customFormat="false" ht="15" hidden="false" customHeight="false" outlineLevel="0" collapsed="false">
      <c r="A185" s="6" t="str">
        <f aca="false">YEAR(Q185-WEEKDAY(Q185,2)+4)&amp;"-S"&amp;TEXT(WEEKNUM(Q185,21),"00")</f>
        <v>2026-S02</v>
      </c>
      <c r="B185" s="18" t="s">
        <v>73</v>
      </c>
      <c r="C185" s="19" t="n">
        <v>0.332638888888889</v>
      </c>
      <c r="D185" s="19" t="n">
        <v>0.333333333333333</v>
      </c>
      <c r="E185" s="19" t="n">
        <v>0.75</v>
      </c>
      <c r="F185" s="19" t="n">
        <v>0.75</v>
      </c>
      <c r="G185" s="20"/>
      <c r="H185" s="20"/>
      <c r="I185" s="8" t="str">
        <f aca="false">IF(IF(OR(C185="",D185="Congé",D185="OFF",D185="Congé spécial"),"",IF(D185&gt;F185,D185-C185,IF(C185-D185&lt;0,0,C185-D185)))&lt;0.00068287037037037,"",IF(OR(D185="Congé",D185="OFF",C185="",D185="Congé spécial"),"",IF(D185&gt;F185,D185-C185,IF(C185-D185&lt;0,0,C185-D185))))</f>
        <v/>
      </c>
      <c r="J185" s="20"/>
      <c r="K185" s="8" t="n">
        <f aca="false">IF(SUM(H185:J185)&lt;0.00068287037037037,0,SUM(H185:J185))</f>
        <v>0</v>
      </c>
      <c r="L185" s="8" t="n">
        <f aca="false">IF(OR(F185="Congé",F185="OFF",M185="Abs",F185="Congé sans solde",F185="Férié",F185="Congé spécial",D185="Congé spécial"),0,IF(F185-E185&lt;0,0,IF(F185-E185&lt;=0.00068287037037037,0,F185-E185)))</f>
        <v>0</v>
      </c>
      <c r="M185" s="6" t="n">
        <f aca="false">IF(AND(O185&lt;&gt;0,C185=""),"Abs",0)</f>
        <v>0</v>
      </c>
      <c r="N185" s="8" t="n">
        <f aca="false">IFERROR(IF(OR(D185="OFF",D185="Congé",M185="Abs",D185="Congé sans solde",D185="Férié"),"",IF(O185-K185-L185&gt;O185,O185,IF(O185-K185-L185&lt;0,"",O185-K185-L185))),"")</f>
        <v>0.375</v>
      </c>
      <c r="O185" s="8" t="n">
        <f aca="false">IF(AG185="2H Pause déjeuner",IF(F185-D185-0.0833333333333333&lt;0,F185-D185-0.0833333333333333+1,F185-D185-0.0833333333333333),IF(OR(AND(F185="OFF",D185="OFF"),AND(F185="Congé",D185="Congé"),AND(F185="Congé sans solde",D185="Congé sans solde"),AND(F185="Congé spécial",D185="Congé spécial"),AND(F185="Férié",D185="Férié"),AND(F185="OFF",D185="Congé"),AND(F185="OFF",D185="Congé sans solde"),AND(F185="OFF",D185="Congé spécial"),AND(F185="OFF",D185="Férié"),AND(F185="Congé",D185="OFF"),AND(F185="Congé",D185="Congé sans solde"),AND(F185="Congé",D185="Congé spécial"),AND(F185="Congé",D185="Férié"),AND(F185="Congé sans solde",D185="OFF"),AND(F185="Congé sans solde",D185="Congé"),AND(F185="Congé sans solde",D185="Congé spécial"),AND(F185="Congé sans solde",D185="Férié"),AND(F185="Congé spécial",D185="OFF"),AND(F185="Congé spécial",D185="Congé"),AND(F185="Congé spécial",D185="Congé sans solde"),AND(F185="Congé spécial",D185="Férié"),AND(F185="Férié",D185="OFF"),AND(F185="Férié",D185="Congé"),AND(F185="Férié",D185="Congé sans solde"),AND(F185="Férié",D185="Congé spécial")),0,IF(OR(F185="OFF",F185="Congé",F185="Congé spécial",F185="Congé sans solde",D185="OFF",D185="Congé",D185="Congé spécial",D185="Congé sans solde"),0.208333333333334,IF(AND(AG185="",F185-D185&lt;0),("24:00:00"-D185)+("00:00:00"+F185)-0.0416666666666667,IF(AND(OR(AG185="Allaitement",AG185="Sans déjeuner"),F185-D185&lt;0),("24:00:00"-D185)+("00:00:00"+F185),IF(AND(AG185="",F185-D185&gt;0.166666666666667),F185-D185-0.0416666666666667,IF(AND(OR(AG185="Allaitement",AG185="Sans déjeuner"),F185-D185&gt;0.166666666666667),F185-D185,F185-D185)))))))</f>
        <v>0.375</v>
      </c>
      <c r="P185" s="6" t="str">
        <f aca="false">IFERROR(VLOOKUP($B185,Agents!$A:$D,2,0),"-")</f>
        <v>Accessibilité</v>
      </c>
      <c r="Q185" s="21" t="n">
        <v>46027</v>
      </c>
      <c r="R185" s="8" t="n">
        <f aca="false">IF(M185="Abs",O185,0)</f>
        <v>0</v>
      </c>
      <c r="S185" s="8" t="n">
        <f aca="false">SUM(R185,L185,I185,J185,W185,H185)</f>
        <v>0</v>
      </c>
      <c r="T185" s="6" t="str">
        <f aca="false">"Sem - "&amp;WEEKNUM(Q185,21)</f>
        <v>Sem - 2</v>
      </c>
      <c r="U185" s="6" t="str">
        <f aca="false">CHOOSE(MONTH(Q185),"Janvier","Février","Mars","Avril","Mai","Juin","Juillet","Août","Septembre","Octobre","Novembre","Décembre")</f>
        <v>Janvier</v>
      </c>
      <c r="V185" s="22" t="n">
        <f aca="false">YEAR(Q185)</f>
        <v>2026</v>
      </c>
      <c r="W185" s="20"/>
      <c r="X185" s="8" t="n">
        <f aca="false">IFERROR(IF(M185="Abs",0,IF(ROUND((D185-C185+E185-F185)*1440,0)&lt;=1,0,D185-C185+E185-F185)),0)</f>
        <v>0</v>
      </c>
      <c r="Y185" s="6" t="str">
        <f aca="false">IFERROR(VLOOKUP($B185,Agents!$A:$D,3,0),"-")</f>
        <v>OUBRAHIM Mohammed</v>
      </c>
      <c r="Z185" s="6" t="str">
        <f aca="false">IFERROR(VLOOKUP($B185,Agents!$A:$D,4,0),"-")</f>
        <v>Credit Mutuel</v>
      </c>
      <c r="AA185" s="18" t="s">
        <v>82</v>
      </c>
      <c r="AB185" s="8" t="str">
        <f aca="false">IF(AND(D185="Congé",F185="Congé"),0.333333333333333,IF(OR(AND(D185="Congé",F185&lt;&gt;"Congé"),(AND(F185="Congé",D185&lt;&gt;"Congé"))),0.166666666666667,""))</f>
        <v/>
      </c>
      <c r="AC185" s="8" t="str">
        <f aca="false">IF(AND(D185="Congé sans solde",F185="Congé sans solde"),0.333333333333333,IF(OR(AND(D185="Congé sans solde",F185&lt;&gt;"Congé sans solde"),(AND(F185="Congé sans solde",D185&lt;&gt;"Congé sans solde"))),0.166666666666667,""))</f>
        <v/>
      </c>
      <c r="AD185" s="8" t="str">
        <f aca="false">IF(AND(D185="Congé spécial",F185="Congé spécial"),0.333333333333333,IF(OR(AND(D185="Congé spécial",F185&lt;&gt;"Congé spécial"),AND(F185="Congé spécial",D185&lt;&gt;"Congé spécial")),0.166666666666667,""))</f>
        <v/>
      </c>
      <c r="AE185" s="8" t="str">
        <f aca="false">IF(AND(D185="Férié",F185="Férié"),0.333333333333333,IF(OR(AND(D185="Férié",F185&lt;&gt;"Férié"),(AND(F185="Férié",D185&lt;&gt;"Férié"))),0.166666666666667,""))</f>
        <v/>
      </c>
      <c r="AF185" s="18"/>
      <c r="AG185" s="18"/>
    </row>
    <row r="186" customFormat="false" ht="15" hidden="false" customHeight="false" outlineLevel="0" collapsed="false">
      <c r="A186" s="6" t="str">
        <f aca="false">YEAR(Q186-WEEKDAY(Q186,2)+4)&amp;"-S"&amp;TEXT(WEEKNUM(Q186,21),"00")</f>
        <v>2026-S02</v>
      </c>
      <c r="B186" s="18" t="s">
        <v>69</v>
      </c>
      <c r="C186" s="19" t="n">
        <v>0.332638888888889</v>
      </c>
      <c r="D186" s="19" t="n">
        <v>0.333333333333333</v>
      </c>
      <c r="E186" s="19" t="n">
        <v>0.75</v>
      </c>
      <c r="F186" s="19" t="n">
        <v>0.75</v>
      </c>
      <c r="G186" s="20"/>
      <c r="H186" s="20"/>
      <c r="I186" s="8" t="str">
        <f aca="false">IF(IF(OR(C186="",D186="Congé",D186="OFF",D186="Congé spécial"),"",IF(D186&gt;F186,D186-C186,IF(C186-D186&lt;0,0,C186-D186)))&lt;0.00068287037037037,"",IF(OR(D186="Congé",D186="OFF",C186="",D186="Congé spécial"),"",IF(D186&gt;F186,D186-C186,IF(C186-D186&lt;0,0,C186-D186))))</f>
        <v/>
      </c>
      <c r="J186" s="20"/>
      <c r="K186" s="8" t="n">
        <f aca="false">IF(SUM(H186:J186)&lt;0.00068287037037037,0,SUM(H186:J186))</f>
        <v>0</v>
      </c>
      <c r="L186" s="8" t="n">
        <f aca="false">IF(OR(F186="Congé",F186="OFF",M186="Abs",F186="Congé sans solde",F186="Férié",F186="Congé spécial",D186="Congé spécial"),0,IF(F186-E186&lt;0,0,IF(F186-E186&lt;=0.00068287037037037,0,F186-E186)))</f>
        <v>0</v>
      </c>
      <c r="M186" s="6" t="n">
        <f aca="false">IF(AND(O186&lt;&gt;0,C186=""),"Abs",0)</f>
        <v>0</v>
      </c>
      <c r="N186" s="8" t="n">
        <f aca="false">IFERROR(IF(OR(D186="OFF",D186="Congé",M186="Abs",D186="Congé sans solde",D186="Férié"),"",IF(O186-K186-L186&gt;O186,O186,IF(O186-K186-L186&lt;0,"",O186-K186-L186))),"")</f>
        <v>0.375</v>
      </c>
      <c r="O186" s="8" t="n">
        <f aca="false">IF(AG186="2H Pause déjeuner",IF(F186-D186-0.0833333333333333&lt;0,F186-D186-0.0833333333333333+1,F186-D186-0.0833333333333333),IF(OR(AND(F186="OFF",D186="OFF"),AND(F186="Congé",D186="Congé"),AND(F186="Congé sans solde",D186="Congé sans solde"),AND(F186="Congé spécial",D186="Congé spécial"),AND(F186="Férié",D186="Férié"),AND(F186="OFF",D186="Congé"),AND(F186="OFF",D186="Congé sans solde"),AND(F186="OFF",D186="Congé spécial"),AND(F186="OFF",D186="Férié"),AND(F186="Congé",D186="OFF"),AND(F186="Congé",D186="Congé sans solde"),AND(F186="Congé",D186="Congé spécial"),AND(F186="Congé",D186="Férié"),AND(F186="Congé sans solde",D186="OFF"),AND(F186="Congé sans solde",D186="Congé"),AND(F186="Congé sans solde",D186="Congé spécial"),AND(F186="Congé sans solde",D186="Férié"),AND(F186="Congé spécial",D186="OFF"),AND(F186="Congé spécial",D186="Congé"),AND(F186="Congé spécial",D186="Congé sans solde"),AND(F186="Congé spécial",D186="Férié"),AND(F186="Férié",D186="OFF"),AND(F186="Férié",D186="Congé"),AND(F186="Férié",D186="Congé sans solde"),AND(F186="Férié",D186="Congé spécial")),0,IF(OR(F186="OFF",F186="Congé",F186="Congé spécial",F186="Congé sans solde",D186="OFF",D186="Congé",D186="Congé spécial",D186="Congé sans solde"),0.208333333333334,IF(AND(AG186="",F186-D186&lt;0),("24:00:00"-D186)+("00:00:00"+F186)-0.0416666666666667,IF(AND(OR(AG186="Allaitement",AG186="Sans déjeuner"),F186-D186&lt;0),("24:00:00"-D186)+("00:00:00"+F186),IF(AND(AG186="",F186-D186&gt;0.166666666666667),F186-D186-0.0416666666666667,IF(AND(OR(AG186="Allaitement",AG186="Sans déjeuner"),F186-D186&gt;0.166666666666667),F186-D186,F186-D186)))))))</f>
        <v>0.375</v>
      </c>
      <c r="P186" s="6" t="str">
        <f aca="false">IFERROR(VLOOKUP($B186,Agents!$A:$D,2,0),"-")</f>
        <v>Accessibilité</v>
      </c>
      <c r="Q186" s="21" t="n">
        <v>46028</v>
      </c>
      <c r="R186" s="8" t="n">
        <f aca="false">IF(M186="Abs",O186,0)</f>
        <v>0</v>
      </c>
      <c r="S186" s="8" t="n">
        <f aca="false">SUM(R186,L186,I186,J186,W186,H186)</f>
        <v>0</v>
      </c>
      <c r="T186" s="6" t="str">
        <f aca="false">"Sem - "&amp;WEEKNUM(Q186,21)</f>
        <v>Sem - 2</v>
      </c>
      <c r="U186" s="6" t="str">
        <f aca="false">CHOOSE(MONTH(Q186),"Janvier","Février","Mars","Avril","Mai","Juin","Juillet","Août","Septembre","Octobre","Novembre","Décembre")</f>
        <v>Janvier</v>
      </c>
      <c r="V186" s="22" t="n">
        <f aca="false">YEAR(Q186)</f>
        <v>2026</v>
      </c>
      <c r="W186" s="20"/>
      <c r="X186" s="8" t="n">
        <f aca="false">IFERROR(IF(M186="Abs",0,IF(ROUND((D186-C186+E186-F186)*1440,0)&lt;=1,0,D186-C186+E186-F186)),0)</f>
        <v>0</v>
      </c>
      <c r="Y186" s="6" t="str">
        <f aca="false">IFERROR(VLOOKUP($B186,Agents!$A:$D,3,0),"-")</f>
        <v>OUBRAHIM Mohammed</v>
      </c>
      <c r="Z186" s="6" t="str">
        <f aca="false">IFERROR(VLOOKUP($B186,Agents!$A:$D,4,0),"-")</f>
        <v>Credit Mutuel</v>
      </c>
      <c r="AA186" s="18" t="s">
        <v>82</v>
      </c>
      <c r="AB186" s="8" t="str">
        <f aca="false">IF(AND(D186="Congé",F186="Congé"),0.333333333333333,IF(OR(AND(D186="Congé",F186&lt;&gt;"Congé"),(AND(F186="Congé",D186&lt;&gt;"Congé"))),0.166666666666667,""))</f>
        <v/>
      </c>
      <c r="AC186" s="8" t="str">
        <f aca="false">IF(AND(D186="Congé sans solde",F186="Congé sans solde"),0.333333333333333,IF(OR(AND(D186="Congé sans solde",F186&lt;&gt;"Congé sans solde"),(AND(F186="Congé sans solde",D186&lt;&gt;"Congé sans solde"))),0.166666666666667,""))</f>
        <v/>
      </c>
      <c r="AD186" s="8" t="str">
        <f aca="false">IF(AND(D186="Congé spécial",F186="Congé spécial"),0.333333333333333,IF(OR(AND(D186="Congé spécial",F186&lt;&gt;"Congé spécial"),AND(F186="Congé spécial",D186&lt;&gt;"Congé spécial")),0.166666666666667,""))</f>
        <v/>
      </c>
      <c r="AE186" s="8" t="str">
        <f aca="false">IF(AND(D186="Férié",F186="Férié"),0.333333333333333,IF(OR(AND(D186="Férié",F186&lt;&gt;"Férié"),(AND(F186="Férié",D186&lt;&gt;"Férié"))),0.166666666666667,""))</f>
        <v/>
      </c>
      <c r="AF186" s="18"/>
      <c r="AG186" s="18"/>
    </row>
    <row r="187" customFormat="false" ht="15" hidden="false" customHeight="false" outlineLevel="0" collapsed="false">
      <c r="A187" s="6" t="str">
        <f aca="false">YEAR(Q187-WEEKDAY(Q187,2)+4)&amp;"-S"&amp;TEXT(WEEKNUM(Q187,21),"00")</f>
        <v>2026-S02</v>
      </c>
      <c r="B187" s="18" t="s">
        <v>71</v>
      </c>
      <c r="C187" s="19" t="n">
        <v>0.332638888888889</v>
      </c>
      <c r="D187" s="19" t="n">
        <v>0.333333333333333</v>
      </c>
      <c r="E187" s="19" t="n">
        <v>0.75</v>
      </c>
      <c r="F187" s="19" t="n">
        <v>0.75</v>
      </c>
      <c r="G187" s="20"/>
      <c r="H187" s="20"/>
      <c r="I187" s="8" t="str">
        <f aca="false">IF(IF(OR(C187="",D187="Congé",D187="OFF",D187="Congé spécial"),"",IF(D187&gt;F187,D187-C187,IF(C187-D187&lt;0,0,C187-D187)))&lt;0.00068287037037037,"",IF(OR(D187="Congé",D187="OFF",C187="",D187="Congé spécial"),"",IF(D187&gt;F187,D187-C187,IF(C187-D187&lt;0,0,C187-D187))))</f>
        <v/>
      </c>
      <c r="J187" s="20"/>
      <c r="K187" s="8" t="n">
        <f aca="false">IF(SUM(H187:J187)&lt;0.00068287037037037,0,SUM(H187:J187))</f>
        <v>0</v>
      </c>
      <c r="L187" s="8" t="n">
        <f aca="false">IF(OR(F187="Congé",F187="OFF",M187="Abs",F187="Congé sans solde",F187="Férié",F187="Congé spécial",D187="Congé spécial"),0,IF(F187-E187&lt;0,0,IF(F187-E187&lt;=0.00068287037037037,0,F187-E187)))</f>
        <v>0</v>
      </c>
      <c r="M187" s="6" t="n">
        <f aca="false">IF(AND(O187&lt;&gt;0,C187=""),"Abs",0)</f>
        <v>0</v>
      </c>
      <c r="N187" s="8" t="n">
        <f aca="false">IFERROR(IF(OR(D187="OFF",D187="Congé",M187="Abs",D187="Congé sans solde",D187="Férié"),"",IF(O187-K187-L187&gt;O187,O187,IF(O187-K187-L187&lt;0,"",O187-K187-L187))),"")</f>
        <v>0.375</v>
      </c>
      <c r="O187" s="8" t="n">
        <f aca="false">IF(AG187="2H Pause déjeuner",IF(F187-D187-0.0833333333333333&lt;0,F187-D187-0.0833333333333333+1,F187-D187-0.0833333333333333),IF(OR(AND(F187="OFF",D187="OFF"),AND(F187="Congé",D187="Congé"),AND(F187="Congé sans solde",D187="Congé sans solde"),AND(F187="Congé spécial",D187="Congé spécial"),AND(F187="Férié",D187="Férié"),AND(F187="OFF",D187="Congé"),AND(F187="OFF",D187="Congé sans solde"),AND(F187="OFF",D187="Congé spécial"),AND(F187="OFF",D187="Férié"),AND(F187="Congé",D187="OFF"),AND(F187="Congé",D187="Congé sans solde"),AND(F187="Congé",D187="Congé spécial"),AND(F187="Congé",D187="Férié"),AND(F187="Congé sans solde",D187="OFF"),AND(F187="Congé sans solde",D187="Congé"),AND(F187="Congé sans solde",D187="Congé spécial"),AND(F187="Congé sans solde",D187="Férié"),AND(F187="Congé spécial",D187="OFF"),AND(F187="Congé spécial",D187="Congé"),AND(F187="Congé spécial",D187="Congé sans solde"),AND(F187="Congé spécial",D187="Férié"),AND(F187="Férié",D187="OFF"),AND(F187="Férié",D187="Congé"),AND(F187="Férié",D187="Congé sans solde"),AND(F187="Férié",D187="Congé spécial")),0,IF(OR(F187="OFF",F187="Congé",F187="Congé spécial",F187="Congé sans solde",D187="OFF",D187="Congé",D187="Congé spécial",D187="Congé sans solde"),0.208333333333334,IF(AND(AG187="",F187-D187&lt;0),("24:00:00"-D187)+("00:00:00"+F187)-0.0416666666666667,IF(AND(OR(AG187="Allaitement",AG187="Sans déjeuner"),F187-D187&lt;0),("24:00:00"-D187)+("00:00:00"+F187),IF(AND(AG187="",F187-D187&gt;0.166666666666667),F187-D187-0.0416666666666667,IF(AND(OR(AG187="Allaitement",AG187="Sans déjeuner"),F187-D187&gt;0.166666666666667),F187-D187,F187-D187)))))))</f>
        <v>0.375</v>
      </c>
      <c r="P187" s="6" t="str">
        <f aca="false">IFERROR(VLOOKUP($B187,Agents!$A:$D,2,0),"-")</f>
        <v>Accessibilité</v>
      </c>
      <c r="Q187" s="21" t="n">
        <v>46028</v>
      </c>
      <c r="R187" s="8" t="n">
        <f aca="false">IF(M187="Abs",O187,0)</f>
        <v>0</v>
      </c>
      <c r="S187" s="8" t="n">
        <f aca="false">SUM(R187,L187,I187,J187,W187,H187)</f>
        <v>0</v>
      </c>
      <c r="T187" s="6" t="str">
        <f aca="false">"Sem - "&amp;WEEKNUM(Q187,21)</f>
        <v>Sem - 2</v>
      </c>
      <c r="U187" s="6" t="str">
        <f aca="false">CHOOSE(MONTH(Q187),"Janvier","Février","Mars","Avril","Mai","Juin","Juillet","Août","Septembre","Octobre","Novembre","Décembre")</f>
        <v>Janvier</v>
      </c>
      <c r="V187" s="22" t="n">
        <f aca="false">YEAR(Q187)</f>
        <v>2026</v>
      </c>
      <c r="W187" s="20"/>
      <c r="X187" s="8" t="n">
        <f aca="false">IFERROR(IF(M187="Abs",0,IF(ROUND((D187-C187+E187-F187)*1440,0)&lt;=1,0,D187-C187+E187-F187)),0)</f>
        <v>0</v>
      </c>
      <c r="Y187" s="6" t="str">
        <f aca="false">IFERROR(VLOOKUP($B187,Agents!$A:$D,3,0),"-")</f>
        <v>OUBRAHIM Mohammed</v>
      </c>
      <c r="Z187" s="6" t="str">
        <f aca="false">IFERROR(VLOOKUP($B187,Agents!$A:$D,4,0),"-")</f>
        <v>Credit Mutuel</v>
      </c>
      <c r="AA187" s="18" t="s">
        <v>82</v>
      </c>
      <c r="AB187" s="8" t="str">
        <f aca="false">IF(AND(D187="Congé",F187="Congé"),0.333333333333333,IF(OR(AND(D187="Congé",F187&lt;&gt;"Congé"),(AND(F187="Congé",D187&lt;&gt;"Congé"))),0.166666666666667,""))</f>
        <v/>
      </c>
      <c r="AC187" s="8" t="str">
        <f aca="false">IF(AND(D187="Congé sans solde",F187="Congé sans solde"),0.333333333333333,IF(OR(AND(D187="Congé sans solde",F187&lt;&gt;"Congé sans solde"),(AND(F187="Congé sans solde",D187&lt;&gt;"Congé sans solde"))),0.166666666666667,""))</f>
        <v/>
      </c>
      <c r="AD187" s="8" t="str">
        <f aca="false">IF(AND(D187="Congé spécial",F187="Congé spécial"),0.333333333333333,IF(OR(AND(D187="Congé spécial",F187&lt;&gt;"Congé spécial"),AND(F187="Congé spécial",D187&lt;&gt;"Congé spécial")),0.166666666666667,""))</f>
        <v/>
      </c>
      <c r="AE187" s="8" t="str">
        <f aca="false">IF(AND(D187="Férié",F187="Férié"),0.333333333333333,IF(OR(AND(D187="Férié",F187&lt;&gt;"Férié"),(AND(F187="Férié",D187&lt;&gt;"Férié"))),0.166666666666667,""))</f>
        <v/>
      </c>
      <c r="AF187" s="18"/>
      <c r="AG187" s="18"/>
    </row>
    <row r="188" customFormat="false" ht="15" hidden="false" customHeight="false" outlineLevel="0" collapsed="false">
      <c r="A188" s="6" t="str">
        <f aca="false">YEAR(Q188-WEEKDAY(Q188,2)+4)&amp;"-S"&amp;TEXT(WEEKNUM(Q188,21),"00")</f>
        <v>2026-S02</v>
      </c>
      <c r="B188" s="18" t="s">
        <v>72</v>
      </c>
      <c r="C188" s="19" t="n">
        <v>0.331944444444444</v>
      </c>
      <c r="D188" s="19" t="n">
        <v>0.333333333333333</v>
      </c>
      <c r="E188" s="19" t="n">
        <v>0.75</v>
      </c>
      <c r="F188" s="19" t="n">
        <v>0.75</v>
      </c>
      <c r="G188" s="20"/>
      <c r="H188" s="20"/>
      <c r="I188" s="8" t="str">
        <f aca="false">IF(IF(OR(C188="",D188="Congé",D188="OFF",D188="Congé spécial"),"",IF(D188&gt;F188,D188-C188,IF(C188-D188&lt;0,0,C188-D188)))&lt;0.00068287037037037,"",IF(OR(D188="Congé",D188="OFF",C188="",D188="Congé spécial"),"",IF(D188&gt;F188,D188-C188,IF(C188-D188&lt;0,0,C188-D188))))</f>
        <v/>
      </c>
      <c r="J188" s="20"/>
      <c r="K188" s="8" t="n">
        <f aca="false">IF(SUM(H188:J188)&lt;0.00068287037037037,0,SUM(H188:J188))</f>
        <v>0</v>
      </c>
      <c r="L188" s="8" t="n">
        <f aca="false">IF(OR(F188="Congé",F188="OFF",M188="Abs",F188="Congé sans solde",F188="Férié",F188="Congé spécial",D188="Congé spécial"),0,IF(F188-E188&lt;0,0,IF(F188-E188&lt;=0.00068287037037037,0,F188-E188)))</f>
        <v>0</v>
      </c>
      <c r="M188" s="6" t="n">
        <f aca="false">IF(AND(O188&lt;&gt;0,C188=""),"Abs",0)</f>
        <v>0</v>
      </c>
      <c r="N188" s="8" t="n">
        <f aca="false">IFERROR(IF(OR(D188="OFF",D188="Congé",M188="Abs",D188="Congé sans solde",D188="Férié"),"",IF(O188-K188-L188&gt;O188,O188,IF(O188-K188-L188&lt;0,"",O188-K188-L188))),"")</f>
        <v>0.375</v>
      </c>
      <c r="O188" s="8" t="n">
        <f aca="false">IF(AG188="2H Pause déjeuner",IF(F188-D188-0.0833333333333333&lt;0,F188-D188-0.0833333333333333+1,F188-D188-0.0833333333333333),IF(OR(AND(F188="OFF",D188="OFF"),AND(F188="Congé",D188="Congé"),AND(F188="Congé sans solde",D188="Congé sans solde"),AND(F188="Congé spécial",D188="Congé spécial"),AND(F188="Férié",D188="Férié"),AND(F188="OFF",D188="Congé"),AND(F188="OFF",D188="Congé sans solde"),AND(F188="OFF",D188="Congé spécial"),AND(F188="OFF",D188="Férié"),AND(F188="Congé",D188="OFF"),AND(F188="Congé",D188="Congé sans solde"),AND(F188="Congé",D188="Congé spécial"),AND(F188="Congé",D188="Férié"),AND(F188="Congé sans solde",D188="OFF"),AND(F188="Congé sans solde",D188="Congé"),AND(F188="Congé sans solde",D188="Congé spécial"),AND(F188="Congé sans solde",D188="Férié"),AND(F188="Congé spécial",D188="OFF"),AND(F188="Congé spécial",D188="Congé"),AND(F188="Congé spécial",D188="Congé sans solde"),AND(F188="Congé spécial",D188="Férié"),AND(F188="Férié",D188="OFF"),AND(F188="Férié",D188="Congé"),AND(F188="Férié",D188="Congé sans solde"),AND(F188="Férié",D188="Congé spécial")),0,IF(OR(F188="OFF",F188="Congé",F188="Congé spécial",F188="Congé sans solde",D188="OFF",D188="Congé",D188="Congé spécial",D188="Congé sans solde"),0.208333333333334,IF(AND(AG188="",F188-D188&lt;0),("24:00:00"-D188)+("00:00:00"+F188)-0.0416666666666667,IF(AND(OR(AG188="Allaitement",AG188="Sans déjeuner"),F188-D188&lt;0),("24:00:00"-D188)+("00:00:00"+F188),IF(AND(AG188="",F188-D188&gt;0.166666666666667),F188-D188-0.0416666666666667,IF(AND(OR(AG188="Allaitement",AG188="Sans déjeuner"),F188-D188&gt;0.166666666666667),F188-D188,F188-D188)))))))</f>
        <v>0.375</v>
      </c>
      <c r="P188" s="6" t="str">
        <f aca="false">IFERROR(VLOOKUP($B188,Agents!$A:$D,2,0),"-")</f>
        <v>Accessibilité</v>
      </c>
      <c r="Q188" s="21" t="n">
        <v>46028</v>
      </c>
      <c r="R188" s="8" t="n">
        <f aca="false">IF(M188="Abs",O188,0)</f>
        <v>0</v>
      </c>
      <c r="S188" s="8" t="n">
        <f aca="false">SUM(R188,L188,I188,J188,W188,H188)</f>
        <v>0</v>
      </c>
      <c r="T188" s="6" t="str">
        <f aca="false">"Sem - "&amp;WEEKNUM(Q188,21)</f>
        <v>Sem - 2</v>
      </c>
      <c r="U188" s="6" t="str">
        <f aca="false">CHOOSE(MONTH(Q188),"Janvier","Février","Mars","Avril","Mai","Juin","Juillet","Août","Septembre","Octobre","Novembre","Décembre")</f>
        <v>Janvier</v>
      </c>
      <c r="V188" s="22" t="n">
        <f aca="false">YEAR(Q188)</f>
        <v>2026</v>
      </c>
      <c r="W188" s="20"/>
      <c r="X188" s="8" t="n">
        <f aca="false">IFERROR(IF(M188="Abs",0,IF(ROUND((D188-C188+E188-F188)*1440,0)&lt;=1,0,D188-C188+E188-F188)),0)</f>
        <v>0.00138888888888889</v>
      </c>
      <c r="Y188" s="6" t="str">
        <f aca="false">IFERROR(VLOOKUP($B188,Agents!$A:$D,3,0),"-")</f>
        <v>OUBRAHIM Mohammed</v>
      </c>
      <c r="Z188" s="6" t="str">
        <f aca="false">IFERROR(VLOOKUP($B188,Agents!$A:$D,4,0),"-")</f>
        <v>Credit Mutuel</v>
      </c>
      <c r="AA188" s="18" t="s">
        <v>82</v>
      </c>
      <c r="AB188" s="8" t="str">
        <f aca="false">IF(AND(D188="Congé",F188="Congé"),0.333333333333333,IF(OR(AND(D188="Congé",F188&lt;&gt;"Congé"),(AND(F188="Congé",D188&lt;&gt;"Congé"))),0.166666666666667,""))</f>
        <v/>
      </c>
      <c r="AC188" s="8" t="str">
        <f aca="false">IF(AND(D188="Congé sans solde",F188="Congé sans solde"),0.333333333333333,IF(OR(AND(D188="Congé sans solde",F188&lt;&gt;"Congé sans solde"),(AND(F188="Congé sans solde",D188&lt;&gt;"Congé sans solde"))),0.166666666666667,""))</f>
        <v/>
      </c>
      <c r="AD188" s="8" t="str">
        <f aca="false">IF(AND(D188="Congé spécial",F188="Congé spécial"),0.333333333333333,IF(OR(AND(D188="Congé spécial",F188&lt;&gt;"Congé spécial"),AND(F188="Congé spécial",D188&lt;&gt;"Congé spécial")),0.166666666666667,""))</f>
        <v/>
      </c>
      <c r="AE188" s="8" t="str">
        <f aca="false">IF(AND(D188="Férié",F188="Férié"),0.333333333333333,IF(OR(AND(D188="Férié",F188&lt;&gt;"Férié"),(AND(F188="Férié",D188&lt;&gt;"Férié"))),0.166666666666667,""))</f>
        <v/>
      </c>
      <c r="AF188" s="18"/>
      <c r="AG188" s="18"/>
    </row>
    <row r="189" customFormat="false" ht="15" hidden="false" customHeight="false" outlineLevel="0" collapsed="false">
      <c r="A189" s="6" t="str">
        <f aca="false">YEAR(Q189-WEEKDAY(Q189,2)+4)&amp;"-S"&amp;TEXT(WEEKNUM(Q189,21),"00")</f>
        <v>2026-S02</v>
      </c>
      <c r="B189" s="18" t="s">
        <v>73</v>
      </c>
      <c r="C189" s="19" t="n">
        <v>0.333333333333333</v>
      </c>
      <c r="D189" s="19" t="n">
        <v>0.333333333333333</v>
      </c>
      <c r="E189" s="19" t="n">
        <v>0.75</v>
      </c>
      <c r="F189" s="19" t="n">
        <v>0.75</v>
      </c>
      <c r="G189" s="20"/>
      <c r="H189" s="20"/>
      <c r="I189" s="8" t="str">
        <f aca="false">IF(IF(OR(C189="",D189="Congé",D189="OFF",D189="Congé spécial"),"",IF(D189&gt;F189,D189-C189,IF(C189-D189&lt;0,0,C189-D189)))&lt;0.00068287037037037,"",IF(OR(D189="Congé",D189="OFF",C189="",D189="Congé spécial"),"",IF(D189&gt;F189,D189-C189,IF(C189-D189&lt;0,0,C189-D189))))</f>
        <v/>
      </c>
      <c r="J189" s="20"/>
      <c r="K189" s="8" t="n">
        <f aca="false">IF(SUM(H189:J189)&lt;0.00068287037037037,0,SUM(H189:J189))</f>
        <v>0</v>
      </c>
      <c r="L189" s="8" t="n">
        <f aca="false">IF(OR(F189="Congé",F189="OFF",M189="Abs",F189="Congé sans solde",F189="Férié",F189="Congé spécial",D189="Congé spécial"),0,IF(F189-E189&lt;0,0,IF(F189-E189&lt;=0.00068287037037037,0,F189-E189)))</f>
        <v>0</v>
      </c>
      <c r="M189" s="6" t="n">
        <f aca="false">IF(AND(O189&lt;&gt;0,C189=""),"Abs",0)</f>
        <v>0</v>
      </c>
      <c r="N189" s="8" t="n">
        <f aca="false">IFERROR(IF(OR(D189="OFF",D189="Congé",M189="Abs",D189="Congé sans solde",D189="Férié"),"",IF(O189-K189-L189&gt;O189,O189,IF(O189-K189-L189&lt;0,"",O189-K189-L189))),"")</f>
        <v>0.375</v>
      </c>
      <c r="O189" s="8" t="n">
        <f aca="false">IF(AG189="2H Pause déjeuner",IF(F189-D189-0.0833333333333333&lt;0,F189-D189-0.0833333333333333+1,F189-D189-0.0833333333333333),IF(OR(AND(F189="OFF",D189="OFF"),AND(F189="Congé",D189="Congé"),AND(F189="Congé sans solde",D189="Congé sans solde"),AND(F189="Congé spécial",D189="Congé spécial"),AND(F189="Férié",D189="Férié"),AND(F189="OFF",D189="Congé"),AND(F189="OFF",D189="Congé sans solde"),AND(F189="OFF",D189="Congé spécial"),AND(F189="OFF",D189="Férié"),AND(F189="Congé",D189="OFF"),AND(F189="Congé",D189="Congé sans solde"),AND(F189="Congé",D189="Congé spécial"),AND(F189="Congé",D189="Férié"),AND(F189="Congé sans solde",D189="OFF"),AND(F189="Congé sans solde",D189="Congé"),AND(F189="Congé sans solde",D189="Congé spécial"),AND(F189="Congé sans solde",D189="Férié"),AND(F189="Congé spécial",D189="OFF"),AND(F189="Congé spécial",D189="Congé"),AND(F189="Congé spécial",D189="Congé sans solde"),AND(F189="Congé spécial",D189="Férié"),AND(F189="Férié",D189="OFF"),AND(F189="Férié",D189="Congé"),AND(F189="Férié",D189="Congé sans solde"),AND(F189="Férié",D189="Congé spécial")),0,IF(OR(F189="OFF",F189="Congé",F189="Congé spécial",F189="Congé sans solde",D189="OFF",D189="Congé",D189="Congé spécial",D189="Congé sans solde"),0.208333333333334,IF(AND(AG189="",F189-D189&lt;0),("24:00:00"-D189)+("00:00:00"+F189)-0.0416666666666667,IF(AND(OR(AG189="Allaitement",AG189="Sans déjeuner"),F189-D189&lt;0),("24:00:00"-D189)+("00:00:00"+F189),IF(AND(AG189="",F189-D189&gt;0.166666666666667),F189-D189-0.0416666666666667,IF(AND(OR(AG189="Allaitement",AG189="Sans déjeuner"),F189-D189&gt;0.166666666666667),F189-D189,F189-D189)))))))</f>
        <v>0.375</v>
      </c>
      <c r="P189" s="6" t="str">
        <f aca="false">IFERROR(VLOOKUP($B189,Agents!$A:$D,2,0),"-")</f>
        <v>Accessibilité</v>
      </c>
      <c r="Q189" s="21" t="n">
        <v>46028</v>
      </c>
      <c r="R189" s="8" t="n">
        <f aca="false">IF(M189="Abs",O189,0)</f>
        <v>0</v>
      </c>
      <c r="S189" s="8" t="n">
        <f aca="false">SUM(R189,L189,I189,J189,W189,H189)</f>
        <v>0</v>
      </c>
      <c r="T189" s="6" t="str">
        <f aca="false">"Sem - "&amp;WEEKNUM(Q189,21)</f>
        <v>Sem - 2</v>
      </c>
      <c r="U189" s="6" t="str">
        <f aca="false">CHOOSE(MONTH(Q189),"Janvier","Février","Mars","Avril","Mai","Juin","Juillet","Août","Septembre","Octobre","Novembre","Décembre")</f>
        <v>Janvier</v>
      </c>
      <c r="V189" s="22" t="n">
        <f aca="false">YEAR(Q189)</f>
        <v>2026</v>
      </c>
      <c r="W189" s="20"/>
      <c r="X189" s="8" t="n">
        <f aca="false">IFERROR(IF(M189="Abs",0,IF(ROUND((D189-C189+E189-F189)*1440,0)&lt;=1,0,D189-C189+E189-F189)),0)</f>
        <v>0</v>
      </c>
      <c r="Y189" s="6" t="str">
        <f aca="false">IFERROR(VLOOKUP($B189,Agents!$A:$D,3,0),"-")</f>
        <v>OUBRAHIM Mohammed</v>
      </c>
      <c r="Z189" s="6" t="str">
        <f aca="false">IFERROR(VLOOKUP($B189,Agents!$A:$D,4,0),"-")</f>
        <v>Credit Mutuel</v>
      </c>
      <c r="AA189" s="18" t="s">
        <v>82</v>
      </c>
      <c r="AB189" s="8" t="str">
        <f aca="false">IF(AND(D189="Congé",F189="Congé"),0.333333333333333,IF(OR(AND(D189="Congé",F189&lt;&gt;"Congé"),(AND(F189="Congé",D189&lt;&gt;"Congé"))),0.166666666666667,""))</f>
        <v/>
      </c>
      <c r="AC189" s="8" t="str">
        <f aca="false">IF(AND(D189="Congé sans solde",F189="Congé sans solde"),0.333333333333333,IF(OR(AND(D189="Congé sans solde",F189&lt;&gt;"Congé sans solde"),(AND(F189="Congé sans solde",D189&lt;&gt;"Congé sans solde"))),0.166666666666667,""))</f>
        <v/>
      </c>
      <c r="AD189" s="8" t="str">
        <f aca="false">IF(AND(D189="Congé spécial",F189="Congé spécial"),0.333333333333333,IF(OR(AND(D189="Congé spécial",F189&lt;&gt;"Congé spécial"),AND(F189="Congé spécial",D189&lt;&gt;"Congé spécial")),0.166666666666667,""))</f>
        <v/>
      </c>
      <c r="AE189" s="8" t="str">
        <f aca="false">IF(AND(D189="Férié",F189="Férié"),0.333333333333333,IF(OR(AND(D189="Férié",F189&lt;&gt;"Férié"),(AND(F189="Férié",D189&lt;&gt;"Férié"))),0.166666666666667,""))</f>
        <v/>
      </c>
      <c r="AF189" s="18"/>
      <c r="AG189" s="18"/>
    </row>
    <row r="190" customFormat="false" ht="15" hidden="false" customHeight="false" outlineLevel="0" collapsed="false">
      <c r="A190" s="6" t="str">
        <f aca="false">YEAR(Q190-WEEKDAY(Q190,2)+4)&amp;"-S"&amp;TEXT(WEEKNUM(Q190,21),"00")</f>
        <v>2026-S02</v>
      </c>
      <c r="B190" s="18" t="s">
        <v>69</v>
      </c>
      <c r="C190" s="19" t="n">
        <v>0.332638888888889</v>
      </c>
      <c r="D190" s="19" t="n">
        <v>0.333333333333333</v>
      </c>
      <c r="E190" s="19" t="n">
        <v>0.75</v>
      </c>
      <c r="F190" s="19" t="n">
        <v>0.75</v>
      </c>
      <c r="G190" s="20"/>
      <c r="H190" s="20"/>
      <c r="I190" s="8" t="str">
        <f aca="false">IF(IF(OR(C190="",D190="Congé",D190="OFF",D190="Congé spécial"),"",IF(D190&gt;F190,D190-C190,IF(C190-D190&lt;0,0,C190-D190)))&lt;0.00068287037037037,"",IF(OR(D190="Congé",D190="OFF",C190="",D190="Congé spécial"),"",IF(D190&gt;F190,D190-C190,IF(C190-D190&lt;0,0,C190-D190))))</f>
        <v/>
      </c>
      <c r="J190" s="20"/>
      <c r="K190" s="8" t="n">
        <f aca="false">IF(SUM(H190:J190)&lt;0.00068287037037037,0,SUM(H190:J190))</f>
        <v>0</v>
      </c>
      <c r="L190" s="8" t="n">
        <f aca="false">IF(OR(F190="Congé",F190="OFF",M190="Abs",F190="Congé sans solde",F190="Férié",F190="Congé spécial",D190="Congé spécial"),0,IF(F190-E190&lt;0,0,IF(F190-E190&lt;=0.00068287037037037,0,F190-E190)))</f>
        <v>0</v>
      </c>
      <c r="M190" s="6" t="n">
        <f aca="false">IF(AND(O190&lt;&gt;0,C190=""),"Abs",0)</f>
        <v>0</v>
      </c>
      <c r="N190" s="8" t="n">
        <f aca="false">IFERROR(IF(OR(D190="OFF",D190="Congé",M190="Abs",D190="Congé sans solde",D190="Férié"),"",IF(O190-K190-L190&gt;O190,O190,IF(O190-K190-L190&lt;0,"",O190-K190-L190))),"")</f>
        <v>0.375</v>
      </c>
      <c r="O190" s="8" t="n">
        <f aca="false">IF(AG190="2H Pause déjeuner",IF(F190-D190-0.0833333333333333&lt;0,F190-D190-0.0833333333333333+1,F190-D190-0.0833333333333333),IF(OR(AND(F190="OFF",D190="OFF"),AND(F190="Congé",D190="Congé"),AND(F190="Congé sans solde",D190="Congé sans solde"),AND(F190="Congé spécial",D190="Congé spécial"),AND(F190="Férié",D190="Férié"),AND(F190="OFF",D190="Congé"),AND(F190="OFF",D190="Congé sans solde"),AND(F190="OFF",D190="Congé spécial"),AND(F190="OFF",D190="Férié"),AND(F190="Congé",D190="OFF"),AND(F190="Congé",D190="Congé sans solde"),AND(F190="Congé",D190="Congé spécial"),AND(F190="Congé",D190="Férié"),AND(F190="Congé sans solde",D190="OFF"),AND(F190="Congé sans solde",D190="Congé"),AND(F190="Congé sans solde",D190="Congé spécial"),AND(F190="Congé sans solde",D190="Férié"),AND(F190="Congé spécial",D190="OFF"),AND(F190="Congé spécial",D190="Congé"),AND(F190="Congé spécial",D190="Congé sans solde"),AND(F190="Congé spécial",D190="Férié"),AND(F190="Férié",D190="OFF"),AND(F190="Férié",D190="Congé"),AND(F190="Férié",D190="Congé sans solde"),AND(F190="Férié",D190="Congé spécial")),0,IF(OR(F190="OFF",F190="Congé",F190="Congé spécial",F190="Congé sans solde",D190="OFF",D190="Congé",D190="Congé spécial",D190="Congé sans solde"),0.208333333333334,IF(AND(AG190="",F190-D190&lt;0),("24:00:00"-D190)+("00:00:00"+F190)-0.0416666666666667,IF(AND(OR(AG190="Allaitement",AG190="Sans déjeuner"),F190-D190&lt;0),("24:00:00"-D190)+("00:00:00"+F190),IF(AND(AG190="",F190-D190&gt;0.166666666666667),F190-D190-0.0416666666666667,IF(AND(OR(AG190="Allaitement",AG190="Sans déjeuner"),F190-D190&gt;0.166666666666667),F190-D190,F190-D190)))))))</f>
        <v>0.375</v>
      </c>
      <c r="P190" s="6" t="str">
        <f aca="false">IFERROR(VLOOKUP($B190,Agents!$A:$D,2,0),"-")</f>
        <v>Accessibilité</v>
      </c>
      <c r="Q190" s="21" t="n">
        <v>46029</v>
      </c>
      <c r="R190" s="8" t="n">
        <f aca="false">IF(M190="Abs",O190,0)</f>
        <v>0</v>
      </c>
      <c r="S190" s="8" t="n">
        <f aca="false">SUM(R190,L190,I190,J190,W190,H190)</f>
        <v>0</v>
      </c>
      <c r="T190" s="6" t="str">
        <f aca="false">"Sem - "&amp;WEEKNUM(Q190,21)</f>
        <v>Sem - 2</v>
      </c>
      <c r="U190" s="6" t="str">
        <f aca="false">CHOOSE(MONTH(Q190),"Janvier","Février","Mars","Avril","Mai","Juin","Juillet","Août","Septembre","Octobre","Novembre","Décembre")</f>
        <v>Janvier</v>
      </c>
      <c r="V190" s="22" t="n">
        <f aca="false">YEAR(Q190)</f>
        <v>2026</v>
      </c>
      <c r="W190" s="20"/>
      <c r="X190" s="8" t="n">
        <f aca="false">IFERROR(IF(M190="Abs",0,IF(ROUND((D190-C190+E190-F190)*1440,0)&lt;=1,0,D190-C190+E190-F190)),0)</f>
        <v>0</v>
      </c>
      <c r="Y190" s="6" t="str">
        <f aca="false">IFERROR(VLOOKUP($B190,Agents!$A:$D,3,0),"-")</f>
        <v>OUBRAHIM Mohammed</v>
      </c>
      <c r="Z190" s="6" t="str">
        <f aca="false">IFERROR(VLOOKUP($B190,Agents!$A:$D,4,0),"-")</f>
        <v>Credit Mutuel</v>
      </c>
      <c r="AA190" s="18" t="s">
        <v>82</v>
      </c>
      <c r="AB190" s="8" t="str">
        <f aca="false">IF(AND(D190="Congé",F190="Congé"),0.333333333333333,IF(OR(AND(D190="Congé",F190&lt;&gt;"Congé"),(AND(F190="Congé",D190&lt;&gt;"Congé"))),0.166666666666667,""))</f>
        <v/>
      </c>
      <c r="AC190" s="8" t="str">
        <f aca="false">IF(AND(D190="Congé sans solde",F190="Congé sans solde"),0.333333333333333,IF(OR(AND(D190="Congé sans solde",F190&lt;&gt;"Congé sans solde"),(AND(F190="Congé sans solde",D190&lt;&gt;"Congé sans solde"))),0.166666666666667,""))</f>
        <v/>
      </c>
      <c r="AD190" s="8" t="str">
        <f aca="false">IF(AND(D190="Congé spécial",F190="Congé spécial"),0.333333333333333,IF(OR(AND(D190="Congé spécial",F190&lt;&gt;"Congé spécial"),AND(F190="Congé spécial",D190&lt;&gt;"Congé spécial")),0.166666666666667,""))</f>
        <v/>
      </c>
      <c r="AE190" s="8" t="str">
        <f aca="false">IF(AND(D190="Férié",F190="Férié"),0.333333333333333,IF(OR(AND(D190="Férié",F190&lt;&gt;"Férié"),(AND(F190="Férié",D190&lt;&gt;"Férié"))),0.166666666666667,""))</f>
        <v/>
      </c>
      <c r="AF190" s="18"/>
      <c r="AG190" s="18"/>
    </row>
    <row r="191" customFormat="false" ht="15" hidden="false" customHeight="false" outlineLevel="0" collapsed="false">
      <c r="A191" s="6" t="str">
        <f aca="false">YEAR(Q191-WEEKDAY(Q191,2)+4)&amp;"-S"&amp;TEXT(WEEKNUM(Q191,21),"00")</f>
        <v>2026-S02</v>
      </c>
      <c r="B191" s="18" t="s">
        <v>71</v>
      </c>
      <c r="C191" s="19" t="n">
        <v>0.332638888888889</v>
      </c>
      <c r="D191" s="19" t="n">
        <v>0.333333333333333</v>
      </c>
      <c r="E191" s="19" t="n">
        <v>0.75</v>
      </c>
      <c r="F191" s="19" t="n">
        <v>0.75</v>
      </c>
      <c r="G191" s="20"/>
      <c r="H191" s="20"/>
      <c r="I191" s="8" t="str">
        <f aca="false">IF(IF(OR(C191="",D191="Congé",D191="OFF",D191="Congé spécial"),"",IF(D191&gt;F191,D191-C191,IF(C191-D191&lt;0,0,C191-D191)))&lt;0.00068287037037037,"",IF(OR(D191="Congé",D191="OFF",C191="",D191="Congé spécial"),"",IF(D191&gt;F191,D191-C191,IF(C191-D191&lt;0,0,C191-D191))))</f>
        <v/>
      </c>
      <c r="J191" s="20"/>
      <c r="K191" s="8" t="n">
        <f aca="false">IF(SUM(H191:J191)&lt;0.00068287037037037,0,SUM(H191:J191))</f>
        <v>0</v>
      </c>
      <c r="L191" s="8" t="n">
        <f aca="false">IF(OR(F191="Congé",F191="OFF",M191="Abs",F191="Congé sans solde",F191="Férié",F191="Congé spécial",D191="Congé spécial"),0,IF(F191-E191&lt;0,0,IF(F191-E191&lt;=0.00068287037037037,0,F191-E191)))</f>
        <v>0</v>
      </c>
      <c r="M191" s="6" t="n">
        <f aca="false">IF(AND(O191&lt;&gt;0,C191=""),"Abs",0)</f>
        <v>0</v>
      </c>
      <c r="N191" s="8" t="n">
        <f aca="false">IFERROR(IF(OR(D191="OFF",D191="Congé",M191="Abs",D191="Congé sans solde",D191="Férié"),"",IF(O191-K191-L191&gt;O191,O191,IF(O191-K191-L191&lt;0,"",O191-K191-L191))),"")</f>
        <v>0.375</v>
      </c>
      <c r="O191" s="8" t="n">
        <f aca="false">IF(AG191="2H Pause déjeuner",IF(F191-D191-0.0833333333333333&lt;0,F191-D191-0.0833333333333333+1,F191-D191-0.0833333333333333),IF(OR(AND(F191="OFF",D191="OFF"),AND(F191="Congé",D191="Congé"),AND(F191="Congé sans solde",D191="Congé sans solde"),AND(F191="Congé spécial",D191="Congé spécial"),AND(F191="Férié",D191="Férié"),AND(F191="OFF",D191="Congé"),AND(F191="OFF",D191="Congé sans solde"),AND(F191="OFF",D191="Congé spécial"),AND(F191="OFF",D191="Férié"),AND(F191="Congé",D191="OFF"),AND(F191="Congé",D191="Congé sans solde"),AND(F191="Congé",D191="Congé spécial"),AND(F191="Congé",D191="Férié"),AND(F191="Congé sans solde",D191="OFF"),AND(F191="Congé sans solde",D191="Congé"),AND(F191="Congé sans solde",D191="Congé spécial"),AND(F191="Congé sans solde",D191="Férié"),AND(F191="Congé spécial",D191="OFF"),AND(F191="Congé spécial",D191="Congé"),AND(F191="Congé spécial",D191="Congé sans solde"),AND(F191="Congé spécial",D191="Férié"),AND(F191="Férié",D191="OFF"),AND(F191="Férié",D191="Congé"),AND(F191="Férié",D191="Congé sans solde"),AND(F191="Férié",D191="Congé spécial")),0,IF(OR(F191="OFF",F191="Congé",F191="Congé spécial",F191="Congé sans solde",D191="OFF",D191="Congé",D191="Congé spécial",D191="Congé sans solde"),0.208333333333334,IF(AND(AG191="",F191-D191&lt;0),("24:00:00"-D191)+("00:00:00"+F191)-0.0416666666666667,IF(AND(OR(AG191="Allaitement",AG191="Sans déjeuner"),F191-D191&lt;0),("24:00:00"-D191)+("00:00:00"+F191),IF(AND(AG191="",F191-D191&gt;0.166666666666667),F191-D191-0.0416666666666667,IF(AND(OR(AG191="Allaitement",AG191="Sans déjeuner"),F191-D191&gt;0.166666666666667),F191-D191,F191-D191)))))))</f>
        <v>0.375</v>
      </c>
      <c r="P191" s="6" t="str">
        <f aca="false">IFERROR(VLOOKUP($B191,Agents!$A:$D,2,0),"-")</f>
        <v>Accessibilité</v>
      </c>
      <c r="Q191" s="21" t="n">
        <v>46029</v>
      </c>
      <c r="R191" s="8" t="n">
        <f aca="false">IF(M191="Abs",O191,0)</f>
        <v>0</v>
      </c>
      <c r="S191" s="8" t="n">
        <f aca="false">SUM(R191,L191,I191,J191,W191,H191)</f>
        <v>0</v>
      </c>
      <c r="T191" s="6" t="str">
        <f aca="false">"Sem - "&amp;WEEKNUM(Q191,21)</f>
        <v>Sem - 2</v>
      </c>
      <c r="U191" s="6" t="str">
        <f aca="false">CHOOSE(MONTH(Q191),"Janvier","Février","Mars","Avril","Mai","Juin","Juillet","Août","Septembre","Octobre","Novembre","Décembre")</f>
        <v>Janvier</v>
      </c>
      <c r="V191" s="22" t="n">
        <f aca="false">YEAR(Q191)</f>
        <v>2026</v>
      </c>
      <c r="W191" s="20"/>
      <c r="X191" s="8" t="n">
        <f aca="false">IFERROR(IF(M191="Abs",0,IF(ROUND((D191-C191+E191-F191)*1440,0)&lt;=1,0,D191-C191+E191-F191)),0)</f>
        <v>0</v>
      </c>
      <c r="Y191" s="6" t="str">
        <f aca="false">IFERROR(VLOOKUP($B191,Agents!$A:$D,3,0),"-")</f>
        <v>OUBRAHIM Mohammed</v>
      </c>
      <c r="Z191" s="6" t="str">
        <f aca="false">IFERROR(VLOOKUP($B191,Agents!$A:$D,4,0),"-")</f>
        <v>Credit Mutuel</v>
      </c>
      <c r="AA191" s="18" t="s">
        <v>82</v>
      </c>
      <c r="AB191" s="8" t="str">
        <f aca="false">IF(AND(D191="Congé",F191="Congé"),0.333333333333333,IF(OR(AND(D191="Congé",F191&lt;&gt;"Congé"),(AND(F191="Congé",D191&lt;&gt;"Congé"))),0.166666666666667,""))</f>
        <v/>
      </c>
      <c r="AC191" s="8" t="str">
        <f aca="false">IF(AND(D191="Congé sans solde",F191="Congé sans solde"),0.333333333333333,IF(OR(AND(D191="Congé sans solde",F191&lt;&gt;"Congé sans solde"),(AND(F191="Congé sans solde",D191&lt;&gt;"Congé sans solde"))),0.166666666666667,""))</f>
        <v/>
      </c>
      <c r="AD191" s="8" t="str">
        <f aca="false">IF(AND(D191="Congé spécial",F191="Congé spécial"),0.333333333333333,IF(OR(AND(D191="Congé spécial",F191&lt;&gt;"Congé spécial"),AND(F191="Congé spécial",D191&lt;&gt;"Congé spécial")),0.166666666666667,""))</f>
        <v/>
      </c>
      <c r="AE191" s="8" t="str">
        <f aca="false">IF(AND(D191="Férié",F191="Férié"),0.333333333333333,IF(OR(AND(D191="Férié",F191&lt;&gt;"Férié"),(AND(F191="Férié",D191&lt;&gt;"Férié"))),0.166666666666667,""))</f>
        <v/>
      </c>
      <c r="AF191" s="18"/>
      <c r="AG191" s="18"/>
    </row>
    <row r="192" customFormat="false" ht="15" hidden="false" customHeight="false" outlineLevel="0" collapsed="false">
      <c r="A192" s="6" t="str">
        <f aca="false">YEAR(Q192-WEEKDAY(Q192,2)+4)&amp;"-S"&amp;TEXT(WEEKNUM(Q192,21),"00")</f>
        <v>2026-S02</v>
      </c>
      <c r="B192" s="18" t="s">
        <v>72</v>
      </c>
      <c r="C192" s="19" t="n">
        <v>0.332638888888889</v>
      </c>
      <c r="D192" s="19" t="n">
        <v>0.333333333333333</v>
      </c>
      <c r="E192" s="19" t="n">
        <v>0.75</v>
      </c>
      <c r="F192" s="19" t="n">
        <v>0.75</v>
      </c>
      <c r="G192" s="20"/>
      <c r="H192" s="20"/>
      <c r="I192" s="8" t="str">
        <f aca="false">IF(IF(OR(C192="",D192="Congé",D192="OFF",D192="Congé spécial"),"",IF(D192&gt;F192,D192-C192,IF(C192-D192&lt;0,0,C192-D192)))&lt;0.00068287037037037,"",IF(OR(D192="Congé",D192="OFF",C192="",D192="Congé spécial"),"",IF(D192&gt;F192,D192-C192,IF(C192-D192&lt;0,0,C192-D192))))</f>
        <v/>
      </c>
      <c r="J192" s="20"/>
      <c r="K192" s="8" t="n">
        <f aca="false">IF(SUM(H192:J192)&lt;0.00068287037037037,0,SUM(H192:J192))</f>
        <v>0</v>
      </c>
      <c r="L192" s="8" t="n">
        <f aca="false">IF(OR(F192="Congé",F192="OFF",M192="Abs",F192="Congé sans solde",F192="Férié",F192="Congé spécial",D192="Congé spécial"),0,IF(F192-E192&lt;0,0,IF(F192-E192&lt;=0.00068287037037037,0,F192-E192)))</f>
        <v>0</v>
      </c>
      <c r="M192" s="6" t="n">
        <f aca="false">IF(AND(O192&lt;&gt;0,C192=""),"Abs",0)</f>
        <v>0</v>
      </c>
      <c r="N192" s="8" t="n">
        <f aca="false">IFERROR(IF(OR(D192="OFF",D192="Congé",M192="Abs",D192="Congé sans solde",D192="Férié"),"",IF(O192-K192-L192&gt;O192,O192,IF(O192-K192-L192&lt;0,"",O192-K192-L192))),"")</f>
        <v>0.375</v>
      </c>
      <c r="O192" s="8" t="n">
        <f aca="false">IF(AG192="2H Pause déjeuner",IF(F192-D192-0.0833333333333333&lt;0,F192-D192-0.0833333333333333+1,F192-D192-0.0833333333333333),IF(OR(AND(F192="OFF",D192="OFF"),AND(F192="Congé",D192="Congé"),AND(F192="Congé sans solde",D192="Congé sans solde"),AND(F192="Congé spécial",D192="Congé spécial"),AND(F192="Férié",D192="Férié"),AND(F192="OFF",D192="Congé"),AND(F192="OFF",D192="Congé sans solde"),AND(F192="OFF",D192="Congé spécial"),AND(F192="OFF",D192="Férié"),AND(F192="Congé",D192="OFF"),AND(F192="Congé",D192="Congé sans solde"),AND(F192="Congé",D192="Congé spécial"),AND(F192="Congé",D192="Férié"),AND(F192="Congé sans solde",D192="OFF"),AND(F192="Congé sans solde",D192="Congé"),AND(F192="Congé sans solde",D192="Congé spécial"),AND(F192="Congé sans solde",D192="Férié"),AND(F192="Congé spécial",D192="OFF"),AND(F192="Congé spécial",D192="Congé"),AND(F192="Congé spécial",D192="Congé sans solde"),AND(F192="Congé spécial",D192="Férié"),AND(F192="Férié",D192="OFF"),AND(F192="Férié",D192="Congé"),AND(F192="Férié",D192="Congé sans solde"),AND(F192="Férié",D192="Congé spécial")),0,IF(OR(F192="OFF",F192="Congé",F192="Congé spécial",F192="Congé sans solde",D192="OFF",D192="Congé",D192="Congé spécial",D192="Congé sans solde"),0.208333333333334,IF(AND(AG192="",F192-D192&lt;0),("24:00:00"-D192)+("00:00:00"+F192)-0.0416666666666667,IF(AND(OR(AG192="Allaitement",AG192="Sans déjeuner"),F192-D192&lt;0),("24:00:00"-D192)+("00:00:00"+F192),IF(AND(AG192="",F192-D192&gt;0.166666666666667),F192-D192-0.0416666666666667,IF(AND(OR(AG192="Allaitement",AG192="Sans déjeuner"),F192-D192&gt;0.166666666666667),F192-D192,F192-D192)))))))</f>
        <v>0.375</v>
      </c>
      <c r="P192" s="6" t="str">
        <f aca="false">IFERROR(VLOOKUP($B192,Agents!$A:$D,2,0),"-")</f>
        <v>Accessibilité</v>
      </c>
      <c r="Q192" s="21" t="n">
        <v>46029</v>
      </c>
      <c r="R192" s="8" t="n">
        <f aca="false">IF(M192="Abs",O192,0)</f>
        <v>0</v>
      </c>
      <c r="S192" s="8" t="n">
        <f aca="false">SUM(R192,L192,I192,J192,W192,H192)</f>
        <v>0</v>
      </c>
      <c r="T192" s="6" t="str">
        <f aca="false">"Sem - "&amp;WEEKNUM(Q192,21)</f>
        <v>Sem - 2</v>
      </c>
      <c r="U192" s="6" t="str">
        <f aca="false">CHOOSE(MONTH(Q192),"Janvier","Février","Mars","Avril","Mai","Juin","Juillet","Août","Septembre","Octobre","Novembre","Décembre")</f>
        <v>Janvier</v>
      </c>
      <c r="V192" s="22" t="n">
        <f aca="false">YEAR(Q192)</f>
        <v>2026</v>
      </c>
      <c r="W192" s="20"/>
      <c r="X192" s="8" t="n">
        <f aca="false">IFERROR(IF(M192="Abs",0,IF(ROUND((D192-C192+E192-F192)*1440,0)&lt;=1,0,D192-C192+E192-F192)),0)</f>
        <v>0</v>
      </c>
      <c r="Y192" s="6" t="str">
        <f aca="false">IFERROR(VLOOKUP($B192,Agents!$A:$D,3,0),"-")</f>
        <v>OUBRAHIM Mohammed</v>
      </c>
      <c r="Z192" s="6" t="str">
        <f aca="false">IFERROR(VLOOKUP($B192,Agents!$A:$D,4,0),"-")</f>
        <v>Credit Mutuel</v>
      </c>
      <c r="AA192" s="18" t="s">
        <v>82</v>
      </c>
      <c r="AB192" s="8" t="str">
        <f aca="false">IF(AND(D192="Congé",F192="Congé"),0.333333333333333,IF(OR(AND(D192="Congé",F192&lt;&gt;"Congé"),(AND(F192="Congé",D192&lt;&gt;"Congé"))),0.166666666666667,""))</f>
        <v/>
      </c>
      <c r="AC192" s="8" t="str">
        <f aca="false">IF(AND(D192="Congé sans solde",F192="Congé sans solde"),0.333333333333333,IF(OR(AND(D192="Congé sans solde",F192&lt;&gt;"Congé sans solde"),(AND(F192="Congé sans solde",D192&lt;&gt;"Congé sans solde"))),0.166666666666667,""))</f>
        <v/>
      </c>
      <c r="AD192" s="8" t="str">
        <f aca="false">IF(AND(D192="Congé spécial",F192="Congé spécial"),0.333333333333333,IF(OR(AND(D192="Congé spécial",F192&lt;&gt;"Congé spécial"),AND(F192="Congé spécial",D192&lt;&gt;"Congé spécial")),0.166666666666667,""))</f>
        <v/>
      </c>
      <c r="AE192" s="8" t="str">
        <f aca="false">IF(AND(D192="Férié",F192="Férié"),0.333333333333333,IF(OR(AND(D192="Férié",F192&lt;&gt;"Férié"),(AND(F192="Férié",D192&lt;&gt;"Férié"))),0.166666666666667,""))</f>
        <v/>
      </c>
      <c r="AF192" s="18"/>
      <c r="AG192" s="18"/>
    </row>
    <row r="193" customFormat="false" ht="15" hidden="false" customHeight="false" outlineLevel="0" collapsed="false">
      <c r="A193" s="6" t="str">
        <f aca="false">YEAR(Q193-WEEKDAY(Q193,2)+4)&amp;"-S"&amp;TEXT(WEEKNUM(Q193,21),"00")</f>
        <v>2026-S02</v>
      </c>
      <c r="B193" s="18" t="s">
        <v>73</v>
      </c>
      <c r="C193" s="19" t="n">
        <v>0.331944444444444</v>
      </c>
      <c r="D193" s="19" t="n">
        <v>0.333333333333333</v>
      </c>
      <c r="E193" s="19" t="n">
        <v>0.75</v>
      </c>
      <c r="F193" s="19" t="n">
        <v>0.75</v>
      </c>
      <c r="G193" s="20"/>
      <c r="H193" s="20"/>
      <c r="I193" s="8" t="str">
        <f aca="false">IF(IF(OR(C193="",D193="Congé",D193="OFF",D193="Congé spécial"),"",IF(D193&gt;F193,D193-C193,IF(C193-D193&lt;0,0,C193-D193)))&lt;0.00068287037037037,"",IF(OR(D193="Congé",D193="OFF",C193="",D193="Congé spécial"),"",IF(D193&gt;F193,D193-C193,IF(C193-D193&lt;0,0,C193-D193))))</f>
        <v/>
      </c>
      <c r="J193" s="20"/>
      <c r="K193" s="8" t="n">
        <f aca="false">IF(SUM(H193:J193)&lt;0.00068287037037037,0,SUM(H193:J193))</f>
        <v>0</v>
      </c>
      <c r="L193" s="8" t="n">
        <f aca="false">IF(OR(F193="Congé",F193="OFF",M193="Abs",F193="Congé sans solde",F193="Férié",F193="Congé spécial",D193="Congé spécial"),0,IF(F193-E193&lt;0,0,IF(F193-E193&lt;=0.00068287037037037,0,F193-E193)))</f>
        <v>0</v>
      </c>
      <c r="M193" s="6" t="n">
        <f aca="false">IF(AND(O193&lt;&gt;0,C193=""),"Abs",0)</f>
        <v>0</v>
      </c>
      <c r="N193" s="8" t="n">
        <f aca="false">IFERROR(IF(OR(D193="OFF",D193="Congé",M193="Abs",D193="Congé sans solde",D193="Férié"),"",IF(O193-K193-L193&gt;O193,O193,IF(O193-K193-L193&lt;0,"",O193-K193-L193))),"")</f>
        <v>0.375</v>
      </c>
      <c r="O193" s="8" t="n">
        <f aca="false">IF(AG193="2H Pause déjeuner",IF(F193-D193-0.0833333333333333&lt;0,F193-D193-0.0833333333333333+1,F193-D193-0.0833333333333333),IF(OR(AND(F193="OFF",D193="OFF"),AND(F193="Congé",D193="Congé"),AND(F193="Congé sans solde",D193="Congé sans solde"),AND(F193="Congé spécial",D193="Congé spécial"),AND(F193="Férié",D193="Férié"),AND(F193="OFF",D193="Congé"),AND(F193="OFF",D193="Congé sans solde"),AND(F193="OFF",D193="Congé spécial"),AND(F193="OFF",D193="Férié"),AND(F193="Congé",D193="OFF"),AND(F193="Congé",D193="Congé sans solde"),AND(F193="Congé",D193="Congé spécial"),AND(F193="Congé",D193="Férié"),AND(F193="Congé sans solde",D193="OFF"),AND(F193="Congé sans solde",D193="Congé"),AND(F193="Congé sans solde",D193="Congé spécial"),AND(F193="Congé sans solde",D193="Férié"),AND(F193="Congé spécial",D193="OFF"),AND(F193="Congé spécial",D193="Congé"),AND(F193="Congé spécial",D193="Congé sans solde"),AND(F193="Congé spécial",D193="Férié"),AND(F193="Férié",D193="OFF"),AND(F193="Férié",D193="Congé"),AND(F193="Férié",D193="Congé sans solde"),AND(F193="Férié",D193="Congé spécial")),0,IF(OR(F193="OFF",F193="Congé",F193="Congé spécial",F193="Congé sans solde",D193="OFF",D193="Congé",D193="Congé spécial",D193="Congé sans solde"),0.208333333333334,IF(AND(AG193="",F193-D193&lt;0),("24:00:00"-D193)+("00:00:00"+F193)-0.0416666666666667,IF(AND(OR(AG193="Allaitement",AG193="Sans déjeuner"),F193-D193&lt;0),("24:00:00"-D193)+("00:00:00"+F193),IF(AND(AG193="",F193-D193&gt;0.166666666666667),F193-D193-0.0416666666666667,IF(AND(OR(AG193="Allaitement",AG193="Sans déjeuner"),F193-D193&gt;0.166666666666667),F193-D193,F193-D193)))))))</f>
        <v>0.375</v>
      </c>
      <c r="P193" s="6" t="str">
        <f aca="false">IFERROR(VLOOKUP($B193,Agents!$A:$D,2,0),"-")</f>
        <v>Accessibilité</v>
      </c>
      <c r="Q193" s="21" t="n">
        <v>46029</v>
      </c>
      <c r="R193" s="8" t="n">
        <f aca="false">IF(M193="Abs",O193,0)</f>
        <v>0</v>
      </c>
      <c r="S193" s="8" t="n">
        <f aca="false">SUM(R193,L193,I193,J193,W193,H193)</f>
        <v>0</v>
      </c>
      <c r="T193" s="6" t="str">
        <f aca="false">"Sem - "&amp;WEEKNUM(Q193,21)</f>
        <v>Sem - 2</v>
      </c>
      <c r="U193" s="6" t="str">
        <f aca="false">CHOOSE(MONTH(Q193),"Janvier","Février","Mars","Avril","Mai","Juin","Juillet","Août","Septembre","Octobre","Novembre","Décembre")</f>
        <v>Janvier</v>
      </c>
      <c r="V193" s="22" t="n">
        <f aca="false">YEAR(Q193)</f>
        <v>2026</v>
      </c>
      <c r="W193" s="20"/>
      <c r="X193" s="8" t="n">
        <f aca="false">IFERROR(IF(M193="Abs",0,IF(ROUND((D193-C193+E193-F193)*1440,0)&lt;=1,0,D193-C193+E193-F193)),0)</f>
        <v>0.00138888888888889</v>
      </c>
      <c r="Y193" s="6" t="str">
        <f aca="false">IFERROR(VLOOKUP($B193,Agents!$A:$D,3,0),"-")</f>
        <v>OUBRAHIM Mohammed</v>
      </c>
      <c r="Z193" s="6" t="str">
        <f aca="false">IFERROR(VLOOKUP($B193,Agents!$A:$D,4,0),"-")</f>
        <v>Credit Mutuel</v>
      </c>
      <c r="AA193" s="18" t="s">
        <v>82</v>
      </c>
      <c r="AB193" s="8" t="str">
        <f aca="false">IF(AND(D193="Congé",F193="Congé"),0.333333333333333,IF(OR(AND(D193="Congé",F193&lt;&gt;"Congé"),(AND(F193="Congé",D193&lt;&gt;"Congé"))),0.166666666666667,""))</f>
        <v/>
      </c>
      <c r="AC193" s="8" t="str">
        <f aca="false">IF(AND(D193="Congé sans solde",F193="Congé sans solde"),0.333333333333333,IF(OR(AND(D193="Congé sans solde",F193&lt;&gt;"Congé sans solde"),(AND(F193="Congé sans solde",D193&lt;&gt;"Congé sans solde"))),0.166666666666667,""))</f>
        <v/>
      </c>
      <c r="AD193" s="8" t="str">
        <f aca="false">IF(AND(D193="Congé spécial",F193="Congé spécial"),0.333333333333333,IF(OR(AND(D193="Congé spécial",F193&lt;&gt;"Congé spécial"),AND(F193="Congé spécial",D193&lt;&gt;"Congé spécial")),0.166666666666667,""))</f>
        <v/>
      </c>
      <c r="AE193" s="8" t="str">
        <f aca="false">IF(AND(D193="Férié",F193="Férié"),0.333333333333333,IF(OR(AND(D193="Férié",F193&lt;&gt;"Férié"),(AND(F193="Férié",D193&lt;&gt;"Férié"))),0.166666666666667,""))</f>
        <v/>
      </c>
      <c r="AF193" s="18"/>
      <c r="AG193" s="18"/>
    </row>
    <row r="194" customFormat="false" ht="15" hidden="false" customHeight="false" outlineLevel="0" collapsed="false">
      <c r="A194" s="6" t="str">
        <f aca="false">YEAR(Q194-WEEKDAY(Q194,2)+4)&amp;"-S"&amp;TEXT(WEEKNUM(Q194,21),"00")</f>
        <v>2026-S02</v>
      </c>
      <c r="B194" s="18" t="s">
        <v>69</v>
      </c>
      <c r="C194" s="19" t="n">
        <v>0.336805555555556</v>
      </c>
      <c r="D194" s="19" t="n">
        <v>0.333333333333333</v>
      </c>
      <c r="E194" s="19" t="n">
        <v>0.75</v>
      </c>
      <c r="F194" s="19" t="n">
        <v>0.75</v>
      </c>
      <c r="G194" s="20"/>
      <c r="H194" s="20"/>
      <c r="I194" s="8" t="n">
        <f aca="false">IF(IF(OR(C194="",D194="Congé",D194="OFF",D194="Congé spécial"),"",IF(D194&gt;F194,D194-C194,IF(C194-D194&lt;0,0,C194-D194)))&lt;0.00068287037037037,"",IF(OR(D194="Congé",D194="OFF",C194="",D194="Congé spécial"),"",IF(D194&gt;F194,D194-C194,IF(C194-D194&lt;0,0,C194-D194))))</f>
        <v>0.00347222222222222</v>
      </c>
      <c r="J194" s="20"/>
      <c r="K194" s="8" t="n">
        <f aca="false">IF(SUM(H194:J194)&lt;0.00068287037037037,0,SUM(H194:J194))</f>
        <v>0.00347222222222222</v>
      </c>
      <c r="L194" s="8" t="n">
        <f aca="false">IF(OR(F194="Congé",F194="OFF",M194="Abs",F194="Congé sans solde",F194="Férié",F194="Congé spécial",D194="Congé spécial"),0,IF(F194-E194&lt;0,0,IF(F194-E194&lt;=0.00068287037037037,0,F194-E194)))</f>
        <v>0</v>
      </c>
      <c r="M194" s="6" t="n">
        <f aca="false">IF(AND(O194&lt;&gt;0,C194=""),"Abs",0)</f>
        <v>0</v>
      </c>
      <c r="N194" s="8" t="n">
        <f aca="false">IFERROR(IF(OR(D194="OFF",D194="Congé",M194="Abs",D194="Congé sans solde",D194="Férié"),"",IF(O194-K194-L194&gt;O194,O194,IF(O194-K194-L194&lt;0,"",O194-K194-L194))),"")</f>
        <v>0.371527777777778</v>
      </c>
      <c r="O194" s="8" t="n">
        <f aca="false">IF(AG194="2H Pause déjeuner",IF(F194-D194-0.0833333333333333&lt;0,F194-D194-0.0833333333333333+1,F194-D194-0.0833333333333333),IF(OR(AND(F194="OFF",D194="OFF"),AND(F194="Congé",D194="Congé"),AND(F194="Congé sans solde",D194="Congé sans solde"),AND(F194="Congé spécial",D194="Congé spécial"),AND(F194="Férié",D194="Férié"),AND(F194="OFF",D194="Congé"),AND(F194="OFF",D194="Congé sans solde"),AND(F194="OFF",D194="Congé spécial"),AND(F194="OFF",D194="Férié"),AND(F194="Congé",D194="OFF"),AND(F194="Congé",D194="Congé sans solde"),AND(F194="Congé",D194="Congé spécial"),AND(F194="Congé",D194="Férié"),AND(F194="Congé sans solde",D194="OFF"),AND(F194="Congé sans solde",D194="Congé"),AND(F194="Congé sans solde",D194="Congé spécial"),AND(F194="Congé sans solde",D194="Férié"),AND(F194="Congé spécial",D194="OFF"),AND(F194="Congé spécial",D194="Congé"),AND(F194="Congé spécial",D194="Congé sans solde"),AND(F194="Congé spécial",D194="Férié"),AND(F194="Férié",D194="OFF"),AND(F194="Férié",D194="Congé"),AND(F194="Férié",D194="Congé sans solde"),AND(F194="Férié",D194="Congé spécial")),0,IF(OR(F194="OFF",F194="Congé",F194="Congé spécial",F194="Congé sans solde",D194="OFF",D194="Congé",D194="Congé spécial",D194="Congé sans solde"),0.208333333333334,IF(AND(AG194="",F194-D194&lt;0),("24:00:00"-D194)+("00:00:00"+F194)-0.0416666666666667,IF(AND(OR(AG194="Allaitement",AG194="Sans déjeuner"),F194-D194&lt;0),("24:00:00"-D194)+("00:00:00"+F194),IF(AND(AG194="",F194-D194&gt;0.166666666666667),F194-D194-0.0416666666666667,IF(AND(OR(AG194="Allaitement",AG194="Sans déjeuner"),F194-D194&gt;0.166666666666667),F194-D194,F194-D194)))))))</f>
        <v>0.375</v>
      </c>
      <c r="P194" s="6" t="str">
        <f aca="false">IFERROR(VLOOKUP($B194,Agents!$A:$D,2,0),"-")</f>
        <v>Accessibilité</v>
      </c>
      <c r="Q194" s="21" t="n">
        <v>46030</v>
      </c>
      <c r="R194" s="8" t="n">
        <f aca="false">IF(M194="Abs",O194,0)</f>
        <v>0</v>
      </c>
      <c r="S194" s="8" t="n">
        <f aca="false">SUM(R194,L194,I194,J194,W194,H194)</f>
        <v>0.00347222222222222</v>
      </c>
      <c r="T194" s="6" t="str">
        <f aca="false">"Sem - "&amp;WEEKNUM(Q194,21)</f>
        <v>Sem - 2</v>
      </c>
      <c r="U194" s="6" t="str">
        <f aca="false">CHOOSE(MONTH(Q194),"Janvier","Février","Mars","Avril","Mai","Juin","Juillet","Août","Septembre","Octobre","Novembre","Décembre")</f>
        <v>Janvier</v>
      </c>
      <c r="V194" s="22" t="n">
        <f aca="false">YEAR(Q194)</f>
        <v>2026</v>
      </c>
      <c r="W194" s="20"/>
      <c r="X194" s="8" t="n">
        <f aca="false">IFERROR(IF(M194="Abs",0,IF(ROUND((D194-C194+E194-F194)*1440,0)&lt;=1,0,D194-C194+E194-F194)),0)</f>
        <v>0</v>
      </c>
      <c r="Y194" s="6" t="str">
        <f aca="false">IFERROR(VLOOKUP($B194,Agents!$A:$D,3,0),"-")</f>
        <v>OUBRAHIM Mohammed</v>
      </c>
      <c r="Z194" s="6" t="str">
        <f aca="false">IFERROR(VLOOKUP($B194,Agents!$A:$D,4,0),"-")</f>
        <v>Credit Mutuel</v>
      </c>
      <c r="AA194" s="18" t="s">
        <v>82</v>
      </c>
      <c r="AB194" s="8" t="str">
        <f aca="false">IF(AND(D194="Congé",F194="Congé"),0.333333333333333,IF(OR(AND(D194="Congé",F194&lt;&gt;"Congé"),(AND(F194="Congé",D194&lt;&gt;"Congé"))),0.166666666666667,""))</f>
        <v/>
      </c>
      <c r="AC194" s="8" t="str">
        <f aca="false">IF(AND(D194="Congé sans solde",F194="Congé sans solde"),0.333333333333333,IF(OR(AND(D194="Congé sans solde",F194&lt;&gt;"Congé sans solde"),(AND(F194="Congé sans solde",D194&lt;&gt;"Congé sans solde"))),0.166666666666667,""))</f>
        <v/>
      </c>
      <c r="AD194" s="8" t="str">
        <f aca="false">IF(AND(D194="Congé spécial",F194="Congé spécial"),0.333333333333333,IF(OR(AND(D194="Congé spécial",F194&lt;&gt;"Congé spécial"),AND(F194="Congé spécial",D194&lt;&gt;"Congé spécial")),0.166666666666667,""))</f>
        <v/>
      </c>
      <c r="AE194" s="8" t="str">
        <f aca="false">IF(AND(D194="Férié",F194="Férié"),0.333333333333333,IF(OR(AND(D194="Férié",F194&lt;&gt;"Férié"),(AND(F194="Férié",D194&lt;&gt;"Férié"))),0.166666666666667,""))</f>
        <v/>
      </c>
      <c r="AF194" s="18"/>
      <c r="AG194" s="18"/>
    </row>
    <row r="195" customFormat="false" ht="15" hidden="false" customHeight="false" outlineLevel="0" collapsed="false">
      <c r="A195" s="6" t="str">
        <f aca="false">YEAR(Q195-WEEKDAY(Q195,2)+4)&amp;"-S"&amp;TEXT(WEEKNUM(Q195,21),"00")</f>
        <v>2026-S02</v>
      </c>
      <c r="B195" s="18" t="s">
        <v>71</v>
      </c>
      <c r="C195" s="19" t="n">
        <v>0.332638888888889</v>
      </c>
      <c r="D195" s="19" t="n">
        <v>0.333333333333333</v>
      </c>
      <c r="E195" s="19" t="n">
        <v>0.75</v>
      </c>
      <c r="F195" s="19" t="n">
        <v>0.75</v>
      </c>
      <c r="G195" s="20"/>
      <c r="H195" s="20"/>
      <c r="I195" s="8" t="str">
        <f aca="false">IF(IF(OR(C195="",D195="Congé",D195="OFF",D195="Congé spécial"),"",IF(D195&gt;F195,D195-C195,IF(C195-D195&lt;0,0,C195-D195)))&lt;0.00068287037037037,"",IF(OR(D195="Congé",D195="OFF",C195="",D195="Congé spécial"),"",IF(D195&gt;F195,D195-C195,IF(C195-D195&lt;0,0,C195-D195))))</f>
        <v/>
      </c>
      <c r="J195" s="20"/>
      <c r="K195" s="8" t="n">
        <f aca="false">IF(SUM(H195:J195)&lt;0.00068287037037037,0,SUM(H195:J195))</f>
        <v>0</v>
      </c>
      <c r="L195" s="8" t="n">
        <f aca="false">IF(OR(F195="Congé",F195="OFF",M195="Abs",F195="Congé sans solde",F195="Férié",F195="Congé spécial",D195="Congé spécial"),0,IF(F195-E195&lt;0,0,IF(F195-E195&lt;=0.00068287037037037,0,F195-E195)))</f>
        <v>0</v>
      </c>
      <c r="M195" s="6" t="n">
        <f aca="false">IF(AND(O195&lt;&gt;0,C195=""),"Abs",0)</f>
        <v>0</v>
      </c>
      <c r="N195" s="8" t="n">
        <f aca="false">IFERROR(IF(OR(D195="OFF",D195="Congé",M195="Abs",D195="Congé sans solde",D195="Férié"),"",IF(O195-K195-L195&gt;O195,O195,IF(O195-K195-L195&lt;0,"",O195-K195-L195))),"")</f>
        <v>0.375</v>
      </c>
      <c r="O195" s="8" t="n">
        <f aca="false">IF(AG195="2H Pause déjeuner",IF(F195-D195-0.0833333333333333&lt;0,F195-D195-0.0833333333333333+1,F195-D195-0.0833333333333333),IF(OR(AND(F195="OFF",D195="OFF"),AND(F195="Congé",D195="Congé"),AND(F195="Congé sans solde",D195="Congé sans solde"),AND(F195="Congé spécial",D195="Congé spécial"),AND(F195="Férié",D195="Férié"),AND(F195="OFF",D195="Congé"),AND(F195="OFF",D195="Congé sans solde"),AND(F195="OFF",D195="Congé spécial"),AND(F195="OFF",D195="Férié"),AND(F195="Congé",D195="OFF"),AND(F195="Congé",D195="Congé sans solde"),AND(F195="Congé",D195="Congé spécial"),AND(F195="Congé",D195="Férié"),AND(F195="Congé sans solde",D195="OFF"),AND(F195="Congé sans solde",D195="Congé"),AND(F195="Congé sans solde",D195="Congé spécial"),AND(F195="Congé sans solde",D195="Férié"),AND(F195="Congé spécial",D195="OFF"),AND(F195="Congé spécial",D195="Congé"),AND(F195="Congé spécial",D195="Congé sans solde"),AND(F195="Congé spécial",D195="Férié"),AND(F195="Férié",D195="OFF"),AND(F195="Férié",D195="Congé"),AND(F195="Férié",D195="Congé sans solde"),AND(F195="Férié",D195="Congé spécial")),0,IF(OR(F195="OFF",F195="Congé",F195="Congé spécial",F195="Congé sans solde",D195="OFF",D195="Congé",D195="Congé spécial",D195="Congé sans solde"),0.208333333333334,IF(AND(AG195="",F195-D195&lt;0),("24:00:00"-D195)+("00:00:00"+F195)-0.0416666666666667,IF(AND(OR(AG195="Allaitement",AG195="Sans déjeuner"),F195-D195&lt;0),("24:00:00"-D195)+("00:00:00"+F195),IF(AND(AG195="",F195-D195&gt;0.166666666666667),F195-D195-0.0416666666666667,IF(AND(OR(AG195="Allaitement",AG195="Sans déjeuner"),F195-D195&gt;0.166666666666667),F195-D195,F195-D195)))))))</f>
        <v>0.375</v>
      </c>
      <c r="P195" s="6" t="str">
        <f aca="false">IFERROR(VLOOKUP($B195,Agents!$A:$D,2,0),"-")</f>
        <v>Accessibilité</v>
      </c>
      <c r="Q195" s="21" t="n">
        <v>46030</v>
      </c>
      <c r="R195" s="8" t="n">
        <f aca="false">IF(M195="Abs",O195,0)</f>
        <v>0</v>
      </c>
      <c r="S195" s="8" t="n">
        <f aca="false">SUM(R195,L195,I195,J195,W195,H195)</f>
        <v>0</v>
      </c>
      <c r="T195" s="6" t="str">
        <f aca="false">"Sem - "&amp;WEEKNUM(Q195,21)</f>
        <v>Sem - 2</v>
      </c>
      <c r="U195" s="6" t="str">
        <f aca="false">CHOOSE(MONTH(Q195),"Janvier","Février","Mars","Avril","Mai","Juin","Juillet","Août","Septembre","Octobre","Novembre","Décembre")</f>
        <v>Janvier</v>
      </c>
      <c r="V195" s="22" t="n">
        <f aca="false">YEAR(Q195)</f>
        <v>2026</v>
      </c>
      <c r="W195" s="20"/>
      <c r="X195" s="8" t="n">
        <f aca="false">IFERROR(IF(M195="Abs",0,IF(ROUND((D195-C195+E195-F195)*1440,0)&lt;=1,0,D195-C195+E195-F195)),0)</f>
        <v>0</v>
      </c>
      <c r="Y195" s="6" t="str">
        <f aca="false">IFERROR(VLOOKUP($B195,Agents!$A:$D,3,0),"-")</f>
        <v>OUBRAHIM Mohammed</v>
      </c>
      <c r="Z195" s="6" t="str">
        <f aca="false">IFERROR(VLOOKUP($B195,Agents!$A:$D,4,0),"-")</f>
        <v>Credit Mutuel</v>
      </c>
      <c r="AA195" s="18" t="s">
        <v>82</v>
      </c>
      <c r="AB195" s="8" t="str">
        <f aca="false">IF(AND(D195="Congé",F195="Congé"),0.333333333333333,IF(OR(AND(D195="Congé",F195&lt;&gt;"Congé"),(AND(F195="Congé",D195&lt;&gt;"Congé"))),0.166666666666667,""))</f>
        <v/>
      </c>
      <c r="AC195" s="8" t="str">
        <f aca="false">IF(AND(D195="Congé sans solde",F195="Congé sans solde"),0.333333333333333,IF(OR(AND(D195="Congé sans solde",F195&lt;&gt;"Congé sans solde"),(AND(F195="Congé sans solde",D195&lt;&gt;"Congé sans solde"))),0.166666666666667,""))</f>
        <v/>
      </c>
      <c r="AD195" s="8" t="str">
        <f aca="false">IF(AND(D195="Congé spécial",F195="Congé spécial"),0.333333333333333,IF(OR(AND(D195="Congé spécial",F195&lt;&gt;"Congé spécial"),AND(F195="Congé spécial",D195&lt;&gt;"Congé spécial")),0.166666666666667,""))</f>
        <v/>
      </c>
      <c r="AE195" s="8" t="str">
        <f aca="false">IF(AND(D195="Férié",F195="Férié"),0.333333333333333,IF(OR(AND(D195="Férié",F195&lt;&gt;"Férié"),(AND(F195="Férié",D195&lt;&gt;"Férié"))),0.166666666666667,""))</f>
        <v/>
      </c>
      <c r="AF195" s="18"/>
      <c r="AG195" s="18"/>
    </row>
    <row r="196" customFormat="false" ht="15" hidden="false" customHeight="false" outlineLevel="0" collapsed="false">
      <c r="A196" s="6" t="str">
        <f aca="false">YEAR(Q196-WEEKDAY(Q196,2)+4)&amp;"-S"&amp;TEXT(WEEKNUM(Q196,21),"00")</f>
        <v>2026-S02</v>
      </c>
      <c r="B196" s="18" t="s">
        <v>72</v>
      </c>
      <c r="C196" s="19" t="n">
        <v>0.332638888888889</v>
      </c>
      <c r="D196" s="19" t="n">
        <v>0.333333333333333</v>
      </c>
      <c r="E196" s="19" t="n">
        <v>0.75</v>
      </c>
      <c r="F196" s="19" t="n">
        <v>0.75</v>
      </c>
      <c r="G196" s="20"/>
      <c r="H196" s="20"/>
      <c r="I196" s="8" t="str">
        <f aca="false">IF(IF(OR(C196="",D196="Congé",D196="OFF",D196="Congé spécial"),"",IF(D196&gt;F196,D196-C196,IF(C196-D196&lt;0,0,C196-D196)))&lt;0.00068287037037037,"",IF(OR(D196="Congé",D196="OFF",C196="",D196="Congé spécial"),"",IF(D196&gt;F196,D196-C196,IF(C196-D196&lt;0,0,C196-D196))))</f>
        <v/>
      </c>
      <c r="J196" s="20"/>
      <c r="K196" s="8" t="n">
        <f aca="false">IF(SUM(H196:J196)&lt;0.00068287037037037,0,SUM(H196:J196))</f>
        <v>0</v>
      </c>
      <c r="L196" s="8" t="n">
        <f aca="false">IF(OR(F196="Congé",F196="OFF",M196="Abs",F196="Congé sans solde",F196="Férié",F196="Congé spécial",D196="Congé spécial"),0,IF(F196-E196&lt;0,0,IF(F196-E196&lt;=0.00068287037037037,0,F196-E196)))</f>
        <v>0</v>
      </c>
      <c r="M196" s="6" t="n">
        <f aca="false">IF(AND(O196&lt;&gt;0,C196=""),"Abs",0)</f>
        <v>0</v>
      </c>
      <c r="N196" s="8" t="n">
        <f aca="false">IFERROR(IF(OR(D196="OFF",D196="Congé",M196="Abs",D196="Congé sans solde",D196="Férié"),"",IF(O196-K196-L196&gt;O196,O196,IF(O196-K196-L196&lt;0,"",O196-K196-L196))),"")</f>
        <v>0.375</v>
      </c>
      <c r="O196" s="8" t="n">
        <f aca="false">IF(AG196="2H Pause déjeuner",IF(F196-D196-0.0833333333333333&lt;0,F196-D196-0.0833333333333333+1,F196-D196-0.0833333333333333),IF(OR(AND(F196="OFF",D196="OFF"),AND(F196="Congé",D196="Congé"),AND(F196="Congé sans solde",D196="Congé sans solde"),AND(F196="Congé spécial",D196="Congé spécial"),AND(F196="Férié",D196="Férié"),AND(F196="OFF",D196="Congé"),AND(F196="OFF",D196="Congé sans solde"),AND(F196="OFF",D196="Congé spécial"),AND(F196="OFF",D196="Férié"),AND(F196="Congé",D196="OFF"),AND(F196="Congé",D196="Congé sans solde"),AND(F196="Congé",D196="Congé spécial"),AND(F196="Congé",D196="Férié"),AND(F196="Congé sans solde",D196="OFF"),AND(F196="Congé sans solde",D196="Congé"),AND(F196="Congé sans solde",D196="Congé spécial"),AND(F196="Congé sans solde",D196="Férié"),AND(F196="Congé spécial",D196="OFF"),AND(F196="Congé spécial",D196="Congé"),AND(F196="Congé spécial",D196="Congé sans solde"),AND(F196="Congé spécial",D196="Férié"),AND(F196="Férié",D196="OFF"),AND(F196="Férié",D196="Congé"),AND(F196="Férié",D196="Congé sans solde"),AND(F196="Férié",D196="Congé spécial")),0,IF(OR(F196="OFF",F196="Congé",F196="Congé spécial",F196="Congé sans solde",D196="OFF",D196="Congé",D196="Congé spécial",D196="Congé sans solde"),0.208333333333334,IF(AND(AG196="",F196-D196&lt;0),("24:00:00"-D196)+("00:00:00"+F196)-0.0416666666666667,IF(AND(OR(AG196="Allaitement",AG196="Sans déjeuner"),F196-D196&lt;0),("24:00:00"-D196)+("00:00:00"+F196),IF(AND(AG196="",F196-D196&gt;0.166666666666667),F196-D196-0.0416666666666667,IF(AND(OR(AG196="Allaitement",AG196="Sans déjeuner"),F196-D196&gt;0.166666666666667),F196-D196,F196-D196)))))))</f>
        <v>0.375</v>
      </c>
      <c r="P196" s="6" t="str">
        <f aca="false">IFERROR(VLOOKUP($B196,Agents!$A:$D,2,0),"-")</f>
        <v>Accessibilité</v>
      </c>
      <c r="Q196" s="21" t="n">
        <v>46030</v>
      </c>
      <c r="R196" s="8" t="n">
        <f aca="false">IF(M196="Abs",O196,0)</f>
        <v>0</v>
      </c>
      <c r="S196" s="8" t="n">
        <f aca="false">SUM(R196,L196,I196,J196,W196,H196)</f>
        <v>0</v>
      </c>
      <c r="T196" s="6" t="str">
        <f aca="false">"Sem - "&amp;WEEKNUM(Q196,21)</f>
        <v>Sem - 2</v>
      </c>
      <c r="U196" s="6" t="str">
        <f aca="false">CHOOSE(MONTH(Q196),"Janvier","Février","Mars","Avril","Mai","Juin","Juillet","Août","Septembre","Octobre","Novembre","Décembre")</f>
        <v>Janvier</v>
      </c>
      <c r="V196" s="22" t="n">
        <f aca="false">YEAR(Q196)</f>
        <v>2026</v>
      </c>
      <c r="W196" s="20"/>
      <c r="X196" s="8" t="n">
        <f aca="false">IFERROR(IF(M196="Abs",0,IF(ROUND((D196-C196+E196-F196)*1440,0)&lt;=1,0,D196-C196+E196-F196)),0)</f>
        <v>0</v>
      </c>
      <c r="Y196" s="6" t="str">
        <f aca="false">IFERROR(VLOOKUP($B196,Agents!$A:$D,3,0),"-")</f>
        <v>OUBRAHIM Mohammed</v>
      </c>
      <c r="Z196" s="6" t="str">
        <f aca="false">IFERROR(VLOOKUP($B196,Agents!$A:$D,4,0),"-")</f>
        <v>Credit Mutuel</v>
      </c>
      <c r="AA196" s="18" t="s">
        <v>82</v>
      </c>
      <c r="AB196" s="8" t="str">
        <f aca="false">IF(AND(D196="Congé",F196="Congé"),0.333333333333333,IF(OR(AND(D196="Congé",F196&lt;&gt;"Congé"),(AND(F196="Congé",D196&lt;&gt;"Congé"))),0.166666666666667,""))</f>
        <v/>
      </c>
      <c r="AC196" s="8" t="str">
        <f aca="false">IF(AND(D196="Congé sans solde",F196="Congé sans solde"),0.333333333333333,IF(OR(AND(D196="Congé sans solde",F196&lt;&gt;"Congé sans solde"),(AND(F196="Congé sans solde",D196&lt;&gt;"Congé sans solde"))),0.166666666666667,""))</f>
        <v/>
      </c>
      <c r="AD196" s="8" t="str">
        <f aca="false">IF(AND(D196="Congé spécial",F196="Congé spécial"),0.333333333333333,IF(OR(AND(D196="Congé spécial",F196&lt;&gt;"Congé spécial"),AND(F196="Congé spécial",D196&lt;&gt;"Congé spécial")),0.166666666666667,""))</f>
        <v/>
      </c>
      <c r="AE196" s="8" t="str">
        <f aca="false">IF(AND(D196="Férié",F196="Férié"),0.333333333333333,IF(OR(AND(D196="Férié",F196&lt;&gt;"Férié"),(AND(F196="Férié",D196&lt;&gt;"Férié"))),0.166666666666667,""))</f>
        <v/>
      </c>
      <c r="AF196" s="18"/>
      <c r="AG196" s="18"/>
    </row>
    <row r="197" customFormat="false" ht="15" hidden="false" customHeight="false" outlineLevel="0" collapsed="false">
      <c r="A197" s="6" t="str">
        <f aca="false">YEAR(Q197-WEEKDAY(Q197,2)+4)&amp;"-S"&amp;TEXT(WEEKNUM(Q197,21),"00")</f>
        <v>2026-S02</v>
      </c>
      <c r="B197" s="18" t="s">
        <v>73</v>
      </c>
      <c r="C197" s="19" t="n">
        <v>0.332638888888889</v>
      </c>
      <c r="D197" s="19" t="n">
        <v>0.333333333333333</v>
      </c>
      <c r="E197" s="19" t="n">
        <v>0.75</v>
      </c>
      <c r="F197" s="19" t="n">
        <v>0.75</v>
      </c>
      <c r="G197" s="20"/>
      <c r="H197" s="20"/>
      <c r="I197" s="8" t="str">
        <f aca="false">IF(IF(OR(C197="",D197="Congé",D197="OFF",D197="Congé spécial"),"",IF(D197&gt;F197,D197-C197,IF(C197-D197&lt;0,0,C197-D197)))&lt;0.00068287037037037,"",IF(OR(D197="Congé",D197="OFF",C197="",D197="Congé spécial"),"",IF(D197&gt;F197,D197-C197,IF(C197-D197&lt;0,0,C197-D197))))</f>
        <v/>
      </c>
      <c r="J197" s="20"/>
      <c r="K197" s="8" t="n">
        <f aca="false">IF(SUM(H197:J197)&lt;0.00068287037037037,0,SUM(H197:J197))</f>
        <v>0</v>
      </c>
      <c r="L197" s="8" t="n">
        <f aca="false">IF(OR(F197="Congé",F197="OFF",M197="Abs",F197="Congé sans solde",F197="Férié",F197="Congé spécial",D197="Congé spécial"),0,IF(F197-E197&lt;0,0,IF(F197-E197&lt;=0.00068287037037037,0,F197-E197)))</f>
        <v>0</v>
      </c>
      <c r="M197" s="6" t="n">
        <f aca="false">IF(AND(O197&lt;&gt;0,C197=""),"Abs",0)</f>
        <v>0</v>
      </c>
      <c r="N197" s="8" t="n">
        <f aca="false">IFERROR(IF(OR(D197="OFF",D197="Congé",M197="Abs",D197="Congé sans solde",D197="Férié"),"",IF(O197-K197-L197&gt;O197,O197,IF(O197-K197-L197&lt;0,"",O197-K197-L197))),"")</f>
        <v>0.375</v>
      </c>
      <c r="O197" s="8" t="n">
        <f aca="false">IF(AG197="2H Pause déjeuner",IF(F197-D197-0.0833333333333333&lt;0,F197-D197-0.0833333333333333+1,F197-D197-0.0833333333333333),IF(OR(AND(F197="OFF",D197="OFF"),AND(F197="Congé",D197="Congé"),AND(F197="Congé sans solde",D197="Congé sans solde"),AND(F197="Congé spécial",D197="Congé spécial"),AND(F197="Férié",D197="Férié"),AND(F197="OFF",D197="Congé"),AND(F197="OFF",D197="Congé sans solde"),AND(F197="OFF",D197="Congé spécial"),AND(F197="OFF",D197="Férié"),AND(F197="Congé",D197="OFF"),AND(F197="Congé",D197="Congé sans solde"),AND(F197="Congé",D197="Congé spécial"),AND(F197="Congé",D197="Férié"),AND(F197="Congé sans solde",D197="OFF"),AND(F197="Congé sans solde",D197="Congé"),AND(F197="Congé sans solde",D197="Congé spécial"),AND(F197="Congé sans solde",D197="Férié"),AND(F197="Congé spécial",D197="OFF"),AND(F197="Congé spécial",D197="Congé"),AND(F197="Congé spécial",D197="Congé sans solde"),AND(F197="Congé spécial",D197="Férié"),AND(F197="Férié",D197="OFF"),AND(F197="Férié",D197="Congé"),AND(F197="Férié",D197="Congé sans solde"),AND(F197="Férié",D197="Congé spécial")),0,IF(OR(F197="OFF",F197="Congé",F197="Congé spécial",F197="Congé sans solde",D197="OFF",D197="Congé",D197="Congé spécial",D197="Congé sans solde"),0.208333333333334,IF(AND(AG197="",F197-D197&lt;0),("24:00:00"-D197)+("00:00:00"+F197)-0.0416666666666667,IF(AND(OR(AG197="Allaitement",AG197="Sans déjeuner"),F197-D197&lt;0),("24:00:00"-D197)+("00:00:00"+F197),IF(AND(AG197="",F197-D197&gt;0.166666666666667),F197-D197-0.0416666666666667,IF(AND(OR(AG197="Allaitement",AG197="Sans déjeuner"),F197-D197&gt;0.166666666666667),F197-D197,F197-D197)))))))</f>
        <v>0.375</v>
      </c>
      <c r="P197" s="6" t="str">
        <f aca="false">IFERROR(VLOOKUP($B197,Agents!$A:$D,2,0),"-")</f>
        <v>Accessibilité</v>
      </c>
      <c r="Q197" s="21" t="n">
        <v>46030</v>
      </c>
      <c r="R197" s="8" t="n">
        <f aca="false">IF(M197="Abs",O197,0)</f>
        <v>0</v>
      </c>
      <c r="S197" s="8" t="n">
        <f aca="false">SUM(R197,L197,I197,J197,W197,H197)</f>
        <v>0</v>
      </c>
      <c r="T197" s="6" t="str">
        <f aca="false">"Sem - "&amp;WEEKNUM(Q197,21)</f>
        <v>Sem - 2</v>
      </c>
      <c r="U197" s="6" t="str">
        <f aca="false">CHOOSE(MONTH(Q197),"Janvier","Février","Mars","Avril","Mai","Juin","Juillet","Août","Septembre","Octobre","Novembre","Décembre")</f>
        <v>Janvier</v>
      </c>
      <c r="V197" s="22" t="n">
        <f aca="false">YEAR(Q197)</f>
        <v>2026</v>
      </c>
      <c r="W197" s="20"/>
      <c r="X197" s="8" t="n">
        <f aca="false">IFERROR(IF(M197="Abs",0,IF(ROUND((D197-C197+E197-F197)*1440,0)&lt;=1,0,D197-C197+E197-F197)),0)</f>
        <v>0</v>
      </c>
      <c r="Y197" s="6" t="str">
        <f aca="false">IFERROR(VLOOKUP($B197,Agents!$A:$D,3,0),"-")</f>
        <v>OUBRAHIM Mohammed</v>
      </c>
      <c r="Z197" s="6" t="str">
        <f aca="false">IFERROR(VLOOKUP($B197,Agents!$A:$D,4,0),"-")</f>
        <v>Credit Mutuel</v>
      </c>
      <c r="AA197" s="18" t="s">
        <v>82</v>
      </c>
      <c r="AB197" s="8" t="str">
        <f aca="false">IF(AND(D197="Congé",F197="Congé"),0.333333333333333,IF(OR(AND(D197="Congé",F197&lt;&gt;"Congé"),(AND(F197="Congé",D197&lt;&gt;"Congé"))),0.166666666666667,""))</f>
        <v/>
      </c>
      <c r="AC197" s="8" t="str">
        <f aca="false">IF(AND(D197="Congé sans solde",F197="Congé sans solde"),0.333333333333333,IF(OR(AND(D197="Congé sans solde",F197&lt;&gt;"Congé sans solde"),(AND(F197="Congé sans solde",D197&lt;&gt;"Congé sans solde"))),0.166666666666667,""))</f>
        <v/>
      </c>
      <c r="AD197" s="8" t="str">
        <f aca="false">IF(AND(D197="Congé spécial",F197="Congé spécial"),0.333333333333333,IF(OR(AND(D197="Congé spécial",F197&lt;&gt;"Congé spécial"),AND(F197="Congé spécial",D197&lt;&gt;"Congé spécial")),0.166666666666667,""))</f>
        <v/>
      </c>
      <c r="AE197" s="8" t="str">
        <f aca="false">IF(AND(D197="Férié",F197="Férié"),0.333333333333333,IF(OR(AND(D197="Férié",F197&lt;&gt;"Férié"),(AND(F197="Férié",D197&lt;&gt;"Férié"))),0.166666666666667,""))</f>
        <v/>
      </c>
      <c r="AF197" s="18"/>
      <c r="AG197" s="18"/>
    </row>
    <row r="198" customFormat="false" ht="15" hidden="false" customHeight="false" outlineLevel="0" collapsed="false">
      <c r="A198" s="6" t="str">
        <f aca="false">YEAR(Q198-WEEKDAY(Q198,2)+4)&amp;"-S"&amp;TEXT(WEEKNUM(Q198,21),"00")</f>
        <v>2026-S02</v>
      </c>
      <c r="B198" s="18" t="s">
        <v>69</v>
      </c>
      <c r="C198" s="19"/>
      <c r="D198" s="19" t="s">
        <v>83</v>
      </c>
      <c r="E198" s="19"/>
      <c r="F198" s="19" t="s">
        <v>83</v>
      </c>
      <c r="G198" s="20"/>
      <c r="H198" s="20"/>
      <c r="I198" s="8" t="str">
        <f aca="false">IF(IF(OR(C198="",D198="Congé",D198="OFF",D198="Congé spécial"),"",IF(D198&gt;F198,D198-C198,IF(C198-D198&lt;0,0,C198-D198)))&lt;0.00068287037037037,"",IF(OR(D198="Congé",D198="OFF",C198="",D198="Congé spécial"),"",IF(D198&gt;F198,D198-C198,IF(C198-D198&lt;0,0,C198-D198))))</f>
        <v/>
      </c>
      <c r="J198" s="20"/>
      <c r="K198" s="8" t="n">
        <f aca="false">IF(SUM(H198:J198)&lt;0.00068287037037037,0,SUM(H198:J198))</f>
        <v>0</v>
      </c>
      <c r="L198" s="8" t="n">
        <f aca="false">IF(OR(F198="Congé",F198="OFF",M198="Abs",F198="Congé sans solde",F198="Férié",F198="Congé spécial",D198="Congé spécial"),0,IF(F198-E198&lt;0,0,IF(F198-E198&lt;=0.00068287037037037,0,F198-E198)))</f>
        <v>0</v>
      </c>
      <c r="M198" s="6" t="n">
        <f aca="false">IF(AND(O198&lt;&gt;0,C198=""),"Abs",0)</f>
        <v>0</v>
      </c>
      <c r="N198" s="8" t="str">
        <f aca="false">IFERROR(IF(OR(D198="OFF",D198="Congé",M198="Abs",D198="Congé sans solde",D198="Férié"),"",IF(O198-K198-L198&gt;O198,O198,IF(O198-K198-L198&lt;0,"",O198-K198-L198))),"")</f>
        <v/>
      </c>
      <c r="O198" s="8" t="n">
        <f aca="false">IF(AG198="2H Pause déjeuner",IF(F198-D198-0.0833333333333333&lt;0,F198-D198-0.0833333333333333+1,F198-D198-0.0833333333333333),IF(OR(AND(F198="OFF",D198="OFF"),AND(F198="Congé",D198="Congé"),AND(F198="Congé sans solde",D198="Congé sans solde"),AND(F198="Congé spécial",D198="Congé spécial"),AND(F198="Férié",D198="Férié"),AND(F198="OFF",D198="Congé"),AND(F198="OFF",D198="Congé sans solde"),AND(F198="OFF",D198="Congé spécial"),AND(F198="OFF",D198="Férié"),AND(F198="Congé",D198="OFF"),AND(F198="Congé",D198="Congé sans solde"),AND(F198="Congé",D198="Congé spécial"),AND(F198="Congé",D198="Férié"),AND(F198="Congé sans solde",D198="OFF"),AND(F198="Congé sans solde",D198="Congé"),AND(F198="Congé sans solde",D198="Congé spécial"),AND(F198="Congé sans solde",D198="Férié"),AND(F198="Congé spécial",D198="OFF"),AND(F198="Congé spécial",D198="Congé"),AND(F198="Congé spécial",D198="Congé sans solde"),AND(F198="Congé spécial",D198="Férié"),AND(F198="Férié",D198="OFF"),AND(F198="Férié",D198="Congé"),AND(F198="Férié",D198="Congé sans solde"),AND(F198="Férié",D198="Congé spécial")),0,IF(OR(F198="OFF",F198="Congé",F198="Congé spécial",F198="Congé sans solde",D198="OFF",D198="Congé",D198="Congé spécial",D198="Congé sans solde"),0.208333333333334,IF(AND(AG198="",F198-D198&lt;0),("24:00:00"-D198)+("00:00:00"+F198)-0.0416666666666667,IF(AND(OR(AG198="Allaitement",AG198="Sans déjeuner"),F198-D198&lt;0),("24:00:00"-D198)+("00:00:00"+F198),IF(AND(AG198="",F198-D198&gt;0.166666666666667),F198-D198-0.0416666666666667,IF(AND(OR(AG198="Allaitement",AG198="Sans déjeuner"),F198-D198&gt;0.166666666666667),F198-D198,F198-D198)))))))</f>
        <v>0</v>
      </c>
      <c r="P198" s="6" t="str">
        <f aca="false">IFERROR(VLOOKUP($B198,Agents!$A:$D,2,0),"-")</f>
        <v>Accessibilité</v>
      </c>
      <c r="Q198" s="21" t="n">
        <v>46031</v>
      </c>
      <c r="R198" s="8" t="n">
        <f aca="false">IF(M198="Abs",O198,0)</f>
        <v>0</v>
      </c>
      <c r="S198" s="8" t="n">
        <f aca="false">SUM(R198,L198,I198,J198,W198,H198)</f>
        <v>0</v>
      </c>
      <c r="T198" s="6" t="str">
        <f aca="false">"Sem - "&amp;WEEKNUM(Q198,21)</f>
        <v>Sem - 2</v>
      </c>
      <c r="U198" s="6" t="str">
        <f aca="false">CHOOSE(MONTH(Q198),"Janvier","Février","Mars","Avril","Mai","Juin","Juillet","Août","Septembre","Octobre","Novembre","Décembre")</f>
        <v>Janvier</v>
      </c>
      <c r="V198" s="22" t="n">
        <f aca="false">YEAR(Q198)</f>
        <v>2026</v>
      </c>
      <c r="W198" s="20"/>
      <c r="X198" s="8" t="n">
        <f aca="false">IFERROR(IF(M198="Abs",0,IF(ROUND((D198-C198+E198-F198)*1440,0)&lt;=1,0,D198-C198+E198-F198)),0)</f>
        <v>0</v>
      </c>
      <c r="Y198" s="6" t="str">
        <f aca="false">IFERROR(VLOOKUP($B198,Agents!$A:$D,3,0),"-")</f>
        <v>OUBRAHIM Mohammed</v>
      </c>
      <c r="Z198" s="6" t="str">
        <f aca="false">IFERROR(VLOOKUP($B198,Agents!$A:$D,4,0),"-")</f>
        <v>Credit Mutuel</v>
      </c>
      <c r="AA198" s="18" t="s">
        <v>82</v>
      </c>
      <c r="AB198" s="8" t="n">
        <f aca="false">IF(AND(D198="Congé",F198="Congé"),0.333333333333333,IF(OR(AND(D198="Congé",F198&lt;&gt;"Congé"),(AND(F198="Congé",D198&lt;&gt;"Congé"))),0.166666666666667,""))</f>
        <v>0.333333333333333</v>
      </c>
      <c r="AC198" s="8" t="str">
        <f aca="false">IF(AND(D198="Congé sans solde",F198="Congé sans solde"),0.333333333333333,IF(OR(AND(D198="Congé sans solde",F198&lt;&gt;"Congé sans solde"),(AND(F198="Congé sans solde",D198&lt;&gt;"Congé sans solde"))),0.166666666666667,""))</f>
        <v/>
      </c>
      <c r="AD198" s="8" t="str">
        <f aca="false">IF(AND(D198="Congé spécial",F198="Congé spécial"),0.333333333333333,IF(OR(AND(D198="Congé spécial",F198&lt;&gt;"Congé spécial"),AND(F198="Congé spécial",D198&lt;&gt;"Congé spécial")),0.166666666666667,""))</f>
        <v/>
      </c>
      <c r="AE198" s="8" t="str">
        <f aca="false">IF(AND(D198="Férié",F198="Férié"),0.333333333333333,IF(OR(AND(D198="Férié",F198&lt;&gt;"Férié"),(AND(F198="Férié",D198&lt;&gt;"Férié"))),0.166666666666667,""))</f>
        <v/>
      </c>
      <c r="AF198" s="18"/>
      <c r="AG198" s="18"/>
    </row>
    <row r="199" customFormat="false" ht="15" hidden="false" customHeight="false" outlineLevel="0" collapsed="false">
      <c r="A199" s="6" t="str">
        <f aca="false">YEAR(Q199-WEEKDAY(Q199,2)+4)&amp;"-S"&amp;TEXT(WEEKNUM(Q199,21),"00")</f>
        <v>2026-S02</v>
      </c>
      <c r="B199" s="18" t="s">
        <v>71</v>
      </c>
      <c r="C199" s="19" t="n">
        <v>0.33125</v>
      </c>
      <c r="D199" s="19" t="n">
        <v>0.333333333333333</v>
      </c>
      <c r="E199" s="19" t="n">
        <v>0.708333333333333</v>
      </c>
      <c r="F199" s="19" t="n">
        <v>0.708333333333333</v>
      </c>
      <c r="G199" s="20"/>
      <c r="H199" s="20"/>
      <c r="I199" s="8" t="str">
        <f aca="false">IF(IF(OR(C199="",D199="Congé",D199="OFF",D199="Congé spécial"),"",IF(D199&gt;F199,D199-C199,IF(C199-D199&lt;0,0,C199-D199)))&lt;0.00068287037037037,"",IF(OR(D199="Congé",D199="OFF",C199="",D199="Congé spécial"),"",IF(D199&gt;F199,D199-C199,IF(C199-D199&lt;0,0,C199-D199))))</f>
        <v/>
      </c>
      <c r="J199" s="20"/>
      <c r="K199" s="8" t="n">
        <f aca="false">IF(SUM(H199:J199)&lt;0.00068287037037037,0,SUM(H199:J199))</f>
        <v>0</v>
      </c>
      <c r="L199" s="8" t="n">
        <f aca="false">IF(OR(F199="Congé",F199="OFF",M199="Abs",F199="Congé sans solde",F199="Férié",F199="Congé spécial",D199="Congé spécial"),0,IF(F199-E199&lt;0,0,IF(F199-E199&lt;=0.00068287037037037,0,F199-E199)))</f>
        <v>0</v>
      </c>
      <c r="M199" s="6" t="n">
        <f aca="false">IF(AND(O199&lt;&gt;0,C199=""),"Abs",0)</f>
        <v>0</v>
      </c>
      <c r="N199" s="8" t="n">
        <f aca="false">IFERROR(IF(OR(D199="OFF",D199="Congé",M199="Abs",D199="Congé sans solde",D199="Férié"),"",IF(O199-K199-L199&gt;O199,O199,IF(O199-K199-L199&lt;0,"",O199-K199-L199))),"")</f>
        <v>0.333333333333333</v>
      </c>
      <c r="O199" s="8" t="n">
        <f aca="false">IF(AG199="2H Pause déjeuner",IF(F199-D199-0.0833333333333333&lt;0,F199-D199-0.0833333333333333+1,F199-D199-0.0833333333333333),IF(OR(AND(F199="OFF",D199="OFF"),AND(F199="Congé",D199="Congé"),AND(F199="Congé sans solde",D199="Congé sans solde"),AND(F199="Congé spécial",D199="Congé spécial"),AND(F199="Férié",D199="Férié"),AND(F199="OFF",D199="Congé"),AND(F199="OFF",D199="Congé sans solde"),AND(F199="OFF",D199="Congé spécial"),AND(F199="OFF",D199="Férié"),AND(F199="Congé",D199="OFF"),AND(F199="Congé",D199="Congé sans solde"),AND(F199="Congé",D199="Congé spécial"),AND(F199="Congé",D199="Férié"),AND(F199="Congé sans solde",D199="OFF"),AND(F199="Congé sans solde",D199="Congé"),AND(F199="Congé sans solde",D199="Congé spécial"),AND(F199="Congé sans solde",D199="Férié"),AND(F199="Congé spécial",D199="OFF"),AND(F199="Congé spécial",D199="Congé"),AND(F199="Congé spécial",D199="Congé sans solde"),AND(F199="Congé spécial",D199="Férié"),AND(F199="Férié",D199="OFF"),AND(F199="Férié",D199="Congé"),AND(F199="Férié",D199="Congé sans solde"),AND(F199="Férié",D199="Congé spécial")),0,IF(OR(F199="OFF",F199="Congé",F199="Congé spécial",F199="Congé sans solde",D199="OFF",D199="Congé",D199="Congé spécial",D199="Congé sans solde"),0.208333333333334,IF(AND(AG199="",F199-D199&lt;0),("24:00:00"-D199)+("00:00:00"+F199)-0.0416666666666667,IF(AND(OR(AG199="Allaitement",AG199="Sans déjeuner"),F199-D199&lt;0),("24:00:00"-D199)+("00:00:00"+F199),IF(AND(AG199="",F199-D199&gt;0.166666666666667),F199-D199-0.0416666666666667,IF(AND(OR(AG199="Allaitement",AG199="Sans déjeuner"),F199-D199&gt;0.166666666666667),F199-D199,F199-D199)))))))</f>
        <v>0.333333333333333</v>
      </c>
      <c r="P199" s="6" t="str">
        <f aca="false">IFERROR(VLOOKUP($B199,Agents!$A:$D,2,0),"-")</f>
        <v>Accessibilité</v>
      </c>
      <c r="Q199" s="21" t="n">
        <v>46031</v>
      </c>
      <c r="R199" s="8" t="n">
        <f aca="false">IF(M199="Abs",O199,0)</f>
        <v>0</v>
      </c>
      <c r="S199" s="8" t="n">
        <f aca="false">SUM(R199,L199,I199,J199,W199,H199)</f>
        <v>0</v>
      </c>
      <c r="T199" s="6" t="str">
        <f aca="false">"Sem - "&amp;WEEKNUM(Q199,21)</f>
        <v>Sem - 2</v>
      </c>
      <c r="U199" s="6" t="str">
        <f aca="false">CHOOSE(MONTH(Q199),"Janvier","Février","Mars","Avril","Mai","Juin","Juillet","Août","Septembre","Octobre","Novembre","Décembre")</f>
        <v>Janvier</v>
      </c>
      <c r="V199" s="22" t="n">
        <f aca="false">YEAR(Q199)</f>
        <v>2026</v>
      </c>
      <c r="W199" s="20"/>
      <c r="X199" s="8" t="n">
        <f aca="false">IFERROR(IF(M199="Abs",0,IF(ROUND((D199-C199+E199-F199)*1440,0)&lt;=1,0,D199-C199+E199-F199)),0)</f>
        <v>0.00208333333333333</v>
      </c>
      <c r="Y199" s="6" t="str">
        <f aca="false">IFERROR(VLOOKUP($B199,Agents!$A:$D,3,0),"-")</f>
        <v>OUBRAHIM Mohammed</v>
      </c>
      <c r="Z199" s="6" t="str">
        <f aca="false">IFERROR(VLOOKUP($B199,Agents!$A:$D,4,0),"-")</f>
        <v>Credit Mutuel</v>
      </c>
      <c r="AA199" s="18" t="s">
        <v>82</v>
      </c>
      <c r="AB199" s="8" t="str">
        <f aca="false">IF(AND(D199="Congé",F199="Congé"),0.333333333333333,IF(OR(AND(D199="Congé",F199&lt;&gt;"Congé"),(AND(F199="Congé",D199&lt;&gt;"Congé"))),0.166666666666667,""))</f>
        <v/>
      </c>
      <c r="AC199" s="8" t="str">
        <f aca="false">IF(AND(D199="Congé sans solde",F199="Congé sans solde"),0.333333333333333,IF(OR(AND(D199="Congé sans solde",F199&lt;&gt;"Congé sans solde"),(AND(F199="Congé sans solde",D199&lt;&gt;"Congé sans solde"))),0.166666666666667,""))</f>
        <v/>
      </c>
      <c r="AD199" s="8" t="str">
        <f aca="false">IF(AND(D199="Congé spécial",F199="Congé spécial"),0.333333333333333,IF(OR(AND(D199="Congé spécial",F199&lt;&gt;"Congé spécial"),AND(F199="Congé spécial",D199&lt;&gt;"Congé spécial")),0.166666666666667,""))</f>
        <v/>
      </c>
      <c r="AE199" s="8" t="str">
        <f aca="false">IF(AND(D199="Férié",F199="Férié"),0.333333333333333,IF(OR(AND(D199="Férié",F199&lt;&gt;"Férié"),(AND(F199="Férié",D199&lt;&gt;"Férié"))),0.166666666666667,""))</f>
        <v/>
      </c>
      <c r="AF199" s="18"/>
      <c r="AG199" s="18"/>
    </row>
    <row r="200" customFormat="false" ht="15" hidden="false" customHeight="false" outlineLevel="0" collapsed="false">
      <c r="A200" s="6" t="str">
        <f aca="false">YEAR(Q200-WEEKDAY(Q200,2)+4)&amp;"-S"&amp;TEXT(WEEKNUM(Q200,21),"00")</f>
        <v>2026-S02</v>
      </c>
      <c r="B200" s="18" t="s">
        <v>72</v>
      </c>
      <c r="C200" s="19" t="n">
        <v>0.330555555555556</v>
      </c>
      <c r="D200" s="19" t="n">
        <v>0.333333333333333</v>
      </c>
      <c r="E200" s="19" t="n">
        <v>0.708333333333333</v>
      </c>
      <c r="F200" s="19" t="n">
        <v>0.708333333333333</v>
      </c>
      <c r="G200" s="20"/>
      <c r="H200" s="20"/>
      <c r="I200" s="8" t="str">
        <f aca="false">IF(IF(OR(C200="",D200="Congé",D200="OFF",D200="Congé spécial"),"",IF(D200&gt;F200,D200-C200,IF(C200-D200&lt;0,0,C200-D200)))&lt;0.00068287037037037,"",IF(OR(D200="Congé",D200="OFF",C200="",D200="Congé spécial"),"",IF(D200&gt;F200,D200-C200,IF(C200-D200&lt;0,0,C200-D200))))</f>
        <v/>
      </c>
      <c r="J200" s="20"/>
      <c r="K200" s="8" t="n">
        <f aca="false">IF(SUM(H200:J200)&lt;0.00068287037037037,0,SUM(H200:J200))</f>
        <v>0</v>
      </c>
      <c r="L200" s="8" t="n">
        <f aca="false">IF(OR(F200="Congé",F200="OFF",M200="Abs",F200="Congé sans solde",F200="Férié",F200="Congé spécial",D200="Congé spécial"),0,IF(F200-E200&lt;0,0,IF(F200-E200&lt;=0.00068287037037037,0,F200-E200)))</f>
        <v>0</v>
      </c>
      <c r="M200" s="6" t="n">
        <f aca="false">IF(AND(O200&lt;&gt;0,C200=""),"Abs",0)</f>
        <v>0</v>
      </c>
      <c r="N200" s="8" t="n">
        <f aca="false">IFERROR(IF(OR(D200="OFF",D200="Congé",M200="Abs",D200="Congé sans solde",D200="Férié"),"",IF(O200-K200-L200&gt;O200,O200,IF(O200-K200-L200&lt;0,"",O200-K200-L200))),"")</f>
        <v>0.333333333333333</v>
      </c>
      <c r="O200" s="8" t="n">
        <f aca="false">IF(AG200="2H Pause déjeuner",IF(F200-D200-0.0833333333333333&lt;0,F200-D200-0.0833333333333333+1,F200-D200-0.0833333333333333),IF(OR(AND(F200="OFF",D200="OFF"),AND(F200="Congé",D200="Congé"),AND(F200="Congé sans solde",D200="Congé sans solde"),AND(F200="Congé spécial",D200="Congé spécial"),AND(F200="Férié",D200="Férié"),AND(F200="OFF",D200="Congé"),AND(F200="OFF",D200="Congé sans solde"),AND(F200="OFF",D200="Congé spécial"),AND(F200="OFF",D200="Férié"),AND(F200="Congé",D200="OFF"),AND(F200="Congé",D200="Congé sans solde"),AND(F200="Congé",D200="Congé spécial"),AND(F200="Congé",D200="Férié"),AND(F200="Congé sans solde",D200="OFF"),AND(F200="Congé sans solde",D200="Congé"),AND(F200="Congé sans solde",D200="Congé spécial"),AND(F200="Congé sans solde",D200="Férié"),AND(F200="Congé spécial",D200="OFF"),AND(F200="Congé spécial",D200="Congé"),AND(F200="Congé spécial",D200="Congé sans solde"),AND(F200="Congé spécial",D200="Férié"),AND(F200="Férié",D200="OFF"),AND(F200="Férié",D200="Congé"),AND(F200="Férié",D200="Congé sans solde"),AND(F200="Férié",D200="Congé spécial")),0,IF(OR(F200="OFF",F200="Congé",F200="Congé spécial",F200="Congé sans solde",D200="OFF",D200="Congé",D200="Congé spécial",D200="Congé sans solde"),0.208333333333334,IF(AND(AG200="",F200-D200&lt;0),("24:00:00"-D200)+("00:00:00"+F200)-0.0416666666666667,IF(AND(OR(AG200="Allaitement",AG200="Sans déjeuner"),F200-D200&lt;0),("24:00:00"-D200)+("00:00:00"+F200),IF(AND(AG200="",F200-D200&gt;0.166666666666667),F200-D200-0.0416666666666667,IF(AND(OR(AG200="Allaitement",AG200="Sans déjeuner"),F200-D200&gt;0.166666666666667),F200-D200,F200-D200)))))))</f>
        <v>0.333333333333333</v>
      </c>
      <c r="P200" s="6" t="str">
        <f aca="false">IFERROR(VLOOKUP($B200,Agents!$A:$D,2,0),"-")</f>
        <v>Accessibilité</v>
      </c>
      <c r="Q200" s="21" t="n">
        <v>46031</v>
      </c>
      <c r="R200" s="8" t="n">
        <f aca="false">IF(M200="Abs",O200,0)</f>
        <v>0</v>
      </c>
      <c r="S200" s="8" t="n">
        <f aca="false">SUM(R200,L200,I200,J200,W200,H200)</f>
        <v>0</v>
      </c>
      <c r="T200" s="6" t="str">
        <f aca="false">"Sem - "&amp;WEEKNUM(Q200,21)</f>
        <v>Sem - 2</v>
      </c>
      <c r="U200" s="6" t="str">
        <f aca="false">CHOOSE(MONTH(Q200),"Janvier","Février","Mars","Avril","Mai","Juin","Juillet","Août","Septembre","Octobre","Novembre","Décembre")</f>
        <v>Janvier</v>
      </c>
      <c r="V200" s="22" t="n">
        <f aca="false">YEAR(Q200)</f>
        <v>2026</v>
      </c>
      <c r="W200" s="20"/>
      <c r="X200" s="8" t="n">
        <f aca="false">IFERROR(IF(M200="Abs",0,IF(ROUND((D200-C200+E200-F200)*1440,0)&lt;=1,0,D200-C200+E200-F200)),0)</f>
        <v>0.00277777777777778</v>
      </c>
      <c r="Y200" s="6" t="str">
        <f aca="false">IFERROR(VLOOKUP($B200,Agents!$A:$D,3,0),"-")</f>
        <v>OUBRAHIM Mohammed</v>
      </c>
      <c r="Z200" s="6" t="str">
        <f aca="false">IFERROR(VLOOKUP($B200,Agents!$A:$D,4,0),"-")</f>
        <v>Credit Mutuel</v>
      </c>
      <c r="AA200" s="18" t="s">
        <v>82</v>
      </c>
      <c r="AB200" s="8" t="str">
        <f aca="false">IF(AND(D200="Congé",F200="Congé"),0.333333333333333,IF(OR(AND(D200="Congé",F200&lt;&gt;"Congé"),(AND(F200="Congé",D200&lt;&gt;"Congé"))),0.166666666666667,""))</f>
        <v/>
      </c>
      <c r="AC200" s="8" t="str">
        <f aca="false">IF(AND(D200="Congé sans solde",F200="Congé sans solde"),0.333333333333333,IF(OR(AND(D200="Congé sans solde",F200&lt;&gt;"Congé sans solde"),(AND(F200="Congé sans solde",D200&lt;&gt;"Congé sans solde"))),0.166666666666667,""))</f>
        <v/>
      </c>
      <c r="AD200" s="8" t="str">
        <f aca="false">IF(AND(D200="Congé spécial",F200="Congé spécial"),0.333333333333333,IF(OR(AND(D200="Congé spécial",F200&lt;&gt;"Congé spécial"),AND(F200="Congé spécial",D200&lt;&gt;"Congé spécial")),0.166666666666667,""))</f>
        <v/>
      </c>
      <c r="AE200" s="8" t="str">
        <f aca="false">IF(AND(D200="Férié",F200="Férié"),0.333333333333333,IF(OR(AND(D200="Férié",F200&lt;&gt;"Férié"),(AND(F200="Férié",D200&lt;&gt;"Férié"))),0.166666666666667,""))</f>
        <v/>
      </c>
      <c r="AF200" s="18"/>
      <c r="AG200" s="18"/>
    </row>
    <row r="201" customFormat="false" ht="15" hidden="false" customHeight="false" outlineLevel="0" collapsed="false">
      <c r="A201" s="6" t="str">
        <f aca="false">YEAR(Q201-WEEKDAY(Q201,2)+4)&amp;"-S"&amp;TEXT(WEEKNUM(Q201,21),"00")</f>
        <v>2026-S02</v>
      </c>
      <c r="B201" s="18" t="s">
        <v>73</v>
      </c>
      <c r="C201" s="19" t="n">
        <v>0.332638888888889</v>
      </c>
      <c r="D201" s="19" t="n">
        <v>0.333333333333333</v>
      </c>
      <c r="E201" s="19" t="n">
        <v>0.708333333333333</v>
      </c>
      <c r="F201" s="19" t="n">
        <v>0.708333333333333</v>
      </c>
      <c r="G201" s="20"/>
      <c r="H201" s="20"/>
      <c r="I201" s="8" t="str">
        <f aca="false">IF(IF(OR(C201="",D201="Congé",D201="OFF",D201="Congé spécial"),"",IF(D201&gt;F201,D201-C201,IF(C201-D201&lt;0,0,C201-D201)))&lt;0.00068287037037037,"",IF(OR(D201="Congé",D201="OFF",C201="",D201="Congé spécial"),"",IF(D201&gt;F201,D201-C201,IF(C201-D201&lt;0,0,C201-D201))))</f>
        <v/>
      </c>
      <c r="J201" s="20"/>
      <c r="K201" s="8" t="n">
        <f aca="false">IF(SUM(H201:J201)&lt;0.00068287037037037,0,SUM(H201:J201))</f>
        <v>0</v>
      </c>
      <c r="L201" s="8" t="n">
        <f aca="false">IF(OR(F201="Congé",F201="OFF",M201="Abs",F201="Congé sans solde",F201="Férié",F201="Congé spécial",D201="Congé spécial"),0,IF(F201-E201&lt;0,0,IF(F201-E201&lt;=0.00068287037037037,0,F201-E201)))</f>
        <v>0</v>
      </c>
      <c r="M201" s="6" t="n">
        <f aca="false">IF(AND(O201&lt;&gt;0,C201=""),"Abs",0)</f>
        <v>0</v>
      </c>
      <c r="N201" s="8" t="n">
        <f aca="false">IFERROR(IF(OR(D201="OFF",D201="Congé",M201="Abs",D201="Congé sans solde",D201="Férié"),"",IF(O201-K201-L201&gt;O201,O201,IF(O201-K201-L201&lt;0,"",O201-K201-L201))),"")</f>
        <v>0.333333333333333</v>
      </c>
      <c r="O201" s="8" t="n">
        <f aca="false">IF(AG201="2H Pause déjeuner",IF(F201-D201-0.0833333333333333&lt;0,F201-D201-0.0833333333333333+1,F201-D201-0.0833333333333333),IF(OR(AND(F201="OFF",D201="OFF"),AND(F201="Congé",D201="Congé"),AND(F201="Congé sans solde",D201="Congé sans solde"),AND(F201="Congé spécial",D201="Congé spécial"),AND(F201="Férié",D201="Férié"),AND(F201="OFF",D201="Congé"),AND(F201="OFF",D201="Congé sans solde"),AND(F201="OFF",D201="Congé spécial"),AND(F201="OFF",D201="Férié"),AND(F201="Congé",D201="OFF"),AND(F201="Congé",D201="Congé sans solde"),AND(F201="Congé",D201="Congé spécial"),AND(F201="Congé",D201="Férié"),AND(F201="Congé sans solde",D201="OFF"),AND(F201="Congé sans solde",D201="Congé"),AND(F201="Congé sans solde",D201="Congé spécial"),AND(F201="Congé sans solde",D201="Férié"),AND(F201="Congé spécial",D201="OFF"),AND(F201="Congé spécial",D201="Congé"),AND(F201="Congé spécial",D201="Congé sans solde"),AND(F201="Congé spécial",D201="Férié"),AND(F201="Férié",D201="OFF"),AND(F201="Férié",D201="Congé"),AND(F201="Férié",D201="Congé sans solde"),AND(F201="Férié",D201="Congé spécial")),0,IF(OR(F201="OFF",F201="Congé",F201="Congé spécial",F201="Congé sans solde",D201="OFF",D201="Congé",D201="Congé spécial",D201="Congé sans solde"),0.208333333333334,IF(AND(AG201="",F201-D201&lt;0),("24:00:00"-D201)+("00:00:00"+F201)-0.0416666666666667,IF(AND(OR(AG201="Allaitement",AG201="Sans déjeuner"),F201-D201&lt;0),("24:00:00"-D201)+("00:00:00"+F201),IF(AND(AG201="",F201-D201&gt;0.166666666666667),F201-D201-0.0416666666666667,IF(AND(OR(AG201="Allaitement",AG201="Sans déjeuner"),F201-D201&gt;0.166666666666667),F201-D201,F201-D201)))))))</f>
        <v>0.333333333333333</v>
      </c>
      <c r="P201" s="6" t="str">
        <f aca="false">IFERROR(VLOOKUP($B201,Agents!$A:$D,2,0),"-")</f>
        <v>Accessibilité</v>
      </c>
      <c r="Q201" s="21" t="n">
        <v>46031</v>
      </c>
      <c r="R201" s="8" t="n">
        <f aca="false">IF(M201="Abs",O201,0)</f>
        <v>0</v>
      </c>
      <c r="S201" s="8" t="n">
        <f aca="false">SUM(R201,L201,I201,J201,W201,H201)</f>
        <v>0</v>
      </c>
      <c r="T201" s="6" t="str">
        <f aca="false">"Sem - "&amp;WEEKNUM(Q201,21)</f>
        <v>Sem - 2</v>
      </c>
      <c r="U201" s="6" t="str">
        <f aca="false">CHOOSE(MONTH(Q201),"Janvier","Février","Mars","Avril","Mai","Juin","Juillet","Août","Septembre","Octobre","Novembre","Décembre")</f>
        <v>Janvier</v>
      </c>
      <c r="V201" s="22" t="n">
        <f aca="false">YEAR(Q201)</f>
        <v>2026</v>
      </c>
      <c r="W201" s="20"/>
      <c r="X201" s="8" t="n">
        <f aca="false">IFERROR(IF(M201="Abs",0,IF(ROUND((D201-C201+E201-F201)*1440,0)&lt;=1,0,D201-C201+E201-F201)),0)</f>
        <v>0</v>
      </c>
      <c r="Y201" s="6" t="str">
        <f aca="false">IFERROR(VLOOKUP($B201,Agents!$A:$D,3,0),"-")</f>
        <v>OUBRAHIM Mohammed</v>
      </c>
      <c r="Z201" s="6" t="str">
        <f aca="false">IFERROR(VLOOKUP($B201,Agents!$A:$D,4,0),"-")</f>
        <v>Credit Mutuel</v>
      </c>
      <c r="AA201" s="18" t="s">
        <v>82</v>
      </c>
      <c r="AB201" s="8" t="str">
        <f aca="false">IF(AND(D201="Congé",F201="Congé"),0.333333333333333,IF(OR(AND(D201="Congé",F201&lt;&gt;"Congé"),(AND(F201="Congé",D201&lt;&gt;"Congé"))),0.166666666666667,""))</f>
        <v/>
      </c>
      <c r="AC201" s="8" t="str">
        <f aca="false">IF(AND(D201="Congé sans solde",F201="Congé sans solde"),0.333333333333333,IF(OR(AND(D201="Congé sans solde",F201&lt;&gt;"Congé sans solde"),(AND(F201="Congé sans solde",D201&lt;&gt;"Congé sans solde"))),0.166666666666667,""))</f>
        <v/>
      </c>
      <c r="AD201" s="8" t="str">
        <f aca="false">IF(AND(D201="Congé spécial",F201="Congé spécial"),0.333333333333333,IF(OR(AND(D201="Congé spécial",F201&lt;&gt;"Congé spécial"),AND(F201="Congé spécial",D201&lt;&gt;"Congé spécial")),0.166666666666667,""))</f>
        <v/>
      </c>
      <c r="AE201" s="8" t="str">
        <f aca="false">IF(AND(D201="Férié",F201="Férié"),0.333333333333333,IF(OR(AND(D201="Férié",F201&lt;&gt;"Férié"),(AND(F201="Férié",D201&lt;&gt;"Férié"))),0.166666666666667,""))</f>
        <v/>
      </c>
      <c r="AF201" s="18"/>
      <c r="AG201" s="18"/>
    </row>
    <row r="202" customFormat="false" ht="15" hidden="false" customHeight="false" outlineLevel="0" collapsed="false">
      <c r="A202" s="6" t="str">
        <f aca="false">YEAR(Q202-WEEKDAY(Q202,2)+4)&amp;"-S"&amp;TEXT(WEEKNUM(Q202,21),"00")</f>
        <v>2026-S02</v>
      </c>
      <c r="B202" s="18" t="s">
        <v>69</v>
      </c>
      <c r="C202" s="19"/>
      <c r="D202" s="19" t="s">
        <v>74</v>
      </c>
      <c r="E202" s="19"/>
      <c r="F202" s="19" t="s">
        <v>74</v>
      </c>
      <c r="G202" s="20"/>
      <c r="H202" s="20"/>
      <c r="I202" s="8" t="str">
        <f aca="false">IF(IF(OR(C202="",D202="Congé",D202="OFF",D202="Congé spécial"),"",IF(D202&gt;F202,D202-C202,IF(C202-D202&lt;0,0,C202-D202)))&lt;0.00068287037037037,"",IF(OR(D202="Congé",D202="OFF",C202="",D202="Congé spécial"),"",IF(D202&gt;F202,D202-C202,IF(C202-D202&lt;0,0,C202-D202))))</f>
        <v/>
      </c>
      <c r="J202" s="20"/>
      <c r="K202" s="8" t="n">
        <f aca="false">IF(SUM(H202:J202)&lt;0.00068287037037037,0,SUM(H202:J202))</f>
        <v>0</v>
      </c>
      <c r="L202" s="8" t="n">
        <f aca="false">IF(OR(F202="Congé",F202="OFF",M202="Abs",F202="Congé sans solde",F202="Férié",F202="Congé spécial",D202="Congé spécial"),0,IF(F202-E202&lt;0,0,IF(F202-E202&lt;=0.00068287037037037,0,F202-E202)))</f>
        <v>0</v>
      </c>
      <c r="M202" s="6" t="n">
        <f aca="false">IF(AND(O202&lt;&gt;0,C202=""),"Abs",0)</f>
        <v>0</v>
      </c>
      <c r="N202" s="8" t="str">
        <f aca="false">IFERROR(IF(OR(D202="OFF",D202="Congé",M202="Abs",D202="Congé sans solde",D202="Férié"),"",IF(O202-K202-L202&gt;O202,O202,IF(O202-K202-L202&lt;0,"",O202-K202-L202))),"")</f>
        <v/>
      </c>
      <c r="O202" s="8" t="n">
        <f aca="false">IF(AG202="2H Pause déjeuner",IF(F202-D202-0.0833333333333333&lt;0,F202-D202-0.0833333333333333+1,F202-D202-0.0833333333333333),IF(OR(AND(F202="OFF",D202="OFF"),AND(F202="Congé",D202="Congé"),AND(F202="Congé sans solde",D202="Congé sans solde"),AND(F202="Congé spécial",D202="Congé spécial"),AND(F202="Férié",D202="Férié"),AND(F202="OFF",D202="Congé"),AND(F202="OFF",D202="Congé sans solde"),AND(F202="OFF",D202="Congé spécial"),AND(F202="OFF",D202="Férié"),AND(F202="Congé",D202="OFF"),AND(F202="Congé",D202="Congé sans solde"),AND(F202="Congé",D202="Congé spécial"),AND(F202="Congé",D202="Férié"),AND(F202="Congé sans solde",D202="OFF"),AND(F202="Congé sans solde",D202="Congé"),AND(F202="Congé sans solde",D202="Congé spécial"),AND(F202="Congé sans solde",D202="Férié"),AND(F202="Congé spécial",D202="OFF"),AND(F202="Congé spécial",D202="Congé"),AND(F202="Congé spécial",D202="Congé sans solde"),AND(F202="Congé spécial",D202="Férié"),AND(F202="Férié",D202="OFF"),AND(F202="Férié",D202="Congé"),AND(F202="Férié",D202="Congé sans solde"),AND(F202="Férié",D202="Congé spécial")),0,IF(OR(F202="OFF",F202="Congé",F202="Congé spécial",F202="Congé sans solde",D202="OFF",D202="Congé",D202="Congé spécial",D202="Congé sans solde"),0.208333333333334,IF(AND(AG202="",F202-D202&lt;0),("24:00:00"-D202)+("00:00:00"+F202)-0.0416666666666667,IF(AND(OR(AG202="Allaitement",AG202="Sans déjeuner"),F202-D202&lt;0),("24:00:00"-D202)+("00:00:00"+F202),IF(AND(AG202="",F202-D202&gt;0.166666666666667),F202-D202-0.0416666666666667,IF(AND(OR(AG202="Allaitement",AG202="Sans déjeuner"),F202-D202&gt;0.166666666666667),F202-D202,F202-D202)))))))</f>
        <v>0</v>
      </c>
      <c r="P202" s="6" t="str">
        <f aca="false">IFERROR(VLOOKUP($B202,Agents!$A:$D,2,0),"-")</f>
        <v>Accessibilité</v>
      </c>
      <c r="Q202" s="21" t="n">
        <v>46032</v>
      </c>
      <c r="R202" s="8" t="n">
        <f aca="false">IF(M202="Abs",O202,0)</f>
        <v>0</v>
      </c>
      <c r="S202" s="8" t="n">
        <f aca="false">SUM(R202,L202,I202,J202,W202,H202)</f>
        <v>0</v>
      </c>
      <c r="T202" s="6" t="str">
        <f aca="false">"Sem - "&amp;WEEKNUM(Q202,21)</f>
        <v>Sem - 2</v>
      </c>
      <c r="U202" s="6" t="str">
        <f aca="false">CHOOSE(MONTH(Q202),"Janvier","Février","Mars","Avril","Mai","Juin","Juillet","Août","Septembre","Octobre","Novembre","Décembre")</f>
        <v>Janvier</v>
      </c>
      <c r="V202" s="22" t="n">
        <f aca="false">YEAR(Q202)</f>
        <v>2026</v>
      </c>
      <c r="W202" s="20"/>
      <c r="X202" s="8" t="n">
        <f aca="false">IFERROR(IF(M202="Abs",0,IF(ROUND((D202-C202+E202-F202)*1440,0)&lt;=1,0,D202-C202+E202-F202)),0)</f>
        <v>0</v>
      </c>
      <c r="Y202" s="6" t="str">
        <f aca="false">IFERROR(VLOOKUP($B202,Agents!$A:$D,3,0),"-")</f>
        <v>OUBRAHIM Mohammed</v>
      </c>
      <c r="Z202" s="6" t="str">
        <f aca="false">IFERROR(VLOOKUP($B202,Agents!$A:$D,4,0),"-")</f>
        <v>Credit Mutuel</v>
      </c>
      <c r="AA202" s="18" t="s">
        <v>82</v>
      </c>
      <c r="AB202" s="8" t="str">
        <f aca="false">IF(AND(D202="Congé",F202="Congé"),0.333333333333333,IF(OR(AND(D202="Congé",F202&lt;&gt;"Congé"),(AND(F202="Congé",D202&lt;&gt;"Congé"))),0.166666666666667,""))</f>
        <v/>
      </c>
      <c r="AC202" s="8" t="str">
        <f aca="false">IF(AND(D202="Congé sans solde",F202="Congé sans solde"),0.333333333333333,IF(OR(AND(D202="Congé sans solde",F202&lt;&gt;"Congé sans solde"),(AND(F202="Congé sans solde",D202&lt;&gt;"Congé sans solde"))),0.166666666666667,""))</f>
        <v/>
      </c>
      <c r="AD202" s="8" t="str">
        <f aca="false">IF(AND(D202="Congé spécial",F202="Congé spécial"),0.333333333333333,IF(OR(AND(D202="Congé spécial",F202&lt;&gt;"Congé spécial"),AND(F202="Congé spécial",D202&lt;&gt;"Congé spécial")),0.166666666666667,""))</f>
        <v/>
      </c>
      <c r="AE202" s="8" t="str">
        <f aca="false">IF(AND(D202="Férié",F202="Férié"),0.333333333333333,IF(OR(AND(D202="Férié",F202&lt;&gt;"Férié"),(AND(F202="Férié",D202&lt;&gt;"Férié"))),0.166666666666667,""))</f>
        <v/>
      </c>
      <c r="AF202" s="18"/>
      <c r="AG202" s="18"/>
    </row>
    <row r="203" customFormat="false" ht="15" hidden="false" customHeight="false" outlineLevel="0" collapsed="false">
      <c r="A203" s="6" t="str">
        <f aca="false">YEAR(Q203-WEEKDAY(Q203,2)+4)&amp;"-S"&amp;TEXT(WEEKNUM(Q203,21),"00")</f>
        <v>2026-S02</v>
      </c>
      <c r="B203" s="18" t="s">
        <v>71</v>
      </c>
      <c r="C203" s="19"/>
      <c r="D203" s="19" t="s">
        <v>74</v>
      </c>
      <c r="E203" s="19"/>
      <c r="F203" s="19" t="s">
        <v>74</v>
      </c>
      <c r="G203" s="20"/>
      <c r="H203" s="20"/>
      <c r="I203" s="8" t="str">
        <f aca="false">IF(IF(OR(C203="",D203="Congé",D203="OFF",D203="Congé spécial"),"",IF(D203&gt;F203,D203-C203,IF(C203-D203&lt;0,0,C203-D203)))&lt;0.00068287037037037,"",IF(OR(D203="Congé",D203="OFF",C203="",D203="Congé spécial"),"",IF(D203&gt;F203,D203-C203,IF(C203-D203&lt;0,0,C203-D203))))</f>
        <v/>
      </c>
      <c r="J203" s="20"/>
      <c r="K203" s="8" t="n">
        <f aca="false">IF(SUM(H203:J203)&lt;0.00068287037037037,0,SUM(H203:J203))</f>
        <v>0</v>
      </c>
      <c r="L203" s="8" t="n">
        <f aca="false">IF(OR(F203="Congé",F203="OFF",M203="Abs",F203="Congé sans solde",F203="Férié",F203="Congé spécial",D203="Congé spécial"),0,IF(F203-E203&lt;0,0,IF(F203-E203&lt;=0.00068287037037037,0,F203-E203)))</f>
        <v>0</v>
      </c>
      <c r="M203" s="6" t="n">
        <f aca="false">IF(AND(O203&lt;&gt;0,C203=""),"Abs",0)</f>
        <v>0</v>
      </c>
      <c r="N203" s="8" t="str">
        <f aca="false">IFERROR(IF(OR(D203="OFF",D203="Congé",M203="Abs",D203="Congé sans solde",D203="Férié"),"",IF(O203-K203-L203&gt;O203,O203,IF(O203-K203-L203&lt;0,"",O203-K203-L203))),"")</f>
        <v/>
      </c>
      <c r="O203" s="8" t="n">
        <f aca="false">IF(AG203="2H Pause déjeuner",IF(F203-D203-0.0833333333333333&lt;0,F203-D203-0.0833333333333333+1,F203-D203-0.0833333333333333),IF(OR(AND(F203="OFF",D203="OFF"),AND(F203="Congé",D203="Congé"),AND(F203="Congé sans solde",D203="Congé sans solde"),AND(F203="Congé spécial",D203="Congé spécial"),AND(F203="Férié",D203="Férié"),AND(F203="OFF",D203="Congé"),AND(F203="OFF",D203="Congé sans solde"),AND(F203="OFF",D203="Congé spécial"),AND(F203="OFF",D203="Férié"),AND(F203="Congé",D203="OFF"),AND(F203="Congé",D203="Congé sans solde"),AND(F203="Congé",D203="Congé spécial"),AND(F203="Congé",D203="Férié"),AND(F203="Congé sans solde",D203="OFF"),AND(F203="Congé sans solde",D203="Congé"),AND(F203="Congé sans solde",D203="Congé spécial"),AND(F203="Congé sans solde",D203="Férié"),AND(F203="Congé spécial",D203="OFF"),AND(F203="Congé spécial",D203="Congé"),AND(F203="Congé spécial",D203="Congé sans solde"),AND(F203="Congé spécial",D203="Férié"),AND(F203="Férié",D203="OFF"),AND(F203="Férié",D203="Congé"),AND(F203="Férié",D203="Congé sans solde"),AND(F203="Férié",D203="Congé spécial")),0,IF(OR(F203="OFF",F203="Congé",F203="Congé spécial",F203="Congé sans solde",D203="OFF",D203="Congé",D203="Congé spécial",D203="Congé sans solde"),0.208333333333334,IF(AND(AG203="",F203-D203&lt;0),("24:00:00"-D203)+("00:00:00"+F203)-0.0416666666666667,IF(AND(OR(AG203="Allaitement",AG203="Sans déjeuner"),F203-D203&lt;0),("24:00:00"-D203)+("00:00:00"+F203),IF(AND(AG203="",F203-D203&gt;0.166666666666667),F203-D203-0.0416666666666667,IF(AND(OR(AG203="Allaitement",AG203="Sans déjeuner"),F203-D203&gt;0.166666666666667),F203-D203,F203-D203)))))))</f>
        <v>0</v>
      </c>
      <c r="P203" s="6" t="str">
        <f aca="false">IFERROR(VLOOKUP($B203,Agents!$A:$D,2,0),"-")</f>
        <v>Accessibilité</v>
      </c>
      <c r="Q203" s="21" t="n">
        <v>46032</v>
      </c>
      <c r="R203" s="8" t="n">
        <f aca="false">IF(M203="Abs",O203,0)</f>
        <v>0</v>
      </c>
      <c r="S203" s="8" t="n">
        <f aca="false">SUM(R203,L203,I203,J203,W203,H203)</f>
        <v>0</v>
      </c>
      <c r="T203" s="6" t="str">
        <f aca="false">"Sem - "&amp;WEEKNUM(Q203,21)</f>
        <v>Sem - 2</v>
      </c>
      <c r="U203" s="6" t="str">
        <f aca="false">CHOOSE(MONTH(Q203),"Janvier","Février","Mars","Avril","Mai","Juin","Juillet","Août","Septembre","Octobre","Novembre","Décembre")</f>
        <v>Janvier</v>
      </c>
      <c r="V203" s="22" t="n">
        <f aca="false">YEAR(Q203)</f>
        <v>2026</v>
      </c>
      <c r="W203" s="20"/>
      <c r="X203" s="8" t="n">
        <f aca="false">IFERROR(IF(M203="Abs",0,IF(ROUND((D203-C203+E203-F203)*1440,0)&lt;=1,0,D203-C203+E203-F203)),0)</f>
        <v>0</v>
      </c>
      <c r="Y203" s="6" t="str">
        <f aca="false">IFERROR(VLOOKUP($B203,Agents!$A:$D,3,0),"-")</f>
        <v>OUBRAHIM Mohammed</v>
      </c>
      <c r="Z203" s="6" t="str">
        <f aca="false">IFERROR(VLOOKUP($B203,Agents!$A:$D,4,0),"-")</f>
        <v>Credit Mutuel</v>
      </c>
      <c r="AA203" s="18" t="s">
        <v>82</v>
      </c>
      <c r="AB203" s="8" t="str">
        <f aca="false">IF(AND(D203="Congé",F203="Congé"),0.333333333333333,IF(OR(AND(D203="Congé",F203&lt;&gt;"Congé"),(AND(F203="Congé",D203&lt;&gt;"Congé"))),0.166666666666667,""))</f>
        <v/>
      </c>
      <c r="AC203" s="8" t="str">
        <f aca="false">IF(AND(D203="Congé sans solde",F203="Congé sans solde"),0.333333333333333,IF(OR(AND(D203="Congé sans solde",F203&lt;&gt;"Congé sans solde"),(AND(F203="Congé sans solde",D203&lt;&gt;"Congé sans solde"))),0.166666666666667,""))</f>
        <v/>
      </c>
      <c r="AD203" s="8" t="str">
        <f aca="false">IF(AND(D203="Congé spécial",F203="Congé spécial"),0.333333333333333,IF(OR(AND(D203="Congé spécial",F203&lt;&gt;"Congé spécial"),AND(F203="Congé spécial",D203&lt;&gt;"Congé spécial")),0.166666666666667,""))</f>
        <v/>
      </c>
      <c r="AE203" s="8" t="str">
        <f aca="false">IF(AND(D203="Férié",F203="Férié"),0.333333333333333,IF(OR(AND(D203="Férié",F203&lt;&gt;"Férié"),(AND(F203="Férié",D203&lt;&gt;"Férié"))),0.166666666666667,""))</f>
        <v/>
      </c>
      <c r="AF203" s="18"/>
      <c r="AG203" s="18"/>
    </row>
    <row r="204" customFormat="false" ht="15" hidden="false" customHeight="false" outlineLevel="0" collapsed="false">
      <c r="A204" s="6" t="str">
        <f aca="false">YEAR(Q204-WEEKDAY(Q204,2)+4)&amp;"-S"&amp;TEXT(WEEKNUM(Q204,21),"00")</f>
        <v>2026-S02</v>
      </c>
      <c r="B204" s="18" t="s">
        <v>72</v>
      </c>
      <c r="C204" s="19"/>
      <c r="D204" s="19" t="s">
        <v>74</v>
      </c>
      <c r="E204" s="19"/>
      <c r="F204" s="19" t="s">
        <v>74</v>
      </c>
      <c r="G204" s="20"/>
      <c r="H204" s="20"/>
      <c r="I204" s="8" t="str">
        <f aca="false">IF(IF(OR(C204="",D204="Congé",D204="OFF",D204="Congé spécial"),"",IF(D204&gt;F204,D204-C204,IF(C204-D204&lt;0,0,C204-D204)))&lt;0.00068287037037037,"",IF(OR(D204="Congé",D204="OFF",C204="",D204="Congé spécial"),"",IF(D204&gt;F204,D204-C204,IF(C204-D204&lt;0,0,C204-D204))))</f>
        <v/>
      </c>
      <c r="J204" s="20"/>
      <c r="K204" s="8" t="n">
        <f aca="false">IF(SUM(H204:J204)&lt;0.00068287037037037,0,SUM(H204:J204))</f>
        <v>0</v>
      </c>
      <c r="L204" s="8" t="n">
        <f aca="false">IF(OR(F204="Congé",F204="OFF",M204="Abs",F204="Congé sans solde",F204="Férié",F204="Congé spécial",D204="Congé spécial"),0,IF(F204-E204&lt;0,0,IF(F204-E204&lt;=0.00068287037037037,0,F204-E204)))</f>
        <v>0</v>
      </c>
      <c r="M204" s="6" t="n">
        <f aca="false">IF(AND(O204&lt;&gt;0,C204=""),"Abs",0)</f>
        <v>0</v>
      </c>
      <c r="N204" s="8" t="str">
        <f aca="false">IFERROR(IF(OR(D204="OFF",D204="Congé",M204="Abs",D204="Congé sans solde",D204="Férié"),"",IF(O204-K204-L204&gt;O204,O204,IF(O204-K204-L204&lt;0,"",O204-K204-L204))),"")</f>
        <v/>
      </c>
      <c r="O204" s="8" t="n">
        <f aca="false">IF(AG204="2H Pause déjeuner",IF(F204-D204-0.0833333333333333&lt;0,F204-D204-0.0833333333333333+1,F204-D204-0.0833333333333333),IF(OR(AND(F204="OFF",D204="OFF"),AND(F204="Congé",D204="Congé"),AND(F204="Congé sans solde",D204="Congé sans solde"),AND(F204="Congé spécial",D204="Congé spécial"),AND(F204="Férié",D204="Férié"),AND(F204="OFF",D204="Congé"),AND(F204="OFF",D204="Congé sans solde"),AND(F204="OFF",D204="Congé spécial"),AND(F204="OFF",D204="Férié"),AND(F204="Congé",D204="OFF"),AND(F204="Congé",D204="Congé sans solde"),AND(F204="Congé",D204="Congé spécial"),AND(F204="Congé",D204="Férié"),AND(F204="Congé sans solde",D204="OFF"),AND(F204="Congé sans solde",D204="Congé"),AND(F204="Congé sans solde",D204="Congé spécial"),AND(F204="Congé sans solde",D204="Férié"),AND(F204="Congé spécial",D204="OFF"),AND(F204="Congé spécial",D204="Congé"),AND(F204="Congé spécial",D204="Congé sans solde"),AND(F204="Congé spécial",D204="Férié"),AND(F204="Férié",D204="OFF"),AND(F204="Férié",D204="Congé"),AND(F204="Férié",D204="Congé sans solde"),AND(F204="Férié",D204="Congé spécial")),0,IF(OR(F204="OFF",F204="Congé",F204="Congé spécial",F204="Congé sans solde",D204="OFF",D204="Congé",D204="Congé spécial",D204="Congé sans solde"),0.208333333333334,IF(AND(AG204="",F204-D204&lt;0),("24:00:00"-D204)+("00:00:00"+F204)-0.0416666666666667,IF(AND(OR(AG204="Allaitement",AG204="Sans déjeuner"),F204-D204&lt;0),("24:00:00"-D204)+("00:00:00"+F204),IF(AND(AG204="",F204-D204&gt;0.166666666666667),F204-D204-0.0416666666666667,IF(AND(OR(AG204="Allaitement",AG204="Sans déjeuner"),F204-D204&gt;0.166666666666667),F204-D204,F204-D204)))))))</f>
        <v>0</v>
      </c>
      <c r="P204" s="6" t="str">
        <f aca="false">IFERROR(VLOOKUP($B204,Agents!$A:$D,2,0),"-")</f>
        <v>Accessibilité</v>
      </c>
      <c r="Q204" s="21" t="n">
        <v>46032</v>
      </c>
      <c r="R204" s="8" t="n">
        <f aca="false">IF(M204="Abs",O204,0)</f>
        <v>0</v>
      </c>
      <c r="S204" s="8" t="n">
        <f aca="false">SUM(R204,L204,I204,J204,W204,H204)</f>
        <v>0</v>
      </c>
      <c r="T204" s="6" t="str">
        <f aca="false">"Sem - "&amp;WEEKNUM(Q204,21)</f>
        <v>Sem - 2</v>
      </c>
      <c r="U204" s="6" t="str">
        <f aca="false">CHOOSE(MONTH(Q204),"Janvier","Février","Mars","Avril","Mai","Juin","Juillet","Août","Septembre","Octobre","Novembre","Décembre")</f>
        <v>Janvier</v>
      </c>
      <c r="V204" s="22" t="n">
        <f aca="false">YEAR(Q204)</f>
        <v>2026</v>
      </c>
      <c r="W204" s="20"/>
      <c r="X204" s="8" t="n">
        <f aca="false">IFERROR(IF(M204="Abs",0,IF(ROUND((D204-C204+E204-F204)*1440,0)&lt;=1,0,D204-C204+E204-F204)),0)</f>
        <v>0</v>
      </c>
      <c r="Y204" s="6" t="str">
        <f aca="false">IFERROR(VLOOKUP($B204,Agents!$A:$D,3,0),"-")</f>
        <v>OUBRAHIM Mohammed</v>
      </c>
      <c r="Z204" s="6" t="str">
        <f aca="false">IFERROR(VLOOKUP($B204,Agents!$A:$D,4,0),"-")</f>
        <v>Credit Mutuel</v>
      </c>
      <c r="AA204" s="18" t="s">
        <v>82</v>
      </c>
      <c r="AB204" s="8" t="str">
        <f aca="false">IF(AND(D204="Congé",F204="Congé"),0.333333333333333,IF(OR(AND(D204="Congé",F204&lt;&gt;"Congé"),(AND(F204="Congé",D204&lt;&gt;"Congé"))),0.166666666666667,""))</f>
        <v/>
      </c>
      <c r="AC204" s="8" t="str">
        <f aca="false">IF(AND(D204="Congé sans solde",F204="Congé sans solde"),0.333333333333333,IF(OR(AND(D204="Congé sans solde",F204&lt;&gt;"Congé sans solde"),(AND(F204="Congé sans solde",D204&lt;&gt;"Congé sans solde"))),0.166666666666667,""))</f>
        <v/>
      </c>
      <c r="AD204" s="8" t="str">
        <f aca="false">IF(AND(D204="Congé spécial",F204="Congé spécial"),0.333333333333333,IF(OR(AND(D204="Congé spécial",F204&lt;&gt;"Congé spécial"),AND(F204="Congé spécial",D204&lt;&gt;"Congé spécial")),0.166666666666667,""))</f>
        <v/>
      </c>
      <c r="AE204" s="8" t="str">
        <f aca="false">IF(AND(D204="Férié",F204="Férié"),0.333333333333333,IF(OR(AND(D204="Férié",F204&lt;&gt;"Férié"),(AND(F204="Férié",D204&lt;&gt;"Férié"))),0.166666666666667,""))</f>
        <v/>
      </c>
      <c r="AF204" s="18"/>
      <c r="AG204" s="18"/>
    </row>
    <row r="205" customFormat="false" ht="15" hidden="false" customHeight="false" outlineLevel="0" collapsed="false">
      <c r="A205" s="6" t="str">
        <f aca="false">YEAR(Q205-WEEKDAY(Q205,2)+4)&amp;"-S"&amp;TEXT(WEEKNUM(Q205,21),"00")</f>
        <v>2026-S02</v>
      </c>
      <c r="B205" s="18" t="s">
        <v>73</v>
      </c>
      <c r="C205" s="19"/>
      <c r="D205" s="19" t="s">
        <v>74</v>
      </c>
      <c r="E205" s="19"/>
      <c r="F205" s="19" t="s">
        <v>74</v>
      </c>
      <c r="G205" s="20"/>
      <c r="H205" s="20"/>
      <c r="I205" s="8" t="str">
        <f aca="false">IF(IF(OR(C205="",D205="Congé",D205="OFF",D205="Congé spécial"),"",IF(D205&gt;F205,D205-C205,IF(C205-D205&lt;0,0,C205-D205)))&lt;0.00068287037037037,"",IF(OR(D205="Congé",D205="OFF",C205="",D205="Congé spécial"),"",IF(D205&gt;F205,D205-C205,IF(C205-D205&lt;0,0,C205-D205))))</f>
        <v/>
      </c>
      <c r="J205" s="20"/>
      <c r="K205" s="8" t="n">
        <f aca="false">IF(SUM(H205:J205)&lt;0.00068287037037037,0,SUM(H205:J205))</f>
        <v>0</v>
      </c>
      <c r="L205" s="8" t="n">
        <f aca="false">IF(OR(F205="Congé",F205="OFF",M205="Abs",F205="Congé sans solde",F205="Férié",F205="Congé spécial",D205="Congé spécial"),0,IF(F205-E205&lt;0,0,IF(F205-E205&lt;=0.00068287037037037,0,F205-E205)))</f>
        <v>0</v>
      </c>
      <c r="M205" s="6" t="n">
        <f aca="false">IF(AND(O205&lt;&gt;0,C205=""),"Abs",0)</f>
        <v>0</v>
      </c>
      <c r="N205" s="8" t="str">
        <f aca="false">IFERROR(IF(OR(D205="OFF",D205="Congé",M205="Abs",D205="Congé sans solde",D205="Férié"),"",IF(O205-K205-L205&gt;O205,O205,IF(O205-K205-L205&lt;0,"",O205-K205-L205))),"")</f>
        <v/>
      </c>
      <c r="O205" s="8" t="n">
        <f aca="false">IF(AG205="2H Pause déjeuner",IF(F205-D205-0.0833333333333333&lt;0,F205-D205-0.0833333333333333+1,F205-D205-0.0833333333333333),IF(OR(AND(F205="OFF",D205="OFF"),AND(F205="Congé",D205="Congé"),AND(F205="Congé sans solde",D205="Congé sans solde"),AND(F205="Congé spécial",D205="Congé spécial"),AND(F205="Férié",D205="Férié"),AND(F205="OFF",D205="Congé"),AND(F205="OFF",D205="Congé sans solde"),AND(F205="OFF",D205="Congé spécial"),AND(F205="OFF",D205="Férié"),AND(F205="Congé",D205="OFF"),AND(F205="Congé",D205="Congé sans solde"),AND(F205="Congé",D205="Congé spécial"),AND(F205="Congé",D205="Férié"),AND(F205="Congé sans solde",D205="OFF"),AND(F205="Congé sans solde",D205="Congé"),AND(F205="Congé sans solde",D205="Congé spécial"),AND(F205="Congé sans solde",D205="Férié"),AND(F205="Congé spécial",D205="OFF"),AND(F205="Congé spécial",D205="Congé"),AND(F205="Congé spécial",D205="Congé sans solde"),AND(F205="Congé spécial",D205="Férié"),AND(F205="Férié",D205="OFF"),AND(F205="Férié",D205="Congé"),AND(F205="Férié",D205="Congé sans solde"),AND(F205="Férié",D205="Congé spécial")),0,IF(OR(F205="OFF",F205="Congé",F205="Congé spécial",F205="Congé sans solde",D205="OFF",D205="Congé",D205="Congé spécial",D205="Congé sans solde"),0.208333333333334,IF(AND(AG205="",F205-D205&lt;0),("24:00:00"-D205)+("00:00:00"+F205)-0.0416666666666667,IF(AND(OR(AG205="Allaitement",AG205="Sans déjeuner"),F205-D205&lt;0),("24:00:00"-D205)+("00:00:00"+F205),IF(AND(AG205="",F205-D205&gt;0.166666666666667),F205-D205-0.0416666666666667,IF(AND(OR(AG205="Allaitement",AG205="Sans déjeuner"),F205-D205&gt;0.166666666666667),F205-D205,F205-D205)))))))</f>
        <v>0</v>
      </c>
      <c r="P205" s="6" t="str">
        <f aca="false">IFERROR(VLOOKUP($B205,Agents!$A:$D,2,0),"-")</f>
        <v>Accessibilité</v>
      </c>
      <c r="Q205" s="21" t="n">
        <v>46032</v>
      </c>
      <c r="R205" s="8" t="n">
        <f aca="false">IF(M205="Abs",O205,0)</f>
        <v>0</v>
      </c>
      <c r="S205" s="8" t="n">
        <f aca="false">SUM(R205,L205,I205,J205,W205,H205)</f>
        <v>0</v>
      </c>
      <c r="T205" s="6" t="str">
        <f aca="false">"Sem - "&amp;WEEKNUM(Q205,21)</f>
        <v>Sem - 2</v>
      </c>
      <c r="U205" s="6" t="str">
        <f aca="false">CHOOSE(MONTH(Q205),"Janvier","Février","Mars","Avril","Mai","Juin","Juillet","Août","Septembre","Octobre","Novembre","Décembre")</f>
        <v>Janvier</v>
      </c>
      <c r="V205" s="22" t="n">
        <f aca="false">YEAR(Q205)</f>
        <v>2026</v>
      </c>
      <c r="W205" s="20"/>
      <c r="X205" s="8" t="n">
        <f aca="false">IFERROR(IF(M205="Abs",0,IF(ROUND((D205-C205+E205-F205)*1440,0)&lt;=1,0,D205-C205+E205-F205)),0)</f>
        <v>0</v>
      </c>
      <c r="Y205" s="6" t="str">
        <f aca="false">IFERROR(VLOOKUP($B205,Agents!$A:$D,3,0),"-")</f>
        <v>OUBRAHIM Mohammed</v>
      </c>
      <c r="Z205" s="6" t="str">
        <f aca="false">IFERROR(VLOOKUP($B205,Agents!$A:$D,4,0),"-")</f>
        <v>Credit Mutuel</v>
      </c>
      <c r="AA205" s="18" t="s">
        <v>82</v>
      </c>
      <c r="AB205" s="8" t="str">
        <f aca="false">IF(AND(D205="Congé",F205="Congé"),0.333333333333333,IF(OR(AND(D205="Congé",F205&lt;&gt;"Congé"),(AND(F205="Congé",D205&lt;&gt;"Congé"))),0.166666666666667,""))</f>
        <v/>
      </c>
      <c r="AC205" s="8" t="str">
        <f aca="false">IF(AND(D205="Congé sans solde",F205="Congé sans solde"),0.333333333333333,IF(OR(AND(D205="Congé sans solde",F205&lt;&gt;"Congé sans solde"),(AND(F205="Congé sans solde",D205&lt;&gt;"Congé sans solde"))),0.166666666666667,""))</f>
        <v/>
      </c>
      <c r="AD205" s="8" t="str">
        <f aca="false">IF(AND(D205="Congé spécial",F205="Congé spécial"),0.333333333333333,IF(OR(AND(D205="Congé spécial",F205&lt;&gt;"Congé spécial"),AND(F205="Congé spécial",D205&lt;&gt;"Congé spécial")),0.166666666666667,""))</f>
        <v/>
      </c>
      <c r="AE205" s="8" t="str">
        <f aca="false">IF(AND(D205="Férié",F205="Férié"),0.333333333333333,IF(OR(AND(D205="Férié",F205&lt;&gt;"Férié"),(AND(F205="Férié",D205&lt;&gt;"Férié"))),0.166666666666667,""))</f>
        <v/>
      </c>
      <c r="AF205" s="18"/>
      <c r="AG205" s="18"/>
    </row>
    <row r="206" customFormat="false" ht="15" hidden="false" customHeight="false" outlineLevel="0" collapsed="false">
      <c r="A206" s="6" t="str">
        <f aca="false">YEAR(Q206-WEEKDAY(Q206,2)+4)&amp;"-S"&amp;TEXT(WEEKNUM(Q206,21),"00")</f>
        <v>2026-S02</v>
      </c>
      <c r="B206" s="18" t="s">
        <v>69</v>
      </c>
      <c r="C206" s="19"/>
      <c r="D206" s="19" t="s">
        <v>74</v>
      </c>
      <c r="E206" s="19"/>
      <c r="F206" s="19" t="s">
        <v>74</v>
      </c>
      <c r="G206" s="20"/>
      <c r="H206" s="20"/>
      <c r="I206" s="8" t="str">
        <f aca="false">IF(IF(OR(C206="",D206="Congé",D206="OFF",D206="Congé spécial"),"",IF(D206&gt;F206,D206-C206,IF(C206-D206&lt;0,0,C206-D206)))&lt;0.00068287037037037,"",IF(OR(D206="Congé",D206="OFF",C206="",D206="Congé spécial"),"",IF(D206&gt;F206,D206-C206,IF(C206-D206&lt;0,0,C206-D206))))</f>
        <v/>
      </c>
      <c r="J206" s="20"/>
      <c r="K206" s="8" t="n">
        <f aca="false">IF(SUM(H206:J206)&lt;0.00068287037037037,0,SUM(H206:J206))</f>
        <v>0</v>
      </c>
      <c r="L206" s="8" t="n">
        <f aca="false">IF(OR(F206="Congé",F206="OFF",M206="Abs",F206="Congé sans solde",F206="Férié",F206="Congé spécial",D206="Congé spécial"),0,IF(F206-E206&lt;0,0,IF(F206-E206&lt;=0.00068287037037037,0,F206-E206)))</f>
        <v>0</v>
      </c>
      <c r="M206" s="6" t="n">
        <f aca="false">IF(AND(O206&lt;&gt;0,C206=""),"Abs",0)</f>
        <v>0</v>
      </c>
      <c r="N206" s="8" t="str">
        <f aca="false">IFERROR(IF(OR(D206="OFF",D206="Congé",M206="Abs",D206="Congé sans solde",D206="Férié"),"",IF(O206-K206-L206&gt;O206,O206,IF(O206-K206-L206&lt;0,"",O206-K206-L206))),"")</f>
        <v/>
      </c>
      <c r="O206" s="8" t="n">
        <f aca="false">IF(AG206="2H Pause déjeuner",IF(F206-D206-0.0833333333333333&lt;0,F206-D206-0.0833333333333333+1,F206-D206-0.0833333333333333),IF(OR(AND(F206="OFF",D206="OFF"),AND(F206="Congé",D206="Congé"),AND(F206="Congé sans solde",D206="Congé sans solde"),AND(F206="Congé spécial",D206="Congé spécial"),AND(F206="Férié",D206="Férié"),AND(F206="OFF",D206="Congé"),AND(F206="OFF",D206="Congé sans solde"),AND(F206="OFF",D206="Congé spécial"),AND(F206="OFF",D206="Férié"),AND(F206="Congé",D206="OFF"),AND(F206="Congé",D206="Congé sans solde"),AND(F206="Congé",D206="Congé spécial"),AND(F206="Congé",D206="Férié"),AND(F206="Congé sans solde",D206="OFF"),AND(F206="Congé sans solde",D206="Congé"),AND(F206="Congé sans solde",D206="Congé spécial"),AND(F206="Congé sans solde",D206="Férié"),AND(F206="Congé spécial",D206="OFF"),AND(F206="Congé spécial",D206="Congé"),AND(F206="Congé spécial",D206="Congé sans solde"),AND(F206="Congé spécial",D206="Férié"),AND(F206="Férié",D206="OFF"),AND(F206="Férié",D206="Congé"),AND(F206="Férié",D206="Congé sans solde"),AND(F206="Férié",D206="Congé spécial")),0,IF(OR(F206="OFF",F206="Congé",F206="Congé spécial",F206="Congé sans solde",D206="OFF",D206="Congé",D206="Congé spécial",D206="Congé sans solde"),0.208333333333334,IF(AND(AG206="",F206-D206&lt;0),("24:00:00"-D206)+("00:00:00"+F206)-0.0416666666666667,IF(AND(OR(AG206="Allaitement",AG206="Sans déjeuner"),F206-D206&lt;0),("24:00:00"-D206)+("00:00:00"+F206),IF(AND(AG206="",F206-D206&gt;0.166666666666667),F206-D206-0.0416666666666667,IF(AND(OR(AG206="Allaitement",AG206="Sans déjeuner"),F206-D206&gt;0.166666666666667),F206-D206,F206-D206)))))))</f>
        <v>0</v>
      </c>
      <c r="P206" s="6" t="str">
        <f aca="false">IFERROR(VLOOKUP($B206,Agents!$A:$D,2,0),"-")</f>
        <v>Accessibilité</v>
      </c>
      <c r="Q206" s="21" t="n">
        <v>46033</v>
      </c>
      <c r="R206" s="8" t="n">
        <f aca="false">IF(M206="Abs",O206,0)</f>
        <v>0</v>
      </c>
      <c r="S206" s="8" t="n">
        <f aca="false">SUM(R206,L206,I206,J206,W206,H206)</f>
        <v>0</v>
      </c>
      <c r="T206" s="6" t="str">
        <f aca="false">"Sem - "&amp;WEEKNUM(Q206,21)</f>
        <v>Sem - 2</v>
      </c>
      <c r="U206" s="6" t="str">
        <f aca="false">CHOOSE(MONTH(Q206),"Janvier","Février","Mars","Avril","Mai","Juin","Juillet","Août","Septembre","Octobre","Novembre","Décembre")</f>
        <v>Janvier</v>
      </c>
      <c r="V206" s="22" t="n">
        <f aca="false">YEAR(Q206)</f>
        <v>2026</v>
      </c>
      <c r="W206" s="20"/>
      <c r="X206" s="8" t="n">
        <f aca="false">IFERROR(IF(M206="Abs",0,IF(ROUND((D206-C206+E206-F206)*1440,0)&lt;=1,0,D206-C206+E206-F206)),0)</f>
        <v>0</v>
      </c>
      <c r="Y206" s="6" t="str">
        <f aca="false">IFERROR(VLOOKUP($B206,Agents!$A:$D,3,0),"-")</f>
        <v>OUBRAHIM Mohammed</v>
      </c>
      <c r="Z206" s="6" t="str">
        <f aca="false">IFERROR(VLOOKUP($B206,Agents!$A:$D,4,0),"-")</f>
        <v>Credit Mutuel</v>
      </c>
      <c r="AA206" s="18" t="s">
        <v>82</v>
      </c>
      <c r="AB206" s="8" t="str">
        <f aca="false">IF(AND(D206="Congé",F206="Congé"),0.333333333333333,IF(OR(AND(D206="Congé",F206&lt;&gt;"Congé"),(AND(F206="Congé",D206&lt;&gt;"Congé"))),0.166666666666667,""))</f>
        <v/>
      </c>
      <c r="AC206" s="8" t="str">
        <f aca="false">IF(AND(D206="Congé sans solde",F206="Congé sans solde"),0.333333333333333,IF(OR(AND(D206="Congé sans solde",F206&lt;&gt;"Congé sans solde"),(AND(F206="Congé sans solde",D206&lt;&gt;"Congé sans solde"))),0.166666666666667,""))</f>
        <v/>
      </c>
      <c r="AD206" s="8" t="str">
        <f aca="false">IF(AND(D206="Congé spécial",F206="Congé spécial"),0.333333333333333,IF(OR(AND(D206="Congé spécial",F206&lt;&gt;"Congé spécial"),AND(F206="Congé spécial",D206&lt;&gt;"Congé spécial")),0.166666666666667,""))</f>
        <v/>
      </c>
      <c r="AE206" s="8" t="str">
        <f aca="false">IF(AND(D206="Férié",F206="Férié"),0.333333333333333,IF(OR(AND(D206="Férié",F206&lt;&gt;"Férié"),(AND(F206="Férié",D206&lt;&gt;"Férié"))),0.166666666666667,""))</f>
        <v/>
      </c>
      <c r="AF206" s="18"/>
      <c r="AG206" s="18"/>
    </row>
    <row r="207" customFormat="false" ht="15" hidden="false" customHeight="false" outlineLevel="0" collapsed="false">
      <c r="A207" s="6" t="str">
        <f aca="false">YEAR(Q207-WEEKDAY(Q207,2)+4)&amp;"-S"&amp;TEXT(WEEKNUM(Q207,21),"00")</f>
        <v>2026-S02</v>
      </c>
      <c r="B207" s="18" t="s">
        <v>71</v>
      </c>
      <c r="C207" s="19"/>
      <c r="D207" s="19" t="s">
        <v>74</v>
      </c>
      <c r="E207" s="19"/>
      <c r="F207" s="19" t="s">
        <v>74</v>
      </c>
      <c r="G207" s="20"/>
      <c r="H207" s="20"/>
      <c r="I207" s="8" t="str">
        <f aca="false">IF(IF(OR(C207="",D207="Congé",D207="OFF",D207="Congé spécial"),"",IF(D207&gt;F207,D207-C207,IF(C207-D207&lt;0,0,C207-D207)))&lt;0.00068287037037037,"",IF(OR(D207="Congé",D207="OFF",C207="",D207="Congé spécial"),"",IF(D207&gt;F207,D207-C207,IF(C207-D207&lt;0,0,C207-D207))))</f>
        <v/>
      </c>
      <c r="J207" s="20"/>
      <c r="K207" s="8" t="n">
        <f aca="false">IF(SUM(H207:J207)&lt;0.00068287037037037,0,SUM(H207:J207))</f>
        <v>0</v>
      </c>
      <c r="L207" s="8" t="n">
        <f aca="false">IF(OR(F207="Congé",F207="OFF",M207="Abs",F207="Congé sans solde",F207="Férié",F207="Congé spécial",D207="Congé spécial"),0,IF(F207-E207&lt;0,0,IF(F207-E207&lt;=0.00068287037037037,0,F207-E207)))</f>
        <v>0</v>
      </c>
      <c r="M207" s="6" t="n">
        <f aca="false">IF(AND(O207&lt;&gt;0,C207=""),"Abs",0)</f>
        <v>0</v>
      </c>
      <c r="N207" s="8" t="str">
        <f aca="false">IFERROR(IF(OR(D207="OFF",D207="Congé",M207="Abs",D207="Congé sans solde",D207="Férié"),"",IF(O207-K207-L207&gt;O207,O207,IF(O207-K207-L207&lt;0,"",O207-K207-L207))),"")</f>
        <v/>
      </c>
      <c r="O207" s="8" t="n">
        <f aca="false">IF(AG207="2H Pause déjeuner",IF(F207-D207-0.0833333333333333&lt;0,F207-D207-0.0833333333333333+1,F207-D207-0.0833333333333333),IF(OR(AND(F207="OFF",D207="OFF"),AND(F207="Congé",D207="Congé"),AND(F207="Congé sans solde",D207="Congé sans solde"),AND(F207="Congé spécial",D207="Congé spécial"),AND(F207="Férié",D207="Férié"),AND(F207="OFF",D207="Congé"),AND(F207="OFF",D207="Congé sans solde"),AND(F207="OFF",D207="Congé spécial"),AND(F207="OFF",D207="Férié"),AND(F207="Congé",D207="OFF"),AND(F207="Congé",D207="Congé sans solde"),AND(F207="Congé",D207="Congé spécial"),AND(F207="Congé",D207="Férié"),AND(F207="Congé sans solde",D207="OFF"),AND(F207="Congé sans solde",D207="Congé"),AND(F207="Congé sans solde",D207="Congé spécial"),AND(F207="Congé sans solde",D207="Férié"),AND(F207="Congé spécial",D207="OFF"),AND(F207="Congé spécial",D207="Congé"),AND(F207="Congé spécial",D207="Congé sans solde"),AND(F207="Congé spécial",D207="Férié"),AND(F207="Férié",D207="OFF"),AND(F207="Férié",D207="Congé"),AND(F207="Férié",D207="Congé sans solde"),AND(F207="Férié",D207="Congé spécial")),0,IF(OR(F207="OFF",F207="Congé",F207="Congé spécial",F207="Congé sans solde",D207="OFF",D207="Congé",D207="Congé spécial",D207="Congé sans solde"),0.208333333333334,IF(AND(AG207="",F207-D207&lt;0),("24:00:00"-D207)+("00:00:00"+F207)-0.0416666666666667,IF(AND(OR(AG207="Allaitement",AG207="Sans déjeuner"),F207-D207&lt;0),("24:00:00"-D207)+("00:00:00"+F207),IF(AND(AG207="",F207-D207&gt;0.166666666666667),F207-D207-0.0416666666666667,IF(AND(OR(AG207="Allaitement",AG207="Sans déjeuner"),F207-D207&gt;0.166666666666667),F207-D207,F207-D207)))))))</f>
        <v>0</v>
      </c>
      <c r="P207" s="6" t="str">
        <f aca="false">IFERROR(VLOOKUP($B207,Agents!$A:$D,2,0),"-")</f>
        <v>Accessibilité</v>
      </c>
      <c r="Q207" s="21" t="n">
        <v>46033</v>
      </c>
      <c r="R207" s="8" t="n">
        <f aca="false">IF(M207="Abs",O207,0)</f>
        <v>0</v>
      </c>
      <c r="S207" s="8" t="n">
        <f aca="false">SUM(R207,L207,I207,J207,W207,H207)</f>
        <v>0</v>
      </c>
      <c r="T207" s="6" t="str">
        <f aca="false">"Sem - "&amp;WEEKNUM(Q207,21)</f>
        <v>Sem - 2</v>
      </c>
      <c r="U207" s="6" t="str">
        <f aca="false">CHOOSE(MONTH(Q207),"Janvier","Février","Mars","Avril","Mai","Juin","Juillet","Août","Septembre","Octobre","Novembre","Décembre")</f>
        <v>Janvier</v>
      </c>
      <c r="V207" s="22" t="n">
        <f aca="false">YEAR(Q207)</f>
        <v>2026</v>
      </c>
      <c r="W207" s="20"/>
      <c r="X207" s="8" t="n">
        <f aca="false">IFERROR(IF(M207="Abs",0,IF(ROUND((D207-C207+E207-F207)*1440,0)&lt;=1,0,D207-C207+E207-F207)),0)</f>
        <v>0</v>
      </c>
      <c r="Y207" s="6" t="str">
        <f aca="false">IFERROR(VLOOKUP($B207,Agents!$A:$D,3,0),"-")</f>
        <v>OUBRAHIM Mohammed</v>
      </c>
      <c r="Z207" s="6" t="str">
        <f aca="false">IFERROR(VLOOKUP($B207,Agents!$A:$D,4,0),"-")</f>
        <v>Credit Mutuel</v>
      </c>
      <c r="AA207" s="18" t="s">
        <v>82</v>
      </c>
      <c r="AB207" s="8" t="str">
        <f aca="false">IF(AND(D207="Congé",F207="Congé"),0.333333333333333,IF(OR(AND(D207="Congé",F207&lt;&gt;"Congé"),(AND(F207="Congé",D207&lt;&gt;"Congé"))),0.166666666666667,""))</f>
        <v/>
      </c>
      <c r="AC207" s="8" t="str">
        <f aca="false">IF(AND(D207="Congé sans solde",F207="Congé sans solde"),0.333333333333333,IF(OR(AND(D207="Congé sans solde",F207&lt;&gt;"Congé sans solde"),(AND(F207="Congé sans solde",D207&lt;&gt;"Congé sans solde"))),0.166666666666667,""))</f>
        <v/>
      </c>
      <c r="AD207" s="8" t="str">
        <f aca="false">IF(AND(D207="Congé spécial",F207="Congé spécial"),0.333333333333333,IF(OR(AND(D207="Congé spécial",F207&lt;&gt;"Congé spécial"),AND(F207="Congé spécial",D207&lt;&gt;"Congé spécial")),0.166666666666667,""))</f>
        <v/>
      </c>
      <c r="AE207" s="8" t="str">
        <f aca="false">IF(AND(D207="Férié",F207="Férié"),0.333333333333333,IF(OR(AND(D207="Férié",F207&lt;&gt;"Férié"),(AND(F207="Férié",D207&lt;&gt;"Férié"))),0.166666666666667,""))</f>
        <v/>
      </c>
      <c r="AF207" s="18"/>
      <c r="AG207" s="18"/>
    </row>
    <row r="208" customFormat="false" ht="15" hidden="false" customHeight="false" outlineLevel="0" collapsed="false">
      <c r="A208" s="6" t="str">
        <f aca="false">YEAR(Q208-WEEKDAY(Q208,2)+4)&amp;"-S"&amp;TEXT(WEEKNUM(Q208,21),"00")</f>
        <v>2026-S02</v>
      </c>
      <c r="B208" s="18" t="s">
        <v>72</v>
      </c>
      <c r="C208" s="19"/>
      <c r="D208" s="19" t="s">
        <v>74</v>
      </c>
      <c r="E208" s="19"/>
      <c r="F208" s="19" t="s">
        <v>74</v>
      </c>
      <c r="G208" s="20"/>
      <c r="H208" s="20"/>
      <c r="I208" s="8" t="str">
        <f aca="false">IF(IF(OR(C208="",D208="Congé",D208="OFF",D208="Congé spécial"),"",IF(D208&gt;F208,D208-C208,IF(C208-D208&lt;0,0,C208-D208)))&lt;0.00068287037037037,"",IF(OR(D208="Congé",D208="OFF",C208="",D208="Congé spécial"),"",IF(D208&gt;F208,D208-C208,IF(C208-D208&lt;0,0,C208-D208))))</f>
        <v/>
      </c>
      <c r="J208" s="20"/>
      <c r="K208" s="8" t="n">
        <f aca="false">IF(SUM(H208:J208)&lt;0.00068287037037037,0,SUM(H208:J208))</f>
        <v>0</v>
      </c>
      <c r="L208" s="8" t="n">
        <f aca="false">IF(OR(F208="Congé",F208="OFF",M208="Abs",F208="Congé sans solde",F208="Férié",F208="Congé spécial",D208="Congé spécial"),0,IF(F208-E208&lt;0,0,IF(F208-E208&lt;=0.00068287037037037,0,F208-E208)))</f>
        <v>0</v>
      </c>
      <c r="M208" s="6" t="n">
        <f aca="false">IF(AND(O208&lt;&gt;0,C208=""),"Abs",0)</f>
        <v>0</v>
      </c>
      <c r="N208" s="8" t="str">
        <f aca="false">IFERROR(IF(OR(D208="OFF",D208="Congé",M208="Abs",D208="Congé sans solde",D208="Férié"),"",IF(O208-K208-L208&gt;O208,O208,IF(O208-K208-L208&lt;0,"",O208-K208-L208))),"")</f>
        <v/>
      </c>
      <c r="O208" s="8" t="n">
        <f aca="false">IF(AG208="2H Pause déjeuner",IF(F208-D208-0.0833333333333333&lt;0,F208-D208-0.0833333333333333+1,F208-D208-0.0833333333333333),IF(OR(AND(F208="OFF",D208="OFF"),AND(F208="Congé",D208="Congé"),AND(F208="Congé sans solde",D208="Congé sans solde"),AND(F208="Congé spécial",D208="Congé spécial"),AND(F208="Férié",D208="Férié"),AND(F208="OFF",D208="Congé"),AND(F208="OFF",D208="Congé sans solde"),AND(F208="OFF",D208="Congé spécial"),AND(F208="OFF",D208="Férié"),AND(F208="Congé",D208="OFF"),AND(F208="Congé",D208="Congé sans solde"),AND(F208="Congé",D208="Congé spécial"),AND(F208="Congé",D208="Férié"),AND(F208="Congé sans solde",D208="OFF"),AND(F208="Congé sans solde",D208="Congé"),AND(F208="Congé sans solde",D208="Congé spécial"),AND(F208="Congé sans solde",D208="Férié"),AND(F208="Congé spécial",D208="OFF"),AND(F208="Congé spécial",D208="Congé"),AND(F208="Congé spécial",D208="Congé sans solde"),AND(F208="Congé spécial",D208="Férié"),AND(F208="Férié",D208="OFF"),AND(F208="Férié",D208="Congé"),AND(F208="Férié",D208="Congé sans solde"),AND(F208="Férié",D208="Congé spécial")),0,IF(OR(F208="OFF",F208="Congé",F208="Congé spécial",F208="Congé sans solde",D208="OFF",D208="Congé",D208="Congé spécial",D208="Congé sans solde"),0.208333333333334,IF(AND(AG208="",F208-D208&lt;0),("24:00:00"-D208)+("00:00:00"+F208)-0.0416666666666667,IF(AND(OR(AG208="Allaitement",AG208="Sans déjeuner"),F208-D208&lt;0),("24:00:00"-D208)+("00:00:00"+F208),IF(AND(AG208="",F208-D208&gt;0.166666666666667),F208-D208-0.0416666666666667,IF(AND(OR(AG208="Allaitement",AG208="Sans déjeuner"),F208-D208&gt;0.166666666666667),F208-D208,F208-D208)))))))</f>
        <v>0</v>
      </c>
      <c r="P208" s="6" t="str">
        <f aca="false">IFERROR(VLOOKUP($B208,Agents!$A:$D,2,0),"-")</f>
        <v>Accessibilité</v>
      </c>
      <c r="Q208" s="21" t="n">
        <v>46033</v>
      </c>
      <c r="R208" s="8" t="n">
        <f aca="false">IF(M208="Abs",O208,0)</f>
        <v>0</v>
      </c>
      <c r="S208" s="8" t="n">
        <f aca="false">SUM(R208,L208,I208,J208,W208,H208)</f>
        <v>0</v>
      </c>
      <c r="T208" s="6" t="str">
        <f aca="false">"Sem - "&amp;WEEKNUM(Q208,21)</f>
        <v>Sem - 2</v>
      </c>
      <c r="U208" s="6" t="str">
        <f aca="false">CHOOSE(MONTH(Q208),"Janvier","Février","Mars","Avril","Mai","Juin","Juillet","Août","Septembre","Octobre","Novembre","Décembre")</f>
        <v>Janvier</v>
      </c>
      <c r="V208" s="22" t="n">
        <f aca="false">YEAR(Q208)</f>
        <v>2026</v>
      </c>
      <c r="W208" s="20"/>
      <c r="X208" s="8" t="n">
        <f aca="false">IFERROR(IF(M208="Abs",0,IF(ROUND((D208-C208+E208-F208)*1440,0)&lt;=1,0,D208-C208+E208-F208)),0)</f>
        <v>0</v>
      </c>
      <c r="Y208" s="6" t="str">
        <f aca="false">IFERROR(VLOOKUP($B208,Agents!$A:$D,3,0),"-")</f>
        <v>OUBRAHIM Mohammed</v>
      </c>
      <c r="Z208" s="6" t="str">
        <f aca="false">IFERROR(VLOOKUP($B208,Agents!$A:$D,4,0),"-")</f>
        <v>Credit Mutuel</v>
      </c>
      <c r="AA208" s="18" t="s">
        <v>82</v>
      </c>
      <c r="AB208" s="8" t="str">
        <f aca="false">IF(AND(D208="Congé",F208="Congé"),0.333333333333333,IF(OR(AND(D208="Congé",F208&lt;&gt;"Congé"),(AND(F208="Congé",D208&lt;&gt;"Congé"))),0.166666666666667,""))</f>
        <v/>
      </c>
      <c r="AC208" s="8" t="str">
        <f aca="false">IF(AND(D208="Congé sans solde",F208="Congé sans solde"),0.333333333333333,IF(OR(AND(D208="Congé sans solde",F208&lt;&gt;"Congé sans solde"),(AND(F208="Congé sans solde",D208&lt;&gt;"Congé sans solde"))),0.166666666666667,""))</f>
        <v/>
      </c>
      <c r="AD208" s="8" t="str">
        <f aca="false">IF(AND(D208="Congé spécial",F208="Congé spécial"),0.333333333333333,IF(OR(AND(D208="Congé spécial",F208&lt;&gt;"Congé spécial"),AND(F208="Congé spécial",D208&lt;&gt;"Congé spécial")),0.166666666666667,""))</f>
        <v/>
      </c>
      <c r="AE208" s="8" t="str">
        <f aca="false">IF(AND(D208="Férié",F208="Férié"),0.333333333333333,IF(OR(AND(D208="Férié",F208&lt;&gt;"Férié"),(AND(F208="Férié",D208&lt;&gt;"Férié"))),0.166666666666667,""))</f>
        <v/>
      </c>
      <c r="AF208" s="18"/>
      <c r="AG208" s="18"/>
    </row>
    <row r="209" customFormat="false" ht="15" hidden="false" customHeight="false" outlineLevel="0" collapsed="false">
      <c r="A209" s="6" t="str">
        <f aca="false">YEAR(Q209-WEEKDAY(Q209,2)+4)&amp;"-S"&amp;TEXT(WEEKNUM(Q209,21),"00")</f>
        <v>2026-S02</v>
      </c>
      <c r="B209" s="18" t="s">
        <v>73</v>
      </c>
      <c r="C209" s="19"/>
      <c r="D209" s="19" t="s">
        <v>74</v>
      </c>
      <c r="E209" s="19"/>
      <c r="F209" s="19" t="s">
        <v>74</v>
      </c>
      <c r="G209" s="20"/>
      <c r="H209" s="20"/>
      <c r="I209" s="8" t="str">
        <f aca="false">IF(IF(OR(C209="",D209="Congé",D209="OFF",D209="Congé spécial"),"",IF(D209&gt;F209,D209-C209,IF(C209-D209&lt;0,0,C209-D209)))&lt;0.00068287037037037,"",IF(OR(D209="Congé",D209="OFF",C209="",D209="Congé spécial"),"",IF(D209&gt;F209,D209-C209,IF(C209-D209&lt;0,0,C209-D209))))</f>
        <v/>
      </c>
      <c r="J209" s="20"/>
      <c r="K209" s="8" t="n">
        <f aca="false">IF(SUM(H209:J209)&lt;0.00068287037037037,0,SUM(H209:J209))</f>
        <v>0</v>
      </c>
      <c r="L209" s="8" t="n">
        <f aca="false">IF(OR(F209="Congé",F209="OFF",M209="Abs",F209="Congé sans solde",F209="Férié",F209="Congé spécial",D209="Congé spécial"),0,IF(F209-E209&lt;0,0,IF(F209-E209&lt;=0.00068287037037037,0,F209-E209)))</f>
        <v>0</v>
      </c>
      <c r="M209" s="6" t="n">
        <f aca="false">IF(AND(O209&lt;&gt;0,C209=""),"Abs",0)</f>
        <v>0</v>
      </c>
      <c r="N209" s="8" t="str">
        <f aca="false">IFERROR(IF(OR(D209="OFF",D209="Congé",M209="Abs",D209="Congé sans solde",D209="Férié"),"",IF(O209-K209-L209&gt;O209,O209,IF(O209-K209-L209&lt;0,"",O209-K209-L209))),"")</f>
        <v/>
      </c>
      <c r="O209" s="8" t="n">
        <f aca="false">IF(AG209="2H Pause déjeuner",IF(F209-D209-0.0833333333333333&lt;0,F209-D209-0.0833333333333333+1,F209-D209-0.0833333333333333),IF(OR(AND(F209="OFF",D209="OFF"),AND(F209="Congé",D209="Congé"),AND(F209="Congé sans solde",D209="Congé sans solde"),AND(F209="Congé spécial",D209="Congé spécial"),AND(F209="Férié",D209="Férié"),AND(F209="OFF",D209="Congé"),AND(F209="OFF",D209="Congé sans solde"),AND(F209="OFF",D209="Congé spécial"),AND(F209="OFF",D209="Férié"),AND(F209="Congé",D209="OFF"),AND(F209="Congé",D209="Congé sans solde"),AND(F209="Congé",D209="Congé spécial"),AND(F209="Congé",D209="Férié"),AND(F209="Congé sans solde",D209="OFF"),AND(F209="Congé sans solde",D209="Congé"),AND(F209="Congé sans solde",D209="Congé spécial"),AND(F209="Congé sans solde",D209="Férié"),AND(F209="Congé spécial",D209="OFF"),AND(F209="Congé spécial",D209="Congé"),AND(F209="Congé spécial",D209="Congé sans solde"),AND(F209="Congé spécial",D209="Férié"),AND(F209="Férié",D209="OFF"),AND(F209="Férié",D209="Congé"),AND(F209="Férié",D209="Congé sans solde"),AND(F209="Férié",D209="Congé spécial")),0,IF(OR(F209="OFF",F209="Congé",F209="Congé spécial",F209="Congé sans solde",D209="OFF",D209="Congé",D209="Congé spécial",D209="Congé sans solde"),0.208333333333334,IF(AND(AG209="",F209-D209&lt;0),("24:00:00"-D209)+("00:00:00"+F209)-0.0416666666666667,IF(AND(OR(AG209="Allaitement",AG209="Sans déjeuner"),F209-D209&lt;0),("24:00:00"-D209)+("00:00:00"+F209),IF(AND(AG209="",F209-D209&gt;0.166666666666667),F209-D209-0.0416666666666667,IF(AND(OR(AG209="Allaitement",AG209="Sans déjeuner"),F209-D209&gt;0.166666666666667),F209-D209,F209-D209)))))))</f>
        <v>0</v>
      </c>
      <c r="P209" s="6" t="str">
        <f aca="false">IFERROR(VLOOKUP($B209,Agents!$A:$D,2,0),"-")</f>
        <v>Accessibilité</v>
      </c>
      <c r="Q209" s="21" t="n">
        <v>46033</v>
      </c>
      <c r="R209" s="8" t="n">
        <f aca="false">IF(M209="Abs",O209,0)</f>
        <v>0</v>
      </c>
      <c r="S209" s="8" t="n">
        <f aca="false">SUM(R209,L209,I209,J209,W209,H209)</f>
        <v>0</v>
      </c>
      <c r="T209" s="6" t="str">
        <f aca="false">"Sem - "&amp;WEEKNUM(Q209,21)</f>
        <v>Sem - 2</v>
      </c>
      <c r="U209" s="6" t="str">
        <f aca="false">CHOOSE(MONTH(Q209),"Janvier","Février","Mars","Avril","Mai","Juin","Juillet","Août","Septembre","Octobre","Novembre","Décembre")</f>
        <v>Janvier</v>
      </c>
      <c r="V209" s="22" t="n">
        <f aca="false">YEAR(Q209)</f>
        <v>2026</v>
      </c>
      <c r="W209" s="20"/>
      <c r="X209" s="8" t="n">
        <f aca="false">IFERROR(IF(M209="Abs",0,IF(ROUND((D209-C209+E209-F209)*1440,0)&lt;=1,0,D209-C209+E209-F209)),0)</f>
        <v>0</v>
      </c>
      <c r="Y209" s="6" t="str">
        <f aca="false">IFERROR(VLOOKUP($B209,Agents!$A:$D,3,0),"-")</f>
        <v>OUBRAHIM Mohammed</v>
      </c>
      <c r="Z209" s="6" t="str">
        <f aca="false">IFERROR(VLOOKUP($B209,Agents!$A:$D,4,0),"-")</f>
        <v>Credit Mutuel</v>
      </c>
      <c r="AA209" s="18" t="s">
        <v>82</v>
      </c>
      <c r="AB209" s="8" t="str">
        <f aca="false">IF(AND(D209="Congé",F209="Congé"),0.333333333333333,IF(OR(AND(D209="Congé",F209&lt;&gt;"Congé"),(AND(F209="Congé",D209&lt;&gt;"Congé"))),0.166666666666667,""))</f>
        <v/>
      </c>
      <c r="AC209" s="8" t="str">
        <f aca="false">IF(AND(D209="Congé sans solde",F209="Congé sans solde"),0.333333333333333,IF(OR(AND(D209="Congé sans solde",F209&lt;&gt;"Congé sans solde"),(AND(F209="Congé sans solde",D209&lt;&gt;"Congé sans solde"))),0.166666666666667,""))</f>
        <v/>
      </c>
      <c r="AD209" s="8" t="str">
        <f aca="false">IF(AND(D209="Congé spécial",F209="Congé spécial"),0.333333333333333,IF(OR(AND(D209="Congé spécial",F209&lt;&gt;"Congé spécial"),AND(F209="Congé spécial",D209&lt;&gt;"Congé spécial")),0.166666666666667,""))</f>
        <v/>
      </c>
      <c r="AE209" s="8" t="str">
        <f aca="false">IF(AND(D209="Férié",F209="Férié"),0.333333333333333,IF(OR(AND(D209="Férié",F209&lt;&gt;"Férié"),(AND(F209="Férié",D209&lt;&gt;"Férié"))),0.166666666666667,""))</f>
        <v/>
      </c>
      <c r="AF209" s="18"/>
      <c r="AG209" s="18"/>
    </row>
    <row r="210" customFormat="false" ht="15" hidden="false" customHeight="false" outlineLevel="0" collapsed="false">
      <c r="A210" s="6" t="str">
        <f aca="false">YEAR(Q210-WEEKDAY(Q210,2)+4)&amp;"-S"&amp;TEXT(WEEKNUM(Q210,21),"00")</f>
        <v>2026-S03</v>
      </c>
      <c r="B210" s="18" t="s">
        <v>69</v>
      </c>
      <c r="C210" s="19" t="n">
        <v>0.331944444444444</v>
      </c>
      <c r="D210" s="19" t="n">
        <v>0.333333333333333</v>
      </c>
      <c r="E210" s="19" t="n">
        <v>0.75</v>
      </c>
      <c r="F210" s="19" t="n">
        <v>0.75</v>
      </c>
      <c r="G210" s="20"/>
      <c r="H210" s="20"/>
      <c r="I210" s="8" t="str">
        <f aca="false">IF(IF(OR(C210="",D210="Congé",D210="OFF",D210="Congé spécial"),"",IF(D210&gt;F210,D210-C210,IF(C210-D210&lt;0,0,C210-D210)))&lt;0.00068287037037037,"",IF(OR(D210="Congé",D210="OFF",C210="",D210="Congé spécial"),"",IF(D210&gt;F210,D210-C210,IF(C210-D210&lt;0,0,C210-D210))))</f>
        <v/>
      </c>
      <c r="J210" s="20"/>
      <c r="K210" s="8" t="n">
        <f aca="false">IF(SUM(H210:J210)&lt;0.00068287037037037,0,SUM(H210:J210))</f>
        <v>0</v>
      </c>
      <c r="L210" s="8" t="n">
        <f aca="false">IF(OR(F210="Congé",F210="OFF",M210="Abs",F210="Congé sans solde",F210="Férié",F210="Congé spécial",D210="Congé spécial"),0,IF(F210-E210&lt;0,0,IF(F210-E210&lt;=0.00068287037037037,0,F210-E210)))</f>
        <v>0</v>
      </c>
      <c r="M210" s="6" t="n">
        <f aca="false">IF(AND(O210&lt;&gt;0,C210=""),"Abs",0)</f>
        <v>0</v>
      </c>
      <c r="N210" s="8" t="n">
        <f aca="false">IFERROR(IF(OR(D210="OFF",D210="Congé",M210="Abs",D210="Congé sans solde",D210="Férié"),"",IF(O210-K210-L210&gt;O210,O210,IF(O210-K210-L210&lt;0,"",O210-K210-L210))),"")</f>
        <v>0.375</v>
      </c>
      <c r="O210" s="8" t="n">
        <f aca="false">IF(AG210="2H Pause déjeuner",IF(F210-D210-0.0833333333333333&lt;0,F210-D210-0.0833333333333333+1,F210-D210-0.0833333333333333),IF(OR(AND(F210="OFF",D210="OFF"),AND(F210="Congé",D210="Congé"),AND(F210="Congé sans solde",D210="Congé sans solde"),AND(F210="Congé spécial",D210="Congé spécial"),AND(F210="Férié",D210="Férié"),AND(F210="OFF",D210="Congé"),AND(F210="OFF",D210="Congé sans solde"),AND(F210="OFF",D210="Congé spécial"),AND(F210="OFF",D210="Férié"),AND(F210="Congé",D210="OFF"),AND(F210="Congé",D210="Congé sans solde"),AND(F210="Congé",D210="Congé spécial"),AND(F210="Congé",D210="Férié"),AND(F210="Congé sans solde",D210="OFF"),AND(F210="Congé sans solde",D210="Congé"),AND(F210="Congé sans solde",D210="Congé spécial"),AND(F210="Congé sans solde",D210="Férié"),AND(F210="Congé spécial",D210="OFF"),AND(F210="Congé spécial",D210="Congé"),AND(F210="Congé spécial",D210="Congé sans solde"),AND(F210="Congé spécial",D210="Férié"),AND(F210="Férié",D210="OFF"),AND(F210="Férié",D210="Congé"),AND(F210="Férié",D210="Congé sans solde"),AND(F210="Férié",D210="Congé spécial")),0,IF(OR(F210="OFF",F210="Congé",F210="Congé spécial",F210="Congé sans solde",D210="OFF",D210="Congé",D210="Congé spécial",D210="Congé sans solde"),0.208333333333334,IF(AND(AG210="",F210-D210&lt;0),("24:00:00"-D210)+("00:00:00"+F210)-0.0416666666666667,IF(AND(OR(AG210="Allaitement",AG210="Sans déjeuner"),F210-D210&lt;0),("24:00:00"-D210)+("00:00:00"+F210),IF(AND(AG210="",F210-D210&gt;0.166666666666667),F210-D210-0.0416666666666667,IF(AND(OR(AG210="Allaitement",AG210="Sans déjeuner"),F210-D210&gt;0.166666666666667),F210-D210,F210-D210)))))))</f>
        <v>0.375</v>
      </c>
      <c r="P210" s="6" t="str">
        <f aca="false">IFERROR(VLOOKUP($B210,Agents!$A:$D,2,0),"-")</f>
        <v>Accessibilité</v>
      </c>
      <c r="Q210" s="21" t="n">
        <v>46034</v>
      </c>
      <c r="R210" s="8" t="n">
        <f aca="false">IF(M210="Abs",O210,0)</f>
        <v>0</v>
      </c>
      <c r="S210" s="8" t="n">
        <f aca="false">SUM(R210,L210,I210,J210,W210,H210)</f>
        <v>0</v>
      </c>
      <c r="T210" s="6" t="str">
        <f aca="false">"Sem - "&amp;WEEKNUM(Q210,21)</f>
        <v>Sem - 3</v>
      </c>
      <c r="U210" s="6" t="str">
        <f aca="false">CHOOSE(MONTH(Q210),"Janvier","Février","Mars","Avril","Mai","Juin","Juillet","Août","Septembre","Octobre","Novembre","Décembre")</f>
        <v>Janvier</v>
      </c>
      <c r="V210" s="22" t="n">
        <f aca="false">YEAR(Q210)</f>
        <v>2026</v>
      </c>
      <c r="W210" s="20"/>
      <c r="X210" s="8" t="n">
        <f aca="false">IFERROR(IF(M210="Abs",0,IF(ROUND((D210-C210+E210-F210)*1440,0)&lt;=1,0,D210-C210+E210-F210)),0)</f>
        <v>0.00138888888888889</v>
      </c>
      <c r="Y210" s="6" t="str">
        <f aca="false">IFERROR(VLOOKUP($B210,Agents!$A:$D,3,0),"-")</f>
        <v>OUBRAHIM Mohammed</v>
      </c>
      <c r="Z210" s="6" t="str">
        <f aca="false">IFERROR(VLOOKUP($B210,Agents!$A:$D,4,0),"-")</f>
        <v>Credit Mutuel</v>
      </c>
      <c r="AA210" s="18" t="s">
        <v>84</v>
      </c>
      <c r="AB210" s="8" t="str">
        <f aca="false">IF(AND(D210="Congé",F210="Congé"),0.333333333333333,IF(OR(AND(D210="Congé",F210&lt;&gt;"Congé"),(AND(F210="Congé",D210&lt;&gt;"Congé"))),0.166666666666667,""))</f>
        <v/>
      </c>
      <c r="AC210" s="8" t="str">
        <f aca="false">IF(AND(D210="Congé sans solde",F210="Congé sans solde"),0.333333333333333,IF(OR(AND(D210="Congé sans solde",F210&lt;&gt;"Congé sans solde"),(AND(F210="Congé sans solde",D210&lt;&gt;"Congé sans solde"))),0.166666666666667,""))</f>
        <v/>
      </c>
      <c r="AD210" s="8" t="str">
        <f aca="false">IF(AND(D210="Congé spécial",F210="Congé spécial"),0.333333333333333,IF(OR(AND(D210="Congé spécial",F210&lt;&gt;"Congé spécial"),AND(F210="Congé spécial",D210&lt;&gt;"Congé spécial")),0.166666666666667,""))</f>
        <v/>
      </c>
      <c r="AE210" s="8" t="str">
        <f aca="false">IF(AND(D210="Férié",F210="Férié"),0.333333333333333,IF(OR(AND(D210="Férié",F210&lt;&gt;"Férié"),(AND(F210="Férié",D210&lt;&gt;"Férié"))),0.166666666666667,""))</f>
        <v/>
      </c>
      <c r="AF210" s="18"/>
      <c r="AG210" s="18"/>
    </row>
    <row r="211" customFormat="false" ht="15" hidden="false" customHeight="false" outlineLevel="0" collapsed="false">
      <c r="A211" s="6" t="str">
        <f aca="false">YEAR(Q211-WEEKDAY(Q211,2)+4)&amp;"-S"&amp;TEXT(WEEKNUM(Q211,21),"00")</f>
        <v>2026-S03</v>
      </c>
      <c r="B211" s="18" t="s">
        <v>71</v>
      </c>
      <c r="C211" s="19" t="n">
        <v>0.331944444444444</v>
      </c>
      <c r="D211" s="19" t="n">
        <v>0.333333333333333</v>
      </c>
      <c r="E211" s="19" t="n">
        <v>0.75</v>
      </c>
      <c r="F211" s="19" t="n">
        <v>0.75</v>
      </c>
      <c r="G211" s="20"/>
      <c r="H211" s="20"/>
      <c r="I211" s="8" t="str">
        <f aca="false">IF(IF(OR(C211="",D211="Congé",D211="OFF",D211="Congé spécial"),"",IF(D211&gt;F211,D211-C211,IF(C211-D211&lt;0,0,C211-D211)))&lt;0.00068287037037037,"",IF(OR(D211="Congé",D211="OFF",C211="",D211="Congé spécial"),"",IF(D211&gt;F211,D211-C211,IF(C211-D211&lt;0,0,C211-D211))))</f>
        <v/>
      </c>
      <c r="J211" s="20"/>
      <c r="K211" s="8" t="n">
        <f aca="false">IF(SUM(H211:J211)&lt;0.00068287037037037,0,SUM(H211:J211))</f>
        <v>0</v>
      </c>
      <c r="L211" s="8" t="n">
        <f aca="false">IF(OR(F211="Congé",F211="OFF",M211="Abs",F211="Congé sans solde",F211="Férié",F211="Congé spécial",D211="Congé spécial"),0,IF(F211-E211&lt;0,0,IF(F211-E211&lt;=0.00068287037037037,0,F211-E211)))</f>
        <v>0</v>
      </c>
      <c r="M211" s="6" t="n">
        <f aca="false">IF(AND(O211&lt;&gt;0,C211=""),"Abs",0)</f>
        <v>0</v>
      </c>
      <c r="N211" s="8" t="n">
        <f aca="false">IFERROR(IF(OR(D211="OFF",D211="Congé",M211="Abs",D211="Congé sans solde",D211="Férié"),"",IF(O211-K211-L211&gt;O211,O211,IF(O211-K211-L211&lt;0,"",O211-K211-L211))),"")</f>
        <v>0.375</v>
      </c>
      <c r="O211" s="8" t="n">
        <f aca="false">IF(AG211="2H Pause déjeuner",IF(F211-D211-0.0833333333333333&lt;0,F211-D211-0.0833333333333333+1,F211-D211-0.0833333333333333),IF(OR(AND(F211="OFF",D211="OFF"),AND(F211="Congé",D211="Congé"),AND(F211="Congé sans solde",D211="Congé sans solde"),AND(F211="Congé spécial",D211="Congé spécial"),AND(F211="Férié",D211="Férié"),AND(F211="OFF",D211="Congé"),AND(F211="OFF",D211="Congé sans solde"),AND(F211="OFF",D211="Congé spécial"),AND(F211="OFF",D211="Férié"),AND(F211="Congé",D211="OFF"),AND(F211="Congé",D211="Congé sans solde"),AND(F211="Congé",D211="Congé spécial"),AND(F211="Congé",D211="Férié"),AND(F211="Congé sans solde",D211="OFF"),AND(F211="Congé sans solde",D211="Congé"),AND(F211="Congé sans solde",D211="Congé spécial"),AND(F211="Congé sans solde",D211="Férié"),AND(F211="Congé spécial",D211="OFF"),AND(F211="Congé spécial",D211="Congé"),AND(F211="Congé spécial",D211="Congé sans solde"),AND(F211="Congé spécial",D211="Férié"),AND(F211="Férié",D211="OFF"),AND(F211="Férié",D211="Congé"),AND(F211="Férié",D211="Congé sans solde"),AND(F211="Férié",D211="Congé spécial")),0,IF(OR(F211="OFF",F211="Congé",F211="Congé spécial",F211="Congé sans solde",D211="OFF",D211="Congé",D211="Congé spécial",D211="Congé sans solde"),0.208333333333334,IF(AND(AG211="",F211-D211&lt;0),("24:00:00"-D211)+("00:00:00"+F211)-0.0416666666666667,IF(AND(OR(AG211="Allaitement",AG211="Sans déjeuner"),F211-D211&lt;0),("24:00:00"-D211)+("00:00:00"+F211),IF(AND(AG211="",F211-D211&gt;0.166666666666667),F211-D211-0.0416666666666667,IF(AND(OR(AG211="Allaitement",AG211="Sans déjeuner"),F211-D211&gt;0.166666666666667),F211-D211,F211-D211)))))))</f>
        <v>0.375</v>
      </c>
      <c r="P211" s="6" t="str">
        <f aca="false">IFERROR(VLOOKUP($B211,Agents!$A:$D,2,0),"-")</f>
        <v>Accessibilité</v>
      </c>
      <c r="Q211" s="21" t="n">
        <v>46034</v>
      </c>
      <c r="R211" s="8" t="n">
        <f aca="false">IF(M211="Abs",O211,0)</f>
        <v>0</v>
      </c>
      <c r="S211" s="8" t="n">
        <f aca="false">SUM(R211,L211,I211,J211,W211,H211)</f>
        <v>0</v>
      </c>
      <c r="T211" s="6" t="str">
        <f aca="false">"Sem - "&amp;WEEKNUM(Q211,21)</f>
        <v>Sem - 3</v>
      </c>
      <c r="U211" s="6" t="str">
        <f aca="false">CHOOSE(MONTH(Q211),"Janvier","Février","Mars","Avril","Mai","Juin","Juillet","Août","Septembre","Octobre","Novembre","Décembre")</f>
        <v>Janvier</v>
      </c>
      <c r="V211" s="22" t="n">
        <f aca="false">YEAR(Q211)</f>
        <v>2026</v>
      </c>
      <c r="W211" s="20"/>
      <c r="X211" s="8" t="n">
        <f aca="false">IFERROR(IF(M211="Abs",0,IF(ROUND((D211-C211+E211-F211)*1440,0)&lt;=1,0,D211-C211+E211-F211)),0)</f>
        <v>0.00138888888888889</v>
      </c>
      <c r="Y211" s="6" t="str">
        <f aca="false">IFERROR(VLOOKUP($B211,Agents!$A:$D,3,0),"-")</f>
        <v>OUBRAHIM Mohammed</v>
      </c>
      <c r="Z211" s="6" t="str">
        <f aca="false">IFERROR(VLOOKUP($B211,Agents!$A:$D,4,0),"-")</f>
        <v>Credit Mutuel</v>
      </c>
      <c r="AA211" s="18" t="s">
        <v>84</v>
      </c>
      <c r="AB211" s="8" t="str">
        <f aca="false">IF(AND(D211="Congé",F211="Congé"),0.333333333333333,IF(OR(AND(D211="Congé",F211&lt;&gt;"Congé"),(AND(F211="Congé",D211&lt;&gt;"Congé"))),0.166666666666667,""))</f>
        <v/>
      </c>
      <c r="AC211" s="8" t="str">
        <f aca="false">IF(AND(D211="Congé sans solde",F211="Congé sans solde"),0.333333333333333,IF(OR(AND(D211="Congé sans solde",F211&lt;&gt;"Congé sans solde"),(AND(F211="Congé sans solde",D211&lt;&gt;"Congé sans solde"))),0.166666666666667,""))</f>
        <v/>
      </c>
      <c r="AD211" s="8" t="str">
        <f aca="false">IF(AND(D211="Congé spécial",F211="Congé spécial"),0.333333333333333,IF(OR(AND(D211="Congé spécial",F211&lt;&gt;"Congé spécial"),AND(F211="Congé spécial",D211&lt;&gt;"Congé spécial")),0.166666666666667,""))</f>
        <v/>
      </c>
      <c r="AE211" s="8" t="str">
        <f aca="false">IF(AND(D211="Férié",F211="Férié"),0.333333333333333,IF(OR(AND(D211="Férié",F211&lt;&gt;"Férié"),(AND(F211="Férié",D211&lt;&gt;"Férié"))),0.166666666666667,""))</f>
        <v/>
      </c>
      <c r="AF211" s="18"/>
      <c r="AG211" s="18"/>
    </row>
    <row r="212" customFormat="false" ht="15" hidden="false" customHeight="false" outlineLevel="0" collapsed="false">
      <c r="A212" s="6" t="str">
        <f aca="false">YEAR(Q212-WEEKDAY(Q212,2)+4)&amp;"-S"&amp;TEXT(WEEKNUM(Q212,21),"00")</f>
        <v>2026-S03</v>
      </c>
      <c r="B212" s="18" t="s">
        <v>72</v>
      </c>
      <c r="C212" s="19" t="n">
        <v>0.329861111111111</v>
      </c>
      <c r="D212" s="19" t="n">
        <v>0.333333333333333</v>
      </c>
      <c r="E212" s="19" t="n">
        <v>0.75</v>
      </c>
      <c r="F212" s="19" t="n">
        <v>0.75</v>
      </c>
      <c r="G212" s="20"/>
      <c r="H212" s="20"/>
      <c r="I212" s="8" t="str">
        <f aca="false">IF(IF(OR(C212="",D212="Congé",D212="OFF",D212="Congé spécial"),"",IF(D212&gt;F212,D212-C212,IF(C212-D212&lt;0,0,C212-D212)))&lt;0.00068287037037037,"",IF(OR(D212="Congé",D212="OFF",C212="",D212="Congé spécial"),"",IF(D212&gt;F212,D212-C212,IF(C212-D212&lt;0,0,C212-D212))))</f>
        <v/>
      </c>
      <c r="J212" s="20"/>
      <c r="K212" s="8" t="n">
        <f aca="false">IF(SUM(H212:J212)&lt;0.00068287037037037,0,SUM(H212:J212))</f>
        <v>0</v>
      </c>
      <c r="L212" s="8" t="n">
        <f aca="false">IF(OR(F212="Congé",F212="OFF",M212="Abs",F212="Congé sans solde",F212="Férié",F212="Congé spécial",D212="Congé spécial"),0,IF(F212-E212&lt;0,0,IF(F212-E212&lt;=0.00068287037037037,0,F212-E212)))</f>
        <v>0</v>
      </c>
      <c r="M212" s="6" t="n">
        <f aca="false">IF(AND(O212&lt;&gt;0,C212=""),"Abs",0)</f>
        <v>0</v>
      </c>
      <c r="N212" s="8" t="n">
        <f aca="false">IFERROR(IF(OR(D212="OFF",D212="Congé",M212="Abs",D212="Congé sans solde",D212="Férié"),"",IF(O212-K212-L212&gt;O212,O212,IF(O212-K212-L212&lt;0,"",O212-K212-L212))),"")</f>
        <v>0.375</v>
      </c>
      <c r="O212" s="8" t="n">
        <f aca="false">IF(AG212="2H Pause déjeuner",IF(F212-D212-0.0833333333333333&lt;0,F212-D212-0.0833333333333333+1,F212-D212-0.0833333333333333),IF(OR(AND(F212="OFF",D212="OFF"),AND(F212="Congé",D212="Congé"),AND(F212="Congé sans solde",D212="Congé sans solde"),AND(F212="Congé spécial",D212="Congé spécial"),AND(F212="Férié",D212="Férié"),AND(F212="OFF",D212="Congé"),AND(F212="OFF",D212="Congé sans solde"),AND(F212="OFF",D212="Congé spécial"),AND(F212="OFF",D212="Férié"),AND(F212="Congé",D212="OFF"),AND(F212="Congé",D212="Congé sans solde"),AND(F212="Congé",D212="Congé spécial"),AND(F212="Congé",D212="Férié"),AND(F212="Congé sans solde",D212="OFF"),AND(F212="Congé sans solde",D212="Congé"),AND(F212="Congé sans solde",D212="Congé spécial"),AND(F212="Congé sans solde",D212="Férié"),AND(F212="Congé spécial",D212="OFF"),AND(F212="Congé spécial",D212="Congé"),AND(F212="Congé spécial",D212="Congé sans solde"),AND(F212="Congé spécial",D212="Férié"),AND(F212="Férié",D212="OFF"),AND(F212="Férié",D212="Congé"),AND(F212="Férié",D212="Congé sans solde"),AND(F212="Férié",D212="Congé spécial")),0,IF(OR(F212="OFF",F212="Congé",F212="Congé spécial",F212="Congé sans solde",D212="OFF",D212="Congé",D212="Congé spécial",D212="Congé sans solde"),0.208333333333334,IF(AND(AG212="",F212-D212&lt;0),("24:00:00"-D212)+("00:00:00"+F212)-0.0416666666666667,IF(AND(OR(AG212="Allaitement",AG212="Sans déjeuner"),F212-D212&lt;0),("24:00:00"-D212)+("00:00:00"+F212),IF(AND(AG212="",F212-D212&gt;0.166666666666667),F212-D212-0.0416666666666667,IF(AND(OR(AG212="Allaitement",AG212="Sans déjeuner"),F212-D212&gt;0.166666666666667),F212-D212,F212-D212)))))))</f>
        <v>0.375</v>
      </c>
      <c r="P212" s="6" t="str">
        <f aca="false">IFERROR(VLOOKUP($B212,Agents!$A:$D,2,0),"-")</f>
        <v>Accessibilité</v>
      </c>
      <c r="Q212" s="21" t="n">
        <v>46034</v>
      </c>
      <c r="R212" s="8" t="n">
        <f aca="false">IF(M212="Abs",O212,0)</f>
        <v>0</v>
      </c>
      <c r="S212" s="8" t="n">
        <f aca="false">SUM(R212,L212,I212,J212,W212,H212)</f>
        <v>0</v>
      </c>
      <c r="T212" s="6" t="str">
        <f aca="false">"Sem - "&amp;WEEKNUM(Q212,21)</f>
        <v>Sem - 3</v>
      </c>
      <c r="U212" s="6" t="str">
        <f aca="false">CHOOSE(MONTH(Q212),"Janvier","Février","Mars","Avril","Mai","Juin","Juillet","Août","Septembre","Octobre","Novembre","Décembre")</f>
        <v>Janvier</v>
      </c>
      <c r="V212" s="22" t="n">
        <f aca="false">YEAR(Q212)</f>
        <v>2026</v>
      </c>
      <c r="W212" s="20"/>
      <c r="X212" s="8" t="n">
        <f aca="false">IFERROR(IF(M212="Abs",0,IF(ROUND((D212-C212+E212-F212)*1440,0)&lt;=1,0,D212-C212+E212-F212)),0)</f>
        <v>0.00347222222222222</v>
      </c>
      <c r="Y212" s="6" t="str">
        <f aca="false">IFERROR(VLOOKUP($B212,Agents!$A:$D,3,0),"-")</f>
        <v>OUBRAHIM Mohammed</v>
      </c>
      <c r="Z212" s="6" t="str">
        <f aca="false">IFERROR(VLOOKUP($B212,Agents!$A:$D,4,0),"-")</f>
        <v>Credit Mutuel</v>
      </c>
      <c r="AA212" s="18" t="s">
        <v>84</v>
      </c>
      <c r="AB212" s="8" t="str">
        <f aca="false">IF(AND(D212="Congé",F212="Congé"),0.333333333333333,IF(OR(AND(D212="Congé",F212&lt;&gt;"Congé"),(AND(F212="Congé",D212&lt;&gt;"Congé"))),0.166666666666667,""))</f>
        <v/>
      </c>
      <c r="AC212" s="8" t="str">
        <f aca="false">IF(AND(D212="Congé sans solde",F212="Congé sans solde"),0.333333333333333,IF(OR(AND(D212="Congé sans solde",F212&lt;&gt;"Congé sans solde"),(AND(F212="Congé sans solde",D212&lt;&gt;"Congé sans solde"))),0.166666666666667,""))</f>
        <v/>
      </c>
      <c r="AD212" s="8" t="str">
        <f aca="false">IF(AND(D212="Congé spécial",F212="Congé spécial"),0.333333333333333,IF(OR(AND(D212="Congé spécial",F212&lt;&gt;"Congé spécial"),AND(F212="Congé spécial",D212&lt;&gt;"Congé spécial")),0.166666666666667,""))</f>
        <v/>
      </c>
      <c r="AE212" s="8" t="str">
        <f aca="false">IF(AND(D212="Férié",F212="Férié"),0.333333333333333,IF(OR(AND(D212="Férié",F212&lt;&gt;"Férié"),(AND(F212="Férié",D212&lt;&gt;"Férié"))),0.166666666666667,""))</f>
        <v/>
      </c>
      <c r="AF212" s="18"/>
      <c r="AG212" s="18"/>
    </row>
    <row r="213" customFormat="false" ht="15" hidden="false" customHeight="false" outlineLevel="0" collapsed="false">
      <c r="A213" s="6" t="str">
        <f aca="false">YEAR(Q213-WEEKDAY(Q213,2)+4)&amp;"-S"&amp;TEXT(WEEKNUM(Q213,21),"00")</f>
        <v>2026-S03</v>
      </c>
      <c r="B213" s="18" t="s">
        <v>73</v>
      </c>
      <c r="C213" s="19" t="n">
        <v>0.33125</v>
      </c>
      <c r="D213" s="19" t="n">
        <v>0.333333333333333</v>
      </c>
      <c r="E213" s="19" t="n">
        <v>0.75</v>
      </c>
      <c r="F213" s="19" t="n">
        <v>0.75</v>
      </c>
      <c r="G213" s="20"/>
      <c r="H213" s="20"/>
      <c r="I213" s="8" t="str">
        <f aca="false">IF(IF(OR(C213="",D213="Congé",D213="OFF",D213="Congé spécial"),"",IF(D213&gt;F213,D213-C213,IF(C213-D213&lt;0,0,C213-D213)))&lt;0.00068287037037037,"",IF(OR(D213="Congé",D213="OFF",C213="",D213="Congé spécial"),"",IF(D213&gt;F213,D213-C213,IF(C213-D213&lt;0,0,C213-D213))))</f>
        <v/>
      </c>
      <c r="J213" s="20"/>
      <c r="K213" s="8" t="n">
        <f aca="false">IF(SUM(H213:J213)&lt;0.00068287037037037,0,SUM(H213:J213))</f>
        <v>0</v>
      </c>
      <c r="L213" s="8" t="n">
        <f aca="false">IF(OR(F213="Congé",F213="OFF",M213="Abs",F213="Congé sans solde",F213="Férié",F213="Congé spécial",D213="Congé spécial"),0,IF(F213-E213&lt;0,0,IF(F213-E213&lt;=0.00068287037037037,0,F213-E213)))</f>
        <v>0</v>
      </c>
      <c r="M213" s="6" t="n">
        <f aca="false">IF(AND(O213&lt;&gt;0,C213=""),"Abs",0)</f>
        <v>0</v>
      </c>
      <c r="N213" s="8" t="n">
        <f aca="false">IFERROR(IF(OR(D213="OFF",D213="Congé",M213="Abs",D213="Congé sans solde",D213="Férié"),"",IF(O213-K213-L213&gt;O213,O213,IF(O213-K213-L213&lt;0,"",O213-K213-L213))),"")</f>
        <v>0.375</v>
      </c>
      <c r="O213" s="8" t="n">
        <f aca="false">IF(AG213="2H Pause déjeuner",IF(F213-D213-0.0833333333333333&lt;0,F213-D213-0.0833333333333333+1,F213-D213-0.0833333333333333),IF(OR(AND(F213="OFF",D213="OFF"),AND(F213="Congé",D213="Congé"),AND(F213="Congé sans solde",D213="Congé sans solde"),AND(F213="Congé spécial",D213="Congé spécial"),AND(F213="Férié",D213="Férié"),AND(F213="OFF",D213="Congé"),AND(F213="OFF",D213="Congé sans solde"),AND(F213="OFF",D213="Congé spécial"),AND(F213="OFF",D213="Férié"),AND(F213="Congé",D213="OFF"),AND(F213="Congé",D213="Congé sans solde"),AND(F213="Congé",D213="Congé spécial"),AND(F213="Congé",D213="Férié"),AND(F213="Congé sans solde",D213="OFF"),AND(F213="Congé sans solde",D213="Congé"),AND(F213="Congé sans solde",D213="Congé spécial"),AND(F213="Congé sans solde",D213="Férié"),AND(F213="Congé spécial",D213="OFF"),AND(F213="Congé spécial",D213="Congé"),AND(F213="Congé spécial",D213="Congé sans solde"),AND(F213="Congé spécial",D213="Férié"),AND(F213="Férié",D213="OFF"),AND(F213="Férié",D213="Congé"),AND(F213="Férié",D213="Congé sans solde"),AND(F213="Férié",D213="Congé spécial")),0,IF(OR(F213="OFF",F213="Congé",F213="Congé spécial",F213="Congé sans solde",D213="OFF",D213="Congé",D213="Congé spécial",D213="Congé sans solde"),0.208333333333334,IF(AND(AG213="",F213-D213&lt;0),("24:00:00"-D213)+("00:00:00"+F213)-0.0416666666666667,IF(AND(OR(AG213="Allaitement",AG213="Sans déjeuner"),F213-D213&lt;0),("24:00:00"-D213)+("00:00:00"+F213),IF(AND(AG213="",F213-D213&gt;0.166666666666667),F213-D213-0.0416666666666667,IF(AND(OR(AG213="Allaitement",AG213="Sans déjeuner"),F213-D213&gt;0.166666666666667),F213-D213,F213-D213)))))))</f>
        <v>0.375</v>
      </c>
      <c r="P213" s="6" t="str">
        <f aca="false">IFERROR(VLOOKUP($B213,Agents!$A:$D,2,0),"-")</f>
        <v>Accessibilité</v>
      </c>
      <c r="Q213" s="21" t="n">
        <v>46034</v>
      </c>
      <c r="R213" s="8" t="n">
        <f aca="false">IF(M213="Abs",O213,0)</f>
        <v>0</v>
      </c>
      <c r="S213" s="8" t="n">
        <f aca="false">SUM(R213,L213,I213,J213,W213,H213)</f>
        <v>0</v>
      </c>
      <c r="T213" s="6" t="str">
        <f aca="false">"Sem - "&amp;WEEKNUM(Q213,21)</f>
        <v>Sem - 3</v>
      </c>
      <c r="U213" s="6" t="str">
        <f aca="false">CHOOSE(MONTH(Q213),"Janvier","Février","Mars","Avril","Mai","Juin","Juillet","Août","Septembre","Octobre","Novembre","Décembre")</f>
        <v>Janvier</v>
      </c>
      <c r="V213" s="22" t="n">
        <f aca="false">YEAR(Q213)</f>
        <v>2026</v>
      </c>
      <c r="W213" s="20"/>
      <c r="X213" s="8" t="n">
        <f aca="false">IFERROR(IF(M213="Abs",0,IF(ROUND((D213-C213+E213-F213)*1440,0)&lt;=1,0,D213-C213+E213-F213)),0)</f>
        <v>0.00208333333333333</v>
      </c>
      <c r="Y213" s="6" t="str">
        <f aca="false">IFERROR(VLOOKUP($B213,Agents!$A:$D,3,0),"-")</f>
        <v>OUBRAHIM Mohammed</v>
      </c>
      <c r="Z213" s="6" t="str">
        <f aca="false">IFERROR(VLOOKUP($B213,Agents!$A:$D,4,0),"-")</f>
        <v>Credit Mutuel</v>
      </c>
      <c r="AA213" s="18" t="s">
        <v>84</v>
      </c>
      <c r="AB213" s="8" t="str">
        <f aca="false">IF(AND(D213="Congé",F213="Congé"),0.333333333333333,IF(OR(AND(D213="Congé",F213&lt;&gt;"Congé"),(AND(F213="Congé",D213&lt;&gt;"Congé"))),0.166666666666667,""))</f>
        <v/>
      </c>
      <c r="AC213" s="8" t="str">
        <f aca="false">IF(AND(D213="Congé sans solde",F213="Congé sans solde"),0.333333333333333,IF(OR(AND(D213="Congé sans solde",F213&lt;&gt;"Congé sans solde"),(AND(F213="Congé sans solde",D213&lt;&gt;"Congé sans solde"))),0.166666666666667,""))</f>
        <v/>
      </c>
      <c r="AD213" s="8" t="str">
        <f aca="false">IF(AND(D213="Congé spécial",F213="Congé spécial"),0.333333333333333,IF(OR(AND(D213="Congé spécial",F213&lt;&gt;"Congé spécial"),AND(F213="Congé spécial",D213&lt;&gt;"Congé spécial")),0.166666666666667,""))</f>
        <v/>
      </c>
      <c r="AE213" s="8" t="str">
        <f aca="false">IF(AND(D213="Férié",F213="Férié"),0.333333333333333,IF(OR(AND(D213="Férié",F213&lt;&gt;"Férié"),(AND(F213="Férié",D213&lt;&gt;"Férié"))),0.166666666666667,""))</f>
        <v/>
      </c>
      <c r="AF213" s="18"/>
      <c r="AG213" s="18"/>
    </row>
    <row r="214" customFormat="false" ht="15" hidden="false" customHeight="false" outlineLevel="0" collapsed="false">
      <c r="A214" s="6" t="str">
        <f aca="false">YEAR(Q214-WEEKDAY(Q214,2)+4)&amp;"-S"&amp;TEXT(WEEKNUM(Q214,21),"00")</f>
        <v>2026-S03</v>
      </c>
      <c r="B214" s="18" t="s">
        <v>69</v>
      </c>
      <c r="C214" s="19" t="n">
        <v>0.331944444444444</v>
      </c>
      <c r="D214" s="19" t="n">
        <v>0.333333333333333</v>
      </c>
      <c r="E214" s="19" t="n">
        <v>0.75</v>
      </c>
      <c r="F214" s="19" t="n">
        <v>0.75</v>
      </c>
      <c r="G214" s="20"/>
      <c r="H214" s="20"/>
      <c r="I214" s="8" t="str">
        <f aca="false">IF(IF(OR(C214="",D214="Congé",D214="OFF",D214="Congé spécial"),"",IF(D214&gt;F214,D214-C214,IF(C214-D214&lt;0,0,C214-D214)))&lt;0.00068287037037037,"",IF(OR(D214="Congé",D214="OFF",C214="",D214="Congé spécial"),"",IF(D214&gt;F214,D214-C214,IF(C214-D214&lt;0,0,C214-D214))))</f>
        <v/>
      </c>
      <c r="J214" s="20"/>
      <c r="K214" s="8" t="n">
        <f aca="false">IF(SUM(H214:J214)&lt;0.00068287037037037,0,SUM(H214:J214))</f>
        <v>0</v>
      </c>
      <c r="L214" s="8" t="n">
        <f aca="false">IF(OR(F214="Congé",F214="OFF",M214="Abs",F214="Congé sans solde",F214="Férié",F214="Congé spécial",D214="Congé spécial"),0,IF(F214-E214&lt;0,0,IF(F214-E214&lt;=0.00068287037037037,0,F214-E214)))</f>
        <v>0</v>
      </c>
      <c r="M214" s="6" t="n">
        <f aca="false">IF(AND(O214&lt;&gt;0,C214=""),"Abs",0)</f>
        <v>0</v>
      </c>
      <c r="N214" s="8" t="n">
        <f aca="false">IFERROR(IF(OR(D214="OFF",D214="Congé",M214="Abs",D214="Congé sans solde",D214="Férié"),"",IF(O214-K214-L214&gt;O214,O214,IF(O214-K214-L214&lt;0,"",O214-K214-L214))),"")</f>
        <v>0.375</v>
      </c>
      <c r="O214" s="8" t="n">
        <f aca="false">IF(AG214="2H Pause déjeuner",IF(F214-D214-0.0833333333333333&lt;0,F214-D214-0.0833333333333333+1,F214-D214-0.0833333333333333),IF(OR(AND(F214="OFF",D214="OFF"),AND(F214="Congé",D214="Congé"),AND(F214="Congé sans solde",D214="Congé sans solde"),AND(F214="Congé spécial",D214="Congé spécial"),AND(F214="Férié",D214="Férié"),AND(F214="OFF",D214="Congé"),AND(F214="OFF",D214="Congé sans solde"),AND(F214="OFF",D214="Congé spécial"),AND(F214="OFF",D214="Férié"),AND(F214="Congé",D214="OFF"),AND(F214="Congé",D214="Congé sans solde"),AND(F214="Congé",D214="Congé spécial"),AND(F214="Congé",D214="Férié"),AND(F214="Congé sans solde",D214="OFF"),AND(F214="Congé sans solde",D214="Congé"),AND(F214="Congé sans solde",D214="Congé spécial"),AND(F214="Congé sans solde",D214="Férié"),AND(F214="Congé spécial",D214="OFF"),AND(F214="Congé spécial",D214="Congé"),AND(F214="Congé spécial",D214="Congé sans solde"),AND(F214="Congé spécial",D214="Férié"),AND(F214="Férié",D214="OFF"),AND(F214="Férié",D214="Congé"),AND(F214="Férié",D214="Congé sans solde"),AND(F214="Férié",D214="Congé spécial")),0,IF(OR(F214="OFF",F214="Congé",F214="Congé spécial",F214="Congé sans solde",D214="OFF",D214="Congé",D214="Congé spécial",D214="Congé sans solde"),0.208333333333334,IF(AND(AG214="",F214-D214&lt;0),("24:00:00"-D214)+("00:00:00"+F214)-0.0416666666666667,IF(AND(OR(AG214="Allaitement",AG214="Sans déjeuner"),F214-D214&lt;0),("24:00:00"-D214)+("00:00:00"+F214),IF(AND(AG214="",F214-D214&gt;0.166666666666667),F214-D214-0.0416666666666667,IF(AND(OR(AG214="Allaitement",AG214="Sans déjeuner"),F214-D214&gt;0.166666666666667),F214-D214,F214-D214)))))))</f>
        <v>0.375</v>
      </c>
      <c r="P214" s="6" t="str">
        <f aca="false">IFERROR(VLOOKUP($B214,Agents!$A:$D,2,0),"-")</f>
        <v>Accessibilité</v>
      </c>
      <c r="Q214" s="21" t="n">
        <v>46035</v>
      </c>
      <c r="R214" s="8" t="n">
        <f aca="false">IF(M214="Abs",O214,0)</f>
        <v>0</v>
      </c>
      <c r="S214" s="8" t="n">
        <f aca="false">SUM(R214,L214,I214,J214,W214,H214)</f>
        <v>0</v>
      </c>
      <c r="T214" s="6" t="str">
        <f aca="false">"Sem - "&amp;WEEKNUM(Q214,21)</f>
        <v>Sem - 3</v>
      </c>
      <c r="U214" s="6" t="str">
        <f aca="false">CHOOSE(MONTH(Q214),"Janvier","Février","Mars","Avril","Mai","Juin","Juillet","Août","Septembre","Octobre","Novembre","Décembre")</f>
        <v>Janvier</v>
      </c>
      <c r="V214" s="22" t="n">
        <f aca="false">YEAR(Q214)</f>
        <v>2026</v>
      </c>
      <c r="W214" s="20"/>
      <c r="X214" s="8" t="n">
        <f aca="false">IFERROR(IF(M214="Abs",0,IF(ROUND((D214-C214+E214-F214)*1440,0)&lt;=1,0,D214-C214+E214-F214)),0)</f>
        <v>0.00138888888888889</v>
      </c>
      <c r="Y214" s="6" t="str">
        <f aca="false">IFERROR(VLOOKUP($B214,Agents!$A:$D,3,0),"-")</f>
        <v>OUBRAHIM Mohammed</v>
      </c>
      <c r="Z214" s="6" t="str">
        <f aca="false">IFERROR(VLOOKUP($B214,Agents!$A:$D,4,0),"-")</f>
        <v>Credit Mutuel</v>
      </c>
      <c r="AA214" s="18" t="s">
        <v>84</v>
      </c>
      <c r="AB214" s="8" t="str">
        <f aca="false">IF(AND(D214="Congé",F214="Congé"),0.333333333333333,IF(OR(AND(D214="Congé",F214&lt;&gt;"Congé"),(AND(F214="Congé",D214&lt;&gt;"Congé"))),0.166666666666667,""))</f>
        <v/>
      </c>
      <c r="AC214" s="8" t="str">
        <f aca="false">IF(AND(D214="Congé sans solde",F214="Congé sans solde"),0.333333333333333,IF(OR(AND(D214="Congé sans solde",F214&lt;&gt;"Congé sans solde"),(AND(F214="Congé sans solde",D214&lt;&gt;"Congé sans solde"))),0.166666666666667,""))</f>
        <v/>
      </c>
      <c r="AD214" s="8" t="str">
        <f aca="false">IF(AND(D214="Congé spécial",F214="Congé spécial"),0.333333333333333,IF(OR(AND(D214="Congé spécial",F214&lt;&gt;"Congé spécial"),AND(F214="Congé spécial",D214&lt;&gt;"Congé spécial")),0.166666666666667,""))</f>
        <v/>
      </c>
      <c r="AE214" s="8" t="str">
        <f aca="false">IF(AND(D214="Férié",F214="Férié"),0.333333333333333,IF(OR(AND(D214="Férié",F214&lt;&gt;"Férié"),(AND(F214="Férié",D214&lt;&gt;"Férié"))),0.166666666666667,""))</f>
        <v/>
      </c>
      <c r="AF214" s="18"/>
      <c r="AG214" s="18"/>
    </row>
    <row r="215" customFormat="false" ht="15" hidden="false" customHeight="false" outlineLevel="0" collapsed="false">
      <c r="A215" s="6" t="str">
        <f aca="false">YEAR(Q215-WEEKDAY(Q215,2)+4)&amp;"-S"&amp;TEXT(WEEKNUM(Q215,21),"00")</f>
        <v>2026-S03</v>
      </c>
      <c r="B215" s="18" t="s">
        <v>71</v>
      </c>
      <c r="C215" s="19" t="n">
        <v>0.390972222222222</v>
      </c>
      <c r="D215" s="19" t="n">
        <v>0.333333333333333</v>
      </c>
      <c r="E215" s="19" t="n">
        <v>0.75</v>
      </c>
      <c r="F215" s="19" t="n">
        <v>0.75</v>
      </c>
      <c r="G215" s="20"/>
      <c r="H215" s="20"/>
      <c r="I215" s="8" t="n">
        <f aca="false">IF(IF(OR(C215="",D215="Congé",D215="OFF",D215="Congé spécial"),"",IF(D215&gt;F215,D215-C215,IF(C215-D215&lt;0,0,C215-D215)))&lt;0.00068287037037037,"",IF(OR(D215="Congé",D215="OFF",C215="",D215="Congé spécial"),"",IF(D215&gt;F215,D215-C215,IF(C215-D215&lt;0,0,C215-D215))))</f>
        <v>0.0576388888888889</v>
      </c>
      <c r="J215" s="20"/>
      <c r="K215" s="8" t="n">
        <f aca="false">IF(SUM(H215:J215)&lt;0.00068287037037037,0,SUM(H215:J215))</f>
        <v>0.0576388888888889</v>
      </c>
      <c r="L215" s="8" t="n">
        <f aca="false">IF(OR(F215="Congé",F215="OFF",M215="Abs",F215="Congé sans solde",F215="Férié",F215="Congé spécial",D215="Congé spécial"),0,IF(F215-E215&lt;0,0,IF(F215-E215&lt;=0.00068287037037037,0,F215-E215)))</f>
        <v>0</v>
      </c>
      <c r="M215" s="6" t="n">
        <f aca="false">IF(AND(O215&lt;&gt;0,C215=""),"Abs",0)</f>
        <v>0</v>
      </c>
      <c r="N215" s="8" t="n">
        <f aca="false">IFERROR(IF(OR(D215="OFF",D215="Congé",M215="Abs",D215="Congé sans solde",D215="Férié"),"",IF(O215-K215-L215&gt;O215,O215,IF(O215-K215-L215&lt;0,"",O215-K215-L215))),"")</f>
        <v>0.317361111111111</v>
      </c>
      <c r="O215" s="8" t="n">
        <f aca="false">IF(AG215="2H Pause déjeuner",IF(F215-D215-0.0833333333333333&lt;0,F215-D215-0.0833333333333333+1,F215-D215-0.0833333333333333),IF(OR(AND(F215="OFF",D215="OFF"),AND(F215="Congé",D215="Congé"),AND(F215="Congé sans solde",D215="Congé sans solde"),AND(F215="Congé spécial",D215="Congé spécial"),AND(F215="Férié",D215="Férié"),AND(F215="OFF",D215="Congé"),AND(F215="OFF",D215="Congé sans solde"),AND(F215="OFF",D215="Congé spécial"),AND(F215="OFF",D215="Férié"),AND(F215="Congé",D215="OFF"),AND(F215="Congé",D215="Congé sans solde"),AND(F215="Congé",D215="Congé spécial"),AND(F215="Congé",D215="Férié"),AND(F215="Congé sans solde",D215="OFF"),AND(F215="Congé sans solde",D215="Congé"),AND(F215="Congé sans solde",D215="Congé spécial"),AND(F215="Congé sans solde",D215="Férié"),AND(F215="Congé spécial",D215="OFF"),AND(F215="Congé spécial",D215="Congé"),AND(F215="Congé spécial",D215="Congé sans solde"),AND(F215="Congé spécial",D215="Férié"),AND(F215="Férié",D215="OFF"),AND(F215="Férié",D215="Congé"),AND(F215="Férié",D215="Congé sans solde"),AND(F215="Férié",D215="Congé spécial")),0,IF(OR(F215="OFF",F215="Congé",F215="Congé spécial",F215="Congé sans solde",D215="OFF",D215="Congé",D215="Congé spécial",D215="Congé sans solde"),0.208333333333334,IF(AND(AG215="",F215-D215&lt;0),("24:00:00"-D215)+("00:00:00"+F215)-0.0416666666666667,IF(AND(OR(AG215="Allaitement",AG215="Sans déjeuner"),F215-D215&lt;0),("24:00:00"-D215)+("00:00:00"+F215),IF(AND(AG215="",F215-D215&gt;0.166666666666667),F215-D215-0.0416666666666667,IF(AND(OR(AG215="Allaitement",AG215="Sans déjeuner"),F215-D215&gt;0.166666666666667),F215-D215,F215-D215)))))))</f>
        <v>0.375</v>
      </c>
      <c r="P215" s="6" t="str">
        <f aca="false">IFERROR(VLOOKUP($B215,Agents!$A:$D,2,0),"-")</f>
        <v>Accessibilité</v>
      </c>
      <c r="Q215" s="21" t="n">
        <v>46035</v>
      </c>
      <c r="R215" s="8" t="n">
        <f aca="false">IF(M215="Abs",O215,0)</f>
        <v>0</v>
      </c>
      <c r="S215" s="8" t="n">
        <f aca="false">SUM(R215,L215,I215,J215,W215,H215)</f>
        <v>0.0576388888888889</v>
      </c>
      <c r="T215" s="6" t="str">
        <f aca="false">"Sem - "&amp;WEEKNUM(Q215,21)</f>
        <v>Sem - 3</v>
      </c>
      <c r="U215" s="6" t="str">
        <f aca="false">CHOOSE(MONTH(Q215),"Janvier","Février","Mars","Avril","Mai","Juin","Juillet","Août","Septembre","Octobre","Novembre","Décembre")</f>
        <v>Janvier</v>
      </c>
      <c r="V215" s="22" t="n">
        <f aca="false">YEAR(Q215)</f>
        <v>2026</v>
      </c>
      <c r="W215" s="20"/>
      <c r="X215" s="8" t="n">
        <f aca="false">IFERROR(IF(M215="Abs",0,IF(ROUND((D215-C215+E215-F215)*1440,0)&lt;=1,0,D215-C215+E215-F215)),0)</f>
        <v>0</v>
      </c>
      <c r="Y215" s="6" t="str">
        <f aca="false">IFERROR(VLOOKUP($B215,Agents!$A:$D,3,0),"-")</f>
        <v>OUBRAHIM Mohammed</v>
      </c>
      <c r="Z215" s="6" t="str">
        <f aca="false">IFERROR(VLOOKUP($B215,Agents!$A:$D,4,0),"-")</f>
        <v>Credit Mutuel</v>
      </c>
      <c r="AA215" s="18" t="s">
        <v>84</v>
      </c>
      <c r="AB215" s="8" t="str">
        <f aca="false">IF(AND(D215="Congé",F215="Congé"),0.333333333333333,IF(OR(AND(D215="Congé",F215&lt;&gt;"Congé"),(AND(F215="Congé",D215&lt;&gt;"Congé"))),0.166666666666667,""))</f>
        <v/>
      </c>
      <c r="AC215" s="8" t="str">
        <f aca="false">IF(AND(D215="Congé sans solde",F215="Congé sans solde"),0.333333333333333,IF(OR(AND(D215="Congé sans solde",F215&lt;&gt;"Congé sans solde"),(AND(F215="Congé sans solde",D215&lt;&gt;"Congé sans solde"))),0.166666666666667,""))</f>
        <v/>
      </c>
      <c r="AD215" s="8" t="str">
        <f aca="false">IF(AND(D215="Congé spécial",F215="Congé spécial"),0.333333333333333,IF(OR(AND(D215="Congé spécial",F215&lt;&gt;"Congé spécial"),AND(F215="Congé spécial",D215&lt;&gt;"Congé spécial")),0.166666666666667,""))</f>
        <v/>
      </c>
      <c r="AE215" s="8" t="str">
        <f aca="false">IF(AND(D215="Férié",F215="Férié"),0.333333333333333,IF(OR(AND(D215="Férié",F215&lt;&gt;"Férié"),(AND(F215="Férié",D215&lt;&gt;"Férié"))),0.166666666666667,""))</f>
        <v/>
      </c>
      <c r="AF215" s="18"/>
      <c r="AG215" s="18"/>
    </row>
    <row r="216" customFormat="false" ht="15" hidden="false" customHeight="false" outlineLevel="0" collapsed="false">
      <c r="A216" s="6" t="str">
        <f aca="false">YEAR(Q216-WEEKDAY(Q216,2)+4)&amp;"-S"&amp;TEXT(WEEKNUM(Q216,21),"00")</f>
        <v>2026-S03</v>
      </c>
      <c r="B216" s="18" t="s">
        <v>72</v>
      </c>
      <c r="C216" s="19" t="n">
        <v>0.333333333333333</v>
      </c>
      <c r="D216" s="19" t="n">
        <v>0.333333333333333</v>
      </c>
      <c r="E216" s="19" t="n">
        <v>0.75</v>
      </c>
      <c r="F216" s="19" t="n">
        <v>0.75</v>
      </c>
      <c r="G216" s="20"/>
      <c r="H216" s="20"/>
      <c r="I216" s="8" t="str">
        <f aca="false">IF(IF(OR(C216="",D216="Congé",D216="OFF",D216="Congé spécial"),"",IF(D216&gt;F216,D216-C216,IF(C216-D216&lt;0,0,C216-D216)))&lt;0.00068287037037037,"",IF(OR(D216="Congé",D216="OFF",C216="",D216="Congé spécial"),"",IF(D216&gt;F216,D216-C216,IF(C216-D216&lt;0,0,C216-D216))))</f>
        <v/>
      </c>
      <c r="J216" s="20"/>
      <c r="K216" s="8" t="n">
        <f aca="false">IF(SUM(H216:J216)&lt;0.00068287037037037,0,SUM(H216:J216))</f>
        <v>0</v>
      </c>
      <c r="L216" s="8" t="n">
        <f aca="false">IF(OR(F216="Congé",F216="OFF",M216="Abs",F216="Congé sans solde",F216="Férié",F216="Congé spécial",D216="Congé spécial"),0,IF(F216-E216&lt;0,0,IF(F216-E216&lt;=0.00068287037037037,0,F216-E216)))</f>
        <v>0</v>
      </c>
      <c r="M216" s="6" t="n">
        <f aca="false">IF(AND(O216&lt;&gt;0,C216=""),"Abs",0)</f>
        <v>0</v>
      </c>
      <c r="N216" s="8" t="n">
        <f aca="false">IFERROR(IF(OR(D216="OFF",D216="Congé",M216="Abs",D216="Congé sans solde",D216="Férié"),"",IF(O216-K216-L216&gt;O216,O216,IF(O216-K216-L216&lt;0,"",O216-K216-L216))),"")</f>
        <v>0.375</v>
      </c>
      <c r="O216" s="8" t="n">
        <f aca="false">IF(AG216="2H Pause déjeuner",IF(F216-D216-0.0833333333333333&lt;0,F216-D216-0.0833333333333333+1,F216-D216-0.0833333333333333),IF(OR(AND(F216="OFF",D216="OFF"),AND(F216="Congé",D216="Congé"),AND(F216="Congé sans solde",D216="Congé sans solde"),AND(F216="Congé spécial",D216="Congé spécial"),AND(F216="Férié",D216="Férié"),AND(F216="OFF",D216="Congé"),AND(F216="OFF",D216="Congé sans solde"),AND(F216="OFF",D216="Congé spécial"),AND(F216="OFF",D216="Férié"),AND(F216="Congé",D216="OFF"),AND(F216="Congé",D216="Congé sans solde"),AND(F216="Congé",D216="Congé spécial"),AND(F216="Congé",D216="Férié"),AND(F216="Congé sans solde",D216="OFF"),AND(F216="Congé sans solde",D216="Congé"),AND(F216="Congé sans solde",D216="Congé spécial"),AND(F216="Congé sans solde",D216="Férié"),AND(F216="Congé spécial",D216="OFF"),AND(F216="Congé spécial",D216="Congé"),AND(F216="Congé spécial",D216="Congé sans solde"),AND(F216="Congé spécial",D216="Férié"),AND(F216="Férié",D216="OFF"),AND(F216="Férié",D216="Congé"),AND(F216="Férié",D216="Congé sans solde"),AND(F216="Férié",D216="Congé spécial")),0,IF(OR(F216="OFF",F216="Congé",F216="Congé spécial",F216="Congé sans solde",D216="OFF",D216="Congé",D216="Congé spécial",D216="Congé sans solde"),0.208333333333334,IF(AND(AG216="",F216-D216&lt;0),("24:00:00"-D216)+("00:00:00"+F216)-0.0416666666666667,IF(AND(OR(AG216="Allaitement",AG216="Sans déjeuner"),F216-D216&lt;0),("24:00:00"-D216)+("00:00:00"+F216),IF(AND(AG216="",F216-D216&gt;0.166666666666667),F216-D216-0.0416666666666667,IF(AND(OR(AG216="Allaitement",AG216="Sans déjeuner"),F216-D216&gt;0.166666666666667),F216-D216,F216-D216)))))))</f>
        <v>0.375</v>
      </c>
      <c r="P216" s="6" t="str">
        <f aca="false">IFERROR(VLOOKUP($B216,Agents!$A:$D,2,0),"-")</f>
        <v>Accessibilité</v>
      </c>
      <c r="Q216" s="21" t="n">
        <v>46035</v>
      </c>
      <c r="R216" s="8" t="n">
        <f aca="false">IF(M216="Abs",O216,0)</f>
        <v>0</v>
      </c>
      <c r="S216" s="8" t="n">
        <f aca="false">SUM(R216,L216,I216,J216,W216,H216)</f>
        <v>0</v>
      </c>
      <c r="T216" s="6" t="str">
        <f aca="false">"Sem - "&amp;WEEKNUM(Q216,21)</f>
        <v>Sem - 3</v>
      </c>
      <c r="U216" s="6" t="str">
        <f aca="false">CHOOSE(MONTH(Q216),"Janvier","Février","Mars","Avril","Mai","Juin","Juillet","Août","Septembre","Octobre","Novembre","Décembre")</f>
        <v>Janvier</v>
      </c>
      <c r="V216" s="22" t="n">
        <f aca="false">YEAR(Q216)</f>
        <v>2026</v>
      </c>
      <c r="W216" s="20"/>
      <c r="X216" s="8" t="n">
        <f aca="false">IFERROR(IF(M216="Abs",0,IF(ROUND((D216-C216+E216-F216)*1440,0)&lt;=1,0,D216-C216+E216-F216)),0)</f>
        <v>0</v>
      </c>
      <c r="Y216" s="6" t="str">
        <f aca="false">IFERROR(VLOOKUP($B216,Agents!$A:$D,3,0),"-")</f>
        <v>OUBRAHIM Mohammed</v>
      </c>
      <c r="Z216" s="6" t="str">
        <f aca="false">IFERROR(VLOOKUP($B216,Agents!$A:$D,4,0),"-")</f>
        <v>Credit Mutuel</v>
      </c>
      <c r="AA216" s="18" t="s">
        <v>84</v>
      </c>
      <c r="AB216" s="8" t="str">
        <f aca="false">IF(AND(D216="Congé",F216="Congé"),0.333333333333333,IF(OR(AND(D216="Congé",F216&lt;&gt;"Congé"),(AND(F216="Congé",D216&lt;&gt;"Congé"))),0.166666666666667,""))</f>
        <v/>
      </c>
      <c r="AC216" s="8" t="str">
        <f aca="false">IF(AND(D216="Congé sans solde",F216="Congé sans solde"),0.333333333333333,IF(OR(AND(D216="Congé sans solde",F216&lt;&gt;"Congé sans solde"),(AND(F216="Congé sans solde",D216&lt;&gt;"Congé sans solde"))),0.166666666666667,""))</f>
        <v/>
      </c>
      <c r="AD216" s="8" t="str">
        <f aca="false">IF(AND(D216="Congé spécial",F216="Congé spécial"),0.333333333333333,IF(OR(AND(D216="Congé spécial",F216&lt;&gt;"Congé spécial"),AND(F216="Congé spécial",D216&lt;&gt;"Congé spécial")),0.166666666666667,""))</f>
        <v/>
      </c>
      <c r="AE216" s="8" t="str">
        <f aca="false">IF(AND(D216="Férié",F216="Férié"),0.333333333333333,IF(OR(AND(D216="Férié",F216&lt;&gt;"Férié"),(AND(F216="Férié",D216&lt;&gt;"Férié"))),0.166666666666667,""))</f>
        <v/>
      </c>
      <c r="AF216" s="18"/>
      <c r="AG216" s="18"/>
    </row>
    <row r="217" customFormat="false" ht="15" hidden="false" customHeight="false" outlineLevel="0" collapsed="false">
      <c r="A217" s="6" t="str">
        <f aca="false">YEAR(Q217-WEEKDAY(Q217,2)+4)&amp;"-S"&amp;TEXT(WEEKNUM(Q217,21),"00")</f>
        <v>2026-S03</v>
      </c>
      <c r="B217" s="18" t="s">
        <v>73</v>
      </c>
      <c r="C217" s="19" t="n">
        <v>0.33125</v>
      </c>
      <c r="D217" s="19" t="n">
        <v>0.333333333333333</v>
      </c>
      <c r="E217" s="19" t="n">
        <v>0.75</v>
      </c>
      <c r="F217" s="19" t="n">
        <v>0.75</v>
      </c>
      <c r="G217" s="20"/>
      <c r="H217" s="20"/>
      <c r="I217" s="8" t="str">
        <f aca="false">IF(IF(OR(C217="",D217="Congé",D217="OFF",D217="Congé spécial"),"",IF(D217&gt;F217,D217-C217,IF(C217-D217&lt;0,0,C217-D217)))&lt;0.00068287037037037,"",IF(OR(D217="Congé",D217="OFF",C217="",D217="Congé spécial"),"",IF(D217&gt;F217,D217-C217,IF(C217-D217&lt;0,0,C217-D217))))</f>
        <v/>
      </c>
      <c r="J217" s="20"/>
      <c r="K217" s="8" t="n">
        <f aca="false">IF(SUM(H217:J217)&lt;0.00068287037037037,0,SUM(H217:J217))</f>
        <v>0</v>
      </c>
      <c r="L217" s="8" t="n">
        <f aca="false">IF(OR(F217="Congé",F217="OFF",M217="Abs",F217="Congé sans solde",F217="Férié",F217="Congé spécial",D217="Congé spécial"),0,IF(F217-E217&lt;0,0,IF(F217-E217&lt;=0.00068287037037037,0,F217-E217)))</f>
        <v>0</v>
      </c>
      <c r="M217" s="6" t="n">
        <f aca="false">IF(AND(O217&lt;&gt;0,C217=""),"Abs",0)</f>
        <v>0</v>
      </c>
      <c r="N217" s="8" t="n">
        <f aca="false">IFERROR(IF(OR(D217="OFF",D217="Congé",M217="Abs",D217="Congé sans solde",D217="Férié"),"",IF(O217-K217-L217&gt;O217,O217,IF(O217-K217-L217&lt;0,"",O217-K217-L217))),"")</f>
        <v>0.375</v>
      </c>
      <c r="O217" s="8" t="n">
        <f aca="false">IF(AG217="2H Pause déjeuner",IF(F217-D217-0.0833333333333333&lt;0,F217-D217-0.0833333333333333+1,F217-D217-0.0833333333333333),IF(OR(AND(F217="OFF",D217="OFF"),AND(F217="Congé",D217="Congé"),AND(F217="Congé sans solde",D217="Congé sans solde"),AND(F217="Congé spécial",D217="Congé spécial"),AND(F217="Férié",D217="Férié"),AND(F217="OFF",D217="Congé"),AND(F217="OFF",D217="Congé sans solde"),AND(F217="OFF",D217="Congé spécial"),AND(F217="OFF",D217="Férié"),AND(F217="Congé",D217="OFF"),AND(F217="Congé",D217="Congé sans solde"),AND(F217="Congé",D217="Congé spécial"),AND(F217="Congé",D217="Férié"),AND(F217="Congé sans solde",D217="OFF"),AND(F217="Congé sans solde",D217="Congé"),AND(F217="Congé sans solde",D217="Congé spécial"),AND(F217="Congé sans solde",D217="Férié"),AND(F217="Congé spécial",D217="OFF"),AND(F217="Congé spécial",D217="Congé"),AND(F217="Congé spécial",D217="Congé sans solde"),AND(F217="Congé spécial",D217="Férié"),AND(F217="Férié",D217="OFF"),AND(F217="Férié",D217="Congé"),AND(F217="Férié",D217="Congé sans solde"),AND(F217="Férié",D217="Congé spécial")),0,IF(OR(F217="OFF",F217="Congé",F217="Congé spécial",F217="Congé sans solde",D217="OFF",D217="Congé",D217="Congé spécial",D217="Congé sans solde"),0.208333333333334,IF(AND(AG217="",F217-D217&lt;0),("24:00:00"-D217)+("00:00:00"+F217)-0.0416666666666667,IF(AND(OR(AG217="Allaitement",AG217="Sans déjeuner"),F217-D217&lt;0),("24:00:00"-D217)+("00:00:00"+F217),IF(AND(AG217="",F217-D217&gt;0.166666666666667),F217-D217-0.0416666666666667,IF(AND(OR(AG217="Allaitement",AG217="Sans déjeuner"),F217-D217&gt;0.166666666666667),F217-D217,F217-D217)))))))</f>
        <v>0.375</v>
      </c>
      <c r="P217" s="6" t="str">
        <f aca="false">IFERROR(VLOOKUP($B217,Agents!$A:$D,2,0),"-")</f>
        <v>Accessibilité</v>
      </c>
      <c r="Q217" s="21" t="n">
        <v>46035</v>
      </c>
      <c r="R217" s="8" t="n">
        <f aca="false">IF(M217="Abs",O217,0)</f>
        <v>0</v>
      </c>
      <c r="S217" s="8" t="n">
        <f aca="false">SUM(R217,L217,I217,J217,W217,H217)</f>
        <v>0</v>
      </c>
      <c r="T217" s="6" t="str">
        <f aca="false">"Sem - "&amp;WEEKNUM(Q217,21)</f>
        <v>Sem - 3</v>
      </c>
      <c r="U217" s="6" t="str">
        <f aca="false">CHOOSE(MONTH(Q217),"Janvier","Février","Mars","Avril","Mai","Juin","Juillet","Août","Septembre","Octobre","Novembre","Décembre")</f>
        <v>Janvier</v>
      </c>
      <c r="V217" s="22" t="n">
        <f aca="false">YEAR(Q217)</f>
        <v>2026</v>
      </c>
      <c r="W217" s="20"/>
      <c r="X217" s="8" t="n">
        <f aca="false">IFERROR(IF(M217="Abs",0,IF(ROUND((D217-C217+E217-F217)*1440,0)&lt;=1,0,D217-C217+E217-F217)),0)</f>
        <v>0.00208333333333333</v>
      </c>
      <c r="Y217" s="6" t="str">
        <f aca="false">IFERROR(VLOOKUP($B217,Agents!$A:$D,3,0),"-")</f>
        <v>OUBRAHIM Mohammed</v>
      </c>
      <c r="Z217" s="6" t="str">
        <f aca="false">IFERROR(VLOOKUP($B217,Agents!$A:$D,4,0),"-")</f>
        <v>Credit Mutuel</v>
      </c>
      <c r="AA217" s="18" t="s">
        <v>84</v>
      </c>
      <c r="AB217" s="8" t="str">
        <f aca="false">IF(AND(D217="Congé",F217="Congé"),0.333333333333333,IF(OR(AND(D217="Congé",F217&lt;&gt;"Congé"),(AND(F217="Congé",D217&lt;&gt;"Congé"))),0.166666666666667,""))</f>
        <v/>
      </c>
      <c r="AC217" s="8" t="str">
        <f aca="false">IF(AND(D217="Congé sans solde",F217="Congé sans solde"),0.333333333333333,IF(OR(AND(D217="Congé sans solde",F217&lt;&gt;"Congé sans solde"),(AND(F217="Congé sans solde",D217&lt;&gt;"Congé sans solde"))),0.166666666666667,""))</f>
        <v/>
      </c>
      <c r="AD217" s="8" t="str">
        <f aca="false">IF(AND(D217="Congé spécial",F217="Congé spécial"),0.333333333333333,IF(OR(AND(D217="Congé spécial",F217&lt;&gt;"Congé spécial"),AND(F217="Congé spécial",D217&lt;&gt;"Congé spécial")),0.166666666666667,""))</f>
        <v/>
      </c>
      <c r="AE217" s="8" t="str">
        <f aca="false">IF(AND(D217="Férié",F217="Férié"),0.333333333333333,IF(OR(AND(D217="Férié",F217&lt;&gt;"Férié"),(AND(F217="Férié",D217&lt;&gt;"Férié"))),0.166666666666667,""))</f>
        <v/>
      </c>
      <c r="AF217" s="18"/>
      <c r="AG217" s="18"/>
    </row>
    <row r="218" customFormat="false" ht="15" hidden="false" customHeight="false" outlineLevel="0" collapsed="false">
      <c r="A218" s="6" t="str">
        <f aca="false">YEAR(Q218-WEEKDAY(Q218,2)+4)&amp;"-S"&amp;TEXT(WEEKNUM(Q218,21),"00")</f>
        <v>2026-S03</v>
      </c>
      <c r="B218" s="18" t="s">
        <v>69</v>
      </c>
      <c r="C218" s="19" t="n">
        <v>0.333333333333333</v>
      </c>
      <c r="D218" s="19" t="n">
        <v>0.333333333333333</v>
      </c>
      <c r="E218" s="19" t="n">
        <v>0.75</v>
      </c>
      <c r="F218" s="19" t="n">
        <v>0.75</v>
      </c>
      <c r="G218" s="20"/>
      <c r="H218" s="20"/>
      <c r="I218" s="8" t="str">
        <f aca="false">IF(IF(OR(C218="",D218="Congé",D218="OFF",D218="Congé spécial"),"",IF(D218&gt;F218,D218-C218,IF(C218-D218&lt;0,0,C218-D218)))&lt;0.00068287037037037,"",IF(OR(D218="Congé",D218="OFF",C218="",D218="Congé spécial"),"",IF(D218&gt;F218,D218-C218,IF(C218-D218&lt;0,0,C218-D218))))</f>
        <v/>
      </c>
      <c r="J218" s="20"/>
      <c r="K218" s="8" t="n">
        <f aca="false">IF(SUM(H218:J218)&lt;0.00068287037037037,0,SUM(H218:J218))</f>
        <v>0</v>
      </c>
      <c r="L218" s="8" t="n">
        <f aca="false">IF(OR(F218="Congé",F218="OFF",M218="Abs",F218="Congé sans solde",F218="Férié",F218="Congé spécial",D218="Congé spécial"),0,IF(F218-E218&lt;0,0,IF(F218-E218&lt;=0.00068287037037037,0,F218-E218)))</f>
        <v>0</v>
      </c>
      <c r="M218" s="6" t="n">
        <f aca="false">IF(AND(O218&lt;&gt;0,C218=""),"Abs",0)</f>
        <v>0</v>
      </c>
      <c r="N218" s="8" t="n">
        <f aca="false">IFERROR(IF(OR(D218="OFF",D218="Congé",M218="Abs",D218="Congé sans solde",D218="Férié"),"",IF(O218-K218-L218&gt;O218,O218,IF(O218-K218-L218&lt;0,"",O218-K218-L218))),"")</f>
        <v>0.375</v>
      </c>
      <c r="O218" s="8" t="n">
        <f aca="false">IF(AG218="2H Pause déjeuner",IF(F218-D218-0.0833333333333333&lt;0,F218-D218-0.0833333333333333+1,F218-D218-0.0833333333333333),IF(OR(AND(F218="OFF",D218="OFF"),AND(F218="Congé",D218="Congé"),AND(F218="Congé sans solde",D218="Congé sans solde"),AND(F218="Congé spécial",D218="Congé spécial"),AND(F218="Férié",D218="Férié"),AND(F218="OFF",D218="Congé"),AND(F218="OFF",D218="Congé sans solde"),AND(F218="OFF",D218="Congé spécial"),AND(F218="OFF",D218="Férié"),AND(F218="Congé",D218="OFF"),AND(F218="Congé",D218="Congé sans solde"),AND(F218="Congé",D218="Congé spécial"),AND(F218="Congé",D218="Férié"),AND(F218="Congé sans solde",D218="OFF"),AND(F218="Congé sans solde",D218="Congé"),AND(F218="Congé sans solde",D218="Congé spécial"),AND(F218="Congé sans solde",D218="Férié"),AND(F218="Congé spécial",D218="OFF"),AND(F218="Congé spécial",D218="Congé"),AND(F218="Congé spécial",D218="Congé sans solde"),AND(F218="Congé spécial",D218="Férié"),AND(F218="Férié",D218="OFF"),AND(F218="Férié",D218="Congé"),AND(F218="Férié",D218="Congé sans solde"),AND(F218="Férié",D218="Congé spécial")),0,IF(OR(F218="OFF",F218="Congé",F218="Congé spécial",F218="Congé sans solde",D218="OFF",D218="Congé",D218="Congé spécial",D218="Congé sans solde"),0.208333333333334,IF(AND(AG218="",F218-D218&lt;0),("24:00:00"-D218)+("00:00:00"+F218)-0.0416666666666667,IF(AND(OR(AG218="Allaitement",AG218="Sans déjeuner"),F218-D218&lt;0),("24:00:00"-D218)+("00:00:00"+F218),IF(AND(AG218="",F218-D218&gt;0.166666666666667),F218-D218-0.0416666666666667,IF(AND(OR(AG218="Allaitement",AG218="Sans déjeuner"),F218-D218&gt;0.166666666666667),F218-D218,F218-D218)))))))</f>
        <v>0.375</v>
      </c>
      <c r="P218" s="6" t="str">
        <f aca="false">IFERROR(VLOOKUP($B218,Agents!$A:$D,2,0),"-")</f>
        <v>Accessibilité</v>
      </c>
      <c r="Q218" s="21" t="n">
        <v>46036</v>
      </c>
      <c r="R218" s="8" t="n">
        <f aca="false">IF(M218="Abs",O218,0)</f>
        <v>0</v>
      </c>
      <c r="S218" s="8" t="n">
        <f aca="false">SUM(R218,L218,I218,J218,W218,H218)</f>
        <v>0</v>
      </c>
      <c r="T218" s="6" t="str">
        <f aca="false">"Sem - "&amp;WEEKNUM(Q218,21)</f>
        <v>Sem - 3</v>
      </c>
      <c r="U218" s="6" t="str">
        <f aca="false">CHOOSE(MONTH(Q218),"Janvier","Février","Mars","Avril","Mai","Juin","Juillet","Août","Septembre","Octobre","Novembre","Décembre")</f>
        <v>Janvier</v>
      </c>
      <c r="V218" s="22" t="n">
        <f aca="false">YEAR(Q218)</f>
        <v>2026</v>
      </c>
      <c r="W218" s="20"/>
      <c r="X218" s="8" t="n">
        <f aca="false">IFERROR(IF(M218="Abs",0,IF(ROUND((D218-C218+E218-F218)*1440,0)&lt;=1,0,D218-C218+E218-F218)),0)</f>
        <v>0</v>
      </c>
      <c r="Y218" s="6" t="str">
        <f aca="false">IFERROR(VLOOKUP($B218,Agents!$A:$D,3,0),"-")</f>
        <v>OUBRAHIM Mohammed</v>
      </c>
      <c r="Z218" s="6" t="str">
        <f aca="false">IFERROR(VLOOKUP($B218,Agents!$A:$D,4,0),"-")</f>
        <v>Credit Mutuel</v>
      </c>
      <c r="AA218" s="18" t="s">
        <v>84</v>
      </c>
      <c r="AB218" s="8" t="str">
        <f aca="false">IF(AND(D218="Congé",F218="Congé"),0.333333333333333,IF(OR(AND(D218="Congé",F218&lt;&gt;"Congé"),(AND(F218="Congé",D218&lt;&gt;"Congé"))),0.166666666666667,""))</f>
        <v/>
      </c>
      <c r="AC218" s="8" t="str">
        <f aca="false">IF(AND(D218="Congé sans solde",F218="Congé sans solde"),0.333333333333333,IF(OR(AND(D218="Congé sans solde",F218&lt;&gt;"Congé sans solde"),(AND(F218="Congé sans solde",D218&lt;&gt;"Congé sans solde"))),0.166666666666667,""))</f>
        <v/>
      </c>
      <c r="AD218" s="8" t="str">
        <f aca="false">IF(AND(D218="Congé spécial",F218="Congé spécial"),0.333333333333333,IF(OR(AND(D218="Congé spécial",F218&lt;&gt;"Congé spécial"),AND(F218="Congé spécial",D218&lt;&gt;"Congé spécial")),0.166666666666667,""))</f>
        <v/>
      </c>
      <c r="AE218" s="8" t="str">
        <f aca="false">IF(AND(D218="Férié",F218="Férié"),0.333333333333333,IF(OR(AND(D218="Férié",F218&lt;&gt;"Férié"),(AND(F218="Férié",D218&lt;&gt;"Férié"))),0.166666666666667,""))</f>
        <v/>
      </c>
      <c r="AF218" s="18"/>
      <c r="AG218" s="18"/>
    </row>
    <row r="219" customFormat="false" ht="15" hidden="false" customHeight="false" outlineLevel="0" collapsed="false">
      <c r="A219" s="6" t="str">
        <f aca="false">YEAR(Q219-WEEKDAY(Q219,2)+4)&amp;"-S"&amp;TEXT(WEEKNUM(Q219,21),"00")</f>
        <v>2026-S03</v>
      </c>
      <c r="B219" s="18" t="s">
        <v>71</v>
      </c>
      <c r="C219" s="19" t="n">
        <v>0.333333333333333</v>
      </c>
      <c r="D219" s="19" t="n">
        <v>0.333333333333333</v>
      </c>
      <c r="E219" s="19" t="n">
        <v>0.75</v>
      </c>
      <c r="F219" s="19" t="n">
        <v>0.75</v>
      </c>
      <c r="G219" s="20"/>
      <c r="H219" s="20"/>
      <c r="I219" s="8" t="str">
        <f aca="false">IF(IF(OR(C219="",D219="Congé",D219="OFF",D219="Congé spécial"),"",IF(D219&gt;F219,D219-C219,IF(C219-D219&lt;0,0,C219-D219)))&lt;0.00068287037037037,"",IF(OR(D219="Congé",D219="OFF",C219="",D219="Congé spécial"),"",IF(D219&gt;F219,D219-C219,IF(C219-D219&lt;0,0,C219-D219))))</f>
        <v/>
      </c>
      <c r="J219" s="20"/>
      <c r="K219" s="8" t="n">
        <f aca="false">IF(SUM(H219:J219)&lt;0.00068287037037037,0,SUM(H219:J219))</f>
        <v>0</v>
      </c>
      <c r="L219" s="8" t="n">
        <f aca="false">IF(OR(F219="Congé",F219="OFF",M219="Abs",F219="Congé sans solde",F219="Férié",F219="Congé spécial",D219="Congé spécial"),0,IF(F219-E219&lt;0,0,IF(F219-E219&lt;=0.00068287037037037,0,F219-E219)))</f>
        <v>0</v>
      </c>
      <c r="M219" s="6" t="n">
        <f aca="false">IF(AND(O219&lt;&gt;0,C219=""),"Abs",0)</f>
        <v>0</v>
      </c>
      <c r="N219" s="8" t="n">
        <f aca="false">IFERROR(IF(OR(D219="OFF",D219="Congé",M219="Abs",D219="Congé sans solde",D219="Férié"),"",IF(O219-K219-L219&gt;O219,O219,IF(O219-K219-L219&lt;0,"",O219-K219-L219))),"")</f>
        <v>0.375</v>
      </c>
      <c r="O219" s="8" t="n">
        <f aca="false">IF(AG219="2H Pause déjeuner",IF(F219-D219-0.0833333333333333&lt;0,F219-D219-0.0833333333333333+1,F219-D219-0.0833333333333333),IF(OR(AND(F219="OFF",D219="OFF"),AND(F219="Congé",D219="Congé"),AND(F219="Congé sans solde",D219="Congé sans solde"),AND(F219="Congé spécial",D219="Congé spécial"),AND(F219="Férié",D219="Férié"),AND(F219="OFF",D219="Congé"),AND(F219="OFF",D219="Congé sans solde"),AND(F219="OFF",D219="Congé spécial"),AND(F219="OFF",D219="Férié"),AND(F219="Congé",D219="OFF"),AND(F219="Congé",D219="Congé sans solde"),AND(F219="Congé",D219="Congé spécial"),AND(F219="Congé",D219="Férié"),AND(F219="Congé sans solde",D219="OFF"),AND(F219="Congé sans solde",D219="Congé"),AND(F219="Congé sans solde",D219="Congé spécial"),AND(F219="Congé sans solde",D219="Férié"),AND(F219="Congé spécial",D219="OFF"),AND(F219="Congé spécial",D219="Congé"),AND(F219="Congé spécial",D219="Congé sans solde"),AND(F219="Congé spécial",D219="Férié"),AND(F219="Férié",D219="OFF"),AND(F219="Férié",D219="Congé"),AND(F219="Férié",D219="Congé sans solde"),AND(F219="Férié",D219="Congé spécial")),0,IF(OR(F219="OFF",F219="Congé",F219="Congé spécial",F219="Congé sans solde",D219="OFF",D219="Congé",D219="Congé spécial",D219="Congé sans solde"),0.208333333333334,IF(AND(AG219="",F219-D219&lt;0),("24:00:00"-D219)+("00:00:00"+F219)-0.0416666666666667,IF(AND(OR(AG219="Allaitement",AG219="Sans déjeuner"),F219-D219&lt;0),("24:00:00"-D219)+("00:00:00"+F219),IF(AND(AG219="",F219-D219&gt;0.166666666666667),F219-D219-0.0416666666666667,IF(AND(OR(AG219="Allaitement",AG219="Sans déjeuner"),F219-D219&gt;0.166666666666667),F219-D219,F219-D219)))))))</f>
        <v>0.375</v>
      </c>
      <c r="P219" s="6" t="str">
        <f aca="false">IFERROR(VLOOKUP($B219,Agents!$A:$D,2,0),"-")</f>
        <v>Accessibilité</v>
      </c>
      <c r="Q219" s="21" t="n">
        <v>46036</v>
      </c>
      <c r="R219" s="8" t="n">
        <f aca="false">IF(M219="Abs",O219,0)</f>
        <v>0</v>
      </c>
      <c r="S219" s="8" t="n">
        <f aca="false">SUM(R219,L219,I219,J219,W219,H219)</f>
        <v>0</v>
      </c>
      <c r="T219" s="6" t="str">
        <f aca="false">"Sem - "&amp;WEEKNUM(Q219,21)</f>
        <v>Sem - 3</v>
      </c>
      <c r="U219" s="6" t="str">
        <f aca="false">CHOOSE(MONTH(Q219),"Janvier","Février","Mars","Avril","Mai","Juin","Juillet","Août","Septembre","Octobre","Novembre","Décembre")</f>
        <v>Janvier</v>
      </c>
      <c r="V219" s="22" t="n">
        <f aca="false">YEAR(Q219)</f>
        <v>2026</v>
      </c>
      <c r="W219" s="20"/>
      <c r="X219" s="8" t="n">
        <f aca="false">IFERROR(IF(M219="Abs",0,IF(ROUND((D219-C219+E219-F219)*1440,0)&lt;=1,0,D219-C219+E219-F219)),0)</f>
        <v>0</v>
      </c>
      <c r="Y219" s="6" t="str">
        <f aca="false">IFERROR(VLOOKUP($B219,Agents!$A:$D,3,0),"-")</f>
        <v>OUBRAHIM Mohammed</v>
      </c>
      <c r="Z219" s="6" t="str">
        <f aca="false">IFERROR(VLOOKUP($B219,Agents!$A:$D,4,0),"-")</f>
        <v>Credit Mutuel</v>
      </c>
      <c r="AA219" s="18" t="s">
        <v>84</v>
      </c>
      <c r="AB219" s="8" t="str">
        <f aca="false">IF(AND(D219="Congé",F219="Congé"),0.333333333333333,IF(OR(AND(D219="Congé",F219&lt;&gt;"Congé"),(AND(F219="Congé",D219&lt;&gt;"Congé"))),0.166666666666667,""))</f>
        <v/>
      </c>
      <c r="AC219" s="8" t="str">
        <f aca="false">IF(AND(D219="Congé sans solde",F219="Congé sans solde"),0.333333333333333,IF(OR(AND(D219="Congé sans solde",F219&lt;&gt;"Congé sans solde"),(AND(F219="Congé sans solde",D219&lt;&gt;"Congé sans solde"))),0.166666666666667,""))</f>
        <v/>
      </c>
      <c r="AD219" s="8" t="str">
        <f aca="false">IF(AND(D219="Congé spécial",F219="Congé spécial"),0.333333333333333,IF(OR(AND(D219="Congé spécial",F219&lt;&gt;"Congé spécial"),AND(F219="Congé spécial",D219&lt;&gt;"Congé spécial")),0.166666666666667,""))</f>
        <v/>
      </c>
      <c r="AE219" s="8" t="str">
        <f aca="false">IF(AND(D219="Férié",F219="Férié"),0.333333333333333,IF(OR(AND(D219="Férié",F219&lt;&gt;"Férié"),(AND(F219="Férié",D219&lt;&gt;"Férié"))),0.166666666666667,""))</f>
        <v/>
      </c>
      <c r="AF219" s="18"/>
      <c r="AG219" s="18"/>
    </row>
    <row r="220" customFormat="false" ht="15" hidden="false" customHeight="false" outlineLevel="0" collapsed="false">
      <c r="A220" s="6" t="str">
        <f aca="false">YEAR(Q220-WEEKDAY(Q220,2)+4)&amp;"-S"&amp;TEXT(WEEKNUM(Q220,21),"00")</f>
        <v>2026-S03</v>
      </c>
      <c r="B220" s="18" t="s">
        <v>72</v>
      </c>
      <c r="C220" s="19" t="n">
        <v>0.333333333333333</v>
      </c>
      <c r="D220" s="19" t="n">
        <v>0.333333333333333</v>
      </c>
      <c r="E220" s="19" t="n">
        <v>0.75</v>
      </c>
      <c r="F220" s="19" t="n">
        <v>0.75</v>
      </c>
      <c r="G220" s="20"/>
      <c r="H220" s="20"/>
      <c r="I220" s="8" t="str">
        <f aca="false">IF(IF(OR(C220="",D220="Congé",D220="OFF",D220="Congé spécial"),"",IF(D220&gt;F220,D220-C220,IF(C220-D220&lt;0,0,C220-D220)))&lt;0.00068287037037037,"",IF(OR(D220="Congé",D220="OFF",C220="",D220="Congé spécial"),"",IF(D220&gt;F220,D220-C220,IF(C220-D220&lt;0,0,C220-D220))))</f>
        <v/>
      </c>
      <c r="J220" s="20"/>
      <c r="K220" s="8" t="n">
        <f aca="false">IF(SUM(H220:J220)&lt;0.00068287037037037,0,SUM(H220:J220))</f>
        <v>0</v>
      </c>
      <c r="L220" s="8" t="n">
        <f aca="false">IF(OR(F220="Congé",F220="OFF",M220="Abs",F220="Congé sans solde",F220="Férié",F220="Congé spécial",D220="Congé spécial"),0,IF(F220-E220&lt;0,0,IF(F220-E220&lt;=0.00068287037037037,0,F220-E220)))</f>
        <v>0</v>
      </c>
      <c r="M220" s="6" t="n">
        <f aca="false">IF(AND(O220&lt;&gt;0,C220=""),"Abs",0)</f>
        <v>0</v>
      </c>
      <c r="N220" s="8" t="n">
        <f aca="false">IFERROR(IF(OR(D220="OFF",D220="Congé",M220="Abs",D220="Congé sans solde",D220="Férié"),"",IF(O220-K220-L220&gt;O220,O220,IF(O220-K220-L220&lt;0,"",O220-K220-L220))),"")</f>
        <v>0.375</v>
      </c>
      <c r="O220" s="8" t="n">
        <f aca="false">IF(AG220="2H Pause déjeuner",IF(F220-D220-0.0833333333333333&lt;0,F220-D220-0.0833333333333333+1,F220-D220-0.0833333333333333),IF(OR(AND(F220="OFF",D220="OFF"),AND(F220="Congé",D220="Congé"),AND(F220="Congé sans solde",D220="Congé sans solde"),AND(F220="Congé spécial",D220="Congé spécial"),AND(F220="Férié",D220="Férié"),AND(F220="OFF",D220="Congé"),AND(F220="OFF",D220="Congé sans solde"),AND(F220="OFF",D220="Congé spécial"),AND(F220="OFF",D220="Férié"),AND(F220="Congé",D220="OFF"),AND(F220="Congé",D220="Congé sans solde"),AND(F220="Congé",D220="Congé spécial"),AND(F220="Congé",D220="Férié"),AND(F220="Congé sans solde",D220="OFF"),AND(F220="Congé sans solde",D220="Congé"),AND(F220="Congé sans solde",D220="Congé spécial"),AND(F220="Congé sans solde",D220="Férié"),AND(F220="Congé spécial",D220="OFF"),AND(F220="Congé spécial",D220="Congé"),AND(F220="Congé spécial",D220="Congé sans solde"),AND(F220="Congé spécial",D220="Férié"),AND(F220="Férié",D220="OFF"),AND(F220="Férié",D220="Congé"),AND(F220="Férié",D220="Congé sans solde"),AND(F220="Férié",D220="Congé spécial")),0,IF(OR(F220="OFF",F220="Congé",F220="Congé spécial",F220="Congé sans solde",D220="OFF",D220="Congé",D220="Congé spécial",D220="Congé sans solde"),0.208333333333334,IF(AND(AG220="",F220-D220&lt;0),("24:00:00"-D220)+("00:00:00"+F220)-0.0416666666666667,IF(AND(OR(AG220="Allaitement",AG220="Sans déjeuner"),F220-D220&lt;0),("24:00:00"-D220)+("00:00:00"+F220),IF(AND(AG220="",F220-D220&gt;0.166666666666667),F220-D220-0.0416666666666667,IF(AND(OR(AG220="Allaitement",AG220="Sans déjeuner"),F220-D220&gt;0.166666666666667),F220-D220,F220-D220)))))))</f>
        <v>0.375</v>
      </c>
      <c r="P220" s="6" t="str">
        <f aca="false">IFERROR(VLOOKUP($B220,Agents!$A:$D,2,0),"-")</f>
        <v>Accessibilité</v>
      </c>
      <c r="Q220" s="21" t="n">
        <v>46036</v>
      </c>
      <c r="R220" s="8" t="n">
        <f aca="false">IF(M220="Abs",O220,0)</f>
        <v>0</v>
      </c>
      <c r="S220" s="8" t="n">
        <f aca="false">SUM(R220,L220,I220,J220,W220,H220)</f>
        <v>0</v>
      </c>
      <c r="T220" s="6" t="str">
        <f aca="false">"Sem - "&amp;WEEKNUM(Q220,21)</f>
        <v>Sem - 3</v>
      </c>
      <c r="U220" s="6" t="str">
        <f aca="false">CHOOSE(MONTH(Q220),"Janvier","Février","Mars","Avril","Mai","Juin","Juillet","Août","Septembre","Octobre","Novembre","Décembre")</f>
        <v>Janvier</v>
      </c>
      <c r="V220" s="22" t="n">
        <f aca="false">YEAR(Q220)</f>
        <v>2026</v>
      </c>
      <c r="W220" s="20"/>
      <c r="X220" s="8" t="n">
        <f aca="false">IFERROR(IF(M220="Abs",0,IF(ROUND((D220-C220+E220-F220)*1440,0)&lt;=1,0,D220-C220+E220-F220)),0)</f>
        <v>0</v>
      </c>
      <c r="Y220" s="6" t="str">
        <f aca="false">IFERROR(VLOOKUP($B220,Agents!$A:$D,3,0),"-")</f>
        <v>OUBRAHIM Mohammed</v>
      </c>
      <c r="Z220" s="6" t="str">
        <f aca="false">IFERROR(VLOOKUP($B220,Agents!$A:$D,4,0),"-")</f>
        <v>Credit Mutuel</v>
      </c>
      <c r="AA220" s="18" t="s">
        <v>84</v>
      </c>
      <c r="AB220" s="8" t="str">
        <f aca="false">IF(AND(D220="Congé",F220="Congé"),0.333333333333333,IF(OR(AND(D220="Congé",F220&lt;&gt;"Congé"),(AND(F220="Congé",D220&lt;&gt;"Congé"))),0.166666666666667,""))</f>
        <v/>
      </c>
      <c r="AC220" s="8" t="str">
        <f aca="false">IF(AND(D220="Congé sans solde",F220="Congé sans solde"),0.333333333333333,IF(OR(AND(D220="Congé sans solde",F220&lt;&gt;"Congé sans solde"),(AND(F220="Congé sans solde",D220&lt;&gt;"Congé sans solde"))),0.166666666666667,""))</f>
        <v/>
      </c>
      <c r="AD220" s="8" t="str">
        <f aca="false">IF(AND(D220="Congé spécial",F220="Congé spécial"),0.333333333333333,IF(OR(AND(D220="Congé spécial",F220&lt;&gt;"Congé spécial"),AND(F220="Congé spécial",D220&lt;&gt;"Congé spécial")),0.166666666666667,""))</f>
        <v/>
      </c>
      <c r="AE220" s="8" t="str">
        <f aca="false">IF(AND(D220="Férié",F220="Férié"),0.333333333333333,IF(OR(AND(D220="Férié",F220&lt;&gt;"Férié"),(AND(F220="Férié",D220&lt;&gt;"Férié"))),0.166666666666667,""))</f>
        <v/>
      </c>
      <c r="AF220" s="18"/>
      <c r="AG220" s="18"/>
    </row>
    <row r="221" customFormat="false" ht="15" hidden="false" customHeight="false" outlineLevel="0" collapsed="false">
      <c r="A221" s="6" t="str">
        <f aca="false">YEAR(Q221-WEEKDAY(Q221,2)+4)&amp;"-S"&amp;TEXT(WEEKNUM(Q221,21),"00")</f>
        <v>2026-S03</v>
      </c>
      <c r="B221" s="18" t="s">
        <v>73</v>
      </c>
      <c r="C221" s="19" t="n">
        <v>0.333333333333333</v>
      </c>
      <c r="D221" s="19" t="n">
        <v>0.333333333333333</v>
      </c>
      <c r="E221" s="19" t="n">
        <v>0.75</v>
      </c>
      <c r="F221" s="19" t="n">
        <v>0.75</v>
      </c>
      <c r="G221" s="20"/>
      <c r="H221" s="20"/>
      <c r="I221" s="8" t="str">
        <f aca="false">IF(IF(OR(C221="",D221="Congé",D221="OFF",D221="Congé spécial"),"",IF(D221&gt;F221,D221-C221,IF(C221-D221&lt;0,0,C221-D221)))&lt;0.00068287037037037,"",IF(OR(D221="Congé",D221="OFF",C221="",D221="Congé spécial"),"",IF(D221&gt;F221,D221-C221,IF(C221-D221&lt;0,0,C221-D221))))</f>
        <v/>
      </c>
      <c r="J221" s="20"/>
      <c r="K221" s="8" t="n">
        <f aca="false">IF(SUM(H221:J221)&lt;0.00068287037037037,0,SUM(H221:J221))</f>
        <v>0</v>
      </c>
      <c r="L221" s="8" t="n">
        <f aca="false">IF(OR(F221="Congé",F221="OFF",M221="Abs",F221="Congé sans solde",F221="Férié",F221="Congé spécial",D221="Congé spécial"),0,IF(F221-E221&lt;0,0,IF(F221-E221&lt;=0.00068287037037037,0,F221-E221)))</f>
        <v>0</v>
      </c>
      <c r="M221" s="6" t="n">
        <f aca="false">IF(AND(O221&lt;&gt;0,C221=""),"Abs",0)</f>
        <v>0</v>
      </c>
      <c r="N221" s="8" t="n">
        <f aca="false">IFERROR(IF(OR(D221="OFF",D221="Congé",M221="Abs",D221="Congé sans solde",D221="Férié"),"",IF(O221-K221-L221&gt;O221,O221,IF(O221-K221-L221&lt;0,"",O221-K221-L221))),"")</f>
        <v>0.375</v>
      </c>
      <c r="O221" s="8" t="n">
        <f aca="false">IF(AG221="2H Pause déjeuner",IF(F221-D221-0.0833333333333333&lt;0,F221-D221-0.0833333333333333+1,F221-D221-0.0833333333333333),IF(OR(AND(F221="OFF",D221="OFF"),AND(F221="Congé",D221="Congé"),AND(F221="Congé sans solde",D221="Congé sans solde"),AND(F221="Congé spécial",D221="Congé spécial"),AND(F221="Férié",D221="Férié"),AND(F221="OFF",D221="Congé"),AND(F221="OFF",D221="Congé sans solde"),AND(F221="OFF",D221="Congé spécial"),AND(F221="OFF",D221="Férié"),AND(F221="Congé",D221="OFF"),AND(F221="Congé",D221="Congé sans solde"),AND(F221="Congé",D221="Congé spécial"),AND(F221="Congé",D221="Férié"),AND(F221="Congé sans solde",D221="OFF"),AND(F221="Congé sans solde",D221="Congé"),AND(F221="Congé sans solde",D221="Congé spécial"),AND(F221="Congé sans solde",D221="Férié"),AND(F221="Congé spécial",D221="OFF"),AND(F221="Congé spécial",D221="Congé"),AND(F221="Congé spécial",D221="Congé sans solde"),AND(F221="Congé spécial",D221="Férié"),AND(F221="Férié",D221="OFF"),AND(F221="Férié",D221="Congé"),AND(F221="Férié",D221="Congé sans solde"),AND(F221="Férié",D221="Congé spécial")),0,IF(OR(F221="OFF",F221="Congé",F221="Congé spécial",F221="Congé sans solde",D221="OFF",D221="Congé",D221="Congé spécial",D221="Congé sans solde"),0.208333333333334,IF(AND(AG221="",F221-D221&lt;0),("24:00:00"-D221)+("00:00:00"+F221)-0.0416666666666667,IF(AND(OR(AG221="Allaitement",AG221="Sans déjeuner"),F221-D221&lt;0),("24:00:00"-D221)+("00:00:00"+F221),IF(AND(AG221="",F221-D221&gt;0.166666666666667),F221-D221-0.0416666666666667,IF(AND(OR(AG221="Allaitement",AG221="Sans déjeuner"),F221-D221&gt;0.166666666666667),F221-D221,F221-D221)))))))</f>
        <v>0.375</v>
      </c>
      <c r="P221" s="6" t="str">
        <f aca="false">IFERROR(VLOOKUP($B221,Agents!$A:$D,2,0),"-")</f>
        <v>Accessibilité</v>
      </c>
      <c r="Q221" s="21" t="n">
        <v>46036</v>
      </c>
      <c r="R221" s="8" t="n">
        <f aca="false">IF(M221="Abs",O221,0)</f>
        <v>0</v>
      </c>
      <c r="S221" s="8" t="n">
        <f aca="false">SUM(R221,L221,I221,J221,W221,H221)</f>
        <v>0</v>
      </c>
      <c r="T221" s="6" t="str">
        <f aca="false">"Sem - "&amp;WEEKNUM(Q221,21)</f>
        <v>Sem - 3</v>
      </c>
      <c r="U221" s="6" t="str">
        <f aca="false">CHOOSE(MONTH(Q221),"Janvier","Février","Mars","Avril","Mai","Juin","Juillet","Août","Septembre","Octobre","Novembre","Décembre")</f>
        <v>Janvier</v>
      </c>
      <c r="V221" s="22" t="n">
        <f aca="false">YEAR(Q221)</f>
        <v>2026</v>
      </c>
      <c r="W221" s="20"/>
      <c r="X221" s="8" t="n">
        <f aca="false">IFERROR(IF(M221="Abs",0,IF(ROUND((D221-C221+E221-F221)*1440,0)&lt;=1,0,D221-C221+E221-F221)),0)</f>
        <v>0</v>
      </c>
      <c r="Y221" s="6" t="str">
        <f aca="false">IFERROR(VLOOKUP($B221,Agents!$A:$D,3,0),"-")</f>
        <v>OUBRAHIM Mohammed</v>
      </c>
      <c r="Z221" s="6" t="str">
        <f aca="false">IFERROR(VLOOKUP($B221,Agents!$A:$D,4,0),"-")</f>
        <v>Credit Mutuel</v>
      </c>
      <c r="AA221" s="18" t="s">
        <v>84</v>
      </c>
      <c r="AB221" s="8" t="str">
        <f aca="false">IF(AND(D221="Congé",F221="Congé"),0.333333333333333,IF(OR(AND(D221="Congé",F221&lt;&gt;"Congé"),(AND(F221="Congé",D221&lt;&gt;"Congé"))),0.166666666666667,""))</f>
        <v/>
      </c>
      <c r="AC221" s="8" t="str">
        <f aca="false">IF(AND(D221="Congé sans solde",F221="Congé sans solde"),0.333333333333333,IF(OR(AND(D221="Congé sans solde",F221&lt;&gt;"Congé sans solde"),(AND(F221="Congé sans solde",D221&lt;&gt;"Congé sans solde"))),0.166666666666667,""))</f>
        <v/>
      </c>
      <c r="AD221" s="8" t="str">
        <f aca="false">IF(AND(D221="Congé spécial",F221="Congé spécial"),0.333333333333333,IF(OR(AND(D221="Congé spécial",F221&lt;&gt;"Congé spécial"),AND(F221="Congé spécial",D221&lt;&gt;"Congé spécial")),0.166666666666667,""))</f>
        <v/>
      </c>
      <c r="AE221" s="8" t="str">
        <f aca="false">IF(AND(D221="Férié",F221="Férié"),0.333333333333333,IF(OR(AND(D221="Férié",F221&lt;&gt;"Férié"),(AND(F221="Férié",D221&lt;&gt;"Férié"))),0.166666666666667,""))</f>
        <v/>
      </c>
      <c r="AF221" s="18"/>
      <c r="AG221" s="18"/>
    </row>
    <row r="222" customFormat="false" ht="15" hidden="false" customHeight="false" outlineLevel="0" collapsed="false">
      <c r="A222" s="6" t="str">
        <f aca="false">YEAR(Q222-WEEKDAY(Q222,2)+4)&amp;"-S"&amp;TEXT(WEEKNUM(Q222,21),"00")</f>
        <v>2026-S03</v>
      </c>
      <c r="B222" s="18" t="s">
        <v>69</v>
      </c>
      <c r="C222" s="19" t="n">
        <v>0.332638888888889</v>
      </c>
      <c r="D222" s="19" t="n">
        <v>0.333333333333333</v>
      </c>
      <c r="E222" s="19" t="n">
        <v>0.75</v>
      </c>
      <c r="F222" s="19" t="n">
        <v>0.75</v>
      </c>
      <c r="G222" s="20"/>
      <c r="H222" s="20"/>
      <c r="I222" s="8" t="str">
        <f aca="false">IF(IF(OR(C222="",D222="Congé",D222="OFF",D222="Congé spécial"),"",IF(D222&gt;F222,D222-C222,IF(C222-D222&lt;0,0,C222-D222)))&lt;0.00068287037037037,"",IF(OR(D222="Congé",D222="OFF",C222="",D222="Congé spécial"),"",IF(D222&gt;F222,D222-C222,IF(C222-D222&lt;0,0,C222-D222))))</f>
        <v/>
      </c>
      <c r="J222" s="20"/>
      <c r="K222" s="8" t="n">
        <f aca="false">IF(SUM(H222:J222)&lt;0.00068287037037037,0,SUM(H222:J222))</f>
        <v>0</v>
      </c>
      <c r="L222" s="8" t="n">
        <f aca="false">IF(OR(F222="Congé",F222="OFF",M222="Abs",F222="Congé sans solde",F222="Férié",F222="Congé spécial",D222="Congé spécial"),0,IF(F222-E222&lt;0,0,IF(F222-E222&lt;=0.00068287037037037,0,F222-E222)))</f>
        <v>0</v>
      </c>
      <c r="M222" s="6" t="n">
        <f aca="false">IF(AND(O222&lt;&gt;0,C222=""),"Abs",0)</f>
        <v>0</v>
      </c>
      <c r="N222" s="8" t="n">
        <f aca="false">IFERROR(IF(OR(D222="OFF",D222="Congé",M222="Abs",D222="Congé sans solde",D222="Férié"),"",IF(O222-K222-L222&gt;O222,O222,IF(O222-K222-L222&lt;0,"",O222-K222-L222))),"")</f>
        <v>0.375</v>
      </c>
      <c r="O222" s="8" t="n">
        <f aca="false">IF(AG222="2H Pause déjeuner",IF(F222-D222-0.0833333333333333&lt;0,F222-D222-0.0833333333333333+1,F222-D222-0.0833333333333333),IF(OR(AND(F222="OFF",D222="OFF"),AND(F222="Congé",D222="Congé"),AND(F222="Congé sans solde",D222="Congé sans solde"),AND(F222="Congé spécial",D222="Congé spécial"),AND(F222="Férié",D222="Férié"),AND(F222="OFF",D222="Congé"),AND(F222="OFF",D222="Congé sans solde"),AND(F222="OFF",D222="Congé spécial"),AND(F222="OFF",D222="Férié"),AND(F222="Congé",D222="OFF"),AND(F222="Congé",D222="Congé sans solde"),AND(F222="Congé",D222="Congé spécial"),AND(F222="Congé",D222="Férié"),AND(F222="Congé sans solde",D222="OFF"),AND(F222="Congé sans solde",D222="Congé"),AND(F222="Congé sans solde",D222="Congé spécial"),AND(F222="Congé sans solde",D222="Férié"),AND(F222="Congé spécial",D222="OFF"),AND(F222="Congé spécial",D222="Congé"),AND(F222="Congé spécial",D222="Congé sans solde"),AND(F222="Congé spécial",D222="Férié"),AND(F222="Férié",D222="OFF"),AND(F222="Férié",D222="Congé"),AND(F222="Férié",D222="Congé sans solde"),AND(F222="Férié",D222="Congé spécial")),0,IF(OR(F222="OFF",F222="Congé",F222="Congé spécial",F222="Congé sans solde",D222="OFF",D222="Congé",D222="Congé spécial",D222="Congé sans solde"),0.208333333333334,IF(AND(AG222="",F222-D222&lt;0),("24:00:00"-D222)+("00:00:00"+F222)-0.0416666666666667,IF(AND(OR(AG222="Allaitement",AG222="Sans déjeuner"),F222-D222&lt;0),("24:00:00"-D222)+("00:00:00"+F222),IF(AND(AG222="",F222-D222&gt;0.166666666666667),F222-D222-0.0416666666666667,IF(AND(OR(AG222="Allaitement",AG222="Sans déjeuner"),F222-D222&gt;0.166666666666667),F222-D222,F222-D222)))))))</f>
        <v>0.375</v>
      </c>
      <c r="P222" s="6" t="str">
        <f aca="false">IFERROR(VLOOKUP($B222,Agents!$A:$D,2,0),"-")</f>
        <v>Accessibilité</v>
      </c>
      <c r="Q222" s="21" t="n">
        <v>46037</v>
      </c>
      <c r="R222" s="8" t="n">
        <f aca="false">IF(M222="Abs",O222,0)</f>
        <v>0</v>
      </c>
      <c r="S222" s="8" t="n">
        <f aca="false">SUM(R222,L222,I222,J222,W222,H222)</f>
        <v>0</v>
      </c>
      <c r="T222" s="6" t="str">
        <f aca="false">"Sem - "&amp;WEEKNUM(Q222,21)</f>
        <v>Sem - 3</v>
      </c>
      <c r="U222" s="6" t="str">
        <f aca="false">CHOOSE(MONTH(Q222),"Janvier","Février","Mars","Avril","Mai","Juin","Juillet","Août","Septembre","Octobre","Novembre","Décembre")</f>
        <v>Janvier</v>
      </c>
      <c r="V222" s="22" t="n">
        <f aca="false">YEAR(Q222)</f>
        <v>2026</v>
      </c>
      <c r="W222" s="20"/>
      <c r="X222" s="8" t="n">
        <f aca="false">IFERROR(IF(M222="Abs",0,IF(ROUND((D222-C222+E222-F222)*1440,0)&lt;=1,0,D222-C222+E222-F222)),0)</f>
        <v>0</v>
      </c>
      <c r="Y222" s="6" t="str">
        <f aca="false">IFERROR(VLOOKUP($B222,Agents!$A:$D,3,0),"-")</f>
        <v>OUBRAHIM Mohammed</v>
      </c>
      <c r="Z222" s="6" t="str">
        <f aca="false">IFERROR(VLOOKUP($B222,Agents!$A:$D,4,0),"-")</f>
        <v>Credit Mutuel</v>
      </c>
      <c r="AA222" s="18" t="s">
        <v>84</v>
      </c>
      <c r="AB222" s="8" t="str">
        <f aca="false">IF(AND(D222="Congé",F222="Congé"),0.333333333333333,IF(OR(AND(D222="Congé",F222&lt;&gt;"Congé"),(AND(F222="Congé",D222&lt;&gt;"Congé"))),0.166666666666667,""))</f>
        <v/>
      </c>
      <c r="AC222" s="8" t="str">
        <f aca="false">IF(AND(D222="Congé sans solde",F222="Congé sans solde"),0.333333333333333,IF(OR(AND(D222="Congé sans solde",F222&lt;&gt;"Congé sans solde"),(AND(F222="Congé sans solde",D222&lt;&gt;"Congé sans solde"))),0.166666666666667,""))</f>
        <v/>
      </c>
      <c r="AD222" s="8" t="str">
        <f aca="false">IF(AND(D222="Congé spécial",F222="Congé spécial"),0.333333333333333,IF(OR(AND(D222="Congé spécial",F222&lt;&gt;"Congé spécial"),AND(F222="Congé spécial",D222&lt;&gt;"Congé spécial")),0.166666666666667,""))</f>
        <v/>
      </c>
      <c r="AE222" s="8" t="str">
        <f aca="false">IF(AND(D222="Férié",F222="Férié"),0.333333333333333,IF(OR(AND(D222="Férié",F222&lt;&gt;"Férié"),(AND(F222="Férié",D222&lt;&gt;"Férié"))),0.166666666666667,""))</f>
        <v/>
      </c>
      <c r="AF222" s="18"/>
      <c r="AG222" s="18"/>
    </row>
    <row r="223" customFormat="false" ht="15" hidden="false" customHeight="false" outlineLevel="0" collapsed="false">
      <c r="A223" s="6" t="str">
        <f aca="false">YEAR(Q223-WEEKDAY(Q223,2)+4)&amp;"-S"&amp;TEXT(WEEKNUM(Q223,21),"00")</f>
        <v>2026-S03</v>
      </c>
      <c r="B223" s="18" t="s">
        <v>71</v>
      </c>
      <c r="C223" s="19" t="n">
        <v>0.332638888888889</v>
      </c>
      <c r="D223" s="19" t="n">
        <v>0.333333333333333</v>
      </c>
      <c r="E223" s="19" t="n">
        <v>0.75</v>
      </c>
      <c r="F223" s="19" t="n">
        <v>0.75</v>
      </c>
      <c r="G223" s="20"/>
      <c r="H223" s="20"/>
      <c r="I223" s="8" t="str">
        <f aca="false">IF(IF(OR(C223="",D223="Congé",D223="OFF",D223="Congé spécial"),"",IF(D223&gt;F223,D223-C223,IF(C223-D223&lt;0,0,C223-D223)))&lt;0.00068287037037037,"",IF(OR(D223="Congé",D223="OFF",C223="",D223="Congé spécial"),"",IF(D223&gt;F223,D223-C223,IF(C223-D223&lt;0,0,C223-D223))))</f>
        <v/>
      </c>
      <c r="J223" s="20"/>
      <c r="K223" s="8" t="n">
        <f aca="false">IF(SUM(H223:J223)&lt;0.00068287037037037,0,SUM(H223:J223))</f>
        <v>0</v>
      </c>
      <c r="L223" s="8" t="n">
        <f aca="false">IF(OR(F223="Congé",F223="OFF",M223="Abs",F223="Congé sans solde",F223="Férié",F223="Congé spécial",D223="Congé spécial"),0,IF(F223-E223&lt;0,0,IF(F223-E223&lt;=0.00068287037037037,0,F223-E223)))</f>
        <v>0</v>
      </c>
      <c r="M223" s="6" t="n">
        <f aca="false">IF(AND(O223&lt;&gt;0,C223=""),"Abs",0)</f>
        <v>0</v>
      </c>
      <c r="N223" s="8" t="n">
        <f aca="false">IFERROR(IF(OR(D223="OFF",D223="Congé",M223="Abs",D223="Congé sans solde",D223="Férié"),"",IF(O223-K223-L223&gt;O223,O223,IF(O223-K223-L223&lt;0,"",O223-K223-L223))),"")</f>
        <v>0.375</v>
      </c>
      <c r="O223" s="8" t="n">
        <f aca="false">IF(AG223="2H Pause déjeuner",IF(F223-D223-0.0833333333333333&lt;0,F223-D223-0.0833333333333333+1,F223-D223-0.0833333333333333),IF(OR(AND(F223="OFF",D223="OFF"),AND(F223="Congé",D223="Congé"),AND(F223="Congé sans solde",D223="Congé sans solde"),AND(F223="Congé spécial",D223="Congé spécial"),AND(F223="Férié",D223="Férié"),AND(F223="OFF",D223="Congé"),AND(F223="OFF",D223="Congé sans solde"),AND(F223="OFF",D223="Congé spécial"),AND(F223="OFF",D223="Férié"),AND(F223="Congé",D223="OFF"),AND(F223="Congé",D223="Congé sans solde"),AND(F223="Congé",D223="Congé spécial"),AND(F223="Congé",D223="Férié"),AND(F223="Congé sans solde",D223="OFF"),AND(F223="Congé sans solde",D223="Congé"),AND(F223="Congé sans solde",D223="Congé spécial"),AND(F223="Congé sans solde",D223="Férié"),AND(F223="Congé spécial",D223="OFF"),AND(F223="Congé spécial",D223="Congé"),AND(F223="Congé spécial",D223="Congé sans solde"),AND(F223="Congé spécial",D223="Férié"),AND(F223="Férié",D223="OFF"),AND(F223="Férié",D223="Congé"),AND(F223="Férié",D223="Congé sans solde"),AND(F223="Férié",D223="Congé spécial")),0,IF(OR(F223="OFF",F223="Congé",F223="Congé spécial",F223="Congé sans solde",D223="OFF",D223="Congé",D223="Congé spécial",D223="Congé sans solde"),0.208333333333334,IF(AND(AG223="",F223-D223&lt;0),("24:00:00"-D223)+("00:00:00"+F223)-0.0416666666666667,IF(AND(OR(AG223="Allaitement",AG223="Sans déjeuner"),F223-D223&lt;0),("24:00:00"-D223)+("00:00:00"+F223),IF(AND(AG223="",F223-D223&gt;0.166666666666667),F223-D223-0.0416666666666667,IF(AND(OR(AG223="Allaitement",AG223="Sans déjeuner"),F223-D223&gt;0.166666666666667),F223-D223,F223-D223)))))))</f>
        <v>0.375</v>
      </c>
      <c r="P223" s="6" t="str">
        <f aca="false">IFERROR(VLOOKUP($B223,Agents!$A:$D,2,0),"-")</f>
        <v>Accessibilité</v>
      </c>
      <c r="Q223" s="21" t="n">
        <v>46037</v>
      </c>
      <c r="R223" s="8" t="n">
        <f aca="false">IF(M223="Abs",O223,0)</f>
        <v>0</v>
      </c>
      <c r="S223" s="8" t="n">
        <f aca="false">SUM(R223,L223,I223,J223,W223,H223)</f>
        <v>0</v>
      </c>
      <c r="T223" s="6" t="str">
        <f aca="false">"Sem - "&amp;WEEKNUM(Q223,21)</f>
        <v>Sem - 3</v>
      </c>
      <c r="U223" s="6" t="str">
        <f aca="false">CHOOSE(MONTH(Q223),"Janvier","Février","Mars","Avril","Mai","Juin","Juillet","Août","Septembre","Octobre","Novembre","Décembre")</f>
        <v>Janvier</v>
      </c>
      <c r="V223" s="22" t="n">
        <f aca="false">YEAR(Q223)</f>
        <v>2026</v>
      </c>
      <c r="W223" s="20"/>
      <c r="X223" s="8" t="n">
        <f aca="false">IFERROR(IF(M223="Abs",0,IF(ROUND((D223-C223+E223-F223)*1440,0)&lt;=1,0,D223-C223+E223-F223)),0)</f>
        <v>0</v>
      </c>
      <c r="Y223" s="6" t="str">
        <f aca="false">IFERROR(VLOOKUP($B223,Agents!$A:$D,3,0),"-")</f>
        <v>OUBRAHIM Mohammed</v>
      </c>
      <c r="Z223" s="6" t="str">
        <f aca="false">IFERROR(VLOOKUP($B223,Agents!$A:$D,4,0),"-")</f>
        <v>Credit Mutuel</v>
      </c>
      <c r="AA223" s="18" t="s">
        <v>84</v>
      </c>
      <c r="AB223" s="8" t="str">
        <f aca="false">IF(AND(D223="Congé",F223="Congé"),0.333333333333333,IF(OR(AND(D223="Congé",F223&lt;&gt;"Congé"),(AND(F223="Congé",D223&lt;&gt;"Congé"))),0.166666666666667,""))</f>
        <v/>
      </c>
      <c r="AC223" s="8" t="str">
        <f aca="false">IF(AND(D223="Congé sans solde",F223="Congé sans solde"),0.333333333333333,IF(OR(AND(D223="Congé sans solde",F223&lt;&gt;"Congé sans solde"),(AND(F223="Congé sans solde",D223&lt;&gt;"Congé sans solde"))),0.166666666666667,""))</f>
        <v/>
      </c>
      <c r="AD223" s="8" t="str">
        <f aca="false">IF(AND(D223="Congé spécial",F223="Congé spécial"),0.333333333333333,IF(OR(AND(D223="Congé spécial",F223&lt;&gt;"Congé spécial"),AND(F223="Congé spécial",D223&lt;&gt;"Congé spécial")),0.166666666666667,""))</f>
        <v/>
      </c>
      <c r="AE223" s="8" t="str">
        <f aca="false">IF(AND(D223="Férié",F223="Férié"),0.333333333333333,IF(OR(AND(D223="Férié",F223&lt;&gt;"Férié"),(AND(F223="Férié",D223&lt;&gt;"Férié"))),0.166666666666667,""))</f>
        <v/>
      </c>
      <c r="AF223" s="18"/>
      <c r="AG223" s="18"/>
    </row>
    <row r="224" customFormat="false" ht="15" hidden="false" customHeight="false" outlineLevel="0" collapsed="false">
      <c r="A224" s="6" t="str">
        <f aca="false">YEAR(Q224-WEEKDAY(Q224,2)+4)&amp;"-S"&amp;TEXT(WEEKNUM(Q224,21),"00")</f>
        <v>2026-S03</v>
      </c>
      <c r="B224" s="18" t="s">
        <v>72</v>
      </c>
      <c r="C224" s="19" t="n">
        <v>0.331944444444444</v>
      </c>
      <c r="D224" s="19" t="n">
        <v>0.333333333333333</v>
      </c>
      <c r="E224" s="19" t="n">
        <v>0.75</v>
      </c>
      <c r="F224" s="19" t="n">
        <v>0.75</v>
      </c>
      <c r="G224" s="20"/>
      <c r="H224" s="20"/>
      <c r="I224" s="8" t="str">
        <f aca="false">IF(IF(OR(C224="",D224="Congé",D224="OFF",D224="Congé spécial"),"",IF(D224&gt;F224,D224-C224,IF(C224-D224&lt;0,0,C224-D224)))&lt;0.00068287037037037,"",IF(OR(D224="Congé",D224="OFF",C224="",D224="Congé spécial"),"",IF(D224&gt;F224,D224-C224,IF(C224-D224&lt;0,0,C224-D224))))</f>
        <v/>
      </c>
      <c r="J224" s="20"/>
      <c r="K224" s="8" t="n">
        <f aca="false">IF(SUM(H224:J224)&lt;0.00068287037037037,0,SUM(H224:J224))</f>
        <v>0</v>
      </c>
      <c r="L224" s="8" t="n">
        <f aca="false">IF(OR(F224="Congé",F224="OFF",M224="Abs",F224="Congé sans solde",F224="Férié",F224="Congé spécial",D224="Congé spécial"),0,IF(F224-E224&lt;0,0,IF(F224-E224&lt;=0.00068287037037037,0,F224-E224)))</f>
        <v>0</v>
      </c>
      <c r="M224" s="6" t="n">
        <f aca="false">IF(AND(O224&lt;&gt;0,C224=""),"Abs",0)</f>
        <v>0</v>
      </c>
      <c r="N224" s="8" t="n">
        <f aca="false">IFERROR(IF(OR(D224="OFF",D224="Congé",M224="Abs",D224="Congé sans solde",D224="Férié"),"",IF(O224-K224-L224&gt;O224,O224,IF(O224-K224-L224&lt;0,"",O224-K224-L224))),"")</f>
        <v>0.375</v>
      </c>
      <c r="O224" s="8" t="n">
        <f aca="false">IF(AG224="2H Pause déjeuner",IF(F224-D224-0.0833333333333333&lt;0,F224-D224-0.0833333333333333+1,F224-D224-0.0833333333333333),IF(OR(AND(F224="OFF",D224="OFF"),AND(F224="Congé",D224="Congé"),AND(F224="Congé sans solde",D224="Congé sans solde"),AND(F224="Congé spécial",D224="Congé spécial"),AND(F224="Férié",D224="Férié"),AND(F224="OFF",D224="Congé"),AND(F224="OFF",D224="Congé sans solde"),AND(F224="OFF",D224="Congé spécial"),AND(F224="OFF",D224="Férié"),AND(F224="Congé",D224="OFF"),AND(F224="Congé",D224="Congé sans solde"),AND(F224="Congé",D224="Congé spécial"),AND(F224="Congé",D224="Férié"),AND(F224="Congé sans solde",D224="OFF"),AND(F224="Congé sans solde",D224="Congé"),AND(F224="Congé sans solde",D224="Congé spécial"),AND(F224="Congé sans solde",D224="Férié"),AND(F224="Congé spécial",D224="OFF"),AND(F224="Congé spécial",D224="Congé"),AND(F224="Congé spécial",D224="Congé sans solde"),AND(F224="Congé spécial",D224="Férié"),AND(F224="Férié",D224="OFF"),AND(F224="Férié",D224="Congé"),AND(F224="Férié",D224="Congé sans solde"),AND(F224="Férié",D224="Congé spécial")),0,IF(OR(F224="OFF",F224="Congé",F224="Congé spécial",F224="Congé sans solde",D224="OFF",D224="Congé",D224="Congé spécial",D224="Congé sans solde"),0.208333333333334,IF(AND(AG224="",F224-D224&lt;0),("24:00:00"-D224)+("00:00:00"+F224)-0.0416666666666667,IF(AND(OR(AG224="Allaitement",AG224="Sans déjeuner"),F224-D224&lt;0),("24:00:00"-D224)+("00:00:00"+F224),IF(AND(AG224="",F224-D224&gt;0.166666666666667),F224-D224-0.0416666666666667,IF(AND(OR(AG224="Allaitement",AG224="Sans déjeuner"),F224-D224&gt;0.166666666666667),F224-D224,F224-D224)))))))</f>
        <v>0.375</v>
      </c>
      <c r="P224" s="6" t="str">
        <f aca="false">IFERROR(VLOOKUP($B224,Agents!$A:$D,2,0),"-")</f>
        <v>Accessibilité</v>
      </c>
      <c r="Q224" s="21" t="n">
        <v>46037</v>
      </c>
      <c r="R224" s="8" t="n">
        <f aca="false">IF(M224="Abs",O224,0)</f>
        <v>0</v>
      </c>
      <c r="S224" s="8" t="n">
        <f aca="false">SUM(R224,L224,I224,J224,W224,H224)</f>
        <v>0</v>
      </c>
      <c r="T224" s="6" t="str">
        <f aca="false">"Sem - "&amp;WEEKNUM(Q224,21)</f>
        <v>Sem - 3</v>
      </c>
      <c r="U224" s="6" t="str">
        <f aca="false">CHOOSE(MONTH(Q224),"Janvier","Février","Mars","Avril","Mai","Juin","Juillet","Août","Septembre","Octobre","Novembre","Décembre")</f>
        <v>Janvier</v>
      </c>
      <c r="V224" s="22" t="n">
        <f aca="false">YEAR(Q224)</f>
        <v>2026</v>
      </c>
      <c r="W224" s="20"/>
      <c r="X224" s="8" t="n">
        <f aca="false">IFERROR(IF(M224="Abs",0,IF(ROUND((D224-C224+E224-F224)*1440,0)&lt;=1,0,D224-C224+E224-F224)),0)</f>
        <v>0.00138888888888889</v>
      </c>
      <c r="Y224" s="6" t="str">
        <f aca="false">IFERROR(VLOOKUP($B224,Agents!$A:$D,3,0),"-")</f>
        <v>OUBRAHIM Mohammed</v>
      </c>
      <c r="Z224" s="6" t="str">
        <f aca="false">IFERROR(VLOOKUP($B224,Agents!$A:$D,4,0),"-")</f>
        <v>Credit Mutuel</v>
      </c>
      <c r="AA224" s="18" t="s">
        <v>84</v>
      </c>
      <c r="AB224" s="8" t="str">
        <f aca="false">IF(AND(D224="Congé",F224="Congé"),0.333333333333333,IF(OR(AND(D224="Congé",F224&lt;&gt;"Congé"),(AND(F224="Congé",D224&lt;&gt;"Congé"))),0.166666666666667,""))</f>
        <v/>
      </c>
      <c r="AC224" s="8" t="str">
        <f aca="false">IF(AND(D224="Congé sans solde",F224="Congé sans solde"),0.333333333333333,IF(OR(AND(D224="Congé sans solde",F224&lt;&gt;"Congé sans solde"),(AND(F224="Congé sans solde",D224&lt;&gt;"Congé sans solde"))),0.166666666666667,""))</f>
        <v/>
      </c>
      <c r="AD224" s="8" t="str">
        <f aca="false">IF(AND(D224="Congé spécial",F224="Congé spécial"),0.333333333333333,IF(OR(AND(D224="Congé spécial",F224&lt;&gt;"Congé spécial"),AND(F224="Congé spécial",D224&lt;&gt;"Congé spécial")),0.166666666666667,""))</f>
        <v/>
      </c>
      <c r="AE224" s="8" t="str">
        <f aca="false">IF(AND(D224="Férié",F224="Férié"),0.333333333333333,IF(OR(AND(D224="Férié",F224&lt;&gt;"Férié"),(AND(F224="Férié",D224&lt;&gt;"Férié"))),0.166666666666667,""))</f>
        <v/>
      </c>
      <c r="AF224" s="18"/>
      <c r="AG224" s="18"/>
    </row>
    <row r="225" customFormat="false" ht="15" hidden="false" customHeight="false" outlineLevel="0" collapsed="false">
      <c r="A225" s="6" t="str">
        <f aca="false">YEAR(Q225-WEEKDAY(Q225,2)+4)&amp;"-S"&amp;TEXT(WEEKNUM(Q225,21),"00")</f>
        <v>2026-S03</v>
      </c>
      <c r="B225" s="18" t="s">
        <v>73</v>
      </c>
      <c r="C225" s="19" t="n">
        <v>0.331944444444444</v>
      </c>
      <c r="D225" s="19" t="n">
        <v>0.333333333333333</v>
      </c>
      <c r="E225" s="19" t="n">
        <v>0.75</v>
      </c>
      <c r="F225" s="19" t="n">
        <v>0.75</v>
      </c>
      <c r="G225" s="20"/>
      <c r="H225" s="20"/>
      <c r="I225" s="8" t="str">
        <f aca="false">IF(IF(OR(C225="",D225="Congé",D225="OFF",D225="Congé spécial"),"",IF(D225&gt;F225,D225-C225,IF(C225-D225&lt;0,0,C225-D225)))&lt;0.00068287037037037,"",IF(OR(D225="Congé",D225="OFF",C225="",D225="Congé spécial"),"",IF(D225&gt;F225,D225-C225,IF(C225-D225&lt;0,0,C225-D225))))</f>
        <v/>
      </c>
      <c r="J225" s="20"/>
      <c r="K225" s="8" t="n">
        <f aca="false">IF(SUM(H225:J225)&lt;0.00068287037037037,0,SUM(H225:J225))</f>
        <v>0</v>
      </c>
      <c r="L225" s="8" t="n">
        <f aca="false">IF(OR(F225="Congé",F225="OFF",M225="Abs",F225="Congé sans solde",F225="Férié",F225="Congé spécial",D225="Congé spécial"),0,IF(F225-E225&lt;0,0,IF(F225-E225&lt;=0.00068287037037037,0,F225-E225)))</f>
        <v>0</v>
      </c>
      <c r="M225" s="6" t="n">
        <f aca="false">IF(AND(O225&lt;&gt;0,C225=""),"Abs",0)</f>
        <v>0</v>
      </c>
      <c r="N225" s="8" t="n">
        <f aca="false">IFERROR(IF(OR(D225="OFF",D225="Congé",M225="Abs",D225="Congé sans solde",D225="Férié"),"",IF(O225-K225-L225&gt;O225,O225,IF(O225-K225-L225&lt;0,"",O225-K225-L225))),"")</f>
        <v>0.375</v>
      </c>
      <c r="O225" s="8" t="n">
        <f aca="false">IF(AG225="2H Pause déjeuner",IF(F225-D225-0.0833333333333333&lt;0,F225-D225-0.0833333333333333+1,F225-D225-0.0833333333333333),IF(OR(AND(F225="OFF",D225="OFF"),AND(F225="Congé",D225="Congé"),AND(F225="Congé sans solde",D225="Congé sans solde"),AND(F225="Congé spécial",D225="Congé spécial"),AND(F225="Férié",D225="Férié"),AND(F225="OFF",D225="Congé"),AND(F225="OFF",D225="Congé sans solde"),AND(F225="OFF",D225="Congé spécial"),AND(F225="OFF",D225="Férié"),AND(F225="Congé",D225="OFF"),AND(F225="Congé",D225="Congé sans solde"),AND(F225="Congé",D225="Congé spécial"),AND(F225="Congé",D225="Férié"),AND(F225="Congé sans solde",D225="OFF"),AND(F225="Congé sans solde",D225="Congé"),AND(F225="Congé sans solde",D225="Congé spécial"),AND(F225="Congé sans solde",D225="Férié"),AND(F225="Congé spécial",D225="OFF"),AND(F225="Congé spécial",D225="Congé"),AND(F225="Congé spécial",D225="Congé sans solde"),AND(F225="Congé spécial",D225="Férié"),AND(F225="Férié",D225="OFF"),AND(F225="Férié",D225="Congé"),AND(F225="Férié",D225="Congé sans solde"),AND(F225="Férié",D225="Congé spécial")),0,IF(OR(F225="OFF",F225="Congé",F225="Congé spécial",F225="Congé sans solde",D225="OFF",D225="Congé",D225="Congé spécial",D225="Congé sans solde"),0.208333333333334,IF(AND(AG225="",F225-D225&lt;0),("24:00:00"-D225)+("00:00:00"+F225)-0.0416666666666667,IF(AND(OR(AG225="Allaitement",AG225="Sans déjeuner"),F225-D225&lt;0),("24:00:00"-D225)+("00:00:00"+F225),IF(AND(AG225="",F225-D225&gt;0.166666666666667),F225-D225-0.0416666666666667,IF(AND(OR(AG225="Allaitement",AG225="Sans déjeuner"),F225-D225&gt;0.166666666666667),F225-D225,F225-D225)))))))</f>
        <v>0.375</v>
      </c>
      <c r="P225" s="6" t="str">
        <f aca="false">IFERROR(VLOOKUP($B225,Agents!$A:$D,2,0),"-")</f>
        <v>Accessibilité</v>
      </c>
      <c r="Q225" s="21" t="n">
        <v>46037</v>
      </c>
      <c r="R225" s="8" t="n">
        <f aca="false">IF(M225="Abs",O225,0)</f>
        <v>0</v>
      </c>
      <c r="S225" s="8" t="n">
        <f aca="false">SUM(R225,L225,I225,J225,W225,H225)</f>
        <v>0</v>
      </c>
      <c r="T225" s="6" t="str">
        <f aca="false">"Sem - "&amp;WEEKNUM(Q225,21)</f>
        <v>Sem - 3</v>
      </c>
      <c r="U225" s="6" t="str">
        <f aca="false">CHOOSE(MONTH(Q225),"Janvier","Février","Mars","Avril","Mai","Juin","Juillet","Août","Septembre","Octobre","Novembre","Décembre")</f>
        <v>Janvier</v>
      </c>
      <c r="V225" s="22" t="n">
        <f aca="false">YEAR(Q225)</f>
        <v>2026</v>
      </c>
      <c r="W225" s="20"/>
      <c r="X225" s="8" t="n">
        <f aca="false">IFERROR(IF(M225="Abs",0,IF(ROUND((D225-C225+E225-F225)*1440,0)&lt;=1,0,D225-C225+E225-F225)),0)</f>
        <v>0.00138888888888889</v>
      </c>
      <c r="Y225" s="6" t="str">
        <f aca="false">IFERROR(VLOOKUP($B225,Agents!$A:$D,3,0),"-")</f>
        <v>OUBRAHIM Mohammed</v>
      </c>
      <c r="Z225" s="6" t="str">
        <f aca="false">IFERROR(VLOOKUP($B225,Agents!$A:$D,4,0),"-")</f>
        <v>Credit Mutuel</v>
      </c>
      <c r="AA225" s="18" t="s">
        <v>84</v>
      </c>
      <c r="AB225" s="8" t="str">
        <f aca="false">IF(AND(D225="Congé",F225="Congé"),0.333333333333333,IF(OR(AND(D225="Congé",F225&lt;&gt;"Congé"),(AND(F225="Congé",D225&lt;&gt;"Congé"))),0.166666666666667,""))</f>
        <v/>
      </c>
      <c r="AC225" s="8" t="str">
        <f aca="false">IF(AND(D225="Congé sans solde",F225="Congé sans solde"),0.333333333333333,IF(OR(AND(D225="Congé sans solde",F225&lt;&gt;"Congé sans solde"),(AND(F225="Congé sans solde",D225&lt;&gt;"Congé sans solde"))),0.166666666666667,""))</f>
        <v/>
      </c>
      <c r="AD225" s="8" t="str">
        <f aca="false">IF(AND(D225="Congé spécial",F225="Congé spécial"),0.333333333333333,IF(OR(AND(D225="Congé spécial",F225&lt;&gt;"Congé spécial"),AND(F225="Congé spécial",D225&lt;&gt;"Congé spécial")),0.166666666666667,""))</f>
        <v/>
      </c>
      <c r="AE225" s="8" t="str">
        <f aca="false">IF(AND(D225="Férié",F225="Férié"),0.333333333333333,IF(OR(AND(D225="Férié",F225&lt;&gt;"Férié"),(AND(F225="Férié",D225&lt;&gt;"Férié"))),0.166666666666667,""))</f>
        <v/>
      </c>
      <c r="AF225" s="18"/>
      <c r="AG225" s="18"/>
    </row>
    <row r="226" customFormat="false" ht="15" hidden="false" customHeight="false" outlineLevel="0" collapsed="false">
      <c r="A226" s="6" t="str">
        <f aca="false">YEAR(Q226-WEEKDAY(Q226,2)+4)&amp;"-S"&amp;TEXT(WEEKNUM(Q226,21),"00")</f>
        <v>2026-S03</v>
      </c>
      <c r="B226" s="18" t="s">
        <v>69</v>
      </c>
      <c r="C226" s="19" t="n">
        <v>0.332638888888889</v>
      </c>
      <c r="D226" s="19" t="n">
        <v>0.333333333333333</v>
      </c>
      <c r="E226" s="19" t="n">
        <v>0.708333333333333</v>
      </c>
      <c r="F226" s="19" t="n">
        <v>0.708333333333333</v>
      </c>
      <c r="G226" s="20"/>
      <c r="H226" s="20"/>
      <c r="I226" s="8" t="str">
        <f aca="false">IF(IF(OR(C226="",D226="Congé",D226="OFF",D226="Congé spécial"),"",IF(D226&gt;F226,D226-C226,IF(C226-D226&lt;0,0,C226-D226)))&lt;0.00068287037037037,"",IF(OR(D226="Congé",D226="OFF",C226="",D226="Congé spécial"),"",IF(D226&gt;F226,D226-C226,IF(C226-D226&lt;0,0,C226-D226))))</f>
        <v/>
      </c>
      <c r="J226" s="20"/>
      <c r="K226" s="8" t="n">
        <f aca="false">IF(SUM(H226:J226)&lt;0.00068287037037037,0,SUM(H226:J226))</f>
        <v>0</v>
      </c>
      <c r="L226" s="8" t="n">
        <f aca="false">IF(OR(F226="Congé",F226="OFF",M226="Abs",F226="Congé sans solde",F226="Férié",F226="Congé spécial",D226="Congé spécial"),0,IF(F226-E226&lt;0,0,IF(F226-E226&lt;=0.00068287037037037,0,F226-E226)))</f>
        <v>0</v>
      </c>
      <c r="M226" s="6" t="n">
        <f aca="false">IF(AND(O226&lt;&gt;0,C226=""),"Abs",0)</f>
        <v>0</v>
      </c>
      <c r="N226" s="8" t="n">
        <f aca="false">IFERROR(IF(OR(D226="OFF",D226="Congé",M226="Abs",D226="Congé sans solde",D226="Férié"),"",IF(O226-K226-L226&gt;O226,O226,IF(O226-K226-L226&lt;0,"",O226-K226-L226))),"")</f>
        <v>0.333333333333333</v>
      </c>
      <c r="O226" s="8" t="n">
        <f aca="false">IF(AG226="2H Pause déjeuner",IF(F226-D226-0.0833333333333333&lt;0,F226-D226-0.0833333333333333+1,F226-D226-0.0833333333333333),IF(OR(AND(F226="OFF",D226="OFF"),AND(F226="Congé",D226="Congé"),AND(F226="Congé sans solde",D226="Congé sans solde"),AND(F226="Congé spécial",D226="Congé spécial"),AND(F226="Férié",D226="Férié"),AND(F226="OFF",D226="Congé"),AND(F226="OFF",D226="Congé sans solde"),AND(F226="OFF",D226="Congé spécial"),AND(F226="OFF",D226="Férié"),AND(F226="Congé",D226="OFF"),AND(F226="Congé",D226="Congé sans solde"),AND(F226="Congé",D226="Congé spécial"),AND(F226="Congé",D226="Férié"),AND(F226="Congé sans solde",D226="OFF"),AND(F226="Congé sans solde",D226="Congé"),AND(F226="Congé sans solde",D226="Congé spécial"),AND(F226="Congé sans solde",D226="Férié"),AND(F226="Congé spécial",D226="OFF"),AND(F226="Congé spécial",D226="Congé"),AND(F226="Congé spécial",D226="Congé sans solde"),AND(F226="Congé spécial",D226="Férié"),AND(F226="Férié",D226="OFF"),AND(F226="Férié",D226="Congé"),AND(F226="Férié",D226="Congé sans solde"),AND(F226="Férié",D226="Congé spécial")),0,IF(OR(F226="OFF",F226="Congé",F226="Congé spécial",F226="Congé sans solde",D226="OFF",D226="Congé",D226="Congé spécial",D226="Congé sans solde"),0.208333333333334,IF(AND(AG226="",F226-D226&lt;0),("24:00:00"-D226)+("00:00:00"+F226)-0.0416666666666667,IF(AND(OR(AG226="Allaitement",AG226="Sans déjeuner"),F226-D226&lt;0),("24:00:00"-D226)+("00:00:00"+F226),IF(AND(AG226="",F226-D226&gt;0.166666666666667),F226-D226-0.0416666666666667,IF(AND(OR(AG226="Allaitement",AG226="Sans déjeuner"),F226-D226&gt;0.166666666666667),F226-D226,F226-D226)))))))</f>
        <v>0.333333333333333</v>
      </c>
      <c r="P226" s="6" t="str">
        <f aca="false">IFERROR(VLOOKUP($B226,Agents!$A:$D,2,0),"-")</f>
        <v>Accessibilité</v>
      </c>
      <c r="Q226" s="21" t="n">
        <v>46038</v>
      </c>
      <c r="R226" s="8" t="n">
        <f aca="false">IF(M226="Abs",O226,0)</f>
        <v>0</v>
      </c>
      <c r="S226" s="8" t="n">
        <f aca="false">SUM(R226,L226,I226,J226,W226,H226)</f>
        <v>0</v>
      </c>
      <c r="T226" s="6" t="str">
        <f aca="false">"Sem - "&amp;WEEKNUM(Q226,21)</f>
        <v>Sem - 3</v>
      </c>
      <c r="U226" s="6" t="str">
        <f aca="false">CHOOSE(MONTH(Q226),"Janvier","Février","Mars","Avril","Mai","Juin","Juillet","Août","Septembre","Octobre","Novembre","Décembre")</f>
        <v>Janvier</v>
      </c>
      <c r="V226" s="22" t="n">
        <f aca="false">YEAR(Q226)</f>
        <v>2026</v>
      </c>
      <c r="W226" s="20"/>
      <c r="X226" s="8" t="n">
        <f aca="false">IFERROR(IF(M226="Abs",0,IF(ROUND((D226-C226+E226-F226)*1440,0)&lt;=1,0,D226-C226+E226-F226)),0)</f>
        <v>0</v>
      </c>
      <c r="Y226" s="6" t="str">
        <f aca="false">IFERROR(VLOOKUP($B226,Agents!$A:$D,3,0),"-")</f>
        <v>OUBRAHIM Mohammed</v>
      </c>
      <c r="Z226" s="6" t="str">
        <f aca="false">IFERROR(VLOOKUP($B226,Agents!$A:$D,4,0),"-")</f>
        <v>Credit Mutuel</v>
      </c>
      <c r="AA226" s="18" t="s">
        <v>84</v>
      </c>
      <c r="AB226" s="8" t="str">
        <f aca="false">IF(AND(D226="Congé",F226="Congé"),0.333333333333333,IF(OR(AND(D226="Congé",F226&lt;&gt;"Congé"),(AND(F226="Congé",D226&lt;&gt;"Congé"))),0.166666666666667,""))</f>
        <v/>
      </c>
      <c r="AC226" s="8" t="str">
        <f aca="false">IF(AND(D226="Congé sans solde",F226="Congé sans solde"),0.333333333333333,IF(OR(AND(D226="Congé sans solde",F226&lt;&gt;"Congé sans solde"),(AND(F226="Congé sans solde",D226&lt;&gt;"Congé sans solde"))),0.166666666666667,""))</f>
        <v/>
      </c>
      <c r="AD226" s="8" t="str">
        <f aca="false">IF(AND(D226="Congé spécial",F226="Congé spécial"),0.333333333333333,IF(OR(AND(D226="Congé spécial",F226&lt;&gt;"Congé spécial"),AND(F226="Congé spécial",D226&lt;&gt;"Congé spécial")),0.166666666666667,""))</f>
        <v/>
      </c>
      <c r="AE226" s="8" t="str">
        <f aca="false">IF(AND(D226="Férié",F226="Férié"),0.333333333333333,IF(OR(AND(D226="Férié",F226&lt;&gt;"Férié"),(AND(F226="Férié",D226&lt;&gt;"Férié"))),0.166666666666667,""))</f>
        <v/>
      </c>
      <c r="AF226" s="18"/>
      <c r="AG226" s="18"/>
    </row>
    <row r="227" customFormat="false" ht="15" hidden="false" customHeight="false" outlineLevel="0" collapsed="false">
      <c r="A227" s="6" t="str">
        <f aca="false">YEAR(Q227-WEEKDAY(Q227,2)+4)&amp;"-S"&amp;TEXT(WEEKNUM(Q227,21),"00")</f>
        <v>2026-S03</v>
      </c>
      <c r="B227" s="18" t="s">
        <v>71</v>
      </c>
      <c r="C227" s="19" t="n">
        <v>0.332638888888889</v>
      </c>
      <c r="D227" s="19" t="n">
        <v>0.333333333333333</v>
      </c>
      <c r="E227" s="19" t="n">
        <v>0.708333333333333</v>
      </c>
      <c r="F227" s="19" t="n">
        <v>0.708333333333333</v>
      </c>
      <c r="G227" s="20"/>
      <c r="H227" s="20"/>
      <c r="I227" s="8" t="str">
        <f aca="false">IF(IF(OR(C227="",D227="Congé",D227="OFF",D227="Congé spécial"),"",IF(D227&gt;F227,D227-C227,IF(C227-D227&lt;0,0,C227-D227)))&lt;0.00068287037037037,"",IF(OR(D227="Congé",D227="OFF",C227="",D227="Congé spécial"),"",IF(D227&gt;F227,D227-C227,IF(C227-D227&lt;0,0,C227-D227))))</f>
        <v/>
      </c>
      <c r="J227" s="20"/>
      <c r="K227" s="8" t="n">
        <f aca="false">IF(SUM(H227:J227)&lt;0.00068287037037037,0,SUM(H227:J227))</f>
        <v>0</v>
      </c>
      <c r="L227" s="8" t="n">
        <f aca="false">IF(OR(F227="Congé",F227="OFF",M227="Abs",F227="Congé sans solde",F227="Férié",F227="Congé spécial",D227="Congé spécial"),0,IF(F227-E227&lt;0,0,IF(F227-E227&lt;=0.00068287037037037,0,F227-E227)))</f>
        <v>0</v>
      </c>
      <c r="M227" s="6" t="n">
        <f aca="false">IF(AND(O227&lt;&gt;0,C227=""),"Abs",0)</f>
        <v>0</v>
      </c>
      <c r="N227" s="8" t="n">
        <f aca="false">IFERROR(IF(OR(D227="OFF",D227="Congé",M227="Abs",D227="Congé sans solde",D227="Férié"),"",IF(O227-K227-L227&gt;O227,O227,IF(O227-K227-L227&lt;0,"",O227-K227-L227))),"")</f>
        <v>0.333333333333333</v>
      </c>
      <c r="O227" s="8" t="n">
        <f aca="false">IF(AG227="2H Pause déjeuner",IF(F227-D227-0.0833333333333333&lt;0,F227-D227-0.0833333333333333+1,F227-D227-0.0833333333333333),IF(OR(AND(F227="OFF",D227="OFF"),AND(F227="Congé",D227="Congé"),AND(F227="Congé sans solde",D227="Congé sans solde"),AND(F227="Congé spécial",D227="Congé spécial"),AND(F227="Férié",D227="Férié"),AND(F227="OFF",D227="Congé"),AND(F227="OFF",D227="Congé sans solde"),AND(F227="OFF",D227="Congé spécial"),AND(F227="OFF",D227="Férié"),AND(F227="Congé",D227="OFF"),AND(F227="Congé",D227="Congé sans solde"),AND(F227="Congé",D227="Congé spécial"),AND(F227="Congé",D227="Férié"),AND(F227="Congé sans solde",D227="OFF"),AND(F227="Congé sans solde",D227="Congé"),AND(F227="Congé sans solde",D227="Congé spécial"),AND(F227="Congé sans solde",D227="Férié"),AND(F227="Congé spécial",D227="OFF"),AND(F227="Congé spécial",D227="Congé"),AND(F227="Congé spécial",D227="Congé sans solde"),AND(F227="Congé spécial",D227="Férié"),AND(F227="Férié",D227="OFF"),AND(F227="Férié",D227="Congé"),AND(F227="Férié",D227="Congé sans solde"),AND(F227="Férié",D227="Congé spécial")),0,IF(OR(F227="OFF",F227="Congé",F227="Congé spécial",F227="Congé sans solde",D227="OFF",D227="Congé",D227="Congé spécial",D227="Congé sans solde"),0.208333333333334,IF(AND(AG227="",F227-D227&lt;0),("24:00:00"-D227)+("00:00:00"+F227)-0.0416666666666667,IF(AND(OR(AG227="Allaitement",AG227="Sans déjeuner"),F227-D227&lt;0),("24:00:00"-D227)+("00:00:00"+F227),IF(AND(AG227="",F227-D227&gt;0.166666666666667),F227-D227-0.0416666666666667,IF(AND(OR(AG227="Allaitement",AG227="Sans déjeuner"),F227-D227&gt;0.166666666666667),F227-D227,F227-D227)))))))</f>
        <v>0.333333333333333</v>
      </c>
      <c r="P227" s="6" t="str">
        <f aca="false">IFERROR(VLOOKUP($B227,Agents!$A:$D,2,0),"-")</f>
        <v>Accessibilité</v>
      </c>
      <c r="Q227" s="21" t="n">
        <v>46038</v>
      </c>
      <c r="R227" s="8" t="n">
        <f aca="false">IF(M227="Abs",O227,0)</f>
        <v>0</v>
      </c>
      <c r="S227" s="8" t="n">
        <f aca="false">SUM(R227,L227,I227,J227,W227,H227)</f>
        <v>0</v>
      </c>
      <c r="T227" s="6" t="str">
        <f aca="false">"Sem - "&amp;WEEKNUM(Q227,21)</f>
        <v>Sem - 3</v>
      </c>
      <c r="U227" s="6" t="str">
        <f aca="false">CHOOSE(MONTH(Q227),"Janvier","Février","Mars","Avril","Mai","Juin","Juillet","Août","Septembre","Octobre","Novembre","Décembre")</f>
        <v>Janvier</v>
      </c>
      <c r="V227" s="22" t="n">
        <f aca="false">YEAR(Q227)</f>
        <v>2026</v>
      </c>
      <c r="W227" s="20"/>
      <c r="X227" s="8" t="n">
        <f aca="false">IFERROR(IF(M227="Abs",0,IF(ROUND((D227-C227+E227-F227)*1440,0)&lt;=1,0,D227-C227+E227-F227)),0)</f>
        <v>0</v>
      </c>
      <c r="Y227" s="6" t="str">
        <f aca="false">IFERROR(VLOOKUP($B227,Agents!$A:$D,3,0),"-")</f>
        <v>OUBRAHIM Mohammed</v>
      </c>
      <c r="Z227" s="6" t="str">
        <f aca="false">IFERROR(VLOOKUP($B227,Agents!$A:$D,4,0),"-")</f>
        <v>Credit Mutuel</v>
      </c>
      <c r="AA227" s="18" t="s">
        <v>84</v>
      </c>
      <c r="AB227" s="8" t="str">
        <f aca="false">IF(AND(D227="Congé",F227="Congé"),0.333333333333333,IF(OR(AND(D227="Congé",F227&lt;&gt;"Congé"),(AND(F227="Congé",D227&lt;&gt;"Congé"))),0.166666666666667,""))</f>
        <v/>
      </c>
      <c r="AC227" s="8" t="str">
        <f aca="false">IF(AND(D227="Congé sans solde",F227="Congé sans solde"),0.333333333333333,IF(OR(AND(D227="Congé sans solde",F227&lt;&gt;"Congé sans solde"),(AND(F227="Congé sans solde",D227&lt;&gt;"Congé sans solde"))),0.166666666666667,""))</f>
        <v/>
      </c>
      <c r="AD227" s="8" t="str">
        <f aca="false">IF(AND(D227="Congé spécial",F227="Congé spécial"),0.333333333333333,IF(OR(AND(D227="Congé spécial",F227&lt;&gt;"Congé spécial"),AND(F227="Congé spécial",D227&lt;&gt;"Congé spécial")),0.166666666666667,""))</f>
        <v/>
      </c>
      <c r="AE227" s="8" t="str">
        <f aca="false">IF(AND(D227="Férié",F227="Férié"),0.333333333333333,IF(OR(AND(D227="Férié",F227&lt;&gt;"Férié"),(AND(F227="Férié",D227&lt;&gt;"Férié"))),0.166666666666667,""))</f>
        <v/>
      </c>
      <c r="AF227" s="18"/>
      <c r="AG227" s="18"/>
    </row>
    <row r="228" customFormat="false" ht="15" hidden="false" customHeight="false" outlineLevel="0" collapsed="false">
      <c r="A228" s="6" t="str">
        <f aca="false">YEAR(Q228-WEEKDAY(Q228,2)+4)&amp;"-S"&amp;TEXT(WEEKNUM(Q228,21),"00")</f>
        <v>2026-S03</v>
      </c>
      <c r="B228" s="18" t="s">
        <v>72</v>
      </c>
      <c r="C228" s="19" t="n">
        <v>0.331944444444444</v>
      </c>
      <c r="D228" s="19" t="n">
        <v>0.333333333333333</v>
      </c>
      <c r="E228" s="19" t="n">
        <v>0.708333333333333</v>
      </c>
      <c r="F228" s="19" t="n">
        <v>0.708333333333333</v>
      </c>
      <c r="G228" s="20"/>
      <c r="H228" s="20"/>
      <c r="I228" s="8" t="str">
        <f aca="false">IF(IF(OR(C228="",D228="Congé",D228="OFF",D228="Congé spécial"),"",IF(D228&gt;F228,D228-C228,IF(C228-D228&lt;0,0,C228-D228)))&lt;0.00068287037037037,"",IF(OR(D228="Congé",D228="OFF",C228="",D228="Congé spécial"),"",IF(D228&gt;F228,D228-C228,IF(C228-D228&lt;0,0,C228-D228))))</f>
        <v/>
      </c>
      <c r="J228" s="20"/>
      <c r="K228" s="8" t="n">
        <f aca="false">IF(SUM(H228:J228)&lt;0.00068287037037037,0,SUM(H228:J228))</f>
        <v>0</v>
      </c>
      <c r="L228" s="8" t="n">
        <f aca="false">IF(OR(F228="Congé",F228="OFF",M228="Abs",F228="Congé sans solde",F228="Férié",F228="Congé spécial",D228="Congé spécial"),0,IF(F228-E228&lt;0,0,IF(F228-E228&lt;=0.00068287037037037,0,F228-E228)))</f>
        <v>0</v>
      </c>
      <c r="M228" s="6" t="n">
        <f aca="false">IF(AND(O228&lt;&gt;0,C228=""),"Abs",0)</f>
        <v>0</v>
      </c>
      <c r="N228" s="8" t="n">
        <f aca="false">IFERROR(IF(OR(D228="OFF",D228="Congé",M228="Abs",D228="Congé sans solde",D228="Férié"),"",IF(O228-K228-L228&gt;O228,O228,IF(O228-K228-L228&lt;0,"",O228-K228-L228))),"")</f>
        <v>0.333333333333333</v>
      </c>
      <c r="O228" s="8" t="n">
        <f aca="false">IF(AG228="2H Pause déjeuner",IF(F228-D228-0.0833333333333333&lt;0,F228-D228-0.0833333333333333+1,F228-D228-0.0833333333333333),IF(OR(AND(F228="OFF",D228="OFF"),AND(F228="Congé",D228="Congé"),AND(F228="Congé sans solde",D228="Congé sans solde"),AND(F228="Congé spécial",D228="Congé spécial"),AND(F228="Férié",D228="Férié"),AND(F228="OFF",D228="Congé"),AND(F228="OFF",D228="Congé sans solde"),AND(F228="OFF",D228="Congé spécial"),AND(F228="OFF",D228="Férié"),AND(F228="Congé",D228="OFF"),AND(F228="Congé",D228="Congé sans solde"),AND(F228="Congé",D228="Congé spécial"),AND(F228="Congé",D228="Férié"),AND(F228="Congé sans solde",D228="OFF"),AND(F228="Congé sans solde",D228="Congé"),AND(F228="Congé sans solde",D228="Congé spécial"),AND(F228="Congé sans solde",D228="Férié"),AND(F228="Congé spécial",D228="OFF"),AND(F228="Congé spécial",D228="Congé"),AND(F228="Congé spécial",D228="Congé sans solde"),AND(F228="Congé spécial",D228="Férié"),AND(F228="Férié",D228="OFF"),AND(F228="Férié",D228="Congé"),AND(F228="Férié",D228="Congé sans solde"),AND(F228="Férié",D228="Congé spécial")),0,IF(OR(F228="OFF",F228="Congé",F228="Congé spécial",F228="Congé sans solde",D228="OFF",D228="Congé",D228="Congé spécial",D228="Congé sans solde"),0.208333333333334,IF(AND(AG228="",F228-D228&lt;0),("24:00:00"-D228)+("00:00:00"+F228)-0.0416666666666667,IF(AND(OR(AG228="Allaitement",AG228="Sans déjeuner"),F228-D228&lt;0),("24:00:00"-D228)+("00:00:00"+F228),IF(AND(AG228="",F228-D228&gt;0.166666666666667),F228-D228-0.0416666666666667,IF(AND(OR(AG228="Allaitement",AG228="Sans déjeuner"),F228-D228&gt;0.166666666666667),F228-D228,F228-D228)))))))</f>
        <v>0.333333333333333</v>
      </c>
      <c r="P228" s="6" t="str">
        <f aca="false">IFERROR(VLOOKUP($B228,Agents!$A:$D,2,0),"-")</f>
        <v>Accessibilité</v>
      </c>
      <c r="Q228" s="21" t="n">
        <v>46038</v>
      </c>
      <c r="R228" s="8" t="n">
        <f aca="false">IF(M228="Abs",O228,0)</f>
        <v>0</v>
      </c>
      <c r="S228" s="8" t="n">
        <f aca="false">SUM(R228,L228,I228,J228,W228,H228)</f>
        <v>0</v>
      </c>
      <c r="T228" s="6" t="str">
        <f aca="false">"Sem - "&amp;WEEKNUM(Q228,21)</f>
        <v>Sem - 3</v>
      </c>
      <c r="U228" s="6" t="str">
        <f aca="false">CHOOSE(MONTH(Q228),"Janvier","Février","Mars","Avril","Mai","Juin","Juillet","Août","Septembre","Octobre","Novembre","Décembre")</f>
        <v>Janvier</v>
      </c>
      <c r="V228" s="22" t="n">
        <f aca="false">YEAR(Q228)</f>
        <v>2026</v>
      </c>
      <c r="W228" s="20"/>
      <c r="X228" s="8" t="n">
        <f aca="false">IFERROR(IF(M228="Abs",0,IF(ROUND((D228-C228+E228-F228)*1440,0)&lt;=1,0,D228-C228+E228-F228)),0)</f>
        <v>0.00138888888888889</v>
      </c>
      <c r="Y228" s="6" t="str">
        <f aca="false">IFERROR(VLOOKUP($B228,Agents!$A:$D,3,0),"-")</f>
        <v>OUBRAHIM Mohammed</v>
      </c>
      <c r="Z228" s="6" t="str">
        <f aca="false">IFERROR(VLOOKUP($B228,Agents!$A:$D,4,0),"-")</f>
        <v>Credit Mutuel</v>
      </c>
      <c r="AA228" s="18" t="s">
        <v>84</v>
      </c>
      <c r="AB228" s="8" t="str">
        <f aca="false">IF(AND(D228="Congé",F228="Congé"),0.333333333333333,IF(OR(AND(D228="Congé",F228&lt;&gt;"Congé"),(AND(F228="Congé",D228&lt;&gt;"Congé"))),0.166666666666667,""))</f>
        <v/>
      </c>
      <c r="AC228" s="8" t="str">
        <f aca="false">IF(AND(D228="Congé sans solde",F228="Congé sans solde"),0.333333333333333,IF(OR(AND(D228="Congé sans solde",F228&lt;&gt;"Congé sans solde"),(AND(F228="Congé sans solde",D228&lt;&gt;"Congé sans solde"))),0.166666666666667,""))</f>
        <v/>
      </c>
      <c r="AD228" s="8" t="str">
        <f aca="false">IF(AND(D228="Congé spécial",F228="Congé spécial"),0.333333333333333,IF(OR(AND(D228="Congé spécial",F228&lt;&gt;"Congé spécial"),AND(F228="Congé spécial",D228&lt;&gt;"Congé spécial")),0.166666666666667,""))</f>
        <v/>
      </c>
      <c r="AE228" s="8" t="str">
        <f aca="false">IF(AND(D228="Férié",F228="Férié"),0.333333333333333,IF(OR(AND(D228="Férié",F228&lt;&gt;"Férié"),(AND(F228="Férié",D228&lt;&gt;"Férié"))),0.166666666666667,""))</f>
        <v/>
      </c>
      <c r="AF228" s="18"/>
      <c r="AG228" s="18"/>
    </row>
    <row r="229" customFormat="false" ht="15" hidden="false" customHeight="false" outlineLevel="0" collapsed="false">
      <c r="A229" s="6" t="str">
        <f aca="false">YEAR(Q229-WEEKDAY(Q229,2)+4)&amp;"-S"&amp;TEXT(WEEKNUM(Q229,21),"00")</f>
        <v>2026-S03</v>
      </c>
      <c r="B229" s="18" t="s">
        <v>73</v>
      </c>
      <c r="C229" s="19" t="n">
        <v>0.333333333333333</v>
      </c>
      <c r="D229" s="19" t="n">
        <v>0.333333333333333</v>
      </c>
      <c r="E229" s="19" t="n">
        <v>0.708333333333333</v>
      </c>
      <c r="F229" s="19" t="n">
        <v>0.708333333333333</v>
      </c>
      <c r="G229" s="20"/>
      <c r="H229" s="20"/>
      <c r="I229" s="8" t="str">
        <f aca="false">IF(IF(OR(C229="",D229="Congé",D229="OFF",D229="Congé spécial"),"",IF(D229&gt;F229,D229-C229,IF(C229-D229&lt;0,0,C229-D229)))&lt;0.00068287037037037,"",IF(OR(D229="Congé",D229="OFF",C229="",D229="Congé spécial"),"",IF(D229&gt;F229,D229-C229,IF(C229-D229&lt;0,0,C229-D229))))</f>
        <v/>
      </c>
      <c r="J229" s="20"/>
      <c r="K229" s="8" t="n">
        <f aca="false">IF(SUM(H229:J229)&lt;0.00068287037037037,0,SUM(H229:J229))</f>
        <v>0</v>
      </c>
      <c r="L229" s="8" t="n">
        <f aca="false">IF(OR(F229="Congé",F229="OFF",M229="Abs",F229="Congé sans solde",F229="Férié",F229="Congé spécial",D229="Congé spécial"),0,IF(F229-E229&lt;0,0,IF(F229-E229&lt;=0.00068287037037037,0,F229-E229)))</f>
        <v>0</v>
      </c>
      <c r="M229" s="6" t="n">
        <f aca="false">IF(AND(O229&lt;&gt;0,C229=""),"Abs",0)</f>
        <v>0</v>
      </c>
      <c r="N229" s="8" t="n">
        <f aca="false">IFERROR(IF(OR(D229="OFF",D229="Congé",M229="Abs",D229="Congé sans solde",D229="Férié"),"",IF(O229-K229-L229&gt;O229,O229,IF(O229-K229-L229&lt;0,"",O229-K229-L229))),"")</f>
        <v>0.333333333333333</v>
      </c>
      <c r="O229" s="8" t="n">
        <f aca="false">IF(AG229="2H Pause déjeuner",IF(F229-D229-0.0833333333333333&lt;0,F229-D229-0.0833333333333333+1,F229-D229-0.0833333333333333),IF(OR(AND(F229="OFF",D229="OFF"),AND(F229="Congé",D229="Congé"),AND(F229="Congé sans solde",D229="Congé sans solde"),AND(F229="Congé spécial",D229="Congé spécial"),AND(F229="Férié",D229="Férié"),AND(F229="OFF",D229="Congé"),AND(F229="OFF",D229="Congé sans solde"),AND(F229="OFF",D229="Congé spécial"),AND(F229="OFF",D229="Férié"),AND(F229="Congé",D229="OFF"),AND(F229="Congé",D229="Congé sans solde"),AND(F229="Congé",D229="Congé spécial"),AND(F229="Congé",D229="Férié"),AND(F229="Congé sans solde",D229="OFF"),AND(F229="Congé sans solde",D229="Congé"),AND(F229="Congé sans solde",D229="Congé spécial"),AND(F229="Congé sans solde",D229="Férié"),AND(F229="Congé spécial",D229="OFF"),AND(F229="Congé spécial",D229="Congé"),AND(F229="Congé spécial",D229="Congé sans solde"),AND(F229="Congé spécial",D229="Férié"),AND(F229="Férié",D229="OFF"),AND(F229="Férié",D229="Congé"),AND(F229="Férié",D229="Congé sans solde"),AND(F229="Férié",D229="Congé spécial")),0,IF(OR(F229="OFF",F229="Congé",F229="Congé spécial",F229="Congé sans solde",D229="OFF",D229="Congé",D229="Congé spécial",D229="Congé sans solde"),0.208333333333334,IF(AND(AG229="",F229-D229&lt;0),("24:00:00"-D229)+("00:00:00"+F229)-0.0416666666666667,IF(AND(OR(AG229="Allaitement",AG229="Sans déjeuner"),F229-D229&lt;0),("24:00:00"-D229)+("00:00:00"+F229),IF(AND(AG229="",F229-D229&gt;0.166666666666667),F229-D229-0.0416666666666667,IF(AND(OR(AG229="Allaitement",AG229="Sans déjeuner"),F229-D229&gt;0.166666666666667),F229-D229,F229-D229)))))))</f>
        <v>0.333333333333333</v>
      </c>
      <c r="P229" s="6" t="str">
        <f aca="false">IFERROR(VLOOKUP($B229,Agents!$A:$D,2,0),"-")</f>
        <v>Accessibilité</v>
      </c>
      <c r="Q229" s="21" t="n">
        <v>46038</v>
      </c>
      <c r="R229" s="8" t="n">
        <f aca="false">IF(M229="Abs",O229,0)</f>
        <v>0</v>
      </c>
      <c r="S229" s="8" t="n">
        <f aca="false">SUM(R229,L229,I229,J229,W229,H229)</f>
        <v>0</v>
      </c>
      <c r="T229" s="6" t="str">
        <f aca="false">"Sem - "&amp;WEEKNUM(Q229,21)</f>
        <v>Sem - 3</v>
      </c>
      <c r="U229" s="6" t="str">
        <f aca="false">CHOOSE(MONTH(Q229),"Janvier","Février","Mars","Avril","Mai","Juin","Juillet","Août","Septembre","Octobre","Novembre","Décembre")</f>
        <v>Janvier</v>
      </c>
      <c r="V229" s="22" t="n">
        <f aca="false">YEAR(Q229)</f>
        <v>2026</v>
      </c>
      <c r="W229" s="20"/>
      <c r="X229" s="8" t="n">
        <f aca="false">IFERROR(IF(M229="Abs",0,IF(ROUND((D229-C229+E229-F229)*1440,0)&lt;=1,0,D229-C229+E229-F229)),0)</f>
        <v>0</v>
      </c>
      <c r="Y229" s="6" t="str">
        <f aca="false">IFERROR(VLOOKUP($B229,Agents!$A:$D,3,0),"-")</f>
        <v>OUBRAHIM Mohammed</v>
      </c>
      <c r="Z229" s="6" t="str">
        <f aca="false">IFERROR(VLOOKUP($B229,Agents!$A:$D,4,0),"-")</f>
        <v>Credit Mutuel</v>
      </c>
      <c r="AA229" s="18" t="s">
        <v>84</v>
      </c>
      <c r="AB229" s="8" t="str">
        <f aca="false">IF(AND(D229="Congé",F229="Congé"),0.333333333333333,IF(OR(AND(D229="Congé",F229&lt;&gt;"Congé"),(AND(F229="Congé",D229&lt;&gt;"Congé"))),0.166666666666667,""))</f>
        <v/>
      </c>
      <c r="AC229" s="8" t="str">
        <f aca="false">IF(AND(D229="Congé sans solde",F229="Congé sans solde"),0.333333333333333,IF(OR(AND(D229="Congé sans solde",F229&lt;&gt;"Congé sans solde"),(AND(F229="Congé sans solde",D229&lt;&gt;"Congé sans solde"))),0.166666666666667,""))</f>
        <v/>
      </c>
      <c r="AD229" s="8" t="str">
        <f aca="false">IF(AND(D229="Congé spécial",F229="Congé spécial"),0.333333333333333,IF(OR(AND(D229="Congé spécial",F229&lt;&gt;"Congé spécial"),AND(F229="Congé spécial",D229&lt;&gt;"Congé spécial")),0.166666666666667,""))</f>
        <v/>
      </c>
      <c r="AE229" s="8" t="str">
        <f aca="false">IF(AND(D229="Férié",F229="Férié"),0.333333333333333,IF(OR(AND(D229="Férié",F229&lt;&gt;"Férié"),(AND(F229="Férié",D229&lt;&gt;"Férié"))),0.166666666666667,""))</f>
        <v/>
      </c>
      <c r="AF229" s="18"/>
      <c r="AG229" s="18"/>
    </row>
    <row r="230" customFormat="false" ht="15" hidden="false" customHeight="false" outlineLevel="0" collapsed="false">
      <c r="A230" s="6" t="str">
        <f aca="false">YEAR(Q230-WEEKDAY(Q230,2)+4)&amp;"-S"&amp;TEXT(WEEKNUM(Q230,21),"00")</f>
        <v>2026-S03</v>
      </c>
      <c r="B230" s="18" t="s">
        <v>69</v>
      </c>
      <c r="C230" s="19"/>
      <c r="D230" s="19" t="s">
        <v>74</v>
      </c>
      <c r="E230" s="19"/>
      <c r="F230" s="19" t="s">
        <v>74</v>
      </c>
      <c r="G230" s="20"/>
      <c r="H230" s="20"/>
      <c r="I230" s="8" t="str">
        <f aca="false">IF(IF(OR(C230="",D230="Congé",D230="OFF",D230="Congé spécial"),"",IF(D230&gt;F230,D230-C230,IF(C230-D230&lt;0,0,C230-D230)))&lt;0.00068287037037037,"",IF(OR(D230="Congé",D230="OFF",C230="",D230="Congé spécial"),"",IF(D230&gt;F230,D230-C230,IF(C230-D230&lt;0,0,C230-D230))))</f>
        <v/>
      </c>
      <c r="J230" s="20"/>
      <c r="K230" s="8" t="n">
        <f aca="false">IF(SUM(H230:J230)&lt;0.00068287037037037,0,SUM(H230:J230))</f>
        <v>0</v>
      </c>
      <c r="L230" s="8" t="n">
        <f aca="false">IF(OR(F230="Congé",F230="OFF",M230="Abs",F230="Congé sans solde",F230="Férié",F230="Congé spécial",D230="Congé spécial"),0,IF(F230-E230&lt;0,0,IF(F230-E230&lt;=0.00068287037037037,0,F230-E230)))</f>
        <v>0</v>
      </c>
      <c r="M230" s="6" t="n">
        <f aca="false">IF(AND(O230&lt;&gt;0,C230=""),"Abs",0)</f>
        <v>0</v>
      </c>
      <c r="N230" s="8" t="str">
        <f aca="false">IFERROR(IF(OR(D230="OFF",D230="Congé",M230="Abs",D230="Congé sans solde",D230="Férié"),"",IF(O230-K230-L230&gt;O230,O230,IF(O230-K230-L230&lt;0,"",O230-K230-L230))),"")</f>
        <v/>
      </c>
      <c r="O230" s="8" t="n">
        <f aca="false">IF(AG230="2H Pause déjeuner",IF(F230-D230-0.0833333333333333&lt;0,F230-D230-0.0833333333333333+1,F230-D230-0.0833333333333333),IF(OR(AND(F230="OFF",D230="OFF"),AND(F230="Congé",D230="Congé"),AND(F230="Congé sans solde",D230="Congé sans solde"),AND(F230="Congé spécial",D230="Congé spécial"),AND(F230="Férié",D230="Férié"),AND(F230="OFF",D230="Congé"),AND(F230="OFF",D230="Congé sans solde"),AND(F230="OFF",D230="Congé spécial"),AND(F230="OFF",D230="Férié"),AND(F230="Congé",D230="OFF"),AND(F230="Congé",D230="Congé sans solde"),AND(F230="Congé",D230="Congé spécial"),AND(F230="Congé",D230="Férié"),AND(F230="Congé sans solde",D230="OFF"),AND(F230="Congé sans solde",D230="Congé"),AND(F230="Congé sans solde",D230="Congé spécial"),AND(F230="Congé sans solde",D230="Férié"),AND(F230="Congé spécial",D230="OFF"),AND(F230="Congé spécial",D230="Congé"),AND(F230="Congé spécial",D230="Congé sans solde"),AND(F230="Congé spécial",D230="Férié"),AND(F230="Férié",D230="OFF"),AND(F230="Férié",D230="Congé"),AND(F230="Férié",D230="Congé sans solde"),AND(F230="Férié",D230="Congé spécial")),0,IF(OR(F230="OFF",F230="Congé",F230="Congé spécial",F230="Congé sans solde",D230="OFF",D230="Congé",D230="Congé spécial",D230="Congé sans solde"),0.208333333333334,IF(AND(AG230="",F230-D230&lt;0),("24:00:00"-D230)+("00:00:00"+F230)-0.0416666666666667,IF(AND(OR(AG230="Allaitement",AG230="Sans déjeuner"),F230-D230&lt;0),("24:00:00"-D230)+("00:00:00"+F230),IF(AND(AG230="",F230-D230&gt;0.166666666666667),F230-D230-0.0416666666666667,IF(AND(OR(AG230="Allaitement",AG230="Sans déjeuner"),F230-D230&gt;0.166666666666667),F230-D230,F230-D230)))))))</f>
        <v>0</v>
      </c>
      <c r="P230" s="6" t="str">
        <f aca="false">IFERROR(VLOOKUP($B230,Agents!$A:$D,2,0),"-")</f>
        <v>Accessibilité</v>
      </c>
      <c r="Q230" s="21" t="n">
        <v>46039</v>
      </c>
      <c r="R230" s="8" t="n">
        <f aca="false">IF(M230="Abs",O230,0)</f>
        <v>0</v>
      </c>
      <c r="S230" s="8" t="n">
        <f aca="false">SUM(R230,L230,I230,J230,W230,H230)</f>
        <v>0</v>
      </c>
      <c r="T230" s="6" t="str">
        <f aca="false">"Sem - "&amp;WEEKNUM(Q230,21)</f>
        <v>Sem - 3</v>
      </c>
      <c r="U230" s="6" t="str">
        <f aca="false">CHOOSE(MONTH(Q230),"Janvier","Février","Mars","Avril","Mai","Juin","Juillet","Août","Septembre","Octobre","Novembre","Décembre")</f>
        <v>Janvier</v>
      </c>
      <c r="V230" s="22" t="n">
        <f aca="false">YEAR(Q230)</f>
        <v>2026</v>
      </c>
      <c r="W230" s="20"/>
      <c r="X230" s="8" t="n">
        <f aca="false">IFERROR(IF(M230="Abs",0,IF(ROUND((D230-C230+E230-F230)*1440,0)&lt;=1,0,D230-C230+E230-F230)),0)</f>
        <v>0</v>
      </c>
      <c r="Y230" s="6" t="str">
        <f aca="false">IFERROR(VLOOKUP($B230,Agents!$A:$D,3,0),"-")</f>
        <v>OUBRAHIM Mohammed</v>
      </c>
      <c r="Z230" s="6" t="str">
        <f aca="false">IFERROR(VLOOKUP($B230,Agents!$A:$D,4,0),"-")</f>
        <v>Credit Mutuel</v>
      </c>
      <c r="AA230" s="18" t="s">
        <v>84</v>
      </c>
      <c r="AB230" s="8" t="str">
        <f aca="false">IF(AND(D230="Congé",F230="Congé"),0.333333333333333,IF(OR(AND(D230="Congé",F230&lt;&gt;"Congé"),(AND(F230="Congé",D230&lt;&gt;"Congé"))),0.166666666666667,""))</f>
        <v/>
      </c>
      <c r="AC230" s="8" t="str">
        <f aca="false">IF(AND(D230="Congé sans solde",F230="Congé sans solde"),0.333333333333333,IF(OR(AND(D230="Congé sans solde",F230&lt;&gt;"Congé sans solde"),(AND(F230="Congé sans solde",D230&lt;&gt;"Congé sans solde"))),0.166666666666667,""))</f>
        <v/>
      </c>
      <c r="AD230" s="8" t="str">
        <f aca="false">IF(AND(D230="Congé spécial",F230="Congé spécial"),0.333333333333333,IF(OR(AND(D230="Congé spécial",F230&lt;&gt;"Congé spécial"),AND(F230="Congé spécial",D230&lt;&gt;"Congé spécial")),0.166666666666667,""))</f>
        <v/>
      </c>
      <c r="AE230" s="8" t="str">
        <f aca="false">IF(AND(D230="Férié",F230="Férié"),0.333333333333333,IF(OR(AND(D230="Férié",F230&lt;&gt;"Férié"),(AND(F230="Férié",D230&lt;&gt;"Férié"))),0.166666666666667,""))</f>
        <v/>
      </c>
      <c r="AF230" s="18"/>
      <c r="AG230" s="18"/>
    </row>
    <row r="231" customFormat="false" ht="15" hidden="false" customHeight="false" outlineLevel="0" collapsed="false">
      <c r="A231" s="6" t="str">
        <f aca="false">YEAR(Q231-WEEKDAY(Q231,2)+4)&amp;"-S"&amp;TEXT(WEEKNUM(Q231,21),"00")</f>
        <v>2026-S03</v>
      </c>
      <c r="B231" s="18" t="s">
        <v>71</v>
      </c>
      <c r="C231" s="19"/>
      <c r="D231" s="19" t="s">
        <v>74</v>
      </c>
      <c r="E231" s="19"/>
      <c r="F231" s="19" t="s">
        <v>74</v>
      </c>
      <c r="G231" s="20"/>
      <c r="H231" s="20"/>
      <c r="I231" s="8" t="str">
        <f aca="false">IF(IF(OR(C231="",D231="Congé",D231="OFF",D231="Congé spécial"),"",IF(D231&gt;F231,D231-C231,IF(C231-D231&lt;0,0,C231-D231)))&lt;0.00068287037037037,"",IF(OR(D231="Congé",D231="OFF",C231="",D231="Congé spécial"),"",IF(D231&gt;F231,D231-C231,IF(C231-D231&lt;0,0,C231-D231))))</f>
        <v/>
      </c>
      <c r="J231" s="20"/>
      <c r="K231" s="8" t="n">
        <f aca="false">IF(SUM(H231:J231)&lt;0.00068287037037037,0,SUM(H231:J231))</f>
        <v>0</v>
      </c>
      <c r="L231" s="8" t="n">
        <f aca="false">IF(OR(F231="Congé",F231="OFF",M231="Abs",F231="Congé sans solde",F231="Férié",F231="Congé spécial",D231="Congé spécial"),0,IF(F231-E231&lt;0,0,IF(F231-E231&lt;=0.00068287037037037,0,F231-E231)))</f>
        <v>0</v>
      </c>
      <c r="M231" s="6" t="n">
        <f aca="false">IF(AND(O231&lt;&gt;0,C231=""),"Abs",0)</f>
        <v>0</v>
      </c>
      <c r="N231" s="8" t="str">
        <f aca="false">IFERROR(IF(OR(D231="OFF",D231="Congé",M231="Abs",D231="Congé sans solde",D231="Férié"),"",IF(O231-K231-L231&gt;O231,O231,IF(O231-K231-L231&lt;0,"",O231-K231-L231))),"")</f>
        <v/>
      </c>
      <c r="O231" s="8" t="n">
        <f aca="false">IF(AG231="2H Pause déjeuner",IF(F231-D231-0.0833333333333333&lt;0,F231-D231-0.0833333333333333+1,F231-D231-0.0833333333333333),IF(OR(AND(F231="OFF",D231="OFF"),AND(F231="Congé",D231="Congé"),AND(F231="Congé sans solde",D231="Congé sans solde"),AND(F231="Congé spécial",D231="Congé spécial"),AND(F231="Férié",D231="Férié"),AND(F231="OFF",D231="Congé"),AND(F231="OFF",D231="Congé sans solde"),AND(F231="OFF",D231="Congé spécial"),AND(F231="OFF",D231="Férié"),AND(F231="Congé",D231="OFF"),AND(F231="Congé",D231="Congé sans solde"),AND(F231="Congé",D231="Congé spécial"),AND(F231="Congé",D231="Férié"),AND(F231="Congé sans solde",D231="OFF"),AND(F231="Congé sans solde",D231="Congé"),AND(F231="Congé sans solde",D231="Congé spécial"),AND(F231="Congé sans solde",D231="Férié"),AND(F231="Congé spécial",D231="OFF"),AND(F231="Congé spécial",D231="Congé"),AND(F231="Congé spécial",D231="Congé sans solde"),AND(F231="Congé spécial",D231="Férié"),AND(F231="Férié",D231="OFF"),AND(F231="Férié",D231="Congé"),AND(F231="Férié",D231="Congé sans solde"),AND(F231="Férié",D231="Congé spécial")),0,IF(OR(F231="OFF",F231="Congé",F231="Congé spécial",F231="Congé sans solde",D231="OFF",D231="Congé",D231="Congé spécial",D231="Congé sans solde"),0.208333333333334,IF(AND(AG231="",F231-D231&lt;0),("24:00:00"-D231)+("00:00:00"+F231)-0.0416666666666667,IF(AND(OR(AG231="Allaitement",AG231="Sans déjeuner"),F231-D231&lt;0),("24:00:00"-D231)+("00:00:00"+F231),IF(AND(AG231="",F231-D231&gt;0.166666666666667),F231-D231-0.0416666666666667,IF(AND(OR(AG231="Allaitement",AG231="Sans déjeuner"),F231-D231&gt;0.166666666666667),F231-D231,F231-D231)))))))</f>
        <v>0</v>
      </c>
      <c r="P231" s="6" t="str">
        <f aca="false">IFERROR(VLOOKUP($B231,Agents!$A:$D,2,0),"-")</f>
        <v>Accessibilité</v>
      </c>
      <c r="Q231" s="21" t="n">
        <v>46039</v>
      </c>
      <c r="R231" s="8" t="n">
        <f aca="false">IF(M231="Abs",O231,0)</f>
        <v>0</v>
      </c>
      <c r="S231" s="8" t="n">
        <f aca="false">SUM(R231,L231,I231,J231,W231,H231)</f>
        <v>0</v>
      </c>
      <c r="T231" s="6" t="str">
        <f aca="false">"Sem - "&amp;WEEKNUM(Q231,21)</f>
        <v>Sem - 3</v>
      </c>
      <c r="U231" s="6" t="str">
        <f aca="false">CHOOSE(MONTH(Q231),"Janvier","Février","Mars","Avril","Mai","Juin","Juillet","Août","Septembre","Octobre","Novembre","Décembre")</f>
        <v>Janvier</v>
      </c>
      <c r="V231" s="22" t="n">
        <f aca="false">YEAR(Q231)</f>
        <v>2026</v>
      </c>
      <c r="W231" s="20"/>
      <c r="X231" s="8" t="n">
        <f aca="false">IFERROR(IF(M231="Abs",0,IF(ROUND((D231-C231+E231-F231)*1440,0)&lt;=1,0,D231-C231+E231-F231)),0)</f>
        <v>0</v>
      </c>
      <c r="Y231" s="6" t="str">
        <f aca="false">IFERROR(VLOOKUP($B231,Agents!$A:$D,3,0),"-")</f>
        <v>OUBRAHIM Mohammed</v>
      </c>
      <c r="Z231" s="6" t="str">
        <f aca="false">IFERROR(VLOOKUP($B231,Agents!$A:$D,4,0),"-")</f>
        <v>Credit Mutuel</v>
      </c>
      <c r="AA231" s="18" t="s">
        <v>84</v>
      </c>
      <c r="AB231" s="8" t="str">
        <f aca="false">IF(AND(D231="Congé",F231="Congé"),0.333333333333333,IF(OR(AND(D231="Congé",F231&lt;&gt;"Congé"),(AND(F231="Congé",D231&lt;&gt;"Congé"))),0.166666666666667,""))</f>
        <v/>
      </c>
      <c r="AC231" s="8" t="str">
        <f aca="false">IF(AND(D231="Congé sans solde",F231="Congé sans solde"),0.333333333333333,IF(OR(AND(D231="Congé sans solde",F231&lt;&gt;"Congé sans solde"),(AND(F231="Congé sans solde",D231&lt;&gt;"Congé sans solde"))),0.166666666666667,""))</f>
        <v/>
      </c>
      <c r="AD231" s="8" t="str">
        <f aca="false">IF(AND(D231="Congé spécial",F231="Congé spécial"),0.333333333333333,IF(OR(AND(D231="Congé spécial",F231&lt;&gt;"Congé spécial"),AND(F231="Congé spécial",D231&lt;&gt;"Congé spécial")),0.166666666666667,""))</f>
        <v/>
      </c>
      <c r="AE231" s="8" t="str">
        <f aca="false">IF(AND(D231="Férié",F231="Férié"),0.333333333333333,IF(OR(AND(D231="Férié",F231&lt;&gt;"Férié"),(AND(F231="Férié",D231&lt;&gt;"Férié"))),0.166666666666667,""))</f>
        <v/>
      </c>
      <c r="AF231" s="18"/>
      <c r="AG231" s="18"/>
    </row>
    <row r="232" customFormat="false" ht="15" hidden="false" customHeight="false" outlineLevel="0" collapsed="false">
      <c r="A232" s="6" t="str">
        <f aca="false">YEAR(Q232-WEEKDAY(Q232,2)+4)&amp;"-S"&amp;TEXT(WEEKNUM(Q232,21),"00")</f>
        <v>2026-S03</v>
      </c>
      <c r="B232" s="18" t="s">
        <v>72</v>
      </c>
      <c r="C232" s="19"/>
      <c r="D232" s="19" t="s">
        <v>74</v>
      </c>
      <c r="E232" s="19"/>
      <c r="F232" s="19" t="s">
        <v>74</v>
      </c>
      <c r="G232" s="20"/>
      <c r="H232" s="20"/>
      <c r="I232" s="8" t="str">
        <f aca="false">IF(IF(OR(C232="",D232="Congé",D232="OFF",D232="Congé spécial"),"",IF(D232&gt;F232,D232-C232,IF(C232-D232&lt;0,0,C232-D232)))&lt;0.00068287037037037,"",IF(OR(D232="Congé",D232="OFF",C232="",D232="Congé spécial"),"",IF(D232&gt;F232,D232-C232,IF(C232-D232&lt;0,0,C232-D232))))</f>
        <v/>
      </c>
      <c r="J232" s="20"/>
      <c r="K232" s="8" t="n">
        <f aca="false">IF(SUM(H232:J232)&lt;0.00068287037037037,0,SUM(H232:J232))</f>
        <v>0</v>
      </c>
      <c r="L232" s="8" t="n">
        <f aca="false">IF(OR(F232="Congé",F232="OFF",M232="Abs",F232="Congé sans solde",F232="Férié",F232="Congé spécial",D232="Congé spécial"),0,IF(F232-E232&lt;0,0,IF(F232-E232&lt;=0.00068287037037037,0,F232-E232)))</f>
        <v>0</v>
      </c>
      <c r="M232" s="6" t="n">
        <f aca="false">IF(AND(O232&lt;&gt;0,C232=""),"Abs",0)</f>
        <v>0</v>
      </c>
      <c r="N232" s="8" t="str">
        <f aca="false">IFERROR(IF(OR(D232="OFF",D232="Congé",M232="Abs",D232="Congé sans solde",D232="Férié"),"",IF(O232-K232-L232&gt;O232,O232,IF(O232-K232-L232&lt;0,"",O232-K232-L232))),"")</f>
        <v/>
      </c>
      <c r="O232" s="8" t="n">
        <f aca="false">IF(AG232="2H Pause déjeuner",IF(F232-D232-0.0833333333333333&lt;0,F232-D232-0.0833333333333333+1,F232-D232-0.0833333333333333),IF(OR(AND(F232="OFF",D232="OFF"),AND(F232="Congé",D232="Congé"),AND(F232="Congé sans solde",D232="Congé sans solde"),AND(F232="Congé spécial",D232="Congé spécial"),AND(F232="Férié",D232="Férié"),AND(F232="OFF",D232="Congé"),AND(F232="OFF",D232="Congé sans solde"),AND(F232="OFF",D232="Congé spécial"),AND(F232="OFF",D232="Férié"),AND(F232="Congé",D232="OFF"),AND(F232="Congé",D232="Congé sans solde"),AND(F232="Congé",D232="Congé spécial"),AND(F232="Congé",D232="Férié"),AND(F232="Congé sans solde",D232="OFF"),AND(F232="Congé sans solde",D232="Congé"),AND(F232="Congé sans solde",D232="Congé spécial"),AND(F232="Congé sans solde",D232="Férié"),AND(F232="Congé spécial",D232="OFF"),AND(F232="Congé spécial",D232="Congé"),AND(F232="Congé spécial",D232="Congé sans solde"),AND(F232="Congé spécial",D232="Férié"),AND(F232="Férié",D232="OFF"),AND(F232="Férié",D232="Congé"),AND(F232="Férié",D232="Congé sans solde"),AND(F232="Férié",D232="Congé spécial")),0,IF(OR(F232="OFF",F232="Congé",F232="Congé spécial",F232="Congé sans solde",D232="OFF",D232="Congé",D232="Congé spécial",D232="Congé sans solde"),0.208333333333334,IF(AND(AG232="",F232-D232&lt;0),("24:00:00"-D232)+("00:00:00"+F232)-0.0416666666666667,IF(AND(OR(AG232="Allaitement",AG232="Sans déjeuner"),F232-D232&lt;0),("24:00:00"-D232)+("00:00:00"+F232),IF(AND(AG232="",F232-D232&gt;0.166666666666667),F232-D232-0.0416666666666667,IF(AND(OR(AG232="Allaitement",AG232="Sans déjeuner"),F232-D232&gt;0.166666666666667),F232-D232,F232-D232)))))))</f>
        <v>0</v>
      </c>
      <c r="P232" s="6" t="str">
        <f aca="false">IFERROR(VLOOKUP($B232,Agents!$A:$D,2,0),"-")</f>
        <v>Accessibilité</v>
      </c>
      <c r="Q232" s="21" t="n">
        <v>46039</v>
      </c>
      <c r="R232" s="8" t="n">
        <f aca="false">IF(M232="Abs",O232,0)</f>
        <v>0</v>
      </c>
      <c r="S232" s="8" t="n">
        <f aca="false">SUM(R232,L232,I232,J232,W232,H232)</f>
        <v>0</v>
      </c>
      <c r="T232" s="6" t="str">
        <f aca="false">"Sem - "&amp;WEEKNUM(Q232,21)</f>
        <v>Sem - 3</v>
      </c>
      <c r="U232" s="6" t="str">
        <f aca="false">CHOOSE(MONTH(Q232),"Janvier","Février","Mars","Avril","Mai","Juin","Juillet","Août","Septembre","Octobre","Novembre","Décembre")</f>
        <v>Janvier</v>
      </c>
      <c r="V232" s="22" t="n">
        <f aca="false">YEAR(Q232)</f>
        <v>2026</v>
      </c>
      <c r="W232" s="20"/>
      <c r="X232" s="8" t="n">
        <f aca="false">IFERROR(IF(M232="Abs",0,IF(ROUND((D232-C232+E232-F232)*1440,0)&lt;=1,0,D232-C232+E232-F232)),0)</f>
        <v>0</v>
      </c>
      <c r="Y232" s="6" t="str">
        <f aca="false">IFERROR(VLOOKUP($B232,Agents!$A:$D,3,0),"-")</f>
        <v>OUBRAHIM Mohammed</v>
      </c>
      <c r="Z232" s="6" t="str">
        <f aca="false">IFERROR(VLOOKUP($B232,Agents!$A:$D,4,0),"-")</f>
        <v>Credit Mutuel</v>
      </c>
      <c r="AA232" s="18" t="s">
        <v>84</v>
      </c>
      <c r="AB232" s="8" t="str">
        <f aca="false">IF(AND(D232="Congé",F232="Congé"),0.333333333333333,IF(OR(AND(D232="Congé",F232&lt;&gt;"Congé"),(AND(F232="Congé",D232&lt;&gt;"Congé"))),0.166666666666667,""))</f>
        <v/>
      </c>
      <c r="AC232" s="8" t="str">
        <f aca="false">IF(AND(D232="Congé sans solde",F232="Congé sans solde"),0.333333333333333,IF(OR(AND(D232="Congé sans solde",F232&lt;&gt;"Congé sans solde"),(AND(F232="Congé sans solde",D232&lt;&gt;"Congé sans solde"))),0.166666666666667,""))</f>
        <v/>
      </c>
      <c r="AD232" s="8" t="str">
        <f aca="false">IF(AND(D232="Congé spécial",F232="Congé spécial"),0.333333333333333,IF(OR(AND(D232="Congé spécial",F232&lt;&gt;"Congé spécial"),AND(F232="Congé spécial",D232&lt;&gt;"Congé spécial")),0.166666666666667,""))</f>
        <v/>
      </c>
      <c r="AE232" s="8" t="str">
        <f aca="false">IF(AND(D232="Férié",F232="Férié"),0.333333333333333,IF(OR(AND(D232="Férié",F232&lt;&gt;"Férié"),(AND(F232="Férié",D232&lt;&gt;"Férié"))),0.166666666666667,""))</f>
        <v/>
      </c>
      <c r="AF232" s="18"/>
      <c r="AG232" s="18"/>
    </row>
    <row r="233" customFormat="false" ht="15" hidden="false" customHeight="false" outlineLevel="0" collapsed="false">
      <c r="A233" s="6" t="str">
        <f aca="false">YEAR(Q233-WEEKDAY(Q233,2)+4)&amp;"-S"&amp;TEXT(WEEKNUM(Q233,21),"00")</f>
        <v>2026-S03</v>
      </c>
      <c r="B233" s="18" t="s">
        <v>73</v>
      </c>
      <c r="C233" s="19"/>
      <c r="D233" s="19" t="s">
        <v>74</v>
      </c>
      <c r="E233" s="19"/>
      <c r="F233" s="19" t="s">
        <v>74</v>
      </c>
      <c r="G233" s="20"/>
      <c r="H233" s="20"/>
      <c r="I233" s="8" t="str">
        <f aca="false">IF(IF(OR(C233="",D233="Congé",D233="OFF",D233="Congé spécial"),"",IF(D233&gt;F233,D233-C233,IF(C233-D233&lt;0,0,C233-D233)))&lt;0.00068287037037037,"",IF(OR(D233="Congé",D233="OFF",C233="",D233="Congé spécial"),"",IF(D233&gt;F233,D233-C233,IF(C233-D233&lt;0,0,C233-D233))))</f>
        <v/>
      </c>
      <c r="J233" s="20"/>
      <c r="K233" s="8" t="n">
        <f aca="false">IF(SUM(H233:J233)&lt;0.00068287037037037,0,SUM(H233:J233))</f>
        <v>0</v>
      </c>
      <c r="L233" s="8" t="n">
        <f aca="false">IF(OR(F233="Congé",F233="OFF",M233="Abs",F233="Congé sans solde",F233="Férié",F233="Congé spécial",D233="Congé spécial"),0,IF(F233-E233&lt;0,0,IF(F233-E233&lt;=0.00068287037037037,0,F233-E233)))</f>
        <v>0</v>
      </c>
      <c r="M233" s="6" t="n">
        <f aca="false">IF(AND(O233&lt;&gt;0,C233=""),"Abs",0)</f>
        <v>0</v>
      </c>
      <c r="N233" s="8" t="str">
        <f aca="false">IFERROR(IF(OR(D233="OFF",D233="Congé",M233="Abs",D233="Congé sans solde",D233="Férié"),"",IF(O233-K233-L233&gt;O233,O233,IF(O233-K233-L233&lt;0,"",O233-K233-L233))),"")</f>
        <v/>
      </c>
      <c r="O233" s="8" t="n">
        <f aca="false">IF(AG233="2H Pause déjeuner",IF(F233-D233-0.0833333333333333&lt;0,F233-D233-0.0833333333333333+1,F233-D233-0.0833333333333333),IF(OR(AND(F233="OFF",D233="OFF"),AND(F233="Congé",D233="Congé"),AND(F233="Congé sans solde",D233="Congé sans solde"),AND(F233="Congé spécial",D233="Congé spécial"),AND(F233="Férié",D233="Férié"),AND(F233="OFF",D233="Congé"),AND(F233="OFF",D233="Congé sans solde"),AND(F233="OFF",D233="Congé spécial"),AND(F233="OFF",D233="Férié"),AND(F233="Congé",D233="OFF"),AND(F233="Congé",D233="Congé sans solde"),AND(F233="Congé",D233="Congé spécial"),AND(F233="Congé",D233="Férié"),AND(F233="Congé sans solde",D233="OFF"),AND(F233="Congé sans solde",D233="Congé"),AND(F233="Congé sans solde",D233="Congé spécial"),AND(F233="Congé sans solde",D233="Férié"),AND(F233="Congé spécial",D233="OFF"),AND(F233="Congé spécial",D233="Congé"),AND(F233="Congé spécial",D233="Congé sans solde"),AND(F233="Congé spécial",D233="Férié"),AND(F233="Férié",D233="OFF"),AND(F233="Férié",D233="Congé"),AND(F233="Férié",D233="Congé sans solde"),AND(F233="Férié",D233="Congé spécial")),0,IF(OR(F233="OFF",F233="Congé",F233="Congé spécial",F233="Congé sans solde",D233="OFF",D233="Congé",D233="Congé spécial",D233="Congé sans solde"),0.208333333333334,IF(AND(AG233="",F233-D233&lt;0),("24:00:00"-D233)+("00:00:00"+F233)-0.0416666666666667,IF(AND(OR(AG233="Allaitement",AG233="Sans déjeuner"),F233-D233&lt;0),("24:00:00"-D233)+("00:00:00"+F233),IF(AND(AG233="",F233-D233&gt;0.166666666666667),F233-D233-0.0416666666666667,IF(AND(OR(AG233="Allaitement",AG233="Sans déjeuner"),F233-D233&gt;0.166666666666667),F233-D233,F233-D233)))))))</f>
        <v>0</v>
      </c>
      <c r="P233" s="6" t="str">
        <f aca="false">IFERROR(VLOOKUP($B233,Agents!$A:$D,2,0),"-")</f>
        <v>Accessibilité</v>
      </c>
      <c r="Q233" s="21" t="n">
        <v>46039</v>
      </c>
      <c r="R233" s="8" t="n">
        <f aca="false">IF(M233="Abs",O233,0)</f>
        <v>0</v>
      </c>
      <c r="S233" s="8" t="n">
        <f aca="false">SUM(R233,L233,I233,J233,W233,H233)</f>
        <v>0</v>
      </c>
      <c r="T233" s="6" t="str">
        <f aca="false">"Sem - "&amp;WEEKNUM(Q233,21)</f>
        <v>Sem - 3</v>
      </c>
      <c r="U233" s="6" t="str">
        <f aca="false">CHOOSE(MONTH(Q233),"Janvier","Février","Mars","Avril","Mai","Juin","Juillet","Août","Septembre","Octobre","Novembre","Décembre")</f>
        <v>Janvier</v>
      </c>
      <c r="V233" s="22" t="n">
        <f aca="false">YEAR(Q233)</f>
        <v>2026</v>
      </c>
      <c r="W233" s="20"/>
      <c r="X233" s="8" t="n">
        <f aca="false">IFERROR(IF(M233="Abs",0,IF(ROUND((D233-C233+E233-F233)*1440,0)&lt;=1,0,D233-C233+E233-F233)),0)</f>
        <v>0</v>
      </c>
      <c r="Y233" s="6" t="str">
        <f aca="false">IFERROR(VLOOKUP($B233,Agents!$A:$D,3,0),"-")</f>
        <v>OUBRAHIM Mohammed</v>
      </c>
      <c r="Z233" s="6" t="str">
        <f aca="false">IFERROR(VLOOKUP($B233,Agents!$A:$D,4,0),"-")</f>
        <v>Credit Mutuel</v>
      </c>
      <c r="AA233" s="18" t="s">
        <v>84</v>
      </c>
      <c r="AB233" s="8" t="str">
        <f aca="false">IF(AND(D233="Congé",F233="Congé"),0.333333333333333,IF(OR(AND(D233="Congé",F233&lt;&gt;"Congé"),(AND(F233="Congé",D233&lt;&gt;"Congé"))),0.166666666666667,""))</f>
        <v/>
      </c>
      <c r="AC233" s="8" t="str">
        <f aca="false">IF(AND(D233="Congé sans solde",F233="Congé sans solde"),0.333333333333333,IF(OR(AND(D233="Congé sans solde",F233&lt;&gt;"Congé sans solde"),(AND(F233="Congé sans solde",D233&lt;&gt;"Congé sans solde"))),0.166666666666667,""))</f>
        <v/>
      </c>
      <c r="AD233" s="8" t="str">
        <f aca="false">IF(AND(D233="Congé spécial",F233="Congé spécial"),0.333333333333333,IF(OR(AND(D233="Congé spécial",F233&lt;&gt;"Congé spécial"),AND(F233="Congé spécial",D233&lt;&gt;"Congé spécial")),0.166666666666667,""))</f>
        <v/>
      </c>
      <c r="AE233" s="8" t="str">
        <f aca="false">IF(AND(D233="Férié",F233="Férié"),0.333333333333333,IF(OR(AND(D233="Férié",F233&lt;&gt;"Férié"),(AND(F233="Férié",D233&lt;&gt;"Férié"))),0.166666666666667,""))</f>
        <v/>
      </c>
      <c r="AF233" s="18"/>
      <c r="AG233" s="18"/>
    </row>
    <row r="234" customFormat="false" ht="15" hidden="false" customHeight="false" outlineLevel="0" collapsed="false">
      <c r="A234" s="6" t="str">
        <f aca="false">YEAR(Q234-WEEKDAY(Q234,2)+4)&amp;"-S"&amp;TEXT(WEEKNUM(Q234,21),"00")</f>
        <v>2026-S03</v>
      </c>
      <c r="B234" s="18" t="s">
        <v>69</v>
      </c>
      <c r="C234" s="19"/>
      <c r="D234" s="19" t="s">
        <v>74</v>
      </c>
      <c r="E234" s="19"/>
      <c r="F234" s="19" t="s">
        <v>74</v>
      </c>
      <c r="G234" s="20"/>
      <c r="H234" s="20"/>
      <c r="I234" s="8" t="str">
        <f aca="false">IF(IF(OR(C234="",D234="Congé",D234="OFF",D234="Congé spécial"),"",IF(D234&gt;F234,D234-C234,IF(C234-D234&lt;0,0,C234-D234)))&lt;0.00068287037037037,"",IF(OR(D234="Congé",D234="OFF",C234="",D234="Congé spécial"),"",IF(D234&gt;F234,D234-C234,IF(C234-D234&lt;0,0,C234-D234))))</f>
        <v/>
      </c>
      <c r="J234" s="20"/>
      <c r="K234" s="8" t="n">
        <f aca="false">IF(SUM(H234:J234)&lt;0.00068287037037037,0,SUM(H234:J234))</f>
        <v>0</v>
      </c>
      <c r="L234" s="8" t="n">
        <f aca="false">IF(OR(F234="Congé",F234="OFF",M234="Abs",F234="Congé sans solde",F234="Férié",F234="Congé spécial",D234="Congé spécial"),0,IF(F234-E234&lt;0,0,IF(F234-E234&lt;=0.00068287037037037,0,F234-E234)))</f>
        <v>0</v>
      </c>
      <c r="M234" s="6" t="n">
        <f aca="false">IF(AND(O234&lt;&gt;0,C234=""),"Abs",0)</f>
        <v>0</v>
      </c>
      <c r="N234" s="8" t="str">
        <f aca="false">IFERROR(IF(OR(D234="OFF",D234="Congé",M234="Abs",D234="Congé sans solde",D234="Férié"),"",IF(O234-K234-L234&gt;O234,O234,IF(O234-K234-L234&lt;0,"",O234-K234-L234))),"")</f>
        <v/>
      </c>
      <c r="O234" s="8" t="n">
        <f aca="false">IF(AG234="2H Pause déjeuner",IF(F234-D234-0.0833333333333333&lt;0,F234-D234-0.0833333333333333+1,F234-D234-0.0833333333333333),IF(OR(AND(F234="OFF",D234="OFF"),AND(F234="Congé",D234="Congé"),AND(F234="Congé sans solde",D234="Congé sans solde"),AND(F234="Congé spécial",D234="Congé spécial"),AND(F234="Férié",D234="Férié"),AND(F234="OFF",D234="Congé"),AND(F234="OFF",D234="Congé sans solde"),AND(F234="OFF",D234="Congé spécial"),AND(F234="OFF",D234="Férié"),AND(F234="Congé",D234="OFF"),AND(F234="Congé",D234="Congé sans solde"),AND(F234="Congé",D234="Congé spécial"),AND(F234="Congé",D234="Férié"),AND(F234="Congé sans solde",D234="OFF"),AND(F234="Congé sans solde",D234="Congé"),AND(F234="Congé sans solde",D234="Congé spécial"),AND(F234="Congé sans solde",D234="Férié"),AND(F234="Congé spécial",D234="OFF"),AND(F234="Congé spécial",D234="Congé"),AND(F234="Congé spécial",D234="Congé sans solde"),AND(F234="Congé spécial",D234="Férié"),AND(F234="Férié",D234="OFF"),AND(F234="Férié",D234="Congé"),AND(F234="Férié",D234="Congé sans solde"),AND(F234="Férié",D234="Congé spécial")),0,IF(OR(F234="OFF",F234="Congé",F234="Congé spécial",F234="Congé sans solde",D234="OFF",D234="Congé",D234="Congé spécial",D234="Congé sans solde"),0.208333333333334,IF(AND(AG234="",F234-D234&lt;0),("24:00:00"-D234)+("00:00:00"+F234)-0.0416666666666667,IF(AND(OR(AG234="Allaitement",AG234="Sans déjeuner"),F234-D234&lt;0),("24:00:00"-D234)+("00:00:00"+F234),IF(AND(AG234="",F234-D234&gt;0.166666666666667),F234-D234-0.0416666666666667,IF(AND(OR(AG234="Allaitement",AG234="Sans déjeuner"),F234-D234&gt;0.166666666666667),F234-D234,F234-D234)))))))</f>
        <v>0</v>
      </c>
      <c r="P234" s="6" t="str">
        <f aca="false">IFERROR(VLOOKUP($B234,Agents!$A:$D,2,0),"-")</f>
        <v>Accessibilité</v>
      </c>
      <c r="Q234" s="21" t="n">
        <v>46040</v>
      </c>
      <c r="R234" s="8" t="n">
        <f aca="false">IF(M234="Abs",O234,0)</f>
        <v>0</v>
      </c>
      <c r="S234" s="8" t="n">
        <f aca="false">SUM(R234,L234,I234,J234,W234,H234)</f>
        <v>0</v>
      </c>
      <c r="T234" s="6" t="str">
        <f aca="false">"Sem - "&amp;WEEKNUM(Q234,21)</f>
        <v>Sem - 3</v>
      </c>
      <c r="U234" s="6" t="str">
        <f aca="false">CHOOSE(MONTH(Q234),"Janvier","Février","Mars","Avril","Mai","Juin","Juillet","Août","Septembre","Octobre","Novembre","Décembre")</f>
        <v>Janvier</v>
      </c>
      <c r="V234" s="22" t="n">
        <f aca="false">YEAR(Q234)</f>
        <v>2026</v>
      </c>
      <c r="W234" s="20"/>
      <c r="X234" s="8" t="n">
        <f aca="false">IFERROR(IF(M234="Abs",0,IF(ROUND((D234-C234+E234-F234)*1440,0)&lt;=1,0,D234-C234+E234-F234)),0)</f>
        <v>0</v>
      </c>
      <c r="Y234" s="6" t="str">
        <f aca="false">IFERROR(VLOOKUP($B234,Agents!$A:$D,3,0),"-")</f>
        <v>OUBRAHIM Mohammed</v>
      </c>
      <c r="Z234" s="6" t="str">
        <f aca="false">IFERROR(VLOOKUP($B234,Agents!$A:$D,4,0),"-")</f>
        <v>Credit Mutuel</v>
      </c>
      <c r="AA234" s="18" t="s">
        <v>84</v>
      </c>
      <c r="AB234" s="8" t="str">
        <f aca="false">IF(AND(D234="Congé",F234="Congé"),0.333333333333333,IF(OR(AND(D234="Congé",F234&lt;&gt;"Congé"),(AND(F234="Congé",D234&lt;&gt;"Congé"))),0.166666666666667,""))</f>
        <v/>
      </c>
      <c r="AC234" s="8" t="str">
        <f aca="false">IF(AND(D234="Congé sans solde",F234="Congé sans solde"),0.333333333333333,IF(OR(AND(D234="Congé sans solde",F234&lt;&gt;"Congé sans solde"),(AND(F234="Congé sans solde",D234&lt;&gt;"Congé sans solde"))),0.166666666666667,""))</f>
        <v/>
      </c>
      <c r="AD234" s="8" t="str">
        <f aca="false">IF(AND(D234="Congé spécial",F234="Congé spécial"),0.333333333333333,IF(OR(AND(D234="Congé spécial",F234&lt;&gt;"Congé spécial"),AND(F234="Congé spécial",D234&lt;&gt;"Congé spécial")),0.166666666666667,""))</f>
        <v/>
      </c>
      <c r="AE234" s="8" t="str">
        <f aca="false">IF(AND(D234="Férié",F234="Férié"),0.333333333333333,IF(OR(AND(D234="Férié",F234&lt;&gt;"Férié"),(AND(F234="Férié",D234&lt;&gt;"Férié"))),0.166666666666667,""))</f>
        <v/>
      </c>
      <c r="AF234" s="18"/>
      <c r="AG234" s="18"/>
    </row>
    <row r="235" customFormat="false" ht="15" hidden="false" customHeight="false" outlineLevel="0" collapsed="false">
      <c r="A235" s="6" t="str">
        <f aca="false">YEAR(Q235-WEEKDAY(Q235,2)+4)&amp;"-S"&amp;TEXT(WEEKNUM(Q235,21),"00")</f>
        <v>2026-S03</v>
      </c>
      <c r="B235" s="18" t="s">
        <v>71</v>
      </c>
      <c r="C235" s="19"/>
      <c r="D235" s="19" t="s">
        <v>74</v>
      </c>
      <c r="E235" s="19"/>
      <c r="F235" s="19" t="s">
        <v>74</v>
      </c>
      <c r="G235" s="20"/>
      <c r="H235" s="20"/>
      <c r="I235" s="8" t="str">
        <f aca="false">IF(IF(OR(C235="",D235="Congé",D235="OFF",D235="Congé spécial"),"",IF(D235&gt;F235,D235-C235,IF(C235-D235&lt;0,0,C235-D235)))&lt;0.00068287037037037,"",IF(OR(D235="Congé",D235="OFF",C235="",D235="Congé spécial"),"",IF(D235&gt;F235,D235-C235,IF(C235-D235&lt;0,0,C235-D235))))</f>
        <v/>
      </c>
      <c r="J235" s="20"/>
      <c r="K235" s="8" t="n">
        <f aca="false">IF(SUM(H235:J235)&lt;0.00068287037037037,0,SUM(H235:J235))</f>
        <v>0</v>
      </c>
      <c r="L235" s="8" t="n">
        <f aca="false">IF(OR(F235="Congé",F235="OFF",M235="Abs",F235="Congé sans solde",F235="Férié",F235="Congé spécial",D235="Congé spécial"),0,IF(F235-E235&lt;0,0,IF(F235-E235&lt;=0.00068287037037037,0,F235-E235)))</f>
        <v>0</v>
      </c>
      <c r="M235" s="6" t="n">
        <f aca="false">IF(AND(O235&lt;&gt;0,C235=""),"Abs",0)</f>
        <v>0</v>
      </c>
      <c r="N235" s="8" t="str">
        <f aca="false">IFERROR(IF(OR(D235="OFF",D235="Congé",M235="Abs",D235="Congé sans solde",D235="Férié"),"",IF(O235-K235-L235&gt;O235,O235,IF(O235-K235-L235&lt;0,"",O235-K235-L235))),"")</f>
        <v/>
      </c>
      <c r="O235" s="8" t="n">
        <f aca="false">IF(AG235="2H Pause déjeuner",IF(F235-D235-0.0833333333333333&lt;0,F235-D235-0.0833333333333333+1,F235-D235-0.0833333333333333),IF(OR(AND(F235="OFF",D235="OFF"),AND(F235="Congé",D235="Congé"),AND(F235="Congé sans solde",D235="Congé sans solde"),AND(F235="Congé spécial",D235="Congé spécial"),AND(F235="Férié",D235="Férié"),AND(F235="OFF",D235="Congé"),AND(F235="OFF",D235="Congé sans solde"),AND(F235="OFF",D235="Congé spécial"),AND(F235="OFF",D235="Férié"),AND(F235="Congé",D235="OFF"),AND(F235="Congé",D235="Congé sans solde"),AND(F235="Congé",D235="Congé spécial"),AND(F235="Congé",D235="Férié"),AND(F235="Congé sans solde",D235="OFF"),AND(F235="Congé sans solde",D235="Congé"),AND(F235="Congé sans solde",D235="Congé spécial"),AND(F235="Congé sans solde",D235="Férié"),AND(F235="Congé spécial",D235="OFF"),AND(F235="Congé spécial",D235="Congé"),AND(F235="Congé spécial",D235="Congé sans solde"),AND(F235="Congé spécial",D235="Férié"),AND(F235="Férié",D235="OFF"),AND(F235="Férié",D235="Congé"),AND(F235="Férié",D235="Congé sans solde"),AND(F235="Férié",D235="Congé spécial")),0,IF(OR(F235="OFF",F235="Congé",F235="Congé spécial",F235="Congé sans solde",D235="OFF",D235="Congé",D235="Congé spécial",D235="Congé sans solde"),0.208333333333334,IF(AND(AG235="",F235-D235&lt;0),("24:00:00"-D235)+("00:00:00"+F235)-0.0416666666666667,IF(AND(OR(AG235="Allaitement",AG235="Sans déjeuner"),F235-D235&lt;0),("24:00:00"-D235)+("00:00:00"+F235),IF(AND(AG235="",F235-D235&gt;0.166666666666667),F235-D235-0.0416666666666667,IF(AND(OR(AG235="Allaitement",AG235="Sans déjeuner"),F235-D235&gt;0.166666666666667),F235-D235,F235-D235)))))))</f>
        <v>0</v>
      </c>
      <c r="P235" s="6" t="str">
        <f aca="false">IFERROR(VLOOKUP($B235,Agents!$A:$D,2,0),"-")</f>
        <v>Accessibilité</v>
      </c>
      <c r="Q235" s="21" t="n">
        <v>46040</v>
      </c>
      <c r="R235" s="8" t="n">
        <f aca="false">IF(M235="Abs",O235,0)</f>
        <v>0</v>
      </c>
      <c r="S235" s="8" t="n">
        <f aca="false">SUM(R235,L235,I235,J235,W235,H235)</f>
        <v>0</v>
      </c>
      <c r="T235" s="6" t="str">
        <f aca="false">"Sem - "&amp;WEEKNUM(Q235,21)</f>
        <v>Sem - 3</v>
      </c>
      <c r="U235" s="6" t="str">
        <f aca="false">CHOOSE(MONTH(Q235),"Janvier","Février","Mars","Avril","Mai","Juin","Juillet","Août","Septembre","Octobre","Novembre","Décembre")</f>
        <v>Janvier</v>
      </c>
      <c r="V235" s="22" t="n">
        <f aca="false">YEAR(Q235)</f>
        <v>2026</v>
      </c>
      <c r="W235" s="20"/>
      <c r="X235" s="8" t="n">
        <f aca="false">IFERROR(IF(M235="Abs",0,IF(ROUND((D235-C235+E235-F235)*1440,0)&lt;=1,0,D235-C235+E235-F235)),0)</f>
        <v>0</v>
      </c>
      <c r="Y235" s="6" t="str">
        <f aca="false">IFERROR(VLOOKUP($B235,Agents!$A:$D,3,0),"-")</f>
        <v>OUBRAHIM Mohammed</v>
      </c>
      <c r="Z235" s="6" t="str">
        <f aca="false">IFERROR(VLOOKUP($B235,Agents!$A:$D,4,0),"-")</f>
        <v>Credit Mutuel</v>
      </c>
      <c r="AA235" s="18" t="s">
        <v>84</v>
      </c>
      <c r="AB235" s="8" t="str">
        <f aca="false">IF(AND(D235="Congé",F235="Congé"),0.333333333333333,IF(OR(AND(D235="Congé",F235&lt;&gt;"Congé"),(AND(F235="Congé",D235&lt;&gt;"Congé"))),0.166666666666667,""))</f>
        <v/>
      </c>
      <c r="AC235" s="8" t="str">
        <f aca="false">IF(AND(D235="Congé sans solde",F235="Congé sans solde"),0.333333333333333,IF(OR(AND(D235="Congé sans solde",F235&lt;&gt;"Congé sans solde"),(AND(F235="Congé sans solde",D235&lt;&gt;"Congé sans solde"))),0.166666666666667,""))</f>
        <v/>
      </c>
      <c r="AD235" s="8" t="str">
        <f aca="false">IF(AND(D235="Congé spécial",F235="Congé spécial"),0.333333333333333,IF(OR(AND(D235="Congé spécial",F235&lt;&gt;"Congé spécial"),AND(F235="Congé spécial",D235&lt;&gt;"Congé spécial")),0.166666666666667,""))</f>
        <v/>
      </c>
      <c r="AE235" s="8" t="str">
        <f aca="false">IF(AND(D235="Férié",F235="Férié"),0.333333333333333,IF(OR(AND(D235="Férié",F235&lt;&gt;"Férié"),(AND(F235="Férié",D235&lt;&gt;"Férié"))),0.166666666666667,""))</f>
        <v/>
      </c>
      <c r="AF235" s="18"/>
      <c r="AG235" s="18"/>
    </row>
    <row r="236" customFormat="false" ht="15" hidden="false" customHeight="false" outlineLevel="0" collapsed="false">
      <c r="A236" s="6" t="str">
        <f aca="false">YEAR(Q236-WEEKDAY(Q236,2)+4)&amp;"-S"&amp;TEXT(WEEKNUM(Q236,21),"00")</f>
        <v>2026-S03</v>
      </c>
      <c r="B236" s="18" t="s">
        <v>72</v>
      </c>
      <c r="C236" s="19"/>
      <c r="D236" s="19" t="s">
        <v>74</v>
      </c>
      <c r="E236" s="19"/>
      <c r="F236" s="19" t="s">
        <v>74</v>
      </c>
      <c r="G236" s="20"/>
      <c r="H236" s="20"/>
      <c r="I236" s="8" t="str">
        <f aca="false">IF(IF(OR(C236="",D236="Congé",D236="OFF",D236="Congé spécial"),"",IF(D236&gt;F236,D236-C236,IF(C236-D236&lt;0,0,C236-D236)))&lt;0.00068287037037037,"",IF(OR(D236="Congé",D236="OFF",C236="",D236="Congé spécial"),"",IF(D236&gt;F236,D236-C236,IF(C236-D236&lt;0,0,C236-D236))))</f>
        <v/>
      </c>
      <c r="J236" s="20"/>
      <c r="K236" s="8" t="n">
        <f aca="false">IF(SUM(H236:J236)&lt;0.00068287037037037,0,SUM(H236:J236))</f>
        <v>0</v>
      </c>
      <c r="L236" s="8" t="n">
        <f aca="false">IF(OR(F236="Congé",F236="OFF",M236="Abs",F236="Congé sans solde",F236="Férié",F236="Congé spécial",D236="Congé spécial"),0,IF(F236-E236&lt;0,0,IF(F236-E236&lt;=0.00068287037037037,0,F236-E236)))</f>
        <v>0</v>
      </c>
      <c r="M236" s="6" t="n">
        <f aca="false">IF(AND(O236&lt;&gt;0,C236=""),"Abs",0)</f>
        <v>0</v>
      </c>
      <c r="N236" s="8" t="str">
        <f aca="false">IFERROR(IF(OR(D236="OFF",D236="Congé",M236="Abs",D236="Congé sans solde",D236="Férié"),"",IF(O236-K236-L236&gt;O236,O236,IF(O236-K236-L236&lt;0,"",O236-K236-L236))),"")</f>
        <v/>
      </c>
      <c r="O236" s="8" t="n">
        <f aca="false">IF(AG236="2H Pause déjeuner",IF(F236-D236-0.0833333333333333&lt;0,F236-D236-0.0833333333333333+1,F236-D236-0.0833333333333333),IF(OR(AND(F236="OFF",D236="OFF"),AND(F236="Congé",D236="Congé"),AND(F236="Congé sans solde",D236="Congé sans solde"),AND(F236="Congé spécial",D236="Congé spécial"),AND(F236="Férié",D236="Férié"),AND(F236="OFF",D236="Congé"),AND(F236="OFF",D236="Congé sans solde"),AND(F236="OFF",D236="Congé spécial"),AND(F236="OFF",D236="Férié"),AND(F236="Congé",D236="OFF"),AND(F236="Congé",D236="Congé sans solde"),AND(F236="Congé",D236="Congé spécial"),AND(F236="Congé",D236="Férié"),AND(F236="Congé sans solde",D236="OFF"),AND(F236="Congé sans solde",D236="Congé"),AND(F236="Congé sans solde",D236="Congé spécial"),AND(F236="Congé sans solde",D236="Férié"),AND(F236="Congé spécial",D236="OFF"),AND(F236="Congé spécial",D236="Congé"),AND(F236="Congé spécial",D236="Congé sans solde"),AND(F236="Congé spécial",D236="Férié"),AND(F236="Férié",D236="OFF"),AND(F236="Férié",D236="Congé"),AND(F236="Férié",D236="Congé sans solde"),AND(F236="Férié",D236="Congé spécial")),0,IF(OR(F236="OFF",F236="Congé",F236="Congé spécial",F236="Congé sans solde",D236="OFF",D236="Congé",D236="Congé spécial",D236="Congé sans solde"),0.208333333333334,IF(AND(AG236="",F236-D236&lt;0),("24:00:00"-D236)+("00:00:00"+F236)-0.0416666666666667,IF(AND(OR(AG236="Allaitement",AG236="Sans déjeuner"),F236-D236&lt;0),("24:00:00"-D236)+("00:00:00"+F236),IF(AND(AG236="",F236-D236&gt;0.166666666666667),F236-D236-0.0416666666666667,IF(AND(OR(AG236="Allaitement",AG236="Sans déjeuner"),F236-D236&gt;0.166666666666667),F236-D236,F236-D236)))))))</f>
        <v>0</v>
      </c>
      <c r="P236" s="6" t="str">
        <f aca="false">IFERROR(VLOOKUP($B236,Agents!$A:$D,2,0),"-")</f>
        <v>Accessibilité</v>
      </c>
      <c r="Q236" s="21" t="n">
        <v>46040</v>
      </c>
      <c r="R236" s="8" t="n">
        <f aca="false">IF(M236="Abs",O236,0)</f>
        <v>0</v>
      </c>
      <c r="S236" s="8" t="n">
        <f aca="false">SUM(R236,L236,I236,J236,W236,H236)</f>
        <v>0</v>
      </c>
      <c r="T236" s="6" t="str">
        <f aca="false">"Sem - "&amp;WEEKNUM(Q236,21)</f>
        <v>Sem - 3</v>
      </c>
      <c r="U236" s="6" t="str">
        <f aca="false">CHOOSE(MONTH(Q236),"Janvier","Février","Mars","Avril","Mai","Juin","Juillet","Août","Septembre","Octobre","Novembre","Décembre")</f>
        <v>Janvier</v>
      </c>
      <c r="V236" s="22" t="n">
        <f aca="false">YEAR(Q236)</f>
        <v>2026</v>
      </c>
      <c r="W236" s="20"/>
      <c r="X236" s="8" t="n">
        <f aca="false">IFERROR(IF(M236="Abs",0,IF(ROUND((D236-C236+E236-F236)*1440,0)&lt;=1,0,D236-C236+E236-F236)),0)</f>
        <v>0</v>
      </c>
      <c r="Y236" s="6" t="str">
        <f aca="false">IFERROR(VLOOKUP($B236,Agents!$A:$D,3,0),"-")</f>
        <v>OUBRAHIM Mohammed</v>
      </c>
      <c r="Z236" s="6" t="str">
        <f aca="false">IFERROR(VLOOKUP($B236,Agents!$A:$D,4,0),"-")</f>
        <v>Credit Mutuel</v>
      </c>
      <c r="AA236" s="18" t="s">
        <v>84</v>
      </c>
      <c r="AB236" s="8" t="str">
        <f aca="false">IF(AND(D236="Congé",F236="Congé"),0.333333333333333,IF(OR(AND(D236="Congé",F236&lt;&gt;"Congé"),(AND(F236="Congé",D236&lt;&gt;"Congé"))),0.166666666666667,""))</f>
        <v/>
      </c>
      <c r="AC236" s="8" t="str">
        <f aca="false">IF(AND(D236="Congé sans solde",F236="Congé sans solde"),0.333333333333333,IF(OR(AND(D236="Congé sans solde",F236&lt;&gt;"Congé sans solde"),(AND(F236="Congé sans solde",D236&lt;&gt;"Congé sans solde"))),0.166666666666667,""))</f>
        <v/>
      </c>
      <c r="AD236" s="8" t="str">
        <f aca="false">IF(AND(D236="Congé spécial",F236="Congé spécial"),0.333333333333333,IF(OR(AND(D236="Congé spécial",F236&lt;&gt;"Congé spécial"),AND(F236="Congé spécial",D236&lt;&gt;"Congé spécial")),0.166666666666667,""))</f>
        <v/>
      </c>
      <c r="AE236" s="8" t="str">
        <f aca="false">IF(AND(D236="Férié",F236="Férié"),0.333333333333333,IF(OR(AND(D236="Férié",F236&lt;&gt;"Férié"),(AND(F236="Férié",D236&lt;&gt;"Férié"))),0.166666666666667,""))</f>
        <v/>
      </c>
      <c r="AF236" s="18"/>
      <c r="AG236" s="18"/>
    </row>
    <row r="237" customFormat="false" ht="15" hidden="false" customHeight="false" outlineLevel="0" collapsed="false">
      <c r="A237" s="6" t="str">
        <f aca="false">YEAR(Q237-WEEKDAY(Q237,2)+4)&amp;"-S"&amp;TEXT(WEEKNUM(Q237,21),"00")</f>
        <v>2026-S03</v>
      </c>
      <c r="B237" s="18" t="s">
        <v>73</v>
      </c>
      <c r="C237" s="19"/>
      <c r="D237" s="19" t="s">
        <v>74</v>
      </c>
      <c r="E237" s="19"/>
      <c r="F237" s="19" t="s">
        <v>74</v>
      </c>
      <c r="G237" s="20"/>
      <c r="H237" s="20"/>
      <c r="I237" s="8" t="str">
        <f aca="false">IF(IF(OR(C237="",D237="Congé",D237="OFF",D237="Congé spécial"),"",IF(D237&gt;F237,D237-C237,IF(C237-D237&lt;0,0,C237-D237)))&lt;0.00068287037037037,"",IF(OR(D237="Congé",D237="OFF",C237="",D237="Congé spécial"),"",IF(D237&gt;F237,D237-C237,IF(C237-D237&lt;0,0,C237-D237))))</f>
        <v/>
      </c>
      <c r="J237" s="20"/>
      <c r="K237" s="8" t="n">
        <f aca="false">IF(SUM(H237:J237)&lt;0.00068287037037037,0,SUM(H237:J237))</f>
        <v>0</v>
      </c>
      <c r="L237" s="8" t="n">
        <f aca="false">IF(OR(F237="Congé",F237="OFF",M237="Abs",F237="Congé sans solde",F237="Férié",F237="Congé spécial",D237="Congé spécial"),0,IF(F237-E237&lt;0,0,IF(F237-E237&lt;=0.00068287037037037,0,F237-E237)))</f>
        <v>0</v>
      </c>
      <c r="M237" s="6" t="n">
        <f aca="false">IF(AND(O237&lt;&gt;0,C237=""),"Abs",0)</f>
        <v>0</v>
      </c>
      <c r="N237" s="8" t="str">
        <f aca="false">IFERROR(IF(OR(D237="OFF",D237="Congé",M237="Abs",D237="Congé sans solde",D237="Férié"),"",IF(O237-K237-L237&gt;O237,O237,IF(O237-K237-L237&lt;0,"",O237-K237-L237))),"")</f>
        <v/>
      </c>
      <c r="O237" s="8" t="n">
        <f aca="false">IF(AG237="2H Pause déjeuner",IF(F237-D237-0.0833333333333333&lt;0,F237-D237-0.0833333333333333+1,F237-D237-0.0833333333333333),IF(OR(AND(F237="OFF",D237="OFF"),AND(F237="Congé",D237="Congé"),AND(F237="Congé sans solde",D237="Congé sans solde"),AND(F237="Congé spécial",D237="Congé spécial"),AND(F237="Férié",D237="Férié"),AND(F237="OFF",D237="Congé"),AND(F237="OFF",D237="Congé sans solde"),AND(F237="OFF",D237="Congé spécial"),AND(F237="OFF",D237="Férié"),AND(F237="Congé",D237="OFF"),AND(F237="Congé",D237="Congé sans solde"),AND(F237="Congé",D237="Congé spécial"),AND(F237="Congé",D237="Férié"),AND(F237="Congé sans solde",D237="OFF"),AND(F237="Congé sans solde",D237="Congé"),AND(F237="Congé sans solde",D237="Congé spécial"),AND(F237="Congé sans solde",D237="Férié"),AND(F237="Congé spécial",D237="OFF"),AND(F237="Congé spécial",D237="Congé"),AND(F237="Congé spécial",D237="Congé sans solde"),AND(F237="Congé spécial",D237="Férié"),AND(F237="Férié",D237="OFF"),AND(F237="Férié",D237="Congé"),AND(F237="Férié",D237="Congé sans solde"),AND(F237="Férié",D237="Congé spécial")),0,IF(OR(F237="OFF",F237="Congé",F237="Congé spécial",F237="Congé sans solde",D237="OFF",D237="Congé",D237="Congé spécial",D237="Congé sans solde"),0.208333333333334,IF(AND(AG237="",F237-D237&lt;0),("24:00:00"-D237)+("00:00:00"+F237)-0.0416666666666667,IF(AND(OR(AG237="Allaitement",AG237="Sans déjeuner"),F237-D237&lt;0),("24:00:00"-D237)+("00:00:00"+F237),IF(AND(AG237="",F237-D237&gt;0.166666666666667),F237-D237-0.0416666666666667,IF(AND(OR(AG237="Allaitement",AG237="Sans déjeuner"),F237-D237&gt;0.166666666666667),F237-D237,F237-D237)))))))</f>
        <v>0</v>
      </c>
      <c r="P237" s="6" t="str">
        <f aca="false">IFERROR(VLOOKUP($B237,Agents!$A:$D,2,0),"-")</f>
        <v>Accessibilité</v>
      </c>
      <c r="Q237" s="21" t="n">
        <v>46040</v>
      </c>
      <c r="R237" s="8" t="n">
        <f aca="false">IF(M237="Abs",O237,0)</f>
        <v>0</v>
      </c>
      <c r="S237" s="8" t="n">
        <f aca="false">SUM(R237,L237,I237,J237,W237,H237)</f>
        <v>0</v>
      </c>
      <c r="T237" s="6" t="str">
        <f aca="false">"Sem - "&amp;WEEKNUM(Q237,21)</f>
        <v>Sem - 3</v>
      </c>
      <c r="U237" s="6" t="str">
        <f aca="false">CHOOSE(MONTH(Q237),"Janvier","Février","Mars","Avril","Mai","Juin","Juillet","Août","Septembre","Octobre","Novembre","Décembre")</f>
        <v>Janvier</v>
      </c>
      <c r="V237" s="22" t="n">
        <f aca="false">YEAR(Q237)</f>
        <v>2026</v>
      </c>
      <c r="W237" s="20"/>
      <c r="X237" s="8" t="n">
        <f aca="false">IFERROR(IF(M237="Abs",0,IF(ROUND((D237-C237+E237-F237)*1440,0)&lt;=1,0,D237-C237+E237-F237)),0)</f>
        <v>0</v>
      </c>
      <c r="Y237" s="6" t="str">
        <f aca="false">IFERROR(VLOOKUP($B237,Agents!$A:$D,3,0),"-")</f>
        <v>OUBRAHIM Mohammed</v>
      </c>
      <c r="Z237" s="6" t="str">
        <f aca="false">IFERROR(VLOOKUP($B237,Agents!$A:$D,4,0),"-")</f>
        <v>Credit Mutuel</v>
      </c>
      <c r="AA237" s="18" t="s">
        <v>84</v>
      </c>
      <c r="AB237" s="8" t="str">
        <f aca="false">IF(AND(D237="Congé",F237="Congé"),0.333333333333333,IF(OR(AND(D237="Congé",F237&lt;&gt;"Congé"),(AND(F237="Congé",D237&lt;&gt;"Congé"))),0.166666666666667,""))</f>
        <v/>
      </c>
      <c r="AC237" s="8" t="str">
        <f aca="false">IF(AND(D237="Congé sans solde",F237="Congé sans solde"),0.333333333333333,IF(OR(AND(D237="Congé sans solde",F237&lt;&gt;"Congé sans solde"),(AND(F237="Congé sans solde",D237&lt;&gt;"Congé sans solde"))),0.166666666666667,""))</f>
        <v/>
      </c>
      <c r="AD237" s="8" t="str">
        <f aca="false">IF(AND(D237="Congé spécial",F237="Congé spécial"),0.333333333333333,IF(OR(AND(D237="Congé spécial",F237&lt;&gt;"Congé spécial"),AND(F237="Congé spécial",D237&lt;&gt;"Congé spécial")),0.166666666666667,""))</f>
        <v/>
      </c>
      <c r="AE237" s="8" t="str">
        <f aca="false">IF(AND(D237="Férié",F237="Férié"),0.333333333333333,IF(OR(AND(D237="Férié",F237&lt;&gt;"Férié"),(AND(F237="Férié",D237&lt;&gt;"Férié"))),0.166666666666667,""))</f>
        <v/>
      </c>
      <c r="AF237" s="18"/>
      <c r="AG237" s="18"/>
    </row>
    <row r="238" customFormat="false" ht="15" hidden="false" customHeight="false" outlineLevel="0" collapsed="false">
      <c r="A238" s="6" t="str">
        <f aca="false">YEAR(Q238-WEEKDAY(Q238,2)+4)&amp;"-S"&amp;TEXT(WEEKNUM(Q238,21),"00")</f>
        <v>2026-S04</v>
      </c>
      <c r="B238" s="18" t="s">
        <v>69</v>
      </c>
      <c r="C238" s="19" t="n">
        <v>0.332638888888889</v>
      </c>
      <c r="D238" s="19" t="n">
        <v>0.333333333333333</v>
      </c>
      <c r="E238" s="19" t="n">
        <v>0.75</v>
      </c>
      <c r="F238" s="19" t="n">
        <v>0.75</v>
      </c>
      <c r="G238" s="20"/>
      <c r="H238" s="20"/>
      <c r="I238" s="8" t="str">
        <f aca="false">IF(IF(OR(C238="",D238="Congé",D238="OFF",D238="Congé spécial"),"",IF(D238&gt;F238,D238-C238,IF(C238-D238&lt;0,0,C238-D238)))&lt;0.00068287037037037,"",IF(OR(D238="Congé",D238="OFF",C238="",D238="Congé spécial"),"",IF(D238&gt;F238,D238-C238,IF(C238-D238&lt;0,0,C238-D238))))</f>
        <v/>
      </c>
      <c r="J238" s="20"/>
      <c r="K238" s="8" t="n">
        <f aca="false">IF(SUM(H238:J238)&lt;0.00068287037037037,0,SUM(H238:J238))</f>
        <v>0</v>
      </c>
      <c r="L238" s="8" t="n">
        <f aca="false">IF(OR(F238="Congé",F238="OFF",M238="Abs",F238="Congé sans solde",F238="Férié",F238="Congé spécial",D238="Congé spécial"),0,IF(F238-E238&lt;0,0,IF(F238-E238&lt;=0.00068287037037037,0,F238-E238)))</f>
        <v>0</v>
      </c>
      <c r="M238" s="6" t="n">
        <f aca="false">IF(AND(O238&lt;&gt;0,C238=""),"Abs",0)</f>
        <v>0</v>
      </c>
      <c r="N238" s="8" t="n">
        <f aca="false">IFERROR(IF(OR(D238="OFF",D238="Congé",M238="Abs",D238="Congé sans solde",D238="Férié"),"",IF(O238-K238-L238&gt;O238,O238,IF(O238-K238-L238&lt;0,"",O238-K238-L238))),"")</f>
        <v>0.375</v>
      </c>
      <c r="O238" s="8" t="n">
        <f aca="false">IF(AG238="2H Pause déjeuner",IF(F238-D238-0.0833333333333333&lt;0,F238-D238-0.0833333333333333+1,F238-D238-0.0833333333333333),IF(OR(AND(F238="OFF",D238="OFF"),AND(F238="Congé",D238="Congé"),AND(F238="Congé sans solde",D238="Congé sans solde"),AND(F238="Congé spécial",D238="Congé spécial"),AND(F238="Férié",D238="Férié"),AND(F238="OFF",D238="Congé"),AND(F238="OFF",D238="Congé sans solde"),AND(F238="OFF",D238="Congé spécial"),AND(F238="OFF",D238="Férié"),AND(F238="Congé",D238="OFF"),AND(F238="Congé",D238="Congé sans solde"),AND(F238="Congé",D238="Congé spécial"),AND(F238="Congé",D238="Férié"),AND(F238="Congé sans solde",D238="OFF"),AND(F238="Congé sans solde",D238="Congé"),AND(F238="Congé sans solde",D238="Congé spécial"),AND(F238="Congé sans solde",D238="Férié"),AND(F238="Congé spécial",D238="OFF"),AND(F238="Congé spécial",D238="Congé"),AND(F238="Congé spécial",D238="Congé sans solde"),AND(F238="Congé spécial",D238="Férié"),AND(F238="Férié",D238="OFF"),AND(F238="Férié",D238="Congé"),AND(F238="Férié",D238="Congé sans solde"),AND(F238="Férié",D238="Congé spécial")),0,IF(OR(F238="OFF",F238="Congé",F238="Congé spécial",F238="Congé sans solde",D238="OFF",D238="Congé",D238="Congé spécial",D238="Congé sans solde"),0.208333333333334,IF(AND(AG238="",F238-D238&lt;0),("24:00:00"-D238)+("00:00:00"+F238)-0.0416666666666667,IF(AND(OR(AG238="Allaitement",AG238="Sans déjeuner"),F238-D238&lt;0),("24:00:00"-D238)+("00:00:00"+F238),IF(AND(AG238="",F238-D238&gt;0.166666666666667),F238-D238-0.0416666666666667,IF(AND(OR(AG238="Allaitement",AG238="Sans déjeuner"),F238-D238&gt;0.166666666666667),F238-D238,F238-D238)))))))</f>
        <v>0.375</v>
      </c>
      <c r="P238" s="6" t="str">
        <f aca="false">IFERROR(VLOOKUP($B238,Agents!$A:$D,2,0),"-")</f>
        <v>Accessibilité</v>
      </c>
      <c r="Q238" s="21" t="n">
        <v>46041</v>
      </c>
      <c r="R238" s="8" t="n">
        <f aca="false">IF(M238="Abs",O238,0)</f>
        <v>0</v>
      </c>
      <c r="S238" s="8" t="n">
        <f aca="false">SUM(R238,L238,I238,J238,W238,H238)</f>
        <v>0</v>
      </c>
      <c r="T238" s="6" t="str">
        <f aca="false">"Sem - "&amp;WEEKNUM(Q238,21)</f>
        <v>Sem - 4</v>
      </c>
      <c r="U238" s="6" t="str">
        <f aca="false">CHOOSE(MONTH(Q238),"Janvier","Février","Mars","Avril","Mai","Juin","Juillet","Août","Septembre","Octobre","Novembre","Décembre")</f>
        <v>Janvier</v>
      </c>
      <c r="V238" s="22" t="n">
        <f aca="false">YEAR(Q238)</f>
        <v>2026</v>
      </c>
      <c r="W238" s="20"/>
      <c r="X238" s="8" t="n">
        <f aca="false">IFERROR(IF(M238="Abs",0,IF(ROUND((D238-C238+E238-F238)*1440,0)&lt;=1,0,D238-C238+E238-F238)),0)</f>
        <v>0</v>
      </c>
      <c r="Y238" s="6" t="str">
        <f aca="false">IFERROR(VLOOKUP($B238,Agents!$A:$D,3,0),"-")</f>
        <v>OUBRAHIM Mohammed</v>
      </c>
      <c r="Z238" s="6" t="str">
        <f aca="false">IFERROR(VLOOKUP($B238,Agents!$A:$D,4,0),"-")</f>
        <v>Credit Mutuel</v>
      </c>
      <c r="AA238" s="18" t="s">
        <v>85</v>
      </c>
      <c r="AB238" s="8" t="str">
        <f aca="false">IF(AND(D238="Congé",F238="Congé"),0.333333333333333,IF(OR(AND(D238="Congé",F238&lt;&gt;"Congé"),(AND(F238="Congé",D238&lt;&gt;"Congé"))),0.166666666666667,""))</f>
        <v/>
      </c>
      <c r="AC238" s="8" t="str">
        <f aca="false">IF(AND(D238="Congé sans solde",F238="Congé sans solde"),0.333333333333333,IF(OR(AND(D238="Congé sans solde",F238&lt;&gt;"Congé sans solde"),(AND(F238="Congé sans solde",D238&lt;&gt;"Congé sans solde"))),0.166666666666667,""))</f>
        <v/>
      </c>
      <c r="AD238" s="8" t="str">
        <f aca="false">IF(AND(D238="Congé spécial",F238="Congé spécial"),0.333333333333333,IF(OR(AND(D238="Congé spécial",F238&lt;&gt;"Congé spécial"),AND(F238="Congé spécial",D238&lt;&gt;"Congé spécial")),0.166666666666667,""))</f>
        <v/>
      </c>
      <c r="AE238" s="8" t="str">
        <f aca="false">IF(AND(D238="Férié",F238="Férié"),0.333333333333333,IF(OR(AND(D238="Férié",F238&lt;&gt;"Férié"),(AND(F238="Férié",D238&lt;&gt;"Férié"))),0.166666666666667,""))</f>
        <v/>
      </c>
      <c r="AF238" s="18"/>
      <c r="AG238" s="18"/>
    </row>
    <row r="239" customFormat="false" ht="15" hidden="false" customHeight="false" outlineLevel="0" collapsed="false">
      <c r="A239" s="6" t="str">
        <f aca="false">YEAR(Q239-WEEKDAY(Q239,2)+4)&amp;"-S"&amp;TEXT(WEEKNUM(Q239,21),"00")</f>
        <v>2026-S04</v>
      </c>
      <c r="B239" s="18" t="s">
        <v>71</v>
      </c>
      <c r="C239" s="19" t="n">
        <v>0.327083333333333</v>
      </c>
      <c r="D239" s="19" t="n">
        <v>0.333333333333333</v>
      </c>
      <c r="E239" s="19" t="n">
        <v>0.75</v>
      </c>
      <c r="F239" s="19" t="n">
        <v>0.75</v>
      </c>
      <c r="G239" s="20"/>
      <c r="H239" s="20"/>
      <c r="I239" s="8" t="str">
        <f aca="false">IF(IF(OR(C239="",D239="Congé",D239="OFF",D239="Congé spécial"),"",IF(D239&gt;F239,D239-C239,IF(C239-D239&lt;0,0,C239-D239)))&lt;0.00068287037037037,"",IF(OR(D239="Congé",D239="OFF",C239="",D239="Congé spécial"),"",IF(D239&gt;F239,D239-C239,IF(C239-D239&lt;0,0,C239-D239))))</f>
        <v/>
      </c>
      <c r="J239" s="20"/>
      <c r="K239" s="8" t="n">
        <f aca="false">IF(SUM(H239:J239)&lt;0.00068287037037037,0,SUM(H239:J239))</f>
        <v>0</v>
      </c>
      <c r="L239" s="8" t="n">
        <f aca="false">IF(OR(F239="Congé",F239="OFF",M239="Abs",F239="Congé sans solde",F239="Férié",F239="Congé spécial",D239="Congé spécial"),0,IF(F239-E239&lt;0,0,IF(F239-E239&lt;=0.00068287037037037,0,F239-E239)))</f>
        <v>0</v>
      </c>
      <c r="M239" s="6" t="n">
        <f aca="false">IF(AND(O239&lt;&gt;0,C239=""),"Abs",0)</f>
        <v>0</v>
      </c>
      <c r="N239" s="8" t="n">
        <f aca="false">IFERROR(IF(OR(D239="OFF",D239="Congé",M239="Abs",D239="Congé sans solde",D239="Férié"),"",IF(O239-K239-L239&gt;O239,O239,IF(O239-K239-L239&lt;0,"",O239-K239-L239))),"")</f>
        <v>0.375</v>
      </c>
      <c r="O239" s="8" t="n">
        <f aca="false">IF(AG239="2H Pause déjeuner",IF(F239-D239-0.0833333333333333&lt;0,F239-D239-0.0833333333333333+1,F239-D239-0.0833333333333333),IF(OR(AND(F239="OFF",D239="OFF"),AND(F239="Congé",D239="Congé"),AND(F239="Congé sans solde",D239="Congé sans solde"),AND(F239="Congé spécial",D239="Congé spécial"),AND(F239="Férié",D239="Férié"),AND(F239="OFF",D239="Congé"),AND(F239="OFF",D239="Congé sans solde"),AND(F239="OFF",D239="Congé spécial"),AND(F239="OFF",D239="Férié"),AND(F239="Congé",D239="OFF"),AND(F239="Congé",D239="Congé sans solde"),AND(F239="Congé",D239="Congé spécial"),AND(F239="Congé",D239="Férié"),AND(F239="Congé sans solde",D239="OFF"),AND(F239="Congé sans solde",D239="Congé"),AND(F239="Congé sans solde",D239="Congé spécial"),AND(F239="Congé sans solde",D239="Férié"),AND(F239="Congé spécial",D239="OFF"),AND(F239="Congé spécial",D239="Congé"),AND(F239="Congé spécial",D239="Congé sans solde"),AND(F239="Congé spécial",D239="Férié"),AND(F239="Férié",D239="OFF"),AND(F239="Férié",D239="Congé"),AND(F239="Férié",D239="Congé sans solde"),AND(F239="Férié",D239="Congé spécial")),0,IF(OR(F239="OFF",F239="Congé",F239="Congé spécial",F239="Congé sans solde",D239="OFF",D239="Congé",D239="Congé spécial",D239="Congé sans solde"),0.208333333333334,IF(AND(AG239="",F239-D239&lt;0),("24:00:00"-D239)+("00:00:00"+F239)-0.0416666666666667,IF(AND(OR(AG239="Allaitement",AG239="Sans déjeuner"),F239-D239&lt;0),("24:00:00"-D239)+("00:00:00"+F239),IF(AND(AG239="",F239-D239&gt;0.166666666666667),F239-D239-0.0416666666666667,IF(AND(OR(AG239="Allaitement",AG239="Sans déjeuner"),F239-D239&gt;0.166666666666667),F239-D239,F239-D239)))))))</f>
        <v>0.375</v>
      </c>
      <c r="P239" s="6" t="str">
        <f aca="false">IFERROR(VLOOKUP($B239,Agents!$A:$D,2,0),"-")</f>
        <v>Accessibilité</v>
      </c>
      <c r="Q239" s="21" t="n">
        <v>46041</v>
      </c>
      <c r="R239" s="8" t="n">
        <f aca="false">IF(M239="Abs",O239,0)</f>
        <v>0</v>
      </c>
      <c r="S239" s="8" t="n">
        <f aca="false">SUM(R239,L239,I239,J239,W239,H239)</f>
        <v>0</v>
      </c>
      <c r="T239" s="6" t="str">
        <f aca="false">"Sem - "&amp;WEEKNUM(Q239,21)</f>
        <v>Sem - 4</v>
      </c>
      <c r="U239" s="6" t="str">
        <f aca="false">CHOOSE(MONTH(Q239),"Janvier","Février","Mars","Avril","Mai","Juin","Juillet","Août","Septembre","Octobre","Novembre","Décembre")</f>
        <v>Janvier</v>
      </c>
      <c r="V239" s="22" t="n">
        <f aca="false">YEAR(Q239)</f>
        <v>2026</v>
      </c>
      <c r="W239" s="20"/>
      <c r="X239" s="8" t="n">
        <f aca="false">IFERROR(IF(M239="Abs",0,IF(ROUND((D239-C239+E239-F239)*1440,0)&lt;=1,0,D239-C239+E239-F239)),0)</f>
        <v>0.00625</v>
      </c>
      <c r="Y239" s="6" t="str">
        <f aca="false">IFERROR(VLOOKUP($B239,Agents!$A:$D,3,0),"-")</f>
        <v>OUBRAHIM Mohammed</v>
      </c>
      <c r="Z239" s="6" t="str">
        <f aca="false">IFERROR(VLOOKUP($B239,Agents!$A:$D,4,0),"-")</f>
        <v>Credit Mutuel</v>
      </c>
      <c r="AA239" s="18" t="s">
        <v>85</v>
      </c>
      <c r="AB239" s="8" t="str">
        <f aca="false">IF(AND(D239="Congé",F239="Congé"),0.333333333333333,IF(OR(AND(D239="Congé",F239&lt;&gt;"Congé"),(AND(F239="Congé",D239&lt;&gt;"Congé"))),0.166666666666667,""))</f>
        <v/>
      </c>
      <c r="AC239" s="8" t="str">
        <f aca="false">IF(AND(D239="Congé sans solde",F239="Congé sans solde"),0.333333333333333,IF(OR(AND(D239="Congé sans solde",F239&lt;&gt;"Congé sans solde"),(AND(F239="Congé sans solde",D239&lt;&gt;"Congé sans solde"))),0.166666666666667,""))</f>
        <v/>
      </c>
      <c r="AD239" s="8" t="str">
        <f aca="false">IF(AND(D239="Congé spécial",F239="Congé spécial"),0.333333333333333,IF(OR(AND(D239="Congé spécial",F239&lt;&gt;"Congé spécial"),AND(F239="Congé spécial",D239&lt;&gt;"Congé spécial")),0.166666666666667,""))</f>
        <v/>
      </c>
      <c r="AE239" s="8" t="str">
        <f aca="false">IF(AND(D239="Férié",F239="Férié"),0.333333333333333,IF(OR(AND(D239="Férié",F239&lt;&gt;"Férié"),(AND(F239="Férié",D239&lt;&gt;"Férié"))),0.166666666666667,""))</f>
        <v/>
      </c>
      <c r="AF239" s="18"/>
      <c r="AG239" s="18"/>
    </row>
    <row r="240" customFormat="false" ht="15" hidden="false" customHeight="false" outlineLevel="0" collapsed="false">
      <c r="A240" s="6" t="str">
        <f aca="false">YEAR(Q240-WEEKDAY(Q240,2)+4)&amp;"-S"&amp;TEXT(WEEKNUM(Q240,21),"00")</f>
        <v>2026-S04</v>
      </c>
      <c r="B240" s="18" t="s">
        <v>72</v>
      </c>
      <c r="C240" s="19" t="n">
        <v>0.331944444444444</v>
      </c>
      <c r="D240" s="19" t="n">
        <v>0.333333333333333</v>
      </c>
      <c r="E240" s="19" t="n">
        <v>0.75</v>
      </c>
      <c r="F240" s="19" t="n">
        <v>0.75</v>
      </c>
      <c r="G240" s="20"/>
      <c r="H240" s="20"/>
      <c r="I240" s="8" t="str">
        <f aca="false">IF(IF(OR(C240="",D240="Congé",D240="OFF",D240="Congé spécial"),"",IF(D240&gt;F240,D240-C240,IF(C240-D240&lt;0,0,C240-D240)))&lt;0.00068287037037037,"",IF(OR(D240="Congé",D240="OFF",C240="",D240="Congé spécial"),"",IF(D240&gt;F240,D240-C240,IF(C240-D240&lt;0,0,C240-D240))))</f>
        <v/>
      </c>
      <c r="J240" s="20"/>
      <c r="K240" s="8" t="n">
        <f aca="false">IF(SUM(H240:J240)&lt;0.00068287037037037,0,SUM(H240:J240))</f>
        <v>0</v>
      </c>
      <c r="L240" s="8" t="n">
        <f aca="false">IF(OR(F240="Congé",F240="OFF",M240="Abs",F240="Congé sans solde",F240="Férié",F240="Congé spécial",D240="Congé spécial"),0,IF(F240-E240&lt;0,0,IF(F240-E240&lt;=0.00068287037037037,0,F240-E240)))</f>
        <v>0</v>
      </c>
      <c r="M240" s="6" t="n">
        <f aca="false">IF(AND(O240&lt;&gt;0,C240=""),"Abs",0)</f>
        <v>0</v>
      </c>
      <c r="N240" s="8" t="n">
        <f aca="false">IFERROR(IF(OR(D240="OFF",D240="Congé",M240="Abs",D240="Congé sans solde",D240="Férié"),"",IF(O240-K240-L240&gt;O240,O240,IF(O240-K240-L240&lt;0,"",O240-K240-L240))),"")</f>
        <v>0.375</v>
      </c>
      <c r="O240" s="8" t="n">
        <f aca="false">IF(AG240="2H Pause déjeuner",IF(F240-D240-0.0833333333333333&lt;0,F240-D240-0.0833333333333333+1,F240-D240-0.0833333333333333),IF(OR(AND(F240="OFF",D240="OFF"),AND(F240="Congé",D240="Congé"),AND(F240="Congé sans solde",D240="Congé sans solde"),AND(F240="Congé spécial",D240="Congé spécial"),AND(F240="Férié",D240="Férié"),AND(F240="OFF",D240="Congé"),AND(F240="OFF",D240="Congé sans solde"),AND(F240="OFF",D240="Congé spécial"),AND(F240="OFF",D240="Férié"),AND(F240="Congé",D240="OFF"),AND(F240="Congé",D240="Congé sans solde"),AND(F240="Congé",D240="Congé spécial"),AND(F240="Congé",D240="Férié"),AND(F240="Congé sans solde",D240="OFF"),AND(F240="Congé sans solde",D240="Congé"),AND(F240="Congé sans solde",D240="Congé spécial"),AND(F240="Congé sans solde",D240="Férié"),AND(F240="Congé spécial",D240="OFF"),AND(F240="Congé spécial",D240="Congé"),AND(F240="Congé spécial",D240="Congé sans solde"),AND(F240="Congé spécial",D240="Férié"),AND(F240="Férié",D240="OFF"),AND(F240="Férié",D240="Congé"),AND(F240="Férié",D240="Congé sans solde"),AND(F240="Férié",D240="Congé spécial")),0,IF(OR(F240="OFF",F240="Congé",F240="Congé spécial",F240="Congé sans solde",D240="OFF",D240="Congé",D240="Congé spécial",D240="Congé sans solde"),0.208333333333334,IF(AND(AG240="",F240-D240&lt;0),("24:00:00"-D240)+("00:00:00"+F240)-0.0416666666666667,IF(AND(OR(AG240="Allaitement",AG240="Sans déjeuner"),F240-D240&lt;0),("24:00:00"-D240)+("00:00:00"+F240),IF(AND(AG240="",F240-D240&gt;0.166666666666667),F240-D240-0.0416666666666667,IF(AND(OR(AG240="Allaitement",AG240="Sans déjeuner"),F240-D240&gt;0.166666666666667),F240-D240,F240-D240)))))))</f>
        <v>0.375</v>
      </c>
      <c r="P240" s="6" t="str">
        <f aca="false">IFERROR(VLOOKUP($B240,Agents!$A:$D,2,0),"-")</f>
        <v>Accessibilité</v>
      </c>
      <c r="Q240" s="21" t="n">
        <v>46041</v>
      </c>
      <c r="R240" s="8" t="n">
        <f aca="false">IF(M240="Abs",O240,0)</f>
        <v>0</v>
      </c>
      <c r="S240" s="8" t="n">
        <f aca="false">SUM(R240,L240,I240,J240,W240,H240)</f>
        <v>0</v>
      </c>
      <c r="T240" s="6" t="str">
        <f aca="false">"Sem - "&amp;WEEKNUM(Q240,21)</f>
        <v>Sem - 4</v>
      </c>
      <c r="U240" s="6" t="str">
        <f aca="false">CHOOSE(MONTH(Q240),"Janvier","Février","Mars","Avril","Mai","Juin","Juillet","Août","Septembre","Octobre","Novembre","Décembre")</f>
        <v>Janvier</v>
      </c>
      <c r="V240" s="22" t="n">
        <f aca="false">YEAR(Q240)</f>
        <v>2026</v>
      </c>
      <c r="W240" s="20"/>
      <c r="X240" s="8" t="n">
        <f aca="false">IFERROR(IF(M240="Abs",0,IF(ROUND((D240-C240+E240-F240)*1440,0)&lt;=1,0,D240-C240+E240-F240)),0)</f>
        <v>0.00138888888888889</v>
      </c>
      <c r="Y240" s="6" t="str">
        <f aca="false">IFERROR(VLOOKUP($B240,Agents!$A:$D,3,0),"-")</f>
        <v>OUBRAHIM Mohammed</v>
      </c>
      <c r="Z240" s="6" t="str">
        <f aca="false">IFERROR(VLOOKUP($B240,Agents!$A:$D,4,0),"-")</f>
        <v>Credit Mutuel</v>
      </c>
      <c r="AA240" s="18" t="s">
        <v>85</v>
      </c>
      <c r="AB240" s="8" t="str">
        <f aca="false">IF(AND(D240="Congé",F240="Congé"),0.333333333333333,IF(OR(AND(D240="Congé",F240&lt;&gt;"Congé"),(AND(F240="Congé",D240&lt;&gt;"Congé"))),0.166666666666667,""))</f>
        <v/>
      </c>
      <c r="AC240" s="8" t="str">
        <f aca="false">IF(AND(D240="Congé sans solde",F240="Congé sans solde"),0.333333333333333,IF(OR(AND(D240="Congé sans solde",F240&lt;&gt;"Congé sans solde"),(AND(F240="Congé sans solde",D240&lt;&gt;"Congé sans solde"))),0.166666666666667,""))</f>
        <v/>
      </c>
      <c r="AD240" s="8" t="str">
        <f aca="false">IF(AND(D240="Congé spécial",F240="Congé spécial"),0.333333333333333,IF(OR(AND(D240="Congé spécial",F240&lt;&gt;"Congé spécial"),AND(F240="Congé spécial",D240&lt;&gt;"Congé spécial")),0.166666666666667,""))</f>
        <v/>
      </c>
      <c r="AE240" s="8" t="str">
        <f aca="false">IF(AND(D240="Férié",F240="Férié"),0.333333333333333,IF(OR(AND(D240="Férié",F240&lt;&gt;"Férié"),(AND(F240="Férié",D240&lt;&gt;"Férié"))),0.166666666666667,""))</f>
        <v/>
      </c>
      <c r="AF240" s="18"/>
      <c r="AG240" s="18"/>
    </row>
    <row r="241" customFormat="false" ht="15" hidden="false" customHeight="false" outlineLevel="0" collapsed="false">
      <c r="A241" s="6" t="str">
        <f aca="false">YEAR(Q241-WEEKDAY(Q241,2)+4)&amp;"-S"&amp;TEXT(WEEKNUM(Q241,21),"00")</f>
        <v>2026-S04</v>
      </c>
      <c r="B241" s="18" t="s">
        <v>73</v>
      </c>
      <c r="C241" s="19" t="n">
        <v>0.331944444444444</v>
      </c>
      <c r="D241" s="19" t="n">
        <v>0.333333333333333</v>
      </c>
      <c r="E241" s="19" t="n">
        <v>0.75</v>
      </c>
      <c r="F241" s="19" t="n">
        <v>0.75</v>
      </c>
      <c r="G241" s="20"/>
      <c r="H241" s="20"/>
      <c r="I241" s="8" t="str">
        <f aca="false">IF(IF(OR(C241="",D241="Congé",D241="OFF",D241="Congé spécial"),"",IF(D241&gt;F241,D241-C241,IF(C241-D241&lt;0,0,C241-D241)))&lt;0.00068287037037037,"",IF(OR(D241="Congé",D241="OFF",C241="",D241="Congé spécial"),"",IF(D241&gt;F241,D241-C241,IF(C241-D241&lt;0,0,C241-D241))))</f>
        <v/>
      </c>
      <c r="J241" s="20"/>
      <c r="K241" s="8" t="n">
        <f aca="false">IF(SUM(H241:J241)&lt;0.00068287037037037,0,SUM(H241:J241))</f>
        <v>0</v>
      </c>
      <c r="L241" s="8" t="n">
        <f aca="false">IF(OR(F241="Congé",F241="OFF",M241="Abs",F241="Congé sans solde",F241="Férié",F241="Congé spécial",D241="Congé spécial"),0,IF(F241-E241&lt;0,0,IF(F241-E241&lt;=0.00068287037037037,0,F241-E241)))</f>
        <v>0</v>
      </c>
      <c r="M241" s="6" t="n">
        <f aca="false">IF(AND(O241&lt;&gt;0,C241=""),"Abs",0)</f>
        <v>0</v>
      </c>
      <c r="N241" s="8" t="n">
        <f aca="false">IFERROR(IF(OR(D241="OFF",D241="Congé",M241="Abs",D241="Congé sans solde",D241="Férié"),"",IF(O241-K241-L241&gt;O241,O241,IF(O241-K241-L241&lt;0,"",O241-K241-L241))),"")</f>
        <v>0.375</v>
      </c>
      <c r="O241" s="8" t="n">
        <f aca="false">IF(AG241="2H Pause déjeuner",IF(F241-D241-0.0833333333333333&lt;0,F241-D241-0.0833333333333333+1,F241-D241-0.0833333333333333),IF(OR(AND(F241="OFF",D241="OFF"),AND(F241="Congé",D241="Congé"),AND(F241="Congé sans solde",D241="Congé sans solde"),AND(F241="Congé spécial",D241="Congé spécial"),AND(F241="Férié",D241="Férié"),AND(F241="OFF",D241="Congé"),AND(F241="OFF",D241="Congé sans solde"),AND(F241="OFF",D241="Congé spécial"),AND(F241="OFF",D241="Férié"),AND(F241="Congé",D241="OFF"),AND(F241="Congé",D241="Congé sans solde"),AND(F241="Congé",D241="Congé spécial"),AND(F241="Congé",D241="Férié"),AND(F241="Congé sans solde",D241="OFF"),AND(F241="Congé sans solde",D241="Congé"),AND(F241="Congé sans solde",D241="Congé spécial"),AND(F241="Congé sans solde",D241="Férié"),AND(F241="Congé spécial",D241="OFF"),AND(F241="Congé spécial",D241="Congé"),AND(F241="Congé spécial",D241="Congé sans solde"),AND(F241="Congé spécial",D241="Férié"),AND(F241="Férié",D241="OFF"),AND(F241="Férié",D241="Congé"),AND(F241="Férié",D241="Congé sans solde"),AND(F241="Férié",D241="Congé spécial")),0,IF(OR(F241="OFF",F241="Congé",F241="Congé spécial",F241="Congé sans solde",D241="OFF",D241="Congé",D241="Congé spécial",D241="Congé sans solde"),0.208333333333334,IF(AND(AG241="",F241-D241&lt;0),("24:00:00"-D241)+("00:00:00"+F241)-0.0416666666666667,IF(AND(OR(AG241="Allaitement",AG241="Sans déjeuner"),F241-D241&lt;0),("24:00:00"-D241)+("00:00:00"+F241),IF(AND(AG241="",F241-D241&gt;0.166666666666667),F241-D241-0.0416666666666667,IF(AND(OR(AG241="Allaitement",AG241="Sans déjeuner"),F241-D241&gt;0.166666666666667),F241-D241,F241-D241)))))))</f>
        <v>0.375</v>
      </c>
      <c r="P241" s="6" t="str">
        <f aca="false">IFERROR(VLOOKUP($B241,Agents!$A:$D,2,0),"-")</f>
        <v>Accessibilité</v>
      </c>
      <c r="Q241" s="21" t="n">
        <v>46041</v>
      </c>
      <c r="R241" s="8" t="n">
        <f aca="false">IF(M241="Abs",O241,0)</f>
        <v>0</v>
      </c>
      <c r="S241" s="8" t="n">
        <f aca="false">SUM(R241,L241,I241,J241,W241,H241)</f>
        <v>0</v>
      </c>
      <c r="T241" s="6" t="str">
        <f aca="false">"Sem - "&amp;WEEKNUM(Q241,21)</f>
        <v>Sem - 4</v>
      </c>
      <c r="U241" s="6" t="str">
        <f aca="false">CHOOSE(MONTH(Q241),"Janvier","Février","Mars","Avril","Mai","Juin","Juillet","Août","Septembre","Octobre","Novembre","Décembre")</f>
        <v>Janvier</v>
      </c>
      <c r="V241" s="22" t="n">
        <f aca="false">YEAR(Q241)</f>
        <v>2026</v>
      </c>
      <c r="W241" s="20"/>
      <c r="X241" s="8" t="n">
        <f aca="false">IFERROR(IF(M241="Abs",0,IF(ROUND((D241-C241+E241-F241)*1440,0)&lt;=1,0,D241-C241+E241-F241)),0)</f>
        <v>0.00138888888888889</v>
      </c>
      <c r="Y241" s="6" t="str">
        <f aca="false">IFERROR(VLOOKUP($B241,Agents!$A:$D,3,0),"-")</f>
        <v>OUBRAHIM Mohammed</v>
      </c>
      <c r="Z241" s="6" t="str">
        <f aca="false">IFERROR(VLOOKUP($B241,Agents!$A:$D,4,0),"-")</f>
        <v>Credit Mutuel</v>
      </c>
      <c r="AA241" s="18" t="s">
        <v>85</v>
      </c>
      <c r="AB241" s="8" t="str">
        <f aca="false">IF(AND(D241="Congé",F241="Congé"),0.333333333333333,IF(OR(AND(D241="Congé",F241&lt;&gt;"Congé"),(AND(F241="Congé",D241&lt;&gt;"Congé"))),0.166666666666667,""))</f>
        <v/>
      </c>
      <c r="AC241" s="8" t="str">
        <f aca="false">IF(AND(D241="Congé sans solde",F241="Congé sans solde"),0.333333333333333,IF(OR(AND(D241="Congé sans solde",F241&lt;&gt;"Congé sans solde"),(AND(F241="Congé sans solde",D241&lt;&gt;"Congé sans solde"))),0.166666666666667,""))</f>
        <v/>
      </c>
      <c r="AD241" s="8" t="str">
        <f aca="false">IF(AND(D241="Congé spécial",F241="Congé spécial"),0.333333333333333,IF(OR(AND(D241="Congé spécial",F241&lt;&gt;"Congé spécial"),AND(F241="Congé spécial",D241&lt;&gt;"Congé spécial")),0.166666666666667,""))</f>
        <v/>
      </c>
      <c r="AE241" s="8" t="str">
        <f aca="false">IF(AND(D241="Férié",F241="Férié"),0.333333333333333,IF(OR(AND(D241="Férié",F241&lt;&gt;"Férié"),(AND(F241="Férié",D241&lt;&gt;"Férié"))),0.166666666666667,""))</f>
        <v/>
      </c>
      <c r="AF241" s="18"/>
      <c r="AG241" s="18"/>
    </row>
    <row r="242" customFormat="false" ht="15" hidden="false" customHeight="false" outlineLevel="0" collapsed="false">
      <c r="A242" s="6" t="str">
        <f aca="false">YEAR(Q242-WEEKDAY(Q242,2)+4)&amp;"-S"&amp;TEXT(WEEKNUM(Q242,21),"00")</f>
        <v>2026-S04</v>
      </c>
      <c r="B242" s="18" t="s">
        <v>69</v>
      </c>
      <c r="C242" s="19" t="n">
        <v>0.332638888888889</v>
      </c>
      <c r="D242" s="19" t="n">
        <v>0.333333333333333</v>
      </c>
      <c r="E242" s="19" t="n">
        <v>0.75</v>
      </c>
      <c r="F242" s="19" t="n">
        <v>0.75</v>
      </c>
      <c r="G242" s="20"/>
      <c r="H242" s="20"/>
      <c r="I242" s="8" t="str">
        <f aca="false">IF(IF(OR(C242="",D242="Congé",D242="OFF",D242="Congé spécial"),"",IF(D242&gt;F242,D242-C242,IF(C242-D242&lt;0,0,C242-D242)))&lt;0.00068287037037037,"",IF(OR(D242="Congé",D242="OFF",C242="",D242="Congé spécial"),"",IF(D242&gt;F242,D242-C242,IF(C242-D242&lt;0,0,C242-D242))))</f>
        <v/>
      </c>
      <c r="J242" s="20"/>
      <c r="K242" s="8" t="n">
        <f aca="false">IF(SUM(H242:J242)&lt;0.00068287037037037,0,SUM(H242:J242))</f>
        <v>0</v>
      </c>
      <c r="L242" s="8" t="n">
        <f aca="false">IF(OR(F242="Congé",F242="OFF",M242="Abs",F242="Congé sans solde",F242="Férié",F242="Congé spécial",D242="Congé spécial"),0,IF(F242-E242&lt;0,0,IF(F242-E242&lt;=0.00068287037037037,0,F242-E242)))</f>
        <v>0</v>
      </c>
      <c r="M242" s="6" t="n">
        <f aca="false">IF(AND(O242&lt;&gt;0,C242=""),"Abs",0)</f>
        <v>0</v>
      </c>
      <c r="N242" s="8" t="n">
        <f aca="false">IFERROR(IF(OR(D242="OFF",D242="Congé",M242="Abs",D242="Congé sans solde",D242="Férié"),"",IF(O242-K242-L242&gt;O242,O242,IF(O242-K242-L242&lt;0,"",O242-K242-L242))),"")</f>
        <v>0.375</v>
      </c>
      <c r="O242" s="8" t="n">
        <f aca="false">IF(AG242="2H Pause déjeuner",IF(F242-D242-0.0833333333333333&lt;0,F242-D242-0.0833333333333333+1,F242-D242-0.0833333333333333),IF(OR(AND(F242="OFF",D242="OFF"),AND(F242="Congé",D242="Congé"),AND(F242="Congé sans solde",D242="Congé sans solde"),AND(F242="Congé spécial",D242="Congé spécial"),AND(F242="Férié",D242="Férié"),AND(F242="OFF",D242="Congé"),AND(F242="OFF",D242="Congé sans solde"),AND(F242="OFF",D242="Congé spécial"),AND(F242="OFF",D242="Férié"),AND(F242="Congé",D242="OFF"),AND(F242="Congé",D242="Congé sans solde"),AND(F242="Congé",D242="Congé spécial"),AND(F242="Congé",D242="Férié"),AND(F242="Congé sans solde",D242="OFF"),AND(F242="Congé sans solde",D242="Congé"),AND(F242="Congé sans solde",D242="Congé spécial"),AND(F242="Congé sans solde",D242="Férié"),AND(F242="Congé spécial",D242="OFF"),AND(F242="Congé spécial",D242="Congé"),AND(F242="Congé spécial",D242="Congé sans solde"),AND(F242="Congé spécial",D242="Férié"),AND(F242="Férié",D242="OFF"),AND(F242="Férié",D242="Congé"),AND(F242="Férié",D242="Congé sans solde"),AND(F242="Férié",D242="Congé spécial")),0,IF(OR(F242="OFF",F242="Congé",F242="Congé spécial",F242="Congé sans solde",D242="OFF",D242="Congé",D242="Congé spécial",D242="Congé sans solde"),0.208333333333334,IF(AND(AG242="",F242-D242&lt;0),("24:00:00"-D242)+("00:00:00"+F242)-0.0416666666666667,IF(AND(OR(AG242="Allaitement",AG242="Sans déjeuner"),F242-D242&lt;0),("24:00:00"-D242)+("00:00:00"+F242),IF(AND(AG242="",F242-D242&gt;0.166666666666667),F242-D242-0.0416666666666667,IF(AND(OR(AG242="Allaitement",AG242="Sans déjeuner"),F242-D242&gt;0.166666666666667),F242-D242,F242-D242)))))))</f>
        <v>0.375</v>
      </c>
      <c r="P242" s="6" t="str">
        <f aca="false">IFERROR(VLOOKUP($B242,Agents!$A:$D,2,0),"-")</f>
        <v>Accessibilité</v>
      </c>
      <c r="Q242" s="21" t="n">
        <v>46042</v>
      </c>
      <c r="R242" s="8" t="n">
        <f aca="false">IF(M242="Abs",O242,0)</f>
        <v>0</v>
      </c>
      <c r="S242" s="8" t="n">
        <f aca="false">SUM(R242,L242,I242,J242,W242,H242)</f>
        <v>0</v>
      </c>
      <c r="T242" s="6" t="str">
        <f aca="false">"Sem - "&amp;WEEKNUM(Q242,21)</f>
        <v>Sem - 4</v>
      </c>
      <c r="U242" s="6" t="str">
        <f aca="false">CHOOSE(MONTH(Q242),"Janvier","Février","Mars","Avril","Mai","Juin","Juillet","Août","Septembre","Octobre","Novembre","Décembre")</f>
        <v>Janvier</v>
      </c>
      <c r="V242" s="22" t="n">
        <f aca="false">YEAR(Q242)</f>
        <v>2026</v>
      </c>
      <c r="W242" s="20"/>
      <c r="X242" s="8" t="n">
        <f aca="false">IFERROR(IF(M242="Abs",0,IF(ROUND((D242-C242+E242-F242)*1440,0)&lt;=1,0,D242-C242+E242-F242)),0)</f>
        <v>0</v>
      </c>
      <c r="Y242" s="6" t="str">
        <f aca="false">IFERROR(VLOOKUP($B242,Agents!$A:$D,3,0),"-")</f>
        <v>OUBRAHIM Mohammed</v>
      </c>
      <c r="Z242" s="6" t="str">
        <f aca="false">IFERROR(VLOOKUP($B242,Agents!$A:$D,4,0),"-")</f>
        <v>Credit Mutuel</v>
      </c>
      <c r="AA242" s="18" t="s">
        <v>85</v>
      </c>
      <c r="AB242" s="8" t="str">
        <f aca="false">IF(AND(D242="Congé",F242="Congé"),0.333333333333333,IF(OR(AND(D242="Congé",F242&lt;&gt;"Congé"),(AND(F242="Congé",D242&lt;&gt;"Congé"))),0.166666666666667,""))</f>
        <v/>
      </c>
      <c r="AC242" s="8" t="str">
        <f aca="false">IF(AND(D242="Congé sans solde",F242="Congé sans solde"),0.333333333333333,IF(OR(AND(D242="Congé sans solde",F242&lt;&gt;"Congé sans solde"),(AND(F242="Congé sans solde",D242&lt;&gt;"Congé sans solde"))),0.166666666666667,""))</f>
        <v/>
      </c>
      <c r="AD242" s="8" t="str">
        <f aca="false">IF(AND(D242="Congé spécial",F242="Congé spécial"),0.333333333333333,IF(OR(AND(D242="Congé spécial",F242&lt;&gt;"Congé spécial"),AND(F242="Congé spécial",D242&lt;&gt;"Congé spécial")),0.166666666666667,""))</f>
        <v/>
      </c>
      <c r="AE242" s="8" t="str">
        <f aca="false">IF(AND(D242="Férié",F242="Férié"),0.333333333333333,IF(OR(AND(D242="Férié",F242&lt;&gt;"Férié"),(AND(F242="Férié",D242&lt;&gt;"Férié"))),0.166666666666667,""))</f>
        <v/>
      </c>
      <c r="AF242" s="18"/>
      <c r="AG242" s="18"/>
    </row>
    <row r="243" customFormat="false" ht="15" hidden="false" customHeight="false" outlineLevel="0" collapsed="false">
      <c r="A243" s="6" t="str">
        <f aca="false">YEAR(Q243-WEEKDAY(Q243,2)+4)&amp;"-S"&amp;TEXT(WEEKNUM(Q243,21),"00")</f>
        <v>2026-S04</v>
      </c>
      <c r="B243" s="18" t="s">
        <v>71</v>
      </c>
      <c r="C243" s="19" t="n">
        <v>0.332638888888889</v>
      </c>
      <c r="D243" s="19" t="n">
        <v>0.333333333333333</v>
      </c>
      <c r="E243" s="19" t="n">
        <v>0.75</v>
      </c>
      <c r="F243" s="19" t="n">
        <v>0.75</v>
      </c>
      <c r="G243" s="20"/>
      <c r="H243" s="20"/>
      <c r="I243" s="8" t="str">
        <f aca="false">IF(IF(OR(C243="",D243="Congé",D243="OFF",D243="Congé spécial"),"",IF(D243&gt;F243,D243-C243,IF(C243-D243&lt;0,0,C243-D243)))&lt;0.00068287037037037,"",IF(OR(D243="Congé",D243="OFF",C243="",D243="Congé spécial"),"",IF(D243&gt;F243,D243-C243,IF(C243-D243&lt;0,0,C243-D243))))</f>
        <v/>
      </c>
      <c r="J243" s="20"/>
      <c r="K243" s="8" t="n">
        <f aca="false">IF(SUM(H243:J243)&lt;0.00068287037037037,0,SUM(H243:J243))</f>
        <v>0</v>
      </c>
      <c r="L243" s="8" t="n">
        <f aca="false">IF(OR(F243="Congé",F243="OFF",M243="Abs",F243="Congé sans solde",F243="Férié",F243="Congé spécial",D243="Congé spécial"),0,IF(F243-E243&lt;0,0,IF(F243-E243&lt;=0.00068287037037037,0,F243-E243)))</f>
        <v>0</v>
      </c>
      <c r="M243" s="6" t="n">
        <f aca="false">IF(AND(O243&lt;&gt;0,C243=""),"Abs",0)</f>
        <v>0</v>
      </c>
      <c r="N243" s="8" t="n">
        <f aca="false">IFERROR(IF(OR(D243="OFF",D243="Congé",M243="Abs",D243="Congé sans solde",D243="Férié"),"",IF(O243-K243-L243&gt;O243,O243,IF(O243-K243-L243&lt;0,"",O243-K243-L243))),"")</f>
        <v>0.375</v>
      </c>
      <c r="O243" s="8" t="n">
        <f aca="false">IF(AG243="2H Pause déjeuner",IF(F243-D243-0.0833333333333333&lt;0,F243-D243-0.0833333333333333+1,F243-D243-0.0833333333333333),IF(OR(AND(F243="OFF",D243="OFF"),AND(F243="Congé",D243="Congé"),AND(F243="Congé sans solde",D243="Congé sans solde"),AND(F243="Congé spécial",D243="Congé spécial"),AND(F243="Férié",D243="Férié"),AND(F243="OFF",D243="Congé"),AND(F243="OFF",D243="Congé sans solde"),AND(F243="OFF",D243="Congé spécial"),AND(F243="OFF",D243="Férié"),AND(F243="Congé",D243="OFF"),AND(F243="Congé",D243="Congé sans solde"),AND(F243="Congé",D243="Congé spécial"),AND(F243="Congé",D243="Férié"),AND(F243="Congé sans solde",D243="OFF"),AND(F243="Congé sans solde",D243="Congé"),AND(F243="Congé sans solde",D243="Congé spécial"),AND(F243="Congé sans solde",D243="Férié"),AND(F243="Congé spécial",D243="OFF"),AND(F243="Congé spécial",D243="Congé"),AND(F243="Congé spécial",D243="Congé sans solde"),AND(F243="Congé spécial",D243="Férié"),AND(F243="Férié",D243="OFF"),AND(F243="Férié",D243="Congé"),AND(F243="Férié",D243="Congé sans solde"),AND(F243="Férié",D243="Congé spécial")),0,IF(OR(F243="OFF",F243="Congé",F243="Congé spécial",F243="Congé sans solde",D243="OFF",D243="Congé",D243="Congé spécial",D243="Congé sans solde"),0.208333333333334,IF(AND(AG243="",F243-D243&lt;0),("24:00:00"-D243)+("00:00:00"+F243)-0.0416666666666667,IF(AND(OR(AG243="Allaitement",AG243="Sans déjeuner"),F243-D243&lt;0),("24:00:00"-D243)+("00:00:00"+F243),IF(AND(AG243="",F243-D243&gt;0.166666666666667),F243-D243-0.0416666666666667,IF(AND(OR(AG243="Allaitement",AG243="Sans déjeuner"),F243-D243&gt;0.166666666666667),F243-D243,F243-D243)))))))</f>
        <v>0.375</v>
      </c>
      <c r="P243" s="6" t="str">
        <f aca="false">IFERROR(VLOOKUP($B243,Agents!$A:$D,2,0),"-")</f>
        <v>Accessibilité</v>
      </c>
      <c r="Q243" s="21" t="n">
        <v>46042</v>
      </c>
      <c r="R243" s="8" t="n">
        <f aca="false">IF(M243="Abs",O243,0)</f>
        <v>0</v>
      </c>
      <c r="S243" s="8" t="n">
        <f aca="false">SUM(R243,L243,I243,J243,W243,H243)</f>
        <v>0</v>
      </c>
      <c r="T243" s="6" t="str">
        <f aca="false">"Sem - "&amp;WEEKNUM(Q243,21)</f>
        <v>Sem - 4</v>
      </c>
      <c r="U243" s="6" t="str">
        <f aca="false">CHOOSE(MONTH(Q243),"Janvier","Février","Mars","Avril","Mai","Juin","Juillet","Août","Septembre","Octobre","Novembre","Décembre")</f>
        <v>Janvier</v>
      </c>
      <c r="V243" s="22" t="n">
        <f aca="false">YEAR(Q243)</f>
        <v>2026</v>
      </c>
      <c r="W243" s="20"/>
      <c r="X243" s="8" t="n">
        <f aca="false">IFERROR(IF(M243="Abs",0,IF(ROUND((D243-C243+E243-F243)*1440,0)&lt;=1,0,D243-C243+E243-F243)),0)</f>
        <v>0</v>
      </c>
      <c r="Y243" s="6" t="str">
        <f aca="false">IFERROR(VLOOKUP($B243,Agents!$A:$D,3,0),"-")</f>
        <v>OUBRAHIM Mohammed</v>
      </c>
      <c r="Z243" s="6" t="str">
        <f aca="false">IFERROR(VLOOKUP($B243,Agents!$A:$D,4,0),"-")</f>
        <v>Credit Mutuel</v>
      </c>
      <c r="AA243" s="18" t="s">
        <v>85</v>
      </c>
      <c r="AB243" s="8" t="str">
        <f aca="false">IF(AND(D243="Congé",F243="Congé"),0.333333333333333,IF(OR(AND(D243="Congé",F243&lt;&gt;"Congé"),(AND(F243="Congé",D243&lt;&gt;"Congé"))),0.166666666666667,""))</f>
        <v/>
      </c>
      <c r="AC243" s="8" t="str">
        <f aca="false">IF(AND(D243="Congé sans solde",F243="Congé sans solde"),0.333333333333333,IF(OR(AND(D243="Congé sans solde",F243&lt;&gt;"Congé sans solde"),(AND(F243="Congé sans solde",D243&lt;&gt;"Congé sans solde"))),0.166666666666667,""))</f>
        <v/>
      </c>
      <c r="AD243" s="8" t="str">
        <f aca="false">IF(AND(D243="Congé spécial",F243="Congé spécial"),0.333333333333333,IF(OR(AND(D243="Congé spécial",F243&lt;&gt;"Congé spécial"),AND(F243="Congé spécial",D243&lt;&gt;"Congé spécial")),0.166666666666667,""))</f>
        <v/>
      </c>
      <c r="AE243" s="8" t="str">
        <f aca="false">IF(AND(D243="Férié",F243="Férié"),0.333333333333333,IF(OR(AND(D243="Férié",F243&lt;&gt;"Férié"),(AND(F243="Férié",D243&lt;&gt;"Férié"))),0.166666666666667,""))</f>
        <v/>
      </c>
      <c r="AF243" s="18"/>
      <c r="AG243" s="18"/>
    </row>
    <row r="244" customFormat="false" ht="15" hidden="false" customHeight="false" outlineLevel="0" collapsed="false">
      <c r="A244" s="6" t="str">
        <f aca="false">YEAR(Q244-WEEKDAY(Q244,2)+4)&amp;"-S"&amp;TEXT(WEEKNUM(Q244,21),"00")</f>
        <v>2026-S04</v>
      </c>
      <c r="B244" s="18" t="s">
        <v>72</v>
      </c>
      <c r="C244" s="19" t="n">
        <v>0.332638888888889</v>
      </c>
      <c r="D244" s="19" t="n">
        <v>0.333333333333333</v>
      </c>
      <c r="E244" s="19" t="n">
        <v>0.75</v>
      </c>
      <c r="F244" s="19" t="n">
        <v>0.75</v>
      </c>
      <c r="G244" s="20"/>
      <c r="H244" s="20"/>
      <c r="I244" s="8" t="str">
        <f aca="false">IF(IF(OR(C244="",D244="Congé",D244="OFF",D244="Congé spécial"),"",IF(D244&gt;F244,D244-C244,IF(C244-D244&lt;0,0,C244-D244)))&lt;0.00068287037037037,"",IF(OR(D244="Congé",D244="OFF",C244="",D244="Congé spécial"),"",IF(D244&gt;F244,D244-C244,IF(C244-D244&lt;0,0,C244-D244))))</f>
        <v/>
      </c>
      <c r="J244" s="20"/>
      <c r="K244" s="8" t="n">
        <f aca="false">IF(SUM(H244:J244)&lt;0.00068287037037037,0,SUM(H244:J244))</f>
        <v>0</v>
      </c>
      <c r="L244" s="8" t="n">
        <f aca="false">IF(OR(F244="Congé",F244="OFF",M244="Abs",F244="Congé sans solde",F244="Férié",F244="Congé spécial",D244="Congé spécial"),0,IF(F244-E244&lt;0,0,IF(F244-E244&lt;=0.00068287037037037,0,F244-E244)))</f>
        <v>0</v>
      </c>
      <c r="M244" s="6" t="n">
        <f aca="false">IF(AND(O244&lt;&gt;0,C244=""),"Abs",0)</f>
        <v>0</v>
      </c>
      <c r="N244" s="8" t="n">
        <f aca="false">IFERROR(IF(OR(D244="OFF",D244="Congé",M244="Abs",D244="Congé sans solde",D244="Férié"),"",IF(O244-K244-L244&gt;O244,O244,IF(O244-K244-L244&lt;0,"",O244-K244-L244))),"")</f>
        <v>0.375</v>
      </c>
      <c r="O244" s="8" t="n">
        <f aca="false">IF(AG244="2H Pause déjeuner",IF(F244-D244-0.0833333333333333&lt;0,F244-D244-0.0833333333333333+1,F244-D244-0.0833333333333333),IF(OR(AND(F244="OFF",D244="OFF"),AND(F244="Congé",D244="Congé"),AND(F244="Congé sans solde",D244="Congé sans solde"),AND(F244="Congé spécial",D244="Congé spécial"),AND(F244="Férié",D244="Férié"),AND(F244="OFF",D244="Congé"),AND(F244="OFF",D244="Congé sans solde"),AND(F244="OFF",D244="Congé spécial"),AND(F244="OFF",D244="Férié"),AND(F244="Congé",D244="OFF"),AND(F244="Congé",D244="Congé sans solde"),AND(F244="Congé",D244="Congé spécial"),AND(F244="Congé",D244="Férié"),AND(F244="Congé sans solde",D244="OFF"),AND(F244="Congé sans solde",D244="Congé"),AND(F244="Congé sans solde",D244="Congé spécial"),AND(F244="Congé sans solde",D244="Férié"),AND(F244="Congé spécial",D244="OFF"),AND(F244="Congé spécial",D244="Congé"),AND(F244="Congé spécial",D244="Congé sans solde"),AND(F244="Congé spécial",D244="Férié"),AND(F244="Férié",D244="OFF"),AND(F244="Férié",D244="Congé"),AND(F244="Férié",D244="Congé sans solde"),AND(F244="Férié",D244="Congé spécial")),0,IF(OR(F244="OFF",F244="Congé",F244="Congé spécial",F244="Congé sans solde",D244="OFF",D244="Congé",D244="Congé spécial",D244="Congé sans solde"),0.208333333333334,IF(AND(AG244="",F244-D244&lt;0),("24:00:00"-D244)+("00:00:00"+F244)-0.0416666666666667,IF(AND(OR(AG244="Allaitement",AG244="Sans déjeuner"),F244-D244&lt;0),("24:00:00"-D244)+("00:00:00"+F244),IF(AND(AG244="",F244-D244&gt;0.166666666666667),F244-D244-0.0416666666666667,IF(AND(OR(AG244="Allaitement",AG244="Sans déjeuner"),F244-D244&gt;0.166666666666667),F244-D244,F244-D244)))))))</f>
        <v>0.375</v>
      </c>
      <c r="P244" s="6" t="str">
        <f aca="false">IFERROR(VLOOKUP($B244,Agents!$A:$D,2,0),"-")</f>
        <v>Accessibilité</v>
      </c>
      <c r="Q244" s="21" t="n">
        <v>46042</v>
      </c>
      <c r="R244" s="8" t="n">
        <f aca="false">IF(M244="Abs",O244,0)</f>
        <v>0</v>
      </c>
      <c r="S244" s="8" t="n">
        <f aca="false">SUM(R244,L244,I244,J244,W244,H244)</f>
        <v>0</v>
      </c>
      <c r="T244" s="6" t="str">
        <f aca="false">"Sem - "&amp;WEEKNUM(Q244,21)</f>
        <v>Sem - 4</v>
      </c>
      <c r="U244" s="6" t="str">
        <f aca="false">CHOOSE(MONTH(Q244),"Janvier","Février","Mars","Avril","Mai","Juin","Juillet","Août","Septembre","Octobre","Novembre","Décembre")</f>
        <v>Janvier</v>
      </c>
      <c r="V244" s="22" t="n">
        <f aca="false">YEAR(Q244)</f>
        <v>2026</v>
      </c>
      <c r="W244" s="20"/>
      <c r="X244" s="8" t="n">
        <f aca="false">IFERROR(IF(M244="Abs",0,IF(ROUND((D244-C244+E244-F244)*1440,0)&lt;=1,0,D244-C244+E244-F244)),0)</f>
        <v>0</v>
      </c>
      <c r="Y244" s="6" t="str">
        <f aca="false">IFERROR(VLOOKUP($B244,Agents!$A:$D,3,0),"-")</f>
        <v>OUBRAHIM Mohammed</v>
      </c>
      <c r="Z244" s="6" t="str">
        <f aca="false">IFERROR(VLOOKUP($B244,Agents!$A:$D,4,0),"-")</f>
        <v>Credit Mutuel</v>
      </c>
      <c r="AA244" s="18" t="s">
        <v>85</v>
      </c>
      <c r="AB244" s="8" t="str">
        <f aca="false">IF(AND(D244="Congé",F244="Congé"),0.333333333333333,IF(OR(AND(D244="Congé",F244&lt;&gt;"Congé"),(AND(F244="Congé",D244&lt;&gt;"Congé"))),0.166666666666667,""))</f>
        <v/>
      </c>
      <c r="AC244" s="8" t="str">
        <f aca="false">IF(AND(D244="Congé sans solde",F244="Congé sans solde"),0.333333333333333,IF(OR(AND(D244="Congé sans solde",F244&lt;&gt;"Congé sans solde"),(AND(F244="Congé sans solde",D244&lt;&gt;"Congé sans solde"))),0.166666666666667,""))</f>
        <v/>
      </c>
      <c r="AD244" s="8" t="str">
        <f aca="false">IF(AND(D244="Congé spécial",F244="Congé spécial"),0.333333333333333,IF(OR(AND(D244="Congé spécial",F244&lt;&gt;"Congé spécial"),AND(F244="Congé spécial",D244&lt;&gt;"Congé spécial")),0.166666666666667,""))</f>
        <v/>
      </c>
      <c r="AE244" s="8" t="str">
        <f aca="false">IF(AND(D244="Férié",F244="Férié"),0.333333333333333,IF(OR(AND(D244="Férié",F244&lt;&gt;"Férié"),(AND(F244="Férié",D244&lt;&gt;"Férié"))),0.166666666666667,""))</f>
        <v/>
      </c>
      <c r="AF244" s="18"/>
      <c r="AG244" s="18"/>
    </row>
    <row r="245" customFormat="false" ht="15" hidden="false" customHeight="false" outlineLevel="0" collapsed="false">
      <c r="A245" s="6" t="str">
        <f aca="false">YEAR(Q245-WEEKDAY(Q245,2)+4)&amp;"-S"&amp;TEXT(WEEKNUM(Q245,21),"00")</f>
        <v>2026-S04</v>
      </c>
      <c r="B245" s="18" t="s">
        <v>73</v>
      </c>
      <c r="C245" s="19" t="n">
        <v>0.333333333333333</v>
      </c>
      <c r="D245" s="19" t="n">
        <v>0.333333333333333</v>
      </c>
      <c r="E245" s="19" t="n">
        <v>0.75</v>
      </c>
      <c r="F245" s="19" t="n">
        <v>0.75</v>
      </c>
      <c r="G245" s="20"/>
      <c r="H245" s="20"/>
      <c r="I245" s="8" t="str">
        <f aca="false">IF(IF(OR(C245="",D245="Congé",D245="OFF",D245="Congé spécial"),"",IF(D245&gt;F245,D245-C245,IF(C245-D245&lt;0,0,C245-D245)))&lt;0.00068287037037037,"",IF(OR(D245="Congé",D245="OFF",C245="",D245="Congé spécial"),"",IF(D245&gt;F245,D245-C245,IF(C245-D245&lt;0,0,C245-D245))))</f>
        <v/>
      </c>
      <c r="J245" s="20"/>
      <c r="K245" s="8" t="n">
        <f aca="false">IF(SUM(H245:J245)&lt;0.00068287037037037,0,SUM(H245:J245))</f>
        <v>0</v>
      </c>
      <c r="L245" s="8" t="n">
        <f aca="false">IF(OR(F245="Congé",F245="OFF",M245="Abs",F245="Congé sans solde",F245="Férié",F245="Congé spécial",D245="Congé spécial"),0,IF(F245-E245&lt;0,0,IF(F245-E245&lt;=0.00068287037037037,0,F245-E245)))</f>
        <v>0</v>
      </c>
      <c r="M245" s="6" t="n">
        <f aca="false">IF(AND(O245&lt;&gt;0,C245=""),"Abs",0)</f>
        <v>0</v>
      </c>
      <c r="N245" s="8" t="n">
        <f aca="false">IFERROR(IF(OR(D245="OFF",D245="Congé",M245="Abs",D245="Congé sans solde",D245="Férié"),"",IF(O245-K245-L245&gt;O245,O245,IF(O245-K245-L245&lt;0,"",O245-K245-L245))),"")</f>
        <v>0.375</v>
      </c>
      <c r="O245" s="8" t="n">
        <f aca="false">IF(AG245="2H Pause déjeuner",IF(F245-D245-0.0833333333333333&lt;0,F245-D245-0.0833333333333333+1,F245-D245-0.0833333333333333),IF(OR(AND(F245="OFF",D245="OFF"),AND(F245="Congé",D245="Congé"),AND(F245="Congé sans solde",D245="Congé sans solde"),AND(F245="Congé spécial",D245="Congé spécial"),AND(F245="Férié",D245="Férié"),AND(F245="OFF",D245="Congé"),AND(F245="OFF",D245="Congé sans solde"),AND(F245="OFF",D245="Congé spécial"),AND(F245="OFF",D245="Férié"),AND(F245="Congé",D245="OFF"),AND(F245="Congé",D245="Congé sans solde"),AND(F245="Congé",D245="Congé spécial"),AND(F245="Congé",D245="Férié"),AND(F245="Congé sans solde",D245="OFF"),AND(F245="Congé sans solde",D245="Congé"),AND(F245="Congé sans solde",D245="Congé spécial"),AND(F245="Congé sans solde",D245="Férié"),AND(F245="Congé spécial",D245="OFF"),AND(F245="Congé spécial",D245="Congé"),AND(F245="Congé spécial",D245="Congé sans solde"),AND(F245="Congé spécial",D245="Férié"),AND(F245="Férié",D245="OFF"),AND(F245="Férié",D245="Congé"),AND(F245="Férié",D245="Congé sans solde"),AND(F245="Férié",D245="Congé spécial")),0,IF(OR(F245="OFF",F245="Congé",F245="Congé spécial",F245="Congé sans solde",D245="OFF",D245="Congé",D245="Congé spécial",D245="Congé sans solde"),0.208333333333334,IF(AND(AG245="",F245-D245&lt;0),("24:00:00"-D245)+("00:00:00"+F245)-0.0416666666666667,IF(AND(OR(AG245="Allaitement",AG245="Sans déjeuner"),F245-D245&lt;0),("24:00:00"-D245)+("00:00:00"+F245),IF(AND(AG245="",F245-D245&gt;0.166666666666667),F245-D245-0.0416666666666667,IF(AND(OR(AG245="Allaitement",AG245="Sans déjeuner"),F245-D245&gt;0.166666666666667),F245-D245,F245-D245)))))))</f>
        <v>0.375</v>
      </c>
      <c r="P245" s="6" t="str">
        <f aca="false">IFERROR(VLOOKUP($B245,Agents!$A:$D,2,0),"-")</f>
        <v>Accessibilité</v>
      </c>
      <c r="Q245" s="21" t="n">
        <v>46042</v>
      </c>
      <c r="R245" s="8" t="n">
        <f aca="false">IF(M245="Abs",O245,0)</f>
        <v>0</v>
      </c>
      <c r="S245" s="8" t="n">
        <f aca="false">SUM(R245,L245,I245,J245,W245,H245)</f>
        <v>0</v>
      </c>
      <c r="T245" s="6" t="str">
        <f aca="false">"Sem - "&amp;WEEKNUM(Q245,21)</f>
        <v>Sem - 4</v>
      </c>
      <c r="U245" s="6" t="str">
        <f aca="false">CHOOSE(MONTH(Q245),"Janvier","Février","Mars","Avril","Mai","Juin","Juillet","Août","Septembre","Octobre","Novembre","Décembre")</f>
        <v>Janvier</v>
      </c>
      <c r="V245" s="22" t="n">
        <f aca="false">YEAR(Q245)</f>
        <v>2026</v>
      </c>
      <c r="W245" s="20"/>
      <c r="X245" s="8" t="n">
        <f aca="false">IFERROR(IF(M245="Abs",0,IF(ROUND((D245-C245+E245-F245)*1440,0)&lt;=1,0,D245-C245+E245-F245)),0)</f>
        <v>0</v>
      </c>
      <c r="Y245" s="6" t="str">
        <f aca="false">IFERROR(VLOOKUP($B245,Agents!$A:$D,3,0),"-")</f>
        <v>OUBRAHIM Mohammed</v>
      </c>
      <c r="Z245" s="6" t="str">
        <f aca="false">IFERROR(VLOOKUP($B245,Agents!$A:$D,4,0),"-")</f>
        <v>Credit Mutuel</v>
      </c>
      <c r="AA245" s="18" t="s">
        <v>85</v>
      </c>
      <c r="AB245" s="8" t="str">
        <f aca="false">IF(AND(D245="Congé",F245="Congé"),0.333333333333333,IF(OR(AND(D245="Congé",F245&lt;&gt;"Congé"),(AND(F245="Congé",D245&lt;&gt;"Congé"))),0.166666666666667,""))</f>
        <v/>
      </c>
      <c r="AC245" s="8" t="str">
        <f aca="false">IF(AND(D245="Congé sans solde",F245="Congé sans solde"),0.333333333333333,IF(OR(AND(D245="Congé sans solde",F245&lt;&gt;"Congé sans solde"),(AND(F245="Congé sans solde",D245&lt;&gt;"Congé sans solde"))),0.166666666666667,""))</f>
        <v/>
      </c>
      <c r="AD245" s="8" t="str">
        <f aca="false">IF(AND(D245="Congé spécial",F245="Congé spécial"),0.333333333333333,IF(OR(AND(D245="Congé spécial",F245&lt;&gt;"Congé spécial"),AND(F245="Congé spécial",D245&lt;&gt;"Congé spécial")),0.166666666666667,""))</f>
        <v/>
      </c>
      <c r="AE245" s="8" t="str">
        <f aca="false">IF(AND(D245="Férié",F245="Férié"),0.333333333333333,IF(OR(AND(D245="Férié",F245&lt;&gt;"Férié"),(AND(F245="Férié",D245&lt;&gt;"Férié"))),0.166666666666667,""))</f>
        <v/>
      </c>
      <c r="AF245" s="18"/>
      <c r="AG245" s="18"/>
    </row>
    <row r="246" customFormat="false" ht="15" hidden="false" customHeight="false" outlineLevel="0" collapsed="false">
      <c r="A246" s="6" t="str">
        <f aca="false">YEAR(Q246-WEEKDAY(Q246,2)+4)&amp;"-S"&amp;TEXT(WEEKNUM(Q246,21),"00")</f>
        <v>2026-S04</v>
      </c>
      <c r="B246" s="18" t="s">
        <v>69</v>
      </c>
      <c r="C246" s="19" t="n">
        <v>0.332638888888889</v>
      </c>
      <c r="D246" s="19" t="n">
        <v>0.333333333333333</v>
      </c>
      <c r="E246" s="19" t="n">
        <v>0.75</v>
      </c>
      <c r="F246" s="19" t="n">
        <v>0.75</v>
      </c>
      <c r="G246" s="20"/>
      <c r="H246" s="20"/>
      <c r="I246" s="8" t="str">
        <f aca="false">IF(IF(OR(C246="",D246="Congé",D246="OFF",D246="Congé spécial"),"",IF(D246&gt;F246,D246-C246,IF(C246-D246&lt;0,0,C246-D246)))&lt;0.00068287037037037,"",IF(OR(D246="Congé",D246="OFF",C246="",D246="Congé spécial"),"",IF(D246&gt;F246,D246-C246,IF(C246-D246&lt;0,0,C246-D246))))</f>
        <v/>
      </c>
      <c r="J246" s="20"/>
      <c r="K246" s="8" t="n">
        <f aca="false">IF(SUM(H246:J246)&lt;0.00068287037037037,0,SUM(H246:J246))</f>
        <v>0</v>
      </c>
      <c r="L246" s="8" t="n">
        <f aca="false">IF(OR(F246="Congé",F246="OFF",M246="Abs",F246="Congé sans solde",F246="Férié",F246="Congé spécial",D246="Congé spécial"),0,IF(F246-E246&lt;0,0,IF(F246-E246&lt;=0.00068287037037037,0,F246-E246)))</f>
        <v>0</v>
      </c>
      <c r="M246" s="6" t="n">
        <f aca="false">IF(AND(O246&lt;&gt;0,C246=""),"Abs",0)</f>
        <v>0</v>
      </c>
      <c r="N246" s="8" t="n">
        <f aca="false">IFERROR(IF(OR(D246="OFF",D246="Congé",M246="Abs",D246="Congé sans solde",D246="Férié"),"",IF(O246-K246-L246&gt;O246,O246,IF(O246-K246-L246&lt;0,"",O246-K246-L246))),"")</f>
        <v>0.375</v>
      </c>
      <c r="O246" s="8" t="n">
        <f aca="false">IF(AG246="2H Pause déjeuner",IF(F246-D246-0.0833333333333333&lt;0,F246-D246-0.0833333333333333+1,F246-D246-0.0833333333333333),IF(OR(AND(F246="OFF",D246="OFF"),AND(F246="Congé",D246="Congé"),AND(F246="Congé sans solde",D246="Congé sans solde"),AND(F246="Congé spécial",D246="Congé spécial"),AND(F246="Férié",D246="Férié"),AND(F246="OFF",D246="Congé"),AND(F246="OFF",D246="Congé sans solde"),AND(F246="OFF",D246="Congé spécial"),AND(F246="OFF",D246="Férié"),AND(F246="Congé",D246="OFF"),AND(F246="Congé",D246="Congé sans solde"),AND(F246="Congé",D246="Congé spécial"),AND(F246="Congé",D246="Férié"),AND(F246="Congé sans solde",D246="OFF"),AND(F246="Congé sans solde",D246="Congé"),AND(F246="Congé sans solde",D246="Congé spécial"),AND(F246="Congé sans solde",D246="Férié"),AND(F246="Congé spécial",D246="OFF"),AND(F246="Congé spécial",D246="Congé"),AND(F246="Congé spécial",D246="Congé sans solde"),AND(F246="Congé spécial",D246="Férié"),AND(F246="Férié",D246="OFF"),AND(F246="Férié",D246="Congé"),AND(F246="Férié",D246="Congé sans solde"),AND(F246="Férié",D246="Congé spécial")),0,IF(OR(F246="OFF",F246="Congé",F246="Congé spécial",F246="Congé sans solde",D246="OFF",D246="Congé",D246="Congé spécial",D246="Congé sans solde"),0.208333333333334,IF(AND(AG246="",F246-D246&lt;0),("24:00:00"-D246)+("00:00:00"+F246)-0.0416666666666667,IF(AND(OR(AG246="Allaitement",AG246="Sans déjeuner"),F246-D246&lt;0),("24:00:00"-D246)+("00:00:00"+F246),IF(AND(AG246="",F246-D246&gt;0.166666666666667),F246-D246-0.0416666666666667,IF(AND(OR(AG246="Allaitement",AG246="Sans déjeuner"),F246-D246&gt;0.166666666666667),F246-D246,F246-D246)))))))</f>
        <v>0.375</v>
      </c>
      <c r="P246" s="6" t="str">
        <f aca="false">IFERROR(VLOOKUP($B246,Agents!$A:$D,2,0),"-")</f>
        <v>Accessibilité</v>
      </c>
      <c r="Q246" s="21" t="n">
        <v>46043</v>
      </c>
      <c r="R246" s="8" t="n">
        <f aca="false">IF(M246="Abs",O246,0)</f>
        <v>0</v>
      </c>
      <c r="S246" s="8" t="n">
        <f aca="false">SUM(R246,L246,I246,J246,W246,H246)</f>
        <v>0</v>
      </c>
      <c r="T246" s="6" t="str">
        <f aca="false">"Sem - "&amp;WEEKNUM(Q246,21)</f>
        <v>Sem - 4</v>
      </c>
      <c r="U246" s="6" t="str">
        <f aca="false">CHOOSE(MONTH(Q246),"Janvier","Février","Mars","Avril","Mai","Juin","Juillet","Août","Septembre","Octobre","Novembre","Décembre")</f>
        <v>Janvier</v>
      </c>
      <c r="V246" s="22" t="n">
        <f aca="false">YEAR(Q246)</f>
        <v>2026</v>
      </c>
      <c r="W246" s="20"/>
      <c r="X246" s="8" t="n">
        <f aca="false">IFERROR(IF(M246="Abs",0,IF(ROUND((D246-C246+E246-F246)*1440,0)&lt;=1,0,D246-C246+E246-F246)),0)</f>
        <v>0</v>
      </c>
      <c r="Y246" s="6" t="str">
        <f aca="false">IFERROR(VLOOKUP($B246,Agents!$A:$D,3,0),"-")</f>
        <v>OUBRAHIM Mohammed</v>
      </c>
      <c r="Z246" s="6" t="str">
        <f aca="false">IFERROR(VLOOKUP($B246,Agents!$A:$D,4,0),"-")</f>
        <v>Credit Mutuel</v>
      </c>
      <c r="AA246" s="18" t="s">
        <v>85</v>
      </c>
      <c r="AB246" s="8" t="str">
        <f aca="false">IF(AND(D246="Congé",F246="Congé"),0.333333333333333,IF(OR(AND(D246="Congé",F246&lt;&gt;"Congé"),(AND(F246="Congé",D246&lt;&gt;"Congé"))),0.166666666666667,""))</f>
        <v/>
      </c>
      <c r="AC246" s="8" t="str">
        <f aca="false">IF(AND(D246="Congé sans solde",F246="Congé sans solde"),0.333333333333333,IF(OR(AND(D246="Congé sans solde",F246&lt;&gt;"Congé sans solde"),(AND(F246="Congé sans solde",D246&lt;&gt;"Congé sans solde"))),0.166666666666667,""))</f>
        <v/>
      </c>
      <c r="AD246" s="8" t="str">
        <f aca="false">IF(AND(D246="Congé spécial",F246="Congé spécial"),0.333333333333333,IF(OR(AND(D246="Congé spécial",F246&lt;&gt;"Congé spécial"),AND(F246="Congé spécial",D246&lt;&gt;"Congé spécial")),0.166666666666667,""))</f>
        <v/>
      </c>
      <c r="AE246" s="8" t="str">
        <f aca="false">IF(AND(D246="Férié",F246="Férié"),0.333333333333333,IF(OR(AND(D246="Férié",F246&lt;&gt;"Férié"),(AND(F246="Férié",D246&lt;&gt;"Férié"))),0.166666666666667,""))</f>
        <v/>
      </c>
      <c r="AF246" s="18"/>
      <c r="AG246" s="18"/>
    </row>
    <row r="247" customFormat="false" ht="15" hidden="false" customHeight="false" outlineLevel="0" collapsed="false">
      <c r="A247" s="6" t="str">
        <f aca="false">YEAR(Q247-WEEKDAY(Q247,2)+4)&amp;"-S"&amp;TEXT(WEEKNUM(Q247,21),"00")</f>
        <v>2026-S04</v>
      </c>
      <c r="B247" s="18" t="s">
        <v>71</v>
      </c>
      <c r="C247" s="19" t="n">
        <v>0.33125</v>
      </c>
      <c r="D247" s="19" t="n">
        <v>0.333333333333333</v>
      </c>
      <c r="E247" s="19" t="n">
        <v>0.75</v>
      </c>
      <c r="F247" s="19" t="n">
        <v>0.75</v>
      </c>
      <c r="G247" s="20"/>
      <c r="H247" s="20"/>
      <c r="I247" s="8" t="str">
        <f aca="false">IF(IF(OR(C247="",D247="Congé",D247="OFF",D247="Congé spécial"),"",IF(D247&gt;F247,D247-C247,IF(C247-D247&lt;0,0,C247-D247)))&lt;0.00068287037037037,"",IF(OR(D247="Congé",D247="OFF",C247="",D247="Congé spécial"),"",IF(D247&gt;F247,D247-C247,IF(C247-D247&lt;0,0,C247-D247))))</f>
        <v/>
      </c>
      <c r="J247" s="20"/>
      <c r="K247" s="8" t="n">
        <f aca="false">IF(SUM(H247:J247)&lt;0.00068287037037037,0,SUM(H247:J247))</f>
        <v>0</v>
      </c>
      <c r="L247" s="8" t="n">
        <f aca="false">IF(OR(F247="Congé",F247="OFF",M247="Abs",F247="Congé sans solde",F247="Férié",F247="Congé spécial",D247="Congé spécial"),0,IF(F247-E247&lt;0,0,IF(F247-E247&lt;=0.00068287037037037,0,F247-E247)))</f>
        <v>0</v>
      </c>
      <c r="M247" s="6" t="n">
        <f aca="false">IF(AND(O247&lt;&gt;0,C247=""),"Abs",0)</f>
        <v>0</v>
      </c>
      <c r="N247" s="8" t="n">
        <f aca="false">IFERROR(IF(OR(D247="OFF",D247="Congé",M247="Abs",D247="Congé sans solde",D247="Férié"),"",IF(O247-K247-L247&gt;O247,O247,IF(O247-K247-L247&lt;0,"",O247-K247-L247))),"")</f>
        <v>0.375</v>
      </c>
      <c r="O247" s="8" t="n">
        <f aca="false">IF(AG247="2H Pause déjeuner",IF(F247-D247-0.0833333333333333&lt;0,F247-D247-0.0833333333333333+1,F247-D247-0.0833333333333333),IF(OR(AND(F247="OFF",D247="OFF"),AND(F247="Congé",D247="Congé"),AND(F247="Congé sans solde",D247="Congé sans solde"),AND(F247="Congé spécial",D247="Congé spécial"),AND(F247="Férié",D247="Férié"),AND(F247="OFF",D247="Congé"),AND(F247="OFF",D247="Congé sans solde"),AND(F247="OFF",D247="Congé spécial"),AND(F247="OFF",D247="Férié"),AND(F247="Congé",D247="OFF"),AND(F247="Congé",D247="Congé sans solde"),AND(F247="Congé",D247="Congé spécial"),AND(F247="Congé",D247="Férié"),AND(F247="Congé sans solde",D247="OFF"),AND(F247="Congé sans solde",D247="Congé"),AND(F247="Congé sans solde",D247="Congé spécial"),AND(F247="Congé sans solde",D247="Férié"),AND(F247="Congé spécial",D247="OFF"),AND(F247="Congé spécial",D247="Congé"),AND(F247="Congé spécial",D247="Congé sans solde"),AND(F247="Congé spécial",D247="Férié"),AND(F247="Férié",D247="OFF"),AND(F247="Férié",D247="Congé"),AND(F247="Férié",D247="Congé sans solde"),AND(F247="Férié",D247="Congé spécial")),0,IF(OR(F247="OFF",F247="Congé",F247="Congé spécial",F247="Congé sans solde",D247="OFF",D247="Congé",D247="Congé spécial",D247="Congé sans solde"),0.208333333333334,IF(AND(AG247="",F247-D247&lt;0),("24:00:00"-D247)+("00:00:00"+F247)-0.0416666666666667,IF(AND(OR(AG247="Allaitement",AG247="Sans déjeuner"),F247-D247&lt;0),("24:00:00"-D247)+("00:00:00"+F247),IF(AND(AG247="",F247-D247&gt;0.166666666666667),F247-D247-0.0416666666666667,IF(AND(OR(AG247="Allaitement",AG247="Sans déjeuner"),F247-D247&gt;0.166666666666667),F247-D247,F247-D247)))))))</f>
        <v>0.375</v>
      </c>
      <c r="P247" s="6" t="str">
        <f aca="false">IFERROR(VLOOKUP($B247,Agents!$A:$D,2,0),"-")</f>
        <v>Accessibilité</v>
      </c>
      <c r="Q247" s="21" t="n">
        <v>46043</v>
      </c>
      <c r="R247" s="8" t="n">
        <f aca="false">IF(M247="Abs",O247,0)</f>
        <v>0</v>
      </c>
      <c r="S247" s="8" t="n">
        <f aca="false">SUM(R247,L247,I247,J247,W247,H247)</f>
        <v>0</v>
      </c>
      <c r="T247" s="6" t="str">
        <f aca="false">"Sem - "&amp;WEEKNUM(Q247,21)</f>
        <v>Sem - 4</v>
      </c>
      <c r="U247" s="6" t="str">
        <f aca="false">CHOOSE(MONTH(Q247),"Janvier","Février","Mars","Avril","Mai","Juin","Juillet","Août","Septembre","Octobre","Novembre","Décembre")</f>
        <v>Janvier</v>
      </c>
      <c r="V247" s="22" t="n">
        <f aca="false">YEAR(Q247)</f>
        <v>2026</v>
      </c>
      <c r="W247" s="20"/>
      <c r="X247" s="8" t="n">
        <f aca="false">IFERROR(IF(M247="Abs",0,IF(ROUND((D247-C247+E247-F247)*1440,0)&lt;=1,0,D247-C247+E247-F247)),0)</f>
        <v>0.00208333333333333</v>
      </c>
      <c r="Y247" s="6" t="str">
        <f aca="false">IFERROR(VLOOKUP($B247,Agents!$A:$D,3,0),"-")</f>
        <v>OUBRAHIM Mohammed</v>
      </c>
      <c r="Z247" s="6" t="str">
        <f aca="false">IFERROR(VLOOKUP($B247,Agents!$A:$D,4,0),"-")</f>
        <v>Credit Mutuel</v>
      </c>
      <c r="AA247" s="18" t="s">
        <v>85</v>
      </c>
      <c r="AB247" s="8" t="str">
        <f aca="false">IF(AND(D247="Congé",F247="Congé"),0.333333333333333,IF(OR(AND(D247="Congé",F247&lt;&gt;"Congé"),(AND(F247="Congé",D247&lt;&gt;"Congé"))),0.166666666666667,""))</f>
        <v/>
      </c>
      <c r="AC247" s="8" t="str">
        <f aca="false">IF(AND(D247="Congé sans solde",F247="Congé sans solde"),0.333333333333333,IF(OR(AND(D247="Congé sans solde",F247&lt;&gt;"Congé sans solde"),(AND(F247="Congé sans solde",D247&lt;&gt;"Congé sans solde"))),0.166666666666667,""))</f>
        <v/>
      </c>
      <c r="AD247" s="8" t="str">
        <f aca="false">IF(AND(D247="Congé spécial",F247="Congé spécial"),0.333333333333333,IF(OR(AND(D247="Congé spécial",F247&lt;&gt;"Congé spécial"),AND(F247="Congé spécial",D247&lt;&gt;"Congé spécial")),0.166666666666667,""))</f>
        <v/>
      </c>
      <c r="AE247" s="8" t="str">
        <f aca="false">IF(AND(D247="Férié",F247="Férié"),0.333333333333333,IF(OR(AND(D247="Férié",F247&lt;&gt;"Férié"),(AND(F247="Férié",D247&lt;&gt;"Férié"))),0.166666666666667,""))</f>
        <v/>
      </c>
      <c r="AF247" s="18"/>
      <c r="AG247" s="18"/>
    </row>
    <row r="248" customFormat="false" ht="15" hidden="false" customHeight="false" outlineLevel="0" collapsed="false">
      <c r="A248" s="6" t="str">
        <f aca="false">YEAR(Q248-WEEKDAY(Q248,2)+4)&amp;"-S"&amp;TEXT(WEEKNUM(Q248,21),"00")</f>
        <v>2026-S04</v>
      </c>
      <c r="B248" s="18" t="s">
        <v>72</v>
      </c>
      <c r="C248" s="19" t="n">
        <v>0.331944444444444</v>
      </c>
      <c r="D248" s="19" t="n">
        <v>0.333333333333333</v>
      </c>
      <c r="E248" s="19" t="n">
        <v>0.75</v>
      </c>
      <c r="F248" s="19" t="n">
        <v>0.75</v>
      </c>
      <c r="G248" s="20"/>
      <c r="H248" s="20"/>
      <c r="I248" s="8" t="str">
        <f aca="false">IF(IF(OR(C248="",D248="Congé",D248="OFF",D248="Congé spécial"),"",IF(D248&gt;F248,D248-C248,IF(C248-D248&lt;0,0,C248-D248)))&lt;0.00068287037037037,"",IF(OR(D248="Congé",D248="OFF",C248="",D248="Congé spécial"),"",IF(D248&gt;F248,D248-C248,IF(C248-D248&lt;0,0,C248-D248))))</f>
        <v/>
      </c>
      <c r="J248" s="20"/>
      <c r="K248" s="8" t="n">
        <f aca="false">IF(SUM(H248:J248)&lt;0.00068287037037037,0,SUM(H248:J248))</f>
        <v>0</v>
      </c>
      <c r="L248" s="8" t="n">
        <f aca="false">IF(OR(F248="Congé",F248="OFF",M248="Abs",F248="Congé sans solde",F248="Férié",F248="Congé spécial",D248="Congé spécial"),0,IF(F248-E248&lt;0,0,IF(F248-E248&lt;=0.00068287037037037,0,F248-E248)))</f>
        <v>0</v>
      </c>
      <c r="M248" s="6" t="n">
        <f aca="false">IF(AND(O248&lt;&gt;0,C248=""),"Abs",0)</f>
        <v>0</v>
      </c>
      <c r="N248" s="8" t="n">
        <f aca="false">IFERROR(IF(OR(D248="OFF",D248="Congé",M248="Abs",D248="Congé sans solde",D248="Férié"),"",IF(O248-K248-L248&gt;O248,O248,IF(O248-K248-L248&lt;0,"",O248-K248-L248))),"")</f>
        <v>0.375</v>
      </c>
      <c r="O248" s="8" t="n">
        <f aca="false">IF(AG248="2H Pause déjeuner",IF(F248-D248-0.0833333333333333&lt;0,F248-D248-0.0833333333333333+1,F248-D248-0.0833333333333333),IF(OR(AND(F248="OFF",D248="OFF"),AND(F248="Congé",D248="Congé"),AND(F248="Congé sans solde",D248="Congé sans solde"),AND(F248="Congé spécial",D248="Congé spécial"),AND(F248="Férié",D248="Férié"),AND(F248="OFF",D248="Congé"),AND(F248="OFF",D248="Congé sans solde"),AND(F248="OFF",D248="Congé spécial"),AND(F248="OFF",D248="Férié"),AND(F248="Congé",D248="OFF"),AND(F248="Congé",D248="Congé sans solde"),AND(F248="Congé",D248="Congé spécial"),AND(F248="Congé",D248="Férié"),AND(F248="Congé sans solde",D248="OFF"),AND(F248="Congé sans solde",D248="Congé"),AND(F248="Congé sans solde",D248="Congé spécial"),AND(F248="Congé sans solde",D248="Férié"),AND(F248="Congé spécial",D248="OFF"),AND(F248="Congé spécial",D248="Congé"),AND(F248="Congé spécial",D248="Congé sans solde"),AND(F248="Congé spécial",D248="Férié"),AND(F248="Férié",D248="OFF"),AND(F248="Férié",D248="Congé"),AND(F248="Férié",D248="Congé sans solde"),AND(F248="Férié",D248="Congé spécial")),0,IF(OR(F248="OFF",F248="Congé",F248="Congé spécial",F248="Congé sans solde",D248="OFF",D248="Congé",D248="Congé spécial",D248="Congé sans solde"),0.208333333333334,IF(AND(AG248="",F248-D248&lt;0),("24:00:00"-D248)+("00:00:00"+F248)-0.0416666666666667,IF(AND(OR(AG248="Allaitement",AG248="Sans déjeuner"),F248-D248&lt;0),("24:00:00"-D248)+("00:00:00"+F248),IF(AND(AG248="",F248-D248&gt;0.166666666666667),F248-D248-0.0416666666666667,IF(AND(OR(AG248="Allaitement",AG248="Sans déjeuner"),F248-D248&gt;0.166666666666667),F248-D248,F248-D248)))))))</f>
        <v>0.375</v>
      </c>
      <c r="P248" s="6" t="str">
        <f aca="false">IFERROR(VLOOKUP($B248,Agents!$A:$D,2,0),"-")</f>
        <v>Accessibilité</v>
      </c>
      <c r="Q248" s="21" t="n">
        <v>46043</v>
      </c>
      <c r="R248" s="8" t="n">
        <f aca="false">IF(M248="Abs",O248,0)</f>
        <v>0</v>
      </c>
      <c r="S248" s="8" t="n">
        <f aca="false">SUM(R248,L248,I248,J248,W248,H248)</f>
        <v>0</v>
      </c>
      <c r="T248" s="6" t="str">
        <f aca="false">"Sem - "&amp;WEEKNUM(Q248,21)</f>
        <v>Sem - 4</v>
      </c>
      <c r="U248" s="6" t="str">
        <f aca="false">CHOOSE(MONTH(Q248),"Janvier","Février","Mars","Avril","Mai","Juin","Juillet","Août","Septembre","Octobre","Novembre","Décembre")</f>
        <v>Janvier</v>
      </c>
      <c r="V248" s="22" t="n">
        <f aca="false">YEAR(Q248)</f>
        <v>2026</v>
      </c>
      <c r="W248" s="20"/>
      <c r="X248" s="8" t="n">
        <f aca="false">IFERROR(IF(M248="Abs",0,IF(ROUND((D248-C248+E248-F248)*1440,0)&lt;=1,0,D248-C248+E248-F248)),0)</f>
        <v>0.00138888888888889</v>
      </c>
      <c r="Y248" s="6" t="str">
        <f aca="false">IFERROR(VLOOKUP($B248,Agents!$A:$D,3,0),"-")</f>
        <v>OUBRAHIM Mohammed</v>
      </c>
      <c r="Z248" s="6" t="str">
        <f aca="false">IFERROR(VLOOKUP($B248,Agents!$A:$D,4,0),"-")</f>
        <v>Credit Mutuel</v>
      </c>
      <c r="AA248" s="18" t="s">
        <v>85</v>
      </c>
      <c r="AB248" s="8" t="str">
        <f aca="false">IF(AND(D248="Congé",F248="Congé"),0.333333333333333,IF(OR(AND(D248="Congé",F248&lt;&gt;"Congé"),(AND(F248="Congé",D248&lt;&gt;"Congé"))),0.166666666666667,""))</f>
        <v/>
      </c>
      <c r="AC248" s="8" t="str">
        <f aca="false">IF(AND(D248="Congé sans solde",F248="Congé sans solde"),0.333333333333333,IF(OR(AND(D248="Congé sans solde",F248&lt;&gt;"Congé sans solde"),(AND(F248="Congé sans solde",D248&lt;&gt;"Congé sans solde"))),0.166666666666667,""))</f>
        <v/>
      </c>
      <c r="AD248" s="8" t="str">
        <f aca="false">IF(AND(D248="Congé spécial",F248="Congé spécial"),0.333333333333333,IF(OR(AND(D248="Congé spécial",F248&lt;&gt;"Congé spécial"),AND(F248="Congé spécial",D248&lt;&gt;"Congé spécial")),0.166666666666667,""))</f>
        <v/>
      </c>
      <c r="AE248" s="8" t="str">
        <f aca="false">IF(AND(D248="Férié",F248="Férié"),0.333333333333333,IF(OR(AND(D248="Férié",F248&lt;&gt;"Férié"),(AND(F248="Férié",D248&lt;&gt;"Férié"))),0.166666666666667,""))</f>
        <v/>
      </c>
      <c r="AF248" s="18"/>
      <c r="AG248" s="18"/>
    </row>
    <row r="249" customFormat="false" ht="15" hidden="false" customHeight="false" outlineLevel="0" collapsed="false">
      <c r="A249" s="6" t="str">
        <f aca="false">YEAR(Q249-WEEKDAY(Q249,2)+4)&amp;"-S"&amp;TEXT(WEEKNUM(Q249,21),"00")</f>
        <v>2026-S04</v>
      </c>
      <c r="B249" s="18" t="s">
        <v>73</v>
      </c>
      <c r="C249" s="19" t="n">
        <v>0.341666666666667</v>
      </c>
      <c r="D249" s="19" t="n">
        <v>0.333333333333333</v>
      </c>
      <c r="E249" s="19" t="n">
        <v>0.75</v>
      </c>
      <c r="F249" s="19" t="n">
        <v>0.75</v>
      </c>
      <c r="G249" s="20"/>
      <c r="H249" s="20"/>
      <c r="I249" s="8" t="n">
        <f aca="false">IF(IF(OR(C249="",D249="Congé",D249="OFF",D249="Congé spécial"),"",IF(D249&gt;F249,D249-C249,IF(C249-D249&lt;0,0,C249-D249)))&lt;0.00068287037037037,"",IF(OR(D249="Congé",D249="OFF",C249="",D249="Congé spécial"),"",IF(D249&gt;F249,D249-C249,IF(C249-D249&lt;0,0,C249-D249))))</f>
        <v>0.00833333333333333</v>
      </c>
      <c r="J249" s="20"/>
      <c r="K249" s="8" t="n">
        <f aca="false">IF(SUM(H249:J249)&lt;0.00068287037037037,0,SUM(H249:J249))</f>
        <v>0.00833333333333333</v>
      </c>
      <c r="L249" s="8" t="n">
        <f aca="false">IF(OR(F249="Congé",F249="OFF",M249="Abs",F249="Congé sans solde",F249="Férié",F249="Congé spécial",D249="Congé spécial"),0,IF(F249-E249&lt;0,0,IF(F249-E249&lt;=0.00068287037037037,0,F249-E249)))</f>
        <v>0</v>
      </c>
      <c r="M249" s="6" t="n">
        <f aca="false">IF(AND(O249&lt;&gt;0,C249=""),"Abs",0)</f>
        <v>0</v>
      </c>
      <c r="N249" s="8" t="n">
        <f aca="false">IFERROR(IF(OR(D249="OFF",D249="Congé",M249="Abs",D249="Congé sans solde",D249="Férié"),"",IF(O249-K249-L249&gt;O249,O249,IF(O249-K249-L249&lt;0,"",O249-K249-L249))),"")</f>
        <v>0.366666666666667</v>
      </c>
      <c r="O249" s="8" t="n">
        <f aca="false">IF(AG249="2H Pause déjeuner",IF(F249-D249-0.0833333333333333&lt;0,F249-D249-0.0833333333333333+1,F249-D249-0.0833333333333333),IF(OR(AND(F249="OFF",D249="OFF"),AND(F249="Congé",D249="Congé"),AND(F249="Congé sans solde",D249="Congé sans solde"),AND(F249="Congé spécial",D249="Congé spécial"),AND(F249="Férié",D249="Férié"),AND(F249="OFF",D249="Congé"),AND(F249="OFF",D249="Congé sans solde"),AND(F249="OFF",D249="Congé spécial"),AND(F249="OFF",D249="Férié"),AND(F249="Congé",D249="OFF"),AND(F249="Congé",D249="Congé sans solde"),AND(F249="Congé",D249="Congé spécial"),AND(F249="Congé",D249="Férié"),AND(F249="Congé sans solde",D249="OFF"),AND(F249="Congé sans solde",D249="Congé"),AND(F249="Congé sans solde",D249="Congé spécial"),AND(F249="Congé sans solde",D249="Férié"),AND(F249="Congé spécial",D249="OFF"),AND(F249="Congé spécial",D249="Congé"),AND(F249="Congé spécial",D249="Congé sans solde"),AND(F249="Congé spécial",D249="Férié"),AND(F249="Férié",D249="OFF"),AND(F249="Férié",D249="Congé"),AND(F249="Férié",D249="Congé sans solde"),AND(F249="Férié",D249="Congé spécial")),0,IF(OR(F249="OFF",F249="Congé",F249="Congé spécial",F249="Congé sans solde",D249="OFF",D249="Congé",D249="Congé spécial",D249="Congé sans solde"),0.208333333333334,IF(AND(AG249="",F249-D249&lt;0),("24:00:00"-D249)+("00:00:00"+F249)-0.0416666666666667,IF(AND(OR(AG249="Allaitement",AG249="Sans déjeuner"),F249-D249&lt;0),("24:00:00"-D249)+("00:00:00"+F249),IF(AND(AG249="",F249-D249&gt;0.166666666666667),F249-D249-0.0416666666666667,IF(AND(OR(AG249="Allaitement",AG249="Sans déjeuner"),F249-D249&gt;0.166666666666667),F249-D249,F249-D249)))))))</f>
        <v>0.375</v>
      </c>
      <c r="P249" s="6" t="str">
        <f aca="false">IFERROR(VLOOKUP($B249,Agents!$A:$D,2,0),"-")</f>
        <v>Accessibilité</v>
      </c>
      <c r="Q249" s="21" t="n">
        <v>46043</v>
      </c>
      <c r="R249" s="8" t="n">
        <f aca="false">IF(M249="Abs",O249,0)</f>
        <v>0</v>
      </c>
      <c r="S249" s="8" t="n">
        <f aca="false">SUM(R249,L249,I249,J249,W249,H249)</f>
        <v>0.00833333333333333</v>
      </c>
      <c r="T249" s="6" t="str">
        <f aca="false">"Sem - "&amp;WEEKNUM(Q249,21)</f>
        <v>Sem - 4</v>
      </c>
      <c r="U249" s="6" t="str">
        <f aca="false">CHOOSE(MONTH(Q249),"Janvier","Février","Mars","Avril","Mai","Juin","Juillet","Août","Septembre","Octobre","Novembre","Décembre")</f>
        <v>Janvier</v>
      </c>
      <c r="V249" s="22" t="n">
        <f aca="false">YEAR(Q249)</f>
        <v>2026</v>
      </c>
      <c r="W249" s="20"/>
      <c r="X249" s="8" t="n">
        <f aca="false">IFERROR(IF(M249="Abs",0,IF(ROUND((D249-C249+E249-F249)*1440,0)&lt;=1,0,D249-C249+E249-F249)),0)</f>
        <v>0</v>
      </c>
      <c r="Y249" s="6" t="str">
        <f aca="false">IFERROR(VLOOKUP($B249,Agents!$A:$D,3,0),"-")</f>
        <v>OUBRAHIM Mohammed</v>
      </c>
      <c r="Z249" s="6" t="str">
        <f aca="false">IFERROR(VLOOKUP($B249,Agents!$A:$D,4,0),"-")</f>
        <v>Credit Mutuel</v>
      </c>
      <c r="AA249" s="18" t="s">
        <v>85</v>
      </c>
      <c r="AB249" s="8" t="str">
        <f aca="false">IF(AND(D249="Congé",F249="Congé"),0.333333333333333,IF(OR(AND(D249="Congé",F249&lt;&gt;"Congé"),(AND(F249="Congé",D249&lt;&gt;"Congé"))),0.166666666666667,""))</f>
        <v/>
      </c>
      <c r="AC249" s="8" t="str">
        <f aca="false">IF(AND(D249="Congé sans solde",F249="Congé sans solde"),0.333333333333333,IF(OR(AND(D249="Congé sans solde",F249&lt;&gt;"Congé sans solde"),(AND(F249="Congé sans solde",D249&lt;&gt;"Congé sans solde"))),0.166666666666667,""))</f>
        <v/>
      </c>
      <c r="AD249" s="8" t="str">
        <f aca="false">IF(AND(D249="Congé spécial",F249="Congé spécial"),0.333333333333333,IF(OR(AND(D249="Congé spécial",F249&lt;&gt;"Congé spécial"),AND(F249="Congé spécial",D249&lt;&gt;"Congé spécial")),0.166666666666667,""))</f>
        <v/>
      </c>
      <c r="AE249" s="8" t="str">
        <f aca="false">IF(AND(D249="Férié",F249="Férié"),0.333333333333333,IF(OR(AND(D249="Férié",F249&lt;&gt;"Férié"),(AND(F249="Férié",D249&lt;&gt;"Férié"))),0.166666666666667,""))</f>
        <v/>
      </c>
      <c r="AF249" s="18"/>
      <c r="AG249" s="18"/>
    </row>
    <row r="250" customFormat="false" ht="15" hidden="false" customHeight="false" outlineLevel="0" collapsed="false">
      <c r="A250" s="6" t="str">
        <f aca="false">YEAR(Q250-WEEKDAY(Q250,2)+4)&amp;"-S"&amp;TEXT(WEEKNUM(Q250,21),"00")</f>
        <v>2026-S04</v>
      </c>
      <c r="B250" s="18" t="s">
        <v>69</v>
      </c>
      <c r="C250" s="19"/>
      <c r="D250" s="19" t="n">
        <v>0.333333333333333</v>
      </c>
      <c r="E250" s="19"/>
      <c r="F250" s="19" t="n">
        <v>0.75</v>
      </c>
      <c r="G250" s="20"/>
      <c r="H250" s="20"/>
      <c r="I250" s="8" t="str">
        <f aca="false">IF(IF(OR(C250="",D250="Congé",D250="OFF",D250="Congé spécial"),"",IF(D250&gt;F250,D250-C250,IF(C250-D250&lt;0,0,C250-D250)))&lt;0.00068287037037037,"",IF(OR(D250="Congé",D250="OFF",C250="",D250="Congé spécial"),"",IF(D250&gt;F250,D250-C250,IF(C250-D250&lt;0,0,C250-D250))))</f>
        <v/>
      </c>
      <c r="J250" s="20"/>
      <c r="K250" s="8" t="n">
        <f aca="false">IF(SUM(H250:J250)&lt;0.00068287037037037,0,SUM(H250:J250))</f>
        <v>0</v>
      </c>
      <c r="L250" s="8" t="n">
        <f aca="false">IF(OR(F250="Congé",F250="OFF",M250="Abs",F250="Congé sans solde",F250="Férié",F250="Congé spécial",D250="Congé spécial"),0,IF(F250-E250&lt;0,0,IF(F250-E250&lt;=0.00068287037037037,0,F250-E250)))</f>
        <v>0</v>
      </c>
      <c r="M250" s="6" t="str">
        <f aca="false">IF(AND(O250&lt;&gt;0,C250=""),"Abs",0)</f>
        <v>Abs</v>
      </c>
      <c r="N250" s="8" t="str">
        <f aca="false">IFERROR(IF(OR(D250="OFF",D250="Congé",M250="Abs",D250="Congé sans solde",D250="Férié"),"",IF(O250-K250-L250&gt;O250,O250,IF(O250-K250-L250&lt;0,"",O250-K250-L250))),"")</f>
        <v/>
      </c>
      <c r="O250" s="8" t="n">
        <f aca="false">IF(AG250="2H Pause déjeuner",IF(F250-D250-0.0833333333333333&lt;0,F250-D250-0.0833333333333333+1,F250-D250-0.0833333333333333),IF(OR(AND(F250="OFF",D250="OFF"),AND(F250="Congé",D250="Congé"),AND(F250="Congé sans solde",D250="Congé sans solde"),AND(F250="Congé spécial",D250="Congé spécial"),AND(F250="Férié",D250="Férié"),AND(F250="OFF",D250="Congé"),AND(F250="OFF",D250="Congé sans solde"),AND(F250="OFF",D250="Congé spécial"),AND(F250="OFF",D250="Férié"),AND(F250="Congé",D250="OFF"),AND(F250="Congé",D250="Congé sans solde"),AND(F250="Congé",D250="Congé spécial"),AND(F250="Congé",D250="Férié"),AND(F250="Congé sans solde",D250="OFF"),AND(F250="Congé sans solde",D250="Congé"),AND(F250="Congé sans solde",D250="Congé spécial"),AND(F250="Congé sans solde",D250="Férié"),AND(F250="Congé spécial",D250="OFF"),AND(F250="Congé spécial",D250="Congé"),AND(F250="Congé spécial",D250="Congé sans solde"),AND(F250="Congé spécial",D250="Férié"),AND(F250="Férié",D250="OFF"),AND(F250="Férié",D250="Congé"),AND(F250="Férié",D250="Congé sans solde"),AND(F250="Férié",D250="Congé spécial")),0,IF(OR(F250="OFF",F250="Congé",F250="Congé spécial",F250="Congé sans solde",D250="OFF",D250="Congé",D250="Congé spécial",D250="Congé sans solde"),0.208333333333334,IF(AND(AG250="",F250-D250&lt;0),("24:00:00"-D250)+("00:00:00"+F250)-0.0416666666666667,IF(AND(OR(AG250="Allaitement",AG250="Sans déjeuner"),F250-D250&lt;0),("24:00:00"-D250)+("00:00:00"+F250),IF(AND(AG250="",F250-D250&gt;0.166666666666667),F250-D250-0.0416666666666667,IF(AND(OR(AG250="Allaitement",AG250="Sans déjeuner"),F250-D250&gt;0.166666666666667),F250-D250,F250-D250)))))))</f>
        <v>0.375</v>
      </c>
      <c r="P250" s="6" t="str">
        <f aca="false">IFERROR(VLOOKUP($B250,Agents!$A:$D,2,0),"-")</f>
        <v>Accessibilité</v>
      </c>
      <c r="Q250" s="21" t="n">
        <v>46044</v>
      </c>
      <c r="R250" s="8" t="n">
        <f aca="false">IF(M250="Abs",O250,0)</f>
        <v>0.375</v>
      </c>
      <c r="S250" s="8" t="n">
        <f aca="false">SUM(R250,L250,I250,J250,W250,H250)</f>
        <v>0.375</v>
      </c>
      <c r="T250" s="6" t="str">
        <f aca="false">"Sem - "&amp;WEEKNUM(Q250,21)</f>
        <v>Sem - 4</v>
      </c>
      <c r="U250" s="6" t="str">
        <f aca="false">CHOOSE(MONTH(Q250),"Janvier","Février","Mars","Avril","Mai","Juin","Juillet","Août","Septembre","Octobre","Novembre","Décembre")</f>
        <v>Janvier</v>
      </c>
      <c r="V250" s="22" t="n">
        <f aca="false">YEAR(Q250)</f>
        <v>2026</v>
      </c>
      <c r="W250" s="20"/>
      <c r="X250" s="8" t="n">
        <f aca="false">IFERROR(IF(M250="Abs",0,IF(ROUND((D250-C250+E250-F250)*1440,0)&lt;=1,0,D250-C250+E250-F250)),0)</f>
        <v>0</v>
      </c>
      <c r="Y250" s="6" t="str">
        <f aca="false">IFERROR(VLOOKUP($B250,Agents!$A:$D,3,0),"-")</f>
        <v>OUBRAHIM Mohammed</v>
      </c>
      <c r="Z250" s="6" t="str">
        <f aca="false">IFERROR(VLOOKUP($B250,Agents!$A:$D,4,0),"-")</f>
        <v>Credit Mutuel</v>
      </c>
      <c r="AA250" s="18" t="s">
        <v>85</v>
      </c>
      <c r="AB250" s="8" t="str">
        <f aca="false">IF(AND(D250="Congé",F250="Congé"),0.333333333333333,IF(OR(AND(D250="Congé",F250&lt;&gt;"Congé"),(AND(F250="Congé",D250&lt;&gt;"Congé"))),0.166666666666667,""))</f>
        <v/>
      </c>
      <c r="AC250" s="8" t="str">
        <f aca="false">IF(AND(D250="Congé sans solde",F250="Congé sans solde"),0.333333333333333,IF(OR(AND(D250="Congé sans solde",F250&lt;&gt;"Congé sans solde"),(AND(F250="Congé sans solde",D250&lt;&gt;"Congé sans solde"))),0.166666666666667,""))</f>
        <v/>
      </c>
      <c r="AD250" s="8" t="str">
        <f aca="false">IF(AND(D250="Congé spécial",F250="Congé spécial"),0.333333333333333,IF(OR(AND(D250="Congé spécial",F250&lt;&gt;"Congé spécial"),AND(F250="Congé spécial",D250&lt;&gt;"Congé spécial")),0.166666666666667,""))</f>
        <v/>
      </c>
      <c r="AE250" s="8" t="str">
        <f aca="false">IF(AND(D250="Férié",F250="Férié"),0.333333333333333,IF(OR(AND(D250="Férié",F250&lt;&gt;"Férié"),(AND(F250="Férié",D250&lt;&gt;"Férié"))),0.166666666666667,""))</f>
        <v/>
      </c>
      <c r="AF250" s="18"/>
      <c r="AG250" s="18"/>
    </row>
    <row r="251" customFormat="false" ht="15" hidden="false" customHeight="false" outlineLevel="0" collapsed="false">
      <c r="A251" s="6" t="str">
        <f aca="false">YEAR(Q251-WEEKDAY(Q251,2)+4)&amp;"-S"&amp;TEXT(WEEKNUM(Q251,21),"00")</f>
        <v>2026-S04</v>
      </c>
      <c r="B251" s="18" t="s">
        <v>71</v>
      </c>
      <c r="C251" s="19" t="n">
        <v>0.332638888888889</v>
      </c>
      <c r="D251" s="19" t="n">
        <v>0.333333333333333</v>
      </c>
      <c r="E251" s="19" t="n">
        <v>0.75</v>
      </c>
      <c r="F251" s="19" t="n">
        <v>0.75</v>
      </c>
      <c r="G251" s="20"/>
      <c r="H251" s="20"/>
      <c r="I251" s="8" t="str">
        <f aca="false">IF(IF(OR(C251="",D251="Congé",D251="OFF",D251="Congé spécial"),"",IF(D251&gt;F251,D251-C251,IF(C251-D251&lt;0,0,C251-D251)))&lt;0.00068287037037037,"",IF(OR(D251="Congé",D251="OFF",C251="",D251="Congé spécial"),"",IF(D251&gt;F251,D251-C251,IF(C251-D251&lt;0,0,C251-D251))))</f>
        <v/>
      </c>
      <c r="J251" s="20"/>
      <c r="K251" s="8" t="n">
        <f aca="false">IF(SUM(H251:J251)&lt;0.00068287037037037,0,SUM(H251:J251))</f>
        <v>0</v>
      </c>
      <c r="L251" s="8" t="n">
        <f aca="false">IF(OR(F251="Congé",F251="OFF",M251="Abs",F251="Congé sans solde",F251="Férié",F251="Congé spécial",D251="Congé spécial"),0,IF(F251-E251&lt;0,0,IF(F251-E251&lt;=0.00068287037037037,0,F251-E251)))</f>
        <v>0</v>
      </c>
      <c r="M251" s="6" t="n">
        <f aca="false">IF(AND(O251&lt;&gt;0,C251=""),"Abs",0)</f>
        <v>0</v>
      </c>
      <c r="N251" s="8" t="n">
        <f aca="false">IFERROR(IF(OR(D251="OFF",D251="Congé",M251="Abs",D251="Congé sans solde",D251="Férié"),"",IF(O251-K251-L251&gt;O251,O251,IF(O251-K251-L251&lt;0,"",O251-K251-L251))),"")</f>
        <v>0.375</v>
      </c>
      <c r="O251" s="8" t="n">
        <f aca="false">IF(AG251="2H Pause déjeuner",IF(F251-D251-0.0833333333333333&lt;0,F251-D251-0.0833333333333333+1,F251-D251-0.0833333333333333),IF(OR(AND(F251="OFF",D251="OFF"),AND(F251="Congé",D251="Congé"),AND(F251="Congé sans solde",D251="Congé sans solde"),AND(F251="Congé spécial",D251="Congé spécial"),AND(F251="Férié",D251="Férié"),AND(F251="OFF",D251="Congé"),AND(F251="OFF",D251="Congé sans solde"),AND(F251="OFF",D251="Congé spécial"),AND(F251="OFF",D251="Férié"),AND(F251="Congé",D251="OFF"),AND(F251="Congé",D251="Congé sans solde"),AND(F251="Congé",D251="Congé spécial"),AND(F251="Congé",D251="Férié"),AND(F251="Congé sans solde",D251="OFF"),AND(F251="Congé sans solde",D251="Congé"),AND(F251="Congé sans solde",D251="Congé spécial"),AND(F251="Congé sans solde",D251="Férié"),AND(F251="Congé spécial",D251="OFF"),AND(F251="Congé spécial",D251="Congé"),AND(F251="Congé spécial",D251="Congé sans solde"),AND(F251="Congé spécial",D251="Férié"),AND(F251="Férié",D251="OFF"),AND(F251="Férié",D251="Congé"),AND(F251="Férié",D251="Congé sans solde"),AND(F251="Férié",D251="Congé spécial")),0,IF(OR(F251="OFF",F251="Congé",F251="Congé spécial",F251="Congé sans solde",D251="OFF",D251="Congé",D251="Congé spécial",D251="Congé sans solde"),0.208333333333334,IF(AND(AG251="",F251-D251&lt;0),("24:00:00"-D251)+("00:00:00"+F251)-0.0416666666666667,IF(AND(OR(AG251="Allaitement",AG251="Sans déjeuner"),F251-D251&lt;0),("24:00:00"-D251)+("00:00:00"+F251),IF(AND(AG251="",F251-D251&gt;0.166666666666667),F251-D251-0.0416666666666667,IF(AND(OR(AG251="Allaitement",AG251="Sans déjeuner"),F251-D251&gt;0.166666666666667),F251-D251,F251-D251)))))))</f>
        <v>0.375</v>
      </c>
      <c r="P251" s="6" t="str">
        <f aca="false">IFERROR(VLOOKUP($B251,Agents!$A:$D,2,0),"-")</f>
        <v>Accessibilité</v>
      </c>
      <c r="Q251" s="21" t="n">
        <v>46044</v>
      </c>
      <c r="R251" s="8" t="n">
        <f aca="false">IF(M251="Abs",O251,0)</f>
        <v>0</v>
      </c>
      <c r="S251" s="8" t="n">
        <f aca="false">SUM(R251,L251,I251,J251,W251,H251)</f>
        <v>0</v>
      </c>
      <c r="T251" s="6" t="str">
        <f aca="false">"Sem - "&amp;WEEKNUM(Q251,21)</f>
        <v>Sem - 4</v>
      </c>
      <c r="U251" s="6" t="str">
        <f aca="false">CHOOSE(MONTH(Q251),"Janvier","Février","Mars","Avril","Mai","Juin","Juillet","Août","Septembre","Octobre","Novembre","Décembre")</f>
        <v>Janvier</v>
      </c>
      <c r="V251" s="22" t="n">
        <f aca="false">YEAR(Q251)</f>
        <v>2026</v>
      </c>
      <c r="W251" s="20"/>
      <c r="X251" s="8" t="n">
        <f aca="false">IFERROR(IF(M251="Abs",0,IF(ROUND((D251-C251+E251-F251)*1440,0)&lt;=1,0,D251-C251+E251-F251)),0)</f>
        <v>0</v>
      </c>
      <c r="Y251" s="6" t="str">
        <f aca="false">IFERROR(VLOOKUP($B251,Agents!$A:$D,3,0),"-")</f>
        <v>OUBRAHIM Mohammed</v>
      </c>
      <c r="Z251" s="6" t="str">
        <f aca="false">IFERROR(VLOOKUP($B251,Agents!$A:$D,4,0),"-")</f>
        <v>Credit Mutuel</v>
      </c>
      <c r="AA251" s="18" t="s">
        <v>85</v>
      </c>
      <c r="AB251" s="8" t="str">
        <f aca="false">IF(AND(D251="Congé",F251="Congé"),0.333333333333333,IF(OR(AND(D251="Congé",F251&lt;&gt;"Congé"),(AND(F251="Congé",D251&lt;&gt;"Congé"))),0.166666666666667,""))</f>
        <v/>
      </c>
      <c r="AC251" s="8" t="str">
        <f aca="false">IF(AND(D251="Congé sans solde",F251="Congé sans solde"),0.333333333333333,IF(OR(AND(D251="Congé sans solde",F251&lt;&gt;"Congé sans solde"),(AND(F251="Congé sans solde",D251&lt;&gt;"Congé sans solde"))),0.166666666666667,""))</f>
        <v/>
      </c>
      <c r="AD251" s="8" t="str">
        <f aca="false">IF(AND(D251="Congé spécial",F251="Congé spécial"),0.333333333333333,IF(OR(AND(D251="Congé spécial",F251&lt;&gt;"Congé spécial"),AND(F251="Congé spécial",D251&lt;&gt;"Congé spécial")),0.166666666666667,""))</f>
        <v/>
      </c>
      <c r="AE251" s="8" t="str">
        <f aca="false">IF(AND(D251="Férié",F251="Férié"),0.333333333333333,IF(OR(AND(D251="Férié",F251&lt;&gt;"Férié"),(AND(F251="Férié",D251&lt;&gt;"Férié"))),0.166666666666667,""))</f>
        <v/>
      </c>
      <c r="AF251" s="18"/>
      <c r="AG251" s="18"/>
    </row>
    <row r="252" customFormat="false" ht="15" hidden="false" customHeight="false" outlineLevel="0" collapsed="false">
      <c r="A252" s="6" t="str">
        <f aca="false">YEAR(Q252-WEEKDAY(Q252,2)+4)&amp;"-S"&amp;TEXT(WEEKNUM(Q252,21),"00")</f>
        <v>2026-S04</v>
      </c>
      <c r="B252" s="18" t="s">
        <v>72</v>
      </c>
      <c r="C252" s="19" t="n">
        <v>0.331944444444444</v>
      </c>
      <c r="D252" s="19" t="n">
        <v>0.333333333333333</v>
      </c>
      <c r="E252" s="19" t="n">
        <v>0.75</v>
      </c>
      <c r="F252" s="19" t="n">
        <v>0.75</v>
      </c>
      <c r="G252" s="20"/>
      <c r="H252" s="20"/>
      <c r="I252" s="8" t="str">
        <f aca="false">IF(IF(OR(C252="",D252="Congé",D252="OFF",D252="Congé spécial"),"",IF(D252&gt;F252,D252-C252,IF(C252-D252&lt;0,0,C252-D252)))&lt;0.00068287037037037,"",IF(OR(D252="Congé",D252="OFF",C252="",D252="Congé spécial"),"",IF(D252&gt;F252,D252-C252,IF(C252-D252&lt;0,0,C252-D252))))</f>
        <v/>
      </c>
      <c r="J252" s="20"/>
      <c r="K252" s="8" t="n">
        <f aca="false">IF(SUM(H252:J252)&lt;0.00068287037037037,0,SUM(H252:J252))</f>
        <v>0</v>
      </c>
      <c r="L252" s="8" t="n">
        <f aca="false">IF(OR(F252="Congé",F252="OFF",M252="Abs",F252="Congé sans solde",F252="Férié",F252="Congé spécial",D252="Congé spécial"),0,IF(F252-E252&lt;0,0,IF(F252-E252&lt;=0.00068287037037037,0,F252-E252)))</f>
        <v>0</v>
      </c>
      <c r="M252" s="6" t="n">
        <f aca="false">IF(AND(O252&lt;&gt;0,C252=""),"Abs",0)</f>
        <v>0</v>
      </c>
      <c r="N252" s="8" t="n">
        <f aca="false">IFERROR(IF(OR(D252="OFF",D252="Congé",M252="Abs",D252="Congé sans solde",D252="Férié"),"",IF(O252-K252-L252&gt;O252,O252,IF(O252-K252-L252&lt;0,"",O252-K252-L252))),"")</f>
        <v>0.375</v>
      </c>
      <c r="O252" s="8" t="n">
        <f aca="false">IF(AG252="2H Pause déjeuner",IF(F252-D252-0.0833333333333333&lt;0,F252-D252-0.0833333333333333+1,F252-D252-0.0833333333333333),IF(OR(AND(F252="OFF",D252="OFF"),AND(F252="Congé",D252="Congé"),AND(F252="Congé sans solde",D252="Congé sans solde"),AND(F252="Congé spécial",D252="Congé spécial"),AND(F252="Férié",D252="Férié"),AND(F252="OFF",D252="Congé"),AND(F252="OFF",D252="Congé sans solde"),AND(F252="OFF",D252="Congé spécial"),AND(F252="OFF",D252="Férié"),AND(F252="Congé",D252="OFF"),AND(F252="Congé",D252="Congé sans solde"),AND(F252="Congé",D252="Congé spécial"),AND(F252="Congé",D252="Férié"),AND(F252="Congé sans solde",D252="OFF"),AND(F252="Congé sans solde",D252="Congé"),AND(F252="Congé sans solde",D252="Congé spécial"),AND(F252="Congé sans solde",D252="Férié"),AND(F252="Congé spécial",D252="OFF"),AND(F252="Congé spécial",D252="Congé"),AND(F252="Congé spécial",D252="Congé sans solde"),AND(F252="Congé spécial",D252="Férié"),AND(F252="Férié",D252="OFF"),AND(F252="Férié",D252="Congé"),AND(F252="Férié",D252="Congé sans solde"),AND(F252="Férié",D252="Congé spécial")),0,IF(OR(F252="OFF",F252="Congé",F252="Congé spécial",F252="Congé sans solde",D252="OFF",D252="Congé",D252="Congé spécial",D252="Congé sans solde"),0.208333333333334,IF(AND(AG252="",F252-D252&lt;0),("24:00:00"-D252)+("00:00:00"+F252)-0.0416666666666667,IF(AND(OR(AG252="Allaitement",AG252="Sans déjeuner"),F252-D252&lt;0),("24:00:00"-D252)+("00:00:00"+F252),IF(AND(AG252="",F252-D252&gt;0.166666666666667),F252-D252-0.0416666666666667,IF(AND(OR(AG252="Allaitement",AG252="Sans déjeuner"),F252-D252&gt;0.166666666666667),F252-D252,F252-D252)))))))</f>
        <v>0.375</v>
      </c>
      <c r="P252" s="6" t="str">
        <f aca="false">IFERROR(VLOOKUP($B252,Agents!$A:$D,2,0),"-")</f>
        <v>Accessibilité</v>
      </c>
      <c r="Q252" s="21" t="n">
        <v>46044</v>
      </c>
      <c r="R252" s="8" t="n">
        <f aca="false">IF(M252="Abs",O252,0)</f>
        <v>0</v>
      </c>
      <c r="S252" s="8" t="n">
        <f aca="false">SUM(R252,L252,I252,J252,W252,H252)</f>
        <v>0</v>
      </c>
      <c r="T252" s="6" t="str">
        <f aca="false">"Sem - "&amp;WEEKNUM(Q252,21)</f>
        <v>Sem - 4</v>
      </c>
      <c r="U252" s="6" t="str">
        <f aca="false">CHOOSE(MONTH(Q252),"Janvier","Février","Mars","Avril","Mai","Juin","Juillet","Août","Septembre","Octobre","Novembre","Décembre")</f>
        <v>Janvier</v>
      </c>
      <c r="V252" s="22" t="n">
        <f aca="false">YEAR(Q252)</f>
        <v>2026</v>
      </c>
      <c r="W252" s="20"/>
      <c r="X252" s="8" t="n">
        <f aca="false">IFERROR(IF(M252="Abs",0,IF(ROUND((D252-C252+E252-F252)*1440,0)&lt;=1,0,D252-C252+E252-F252)),0)</f>
        <v>0.00138888888888889</v>
      </c>
      <c r="Y252" s="6" t="str">
        <f aca="false">IFERROR(VLOOKUP($B252,Agents!$A:$D,3,0),"-")</f>
        <v>OUBRAHIM Mohammed</v>
      </c>
      <c r="Z252" s="6" t="str">
        <f aca="false">IFERROR(VLOOKUP($B252,Agents!$A:$D,4,0),"-")</f>
        <v>Credit Mutuel</v>
      </c>
      <c r="AA252" s="18" t="s">
        <v>85</v>
      </c>
      <c r="AB252" s="8" t="str">
        <f aca="false">IF(AND(D252="Congé",F252="Congé"),0.333333333333333,IF(OR(AND(D252="Congé",F252&lt;&gt;"Congé"),(AND(F252="Congé",D252&lt;&gt;"Congé"))),0.166666666666667,""))</f>
        <v/>
      </c>
      <c r="AC252" s="8" t="str">
        <f aca="false">IF(AND(D252="Congé sans solde",F252="Congé sans solde"),0.333333333333333,IF(OR(AND(D252="Congé sans solde",F252&lt;&gt;"Congé sans solde"),(AND(F252="Congé sans solde",D252&lt;&gt;"Congé sans solde"))),0.166666666666667,""))</f>
        <v/>
      </c>
      <c r="AD252" s="8" t="str">
        <f aca="false">IF(AND(D252="Congé spécial",F252="Congé spécial"),0.333333333333333,IF(OR(AND(D252="Congé spécial",F252&lt;&gt;"Congé spécial"),AND(F252="Congé spécial",D252&lt;&gt;"Congé spécial")),0.166666666666667,""))</f>
        <v/>
      </c>
      <c r="AE252" s="8" t="str">
        <f aca="false">IF(AND(D252="Férié",F252="Férié"),0.333333333333333,IF(OR(AND(D252="Férié",F252&lt;&gt;"Férié"),(AND(F252="Férié",D252&lt;&gt;"Férié"))),0.166666666666667,""))</f>
        <v/>
      </c>
      <c r="AF252" s="18"/>
      <c r="AG252" s="18"/>
    </row>
    <row r="253" customFormat="false" ht="15" hidden="false" customHeight="false" outlineLevel="0" collapsed="false">
      <c r="A253" s="6" t="str">
        <f aca="false">YEAR(Q253-WEEKDAY(Q253,2)+4)&amp;"-S"&amp;TEXT(WEEKNUM(Q253,21),"00")</f>
        <v>2026-S04</v>
      </c>
      <c r="B253" s="18" t="s">
        <v>73</v>
      </c>
      <c r="C253" s="19" t="n">
        <v>0.333333333333333</v>
      </c>
      <c r="D253" s="19" t="n">
        <v>0.333333333333333</v>
      </c>
      <c r="E253" s="19" t="n">
        <v>0.75</v>
      </c>
      <c r="F253" s="19" t="n">
        <v>0.75</v>
      </c>
      <c r="G253" s="20"/>
      <c r="H253" s="20"/>
      <c r="I253" s="8" t="str">
        <f aca="false">IF(IF(OR(C253="",D253="Congé",D253="OFF",D253="Congé spécial"),"",IF(D253&gt;F253,D253-C253,IF(C253-D253&lt;0,0,C253-D253)))&lt;0.00068287037037037,"",IF(OR(D253="Congé",D253="OFF",C253="",D253="Congé spécial"),"",IF(D253&gt;F253,D253-C253,IF(C253-D253&lt;0,0,C253-D253))))</f>
        <v/>
      </c>
      <c r="J253" s="20"/>
      <c r="K253" s="8" t="n">
        <f aca="false">IF(SUM(H253:J253)&lt;0.00068287037037037,0,SUM(H253:J253))</f>
        <v>0</v>
      </c>
      <c r="L253" s="8" t="n">
        <f aca="false">IF(OR(F253="Congé",F253="OFF",M253="Abs",F253="Congé sans solde",F253="Férié",F253="Congé spécial",D253="Congé spécial"),0,IF(F253-E253&lt;0,0,IF(F253-E253&lt;=0.00068287037037037,0,F253-E253)))</f>
        <v>0</v>
      </c>
      <c r="M253" s="6" t="n">
        <f aca="false">IF(AND(O253&lt;&gt;0,C253=""),"Abs",0)</f>
        <v>0</v>
      </c>
      <c r="N253" s="8" t="n">
        <f aca="false">IFERROR(IF(OR(D253="OFF",D253="Congé",M253="Abs",D253="Congé sans solde",D253="Férié"),"",IF(O253-K253-L253&gt;O253,O253,IF(O253-K253-L253&lt;0,"",O253-K253-L253))),"")</f>
        <v>0.375</v>
      </c>
      <c r="O253" s="8" t="n">
        <f aca="false">IF(AG253="2H Pause déjeuner",IF(F253-D253-0.0833333333333333&lt;0,F253-D253-0.0833333333333333+1,F253-D253-0.0833333333333333),IF(OR(AND(F253="OFF",D253="OFF"),AND(F253="Congé",D253="Congé"),AND(F253="Congé sans solde",D253="Congé sans solde"),AND(F253="Congé spécial",D253="Congé spécial"),AND(F253="Férié",D253="Férié"),AND(F253="OFF",D253="Congé"),AND(F253="OFF",D253="Congé sans solde"),AND(F253="OFF",D253="Congé spécial"),AND(F253="OFF",D253="Férié"),AND(F253="Congé",D253="OFF"),AND(F253="Congé",D253="Congé sans solde"),AND(F253="Congé",D253="Congé spécial"),AND(F253="Congé",D253="Férié"),AND(F253="Congé sans solde",D253="OFF"),AND(F253="Congé sans solde",D253="Congé"),AND(F253="Congé sans solde",D253="Congé spécial"),AND(F253="Congé sans solde",D253="Férié"),AND(F253="Congé spécial",D253="OFF"),AND(F253="Congé spécial",D253="Congé"),AND(F253="Congé spécial",D253="Congé sans solde"),AND(F253="Congé spécial",D253="Férié"),AND(F253="Férié",D253="OFF"),AND(F253="Férié",D253="Congé"),AND(F253="Férié",D253="Congé sans solde"),AND(F253="Férié",D253="Congé spécial")),0,IF(OR(F253="OFF",F253="Congé",F253="Congé spécial",F253="Congé sans solde",D253="OFF",D253="Congé",D253="Congé spécial",D253="Congé sans solde"),0.208333333333334,IF(AND(AG253="",F253-D253&lt;0),("24:00:00"-D253)+("00:00:00"+F253)-0.0416666666666667,IF(AND(OR(AG253="Allaitement",AG253="Sans déjeuner"),F253-D253&lt;0),("24:00:00"-D253)+("00:00:00"+F253),IF(AND(AG253="",F253-D253&gt;0.166666666666667),F253-D253-0.0416666666666667,IF(AND(OR(AG253="Allaitement",AG253="Sans déjeuner"),F253-D253&gt;0.166666666666667),F253-D253,F253-D253)))))))</f>
        <v>0.375</v>
      </c>
      <c r="P253" s="6" t="str">
        <f aca="false">IFERROR(VLOOKUP($B253,Agents!$A:$D,2,0),"-")</f>
        <v>Accessibilité</v>
      </c>
      <c r="Q253" s="21" t="n">
        <v>46044</v>
      </c>
      <c r="R253" s="8" t="n">
        <f aca="false">IF(M253="Abs",O253,0)</f>
        <v>0</v>
      </c>
      <c r="S253" s="8" t="n">
        <f aca="false">SUM(R253,L253,I253,J253,W253,H253)</f>
        <v>0</v>
      </c>
      <c r="T253" s="6" t="str">
        <f aca="false">"Sem - "&amp;WEEKNUM(Q253,21)</f>
        <v>Sem - 4</v>
      </c>
      <c r="U253" s="6" t="str">
        <f aca="false">CHOOSE(MONTH(Q253),"Janvier","Février","Mars","Avril","Mai","Juin","Juillet","Août","Septembre","Octobre","Novembre","Décembre")</f>
        <v>Janvier</v>
      </c>
      <c r="V253" s="22" t="n">
        <f aca="false">YEAR(Q253)</f>
        <v>2026</v>
      </c>
      <c r="W253" s="20"/>
      <c r="X253" s="8" t="n">
        <f aca="false">IFERROR(IF(M253="Abs",0,IF(ROUND((D253-C253+E253-F253)*1440,0)&lt;=1,0,D253-C253+E253-F253)),0)</f>
        <v>0</v>
      </c>
      <c r="Y253" s="6" t="str">
        <f aca="false">IFERROR(VLOOKUP($B253,Agents!$A:$D,3,0),"-")</f>
        <v>OUBRAHIM Mohammed</v>
      </c>
      <c r="Z253" s="6" t="str">
        <f aca="false">IFERROR(VLOOKUP($B253,Agents!$A:$D,4,0),"-")</f>
        <v>Credit Mutuel</v>
      </c>
      <c r="AA253" s="18" t="s">
        <v>85</v>
      </c>
      <c r="AB253" s="8" t="str">
        <f aca="false">IF(AND(D253="Congé",F253="Congé"),0.333333333333333,IF(OR(AND(D253="Congé",F253&lt;&gt;"Congé"),(AND(F253="Congé",D253&lt;&gt;"Congé"))),0.166666666666667,""))</f>
        <v/>
      </c>
      <c r="AC253" s="8" t="str">
        <f aca="false">IF(AND(D253="Congé sans solde",F253="Congé sans solde"),0.333333333333333,IF(OR(AND(D253="Congé sans solde",F253&lt;&gt;"Congé sans solde"),(AND(F253="Congé sans solde",D253&lt;&gt;"Congé sans solde"))),0.166666666666667,""))</f>
        <v/>
      </c>
      <c r="AD253" s="8" t="str">
        <f aca="false">IF(AND(D253="Congé spécial",F253="Congé spécial"),0.333333333333333,IF(OR(AND(D253="Congé spécial",F253&lt;&gt;"Congé spécial"),AND(F253="Congé spécial",D253&lt;&gt;"Congé spécial")),0.166666666666667,""))</f>
        <v/>
      </c>
      <c r="AE253" s="8" t="str">
        <f aca="false">IF(AND(D253="Férié",F253="Férié"),0.333333333333333,IF(OR(AND(D253="Férié",F253&lt;&gt;"Férié"),(AND(F253="Férié",D253&lt;&gt;"Férié"))),0.166666666666667,""))</f>
        <v/>
      </c>
      <c r="AF253" s="18"/>
      <c r="AG253" s="18"/>
    </row>
    <row r="254" customFormat="false" ht="15" hidden="false" customHeight="false" outlineLevel="0" collapsed="false">
      <c r="A254" s="6" t="str">
        <f aca="false">YEAR(Q254-WEEKDAY(Q254,2)+4)&amp;"-S"&amp;TEXT(WEEKNUM(Q254,21),"00")</f>
        <v>2026-S04</v>
      </c>
      <c r="B254" s="18" t="s">
        <v>69</v>
      </c>
      <c r="C254" s="19" t="n">
        <v>0.332638888888889</v>
      </c>
      <c r="D254" s="19" t="n">
        <v>0.333333333333333</v>
      </c>
      <c r="E254" s="19" t="n">
        <v>0.708333333333333</v>
      </c>
      <c r="F254" s="19" t="n">
        <v>0.708333333333333</v>
      </c>
      <c r="G254" s="20"/>
      <c r="H254" s="20"/>
      <c r="I254" s="8" t="str">
        <f aca="false">IF(IF(OR(C254="",D254="Congé",D254="OFF",D254="Congé spécial"),"",IF(D254&gt;F254,D254-C254,IF(C254-D254&lt;0,0,C254-D254)))&lt;0.00068287037037037,"",IF(OR(D254="Congé",D254="OFF",C254="",D254="Congé spécial"),"",IF(D254&gt;F254,D254-C254,IF(C254-D254&lt;0,0,C254-D254))))</f>
        <v/>
      </c>
      <c r="J254" s="20"/>
      <c r="K254" s="8" t="n">
        <f aca="false">IF(SUM(H254:J254)&lt;0.00068287037037037,0,SUM(H254:J254))</f>
        <v>0</v>
      </c>
      <c r="L254" s="8" t="n">
        <f aca="false">IF(OR(F254="Congé",F254="OFF",M254="Abs",F254="Congé sans solde",F254="Férié",F254="Congé spécial",D254="Congé spécial"),0,IF(F254-E254&lt;0,0,IF(F254-E254&lt;=0.00068287037037037,0,F254-E254)))</f>
        <v>0</v>
      </c>
      <c r="M254" s="6" t="n">
        <f aca="false">IF(AND(O254&lt;&gt;0,C254=""),"Abs",0)</f>
        <v>0</v>
      </c>
      <c r="N254" s="8" t="n">
        <f aca="false">IFERROR(IF(OR(D254="OFF",D254="Congé",M254="Abs",D254="Congé sans solde",D254="Férié"),"",IF(O254-K254-L254&gt;O254,O254,IF(O254-K254-L254&lt;0,"",O254-K254-L254))),"")</f>
        <v>0.333333333333333</v>
      </c>
      <c r="O254" s="8" t="n">
        <f aca="false">IF(AG254="2H Pause déjeuner",IF(F254-D254-0.0833333333333333&lt;0,F254-D254-0.0833333333333333+1,F254-D254-0.0833333333333333),IF(OR(AND(F254="OFF",D254="OFF"),AND(F254="Congé",D254="Congé"),AND(F254="Congé sans solde",D254="Congé sans solde"),AND(F254="Congé spécial",D254="Congé spécial"),AND(F254="Férié",D254="Férié"),AND(F254="OFF",D254="Congé"),AND(F254="OFF",D254="Congé sans solde"),AND(F254="OFF",D254="Congé spécial"),AND(F254="OFF",D254="Férié"),AND(F254="Congé",D254="OFF"),AND(F254="Congé",D254="Congé sans solde"),AND(F254="Congé",D254="Congé spécial"),AND(F254="Congé",D254="Férié"),AND(F254="Congé sans solde",D254="OFF"),AND(F254="Congé sans solde",D254="Congé"),AND(F254="Congé sans solde",D254="Congé spécial"),AND(F254="Congé sans solde",D254="Férié"),AND(F254="Congé spécial",D254="OFF"),AND(F254="Congé spécial",D254="Congé"),AND(F254="Congé spécial",D254="Congé sans solde"),AND(F254="Congé spécial",D254="Férié"),AND(F254="Férié",D254="OFF"),AND(F254="Férié",D254="Congé"),AND(F254="Férié",D254="Congé sans solde"),AND(F254="Férié",D254="Congé spécial")),0,IF(OR(F254="OFF",F254="Congé",F254="Congé spécial",F254="Congé sans solde",D254="OFF",D254="Congé",D254="Congé spécial",D254="Congé sans solde"),0.208333333333334,IF(AND(AG254="",F254-D254&lt;0),("24:00:00"-D254)+("00:00:00"+F254)-0.0416666666666667,IF(AND(OR(AG254="Allaitement",AG254="Sans déjeuner"),F254-D254&lt;0),("24:00:00"-D254)+("00:00:00"+F254),IF(AND(AG254="",F254-D254&gt;0.166666666666667),F254-D254-0.0416666666666667,IF(AND(OR(AG254="Allaitement",AG254="Sans déjeuner"),F254-D254&gt;0.166666666666667),F254-D254,F254-D254)))))))</f>
        <v>0.333333333333333</v>
      </c>
      <c r="P254" s="6" t="str">
        <f aca="false">IFERROR(VLOOKUP($B254,Agents!$A:$D,2,0),"-")</f>
        <v>Accessibilité</v>
      </c>
      <c r="Q254" s="21" t="n">
        <v>46045</v>
      </c>
      <c r="R254" s="8" t="n">
        <f aca="false">IF(M254="Abs",O254,0)</f>
        <v>0</v>
      </c>
      <c r="S254" s="8" t="n">
        <f aca="false">SUM(R254,L254,I254,J254,W254,H254)</f>
        <v>0</v>
      </c>
      <c r="T254" s="6" t="str">
        <f aca="false">"Sem - "&amp;WEEKNUM(Q254,21)</f>
        <v>Sem - 4</v>
      </c>
      <c r="U254" s="6" t="str">
        <f aca="false">CHOOSE(MONTH(Q254),"Janvier","Février","Mars","Avril","Mai","Juin","Juillet","Août","Septembre","Octobre","Novembre","Décembre")</f>
        <v>Janvier</v>
      </c>
      <c r="V254" s="22" t="n">
        <f aca="false">YEAR(Q254)</f>
        <v>2026</v>
      </c>
      <c r="W254" s="20"/>
      <c r="X254" s="8" t="n">
        <f aca="false">IFERROR(IF(M254="Abs",0,IF(ROUND((D254-C254+E254-F254)*1440,0)&lt;=1,0,D254-C254+E254-F254)),0)</f>
        <v>0</v>
      </c>
      <c r="Y254" s="6" t="str">
        <f aca="false">IFERROR(VLOOKUP($B254,Agents!$A:$D,3,0),"-")</f>
        <v>OUBRAHIM Mohammed</v>
      </c>
      <c r="Z254" s="6" t="str">
        <f aca="false">IFERROR(VLOOKUP($B254,Agents!$A:$D,4,0),"-")</f>
        <v>Credit Mutuel</v>
      </c>
      <c r="AA254" s="18" t="s">
        <v>85</v>
      </c>
      <c r="AB254" s="8" t="str">
        <f aca="false">IF(AND(D254="Congé",F254="Congé"),0.333333333333333,IF(OR(AND(D254="Congé",F254&lt;&gt;"Congé"),(AND(F254="Congé",D254&lt;&gt;"Congé"))),0.166666666666667,""))</f>
        <v/>
      </c>
      <c r="AC254" s="8" t="str">
        <f aca="false">IF(AND(D254="Congé sans solde",F254="Congé sans solde"),0.333333333333333,IF(OR(AND(D254="Congé sans solde",F254&lt;&gt;"Congé sans solde"),(AND(F254="Congé sans solde",D254&lt;&gt;"Congé sans solde"))),0.166666666666667,""))</f>
        <v/>
      </c>
      <c r="AD254" s="8" t="str">
        <f aca="false">IF(AND(D254="Congé spécial",F254="Congé spécial"),0.333333333333333,IF(OR(AND(D254="Congé spécial",F254&lt;&gt;"Congé spécial"),AND(F254="Congé spécial",D254&lt;&gt;"Congé spécial")),0.166666666666667,""))</f>
        <v/>
      </c>
      <c r="AE254" s="8" t="str">
        <f aca="false">IF(AND(D254="Férié",F254="Férié"),0.333333333333333,IF(OR(AND(D254="Férié",F254&lt;&gt;"Férié"),(AND(F254="Férié",D254&lt;&gt;"Férié"))),0.166666666666667,""))</f>
        <v/>
      </c>
      <c r="AF254" s="18"/>
      <c r="AG254" s="18"/>
    </row>
    <row r="255" customFormat="false" ht="15" hidden="false" customHeight="false" outlineLevel="0" collapsed="false">
      <c r="A255" s="6" t="str">
        <f aca="false">YEAR(Q255-WEEKDAY(Q255,2)+4)&amp;"-S"&amp;TEXT(WEEKNUM(Q255,21),"00")</f>
        <v>2026-S04</v>
      </c>
      <c r="B255" s="18" t="s">
        <v>71</v>
      </c>
      <c r="C255" s="19" t="n">
        <v>0.332638888888889</v>
      </c>
      <c r="D255" s="19" t="n">
        <v>0.333333333333333</v>
      </c>
      <c r="E255" s="19" t="n">
        <v>0.708333333333333</v>
      </c>
      <c r="F255" s="19" t="n">
        <v>0.708333333333333</v>
      </c>
      <c r="G255" s="20"/>
      <c r="H255" s="20"/>
      <c r="I255" s="8" t="str">
        <f aca="false">IF(IF(OR(C255="",D255="Congé",D255="OFF",D255="Congé spécial"),"",IF(D255&gt;F255,D255-C255,IF(C255-D255&lt;0,0,C255-D255)))&lt;0.00068287037037037,"",IF(OR(D255="Congé",D255="OFF",C255="",D255="Congé spécial"),"",IF(D255&gt;F255,D255-C255,IF(C255-D255&lt;0,0,C255-D255))))</f>
        <v/>
      </c>
      <c r="J255" s="20"/>
      <c r="K255" s="8" t="n">
        <f aca="false">IF(SUM(H255:J255)&lt;0.00068287037037037,0,SUM(H255:J255))</f>
        <v>0</v>
      </c>
      <c r="L255" s="8" t="n">
        <f aca="false">IF(OR(F255="Congé",F255="OFF",M255="Abs",F255="Congé sans solde",F255="Férié",F255="Congé spécial",D255="Congé spécial"),0,IF(F255-E255&lt;0,0,IF(F255-E255&lt;=0.00068287037037037,0,F255-E255)))</f>
        <v>0</v>
      </c>
      <c r="M255" s="6" t="n">
        <f aca="false">IF(AND(O255&lt;&gt;0,C255=""),"Abs",0)</f>
        <v>0</v>
      </c>
      <c r="N255" s="8" t="n">
        <f aca="false">IFERROR(IF(OR(D255="OFF",D255="Congé",M255="Abs",D255="Congé sans solde",D255="Férié"),"",IF(O255-K255-L255&gt;O255,O255,IF(O255-K255-L255&lt;0,"",O255-K255-L255))),"")</f>
        <v>0.333333333333333</v>
      </c>
      <c r="O255" s="8" t="n">
        <f aca="false">IF(AG255="2H Pause déjeuner",IF(F255-D255-0.0833333333333333&lt;0,F255-D255-0.0833333333333333+1,F255-D255-0.0833333333333333),IF(OR(AND(F255="OFF",D255="OFF"),AND(F255="Congé",D255="Congé"),AND(F255="Congé sans solde",D255="Congé sans solde"),AND(F255="Congé spécial",D255="Congé spécial"),AND(F255="Férié",D255="Férié"),AND(F255="OFF",D255="Congé"),AND(F255="OFF",D255="Congé sans solde"),AND(F255="OFF",D255="Congé spécial"),AND(F255="OFF",D255="Férié"),AND(F255="Congé",D255="OFF"),AND(F255="Congé",D255="Congé sans solde"),AND(F255="Congé",D255="Congé spécial"),AND(F255="Congé",D255="Férié"),AND(F255="Congé sans solde",D255="OFF"),AND(F255="Congé sans solde",D255="Congé"),AND(F255="Congé sans solde",D255="Congé spécial"),AND(F255="Congé sans solde",D255="Férié"),AND(F255="Congé spécial",D255="OFF"),AND(F255="Congé spécial",D255="Congé"),AND(F255="Congé spécial",D255="Congé sans solde"),AND(F255="Congé spécial",D255="Férié"),AND(F255="Férié",D255="OFF"),AND(F255="Férié",D255="Congé"),AND(F255="Férié",D255="Congé sans solde"),AND(F255="Férié",D255="Congé spécial")),0,IF(OR(F255="OFF",F255="Congé",F255="Congé spécial",F255="Congé sans solde",D255="OFF",D255="Congé",D255="Congé spécial",D255="Congé sans solde"),0.208333333333334,IF(AND(AG255="",F255-D255&lt;0),("24:00:00"-D255)+("00:00:00"+F255)-0.0416666666666667,IF(AND(OR(AG255="Allaitement",AG255="Sans déjeuner"),F255-D255&lt;0),("24:00:00"-D255)+("00:00:00"+F255),IF(AND(AG255="",F255-D255&gt;0.166666666666667),F255-D255-0.0416666666666667,IF(AND(OR(AG255="Allaitement",AG255="Sans déjeuner"),F255-D255&gt;0.166666666666667),F255-D255,F255-D255)))))))</f>
        <v>0.333333333333333</v>
      </c>
      <c r="P255" s="6" t="str">
        <f aca="false">IFERROR(VLOOKUP($B255,Agents!$A:$D,2,0),"-")</f>
        <v>Accessibilité</v>
      </c>
      <c r="Q255" s="21" t="n">
        <v>46045</v>
      </c>
      <c r="R255" s="8" t="n">
        <f aca="false">IF(M255="Abs",O255,0)</f>
        <v>0</v>
      </c>
      <c r="S255" s="8" t="n">
        <f aca="false">SUM(R255,L255,I255,J255,W255,H255)</f>
        <v>0</v>
      </c>
      <c r="T255" s="6" t="str">
        <f aca="false">"Sem - "&amp;WEEKNUM(Q255,21)</f>
        <v>Sem - 4</v>
      </c>
      <c r="U255" s="6" t="str">
        <f aca="false">CHOOSE(MONTH(Q255),"Janvier","Février","Mars","Avril","Mai","Juin","Juillet","Août","Septembre","Octobre","Novembre","Décembre")</f>
        <v>Janvier</v>
      </c>
      <c r="V255" s="22" t="n">
        <f aca="false">YEAR(Q255)</f>
        <v>2026</v>
      </c>
      <c r="W255" s="20"/>
      <c r="X255" s="8" t="n">
        <f aca="false">IFERROR(IF(M255="Abs",0,IF(ROUND((D255-C255+E255-F255)*1440,0)&lt;=1,0,D255-C255+E255-F255)),0)</f>
        <v>0</v>
      </c>
      <c r="Y255" s="6" t="str">
        <f aca="false">IFERROR(VLOOKUP($B255,Agents!$A:$D,3,0),"-")</f>
        <v>OUBRAHIM Mohammed</v>
      </c>
      <c r="Z255" s="6" t="str">
        <f aca="false">IFERROR(VLOOKUP($B255,Agents!$A:$D,4,0),"-")</f>
        <v>Credit Mutuel</v>
      </c>
      <c r="AA255" s="18" t="s">
        <v>85</v>
      </c>
      <c r="AB255" s="8" t="str">
        <f aca="false">IF(AND(D255="Congé",F255="Congé"),0.333333333333333,IF(OR(AND(D255="Congé",F255&lt;&gt;"Congé"),(AND(F255="Congé",D255&lt;&gt;"Congé"))),0.166666666666667,""))</f>
        <v/>
      </c>
      <c r="AC255" s="8" t="str">
        <f aca="false">IF(AND(D255="Congé sans solde",F255="Congé sans solde"),0.333333333333333,IF(OR(AND(D255="Congé sans solde",F255&lt;&gt;"Congé sans solde"),(AND(F255="Congé sans solde",D255&lt;&gt;"Congé sans solde"))),0.166666666666667,""))</f>
        <v/>
      </c>
      <c r="AD255" s="8" t="str">
        <f aca="false">IF(AND(D255="Congé spécial",F255="Congé spécial"),0.333333333333333,IF(OR(AND(D255="Congé spécial",F255&lt;&gt;"Congé spécial"),AND(F255="Congé spécial",D255&lt;&gt;"Congé spécial")),0.166666666666667,""))</f>
        <v/>
      </c>
      <c r="AE255" s="8" t="str">
        <f aca="false">IF(AND(D255="Férié",F255="Férié"),0.333333333333333,IF(OR(AND(D255="Férié",F255&lt;&gt;"Férié"),(AND(F255="Férié",D255&lt;&gt;"Férié"))),0.166666666666667,""))</f>
        <v/>
      </c>
      <c r="AF255" s="18"/>
      <c r="AG255" s="18"/>
    </row>
    <row r="256" customFormat="false" ht="15" hidden="false" customHeight="false" outlineLevel="0" collapsed="false">
      <c r="A256" s="6" t="str">
        <f aca="false">YEAR(Q256-WEEKDAY(Q256,2)+4)&amp;"-S"&amp;TEXT(WEEKNUM(Q256,21),"00")</f>
        <v>2026-S04</v>
      </c>
      <c r="B256" s="18" t="s">
        <v>72</v>
      </c>
      <c r="C256" s="19" t="n">
        <v>0.331944444444444</v>
      </c>
      <c r="D256" s="19" t="n">
        <v>0.333333333333333</v>
      </c>
      <c r="E256" s="19" t="n">
        <v>0.708333333333333</v>
      </c>
      <c r="F256" s="19" t="n">
        <v>0.708333333333333</v>
      </c>
      <c r="G256" s="20"/>
      <c r="H256" s="20"/>
      <c r="I256" s="8" t="str">
        <f aca="false">IF(IF(OR(C256="",D256="Congé",D256="OFF",D256="Congé spécial"),"",IF(D256&gt;F256,D256-C256,IF(C256-D256&lt;0,0,C256-D256)))&lt;0.00068287037037037,"",IF(OR(D256="Congé",D256="OFF",C256="",D256="Congé spécial"),"",IF(D256&gt;F256,D256-C256,IF(C256-D256&lt;0,0,C256-D256))))</f>
        <v/>
      </c>
      <c r="J256" s="20"/>
      <c r="K256" s="8" t="n">
        <f aca="false">IF(SUM(H256:J256)&lt;0.00068287037037037,0,SUM(H256:J256))</f>
        <v>0</v>
      </c>
      <c r="L256" s="8" t="n">
        <f aca="false">IF(OR(F256="Congé",F256="OFF",M256="Abs",F256="Congé sans solde",F256="Férié",F256="Congé spécial",D256="Congé spécial"),0,IF(F256-E256&lt;0,0,IF(F256-E256&lt;=0.00068287037037037,0,F256-E256)))</f>
        <v>0</v>
      </c>
      <c r="M256" s="6" t="n">
        <f aca="false">IF(AND(O256&lt;&gt;0,C256=""),"Abs",0)</f>
        <v>0</v>
      </c>
      <c r="N256" s="8" t="n">
        <f aca="false">IFERROR(IF(OR(D256="OFF",D256="Congé",M256="Abs",D256="Congé sans solde",D256="Férié"),"",IF(O256-K256-L256&gt;O256,O256,IF(O256-K256-L256&lt;0,"",O256-K256-L256))),"")</f>
        <v>0.333333333333333</v>
      </c>
      <c r="O256" s="8" t="n">
        <f aca="false">IF(AG256="2H Pause déjeuner",IF(F256-D256-0.0833333333333333&lt;0,F256-D256-0.0833333333333333+1,F256-D256-0.0833333333333333),IF(OR(AND(F256="OFF",D256="OFF"),AND(F256="Congé",D256="Congé"),AND(F256="Congé sans solde",D256="Congé sans solde"),AND(F256="Congé spécial",D256="Congé spécial"),AND(F256="Férié",D256="Férié"),AND(F256="OFF",D256="Congé"),AND(F256="OFF",D256="Congé sans solde"),AND(F256="OFF",D256="Congé spécial"),AND(F256="OFF",D256="Férié"),AND(F256="Congé",D256="OFF"),AND(F256="Congé",D256="Congé sans solde"),AND(F256="Congé",D256="Congé spécial"),AND(F256="Congé",D256="Férié"),AND(F256="Congé sans solde",D256="OFF"),AND(F256="Congé sans solde",D256="Congé"),AND(F256="Congé sans solde",D256="Congé spécial"),AND(F256="Congé sans solde",D256="Férié"),AND(F256="Congé spécial",D256="OFF"),AND(F256="Congé spécial",D256="Congé"),AND(F256="Congé spécial",D256="Congé sans solde"),AND(F256="Congé spécial",D256="Férié"),AND(F256="Férié",D256="OFF"),AND(F256="Férié",D256="Congé"),AND(F256="Férié",D256="Congé sans solde"),AND(F256="Férié",D256="Congé spécial")),0,IF(OR(F256="OFF",F256="Congé",F256="Congé spécial",F256="Congé sans solde",D256="OFF",D256="Congé",D256="Congé spécial",D256="Congé sans solde"),0.208333333333334,IF(AND(AG256="",F256-D256&lt;0),("24:00:00"-D256)+("00:00:00"+F256)-0.0416666666666667,IF(AND(OR(AG256="Allaitement",AG256="Sans déjeuner"),F256-D256&lt;0),("24:00:00"-D256)+("00:00:00"+F256),IF(AND(AG256="",F256-D256&gt;0.166666666666667),F256-D256-0.0416666666666667,IF(AND(OR(AG256="Allaitement",AG256="Sans déjeuner"),F256-D256&gt;0.166666666666667),F256-D256,F256-D256)))))))</f>
        <v>0.333333333333333</v>
      </c>
      <c r="P256" s="6" t="str">
        <f aca="false">IFERROR(VLOOKUP($B256,Agents!$A:$D,2,0),"-")</f>
        <v>Accessibilité</v>
      </c>
      <c r="Q256" s="21" t="n">
        <v>46045</v>
      </c>
      <c r="R256" s="8" t="n">
        <f aca="false">IF(M256="Abs",O256,0)</f>
        <v>0</v>
      </c>
      <c r="S256" s="8" t="n">
        <f aca="false">SUM(R256,L256,I256,J256,W256,H256)</f>
        <v>0</v>
      </c>
      <c r="T256" s="6" t="str">
        <f aca="false">"Sem - "&amp;WEEKNUM(Q256,21)</f>
        <v>Sem - 4</v>
      </c>
      <c r="U256" s="6" t="str">
        <f aca="false">CHOOSE(MONTH(Q256),"Janvier","Février","Mars","Avril","Mai","Juin","Juillet","Août","Septembre","Octobre","Novembre","Décembre")</f>
        <v>Janvier</v>
      </c>
      <c r="V256" s="22" t="n">
        <f aca="false">YEAR(Q256)</f>
        <v>2026</v>
      </c>
      <c r="W256" s="20"/>
      <c r="X256" s="8" t="n">
        <f aca="false">IFERROR(IF(M256="Abs",0,IF(ROUND((D256-C256+E256-F256)*1440,0)&lt;=1,0,D256-C256+E256-F256)),0)</f>
        <v>0.00138888888888889</v>
      </c>
      <c r="Y256" s="6" t="str">
        <f aca="false">IFERROR(VLOOKUP($B256,Agents!$A:$D,3,0),"-")</f>
        <v>OUBRAHIM Mohammed</v>
      </c>
      <c r="Z256" s="6" t="str">
        <f aca="false">IFERROR(VLOOKUP($B256,Agents!$A:$D,4,0),"-")</f>
        <v>Credit Mutuel</v>
      </c>
      <c r="AA256" s="18" t="s">
        <v>85</v>
      </c>
      <c r="AB256" s="8" t="str">
        <f aca="false">IF(AND(D256="Congé",F256="Congé"),0.333333333333333,IF(OR(AND(D256="Congé",F256&lt;&gt;"Congé"),(AND(F256="Congé",D256&lt;&gt;"Congé"))),0.166666666666667,""))</f>
        <v/>
      </c>
      <c r="AC256" s="8" t="str">
        <f aca="false">IF(AND(D256="Congé sans solde",F256="Congé sans solde"),0.333333333333333,IF(OR(AND(D256="Congé sans solde",F256&lt;&gt;"Congé sans solde"),(AND(F256="Congé sans solde",D256&lt;&gt;"Congé sans solde"))),0.166666666666667,""))</f>
        <v/>
      </c>
      <c r="AD256" s="8" t="str">
        <f aca="false">IF(AND(D256="Congé spécial",F256="Congé spécial"),0.333333333333333,IF(OR(AND(D256="Congé spécial",F256&lt;&gt;"Congé spécial"),AND(F256="Congé spécial",D256&lt;&gt;"Congé spécial")),0.166666666666667,""))</f>
        <v/>
      </c>
      <c r="AE256" s="8" t="str">
        <f aca="false">IF(AND(D256="Férié",F256="Férié"),0.333333333333333,IF(OR(AND(D256="Férié",F256&lt;&gt;"Férié"),(AND(F256="Férié",D256&lt;&gt;"Férié"))),0.166666666666667,""))</f>
        <v/>
      </c>
      <c r="AF256" s="18"/>
      <c r="AG256" s="18"/>
    </row>
    <row r="257" customFormat="false" ht="15" hidden="false" customHeight="false" outlineLevel="0" collapsed="false">
      <c r="A257" s="6" t="str">
        <f aca="false">YEAR(Q257-WEEKDAY(Q257,2)+4)&amp;"-S"&amp;TEXT(WEEKNUM(Q257,21),"00")</f>
        <v>2026-S04</v>
      </c>
      <c r="B257" s="18" t="s">
        <v>73</v>
      </c>
      <c r="C257" s="19" t="n">
        <v>0.332638888888889</v>
      </c>
      <c r="D257" s="19" t="n">
        <v>0.333333333333333</v>
      </c>
      <c r="E257" s="19" t="n">
        <v>0.708333333333333</v>
      </c>
      <c r="F257" s="19" t="n">
        <v>0.708333333333333</v>
      </c>
      <c r="G257" s="20"/>
      <c r="H257" s="20"/>
      <c r="I257" s="8" t="str">
        <f aca="false">IF(IF(OR(C257="",D257="Congé",D257="OFF",D257="Congé spécial"),"",IF(D257&gt;F257,D257-C257,IF(C257-D257&lt;0,0,C257-D257)))&lt;0.00068287037037037,"",IF(OR(D257="Congé",D257="OFF",C257="",D257="Congé spécial"),"",IF(D257&gt;F257,D257-C257,IF(C257-D257&lt;0,0,C257-D257))))</f>
        <v/>
      </c>
      <c r="J257" s="20"/>
      <c r="K257" s="8" t="n">
        <f aca="false">IF(SUM(H257:J257)&lt;0.00068287037037037,0,SUM(H257:J257))</f>
        <v>0</v>
      </c>
      <c r="L257" s="8" t="n">
        <f aca="false">IF(OR(F257="Congé",F257="OFF",M257="Abs",F257="Congé sans solde",F257="Férié",F257="Congé spécial",D257="Congé spécial"),0,IF(F257-E257&lt;0,0,IF(F257-E257&lt;=0.00068287037037037,0,F257-E257)))</f>
        <v>0</v>
      </c>
      <c r="M257" s="6" t="n">
        <f aca="false">IF(AND(O257&lt;&gt;0,C257=""),"Abs",0)</f>
        <v>0</v>
      </c>
      <c r="N257" s="8" t="n">
        <f aca="false">IFERROR(IF(OR(D257="OFF",D257="Congé",M257="Abs",D257="Congé sans solde",D257="Férié"),"",IF(O257-K257-L257&gt;O257,O257,IF(O257-K257-L257&lt;0,"",O257-K257-L257))),"")</f>
        <v>0.333333333333333</v>
      </c>
      <c r="O257" s="8" t="n">
        <f aca="false">IF(AG257="2H Pause déjeuner",IF(F257-D257-0.0833333333333333&lt;0,F257-D257-0.0833333333333333+1,F257-D257-0.0833333333333333),IF(OR(AND(F257="OFF",D257="OFF"),AND(F257="Congé",D257="Congé"),AND(F257="Congé sans solde",D257="Congé sans solde"),AND(F257="Congé spécial",D257="Congé spécial"),AND(F257="Férié",D257="Férié"),AND(F257="OFF",D257="Congé"),AND(F257="OFF",D257="Congé sans solde"),AND(F257="OFF",D257="Congé spécial"),AND(F257="OFF",D257="Férié"),AND(F257="Congé",D257="OFF"),AND(F257="Congé",D257="Congé sans solde"),AND(F257="Congé",D257="Congé spécial"),AND(F257="Congé",D257="Férié"),AND(F257="Congé sans solde",D257="OFF"),AND(F257="Congé sans solde",D257="Congé"),AND(F257="Congé sans solde",D257="Congé spécial"),AND(F257="Congé sans solde",D257="Férié"),AND(F257="Congé spécial",D257="OFF"),AND(F257="Congé spécial",D257="Congé"),AND(F257="Congé spécial",D257="Congé sans solde"),AND(F257="Congé spécial",D257="Férié"),AND(F257="Férié",D257="OFF"),AND(F257="Férié",D257="Congé"),AND(F257="Férié",D257="Congé sans solde"),AND(F257="Férié",D257="Congé spécial")),0,IF(OR(F257="OFF",F257="Congé",F257="Congé spécial",F257="Congé sans solde",D257="OFF",D257="Congé",D257="Congé spécial",D257="Congé sans solde"),0.208333333333334,IF(AND(AG257="",F257-D257&lt;0),("24:00:00"-D257)+("00:00:00"+F257)-0.0416666666666667,IF(AND(OR(AG257="Allaitement",AG257="Sans déjeuner"),F257-D257&lt;0),("24:00:00"-D257)+("00:00:00"+F257),IF(AND(AG257="",F257-D257&gt;0.166666666666667),F257-D257-0.0416666666666667,IF(AND(OR(AG257="Allaitement",AG257="Sans déjeuner"),F257-D257&gt;0.166666666666667),F257-D257,F257-D257)))))))</f>
        <v>0.333333333333333</v>
      </c>
      <c r="P257" s="6" t="str">
        <f aca="false">IFERROR(VLOOKUP($B257,Agents!$A:$D,2,0),"-")</f>
        <v>Accessibilité</v>
      </c>
      <c r="Q257" s="21" t="n">
        <v>46045</v>
      </c>
      <c r="R257" s="8" t="n">
        <f aca="false">IF(M257="Abs",O257,0)</f>
        <v>0</v>
      </c>
      <c r="S257" s="8" t="n">
        <f aca="false">SUM(R257,L257,I257,J257,W257,H257)</f>
        <v>0</v>
      </c>
      <c r="T257" s="6" t="str">
        <f aca="false">"Sem - "&amp;WEEKNUM(Q257,21)</f>
        <v>Sem - 4</v>
      </c>
      <c r="U257" s="6" t="str">
        <f aca="false">CHOOSE(MONTH(Q257),"Janvier","Février","Mars","Avril","Mai","Juin","Juillet","Août","Septembre","Octobre","Novembre","Décembre")</f>
        <v>Janvier</v>
      </c>
      <c r="V257" s="22" t="n">
        <f aca="false">YEAR(Q257)</f>
        <v>2026</v>
      </c>
      <c r="W257" s="20"/>
      <c r="X257" s="8" t="n">
        <f aca="false">IFERROR(IF(M257="Abs",0,IF(ROUND((D257-C257+E257-F257)*1440,0)&lt;=1,0,D257-C257+E257-F257)),0)</f>
        <v>0</v>
      </c>
      <c r="Y257" s="6" t="str">
        <f aca="false">IFERROR(VLOOKUP($B257,Agents!$A:$D,3,0),"-")</f>
        <v>OUBRAHIM Mohammed</v>
      </c>
      <c r="Z257" s="6" t="str">
        <f aca="false">IFERROR(VLOOKUP($B257,Agents!$A:$D,4,0),"-")</f>
        <v>Credit Mutuel</v>
      </c>
      <c r="AA257" s="18" t="s">
        <v>85</v>
      </c>
      <c r="AB257" s="8" t="str">
        <f aca="false">IF(AND(D257="Congé",F257="Congé"),0.333333333333333,IF(OR(AND(D257="Congé",F257&lt;&gt;"Congé"),(AND(F257="Congé",D257&lt;&gt;"Congé"))),0.166666666666667,""))</f>
        <v/>
      </c>
      <c r="AC257" s="8" t="str">
        <f aca="false">IF(AND(D257="Congé sans solde",F257="Congé sans solde"),0.333333333333333,IF(OR(AND(D257="Congé sans solde",F257&lt;&gt;"Congé sans solde"),(AND(F257="Congé sans solde",D257&lt;&gt;"Congé sans solde"))),0.166666666666667,""))</f>
        <v/>
      </c>
      <c r="AD257" s="8" t="str">
        <f aca="false">IF(AND(D257="Congé spécial",F257="Congé spécial"),0.333333333333333,IF(OR(AND(D257="Congé spécial",F257&lt;&gt;"Congé spécial"),AND(F257="Congé spécial",D257&lt;&gt;"Congé spécial")),0.166666666666667,""))</f>
        <v/>
      </c>
      <c r="AE257" s="8" t="str">
        <f aca="false">IF(AND(D257="Férié",F257="Férié"),0.333333333333333,IF(OR(AND(D257="Férié",F257&lt;&gt;"Férié"),(AND(F257="Férié",D257&lt;&gt;"Férié"))),0.166666666666667,""))</f>
        <v/>
      </c>
      <c r="AF257" s="18"/>
      <c r="AG257" s="18"/>
    </row>
    <row r="258" customFormat="false" ht="15" hidden="false" customHeight="false" outlineLevel="0" collapsed="false">
      <c r="A258" s="6" t="str">
        <f aca="false">YEAR(Q258-WEEKDAY(Q258,2)+4)&amp;"-S"&amp;TEXT(WEEKNUM(Q258,21),"00")</f>
        <v>2026-S04</v>
      </c>
      <c r="B258" s="18" t="s">
        <v>69</v>
      </c>
      <c r="C258" s="19"/>
      <c r="D258" s="19" t="s">
        <v>74</v>
      </c>
      <c r="E258" s="19"/>
      <c r="F258" s="19" t="s">
        <v>74</v>
      </c>
      <c r="G258" s="20"/>
      <c r="H258" s="20"/>
      <c r="I258" s="8" t="str">
        <f aca="false">IF(IF(OR(C258="",D258="Congé",D258="OFF",D258="Congé spécial"),"",IF(D258&gt;F258,D258-C258,IF(C258-D258&lt;0,0,C258-D258)))&lt;0.00068287037037037,"",IF(OR(D258="Congé",D258="OFF",C258="",D258="Congé spécial"),"",IF(D258&gt;F258,D258-C258,IF(C258-D258&lt;0,0,C258-D258))))</f>
        <v/>
      </c>
      <c r="J258" s="20"/>
      <c r="K258" s="8" t="n">
        <f aca="false">IF(SUM(H258:J258)&lt;0.00068287037037037,0,SUM(H258:J258))</f>
        <v>0</v>
      </c>
      <c r="L258" s="8" t="n">
        <f aca="false">IF(OR(F258="Congé",F258="OFF",M258="Abs",F258="Congé sans solde",F258="Férié",F258="Congé spécial",D258="Congé spécial"),0,IF(F258-E258&lt;0,0,IF(F258-E258&lt;=0.00068287037037037,0,F258-E258)))</f>
        <v>0</v>
      </c>
      <c r="M258" s="6" t="n">
        <f aca="false">IF(AND(O258&lt;&gt;0,C258=""),"Abs",0)</f>
        <v>0</v>
      </c>
      <c r="N258" s="8" t="str">
        <f aca="false">IFERROR(IF(OR(D258="OFF",D258="Congé",M258="Abs",D258="Congé sans solde",D258="Férié"),"",IF(O258-K258-L258&gt;O258,O258,IF(O258-K258-L258&lt;0,"",O258-K258-L258))),"")</f>
        <v/>
      </c>
      <c r="O258" s="8" t="n">
        <f aca="false">IF(AG258="2H Pause déjeuner",IF(F258-D258-0.0833333333333333&lt;0,F258-D258-0.0833333333333333+1,F258-D258-0.0833333333333333),IF(OR(AND(F258="OFF",D258="OFF"),AND(F258="Congé",D258="Congé"),AND(F258="Congé sans solde",D258="Congé sans solde"),AND(F258="Congé spécial",D258="Congé spécial"),AND(F258="Férié",D258="Férié"),AND(F258="OFF",D258="Congé"),AND(F258="OFF",D258="Congé sans solde"),AND(F258="OFF",D258="Congé spécial"),AND(F258="OFF",D258="Férié"),AND(F258="Congé",D258="OFF"),AND(F258="Congé",D258="Congé sans solde"),AND(F258="Congé",D258="Congé spécial"),AND(F258="Congé",D258="Férié"),AND(F258="Congé sans solde",D258="OFF"),AND(F258="Congé sans solde",D258="Congé"),AND(F258="Congé sans solde",D258="Congé spécial"),AND(F258="Congé sans solde",D258="Férié"),AND(F258="Congé spécial",D258="OFF"),AND(F258="Congé spécial",D258="Congé"),AND(F258="Congé spécial",D258="Congé sans solde"),AND(F258="Congé spécial",D258="Férié"),AND(F258="Férié",D258="OFF"),AND(F258="Férié",D258="Congé"),AND(F258="Férié",D258="Congé sans solde"),AND(F258="Férié",D258="Congé spécial")),0,IF(OR(F258="OFF",F258="Congé",F258="Congé spécial",F258="Congé sans solde",D258="OFF",D258="Congé",D258="Congé spécial",D258="Congé sans solde"),0.208333333333334,IF(AND(AG258="",F258-D258&lt;0),("24:00:00"-D258)+("00:00:00"+F258)-0.0416666666666667,IF(AND(OR(AG258="Allaitement",AG258="Sans déjeuner"),F258-D258&lt;0),("24:00:00"-D258)+("00:00:00"+F258),IF(AND(AG258="",F258-D258&gt;0.166666666666667),F258-D258-0.0416666666666667,IF(AND(OR(AG258="Allaitement",AG258="Sans déjeuner"),F258-D258&gt;0.166666666666667),F258-D258,F258-D258)))))))</f>
        <v>0</v>
      </c>
      <c r="P258" s="6" t="str">
        <f aca="false">IFERROR(VLOOKUP($B258,Agents!$A:$D,2,0),"-")</f>
        <v>Accessibilité</v>
      </c>
      <c r="Q258" s="21" t="n">
        <v>46046</v>
      </c>
      <c r="R258" s="8" t="n">
        <f aca="false">IF(M258="Abs",O258,0)</f>
        <v>0</v>
      </c>
      <c r="S258" s="8" t="n">
        <f aca="false">SUM(R258,L258,I258,J258,W258,H258)</f>
        <v>0</v>
      </c>
      <c r="T258" s="6" t="str">
        <f aca="false">"Sem - "&amp;WEEKNUM(Q258,21)</f>
        <v>Sem - 4</v>
      </c>
      <c r="U258" s="6" t="str">
        <f aca="false">CHOOSE(MONTH(Q258),"Janvier","Février","Mars","Avril","Mai","Juin","Juillet","Août","Septembre","Octobre","Novembre","Décembre")</f>
        <v>Janvier</v>
      </c>
      <c r="V258" s="22" t="n">
        <f aca="false">YEAR(Q258)</f>
        <v>2026</v>
      </c>
      <c r="W258" s="20"/>
      <c r="X258" s="8" t="n">
        <f aca="false">IFERROR(IF(M258="Abs",0,IF(ROUND((D258-C258+E258-F258)*1440,0)&lt;=1,0,D258-C258+E258-F258)),0)</f>
        <v>0</v>
      </c>
      <c r="Y258" s="6" t="str">
        <f aca="false">IFERROR(VLOOKUP($B258,Agents!$A:$D,3,0),"-")</f>
        <v>OUBRAHIM Mohammed</v>
      </c>
      <c r="Z258" s="6" t="str">
        <f aca="false">IFERROR(VLOOKUP($B258,Agents!$A:$D,4,0),"-")</f>
        <v>Credit Mutuel</v>
      </c>
      <c r="AA258" s="18" t="s">
        <v>85</v>
      </c>
      <c r="AB258" s="8" t="str">
        <f aca="false">IF(AND(D258="Congé",F258="Congé"),0.333333333333333,IF(OR(AND(D258="Congé",F258&lt;&gt;"Congé"),(AND(F258="Congé",D258&lt;&gt;"Congé"))),0.166666666666667,""))</f>
        <v/>
      </c>
      <c r="AC258" s="8" t="str">
        <f aca="false">IF(AND(D258="Congé sans solde",F258="Congé sans solde"),0.333333333333333,IF(OR(AND(D258="Congé sans solde",F258&lt;&gt;"Congé sans solde"),(AND(F258="Congé sans solde",D258&lt;&gt;"Congé sans solde"))),0.166666666666667,""))</f>
        <v/>
      </c>
      <c r="AD258" s="8" t="str">
        <f aca="false">IF(AND(D258="Congé spécial",F258="Congé spécial"),0.333333333333333,IF(OR(AND(D258="Congé spécial",F258&lt;&gt;"Congé spécial"),AND(F258="Congé spécial",D258&lt;&gt;"Congé spécial")),0.166666666666667,""))</f>
        <v/>
      </c>
      <c r="AE258" s="8" t="str">
        <f aca="false">IF(AND(D258="Férié",F258="Férié"),0.333333333333333,IF(OR(AND(D258="Férié",F258&lt;&gt;"Férié"),(AND(F258="Férié",D258&lt;&gt;"Férié"))),0.166666666666667,""))</f>
        <v/>
      </c>
      <c r="AF258" s="18"/>
      <c r="AG258" s="18"/>
    </row>
    <row r="259" customFormat="false" ht="15" hidden="false" customHeight="false" outlineLevel="0" collapsed="false">
      <c r="A259" s="6" t="str">
        <f aca="false">YEAR(Q259-WEEKDAY(Q259,2)+4)&amp;"-S"&amp;TEXT(WEEKNUM(Q259,21),"00")</f>
        <v>2026-S04</v>
      </c>
      <c r="B259" s="18" t="s">
        <v>71</v>
      </c>
      <c r="C259" s="19"/>
      <c r="D259" s="19" t="s">
        <v>74</v>
      </c>
      <c r="E259" s="19"/>
      <c r="F259" s="19" t="s">
        <v>74</v>
      </c>
      <c r="G259" s="20"/>
      <c r="H259" s="20"/>
      <c r="I259" s="8" t="str">
        <f aca="false">IF(IF(OR(C259="",D259="Congé",D259="OFF",D259="Congé spécial"),"",IF(D259&gt;F259,D259-C259,IF(C259-D259&lt;0,0,C259-D259)))&lt;0.00068287037037037,"",IF(OR(D259="Congé",D259="OFF",C259="",D259="Congé spécial"),"",IF(D259&gt;F259,D259-C259,IF(C259-D259&lt;0,0,C259-D259))))</f>
        <v/>
      </c>
      <c r="J259" s="20"/>
      <c r="K259" s="8" t="n">
        <f aca="false">IF(SUM(H259:J259)&lt;0.00068287037037037,0,SUM(H259:J259))</f>
        <v>0</v>
      </c>
      <c r="L259" s="8" t="n">
        <f aca="false">IF(OR(F259="Congé",F259="OFF",M259="Abs",F259="Congé sans solde",F259="Férié",F259="Congé spécial",D259="Congé spécial"),0,IF(F259-E259&lt;0,0,IF(F259-E259&lt;=0.00068287037037037,0,F259-E259)))</f>
        <v>0</v>
      </c>
      <c r="M259" s="6" t="n">
        <f aca="false">IF(AND(O259&lt;&gt;0,C259=""),"Abs",0)</f>
        <v>0</v>
      </c>
      <c r="N259" s="8" t="str">
        <f aca="false">IFERROR(IF(OR(D259="OFF",D259="Congé",M259="Abs",D259="Congé sans solde",D259="Férié"),"",IF(O259-K259-L259&gt;O259,O259,IF(O259-K259-L259&lt;0,"",O259-K259-L259))),"")</f>
        <v/>
      </c>
      <c r="O259" s="8" t="n">
        <f aca="false">IF(AG259="2H Pause déjeuner",IF(F259-D259-0.0833333333333333&lt;0,F259-D259-0.0833333333333333+1,F259-D259-0.0833333333333333),IF(OR(AND(F259="OFF",D259="OFF"),AND(F259="Congé",D259="Congé"),AND(F259="Congé sans solde",D259="Congé sans solde"),AND(F259="Congé spécial",D259="Congé spécial"),AND(F259="Férié",D259="Férié"),AND(F259="OFF",D259="Congé"),AND(F259="OFF",D259="Congé sans solde"),AND(F259="OFF",D259="Congé spécial"),AND(F259="OFF",D259="Férié"),AND(F259="Congé",D259="OFF"),AND(F259="Congé",D259="Congé sans solde"),AND(F259="Congé",D259="Congé spécial"),AND(F259="Congé",D259="Férié"),AND(F259="Congé sans solde",D259="OFF"),AND(F259="Congé sans solde",D259="Congé"),AND(F259="Congé sans solde",D259="Congé spécial"),AND(F259="Congé sans solde",D259="Férié"),AND(F259="Congé spécial",D259="OFF"),AND(F259="Congé spécial",D259="Congé"),AND(F259="Congé spécial",D259="Congé sans solde"),AND(F259="Congé spécial",D259="Férié"),AND(F259="Férié",D259="OFF"),AND(F259="Férié",D259="Congé"),AND(F259="Férié",D259="Congé sans solde"),AND(F259="Férié",D259="Congé spécial")),0,IF(OR(F259="OFF",F259="Congé",F259="Congé spécial",F259="Congé sans solde",D259="OFF",D259="Congé",D259="Congé spécial",D259="Congé sans solde"),0.208333333333334,IF(AND(AG259="",F259-D259&lt;0),("24:00:00"-D259)+("00:00:00"+F259)-0.0416666666666667,IF(AND(OR(AG259="Allaitement",AG259="Sans déjeuner"),F259-D259&lt;0),("24:00:00"-D259)+("00:00:00"+F259),IF(AND(AG259="",F259-D259&gt;0.166666666666667),F259-D259-0.0416666666666667,IF(AND(OR(AG259="Allaitement",AG259="Sans déjeuner"),F259-D259&gt;0.166666666666667),F259-D259,F259-D259)))))))</f>
        <v>0</v>
      </c>
      <c r="P259" s="6" t="str">
        <f aca="false">IFERROR(VLOOKUP($B259,Agents!$A:$D,2,0),"-")</f>
        <v>Accessibilité</v>
      </c>
      <c r="Q259" s="21" t="n">
        <v>46046</v>
      </c>
      <c r="R259" s="8" t="n">
        <f aca="false">IF(M259="Abs",O259,0)</f>
        <v>0</v>
      </c>
      <c r="S259" s="8" t="n">
        <f aca="false">SUM(R259,L259,I259,J259,W259,H259)</f>
        <v>0</v>
      </c>
      <c r="T259" s="6" t="str">
        <f aca="false">"Sem - "&amp;WEEKNUM(Q259,21)</f>
        <v>Sem - 4</v>
      </c>
      <c r="U259" s="6" t="str">
        <f aca="false">CHOOSE(MONTH(Q259),"Janvier","Février","Mars","Avril","Mai","Juin","Juillet","Août","Septembre","Octobre","Novembre","Décembre")</f>
        <v>Janvier</v>
      </c>
      <c r="V259" s="22" t="n">
        <f aca="false">YEAR(Q259)</f>
        <v>2026</v>
      </c>
      <c r="W259" s="20"/>
      <c r="X259" s="8" t="n">
        <f aca="false">IFERROR(IF(M259="Abs",0,IF(ROUND((D259-C259+E259-F259)*1440,0)&lt;=1,0,D259-C259+E259-F259)),0)</f>
        <v>0</v>
      </c>
      <c r="Y259" s="6" t="str">
        <f aca="false">IFERROR(VLOOKUP($B259,Agents!$A:$D,3,0),"-")</f>
        <v>OUBRAHIM Mohammed</v>
      </c>
      <c r="Z259" s="6" t="str">
        <f aca="false">IFERROR(VLOOKUP($B259,Agents!$A:$D,4,0),"-")</f>
        <v>Credit Mutuel</v>
      </c>
      <c r="AA259" s="18" t="s">
        <v>85</v>
      </c>
      <c r="AB259" s="8" t="str">
        <f aca="false">IF(AND(D259="Congé",F259="Congé"),0.333333333333333,IF(OR(AND(D259="Congé",F259&lt;&gt;"Congé"),(AND(F259="Congé",D259&lt;&gt;"Congé"))),0.166666666666667,""))</f>
        <v/>
      </c>
      <c r="AC259" s="8" t="str">
        <f aca="false">IF(AND(D259="Congé sans solde",F259="Congé sans solde"),0.333333333333333,IF(OR(AND(D259="Congé sans solde",F259&lt;&gt;"Congé sans solde"),(AND(F259="Congé sans solde",D259&lt;&gt;"Congé sans solde"))),0.166666666666667,""))</f>
        <v/>
      </c>
      <c r="AD259" s="8" t="str">
        <f aca="false">IF(AND(D259="Congé spécial",F259="Congé spécial"),0.333333333333333,IF(OR(AND(D259="Congé spécial",F259&lt;&gt;"Congé spécial"),AND(F259="Congé spécial",D259&lt;&gt;"Congé spécial")),0.166666666666667,""))</f>
        <v/>
      </c>
      <c r="AE259" s="8" t="str">
        <f aca="false">IF(AND(D259="Férié",F259="Férié"),0.333333333333333,IF(OR(AND(D259="Férié",F259&lt;&gt;"Férié"),(AND(F259="Férié",D259&lt;&gt;"Férié"))),0.166666666666667,""))</f>
        <v/>
      </c>
      <c r="AF259" s="18"/>
      <c r="AG259" s="18"/>
    </row>
    <row r="260" customFormat="false" ht="15" hidden="false" customHeight="false" outlineLevel="0" collapsed="false">
      <c r="A260" s="6" t="str">
        <f aca="false">YEAR(Q260-WEEKDAY(Q260,2)+4)&amp;"-S"&amp;TEXT(WEEKNUM(Q260,21),"00")</f>
        <v>2026-S04</v>
      </c>
      <c r="B260" s="18" t="s">
        <v>72</v>
      </c>
      <c r="C260" s="19"/>
      <c r="D260" s="19" t="s">
        <v>74</v>
      </c>
      <c r="E260" s="19"/>
      <c r="F260" s="19" t="s">
        <v>74</v>
      </c>
      <c r="G260" s="20"/>
      <c r="H260" s="20"/>
      <c r="I260" s="8" t="str">
        <f aca="false">IF(IF(OR(C260="",D260="Congé",D260="OFF",D260="Congé spécial"),"",IF(D260&gt;F260,D260-C260,IF(C260-D260&lt;0,0,C260-D260)))&lt;0.00068287037037037,"",IF(OR(D260="Congé",D260="OFF",C260="",D260="Congé spécial"),"",IF(D260&gt;F260,D260-C260,IF(C260-D260&lt;0,0,C260-D260))))</f>
        <v/>
      </c>
      <c r="J260" s="20"/>
      <c r="K260" s="8" t="n">
        <f aca="false">IF(SUM(H260:J260)&lt;0.00068287037037037,0,SUM(H260:J260))</f>
        <v>0</v>
      </c>
      <c r="L260" s="8" t="n">
        <f aca="false">IF(OR(F260="Congé",F260="OFF",M260="Abs",F260="Congé sans solde",F260="Férié",F260="Congé spécial",D260="Congé spécial"),0,IF(F260-E260&lt;0,0,IF(F260-E260&lt;=0.00068287037037037,0,F260-E260)))</f>
        <v>0</v>
      </c>
      <c r="M260" s="6" t="n">
        <f aca="false">IF(AND(O260&lt;&gt;0,C260=""),"Abs",0)</f>
        <v>0</v>
      </c>
      <c r="N260" s="8" t="str">
        <f aca="false">IFERROR(IF(OR(D260="OFF",D260="Congé",M260="Abs",D260="Congé sans solde",D260="Férié"),"",IF(O260-K260-L260&gt;O260,O260,IF(O260-K260-L260&lt;0,"",O260-K260-L260))),"")</f>
        <v/>
      </c>
      <c r="O260" s="8" t="n">
        <f aca="false">IF(AG260="2H Pause déjeuner",IF(F260-D260-0.0833333333333333&lt;0,F260-D260-0.0833333333333333+1,F260-D260-0.0833333333333333),IF(OR(AND(F260="OFF",D260="OFF"),AND(F260="Congé",D260="Congé"),AND(F260="Congé sans solde",D260="Congé sans solde"),AND(F260="Congé spécial",D260="Congé spécial"),AND(F260="Férié",D260="Férié"),AND(F260="OFF",D260="Congé"),AND(F260="OFF",D260="Congé sans solde"),AND(F260="OFF",D260="Congé spécial"),AND(F260="OFF",D260="Férié"),AND(F260="Congé",D260="OFF"),AND(F260="Congé",D260="Congé sans solde"),AND(F260="Congé",D260="Congé spécial"),AND(F260="Congé",D260="Férié"),AND(F260="Congé sans solde",D260="OFF"),AND(F260="Congé sans solde",D260="Congé"),AND(F260="Congé sans solde",D260="Congé spécial"),AND(F260="Congé sans solde",D260="Férié"),AND(F260="Congé spécial",D260="OFF"),AND(F260="Congé spécial",D260="Congé"),AND(F260="Congé spécial",D260="Congé sans solde"),AND(F260="Congé spécial",D260="Férié"),AND(F260="Férié",D260="OFF"),AND(F260="Férié",D260="Congé"),AND(F260="Férié",D260="Congé sans solde"),AND(F260="Férié",D260="Congé spécial")),0,IF(OR(F260="OFF",F260="Congé",F260="Congé spécial",F260="Congé sans solde",D260="OFF",D260="Congé",D260="Congé spécial",D260="Congé sans solde"),0.208333333333334,IF(AND(AG260="",F260-D260&lt;0),("24:00:00"-D260)+("00:00:00"+F260)-0.0416666666666667,IF(AND(OR(AG260="Allaitement",AG260="Sans déjeuner"),F260-D260&lt;0),("24:00:00"-D260)+("00:00:00"+F260),IF(AND(AG260="",F260-D260&gt;0.166666666666667),F260-D260-0.0416666666666667,IF(AND(OR(AG260="Allaitement",AG260="Sans déjeuner"),F260-D260&gt;0.166666666666667),F260-D260,F260-D260)))))))</f>
        <v>0</v>
      </c>
      <c r="P260" s="6" t="str">
        <f aca="false">IFERROR(VLOOKUP($B260,Agents!$A:$D,2,0),"-")</f>
        <v>Accessibilité</v>
      </c>
      <c r="Q260" s="21" t="n">
        <v>46046</v>
      </c>
      <c r="R260" s="8" t="n">
        <f aca="false">IF(M260="Abs",O260,0)</f>
        <v>0</v>
      </c>
      <c r="S260" s="8" t="n">
        <f aca="false">SUM(R260,L260,I260,J260,W260,H260)</f>
        <v>0</v>
      </c>
      <c r="T260" s="6" t="str">
        <f aca="false">"Sem - "&amp;WEEKNUM(Q260,21)</f>
        <v>Sem - 4</v>
      </c>
      <c r="U260" s="6" t="str">
        <f aca="false">CHOOSE(MONTH(Q260),"Janvier","Février","Mars","Avril","Mai","Juin","Juillet","Août","Septembre","Octobre","Novembre","Décembre")</f>
        <v>Janvier</v>
      </c>
      <c r="V260" s="22" t="n">
        <f aca="false">YEAR(Q260)</f>
        <v>2026</v>
      </c>
      <c r="W260" s="20"/>
      <c r="X260" s="8" t="n">
        <f aca="false">IFERROR(IF(M260="Abs",0,IF(ROUND((D260-C260+E260-F260)*1440,0)&lt;=1,0,D260-C260+E260-F260)),0)</f>
        <v>0</v>
      </c>
      <c r="Y260" s="6" t="str">
        <f aca="false">IFERROR(VLOOKUP($B260,Agents!$A:$D,3,0),"-")</f>
        <v>OUBRAHIM Mohammed</v>
      </c>
      <c r="Z260" s="6" t="str">
        <f aca="false">IFERROR(VLOOKUP($B260,Agents!$A:$D,4,0),"-")</f>
        <v>Credit Mutuel</v>
      </c>
      <c r="AA260" s="18" t="s">
        <v>85</v>
      </c>
      <c r="AB260" s="8" t="str">
        <f aca="false">IF(AND(D260="Congé",F260="Congé"),0.333333333333333,IF(OR(AND(D260="Congé",F260&lt;&gt;"Congé"),(AND(F260="Congé",D260&lt;&gt;"Congé"))),0.166666666666667,""))</f>
        <v/>
      </c>
      <c r="AC260" s="8" t="str">
        <f aca="false">IF(AND(D260="Congé sans solde",F260="Congé sans solde"),0.333333333333333,IF(OR(AND(D260="Congé sans solde",F260&lt;&gt;"Congé sans solde"),(AND(F260="Congé sans solde",D260&lt;&gt;"Congé sans solde"))),0.166666666666667,""))</f>
        <v/>
      </c>
      <c r="AD260" s="8" t="str">
        <f aca="false">IF(AND(D260="Congé spécial",F260="Congé spécial"),0.333333333333333,IF(OR(AND(D260="Congé spécial",F260&lt;&gt;"Congé spécial"),AND(F260="Congé spécial",D260&lt;&gt;"Congé spécial")),0.166666666666667,""))</f>
        <v/>
      </c>
      <c r="AE260" s="8" t="str">
        <f aca="false">IF(AND(D260="Férié",F260="Férié"),0.333333333333333,IF(OR(AND(D260="Férié",F260&lt;&gt;"Férié"),(AND(F260="Férié",D260&lt;&gt;"Férié"))),0.166666666666667,""))</f>
        <v/>
      </c>
      <c r="AF260" s="18"/>
      <c r="AG260" s="18"/>
    </row>
    <row r="261" customFormat="false" ht="15" hidden="false" customHeight="false" outlineLevel="0" collapsed="false">
      <c r="A261" s="6" t="str">
        <f aca="false">YEAR(Q261-WEEKDAY(Q261,2)+4)&amp;"-S"&amp;TEXT(WEEKNUM(Q261,21),"00")</f>
        <v>2026-S04</v>
      </c>
      <c r="B261" s="18" t="s">
        <v>73</v>
      </c>
      <c r="C261" s="19"/>
      <c r="D261" s="19" t="s">
        <v>74</v>
      </c>
      <c r="E261" s="19"/>
      <c r="F261" s="19" t="s">
        <v>74</v>
      </c>
      <c r="G261" s="20"/>
      <c r="H261" s="20"/>
      <c r="I261" s="8" t="str">
        <f aca="false">IF(IF(OR(C261="",D261="Congé",D261="OFF",D261="Congé spécial"),"",IF(D261&gt;F261,D261-C261,IF(C261-D261&lt;0,0,C261-D261)))&lt;0.00068287037037037,"",IF(OR(D261="Congé",D261="OFF",C261="",D261="Congé spécial"),"",IF(D261&gt;F261,D261-C261,IF(C261-D261&lt;0,0,C261-D261))))</f>
        <v/>
      </c>
      <c r="J261" s="20"/>
      <c r="K261" s="8" t="n">
        <f aca="false">IF(SUM(H261:J261)&lt;0.00068287037037037,0,SUM(H261:J261))</f>
        <v>0</v>
      </c>
      <c r="L261" s="8" t="n">
        <f aca="false">IF(OR(F261="Congé",F261="OFF",M261="Abs",F261="Congé sans solde",F261="Férié",F261="Congé spécial",D261="Congé spécial"),0,IF(F261-E261&lt;0,0,IF(F261-E261&lt;=0.00068287037037037,0,F261-E261)))</f>
        <v>0</v>
      </c>
      <c r="M261" s="6" t="n">
        <f aca="false">IF(AND(O261&lt;&gt;0,C261=""),"Abs",0)</f>
        <v>0</v>
      </c>
      <c r="N261" s="8" t="str">
        <f aca="false">IFERROR(IF(OR(D261="OFF",D261="Congé",M261="Abs",D261="Congé sans solde",D261="Férié"),"",IF(O261-K261-L261&gt;O261,O261,IF(O261-K261-L261&lt;0,"",O261-K261-L261))),"")</f>
        <v/>
      </c>
      <c r="O261" s="8" t="n">
        <f aca="false">IF(AG261="2H Pause déjeuner",IF(F261-D261-0.0833333333333333&lt;0,F261-D261-0.0833333333333333+1,F261-D261-0.0833333333333333),IF(OR(AND(F261="OFF",D261="OFF"),AND(F261="Congé",D261="Congé"),AND(F261="Congé sans solde",D261="Congé sans solde"),AND(F261="Congé spécial",D261="Congé spécial"),AND(F261="Férié",D261="Férié"),AND(F261="OFF",D261="Congé"),AND(F261="OFF",D261="Congé sans solde"),AND(F261="OFF",D261="Congé spécial"),AND(F261="OFF",D261="Férié"),AND(F261="Congé",D261="OFF"),AND(F261="Congé",D261="Congé sans solde"),AND(F261="Congé",D261="Congé spécial"),AND(F261="Congé",D261="Férié"),AND(F261="Congé sans solde",D261="OFF"),AND(F261="Congé sans solde",D261="Congé"),AND(F261="Congé sans solde",D261="Congé spécial"),AND(F261="Congé sans solde",D261="Férié"),AND(F261="Congé spécial",D261="OFF"),AND(F261="Congé spécial",D261="Congé"),AND(F261="Congé spécial",D261="Congé sans solde"),AND(F261="Congé spécial",D261="Férié"),AND(F261="Férié",D261="OFF"),AND(F261="Férié",D261="Congé"),AND(F261="Férié",D261="Congé sans solde"),AND(F261="Férié",D261="Congé spécial")),0,IF(OR(F261="OFF",F261="Congé",F261="Congé spécial",F261="Congé sans solde",D261="OFF",D261="Congé",D261="Congé spécial",D261="Congé sans solde"),0.208333333333334,IF(AND(AG261="",F261-D261&lt;0),("24:00:00"-D261)+("00:00:00"+F261)-0.0416666666666667,IF(AND(OR(AG261="Allaitement",AG261="Sans déjeuner"),F261-D261&lt;0),("24:00:00"-D261)+("00:00:00"+F261),IF(AND(AG261="",F261-D261&gt;0.166666666666667),F261-D261-0.0416666666666667,IF(AND(OR(AG261="Allaitement",AG261="Sans déjeuner"),F261-D261&gt;0.166666666666667),F261-D261,F261-D261)))))))</f>
        <v>0</v>
      </c>
      <c r="P261" s="6" t="str">
        <f aca="false">IFERROR(VLOOKUP($B261,Agents!$A:$D,2,0),"-")</f>
        <v>Accessibilité</v>
      </c>
      <c r="Q261" s="21" t="n">
        <v>46046</v>
      </c>
      <c r="R261" s="8" t="n">
        <f aca="false">IF(M261="Abs",O261,0)</f>
        <v>0</v>
      </c>
      <c r="S261" s="8" t="n">
        <f aca="false">SUM(R261,L261,I261,J261,W261,H261)</f>
        <v>0</v>
      </c>
      <c r="T261" s="6" t="str">
        <f aca="false">"Sem - "&amp;WEEKNUM(Q261,21)</f>
        <v>Sem - 4</v>
      </c>
      <c r="U261" s="6" t="str">
        <f aca="false">CHOOSE(MONTH(Q261),"Janvier","Février","Mars","Avril","Mai","Juin","Juillet","Août","Septembre","Octobre","Novembre","Décembre")</f>
        <v>Janvier</v>
      </c>
      <c r="V261" s="22" t="n">
        <f aca="false">YEAR(Q261)</f>
        <v>2026</v>
      </c>
      <c r="W261" s="20"/>
      <c r="X261" s="8" t="n">
        <f aca="false">IFERROR(IF(M261="Abs",0,IF(ROUND((D261-C261+E261-F261)*1440,0)&lt;=1,0,D261-C261+E261-F261)),0)</f>
        <v>0</v>
      </c>
      <c r="Y261" s="6" t="str">
        <f aca="false">IFERROR(VLOOKUP($B261,Agents!$A:$D,3,0),"-")</f>
        <v>OUBRAHIM Mohammed</v>
      </c>
      <c r="Z261" s="6" t="str">
        <f aca="false">IFERROR(VLOOKUP($B261,Agents!$A:$D,4,0),"-")</f>
        <v>Credit Mutuel</v>
      </c>
      <c r="AA261" s="18" t="s">
        <v>85</v>
      </c>
      <c r="AB261" s="8" t="str">
        <f aca="false">IF(AND(D261="Congé",F261="Congé"),0.333333333333333,IF(OR(AND(D261="Congé",F261&lt;&gt;"Congé"),(AND(F261="Congé",D261&lt;&gt;"Congé"))),0.166666666666667,""))</f>
        <v/>
      </c>
      <c r="AC261" s="8" t="str">
        <f aca="false">IF(AND(D261="Congé sans solde",F261="Congé sans solde"),0.333333333333333,IF(OR(AND(D261="Congé sans solde",F261&lt;&gt;"Congé sans solde"),(AND(F261="Congé sans solde",D261&lt;&gt;"Congé sans solde"))),0.166666666666667,""))</f>
        <v/>
      </c>
      <c r="AD261" s="8" t="str">
        <f aca="false">IF(AND(D261="Congé spécial",F261="Congé spécial"),0.333333333333333,IF(OR(AND(D261="Congé spécial",F261&lt;&gt;"Congé spécial"),AND(F261="Congé spécial",D261&lt;&gt;"Congé spécial")),0.166666666666667,""))</f>
        <v/>
      </c>
      <c r="AE261" s="8" t="str">
        <f aca="false">IF(AND(D261="Férié",F261="Férié"),0.333333333333333,IF(OR(AND(D261="Férié",F261&lt;&gt;"Férié"),(AND(F261="Férié",D261&lt;&gt;"Férié"))),0.166666666666667,""))</f>
        <v/>
      </c>
      <c r="AF261" s="18"/>
      <c r="AG261" s="18"/>
    </row>
    <row r="262" customFormat="false" ht="15" hidden="false" customHeight="false" outlineLevel="0" collapsed="false">
      <c r="A262" s="6" t="str">
        <f aca="false">YEAR(Q262-WEEKDAY(Q262,2)+4)&amp;"-S"&amp;TEXT(WEEKNUM(Q262,21),"00")</f>
        <v>2026-S04</v>
      </c>
      <c r="B262" s="18" t="s">
        <v>69</v>
      </c>
      <c r="C262" s="19"/>
      <c r="D262" s="19" t="s">
        <v>74</v>
      </c>
      <c r="E262" s="19"/>
      <c r="F262" s="19" t="s">
        <v>74</v>
      </c>
      <c r="G262" s="20"/>
      <c r="H262" s="20"/>
      <c r="I262" s="8" t="str">
        <f aca="false">IF(IF(OR(C262="",D262="Congé",D262="OFF",D262="Congé spécial"),"",IF(D262&gt;F262,D262-C262,IF(C262-D262&lt;0,0,C262-D262)))&lt;0.00068287037037037,"",IF(OR(D262="Congé",D262="OFF",C262="",D262="Congé spécial"),"",IF(D262&gt;F262,D262-C262,IF(C262-D262&lt;0,0,C262-D262))))</f>
        <v/>
      </c>
      <c r="J262" s="20"/>
      <c r="K262" s="8" t="n">
        <f aca="false">IF(SUM(H262:J262)&lt;0.00068287037037037,0,SUM(H262:J262))</f>
        <v>0</v>
      </c>
      <c r="L262" s="8" t="n">
        <f aca="false">IF(OR(F262="Congé",F262="OFF",M262="Abs",F262="Congé sans solde",F262="Férié",F262="Congé spécial",D262="Congé spécial"),0,IF(F262-E262&lt;0,0,IF(F262-E262&lt;=0.00068287037037037,0,F262-E262)))</f>
        <v>0</v>
      </c>
      <c r="M262" s="6" t="n">
        <f aca="false">IF(AND(O262&lt;&gt;0,C262=""),"Abs",0)</f>
        <v>0</v>
      </c>
      <c r="N262" s="8" t="str">
        <f aca="false">IFERROR(IF(OR(D262="OFF",D262="Congé",M262="Abs",D262="Congé sans solde",D262="Férié"),"",IF(O262-K262-L262&gt;O262,O262,IF(O262-K262-L262&lt;0,"",O262-K262-L262))),"")</f>
        <v/>
      </c>
      <c r="O262" s="8" t="n">
        <f aca="false">IF(AG262="2H Pause déjeuner",IF(F262-D262-0.0833333333333333&lt;0,F262-D262-0.0833333333333333+1,F262-D262-0.0833333333333333),IF(OR(AND(F262="OFF",D262="OFF"),AND(F262="Congé",D262="Congé"),AND(F262="Congé sans solde",D262="Congé sans solde"),AND(F262="Congé spécial",D262="Congé spécial"),AND(F262="Férié",D262="Férié"),AND(F262="OFF",D262="Congé"),AND(F262="OFF",D262="Congé sans solde"),AND(F262="OFF",D262="Congé spécial"),AND(F262="OFF",D262="Férié"),AND(F262="Congé",D262="OFF"),AND(F262="Congé",D262="Congé sans solde"),AND(F262="Congé",D262="Congé spécial"),AND(F262="Congé",D262="Férié"),AND(F262="Congé sans solde",D262="OFF"),AND(F262="Congé sans solde",D262="Congé"),AND(F262="Congé sans solde",D262="Congé spécial"),AND(F262="Congé sans solde",D262="Férié"),AND(F262="Congé spécial",D262="OFF"),AND(F262="Congé spécial",D262="Congé"),AND(F262="Congé spécial",D262="Congé sans solde"),AND(F262="Congé spécial",D262="Férié"),AND(F262="Férié",D262="OFF"),AND(F262="Férié",D262="Congé"),AND(F262="Férié",D262="Congé sans solde"),AND(F262="Férié",D262="Congé spécial")),0,IF(OR(F262="OFF",F262="Congé",F262="Congé spécial",F262="Congé sans solde",D262="OFF",D262="Congé",D262="Congé spécial",D262="Congé sans solde"),0.208333333333334,IF(AND(AG262="",F262-D262&lt;0),("24:00:00"-D262)+("00:00:00"+F262)-0.0416666666666667,IF(AND(OR(AG262="Allaitement",AG262="Sans déjeuner"),F262-D262&lt;0),("24:00:00"-D262)+("00:00:00"+F262),IF(AND(AG262="",F262-D262&gt;0.166666666666667),F262-D262-0.0416666666666667,IF(AND(OR(AG262="Allaitement",AG262="Sans déjeuner"),F262-D262&gt;0.166666666666667),F262-D262,F262-D262)))))))</f>
        <v>0</v>
      </c>
      <c r="P262" s="6" t="str">
        <f aca="false">IFERROR(VLOOKUP($B262,Agents!$A:$D,2,0),"-")</f>
        <v>Accessibilité</v>
      </c>
      <c r="Q262" s="21" t="n">
        <v>46047</v>
      </c>
      <c r="R262" s="8" t="n">
        <f aca="false">IF(M262="Abs",O262,0)</f>
        <v>0</v>
      </c>
      <c r="S262" s="8" t="n">
        <f aca="false">SUM(R262,L262,I262,J262,W262,H262)</f>
        <v>0</v>
      </c>
      <c r="T262" s="6" t="str">
        <f aca="false">"Sem - "&amp;WEEKNUM(Q262,21)</f>
        <v>Sem - 4</v>
      </c>
      <c r="U262" s="6" t="str">
        <f aca="false">CHOOSE(MONTH(Q262),"Janvier","Février","Mars","Avril","Mai","Juin","Juillet","Août","Septembre","Octobre","Novembre","Décembre")</f>
        <v>Janvier</v>
      </c>
      <c r="V262" s="22" t="n">
        <f aca="false">YEAR(Q262)</f>
        <v>2026</v>
      </c>
      <c r="W262" s="20"/>
      <c r="X262" s="8" t="n">
        <f aca="false">IFERROR(IF(M262="Abs",0,IF(ROUND((D262-C262+E262-F262)*1440,0)&lt;=1,0,D262-C262+E262-F262)),0)</f>
        <v>0</v>
      </c>
      <c r="Y262" s="6" t="str">
        <f aca="false">IFERROR(VLOOKUP($B262,Agents!$A:$D,3,0),"-")</f>
        <v>OUBRAHIM Mohammed</v>
      </c>
      <c r="Z262" s="6" t="str">
        <f aca="false">IFERROR(VLOOKUP($B262,Agents!$A:$D,4,0),"-")</f>
        <v>Credit Mutuel</v>
      </c>
      <c r="AA262" s="18" t="s">
        <v>85</v>
      </c>
      <c r="AB262" s="8" t="str">
        <f aca="false">IF(AND(D262="Congé",F262="Congé"),0.333333333333333,IF(OR(AND(D262="Congé",F262&lt;&gt;"Congé"),(AND(F262="Congé",D262&lt;&gt;"Congé"))),0.166666666666667,""))</f>
        <v/>
      </c>
      <c r="AC262" s="8" t="str">
        <f aca="false">IF(AND(D262="Congé sans solde",F262="Congé sans solde"),0.333333333333333,IF(OR(AND(D262="Congé sans solde",F262&lt;&gt;"Congé sans solde"),(AND(F262="Congé sans solde",D262&lt;&gt;"Congé sans solde"))),0.166666666666667,""))</f>
        <v/>
      </c>
      <c r="AD262" s="8" t="str">
        <f aca="false">IF(AND(D262="Congé spécial",F262="Congé spécial"),0.333333333333333,IF(OR(AND(D262="Congé spécial",F262&lt;&gt;"Congé spécial"),AND(F262="Congé spécial",D262&lt;&gt;"Congé spécial")),0.166666666666667,""))</f>
        <v/>
      </c>
      <c r="AE262" s="8" t="str">
        <f aca="false">IF(AND(D262="Férié",F262="Férié"),0.333333333333333,IF(OR(AND(D262="Férié",F262&lt;&gt;"Férié"),(AND(F262="Férié",D262&lt;&gt;"Férié"))),0.166666666666667,""))</f>
        <v/>
      </c>
      <c r="AF262" s="18"/>
      <c r="AG262" s="18"/>
    </row>
    <row r="263" customFormat="false" ht="15" hidden="false" customHeight="false" outlineLevel="0" collapsed="false">
      <c r="A263" s="6" t="str">
        <f aca="false">YEAR(Q263-WEEKDAY(Q263,2)+4)&amp;"-S"&amp;TEXT(WEEKNUM(Q263,21),"00")</f>
        <v>2026-S04</v>
      </c>
      <c r="B263" s="18" t="s">
        <v>71</v>
      </c>
      <c r="C263" s="19"/>
      <c r="D263" s="19" t="s">
        <v>74</v>
      </c>
      <c r="E263" s="19"/>
      <c r="F263" s="19" t="s">
        <v>74</v>
      </c>
      <c r="G263" s="20"/>
      <c r="H263" s="20"/>
      <c r="I263" s="8" t="str">
        <f aca="false">IF(IF(OR(C263="",D263="Congé",D263="OFF",D263="Congé spécial"),"",IF(D263&gt;F263,D263-C263,IF(C263-D263&lt;0,0,C263-D263)))&lt;0.00068287037037037,"",IF(OR(D263="Congé",D263="OFF",C263="",D263="Congé spécial"),"",IF(D263&gt;F263,D263-C263,IF(C263-D263&lt;0,0,C263-D263))))</f>
        <v/>
      </c>
      <c r="J263" s="20"/>
      <c r="K263" s="8" t="n">
        <f aca="false">IF(SUM(H263:J263)&lt;0.00068287037037037,0,SUM(H263:J263))</f>
        <v>0</v>
      </c>
      <c r="L263" s="8" t="n">
        <f aca="false">IF(OR(F263="Congé",F263="OFF",M263="Abs",F263="Congé sans solde",F263="Férié",F263="Congé spécial",D263="Congé spécial"),0,IF(F263-E263&lt;0,0,IF(F263-E263&lt;=0.00068287037037037,0,F263-E263)))</f>
        <v>0</v>
      </c>
      <c r="M263" s="6" t="n">
        <f aca="false">IF(AND(O263&lt;&gt;0,C263=""),"Abs",0)</f>
        <v>0</v>
      </c>
      <c r="N263" s="8" t="str">
        <f aca="false">IFERROR(IF(OR(D263="OFF",D263="Congé",M263="Abs",D263="Congé sans solde",D263="Férié"),"",IF(O263-K263-L263&gt;O263,O263,IF(O263-K263-L263&lt;0,"",O263-K263-L263))),"")</f>
        <v/>
      </c>
      <c r="O263" s="8" t="n">
        <f aca="false">IF(AG263="2H Pause déjeuner",IF(F263-D263-0.0833333333333333&lt;0,F263-D263-0.0833333333333333+1,F263-D263-0.0833333333333333),IF(OR(AND(F263="OFF",D263="OFF"),AND(F263="Congé",D263="Congé"),AND(F263="Congé sans solde",D263="Congé sans solde"),AND(F263="Congé spécial",D263="Congé spécial"),AND(F263="Férié",D263="Férié"),AND(F263="OFF",D263="Congé"),AND(F263="OFF",D263="Congé sans solde"),AND(F263="OFF",D263="Congé spécial"),AND(F263="OFF",D263="Férié"),AND(F263="Congé",D263="OFF"),AND(F263="Congé",D263="Congé sans solde"),AND(F263="Congé",D263="Congé spécial"),AND(F263="Congé",D263="Férié"),AND(F263="Congé sans solde",D263="OFF"),AND(F263="Congé sans solde",D263="Congé"),AND(F263="Congé sans solde",D263="Congé spécial"),AND(F263="Congé sans solde",D263="Férié"),AND(F263="Congé spécial",D263="OFF"),AND(F263="Congé spécial",D263="Congé"),AND(F263="Congé spécial",D263="Congé sans solde"),AND(F263="Congé spécial",D263="Férié"),AND(F263="Férié",D263="OFF"),AND(F263="Férié",D263="Congé"),AND(F263="Férié",D263="Congé sans solde"),AND(F263="Férié",D263="Congé spécial")),0,IF(OR(F263="OFF",F263="Congé",F263="Congé spécial",F263="Congé sans solde",D263="OFF",D263="Congé",D263="Congé spécial",D263="Congé sans solde"),0.208333333333334,IF(AND(AG263="",F263-D263&lt;0),("24:00:00"-D263)+("00:00:00"+F263)-0.0416666666666667,IF(AND(OR(AG263="Allaitement",AG263="Sans déjeuner"),F263-D263&lt;0),("24:00:00"-D263)+("00:00:00"+F263),IF(AND(AG263="",F263-D263&gt;0.166666666666667),F263-D263-0.0416666666666667,IF(AND(OR(AG263="Allaitement",AG263="Sans déjeuner"),F263-D263&gt;0.166666666666667),F263-D263,F263-D263)))))))</f>
        <v>0</v>
      </c>
      <c r="P263" s="6" t="str">
        <f aca="false">IFERROR(VLOOKUP($B263,Agents!$A:$D,2,0),"-")</f>
        <v>Accessibilité</v>
      </c>
      <c r="Q263" s="21" t="n">
        <v>46047</v>
      </c>
      <c r="R263" s="8" t="n">
        <f aca="false">IF(M263="Abs",O263,0)</f>
        <v>0</v>
      </c>
      <c r="S263" s="8" t="n">
        <f aca="false">SUM(R263,L263,I263,J263,W263,H263)</f>
        <v>0</v>
      </c>
      <c r="T263" s="6" t="str">
        <f aca="false">"Sem - "&amp;WEEKNUM(Q263,21)</f>
        <v>Sem - 4</v>
      </c>
      <c r="U263" s="6" t="str">
        <f aca="false">CHOOSE(MONTH(Q263),"Janvier","Février","Mars","Avril","Mai","Juin","Juillet","Août","Septembre","Octobre","Novembre","Décembre")</f>
        <v>Janvier</v>
      </c>
      <c r="V263" s="22" t="n">
        <f aca="false">YEAR(Q263)</f>
        <v>2026</v>
      </c>
      <c r="W263" s="20"/>
      <c r="X263" s="8" t="n">
        <f aca="false">IFERROR(IF(M263="Abs",0,IF(ROUND((D263-C263+E263-F263)*1440,0)&lt;=1,0,D263-C263+E263-F263)),0)</f>
        <v>0</v>
      </c>
      <c r="Y263" s="6" t="str">
        <f aca="false">IFERROR(VLOOKUP($B263,Agents!$A:$D,3,0),"-")</f>
        <v>OUBRAHIM Mohammed</v>
      </c>
      <c r="Z263" s="6" t="str">
        <f aca="false">IFERROR(VLOOKUP($B263,Agents!$A:$D,4,0),"-")</f>
        <v>Credit Mutuel</v>
      </c>
      <c r="AA263" s="18" t="s">
        <v>85</v>
      </c>
      <c r="AB263" s="8" t="str">
        <f aca="false">IF(AND(D263="Congé",F263="Congé"),0.333333333333333,IF(OR(AND(D263="Congé",F263&lt;&gt;"Congé"),(AND(F263="Congé",D263&lt;&gt;"Congé"))),0.166666666666667,""))</f>
        <v/>
      </c>
      <c r="AC263" s="8" t="str">
        <f aca="false">IF(AND(D263="Congé sans solde",F263="Congé sans solde"),0.333333333333333,IF(OR(AND(D263="Congé sans solde",F263&lt;&gt;"Congé sans solde"),(AND(F263="Congé sans solde",D263&lt;&gt;"Congé sans solde"))),0.166666666666667,""))</f>
        <v/>
      </c>
      <c r="AD263" s="8" t="str">
        <f aca="false">IF(AND(D263="Congé spécial",F263="Congé spécial"),0.333333333333333,IF(OR(AND(D263="Congé spécial",F263&lt;&gt;"Congé spécial"),AND(F263="Congé spécial",D263&lt;&gt;"Congé spécial")),0.166666666666667,""))</f>
        <v/>
      </c>
      <c r="AE263" s="8" t="str">
        <f aca="false">IF(AND(D263="Férié",F263="Férié"),0.333333333333333,IF(OR(AND(D263="Férié",F263&lt;&gt;"Férié"),(AND(F263="Férié",D263&lt;&gt;"Férié"))),0.166666666666667,""))</f>
        <v/>
      </c>
      <c r="AF263" s="18"/>
      <c r="AG263" s="18"/>
    </row>
    <row r="264" customFormat="false" ht="15" hidden="false" customHeight="false" outlineLevel="0" collapsed="false">
      <c r="A264" s="6" t="str">
        <f aca="false">YEAR(Q264-WEEKDAY(Q264,2)+4)&amp;"-S"&amp;TEXT(WEEKNUM(Q264,21),"00")</f>
        <v>2026-S04</v>
      </c>
      <c r="B264" s="18" t="s">
        <v>72</v>
      </c>
      <c r="C264" s="19"/>
      <c r="D264" s="19" t="s">
        <v>74</v>
      </c>
      <c r="E264" s="19"/>
      <c r="F264" s="19" t="s">
        <v>74</v>
      </c>
      <c r="G264" s="20"/>
      <c r="H264" s="20"/>
      <c r="I264" s="8" t="str">
        <f aca="false">IF(IF(OR(C264="",D264="Congé",D264="OFF",D264="Congé spécial"),"",IF(D264&gt;F264,D264-C264,IF(C264-D264&lt;0,0,C264-D264)))&lt;0.00068287037037037,"",IF(OR(D264="Congé",D264="OFF",C264="",D264="Congé spécial"),"",IF(D264&gt;F264,D264-C264,IF(C264-D264&lt;0,0,C264-D264))))</f>
        <v/>
      </c>
      <c r="J264" s="20"/>
      <c r="K264" s="8" t="n">
        <f aca="false">IF(SUM(H264:J264)&lt;0.00068287037037037,0,SUM(H264:J264))</f>
        <v>0</v>
      </c>
      <c r="L264" s="8" t="n">
        <f aca="false">IF(OR(F264="Congé",F264="OFF",M264="Abs",F264="Congé sans solde",F264="Férié",F264="Congé spécial",D264="Congé spécial"),0,IF(F264-E264&lt;0,0,IF(F264-E264&lt;=0.00068287037037037,0,F264-E264)))</f>
        <v>0</v>
      </c>
      <c r="M264" s="6" t="n">
        <f aca="false">IF(AND(O264&lt;&gt;0,C264=""),"Abs",0)</f>
        <v>0</v>
      </c>
      <c r="N264" s="8" t="str">
        <f aca="false">IFERROR(IF(OR(D264="OFF",D264="Congé",M264="Abs",D264="Congé sans solde",D264="Férié"),"",IF(O264-K264-L264&gt;O264,O264,IF(O264-K264-L264&lt;0,"",O264-K264-L264))),"")</f>
        <v/>
      </c>
      <c r="O264" s="8" t="n">
        <f aca="false">IF(AG264="2H Pause déjeuner",IF(F264-D264-0.0833333333333333&lt;0,F264-D264-0.0833333333333333+1,F264-D264-0.0833333333333333),IF(OR(AND(F264="OFF",D264="OFF"),AND(F264="Congé",D264="Congé"),AND(F264="Congé sans solde",D264="Congé sans solde"),AND(F264="Congé spécial",D264="Congé spécial"),AND(F264="Férié",D264="Férié"),AND(F264="OFF",D264="Congé"),AND(F264="OFF",D264="Congé sans solde"),AND(F264="OFF",D264="Congé spécial"),AND(F264="OFF",D264="Férié"),AND(F264="Congé",D264="OFF"),AND(F264="Congé",D264="Congé sans solde"),AND(F264="Congé",D264="Congé spécial"),AND(F264="Congé",D264="Férié"),AND(F264="Congé sans solde",D264="OFF"),AND(F264="Congé sans solde",D264="Congé"),AND(F264="Congé sans solde",D264="Congé spécial"),AND(F264="Congé sans solde",D264="Férié"),AND(F264="Congé spécial",D264="OFF"),AND(F264="Congé spécial",D264="Congé"),AND(F264="Congé spécial",D264="Congé sans solde"),AND(F264="Congé spécial",D264="Férié"),AND(F264="Férié",D264="OFF"),AND(F264="Férié",D264="Congé"),AND(F264="Férié",D264="Congé sans solde"),AND(F264="Férié",D264="Congé spécial")),0,IF(OR(F264="OFF",F264="Congé",F264="Congé spécial",F264="Congé sans solde",D264="OFF",D264="Congé",D264="Congé spécial",D264="Congé sans solde"),0.208333333333334,IF(AND(AG264="",F264-D264&lt;0),("24:00:00"-D264)+("00:00:00"+F264)-0.0416666666666667,IF(AND(OR(AG264="Allaitement",AG264="Sans déjeuner"),F264-D264&lt;0),("24:00:00"-D264)+("00:00:00"+F264),IF(AND(AG264="",F264-D264&gt;0.166666666666667),F264-D264-0.0416666666666667,IF(AND(OR(AG264="Allaitement",AG264="Sans déjeuner"),F264-D264&gt;0.166666666666667),F264-D264,F264-D264)))))))</f>
        <v>0</v>
      </c>
      <c r="P264" s="6" t="str">
        <f aca="false">IFERROR(VLOOKUP($B264,Agents!$A:$D,2,0),"-")</f>
        <v>Accessibilité</v>
      </c>
      <c r="Q264" s="21" t="n">
        <v>46047</v>
      </c>
      <c r="R264" s="8" t="n">
        <f aca="false">IF(M264="Abs",O264,0)</f>
        <v>0</v>
      </c>
      <c r="S264" s="8" t="n">
        <f aca="false">SUM(R264,L264,I264,J264,W264,H264)</f>
        <v>0</v>
      </c>
      <c r="T264" s="6" t="str">
        <f aca="false">"Sem - "&amp;WEEKNUM(Q264,21)</f>
        <v>Sem - 4</v>
      </c>
      <c r="U264" s="6" t="str">
        <f aca="false">CHOOSE(MONTH(Q264),"Janvier","Février","Mars","Avril","Mai","Juin","Juillet","Août","Septembre","Octobre","Novembre","Décembre")</f>
        <v>Janvier</v>
      </c>
      <c r="V264" s="22" t="n">
        <f aca="false">YEAR(Q264)</f>
        <v>2026</v>
      </c>
      <c r="W264" s="20"/>
      <c r="X264" s="8" t="n">
        <f aca="false">IFERROR(IF(M264="Abs",0,IF(ROUND((D264-C264+E264-F264)*1440,0)&lt;=1,0,D264-C264+E264-F264)),0)</f>
        <v>0</v>
      </c>
      <c r="Y264" s="6" t="str">
        <f aca="false">IFERROR(VLOOKUP($B264,Agents!$A:$D,3,0),"-")</f>
        <v>OUBRAHIM Mohammed</v>
      </c>
      <c r="Z264" s="6" t="str">
        <f aca="false">IFERROR(VLOOKUP($B264,Agents!$A:$D,4,0),"-")</f>
        <v>Credit Mutuel</v>
      </c>
      <c r="AA264" s="18" t="s">
        <v>85</v>
      </c>
      <c r="AB264" s="8" t="str">
        <f aca="false">IF(AND(D264="Congé",F264="Congé"),0.333333333333333,IF(OR(AND(D264="Congé",F264&lt;&gt;"Congé"),(AND(F264="Congé",D264&lt;&gt;"Congé"))),0.166666666666667,""))</f>
        <v/>
      </c>
      <c r="AC264" s="8" t="str">
        <f aca="false">IF(AND(D264="Congé sans solde",F264="Congé sans solde"),0.333333333333333,IF(OR(AND(D264="Congé sans solde",F264&lt;&gt;"Congé sans solde"),(AND(F264="Congé sans solde",D264&lt;&gt;"Congé sans solde"))),0.166666666666667,""))</f>
        <v/>
      </c>
      <c r="AD264" s="8" t="str">
        <f aca="false">IF(AND(D264="Congé spécial",F264="Congé spécial"),0.333333333333333,IF(OR(AND(D264="Congé spécial",F264&lt;&gt;"Congé spécial"),AND(F264="Congé spécial",D264&lt;&gt;"Congé spécial")),0.166666666666667,""))</f>
        <v/>
      </c>
      <c r="AE264" s="8" t="str">
        <f aca="false">IF(AND(D264="Férié",F264="Férié"),0.333333333333333,IF(OR(AND(D264="Férié",F264&lt;&gt;"Férié"),(AND(F264="Férié",D264&lt;&gt;"Férié"))),0.166666666666667,""))</f>
        <v/>
      </c>
      <c r="AF264" s="18"/>
      <c r="AG264" s="18"/>
    </row>
    <row r="265" customFormat="false" ht="15" hidden="false" customHeight="false" outlineLevel="0" collapsed="false">
      <c r="A265" s="6" t="str">
        <f aca="false">YEAR(Q265-WEEKDAY(Q265,2)+4)&amp;"-S"&amp;TEXT(WEEKNUM(Q265,21),"00")</f>
        <v>2026-S04</v>
      </c>
      <c r="B265" s="18" t="s">
        <v>73</v>
      </c>
      <c r="C265" s="19"/>
      <c r="D265" s="19" t="s">
        <v>74</v>
      </c>
      <c r="E265" s="19"/>
      <c r="F265" s="19" t="s">
        <v>74</v>
      </c>
      <c r="G265" s="20"/>
      <c r="H265" s="20"/>
      <c r="I265" s="8" t="str">
        <f aca="false">IF(IF(OR(C265="",D265="Congé",D265="OFF",D265="Congé spécial"),"",IF(D265&gt;F265,D265-C265,IF(C265-D265&lt;0,0,C265-D265)))&lt;0.00068287037037037,"",IF(OR(D265="Congé",D265="OFF",C265="",D265="Congé spécial"),"",IF(D265&gt;F265,D265-C265,IF(C265-D265&lt;0,0,C265-D265))))</f>
        <v/>
      </c>
      <c r="J265" s="20"/>
      <c r="K265" s="8" t="n">
        <f aca="false">IF(SUM(H265:J265)&lt;0.00068287037037037,0,SUM(H265:J265))</f>
        <v>0</v>
      </c>
      <c r="L265" s="8" t="n">
        <f aca="false">IF(OR(F265="Congé",F265="OFF",M265="Abs",F265="Congé sans solde",F265="Férié",F265="Congé spécial",D265="Congé spécial"),0,IF(F265-E265&lt;0,0,IF(F265-E265&lt;=0.00068287037037037,0,F265-E265)))</f>
        <v>0</v>
      </c>
      <c r="M265" s="6" t="n">
        <f aca="false">IF(AND(O265&lt;&gt;0,C265=""),"Abs",0)</f>
        <v>0</v>
      </c>
      <c r="N265" s="8" t="str">
        <f aca="false">IFERROR(IF(OR(D265="OFF",D265="Congé",M265="Abs",D265="Congé sans solde",D265="Férié"),"",IF(O265-K265-L265&gt;O265,O265,IF(O265-K265-L265&lt;0,"",O265-K265-L265))),"")</f>
        <v/>
      </c>
      <c r="O265" s="8" t="n">
        <f aca="false">IF(AG265="2H Pause déjeuner",IF(F265-D265-0.0833333333333333&lt;0,F265-D265-0.0833333333333333+1,F265-D265-0.0833333333333333),IF(OR(AND(F265="OFF",D265="OFF"),AND(F265="Congé",D265="Congé"),AND(F265="Congé sans solde",D265="Congé sans solde"),AND(F265="Congé spécial",D265="Congé spécial"),AND(F265="Férié",D265="Férié"),AND(F265="OFF",D265="Congé"),AND(F265="OFF",D265="Congé sans solde"),AND(F265="OFF",D265="Congé spécial"),AND(F265="OFF",D265="Férié"),AND(F265="Congé",D265="OFF"),AND(F265="Congé",D265="Congé sans solde"),AND(F265="Congé",D265="Congé spécial"),AND(F265="Congé",D265="Férié"),AND(F265="Congé sans solde",D265="OFF"),AND(F265="Congé sans solde",D265="Congé"),AND(F265="Congé sans solde",D265="Congé spécial"),AND(F265="Congé sans solde",D265="Férié"),AND(F265="Congé spécial",D265="OFF"),AND(F265="Congé spécial",D265="Congé"),AND(F265="Congé spécial",D265="Congé sans solde"),AND(F265="Congé spécial",D265="Férié"),AND(F265="Férié",D265="OFF"),AND(F265="Férié",D265="Congé"),AND(F265="Férié",D265="Congé sans solde"),AND(F265="Férié",D265="Congé spécial")),0,IF(OR(F265="OFF",F265="Congé",F265="Congé spécial",F265="Congé sans solde",D265="OFF",D265="Congé",D265="Congé spécial",D265="Congé sans solde"),0.208333333333334,IF(AND(AG265="",F265-D265&lt;0),("24:00:00"-D265)+("00:00:00"+F265)-0.0416666666666667,IF(AND(OR(AG265="Allaitement",AG265="Sans déjeuner"),F265-D265&lt;0),("24:00:00"-D265)+("00:00:00"+F265),IF(AND(AG265="",F265-D265&gt;0.166666666666667),F265-D265-0.0416666666666667,IF(AND(OR(AG265="Allaitement",AG265="Sans déjeuner"),F265-D265&gt;0.166666666666667),F265-D265,F265-D265)))))))</f>
        <v>0</v>
      </c>
      <c r="P265" s="6" t="str">
        <f aca="false">IFERROR(VLOOKUP($B265,Agents!$A:$D,2,0),"-")</f>
        <v>Accessibilité</v>
      </c>
      <c r="Q265" s="21" t="n">
        <v>46047</v>
      </c>
      <c r="R265" s="8" t="n">
        <f aca="false">IF(M265="Abs",O265,0)</f>
        <v>0</v>
      </c>
      <c r="S265" s="8" t="n">
        <f aca="false">SUM(R265,L265,I265,J265,W265,H265)</f>
        <v>0</v>
      </c>
      <c r="T265" s="6" t="str">
        <f aca="false">"Sem - "&amp;WEEKNUM(Q265,21)</f>
        <v>Sem - 4</v>
      </c>
      <c r="U265" s="6" t="str">
        <f aca="false">CHOOSE(MONTH(Q265),"Janvier","Février","Mars","Avril","Mai","Juin","Juillet","Août","Septembre","Octobre","Novembre","Décembre")</f>
        <v>Janvier</v>
      </c>
      <c r="V265" s="22" t="n">
        <f aca="false">YEAR(Q265)</f>
        <v>2026</v>
      </c>
      <c r="W265" s="20"/>
      <c r="X265" s="8" t="n">
        <f aca="false">IFERROR(IF(M265="Abs",0,IF(ROUND((D265-C265+E265-F265)*1440,0)&lt;=1,0,D265-C265+E265-F265)),0)</f>
        <v>0</v>
      </c>
      <c r="Y265" s="6" t="str">
        <f aca="false">IFERROR(VLOOKUP($B265,Agents!$A:$D,3,0),"-")</f>
        <v>OUBRAHIM Mohammed</v>
      </c>
      <c r="Z265" s="6" t="str">
        <f aca="false">IFERROR(VLOOKUP($B265,Agents!$A:$D,4,0),"-")</f>
        <v>Credit Mutuel</v>
      </c>
      <c r="AA265" s="18" t="s">
        <v>85</v>
      </c>
      <c r="AB265" s="8" t="str">
        <f aca="false">IF(AND(D265="Congé",F265="Congé"),0.333333333333333,IF(OR(AND(D265="Congé",F265&lt;&gt;"Congé"),(AND(F265="Congé",D265&lt;&gt;"Congé"))),0.166666666666667,""))</f>
        <v/>
      </c>
      <c r="AC265" s="8" t="str">
        <f aca="false">IF(AND(D265="Congé sans solde",F265="Congé sans solde"),0.333333333333333,IF(OR(AND(D265="Congé sans solde",F265&lt;&gt;"Congé sans solde"),(AND(F265="Congé sans solde",D265&lt;&gt;"Congé sans solde"))),0.166666666666667,""))</f>
        <v/>
      </c>
      <c r="AD265" s="8" t="str">
        <f aca="false">IF(AND(D265="Congé spécial",F265="Congé spécial"),0.333333333333333,IF(OR(AND(D265="Congé spécial",F265&lt;&gt;"Congé spécial"),AND(F265="Congé spécial",D265&lt;&gt;"Congé spécial")),0.166666666666667,""))</f>
        <v/>
      </c>
      <c r="AE265" s="8" t="str">
        <f aca="false">IF(AND(D265="Férié",F265="Férié"),0.333333333333333,IF(OR(AND(D265="Férié",F265&lt;&gt;"Férié"),(AND(F265="Férié",D265&lt;&gt;"Férié"))),0.166666666666667,""))</f>
        <v/>
      </c>
      <c r="AF265" s="18"/>
      <c r="AG265" s="18"/>
    </row>
    <row r="266" customFormat="false" ht="15" hidden="false" customHeight="false" outlineLevel="0" collapsed="false">
      <c r="A266" s="6" t="str">
        <f aca="false">YEAR(Q266-WEEKDAY(Q266,2)+4)&amp;"-S"&amp;TEXT(WEEKNUM(Q266,21),"00")</f>
        <v>2026-S05</v>
      </c>
      <c r="B266" s="18" t="s">
        <v>69</v>
      </c>
      <c r="C266" s="19" t="n">
        <v>0.333333333333333</v>
      </c>
      <c r="D266" s="19" t="n">
        <v>0.333333333333333</v>
      </c>
      <c r="E266" s="19" t="n">
        <v>0.75</v>
      </c>
      <c r="F266" s="19" t="n">
        <v>0.75</v>
      </c>
      <c r="G266" s="20"/>
      <c r="H266" s="20"/>
      <c r="I266" s="8" t="str">
        <f aca="false">IF(IF(OR(C266="",D266="Congé",D266="OFF",D266="Congé spécial"),"",IF(D266&gt;F266,D266-C266,IF(C266-D266&lt;0,0,C266-D266)))&lt;0.00068287037037037,"",IF(OR(D266="Congé",D266="OFF",C266="",D266="Congé spécial"),"",IF(D266&gt;F266,D266-C266,IF(C266-D266&lt;0,0,C266-D266))))</f>
        <v/>
      </c>
      <c r="J266" s="20"/>
      <c r="K266" s="8" t="n">
        <f aca="false">IF(SUM(H266:J266)&lt;0.00068287037037037,0,SUM(H266:J266))</f>
        <v>0</v>
      </c>
      <c r="L266" s="8" t="n">
        <f aca="false">IF(OR(F266="Congé",F266="OFF",M266="Abs",F266="Congé sans solde",F266="Férié",F266="Congé spécial",D266="Congé spécial"),0,IF(F266-E266&lt;0,0,IF(F266-E266&lt;=0.00068287037037037,0,F266-E266)))</f>
        <v>0</v>
      </c>
      <c r="M266" s="6" t="n">
        <f aca="false">IF(AND(O266&lt;&gt;0,C266=""),"Abs",0)</f>
        <v>0</v>
      </c>
      <c r="N266" s="8" t="n">
        <f aca="false">IFERROR(IF(OR(D266="OFF",D266="Congé",M266="Abs",D266="Congé sans solde",D266="Férié"),"",IF(O266-K266-L266&gt;O266,O266,IF(O266-K266-L266&lt;0,"",O266-K266-L266))),"")</f>
        <v>0.375</v>
      </c>
      <c r="O266" s="8" t="n">
        <f aca="false">IF(AG266="2H Pause déjeuner",IF(F266-D266-0.0833333333333333&lt;0,F266-D266-0.0833333333333333+1,F266-D266-0.0833333333333333),IF(OR(AND(F266="OFF",D266="OFF"),AND(F266="Congé",D266="Congé"),AND(F266="Congé sans solde",D266="Congé sans solde"),AND(F266="Congé spécial",D266="Congé spécial"),AND(F266="Férié",D266="Férié"),AND(F266="OFF",D266="Congé"),AND(F266="OFF",D266="Congé sans solde"),AND(F266="OFF",D266="Congé spécial"),AND(F266="OFF",D266="Férié"),AND(F266="Congé",D266="OFF"),AND(F266="Congé",D266="Congé sans solde"),AND(F266="Congé",D266="Congé spécial"),AND(F266="Congé",D266="Férié"),AND(F266="Congé sans solde",D266="OFF"),AND(F266="Congé sans solde",D266="Congé"),AND(F266="Congé sans solde",D266="Congé spécial"),AND(F266="Congé sans solde",D266="Férié"),AND(F266="Congé spécial",D266="OFF"),AND(F266="Congé spécial",D266="Congé"),AND(F266="Congé spécial",D266="Congé sans solde"),AND(F266="Congé spécial",D266="Férié"),AND(F266="Férié",D266="OFF"),AND(F266="Férié",D266="Congé"),AND(F266="Férié",D266="Congé sans solde"),AND(F266="Férié",D266="Congé spécial")),0,IF(OR(F266="OFF",F266="Congé",F266="Congé spécial",F266="Congé sans solde",D266="OFF",D266="Congé",D266="Congé spécial",D266="Congé sans solde"),0.208333333333334,IF(AND(AG266="",F266-D266&lt;0),("24:00:00"-D266)+("00:00:00"+F266)-0.0416666666666667,IF(AND(OR(AG266="Allaitement",AG266="Sans déjeuner"),F266-D266&lt;0),("24:00:00"-D266)+("00:00:00"+F266),IF(AND(AG266="",F266-D266&gt;0.166666666666667),F266-D266-0.0416666666666667,IF(AND(OR(AG266="Allaitement",AG266="Sans déjeuner"),F266-D266&gt;0.166666666666667),F266-D266,F266-D266)))))))</f>
        <v>0.375</v>
      </c>
      <c r="P266" s="6" t="str">
        <f aca="false">IFERROR(VLOOKUP($B266,Agents!$A:$D,2,0),"-")</f>
        <v>Accessibilité</v>
      </c>
      <c r="Q266" s="21" t="n">
        <v>46048</v>
      </c>
      <c r="R266" s="8" t="n">
        <f aca="false">IF(M266="Abs",O266,0)</f>
        <v>0</v>
      </c>
      <c r="S266" s="8" t="n">
        <f aca="false">SUM(R266,L266,I266,J266,W266,H266)</f>
        <v>0</v>
      </c>
      <c r="T266" s="6" t="str">
        <f aca="false">"Sem - "&amp;WEEKNUM(Q266,21)</f>
        <v>Sem - 5</v>
      </c>
      <c r="U266" s="6" t="str">
        <f aca="false">CHOOSE(MONTH(Q266),"Janvier","Février","Mars","Avril","Mai","Juin","Juillet","Août","Septembre","Octobre","Novembre","Décembre")</f>
        <v>Janvier</v>
      </c>
      <c r="V266" s="22" t="n">
        <f aca="false">YEAR(Q266)</f>
        <v>2026</v>
      </c>
      <c r="W266" s="20"/>
      <c r="X266" s="8" t="n">
        <f aca="false">IFERROR(IF(M266="Abs",0,IF(ROUND((D266-C266+E266-F266)*1440,0)&lt;=1,0,D266-C266+E266-F266)),0)</f>
        <v>0</v>
      </c>
      <c r="Y266" s="6" t="str">
        <f aca="false">IFERROR(VLOOKUP($B266,Agents!$A:$D,3,0),"-")</f>
        <v>OUBRAHIM Mohammed</v>
      </c>
      <c r="Z266" s="6" t="str">
        <f aca="false">IFERROR(VLOOKUP($B266,Agents!$A:$D,4,0),"-")</f>
        <v>Credit Mutuel</v>
      </c>
      <c r="AA266" s="18" t="s">
        <v>86</v>
      </c>
      <c r="AB266" s="8" t="str">
        <f aca="false">IF(AND(D266="Congé",F266="Congé"),0.333333333333333,IF(OR(AND(D266="Congé",F266&lt;&gt;"Congé"),(AND(F266="Congé",D266&lt;&gt;"Congé"))),0.166666666666667,""))</f>
        <v/>
      </c>
      <c r="AC266" s="8" t="str">
        <f aca="false">IF(AND(D266="Congé sans solde",F266="Congé sans solde"),0.333333333333333,IF(OR(AND(D266="Congé sans solde",F266&lt;&gt;"Congé sans solde"),(AND(F266="Congé sans solde",D266&lt;&gt;"Congé sans solde"))),0.166666666666667,""))</f>
        <v/>
      </c>
      <c r="AD266" s="8" t="str">
        <f aca="false">IF(AND(D266="Congé spécial",F266="Congé spécial"),0.333333333333333,IF(OR(AND(D266="Congé spécial",F266&lt;&gt;"Congé spécial"),AND(F266="Congé spécial",D266&lt;&gt;"Congé spécial")),0.166666666666667,""))</f>
        <v/>
      </c>
      <c r="AE266" s="8" t="str">
        <f aca="false">IF(AND(D266="Férié",F266="Férié"),0.333333333333333,IF(OR(AND(D266="Férié",F266&lt;&gt;"Férié"),(AND(F266="Férié",D266&lt;&gt;"Férié"))),0.166666666666667,""))</f>
        <v/>
      </c>
      <c r="AF266" s="18"/>
      <c r="AG266" s="18"/>
    </row>
    <row r="267" customFormat="false" ht="15" hidden="false" customHeight="false" outlineLevel="0" collapsed="false">
      <c r="A267" s="6" t="str">
        <f aca="false">YEAR(Q267-WEEKDAY(Q267,2)+4)&amp;"-S"&amp;TEXT(WEEKNUM(Q267,21),"00")</f>
        <v>2026-S05</v>
      </c>
      <c r="B267" s="18" t="s">
        <v>71</v>
      </c>
      <c r="C267" s="19" t="n">
        <v>0.333333333333333</v>
      </c>
      <c r="D267" s="19" t="n">
        <v>0.333333333333333</v>
      </c>
      <c r="E267" s="19" t="n">
        <v>0.75</v>
      </c>
      <c r="F267" s="19" t="n">
        <v>0.75</v>
      </c>
      <c r="G267" s="20"/>
      <c r="H267" s="20"/>
      <c r="I267" s="8" t="str">
        <f aca="false">IF(IF(OR(C267="",D267="Congé",D267="OFF",D267="Congé spécial"),"",IF(D267&gt;F267,D267-C267,IF(C267-D267&lt;0,0,C267-D267)))&lt;0.00068287037037037,"",IF(OR(D267="Congé",D267="OFF",C267="",D267="Congé spécial"),"",IF(D267&gt;F267,D267-C267,IF(C267-D267&lt;0,0,C267-D267))))</f>
        <v/>
      </c>
      <c r="J267" s="20"/>
      <c r="K267" s="8" t="n">
        <f aca="false">IF(SUM(H267:J267)&lt;0.00068287037037037,0,SUM(H267:J267))</f>
        <v>0</v>
      </c>
      <c r="L267" s="8" t="n">
        <f aca="false">IF(OR(F267="Congé",F267="OFF",M267="Abs",F267="Congé sans solde",F267="Férié",F267="Congé spécial",D267="Congé spécial"),0,IF(F267-E267&lt;0,0,IF(F267-E267&lt;=0.00068287037037037,0,F267-E267)))</f>
        <v>0</v>
      </c>
      <c r="M267" s="6" t="n">
        <f aca="false">IF(AND(O267&lt;&gt;0,C267=""),"Abs",0)</f>
        <v>0</v>
      </c>
      <c r="N267" s="8" t="n">
        <f aca="false">IFERROR(IF(OR(D267="OFF",D267="Congé",M267="Abs",D267="Congé sans solde",D267="Férié"),"",IF(O267-K267-L267&gt;O267,O267,IF(O267-K267-L267&lt;0,"",O267-K267-L267))),"")</f>
        <v>0.375</v>
      </c>
      <c r="O267" s="8" t="n">
        <f aca="false">IF(AG267="2H Pause déjeuner",IF(F267-D267-0.0833333333333333&lt;0,F267-D267-0.0833333333333333+1,F267-D267-0.0833333333333333),IF(OR(AND(F267="OFF",D267="OFF"),AND(F267="Congé",D267="Congé"),AND(F267="Congé sans solde",D267="Congé sans solde"),AND(F267="Congé spécial",D267="Congé spécial"),AND(F267="Férié",D267="Férié"),AND(F267="OFF",D267="Congé"),AND(F267="OFF",D267="Congé sans solde"),AND(F267="OFF",D267="Congé spécial"),AND(F267="OFF",D267="Férié"),AND(F267="Congé",D267="OFF"),AND(F267="Congé",D267="Congé sans solde"),AND(F267="Congé",D267="Congé spécial"),AND(F267="Congé",D267="Férié"),AND(F267="Congé sans solde",D267="OFF"),AND(F267="Congé sans solde",D267="Congé"),AND(F267="Congé sans solde",D267="Congé spécial"),AND(F267="Congé sans solde",D267="Férié"),AND(F267="Congé spécial",D267="OFF"),AND(F267="Congé spécial",D267="Congé"),AND(F267="Congé spécial",D267="Congé sans solde"),AND(F267="Congé spécial",D267="Férié"),AND(F267="Férié",D267="OFF"),AND(F267="Férié",D267="Congé"),AND(F267="Férié",D267="Congé sans solde"),AND(F267="Férié",D267="Congé spécial")),0,IF(OR(F267="OFF",F267="Congé",F267="Congé spécial",F267="Congé sans solde",D267="OFF",D267="Congé",D267="Congé spécial",D267="Congé sans solde"),0.208333333333334,IF(AND(AG267="",F267-D267&lt;0),("24:00:00"-D267)+("00:00:00"+F267)-0.0416666666666667,IF(AND(OR(AG267="Allaitement",AG267="Sans déjeuner"),F267-D267&lt;0),("24:00:00"-D267)+("00:00:00"+F267),IF(AND(AG267="",F267-D267&gt;0.166666666666667),F267-D267-0.0416666666666667,IF(AND(OR(AG267="Allaitement",AG267="Sans déjeuner"),F267-D267&gt;0.166666666666667),F267-D267,F267-D267)))))))</f>
        <v>0.375</v>
      </c>
      <c r="P267" s="6" t="str">
        <f aca="false">IFERROR(VLOOKUP($B267,Agents!$A:$D,2,0),"-")</f>
        <v>Accessibilité</v>
      </c>
      <c r="Q267" s="21" t="n">
        <v>46048</v>
      </c>
      <c r="R267" s="8" t="n">
        <f aca="false">IF(M267="Abs",O267,0)</f>
        <v>0</v>
      </c>
      <c r="S267" s="8" t="n">
        <f aca="false">SUM(R267,L267,I267,J267,W267,H267)</f>
        <v>0</v>
      </c>
      <c r="T267" s="6" t="str">
        <f aca="false">"Sem - "&amp;WEEKNUM(Q267,21)</f>
        <v>Sem - 5</v>
      </c>
      <c r="U267" s="6" t="str">
        <f aca="false">CHOOSE(MONTH(Q267),"Janvier","Février","Mars","Avril","Mai","Juin","Juillet","Août","Septembre","Octobre","Novembre","Décembre")</f>
        <v>Janvier</v>
      </c>
      <c r="V267" s="22" t="n">
        <f aca="false">YEAR(Q267)</f>
        <v>2026</v>
      </c>
      <c r="W267" s="20"/>
      <c r="X267" s="8" t="n">
        <f aca="false">IFERROR(IF(M267="Abs",0,IF(ROUND((D267-C267+E267-F267)*1440,0)&lt;=1,0,D267-C267+E267-F267)),0)</f>
        <v>0</v>
      </c>
      <c r="Y267" s="6" t="str">
        <f aca="false">IFERROR(VLOOKUP($B267,Agents!$A:$D,3,0),"-")</f>
        <v>OUBRAHIM Mohammed</v>
      </c>
      <c r="Z267" s="6" t="str">
        <f aca="false">IFERROR(VLOOKUP($B267,Agents!$A:$D,4,0),"-")</f>
        <v>Credit Mutuel</v>
      </c>
      <c r="AA267" s="18" t="s">
        <v>86</v>
      </c>
      <c r="AB267" s="8" t="str">
        <f aca="false">IF(AND(D267="Congé",F267="Congé"),0.333333333333333,IF(OR(AND(D267="Congé",F267&lt;&gt;"Congé"),(AND(F267="Congé",D267&lt;&gt;"Congé"))),0.166666666666667,""))</f>
        <v/>
      </c>
      <c r="AC267" s="8" t="str">
        <f aca="false">IF(AND(D267="Congé sans solde",F267="Congé sans solde"),0.333333333333333,IF(OR(AND(D267="Congé sans solde",F267&lt;&gt;"Congé sans solde"),(AND(F267="Congé sans solde",D267&lt;&gt;"Congé sans solde"))),0.166666666666667,""))</f>
        <v/>
      </c>
      <c r="AD267" s="8" t="str">
        <f aca="false">IF(AND(D267="Congé spécial",F267="Congé spécial"),0.333333333333333,IF(OR(AND(D267="Congé spécial",F267&lt;&gt;"Congé spécial"),AND(F267="Congé spécial",D267&lt;&gt;"Congé spécial")),0.166666666666667,""))</f>
        <v/>
      </c>
      <c r="AE267" s="8" t="str">
        <f aca="false">IF(AND(D267="Férié",F267="Férié"),0.333333333333333,IF(OR(AND(D267="Férié",F267&lt;&gt;"Férié"),(AND(F267="Férié",D267&lt;&gt;"Férié"))),0.166666666666667,""))</f>
        <v/>
      </c>
      <c r="AF267" s="18"/>
      <c r="AG267" s="18"/>
    </row>
    <row r="268" customFormat="false" ht="15" hidden="false" customHeight="false" outlineLevel="0" collapsed="false">
      <c r="A268" s="6" t="str">
        <f aca="false">YEAR(Q268-WEEKDAY(Q268,2)+4)&amp;"-S"&amp;TEXT(WEEKNUM(Q268,21),"00")</f>
        <v>2026-S05</v>
      </c>
      <c r="B268" s="18" t="s">
        <v>72</v>
      </c>
      <c r="C268" s="19"/>
      <c r="D268" s="19" t="s">
        <v>83</v>
      </c>
      <c r="E268" s="19"/>
      <c r="F268" s="19" t="s">
        <v>83</v>
      </c>
      <c r="G268" s="20"/>
      <c r="H268" s="20"/>
      <c r="I268" s="8" t="str">
        <f aca="false">IF(IF(OR(C268="",D268="Congé",D268="OFF",D268="Congé spécial"),"",IF(D268&gt;F268,D268-C268,IF(C268-D268&lt;0,0,C268-D268)))&lt;0.00068287037037037,"",IF(OR(D268="Congé",D268="OFF",C268="",D268="Congé spécial"),"",IF(D268&gt;F268,D268-C268,IF(C268-D268&lt;0,0,C268-D268))))</f>
        <v/>
      </c>
      <c r="J268" s="20"/>
      <c r="K268" s="8" t="n">
        <f aca="false">IF(SUM(H268:J268)&lt;0.00068287037037037,0,SUM(H268:J268))</f>
        <v>0</v>
      </c>
      <c r="L268" s="8" t="n">
        <f aca="false">IF(OR(F268="Congé",F268="OFF",M268="Abs",F268="Congé sans solde",F268="Férié",F268="Congé spécial",D268="Congé spécial"),0,IF(F268-E268&lt;0,0,IF(F268-E268&lt;=0.00068287037037037,0,F268-E268)))</f>
        <v>0</v>
      </c>
      <c r="M268" s="6" t="n">
        <f aca="false">IF(AND(O268&lt;&gt;0,C268=""),"Abs",0)</f>
        <v>0</v>
      </c>
      <c r="N268" s="8" t="str">
        <f aca="false">IFERROR(IF(OR(D268="OFF",D268="Congé",M268="Abs",D268="Congé sans solde",D268="Férié"),"",IF(O268-K268-L268&gt;O268,O268,IF(O268-K268-L268&lt;0,"",O268-K268-L268))),"")</f>
        <v/>
      </c>
      <c r="O268" s="8" t="n">
        <f aca="false">IF(AG268="2H Pause déjeuner",IF(F268-D268-0.0833333333333333&lt;0,F268-D268-0.0833333333333333+1,F268-D268-0.0833333333333333),IF(OR(AND(F268="OFF",D268="OFF"),AND(F268="Congé",D268="Congé"),AND(F268="Congé sans solde",D268="Congé sans solde"),AND(F268="Congé spécial",D268="Congé spécial"),AND(F268="Férié",D268="Férié"),AND(F268="OFF",D268="Congé"),AND(F268="OFF",D268="Congé sans solde"),AND(F268="OFF",D268="Congé spécial"),AND(F268="OFF",D268="Férié"),AND(F268="Congé",D268="OFF"),AND(F268="Congé",D268="Congé sans solde"),AND(F268="Congé",D268="Congé spécial"),AND(F268="Congé",D268="Férié"),AND(F268="Congé sans solde",D268="OFF"),AND(F268="Congé sans solde",D268="Congé"),AND(F268="Congé sans solde",D268="Congé spécial"),AND(F268="Congé sans solde",D268="Férié"),AND(F268="Congé spécial",D268="OFF"),AND(F268="Congé spécial",D268="Congé"),AND(F268="Congé spécial",D268="Congé sans solde"),AND(F268="Congé spécial",D268="Férié"),AND(F268="Férié",D268="OFF"),AND(F268="Férié",D268="Congé"),AND(F268="Férié",D268="Congé sans solde"),AND(F268="Férié",D268="Congé spécial")),0,IF(OR(F268="OFF",F268="Congé",F268="Congé spécial",F268="Congé sans solde",D268="OFF",D268="Congé",D268="Congé spécial",D268="Congé sans solde"),0.208333333333334,IF(AND(AG268="",F268-D268&lt;0),("24:00:00"-D268)+("00:00:00"+F268)-0.0416666666666667,IF(AND(OR(AG268="Allaitement",AG268="Sans déjeuner"),F268-D268&lt;0),("24:00:00"-D268)+("00:00:00"+F268),IF(AND(AG268="",F268-D268&gt;0.166666666666667),F268-D268-0.0416666666666667,IF(AND(OR(AG268="Allaitement",AG268="Sans déjeuner"),F268-D268&gt;0.166666666666667),F268-D268,F268-D268)))))))</f>
        <v>0</v>
      </c>
      <c r="P268" s="6" t="str">
        <f aca="false">IFERROR(VLOOKUP($B268,Agents!$A:$D,2,0),"-")</f>
        <v>Accessibilité</v>
      </c>
      <c r="Q268" s="21" t="n">
        <v>46048</v>
      </c>
      <c r="R268" s="8" t="n">
        <f aca="false">IF(M268="Abs",O268,0)</f>
        <v>0</v>
      </c>
      <c r="S268" s="8" t="n">
        <f aca="false">SUM(R268,L268,I268,J268,W268,H268)</f>
        <v>0</v>
      </c>
      <c r="T268" s="6" t="str">
        <f aca="false">"Sem - "&amp;WEEKNUM(Q268,21)</f>
        <v>Sem - 5</v>
      </c>
      <c r="U268" s="6" t="str">
        <f aca="false">CHOOSE(MONTH(Q268),"Janvier","Février","Mars","Avril","Mai","Juin","Juillet","Août","Septembre","Octobre","Novembre","Décembre")</f>
        <v>Janvier</v>
      </c>
      <c r="V268" s="22" t="n">
        <f aca="false">YEAR(Q268)</f>
        <v>2026</v>
      </c>
      <c r="W268" s="20"/>
      <c r="X268" s="8" t="n">
        <f aca="false">IFERROR(IF(M268="Abs",0,IF(ROUND((D268-C268+E268-F268)*1440,0)&lt;=1,0,D268-C268+E268-F268)),0)</f>
        <v>0</v>
      </c>
      <c r="Y268" s="6" t="str">
        <f aca="false">IFERROR(VLOOKUP($B268,Agents!$A:$D,3,0),"-")</f>
        <v>OUBRAHIM Mohammed</v>
      </c>
      <c r="Z268" s="6" t="str">
        <f aca="false">IFERROR(VLOOKUP($B268,Agents!$A:$D,4,0),"-")</f>
        <v>Credit Mutuel</v>
      </c>
      <c r="AA268" s="18" t="s">
        <v>86</v>
      </c>
      <c r="AB268" s="8" t="n">
        <f aca="false">IF(AND(D268="Congé",F268="Congé"),0.333333333333333,IF(OR(AND(D268="Congé",F268&lt;&gt;"Congé"),(AND(F268="Congé",D268&lt;&gt;"Congé"))),0.166666666666667,""))</f>
        <v>0.333333333333333</v>
      </c>
      <c r="AC268" s="8" t="str">
        <f aca="false">IF(AND(D268="Congé sans solde",F268="Congé sans solde"),0.333333333333333,IF(OR(AND(D268="Congé sans solde",F268&lt;&gt;"Congé sans solde"),(AND(F268="Congé sans solde",D268&lt;&gt;"Congé sans solde"))),0.166666666666667,""))</f>
        <v/>
      </c>
      <c r="AD268" s="8" t="str">
        <f aca="false">IF(AND(D268="Congé spécial",F268="Congé spécial"),0.333333333333333,IF(OR(AND(D268="Congé spécial",F268&lt;&gt;"Congé spécial"),AND(F268="Congé spécial",D268&lt;&gt;"Congé spécial")),0.166666666666667,""))</f>
        <v/>
      </c>
      <c r="AE268" s="8" t="str">
        <f aca="false">IF(AND(D268="Férié",F268="Férié"),0.333333333333333,IF(OR(AND(D268="Férié",F268&lt;&gt;"Férié"),(AND(F268="Férié",D268&lt;&gt;"Férié"))),0.166666666666667,""))</f>
        <v/>
      </c>
      <c r="AF268" s="18"/>
      <c r="AG268" s="18"/>
    </row>
    <row r="269" customFormat="false" ht="15" hidden="false" customHeight="false" outlineLevel="0" collapsed="false">
      <c r="A269" s="6" t="str">
        <f aca="false">YEAR(Q269-WEEKDAY(Q269,2)+4)&amp;"-S"&amp;TEXT(WEEKNUM(Q269,21),"00")</f>
        <v>2026-S05</v>
      </c>
      <c r="B269" s="18" t="s">
        <v>73</v>
      </c>
      <c r="C269" s="19" t="n">
        <v>0.333333333333333</v>
      </c>
      <c r="D269" s="19" t="n">
        <v>0.333333333333333</v>
      </c>
      <c r="E269" s="19" t="n">
        <v>0.75</v>
      </c>
      <c r="F269" s="19" t="n">
        <v>0.75</v>
      </c>
      <c r="G269" s="20"/>
      <c r="H269" s="20"/>
      <c r="I269" s="8" t="str">
        <f aca="false">IF(IF(OR(C269="",D269="Congé",D269="OFF",D269="Congé spécial"),"",IF(D269&gt;F269,D269-C269,IF(C269-D269&lt;0,0,C269-D269)))&lt;0.00068287037037037,"",IF(OR(D269="Congé",D269="OFF",C269="",D269="Congé spécial"),"",IF(D269&gt;F269,D269-C269,IF(C269-D269&lt;0,0,C269-D269))))</f>
        <v/>
      </c>
      <c r="J269" s="20"/>
      <c r="K269" s="8" t="n">
        <f aca="false">IF(SUM(H269:J269)&lt;0.00068287037037037,0,SUM(H269:J269))</f>
        <v>0</v>
      </c>
      <c r="L269" s="8" t="n">
        <f aca="false">IF(OR(F269="Congé",F269="OFF",M269="Abs",F269="Congé sans solde",F269="Férié",F269="Congé spécial",D269="Congé spécial"),0,IF(F269-E269&lt;0,0,IF(F269-E269&lt;=0.00068287037037037,0,F269-E269)))</f>
        <v>0</v>
      </c>
      <c r="M269" s="6" t="n">
        <f aca="false">IF(AND(O269&lt;&gt;0,C269=""),"Abs",0)</f>
        <v>0</v>
      </c>
      <c r="N269" s="8" t="n">
        <f aca="false">IFERROR(IF(OR(D269="OFF",D269="Congé",M269="Abs",D269="Congé sans solde",D269="Férié"),"",IF(O269-K269-L269&gt;O269,O269,IF(O269-K269-L269&lt;0,"",O269-K269-L269))),"")</f>
        <v>0.375</v>
      </c>
      <c r="O269" s="8" t="n">
        <f aca="false">IF(AG269="2H Pause déjeuner",IF(F269-D269-0.0833333333333333&lt;0,F269-D269-0.0833333333333333+1,F269-D269-0.0833333333333333),IF(OR(AND(F269="OFF",D269="OFF"),AND(F269="Congé",D269="Congé"),AND(F269="Congé sans solde",D269="Congé sans solde"),AND(F269="Congé spécial",D269="Congé spécial"),AND(F269="Férié",D269="Férié"),AND(F269="OFF",D269="Congé"),AND(F269="OFF",D269="Congé sans solde"),AND(F269="OFF",D269="Congé spécial"),AND(F269="OFF",D269="Férié"),AND(F269="Congé",D269="OFF"),AND(F269="Congé",D269="Congé sans solde"),AND(F269="Congé",D269="Congé spécial"),AND(F269="Congé",D269="Férié"),AND(F269="Congé sans solde",D269="OFF"),AND(F269="Congé sans solde",D269="Congé"),AND(F269="Congé sans solde",D269="Congé spécial"),AND(F269="Congé sans solde",D269="Férié"),AND(F269="Congé spécial",D269="OFF"),AND(F269="Congé spécial",D269="Congé"),AND(F269="Congé spécial",D269="Congé sans solde"),AND(F269="Congé spécial",D269="Férié"),AND(F269="Férié",D269="OFF"),AND(F269="Férié",D269="Congé"),AND(F269="Férié",D269="Congé sans solde"),AND(F269="Férié",D269="Congé spécial")),0,IF(OR(F269="OFF",F269="Congé",F269="Congé spécial",F269="Congé sans solde",D269="OFF",D269="Congé",D269="Congé spécial",D269="Congé sans solde"),0.208333333333334,IF(AND(AG269="",F269-D269&lt;0),("24:00:00"-D269)+("00:00:00"+F269)-0.0416666666666667,IF(AND(OR(AG269="Allaitement",AG269="Sans déjeuner"),F269-D269&lt;0),("24:00:00"-D269)+("00:00:00"+F269),IF(AND(AG269="",F269-D269&gt;0.166666666666667),F269-D269-0.0416666666666667,IF(AND(OR(AG269="Allaitement",AG269="Sans déjeuner"),F269-D269&gt;0.166666666666667),F269-D269,F269-D269)))))))</f>
        <v>0.375</v>
      </c>
      <c r="P269" s="6" t="str">
        <f aca="false">IFERROR(VLOOKUP($B269,Agents!$A:$D,2,0),"-")</f>
        <v>Accessibilité</v>
      </c>
      <c r="Q269" s="21" t="n">
        <v>46048</v>
      </c>
      <c r="R269" s="8" t="n">
        <f aca="false">IF(M269="Abs",O269,0)</f>
        <v>0</v>
      </c>
      <c r="S269" s="8" t="n">
        <f aca="false">SUM(R269,L269,I269,J269,W269,H269)</f>
        <v>0</v>
      </c>
      <c r="T269" s="6" t="str">
        <f aca="false">"Sem - "&amp;WEEKNUM(Q269,21)</f>
        <v>Sem - 5</v>
      </c>
      <c r="U269" s="6" t="str">
        <f aca="false">CHOOSE(MONTH(Q269),"Janvier","Février","Mars","Avril","Mai","Juin","Juillet","Août","Septembre","Octobre","Novembre","Décembre")</f>
        <v>Janvier</v>
      </c>
      <c r="V269" s="22" t="n">
        <f aca="false">YEAR(Q269)</f>
        <v>2026</v>
      </c>
      <c r="W269" s="20"/>
      <c r="X269" s="8" t="n">
        <f aca="false">IFERROR(IF(M269="Abs",0,IF(ROUND((D269-C269+E269-F269)*1440,0)&lt;=1,0,D269-C269+E269-F269)),0)</f>
        <v>0</v>
      </c>
      <c r="Y269" s="6" t="str">
        <f aca="false">IFERROR(VLOOKUP($B269,Agents!$A:$D,3,0),"-")</f>
        <v>OUBRAHIM Mohammed</v>
      </c>
      <c r="Z269" s="6" t="str">
        <f aca="false">IFERROR(VLOOKUP($B269,Agents!$A:$D,4,0),"-")</f>
        <v>Credit Mutuel</v>
      </c>
      <c r="AA269" s="18" t="s">
        <v>86</v>
      </c>
      <c r="AB269" s="8" t="str">
        <f aca="false">IF(AND(D269="Congé",F269="Congé"),0.333333333333333,IF(OR(AND(D269="Congé",F269&lt;&gt;"Congé"),(AND(F269="Congé",D269&lt;&gt;"Congé"))),0.166666666666667,""))</f>
        <v/>
      </c>
      <c r="AC269" s="8" t="str">
        <f aca="false">IF(AND(D269="Congé sans solde",F269="Congé sans solde"),0.333333333333333,IF(OR(AND(D269="Congé sans solde",F269&lt;&gt;"Congé sans solde"),(AND(F269="Congé sans solde",D269&lt;&gt;"Congé sans solde"))),0.166666666666667,""))</f>
        <v/>
      </c>
      <c r="AD269" s="8" t="str">
        <f aca="false">IF(AND(D269="Congé spécial",F269="Congé spécial"),0.333333333333333,IF(OR(AND(D269="Congé spécial",F269&lt;&gt;"Congé spécial"),AND(F269="Congé spécial",D269&lt;&gt;"Congé spécial")),0.166666666666667,""))</f>
        <v/>
      </c>
      <c r="AE269" s="8" t="str">
        <f aca="false">IF(AND(D269="Férié",F269="Férié"),0.333333333333333,IF(OR(AND(D269="Férié",F269&lt;&gt;"Férié"),(AND(F269="Férié",D269&lt;&gt;"Férié"))),0.166666666666667,""))</f>
        <v/>
      </c>
      <c r="AF269" s="18"/>
      <c r="AG269" s="18"/>
    </row>
    <row r="270" customFormat="false" ht="15" hidden="false" customHeight="false" outlineLevel="0" collapsed="false">
      <c r="A270" s="6" t="str">
        <f aca="false">YEAR(Q270-WEEKDAY(Q270,2)+4)&amp;"-S"&amp;TEXT(WEEKNUM(Q270,21),"00")</f>
        <v>2026-S05</v>
      </c>
      <c r="B270" s="18" t="s">
        <v>69</v>
      </c>
      <c r="C270" s="19" t="n">
        <v>0.332638888888889</v>
      </c>
      <c r="D270" s="19" t="n">
        <v>0.333333333333333</v>
      </c>
      <c r="E270" s="19" t="n">
        <v>0.75</v>
      </c>
      <c r="F270" s="19" t="n">
        <v>0.75</v>
      </c>
      <c r="G270" s="20"/>
      <c r="H270" s="20"/>
      <c r="I270" s="8" t="str">
        <f aca="false">IF(IF(OR(C270="",D270="Congé",D270="OFF",D270="Congé spécial"),"",IF(D270&gt;F270,D270-C270,IF(C270-D270&lt;0,0,C270-D270)))&lt;0.00068287037037037,"",IF(OR(D270="Congé",D270="OFF",C270="",D270="Congé spécial"),"",IF(D270&gt;F270,D270-C270,IF(C270-D270&lt;0,0,C270-D270))))</f>
        <v/>
      </c>
      <c r="J270" s="20"/>
      <c r="K270" s="8" t="n">
        <f aca="false">IF(SUM(H270:J270)&lt;0.00068287037037037,0,SUM(H270:J270))</f>
        <v>0</v>
      </c>
      <c r="L270" s="8" t="n">
        <f aca="false">IF(OR(F270="Congé",F270="OFF",M270="Abs",F270="Congé sans solde",F270="Férié",F270="Congé spécial",D270="Congé spécial"),0,IF(F270-E270&lt;0,0,IF(F270-E270&lt;=0.00068287037037037,0,F270-E270)))</f>
        <v>0</v>
      </c>
      <c r="M270" s="6" t="n">
        <f aca="false">IF(AND(O270&lt;&gt;0,C270=""),"Abs",0)</f>
        <v>0</v>
      </c>
      <c r="N270" s="8" t="n">
        <f aca="false">IFERROR(IF(OR(D270="OFF",D270="Congé",M270="Abs",D270="Congé sans solde",D270="Férié"),"",IF(O270-K270-L270&gt;O270,O270,IF(O270-K270-L270&lt;0,"",O270-K270-L270))),"")</f>
        <v>0.375</v>
      </c>
      <c r="O270" s="8" t="n">
        <f aca="false">IF(AG270="2H Pause déjeuner",IF(F270-D270-0.0833333333333333&lt;0,F270-D270-0.0833333333333333+1,F270-D270-0.0833333333333333),IF(OR(AND(F270="OFF",D270="OFF"),AND(F270="Congé",D270="Congé"),AND(F270="Congé sans solde",D270="Congé sans solde"),AND(F270="Congé spécial",D270="Congé spécial"),AND(F270="Férié",D270="Férié"),AND(F270="OFF",D270="Congé"),AND(F270="OFF",D270="Congé sans solde"),AND(F270="OFF",D270="Congé spécial"),AND(F270="OFF",D270="Férié"),AND(F270="Congé",D270="OFF"),AND(F270="Congé",D270="Congé sans solde"),AND(F270="Congé",D270="Congé spécial"),AND(F270="Congé",D270="Férié"),AND(F270="Congé sans solde",D270="OFF"),AND(F270="Congé sans solde",D270="Congé"),AND(F270="Congé sans solde",D270="Congé spécial"),AND(F270="Congé sans solde",D270="Férié"),AND(F270="Congé spécial",D270="OFF"),AND(F270="Congé spécial",D270="Congé"),AND(F270="Congé spécial",D270="Congé sans solde"),AND(F270="Congé spécial",D270="Férié"),AND(F270="Férié",D270="OFF"),AND(F270="Férié",D270="Congé"),AND(F270="Férié",D270="Congé sans solde"),AND(F270="Férié",D270="Congé spécial")),0,IF(OR(F270="OFF",F270="Congé",F270="Congé spécial",F270="Congé sans solde",D270="OFF",D270="Congé",D270="Congé spécial",D270="Congé sans solde"),0.208333333333334,IF(AND(AG270="",F270-D270&lt;0),("24:00:00"-D270)+("00:00:00"+F270)-0.0416666666666667,IF(AND(OR(AG270="Allaitement",AG270="Sans déjeuner"),F270-D270&lt;0),("24:00:00"-D270)+("00:00:00"+F270),IF(AND(AG270="",F270-D270&gt;0.166666666666667),F270-D270-0.0416666666666667,IF(AND(OR(AG270="Allaitement",AG270="Sans déjeuner"),F270-D270&gt;0.166666666666667),F270-D270,F270-D270)))))))</f>
        <v>0.375</v>
      </c>
      <c r="P270" s="6" t="str">
        <f aca="false">IFERROR(VLOOKUP($B270,Agents!$A:$D,2,0),"-")</f>
        <v>Accessibilité</v>
      </c>
      <c r="Q270" s="21" t="n">
        <v>46049</v>
      </c>
      <c r="R270" s="8" t="n">
        <f aca="false">IF(M270="Abs",O270,0)</f>
        <v>0</v>
      </c>
      <c r="S270" s="8" t="n">
        <f aca="false">SUM(R270,L270,I270,J270,W270,H270)</f>
        <v>0</v>
      </c>
      <c r="T270" s="6" t="str">
        <f aca="false">"Sem - "&amp;WEEKNUM(Q270,21)</f>
        <v>Sem - 5</v>
      </c>
      <c r="U270" s="6" t="str">
        <f aca="false">CHOOSE(MONTH(Q270),"Janvier","Février","Mars","Avril","Mai","Juin","Juillet","Août","Septembre","Octobre","Novembre","Décembre")</f>
        <v>Janvier</v>
      </c>
      <c r="V270" s="22" t="n">
        <f aca="false">YEAR(Q270)</f>
        <v>2026</v>
      </c>
      <c r="W270" s="20"/>
      <c r="X270" s="8" t="n">
        <f aca="false">IFERROR(IF(M270="Abs",0,IF(ROUND((D270-C270+E270-F270)*1440,0)&lt;=1,0,D270-C270+E270-F270)),0)</f>
        <v>0</v>
      </c>
      <c r="Y270" s="6" t="str">
        <f aca="false">IFERROR(VLOOKUP($B270,Agents!$A:$D,3,0),"-")</f>
        <v>OUBRAHIM Mohammed</v>
      </c>
      <c r="Z270" s="6" t="str">
        <f aca="false">IFERROR(VLOOKUP($B270,Agents!$A:$D,4,0),"-")</f>
        <v>Credit Mutuel</v>
      </c>
      <c r="AA270" s="18" t="s">
        <v>86</v>
      </c>
      <c r="AB270" s="8" t="str">
        <f aca="false">IF(AND(D270="Congé",F270="Congé"),0.333333333333333,IF(OR(AND(D270="Congé",F270&lt;&gt;"Congé"),(AND(F270="Congé",D270&lt;&gt;"Congé"))),0.166666666666667,""))</f>
        <v/>
      </c>
      <c r="AC270" s="8" t="str">
        <f aca="false">IF(AND(D270="Congé sans solde",F270="Congé sans solde"),0.333333333333333,IF(OR(AND(D270="Congé sans solde",F270&lt;&gt;"Congé sans solde"),(AND(F270="Congé sans solde",D270&lt;&gt;"Congé sans solde"))),0.166666666666667,""))</f>
        <v/>
      </c>
      <c r="AD270" s="8" t="str">
        <f aca="false">IF(AND(D270="Congé spécial",F270="Congé spécial"),0.333333333333333,IF(OR(AND(D270="Congé spécial",F270&lt;&gt;"Congé spécial"),AND(F270="Congé spécial",D270&lt;&gt;"Congé spécial")),0.166666666666667,""))</f>
        <v/>
      </c>
      <c r="AE270" s="8" t="str">
        <f aca="false">IF(AND(D270="Férié",F270="Férié"),0.333333333333333,IF(OR(AND(D270="Férié",F270&lt;&gt;"Férié"),(AND(F270="Férié",D270&lt;&gt;"Férié"))),0.166666666666667,""))</f>
        <v/>
      </c>
      <c r="AF270" s="18"/>
      <c r="AG270" s="18"/>
    </row>
    <row r="271" customFormat="false" ht="15" hidden="false" customHeight="false" outlineLevel="0" collapsed="false">
      <c r="A271" s="6" t="str">
        <f aca="false">YEAR(Q271-WEEKDAY(Q271,2)+4)&amp;"-S"&amp;TEXT(WEEKNUM(Q271,21),"00")</f>
        <v>2026-S05</v>
      </c>
      <c r="B271" s="18" t="s">
        <v>71</v>
      </c>
      <c r="C271" s="19" t="n">
        <v>0.332638888888889</v>
      </c>
      <c r="D271" s="19" t="n">
        <v>0.333333333333333</v>
      </c>
      <c r="E271" s="19" t="n">
        <v>0.75</v>
      </c>
      <c r="F271" s="19" t="n">
        <v>0.75</v>
      </c>
      <c r="G271" s="20"/>
      <c r="H271" s="20"/>
      <c r="I271" s="8" t="str">
        <f aca="false">IF(IF(OR(C271="",D271="Congé",D271="OFF",D271="Congé spécial"),"",IF(D271&gt;F271,D271-C271,IF(C271-D271&lt;0,0,C271-D271)))&lt;0.00068287037037037,"",IF(OR(D271="Congé",D271="OFF",C271="",D271="Congé spécial"),"",IF(D271&gt;F271,D271-C271,IF(C271-D271&lt;0,0,C271-D271))))</f>
        <v/>
      </c>
      <c r="J271" s="20"/>
      <c r="K271" s="8" t="n">
        <f aca="false">IF(SUM(H271:J271)&lt;0.00068287037037037,0,SUM(H271:J271))</f>
        <v>0</v>
      </c>
      <c r="L271" s="8" t="n">
        <f aca="false">IF(OR(F271="Congé",F271="OFF",M271="Abs",F271="Congé sans solde",F271="Férié",F271="Congé spécial",D271="Congé spécial"),0,IF(F271-E271&lt;0,0,IF(F271-E271&lt;=0.00068287037037037,0,F271-E271)))</f>
        <v>0</v>
      </c>
      <c r="M271" s="6" t="n">
        <f aca="false">IF(AND(O271&lt;&gt;0,C271=""),"Abs",0)</f>
        <v>0</v>
      </c>
      <c r="N271" s="8" t="n">
        <f aca="false">IFERROR(IF(OR(D271="OFF",D271="Congé",M271="Abs",D271="Congé sans solde",D271="Férié"),"",IF(O271-K271-L271&gt;O271,O271,IF(O271-K271-L271&lt;0,"",O271-K271-L271))),"")</f>
        <v>0.375</v>
      </c>
      <c r="O271" s="8" t="n">
        <f aca="false">IF(AG271="2H Pause déjeuner",IF(F271-D271-0.0833333333333333&lt;0,F271-D271-0.0833333333333333+1,F271-D271-0.0833333333333333),IF(OR(AND(F271="OFF",D271="OFF"),AND(F271="Congé",D271="Congé"),AND(F271="Congé sans solde",D271="Congé sans solde"),AND(F271="Congé spécial",D271="Congé spécial"),AND(F271="Férié",D271="Férié"),AND(F271="OFF",D271="Congé"),AND(F271="OFF",D271="Congé sans solde"),AND(F271="OFF",D271="Congé spécial"),AND(F271="OFF",D271="Férié"),AND(F271="Congé",D271="OFF"),AND(F271="Congé",D271="Congé sans solde"),AND(F271="Congé",D271="Congé spécial"),AND(F271="Congé",D271="Férié"),AND(F271="Congé sans solde",D271="OFF"),AND(F271="Congé sans solde",D271="Congé"),AND(F271="Congé sans solde",D271="Congé spécial"),AND(F271="Congé sans solde",D271="Férié"),AND(F271="Congé spécial",D271="OFF"),AND(F271="Congé spécial",D271="Congé"),AND(F271="Congé spécial",D271="Congé sans solde"),AND(F271="Congé spécial",D271="Férié"),AND(F271="Férié",D271="OFF"),AND(F271="Férié",D271="Congé"),AND(F271="Férié",D271="Congé sans solde"),AND(F271="Férié",D271="Congé spécial")),0,IF(OR(F271="OFF",F271="Congé",F271="Congé spécial",F271="Congé sans solde",D271="OFF",D271="Congé",D271="Congé spécial",D271="Congé sans solde"),0.208333333333334,IF(AND(AG271="",F271-D271&lt;0),("24:00:00"-D271)+("00:00:00"+F271)-0.0416666666666667,IF(AND(OR(AG271="Allaitement",AG271="Sans déjeuner"),F271-D271&lt;0),("24:00:00"-D271)+("00:00:00"+F271),IF(AND(AG271="",F271-D271&gt;0.166666666666667),F271-D271-0.0416666666666667,IF(AND(OR(AG271="Allaitement",AG271="Sans déjeuner"),F271-D271&gt;0.166666666666667),F271-D271,F271-D271)))))))</f>
        <v>0.375</v>
      </c>
      <c r="P271" s="6" t="str">
        <f aca="false">IFERROR(VLOOKUP($B271,Agents!$A:$D,2,0),"-")</f>
        <v>Accessibilité</v>
      </c>
      <c r="Q271" s="21" t="n">
        <v>46049</v>
      </c>
      <c r="R271" s="8" t="n">
        <f aca="false">IF(M271="Abs",O271,0)</f>
        <v>0</v>
      </c>
      <c r="S271" s="8" t="n">
        <f aca="false">SUM(R271,L271,I271,J271,W271,H271)</f>
        <v>0</v>
      </c>
      <c r="T271" s="6" t="str">
        <f aca="false">"Sem - "&amp;WEEKNUM(Q271,21)</f>
        <v>Sem - 5</v>
      </c>
      <c r="U271" s="6" t="str">
        <f aca="false">CHOOSE(MONTH(Q271),"Janvier","Février","Mars","Avril","Mai","Juin","Juillet","Août","Septembre","Octobre","Novembre","Décembre")</f>
        <v>Janvier</v>
      </c>
      <c r="V271" s="22" t="n">
        <f aca="false">YEAR(Q271)</f>
        <v>2026</v>
      </c>
      <c r="W271" s="20"/>
      <c r="X271" s="8" t="n">
        <f aca="false">IFERROR(IF(M271="Abs",0,IF(ROUND((D271-C271+E271-F271)*1440,0)&lt;=1,0,D271-C271+E271-F271)),0)</f>
        <v>0</v>
      </c>
      <c r="Y271" s="6" t="str">
        <f aca="false">IFERROR(VLOOKUP($B271,Agents!$A:$D,3,0),"-")</f>
        <v>OUBRAHIM Mohammed</v>
      </c>
      <c r="Z271" s="6" t="str">
        <f aca="false">IFERROR(VLOOKUP($B271,Agents!$A:$D,4,0),"-")</f>
        <v>Credit Mutuel</v>
      </c>
      <c r="AA271" s="18" t="s">
        <v>86</v>
      </c>
      <c r="AB271" s="8" t="str">
        <f aca="false">IF(AND(D271="Congé",F271="Congé"),0.333333333333333,IF(OR(AND(D271="Congé",F271&lt;&gt;"Congé"),(AND(F271="Congé",D271&lt;&gt;"Congé"))),0.166666666666667,""))</f>
        <v/>
      </c>
      <c r="AC271" s="8" t="str">
        <f aca="false">IF(AND(D271="Congé sans solde",F271="Congé sans solde"),0.333333333333333,IF(OR(AND(D271="Congé sans solde",F271&lt;&gt;"Congé sans solde"),(AND(F271="Congé sans solde",D271&lt;&gt;"Congé sans solde"))),0.166666666666667,""))</f>
        <v/>
      </c>
      <c r="AD271" s="8" t="str">
        <f aca="false">IF(AND(D271="Congé spécial",F271="Congé spécial"),0.333333333333333,IF(OR(AND(D271="Congé spécial",F271&lt;&gt;"Congé spécial"),AND(F271="Congé spécial",D271&lt;&gt;"Congé spécial")),0.166666666666667,""))</f>
        <v/>
      </c>
      <c r="AE271" s="8" t="str">
        <f aca="false">IF(AND(D271="Férié",F271="Férié"),0.333333333333333,IF(OR(AND(D271="Férié",F271&lt;&gt;"Férié"),(AND(F271="Férié",D271&lt;&gt;"Férié"))),0.166666666666667,""))</f>
        <v/>
      </c>
      <c r="AF271" s="18"/>
      <c r="AG271" s="18"/>
    </row>
    <row r="272" customFormat="false" ht="15" hidden="false" customHeight="false" outlineLevel="0" collapsed="false">
      <c r="A272" s="6" t="str">
        <f aca="false">YEAR(Q272-WEEKDAY(Q272,2)+4)&amp;"-S"&amp;TEXT(WEEKNUM(Q272,21),"00")</f>
        <v>2026-S05</v>
      </c>
      <c r="B272" s="18" t="s">
        <v>72</v>
      </c>
      <c r="C272" s="19" t="n">
        <v>0.332638888888889</v>
      </c>
      <c r="D272" s="19" t="n">
        <v>0.333333333333333</v>
      </c>
      <c r="E272" s="19" t="n">
        <v>0.75</v>
      </c>
      <c r="F272" s="19" t="n">
        <v>0.75</v>
      </c>
      <c r="G272" s="20"/>
      <c r="H272" s="20"/>
      <c r="I272" s="8" t="str">
        <f aca="false">IF(IF(OR(C272="",D272="Congé",D272="OFF",D272="Congé spécial"),"",IF(D272&gt;F272,D272-C272,IF(C272-D272&lt;0,0,C272-D272)))&lt;0.00068287037037037,"",IF(OR(D272="Congé",D272="OFF",C272="",D272="Congé spécial"),"",IF(D272&gt;F272,D272-C272,IF(C272-D272&lt;0,0,C272-D272))))</f>
        <v/>
      </c>
      <c r="J272" s="20"/>
      <c r="K272" s="8" t="n">
        <f aca="false">IF(SUM(H272:J272)&lt;0.00068287037037037,0,SUM(H272:J272))</f>
        <v>0</v>
      </c>
      <c r="L272" s="8" t="n">
        <f aca="false">IF(OR(F272="Congé",F272="OFF",M272="Abs",F272="Congé sans solde",F272="Férié",F272="Congé spécial",D272="Congé spécial"),0,IF(F272-E272&lt;0,0,IF(F272-E272&lt;=0.00068287037037037,0,F272-E272)))</f>
        <v>0</v>
      </c>
      <c r="M272" s="6" t="n">
        <f aca="false">IF(AND(O272&lt;&gt;0,C272=""),"Abs",0)</f>
        <v>0</v>
      </c>
      <c r="N272" s="8" t="n">
        <f aca="false">IFERROR(IF(OR(D272="OFF",D272="Congé",M272="Abs",D272="Congé sans solde",D272="Férié"),"",IF(O272-K272-L272&gt;O272,O272,IF(O272-K272-L272&lt;0,"",O272-K272-L272))),"")</f>
        <v>0.375</v>
      </c>
      <c r="O272" s="8" t="n">
        <f aca="false">IF(AG272="2H Pause déjeuner",IF(F272-D272-0.0833333333333333&lt;0,F272-D272-0.0833333333333333+1,F272-D272-0.0833333333333333),IF(OR(AND(F272="OFF",D272="OFF"),AND(F272="Congé",D272="Congé"),AND(F272="Congé sans solde",D272="Congé sans solde"),AND(F272="Congé spécial",D272="Congé spécial"),AND(F272="Férié",D272="Férié"),AND(F272="OFF",D272="Congé"),AND(F272="OFF",D272="Congé sans solde"),AND(F272="OFF",D272="Congé spécial"),AND(F272="OFF",D272="Férié"),AND(F272="Congé",D272="OFF"),AND(F272="Congé",D272="Congé sans solde"),AND(F272="Congé",D272="Congé spécial"),AND(F272="Congé",D272="Férié"),AND(F272="Congé sans solde",D272="OFF"),AND(F272="Congé sans solde",D272="Congé"),AND(F272="Congé sans solde",D272="Congé spécial"),AND(F272="Congé sans solde",D272="Férié"),AND(F272="Congé spécial",D272="OFF"),AND(F272="Congé spécial",D272="Congé"),AND(F272="Congé spécial",D272="Congé sans solde"),AND(F272="Congé spécial",D272="Férié"),AND(F272="Férié",D272="OFF"),AND(F272="Férié",D272="Congé"),AND(F272="Férié",D272="Congé sans solde"),AND(F272="Férié",D272="Congé spécial")),0,IF(OR(F272="OFF",F272="Congé",F272="Congé spécial",F272="Congé sans solde",D272="OFF",D272="Congé",D272="Congé spécial",D272="Congé sans solde"),0.208333333333334,IF(AND(AG272="",F272-D272&lt;0),("24:00:00"-D272)+("00:00:00"+F272)-0.0416666666666667,IF(AND(OR(AG272="Allaitement",AG272="Sans déjeuner"),F272-D272&lt;0),("24:00:00"-D272)+("00:00:00"+F272),IF(AND(AG272="",F272-D272&gt;0.166666666666667),F272-D272-0.0416666666666667,IF(AND(OR(AG272="Allaitement",AG272="Sans déjeuner"),F272-D272&gt;0.166666666666667),F272-D272,F272-D272)))))))</f>
        <v>0.375</v>
      </c>
      <c r="P272" s="6" t="str">
        <f aca="false">IFERROR(VLOOKUP($B272,Agents!$A:$D,2,0),"-")</f>
        <v>Accessibilité</v>
      </c>
      <c r="Q272" s="21" t="n">
        <v>46049</v>
      </c>
      <c r="R272" s="8" t="n">
        <f aca="false">IF(M272="Abs",O272,0)</f>
        <v>0</v>
      </c>
      <c r="S272" s="8" t="n">
        <f aca="false">SUM(R272,L272,I272,J272,W272,H272)</f>
        <v>0</v>
      </c>
      <c r="T272" s="6" t="str">
        <f aca="false">"Sem - "&amp;WEEKNUM(Q272,21)</f>
        <v>Sem - 5</v>
      </c>
      <c r="U272" s="6" t="str">
        <f aca="false">CHOOSE(MONTH(Q272),"Janvier","Février","Mars","Avril","Mai","Juin","Juillet","Août","Septembre","Octobre","Novembre","Décembre")</f>
        <v>Janvier</v>
      </c>
      <c r="V272" s="22" t="n">
        <f aca="false">YEAR(Q272)</f>
        <v>2026</v>
      </c>
      <c r="W272" s="20"/>
      <c r="X272" s="8" t="n">
        <f aca="false">IFERROR(IF(M272="Abs",0,IF(ROUND((D272-C272+E272-F272)*1440,0)&lt;=1,0,D272-C272+E272-F272)),0)</f>
        <v>0</v>
      </c>
      <c r="Y272" s="6" t="str">
        <f aca="false">IFERROR(VLOOKUP($B272,Agents!$A:$D,3,0),"-")</f>
        <v>OUBRAHIM Mohammed</v>
      </c>
      <c r="Z272" s="6" t="str">
        <f aca="false">IFERROR(VLOOKUP($B272,Agents!$A:$D,4,0),"-")</f>
        <v>Credit Mutuel</v>
      </c>
      <c r="AA272" s="18" t="s">
        <v>86</v>
      </c>
      <c r="AB272" s="8" t="str">
        <f aca="false">IF(AND(D272="Congé",F272="Congé"),0.333333333333333,IF(OR(AND(D272="Congé",F272&lt;&gt;"Congé"),(AND(F272="Congé",D272&lt;&gt;"Congé"))),0.166666666666667,""))</f>
        <v/>
      </c>
      <c r="AC272" s="8" t="str">
        <f aca="false">IF(AND(D272="Congé sans solde",F272="Congé sans solde"),0.333333333333333,IF(OR(AND(D272="Congé sans solde",F272&lt;&gt;"Congé sans solde"),(AND(F272="Congé sans solde",D272&lt;&gt;"Congé sans solde"))),0.166666666666667,""))</f>
        <v/>
      </c>
      <c r="AD272" s="8" t="str">
        <f aca="false">IF(AND(D272="Congé spécial",F272="Congé spécial"),0.333333333333333,IF(OR(AND(D272="Congé spécial",F272&lt;&gt;"Congé spécial"),AND(F272="Congé spécial",D272&lt;&gt;"Congé spécial")),0.166666666666667,""))</f>
        <v/>
      </c>
      <c r="AE272" s="8" t="str">
        <f aca="false">IF(AND(D272="Férié",F272="Férié"),0.333333333333333,IF(OR(AND(D272="Férié",F272&lt;&gt;"Férié"),(AND(F272="Férié",D272&lt;&gt;"Férié"))),0.166666666666667,""))</f>
        <v/>
      </c>
      <c r="AF272" s="18"/>
      <c r="AG272" s="18"/>
    </row>
    <row r="273" customFormat="false" ht="15" hidden="false" customHeight="false" outlineLevel="0" collapsed="false">
      <c r="A273" s="6" t="str">
        <f aca="false">YEAR(Q273-WEEKDAY(Q273,2)+4)&amp;"-S"&amp;TEXT(WEEKNUM(Q273,21),"00")</f>
        <v>2026-S05</v>
      </c>
      <c r="B273" s="18" t="s">
        <v>73</v>
      </c>
      <c r="C273" s="19" t="n">
        <v>0.333333333333333</v>
      </c>
      <c r="D273" s="19" t="n">
        <v>0.333333333333333</v>
      </c>
      <c r="E273" s="19" t="n">
        <v>0.75</v>
      </c>
      <c r="F273" s="19" t="n">
        <v>0.75</v>
      </c>
      <c r="G273" s="20"/>
      <c r="H273" s="20"/>
      <c r="I273" s="8" t="str">
        <f aca="false">IF(IF(OR(C273="",D273="Congé",D273="OFF",D273="Congé spécial"),"",IF(D273&gt;F273,D273-C273,IF(C273-D273&lt;0,0,C273-D273)))&lt;0.00068287037037037,"",IF(OR(D273="Congé",D273="OFF",C273="",D273="Congé spécial"),"",IF(D273&gt;F273,D273-C273,IF(C273-D273&lt;0,0,C273-D273))))</f>
        <v/>
      </c>
      <c r="J273" s="20"/>
      <c r="K273" s="8" t="n">
        <f aca="false">IF(SUM(H273:J273)&lt;0.00068287037037037,0,SUM(H273:J273))</f>
        <v>0</v>
      </c>
      <c r="L273" s="8" t="n">
        <f aca="false">IF(OR(F273="Congé",F273="OFF",M273="Abs",F273="Congé sans solde",F273="Férié",F273="Congé spécial",D273="Congé spécial"),0,IF(F273-E273&lt;0,0,IF(F273-E273&lt;=0.00068287037037037,0,F273-E273)))</f>
        <v>0</v>
      </c>
      <c r="M273" s="6" t="n">
        <f aca="false">IF(AND(O273&lt;&gt;0,C273=""),"Abs",0)</f>
        <v>0</v>
      </c>
      <c r="N273" s="8" t="n">
        <f aca="false">IFERROR(IF(OR(D273="OFF",D273="Congé",M273="Abs",D273="Congé sans solde",D273="Férié"),"",IF(O273-K273-L273&gt;O273,O273,IF(O273-K273-L273&lt;0,"",O273-K273-L273))),"")</f>
        <v>0.375</v>
      </c>
      <c r="O273" s="8" t="n">
        <f aca="false">IF(AG273="2H Pause déjeuner",IF(F273-D273-0.0833333333333333&lt;0,F273-D273-0.0833333333333333+1,F273-D273-0.0833333333333333),IF(OR(AND(F273="OFF",D273="OFF"),AND(F273="Congé",D273="Congé"),AND(F273="Congé sans solde",D273="Congé sans solde"),AND(F273="Congé spécial",D273="Congé spécial"),AND(F273="Férié",D273="Férié"),AND(F273="OFF",D273="Congé"),AND(F273="OFF",D273="Congé sans solde"),AND(F273="OFF",D273="Congé spécial"),AND(F273="OFF",D273="Férié"),AND(F273="Congé",D273="OFF"),AND(F273="Congé",D273="Congé sans solde"),AND(F273="Congé",D273="Congé spécial"),AND(F273="Congé",D273="Férié"),AND(F273="Congé sans solde",D273="OFF"),AND(F273="Congé sans solde",D273="Congé"),AND(F273="Congé sans solde",D273="Congé spécial"),AND(F273="Congé sans solde",D273="Férié"),AND(F273="Congé spécial",D273="OFF"),AND(F273="Congé spécial",D273="Congé"),AND(F273="Congé spécial",D273="Congé sans solde"),AND(F273="Congé spécial",D273="Férié"),AND(F273="Férié",D273="OFF"),AND(F273="Férié",D273="Congé"),AND(F273="Férié",D273="Congé sans solde"),AND(F273="Férié",D273="Congé spécial")),0,IF(OR(F273="OFF",F273="Congé",F273="Congé spécial",F273="Congé sans solde",D273="OFF",D273="Congé",D273="Congé spécial",D273="Congé sans solde"),0.208333333333334,IF(AND(AG273="",F273-D273&lt;0),("24:00:00"-D273)+("00:00:00"+F273)-0.0416666666666667,IF(AND(OR(AG273="Allaitement",AG273="Sans déjeuner"),F273-D273&lt;0),("24:00:00"-D273)+("00:00:00"+F273),IF(AND(AG273="",F273-D273&gt;0.166666666666667),F273-D273-0.0416666666666667,IF(AND(OR(AG273="Allaitement",AG273="Sans déjeuner"),F273-D273&gt;0.166666666666667),F273-D273,F273-D273)))))))</f>
        <v>0.375</v>
      </c>
      <c r="P273" s="6" t="str">
        <f aca="false">IFERROR(VLOOKUP($B273,Agents!$A:$D,2,0),"-")</f>
        <v>Accessibilité</v>
      </c>
      <c r="Q273" s="21" t="n">
        <v>46049</v>
      </c>
      <c r="R273" s="8" t="n">
        <f aca="false">IF(M273="Abs",O273,0)</f>
        <v>0</v>
      </c>
      <c r="S273" s="8" t="n">
        <f aca="false">SUM(R273,L273,I273,J273,W273,H273)</f>
        <v>0</v>
      </c>
      <c r="T273" s="6" t="str">
        <f aca="false">"Sem - "&amp;WEEKNUM(Q273,21)</f>
        <v>Sem - 5</v>
      </c>
      <c r="U273" s="6" t="str">
        <f aca="false">CHOOSE(MONTH(Q273),"Janvier","Février","Mars","Avril","Mai","Juin","Juillet","Août","Septembre","Octobre","Novembre","Décembre")</f>
        <v>Janvier</v>
      </c>
      <c r="V273" s="22" t="n">
        <f aca="false">YEAR(Q273)</f>
        <v>2026</v>
      </c>
      <c r="W273" s="20"/>
      <c r="X273" s="8" t="n">
        <f aca="false">IFERROR(IF(M273="Abs",0,IF(ROUND((D273-C273+E273-F273)*1440,0)&lt;=1,0,D273-C273+E273-F273)),0)</f>
        <v>0</v>
      </c>
      <c r="Y273" s="6" t="str">
        <f aca="false">IFERROR(VLOOKUP($B273,Agents!$A:$D,3,0),"-")</f>
        <v>OUBRAHIM Mohammed</v>
      </c>
      <c r="Z273" s="6" t="str">
        <f aca="false">IFERROR(VLOOKUP($B273,Agents!$A:$D,4,0),"-")</f>
        <v>Credit Mutuel</v>
      </c>
      <c r="AA273" s="18" t="s">
        <v>86</v>
      </c>
      <c r="AB273" s="8" t="str">
        <f aca="false">IF(AND(D273="Congé",F273="Congé"),0.333333333333333,IF(OR(AND(D273="Congé",F273&lt;&gt;"Congé"),(AND(F273="Congé",D273&lt;&gt;"Congé"))),0.166666666666667,""))</f>
        <v/>
      </c>
      <c r="AC273" s="8" t="str">
        <f aca="false">IF(AND(D273="Congé sans solde",F273="Congé sans solde"),0.333333333333333,IF(OR(AND(D273="Congé sans solde",F273&lt;&gt;"Congé sans solde"),(AND(F273="Congé sans solde",D273&lt;&gt;"Congé sans solde"))),0.166666666666667,""))</f>
        <v/>
      </c>
      <c r="AD273" s="8" t="str">
        <f aca="false">IF(AND(D273="Congé spécial",F273="Congé spécial"),0.333333333333333,IF(OR(AND(D273="Congé spécial",F273&lt;&gt;"Congé spécial"),AND(F273="Congé spécial",D273&lt;&gt;"Congé spécial")),0.166666666666667,""))</f>
        <v/>
      </c>
      <c r="AE273" s="8" t="str">
        <f aca="false">IF(AND(D273="Férié",F273="Férié"),0.333333333333333,IF(OR(AND(D273="Férié",F273&lt;&gt;"Férié"),(AND(F273="Férié",D273&lt;&gt;"Férié"))),0.166666666666667,""))</f>
        <v/>
      </c>
      <c r="AF273" s="18"/>
      <c r="AG273" s="18"/>
    </row>
    <row r="274" customFormat="false" ht="15" hidden="false" customHeight="false" outlineLevel="0" collapsed="false">
      <c r="A274" s="6" t="str">
        <f aca="false">YEAR(Q274-WEEKDAY(Q274,2)+4)&amp;"-S"&amp;TEXT(WEEKNUM(Q274,21),"00")</f>
        <v>2026-S05</v>
      </c>
      <c r="B274" s="18" t="s">
        <v>69</v>
      </c>
      <c r="C274" s="19" t="n">
        <v>0.332638888888889</v>
      </c>
      <c r="D274" s="19" t="n">
        <v>0.333333333333333</v>
      </c>
      <c r="E274" s="19" t="n">
        <v>0.75</v>
      </c>
      <c r="F274" s="19" t="n">
        <v>0.75</v>
      </c>
      <c r="G274" s="20"/>
      <c r="H274" s="20"/>
      <c r="I274" s="8" t="str">
        <f aca="false">IF(IF(OR(C274="",D274="Congé",D274="OFF",D274="Congé spécial"),"",IF(D274&gt;F274,D274-C274,IF(C274-D274&lt;0,0,C274-D274)))&lt;0.00068287037037037,"",IF(OR(D274="Congé",D274="OFF",C274="",D274="Congé spécial"),"",IF(D274&gt;F274,D274-C274,IF(C274-D274&lt;0,0,C274-D274))))</f>
        <v/>
      </c>
      <c r="J274" s="20"/>
      <c r="K274" s="8" t="n">
        <f aca="false">IF(SUM(H274:J274)&lt;0.00068287037037037,0,SUM(H274:J274))</f>
        <v>0</v>
      </c>
      <c r="L274" s="8" t="n">
        <f aca="false">IF(OR(F274="Congé",F274="OFF",M274="Abs",F274="Congé sans solde",F274="Férié",F274="Congé spécial",D274="Congé spécial"),0,IF(F274-E274&lt;0,0,IF(F274-E274&lt;=0.00068287037037037,0,F274-E274)))</f>
        <v>0</v>
      </c>
      <c r="M274" s="6" t="n">
        <f aca="false">IF(AND(O274&lt;&gt;0,C274=""),"Abs",0)</f>
        <v>0</v>
      </c>
      <c r="N274" s="8" t="n">
        <f aca="false">IFERROR(IF(OR(D274="OFF",D274="Congé",M274="Abs",D274="Congé sans solde",D274="Férié"),"",IF(O274-K274-L274&gt;O274,O274,IF(O274-K274-L274&lt;0,"",O274-K274-L274))),"")</f>
        <v>0.375</v>
      </c>
      <c r="O274" s="8" t="n">
        <f aca="false">IF(AG274="2H Pause déjeuner",IF(F274-D274-0.0833333333333333&lt;0,F274-D274-0.0833333333333333+1,F274-D274-0.0833333333333333),IF(OR(AND(F274="OFF",D274="OFF"),AND(F274="Congé",D274="Congé"),AND(F274="Congé sans solde",D274="Congé sans solde"),AND(F274="Congé spécial",D274="Congé spécial"),AND(F274="Férié",D274="Férié"),AND(F274="OFF",D274="Congé"),AND(F274="OFF",D274="Congé sans solde"),AND(F274="OFF",D274="Congé spécial"),AND(F274="OFF",D274="Férié"),AND(F274="Congé",D274="OFF"),AND(F274="Congé",D274="Congé sans solde"),AND(F274="Congé",D274="Congé spécial"),AND(F274="Congé",D274="Férié"),AND(F274="Congé sans solde",D274="OFF"),AND(F274="Congé sans solde",D274="Congé"),AND(F274="Congé sans solde",D274="Congé spécial"),AND(F274="Congé sans solde",D274="Férié"),AND(F274="Congé spécial",D274="OFF"),AND(F274="Congé spécial",D274="Congé"),AND(F274="Congé spécial",D274="Congé sans solde"),AND(F274="Congé spécial",D274="Férié"),AND(F274="Férié",D274="OFF"),AND(F274="Férié",D274="Congé"),AND(F274="Férié",D274="Congé sans solde"),AND(F274="Férié",D274="Congé spécial")),0,IF(OR(F274="OFF",F274="Congé",F274="Congé spécial",F274="Congé sans solde",D274="OFF",D274="Congé",D274="Congé spécial",D274="Congé sans solde"),0.208333333333334,IF(AND(AG274="",F274-D274&lt;0),("24:00:00"-D274)+("00:00:00"+F274)-0.0416666666666667,IF(AND(OR(AG274="Allaitement",AG274="Sans déjeuner"),F274-D274&lt;0),("24:00:00"-D274)+("00:00:00"+F274),IF(AND(AG274="",F274-D274&gt;0.166666666666667),F274-D274-0.0416666666666667,IF(AND(OR(AG274="Allaitement",AG274="Sans déjeuner"),F274-D274&gt;0.166666666666667),F274-D274,F274-D274)))))))</f>
        <v>0.375</v>
      </c>
      <c r="P274" s="6" t="str">
        <f aca="false">IFERROR(VLOOKUP($B274,Agents!$A:$D,2,0),"-")</f>
        <v>Accessibilité</v>
      </c>
      <c r="Q274" s="21" t="n">
        <v>46050</v>
      </c>
      <c r="R274" s="8" t="n">
        <f aca="false">IF(M274="Abs",O274,0)</f>
        <v>0</v>
      </c>
      <c r="S274" s="8" t="n">
        <f aca="false">SUM(R274,L274,I274,J274,W274,H274)</f>
        <v>0</v>
      </c>
      <c r="T274" s="6" t="str">
        <f aca="false">"Sem - "&amp;WEEKNUM(Q274,21)</f>
        <v>Sem - 5</v>
      </c>
      <c r="U274" s="6" t="str">
        <f aca="false">CHOOSE(MONTH(Q274),"Janvier","Février","Mars","Avril","Mai","Juin","Juillet","Août","Septembre","Octobre","Novembre","Décembre")</f>
        <v>Janvier</v>
      </c>
      <c r="V274" s="22" t="n">
        <f aca="false">YEAR(Q274)</f>
        <v>2026</v>
      </c>
      <c r="W274" s="20"/>
      <c r="X274" s="8" t="n">
        <f aca="false">IFERROR(IF(M274="Abs",0,IF(ROUND((D274-C274+E274-F274)*1440,0)&lt;=1,0,D274-C274+E274-F274)),0)</f>
        <v>0</v>
      </c>
      <c r="Y274" s="6" t="str">
        <f aca="false">IFERROR(VLOOKUP($B274,Agents!$A:$D,3,0),"-")</f>
        <v>OUBRAHIM Mohammed</v>
      </c>
      <c r="Z274" s="6" t="str">
        <f aca="false">IFERROR(VLOOKUP($B274,Agents!$A:$D,4,0),"-")</f>
        <v>Credit Mutuel</v>
      </c>
      <c r="AA274" s="18" t="s">
        <v>86</v>
      </c>
      <c r="AB274" s="8" t="str">
        <f aca="false">IF(AND(D274="Congé",F274="Congé"),0.333333333333333,IF(OR(AND(D274="Congé",F274&lt;&gt;"Congé"),(AND(F274="Congé",D274&lt;&gt;"Congé"))),0.166666666666667,""))</f>
        <v/>
      </c>
      <c r="AC274" s="8" t="str">
        <f aca="false">IF(AND(D274="Congé sans solde",F274="Congé sans solde"),0.333333333333333,IF(OR(AND(D274="Congé sans solde",F274&lt;&gt;"Congé sans solde"),(AND(F274="Congé sans solde",D274&lt;&gt;"Congé sans solde"))),0.166666666666667,""))</f>
        <v/>
      </c>
      <c r="AD274" s="8" t="str">
        <f aca="false">IF(AND(D274="Congé spécial",F274="Congé spécial"),0.333333333333333,IF(OR(AND(D274="Congé spécial",F274&lt;&gt;"Congé spécial"),AND(F274="Congé spécial",D274&lt;&gt;"Congé spécial")),0.166666666666667,""))</f>
        <v/>
      </c>
      <c r="AE274" s="8" t="str">
        <f aca="false">IF(AND(D274="Férié",F274="Férié"),0.333333333333333,IF(OR(AND(D274="Férié",F274&lt;&gt;"Férié"),(AND(F274="Férié",D274&lt;&gt;"Férié"))),0.166666666666667,""))</f>
        <v/>
      </c>
      <c r="AF274" s="18"/>
      <c r="AG274" s="18"/>
    </row>
    <row r="275" customFormat="false" ht="15" hidden="false" customHeight="false" outlineLevel="0" collapsed="false">
      <c r="A275" s="6" t="str">
        <f aca="false">YEAR(Q275-WEEKDAY(Q275,2)+4)&amp;"-S"&amp;TEXT(WEEKNUM(Q275,21),"00")</f>
        <v>2026-S05</v>
      </c>
      <c r="B275" s="18" t="s">
        <v>71</v>
      </c>
      <c r="C275" s="19" t="n">
        <v>0.332638888888889</v>
      </c>
      <c r="D275" s="19" t="n">
        <v>0.333333333333333</v>
      </c>
      <c r="E275" s="19" t="n">
        <v>0.75</v>
      </c>
      <c r="F275" s="19" t="n">
        <v>0.75</v>
      </c>
      <c r="G275" s="20"/>
      <c r="H275" s="20"/>
      <c r="I275" s="8" t="str">
        <f aca="false">IF(IF(OR(C275="",D275="Congé",D275="OFF",D275="Congé spécial"),"",IF(D275&gt;F275,D275-C275,IF(C275-D275&lt;0,0,C275-D275)))&lt;0.00068287037037037,"",IF(OR(D275="Congé",D275="OFF",C275="",D275="Congé spécial"),"",IF(D275&gt;F275,D275-C275,IF(C275-D275&lt;0,0,C275-D275))))</f>
        <v/>
      </c>
      <c r="J275" s="20"/>
      <c r="K275" s="8" t="n">
        <f aca="false">IF(SUM(H275:J275)&lt;0.00068287037037037,0,SUM(H275:J275))</f>
        <v>0</v>
      </c>
      <c r="L275" s="8" t="n">
        <f aca="false">IF(OR(F275="Congé",F275="OFF",M275="Abs",F275="Congé sans solde",F275="Férié",F275="Congé spécial",D275="Congé spécial"),0,IF(F275-E275&lt;0,0,IF(F275-E275&lt;=0.00068287037037037,0,F275-E275)))</f>
        <v>0</v>
      </c>
      <c r="M275" s="6" t="n">
        <f aca="false">IF(AND(O275&lt;&gt;0,C275=""),"Abs",0)</f>
        <v>0</v>
      </c>
      <c r="N275" s="8" t="n">
        <f aca="false">IFERROR(IF(OR(D275="OFF",D275="Congé",M275="Abs",D275="Congé sans solde",D275="Férié"),"",IF(O275-K275-L275&gt;O275,O275,IF(O275-K275-L275&lt;0,"",O275-K275-L275))),"")</f>
        <v>0.375</v>
      </c>
      <c r="O275" s="8" t="n">
        <f aca="false">IF(AG275="2H Pause déjeuner",IF(F275-D275-0.0833333333333333&lt;0,F275-D275-0.0833333333333333+1,F275-D275-0.0833333333333333),IF(OR(AND(F275="OFF",D275="OFF"),AND(F275="Congé",D275="Congé"),AND(F275="Congé sans solde",D275="Congé sans solde"),AND(F275="Congé spécial",D275="Congé spécial"),AND(F275="Férié",D275="Férié"),AND(F275="OFF",D275="Congé"),AND(F275="OFF",D275="Congé sans solde"),AND(F275="OFF",D275="Congé spécial"),AND(F275="OFF",D275="Férié"),AND(F275="Congé",D275="OFF"),AND(F275="Congé",D275="Congé sans solde"),AND(F275="Congé",D275="Congé spécial"),AND(F275="Congé",D275="Férié"),AND(F275="Congé sans solde",D275="OFF"),AND(F275="Congé sans solde",D275="Congé"),AND(F275="Congé sans solde",D275="Congé spécial"),AND(F275="Congé sans solde",D275="Férié"),AND(F275="Congé spécial",D275="OFF"),AND(F275="Congé spécial",D275="Congé"),AND(F275="Congé spécial",D275="Congé sans solde"),AND(F275="Congé spécial",D275="Férié"),AND(F275="Férié",D275="OFF"),AND(F275="Férié",D275="Congé"),AND(F275="Férié",D275="Congé sans solde"),AND(F275="Férié",D275="Congé spécial")),0,IF(OR(F275="OFF",F275="Congé",F275="Congé spécial",F275="Congé sans solde",D275="OFF",D275="Congé",D275="Congé spécial",D275="Congé sans solde"),0.208333333333334,IF(AND(AG275="",F275-D275&lt;0),("24:00:00"-D275)+("00:00:00"+F275)-0.0416666666666667,IF(AND(OR(AG275="Allaitement",AG275="Sans déjeuner"),F275-D275&lt;0),("24:00:00"-D275)+("00:00:00"+F275),IF(AND(AG275="",F275-D275&gt;0.166666666666667),F275-D275-0.0416666666666667,IF(AND(OR(AG275="Allaitement",AG275="Sans déjeuner"),F275-D275&gt;0.166666666666667),F275-D275,F275-D275)))))))</f>
        <v>0.375</v>
      </c>
      <c r="P275" s="6" t="str">
        <f aca="false">IFERROR(VLOOKUP($B275,Agents!$A:$D,2,0),"-")</f>
        <v>Accessibilité</v>
      </c>
      <c r="Q275" s="21" t="n">
        <v>46050</v>
      </c>
      <c r="R275" s="8" t="n">
        <f aca="false">IF(M275="Abs",O275,0)</f>
        <v>0</v>
      </c>
      <c r="S275" s="8" t="n">
        <f aca="false">SUM(R275,L275,I275,J275,W275,H275)</f>
        <v>0</v>
      </c>
      <c r="T275" s="6" t="str">
        <f aca="false">"Sem - "&amp;WEEKNUM(Q275,21)</f>
        <v>Sem - 5</v>
      </c>
      <c r="U275" s="6" t="str">
        <f aca="false">CHOOSE(MONTH(Q275),"Janvier","Février","Mars","Avril","Mai","Juin","Juillet","Août","Septembre","Octobre","Novembre","Décembre")</f>
        <v>Janvier</v>
      </c>
      <c r="V275" s="22" t="n">
        <f aca="false">YEAR(Q275)</f>
        <v>2026</v>
      </c>
      <c r="W275" s="20"/>
      <c r="X275" s="8" t="n">
        <f aca="false">IFERROR(IF(M275="Abs",0,IF(ROUND((D275-C275+E275-F275)*1440,0)&lt;=1,0,D275-C275+E275-F275)),0)</f>
        <v>0</v>
      </c>
      <c r="Y275" s="6" t="str">
        <f aca="false">IFERROR(VLOOKUP($B275,Agents!$A:$D,3,0),"-")</f>
        <v>OUBRAHIM Mohammed</v>
      </c>
      <c r="Z275" s="6" t="str">
        <f aca="false">IFERROR(VLOOKUP($B275,Agents!$A:$D,4,0),"-")</f>
        <v>Credit Mutuel</v>
      </c>
      <c r="AA275" s="18" t="s">
        <v>86</v>
      </c>
      <c r="AB275" s="8" t="str">
        <f aca="false">IF(AND(D275="Congé",F275="Congé"),0.333333333333333,IF(OR(AND(D275="Congé",F275&lt;&gt;"Congé"),(AND(F275="Congé",D275&lt;&gt;"Congé"))),0.166666666666667,""))</f>
        <v/>
      </c>
      <c r="AC275" s="8" t="str">
        <f aca="false">IF(AND(D275="Congé sans solde",F275="Congé sans solde"),0.333333333333333,IF(OR(AND(D275="Congé sans solde",F275&lt;&gt;"Congé sans solde"),(AND(F275="Congé sans solde",D275&lt;&gt;"Congé sans solde"))),0.166666666666667,""))</f>
        <v/>
      </c>
      <c r="AD275" s="8" t="str">
        <f aca="false">IF(AND(D275="Congé spécial",F275="Congé spécial"),0.333333333333333,IF(OR(AND(D275="Congé spécial",F275&lt;&gt;"Congé spécial"),AND(F275="Congé spécial",D275&lt;&gt;"Congé spécial")),0.166666666666667,""))</f>
        <v/>
      </c>
      <c r="AE275" s="8" t="str">
        <f aca="false">IF(AND(D275="Férié",F275="Férié"),0.333333333333333,IF(OR(AND(D275="Férié",F275&lt;&gt;"Férié"),(AND(F275="Férié",D275&lt;&gt;"Férié"))),0.166666666666667,""))</f>
        <v/>
      </c>
      <c r="AF275" s="18"/>
      <c r="AG275" s="18"/>
    </row>
    <row r="276" customFormat="false" ht="15" hidden="false" customHeight="false" outlineLevel="0" collapsed="false">
      <c r="A276" s="6" t="str">
        <f aca="false">YEAR(Q276-WEEKDAY(Q276,2)+4)&amp;"-S"&amp;TEXT(WEEKNUM(Q276,21),"00")</f>
        <v>2026-S05</v>
      </c>
      <c r="B276" s="18" t="s">
        <v>72</v>
      </c>
      <c r="C276" s="19" t="n">
        <v>0.331944444444444</v>
      </c>
      <c r="D276" s="19" t="n">
        <v>0.333333333333333</v>
      </c>
      <c r="E276" s="19" t="n">
        <v>0.75</v>
      </c>
      <c r="F276" s="19" t="n">
        <v>0.75</v>
      </c>
      <c r="G276" s="20"/>
      <c r="H276" s="20"/>
      <c r="I276" s="8" t="str">
        <f aca="false">IF(IF(OR(C276="",D276="Congé",D276="OFF",D276="Congé spécial"),"",IF(D276&gt;F276,D276-C276,IF(C276-D276&lt;0,0,C276-D276)))&lt;0.00068287037037037,"",IF(OR(D276="Congé",D276="OFF",C276="",D276="Congé spécial"),"",IF(D276&gt;F276,D276-C276,IF(C276-D276&lt;0,0,C276-D276))))</f>
        <v/>
      </c>
      <c r="J276" s="20"/>
      <c r="K276" s="8" t="n">
        <f aca="false">IF(SUM(H276:J276)&lt;0.00068287037037037,0,SUM(H276:J276))</f>
        <v>0</v>
      </c>
      <c r="L276" s="8" t="n">
        <f aca="false">IF(OR(F276="Congé",F276="OFF",M276="Abs",F276="Congé sans solde",F276="Férié",F276="Congé spécial",D276="Congé spécial"),0,IF(F276-E276&lt;0,0,IF(F276-E276&lt;=0.00068287037037037,0,F276-E276)))</f>
        <v>0</v>
      </c>
      <c r="M276" s="6" t="n">
        <f aca="false">IF(AND(O276&lt;&gt;0,C276=""),"Abs",0)</f>
        <v>0</v>
      </c>
      <c r="N276" s="8" t="n">
        <f aca="false">IFERROR(IF(OR(D276="OFF",D276="Congé",M276="Abs",D276="Congé sans solde",D276="Férié"),"",IF(O276-K276-L276&gt;O276,O276,IF(O276-K276-L276&lt;0,"",O276-K276-L276))),"")</f>
        <v>0.375</v>
      </c>
      <c r="O276" s="8" t="n">
        <f aca="false">IF(AG276="2H Pause déjeuner",IF(F276-D276-0.0833333333333333&lt;0,F276-D276-0.0833333333333333+1,F276-D276-0.0833333333333333),IF(OR(AND(F276="OFF",D276="OFF"),AND(F276="Congé",D276="Congé"),AND(F276="Congé sans solde",D276="Congé sans solde"),AND(F276="Congé spécial",D276="Congé spécial"),AND(F276="Férié",D276="Férié"),AND(F276="OFF",D276="Congé"),AND(F276="OFF",D276="Congé sans solde"),AND(F276="OFF",D276="Congé spécial"),AND(F276="OFF",D276="Férié"),AND(F276="Congé",D276="OFF"),AND(F276="Congé",D276="Congé sans solde"),AND(F276="Congé",D276="Congé spécial"),AND(F276="Congé",D276="Férié"),AND(F276="Congé sans solde",D276="OFF"),AND(F276="Congé sans solde",D276="Congé"),AND(F276="Congé sans solde",D276="Congé spécial"),AND(F276="Congé sans solde",D276="Férié"),AND(F276="Congé spécial",D276="OFF"),AND(F276="Congé spécial",D276="Congé"),AND(F276="Congé spécial",D276="Congé sans solde"),AND(F276="Congé spécial",D276="Férié"),AND(F276="Férié",D276="OFF"),AND(F276="Férié",D276="Congé"),AND(F276="Férié",D276="Congé sans solde"),AND(F276="Férié",D276="Congé spécial")),0,IF(OR(F276="OFF",F276="Congé",F276="Congé spécial",F276="Congé sans solde",D276="OFF",D276="Congé",D276="Congé spécial",D276="Congé sans solde"),0.208333333333334,IF(AND(AG276="",F276-D276&lt;0),("24:00:00"-D276)+("00:00:00"+F276)-0.0416666666666667,IF(AND(OR(AG276="Allaitement",AG276="Sans déjeuner"),F276-D276&lt;0),("24:00:00"-D276)+("00:00:00"+F276),IF(AND(AG276="",F276-D276&gt;0.166666666666667),F276-D276-0.0416666666666667,IF(AND(OR(AG276="Allaitement",AG276="Sans déjeuner"),F276-D276&gt;0.166666666666667),F276-D276,F276-D276)))))))</f>
        <v>0.375</v>
      </c>
      <c r="P276" s="6" t="str">
        <f aca="false">IFERROR(VLOOKUP($B276,Agents!$A:$D,2,0),"-")</f>
        <v>Accessibilité</v>
      </c>
      <c r="Q276" s="21" t="n">
        <v>46050</v>
      </c>
      <c r="R276" s="8" t="n">
        <f aca="false">IF(M276="Abs",O276,0)</f>
        <v>0</v>
      </c>
      <c r="S276" s="8" t="n">
        <f aca="false">SUM(R276,L276,I276,J276,W276,H276)</f>
        <v>0</v>
      </c>
      <c r="T276" s="6" t="str">
        <f aca="false">"Sem - "&amp;WEEKNUM(Q276,21)</f>
        <v>Sem - 5</v>
      </c>
      <c r="U276" s="6" t="str">
        <f aca="false">CHOOSE(MONTH(Q276),"Janvier","Février","Mars","Avril","Mai","Juin","Juillet","Août","Septembre","Octobre","Novembre","Décembre")</f>
        <v>Janvier</v>
      </c>
      <c r="V276" s="22" t="n">
        <f aca="false">YEAR(Q276)</f>
        <v>2026</v>
      </c>
      <c r="W276" s="20"/>
      <c r="X276" s="8" t="n">
        <f aca="false">IFERROR(IF(M276="Abs",0,IF(ROUND((D276-C276+E276-F276)*1440,0)&lt;=1,0,D276-C276+E276-F276)),0)</f>
        <v>0.00138888888888889</v>
      </c>
      <c r="Y276" s="6" t="str">
        <f aca="false">IFERROR(VLOOKUP($B276,Agents!$A:$D,3,0),"-")</f>
        <v>OUBRAHIM Mohammed</v>
      </c>
      <c r="Z276" s="6" t="str">
        <f aca="false">IFERROR(VLOOKUP($B276,Agents!$A:$D,4,0),"-")</f>
        <v>Credit Mutuel</v>
      </c>
      <c r="AA276" s="18" t="s">
        <v>86</v>
      </c>
      <c r="AB276" s="8" t="str">
        <f aca="false">IF(AND(D276="Congé",F276="Congé"),0.333333333333333,IF(OR(AND(D276="Congé",F276&lt;&gt;"Congé"),(AND(F276="Congé",D276&lt;&gt;"Congé"))),0.166666666666667,""))</f>
        <v/>
      </c>
      <c r="AC276" s="8" t="str">
        <f aca="false">IF(AND(D276="Congé sans solde",F276="Congé sans solde"),0.333333333333333,IF(OR(AND(D276="Congé sans solde",F276&lt;&gt;"Congé sans solde"),(AND(F276="Congé sans solde",D276&lt;&gt;"Congé sans solde"))),0.166666666666667,""))</f>
        <v/>
      </c>
      <c r="AD276" s="8" t="str">
        <f aca="false">IF(AND(D276="Congé spécial",F276="Congé spécial"),0.333333333333333,IF(OR(AND(D276="Congé spécial",F276&lt;&gt;"Congé spécial"),AND(F276="Congé spécial",D276&lt;&gt;"Congé spécial")),0.166666666666667,""))</f>
        <v/>
      </c>
      <c r="AE276" s="8" t="str">
        <f aca="false">IF(AND(D276="Férié",F276="Férié"),0.333333333333333,IF(OR(AND(D276="Férié",F276&lt;&gt;"Férié"),(AND(F276="Férié",D276&lt;&gt;"Férié"))),0.166666666666667,""))</f>
        <v/>
      </c>
      <c r="AF276" s="18"/>
      <c r="AG276" s="18"/>
    </row>
    <row r="277" customFormat="false" ht="15" hidden="false" customHeight="false" outlineLevel="0" collapsed="false">
      <c r="A277" s="6" t="str">
        <f aca="false">YEAR(Q277-WEEKDAY(Q277,2)+4)&amp;"-S"&amp;TEXT(WEEKNUM(Q277,21),"00")</f>
        <v>2026-S05</v>
      </c>
      <c r="B277" s="18" t="s">
        <v>73</v>
      </c>
      <c r="C277" s="19" t="n">
        <v>0.331944444444444</v>
      </c>
      <c r="D277" s="19" t="n">
        <v>0.333333333333333</v>
      </c>
      <c r="E277" s="19" t="n">
        <v>0.75</v>
      </c>
      <c r="F277" s="19" t="n">
        <v>0.75</v>
      </c>
      <c r="G277" s="20"/>
      <c r="H277" s="20"/>
      <c r="I277" s="8" t="str">
        <f aca="false">IF(IF(OR(C277="",D277="Congé",D277="OFF",D277="Congé spécial"),"",IF(D277&gt;F277,D277-C277,IF(C277-D277&lt;0,0,C277-D277)))&lt;0.00068287037037037,"",IF(OR(D277="Congé",D277="OFF",C277="",D277="Congé spécial"),"",IF(D277&gt;F277,D277-C277,IF(C277-D277&lt;0,0,C277-D277))))</f>
        <v/>
      </c>
      <c r="J277" s="20"/>
      <c r="K277" s="8" t="n">
        <f aca="false">IF(SUM(H277:J277)&lt;0.00068287037037037,0,SUM(H277:J277))</f>
        <v>0</v>
      </c>
      <c r="L277" s="8" t="n">
        <f aca="false">IF(OR(F277="Congé",F277="OFF",M277="Abs",F277="Congé sans solde",F277="Férié",F277="Congé spécial",D277="Congé spécial"),0,IF(F277-E277&lt;0,0,IF(F277-E277&lt;=0.00068287037037037,0,F277-E277)))</f>
        <v>0</v>
      </c>
      <c r="M277" s="6" t="n">
        <f aca="false">IF(AND(O277&lt;&gt;0,C277=""),"Abs",0)</f>
        <v>0</v>
      </c>
      <c r="N277" s="8" t="n">
        <f aca="false">IFERROR(IF(OR(D277="OFF",D277="Congé",M277="Abs",D277="Congé sans solde",D277="Férié"),"",IF(O277-K277-L277&gt;O277,O277,IF(O277-K277-L277&lt;0,"",O277-K277-L277))),"")</f>
        <v>0.375</v>
      </c>
      <c r="O277" s="8" t="n">
        <f aca="false">IF(AG277="2H Pause déjeuner",IF(F277-D277-0.0833333333333333&lt;0,F277-D277-0.0833333333333333+1,F277-D277-0.0833333333333333),IF(OR(AND(F277="OFF",D277="OFF"),AND(F277="Congé",D277="Congé"),AND(F277="Congé sans solde",D277="Congé sans solde"),AND(F277="Congé spécial",D277="Congé spécial"),AND(F277="Férié",D277="Férié"),AND(F277="OFF",D277="Congé"),AND(F277="OFF",D277="Congé sans solde"),AND(F277="OFF",D277="Congé spécial"),AND(F277="OFF",D277="Férié"),AND(F277="Congé",D277="OFF"),AND(F277="Congé",D277="Congé sans solde"),AND(F277="Congé",D277="Congé spécial"),AND(F277="Congé",D277="Férié"),AND(F277="Congé sans solde",D277="OFF"),AND(F277="Congé sans solde",D277="Congé"),AND(F277="Congé sans solde",D277="Congé spécial"),AND(F277="Congé sans solde",D277="Férié"),AND(F277="Congé spécial",D277="OFF"),AND(F277="Congé spécial",D277="Congé"),AND(F277="Congé spécial",D277="Congé sans solde"),AND(F277="Congé spécial",D277="Férié"),AND(F277="Férié",D277="OFF"),AND(F277="Férié",D277="Congé"),AND(F277="Férié",D277="Congé sans solde"),AND(F277="Férié",D277="Congé spécial")),0,IF(OR(F277="OFF",F277="Congé",F277="Congé spécial",F277="Congé sans solde",D277="OFF",D277="Congé",D277="Congé spécial",D277="Congé sans solde"),0.208333333333334,IF(AND(AG277="",F277-D277&lt;0),("24:00:00"-D277)+("00:00:00"+F277)-0.0416666666666667,IF(AND(OR(AG277="Allaitement",AG277="Sans déjeuner"),F277-D277&lt;0),("24:00:00"-D277)+("00:00:00"+F277),IF(AND(AG277="",F277-D277&gt;0.166666666666667),F277-D277-0.0416666666666667,IF(AND(OR(AG277="Allaitement",AG277="Sans déjeuner"),F277-D277&gt;0.166666666666667),F277-D277,F277-D277)))))))</f>
        <v>0.375</v>
      </c>
      <c r="P277" s="6" t="str">
        <f aca="false">IFERROR(VLOOKUP($B277,Agents!$A:$D,2,0),"-")</f>
        <v>Accessibilité</v>
      </c>
      <c r="Q277" s="21" t="n">
        <v>46050</v>
      </c>
      <c r="R277" s="8" t="n">
        <f aca="false">IF(M277="Abs",O277,0)</f>
        <v>0</v>
      </c>
      <c r="S277" s="8" t="n">
        <f aca="false">SUM(R277,L277,I277,J277,W277,H277)</f>
        <v>0</v>
      </c>
      <c r="T277" s="6" t="str">
        <f aca="false">"Sem - "&amp;WEEKNUM(Q277,21)</f>
        <v>Sem - 5</v>
      </c>
      <c r="U277" s="6" t="str">
        <f aca="false">CHOOSE(MONTH(Q277),"Janvier","Février","Mars","Avril","Mai","Juin","Juillet","Août","Septembre","Octobre","Novembre","Décembre")</f>
        <v>Janvier</v>
      </c>
      <c r="V277" s="22" t="n">
        <f aca="false">YEAR(Q277)</f>
        <v>2026</v>
      </c>
      <c r="W277" s="20"/>
      <c r="X277" s="8" t="n">
        <f aca="false">IFERROR(IF(M277="Abs",0,IF(ROUND((D277-C277+E277-F277)*1440,0)&lt;=1,0,D277-C277+E277-F277)),0)</f>
        <v>0.00138888888888889</v>
      </c>
      <c r="Y277" s="6" t="str">
        <f aca="false">IFERROR(VLOOKUP($B277,Agents!$A:$D,3,0),"-")</f>
        <v>OUBRAHIM Mohammed</v>
      </c>
      <c r="Z277" s="6" t="str">
        <f aca="false">IFERROR(VLOOKUP($B277,Agents!$A:$D,4,0),"-")</f>
        <v>Credit Mutuel</v>
      </c>
      <c r="AA277" s="18" t="s">
        <v>86</v>
      </c>
      <c r="AB277" s="8" t="str">
        <f aca="false">IF(AND(D277="Congé",F277="Congé"),0.333333333333333,IF(OR(AND(D277="Congé",F277&lt;&gt;"Congé"),(AND(F277="Congé",D277&lt;&gt;"Congé"))),0.166666666666667,""))</f>
        <v/>
      </c>
      <c r="AC277" s="8" t="str">
        <f aca="false">IF(AND(D277="Congé sans solde",F277="Congé sans solde"),0.333333333333333,IF(OR(AND(D277="Congé sans solde",F277&lt;&gt;"Congé sans solde"),(AND(F277="Congé sans solde",D277&lt;&gt;"Congé sans solde"))),0.166666666666667,""))</f>
        <v/>
      </c>
      <c r="AD277" s="8" t="str">
        <f aca="false">IF(AND(D277="Congé spécial",F277="Congé spécial"),0.333333333333333,IF(OR(AND(D277="Congé spécial",F277&lt;&gt;"Congé spécial"),AND(F277="Congé spécial",D277&lt;&gt;"Congé spécial")),0.166666666666667,""))</f>
        <v/>
      </c>
      <c r="AE277" s="8" t="str">
        <f aca="false">IF(AND(D277="Férié",F277="Férié"),0.333333333333333,IF(OR(AND(D277="Férié",F277&lt;&gt;"Férié"),(AND(F277="Férié",D277&lt;&gt;"Férié"))),0.166666666666667,""))</f>
        <v/>
      </c>
      <c r="AF277" s="18"/>
      <c r="AG277" s="18"/>
    </row>
    <row r="278" customFormat="false" ht="15" hidden="false" customHeight="false" outlineLevel="0" collapsed="false">
      <c r="A278" s="6" t="str">
        <f aca="false">YEAR(Q278-WEEKDAY(Q278,2)+4)&amp;"-S"&amp;TEXT(WEEKNUM(Q278,21),"00")</f>
        <v>2026-S05</v>
      </c>
      <c r="B278" s="18" t="s">
        <v>69</v>
      </c>
      <c r="C278" s="19" t="n">
        <v>0.332638888888889</v>
      </c>
      <c r="D278" s="19" t="n">
        <v>0.333333333333333</v>
      </c>
      <c r="E278" s="19" t="n">
        <v>0.75</v>
      </c>
      <c r="F278" s="19" t="n">
        <v>0.75</v>
      </c>
      <c r="G278" s="20"/>
      <c r="H278" s="20"/>
      <c r="I278" s="8" t="str">
        <f aca="false">IF(IF(OR(C278="",D278="Congé",D278="OFF",D278="Congé spécial"),"",IF(D278&gt;F278,D278-C278,IF(C278-D278&lt;0,0,C278-D278)))&lt;0.00068287037037037,"",IF(OR(D278="Congé",D278="OFF",C278="",D278="Congé spécial"),"",IF(D278&gt;F278,D278-C278,IF(C278-D278&lt;0,0,C278-D278))))</f>
        <v/>
      </c>
      <c r="J278" s="20"/>
      <c r="K278" s="8" t="n">
        <f aca="false">IF(SUM(H278:J278)&lt;0.00068287037037037,0,SUM(H278:J278))</f>
        <v>0</v>
      </c>
      <c r="L278" s="8" t="n">
        <f aca="false">IF(OR(F278="Congé",F278="OFF",M278="Abs",F278="Congé sans solde",F278="Férié",F278="Congé spécial",D278="Congé spécial"),0,IF(F278-E278&lt;0,0,IF(F278-E278&lt;=0.00068287037037037,0,F278-E278)))</f>
        <v>0</v>
      </c>
      <c r="M278" s="6" t="n">
        <f aca="false">IF(AND(O278&lt;&gt;0,C278=""),"Abs",0)</f>
        <v>0</v>
      </c>
      <c r="N278" s="8" t="n">
        <f aca="false">IFERROR(IF(OR(D278="OFF",D278="Congé",M278="Abs",D278="Congé sans solde",D278="Férié"),"",IF(O278-K278-L278&gt;O278,O278,IF(O278-K278-L278&lt;0,"",O278-K278-L278))),"")</f>
        <v>0.375</v>
      </c>
      <c r="O278" s="8" t="n">
        <f aca="false">IF(AG278="2H Pause déjeuner",IF(F278-D278-0.0833333333333333&lt;0,F278-D278-0.0833333333333333+1,F278-D278-0.0833333333333333),IF(OR(AND(F278="OFF",D278="OFF"),AND(F278="Congé",D278="Congé"),AND(F278="Congé sans solde",D278="Congé sans solde"),AND(F278="Congé spécial",D278="Congé spécial"),AND(F278="Férié",D278="Férié"),AND(F278="OFF",D278="Congé"),AND(F278="OFF",D278="Congé sans solde"),AND(F278="OFF",D278="Congé spécial"),AND(F278="OFF",D278="Férié"),AND(F278="Congé",D278="OFF"),AND(F278="Congé",D278="Congé sans solde"),AND(F278="Congé",D278="Congé spécial"),AND(F278="Congé",D278="Férié"),AND(F278="Congé sans solde",D278="OFF"),AND(F278="Congé sans solde",D278="Congé"),AND(F278="Congé sans solde",D278="Congé spécial"),AND(F278="Congé sans solde",D278="Férié"),AND(F278="Congé spécial",D278="OFF"),AND(F278="Congé spécial",D278="Congé"),AND(F278="Congé spécial",D278="Congé sans solde"),AND(F278="Congé spécial",D278="Férié"),AND(F278="Férié",D278="OFF"),AND(F278="Férié",D278="Congé"),AND(F278="Férié",D278="Congé sans solde"),AND(F278="Férié",D278="Congé spécial")),0,IF(OR(F278="OFF",F278="Congé",F278="Congé spécial",F278="Congé sans solde",D278="OFF",D278="Congé",D278="Congé spécial",D278="Congé sans solde"),0.208333333333334,IF(AND(AG278="",F278-D278&lt;0),("24:00:00"-D278)+("00:00:00"+F278)-0.0416666666666667,IF(AND(OR(AG278="Allaitement",AG278="Sans déjeuner"),F278-D278&lt;0),("24:00:00"-D278)+("00:00:00"+F278),IF(AND(AG278="",F278-D278&gt;0.166666666666667),F278-D278-0.0416666666666667,IF(AND(OR(AG278="Allaitement",AG278="Sans déjeuner"),F278-D278&gt;0.166666666666667),F278-D278,F278-D278)))))))</f>
        <v>0.375</v>
      </c>
      <c r="P278" s="6" t="str">
        <f aca="false">IFERROR(VLOOKUP($B278,Agents!$A:$D,2,0),"-")</f>
        <v>Accessibilité</v>
      </c>
      <c r="Q278" s="21" t="n">
        <v>46051</v>
      </c>
      <c r="R278" s="8" t="n">
        <f aca="false">IF(M278="Abs",O278,0)</f>
        <v>0</v>
      </c>
      <c r="S278" s="8" t="n">
        <f aca="false">SUM(R278,L278,I278,J278,W278,H278)</f>
        <v>0</v>
      </c>
      <c r="T278" s="6" t="str">
        <f aca="false">"Sem - "&amp;WEEKNUM(Q278,21)</f>
        <v>Sem - 5</v>
      </c>
      <c r="U278" s="6" t="str">
        <f aca="false">CHOOSE(MONTH(Q278),"Janvier","Février","Mars","Avril","Mai","Juin","Juillet","Août","Septembre","Octobre","Novembre","Décembre")</f>
        <v>Janvier</v>
      </c>
      <c r="V278" s="22" t="n">
        <f aca="false">YEAR(Q278)</f>
        <v>2026</v>
      </c>
      <c r="W278" s="20"/>
      <c r="X278" s="8" t="n">
        <f aca="false">IFERROR(IF(M278="Abs",0,IF(ROUND((D278-C278+E278-F278)*1440,0)&lt;=1,0,D278-C278+E278-F278)),0)</f>
        <v>0</v>
      </c>
      <c r="Y278" s="6" t="str">
        <f aca="false">IFERROR(VLOOKUP($B278,Agents!$A:$D,3,0),"-")</f>
        <v>OUBRAHIM Mohammed</v>
      </c>
      <c r="Z278" s="6" t="str">
        <f aca="false">IFERROR(VLOOKUP($B278,Agents!$A:$D,4,0),"-")</f>
        <v>Credit Mutuel</v>
      </c>
      <c r="AA278" s="18" t="s">
        <v>86</v>
      </c>
      <c r="AB278" s="8" t="str">
        <f aca="false">IF(AND(D278="Congé",F278="Congé"),0.333333333333333,IF(OR(AND(D278="Congé",F278&lt;&gt;"Congé"),(AND(F278="Congé",D278&lt;&gt;"Congé"))),0.166666666666667,""))</f>
        <v/>
      </c>
      <c r="AC278" s="8" t="str">
        <f aca="false">IF(AND(D278="Congé sans solde",F278="Congé sans solde"),0.333333333333333,IF(OR(AND(D278="Congé sans solde",F278&lt;&gt;"Congé sans solde"),(AND(F278="Congé sans solde",D278&lt;&gt;"Congé sans solde"))),0.166666666666667,""))</f>
        <v/>
      </c>
      <c r="AD278" s="8" t="str">
        <f aca="false">IF(AND(D278="Congé spécial",F278="Congé spécial"),0.333333333333333,IF(OR(AND(D278="Congé spécial",F278&lt;&gt;"Congé spécial"),AND(F278="Congé spécial",D278&lt;&gt;"Congé spécial")),0.166666666666667,""))</f>
        <v/>
      </c>
      <c r="AE278" s="8" t="str">
        <f aca="false">IF(AND(D278="Férié",F278="Férié"),0.333333333333333,IF(OR(AND(D278="Férié",F278&lt;&gt;"Férié"),(AND(F278="Férié",D278&lt;&gt;"Férié"))),0.166666666666667,""))</f>
        <v/>
      </c>
      <c r="AF278" s="18"/>
      <c r="AG278" s="18"/>
    </row>
    <row r="279" customFormat="false" ht="15" hidden="false" customHeight="false" outlineLevel="0" collapsed="false">
      <c r="A279" s="6" t="str">
        <f aca="false">YEAR(Q279-WEEKDAY(Q279,2)+4)&amp;"-S"&amp;TEXT(WEEKNUM(Q279,21),"00")</f>
        <v>2026-S05</v>
      </c>
      <c r="B279" s="18" t="s">
        <v>71</v>
      </c>
      <c r="C279" s="19" t="n">
        <v>0.331944444444444</v>
      </c>
      <c r="D279" s="19" t="n">
        <v>0.333333333333333</v>
      </c>
      <c r="E279" s="19" t="n">
        <v>0.75</v>
      </c>
      <c r="F279" s="19" t="n">
        <v>0.75</v>
      </c>
      <c r="G279" s="20"/>
      <c r="H279" s="20"/>
      <c r="I279" s="8" t="str">
        <f aca="false">IF(IF(OR(C279="",D279="Congé",D279="OFF",D279="Congé spécial"),"",IF(D279&gt;F279,D279-C279,IF(C279-D279&lt;0,0,C279-D279)))&lt;0.00068287037037037,"",IF(OR(D279="Congé",D279="OFF",C279="",D279="Congé spécial"),"",IF(D279&gt;F279,D279-C279,IF(C279-D279&lt;0,0,C279-D279))))</f>
        <v/>
      </c>
      <c r="J279" s="20"/>
      <c r="K279" s="8" t="n">
        <f aca="false">IF(SUM(H279:J279)&lt;0.00068287037037037,0,SUM(H279:J279))</f>
        <v>0</v>
      </c>
      <c r="L279" s="8" t="n">
        <f aca="false">IF(OR(F279="Congé",F279="OFF",M279="Abs",F279="Congé sans solde",F279="Férié",F279="Congé spécial",D279="Congé spécial"),0,IF(F279-E279&lt;0,0,IF(F279-E279&lt;=0.00068287037037037,0,F279-E279)))</f>
        <v>0</v>
      </c>
      <c r="M279" s="6" t="n">
        <f aca="false">IF(AND(O279&lt;&gt;0,C279=""),"Abs",0)</f>
        <v>0</v>
      </c>
      <c r="N279" s="8" t="n">
        <f aca="false">IFERROR(IF(OR(D279="OFF",D279="Congé",M279="Abs",D279="Congé sans solde",D279="Férié"),"",IF(O279-K279-L279&gt;O279,O279,IF(O279-K279-L279&lt;0,"",O279-K279-L279))),"")</f>
        <v>0.375</v>
      </c>
      <c r="O279" s="8" t="n">
        <f aca="false">IF(AG279="2H Pause déjeuner",IF(F279-D279-0.0833333333333333&lt;0,F279-D279-0.0833333333333333+1,F279-D279-0.0833333333333333),IF(OR(AND(F279="OFF",D279="OFF"),AND(F279="Congé",D279="Congé"),AND(F279="Congé sans solde",D279="Congé sans solde"),AND(F279="Congé spécial",D279="Congé spécial"),AND(F279="Férié",D279="Férié"),AND(F279="OFF",D279="Congé"),AND(F279="OFF",D279="Congé sans solde"),AND(F279="OFF",D279="Congé spécial"),AND(F279="OFF",D279="Férié"),AND(F279="Congé",D279="OFF"),AND(F279="Congé",D279="Congé sans solde"),AND(F279="Congé",D279="Congé spécial"),AND(F279="Congé",D279="Férié"),AND(F279="Congé sans solde",D279="OFF"),AND(F279="Congé sans solde",D279="Congé"),AND(F279="Congé sans solde",D279="Congé spécial"),AND(F279="Congé sans solde",D279="Férié"),AND(F279="Congé spécial",D279="OFF"),AND(F279="Congé spécial",D279="Congé"),AND(F279="Congé spécial",D279="Congé sans solde"),AND(F279="Congé spécial",D279="Férié"),AND(F279="Férié",D279="OFF"),AND(F279="Férié",D279="Congé"),AND(F279="Férié",D279="Congé sans solde"),AND(F279="Férié",D279="Congé spécial")),0,IF(OR(F279="OFF",F279="Congé",F279="Congé spécial",F279="Congé sans solde",D279="OFF",D279="Congé",D279="Congé spécial",D279="Congé sans solde"),0.208333333333334,IF(AND(AG279="",F279-D279&lt;0),("24:00:00"-D279)+("00:00:00"+F279)-0.0416666666666667,IF(AND(OR(AG279="Allaitement",AG279="Sans déjeuner"),F279-D279&lt;0),("24:00:00"-D279)+("00:00:00"+F279),IF(AND(AG279="",F279-D279&gt;0.166666666666667),F279-D279-0.0416666666666667,IF(AND(OR(AG279="Allaitement",AG279="Sans déjeuner"),F279-D279&gt;0.166666666666667),F279-D279,F279-D279)))))))</f>
        <v>0.375</v>
      </c>
      <c r="P279" s="6" t="str">
        <f aca="false">IFERROR(VLOOKUP($B279,Agents!$A:$D,2,0),"-")</f>
        <v>Accessibilité</v>
      </c>
      <c r="Q279" s="21" t="n">
        <v>46051</v>
      </c>
      <c r="R279" s="8" t="n">
        <f aca="false">IF(M279="Abs",O279,0)</f>
        <v>0</v>
      </c>
      <c r="S279" s="8" t="n">
        <f aca="false">SUM(R279,L279,I279,J279,W279,H279)</f>
        <v>0</v>
      </c>
      <c r="T279" s="6" t="str">
        <f aca="false">"Sem - "&amp;WEEKNUM(Q279,21)</f>
        <v>Sem - 5</v>
      </c>
      <c r="U279" s="6" t="str">
        <f aca="false">CHOOSE(MONTH(Q279),"Janvier","Février","Mars","Avril","Mai","Juin","Juillet","Août","Septembre","Octobre","Novembre","Décembre")</f>
        <v>Janvier</v>
      </c>
      <c r="V279" s="22" t="n">
        <f aca="false">YEAR(Q279)</f>
        <v>2026</v>
      </c>
      <c r="W279" s="20"/>
      <c r="X279" s="8" t="n">
        <f aca="false">IFERROR(IF(M279="Abs",0,IF(ROUND((D279-C279+E279-F279)*1440,0)&lt;=1,0,D279-C279+E279-F279)),0)</f>
        <v>0.00138888888888889</v>
      </c>
      <c r="Y279" s="6" t="str">
        <f aca="false">IFERROR(VLOOKUP($B279,Agents!$A:$D,3,0),"-")</f>
        <v>OUBRAHIM Mohammed</v>
      </c>
      <c r="Z279" s="6" t="str">
        <f aca="false">IFERROR(VLOOKUP($B279,Agents!$A:$D,4,0),"-")</f>
        <v>Credit Mutuel</v>
      </c>
      <c r="AA279" s="18" t="s">
        <v>86</v>
      </c>
      <c r="AB279" s="8" t="str">
        <f aca="false">IF(AND(D279="Congé",F279="Congé"),0.333333333333333,IF(OR(AND(D279="Congé",F279&lt;&gt;"Congé"),(AND(F279="Congé",D279&lt;&gt;"Congé"))),0.166666666666667,""))</f>
        <v/>
      </c>
      <c r="AC279" s="8" t="str">
        <f aca="false">IF(AND(D279="Congé sans solde",F279="Congé sans solde"),0.333333333333333,IF(OR(AND(D279="Congé sans solde",F279&lt;&gt;"Congé sans solde"),(AND(F279="Congé sans solde",D279&lt;&gt;"Congé sans solde"))),0.166666666666667,""))</f>
        <v/>
      </c>
      <c r="AD279" s="8" t="str">
        <f aca="false">IF(AND(D279="Congé spécial",F279="Congé spécial"),0.333333333333333,IF(OR(AND(D279="Congé spécial",F279&lt;&gt;"Congé spécial"),AND(F279="Congé spécial",D279&lt;&gt;"Congé spécial")),0.166666666666667,""))</f>
        <v/>
      </c>
      <c r="AE279" s="8" t="str">
        <f aca="false">IF(AND(D279="Férié",F279="Férié"),0.333333333333333,IF(OR(AND(D279="Férié",F279&lt;&gt;"Férié"),(AND(F279="Férié",D279&lt;&gt;"Férié"))),0.166666666666667,""))</f>
        <v/>
      </c>
      <c r="AF279" s="18"/>
      <c r="AG279" s="18"/>
    </row>
    <row r="280" customFormat="false" ht="15" hidden="false" customHeight="false" outlineLevel="0" collapsed="false">
      <c r="A280" s="6" t="str">
        <f aca="false">YEAR(Q280-WEEKDAY(Q280,2)+4)&amp;"-S"&amp;TEXT(WEEKNUM(Q280,21),"00")</f>
        <v>2026-S05</v>
      </c>
      <c r="B280" s="18" t="s">
        <v>72</v>
      </c>
      <c r="C280" s="19" t="n">
        <v>0.331944444444444</v>
      </c>
      <c r="D280" s="19" t="n">
        <v>0.333333333333333</v>
      </c>
      <c r="E280" s="19" t="n">
        <v>0.75</v>
      </c>
      <c r="F280" s="19" t="n">
        <v>0.75</v>
      </c>
      <c r="G280" s="20"/>
      <c r="H280" s="20"/>
      <c r="I280" s="8" t="str">
        <f aca="false">IF(IF(OR(C280="",D280="Congé",D280="OFF",D280="Congé spécial"),"",IF(D280&gt;F280,D280-C280,IF(C280-D280&lt;0,0,C280-D280)))&lt;0.00068287037037037,"",IF(OR(D280="Congé",D280="OFF",C280="",D280="Congé spécial"),"",IF(D280&gt;F280,D280-C280,IF(C280-D280&lt;0,0,C280-D280))))</f>
        <v/>
      </c>
      <c r="J280" s="20"/>
      <c r="K280" s="8" t="n">
        <f aca="false">IF(SUM(H280:J280)&lt;0.00068287037037037,0,SUM(H280:J280))</f>
        <v>0</v>
      </c>
      <c r="L280" s="8" t="n">
        <f aca="false">IF(OR(F280="Congé",F280="OFF",M280="Abs",F280="Congé sans solde",F280="Férié",F280="Congé spécial",D280="Congé spécial"),0,IF(F280-E280&lt;0,0,IF(F280-E280&lt;=0.00068287037037037,0,F280-E280)))</f>
        <v>0</v>
      </c>
      <c r="M280" s="6" t="n">
        <f aca="false">IF(AND(O280&lt;&gt;0,C280=""),"Abs",0)</f>
        <v>0</v>
      </c>
      <c r="N280" s="8" t="n">
        <f aca="false">IFERROR(IF(OR(D280="OFF",D280="Congé",M280="Abs",D280="Congé sans solde",D280="Férié"),"",IF(O280-K280-L280&gt;O280,O280,IF(O280-K280-L280&lt;0,"",O280-K280-L280))),"")</f>
        <v>0.375</v>
      </c>
      <c r="O280" s="8" t="n">
        <f aca="false">IF(AG280="2H Pause déjeuner",IF(F280-D280-0.0833333333333333&lt;0,F280-D280-0.0833333333333333+1,F280-D280-0.0833333333333333),IF(OR(AND(F280="OFF",D280="OFF"),AND(F280="Congé",D280="Congé"),AND(F280="Congé sans solde",D280="Congé sans solde"),AND(F280="Congé spécial",D280="Congé spécial"),AND(F280="Férié",D280="Férié"),AND(F280="OFF",D280="Congé"),AND(F280="OFF",D280="Congé sans solde"),AND(F280="OFF",D280="Congé spécial"),AND(F280="OFF",D280="Férié"),AND(F280="Congé",D280="OFF"),AND(F280="Congé",D280="Congé sans solde"),AND(F280="Congé",D280="Congé spécial"),AND(F280="Congé",D280="Férié"),AND(F280="Congé sans solde",D280="OFF"),AND(F280="Congé sans solde",D280="Congé"),AND(F280="Congé sans solde",D280="Congé spécial"),AND(F280="Congé sans solde",D280="Férié"),AND(F280="Congé spécial",D280="OFF"),AND(F280="Congé spécial",D280="Congé"),AND(F280="Congé spécial",D280="Congé sans solde"),AND(F280="Congé spécial",D280="Férié"),AND(F280="Férié",D280="OFF"),AND(F280="Férié",D280="Congé"),AND(F280="Férié",D280="Congé sans solde"),AND(F280="Férié",D280="Congé spécial")),0,IF(OR(F280="OFF",F280="Congé",F280="Congé spécial",F280="Congé sans solde",D280="OFF",D280="Congé",D280="Congé spécial",D280="Congé sans solde"),0.208333333333334,IF(AND(AG280="",F280-D280&lt;0),("24:00:00"-D280)+("00:00:00"+F280)-0.0416666666666667,IF(AND(OR(AG280="Allaitement",AG280="Sans déjeuner"),F280-D280&lt;0),("24:00:00"-D280)+("00:00:00"+F280),IF(AND(AG280="",F280-D280&gt;0.166666666666667),F280-D280-0.0416666666666667,IF(AND(OR(AG280="Allaitement",AG280="Sans déjeuner"),F280-D280&gt;0.166666666666667),F280-D280,F280-D280)))))))</f>
        <v>0.375</v>
      </c>
      <c r="P280" s="6" t="str">
        <f aca="false">IFERROR(VLOOKUP($B280,Agents!$A:$D,2,0),"-")</f>
        <v>Accessibilité</v>
      </c>
      <c r="Q280" s="21" t="n">
        <v>46051</v>
      </c>
      <c r="R280" s="8" t="n">
        <f aca="false">IF(M280="Abs",O280,0)</f>
        <v>0</v>
      </c>
      <c r="S280" s="8" t="n">
        <f aca="false">SUM(R280,L280,I280,J280,W280,H280)</f>
        <v>0</v>
      </c>
      <c r="T280" s="6" t="str">
        <f aca="false">"Sem - "&amp;WEEKNUM(Q280,21)</f>
        <v>Sem - 5</v>
      </c>
      <c r="U280" s="6" t="str">
        <f aca="false">CHOOSE(MONTH(Q280),"Janvier","Février","Mars","Avril","Mai","Juin","Juillet","Août","Septembre","Octobre","Novembre","Décembre")</f>
        <v>Janvier</v>
      </c>
      <c r="V280" s="22" t="n">
        <f aca="false">YEAR(Q280)</f>
        <v>2026</v>
      </c>
      <c r="W280" s="20"/>
      <c r="X280" s="8" t="n">
        <f aca="false">IFERROR(IF(M280="Abs",0,IF(ROUND((D280-C280+E280-F280)*1440,0)&lt;=1,0,D280-C280+E280-F280)),0)</f>
        <v>0.00138888888888889</v>
      </c>
      <c r="Y280" s="6" t="str">
        <f aca="false">IFERROR(VLOOKUP($B280,Agents!$A:$D,3,0),"-")</f>
        <v>OUBRAHIM Mohammed</v>
      </c>
      <c r="Z280" s="6" t="str">
        <f aca="false">IFERROR(VLOOKUP($B280,Agents!$A:$D,4,0),"-")</f>
        <v>Credit Mutuel</v>
      </c>
      <c r="AA280" s="18" t="s">
        <v>86</v>
      </c>
      <c r="AB280" s="8" t="str">
        <f aca="false">IF(AND(D280="Congé",F280="Congé"),0.333333333333333,IF(OR(AND(D280="Congé",F280&lt;&gt;"Congé"),(AND(F280="Congé",D280&lt;&gt;"Congé"))),0.166666666666667,""))</f>
        <v/>
      </c>
      <c r="AC280" s="8" t="str">
        <f aca="false">IF(AND(D280="Congé sans solde",F280="Congé sans solde"),0.333333333333333,IF(OR(AND(D280="Congé sans solde",F280&lt;&gt;"Congé sans solde"),(AND(F280="Congé sans solde",D280&lt;&gt;"Congé sans solde"))),0.166666666666667,""))</f>
        <v/>
      </c>
      <c r="AD280" s="8" t="str">
        <f aca="false">IF(AND(D280="Congé spécial",F280="Congé spécial"),0.333333333333333,IF(OR(AND(D280="Congé spécial",F280&lt;&gt;"Congé spécial"),AND(F280="Congé spécial",D280&lt;&gt;"Congé spécial")),0.166666666666667,""))</f>
        <v/>
      </c>
      <c r="AE280" s="8" t="str">
        <f aca="false">IF(AND(D280="Férié",F280="Férié"),0.333333333333333,IF(OR(AND(D280="Férié",F280&lt;&gt;"Férié"),(AND(F280="Férié",D280&lt;&gt;"Férié"))),0.166666666666667,""))</f>
        <v/>
      </c>
      <c r="AF280" s="18"/>
      <c r="AG280" s="18"/>
    </row>
    <row r="281" customFormat="false" ht="15" hidden="false" customHeight="false" outlineLevel="0" collapsed="false">
      <c r="A281" s="6" t="str">
        <f aca="false">YEAR(Q281-WEEKDAY(Q281,2)+4)&amp;"-S"&amp;TEXT(WEEKNUM(Q281,21),"00")</f>
        <v>2026-S05</v>
      </c>
      <c r="B281" s="18" t="s">
        <v>73</v>
      </c>
      <c r="C281" s="19" t="n">
        <v>0.33125</v>
      </c>
      <c r="D281" s="19" t="n">
        <v>0.333333333333333</v>
      </c>
      <c r="E281" s="19" t="n">
        <v>0.75</v>
      </c>
      <c r="F281" s="19" t="n">
        <v>0.75</v>
      </c>
      <c r="G281" s="20"/>
      <c r="H281" s="20"/>
      <c r="I281" s="8" t="str">
        <f aca="false">IF(IF(OR(C281="",D281="Congé",D281="OFF",D281="Congé spécial"),"",IF(D281&gt;F281,D281-C281,IF(C281-D281&lt;0,0,C281-D281)))&lt;0.00068287037037037,"",IF(OR(D281="Congé",D281="OFF",C281="",D281="Congé spécial"),"",IF(D281&gt;F281,D281-C281,IF(C281-D281&lt;0,0,C281-D281))))</f>
        <v/>
      </c>
      <c r="J281" s="20"/>
      <c r="K281" s="8" t="n">
        <f aca="false">IF(SUM(H281:J281)&lt;0.00068287037037037,0,SUM(H281:J281))</f>
        <v>0</v>
      </c>
      <c r="L281" s="8" t="n">
        <f aca="false">IF(OR(F281="Congé",F281="OFF",M281="Abs",F281="Congé sans solde",F281="Férié",F281="Congé spécial",D281="Congé spécial"),0,IF(F281-E281&lt;0,0,IF(F281-E281&lt;=0.00068287037037037,0,F281-E281)))</f>
        <v>0</v>
      </c>
      <c r="M281" s="6" t="n">
        <f aca="false">IF(AND(O281&lt;&gt;0,C281=""),"Abs",0)</f>
        <v>0</v>
      </c>
      <c r="N281" s="8" t="n">
        <f aca="false">IFERROR(IF(OR(D281="OFF",D281="Congé",M281="Abs",D281="Congé sans solde",D281="Férié"),"",IF(O281-K281-L281&gt;O281,O281,IF(O281-K281-L281&lt;0,"",O281-K281-L281))),"")</f>
        <v>0.375</v>
      </c>
      <c r="O281" s="8" t="n">
        <f aca="false">IF(AG281="2H Pause déjeuner",IF(F281-D281-0.0833333333333333&lt;0,F281-D281-0.0833333333333333+1,F281-D281-0.0833333333333333),IF(OR(AND(F281="OFF",D281="OFF"),AND(F281="Congé",D281="Congé"),AND(F281="Congé sans solde",D281="Congé sans solde"),AND(F281="Congé spécial",D281="Congé spécial"),AND(F281="Férié",D281="Férié"),AND(F281="OFF",D281="Congé"),AND(F281="OFF",D281="Congé sans solde"),AND(F281="OFF",D281="Congé spécial"),AND(F281="OFF",D281="Férié"),AND(F281="Congé",D281="OFF"),AND(F281="Congé",D281="Congé sans solde"),AND(F281="Congé",D281="Congé spécial"),AND(F281="Congé",D281="Férié"),AND(F281="Congé sans solde",D281="OFF"),AND(F281="Congé sans solde",D281="Congé"),AND(F281="Congé sans solde",D281="Congé spécial"),AND(F281="Congé sans solde",D281="Férié"),AND(F281="Congé spécial",D281="OFF"),AND(F281="Congé spécial",D281="Congé"),AND(F281="Congé spécial",D281="Congé sans solde"),AND(F281="Congé spécial",D281="Férié"),AND(F281="Férié",D281="OFF"),AND(F281="Férié",D281="Congé"),AND(F281="Férié",D281="Congé sans solde"),AND(F281="Férié",D281="Congé spécial")),0,IF(OR(F281="OFF",F281="Congé",F281="Congé spécial",F281="Congé sans solde",D281="OFF",D281="Congé",D281="Congé spécial",D281="Congé sans solde"),0.208333333333334,IF(AND(AG281="",F281-D281&lt;0),("24:00:00"-D281)+("00:00:00"+F281)-0.0416666666666667,IF(AND(OR(AG281="Allaitement",AG281="Sans déjeuner"),F281-D281&lt;0),("24:00:00"-D281)+("00:00:00"+F281),IF(AND(AG281="",F281-D281&gt;0.166666666666667),F281-D281-0.0416666666666667,IF(AND(OR(AG281="Allaitement",AG281="Sans déjeuner"),F281-D281&gt;0.166666666666667),F281-D281,F281-D281)))))))</f>
        <v>0.375</v>
      </c>
      <c r="P281" s="6" t="str">
        <f aca="false">IFERROR(VLOOKUP($B281,Agents!$A:$D,2,0),"-")</f>
        <v>Accessibilité</v>
      </c>
      <c r="Q281" s="21" t="n">
        <v>46051</v>
      </c>
      <c r="R281" s="8" t="n">
        <f aca="false">IF(M281="Abs",O281,0)</f>
        <v>0</v>
      </c>
      <c r="S281" s="8" t="n">
        <f aca="false">SUM(R281,L281,I281,J281,W281,H281)</f>
        <v>0</v>
      </c>
      <c r="T281" s="6" t="str">
        <f aca="false">"Sem - "&amp;WEEKNUM(Q281,21)</f>
        <v>Sem - 5</v>
      </c>
      <c r="U281" s="6" t="str">
        <f aca="false">CHOOSE(MONTH(Q281),"Janvier","Février","Mars","Avril","Mai","Juin","Juillet","Août","Septembre","Octobre","Novembre","Décembre")</f>
        <v>Janvier</v>
      </c>
      <c r="V281" s="22" t="n">
        <f aca="false">YEAR(Q281)</f>
        <v>2026</v>
      </c>
      <c r="W281" s="20"/>
      <c r="X281" s="8" t="n">
        <f aca="false">IFERROR(IF(M281="Abs",0,IF(ROUND((D281-C281+E281-F281)*1440,0)&lt;=1,0,D281-C281+E281-F281)),0)</f>
        <v>0.00208333333333333</v>
      </c>
      <c r="Y281" s="6" t="str">
        <f aca="false">IFERROR(VLOOKUP($B281,Agents!$A:$D,3,0),"-")</f>
        <v>OUBRAHIM Mohammed</v>
      </c>
      <c r="Z281" s="6" t="str">
        <f aca="false">IFERROR(VLOOKUP($B281,Agents!$A:$D,4,0),"-")</f>
        <v>Credit Mutuel</v>
      </c>
      <c r="AA281" s="18" t="s">
        <v>86</v>
      </c>
      <c r="AB281" s="8" t="str">
        <f aca="false">IF(AND(D281="Congé",F281="Congé"),0.333333333333333,IF(OR(AND(D281="Congé",F281&lt;&gt;"Congé"),(AND(F281="Congé",D281&lt;&gt;"Congé"))),0.166666666666667,""))</f>
        <v/>
      </c>
      <c r="AC281" s="8" t="str">
        <f aca="false">IF(AND(D281="Congé sans solde",F281="Congé sans solde"),0.333333333333333,IF(OR(AND(D281="Congé sans solde",F281&lt;&gt;"Congé sans solde"),(AND(F281="Congé sans solde",D281&lt;&gt;"Congé sans solde"))),0.166666666666667,""))</f>
        <v/>
      </c>
      <c r="AD281" s="8" t="str">
        <f aca="false">IF(AND(D281="Congé spécial",F281="Congé spécial"),0.333333333333333,IF(OR(AND(D281="Congé spécial",F281&lt;&gt;"Congé spécial"),AND(F281="Congé spécial",D281&lt;&gt;"Congé spécial")),0.166666666666667,""))</f>
        <v/>
      </c>
      <c r="AE281" s="8" t="str">
        <f aca="false">IF(AND(D281="Férié",F281="Férié"),0.333333333333333,IF(OR(AND(D281="Férié",F281&lt;&gt;"Férié"),(AND(F281="Férié",D281&lt;&gt;"Férié"))),0.166666666666667,""))</f>
        <v/>
      </c>
      <c r="AF281" s="18"/>
      <c r="AG281" s="18"/>
    </row>
    <row r="282" customFormat="false" ht="15" hidden="false" customHeight="false" outlineLevel="0" collapsed="false">
      <c r="A282" s="6" t="str">
        <f aca="false">YEAR(Q282-WEEKDAY(Q282,2)+4)&amp;"-S"&amp;TEXT(WEEKNUM(Q282,21),"00")</f>
        <v>2026-S05</v>
      </c>
      <c r="B282" s="18" t="s">
        <v>69</v>
      </c>
      <c r="C282" s="19" t="n">
        <v>0.333333333333333</v>
      </c>
      <c r="D282" s="19" t="n">
        <v>0.333333333333333</v>
      </c>
      <c r="E282" s="19" t="n">
        <v>0.708333333333333</v>
      </c>
      <c r="F282" s="19" t="n">
        <v>0.708333333333333</v>
      </c>
      <c r="G282" s="20"/>
      <c r="H282" s="20"/>
      <c r="I282" s="8" t="str">
        <f aca="false">IF(IF(OR(C282="",D282="Congé",D282="OFF",D282="Congé spécial"),"",IF(D282&gt;F282,D282-C282,IF(C282-D282&lt;0,0,C282-D282)))&lt;0.00068287037037037,"",IF(OR(D282="Congé",D282="OFF",C282="",D282="Congé spécial"),"",IF(D282&gt;F282,D282-C282,IF(C282-D282&lt;0,0,C282-D282))))</f>
        <v/>
      </c>
      <c r="J282" s="20"/>
      <c r="K282" s="8" t="n">
        <f aca="false">IF(SUM(H282:J282)&lt;0.00068287037037037,0,SUM(H282:J282))</f>
        <v>0</v>
      </c>
      <c r="L282" s="8" t="n">
        <f aca="false">IF(OR(F282="Congé",F282="OFF",M282="Abs",F282="Congé sans solde",F282="Férié",F282="Congé spécial",D282="Congé spécial"),0,IF(F282-E282&lt;0,0,IF(F282-E282&lt;=0.00068287037037037,0,F282-E282)))</f>
        <v>0</v>
      </c>
      <c r="M282" s="6" t="n">
        <f aca="false">IF(AND(O282&lt;&gt;0,C282=""),"Abs",0)</f>
        <v>0</v>
      </c>
      <c r="N282" s="8" t="n">
        <f aca="false">IFERROR(IF(OR(D282="OFF",D282="Congé",M282="Abs",D282="Congé sans solde",D282="Férié"),"",IF(O282-K282-L282&gt;O282,O282,IF(O282-K282-L282&lt;0,"",O282-K282-L282))),"")</f>
        <v>0.333333333333333</v>
      </c>
      <c r="O282" s="8" t="n">
        <f aca="false">IF(AG282="2H Pause déjeuner",IF(F282-D282-0.0833333333333333&lt;0,F282-D282-0.0833333333333333+1,F282-D282-0.0833333333333333),IF(OR(AND(F282="OFF",D282="OFF"),AND(F282="Congé",D282="Congé"),AND(F282="Congé sans solde",D282="Congé sans solde"),AND(F282="Congé spécial",D282="Congé spécial"),AND(F282="Férié",D282="Férié"),AND(F282="OFF",D282="Congé"),AND(F282="OFF",D282="Congé sans solde"),AND(F282="OFF",D282="Congé spécial"),AND(F282="OFF",D282="Férié"),AND(F282="Congé",D282="OFF"),AND(F282="Congé",D282="Congé sans solde"),AND(F282="Congé",D282="Congé spécial"),AND(F282="Congé",D282="Férié"),AND(F282="Congé sans solde",D282="OFF"),AND(F282="Congé sans solde",D282="Congé"),AND(F282="Congé sans solde",D282="Congé spécial"),AND(F282="Congé sans solde",D282="Férié"),AND(F282="Congé spécial",D282="OFF"),AND(F282="Congé spécial",D282="Congé"),AND(F282="Congé spécial",D282="Congé sans solde"),AND(F282="Congé spécial",D282="Férié"),AND(F282="Férié",D282="OFF"),AND(F282="Férié",D282="Congé"),AND(F282="Férié",D282="Congé sans solde"),AND(F282="Férié",D282="Congé spécial")),0,IF(OR(F282="OFF",F282="Congé",F282="Congé spécial",F282="Congé sans solde",D282="OFF",D282="Congé",D282="Congé spécial",D282="Congé sans solde"),0.208333333333334,IF(AND(AG282="",F282-D282&lt;0),("24:00:00"-D282)+("00:00:00"+F282)-0.0416666666666667,IF(AND(OR(AG282="Allaitement",AG282="Sans déjeuner"),F282-D282&lt;0),("24:00:00"-D282)+("00:00:00"+F282),IF(AND(AG282="",F282-D282&gt;0.166666666666667),F282-D282-0.0416666666666667,IF(AND(OR(AG282="Allaitement",AG282="Sans déjeuner"),F282-D282&gt;0.166666666666667),F282-D282,F282-D282)))))))</f>
        <v>0.333333333333333</v>
      </c>
      <c r="P282" s="6" t="str">
        <f aca="false">IFERROR(VLOOKUP($B282,Agents!$A:$D,2,0),"-")</f>
        <v>Accessibilité</v>
      </c>
      <c r="Q282" s="21" t="n">
        <v>46052</v>
      </c>
      <c r="R282" s="8" t="n">
        <f aca="false">IF(M282="Abs",O282,0)</f>
        <v>0</v>
      </c>
      <c r="S282" s="8" t="n">
        <f aca="false">SUM(R282,L282,I282,J282,W282,H282)</f>
        <v>0</v>
      </c>
      <c r="T282" s="6" t="str">
        <f aca="false">"Sem - "&amp;WEEKNUM(Q282,21)</f>
        <v>Sem - 5</v>
      </c>
      <c r="U282" s="6" t="str">
        <f aca="false">CHOOSE(MONTH(Q282),"Janvier","Février","Mars","Avril","Mai","Juin","Juillet","Août","Septembre","Octobre","Novembre","Décembre")</f>
        <v>Janvier</v>
      </c>
      <c r="V282" s="22" t="n">
        <f aca="false">YEAR(Q282)</f>
        <v>2026</v>
      </c>
      <c r="W282" s="20"/>
      <c r="X282" s="8" t="n">
        <f aca="false">IFERROR(IF(M282="Abs",0,IF(ROUND((D282-C282+E282-F282)*1440,0)&lt;=1,0,D282-C282+E282-F282)),0)</f>
        <v>0</v>
      </c>
      <c r="Y282" s="6" t="str">
        <f aca="false">IFERROR(VLOOKUP($B282,Agents!$A:$D,3,0),"-")</f>
        <v>OUBRAHIM Mohammed</v>
      </c>
      <c r="Z282" s="6" t="str">
        <f aca="false">IFERROR(VLOOKUP($B282,Agents!$A:$D,4,0),"-")</f>
        <v>Credit Mutuel</v>
      </c>
      <c r="AA282" s="18" t="s">
        <v>86</v>
      </c>
      <c r="AB282" s="8" t="str">
        <f aca="false">IF(AND(D282="Congé",F282="Congé"),0.333333333333333,IF(OR(AND(D282="Congé",F282&lt;&gt;"Congé"),(AND(F282="Congé",D282&lt;&gt;"Congé"))),0.166666666666667,""))</f>
        <v/>
      </c>
      <c r="AC282" s="8" t="str">
        <f aca="false">IF(AND(D282="Congé sans solde",F282="Congé sans solde"),0.333333333333333,IF(OR(AND(D282="Congé sans solde",F282&lt;&gt;"Congé sans solde"),(AND(F282="Congé sans solde",D282&lt;&gt;"Congé sans solde"))),0.166666666666667,""))</f>
        <v/>
      </c>
      <c r="AD282" s="8" t="str">
        <f aca="false">IF(AND(D282="Congé spécial",F282="Congé spécial"),0.333333333333333,IF(OR(AND(D282="Congé spécial",F282&lt;&gt;"Congé spécial"),AND(F282="Congé spécial",D282&lt;&gt;"Congé spécial")),0.166666666666667,""))</f>
        <v/>
      </c>
      <c r="AE282" s="8" t="str">
        <f aca="false">IF(AND(D282="Férié",F282="Férié"),0.333333333333333,IF(OR(AND(D282="Férié",F282&lt;&gt;"Férié"),(AND(F282="Férié",D282&lt;&gt;"Férié"))),0.166666666666667,""))</f>
        <v/>
      </c>
      <c r="AF282" s="18"/>
      <c r="AG282" s="18"/>
    </row>
    <row r="283" customFormat="false" ht="15" hidden="false" customHeight="false" outlineLevel="0" collapsed="false">
      <c r="A283" s="6" t="str">
        <f aca="false">YEAR(Q283-WEEKDAY(Q283,2)+4)&amp;"-S"&amp;TEXT(WEEKNUM(Q283,21),"00")</f>
        <v>2026-S05</v>
      </c>
      <c r="B283" s="18" t="s">
        <v>71</v>
      </c>
      <c r="C283" s="19" t="n">
        <v>0.333333333333333</v>
      </c>
      <c r="D283" s="19" t="n">
        <v>0.333333333333333</v>
      </c>
      <c r="E283" s="19" t="n">
        <v>0.708333333333333</v>
      </c>
      <c r="F283" s="19" t="n">
        <v>0.708333333333333</v>
      </c>
      <c r="G283" s="20"/>
      <c r="H283" s="20"/>
      <c r="I283" s="8" t="str">
        <f aca="false">IF(IF(OR(C283="",D283="Congé",D283="OFF",D283="Congé spécial"),"",IF(D283&gt;F283,D283-C283,IF(C283-D283&lt;0,0,C283-D283)))&lt;0.00068287037037037,"",IF(OR(D283="Congé",D283="OFF",C283="",D283="Congé spécial"),"",IF(D283&gt;F283,D283-C283,IF(C283-D283&lt;0,0,C283-D283))))</f>
        <v/>
      </c>
      <c r="J283" s="20"/>
      <c r="K283" s="8" t="n">
        <f aca="false">IF(SUM(H283:J283)&lt;0.00068287037037037,0,SUM(H283:J283))</f>
        <v>0</v>
      </c>
      <c r="L283" s="8" t="n">
        <f aca="false">IF(OR(F283="Congé",F283="OFF",M283="Abs",F283="Congé sans solde",F283="Férié",F283="Congé spécial",D283="Congé spécial"),0,IF(F283-E283&lt;0,0,IF(F283-E283&lt;=0.00068287037037037,0,F283-E283)))</f>
        <v>0</v>
      </c>
      <c r="M283" s="6" t="n">
        <f aca="false">IF(AND(O283&lt;&gt;0,C283=""),"Abs",0)</f>
        <v>0</v>
      </c>
      <c r="N283" s="8" t="n">
        <f aca="false">IFERROR(IF(OR(D283="OFF",D283="Congé",M283="Abs",D283="Congé sans solde",D283="Férié"),"",IF(O283-K283-L283&gt;O283,O283,IF(O283-K283-L283&lt;0,"",O283-K283-L283))),"")</f>
        <v>0.333333333333333</v>
      </c>
      <c r="O283" s="8" t="n">
        <f aca="false">IF(AG283="2H Pause déjeuner",IF(F283-D283-0.0833333333333333&lt;0,F283-D283-0.0833333333333333+1,F283-D283-0.0833333333333333),IF(OR(AND(F283="OFF",D283="OFF"),AND(F283="Congé",D283="Congé"),AND(F283="Congé sans solde",D283="Congé sans solde"),AND(F283="Congé spécial",D283="Congé spécial"),AND(F283="Férié",D283="Férié"),AND(F283="OFF",D283="Congé"),AND(F283="OFF",D283="Congé sans solde"),AND(F283="OFF",D283="Congé spécial"),AND(F283="OFF",D283="Férié"),AND(F283="Congé",D283="OFF"),AND(F283="Congé",D283="Congé sans solde"),AND(F283="Congé",D283="Congé spécial"),AND(F283="Congé",D283="Férié"),AND(F283="Congé sans solde",D283="OFF"),AND(F283="Congé sans solde",D283="Congé"),AND(F283="Congé sans solde",D283="Congé spécial"),AND(F283="Congé sans solde",D283="Férié"),AND(F283="Congé spécial",D283="OFF"),AND(F283="Congé spécial",D283="Congé"),AND(F283="Congé spécial",D283="Congé sans solde"),AND(F283="Congé spécial",D283="Férié"),AND(F283="Férié",D283="OFF"),AND(F283="Férié",D283="Congé"),AND(F283="Férié",D283="Congé sans solde"),AND(F283="Férié",D283="Congé spécial")),0,IF(OR(F283="OFF",F283="Congé",F283="Congé spécial",F283="Congé sans solde",D283="OFF",D283="Congé",D283="Congé spécial",D283="Congé sans solde"),0.208333333333334,IF(AND(AG283="",F283-D283&lt;0),("24:00:00"-D283)+("00:00:00"+F283)-0.0416666666666667,IF(AND(OR(AG283="Allaitement",AG283="Sans déjeuner"),F283-D283&lt;0),("24:00:00"-D283)+("00:00:00"+F283),IF(AND(AG283="",F283-D283&gt;0.166666666666667),F283-D283-0.0416666666666667,IF(AND(OR(AG283="Allaitement",AG283="Sans déjeuner"),F283-D283&gt;0.166666666666667),F283-D283,F283-D283)))))))</f>
        <v>0.333333333333333</v>
      </c>
      <c r="P283" s="6" t="str">
        <f aca="false">IFERROR(VLOOKUP($B283,Agents!$A:$D,2,0),"-")</f>
        <v>Accessibilité</v>
      </c>
      <c r="Q283" s="21" t="n">
        <v>46052</v>
      </c>
      <c r="R283" s="8" t="n">
        <f aca="false">IF(M283="Abs",O283,0)</f>
        <v>0</v>
      </c>
      <c r="S283" s="8" t="n">
        <f aca="false">SUM(R283,L283,I283,J283,W283,H283)</f>
        <v>0</v>
      </c>
      <c r="T283" s="6" t="str">
        <f aca="false">"Sem - "&amp;WEEKNUM(Q283,21)</f>
        <v>Sem - 5</v>
      </c>
      <c r="U283" s="6" t="str">
        <f aca="false">CHOOSE(MONTH(Q283),"Janvier","Février","Mars","Avril","Mai","Juin","Juillet","Août","Septembre","Octobre","Novembre","Décembre")</f>
        <v>Janvier</v>
      </c>
      <c r="V283" s="22" t="n">
        <f aca="false">YEAR(Q283)</f>
        <v>2026</v>
      </c>
      <c r="W283" s="20"/>
      <c r="X283" s="8" t="n">
        <f aca="false">IFERROR(IF(M283="Abs",0,IF(ROUND((D283-C283+E283-F283)*1440,0)&lt;=1,0,D283-C283+E283-F283)),0)</f>
        <v>0</v>
      </c>
      <c r="Y283" s="6" t="str">
        <f aca="false">IFERROR(VLOOKUP($B283,Agents!$A:$D,3,0),"-")</f>
        <v>OUBRAHIM Mohammed</v>
      </c>
      <c r="Z283" s="6" t="str">
        <f aca="false">IFERROR(VLOOKUP($B283,Agents!$A:$D,4,0),"-")</f>
        <v>Credit Mutuel</v>
      </c>
      <c r="AA283" s="18" t="s">
        <v>86</v>
      </c>
      <c r="AB283" s="8" t="str">
        <f aca="false">IF(AND(D283="Congé",F283="Congé"),0.333333333333333,IF(OR(AND(D283="Congé",F283&lt;&gt;"Congé"),(AND(F283="Congé",D283&lt;&gt;"Congé"))),0.166666666666667,""))</f>
        <v/>
      </c>
      <c r="AC283" s="8" t="str">
        <f aca="false">IF(AND(D283="Congé sans solde",F283="Congé sans solde"),0.333333333333333,IF(OR(AND(D283="Congé sans solde",F283&lt;&gt;"Congé sans solde"),(AND(F283="Congé sans solde",D283&lt;&gt;"Congé sans solde"))),0.166666666666667,""))</f>
        <v/>
      </c>
      <c r="AD283" s="8" t="str">
        <f aca="false">IF(AND(D283="Congé spécial",F283="Congé spécial"),0.333333333333333,IF(OR(AND(D283="Congé spécial",F283&lt;&gt;"Congé spécial"),AND(F283="Congé spécial",D283&lt;&gt;"Congé spécial")),0.166666666666667,""))</f>
        <v/>
      </c>
      <c r="AE283" s="8" t="str">
        <f aca="false">IF(AND(D283="Férié",F283="Férié"),0.333333333333333,IF(OR(AND(D283="Férié",F283&lt;&gt;"Férié"),(AND(F283="Férié",D283&lt;&gt;"Férié"))),0.166666666666667,""))</f>
        <v/>
      </c>
      <c r="AF283" s="18"/>
      <c r="AG283" s="18"/>
    </row>
    <row r="284" customFormat="false" ht="15" hidden="false" customHeight="false" outlineLevel="0" collapsed="false">
      <c r="A284" s="6" t="str">
        <f aca="false">YEAR(Q284-WEEKDAY(Q284,2)+4)&amp;"-S"&amp;TEXT(WEEKNUM(Q284,21),"00")</f>
        <v>2026-S05</v>
      </c>
      <c r="B284" s="18" t="s">
        <v>72</v>
      </c>
      <c r="C284" s="19" t="n">
        <v>0.333333333333333</v>
      </c>
      <c r="D284" s="19" t="n">
        <v>0.333333333333333</v>
      </c>
      <c r="E284" s="19" t="n">
        <v>0.708333333333333</v>
      </c>
      <c r="F284" s="19" t="n">
        <v>0.708333333333333</v>
      </c>
      <c r="G284" s="20"/>
      <c r="H284" s="20"/>
      <c r="I284" s="8" t="str">
        <f aca="false">IF(IF(OR(C284="",D284="Congé",D284="OFF",D284="Congé spécial"),"",IF(D284&gt;F284,D284-C284,IF(C284-D284&lt;0,0,C284-D284)))&lt;0.00068287037037037,"",IF(OR(D284="Congé",D284="OFF",C284="",D284="Congé spécial"),"",IF(D284&gt;F284,D284-C284,IF(C284-D284&lt;0,0,C284-D284))))</f>
        <v/>
      </c>
      <c r="J284" s="20"/>
      <c r="K284" s="8" t="n">
        <f aca="false">IF(SUM(H284:J284)&lt;0.00068287037037037,0,SUM(H284:J284))</f>
        <v>0</v>
      </c>
      <c r="L284" s="8" t="n">
        <f aca="false">IF(OR(F284="Congé",F284="OFF",M284="Abs",F284="Congé sans solde",F284="Férié",F284="Congé spécial",D284="Congé spécial"),0,IF(F284-E284&lt;0,0,IF(F284-E284&lt;=0.00068287037037037,0,F284-E284)))</f>
        <v>0</v>
      </c>
      <c r="M284" s="6" t="n">
        <f aca="false">IF(AND(O284&lt;&gt;0,C284=""),"Abs",0)</f>
        <v>0</v>
      </c>
      <c r="N284" s="8" t="n">
        <f aca="false">IFERROR(IF(OR(D284="OFF",D284="Congé",M284="Abs",D284="Congé sans solde",D284="Férié"),"",IF(O284-K284-L284&gt;O284,O284,IF(O284-K284-L284&lt;0,"",O284-K284-L284))),"")</f>
        <v>0.333333333333333</v>
      </c>
      <c r="O284" s="8" t="n">
        <f aca="false">IF(AG284="2H Pause déjeuner",IF(F284-D284-0.0833333333333333&lt;0,F284-D284-0.0833333333333333+1,F284-D284-0.0833333333333333),IF(OR(AND(F284="OFF",D284="OFF"),AND(F284="Congé",D284="Congé"),AND(F284="Congé sans solde",D284="Congé sans solde"),AND(F284="Congé spécial",D284="Congé spécial"),AND(F284="Férié",D284="Férié"),AND(F284="OFF",D284="Congé"),AND(F284="OFF",D284="Congé sans solde"),AND(F284="OFF",D284="Congé spécial"),AND(F284="OFF",D284="Férié"),AND(F284="Congé",D284="OFF"),AND(F284="Congé",D284="Congé sans solde"),AND(F284="Congé",D284="Congé spécial"),AND(F284="Congé",D284="Férié"),AND(F284="Congé sans solde",D284="OFF"),AND(F284="Congé sans solde",D284="Congé"),AND(F284="Congé sans solde",D284="Congé spécial"),AND(F284="Congé sans solde",D284="Férié"),AND(F284="Congé spécial",D284="OFF"),AND(F284="Congé spécial",D284="Congé"),AND(F284="Congé spécial",D284="Congé sans solde"),AND(F284="Congé spécial",D284="Férié"),AND(F284="Férié",D284="OFF"),AND(F284="Férié",D284="Congé"),AND(F284="Férié",D284="Congé sans solde"),AND(F284="Férié",D284="Congé spécial")),0,IF(OR(F284="OFF",F284="Congé",F284="Congé spécial",F284="Congé sans solde",D284="OFF",D284="Congé",D284="Congé spécial",D284="Congé sans solde"),0.208333333333334,IF(AND(AG284="",F284-D284&lt;0),("24:00:00"-D284)+("00:00:00"+F284)-0.0416666666666667,IF(AND(OR(AG284="Allaitement",AG284="Sans déjeuner"),F284-D284&lt;0),("24:00:00"-D284)+("00:00:00"+F284),IF(AND(AG284="",F284-D284&gt;0.166666666666667),F284-D284-0.0416666666666667,IF(AND(OR(AG284="Allaitement",AG284="Sans déjeuner"),F284-D284&gt;0.166666666666667),F284-D284,F284-D284)))))))</f>
        <v>0.333333333333333</v>
      </c>
      <c r="P284" s="6" t="str">
        <f aca="false">IFERROR(VLOOKUP($B284,Agents!$A:$D,2,0),"-")</f>
        <v>Accessibilité</v>
      </c>
      <c r="Q284" s="21" t="n">
        <v>46052</v>
      </c>
      <c r="R284" s="8" t="n">
        <f aca="false">IF(M284="Abs",O284,0)</f>
        <v>0</v>
      </c>
      <c r="S284" s="8" t="n">
        <f aca="false">SUM(R284,L284,I284,J284,W284,H284)</f>
        <v>0</v>
      </c>
      <c r="T284" s="6" t="str">
        <f aca="false">"Sem - "&amp;WEEKNUM(Q284,21)</f>
        <v>Sem - 5</v>
      </c>
      <c r="U284" s="6" t="str">
        <f aca="false">CHOOSE(MONTH(Q284),"Janvier","Février","Mars","Avril","Mai","Juin","Juillet","Août","Septembre","Octobre","Novembre","Décembre")</f>
        <v>Janvier</v>
      </c>
      <c r="V284" s="22" t="n">
        <f aca="false">YEAR(Q284)</f>
        <v>2026</v>
      </c>
      <c r="W284" s="20"/>
      <c r="X284" s="8" t="n">
        <f aca="false">IFERROR(IF(M284="Abs",0,IF(ROUND((D284-C284+E284-F284)*1440,0)&lt;=1,0,D284-C284+E284-F284)),0)</f>
        <v>0</v>
      </c>
      <c r="Y284" s="6" t="str">
        <f aca="false">IFERROR(VLOOKUP($B284,Agents!$A:$D,3,0),"-")</f>
        <v>OUBRAHIM Mohammed</v>
      </c>
      <c r="Z284" s="6" t="str">
        <f aca="false">IFERROR(VLOOKUP($B284,Agents!$A:$D,4,0),"-")</f>
        <v>Credit Mutuel</v>
      </c>
      <c r="AA284" s="18" t="s">
        <v>86</v>
      </c>
      <c r="AB284" s="8" t="str">
        <f aca="false">IF(AND(D284="Congé",F284="Congé"),0.333333333333333,IF(OR(AND(D284="Congé",F284&lt;&gt;"Congé"),(AND(F284="Congé",D284&lt;&gt;"Congé"))),0.166666666666667,""))</f>
        <v/>
      </c>
      <c r="AC284" s="8" t="str">
        <f aca="false">IF(AND(D284="Congé sans solde",F284="Congé sans solde"),0.333333333333333,IF(OR(AND(D284="Congé sans solde",F284&lt;&gt;"Congé sans solde"),(AND(F284="Congé sans solde",D284&lt;&gt;"Congé sans solde"))),0.166666666666667,""))</f>
        <v/>
      </c>
      <c r="AD284" s="8" t="str">
        <f aca="false">IF(AND(D284="Congé spécial",F284="Congé spécial"),0.333333333333333,IF(OR(AND(D284="Congé spécial",F284&lt;&gt;"Congé spécial"),AND(F284="Congé spécial",D284&lt;&gt;"Congé spécial")),0.166666666666667,""))</f>
        <v/>
      </c>
      <c r="AE284" s="8" t="str">
        <f aca="false">IF(AND(D284="Férié",F284="Férié"),0.333333333333333,IF(OR(AND(D284="Férié",F284&lt;&gt;"Férié"),(AND(F284="Férié",D284&lt;&gt;"Férié"))),0.166666666666667,""))</f>
        <v/>
      </c>
      <c r="AF284" s="18"/>
      <c r="AG284" s="18"/>
    </row>
    <row r="285" customFormat="false" ht="15" hidden="false" customHeight="false" outlineLevel="0" collapsed="false">
      <c r="A285" s="6" t="str">
        <f aca="false">YEAR(Q285-WEEKDAY(Q285,2)+4)&amp;"-S"&amp;TEXT(WEEKNUM(Q285,21),"00")</f>
        <v>2026-S05</v>
      </c>
      <c r="B285" s="18" t="s">
        <v>73</v>
      </c>
      <c r="C285" s="19" t="n">
        <v>0.333333333333333</v>
      </c>
      <c r="D285" s="19" t="n">
        <v>0.333333333333333</v>
      </c>
      <c r="E285" s="19" t="n">
        <v>0.708333333333333</v>
      </c>
      <c r="F285" s="19" t="n">
        <v>0.708333333333333</v>
      </c>
      <c r="G285" s="20"/>
      <c r="H285" s="20"/>
      <c r="I285" s="8" t="str">
        <f aca="false">IF(IF(OR(C285="",D285="Congé",D285="OFF",D285="Congé spécial"),"",IF(D285&gt;F285,D285-C285,IF(C285-D285&lt;0,0,C285-D285)))&lt;0.00068287037037037,"",IF(OR(D285="Congé",D285="OFF",C285="",D285="Congé spécial"),"",IF(D285&gt;F285,D285-C285,IF(C285-D285&lt;0,0,C285-D285))))</f>
        <v/>
      </c>
      <c r="J285" s="20"/>
      <c r="K285" s="8" t="n">
        <f aca="false">IF(SUM(H285:J285)&lt;0.00068287037037037,0,SUM(H285:J285))</f>
        <v>0</v>
      </c>
      <c r="L285" s="8" t="n">
        <f aca="false">IF(OR(F285="Congé",F285="OFF",M285="Abs",F285="Congé sans solde",F285="Férié",F285="Congé spécial",D285="Congé spécial"),0,IF(F285-E285&lt;0,0,IF(F285-E285&lt;=0.00068287037037037,0,F285-E285)))</f>
        <v>0</v>
      </c>
      <c r="M285" s="6" t="n">
        <f aca="false">IF(AND(O285&lt;&gt;0,C285=""),"Abs",0)</f>
        <v>0</v>
      </c>
      <c r="N285" s="8" t="n">
        <f aca="false">IFERROR(IF(OR(D285="OFF",D285="Congé",M285="Abs",D285="Congé sans solde",D285="Férié"),"",IF(O285-K285-L285&gt;O285,O285,IF(O285-K285-L285&lt;0,"",O285-K285-L285))),"")</f>
        <v>0.333333333333333</v>
      </c>
      <c r="O285" s="8" t="n">
        <f aca="false">IF(AG285="2H Pause déjeuner",IF(F285-D285-0.0833333333333333&lt;0,F285-D285-0.0833333333333333+1,F285-D285-0.0833333333333333),IF(OR(AND(F285="OFF",D285="OFF"),AND(F285="Congé",D285="Congé"),AND(F285="Congé sans solde",D285="Congé sans solde"),AND(F285="Congé spécial",D285="Congé spécial"),AND(F285="Férié",D285="Férié"),AND(F285="OFF",D285="Congé"),AND(F285="OFF",D285="Congé sans solde"),AND(F285="OFF",D285="Congé spécial"),AND(F285="OFF",D285="Férié"),AND(F285="Congé",D285="OFF"),AND(F285="Congé",D285="Congé sans solde"),AND(F285="Congé",D285="Congé spécial"),AND(F285="Congé",D285="Férié"),AND(F285="Congé sans solde",D285="OFF"),AND(F285="Congé sans solde",D285="Congé"),AND(F285="Congé sans solde",D285="Congé spécial"),AND(F285="Congé sans solde",D285="Férié"),AND(F285="Congé spécial",D285="OFF"),AND(F285="Congé spécial",D285="Congé"),AND(F285="Congé spécial",D285="Congé sans solde"),AND(F285="Congé spécial",D285="Férié"),AND(F285="Férié",D285="OFF"),AND(F285="Férié",D285="Congé"),AND(F285="Férié",D285="Congé sans solde"),AND(F285="Férié",D285="Congé spécial")),0,IF(OR(F285="OFF",F285="Congé",F285="Congé spécial",F285="Congé sans solde",D285="OFF",D285="Congé",D285="Congé spécial",D285="Congé sans solde"),0.208333333333334,IF(AND(AG285="",F285-D285&lt;0),("24:00:00"-D285)+("00:00:00"+F285)-0.0416666666666667,IF(AND(OR(AG285="Allaitement",AG285="Sans déjeuner"),F285-D285&lt;0),("24:00:00"-D285)+("00:00:00"+F285),IF(AND(AG285="",F285-D285&gt;0.166666666666667),F285-D285-0.0416666666666667,IF(AND(OR(AG285="Allaitement",AG285="Sans déjeuner"),F285-D285&gt;0.166666666666667),F285-D285,F285-D285)))))))</f>
        <v>0.333333333333333</v>
      </c>
      <c r="P285" s="6" t="str">
        <f aca="false">IFERROR(VLOOKUP($B285,Agents!$A:$D,2,0),"-")</f>
        <v>Accessibilité</v>
      </c>
      <c r="Q285" s="21" t="n">
        <v>46052</v>
      </c>
      <c r="R285" s="8" t="n">
        <f aca="false">IF(M285="Abs",O285,0)</f>
        <v>0</v>
      </c>
      <c r="S285" s="8" t="n">
        <f aca="false">SUM(R285,L285,I285,J285,W285,H285)</f>
        <v>0</v>
      </c>
      <c r="T285" s="6" t="str">
        <f aca="false">"Sem - "&amp;WEEKNUM(Q285,21)</f>
        <v>Sem - 5</v>
      </c>
      <c r="U285" s="6" t="str">
        <f aca="false">CHOOSE(MONTH(Q285),"Janvier","Février","Mars","Avril","Mai","Juin","Juillet","Août","Septembre","Octobre","Novembre","Décembre")</f>
        <v>Janvier</v>
      </c>
      <c r="V285" s="22" t="n">
        <f aca="false">YEAR(Q285)</f>
        <v>2026</v>
      </c>
      <c r="W285" s="20"/>
      <c r="X285" s="8" t="n">
        <f aca="false">IFERROR(IF(M285="Abs",0,IF(ROUND((D285-C285+E285-F285)*1440,0)&lt;=1,0,D285-C285+E285-F285)),0)</f>
        <v>0</v>
      </c>
      <c r="Y285" s="6" t="str">
        <f aca="false">IFERROR(VLOOKUP($B285,Agents!$A:$D,3,0),"-")</f>
        <v>OUBRAHIM Mohammed</v>
      </c>
      <c r="Z285" s="6" t="str">
        <f aca="false">IFERROR(VLOOKUP($B285,Agents!$A:$D,4,0),"-")</f>
        <v>Credit Mutuel</v>
      </c>
      <c r="AA285" s="18" t="s">
        <v>86</v>
      </c>
      <c r="AB285" s="8" t="str">
        <f aca="false">IF(AND(D285="Congé",F285="Congé"),0.333333333333333,IF(OR(AND(D285="Congé",F285&lt;&gt;"Congé"),(AND(F285="Congé",D285&lt;&gt;"Congé"))),0.166666666666667,""))</f>
        <v/>
      </c>
      <c r="AC285" s="8" t="str">
        <f aca="false">IF(AND(D285="Congé sans solde",F285="Congé sans solde"),0.333333333333333,IF(OR(AND(D285="Congé sans solde",F285&lt;&gt;"Congé sans solde"),(AND(F285="Congé sans solde",D285&lt;&gt;"Congé sans solde"))),0.166666666666667,""))</f>
        <v/>
      </c>
      <c r="AD285" s="8" t="str">
        <f aca="false">IF(AND(D285="Congé spécial",F285="Congé spécial"),0.333333333333333,IF(OR(AND(D285="Congé spécial",F285&lt;&gt;"Congé spécial"),AND(F285="Congé spécial",D285&lt;&gt;"Congé spécial")),0.166666666666667,""))</f>
        <v/>
      </c>
      <c r="AE285" s="8" t="str">
        <f aca="false">IF(AND(D285="Férié",F285="Férié"),0.333333333333333,IF(OR(AND(D285="Férié",F285&lt;&gt;"Férié"),(AND(F285="Férié",D285&lt;&gt;"Férié"))),0.166666666666667,""))</f>
        <v/>
      </c>
      <c r="AF285" s="18"/>
      <c r="AG285" s="18"/>
    </row>
    <row r="286" customFormat="false" ht="15" hidden="false" customHeight="false" outlineLevel="0" collapsed="false">
      <c r="A286" s="6" t="str">
        <f aca="false">YEAR(Q286-WEEKDAY(Q286,2)+4)&amp;"-S"&amp;TEXT(WEEKNUM(Q286,21),"00")</f>
        <v>2026-S05</v>
      </c>
      <c r="B286" s="18" t="s">
        <v>69</v>
      </c>
      <c r="C286" s="19"/>
      <c r="D286" s="19" t="s">
        <v>74</v>
      </c>
      <c r="E286" s="19"/>
      <c r="F286" s="19" t="s">
        <v>74</v>
      </c>
      <c r="G286" s="20"/>
      <c r="H286" s="20"/>
      <c r="I286" s="8" t="str">
        <f aca="false">IF(IF(OR(C286="",D286="Congé",D286="OFF",D286="Congé spécial"),"",IF(D286&gt;F286,D286-C286,IF(C286-D286&lt;0,0,C286-D286)))&lt;0.00068287037037037,"",IF(OR(D286="Congé",D286="OFF",C286="",D286="Congé spécial"),"",IF(D286&gt;F286,D286-C286,IF(C286-D286&lt;0,0,C286-D286))))</f>
        <v/>
      </c>
      <c r="J286" s="20"/>
      <c r="K286" s="8" t="n">
        <f aca="false">IF(SUM(H286:J286)&lt;0.00068287037037037,0,SUM(H286:J286))</f>
        <v>0</v>
      </c>
      <c r="L286" s="8" t="n">
        <f aca="false">IF(OR(F286="Congé",F286="OFF",M286="Abs",F286="Congé sans solde",F286="Férié",F286="Congé spécial",D286="Congé spécial"),0,IF(F286-E286&lt;0,0,IF(F286-E286&lt;=0.00068287037037037,0,F286-E286)))</f>
        <v>0</v>
      </c>
      <c r="M286" s="6" t="n">
        <f aca="false">IF(AND(O286&lt;&gt;0,C286=""),"Abs",0)</f>
        <v>0</v>
      </c>
      <c r="N286" s="8" t="str">
        <f aca="false">IFERROR(IF(OR(D286="OFF",D286="Congé",M286="Abs",D286="Congé sans solde",D286="Férié"),"",IF(O286-K286-L286&gt;O286,O286,IF(O286-K286-L286&lt;0,"",O286-K286-L286))),"")</f>
        <v/>
      </c>
      <c r="O286" s="8" t="n">
        <f aca="false">IF(AG286="2H Pause déjeuner",IF(F286-D286-0.0833333333333333&lt;0,F286-D286-0.0833333333333333+1,F286-D286-0.0833333333333333),IF(OR(AND(F286="OFF",D286="OFF"),AND(F286="Congé",D286="Congé"),AND(F286="Congé sans solde",D286="Congé sans solde"),AND(F286="Congé spécial",D286="Congé spécial"),AND(F286="Férié",D286="Férié"),AND(F286="OFF",D286="Congé"),AND(F286="OFF",D286="Congé sans solde"),AND(F286="OFF",D286="Congé spécial"),AND(F286="OFF",D286="Férié"),AND(F286="Congé",D286="OFF"),AND(F286="Congé",D286="Congé sans solde"),AND(F286="Congé",D286="Congé spécial"),AND(F286="Congé",D286="Férié"),AND(F286="Congé sans solde",D286="OFF"),AND(F286="Congé sans solde",D286="Congé"),AND(F286="Congé sans solde",D286="Congé spécial"),AND(F286="Congé sans solde",D286="Férié"),AND(F286="Congé spécial",D286="OFF"),AND(F286="Congé spécial",D286="Congé"),AND(F286="Congé spécial",D286="Congé sans solde"),AND(F286="Congé spécial",D286="Férié"),AND(F286="Férié",D286="OFF"),AND(F286="Férié",D286="Congé"),AND(F286="Férié",D286="Congé sans solde"),AND(F286="Férié",D286="Congé spécial")),0,IF(OR(F286="OFF",F286="Congé",F286="Congé spécial",F286="Congé sans solde",D286="OFF",D286="Congé",D286="Congé spécial",D286="Congé sans solde"),0.208333333333334,IF(AND(AG286="",F286-D286&lt;0),("24:00:00"-D286)+("00:00:00"+F286)-0.0416666666666667,IF(AND(OR(AG286="Allaitement",AG286="Sans déjeuner"),F286-D286&lt;0),("24:00:00"-D286)+("00:00:00"+F286),IF(AND(AG286="",F286-D286&gt;0.166666666666667),F286-D286-0.0416666666666667,IF(AND(OR(AG286="Allaitement",AG286="Sans déjeuner"),F286-D286&gt;0.166666666666667),F286-D286,F286-D286)))))))</f>
        <v>0</v>
      </c>
      <c r="P286" s="6" t="str">
        <f aca="false">IFERROR(VLOOKUP($B286,Agents!$A:$D,2,0),"-")</f>
        <v>Accessibilité</v>
      </c>
      <c r="Q286" s="21" t="n">
        <v>46053</v>
      </c>
      <c r="R286" s="8" t="n">
        <f aca="false">IF(M286="Abs",O286,0)</f>
        <v>0</v>
      </c>
      <c r="S286" s="8" t="n">
        <f aca="false">SUM(R286,L286,I286,J286,W286,H286)</f>
        <v>0</v>
      </c>
      <c r="T286" s="6" t="str">
        <f aca="false">"Sem - "&amp;WEEKNUM(Q286,21)</f>
        <v>Sem - 5</v>
      </c>
      <c r="U286" s="6" t="str">
        <f aca="false">CHOOSE(MONTH(Q286),"Janvier","Février","Mars","Avril","Mai","Juin","Juillet","Août","Septembre","Octobre","Novembre","Décembre")</f>
        <v>Janvier</v>
      </c>
      <c r="V286" s="22" t="n">
        <f aca="false">YEAR(Q286)</f>
        <v>2026</v>
      </c>
      <c r="W286" s="20"/>
      <c r="X286" s="8" t="n">
        <f aca="false">IFERROR(IF(M286="Abs",0,IF(ROUND((D286-C286+E286-F286)*1440,0)&lt;=1,0,D286-C286+E286-F286)),0)</f>
        <v>0</v>
      </c>
      <c r="Y286" s="6" t="str">
        <f aca="false">IFERROR(VLOOKUP($B286,Agents!$A:$D,3,0),"-")</f>
        <v>OUBRAHIM Mohammed</v>
      </c>
      <c r="Z286" s="6" t="str">
        <f aca="false">IFERROR(VLOOKUP($B286,Agents!$A:$D,4,0),"-")</f>
        <v>Credit Mutuel</v>
      </c>
      <c r="AA286" s="18" t="s">
        <v>86</v>
      </c>
      <c r="AB286" s="8" t="str">
        <f aca="false">IF(AND(D286="Congé",F286="Congé"),0.333333333333333,IF(OR(AND(D286="Congé",F286&lt;&gt;"Congé"),(AND(F286="Congé",D286&lt;&gt;"Congé"))),0.166666666666667,""))</f>
        <v/>
      </c>
      <c r="AC286" s="8" t="str">
        <f aca="false">IF(AND(D286="Congé sans solde",F286="Congé sans solde"),0.333333333333333,IF(OR(AND(D286="Congé sans solde",F286&lt;&gt;"Congé sans solde"),(AND(F286="Congé sans solde",D286&lt;&gt;"Congé sans solde"))),0.166666666666667,""))</f>
        <v/>
      </c>
      <c r="AD286" s="8" t="str">
        <f aca="false">IF(AND(D286="Congé spécial",F286="Congé spécial"),0.333333333333333,IF(OR(AND(D286="Congé spécial",F286&lt;&gt;"Congé spécial"),AND(F286="Congé spécial",D286&lt;&gt;"Congé spécial")),0.166666666666667,""))</f>
        <v/>
      </c>
      <c r="AE286" s="8" t="str">
        <f aca="false">IF(AND(D286="Férié",F286="Férié"),0.333333333333333,IF(OR(AND(D286="Férié",F286&lt;&gt;"Férié"),(AND(F286="Férié",D286&lt;&gt;"Férié"))),0.166666666666667,""))</f>
        <v/>
      </c>
      <c r="AF286" s="18"/>
      <c r="AG286" s="18"/>
    </row>
    <row r="287" customFormat="false" ht="15" hidden="false" customHeight="false" outlineLevel="0" collapsed="false">
      <c r="A287" s="6" t="str">
        <f aca="false">YEAR(Q287-WEEKDAY(Q287,2)+4)&amp;"-S"&amp;TEXT(WEEKNUM(Q287,21),"00")</f>
        <v>2026-S05</v>
      </c>
      <c r="B287" s="18" t="s">
        <v>71</v>
      </c>
      <c r="C287" s="19"/>
      <c r="D287" s="19" t="s">
        <v>74</v>
      </c>
      <c r="E287" s="19"/>
      <c r="F287" s="19" t="s">
        <v>74</v>
      </c>
      <c r="G287" s="20"/>
      <c r="H287" s="20"/>
      <c r="I287" s="8" t="str">
        <f aca="false">IF(IF(OR(C287="",D287="Congé",D287="OFF",D287="Congé spécial"),"",IF(D287&gt;F287,D287-C287,IF(C287-D287&lt;0,0,C287-D287)))&lt;0.00068287037037037,"",IF(OR(D287="Congé",D287="OFF",C287="",D287="Congé spécial"),"",IF(D287&gt;F287,D287-C287,IF(C287-D287&lt;0,0,C287-D287))))</f>
        <v/>
      </c>
      <c r="J287" s="20"/>
      <c r="K287" s="8" t="n">
        <f aca="false">IF(SUM(H287:J287)&lt;0.00068287037037037,0,SUM(H287:J287))</f>
        <v>0</v>
      </c>
      <c r="L287" s="8" t="n">
        <f aca="false">IF(OR(F287="Congé",F287="OFF",M287="Abs",F287="Congé sans solde",F287="Férié",F287="Congé spécial",D287="Congé spécial"),0,IF(F287-E287&lt;0,0,IF(F287-E287&lt;=0.00068287037037037,0,F287-E287)))</f>
        <v>0</v>
      </c>
      <c r="M287" s="6" t="n">
        <f aca="false">IF(AND(O287&lt;&gt;0,C287=""),"Abs",0)</f>
        <v>0</v>
      </c>
      <c r="N287" s="8" t="str">
        <f aca="false">IFERROR(IF(OR(D287="OFF",D287="Congé",M287="Abs",D287="Congé sans solde",D287="Férié"),"",IF(O287-K287-L287&gt;O287,O287,IF(O287-K287-L287&lt;0,"",O287-K287-L287))),"")</f>
        <v/>
      </c>
      <c r="O287" s="8" t="n">
        <f aca="false">IF(AG287="2H Pause déjeuner",IF(F287-D287-0.0833333333333333&lt;0,F287-D287-0.0833333333333333+1,F287-D287-0.0833333333333333),IF(OR(AND(F287="OFF",D287="OFF"),AND(F287="Congé",D287="Congé"),AND(F287="Congé sans solde",D287="Congé sans solde"),AND(F287="Congé spécial",D287="Congé spécial"),AND(F287="Férié",D287="Férié"),AND(F287="OFF",D287="Congé"),AND(F287="OFF",D287="Congé sans solde"),AND(F287="OFF",D287="Congé spécial"),AND(F287="OFF",D287="Férié"),AND(F287="Congé",D287="OFF"),AND(F287="Congé",D287="Congé sans solde"),AND(F287="Congé",D287="Congé spécial"),AND(F287="Congé",D287="Férié"),AND(F287="Congé sans solde",D287="OFF"),AND(F287="Congé sans solde",D287="Congé"),AND(F287="Congé sans solde",D287="Congé spécial"),AND(F287="Congé sans solde",D287="Férié"),AND(F287="Congé spécial",D287="OFF"),AND(F287="Congé spécial",D287="Congé"),AND(F287="Congé spécial",D287="Congé sans solde"),AND(F287="Congé spécial",D287="Férié"),AND(F287="Férié",D287="OFF"),AND(F287="Férié",D287="Congé"),AND(F287="Férié",D287="Congé sans solde"),AND(F287="Férié",D287="Congé spécial")),0,IF(OR(F287="OFF",F287="Congé",F287="Congé spécial",F287="Congé sans solde",D287="OFF",D287="Congé",D287="Congé spécial",D287="Congé sans solde"),0.208333333333334,IF(AND(AG287="",F287-D287&lt;0),("24:00:00"-D287)+("00:00:00"+F287)-0.0416666666666667,IF(AND(OR(AG287="Allaitement",AG287="Sans déjeuner"),F287-D287&lt;0),("24:00:00"-D287)+("00:00:00"+F287),IF(AND(AG287="",F287-D287&gt;0.166666666666667),F287-D287-0.0416666666666667,IF(AND(OR(AG287="Allaitement",AG287="Sans déjeuner"),F287-D287&gt;0.166666666666667),F287-D287,F287-D287)))))))</f>
        <v>0</v>
      </c>
      <c r="P287" s="6" t="str">
        <f aca="false">IFERROR(VLOOKUP($B287,Agents!$A:$D,2,0),"-")</f>
        <v>Accessibilité</v>
      </c>
      <c r="Q287" s="21" t="n">
        <v>46053</v>
      </c>
      <c r="R287" s="8" t="n">
        <f aca="false">IF(M287="Abs",O287,0)</f>
        <v>0</v>
      </c>
      <c r="S287" s="8" t="n">
        <f aca="false">SUM(R287,L287,I287,J287,W287,H287)</f>
        <v>0</v>
      </c>
      <c r="T287" s="6" t="str">
        <f aca="false">"Sem - "&amp;WEEKNUM(Q287,21)</f>
        <v>Sem - 5</v>
      </c>
      <c r="U287" s="6" t="str">
        <f aca="false">CHOOSE(MONTH(Q287),"Janvier","Février","Mars","Avril","Mai","Juin","Juillet","Août","Septembre","Octobre","Novembre","Décembre")</f>
        <v>Janvier</v>
      </c>
      <c r="V287" s="22" t="n">
        <f aca="false">YEAR(Q287)</f>
        <v>2026</v>
      </c>
      <c r="W287" s="20"/>
      <c r="X287" s="8" t="n">
        <f aca="false">IFERROR(IF(M287="Abs",0,IF(ROUND((D287-C287+E287-F287)*1440,0)&lt;=1,0,D287-C287+E287-F287)),0)</f>
        <v>0</v>
      </c>
      <c r="Y287" s="6" t="str">
        <f aca="false">IFERROR(VLOOKUP($B287,Agents!$A:$D,3,0),"-")</f>
        <v>OUBRAHIM Mohammed</v>
      </c>
      <c r="Z287" s="6" t="str">
        <f aca="false">IFERROR(VLOOKUP($B287,Agents!$A:$D,4,0),"-")</f>
        <v>Credit Mutuel</v>
      </c>
      <c r="AA287" s="18" t="s">
        <v>86</v>
      </c>
      <c r="AB287" s="8" t="str">
        <f aca="false">IF(AND(D287="Congé",F287="Congé"),0.333333333333333,IF(OR(AND(D287="Congé",F287&lt;&gt;"Congé"),(AND(F287="Congé",D287&lt;&gt;"Congé"))),0.166666666666667,""))</f>
        <v/>
      </c>
      <c r="AC287" s="8" t="str">
        <f aca="false">IF(AND(D287="Congé sans solde",F287="Congé sans solde"),0.333333333333333,IF(OR(AND(D287="Congé sans solde",F287&lt;&gt;"Congé sans solde"),(AND(F287="Congé sans solde",D287&lt;&gt;"Congé sans solde"))),0.166666666666667,""))</f>
        <v/>
      </c>
      <c r="AD287" s="8" t="str">
        <f aca="false">IF(AND(D287="Congé spécial",F287="Congé spécial"),0.333333333333333,IF(OR(AND(D287="Congé spécial",F287&lt;&gt;"Congé spécial"),AND(F287="Congé spécial",D287&lt;&gt;"Congé spécial")),0.166666666666667,""))</f>
        <v/>
      </c>
      <c r="AE287" s="8" t="str">
        <f aca="false">IF(AND(D287="Férié",F287="Férié"),0.333333333333333,IF(OR(AND(D287="Férié",F287&lt;&gt;"Férié"),(AND(F287="Férié",D287&lt;&gt;"Férié"))),0.166666666666667,""))</f>
        <v/>
      </c>
      <c r="AF287" s="18"/>
      <c r="AG287" s="18"/>
    </row>
    <row r="288" customFormat="false" ht="15" hidden="false" customHeight="false" outlineLevel="0" collapsed="false">
      <c r="A288" s="6" t="str">
        <f aca="false">YEAR(Q288-WEEKDAY(Q288,2)+4)&amp;"-S"&amp;TEXT(WEEKNUM(Q288,21),"00")</f>
        <v>2026-S05</v>
      </c>
      <c r="B288" s="18" t="s">
        <v>72</v>
      </c>
      <c r="C288" s="19"/>
      <c r="D288" s="19" t="s">
        <v>74</v>
      </c>
      <c r="E288" s="19"/>
      <c r="F288" s="19" t="s">
        <v>74</v>
      </c>
      <c r="G288" s="20"/>
      <c r="H288" s="20"/>
      <c r="I288" s="8" t="str">
        <f aca="false">IF(IF(OR(C288="",D288="Congé",D288="OFF",D288="Congé spécial"),"",IF(D288&gt;F288,D288-C288,IF(C288-D288&lt;0,0,C288-D288)))&lt;0.00068287037037037,"",IF(OR(D288="Congé",D288="OFF",C288="",D288="Congé spécial"),"",IF(D288&gt;F288,D288-C288,IF(C288-D288&lt;0,0,C288-D288))))</f>
        <v/>
      </c>
      <c r="J288" s="20"/>
      <c r="K288" s="8" t="n">
        <f aca="false">IF(SUM(H288:J288)&lt;0.00068287037037037,0,SUM(H288:J288))</f>
        <v>0</v>
      </c>
      <c r="L288" s="8" t="n">
        <f aca="false">IF(OR(F288="Congé",F288="OFF",M288="Abs",F288="Congé sans solde",F288="Férié",F288="Congé spécial",D288="Congé spécial"),0,IF(F288-E288&lt;0,0,IF(F288-E288&lt;=0.00068287037037037,0,F288-E288)))</f>
        <v>0</v>
      </c>
      <c r="M288" s="6" t="n">
        <f aca="false">IF(AND(O288&lt;&gt;0,C288=""),"Abs",0)</f>
        <v>0</v>
      </c>
      <c r="N288" s="8" t="str">
        <f aca="false">IFERROR(IF(OR(D288="OFF",D288="Congé",M288="Abs",D288="Congé sans solde",D288="Férié"),"",IF(O288-K288-L288&gt;O288,O288,IF(O288-K288-L288&lt;0,"",O288-K288-L288))),"")</f>
        <v/>
      </c>
      <c r="O288" s="8" t="n">
        <f aca="false">IF(AG288="2H Pause déjeuner",IF(F288-D288-0.0833333333333333&lt;0,F288-D288-0.0833333333333333+1,F288-D288-0.0833333333333333),IF(OR(AND(F288="OFF",D288="OFF"),AND(F288="Congé",D288="Congé"),AND(F288="Congé sans solde",D288="Congé sans solde"),AND(F288="Congé spécial",D288="Congé spécial"),AND(F288="Férié",D288="Férié"),AND(F288="OFF",D288="Congé"),AND(F288="OFF",D288="Congé sans solde"),AND(F288="OFF",D288="Congé spécial"),AND(F288="OFF",D288="Férié"),AND(F288="Congé",D288="OFF"),AND(F288="Congé",D288="Congé sans solde"),AND(F288="Congé",D288="Congé spécial"),AND(F288="Congé",D288="Férié"),AND(F288="Congé sans solde",D288="OFF"),AND(F288="Congé sans solde",D288="Congé"),AND(F288="Congé sans solde",D288="Congé spécial"),AND(F288="Congé sans solde",D288="Férié"),AND(F288="Congé spécial",D288="OFF"),AND(F288="Congé spécial",D288="Congé"),AND(F288="Congé spécial",D288="Congé sans solde"),AND(F288="Congé spécial",D288="Férié"),AND(F288="Férié",D288="OFF"),AND(F288="Férié",D288="Congé"),AND(F288="Férié",D288="Congé sans solde"),AND(F288="Férié",D288="Congé spécial")),0,IF(OR(F288="OFF",F288="Congé",F288="Congé spécial",F288="Congé sans solde",D288="OFF",D288="Congé",D288="Congé spécial",D288="Congé sans solde"),0.208333333333334,IF(AND(AG288="",F288-D288&lt;0),("24:00:00"-D288)+("00:00:00"+F288)-0.0416666666666667,IF(AND(OR(AG288="Allaitement",AG288="Sans déjeuner"),F288-D288&lt;0),("24:00:00"-D288)+("00:00:00"+F288),IF(AND(AG288="",F288-D288&gt;0.166666666666667),F288-D288-0.0416666666666667,IF(AND(OR(AG288="Allaitement",AG288="Sans déjeuner"),F288-D288&gt;0.166666666666667),F288-D288,F288-D288)))))))</f>
        <v>0</v>
      </c>
      <c r="P288" s="6" t="str">
        <f aca="false">IFERROR(VLOOKUP($B288,Agents!$A:$D,2,0),"-")</f>
        <v>Accessibilité</v>
      </c>
      <c r="Q288" s="21" t="n">
        <v>46053</v>
      </c>
      <c r="R288" s="8" t="n">
        <f aca="false">IF(M288="Abs",O288,0)</f>
        <v>0</v>
      </c>
      <c r="S288" s="8" t="n">
        <f aca="false">SUM(R288,L288,I288,J288,W288,H288)</f>
        <v>0</v>
      </c>
      <c r="T288" s="6" t="str">
        <f aca="false">"Sem - "&amp;WEEKNUM(Q288,21)</f>
        <v>Sem - 5</v>
      </c>
      <c r="U288" s="6" t="str">
        <f aca="false">CHOOSE(MONTH(Q288),"Janvier","Février","Mars","Avril","Mai","Juin","Juillet","Août","Septembre","Octobre","Novembre","Décembre")</f>
        <v>Janvier</v>
      </c>
      <c r="V288" s="22" t="n">
        <f aca="false">YEAR(Q288)</f>
        <v>2026</v>
      </c>
      <c r="W288" s="20"/>
      <c r="X288" s="8" t="n">
        <f aca="false">IFERROR(IF(M288="Abs",0,IF(ROUND((D288-C288+E288-F288)*1440,0)&lt;=1,0,D288-C288+E288-F288)),0)</f>
        <v>0</v>
      </c>
      <c r="Y288" s="6" t="str">
        <f aca="false">IFERROR(VLOOKUP($B288,Agents!$A:$D,3,0),"-")</f>
        <v>OUBRAHIM Mohammed</v>
      </c>
      <c r="Z288" s="6" t="str">
        <f aca="false">IFERROR(VLOOKUP($B288,Agents!$A:$D,4,0),"-")</f>
        <v>Credit Mutuel</v>
      </c>
      <c r="AA288" s="18" t="s">
        <v>86</v>
      </c>
      <c r="AB288" s="8" t="str">
        <f aca="false">IF(AND(D288="Congé",F288="Congé"),0.333333333333333,IF(OR(AND(D288="Congé",F288&lt;&gt;"Congé"),(AND(F288="Congé",D288&lt;&gt;"Congé"))),0.166666666666667,""))</f>
        <v/>
      </c>
      <c r="AC288" s="8" t="str">
        <f aca="false">IF(AND(D288="Congé sans solde",F288="Congé sans solde"),0.333333333333333,IF(OR(AND(D288="Congé sans solde",F288&lt;&gt;"Congé sans solde"),(AND(F288="Congé sans solde",D288&lt;&gt;"Congé sans solde"))),0.166666666666667,""))</f>
        <v/>
      </c>
      <c r="AD288" s="8" t="str">
        <f aca="false">IF(AND(D288="Congé spécial",F288="Congé spécial"),0.333333333333333,IF(OR(AND(D288="Congé spécial",F288&lt;&gt;"Congé spécial"),AND(F288="Congé spécial",D288&lt;&gt;"Congé spécial")),0.166666666666667,""))</f>
        <v/>
      </c>
      <c r="AE288" s="8" t="str">
        <f aca="false">IF(AND(D288="Férié",F288="Férié"),0.333333333333333,IF(OR(AND(D288="Férié",F288&lt;&gt;"Férié"),(AND(F288="Férié",D288&lt;&gt;"Férié"))),0.166666666666667,""))</f>
        <v/>
      </c>
      <c r="AF288" s="18"/>
      <c r="AG288" s="18"/>
    </row>
    <row r="289" customFormat="false" ht="15" hidden="false" customHeight="false" outlineLevel="0" collapsed="false">
      <c r="A289" s="6" t="str">
        <f aca="false">YEAR(Q289-WEEKDAY(Q289,2)+4)&amp;"-S"&amp;TEXT(WEEKNUM(Q289,21),"00")</f>
        <v>2026-S05</v>
      </c>
      <c r="B289" s="18" t="s">
        <v>73</v>
      </c>
      <c r="C289" s="19"/>
      <c r="D289" s="19" t="s">
        <v>74</v>
      </c>
      <c r="E289" s="19"/>
      <c r="F289" s="19" t="s">
        <v>74</v>
      </c>
      <c r="G289" s="20"/>
      <c r="H289" s="20"/>
      <c r="I289" s="8" t="str">
        <f aca="false">IF(IF(OR(C289="",D289="Congé",D289="OFF",D289="Congé spécial"),"",IF(D289&gt;F289,D289-C289,IF(C289-D289&lt;0,0,C289-D289)))&lt;0.00068287037037037,"",IF(OR(D289="Congé",D289="OFF",C289="",D289="Congé spécial"),"",IF(D289&gt;F289,D289-C289,IF(C289-D289&lt;0,0,C289-D289))))</f>
        <v/>
      </c>
      <c r="J289" s="20"/>
      <c r="K289" s="8" t="n">
        <f aca="false">IF(SUM(H289:J289)&lt;0.00068287037037037,0,SUM(H289:J289))</f>
        <v>0</v>
      </c>
      <c r="L289" s="8" t="n">
        <f aca="false">IF(OR(F289="Congé",F289="OFF",M289="Abs",F289="Congé sans solde",F289="Férié",F289="Congé spécial",D289="Congé spécial"),0,IF(F289-E289&lt;0,0,IF(F289-E289&lt;=0.00068287037037037,0,F289-E289)))</f>
        <v>0</v>
      </c>
      <c r="M289" s="6" t="n">
        <f aca="false">IF(AND(O289&lt;&gt;0,C289=""),"Abs",0)</f>
        <v>0</v>
      </c>
      <c r="N289" s="8" t="str">
        <f aca="false">IFERROR(IF(OR(D289="OFF",D289="Congé",M289="Abs",D289="Congé sans solde",D289="Férié"),"",IF(O289-K289-L289&gt;O289,O289,IF(O289-K289-L289&lt;0,"",O289-K289-L289))),"")</f>
        <v/>
      </c>
      <c r="O289" s="8" t="n">
        <f aca="false">IF(AG289="2H Pause déjeuner",IF(F289-D289-0.0833333333333333&lt;0,F289-D289-0.0833333333333333+1,F289-D289-0.0833333333333333),IF(OR(AND(F289="OFF",D289="OFF"),AND(F289="Congé",D289="Congé"),AND(F289="Congé sans solde",D289="Congé sans solde"),AND(F289="Congé spécial",D289="Congé spécial"),AND(F289="Férié",D289="Férié"),AND(F289="OFF",D289="Congé"),AND(F289="OFF",D289="Congé sans solde"),AND(F289="OFF",D289="Congé spécial"),AND(F289="OFF",D289="Férié"),AND(F289="Congé",D289="OFF"),AND(F289="Congé",D289="Congé sans solde"),AND(F289="Congé",D289="Congé spécial"),AND(F289="Congé",D289="Férié"),AND(F289="Congé sans solde",D289="OFF"),AND(F289="Congé sans solde",D289="Congé"),AND(F289="Congé sans solde",D289="Congé spécial"),AND(F289="Congé sans solde",D289="Férié"),AND(F289="Congé spécial",D289="OFF"),AND(F289="Congé spécial",D289="Congé"),AND(F289="Congé spécial",D289="Congé sans solde"),AND(F289="Congé spécial",D289="Férié"),AND(F289="Férié",D289="OFF"),AND(F289="Férié",D289="Congé"),AND(F289="Férié",D289="Congé sans solde"),AND(F289="Férié",D289="Congé spécial")),0,IF(OR(F289="OFF",F289="Congé",F289="Congé spécial",F289="Congé sans solde",D289="OFF",D289="Congé",D289="Congé spécial",D289="Congé sans solde"),0.208333333333334,IF(AND(AG289="",F289-D289&lt;0),("24:00:00"-D289)+("00:00:00"+F289)-0.0416666666666667,IF(AND(OR(AG289="Allaitement",AG289="Sans déjeuner"),F289-D289&lt;0),("24:00:00"-D289)+("00:00:00"+F289),IF(AND(AG289="",F289-D289&gt;0.166666666666667),F289-D289-0.0416666666666667,IF(AND(OR(AG289="Allaitement",AG289="Sans déjeuner"),F289-D289&gt;0.166666666666667),F289-D289,F289-D289)))))))</f>
        <v>0</v>
      </c>
      <c r="P289" s="6" t="str">
        <f aca="false">IFERROR(VLOOKUP($B289,Agents!$A:$D,2,0),"-")</f>
        <v>Accessibilité</v>
      </c>
      <c r="Q289" s="21" t="n">
        <v>46053</v>
      </c>
      <c r="R289" s="8" t="n">
        <f aca="false">IF(M289="Abs",O289,0)</f>
        <v>0</v>
      </c>
      <c r="S289" s="8" t="n">
        <f aca="false">SUM(R289,L289,I289,J289,W289,H289)</f>
        <v>0</v>
      </c>
      <c r="T289" s="6" t="str">
        <f aca="false">"Sem - "&amp;WEEKNUM(Q289,21)</f>
        <v>Sem - 5</v>
      </c>
      <c r="U289" s="6" t="str">
        <f aca="false">CHOOSE(MONTH(Q289),"Janvier","Février","Mars","Avril","Mai","Juin","Juillet","Août","Septembre","Octobre","Novembre","Décembre")</f>
        <v>Janvier</v>
      </c>
      <c r="V289" s="22" t="n">
        <f aca="false">YEAR(Q289)</f>
        <v>2026</v>
      </c>
      <c r="W289" s="20"/>
      <c r="X289" s="8" t="n">
        <f aca="false">IFERROR(IF(M289="Abs",0,IF(ROUND((D289-C289+E289-F289)*1440,0)&lt;=1,0,D289-C289+E289-F289)),0)</f>
        <v>0</v>
      </c>
      <c r="Y289" s="6" t="str">
        <f aca="false">IFERROR(VLOOKUP($B289,Agents!$A:$D,3,0),"-")</f>
        <v>OUBRAHIM Mohammed</v>
      </c>
      <c r="Z289" s="6" t="str">
        <f aca="false">IFERROR(VLOOKUP($B289,Agents!$A:$D,4,0),"-")</f>
        <v>Credit Mutuel</v>
      </c>
      <c r="AA289" s="18" t="s">
        <v>86</v>
      </c>
      <c r="AB289" s="8" t="str">
        <f aca="false">IF(AND(D289="Congé",F289="Congé"),0.333333333333333,IF(OR(AND(D289="Congé",F289&lt;&gt;"Congé"),(AND(F289="Congé",D289&lt;&gt;"Congé"))),0.166666666666667,""))</f>
        <v/>
      </c>
      <c r="AC289" s="8" t="str">
        <f aca="false">IF(AND(D289="Congé sans solde",F289="Congé sans solde"),0.333333333333333,IF(OR(AND(D289="Congé sans solde",F289&lt;&gt;"Congé sans solde"),(AND(F289="Congé sans solde",D289&lt;&gt;"Congé sans solde"))),0.166666666666667,""))</f>
        <v/>
      </c>
      <c r="AD289" s="8" t="str">
        <f aca="false">IF(AND(D289="Congé spécial",F289="Congé spécial"),0.333333333333333,IF(OR(AND(D289="Congé spécial",F289&lt;&gt;"Congé spécial"),AND(F289="Congé spécial",D289&lt;&gt;"Congé spécial")),0.166666666666667,""))</f>
        <v/>
      </c>
      <c r="AE289" s="8" t="str">
        <f aca="false">IF(AND(D289="Férié",F289="Férié"),0.333333333333333,IF(OR(AND(D289="Férié",F289&lt;&gt;"Férié"),(AND(F289="Férié",D289&lt;&gt;"Férié"))),0.166666666666667,""))</f>
        <v/>
      </c>
      <c r="AF289" s="18"/>
      <c r="AG289" s="18"/>
    </row>
    <row r="290" customFormat="false" ht="15" hidden="false" customHeight="false" outlineLevel="0" collapsed="false">
      <c r="A290" s="6" t="str">
        <f aca="false">YEAR(Q290-WEEKDAY(Q290,2)+4)&amp;"-S"&amp;TEXT(WEEKNUM(Q290,21),"00")</f>
        <v>2026-S05</v>
      </c>
      <c r="B290" s="18" t="s">
        <v>69</v>
      </c>
      <c r="C290" s="19"/>
      <c r="D290" s="19" t="s">
        <v>74</v>
      </c>
      <c r="E290" s="19"/>
      <c r="F290" s="19" t="s">
        <v>74</v>
      </c>
      <c r="G290" s="20"/>
      <c r="H290" s="20"/>
      <c r="I290" s="8" t="str">
        <f aca="false">IF(IF(OR(C290="",D290="Congé",D290="OFF",D290="Congé spécial"),"",IF(D290&gt;F290,D290-C290,IF(C290-D290&lt;0,0,C290-D290)))&lt;0.00068287037037037,"",IF(OR(D290="Congé",D290="OFF",C290="",D290="Congé spécial"),"",IF(D290&gt;F290,D290-C290,IF(C290-D290&lt;0,0,C290-D290))))</f>
        <v/>
      </c>
      <c r="J290" s="20"/>
      <c r="K290" s="8" t="n">
        <f aca="false">IF(SUM(H290:J290)&lt;0.00068287037037037,0,SUM(H290:J290))</f>
        <v>0</v>
      </c>
      <c r="L290" s="8" t="n">
        <f aca="false">IF(OR(F290="Congé",F290="OFF",M290="Abs",F290="Congé sans solde",F290="Férié",F290="Congé spécial",D290="Congé spécial"),0,IF(F290-E290&lt;0,0,IF(F290-E290&lt;=0.00068287037037037,0,F290-E290)))</f>
        <v>0</v>
      </c>
      <c r="M290" s="6" t="n">
        <f aca="false">IF(AND(O290&lt;&gt;0,C290=""),"Abs",0)</f>
        <v>0</v>
      </c>
      <c r="N290" s="8" t="str">
        <f aca="false">IFERROR(IF(OR(D290="OFF",D290="Congé",M290="Abs",D290="Congé sans solde",D290="Férié"),"",IF(O290-K290-L290&gt;O290,O290,IF(O290-K290-L290&lt;0,"",O290-K290-L290))),"")</f>
        <v/>
      </c>
      <c r="O290" s="8" t="n">
        <f aca="false">IF(AG290="2H Pause déjeuner",IF(F290-D290-0.0833333333333333&lt;0,F290-D290-0.0833333333333333+1,F290-D290-0.0833333333333333),IF(OR(AND(F290="OFF",D290="OFF"),AND(F290="Congé",D290="Congé"),AND(F290="Congé sans solde",D290="Congé sans solde"),AND(F290="Congé spécial",D290="Congé spécial"),AND(F290="Férié",D290="Férié"),AND(F290="OFF",D290="Congé"),AND(F290="OFF",D290="Congé sans solde"),AND(F290="OFF",D290="Congé spécial"),AND(F290="OFF",D290="Férié"),AND(F290="Congé",D290="OFF"),AND(F290="Congé",D290="Congé sans solde"),AND(F290="Congé",D290="Congé spécial"),AND(F290="Congé",D290="Férié"),AND(F290="Congé sans solde",D290="OFF"),AND(F290="Congé sans solde",D290="Congé"),AND(F290="Congé sans solde",D290="Congé spécial"),AND(F290="Congé sans solde",D290="Férié"),AND(F290="Congé spécial",D290="OFF"),AND(F290="Congé spécial",D290="Congé"),AND(F290="Congé spécial",D290="Congé sans solde"),AND(F290="Congé spécial",D290="Férié"),AND(F290="Férié",D290="OFF"),AND(F290="Férié",D290="Congé"),AND(F290="Férié",D290="Congé sans solde"),AND(F290="Férié",D290="Congé spécial")),0,IF(OR(F290="OFF",F290="Congé",F290="Congé spécial",F290="Congé sans solde",D290="OFF",D290="Congé",D290="Congé spécial",D290="Congé sans solde"),0.208333333333334,IF(AND(AG290="",F290-D290&lt;0),("24:00:00"-D290)+("00:00:00"+F290)-0.0416666666666667,IF(AND(OR(AG290="Allaitement",AG290="Sans déjeuner"),F290-D290&lt;0),("24:00:00"-D290)+("00:00:00"+F290),IF(AND(AG290="",F290-D290&gt;0.166666666666667),F290-D290-0.0416666666666667,IF(AND(OR(AG290="Allaitement",AG290="Sans déjeuner"),F290-D290&gt;0.166666666666667),F290-D290,F290-D290)))))))</f>
        <v>0</v>
      </c>
      <c r="P290" s="6" t="str">
        <f aca="false">IFERROR(VLOOKUP($B290,Agents!$A:$D,2,0),"-")</f>
        <v>Accessibilité</v>
      </c>
      <c r="Q290" s="21" t="n">
        <v>46054</v>
      </c>
      <c r="R290" s="8" t="n">
        <f aca="false">IF(M290="Abs",O290,0)</f>
        <v>0</v>
      </c>
      <c r="S290" s="8" t="n">
        <f aca="false">SUM(R290,L290,I290,J290,W290,H290)</f>
        <v>0</v>
      </c>
      <c r="T290" s="6" t="str">
        <f aca="false">"Sem - "&amp;WEEKNUM(Q290,21)</f>
        <v>Sem - 5</v>
      </c>
      <c r="U290" s="6" t="str">
        <f aca="false">CHOOSE(MONTH(Q290),"Janvier","Février","Mars","Avril","Mai","Juin","Juillet","Août","Septembre","Octobre","Novembre","Décembre")</f>
        <v>Février</v>
      </c>
      <c r="V290" s="22" t="n">
        <f aca="false">YEAR(Q290)</f>
        <v>2026</v>
      </c>
      <c r="W290" s="20"/>
      <c r="X290" s="8" t="n">
        <f aca="false">IFERROR(IF(M290="Abs",0,IF(ROUND((D290-C290+E290-F290)*1440,0)&lt;=1,0,D290-C290+E290-F290)),0)</f>
        <v>0</v>
      </c>
      <c r="Y290" s="6" t="str">
        <f aca="false">IFERROR(VLOOKUP($B290,Agents!$A:$D,3,0),"-")</f>
        <v>OUBRAHIM Mohammed</v>
      </c>
      <c r="Z290" s="6" t="str">
        <f aca="false">IFERROR(VLOOKUP($B290,Agents!$A:$D,4,0),"-")</f>
        <v>Credit Mutuel</v>
      </c>
      <c r="AA290" s="18" t="s">
        <v>86</v>
      </c>
      <c r="AB290" s="8" t="str">
        <f aca="false">IF(AND(D290="Congé",F290="Congé"),0.333333333333333,IF(OR(AND(D290="Congé",F290&lt;&gt;"Congé"),(AND(F290="Congé",D290&lt;&gt;"Congé"))),0.166666666666667,""))</f>
        <v/>
      </c>
      <c r="AC290" s="8" t="str">
        <f aca="false">IF(AND(D290="Congé sans solde",F290="Congé sans solde"),0.333333333333333,IF(OR(AND(D290="Congé sans solde",F290&lt;&gt;"Congé sans solde"),(AND(F290="Congé sans solde",D290&lt;&gt;"Congé sans solde"))),0.166666666666667,""))</f>
        <v/>
      </c>
      <c r="AD290" s="8" t="str">
        <f aca="false">IF(AND(D290="Congé spécial",F290="Congé spécial"),0.333333333333333,IF(OR(AND(D290="Congé spécial",F290&lt;&gt;"Congé spécial"),AND(F290="Congé spécial",D290&lt;&gt;"Congé spécial")),0.166666666666667,""))</f>
        <v/>
      </c>
      <c r="AE290" s="8" t="str">
        <f aca="false">IF(AND(D290="Férié",F290="Férié"),0.333333333333333,IF(OR(AND(D290="Férié",F290&lt;&gt;"Férié"),(AND(F290="Férié",D290&lt;&gt;"Férié"))),0.166666666666667,""))</f>
        <v/>
      </c>
      <c r="AF290" s="18"/>
      <c r="AG290" s="18"/>
    </row>
    <row r="291" customFormat="false" ht="15" hidden="false" customHeight="false" outlineLevel="0" collapsed="false">
      <c r="A291" s="6" t="str">
        <f aca="false">YEAR(Q291-WEEKDAY(Q291,2)+4)&amp;"-S"&amp;TEXT(WEEKNUM(Q291,21),"00")</f>
        <v>2026-S05</v>
      </c>
      <c r="B291" s="18" t="s">
        <v>71</v>
      </c>
      <c r="C291" s="19"/>
      <c r="D291" s="19" t="s">
        <v>74</v>
      </c>
      <c r="E291" s="19"/>
      <c r="F291" s="19" t="s">
        <v>74</v>
      </c>
      <c r="G291" s="20"/>
      <c r="H291" s="20"/>
      <c r="I291" s="8" t="str">
        <f aca="false">IF(IF(OR(C291="",D291="Congé",D291="OFF",D291="Congé spécial"),"",IF(D291&gt;F291,D291-C291,IF(C291-D291&lt;0,0,C291-D291)))&lt;0.00068287037037037,"",IF(OR(D291="Congé",D291="OFF",C291="",D291="Congé spécial"),"",IF(D291&gt;F291,D291-C291,IF(C291-D291&lt;0,0,C291-D291))))</f>
        <v/>
      </c>
      <c r="J291" s="20"/>
      <c r="K291" s="8" t="n">
        <f aca="false">IF(SUM(H291:J291)&lt;0.00068287037037037,0,SUM(H291:J291))</f>
        <v>0</v>
      </c>
      <c r="L291" s="8" t="n">
        <f aca="false">IF(OR(F291="Congé",F291="OFF",M291="Abs",F291="Congé sans solde",F291="Férié",F291="Congé spécial",D291="Congé spécial"),0,IF(F291-E291&lt;0,0,IF(F291-E291&lt;=0.00068287037037037,0,F291-E291)))</f>
        <v>0</v>
      </c>
      <c r="M291" s="6" t="n">
        <f aca="false">IF(AND(O291&lt;&gt;0,C291=""),"Abs",0)</f>
        <v>0</v>
      </c>
      <c r="N291" s="8" t="str">
        <f aca="false">IFERROR(IF(OR(D291="OFF",D291="Congé",M291="Abs",D291="Congé sans solde",D291="Férié"),"",IF(O291-K291-L291&gt;O291,O291,IF(O291-K291-L291&lt;0,"",O291-K291-L291))),"")</f>
        <v/>
      </c>
      <c r="O291" s="8" t="n">
        <f aca="false">IF(AG291="2H Pause déjeuner",IF(F291-D291-0.0833333333333333&lt;0,F291-D291-0.0833333333333333+1,F291-D291-0.0833333333333333),IF(OR(AND(F291="OFF",D291="OFF"),AND(F291="Congé",D291="Congé"),AND(F291="Congé sans solde",D291="Congé sans solde"),AND(F291="Congé spécial",D291="Congé spécial"),AND(F291="Férié",D291="Férié"),AND(F291="OFF",D291="Congé"),AND(F291="OFF",D291="Congé sans solde"),AND(F291="OFF",D291="Congé spécial"),AND(F291="OFF",D291="Férié"),AND(F291="Congé",D291="OFF"),AND(F291="Congé",D291="Congé sans solde"),AND(F291="Congé",D291="Congé spécial"),AND(F291="Congé",D291="Férié"),AND(F291="Congé sans solde",D291="OFF"),AND(F291="Congé sans solde",D291="Congé"),AND(F291="Congé sans solde",D291="Congé spécial"),AND(F291="Congé sans solde",D291="Férié"),AND(F291="Congé spécial",D291="OFF"),AND(F291="Congé spécial",D291="Congé"),AND(F291="Congé spécial",D291="Congé sans solde"),AND(F291="Congé spécial",D291="Férié"),AND(F291="Férié",D291="OFF"),AND(F291="Férié",D291="Congé"),AND(F291="Férié",D291="Congé sans solde"),AND(F291="Férié",D291="Congé spécial")),0,IF(OR(F291="OFF",F291="Congé",F291="Congé spécial",F291="Congé sans solde",D291="OFF",D291="Congé",D291="Congé spécial",D291="Congé sans solde"),0.208333333333334,IF(AND(AG291="",F291-D291&lt;0),("24:00:00"-D291)+("00:00:00"+F291)-0.0416666666666667,IF(AND(OR(AG291="Allaitement",AG291="Sans déjeuner"),F291-D291&lt;0),("24:00:00"-D291)+("00:00:00"+F291),IF(AND(AG291="",F291-D291&gt;0.166666666666667),F291-D291-0.0416666666666667,IF(AND(OR(AG291="Allaitement",AG291="Sans déjeuner"),F291-D291&gt;0.166666666666667),F291-D291,F291-D291)))))))</f>
        <v>0</v>
      </c>
      <c r="P291" s="6" t="str">
        <f aca="false">IFERROR(VLOOKUP($B291,Agents!$A:$D,2,0),"-")</f>
        <v>Accessibilité</v>
      </c>
      <c r="Q291" s="21" t="n">
        <v>46054</v>
      </c>
      <c r="R291" s="8" t="n">
        <f aca="false">IF(M291="Abs",O291,0)</f>
        <v>0</v>
      </c>
      <c r="S291" s="8" t="n">
        <f aca="false">SUM(R291,L291,I291,J291,W291,H291)</f>
        <v>0</v>
      </c>
      <c r="T291" s="6" t="str">
        <f aca="false">"Sem - "&amp;WEEKNUM(Q291,21)</f>
        <v>Sem - 5</v>
      </c>
      <c r="U291" s="6" t="str">
        <f aca="false">CHOOSE(MONTH(Q291),"Janvier","Février","Mars","Avril","Mai","Juin","Juillet","Août","Septembre","Octobre","Novembre","Décembre")</f>
        <v>Février</v>
      </c>
      <c r="V291" s="22" t="n">
        <f aca="false">YEAR(Q291)</f>
        <v>2026</v>
      </c>
      <c r="W291" s="20"/>
      <c r="X291" s="8" t="n">
        <f aca="false">IFERROR(IF(M291="Abs",0,IF(ROUND((D291-C291+E291-F291)*1440,0)&lt;=1,0,D291-C291+E291-F291)),0)</f>
        <v>0</v>
      </c>
      <c r="Y291" s="6" t="str">
        <f aca="false">IFERROR(VLOOKUP($B291,Agents!$A:$D,3,0),"-")</f>
        <v>OUBRAHIM Mohammed</v>
      </c>
      <c r="Z291" s="6" t="str">
        <f aca="false">IFERROR(VLOOKUP($B291,Agents!$A:$D,4,0),"-")</f>
        <v>Credit Mutuel</v>
      </c>
      <c r="AA291" s="18" t="s">
        <v>86</v>
      </c>
      <c r="AB291" s="8" t="str">
        <f aca="false">IF(AND(D291="Congé",F291="Congé"),0.333333333333333,IF(OR(AND(D291="Congé",F291&lt;&gt;"Congé"),(AND(F291="Congé",D291&lt;&gt;"Congé"))),0.166666666666667,""))</f>
        <v/>
      </c>
      <c r="AC291" s="8" t="str">
        <f aca="false">IF(AND(D291="Congé sans solde",F291="Congé sans solde"),0.333333333333333,IF(OR(AND(D291="Congé sans solde",F291&lt;&gt;"Congé sans solde"),(AND(F291="Congé sans solde",D291&lt;&gt;"Congé sans solde"))),0.166666666666667,""))</f>
        <v/>
      </c>
      <c r="AD291" s="8" t="str">
        <f aca="false">IF(AND(D291="Congé spécial",F291="Congé spécial"),0.333333333333333,IF(OR(AND(D291="Congé spécial",F291&lt;&gt;"Congé spécial"),AND(F291="Congé spécial",D291&lt;&gt;"Congé spécial")),0.166666666666667,""))</f>
        <v/>
      </c>
      <c r="AE291" s="8" t="str">
        <f aca="false">IF(AND(D291="Férié",F291="Férié"),0.333333333333333,IF(OR(AND(D291="Férié",F291&lt;&gt;"Férié"),(AND(F291="Férié",D291&lt;&gt;"Férié"))),0.166666666666667,""))</f>
        <v/>
      </c>
      <c r="AF291" s="18"/>
      <c r="AG291" s="18"/>
    </row>
    <row r="292" customFormat="false" ht="15" hidden="false" customHeight="false" outlineLevel="0" collapsed="false">
      <c r="A292" s="6" t="str">
        <f aca="false">YEAR(Q292-WEEKDAY(Q292,2)+4)&amp;"-S"&amp;TEXT(WEEKNUM(Q292,21),"00")</f>
        <v>2026-S05</v>
      </c>
      <c r="B292" s="18" t="s">
        <v>72</v>
      </c>
      <c r="C292" s="19"/>
      <c r="D292" s="19" t="s">
        <v>74</v>
      </c>
      <c r="E292" s="19"/>
      <c r="F292" s="19" t="s">
        <v>74</v>
      </c>
      <c r="G292" s="20"/>
      <c r="H292" s="20"/>
      <c r="I292" s="8" t="str">
        <f aca="false">IF(IF(OR(C292="",D292="Congé",D292="OFF",D292="Congé spécial"),"",IF(D292&gt;F292,D292-C292,IF(C292-D292&lt;0,0,C292-D292)))&lt;0.00068287037037037,"",IF(OR(D292="Congé",D292="OFF",C292="",D292="Congé spécial"),"",IF(D292&gt;F292,D292-C292,IF(C292-D292&lt;0,0,C292-D292))))</f>
        <v/>
      </c>
      <c r="J292" s="20"/>
      <c r="K292" s="8" t="n">
        <f aca="false">IF(SUM(H292:J292)&lt;0.00068287037037037,0,SUM(H292:J292))</f>
        <v>0</v>
      </c>
      <c r="L292" s="8" t="n">
        <f aca="false">IF(OR(F292="Congé",F292="OFF",M292="Abs",F292="Congé sans solde",F292="Férié",F292="Congé spécial",D292="Congé spécial"),0,IF(F292-E292&lt;0,0,IF(F292-E292&lt;=0.00068287037037037,0,F292-E292)))</f>
        <v>0</v>
      </c>
      <c r="M292" s="6" t="n">
        <f aca="false">IF(AND(O292&lt;&gt;0,C292=""),"Abs",0)</f>
        <v>0</v>
      </c>
      <c r="N292" s="8" t="str">
        <f aca="false">IFERROR(IF(OR(D292="OFF",D292="Congé",M292="Abs",D292="Congé sans solde",D292="Férié"),"",IF(O292-K292-L292&gt;O292,O292,IF(O292-K292-L292&lt;0,"",O292-K292-L292))),"")</f>
        <v/>
      </c>
      <c r="O292" s="8" t="n">
        <f aca="false">IF(AG292="2H Pause déjeuner",IF(F292-D292-0.0833333333333333&lt;0,F292-D292-0.0833333333333333+1,F292-D292-0.0833333333333333),IF(OR(AND(F292="OFF",D292="OFF"),AND(F292="Congé",D292="Congé"),AND(F292="Congé sans solde",D292="Congé sans solde"),AND(F292="Congé spécial",D292="Congé spécial"),AND(F292="Férié",D292="Férié"),AND(F292="OFF",D292="Congé"),AND(F292="OFF",D292="Congé sans solde"),AND(F292="OFF",D292="Congé spécial"),AND(F292="OFF",D292="Férié"),AND(F292="Congé",D292="OFF"),AND(F292="Congé",D292="Congé sans solde"),AND(F292="Congé",D292="Congé spécial"),AND(F292="Congé",D292="Férié"),AND(F292="Congé sans solde",D292="OFF"),AND(F292="Congé sans solde",D292="Congé"),AND(F292="Congé sans solde",D292="Congé spécial"),AND(F292="Congé sans solde",D292="Férié"),AND(F292="Congé spécial",D292="OFF"),AND(F292="Congé spécial",D292="Congé"),AND(F292="Congé spécial",D292="Congé sans solde"),AND(F292="Congé spécial",D292="Férié"),AND(F292="Férié",D292="OFF"),AND(F292="Férié",D292="Congé"),AND(F292="Férié",D292="Congé sans solde"),AND(F292="Férié",D292="Congé spécial")),0,IF(OR(F292="OFF",F292="Congé",F292="Congé spécial",F292="Congé sans solde",D292="OFF",D292="Congé",D292="Congé spécial",D292="Congé sans solde"),0.208333333333334,IF(AND(AG292="",F292-D292&lt;0),("24:00:00"-D292)+("00:00:00"+F292)-0.0416666666666667,IF(AND(OR(AG292="Allaitement",AG292="Sans déjeuner"),F292-D292&lt;0),("24:00:00"-D292)+("00:00:00"+F292),IF(AND(AG292="",F292-D292&gt;0.166666666666667),F292-D292-0.0416666666666667,IF(AND(OR(AG292="Allaitement",AG292="Sans déjeuner"),F292-D292&gt;0.166666666666667),F292-D292,F292-D292)))))))</f>
        <v>0</v>
      </c>
      <c r="P292" s="6" t="str">
        <f aca="false">IFERROR(VLOOKUP($B292,Agents!$A:$D,2,0),"-")</f>
        <v>Accessibilité</v>
      </c>
      <c r="Q292" s="21" t="n">
        <v>46054</v>
      </c>
      <c r="R292" s="8" t="n">
        <f aca="false">IF(M292="Abs",O292,0)</f>
        <v>0</v>
      </c>
      <c r="S292" s="8" t="n">
        <f aca="false">SUM(R292,L292,I292,J292,W292,H292)</f>
        <v>0</v>
      </c>
      <c r="T292" s="6" t="str">
        <f aca="false">"Sem - "&amp;WEEKNUM(Q292,21)</f>
        <v>Sem - 5</v>
      </c>
      <c r="U292" s="6" t="str">
        <f aca="false">CHOOSE(MONTH(Q292),"Janvier","Février","Mars","Avril","Mai","Juin","Juillet","Août","Septembre","Octobre","Novembre","Décembre")</f>
        <v>Février</v>
      </c>
      <c r="V292" s="22" t="n">
        <f aca="false">YEAR(Q292)</f>
        <v>2026</v>
      </c>
      <c r="W292" s="20"/>
      <c r="X292" s="8" t="n">
        <f aca="false">IFERROR(IF(M292="Abs",0,IF(ROUND((D292-C292+E292-F292)*1440,0)&lt;=1,0,D292-C292+E292-F292)),0)</f>
        <v>0</v>
      </c>
      <c r="Y292" s="6" t="str">
        <f aca="false">IFERROR(VLOOKUP($B292,Agents!$A:$D,3,0),"-")</f>
        <v>OUBRAHIM Mohammed</v>
      </c>
      <c r="Z292" s="6" t="str">
        <f aca="false">IFERROR(VLOOKUP($B292,Agents!$A:$D,4,0),"-")</f>
        <v>Credit Mutuel</v>
      </c>
      <c r="AA292" s="18" t="s">
        <v>86</v>
      </c>
      <c r="AB292" s="8" t="str">
        <f aca="false">IF(AND(D292="Congé",F292="Congé"),0.333333333333333,IF(OR(AND(D292="Congé",F292&lt;&gt;"Congé"),(AND(F292="Congé",D292&lt;&gt;"Congé"))),0.166666666666667,""))</f>
        <v/>
      </c>
      <c r="AC292" s="8" t="str">
        <f aca="false">IF(AND(D292="Congé sans solde",F292="Congé sans solde"),0.333333333333333,IF(OR(AND(D292="Congé sans solde",F292&lt;&gt;"Congé sans solde"),(AND(F292="Congé sans solde",D292&lt;&gt;"Congé sans solde"))),0.166666666666667,""))</f>
        <v/>
      </c>
      <c r="AD292" s="8" t="str">
        <f aca="false">IF(AND(D292="Congé spécial",F292="Congé spécial"),0.333333333333333,IF(OR(AND(D292="Congé spécial",F292&lt;&gt;"Congé spécial"),AND(F292="Congé spécial",D292&lt;&gt;"Congé spécial")),0.166666666666667,""))</f>
        <v/>
      </c>
      <c r="AE292" s="8" t="str">
        <f aca="false">IF(AND(D292="Férié",F292="Férié"),0.333333333333333,IF(OR(AND(D292="Férié",F292&lt;&gt;"Férié"),(AND(F292="Férié",D292&lt;&gt;"Férié"))),0.166666666666667,""))</f>
        <v/>
      </c>
      <c r="AF292" s="18"/>
      <c r="AG292" s="18"/>
    </row>
    <row r="293" customFormat="false" ht="15" hidden="false" customHeight="false" outlineLevel="0" collapsed="false">
      <c r="A293" s="6" t="str">
        <f aca="false">YEAR(Q293-WEEKDAY(Q293,2)+4)&amp;"-S"&amp;TEXT(WEEKNUM(Q293,21),"00")</f>
        <v>2026-S05</v>
      </c>
      <c r="B293" s="18" t="s">
        <v>73</v>
      </c>
      <c r="C293" s="19"/>
      <c r="D293" s="19" t="s">
        <v>74</v>
      </c>
      <c r="E293" s="19"/>
      <c r="F293" s="19" t="s">
        <v>74</v>
      </c>
      <c r="G293" s="20"/>
      <c r="H293" s="20"/>
      <c r="I293" s="8" t="str">
        <f aca="false">IF(IF(OR(C293="",D293="Congé",D293="OFF",D293="Congé spécial"),"",IF(D293&gt;F293,D293-C293,IF(C293-D293&lt;0,0,C293-D293)))&lt;0.00068287037037037,"",IF(OR(D293="Congé",D293="OFF",C293="",D293="Congé spécial"),"",IF(D293&gt;F293,D293-C293,IF(C293-D293&lt;0,0,C293-D293))))</f>
        <v/>
      </c>
      <c r="J293" s="20"/>
      <c r="K293" s="8" t="n">
        <f aca="false">IF(SUM(H293:J293)&lt;0.00068287037037037,0,SUM(H293:J293))</f>
        <v>0</v>
      </c>
      <c r="L293" s="8" t="n">
        <f aca="false">IF(OR(F293="Congé",F293="OFF",M293="Abs",F293="Congé sans solde",F293="Férié",F293="Congé spécial",D293="Congé spécial"),0,IF(F293-E293&lt;0,0,IF(F293-E293&lt;=0.00068287037037037,0,F293-E293)))</f>
        <v>0</v>
      </c>
      <c r="M293" s="6" t="n">
        <f aca="false">IF(AND(O293&lt;&gt;0,C293=""),"Abs",0)</f>
        <v>0</v>
      </c>
      <c r="N293" s="8" t="str">
        <f aca="false">IFERROR(IF(OR(D293="OFF",D293="Congé",M293="Abs",D293="Congé sans solde",D293="Férié"),"",IF(O293-K293-L293&gt;O293,O293,IF(O293-K293-L293&lt;0,"",O293-K293-L293))),"")</f>
        <v/>
      </c>
      <c r="O293" s="8" t="n">
        <f aca="false">IF(AG293="2H Pause déjeuner",IF(F293-D293-0.0833333333333333&lt;0,F293-D293-0.0833333333333333+1,F293-D293-0.0833333333333333),IF(OR(AND(F293="OFF",D293="OFF"),AND(F293="Congé",D293="Congé"),AND(F293="Congé sans solde",D293="Congé sans solde"),AND(F293="Congé spécial",D293="Congé spécial"),AND(F293="Férié",D293="Férié"),AND(F293="OFF",D293="Congé"),AND(F293="OFF",D293="Congé sans solde"),AND(F293="OFF",D293="Congé spécial"),AND(F293="OFF",D293="Férié"),AND(F293="Congé",D293="OFF"),AND(F293="Congé",D293="Congé sans solde"),AND(F293="Congé",D293="Congé spécial"),AND(F293="Congé",D293="Férié"),AND(F293="Congé sans solde",D293="OFF"),AND(F293="Congé sans solde",D293="Congé"),AND(F293="Congé sans solde",D293="Congé spécial"),AND(F293="Congé sans solde",D293="Férié"),AND(F293="Congé spécial",D293="OFF"),AND(F293="Congé spécial",D293="Congé"),AND(F293="Congé spécial",D293="Congé sans solde"),AND(F293="Congé spécial",D293="Férié"),AND(F293="Férié",D293="OFF"),AND(F293="Férié",D293="Congé"),AND(F293="Férié",D293="Congé sans solde"),AND(F293="Férié",D293="Congé spécial")),0,IF(OR(F293="OFF",F293="Congé",F293="Congé spécial",F293="Congé sans solde",D293="OFF",D293="Congé",D293="Congé spécial",D293="Congé sans solde"),0.208333333333334,IF(AND(AG293="",F293-D293&lt;0),("24:00:00"-D293)+("00:00:00"+F293)-0.0416666666666667,IF(AND(OR(AG293="Allaitement",AG293="Sans déjeuner"),F293-D293&lt;0),("24:00:00"-D293)+("00:00:00"+F293),IF(AND(AG293="",F293-D293&gt;0.166666666666667),F293-D293-0.0416666666666667,IF(AND(OR(AG293="Allaitement",AG293="Sans déjeuner"),F293-D293&gt;0.166666666666667),F293-D293,F293-D293)))))))</f>
        <v>0</v>
      </c>
      <c r="P293" s="6" t="str">
        <f aca="false">IFERROR(VLOOKUP($B293,Agents!$A:$D,2,0),"-")</f>
        <v>Accessibilité</v>
      </c>
      <c r="Q293" s="21" t="n">
        <v>46054</v>
      </c>
      <c r="R293" s="8" t="n">
        <f aca="false">IF(M293="Abs",O293,0)</f>
        <v>0</v>
      </c>
      <c r="S293" s="8" t="n">
        <f aca="false">SUM(R293,L293,I293,J293,W293,H293)</f>
        <v>0</v>
      </c>
      <c r="T293" s="6" t="str">
        <f aca="false">"Sem - "&amp;WEEKNUM(Q293,21)</f>
        <v>Sem - 5</v>
      </c>
      <c r="U293" s="6" t="str">
        <f aca="false">CHOOSE(MONTH(Q293),"Janvier","Février","Mars","Avril","Mai","Juin","Juillet","Août","Septembre","Octobre","Novembre","Décembre")</f>
        <v>Février</v>
      </c>
      <c r="V293" s="22" t="n">
        <f aca="false">YEAR(Q293)</f>
        <v>2026</v>
      </c>
      <c r="W293" s="20"/>
      <c r="X293" s="8" t="n">
        <f aca="false">IFERROR(IF(M293="Abs",0,IF(ROUND((D293-C293+E293-F293)*1440,0)&lt;=1,0,D293-C293+E293-F293)),0)</f>
        <v>0</v>
      </c>
      <c r="Y293" s="6" t="str">
        <f aca="false">IFERROR(VLOOKUP($B293,Agents!$A:$D,3,0),"-")</f>
        <v>OUBRAHIM Mohammed</v>
      </c>
      <c r="Z293" s="6" t="str">
        <f aca="false">IFERROR(VLOOKUP($B293,Agents!$A:$D,4,0),"-")</f>
        <v>Credit Mutuel</v>
      </c>
      <c r="AA293" s="18" t="s">
        <v>86</v>
      </c>
      <c r="AB293" s="8" t="str">
        <f aca="false">IF(AND(D293="Congé",F293="Congé"),0.333333333333333,IF(OR(AND(D293="Congé",F293&lt;&gt;"Congé"),(AND(F293="Congé",D293&lt;&gt;"Congé"))),0.166666666666667,""))</f>
        <v/>
      </c>
      <c r="AC293" s="8" t="str">
        <f aca="false">IF(AND(D293="Congé sans solde",F293="Congé sans solde"),0.333333333333333,IF(OR(AND(D293="Congé sans solde",F293&lt;&gt;"Congé sans solde"),(AND(F293="Congé sans solde",D293&lt;&gt;"Congé sans solde"))),0.166666666666667,""))</f>
        <v/>
      </c>
      <c r="AD293" s="8" t="str">
        <f aca="false">IF(AND(D293="Congé spécial",F293="Congé spécial"),0.333333333333333,IF(OR(AND(D293="Congé spécial",F293&lt;&gt;"Congé spécial"),AND(F293="Congé spécial",D293&lt;&gt;"Congé spécial")),0.166666666666667,""))</f>
        <v/>
      </c>
      <c r="AE293" s="8" t="str">
        <f aca="false">IF(AND(D293="Férié",F293="Férié"),0.333333333333333,IF(OR(AND(D293="Férié",F293&lt;&gt;"Férié"),(AND(F293="Férié",D293&lt;&gt;"Férié"))),0.166666666666667,""))</f>
        <v/>
      </c>
      <c r="AF293" s="18"/>
      <c r="AG293" s="18"/>
    </row>
    <row r="294" customFormat="false" ht="15" hidden="false" customHeight="false" outlineLevel="0" collapsed="false">
      <c r="A294" s="6" t="str">
        <f aca="false">YEAR(Q294-WEEKDAY(Q294,2)+4)&amp;"-S"&amp;TEXT(WEEKNUM(Q294,21),"00")</f>
        <v>2026-S06</v>
      </c>
      <c r="B294" s="18" t="s">
        <v>69</v>
      </c>
      <c r="C294" s="19" t="n">
        <v>0.333333333333333</v>
      </c>
      <c r="D294" s="19" t="n">
        <v>0.333333333333333</v>
      </c>
      <c r="E294" s="19" t="n">
        <v>0.75</v>
      </c>
      <c r="F294" s="19" t="n">
        <v>0.75</v>
      </c>
      <c r="G294" s="20"/>
      <c r="H294" s="20"/>
      <c r="I294" s="8" t="str">
        <f aca="false">IF(IF(OR(C294="",D294="Congé",D294="OFF",D294="Congé spécial"),"",IF(D294&gt;F294,D294-C294,IF(C294-D294&lt;0,0,C294-D294)))&lt;0.00068287037037037,"",IF(OR(D294="Congé",D294="OFF",C294="",D294="Congé spécial"),"",IF(D294&gt;F294,D294-C294,IF(C294-D294&lt;0,0,C294-D294))))</f>
        <v/>
      </c>
      <c r="J294" s="20"/>
      <c r="K294" s="8" t="n">
        <f aca="false">IF(SUM(H294:J294)&lt;0.00068287037037037,0,SUM(H294:J294))</f>
        <v>0</v>
      </c>
      <c r="L294" s="8" t="n">
        <f aca="false">IF(OR(F294="Congé",F294="OFF",M294="Abs",F294="Congé sans solde",F294="Férié",F294="Congé spécial",D294="Congé spécial"),0,IF(F294-E294&lt;0,0,IF(F294-E294&lt;=0.00068287037037037,0,F294-E294)))</f>
        <v>0</v>
      </c>
      <c r="M294" s="6" t="n">
        <f aca="false">IF(AND(O294&lt;&gt;0,C294=""),"Abs",0)</f>
        <v>0</v>
      </c>
      <c r="N294" s="8" t="n">
        <f aca="false">IFERROR(IF(OR(D294="OFF",D294="Congé",M294="Abs",D294="Congé sans solde",D294="Férié"),"",IF(O294-K294-L294&gt;O294,O294,IF(O294-K294-L294&lt;0,"",O294-K294-L294))),"")</f>
        <v>0.375</v>
      </c>
      <c r="O294" s="8" t="n">
        <f aca="false">IF(AG294="2H Pause déjeuner",IF(F294-D294-0.0833333333333333&lt;0,F294-D294-0.0833333333333333+1,F294-D294-0.0833333333333333),IF(OR(AND(F294="OFF",D294="OFF"),AND(F294="Congé",D294="Congé"),AND(F294="Congé sans solde",D294="Congé sans solde"),AND(F294="Congé spécial",D294="Congé spécial"),AND(F294="Férié",D294="Férié"),AND(F294="OFF",D294="Congé"),AND(F294="OFF",D294="Congé sans solde"),AND(F294="OFF",D294="Congé spécial"),AND(F294="OFF",D294="Férié"),AND(F294="Congé",D294="OFF"),AND(F294="Congé",D294="Congé sans solde"),AND(F294="Congé",D294="Congé spécial"),AND(F294="Congé",D294="Férié"),AND(F294="Congé sans solde",D294="OFF"),AND(F294="Congé sans solde",D294="Congé"),AND(F294="Congé sans solde",D294="Congé spécial"),AND(F294="Congé sans solde",D294="Férié"),AND(F294="Congé spécial",D294="OFF"),AND(F294="Congé spécial",D294="Congé"),AND(F294="Congé spécial",D294="Congé sans solde"),AND(F294="Congé spécial",D294="Férié"),AND(F294="Férié",D294="OFF"),AND(F294="Férié",D294="Congé"),AND(F294="Férié",D294="Congé sans solde"),AND(F294="Férié",D294="Congé spécial")),0,IF(OR(F294="OFF",F294="Congé",F294="Congé spécial",F294="Congé sans solde",D294="OFF",D294="Congé",D294="Congé spécial",D294="Congé sans solde"),0.208333333333334,IF(AND(AG294="",F294-D294&lt;0),("24:00:00"-D294)+("00:00:00"+F294)-0.0416666666666667,IF(AND(OR(AG294="Allaitement",AG294="Sans déjeuner"),F294-D294&lt;0),("24:00:00"-D294)+("00:00:00"+F294),IF(AND(AG294="",F294-D294&gt;0.166666666666667),F294-D294-0.0416666666666667,IF(AND(OR(AG294="Allaitement",AG294="Sans déjeuner"),F294-D294&gt;0.166666666666667),F294-D294,F294-D294)))))))</f>
        <v>0.375</v>
      </c>
      <c r="P294" s="6" t="str">
        <f aca="false">IFERROR(VLOOKUP($B294,Agents!$A:$D,2,0),"-")</f>
        <v>Accessibilité</v>
      </c>
      <c r="Q294" s="21" t="n">
        <v>46055</v>
      </c>
      <c r="R294" s="8" t="n">
        <f aca="false">IF(M294="Abs",O294,0)</f>
        <v>0</v>
      </c>
      <c r="S294" s="8" t="n">
        <f aca="false">SUM(R294,L294,I294,J294,W294,H294)</f>
        <v>0</v>
      </c>
      <c r="T294" s="6" t="str">
        <f aca="false">"Sem - "&amp;WEEKNUM(Q294,21)</f>
        <v>Sem - 6</v>
      </c>
      <c r="U294" s="6" t="str">
        <f aca="false">CHOOSE(MONTH(Q294),"Janvier","Février","Mars","Avril","Mai","Juin","Juillet","Août","Septembre","Octobre","Novembre","Décembre")</f>
        <v>Février</v>
      </c>
      <c r="V294" s="22" t="n">
        <f aca="false">YEAR(Q294)</f>
        <v>2026</v>
      </c>
      <c r="W294" s="20"/>
      <c r="X294" s="8" t="n">
        <f aca="false">IFERROR(IF(M294="Abs",0,IF(ROUND((D294-C294+E294-F294)*1440,0)&lt;=1,0,D294-C294+E294-F294)),0)</f>
        <v>0</v>
      </c>
      <c r="Y294" s="6" t="str">
        <f aca="false">IFERROR(VLOOKUP($B294,Agents!$A:$D,3,0),"-")</f>
        <v>OUBRAHIM Mohammed</v>
      </c>
      <c r="Z294" s="6" t="str">
        <f aca="false">IFERROR(VLOOKUP($B294,Agents!$A:$D,4,0),"-")</f>
        <v>Credit Mutuel</v>
      </c>
      <c r="AA294" s="18" t="s">
        <v>87</v>
      </c>
      <c r="AB294" s="8" t="str">
        <f aca="false">IF(AND(D294="Congé",F294="Congé"),0.333333333333333,IF(OR(AND(D294="Congé",F294&lt;&gt;"Congé"),(AND(F294="Congé",D294&lt;&gt;"Congé"))),0.166666666666667,""))</f>
        <v/>
      </c>
      <c r="AC294" s="8" t="str">
        <f aca="false">IF(AND(D294="Congé sans solde",F294="Congé sans solde"),0.333333333333333,IF(OR(AND(D294="Congé sans solde",F294&lt;&gt;"Congé sans solde"),(AND(F294="Congé sans solde",D294&lt;&gt;"Congé sans solde"))),0.166666666666667,""))</f>
        <v/>
      </c>
      <c r="AD294" s="8" t="str">
        <f aca="false">IF(AND(D294="Congé spécial",F294="Congé spécial"),0.333333333333333,IF(OR(AND(D294="Congé spécial",F294&lt;&gt;"Congé spécial"),AND(F294="Congé spécial",D294&lt;&gt;"Congé spécial")),0.166666666666667,""))</f>
        <v/>
      </c>
      <c r="AE294" s="8" t="str">
        <f aca="false">IF(AND(D294="Férié",F294="Férié"),0.333333333333333,IF(OR(AND(D294="Férié",F294&lt;&gt;"Férié"),(AND(F294="Férié",D294&lt;&gt;"Férié"))),0.166666666666667,""))</f>
        <v/>
      </c>
      <c r="AF294" s="18"/>
      <c r="AG294" s="18"/>
    </row>
    <row r="295" customFormat="false" ht="15" hidden="false" customHeight="false" outlineLevel="0" collapsed="false">
      <c r="A295" s="6" t="str">
        <f aca="false">YEAR(Q295-WEEKDAY(Q295,2)+4)&amp;"-S"&amp;TEXT(WEEKNUM(Q295,21),"00")</f>
        <v>2026-S06</v>
      </c>
      <c r="B295" s="18" t="s">
        <v>71</v>
      </c>
      <c r="C295" s="19" t="n">
        <v>0.332638888888889</v>
      </c>
      <c r="D295" s="19" t="n">
        <v>0.333333333333333</v>
      </c>
      <c r="E295" s="19" t="n">
        <v>0.75</v>
      </c>
      <c r="F295" s="19" t="n">
        <v>0.75</v>
      </c>
      <c r="G295" s="20"/>
      <c r="H295" s="20"/>
      <c r="I295" s="8" t="str">
        <f aca="false">IF(IF(OR(C295="",D295="Congé",D295="OFF",D295="Congé spécial"),"",IF(D295&gt;F295,D295-C295,IF(C295-D295&lt;0,0,C295-D295)))&lt;0.00068287037037037,"",IF(OR(D295="Congé",D295="OFF",C295="",D295="Congé spécial"),"",IF(D295&gt;F295,D295-C295,IF(C295-D295&lt;0,0,C295-D295))))</f>
        <v/>
      </c>
      <c r="J295" s="20"/>
      <c r="K295" s="8" t="n">
        <f aca="false">IF(SUM(H295:J295)&lt;0.00068287037037037,0,SUM(H295:J295))</f>
        <v>0</v>
      </c>
      <c r="L295" s="8" t="n">
        <f aca="false">IF(OR(F295="Congé",F295="OFF",M295="Abs",F295="Congé sans solde",F295="Férié",F295="Congé spécial",D295="Congé spécial"),0,IF(F295-E295&lt;0,0,IF(F295-E295&lt;=0.00068287037037037,0,F295-E295)))</f>
        <v>0</v>
      </c>
      <c r="M295" s="6" t="n">
        <f aca="false">IF(AND(O295&lt;&gt;0,C295=""),"Abs",0)</f>
        <v>0</v>
      </c>
      <c r="N295" s="8" t="n">
        <f aca="false">IFERROR(IF(OR(D295="OFF",D295="Congé",M295="Abs",D295="Congé sans solde",D295="Férié"),"",IF(O295-K295-L295&gt;O295,O295,IF(O295-K295-L295&lt;0,"",O295-K295-L295))),"")</f>
        <v>0.375</v>
      </c>
      <c r="O295" s="8" t="n">
        <f aca="false">IF(AG295="2H Pause déjeuner",IF(F295-D295-0.0833333333333333&lt;0,F295-D295-0.0833333333333333+1,F295-D295-0.0833333333333333),IF(OR(AND(F295="OFF",D295="OFF"),AND(F295="Congé",D295="Congé"),AND(F295="Congé sans solde",D295="Congé sans solde"),AND(F295="Congé spécial",D295="Congé spécial"),AND(F295="Férié",D295="Férié"),AND(F295="OFF",D295="Congé"),AND(F295="OFF",D295="Congé sans solde"),AND(F295="OFF",D295="Congé spécial"),AND(F295="OFF",D295="Férié"),AND(F295="Congé",D295="OFF"),AND(F295="Congé",D295="Congé sans solde"),AND(F295="Congé",D295="Congé spécial"),AND(F295="Congé",D295="Férié"),AND(F295="Congé sans solde",D295="OFF"),AND(F295="Congé sans solde",D295="Congé"),AND(F295="Congé sans solde",D295="Congé spécial"),AND(F295="Congé sans solde",D295="Férié"),AND(F295="Congé spécial",D295="OFF"),AND(F295="Congé spécial",D295="Congé"),AND(F295="Congé spécial",D295="Congé sans solde"),AND(F295="Congé spécial",D295="Férié"),AND(F295="Férié",D295="OFF"),AND(F295="Férié",D295="Congé"),AND(F295="Férié",D295="Congé sans solde"),AND(F295="Férié",D295="Congé spécial")),0,IF(OR(F295="OFF",F295="Congé",F295="Congé spécial",F295="Congé sans solde",D295="OFF",D295="Congé",D295="Congé spécial",D295="Congé sans solde"),0.208333333333334,IF(AND(AG295="",F295-D295&lt;0),("24:00:00"-D295)+("00:00:00"+F295)-0.0416666666666667,IF(AND(OR(AG295="Allaitement",AG295="Sans déjeuner"),F295-D295&lt;0),("24:00:00"-D295)+("00:00:00"+F295),IF(AND(AG295="",F295-D295&gt;0.166666666666667),F295-D295-0.0416666666666667,IF(AND(OR(AG295="Allaitement",AG295="Sans déjeuner"),F295-D295&gt;0.166666666666667),F295-D295,F295-D295)))))))</f>
        <v>0.375</v>
      </c>
      <c r="P295" s="6" t="str">
        <f aca="false">IFERROR(VLOOKUP($B295,Agents!$A:$D,2,0),"-")</f>
        <v>Accessibilité</v>
      </c>
      <c r="Q295" s="21" t="n">
        <v>46055</v>
      </c>
      <c r="R295" s="8" t="n">
        <f aca="false">IF(M295="Abs",O295,0)</f>
        <v>0</v>
      </c>
      <c r="S295" s="8" t="n">
        <f aca="false">SUM(R295,L295,I295,J295,W295,H295)</f>
        <v>0</v>
      </c>
      <c r="T295" s="6" t="str">
        <f aca="false">"Sem - "&amp;WEEKNUM(Q295,21)</f>
        <v>Sem - 6</v>
      </c>
      <c r="U295" s="6" t="str">
        <f aca="false">CHOOSE(MONTH(Q295),"Janvier","Février","Mars","Avril","Mai","Juin","Juillet","Août","Septembre","Octobre","Novembre","Décembre")</f>
        <v>Février</v>
      </c>
      <c r="V295" s="22" t="n">
        <f aca="false">YEAR(Q295)</f>
        <v>2026</v>
      </c>
      <c r="W295" s="20"/>
      <c r="X295" s="8" t="n">
        <f aca="false">IFERROR(IF(M295="Abs",0,IF(ROUND((D295-C295+E295-F295)*1440,0)&lt;=1,0,D295-C295+E295-F295)),0)</f>
        <v>0</v>
      </c>
      <c r="Y295" s="6" t="str">
        <f aca="false">IFERROR(VLOOKUP($B295,Agents!$A:$D,3,0),"-")</f>
        <v>OUBRAHIM Mohammed</v>
      </c>
      <c r="Z295" s="6" t="str">
        <f aca="false">IFERROR(VLOOKUP($B295,Agents!$A:$D,4,0),"-")</f>
        <v>Credit Mutuel</v>
      </c>
      <c r="AA295" s="18" t="s">
        <v>87</v>
      </c>
      <c r="AB295" s="8" t="str">
        <f aca="false">IF(AND(D295="Congé",F295="Congé"),0.333333333333333,IF(OR(AND(D295="Congé",F295&lt;&gt;"Congé"),(AND(F295="Congé",D295&lt;&gt;"Congé"))),0.166666666666667,""))</f>
        <v/>
      </c>
      <c r="AC295" s="8" t="str">
        <f aca="false">IF(AND(D295="Congé sans solde",F295="Congé sans solde"),0.333333333333333,IF(OR(AND(D295="Congé sans solde",F295&lt;&gt;"Congé sans solde"),(AND(F295="Congé sans solde",D295&lt;&gt;"Congé sans solde"))),0.166666666666667,""))</f>
        <v/>
      </c>
      <c r="AD295" s="8" t="str">
        <f aca="false">IF(AND(D295="Congé spécial",F295="Congé spécial"),0.333333333333333,IF(OR(AND(D295="Congé spécial",F295&lt;&gt;"Congé spécial"),AND(F295="Congé spécial",D295&lt;&gt;"Congé spécial")),0.166666666666667,""))</f>
        <v/>
      </c>
      <c r="AE295" s="8" t="str">
        <f aca="false">IF(AND(D295="Férié",F295="Férié"),0.333333333333333,IF(OR(AND(D295="Férié",F295&lt;&gt;"Férié"),(AND(F295="Férié",D295&lt;&gt;"Férié"))),0.166666666666667,""))</f>
        <v/>
      </c>
      <c r="AF295" s="18"/>
      <c r="AG295" s="18"/>
    </row>
    <row r="296" customFormat="false" ht="15" hidden="false" customHeight="false" outlineLevel="0" collapsed="false">
      <c r="A296" s="6" t="str">
        <f aca="false">YEAR(Q296-WEEKDAY(Q296,2)+4)&amp;"-S"&amp;TEXT(WEEKNUM(Q296,21),"00")</f>
        <v>2026-S06</v>
      </c>
      <c r="B296" s="18" t="s">
        <v>72</v>
      </c>
      <c r="C296" s="19" t="n">
        <v>0.33125</v>
      </c>
      <c r="D296" s="19" t="n">
        <v>0.333333333333333</v>
      </c>
      <c r="E296" s="19" t="n">
        <v>0.75</v>
      </c>
      <c r="F296" s="19" t="n">
        <v>0.75</v>
      </c>
      <c r="G296" s="20"/>
      <c r="H296" s="20"/>
      <c r="I296" s="8" t="str">
        <f aca="false">IF(IF(OR(C296="",D296="Congé",D296="OFF",D296="Congé spécial"),"",IF(D296&gt;F296,D296-C296,IF(C296-D296&lt;0,0,C296-D296)))&lt;0.00068287037037037,"",IF(OR(D296="Congé",D296="OFF",C296="",D296="Congé spécial"),"",IF(D296&gt;F296,D296-C296,IF(C296-D296&lt;0,0,C296-D296))))</f>
        <v/>
      </c>
      <c r="J296" s="20"/>
      <c r="K296" s="8" t="n">
        <f aca="false">IF(SUM(H296:J296)&lt;0.00068287037037037,0,SUM(H296:J296))</f>
        <v>0</v>
      </c>
      <c r="L296" s="8" t="n">
        <f aca="false">IF(OR(F296="Congé",F296="OFF",M296="Abs",F296="Congé sans solde",F296="Férié",F296="Congé spécial",D296="Congé spécial"),0,IF(F296-E296&lt;0,0,IF(F296-E296&lt;=0.00068287037037037,0,F296-E296)))</f>
        <v>0</v>
      </c>
      <c r="M296" s="6" t="n">
        <f aca="false">IF(AND(O296&lt;&gt;0,C296=""),"Abs",0)</f>
        <v>0</v>
      </c>
      <c r="N296" s="8" t="n">
        <f aca="false">IFERROR(IF(OR(D296="OFF",D296="Congé",M296="Abs",D296="Congé sans solde",D296="Férié"),"",IF(O296-K296-L296&gt;O296,O296,IF(O296-K296-L296&lt;0,"",O296-K296-L296))),"")</f>
        <v>0.375</v>
      </c>
      <c r="O296" s="8" t="n">
        <f aca="false">IF(AG296="2H Pause déjeuner",IF(F296-D296-0.0833333333333333&lt;0,F296-D296-0.0833333333333333+1,F296-D296-0.0833333333333333),IF(OR(AND(F296="OFF",D296="OFF"),AND(F296="Congé",D296="Congé"),AND(F296="Congé sans solde",D296="Congé sans solde"),AND(F296="Congé spécial",D296="Congé spécial"),AND(F296="Férié",D296="Férié"),AND(F296="OFF",D296="Congé"),AND(F296="OFF",D296="Congé sans solde"),AND(F296="OFF",D296="Congé spécial"),AND(F296="OFF",D296="Férié"),AND(F296="Congé",D296="OFF"),AND(F296="Congé",D296="Congé sans solde"),AND(F296="Congé",D296="Congé spécial"),AND(F296="Congé",D296="Férié"),AND(F296="Congé sans solde",D296="OFF"),AND(F296="Congé sans solde",D296="Congé"),AND(F296="Congé sans solde",D296="Congé spécial"),AND(F296="Congé sans solde",D296="Férié"),AND(F296="Congé spécial",D296="OFF"),AND(F296="Congé spécial",D296="Congé"),AND(F296="Congé spécial",D296="Congé sans solde"),AND(F296="Congé spécial",D296="Férié"),AND(F296="Férié",D296="OFF"),AND(F296="Férié",D296="Congé"),AND(F296="Férié",D296="Congé sans solde"),AND(F296="Férié",D296="Congé spécial")),0,IF(OR(F296="OFF",F296="Congé",F296="Congé spécial",F296="Congé sans solde",D296="OFF",D296="Congé",D296="Congé spécial",D296="Congé sans solde"),0.208333333333334,IF(AND(AG296="",F296-D296&lt;0),("24:00:00"-D296)+("00:00:00"+F296)-0.0416666666666667,IF(AND(OR(AG296="Allaitement",AG296="Sans déjeuner"),F296-D296&lt;0),("24:00:00"-D296)+("00:00:00"+F296),IF(AND(AG296="",F296-D296&gt;0.166666666666667),F296-D296-0.0416666666666667,IF(AND(OR(AG296="Allaitement",AG296="Sans déjeuner"),F296-D296&gt;0.166666666666667),F296-D296,F296-D296)))))))</f>
        <v>0.375</v>
      </c>
      <c r="P296" s="6" t="str">
        <f aca="false">IFERROR(VLOOKUP($B296,Agents!$A:$D,2,0),"-")</f>
        <v>Accessibilité</v>
      </c>
      <c r="Q296" s="21" t="n">
        <v>46055</v>
      </c>
      <c r="R296" s="8" t="n">
        <f aca="false">IF(M296="Abs",O296,0)</f>
        <v>0</v>
      </c>
      <c r="S296" s="8" t="n">
        <f aca="false">SUM(R296,L296,I296,J296,W296,H296)</f>
        <v>0</v>
      </c>
      <c r="T296" s="6" t="str">
        <f aca="false">"Sem - "&amp;WEEKNUM(Q296,21)</f>
        <v>Sem - 6</v>
      </c>
      <c r="U296" s="6" t="str">
        <f aca="false">CHOOSE(MONTH(Q296),"Janvier","Février","Mars","Avril","Mai","Juin","Juillet","Août","Septembre","Octobre","Novembre","Décembre")</f>
        <v>Février</v>
      </c>
      <c r="V296" s="22" t="n">
        <f aca="false">YEAR(Q296)</f>
        <v>2026</v>
      </c>
      <c r="W296" s="20"/>
      <c r="X296" s="8" t="n">
        <f aca="false">IFERROR(IF(M296="Abs",0,IF(ROUND((D296-C296+E296-F296)*1440,0)&lt;=1,0,D296-C296+E296-F296)),0)</f>
        <v>0.00208333333333333</v>
      </c>
      <c r="Y296" s="6" t="str">
        <f aca="false">IFERROR(VLOOKUP($B296,Agents!$A:$D,3,0),"-")</f>
        <v>OUBRAHIM Mohammed</v>
      </c>
      <c r="Z296" s="6" t="str">
        <f aca="false">IFERROR(VLOOKUP($B296,Agents!$A:$D,4,0),"-")</f>
        <v>Credit Mutuel</v>
      </c>
      <c r="AA296" s="18" t="s">
        <v>87</v>
      </c>
      <c r="AB296" s="8" t="str">
        <f aca="false">IF(AND(D296="Congé",F296="Congé"),0.333333333333333,IF(OR(AND(D296="Congé",F296&lt;&gt;"Congé"),(AND(F296="Congé",D296&lt;&gt;"Congé"))),0.166666666666667,""))</f>
        <v/>
      </c>
      <c r="AC296" s="8" t="str">
        <f aca="false">IF(AND(D296="Congé sans solde",F296="Congé sans solde"),0.333333333333333,IF(OR(AND(D296="Congé sans solde",F296&lt;&gt;"Congé sans solde"),(AND(F296="Congé sans solde",D296&lt;&gt;"Congé sans solde"))),0.166666666666667,""))</f>
        <v/>
      </c>
      <c r="AD296" s="8" t="str">
        <f aca="false">IF(AND(D296="Congé spécial",F296="Congé spécial"),0.333333333333333,IF(OR(AND(D296="Congé spécial",F296&lt;&gt;"Congé spécial"),AND(F296="Congé spécial",D296&lt;&gt;"Congé spécial")),0.166666666666667,""))</f>
        <v/>
      </c>
      <c r="AE296" s="8" t="str">
        <f aca="false">IF(AND(D296="Férié",F296="Férié"),0.333333333333333,IF(OR(AND(D296="Férié",F296&lt;&gt;"Férié"),(AND(F296="Férié",D296&lt;&gt;"Férié"))),0.166666666666667,""))</f>
        <v/>
      </c>
      <c r="AF296" s="18"/>
      <c r="AG296" s="18"/>
    </row>
    <row r="297" customFormat="false" ht="15" hidden="false" customHeight="false" outlineLevel="0" collapsed="false">
      <c r="A297" s="6" t="str">
        <f aca="false">YEAR(Q297-WEEKDAY(Q297,2)+4)&amp;"-S"&amp;TEXT(WEEKNUM(Q297,21),"00")</f>
        <v>2026-S06</v>
      </c>
      <c r="B297" s="18" t="s">
        <v>73</v>
      </c>
      <c r="C297" s="19" t="n">
        <v>0.340972222222222</v>
      </c>
      <c r="D297" s="19" t="n">
        <v>0.333333333333333</v>
      </c>
      <c r="E297" s="19" t="n">
        <v>0.75</v>
      </c>
      <c r="F297" s="19" t="n">
        <v>0.75</v>
      </c>
      <c r="G297" s="20"/>
      <c r="H297" s="20"/>
      <c r="I297" s="8" t="n">
        <f aca="false">IF(IF(OR(C297="",D297="Congé",D297="OFF",D297="Congé spécial"),"",IF(D297&gt;F297,D297-C297,IF(C297-D297&lt;0,0,C297-D297)))&lt;0.00068287037037037,"",IF(OR(D297="Congé",D297="OFF",C297="",D297="Congé spécial"),"",IF(D297&gt;F297,D297-C297,IF(C297-D297&lt;0,0,C297-D297))))</f>
        <v>0.00763888888888889</v>
      </c>
      <c r="J297" s="20"/>
      <c r="K297" s="8" t="n">
        <f aca="false">IF(SUM(H297:J297)&lt;0.00068287037037037,0,SUM(H297:J297))</f>
        <v>0.00763888888888889</v>
      </c>
      <c r="L297" s="8" t="n">
        <f aca="false">IF(OR(F297="Congé",F297="OFF",M297="Abs",F297="Congé sans solde",F297="Férié",F297="Congé spécial",D297="Congé spécial"),0,IF(F297-E297&lt;0,0,IF(F297-E297&lt;=0.00068287037037037,0,F297-E297)))</f>
        <v>0</v>
      </c>
      <c r="M297" s="6" t="n">
        <f aca="false">IF(AND(O297&lt;&gt;0,C297=""),"Abs",0)</f>
        <v>0</v>
      </c>
      <c r="N297" s="8" t="n">
        <f aca="false">IFERROR(IF(OR(D297="OFF",D297="Congé",M297="Abs",D297="Congé sans solde",D297="Férié"),"",IF(O297-K297-L297&gt;O297,O297,IF(O297-K297-L297&lt;0,"",O297-K297-L297))),"")</f>
        <v>0.367361111111111</v>
      </c>
      <c r="O297" s="8" t="n">
        <f aca="false">IF(AG297="2H Pause déjeuner",IF(F297-D297-0.0833333333333333&lt;0,F297-D297-0.0833333333333333+1,F297-D297-0.0833333333333333),IF(OR(AND(F297="OFF",D297="OFF"),AND(F297="Congé",D297="Congé"),AND(F297="Congé sans solde",D297="Congé sans solde"),AND(F297="Congé spécial",D297="Congé spécial"),AND(F297="Férié",D297="Férié"),AND(F297="OFF",D297="Congé"),AND(F297="OFF",D297="Congé sans solde"),AND(F297="OFF",D297="Congé spécial"),AND(F297="OFF",D297="Férié"),AND(F297="Congé",D297="OFF"),AND(F297="Congé",D297="Congé sans solde"),AND(F297="Congé",D297="Congé spécial"),AND(F297="Congé",D297="Férié"),AND(F297="Congé sans solde",D297="OFF"),AND(F297="Congé sans solde",D297="Congé"),AND(F297="Congé sans solde",D297="Congé spécial"),AND(F297="Congé sans solde",D297="Férié"),AND(F297="Congé spécial",D297="OFF"),AND(F297="Congé spécial",D297="Congé"),AND(F297="Congé spécial",D297="Congé sans solde"),AND(F297="Congé spécial",D297="Férié"),AND(F297="Férié",D297="OFF"),AND(F297="Férié",D297="Congé"),AND(F297="Férié",D297="Congé sans solde"),AND(F297="Férié",D297="Congé spécial")),0,IF(OR(F297="OFF",F297="Congé",F297="Congé spécial",F297="Congé sans solde",D297="OFF",D297="Congé",D297="Congé spécial",D297="Congé sans solde"),0.208333333333334,IF(AND(AG297="",F297-D297&lt;0),("24:00:00"-D297)+("00:00:00"+F297)-0.0416666666666667,IF(AND(OR(AG297="Allaitement",AG297="Sans déjeuner"),F297-D297&lt;0),("24:00:00"-D297)+("00:00:00"+F297),IF(AND(AG297="",F297-D297&gt;0.166666666666667),F297-D297-0.0416666666666667,IF(AND(OR(AG297="Allaitement",AG297="Sans déjeuner"),F297-D297&gt;0.166666666666667),F297-D297,F297-D297)))))))</f>
        <v>0.375</v>
      </c>
      <c r="P297" s="6" t="str">
        <f aca="false">IFERROR(VLOOKUP($B297,Agents!$A:$D,2,0),"-")</f>
        <v>Accessibilité</v>
      </c>
      <c r="Q297" s="21" t="n">
        <v>46055</v>
      </c>
      <c r="R297" s="8" t="n">
        <f aca="false">IF(M297="Abs",O297,0)</f>
        <v>0</v>
      </c>
      <c r="S297" s="8" t="n">
        <f aca="false">SUM(R297,L297,I297,J297,W297,H297)</f>
        <v>0.00763888888888889</v>
      </c>
      <c r="T297" s="6" t="str">
        <f aca="false">"Sem - "&amp;WEEKNUM(Q297,21)</f>
        <v>Sem - 6</v>
      </c>
      <c r="U297" s="6" t="str">
        <f aca="false">CHOOSE(MONTH(Q297),"Janvier","Février","Mars","Avril","Mai","Juin","Juillet","Août","Septembre","Octobre","Novembre","Décembre")</f>
        <v>Février</v>
      </c>
      <c r="V297" s="22" t="n">
        <f aca="false">YEAR(Q297)</f>
        <v>2026</v>
      </c>
      <c r="W297" s="20"/>
      <c r="X297" s="8" t="n">
        <f aca="false">IFERROR(IF(M297="Abs",0,IF(ROUND((D297-C297+E297-F297)*1440,0)&lt;=1,0,D297-C297+E297-F297)),0)</f>
        <v>0</v>
      </c>
      <c r="Y297" s="6" t="str">
        <f aca="false">IFERROR(VLOOKUP($B297,Agents!$A:$D,3,0),"-")</f>
        <v>OUBRAHIM Mohammed</v>
      </c>
      <c r="Z297" s="6" t="str">
        <f aca="false">IFERROR(VLOOKUP($B297,Agents!$A:$D,4,0),"-")</f>
        <v>Credit Mutuel</v>
      </c>
      <c r="AA297" s="18" t="s">
        <v>87</v>
      </c>
      <c r="AB297" s="8" t="str">
        <f aca="false">IF(AND(D297="Congé",F297="Congé"),0.333333333333333,IF(OR(AND(D297="Congé",F297&lt;&gt;"Congé"),(AND(F297="Congé",D297&lt;&gt;"Congé"))),0.166666666666667,""))</f>
        <v/>
      </c>
      <c r="AC297" s="8" t="str">
        <f aca="false">IF(AND(D297="Congé sans solde",F297="Congé sans solde"),0.333333333333333,IF(OR(AND(D297="Congé sans solde",F297&lt;&gt;"Congé sans solde"),(AND(F297="Congé sans solde",D297&lt;&gt;"Congé sans solde"))),0.166666666666667,""))</f>
        <v/>
      </c>
      <c r="AD297" s="8" t="str">
        <f aca="false">IF(AND(D297="Congé spécial",F297="Congé spécial"),0.333333333333333,IF(OR(AND(D297="Congé spécial",F297&lt;&gt;"Congé spécial"),AND(F297="Congé spécial",D297&lt;&gt;"Congé spécial")),0.166666666666667,""))</f>
        <v/>
      </c>
      <c r="AE297" s="8" t="str">
        <f aca="false">IF(AND(D297="Férié",F297="Férié"),0.333333333333333,IF(OR(AND(D297="Férié",F297&lt;&gt;"Férié"),(AND(F297="Férié",D297&lt;&gt;"Férié"))),0.166666666666667,""))</f>
        <v/>
      </c>
      <c r="AF297" s="18"/>
      <c r="AG297" s="18"/>
    </row>
    <row r="298" customFormat="false" ht="15" hidden="false" customHeight="false" outlineLevel="0" collapsed="false">
      <c r="A298" s="6" t="str">
        <f aca="false">YEAR(Q298-WEEKDAY(Q298,2)+4)&amp;"-S"&amp;TEXT(WEEKNUM(Q298,21),"00")</f>
        <v>2026-S06</v>
      </c>
      <c r="B298" s="18" t="s">
        <v>69</v>
      </c>
      <c r="C298" s="19" t="n">
        <v>0.333333333333333</v>
      </c>
      <c r="D298" s="19" t="n">
        <v>0.333333333333333</v>
      </c>
      <c r="E298" s="19" t="n">
        <v>0.75</v>
      </c>
      <c r="F298" s="19" t="n">
        <v>0.75</v>
      </c>
      <c r="G298" s="20"/>
      <c r="H298" s="20"/>
      <c r="I298" s="8" t="str">
        <f aca="false">IF(IF(OR(C298="",D298="Congé",D298="OFF",D298="Congé spécial"),"",IF(D298&gt;F298,D298-C298,IF(C298-D298&lt;0,0,C298-D298)))&lt;0.00068287037037037,"",IF(OR(D298="Congé",D298="OFF",C298="",D298="Congé spécial"),"",IF(D298&gt;F298,D298-C298,IF(C298-D298&lt;0,0,C298-D298))))</f>
        <v/>
      </c>
      <c r="J298" s="20"/>
      <c r="K298" s="8" t="n">
        <f aca="false">IF(SUM(H298:J298)&lt;0.00068287037037037,0,SUM(H298:J298))</f>
        <v>0</v>
      </c>
      <c r="L298" s="8" t="n">
        <f aca="false">IF(OR(F298="Congé",F298="OFF",M298="Abs",F298="Congé sans solde",F298="Férié",F298="Congé spécial",D298="Congé spécial"),0,IF(F298-E298&lt;0,0,IF(F298-E298&lt;=0.00068287037037037,0,F298-E298)))</f>
        <v>0</v>
      </c>
      <c r="M298" s="6" t="n">
        <f aca="false">IF(AND(O298&lt;&gt;0,C298=""),"Abs",0)</f>
        <v>0</v>
      </c>
      <c r="N298" s="8" t="n">
        <f aca="false">IFERROR(IF(OR(D298="OFF",D298="Congé",M298="Abs",D298="Congé sans solde",D298="Férié"),"",IF(O298-K298-L298&gt;O298,O298,IF(O298-K298-L298&lt;0,"",O298-K298-L298))),"")</f>
        <v>0.375</v>
      </c>
      <c r="O298" s="8" t="n">
        <f aca="false">IF(AG298="2H Pause déjeuner",IF(F298-D298-0.0833333333333333&lt;0,F298-D298-0.0833333333333333+1,F298-D298-0.0833333333333333),IF(OR(AND(F298="OFF",D298="OFF"),AND(F298="Congé",D298="Congé"),AND(F298="Congé sans solde",D298="Congé sans solde"),AND(F298="Congé spécial",D298="Congé spécial"),AND(F298="Férié",D298="Férié"),AND(F298="OFF",D298="Congé"),AND(F298="OFF",D298="Congé sans solde"),AND(F298="OFF",D298="Congé spécial"),AND(F298="OFF",D298="Férié"),AND(F298="Congé",D298="OFF"),AND(F298="Congé",D298="Congé sans solde"),AND(F298="Congé",D298="Congé spécial"),AND(F298="Congé",D298="Férié"),AND(F298="Congé sans solde",D298="OFF"),AND(F298="Congé sans solde",D298="Congé"),AND(F298="Congé sans solde",D298="Congé spécial"),AND(F298="Congé sans solde",D298="Férié"),AND(F298="Congé spécial",D298="OFF"),AND(F298="Congé spécial",D298="Congé"),AND(F298="Congé spécial",D298="Congé sans solde"),AND(F298="Congé spécial",D298="Férié"),AND(F298="Férié",D298="OFF"),AND(F298="Férié",D298="Congé"),AND(F298="Férié",D298="Congé sans solde"),AND(F298="Férié",D298="Congé spécial")),0,IF(OR(F298="OFF",F298="Congé",F298="Congé spécial",F298="Congé sans solde",D298="OFF",D298="Congé",D298="Congé spécial",D298="Congé sans solde"),0.208333333333334,IF(AND(AG298="",F298-D298&lt;0),("24:00:00"-D298)+("00:00:00"+F298)-0.0416666666666667,IF(AND(OR(AG298="Allaitement",AG298="Sans déjeuner"),F298-D298&lt;0),("24:00:00"-D298)+("00:00:00"+F298),IF(AND(AG298="",F298-D298&gt;0.166666666666667),F298-D298-0.0416666666666667,IF(AND(OR(AG298="Allaitement",AG298="Sans déjeuner"),F298-D298&gt;0.166666666666667),F298-D298,F298-D298)))))))</f>
        <v>0.375</v>
      </c>
      <c r="P298" s="6" t="str">
        <f aca="false">IFERROR(VLOOKUP($B298,Agents!$A:$D,2,0),"-")</f>
        <v>Accessibilité</v>
      </c>
      <c r="Q298" s="21" t="n">
        <v>46056</v>
      </c>
      <c r="R298" s="8" t="n">
        <f aca="false">IF(M298="Abs",O298,0)</f>
        <v>0</v>
      </c>
      <c r="S298" s="8" t="n">
        <f aca="false">SUM(R298,L298,I298,J298,W298,H298)</f>
        <v>0</v>
      </c>
      <c r="T298" s="6" t="str">
        <f aca="false">"Sem - "&amp;WEEKNUM(Q298,21)</f>
        <v>Sem - 6</v>
      </c>
      <c r="U298" s="6" t="str">
        <f aca="false">CHOOSE(MONTH(Q298),"Janvier","Février","Mars","Avril","Mai","Juin","Juillet","Août","Septembre","Octobre","Novembre","Décembre")</f>
        <v>Février</v>
      </c>
      <c r="V298" s="22" t="n">
        <f aca="false">YEAR(Q298)</f>
        <v>2026</v>
      </c>
      <c r="W298" s="20"/>
      <c r="X298" s="8" t="n">
        <f aca="false">IFERROR(IF(M298="Abs",0,IF(ROUND((D298-C298+E298-F298)*1440,0)&lt;=1,0,D298-C298+E298-F298)),0)</f>
        <v>0</v>
      </c>
      <c r="Y298" s="6" t="str">
        <f aca="false">IFERROR(VLOOKUP($B298,Agents!$A:$D,3,0),"-")</f>
        <v>OUBRAHIM Mohammed</v>
      </c>
      <c r="Z298" s="6" t="str">
        <f aca="false">IFERROR(VLOOKUP($B298,Agents!$A:$D,4,0),"-")</f>
        <v>Credit Mutuel</v>
      </c>
      <c r="AA298" s="18" t="s">
        <v>87</v>
      </c>
      <c r="AB298" s="8" t="str">
        <f aca="false">IF(AND(D298="Congé",F298="Congé"),0.333333333333333,IF(OR(AND(D298="Congé",F298&lt;&gt;"Congé"),(AND(F298="Congé",D298&lt;&gt;"Congé"))),0.166666666666667,""))</f>
        <v/>
      </c>
      <c r="AC298" s="8" t="str">
        <f aca="false">IF(AND(D298="Congé sans solde",F298="Congé sans solde"),0.333333333333333,IF(OR(AND(D298="Congé sans solde",F298&lt;&gt;"Congé sans solde"),(AND(F298="Congé sans solde",D298&lt;&gt;"Congé sans solde"))),0.166666666666667,""))</f>
        <v/>
      </c>
      <c r="AD298" s="8" t="str">
        <f aca="false">IF(AND(D298="Congé spécial",F298="Congé spécial"),0.333333333333333,IF(OR(AND(D298="Congé spécial",F298&lt;&gt;"Congé spécial"),AND(F298="Congé spécial",D298&lt;&gt;"Congé spécial")),0.166666666666667,""))</f>
        <v/>
      </c>
      <c r="AE298" s="8" t="str">
        <f aca="false">IF(AND(D298="Férié",F298="Férié"),0.333333333333333,IF(OR(AND(D298="Férié",F298&lt;&gt;"Férié"),(AND(F298="Férié",D298&lt;&gt;"Férié"))),0.166666666666667,""))</f>
        <v/>
      </c>
      <c r="AF298" s="18"/>
      <c r="AG298" s="18"/>
    </row>
    <row r="299" customFormat="false" ht="15" hidden="false" customHeight="false" outlineLevel="0" collapsed="false">
      <c r="A299" s="6" t="str">
        <f aca="false">YEAR(Q299-WEEKDAY(Q299,2)+4)&amp;"-S"&amp;TEXT(WEEKNUM(Q299,21),"00")</f>
        <v>2026-S06</v>
      </c>
      <c r="B299" s="18" t="s">
        <v>71</v>
      </c>
      <c r="C299" s="19" t="n">
        <v>0.332638888888889</v>
      </c>
      <c r="D299" s="19" t="n">
        <v>0.333333333333333</v>
      </c>
      <c r="E299" s="19" t="n">
        <v>0.75</v>
      </c>
      <c r="F299" s="19" t="n">
        <v>0.75</v>
      </c>
      <c r="G299" s="20"/>
      <c r="H299" s="20"/>
      <c r="I299" s="8" t="str">
        <f aca="false">IF(IF(OR(C299="",D299="Congé",D299="OFF",D299="Congé spécial"),"",IF(D299&gt;F299,D299-C299,IF(C299-D299&lt;0,0,C299-D299)))&lt;0.00068287037037037,"",IF(OR(D299="Congé",D299="OFF",C299="",D299="Congé spécial"),"",IF(D299&gt;F299,D299-C299,IF(C299-D299&lt;0,0,C299-D299))))</f>
        <v/>
      </c>
      <c r="J299" s="20"/>
      <c r="K299" s="8" t="n">
        <f aca="false">IF(SUM(H299:J299)&lt;0.00068287037037037,0,SUM(H299:J299))</f>
        <v>0</v>
      </c>
      <c r="L299" s="8" t="n">
        <f aca="false">IF(OR(F299="Congé",F299="OFF",M299="Abs",F299="Congé sans solde",F299="Férié",F299="Congé spécial",D299="Congé spécial"),0,IF(F299-E299&lt;0,0,IF(F299-E299&lt;=0.00068287037037037,0,F299-E299)))</f>
        <v>0</v>
      </c>
      <c r="M299" s="6" t="n">
        <f aca="false">IF(AND(O299&lt;&gt;0,C299=""),"Abs",0)</f>
        <v>0</v>
      </c>
      <c r="N299" s="8" t="n">
        <f aca="false">IFERROR(IF(OR(D299="OFF",D299="Congé",M299="Abs",D299="Congé sans solde",D299="Férié"),"",IF(O299-K299-L299&gt;O299,O299,IF(O299-K299-L299&lt;0,"",O299-K299-L299))),"")</f>
        <v>0.375</v>
      </c>
      <c r="O299" s="8" t="n">
        <f aca="false">IF(AG299="2H Pause déjeuner",IF(F299-D299-0.0833333333333333&lt;0,F299-D299-0.0833333333333333+1,F299-D299-0.0833333333333333),IF(OR(AND(F299="OFF",D299="OFF"),AND(F299="Congé",D299="Congé"),AND(F299="Congé sans solde",D299="Congé sans solde"),AND(F299="Congé spécial",D299="Congé spécial"),AND(F299="Férié",D299="Férié"),AND(F299="OFF",D299="Congé"),AND(F299="OFF",D299="Congé sans solde"),AND(F299="OFF",D299="Congé spécial"),AND(F299="OFF",D299="Férié"),AND(F299="Congé",D299="OFF"),AND(F299="Congé",D299="Congé sans solde"),AND(F299="Congé",D299="Congé spécial"),AND(F299="Congé",D299="Férié"),AND(F299="Congé sans solde",D299="OFF"),AND(F299="Congé sans solde",D299="Congé"),AND(F299="Congé sans solde",D299="Congé spécial"),AND(F299="Congé sans solde",D299="Férié"),AND(F299="Congé spécial",D299="OFF"),AND(F299="Congé spécial",D299="Congé"),AND(F299="Congé spécial",D299="Congé sans solde"),AND(F299="Congé spécial",D299="Férié"),AND(F299="Férié",D299="OFF"),AND(F299="Férié",D299="Congé"),AND(F299="Férié",D299="Congé sans solde"),AND(F299="Férié",D299="Congé spécial")),0,IF(OR(F299="OFF",F299="Congé",F299="Congé spécial",F299="Congé sans solde",D299="OFF",D299="Congé",D299="Congé spécial",D299="Congé sans solde"),0.208333333333334,IF(AND(AG299="",F299-D299&lt;0),("24:00:00"-D299)+("00:00:00"+F299)-0.0416666666666667,IF(AND(OR(AG299="Allaitement",AG299="Sans déjeuner"),F299-D299&lt;0),("24:00:00"-D299)+("00:00:00"+F299),IF(AND(AG299="",F299-D299&gt;0.166666666666667),F299-D299-0.0416666666666667,IF(AND(OR(AG299="Allaitement",AG299="Sans déjeuner"),F299-D299&gt;0.166666666666667),F299-D299,F299-D299)))))))</f>
        <v>0.375</v>
      </c>
      <c r="P299" s="6" t="str">
        <f aca="false">IFERROR(VLOOKUP($B299,Agents!$A:$D,2,0),"-")</f>
        <v>Accessibilité</v>
      </c>
      <c r="Q299" s="21" t="n">
        <v>46056</v>
      </c>
      <c r="R299" s="8" t="n">
        <f aca="false">IF(M299="Abs",O299,0)</f>
        <v>0</v>
      </c>
      <c r="S299" s="8" t="n">
        <f aca="false">SUM(R299,L299,I299,J299,W299,H299)</f>
        <v>0</v>
      </c>
      <c r="T299" s="6" t="str">
        <f aca="false">"Sem - "&amp;WEEKNUM(Q299,21)</f>
        <v>Sem - 6</v>
      </c>
      <c r="U299" s="6" t="str">
        <f aca="false">CHOOSE(MONTH(Q299),"Janvier","Février","Mars","Avril","Mai","Juin","Juillet","Août","Septembre","Octobre","Novembre","Décembre")</f>
        <v>Février</v>
      </c>
      <c r="V299" s="22" t="n">
        <f aca="false">YEAR(Q299)</f>
        <v>2026</v>
      </c>
      <c r="W299" s="20"/>
      <c r="X299" s="8" t="n">
        <f aca="false">IFERROR(IF(M299="Abs",0,IF(ROUND((D299-C299+E299-F299)*1440,0)&lt;=1,0,D299-C299+E299-F299)),0)</f>
        <v>0</v>
      </c>
      <c r="Y299" s="6" t="str">
        <f aca="false">IFERROR(VLOOKUP($B299,Agents!$A:$D,3,0),"-")</f>
        <v>OUBRAHIM Mohammed</v>
      </c>
      <c r="Z299" s="6" t="str">
        <f aca="false">IFERROR(VLOOKUP($B299,Agents!$A:$D,4,0),"-")</f>
        <v>Credit Mutuel</v>
      </c>
      <c r="AA299" s="18" t="s">
        <v>87</v>
      </c>
      <c r="AB299" s="8" t="str">
        <f aca="false">IF(AND(D299="Congé",F299="Congé"),0.333333333333333,IF(OR(AND(D299="Congé",F299&lt;&gt;"Congé"),(AND(F299="Congé",D299&lt;&gt;"Congé"))),0.166666666666667,""))</f>
        <v/>
      </c>
      <c r="AC299" s="8" t="str">
        <f aca="false">IF(AND(D299="Congé sans solde",F299="Congé sans solde"),0.333333333333333,IF(OR(AND(D299="Congé sans solde",F299&lt;&gt;"Congé sans solde"),(AND(F299="Congé sans solde",D299&lt;&gt;"Congé sans solde"))),0.166666666666667,""))</f>
        <v/>
      </c>
      <c r="AD299" s="8" t="str">
        <f aca="false">IF(AND(D299="Congé spécial",F299="Congé spécial"),0.333333333333333,IF(OR(AND(D299="Congé spécial",F299&lt;&gt;"Congé spécial"),AND(F299="Congé spécial",D299&lt;&gt;"Congé spécial")),0.166666666666667,""))</f>
        <v/>
      </c>
      <c r="AE299" s="8" t="str">
        <f aca="false">IF(AND(D299="Férié",F299="Férié"),0.333333333333333,IF(OR(AND(D299="Férié",F299&lt;&gt;"Férié"),(AND(F299="Férié",D299&lt;&gt;"Férié"))),0.166666666666667,""))</f>
        <v/>
      </c>
      <c r="AF299" s="18"/>
      <c r="AG299" s="18"/>
    </row>
    <row r="300" customFormat="false" ht="15" hidden="false" customHeight="false" outlineLevel="0" collapsed="false">
      <c r="A300" s="6" t="str">
        <f aca="false">YEAR(Q300-WEEKDAY(Q300,2)+4)&amp;"-S"&amp;TEXT(WEEKNUM(Q300,21),"00")</f>
        <v>2026-S06</v>
      </c>
      <c r="B300" s="18" t="s">
        <v>72</v>
      </c>
      <c r="C300" s="19" t="n">
        <v>0.333333333333333</v>
      </c>
      <c r="D300" s="19" t="n">
        <v>0.333333333333333</v>
      </c>
      <c r="E300" s="19" t="n">
        <v>0.75</v>
      </c>
      <c r="F300" s="19" t="n">
        <v>0.75</v>
      </c>
      <c r="G300" s="20"/>
      <c r="H300" s="20"/>
      <c r="I300" s="8" t="str">
        <f aca="false">IF(IF(OR(C300="",D300="Congé",D300="OFF",D300="Congé spécial"),"",IF(D300&gt;F300,D300-C300,IF(C300-D300&lt;0,0,C300-D300)))&lt;0.00068287037037037,"",IF(OR(D300="Congé",D300="OFF",C300="",D300="Congé spécial"),"",IF(D300&gt;F300,D300-C300,IF(C300-D300&lt;0,0,C300-D300))))</f>
        <v/>
      </c>
      <c r="J300" s="20"/>
      <c r="K300" s="8" t="n">
        <f aca="false">IF(SUM(H300:J300)&lt;0.00068287037037037,0,SUM(H300:J300))</f>
        <v>0</v>
      </c>
      <c r="L300" s="8" t="n">
        <f aca="false">IF(OR(F300="Congé",F300="OFF",M300="Abs",F300="Congé sans solde",F300="Férié",F300="Congé spécial",D300="Congé spécial"),0,IF(F300-E300&lt;0,0,IF(F300-E300&lt;=0.00068287037037037,0,F300-E300)))</f>
        <v>0</v>
      </c>
      <c r="M300" s="6" t="n">
        <f aca="false">IF(AND(O300&lt;&gt;0,C300=""),"Abs",0)</f>
        <v>0</v>
      </c>
      <c r="N300" s="8" t="n">
        <f aca="false">IFERROR(IF(OR(D300="OFF",D300="Congé",M300="Abs",D300="Congé sans solde",D300="Férié"),"",IF(O300-K300-L300&gt;O300,O300,IF(O300-K300-L300&lt;0,"",O300-K300-L300))),"")</f>
        <v>0.375</v>
      </c>
      <c r="O300" s="8" t="n">
        <f aca="false">IF(AG300="2H Pause déjeuner",IF(F300-D300-0.0833333333333333&lt;0,F300-D300-0.0833333333333333+1,F300-D300-0.0833333333333333),IF(OR(AND(F300="OFF",D300="OFF"),AND(F300="Congé",D300="Congé"),AND(F300="Congé sans solde",D300="Congé sans solde"),AND(F300="Congé spécial",D300="Congé spécial"),AND(F300="Férié",D300="Férié"),AND(F300="OFF",D300="Congé"),AND(F300="OFF",D300="Congé sans solde"),AND(F300="OFF",D300="Congé spécial"),AND(F300="OFF",D300="Férié"),AND(F300="Congé",D300="OFF"),AND(F300="Congé",D300="Congé sans solde"),AND(F300="Congé",D300="Congé spécial"),AND(F300="Congé",D300="Férié"),AND(F300="Congé sans solde",D300="OFF"),AND(F300="Congé sans solde",D300="Congé"),AND(F300="Congé sans solde",D300="Congé spécial"),AND(F300="Congé sans solde",D300="Férié"),AND(F300="Congé spécial",D300="OFF"),AND(F300="Congé spécial",D300="Congé"),AND(F300="Congé spécial",D300="Congé sans solde"),AND(F300="Congé spécial",D300="Férié"),AND(F300="Férié",D300="OFF"),AND(F300="Férié",D300="Congé"),AND(F300="Férié",D300="Congé sans solde"),AND(F300="Férié",D300="Congé spécial")),0,IF(OR(F300="OFF",F300="Congé",F300="Congé spécial",F300="Congé sans solde",D300="OFF",D300="Congé",D300="Congé spécial",D300="Congé sans solde"),0.208333333333334,IF(AND(AG300="",F300-D300&lt;0),("24:00:00"-D300)+("00:00:00"+F300)-0.0416666666666667,IF(AND(OR(AG300="Allaitement",AG300="Sans déjeuner"),F300-D300&lt;0),("24:00:00"-D300)+("00:00:00"+F300),IF(AND(AG300="",F300-D300&gt;0.166666666666667),F300-D300-0.0416666666666667,IF(AND(OR(AG300="Allaitement",AG300="Sans déjeuner"),F300-D300&gt;0.166666666666667),F300-D300,F300-D300)))))))</f>
        <v>0.375</v>
      </c>
      <c r="P300" s="6" t="str">
        <f aca="false">IFERROR(VLOOKUP($B300,Agents!$A:$D,2,0),"-")</f>
        <v>Accessibilité</v>
      </c>
      <c r="Q300" s="21" t="n">
        <v>46056</v>
      </c>
      <c r="R300" s="8" t="n">
        <f aca="false">IF(M300="Abs",O300,0)</f>
        <v>0</v>
      </c>
      <c r="S300" s="8" t="n">
        <f aca="false">SUM(R300,L300,I300,J300,W300,H300)</f>
        <v>0</v>
      </c>
      <c r="T300" s="6" t="str">
        <f aca="false">"Sem - "&amp;WEEKNUM(Q300,21)</f>
        <v>Sem - 6</v>
      </c>
      <c r="U300" s="6" t="str">
        <f aca="false">CHOOSE(MONTH(Q300),"Janvier","Février","Mars","Avril","Mai","Juin","Juillet","Août","Septembre","Octobre","Novembre","Décembre")</f>
        <v>Février</v>
      </c>
      <c r="V300" s="22" t="n">
        <f aca="false">YEAR(Q300)</f>
        <v>2026</v>
      </c>
      <c r="W300" s="20"/>
      <c r="X300" s="8" t="n">
        <f aca="false">IFERROR(IF(M300="Abs",0,IF(ROUND((D300-C300+E300-F300)*1440,0)&lt;=1,0,D300-C300+E300-F300)),0)</f>
        <v>0</v>
      </c>
      <c r="Y300" s="6" t="str">
        <f aca="false">IFERROR(VLOOKUP($B300,Agents!$A:$D,3,0),"-")</f>
        <v>OUBRAHIM Mohammed</v>
      </c>
      <c r="Z300" s="6" t="str">
        <f aca="false">IFERROR(VLOOKUP($B300,Agents!$A:$D,4,0),"-")</f>
        <v>Credit Mutuel</v>
      </c>
      <c r="AA300" s="18" t="s">
        <v>87</v>
      </c>
      <c r="AB300" s="8" t="str">
        <f aca="false">IF(AND(D300="Congé",F300="Congé"),0.333333333333333,IF(OR(AND(D300="Congé",F300&lt;&gt;"Congé"),(AND(F300="Congé",D300&lt;&gt;"Congé"))),0.166666666666667,""))</f>
        <v/>
      </c>
      <c r="AC300" s="8" t="str">
        <f aca="false">IF(AND(D300="Congé sans solde",F300="Congé sans solde"),0.333333333333333,IF(OR(AND(D300="Congé sans solde",F300&lt;&gt;"Congé sans solde"),(AND(F300="Congé sans solde",D300&lt;&gt;"Congé sans solde"))),0.166666666666667,""))</f>
        <v/>
      </c>
      <c r="AD300" s="8" t="str">
        <f aca="false">IF(AND(D300="Congé spécial",F300="Congé spécial"),0.333333333333333,IF(OR(AND(D300="Congé spécial",F300&lt;&gt;"Congé spécial"),AND(F300="Congé spécial",D300&lt;&gt;"Congé spécial")),0.166666666666667,""))</f>
        <v/>
      </c>
      <c r="AE300" s="8" t="str">
        <f aca="false">IF(AND(D300="Férié",F300="Férié"),0.333333333333333,IF(OR(AND(D300="Férié",F300&lt;&gt;"Férié"),(AND(F300="Férié",D300&lt;&gt;"Férié"))),0.166666666666667,""))</f>
        <v/>
      </c>
      <c r="AF300" s="18"/>
      <c r="AG300" s="18"/>
    </row>
    <row r="301" customFormat="false" ht="15" hidden="false" customHeight="false" outlineLevel="0" collapsed="false">
      <c r="A301" s="6" t="str">
        <f aca="false">YEAR(Q301-WEEKDAY(Q301,2)+4)&amp;"-S"&amp;TEXT(WEEKNUM(Q301,21),"00")</f>
        <v>2026-S06</v>
      </c>
      <c r="B301" s="18" t="s">
        <v>73</v>
      </c>
      <c r="C301" s="19" t="n">
        <v>0.331944444444444</v>
      </c>
      <c r="D301" s="19" t="n">
        <v>0.333333333333333</v>
      </c>
      <c r="E301" s="19" t="n">
        <v>0.75</v>
      </c>
      <c r="F301" s="19" t="n">
        <v>0.75</v>
      </c>
      <c r="G301" s="20"/>
      <c r="H301" s="20"/>
      <c r="I301" s="8" t="str">
        <f aca="false">IF(IF(OR(C301="",D301="Congé",D301="OFF",D301="Congé spécial"),"",IF(D301&gt;F301,D301-C301,IF(C301-D301&lt;0,0,C301-D301)))&lt;0.00068287037037037,"",IF(OR(D301="Congé",D301="OFF",C301="",D301="Congé spécial"),"",IF(D301&gt;F301,D301-C301,IF(C301-D301&lt;0,0,C301-D301))))</f>
        <v/>
      </c>
      <c r="J301" s="20"/>
      <c r="K301" s="8" t="n">
        <f aca="false">IF(SUM(H301:J301)&lt;0.00068287037037037,0,SUM(H301:J301))</f>
        <v>0</v>
      </c>
      <c r="L301" s="8" t="n">
        <f aca="false">IF(OR(F301="Congé",F301="OFF",M301="Abs",F301="Congé sans solde",F301="Férié",F301="Congé spécial",D301="Congé spécial"),0,IF(F301-E301&lt;0,0,IF(F301-E301&lt;=0.00068287037037037,0,F301-E301)))</f>
        <v>0</v>
      </c>
      <c r="M301" s="6" t="n">
        <f aca="false">IF(AND(O301&lt;&gt;0,C301=""),"Abs",0)</f>
        <v>0</v>
      </c>
      <c r="N301" s="8" t="n">
        <f aca="false">IFERROR(IF(OR(D301="OFF",D301="Congé",M301="Abs",D301="Congé sans solde",D301="Férié"),"",IF(O301-K301-L301&gt;O301,O301,IF(O301-K301-L301&lt;0,"",O301-K301-L301))),"")</f>
        <v>0.375</v>
      </c>
      <c r="O301" s="8" t="n">
        <f aca="false">IF(AG301="2H Pause déjeuner",IF(F301-D301-0.0833333333333333&lt;0,F301-D301-0.0833333333333333+1,F301-D301-0.0833333333333333),IF(OR(AND(F301="OFF",D301="OFF"),AND(F301="Congé",D301="Congé"),AND(F301="Congé sans solde",D301="Congé sans solde"),AND(F301="Congé spécial",D301="Congé spécial"),AND(F301="Férié",D301="Férié"),AND(F301="OFF",D301="Congé"),AND(F301="OFF",D301="Congé sans solde"),AND(F301="OFF",D301="Congé spécial"),AND(F301="OFF",D301="Férié"),AND(F301="Congé",D301="OFF"),AND(F301="Congé",D301="Congé sans solde"),AND(F301="Congé",D301="Congé spécial"),AND(F301="Congé",D301="Férié"),AND(F301="Congé sans solde",D301="OFF"),AND(F301="Congé sans solde",D301="Congé"),AND(F301="Congé sans solde",D301="Congé spécial"),AND(F301="Congé sans solde",D301="Férié"),AND(F301="Congé spécial",D301="OFF"),AND(F301="Congé spécial",D301="Congé"),AND(F301="Congé spécial",D301="Congé sans solde"),AND(F301="Congé spécial",D301="Férié"),AND(F301="Férié",D301="OFF"),AND(F301="Férié",D301="Congé"),AND(F301="Férié",D301="Congé sans solde"),AND(F301="Férié",D301="Congé spécial")),0,IF(OR(F301="OFF",F301="Congé",F301="Congé spécial",F301="Congé sans solde",D301="OFF",D301="Congé",D301="Congé spécial",D301="Congé sans solde"),0.208333333333334,IF(AND(AG301="",F301-D301&lt;0),("24:00:00"-D301)+("00:00:00"+F301)-0.0416666666666667,IF(AND(OR(AG301="Allaitement",AG301="Sans déjeuner"),F301-D301&lt;0),("24:00:00"-D301)+("00:00:00"+F301),IF(AND(AG301="",F301-D301&gt;0.166666666666667),F301-D301-0.0416666666666667,IF(AND(OR(AG301="Allaitement",AG301="Sans déjeuner"),F301-D301&gt;0.166666666666667),F301-D301,F301-D301)))))))</f>
        <v>0.375</v>
      </c>
      <c r="P301" s="6" t="str">
        <f aca="false">IFERROR(VLOOKUP($B301,Agents!$A:$D,2,0),"-")</f>
        <v>Accessibilité</v>
      </c>
      <c r="Q301" s="21" t="n">
        <v>46056</v>
      </c>
      <c r="R301" s="8" t="n">
        <f aca="false">IF(M301="Abs",O301,0)</f>
        <v>0</v>
      </c>
      <c r="S301" s="8" t="n">
        <f aca="false">SUM(R301,L301,I301,J301,W301,H301)</f>
        <v>0</v>
      </c>
      <c r="T301" s="6" t="str">
        <f aca="false">"Sem - "&amp;WEEKNUM(Q301,21)</f>
        <v>Sem - 6</v>
      </c>
      <c r="U301" s="6" t="str">
        <f aca="false">CHOOSE(MONTH(Q301),"Janvier","Février","Mars","Avril","Mai","Juin","Juillet","Août","Septembre","Octobre","Novembre","Décembre")</f>
        <v>Février</v>
      </c>
      <c r="V301" s="22" t="n">
        <f aca="false">YEAR(Q301)</f>
        <v>2026</v>
      </c>
      <c r="W301" s="20"/>
      <c r="X301" s="8" t="n">
        <f aca="false">IFERROR(IF(M301="Abs",0,IF(ROUND((D301-C301+E301-F301)*1440,0)&lt;=1,0,D301-C301+E301-F301)),0)</f>
        <v>0.00138888888888889</v>
      </c>
      <c r="Y301" s="6" t="str">
        <f aca="false">IFERROR(VLOOKUP($B301,Agents!$A:$D,3,0),"-")</f>
        <v>OUBRAHIM Mohammed</v>
      </c>
      <c r="Z301" s="6" t="str">
        <f aca="false">IFERROR(VLOOKUP($B301,Agents!$A:$D,4,0),"-")</f>
        <v>Credit Mutuel</v>
      </c>
      <c r="AA301" s="18" t="s">
        <v>87</v>
      </c>
      <c r="AB301" s="8" t="str">
        <f aca="false">IF(AND(D301="Congé",F301="Congé"),0.333333333333333,IF(OR(AND(D301="Congé",F301&lt;&gt;"Congé"),(AND(F301="Congé",D301&lt;&gt;"Congé"))),0.166666666666667,""))</f>
        <v/>
      </c>
      <c r="AC301" s="8" t="str">
        <f aca="false">IF(AND(D301="Congé sans solde",F301="Congé sans solde"),0.333333333333333,IF(OR(AND(D301="Congé sans solde",F301&lt;&gt;"Congé sans solde"),(AND(F301="Congé sans solde",D301&lt;&gt;"Congé sans solde"))),0.166666666666667,""))</f>
        <v/>
      </c>
      <c r="AD301" s="8" t="str">
        <f aca="false">IF(AND(D301="Congé spécial",F301="Congé spécial"),0.333333333333333,IF(OR(AND(D301="Congé spécial",F301&lt;&gt;"Congé spécial"),AND(F301="Congé spécial",D301&lt;&gt;"Congé spécial")),0.166666666666667,""))</f>
        <v/>
      </c>
      <c r="AE301" s="8" t="str">
        <f aca="false">IF(AND(D301="Férié",F301="Férié"),0.333333333333333,IF(OR(AND(D301="Férié",F301&lt;&gt;"Férié"),(AND(F301="Férié",D301&lt;&gt;"Férié"))),0.166666666666667,""))</f>
        <v/>
      </c>
      <c r="AF301" s="18"/>
      <c r="AG301" s="18"/>
    </row>
    <row r="302" customFormat="false" ht="15" hidden="false" customHeight="false" outlineLevel="0" collapsed="false">
      <c r="A302" s="6" t="str">
        <f aca="false">YEAR(Q302-WEEKDAY(Q302,2)+4)&amp;"-S"&amp;TEXT(WEEKNUM(Q302,21),"00")</f>
        <v>2026-S06</v>
      </c>
      <c r="B302" s="18" t="s">
        <v>69</v>
      </c>
      <c r="C302" s="19" t="n">
        <v>0.332638888888889</v>
      </c>
      <c r="D302" s="19" t="n">
        <v>0.333333333333333</v>
      </c>
      <c r="E302" s="19" t="n">
        <v>0.75</v>
      </c>
      <c r="F302" s="19" t="n">
        <v>0.75</v>
      </c>
      <c r="G302" s="20"/>
      <c r="H302" s="20"/>
      <c r="I302" s="8" t="str">
        <f aca="false">IF(IF(OR(C302="",D302="Congé",D302="OFF",D302="Congé spécial"),"",IF(D302&gt;F302,D302-C302,IF(C302-D302&lt;0,0,C302-D302)))&lt;0.00068287037037037,"",IF(OR(D302="Congé",D302="OFF",C302="",D302="Congé spécial"),"",IF(D302&gt;F302,D302-C302,IF(C302-D302&lt;0,0,C302-D302))))</f>
        <v/>
      </c>
      <c r="J302" s="20"/>
      <c r="K302" s="8" t="n">
        <f aca="false">IF(SUM(H302:J302)&lt;0.00068287037037037,0,SUM(H302:J302))</f>
        <v>0</v>
      </c>
      <c r="L302" s="8" t="n">
        <f aca="false">IF(OR(F302="Congé",F302="OFF",M302="Abs",F302="Congé sans solde",F302="Férié",F302="Congé spécial",D302="Congé spécial"),0,IF(F302-E302&lt;0,0,IF(F302-E302&lt;=0.00068287037037037,0,F302-E302)))</f>
        <v>0</v>
      </c>
      <c r="M302" s="6" t="n">
        <f aca="false">IF(AND(O302&lt;&gt;0,C302=""),"Abs",0)</f>
        <v>0</v>
      </c>
      <c r="N302" s="8" t="n">
        <f aca="false">IFERROR(IF(OR(D302="OFF",D302="Congé",M302="Abs",D302="Congé sans solde",D302="Férié"),"",IF(O302-K302-L302&gt;O302,O302,IF(O302-K302-L302&lt;0,"",O302-K302-L302))),"")</f>
        <v>0.375</v>
      </c>
      <c r="O302" s="8" t="n">
        <f aca="false">IF(AG302="2H Pause déjeuner",IF(F302-D302-0.0833333333333333&lt;0,F302-D302-0.0833333333333333+1,F302-D302-0.0833333333333333),IF(OR(AND(F302="OFF",D302="OFF"),AND(F302="Congé",D302="Congé"),AND(F302="Congé sans solde",D302="Congé sans solde"),AND(F302="Congé spécial",D302="Congé spécial"),AND(F302="Férié",D302="Férié"),AND(F302="OFF",D302="Congé"),AND(F302="OFF",D302="Congé sans solde"),AND(F302="OFF",D302="Congé spécial"),AND(F302="OFF",D302="Férié"),AND(F302="Congé",D302="OFF"),AND(F302="Congé",D302="Congé sans solde"),AND(F302="Congé",D302="Congé spécial"),AND(F302="Congé",D302="Férié"),AND(F302="Congé sans solde",D302="OFF"),AND(F302="Congé sans solde",D302="Congé"),AND(F302="Congé sans solde",D302="Congé spécial"),AND(F302="Congé sans solde",D302="Férié"),AND(F302="Congé spécial",D302="OFF"),AND(F302="Congé spécial",D302="Congé"),AND(F302="Congé spécial",D302="Congé sans solde"),AND(F302="Congé spécial",D302="Férié"),AND(F302="Férié",D302="OFF"),AND(F302="Férié",D302="Congé"),AND(F302="Férié",D302="Congé sans solde"),AND(F302="Férié",D302="Congé spécial")),0,IF(OR(F302="OFF",F302="Congé",F302="Congé spécial",F302="Congé sans solde",D302="OFF",D302="Congé",D302="Congé spécial",D302="Congé sans solde"),0.208333333333334,IF(AND(AG302="",F302-D302&lt;0),("24:00:00"-D302)+("00:00:00"+F302)-0.0416666666666667,IF(AND(OR(AG302="Allaitement",AG302="Sans déjeuner"),F302-D302&lt;0),("24:00:00"-D302)+("00:00:00"+F302),IF(AND(AG302="",F302-D302&gt;0.166666666666667),F302-D302-0.0416666666666667,IF(AND(OR(AG302="Allaitement",AG302="Sans déjeuner"),F302-D302&gt;0.166666666666667),F302-D302,F302-D302)))))))</f>
        <v>0.375</v>
      </c>
      <c r="P302" s="6" t="str">
        <f aca="false">IFERROR(VLOOKUP($B302,Agents!$A:$D,2,0),"-")</f>
        <v>Accessibilité</v>
      </c>
      <c r="Q302" s="21" t="n">
        <v>46057</v>
      </c>
      <c r="R302" s="8" t="n">
        <f aca="false">IF(M302="Abs",O302,0)</f>
        <v>0</v>
      </c>
      <c r="S302" s="8" t="n">
        <f aca="false">SUM(R302,L302,I302,J302,W302,H302)</f>
        <v>0</v>
      </c>
      <c r="T302" s="6" t="str">
        <f aca="false">"Sem - "&amp;WEEKNUM(Q302,21)</f>
        <v>Sem - 6</v>
      </c>
      <c r="U302" s="6" t="str">
        <f aca="false">CHOOSE(MONTH(Q302),"Janvier","Février","Mars","Avril","Mai","Juin","Juillet","Août","Septembre","Octobre","Novembre","Décembre")</f>
        <v>Février</v>
      </c>
      <c r="V302" s="22" t="n">
        <f aca="false">YEAR(Q302)</f>
        <v>2026</v>
      </c>
      <c r="W302" s="20"/>
      <c r="X302" s="8" t="n">
        <f aca="false">IFERROR(IF(M302="Abs",0,IF(ROUND((D302-C302+E302-F302)*1440,0)&lt;=1,0,D302-C302+E302-F302)),0)</f>
        <v>0</v>
      </c>
      <c r="Y302" s="6" t="str">
        <f aca="false">IFERROR(VLOOKUP($B302,Agents!$A:$D,3,0),"-")</f>
        <v>OUBRAHIM Mohammed</v>
      </c>
      <c r="Z302" s="6" t="str">
        <f aca="false">IFERROR(VLOOKUP($B302,Agents!$A:$D,4,0),"-")</f>
        <v>Credit Mutuel</v>
      </c>
      <c r="AA302" s="18" t="s">
        <v>87</v>
      </c>
      <c r="AB302" s="8" t="str">
        <f aca="false">IF(AND(D302="Congé",F302="Congé"),0.333333333333333,IF(OR(AND(D302="Congé",F302&lt;&gt;"Congé"),(AND(F302="Congé",D302&lt;&gt;"Congé"))),0.166666666666667,""))</f>
        <v/>
      </c>
      <c r="AC302" s="8" t="str">
        <f aca="false">IF(AND(D302="Congé sans solde",F302="Congé sans solde"),0.333333333333333,IF(OR(AND(D302="Congé sans solde",F302&lt;&gt;"Congé sans solde"),(AND(F302="Congé sans solde",D302&lt;&gt;"Congé sans solde"))),0.166666666666667,""))</f>
        <v/>
      </c>
      <c r="AD302" s="8" t="str">
        <f aca="false">IF(AND(D302="Congé spécial",F302="Congé spécial"),0.333333333333333,IF(OR(AND(D302="Congé spécial",F302&lt;&gt;"Congé spécial"),AND(F302="Congé spécial",D302&lt;&gt;"Congé spécial")),0.166666666666667,""))</f>
        <v/>
      </c>
      <c r="AE302" s="8" t="str">
        <f aca="false">IF(AND(D302="Férié",F302="Férié"),0.333333333333333,IF(OR(AND(D302="Férié",F302&lt;&gt;"Férié"),(AND(F302="Férié",D302&lt;&gt;"Férié"))),0.166666666666667,""))</f>
        <v/>
      </c>
      <c r="AF302" s="18"/>
      <c r="AG302" s="18"/>
    </row>
    <row r="303" customFormat="false" ht="15" hidden="false" customHeight="false" outlineLevel="0" collapsed="false">
      <c r="A303" s="6" t="str">
        <f aca="false">YEAR(Q303-WEEKDAY(Q303,2)+4)&amp;"-S"&amp;TEXT(WEEKNUM(Q303,21),"00")</f>
        <v>2026-S06</v>
      </c>
      <c r="B303" s="18" t="s">
        <v>71</v>
      </c>
      <c r="C303" s="19" t="n">
        <v>0.331944444444444</v>
      </c>
      <c r="D303" s="19" t="n">
        <v>0.333333333333333</v>
      </c>
      <c r="E303" s="19" t="n">
        <v>0.75</v>
      </c>
      <c r="F303" s="19" t="n">
        <v>0.75</v>
      </c>
      <c r="G303" s="20"/>
      <c r="H303" s="20"/>
      <c r="I303" s="8" t="str">
        <f aca="false">IF(IF(OR(C303="",D303="Congé",D303="OFF",D303="Congé spécial"),"",IF(D303&gt;F303,D303-C303,IF(C303-D303&lt;0,0,C303-D303)))&lt;0.00068287037037037,"",IF(OR(D303="Congé",D303="OFF",C303="",D303="Congé spécial"),"",IF(D303&gt;F303,D303-C303,IF(C303-D303&lt;0,0,C303-D303))))</f>
        <v/>
      </c>
      <c r="J303" s="20"/>
      <c r="K303" s="8" t="n">
        <f aca="false">IF(SUM(H303:J303)&lt;0.00068287037037037,0,SUM(H303:J303))</f>
        <v>0</v>
      </c>
      <c r="L303" s="8" t="n">
        <f aca="false">IF(OR(F303="Congé",F303="OFF",M303="Abs",F303="Congé sans solde",F303="Férié",F303="Congé spécial",D303="Congé spécial"),0,IF(F303-E303&lt;0,0,IF(F303-E303&lt;=0.00068287037037037,0,F303-E303)))</f>
        <v>0</v>
      </c>
      <c r="M303" s="6" t="n">
        <f aca="false">IF(AND(O303&lt;&gt;0,C303=""),"Abs",0)</f>
        <v>0</v>
      </c>
      <c r="N303" s="8" t="n">
        <f aca="false">IFERROR(IF(OR(D303="OFF",D303="Congé",M303="Abs",D303="Congé sans solde",D303="Férié"),"",IF(O303-K303-L303&gt;O303,O303,IF(O303-K303-L303&lt;0,"",O303-K303-L303))),"")</f>
        <v>0.375</v>
      </c>
      <c r="O303" s="8" t="n">
        <f aca="false">IF(AG303="2H Pause déjeuner",IF(F303-D303-0.0833333333333333&lt;0,F303-D303-0.0833333333333333+1,F303-D303-0.0833333333333333),IF(OR(AND(F303="OFF",D303="OFF"),AND(F303="Congé",D303="Congé"),AND(F303="Congé sans solde",D303="Congé sans solde"),AND(F303="Congé spécial",D303="Congé spécial"),AND(F303="Férié",D303="Férié"),AND(F303="OFF",D303="Congé"),AND(F303="OFF",D303="Congé sans solde"),AND(F303="OFF",D303="Congé spécial"),AND(F303="OFF",D303="Férié"),AND(F303="Congé",D303="OFF"),AND(F303="Congé",D303="Congé sans solde"),AND(F303="Congé",D303="Congé spécial"),AND(F303="Congé",D303="Férié"),AND(F303="Congé sans solde",D303="OFF"),AND(F303="Congé sans solde",D303="Congé"),AND(F303="Congé sans solde",D303="Congé spécial"),AND(F303="Congé sans solde",D303="Férié"),AND(F303="Congé spécial",D303="OFF"),AND(F303="Congé spécial",D303="Congé"),AND(F303="Congé spécial",D303="Congé sans solde"),AND(F303="Congé spécial",D303="Férié"),AND(F303="Férié",D303="OFF"),AND(F303="Férié",D303="Congé"),AND(F303="Férié",D303="Congé sans solde"),AND(F303="Férié",D303="Congé spécial")),0,IF(OR(F303="OFF",F303="Congé",F303="Congé spécial",F303="Congé sans solde",D303="OFF",D303="Congé",D303="Congé spécial",D303="Congé sans solde"),0.208333333333334,IF(AND(AG303="",F303-D303&lt;0),("24:00:00"-D303)+("00:00:00"+F303)-0.0416666666666667,IF(AND(OR(AG303="Allaitement",AG303="Sans déjeuner"),F303-D303&lt;0),("24:00:00"-D303)+("00:00:00"+F303),IF(AND(AG303="",F303-D303&gt;0.166666666666667),F303-D303-0.0416666666666667,IF(AND(OR(AG303="Allaitement",AG303="Sans déjeuner"),F303-D303&gt;0.166666666666667),F303-D303,F303-D303)))))))</f>
        <v>0.375</v>
      </c>
      <c r="P303" s="6" t="str">
        <f aca="false">IFERROR(VLOOKUP($B303,Agents!$A:$D,2,0),"-")</f>
        <v>Accessibilité</v>
      </c>
      <c r="Q303" s="21" t="n">
        <v>46057</v>
      </c>
      <c r="R303" s="8" t="n">
        <f aca="false">IF(M303="Abs",O303,0)</f>
        <v>0</v>
      </c>
      <c r="S303" s="8" t="n">
        <f aca="false">SUM(R303,L303,I303,J303,W303,H303)</f>
        <v>0</v>
      </c>
      <c r="T303" s="6" t="str">
        <f aca="false">"Sem - "&amp;WEEKNUM(Q303,21)</f>
        <v>Sem - 6</v>
      </c>
      <c r="U303" s="6" t="str">
        <f aca="false">CHOOSE(MONTH(Q303),"Janvier","Février","Mars","Avril","Mai","Juin","Juillet","Août","Septembre","Octobre","Novembre","Décembre")</f>
        <v>Février</v>
      </c>
      <c r="V303" s="22" t="n">
        <f aca="false">YEAR(Q303)</f>
        <v>2026</v>
      </c>
      <c r="W303" s="20"/>
      <c r="X303" s="8" t="n">
        <f aca="false">IFERROR(IF(M303="Abs",0,IF(ROUND((D303-C303+E303-F303)*1440,0)&lt;=1,0,D303-C303+E303-F303)),0)</f>
        <v>0.00138888888888889</v>
      </c>
      <c r="Y303" s="6" t="str">
        <f aca="false">IFERROR(VLOOKUP($B303,Agents!$A:$D,3,0),"-")</f>
        <v>OUBRAHIM Mohammed</v>
      </c>
      <c r="Z303" s="6" t="str">
        <f aca="false">IFERROR(VLOOKUP($B303,Agents!$A:$D,4,0),"-")</f>
        <v>Credit Mutuel</v>
      </c>
      <c r="AA303" s="18" t="s">
        <v>87</v>
      </c>
      <c r="AB303" s="8" t="str">
        <f aca="false">IF(AND(D303="Congé",F303="Congé"),0.333333333333333,IF(OR(AND(D303="Congé",F303&lt;&gt;"Congé"),(AND(F303="Congé",D303&lt;&gt;"Congé"))),0.166666666666667,""))</f>
        <v/>
      </c>
      <c r="AC303" s="8" t="str">
        <f aca="false">IF(AND(D303="Congé sans solde",F303="Congé sans solde"),0.333333333333333,IF(OR(AND(D303="Congé sans solde",F303&lt;&gt;"Congé sans solde"),(AND(F303="Congé sans solde",D303&lt;&gt;"Congé sans solde"))),0.166666666666667,""))</f>
        <v/>
      </c>
      <c r="AD303" s="8" t="str">
        <f aca="false">IF(AND(D303="Congé spécial",F303="Congé spécial"),0.333333333333333,IF(OR(AND(D303="Congé spécial",F303&lt;&gt;"Congé spécial"),AND(F303="Congé spécial",D303&lt;&gt;"Congé spécial")),0.166666666666667,""))</f>
        <v/>
      </c>
      <c r="AE303" s="8" t="str">
        <f aca="false">IF(AND(D303="Férié",F303="Férié"),0.333333333333333,IF(OR(AND(D303="Férié",F303&lt;&gt;"Férié"),(AND(F303="Férié",D303&lt;&gt;"Férié"))),0.166666666666667,""))</f>
        <v/>
      </c>
      <c r="AF303" s="18"/>
      <c r="AG303" s="18"/>
    </row>
    <row r="304" customFormat="false" ht="15" hidden="false" customHeight="false" outlineLevel="0" collapsed="false">
      <c r="A304" s="6" t="str">
        <f aca="false">YEAR(Q304-WEEKDAY(Q304,2)+4)&amp;"-S"&amp;TEXT(WEEKNUM(Q304,21),"00")</f>
        <v>2026-S06</v>
      </c>
      <c r="B304" s="18" t="s">
        <v>72</v>
      </c>
      <c r="C304" s="19" t="n">
        <v>0.332638888888889</v>
      </c>
      <c r="D304" s="19" t="n">
        <v>0.333333333333333</v>
      </c>
      <c r="E304" s="19" t="n">
        <v>0.75</v>
      </c>
      <c r="F304" s="19" t="n">
        <v>0.75</v>
      </c>
      <c r="G304" s="20"/>
      <c r="H304" s="20"/>
      <c r="I304" s="8" t="str">
        <f aca="false">IF(IF(OR(C304="",D304="Congé",D304="OFF",D304="Congé spécial"),"",IF(D304&gt;F304,D304-C304,IF(C304-D304&lt;0,0,C304-D304)))&lt;0.00068287037037037,"",IF(OR(D304="Congé",D304="OFF",C304="",D304="Congé spécial"),"",IF(D304&gt;F304,D304-C304,IF(C304-D304&lt;0,0,C304-D304))))</f>
        <v/>
      </c>
      <c r="J304" s="20"/>
      <c r="K304" s="8" t="n">
        <f aca="false">IF(SUM(H304:J304)&lt;0.00068287037037037,0,SUM(H304:J304))</f>
        <v>0</v>
      </c>
      <c r="L304" s="8" t="n">
        <f aca="false">IF(OR(F304="Congé",F304="OFF",M304="Abs",F304="Congé sans solde",F304="Férié",F304="Congé spécial",D304="Congé spécial"),0,IF(F304-E304&lt;0,0,IF(F304-E304&lt;=0.00068287037037037,0,F304-E304)))</f>
        <v>0</v>
      </c>
      <c r="M304" s="6" t="n">
        <f aca="false">IF(AND(O304&lt;&gt;0,C304=""),"Abs",0)</f>
        <v>0</v>
      </c>
      <c r="N304" s="8" t="n">
        <f aca="false">IFERROR(IF(OR(D304="OFF",D304="Congé",M304="Abs",D304="Congé sans solde",D304="Férié"),"",IF(O304-K304-L304&gt;O304,O304,IF(O304-K304-L304&lt;0,"",O304-K304-L304))),"")</f>
        <v>0.375</v>
      </c>
      <c r="O304" s="8" t="n">
        <f aca="false">IF(AG304="2H Pause déjeuner",IF(F304-D304-0.0833333333333333&lt;0,F304-D304-0.0833333333333333+1,F304-D304-0.0833333333333333),IF(OR(AND(F304="OFF",D304="OFF"),AND(F304="Congé",D304="Congé"),AND(F304="Congé sans solde",D304="Congé sans solde"),AND(F304="Congé spécial",D304="Congé spécial"),AND(F304="Férié",D304="Férié"),AND(F304="OFF",D304="Congé"),AND(F304="OFF",D304="Congé sans solde"),AND(F304="OFF",D304="Congé spécial"),AND(F304="OFF",D304="Férié"),AND(F304="Congé",D304="OFF"),AND(F304="Congé",D304="Congé sans solde"),AND(F304="Congé",D304="Congé spécial"),AND(F304="Congé",D304="Férié"),AND(F304="Congé sans solde",D304="OFF"),AND(F304="Congé sans solde",D304="Congé"),AND(F304="Congé sans solde",D304="Congé spécial"),AND(F304="Congé sans solde",D304="Férié"),AND(F304="Congé spécial",D304="OFF"),AND(F304="Congé spécial",D304="Congé"),AND(F304="Congé spécial",D304="Congé sans solde"),AND(F304="Congé spécial",D304="Férié"),AND(F304="Férié",D304="OFF"),AND(F304="Férié",D304="Congé"),AND(F304="Férié",D304="Congé sans solde"),AND(F304="Férié",D304="Congé spécial")),0,IF(OR(F304="OFF",F304="Congé",F304="Congé spécial",F304="Congé sans solde",D304="OFF",D304="Congé",D304="Congé spécial",D304="Congé sans solde"),0.208333333333334,IF(AND(AG304="",F304-D304&lt;0),("24:00:00"-D304)+("00:00:00"+F304)-0.0416666666666667,IF(AND(OR(AG304="Allaitement",AG304="Sans déjeuner"),F304-D304&lt;0),("24:00:00"-D304)+("00:00:00"+F304),IF(AND(AG304="",F304-D304&gt;0.166666666666667),F304-D304-0.0416666666666667,IF(AND(OR(AG304="Allaitement",AG304="Sans déjeuner"),F304-D304&gt;0.166666666666667),F304-D304,F304-D304)))))))</f>
        <v>0.375</v>
      </c>
      <c r="P304" s="6" t="str">
        <f aca="false">IFERROR(VLOOKUP($B304,Agents!$A:$D,2,0),"-")</f>
        <v>Accessibilité</v>
      </c>
      <c r="Q304" s="21" t="n">
        <v>46057</v>
      </c>
      <c r="R304" s="8" t="n">
        <f aca="false">IF(M304="Abs",O304,0)</f>
        <v>0</v>
      </c>
      <c r="S304" s="8" t="n">
        <f aca="false">SUM(R304,L304,I304,J304,W304,H304)</f>
        <v>0</v>
      </c>
      <c r="T304" s="6" t="str">
        <f aca="false">"Sem - "&amp;WEEKNUM(Q304,21)</f>
        <v>Sem - 6</v>
      </c>
      <c r="U304" s="6" t="str">
        <f aca="false">CHOOSE(MONTH(Q304),"Janvier","Février","Mars","Avril","Mai","Juin","Juillet","Août","Septembre","Octobre","Novembre","Décembre")</f>
        <v>Février</v>
      </c>
      <c r="V304" s="22" t="n">
        <f aca="false">YEAR(Q304)</f>
        <v>2026</v>
      </c>
      <c r="W304" s="20"/>
      <c r="X304" s="8" t="n">
        <f aca="false">IFERROR(IF(M304="Abs",0,IF(ROUND((D304-C304+E304-F304)*1440,0)&lt;=1,0,D304-C304+E304-F304)),0)</f>
        <v>0</v>
      </c>
      <c r="Y304" s="6" t="str">
        <f aca="false">IFERROR(VLOOKUP($B304,Agents!$A:$D,3,0),"-")</f>
        <v>OUBRAHIM Mohammed</v>
      </c>
      <c r="Z304" s="6" t="str">
        <f aca="false">IFERROR(VLOOKUP($B304,Agents!$A:$D,4,0),"-")</f>
        <v>Credit Mutuel</v>
      </c>
      <c r="AA304" s="18" t="s">
        <v>87</v>
      </c>
      <c r="AB304" s="8" t="str">
        <f aca="false">IF(AND(D304="Congé",F304="Congé"),0.333333333333333,IF(OR(AND(D304="Congé",F304&lt;&gt;"Congé"),(AND(F304="Congé",D304&lt;&gt;"Congé"))),0.166666666666667,""))</f>
        <v/>
      </c>
      <c r="AC304" s="8" t="str">
        <f aca="false">IF(AND(D304="Congé sans solde",F304="Congé sans solde"),0.333333333333333,IF(OR(AND(D304="Congé sans solde",F304&lt;&gt;"Congé sans solde"),(AND(F304="Congé sans solde",D304&lt;&gt;"Congé sans solde"))),0.166666666666667,""))</f>
        <v/>
      </c>
      <c r="AD304" s="8" t="str">
        <f aca="false">IF(AND(D304="Congé spécial",F304="Congé spécial"),0.333333333333333,IF(OR(AND(D304="Congé spécial",F304&lt;&gt;"Congé spécial"),AND(F304="Congé spécial",D304&lt;&gt;"Congé spécial")),0.166666666666667,""))</f>
        <v/>
      </c>
      <c r="AE304" s="8" t="str">
        <f aca="false">IF(AND(D304="Férié",F304="Férié"),0.333333333333333,IF(OR(AND(D304="Férié",F304&lt;&gt;"Férié"),(AND(F304="Férié",D304&lt;&gt;"Férié"))),0.166666666666667,""))</f>
        <v/>
      </c>
      <c r="AF304" s="18"/>
      <c r="AG304" s="18"/>
    </row>
    <row r="305" customFormat="false" ht="15" hidden="false" customHeight="false" outlineLevel="0" collapsed="false">
      <c r="A305" s="6" t="str">
        <f aca="false">YEAR(Q305-WEEKDAY(Q305,2)+4)&amp;"-S"&amp;TEXT(WEEKNUM(Q305,21),"00")</f>
        <v>2026-S06</v>
      </c>
      <c r="B305" s="18" t="s">
        <v>73</v>
      </c>
      <c r="C305" s="19" t="n">
        <v>0.332638888888889</v>
      </c>
      <c r="D305" s="19" t="n">
        <v>0.333333333333333</v>
      </c>
      <c r="E305" s="19" t="n">
        <v>0.75</v>
      </c>
      <c r="F305" s="19" t="n">
        <v>0.75</v>
      </c>
      <c r="G305" s="20"/>
      <c r="H305" s="20"/>
      <c r="I305" s="8" t="str">
        <f aca="false">IF(IF(OR(C305="",D305="Congé",D305="OFF",D305="Congé spécial"),"",IF(D305&gt;F305,D305-C305,IF(C305-D305&lt;0,0,C305-D305)))&lt;0.00068287037037037,"",IF(OR(D305="Congé",D305="OFF",C305="",D305="Congé spécial"),"",IF(D305&gt;F305,D305-C305,IF(C305-D305&lt;0,0,C305-D305))))</f>
        <v/>
      </c>
      <c r="J305" s="20"/>
      <c r="K305" s="8" t="n">
        <f aca="false">IF(SUM(H305:J305)&lt;0.00068287037037037,0,SUM(H305:J305))</f>
        <v>0</v>
      </c>
      <c r="L305" s="8" t="n">
        <f aca="false">IF(OR(F305="Congé",F305="OFF",M305="Abs",F305="Congé sans solde",F305="Férié",F305="Congé spécial",D305="Congé spécial"),0,IF(F305-E305&lt;0,0,IF(F305-E305&lt;=0.00068287037037037,0,F305-E305)))</f>
        <v>0</v>
      </c>
      <c r="M305" s="6" t="n">
        <f aca="false">IF(AND(O305&lt;&gt;0,C305=""),"Abs",0)</f>
        <v>0</v>
      </c>
      <c r="N305" s="8" t="n">
        <f aca="false">IFERROR(IF(OR(D305="OFF",D305="Congé",M305="Abs",D305="Congé sans solde",D305="Férié"),"",IF(O305-K305-L305&gt;O305,O305,IF(O305-K305-L305&lt;0,"",O305-K305-L305))),"")</f>
        <v>0.375</v>
      </c>
      <c r="O305" s="8" t="n">
        <f aca="false">IF(AG305="2H Pause déjeuner",IF(F305-D305-0.0833333333333333&lt;0,F305-D305-0.0833333333333333+1,F305-D305-0.0833333333333333),IF(OR(AND(F305="OFF",D305="OFF"),AND(F305="Congé",D305="Congé"),AND(F305="Congé sans solde",D305="Congé sans solde"),AND(F305="Congé spécial",D305="Congé spécial"),AND(F305="Férié",D305="Férié"),AND(F305="OFF",D305="Congé"),AND(F305="OFF",D305="Congé sans solde"),AND(F305="OFF",D305="Congé spécial"),AND(F305="OFF",D305="Férié"),AND(F305="Congé",D305="OFF"),AND(F305="Congé",D305="Congé sans solde"),AND(F305="Congé",D305="Congé spécial"),AND(F305="Congé",D305="Férié"),AND(F305="Congé sans solde",D305="OFF"),AND(F305="Congé sans solde",D305="Congé"),AND(F305="Congé sans solde",D305="Congé spécial"),AND(F305="Congé sans solde",D305="Férié"),AND(F305="Congé spécial",D305="OFF"),AND(F305="Congé spécial",D305="Congé"),AND(F305="Congé spécial",D305="Congé sans solde"),AND(F305="Congé spécial",D305="Férié"),AND(F305="Férié",D305="OFF"),AND(F305="Férié",D305="Congé"),AND(F305="Férié",D305="Congé sans solde"),AND(F305="Férié",D305="Congé spécial")),0,IF(OR(F305="OFF",F305="Congé",F305="Congé spécial",F305="Congé sans solde",D305="OFF",D305="Congé",D305="Congé spécial",D305="Congé sans solde"),0.208333333333334,IF(AND(AG305="",F305-D305&lt;0),("24:00:00"-D305)+("00:00:00"+F305)-0.0416666666666667,IF(AND(OR(AG305="Allaitement",AG305="Sans déjeuner"),F305-D305&lt;0),("24:00:00"-D305)+("00:00:00"+F305),IF(AND(AG305="",F305-D305&gt;0.166666666666667),F305-D305-0.0416666666666667,IF(AND(OR(AG305="Allaitement",AG305="Sans déjeuner"),F305-D305&gt;0.166666666666667),F305-D305,F305-D305)))))))</f>
        <v>0.375</v>
      </c>
      <c r="P305" s="6" t="str">
        <f aca="false">IFERROR(VLOOKUP($B305,Agents!$A:$D,2,0),"-")</f>
        <v>Accessibilité</v>
      </c>
      <c r="Q305" s="21" t="n">
        <v>46057</v>
      </c>
      <c r="R305" s="8" t="n">
        <f aca="false">IF(M305="Abs",O305,0)</f>
        <v>0</v>
      </c>
      <c r="S305" s="8" t="n">
        <f aca="false">SUM(R305,L305,I305,J305,W305,H305)</f>
        <v>0</v>
      </c>
      <c r="T305" s="6" t="str">
        <f aca="false">"Sem - "&amp;WEEKNUM(Q305,21)</f>
        <v>Sem - 6</v>
      </c>
      <c r="U305" s="6" t="str">
        <f aca="false">CHOOSE(MONTH(Q305),"Janvier","Février","Mars","Avril","Mai","Juin","Juillet","Août","Septembre","Octobre","Novembre","Décembre")</f>
        <v>Février</v>
      </c>
      <c r="V305" s="22" t="n">
        <f aca="false">YEAR(Q305)</f>
        <v>2026</v>
      </c>
      <c r="W305" s="20"/>
      <c r="X305" s="8" t="n">
        <f aca="false">IFERROR(IF(M305="Abs",0,IF(ROUND((D305-C305+E305-F305)*1440,0)&lt;=1,0,D305-C305+E305-F305)),0)</f>
        <v>0</v>
      </c>
      <c r="Y305" s="6" t="str">
        <f aca="false">IFERROR(VLOOKUP($B305,Agents!$A:$D,3,0),"-")</f>
        <v>OUBRAHIM Mohammed</v>
      </c>
      <c r="Z305" s="6" t="str">
        <f aca="false">IFERROR(VLOOKUP($B305,Agents!$A:$D,4,0),"-")</f>
        <v>Credit Mutuel</v>
      </c>
      <c r="AA305" s="18" t="s">
        <v>87</v>
      </c>
      <c r="AB305" s="8" t="str">
        <f aca="false">IF(AND(D305="Congé",F305="Congé"),0.333333333333333,IF(OR(AND(D305="Congé",F305&lt;&gt;"Congé"),(AND(F305="Congé",D305&lt;&gt;"Congé"))),0.166666666666667,""))</f>
        <v/>
      </c>
      <c r="AC305" s="8" t="str">
        <f aca="false">IF(AND(D305="Congé sans solde",F305="Congé sans solde"),0.333333333333333,IF(OR(AND(D305="Congé sans solde",F305&lt;&gt;"Congé sans solde"),(AND(F305="Congé sans solde",D305&lt;&gt;"Congé sans solde"))),0.166666666666667,""))</f>
        <v/>
      </c>
      <c r="AD305" s="8" t="str">
        <f aca="false">IF(AND(D305="Congé spécial",F305="Congé spécial"),0.333333333333333,IF(OR(AND(D305="Congé spécial",F305&lt;&gt;"Congé spécial"),AND(F305="Congé spécial",D305&lt;&gt;"Congé spécial")),0.166666666666667,""))</f>
        <v/>
      </c>
      <c r="AE305" s="8" t="str">
        <f aca="false">IF(AND(D305="Férié",F305="Férié"),0.333333333333333,IF(OR(AND(D305="Férié",F305&lt;&gt;"Férié"),(AND(F305="Férié",D305&lt;&gt;"Férié"))),0.166666666666667,""))</f>
        <v/>
      </c>
      <c r="AF305" s="18"/>
      <c r="AG305" s="18"/>
    </row>
    <row r="306" customFormat="false" ht="15" hidden="false" customHeight="false" outlineLevel="0" collapsed="false">
      <c r="A306" s="6" t="str">
        <f aca="false">YEAR(Q306-WEEKDAY(Q306,2)+4)&amp;"-S"&amp;TEXT(WEEKNUM(Q306,21),"00")</f>
        <v>2026-S06</v>
      </c>
      <c r="B306" s="18" t="s">
        <v>69</v>
      </c>
      <c r="C306" s="19" t="n">
        <v>0.349305555555556</v>
      </c>
      <c r="D306" s="19" t="n">
        <v>0.333333333333333</v>
      </c>
      <c r="E306" s="19" t="n">
        <v>0.75</v>
      </c>
      <c r="F306" s="19" t="n">
        <v>0.75</v>
      </c>
      <c r="G306" s="20"/>
      <c r="H306" s="20"/>
      <c r="I306" s="8" t="n">
        <f aca="false">IF(IF(OR(C306="",D306="Congé",D306="OFF",D306="Congé spécial"),"",IF(D306&gt;F306,D306-C306,IF(C306-D306&lt;0,0,C306-D306)))&lt;0.00068287037037037,"",IF(OR(D306="Congé",D306="OFF",C306="",D306="Congé spécial"),"",IF(D306&gt;F306,D306-C306,IF(C306-D306&lt;0,0,C306-D306))))</f>
        <v>0.0159722222222222</v>
      </c>
      <c r="J306" s="20"/>
      <c r="K306" s="8" t="n">
        <f aca="false">IF(SUM(H306:J306)&lt;0.00068287037037037,0,SUM(H306:J306))</f>
        <v>0.0159722222222222</v>
      </c>
      <c r="L306" s="8" t="n">
        <f aca="false">IF(OR(F306="Congé",F306="OFF",M306="Abs",F306="Congé sans solde",F306="Férié",F306="Congé spécial",D306="Congé spécial"),0,IF(F306-E306&lt;0,0,IF(F306-E306&lt;=0.00068287037037037,0,F306-E306)))</f>
        <v>0</v>
      </c>
      <c r="M306" s="6" t="n">
        <f aca="false">IF(AND(O306&lt;&gt;0,C306=""),"Abs",0)</f>
        <v>0</v>
      </c>
      <c r="N306" s="8" t="n">
        <f aca="false">IFERROR(IF(OR(D306="OFF",D306="Congé",M306="Abs",D306="Congé sans solde",D306="Férié"),"",IF(O306-K306-L306&gt;O306,O306,IF(O306-K306-L306&lt;0,"",O306-K306-L306))),"")</f>
        <v>0.359027777777778</v>
      </c>
      <c r="O306" s="8" t="n">
        <f aca="false">IF(AG306="2H Pause déjeuner",IF(F306-D306-0.0833333333333333&lt;0,F306-D306-0.0833333333333333+1,F306-D306-0.0833333333333333),IF(OR(AND(F306="OFF",D306="OFF"),AND(F306="Congé",D306="Congé"),AND(F306="Congé sans solde",D306="Congé sans solde"),AND(F306="Congé spécial",D306="Congé spécial"),AND(F306="Férié",D306="Férié"),AND(F306="OFF",D306="Congé"),AND(F306="OFF",D306="Congé sans solde"),AND(F306="OFF",D306="Congé spécial"),AND(F306="OFF",D306="Férié"),AND(F306="Congé",D306="OFF"),AND(F306="Congé",D306="Congé sans solde"),AND(F306="Congé",D306="Congé spécial"),AND(F306="Congé",D306="Férié"),AND(F306="Congé sans solde",D306="OFF"),AND(F306="Congé sans solde",D306="Congé"),AND(F306="Congé sans solde",D306="Congé spécial"),AND(F306="Congé sans solde",D306="Férié"),AND(F306="Congé spécial",D306="OFF"),AND(F306="Congé spécial",D306="Congé"),AND(F306="Congé spécial",D306="Congé sans solde"),AND(F306="Congé spécial",D306="Férié"),AND(F306="Férié",D306="OFF"),AND(F306="Férié",D306="Congé"),AND(F306="Férié",D306="Congé sans solde"),AND(F306="Férié",D306="Congé spécial")),0,IF(OR(F306="OFF",F306="Congé",F306="Congé spécial",F306="Congé sans solde",D306="OFF",D306="Congé",D306="Congé spécial",D306="Congé sans solde"),0.208333333333334,IF(AND(AG306="",F306-D306&lt;0),("24:00:00"-D306)+("00:00:00"+F306)-0.0416666666666667,IF(AND(OR(AG306="Allaitement",AG306="Sans déjeuner"),F306-D306&lt;0),("24:00:00"-D306)+("00:00:00"+F306),IF(AND(AG306="",F306-D306&gt;0.166666666666667),F306-D306-0.0416666666666667,IF(AND(OR(AG306="Allaitement",AG306="Sans déjeuner"),F306-D306&gt;0.166666666666667),F306-D306,F306-D306)))))))</f>
        <v>0.375</v>
      </c>
      <c r="P306" s="6" t="str">
        <f aca="false">IFERROR(VLOOKUP($B306,Agents!$A:$D,2,0),"-")</f>
        <v>Accessibilité</v>
      </c>
      <c r="Q306" s="21" t="n">
        <v>46058</v>
      </c>
      <c r="R306" s="8" t="n">
        <f aca="false">IF(M306="Abs",O306,0)</f>
        <v>0</v>
      </c>
      <c r="S306" s="8" t="n">
        <f aca="false">SUM(R306,L306,I306,J306,W306,H306)</f>
        <v>0.0159722222222222</v>
      </c>
      <c r="T306" s="6" t="str">
        <f aca="false">"Sem - "&amp;WEEKNUM(Q306,21)</f>
        <v>Sem - 6</v>
      </c>
      <c r="U306" s="6" t="str">
        <f aca="false">CHOOSE(MONTH(Q306),"Janvier","Février","Mars","Avril","Mai","Juin","Juillet","Août","Septembre","Octobre","Novembre","Décembre")</f>
        <v>Février</v>
      </c>
      <c r="V306" s="22" t="n">
        <f aca="false">YEAR(Q306)</f>
        <v>2026</v>
      </c>
      <c r="W306" s="20"/>
      <c r="X306" s="8" t="n">
        <f aca="false">IFERROR(IF(M306="Abs",0,IF(ROUND((D306-C306+E306-F306)*1440,0)&lt;=1,0,D306-C306+E306-F306)),0)</f>
        <v>0</v>
      </c>
      <c r="Y306" s="6" t="str">
        <f aca="false">IFERROR(VLOOKUP($B306,Agents!$A:$D,3,0),"-")</f>
        <v>OUBRAHIM Mohammed</v>
      </c>
      <c r="Z306" s="6" t="str">
        <f aca="false">IFERROR(VLOOKUP($B306,Agents!$A:$D,4,0),"-")</f>
        <v>Credit Mutuel</v>
      </c>
      <c r="AA306" s="18" t="s">
        <v>87</v>
      </c>
      <c r="AB306" s="8" t="str">
        <f aca="false">IF(AND(D306="Congé",F306="Congé"),0.333333333333333,IF(OR(AND(D306="Congé",F306&lt;&gt;"Congé"),(AND(F306="Congé",D306&lt;&gt;"Congé"))),0.166666666666667,""))</f>
        <v/>
      </c>
      <c r="AC306" s="8" t="str">
        <f aca="false">IF(AND(D306="Congé sans solde",F306="Congé sans solde"),0.333333333333333,IF(OR(AND(D306="Congé sans solde",F306&lt;&gt;"Congé sans solde"),(AND(F306="Congé sans solde",D306&lt;&gt;"Congé sans solde"))),0.166666666666667,""))</f>
        <v/>
      </c>
      <c r="AD306" s="8" t="str">
        <f aca="false">IF(AND(D306="Congé spécial",F306="Congé spécial"),0.333333333333333,IF(OR(AND(D306="Congé spécial",F306&lt;&gt;"Congé spécial"),AND(F306="Congé spécial",D306&lt;&gt;"Congé spécial")),0.166666666666667,""))</f>
        <v/>
      </c>
      <c r="AE306" s="8" t="str">
        <f aca="false">IF(AND(D306="Férié",F306="Férié"),0.333333333333333,IF(OR(AND(D306="Férié",F306&lt;&gt;"Férié"),(AND(F306="Férié",D306&lt;&gt;"Férié"))),0.166666666666667,""))</f>
        <v/>
      </c>
      <c r="AF306" s="18"/>
      <c r="AG306" s="18"/>
    </row>
    <row r="307" customFormat="false" ht="15" hidden="false" customHeight="false" outlineLevel="0" collapsed="false">
      <c r="A307" s="6" t="str">
        <f aca="false">YEAR(Q307-WEEKDAY(Q307,2)+4)&amp;"-S"&amp;TEXT(WEEKNUM(Q307,21),"00")</f>
        <v>2026-S06</v>
      </c>
      <c r="B307" s="18" t="s">
        <v>71</v>
      </c>
      <c r="C307" s="19" t="n">
        <v>0.330555555555556</v>
      </c>
      <c r="D307" s="19" t="n">
        <v>0.333333333333333</v>
      </c>
      <c r="E307" s="19" t="n">
        <v>0.75</v>
      </c>
      <c r="F307" s="19" t="n">
        <v>0.75</v>
      </c>
      <c r="G307" s="20"/>
      <c r="H307" s="20"/>
      <c r="I307" s="8" t="str">
        <f aca="false">IF(IF(OR(C307="",D307="Congé",D307="OFF",D307="Congé spécial"),"",IF(D307&gt;F307,D307-C307,IF(C307-D307&lt;0,0,C307-D307)))&lt;0.00068287037037037,"",IF(OR(D307="Congé",D307="OFF",C307="",D307="Congé spécial"),"",IF(D307&gt;F307,D307-C307,IF(C307-D307&lt;0,0,C307-D307))))</f>
        <v/>
      </c>
      <c r="J307" s="20"/>
      <c r="K307" s="8" t="n">
        <f aca="false">IF(SUM(H307:J307)&lt;0.00068287037037037,0,SUM(H307:J307))</f>
        <v>0</v>
      </c>
      <c r="L307" s="8" t="n">
        <f aca="false">IF(OR(F307="Congé",F307="OFF",M307="Abs",F307="Congé sans solde",F307="Férié",F307="Congé spécial",D307="Congé spécial"),0,IF(F307-E307&lt;0,0,IF(F307-E307&lt;=0.00068287037037037,0,F307-E307)))</f>
        <v>0</v>
      </c>
      <c r="M307" s="6" t="n">
        <f aca="false">IF(AND(O307&lt;&gt;0,C307=""),"Abs",0)</f>
        <v>0</v>
      </c>
      <c r="N307" s="8" t="n">
        <f aca="false">IFERROR(IF(OR(D307="OFF",D307="Congé",M307="Abs",D307="Congé sans solde",D307="Férié"),"",IF(O307-K307-L307&gt;O307,O307,IF(O307-K307-L307&lt;0,"",O307-K307-L307))),"")</f>
        <v>0.375</v>
      </c>
      <c r="O307" s="8" t="n">
        <f aca="false">IF(AG307="2H Pause déjeuner",IF(F307-D307-0.0833333333333333&lt;0,F307-D307-0.0833333333333333+1,F307-D307-0.0833333333333333),IF(OR(AND(F307="OFF",D307="OFF"),AND(F307="Congé",D307="Congé"),AND(F307="Congé sans solde",D307="Congé sans solde"),AND(F307="Congé spécial",D307="Congé spécial"),AND(F307="Férié",D307="Férié"),AND(F307="OFF",D307="Congé"),AND(F307="OFF",D307="Congé sans solde"),AND(F307="OFF",D307="Congé spécial"),AND(F307="OFF",D307="Férié"),AND(F307="Congé",D307="OFF"),AND(F307="Congé",D307="Congé sans solde"),AND(F307="Congé",D307="Congé spécial"),AND(F307="Congé",D307="Férié"),AND(F307="Congé sans solde",D307="OFF"),AND(F307="Congé sans solde",D307="Congé"),AND(F307="Congé sans solde",D307="Congé spécial"),AND(F307="Congé sans solde",D307="Férié"),AND(F307="Congé spécial",D307="OFF"),AND(F307="Congé spécial",D307="Congé"),AND(F307="Congé spécial",D307="Congé sans solde"),AND(F307="Congé spécial",D307="Férié"),AND(F307="Férié",D307="OFF"),AND(F307="Férié",D307="Congé"),AND(F307="Férié",D307="Congé sans solde"),AND(F307="Férié",D307="Congé spécial")),0,IF(OR(F307="OFF",F307="Congé",F307="Congé spécial",F307="Congé sans solde",D307="OFF",D307="Congé",D307="Congé spécial",D307="Congé sans solde"),0.208333333333334,IF(AND(AG307="",F307-D307&lt;0),("24:00:00"-D307)+("00:00:00"+F307)-0.0416666666666667,IF(AND(OR(AG307="Allaitement",AG307="Sans déjeuner"),F307-D307&lt;0),("24:00:00"-D307)+("00:00:00"+F307),IF(AND(AG307="",F307-D307&gt;0.166666666666667),F307-D307-0.0416666666666667,IF(AND(OR(AG307="Allaitement",AG307="Sans déjeuner"),F307-D307&gt;0.166666666666667),F307-D307,F307-D307)))))))</f>
        <v>0.375</v>
      </c>
      <c r="P307" s="6" t="str">
        <f aca="false">IFERROR(VLOOKUP($B307,Agents!$A:$D,2,0),"-")</f>
        <v>Accessibilité</v>
      </c>
      <c r="Q307" s="21" t="n">
        <v>46058</v>
      </c>
      <c r="R307" s="8" t="n">
        <f aca="false">IF(M307="Abs",O307,0)</f>
        <v>0</v>
      </c>
      <c r="S307" s="8" t="n">
        <f aca="false">SUM(R307,L307,I307,J307,W307,H307)</f>
        <v>0</v>
      </c>
      <c r="T307" s="6" t="str">
        <f aca="false">"Sem - "&amp;WEEKNUM(Q307,21)</f>
        <v>Sem - 6</v>
      </c>
      <c r="U307" s="6" t="str">
        <f aca="false">CHOOSE(MONTH(Q307),"Janvier","Février","Mars","Avril","Mai","Juin","Juillet","Août","Septembre","Octobre","Novembre","Décembre")</f>
        <v>Février</v>
      </c>
      <c r="V307" s="22" t="n">
        <f aca="false">YEAR(Q307)</f>
        <v>2026</v>
      </c>
      <c r="W307" s="20"/>
      <c r="X307" s="8" t="n">
        <f aca="false">IFERROR(IF(M307="Abs",0,IF(ROUND((D307-C307+E307-F307)*1440,0)&lt;=1,0,D307-C307+E307-F307)),0)</f>
        <v>0.00277777777777778</v>
      </c>
      <c r="Y307" s="6" t="str">
        <f aca="false">IFERROR(VLOOKUP($B307,Agents!$A:$D,3,0),"-")</f>
        <v>OUBRAHIM Mohammed</v>
      </c>
      <c r="Z307" s="6" t="str">
        <f aca="false">IFERROR(VLOOKUP($B307,Agents!$A:$D,4,0),"-")</f>
        <v>Credit Mutuel</v>
      </c>
      <c r="AA307" s="18" t="s">
        <v>87</v>
      </c>
      <c r="AB307" s="8" t="str">
        <f aca="false">IF(AND(D307="Congé",F307="Congé"),0.333333333333333,IF(OR(AND(D307="Congé",F307&lt;&gt;"Congé"),(AND(F307="Congé",D307&lt;&gt;"Congé"))),0.166666666666667,""))</f>
        <v/>
      </c>
      <c r="AC307" s="8" t="str">
        <f aca="false">IF(AND(D307="Congé sans solde",F307="Congé sans solde"),0.333333333333333,IF(OR(AND(D307="Congé sans solde",F307&lt;&gt;"Congé sans solde"),(AND(F307="Congé sans solde",D307&lt;&gt;"Congé sans solde"))),0.166666666666667,""))</f>
        <v/>
      </c>
      <c r="AD307" s="8" t="str">
        <f aca="false">IF(AND(D307="Congé spécial",F307="Congé spécial"),0.333333333333333,IF(OR(AND(D307="Congé spécial",F307&lt;&gt;"Congé spécial"),AND(F307="Congé spécial",D307&lt;&gt;"Congé spécial")),0.166666666666667,""))</f>
        <v/>
      </c>
      <c r="AE307" s="8" t="str">
        <f aca="false">IF(AND(D307="Férié",F307="Férié"),0.333333333333333,IF(OR(AND(D307="Férié",F307&lt;&gt;"Férié"),(AND(F307="Férié",D307&lt;&gt;"Férié"))),0.166666666666667,""))</f>
        <v/>
      </c>
      <c r="AF307" s="18"/>
      <c r="AG307" s="18"/>
    </row>
    <row r="308" customFormat="false" ht="15" hidden="false" customHeight="false" outlineLevel="0" collapsed="false">
      <c r="A308" s="6" t="str">
        <f aca="false">YEAR(Q308-WEEKDAY(Q308,2)+4)&amp;"-S"&amp;TEXT(WEEKNUM(Q308,21),"00")</f>
        <v>2026-S06</v>
      </c>
      <c r="B308" s="18" t="s">
        <v>72</v>
      </c>
      <c r="C308" s="19" t="n">
        <v>0.349305555555556</v>
      </c>
      <c r="D308" s="19" t="n">
        <v>0.333333333333333</v>
      </c>
      <c r="E308" s="19" t="n">
        <v>0.75</v>
      </c>
      <c r="F308" s="19" t="n">
        <v>0.75</v>
      </c>
      <c r="G308" s="20"/>
      <c r="H308" s="20"/>
      <c r="I308" s="8" t="n">
        <f aca="false">IF(IF(OR(C308="",D308="Congé",D308="OFF",D308="Congé spécial"),"",IF(D308&gt;F308,D308-C308,IF(C308-D308&lt;0,0,C308-D308)))&lt;0.00068287037037037,"",IF(OR(D308="Congé",D308="OFF",C308="",D308="Congé spécial"),"",IF(D308&gt;F308,D308-C308,IF(C308-D308&lt;0,0,C308-D308))))</f>
        <v>0.0159722222222222</v>
      </c>
      <c r="J308" s="20"/>
      <c r="K308" s="8" t="n">
        <f aca="false">IF(SUM(H308:J308)&lt;0.00068287037037037,0,SUM(H308:J308))</f>
        <v>0.0159722222222222</v>
      </c>
      <c r="L308" s="8" t="n">
        <f aca="false">IF(OR(F308="Congé",F308="OFF",M308="Abs",F308="Congé sans solde",F308="Férié",F308="Congé spécial",D308="Congé spécial"),0,IF(F308-E308&lt;0,0,IF(F308-E308&lt;=0.00068287037037037,0,F308-E308)))</f>
        <v>0</v>
      </c>
      <c r="M308" s="6" t="n">
        <f aca="false">IF(AND(O308&lt;&gt;0,C308=""),"Abs",0)</f>
        <v>0</v>
      </c>
      <c r="N308" s="8" t="n">
        <f aca="false">IFERROR(IF(OR(D308="OFF",D308="Congé",M308="Abs",D308="Congé sans solde",D308="Férié"),"",IF(O308-K308-L308&gt;O308,O308,IF(O308-K308-L308&lt;0,"",O308-K308-L308))),"")</f>
        <v>0.359027777777778</v>
      </c>
      <c r="O308" s="8" t="n">
        <f aca="false">IF(AG308="2H Pause déjeuner",IF(F308-D308-0.0833333333333333&lt;0,F308-D308-0.0833333333333333+1,F308-D308-0.0833333333333333),IF(OR(AND(F308="OFF",D308="OFF"),AND(F308="Congé",D308="Congé"),AND(F308="Congé sans solde",D308="Congé sans solde"),AND(F308="Congé spécial",D308="Congé spécial"),AND(F308="Férié",D308="Férié"),AND(F308="OFF",D308="Congé"),AND(F308="OFF",D308="Congé sans solde"),AND(F308="OFF",D308="Congé spécial"),AND(F308="OFF",D308="Férié"),AND(F308="Congé",D308="OFF"),AND(F308="Congé",D308="Congé sans solde"),AND(F308="Congé",D308="Congé spécial"),AND(F308="Congé",D308="Férié"),AND(F308="Congé sans solde",D308="OFF"),AND(F308="Congé sans solde",D308="Congé"),AND(F308="Congé sans solde",D308="Congé spécial"),AND(F308="Congé sans solde",D308="Férié"),AND(F308="Congé spécial",D308="OFF"),AND(F308="Congé spécial",D308="Congé"),AND(F308="Congé spécial",D308="Congé sans solde"),AND(F308="Congé spécial",D308="Férié"),AND(F308="Férié",D308="OFF"),AND(F308="Férié",D308="Congé"),AND(F308="Férié",D308="Congé sans solde"),AND(F308="Férié",D308="Congé spécial")),0,IF(OR(F308="OFF",F308="Congé",F308="Congé spécial",F308="Congé sans solde",D308="OFF",D308="Congé",D308="Congé spécial",D308="Congé sans solde"),0.208333333333334,IF(AND(AG308="",F308-D308&lt;0),("24:00:00"-D308)+("00:00:00"+F308)-0.0416666666666667,IF(AND(OR(AG308="Allaitement",AG308="Sans déjeuner"),F308-D308&lt;0),("24:00:00"-D308)+("00:00:00"+F308),IF(AND(AG308="",F308-D308&gt;0.166666666666667),F308-D308-0.0416666666666667,IF(AND(OR(AG308="Allaitement",AG308="Sans déjeuner"),F308-D308&gt;0.166666666666667),F308-D308,F308-D308)))))))</f>
        <v>0.375</v>
      </c>
      <c r="P308" s="6" t="str">
        <f aca="false">IFERROR(VLOOKUP($B308,Agents!$A:$D,2,0),"-")</f>
        <v>Accessibilité</v>
      </c>
      <c r="Q308" s="21" t="n">
        <v>46058</v>
      </c>
      <c r="R308" s="8" t="n">
        <f aca="false">IF(M308="Abs",O308,0)</f>
        <v>0</v>
      </c>
      <c r="S308" s="8" t="n">
        <f aca="false">SUM(R308,L308,I308,J308,W308,H308)</f>
        <v>0.0159722222222222</v>
      </c>
      <c r="T308" s="6" t="str">
        <f aca="false">"Sem - "&amp;WEEKNUM(Q308,21)</f>
        <v>Sem - 6</v>
      </c>
      <c r="U308" s="6" t="str">
        <f aca="false">CHOOSE(MONTH(Q308),"Janvier","Février","Mars","Avril","Mai","Juin","Juillet","Août","Septembre","Octobre","Novembre","Décembre")</f>
        <v>Février</v>
      </c>
      <c r="V308" s="22" t="n">
        <f aca="false">YEAR(Q308)</f>
        <v>2026</v>
      </c>
      <c r="W308" s="20"/>
      <c r="X308" s="8" t="n">
        <f aca="false">IFERROR(IF(M308="Abs",0,IF(ROUND((D308-C308+E308-F308)*1440,0)&lt;=1,0,D308-C308+E308-F308)),0)</f>
        <v>0</v>
      </c>
      <c r="Y308" s="6" t="str">
        <f aca="false">IFERROR(VLOOKUP($B308,Agents!$A:$D,3,0),"-")</f>
        <v>OUBRAHIM Mohammed</v>
      </c>
      <c r="Z308" s="6" t="str">
        <f aca="false">IFERROR(VLOOKUP($B308,Agents!$A:$D,4,0),"-")</f>
        <v>Credit Mutuel</v>
      </c>
      <c r="AA308" s="18" t="s">
        <v>87</v>
      </c>
      <c r="AB308" s="8" t="str">
        <f aca="false">IF(AND(D308="Congé",F308="Congé"),0.333333333333333,IF(OR(AND(D308="Congé",F308&lt;&gt;"Congé"),(AND(F308="Congé",D308&lt;&gt;"Congé"))),0.166666666666667,""))</f>
        <v/>
      </c>
      <c r="AC308" s="8" t="str">
        <f aca="false">IF(AND(D308="Congé sans solde",F308="Congé sans solde"),0.333333333333333,IF(OR(AND(D308="Congé sans solde",F308&lt;&gt;"Congé sans solde"),(AND(F308="Congé sans solde",D308&lt;&gt;"Congé sans solde"))),0.166666666666667,""))</f>
        <v/>
      </c>
      <c r="AD308" s="8" t="str">
        <f aca="false">IF(AND(D308="Congé spécial",F308="Congé spécial"),0.333333333333333,IF(OR(AND(D308="Congé spécial",F308&lt;&gt;"Congé spécial"),AND(F308="Congé spécial",D308&lt;&gt;"Congé spécial")),0.166666666666667,""))</f>
        <v/>
      </c>
      <c r="AE308" s="8" t="str">
        <f aca="false">IF(AND(D308="Férié",F308="Férié"),0.333333333333333,IF(OR(AND(D308="Férié",F308&lt;&gt;"Férié"),(AND(F308="Férié",D308&lt;&gt;"Férié"))),0.166666666666667,""))</f>
        <v/>
      </c>
      <c r="AF308" s="18"/>
      <c r="AG308" s="18"/>
    </row>
    <row r="309" customFormat="false" ht="15" hidden="false" customHeight="false" outlineLevel="0" collapsed="false">
      <c r="A309" s="6" t="str">
        <f aca="false">YEAR(Q309-WEEKDAY(Q309,2)+4)&amp;"-S"&amp;TEXT(WEEKNUM(Q309,21),"00")</f>
        <v>2026-S06</v>
      </c>
      <c r="B309" s="18" t="s">
        <v>73</v>
      </c>
      <c r="C309" s="19" t="n">
        <v>0.331944444444444</v>
      </c>
      <c r="D309" s="19" t="n">
        <v>0.333333333333333</v>
      </c>
      <c r="E309" s="19" t="n">
        <v>0.75</v>
      </c>
      <c r="F309" s="19" t="n">
        <v>0.75</v>
      </c>
      <c r="G309" s="20"/>
      <c r="H309" s="20"/>
      <c r="I309" s="8" t="str">
        <f aca="false">IF(IF(OR(C309="",D309="Congé",D309="OFF",D309="Congé spécial"),"",IF(D309&gt;F309,D309-C309,IF(C309-D309&lt;0,0,C309-D309)))&lt;0.00068287037037037,"",IF(OR(D309="Congé",D309="OFF",C309="",D309="Congé spécial"),"",IF(D309&gt;F309,D309-C309,IF(C309-D309&lt;0,0,C309-D309))))</f>
        <v/>
      </c>
      <c r="J309" s="20"/>
      <c r="K309" s="8" t="n">
        <f aca="false">IF(SUM(H309:J309)&lt;0.00068287037037037,0,SUM(H309:J309))</f>
        <v>0</v>
      </c>
      <c r="L309" s="8" t="n">
        <f aca="false">IF(OR(F309="Congé",F309="OFF",M309="Abs",F309="Congé sans solde",F309="Férié",F309="Congé spécial",D309="Congé spécial"),0,IF(F309-E309&lt;0,0,IF(F309-E309&lt;=0.00068287037037037,0,F309-E309)))</f>
        <v>0</v>
      </c>
      <c r="M309" s="6" t="n">
        <f aca="false">IF(AND(O309&lt;&gt;0,C309=""),"Abs",0)</f>
        <v>0</v>
      </c>
      <c r="N309" s="8" t="n">
        <f aca="false">IFERROR(IF(OR(D309="OFF",D309="Congé",M309="Abs",D309="Congé sans solde",D309="Férié"),"",IF(O309-K309-L309&gt;O309,O309,IF(O309-K309-L309&lt;0,"",O309-K309-L309))),"")</f>
        <v>0.375</v>
      </c>
      <c r="O309" s="8" t="n">
        <f aca="false">IF(AG309="2H Pause déjeuner",IF(F309-D309-0.0833333333333333&lt;0,F309-D309-0.0833333333333333+1,F309-D309-0.0833333333333333),IF(OR(AND(F309="OFF",D309="OFF"),AND(F309="Congé",D309="Congé"),AND(F309="Congé sans solde",D309="Congé sans solde"),AND(F309="Congé spécial",D309="Congé spécial"),AND(F309="Férié",D309="Férié"),AND(F309="OFF",D309="Congé"),AND(F309="OFF",D309="Congé sans solde"),AND(F309="OFF",D309="Congé spécial"),AND(F309="OFF",D309="Férié"),AND(F309="Congé",D309="OFF"),AND(F309="Congé",D309="Congé sans solde"),AND(F309="Congé",D309="Congé spécial"),AND(F309="Congé",D309="Férié"),AND(F309="Congé sans solde",D309="OFF"),AND(F309="Congé sans solde",D309="Congé"),AND(F309="Congé sans solde",D309="Congé spécial"),AND(F309="Congé sans solde",D309="Férié"),AND(F309="Congé spécial",D309="OFF"),AND(F309="Congé spécial",D309="Congé"),AND(F309="Congé spécial",D309="Congé sans solde"),AND(F309="Congé spécial",D309="Férié"),AND(F309="Férié",D309="OFF"),AND(F309="Férié",D309="Congé"),AND(F309="Férié",D309="Congé sans solde"),AND(F309="Férié",D309="Congé spécial")),0,IF(OR(F309="OFF",F309="Congé",F309="Congé spécial",F309="Congé sans solde",D309="OFF",D309="Congé",D309="Congé spécial",D309="Congé sans solde"),0.208333333333334,IF(AND(AG309="",F309-D309&lt;0),("24:00:00"-D309)+("00:00:00"+F309)-0.0416666666666667,IF(AND(OR(AG309="Allaitement",AG309="Sans déjeuner"),F309-D309&lt;0),("24:00:00"-D309)+("00:00:00"+F309),IF(AND(AG309="",F309-D309&gt;0.166666666666667),F309-D309-0.0416666666666667,IF(AND(OR(AG309="Allaitement",AG309="Sans déjeuner"),F309-D309&gt;0.166666666666667),F309-D309,F309-D309)))))))</f>
        <v>0.375</v>
      </c>
      <c r="P309" s="6" t="str">
        <f aca="false">IFERROR(VLOOKUP($B309,Agents!$A:$D,2,0),"-")</f>
        <v>Accessibilité</v>
      </c>
      <c r="Q309" s="21" t="n">
        <v>46058</v>
      </c>
      <c r="R309" s="8" t="n">
        <f aca="false">IF(M309="Abs",O309,0)</f>
        <v>0</v>
      </c>
      <c r="S309" s="8" t="n">
        <f aca="false">SUM(R309,L309,I309,J309,W309,H309)</f>
        <v>0</v>
      </c>
      <c r="T309" s="6" t="str">
        <f aca="false">"Sem - "&amp;WEEKNUM(Q309,21)</f>
        <v>Sem - 6</v>
      </c>
      <c r="U309" s="6" t="str">
        <f aca="false">CHOOSE(MONTH(Q309),"Janvier","Février","Mars","Avril","Mai","Juin","Juillet","Août","Septembre","Octobre","Novembre","Décembre")</f>
        <v>Février</v>
      </c>
      <c r="V309" s="22" t="n">
        <f aca="false">YEAR(Q309)</f>
        <v>2026</v>
      </c>
      <c r="W309" s="20"/>
      <c r="X309" s="8" t="n">
        <f aca="false">IFERROR(IF(M309="Abs",0,IF(ROUND((D309-C309+E309-F309)*1440,0)&lt;=1,0,D309-C309+E309-F309)),0)</f>
        <v>0.00138888888888889</v>
      </c>
      <c r="Y309" s="6" t="str">
        <f aca="false">IFERROR(VLOOKUP($B309,Agents!$A:$D,3,0),"-")</f>
        <v>OUBRAHIM Mohammed</v>
      </c>
      <c r="Z309" s="6" t="str">
        <f aca="false">IFERROR(VLOOKUP($B309,Agents!$A:$D,4,0),"-")</f>
        <v>Credit Mutuel</v>
      </c>
      <c r="AA309" s="18" t="s">
        <v>87</v>
      </c>
      <c r="AB309" s="8" t="str">
        <f aca="false">IF(AND(D309="Congé",F309="Congé"),0.333333333333333,IF(OR(AND(D309="Congé",F309&lt;&gt;"Congé"),(AND(F309="Congé",D309&lt;&gt;"Congé"))),0.166666666666667,""))</f>
        <v/>
      </c>
      <c r="AC309" s="8" t="str">
        <f aca="false">IF(AND(D309="Congé sans solde",F309="Congé sans solde"),0.333333333333333,IF(OR(AND(D309="Congé sans solde",F309&lt;&gt;"Congé sans solde"),(AND(F309="Congé sans solde",D309&lt;&gt;"Congé sans solde"))),0.166666666666667,""))</f>
        <v/>
      </c>
      <c r="AD309" s="8" t="str">
        <f aca="false">IF(AND(D309="Congé spécial",F309="Congé spécial"),0.333333333333333,IF(OR(AND(D309="Congé spécial",F309&lt;&gt;"Congé spécial"),AND(F309="Congé spécial",D309&lt;&gt;"Congé spécial")),0.166666666666667,""))</f>
        <v/>
      </c>
      <c r="AE309" s="8" t="str">
        <f aca="false">IF(AND(D309="Férié",F309="Férié"),0.333333333333333,IF(OR(AND(D309="Férié",F309&lt;&gt;"Férié"),(AND(F309="Férié",D309&lt;&gt;"Férié"))),0.166666666666667,""))</f>
        <v/>
      </c>
      <c r="AF309" s="18"/>
      <c r="AG309" s="18"/>
    </row>
    <row r="310" customFormat="false" ht="15" hidden="false" customHeight="false" outlineLevel="0" collapsed="false">
      <c r="A310" s="6" t="str">
        <f aca="false">YEAR(Q310-WEEKDAY(Q310,2)+4)&amp;"-S"&amp;TEXT(WEEKNUM(Q310,21),"00")</f>
        <v>2026-S06</v>
      </c>
      <c r="B310" s="18" t="s">
        <v>69</v>
      </c>
      <c r="C310" s="19" t="n">
        <v>0.332638888888889</v>
      </c>
      <c r="D310" s="19" t="n">
        <v>0.333333333333333</v>
      </c>
      <c r="E310" s="19" t="n">
        <v>0.708333333333333</v>
      </c>
      <c r="F310" s="19" t="n">
        <v>0.708333333333333</v>
      </c>
      <c r="G310" s="20"/>
      <c r="H310" s="20"/>
      <c r="I310" s="8" t="str">
        <f aca="false">IF(IF(OR(C310="",D310="Congé",D310="OFF",D310="Congé spécial"),"",IF(D310&gt;F310,D310-C310,IF(C310-D310&lt;0,0,C310-D310)))&lt;0.00068287037037037,"",IF(OR(D310="Congé",D310="OFF",C310="",D310="Congé spécial"),"",IF(D310&gt;F310,D310-C310,IF(C310-D310&lt;0,0,C310-D310))))</f>
        <v/>
      </c>
      <c r="J310" s="20"/>
      <c r="K310" s="8" t="n">
        <f aca="false">IF(SUM(H310:J310)&lt;0.00068287037037037,0,SUM(H310:J310))</f>
        <v>0</v>
      </c>
      <c r="L310" s="8" t="n">
        <f aca="false">IF(OR(F310="Congé",F310="OFF",M310="Abs",F310="Congé sans solde",F310="Férié",F310="Congé spécial",D310="Congé spécial"),0,IF(F310-E310&lt;0,0,IF(F310-E310&lt;=0.00068287037037037,0,F310-E310)))</f>
        <v>0</v>
      </c>
      <c r="M310" s="6" t="n">
        <f aca="false">IF(AND(O310&lt;&gt;0,C310=""),"Abs",0)</f>
        <v>0</v>
      </c>
      <c r="N310" s="8" t="n">
        <f aca="false">IFERROR(IF(OR(D310="OFF",D310="Congé",M310="Abs",D310="Congé sans solde",D310="Férié"),"",IF(O310-K310-L310&gt;O310,O310,IF(O310-K310-L310&lt;0,"",O310-K310-L310))),"")</f>
        <v>0.333333333333333</v>
      </c>
      <c r="O310" s="8" t="n">
        <f aca="false">IF(AG310="2H Pause déjeuner",IF(F310-D310-0.0833333333333333&lt;0,F310-D310-0.0833333333333333+1,F310-D310-0.0833333333333333),IF(OR(AND(F310="OFF",D310="OFF"),AND(F310="Congé",D310="Congé"),AND(F310="Congé sans solde",D310="Congé sans solde"),AND(F310="Congé spécial",D310="Congé spécial"),AND(F310="Férié",D310="Férié"),AND(F310="OFF",D310="Congé"),AND(F310="OFF",D310="Congé sans solde"),AND(F310="OFF",D310="Congé spécial"),AND(F310="OFF",D310="Férié"),AND(F310="Congé",D310="OFF"),AND(F310="Congé",D310="Congé sans solde"),AND(F310="Congé",D310="Congé spécial"),AND(F310="Congé",D310="Férié"),AND(F310="Congé sans solde",D310="OFF"),AND(F310="Congé sans solde",D310="Congé"),AND(F310="Congé sans solde",D310="Congé spécial"),AND(F310="Congé sans solde",D310="Férié"),AND(F310="Congé spécial",D310="OFF"),AND(F310="Congé spécial",D310="Congé"),AND(F310="Congé spécial",D310="Congé sans solde"),AND(F310="Congé spécial",D310="Férié"),AND(F310="Férié",D310="OFF"),AND(F310="Férié",D310="Congé"),AND(F310="Férié",D310="Congé sans solde"),AND(F310="Férié",D310="Congé spécial")),0,IF(OR(F310="OFF",F310="Congé",F310="Congé spécial",F310="Congé sans solde",D310="OFF",D310="Congé",D310="Congé spécial",D310="Congé sans solde"),0.208333333333334,IF(AND(AG310="",F310-D310&lt;0),("24:00:00"-D310)+("00:00:00"+F310)-0.0416666666666667,IF(AND(OR(AG310="Allaitement",AG310="Sans déjeuner"),F310-D310&lt;0),("24:00:00"-D310)+("00:00:00"+F310),IF(AND(AG310="",F310-D310&gt;0.166666666666667),F310-D310-0.0416666666666667,IF(AND(OR(AG310="Allaitement",AG310="Sans déjeuner"),F310-D310&gt;0.166666666666667),F310-D310,F310-D310)))))))</f>
        <v>0.333333333333333</v>
      </c>
      <c r="P310" s="6" t="str">
        <f aca="false">IFERROR(VLOOKUP($B310,Agents!$A:$D,2,0),"-")</f>
        <v>Accessibilité</v>
      </c>
      <c r="Q310" s="21" t="n">
        <v>46059</v>
      </c>
      <c r="R310" s="8" t="n">
        <f aca="false">IF(M310="Abs",O310,0)</f>
        <v>0</v>
      </c>
      <c r="S310" s="8" t="n">
        <f aca="false">SUM(R310,L310,I310,J310,W310,H310)</f>
        <v>0</v>
      </c>
      <c r="T310" s="6" t="str">
        <f aca="false">"Sem - "&amp;WEEKNUM(Q310,21)</f>
        <v>Sem - 6</v>
      </c>
      <c r="U310" s="6" t="str">
        <f aca="false">CHOOSE(MONTH(Q310),"Janvier","Février","Mars","Avril","Mai","Juin","Juillet","Août","Septembre","Octobre","Novembre","Décembre")</f>
        <v>Février</v>
      </c>
      <c r="V310" s="22" t="n">
        <f aca="false">YEAR(Q310)</f>
        <v>2026</v>
      </c>
      <c r="W310" s="20"/>
      <c r="X310" s="8" t="n">
        <f aca="false">IFERROR(IF(M310="Abs",0,IF(ROUND((D310-C310+E310-F310)*1440,0)&lt;=1,0,D310-C310+E310-F310)),0)</f>
        <v>0</v>
      </c>
      <c r="Y310" s="6" t="str">
        <f aca="false">IFERROR(VLOOKUP($B310,Agents!$A:$D,3,0),"-")</f>
        <v>OUBRAHIM Mohammed</v>
      </c>
      <c r="Z310" s="6" t="str">
        <f aca="false">IFERROR(VLOOKUP($B310,Agents!$A:$D,4,0),"-")</f>
        <v>Credit Mutuel</v>
      </c>
      <c r="AA310" s="18" t="s">
        <v>87</v>
      </c>
      <c r="AB310" s="8" t="str">
        <f aca="false">IF(AND(D310="Congé",F310="Congé"),0.333333333333333,IF(OR(AND(D310="Congé",F310&lt;&gt;"Congé"),(AND(F310="Congé",D310&lt;&gt;"Congé"))),0.166666666666667,""))</f>
        <v/>
      </c>
      <c r="AC310" s="8" t="str">
        <f aca="false">IF(AND(D310="Congé sans solde",F310="Congé sans solde"),0.333333333333333,IF(OR(AND(D310="Congé sans solde",F310&lt;&gt;"Congé sans solde"),(AND(F310="Congé sans solde",D310&lt;&gt;"Congé sans solde"))),0.166666666666667,""))</f>
        <v/>
      </c>
      <c r="AD310" s="8" t="str">
        <f aca="false">IF(AND(D310="Congé spécial",F310="Congé spécial"),0.333333333333333,IF(OR(AND(D310="Congé spécial",F310&lt;&gt;"Congé spécial"),AND(F310="Congé spécial",D310&lt;&gt;"Congé spécial")),0.166666666666667,""))</f>
        <v/>
      </c>
      <c r="AE310" s="8" t="str">
        <f aca="false">IF(AND(D310="Férié",F310="Férié"),0.333333333333333,IF(OR(AND(D310="Férié",F310&lt;&gt;"Férié"),(AND(F310="Férié",D310&lt;&gt;"Férié"))),0.166666666666667,""))</f>
        <v/>
      </c>
      <c r="AF310" s="18"/>
      <c r="AG310" s="18"/>
    </row>
    <row r="311" customFormat="false" ht="15" hidden="false" customHeight="false" outlineLevel="0" collapsed="false">
      <c r="A311" s="6" t="str">
        <f aca="false">YEAR(Q311-WEEKDAY(Q311,2)+4)&amp;"-S"&amp;TEXT(WEEKNUM(Q311,21),"00")</f>
        <v>2026-S06</v>
      </c>
      <c r="B311" s="18" t="s">
        <v>71</v>
      </c>
      <c r="C311" s="19" t="n">
        <v>0.332638888888889</v>
      </c>
      <c r="D311" s="19" t="n">
        <v>0.333333333333333</v>
      </c>
      <c r="E311" s="19" t="n">
        <v>0.708333333333333</v>
      </c>
      <c r="F311" s="19" t="n">
        <v>0.708333333333333</v>
      </c>
      <c r="G311" s="20"/>
      <c r="H311" s="20"/>
      <c r="I311" s="8" t="str">
        <f aca="false">IF(IF(OR(C311="",D311="Congé",D311="OFF",D311="Congé spécial"),"",IF(D311&gt;F311,D311-C311,IF(C311-D311&lt;0,0,C311-D311)))&lt;0.00068287037037037,"",IF(OR(D311="Congé",D311="OFF",C311="",D311="Congé spécial"),"",IF(D311&gt;F311,D311-C311,IF(C311-D311&lt;0,0,C311-D311))))</f>
        <v/>
      </c>
      <c r="J311" s="20"/>
      <c r="K311" s="8" t="n">
        <f aca="false">IF(SUM(H311:J311)&lt;0.00068287037037037,0,SUM(H311:J311))</f>
        <v>0</v>
      </c>
      <c r="L311" s="8" t="n">
        <f aca="false">IF(OR(F311="Congé",F311="OFF",M311="Abs",F311="Congé sans solde",F311="Férié",F311="Congé spécial",D311="Congé spécial"),0,IF(F311-E311&lt;0,0,IF(F311-E311&lt;=0.00068287037037037,0,F311-E311)))</f>
        <v>0</v>
      </c>
      <c r="M311" s="6" t="n">
        <f aca="false">IF(AND(O311&lt;&gt;0,C311=""),"Abs",0)</f>
        <v>0</v>
      </c>
      <c r="N311" s="8" t="n">
        <f aca="false">IFERROR(IF(OR(D311="OFF",D311="Congé",M311="Abs",D311="Congé sans solde",D311="Férié"),"",IF(O311-K311-L311&gt;O311,O311,IF(O311-K311-L311&lt;0,"",O311-K311-L311))),"")</f>
        <v>0.333333333333333</v>
      </c>
      <c r="O311" s="8" t="n">
        <f aca="false">IF(AG311="2H Pause déjeuner",IF(F311-D311-0.0833333333333333&lt;0,F311-D311-0.0833333333333333+1,F311-D311-0.0833333333333333),IF(OR(AND(F311="OFF",D311="OFF"),AND(F311="Congé",D311="Congé"),AND(F311="Congé sans solde",D311="Congé sans solde"),AND(F311="Congé spécial",D311="Congé spécial"),AND(F311="Férié",D311="Férié"),AND(F311="OFF",D311="Congé"),AND(F311="OFF",D311="Congé sans solde"),AND(F311="OFF",D311="Congé spécial"),AND(F311="OFF",D311="Férié"),AND(F311="Congé",D311="OFF"),AND(F311="Congé",D311="Congé sans solde"),AND(F311="Congé",D311="Congé spécial"),AND(F311="Congé",D311="Férié"),AND(F311="Congé sans solde",D311="OFF"),AND(F311="Congé sans solde",D311="Congé"),AND(F311="Congé sans solde",D311="Congé spécial"),AND(F311="Congé sans solde",D311="Férié"),AND(F311="Congé spécial",D311="OFF"),AND(F311="Congé spécial",D311="Congé"),AND(F311="Congé spécial",D311="Congé sans solde"),AND(F311="Congé spécial",D311="Férié"),AND(F311="Férié",D311="OFF"),AND(F311="Férié",D311="Congé"),AND(F311="Férié",D311="Congé sans solde"),AND(F311="Férié",D311="Congé spécial")),0,IF(OR(F311="OFF",F311="Congé",F311="Congé spécial",F311="Congé sans solde",D311="OFF",D311="Congé",D311="Congé spécial",D311="Congé sans solde"),0.208333333333334,IF(AND(AG311="",F311-D311&lt;0),("24:00:00"-D311)+("00:00:00"+F311)-0.0416666666666667,IF(AND(OR(AG311="Allaitement",AG311="Sans déjeuner"),F311-D311&lt;0),("24:00:00"-D311)+("00:00:00"+F311),IF(AND(AG311="",F311-D311&gt;0.166666666666667),F311-D311-0.0416666666666667,IF(AND(OR(AG311="Allaitement",AG311="Sans déjeuner"),F311-D311&gt;0.166666666666667),F311-D311,F311-D311)))))))</f>
        <v>0.333333333333333</v>
      </c>
      <c r="P311" s="6" t="str">
        <f aca="false">IFERROR(VLOOKUP($B311,Agents!$A:$D,2,0),"-")</f>
        <v>Accessibilité</v>
      </c>
      <c r="Q311" s="21" t="n">
        <v>46059</v>
      </c>
      <c r="R311" s="8" t="n">
        <f aca="false">IF(M311="Abs",O311,0)</f>
        <v>0</v>
      </c>
      <c r="S311" s="8" t="n">
        <f aca="false">SUM(R311,L311,I311,J311,W311,H311)</f>
        <v>0</v>
      </c>
      <c r="T311" s="6" t="str">
        <f aca="false">"Sem - "&amp;WEEKNUM(Q311,21)</f>
        <v>Sem - 6</v>
      </c>
      <c r="U311" s="6" t="str">
        <f aca="false">CHOOSE(MONTH(Q311),"Janvier","Février","Mars","Avril","Mai","Juin","Juillet","Août","Septembre","Octobre","Novembre","Décembre")</f>
        <v>Février</v>
      </c>
      <c r="V311" s="22" t="n">
        <f aca="false">YEAR(Q311)</f>
        <v>2026</v>
      </c>
      <c r="W311" s="20"/>
      <c r="X311" s="8" t="n">
        <f aca="false">IFERROR(IF(M311="Abs",0,IF(ROUND((D311-C311+E311-F311)*1440,0)&lt;=1,0,D311-C311+E311-F311)),0)</f>
        <v>0</v>
      </c>
      <c r="Y311" s="6" t="str">
        <f aca="false">IFERROR(VLOOKUP($B311,Agents!$A:$D,3,0),"-")</f>
        <v>OUBRAHIM Mohammed</v>
      </c>
      <c r="Z311" s="6" t="str">
        <f aca="false">IFERROR(VLOOKUP($B311,Agents!$A:$D,4,0),"-")</f>
        <v>Credit Mutuel</v>
      </c>
      <c r="AA311" s="18" t="s">
        <v>87</v>
      </c>
      <c r="AB311" s="8" t="str">
        <f aca="false">IF(AND(D311="Congé",F311="Congé"),0.333333333333333,IF(OR(AND(D311="Congé",F311&lt;&gt;"Congé"),(AND(F311="Congé",D311&lt;&gt;"Congé"))),0.166666666666667,""))</f>
        <v/>
      </c>
      <c r="AC311" s="8" t="str">
        <f aca="false">IF(AND(D311="Congé sans solde",F311="Congé sans solde"),0.333333333333333,IF(OR(AND(D311="Congé sans solde",F311&lt;&gt;"Congé sans solde"),(AND(F311="Congé sans solde",D311&lt;&gt;"Congé sans solde"))),0.166666666666667,""))</f>
        <v/>
      </c>
      <c r="AD311" s="8" t="str">
        <f aca="false">IF(AND(D311="Congé spécial",F311="Congé spécial"),0.333333333333333,IF(OR(AND(D311="Congé spécial",F311&lt;&gt;"Congé spécial"),AND(F311="Congé spécial",D311&lt;&gt;"Congé spécial")),0.166666666666667,""))</f>
        <v/>
      </c>
      <c r="AE311" s="8" t="str">
        <f aca="false">IF(AND(D311="Férié",F311="Férié"),0.333333333333333,IF(OR(AND(D311="Férié",F311&lt;&gt;"Férié"),(AND(F311="Férié",D311&lt;&gt;"Férié"))),0.166666666666667,""))</f>
        <v/>
      </c>
      <c r="AF311" s="18"/>
      <c r="AG311" s="18"/>
    </row>
    <row r="312" customFormat="false" ht="15" hidden="false" customHeight="false" outlineLevel="0" collapsed="false">
      <c r="A312" s="6" t="str">
        <f aca="false">YEAR(Q312-WEEKDAY(Q312,2)+4)&amp;"-S"&amp;TEXT(WEEKNUM(Q312,21),"00")</f>
        <v>2026-S06</v>
      </c>
      <c r="B312" s="18" t="s">
        <v>72</v>
      </c>
      <c r="C312" s="19" t="n">
        <v>0.332638888888889</v>
      </c>
      <c r="D312" s="19" t="n">
        <v>0.333333333333333</v>
      </c>
      <c r="E312" s="19" t="n">
        <v>0.708333333333333</v>
      </c>
      <c r="F312" s="19" t="n">
        <v>0.708333333333333</v>
      </c>
      <c r="G312" s="20"/>
      <c r="H312" s="20"/>
      <c r="I312" s="8" t="str">
        <f aca="false">IF(IF(OR(C312="",D312="Congé",D312="OFF",D312="Congé spécial"),"",IF(D312&gt;F312,D312-C312,IF(C312-D312&lt;0,0,C312-D312)))&lt;0.00068287037037037,"",IF(OR(D312="Congé",D312="OFF",C312="",D312="Congé spécial"),"",IF(D312&gt;F312,D312-C312,IF(C312-D312&lt;0,0,C312-D312))))</f>
        <v/>
      </c>
      <c r="J312" s="20"/>
      <c r="K312" s="8" t="n">
        <f aca="false">IF(SUM(H312:J312)&lt;0.00068287037037037,0,SUM(H312:J312))</f>
        <v>0</v>
      </c>
      <c r="L312" s="8" t="n">
        <f aca="false">IF(OR(F312="Congé",F312="OFF",M312="Abs",F312="Congé sans solde",F312="Férié",F312="Congé spécial",D312="Congé spécial"),0,IF(F312-E312&lt;0,0,IF(F312-E312&lt;=0.00068287037037037,0,F312-E312)))</f>
        <v>0</v>
      </c>
      <c r="M312" s="6" t="n">
        <f aca="false">IF(AND(O312&lt;&gt;0,C312=""),"Abs",0)</f>
        <v>0</v>
      </c>
      <c r="N312" s="8" t="n">
        <f aca="false">IFERROR(IF(OR(D312="OFF",D312="Congé",M312="Abs",D312="Congé sans solde",D312="Férié"),"",IF(O312-K312-L312&gt;O312,O312,IF(O312-K312-L312&lt;0,"",O312-K312-L312))),"")</f>
        <v>0.333333333333333</v>
      </c>
      <c r="O312" s="8" t="n">
        <f aca="false">IF(AG312="2H Pause déjeuner",IF(F312-D312-0.0833333333333333&lt;0,F312-D312-0.0833333333333333+1,F312-D312-0.0833333333333333),IF(OR(AND(F312="OFF",D312="OFF"),AND(F312="Congé",D312="Congé"),AND(F312="Congé sans solde",D312="Congé sans solde"),AND(F312="Congé spécial",D312="Congé spécial"),AND(F312="Férié",D312="Férié"),AND(F312="OFF",D312="Congé"),AND(F312="OFF",D312="Congé sans solde"),AND(F312="OFF",D312="Congé spécial"),AND(F312="OFF",D312="Férié"),AND(F312="Congé",D312="OFF"),AND(F312="Congé",D312="Congé sans solde"),AND(F312="Congé",D312="Congé spécial"),AND(F312="Congé",D312="Férié"),AND(F312="Congé sans solde",D312="OFF"),AND(F312="Congé sans solde",D312="Congé"),AND(F312="Congé sans solde",D312="Congé spécial"),AND(F312="Congé sans solde",D312="Férié"),AND(F312="Congé spécial",D312="OFF"),AND(F312="Congé spécial",D312="Congé"),AND(F312="Congé spécial",D312="Congé sans solde"),AND(F312="Congé spécial",D312="Férié"),AND(F312="Férié",D312="OFF"),AND(F312="Férié",D312="Congé"),AND(F312="Férié",D312="Congé sans solde"),AND(F312="Férié",D312="Congé spécial")),0,IF(OR(F312="OFF",F312="Congé",F312="Congé spécial",F312="Congé sans solde",D312="OFF",D312="Congé",D312="Congé spécial",D312="Congé sans solde"),0.208333333333334,IF(AND(AG312="",F312-D312&lt;0),("24:00:00"-D312)+("00:00:00"+F312)-0.0416666666666667,IF(AND(OR(AG312="Allaitement",AG312="Sans déjeuner"),F312-D312&lt;0),("24:00:00"-D312)+("00:00:00"+F312),IF(AND(AG312="",F312-D312&gt;0.166666666666667),F312-D312-0.0416666666666667,IF(AND(OR(AG312="Allaitement",AG312="Sans déjeuner"),F312-D312&gt;0.166666666666667),F312-D312,F312-D312)))))))</f>
        <v>0.333333333333333</v>
      </c>
      <c r="P312" s="6" t="str">
        <f aca="false">IFERROR(VLOOKUP($B312,Agents!$A:$D,2,0),"-")</f>
        <v>Accessibilité</v>
      </c>
      <c r="Q312" s="21" t="n">
        <v>46059</v>
      </c>
      <c r="R312" s="8" t="n">
        <f aca="false">IF(M312="Abs",O312,0)</f>
        <v>0</v>
      </c>
      <c r="S312" s="8" t="n">
        <f aca="false">SUM(R312,L312,I312,J312,W312,H312)</f>
        <v>0</v>
      </c>
      <c r="T312" s="6" t="str">
        <f aca="false">"Sem - "&amp;WEEKNUM(Q312,21)</f>
        <v>Sem - 6</v>
      </c>
      <c r="U312" s="6" t="str">
        <f aca="false">CHOOSE(MONTH(Q312),"Janvier","Février","Mars","Avril","Mai","Juin","Juillet","Août","Septembre","Octobre","Novembre","Décembre")</f>
        <v>Février</v>
      </c>
      <c r="V312" s="22" t="n">
        <f aca="false">YEAR(Q312)</f>
        <v>2026</v>
      </c>
      <c r="W312" s="20"/>
      <c r="X312" s="8" t="n">
        <f aca="false">IFERROR(IF(M312="Abs",0,IF(ROUND((D312-C312+E312-F312)*1440,0)&lt;=1,0,D312-C312+E312-F312)),0)</f>
        <v>0</v>
      </c>
      <c r="Y312" s="6" t="str">
        <f aca="false">IFERROR(VLOOKUP($B312,Agents!$A:$D,3,0),"-")</f>
        <v>OUBRAHIM Mohammed</v>
      </c>
      <c r="Z312" s="6" t="str">
        <f aca="false">IFERROR(VLOOKUP($B312,Agents!$A:$D,4,0),"-")</f>
        <v>Credit Mutuel</v>
      </c>
      <c r="AA312" s="18" t="s">
        <v>87</v>
      </c>
      <c r="AB312" s="8" t="str">
        <f aca="false">IF(AND(D312="Congé",F312="Congé"),0.333333333333333,IF(OR(AND(D312="Congé",F312&lt;&gt;"Congé"),(AND(F312="Congé",D312&lt;&gt;"Congé"))),0.166666666666667,""))</f>
        <v/>
      </c>
      <c r="AC312" s="8" t="str">
        <f aca="false">IF(AND(D312="Congé sans solde",F312="Congé sans solde"),0.333333333333333,IF(OR(AND(D312="Congé sans solde",F312&lt;&gt;"Congé sans solde"),(AND(F312="Congé sans solde",D312&lt;&gt;"Congé sans solde"))),0.166666666666667,""))</f>
        <v/>
      </c>
      <c r="AD312" s="8" t="str">
        <f aca="false">IF(AND(D312="Congé spécial",F312="Congé spécial"),0.333333333333333,IF(OR(AND(D312="Congé spécial",F312&lt;&gt;"Congé spécial"),AND(F312="Congé spécial",D312&lt;&gt;"Congé spécial")),0.166666666666667,""))</f>
        <v/>
      </c>
      <c r="AE312" s="8" t="str">
        <f aca="false">IF(AND(D312="Férié",F312="Férié"),0.333333333333333,IF(OR(AND(D312="Férié",F312&lt;&gt;"Férié"),(AND(F312="Férié",D312&lt;&gt;"Férié"))),0.166666666666667,""))</f>
        <v/>
      </c>
      <c r="AF312" s="18"/>
      <c r="AG312" s="18"/>
    </row>
    <row r="313" customFormat="false" ht="15" hidden="false" customHeight="false" outlineLevel="0" collapsed="false">
      <c r="A313" s="6" t="str">
        <f aca="false">YEAR(Q313-WEEKDAY(Q313,2)+4)&amp;"-S"&amp;TEXT(WEEKNUM(Q313,21),"00")</f>
        <v>2026-S06</v>
      </c>
      <c r="B313" s="18" t="s">
        <v>73</v>
      </c>
      <c r="C313" s="19" t="n">
        <v>0.331944444444444</v>
      </c>
      <c r="D313" s="19" t="n">
        <v>0.333333333333333</v>
      </c>
      <c r="E313" s="19" t="n">
        <v>0.708333333333333</v>
      </c>
      <c r="F313" s="19" t="n">
        <v>0.708333333333333</v>
      </c>
      <c r="G313" s="20"/>
      <c r="H313" s="20"/>
      <c r="I313" s="8" t="str">
        <f aca="false">IF(IF(OR(C313="",D313="Congé",D313="OFF",D313="Congé spécial"),"",IF(D313&gt;F313,D313-C313,IF(C313-D313&lt;0,0,C313-D313)))&lt;0.00068287037037037,"",IF(OR(D313="Congé",D313="OFF",C313="",D313="Congé spécial"),"",IF(D313&gt;F313,D313-C313,IF(C313-D313&lt;0,0,C313-D313))))</f>
        <v/>
      </c>
      <c r="J313" s="20"/>
      <c r="K313" s="8" t="n">
        <f aca="false">IF(SUM(H313:J313)&lt;0.00068287037037037,0,SUM(H313:J313))</f>
        <v>0</v>
      </c>
      <c r="L313" s="8" t="n">
        <f aca="false">IF(OR(F313="Congé",F313="OFF",M313="Abs",F313="Congé sans solde",F313="Férié",F313="Congé spécial",D313="Congé spécial"),0,IF(F313-E313&lt;0,0,IF(F313-E313&lt;=0.00068287037037037,0,F313-E313)))</f>
        <v>0</v>
      </c>
      <c r="M313" s="6" t="n">
        <f aca="false">IF(AND(O313&lt;&gt;0,C313=""),"Abs",0)</f>
        <v>0</v>
      </c>
      <c r="N313" s="8" t="n">
        <f aca="false">IFERROR(IF(OR(D313="OFF",D313="Congé",M313="Abs",D313="Congé sans solde",D313="Férié"),"",IF(O313-K313-L313&gt;O313,O313,IF(O313-K313-L313&lt;0,"",O313-K313-L313))),"")</f>
        <v>0.333333333333333</v>
      </c>
      <c r="O313" s="8" t="n">
        <f aca="false">IF(AG313="2H Pause déjeuner",IF(F313-D313-0.0833333333333333&lt;0,F313-D313-0.0833333333333333+1,F313-D313-0.0833333333333333),IF(OR(AND(F313="OFF",D313="OFF"),AND(F313="Congé",D313="Congé"),AND(F313="Congé sans solde",D313="Congé sans solde"),AND(F313="Congé spécial",D313="Congé spécial"),AND(F313="Férié",D313="Férié"),AND(F313="OFF",D313="Congé"),AND(F313="OFF",D313="Congé sans solde"),AND(F313="OFF",D313="Congé spécial"),AND(F313="OFF",D313="Férié"),AND(F313="Congé",D313="OFF"),AND(F313="Congé",D313="Congé sans solde"),AND(F313="Congé",D313="Congé spécial"),AND(F313="Congé",D313="Férié"),AND(F313="Congé sans solde",D313="OFF"),AND(F313="Congé sans solde",D313="Congé"),AND(F313="Congé sans solde",D313="Congé spécial"),AND(F313="Congé sans solde",D313="Férié"),AND(F313="Congé spécial",D313="OFF"),AND(F313="Congé spécial",D313="Congé"),AND(F313="Congé spécial",D313="Congé sans solde"),AND(F313="Congé spécial",D313="Férié"),AND(F313="Férié",D313="OFF"),AND(F313="Férié",D313="Congé"),AND(F313="Férié",D313="Congé sans solde"),AND(F313="Férié",D313="Congé spécial")),0,IF(OR(F313="OFF",F313="Congé",F313="Congé spécial",F313="Congé sans solde",D313="OFF",D313="Congé",D313="Congé spécial",D313="Congé sans solde"),0.208333333333334,IF(AND(AG313="",F313-D313&lt;0),("24:00:00"-D313)+("00:00:00"+F313)-0.0416666666666667,IF(AND(OR(AG313="Allaitement",AG313="Sans déjeuner"),F313-D313&lt;0),("24:00:00"-D313)+("00:00:00"+F313),IF(AND(AG313="",F313-D313&gt;0.166666666666667),F313-D313-0.0416666666666667,IF(AND(OR(AG313="Allaitement",AG313="Sans déjeuner"),F313-D313&gt;0.166666666666667),F313-D313,F313-D313)))))))</f>
        <v>0.333333333333333</v>
      </c>
      <c r="P313" s="6" t="str">
        <f aca="false">IFERROR(VLOOKUP($B313,Agents!$A:$D,2,0),"-")</f>
        <v>Accessibilité</v>
      </c>
      <c r="Q313" s="21" t="n">
        <v>46059</v>
      </c>
      <c r="R313" s="8" t="n">
        <f aca="false">IF(M313="Abs",O313,0)</f>
        <v>0</v>
      </c>
      <c r="S313" s="8" t="n">
        <f aca="false">SUM(R313,L313,I313,J313,W313,H313)</f>
        <v>0</v>
      </c>
      <c r="T313" s="6" t="str">
        <f aca="false">"Sem - "&amp;WEEKNUM(Q313,21)</f>
        <v>Sem - 6</v>
      </c>
      <c r="U313" s="6" t="str">
        <f aca="false">CHOOSE(MONTH(Q313),"Janvier","Février","Mars","Avril","Mai","Juin","Juillet","Août","Septembre","Octobre","Novembre","Décembre")</f>
        <v>Février</v>
      </c>
      <c r="V313" s="22" t="n">
        <f aca="false">YEAR(Q313)</f>
        <v>2026</v>
      </c>
      <c r="W313" s="20"/>
      <c r="X313" s="8" t="n">
        <f aca="false">IFERROR(IF(M313="Abs",0,IF(ROUND((D313-C313+E313-F313)*1440,0)&lt;=1,0,D313-C313+E313-F313)),0)</f>
        <v>0.00138888888888889</v>
      </c>
      <c r="Y313" s="6" t="str">
        <f aca="false">IFERROR(VLOOKUP($B313,Agents!$A:$D,3,0),"-")</f>
        <v>OUBRAHIM Mohammed</v>
      </c>
      <c r="Z313" s="6" t="str">
        <f aca="false">IFERROR(VLOOKUP($B313,Agents!$A:$D,4,0),"-")</f>
        <v>Credit Mutuel</v>
      </c>
      <c r="AA313" s="18" t="s">
        <v>87</v>
      </c>
      <c r="AB313" s="8" t="str">
        <f aca="false">IF(AND(D313="Congé",F313="Congé"),0.333333333333333,IF(OR(AND(D313="Congé",F313&lt;&gt;"Congé"),(AND(F313="Congé",D313&lt;&gt;"Congé"))),0.166666666666667,""))</f>
        <v/>
      </c>
      <c r="AC313" s="8" t="str">
        <f aca="false">IF(AND(D313="Congé sans solde",F313="Congé sans solde"),0.333333333333333,IF(OR(AND(D313="Congé sans solde",F313&lt;&gt;"Congé sans solde"),(AND(F313="Congé sans solde",D313&lt;&gt;"Congé sans solde"))),0.166666666666667,""))</f>
        <v/>
      </c>
      <c r="AD313" s="8" t="str">
        <f aca="false">IF(AND(D313="Congé spécial",F313="Congé spécial"),0.333333333333333,IF(OR(AND(D313="Congé spécial",F313&lt;&gt;"Congé spécial"),AND(F313="Congé spécial",D313&lt;&gt;"Congé spécial")),0.166666666666667,""))</f>
        <v/>
      </c>
      <c r="AE313" s="8" t="str">
        <f aca="false">IF(AND(D313="Férié",F313="Férié"),0.333333333333333,IF(OR(AND(D313="Férié",F313&lt;&gt;"Férié"),(AND(F313="Férié",D313&lt;&gt;"Férié"))),0.166666666666667,""))</f>
        <v/>
      </c>
      <c r="AF313" s="18"/>
      <c r="AG313" s="18"/>
    </row>
    <row r="314" customFormat="false" ht="15" hidden="false" customHeight="false" outlineLevel="0" collapsed="false">
      <c r="A314" s="6" t="str">
        <f aca="false">YEAR(Q314-WEEKDAY(Q314,2)+4)&amp;"-S"&amp;TEXT(WEEKNUM(Q314,21),"00")</f>
        <v>2026-S06</v>
      </c>
      <c r="B314" s="18" t="s">
        <v>69</v>
      </c>
      <c r="C314" s="19"/>
      <c r="D314" s="19" t="s">
        <v>74</v>
      </c>
      <c r="E314" s="19"/>
      <c r="F314" s="19" t="s">
        <v>74</v>
      </c>
      <c r="G314" s="20"/>
      <c r="H314" s="20"/>
      <c r="I314" s="8" t="str">
        <f aca="false">IF(IF(OR(C314="",D314="Congé",D314="OFF",D314="Congé spécial"),"",IF(D314&gt;F314,D314-C314,IF(C314-D314&lt;0,0,C314-D314)))&lt;0.00068287037037037,"",IF(OR(D314="Congé",D314="OFF",C314="",D314="Congé spécial"),"",IF(D314&gt;F314,D314-C314,IF(C314-D314&lt;0,0,C314-D314))))</f>
        <v/>
      </c>
      <c r="J314" s="20"/>
      <c r="K314" s="8" t="n">
        <f aca="false">IF(SUM(H314:J314)&lt;0.00068287037037037,0,SUM(H314:J314))</f>
        <v>0</v>
      </c>
      <c r="L314" s="8" t="n">
        <f aca="false">IF(OR(F314="Congé",F314="OFF",M314="Abs",F314="Congé sans solde",F314="Férié",F314="Congé spécial",D314="Congé spécial"),0,IF(F314-E314&lt;0,0,IF(F314-E314&lt;=0.00068287037037037,0,F314-E314)))</f>
        <v>0</v>
      </c>
      <c r="M314" s="6" t="n">
        <f aca="false">IF(AND(O314&lt;&gt;0,C314=""),"Abs",0)</f>
        <v>0</v>
      </c>
      <c r="N314" s="8" t="str">
        <f aca="false">IFERROR(IF(OR(D314="OFF",D314="Congé",M314="Abs",D314="Congé sans solde",D314="Férié"),"",IF(O314-K314-L314&gt;O314,O314,IF(O314-K314-L314&lt;0,"",O314-K314-L314))),"")</f>
        <v/>
      </c>
      <c r="O314" s="8" t="n">
        <f aca="false">IF(AG314="2H Pause déjeuner",IF(F314-D314-0.0833333333333333&lt;0,F314-D314-0.0833333333333333+1,F314-D314-0.0833333333333333),IF(OR(AND(F314="OFF",D314="OFF"),AND(F314="Congé",D314="Congé"),AND(F314="Congé sans solde",D314="Congé sans solde"),AND(F314="Congé spécial",D314="Congé spécial"),AND(F314="Férié",D314="Férié"),AND(F314="OFF",D314="Congé"),AND(F314="OFF",D314="Congé sans solde"),AND(F314="OFF",D314="Congé spécial"),AND(F314="OFF",D314="Férié"),AND(F314="Congé",D314="OFF"),AND(F314="Congé",D314="Congé sans solde"),AND(F314="Congé",D314="Congé spécial"),AND(F314="Congé",D314="Férié"),AND(F314="Congé sans solde",D314="OFF"),AND(F314="Congé sans solde",D314="Congé"),AND(F314="Congé sans solde",D314="Congé spécial"),AND(F314="Congé sans solde",D314="Férié"),AND(F314="Congé spécial",D314="OFF"),AND(F314="Congé spécial",D314="Congé"),AND(F314="Congé spécial",D314="Congé sans solde"),AND(F314="Congé spécial",D314="Férié"),AND(F314="Férié",D314="OFF"),AND(F314="Férié",D314="Congé"),AND(F314="Férié",D314="Congé sans solde"),AND(F314="Férié",D314="Congé spécial")),0,IF(OR(F314="OFF",F314="Congé",F314="Congé spécial",F314="Congé sans solde",D314="OFF",D314="Congé",D314="Congé spécial",D314="Congé sans solde"),0.208333333333334,IF(AND(AG314="",F314-D314&lt;0),("24:00:00"-D314)+("00:00:00"+F314)-0.0416666666666667,IF(AND(OR(AG314="Allaitement",AG314="Sans déjeuner"),F314-D314&lt;0),("24:00:00"-D314)+("00:00:00"+F314),IF(AND(AG314="",F314-D314&gt;0.166666666666667),F314-D314-0.0416666666666667,IF(AND(OR(AG314="Allaitement",AG314="Sans déjeuner"),F314-D314&gt;0.166666666666667),F314-D314,F314-D314)))))))</f>
        <v>0</v>
      </c>
      <c r="P314" s="6" t="str">
        <f aca="false">IFERROR(VLOOKUP($B314,Agents!$A:$D,2,0),"-")</f>
        <v>Accessibilité</v>
      </c>
      <c r="Q314" s="21" t="n">
        <v>46060</v>
      </c>
      <c r="R314" s="8" t="n">
        <f aca="false">IF(M314="Abs",O314,0)</f>
        <v>0</v>
      </c>
      <c r="S314" s="8" t="n">
        <f aca="false">SUM(R314,L314,I314,J314,W314,H314)</f>
        <v>0</v>
      </c>
      <c r="T314" s="6" t="str">
        <f aca="false">"Sem - "&amp;WEEKNUM(Q314,21)</f>
        <v>Sem - 6</v>
      </c>
      <c r="U314" s="6" t="str">
        <f aca="false">CHOOSE(MONTH(Q314),"Janvier","Février","Mars","Avril","Mai","Juin","Juillet","Août","Septembre","Octobre","Novembre","Décembre")</f>
        <v>Février</v>
      </c>
      <c r="V314" s="22" t="n">
        <f aca="false">YEAR(Q314)</f>
        <v>2026</v>
      </c>
      <c r="W314" s="20"/>
      <c r="X314" s="8" t="n">
        <f aca="false">IFERROR(IF(M314="Abs",0,IF(ROUND((D314-C314+E314-F314)*1440,0)&lt;=1,0,D314-C314+E314-F314)),0)</f>
        <v>0</v>
      </c>
      <c r="Y314" s="6" t="str">
        <f aca="false">IFERROR(VLOOKUP($B314,Agents!$A:$D,3,0),"-")</f>
        <v>OUBRAHIM Mohammed</v>
      </c>
      <c r="Z314" s="6" t="str">
        <f aca="false">IFERROR(VLOOKUP($B314,Agents!$A:$D,4,0),"-")</f>
        <v>Credit Mutuel</v>
      </c>
      <c r="AA314" s="18" t="s">
        <v>87</v>
      </c>
      <c r="AB314" s="8" t="str">
        <f aca="false">IF(AND(D314="Congé",F314="Congé"),0.333333333333333,IF(OR(AND(D314="Congé",F314&lt;&gt;"Congé"),(AND(F314="Congé",D314&lt;&gt;"Congé"))),0.166666666666667,""))</f>
        <v/>
      </c>
      <c r="AC314" s="8" t="str">
        <f aca="false">IF(AND(D314="Congé sans solde",F314="Congé sans solde"),0.333333333333333,IF(OR(AND(D314="Congé sans solde",F314&lt;&gt;"Congé sans solde"),(AND(F314="Congé sans solde",D314&lt;&gt;"Congé sans solde"))),0.166666666666667,""))</f>
        <v/>
      </c>
      <c r="AD314" s="8" t="str">
        <f aca="false">IF(AND(D314="Congé spécial",F314="Congé spécial"),0.333333333333333,IF(OR(AND(D314="Congé spécial",F314&lt;&gt;"Congé spécial"),AND(F314="Congé spécial",D314&lt;&gt;"Congé spécial")),0.166666666666667,""))</f>
        <v/>
      </c>
      <c r="AE314" s="8" t="str">
        <f aca="false">IF(AND(D314="Férié",F314="Férié"),0.333333333333333,IF(OR(AND(D314="Férié",F314&lt;&gt;"Férié"),(AND(F314="Férié",D314&lt;&gt;"Férié"))),0.166666666666667,""))</f>
        <v/>
      </c>
      <c r="AF314" s="18"/>
      <c r="AG314" s="18"/>
    </row>
    <row r="315" customFormat="false" ht="15" hidden="false" customHeight="false" outlineLevel="0" collapsed="false">
      <c r="A315" s="6" t="str">
        <f aca="false">YEAR(Q315-WEEKDAY(Q315,2)+4)&amp;"-S"&amp;TEXT(WEEKNUM(Q315,21),"00")</f>
        <v>2026-S06</v>
      </c>
      <c r="B315" s="18" t="s">
        <v>71</v>
      </c>
      <c r="C315" s="19"/>
      <c r="D315" s="19" t="s">
        <v>74</v>
      </c>
      <c r="E315" s="19"/>
      <c r="F315" s="19" t="s">
        <v>74</v>
      </c>
      <c r="G315" s="20"/>
      <c r="H315" s="20"/>
      <c r="I315" s="8" t="str">
        <f aca="false">IF(IF(OR(C315="",D315="Congé",D315="OFF",D315="Congé spécial"),"",IF(D315&gt;F315,D315-C315,IF(C315-D315&lt;0,0,C315-D315)))&lt;0.00068287037037037,"",IF(OR(D315="Congé",D315="OFF",C315="",D315="Congé spécial"),"",IF(D315&gt;F315,D315-C315,IF(C315-D315&lt;0,0,C315-D315))))</f>
        <v/>
      </c>
      <c r="J315" s="20"/>
      <c r="K315" s="8" t="n">
        <f aca="false">IF(SUM(H315:J315)&lt;0.00068287037037037,0,SUM(H315:J315))</f>
        <v>0</v>
      </c>
      <c r="L315" s="8" t="n">
        <f aca="false">IF(OR(F315="Congé",F315="OFF",M315="Abs",F315="Congé sans solde",F315="Férié",F315="Congé spécial",D315="Congé spécial"),0,IF(F315-E315&lt;0,0,IF(F315-E315&lt;=0.00068287037037037,0,F315-E315)))</f>
        <v>0</v>
      </c>
      <c r="M315" s="6" t="n">
        <f aca="false">IF(AND(O315&lt;&gt;0,C315=""),"Abs",0)</f>
        <v>0</v>
      </c>
      <c r="N315" s="8" t="str">
        <f aca="false">IFERROR(IF(OR(D315="OFF",D315="Congé",M315="Abs",D315="Congé sans solde",D315="Férié"),"",IF(O315-K315-L315&gt;O315,O315,IF(O315-K315-L315&lt;0,"",O315-K315-L315))),"")</f>
        <v/>
      </c>
      <c r="O315" s="8" t="n">
        <f aca="false">IF(AG315="2H Pause déjeuner",IF(F315-D315-0.0833333333333333&lt;0,F315-D315-0.0833333333333333+1,F315-D315-0.0833333333333333),IF(OR(AND(F315="OFF",D315="OFF"),AND(F315="Congé",D315="Congé"),AND(F315="Congé sans solde",D315="Congé sans solde"),AND(F315="Congé spécial",D315="Congé spécial"),AND(F315="Férié",D315="Férié"),AND(F315="OFF",D315="Congé"),AND(F315="OFF",D315="Congé sans solde"),AND(F315="OFF",D315="Congé spécial"),AND(F315="OFF",D315="Férié"),AND(F315="Congé",D315="OFF"),AND(F315="Congé",D315="Congé sans solde"),AND(F315="Congé",D315="Congé spécial"),AND(F315="Congé",D315="Férié"),AND(F315="Congé sans solde",D315="OFF"),AND(F315="Congé sans solde",D315="Congé"),AND(F315="Congé sans solde",D315="Congé spécial"),AND(F315="Congé sans solde",D315="Férié"),AND(F315="Congé spécial",D315="OFF"),AND(F315="Congé spécial",D315="Congé"),AND(F315="Congé spécial",D315="Congé sans solde"),AND(F315="Congé spécial",D315="Férié"),AND(F315="Férié",D315="OFF"),AND(F315="Férié",D315="Congé"),AND(F315="Férié",D315="Congé sans solde"),AND(F315="Férié",D315="Congé spécial")),0,IF(OR(F315="OFF",F315="Congé",F315="Congé spécial",F315="Congé sans solde",D315="OFF",D315="Congé",D315="Congé spécial",D315="Congé sans solde"),0.208333333333334,IF(AND(AG315="",F315-D315&lt;0),("24:00:00"-D315)+("00:00:00"+F315)-0.0416666666666667,IF(AND(OR(AG315="Allaitement",AG315="Sans déjeuner"),F315-D315&lt;0),("24:00:00"-D315)+("00:00:00"+F315),IF(AND(AG315="",F315-D315&gt;0.166666666666667),F315-D315-0.0416666666666667,IF(AND(OR(AG315="Allaitement",AG315="Sans déjeuner"),F315-D315&gt;0.166666666666667),F315-D315,F315-D315)))))))</f>
        <v>0</v>
      </c>
      <c r="P315" s="6" t="str">
        <f aca="false">IFERROR(VLOOKUP($B315,Agents!$A:$D,2,0),"-")</f>
        <v>Accessibilité</v>
      </c>
      <c r="Q315" s="21" t="n">
        <v>46060</v>
      </c>
      <c r="R315" s="8" t="n">
        <f aca="false">IF(M315="Abs",O315,0)</f>
        <v>0</v>
      </c>
      <c r="S315" s="8" t="n">
        <f aca="false">SUM(R315,L315,I315,J315,W315,H315)</f>
        <v>0</v>
      </c>
      <c r="T315" s="6" t="str">
        <f aca="false">"Sem - "&amp;WEEKNUM(Q315,21)</f>
        <v>Sem - 6</v>
      </c>
      <c r="U315" s="6" t="str">
        <f aca="false">CHOOSE(MONTH(Q315),"Janvier","Février","Mars","Avril","Mai","Juin","Juillet","Août","Septembre","Octobre","Novembre","Décembre")</f>
        <v>Février</v>
      </c>
      <c r="V315" s="22" t="n">
        <f aca="false">YEAR(Q315)</f>
        <v>2026</v>
      </c>
      <c r="W315" s="20"/>
      <c r="X315" s="8" t="n">
        <f aca="false">IFERROR(IF(M315="Abs",0,IF(ROUND((D315-C315+E315-F315)*1440,0)&lt;=1,0,D315-C315+E315-F315)),0)</f>
        <v>0</v>
      </c>
      <c r="Y315" s="6" t="str">
        <f aca="false">IFERROR(VLOOKUP($B315,Agents!$A:$D,3,0),"-")</f>
        <v>OUBRAHIM Mohammed</v>
      </c>
      <c r="Z315" s="6" t="str">
        <f aca="false">IFERROR(VLOOKUP($B315,Agents!$A:$D,4,0),"-")</f>
        <v>Credit Mutuel</v>
      </c>
      <c r="AA315" s="18" t="s">
        <v>87</v>
      </c>
      <c r="AB315" s="8" t="str">
        <f aca="false">IF(AND(D315="Congé",F315="Congé"),0.333333333333333,IF(OR(AND(D315="Congé",F315&lt;&gt;"Congé"),(AND(F315="Congé",D315&lt;&gt;"Congé"))),0.166666666666667,""))</f>
        <v/>
      </c>
      <c r="AC315" s="8" t="str">
        <f aca="false">IF(AND(D315="Congé sans solde",F315="Congé sans solde"),0.333333333333333,IF(OR(AND(D315="Congé sans solde",F315&lt;&gt;"Congé sans solde"),(AND(F315="Congé sans solde",D315&lt;&gt;"Congé sans solde"))),0.166666666666667,""))</f>
        <v/>
      </c>
      <c r="AD315" s="8" t="str">
        <f aca="false">IF(AND(D315="Congé spécial",F315="Congé spécial"),0.333333333333333,IF(OR(AND(D315="Congé spécial",F315&lt;&gt;"Congé spécial"),AND(F315="Congé spécial",D315&lt;&gt;"Congé spécial")),0.166666666666667,""))</f>
        <v/>
      </c>
      <c r="AE315" s="8" t="str">
        <f aca="false">IF(AND(D315="Férié",F315="Férié"),0.333333333333333,IF(OR(AND(D315="Férié",F315&lt;&gt;"Férié"),(AND(F315="Férié",D315&lt;&gt;"Férié"))),0.166666666666667,""))</f>
        <v/>
      </c>
      <c r="AF315" s="18"/>
      <c r="AG315" s="18"/>
    </row>
    <row r="316" customFormat="false" ht="15" hidden="false" customHeight="false" outlineLevel="0" collapsed="false">
      <c r="A316" s="6" t="str">
        <f aca="false">YEAR(Q316-WEEKDAY(Q316,2)+4)&amp;"-S"&amp;TEXT(WEEKNUM(Q316,21),"00")</f>
        <v>2026-S06</v>
      </c>
      <c r="B316" s="18" t="s">
        <v>72</v>
      </c>
      <c r="C316" s="19"/>
      <c r="D316" s="19" t="s">
        <v>74</v>
      </c>
      <c r="E316" s="19"/>
      <c r="F316" s="19" t="s">
        <v>74</v>
      </c>
      <c r="G316" s="20"/>
      <c r="H316" s="20"/>
      <c r="I316" s="8" t="str">
        <f aca="false">IF(IF(OR(C316="",D316="Congé",D316="OFF",D316="Congé spécial"),"",IF(D316&gt;F316,D316-C316,IF(C316-D316&lt;0,0,C316-D316)))&lt;0.00068287037037037,"",IF(OR(D316="Congé",D316="OFF",C316="",D316="Congé spécial"),"",IF(D316&gt;F316,D316-C316,IF(C316-D316&lt;0,0,C316-D316))))</f>
        <v/>
      </c>
      <c r="J316" s="20"/>
      <c r="K316" s="8" t="n">
        <f aca="false">IF(SUM(H316:J316)&lt;0.00068287037037037,0,SUM(H316:J316))</f>
        <v>0</v>
      </c>
      <c r="L316" s="8" t="n">
        <f aca="false">IF(OR(F316="Congé",F316="OFF",M316="Abs",F316="Congé sans solde",F316="Férié",F316="Congé spécial",D316="Congé spécial"),0,IF(F316-E316&lt;0,0,IF(F316-E316&lt;=0.00068287037037037,0,F316-E316)))</f>
        <v>0</v>
      </c>
      <c r="M316" s="6" t="n">
        <f aca="false">IF(AND(O316&lt;&gt;0,C316=""),"Abs",0)</f>
        <v>0</v>
      </c>
      <c r="N316" s="8" t="str">
        <f aca="false">IFERROR(IF(OR(D316="OFF",D316="Congé",M316="Abs",D316="Congé sans solde",D316="Férié"),"",IF(O316-K316-L316&gt;O316,O316,IF(O316-K316-L316&lt;0,"",O316-K316-L316))),"")</f>
        <v/>
      </c>
      <c r="O316" s="8" t="n">
        <f aca="false">IF(AG316="2H Pause déjeuner",IF(F316-D316-0.0833333333333333&lt;0,F316-D316-0.0833333333333333+1,F316-D316-0.0833333333333333),IF(OR(AND(F316="OFF",D316="OFF"),AND(F316="Congé",D316="Congé"),AND(F316="Congé sans solde",D316="Congé sans solde"),AND(F316="Congé spécial",D316="Congé spécial"),AND(F316="Férié",D316="Férié"),AND(F316="OFF",D316="Congé"),AND(F316="OFF",D316="Congé sans solde"),AND(F316="OFF",D316="Congé spécial"),AND(F316="OFF",D316="Férié"),AND(F316="Congé",D316="OFF"),AND(F316="Congé",D316="Congé sans solde"),AND(F316="Congé",D316="Congé spécial"),AND(F316="Congé",D316="Férié"),AND(F316="Congé sans solde",D316="OFF"),AND(F316="Congé sans solde",D316="Congé"),AND(F316="Congé sans solde",D316="Congé spécial"),AND(F316="Congé sans solde",D316="Férié"),AND(F316="Congé spécial",D316="OFF"),AND(F316="Congé spécial",D316="Congé"),AND(F316="Congé spécial",D316="Congé sans solde"),AND(F316="Congé spécial",D316="Férié"),AND(F316="Férié",D316="OFF"),AND(F316="Férié",D316="Congé"),AND(F316="Férié",D316="Congé sans solde"),AND(F316="Férié",D316="Congé spécial")),0,IF(OR(F316="OFF",F316="Congé",F316="Congé spécial",F316="Congé sans solde",D316="OFF",D316="Congé",D316="Congé spécial",D316="Congé sans solde"),0.208333333333334,IF(AND(AG316="",F316-D316&lt;0),("24:00:00"-D316)+("00:00:00"+F316)-0.0416666666666667,IF(AND(OR(AG316="Allaitement",AG316="Sans déjeuner"),F316-D316&lt;0),("24:00:00"-D316)+("00:00:00"+F316),IF(AND(AG316="",F316-D316&gt;0.166666666666667),F316-D316-0.0416666666666667,IF(AND(OR(AG316="Allaitement",AG316="Sans déjeuner"),F316-D316&gt;0.166666666666667),F316-D316,F316-D316)))))))</f>
        <v>0</v>
      </c>
      <c r="P316" s="6" t="str">
        <f aca="false">IFERROR(VLOOKUP($B316,Agents!$A:$D,2,0),"-")</f>
        <v>Accessibilité</v>
      </c>
      <c r="Q316" s="21" t="n">
        <v>46060</v>
      </c>
      <c r="R316" s="8" t="n">
        <f aca="false">IF(M316="Abs",O316,0)</f>
        <v>0</v>
      </c>
      <c r="S316" s="8" t="n">
        <f aca="false">SUM(R316,L316,I316,J316,W316,H316)</f>
        <v>0</v>
      </c>
      <c r="T316" s="6" t="str">
        <f aca="false">"Sem - "&amp;WEEKNUM(Q316,21)</f>
        <v>Sem - 6</v>
      </c>
      <c r="U316" s="6" t="str">
        <f aca="false">CHOOSE(MONTH(Q316),"Janvier","Février","Mars","Avril","Mai","Juin","Juillet","Août","Septembre","Octobre","Novembre","Décembre")</f>
        <v>Février</v>
      </c>
      <c r="V316" s="22" t="n">
        <f aca="false">YEAR(Q316)</f>
        <v>2026</v>
      </c>
      <c r="W316" s="20"/>
      <c r="X316" s="8" t="n">
        <f aca="false">IFERROR(IF(M316="Abs",0,IF(ROUND((D316-C316+E316-F316)*1440,0)&lt;=1,0,D316-C316+E316-F316)),0)</f>
        <v>0</v>
      </c>
      <c r="Y316" s="6" t="str">
        <f aca="false">IFERROR(VLOOKUP($B316,Agents!$A:$D,3,0),"-")</f>
        <v>OUBRAHIM Mohammed</v>
      </c>
      <c r="Z316" s="6" t="str">
        <f aca="false">IFERROR(VLOOKUP($B316,Agents!$A:$D,4,0),"-")</f>
        <v>Credit Mutuel</v>
      </c>
      <c r="AA316" s="18" t="s">
        <v>87</v>
      </c>
      <c r="AB316" s="8" t="str">
        <f aca="false">IF(AND(D316="Congé",F316="Congé"),0.333333333333333,IF(OR(AND(D316="Congé",F316&lt;&gt;"Congé"),(AND(F316="Congé",D316&lt;&gt;"Congé"))),0.166666666666667,""))</f>
        <v/>
      </c>
      <c r="AC316" s="8" t="str">
        <f aca="false">IF(AND(D316="Congé sans solde",F316="Congé sans solde"),0.333333333333333,IF(OR(AND(D316="Congé sans solde",F316&lt;&gt;"Congé sans solde"),(AND(F316="Congé sans solde",D316&lt;&gt;"Congé sans solde"))),0.166666666666667,""))</f>
        <v/>
      </c>
      <c r="AD316" s="8" t="str">
        <f aca="false">IF(AND(D316="Congé spécial",F316="Congé spécial"),0.333333333333333,IF(OR(AND(D316="Congé spécial",F316&lt;&gt;"Congé spécial"),AND(F316="Congé spécial",D316&lt;&gt;"Congé spécial")),0.166666666666667,""))</f>
        <v/>
      </c>
      <c r="AE316" s="8" t="str">
        <f aca="false">IF(AND(D316="Férié",F316="Férié"),0.333333333333333,IF(OR(AND(D316="Férié",F316&lt;&gt;"Férié"),(AND(F316="Férié",D316&lt;&gt;"Férié"))),0.166666666666667,""))</f>
        <v/>
      </c>
      <c r="AF316" s="18"/>
      <c r="AG316" s="18"/>
    </row>
    <row r="317" customFormat="false" ht="15" hidden="false" customHeight="false" outlineLevel="0" collapsed="false">
      <c r="A317" s="6" t="str">
        <f aca="false">YEAR(Q317-WEEKDAY(Q317,2)+4)&amp;"-S"&amp;TEXT(WEEKNUM(Q317,21),"00")</f>
        <v>2026-S06</v>
      </c>
      <c r="B317" s="18" t="s">
        <v>73</v>
      </c>
      <c r="C317" s="19"/>
      <c r="D317" s="19" t="s">
        <v>74</v>
      </c>
      <c r="E317" s="19"/>
      <c r="F317" s="19" t="s">
        <v>74</v>
      </c>
      <c r="G317" s="20"/>
      <c r="H317" s="20"/>
      <c r="I317" s="8" t="str">
        <f aca="false">IF(IF(OR(C317="",D317="Congé",D317="OFF",D317="Congé spécial"),"",IF(D317&gt;F317,D317-C317,IF(C317-D317&lt;0,0,C317-D317)))&lt;0.00068287037037037,"",IF(OR(D317="Congé",D317="OFF",C317="",D317="Congé spécial"),"",IF(D317&gt;F317,D317-C317,IF(C317-D317&lt;0,0,C317-D317))))</f>
        <v/>
      </c>
      <c r="J317" s="20"/>
      <c r="K317" s="8" t="n">
        <f aca="false">IF(SUM(H317:J317)&lt;0.00068287037037037,0,SUM(H317:J317))</f>
        <v>0</v>
      </c>
      <c r="L317" s="8" t="n">
        <f aca="false">IF(OR(F317="Congé",F317="OFF",M317="Abs",F317="Congé sans solde",F317="Férié",F317="Congé spécial",D317="Congé spécial"),0,IF(F317-E317&lt;0,0,IF(F317-E317&lt;=0.00068287037037037,0,F317-E317)))</f>
        <v>0</v>
      </c>
      <c r="M317" s="6" t="n">
        <f aca="false">IF(AND(O317&lt;&gt;0,C317=""),"Abs",0)</f>
        <v>0</v>
      </c>
      <c r="N317" s="8" t="str">
        <f aca="false">IFERROR(IF(OR(D317="OFF",D317="Congé",M317="Abs",D317="Congé sans solde",D317="Férié"),"",IF(O317-K317-L317&gt;O317,O317,IF(O317-K317-L317&lt;0,"",O317-K317-L317))),"")</f>
        <v/>
      </c>
      <c r="O317" s="8" t="n">
        <f aca="false">IF(AG317="2H Pause déjeuner",IF(F317-D317-0.0833333333333333&lt;0,F317-D317-0.0833333333333333+1,F317-D317-0.0833333333333333),IF(OR(AND(F317="OFF",D317="OFF"),AND(F317="Congé",D317="Congé"),AND(F317="Congé sans solde",D317="Congé sans solde"),AND(F317="Congé spécial",D317="Congé spécial"),AND(F317="Férié",D317="Férié"),AND(F317="OFF",D317="Congé"),AND(F317="OFF",D317="Congé sans solde"),AND(F317="OFF",D317="Congé spécial"),AND(F317="OFF",D317="Férié"),AND(F317="Congé",D317="OFF"),AND(F317="Congé",D317="Congé sans solde"),AND(F317="Congé",D317="Congé spécial"),AND(F317="Congé",D317="Férié"),AND(F317="Congé sans solde",D317="OFF"),AND(F317="Congé sans solde",D317="Congé"),AND(F317="Congé sans solde",D317="Congé spécial"),AND(F317="Congé sans solde",D317="Férié"),AND(F317="Congé spécial",D317="OFF"),AND(F317="Congé spécial",D317="Congé"),AND(F317="Congé spécial",D317="Congé sans solde"),AND(F317="Congé spécial",D317="Férié"),AND(F317="Férié",D317="OFF"),AND(F317="Férié",D317="Congé"),AND(F317="Férié",D317="Congé sans solde"),AND(F317="Férié",D317="Congé spécial")),0,IF(OR(F317="OFF",F317="Congé",F317="Congé spécial",F317="Congé sans solde",D317="OFF",D317="Congé",D317="Congé spécial",D317="Congé sans solde"),0.208333333333334,IF(AND(AG317="",F317-D317&lt;0),("24:00:00"-D317)+("00:00:00"+F317)-0.0416666666666667,IF(AND(OR(AG317="Allaitement",AG317="Sans déjeuner"),F317-D317&lt;0),("24:00:00"-D317)+("00:00:00"+F317),IF(AND(AG317="",F317-D317&gt;0.166666666666667),F317-D317-0.0416666666666667,IF(AND(OR(AG317="Allaitement",AG317="Sans déjeuner"),F317-D317&gt;0.166666666666667),F317-D317,F317-D317)))))))</f>
        <v>0</v>
      </c>
      <c r="P317" s="6" t="str">
        <f aca="false">IFERROR(VLOOKUP($B317,Agents!$A:$D,2,0),"-")</f>
        <v>Accessibilité</v>
      </c>
      <c r="Q317" s="21" t="n">
        <v>46060</v>
      </c>
      <c r="R317" s="8" t="n">
        <f aca="false">IF(M317="Abs",O317,0)</f>
        <v>0</v>
      </c>
      <c r="S317" s="8" t="n">
        <f aca="false">SUM(R317,L317,I317,J317,W317,H317)</f>
        <v>0</v>
      </c>
      <c r="T317" s="6" t="str">
        <f aca="false">"Sem - "&amp;WEEKNUM(Q317,21)</f>
        <v>Sem - 6</v>
      </c>
      <c r="U317" s="6" t="str">
        <f aca="false">CHOOSE(MONTH(Q317),"Janvier","Février","Mars","Avril","Mai","Juin","Juillet","Août","Septembre","Octobre","Novembre","Décembre")</f>
        <v>Février</v>
      </c>
      <c r="V317" s="22" t="n">
        <f aca="false">YEAR(Q317)</f>
        <v>2026</v>
      </c>
      <c r="W317" s="20"/>
      <c r="X317" s="8" t="n">
        <f aca="false">IFERROR(IF(M317="Abs",0,IF(ROUND((D317-C317+E317-F317)*1440,0)&lt;=1,0,D317-C317+E317-F317)),0)</f>
        <v>0</v>
      </c>
      <c r="Y317" s="6" t="str">
        <f aca="false">IFERROR(VLOOKUP($B317,Agents!$A:$D,3,0),"-")</f>
        <v>OUBRAHIM Mohammed</v>
      </c>
      <c r="Z317" s="6" t="str">
        <f aca="false">IFERROR(VLOOKUP($B317,Agents!$A:$D,4,0),"-")</f>
        <v>Credit Mutuel</v>
      </c>
      <c r="AA317" s="18" t="s">
        <v>87</v>
      </c>
      <c r="AB317" s="8" t="str">
        <f aca="false">IF(AND(D317="Congé",F317="Congé"),0.333333333333333,IF(OR(AND(D317="Congé",F317&lt;&gt;"Congé"),(AND(F317="Congé",D317&lt;&gt;"Congé"))),0.166666666666667,""))</f>
        <v/>
      </c>
      <c r="AC317" s="8" t="str">
        <f aca="false">IF(AND(D317="Congé sans solde",F317="Congé sans solde"),0.333333333333333,IF(OR(AND(D317="Congé sans solde",F317&lt;&gt;"Congé sans solde"),(AND(F317="Congé sans solde",D317&lt;&gt;"Congé sans solde"))),0.166666666666667,""))</f>
        <v/>
      </c>
      <c r="AD317" s="8" t="str">
        <f aca="false">IF(AND(D317="Congé spécial",F317="Congé spécial"),0.333333333333333,IF(OR(AND(D317="Congé spécial",F317&lt;&gt;"Congé spécial"),AND(F317="Congé spécial",D317&lt;&gt;"Congé spécial")),0.166666666666667,""))</f>
        <v/>
      </c>
      <c r="AE317" s="8" t="str">
        <f aca="false">IF(AND(D317="Férié",F317="Férié"),0.333333333333333,IF(OR(AND(D317="Férié",F317&lt;&gt;"Férié"),(AND(F317="Férié",D317&lt;&gt;"Férié"))),0.166666666666667,""))</f>
        <v/>
      </c>
      <c r="AF317" s="18"/>
      <c r="AG317" s="18"/>
    </row>
    <row r="318" customFormat="false" ht="15" hidden="false" customHeight="false" outlineLevel="0" collapsed="false">
      <c r="A318" s="6" t="str">
        <f aca="false">YEAR(Q318-WEEKDAY(Q318,2)+4)&amp;"-S"&amp;TEXT(WEEKNUM(Q318,21),"00")</f>
        <v>2026-S06</v>
      </c>
      <c r="B318" s="18" t="s">
        <v>69</v>
      </c>
      <c r="C318" s="19"/>
      <c r="D318" s="19" t="s">
        <v>74</v>
      </c>
      <c r="E318" s="19"/>
      <c r="F318" s="19" t="s">
        <v>74</v>
      </c>
      <c r="G318" s="20"/>
      <c r="H318" s="20"/>
      <c r="I318" s="8" t="str">
        <f aca="false">IF(IF(OR(C318="",D318="Congé",D318="OFF",D318="Congé spécial"),"",IF(D318&gt;F318,D318-C318,IF(C318-D318&lt;0,0,C318-D318)))&lt;0.00068287037037037,"",IF(OR(D318="Congé",D318="OFF",C318="",D318="Congé spécial"),"",IF(D318&gt;F318,D318-C318,IF(C318-D318&lt;0,0,C318-D318))))</f>
        <v/>
      </c>
      <c r="J318" s="20"/>
      <c r="K318" s="8" t="n">
        <f aca="false">IF(SUM(H318:J318)&lt;0.00068287037037037,0,SUM(H318:J318))</f>
        <v>0</v>
      </c>
      <c r="L318" s="8" t="n">
        <f aca="false">IF(OR(F318="Congé",F318="OFF",M318="Abs",F318="Congé sans solde",F318="Férié",F318="Congé spécial",D318="Congé spécial"),0,IF(F318-E318&lt;0,0,IF(F318-E318&lt;=0.00068287037037037,0,F318-E318)))</f>
        <v>0</v>
      </c>
      <c r="M318" s="6" t="n">
        <f aca="false">IF(AND(O318&lt;&gt;0,C318=""),"Abs",0)</f>
        <v>0</v>
      </c>
      <c r="N318" s="8" t="str">
        <f aca="false">IFERROR(IF(OR(D318="OFF",D318="Congé",M318="Abs",D318="Congé sans solde",D318="Férié"),"",IF(O318-K318-L318&gt;O318,O318,IF(O318-K318-L318&lt;0,"",O318-K318-L318))),"")</f>
        <v/>
      </c>
      <c r="O318" s="8" t="n">
        <f aca="false">IF(AG318="2H Pause déjeuner",IF(F318-D318-0.0833333333333333&lt;0,F318-D318-0.0833333333333333+1,F318-D318-0.0833333333333333),IF(OR(AND(F318="OFF",D318="OFF"),AND(F318="Congé",D318="Congé"),AND(F318="Congé sans solde",D318="Congé sans solde"),AND(F318="Congé spécial",D318="Congé spécial"),AND(F318="Férié",D318="Férié"),AND(F318="OFF",D318="Congé"),AND(F318="OFF",D318="Congé sans solde"),AND(F318="OFF",D318="Congé spécial"),AND(F318="OFF",D318="Férié"),AND(F318="Congé",D318="OFF"),AND(F318="Congé",D318="Congé sans solde"),AND(F318="Congé",D318="Congé spécial"),AND(F318="Congé",D318="Férié"),AND(F318="Congé sans solde",D318="OFF"),AND(F318="Congé sans solde",D318="Congé"),AND(F318="Congé sans solde",D318="Congé spécial"),AND(F318="Congé sans solde",D318="Férié"),AND(F318="Congé spécial",D318="OFF"),AND(F318="Congé spécial",D318="Congé"),AND(F318="Congé spécial",D318="Congé sans solde"),AND(F318="Congé spécial",D318="Férié"),AND(F318="Férié",D318="OFF"),AND(F318="Férié",D318="Congé"),AND(F318="Férié",D318="Congé sans solde"),AND(F318="Férié",D318="Congé spécial")),0,IF(OR(F318="OFF",F318="Congé",F318="Congé spécial",F318="Congé sans solde",D318="OFF",D318="Congé",D318="Congé spécial",D318="Congé sans solde"),0.208333333333334,IF(AND(AG318="",F318-D318&lt;0),("24:00:00"-D318)+("00:00:00"+F318)-0.0416666666666667,IF(AND(OR(AG318="Allaitement",AG318="Sans déjeuner"),F318-D318&lt;0),("24:00:00"-D318)+("00:00:00"+F318),IF(AND(AG318="",F318-D318&gt;0.166666666666667),F318-D318-0.0416666666666667,IF(AND(OR(AG318="Allaitement",AG318="Sans déjeuner"),F318-D318&gt;0.166666666666667),F318-D318,F318-D318)))))))</f>
        <v>0</v>
      </c>
      <c r="P318" s="6" t="str">
        <f aca="false">IFERROR(VLOOKUP($B318,Agents!$A:$D,2,0),"-")</f>
        <v>Accessibilité</v>
      </c>
      <c r="Q318" s="21" t="n">
        <v>46061</v>
      </c>
      <c r="R318" s="8" t="n">
        <f aca="false">IF(M318="Abs",O318,0)</f>
        <v>0</v>
      </c>
      <c r="S318" s="8" t="n">
        <f aca="false">SUM(R318,L318,I318,J318,W318,H318)</f>
        <v>0</v>
      </c>
      <c r="T318" s="6" t="str">
        <f aca="false">"Sem - "&amp;WEEKNUM(Q318,21)</f>
        <v>Sem - 6</v>
      </c>
      <c r="U318" s="6" t="str">
        <f aca="false">CHOOSE(MONTH(Q318),"Janvier","Février","Mars","Avril","Mai","Juin","Juillet","Août","Septembre","Octobre","Novembre","Décembre")</f>
        <v>Février</v>
      </c>
      <c r="V318" s="22" t="n">
        <f aca="false">YEAR(Q318)</f>
        <v>2026</v>
      </c>
      <c r="W318" s="20"/>
      <c r="X318" s="8" t="n">
        <f aca="false">IFERROR(IF(M318="Abs",0,IF(ROUND((D318-C318+E318-F318)*1440,0)&lt;=1,0,D318-C318+E318-F318)),0)</f>
        <v>0</v>
      </c>
      <c r="Y318" s="6" t="str">
        <f aca="false">IFERROR(VLOOKUP($B318,Agents!$A:$D,3,0),"-")</f>
        <v>OUBRAHIM Mohammed</v>
      </c>
      <c r="Z318" s="6" t="str">
        <f aca="false">IFERROR(VLOOKUP($B318,Agents!$A:$D,4,0),"-")</f>
        <v>Credit Mutuel</v>
      </c>
      <c r="AA318" s="18" t="s">
        <v>87</v>
      </c>
      <c r="AB318" s="8" t="str">
        <f aca="false">IF(AND(D318="Congé",F318="Congé"),0.333333333333333,IF(OR(AND(D318="Congé",F318&lt;&gt;"Congé"),(AND(F318="Congé",D318&lt;&gt;"Congé"))),0.166666666666667,""))</f>
        <v/>
      </c>
      <c r="AC318" s="8" t="str">
        <f aca="false">IF(AND(D318="Congé sans solde",F318="Congé sans solde"),0.333333333333333,IF(OR(AND(D318="Congé sans solde",F318&lt;&gt;"Congé sans solde"),(AND(F318="Congé sans solde",D318&lt;&gt;"Congé sans solde"))),0.166666666666667,""))</f>
        <v/>
      </c>
      <c r="AD318" s="8" t="str">
        <f aca="false">IF(AND(D318="Congé spécial",F318="Congé spécial"),0.333333333333333,IF(OR(AND(D318="Congé spécial",F318&lt;&gt;"Congé spécial"),AND(F318="Congé spécial",D318&lt;&gt;"Congé spécial")),0.166666666666667,""))</f>
        <v/>
      </c>
      <c r="AE318" s="8" t="str">
        <f aca="false">IF(AND(D318="Férié",F318="Férié"),0.333333333333333,IF(OR(AND(D318="Férié",F318&lt;&gt;"Férié"),(AND(F318="Férié",D318&lt;&gt;"Férié"))),0.166666666666667,""))</f>
        <v/>
      </c>
      <c r="AF318" s="18"/>
      <c r="AG318" s="18"/>
    </row>
    <row r="319" customFormat="false" ht="15" hidden="false" customHeight="false" outlineLevel="0" collapsed="false">
      <c r="A319" s="6" t="str">
        <f aca="false">YEAR(Q319-WEEKDAY(Q319,2)+4)&amp;"-S"&amp;TEXT(WEEKNUM(Q319,21),"00")</f>
        <v>2026-S06</v>
      </c>
      <c r="B319" s="18" t="s">
        <v>71</v>
      </c>
      <c r="C319" s="19"/>
      <c r="D319" s="19" t="s">
        <v>74</v>
      </c>
      <c r="E319" s="19"/>
      <c r="F319" s="19" t="s">
        <v>74</v>
      </c>
      <c r="G319" s="20"/>
      <c r="H319" s="20"/>
      <c r="I319" s="8" t="str">
        <f aca="false">IF(IF(OR(C319="",D319="Congé",D319="OFF",D319="Congé spécial"),"",IF(D319&gt;F319,D319-C319,IF(C319-D319&lt;0,0,C319-D319)))&lt;0.00068287037037037,"",IF(OR(D319="Congé",D319="OFF",C319="",D319="Congé spécial"),"",IF(D319&gt;F319,D319-C319,IF(C319-D319&lt;0,0,C319-D319))))</f>
        <v/>
      </c>
      <c r="J319" s="20"/>
      <c r="K319" s="8" t="n">
        <f aca="false">IF(SUM(H319:J319)&lt;0.00068287037037037,0,SUM(H319:J319))</f>
        <v>0</v>
      </c>
      <c r="L319" s="8" t="n">
        <f aca="false">IF(OR(F319="Congé",F319="OFF",M319="Abs",F319="Congé sans solde",F319="Férié",F319="Congé spécial",D319="Congé spécial"),0,IF(F319-E319&lt;0,0,IF(F319-E319&lt;=0.00068287037037037,0,F319-E319)))</f>
        <v>0</v>
      </c>
      <c r="M319" s="6" t="n">
        <f aca="false">IF(AND(O319&lt;&gt;0,C319=""),"Abs",0)</f>
        <v>0</v>
      </c>
      <c r="N319" s="8" t="str">
        <f aca="false">IFERROR(IF(OR(D319="OFF",D319="Congé",M319="Abs",D319="Congé sans solde",D319="Férié"),"",IF(O319-K319-L319&gt;O319,O319,IF(O319-K319-L319&lt;0,"",O319-K319-L319))),"")</f>
        <v/>
      </c>
      <c r="O319" s="8" t="n">
        <f aca="false">IF(AG319="2H Pause déjeuner",IF(F319-D319-0.0833333333333333&lt;0,F319-D319-0.0833333333333333+1,F319-D319-0.0833333333333333),IF(OR(AND(F319="OFF",D319="OFF"),AND(F319="Congé",D319="Congé"),AND(F319="Congé sans solde",D319="Congé sans solde"),AND(F319="Congé spécial",D319="Congé spécial"),AND(F319="Férié",D319="Férié"),AND(F319="OFF",D319="Congé"),AND(F319="OFF",D319="Congé sans solde"),AND(F319="OFF",D319="Congé spécial"),AND(F319="OFF",D319="Férié"),AND(F319="Congé",D319="OFF"),AND(F319="Congé",D319="Congé sans solde"),AND(F319="Congé",D319="Congé spécial"),AND(F319="Congé",D319="Férié"),AND(F319="Congé sans solde",D319="OFF"),AND(F319="Congé sans solde",D319="Congé"),AND(F319="Congé sans solde",D319="Congé spécial"),AND(F319="Congé sans solde",D319="Férié"),AND(F319="Congé spécial",D319="OFF"),AND(F319="Congé spécial",D319="Congé"),AND(F319="Congé spécial",D319="Congé sans solde"),AND(F319="Congé spécial",D319="Férié"),AND(F319="Férié",D319="OFF"),AND(F319="Férié",D319="Congé"),AND(F319="Férié",D319="Congé sans solde"),AND(F319="Férié",D319="Congé spécial")),0,IF(OR(F319="OFF",F319="Congé",F319="Congé spécial",F319="Congé sans solde",D319="OFF",D319="Congé",D319="Congé spécial",D319="Congé sans solde"),0.208333333333334,IF(AND(AG319="",F319-D319&lt;0),("24:00:00"-D319)+("00:00:00"+F319)-0.0416666666666667,IF(AND(OR(AG319="Allaitement",AG319="Sans déjeuner"),F319-D319&lt;0),("24:00:00"-D319)+("00:00:00"+F319),IF(AND(AG319="",F319-D319&gt;0.166666666666667),F319-D319-0.0416666666666667,IF(AND(OR(AG319="Allaitement",AG319="Sans déjeuner"),F319-D319&gt;0.166666666666667),F319-D319,F319-D319)))))))</f>
        <v>0</v>
      </c>
      <c r="P319" s="6" t="str">
        <f aca="false">IFERROR(VLOOKUP($B319,Agents!$A:$D,2,0),"-")</f>
        <v>Accessibilité</v>
      </c>
      <c r="Q319" s="21" t="n">
        <v>46061</v>
      </c>
      <c r="R319" s="8" t="n">
        <f aca="false">IF(M319="Abs",O319,0)</f>
        <v>0</v>
      </c>
      <c r="S319" s="8" t="n">
        <f aca="false">SUM(R319,L319,I319,J319,W319,H319)</f>
        <v>0</v>
      </c>
      <c r="T319" s="6" t="str">
        <f aca="false">"Sem - "&amp;WEEKNUM(Q319,21)</f>
        <v>Sem - 6</v>
      </c>
      <c r="U319" s="6" t="str">
        <f aca="false">CHOOSE(MONTH(Q319),"Janvier","Février","Mars","Avril","Mai","Juin","Juillet","Août","Septembre","Octobre","Novembre","Décembre")</f>
        <v>Février</v>
      </c>
      <c r="V319" s="22" t="n">
        <f aca="false">YEAR(Q319)</f>
        <v>2026</v>
      </c>
      <c r="W319" s="20"/>
      <c r="X319" s="8" t="n">
        <f aca="false">IFERROR(IF(M319="Abs",0,IF(ROUND((D319-C319+E319-F319)*1440,0)&lt;=1,0,D319-C319+E319-F319)),0)</f>
        <v>0</v>
      </c>
      <c r="Y319" s="6" t="str">
        <f aca="false">IFERROR(VLOOKUP($B319,Agents!$A:$D,3,0),"-")</f>
        <v>OUBRAHIM Mohammed</v>
      </c>
      <c r="Z319" s="6" t="str">
        <f aca="false">IFERROR(VLOOKUP($B319,Agents!$A:$D,4,0),"-")</f>
        <v>Credit Mutuel</v>
      </c>
      <c r="AA319" s="18" t="s">
        <v>87</v>
      </c>
      <c r="AB319" s="8" t="str">
        <f aca="false">IF(AND(D319="Congé",F319="Congé"),0.333333333333333,IF(OR(AND(D319="Congé",F319&lt;&gt;"Congé"),(AND(F319="Congé",D319&lt;&gt;"Congé"))),0.166666666666667,""))</f>
        <v/>
      </c>
      <c r="AC319" s="8" t="str">
        <f aca="false">IF(AND(D319="Congé sans solde",F319="Congé sans solde"),0.333333333333333,IF(OR(AND(D319="Congé sans solde",F319&lt;&gt;"Congé sans solde"),(AND(F319="Congé sans solde",D319&lt;&gt;"Congé sans solde"))),0.166666666666667,""))</f>
        <v/>
      </c>
      <c r="AD319" s="8" t="str">
        <f aca="false">IF(AND(D319="Congé spécial",F319="Congé spécial"),0.333333333333333,IF(OR(AND(D319="Congé spécial",F319&lt;&gt;"Congé spécial"),AND(F319="Congé spécial",D319&lt;&gt;"Congé spécial")),0.166666666666667,""))</f>
        <v/>
      </c>
      <c r="AE319" s="8" t="str">
        <f aca="false">IF(AND(D319="Férié",F319="Férié"),0.333333333333333,IF(OR(AND(D319="Férié",F319&lt;&gt;"Férié"),(AND(F319="Férié",D319&lt;&gt;"Férié"))),0.166666666666667,""))</f>
        <v/>
      </c>
      <c r="AF319" s="18"/>
      <c r="AG319" s="18"/>
    </row>
    <row r="320" customFormat="false" ht="15" hidden="false" customHeight="false" outlineLevel="0" collapsed="false">
      <c r="A320" s="6" t="str">
        <f aca="false">YEAR(Q320-WEEKDAY(Q320,2)+4)&amp;"-S"&amp;TEXT(WEEKNUM(Q320,21),"00")</f>
        <v>2026-S06</v>
      </c>
      <c r="B320" s="18" t="s">
        <v>72</v>
      </c>
      <c r="C320" s="19"/>
      <c r="D320" s="19" t="s">
        <v>74</v>
      </c>
      <c r="E320" s="19"/>
      <c r="F320" s="19" t="s">
        <v>74</v>
      </c>
      <c r="G320" s="20"/>
      <c r="H320" s="20"/>
      <c r="I320" s="8" t="str">
        <f aca="false">IF(IF(OR(C320="",D320="Congé",D320="OFF",D320="Congé spécial"),"",IF(D320&gt;F320,D320-C320,IF(C320-D320&lt;0,0,C320-D320)))&lt;0.00068287037037037,"",IF(OR(D320="Congé",D320="OFF",C320="",D320="Congé spécial"),"",IF(D320&gt;F320,D320-C320,IF(C320-D320&lt;0,0,C320-D320))))</f>
        <v/>
      </c>
      <c r="J320" s="20"/>
      <c r="K320" s="8" t="n">
        <f aca="false">IF(SUM(H320:J320)&lt;0.00068287037037037,0,SUM(H320:J320))</f>
        <v>0</v>
      </c>
      <c r="L320" s="8" t="n">
        <f aca="false">IF(OR(F320="Congé",F320="OFF",M320="Abs",F320="Congé sans solde",F320="Férié",F320="Congé spécial",D320="Congé spécial"),0,IF(F320-E320&lt;0,0,IF(F320-E320&lt;=0.00068287037037037,0,F320-E320)))</f>
        <v>0</v>
      </c>
      <c r="M320" s="6" t="n">
        <f aca="false">IF(AND(O320&lt;&gt;0,C320=""),"Abs",0)</f>
        <v>0</v>
      </c>
      <c r="N320" s="8" t="str">
        <f aca="false">IFERROR(IF(OR(D320="OFF",D320="Congé",M320="Abs",D320="Congé sans solde",D320="Férié"),"",IF(O320-K320-L320&gt;O320,O320,IF(O320-K320-L320&lt;0,"",O320-K320-L320))),"")</f>
        <v/>
      </c>
      <c r="O320" s="8" t="n">
        <f aca="false">IF(AG320="2H Pause déjeuner",IF(F320-D320-0.0833333333333333&lt;0,F320-D320-0.0833333333333333+1,F320-D320-0.0833333333333333),IF(OR(AND(F320="OFF",D320="OFF"),AND(F320="Congé",D320="Congé"),AND(F320="Congé sans solde",D320="Congé sans solde"),AND(F320="Congé spécial",D320="Congé spécial"),AND(F320="Férié",D320="Férié"),AND(F320="OFF",D320="Congé"),AND(F320="OFF",D320="Congé sans solde"),AND(F320="OFF",D320="Congé spécial"),AND(F320="OFF",D320="Férié"),AND(F320="Congé",D320="OFF"),AND(F320="Congé",D320="Congé sans solde"),AND(F320="Congé",D320="Congé spécial"),AND(F320="Congé",D320="Férié"),AND(F320="Congé sans solde",D320="OFF"),AND(F320="Congé sans solde",D320="Congé"),AND(F320="Congé sans solde",D320="Congé spécial"),AND(F320="Congé sans solde",D320="Férié"),AND(F320="Congé spécial",D320="OFF"),AND(F320="Congé spécial",D320="Congé"),AND(F320="Congé spécial",D320="Congé sans solde"),AND(F320="Congé spécial",D320="Férié"),AND(F320="Férié",D320="OFF"),AND(F320="Férié",D320="Congé"),AND(F320="Férié",D320="Congé sans solde"),AND(F320="Férié",D320="Congé spécial")),0,IF(OR(F320="OFF",F320="Congé",F320="Congé spécial",F320="Congé sans solde",D320="OFF",D320="Congé",D320="Congé spécial",D320="Congé sans solde"),0.208333333333334,IF(AND(AG320="",F320-D320&lt;0),("24:00:00"-D320)+("00:00:00"+F320)-0.0416666666666667,IF(AND(OR(AG320="Allaitement",AG320="Sans déjeuner"),F320-D320&lt;0),("24:00:00"-D320)+("00:00:00"+F320),IF(AND(AG320="",F320-D320&gt;0.166666666666667),F320-D320-0.0416666666666667,IF(AND(OR(AG320="Allaitement",AG320="Sans déjeuner"),F320-D320&gt;0.166666666666667),F320-D320,F320-D320)))))))</f>
        <v>0</v>
      </c>
      <c r="P320" s="6" t="str">
        <f aca="false">IFERROR(VLOOKUP($B320,Agents!$A:$D,2,0),"-")</f>
        <v>Accessibilité</v>
      </c>
      <c r="Q320" s="21" t="n">
        <v>46061</v>
      </c>
      <c r="R320" s="8" t="n">
        <f aca="false">IF(M320="Abs",O320,0)</f>
        <v>0</v>
      </c>
      <c r="S320" s="8" t="n">
        <f aca="false">SUM(R320,L320,I320,J320,W320,H320)</f>
        <v>0</v>
      </c>
      <c r="T320" s="6" t="str">
        <f aca="false">"Sem - "&amp;WEEKNUM(Q320,21)</f>
        <v>Sem - 6</v>
      </c>
      <c r="U320" s="6" t="str">
        <f aca="false">CHOOSE(MONTH(Q320),"Janvier","Février","Mars","Avril","Mai","Juin","Juillet","Août","Septembre","Octobre","Novembre","Décembre")</f>
        <v>Février</v>
      </c>
      <c r="V320" s="22" t="n">
        <f aca="false">YEAR(Q320)</f>
        <v>2026</v>
      </c>
      <c r="W320" s="20"/>
      <c r="X320" s="8" t="n">
        <f aca="false">IFERROR(IF(M320="Abs",0,IF(ROUND((D320-C320+E320-F320)*1440,0)&lt;=1,0,D320-C320+E320-F320)),0)</f>
        <v>0</v>
      </c>
      <c r="Y320" s="6" t="str">
        <f aca="false">IFERROR(VLOOKUP($B320,Agents!$A:$D,3,0),"-")</f>
        <v>OUBRAHIM Mohammed</v>
      </c>
      <c r="Z320" s="6" t="str">
        <f aca="false">IFERROR(VLOOKUP($B320,Agents!$A:$D,4,0),"-")</f>
        <v>Credit Mutuel</v>
      </c>
      <c r="AA320" s="18" t="s">
        <v>87</v>
      </c>
      <c r="AB320" s="8" t="str">
        <f aca="false">IF(AND(D320="Congé",F320="Congé"),0.333333333333333,IF(OR(AND(D320="Congé",F320&lt;&gt;"Congé"),(AND(F320="Congé",D320&lt;&gt;"Congé"))),0.166666666666667,""))</f>
        <v/>
      </c>
      <c r="AC320" s="8" t="str">
        <f aca="false">IF(AND(D320="Congé sans solde",F320="Congé sans solde"),0.333333333333333,IF(OR(AND(D320="Congé sans solde",F320&lt;&gt;"Congé sans solde"),(AND(F320="Congé sans solde",D320&lt;&gt;"Congé sans solde"))),0.166666666666667,""))</f>
        <v/>
      </c>
      <c r="AD320" s="8" t="str">
        <f aca="false">IF(AND(D320="Congé spécial",F320="Congé spécial"),0.333333333333333,IF(OR(AND(D320="Congé spécial",F320&lt;&gt;"Congé spécial"),AND(F320="Congé spécial",D320&lt;&gt;"Congé spécial")),0.166666666666667,""))</f>
        <v/>
      </c>
      <c r="AE320" s="8" t="str">
        <f aca="false">IF(AND(D320="Férié",F320="Férié"),0.333333333333333,IF(OR(AND(D320="Férié",F320&lt;&gt;"Férié"),(AND(F320="Férié",D320&lt;&gt;"Férié"))),0.166666666666667,""))</f>
        <v/>
      </c>
      <c r="AF320" s="18"/>
      <c r="AG320" s="18"/>
    </row>
    <row r="321" customFormat="false" ht="15" hidden="false" customHeight="false" outlineLevel="0" collapsed="false">
      <c r="A321" s="6" t="str">
        <f aca="false">YEAR(Q321-WEEKDAY(Q321,2)+4)&amp;"-S"&amp;TEXT(WEEKNUM(Q321,21),"00")</f>
        <v>2026-S06</v>
      </c>
      <c r="B321" s="18" t="s">
        <v>73</v>
      </c>
      <c r="C321" s="19"/>
      <c r="D321" s="19" t="s">
        <v>74</v>
      </c>
      <c r="E321" s="19"/>
      <c r="F321" s="19" t="s">
        <v>74</v>
      </c>
      <c r="G321" s="20"/>
      <c r="H321" s="20"/>
      <c r="I321" s="8" t="str">
        <f aca="false">IF(IF(OR(C321="",D321="Congé",D321="OFF",D321="Congé spécial"),"",IF(D321&gt;F321,D321-C321,IF(C321-D321&lt;0,0,C321-D321)))&lt;0.00068287037037037,"",IF(OR(D321="Congé",D321="OFF",C321="",D321="Congé spécial"),"",IF(D321&gt;F321,D321-C321,IF(C321-D321&lt;0,0,C321-D321))))</f>
        <v/>
      </c>
      <c r="J321" s="20"/>
      <c r="K321" s="8" t="n">
        <f aca="false">IF(SUM(H321:J321)&lt;0.00068287037037037,0,SUM(H321:J321))</f>
        <v>0</v>
      </c>
      <c r="L321" s="8" t="n">
        <f aca="false">IF(OR(F321="Congé",F321="OFF",M321="Abs",F321="Congé sans solde",F321="Férié",F321="Congé spécial",D321="Congé spécial"),0,IF(F321-E321&lt;0,0,IF(F321-E321&lt;=0.00068287037037037,0,F321-E321)))</f>
        <v>0</v>
      </c>
      <c r="M321" s="6" t="n">
        <f aca="false">IF(AND(O321&lt;&gt;0,C321=""),"Abs",0)</f>
        <v>0</v>
      </c>
      <c r="N321" s="8" t="str">
        <f aca="false">IFERROR(IF(OR(D321="OFF",D321="Congé",M321="Abs",D321="Congé sans solde",D321="Férié"),"",IF(O321-K321-L321&gt;O321,O321,IF(O321-K321-L321&lt;0,"",O321-K321-L321))),"")</f>
        <v/>
      </c>
      <c r="O321" s="8" t="n">
        <f aca="false">IF(AG321="2H Pause déjeuner",IF(F321-D321-0.0833333333333333&lt;0,F321-D321-0.0833333333333333+1,F321-D321-0.0833333333333333),IF(OR(AND(F321="OFF",D321="OFF"),AND(F321="Congé",D321="Congé"),AND(F321="Congé sans solde",D321="Congé sans solde"),AND(F321="Congé spécial",D321="Congé spécial"),AND(F321="Férié",D321="Férié"),AND(F321="OFF",D321="Congé"),AND(F321="OFF",D321="Congé sans solde"),AND(F321="OFF",D321="Congé spécial"),AND(F321="OFF",D321="Férié"),AND(F321="Congé",D321="OFF"),AND(F321="Congé",D321="Congé sans solde"),AND(F321="Congé",D321="Congé spécial"),AND(F321="Congé",D321="Férié"),AND(F321="Congé sans solde",D321="OFF"),AND(F321="Congé sans solde",D321="Congé"),AND(F321="Congé sans solde",D321="Congé spécial"),AND(F321="Congé sans solde",D321="Férié"),AND(F321="Congé spécial",D321="OFF"),AND(F321="Congé spécial",D321="Congé"),AND(F321="Congé spécial",D321="Congé sans solde"),AND(F321="Congé spécial",D321="Férié"),AND(F321="Férié",D321="OFF"),AND(F321="Férié",D321="Congé"),AND(F321="Férié",D321="Congé sans solde"),AND(F321="Férié",D321="Congé spécial")),0,IF(OR(F321="OFF",F321="Congé",F321="Congé spécial",F321="Congé sans solde",D321="OFF",D321="Congé",D321="Congé spécial",D321="Congé sans solde"),0.208333333333334,IF(AND(AG321="",F321-D321&lt;0),("24:00:00"-D321)+("00:00:00"+F321)-0.0416666666666667,IF(AND(OR(AG321="Allaitement",AG321="Sans déjeuner"),F321-D321&lt;0),("24:00:00"-D321)+("00:00:00"+F321),IF(AND(AG321="",F321-D321&gt;0.166666666666667),F321-D321-0.0416666666666667,IF(AND(OR(AG321="Allaitement",AG321="Sans déjeuner"),F321-D321&gt;0.166666666666667),F321-D321,F321-D321)))))))</f>
        <v>0</v>
      </c>
      <c r="P321" s="6" t="str">
        <f aca="false">IFERROR(VLOOKUP($B321,Agents!$A:$D,2,0),"-")</f>
        <v>Accessibilité</v>
      </c>
      <c r="Q321" s="21" t="n">
        <v>46061</v>
      </c>
      <c r="R321" s="8" t="n">
        <f aca="false">IF(M321="Abs",O321,0)</f>
        <v>0</v>
      </c>
      <c r="S321" s="8" t="n">
        <f aca="false">SUM(R321,L321,I321,J321,W321,H321)</f>
        <v>0</v>
      </c>
      <c r="T321" s="6" t="str">
        <f aca="false">"Sem - "&amp;WEEKNUM(Q321,21)</f>
        <v>Sem - 6</v>
      </c>
      <c r="U321" s="6" t="str">
        <f aca="false">CHOOSE(MONTH(Q321),"Janvier","Février","Mars","Avril","Mai","Juin","Juillet","Août","Septembre","Octobre","Novembre","Décembre")</f>
        <v>Février</v>
      </c>
      <c r="V321" s="22" t="n">
        <f aca="false">YEAR(Q321)</f>
        <v>2026</v>
      </c>
      <c r="W321" s="20"/>
      <c r="X321" s="8" t="n">
        <f aca="false">IFERROR(IF(M321="Abs",0,IF(ROUND((D321-C321+E321-F321)*1440,0)&lt;=1,0,D321-C321+E321-F321)),0)</f>
        <v>0</v>
      </c>
      <c r="Y321" s="6" t="str">
        <f aca="false">IFERROR(VLOOKUP($B321,Agents!$A:$D,3,0),"-")</f>
        <v>OUBRAHIM Mohammed</v>
      </c>
      <c r="Z321" s="6" t="str">
        <f aca="false">IFERROR(VLOOKUP($B321,Agents!$A:$D,4,0),"-")</f>
        <v>Credit Mutuel</v>
      </c>
      <c r="AA321" s="18" t="s">
        <v>87</v>
      </c>
      <c r="AB321" s="8" t="str">
        <f aca="false">IF(AND(D321="Congé",F321="Congé"),0.333333333333333,IF(OR(AND(D321="Congé",F321&lt;&gt;"Congé"),(AND(F321="Congé",D321&lt;&gt;"Congé"))),0.166666666666667,""))</f>
        <v/>
      </c>
      <c r="AC321" s="8" t="str">
        <f aca="false">IF(AND(D321="Congé sans solde",F321="Congé sans solde"),0.333333333333333,IF(OR(AND(D321="Congé sans solde",F321&lt;&gt;"Congé sans solde"),(AND(F321="Congé sans solde",D321&lt;&gt;"Congé sans solde"))),0.166666666666667,""))</f>
        <v/>
      </c>
      <c r="AD321" s="8" t="str">
        <f aca="false">IF(AND(D321="Congé spécial",F321="Congé spécial"),0.333333333333333,IF(OR(AND(D321="Congé spécial",F321&lt;&gt;"Congé spécial"),AND(F321="Congé spécial",D321&lt;&gt;"Congé spécial")),0.166666666666667,""))</f>
        <v/>
      </c>
      <c r="AE321" s="8" t="str">
        <f aca="false">IF(AND(D321="Férié",F321="Férié"),0.333333333333333,IF(OR(AND(D321="Férié",F321&lt;&gt;"Férié"),(AND(F321="Férié",D321&lt;&gt;"Férié"))),0.166666666666667,""))</f>
        <v/>
      </c>
      <c r="AF321" s="18"/>
      <c r="AG321" s="18"/>
    </row>
    <row r="322" customFormat="false" ht="15" hidden="false" customHeight="false" outlineLevel="0" collapsed="false">
      <c r="A322" s="6" t="str">
        <f aca="false">YEAR(Q322-WEEKDAY(Q322,2)+4)&amp;"-S"&amp;TEXT(WEEKNUM(Q322,21),"00")</f>
        <v>2026-S07</v>
      </c>
      <c r="B322" s="18" t="s">
        <v>69</v>
      </c>
      <c r="C322" s="19" t="n">
        <v>0.331944444444444</v>
      </c>
      <c r="D322" s="19" t="n">
        <v>0.333333333333333</v>
      </c>
      <c r="E322" s="19" t="n">
        <v>0.75</v>
      </c>
      <c r="F322" s="19" t="n">
        <v>0.75</v>
      </c>
      <c r="G322" s="20"/>
      <c r="H322" s="20"/>
      <c r="I322" s="8" t="str">
        <f aca="false">IF(IF(OR(C322="",D322="Congé",D322="OFF",D322="Congé spécial"),"",IF(D322&gt;F322,D322-C322,IF(C322-D322&lt;0,0,C322-D322)))&lt;0.00068287037037037,"",IF(OR(D322="Congé",D322="OFF",C322="",D322="Congé spécial"),"",IF(D322&gt;F322,D322-C322,IF(C322-D322&lt;0,0,C322-D322))))</f>
        <v/>
      </c>
      <c r="J322" s="20"/>
      <c r="K322" s="8" t="n">
        <f aca="false">IF(SUM(H322:J322)&lt;0.00068287037037037,0,SUM(H322:J322))</f>
        <v>0</v>
      </c>
      <c r="L322" s="8" t="n">
        <f aca="false">IF(OR(F322="Congé",F322="OFF",M322="Abs",F322="Congé sans solde",F322="Férié",F322="Congé spécial",D322="Congé spécial"),0,IF(F322-E322&lt;0,0,IF(F322-E322&lt;=0.00068287037037037,0,F322-E322)))</f>
        <v>0</v>
      </c>
      <c r="M322" s="6" t="n">
        <f aca="false">IF(AND(O322&lt;&gt;0,C322=""),"Abs",0)</f>
        <v>0</v>
      </c>
      <c r="N322" s="8" t="n">
        <f aca="false">IFERROR(IF(OR(D322="OFF",D322="Congé",M322="Abs",D322="Congé sans solde",D322="Férié"),"",IF(O322-K322-L322&gt;O322,O322,IF(O322-K322-L322&lt;0,"",O322-K322-L322))),"")</f>
        <v>0.375</v>
      </c>
      <c r="O322" s="8" t="n">
        <f aca="false">IF(AG322="2H Pause déjeuner",IF(F322-D322-0.0833333333333333&lt;0,F322-D322-0.0833333333333333+1,F322-D322-0.0833333333333333),IF(OR(AND(F322="OFF",D322="OFF"),AND(F322="Congé",D322="Congé"),AND(F322="Congé sans solde",D322="Congé sans solde"),AND(F322="Congé spécial",D322="Congé spécial"),AND(F322="Férié",D322="Férié"),AND(F322="OFF",D322="Congé"),AND(F322="OFF",D322="Congé sans solde"),AND(F322="OFF",D322="Congé spécial"),AND(F322="OFF",D322="Férié"),AND(F322="Congé",D322="OFF"),AND(F322="Congé",D322="Congé sans solde"),AND(F322="Congé",D322="Congé spécial"),AND(F322="Congé",D322="Férié"),AND(F322="Congé sans solde",D322="OFF"),AND(F322="Congé sans solde",D322="Congé"),AND(F322="Congé sans solde",D322="Congé spécial"),AND(F322="Congé sans solde",D322="Férié"),AND(F322="Congé spécial",D322="OFF"),AND(F322="Congé spécial",D322="Congé"),AND(F322="Congé spécial",D322="Congé sans solde"),AND(F322="Congé spécial",D322="Férié"),AND(F322="Férié",D322="OFF"),AND(F322="Férié",D322="Congé"),AND(F322="Férié",D322="Congé sans solde"),AND(F322="Férié",D322="Congé spécial")),0,IF(OR(F322="OFF",F322="Congé",F322="Congé spécial",F322="Congé sans solde",D322="OFF",D322="Congé",D322="Congé spécial",D322="Congé sans solde"),0.208333333333334,IF(AND(AG322="",F322-D322&lt;0),("24:00:00"-D322)+("00:00:00"+F322)-0.0416666666666667,IF(AND(OR(AG322="Allaitement",AG322="Sans déjeuner"),F322-D322&lt;0),("24:00:00"-D322)+("00:00:00"+F322),IF(AND(AG322="",F322-D322&gt;0.166666666666667),F322-D322-0.0416666666666667,IF(AND(OR(AG322="Allaitement",AG322="Sans déjeuner"),F322-D322&gt;0.166666666666667),F322-D322,F322-D322)))))))</f>
        <v>0.375</v>
      </c>
      <c r="P322" s="6" t="str">
        <f aca="false">IFERROR(VLOOKUP($B322,Agents!$A:$D,2,0),"-")</f>
        <v>Accessibilité</v>
      </c>
      <c r="Q322" s="21" t="n">
        <v>46062</v>
      </c>
      <c r="R322" s="8" t="n">
        <f aca="false">IF(M322="Abs",O322,0)</f>
        <v>0</v>
      </c>
      <c r="S322" s="8" t="n">
        <f aca="false">SUM(R322,L322,I322,J322,W322,H322)</f>
        <v>0</v>
      </c>
      <c r="T322" s="6" t="str">
        <f aca="false">"Sem - "&amp;WEEKNUM(Q322,21)</f>
        <v>Sem - 7</v>
      </c>
      <c r="U322" s="6" t="str">
        <f aca="false">CHOOSE(MONTH(Q322),"Janvier","Février","Mars","Avril","Mai","Juin","Juillet","Août","Septembre","Octobre","Novembre","Décembre")</f>
        <v>Février</v>
      </c>
      <c r="V322" s="22" t="n">
        <f aca="false">YEAR(Q322)</f>
        <v>2026</v>
      </c>
      <c r="W322" s="20"/>
      <c r="X322" s="8" t="n">
        <f aca="false">IFERROR(IF(M322="Abs",0,IF(ROUND((D322-C322+E322-F322)*1440,0)&lt;=1,0,D322-C322+E322-F322)),0)</f>
        <v>0.00138888888888889</v>
      </c>
      <c r="Y322" s="6" t="str">
        <f aca="false">IFERROR(VLOOKUP($B322,Agents!$A:$D,3,0),"-")</f>
        <v>OUBRAHIM Mohammed</v>
      </c>
      <c r="Z322" s="6" t="str">
        <f aca="false">IFERROR(VLOOKUP($B322,Agents!$A:$D,4,0),"-")</f>
        <v>Credit Mutuel</v>
      </c>
      <c r="AA322" s="18" t="s">
        <v>88</v>
      </c>
      <c r="AB322" s="8" t="str">
        <f aca="false">IF(AND(D322="Congé",F322="Congé"),0.333333333333333,IF(OR(AND(D322="Congé",F322&lt;&gt;"Congé"),(AND(F322="Congé",D322&lt;&gt;"Congé"))),0.166666666666667,""))</f>
        <v/>
      </c>
      <c r="AC322" s="8" t="str">
        <f aca="false">IF(AND(D322="Congé sans solde",F322="Congé sans solde"),0.333333333333333,IF(OR(AND(D322="Congé sans solde",F322&lt;&gt;"Congé sans solde"),(AND(F322="Congé sans solde",D322&lt;&gt;"Congé sans solde"))),0.166666666666667,""))</f>
        <v/>
      </c>
      <c r="AD322" s="8" t="str">
        <f aca="false">IF(AND(D322="Congé spécial",F322="Congé spécial"),0.333333333333333,IF(OR(AND(D322="Congé spécial",F322&lt;&gt;"Congé spécial"),AND(F322="Congé spécial",D322&lt;&gt;"Congé spécial")),0.166666666666667,""))</f>
        <v/>
      </c>
      <c r="AE322" s="8" t="str">
        <f aca="false">IF(AND(D322="Férié",F322="Férié"),0.333333333333333,IF(OR(AND(D322="Férié",F322&lt;&gt;"Férié"),(AND(F322="Férié",D322&lt;&gt;"Férié"))),0.166666666666667,""))</f>
        <v/>
      </c>
      <c r="AF322" s="18"/>
      <c r="AG322" s="18"/>
    </row>
    <row r="323" customFormat="false" ht="15" hidden="false" customHeight="false" outlineLevel="0" collapsed="false">
      <c r="A323" s="6" t="str">
        <f aca="false">YEAR(Q323-WEEKDAY(Q323,2)+4)&amp;"-S"&amp;TEXT(WEEKNUM(Q323,21),"00")</f>
        <v>2026-S07</v>
      </c>
      <c r="B323" s="18" t="s">
        <v>71</v>
      </c>
      <c r="C323" s="19" t="n">
        <v>0.332638888888889</v>
      </c>
      <c r="D323" s="19" t="n">
        <v>0.333333333333333</v>
      </c>
      <c r="E323" s="19" t="n">
        <v>0.75</v>
      </c>
      <c r="F323" s="19" t="n">
        <v>0.75</v>
      </c>
      <c r="G323" s="20"/>
      <c r="H323" s="20"/>
      <c r="I323" s="8" t="str">
        <f aca="false">IF(IF(OR(C323="",D323="Congé",D323="OFF",D323="Congé spécial"),"",IF(D323&gt;F323,D323-C323,IF(C323-D323&lt;0,0,C323-D323)))&lt;0.00068287037037037,"",IF(OR(D323="Congé",D323="OFF",C323="",D323="Congé spécial"),"",IF(D323&gt;F323,D323-C323,IF(C323-D323&lt;0,0,C323-D323))))</f>
        <v/>
      </c>
      <c r="J323" s="20"/>
      <c r="K323" s="8" t="n">
        <f aca="false">IF(SUM(H323:J323)&lt;0.00068287037037037,0,SUM(H323:J323))</f>
        <v>0</v>
      </c>
      <c r="L323" s="8" t="n">
        <f aca="false">IF(OR(F323="Congé",F323="OFF",M323="Abs",F323="Congé sans solde",F323="Férié",F323="Congé spécial",D323="Congé spécial"),0,IF(F323-E323&lt;0,0,IF(F323-E323&lt;=0.00068287037037037,0,F323-E323)))</f>
        <v>0</v>
      </c>
      <c r="M323" s="6" t="n">
        <f aca="false">IF(AND(O323&lt;&gt;0,C323=""),"Abs",0)</f>
        <v>0</v>
      </c>
      <c r="N323" s="8" t="n">
        <f aca="false">IFERROR(IF(OR(D323="OFF",D323="Congé",M323="Abs",D323="Congé sans solde",D323="Férié"),"",IF(O323-K323-L323&gt;O323,O323,IF(O323-K323-L323&lt;0,"",O323-K323-L323))),"")</f>
        <v>0.375</v>
      </c>
      <c r="O323" s="8" t="n">
        <f aca="false">IF(AG323="2H Pause déjeuner",IF(F323-D323-0.0833333333333333&lt;0,F323-D323-0.0833333333333333+1,F323-D323-0.0833333333333333),IF(OR(AND(F323="OFF",D323="OFF"),AND(F323="Congé",D323="Congé"),AND(F323="Congé sans solde",D323="Congé sans solde"),AND(F323="Congé spécial",D323="Congé spécial"),AND(F323="Férié",D323="Férié"),AND(F323="OFF",D323="Congé"),AND(F323="OFF",D323="Congé sans solde"),AND(F323="OFF",D323="Congé spécial"),AND(F323="OFF",D323="Férié"),AND(F323="Congé",D323="OFF"),AND(F323="Congé",D323="Congé sans solde"),AND(F323="Congé",D323="Congé spécial"),AND(F323="Congé",D323="Férié"),AND(F323="Congé sans solde",D323="OFF"),AND(F323="Congé sans solde",D323="Congé"),AND(F323="Congé sans solde",D323="Congé spécial"),AND(F323="Congé sans solde",D323="Férié"),AND(F323="Congé spécial",D323="OFF"),AND(F323="Congé spécial",D323="Congé"),AND(F323="Congé spécial",D323="Congé sans solde"),AND(F323="Congé spécial",D323="Férié"),AND(F323="Férié",D323="OFF"),AND(F323="Férié",D323="Congé"),AND(F323="Férié",D323="Congé sans solde"),AND(F323="Férié",D323="Congé spécial")),0,IF(OR(F323="OFF",F323="Congé",F323="Congé spécial",F323="Congé sans solde",D323="OFF",D323="Congé",D323="Congé spécial",D323="Congé sans solde"),0.208333333333334,IF(AND(AG323="",F323-D323&lt;0),("24:00:00"-D323)+("00:00:00"+F323)-0.0416666666666667,IF(AND(OR(AG323="Allaitement",AG323="Sans déjeuner"),F323-D323&lt;0),("24:00:00"-D323)+("00:00:00"+F323),IF(AND(AG323="",F323-D323&gt;0.166666666666667),F323-D323-0.0416666666666667,IF(AND(OR(AG323="Allaitement",AG323="Sans déjeuner"),F323-D323&gt;0.166666666666667),F323-D323,F323-D323)))))))</f>
        <v>0.375</v>
      </c>
      <c r="P323" s="6" t="str">
        <f aca="false">IFERROR(VLOOKUP($B323,Agents!$A:$D,2,0),"-")</f>
        <v>Accessibilité</v>
      </c>
      <c r="Q323" s="21" t="n">
        <v>46062</v>
      </c>
      <c r="R323" s="8" t="n">
        <f aca="false">IF(M323="Abs",O323,0)</f>
        <v>0</v>
      </c>
      <c r="S323" s="8" t="n">
        <f aca="false">SUM(R323,L323,I323,J323,W323,H323)</f>
        <v>0</v>
      </c>
      <c r="T323" s="6" t="str">
        <f aca="false">"Sem - "&amp;WEEKNUM(Q323,21)</f>
        <v>Sem - 7</v>
      </c>
      <c r="U323" s="6" t="str">
        <f aca="false">CHOOSE(MONTH(Q323),"Janvier","Février","Mars","Avril","Mai","Juin","Juillet","Août","Septembre","Octobre","Novembre","Décembre")</f>
        <v>Février</v>
      </c>
      <c r="V323" s="22" t="n">
        <f aca="false">YEAR(Q323)</f>
        <v>2026</v>
      </c>
      <c r="W323" s="20"/>
      <c r="X323" s="8" t="n">
        <f aca="false">IFERROR(IF(M323="Abs",0,IF(ROUND((D323-C323+E323-F323)*1440,0)&lt;=1,0,D323-C323+E323-F323)),0)</f>
        <v>0</v>
      </c>
      <c r="Y323" s="6" t="str">
        <f aca="false">IFERROR(VLOOKUP($B323,Agents!$A:$D,3,0),"-")</f>
        <v>OUBRAHIM Mohammed</v>
      </c>
      <c r="Z323" s="6" t="str">
        <f aca="false">IFERROR(VLOOKUP($B323,Agents!$A:$D,4,0),"-")</f>
        <v>Credit Mutuel</v>
      </c>
      <c r="AA323" s="18" t="s">
        <v>88</v>
      </c>
      <c r="AB323" s="8" t="str">
        <f aca="false">IF(AND(D323="Congé",F323="Congé"),0.333333333333333,IF(OR(AND(D323="Congé",F323&lt;&gt;"Congé"),(AND(F323="Congé",D323&lt;&gt;"Congé"))),0.166666666666667,""))</f>
        <v/>
      </c>
      <c r="AC323" s="8" t="str">
        <f aca="false">IF(AND(D323="Congé sans solde",F323="Congé sans solde"),0.333333333333333,IF(OR(AND(D323="Congé sans solde",F323&lt;&gt;"Congé sans solde"),(AND(F323="Congé sans solde",D323&lt;&gt;"Congé sans solde"))),0.166666666666667,""))</f>
        <v/>
      </c>
      <c r="AD323" s="8" t="str">
        <f aca="false">IF(AND(D323="Congé spécial",F323="Congé spécial"),0.333333333333333,IF(OR(AND(D323="Congé spécial",F323&lt;&gt;"Congé spécial"),AND(F323="Congé spécial",D323&lt;&gt;"Congé spécial")),0.166666666666667,""))</f>
        <v/>
      </c>
      <c r="AE323" s="8" t="str">
        <f aca="false">IF(AND(D323="Férié",F323="Férié"),0.333333333333333,IF(OR(AND(D323="Férié",F323&lt;&gt;"Férié"),(AND(F323="Férié",D323&lt;&gt;"Férié"))),0.166666666666667,""))</f>
        <v/>
      </c>
      <c r="AF323" s="18"/>
      <c r="AG323" s="18"/>
    </row>
    <row r="324" customFormat="false" ht="15" hidden="false" customHeight="false" outlineLevel="0" collapsed="false">
      <c r="A324" s="6" t="str">
        <f aca="false">YEAR(Q324-WEEKDAY(Q324,2)+4)&amp;"-S"&amp;TEXT(WEEKNUM(Q324,21),"00")</f>
        <v>2026-S07</v>
      </c>
      <c r="B324" s="18" t="s">
        <v>72</v>
      </c>
      <c r="C324" s="19" t="n">
        <v>0.333333333333333</v>
      </c>
      <c r="D324" s="19" t="n">
        <v>0.333333333333333</v>
      </c>
      <c r="E324" s="19" t="n">
        <v>0.75</v>
      </c>
      <c r="F324" s="19" t="n">
        <v>0.75</v>
      </c>
      <c r="G324" s="20"/>
      <c r="H324" s="20"/>
      <c r="I324" s="8" t="str">
        <f aca="false">IF(IF(OR(C324="",D324="Congé",D324="OFF",D324="Congé spécial"),"",IF(D324&gt;F324,D324-C324,IF(C324-D324&lt;0,0,C324-D324)))&lt;0.00068287037037037,"",IF(OR(D324="Congé",D324="OFF",C324="",D324="Congé spécial"),"",IF(D324&gt;F324,D324-C324,IF(C324-D324&lt;0,0,C324-D324))))</f>
        <v/>
      </c>
      <c r="J324" s="20"/>
      <c r="K324" s="8" t="n">
        <f aca="false">IF(SUM(H324:J324)&lt;0.00068287037037037,0,SUM(H324:J324))</f>
        <v>0</v>
      </c>
      <c r="L324" s="8" t="n">
        <f aca="false">IF(OR(F324="Congé",F324="OFF",M324="Abs",F324="Congé sans solde",F324="Férié",F324="Congé spécial",D324="Congé spécial"),0,IF(F324-E324&lt;0,0,IF(F324-E324&lt;=0.00068287037037037,0,F324-E324)))</f>
        <v>0</v>
      </c>
      <c r="M324" s="6" t="n">
        <f aca="false">IF(AND(O324&lt;&gt;0,C324=""),"Abs",0)</f>
        <v>0</v>
      </c>
      <c r="N324" s="8" t="n">
        <f aca="false">IFERROR(IF(OR(D324="OFF",D324="Congé",M324="Abs",D324="Congé sans solde",D324="Férié"),"",IF(O324-K324-L324&gt;O324,O324,IF(O324-K324-L324&lt;0,"",O324-K324-L324))),"")</f>
        <v>0.375</v>
      </c>
      <c r="O324" s="8" t="n">
        <f aca="false">IF(AG324="2H Pause déjeuner",IF(F324-D324-0.0833333333333333&lt;0,F324-D324-0.0833333333333333+1,F324-D324-0.0833333333333333),IF(OR(AND(F324="OFF",D324="OFF"),AND(F324="Congé",D324="Congé"),AND(F324="Congé sans solde",D324="Congé sans solde"),AND(F324="Congé spécial",D324="Congé spécial"),AND(F324="Férié",D324="Férié"),AND(F324="OFF",D324="Congé"),AND(F324="OFF",D324="Congé sans solde"),AND(F324="OFF",D324="Congé spécial"),AND(F324="OFF",D324="Férié"),AND(F324="Congé",D324="OFF"),AND(F324="Congé",D324="Congé sans solde"),AND(F324="Congé",D324="Congé spécial"),AND(F324="Congé",D324="Férié"),AND(F324="Congé sans solde",D324="OFF"),AND(F324="Congé sans solde",D324="Congé"),AND(F324="Congé sans solde",D324="Congé spécial"),AND(F324="Congé sans solde",D324="Férié"),AND(F324="Congé spécial",D324="OFF"),AND(F324="Congé spécial",D324="Congé"),AND(F324="Congé spécial",D324="Congé sans solde"),AND(F324="Congé spécial",D324="Férié"),AND(F324="Férié",D324="OFF"),AND(F324="Férié",D324="Congé"),AND(F324="Férié",D324="Congé sans solde"),AND(F324="Férié",D324="Congé spécial")),0,IF(OR(F324="OFF",F324="Congé",F324="Congé spécial",F324="Congé sans solde",D324="OFF",D324="Congé",D324="Congé spécial",D324="Congé sans solde"),0.208333333333334,IF(AND(AG324="",F324-D324&lt;0),("24:00:00"-D324)+("00:00:00"+F324)-0.0416666666666667,IF(AND(OR(AG324="Allaitement",AG324="Sans déjeuner"),F324-D324&lt;0),("24:00:00"-D324)+("00:00:00"+F324),IF(AND(AG324="",F324-D324&gt;0.166666666666667),F324-D324-0.0416666666666667,IF(AND(OR(AG324="Allaitement",AG324="Sans déjeuner"),F324-D324&gt;0.166666666666667),F324-D324,F324-D324)))))))</f>
        <v>0.375</v>
      </c>
      <c r="P324" s="6" t="str">
        <f aca="false">IFERROR(VLOOKUP($B324,Agents!$A:$D,2,0),"-")</f>
        <v>Accessibilité</v>
      </c>
      <c r="Q324" s="21" t="n">
        <v>46062</v>
      </c>
      <c r="R324" s="8" t="n">
        <f aca="false">IF(M324="Abs",O324,0)</f>
        <v>0</v>
      </c>
      <c r="S324" s="8" t="n">
        <f aca="false">SUM(R324,L324,I324,J324,W324,H324)</f>
        <v>0</v>
      </c>
      <c r="T324" s="6" t="str">
        <f aca="false">"Sem - "&amp;WEEKNUM(Q324,21)</f>
        <v>Sem - 7</v>
      </c>
      <c r="U324" s="6" t="str">
        <f aca="false">CHOOSE(MONTH(Q324),"Janvier","Février","Mars","Avril","Mai","Juin","Juillet","Août","Septembre","Octobre","Novembre","Décembre")</f>
        <v>Février</v>
      </c>
      <c r="V324" s="22" t="n">
        <f aca="false">YEAR(Q324)</f>
        <v>2026</v>
      </c>
      <c r="W324" s="20"/>
      <c r="X324" s="8" t="n">
        <f aca="false">IFERROR(IF(M324="Abs",0,IF(ROUND((D324-C324+E324-F324)*1440,0)&lt;=1,0,D324-C324+E324-F324)),0)</f>
        <v>0</v>
      </c>
      <c r="Y324" s="6" t="str">
        <f aca="false">IFERROR(VLOOKUP($B324,Agents!$A:$D,3,0),"-")</f>
        <v>OUBRAHIM Mohammed</v>
      </c>
      <c r="Z324" s="6" t="str">
        <f aca="false">IFERROR(VLOOKUP($B324,Agents!$A:$D,4,0),"-")</f>
        <v>Credit Mutuel</v>
      </c>
      <c r="AA324" s="18" t="s">
        <v>88</v>
      </c>
      <c r="AB324" s="8" t="str">
        <f aca="false">IF(AND(D324="Congé",F324="Congé"),0.333333333333333,IF(OR(AND(D324="Congé",F324&lt;&gt;"Congé"),(AND(F324="Congé",D324&lt;&gt;"Congé"))),0.166666666666667,""))</f>
        <v/>
      </c>
      <c r="AC324" s="8" t="str">
        <f aca="false">IF(AND(D324="Congé sans solde",F324="Congé sans solde"),0.333333333333333,IF(OR(AND(D324="Congé sans solde",F324&lt;&gt;"Congé sans solde"),(AND(F324="Congé sans solde",D324&lt;&gt;"Congé sans solde"))),0.166666666666667,""))</f>
        <v/>
      </c>
      <c r="AD324" s="8" t="str">
        <f aca="false">IF(AND(D324="Congé spécial",F324="Congé spécial"),0.333333333333333,IF(OR(AND(D324="Congé spécial",F324&lt;&gt;"Congé spécial"),AND(F324="Congé spécial",D324&lt;&gt;"Congé spécial")),0.166666666666667,""))</f>
        <v/>
      </c>
      <c r="AE324" s="8" t="str">
        <f aca="false">IF(AND(D324="Férié",F324="Férié"),0.333333333333333,IF(OR(AND(D324="Férié",F324&lt;&gt;"Férié"),(AND(F324="Férié",D324&lt;&gt;"Férié"))),0.166666666666667,""))</f>
        <v/>
      </c>
      <c r="AF324" s="18"/>
      <c r="AG324" s="18"/>
    </row>
    <row r="325" customFormat="false" ht="15" hidden="false" customHeight="false" outlineLevel="0" collapsed="false">
      <c r="A325" s="6" t="str">
        <f aca="false">YEAR(Q325-WEEKDAY(Q325,2)+4)&amp;"-S"&amp;TEXT(WEEKNUM(Q325,21),"00")</f>
        <v>2026-S07</v>
      </c>
      <c r="B325" s="18" t="s">
        <v>73</v>
      </c>
      <c r="C325" s="19" t="n">
        <v>0.331944444444444</v>
      </c>
      <c r="D325" s="19" t="n">
        <v>0.333333333333333</v>
      </c>
      <c r="E325" s="19" t="n">
        <v>0.75</v>
      </c>
      <c r="F325" s="19" t="n">
        <v>0.75</v>
      </c>
      <c r="G325" s="20"/>
      <c r="H325" s="20"/>
      <c r="I325" s="8" t="str">
        <f aca="false">IF(IF(OR(C325="",D325="Congé",D325="OFF",D325="Congé spécial"),"",IF(D325&gt;F325,D325-C325,IF(C325-D325&lt;0,0,C325-D325)))&lt;0.00068287037037037,"",IF(OR(D325="Congé",D325="OFF",C325="",D325="Congé spécial"),"",IF(D325&gt;F325,D325-C325,IF(C325-D325&lt;0,0,C325-D325))))</f>
        <v/>
      </c>
      <c r="J325" s="20"/>
      <c r="K325" s="8" t="n">
        <f aca="false">IF(SUM(H325:J325)&lt;0.00068287037037037,0,SUM(H325:J325))</f>
        <v>0</v>
      </c>
      <c r="L325" s="8" t="n">
        <f aca="false">IF(OR(F325="Congé",F325="OFF",M325="Abs",F325="Congé sans solde",F325="Férié",F325="Congé spécial",D325="Congé spécial"),0,IF(F325-E325&lt;0,0,IF(F325-E325&lt;=0.00068287037037037,0,F325-E325)))</f>
        <v>0</v>
      </c>
      <c r="M325" s="6" t="n">
        <f aca="false">IF(AND(O325&lt;&gt;0,C325=""),"Abs",0)</f>
        <v>0</v>
      </c>
      <c r="N325" s="8" t="n">
        <f aca="false">IFERROR(IF(OR(D325="OFF",D325="Congé",M325="Abs",D325="Congé sans solde",D325="Férié"),"",IF(O325-K325-L325&gt;O325,O325,IF(O325-K325-L325&lt;0,"",O325-K325-L325))),"")</f>
        <v>0.375</v>
      </c>
      <c r="O325" s="8" t="n">
        <f aca="false">IF(AG325="2H Pause déjeuner",IF(F325-D325-0.0833333333333333&lt;0,F325-D325-0.0833333333333333+1,F325-D325-0.0833333333333333),IF(OR(AND(F325="OFF",D325="OFF"),AND(F325="Congé",D325="Congé"),AND(F325="Congé sans solde",D325="Congé sans solde"),AND(F325="Congé spécial",D325="Congé spécial"),AND(F325="Férié",D325="Férié"),AND(F325="OFF",D325="Congé"),AND(F325="OFF",D325="Congé sans solde"),AND(F325="OFF",D325="Congé spécial"),AND(F325="OFF",D325="Férié"),AND(F325="Congé",D325="OFF"),AND(F325="Congé",D325="Congé sans solde"),AND(F325="Congé",D325="Congé spécial"),AND(F325="Congé",D325="Férié"),AND(F325="Congé sans solde",D325="OFF"),AND(F325="Congé sans solde",D325="Congé"),AND(F325="Congé sans solde",D325="Congé spécial"),AND(F325="Congé sans solde",D325="Férié"),AND(F325="Congé spécial",D325="OFF"),AND(F325="Congé spécial",D325="Congé"),AND(F325="Congé spécial",D325="Congé sans solde"),AND(F325="Congé spécial",D325="Férié"),AND(F325="Férié",D325="OFF"),AND(F325="Férié",D325="Congé"),AND(F325="Férié",D325="Congé sans solde"),AND(F325="Férié",D325="Congé spécial")),0,IF(OR(F325="OFF",F325="Congé",F325="Congé spécial",F325="Congé sans solde",D325="OFF",D325="Congé",D325="Congé spécial",D325="Congé sans solde"),0.208333333333334,IF(AND(AG325="",F325-D325&lt;0),("24:00:00"-D325)+("00:00:00"+F325)-0.0416666666666667,IF(AND(OR(AG325="Allaitement",AG325="Sans déjeuner"),F325-D325&lt;0),("24:00:00"-D325)+("00:00:00"+F325),IF(AND(AG325="",F325-D325&gt;0.166666666666667),F325-D325-0.0416666666666667,IF(AND(OR(AG325="Allaitement",AG325="Sans déjeuner"),F325-D325&gt;0.166666666666667),F325-D325,F325-D325)))))))</f>
        <v>0.375</v>
      </c>
      <c r="P325" s="6" t="str">
        <f aca="false">IFERROR(VLOOKUP($B325,Agents!$A:$D,2,0),"-")</f>
        <v>Accessibilité</v>
      </c>
      <c r="Q325" s="21" t="n">
        <v>46062</v>
      </c>
      <c r="R325" s="8" t="n">
        <f aca="false">IF(M325="Abs",O325,0)</f>
        <v>0</v>
      </c>
      <c r="S325" s="8" t="n">
        <f aca="false">SUM(R325,L325,I325,J325,W325,H325)</f>
        <v>0</v>
      </c>
      <c r="T325" s="6" t="str">
        <f aca="false">"Sem - "&amp;WEEKNUM(Q325,21)</f>
        <v>Sem - 7</v>
      </c>
      <c r="U325" s="6" t="str">
        <f aca="false">CHOOSE(MONTH(Q325),"Janvier","Février","Mars","Avril","Mai","Juin","Juillet","Août","Septembre","Octobre","Novembre","Décembre")</f>
        <v>Février</v>
      </c>
      <c r="V325" s="22" t="n">
        <f aca="false">YEAR(Q325)</f>
        <v>2026</v>
      </c>
      <c r="W325" s="20"/>
      <c r="X325" s="8" t="n">
        <f aca="false">IFERROR(IF(M325="Abs",0,IF(ROUND((D325-C325+E325-F325)*1440,0)&lt;=1,0,D325-C325+E325-F325)),0)</f>
        <v>0.00138888888888889</v>
      </c>
      <c r="Y325" s="6" t="str">
        <f aca="false">IFERROR(VLOOKUP($B325,Agents!$A:$D,3,0),"-")</f>
        <v>OUBRAHIM Mohammed</v>
      </c>
      <c r="Z325" s="6" t="str">
        <f aca="false">IFERROR(VLOOKUP($B325,Agents!$A:$D,4,0),"-")</f>
        <v>Credit Mutuel</v>
      </c>
      <c r="AA325" s="18" t="s">
        <v>88</v>
      </c>
      <c r="AB325" s="8" t="str">
        <f aca="false">IF(AND(D325="Congé",F325="Congé"),0.333333333333333,IF(OR(AND(D325="Congé",F325&lt;&gt;"Congé"),(AND(F325="Congé",D325&lt;&gt;"Congé"))),0.166666666666667,""))</f>
        <v/>
      </c>
      <c r="AC325" s="8" t="str">
        <f aca="false">IF(AND(D325="Congé sans solde",F325="Congé sans solde"),0.333333333333333,IF(OR(AND(D325="Congé sans solde",F325&lt;&gt;"Congé sans solde"),(AND(F325="Congé sans solde",D325&lt;&gt;"Congé sans solde"))),0.166666666666667,""))</f>
        <v/>
      </c>
      <c r="AD325" s="8" t="str">
        <f aca="false">IF(AND(D325="Congé spécial",F325="Congé spécial"),0.333333333333333,IF(OR(AND(D325="Congé spécial",F325&lt;&gt;"Congé spécial"),AND(F325="Congé spécial",D325&lt;&gt;"Congé spécial")),0.166666666666667,""))</f>
        <v/>
      </c>
      <c r="AE325" s="8" t="str">
        <f aca="false">IF(AND(D325="Férié",F325="Férié"),0.333333333333333,IF(OR(AND(D325="Férié",F325&lt;&gt;"Férié"),(AND(F325="Férié",D325&lt;&gt;"Férié"))),0.166666666666667,""))</f>
        <v/>
      </c>
      <c r="AF325" s="18"/>
      <c r="AG325" s="18"/>
    </row>
    <row r="326" customFormat="false" ht="15" hidden="false" customHeight="false" outlineLevel="0" collapsed="false">
      <c r="A326" s="6" t="str">
        <f aca="false">YEAR(Q326-WEEKDAY(Q326,2)+4)&amp;"-S"&amp;TEXT(WEEKNUM(Q326,21),"00")</f>
        <v>2026-S07</v>
      </c>
      <c r="B326" s="18" t="s">
        <v>69</v>
      </c>
      <c r="C326" s="19" t="n">
        <v>0.332638888888889</v>
      </c>
      <c r="D326" s="19" t="n">
        <v>0.333333333333333</v>
      </c>
      <c r="E326" s="19" t="n">
        <v>0.75</v>
      </c>
      <c r="F326" s="19" t="n">
        <v>0.75</v>
      </c>
      <c r="G326" s="20"/>
      <c r="H326" s="20"/>
      <c r="I326" s="8" t="str">
        <f aca="false">IF(IF(OR(C326="",D326="Congé",D326="OFF",D326="Congé spécial"),"",IF(D326&gt;F326,D326-C326,IF(C326-D326&lt;0,0,C326-D326)))&lt;0.00068287037037037,"",IF(OR(D326="Congé",D326="OFF",C326="",D326="Congé spécial"),"",IF(D326&gt;F326,D326-C326,IF(C326-D326&lt;0,0,C326-D326))))</f>
        <v/>
      </c>
      <c r="J326" s="20"/>
      <c r="K326" s="8" t="n">
        <f aca="false">IF(SUM(H326:J326)&lt;0.00068287037037037,0,SUM(H326:J326))</f>
        <v>0</v>
      </c>
      <c r="L326" s="8" t="n">
        <f aca="false">IF(OR(F326="Congé",F326="OFF",M326="Abs",F326="Congé sans solde",F326="Férié",F326="Congé spécial",D326="Congé spécial"),0,IF(F326-E326&lt;0,0,IF(F326-E326&lt;=0.00068287037037037,0,F326-E326)))</f>
        <v>0</v>
      </c>
      <c r="M326" s="6" t="n">
        <f aca="false">IF(AND(O326&lt;&gt;0,C326=""),"Abs",0)</f>
        <v>0</v>
      </c>
      <c r="N326" s="8" t="n">
        <f aca="false">IFERROR(IF(OR(D326="OFF",D326="Congé",M326="Abs",D326="Congé sans solde",D326="Férié"),"",IF(O326-K326-L326&gt;O326,O326,IF(O326-K326-L326&lt;0,"",O326-K326-L326))),"")</f>
        <v>0.375</v>
      </c>
      <c r="O326" s="8" t="n">
        <f aca="false">IF(AG326="2H Pause déjeuner",IF(F326-D326-0.0833333333333333&lt;0,F326-D326-0.0833333333333333+1,F326-D326-0.0833333333333333),IF(OR(AND(F326="OFF",D326="OFF"),AND(F326="Congé",D326="Congé"),AND(F326="Congé sans solde",D326="Congé sans solde"),AND(F326="Congé spécial",D326="Congé spécial"),AND(F326="Férié",D326="Férié"),AND(F326="OFF",D326="Congé"),AND(F326="OFF",D326="Congé sans solde"),AND(F326="OFF",D326="Congé spécial"),AND(F326="OFF",D326="Férié"),AND(F326="Congé",D326="OFF"),AND(F326="Congé",D326="Congé sans solde"),AND(F326="Congé",D326="Congé spécial"),AND(F326="Congé",D326="Férié"),AND(F326="Congé sans solde",D326="OFF"),AND(F326="Congé sans solde",D326="Congé"),AND(F326="Congé sans solde",D326="Congé spécial"),AND(F326="Congé sans solde",D326="Férié"),AND(F326="Congé spécial",D326="OFF"),AND(F326="Congé spécial",D326="Congé"),AND(F326="Congé spécial",D326="Congé sans solde"),AND(F326="Congé spécial",D326="Férié"),AND(F326="Férié",D326="OFF"),AND(F326="Férié",D326="Congé"),AND(F326="Férié",D326="Congé sans solde"),AND(F326="Férié",D326="Congé spécial")),0,IF(OR(F326="OFF",F326="Congé",F326="Congé spécial",F326="Congé sans solde",D326="OFF",D326="Congé",D326="Congé spécial",D326="Congé sans solde"),0.208333333333334,IF(AND(AG326="",F326-D326&lt;0),("24:00:00"-D326)+("00:00:00"+F326)-0.0416666666666667,IF(AND(OR(AG326="Allaitement",AG326="Sans déjeuner"),F326-D326&lt;0),("24:00:00"-D326)+("00:00:00"+F326),IF(AND(AG326="",F326-D326&gt;0.166666666666667),F326-D326-0.0416666666666667,IF(AND(OR(AG326="Allaitement",AG326="Sans déjeuner"),F326-D326&gt;0.166666666666667),F326-D326,F326-D326)))))))</f>
        <v>0.375</v>
      </c>
      <c r="P326" s="6" t="str">
        <f aca="false">IFERROR(VLOOKUP($B326,Agents!$A:$D,2,0),"-")</f>
        <v>Accessibilité</v>
      </c>
      <c r="Q326" s="21" t="n">
        <v>46063</v>
      </c>
      <c r="R326" s="8" t="n">
        <f aca="false">IF(M326="Abs",O326,0)</f>
        <v>0</v>
      </c>
      <c r="S326" s="8" t="n">
        <f aca="false">SUM(R326,L326,I326,J326,W326,H326)</f>
        <v>0</v>
      </c>
      <c r="T326" s="6" t="str">
        <f aca="false">"Sem - "&amp;WEEKNUM(Q326,21)</f>
        <v>Sem - 7</v>
      </c>
      <c r="U326" s="6" t="str">
        <f aca="false">CHOOSE(MONTH(Q326),"Janvier","Février","Mars","Avril","Mai","Juin","Juillet","Août","Septembre","Octobre","Novembre","Décembre")</f>
        <v>Février</v>
      </c>
      <c r="V326" s="22" t="n">
        <f aca="false">YEAR(Q326)</f>
        <v>2026</v>
      </c>
      <c r="W326" s="20"/>
      <c r="X326" s="8" t="n">
        <f aca="false">IFERROR(IF(M326="Abs",0,IF(ROUND((D326-C326+E326-F326)*1440,0)&lt;=1,0,D326-C326+E326-F326)),0)</f>
        <v>0</v>
      </c>
      <c r="Y326" s="6" t="str">
        <f aca="false">IFERROR(VLOOKUP($B326,Agents!$A:$D,3,0),"-")</f>
        <v>OUBRAHIM Mohammed</v>
      </c>
      <c r="Z326" s="6" t="str">
        <f aca="false">IFERROR(VLOOKUP($B326,Agents!$A:$D,4,0),"-")</f>
        <v>Credit Mutuel</v>
      </c>
      <c r="AA326" s="18" t="s">
        <v>88</v>
      </c>
      <c r="AB326" s="8" t="str">
        <f aca="false">IF(AND(D326="Congé",F326="Congé"),0.333333333333333,IF(OR(AND(D326="Congé",F326&lt;&gt;"Congé"),(AND(F326="Congé",D326&lt;&gt;"Congé"))),0.166666666666667,""))</f>
        <v/>
      </c>
      <c r="AC326" s="8" t="str">
        <f aca="false">IF(AND(D326="Congé sans solde",F326="Congé sans solde"),0.333333333333333,IF(OR(AND(D326="Congé sans solde",F326&lt;&gt;"Congé sans solde"),(AND(F326="Congé sans solde",D326&lt;&gt;"Congé sans solde"))),0.166666666666667,""))</f>
        <v/>
      </c>
      <c r="AD326" s="8" t="str">
        <f aca="false">IF(AND(D326="Congé spécial",F326="Congé spécial"),0.333333333333333,IF(OR(AND(D326="Congé spécial",F326&lt;&gt;"Congé spécial"),AND(F326="Congé spécial",D326&lt;&gt;"Congé spécial")),0.166666666666667,""))</f>
        <v/>
      </c>
      <c r="AE326" s="8" t="str">
        <f aca="false">IF(AND(D326="Férié",F326="Férié"),0.333333333333333,IF(OR(AND(D326="Férié",F326&lt;&gt;"Férié"),(AND(F326="Férié",D326&lt;&gt;"Férié"))),0.166666666666667,""))</f>
        <v/>
      </c>
      <c r="AF326" s="18"/>
      <c r="AG326" s="18"/>
    </row>
    <row r="327" customFormat="false" ht="15" hidden="false" customHeight="false" outlineLevel="0" collapsed="false">
      <c r="A327" s="6" t="str">
        <f aca="false">YEAR(Q327-WEEKDAY(Q327,2)+4)&amp;"-S"&amp;TEXT(WEEKNUM(Q327,21),"00")</f>
        <v>2026-S07</v>
      </c>
      <c r="B327" s="18" t="s">
        <v>71</v>
      </c>
      <c r="C327" s="19" t="n">
        <v>0.332638888888889</v>
      </c>
      <c r="D327" s="19" t="n">
        <v>0.333333333333333</v>
      </c>
      <c r="E327" s="19" t="n">
        <v>0.75</v>
      </c>
      <c r="F327" s="19" t="n">
        <v>0.75</v>
      </c>
      <c r="G327" s="20"/>
      <c r="H327" s="20"/>
      <c r="I327" s="8" t="str">
        <f aca="false">IF(IF(OR(C327="",D327="Congé",D327="OFF",D327="Congé spécial"),"",IF(D327&gt;F327,D327-C327,IF(C327-D327&lt;0,0,C327-D327)))&lt;0.00068287037037037,"",IF(OR(D327="Congé",D327="OFF",C327="",D327="Congé spécial"),"",IF(D327&gt;F327,D327-C327,IF(C327-D327&lt;0,0,C327-D327))))</f>
        <v/>
      </c>
      <c r="J327" s="20"/>
      <c r="K327" s="8" t="n">
        <f aca="false">IF(SUM(H327:J327)&lt;0.00068287037037037,0,SUM(H327:J327))</f>
        <v>0</v>
      </c>
      <c r="L327" s="8" t="n">
        <f aca="false">IF(OR(F327="Congé",F327="OFF",M327="Abs",F327="Congé sans solde",F327="Férié",F327="Congé spécial",D327="Congé spécial"),0,IF(F327-E327&lt;0,0,IF(F327-E327&lt;=0.00068287037037037,0,F327-E327)))</f>
        <v>0</v>
      </c>
      <c r="M327" s="6" t="n">
        <f aca="false">IF(AND(O327&lt;&gt;0,C327=""),"Abs",0)</f>
        <v>0</v>
      </c>
      <c r="N327" s="8" t="n">
        <f aca="false">IFERROR(IF(OR(D327="OFF",D327="Congé",M327="Abs",D327="Congé sans solde",D327="Férié"),"",IF(O327-K327-L327&gt;O327,O327,IF(O327-K327-L327&lt;0,"",O327-K327-L327))),"")</f>
        <v>0.375</v>
      </c>
      <c r="O327" s="8" t="n">
        <f aca="false">IF(AG327="2H Pause déjeuner",IF(F327-D327-0.0833333333333333&lt;0,F327-D327-0.0833333333333333+1,F327-D327-0.0833333333333333),IF(OR(AND(F327="OFF",D327="OFF"),AND(F327="Congé",D327="Congé"),AND(F327="Congé sans solde",D327="Congé sans solde"),AND(F327="Congé spécial",D327="Congé spécial"),AND(F327="Férié",D327="Férié"),AND(F327="OFF",D327="Congé"),AND(F327="OFF",D327="Congé sans solde"),AND(F327="OFF",D327="Congé spécial"),AND(F327="OFF",D327="Férié"),AND(F327="Congé",D327="OFF"),AND(F327="Congé",D327="Congé sans solde"),AND(F327="Congé",D327="Congé spécial"),AND(F327="Congé",D327="Férié"),AND(F327="Congé sans solde",D327="OFF"),AND(F327="Congé sans solde",D327="Congé"),AND(F327="Congé sans solde",D327="Congé spécial"),AND(F327="Congé sans solde",D327="Férié"),AND(F327="Congé spécial",D327="OFF"),AND(F327="Congé spécial",D327="Congé"),AND(F327="Congé spécial",D327="Congé sans solde"),AND(F327="Congé spécial",D327="Férié"),AND(F327="Férié",D327="OFF"),AND(F327="Férié",D327="Congé"),AND(F327="Férié",D327="Congé sans solde"),AND(F327="Férié",D327="Congé spécial")),0,IF(OR(F327="OFF",F327="Congé",F327="Congé spécial",F327="Congé sans solde",D327="OFF",D327="Congé",D327="Congé spécial",D327="Congé sans solde"),0.208333333333334,IF(AND(AG327="",F327-D327&lt;0),("24:00:00"-D327)+("00:00:00"+F327)-0.0416666666666667,IF(AND(OR(AG327="Allaitement",AG327="Sans déjeuner"),F327-D327&lt;0),("24:00:00"-D327)+("00:00:00"+F327),IF(AND(AG327="",F327-D327&gt;0.166666666666667),F327-D327-0.0416666666666667,IF(AND(OR(AG327="Allaitement",AG327="Sans déjeuner"),F327-D327&gt;0.166666666666667),F327-D327,F327-D327)))))))</f>
        <v>0.375</v>
      </c>
      <c r="P327" s="6" t="str">
        <f aca="false">IFERROR(VLOOKUP($B327,Agents!$A:$D,2,0),"-")</f>
        <v>Accessibilité</v>
      </c>
      <c r="Q327" s="21" t="n">
        <v>46063</v>
      </c>
      <c r="R327" s="8" t="n">
        <f aca="false">IF(M327="Abs",O327,0)</f>
        <v>0</v>
      </c>
      <c r="S327" s="8" t="n">
        <f aca="false">SUM(R327,L327,I327,J327,W327,H327)</f>
        <v>0</v>
      </c>
      <c r="T327" s="6" t="str">
        <f aca="false">"Sem - "&amp;WEEKNUM(Q327,21)</f>
        <v>Sem - 7</v>
      </c>
      <c r="U327" s="6" t="str">
        <f aca="false">CHOOSE(MONTH(Q327),"Janvier","Février","Mars","Avril","Mai","Juin","Juillet","Août","Septembre","Octobre","Novembre","Décembre")</f>
        <v>Février</v>
      </c>
      <c r="V327" s="22" t="n">
        <f aca="false">YEAR(Q327)</f>
        <v>2026</v>
      </c>
      <c r="W327" s="20"/>
      <c r="X327" s="8" t="n">
        <f aca="false">IFERROR(IF(M327="Abs",0,IF(ROUND((D327-C327+E327-F327)*1440,0)&lt;=1,0,D327-C327+E327-F327)),0)</f>
        <v>0</v>
      </c>
      <c r="Y327" s="6" t="str">
        <f aca="false">IFERROR(VLOOKUP($B327,Agents!$A:$D,3,0),"-")</f>
        <v>OUBRAHIM Mohammed</v>
      </c>
      <c r="Z327" s="6" t="str">
        <f aca="false">IFERROR(VLOOKUP($B327,Agents!$A:$D,4,0),"-")</f>
        <v>Credit Mutuel</v>
      </c>
      <c r="AA327" s="18" t="s">
        <v>88</v>
      </c>
      <c r="AB327" s="8" t="str">
        <f aca="false">IF(AND(D327="Congé",F327="Congé"),0.333333333333333,IF(OR(AND(D327="Congé",F327&lt;&gt;"Congé"),(AND(F327="Congé",D327&lt;&gt;"Congé"))),0.166666666666667,""))</f>
        <v/>
      </c>
      <c r="AC327" s="8" t="str">
        <f aca="false">IF(AND(D327="Congé sans solde",F327="Congé sans solde"),0.333333333333333,IF(OR(AND(D327="Congé sans solde",F327&lt;&gt;"Congé sans solde"),(AND(F327="Congé sans solde",D327&lt;&gt;"Congé sans solde"))),0.166666666666667,""))</f>
        <v/>
      </c>
      <c r="AD327" s="8" t="str">
        <f aca="false">IF(AND(D327="Congé spécial",F327="Congé spécial"),0.333333333333333,IF(OR(AND(D327="Congé spécial",F327&lt;&gt;"Congé spécial"),AND(F327="Congé spécial",D327&lt;&gt;"Congé spécial")),0.166666666666667,""))</f>
        <v/>
      </c>
      <c r="AE327" s="8" t="str">
        <f aca="false">IF(AND(D327="Férié",F327="Férié"),0.333333333333333,IF(OR(AND(D327="Férié",F327&lt;&gt;"Férié"),(AND(F327="Férié",D327&lt;&gt;"Férié"))),0.166666666666667,""))</f>
        <v/>
      </c>
      <c r="AF327" s="18"/>
      <c r="AG327" s="18"/>
    </row>
    <row r="328" customFormat="false" ht="15" hidden="false" customHeight="false" outlineLevel="0" collapsed="false">
      <c r="A328" s="6" t="str">
        <f aca="false">YEAR(Q328-WEEKDAY(Q328,2)+4)&amp;"-S"&amp;TEXT(WEEKNUM(Q328,21),"00")</f>
        <v>2026-S07</v>
      </c>
      <c r="B328" s="18" t="s">
        <v>72</v>
      </c>
      <c r="C328" s="19" t="n">
        <v>0.332638888888889</v>
      </c>
      <c r="D328" s="19" t="n">
        <v>0.333333333333333</v>
      </c>
      <c r="E328" s="19" t="n">
        <v>0.75</v>
      </c>
      <c r="F328" s="19" t="n">
        <v>0.75</v>
      </c>
      <c r="G328" s="20"/>
      <c r="H328" s="20"/>
      <c r="I328" s="8" t="str">
        <f aca="false">IF(IF(OR(C328="",D328="Congé",D328="OFF",D328="Congé spécial"),"",IF(D328&gt;F328,D328-C328,IF(C328-D328&lt;0,0,C328-D328)))&lt;0.00068287037037037,"",IF(OR(D328="Congé",D328="OFF",C328="",D328="Congé spécial"),"",IF(D328&gt;F328,D328-C328,IF(C328-D328&lt;0,0,C328-D328))))</f>
        <v/>
      </c>
      <c r="J328" s="20"/>
      <c r="K328" s="8" t="n">
        <f aca="false">IF(SUM(H328:J328)&lt;0.00068287037037037,0,SUM(H328:J328))</f>
        <v>0</v>
      </c>
      <c r="L328" s="8" t="n">
        <f aca="false">IF(OR(F328="Congé",F328="OFF",M328="Abs",F328="Congé sans solde",F328="Férié",F328="Congé spécial",D328="Congé spécial"),0,IF(F328-E328&lt;0,0,IF(F328-E328&lt;=0.00068287037037037,0,F328-E328)))</f>
        <v>0</v>
      </c>
      <c r="M328" s="6" t="n">
        <f aca="false">IF(AND(O328&lt;&gt;0,C328=""),"Abs",0)</f>
        <v>0</v>
      </c>
      <c r="N328" s="8" t="n">
        <f aca="false">IFERROR(IF(OR(D328="OFF",D328="Congé",M328="Abs",D328="Congé sans solde",D328="Férié"),"",IF(O328-K328-L328&gt;O328,O328,IF(O328-K328-L328&lt;0,"",O328-K328-L328))),"")</f>
        <v>0.375</v>
      </c>
      <c r="O328" s="8" t="n">
        <f aca="false">IF(AG328="2H Pause déjeuner",IF(F328-D328-0.0833333333333333&lt;0,F328-D328-0.0833333333333333+1,F328-D328-0.0833333333333333),IF(OR(AND(F328="OFF",D328="OFF"),AND(F328="Congé",D328="Congé"),AND(F328="Congé sans solde",D328="Congé sans solde"),AND(F328="Congé spécial",D328="Congé spécial"),AND(F328="Férié",D328="Férié"),AND(F328="OFF",D328="Congé"),AND(F328="OFF",D328="Congé sans solde"),AND(F328="OFF",D328="Congé spécial"),AND(F328="OFF",D328="Férié"),AND(F328="Congé",D328="OFF"),AND(F328="Congé",D328="Congé sans solde"),AND(F328="Congé",D328="Congé spécial"),AND(F328="Congé",D328="Férié"),AND(F328="Congé sans solde",D328="OFF"),AND(F328="Congé sans solde",D328="Congé"),AND(F328="Congé sans solde",D328="Congé spécial"),AND(F328="Congé sans solde",D328="Férié"),AND(F328="Congé spécial",D328="OFF"),AND(F328="Congé spécial",D328="Congé"),AND(F328="Congé spécial",D328="Congé sans solde"),AND(F328="Congé spécial",D328="Férié"),AND(F328="Férié",D328="OFF"),AND(F328="Férié",D328="Congé"),AND(F328="Férié",D328="Congé sans solde"),AND(F328="Férié",D328="Congé spécial")),0,IF(OR(F328="OFF",F328="Congé",F328="Congé spécial",F328="Congé sans solde",D328="OFF",D328="Congé",D328="Congé spécial",D328="Congé sans solde"),0.208333333333334,IF(AND(AG328="",F328-D328&lt;0),("24:00:00"-D328)+("00:00:00"+F328)-0.0416666666666667,IF(AND(OR(AG328="Allaitement",AG328="Sans déjeuner"),F328-D328&lt;0),("24:00:00"-D328)+("00:00:00"+F328),IF(AND(AG328="",F328-D328&gt;0.166666666666667),F328-D328-0.0416666666666667,IF(AND(OR(AG328="Allaitement",AG328="Sans déjeuner"),F328-D328&gt;0.166666666666667),F328-D328,F328-D328)))))))</f>
        <v>0.375</v>
      </c>
      <c r="P328" s="6" t="str">
        <f aca="false">IFERROR(VLOOKUP($B328,Agents!$A:$D,2,0),"-")</f>
        <v>Accessibilité</v>
      </c>
      <c r="Q328" s="21" t="n">
        <v>46063</v>
      </c>
      <c r="R328" s="8" t="n">
        <f aca="false">IF(M328="Abs",O328,0)</f>
        <v>0</v>
      </c>
      <c r="S328" s="8" t="n">
        <f aca="false">SUM(R328,L328,I328,J328,W328,H328)</f>
        <v>0</v>
      </c>
      <c r="T328" s="6" t="str">
        <f aca="false">"Sem - "&amp;WEEKNUM(Q328,21)</f>
        <v>Sem - 7</v>
      </c>
      <c r="U328" s="6" t="str">
        <f aca="false">CHOOSE(MONTH(Q328),"Janvier","Février","Mars","Avril","Mai","Juin","Juillet","Août","Septembre","Octobre","Novembre","Décembre")</f>
        <v>Février</v>
      </c>
      <c r="V328" s="22" t="n">
        <f aca="false">YEAR(Q328)</f>
        <v>2026</v>
      </c>
      <c r="W328" s="20"/>
      <c r="X328" s="8" t="n">
        <f aca="false">IFERROR(IF(M328="Abs",0,IF(ROUND((D328-C328+E328-F328)*1440,0)&lt;=1,0,D328-C328+E328-F328)),0)</f>
        <v>0</v>
      </c>
      <c r="Y328" s="6" t="str">
        <f aca="false">IFERROR(VLOOKUP($B328,Agents!$A:$D,3,0),"-")</f>
        <v>OUBRAHIM Mohammed</v>
      </c>
      <c r="Z328" s="6" t="str">
        <f aca="false">IFERROR(VLOOKUP($B328,Agents!$A:$D,4,0),"-")</f>
        <v>Credit Mutuel</v>
      </c>
      <c r="AA328" s="18" t="s">
        <v>88</v>
      </c>
      <c r="AB328" s="8" t="str">
        <f aca="false">IF(AND(D328="Congé",F328="Congé"),0.333333333333333,IF(OR(AND(D328="Congé",F328&lt;&gt;"Congé"),(AND(F328="Congé",D328&lt;&gt;"Congé"))),0.166666666666667,""))</f>
        <v/>
      </c>
      <c r="AC328" s="8" t="str">
        <f aca="false">IF(AND(D328="Congé sans solde",F328="Congé sans solde"),0.333333333333333,IF(OR(AND(D328="Congé sans solde",F328&lt;&gt;"Congé sans solde"),(AND(F328="Congé sans solde",D328&lt;&gt;"Congé sans solde"))),0.166666666666667,""))</f>
        <v/>
      </c>
      <c r="AD328" s="8" t="str">
        <f aca="false">IF(AND(D328="Congé spécial",F328="Congé spécial"),0.333333333333333,IF(OR(AND(D328="Congé spécial",F328&lt;&gt;"Congé spécial"),AND(F328="Congé spécial",D328&lt;&gt;"Congé spécial")),0.166666666666667,""))</f>
        <v/>
      </c>
      <c r="AE328" s="8" t="str">
        <f aca="false">IF(AND(D328="Férié",F328="Férié"),0.333333333333333,IF(OR(AND(D328="Férié",F328&lt;&gt;"Férié"),(AND(F328="Férié",D328&lt;&gt;"Férié"))),0.166666666666667,""))</f>
        <v/>
      </c>
      <c r="AF328" s="18"/>
      <c r="AG328" s="18"/>
    </row>
    <row r="329" customFormat="false" ht="15" hidden="false" customHeight="false" outlineLevel="0" collapsed="false">
      <c r="A329" s="6" t="str">
        <f aca="false">YEAR(Q329-WEEKDAY(Q329,2)+4)&amp;"-S"&amp;TEXT(WEEKNUM(Q329,21),"00")</f>
        <v>2026-S07</v>
      </c>
      <c r="B329" s="18" t="s">
        <v>73</v>
      </c>
      <c r="C329" s="19" t="n">
        <v>0.331944444444444</v>
      </c>
      <c r="D329" s="19" t="n">
        <v>0.333333333333333</v>
      </c>
      <c r="E329" s="19" t="n">
        <v>0.75</v>
      </c>
      <c r="F329" s="19" t="n">
        <v>0.75</v>
      </c>
      <c r="G329" s="20"/>
      <c r="H329" s="20"/>
      <c r="I329" s="8" t="str">
        <f aca="false">IF(IF(OR(C329="",D329="Congé",D329="OFF",D329="Congé spécial"),"",IF(D329&gt;F329,D329-C329,IF(C329-D329&lt;0,0,C329-D329)))&lt;0.00068287037037037,"",IF(OR(D329="Congé",D329="OFF",C329="",D329="Congé spécial"),"",IF(D329&gt;F329,D329-C329,IF(C329-D329&lt;0,0,C329-D329))))</f>
        <v/>
      </c>
      <c r="J329" s="20"/>
      <c r="K329" s="8" t="n">
        <f aca="false">IF(SUM(H329:J329)&lt;0.00068287037037037,0,SUM(H329:J329))</f>
        <v>0</v>
      </c>
      <c r="L329" s="8" t="n">
        <f aca="false">IF(OR(F329="Congé",F329="OFF",M329="Abs",F329="Congé sans solde",F329="Férié",F329="Congé spécial",D329="Congé spécial"),0,IF(F329-E329&lt;0,0,IF(F329-E329&lt;=0.00068287037037037,0,F329-E329)))</f>
        <v>0</v>
      </c>
      <c r="M329" s="6" t="n">
        <f aca="false">IF(AND(O329&lt;&gt;0,C329=""),"Abs",0)</f>
        <v>0</v>
      </c>
      <c r="N329" s="8" t="n">
        <f aca="false">IFERROR(IF(OR(D329="OFF",D329="Congé",M329="Abs",D329="Congé sans solde",D329="Férié"),"",IF(O329-K329-L329&gt;O329,O329,IF(O329-K329-L329&lt;0,"",O329-K329-L329))),"")</f>
        <v>0.375</v>
      </c>
      <c r="O329" s="8" t="n">
        <f aca="false">IF(AG329="2H Pause déjeuner",IF(F329-D329-0.0833333333333333&lt;0,F329-D329-0.0833333333333333+1,F329-D329-0.0833333333333333),IF(OR(AND(F329="OFF",D329="OFF"),AND(F329="Congé",D329="Congé"),AND(F329="Congé sans solde",D329="Congé sans solde"),AND(F329="Congé spécial",D329="Congé spécial"),AND(F329="Férié",D329="Férié"),AND(F329="OFF",D329="Congé"),AND(F329="OFF",D329="Congé sans solde"),AND(F329="OFF",D329="Congé spécial"),AND(F329="OFF",D329="Férié"),AND(F329="Congé",D329="OFF"),AND(F329="Congé",D329="Congé sans solde"),AND(F329="Congé",D329="Congé spécial"),AND(F329="Congé",D329="Férié"),AND(F329="Congé sans solde",D329="OFF"),AND(F329="Congé sans solde",D329="Congé"),AND(F329="Congé sans solde",D329="Congé spécial"),AND(F329="Congé sans solde",D329="Férié"),AND(F329="Congé spécial",D329="OFF"),AND(F329="Congé spécial",D329="Congé"),AND(F329="Congé spécial",D329="Congé sans solde"),AND(F329="Congé spécial",D329="Férié"),AND(F329="Férié",D329="OFF"),AND(F329="Férié",D329="Congé"),AND(F329="Férié",D329="Congé sans solde"),AND(F329="Férié",D329="Congé spécial")),0,IF(OR(F329="OFF",F329="Congé",F329="Congé spécial",F329="Congé sans solde",D329="OFF",D329="Congé",D329="Congé spécial",D329="Congé sans solde"),0.208333333333334,IF(AND(AG329="",F329-D329&lt;0),("24:00:00"-D329)+("00:00:00"+F329)-0.0416666666666667,IF(AND(OR(AG329="Allaitement",AG329="Sans déjeuner"),F329-D329&lt;0),("24:00:00"-D329)+("00:00:00"+F329),IF(AND(AG329="",F329-D329&gt;0.166666666666667),F329-D329-0.0416666666666667,IF(AND(OR(AG329="Allaitement",AG329="Sans déjeuner"),F329-D329&gt;0.166666666666667),F329-D329,F329-D329)))))))</f>
        <v>0.375</v>
      </c>
      <c r="P329" s="6" t="str">
        <f aca="false">IFERROR(VLOOKUP($B329,Agents!$A:$D,2,0),"-")</f>
        <v>Accessibilité</v>
      </c>
      <c r="Q329" s="21" t="n">
        <v>46063</v>
      </c>
      <c r="R329" s="8" t="n">
        <f aca="false">IF(M329="Abs",O329,0)</f>
        <v>0</v>
      </c>
      <c r="S329" s="8" t="n">
        <f aca="false">SUM(R329,L329,I329,J329,W329,H329)</f>
        <v>0</v>
      </c>
      <c r="T329" s="6" t="str">
        <f aca="false">"Sem - "&amp;WEEKNUM(Q329,21)</f>
        <v>Sem - 7</v>
      </c>
      <c r="U329" s="6" t="str">
        <f aca="false">CHOOSE(MONTH(Q329),"Janvier","Février","Mars","Avril","Mai","Juin","Juillet","Août","Septembre","Octobre","Novembre","Décembre")</f>
        <v>Février</v>
      </c>
      <c r="V329" s="22" t="n">
        <f aca="false">YEAR(Q329)</f>
        <v>2026</v>
      </c>
      <c r="W329" s="20"/>
      <c r="X329" s="8" t="n">
        <f aca="false">IFERROR(IF(M329="Abs",0,IF(ROUND((D329-C329+E329-F329)*1440,0)&lt;=1,0,D329-C329+E329-F329)),0)</f>
        <v>0.00138888888888889</v>
      </c>
      <c r="Y329" s="6" t="str">
        <f aca="false">IFERROR(VLOOKUP($B329,Agents!$A:$D,3,0),"-")</f>
        <v>OUBRAHIM Mohammed</v>
      </c>
      <c r="Z329" s="6" t="str">
        <f aca="false">IFERROR(VLOOKUP($B329,Agents!$A:$D,4,0),"-")</f>
        <v>Credit Mutuel</v>
      </c>
      <c r="AA329" s="18" t="s">
        <v>88</v>
      </c>
      <c r="AB329" s="8" t="str">
        <f aca="false">IF(AND(D329="Congé",F329="Congé"),0.333333333333333,IF(OR(AND(D329="Congé",F329&lt;&gt;"Congé"),(AND(F329="Congé",D329&lt;&gt;"Congé"))),0.166666666666667,""))</f>
        <v/>
      </c>
      <c r="AC329" s="8" t="str">
        <f aca="false">IF(AND(D329="Congé sans solde",F329="Congé sans solde"),0.333333333333333,IF(OR(AND(D329="Congé sans solde",F329&lt;&gt;"Congé sans solde"),(AND(F329="Congé sans solde",D329&lt;&gt;"Congé sans solde"))),0.166666666666667,""))</f>
        <v/>
      </c>
      <c r="AD329" s="8" t="str">
        <f aca="false">IF(AND(D329="Congé spécial",F329="Congé spécial"),0.333333333333333,IF(OR(AND(D329="Congé spécial",F329&lt;&gt;"Congé spécial"),AND(F329="Congé spécial",D329&lt;&gt;"Congé spécial")),0.166666666666667,""))</f>
        <v/>
      </c>
      <c r="AE329" s="8" t="str">
        <f aca="false">IF(AND(D329="Férié",F329="Férié"),0.333333333333333,IF(OR(AND(D329="Férié",F329&lt;&gt;"Férié"),(AND(F329="Férié",D329&lt;&gt;"Férié"))),0.166666666666667,""))</f>
        <v/>
      </c>
      <c r="AF329" s="18"/>
      <c r="AG329" s="18"/>
    </row>
    <row r="330" customFormat="false" ht="15" hidden="false" customHeight="false" outlineLevel="0" collapsed="false">
      <c r="A330" s="6" t="str">
        <f aca="false">YEAR(Q330-WEEKDAY(Q330,2)+4)&amp;"-S"&amp;TEXT(WEEKNUM(Q330,21),"00")</f>
        <v>2026-S07</v>
      </c>
      <c r="B330" s="18" t="s">
        <v>69</v>
      </c>
      <c r="C330" s="19" t="n">
        <v>0.332638888888889</v>
      </c>
      <c r="D330" s="19" t="n">
        <v>0.333333333333333</v>
      </c>
      <c r="E330" s="19" t="n">
        <v>0.75</v>
      </c>
      <c r="F330" s="19" t="n">
        <v>0.75</v>
      </c>
      <c r="G330" s="20"/>
      <c r="H330" s="20"/>
      <c r="I330" s="8" t="str">
        <f aca="false">IF(IF(OR(C330="",D330="Congé",D330="OFF",D330="Congé spécial"),"",IF(D330&gt;F330,D330-C330,IF(C330-D330&lt;0,0,C330-D330)))&lt;0.00068287037037037,"",IF(OR(D330="Congé",D330="OFF",C330="",D330="Congé spécial"),"",IF(D330&gt;F330,D330-C330,IF(C330-D330&lt;0,0,C330-D330))))</f>
        <v/>
      </c>
      <c r="J330" s="20"/>
      <c r="K330" s="8" t="n">
        <f aca="false">IF(SUM(H330:J330)&lt;0.00068287037037037,0,SUM(H330:J330))</f>
        <v>0</v>
      </c>
      <c r="L330" s="8" t="n">
        <f aca="false">IF(OR(F330="Congé",F330="OFF",M330="Abs",F330="Congé sans solde",F330="Férié",F330="Congé spécial",D330="Congé spécial"),0,IF(F330-E330&lt;0,0,IF(F330-E330&lt;=0.00068287037037037,0,F330-E330)))</f>
        <v>0</v>
      </c>
      <c r="M330" s="6" t="n">
        <f aca="false">IF(AND(O330&lt;&gt;0,C330=""),"Abs",0)</f>
        <v>0</v>
      </c>
      <c r="N330" s="8" t="n">
        <f aca="false">IFERROR(IF(OR(D330="OFF",D330="Congé",M330="Abs",D330="Congé sans solde",D330="Férié"),"",IF(O330-K330-L330&gt;O330,O330,IF(O330-K330-L330&lt;0,"",O330-K330-L330))),"")</f>
        <v>0.375</v>
      </c>
      <c r="O330" s="8" t="n">
        <f aca="false">IF(AG330="2H Pause déjeuner",IF(F330-D330-0.0833333333333333&lt;0,F330-D330-0.0833333333333333+1,F330-D330-0.0833333333333333),IF(OR(AND(F330="OFF",D330="OFF"),AND(F330="Congé",D330="Congé"),AND(F330="Congé sans solde",D330="Congé sans solde"),AND(F330="Congé spécial",D330="Congé spécial"),AND(F330="Férié",D330="Férié"),AND(F330="OFF",D330="Congé"),AND(F330="OFF",D330="Congé sans solde"),AND(F330="OFF",D330="Congé spécial"),AND(F330="OFF",D330="Férié"),AND(F330="Congé",D330="OFF"),AND(F330="Congé",D330="Congé sans solde"),AND(F330="Congé",D330="Congé spécial"),AND(F330="Congé",D330="Férié"),AND(F330="Congé sans solde",D330="OFF"),AND(F330="Congé sans solde",D330="Congé"),AND(F330="Congé sans solde",D330="Congé spécial"),AND(F330="Congé sans solde",D330="Férié"),AND(F330="Congé spécial",D330="OFF"),AND(F330="Congé spécial",D330="Congé"),AND(F330="Congé spécial",D330="Congé sans solde"),AND(F330="Congé spécial",D330="Férié"),AND(F330="Férié",D330="OFF"),AND(F330="Férié",D330="Congé"),AND(F330="Férié",D330="Congé sans solde"),AND(F330="Férié",D330="Congé spécial")),0,IF(OR(F330="OFF",F330="Congé",F330="Congé spécial",F330="Congé sans solde",D330="OFF",D330="Congé",D330="Congé spécial",D330="Congé sans solde"),0.208333333333334,IF(AND(AG330="",F330-D330&lt;0),("24:00:00"-D330)+("00:00:00"+F330)-0.0416666666666667,IF(AND(OR(AG330="Allaitement",AG330="Sans déjeuner"),F330-D330&lt;0),("24:00:00"-D330)+("00:00:00"+F330),IF(AND(AG330="",F330-D330&gt;0.166666666666667),F330-D330-0.0416666666666667,IF(AND(OR(AG330="Allaitement",AG330="Sans déjeuner"),F330-D330&gt;0.166666666666667),F330-D330,F330-D330)))))))</f>
        <v>0.375</v>
      </c>
      <c r="P330" s="6" t="str">
        <f aca="false">IFERROR(VLOOKUP($B330,Agents!$A:$D,2,0),"-")</f>
        <v>Accessibilité</v>
      </c>
      <c r="Q330" s="21" t="n">
        <v>46064</v>
      </c>
      <c r="R330" s="8" t="n">
        <f aca="false">IF(M330="Abs",O330,0)</f>
        <v>0</v>
      </c>
      <c r="S330" s="8" t="n">
        <f aca="false">SUM(R330,L330,I330,J330,W330,H330)</f>
        <v>0</v>
      </c>
      <c r="T330" s="6" t="str">
        <f aca="false">"Sem - "&amp;WEEKNUM(Q330,21)</f>
        <v>Sem - 7</v>
      </c>
      <c r="U330" s="6" t="str">
        <f aca="false">CHOOSE(MONTH(Q330),"Janvier","Février","Mars","Avril","Mai","Juin","Juillet","Août","Septembre","Octobre","Novembre","Décembre")</f>
        <v>Février</v>
      </c>
      <c r="V330" s="22" t="n">
        <f aca="false">YEAR(Q330)</f>
        <v>2026</v>
      </c>
      <c r="W330" s="20"/>
      <c r="X330" s="8" t="n">
        <f aca="false">IFERROR(IF(M330="Abs",0,IF(ROUND((D330-C330+E330-F330)*1440,0)&lt;=1,0,D330-C330+E330-F330)),0)</f>
        <v>0</v>
      </c>
      <c r="Y330" s="6" t="str">
        <f aca="false">IFERROR(VLOOKUP($B330,Agents!$A:$D,3,0),"-")</f>
        <v>OUBRAHIM Mohammed</v>
      </c>
      <c r="Z330" s="6" t="str">
        <f aca="false">IFERROR(VLOOKUP($B330,Agents!$A:$D,4,0),"-")</f>
        <v>Credit Mutuel</v>
      </c>
      <c r="AA330" s="18" t="s">
        <v>88</v>
      </c>
      <c r="AB330" s="8" t="str">
        <f aca="false">IF(AND(D330="Congé",F330="Congé"),0.333333333333333,IF(OR(AND(D330="Congé",F330&lt;&gt;"Congé"),(AND(F330="Congé",D330&lt;&gt;"Congé"))),0.166666666666667,""))</f>
        <v/>
      </c>
      <c r="AC330" s="8" t="str">
        <f aca="false">IF(AND(D330="Congé sans solde",F330="Congé sans solde"),0.333333333333333,IF(OR(AND(D330="Congé sans solde",F330&lt;&gt;"Congé sans solde"),(AND(F330="Congé sans solde",D330&lt;&gt;"Congé sans solde"))),0.166666666666667,""))</f>
        <v/>
      </c>
      <c r="AD330" s="8" t="str">
        <f aca="false">IF(AND(D330="Congé spécial",F330="Congé spécial"),0.333333333333333,IF(OR(AND(D330="Congé spécial",F330&lt;&gt;"Congé spécial"),AND(F330="Congé spécial",D330&lt;&gt;"Congé spécial")),0.166666666666667,""))</f>
        <v/>
      </c>
      <c r="AE330" s="8" t="str">
        <f aca="false">IF(AND(D330="Férié",F330="Férié"),0.333333333333333,IF(OR(AND(D330="Férié",F330&lt;&gt;"Férié"),(AND(F330="Férié",D330&lt;&gt;"Férié"))),0.166666666666667,""))</f>
        <v/>
      </c>
      <c r="AF330" s="18"/>
      <c r="AG330" s="18"/>
    </row>
    <row r="331" customFormat="false" ht="15" hidden="false" customHeight="false" outlineLevel="0" collapsed="false">
      <c r="A331" s="6" t="str">
        <f aca="false">YEAR(Q331-WEEKDAY(Q331,2)+4)&amp;"-S"&amp;TEXT(WEEKNUM(Q331,21),"00")</f>
        <v>2026-S07</v>
      </c>
      <c r="B331" s="18" t="s">
        <v>71</v>
      </c>
      <c r="C331" s="19" t="n">
        <v>0.332638888888889</v>
      </c>
      <c r="D331" s="19" t="n">
        <v>0.333333333333333</v>
      </c>
      <c r="E331" s="19" t="n">
        <v>0.75</v>
      </c>
      <c r="F331" s="19" t="n">
        <v>0.75</v>
      </c>
      <c r="G331" s="20"/>
      <c r="H331" s="20"/>
      <c r="I331" s="8" t="str">
        <f aca="false">IF(IF(OR(C331="",D331="Congé",D331="OFF",D331="Congé spécial"),"",IF(D331&gt;F331,D331-C331,IF(C331-D331&lt;0,0,C331-D331)))&lt;0.00068287037037037,"",IF(OR(D331="Congé",D331="OFF",C331="",D331="Congé spécial"),"",IF(D331&gt;F331,D331-C331,IF(C331-D331&lt;0,0,C331-D331))))</f>
        <v/>
      </c>
      <c r="J331" s="20"/>
      <c r="K331" s="8" t="n">
        <f aca="false">IF(SUM(H331:J331)&lt;0.00068287037037037,0,SUM(H331:J331))</f>
        <v>0</v>
      </c>
      <c r="L331" s="8" t="n">
        <f aca="false">IF(OR(F331="Congé",F331="OFF",M331="Abs",F331="Congé sans solde",F331="Férié",F331="Congé spécial",D331="Congé spécial"),0,IF(F331-E331&lt;0,0,IF(F331-E331&lt;=0.00068287037037037,0,F331-E331)))</f>
        <v>0</v>
      </c>
      <c r="M331" s="6" t="n">
        <f aca="false">IF(AND(O331&lt;&gt;0,C331=""),"Abs",0)</f>
        <v>0</v>
      </c>
      <c r="N331" s="8" t="n">
        <f aca="false">IFERROR(IF(OR(D331="OFF",D331="Congé",M331="Abs",D331="Congé sans solde",D331="Férié"),"",IF(O331-K331-L331&gt;O331,O331,IF(O331-K331-L331&lt;0,"",O331-K331-L331))),"")</f>
        <v>0.375</v>
      </c>
      <c r="O331" s="8" t="n">
        <f aca="false">IF(AG331="2H Pause déjeuner",IF(F331-D331-0.0833333333333333&lt;0,F331-D331-0.0833333333333333+1,F331-D331-0.0833333333333333),IF(OR(AND(F331="OFF",D331="OFF"),AND(F331="Congé",D331="Congé"),AND(F331="Congé sans solde",D331="Congé sans solde"),AND(F331="Congé spécial",D331="Congé spécial"),AND(F331="Férié",D331="Férié"),AND(F331="OFF",D331="Congé"),AND(F331="OFF",D331="Congé sans solde"),AND(F331="OFF",D331="Congé spécial"),AND(F331="OFF",D331="Férié"),AND(F331="Congé",D331="OFF"),AND(F331="Congé",D331="Congé sans solde"),AND(F331="Congé",D331="Congé spécial"),AND(F331="Congé",D331="Férié"),AND(F331="Congé sans solde",D331="OFF"),AND(F331="Congé sans solde",D331="Congé"),AND(F331="Congé sans solde",D331="Congé spécial"),AND(F331="Congé sans solde",D331="Férié"),AND(F331="Congé spécial",D331="OFF"),AND(F331="Congé spécial",D331="Congé"),AND(F331="Congé spécial",D331="Congé sans solde"),AND(F331="Congé spécial",D331="Férié"),AND(F331="Férié",D331="OFF"),AND(F331="Férié",D331="Congé"),AND(F331="Férié",D331="Congé sans solde"),AND(F331="Férié",D331="Congé spécial")),0,IF(OR(F331="OFF",F331="Congé",F331="Congé spécial",F331="Congé sans solde",D331="OFF",D331="Congé",D331="Congé spécial",D331="Congé sans solde"),0.208333333333334,IF(AND(AG331="",F331-D331&lt;0),("24:00:00"-D331)+("00:00:00"+F331)-0.0416666666666667,IF(AND(OR(AG331="Allaitement",AG331="Sans déjeuner"),F331-D331&lt;0),("24:00:00"-D331)+("00:00:00"+F331),IF(AND(AG331="",F331-D331&gt;0.166666666666667),F331-D331-0.0416666666666667,IF(AND(OR(AG331="Allaitement",AG331="Sans déjeuner"),F331-D331&gt;0.166666666666667),F331-D331,F331-D331)))))))</f>
        <v>0.375</v>
      </c>
      <c r="P331" s="6" t="str">
        <f aca="false">IFERROR(VLOOKUP($B331,Agents!$A:$D,2,0),"-")</f>
        <v>Accessibilité</v>
      </c>
      <c r="Q331" s="21" t="n">
        <v>46064</v>
      </c>
      <c r="R331" s="8" t="n">
        <f aca="false">IF(M331="Abs",O331,0)</f>
        <v>0</v>
      </c>
      <c r="S331" s="8" t="n">
        <f aca="false">SUM(R331,L331,I331,J331,W331,H331)</f>
        <v>0</v>
      </c>
      <c r="T331" s="6" t="str">
        <f aca="false">"Sem - "&amp;WEEKNUM(Q331,21)</f>
        <v>Sem - 7</v>
      </c>
      <c r="U331" s="6" t="str">
        <f aca="false">CHOOSE(MONTH(Q331),"Janvier","Février","Mars","Avril","Mai","Juin","Juillet","Août","Septembre","Octobre","Novembre","Décembre")</f>
        <v>Février</v>
      </c>
      <c r="V331" s="22" t="n">
        <f aca="false">YEAR(Q331)</f>
        <v>2026</v>
      </c>
      <c r="W331" s="20"/>
      <c r="X331" s="8" t="n">
        <f aca="false">IFERROR(IF(M331="Abs",0,IF(ROUND((D331-C331+E331-F331)*1440,0)&lt;=1,0,D331-C331+E331-F331)),0)</f>
        <v>0</v>
      </c>
      <c r="Y331" s="6" t="str">
        <f aca="false">IFERROR(VLOOKUP($B331,Agents!$A:$D,3,0),"-")</f>
        <v>OUBRAHIM Mohammed</v>
      </c>
      <c r="Z331" s="6" t="str">
        <f aca="false">IFERROR(VLOOKUP($B331,Agents!$A:$D,4,0),"-")</f>
        <v>Credit Mutuel</v>
      </c>
      <c r="AA331" s="18" t="s">
        <v>88</v>
      </c>
      <c r="AB331" s="8" t="str">
        <f aca="false">IF(AND(D331="Congé",F331="Congé"),0.333333333333333,IF(OR(AND(D331="Congé",F331&lt;&gt;"Congé"),(AND(F331="Congé",D331&lt;&gt;"Congé"))),0.166666666666667,""))</f>
        <v/>
      </c>
      <c r="AC331" s="8" t="str">
        <f aca="false">IF(AND(D331="Congé sans solde",F331="Congé sans solde"),0.333333333333333,IF(OR(AND(D331="Congé sans solde",F331&lt;&gt;"Congé sans solde"),(AND(F331="Congé sans solde",D331&lt;&gt;"Congé sans solde"))),0.166666666666667,""))</f>
        <v/>
      </c>
      <c r="AD331" s="8" t="str">
        <f aca="false">IF(AND(D331="Congé spécial",F331="Congé spécial"),0.333333333333333,IF(OR(AND(D331="Congé spécial",F331&lt;&gt;"Congé spécial"),AND(F331="Congé spécial",D331&lt;&gt;"Congé spécial")),0.166666666666667,""))</f>
        <v/>
      </c>
      <c r="AE331" s="8" t="str">
        <f aca="false">IF(AND(D331="Férié",F331="Férié"),0.333333333333333,IF(OR(AND(D331="Férié",F331&lt;&gt;"Férié"),(AND(F331="Férié",D331&lt;&gt;"Férié"))),0.166666666666667,""))</f>
        <v/>
      </c>
      <c r="AF331" s="18"/>
      <c r="AG331" s="18"/>
    </row>
    <row r="332" customFormat="false" ht="15" hidden="false" customHeight="false" outlineLevel="0" collapsed="false">
      <c r="A332" s="6" t="str">
        <f aca="false">YEAR(Q332-WEEKDAY(Q332,2)+4)&amp;"-S"&amp;TEXT(WEEKNUM(Q332,21),"00")</f>
        <v>2026-S07</v>
      </c>
      <c r="B332" s="18" t="s">
        <v>72</v>
      </c>
      <c r="C332" s="19" t="n">
        <v>0.333333333333333</v>
      </c>
      <c r="D332" s="19" t="n">
        <v>0.333333333333333</v>
      </c>
      <c r="E332" s="19" t="n">
        <v>0.75</v>
      </c>
      <c r="F332" s="19" t="n">
        <v>0.75</v>
      </c>
      <c r="G332" s="20"/>
      <c r="H332" s="20"/>
      <c r="I332" s="8" t="str">
        <f aca="false">IF(IF(OR(C332="",D332="Congé",D332="OFF",D332="Congé spécial"),"",IF(D332&gt;F332,D332-C332,IF(C332-D332&lt;0,0,C332-D332)))&lt;0.00068287037037037,"",IF(OR(D332="Congé",D332="OFF",C332="",D332="Congé spécial"),"",IF(D332&gt;F332,D332-C332,IF(C332-D332&lt;0,0,C332-D332))))</f>
        <v/>
      </c>
      <c r="J332" s="20"/>
      <c r="K332" s="8" t="n">
        <f aca="false">IF(SUM(H332:J332)&lt;0.00068287037037037,0,SUM(H332:J332))</f>
        <v>0</v>
      </c>
      <c r="L332" s="8" t="n">
        <f aca="false">IF(OR(F332="Congé",F332="OFF",M332="Abs",F332="Congé sans solde",F332="Férié",F332="Congé spécial",D332="Congé spécial"),0,IF(F332-E332&lt;0,0,IF(F332-E332&lt;=0.00068287037037037,0,F332-E332)))</f>
        <v>0</v>
      </c>
      <c r="M332" s="6" t="n">
        <f aca="false">IF(AND(O332&lt;&gt;0,C332=""),"Abs",0)</f>
        <v>0</v>
      </c>
      <c r="N332" s="8" t="n">
        <f aca="false">IFERROR(IF(OR(D332="OFF",D332="Congé",M332="Abs",D332="Congé sans solde",D332="Férié"),"",IF(O332-K332-L332&gt;O332,O332,IF(O332-K332-L332&lt;0,"",O332-K332-L332))),"")</f>
        <v>0.375</v>
      </c>
      <c r="O332" s="8" t="n">
        <f aca="false">IF(AG332="2H Pause déjeuner",IF(F332-D332-0.0833333333333333&lt;0,F332-D332-0.0833333333333333+1,F332-D332-0.0833333333333333),IF(OR(AND(F332="OFF",D332="OFF"),AND(F332="Congé",D332="Congé"),AND(F332="Congé sans solde",D332="Congé sans solde"),AND(F332="Congé spécial",D332="Congé spécial"),AND(F332="Férié",D332="Férié"),AND(F332="OFF",D332="Congé"),AND(F332="OFF",D332="Congé sans solde"),AND(F332="OFF",D332="Congé spécial"),AND(F332="OFF",D332="Férié"),AND(F332="Congé",D332="OFF"),AND(F332="Congé",D332="Congé sans solde"),AND(F332="Congé",D332="Congé spécial"),AND(F332="Congé",D332="Férié"),AND(F332="Congé sans solde",D332="OFF"),AND(F332="Congé sans solde",D332="Congé"),AND(F332="Congé sans solde",D332="Congé spécial"),AND(F332="Congé sans solde",D332="Férié"),AND(F332="Congé spécial",D332="OFF"),AND(F332="Congé spécial",D332="Congé"),AND(F332="Congé spécial",D332="Congé sans solde"),AND(F332="Congé spécial",D332="Férié"),AND(F332="Férié",D332="OFF"),AND(F332="Férié",D332="Congé"),AND(F332="Férié",D332="Congé sans solde"),AND(F332="Férié",D332="Congé spécial")),0,IF(OR(F332="OFF",F332="Congé",F332="Congé spécial",F332="Congé sans solde",D332="OFF",D332="Congé",D332="Congé spécial",D332="Congé sans solde"),0.208333333333334,IF(AND(AG332="",F332-D332&lt;0),("24:00:00"-D332)+("00:00:00"+F332)-0.0416666666666667,IF(AND(OR(AG332="Allaitement",AG332="Sans déjeuner"),F332-D332&lt;0),("24:00:00"-D332)+("00:00:00"+F332),IF(AND(AG332="",F332-D332&gt;0.166666666666667),F332-D332-0.0416666666666667,IF(AND(OR(AG332="Allaitement",AG332="Sans déjeuner"),F332-D332&gt;0.166666666666667),F332-D332,F332-D332)))))))</f>
        <v>0.375</v>
      </c>
      <c r="P332" s="6" t="str">
        <f aca="false">IFERROR(VLOOKUP($B332,Agents!$A:$D,2,0),"-")</f>
        <v>Accessibilité</v>
      </c>
      <c r="Q332" s="21" t="n">
        <v>46064</v>
      </c>
      <c r="R332" s="8" t="n">
        <f aca="false">IF(M332="Abs",O332,0)</f>
        <v>0</v>
      </c>
      <c r="S332" s="8" t="n">
        <f aca="false">SUM(R332,L332,I332,J332,W332,H332)</f>
        <v>0</v>
      </c>
      <c r="T332" s="6" t="str">
        <f aca="false">"Sem - "&amp;WEEKNUM(Q332,21)</f>
        <v>Sem - 7</v>
      </c>
      <c r="U332" s="6" t="str">
        <f aca="false">CHOOSE(MONTH(Q332),"Janvier","Février","Mars","Avril","Mai","Juin","Juillet","Août","Septembre","Octobre","Novembre","Décembre")</f>
        <v>Février</v>
      </c>
      <c r="V332" s="22" t="n">
        <f aca="false">YEAR(Q332)</f>
        <v>2026</v>
      </c>
      <c r="W332" s="20"/>
      <c r="X332" s="8" t="n">
        <f aca="false">IFERROR(IF(M332="Abs",0,IF(ROUND((D332-C332+E332-F332)*1440,0)&lt;=1,0,D332-C332+E332-F332)),0)</f>
        <v>0</v>
      </c>
      <c r="Y332" s="6" t="str">
        <f aca="false">IFERROR(VLOOKUP($B332,Agents!$A:$D,3,0),"-")</f>
        <v>OUBRAHIM Mohammed</v>
      </c>
      <c r="Z332" s="6" t="str">
        <f aca="false">IFERROR(VLOOKUP($B332,Agents!$A:$D,4,0),"-")</f>
        <v>Credit Mutuel</v>
      </c>
      <c r="AA332" s="18" t="s">
        <v>88</v>
      </c>
      <c r="AB332" s="8" t="str">
        <f aca="false">IF(AND(D332="Congé",F332="Congé"),0.333333333333333,IF(OR(AND(D332="Congé",F332&lt;&gt;"Congé"),(AND(F332="Congé",D332&lt;&gt;"Congé"))),0.166666666666667,""))</f>
        <v/>
      </c>
      <c r="AC332" s="8" t="str">
        <f aca="false">IF(AND(D332="Congé sans solde",F332="Congé sans solde"),0.333333333333333,IF(OR(AND(D332="Congé sans solde",F332&lt;&gt;"Congé sans solde"),(AND(F332="Congé sans solde",D332&lt;&gt;"Congé sans solde"))),0.166666666666667,""))</f>
        <v/>
      </c>
      <c r="AD332" s="8" t="str">
        <f aca="false">IF(AND(D332="Congé spécial",F332="Congé spécial"),0.333333333333333,IF(OR(AND(D332="Congé spécial",F332&lt;&gt;"Congé spécial"),AND(F332="Congé spécial",D332&lt;&gt;"Congé spécial")),0.166666666666667,""))</f>
        <v/>
      </c>
      <c r="AE332" s="8" t="str">
        <f aca="false">IF(AND(D332="Férié",F332="Férié"),0.333333333333333,IF(OR(AND(D332="Férié",F332&lt;&gt;"Férié"),(AND(F332="Férié",D332&lt;&gt;"Férié"))),0.166666666666667,""))</f>
        <v/>
      </c>
      <c r="AF332" s="18"/>
      <c r="AG332" s="18"/>
    </row>
    <row r="333" customFormat="false" ht="15" hidden="false" customHeight="false" outlineLevel="0" collapsed="false">
      <c r="A333" s="6" t="str">
        <f aca="false">YEAR(Q333-WEEKDAY(Q333,2)+4)&amp;"-S"&amp;TEXT(WEEKNUM(Q333,21),"00")</f>
        <v>2026-S07</v>
      </c>
      <c r="B333" s="18" t="s">
        <v>73</v>
      </c>
      <c r="C333" s="19" t="n">
        <v>0.33125</v>
      </c>
      <c r="D333" s="19" t="n">
        <v>0.333333333333333</v>
      </c>
      <c r="E333" s="19" t="n">
        <v>0.75</v>
      </c>
      <c r="F333" s="19" t="n">
        <v>0.75</v>
      </c>
      <c r="G333" s="20"/>
      <c r="H333" s="20"/>
      <c r="I333" s="8" t="str">
        <f aca="false">IF(IF(OR(C333="",D333="Congé",D333="OFF",D333="Congé spécial"),"",IF(D333&gt;F333,D333-C333,IF(C333-D333&lt;0,0,C333-D333)))&lt;0.00068287037037037,"",IF(OR(D333="Congé",D333="OFF",C333="",D333="Congé spécial"),"",IF(D333&gt;F333,D333-C333,IF(C333-D333&lt;0,0,C333-D333))))</f>
        <v/>
      </c>
      <c r="J333" s="20"/>
      <c r="K333" s="8" t="n">
        <f aca="false">IF(SUM(H333:J333)&lt;0.00068287037037037,0,SUM(H333:J333))</f>
        <v>0</v>
      </c>
      <c r="L333" s="8" t="n">
        <f aca="false">IF(OR(F333="Congé",F333="OFF",M333="Abs",F333="Congé sans solde",F333="Férié",F333="Congé spécial",D333="Congé spécial"),0,IF(F333-E333&lt;0,0,IF(F333-E333&lt;=0.00068287037037037,0,F333-E333)))</f>
        <v>0</v>
      </c>
      <c r="M333" s="6" t="n">
        <f aca="false">IF(AND(O333&lt;&gt;0,C333=""),"Abs",0)</f>
        <v>0</v>
      </c>
      <c r="N333" s="8" t="n">
        <f aca="false">IFERROR(IF(OR(D333="OFF",D333="Congé",M333="Abs",D333="Congé sans solde",D333="Férié"),"",IF(O333-K333-L333&gt;O333,O333,IF(O333-K333-L333&lt;0,"",O333-K333-L333))),"")</f>
        <v>0.375</v>
      </c>
      <c r="O333" s="8" t="n">
        <f aca="false">IF(AG333="2H Pause déjeuner",IF(F333-D333-0.0833333333333333&lt;0,F333-D333-0.0833333333333333+1,F333-D333-0.0833333333333333),IF(OR(AND(F333="OFF",D333="OFF"),AND(F333="Congé",D333="Congé"),AND(F333="Congé sans solde",D333="Congé sans solde"),AND(F333="Congé spécial",D333="Congé spécial"),AND(F333="Férié",D333="Férié"),AND(F333="OFF",D333="Congé"),AND(F333="OFF",D333="Congé sans solde"),AND(F333="OFF",D333="Congé spécial"),AND(F333="OFF",D333="Férié"),AND(F333="Congé",D333="OFF"),AND(F333="Congé",D333="Congé sans solde"),AND(F333="Congé",D333="Congé spécial"),AND(F333="Congé",D333="Férié"),AND(F333="Congé sans solde",D333="OFF"),AND(F333="Congé sans solde",D333="Congé"),AND(F333="Congé sans solde",D333="Congé spécial"),AND(F333="Congé sans solde",D333="Férié"),AND(F333="Congé spécial",D333="OFF"),AND(F333="Congé spécial",D333="Congé"),AND(F333="Congé spécial",D333="Congé sans solde"),AND(F333="Congé spécial",D333="Férié"),AND(F333="Férié",D333="OFF"),AND(F333="Férié",D333="Congé"),AND(F333="Férié",D333="Congé sans solde"),AND(F333="Férié",D333="Congé spécial")),0,IF(OR(F333="OFF",F333="Congé",F333="Congé spécial",F333="Congé sans solde",D333="OFF",D333="Congé",D333="Congé spécial",D333="Congé sans solde"),0.208333333333334,IF(AND(AG333="",F333-D333&lt;0),("24:00:00"-D333)+("00:00:00"+F333)-0.0416666666666667,IF(AND(OR(AG333="Allaitement",AG333="Sans déjeuner"),F333-D333&lt;0),("24:00:00"-D333)+("00:00:00"+F333),IF(AND(AG333="",F333-D333&gt;0.166666666666667),F333-D333-0.0416666666666667,IF(AND(OR(AG333="Allaitement",AG333="Sans déjeuner"),F333-D333&gt;0.166666666666667),F333-D333,F333-D333)))))))</f>
        <v>0.375</v>
      </c>
      <c r="P333" s="6" t="str">
        <f aca="false">IFERROR(VLOOKUP($B333,Agents!$A:$D,2,0),"-")</f>
        <v>Accessibilité</v>
      </c>
      <c r="Q333" s="21" t="n">
        <v>46064</v>
      </c>
      <c r="R333" s="8" t="n">
        <f aca="false">IF(M333="Abs",O333,0)</f>
        <v>0</v>
      </c>
      <c r="S333" s="8" t="n">
        <f aca="false">SUM(R333,L333,I333,J333,W333,H333)</f>
        <v>0</v>
      </c>
      <c r="T333" s="6" t="str">
        <f aca="false">"Sem - "&amp;WEEKNUM(Q333,21)</f>
        <v>Sem - 7</v>
      </c>
      <c r="U333" s="6" t="str">
        <f aca="false">CHOOSE(MONTH(Q333),"Janvier","Février","Mars","Avril","Mai","Juin","Juillet","Août","Septembre","Octobre","Novembre","Décembre")</f>
        <v>Février</v>
      </c>
      <c r="V333" s="22" t="n">
        <f aca="false">YEAR(Q333)</f>
        <v>2026</v>
      </c>
      <c r="W333" s="20"/>
      <c r="X333" s="8" t="n">
        <f aca="false">IFERROR(IF(M333="Abs",0,IF(ROUND((D333-C333+E333-F333)*1440,0)&lt;=1,0,D333-C333+E333-F333)),0)</f>
        <v>0.00208333333333333</v>
      </c>
      <c r="Y333" s="6" t="str">
        <f aca="false">IFERROR(VLOOKUP($B333,Agents!$A:$D,3,0),"-")</f>
        <v>OUBRAHIM Mohammed</v>
      </c>
      <c r="Z333" s="6" t="str">
        <f aca="false">IFERROR(VLOOKUP($B333,Agents!$A:$D,4,0),"-")</f>
        <v>Credit Mutuel</v>
      </c>
      <c r="AA333" s="18" t="s">
        <v>88</v>
      </c>
      <c r="AB333" s="8" t="str">
        <f aca="false">IF(AND(D333="Congé",F333="Congé"),0.333333333333333,IF(OR(AND(D333="Congé",F333&lt;&gt;"Congé"),(AND(F333="Congé",D333&lt;&gt;"Congé"))),0.166666666666667,""))</f>
        <v/>
      </c>
      <c r="AC333" s="8" t="str">
        <f aca="false">IF(AND(D333="Congé sans solde",F333="Congé sans solde"),0.333333333333333,IF(OR(AND(D333="Congé sans solde",F333&lt;&gt;"Congé sans solde"),(AND(F333="Congé sans solde",D333&lt;&gt;"Congé sans solde"))),0.166666666666667,""))</f>
        <v/>
      </c>
      <c r="AD333" s="8" t="str">
        <f aca="false">IF(AND(D333="Congé spécial",F333="Congé spécial"),0.333333333333333,IF(OR(AND(D333="Congé spécial",F333&lt;&gt;"Congé spécial"),AND(F333="Congé spécial",D333&lt;&gt;"Congé spécial")),0.166666666666667,""))</f>
        <v/>
      </c>
      <c r="AE333" s="8" t="str">
        <f aca="false">IF(AND(D333="Férié",F333="Férié"),0.333333333333333,IF(OR(AND(D333="Férié",F333&lt;&gt;"Férié"),(AND(F333="Férié",D333&lt;&gt;"Férié"))),0.166666666666667,""))</f>
        <v/>
      </c>
      <c r="AF333" s="18"/>
      <c r="AG333" s="18"/>
    </row>
    <row r="334" customFormat="false" ht="15" hidden="false" customHeight="false" outlineLevel="0" collapsed="false">
      <c r="A334" s="6" t="str">
        <f aca="false">YEAR(Q334-WEEKDAY(Q334,2)+4)&amp;"-S"&amp;TEXT(WEEKNUM(Q334,21),"00")</f>
        <v>2026-S07</v>
      </c>
      <c r="B334" s="18" t="s">
        <v>69</v>
      </c>
      <c r="C334" s="19" t="n">
        <v>0.333333333333333</v>
      </c>
      <c r="D334" s="19" t="n">
        <v>0.333333333333333</v>
      </c>
      <c r="E334" s="19" t="n">
        <v>0.75</v>
      </c>
      <c r="F334" s="19" t="n">
        <v>0.75</v>
      </c>
      <c r="G334" s="20"/>
      <c r="H334" s="20"/>
      <c r="I334" s="8" t="str">
        <f aca="false">IF(IF(OR(C334="",D334="Congé",D334="OFF",D334="Congé spécial"),"",IF(D334&gt;F334,D334-C334,IF(C334-D334&lt;0,0,C334-D334)))&lt;0.00068287037037037,"",IF(OR(D334="Congé",D334="OFF",C334="",D334="Congé spécial"),"",IF(D334&gt;F334,D334-C334,IF(C334-D334&lt;0,0,C334-D334))))</f>
        <v/>
      </c>
      <c r="J334" s="20"/>
      <c r="K334" s="8" t="n">
        <f aca="false">IF(SUM(H334:J334)&lt;0.00068287037037037,0,SUM(H334:J334))</f>
        <v>0</v>
      </c>
      <c r="L334" s="8" t="n">
        <f aca="false">IF(OR(F334="Congé",F334="OFF",M334="Abs",F334="Congé sans solde",F334="Férié",F334="Congé spécial",D334="Congé spécial"),0,IF(F334-E334&lt;0,0,IF(F334-E334&lt;=0.00068287037037037,0,F334-E334)))</f>
        <v>0</v>
      </c>
      <c r="M334" s="6" t="n">
        <f aca="false">IF(AND(O334&lt;&gt;0,C334=""),"Abs",0)</f>
        <v>0</v>
      </c>
      <c r="N334" s="8" t="n">
        <f aca="false">IFERROR(IF(OR(D334="OFF",D334="Congé",M334="Abs",D334="Congé sans solde",D334="Férié"),"",IF(O334-K334-L334&gt;O334,O334,IF(O334-K334-L334&lt;0,"",O334-K334-L334))),"")</f>
        <v>0.375</v>
      </c>
      <c r="O334" s="8" t="n">
        <f aca="false">IF(AG334="2H Pause déjeuner",IF(F334-D334-0.0833333333333333&lt;0,F334-D334-0.0833333333333333+1,F334-D334-0.0833333333333333),IF(OR(AND(F334="OFF",D334="OFF"),AND(F334="Congé",D334="Congé"),AND(F334="Congé sans solde",D334="Congé sans solde"),AND(F334="Congé spécial",D334="Congé spécial"),AND(F334="Férié",D334="Férié"),AND(F334="OFF",D334="Congé"),AND(F334="OFF",D334="Congé sans solde"),AND(F334="OFF",D334="Congé spécial"),AND(F334="OFF",D334="Férié"),AND(F334="Congé",D334="OFF"),AND(F334="Congé",D334="Congé sans solde"),AND(F334="Congé",D334="Congé spécial"),AND(F334="Congé",D334="Férié"),AND(F334="Congé sans solde",D334="OFF"),AND(F334="Congé sans solde",D334="Congé"),AND(F334="Congé sans solde",D334="Congé spécial"),AND(F334="Congé sans solde",D334="Férié"),AND(F334="Congé spécial",D334="OFF"),AND(F334="Congé spécial",D334="Congé"),AND(F334="Congé spécial",D334="Congé sans solde"),AND(F334="Congé spécial",D334="Férié"),AND(F334="Férié",D334="OFF"),AND(F334="Férié",D334="Congé"),AND(F334="Férié",D334="Congé sans solde"),AND(F334="Férié",D334="Congé spécial")),0,IF(OR(F334="OFF",F334="Congé",F334="Congé spécial",F334="Congé sans solde",D334="OFF",D334="Congé",D334="Congé spécial",D334="Congé sans solde"),0.208333333333334,IF(AND(AG334="",F334-D334&lt;0),("24:00:00"-D334)+("00:00:00"+F334)-0.0416666666666667,IF(AND(OR(AG334="Allaitement",AG334="Sans déjeuner"),F334-D334&lt;0),("24:00:00"-D334)+("00:00:00"+F334),IF(AND(AG334="",F334-D334&gt;0.166666666666667),F334-D334-0.0416666666666667,IF(AND(OR(AG334="Allaitement",AG334="Sans déjeuner"),F334-D334&gt;0.166666666666667),F334-D334,F334-D334)))))))</f>
        <v>0.375</v>
      </c>
      <c r="P334" s="6" t="str">
        <f aca="false">IFERROR(VLOOKUP($B334,Agents!$A:$D,2,0),"-")</f>
        <v>Accessibilité</v>
      </c>
      <c r="Q334" s="21" t="n">
        <v>46065</v>
      </c>
      <c r="R334" s="8" t="n">
        <f aca="false">IF(M334="Abs",O334,0)</f>
        <v>0</v>
      </c>
      <c r="S334" s="8" t="n">
        <f aca="false">SUM(R334,L334,I334,J334,W334,H334)</f>
        <v>0</v>
      </c>
      <c r="T334" s="6" t="str">
        <f aca="false">"Sem - "&amp;WEEKNUM(Q334,21)</f>
        <v>Sem - 7</v>
      </c>
      <c r="U334" s="6" t="str">
        <f aca="false">CHOOSE(MONTH(Q334),"Janvier","Février","Mars","Avril","Mai","Juin","Juillet","Août","Septembre","Octobre","Novembre","Décembre")</f>
        <v>Février</v>
      </c>
      <c r="V334" s="22" t="n">
        <f aca="false">YEAR(Q334)</f>
        <v>2026</v>
      </c>
      <c r="W334" s="20"/>
      <c r="X334" s="8" t="n">
        <f aca="false">IFERROR(IF(M334="Abs",0,IF(ROUND((D334-C334+E334-F334)*1440,0)&lt;=1,0,D334-C334+E334-F334)),0)</f>
        <v>0</v>
      </c>
      <c r="Y334" s="6" t="str">
        <f aca="false">IFERROR(VLOOKUP($B334,Agents!$A:$D,3,0),"-")</f>
        <v>OUBRAHIM Mohammed</v>
      </c>
      <c r="Z334" s="6" t="str">
        <f aca="false">IFERROR(VLOOKUP($B334,Agents!$A:$D,4,0),"-")</f>
        <v>Credit Mutuel</v>
      </c>
      <c r="AA334" s="18" t="s">
        <v>88</v>
      </c>
      <c r="AB334" s="8" t="str">
        <f aca="false">IF(AND(D334="Congé",F334="Congé"),0.333333333333333,IF(OR(AND(D334="Congé",F334&lt;&gt;"Congé"),(AND(F334="Congé",D334&lt;&gt;"Congé"))),0.166666666666667,""))</f>
        <v/>
      </c>
      <c r="AC334" s="8" t="str">
        <f aca="false">IF(AND(D334="Congé sans solde",F334="Congé sans solde"),0.333333333333333,IF(OR(AND(D334="Congé sans solde",F334&lt;&gt;"Congé sans solde"),(AND(F334="Congé sans solde",D334&lt;&gt;"Congé sans solde"))),0.166666666666667,""))</f>
        <v/>
      </c>
      <c r="AD334" s="8" t="str">
        <f aca="false">IF(AND(D334="Congé spécial",F334="Congé spécial"),0.333333333333333,IF(OR(AND(D334="Congé spécial",F334&lt;&gt;"Congé spécial"),AND(F334="Congé spécial",D334&lt;&gt;"Congé spécial")),0.166666666666667,""))</f>
        <v/>
      </c>
      <c r="AE334" s="8" t="str">
        <f aca="false">IF(AND(D334="Férié",F334="Férié"),0.333333333333333,IF(OR(AND(D334="Férié",F334&lt;&gt;"Férié"),(AND(F334="Férié",D334&lt;&gt;"Férié"))),0.166666666666667,""))</f>
        <v/>
      </c>
      <c r="AF334" s="18"/>
      <c r="AG334" s="18"/>
    </row>
    <row r="335" customFormat="false" ht="15" hidden="false" customHeight="false" outlineLevel="0" collapsed="false">
      <c r="A335" s="6" t="str">
        <f aca="false">YEAR(Q335-WEEKDAY(Q335,2)+4)&amp;"-S"&amp;TEXT(WEEKNUM(Q335,21),"00")</f>
        <v>2026-S07</v>
      </c>
      <c r="B335" s="18" t="s">
        <v>71</v>
      </c>
      <c r="C335" s="19" t="n">
        <v>0.333333333333333</v>
      </c>
      <c r="D335" s="19" t="n">
        <v>0.333333333333333</v>
      </c>
      <c r="E335" s="19" t="n">
        <v>0.75</v>
      </c>
      <c r="F335" s="19" t="n">
        <v>0.75</v>
      </c>
      <c r="G335" s="20"/>
      <c r="H335" s="20"/>
      <c r="I335" s="8" t="str">
        <f aca="false">IF(IF(OR(C335="",D335="Congé",D335="OFF",D335="Congé spécial"),"",IF(D335&gt;F335,D335-C335,IF(C335-D335&lt;0,0,C335-D335)))&lt;0.00068287037037037,"",IF(OR(D335="Congé",D335="OFF",C335="",D335="Congé spécial"),"",IF(D335&gt;F335,D335-C335,IF(C335-D335&lt;0,0,C335-D335))))</f>
        <v/>
      </c>
      <c r="J335" s="20"/>
      <c r="K335" s="8" t="n">
        <f aca="false">IF(SUM(H335:J335)&lt;0.00068287037037037,0,SUM(H335:J335))</f>
        <v>0</v>
      </c>
      <c r="L335" s="8" t="n">
        <f aca="false">IF(OR(F335="Congé",F335="OFF",M335="Abs",F335="Congé sans solde",F335="Férié",F335="Congé spécial",D335="Congé spécial"),0,IF(F335-E335&lt;0,0,IF(F335-E335&lt;=0.00068287037037037,0,F335-E335)))</f>
        <v>0</v>
      </c>
      <c r="M335" s="6" t="n">
        <f aca="false">IF(AND(O335&lt;&gt;0,C335=""),"Abs",0)</f>
        <v>0</v>
      </c>
      <c r="N335" s="8" t="n">
        <f aca="false">IFERROR(IF(OR(D335="OFF",D335="Congé",M335="Abs",D335="Congé sans solde",D335="Férié"),"",IF(O335-K335-L335&gt;O335,O335,IF(O335-K335-L335&lt;0,"",O335-K335-L335))),"")</f>
        <v>0.375</v>
      </c>
      <c r="O335" s="8" t="n">
        <f aca="false">IF(AG335="2H Pause déjeuner",IF(F335-D335-0.0833333333333333&lt;0,F335-D335-0.0833333333333333+1,F335-D335-0.0833333333333333),IF(OR(AND(F335="OFF",D335="OFF"),AND(F335="Congé",D335="Congé"),AND(F335="Congé sans solde",D335="Congé sans solde"),AND(F335="Congé spécial",D335="Congé spécial"),AND(F335="Férié",D335="Férié"),AND(F335="OFF",D335="Congé"),AND(F335="OFF",D335="Congé sans solde"),AND(F335="OFF",D335="Congé spécial"),AND(F335="OFF",D335="Férié"),AND(F335="Congé",D335="OFF"),AND(F335="Congé",D335="Congé sans solde"),AND(F335="Congé",D335="Congé spécial"),AND(F335="Congé",D335="Férié"),AND(F335="Congé sans solde",D335="OFF"),AND(F335="Congé sans solde",D335="Congé"),AND(F335="Congé sans solde",D335="Congé spécial"),AND(F335="Congé sans solde",D335="Férié"),AND(F335="Congé spécial",D335="OFF"),AND(F335="Congé spécial",D335="Congé"),AND(F335="Congé spécial",D335="Congé sans solde"),AND(F335="Congé spécial",D335="Férié"),AND(F335="Férié",D335="OFF"),AND(F335="Férié",D335="Congé"),AND(F335="Férié",D335="Congé sans solde"),AND(F335="Férié",D335="Congé spécial")),0,IF(OR(F335="OFF",F335="Congé",F335="Congé spécial",F335="Congé sans solde",D335="OFF",D335="Congé",D335="Congé spécial",D335="Congé sans solde"),0.208333333333334,IF(AND(AG335="",F335-D335&lt;0),("24:00:00"-D335)+("00:00:00"+F335)-0.0416666666666667,IF(AND(OR(AG335="Allaitement",AG335="Sans déjeuner"),F335-D335&lt;0),("24:00:00"-D335)+("00:00:00"+F335),IF(AND(AG335="",F335-D335&gt;0.166666666666667),F335-D335-0.0416666666666667,IF(AND(OR(AG335="Allaitement",AG335="Sans déjeuner"),F335-D335&gt;0.166666666666667),F335-D335,F335-D335)))))))</f>
        <v>0.375</v>
      </c>
      <c r="P335" s="6" t="str">
        <f aca="false">IFERROR(VLOOKUP($B335,Agents!$A:$D,2,0),"-")</f>
        <v>Accessibilité</v>
      </c>
      <c r="Q335" s="21" t="n">
        <v>46065</v>
      </c>
      <c r="R335" s="8" t="n">
        <f aca="false">IF(M335="Abs",O335,0)</f>
        <v>0</v>
      </c>
      <c r="S335" s="8" t="n">
        <f aca="false">SUM(R335,L335,I335,J335,W335,H335)</f>
        <v>0</v>
      </c>
      <c r="T335" s="6" t="str">
        <f aca="false">"Sem - "&amp;WEEKNUM(Q335,21)</f>
        <v>Sem - 7</v>
      </c>
      <c r="U335" s="6" t="str">
        <f aca="false">CHOOSE(MONTH(Q335),"Janvier","Février","Mars","Avril","Mai","Juin","Juillet","Août","Septembre","Octobre","Novembre","Décembre")</f>
        <v>Février</v>
      </c>
      <c r="V335" s="22" t="n">
        <f aca="false">YEAR(Q335)</f>
        <v>2026</v>
      </c>
      <c r="W335" s="20"/>
      <c r="X335" s="8" t="n">
        <f aca="false">IFERROR(IF(M335="Abs",0,IF(ROUND((D335-C335+E335-F335)*1440,0)&lt;=1,0,D335-C335+E335-F335)),0)</f>
        <v>0</v>
      </c>
      <c r="Y335" s="6" t="str">
        <f aca="false">IFERROR(VLOOKUP($B335,Agents!$A:$D,3,0),"-")</f>
        <v>OUBRAHIM Mohammed</v>
      </c>
      <c r="Z335" s="6" t="str">
        <f aca="false">IFERROR(VLOOKUP($B335,Agents!$A:$D,4,0),"-")</f>
        <v>Credit Mutuel</v>
      </c>
      <c r="AA335" s="18" t="s">
        <v>88</v>
      </c>
      <c r="AB335" s="8" t="str">
        <f aca="false">IF(AND(D335="Congé",F335="Congé"),0.333333333333333,IF(OR(AND(D335="Congé",F335&lt;&gt;"Congé"),(AND(F335="Congé",D335&lt;&gt;"Congé"))),0.166666666666667,""))</f>
        <v/>
      </c>
      <c r="AC335" s="8" t="str">
        <f aca="false">IF(AND(D335="Congé sans solde",F335="Congé sans solde"),0.333333333333333,IF(OR(AND(D335="Congé sans solde",F335&lt;&gt;"Congé sans solde"),(AND(F335="Congé sans solde",D335&lt;&gt;"Congé sans solde"))),0.166666666666667,""))</f>
        <v/>
      </c>
      <c r="AD335" s="8" t="str">
        <f aca="false">IF(AND(D335="Congé spécial",F335="Congé spécial"),0.333333333333333,IF(OR(AND(D335="Congé spécial",F335&lt;&gt;"Congé spécial"),AND(F335="Congé spécial",D335&lt;&gt;"Congé spécial")),0.166666666666667,""))</f>
        <v/>
      </c>
      <c r="AE335" s="8" t="str">
        <f aca="false">IF(AND(D335="Férié",F335="Férié"),0.333333333333333,IF(OR(AND(D335="Férié",F335&lt;&gt;"Férié"),(AND(F335="Férié",D335&lt;&gt;"Férié"))),0.166666666666667,""))</f>
        <v/>
      </c>
      <c r="AF335" s="18"/>
      <c r="AG335" s="18"/>
    </row>
    <row r="336" customFormat="false" ht="15" hidden="false" customHeight="false" outlineLevel="0" collapsed="false">
      <c r="A336" s="6" t="str">
        <f aca="false">YEAR(Q336-WEEKDAY(Q336,2)+4)&amp;"-S"&amp;TEXT(WEEKNUM(Q336,21),"00")</f>
        <v>2026-S07</v>
      </c>
      <c r="B336" s="18" t="s">
        <v>72</v>
      </c>
      <c r="C336" s="19" t="n">
        <v>0.333333333333333</v>
      </c>
      <c r="D336" s="19" t="n">
        <v>0.333333333333333</v>
      </c>
      <c r="E336" s="19" t="n">
        <v>0.75</v>
      </c>
      <c r="F336" s="19" t="n">
        <v>0.75</v>
      </c>
      <c r="G336" s="20"/>
      <c r="H336" s="20"/>
      <c r="I336" s="8" t="str">
        <f aca="false">IF(IF(OR(C336="",D336="Congé",D336="OFF",D336="Congé spécial"),"",IF(D336&gt;F336,D336-C336,IF(C336-D336&lt;0,0,C336-D336)))&lt;0.00068287037037037,"",IF(OR(D336="Congé",D336="OFF",C336="",D336="Congé spécial"),"",IF(D336&gt;F336,D336-C336,IF(C336-D336&lt;0,0,C336-D336))))</f>
        <v/>
      </c>
      <c r="J336" s="20"/>
      <c r="K336" s="8" t="n">
        <f aca="false">IF(SUM(H336:J336)&lt;0.00068287037037037,0,SUM(H336:J336))</f>
        <v>0</v>
      </c>
      <c r="L336" s="8" t="n">
        <f aca="false">IF(OR(F336="Congé",F336="OFF",M336="Abs",F336="Congé sans solde",F336="Férié",F336="Congé spécial",D336="Congé spécial"),0,IF(F336-E336&lt;0,0,IF(F336-E336&lt;=0.00068287037037037,0,F336-E336)))</f>
        <v>0</v>
      </c>
      <c r="M336" s="6" t="n">
        <f aca="false">IF(AND(O336&lt;&gt;0,C336=""),"Abs",0)</f>
        <v>0</v>
      </c>
      <c r="N336" s="8" t="n">
        <f aca="false">IFERROR(IF(OR(D336="OFF",D336="Congé",M336="Abs",D336="Congé sans solde",D336="Férié"),"",IF(O336-K336-L336&gt;O336,O336,IF(O336-K336-L336&lt;0,"",O336-K336-L336))),"")</f>
        <v>0.375</v>
      </c>
      <c r="O336" s="8" t="n">
        <f aca="false">IF(AG336="2H Pause déjeuner",IF(F336-D336-0.0833333333333333&lt;0,F336-D336-0.0833333333333333+1,F336-D336-0.0833333333333333),IF(OR(AND(F336="OFF",D336="OFF"),AND(F336="Congé",D336="Congé"),AND(F336="Congé sans solde",D336="Congé sans solde"),AND(F336="Congé spécial",D336="Congé spécial"),AND(F336="Férié",D336="Férié"),AND(F336="OFF",D336="Congé"),AND(F336="OFF",D336="Congé sans solde"),AND(F336="OFF",D336="Congé spécial"),AND(F336="OFF",D336="Férié"),AND(F336="Congé",D336="OFF"),AND(F336="Congé",D336="Congé sans solde"),AND(F336="Congé",D336="Congé spécial"),AND(F336="Congé",D336="Férié"),AND(F336="Congé sans solde",D336="OFF"),AND(F336="Congé sans solde",D336="Congé"),AND(F336="Congé sans solde",D336="Congé spécial"),AND(F336="Congé sans solde",D336="Férié"),AND(F336="Congé spécial",D336="OFF"),AND(F336="Congé spécial",D336="Congé"),AND(F336="Congé spécial",D336="Congé sans solde"),AND(F336="Congé spécial",D336="Férié"),AND(F336="Férié",D336="OFF"),AND(F336="Férié",D336="Congé"),AND(F336="Férié",D336="Congé sans solde"),AND(F336="Férié",D336="Congé spécial")),0,IF(OR(F336="OFF",F336="Congé",F336="Congé spécial",F336="Congé sans solde",D336="OFF",D336="Congé",D336="Congé spécial",D336="Congé sans solde"),0.208333333333334,IF(AND(AG336="",F336-D336&lt;0),("24:00:00"-D336)+("00:00:00"+F336)-0.0416666666666667,IF(AND(OR(AG336="Allaitement",AG336="Sans déjeuner"),F336-D336&lt;0),("24:00:00"-D336)+("00:00:00"+F336),IF(AND(AG336="",F336-D336&gt;0.166666666666667),F336-D336-0.0416666666666667,IF(AND(OR(AG336="Allaitement",AG336="Sans déjeuner"),F336-D336&gt;0.166666666666667),F336-D336,F336-D336)))))))</f>
        <v>0.375</v>
      </c>
      <c r="P336" s="6" t="str">
        <f aca="false">IFERROR(VLOOKUP($B336,Agents!$A:$D,2,0),"-")</f>
        <v>Accessibilité</v>
      </c>
      <c r="Q336" s="21" t="n">
        <v>46065</v>
      </c>
      <c r="R336" s="8" t="n">
        <f aca="false">IF(M336="Abs",O336,0)</f>
        <v>0</v>
      </c>
      <c r="S336" s="8" t="n">
        <f aca="false">SUM(R336,L336,I336,J336,W336,H336)</f>
        <v>0</v>
      </c>
      <c r="T336" s="6" t="str">
        <f aca="false">"Sem - "&amp;WEEKNUM(Q336,21)</f>
        <v>Sem - 7</v>
      </c>
      <c r="U336" s="6" t="str">
        <f aca="false">CHOOSE(MONTH(Q336),"Janvier","Février","Mars","Avril","Mai","Juin","Juillet","Août","Septembre","Octobre","Novembre","Décembre")</f>
        <v>Février</v>
      </c>
      <c r="V336" s="22" t="n">
        <f aca="false">YEAR(Q336)</f>
        <v>2026</v>
      </c>
      <c r="W336" s="20"/>
      <c r="X336" s="8" t="n">
        <f aca="false">IFERROR(IF(M336="Abs",0,IF(ROUND((D336-C336+E336-F336)*1440,0)&lt;=1,0,D336-C336+E336-F336)),0)</f>
        <v>0</v>
      </c>
      <c r="Y336" s="6" t="str">
        <f aca="false">IFERROR(VLOOKUP($B336,Agents!$A:$D,3,0),"-")</f>
        <v>OUBRAHIM Mohammed</v>
      </c>
      <c r="Z336" s="6" t="str">
        <f aca="false">IFERROR(VLOOKUP($B336,Agents!$A:$D,4,0),"-")</f>
        <v>Credit Mutuel</v>
      </c>
      <c r="AA336" s="18" t="s">
        <v>88</v>
      </c>
      <c r="AB336" s="8" t="str">
        <f aca="false">IF(AND(D336="Congé",F336="Congé"),0.333333333333333,IF(OR(AND(D336="Congé",F336&lt;&gt;"Congé"),(AND(F336="Congé",D336&lt;&gt;"Congé"))),0.166666666666667,""))</f>
        <v/>
      </c>
      <c r="AC336" s="8" t="str">
        <f aca="false">IF(AND(D336="Congé sans solde",F336="Congé sans solde"),0.333333333333333,IF(OR(AND(D336="Congé sans solde",F336&lt;&gt;"Congé sans solde"),(AND(F336="Congé sans solde",D336&lt;&gt;"Congé sans solde"))),0.166666666666667,""))</f>
        <v/>
      </c>
      <c r="AD336" s="8" t="str">
        <f aca="false">IF(AND(D336="Congé spécial",F336="Congé spécial"),0.333333333333333,IF(OR(AND(D336="Congé spécial",F336&lt;&gt;"Congé spécial"),AND(F336="Congé spécial",D336&lt;&gt;"Congé spécial")),0.166666666666667,""))</f>
        <v/>
      </c>
      <c r="AE336" s="8" t="str">
        <f aca="false">IF(AND(D336="Férié",F336="Férié"),0.333333333333333,IF(OR(AND(D336="Férié",F336&lt;&gt;"Férié"),(AND(F336="Férié",D336&lt;&gt;"Férié"))),0.166666666666667,""))</f>
        <v/>
      </c>
      <c r="AF336" s="18"/>
      <c r="AG336" s="18"/>
    </row>
    <row r="337" customFormat="false" ht="15" hidden="false" customHeight="false" outlineLevel="0" collapsed="false">
      <c r="A337" s="6" t="str">
        <f aca="false">YEAR(Q337-WEEKDAY(Q337,2)+4)&amp;"-S"&amp;TEXT(WEEKNUM(Q337,21),"00")</f>
        <v>2026-S07</v>
      </c>
      <c r="B337" s="18" t="s">
        <v>73</v>
      </c>
      <c r="C337" s="19" t="n">
        <v>0.333333333333333</v>
      </c>
      <c r="D337" s="19" t="n">
        <v>0.333333333333333</v>
      </c>
      <c r="E337" s="19" t="n">
        <v>0.75</v>
      </c>
      <c r="F337" s="19" t="n">
        <v>0.75</v>
      </c>
      <c r="G337" s="20"/>
      <c r="H337" s="20"/>
      <c r="I337" s="8" t="str">
        <f aca="false">IF(IF(OR(C337="",D337="Congé",D337="OFF",D337="Congé spécial"),"",IF(D337&gt;F337,D337-C337,IF(C337-D337&lt;0,0,C337-D337)))&lt;0.00068287037037037,"",IF(OR(D337="Congé",D337="OFF",C337="",D337="Congé spécial"),"",IF(D337&gt;F337,D337-C337,IF(C337-D337&lt;0,0,C337-D337))))</f>
        <v/>
      </c>
      <c r="J337" s="20"/>
      <c r="K337" s="8" t="n">
        <f aca="false">IF(SUM(H337:J337)&lt;0.00068287037037037,0,SUM(H337:J337))</f>
        <v>0</v>
      </c>
      <c r="L337" s="8" t="n">
        <f aca="false">IF(OR(F337="Congé",F337="OFF",M337="Abs",F337="Congé sans solde",F337="Férié",F337="Congé spécial",D337="Congé spécial"),0,IF(F337-E337&lt;0,0,IF(F337-E337&lt;=0.00068287037037037,0,F337-E337)))</f>
        <v>0</v>
      </c>
      <c r="M337" s="6" t="n">
        <f aca="false">IF(AND(O337&lt;&gt;0,C337=""),"Abs",0)</f>
        <v>0</v>
      </c>
      <c r="N337" s="8" t="n">
        <f aca="false">IFERROR(IF(OR(D337="OFF",D337="Congé",M337="Abs",D337="Congé sans solde",D337="Férié"),"",IF(O337-K337-L337&gt;O337,O337,IF(O337-K337-L337&lt;0,"",O337-K337-L337))),"")</f>
        <v>0.375</v>
      </c>
      <c r="O337" s="8" t="n">
        <f aca="false">IF(AG337="2H Pause déjeuner",IF(F337-D337-0.0833333333333333&lt;0,F337-D337-0.0833333333333333+1,F337-D337-0.0833333333333333),IF(OR(AND(F337="OFF",D337="OFF"),AND(F337="Congé",D337="Congé"),AND(F337="Congé sans solde",D337="Congé sans solde"),AND(F337="Congé spécial",D337="Congé spécial"),AND(F337="Férié",D337="Férié"),AND(F337="OFF",D337="Congé"),AND(F337="OFF",D337="Congé sans solde"),AND(F337="OFF",D337="Congé spécial"),AND(F337="OFF",D337="Férié"),AND(F337="Congé",D337="OFF"),AND(F337="Congé",D337="Congé sans solde"),AND(F337="Congé",D337="Congé spécial"),AND(F337="Congé",D337="Férié"),AND(F337="Congé sans solde",D337="OFF"),AND(F337="Congé sans solde",D337="Congé"),AND(F337="Congé sans solde",D337="Congé spécial"),AND(F337="Congé sans solde",D337="Férié"),AND(F337="Congé spécial",D337="OFF"),AND(F337="Congé spécial",D337="Congé"),AND(F337="Congé spécial",D337="Congé sans solde"),AND(F337="Congé spécial",D337="Férié"),AND(F337="Férié",D337="OFF"),AND(F337="Férié",D337="Congé"),AND(F337="Férié",D337="Congé sans solde"),AND(F337="Férié",D337="Congé spécial")),0,IF(OR(F337="OFF",F337="Congé",F337="Congé spécial",F337="Congé sans solde",D337="OFF",D337="Congé",D337="Congé spécial",D337="Congé sans solde"),0.208333333333334,IF(AND(AG337="",F337-D337&lt;0),("24:00:00"-D337)+("00:00:00"+F337)-0.0416666666666667,IF(AND(OR(AG337="Allaitement",AG337="Sans déjeuner"),F337-D337&lt;0),("24:00:00"-D337)+("00:00:00"+F337),IF(AND(AG337="",F337-D337&gt;0.166666666666667),F337-D337-0.0416666666666667,IF(AND(OR(AG337="Allaitement",AG337="Sans déjeuner"),F337-D337&gt;0.166666666666667),F337-D337,F337-D337)))))))</f>
        <v>0.375</v>
      </c>
      <c r="P337" s="6" t="str">
        <f aca="false">IFERROR(VLOOKUP($B337,Agents!$A:$D,2,0),"-")</f>
        <v>Accessibilité</v>
      </c>
      <c r="Q337" s="21" t="n">
        <v>46065</v>
      </c>
      <c r="R337" s="8" t="n">
        <f aca="false">IF(M337="Abs",O337,0)</f>
        <v>0</v>
      </c>
      <c r="S337" s="8" t="n">
        <f aca="false">SUM(R337,L337,I337,J337,W337,H337)</f>
        <v>0</v>
      </c>
      <c r="T337" s="6" t="str">
        <f aca="false">"Sem - "&amp;WEEKNUM(Q337,21)</f>
        <v>Sem - 7</v>
      </c>
      <c r="U337" s="6" t="str">
        <f aca="false">CHOOSE(MONTH(Q337),"Janvier","Février","Mars","Avril","Mai","Juin","Juillet","Août","Septembre","Octobre","Novembre","Décembre")</f>
        <v>Février</v>
      </c>
      <c r="V337" s="22" t="n">
        <f aca="false">YEAR(Q337)</f>
        <v>2026</v>
      </c>
      <c r="W337" s="20"/>
      <c r="X337" s="8" t="n">
        <f aca="false">IFERROR(IF(M337="Abs",0,IF(ROUND((D337-C337+E337-F337)*1440,0)&lt;=1,0,D337-C337+E337-F337)),0)</f>
        <v>0</v>
      </c>
      <c r="Y337" s="6" t="str">
        <f aca="false">IFERROR(VLOOKUP($B337,Agents!$A:$D,3,0),"-")</f>
        <v>OUBRAHIM Mohammed</v>
      </c>
      <c r="Z337" s="6" t="str">
        <f aca="false">IFERROR(VLOOKUP($B337,Agents!$A:$D,4,0),"-")</f>
        <v>Credit Mutuel</v>
      </c>
      <c r="AA337" s="18" t="s">
        <v>88</v>
      </c>
      <c r="AB337" s="8" t="str">
        <f aca="false">IF(AND(D337="Congé",F337="Congé"),0.333333333333333,IF(OR(AND(D337="Congé",F337&lt;&gt;"Congé"),(AND(F337="Congé",D337&lt;&gt;"Congé"))),0.166666666666667,""))</f>
        <v/>
      </c>
      <c r="AC337" s="8" t="str">
        <f aca="false">IF(AND(D337="Congé sans solde",F337="Congé sans solde"),0.333333333333333,IF(OR(AND(D337="Congé sans solde",F337&lt;&gt;"Congé sans solde"),(AND(F337="Congé sans solde",D337&lt;&gt;"Congé sans solde"))),0.166666666666667,""))</f>
        <v/>
      </c>
      <c r="AD337" s="8" t="str">
        <f aca="false">IF(AND(D337="Congé spécial",F337="Congé spécial"),0.333333333333333,IF(OR(AND(D337="Congé spécial",F337&lt;&gt;"Congé spécial"),AND(F337="Congé spécial",D337&lt;&gt;"Congé spécial")),0.166666666666667,""))</f>
        <v/>
      </c>
      <c r="AE337" s="8" t="str">
        <f aca="false">IF(AND(D337="Férié",F337="Férié"),0.333333333333333,IF(OR(AND(D337="Férié",F337&lt;&gt;"Férié"),(AND(F337="Férié",D337&lt;&gt;"Férié"))),0.166666666666667,""))</f>
        <v/>
      </c>
      <c r="AF337" s="18"/>
      <c r="AG337" s="18"/>
    </row>
    <row r="338" customFormat="false" ht="15" hidden="false" customHeight="false" outlineLevel="0" collapsed="false">
      <c r="A338" s="6" t="str">
        <f aca="false">YEAR(Q338-WEEKDAY(Q338,2)+4)&amp;"-S"&amp;TEXT(WEEKNUM(Q338,21),"00")</f>
        <v>2026-S07</v>
      </c>
      <c r="B338" s="18" t="s">
        <v>69</v>
      </c>
      <c r="C338" s="19" t="n">
        <v>0.333333333333333</v>
      </c>
      <c r="D338" s="19" t="n">
        <v>0.333333333333333</v>
      </c>
      <c r="E338" s="19" t="n">
        <v>0.708333333333333</v>
      </c>
      <c r="F338" s="19" t="n">
        <v>0.708333333333333</v>
      </c>
      <c r="G338" s="20"/>
      <c r="H338" s="20"/>
      <c r="I338" s="8" t="str">
        <f aca="false">IF(IF(OR(C338="",D338="Congé",D338="OFF",D338="Congé spécial"),"",IF(D338&gt;F338,D338-C338,IF(C338-D338&lt;0,0,C338-D338)))&lt;0.00068287037037037,"",IF(OR(D338="Congé",D338="OFF",C338="",D338="Congé spécial"),"",IF(D338&gt;F338,D338-C338,IF(C338-D338&lt;0,0,C338-D338))))</f>
        <v/>
      </c>
      <c r="J338" s="20"/>
      <c r="K338" s="8" t="n">
        <f aca="false">IF(SUM(H338:J338)&lt;0.00068287037037037,0,SUM(H338:J338))</f>
        <v>0</v>
      </c>
      <c r="L338" s="8" t="n">
        <f aca="false">IF(OR(F338="Congé",F338="OFF",M338="Abs",F338="Congé sans solde",F338="Férié",F338="Congé spécial",D338="Congé spécial"),0,IF(F338-E338&lt;0,0,IF(F338-E338&lt;=0.00068287037037037,0,F338-E338)))</f>
        <v>0</v>
      </c>
      <c r="M338" s="6" t="n">
        <f aca="false">IF(AND(O338&lt;&gt;0,C338=""),"Abs",0)</f>
        <v>0</v>
      </c>
      <c r="N338" s="8" t="n">
        <f aca="false">IFERROR(IF(OR(D338="OFF",D338="Congé",M338="Abs",D338="Congé sans solde",D338="Férié"),"",IF(O338-K338-L338&gt;O338,O338,IF(O338-K338-L338&lt;0,"",O338-K338-L338))),"")</f>
        <v>0.333333333333333</v>
      </c>
      <c r="O338" s="8" t="n">
        <f aca="false">IF(AG338="2H Pause déjeuner",IF(F338-D338-0.0833333333333333&lt;0,F338-D338-0.0833333333333333+1,F338-D338-0.0833333333333333),IF(OR(AND(F338="OFF",D338="OFF"),AND(F338="Congé",D338="Congé"),AND(F338="Congé sans solde",D338="Congé sans solde"),AND(F338="Congé spécial",D338="Congé spécial"),AND(F338="Férié",D338="Férié"),AND(F338="OFF",D338="Congé"),AND(F338="OFF",D338="Congé sans solde"),AND(F338="OFF",D338="Congé spécial"),AND(F338="OFF",D338="Férié"),AND(F338="Congé",D338="OFF"),AND(F338="Congé",D338="Congé sans solde"),AND(F338="Congé",D338="Congé spécial"),AND(F338="Congé",D338="Férié"),AND(F338="Congé sans solde",D338="OFF"),AND(F338="Congé sans solde",D338="Congé"),AND(F338="Congé sans solde",D338="Congé spécial"),AND(F338="Congé sans solde",D338="Férié"),AND(F338="Congé spécial",D338="OFF"),AND(F338="Congé spécial",D338="Congé"),AND(F338="Congé spécial",D338="Congé sans solde"),AND(F338="Congé spécial",D338="Férié"),AND(F338="Férié",D338="OFF"),AND(F338="Férié",D338="Congé"),AND(F338="Férié",D338="Congé sans solde"),AND(F338="Férié",D338="Congé spécial")),0,IF(OR(F338="OFF",F338="Congé",F338="Congé spécial",F338="Congé sans solde",D338="OFF",D338="Congé",D338="Congé spécial",D338="Congé sans solde"),0.208333333333334,IF(AND(AG338="",F338-D338&lt;0),("24:00:00"-D338)+("00:00:00"+F338)-0.0416666666666667,IF(AND(OR(AG338="Allaitement",AG338="Sans déjeuner"),F338-D338&lt;0),("24:00:00"-D338)+("00:00:00"+F338),IF(AND(AG338="",F338-D338&gt;0.166666666666667),F338-D338-0.0416666666666667,IF(AND(OR(AG338="Allaitement",AG338="Sans déjeuner"),F338-D338&gt;0.166666666666667),F338-D338,F338-D338)))))))</f>
        <v>0.333333333333333</v>
      </c>
      <c r="P338" s="6" t="str">
        <f aca="false">IFERROR(VLOOKUP($B338,Agents!$A:$D,2,0),"-")</f>
        <v>Accessibilité</v>
      </c>
      <c r="Q338" s="21" t="n">
        <v>46066</v>
      </c>
      <c r="R338" s="8" t="n">
        <f aca="false">IF(M338="Abs",O338,0)</f>
        <v>0</v>
      </c>
      <c r="S338" s="8" t="n">
        <f aca="false">SUM(R338,L338,I338,J338,W338,H338)</f>
        <v>0</v>
      </c>
      <c r="T338" s="6" t="str">
        <f aca="false">"Sem - "&amp;WEEKNUM(Q338,21)</f>
        <v>Sem - 7</v>
      </c>
      <c r="U338" s="6" t="str">
        <f aca="false">CHOOSE(MONTH(Q338),"Janvier","Février","Mars","Avril","Mai","Juin","Juillet","Août","Septembre","Octobre","Novembre","Décembre")</f>
        <v>Février</v>
      </c>
      <c r="V338" s="22" t="n">
        <f aca="false">YEAR(Q338)</f>
        <v>2026</v>
      </c>
      <c r="W338" s="20"/>
      <c r="X338" s="8" t="n">
        <f aca="false">IFERROR(IF(M338="Abs",0,IF(ROUND((D338-C338+E338-F338)*1440,0)&lt;=1,0,D338-C338+E338-F338)),0)</f>
        <v>0</v>
      </c>
      <c r="Y338" s="6" t="str">
        <f aca="false">IFERROR(VLOOKUP($B338,Agents!$A:$D,3,0),"-")</f>
        <v>OUBRAHIM Mohammed</v>
      </c>
      <c r="Z338" s="6" t="str">
        <f aca="false">IFERROR(VLOOKUP($B338,Agents!$A:$D,4,0),"-")</f>
        <v>Credit Mutuel</v>
      </c>
      <c r="AA338" s="18" t="s">
        <v>88</v>
      </c>
      <c r="AB338" s="8" t="str">
        <f aca="false">IF(AND(D338="Congé",F338="Congé"),0.333333333333333,IF(OR(AND(D338="Congé",F338&lt;&gt;"Congé"),(AND(F338="Congé",D338&lt;&gt;"Congé"))),0.166666666666667,""))</f>
        <v/>
      </c>
      <c r="AC338" s="8" t="str">
        <f aca="false">IF(AND(D338="Congé sans solde",F338="Congé sans solde"),0.333333333333333,IF(OR(AND(D338="Congé sans solde",F338&lt;&gt;"Congé sans solde"),(AND(F338="Congé sans solde",D338&lt;&gt;"Congé sans solde"))),0.166666666666667,""))</f>
        <v/>
      </c>
      <c r="AD338" s="8" t="str">
        <f aca="false">IF(AND(D338="Congé spécial",F338="Congé spécial"),0.333333333333333,IF(OR(AND(D338="Congé spécial",F338&lt;&gt;"Congé spécial"),AND(F338="Congé spécial",D338&lt;&gt;"Congé spécial")),0.166666666666667,""))</f>
        <v/>
      </c>
      <c r="AE338" s="8" t="str">
        <f aca="false">IF(AND(D338="Férié",F338="Férié"),0.333333333333333,IF(OR(AND(D338="Férié",F338&lt;&gt;"Férié"),(AND(F338="Férié",D338&lt;&gt;"Férié"))),0.166666666666667,""))</f>
        <v/>
      </c>
      <c r="AF338" s="18"/>
      <c r="AG338" s="18"/>
    </row>
    <row r="339" customFormat="false" ht="15" hidden="false" customHeight="false" outlineLevel="0" collapsed="false">
      <c r="A339" s="6" t="str">
        <f aca="false">YEAR(Q339-WEEKDAY(Q339,2)+4)&amp;"-S"&amp;TEXT(WEEKNUM(Q339,21),"00")</f>
        <v>2026-S07</v>
      </c>
      <c r="B339" s="18" t="s">
        <v>71</v>
      </c>
      <c r="C339" s="19" t="n">
        <v>0.333333333333333</v>
      </c>
      <c r="D339" s="19" t="n">
        <v>0.333333333333333</v>
      </c>
      <c r="E339" s="19" t="n">
        <v>0.708333333333333</v>
      </c>
      <c r="F339" s="19" t="n">
        <v>0.708333333333333</v>
      </c>
      <c r="G339" s="20"/>
      <c r="H339" s="20"/>
      <c r="I339" s="8" t="str">
        <f aca="false">IF(IF(OR(C339="",D339="Congé",D339="OFF",D339="Congé spécial"),"",IF(D339&gt;F339,D339-C339,IF(C339-D339&lt;0,0,C339-D339)))&lt;0.00068287037037037,"",IF(OR(D339="Congé",D339="OFF",C339="",D339="Congé spécial"),"",IF(D339&gt;F339,D339-C339,IF(C339-D339&lt;0,0,C339-D339))))</f>
        <v/>
      </c>
      <c r="J339" s="20"/>
      <c r="K339" s="8" t="n">
        <f aca="false">IF(SUM(H339:J339)&lt;0.00068287037037037,0,SUM(H339:J339))</f>
        <v>0</v>
      </c>
      <c r="L339" s="8" t="n">
        <f aca="false">IF(OR(F339="Congé",F339="OFF",M339="Abs",F339="Congé sans solde",F339="Férié",F339="Congé spécial",D339="Congé spécial"),0,IF(F339-E339&lt;0,0,IF(F339-E339&lt;=0.00068287037037037,0,F339-E339)))</f>
        <v>0</v>
      </c>
      <c r="M339" s="6" t="n">
        <f aca="false">IF(AND(O339&lt;&gt;0,C339=""),"Abs",0)</f>
        <v>0</v>
      </c>
      <c r="N339" s="8" t="n">
        <f aca="false">IFERROR(IF(OR(D339="OFF",D339="Congé",M339="Abs",D339="Congé sans solde",D339="Férié"),"",IF(O339-K339-L339&gt;O339,O339,IF(O339-K339-L339&lt;0,"",O339-K339-L339))),"")</f>
        <v>0.333333333333333</v>
      </c>
      <c r="O339" s="8" t="n">
        <f aca="false">IF(AG339="2H Pause déjeuner",IF(F339-D339-0.0833333333333333&lt;0,F339-D339-0.0833333333333333+1,F339-D339-0.0833333333333333),IF(OR(AND(F339="OFF",D339="OFF"),AND(F339="Congé",D339="Congé"),AND(F339="Congé sans solde",D339="Congé sans solde"),AND(F339="Congé spécial",D339="Congé spécial"),AND(F339="Férié",D339="Férié"),AND(F339="OFF",D339="Congé"),AND(F339="OFF",D339="Congé sans solde"),AND(F339="OFF",D339="Congé spécial"),AND(F339="OFF",D339="Férié"),AND(F339="Congé",D339="OFF"),AND(F339="Congé",D339="Congé sans solde"),AND(F339="Congé",D339="Congé spécial"),AND(F339="Congé",D339="Férié"),AND(F339="Congé sans solde",D339="OFF"),AND(F339="Congé sans solde",D339="Congé"),AND(F339="Congé sans solde",D339="Congé spécial"),AND(F339="Congé sans solde",D339="Férié"),AND(F339="Congé spécial",D339="OFF"),AND(F339="Congé spécial",D339="Congé"),AND(F339="Congé spécial",D339="Congé sans solde"),AND(F339="Congé spécial",D339="Férié"),AND(F339="Férié",D339="OFF"),AND(F339="Férié",D339="Congé"),AND(F339="Férié",D339="Congé sans solde"),AND(F339="Férié",D339="Congé spécial")),0,IF(OR(F339="OFF",F339="Congé",F339="Congé spécial",F339="Congé sans solde",D339="OFF",D339="Congé",D339="Congé spécial",D339="Congé sans solde"),0.208333333333334,IF(AND(AG339="",F339-D339&lt;0),("24:00:00"-D339)+("00:00:00"+F339)-0.0416666666666667,IF(AND(OR(AG339="Allaitement",AG339="Sans déjeuner"),F339-D339&lt;0),("24:00:00"-D339)+("00:00:00"+F339),IF(AND(AG339="",F339-D339&gt;0.166666666666667),F339-D339-0.0416666666666667,IF(AND(OR(AG339="Allaitement",AG339="Sans déjeuner"),F339-D339&gt;0.166666666666667),F339-D339,F339-D339)))))))</f>
        <v>0.333333333333333</v>
      </c>
      <c r="P339" s="6" t="str">
        <f aca="false">IFERROR(VLOOKUP($B339,Agents!$A:$D,2,0),"-")</f>
        <v>Accessibilité</v>
      </c>
      <c r="Q339" s="21" t="n">
        <v>46066</v>
      </c>
      <c r="R339" s="8" t="n">
        <f aca="false">IF(M339="Abs",O339,0)</f>
        <v>0</v>
      </c>
      <c r="S339" s="8" t="n">
        <f aca="false">SUM(R339,L339,I339,J339,W339,H339)</f>
        <v>0</v>
      </c>
      <c r="T339" s="6" t="str">
        <f aca="false">"Sem - "&amp;WEEKNUM(Q339,21)</f>
        <v>Sem - 7</v>
      </c>
      <c r="U339" s="6" t="str">
        <f aca="false">CHOOSE(MONTH(Q339),"Janvier","Février","Mars","Avril","Mai","Juin","Juillet","Août","Septembre","Octobre","Novembre","Décembre")</f>
        <v>Février</v>
      </c>
      <c r="V339" s="22" t="n">
        <f aca="false">YEAR(Q339)</f>
        <v>2026</v>
      </c>
      <c r="W339" s="20"/>
      <c r="X339" s="8" t="n">
        <f aca="false">IFERROR(IF(M339="Abs",0,IF(ROUND((D339-C339+E339-F339)*1440,0)&lt;=1,0,D339-C339+E339-F339)),0)</f>
        <v>0</v>
      </c>
      <c r="Y339" s="6" t="str">
        <f aca="false">IFERROR(VLOOKUP($B339,Agents!$A:$D,3,0),"-")</f>
        <v>OUBRAHIM Mohammed</v>
      </c>
      <c r="Z339" s="6" t="str">
        <f aca="false">IFERROR(VLOOKUP($B339,Agents!$A:$D,4,0),"-")</f>
        <v>Credit Mutuel</v>
      </c>
      <c r="AA339" s="18" t="s">
        <v>88</v>
      </c>
      <c r="AB339" s="8" t="str">
        <f aca="false">IF(AND(D339="Congé",F339="Congé"),0.333333333333333,IF(OR(AND(D339="Congé",F339&lt;&gt;"Congé"),(AND(F339="Congé",D339&lt;&gt;"Congé"))),0.166666666666667,""))</f>
        <v/>
      </c>
      <c r="AC339" s="8" t="str">
        <f aca="false">IF(AND(D339="Congé sans solde",F339="Congé sans solde"),0.333333333333333,IF(OR(AND(D339="Congé sans solde",F339&lt;&gt;"Congé sans solde"),(AND(F339="Congé sans solde",D339&lt;&gt;"Congé sans solde"))),0.166666666666667,""))</f>
        <v/>
      </c>
      <c r="AD339" s="8" t="str">
        <f aca="false">IF(AND(D339="Congé spécial",F339="Congé spécial"),0.333333333333333,IF(OR(AND(D339="Congé spécial",F339&lt;&gt;"Congé spécial"),AND(F339="Congé spécial",D339&lt;&gt;"Congé spécial")),0.166666666666667,""))</f>
        <v/>
      </c>
      <c r="AE339" s="8" t="str">
        <f aca="false">IF(AND(D339="Férié",F339="Férié"),0.333333333333333,IF(OR(AND(D339="Férié",F339&lt;&gt;"Férié"),(AND(F339="Férié",D339&lt;&gt;"Férié"))),0.166666666666667,""))</f>
        <v/>
      </c>
      <c r="AF339" s="18"/>
      <c r="AG339" s="18"/>
    </row>
    <row r="340" customFormat="false" ht="15" hidden="false" customHeight="false" outlineLevel="0" collapsed="false">
      <c r="A340" s="6" t="str">
        <f aca="false">YEAR(Q340-WEEKDAY(Q340,2)+4)&amp;"-S"&amp;TEXT(WEEKNUM(Q340,21),"00")</f>
        <v>2026-S07</v>
      </c>
      <c r="B340" s="18" t="s">
        <v>72</v>
      </c>
      <c r="C340" s="19" t="n">
        <v>0.333333333333333</v>
      </c>
      <c r="D340" s="19" t="n">
        <v>0.333333333333333</v>
      </c>
      <c r="E340" s="19" t="n">
        <v>0.708333333333333</v>
      </c>
      <c r="F340" s="19" t="n">
        <v>0.708333333333333</v>
      </c>
      <c r="G340" s="20"/>
      <c r="H340" s="20"/>
      <c r="I340" s="8" t="str">
        <f aca="false">IF(IF(OR(C340="",D340="Congé",D340="OFF",D340="Congé spécial"),"",IF(D340&gt;F340,D340-C340,IF(C340-D340&lt;0,0,C340-D340)))&lt;0.00068287037037037,"",IF(OR(D340="Congé",D340="OFF",C340="",D340="Congé spécial"),"",IF(D340&gt;F340,D340-C340,IF(C340-D340&lt;0,0,C340-D340))))</f>
        <v/>
      </c>
      <c r="J340" s="20"/>
      <c r="K340" s="8" t="n">
        <f aca="false">IF(SUM(H340:J340)&lt;0.00068287037037037,0,SUM(H340:J340))</f>
        <v>0</v>
      </c>
      <c r="L340" s="8" t="n">
        <f aca="false">IF(OR(F340="Congé",F340="OFF",M340="Abs",F340="Congé sans solde",F340="Férié",F340="Congé spécial",D340="Congé spécial"),0,IF(F340-E340&lt;0,0,IF(F340-E340&lt;=0.00068287037037037,0,F340-E340)))</f>
        <v>0</v>
      </c>
      <c r="M340" s="6" t="n">
        <f aca="false">IF(AND(O340&lt;&gt;0,C340=""),"Abs",0)</f>
        <v>0</v>
      </c>
      <c r="N340" s="8" t="n">
        <f aca="false">IFERROR(IF(OR(D340="OFF",D340="Congé",M340="Abs",D340="Congé sans solde",D340="Férié"),"",IF(O340-K340-L340&gt;O340,O340,IF(O340-K340-L340&lt;0,"",O340-K340-L340))),"")</f>
        <v>0.333333333333333</v>
      </c>
      <c r="O340" s="8" t="n">
        <f aca="false">IF(AG340="2H Pause déjeuner",IF(F340-D340-0.0833333333333333&lt;0,F340-D340-0.0833333333333333+1,F340-D340-0.0833333333333333),IF(OR(AND(F340="OFF",D340="OFF"),AND(F340="Congé",D340="Congé"),AND(F340="Congé sans solde",D340="Congé sans solde"),AND(F340="Congé spécial",D340="Congé spécial"),AND(F340="Férié",D340="Férié"),AND(F340="OFF",D340="Congé"),AND(F340="OFF",D340="Congé sans solde"),AND(F340="OFF",D340="Congé spécial"),AND(F340="OFF",D340="Férié"),AND(F340="Congé",D340="OFF"),AND(F340="Congé",D340="Congé sans solde"),AND(F340="Congé",D340="Congé spécial"),AND(F340="Congé",D340="Férié"),AND(F340="Congé sans solde",D340="OFF"),AND(F340="Congé sans solde",D340="Congé"),AND(F340="Congé sans solde",D340="Congé spécial"),AND(F340="Congé sans solde",D340="Férié"),AND(F340="Congé spécial",D340="OFF"),AND(F340="Congé spécial",D340="Congé"),AND(F340="Congé spécial",D340="Congé sans solde"),AND(F340="Congé spécial",D340="Férié"),AND(F340="Férié",D340="OFF"),AND(F340="Férié",D340="Congé"),AND(F340="Férié",D340="Congé sans solde"),AND(F340="Férié",D340="Congé spécial")),0,IF(OR(F340="OFF",F340="Congé",F340="Congé spécial",F340="Congé sans solde",D340="OFF",D340="Congé",D340="Congé spécial",D340="Congé sans solde"),0.208333333333334,IF(AND(AG340="",F340-D340&lt;0),("24:00:00"-D340)+("00:00:00"+F340)-0.0416666666666667,IF(AND(OR(AG340="Allaitement",AG340="Sans déjeuner"),F340-D340&lt;0),("24:00:00"-D340)+("00:00:00"+F340),IF(AND(AG340="",F340-D340&gt;0.166666666666667),F340-D340-0.0416666666666667,IF(AND(OR(AG340="Allaitement",AG340="Sans déjeuner"),F340-D340&gt;0.166666666666667),F340-D340,F340-D340)))))))</f>
        <v>0.333333333333333</v>
      </c>
      <c r="P340" s="6" t="str">
        <f aca="false">IFERROR(VLOOKUP($B340,Agents!$A:$D,2,0),"-")</f>
        <v>Accessibilité</v>
      </c>
      <c r="Q340" s="21" t="n">
        <v>46066</v>
      </c>
      <c r="R340" s="8" t="n">
        <f aca="false">IF(M340="Abs",O340,0)</f>
        <v>0</v>
      </c>
      <c r="S340" s="8" t="n">
        <f aca="false">SUM(R340,L340,I340,J340,W340,H340)</f>
        <v>0</v>
      </c>
      <c r="T340" s="6" t="str">
        <f aca="false">"Sem - "&amp;WEEKNUM(Q340,21)</f>
        <v>Sem - 7</v>
      </c>
      <c r="U340" s="6" t="str">
        <f aca="false">CHOOSE(MONTH(Q340),"Janvier","Février","Mars","Avril","Mai","Juin","Juillet","Août","Septembre","Octobre","Novembre","Décembre")</f>
        <v>Février</v>
      </c>
      <c r="V340" s="22" t="n">
        <f aca="false">YEAR(Q340)</f>
        <v>2026</v>
      </c>
      <c r="W340" s="20"/>
      <c r="X340" s="8" t="n">
        <f aca="false">IFERROR(IF(M340="Abs",0,IF(ROUND((D340-C340+E340-F340)*1440,0)&lt;=1,0,D340-C340+E340-F340)),0)</f>
        <v>0</v>
      </c>
      <c r="Y340" s="6" t="str">
        <f aca="false">IFERROR(VLOOKUP($B340,Agents!$A:$D,3,0),"-")</f>
        <v>OUBRAHIM Mohammed</v>
      </c>
      <c r="Z340" s="6" t="str">
        <f aca="false">IFERROR(VLOOKUP($B340,Agents!$A:$D,4,0),"-")</f>
        <v>Credit Mutuel</v>
      </c>
      <c r="AA340" s="18" t="s">
        <v>88</v>
      </c>
      <c r="AB340" s="8" t="str">
        <f aca="false">IF(AND(D340="Congé",F340="Congé"),0.333333333333333,IF(OR(AND(D340="Congé",F340&lt;&gt;"Congé"),(AND(F340="Congé",D340&lt;&gt;"Congé"))),0.166666666666667,""))</f>
        <v/>
      </c>
      <c r="AC340" s="8" t="str">
        <f aca="false">IF(AND(D340="Congé sans solde",F340="Congé sans solde"),0.333333333333333,IF(OR(AND(D340="Congé sans solde",F340&lt;&gt;"Congé sans solde"),(AND(F340="Congé sans solde",D340&lt;&gt;"Congé sans solde"))),0.166666666666667,""))</f>
        <v/>
      </c>
      <c r="AD340" s="8" t="str">
        <f aca="false">IF(AND(D340="Congé spécial",F340="Congé spécial"),0.333333333333333,IF(OR(AND(D340="Congé spécial",F340&lt;&gt;"Congé spécial"),AND(F340="Congé spécial",D340&lt;&gt;"Congé spécial")),0.166666666666667,""))</f>
        <v/>
      </c>
      <c r="AE340" s="8" t="str">
        <f aca="false">IF(AND(D340="Férié",F340="Férié"),0.333333333333333,IF(OR(AND(D340="Férié",F340&lt;&gt;"Férié"),(AND(F340="Férié",D340&lt;&gt;"Férié"))),0.166666666666667,""))</f>
        <v/>
      </c>
      <c r="AF340" s="18"/>
      <c r="AG340" s="18"/>
    </row>
    <row r="341" customFormat="false" ht="15" hidden="false" customHeight="false" outlineLevel="0" collapsed="false">
      <c r="A341" s="6" t="str">
        <f aca="false">YEAR(Q341-WEEKDAY(Q341,2)+4)&amp;"-S"&amp;TEXT(WEEKNUM(Q341,21),"00")</f>
        <v>2026-S07</v>
      </c>
      <c r="B341" s="18" t="s">
        <v>73</v>
      </c>
      <c r="C341" s="19" t="n">
        <v>0.333333333333333</v>
      </c>
      <c r="D341" s="19" t="n">
        <v>0.333333333333333</v>
      </c>
      <c r="E341" s="19" t="n">
        <v>0.708333333333333</v>
      </c>
      <c r="F341" s="19" t="n">
        <v>0.708333333333333</v>
      </c>
      <c r="G341" s="20"/>
      <c r="H341" s="20"/>
      <c r="I341" s="8" t="str">
        <f aca="false">IF(IF(OR(C341="",D341="Congé",D341="OFF",D341="Congé spécial"),"",IF(D341&gt;F341,D341-C341,IF(C341-D341&lt;0,0,C341-D341)))&lt;0.00068287037037037,"",IF(OR(D341="Congé",D341="OFF",C341="",D341="Congé spécial"),"",IF(D341&gt;F341,D341-C341,IF(C341-D341&lt;0,0,C341-D341))))</f>
        <v/>
      </c>
      <c r="J341" s="20"/>
      <c r="K341" s="8" t="n">
        <f aca="false">IF(SUM(H341:J341)&lt;0.00068287037037037,0,SUM(H341:J341))</f>
        <v>0</v>
      </c>
      <c r="L341" s="8" t="n">
        <f aca="false">IF(OR(F341="Congé",F341="OFF",M341="Abs",F341="Congé sans solde",F341="Férié",F341="Congé spécial",D341="Congé spécial"),0,IF(F341-E341&lt;0,0,IF(F341-E341&lt;=0.00068287037037037,0,F341-E341)))</f>
        <v>0</v>
      </c>
      <c r="M341" s="6" t="n">
        <f aca="false">IF(AND(O341&lt;&gt;0,C341=""),"Abs",0)</f>
        <v>0</v>
      </c>
      <c r="N341" s="8" t="n">
        <f aca="false">IFERROR(IF(OR(D341="OFF",D341="Congé",M341="Abs",D341="Congé sans solde",D341="Férié"),"",IF(O341-K341-L341&gt;O341,O341,IF(O341-K341-L341&lt;0,"",O341-K341-L341))),"")</f>
        <v>0.333333333333333</v>
      </c>
      <c r="O341" s="8" t="n">
        <f aca="false">IF(AG341="2H Pause déjeuner",IF(F341-D341-0.0833333333333333&lt;0,F341-D341-0.0833333333333333+1,F341-D341-0.0833333333333333),IF(OR(AND(F341="OFF",D341="OFF"),AND(F341="Congé",D341="Congé"),AND(F341="Congé sans solde",D341="Congé sans solde"),AND(F341="Congé spécial",D341="Congé spécial"),AND(F341="Férié",D341="Férié"),AND(F341="OFF",D341="Congé"),AND(F341="OFF",D341="Congé sans solde"),AND(F341="OFF",D341="Congé spécial"),AND(F341="OFF",D341="Férié"),AND(F341="Congé",D341="OFF"),AND(F341="Congé",D341="Congé sans solde"),AND(F341="Congé",D341="Congé spécial"),AND(F341="Congé",D341="Férié"),AND(F341="Congé sans solde",D341="OFF"),AND(F341="Congé sans solde",D341="Congé"),AND(F341="Congé sans solde",D341="Congé spécial"),AND(F341="Congé sans solde",D341="Férié"),AND(F341="Congé spécial",D341="OFF"),AND(F341="Congé spécial",D341="Congé"),AND(F341="Congé spécial",D341="Congé sans solde"),AND(F341="Congé spécial",D341="Férié"),AND(F341="Férié",D341="OFF"),AND(F341="Férié",D341="Congé"),AND(F341="Férié",D341="Congé sans solde"),AND(F341="Férié",D341="Congé spécial")),0,IF(OR(F341="OFF",F341="Congé",F341="Congé spécial",F341="Congé sans solde",D341="OFF",D341="Congé",D341="Congé spécial",D341="Congé sans solde"),0.208333333333334,IF(AND(AG341="",F341-D341&lt;0),("24:00:00"-D341)+("00:00:00"+F341)-0.0416666666666667,IF(AND(OR(AG341="Allaitement",AG341="Sans déjeuner"),F341-D341&lt;0),("24:00:00"-D341)+("00:00:00"+F341),IF(AND(AG341="",F341-D341&gt;0.166666666666667),F341-D341-0.0416666666666667,IF(AND(OR(AG341="Allaitement",AG341="Sans déjeuner"),F341-D341&gt;0.166666666666667),F341-D341,F341-D341)))))))</f>
        <v>0.333333333333333</v>
      </c>
      <c r="P341" s="6" t="str">
        <f aca="false">IFERROR(VLOOKUP($B341,Agents!$A:$D,2,0),"-")</f>
        <v>Accessibilité</v>
      </c>
      <c r="Q341" s="21" t="n">
        <v>46066</v>
      </c>
      <c r="R341" s="8" t="n">
        <f aca="false">IF(M341="Abs",O341,0)</f>
        <v>0</v>
      </c>
      <c r="S341" s="8" t="n">
        <f aca="false">SUM(R341,L341,I341,J341,W341,H341)</f>
        <v>0</v>
      </c>
      <c r="T341" s="6" t="str">
        <f aca="false">"Sem - "&amp;WEEKNUM(Q341,21)</f>
        <v>Sem - 7</v>
      </c>
      <c r="U341" s="6" t="str">
        <f aca="false">CHOOSE(MONTH(Q341),"Janvier","Février","Mars","Avril","Mai","Juin","Juillet","Août","Septembre","Octobre","Novembre","Décembre")</f>
        <v>Février</v>
      </c>
      <c r="V341" s="22" t="n">
        <f aca="false">YEAR(Q341)</f>
        <v>2026</v>
      </c>
      <c r="W341" s="20"/>
      <c r="X341" s="8" t="n">
        <f aca="false">IFERROR(IF(M341="Abs",0,IF(ROUND((D341-C341+E341-F341)*1440,0)&lt;=1,0,D341-C341+E341-F341)),0)</f>
        <v>0</v>
      </c>
      <c r="Y341" s="6" t="str">
        <f aca="false">IFERROR(VLOOKUP($B341,Agents!$A:$D,3,0),"-")</f>
        <v>OUBRAHIM Mohammed</v>
      </c>
      <c r="Z341" s="6" t="str">
        <f aca="false">IFERROR(VLOOKUP($B341,Agents!$A:$D,4,0),"-")</f>
        <v>Credit Mutuel</v>
      </c>
      <c r="AA341" s="18" t="s">
        <v>88</v>
      </c>
      <c r="AB341" s="8" t="str">
        <f aca="false">IF(AND(D341="Congé",F341="Congé"),0.333333333333333,IF(OR(AND(D341="Congé",F341&lt;&gt;"Congé"),(AND(F341="Congé",D341&lt;&gt;"Congé"))),0.166666666666667,""))</f>
        <v/>
      </c>
      <c r="AC341" s="8" t="str">
        <f aca="false">IF(AND(D341="Congé sans solde",F341="Congé sans solde"),0.333333333333333,IF(OR(AND(D341="Congé sans solde",F341&lt;&gt;"Congé sans solde"),(AND(F341="Congé sans solde",D341&lt;&gt;"Congé sans solde"))),0.166666666666667,""))</f>
        <v/>
      </c>
      <c r="AD341" s="8" t="str">
        <f aca="false">IF(AND(D341="Congé spécial",F341="Congé spécial"),0.333333333333333,IF(OR(AND(D341="Congé spécial",F341&lt;&gt;"Congé spécial"),AND(F341="Congé spécial",D341&lt;&gt;"Congé spécial")),0.166666666666667,""))</f>
        <v/>
      </c>
      <c r="AE341" s="8" t="str">
        <f aca="false">IF(AND(D341="Férié",F341="Férié"),0.333333333333333,IF(OR(AND(D341="Férié",F341&lt;&gt;"Férié"),(AND(F341="Férié",D341&lt;&gt;"Férié"))),0.166666666666667,""))</f>
        <v/>
      </c>
      <c r="AF341" s="18"/>
      <c r="AG341" s="18"/>
    </row>
    <row r="342" customFormat="false" ht="15" hidden="false" customHeight="false" outlineLevel="0" collapsed="false">
      <c r="A342" s="6" t="str">
        <f aca="false">YEAR(Q342-WEEKDAY(Q342,2)+4)&amp;"-S"&amp;TEXT(WEEKNUM(Q342,21),"00")</f>
        <v>2026-S07</v>
      </c>
      <c r="B342" s="18" t="s">
        <v>69</v>
      </c>
      <c r="C342" s="19"/>
      <c r="D342" s="19" t="s">
        <v>74</v>
      </c>
      <c r="E342" s="19"/>
      <c r="F342" s="19" t="s">
        <v>74</v>
      </c>
      <c r="G342" s="20"/>
      <c r="H342" s="20"/>
      <c r="I342" s="8" t="str">
        <f aca="false">IF(IF(OR(C342="",D342="Congé",D342="OFF",D342="Congé spécial"),"",IF(D342&gt;F342,D342-C342,IF(C342-D342&lt;0,0,C342-D342)))&lt;0.00068287037037037,"",IF(OR(D342="Congé",D342="OFF",C342="",D342="Congé spécial"),"",IF(D342&gt;F342,D342-C342,IF(C342-D342&lt;0,0,C342-D342))))</f>
        <v/>
      </c>
      <c r="J342" s="20"/>
      <c r="K342" s="8" t="n">
        <f aca="false">IF(SUM(H342:J342)&lt;0.00068287037037037,0,SUM(H342:J342))</f>
        <v>0</v>
      </c>
      <c r="L342" s="8" t="n">
        <f aca="false">IF(OR(F342="Congé",F342="OFF",M342="Abs",F342="Congé sans solde",F342="Férié",F342="Congé spécial",D342="Congé spécial"),0,IF(F342-E342&lt;0,0,IF(F342-E342&lt;=0.00068287037037037,0,F342-E342)))</f>
        <v>0</v>
      </c>
      <c r="M342" s="6" t="n">
        <f aca="false">IF(AND(O342&lt;&gt;0,C342=""),"Abs",0)</f>
        <v>0</v>
      </c>
      <c r="N342" s="8" t="str">
        <f aca="false">IFERROR(IF(OR(D342="OFF",D342="Congé",M342="Abs",D342="Congé sans solde",D342="Férié"),"",IF(O342-K342-L342&gt;O342,O342,IF(O342-K342-L342&lt;0,"",O342-K342-L342))),"")</f>
        <v/>
      </c>
      <c r="O342" s="8" t="n">
        <f aca="false">IF(AG342="2H Pause déjeuner",IF(F342-D342-0.0833333333333333&lt;0,F342-D342-0.0833333333333333+1,F342-D342-0.0833333333333333),IF(OR(AND(F342="OFF",D342="OFF"),AND(F342="Congé",D342="Congé"),AND(F342="Congé sans solde",D342="Congé sans solde"),AND(F342="Congé spécial",D342="Congé spécial"),AND(F342="Férié",D342="Férié"),AND(F342="OFF",D342="Congé"),AND(F342="OFF",D342="Congé sans solde"),AND(F342="OFF",D342="Congé spécial"),AND(F342="OFF",D342="Férié"),AND(F342="Congé",D342="OFF"),AND(F342="Congé",D342="Congé sans solde"),AND(F342="Congé",D342="Congé spécial"),AND(F342="Congé",D342="Férié"),AND(F342="Congé sans solde",D342="OFF"),AND(F342="Congé sans solde",D342="Congé"),AND(F342="Congé sans solde",D342="Congé spécial"),AND(F342="Congé sans solde",D342="Férié"),AND(F342="Congé spécial",D342="OFF"),AND(F342="Congé spécial",D342="Congé"),AND(F342="Congé spécial",D342="Congé sans solde"),AND(F342="Congé spécial",D342="Férié"),AND(F342="Férié",D342="OFF"),AND(F342="Férié",D342="Congé"),AND(F342="Férié",D342="Congé sans solde"),AND(F342="Férié",D342="Congé spécial")),0,IF(OR(F342="OFF",F342="Congé",F342="Congé spécial",F342="Congé sans solde",D342="OFF",D342="Congé",D342="Congé spécial",D342="Congé sans solde"),0.208333333333334,IF(AND(AG342="",F342-D342&lt;0),("24:00:00"-D342)+("00:00:00"+F342)-0.0416666666666667,IF(AND(OR(AG342="Allaitement",AG342="Sans déjeuner"),F342-D342&lt;0),("24:00:00"-D342)+("00:00:00"+F342),IF(AND(AG342="",F342-D342&gt;0.166666666666667),F342-D342-0.0416666666666667,IF(AND(OR(AG342="Allaitement",AG342="Sans déjeuner"),F342-D342&gt;0.166666666666667),F342-D342,F342-D342)))))))</f>
        <v>0</v>
      </c>
      <c r="P342" s="6" t="str">
        <f aca="false">IFERROR(VLOOKUP($B342,Agents!$A:$D,2,0),"-")</f>
        <v>Accessibilité</v>
      </c>
      <c r="Q342" s="21" t="n">
        <v>46067</v>
      </c>
      <c r="R342" s="8" t="n">
        <f aca="false">IF(M342="Abs",O342,0)</f>
        <v>0</v>
      </c>
      <c r="S342" s="8" t="n">
        <f aca="false">SUM(R342,L342,I342,J342,W342,H342)</f>
        <v>0</v>
      </c>
      <c r="T342" s="6" t="str">
        <f aca="false">"Sem - "&amp;WEEKNUM(Q342,21)</f>
        <v>Sem - 7</v>
      </c>
      <c r="U342" s="6" t="str">
        <f aca="false">CHOOSE(MONTH(Q342),"Janvier","Février","Mars","Avril","Mai","Juin","Juillet","Août","Septembre","Octobre","Novembre","Décembre")</f>
        <v>Février</v>
      </c>
      <c r="V342" s="22" t="n">
        <f aca="false">YEAR(Q342)</f>
        <v>2026</v>
      </c>
      <c r="W342" s="20"/>
      <c r="X342" s="8" t="n">
        <f aca="false">IFERROR(IF(M342="Abs",0,IF(ROUND((D342-C342+E342-F342)*1440,0)&lt;=1,0,D342-C342+E342-F342)),0)</f>
        <v>0</v>
      </c>
      <c r="Y342" s="6" t="str">
        <f aca="false">IFERROR(VLOOKUP($B342,Agents!$A:$D,3,0),"-")</f>
        <v>OUBRAHIM Mohammed</v>
      </c>
      <c r="Z342" s="6" t="str">
        <f aca="false">IFERROR(VLOOKUP($B342,Agents!$A:$D,4,0),"-")</f>
        <v>Credit Mutuel</v>
      </c>
      <c r="AA342" s="18" t="s">
        <v>88</v>
      </c>
      <c r="AB342" s="8" t="str">
        <f aca="false">IF(AND(D342="Congé",F342="Congé"),0.333333333333333,IF(OR(AND(D342="Congé",F342&lt;&gt;"Congé"),(AND(F342="Congé",D342&lt;&gt;"Congé"))),0.166666666666667,""))</f>
        <v/>
      </c>
      <c r="AC342" s="8" t="str">
        <f aca="false">IF(AND(D342="Congé sans solde",F342="Congé sans solde"),0.333333333333333,IF(OR(AND(D342="Congé sans solde",F342&lt;&gt;"Congé sans solde"),(AND(F342="Congé sans solde",D342&lt;&gt;"Congé sans solde"))),0.166666666666667,""))</f>
        <v/>
      </c>
      <c r="AD342" s="8" t="str">
        <f aca="false">IF(AND(D342="Congé spécial",F342="Congé spécial"),0.333333333333333,IF(OR(AND(D342="Congé spécial",F342&lt;&gt;"Congé spécial"),AND(F342="Congé spécial",D342&lt;&gt;"Congé spécial")),0.166666666666667,""))</f>
        <v/>
      </c>
      <c r="AE342" s="8" t="str">
        <f aca="false">IF(AND(D342="Férié",F342="Férié"),0.333333333333333,IF(OR(AND(D342="Férié",F342&lt;&gt;"Férié"),(AND(F342="Férié",D342&lt;&gt;"Férié"))),0.166666666666667,""))</f>
        <v/>
      </c>
      <c r="AF342" s="18"/>
      <c r="AG342" s="18"/>
    </row>
    <row r="343" customFormat="false" ht="15" hidden="false" customHeight="false" outlineLevel="0" collapsed="false">
      <c r="A343" s="6" t="str">
        <f aca="false">YEAR(Q343-WEEKDAY(Q343,2)+4)&amp;"-S"&amp;TEXT(WEEKNUM(Q343,21),"00")</f>
        <v>2026-S07</v>
      </c>
      <c r="B343" s="18" t="s">
        <v>71</v>
      </c>
      <c r="C343" s="19"/>
      <c r="D343" s="19" t="s">
        <v>74</v>
      </c>
      <c r="E343" s="19"/>
      <c r="F343" s="19" t="s">
        <v>74</v>
      </c>
      <c r="G343" s="20"/>
      <c r="H343" s="20"/>
      <c r="I343" s="8" t="str">
        <f aca="false">IF(IF(OR(C343="",D343="Congé",D343="OFF",D343="Congé spécial"),"",IF(D343&gt;F343,D343-C343,IF(C343-D343&lt;0,0,C343-D343)))&lt;0.00068287037037037,"",IF(OR(D343="Congé",D343="OFF",C343="",D343="Congé spécial"),"",IF(D343&gt;F343,D343-C343,IF(C343-D343&lt;0,0,C343-D343))))</f>
        <v/>
      </c>
      <c r="J343" s="20"/>
      <c r="K343" s="8" t="n">
        <f aca="false">IF(SUM(H343:J343)&lt;0.00068287037037037,0,SUM(H343:J343))</f>
        <v>0</v>
      </c>
      <c r="L343" s="8" t="n">
        <f aca="false">IF(OR(F343="Congé",F343="OFF",M343="Abs",F343="Congé sans solde",F343="Férié",F343="Congé spécial",D343="Congé spécial"),0,IF(F343-E343&lt;0,0,IF(F343-E343&lt;=0.00068287037037037,0,F343-E343)))</f>
        <v>0</v>
      </c>
      <c r="M343" s="6" t="n">
        <f aca="false">IF(AND(O343&lt;&gt;0,C343=""),"Abs",0)</f>
        <v>0</v>
      </c>
      <c r="N343" s="8" t="str">
        <f aca="false">IFERROR(IF(OR(D343="OFF",D343="Congé",M343="Abs",D343="Congé sans solde",D343="Férié"),"",IF(O343-K343-L343&gt;O343,O343,IF(O343-K343-L343&lt;0,"",O343-K343-L343))),"")</f>
        <v/>
      </c>
      <c r="O343" s="8" t="n">
        <f aca="false">IF(AG343="2H Pause déjeuner",IF(F343-D343-0.0833333333333333&lt;0,F343-D343-0.0833333333333333+1,F343-D343-0.0833333333333333),IF(OR(AND(F343="OFF",D343="OFF"),AND(F343="Congé",D343="Congé"),AND(F343="Congé sans solde",D343="Congé sans solde"),AND(F343="Congé spécial",D343="Congé spécial"),AND(F343="Férié",D343="Férié"),AND(F343="OFF",D343="Congé"),AND(F343="OFF",D343="Congé sans solde"),AND(F343="OFF",D343="Congé spécial"),AND(F343="OFF",D343="Férié"),AND(F343="Congé",D343="OFF"),AND(F343="Congé",D343="Congé sans solde"),AND(F343="Congé",D343="Congé spécial"),AND(F343="Congé",D343="Férié"),AND(F343="Congé sans solde",D343="OFF"),AND(F343="Congé sans solde",D343="Congé"),AND(F343="Congé sans solde",D343="Congé spécial"),AND(F343="Congé sans solde",D343="Férié"),AND(F343="Congé spécial",D343="OFF"),AND(F343="Congé spécial",D343="Congé"),AND(F343="Congé spécial",D343="Congé sans solde"),AND(F343="Congé spécial",D343="Férié"),AND(F343="Férié",D343="OFF"),AND(F343="Férié",D343="Congé"),AND(F343="Férié",D343="Congé sans solde"),AND(F343="Férié",D343="Congé spécial")),0,IF(OR(F343="OFF",F343="Congé",F343="Congé spécial",F343="Congé sans solde",D343="OFF",D343="Congé",D343="Congé spécial",D343="Congé sans solde"),0.208333333333334,IF(AND(AG343="",F343-D343&lt;0),("24:00:00"-D343)+("00:00:00"+F343)-0.0416666666666667,IF(AND(OR(AG343="Allaitement",AG343="Sans déjeuner"),F343-D343&lt;0),("24:00:00"-D343)+("00:00:00"+F343),IF(AND(AG343="",F343-D343&gt;0.166666666666667),F343-D343-0.0416666666666667,IF(AND(OR(AG343="Allaitement",AG343="Sans déjeuner"),F343-D343&gt;0.166666666666667),F343-D343,F343-D343)))))))</f>
        <v>0</v>
      </c>
      <c r="P343" s="6" t="str">
        <f aca="false">IFERROR(VLOOKUP($B343,Agents!$A:$D,2,0),"-")</f>
        <v>Accessibilité</v>
      </c>
      <c r="Q343" s="21" t="n">
        <v>46067</v>
      </c>
      <c r="R343" s="8" t="n">
        <f aca="false">IF(M343="Abs",O343,0)</f>
        <v>0</v>
      </c>
      <c r="S343" s="8" t="n">
        <f aca="false">SUM(R343,L343,I343,J343,W343,H343)</f>
        <v>0</v>
      </c>
      <c r="T343" s="6" t="str">
        <f aca="false">"Sem - "&amp;WEEKNUM(Q343,21)</f>
        <v>Sem - 7</v>
      </c>
      <c r="U343" s="6" t="str">
        <f aca="false">CHOOSE(MONTH(Q343),"Janvier","Février","Mars","Avril","Mai","Juin","Juillet","Août","Septembre","Octobre","Novembre","Décembre")</f>
        <v>Février</v>
      </c>
      <c r="V343" s="22" t="n">
        <f aca="false">YEAR(Q343)</f>
        <v>2026</v>
      </c>
      <c r="W343" s="20"/>
      <c r="X343" s="8" t="n">
        <f aca="false">IFERROR(IF(M343="Abs",0,IF(ROUND((D343-C343+E343-F343)*1440,0)&lt;=1,0,D343-C343+E343-F343)),0)</f>
        <v>0</v>
      </c>
      <c r="Y343" s="6" t="str">
        <f aca="false">IFERROR(VLOOKUP($B343,Agents!$A:$D,3,0),"-")</f>
        <v>OUBRAHIM Mohammed</v>
      </c>
      <c r="Z343" s="6" t="str">
        <f aca="false">IFERROR(VLOOKUP($B343,Agents!$A:$D,4,0),"-")</f>
        <v>Credit Mutuel</v>
      </c>
      <c r="AA343" s="18" t="s">
        <v>88</v>
      </c>
      <c r="AB343" s="8" t="str">
        <f aca="false">IF(AND(D343="Congé",F343="Congé"),0.333333333333333,IF(OR(AND(D343="Congé",F343&lt;&gt;"Congé"),(AND(F343="Congé",D343&lt;&gt;"Congé"))),0.166666666666667,""))</f>
        <v/>
      </c>
      <c r="AC343" s="8" t="str">
        <f aca="false">IF(AND(D343="Congé sans solde",F343="Congé sans solde"),0.333333333333333,IF(OR(AND(D343="Congé sans solde",F343&lt;&gt;"Congé sans solde"),(AND(F343="Congé sans solde",D343&lt;&gt;"Congé sans solde"))),0.166666666666667,""))</f>
        <v/>
      </c>
      <c r="AD343" s="8" t="str">
        <f aca="false">IF(AND(D343="Congé spécial",F343="Congé spécial"),0.333333333333333,IF(OR(AND(D343="Congé spécial",F343&lt;&gt;"Congé spécial"),AND(F343="Congé spécial",D343&lt;&gt;"Congé spécial")),0.166666666666667,""))</f>
        <v/>
      </c>
      <c r="AE343" s="8" t="str">
        <f aca="false">IF(AND(D343="Férié",F343="Férié"),0.333333333333333,IF(OR(AND(D343="Férié",F343&lt;&gt;"Férié"),(AND(F343="Férié",D343&lt;&gt;"Férié"))),0.166666666666667,""))</f>
        <v/>
      </c>
      <c r="AF343" s="18"/>
      <c r="AG343" s="18"/>
    </row>
    <row r="344" customFormat="false" ht="15" hidden="false" customHeight="false" outlineLevel="0" collapsed="false">
      <c r="A344" s="6" t="str">
        <f aca="false">YEAR(Q344-WEEKDAY(Q344,2)+4)&amp;"-S"&amp;TEXT(WEEKNUM(Q344,21),"00")</f>
        <v>2026-S07</v>
      </c>
      <c r="B344" s="18" t="s">
        <v>72</v>
      </c>
      <c r="C344" s="19"/>
      <c r="D344" s="19" t="s">
        <v>74</v>
      </c>
      <c r="E344" s="19"/>
      <c r="F344" s="19" t="s">
        <v>74</v>
      </c>
      <c r="G344" s="20"/>
      <c r="H344" s="20"/>
      <c r="I344" s="8" t="str">
        <f aca="false">IF(IF(OR(C344="",D344="Congé",D344="OFF",D344="Congé spécial"),"",IF(D344&gt;F344,D344-C344,IF(C344-D344&lt;0,0,C344-D344)))&lt;0.00068287037037037,"",IF(OR(D344="Congé",D344="OFF",C344="",D344="Congé spécial"),"",IF(D344&gt;F344,D344-C344,IF(C344-D344&lt;0,0,C344-D344))))</f>
        <v/>
      </c>
      <c r="J344" s="20"/>
      <c r="K344" s="8" t="n">
        <f aca="false">IF(SUM(H344:J344)&lt;0.00068287037037037,0,SUM(H344:J344))</f>
        <v>0</v>
      </c>
      <c r="L344" s="8" t="n">
        <f aca="false">IF(OR(F344="Congé",F344="OFF",M344="Abs",F344="Congé sans solde",F344="Férié",F344="Congé spécial",D344="Congé spécial"),0,IF(F344-E344&lt;0,0,IF(F344-E344&lt;=0.00068287037037037,0,F344-E344)))</f>
        <v>0</v>
      </c>
      <c r="M344" s="6" t="n">
        <f aca="false">IF(AND(O344&lt;&gt;0,C344=""),"Abs",0)</f>
        <v>0</v>
      </c>
      <c r="N344" s="8" t="str">
        <f aca="false">IFERROR(IF(OR(D344="OFF",D344="Congé",M344="Abs",D344="Congé sans solde",D344="Férié"),"",IF(O344-K344-L344&gt;O344,O344,IF(O344-K344-L344&lt;0,"",O344-K344-L344))),"")</f>
        <v/>
      </c>
      <c r="O344" s="8" t="n">
        <f aca="false">IF(AG344="2H Pause déjeuner",IF(F344-D344-0.0833333333333333&lt;0,F344-D344-0.0833333333333333+1,F344-D344-0.0833333333333333),IF(OR(AND(F344="OFF",D344="OFF"),AND(F344="Congé",D344="Congé"),AND(F344="Congé sans solde",D344="Congé sans solde"),AND(F344="Congé spécial",D344="Congé spécial"),AND(F344="Férié",D344="Férié"),AND(F344="OFF",D344="Congé"),AND(F344="OFF",D344="Congé sans solde"),AND(F344="OFF",D344="Congé spécial"),AND(F344="OFF",D344="Férié"),AND(F344="Congé",D344="OFF"),AND(F344="Congé",D344="Congé sans solde"),AND(F344="Congé",D344="Congé spécial"),AND(F344="Congé",D344="Férié"),AND(F344="Congé sans solde",D344="OFF"),AND(F344="Congé sans solde",D344="Congé"),AND(F344="Congé sans solde",D344="Congé spécial"),AND(F344="Congé sans solde",D344="Férié"),AND(F344="Congé spécial",D344="OFF"),AND(F344="Congé spécial",D344="Congé"),AND(F344="Congé spécial",D344="Congé sans solde"),AND(F344="Congé spécial",D344="Férié"),AND(F344="Férié",D344="OFF"),AND(F344="Férié",D344="Congé"),AND(F344="Férié",D344="Congé sans solde"),AND(F344="Férié",D344="Congé spécial")),0,IF(OR(F344="OFF",F344="Congé",F344="Congé spécial",F344="Congé sans solde",D344="OFF",D344="Congé",D344="Congé spécial",D344="Congé sans solde"),0.208333333333334,IF(AND(AG344="",F344-D344&lt;0),("24:00:00"-D344)+("00:00:00"+F344)-0.0416666666666667,IF(AND(OR(AG344="Allaitement",AG344="Sans déjeuner"),F344-D344&lt;0),("24:00:00"-D344)+("00:00:00"+F344),IF(AND(AG344="",F344-D344&gt;0.166666666666667),F344-D344-0.0416666666666667,IF(AND(OR(AG344="Allaitement",AG344="Sans déjeuner"),F344-D344&gt;0.166666666666667),F344-D344,F344-D344)))))))</f>
        <v>0</v>
      </c>
      <c r="P344" s="6" t="str">
        <f aca="false">IFERROR(VLOOKUP($B344,Agents!$A:$D,2,0),"-")</f>
        <v>Accessibilité</v>
      </c>
      <c r="Q344" s="21" t="n">
        <v>46067</v>
      </c>
      <c r="R344" s="8" t="n">
        <f aca="false">IF(M344="Abs",O344,0)</f>
        <v>0</v>
      </c>
      <c r="S344" s="8" t="n">
        <f aca="false">SUM(R344,L344,I344,J344,W344,H344)</f>
        <v>0</v>
      </c>
      <c r="T344" s="6" t="str">
        <f aca="false">"Sem - "&amp;WEEKNUM(Q344,21)</f>
        <v>Sem - 7</v>
      </c>
      <c r="U344" s="6" t="str">
        <f aca="false">CHOOSE(MONTH(Q344),"Janvier","Février","Mars","Avril","Mai","Juin","Juillet","Août","Septembre","Octobre","Novembre","Décembre")</f>
        <v>Février</v>
      </c>
      <c r="V344" s="22" t="n">
        <f aca="false">YEAR(Q344)</f>
        <v>2026</v>
      </c>
      <c r="W344" s="20"/>
      <c r="X344" s="8" t="n">
        <f aca="false">IFERROR(IF(M344="Abs",0,IF(ROUND((D344-C344+E344-F344)*1440,0)&lt;=1,0,D344-C344+E344-F344)),0)</f>
        <v>0</v>
      </c>
      <c r="Y344" s="6" t="str">
        <f aca="false">IFERROR(VLOOKUP($B344,Agents!$A:$D,3,0),"-")</f>
        <v>OUBRAHIM Mohammed</v>
      </c>
      <c r="Z344" s="6" t="str">
        <f aca="false">IFERROR(VLOOKUP($B344,Agents!$A:$D,4,0),"-")</f>
        <v>Credit Mutuel</v>
      </c>
      <c r="AA344" s="18" t="s">
        <v>88</v>
      </c>
      <c r="AB344" s="8" t="str">
        <f aca="false">IF(AND(D344="Congé",F344="Congé"),0.333333333333333,IF(OR(AND(D344="Congé",F344&lt;&gt;"Congé"),(AND(F344="Congé",D344&lt;&gt;"Congé"))),0.166666666666667,""))</f>
        <v/>
      </c>
      <c r="AC344" s="8" t="str">
        <f aca="false">IF(AND(D344="Congé sans solde",F344="Congé sans solde"),0.333333333333333,IF(OR(AND(D344="Congé sans solde",F344&lt;&gt;"Congé sans solde"),(AND(F344="Congé sans solde",D344&lt;&gt;"Congé sans solde"))),0.166666666666667,""))</f>
        <v/>
      </c>
      <c r="AD344" s="8" t="str">
        <f aca="false">IF(AND(D344="Congé spécial",F344="Congé spécial"),0.333333333333333,IF(OR(AND(D344="Congé spécial",F344&lt;&gt;"Congé spécial"),AND(F344="Congé spécial",D344&lt;&gt;"Congé spécial")),0.166666666666667,""))</f>
        <v/>
      </c>
      <c r="AE344" s="8" t="str">
        <f aca="false">IF(AND(D344="Férié",F344="Férié"),0.333333333333333,IF(OR(AND(D344="Férié",F344&lt;&gt;"Férié"),(AND(F344="Férié",D344&lt;&gt;"Férié"))),0.166666666666667,""))</f>
        <v/>
      </c>
      <c r="AF344" s="18"/>
      <c r="AG344" s="18"/>
    </row>
    <row r="345" customFormat="false" ht="15" hidden="false" customHeight="false" outlineLevel="0" collapsed="false">
      <c r="A345" s="6" t="str">
        <f aca="false">YEAR(Q345-WEEKDAY(Q345,2)+4)&amp;"-S"&amp;TEXT(WEEKNUM(Q345,21),"00")</f>
        <v>2026-S07</v>
      </c>
      <c r="B345" s="18" t="s">
        <v>73</v>
      </c>
      <c r="C345" s="19"/>
      <c r="D345" s="19" t="s">
        <v>74</v>
      </c>
      <c r="E345" s="19"/>
      <c r="F345" s="19" t="s">
        <v>74</v>
      </c>
      <c r="G345" s="20"/>
      <c r="H345" s="20"/>
      <c r="I345" s="8" t="str">
        <f aca="false">IF(IF(OR(C345="",D345="Congé",D345="OFF",D345="Congé spécial"),"",IF(D345&gt;F345,D345-C345,IF(C345-D345&lt;0,0,C345-D345)))&lt;0.00068287037037037,"",IF(OR(D345="Congé",D345="OFF",C345="",D345="Congé spécial"),"",IF(D345&gt;F345,D345-C345,IF(C345-D345&lt;0,0,C345-D345))))</f>
        <v/>
      </c>
      <c r="J345" s="20"/>
      <c r="K345" s="8" t="n">
        <f aca="false">IF(SUM(H345:J345)&lt;0.00068287037037037,0,SUM(H345:J345))</f>
        <v>0</v>
      </c>
      <c r="L345" s="8" t="n">
        <f aca="false">IF(OR(F345="Congé",F345="OFF",M345="Abs",F345="Congé sans solde",F345="Férié",F345="Congé spécial",D345="Congé spécial"),0,IF(F345-E345&lt;0,0,IF(F345-E345&lt;=0.00068287037037037,0,F345-E345)))</f>
        <v>0</v>
      </c>
      <c r="M345" s="6" t="n">
        <f aca="false">IF(AND(O345&lt;&gt;0,C345=""),"Abs",0)</f>
        <v>0</v>
      </c>
      <c r="N345" s="8" t="str">
        <f aca="false">IFERROR(IF(OR(D345="OFF",D345="Congé",M345="Abs",D345="Congé sans solde",D345="Férié"),"",IF(O345-K345-L345&gt;O345,O345,IF(O345-K345-L345&lt;0,"",O345-K345-L345))),"")</f>
        <v/>
      </c>
      <c r="O345" s="8" t="n">
        <f aca="false">IF(AG345="2H Pause déjeuner",IF(F345-D345-0.0833333333333333&lt;0,F345-D345-0.0833333333333333+1,F345-D345-0.0833333333333333),IF(OR(AND(F345="OFF",D345="OFF"),AND(F345="Congé",D345="Congé"),AND(F345="Congé sans solde",D345="Congé sans solde"),AND(F345="Congé spécial",D345="Congé spécial"),AND(F345="Férié",D345="Férié"),AND(F345="OFF",D345="Congé"),AND(F345="OFF",D345="Congé sans solde"),AND(F345="OFF",D345="Congé spécial"),AND(F345="OFF",D345="Férié"),AND(F345="Congé",D345="OFF"),AND(F345="Congé",D345="Congé sans solde"),AND(F345="Congé",D345="Congé spécial"),AND(F345="Congé",D345="Férié"),AND(F345="Congé sans solde",D345="OFF"),AND(F345="Congé sans solde",D345="Congé"),AND(F345="Congé sans solde",D345="Congé spécial"),AND(F345="Congé sans solde",D345="Férié"),AND(F345="Congé spécial",D345="OFF"),AND(F345="Congé spécial",D345="Congé"),AND(F345="Congé spécial",D345="Congé sans solde"),AND(F345="Congé spécial",D345="Férié"),AND(F345="Férié",D345="OFF"),AND(F345="Férié",D345="Congé"),AND(F345="Férié",D345="Congé sans solde"),AND(F345="Férié",D345="Congé spécial")),0,IF(OR(F345="OFF",F345="Congé",F345="Congé spécial",F345="Congé sans solde",D345="OFF",D345="Congé",D345="Congé spécial",D345="Congé sans solde"),0.208333333333334,IF(AND(AG345="",F345-D345&lt;0),("24:00:00"-D345)+("00:00:00"+F345)-0.0416666666666667,IF(AND(OR(AG345="Allaitement",AG345="Sans déjeuner"),F345-D345&lt;0),("24:00:00"-D345)+("00:00:00"+F345),IF(AND(AG345="",F345-D345&gt;0.166666666666667),F345-D345-0.0416666666666667,IF(AND(OR(AG345="Allaitement",AG345="Sans déjeuner"),F345-D345&gt;0.166666666666667),F345-D345,F345-D345)))))))</f>
        <v>0</v>
      </c>
      <c r="P345" s="6" t="str">
        <f aca="false">IFERROR(VLOOKUP($B345,Agents!$A:$D,2,0),"-")</f>
        <v>Accessibilité</v>
      </c>
      <c r="Q345" s="21" t="n">
        <v>46067</v>
      </c>
      <c r="R345" s="8" t="n">
        <f aca="false">IF(M345="Abs",O345,0)</f>
        <v>0</v>
      </c>
      <c r="S345" s="8" t="n">
        <f aca="false">SUM(R345,L345,I345,J345,W345,H345)</f>
        <v>0</v>
      </c>
      <c r="T345" s="6" t="str">
        <f aca="false">"Sem - "&amp;WEEKNUM(Q345,21)</f>
        <v>Sem - 7</v>
      </c>
      <c r="U345" s="6" t="str">
        <f aca="false">CHOOSE(MONTH(Q345),"Janvier","Février","Mars","Avril","Mai","Juin","Juillet","Août","Septembre","Octobre","Novembre","Décembre")</f>
        <v>Février</v>
      </c>
      <c r="V345" s="22" t="n">
        <f aca="false">YEAR(Q345)</f>
        <v>2026</v>
      </c>
      <c r="W345" s="20"/>
      <c r="X345" s="8" t="n">
        <f aca="false">IFERROR(IF(M345="Abs",0,IF(ROUND((D345-C345+E345-F345)*1440,0)&lt;=1,0,D345-C345+E345-F345)),0)</f>
        <v>0</v>
      </c>
      <c r="Y345" s="6" t="str">
        <f aca="false">IFERROR(VLOOKUP($B345,Agents!$A:$D,3,0),"-")</f>
        <v>OUBRAHIM Mohammed</v>
      </c>
      <c r="Z345" s="6" t="str">
        <f aca="false">IFERROR(VLOOKUP($B345,Agents!$A:$D,4,0),"-")</f>
        <v>Credit Mutuel</v>
      </c>
      <c r="AA345" s="18" t="s">
        <v>88</v>
      </c>
      <c r="AB345" s="8" t="str">
        <f aca="false">IF(AND(D345="Congé",F345="Congé"),0.333333333333333,IF(OR(AND(D345="Congé",F345&lt;&gt;"Congé"),(AND(F345="Congé",D345&lt;&gt;"Congé"))),0.166666666666667,""))</f>
        <v/>
      </c>
      <c r="AC345" s="8" t="str">
        <f aca="false">IF(AND(D345="Congé sans solde",F345="Congé sans solde"),0.333333333333333,IF(OR(AND(D345="Congé sans solde",F345&lt;&gt;"Congé sans solde"),(AND(F345="Congé sans solde",D345&lt;&gt;"Congé sans solde"))),0.166666666666667,""))</f>
        <v/>
      </c>
      <c r="AD345" s="8" t="str">
        <f aca="false">IF(AND(D345="Congé spécial",F345="Congé spécial"),0.333333333333333,IF(OR(AND(D345="Congé spécial",F345&lt;&gt;"Congé spécial"),AND(F345="Congé spécial",D345&lt;&gt;"Congé spécial")),0.166666666666667,""))</f>
        <v/>
      </c>
      <c r="AE345" s="8" t="str">
        <f aca="false">IF(AND(D345="Férié",F345="Férié"),0.333333333333333,IF(OR(AND(D345="Férié",F345&lt;&gt;"Férié"),(AND(F345="Férié",D345&lt;&gt;"Férié"))),0.166666666666667,""))</f>
        <v/>
      </c>
      <c r="AF345" s="18"/>
      <c r="AG345" s="18"/>
    </row>
    <row r="346" customFormat="false" ht="15" hidden="false" customHeight="false" outlineLevel="0" collapsed="false">
      <c r="A346" s="6" t="str">
        <f aca="false">YEAR(Q346-WEEKDAY(Q346,2)+4)&amp;"-S"&amp;TEXT(WEEKNUM(Q346,21),"00")</f>
        <v>2026-S07</v>
      </c>
      <c r="B346" s="18" t="s">
        <v>69</v>
      </c>
      <c r="C346" s="19"/>
      <c r="D346" s="19" t="s">
        <v>74</v>
      </c>
      <c r="E346" s="19"/>
      <c r="F346" s="19" t="s">
        <v>74</v>
      </c>
      <c r="G346" s="20"/>
      <c r="H346" s="20"/>
      <c r="I346" s="8" t="str">
        <f aca="false">IF(IF(OR(C346="",D346="Congé",D346="OFF",D346="Congé spécial"),"",IF(D346&gt;F346,D346-C346,IF(C346-D346&lt;0,0,C346-D346)))&lt;0.00068287037037037,"",IF(OR(D346="Congé",D346="OFF",C346="",D346="Congé spécial"),"",IF(D346&gt;F346,D346-C346,IF(C346-D346&lt;0,0,C346-D346))))</f>
        <v/>
      </c>
      <c r="J346" s="20"/>
      <c r="K346" s="8" t="n">
        <f aca="false">IF(SUM(H346:J346)&lt;0.00068287037037037,0,SUM(H346:J346))</f>
        <v>0</v>
      </c>
      <c r="L346" s="8" t="n">
        <f aca="false">IF(OR(F346="Congé",F346="OFF",M346="Abs",F346="Congé sans solde",F346="Férié",F346="Congé spécial",D346="Congé spécial"),0,IF(F346-E346&lt;0,0,IF(F346-E346&lt;=0.00068287037037037,0,F346-E346)))</f>
        <v>0</v>
      </c>
      <c r="M346" s="6" t="n">
        <f aca="false">IF(AND(O346&lt;&gt;0,C346=""),"Abs",0)</f>
        <v>0</v>
      </c>
      <c r="N346" s="8" t="str">
        <f aca="false">IFERROR(IF(OR(D346="OFF",D346="Congé",M346="Abs",D346="Congé sans solde",D346="Férié"),"",IF(O346-K346-L346&gt;O346,O346,IF(O346-K346-L346&lt;0,"",O346-K346-L346))),"")</f>
        <v/>
      </c>
      <c r="O346" s="8" t="n">
        <f aca="false">IF(AG346="2H Pause déjeuner",IF(F346-D346-0.0833333333333333&lt;0,F346-D346-0.0833333333333333+1,F346-D346-0.0833333333333333),IF(OR(AND(F346="OFF",D346="OFF"),AND(F346="Congé",D346="Congé"),AND(F346="Congé sans solde",D346="Congé sans solde"),AND(F346="Congé spécial",D346="Congé spécial"),AND(F346="Férié",D346="Férié"),AND(F346="OFF",D346="Congé"),AND(F346="OFF",D346="Congé sans solde"),AND(F346="OFF",D346="Congé spécial"),AND(F346="OFF",D346="Férié"),AND(F346="Congé",D346="OFF"),AND(F346="Congé",D346="Congé sans solde"),AND(F346="Congé",D346="Congé spécial"),AND(F346="Congé",D346="Férié"),AND(F346="Congé sans solde",D346="OFF"),AND(F346="Congé sans solde",D346="Congé"),AND(F346="Congé sans solde",D346="Congé spécial"),AND(F346="Congé sans solde",D346="Férié"),AND(F346="Congé spécial",D346="OFF"),AND(F346="Congé spécial",D346="Congé"),AND(F346="Congé spécial",D346="Congé sans solde"),AND(F346="Congé spécial",D346="Férié"),AND(F346="Férié",D346="OFF"),AND(F346="Férié",D346="Congé"),AND(F346="Férié",D346="Congé sans solde"),AND(F346="Férié",D346="Congé spécial")),0,IF(OR(F346="OFF",F346="Congé",F346="Congé spécial",F346="Congé sans solde",D346="OFF",D346="Congé",D346="Congé spécial",D346="Congé sans solde"),0.208333333333334,IF(AND(AG346="",F346-D346&lt;0),("24:00:00"-D346)+("00:00:00"+F346)-0.0416666666666667,IF(AND(OR(AG346="Allaitement",AG346="Sans déjeuner"),F346-D346&lt;0),("24:00:00"-D346)+("00:00:00"+F346),IF(AND(AG346="",F346-D346&gt;0.166666666666667),F346-D346-0.0416666666666667,IF(AND(OR(AG346="Allaitement",AG346="Sans déjeuner"),F346-D346&gt;0.166666666666667),F346-D346,F346-D346)))))))</f>
        <v>0</v>
      </c>
      <c r="P346" s="6" t="str">
        <f aca="false">IFERROR(VLOOKUP($B346,Agents!$A:$D,2,0),"-")</f>
        <v>Accessibilité</v>
      </c>
      <c r="Q346" s="21" t="n">
        <v>46068</v>
      </c>
      <c r="R346" s="8" t="n">
        <f aca="false">IF(M346="Abs",O346,0)</f>
        <v>0</v>
      </c>
      <c r="S346" s="8" t="n">
        <f aca="false">SUM(R346,L346,I346,J346,W346,H346)</f>
        <v>0</v>
      </c>
      <c r="T346" s="6" t="str">
        <f aca="false">"Sem - "&amp;WEEKNUM(Q346,21)</f>
        <v>Sem - 7</v>
      </c>
      <c r="U346" s="6" t="str">
        <f aca="false">CHOOSE(MONTH(Q346),"Janvier","Février","Mars","Avril","Mai","Juin","Juillet","Août","Septembre","Octobre","Novembre","Décembre")</f>
        <v>Février</v>
      </c>
      <c r="V346" s="22" t="n">
        <f aca="false">YEAR(Q346)</f>
        <v>2026</v>
      </c>
      <c r="W346" s="20"/>
      <c r="X346" s="8" t="n">
        <f aca="false">IFERROR(IF(M346="Abs",0,IF(ROUND((D346-C346+E346-F346)*1440,0)&lt;=1,0,D346-C346+E346-F346)),0)</f>
        <v>0</v>
      </c>
      <c r="Y346" s="6" t="str">
        <f aca="false">IFERROR(VLOOKUP($B346,Agents!$A:$D,3,0),"-")</f>
        <v>OUBRAHIM Mohammed</v>
      </c>
      <c r="Z346" s="6" t="str">
        <f aca="false">IFERROR(VLOOKUP($B346,Agents!$A:$D,4,0),"-")</f>
        <v>Credit Mutuel</v>
      </c>
      <c r="AA346" s="18" t="s">
        <v>88</v>
      </c>
      <c r="AB346" s="8" t="str">
        <f aca="false">IF(AND(D346="Congé",F346="Congé"),0.333333333333333,IF(OR(AND(D346="Congé",F346&lt;&gt;"Congé"),(AND(F346="Congé",D346&lt;&gt;"Congé"))),0.166666666666667,""))</f>
        <v/>
      </c>
      <c r="AC346" s="8" t="str">
        <f aca="false">IF(AND(D346="Congé sans solde",F346="Congé sans solde"),0.333333333333333,IF(OR(AND(D346="Congé sans solde",F346&lt;&gt;"Congé sans solde"),(AND(F346="Congé sans solde",D346&lt;&gt;"Congé sans solde"))),0.166666666666667,""))</f>
        <v/>
      </c>
      <c r="AD346" s="8" t="str">
        <f aca="false">IF(AND(D346="Congé spécial",F346="Congé spécial"),0.333333333333333,IF(OR(AND(D346="Congé spécial",F346&lt;&gt;"Congé spécial"),AND(F346="Congé spécial",D346&lt;&gt;"Congé spécial")),0.166666666666667,""))</f>
        <v/>
      </c>
      <c r="AE346" s="8" t="str">
        <f aca="false">IF(AND(D346="Férié",F346="Férié"),0.333333333333333,IF(OR(AND(D346="Férié",F346&lt;&gt;"Férié"),(AND(F346="Férié",D346&lt;&gt;"Férié"))),0.166666666666667,""))</f>
        <v/>
      </c>
      <c r="AF346" s="18"/>
      <c r="AG346" s="18"/>
    </row>
    <row r="347" customFormat="false" ht="15" hidden="false" customHeight="false" outlineLevel="0" collapsed="false">
      <c r="A347" s="6" t="str">
        <f aca="false">YEAR(Q347-WEEKDAY(Q347,2)+4)&amp;"-S"&amp;TEXT(WEEKNUM(Q347,21),"00")</f>
        <v>2026-S07</v>
      </c>
      <c r="B347" s="18" t="s">
        <v>71</v>
      </c>
      <c r="C347" s="19"/>
      <c r="D347" s="19" t="s">
        <v>74</v>
      </c>
      <c r="E347" s="19"/>
      <c r="F347" s="19" t="s">
        <v>74</v>
      </c>
      <c r="G347" s="20"/>
      <c r="H347" s="20"/>
      <c r="I347" s="8" t="str">
        <f aca="false">IF(IF(OR(C347="",D347="Congé",D347="OFF",D347="Congé spécial"),"",IF(D347&gt;F347,D347-C347,IF(C347-D347&lt;0,0,C347-D347)))&lt;0.00068287037037037,"",IF(OR(D347="Congé",D347="OFF",C347="",D347="Congé spécial"),"",IF(D347&gt;F347,D347-C347,IF(C347-D347&lt;0,0,C347-D347))))</f>
        <v/>
      </c>
      <c r="J347" s="20"/>
      <c r="K347" s="8" t="n">
        <f aca="false">IF(SUM(H347:J347)&lt;0.00068287037037037,0,SUM(H347:J347))</f>
        <v>0</v>
      </c>
      <c r="L347" s="8" t="n">
        <f aca="false">IF(OR(F347="Congé",F347="OFF",M347="Abs",F347="Congé sans solde",F347="Férié",F347="Congé spécial",D347="Congé spécial"),0,IF(F347-E347&lt;0,0,IF(F347-E347&lt;=0.00068287037037037,0,F347-E347)))</f>
        <v>0</v>
      </c>
      <c r="M347" s="6" t="n">
        <f aca="false">IF(AND(O347&lt;&gt;0,C347=""),"Abs",0)</f>
        <v>0</v>
      </c>
      <c r="N347" s="8" t="str">
        <f aca="false">IFERROR(IF(OR(D347="OFF",D347="Congé",M347="Abs",D347="Congé sans solde",D347="Férié"),"",IF(O347-K347-L347&gt;O347,O347,IF(O347-K347-L347&lt;0,"",O347-K347-L347))),"")</f>
        <v/>
      </c>
      <c r="O347" s="8" t="n">
        <f aca="false">IF(AG347="2H Pause déjeuner",IF(F347-D347-0.0833333333333333&lt;0,F347-D347-0.0833333333333333+1,F347-D347-0.0833333333333333),IF(OR(AND(F347="OFF",D347="OFF"),AND(F347="Congé",D347="Congé"),AND(F347="Congé sans solde",D347="Congé sans solde"),AND(F347="Congé spécial",D347="Congé spécial"),AND(F347="Férié",D347="Férié"),AND(F347="OFF",D347="Congé"),AND(F347="OFF",D347="Congé sans solde"),AND(F347="OFF",D347="Congé spécial"),AND(F347="OFF",D347="Férié"),AND(F347="Congé",D347="OFF"),AND(F347="Congé",D347="Congé sans solde"),AND(F347="Congé",D347="Congé spécial"),AND(F347="Congé",D347="Férié"),AND(F347="Congé sans solde",D347="OFF"),AND(F347="Congé sans solde",D347="Congé"),AND(F347="Congé sans solde",D347="Congé spécial"),AND(F347="Congé sans solde",D347="Férié"),AND(F347="Congé spécial",D347="OFF"),AND(F347="Congé spécial",D347="Congé"),AND(F347="Congé spécial",D347="Congé sans solde"),AND(F347="Congé spécial",D347="Férié"),AND(F347="Férié",D347="OFF"),AND(F347="Férié",D347="Congé"),AND(F347="Férié",D347="Congé sans solde"),AND(F347="Férié",D347="Congé spécial")),0,IF(OR(F347="OFF",F347="Congé",F347="Congé spécial",F347="Congé sans solde",D347="OFF",D347="Congé",D347="Congé spécial",D347="Congé sans solde"),0.208333333333334,IF(AND(AG347="",F347-D347&lt;0),("24:00:00"-D347)+("00:00:00"+F347)-0.0416666666666667,IF(AND(OR(AG347="Allaitement",AG347="Sans déjeuner"),F347-D347&lt;0),("24:00:00"-D347)+("00:00:00"+F347),IF(AND(AG347="",F347-D347&gt;0.166666666666667),F347-D347-0.0416666666666667,IF(AND(OR(AG347="Allaitement",AG347="Sans déjeuner"),F347-D347&gt;0.166666666666667),F347-D347,F347-D347)))))))</f>
        <v>0</v>
      </c>
      <c r="P347" s="6" t="str">
        <f aca="false">IFERROR(VLOOKUP($B347,Agents!$A:$D,2,0),"-")</f>
        <v>Accessibilité</v>
      </c>
      <c r="Q347" s="21" t="n">
        <v>46068</v>
      </c>
      <c r="R347" s="8" t="n">
        <f aca="false">IF(M347="Abs",O347,0)</f>
        <v>0</v>
      </c>
      <c r="S347" s="8" t="n">
        <f aca="false">SUM(R347,L347,I347,J347,W347,H347)</f>
        <v>0</v>
      </c>
      <c r="T347" s="6" t="str">
        <f aca="false">"Sem - "&amp;WEEKNUM(Q347,21)</f>
        <v>Sem - 7</v>
      </c>
      <c r="U347" s="6" t="str">
        <f aca="false">CHOOSE(MONTH(Q347),"Janvier","Février","Mars","Avril","Mai","Juin","Juillet","Août","Septembre","Octobre","Novembre","Décembre")</f>
        <v>Février</v>
      </c>
      <c r="V347" s="22" t="n">
        <f aca="false">YEAR(Q347)</f>
        <v>2026</v>
      </c>
      <c r="W347" s="20"/>
      <c r="X347" s="8" t="n">
        <f aca="false">IFERROR(IF(M347="Abs",0,IF(ROUND((D347-C347+E347-F347)*1440,0)&lt;=1,0,D347-C347+E347-F347)),0)</f>
        <v>0</v>
      </c>
      <c r="Y347" s="6" t="str">
        <f aca="false">IFERROR(VLOOKUP($B347,Agents!$A:$D,3,0),"-")</f>
        <v>OUBRAHIM Mohammed</v>
      </c>
      <c r="Z347" s="6" t="str">
        <f aca="false">IFERROR(VLOOKUP($B347,Agents!$A:$D,4,0),"-")</f>
        <v>Credit Mutuel</v>
      </c>
      <c r="AA347" s="18" t="s">
        <v>88</v>
      </c>
      <c r="AB347" s="8" t="str">
        <f aca="false">IF(AND(D347="Congé",F347="Congé"),0.333333333333333,IF(OR(AND(D347="Congé",F347&lt;&gt;"Congé"),(AND(F347="Congé",D347&lt;&gt;"Congé"))),0.166666666666667,""))</f>
        <v/>
      </c>
      <c r="AC347" s="8" t="str">
        <f aca="false">IF(AND(D347="Congé sans solde",F347="Congé sans solde"),0.333333333333333,IF(OR(AND(D347="Congé sans solde",F347&lt;&gt;"Congé sans solde"),(AND(F347="Congé sans solde",D347&lt;&gt;"Congé sans solde"))),0.166666666666667,""))</f>
        <v/>
      </c>
      <c r="AD347" s="8" t="str">
        <f aca="false">IF(AND(D347="Congé spécial",F347="Congé spécial"),0.333333333333333,IF(OR(AND(D347="Congé spécial",F347&lt;&gt;"Congé spécial"),AND(F347="Congé spécial",D347&lt;&gt;"Congé spécial")),0.166666666666667,""))</f>
        <v/>
      </c>
      <c r="AE347" s="8" t="str">
        <f aca="false">IF(AND(D347="Férié",F347="Férié"),0.333333333333333,IF(OR(AND(D347="Férié",F347&lt;&gt;"Férié"),(AND(F347="Férié",D347&lt;&gt;"Férié"))),0.166666666666667,""))</f>
        <v/>
      </c>
      <c r="AF347" s="18"/>
      <c r="AG347" s="18"/>
    </row>
    <row r="348" customFormat="false" ht="15" hidden="false" customHeight="false" outlineLevel="0" collapsed="false">
      <c r="A348" s="6" t="str">
        <f aca="false">YEAR(Q348-WEEKDAY(Q348,2)+4)&amp;"-S"&amp;TEXT(WEEKNUM(Q348,21),"00")</f>
        <v>2026-S07</v>
      </c>
      <c r="B348" s="18" t="s">
        <v>72</v>
      </c>
      <c r="C348" s="19"/>
      <c r="D348" s="19" t="s">
        <v>74</v>
      </c>
      <c r="E348" s="19"/>
      <c r="F348" s="19" t="s">
        <v>74</v>
      </c>
      <c r="G348" s="20"/>
      <c r="H348" s="20"/>
      <c r="I348" s="8" t="str">
        <f aca="false">IF(IF(OR(C348="",D348="Congé",D348="OFF",D348="Congé spécial"),"",IF(D348&gt;F348,D348-C348,IF(C348-D348&lt;0,0,C348-D348)))&lt;0.00068287037037037,"",IF(OR(D348="Congé",D348="OFF",C348="",D348="Congé spécial"),"",IF(D348&gt;F348,D348-C348,IF(C348-D348&lt;0,0,C348-D348))))</f>
        <v/>
      </c>
      <c r="J348" s="20"/>
      <c r="K348" s="8" t="n">
        <f aca="false">IF(SUM(H348:J348)&lt;0.00068287037037037,0,SUM(H348:J348))</f>
        <v>0</v>
      </c>
      <c r="L348" s="8" t="n">
        <f aca="false">IF(OR(F348="Congé",F348="OFF",M348="Abs",F348="Congé sans solde",F348="Férié",F348="Congé spécial",D348="Congé spécial"),0,IF(F348-E348&lt;0,0,IF(F348-E348&lt;=0.00068287037037037,0,F348-E348)))</f>
        <v>0</v>
      </c>
      <c r="M348" s="6" t="n">
        <f aca="false">IF(AND(O348&lt;&gt;0,C348=""),"Abs",0)</f>
        <v>0</v>
      </c>
      <c r="N348" s="8" t="str">
        <f aca="false">IFERROR(IF(OR(D348="OFF",D348="Congé",M348="Abs",D348="Congé sans solde",D348="Férié"),"",IF(O348-K348-L348&gt;O348,O348,IF(O348-K348-L348&lt;0,"",O348-K348-L348))),"")</f>
        <v/>
      </c>
      <c r="O348" s="8" t="n">
        <f aca="false">IF(AG348="2H Pause déjeuner",IF(F348-D348-0.0833333333333333&lt;0,F348-D348-0.0833333333333333+1,F348-D348-0.0833333333333333),IF(OR(AND(F348="OFF",D348="OFF"),AND(F348="Congé",D348="Congé"),AND(F348="Congé sans solde",D348="Congé sans solde"),AND(F348="Congé spécial",D348="Congé spécial"),AND(F348="Férié",D348="Férié"),AND(F348="OFF",D348="Congé"),AND(F348="OFF",D348="Congé sans solde"),AND(F348="OFF",D348="Congé spécial"),AND(F348="OFF",D348="Férié"),AND(F348="Congé",D348="OFF"),AND(F348="Congé",D348="Congé sans solde"),AND(F348="Congé",D348="Congé spécial"),AND(F348="Congé",D348="Férié"),AND(F348="Congé sans solde",D348="OFF"),AND(F348="Congé sans solde",D348="Congé"),AND(F348="Congé sans solde",D348="Congé spécial"),AND(F348="Congé sans solde",D348="Férié"),AND(F348="Congé spécial",D348="OFF"),AND(F348="Congé spécial",D348="Congé"),AND(F348="Congé spécial",D348="Congé sans solde"),AND(F348="Congé spécial",D348="Férié"),AND(F348="Férié",D348="OFF"),AND(F348="Férié",D348="Congé"),AND(F348="Férié",D348="Congé sans solde"),AND(F348="Férié",D348="Congé spécial")),0,IF(OR(F348="OFF",F348="Congé",F348="Congé spécial",F348="Congé sans solde",D348="OFF",D348="Congé",D348="Congé spécial",D348="Congé sans solde"),0.208333333333334,IF(AND(AG348="",F348-D348&lt;0),("24:00:00"-D348)+("00:00:00"+F348)-0.0416666666666667,IF(AND(OR(AG348="Allaitement",AG348="Sans déjeuner"),F348-D348&lt;0),("24:00:00"-D348)+("00:00:00"+F348),IF(AND(AG348="",F348-D348&gt;0.166666666666667),F348-D348-0.0416666666666667,IF(AND(OR(AG348="Allaitement",AG348="Sans déjeuner"),F348-D348&gt;0.166666666666667),F348-D348,F348-D348)))))))</f>
        <v>0</v>
      </c>
      <c r="P348" s="6" t="str">
        <f aca="false">IFERROR(VLOOKUP($B348,Agents!$A:$D,2,0),"-")</f>
        <v>Accessibilité</v>
      </c>
      <c r="Q348" s="21" t="n">
        <v>46068</v>
      </c>
      <c r="R348" s="8" t="n">
        <f aca="false">IF(M348="Abs",O348,0)</f>
        <v>0</v>
      </c>
      <c r="S348" s="8" t="n">
        <f aca="false">SUM(R348,L348,I348,J348,W348,H348)</f>
        <v>0</v>
      </c>
      <c r="T348" s="6" t="str">
        <f aca="false">"Sem - "&amp;WEEKNUM(Q348,21)</f>
        <v>Sem - 7</v>
      </c>
      <c r="U348" s="6" t="str">
        <f aca="false">CHOOSE(MONTH(Q348),"Janvier","Février","Mars","Avril","Mai","Juin","Juillet","Août","Septembre","Octobre","Novembre","Décembre")</f>
        <v>Février</v>
      </c>
      <c r="V348" s="22" t="n">
        <f aca="false">YEAR(Q348)</f>
        <v>2026</v>
      </c>
      <c r="W348" s="20"/>
      <c r="X348" s="8" t="n">
        <f aca="false">IFERROR(IF(M348="Abs",0,IF(ROUND((D348-C348+E348-F348)*1440,0)&lt;=1,0,D348-C348+E348-F348)),0)</f>
        <v>0</v>
      </c>
      <c r="Y348" s="6" t="str">
        <f aca="false">IFERROR(VLOOKUP($B348,Agents!$A:$D,3,0),"-")</f>
        <v>OUBRAHIM Mohammed</v>
      </c>
      <c r="Z348" s="6" t="str">
        <f aca="false">IFERROR(VLOOKUP($B348,Agents!$A:$D,4,0),"-")</f>
        <v>Credit Mutuel</v>
      </c>
      <c r="AA348" s="18" t="s">
        <v>88</v>
      </c>
      <c r="AB348" s="8" t="str">
        <f aca="false">IF(AND(D348="Congé",F348="Congé"),0.333333333333333,IF(OR(AND(D348="Congé",F348&lt;&gt;"Congé"),(AND(F348="Congé",D348&lt;&gt;"Congé"))),0.166666666666667,""))</f>
        <v/>
      </c>
      <c r="AC348" s="8" t="str">
        <f aca="false">IF(AND(D348="Congé sans solde",F348="Congé sans solde"),0.333333333333333,IF(OR(AND(D348="Congé sans solde",F348&lt;&gt;"Congé sans solde"),(AND(F348="Congé sans solde",D348&lt;&gt;"Congé sans solde"))),0.166666666666667,""))</f>
        <v/>
      </c>
      <c r="AD348" s="8" t="str">
        <f aca="false">IF(AND(D348="Congé spécial",F348="Congé spécial"),0.333333333333333,IF(OR(AND(D348="Congé spécial",F348&lt;&gt;"Congé spécial"),AND(F348="Congé spécial",D348&lt;&gt;"Congé spécial")),0.166666666666667,""))</f>
        <v/>
      </c>
      <c r="AE348" s="8" t="str">
        <f aca="false">IF(AND(D348="Férié",F348="Férié"),0.333333333333333,IF(OR(AND(D348="Férié",F348&lt;&gt;"Férié"),(AND(F348="Férié",D348&lt;&gt;"Férié"))),0.166666666666667,""))</f>
        <v/>
      </c>
      <c r="AF348" s="18"/>
      <c r="AG348" s="18"/>
    </row>
    <row r="349" customFormat="false" ht="15" hidden="false" customHeight="false" outlineLevel="0" collapsed="false">
      <c r="A349" s="6" t="str">
        <f aca="false">YEAR(Q349-WEEKDAY(Q349,2)+4)&amp;"-S"&amp;TEXT(WEEKNUM(Q349,21),"00")</f>
        <v>2026-S07</v>
      </c>
      <c r="B349" s="18" t="s">
        <v>73</v>
      </c>
      <c r="C349" s="19"/>
      <c r="D349" s="19" t="s">
        <v>74</v>
      </c>
      <c r="E349" s="19"/>
      <c r="F349" s="19" t="s">
        <v>74</v>
      </c>
      <c r="G349" s="20"/>
      <c r="H349" s="20"/>
      <c r="I349" s="8" t="str">
        <f aca="false">IF(IF(OR(C349="",D349="Congé",D349="OFF",D349="Congé spécial"),"",IF(D349&gt;F349,D349-C349,IF(C349-D349&lt;0,0,C349-D349)))&lt;0.00068287037037037,"",IF(OR(D349="Congé",D349="OFF",C349="",D349="Congé spécial"),"",IF(D349&gt;F349,D349-C349,IF(C349-D349&lt;0,0,C349-D349))))</f>
        <v/>
      </c>
      <c r="J349" s="20"/>
      <c r="K349" s="8" t="n">
        <f aca="false">IF(SUM(H349:J349)&lt;0.00068287037037037,0,SUM(H349:J349))</f>
        <v>0</v>
      </c>
      <c r="L349" s="8" t="n">
        <f aca="false">IF(OR(F349="Congé",F349="OFF",M349="Abs",F349="Congé sans solde",F349="Férié",F349="Congé spécial",D349="Congé spécial"),0,IF(F349-E349&lt;0,0,IF(F349-E349&lt;=0.00068287037037037,0,F349-E349)))</f>
        <v>0</v>
      </c>
      <c r="M349" s="6" t="n">
        <f aca="false">IF(AND(O349&lt;&gt;0,C349=""),"Abs",0)</f>
        <v>0</v>
      </c>
      <c r="N349" s="8" t="str">
        <f aca="false">IFERROR(IF(OR(D349="OFF",D349="Congé",M349="Abs",D349="Congé sans solde",D349="Férié"),"",IF(O349-K349-L349&gt;O349,O349,IF(O349-K349-L349&lt;0,"",O349-K349-L349))),"")</f>
        <v/>
      </c>
      <c r="O349" s="8" t="n">
        <f aca="false">IF(AG349="2H Pause déjeuner",IF(F349-D349-0.0833333333333333&lt;0,F349-D349-0.0833333333333333+1,F349-D349-0.0833333333333333),IF(OR(AND(F349="OFF",D349="OFF"),AND(F349="Congé",D349="Congé"),AND(F349="Congé sans solde",D349="Congé sans solde"),AND(F349="Congé spécial",D349="Congé spécial"),AND(F349="Férié",D349="Férié"),AND(F349="OFF",D349="Congé"),AND(F349="OFF",D349="Congé sans solde"),AND(F349="OFF",D349="Congé spécial"),AND(F349="OFF",D349="Férié"),AND(F349="Congé",D349="OFF"),AND(F349="Congé",D349="Congé sans solde"),AND(F349="Congé",D349="Congé spécial"),AND(F349="Congé",D349="Férié"),AND(F349="Congé sans solde",D349="OFF"),AND(F349="Congé sans solde",D349="Congé"),AND(F349="Congé sans solde",D349="Congé spécial"),AND(F349="Congé sans solde",D349="Férié"),AND(F349="Congé spécial",D349="OFF"),AND(F349="Congé spécial",D349="Congé"),AND(F349="Congé spécial",D349="Congé sans solde"),AND(F349="Congé spécial",D349="Férié"),AND(F349="Férié",D349="OFF"),AND(F349="Férié",D349="Congé"),AND(F349="Férié",D349="Congé sans solde"),AND(F349="Férié",D349="Congé spécial")),0,IF(OR(F349="OFF",F349="Congé",F349="Congé spécial",F349="Congé sans solde",D349="OFF",D349="Congé",D349="Congé spécial",D349="Congé sans solde"),0.208333333333334,IF(AND(AG349="",F349-D349&lt;0),("24:00:00"-D349)+("00:00:00"+F349)-0.0416666666666667,IF(AND(OR(AG349="Allaitement",AG349="Sans déjeuner"),F349-D349&lt;0),("24:00:00"-D349)+("00:00:00"+F349),IF(AND(AG349="",F349-D349&gt;0.166666666666667),F349-D349-0.0416666666666667,IF(AND(OR(AG349="Allaitement",AG349="Sans déjeuner"),F349-D349&gt;0.166666666666667),F349-D349,F349-D349)))))))</f>
        <v>0</v>
      </c>
      <c r="P349" s="6" t="str">
        <f aca="false">IFERROR(VLOOKUP($B349,Agents!$A:$D,2,0),"-")</f>
        <v>Accessibilité</v>
      </c>
      <c r="Q349" s="21" t="n">
        <v>46068</v>
      </c>
      <c r="R349" s="8" t="n">
        <f aca="false">IF(M349="Abs",O349,0)</f>
        <v>0</v>
      </c>
      <c r="S349" s="8" t="n">
        <f aca="false">SUM(R349,L349,I349,J349,W349,H349)</f>
        <v>0</v>
      </c>
      <c r="T349" s="6" t="str">
        <f aca="false">"Sem - "&amp;WEEKNUM(Q349,21)</f>
        <v>Sem - 7</v>
      </c>
      <c r="U349" s="6" t="str">
        <f aca="false">CHOOSE(MONTH(Q349),"Janvier","Février","Mars","Avril","Mai","Juin","Juillet","Août","Septembre","Octobre","Novembre","Décembre")</f>
        <v>Février</v>
      </c>
      <c r="V349" s="22" t="n">
        <f aca="false">YEAR(Q349)</f>
        <v>2026</v>
      </c>
      <c r="W349" s="20"/>
      <c r="X349" s="8" t="n">
        <f aca="false">IFERROR(IF(M349="Abs",0,IF(ROUND((D349-C349+E349-F349)*1440,0)&lt;=1,0,D349-C349+E349-F349)),0)</f>
        <v>0</v>
      </c>
      <c r="Y349" s="6" t="str">
        <f aca="false">IFERROR(VLOOKUP($B349,Agents!$A:$D,3,0),"-")</f>
        <v>OUBRAHIM Mohammed</v>
      </c>
      <c r="Z349" s="6" t="str">
        <f aca="false">IFERROR(VLOOKUP($B349,Agents!$A:$D,4,0),"-")</f>
        <v>Credit Mutuel</v>
      </c>
      <c r="AA349" s="18" t="s">
        <v>88</v>
      </c>
      <c r="AB349" s="8" t="str">
        <f aca="false">IF(AND(D349="Congé",F349="Congé"),0.333333333333333,IF(OR(AND(D349="Congé",F349&lt;&gt;"Congé"),(AND(F349="Congé",D349&lt;&gt;"Congé"))),0.166666666666667,""))</f>
        <v/>
      </c>
      <c r="AC349" s="8" t="str">
        <f aca="false">IF(AND(D349="Congé sans solde",F349="Congé sans solde"),0.333333333333333,IF(OR(AND(D349="Congé sans solde",F349&lt;&gt;"Congé sans solde"),(AND(F349="Congé sans solde",D349&lt;&gt;"Congé sans solde"))),0.166666666666667,""))</f>
        <v/>
      </c>
      <c r="AD349" s="8" t="str">
        <f aca="false">IF(AND(D349="Congé spécial",F349="Congé spécial"),0.333333333333333,IF(OR(AND(D349="Congé spécial",F349&lt;&gt;"Congé spécial"),AND(F349="Congé spécial",D349&lt;&gt;"Congé spécial")),0.166666666666667,""))</f>
        <v/>
      </c>
      <c r="AE349" s="8" t="str">
        <f aca="false">IF(AND(D349="Férié",F349="Férié"),0.333333333333333,IF(OR(AND(D349="Férié",F349&lt;&gt;"Férié"),(AND(F349="Férié",D349&lt;&gt;"Férié"))),0.166666666666667,""))</f>
        <v/>
      </c>
      <c r="AF349" s="18"/>
      <c r="AG349" s="18"/>
    </row>
    <row r="350" customFormat="false" ht="15" hidden="false" customHeight="false" outlineLevel="0" collapsed="false">
      <c r="A350" s="6" t="str">
        <f aca="false">YEAR(Q350-WEEKDAY(Q350,2)+4)&amp;"-S"&amp;TEXT(WEEKNUM(Q350,21),"00")</f>
        <v>2026-S08</v>
      </c>
      <c r="B350" s="18" t="s">
        <v>69</v>
      </c>
      <c r="C350" s="19" t="n">
        <v>0.332638888888889</v>
      </c>
      <c r="D350" s="19" t="n">
        <v>0.333333333333333</v>
      </c>
      <c r="E350" s="19" t="n">
        <v>0.75</v>
      </c>
      <c r="F350" s="19" t="n">
        <v>0.75</v>
      </c>
      <c r="G350" s="20"/>
      <c r="H350" s="20"/>
      <c r="I350" s="8" t="str">
        <f aca="false">IF(IF(OR(C350="",D350="Congé",D350="OFF",D350="Congé spécial"),"",IF(D350&gt;F350,D350-C350,IF(C350-D350&lt;0,0,C350-D350)))&lt;0.00068287037037037,"",IF(OR(D350="Congé",D350="OFF",C350="",D350="Congé spécial"),"",IF(D350&gt;F350,D350-C350,IF(C350-D350&lt;0,0,C350-D350))))</f>
        <v/>
      </c>
      <c r="J350" s="20"/>
      <c r="K350" s="8" t="n">
        <f aca="false">IF(SUM(H350:J350)&lt;0.00068287037037037,0,SUM(H350:J350))</f>
        <v>0</v>
      </c>
      <c r="L350" s="8" t="n">
        <f aca="false">IF(OR(F350="Congé",F350="OFF",M350="Abs",F350="Congé sans solde",F350="Férié",F350="Congé spécial",D350="Congé spécial"),0,IF(F350-E350&lt;0,0,IF(F350-E350&lt;=0.00068287037037037,0,F350-E350)))</f>
        <v>0</v>
      </c>
      <c r="M350" s="6" t="n">
        <f aca="false">IF(AND(O350&lt;&gt;0,C350=""),"Abs",0)</f>
        <v>0</v>
      </c>
      <c r="N350" s="8" t="n">
        <f aca="false">IFERROR(IF(OR(D350="OFF",D350="Congé",M350="Abs",D350="Congé sans solde",D350="Férié"),"",IF(O350-K350-L350&gt;O350,O350,IF(O350-K350-L350&lt;0,"",O350-K350-L350))),"")</f>
        <v>0.375</v>
      </c>
      <c r="O350" s="8" t="n">
        <f aca="false">IF(AG350="2H Pause déjeuner",IF(F350-D350-0.0833333333333333&lt;0,F350-D350-0.0833333333333333+1,F350-D350-0.0833333333333333),IF(OR(AND(F350="OFF",D350="OFF"),AND(F350="Congé",D350="Congé"),AND(F350="Congé sans solde",D350="Congé sans solde"),AND(F350="Congé spécial",D350="Congé spécial"),AND(F350="Férié",D350="Férié"),AND(F350="OFF",D350="Congé"),AND(F350="OFF",D350="Congé sans solde"),AND(F350="OFF",D350="Congé spécial"),AND(F350="OFF",D350="Férié"),AND(F350="Congé",D350="OFF"),AND(F350="Congé",D350="Congé sans solde"),AND(F350="Congé",D350="Congé spécial"),AND(F350="Congé",D350="Férié"),AND(F350="Congé sans solde",D350="OFF"),AND(F350="Congé sans solde",D350="Congé"),AND(F350="Congé sans solde",D350="Congé spécial"),AND(F350="Congé sans solde",D350="Férié"),AND(F350="Congé spécial",D350="OFF"),AND(F350="Congé spécial",D350="Congé"),AND(F350="Congé spécial",D350="Congé sans solde"),AND(F350="Congé spécial",D350="Férié"),AND(F350="Férié",D350="OFF"),AND(F350="Férié",D350="Congé"),AND(F350="Férié",D350="Congé sans solde"),AND(F350="Férié",D350="Congé spécial")),0,IF(OR(F350="OFF",F350="Congé",F350="Congé spécial",F350="Congé sans solde",D350="OFF",D350="Congé",D350="Congé spécial",D350="Congé sans solde"),0.208333333333334,IF(AND(AG350="",F350-D350&lt;0),("24:00:00"-D350)+("00:00:00"+F350)-0.0416666666666667,IF(AND(OR(AG350="Allaitement",AG350="Sans déjeuner"),F350-D350&lt;0),("24:00:00"-D350)+("00:00:00"+F350),IF(AND(AG350="",F350-D350&gt;0.166666666666667),F350-D350-0.0416666666666667,IF(AND(OR(AG350="Allaitement",AG350="Sans déjeuner"),F350-D350&gt;0.166666666666667),F350-D350,F350-D350)))))))</f>
        <v>0.375</v>
      </c>
      <c r="P350" s="6" t="str">
        <f aca="false">IFERROR(VLOOKUP($B350,Agents!$A:$D,2,0),"-")</f>
        <v>Accessibilité</v>
      </c>
      <c r="Q350" s="21" t="n">
        <v>46069</v>
      </c>
      <c r="R350" s="8" t="n">
        <f aca="false">IF(M350="Abs",O350,0)</f>
        <v>0</v>
      </c>
      <c r="S350" s="8" t="n">
        <f aca="false">SUM(R350,L350,I350,J350,W350,H350)</f>
        <v>0</v>
      </c>
      <c r="T350" s="6" t="str">
        <f aca="false">"Sem - "&amp;WEEKNUM(Q350,21)</f>
        <v>Sem - 8</v>
      </c>
      <c r="U350" s="6" t="str">
        <f aca="false">CHOOSE(MONTH(Q350),"Janvier","Février","Mars","Avril","Mai","Juin","Juillet","Août","Septembre","Octobre","Novembre","Décembre")</f>
        <v>Février</v>
      </c>
      <c r="V350" s="22" t="n">
        <f aca="false">YEAR(Q350)</f>
        <v>2026</v>
      </c>
      <c r="W350" s="20"/>
      <c r="X350" s="8" t="n">
        <f aca="false">IFERROR(IF(M350="Abs",0,IF(ROUND((D350-C350+E350-F350)*1440,0)&lt;=1,0,D350-C350+E350-F350)),0)</f>
        <v>0</v>
      </c>
      <c r="Y350" s="6" t="str">
        <f aca="false">IFERROR(VLOOKUP($B350,Agents!$A:$D,3,0),"-")</f>
        <v>OUBRAHIM Mohammed</v>
      </c>
      <c r="Z350" s="6" t="str">
        <f aca="false">IFERROR(VLOOKUP($B350,Agents!$A:$D,4,0),"-")</f>
        <v>Credit Mutuel</v>
      </c>
      <c r="AA350" s="18" t="s">
        <v>89</v>
      </c>
      <c r="AB350" s="8" t="str">
        <f aca="false">IF(AND(D350="Congé",F350="Congé"),0.333333333333333,IF(OR(AND(D350="Congé",F350&lt;&gt;"Congé"),(AND(F350="Congé",D350&lt;&gt;"Congé"))),0.166666666666667,""))</f>
        <v/>
      </c>
      <c r="AC350" s="8" t="str">
        <f aca="false">IF(AND(D350="Congé sans solde",F350="Congé sans solde"),0.333333333333333,IF(OR(AND(D350="Congé sans solde",F350&lt;&gt;"Congé sans solde"),(AND(F350="Congé sans solde",D350&lt;&gt;"Congé sans solde"))),0.166666666666667,""))</f>
        <v/>
      </c>
      <c r="AD350" s="8" t="str">
        <f aca="false">IF(AND(D350="Congé spécial",F350="Congé spécial"),0.333333333333333,IF(OR(AND(D350="Congé spécial",F350&lt;&gt;"Congé spécial"),AND(F350="Congé spécial",D350&lt;&gt;"Congé spécial")),0.166666666666667,""))</f>
        <v/>
      </c>
      <c r="AE350" s="8" t="str">
        <f aca="false">IF(AND(D350="Férié",F350="Férié"),0.333333333333333,IF(OR(AND(D350="Férié",F350&lt;&gt;"Férié"),(AND(F350="Férié",D350&lt;&gt;"Férié"))),0.166666666666667,""))</f>
        <v/>
      </c>
      <c r="AF350" s="18"/>
      <c r="AG350" s="18"/>
    </row>
    <row r="351" customFormat="false" ht="15" hidden="false" customHeight="false" outlineLevel="0" collapsed="false">
      <c r="A351" s="6" t="str">
        <f aca="false">YEAR(Q351-WEEKDAY(Q351,2)+4)&amp;"-S"&amp;TEXT(WEEKNUM(Q351,21),"00")</f>
        <v>2026-S08</v>
      </c>
      <c r="B351" s="18" t="s">
        <v>71</v>
      </c>
      <c r="C351" s="19" t="n">
        <v>0.333333333333333</v>
      </c>
      <c r="D351" s="19" t="n">
        <v>0.333333333333333</v>
      </c>
      <c r="E351" s="19" t="n">
        <v>0.75</v>
      </c>
      <c r="F351" s="19" t="n">
        <v>0.75</v>
      </c>
      <c r="G351" s="20"/>
      <c r="H351" s="20"/>
      <c r="I351" s="8" t="str">
        <f aca="false">IF(IF(OR(C351="",D351="Congé",D351="OFF",D351="Congé spécial"),"",IF(D351&gt;F351,D351-C351,IF(C351-D351&lt;0,0,C351-D351)))&lt;0.00068287037037037,"",IF(OR(D351="Congé",D351="OFF",C351="",D351="Congé spécial"),"",IF(D351&gt;F351,D351-C351,IF(C351-D351&lt;0,0,C351-D351))))</f>
        <v/>
      </c>
      <c r="J351" s="20"/>
      <c r="K351" s="8" t="n">
        <f aca="false">IF(SUM(H351:J351)&lt;0.00068287037037037,0,SUM(H351:J351))</f>
        <v>0</v>
      </c>
      <c r="L351" s="8" t="n">
        <f aca="false">IF(OR(F351="Congé",F351="OFF",M351="Abs",F351="Congé sans solde",F351="Férié",F351="Congé spécial",D351="Congé spécial"),0,IF(F351-E351&lt;0,0,IF(F351-E351&lt;=0.00068287037037037,0,F351-E351)))</f>
        <v>0</v>
      </c>
      <c r="M351" s="6" t="n">
        <f aca="false">IF(AND(O351&lt;&gt;0,C351=""),"Abs",0)</f>
        <v>0</v>
      </c>
      <c r="N351" s="8" t="n">
        <f aca="false">IFERROR(IF(OR(D351="OFF",D351="Congé",M351="Abs",D351="Congé sans solde",D351="Férié"),"",IF(O351-K351-L351&gt;O351,O351,IF(O351-K351-L351&lt;0,"",O351-K351-L351))),"")</f>
        <v>0.375</v>
      </c>
      <c r="O351" s="8" t="n">
        <f aca="false">IF(AG351="2H Pause déjeuner",IF(F351-D351-0.0833333333333333&lt;0,F351-D351-0.0833333333333333+1,F351-D351-0.0833333333333333),IF(OR(AND(F351="OFF",D351="OFF"),AND(F351="Congé",D351="Congé"),AND(F351="Congé sans solde",D351="Congé sans solde"),AND(F351="Congé spécial",D351="Congé spécial"),AND(F351="Férié",D351="Férié"),AND(F351="OFF",D351="Congé"),AND(F351="OFF",D351="Congé sans solde"),AND(F351="OFF",D351="Congé spécial"),AND(F351="OFF",D351="Férié"),AND(F351="Congé",D351="OFF"),AND(F351="Congé",D351="Congé sans solde"),AND(F351="Congé",D351="Congé spécial"),AND(F351="Congé",D351="Férié"),AND(F351="Congé sans solde",D351="OFF"),AND(F351="Congé sans solde",D351="Congé"),AND(F351="Congé sans solde",D351="Congé spécial"),AND(F351="Congé sans solde",D351="Férié"),AND(F351="Congé spécial",D351="OFF"),AND(F351="Congé spécial",D351="Congé"),AND(F351="Congé spécial",D351="Congé sans solde"),AND(F351="Congé spécial",D351="Férié"),AND(F351="Férié",D351="OFF"),AND(F351="Férié",D351="Congé"),AND(F351="Férié",D351="Congé sans solde"),AND(F351="Férié",D351="Congé spécial")),0,IF(OR(F351="OFF",F351="Congé",F351="Congé spécial",F351="Congé sans solde",D351="OFF",D351="Congé",D351="Congé spécial",D351="Congé sans solde"),0.208333333333334,IF(AND(AG351="",F351-D351&lt;0),("24:00:00"-D351)+("00:00:00"+F351)-0.0416666666666667,IF(AND(OR(AG351="Allaitement",AG351="Sans déjeuner"),F351-D351&lt;0),("24:00:00"-D351)+("00:00:00"+F351),IF(AND(AG351="",F351-D351&gt;0.166666666666667),F351-D351-0.0416666666666667,IF(AND(OR(AG351="Allaitement",AG351="Sans déjeuner"),F351-D351&gt;0.166666666666667),F351-D351,F351-D351)))))))</f>
        <v>0.375</v>
      </c>
      <c r="P351" s="6" t="str">
        <f aca="false">IFERROR(VLOOKUP($B351,Agents!$A:$D,2,0),"-")</f>
        <v>Accessibilité</v>
      </c>
      <c r="Q351" s="21" t="n">
        <v>46069</v>
      </c>
      <c r="R351" s="8" t="n">
        <f aca="false">IF(M351="Abs",O351,0)</f>
        <v>0</v>
      </c>
      <c r="S351" s="8" t="n">
        <f aca="false">SUM(R351,L351,I351,J351,W351,H351)</f>
        <v>0</v>
      </c>
      <c r="T351" s="6" t="str">
        <f aca="false">"Sem - "&amp;WEEKNUM(Q351,21)</f>
        <v>Sem - 8</v>
      </c>
      <c r="U351" s="6" t="str">
        <f aca="false">CHOOSE(MONTH(Q351),"Janvier","Février","Mars","Avril","Mai","Juin","Juillet","Août","Septembre","Octobre","Novembre","Décembre")</f>
        <v>Février</v>
      </c>
      <c r="V351" s="22" t="n">
        <f aca="false">YEAR(Q351)</f>
        <v>2026</v>
      </c>
      <c r="W351" s="20"/>
      <c r="X351" s="8" t="n">
        <f aca="false">IFERROR(IF(M351="Abs",0,IF(ROUND((D351-C351+E351-F351)*1440,0)&lt;=1,0,D351-C351+E351-F351)),0)</f>
        <v>0</v>
      </c>
      <c r="Y351" s="6" t="str">
        <f aca="false">IFERROR(VLOOKUP($B351,Agents!$A:$D,3,0),"-")</f>
        <v>OUBRAHIM Mohammed</v>
      </c>
      <c r="Z351" s="6" t="str">
        <f aca="false">IFERROR(VLOOKUP($B351,Agents!$A:$D,4,0),"-")</f>
        <v>Credit Mutuel</v>
      </c>
      <c r="AA351" s="18" t="s">
        <v>89</v>
      </c>
      <c r="AB351" s="8" t="str">
        <f aca="false">IF(AND(D351="Congé",F351="Congé"),0.333333333333333,IF(OR(AND(D351="Congé",F351&lt;&gt;"Congé"),(AND(F351="Congé",D351&lt;&gt;"Congé"))),0.166666666666667,""))</f>
        <v/>
      </c>
      <c r="AC351" s="8" t="str">
        <f aca="false">IF(AND(D351="Congé sans solde",F351="Congé sans solde"),0.333333333333333,IF(OR(AND(D351="Congé sans solde",F351&lt;&gt;"Congé sans solde"),(AND(F351="Congé sans solde",D351&lt;&gt;"Congé sans solde"))),0.166666666666667,""))</f>
        <v/>
      </c>
      <c r="AD351" s="8" t="str">
        <f aca="false">IF(AND(D351="Congé spécial",F351="Congé spécial"),0.333333333333333,IF(OR(AND(D351="Congé spécial",F351&lt;&gt;"Congé spécial"),AND(F351="Congé spécial",D351&lt;&gt;"Congé spécial")),0.166666666666667,""))</f>
        <v/>
      </c>
      <c r="AE351" s="8" t="str">
        <f aca="false">IF(AND(D351="Férié",F351="Férié"),0.333333333333333,IF(OR(AND(D351="Férié",F351&lt;&gt;"Férié"),(AND(F351="Férié",D351&lt;&gt;"Férié"))),0.166666666666667,""))</f>
        <v/>
      </c>
      <c r="AF351" s="18"/>
      <c r="AG351" s="18"/>
    </row>
    <row r="352" customFormat="false" ht="15" hidden="false" customHeight="false" outlineLevel="0" collapsed="false">
      <c r="A352" s="6" t="str">
        <f aca="false">YEAR(Q352-WEEKDAY(Q352,2)+4)&amp;"-S"&amp;TEXT(WEEKNUM(Q352,21),"00")</f>
        <v>2026-S08</v>
      </c>
      <c r="B352" s="18" t="s">
        <v>72</v>
      </c>
      <c r="C352" s="19" t="n">
        <v>0.331944444444444</v>
      </c>
      <c r="D352" s="19" t="n">
        <v>0.333333333333333</v>
      </c>
      <c r="E352" s="19" t="n">
        <v>0.75</v>
      </c>
      <c r="F352" s="19" t="n">
        <v>0.75</v>
      </c>
      <c r="G352" s="20"/>
      <c r="H352" s="20"/>
      <c r="I352" s="8" t="str">
        <f aca="false">IF(IF(OR(C352="",D352="Congé",D352="OFF",D352="Congé spécial"),"",IF(D352&gt;F352,D352-C352,IF(C352-D352&lt;0,0,C352-D352)))&lt;0.00068287037037037,"",IF(OR(D352="Congé",D352="OFF",C352="",D352="Congé spécial"),"",IF(D352&gt;F352,D352-C352,IF(C352-D352&lt;0,0,C352-D352))))</f>
        <v/>
      </c>
      <c r="J352" s="20"/>
      <c r="K352" s="8" t="n">
        <f aca="false">IF(SUM(H352:J352)&lt;0.00068287037037037,0,SUM(H352:J352))</f>
        <v>0</v>
      </c>
      <c r="L352" s="8" t="n">
        <f aca="false">IF(OR(F352="Congé",F352="OFF",M352="Abs",F352="Congé sans solde",F352="Férié",F352="Congé spécial",D352="Congé spécial"),0,IF(F352-E352&lt;0,0,IF(F352-E352&lt;=0.00068287037037037,0,F352-E352)))</f>
        <v>0</v>
      </c>
      <c r="M352" s="6" t="n">
        <f aca="false">IF(AND(O352&lt;&gt;0,C352=""),"Abs",0)</f>
        <v>0</v>
      </c>
      <c r="N352" s="8" t="n">
        <f aca="false">IFERROR(IF(OR(D352="OFF",D352="Congé",M352="Abs",D352="Congé sans solde",D352="Férié"),"",IF(O352-K352-L352&gt;O352,O352,IF(O352-K352-L352&lt;0,"",O352-K352-L352))),"")</f>
        <v>0.375</v>
      </c>
      <c r="O352" s="8" t="n">
        <f aca="false">IF(AG352="2H Pause déjeuner",IF(F352-D352-0.0833333333333333&lt;0,F352-D352-0.0833333333333333+1,F352-D352-0.0833333333333333),IF(OR(AND(F352="OFF",D352="OFF"),AND(F352="Congé",D352="Congé"),AND(F352="Congé sans solde",D352="Congé sans solde"),AND(F352="Congé spécial",D352="Congé spécial"),AND(F352="Férié",D352="Férié"),AND(F352="OFF",D352="Congé"),AND(F352="OFF",D352="Congé sans solde"),AND(F352="OFF",D352="Congé spécial"),AND(F352="OFF",D352="Férié"),AND(F352="Congé",D352="OFF"),AND(F352="Congé",D352="Congé sans solde"),AND(F352="Congé",D352="Congé spécial"),AND(F352="Congé",D352="Férié"),AND(F352="Congé sans solde",D352="OFF"),AND(F352="Congé sans solde",D352="Congé"),AND(F352="Congé sans solde",D352="Congé spécial"),AND(F352="Congé sans solde",D352="Férié"),AND(F352="Congé spécial",D352="OFF"),AND(F352="Congé spécial",D352="Congé"),AND(F352="Congé spécial",D352="Congé sans solde"),AND(F352="Congé spécial",D352="Férié"),AND(F352="Férié",D352="OFF"),AND(F352="Férié",D352="Congé"),AND(F352="Férié",D352="Congé sans solde"),AND(F352="Férié",D352="Congé spécial")),0,IF(OR(F352="OFF",F352="Congé",F352="Congé spécial",F352="Congé sans solde",D352="OFF",D352="Congé",D352="Congé spécial",D352="Congé sans solde"),0.208333333333334,IF(AND(AG352="",F352-D352&lt;0),("24:00:00"-D352)+("00:00:00"+F352)-0.0416666666666667,IF(AND(OR(AG352="Allaitement",AG352="Sans déjeuner"),F352-D352&lt;0),("24:00:00"-D352)+("00:00:00"+F352),IF(AND(AG352="",F352-D352&gt;0.166666666666667),F352-D352-0.0416666666666667,IF(AND(OR(AG352="Allaitement",AG352="Sans déjeuner"),F352-D352&gt;0.166666666666667),F352-D352,F352-D352)))))))</f>
        <v>0.375</v>
      </c>
      <c r="P352" s="6" t="str">
        <f aca="false">IFERROR(VLOOKUP($B352,Agents!$A:$D,2,0),"-")</f>
        <v>Accessibilité</v>
      </c>
      <c r="Q352" s="21" t="n">
        <v>46069</v>
      </c>
      <c r="R352" s="8" t="n">
        <f aca="false">IF(M352="Abs",O352,0)</f>
        <v>0</v>
      </c>
      <c r="S352" s="8" t="n">
        <f aca="false">SUM(R352,L352,I352,J352,W352,H352)</f>
        <v>0</v>
      </c>
      <c r="T352" s="6" t="str">
        <f aca="false">"Sem - "&amp;WEEKNUM(Q352,21)</f>
        <v>Sem - 8</v>
      </c>
      <c r="U352" s="6" t="str">
        <f aca="false">CHOOSE(MONTH(Q352),"Janvier","Février","Mars","Avril","Mai","Juin","Juillet","Août","Septembre","Octobre","Novembre","Décembre")</f>
        <v>Février</v>
      </c>
      <c r="V352" s="22" t="n">
        <f aca="false">YEAR(Q352)</f>
        <v>2026</v>
      </c>
      <c r="W352" s="20"/>
      <c r="X352" s="8" t="n">
        <f aca="false">IFERROR(IF(M352="Abs",0,IF(ROUND((D352-C352+E352-F352)*1440,0)&lt;=1,0,D352-C352+E352-F352)),0)</f>
        <v>0.00138888888888889</v>
      </c>
      <c r="Y352" s="6" t="str">
        <f aca="false">IFERROR(VLOOKUP($B352,Agents!$A:$D,3,0),"-")</f>
        <v>OUBRAHIM Mohammed</v>
      </c>
      <c r="Z352" s="6" t="str">
        <f aca="false">IFERROR(VLOOKUP($B352,Agents!$A:$D,4,0),"-")</f>
        <v>Credit Mutuel</v>
      </c>
      <c r="AA352" s="18" t="s">
        <v>89</v>
      </c>
      <c r="AB352" s="8" t="str">
        <f aca="false">IF(AND(D352="Congé",F352="Congé"),0.333333333333333,IF(OR(AND(D352="Congé",F352&lt;&gt;"Congé"),(AND(F352="Congé",D352&lt;&gt;"Congé"))),0.166666666666667,""))</f>
        <v/>
      </c>
      <c r="AC352" s="8" t="str">
        <f aca="false">IF(AND(D352="Congé sans solde",F352="Congé sans solde"),0.333333333333333,IF(OR(AND(D352="Congé sans solde",F352&lt;&gt;"Congé sans solde"),(AND(F352="Congé sans solde",D352&lt;&gt;"Congé sans solde"))),0.166666666666667,""))</f>
        <v/>
      </c>
      <c r="AD352" s="8" t="str">
        <f aca="false">IF(AND(D352="Congé spécial",F352="Congé spécial"),0.333333333333333,IF(OR(AND(D352="Congé spécial",F352&lt;&gt;"Congé spécial"),AND(F352="Congé spécial",D352&lt;&gt;"Congé spécial")),0.166666666666667,""))</f>
        <v/>
      </c>
      <c r="AE352" s="8" t="str">
        <f aca="false">IF(AND(D352="Férié",F352="Férié"),0.333333333333333,IF(OR(AND(D352="Férié",F352&lt;&gt;"Férié"),(AND(F352="Férié",D352&lt;&gt;"Férié"))),0.166666666666667,""))</f>
        <v/>
      </c>
      <c r="AF352" s="18"/>
      <c r="AG352" s="18"/>
    </row>
    <row r="353" customFormat="false" ht="15" hidden="false" customHeight="false" outlineLevel="0" collapsed="false">
      <c r="A353" s="6" t="str">
        <f aca="false">YEAR(Q353-WEEKDAY(Q353,2)+4)&amp;"-S"&amp;TEXT(WEEKNUM(Q353,21),"00")</f>
        <v>2026-S08</v>
      </c>
      <c r="B353" s="18" t="s">
        <v>73</v>
      </c>
      <c r="C353" s="19" t="n">
        <v>0.332638888888889</v>
      </c>
      <c r="D353" s="19" t="n">
        <v>0.333333333333333</v>
      </c>
      <c r="E353" s="19" t="n">
        <v>0.75</v>
      </c>
      <c r="F353" s="19" t="n">
        <v>0.75</v>
      </c>
      <c r="G353" s="20"/>
      <c r="H353" s="20"/>
      <c r="I353" s="8" t="str">
        <f aca="false">IF(IF(OR(C353="",D353="Congé",D353="OFF",D353="Congé spécial"),"",IF(D353&gt;F353,D353-C353,IF(C353-D353&lt;0,0,C353-D353)))&lt;0.00068287037037037,"",IF(OR(D353="Congé",D353="OFF",C353="",D353="Congé spécial"),"",IF(D353&gt;F353,D353-C353,IF(C353-D353&lt;0,0,C353-D353))))</f>
        <v/>
      </c>
      <c r="J353" s="20"/>
      <c r="K353" s="8" t="n">
        <f aca="false">IF(SUM(H353:J353)&lt;0.00068287037037037,0,SUM(H353:J353))</f>
        <v>0</v>
      </c>
      <c r="L353" s="8" t="n">
        <f aca="false">IF(OR(F353="Congé",F353="OFF",M353="Abs",F353="Congé sans solde",F353="Férié",F353="Congé spécial",D353="Congé spécial"),0,IF(F353-E353&lt;0,0,IF(F353-E353&lt;=0.00068287037037037,0,F353-E353)))</f>
        <v>0</v>
      </c>
      <c r="M353" s="6" t="n">
        <f aca="false">IF(AND(O353&lt;&gt;0,C353=""),"Abs",0)</f>
        <v>0</v>
      </c>
      <c r="N353" s="8" t="n">
        <f aca="false">IFERROR(IF(OR(D353="OFF",D353="Congé",M353="Abs",D353="Congé sans solde",D353="Férié"),"",IF(O353-K353-L353&gt;O353,O353,IF(O353-K353-L353&lt;0,"",O353-K353-L353))),"")</f>
        <v>0.375</v>
      </c>
      <c r="O353" s="8" t="n">
        <f aca="false">IF(AG353="2H Pause déjeuner",IF(F353-D353-0.0833333333333333&lt;0,F353-D353-0.0833333333333333+1,F353-D353-0.0833333333333333),IF(OR(AND(F353="OFF",D353="OFF"),AND(F353="Congé",D353="Congé"),AND(F353="Congé sans solde",D353="Congé sans solde"),AND(F353="Congé spécial",D353="Congé spécial"),AND(F353="Férié",D353="Férié"),AND(F353="OFF",D353="Congé"),AND(F353="OFF",D353="Congé sans solde"),AND(F353="OFF",D353="Congé spécial"),AND(F353="OFF",D353="Férié"),AND(F353="Congé",D353="OFF"),AND(F353="Congé",D353="Congé sans solde"),AND(F353="Congé",D353="Congé spécial"),AND(F353="Congé",D353="Férié"),AND(F353="Congé sans solde",D353="OFF"),AND(F353="Congé sans solde",D353="Congé"),AND(F353="Congé sans solde",D353="Congé spécial"),AND(F353="Congé sans solde",D353="Férié"),AND(F353="Congé spécial",D353="OFF"),AND(F353="Congé spécial",D353="Congé"),AND(F353="Congé spécial",D353="Congé sans solde"),AND(F353="Congé spécial",D353="Férié"),AND(F353="Férié",D353="OFF"),AND(F353="Férié",D353="Congé"),AND(F353="Férié",D353="Congé sans solde"),AND(F353="Férié",D353="Congé spécial")),0,IF(OR(F353="OFF",F353="Congé",F353="Congé spécial",F353="Congé sans solde",D353="OFF",D353="Congé",D353="Congé spécial",D353="Congé sans solde"),0.208333333333334,IF(AND(AG353="",F353-D353&lt;0),("24:00:00"-D353)+("00:00:00"+F353)-0.0416666666666667,IF(AND(OR(AG353="Allaitement",AG353="Sans déjeuner"),F353-D353&lt;0),("24:00:00"-D353)+("00:00:00"+F353),IF(AND(AG353="",F353-D353&gt;0.166666666666667),F353-D353-0.0416666666666667,IF(AND(OR(AG353="Allaitement",AG353="Sans déjeuner"),F353-D353&gt;0.166666666666667),F353-D353,F353-D353)))))))</f>
        <v>0.375</v>
      </c>
      <c r="P353" s="6" t="str">
        <f aca="false">IFERROR(VLOOKUP($B353,Agents!$A:$D,2,0),"-")</f>
        <v>Accessibilité</v>
      </c>
      <c r="Q353" s="21" t="n">
        <v>46069</v>
      </c>
      <c r="R353" s="8" t="n">
        <f aca="false">IF(M353="Abs",O353,0)</f>
        <v>0</v>
      </c>
      <c r="S353" s="8" t="n">
        <f aca="false">SUM(R353,L353,I353,J353,W353,H353)</f>
        <v>0</v>
      </c>
      <c r="T353" s="6" t="str">
        <f aca="false">"Sem - "&amp;WEEKNUM(Q353,21)</f>
        <v>Sem - 8</v>
      </c>
      <c r="U353" s="6" t="str">
        <f aca="false">CHOOSE(MONTH(Q353),"Janvier","Février","Mars","Avril","Mai","Juin","Juillet","Août","Septembre","Octobre","Novembre","Décembre")</f>
        <v>Février</v>
      </c>
      <c r="V353" s="22" t="n">
        <f aca="false">YEAR(Q353)</f>
        <v>2026</v>
      </c>
      <c r="W353" s="20"/>
      <c r="X353" s="8" t="n">
        <f aca="false">IFERROR(IF(M353="Abs",0,IF(ROUND((D353-C353+E353-F353)*1440,0)&lt;=1,0,D353-C353+E353-F353)),0)</f>
        <v>0</v>
      </c>
      <c r="Y353" s="6" t="str">
        <f aca="false">IFERROR(VLOOKUP($B353,Agents!$A:$D,3,0),"-")</f>
        <v>OUBRAHIM Mohammed</v>
      </c>
      <c r="Z353" s="6" t="str">
        <f aca="false">IFERROR(VLOOKUP($B353,Agents!$A:$D,4,0),"-")</f>
        <v>Credit Mutuel</v>
      </c>
      <c r="AA353" s="18" t="s">
        <v>89</v>
      </c>
      <c r="AB353" s="8" t="str">
        <f aca="false">IF(AND(D353="Congé",F353="Congé"),0.333333333333333,IF(OR(AND(D353="Congé",F353&lt;&gt;"Congé"),(AND(F353="Congé",D353&lt;&gt;"Congé"))),0.166666666666667,""))</f>
        <v/>
      </c>
      <c r="AC353" s="8" t="str">
        <f aca="false">IF(AND(D353="Congé sans solde",F353="Congé sans solde"),0.333333333333333,IF(OR(AND(D353="Congé sans solde",F353&lt;&gt;"Congé sans solde"),(AND(F353="Congé sans solde",D353&lt;&gt;"Congé sans solde"))),0.166666666666667,""))</f>
        <v/>
      </c>
      <c r="AD353" s="8" t="str">
        <f aca="false">IF(AND(D353="Congé spécial",F353="Congé spécial"),0.333333333333333,IF(OR(AND(D353="Congé spécial",F353&lt;&gt;"Congé spécial"),AND(F353="Congé spécial",D353&lt;&gt;"Congé spécial")),0.166666666666667,""))</f>
        <v/>
      </c>
      <c r="AE353" s="8" t="str">
        <f aca="false">IF(AND(D353="Férié",F353="Férié"),0.333333333333333,IF(OR(AND(D353="Férié",F353&lt;&gt;"Férié"),(AND(F353="Férié",D353&lt;&gt;"Férié"))),0.166666666666667,""))</f>
        <v/>
      </c>
      <c r="AF353" s="18"/>
      <c r="AG353" s="18"/>
    </row>
    <row r="354" customFormat="false" ht="15" hidden="false" customHeight="false" outlineLevel="0" collapsed="false">
      <c r="A354" s="6" t="str">
        <f aca="false">YEAR(Q354-WEEKDAY(Q354,2)+4)&amp;"-S"&amp;TEXT(WEEKNUM(Q354,21),"00")</f>
        <v>2026-S08</v>
      </c>
      <c r="B354" s="18" t="s">
        <v>69</v>
      </c>
      <c r="C354" s="19" t="n">
        <v>0.333333333333333</v>
      </c>
      <c r="D354" s="19" t="n">
        <v>0.333333333333333</v>
      </c>
      <c r="E354" s="19" t="n">
        <v>0.75</v>
      </c>
      <c r="F354" s="19" t="n">
        <v>0.75</v>
      </c>
      <c r="G354" s="20"/>
      <c r="H354" s="20"/>
      <c r="I354" s="8" t="str">
        <f aca="false">IF(IF(OR(C354="",D354="Congé",D354="OFF",D354="Congé spécial"),"",IF(D354&gt;F354,D354-C354,IF(C354-D354&lt;0,0,C354-D354)))&lt;0.00068287037037037,"",IF(OR(D354="Congé",D354="OFF",C354="",D354="Congé spécial"),"",IF(D354&gt;F354,D354-C354,IF(C354-D354&lt;0,0,C354-D354))))</f>
        <v/>
      </c>
      <c r="J354" s="20"/>
      <c r="K354" s="8" t="n">
        <f aca="false">IF(SUM(H354:J354)&lt;0.00068287037037037,0,SUM(H354:J354))</f>
        <v>0</v>
      </c>
      <c r="L354" s="8" t="n">
        <f aca="false">IF(OR(F354="Congé",F354="OFF",M354="Abs",F354="Congé sans solde",F354="Férié",F354="Congé spécial",D354="Congé spécial"),0,IF(F354-E354&lt;0,0,IF(F354-E354&lt;=0.00068287037037037,0,F354-E354)))</f>
        <v>0</v>
      </c>
      <c r="M354" s="6" t="n">
        <f aca="false">IF(AND(O354&lt;&gt;0,C354=""),"Abs",0)</f>
        <v>0</v>
      </c>
      <c r="N354" s="8" t="n">
        <f aca="false">IFERROR(IF(OR(D354="OFF",D354="Congé",M354="Abs",D354="Congé sans solde",D354="Férié"),"",IF(O354-K354-L354&gt;O354,O354,IF(O354-K354-L354&lt;0,"",O354-K354-L354))),"")</f>
        <v>0.375</v>
      </c>
      <c r="O354" s="8" t="n">
        <f aca="false">IF(AG354="2H Pause déjeuner",IF(F354-D354-0.0833333333333333&lt;0,F354-D354-0.0833333333333333+1,F354-D354-0.0833333333333333),IF(OR(AND(F354="OFF",D354="OFF"),AND(F354="Congé",D354="Congé"),AND(F354="Congé sans solde",D354="Congé sans solde"),AND(F354="Congé spécial",D354="Congé spécial"),AND(F354="Férié",D354="Férié"),AND(F354="OFF",D354="Congé"),AND(F354="OFF",D354="Congé sans solde"),AND(F354="OFF",D354="Congé spécial"),AND(F354="OFF",D354="Férié"),AND(F354="Congé",D354="OFF"),AND(F354="Congé",D354="Congé sans solde"),AND(F354="Congé",D354="Congé spécial"),AND(F354="Congé",D354="Férié"),AND(F354="Congé sans solde",D354="OFF"),AND(F354="Congé sans solde",D354="Congé"),AND(F354="Congé sans solde",D354="Congé spécial"),AND(F354="Congé sans solde",D354="Férié"),AND(F354="Congé spécial",D354="OFF"),AND(F354="Congé spécial",D354="Congé"),AND(F354="Congé spécial",D354="Congé sans solde"),AND(F354="Congé spécial",D354="Férié"),AND(F354="Férié",D354="OFF"),AND(F354="Férié",D354="Congé"),AND(F354="Férié",D354="Congé sans solde"),AND(F354="Férié",D354="Congé spécial")),0,IF(OR(F354="OFF",F354="Congé",F354="Congé spécial",F354="Congé sans solde",D354="OFF",D354="Congé",D354="Congé spécial",D354="Congé sans solde"),0.208333333333334,IF(AND(AG354="",F354-D354&lt;0),("24:00:00"-D354)+("00:00:00"+F354)-0.0416666666666667,IF(AND(OR(AG354="Allaitement",AG354="Sans déjeuner"),F354-D354&lt;0),("24:00:00"-D354)+("00:00:00"+F354),IF(AND(AG354="",F354-D354&gt;0.166666666666667),F354-D354-0.0416666666666667,IF(AND(OR(AG354="Allaitement",AG354="Sans déjeuner"),F354-D354&gt;0.166666666666667),F354-D354,F354-D354)))))))</f>
        <v>0.375</v>
      </c>
      <c r="P354" s="6" t="str">
        <f aca="false">IFERROR(VLOOKUP($B354,Agents!$A:$D,2,0),"-")</f>
        <v>Accessibilité</v>
      </c>
      <c r="Q354" s="21" t="n">
        <v>46070</v>
      </c>
      <c r="R354" s="8" t="n">
        <f aca="false">IF(M354="Abs",O354,0)</f>
        <v>0</v>
      </c>
      <c r="S354" s="8" t="n">
        <f aca="false">SUM(R354,L354,I354,J354,W354,H354)</f>
        <v>0</v>
      </c>
      <c r="T354" s="6" t="str">
        <f aca="false">"Sem - "&amp;WEEKNUM(Q354,21)</f>
        <v>Sem - 8</v>
      </c>
      <c r="U354" s="6" t="str">
        <f aca="false">CHOOSE(MONTH(Q354),"Janvier","Février","Mars","Avril","Mai","Juin","Juillet","Août","Septembre","Octobre","Novembre","Décembre")</f>
        <v>Février</v>
      </c>
      <c r="V354" s="22" t="n">
        <f aca="false">YEAR(Q354)</f>
        <v>2026</v>
      </c>
      <c r="W354" s="20"/>
      <c r="X354" s="8" t="n">
        <f aca="false">IFERROR(IF(M354="Abs",0,IF(ROUND((D354-C354+E354-F354)*1440,0)&lt;=1,0,D354-C354+E354-F354)),0)</f>
        <v>0</v>
      </c>
      <c r="Y354" s="6" t="str">
        <f aca="false">IFERROR(VLOOKUP($B354,Agents!$A:$D,3,0),"-")</f>
        <v>OUBRAHIM Mohammed</v>
      </c>
      <c r="Z354" s="6" t="str">
        <f aca="false">IFERROR(VLOOKUP($B354,Agents!$A:$D,4,0),"-")</f>
        <v>Credit Mutuel</v>
      </c>
      <c r="AA354" s="18" t="s">
        <v>89</v>
      </c>
      <c r="AB354" s="8" t="str">
        <f aca="false">IF(AND(D354="Congé",F354="Congé"),0.333333333333333,IF(OR(AND(D354="Congé",F354&lt;&gt;"Congé"),(AND(F354="Congé",D354&lt;&gt;"Congé"))),0.166666666666667,""))</f>
        <v/>
      </c>
      <c r="AC354" s="8" t="str">
        <f aca="false">IF(AND(D354="Congé sans solde",F354="Congé sans solde"),0.333333333333333,IF(OR(AND(D354="Congé sans solde",F354&lt;&gt;"Congé sans solde"),(AND(F354="Congé sans solde",D354&lt;&gt;"Congé sans solde"))),0.166666666666667,""))</f>
        <v/>
      </c>
      <c r="AD354" s="8" t="str">
        <f aca="false">IF(AND(D354="Congé spécial",F354="Congé spécial"),0.333333333333333,IF(OR(AND(D354="Congé spécial",F354&lt;&gt;"Congé spécial"),AND(F354="Congé spécial",D354&lt;&gt;"Congé spécial")),0.166666666666667,""))</f>
        <v/>
      </c>
      <c r="AE354" s="8" t="str">
        <f aca="false">IF(AND(D354="Férié",F354="Férié"),0.333333333333333,IF(OR(AND(D354="Férié",F354&lt;&gt;"Férié"),(AND(F354="Férié",D354&lt;&gt;"Férié"))),0.166666666666667,""))</f>
        <v/>
      </c>
      <c r="AF354" s="18"/>
      <c r="AG354" s="18"/>
    </row>
    <row r="355" customFormat="false" ht="15" hidden="false" customHeight="false" outlineLevel="0" collapsed="false">
      <c r="A355" s="6" t="str">
        <f aca="false">YEAR(Q355-WEEKDAY(Q355,2)+4)&amp;"-S"&amp;TEXT(WEEKNUM(Q355,21),"00")</f>
        <v>2026-S08</v>
      </c>
      <c r="B355" s="18" t="s">
        <v>71</v>
      </c>
      <c r="C355" s="19" t="n">
        <v>0.332638888888889</v>
      </c>
      <c r="D355" s="19" t="n">
        <v>0.333333333333333</v>
      </c>
      <c r="E355" s="19" t="n">
        <v>0.75</v>
      </c>
      <c r="F355" s="19" t="n">
        <v>0.75</v>
      </c>
      <c r="G355" s="20"/>
      <c r="H355" s="20"/>
      <c r="I355" s="8" t="str">
        <f aca="false">IF(IF(OR(C355="",D355="Congé",D355="OFF",D355="Congé spécial"),"",IF(D355&gt;F355,D355-C355,IF(C355-D355&lt;0,0,C355-D355)))&lt;0.00068287037037037,"",IF(OR(D355="Congé",D355="OFF",C355="",D355="Congé spécial"),"",IF(D355&gt;F355,D355-C355,IF(C355-D355&lt;0,0,C355-D355))))</f>
        <v/>
      </c>
      <c r="J355" s="20"/>
      <c r="K355" s="8" t="n">
        <f aca="false">IF(SUM(H355:J355)&lt;0.00068287037037037,0,SUM(H355:J355))</f>
        <v>0</v>
      </c>
      <c r="L355" s="8" t="n">
        <f aca="false">IF(OR(F355="Congé",F355="OFF",M355="Abs",F355="Congé sans solde",F355="Férié",F355="Congé spécial",D355="Congé spécial"),0,IF(F355-E355&lt;0,0,IF(F355-E355&lt;=0.00068287037037037,0,F355-E355)))</f>
        <v>0</v>
      </c>
      <c r="M355" s="6" t="n">
        <f aca="false">IF(AND(O355&lt;&gt;0,C355=""),"Abs",0)</f>
        <v>0</v>
      </c>
      <c r="N355" s="8" t="n">
        <f aca="false">IFERROR(IF(OR(D355="OFF",D355="Congé",M355="Abs",D355="Congé sans solde",D355="Férié"),"",IF(O355-K355-L355&gt;O355,O355,IF(O355-K355-L355&lt;0,"",O355-K355-L355))),"")</f>
        <v>0.375</v>
      </c>
      <c r="O355" s="8" t="n">
        <f aca="false">IF(AG355="2H Pause déjeuner",IF(F355-D355-0.0833333333333333&lt;0,F355-D355-0.0833333333333333+1,F355-D355-0.0833333333333333),IF(OR(AND(F355="OFF",D355="OFF"),AND(F355="Congé",D355="Congé"),AND(F355="Congé sans solde",D355="Congé sans solde"),AND(F355="Congé spécial",D355="Congé spécial"),AND(F355="Férié",D355="Férié"),AND(F355="OFF",D355="Congé"),AND(F355="OFF",D355="Congé sans solde"),AND(F355="OFF",D355="Congé spécial"),AND(F355="OFF",D355="Férié"),AND(F355="Congé",D355="OFF"),AND(F355="Congé",D355="Congé sans solde"),AND(F355="Congé",D355="Congé spécial"),AND(F355="Congé",D355="Férié"),AND(F355="Congé sans solde",D355="OFF"),AND(F355="Congé sans solde",D355="Congé"),AND(F355="Congé sans solde",D355="Congé spécial"),AND(F355="Congé sans solde",D355="Férié"),AND(F355="Congé spécial",D355="OFF"),AND(F355="Congé spécial",D355="Congé"),AND(F355="Congé spécial",D355="Congé sans solde"),AND(F355="Congé spécial",D355="Férié"),AND(F355="Férié",D355="OFF"),AND(F355="Férié",D355="Congé"),AND(F355="Férié",D355="Congé sans solde"),AND(F355="Férié",D355="Congé spécial")),0,IF(OR(F355="OFF",F355="Congé",F355="Congé spécial",F355="Congé sans solde",D355="OFF",D355="Congé",D355="Congé spécial",D355="Congé sans solde"),0.208333333333334,IF(AND(AG355="",F355-D355&lt;0),("24:00:00"-D355)+("00:00:00"+F355)-0.0416666666666667,IF(AND(OR(AG355="Allaitement",AG355="Sans déjeuner"),F355-D355&lt;0),("24:00:00"-D355)+("00:00:00"+F355),IF(AND(AG355="",F355-D355&gt;0.166666666666667),F355-D355-0.0416666666666667,IF(AND(OR(AG355="Allaitement",AG355="Sans déjeuner"),F355-D355&gt;0.166666666666667),F355-D355,F355-D355)))))))</f>
        <v>0.375</v>
      </c>
      <c r="P355" s="6" t="str">
        <f aca="false">IFERROR(VLOOKUP($B355,Agents!$A:$D,2,0),"-")</f>
        <v>Accessibilité</v>
      </c>
      <c r="Q355" s="21" t="n">
        <v>46070</v>
      </c>
      <c r="R355" s="8" t="n">
        <f aca="false">IF(M355="Abs",O355,0)</f>
        <v>0</v>
      </c>
      <c r="S355" s="8" t="n">
        <f aca="false">SUM(R355,L355,I355,J355,W355,H355)</f>
        <v>0</v>
      </c>
      <c r="T355" s="6" t="str">
        <f aca="false">"Sem - "&amp;WEEKNUM(Q355,21)</f>
        <v>Sem - 8</v>
      </c>
      <c r="U355" s="6" t="str">
        <f aca="false">CHOOSE(MONTH(Q355),"Janvier","Février","Mars","Avril","Mai","Juin","Juillet","Août","Septembre","Octobre","Novembre","Décembre")</f>
        <v>Février</v>
      </c>
      <c r="V355" s="22" t="n">
        <f aca="false">YEAR(Q355)</f>
        <v>2026</v>
      </c>
      <c r="W355" s="20"/>
      <c r="X355" s="8" t="n">
        <f aca="false">IFERROR(IF(M355="Abs",0,IF(ROUND((D355-C355+E355-F355)*1440,0)&lt;=1,0,D355-C355+E355-F355)),0)</f>
        <v>0</v>
      </c>
      <c r="Y355" s="6" t="str">
        <f aca="false">IFERROR(VLOOKUP($B355,Agents!$A:$D,3,0),"-")</f>
        <v>OUBRAHIM Mohammed</v>
      </c>
      <c r="Z355" s="6" t="str">
        <f aca="false">IFERROR(VLOOKUP($B355,Agents!$A:$D,4,0),"-")</f>
        <v>Credit Mutuel</v>
      </c>
      <c r="AA355" s="18" t="s">
        <v>89</v>
      </c>
      <c r="AB355" s="8" t="str">
        <f aca="false">IF(AND(D355="Congé",F355="Congé"),0.333333333333333,IF(OR(AND(D355="Congé",F355&lt;&gt;"Congé"),(AND(F355="Congé",D355&lt;&gt;"Congé"))),0.166666666666667,""))</f>
        <v/>
      </c>
      <c r="AC355" s="8" t="str">
        <f aca="false">IF(AND(D355="Congé sans solde",F355="Congé sans solde"),0.333333333333333,IF(OR(AND(D355="Congé sans solde",F355&lt;&gt;"Congé sans solde"),(AND(F355="Congé sans solde",D355&lt;&gt;"Congé sans solde"))),0.166666666666667,""))</f>
        <v/>
      </c>
      <c r="AD355" s="8" t="str">
        <f aca="false">IF(AND(D355="Congé spécial",F355="Congé spécial"),0.333333333333333,IF(OR(AND(D355="Congé spécial",F355&lt;&gt;"Congé spécial"),AND(F355="Congé spécial",D355&lt;&gt;"Congé spécial")),0.166666666666667,""))</f>
        <v/>
      </c>
      <c r="AE355" s="8" t="str">
        <f aca="false">IF(AND(D355="Férié",F355="Férié"),0.333333333333333,IF(OR(AND(D355="Férié",F355&lt;&gt;"Férié"),(AND(F355="Férié",D355&lt;&gt;"Férié"))),0.166666666666667,""))</f>
        <v/>
      </c>
      <c r="AF355" s="18"/>
      <c r="AG355" s="18"/>
    </row>
    <row r="356" customFormat="false" ht="15" hidden="false" customHeight="false" outlineLevel="0" collapsed="false">
      <c r="A356" s="6" t="str">
        <f aca="false">YEAR(Q356-WEEKDAY(Q356,2)+4)&amp;"-S"&amp;TEXT(WEEKNUM(Q356,21),"00")</f>
        <v>2026-S08</v>
      </c>
      <c r="B356" s="18" t="s">
        <v>72</v>
      </c>
      <c r="C356" s="19" t="n">
        <v>0.33125</v>
      </c>
      <c r="D356" s="19" t="n">
        <v>0.333333333333333</v>
      </c>
      <c r="E356" s="19" t="n">
        <v>0.75</v>
      </c>
      <c r="F356" s="19" t="n">
        <v>0.75</v>
      </c>
      <c r="G356" s="20"/>
      <c r="H356" s="20"/>
      <c r="I356" s="8" t="str">
        <f aca="false">IF(IF(OR(C356="",D356="Congé",D356="OFF",D356="Congé spécial"),"",IF(D356&gt;F356,D356-C356,IF(C356-D356&lt;0,0,C356-D356)))&lt;0.00068287037037037,"",IF(OR(D356="Congé",D356="OFF",C356="",D356="Congé spécial"),"",IF(D356&gt;F356,D356-C356,IF(C356-D356&lt;0,0,C356-D356))))</f>
        <v/>
      </c>
      <c r="J356" s="20"/>
      <c r="K356" s="8" t="n">
        <f aca="false">IF(SUM(H356:J356)&lt;0.00068287037037037,0,SUM(H356:J356))</f>
        <v>0</v>
      </c>
      <c r="L356" s="8" t="n">
        <f aca="false">IF(OR(F356="Congé",F356="OFF",M356="Abs",F356="Congé sans solde",F356="Férié",F356="Congé spécial",D356="Congé spécial"),0,IF(F356-E356&lt;0,0,IF(F356-E356&lt;=0.00068287037037037,0,F356-E356)))</f>
        <v>0</v>
      </c>
      <c r="M356" s="6" t="n">
        <f aca="false">IF(AND(O356&lt;&gt;0,C356=""),"Abs",0)</f>
        <v>0</v>
      </c>
      <c r="N356" s="8" t="n">
        <f aca="false">IFERROR(IF(OR(D356="OFF",D356="Congé",M356="Abs",D356="Congé sans solde",D356="Férié"),"",IF(O356-K356-L356&gt;O356,O356,IF(O356-K356-L356&lt;0,"",O356-K356-L356))),"")</f>
        <v>0.375</v>
      </c>
      <c r="O356" s="8" t="n">
        <f aca="false">IF(AG356="2H Pause déjeuner",IF(F356-D356-0.0833333333333333&lt;0,F356-D356-0.0833333333333333+1,F356-D356-0.0833333333333333),IF(OR(AND(F356="OFF",D356="OFF"),AND(F356="Congé",D356="Congé"),AND(F356="Congé sans solde",D356="Congé sans solde"),AND(F356="Congé spécial",D356="Congé spécial"),AND(F356="Férié",D356="Férié"),AND(F356="OFF",D356="Congé"),AND(F356="OFF",D356="Congé sans solde"),AND(F356="OFF",D356="Congé spécial"),AND(F356="OFF",D356="Férié"),AND(F356="Congé",D356="OFF"),AND(F356="Congé",D356="Congé sans solde"),AND(F356="Congé",D356="Congé spécial"),AND(F356="Congé",D356="Férié"),AND(F356="Congé sans solde",D356="OFF"),AND(F356="Congé sans solde",D356="Congé"),AND(F356="Congé sans solde",D356="Congé spécial"),AND(F356="Congé sans solde",D356="Férié"),AND(F356="Congé spécial",D356="OFF"),AND(F356="Congé spécial",D356="Congé"),AND(F356="Congé spécial",D356="Congé sans solde"),AND(F356="Congé spécial",D356="Férié"),AND(F356="Férié",D356="OFF"),AND(F356="Férié",D356="Congé"),AND(F356="Férié",D356="Congé sans solde"),AND(F356="Férié",D356="Congé spécial")),0,IF(OR(F356="OFF",F356="Congé",F356="Congé spécial",F356="Congé sans solde",D356="OFF",D356="Congé",D356="Congé spécial",D356="Congé sans solde"),0.208333333333334,IF(AND(AG356="",F356-D356&lt;0),("24:00:00"-D356)+("00:00:00"+F356)-0.0416666666666667,IF(AND(OR(AG356="Allaitement",AG356="Sans déjeuner"),F356-D356&lt;0),("24:00:00"-D356)+("00:00:00"+F356),IF(AND(AG356="",F356-D356&gt;0.166666666666667),F356-D356-0.0416666666666667,IF(AND(OR(AG356="Allaitement",AG356="Sans déjeuner"),F356-D356&gt;0.166666666666667),F356-D356,F356-D356)))))))</f>
        <v>0.375</v>
      </c>
      <c r="P356" s="6" t="str">
        <f aca="false">IFERROR(VLOOKUP($B356,Agents!$A:$D,2,0),"-")</f>
        <v>Accessibilité</v>
      </c>
      <c r="Q356" s="21" t="n">
        <v>46070</v>
      </c>
      <c r="R356" s="8" t="n">
        <f aca="false">IF(M356="Abs",O356,0)</f>
        <v>0</v>
      </c>
      <c r="S356" s="8" t="n">
        <f aca="false">SUM(R356,L356,I356,J356,W356,H356)</f>
        <v>0</v>
      </c>
      <c r="T356" s="6" t="str">
        <f aca="false">"Sem - "&amp;WEEKNUM(Q356,21)</f>
        <v>Sem - 8</v>
      </c>
      <c r="U356" s="6" t="str">
        <f aca="false">CHOOSE(MONTH(Q356),"Janvier","Février","Mars","Avril","Mai","Juin","Juillet","Août","Septembre","Octobre","Novembre","Décembre")</f>
        <v>Février</v>
      </c>
      <c r="V356" s="22" t="n">
        <f aca="false">YEAR(Q356)</f>
        <v>2026</v>
      </c>
      <c r="W356" s="20"/>
      <c r="X356" s="8" t="n">
        <f aca="false">IFERROR(IF(M356="Abs",0,IF(ROUND((D356-C356+E356-F356)*1440,0)&lt;=1,0,D356-C356+E356-F356)),0)</f>
        <v>0.00208333333333333</v>
      </c>
      <c r="Y356" s="6" t="str">
        <f aca="false">IFERROR(VLOOKUP($B356,Agents!$A:$D,3,0),"-")</f>
        <v>OUBRAHIM Mohammed</v>
      </c>
      <c r="Z356" s="6" t="str">
        <f aca="false">IFERROR(VLOOKUP($B356,Agents!$A:$D,4,0),"-")</f>
        <v>Credit Mutuel</v>
      </c>
      <c r="AA356" s="18" t="s">
        <v>89</v>
      </c>
      <c r="AB356" s="8" t="str">
        <f aca="false">IF(AND(D356="Congé",F356="Congé"),0.333333333333333,IF(OR(AND(D356="Congé",F356&lt;&gt;"Congé"),(AND(F356="Congé",D356&lt;&gt;"Congé"))),0.166666666666667,""))</f>
        <v/>
      </c>
      <c r="AC356" s="8" t="str">
        <f aca="false">IF(AND(D356="Congé sans solde",F356="Congé sans solde"),0.333333333333333,IF(OR(AND(D356="Congé sans solde",F356&lt;&gt;"Congé sans solde"),(AND(F356="Congé sans solde",D356&lt;&gt;"Congé sans solde"))),0.166666666666667,""))</f>
        <v/>
      </c>
      <c r="AD356" s="8" t="str">
        <f aca="false">IF(AND(D356="Congé spécial",F356="Congé spécial"),0.333333333333333,IF(OR(AND(D356="Congé spécial",F356&lt;&gt;"Congé spécial"),AND(F356="Congé spécial",D356&lt;&gt;"Congé spécial")),0.166666666666667,""))</f>
        <v/>
      </c>
      <c r="AE356" s="8" t="str">
        <f aca="false">IF(AND(D356="Férié",F356="Férié"),0.333333333333333,IF(OR(AND(D356="Férié",F356&lt;&gt;"Férié"),(AND(F356="Férié",D356&lt;&gt;"Férié"))),0.166666666666667,""))</f>
        <v/>
      </c>
      <c r="AF356" s="18"/>
      <c r="AG356" s="18"/>
    </row>
    <row r="357" customFormat="false" ht="15" hidden="false" customHeight="false" outlineLevel="0" collapsed="false">
      <c r="A357" s="6" t="str">
        <f aca="false">YEAR(Q357-WEEKDAY(Q357,2)+4)&amp;"-S"&amp;TEXT(WEEKNUM(Q357,21),"00")</f>
        <v>2026-S08</v>
      </c>
      <c r="B357" s="18" t="s">
        <v>73</v>
      </c>
      <c r="C357" s="19" t="n">
        <v>0.333333333333333</v>
      </c>
      <c r="D357" s="19" t="n">
        <v>0.333333333333333</v>
      </c>
      <c r="E357" s="19" t="n">
        <v>0.75</v>
      </c>
      <c r="F357" s="19" t="n">
        <v>0.75</v>
      </c>
      <c r="G357" s="20"/>
      <c r="H357" s="20"/>
      <c r="I357" s="8" t="str">
        <f aca="false">IF(IF(OR(C357="",D357="Congé",D357="OFF",D357="Congé spécial"),"",IF(D357&gt;F357,D357-C357,IF(C357-D357&lt;0,0,C357-D357)))&lt;0.00068287037037037,"",IF(OR(D357="Congé",D357="OFF",C357="",D357="Congé spécial"),"",IF(D357&gt;F357,D357-C357,IF(C357-D357&lt;0,0,C357-D357))))</f>
        <v/>
      </c>
      <c r="J357" s="20"/>
      <c r="K357" s="8" t="n">
        <f aca="false">IF(SUM(H357:J357)&lt;0.00068287037037037,0,SUM(H357:J357))</f>
        <v>0</v>
      </c>
      <c r="L357" s="8" t="n">
        <f aca="false">IF(OR(F357="Congé",F357="OFF",M357="Abs",F357="Congé sans solde",F357="Férié",F357="Congé spécial",D357="Congé spécial"),0,IF(F357-E357&lt;0,0,IF(F357-E357&lt;=0.00068287037037037,0,F357-E357)))</f>
        <v>0</v>
      </c>
      <c r="M357" s="6" t="n">
        <f aca="false">IF(AND(O357&lt;&gt;0,C357=""),"Abs",0)</f>
        <v>0</v>
      </c>
      <c r="N357" s="8" t="n">
        <f aca="false">IFERROR(IF(OR(D357="OFF",D357="Congé",M357="Abs",D357="Congé sans solde",D357="Férié"),"",IF(O357-K357-L357&gt;O357,O357,IF(O357-K357-L357&lt;0,"",O357-K357-L357))),"")</f>
        <v>0.375</v>
      </c>
      <c r="O357" s="8" t="n">
        <f aca="false">IF(AG357="2H Pause déjeuner",IF(F357-D357-0.0833333333333333&lt;0,F357-D357-0.0833333333333333+1,F357-D357-0.0833333333333333),IF(OR(AND(F357="OFF",D357="OFF"),AND(F357="Congé",D357="Congé"),AND(F357="Congé sans solde",D357="Congé sans solde"),AND(F357="Congé spécial",D357="Congé spécial"),AND(F357="Férié",D357="Férié"),AND(F357="OFF",D357="Congé"),AND(F357="OFF",D357="Congé sans solde"),AND(F357="OFF",D357="Congé spécial"),AND(F357="OFF",D357="Férié"),AND(F357="Congé",D357="OFF"),AND(F357="Congé",D357="Congé sans solde"),AND(F357="Congé",D357="Congé spécial"),AND(F357="Congé",D357="Férié"),AND(F357="Congé sans solde",D357="OFF"),AND(F357="Congé sans solde",D357="Congé"),AND(F357="Congé sans solde",D357="Congé spécial"),AND(F357="Congé sans solde",D357="Férié"),AND(F357="Congé spécial",D357="OFF"),AND(F357="Congé spécial",D357="Congé"),AND(F357="Congé spécial",D357="Congé sans solde"),AND(F357="Congé spécial",D357="Férié"),AND(F357="Férié",D357="OFF"),AND(F357="Férié",D357="Congé"),AND(F357="Férié",D357="Congé sans solde"),AND(F357="Férié",D357="Congé spécial")),0,IF(OR(F357="OFF",F357="Congé",F357="Congé spécial",F357="Congé sans solde",D357="OFF",D357="Congé",D357="Congé spécial",D357="Congé sans solde"),0.208333333333334,IF(AND(AG357="",F357-D357&lt;0),("24:00:00"-D357)+("00:00:00"+F357)-0.0416666666666667,IF(AND(OR(AG357="Allaitement",AG357="Sans déjeuner"),F357-D357&lt;0),("24:00:00"-D357)+("00:00:00"+F357),IF(AND(AG357="",F357-D357&gt;0.166666666666667),F357-D357-0.0416666666666667,IF(AND(OR(AG357="Allaitement",AG357="Sans déjeuner"),F357-D357&gt;0.166666666666667),F357-D357,F357-D357)))))))</f>
        <v>0.375</v>
      </c>
      <c r="P357" s="6" t="str">
        <f aca="false">IFERROR(VLOOKUP($B357,Agents!$A:$D,2,0),"-")</f>
        <v>Accessibilité</v>
      </c>
      <c r="Q357" s="21" t="n">
        <v>46070</v>
      </c>
      <c r="R357" s="8" t="n">
        <f aca="false">IF(M357="Abs",O357,0)</f>
        <v>0</v>
      </c>
      <c r="S357" s="8" t="n">
        <f aca="false">SUM(R357,L357,I357,J357,W357,H357)</f>
        <v>0</v>
      </c>
      <c r="T357" s="6" t="str">
        <f aca="false">"Sem - "&amp;WEEKNUM(Q357,21)</f>
        <v>Sem - 8</v>
      </c>
      <c r="U357" s="6" t="str">
        <f aca="false">CHOOSE(MONTH(Q357),"Janvier","Février","Mars","Avril","Mai","Juin","Juillet","Août","Septembre","Octobre","Novembre","Décembre")</f>
        <v>Février</v>
      </c>
      <c r="V357" s="22" t="n">
        <f aca="false">YEAR(Q357)</f>
        <v>2026</v>
      </c>
      <c r="W357" s="20"/>
      <c r="X357" s="8" t="n">
        <f aca="false">IFERROR(IF(M357="Abs",0,IF(ROUND((D357-C357+E357-F357)*1440,0)&lt;=1,0,D357-C357+E357-F357)),0)</f>
        <v>0</v>
      </c>
      <c r="Y357" s="6" t="str">
        <f aca="false">IFERROR(VLOOKUP($B357,Agents!$A:$D,3,0),"-")</f>
        <v>OUBRAHIM Mohammed</v>
      </c>
      <c r="Z357" s="6" t="str">
        <f aca="false">IFERROR(VLOOKUP($B357,Agents!$A:$D,4,0),"-")</f>
        <v>Credit Mutuel</v>
      </c>
      <c r="AA357" s="18" t="s">
        <v>89</v>
      </c>
      <c r="AB357" s="8" t="str">
        <f aca="false">IF(AND(D357="Congé",F357="Congé"),0.333333333333333,IF(OR(AND(D357="Congé",F357&lt;&gt;"Congé"),(AND(F357="Congé",D357&lt;&gt;"Congé"))),0.166666666666667,""))</f>
        <v/>
      </c>
      <c r="AC357" s="8" t="str">
        <f aca="false">IF(AND(D357="Congé sans solde",F357="Congé sans solde"),0.333333333333333,IF(OR(AND(D357="Congé sans solde",F357&lt;&gt;"Congé sans solde"),(AND(F357="Congé sans solde",D357&lt;&gt;"Congé sans solde"))),0.166666666666667,""))</f>
        <v/>
      </c>
      <c r="AD357" s="8" t="str">
        <f aca="false">IF(AND(D357="Congé spécial",F357="Congé spécial"),0.333333333333333,IF(OR(AND(D357="Congé spécial",F357&lt;&gt;"Congé spécial"),AND(F357="Congé spécial",D357&lt;&gt;"Congé spécial")),0.166666666666667,""))</f>
        <v/>
      </c>
      <c r="AE357" s="8" t="str">
        <f aca="false">IF(AND(D357="Férié",F357="Férié"),0.333333333333333,IF(OR(AND(D357="Férié",F357&lt;&gt;"Férié"),(AND(F357="Férié",D357&lt;&gt;"Férié"))),0.166666666666667,""))</f>
        <v/>
      </c>
      <c r="AF357" s="18"/>
      <c r="AG357" s="18"/>
    </row>
    <row r="358" customFormat="false" ht="15" hidden="false" customHeight="false" outlineLevel="0" collapsed="false">
      <c r="A358" s="6" t="str">
        <f aca="false">YEAR(Q358-WEEKDAY(Q358,2)+4)&amp;"-S"&amp;TEXT(WEEKNUM(Q358,21),"00")</f>
        <v>2026-S08</v>
      </c>
      <c r="B358" s="18" t="s">
        <v>69</v>
      </c>
      <c r="C358" s="19" t="n">
        <v>0.333333333333333</v>
      </c>
      <c r="D358" s="19" t="n">
        <v>0.333333333333333</v>
      </c>
      <c r="E358" s="19" t="n">
        <v>0.708333333333333</v>
      </c>
      <c r="F358" s="19" t="n">
        <v>0.708333333333333</v>
      </c>
      <c r="G358" s="20"/>
      <c r="H358" s="20"/>
      <c r="I358" s="8" t="str">
        <f aca="false">IF(IF(OR(C358="",D358="Congé",D358="OFF",D358="Congé spécial"),"",IF(D358&gt;F358,D358-C358,IF(C358-D358&lt;0,0,C358-D358)))&lt;0.00068287037037037,"",IF(OR(D358="Congé",D358="OFF",C358="",D358="Congé spécial"),"",IF(D358&gt;F358,D358-C358,IF(C358-D358&lt;0,0,C358-D358))))</f>
        <v/>
      </c>
      <c r="J358" s="20"/>
      <c r="K358" s="8" t="n">
        <f aca="false">IF(SUM(H358:J358)&lt;0.00068287037037037,0,SUM(H358:J358))</f>
        <v>0</v>
      </c>
      <c r="L358" s="8" t="n">
        <f aca="false">IF(OR(F358="Congé",F358="OFF",M358="Abs",F358="Congé sans solde",F358="Férié",F358="Congé spécial",D358="Congé spécial"),0,IF(F358-E358&lt;0,0,IF(F358-E358&lt;=0.00068287037037037,0,F358-E358)))</f>
        <v>0</v>
      </c>
      <c r="M358" s="6" t="n">
        <f aca="false">IF(AND(O358&lt;&gt;0,C358=""),"Abs",0)</f>
        <v>0</v>
      </c>
      <c r="N358" s="8" t="n">
        <f aca="false">IFERROR(IF(OR(D358="OFF",D358="Congé",M358="Abs",D358="Congé sans solde",D358="Férié"),"",IF(O358-K358-L358&gt;O358,O358,IF(O358-K358-L358&lt;0,"",O358-K358-L358))),"")</f>
        <v>0.333333333333333</v>
      </c>
      <c r="O358" s="8" t="n">
        <f aca="false">IF(AG358="2H Pause déjeuner",IF(F358-D358-0.0833333333333333&lt;0,F358-D358-0.0833333333333333+1,F358-D358-0.0833333333333333),IF(OR(AND(F358="OFF",D358="OFF"),AND(F358="Congé",D358="Congé"),AND(F358="Congé sans solde",D358="Congé sans solde"),AND(F358="Congé spécial",D358="Congé spécial"),AND(F358="Férié",D358="Férié"),AND(F358="OFF",D358="Congé"),AND(F358="OFF",D358="Congé sans solde"),AND(F358="OFF",D358="Congé spécial"),AND(F358="OFF",D358="Férié"),AND(F358="Congé",D358="OFF"),AND(F358="Congé",D358="Congé sans solde"),AND(F358="Congé",D358="Congé spécial"),AND(F358="Congé",D358="Férié"),AND(F358="Congé sans solde",D358="OFF"),AND(F358="Congé sans solde",D358="Congé"),AND(F358="Congé sans solde",D358="Congé spécial"),AND(F358="Congé sans solde",D358="Férié"),AND(F358="Congé spécial",D358="OFF"),AND(F358="Congé spécial",D358="Congé"),AND(F358="Congé spécial",D358="Congé sans solde"),AND(F358="Congé spécial",D358="Férié"),AND(F358="Férié",D358="OFF"),AND(F358="Férié",D358="Congé"),AND(F358="Férié",D358="Congé sans solde"),AND(F358="Férié",D358="Congé spécial")),0,IF(OR(F358="OFF",F358="Congé",F358="Congé spécial",F358="Congé sans solde",D358="OFF",D358="Congé",D358="Congé spécial",D358="Congé sans solde"),0.208333333333334,IF(AND(AG358="",F358-D358&lt;0),("24:00:00"-D358)+("00:00:00"+F358)-0.0416666666666667,IF(AND(OR(AG358="Allaitement",AG358="Sans déjeuner"),F358-D358&lt;0),("24:00:00"-D358)+("00:00:00"+F358),IF(AND(AG358="",F358-D358&gt;0.166666666666667),F358-D358-0.0416666666666667,IF(AND(OR(AG358="Allaitement",AG358="Sans déjeuner"),F358-D358&gt;0.166666666666667),F358-D358,F358-D358)))))))</f>
        <v>0.333333333333333</v>
      </c>
      <c r="P358" s="6" t="str">
        <f aca="false">IFERROR(VLOOKUP($B358,Agents!$A:$D,2,0),"-")</f>
        <v>Accessibilité</v>
      </c>
      <c r="Q358" s="21" t="n">
        <v>46071</v>
      </c>
      <c r="R358" s="8" t="n">
        <f aca="false">IF(M358="Abs",O358,0)</f>
        <v>0</v>
      </c>
      <c r="S358" s="8" t="n">
        <f aca="false">SUM(R358,L358,I358,J358,W358,H358)</f>
        <v>0</v>
      </c>
      <c r="T358" s="6" t="str">
        <f aca="false">"Sem - "&amp;WEEKNUM(Q358,21)</f>
        <v>Sem - 8</v>
      </c>
      <c r="U358" s="6" t="str">
        <f aca="false">CHOOSE(MONTH(Q358),"Janvier","Février","Mars","Avril","Mai","Juin","Juillet","Août","Septembre","Octobre","Novembre","Décembre")</f>
        <v>Février</v>
      </c>
      <c r="V358" s="22" t="n">
        <f aca="false">YEAR(Q358)</f>
        <v>2026</v>
      </c>
      <c r="W358" s="20"/>
      <c r="X358" s="8" t="n">
        <f aca="false">IFERROR(IF(M358="Abs",0,IF(ROUND((D358-C358+E358-F358)*1440,0)&lt;=1,0,D358-C358+E358-F358)),0)</f>
        <v>0</v>
      </c>
      <c r="Y358" s="6" t="str">
        <f aca="false">IFERROR(VLOOKUP($B358,Agents!$A:$D,3,0),"-")</f>
        <v>OUBRAHIM Mohammed</v>
      </c>
      <c r="Z358" s="6" t="str">
        <f aca="false">IFERROR(VLOOKUP($B358,Agents!$A:$D,4,0),"-")</f>
        <v>Credit Mutuel</v>
      </c>
      <c r="AA358" s="18" t="s">
        <v>89</v>
      </c>
      <c r="AB358" s="8" t="str">
        <f aca="false">IF(AND(D358="Congé",F358="Congé"),0.333333333333333,IF(OR(AND(D358="Congé",F358&lt;&gt;"Congé"),(AND(F358="Congé",D358&lt;&gt;"Congé"))),0.166666666666667,""))</f>
        <v/>
      </c>
      <c r="AC358" s="8" t="str">
        <f aca="false">IF(AND(D358="Congé sans solde",F358="Congé sans solde"),0.333333333333333,IF(OR(AND(D358="Congé sans solde",F358&lt;&gt;"Congé sans solde"),(AND(F358="Congé sans solde",D358&lt;&gt;"Congé sans solde"))),0.166666666666667,""))</f>
        <v/>
      </c>
      <c r="AD358" s="8" t="str">
        <f aca="false">IF(AND(D358="Congé spécial",F358="Congé spécial"),0.333333333333333,IF(OR(AND(D358="Congé spécial",F358&lt;&gt;"Congé spécial"),AND(F358="Congé spécial",D358&lt;&gt;"Congé spécial")),0.166666666666667,""))</f>
        <v/>
      </c>
      <c r="AE358" s="8" t="str">
        <f aca="false">IF(AND(D358="Férié",F358="Férié"),0.333333333333333,IF(OR(AND(D358="Férié",F358&lt;&gt;"Férié"),(AND(F358="Férié",D358&lt;&gt;"Férié"))),0.166666666666667,""))</f>
        <v/>
      </c>
      <c r="AF358" s="18"/>
      <c r="AG358" s="18"/>
    </row>
    <row r="359" customFormat="false" ht="15" hidden="false" customHeight="false" outlineLevel="0" collapsed="false">
      <c r="A359" s="6" t="str">
        <f aca="false">YEAR(Q359-WEEKDAY(Q359,2)+4)&amp;"-S"&amp;TEXT(WEEKNUM(Q359,21),"00")</f>
        <v>2026-S08</v>
      </c>
      <c r="B359" s="18" t="s">
        <v>71</v>
      </c>
      <c r="C359" s="19" t="n">
        <v>0.333333333333333</v>
      </c>
      <c r="D359" s="19" t="n">
        <v>0.333333333333333</v>
      </c>
      <c r="E359" s="19" t="n">
        <v>0.708333333333333</v>
      </c>
      <c r="F359" s="19" t="n">
        <v>0.708333333333333</v>
      </c>
      <c r="G359" s="20"/>
      <c r="H359" s="20"/>
      <c r="I359" s="8" t="str">
        <f aca="false">IF(IF(OR(C359="",D359="Congé",D359="OFF",D359="Congé spécial"),"",IF(D359&gt;F359,D359-C359,IF(C359-D359&lt;0,0,C359-D359)))&lt;0.00068287037037037,"",IF(OR(D359="Congé",D359="OFF",C359="",D359="Congé spécial"),"",IF(D359&gt;F359,D359-C359,IF(C359-D359&lt;0,0,C359-D359))))</f>
        <v/>
      </c>
      <c r="J359" s="20"/>
      <c r="K359" s="8" t="n">
        <f aca="false">IF(SUM(H359:J359)&lt;0.00068287037037037,0,SUM(H359:J359))</f>
        <v>0</v>
      </c>
      <c r="L359" s="8" t="n">
        <f aca="false">IF(OR(F359="Congé",F359="OFF",M359="Abs",F359="Congé sans solde",F359="Férié",F359="Congé spécial",D359="Congé spécial"),0,IF(F359-E359&lt;0,0,IF(F359-E359&lt;=0.00068287037037037,0,F359-E359)))</f>
        <v>0</v>
      </c>
      <c r="M359" s="6" t="n">
        <f aca="false">IF(AND(O359&lt;&gt;0,C359=""),"Abs",0)</f>
        <v>0</v>
      </c>
      <c r="N359" s="8" t="n">
        <f aca="false">IFERROR(IF(OR(D359="OFF",D359="Congé",M359="Abs",D359="Congé sans solde",D359="Férié"),"",IF(O359-K359-L359&gt;O359,O359,IF(O359-K359-L359&lt;0,"",O359-K359-L359))),"")</f>
        <v>0.333333333333333</v>
      </c>
      <c r="O359" s="8" t="n">
        <f aca="false">IF(AG359="2H Pause déjeuner",IF(F359-D359-0.0833333333333333&lt;0,F359-D359-0.0833333333333333+1,F359-D359-0.0833333333333333),IF(OR(AND(F359="OFF",D359="OFF"),AND(F359="Congé",D359="Congé"),AND(F359="Congé sans solde",D359="Congé sans solde"),AND(F359="Congé spécial",D359="Congé spécial"),AND(F359="Férié",D359="Férié"),AND(F359="OFF",D359="Congé"),AND(F359="OFF",D359="Congé sans solde"),AND(F359="OFF",D359="Congé spécial"),AND(F359="OFF",D359="Férié"),AND(F359="Congé",D359="OFF"),AND(F359="Congé",D359="Congé sans solde"),AND(F359="Congé",D359="Congé spécial"),AND(F359="Congé",D359="Férié"),AND(F359="Congé sans solde",D359="OFF"),AND(F359="Congé sans solde",D359="Congé"),AND(F359="Congé sans solde",D359="Congé spécial"),AND(F359="Congé sans solde",D359="Férié"),AND(F359="Congé spécial",D359="OFF"),AND(F359="Congé spécial",D359="Congé"),AND(F359="Congé spécial",D359="Congé sans solde"),AND(F359="Congé spécial",D359="Férié"),AND(F359="Férié",D359="OFF"),AND(F359="Férié",D359="Congé"),AND(F359="Férié",D359="Congé sans solde"),AND(F359="Férié",D359="Congé spécial")),0,IF(OR(F359="OFF",F359="Congé",F359="Congé spécial",F359="Congé sans solde",D359="OFF",D359="Congé",D359="Congé spécial",D359="Congé sans solde"),0.208333333333334,IF(AND(AG359="",F359-D359&lt;0),("24:00:00"-D359)+("00:00:00"+F359)-0.0416666666666667,IF(AND(OR(AG359="Allaitement",AG359="Sans déjeuner"),F359-D359&lt;0),("24:00:00"-D359)+("00:00:00"+F359),IF(AND(AG359="",F359-D359&gt;0.166666666666667),F359-D359-0.0416666666666667,IF(AND(OR(AG359="Allaitement",AG359="Sans déjeuner"),F359-D359&gt;0.166666666666667),F359-D359,F359-D359)))))))</f>
        <v>0.333333333333333</v>
      </c>
      <c r="P359" s="6" t="str">
        <f aca="false">IFERROR(VLOOKUP($B359,Agents!$A:$D,2,0),"-")</f>
        <v>Accessibilité</v>
      </c>
      <c r="Q359" s="21" t="n">
        <v>46071</v>
      </c>
      <c r="R359" s="8" t="n">
        <f aca="false">IF(M359="Abs",O359,0)</f>
        <v>0</v>
      </c>
      <c r="S359" s="8" t="n">
        <f aca="false">SUM(R359,L359,I359,J359,W359,H359)</f>
        <v>0</v>
      </c>
      <c r="T359" s="6" t="str">
        <f aca="false">"Sem - "&amp;WEEKNUM(Q359,21)</f>
        <v>Sem - 8</v>
      </c>
      <c r="U359" s="6" t="str">
        <f aca="false">CHOOSE(MONTH(Q359),"Janvier","Février","Mars","Avril","Mai","Juin","Juillet","Août","Septembre","Octobre","Novembre","Décembre")</f>
        <v>Février</v>
      </c>
      <c r="V359" s="22" t="n">
        <f aca="false">YEAR(Q359)</f>
        <v>2026</v>
      </c>
      <c r="W359" s="20"/>
      <c r="X359" s="8" t="n">
        <f aca="false">IFERROR(IF(M359="Abs",0,IF(ROUND((D359-C359+E359-F359)*1440,0)&lt;=1,0,D359-C359+E359-F359)),0)</f>
        <v>0</v>
      </c>
      <c r="Y359" s="6" t="str">
        <f aca="false">IFERROR(VLOOKUP($B359,Agents!$A:$D,3,0),"-")</f>
        <v>OUBRAHIM Mohammed</v>
      </c>
      <c r="Z359" s="6" t="str">
        <f aca="false">IFERROR(VLOOKUP($B359,Agents!$A:$D,4,0),"-")</f>
        <v>Credit Mutuel</v>
      </c>
      <c r="AA359" s="18" t="s">
        <v>89</v>
      </c>
      <c r="AB359" s="8" t="str">
        <f aca="false">IF(AND(D359="Congé",F359="Congé"),0.333333333333333,IF(OR(AND(D359="Congé",F359&lt;&gt;"Congé"),(AND(F359="Congé",D359&lt;&gt;"Congé"))),0.166666666666667,""))</f>
        <v/>
      </c>
      <c r="AC359" s="8" t="str">
        <f aca="false">IF(AND(D359="Congé sans solde",F359="Congé sans solde"),0.333333333333333,IF(OR(AND(D359="Congé sans solde",F359&lt;&gt;"Congé sans solde"),(AND(F359="Congé sans solde",D359&lt;&gt;"Congé sans solde"))),0.166666666666667,""))</f>
        <v/>
      </c>
      <c r="AD359" s="8" t="str">
        <f aca="false">IF(AND(D359="Congé spécial",F359="Congé spécial"),0.333333333333333,IF(OR(AND(D359="Congé spécial",F359&lt;&gt;"Congé spécial"),AND(F359="Congé spécial",D359&lt;&gt;"Congé spécial")),0.166666666666667,""))</f>
        <v/>
      </c>
      <c r="AE359" s="8" t="str">
        <f aca="false">IF(AND(D359="Férié",F359="Férié"),0.333333333333333,IF(OR(AND(D359="Férié",F359&lt;&gt;"Férié"),(AND(F359="Férié",D359&lt;&gt;"Férié"))),0.166666666666667,""))</f>
        <v/>
      </c>
      <c r="AF359" s="18"/>
      <c r="AG359" s="18"/>
    </row>
    <row r="360" customFormat="false" ht="15" hidden="false" customHeight="false" outlineLevel="0" collapsed="false">
      <c r="A360" s="6" t="str">
        <f aca="false">YEAR(Q360-WEEKDAY(Q360,2)+4)&amp;"-S"&amp;TEXT(WEEKNUM(Q360,21),"00")</f>
        <v>2026-S08</v>
      </c>
      <c r="B360" s="18" t="s">
        <v>72</v>
      </c>
      <c r="C360" s="19" t="n">
        <v>0.333333333333333</v>
      </c>
      <c r="D360" s="19" t="n">
        <v>0.333333333333333</v>
      </c>
      <c r="E360" s="19" t="n">
        <v>0.708333333333333</v>
      </c>
      <c r="F360" s="19" t="n">
        <v>0.708333333333333</v>
      </c>
      <c r="G360" s="20"/>
      <c r="H360" s="20"/>
      <c r="I360" s="8" t="str">
        <f aca="false">IF(IF(OR(C360="",D360="Congé",D360="OFF",D360="Congé spécial"),"",IF(D360&gt;F360,D360-C360,IF(C360-D360&lt;0,0,C360-D360)))&lt;0.00068287037037037,"",IF(OR(D360="Congé",D360="OFF",C360="",D360="Congé spécial"),"",IF(D360&gt;F360,D360-C360,IF(C360-D360&lt;0,0,C360-D360))))</f>
        <v/>
      </c>
      <c r="J360" s="20"/>
      <c r="K360" s="8" t="n">
        <f aca="false">IF(SUM(H360:J360)&lt;0.00068287037037037,0,SUM(H360:J360))</f>
        <v>0</v>
      </c>
      <c r="L360" s="8" t="n">
        <f aca="false">IF(OR(F360="Congé",F360="OFF",M360="Abs",F360="Congé sans solde",F360="Férié",F360="Congé spécial",D360="Congé spécial"),0,IF(F360-E360&lt;0,0,IF(F360-E360&lt;=0.00068287037037037,0,F360-E360)))</f>
        <v>0</v>
      </c>
      <c r="M360" s="6" t="n">
        <f aca="false">IF(AND(O360&lt;&gt;0,C360=""),"Abs",0)</f>
        <v>0</v>
      </c>
      <c r="N360" s="8" t="n">
        <f aca="false">IFERROR(IF(OR(D360="OFF",D360="Congé",M360="Abs",D360="Congé sans solde",D360="Férié"),"",IF(O360-K360-L360&gt;O360,O360,IF(O360-K360-L360&lt;0,"",O360-K360-L360))),"")</f>
        <v>0.333333333333333</v>
      </c>
      <c r="O360" s="8" t="n">
        <f aca="false">IF(AG360="2H Pause déjeuner",IF(F360-D360-0.0833333333333333&lt;0,F360-D360-0.0833333333333333+1,F360-D360-0.0833333333333333),IF(OR(AND(F360="OFF",D360="OFF"),AND(F360="Congé",D360="Congé"),AND(F360="Congé sans solde",D360="Congé sans solde"),AND(F360="Congé spécial",D360="Congé spécial"),AND(F360="Férié",D360="Férié"),AND(F360="OFF",D360="Congé"),AND(F360="OFF",D360="Congé sans solde"),AND(F360="OFF",D360="Congé spécial"),AND(F360="OFF",D360="Férié"),AND(F360="Congé",D360="OFF"),AND(F360="Congé",D360="Congé sans solde"),AND(F360="Congé",D360="Congé spécial"),AND(F360="Congé",D360="Férié"),AND(F360="Congé sans solde",D360="OFF"),AND(F360="Congé sans solde",D360="Congé"),AND(F360="Congé sans solde",D360="Congé spécial"),AND(F360="Congé sans solde",D360="Férié"),AND(F360="Congé spécial",D360="OFF"),AND(F360="Congé spécial",D360="Congé"),AND(F360="Congé spécial",D360="Congé sans solde"),AND(F360="Congé spécial",D360="Férié"),AND(F360="Férié",D360="OFF"),AND(F360="Férié",D360="Congé"),AND(F360="Férié",D360="Congé sans solde"),AND(F360="Férié",D360="Congé spécial")),0,IF(OR(F360="OFF",F360="Congé",F360="Congé spécial",F360="Congé sans solde",D360="OFF",D360="Congé",D360="Congé spécial",D360="Congé sans solde"),0.208333333333334,IF(AND(AG360="",F360-D360&lt;0),("24:00:00"-D360)+("00:00:00"+F360)-0.0416666666666667,IF(AND(OR(AG360="Allaitement",AG360="Sans déjeuner"),F360-D360&lt;0),("24:00:00"-D360)+("00:00:00"+F360),IF(AND(AG360="",F360-D360&gt;0.166666666666667),F360-D360-0.0416666666666667,IF(AND(OR(AG360="Allaitement",AG360="Sans déjeuner"),F360-D360&gt;0.166666666666667),F360-D360,F360-D360)))))))</f>
        <v>0.333333333333333</v>
      </c>
      <c r="P360" s="6" t="str">
        <f aca="false">IFERROR(VLOOKUP($B360,Agents!$A:$D,2,0),"-")</f>
        <v>Accessibilité</v>
      </c>
      <c r="Q360" s="21" t="n">
        <v>46071</v>
      </c>
      <c r="R360" s="8" t="n">
        <f aca="false">IF(M360="Abs",O360,0)</f>
        <v>0</v>
      </c>
      <c r="S360" s="8" t="n">
        <f aca="false">SUM(R360,L360,I360,J360,W360,H360)</f>
        <v>0</v>
      </c>
      <c r="T360" s="6" t="str">
        <f aca="false">"Sem - "&amp;WEEKNUM(Q360,21)</f>
        <v>Sem - 8</v>
      </c>
      <c r="U360" s="6" t="str">
        <f aca="false">CHOOSE(MONTH(Q360),"Janvier","Février","Mars","Avril","Mai","Juin","Juillet","Août","Septembre","Octobre","Novembre","Décembre")</f>
        <v>Février</v>
      </c>
      <c r="V360" s="22" t="n">
        <f aca="false">YEAR(Q360)</f>
        <v>2026</v>
      </c>
      <c r="W360" s="20"/>
      <c r="X360" s="8" t="n">
        <f aca="false">IFERROR(IF(M360="Abs",0,IF(ROUND((D360-C360+E360-F360)*1440,0)&lt;=1,0,D360-C360+E360-F360)),0)</f>
        <v>0</v>
      </c>
      <c r="Y360" s="6" t="str">
        <f aca="false">IFERROR(VLOOKUP($B360,Agents!$A:$D,3,0),"-")</f>
        <v>OUBRAHIM Mohammed</v>
      </c>
      <c r="Z360" s="6" t="str">
        <f aca="false">IFERROR(VLOOKUP($B360,Agents!$A:$D,4,0),"-")</f>
        <v>Credit Mutuel</v>
      </c>
      <c r="AA360" s="18" t="s">
        <v>89</v>
      </c>
      <c r="AB360" s="8" t="str">
        <f aca="false">IF(AND(D360="Congé",F360="Congé"),0.333333333333333,IF(OR(AND(D360="Congé",F360&lt;&gt;"Congé"),(AND(F360="Congé",D360&lt;&gt;"Congé"))),0.166666666666667,""))</f>
        <v/>
      </c>
      <c r="AC360" s="8" t="str">
        <f aca="false">IF(AND(D360="Congé sans solde",F360="Congé sans solde"),0.333333333333333,IF(OR(AND(D360="Congé sans solde",F360&lt;&gt;"Congé sans solde"),(AND(F360="Congé sans solde",D360&lt;&gt;"Congé sans solde"))),0.166666666666667,""))</f>
        <v/>
      </c>
      <c r="AD360" s="8" t="str">
        <f aca="false">IF(AND(D360="Congé spécial",F360="Congé spécial"),0.333333333333333,IF(OR(AND(D360="Congé spécial",F360&lt;&gt;"Congé spécial"),AND(F360="Congé spécial",D360&lt;&gt;"Congé spécial")),0.166666666666667,""))</f>
        <v/>
      </c>
      <c r="AE360" s="8" t="str">
        <f aca="false">IF(AND(D360="Férié",F360="Férié"),0.333333333333333,IF(OR(AND(D360="Férié",F360&lt;&gt;"Férié"),(AND(F360="Férié",D360&lt;&gt;"Férié"))),0.166666666666667,""))</f>
        <v/>
      </c>
      <c r="AF360" s="18"/>
      <c r="AG360" s="18"/>
    </row>
    <row r="361" customFormat="false" ht="15" hidden="false" customHeight="false" outlineLevel="0" collapsed="false">
      <c r="A361" s="6" t="str">
        <f aca="false">YEAR(Q361-WEEKDAY(Q361,2)+4)&amp;"-S"&amp;TEXT(WEEKNUM(Q361,21),"00")</f>
        <v>2026-S08</v>
      </c>
      <c r="B361" s="18" t="s">
        <v>73</v>
      </c>
      <c r="C361" s="19" t="n">
        <v>0.333333333333333</v>
      </c>
      <c r="D361" s="19" t="n">
        <v>0.333333333333333</v>
      </c>
      <c r="E361" s="19" t="n">
        <v>0.708333333333333</v>
      </c>
      <c r="F361" s="19" t="n">
        <v>0.708333333333333</v>
      </c>
      <c r="G361" s="20"/>
      <c r="H361" s="20"/>
      <c r="I361" s="8" t="str">
        <f aca="false">IF(IF(OR(C361="",D361="Congé",D361="OFF",D361="Congé spécial"),"",IF(D361&gt;F361,D361-C361,IF(C361-D361&lt;0,0,C361-D361)))&lt;0.00068287037037037,"",IF(OR(D361="Congé",D361="OFF",C361="",D361="Congé spécial"),"",IF(D361&gt;F361,D361-C361,IF(C361-D361&lt;0,0,C361-D361))))</f>
        <v/>
      </c>
      <c r="J361" s="20"/>
      <c r="K361" s="8" t="n">
        <f aca="false">IF(SUM(H361:J361)&lt;0.00068287037037037,0,SUM(H361:J361))</f>
        <v>0</v>
      </c>
      <c r="L361" s="8" t="n">
        <f aca="false">IF(OR(F361="Congé",F361="OFF",M361="Abs",F361="Congé sans solde",F361="Férié",F361="Congé spécial",D361="Congé spécial"),0,IF(F361-E361&lt;0,0,IF(F361-E361&lt;=0.00068287037037037,0,F361-E361)))</f>
        <v>0</v>
      </c>
      <c r="M361" s="6" t="n">
        <f aca="false">IF(AND(O361&lt;&gt;0,C361=""),"Abs",0)</f>
        <v>0</v>
      </c>
      <c r="N361" s="8" t="n">
        <f aca="false">IFERROR(IF(OR(D361="OFF",D361="Congé",M361="Abs",D361="Congé sans solde",D361="Férié"),"",IF(O361-K361-L361&gt;O361,O361,IF(O361-K361-L361&lt;0,"",O361-K361-L361))),"")</f>
        <v>0.333333333333333</v>
      </c>
      <c r="O361" s="8" t="n">
        <f aca="false">IF(AG361="2H Pause déjeuner",IF(F361-D361-0.0833333333333333&lt;0,F361-D361-0.0833333333333333+1,F361-D361-0.0833333333333333),IF(OR(AND(F361="OFF",D361="OFF"),AND(F361="Congé",D361="Congé"),AND(F361="Congé sans solde",D361="Congé sans solde"),AND(F361="Congé spécial",D361="Congé spécial"),AND(F361="Férié",D361="Férié"),AND(F361="OFF",D361="Congé"),AND(F361="OFF",D361="Congé sans solde"),AND(F361="OFF",D361="Congé spécial"),AND(F361="OFF",D361="Férié"),AND(F361="Congé",D361="OFF"),AND(F361="Congé",D361="Congé sans solde"),AND(F361="Congé",D361="Congé spécial"),AND(F361="Congé",D361="Férié"),AND(F361="Congé sans solde",D361="OFF"),AND(F361="Congé sans solde",D361="Congé"),AND(F361="Congé sans solde",D361="Congé spécial"),AND(F361="Congé sans solde",D361="Férié"),AND(F361="Congé spécial",D361="OFF"),AND(F361="Congé spécial",D361="Congé"),AND(F361="Congé spécial",D361="Congé sans solde"),AND(F361="Congé spécial",D361="Férié"),AND(F361="Férié",D361="OFF"),AND(F361="Férié",D361="Congé"),AND(F361="Férié",D361="Congé sans solde"),AND(F361="Férié",D361="Congé spécial")),0,IF(OR(F361="OFF",F361="Congé",F361="Congé spécial",F361="Congé sans solde",D361="OFF",D361="Congé",D361="Congé spécial",D361="Congé sans solde"),0.208333333333334,IF(AND(AG361="",F361-D361&lt;0),("24:00:00"-D361)+("00:00:00"+F361)-0.0416666666666667,IF(AND(OR(AG361="Allaitement",AG361="Sans déjeuner"),F361-D361&lt;0),("24:00:00"-D361)+("00:00:00"+F361),IF(AND(AG361="",F361-D361&gt;0.166666666666667),F361-D361-0.0416666666666667,IF(AND(OR(AG361="Allaitement",AG361="Sans déjeuner"),F361-D361&gt;0.166666666666667),F361-D361,F361-D361)))))))</f>
        <v>0.333333333333333</v>
      </c>
      <c r="P361" s="6" t="str">
        <f aca="false">IFERROR(VLOOKUP($B361,Agents!$A:$D,2,0),"-")</f>
        <v>Accessibilité</v>
      </c>
      <c r="Q361" s="21" t="n">
        <v>46071</v>
      </c>
      <c r="R361" s="8" t="n">
        <f aca="false">IF(M361="Abs",O361,0)</f>
        <v>0</v>
      </c>
      <c r="S361" s="8" t="n">
        <f aca="false">SUM(R361,L361,I361,J361,W361,H361)</f>
        <v>0</v>
      </c>
      <c r="T361" s="6" t="str">
        <f aca="false">"Sem - "&amp;WEEKNUM(Q361,21)</f>
        <v>Sem - 8</v>
      </c>
      <c r="U361" s="6" t="str">
        <f aca="false">CHOOSE(MONTH(Q361),"Janvier","Février","Mars","Avril","Mai","Juin","Juillet","Août","Septembre","Octobre","Novembre","Décembre")</f>
        <v>Février</v>
      </c>
      <c r="V361" s="22" t="n">
        <f aca="false">YEAR(Q361)</f>
        <v>2026</v>
      </c>
      <c r="W361" s="20"/>
      <c r="X361" s="8" t="n">
        <f aca="false">IFERROR(IF(M361="Abs",0,IF(ROUND((D361-C361+E361-F361)*1440,0)&lt;=1,0,D361-C361+E361-F361)),0)</f>
        <v>0</v>
      </c>
      <c r="Y361" s="6" t="str">
        <f aca="false">IFERROR(VLOOKUP($B361,Agents!$A:$D,3,0),"-")</f>
        <v>OUBRAHIM Mohammed</v>
      </c>
      <c r="Z361" s="6" t="str">
        <f aca="false">IFERROR(VLOOKUP($B361,Agents!$A:$D,4,0),"-")</f>
        <v>Credit Mutuel</v>
      </c>
      <c r="AA361" s="18" t="s">
        <v>89</v>
      </c>
      <c r="AB361" s="8" t="str">
        <f aca="false">IF(AND(D361="Congé",F361="Congé"),0.333333333333333,IF(OR(AND(D361="Congé",F361&lt;&gt;"Congé"),(AND(F361="Congé",D361&lt;&gt;"Congé"))),0.166666666666667,""))</f>
        <v/>
      </c>
      <c r="AC361" s="8" t="str">
        <f aca="false">IF(AND(D361="Congé sans solde",F361="Congé sans solde"),0.333333333333333,IF(OR(AND(D361="Congé sans solde",F361&lt;&gt;"Congé sans solde"),(AND(F361="Congé sans solde",D361&lt;&gt;"Congé sans solde"))),0.166666666666667,""))</f>
        <v/>
      </c>
      <c r="AD361" s="8" t="str">
        <f aca="false">IF(AND(D361="Congé spécial",F361="Congé spécial"),0.333333333333333,IF(OR(AND(D361="Congé spécial",F361&lt;&gt;"Congé spécial"),AND(F361="Congé spécial",D361&lt;&gt;"Congé spécial")),0.166666666666667,""))</f>
        <v/>
      </c>
      <c r="AE361" s="8" t="str">
        <f aca="false">IF(AND(D361="Férié",F361="Férié"),0.333333333333333,IF(OR(AND(D361="Férié",F361&lt;&gt;"Férié"),(AND(F361="Férié",D361&lt;&gt;"Férié"))),0.166666666666667,""))</f>
        <v/>
      </c>
      <c r="AF361" s="18"/>
      <c r="AG361" s="18"/>
    </row>
    <row r="362" customFormat="false" ht="15" hidden="false" customHeight="false" outlineLevel="0" collapsed="false">
      <c r="A362" s="6" t="str">
        <f aca="false">YEAR(Q362-WEEKDAY(Q362,2)+4)&amp;"-S"&amp;TEXT(WEEKNUM(Q362,21),"00")</f>
        <v>2026-S08</v>
      </c>
      <c r="B362" s="18" t="s">
        <v>69</v>
      </c>
      <c r="C362" s="19" t="n">
        <v>0.333333333333333</v>
      </c>
      <c r="D362" s="19" t="n">
        <v>0.333333333333333</v>
      </c>
      <c r="E362" s="19" t="n">
        <v>0.708333333333333</v>
      </c>
      <c r="F362" s="19" t="n">
        <v>0.708333333333333</v>
      </c>
      <c r="G362" s="20"/>
      <c r="H362" s="20"/>
      <c r="I362" s="8" t="str">
        <f aca="false">IF(IF(OR(C362="",D362="Congé",D362="OFF",D362="Congé spécial"),"",IF(D362&gt;F362,D362-C362,IF(C362-D362&lt;0,0,C362-D362)))&lt;0.00068287037037037,"",IF(OR(D362="Congé",D362="OFF",C362="",D362="Congé spécial"),"",IF(D362&gt;F362,D362-C362,IF(C362-D362&lt;0,0,C362-D362))))</f>
        <v/>
      </c>
      <c r="J362" s="20"/>
      <c r="K362" s="8" t="n">
        <f aca="false">IF(SUM(H362:J362)&lt;0.00068287037037037,0,SUM(H362:J362))</f>
        <v>0</v>
      </c>
      <c r="L362" s="8" t="n">
        <f aca="false">IF(OR(F362="Congé",F362="OFF",M362="Abs",F362="Congé sans solde",F362="Férié",F362="Congé spécial",D362="Congé spécial"),0,IF(F362-E362&lt;0,0,IF(F362-E362&lt;=0.00068287037037037,0,F362-E362)))</f>
        <v>0</v>
      </c>
      <c r="M362" s="6" t="n">
        <f aca="false">IF(AND(O362&lt;&gt;0,C362=""),"Abs",0)</f>
        <v>0</v>
      </c>
      <c r="N362" s="8" t="n">
        <f aca="false">IFERROR(IF(OR(D362="OFF",D362="Congé",M362="Abs",D362="Congé sans solde",D362="Férié"),"",IF(O362-K362-L362&gt;O362,O362,IF(O362-K362-L362&lt;0,"",O362-K362-L362))),"")</f>
        <v>0.333333333333333</v>
      </c>
      <c r="O362" s="8" t="n">
        <f aca="false">IF(AG362="2H Pause déjeuner",IF(F362-D362-0.0833333333333333&lt;0,F362-D362-0.0833333333333333+1,F362-D362-0.0833333333333333),IF(OR(AND(F362="OFF",D362="OFF"),AND(F362="Congé",D362="Congé"),AND(F362="Congé sans solde",D362="Congé sans solde"),AND(F362="Congé spécial",D362="Congé spécial"),AND(F362="Férié",D362="Férié"),AND(F362="OFF",D362="Congé"),AND(F362="OFF",D362="Congé sans solde"),AND(F362="OFF",D362="Congé spécial"),AND(F362="OFF",D362="Férié"),AND(F362="Congé",D362="OFF"),AND(F362="Congé",D362="Congé sans solde"),AND(F362="Congé",D362="Congé spécial"),AND(F362="Congé",D362="Férié"),AND(F362="Congé sans solde",D362="OFF"),AND(F362="Congé sans solde",D362="Congé"),AND(F362="Congé sans solde",D362="Congé spécial"),AND(F362="Congé sans solde",D362="Férié"),AND(F362="Congé spécial",D362="OFF"),AND(F362="Congé spécial",D362="Congé"),AND(F362="Congé spécial",D362="Congé sans solde"),AND(F362="Congé spécial",D362="Férié"),AND(F362="Férié",D362="OFF"),AND(F362="Férié",D362="Congé"),AND(F362="Férié",D362="Congé sans solde"),AND(F362="Férié",D362="Congé spécial")),0,IF(OR(F362="OFF",F362="Congé",F362="Congé spécial",F362="Congé sans solde",D362="OFF",D362="Congé",D362="Congé spécial",D362="Congé sans solde"),0.208333333333334,IF(AND(AG362="",F362-D362&lt;0),("24:00:00"-D362)+("00:00:00"+F362)-0.0416666666666667,IF(AND(OR(AG362="Allaitement",AG362="Sans déjeuner"),F362-D362&lt;0),("24:00:00"-D362)+("00:00:00"+F362),IF(AND(AG362="",F362-D362&gt;0.166666666666667),F362-D362-0.0416666666666667,IF(AND(OR(AG362="Allaitement",AG362="Sans déjeuner"),F362-D362&gt;0.166666666666667),F362-D362,F362-D362)))))))</f>
        <v>0.333333333333333</v>
      </c>
      <c r="P362" s="6" t="str">
        <f aca="false">IFERROR(VLOOKUP($B362,Agents!$A:$D,2,0),"-")</f>
        <v>Accessibilité</v>
      </c>
      <c r="Q362" s="21" t="n">
        <v>46072</v>
      </c>
      <c r="R362" s="8" t="n">
        <f aca="false">IF(M362="Abs",O362,0)</f>
        <v>0</v>
      </c>
      <c r="S362" s="8" t="n">
        <f aca="false">SUM(R362,L362,I362,J362,W362,H362)</f>
        <v>0</v>
      </c>
      <c r="T362" s="6" t="str">
        <f aca="false">"Sem - "&amp;WEEKNUM(Q362,21)</f>
        <v>Sem - 8</v>
      </c>
      <c r="U362" s="6" t="str">
        <f aca="false">CHOOSE(MONTH(Q362),"Janvier","Février","Mars","Avril","Mai","Juin","Juillet","Août","Septembre","Octobre","Novembre","Décembre")</f>
        <v>Février</v>
      </c>
      <c r="V362" s="22" t="n">
        <f aca="false">YEAR(Q362)</f>
        <v>2026</v>
      </c>
      <c r="W362" s="20"/>
      <c r="X362" s="8" t="n">
        <f aca="false">IFERROR(IF(M362="Abs",0,IF(ROUND((D362-C362+E362-F362)*1440,0)&lt;=1,0,D362-C362+E362-F362)),0)</f>
        <v>0</v>
      </c>
      <c r="Y362" s="6" t="str">
        <f aca="false">IFERROR(VLOOKUP($B362,Agents!$A:$D,3,0),"-")</f>
        <v>OUBRAHIM Mohammed</v>
      </c>
      <c r="Z362" s="6" t="str">
        <f aca="false">IFERROR(VLOOKUP($B362,Agents!$A:$D,4,0),"-")</f>
        <v>Credit Mutuel</v>
      </c>
      <c r="AA362" s="18" t="s">
        <v>89</v>
      </c>
      <c r="AB362" s="8" t="str">
        <f aca="false">IF(AND(D362="Congé",F362="Congé"),0.333333333333333,IF(OR(AND(D362="Congé",F362&lt;&gt;"Congé"),(AND(F362="Congé",D362&lt;&gt;"Congé"))),0.166666666666667,""))</f>
        <v/>
      </c>
      <c r="AC362" s="8" t="str">
        <f aca="false">IF(AND(D362="Congé sans solde",F362="Congé sans solde"),0.333333333333333,IF(OR(AND(D362="Congé sans solde",F362&lt;&gt;"Congé sans solde"),(AND(F362="Congé sans solde",D362&lt;&gt;"Congé sans solde"))),0.166666666666667,""))</f>
        <v/>
      </c>
      <c r="AD362" s="8" t="str">
        <f aca="false">IF(AND(D362="Congé spécial",F362="Congé spécial"),0.333333333333333,IF(OR(AND(D362="Congé spécial",F362&lt;&gt;"Congé spécial"),AND(F362="Congé spécial",D362&lt;&gt;"Congé spécial")),0.166666666666667,""))</f>
        <v/>
      </c>
      <c r="AE362" s="8" t="str">
        <f aca="false">IF(AND(D362="Férié",F362="Férié"),0.333333333333333,IF(OR(AND(D362="Férié",F362&lt;&gt;"Férié"),(AND(F362="Férié",D362&lt;&gt;"Férié"))),0.166666666666667,""))</f>
        <v/>
      </c>
      <c r="AF362" s="18"/>
      <c r="AG362" s="18"/>
    </row>
    <row r="363" customFormat="false" ht="15" hidden="false" customHeight="false" outlineLevel="0" collapsed="false">
      <c r="A363" s="6" t="str">
        <f aca="false">YEAR(Q363-WEEKDAY(Q363,2)+4)&amp;"-S"&amp;TEXT(WEEKNUM(Q363,21),"00")</f>
        <v>2026-S08</v>
      </c>
      <c r="B363" s="18" t="s">
        <v>71</v>
      </c>
      <c r="C363" s="19" t="n">
        <v>0.333333333333333</v>
      </c>
      <c r="D363" s="19" t="n">
        <v>0.333333333333333</v>
      </c>
      <c r="E363" s="19" t="n">
        <v>0.708333333333333</v>
      </c>
      <c r="F363" s="19" t="n">
        <v>0.708333333333333</v>
      </c>
      <c r="G363" s="20"/>
      <c r="H363" s="20"/>
      <c r="I363" s="8" t="str">
        <f aca="false">IF(IF(OR(C363="",D363="Congé",D363="OFF",D363="Congé spécial"),"",IF(D363&gt;F363,D363-C363,IF(C363-D363&lt;0,0,C363-D363)))&lt;0.00068287037037037,"",IF(OR(D363="Congé",D363="OFF",C363="",D363="Congé spécial"),"",IF(D363&gt;F363,D363-C363,IF(C363-D363&lt;0,0,C363-D363))))</f>
        <v/>
      </c>
      <c r="J363" s="20"/>
      <c r="K363" s="8" t="n">
        <f aca="false">IF(SUM(H363:J363)&lt;0.00068287037037037,0,SUM(H363:J363))</f>
        <v>0</v>
      </c>
      <c r="L363" s="8" t="n">
        <f aca="false">IF(OR(F363="Congé",F363="OFF",M363="Abs",F363="Congé sans solde",F363="Férié",F363="Congé spécial",D363="Congé spécial"),0,IF(F363-E363&lt;0,0,IF(F363-E363&lt;=0.00068287037037037,0,F363-E363)))</f>
        <v>0</v>
      </c>
      <c r="M363" s="6" t="n">
        <f aca="false">IF(AND(O363&lt;&gt;0,C363=""),"Abs",0)</f>
        <v>0</v>
      </c>
      <c r="N363" s="8" t="n">
        <f aca="false">IFERROR(IF(OR(D363="OFF",D363="Congé",M363="Abs",D363="Congé sans solde",D363="Férié"),"",IF(O363-K363-L363&gt;O363,O363,IF(O363-K363-L363&lt;0,"",O363-K363-L363))),"")</f>
        <v>0.333333333333333</v>
      </c>
      <c r="O363" s="8" t="n">
        <f aca="false">IF(AG363="2H Pause déjeuner",IF(F363-D363-0.0833333333333333&lt;0,F363-D363-0.0833333333333333+1,F363-D363-0.0833333333333333),IF(OR(AND(F363="OFF",D363="OFF"),AND(F363="Congé",D363="Congé"),AND(F363="Congé sans solde",D363="Congé sans solde"),AND(F363="Congé spécial",D363="Congé spécial"),AND(F363="Férié",D363="Férié"),AND(F363="OFF",D363="Congé"),AND(F363="OFF",D363="Congé sans solde"),AND(F363="OFF",D363="Congé spécial"),AND(F363="OFF",D363="Férié"),AND(F363="Congé",D363="OFF"),AND(F363="Congé",D363="Congé sans solde"),AND(F363="Congé",D363="Congé spécial"),AND(F363="Congé",D363="Férié"),AND(F363="Congé sans solde",D363="OFF"),AND(F363="Congé sans solde",D363="Congé"),AND(F363="Congé sans solde",D363="Congé spécial"),AND(F363="Congé sans solde",D363="Férié"),AND(F363="Congé spécial",D363="OFF"),AND(F363="Congé spécial",D363="Congé"),AND(F363="Congé spécial",D363="Congé sans solde"),AND(F363="Congé spécial",D363="Férié"),AND(F363="Férié",D363="OFF"),AND(F363="Férié",D363="Congé"),AND(F363="Férié",D363="Congé sans solde"),AND(F363="Férié",D363="Congé spécial")),0,IF(OR(F363="OFF",F363="Congé",F363="Congé spécial",F363="Congé sans solde",D363="OFF",D363="Congé",D363="Congé spécial",D363="Congé sans solde"),0.208333333333334,IF(AND(AG363="",F363-D363&lt;0),("24:00:00"-D363)+("00:00:00"+F363)-0.0416666666666667,IF(AND(OR(AG363="Allaitement",AG363="Sans déjeuner"),F363-D363&lt;0),("24:00:00"-D363)+("00:00:00"+F363),IF(AND(AG363="",F363-D363&gt;0.166666666666667),F363-D363-0.0416666666666667,IF(AND(OR(AG363="Allaitement",AG363="Sans déjeuner"),F363-D363&gt;0.166666666666667),F363-D363,F363-D363)))))))</f>
        <v>0.333333333333333</v>
      </c>
      <c r="P363" s="6" t="str">
        <f aca="false">IFERROR(VLOOKUP($B363,Agents!$A:$D,2,0),"-")</f>
        <v>Accessibilité</v>
      </c>
      <c r="Q363" s="21" t="n">
        <v>46072</v>
      </c>
      <c r="R363" s="8" t="n">
        <f aca="false">IF(M363="Abs",O363,0)</f>
        <v>0</v>
      </c>
      <c r="S363" s="8" t="n">
        <f aca="false">SUM(R363,L363,I363,J363,W363,H363)</f>
        <v>0</v>
      </c>
      <c r="T363" s="6" t="str">
        <f aca="false">"Sem - "&amp;WEEKNUM(Q363,21)</f>
        <v>Sem - 8</v>
      </c>
      <c r="U363" s="6" t="str">
        <f aca="false">CHOOSE(MONTH(Q363),"Janvier","Février","Mars","Avril","Mai","Juin","Juillet","Août","Septembre","Octobre","Novembre","Décembre")</f>
        <v>Février</v>
      </c>
      <c r="V363" s="22" t="n">
        <f aca="false">YEAR(Q363)</f>
        <v>2026</v>
      </c>
      <c r="W363" s="20"/>
      <c r="X363" s="8" t="n">
        <f aca="false">IFERROR(IF(M363="Abs",0,IF(ROUND((D363-C363+E363-F363)*1440,0)&lt;=1,0,D363-C363+E363-F363)),0)</f>
        <v>0</v>
      </c>
      <c r="Y363" s="6" t="str">
        <f aca="false">IFERROR(VLOOKUP($B363,Agents!$A:$D,3,0),"-")</f>
        <v>OUBRAHIM Mohammed</v>
      </c>
      <c r="Z363" s="6" t="str">
        <f aca="false">IFERROR(VLOOKUP($B363,Agents!$A:$D,4,0),"-")</f>
        <v>Credit Mutuel</v>
      </c>
      <c r="AA363" s="18" t="s">
        <v>89</v>
      </c>
      <c r="AB363" s="8" t="str">
        <f aca="false">IF(AND(D363="Congé",F363="Congé"),0.333333333333333,IF(OR(AND(D363="Congé",F363&lt;&gt;"Congé"),(AND(F363="Congé",D363&lt;&gt;"Congé"))),0.166666666666667,""))</f>
        <v/>
      </c>
      <c r="AC363" s="8" t="str">
        <f aca="false">IF(AND(D363="Congé sans solde",F363="Congé sans solde"),0.333333333333333,IF(OR(AND(D363="Congé sans solde",F363&lt;&gt;"Congé sans solde"),(AND(F363="Congé sans solde",D363&lt;&gt;"Congé sans solde"))),0.166666666666667,""))</f>
        <v/>
      </c>
      <c r="AD363" s="8" t="str">
        <f aca="false">IF(AND(D363="Congé spécial",F363="Congé spécial"),0.333333333333333,IF(OR(AND(D363="Congé spécial",F363&lt;&gt;"Congé spécial"),AND(F363="Congé spécial",D363&lt;&gt;"Congé spécial")),0.166666666666667,""))</f>
        <v/>
      </c>
      <c r="AE363" s="8" t="str">
        <f aca="false">IF(AND(D363="Férié",F363="Férié"),0.333333333333333,IF(OR(AND(D363="Férié",F363&lt;&gt;"Férié"),(AND(F363="Férié",D363&lt;&gt;"Férié"))),0.166666666666667,""))</f>
        <v/>
      </c>
      <c r="AF363" s="18"/>
      <c r="AG363" s="18"/>
    </row>
    <row r="364" customFormat="false" ht="15" hidden="false" customHeight="false" outlineLevel="0" collapsed="false">
      <c r="A364" s="6" t="str">
        <f aca="false">YEAR(Q364-WEEKDAY(Q364,2)+4)&amp;"-S"&amp;TEXT(WEEKNUM(Q364,21),"00")</f>
        <v>2026-S08</v>
      </c>
      <c r="B364" s="18" t="s">
        <v>72</v>
      </c>
      <c r="C364" s="19" t="n">
        <v>0.331944444444444</v>
      </c>
      <c r="D364" s="19" t="n">
        <v>0.333333333333333</v>
      </c>
      <c r="E364" s="19" t="n">
        <v>0.708333333333333</v>
      </c>
      <c r="F364" s="19" t="n">
        <v>0.708333333333333</v>
      </c>
      <c r="G364" s="20"/>
      <c r="H364" s="20"/>
      <c r="I364" s="8" t="str">
        <f aca="false">IF(IF(OR(C364="",D364="Congé",D364="OFF",D364="Congé spécial"),"",IF(D364&gt;F364,D364-C364,IF(C364-D364&lt;0,0,C364-D364)))&lt;0.00068287037037037,"",IF(OR(D364="Congé",D364="OFF",C364="",D364="Congé spécial"),"",IF(D364&gt;F364,D364-C364,IF(C364-D364&lt;0,0,C364-D364))))</f>
        <v/>
      </c>
      <c r="J364" s="20"/>
      <c r="K364" s="8" t="n">
        <f aca="false">IF(SUM(H364:J364)&lt;0.00068287037037037,0,SUM(H364:J364))</f>
        <v>0</v>
      </c>
      <c r="L364" s="8" t="n">
        <f aca="false">IF(OR(F364="Congé",F364="OFF",M364="Abs",F364="Congé sans solde",F364="Férié",F364="Congé spécial",D364="Congé spécial"),0,IF(F364-E364&lt;0,0,IF(F364-E364&lt;=0.00068287037037037,0,F364-E364)))</f>
        <v>0</v>
      </c>
      <c r="M364" s="6" t="n">
        <f aca="false">IF(AND(O364&lt;&gt;0,C364=""),"Abs",0)</f>
        <v>0</v>
      </c>
      <c r="N364" s="8" t="n">
        <f aca="false">IFERROR(IF(OR(D364="OFF",D364="Congé",M364="Abs",D364="Congé sans solde",D364="Férié"),"",IF(O364-K364-L364&gt;O364,O364,IF(O364-K364-L364&lt;0,"",O364-K364-L364))),"")</f>
        <v>0.333333333333333</v>
      </c>
      <c r="O364" s="8" t="n">
        <f aca="false">IF(AG364="2H Pause déjeuner",IF(F364-D364-0.0833333333333333&lt;0,F364-D364-0.0833333333333333+1,F364-D364-0.0833333333333333),IF(OR(AND(F364="OFF",D364="OFF"),AND(F364="Congé",D364="Congé"),AND(F364="Congé sans solde",D364="Congé sans solde"),AND(F364="Congé spécial",D364="Congé spécial"),AND(F364="Férié",D364="Férié"),AND(F364="OFF",D364="Congé"),AND(F364="OFF",D364="Congé sans solde"),AND(F364="OFF",D364="Congé spécial"),AND(F364="OFF",D364="Férié"),AND(F364="Congé",D364="OFF"),AND(F364="Congé",D364="Congé sans solde"),AND(F364="Congé",D364="Congé spécial"),AND(F364="Congé",D364="Férié"),AND(F364="Congé sans solde",D364="OFF"),AND(F364="Congé sans solde",D364="Congé"),AND(F364="Congé sans solde",D364="Congé spécial"),AND(F364="Congé sans solde",D364="Férié"),AND(F364="Congé spécial",D364="OFF"),AND(F364="Congé spécial",D364="Congé"),AND(F364="Congé spécial",D364="Congé sans solde"),AND(F364="Congé spécial",D364="Férié"),AND(F364="Férié",D364="OFF"),AND(F364="Férié",D364="Congé"),AND(F364="Férié",D364="Congé sans solde"),AND(F364="Férié",D364="Congé spécial")),0,IF(OR(F364="OFF",F364="Congé",F364="Congé spécial",F364="Congé sans solde",D364="OFF",D364="Congé",D364="Congé spécial",D364="Congé sans solde"),0.208333333333334,IF(AND(AG364="",F364-D364&lt;0),("24:00:00"-D364)+("00:00:00"+F364)-0.0416666666666667,IF(AND(OR(AG364="Allaitement",AG364="Sans déjeuner"),F364-D364&lt;0),("24:00:00"-D364)+("00:00:00"+F364),IF(AND(AG364="",F364-D364&gt;0.166666666666667),F364-D364-0.0416666666666667,IF(AND(OR(AG364="Allaitement",AG364="Sans déjeuner"),F364-D364&gt;0.166666666666667),F364-D364,F364-D364)))))))</f>
        <v>0.333333333333333</v>
      </c>
      <c r="P364" s="6" t="str">
        <f aca="false">IFERROR(VLOOKUP($B364,Agents!$A:$D,2,0),"-")</f>
        <v>Accessibilité</v>
      </c>
      <c r="Q364" s="21" t="n">
        <v>46072</v>
      </c>
      <c r="R364" s="8" t="n">
        <f aca="false">IF(M364="Abs",O364,0)</f>
        <v>0</v>
      </c>
      <c r="S364" s="8" t="n">
        <f aca="false">SUM(R364,L364,I364,J364,W364,H364)</f>
        <v>0</v>
      </c>
      <c r="T364" s="6" t="str">
        <f aca="false">"Sem - "&amp;WEEKNUM(Q364,21)</f>
        <v>Sem - 8</v>
      </c>
      <c r="U364" s="6" t="str">
        <f aca="false">CHOOSE(MONTH(Q364),"Janvier","Février","Mars","Avril","Mai","Juin","Juillet","Août","Septembre","Octobre","Novembre","Décembre")</f>
        <v>Février</v>
      </c>
      <c r="V364" s="22" t="n">
        <f aca="false">YEAR(Q364)</f>
        <v>2026</v>
      </c>
      <c r="W364" s="20"/>
      <c r="X364" s="8" t="n">
        <f aca="false">IFERROR(IF(M364="Abs",0,IF(ROUND((D364-C364+E364-F364)*1440,0)&lt;=1,0,D364-C364+E364-F364)),0)</f>
        <v>0.00138888888888889</v>
      </c>
      <c r="Y364" s="6" t="str">
        <f aca="false">IFERROR(VLOOKUP($B364,Agents!$A:$D,3,0),"-")</f>
        <v>OUBRAHIM Mohammed</v>
      </c>
      <c r="Z364" s="6" t="str">
        <f aca="false">IFERROR(VLOOKUP($B364,Agents!$A:$D,4,0),"-")</f>
        <v>Credit Mutuel</v>
      </c>
      <c r="AA364" s="18" t="s">
        <v>89</v>
      </c>
      <c r="AB364" s="8" t="str">
        <f aca="false">IF(AND(D364="Congé",F364="Congé"),0.333333333333333,IF(OR(AND(D364="Congé",F364&lt;&gt;"Congé"),(AND(F364="Congé",D364&lt;&gt;"Congé"))),0.166666666666667,""))</f>
        <v/>
      </c>
      <c r="AC364" s="8" t="str">
        <f aca="false">IF(AND(D364="Congé sans solde",F364="Congé sans solde"),0.333333333333333,IF(OR(AND(D364="Congé sans solde",F364&lt;&gt;"Congé sans solde"),(AND(F364="Congé sans solde",D364&lt;&gt;"Congé sans solde"))),0.166666666666667,""))</f>
        <v/>
      </c>
      <c r="AD364" s="8" t="str">
        <f aca="false">IF(AND(D364="Congé spécial",F364="Congé spécial"),0.333333333333333,IF(OR(AND(D364="Congé spécial",F364&lt;&gt;"Congé spécial"),AND(F364="Congé spécial",D364&lt;&gt;"Congé spécial")),0.166666666666667,""))</f>
        <v/>
      </c>
      <c r="AE364" s="8" t="str">
        <f aca="false">IF(AND(D364="Férié",F364="Férié"),0.333333333333333,IF(OR(AND(D364="Férié",F364&lt;&gt;"Férié"),(AND(F364="Férié",D364&lt;&gt;"Férié"))),0.166666666666667,""))</f>
        <v/>
      </c>
      <c r="AF364" s="18"/>
      <c r="AG364" s="18"/>
    </row>
    <row r="365" customFormat="false" ht="15" hidden="false" customHeight="false" outlineLevel="0" collapsed="false">
      <c r="A365" s="6" t="str">
        <f aca="false">YEAR(Q365-WEEKDAY(Q365,2)+4)&amp;"-S"&amp;TEXT(WEEKNUM(Q365,21),"00")</f>
        <v>2026-S08</v>
      </c>
      <c r="B365" s="18" t="s">
        <v>73</v>
      </c>
      <c r="C365" s="19" t="n">
        <v>0.332638888888889</v>
      </c>
      <c r="D365" s="19" t="n">
        <v>0.333333333333333</v>
      </c>
      <c r="E365" s="19" t="n">
        <v>0.708333333333333</v>
      </c>
      <c r="F365" s="19" t="n">
        <v>0.708333333333333</v>
      </c>
      <c r="G365" s="20"/>
      <c r="H365" s="20"/>
      <c r="I365" s="8" t="str">
        <f aca="false">IF(IF(OR(C365="",D365="Congé",D365="OFF",D365="Congé spécial"),"",IF(D365&gt;F365,D365-C365,IF(C365-D365&lt;0,0,C365-D365)))&lt;0.00068287037037037,"",IF(OR(D365="Congé",D365="OFF",C365="",D365="Congé spécial"),"",IF(D365&gt;F365,D365-C365,IF(C365-D365&lt;0,0,C365-D365))))</f>
        <v/>
      </c>
      <c r="J365" s="20"/>
      <c r="K365" s="8" t="n">
        <f aca="false">IF(SUM(H365:J365)&lt;0.00068287037037037,0,SUM(H365:J365))</f>
        <v>0</v>
      </c>
      <c r="L365" s="8" t="n">
        <f aca="false">IF(OR(F365="Congé",F365="OFF",M365="Abs",F365="Congé sans solde",F365="Férié",F365="Congé spécial",D365="Congé spécial"),0,IF(F365-E365&lt;0,0,IF(F365-E365&lt;=0.00068287037037037,0,F365-E365)))</f>
        <v>0</v>
      </c>
      <c r="M365" s="6" t="n">
        <f aca="false">IF(AND(O365&lt;&gt;0,C365=""),"Abs",0)</f>
        <v>0</v>
      </c>
      <c r="N365" s="8" t="n">
        <f aca="false">IFERROR(IF(OR(D365="OFF",D365="Congé",M365="Abs",D365="Congé sans solde",D365="Férié"),"",IF(O365-K365-L365&gt;O365,O365,IF(O365-K365-L365&lt;0,"",O365-K365-L365))),"")</f>
        <v>0.333333333333333</v>
      </c>
      <c r="O365" s="8" t="n">
        <f aca="false">IF(AG365="2H Pause déjeuner",IF(F365-D365-0.0833333333333333&lt;0,F365-D365-0.0833333333333333+1,F365-D365-0.0833333333333333),IF(OR(AND(F365="OFF",D365="OFF"),AND(F365="Congé",D365="Congé"),AND(F365="Congé sans solde",D365="Congé sans solde"),AND(F365="Congé spécial",D365="Congé spécial"),AND(F365="Férié",D365="Férié"),AND(F365="OFF",D365="Congé"),AND(F365="OFF",D365="Congé sans solde"),AND(F365="OFF",D365="Congé spécial"),AND(F365="OFF",D365="Férié"),AND(F365="Congé",D365="OFF"),AND(F365="Congé",D365="Congé sans solde"),AND(F365="Congé",D365="Congé spécial"),AND(F365="Congé",D365="Férié"),AND(F365="Congé sans solde",D365="OFF"),AND(F365="Congé sans solde",D365="Congé"),AND(F365="Congé sans solde",D365="Congé spécial"),AND(F365="Congé sans solde",D365="Férié"),AND(F365="Congé spécial",D365="OFF"),AND(F365="Congé spécial",D365="Congé"),AND(F365="Congé spécial",D365="Congé sans solde"),AND(F365="Congé spécial",D365="Férié"),AND(F365="Férié",D365="OFF"),AND(F365="Férié",D365="Congé"),AND(F365="Férié",D365="Congé sans solde"),AND(F365="Férié",D365="Congé spécial")),0,IF(OR(F365="OFF",F365="Congé",F365="Congé spécial",F365="Congé sans solde",D365="OFF",D365="Congé",D365="Congé spécial",D365="Congé sans solde"),0.208333333333334,IF(AND(AG365="",F365-D365&lt;0),("24:00:00"-D365)+("00:00:00"+F365)-0.0416666666666667,IF(AND(OR(AG365="Allaitement",AG365="Sans déjeuner"),F365-D365&lt;0),("24:00:00"-D365)+("00:00:00"+F365),IF(AND(AG365="",F365-D365&gt;0.166666666666667),F365-D365-0.0416666666666667,IF(AND(OR(AG365="Allaitement",AG365="Sans déjeuner"),F365-D365&gt;0.166666666666667),F365-D365,F365-D365)))))))</f>
        <v>0.333333333333333</v>
      </c>
      <c r="P365" s="6" t="str">
        <f aca="false">IFERROR(VLOOKUP($B365,Agents!$A:$D,2,0),"-")</f>
        <v>Accessibilité</v>
      </c>
      <c r="Q365" s="21" t="n">
        <v>46072</v>
      </c>
      <c r="R365" s="8" t="n">
        <f aca="false">IF(M365="Abs",O365,0)</f>
        <v>0</v>
      </c>
      <c r="S365" s="8" t="n">
        <f aca="false">SUM(R365,L365,I365,J365,W365,H365)</f>
        <v>0</v>
      </c>
      <c r="T365" s="6" t="str">
        <f aca="false">"Sem - "&amp;WEEKNUM(Q365,21)</f>
        <v>Sem - 8</v>
      </c>
      <c r="U365" s="6" t="str">
        <f aca="false">CHOOSE(MONTH(Q365),"Janvier","Février","Mars","Avril","Mai","Juin","Juillet","Août","Septembre","Octobre","Novembre","Décembre")</f>
        <v>Février</v>
      </c>
      <c r="V365" s="22" t="n">
        <f aca="false">YEAR(Q365)</f>
        <v>2026</v>
      </c>
      <c r="W365" s="20"/>
      <c r="X365" s="8" t="n">
        <f aca="false">IFERROR(IF(M365="Abs",0,IF(ROUND((D365-C365+E365-F365)*1440,0)&lt;=1,0,D365-C365+E365-F365)),0)</f>
        <v>0</v>
      </c>
      <c r="Y365" s="6" t="str">
        <f aca="false">IFERROR(VLOOKUP($B365,Agents!$A:$D,3,0),"-")</f>
        <v>OUBRAHIM Mohammed</v>
      </c>
      <c r="Z365" s="6" t="str">
        <f aca="false">IFERROR(VLOOKUP($B365,Agents!$A:$D,4,0),"-")</f>
        <v>Credit Mutuel</v>
      </c>
      <c r="AA365" s="18" t="s">
        <v>89</v>
      </c>
      <c r="AB365" s="8" t="str">
        <f aca="false">IF(AND(D365="Congé",F365="Congé"),0.333333333333333,IF(OR(AND(D365="Congé",F365&lt;&gt;"Congé"),(AND(F365="Congé",D365&lt;&gt;"Congé"))),0.166666666666667,""))</f>
        <v/>
      </c>
      <c r="AC365" s="8" t="str">
        <f aca="false">IF(AND(D365="Congé sans solde",F365="Congé sans solde"),0.333333333333333,IF(OR(AND(D365="Congé sans solde",F365&lt;&gt;"Congé sans solde"),(AND(F365="Congé sans solde",D365&lt;&gt;"Congé sans solde"))),0.166666666666667,""))</f>
        <v/>
      </c>
      <c r="AD365" s="8" t="str">
        <f aca="false">IF(AND(D365="Congé spécial",F365="Congé spécial"),0.333333333333333,IF(OR(AND(D365="Congé spécial",F365&lt;&gt;"Congé spécial"),AND(F365="Congé spécial",D365&lt;&gt;"Congé spécial")),0.166666666666667,""))</f>
        <v/>
      </c>
      <c r="AE365" s="8" t="str">
        <f aca="false">IF(AND(D365="Férié",F365="Férié"),0.333333333333333,IF(OR(AND(D365="Férié",F365&lt;&gt;"Férié"),(AND(F365="Férié",D365&lt;&gt;"Férié"))),0.166666666666667,""))</f>
        <v/>
      </c>
      <c r="AF365" s="18"/>
      <c r="AG365" s="18"/>
    </row>
    <row r="366" customFormat="false" ht="15" hidden="false" customHeight="false" outlineLevel="0" collapsed="false">
      <c r="A366" s="6" t="str">
        <f aca="false">YEAR(Q366-WEEKDAY(Q366,2)+4)&amp;"-S"&amp;TEXT(WEEKNUM(Q366,21),"00")</f>
        <v>2026-S08</v>
      </c>
      <c r="B366" s="18" t="s">
        <v>69</v>
      </c>
      <c r="C366" s="19" t="n">
        <v>0.333333333333333</v>
      </c>
      <c r="D366" s="19" t="n">
        <v>0.333333333333333</v>
      </c>
      <c r="E366" s="19" t="n">
        <v>0.666666666666667</v>
      </c>
      <c r="F366" s="19" t="n">
        <v>0.666666666666667</v>
      </c>
      <c r="G366" s="20"/>
      <c r="H366" s="20"/>
      <c r="I366" s="8" t="str">
        <f aca="false">IF(IF(OR(C366="",D366="Congé",D366="OFF",D366="Congé spécial"),"",IF(D366&gt;F366,D366-C366,IF(C366-D366&lt;0,0,C366-D366)))&lt;0.00068287037037037,"",IF(OR(D366="Congé",D366="OFF",C366="",D366="Congé spécial"),"",IF(D366&gt;F366,D366-C366,IF(C366-D366&lt;0,0,C366-D366))))</f>
        <v/>
      </c>
      <c r="J366" s="20"/>
      <c r="K366" s="8" t="n">
        <f aca="false">IF(SUM(H366:J366)&lt;0.00068287037037037,0,SUM(H366:J366))</f>
        <v>0</v>
      </c>
      <c r="L366" s="8" t="n">
        <f aca="false">IF(OR(F366="Congé",F366="OFF",M366="Abs",F366="Congé sans solde",F366="Férié",F366="Congé spécial",D366="Congé spécial"),0,IF(F366-E366&lt;0,0,IF(F366-E366&lt;=0.00068287037037037,0,F366-E366)))</f>
        <v>0</v>
      </c>
      <c r="M366" s="6" t="n">
        <f aca="false">IF(AND(O366&lt;&gt;0,C366=""),"Abs",0)</f>
        <v>0</v>
      </c>
      <c r="N366" s="8" t="n">
        <f aca="false">IFERROR(IF(OR(D366="OFF",D366="Congé",M366="Abs",D366="Congé sans solde",D366="Férié"),"",IF(O366-K366-L366&gt;O366,O366,IF(O366-K366-L366&lt;0,"",O366-K366-L366))),"")</f>
        <v>0.291666666666667</v>
      </c>
      <c r="O366" s="8" t="n">
        <f aca="false">IF(AG366="2H Pause déjeuner",IF(F366-D366-0.0833333333333333&lt;0,F366-D366-0.0833333333333333+1,F366-D366-0.0833333333333333),IF(OR(AND(F366="OFF",D366="OFF"),AND(F366="Congé",D366="Congé"),AND(F366="Congé sans solde",D366="Congé sans solde"),AND(F366="Congé spécial",D366="Congé spécial"),AND(F366="Férié",D366="Férié"),AND(F366="OFF",D366="Congé"),AND(F366="OFF",D366="Congé sans solde"),AND(F366="OFF",D366="Congé spécial"),AND(F366="OFF",D366="Férié"),AND(F366="Congé",D366="OFF"),AND(F366="Congé",D366="Congé sans solde"),AND(F366="Congé",D366="Congé spécial"),AND(F366="Congé",D366="Férié"),AND(F366="Congé sans solde",D366="OFF"),AND(F366="Congé sans solde",D366="Congé"),AND(F366="Congé sans solde",D366="Congé spécial"),AND(F366="Congé sans solde",D366="Férié"),AND(F366="Congé spécial",D366="OFF"),AND(F366="Congé spécial",D366="Congé"),AND(F366="Congé spécial",D366="Congé sans solde"),AND(F366="Congé spécial",D366="Férié"),AND(F366="Férié",D366="OFF"),AND(F366="Férié",D366="Congé"),AND(F366="Férié",D366="Congé sans solde"),AND(F366="Férié",D366="Congé spécial")),0,IF(OR(F366="OFF",F366="Congé",F366="Congé spécial",F366="Congé sans solde",D366="OFF",D366="Congé",D366="Congé spécial",D366="Congé sans solde"),0.208333333333334,IF(AND(AG366="",F366-D366&lt;0),("24:00:00"-D366)+("00:00:00"+F366)-0.0416666666666667,IF(AND(OR(AG366="Allaitement",AG366="Sans déjeuner"),F366-D366&lt;0),("24:00:00"-D366)+("00:00:00"+F366),IF(AND(AG366="",F366-D366&gt;0.166666666666667),F366-D366-0.0416666666666667,IF(AND(OR(AG366="Allaitement",AG366="Sans déjeuner"),F366-D366&gt;0.166666666666667),F366-D366,F366-D366)))))))</f>
        <v>0.291666666666667</v>
      </c>
      <c r="P366" s="6" t="str">
        <f aca="false">IFERROR(VLOOKUP($B366,Agents!$A:$D,2,0),"-")</f>
        <v>Accessibilité</v>
      </c>
      <c r="Q366" s="21" t="n">
        <v>46073</v>
      </c>
      <c r="R366" s="8" t="n">
        <f aca="false">IF(M366="Abs",O366,0)</f>
        <v>0</v>
      </c>
      <c r="S366" s="8" t="n">
        <f aca="false">SUM(R366,L366,I366,J366,W366,H366)</f>
        <v>0</v>
      </c>
      <c r="T366" s="6" t="str">
        <f aca="false">"Sem - "&amp;WEEKNUM(Q366,21)</f>
        <v>Sem - 8</v>
      </c>
      <c r="U366" s="6" t="str">
        <f aca="false">CHOOSE(MONTH(Q366),"Janvier","Février","Mars","Avril","Mai","Juin","Juillet","Août","Septembre","Octobre","Novembre","Décembre")</f>
        <v>Février</v>
      </c>
      <c r="V366" s="22" t="n">
        <f aca="false">YEAR(Q366)</f>
        <v>2026</v>
      </c>
      <c r="W366" s="20"/>
      <c r="X366" s="8" t="n">
        <f aca="false">IFERROR(IF(M366="Abs",0,IF(ROUND((D366-C366+E366-F366)*1440,0)&lt;=1,0,D366-C366+E366-F366)),0)</f>
        <v>0</v>
      </c>
      <c r="Y366" s="6" t="str">
        <f aca="false">IFERROR(VLOOKUP($B366,Agents!$A:$D,3,0),"-")</f>
        <v>OUBRAHIM Mohammed</v>
      </c>
      <c r="Z366" s="6" t="str">
        <f aca="false">IFERROR(VLOOKUP($B366,Agents!$A:$D,4,0),"-")</f>
        <v>Credit Mutuel</v>
      </c>
      <c r="AA366" s="18" t="s">
        <v>89</v>
      </c>
      <c r="AB366" s="8" t="str">
        <f aca="false">IF(AND(D366="Congé",F366="Congé"),0.333333333333333,IF(OR(AND(D366="Congé",F366&lt;&gt;"Congé"),(AND(F366="Congé",D366&lt;&gt;"Congé"))),0.166666666666667,""))</f>
        <v/>
      </c>
      <c r="AC366" s="8" t="str">
        <f aca="false">IF(AND(D366="Congé sans solde",F366="Congé sans solde"),0.333333333333333,IF(OR(AND(D366="Congé sans solde",F366&lt;&gt;"Congé sans solde"),(AND(F366="Congé sans solde",D366&lt;&gt;"Congé sans solde"))),0.166666666666667,""))</f>
        <v/>
      </c>
      <c r="AD366" s="8" t="str">
        <f aca="false">IF(AND(D366="Congé spécial",F366="Congé spécial"),0.333333333333333,IF(OR(AND(D366="Congé spécial",F366&lt;&gt;"Congé spécial"),AND(F366="Congé spécial",D366&lt;&gt;"Congé spécial")),0.166666666666667,""))</f>
        <v/>
      </c>
      <c r="AE366" s="8" t="str">
        <f aca="false">IF(AND(D366="Férié",F366="Férié"),0.333333333333333,IF(OR(AND(D366="Férié",F366&lt;&gt;"Férié"),(AND(F366="Férié",D366&lt;&gt;"Férié"))),0.166666666666667,""))</f>
        <v/>
      </c>
      <c r="AF366" s="18"/>
      <c r="AG366" s="18"/>
    </row>
    <row r="367" customFormat="false" ht="15" hidden="false" customHeight="false" outlineLevel="0" collapsed="false">
      <c r="A367" s="6" t="str">
        <f aca="false">YEAR(Q367-WEEKDAY(Q367,2)+4)&amp;"-S"&amp;TEXT(WEEKNUM(Q367,21),"00")</f>
        <v>2026-S08</v>
      </c>
      <c r="B367" s="18" t="s">
        <v>71</v>
      </c>
      <c r="C367" s="19" t="n">
        <v>0.333333333333333</v>
      </c>
      <c r="D367" s="19" t="n">
        <v>0.333333333333333</v>
      </c>
      <c r="E367" s="19" t="n">
        <v>0.666666666666667</v>
      </c>
      <c r="F367" s="19" t="n">
        <v>0.666666666666667</v>
      </c>
      <c r="G367" s="20"/>
      <c r="H367" s="20"/>
      <c r="I367" s="8" t="str">
        <f aca="false">IF(IF(OR(C367="",D367="Congé",D367="OFF",D367="Congé spécial"),"",IF(D367&gt;F367,D367-C367,IF(C367-D367&lt;0,0,C367-D367)))&lt;0.00068287037037037,"",IF(OR(D367="Congé",D367="OFF",C367="",D367="Congé spécial"),"",IF(D367&gt;F367,D367-C367,IF(C367-D367&lt;0,0,C367-D367))))</f>
        <v/>
      </c>
      <c r="J367" s="20"/>
      <c r="K367" s="8" t="n">
        <f aca="false">IF(SUM(H367:J367)&lt;0.00068287037037037,0,SUM(H367:J367))</f>
        <v>0</v>
      </c>
      <c r="L367" s="8" t="n">
        <f aca="false">IF(OR(F367="Congé",F367="OFF",M367="Abs",F367="Congé sans solde",F367="Férié",F367="Congé spécial",D367="Congé spécial"),0,IF(F367-E367&lt;0,0,IF(F367-E367&lt;=0.00068287037037037,0,F367-E367)))</f>
        <v>0</v>
      </c>
      <c r="M367" s="6" t="n">
        <f aca="false">IF(AND(O367&lt;&gt;0,C367=""),"Abs",0)</f>
        <v>0</v>
      </c>
      <c r="N367" s="8" t="n">
        <f aca="false">IFERROR(IF(OR(D367="OFF",D367="Congé",M367="Abs",D367="Congé sans solde",D367="Férié"),"",IF(O367-K367-L367&gt;O367,O367,IF(O367-K367-L367&lt;0,"",O367-K367-L367))),"")</f>
        <v>0.291666666666667</v>
      </c>
      <c r="O367" s="8" t="n">
        <f aca="false">IF(AG367="2H Pause déjeuner",IF(F367-D367-0.0833333333333333&lt;0,F367-D367-0.0833333333333333+1,F367-D367-0.0833333333333333),IF(OR(AND(F367="OFF",D367="OFF"),AND(F367="Congé",D367="Congé"),AND(F367="Congé sans solde",D367="Congé sans solde"),AND(F367="Congé spécial",D367="Congé spécial"),AND(F367="Férié",D367="Férié"),AND(F367="OFF",D367="Congé"),AND(F367="OFF",D367="Congé sans solde"),AND(F367="OFF",D367="Congé spécial"),AND(F367="OFF",D367="Férié"),AND(F367="Congé",D367="OFF"),AND(F367="Congé",D367="Congé sans solde"),AND(F367="Congé",D367="Congé spécial"),AND(F367="Congé",D367="Férié"),AND(F367="Congé sans solde",D367="OFF"),AND(F367="Congé sans solde",D367="Congé"),AND(F367="Congé sans solde",D367="Congé spécial"),AND(F367="Congé sans solde",D367="Férié"),AND(F367="Congé spécial",D367="OFF"),AND(F367="Congé spécial",D367="Congé"),AND(F367="Congé spécial",D367="Congé sans solde"),AND(F367="Congé spécial",D367="Férié"),AND(F367="Férié",D367="OFF"),AND(F367="Férié",D367="Congé"),AND(F367="Férié",D367="Congé sans solde"),AND(F367="Férié",D367="Congé spécial")),0,IF(OR(F367="OFF",F367="Congé",F367="Congé spécial",F367="Congé sans solde",D367="OFF",D367="Congé",D367="Congé spécial",D367="Congé sans solde"),0.208333333333334,IF(AND(AG367="",F367-D367&lt;0),("24:00:00"-D367)+("00:00:00"+F367)-0.0416666666666667,IF(AND(OR(AG367="Allaitement",AG367="Sans déjeuner"),F367-D367&lt;0),("24:00:00"-D367)+("00:00:00"+F367),IF(AND(AG367="",F367-D367&gt;0.166666666666667),F367-D367-0.0416666666666667,IF(AND(OR(AG367="Allaitement",AG367="Sans déjeuner"),F367-D367&gt;0.166666666666667),F367-D367,F367-D367)))))))</f>
        <v>0.291666666666667</v>
      </c>
      <c r="P367" s="6" t="str">
        <f aca="false">IFERROR(VLOOKUP($B367,Agents!$A:$D,2,0),"-")</f>
        <v>Accessibilité</v>
      </c>
      <c r="Q367" s="21" t="n">
        <v>46073</v>
      </c>
      <c r="R367" s="8" t="n">
        <f aca="false">IF(M367="Abs",O367,0)</f>
        <v>0</v>
      </c>
      <c r="S367" s="8" t="n">
        <f aca="false">SUM(R367,L367,I367,J367,W367,H367)</f>
        <v>0</v>
      </c>
      <c r="T367" s="6" t="str">
        <f aca="false">"Sem - "&amp;WEEKNUM(Q367,21)</f>
        <v>Sem - 8</v>
      </c>
      <c r="U367" s="6" t="str">
        <f aca="false">CHOOSE(MONTH(Q367),"Janvier","Février","Mars","Avril","Mai","Juin","Juillet","Août","Septembre","Octobre","Novembre","Décembre")</f>
        <v>Février</v>
      </c>
      <c r="V367" s="22" t="n">
        <f aca="false">YEAR(Q367)</f>
        <v>2026</v>
      </c>
      <c r="W367" s="20"/>
      <c r="X367" s="8" t="n">
        <f aca="false">IFERROR(IF(M367="Abs",0,IF(ROUND((D367-C367+E367-F367)*1440,0)&lt;=1,0,D367-C367+E367-F367)),0)</f>
        <v>0</v>
      </c>
      <c r="Y367" s="6" t="str">
        <f aca="false">IFERROR(VLOOKUP($B367,Agents!$A:$D,3,0),"-")</f>
        <v>OUBRAHIM Mohammed</v>
      </c>
      <c r="Z367" s="6" t="str">
        <f aca="false">IFERROR(VLOOKUP($B367,Agents!$A:$D,4,0),"-")</f>
        <v>Credit Mutuel</v>
      </c>
      <c r="AA367" s="18" t="s">
        <v>89</v>
      </c>
      <c r="AB367" s="8" t="str">
        <f aca="false">IF(AND(D367="Congé",F367="Congé"),0.333333333333333,IF(OR(AND(D367="Congé",F367&lt;&gt;"Congé"),(AND(F367="Congé",D367&lt;&gt;"Congé"))),0.166666666666667,""))</f>
        <v/>
      </c>
      <c r="AC367" s="8" t="str">
        <f aca="false">IF(AND(D367="Congé sans solde",F367="Congé sans solde"),0.333333333333333,IF(OR(AND(D367="Congé sans solde",F367&lt;&gt;"Congé sans solde"),(AND(F367="Congé sans solde",D367&lt;&gt;"Congé sans solde"))),0.166666666666667,""))</f>
        <v/>
      </c>
      <c r="AD367" s="8" t="str">
        <f aca="false">IF(AND(D367="Congé spécial",F367="Congé spécial"),0.333333333333333,IF(OR(AND(D367="Congé spécial",F367&lt;&gt;"Congé spécial"),AND(F367="Congé spécial",D367&lt;&gt;"Congé spécial")),0.166666666666667,""))</f>
        <v/>
      </c>
      <c r="AE367" s="8" t="str">
        <f aca="false">IF(AND(D367="Férié",F367="Férié"),0.333333333333333,IF(OR(AND(D367="Férié",F367&lt;&gt;"Férié"),(AND(F367="Férié",D367&lt;&gt;"Férié"))),0.166666666666667,""))</f>
        <v/>
      </c>
      <c r="AF367" s="18"/>
      <c r="AG367" s="18"/>
    </row>
    <row r="368" customFormat="false" ht="15" hidden="false" customHeight="false" outlineLevel="0" collapsed="false">
      <c r="A368" s="6" t="str">
        <f aca="false">YEAR(Q368-WEEKDAY(Q368,2)+4)&amp;"-S"&amp;TEXT(WEEKNUM(Q368,21),"00")</f>
        <v>2026-S08</v>
      </c>
      <c r="B368" s="18" t="s">
        <v>72</v>
      </c>
      <c r="C368" s="19" t="n">
        <v>0.333333333333333</v>
      </c>
      <c r="D368" s="19" t="n">
        <v>0.333333333333333</v>
      </c>
      <c r="E368" s="19" t="n">
        <v>0.666666666666667</v>
      </c>
      <c r="F368" s="19" t="n">
        <v>0.666666666666667</v>
      </c>
      <c r="G368" s="20"/>
      <c r="H368" s="20"/>
      <c r="I368" s="8" t="str">
        <f aca="false">IF(IF(OR(C368="",D368="Congé",D368="OFF",D368="Congé spécial"),"",IF(D368&gt;F368,D368-C368,IF(C368-D368&lt;0,0,C368-D368)))&lt;0.00068287037037037,"",IF(OR(D368="Congé",D368="OFF",C368="",D368="Congé spécial"),"",IF(D368&gt;F368,D368-C368,IF(C368-D368&lt;0,0,C368-D368))))</f>
        <v/>
      </c>
      <c r="J368" s="20"/>
      <c r="K368" s="8" t="n">
        <f aca="false">IF(SUM(H368:J368)&lt;0.00068287037037037,0,SUM(H368:J368))</f>
        <v>0</v>
      </c>
      <c r="L368" s="8" t="n">
        <f aca="false">IF(OR(F368="Congé",F368="OFF",M368="Abs",F368="Congé sans solde",F368="Férié",F368="Congé spécial",D368="Congé spécial"),0,IF(F368-E368&lt;0,0,IF(F368-E368&lt;=0.00068287037037037,0,F368-E368)))</f>
        <v>0</v>
      </c>
      <c r="M368" s="6" t="n">
        <f aca="false">IF(AND(O368&lt;&gt;0,C368=""),"Abs",0)</f>
        <v>0</v>
      </c>
      <c r="N368" s="8" t="n">
        <f aca="false">IFERROR(IF(OR(D368="OFF",D368="Congé",M368="Abs",D368="Congé sans solde",D368="Férié"),"",IF(O368-K368-L368&gt;O368,O368,IF(O368-K368-L368&lt;0,"",O368-K368-L368))),"")</f>
        <v>0.291666666666667</v>
      </c>
      <c r="O368" s="8" t="n">
        <f aca="false">IF(AG368="2H Pause déjeuner",IF(F368-D368-0.0833333333333333&lt;0,F368-D368-0.0833333333333333+1,F368-D368-0.0833333333333333),IF(OR(AND(F368="OFF",D368="OFF"),AND(F368="Congé",D368="Congé"),AND(F368="Congé sans solde",D368="Congé sans solde"),AND(F368="Congé spécial",D368="Congé spécial"),AND(F368="Férié",D368="Férié"),AND(F368="OFF",D368="Congé"),AND(F368="OFF",D368="Congé sans solde"),AND(F368="OFF",D368="Congé spécial"),AND(F368="OFF",D368="Férié"),AND(F368="Congé",D368="OFF"),AND(F368="Congé",D368="Congé sans solde"),AND(F368="Congé",D368="Congé spécial"),AND(F368="Congé",D368="Férié"),AND(F368="Congé sans solde",D368="OFF"),AND(F368="Congé sans solde",D368="Congé"),AND(F368="Congé sans solde",D368="Congé spécial"),AND(F368="Congé sans solde",D368="Férié"),AND(F368="Congé spécial",D368="OFF"),AND(F368="Congé spécial",D368="Congé"),AND(F368="Congé spécial",D368="Congé sans solde"),AND(F368="Congé spécial",D368="Férié"),AND(F368="Férié",D368="OFF"),AND(F368="Férié",D368="Congé"),AND(F368="Férié",D368="Congé sans solde"),AND(F368="Férié",D368="Congé spécial")),0,IF(OR(F368="OFF",F368="Congé",F368="Congé spécial",F368="Congé sans solde",D368="OFF",D368="Congé",D368="Congé spécial",D368="Congé sans solde"),0.208333333333334,IF(AND(AG368="",F368-D368&lt;0),("24:00:00"-D368)+("00:00:00"+F368)-0.0416666666666667,IF(AND(OR(AG368="Allaitement",AG368="Sans déjeuner"),F368-D368&lt;0),("24:00:00"-D368)+("00:00:00"+F368),IF(AND(AG368="",F368-D368&gt;0.166666666666667),F368-D368-0.0416666666666667,IF(AND(OR(AG368="Allaitement",AG368="Sans déjeuner"),F368-D368&gt;0.166666666666667),F368-D368,F368-D368)))))))</f>
        <v>0.291666666666667</v>
      </c>
      <c r="P368" s="6" t="str">
        <f aca="false">IFERROR(VLOOKUP($B368,Agents!$A:$D,2,0),"-")</f>
        <v>Accessibilité</v>
      </c>
      <c r="Q368" s="21" t="n">
        <v>46073</v>
      </c>
      <c r="R368" s="8" t="n">
        <f aca="false">IF(M368="Abs",O368,0)</f>
        <v>0</v>
      </c>
      <c r="S368" s="8" t="n">
        <f aca="false">SUM(R368,L368,I368,J368,W368,H368)</f>
        <v>0</v>
      </c>
      <c r="T368" s="6" t="str">
        <f aca="false">"Sem - "&amp;WEEKNUM(Q368,21)</f>
        <v>Sem - 8</v>
      </c>
      <c r="U368" s="6" t="str">
        <f aca="false">CHOOSE(MONTH(Q368),"Janvier","Février","Mars","Avril","Mai","Juin","Juillet","Août","Septembre","Octobre","Novembre","Décembre")</f>
        <v>Février</v>
      </c>
      <c r="V368" s="22" t="n">
        <f aca="false">YEAR(Q368)</f>
        <v>2026</v>
      </c>
      <c r="W368" s="20"/>
      <c r="X368" s="8" t="n">
        <f aca="false">IFERROR(IF(M368="Abs",0,IF(ROUND((D368-C368+E368-F368)*1440,0)&lt;=1,0,D368-C368+E368-F368)),0)</f>
        <v>0</v>
      </c>
      <c r="Y368" s="6" t="str">
        <f aca="false">IFERROR(VLOOKUP($B368,Agents!$A:$D,3,0),"-")</f>
        <v>OUBRAHIM Mohammed</v>
      </c>
      <c r="Z368" s="6" t="str">
        <f aca="false">IFERROR(VLOOKUP($B368,Agents!$A:$D,4,0),"-")</f>
        <v>Credit Mutuel</v>
      </c>
      <c r="AA368" s="18" t="s">
        <v>89</v>
      </c>
      <c r="AB368" s="8" t="str">
        <f aca="false">IF(AND(D368="Congé",F368="Congé"),0.333333333333333,IF(OR(AND(D368="Congé",F368&lt;&gt;"Congé"),(AND(F368="Congé",D368&lt;&gt;"Congé"))),0.166666666666667,""))</f>
        <v/>
      </c>
      <c r="AC368" s="8" t="str">
        <f aca="false">IF(AND(D368="Congé sans solde",F368="Congé sans solde"),0.333333333333333,IF(OR(AND(D368="Congé sans solde",F368&lt;&gt;"Congé sans solde"),(AND(F368="Congé sans solde",D368&lt;&gt;"Congé sans solde"))),0.166666666666667,""))</f>
        <v/>
      </c>
      <c r="AD368" s="8" t="str">
        <f aca="false">IF(AND(D368="Congé spécial",F368="Congé spécial"),0.333333333333333,IF(OR(AND(D368="Congé spécial",F368&lt;&gt;"Congé spécial"),AND(F368="Congé spécial",D368&lt;&gt;"Congé spécial")),0.166666666666667,""))</f>
        <v/>
      </c>
      <c r="AE368" s="8" t="str">
        <f aca="false">IF(AND(D368="Férié",F368="Férié"),0.333333333333333,IF(OR(AND(D368="Férié",F368&lt;&gt;"Férié"),(AND(F368="Férié",D368&lt;&gt;"Férié"))),0.166666666666667,""))</f>
        <v/>
      </c>
      <c r="AF368" s="18"/>
      <c r="AG368" s="18"/>
    </row>
    <row r="369" customFormat="false" ht="15" hidden="false" customHeight="false" outlineLevel="0" collapsed="false">
      <c r="A369" s="6" t="str">
        <f aca="false">YEAR(Q369-WEEKDAY(Q369,2)+4)&amp;"-S"&amp;TEXT(WEEKNUM(Q369,21),"00")</f>
        <v>2026-S08</v>
      </c>
      <c r="B369" s="18" t="s">
        <v>73</v>
      </c>
      <c r="C369" s="19" t="n">
        <v>0.333333333333333</v>
      </c>
      <c r="D369" s="19" t="n">
        <v>0.333333333333333</v>
      </c>
      <c r="E369" s="19" t="n">
        <v>0.666666666666667</v>
      </c>
      <c r="F369" s="19" t="n">
        <v>0.666666666666667</v>
      </c>
      <c r="G369" s="20"/>
      <c r="H369" s="20"/>
      <c r="I369" s="8" t="str">
        <f aca="false">IF(IF(OR(C369="",D369="Congé",D369="OFF",D369="Congé spécial"),"",IF(D369&gt;F369,D369-C369,IF(C369-D369&lt;0,0,C369-D369)))&lt;0.00068287037037037,"",IF(OR(D369="Congé",D369="OFF",C369="",D369="Congé spécial"),"",IF(D369&gt;F369,D369-C369,IF(C369-D369&lt;0,0,C369-D369))))</f>
        <v/>
      </c>
      <c r="J369" s="20"/>
      <c r="K369" s="8" t="n">
        <f aca="false">IF(SUM(H369:J369)&lt;0.00068287037037037,0,SUM(H369:J369))</f>
        <v>0</v>
      </c>
      <c r="L369" s="8" t="n">
        <f aca="false">IF(OR(F369="Congé",F369="OFF",M369="Abs",F369="Congé sans solde",F369="Férié",F369="Congé spécial",D369="Congé spécial"),0,IF(F369-E369&lt;0,0,IF(F369-E369&lt;=0.00068287037037037,0,F369-E369)))</f>
        <v>0</v>
      </c>
      <c r="M369" s="6" t="n">
        <f aca="false">IF(AND(O369&lt;&gt;0,C369=""),"Abs",0)</f>
        <v>0</v>
      </c>
      <c r="N369" s="8" t="n">
        <f aca="false">IFERROR(IF(OR(D369="OFF",D369="Congé",M369="Abs",D369="Congé sans solde",D369="Férié"),"",IF(O369-K369-L369&gt;O369,O369,IF(O369-K369-L369&lt;0,"",O369-K369-L369))),"")</f>
        <v>0.291666666666667</v>
      </c>
      <c r="O369" s="8" t="n">
        <f aca="false">IF(AG369="2H Pause déjeuner",IF(F369-D369-0.0833333333333333&lt;0,F369-D369-0.0833333333333333+1,F369-D369-0.0833333333333333),IF(OR(AND(F369="OFF",D369="OFF"),AND(F369="Congé",D369="Congé"),AND(F369="Congé sans solde",D369="Congé sans solde"),AND(F369="Congé spécial",D369="Congé spécial"),AND(F369="Férié",D369="Férié"),AND(F369="OFF",D369="Congé"),AND(F369="OFF",D369="Congé sans solde"),AND(F369="OFF",D369="Congé spécial"),AND(F369="OFF",D369="Férié"),AND(F369="Congé",D369="OFF"),AND(F369="Congé",D369="Congé sans solde"),AND(F369="Congé",D369="Congé spécial"),AND(F369="Congé",D369="Férié"),AND(F369="Congé sans solde",D369="OFF"),AND(F369="Congé sans solde",D369="Congé"),AND(F369="Congé sans solde",D369="Congé spécial"),AND(F369="Congé sans solde",D369="Férié"),AND(F369="Congé spécial",D369="OFF"),AND(F369="Congé spécial",D369="Congé"),AND(F369="Congé spécial",D369="Congé sans solde"),AND(F369="Congé spécial",D369="Férié"),AND(F369="Férié",D369="OFF"),AND(F369="Férié",D369="Congé"),AND(F369="Férié",D369="Congé sans solde"),AND(F369="Férié",D369="Congé spécial")),0,IF(OR(F369="OFF",F369="Congé",F369="Congé spécial",F369="Congé sans solde",D369="OFF",D369="Congé",D369="Congé spécial",D369="Congé sans solde"),0.208333333333334,IF(AND(AG369="",F369-D369&lt;0),("24:00:00"-D369)+("00:00:00"+F369)-0.0416666666666667,IF(AND(OR(AG369="Allaitement",AG369="Sans déjeuner"),F369-D369&lt;0),("24:00:00"-D369)+("00:00:00"+F369),IF(AND(AG369="",F369-D369&gt;0.166666666666667),F369-D369-0.0416666666666667,IF(AND(OR(AG369="Allaitement",AG369="Sans déjeuner"),F369-D369&gt;0.166666666666667),F369-D369,F369-D369)))))))</f>
        <v>0.291666666666667</v>
      </c>
      <c r="P369" s="6" t="str">
        <f aca="false">IFERROR(VLOOKUP($B369,Agents!$A:$D,2,0),"-")</f>
        <v>Accessibilité</v>
      </c>
      <c r="Q369" s="21" t="n">
        <v>46073</v>
      </c>
      <c r="R369" s="8" t="n">
        <f aca="false">IF(M369="Abs",O369,0)</f>
        <v>0</v>
      </c>
      <c r="S369" s="8" t="n">
        <f aca="false">SUM(R369,L369,I369,J369,W369,H369)</f>
        <v>0</v>
      </c>
      <c r="T369" s="6" t="str">
        <f aca="false">"Sem - "&amp;WEEKNUM(Q369,21)</f>
        <v>Sem - 8</v>
      </c>
      <c r="U369" s="6" t="str">
        <f aca="false">CHOOSE(MONTH(Q369),"Janvier","Février","Mars","Avril","Mai","Juin","Juillet","Août","Septembre","Octobre","Novembre","Décembre")</f>
        <v>Février</v>
      </c>
      <c r="V369" s="22" t="n">
        <f aca="false">YEAR(Q369)</f>
        <v>2026</v>
      </c>
      <c r="W369" s="20"/>
      <c r="X369" s="8" t="n">
        <f aca="false">IFERROR(IF(M369="Abs",0,IF(ROUND((D369-C369+E369-F369)*1440,0)&lt;=1,0,D369-C369+E369-F369)),0)</f>
        <v>0</v>
      </c>
      <c r="Y369" s="6" t="str">
        <f aca="false">IFERROR(VLOOKUP($B369,Agents!$A:$D,3,0),"-")</f>
        <v>OUBRAHIM Mohammed</v>
      </c>
      <c r="Z369" s="6" t="str">
        <f aca="false">IFERROR(VLOOKUP($B369,Agents!$A:$D,4,0),"-")</f>
        <v>Credit Mutuel</v>
      </c>
      <c r="AA369" s="18" t="s">
        <v>89</v>
      </c>
      <c r="AB369" s="8" t="str">
        <f aca="false">IF(AND(D369="Congé",F369="Congé"),0.333333333333333,IF(OR(AND(D369="Congé",F369&lt;&gt;"Congé"),(AND(F369="Congé",D369&lt;&gt;"Congé"))),0.166666666666667,""))</f>
        <v/>
      </c>
      <c r="AC369" s="8" t="str">
        <f aca="false">IF(AND(D369="Congé sans solde",F369="Congé sans solde"),0.333333333333333,IF(OR(AND(D369="Congé sans solde",F369&lt;&gt;"Congé sans solde"),(AND(F369="Congé sans solde",D369&lt;&gt;"Congé sans solde"))),0.166666666666667,""))</f>
        <v/>
      </c>
      <c r="AD369" s="8" t="str">
        <f aca="false">IF(AND(D369="Congé spécial",F369="Congé spécial"),0.333333333333333,IF(OR(AND(D369="Congé spécial",F369&lt;&gt;"Congé spécial"),AND(F369="Congé spécial",D369&lt;&gt;"Congé spécial")),0.166666666666667,""))</f>
        <v/>
      </c>
      <c r="AE369" s="8" t="str">
        <f aca="false">IF(AND(D369="Férié",F369="Férié"),0.333333333333333,IF(OR(AND(D369="Férié",F369&lt;&gt;"Férié"),(AND(F369="Férié",D369&lt;&gt;"Férié"))),0.166666666666667,""))</f>
        <v/>
      </c>
      <c r="AF369" s="18"/>
      <c r="AG369" s="18"/>
    </row>
    <row r="370" customFormat="false" ht="15" hidden="false" customHeight="false" outlineLevel="0" collapsed="false">
      <c r="A370" s="6" t="str">
        <f aca="false">YEAR(Q370-WEEKDAY(Q370,2)+4)&amp;"-S"&amp;TEXT(WEEKNUM(Q370,21),"00")</f>
        <v>2026-S08</v>
      </c>
      <c r="B370" s="18" t="s">
        <v>69</v>
      </c>
      <c r="C370" s="19"/>
      <c r="D370" s="19" t="s">
        <v>74</v>
      </c>
      <c r="E370" s="19"/>
      <c r="F370" s="19" t="s">
        <v>74</v>
      </c>
      <c r="G370" s="20"/>
      <c r="H370" s="20"/>
      <c r="I370" s="8" t="str">
        <f aca="false">IF(IF(OR(C370="",D370="Congé",D370="OFF",D370="Congé spécial"),"",IF(D370&gt;F370,D370-C370,IF(C370-D370&lt;0,0,C370-D370)))&lt;0.00068287037037037,"",IF(OR(D370="Congé",D370="OFF",C370="",D370="Congé spécial"),"",IF(D370&gt;F370,D370-C370,IF(C370-D370&lt;0,0,C370-D370))))</f>
        <v/>
      </c>
      <c r="J370" s="20"/>
      <c r="K370" s="8" t="n">
        <f aca="false">IF(SUM(H370:J370)&lt;0.00068287037037037,0,SUM(H370:J370))</f>
        <v>0</v>
      </c>
      <c r="L370" s="8" t="n">
        <f aca="false">IF(OR(F370="Congé",F370="OFF",M370="Abs",F370="Congé sans solde",F370="Férié",F370="Congé spécial",D370="Congé spécial"),0,IF(F370-E370&lt;0,0,IF(F370-E370&lt;=0.00068287037037037,0,F370-E370)))</f>
        <v>0</v>
      </c>
      <c r="M370" s="6" t="n">
        <f aca="false">IF(AND(O370&lt;&gt;0,C370=""),"Abs",0)</f>
        <v>0</v>
      </c>
      <c r="N370" s="8" t="str">
        <f aca="false">IFERROR(IF(OR(D370="OFF",D370="Congé",M370="Abs",D370="Congé sans solde",D370="Férié"),"",IF(O370-K370-L370&gt;O370,O370,IF(O370-K370-L370&lt;0,"",O370-K370-L370))),"")</f>
        <v/>
      </c>
      <c r="O370" s="8" t="n">
        <f aca="false">IF(AG370="2H Pause déjeuner",IF(F370-D370-0.0833333333333333&lt;0,F370-D370-0.0833333333333333+1,F370-D370-0.0833333333333333),IF(OR(AND(F370="OFF",D370="OFF"),AND(F370="Congé",D370="Congé"),AND(F370="Congé sans solde",D370="Congé sans solde"),AND(F370="Congé spécial",D370="Congé spécial"),AND(F370="Férié",D370="Férié"),AND(F370="OFF",D370="Congé"),AND(F370="OFF",D370="Congé sans solde"),AND(F370="OFF",D370="Congé spécial"),AND(F370="OFF",D370="Férié"),AND(F370="Congé",D370="OFF"),AND(F370="Congé",D370="Congé sans solde"),AND(F370="Congé",D370="Congé spécial"),AND(F370="Congé",D370="Férié"),AND(F370="Congé sans solde",D370="OFF"),AND(F370="Congé sans solde",D370="Congé"),AND(F370="Congé sans solde",D370="Congé spécial"),AND(F370="Congé sans solde",D370="Férié"),AND(F370="Congé spécial",D370="OFF"),AND(F370="Congé spécial",D370="Congé"),AND(F370="Congé spécial",D370="Congé sans solde"),AND(F370="Congé spécial",D370="Férié"),AND(F370="Férié",D370="OFF"),AND(F370="Férié",D370="Congé"),AND(F370="Férié",D370="Congé sans solde"),AND(F370="Férié",D370="Congé spécial")),0,IF(OR(F370="OFF",F370="Congé",F370="Congé spécial",F370="Congé sans solde",D370="OFF",D370="Congé",D370="Congé spécial",D370="Congé sans solde"),0.208333333333334,IF(AND(AG370="",F370-D370&lt;0),("24:00:00"-D370)+("00:00:00"+F370)-0.0416666666666667,IF(AND(OR(AG370="Allaitement",AG370="Sans déjeuner"),F370-D370&lt;0),("24:00:00"-D370)+("00:00:00"+F370),IF(AND(AG370="",F370-D370&gt;0.166666666666667),F370-D370-0.0416666666666667,IF(AND(OR(AG370="Allaitement",AG370="Sans déjeuner"),F370-D370&gt;0.166666666666667),F370-D370,F370-D370)))))))</f>
        <v>0</v>
      </c>
      <c r="P370" s="6" t="str">
        <f aca="false">IFERROR(VLOOKUP($B370,Agents!$A:$D,2,0),"-")</f>
        <v>Accessibilité</v>
      </c>
      <c r="Q370" s="21" t="n">
        <v>46074</v>
      </c>
      <c r="R370" s="8" t="n">
        <f aca="false">IF(M370="Abs",O370,0)</f>
        <v>0</v>
      </c>
      <c r="S370" s="8" t="n">
        <f aca="false">SUM(R370,L370,I370,J370,W370,H370)</f>
        <v>0</v>
      </c>
      <c r="T370" s="6" t="str">
        <f aca="false">"Sem - "&amp;WEEKNUM(Q370,21)</f>
        <v>Sem - 8</v>
      </c>
      <c r="U370" s="6" t="str">
        <f aca="false">CHOOSE(MONTH(Q370),"Janvier","Février","Mars","Avril","Mai","Juin","Juillet","Août","Septembre","Octobre","Novembre","Décembre")</f>
        <v>Février</v>
      </c>
      <c r="V370" s="22" t="n">
        <f aca="false">YEAR(Q370)</f>
        <v>2026</v>
      </c>
      <c r="W370" s="20"/>
      <c r="X370" s="8" t="n">
        <f aca="false">IFERROR(IF(M370="Abs",0,IF(ROUND((D370-C370+E370-F370)*1440,0)&lt;=1,0,D370-C370+E370-F370)),0)</f>
        <v>0</v>
      </c>
      <c r="Y370" s="6" t="str">
        <f aca="false">IFERROR(VLOOKUP($B370,Agents!$A:$D,3,0),"-")</f>
        <v>OUBRAHIM Mohammed</v>
      </c>
      <c r="Z370" s="6" t="str">
        <f aca="false">IFERROR(VLOOKUP($B370,Agents!$A:$D,4,0),"-")</f>
        <v>Credit Mutuel</v>
      </c>
      <c r="AA370" s="18" t="s">
        <v>89</v>
      </c>
      <c r="AB370" s="8" t="str">
        <f aca="false">IF(AND(D370="Congé",F370="Congé"),0.333333333333333,IF(OR(AND(D370="Congé",F370&lt;&gt;"Congé"),(AND(F370="Congé",D370&lt;&gt;"Congé"))),0.166666666666667,""))</f>
        <v/>
      </c>
      <c r="AC370" s="8" t="str">
        <f aca="false">IF(AND(D370="Congé sans solde",F370="Congé sans solde"),0.333333333333333,IF(OR(AND(D370="Congé sans solde",F370&lt;&gt;"Congé sans solde"),(AND(F370="Congé sans solde",D370&lt;&gt;"Congé sans solde"))),0.166666666666667,""))</f>
        <v/>
      </c>
      <c r="AD370" s="8" t="str">
        <f aca="false">IF(AND(D370="Congé spécial",F370="Congé spécial"),0.333333333333333,IF(OR(AND(D370="Congé spécial",F370&lt;&gt;"Congé spécial"),AND(F370="Congé spécial",D370&lt;&gt;"Congé spécial")),0.166666666666667,""))</f>
        <v/>
      </c>
      <c r="AE370" s="8" t="str">
        <f aca="false">IF(AND(D370="Férié",F370="Férié"),0.333333333333333,IF(OR(AND(D370="Férié",F370&lt;&gt;"Férié"),(AND(F370="Férié",D370&lt;&gt;"Férié"))),0.166666666666667,""))</f>
        <v/>
      </c>
      <c r="AF370" s="18"/>
      <c r="AG370" s="18"/>
    </row>
    <row r="371" customFormat="false" ht="15" hidden="false" customHeight="false" outlineLevel="0" collapsed="false">
      <c r="A371" s="6" t="str">
        <f aca="false">YEAR(Q371-WEEKDAY(Q371,2)+4)&amp;"-S"&amp;TEXT(WEEKNUM(Q371,21),"00")</f>
        <v>2026-S08</v>
      </c>
      <c r="B371" s="18" t="s">
        <v>71</v>
      </c>
      <c r="C371" s="19"/>
      <c r="D371" s="19" t="s">
        <v>74</v>
      </c>
      <c r="E371" s="19"/>
      <c r="F371" s="19" t="s">
        <v>74</v>
      </c>
      <c r="G371" s="20"/>
      <c r="H371" s="20"/>
      <c r="I371" s="8" t="str">
        <f aca="false">IF(IF(OR(C371="",D371="Congé",D371="OFF",D371="Congé spécial"),"",IF(D371&gt;F371,D371-C371,IF(C371-D371&lt;0,0,C371-D371)))&lt;0.00068287037037037,"",IF(OR(D371="Congé",D371="OFF",C371="",D371="Congé spécial"),"",IF(D371&gt;F371,D371-C371,IF(C371-D371&lt;0,0,C371-D371))))</f>
        <v/>
      </c>
      <c r="J371" s="20"/>
      <c r="K371" s="8" t="n">
        <f aca="false">IF(SUM(H371:J371)&lt;0.00068287037037037,0,SUM(H371:J371))</f>
        <v>0</v>
      </c>
      <c r="L371" s="8" t="n">
        <f aca="false">IF(OR(F371="Congé",F371="OFF",M371="Abs",F371="Congé sans solde",F371="Férié",F371="Congé spécial",D371="Congé spécial"),0,IF(F371-E371&lt;0,0,IF(F371-E371&lt;=0.00068287037037037,0,F371-E371)))</f>
        <v>0</v>
      </c>
      <c r="M371" s="6" t="n">
        <f aca="false">IF(AND(O371&lt;&gt;0,C371=""),"Abs",0)</f>
        <v>0</v>
      </c>
      <c r="N371" s="8" t="str">
        <f aca="false">IFERROR(IF(OR(D371="OFF",D371="Congé",M371="Abs",D371="Congé sans solde",D371="Férié"),"",IF(O371-K371-L371&gt;O371,O371,IF(O371-K371-L371&lt;0,"",O371-K371-L371))),"")</f>
        <v/>
      </c>
      <c r="O371" s="8" t="n">
        <f aca="false">IF(AG371="2H Pause déjeuner",IF(F371-D371-0.0833333333333333&lt;0,F371-D371-0.0833333333333333+1,F371-D371-0.0833333333333333),IF(OR(AND(F371="OFF",D371="OFF"),AND(F371="Congé",D371="Congé"),AND(F371="Congé sans solde",D371="Congé sans solde"),AND(F371="Congé spécial",D371="Congé spécial"),AND(F371="Férié",D371="Férié"),AND(F371="OFF",D371="Congé"),AND(F371="OFF",D371="Congé sans solde"),AND(F371="OFF",D371="Congé spécial"),AND(F371="OFF",D371="Férié"),AND(F371="Congé",D371="OFF"),AND(F371="Congé",D371="Congé sans solde"),AND(F371="Congé",D371="Congé spécial"),AND(F371="Congé",D371="Férié"),AND(F371="Congé sans solde",D371="OFF"),AND(F371="Congé sans solde",D371="Congé"),AND(F371="Congé sans solde",D371="Congé spécial"),AND(F371="Congé sans solde",D371="Férié"),AND(F371="Congé spécial",D371="OFF"),AND(F371="Congé spécial",D371="Congé"),AND(F371="Congé spécial",D371="Congé sans solde"),AND(F371="Congé spécial",D371="Férié"),AND(F371="Férié",D371="OFF"),AND(F371="Férié",D371="Congé"),AND(F371="Férié",D371="Congé sans solde"),AND(F371="Férié",D371="Congé spécial")),0,IF(OR(F371="OFF",F371="Congé",F371="Congé spécial",F371="Congé sans solde",D371="OFF",D371="Congé",D371="Congé spécial",D371="Congé sans solde"),0.208333333333334,IF(AND(AG371="",F371-D371&lt;0),("24:00:00"-D371)+("00:00:00"+F371)-0.0416666666666667,IF(AND(OR(AG371="Allaitement",AG371="Sans déjeuner"),F371-D371&lt;0),("24:00:00"-D371)+("00:00:00"+F371),IF(AND(AG371="",F371-D371&gt;0.166666666666667),F371-D371-0.0416666666666667,IF(AND(OR(AG371="Allaitement",AG371="Sans déjeuner"),F371-D371&gt;0.166666666666667),F371-D371,F371-D371)))))))</f>
        <v>0</v>
      </c>
      <c r="P371" s="6" t="str">
        <f aca="false">IFERROR(VLOOKUP($B371,Agents!$A:$D,2,0),"-")</f>
        <v>Accessibilité</v>
      </c>
      <c r="Q371" s="21" t="n">
        <v>46074</v>
      </c>
      <c r="R371" s="8" t="n">
        <f aca="false">IF(M371="Abs",O371,0)</f>
        <v>0</v>
      </c>
      <c r="S371" s="8" t="n">
        <f aca="false">SUM(R371,L371,I371,J371,W371,H371)</f>
        <v>0</v>
      </c>
      <c r="T371" s="6" t="str">
        <f aca="false">"Sem - "&amp;WEEKNUM(Q371,21)</f>
        <v>Sem - 8</v>
      </c>
      <c r="U371" s="6" t="str">
        <f aca="false">CHOOSE(MONTH(Q371),"Janvier","Février","Mars","Avril","Mai","Juin","Juillet","Août","Septembre","Octobre","Novembre","Décembre")</f>
        <v>Février</v>
      </c>
      <c r="V371" s="22" t="n">
        <f aca="false">YEAR(Q371)</f>
        <v>2026</v>
      </c>
      <c r="W371" s="20"/>
      <c r="X371" s="8" t="n">
        <f aca="false">IFERROR(IF(M371="Abs",0,IF(ROUND((D371-C371+E371-F371)*1440,0)&lt;=1,0,D371-C371+E371-F371)),0)</f>
        <v>0</v>
      </c>
      <c r="Y371" s="6" t="str">
        <f aca="false">IFERROR(VLOOKUP($B371,Agents!$A:$D,3,0),"-")</f>
        <v>OUBRAHIM Mohammed</v>
      </c>
      <c r="Z371" s="6" t="str">
        <f aca="false">IFERROR(VLOOKUP($B371,Agents!$A:$D,4,0),"-")</f>
        <v>Credit Mutuel</v>
      </c>
      <c r="AA371" s="18" t="s">
        <v>89</v>
      </c>
      <c r="AB371" s="8" t="str">
        <f aca="false">IF(AND(D371="Congé",F371="Congé"),0.333333333333333,IF(OR(AND(D371="Congé",F371&lt;&gt;"Congé"),(AND(F371="Congé",D371&lt;&gt;"Congé"))),0.166666666666667,""))</f>
        <v/>
      </c>
      <c r="AC371" s="8" t="str">
        <f aca="false">IF(AND(D371="Congé sans solde",F371="Congé sans solde"),0.333333333333333,IF(OR(AND(D371="Congé sans solde",F371&lt;&gt;"Congé sans solde"),(AND(F371="Congé sans solde",D371&lt;&gt;"Congé sans solde"))),0.166666666666667,""))</f>
        <v/>
      </c>
      <c r="AD371" s="8" t="str">
        <f aca="false">IF(AND(D371="Congé spécial",F371="Congé spécial"),0.333333333333333,IF(OR(AND(D371="Congé spécial",F371&lt;&gt;"Congé spécial"),AND(F371="Congé spécial",D371&lt;&gt;"Congé spécial")),0.166666666666667,""))</f>
        <v/>
      </c>
      <c r="AE371" s="8" t="str">
        <f aca="false">IF(AND(D371="Férié",F371="Férié"),0.333333333333333,IF(OR(AND(D371="Férié",F371&lt;&gt;"Férié"),(AND(F371="Férié",D371&lt;&gt;"Férié"))),0.166666666666667,""))</f>
        <v/>
      </c>
      <c r="AF371" s="18"/>
      <c r="AG371" s="18"/>
    </row>
    <row r="372" customFormat="false" ht="15" hidden="false" customHeight="false" outlineLevel="0" collapsed="false">
      <c r="A372" s="6" t="str">
        <f aca="false">YEAR(Q372-WEEKDAY(Q372,2)+4)&amp;"-S"&amp;TEXT(WEEKNUM(Q372,21),"00")</f>
        <v>2026-S08</v>
      </c>
      <c r="B372" s="18" t="s">
        <v>72</v>
      </c>
      <c r="C372" s="19"/>
      <c r="D372" s="19" t="s">
        <v>74</v>
      </c>
      <c r="E372" s="19"/>
      <c r="F372" s="19" t="s">
        <v>74</v>
      </c>
      <c r="G372" s="20"/>
      <c r="H372" s="20"/>
      <c r="I372" s="8" t="str">
        <f aca="false">IF(IF(OR(C372="",D372="Congé",D372="OFF",D372="Congé spécial"),"",IF(D372&gt;F372,D372-C372,IF(C372-D372&lt;0,0,C372-D372)))&lt;0.00068287037037037,"",IF(OR(D372="Congé",D372="OFF",C372="",D372="Congé spécial"),"",IF(D372&gt;F372,D372-C372,IF(C372-D372&lt;0,0,C372-D372))))</f>
        <v/>
      </c>
      <c r="J372" s="20"/>
      <c r="K372" s="8" t="n">
        <f aca="false">IF(SUM(H372:J372)&lt;0.00068287037037037,0,SUM(H372:J372))</f>
        <v>0</v>
      </c>
      <c r="L372" s="8" t="n">
        <f aca="false">IF(OR(F372="Congé",F372="OFF",M372="Abs",F372="Congé sans solde",F372="Férié",F372="Congé spécial",D372="Congé spécial"),0,IF(F372-E372&lt;0,0,IF(F372-E372&lt;=0.00068287037037037,0,F372-E372)))</f>
        <v>0</v>
      </c>
      <c r="M372" s="6" t="n">
        <f aca="false">IF(AND(O372&lt;&gt;0,C372=""),"Abs",0)</f>
        <v>0</v>
      </c>
      <c r="N372" s="8" t="str">
        <f aca="false">IFERROR(IF(OR(D372="OFF",D372="Congé",M372="Abs",D372="Congé sans solde",D372="Férié"),"",IF(O372-K372-L372&gt;O372,O372,IF(O372-K372-L372&lt;0,"",O372-K372-L372))),"")</f>
        <v/>
      </c>
      <c r="O372" s="8" t="n">
        <f aca="false">IF(AG372="2H Pause déjeuner",IF(F372-D372-0.0833333333333333&lt;0,F372-D372-0.0833333333333333+1,F372-D372-0.0833333333333333),IF(OR(AND(F372="OFF",D372="OFF"),AND(F372="Congé",D372="Congé"),AND(F372="Congé sans solde",D372="Congé sans solde"),AND(F372="Congé spécial",D372="Congé spécial"),AND(F372="Férié",D372="Férié"),AND(F372="OFF",D372="Congé"),AND(F372="OFF",D372="Congé sans solde"),AND(F372="OFF",D372="Congé spécial"),AND(F372="OFF",D372="Férié"),AND(F372="Congé",D372="OFF"),AND(F372="Congé",D372="Congé sans solde"),AND(F372="Congé",D372="Congé spécial"),AND(F372="Congé",D372="Férié"),AND(F372="Congé sans solde",D372="OFF"),AND(F372="Congé sans solde",D372="Congé"),AND(F372="Congé sans solde",D372="Congé spécial"),AND(F372="Congé sans solde",D372="Férié"),AND(F372="Congé spécial",D372="OFF"),AND(F372="Congé spécial",D372="Congé"),AND(F372="Congé spécial",D372="Congé sans solde"),AND(F372="Congé spécial",D372="Férié"),AND(F372="Férié",D372="OFF"),AND(F372="Férié",D372="Congé"),AND(F372="Férié",D372="Congé sans solde"),AND(F372="Férié",D372="Congé spécial")),0,IF(OR(F372="OFF",F372="Congé",F372="Congé spécial",F372="Congé sans solde",D372="OFF",D372="Congé",D372="Congé spécial",D372="Congé sans solde"),0.208333333333334,IF(AND(AG372="",F372-D372&lt;0),("24:00:00"-D372)+("00:00:00"+F372)-0.0416666666666667,IF(AND(OR(AG372="Allaitement",AG372="Sans déjeuner"),F372-D372&lt;0),("24:00:00"-D372)+("00:00:00"+F372),IF(AND(AG372="",F372-D372&gt;0.166666666666667),F372-D372-0.0416666666666667,IF(AND(OR(AG372="Allaitement",AG372="Sans déjeuner"),F372-D372&gt;0.166666666666667),F372-D372,F372-D372)))))))</f>
        <v>0</v>
      </c>
      <c r="P372" s="6" t="str">
        <f aca="false">IFERROR(VLOOKUP($B372,Agents!$A:$D,2,0),"-")</f>
        <v>Accessibilité</v>
      </c>
      <c r="Q372" s="21" t="n">
        <v>46074</v>
      </c>
      <c r="R372" s="8" t="n">
        <f aca="false">IF(M372="Abs",O372,0)</f>
        <v>0</v>
      </c>
      <c r="S372" s="8" t="n">
        <f aca="false">SUM(R372,L372,I372,J372,W372,H372)</f>
        <v>0</v>
      </c>
      <c r="T372" s="6" t="str">
        <f aca="false">"Sem - "&amp;WEEKNUM(Q372,21)</f>
        <v>Sem - 8</v>
      </c>
      <c r="U372" s="6" t="str">
        <f aca="false">CHOOSE(MONTH(Q372),"Janvier","Février","Mars","Avril","Mai","Juin","Juillet","Août","Septembre","Octobre","Novembre","Décembre")</f>
        <v>Février</v>
      </c>
      <c r="V372" s="22" t="n">
        <f aca="false">YEAR(Q372)</f>
        <v>2026</v>
      </c>
      <c r="W372" s="20"/>
      <c r="X372" s="8" t="n">
        <f aca="false">IFERROR(IF(M372="Abs",0,IF(ROUND((D372-C372+E372-F372)*1440,0)&lt;=1,0,D372-C372+E372-F372)),0)</f>
        <v>0</v>
      </c>
      <c r="Y372" s="6" t="str">
        <f aca="false">IFERROR(VLOOKUP($B372,Agents!$A:$D,3,0),"-")</f>
        <v>OUBRAHIM Mohammed</v>
      </c>
      <c r="Z372" s="6" t="str">
        <f aca="false">IFERROR(VLOOKUP($B372,Agents!$A:$D,4,0),"-")</f>
        <v>Credit Mutuel</v>
      </c>
      <c r="AA372" s="18" t="s">
        <v>89</v>
      </c>
      <c r="AB372" s="8" t="str">
        <f aca="false">IF(AND(D372="Congé",F372="Congé"),0.333333333333333,IF(OR(AND(D372="Congé",F372&lt;&gt;"Congé"),(AND(F372="Congé",D372&lt;&gt;"Congé"))),0.166666666666667,""))</f>
        <v/>
      </c>
      <c r="AC372" s="8" t="str">
        <f aca="false">IF(AND(D372="Congé sans solde",F372="Congé sans solde"),0.333333333333333,IF(OR(AND(D372="Congé sans solde",F372&lt;&gt;"Congé sans solde"),(AND(F372="Congé sans solde",D372&lt;&gt;"Congé sans solde"))),0.166666666666667,""))</f>
        <v/>
      </c>
      <c r="AD372" s="8" t="str">
        <f aca="false">IF(AND(D372="Congé spécial",F372="Congé spécial"),0.333333333333333,IF(OR(AND(D372="Congé spécial",F372&lt;&gt;"Congé spécial"),AND(F372="Congé spécial",D372&lt;&gt;"Congé spécial")),0.166666666666667,""))</f>
        <v/>
      </c>
      <c r="AE372" s="8" t="str">
        <f aca="false">IF(AND(D372="Férié",F372="Férié"),0.333333333333333,IF(OR(AND(D372="Férié",F372&lt;&gt;"Férié"),(AND(F372="Férié",D372&lt;&gt;"Férié"))),0.166666666666667,""))</f>
        <v/>
      </c>
      <c r="AF372" s="18"/>
      <c r="AG372" s="18"/>
    </row>
    <row r="373" customFormat="false" ht="15" hidden="false" customHeight="false" outlineLevel="0" collapsed="false">
      <c r="A373" s="6" t="str">
        <f aca="false">YEAR(Q373-WEEKDAY(Q373,2)+4)&amp;"-S"&amp;TEXT(WEEKNUM(Q373,21),"00")</f>
        <v>2026-S08</v>
      </c>
      <c r="B373" s="18" t="s">
        <v>73</v>
      </c>
      <c r="C373" s="19"/>
      <c r="D373" s="19" t="s">
        <v>74</v>
      </c>
      <c r="E373" s="19"/>
      <c r="F373" s="19" t="s">
        <v>74</v>
      </c>
      <c r="G373" s="20"/>
      <c r="H373" s="20"/>
      <c r="I373" s="8" t="str">
        <f aca="false">IF(IF(OR(C373="",D373="Congé",D373="OFF",D373="Congé spécial"),"",IF(D373&gt;F373,D373-C373,IF(C373-D373&lt;0,0,C373-D373)))&lt;0.00068287037037037,"",IF(OR(D373="Congé",D373="OFF",C373="",D373="Congé spécial"),"",IF(D373&gt;F373,D373-C373,IF(C373-D373&lt;0,0,C373-D373))))</f>
        <v/>
      </c>
      <c r="J373" s="20"/>
      <c r="K373" s="8" t="n">
        <f aca="false">IF(SUM(H373:J373)&lt;0.00068287037037037,0,SUM(H373:J373))</f>
        <v>0</v>
      </c>
      <c r="L373" s="8" t="n">
        <f aca="false">IF(OR(F373="Congé",F373="OFF",M373="Abs",F373="Congé sans solde",F373="Férié",F373="Congé spécial",D373="Congé spécial"),0,IF(F373-E373&lt;0,0,IF(F373-E373&lt;=0.00068287037037037,0,F373-E373)))</f>
        <v>0</v>
      </c>
      <c r="M373" s="6" t="n">
        <f aca="false">IF(AND(O373&lt;&gt;0,C373=""),"Abs",0)</f>
        <v>0</v>
      </c>
      <c r="N373" s="8" t="str">
        <f aca="false">IFERROR(IF(OR(D373="OFF",D373="Congé",M373="Abs",D373="Congé sans solde",D373="Férié"),"",IF(O373-K373-L373&gt;O373,O373,IF(O373-K373-L373&lt;0,"",O373-K373-L373))),"")</f>
        <v/>
      </c>
      <c r="O373" s="8" t="n">
        <f aca="false">IF(AG373="2H Pause déjeuner",IF(F373-D373-0.0833333333333333&lt;0,F373-D373-0.0833333333333333+1,F373-D373-0.0833333333333333),IF(OR(AND(F373="OFF",D373="OFF"),AND(F373="Congé",D373="Congé"),AND(F373="Congé sans solde",D373="Congé sans solde"),AND(F373="Congé spécial",D373="Congé spécial"),AND(F373="Férié",D373="Férié"),AND(F373="OFF",D373="Congé"),AND(F373="OFF",D373="Congé sans solde"),AND(F373="OFF",D373="Congé spécial"),AND(F373="OFF",D373="Férié"),AND(F373="Congé",D373="OFF"),AND(F373="Congé",D373="Congé sans solde"),AND(F373="Congé",D373="Congé spécial"),AND(F373="Congé",D373="Férié"),AND(F373="Congé sans solde",D373="OFF"),AND(F373="Congé sans solde",D373="Congé"),AND(F373="Congé sans solde",D373="Congé spécial"),AND(F373="Congé sans solde",D373="Férié"),AND(F373="Congé spécial",D373="OFF"),AND(F373="Congé spécial",D373="Congé"),AND(F373="Congé spécial",D373="Congé sans solde"),AND(F373="Congé spécial",D373="Férié"),AND(F373="Férié",D373="OFF"),AND(F373="Férié",D373="Congé"),AND(F373="Férié",D373="Congé sans solde"),AND(F373="Férié",D373="Congé spécial")),0,IF(OR(F373="OFF",F373="Congé",F373="Congé spécial",F373="Congé sans solde",D373="OFF",D373="Congé",D373="Congé spécial",D373="Congé sans solde"),0.208333333333334,IF(AND(AG373="",F373-D373&lt;0),("24:00:00"-D373)+("00:00:00"+F373)-0.0416666666666667,IF(AND(OR(AG373="Allaitement",AG373="Sans déjeuner"),F373-D373&lt;0),("24:00:00"-D373)+("00:00:00"+F373),IF(AND(AG373="",F373-D373&gt;0.166666666666667),F373-D373-0.0416666666666667,IF(AND(OR(AG373="Allaitement",AG373="Sans déjeuner"),F373-D373&gt;0.166666666666667),F373-D373,F373-D373)))))))</f>
        <v>0</v>
      </c>
      <c r="P373" s="6" t="str">
        <f aca="false">IFERROR(VLOOKUP($B373,Agents!$A:$D,2,0),"-")</f>
        <v>Accessibilité</v>
      </c>
      <c r="Q373" s="21" t="n">
        <v>46074</v>
      </c>
      <c r="R373" s="8" t="n">
        <f aca="false">IF(M373="Abs",O373,0)</f>
        <v>0</v>
      </c>
      <c r="S373" s="8" t="n">
        <f aca="false">SUM(R373,L373,I373,J373,W373,H373)</f>
        <v>0</v>
      </c>
      <c r="T373" s="6" t="str">
        <f aca="false">"Sem - "&amp;WEEKNUM(Q373,21)</f>
        <v>Sem - 8</v>
      </c>
      <c r="U373" s="6" t="str">
        <f aca="false">CHOOSE(MONTH(Q373),"Janvier","Février","Mars","Avril","Mai","Juin","Juillet","Août","Septembre","Octobre","Novembre","Décembre")</f>
        <v>Février</v>
      </c>
      <c r="V373" s="22" t="n">
        <f aca="false">YEAR(Q373)</f>
        <v>2026</v>
      </c>
      <c r="W373" s="20"/>
      <c r="X373" s="8" t="n">
        <f aca="false">IFERROR(IF(M373="Abs",0,IF(ROUND((D373-C373+E373-F373)*1440,0)&lt;=1,0,D373-C373+E373-F373)),0)</f>
        <v>0</v>
      </c>
      <c r="Y373" s="6" t="str">
        <f aca="false">IFERROR(VLOOKUP($B373,Agents!$A:$D,3,0),"-")</f>
        <v>OUBRAHIM Mohammed</v>
      </c>
      <c r="Z373" s="6" t="str">
        <f aca="false">IFERROR(VLOOKUP($B373,Agents!$A:$D,4,0),"-")</f>
        <v>Credit Mutuel</v>
      </c>
      <c r="AA373" s="18" t="s">
        <v>89</v>
      </c>
      <c r="AB373" s="8" t="str">
        <f aca="false">IF(AND(D373="Congé",F373="Congé"),0.333333333333333,IF(OR(AND(D373="Congé",F373&lt;&gt;"Congé"),(AND(F373="Congé",D373&lt;&gt;"Congé"))),0.166666666666667,""))</f>
        <v/>
      </c>
      <c r="AC373" s="8" t="str">
        <f aca="false">IF(AND(D373="Congé sans solde",F373="Congé sans solde"),0.333333333333333,IF(OR(AND(D373="Congé sans solde",F373&lt;&gt;"Congé sans solde"),(AND(F373="Congé sans solde",D373&lt;&gt;"Congé sans solde"))),0.166666666666667,""))</f>
        <v/>
      </c>
      <c r="AD373" s="8" t="str">
        <f aca="false">IF(AND(D373="Congé spécial",F373="Congé spécial"),0.333333333333333,IF(OR(AND(D373="Congé spécial",F373&lt;&gt;"Congé spécial"),AND(F373="Congé spécial",D373&lt;&gt;"Congé spécial")),0.166666666666667,""))</f>
        <v/>
      </c>
      <c r="AE373" s="8" t="str">
        <f aca="false">IF(AND(D373="Férié",F373="Férié"),0.333333333333333,IF(OR(AND(D373="Férié",F373&lt;&gt;"Férié"),(AND(F373="Férié",D373&lt;&gt;"Férié"))),0.166666666666667,""))</f>
        <v/>
      </c>
      <c r="AF373" s="18"/>
      <c r="AG373" s="18"/>
    </row>
    <row r="374" customFormat="false" ht="15" hidden="false" customHeight="false" outlineLevel="0" collapsed="false">
      <c r="A374" s="6" t="str">
        <f aca="false">YEAR(Q374-WEEKDAY(Q374,2)+4)&amp;"-S"&amp;TEXT(WEEKNUM(Q374,21),"00")</f>
        <v>2026-S08</v>
      </c>
      <c r="B374" s="18" t="s">
        <v>69</v>
      </c>
      <c r="C374" s="19"/>
      <c r="D374" s="19" t="s">
        <v>74</v>
      </c>
      <c r="E374" s="19"/>
      <c r="F374" s="19" t="s">
        <v>74</v>
      </c>
      <c r="G374" s="20"/>
      <c r="H374" s="20"/>
      <c r="I374" s="8" t="str">
        <f aca="false">IF(IF(OR(C374="",D374="Congé",D374="OFF",D374="Congé spécial"),"",IF(D374&gt;F374,D374-C374,IF(C374-D374&lt;0,0,C374-D374)))&lt;0.00068287037037037,"",IF(OR(D374="Congé",D374="OFF",C374="",D374="Congé spécial"),"",IF(D374&gt;F374,D374-C374,IF(C374-D374&lt;0,0,C374-D374))))</f>
        <v/>
      </c>
      <c r="J374" s="20"/>
      <c r="K374" s="8" t="n">
        <f aca="false">IF(SUM(H374:J374)&lt;0.00068287037037037,0,SUM(H374:J374))</f>
        <v>0</v>
      </c>
      <c r="L374" s="8" t="n">
        <f aca="false">IF(OR(F374="Congé",F374="OFF",M374="Abs",F374="Congé sans solde",F374="Férié",F374="Congé spécial",D374="Congé spécial"),0,IF(F374-E374&lt;0,0,IF(F374-E374&lt;=0.00068287037037037,0,F374-E374)))</f>
        <v>0</v>
      </c>
      <c r="M374" s="6" t="n">
        <f aca="false">IF(AND(O374&lt;&gt;0,C374=""),"Abs",0)</f>
        <v>0</v>
      </c>
      <c r="N374" s="8" t="str">
        <f aca="false">IFERROR(IF(OR(D374="OFF",D374="Congé",M374="Abs",D374="Congé sans solde",D374="Férié"),"",IF(O374-K374-L374&gt;O374,O374,IF(O374-K374-L374&lt;0,"",O374-K374-L374))),"")</f>
        <v/>
      </c>
      <c r="O374" s="8" t="n">
        <f aca="false">IF(AG374="2H Pause déjeuner",IF(F374-D374-0.0833333333333333&lt;0,F374-D374-0.0833333333333333+1,F374-D374-0.0833333333333333),IF(OR(AND(F374="OFF",D374="OFF"),AND(F374="Congé",D374="Congé"),AND(F374="Congé sans solde",D374="Congé sans solde"),AND(F374="Congé spécial",D374="Congé spécial"),AND(F374="Férié",D374="Férié"),AND(F374="OFF",D374="Congé"),AND(F374="OFF",D374="Congé sans solde"),AND(F374="OFF",D374="Congé spécial"),AND(F374="OFF",D374="Férié"),AND(F374="Congé",D374="OFF"),AND(F374="Congé",D374="Congé sans solde"),AND(F374="Congé",D374="Congé spécial"),AND(F374="Congé",D374="Férié"),AND(F374="Congé sans solde",D374="OFF"),AND(F374="Congé sans solde",D374="Congé"),AND(F374="Congé sans solde",D374="Congé spécial"),AND(F374="Congé sans solde",D374="Férié"),AND(F374="Congé spécial",D374="OFF"),AND(F374="Congé spécial",D374="Congé"),AND(F374="Congé spécial",D374="Congé sans solde"),AND(F374="Congé spécial",D374="Férié"),AND(F374="Férié",D374="OFF"),AND(F374="Férié",D374="Congé"),AND(F374="Férié",D374="Congé sans solde"),AND(F374="Férié",D374="Congé spécial")),0,IF(OR(F374="OFF",F374="Congé",F374="Congé spécial",F374="Congé sans solde",D374="OFF",D374="Congé",D374="Congé spécial",D374="Congé sans solde"),0.208333333333334,IF(AND(AG374="",F374-D374&lt;0),("24:00:00"-D374)+("00:00:00"+F374)-0.0416666666666667,IF(AND(OR(AG374="Allaitement",AG374="Sans déjeuner"),F374-D374&lt;0),("24:00:00"-D374)+("00:00:00"+F374),IF(AND(AG374="",F374-D374&gt;0.166666666666667),F374-D374-0.0416666666666667,IF(AND(OR(AG374="Allaitement",AG374="Sans déjeuner"),F374-D374&gt;0.166666666666667),F374-D374,F374-D374)))))))</f>
        <v>0</v>
      </c>
      <c r="P374" s="6" t="str">
        <f aca="false">IFERROR(VLOOKUP($B374,Agents!$A:$D,2,0),"-")</f>
        <v>Accessibilité</v>
      </c>
      <c r="Q374" s="21" t="n">
        <v>46075</v>
      </c>
      <c r="R374" s="8" t="n">
        <f aca="false">IF(M374="Abs",O374,0)</f>
        <v>0</v>
      </c>
      <c r="S374" s="8" t="n">
        <f aca="false">SUM(R374,L374,I374,J374,W374,H374)</f>
        <v>0</v>
      </c>
      <c r="T374" s="6" t="str">
        <f aca="false">"Sem - "&amp;WEEKNUM(Q374,21)</f>
        <v>Sem - 8</v>
      </c>
      <c r="U374" s="6" t="str">
        <f aca="false">CHOOSE(MONTH(Q374),"Janvier","Février","Mars","Avril","Mai","Juin","Juillet","Août","Septembre","Octobre","Novembre","Décembre")</f>
        <v>Février</v>
      </c>
      <c r="V374" s="22" t="n">
        <f aca="false">YEAR(Q374)</f>
        <v>2026</v>
      </c>
      <c r="W374" s="20"/>
      <c r="X374" s="8" t="n">
        <f aca="false">IFERROR(IF(M374="Abs",0,IF(ROUND((D374-C374+E374-F374)*1440,0)&lt;=1,0,D374-C374+E374-F374)),0)</f>
        <v>0</v>
      </c>
      <c r="Y374" s="6" t="str">
        <f aca="false">IFERROR(VLOOKUP($B374,Agents!$A:$D,3,0),"-")</f>
        <v>OUBRAHIM Mohammed</v>
      </c>
      <c r="Z374" s="6" t="str">
        <f aca="false">IFERROR(VLOOKUP($B374,Agents!$A:$D,4,0),"-")</f>
        <v>Credit Mutuel</v>
      </c>
      <c r="AA374" s="18" t="s">
        <v>89</v>
      </c>
      <c r="AB374" s="8" t="str">
        <f aca="false">IF(AND(D374="Congé",F374="Congé"),0.333333333333333,IF(OR(AND(D374="Congé",F374&lt;&gt;"Congé"),(AND(F374="Congé",D374&lt;&gt;"Congé"))),0.166666666666667,""))</f>
        <v/>
      </c>
      <c r="AC374" s="8" t="str">
        <f aca="false">IF(AND(D374="Congé sans solde",F374="Congé sans solde"),0.333333333333333,IF(OR(AND(D374="Congé sans solde",F374&lt;&gt;"Congé sans solde"),(AND(F374="Congé sans solde",D374&lt;&gt;"Congé sans solde"))),0.166666666666667,""))</f>
        <v/>
      </c>
      <c r="AD374" s="8" t="str">
        <f aca="false">IF(AND(D374="Congé spécial",F374="Congé spécial"),0.333333333333333,IF(OR(AND(D374="Congé spécial",F374&lt;&gt;"Congé spécial"),AND(F374="Congé spécial",D374&lt;&gt;"Congé spécial")),0.166666666666667,""))</f>
        <v/>
      </c>
      <c r="AE374" s="8" t="str">
        <f aca="false">IF(AND(D374="Férié",F374="Férié"),0.333333333333333,IF(OR(AND(D374="Férié",F374&lt;&gt;"Férié"),(AND(F374="Férié",D374&lt;&gt;"Férié"))),0.166666666666667,""))</f>
        <v/>
      </c>
      <c r="AF374" s="18"/>
      <c r="AG374" s="18"/>
    </row>
    <row r="375" customFormat="false" ht="15" hidden="false" customHeight="false" outlineLevel="0" collapsed="false">
      <c r="A375" s="6" t="str">
        <f aca="false">YEAR(Q375-WEEKDAY(Q375,2)+4)&amp;"-S"&amp;TEXT(WEEKNUM(Q375,21),"00")</f>
        <v>2026-S08</v>
      </c>
      <c r="B375" s="18" t="s">
        <v>71</v>
      </c>
      <c r="C375" s="19"/>
      <c r="D375" s="19" t="s">
        <v>74</v>
      </c>
      <c r="E375" s="19"/>
      <c r="F375" s="19" t="s">
        <v>74</v>
      </c>
      <c r="G375" s="20"/>
      <c r="H375" s="20"/>
      <c r="I375" s="8" t="str">
        <f aca="false">IF(IF(OR(C375="",D375="Congé",D375="OFF",D375="Congé spécial"),"",IF(D375&gt;F375,D375-C375,IF(C375-D375&lt;0,0,C375-D375)))&lt;0.00068287037037037,"",IF(OR(D375="Congé",D375="OFF",C375="",D375="Congé spécial"),"",IF(D375&gt;F375,D375-C375,IF(C375-D375&lt;0,0,C375-D375))))</f>
        <v/>
      </c>
      <c r="J375" s="20"/>
      <c r="K375" s="8" t="n">
        <f aca="false">IF(SUM(H375:J375)&lt;0.00068287037037037,0,SUM(H375:J375))</f>
        <v>0</v>
      </c>
      <c r="L375" s="8" t="n">
        <f aca="false">IF(OR(F375="Congé",F375="OFF",M375="Abs",F375="Congé sans solde",F375="Férié",F375="Congé spécial",D375="Congé spécial"),0,IF(F375-E375&lt;0,0,IF(F375-E375&lt;=0.00068287037037037,0,F375-E375)))</f>
        <v>0</v>
      </c>
      <c r="M375" s="6" t="n">
        <f aca="false">IF(AND(O375&lt;&gt;0,C375=""),"Abs",0)</f>
        <v>0</v>
      </c>
      <c r="N375" s="8" t="str">
        <f aca="false">IFERROR(IF(OR(D375="OFF",D375="Congé",M375="Abs",D375="Congé sans solde",D375="Férié"),"",IF(O375-K375-L375&gt;O375,O375,IF(O375-K375-L375&lt;0,"",O375-K375-L375))),"")</f>
        <v/>
      </c>
      <c r="O375" s="8" t="n">
        <f aca="false">IF(AG375="2H Pause déjeuner",IF(F375-D375-0.0833333333333333&lt;0,F375-D375-0.0833333333333333+1,F375-D375-0.0833333333333333),IF(OR(AND(F375="OFF",D375="OFF"),AND(F375="Congé",D375="Congé"),AND(F375="Congé sans solde",D375="Congé sans solde"),AND(F375="Congé spécial",D375="Congé spécial"),AND(F375="Férié",D375="Férié"),AND(F375="OFF",D375="Congé"),AND(F375="OFF",D375="Congé sans solde"),AND(F375="OFF",D375="Congé spécial"),AND(F375="OFF",D375="Férié"),AND(F375="Congé",D375="OFF"),AND(F375="Congé",D375="Congé sans solde"),AND(F375="Congé",D375="Congé spécial"),AND(F375="Congé",D375="Férié"),AND(F375="Congé sans solde",D375="OFF"),AND(F375="Congé sans solde",D375="Congé"),AND(F375="Congé sans solde",D375="Congé spécial"),AND(F375="Congé sans solde",D375="Férié"),AND(F375="Congé spécial",D375="OFF"),AND(F375="Congé spécial",D375="Congé"),AND(F375="Congé spécial",D375="Congé sans solde"),AND(F375="Congé spécial",D375="Férié"),AND(F375="Férié",D375="OFF"),AND(F375="Férié",D375="Congé"),AND(F375="Férié",D375="Congé sans solde"),AND(F375="Férié",D375="Congé spécial")),0,IF(OR(F375="OFF",F375="Congé",F375="Congé spécial",F375="Congé sans solde",D375="OFF",D375="Congé",D375="Congé spécial",D375="Congé sans solde"),0.208333333333334,IF(AND(AG375="",F375-D375&lt;0),("24:00:00"-D375)+("00:00:00"+F375)-0.0416666666666667,IF(AND(OR(AG375="Allaitement",AG375="Sans déjeuner"),F375-D375&lt;0),("24:00:00"-D375)+("00:00:00"+F375),IF(AND(AG375="",F375-D375&gt;0.166666666666667),F375-D375-0.0416666666666667,IF(AND(OR(AG375="Allaitement",AG375="Sans déjeuner"),F375-D375&gt;0.166666666666667),F375-D375,F375-D375)))))))</f>
        <v>0</v>
      </c>
      <c r="P375" s="6" t="str">
        <f aca="false">IFERROR(VLOOKUP($B375,Agents!$A:$D,2,0),"-")</f>
        <v>Accessibilité</v>
      </c>
      <c r="Q375" s="21" t="n">
        <v>46075</v>
      </c>
      <c r="R375" s="8" t="n">
        <f aca="false">IF(M375="Abs",O375,0)</f>
        <v>0</v>
      </c>
      <c r="S375" s="8" t="n">
        <f aca="false">SUM(R375,L375,I375,J375,W375,H375)</f>
        <v>0</v>
      </c>
      <c r="T375" s="6" t="str">
        <f aca="false">"Sem - "&amp;WEEKNUM(Q375,21)</f>
        <v>Sem - 8</v>
      </c>
      <c r="U375" s="6" t="str">
        <f aca="false">CHOOSE(MONTH(Q375),"Janvier","Février","Mars","Avril","Mai","Juin","Juillet","Août","Septembre","Octobre","Novembre","Décembre")</f>
        <v>Février</v>
      </c>
      <c r="V375" s="22" t="n">
        <f aca="false">YEAR(Q375)</f>
        <v>2026</v>
      </c>
      <c r="W375" s="20"/>
      <c r="X375" s="8" t="n">
        <f aca="false">IFERROR(IF(M375="Abs",0,IF(ROUND((D375-C375+E375-F375)*1440,0)&lt;=1,0,D375-C375+E375-F375)),0)</f>
        <v>0</v>
      </c>
      <c r="Y375" s="6" t="str">
        <f aca="false">IFERROR(VLOOKUP($B375,Agents!$A:$D,3,0),"-")</f>
        <v>OUBRAHIM Mohammed</v>
      </c>
      <c r="Z375" s="6" t="str">
        <f aca="false">IFERROR(VLOOKUP($B375,Agents!$A:$D,4,0),"-")</f>
        <v>Credit Mutuel</v>
      </c>
      <c r="AA375" s="18" t="s">
        <v>89</v>
      </c>
      <c r="AB375" s="8" t="str">
        <f aca="false">IF(AND(D375="Congé",F375="Congé"),0.333333333333333,IF(OR(AND(D375="Congé",F375&lt;&gt;"Congé"),(AND(F375="Congé",D375&lt;&gt;"Congé"))),0.166666666666667,""))</f>
        <v/>
      </c>
      <c r="AC375" s="8" t="str">
        <f aca="false">IF(AND(D375="Congé sans solde",F375="Congé sans solde"),0.333333333333333,IF(OR(AND(D375="Congé sans solde",F375&lt;&gt;"Congé sans solde"),(AND(F375="Congé sans solde",D375&lt;&gt;"Congé sans solde"))),0.166666666666667,""))</f>
        <v/>
      </c>
      <c r="AD375" s="8" t="str">
        <f aca="false">IF(AND(D375="Congé spécial",F375="Congé spécial"),0.333333333333333,IF(OR(AND(D375="Congé spécial",F375&lt;&gt;"Congé spécial"),AND(F375="Congé spécial",D375&lt;&gt;"Congé spécial")),0.166666666666667,""))</f>
        <v/>
      </c>
      <c r="AE375" s="8" t="str">
        <f aca="false">IF(AND(D375="Férié",F375="Férié"),0.333333333333333,IF(OR(AND(D375="Férié",F375&lt;&gt;"Férié"),(AND(F375="Férié",D375&lt;&gt;"Férié"))),0.166666666666667,""))</f>
        <v/>
      </c>
      <c r="AF375" s="18"/>
      <c r="AG375" s="18"/>
    </row>
    <row r="376" customFormat="false" ht="15" hidden="false" customHeight="false" outlineLevel="0" collapsed="false">
      <c r="A376" s="6" t="str">
        <f aca="false">YEAR(Q376-WEEKDAY(Q376,2)+4)&amp;"-S"&amp;TEXT(WEEKNUM(Q376,21),"00")</f>
        <v>2026-S08</v>
      </c>
      <c r="B376" s="18" t="s">
        <v>72</v>
      </c>
      <c r="C376" s="19"/>
      <c r="D376" s="19" t="s">
        <v>74</v>
      </c>
      <c r="E376" s="19"/>
      <c r="F376" s="19" t="s">
        <v>74</v>
      </c>
      <c r="G376" s="20"/>
      <c r="H376" s="20"/>
      <c r="I376" s="8" t="str">
        <f aca="false">IF(IF(OR(C376="",D376="Congé",D376="OFF",D376="Congé spécial"),"",IF(D376&gt;F376,D376-C376,IF(C376-D376&lt;0,0,C376-D376)))&lt;0.00068287037037037,"",IF(OR(D376="Congé",D376="OFF",C376="",D376="Congé spécial"),"",IF(D376&gt;F376,D376-C376,IF(C376-D376&lt;0,0,C376-D376))))</f>
        <v/>
      </c>
      <c r="J376" s="20"/>
      <c r="K376" s="8" t="n">
        <f aca="false">IF(SUM(H376:J376)&lt;0.00068287037037037,0,SUM(H376:J376))</f>
        <v>0</v>
      </c>
      <c r="L376" s="8" t="n">
        <f aca="false">IF(OR(F376="Congé",F376="OFF",M376="Abs",F376="Congé sans solde",F376="Férié",F376="Congé spécial",D376="Congé spécial"),0,IF(F376-E376&lt;0,0,IF(F376-E376&lt;=0.00068287037037037,0,F376-E376)))</f>
        <v>0</v>
      </c>
      <c r="M376" s="6" t="n">
        <f aca="false">IF(AND(O376&lt;&gt;0,C376=""),"Abs",0)</f>
        <v>0</v>
      </c>
      <c r="N376" s="8" t="str">
        <f aca="false">IFERROR(IF(OR(D376="OFF",D376="Congé",M376="Abs",D376="Congé sans solde",D376="Férié"),"",IF(O376-K376-L376&gt;O376,O376,IF(O376-K376-L376&lt;0,"",O376-K376-L376))),"")</f>
        <v/>
      </c>
      <c r="O376" s="8" t="n">
        <f aca="false">IF(AG376="2H Pause déjeuner",IF(F376-D376-0.0833333333333333&lt;0,F376-D376-0.0833333333333333+1,F376-D376-0.0833333333333333),IF(OR(AND(F376="OFF",D376="OFF"),AND(F376="Congé",D376="Congé"),AND(F376="Congé sans solde",D376="Congé sans solde"),AND(F376="Congé spécial",D376="Congé spécial"),AND(F376="Férié",D376="Férié"),AND(F376="OFF",D376="Congé"),AND(F376="OFF",D376="Congé sans solde"),AND(F376="OFF",D376="Congé spécial"),AND(F376="OFF",D376="Férié"),AND(F376="Congé",D376="OFF"),AND(F376="Congé",D376="Congé sans solde"),AND(F376="Congé",D376="Congé spécial"),AND(F376="Congé",D376="Férié"),AND(F376="Congé sans solde",D376="OFF"),AND(F376="Congé sans solde",D376="Congé"),AND(F376="Congé sans solde",D376="Congé spécial"),AND(F376="Congé sans solde",D376="Férié"),AND(F376="Congé spécial",D376="OFF"),AND(F376="Congé spécial",D376="Congé"),AND(F376="Congé spécial",D376="Congé sans solde"),AND(F376="Congé spécial",D376="Férié"),AND(F376="Férié",D376="OFF"),AND(F376="Férié",D376="Congé"),AND(F376="Férié",D376="Congé sans solde"),AND(F376="Férié",D376="Congé spécial")),0,IF(OR(F376="OFF",F376="Congé",F376="Congé spécial",F376="Congé sans solde",D376="OFF",D376="Congé",D376="Congé spécial",D376="Congé sans solde"),0.208333333333334,IF(AND(AG376="",F376-D376&lt;0),("24:00:00"-D376)+("00:00:00"+F376)-0.0416666666666667,IF(AND(OR(AG376="Allaitement",AG376="Sans déjeuner"),F376-D376&lt;0),("24:00:00"-D376)+("00:00:00"+F376),IF(AND(AG376="",F376-D376&gt;0.166666666666667),F376-D376-0.0416666666666667,IF(AND(OR(AG376="Allaitement",AG376="Sans déjeuner"),F376-D376&gt;0.166666666666667),F376-D376,F376-D376)))))))</f>
        <v>0</v>
      </c>
      <c r="P376" s="6" t="str">
        <f aca="false">IFERROR(VLOOKUP($B376,Agents!$A:$D,2,0),"-")</f>
        <v>Accessibilité</v>
      </c>
      <c r="Q376" s="21" t="n">
        <v>46075</v>
      </c>
      <c r="R376" s="8" t="n">
        <f aca="false">IF(M376="Abs",O376,0)</f>
        <v>0</v>
      </c>
      <c r="S376" s="8" t="n">
        <f aca="false">SUM(R376,L376,I376,J376,W376,H376)</f>
        <v>0</v>
      </c>
      <c r="T376" s="6" t="str">
        <f aca="false">"Sem - "&amp;WEEKNUM(Q376,21)</f>
        <v>Sem - 8</v>
      </c>
      <c r="U376" s="6" t="str">
        <f aca="false">CHOOSE(MONTH(Q376),"Janvier","Février","Mars","Avril","Mai","Juin","Juillet","Août","Septembre","Octobre","Novembre","Décembre")</f>
        <v>Février</v>
      </c>
      <c r="V376" s="22" t="n">
        <f aca="false">YEAR(Q376)</f>
        <v>2026</v>
      </c>
      <c r="W376" s="20"/>
      <c r="X376" s="8" t="n">
        <f aca="false">IFERROR(IF(M376="Abs",0,IF(ROUND((D376-C376+E376-F376)*1440,0)&lt;=1,0,D376-C376+E376-F376)),0)</f>
        <v>0</v>
      </c>
      <c r="Y376" s="6" t="str">
        <f aca="false">IFERROR(VLOOKUP($B376,Agents!$A:$D,3,0),"-")</f>
        <v>OUBRAHIM Mohammed</v>
      </c>
      <c r="Z376" s="6" t="str">
        <f aca="false">IFERROR(VLOOKUP($B376,Agents!$A:$D,4,0),"-")</f>
        <v>Credit Mutuel</v>
      </c>
      <c r="AA376" s="18" t="s">
        <v>89</v>
      </c>
      <c r="AB376" s="8" t="str">
        <f aca="false">IF(AND(D376="Congé",F376="Congé"),0.333333333333333,IF(OR(AND(D376="Congé",F376&lt;&gt;"Congé"),(AND(F376="Congé",D376&lt;&gt;"Congé"))),0.166666666666667,""))</f>
        <v/>
      </c>
      <c r="AC376" s="8" t="str">
        <f aca="false">IF(AND(D376="Congé sans solde",F376="Congé sans solde"),0.333333333333333,IF(OR(AND(D376="Congé sans solde",F376&lt;&gt;"Congé sans solde"),(AND(F376="Congé sans solde",D376&lt;&gt;"Congé sans solde"))),0.166666666666667,""))</f>
        <v/>
      </c>
      <c r="AD376" s="8" t="str">
        <f aca="false">IF(AND(D376="Congé spécial",F376="Congé spécial"),0.333333333333333,IF(OR(AND(D376="Congé spécial",F376&lt;&gt;"Congé spécial"),AND(F376="Congé spécial",D376&lt;&gt;"Congé spécial")),0.166666666666667,""))</f>
        <v/>
      </c>
      <c r="AE376" s="8" t="str">
        <f aca="false">IF(AND(D376="Férié",F376="Férié"),0.333333333333333,IF(OR(AND(D376="Férié",F376&lt;&gt;"Férié"),(AND(F376="Férié",D376&lt;&gt;"Férié"))),0.166666666666667,""))</f>
        <v/>
      </c>
      <c r="AF376" s="18"/>
      <c r="AG376" s="18"/>
    </row>
    <row r="377" customFormat="false" ht="15" hidden="false" customHeight="false" outlineLevel="0" collapsed="false">
      <c r="A377" s="6" t="str">
        <f aca="false">YEAR(Q377-WEEKDAY(Q377,2)+4)&amp;"-S"&amp;TEXT(WEEKNUM(Q377,21),"00")</f>
        <v>2026-S08</v>
      </c>
      <c r="B377" s="18" t="s">
        <v>73</v>
      </c>
      <c r="C377" s="19"/>
      <c r="D377" s="19" t="s">
        <v>74</v>
      </c>
      <c r="E377" s="19"/>
      <c r="F377" s="19" t="s">
        <v>74</v>
      </c>
      <c r="G377" s="20"/>
      <c r="H377" s="20"/>
      <c r="I377" s="8" t="str">
        <f aca="false">IF(IF(OR(C377="",D377="Congé",D377="OFF",D377="Congé spécial"),"",IF(D377&gt;F377,D377-C377,IF(C377-D377&lt;0,0,C377-D377)))&lt;0.00068287037037037,"",IF(OR(D377="Congé",D377="OFF",C377="",D377="Congé spécial"),"",IF(D377&gt;F377,D377-C377,IF(C377-D377&lt;0,0,C377-D377))))</f>
        <v/>
      </c>
      <c r="J377" s="20"/>
      <c r="K377" s="8" t="n">
        <f aca="false">IF(SUM(H377:J377)&lt;0.00068287037037037,0,SUM(H377:J377))</f>
        <v>0</v>
      </c>
      <c r="L377" s="8" t="n">
        <f aca="false">IF(OR(F377="Congé",F377="OFF",M377="Abs",F377="Congé sans solde",F377="Férié",F377="Congé spécial",D377="Congé spécial"),0,IF(F377-E377&lt;0,0,IF(F377-E377&lt;=0.00068287037037037,0,F377-E377)))</f>
        <v>0</v>
      </c>
      <c r="M377" s="6" t="n">
        <f aca="false">IF(AND(O377&lt;&gt;0,C377=""),"Abs",0)</f>
        <v>0</v>
      </c>
      <c r="N377" s="8" t="str">
        <f aca="false">IFERROR(IF(OR(D377="OFF",D377="Congé",M377="Abs",D377="Congé sans solde",D377="Férié"),"",IF(O377-K377-L377&gt;O377,O377,IF(O377-K377-L377&lt;0,"",O377-K377-L377))),"")</f>
        <v/>
      </c>
      <c r="O377" s="8" t="n">
        <f aca="false">IF(AG377="2H Pause déjeuner",IF(F377-D377-0.0833333333333333&lt;0,F377-D377-0.0833333333333333+1,F377-D377-0.0833333333333333),IF(OR(AND(F377="OFF",D377="OFF"),AND(F377="Congé",D377="Congé"),AND(F377="Congé sans solde",D377="Congé sans solde"),AND(F377="Congé spécial",D377="Congé spécial"),AND(F377="Férié",D377="Férié"),AND(F377="OFF",D377="Congé"),AND(F377="OFF",D377="Congé sans solde"),AND(F377="OFF",D377="Congé spécial"),AND(F377="OFF",D377="Férié"),AND(F377="Congé",D377="OFF"),AND(F377="Congé",D377="Congé sans solde"),AND(F377="Congé",D377="Congé spécial"),AND(F377="Congé",D377="Férié"),AND(F377="Congé sans solde",D377="OFF"),AND(F377="Congé sans solde",D377="Congé"),AND(F377="Congé sans solde",D377="Congé spécial"),AND(F377="Congé sans solde",D377="Férié"),AND(F377="Congé spécial",D377="OFF"),AND(F377="Congé spécial",D377="Congé"),AND(F377="Congé spécial",D377="Congé sans solde"),AND(F377="Congé spécial",D377="Férié"),AND(F377="Férié",D377="OFF"),AND(F377="Férié",D377="Congé"),AND(F377="Férié",D377="Congé sans solde"),AND(F377="Férié",D377="Congé spécial")),0,IF(OR(F377="OFF",F377="Congé",F377="Congé spécial",F377="Congé sans solde",D377="OFF",D377="Congé",D377="Congé spécial",D377="Congé sans solde"),0.208333333333334,IF(AND(AG377="",F377-D377&lt;0),("24:00:00"-D377)+("00:00:00"+F377)-0.0416666666666667,IF(AND(OR(AG377="Allaitement",AG377="Sans déjeuner"),F377-D377&lt;0),("24:00:00"-D377)+("00:00:00"+F377),IF(AND(AG377="",F377-D377&gt;0.166666666666667),F377-D377-0.0416666666666667,IF(AND(OR(AG377="Allaitement",AG377="Sans déjeuner"),F377-D377&gt;0.166666666666667),F377-D377,F377-D377)))))))</f>
        <v>0</v>
      </c>
      <c r="P377" s="6" t="str">
        <f aca="false">IFERROR(VLOOKUP($B377,Agents!$A:$D,2,0),"-")</f>
        <v>Accessibilité</v>
      </c>
      <c r="Q377" s="21" t="n">
        <v>46075</v>
      </c>
      <c r="R377" s="8" t="n">
        <f aca="false">IF(M377="Abs",O377,0)</f>
        <v>0</v>
      </c>
      <c r="S377" s="8" t="n">
        <f aca="false">SUM(R377,L377,I377,J377,W377,H377)</f>
        <v>0</v>
      </c>
      <c r="T377" s="6" t="str">
        <f aca="false">"Sem - "&amp;WEEKNUM(Q377,21)</f>
        <v>Sem - 8</v>
      </c>
      <c r="U377" s="6" t="str">
        <f aca="false">CHOOSE(MONTH(Q377),"Janvier","Février","Mars","Avril","Mai","Juin","Juillet","Août","Septembre","Octobre","Novembre","Décembre")</f>
        <v>Février</v>
      </c>
      <c r="V377" s="22" t="n">
        <f aca="false">YEAR(Q377)</f>
        <v>2026</v>
      </c>
      <c r="W377" s="20"/>
      <c r="X377" s="8" t="n">
        <f aca="false">IFERROR(IF(M377="Abs",0,IF(ROUND((D377-C377+E377-F377)*1440,0)&lt;=1,0,D377-C377+E377-F377)),0)</f>
        <v>0</v>
      </c>
      <c r="Y377" s="6" t="str">
        <f aca="false">IFERROR(VLOOKUP($B377,Agents!$A:$D,3,0),"-")</f>
        <v>OUBRAHIM Mohammed</v>
      </c>
      <c r="Z377" s="6" t="str">
        <f aca="false">IFERROR(VLOOKUP($B377,Agents!$A:$D,4,0),"-")</f>
        <v>Credit Mutuel</v>
      </c>
      <c r="AA377" s="18" t="s">
        <v>89</v>
      </c>
      <c r="AB377" s="8" t="str">
        <f aca="false">IF(AND(D377="Congé",F377="Congé"),0.333333333333333,IF(OR(AND(D377="Congé",F377&lt;&gt;"Congé"),(AND(F377="Congé",D377&lt;&gt;"Congé"))),0.166666666666667,""))</f>
        <v/>
      </c>
      <c r="AC377" s="8" t="str">
        <f aca="false">IF(AND(D377="Congé sans solde",F377="Congé sans solde"),0.333333333333333,IF(OR(AND(D377="Congé sans solde",F377&lt;&gt;"Congé sans solde"),(AND(F377="Congé sans solde",D377&lt;&gt;"Congé sans solde"))),0.166666666666667,""))</f>
        <v/>
      </c>
      <c r="AD377" s="8" t="str">
        <f aca="false">IF(AND(D377="Congé spécial",F377="Congé spécial"),0.333333333333333,IF(OR(AND(D377="Congé spécial",F377&lt;&gt;"Congé spécial"),AND(F377="Congé spécial",D377&lt;&gt;"Congé spécial")),0.166666666666667,""))</f>
        <v/>
      </c>
      <c r="AE377" s="8" t="str">
        <f aca="false">IF(AND(D377="Férié",F377="Férié"),0.333333333333333,IF(OR(AND(D377="Férié",F377&lt;&gt;"Férié"),(AND(F377="Férié",D377&lt;&gt;"Férié"))),0.166666666666667,""))</f>
        <v/>
      </c>
      <c r="AF377" s="18"/>
      <c r="AG377" s="18"/>
    </row>
    <row r="378" customFormat="false" ht="15" hidden="false" customHeight="false" outlineLevel="0" collapsed="false">
      <c r="A378" s="6" t="str">
        <f aca="false">YEAR(Q378-WEEKDAY(Q378,2)+4)&amp;"-S"&amp;TEXT(WEEKNUM(Q378,21),"00")</f>
        <v>2026-S09</v>
      </c>
      <c r="B378" s="18" t="s">
        <v>69</v>
      </c>
      <c r="C378" s="19" t="n">
        <v>0.332638888888889</v>
      </c>
      <c r="D378" s="19" t="n">
        <v>0.333333333333333</v>
      </c>
      <c r="E378" s="19" t="n">
        <v>0.708333333333333</v>
      </c>
      <c r="F378" s="19" t="n">
        <v>0.708333333333333</v>
      </c>
      <c r="G378" s="20"/>
      <c r="H378" s="20"/>
      <c r="I378" s="8" t="str">
        <f aca="false">IF(IF(OR(C378="",D378="Congé",D378="OFF",D378="Congé spécial"),"",IF(D378&gt;F378,D378-C378,IF(C378-D378&lt;0,0,C378-D378)))&lt;0.00068287037037037,"",IF(OR(D378="Congé",D378="OFF",C378="",D378="Congé spécial"),"",IF(D378&gt;F378,D378-C378,IF(C378-D378&lt;0,0,C378-D378))))</f>
        <v/>
      </c>
      <c r="J378" s="20"/>
      <c r="K378" s="8" t="n">
        <f aca="false">IF(SUM(H378:J378)&lt;0.00068287037037037,0,SUM(H378:J378))</f>
        <v>0</v>
      </c>
      <c r="L378" s="8" t="n">
        <f aca="false">IF(OR(F378="Congé",F378="OFF",M378="Abs",F378="Congé sans solde",F378="Férié",F378="Congé spécial",D378="Congé spécial"),0,IF(F378-E378&lt;0,0,IF(F378-E378&lt;=0.00068287037037037,0,F378-E378)))</f>
        <v>0</v>
      </c>
      <c r="M378" s="6" t="n">
        <f aca="false">IF(AND(O378&lt;&gt;0,C378=""),"Abs",0)</f>
        <v>0</v>
      </c>
      <c r="N378" s="8" t="n">
        <f aca="false">IFERROR(IF(OR(D378="OFF",D378="Congé",M378="Abs",D378="Congé sans solde",D378="Férié"),"",IF(O378-K378-L378&gt;O378,O378,IF(O378-K378-L378&lt;0,"",O378-K378-L378))),"")</f>
        <v>0.375</v>
      </c>
      <c r="O378" s="8" t="n">
        <f aca="false">IF(AG378="2H Pause déjeuner",IF(F378-D378-0.0833333333333333&lt;0,F378-D378-0.0833333333333333+1,F378-D378-0.0833333333333333),IF(OR(AND(F378="OFF",D378="OFF"),AND(F378="Congé",D378="Congé"),AND(F378="Congé sans solde",D378="Congé sans solde"),AND(F378="Congé spécial",D378="Congé spécial"),AND(F378="Férié",D378="Férié"),AND(F378="OFF",D378="Congé"),AND(F378="OFF",D378="Congé sans solde"),AND(F378="OFF",D378="Congé spécial"),AND(F378="OFF",D378="Férié"),AND(F378="Congé",D378="OFF"),AND(F378="Congé",D378="Congé sans solde"),AND(F378="Congé",D378="Congé spécial"),AND(F378="Congé",D378="Férié"),AND(F378="Congé sans solde",D378="OFF"),AND(F378="Congé sans solde",D378="Congé"),AND(F378="Congé sans solde",D378="Congé spécial"),AND(F378="Congé sans solde",D378="Férié"),AND(F378="Congé spécial",D378="OFF"),AND(F378="Congé spécial",D378="Congé"),AND(F378="Congé spécial",D378="Congé sans solde"),AND(F378="Congé spécial",D378="Férié"),AND(F378="Férié",D378="OFF"),AND(F378="Férié",D378="Congé"),AND(F378="Férié",D378="Congé sans solde"),AND(F378="Férié",D378="Congé spécial")),0,IF(OR(F378="OFF",F378="Congé",F378="Congé spécial",F378="Congé sans solde",D378="OFF",D378="Congé",D378="Congé spécial",D378="Congé sans solde"),0.208333333333334,IF(AND(AG378="",F378-D378&lt;0),("24:00:00"-D378)+("00:00:00"+F378)-0.0416666666666667,IF(AND(OR(AG378="Allaitement",AG378="Sans déjeuner"),F378-D378&lt;0),("24:00:00"-D378)+("00:00:00"+F378),IF(AND(AG378="",F378-D378&gt;0.166666666666667),F378-D378-0.0416666666666667,IF(AND(OR(AG378="Allaitement",AG378="Sans déjeuner"),F378-D378&gt;0.166666666666667),F378-D378,F378-D378)))))))</f>
        <v>0.375</v>
      </c>
      <c r="P378" s="6" t="str">
        <f aca="false">IFERROR(VLOOKUP($B378,Agents!$A:$D,2,0),"-")</f>
        <v>Accessibilité</v>
      </c>
      <c r="Q378" s="21" t="n">
        <v>46076</v>
      </c>
      <c r="R378" s="8" t="n">
        <f aca="false">IF(M378="Abs",O378,0)</f>
        <v>0</v>
      </c>
      <c r="S378" s="8" t="n">
        <f aca="false">SUM(R378,L378,I378,J378,W378,H378)</f>
        <v>0</v>
      </c>
      <c r="T378" s="6" t="str">
        <f aca="false">"Sem - "&amp;WEEKNUM(Q378,21)</f>
        <v>Sem - 9</v>
      </c>
      <c r="U378" s="6" t="str">
        <f aca="false">CHOOSE(MONTH(Q378),"Janvier","Février","Mars","Avril","Mai","Juin","Juillet","Août","Septembre","Octobre","Novembre","Décembre")</f>
        <v>Février</v>
      </c>
      <c r="V378" s="22" t="n">
        <f aca="false">YEAR(Q378)</f>
        <v>2026</v>
      </c>
      <c r="W378" s="20"/>
      <c r="X378" s="8" t="n">
        <f aca="false">IFERROR(IF(M378="Abs",0,IF(ROUND((D378-C378+E378-F378)*1440,0)&lt;=1,0,D378-C378+E378-F378)),0)</f>
        <v>0</v>
      </c>
      <c r="Y378" s="6" t="str">
        <f aca="false">IFERROR(VLOOKUP($B378,Agents!$A:$D,3,0),"-")</f>
        <v>OUBRAHIM Mohammed</v>
      </c>
      <c r="Z378" s="6" t="str">
        <f aca="false">IFERROR(VLOOKUP($B378,Agents!$A:$D,4,0),"-")</f>
        <v>Credit Mutuel</v>
      </c>
      <c r="AA378" s="18" t="s">
        <v>90</v>
      </c>
      <c r="AB378" s="8" t="str">
        <f aca="false">IF(AND(D378="Congé",F378="Congé"),0.333333333333333,IF(OR(AND(D378="Congé",F378&lt;&gt;"Congé"),(AND(F378="Congé",D378&lt;&gt;"Congé"))),0.166666666666667,""))</f>
        <v/>
      </c>
      <c r="AC378" s="8" t="str">
        <f aca="false">IF(AND(D378="Congé sans solde",F378="Congé sans solde"),0.333333333333333,IF(OR(AND(D378="Congé sans solde",F378&lt;&gt;"Congé sans solde"),(AND(F378="Congé sans solde",D378&lt;&gt;"Congé sans solde"))),0.166666666666667,""))</f>
        <v/>
      </c>
      <c r="AD378" s="8" t="str">
        <f aca="false">IF(AND(D378="Congé spécial",F378="Congé spécial"),0.333333333333333,IF(OR(AND(D378="Congé spécial",F378&lt;&gt;"Congé spécial"),AND(F378="Congé spécial",D378&lt;&gt;"Congé spécial")),0.166666666666667,""))</f>
        <v/>
      </c>
      <c r="AE378" s="8" t="str">
        <f aca="false">IF(AND(D378="Férié",F378="Férié"),0.333333333333333,IF(OR(AND(D378="Férié",F378&lt;&gt;"Férié"),(AND(F378="Férié",D378&lt;&gt;"Férié"))),0.166666666666667,""))</f>
        <v/>
      </c>
      <c r="AF378" s="18"/>
      <c r="AG378" s="18" t="s">
        <v>91</v>
      </c>
    </row>
    <row r="379" customFormat="false" ht="15" hidden="false" customHeight="false" outlineLevel="0" collapsed="false">
      <c r="A379" s="6" t="str">
        <f aca="false">YEAR(Q379-WEEKDAY(Q379,2)+4)&amp;"-S"&amp;TEXT(WEEKNUM(Q379,21),"00")</f>
        <v>2026-S09</v>
      </c>
      <c r="B379" s="18" t="s">
        <v>71</v>
      </c>
      <c r="C379" s="19" t="n">
        <v>0.332638888888889</v>
      </c>
      <c r="D379" s="19" t="n">
        <v>0.333333333333333</v>
      </c>
      <c r="E379" s="19" t="n">
        <v>0.708333333333333</v>
      </c>
      <c r="F379" s="19" t="n">
        <v>0.708333333333333</v>
      </c>
      <c r="G379" s="20"/>
      <c r="H379" s="20"/>
      <c r="I379" s="8" t="str">
        <f aca="false">IF(IF(OR(C379="",D379="Congé",D379="OFF",D379="Congé spécial"),"",IF(D379&gt;F379,D379-C379,IF(C379-D379&lt;0,0,C379-D379)))&lt;0.00068287037037037,"",IF(OR(D379="Congé",D379="OFF",C379="",D379="Congé spécial"),"",IF(D379&gt;F379,D379-C379,IF(C379-D379&lt;0,0,C379-D379))))</f>
        <v/>
      </c>
      <c r="J379" s="20"/>
      <c r="K379" s="8" t="n">
        <f aca="false">IF(SUM(H379:J379)&lt;0.00068287037037037,0,SUM(H379:J379))</f>
        <v>0</v>
      </c>
      <c r="L379" s="8" t="n">
        <f aca="false">IF(OR(F379="Congé",F379="OFF",M379="Abs",F379="Congé sans solde",F379="Férié",F379="Congé spécial",D379="Congé spécial"),0,IF(F379-E379&lt;0,0,IF(F379-E379&lt;=0.00068287037037037,0,F379-E379)))</f>
        <v>0</v>
      </c>
      <c r="M379" s="6" t="n">
        <f aca="false">IF(AND(O379&lt;&gt;0,C379=""),"Abs",0)</f>
        <v>0</v>
      </c>
      <c r="N379" s="8" t="n">
        <f aca="false">IFERROR(IF(OR(D379="OFF",D379="Congé",M379="Abs",D379="Congé sans solde",D379="Férié"),"",IF(O379-K379-L379&gt;O379,O379,IF(O379-K379-L379&lt;0,"",O379-K379-L379))),"")</f>
        <v>0.375</v>
      </c>
      <c r="O379" s="8" t="n">
        <f aca="false">IF(AG379="2H Pause déjeuner",IF(F379-D379-0.0833333333333333&lt;0,F379-D379-0.0833333333333333+1,F379-D379-0.0833333333333333),IF(OR(AND(F379="OFF",D379="OFF"),AND(F379="Congé",D379="Congé"),AND(F379="Congé sans solde",D379="Congé sans solde"),AND(F379="Congé spécial",D379="Congé spécial"),AND(F379="Férié",D379="Férié"),AND(F379="OFF",D379="Congé"),AND(F379="OFF",D379="Congé sans solde"),AND(F379="OFF",D379="Congé spécial"),AND(F379="OFF",D379="Férié"),AND(F379="Congé",D379="OFF"),AND(F379="Congé",D379="Congé sans solde"),AND(F379="Congé",D379="Congé spécial"),AND(F379="Congé",D379="Férié"),AND(F379="Congé sans solde",D379="OFF"),AND(F379="Congé sans solde",D379="Congé"),AND(F379="Congé sans solde",D379="Congé spécial"),AND(F379="Congé sans solde",D379="Férié"),AND(F379="Congé spécial",D379="OFF"),AND(F379="Congé spécial",D379="Congé"),AND(F379="Congé spécial",D379="Congé sans solde"),AND(F379="Congé spécial",D379="Férié"),AND(F379="Férié",D379="OFF"),AND(F379="Férié",D379="Congé"),AND(F379="Férié",D379="Congé sans solde"),AND(F379="Férié",D379="Congé spécial")),0,IF(OR(F379="OFF",F379="Congé",F379="Congé spécial",F379="Congé sans solde",D379="OFF",D379="Congé",D379="Congé spécial",D379="Congé sans solde"),0.208333333333334,IF(AND(AG379="",F379-D379&lt;0),("24:00:00"-D379)+("00:00:00"+F379)-0.0416666666666667,IF(AND(OR(AG379="Allaitement",AG379="Sans déjeuner"),F379-D379&lt;0),("24:00:00"-D379)+("00:00:00"+F379),IF(AND(AG379="",F379-D379&gt;0.166666666666667),F379-D379-0.0416666666666667,IF(AND(OR(AG379="Allaitement",AG379="Sans déjeuner"),F379-D379&gt;0.166666666666667),F379-D379,F379-D379)))))))</f>
        <v>0.375</v>
      </c>
      <c r="P379" s="6" t="str">
        <f aca="false">IFERROR(VLOOKUP($B379,Agents!$A:$D,2,0),"-")</f>
        <v>Accessibilité</v>
      </c>
      <c r="Q379" s="21" t="n">
        <v>46076</v>
      </c>
      <c r="R379" s="8" t="n">
        <f aca="false">IF(M379="Abs",O379,0)</f>
        <v>0</v>
      </c>
      <c r="S379" s="8" t="n">
        <f aca="false">SUM(R379,L379,I379,J379,W379,H379)</f>
        <v>0</v>
      </c>
      <c r="T379" s="6" t="str">
        <f aca="false">"Sem - "&amp;WEEKNUM(Q379,21)</f>
        <v>Sem - 9</v>
      </c>
      <c r="U379" s="6" t="str">
        <f aca="false">CHOOSE(MONTH(Q379),"Janvier","Février","Mars","Avril","Mai","Juin","Juillet","Août","Septembre","Octobre","Novembre","Décembre")</f>
        <v>Février</v>
      </c>
      <c r="V379" s="22" t="n">
        <f aca="false">YEAR(Q379)</f>
        <v>2026</v>
      </c>
      <c r="W379" s="20"/>
      <c r="X379" s="8" t="n">
        <f aca="false">IFERROR(IF(M379="Abs",0,IF(ROUND((D379-C379+E379-F379)*1440,0)&lt;=1,0,D379-C379+E379-F379)),0)</f>
        <v>0</v>
      </c>
      <c r="Y379" s="6" t="str">
        <f aca="false">IFERROR(VLOOKUP($B379,Agents!$A:$D,3,0),"-")</f>
        <v>OUBRAHIM Mohammed</v>
      </c>
      <c r="Z379" s="6" t="str">
        <f aca="false">IFERROR(VLOOKUP($B379,Agents!$A:$D,4,0),"-")</f>
        <v>Credit Mutuel</v>
      </c>
      <c r="AA379" s="18" t="s">
        <v>90</v>
      </c>
      <c r="AB379" s="8" t="str">
        <f aca="false">IF(AND(D379="Congé",F379="Congé"),0.333333333333333,IF(OR(AND(D379="Congé",F379&lt;&gt;"Congé"),(AND(F379="Congé",D379&lt;&gt;"Congé"))),0.166666666666667,""))</f>
        <v/>
      </c>
      <c r="AC379" s="8" t="str">
        <f aca="false">IF(AND(D379="Congé sans solde",F379="Congé sans solde"),0.333333333333333,IF(OR(AND(D379="Congé sans solde",F379&lt;&gt;"Congé sans solde"),(AND(F379="Congé sans solde",D379&lt;&gt;"Congé sans solde"))),0.166666666666667,""))</f>
        <v/>
      </c>
      <c r="AD379" s="8" t="str">
        <f aca="false">IF(AND(D379="Congé spécial",F379="Congé spécial"),0.333333333333333,IF(OR(AND(D379="Congé spécial",F379&lt;&gt;"Congé spécial"),AND(F379="Congé spécial",D379&lt;&gt;"Congé spécial")),0.166666666666667,""))</f>
        <v/>
      </c>
      <c r="AE379" s="8" t="str">
        <f aca="false">IF(AND(D379="Férié",F379="Férié"),0.333333333333333,IF(OR(AND(D379="Férié",F379&lt;&gt;"Férié"),(AND(F379="Férié",D379&lt;&gt;"Férié"))),0.166666666666667,""))</f>
        <v/>
      </c>
      <c r="AF379" s="18"/>
      <c r="AG379" s="18" t="s">
        <v>91</v>
      </c>
    </row>
    <row r="380" customFormat="false" ht="15" hidden="false" customHeight="false" outlineLevel="0" collapsed="false">
      <c r="A380" s="6" t="str">
        <f aca="false">YEAR(Q380-WEEKDAY(Q380,2)+4)&amp;"-S"&amp;TEXT(WEEKNUM(Q380,21),"00")</f>
        <v>2026-S09</v>
      </c>
      <c r="B380" s="18" t="s">
        <v>72</v>
      </c>
      <c r="C380" s="19" t="n">
        <v>0.331944444444444</v>
      </c>
      <c r="D380" s="19" t="n">
        <v>0.333333333333333</v>
      </c>
      <c r="E380" s="19" t="n">
        <v>0.708333333333333</v>
      </c>
      <c r="F380" s="19" t="n">
        <v>0.708333333333333</v>
      </c>
      <c r="G380" s="20"/>
      <c r="H380" s="20"/>
      <c r="I380" s="8" t="str">
        <f aca="false">IF(IF(OR(C380="",D380="Congé",D380="OFF",D380="Congé spécial"),"",IF(D380&gt;F380,D380-C380,IF(C380-D380&lt;0,0,C380-D380)))&lt;0.00068287037037037,"",IF(OR(D380="Congé",D380="OFF",C380="",D380="Congé spécial"),"",IF(D380&gt;F380,D380-C380,IF(C380-D380&lt;0,0,C380-D380))))</f>
        <v/>
      </c>
      <c r="J380" s="20"/>
      <c r="K380" s="8" t="n">
        <f aca="false">IF(SUM(H380:J380)&lt;0.00068287037037037,0,SUM(H380:J380))</f>
        <v>0</v>
      </c>
      <c r="L380" s="8" t="n">
        <f aca="false">IF(OR(F380="Congé",F380="OFF",M380="Abs",F380="Congé sans solde",F380="Férié",F380="Congé spécial",D380="Congé spécial"),0,IF(F380-E380&lt;0,0,IF(F380-E380&lt;=0.00068287037037037,0,F380-E380)))</f>
        <v>0</v>
      </c>
      <c r="M380" s="6" t="n">
        <f aca="false">IF(AND(O380&lt;&gt;0,C380=""),"Abs",0)</f>
        <v>0</v>
      </c>
      <c r="N380" s="8" t="n">
        <f aca="false">IFERROR(IF(OR(D380="OFF",D380="Congé",M380="Abs",D380="Congé sans solde",D380="Férié"),"",IF(O380-K380-L380&gt;O380,O380,IF(O380-K380-L380&lt;0,"",O380-K380-L380))),"")</f>
        <v>0.375</v>
      </c>
      <c r="O380" s="8" t="n">
        <f aca="false">IF(AG380="2H Pause déjeuner",IF(F380-D380-0.0833333333333333&lt;0,F380-D380-0.0833333333333333+1,F380-D380-0.0833333333333333),IF(OR(AND(F380="OFF",D380="OFF"),AND(F380="Congé",D380="Congé"),AND(F380="Congé sans solde",D380="Congé sans solde"),AND(F380="Congé spécial",D380="Congé spécial"),AND(F380="Férié",D380="Férié"),AND(F380="OFF",D380="Congé"),AND(F380="OFF",D380="Congé sans solde"),AND(F380="OFF",D380="Congé spécial"),AND(F380="OFF",D380="Férié"),AND(F380="Congé",D380="OFF"),AND(F380="Congé",D380="Congé sans solde"),AND(F380="Congé",D380="Congé spécial"),AND(F380="Congé",D380="Férié"),AND(F380="Congé sans solde",D380="OFF"),AND(F380="Congé sans solde",D380="Congé"),AND(F380="Congé sans solde",D380="Congé spécial"),AND(F380="Congé sans solde",D380="Férié"),AND(F380="Congé spécial",D380="OFF"),AND(F380="Congé spécial",D380="Congé"),AND(F380="Congé spécial",D380="Congé sans solde"),AND(F380="Congé spécial",D380="Férié"),AND(F380="Férié",D380="OFF"),AND(F380="Férié",D380="Congé"),AND(F380="Férié",D380="Congé sans solde"),AND(F380="Férié",D380="Congé spécial")),0,IF(OR(F380="OFF",F380="Congé",F380="Congé spécial",F380="Congé sans solde",D380="OFF",D380="Congé",D380="Congé spécial",D380="Congé sans solde"),0.208333333333334,IF(AND(AG380="",F380-D380&lt;0),("24:00:00"-D380)+("00:00:00"+F380)-0.0416666666666667,IF(AND(OR(AG380="Allaitement",AG380="Sans déjeuner"),F380-D380&lt;0),("24:00:00"-D380)+("00:00:00"+F380),IF(AND(AG380="",F380-D380&gt;0.166666666666667),F380-D380-0.0416666666666667,IF(AND(OR(AG380="Allaitement",AG380="Sans déjeuner"),F380-D380&gt;0.166666666666667),F380-D380,F380-D380)))))))</f>
        <v>0.375</v>
      </c>
      <c r="P380" s="6" t="str">
        <f aca="false">IFERROR(VLOOKUP($B380,Agents!$A:$D,2,0),"-")</f>
        <v>Accessibilité</v>
      </c>
      <c r="Q380" s="21" t="n">
        <v>46076</v>
      </c>
      <c r="R380" s="8" t="n">
        <f aca="false">IF(M380="Abs",O380,0)</f>
        <v>0</v>
      </c>
      <c r="S380" s="8" t="n">
        <f aca="false">SUM(R380,L380,I380,J380,W380,H380)</f>
        <v>0</v>
      </c>
      <c r="T380" s="6" t="str">
        <f aca="false">"Sem - "&amp;WEEKNUM(Q380,21)</f>
        <v>Sem - 9</v>
      </c>
      <c r="U380" s="6" t="str">
        <f aca="false">CHOOSE(MONTH(Q380),"Janvier","Février","Mars","Avril","Mai","Juin","Juillet","Août","Septembre","Octobre","Novembre","Décembre")</f>
        <v>Février</v>
      </c>
      <c r="V380" s="22" t="n">
        <f aca="false">YEAR(Q380)</f>
        <v>2026</v>
      </c>
      <c r="W380" s="20"/>
      <c r="X380" s="8" t="n">
        <f aca="false">IFERROR(IF(M380="Abs",0,IF(ROUND((D380-C380+E380-F380)*1440,0)&lt;=1,0,D380-C380+E380-F380)),0)</f>
        <v>0.00138888888888889</v>
      </c>
      <c r="Y380" s="6" t="str">
        <f aca="false">IFERROR(VLOOKUP($B380,Agents!$A:$D,3,0),"-")</f>
        <v>OUBRAHIM Mohammed</v>
      </c>
      <c r="Z380" s="6" t="str">
        <f aca="false">IFERROR(VLOOKUP($B380,Agents!$A:$D,4,0),"-")</f>
        <v>Credit Mutuel</v>
      </c>
      <c r="AA380" s="18" t="s">
        <v>90</v>
      </c>
      <c r="AB380" s="8" t="str">
        <f aca="false">IF(AND(D380="Congé",F380="Congé"),0.333333333333333,IF(OR(AND(D380="Congé",F380&lt;&gt;"Congé"),(AND(F380="Congé",D380&lt;&gt;"Congé"))),0.166666666666667,""))</f>
        <v/>
      </c>
      <c r="AC380" s="8" t="str">
        <f aca="false">IF(AND(D380="Congé sans solde",F380="Congé sans solde"),0.333333333333333,IF(OR(AND(D380="Congé sans solde",F380&lt;&gt;"Congé sans solde"),(AND(F380="Congé sans solde",D380&lt;&gt;"Congé sans solde"))),0.166666666666667,""))</f>
        <v/>
      </c>
      <c r="AD380" s="8" t="str">
        <f aca="false">IF(AND(D380="Congé spécial",F380="Congé spécial"),0.333333333333333,IF(OR(AND(D380="Congé spécial",F380&lt;&gt;"Congé spécial"),AND(F380="Congé spécial",D380&lt;&gt;"Congé spécial")),0.166666666666667,""))</f>
        <v/>
      </c>
      <c r="AE380" s="8" t="str">
        <f aca="false">IF(AND(D380="Férié",F380="Férié"),0.333333333333333,IF(OR(AND(D380="Férié",F380&lt;&gt;"Férié"),(AND(F380="Férié",D380&lt;&gt;"Férié"))),0.166666666666667,""))</f>
        <v/>
      </c>
      <c r="AF380" s="18"/>
      <c r="AG380" s="18" t="s">
        <v>91</v>
      </c>
    </row>
    <row r="381" customFormat="false" ht="15" hidden="false" customHeight="false" outlineLevel="0" collapsed="false">
      <c r="A381" s="6" t="str">
        <f aca="false">YEAR(Q381-WEEKDAY(Q381,2)+4)&amp;"-S"&amp;TEXT(WEEKNUM(Q381,21),"00")</f>
        <v>2026-S09</v>
      </c>
      <c r="B381" s="18" t="s">
        <v>73</v>
      </c>
      <c r="C381" s="19" t="n">
        <v>0.333333333333333</v>
      </c>
      <c r="D381" s="19" t="n">
        <v>0.333333333333333</v>
      </c>
      <c r="E381" s="19" t="n">
        <v>0.708333333333333</v>
      </c>
      <c r="F381" s="19" t="n">
        <v>0.708333333333333</v>
      </c>
      <c r="G381" s="20"/>
      <c r="H381" s="20"/>
      <c r="I381" s="8" t="str">
        <f aca="false">IF(IF(OR(C381="",D381="Congé",D381="OFF",D381="Congé spécial"),"",IF(D381&gt;F381,D381-C381,IF(C381-D381&lt;0,0,C381-D381)))&lt;0.00068287037037037,"",IF(OR(D381="Congé",D381="OFF",C381="",D381="Congé spécial"),"",IF(D381&gt;F381,D381-C381,IF(C381-D381&lt;0,0,C381-D381))))</f>
        <v/>
      </c>
      <c r="J381" s="20"/>
      <c r="K381" s="8" t="n">
        <f aca="false">IF(SUM(H381:J381)&lt;0.00068287037037037,0,SUM(H381:J381))</f>
        <v>0</v>
      </c>
      <c r="L381" s="8" t="n">
        <f aca="false">IF(OR(F381="Congé",F381="OFF",M381="Abs",F381="Congé sans solde",F381="Férié",F381="Congé spécial",D381="Congé spécial"),0,IF(F381-E381&lt;0,0,IF(F381-E381&lt;=0.00068287037037037,0,F381-E381)))</f>
        <v>0</v>
      </c>
      <c r="M381" s="6" t="n">
        <f aca="false">IF(AND(O381&lt;&gt;0,C381=""),"Abs",0)</f>
        <v>0</v>
      </c>
      <c r="N381" s="8" t="n">
        <f aca="false">IFERROR(IF(OR(D381="OFF",D381="Congé",M381="Abs",D381="Congé sans solde",D381="Férié"),"",IF(O381-K381-L381&gt;O381,O381,IF(O381-K381-L381&lt;0,"",O381-K381-L381))),"")</f>
        <v>0.375</v>
      </c>
      <c r="O381" s="8" t="n">
        <f aca="false">IF(AG381="2H Pause déjeuner",IF(F381-D381-0.0833333333333333&lt;0,F381-D381-0.0833333333333333+1,F381-D381-0.0833333333333333),IF(OR(AND(F381="OFF",D381="OFF"),AND(F381="Congé",D381="Congé"),AND(F381="Congé sans solde",D381="Congé sans solde"),AND(F381="Congé spécial",D381="Congé spécial"),AND(F381="Férié",D381="Férié"),AND(F381="OFF",D381="Congé"),AND(F381="OFF",D381="Congé sans solde"),AND(F381="OFF",D381="Congé spécial"),AND(F381="OFF",D381="Férié"),AND(F381="Congé",D381="OFF"),AND(F381="Congé",D381="Congé sans solde"),AND(F381="Congé",D381="Congé spécial"),AND(F381="Congé",D381="Férié"),AND(F381="Congé sans solde",D381="OFF"),AND(F381="Congé sans solde",D381="Congé"),AND(F381="Congé sans solde",D381="Congé spécial"),AND(F381="Congé sans solde",D381="Férié"),AND(F381="Congé spécial",D381="OFF"),AND(F381="Congé spécial",D381="Congé"),AND(F381="Congé spécial",D381="Congé sans solde"),AND(F381="Congé spécial",D381="Férié"),AND(F381="Férié",D381="OFF"),AND(F381="Férié",D381="Congé"),AND(F381="Férié",D381="Congé sans solde"),AND(F381="Férié",D381="Congé spécial")),0,IF(OR(F381="OFF",F381="Congé",F381="Congé spécial",F381="Congé sans solde",D381="OFF",D381="Congé",D381="Congé spécial",D381="Congé sans solde"),0.208333333333334,IF(AND(AG381="",F381-D381&lt;0),("24:00:00"-D381)+("00:00:00"+F381)-0.0416666666666667,IF(AND(OR(AG381="Allaitement",AG381="Sans déjeuner"),F381-D381&lt;0),("24:00:00"-D381)+("00:00:00"+F381),IF(AND(AG381="",F381-D381&gt;0.166666666666667),F381-D381-0.0416666666666667,IF(AND(OR(AG381="Allaitement",AG381="Sans déjeuner"),F381-D381&gt;0.166666666666667),F381-D381,F381-D381)))))))</f>
        <v>0.375</v>
      </c>
      <c r="P381" s="6" t="str">
        <f aca="false">IFERROR(VLOOKUP($B381,Agents!$A:$D,2,0),"-")</f>
        <v>Accessibilité</v>
      </c>
      <c r="Q381" s="21" t="n">
        <v>46076</v>
      </c>
      <c r="R381" s="8" t="n">
        <f aca="false">IF(M381="Abs",O381,0)</f>
        <v>0</v>
      </c>
      <c r="S381" s="8" t="n">
        <f aca="false">SUM(R381,L381,I381,J381,W381,H381)</f>
        <v>0</v>
      </c>
      <c r="T381" s="6" t="str">
        <f aca="false">"Sem - "&amp;WEEKNUM(Q381,21)</f>
        <v>Sem - 9</v>
      </c>
      <c r="U381" s="6" t="str">
        <f aca="false">CHOOSE(MONTH(Q381),"Janvier","Février","Mars","Avril","Mai","Juin","Juillet","Août","Septembre","Octobre","Novembre","Décembre")</f>
        <v>Février</v>
      </c>
      <c r="V381" s="22" t="n">
        <f aca="false">YEAR(Q381)</f>
        <v>2026</v>
      </c>
      <c r="W381" s="20"/>
      <c r="X381" s="8" t="n">
        <f aca="false">IFERROR(IF(M381="Abs",0,IF(ROUND((D381-C381+E381-F381)*1440,0)&lt;=1,0,D381-C381+E381-F381)),0)</f>
        <v>0</v>
      </c>
      <c r="Y381" s="6" t="str">
        <f aca="false">IFERROR(VLOOKUP($B381,Agents!$A:$D,3,0),"-")</f>
        <v>OUBRAHIM Mohammed</v>
      </c>
      <c r="Z381" s="6" t="str">
        <f aca="false">IFERROR(VLOOKUP($B381,Agents!$A:$D,4,0),"-")</f>
        <v>Credit Mutuel</v>
      </c>
      <c r="AA381" s="18" t="s">
        <v>90</v>
      </c>
      <c r="AB381" s="8" t="str">
        <f aca="false">IF(AND(D381="Congé",F381="Congé"),0.333333333333333,IF(OR(AND(D381="Congé",F381&lt;&gt;"Congé"),(AND(F381="Congé",D381&lt;&gt;"Congé"))),0.166666666666667,""))</f>
        <v/>
      </c>
      <c r="AC381" s="8" t="str">
        <f aca="false">IF(AND(D381="Congé sans solde",F381="Congé sans solde"),0.333333333333333,IF(OR(AND(D381="Congé sans solde",F381&lt;&gt;"Congé sans solde"),(AND(F381="Congé sans solde",D381&lt;&gt;"Congé sans solde"))),0.166666666666667,""))</f>
        <v/>
      </c>
      <c r="AD381" s="8" t="str">
        <f aca="false">IF(AND(D381="Congé spécial",F381="Congé spécial"),0.333333333333333,IF(OR(AND(D381="Congé spécial",F381&lt;&gt;"Congé spécial"),AND(F381="Congé spécial",D381&lt;&gt;"Congé spécial")),0.166666666666667,""))</f>
        <v/>
      </c>
      <c r="AE381" s="8" t="str">
        <f aca="false">IF(AND(D381="Férié",F381="Férié"),0.333333333333333,IF(OR(AND(D381="Férié",F381&lt;&gt;"Férié"),(AND(F381="Férié",D381&lt;&gt;"Férié"))),0.166666666666667,""))</f>
        <v/>
      </c>
      <c r="AF381" s="18"/>
      <c r="AG381" s="18" t="s">
        <v>91</v>
      </c>
    </row>
    <row r="382" customFormat="false" ht="15" hidden="false" customHeight="false" outlineLevel="0" collapsed="false">
      <c r="A382" s="6" t="str">
        <f aca="false">YEAR(Q382-WEEKDAY(Q382,2)+4)&amp;"-S"&amp;TEXT(WEEKNUM(Q382,21),"00")</f>
        <v>2026-S09</v>
      </c>
      <c r="B382" s="18" t="s">
        <v>69</v>
      </c>
      <c r="C382" s="19" t="n">
        <v>0.333333333333333</v>
      </c>
      <c r="D382" s="19" t="n">
        <v>0.333333333333333</v>
      </c>
      <c r="E382" s="19" t="n">
        <v>0.708333333333333</v>
      </c>
      <c r="F382" s="19" t="n">
        <v>0.708333333333333</v>
      </c>
      <c r="G382" s="20"/>
      <c r="H382" s="20"/>
      <c r="I382" s="8" t="str">
        <f aca="false">IF(IF(OR(C382="",D382="Congé",D382="OFF",D382="Congé spécial"),"",IF(D382&gt;F382,D382-C382,IF(C382-D382&lt;0,0,C382-D382)))&lt;0.00068287037037037,"",IF(OR(D382="Congé",D382="OFF",C382="",D382="Congé spécial"),"",IF(D382&gt;F382,D382-C382,IF(C382-D382&lt;0,0,C382-D382))))</f>
        <v/>
      </c>
      <c r="J382" s="20"/>
      <c r="K382" s="8" t="n">
        <f aca="false">IF(SUM(H382:J382)&lt;0.00068287037037037,0,SUM(H382:J382))</f>
        <v>0</v>
      </c>
      <c r="L382" s="8" t="n">
        <f aca="false">IF(OR(F382="Congé",F382="OFF",M382="Abs",F382="Congé sans solde",F382="Férié",F382="Congé spécial",D382="Congé spécial"),0,IF(F382-E382&lt;0,0,IF(F382-E382&lt;=0.00068287037037037,0,F382-E382)))</f>
        <v>0</v>
      </c>
      <c r="M382" s="6" t="n">
        <f aca="false">IF(AND(O382&lt;&gt;0,C382=""),"Abs",0)</f>
        <v>0</v>
      </c>
      <c r="N382" s="8" t="n">
        <f aca="false">IFERROR(IF(OR(D382="OFF",D382="Congé",M382="Abs",D382="Congé sans solde",D382="Férié"),"",IF(O382-K382-L382&gt;O382,O382,IF(O382-K382-L382&lt;0,"",O382-K382-L382))),"")</f>
        <v>0.375</v>
      </c>
      <c r="O382" s="8" t="n">
        <f aca="false">IF(AG382="2H Pause déjeuner",IF(F382-D382-0.0833333333333333&lt;0,F382-D382-0.0833333333333333+1,F382-D382-0.0833333333333333),IF(OR(AND(F382="OFF",D382="OFF"),AND(F382="Congé",D382="Congé"),AND(F382="Congé sans solde",D382="Congé sans solde"),AND(F382="Congé spécial",D382="Congé spécial"),AND(F382="Férié",D382="Férié"),AND(F382="OFF",D382="Congé"),AND(F382="OFF",D382="Congé sans solde"),AND(F382="OFF",D382="Congé spécial"),AND(F382="OFF",D382="Férié"),AND(F382="Congé",D382="OFF"),AND(F382="Congé",D382="Congé sans solde"),AND(F382="Congé",D382="Congé spécial"),AND(F382="Congé",D382="Férié"),AND(F382="Congé sans solde",D382="OFF"),AND(F382="Congé sans solde",D382="Congé"),AND(F382="Congé sans solde",D382="Congé spécial"),AND(F382="Congé sans solde",D382="Férié"),AND(F382="Congé spécial",D382="OFF"),AND(F382="Congé spécial",D382="Congé"),AND(F382="Congé spécial",D382="Congé sans solde"),AND(F382="Congé spécial",D382="Férié"),AND(F382="Férié",D382="OFF"),AND(F382="Férié",D382="Congé"),AND(F382="Férié",D382="Congé sans solde"),AND(F382="Férié",D382="Congé spécial")),0,IF(OR(F382="OFF",F382="Congé",F382="Congé spécial",F382="Congé sans solde",D382="OFF",D382="Congé",D382="Congé spécial",D382="Congé sans solde"),0.208333333333334,IF(AND(AG382="",F382-D382&lt;0),("24:00:00"-D382)+("00:00:00"+F382)-0.0416666666666667,IF(AND(OR(AG382="Allaitement",AG382="Sans déjeuner"),F382-D382&lt;0),("24:00:00"-D382)+("00:00:00"+F382),IF(AND(AG382="",F382-D382&gt;0.166666666666667),F382-D382-0.0416666666666667,IF(AND(OR(AG382="Allaitement",AG382="Sans déjeuner"),F382-D382&gt;0.166666666666667),F382-D382,F382-D382)))))))</f>
        <v>0.375</v>
      </c>
      <c r="P382" s="6" t="str">
        <f aca="false">IFERROR(VLOOKUP($B382,Agents!$A:$D,2,0),"-")</f>
        <v>Accessibilité</v>
      </c>
      <c r="Q382" s="21" t="n">
        <v>46077</v>
      </c>
      <c r="R382" s="8" t="n">
        <f aca="false">IF(M382="Abs",O382,0)</f>
        <v>0</v>
      </c>
      <c r="S382" s="8" t="n">
        <f aca="false">SUM(R382,L382,I382,J382,W382,H382)</f>
        <v>0</v>
      </c>
      <c r="T382" s="6" t="str">
        <f aca="false">"Sem - "&amp;WEEKNUM(Q382,21)</f>
        <v>Sem - 9</v>
      </c>
      <c r="U382" s="6" t="str">
        <f aca="false">CHOOSE(MONTH(Q382),"Janvier","Février","Mars","Avril","Mai","Juin","Juillet","Août","Septembre","Octobre","Novembre","Décembre")</f>
        <v>Février</v>
      </c>
      <c r="V382" s="22" t="n">
        <f aca="false">YEAR(Q382)</f>
        <v>2026</v>
      </c>
      <c r="W382" s="20"/>
      <c r="X382" s="8" t="n">
        <f aca="false">IFERROR(IF(M382="Abs",0,IF(ROUND((D382-C382+E382-F382)*1440,0)&lt;=1,0,D382-C382+E382-F382)),0)</f>
        <v>0</v>
      </c>
      <c r="Y382" s="6" t="str">
        <f aca="false">IFERROR(VLOOKUP($B382,Agents!$A:$D,3,0),"-")</f>
        <v>OUBRAHIM Mohammed</v>
      </c>
      <c r="Z382" s="6" t="str">
        <f aca="false">IFERROR(VLOOKUP($B382,Agents!$A:$D,4,0),"-")</f>
        <v>Credit Mutuel</v>
      </c>
      <c r="AA382" s="18" t="s">
        <v>90</v>
      </c>
      <c r="AB382" s="8" t="str">
        <f aca="false">IF(AND(D382="Congé",F382="Congé"),0.333333333333333,IF(OR(AND(D382="Congé",F382&lt;&gt;"Congé"),(AND(F382="Congé",D382&lt;&gt;"Congé"))),0.166666666666667,""))</f>
        <v/>
      </c>
      <c r="AC382" s="8" t="str">
        <f aca="false">IF(AND(D382="Congé sans solde",F382="Congé sans solde"),0.333333333333333,IF(OR(AND(D382="Congé sans solde",F382&lt;&gt;"Congé sans solde"),(AND(F382="Congé sans solde",D382&lt;&gt;"Congé sans solde"))),0.166666666666667,""))</f>
        <v/>
      </c>
      <c r="AD382" s="8" t="str">
        <f aca="false">IF(AND(D382="Congé spécial",F382="Congé spécial"),0.333333333333333,IF(OR(AND(D382="Congé spécial",F382&lt;&gt;"Congé spécial"),AND(F382="Congé spécial",D382&lt;&gt;"Congé spécial")),0.166666666666667,""))</f>
        <v/>
      </c>
      <c r="AE382" s="8" t="str">
        <f aca="false">IF(AND(D382="Férié",F382="Férié"),0.333333333333333,IF(OR(AND(D382="Férié",F382&lt;&gt;"Férié"),(AND(F382="Férié",D382&lt;&gt;"Férié"))),0.166666666666667,""))</f>
        <v/>
      </c>
      <c r="AF382" s="18"/>
      <c r="AG382" s="18" t="s">
        <v>91</v>
      </c>
    </row>
    <row r="383" customFormat="false" ht="15" hidden="false" customHeight="false" outlineLevel="0" collapsed="false">
      <c r="A383" s="6" t="str">
        <f aca="false">YEAR(Q383-WEEKDAY(Q383,2)+4)&amp;"-S"&amp;TEXT(WEEKNUM(Q383,21),"00")</f>
        <v>2026-S09</v>
      </c>
      <c r="B383" s="18" t="s">
        <v>71</v>
      </c>
      <c r="C383" s="19" t="n">
        <v>0.333333333333333</v>
      </c>
      <c r="D383" s="19" t="n">
        <v>0.333333333333333</v>
      </c>
      <c r="E383" s="19" t="n">
        <v>0.708333333333333</v>
      </c>
      <c r="F383" s="19" t="n">
        <v>0.708333333333333</v>
      </c>
      <c r="G383" s="20"/>
      <c r="H383" s="20"/>
      <c r="I383" s="8" t="str">
        <f aca="false">IF(IF(OR(C383="",D383="Congé",D383="OFF",D383="Congé spécial"),"",IF(D383&gt;F383,D383-C383,IF(C383-D383&lt;0,0,C383-D383)))&lt;0.00068287037037037,"",IF(OR(D383="Congé",D383="OFF",C383="",D383="Congé spécial"),"",IF(D383&gt;F383,D383-C383,IF(C383-D383&lt;0,0,C383-D383))))</f>
        <v/>
      </c>
      <c r="J383" s="20"/>
      <c r="K383" s="8" t="n">
        <f aca="false">IF(SUM(H383:J383)&lt;0.00068287037037037,0,SUM(H383:J383))</f>
        <v>0</v>
      </c>
      <c r="L383" s="8" t="n">
        <f aca="false">IF(OR(F383="Congé",F383="OFF",M383="Abs",F383="Congé sans solde",F383="Férié",F383="Congé spécial",D383="Congé spécial"),0,IF(F383-E383&lt;0,0,IF(F383-E383&lt;=0.00068287037037037,0,F383-E383)))</f>
        <v>0</v>
      </c>
      <c r="M383" s="6" t="n">
        <f aca="false">IF(AND(O383&lt;&gt;0,C383=""),"Abs",0)</f>
        <v>0</v>
      </c>
      <c r="N383" s="8" t="n">
        <f aca="false">IFERROR(IF(OR(D383="OFF",D383="Congé",M383="Abs",D383="Congé sans solde",D383="Férié"),"",IF(O383-K383-L383&gt;O383,O383,IF(O383-K383-L383&lt;0,"",O383-K383-L383))),"")</f>
        <v>0.375</v>
      </c>
      <c r="O383" s="8" t="n">
        <f aca="false">IF(AG383="2H Pause déjeuner",IF(F383-D383-0.0833333333333333&lt;0,F383-D383-0.0833333333333333+1,F383-D383-0.0833333333333333),IF(OR(AND(F383="OFF",D383="OFF"),AND(F383="Congé",D383="Congé"),AND(F383="Congé sans solde",D383="Congé sans solde"),AND(F383="Congé spécial",D383="Congé spécial"),AND(F383="Férié",D383="Férié"),AND(F383="OFF",D383="Congé"),AND(F383="OFF",D383="Congé sans solde"),AND(F383="OFF",D383="Congé spécial"),AND(F383="OFF",D383="Férié"),AND(F383="Congé",D383="OFF"),AND(F383="Congé",D383="Congé sans solde"),AND(F383="Congé",D383="Congé spécial"),AND(F383="Congé",D383="Férié"),AND(F383="Congé sans solde",D383="OFF"),AND(F383="Congé sans solde",D383="Congé"),AND(F383="Congé sans solde",D383="Congé spécial"),AND(F383="Congé sans solde",D383="Férié"),AND(F383="Congé spécial",D383="OFF"),AND(F383="Congé spécial",D383="Congé"),AND(F383="Congé spécial",D383="Congé sans solde"),AND(F383="Congé spécial",D383="Férié"),AND(F383="Férié",D383="OFF"),AND(F383="Férié",D383="Congé"),AND(F383="Férié",D383="Congé sans solde"),AND(F383="Férié",D383="Congé spécial")),0,IF(OR(F383="OFF",F383="Congé",F383="Congé spécial",F383="Congé sans solde",D383="OFF",D383="Congé",D383="Congé spécial",D383="Congé sans solde"),0.208333333333334,IF(AND(AG383="",F383-D383&lt;0),("24:00:00"-D383)+("00:00:00"+F383)-0.0416666666666667,IF(AND(OR(AG383="Allaitement",AG383="Sans déjeuner"),F383-D383&lt;0),("24:00:00"-D383)+("00:00:00"+F383),IF(AND(AG383="",F383-D383&gt;0.166666666666667),F383-D383-0.0416666666666667,IF(AND(OR(AG383="Allaitement",AG383="Sans déjeuner"),F383-D383&gt;0.166666666666667),F383-D383,F383-D383)))))))</f>
        <v>0.375</v>
      </c>
      <c r="P383" s="6" t="str">
        <f aca="false">IFERROR(VLOOKUP($B383,Agents!$A:$D,2,0),"-")</f>
        <v>Accessibilité</v>
      </c>
      <c r="Q383" s="21" t="n">
        <v>46077</v>
      </c>
      <c r="R383" s="8" t="n">
        <f aca="false">IF(M383="Abs",O383,0)</f>
        <v>0</v>
      </c>
      <c r="S383" s="8" t="n">
        <f aca="false">SUM(R383,L383,I383,J383,W383,H383)</f>
        <v>0</v>
      </c>
      <c r="T383" s="6" t="str">
        <f aca="false">"Sem - "&amp;WEEKNUM(Q383,21)</f>
        <v>Sem - 9</v>
      </c>
      <c r="U383" s="6" t="str">
        <f aca="false">CHOOSE(MONTH(Q383),"Janvier","Février","Mars","Avril","Mai","Juin","Juillet","Août","Septembre","Octobre","Novembre","Décembre")</f>
        <v>Février</v>
      </c>
      <c r="V383" s="22" t="n">
        <f aca="false">YEAR(Q383)</f>
        <v>2026</v>
      </c>
      <c r="W383" s="20"/>
      <c r="X383" s="8" t="n">
        <f aca="false">IFERROR(IF(M383="Abs",0,IF(ROUND((D383-C383+E383-F383)*1440,0)&lt;=1,0,D383-C383+E383-F383)),0)</f>
        <v>0</v>
      </c>
      <c r="Y383" s="6" t="str">
        <f aca="false">IFERROR(VLOOKUP($B383,Agents!$A:$D,3,0),"-")</f>
        <v>OUBRAHIM Mohammed</v>
      </c>
      <c r="Z383" s="6" t="str">
        <f aca="false">IFERROR(VLOOKUP($B383,Agents!$A:$D,4,0),"-")</f>
        <v>Credit Mutuel</v>
      </c>
      <c r="AA383" s="18" t="s">
        <v>90</v>
      </c>
      <c r="AB383" s="8" t="str">
        <f aca="false">IF(AND(D383="Congé",F383="Congé"),0.333333333333333,IF(OR(AND(D383="Congé",F383&lt;&gt;"Congé"),(AND(F383="Congé",D383&lt;&gt;"Congé"))),0.166666666666667,""))</f>
        <v/>
      </c>
      <c r="AC383" s="8" t="str">
        <f aca="false">IF(AND(D383="Congé sans solde",F383="Congé sans solde"),0.333333333333333,IF(OR(AND(D383="Congé sans solde",F383&lt;&gt;"Congé sans solde"),(AND(F383="Congé sans solde",D383&lt;&gt;"Congé sans solde"))),0.166666666666667,""))</f>
        <v/>
      </c>
      <c r="AD383" s="8" t="str">
        <f aca="false">IF(AND(D383="Congé spécial",F383="Congé spécial"),0.333333333333333,IF(OR(AND(D383="Congé spécial",F383&lt;&gt;"Congé spécial"),AND(F383="Congé spécial",D383&lt;&gt;"Congé spécial")),0.166666666666667,""))</f>
        <v/>
      </c>
      <c r="AE383" s="8" t="str">
        <f aca="false">IF(AND(D383="Férié",F383="Férié"),0.333333333333333,IF(OR(AND(D383="Férié",F383&lt;&gt;"Férié"),(AND(F383="Férié",D383&lt;&gt;"Férié"))),0.166666666666667,""))</f>
        <v/>
      </c>
      <c r="AF383" s="18"/>
      <c r="AG383" s="18" t="s">
        <v>91</v>
      </c>
    </row>
    <row r="384" customFormat="false" ht="15" hidden="false" customHeight="false" outlineLevel="0" collapsed="false">
      <c r="A384" s="6" t="str">
        <f aca="false">YEAR(Q384-WEEKDAY(Q384,2)+4)&amp;"-S"&amp;TEXT(WEEKNUM(Q384,21),"00")</f>
        <v>2026-S09</v>
      </c>
      <c r="B384" s="18" t="s">
        <v>72</v>
      </c>
      <c r="C384" s="19" t="n">
        <v>0.333333333333333</v>
      </c>
      <c r="D384" s="19" t="n">
        <v>0.333333333333333</v>
      </c>
      <c r="E384" s="19" t="n">
        <v>0.708333333333333</v>
      </c>
      <c r="F384" s="19" t="n">
        <v>0.708333333333333</v>
      </c>
      <c r="G384" s="20"/>
      <c r="H384" s="20"/>
      <c r="I384" s="8" t="str">
        <f aca="false">IF(IF(OR(C384="",D384="Congé",D384="OFF",D384="Congé spécial"),"",IF(D384&gt;F384,D384-C384,IF(C384-D384&lt;0,0,C384-D384)))&lt;0.00068287037037037,"",IF(OR(D384="Congé",D384="OFF",C384="",D384="Congé spécial"),"",IF(D384&gt;F384,D384-C384,IF(C384-D384&lt;0,0,C384-D384))))</f>
        <v/>
      </c>
      <c r="J384" s="20"/>
      <c r="K384" s="8" t="n">
        <f aca="false">IF(SUM(H384:J384)&lt;0.00068287037037037,0,SUM(H384:J384))</f>
        <v>0</v>
      </c>
      <c r="L384" s="8" t="n">
        <f aca="false">IF(OR(F384="Congé",F384="OFF",M384="Abs",F384="Congé sans solde",F384="Férié",F384="Congé spécial",D384="Congé spécial"),0,IF(F384-E384&lt;0,0,IF(F384-E384&lt;=0.00068287037037037,0,F384-E384)))</f>
        <v>0</v>
      </c>
      <c r="M384" s="6" t="n">
        <f aca="false">IF(AND(O384&lt;&gt;0,C384=""),"Abs",0)</f>
        <v>0</v>
      </c>
      <c r="N384" s="8" t="n">
        <f aca="false">IFERROR(IF(OR(D384="OFF",D384="Congé",M384="Abs",D384="Congé sans solde",D384="Férié"),"",IF(O384-K384-L384&gt;O384,O384,IF(O384-K384-L384&lt;0,"",O384-K384-L384))),"")</f>
        <v>0.375</v>
      </c>
      <c r="O384" s="8" t="n">
        <f aca="false">IF(AG384="2H Pause déjeuner",IF(F384-D384-0.0833333333333333&lt;0,F384-D384-0.0833333333333333+1,F384-D384-0.0833333333333333),IF(OR(AND(F384="OFF",D384="OFF"),AND(F384="Congé",D384="Congé"),AND(F384="Congé sans solde",D384="Congé sans solde"),AND(F384="Congé spécial",D384="Congé spécial"),AND(F384="Férié",D384="Férié"),AND(F384="OFF",D384="Congé"),AND(F384="OFF",D384="Congé sans solde"),AND(F384="OFF",D384="Congé spécial"),AND(F384="OFF",D384="Férié"),AND(F384="Congé",D384="OFF"),AND(F384="Congé",D384="Congé sans solde"),AND(F384="Congé",D384="Congé spécial"),AND(F384="Congé",D384="Férié"),AND(F384="Congé sans solde",D384="OFF"),AND(F384="Congé sans solde",D384="Congé"),AND(F384="Congé sans solde",D384="Congé spécial"),AND(F384="Congé sans solde",D384="Férié"),AND(F384="Congé spécial",D384="OFF"),AND(F384="Congé spécial",D384="Congé"),AND(F384="Congé spécial",D384="Congé sans solde"),AND(F384="Congé spécial",D384="Férié"),AND(F384="Férié",D384="OFF"),AND(F384="Férié",D384="Congé"),AND(F384="Férié",D384="Congé sans solde"),AND(F384="Férié",D384="Congé spécial")),0,IF(OR(F384="OFF",F384="Congé",F384="Congé spécial",F384="Congé sans solde",D384="OFF",D384="Congé",D384="Congé spécial",D384="Congé sans solde"),0.208333333333334,IF(AND(AG384="",F384-D384&lt;0),("24:00:00"-D384)+("00:00:00"+F384)-0.0416666666666667,IF(AND(OR(AG384="Allaitement",AG384="Sans déjeuner"),F384-D384&lt;0),("24:00:00"-D384)+("00:00:00"+F384),IF(AND(AG384="",F384-D384&gt;0.166666666666667),F384-D384-0.0416666666666667,IF(AND(OR(AG384="Allaitement",AG384="Sans déjeuner"),F384-D384&gt;0.166666666666667),F384-D384,F384-D384)))))))</f>
        <v>0.375</v>
      </c>
      <c r="P384" s="6" t="str">
        <f aca="false">IFERROR(VLOOKUP($B384,Agents!$A:$D,2,0),"-")</f>
        <v>Accessibilité</v>
      </c>
      <c r="Q384" s="21" t="n">
        <v>46077</v>
      </c>
      <c r="R384" s="8" t="n">
        <f aca="false">IF(M384="Abs",O384,0)</f>
        <v>0</v>
      </c>
      <c r="S384" s="8" t="n">
        <f aca="false">SUM(R384,L384,I384,J384,W384,H384)</f>
        <v>0</v>
      </c>
      <c r="T384" s="6" t="str">
        <f aca="false">"Sem - "&amp;WEEKNUM(Q384,21)</f>
        <v>Sem - 9</v>
      </c>
      <c r="U384" s="6" t="str">
        <f aca="false">CHOOSE(MONTH(Q384),"Janvier","Février","Mars","Avril","Mai","Juin","Juillet","Août","Septembre","Octobre","Novembre","Décembre")</f>
        <v>Février</v>
      </c>
      <c r="V384" s="22" t="n">
        <f aca="false">YEAR(Q384)</f>
        <v>2026</v>
      </c>
      <c r="W384" s="20"/>
      <c r="X384" s="8" t="n">
        <f aca="false">IFERROR(IF(M384="Abs",0,IF(ROUND((D384-C384+E384-F384)*1440,0)&lt;=1,0,D384-C384+E384-F384)),0)</f>
        <v>0</v>
      </c>
      <c r="Y384" s="6" t="str">
        <f aca="false">IFERROR(VLOOKUP($B384,Agents!$A:$D,3,0),"-")</f>
        <v>OUBRAHIM Mohammed</v>
      </c>
      <c r="Z384" s="6" t="str">
        <f aca="false">IFERROR(VLOOKUP($B384,Agents!$A:$D,4,0),"-")</f>
        <v>Credit Mutuel</v>
      </c>
      <c r="AA384" s="18" t="s">
        <v>90</v>
      </c>
      <c r="AB384" s="8" t="str">
        <f aca="false">IF(AND(D384="Congé",F384="Congé"),0.333333333333333,IF(OR(AND(D384="Congé",F384&lt;&gt;"Congé"),(AND(F384="Congé",D384&lt;&gt;"Congé"))),0.166666666666667,""))</f>
        <v/>
      </c>
      <c r="AC384" s="8" t="str">
        <f aca="false">IF(AND(D384="Congé sans solde",F384="Congé sans solde"),0.333333333333333,IF(OR(AND(D384="Congé sans solde",F384&lt;&gt;"Congé sans solde"),(AND(F384="Congé sans solde",D384&lt;&gt;"Congé sans solde"))),0.166666666666667,""))</f>
        <v/>
      </c>
      <c r="AD384" s="8" t="str">
        <f aca="false">IF(AND(D384="Congé spécial",F384="Congé spécial"),0.333333333333333,IF(OR(AND(D384="Congé spécial",F384&lt;&gt;"Congé spécial"),AND(F384="Congé spécial",D384&lt;&gt;"Congé spécial")),0.166666666666667,""))</f>
        <v/>
      </c>
      <c r="AE384" s="8" t="str">
        <f aca="false">IF(AND(D384="Férié",F384="Férié"),0.333333333333333,IF(OR(AND(D384="Férié",F384&lt;&gt;"Férié"),(AND(F384="Férié",D384&lt;&gt;"Férié"))),0.166666666666667,""))</f>
        <v/>
      </c>
      <c r="AF384" s="18"/>
      <c r="AG384" s="18" t="s">
        <v>91</v>
      </c>
    </row>
    <row r="385" customFormat="false" ht="15" hidden="false" customHeight="false" outlineLevel="0" collapsed="false">
      <c r="A385" s="6" t="str">
        <f aca="false">YEAR(Q385-WEEKDAY(Q385,2)+4)&amp;"-S"&amp;TEXT(WEEKNUM(Q385,21),"00")</f>
        <v>2026-S09</v>
      </c>
      <c r="B385" s="18" t="s">
        <v>73</v>
      </c>
      <c r="C385" s="19" t="n">
        <v>0.332638888888889</v>
      </c>
      <c r="D385" s="19" t="n">
        <v>0.333333333333333</v>
      </c>
      <c r="E385" s="19" t="n">
        <v>0.708333333333333</v>
      </c>
      <c r="F385" s="19" t="n">
        <v>0.708333333333333</v>
      </c>
      <c r="G385" s="20"/>
      <c r="H385" s="20"/>
      <c r="I385" s="8" t="str">
        <f aca="false">IF(IF(OR(C385="",D385="Congé",D385="OFF",D385="Congé spécial"),"",IF(D385&gt;F385,D385-C385,IF(C385-D385&lt;0,0,C385-D385)))&lt;0.00068287037037037,"",IF(OR(D385="Congé",D385="OFF",C385="",D385="Congé spécial"),"",IF(D385&gt;F385,D385-C385,IF(C385-D385&lt;0,0,C385-D385))))</f>
        <v/>
      </c>
      <c r="J385" s="20"/>
      <c r="K385" s="8" t="n">
        <f aca="false">IF(SUM(H385:J385)&lt;0.00068287037037037,0,SUM(H385:J385))</f>
        <v>0</v>
      </c>
      <c r="L385" s="8" t="n">
        <f aca="false">IF(OR(F385="Congé",F385="OFF",M385="Abs",F385="Congé sans solde",F385="Férié",F385="Congé spécial",D385="Congé spécial"),0,IF(F385-E385&lt;0,0,IF(F385-E385&lt;=0.00068287037037037,0,F385-E385)))</f>
        <v>0</v>
      </c>
      <c r="M385" s="6" t="n">
        <f aca="false">IF(AND(O385&lt;&gt;0,C385=""),"Abs",0)</f>
        <v>0</v>
      </c>
      <c r="N385" s="8" t="n">
        <f aca="false">IFERROR(IF(OR(D385="OFF",D385="Congé",M385="Abs",D385="Congé sans solde",D385="Férié"),"",IF(O385-K385-L385&gt;O385,O385,IF(O385-K385-L385&lt;0,"",O385-K385-L385))),"")</f>
        <v>0.375</v>
      </c>
      <c r="O385" s="8" t="n">
        <f aca="false">IF(AG385="2H Pause déjeuner",IF(F385-D385-0.0833333333333333&lt;0,F385-D385-0.0833333333333333+1,F385-D385-0.0833333333333333),IF(OR(AND(F385="OFF",D385="OFF"),AND(F385="Congé",D385="Congé"),AND(F385="Congé sans solde",D385="Congé sans solde"),AND(F385="Congé spécial",D385="Congé spécial"),AND(F385="Férié",D385="Férié"),AND(F385="OFF",D385="Congé"),AND(F385="OFF",D385="Congé sans solde"),AND(F385="OFF",D385="Congé spécial"),AND(F385="OFF",D385="Férié"),AND(F385="Congé",D385="OFF"),AND(F385="Congé",D385="Congé sans solde"),AND(F385="Congé",D385="Congé spécial"),AND(F385="Congé",D385="Férié"),AND(F385="Congé sans solde",D385="OFF"),AND(F385="Congé sans solde",D385="Congé"),AND(F385="Congé sans solde",D385="Congé spécial"),AND(F385="Congé sans solde",D385="Férié"),AND(F385="Congé spécial",D385="OFF"),AND(F385="Congé spécial",D385="Congé"),AND(F385="Congé spécial",D385="Congé sans solde"),AND(F385="Congé spécial",D385="Férié"),AND(F385="Férié",D385="OFF"),AND(F385="Férié",D385="Congé"),AND(F385="Férié",D385="Congé sans solde"),AND(F385="Férié",D385="Congé spécial")),0,IF(OR(F385="OFF",F385="Congé",F385="Congé spécial",F385="Congé sans solde",D385="OFF",D385="Congé",D385="Congé spécial",D385="Congé sans solde"),0.208333333333334,IF(AND(AG385="",F385-D385&lt;0),("24:00:00"-D385)+("00:00:00"+F385)-0.0416666666666667,IF(AND(OR(AG385="Allaitement",AG385="Sans déjeuner"),F385-D385&lt;0),("24:00:00"-D385)+("00:00:00"+F385),IF(AND(AG385="",F385-D385&gt;0.166666666666667),F385-D385-0.0416666666666667,IF(AND(OR(AG385="Allaitement",AG385="Sans déjeuner"),F385-D385&gt;0.166666666666667),F385-D385,F385-D385)))))))</f>
        <v>0.375</v>
      </c>
      <c r="P385" s="6" t="str">
        <f aca="false">IFERROR(VLOOKUP($B385,Agents!$A:$D,2,0),"-")</f>
        <v>Accessibilité</v>
      </c>
      <c r="Q385" s="21" t="n">
        <v>46077</v>
      </c>
      <c r="R385" s="8" t="n">
        <f aca="false">IF(M385="Abs",O385,0)</f>
        <v>0</v>
      </c>
      <c r="S385" s="8" t="n">
        <f aca="false">SUM(R385,L385,I385,J385,W385,H385)</f>
        <v>0</v>
      </c>
      <c r="T385" s="6" t="str">
        <f aca="false">"Sem - "&amp;WEEKNUM(Q385,21)</f>
        <v>Sem - 9</v>
      </c>
      <c r="U385" s="6" t="str">
        <f aca="false">CHOOSE(MONTH(Q385),"Janvier","Février","Mars","Avril","Mai","Juin","Juillet","Août","Septembre","Octobre","Novembre","Décembre")</f>
        <v>Février</v>
      </c>
      <c r="V385" s="22" t="n">
        <f aca="false">YEAR(Q385)</f>
        <v>2026</v>
      </c>
      <c r="W385" s="20"/>
      <c r="X385" s="8" t="n">
        <f aca="false">IFERROR(IF(M385="Abs",0,IF(ROUND((D385-C385+E385-F385)*1440,0)&lt;=1,0,D385-C385+E385-F385)),0)</f>
        <v>0</v>
      </c>
      <c r="Y385" s="6" t="str">
        <f aca="false">IFERROR(VLOOKUP($B385,Agents!$A:$D,3,0),"-")</f>
        <v>OUBRAHIM Mohammed</v>
      </c>
      <c r="Z385" s="6" t="str">
        <f aca="false">IFERROR(VLOOKUP($B385,Agents!$A:$D,4,0),"-")</f>
        <v>Credit Mutuel</v>
      </c>
      <c r="AA385" s="18" t="s">
        <v>90</v>
      </c>
      <c r="AB385" s="8" t="str">
        <f aca="false">IF(AND(D385="Congé",F385="Congé"),0.333333333333333,IF(OR(AND(D385="Congé",F385&lt;&gt;"Congé"),(AND(F385="Congé",D385&lt;&gt;"Congé"))),0.166666666666667,""))</f>
        <v/>
      </c>
      <c r="AC385" s="8" t="str">
        <f aca="false">IF(AND(D385="Congé sans solde",F385="Congé sans solde"),0.333333333333333,IF(OR(AND(D385="Congé sans solde",F385&lt;&gt;"Congé sans solde"),(AND(F385="Congé sans solde",D385&lt;&gt;"Congé sans solde"))),0.166666666666667,""))</f>
        <v/>
      </c>
      <c r="AD385" s="8" t="str">
        <f aca="false">IF(AND(D385="Congé spécial",F385="Congé spécial"),0.333333333333333,IF(OR(AND(D385="Congé spécial",F385&lt;&gt;"Congé spécial"),AND(F385="Congé spécial",D385&lt;&gt;"Congé spécial")),0.166666666666667,""))</f>
        <v/>
      </c>
      <c r="AE385" s="8" t="str">
        <f aca="false">IF(AND(D385="Férié",F385="Férié"),0.333333333333333,IF(OR(AND(D385="Férié",F385&lt;&gt;"Férié"),(AND(F385="Férié",D385&lt;&gt;"Férié"))),0.166666666666667,""))</f>
        <v/>
      </c>
      <c r="AF385" s="18"/>
      <c r="AG385" s="18" t="s">
        <v>91</v>
      </c>
    </row>
    <row r="386" customFormat="false" ht="15" hidden="false" customHeight="false" outlineLevel="0" collapsed="false">
      <c r="A386" s="6" t="str">
        <f aca="false">YEAR(Q386-WEEKDAY(Q386,2)+4)&amp;"-S"&amp;TEXT(WEEKNUM(Q386,21),"00")</f>
        <v>2026-S09</v>
      </c>
      <c r="B386" s="18" t="s">
        <v>69</v>
      </c>
      <c r="C386" s="19" t="n">
        <v>0.333333333333333</v>
      </c>
      <c r="D386" s="19" t="n">
        <v>0.333333333333333</v>
      </c>
      <c r="E386" s="19" t="n">
        <v>0.708333333333333</v>
      </c>
      <c r="F386" s="19" t="n">
        <v>0.708333333333333</v>
      </c>
      <c r="G386" s="20"/>
      <c r="H386" s="20"/>
      <c r="I386" s="8" t="str">
        <f aca="false">IF(IF(OR(C386="",D386="Congé",D386="OFF",D386="Congé spécial"),"",IF(D386&gt;F386,D386-C386,IF(C386-D386&lt;0,0,C386-D386)))&lt;0.00068287037037037,"",IF(OR(D386="Congé",D386="OFF",C386="",D386="Congé spécial"),"",IF(D386&gt;F386,D386-C386,IF(C386-D386&lt;0,0,C386-D386))))</f>
        <v/>
      </c>
      <c r="J386" s="20"/>
      <c r="K386" s="8" t="n">
        <f aca="false">IF(SUM(H386:J386)&lt;0.00068287037037037,0,SUM(H386:J386))</f>
        <v>0</v>
      </c>
      <c r="L386" s="8" t="n">
        <f aca="false">IF(OR(F386="Congé",F386="OFF",M386="Abs",F386="Congé sans solde",F386="Férié",F386="Congé spécial",D386="Congé spécial"),0,IF(F386-E386&lt;0,0,IF(F386-E386&lt;=0.00068287037037037,0,F386-E386)))</f>
        <v>0</v>
      </c>
      <c r="M386" s="6" t="n">
        <f aca="false">IF(AND(O386&lt;&gt;0,C386=""),"Abs",0)</f>
        <v>0</v>
      </c>
      <c r="N386" s="8" t="n">
        <f aca="false">IFERROR(IF(OR(D386="OFF",D386="Congé",M386="Abs",D386="Congé sans solde",D386="Férié"),"",IF(O386-K386-L386&gt;O386,O386,IF(O386-K386-L386&lt;0,"",O386-K386-L386))),"")</f>
        <v>0.375</v>
      </c>
      <c r="O386" s="8" t="n">
        <f aca="false">IF(AG386="2H Pause déjeuner",IF(F386-D386-0.0833333333333333&lt;0,F386-D386-0.0833333333333333+1,F386-D386-0.0833333333333333),IF(OR(AND(F386="OFF",D386="OFF"),AND(F386="Congé",D386="Congé"),AND(F386="Congé sans solde",D386="Congé sans solde"),AND(F386="Congé spécial",D386="Congé spécial"),AND(F386="Férié",D386="Férié"),AND(F386="OFF",D386="Congé"),AND(F386="OFF",D386="Congé sans solde"),AND(F386="OFF",D386="Congé spécial"),AND(F386="OFF",D386="Férié"),AND(F386="Congé",D386="OFF"),AND(F386="Congé",D386="Congé sans solde"),AND(F386="Congé",D386="Congé spécial"),AND(F386="Congé",D386="Férié"),AND(F386="Congé sans solde",D386="OFF"),AND(F386="Congé sans solde",D386="Congé"),AND(F386="Congé sans solde",D386="Congé spécial"),AND(F386="Congé sans solde",D386="Férié"),AND(F386="Congé spécial",D386="OFF"),AND(F386="Congé spécial",D386="Congé"),AND(F386="Congé spécial",D386="Congé sans solde"),AND(F386="Congé spécial",D386="Férié"),AND(F386="Férié",D386="OFF"),AND(F386="Férié",D386="Congé"),AND(F386="Férié",D386="Congé sans solde"),AND(F386="Férié",D386="Congé spécial")),0,IF(OR(F386="OFF",F386="Congé",F386="Congé spécial",F386="Congé sans solde",D386="OFF",D386="Congé",D386="Congé spécial",D386="Congé sans solde"),0.208333333333334,IF(AND(AG386="",F386-D386&lt;0),("24:00:00"-D386)+("00:00:00"+F386)-0.0416666666666667,IF(AND(OR(AG386="Allaitement",AG386="Sans déjeuner"),F386-D386&lt;0),("24:00:00"-D386)+("00:00:00"+F386),IF(AND(AG386="",F386-D386&gt;0.166666666666667),F386-D386-0.0416666666666667,IF(AND(OR(AG386="Allaitement",AG386="Sans déjeuner"),F386-D386&gt;0.166666666666667),F386-D386,F386-D386)))))))</f>
        <v>0.375</v>
      </c>
      <c r="P386" s="6" t="str">
        <f aca="false">IFERROR(VLOOKUP($B386,Agents!$A:$D,2,0),"-")</f>
        <v>Accessibilité</v>
      </c>
      <c r="Q386" s="21" t="n">
        <v>46078</v>
      </c>
      <c r="R386" s="8" t="n">
        <f aca="false">IF(M386="Abs",O386,0)</f>
        <v>0</v>
      </c>
      <c r="S386" s="8" t="n">
        <f aca="false">SUM(R386,L386,I386,J386,W386,H386)</f>
        <v>0</v>
      </c>
      <c r="T386" s="6" t="str">
        <f aca="false">"Sem - "&amp;WEEKNUM(Q386,21)</f>
        <v>Sem - 9</v>
      </c>
      <c r="U386" s="6" t="str">
        <f aca="false">CHOOSE(MONTH(Q386),"Janvier","Février","Mars","Avril","Mai","Juin","Juillet","Août","Septembre","Octobre","Novembre","Décembre")</f>
        <v>Février</v>
      </c>
      <c r="V386" s="22" t="n">
        <f aca="false">YEAR(Q386)</f>
        <v>2026</v>
      </c>
      <c r="W386" s="20"/>
      <c r="X386" s="8" t="n">
        <f aca="false">IFERROR(IF(M386="Abs",0,IF(ROUND((D386-C386+E386-F386)*1440,0)&lt;=1,0,D386-C386+E386-F386)),0)</f>
        <v>0</v>
      </c>
      <c r="Y386" s="6" t="str">
        <f aca="false">IFERROR(VLOOKUP($B386,Agents!$A:$D,3,0),"-")</f>
        <v>OUBRAHIM Mohammed</v>
      </c>
      <c r="Z386" s="6" t="str">
        <f aca="false">IFERROR(VLOOKUP($B386,Agents!$A:$D,4,0),"-")</f>
        <v>Credit Mutuel</v>
      </c>
      <c r="AA386" s="18" t="s">
        <v>90</v>
      </c>
      <c r="AB386" s="8" t="str">
        <f aca="false">IF(AND(D386="Congé",F386="Congé"),0.333333333333333,IF(OR(AND(D386="Congé",F386&lt;&gt;"Congé"),(AND(F386="Congé",D386&lt;&gt;"Congé"))),0.166666666666667,""))</f>
        <v/>
      </c>
      <c r="AC386" s="8" t="str">
        <f aca="false">IF(AND(D386="Congé sans solde",F386="Congé sans solde"),0.333333333333333,IF(OR(AND(D386="Congé sans solde",F386&lt;&gt;"Congé sans solde"),(AND(F386="Congé sans solde",D386&lt;&gt;"Congé sans solde"))),0.166666666666667,""))</f>
        <v/>
      </c>
      <c r="AD386" s="8" t="str">
        <f aca="false">IF(AND(D386="Congé spécial",F386="Congé spécial"),0.333333333333333,IF(OR(AND(D386="Congé spécial",F386&lt;&gt;"Congé spécial"),AND(F386="Congé spécial",D386&lt;&gt;"Congé spécial")),0.166666666666667,""))</f>
        <v/>
      </c>
      <c r="AE386" s="8" t="str">
        <f aca="false">IF(AND(D386="Férié",F386="Férié"),0.333333333333333,IF(OR(AND(D386="Férié",F386&lt;&gt;"Férié"),(AND(F386="Férié",D386&lt;&gt;"Férié"))),0.166666666666667,""))</f>
        <v/>
      </c>
      <c r="AF386" s="18"/>
      <c r="AG386" s="18" t="s">
        <v>91</v>
      </c>
    </row>
    <row r="387" customFormat="false" ht="15" hidden="false" customHeight="false" outlineLevel="0" collapsed="false">
      <c r="A387" s="6" t="str">
        <f aca="false">YEAR(Q387-WEEKDAY(Q387,2)+4)&amp;"-S"&amp;TEXT(WEEKNUM(Q387,21),"00")</f>
        <v>2026-S09</v>
      </c>
      <c r="B387" s="18" t="s">
        <v>71</v>
      </c>
      <c r="C387" s="19" t="n">
        <v>0.332638888888889</v>
      </c>
      <c r="D387" s="19" t="n">
        <v>0.333333333333333</v>
      </c>
      <c r="E387" s="19" t="n">
        <v>0.708333333333333</v>
      </c>
      <c r="F387" s="19" t="n">
        <v>0.708333333333333</v>
      </c>
      <c r="G387" s="20"/>
      <c r="H387" s="20"/>
      <c r="I387" s="8" t="str">
        <f aca="false">IF(IF(OR(C387="",D387="Congé",D387="OFF",D387="Congé spécial"),"",IF(D387&gt;F387,D387-C387,IF(C387-D387&lt;0,0,C387-D387)))&lt;0.00068287037037037,"",IF(OR(D387="Congé",D387="OFF",C387="",D387="Congé spécial"),"",IF(D387&gt;F387,D387-C387,IF(C387-D387&lt;0,0,C387-D387))))</f>
        <v/>
      </c>
      <c r="J387" s="20"/>
      <c r="K387" s="8" t="n">
        <f aca="false">IF(SUM(H387:J387)&lt;0.00068287037037037,0,SUM(H387:J387))</f>
        <v>0</v>
      </c>
      <c r="L387" s="8" t="n">
        <f aca="false">IF(OR(F387="Congé",F387="OFF",M387="Abs",F387="Congé sans solde",F387="Férié",F387="Congé spécial",D387="Congé spécial"),0,IF(F387-E387&lt;0,0,IF(F387-E387&lt;=0.00068287037037037,0,F387-E387)))</f>
        <v>0</v>
      </c>
      <c r="M387" s="6" t="n">
        <f aca="false">IF(AND(O387&lt;&gt;0,C387=""),"Abs",0)</f>
        <v>0</v>
      </c>
      <c r="N387" s="8" t="n">
        <f aca="false">IFERROR(IF(OR(D387="OFF",D387="Congé",M387="Abs",D387="Congé sans solde",D387="Férié"),"",IF(O387-K387-L387&gt;O387,O387,IF(O387-K387-L387&lt;0,"",O387-K387-L387))),"")</f>
        <v>0.375</v>
      </c>
      <c r="O387" s="8" t="n">
        <f aca="false">IF(AG387="2H Pause déjeuner",IF(F387-D387-0.0833333333333333&lt;0,F387-D387-0.0833333333333333+1,F387-D387-0.0833333333333333),IF(OR(AND(F387="OFF",D387="OFF"),AND(F387="Congé",D387="Congé"),AND(F387="Congé sans solde",D387="Congé sans solde"),AND(F387="Congé spécial",D387="Congé spécial"),AND(F387="Férié",D387="Férié"),AND(F387="OFF",D387="Congé"),AND(F387="OFF",D387="Congé sans solde"),AND(F387="OFF",D387="Congé spécial"),AND(F387="OFF",D387="Férié"),AND(F387="Congé",D387="OFF"),AND(F387="Congé",D387="Congé sans solde"),AND(F387="Congé",D387="Congé spécial"),AND(F387="Congé",D387="Férié"),AND(F387="Congé sans solde",D387="OFF"),AND(F387="Congé sans solde",D387="Congé"),AND(F387="Congé sans solde",D387="Congé spécial"),AND(F387="Congé sans solde",D387="Férié"),AND(F387="Congé spécial",D387="OFF"),AND(F387="Congé spécial",D387="Congé"),AND(F387="Congé spécial",D387="Congé sans solde"),AND(F387="Congé spécial",D387="Férié"),AND(F387="Férié",D387="OFF"),AND(F387="Férié",D387="Congé"),AND(F387="Férié",D387="Congé sans solde"),AND(F387="Férié",D387="Congé spécial")),0,IF(OR(F387="OFF",F387="Congé",F387="Congé spécial",F387="Congé sans solde",D387="OFF",D387="Congé",D387="Congé spécial",D387="Congé sans solde"),0.208333333333334,IF(AND(AG387="",F387-D387&lt;0),("24:00:00"-D387)+("00:00:00"+F387)-0.0416666666666667,IF(AND(OR(AG387="Allaitement",AG387="Sans déjeuner"),F387-D387&lt;0),("24:00:00"-D387)+("00:00:00"+F387),IF(AND(AG387="",F387-D387&gt;0.166666666666667),F387-D387-0.0416666666666667,IF(AND(OR(AG387="Allaitement",AG387="Sans déjeuner"),F387-D387&gt;0.166666666666667),F387-D387,F387-D387)))))))</f>
        <v>0.375</v>
      </c>
      <c r="P387" s="6" t="str">
        <f aca="false">IFERROR(VLOOKUP($B387,Agents!$A:$D,2,0),"-")</f>
        <v>Accessibilité</v>
      </c>
      <c r="Q387" s="21" t="n">
        <v>46078</v>
      </c>
      <c r="R387" s="8" t="n">
        <f aca="false">IF(M387="Abs",O387,0)</f>
        <v>0</v>
      </c>
      <c r="S387" s="8" t="n">
        <f aca="false">SUM(R387,L387,I387,J387,W387,H387)</f>
        <v>0</v>
      </c>
      <c r="T387" s="6" t="str">
        <f aca="false">"Sem - "&amp;WEEKNUM(Q387,21)</f>
        <v>Sem - 9</v>
      </c>
      <c r="U387" s="6" t="str">
        <f aca="false">CHOOSE(MONTH(Q387),"Janvier","Février","Mars","Avril","Mai","Juin","Juillet","Août","Septembre","Octobre","Novembre","Décembre")</f>
        <v>Février</v>
      </c>
      <c r="V387" s="22" t="n">
        <f aca="false">YEAR(Q387)</f>
        <v>2026</v>
      </c>
      <c r="W387" s="20"/>
      <c r="X387" s="8" t="n">
        <f aca="false">IFERROR(IF(M387="Abs",0,IF(ROUND((D387-C387+E387-F387)*1440,0)&lt;=1,0,D387-C387+E387-F387)),0)</f>
        <v>0</v>
      </c>
      <c r="Y387" s="6" t="str">
        <f aca="false">IFERROR(VLOOKUP($B387,Agents!$A:$D,3,0),"-")</f>
        <v>OUBRAHIM Mohammed</v>
      </c>
      <c r="Z387" s="6" t="str">
        <f aca="false">IFERROR(VLOOKUP($B387,Agents!$A:$D,4,0),"-")</f>
        <v>Credit Mutuel</v>
      </c>
      <c r="AA387" s="18" t="s">
        <v>90</v>
      </c>
      <c r="AB387" s="8" t="str">
        <f aca="false">IF(AND(D387="Congé",F387="Congé"),0.333333333333333,IF(OR(AND(D387="Congé",F387&lt;&gt;"Congé"),(AND(F387="Congé",D387&lt;&gt;"Congé"))),0.166666666666667,""))</f>
        <v/>
      </c>
      <c r="AC387" s="8" t="str">
        <f aca="false">IF(AND(D387="Congé sans solde",F387="Congé sans solde"),0.333333333333333,IF(OR(AND(D387="Congé sans solde",F387&lt;&gt;"Congé sans solde"),(AND(F387="Congé sans solde",D387&lt;&gt;"Congé sans solde"))),0.166666666666667,""))</f>
        <v/>
      </c>
      <c r="AD387" s="8" t="str">
        <f aca="false">IF(AND(D387="Congé spécial",F387="Congé spécial"),0.333333333333333,IF(OR(AND(D387="Congé spécial",F387&lt;&gt;"Congé spécial"),AND(F387="Congé spécial",D387&lt;&gt;"Congé spécial")),0.166666666666667,""))</f>
        <v/>
      </c>
      <c r="AE387" s="8" t="str">
        <f aca="false">IF(AND(D387="Férié",F387="Férié"),0.333333333333333,IF(OR(AND(D387="Férié",F387&lt;&gt;"Férié"),(AND(F387="Férié",D387&lt;&gt;"Férié"))),0.166666666666667,""))</f>
        <v/>
      </c>
      <c r="AF387" s="18"/>
      <c r="AG387" s="18" t="s">
        <v>91</v>
      </c>
    </row>
    <row r="388" customFormat="false" ht="15" hidden="false" customHeight="false" outlineLevel="0" collapsed="false">
      <c r="A388" s="6" t="str">
        <f aca="false">YEAR(Q388-WEEKDAY(Q388,2)+4)&amp;"-S"&amp;TEXT(WEEKNUM(Q388,21),"00")</f>
        <v>2026-S09</v>
      </c>
      <c r="B388" s="18" t="s">
        <v>72</v>
      </c>
      <c r="C388" s="19" t="n">
        <v>0.333333333333333</v>
      </c>
      <c r="D388" s="19" t="n">
        <v>0.333333333333333</v>
      </c>
      <c r="E388" s="19" t="n">
        <v>0.708333333333333</v>
      </c>
      <c r="F388" s="19" t="n">
        <v>0.708333333333333</v>
      </c>
      <c r="G388" s="20"/>
      <c r="H388" s="20"/>
      <c r="I388" s="8" t="str">
        <f aca="false">IF(IF(OR(C388="",D388="Congé",D388="OFF",D388="Congé spécial"),"",IF(D388&gt;F388,D388-C388,IF(C388-D388&lt;0,0,C388-D388)))&lt;0.00068287037037037,"",IF(OR(D388="Congé",D388="OFF",C388="",D388="Congé spécial"),"",IF(D388&gt;F388,D388-C388,IF(C388-D388&lt;0,0,C388-D388))))</f>
        <v/>
      </c>
      <c r="J388" s="20"/>
      <c r="K388" s="8" t="n">
        <f aca="false">IF(SUM(H388:J388)&lt;0.00068287037037037,0,SUM(H388:J388))</f>
        <v>0</v>
      </c>
      <c r="L388" s="8" t="n">
        <f aca="false">IF(OR(F388="Congé",F388="OFF",M388="Abs",F388="Congé sans solde",F388="Férié",F388="Congé spécial",D388="Congé spécial"),0,IF(F388-E388&lt;0,0,IF(F388-E388&lt;=0.00068287037037037,0,F388-E388)))</f>
        <v>0</v>
      </c>
      <c r="M388" s="6" t="n">
        <f aca="false">IF(AND(O388&lt;&gt;0,C388=""),"Abs",0)</f>
        <v>0</v>
      </c>
      <c r="N388" s="8" t="n">
        <f aca="false">IFERROR(IF(OR(D388="OFF",D388="Congé",M388="Abs",D388="Congé sans solde",D388="Férié"),"",IF(O388-K388-L388&gt;O388,O388,IF(O388-K388-L388&lt;0,"",O388-K388-L388))),"")</f>
        <v>0.375</v>
      </c>
      <c r="O388" s="8" t="n">
        <f aca="false">IF(AG388="2H Pause déjeuner",IF(F388-D388-0.0833333333333333&lt;0,F388-D388-0.0833333333333333+1,F388-D388-0.0833333333333333),IF(OR(AND(F388="OFF",D388="OFF"),AND(F388="Congé",D388="Congé"),AND(F388="Congé sans solde",D388="Congé sans solde"),AND(F388="Congé spécial",D388="Congé spécial"),AND(F388="Férié",D388="Férié"),AND(F388="OFF",D388="Congé"),AND(F388="OFF",D388="Congé sans solde"),AND(F388="OFF",D388="Congé spécial"),AND(F388="OFF",D388="Férié"),AND(F388="Congé",D388="OFF"),AND(F388="Congé",D388="Congé sans solde"),AND(F388="Congé",D388="Congé spécial"),AND(F388="Congé",D388="Férié"),AND(F388="Congé sans solde",D388="OFF"),AND(F388="Congé sans solde",D388="Congé"),AND(F388="Congé sans solde",D388="Congé spécial"),AND(F388="Congé sans solde",D388="Férié"),AND(F388="Congé spécial",D388="OFF"),AND(F388="Congé spécial",D388="Congé"),AND(F388="Congé spécial",D388="Congé sans solde"),AND(F388="Congé spécial",D388="Férié"),AND(F388="Férié",D388="OFF"),AND(F388="Férié",D388="Congé"),AND(F388="Férié",D388="Congé sans solde"),AND(F388="Férié",D388="Congé spécial")),0,IF(OR(F388="OFF",F388="Congé",F388="Congé spécial",F388="Congé sans solde",D388="OFF",D388="Congé",D388="Congé spécial",D388="Congé sans solde"),0.208333333333334,IF(AND(AG388="",F388-D388&lt;0),("24:00:00"-D388)+("00:00:00"+F388)-0.0416666666666667,IF(AND(OR(AG388="Allaitement",AG388="Sans déjeuner"),F388-D388&lt;0),("24:00:00"-D388)+("00:00:00"+F388),IF(AND(AG388="",F388-D388&gt;0.166666666666667),F388-D388-0.0416666666666667,IF(AND(OR(AG388="Allaitement",AG388="Sans déjeuner"),F388-D388&gt;0.166666666666667),F388-D388,F388-D388)))))))</f>
        <v>0.375</v>
      </c>
      <c r="P388" s="6" t="str">
        <f aca="false">IFERROR(VLOOKUP($B388,Agents!$A:$D,2,0),"-")</f>
        <v>Accessibilité</v>
      </c>
      <c r="Q388" s="21" t="n">
        <v>46078</v>
      </c>
      <c r="R388" s="8" t="n">
        <f aca="false">IF(M388="Abs",O388,0)</f>
        <v>0</v>
      </c>
      <c r="S388" s="8" t="n">
        <f aca="false">SUM(R388,L388,I388,J388,W388,H388)</f>
        <v>0</v>
      </c>
      <c r="T388" s="6" t="str">
        <f aca="false">"Sem - "&amp;WEEKNUM(Q388,21)</f>
        <v>Sem - 9</v>
      </c>
      <c r="U388" s="6" t="str">
        <f aca="false">CHOOSE(MONTH(Q388),"Janvier","Février","Mars","Avril","Mai","Juin","Juillet","Août","Septembre","Octobre","Novembre","Décembre")</f>
        <v>Février</v>
      </c>
      <c r="V388" s="22" t="n">
        <f aca="false">YEAR(Q388)</f>
        <v>2026</v>
      </c>
      <c r="W388" s="20"/>
      <c r="X388" s="8" t="n">
        <f aca="false">IFERROR(IF(M388="Abs",0,IF(ROUND((D388-C388+E388-F388)*1440,0)&lt;=1,0,D388-C388+E388-F388)),0)</f>
        <v>0</v>
      </c>
      <c r="Y388" s="6" t="str">
        <f aca="false">IFERROR(VLOOKUP($B388,Agents!$A:$D,3,0),"-")</f>
        <v>OUBRAHIM Mohammed</v>
      </c>
      <c r="Z388" s="6" t="str">
        <f aca="false">IFERROR(VLOOKUP($B388,Agents!$A:$D,4,0),"-")</f>
        <v>Credit Mutuel</v>
      </c>
      <c r="AA388" s="18" t="s">
        <v>90</v>
      </c>
      <c r="AB388" s="8" t="str">
        <f aca="false">IF(AND(D388="Congé",F388="Congé"),0.333333333333333,IF(OR(AND(D388="Congé",F388&lt;&gt;"Congé"),(AND(F388="Congé",D388&lt;&gt;"Congé"))),0.166666666666667,""))</f>
        <v/>
      </c>
      <c r="AC388" s="8" t="str">
        <f aca="false">IF(AND(D388="Congé sans solde",F388="Congé sans solde"),0.333333333333333,IF(OR(AND(D388="Congé sans solde",F388&lt;&gt;"Congé sans solde"),(AND(F388="Congé sans solde",D388&lt;&gt;"Congé sans solde"))),0.166666666666667,""))</f>
        <v/>
      </c>
      <c r="AD388" s="8" t="str">
        <f aca="false">IF(AND(D388="Congé spécial",F388="Congé spécial"),0.333333333333333,IF(OR(AND(D388="Congé spécial",F388&lt;&gt;"Congé spécial"),AND(F388="Congé spécial",D388&lt;&gt;"Congé spécial")),0.166666666666667,""))</f>
        <v/>
      </c>
      <c r="AE388" s="8" t="str">
        <f aca="false">IF(AND(D388="Férié",F388="Férié"),0.333333333333333,IF(OR(AND(D388="Férié",F388&lt;&gt;"Férié"),(AND(F388="Férié",D388&lt;&gt;"Férié"))),0.166666666666667,""))</f>
        <v/>
      </c>
      <c r="AF388" s="18"/>
      <c r="AG388" s="18" t="s">
        <v>91</v>
      </c>
    </row>
    <row r="389" customFormat="false" ht="15" hidden="false" customHeight="false" outlineLevel="0" collapsed="false">
      <c r="A389" s="6" t="str">
        <f aca="false">YEAR(Q389-WEEKDAY(Q389,2)+4)&amp;"-S"&amp;TEXT(WEEKNUM(Q389,21),"00")</f>
        <v>2026-S09</v>
      </c>
      <c r="B389" s="18" t="s">
        <v>73</v>
      </c>
      <c r="C389" s="19" t="n">
        <v>0.33125</v>
      </c>
      <c r="D389" s="19" t="n">
        <v>0.333333333333333</v>
      </c>
      <c r="E389" s="19" t="n">
        <v>0.708333333333333</v>
      </c>
      <c r="F389" s="19" t="n">
        <v>0.708333333333333</v>
      </c>
      <c r="G389" s="20"/>
      <c r="H389" s="20"/>
      <c r="I389" s="8" t="str">
        <f aca="false">IF(IF(OR(C389="",D389="Congé",D389="OFF",D389="Congé spécial"),"",IF(D389&gt;F389,D389-C389,IF(C389-D389&lt;0,0,C389-D389)))&lt;0.00068287037037037,"",IF(OR(D389="Congé",D389="OFF",C389="",D389="Congé spécial"),"",IF(D389&gt;F389,D389-C389,IF(C389-D389&lt;0,0,C389-D389))))</f>
        <v/>
      </c>
      <c r="J389" s="20"/>
      <c r="K389" s="8" t="n">
        <f aca="false">IF(SUM(H389:J389)&lt;0.00068287037037037,0,SUM(H389:J389))</f>
        <v>0</v>
      </c>
      <c r="L389" s="8" t="n">
        <f aca="false">IF(OR(F389="Congé",F389="OFF",M389="Abs",F389="Congé sans solde",F389="Férié",F389="Congé spécial",D389="Congé spécial"),0,IF(F389-E389&lt;0,0,IF(F389-E389&lt;=0.00068287037037037,0,F389-E389)))</f>
        <v>0</v>
      </c>
      <c r="M389" s="6" t="n">
        <f aca="false">IF(AND(O389&lt;&gt;0,C389=""),"Abs",0)</f>
        <v>0</v>
      </c>
      <c r="N389" s="8" t="n">
        <f aca="false">IFERROR(IF(OR(D389="OFF",D389="Congé",M389="Abs",D389="Congé sans solde",D389="Férié"),"",IF(O389-K389-L389&gt;O389,O389,IF(O389-K389-L389&lt;0,"",O389-K389-L389))),"")</f>
        <v>0.375</v>
      </c>
      <c r="O389" s="8" t="n">
        <f aca="false">IF(AG389="2H Pause déjeuner",IF(F389-D389-0.0833333333333333&lt;0,F389-D389-0.0833333333333333+1,F389-D389-0.0833333333333333),IF(OR(AND(F389="OFF",D389="OFF"),AND(F389="Congé",D389="Congé"),AND(F389="Congé sans solde",D389="Congé sans solde"),AND(F389="Congé spécial",D389="Congé spécial"),AND(F389="Férié",D389="Férié"),AND(F389="OFF",D389="Congé"),AND(F389="OFF",D389="Congé sans solde"),AND(F389="OFF",D389="Congé spécial"),AND(F389="OFF",D389="Férié"),AND(F389="Congé",D389="OFF"),AND(F389="Congé",D389="Congé sans solde"),AND(F389="Congé",D389="Congé spécial"),AND(F389="Congé",D389="Férié"),AND(F389="Congé sans solde",D389="OFF"),AND(F389="Congé sans solde",D389="Congé"),AND(F389="Congé sans solde",D389="Congé spécial"),AND(F389="Congé sans solde",D389="Férié"),AND(F389="Congé spécial",D389="OFF"),AND(F389="Congé spécial",D389="Congé"),AND(F389="Congé spécial",D389="Congé sans solde"),AND(F389="Congé spécial",D389="Férié"),AND(F389="Férié",D389="OFF"),AND(F389="Férié",D389="Congé"),AND(F389="Férié",D389="Congé sans solde"),AND(F389="Férié",D389="Congé spécial")),0,IF(OR(F389="OFF",F389="Congé",F389="Congé spécial",F389="Congé sans solde",D389="OFF",D389="Congé",D389="Congé spécial",D389="Congé sans solde"),0.208333333333334,IF(AND(AG389="",F389-D389&lt;0),("24:00:00"-D389)+("00:00:00"+F389)-0.0416666666666667,IF(AND(OR(AG389="Allaitement",AG389="Sans déjeuner"),F389-D389&lt;0),("24:00:00"-D389)+("00:00:00"+F389),IF(AND(AG389="",F389-D389&gt;0.166666666666667),F389-D389-0.0416666666666667,IF(AND(OR(AG389="Allaitement",AG389="Sans déjeuner"),F389-D389&gt;0.166666666666667),F389-D389,F389-D389)))))))</f>
        <v>0.375</v>
      </c>
      <c r="P389" s="6" t="str">
        <f aca="false">IFERROR(VLOOKUP($B389,Agents!$A:$D,2,0),"-")</f>
        <v>Accessibilité</v>
      </c>
      <c r="Q389" s="21" t="n">
        <v>46078</v>
      </c>
      <c r="R389" s="8" t="n">
        <f aca="false">IF(M389="Abs",O389,0)</f>
        <v>0</v>
      </c>
      <c r="S389" s="8" t="n">
        <f aca="false">SUM(R389,L389,I389,J389,W389,H389)</f>
        <v>0</v>
      </c>
      <c r="T389" s="6" t="str">
        <f aca="false">"Sem - "&amp;WEEKNUM(Q389,21)</f>
        <v>Sem - 9</v>
      </c>
      <c r="U389" s="6" t="str">
        <f aca="false">CHOOSE(MONTH(Q389),"Janvier","Février","Mars","Avril","Mai","Juin","Juillet","Août","Septembre","Octobre","Novembre","Décembre")</f>
        <v>Février</v>
      </c>
      <c r="V389" s="22" t="n">
        <f aca="false">YEAR(Q389)</f>
        <v>2026</v>
      </c>
      <c r="W389" s="20"/>
      <c r="X389" s="8" t="n">
        <f aca="false">IFERROR(IF(M389="Abs",0,IF(ROUND((D389-C389+E389-F389)*1440,0)&lt;=1,0,D389-C389+E389-F389)),0)</f>
        <v>0.00208333333333333</v>
      </c>
      <c r="Y389" s="6" t="str">
        <f aca="false">IFERROR(VLOOKUP($B389,Agents!$A:$D,3,0),"-")</f>
        <v>OUBRAHIM Mohammed</v>
      </c>
      <c r="Z389" s="6" t="str">
        <f aca="false">IFERROR(VLOOKUP($B389,Agents!$A:$D,4,0),"-")</f>
        <v>Credit Mutuel</v>
      </c>
      <c r="AA389" s="18" t="s">
        <v>90</v>
      </c>
      <c r="AB389" s="8" t="str">
        <f aca="false">IF(AND(D389="Congé",F389="Congé"),0.333333333333333,IF(OR(AND(D389="Congé",F389&lt;&gt;"Congé"),(AND(F389="Congé",D389&lt;&gt;"Congé"))),0.166666666666667,""))</f>
        <v/>
      </c>
      <c r="AC389" s="8" t="str">
        <f aca="false">IF(AND(D389="Congé sans solde",F389="Congé sans solde"),0.333333333333333,IF(OR(AND(D389="Congé sans solde",F389&lt;&gt;"Congé sans solde"),(AND(F389="Congé sans solde",D389&lt;&gt;"Congé sans solde"))),0.166666666666667,""))</f>
        <v/>
      </c>
      <c r="AD389" s="8" t="str">
        <f aca="false">IF(AND(D389="Congé spécial",F389="Congé spécial"),0.333333333333333,IF(OR(AND(D389="Congé spécial",F389&lt;&gt;"Congé spécial"),AND(F389="Congé spécial",D389&lt;&gt;"Congé spécial")),0.166666666666667,""))</f>
        <v/>
      </c>
      <c r="AE389" s="8" t="str">
        <f aca="false">IF(AND(D389="Férié",F389="Férié"),0.333333333333333,IF(OR(AND(D389="Férié",F389&lt;&gt;"Férié"),(AND(F389="Férié",D389&lt;&gt;"Férié"))),0.166666666666667,""))</f>
        <v/>
      </c>
      <c r="AF389" s="18"/>
      <c r="AG389" s="18" t="s">
        <v>91</v>
      </c>
    </row>
    <row r="390" customFormat="false" ht="15" hidden="false" customHeight="false" outlineLevel="0" collapsed="false">
      <c r="A390" s="6" t="str">
        <f aca="false">YEAR(Q390-WEEKDAY(Q390,2)+4)&amp;"-S"&amp;TEXT(WEEKNUM(Q390,21),"00")</f>
        <v>2026-S09</v>
      </c>
      <c r="B390" s="18" t="s">
        <v>69</v>
      </c>
      <c r="C390" s="19" t="n">
        <v>0.333333333333333</v>
      </c>
      <c r="D390" s="19" t="n">
        <v>0.333333333333333</v>
      </c>
      <c r="E390" s="19" t="n">
        <v>0.708333333333333</v>
      </c>
      <c r="F390" s="19" t="n">
        <v>0.708333333333333</v>
      </c>
      <c r="G390" s="20"/>
      <c r="H390" s="20"/>
      <c r="I390" s="8" t="str">
        <f aca="false">IF(IF(OR(C390="",D390="Congé",D390="OFF",D390="Congé spécial"),"",IF(D390&gt;F390,D390-C390,IF(C390-D390&lt;0,0,C390-D390)))&lt;0.00068287037037037,"",IF(OR(D390="Congé",D390="OFF",C390="",D390="Congé spécial"),"",IF(D390&gt;F390,D390-C390,IF(C390-D390&lt;0,0,C390-D390))))</f>
        <v/>
      </c>
      <c r="J390" s="20"/>
      <c r="K390" s="8" t="n">
        <f aca="false">IF(SUM(H390:J390)&lt;0.00068287037037037,0,SUM(H390:J390))</f>
        <v>0</v>
      </c>
      <c r="L390" s="8" t="n">
        <f aca="false">IF(OR(F390="Congé",F390="OFF",M390="Abs",F390="Congé sans solde",F390="Férié",F390="Congé spécial",D390="Congé spécial"),0,IF(F390-E390&lt;0,0,IF(F390-E390&lt;=0.00068287037037037,0,F390-E390)))</f>
        <v>0</v>
      </c>
      <c r="M390" s="6" t="n">
        <f aca="false">IF(AND(O390&lt;&gt;0,C390=""),"Abs",0)</f>
        <v>0</v>
      </c>
      <c r="N390" s="8" t="n">
        <f aca="false">IFERROR(IF(OR(D390="OFF",D390="Congé",M390="Abs",D390="Congé sans solde",D390="Férié"),"",IF(O390-K390-L390&gt;O390,O390,IF(O390-K390-L390&lt;0,"",O390-K390-L390))),"")</f>
        <v>0.375</v>
      </c>
      <c r="O390" s="8" t="n">
        <f aca="false">IF(AG390="2H Pause déjeuner",IF(F390-D390-0.0833333333333333&lt;0,F390-D390-0.0833333333333333+1,F390-D390-0.0833333333333333),IF(OR(AND(F390="OFF",D390="OFF"),AND(F390="Congé",D390="Congé"),AND(F390="Congé sans solde",D390="Congé sans solde"),AND(F390="Congé spécial",D390="Congé spécial"),AND(F390="Férié",D390="Férié"),AND(F390="OFF",D390="Congé"),AND(F390="OFF",D390="Congé sans solde"),AND(F390="OFF",D390="Congé spécial"),AND(F390="OFF",D390="Férié"),AND(F390="Congé",D390="OFF"),AND(F390="Congé",D390="Congé sans solde"),AND(F390="Congé",D390="Congé spécial"),AND(F390="Congé",D390="Férié"),AND(F390="Congé sans solde",D390="OFF"),AND(F390="Congé sans solde",D390="Congé"),AND(F390="Congé sans solde",D390="Congé spécial"),AND(F390="Congé sans solde",D390="Férié"),AND(F390="Congé spécial",D390="OFF"),AND(F390="Congé spécial",D390="Congé"),AND(F390="Congé spécial",D390="Congé sans solde"),AND(F390="Congé spécial",D390="Férié"),AND(F390="Férié",D390="OFF"),AND(F390="Férié",D390="Congé"),AND(F390="Férié",D390="Congé sans solde"),AND(F390="Férié",D390="Congé spécial")),0,IF(OR(F390="OFF",F390="Congé",F390="Congé spécial",F390="Congé sans solde",D390="OFF",D390="Congé",D390="Congé spécial",D390="Congé sans solde"),0.208333333333334,IF(AND(AG390="",F390-D390&lt;0),("24:00:00"-D390)+("00:00:00"+F390)-0.0416666666666667,IF(AND(OR(AG390="Allaitement",AG390="Sans déjeuner"),F390-D390&lt;0),("24:00:00"-D390)+("00:00:00"+F390),IF(AND(AG390="",F390-D390&gt;0.166666666666667),F390-D390-0.0416666666666667,IF(AND(OR(AG390="Allaitement",AG390="Sans déjeuner"),F390-D390&gt;0.166666666666667),F390-D390,F390-D390)))))))</f>
        <v>0.375</v>
      </c>
      <c r="P390" s="6" t="str">
        <f aca="false">IFERROR(VLOOKUP($B390,Agents!$A:$D,2,0),"-")</f>
        <v>Accessibilité</v>
      </c>
      <c r="Q390" s="21" t="n">
        <v>46079</v>
      </c>
      <c r="R390" s="8" t="n">
        <f aca="false">IF(M390="Abs",O390,0)</f>
        <v>0</v>
      </c>
      <c r="S390" s="8" t="n">
        <f aca="false">SUM(R390,L390,I390,J390,W390,H390)</f>
        <v>0</v>
      </c>
      <c r="T390" s="6" t="str">
        <f aca="false">"Sem - "&amp;WEEKNUM(Q390,21)</f>
        <v>Sem - 9</v>
      </c>
      <c r="U390" s="6" t="str">
        <f aca="false">CHOOSE(MONTH(Q390),"Janvier","Février","Mars","Avril","Mai","Juin","Juillet","Août","Septembre","Octobre","Novembre","Décembre")</f>
        <v>Février</v>
      </c>
      <c r="V390" s="22" t="n">
        <f aca="false">YEAR(Q390)</f>
        <v>2026</v>
      </c>
      <c r="W390" s="20"/>
      <c r="X390" s="8" t="n">
        <f aca="false">IFERROR(IF(M390="Abs",0,IF(ROUND((D390-C390+E390-F390)*1440,0)&lt;=1,0,D390-C390+E390-F390)),0)</f>
        <v>0</v>
      </c>
      <c r="Y390" s="6" t="str">
        <f aca="false">IFERROR(VLOOKUP($B390,Agents!$A:$D,3,0),"-")</f>
        <v>OUBRAHIM Mohammed</v>
      </c>
      <c r="Z390" s="6" t="str">
        <f aca="false">IFERROR(VLOOKUP($B390,Agents!$A:$D,4,0),"-")</f>
        <v>Credit Mutuel</v>
      </c>
      <c r="AA390" s="18" t="s">
        <v>90</v>
      </c>
      <c r="AB390" s="8" t="str">
        <f aca="false">IF(AND(D390="Congé",F390="Congé"),0.333333333333333,IF(OR(AND(D390="Congé",F390&lt;&gt;"Congé"),(AND(F390="Congé",D390&lt;&gt;"Congé"))),0.166666666666667,""))</f>
        <v/>
      </c>
      <c r="AC390" s="8" t="str">
        <f aca="false">IF(AND(D390="Congé sans solde",F390="Congé sans solde"),0.333333333333333,IF(OR(AND(D390="Congé sans solde",F390&lt;&gt;"Congé sans solde"),(AND(F390="Congé sans solde",D390&lt;&gt;"Congé sans solde"))),0.166666666666667,""))</f>
        <v/>
      </c>
      <c r="AD390" s="8" t="str">
        <f aca="false">IF(AND(D390="Congé spécial",F390="Congé spécial"),0.333333333333333,IF(OR(AND(D390="Congé spécial",F390&lt;&gt;"Congé spécial"),AND(F390="Congé spécial",D390&lt;&gt;"Congé spécial")),0.166666666666667,""))</f>
        <v/>
      </c>
      <c r="AE390" s="8" t="str">
        <f aca="false">IF(AND(D390="Férié",F390="Férié"),0.333333333333333,IF(OR(AND(D390="Férié",F390&lt;&gt;"Férié"),(AND(F390="Férié",D390&lt;&gt;"Férié"))),0.166666666666667,""))</f>
        <v/>
      </c>
      <c r="AF390" s="18"/>
      <c r="AG390" s="18" t="s">
        <v>91</v>
      </c>
    </row>
    <row r="391" customFormat="false" ht="15" hidden="false" customHeight="false" outlineLevel="0" collapsed="false">
      <c r="A391" s="6" t="str">
        <f aca="false">YEAR(Q391-WEEKDAY(Q391,2)+4)&amp;"-S"&amp;TEXT(WEEKNUM(Q391,21),"00")</f>
        <v>2026-S09</v>
      </c>
      <c r="B391" s="18" t="s">
        <v>71</v>
      </c>
      <c r="C391" s="19" t="n">
        <v>0.333333333333333</v>
      </c>
      <c r="D391" s="19" t="n">
        <v>0.333333333333333</v>
      </c>
      <c r="E391" s="19" t="n">
        <v>0.708333333333333</v>
      </c>
      <c r="F391" s="19" t="n">
        <v>0.708333333333333</v>
      </c>
      <c r="G391" s="20"/>
      <c r="H391" s="20"/>
      <c r="I391" s="8" t="str">
        <f aca="false">IF(IF(OR(C391="",D391="Congé",D391="OFF",D391="Congé spécial"),"",IF(D391&gt;F391,D391-C391,IF(C391-D391&lt;0,0,C391-D391)))&lt;0.00068287037037037,"",IF(OR(D391="Congé",D391="OFF",C391="",D391="Congé spécial"),"",IF(D391&gt;F391,D391-C391,IF(C391-D391&lt;0,0,C391-D391))))</f>
        <v/>
      </c>
      <c r="J391" s="20"/>
      <c r="K391" s="8" t="n">
        <f aca="false">IF(SUM(H391:J391)&lt;0.00068287037037037,0,SUM(H391:J391))</f>
        <v>0</v>
      </c>
      <c r="L391" s="8" t="n">
        <f aca="false">IF(OR(F391="Congé",F391="OFF",M391="Abs",F391="Congé sans solde",F391="Férié",F391="Congé spécial",D391="Congé spécial"),0,IF(F391-E391&lt;0,0,IF(F391-E391&lt;=0.00068287037037037,0,F391-E391)))</f>
        <v>0</v>
      </c>
      <c r="M391" s="6" t="n">
        <f aca="false">IF(AND(O391&lt;&gt;0,C391=""),"Abs",0)</f>
        <v>0</v>
      </c>
      <c r="N391" s="8" t="n">
        <f aca="false">IFERROR(IF(OR(D391="OFF",D391="Congé",M391="Abs",D391="Congé sans solde",D391="Férié"),"",IF(O391-K391-L391&gt;O391,O391,IF(O391-K391-L391&lt;0,"",O391-K391-L391))),"")</f>
        <v>0.375</v>
      </c>
      <c r="O391" s="8" t="n">
        <f aca="false">IF(AG391="2H Pause déjeuner",IF(F391-D391-0.0833333333333333&lt;0,F391-D391-0.0833333333333333+1,F391-D391-0.0833333333333333),IF(OR(AND(F391="OFF",D391="OFF"),AND(F391="Congé",D391="Congé"),AND(F391="Congé sans solde",D391="Congé sans solde"),AND(F391="Congé spécial",D391="Congé spécial"),AND(F391="Férié",D391="Férié"),AND(F391="OFF",D391="Congé"),AND(F391="OFF",D391="Congé sans solde"),AND(F391="OFF",D391="Congé spécial"),AND(F391="OFF",D391="Férié"),AND(F391="Congé",D391="OFF"),AND(F391="Congé",D391="Congé sans solde"),AND(F391="Congé",D391="Congé spécial"),AND(F391="Congé",D391="Férié"),AND(F391="Congé sans solde",D391="OFF"),AND(F391="Congé sans solde",D391="Congé"),AND(F391="Congé sans solde",D391="Congé spécial"),AND(F391="Congé sans solde",D391="Férié"),AND(F391="Congé spécial",D391="OFF"),AND(F391="Congé spécial",D391="Congé"),AND(F391="Congé spécial",D391="Congé sans solde"),AND(F391="Congé spécial",D391="Férié"),AND(F391="Férié",D391="OFF"),AND(F391="Férié",D391="Congé"),AND(F391="Férié",D391="Congé sans solde"),AND(F391="Férié",D391="Congé spécial")),0,IF(OR(F391="OFF",F391="Congé",F391="Congé spécial",F391="Congé sans solde",D391="OFF",D391="Congé",D391="Congé spécial",D391="Congé sans solde"),0.208333333333334,IF(AND(AG391="",F391-D391&lt;0),("24:00:00"-D391)+("00:00:00"+F391)-0.0416666666666667,IF(AND(OR(AG391="Allaitement",AG391="Sans déjeuner"),F391-D391&lt;0),("24:00:00"-D391)+("00:00:00"+F391),IF(AND(AG391="",F391-D391&gt;0.166666666666667),F391-D391-0.0416666666666667,IF(AND(OR(AG391="Allaitement",AG391="Sans déjeuner"),F391-D391&gt;0.166666666666667),F391-D391,F391-D391)))))))</f>
        <v>0.375</v>
      </c>
      <c r="P391" s="6" t="str">
        <f aca="false">IFERROR(VLOOKUP($B391,Agents!$A:$D,2,0),"-")</f>
        <v>Accessibilité</v>
      </c>
      <c r="Q391" s="21" t="n">
        <v>46079</v>
      </c>
      <c r="R391" s="8" t="n">
        <f aca="false">IF(M391="Abs",O391,0)</f>
        <v>0</v>
      </c>
      <c r="S391" s="8" t="n">
        <f aca="false">SUM(R391,L391,I391,J391,W391,H391)</f>
        <v>0</v>
      </c>
      <c r="T391" s="6" t="str">
        <f aca="false">"Sem - "&amp;WEEKNUM(Q391,21)</f>
        <v>Sem - 9</v>
      </c>
      <c r="U391" s="6" t="str">
        <f aca="false">CHOOSE(MONTH(Q391),"Janvier","Février","Mars","Avril","Mai","Juin","Juillet","Août","Septembre","Octobre","Novembre","Décembre")</f>
        <v>Février</v>
      </c>
      <c r="V391" s="22" t="n">
        <f aca="false">YEAR(Q391)</f>
        <v>2026</v>
      </c>
      <c r="W391" s="20"/>
      <c r="X391" s="8" t="n">
        <f aca="false">IFERROR(IF(M391="Abs",0,IF(ROUND((D391-C391+E391-F391)*1440,0)&lt;=1,0,D391-C391+E391-F391)),0)</f>
        <v>0</v>
      </c>
      <c r="Y391" s="6" t="str">
        <f aca="false">IFERROR(VLOOKUP($B391,Agents!$A:$D,3,0),"-")</f>
        <v>OUBRAHIM Mohammed</v>
      </c>
      <c r="Z391" s="6" t="str">
        <f aca="false">IFERROR(VLOOKUP($B391,Agents!$A:$D,4,0),"-")</f>
        <v>Credit Mutuel</v>
      </c>
      <c r="AA391" s="18" t="s">
        <v>90</v>
      </c>
      <c r="AB391" s="8" t="str">
        <f aca="false">IF(AND(D391="Congé",F391="Congé"),0.333333333333333,IF(OR(AND(D391="Congé",F391&lt;&gt;"Congé"),(AND(F391="Congé",D391&lt;&gt;"Congé"))),0.166666666666667,""))</f>
        <v/>
      </c>
      <c r="AC391" s="8" t="str">
        <f aca="false">IF(AND(D391="Congé sans solde",F391="Congé sans solde"),0.333333333333333,IF(OR(AND(D391="Congé sans solde",F391&lt;&gt;"Congé sans solde"),(AND(F391="Congé sans solde",D391&lt;&gt;"Congé sans solde"))),0.166666666666667,""))</f>
        <v/>
      </c>
      <c r="AD391" s="8" t="str">
        <f aca="false">IF(AND(D391="Congé spécial",F391="Congé spécial"),0.333333333333333,IF(OR(AND(D391="Congé spécial",F391&lt;&gt;"Congé spécial"),AND(F391="Congé spécial",D391&lt;&gt;"Congé spécial")),0.166666666666667,""))</f>
        <v/>
      </c>
      <c r="AE391" s="8" t="str">
        <f aca="false">IF(AND(D391="Férié",F391="Férié"),0.333333333333333,IF(OR(AND(D391="Férié",F391&lt;&gt;"Férié"),(AND(F391="Férié",D391&lt;&gt;"Férié"))),0.166666666666667,""))</f>
        <v/>
      </c>
      <c r="AF391" s="18"/>
      <c r="AG391" s="18" t="s">
        <v>91</v>
      </c>
    </row>
    <row r="392" customFormat="false" ht="15" hidden="false" customHeight="false" outlineLevel="0" collapsed="false">
      <c r="A392" s="6" t="str">
        <f aca="false">YEAR(Q392-WEEKDAY(Q392,2)+4)&amp;"-S"&amp;TEXT(WEEKNUM(Q392,21),"00")</f>
        <v>2026-S09</v>
      </c>
      <c r="B392" s="18" t="s">
        <v>72</v>
      </c>
      <c r="C392" s="19" t="n">
        <v>0.333333333333333</v>
      </c>
      <c r="D392" s="19" t="n">
        <v>0.333333333333333</v>
      </c>
      <c r="E392" s="19" t="n">
        <v>0.708333333333333</v>
      </c>
      <c r="F392" s="19" t="n">
        <v>0.708333333333333</v>
      </c>
      <c r="G392" s="20"/>
      <c r="H392" s="20"/>
      <c r="I392" s="8" t="str">
        <f aca="false">IF(IF(OR(C392="",D392="Congé",D392="OFF",D392="Congé spécial"),"",IF(D392&gt;F392,D392-C392,IF(C392-D392&lt;0,0,C392-D392)))&lt;0.00068287037037037,"",IF(OR(D392="Congé",D392="OFF",C392="",D392="Congé spécial"),"",IF(D392&gt;F392,D392-C392,IF(C392-D392&lt;0,0,C392-D392))))</f>
        <v/>
      </c>
      <c r="J392" s="20"/>
      <c r="K392" s="8" t="n">
        <f aca="false">IF(SUM(H392:J392)&lt;0.00068287037037037,0,SUM(H392:J392))</f>
        <v>0</v>
      </c>
      <c r="L392" s="8" t="n">
        <f aca="false">IF(OR(F392="Congé",F392="OFF",M392="Abs",F392="Congé sans solde",F392="Férié",F392="Congé spécial",D392="Congé spécial"),0,IF(F392-E392&lt;0,0,IF(F392-E392&lt;=0.00068287037037037,0,F392-E392)))</f>
        <v>0</v>
      </c>
      <c r="M392" s="6" t="n">
        <f aca="false">IF(AND(O392&lt;&gt;0,C392=""),"Abs",0)</f>
        <v>0</v>
      </c>
      <c r="N392" s="8" t="n">
        <f aca="false">IFERROR(IF(OR(D392="OFF",D392="Congé",M392="Abs",D392="Congé sans solde",D392="Férié"),"",IF(O392-K392-L392&gt;O392,O392,IF(O392-K392-L392&lt;0,"",O392-K392-L392))),"")</f>
        <v>0.375</v>
      </c>
      <c r="O392" s="8" t="n">
        <f aca="false">IF(AG392="2H Pause déjeuner",IF(F392-D392-0.0833333333333333&lt;0,F392-D392-0.0833333333333333+1,F392-D392-0.0833333333333333),IF(OR(AND(F392="OFF",D392="OFF"),AND(F392="Congé",D392="Congé"),AND(F392="Congé sans solde",D392="Congé sans solde"),AND(F392="Congé spécial",D392="Congé spécial"),AND(F392="Férié",D392="Férié"),AND(F392="OFF",D392="Congé"),AND(F392="OFF",D392="Congé sans solde"),AND(F392="OFF",D392="Congé spécial"),AND(F392="OFF",D392="Férié"),AND(F392="Congé",D392="OFF"),AND(F392="Congé",D392="Congé sans solde"),AND(F392="Congé",D392="Congé spécial"),AND(F392="Congé",D392="Férié"),AND(F392="Congé sans solde",D392="OFF"),AND(F392="Congé sans solde",D392="Congé"),AND(F392="Congé sans solde",D392="Congé spécial"),AND(F392="Congé sans solde",D392="Férié"),AND(F392="Congé spécial",D392="OFF"),AND(F392="Congé spécial",D392="Congé"),AND(F392="Congé spécial",D392="Congé sans solde"),AND(F392="Congé spécial",D392="Férié"),AND(F392="Férié",D392="OFF"),AND(F392="Férié",D392="Congé"),AND(F392="Férié",D392="Congé sans solde"),AND(F392="Férié",D392="Congé spécial")),0,IF(OR(F392="OFF",F392="Congé",F392="Congé spécial",F392="Congé sans solde",D392="OFF",D392="Congé",D392="Congé spécial",D392="Congé sans solde"),0.208333333333334,IF(AND(AG392="",F392-D392&lt;0),("24:00:00"-D392)+("00:00:00"+F392)-0.0416666666666667,IF(AND(OR(AG392="Allaitement",AG392="Sans déjeuner"),F392-D392&lt;0),("24:00:00"-D392)+("00:00:00"+F392),IF(AND(AG392="",F392-D392&gt;0.166666666666667),F392-D392-0.0416666666666667,IF(AND(OR(AG392="Allaitement",AG392="Sans déjeuner"),F392-D392&gt;0.166666666666667),F392-D392,F392-D392)))))))</f>
        <v>0.375</v>
      </c>
      <c r="P392" s="6" t="str">
        <f aca="false">IFERROR(VLOOKUP($B392,Agents!$A:$D,2,0),"-")</f>
        <v>Accessibilité</v>
      </c>
      <c r="Q392" s="21" t="n">
        <v>46079</v>
      </c>
      <c r="R392" s="8" t="n">
        <f aca="false">IF(M392="Abs",O392,0)</f>
        <v>0</v>
      </c>
      <c r="S392" s="8" t="n">
        <f aca="false">SUM(R392,L392,I392,J392,W392,H392)</f>
        <v>0</v>
      </c>
      <c r="T392" s="6" t="str">
        <f aca="false">"Sem - "&amp;WEEKNUM(Q392,21)</f>
        <v>Sem - 9</v>
      </c>
      <c r="U392" s="6" t="str">
        <f aca="false">CHOOSE(MONTH(Q392),"Janvier","Février","Mars","Avril","Mai","Juin","Juillet","Août","Septembre","Octobre","Novembre","Décembre")</f>
        <v>Février</v>
      </c>
      <c r="V392" s="22" t="n">
        <f aca="false">YEAR(Q392)</f>
        <v>2026</v>
      </c>
      <c r="W392" s="20"/>
      <c r="X392" s="8" t="n">
        <f aca="false">IFERROR(IF(M392="Abs",0,IF(ROUND((D392-C392+E392-F392)*1440,0)&lt;=1,0,D392-C392+E392-F392)),0)</f>
        <v>0</v>
      </c>
      <c r="Y392" s="6" t="str">
        <f aca="false">IFERROR(VLOOKUP($B392,Agents!$A:$D,3,0),"-")</f>
        <v>OUBRAHIM Mohammed</v>
      </c>
      <c r="Z392" s="6" t="str">
        <f aca="false">IFERROR(VLOOKUP($B392,Agents!$A:$D,4,0),"-")</f>
        <v>Credit Mutuel</v>
      </c>
      <c r="AA392" s="18" t="s">
        <v>90</v>
      </c>
      <c r="AB392" s="8" t="str">
        <f aca="false">IF(AND(D392="Congé",F392="Congé"),0.333333333333333,IF(OR(AND(D392="Congé",F392&lt;&gt;"Congé"),(AND(F392="Congé",D392&lt;&gt;"Congé"))),0.166666666666667,""))</f>
        <v/>
      </c>
      <c r="AC392" s="8" t="str">
        <f aca="false">IF(AND(D392="Congé sans solde",F392="Congé sans solde"),0.333333333333333,IF(OR(AND(D392="Congé sans solde",F392&lt;&gt;"Congé sans solde"),(AND(F392="Congé sans solde",D392&lt;&gt;"Congé sans solde"))),0.166666666666667,""))</f>
        <v/>
      </c>
      <c r="AD392" s="8" t="str">
        <f aca="false">IF(AND(D392="Congé spécial",F392="Congé spécial"),0.333333333333333,IF(OR(AND(D392="Congé spécial",F392&lt;&gt;"Congé spécial"),AND(F392="Congé spécial",D392&lt;&gt;"Congé spécial")),0.166666666666667,""))</f>
        <v/>
      </c>
      <c r="AE392" s="8" t="str">
        <f aca="false">IF(AND(D392="Férié",F392="Férié"),0.333333333333333,IF(OR(AND(D392="Férié",F392&lt;&gt;"Férié"),(AND(F392="Férié",D392&lt;&gt;"Férié"))),0.166666666666667,""))</f>
        <v/>
      </c>
      <c r="AF392" s="18"/>
      <c r="AG392" s="18" t="s">
        <v>91</v>
      </c>
    </row>
    <row r="393" customFormat="false" ht="15" hidden="false" customHeight="false" outlineLevel="0" collapsed="false">
      <c r="A393" s="6" t="str">
        <f aca="false">YEAR(Q393-WEEKDAY(Q393,2)+4)&amp;"-S"&amp;TEXT(WEEKNUM(Q393,21),"00")</f>
        <v>2026-S09</v>
      </c>
      <c r="B393" s="18" t="s">
        <v>73</v>
      </c>
      <c r="C393" s="19" t="n">
        <v>0.333333333333333</v>
      </c>
      <c r="D393" s="19" t="n">
        <v>0.333333333333333</v>
      </c>
      <c r="E393" s="19" t="n">
        <v>0.708333333333333</v>
      </c>
      <c r="F393" s="19" t="n">
        <v>0.708333333333333</v>
      </c>
      <c r="G393" s="20"/>
      <c r="H393" s="20"/>
      <c r="I393" s="8" t="str">
        <f aca="false">IF(IF(OR(C393="",D393="Congé",D393="OFF",D393="Congé spécial"),"",IF(D393&gt;F393,D393-C393,IF(C393-D393&lt;0,0,C393-D393)))&lt;0.00068287037037037,"",IF(OR(D393="Congé",D393="OFF",C393="",D393="Congé spécial"),"",IF(D393&gt;F393,D393-C393,IF(C393-D393&lt;0,0,C393-D393))))</f>
        <v/>
      </c>
      <c r="J393" s="20"/>
      <c r="K393" s="8" t="n">
        <f aca="false">IF(SUM(H393:J393)&lt;0.00068287037037037,0,SUM(H393:J393))</f>
        <v>0</v>
      </c>
      <c r="L393" s="8" t="n">
        <f aca="false">IF(OR(F393="Congé",F393="OFF",M393="Abs",F393="Congé sans solde",F393="Férié",F393="Congé spécial",D393="Congé spécial"),0,IF(F393-E393&lt;0,0,IF(F393-E393&lt;=0.00068287037037037,0,F393-E393)))</f>
        <v>0</v>
      </c>
      <c r="M393" s="6" t="n">
        <f aca="false">IF(AND(O393&lt;&gt;0,C393=""),"Abs",0)</f>
        <v>0</v>
      </c>
      <c r="N393" s="8" t="n">
        <f aca="false">IFERROR(IF(OR(D393="OFF",D393="Congé",M393="Abs",D393="Congé sans solde",D393="Férié"),"",IF(O393-K393-L393&gt;O393,O393,IF(O393-K393-L393&lt;0,"",O393-K393-L393))),"")</f>
        <v>0.375</v>
      </c>
      <c r="O393" s="8" t="n">
        <f aca="false">IF(AG393="2H Pause déjeuner",IF(F393-D393-0.0833333333333333&lt;0,F393-D393-0.0833333333333333+1,F393-D393-0.0833333333333333),IF(OR(AND(F393="OFF",D393="OFF"),AND(F393="Congé",D393="Congé"),AND(F393="Congé sans solde",D393="Congé sans solde"),AND(F393="Congé spécial",D393="Congé spécial"),AND(F393="Férié",D393="Férié"),AND(F393="OFF",D393="Congé"),AND(F393="OFF",D393="Congé sans solde"),AND(F393="OFF",D393="Congé spécial"),AND(F393="OFF",D393="Férié"),AND(F393="Congé",D393="OFF"),AND(F393="Congé",D393="Congé sans solde"),AND(F393="Congé",D393="Congé spécial"),AND(F393="Congé",D393="Férié"),AND(F393="Congé sans solde",D393="OFF"),AND(F393="Congé sans solde",D393="Congé"),AND(F393="Congé sans solde",D393="Congé spécial"),AND(F393="Congé sans solde",D393="Férié"),AND(F393="Congé spécial",D393="OFF"),AND(F393="Congé spécial",D393="Congé"),AND(F393="Congé spécial",D393="Congé sans solde"),AND(F393="Congé spécial",D393="Férié"),AND(F393="Férié",D393="OFF"),AND(F393="Férié",D393="Congé"),AND(F393="Férié",D393="Congé sans solde"),AND(F393="Férié",D393="Congé spécial")),0,IF(OR(F393="OFF",F393="Congé",F393="Congé spécial",F393="Congé sans solde",D393="OFF",D393="Congé",D393="Congé spécial",D393="Congé sans solde"),0.208333333333334,IF(AND(AG393="",F393-D393&lt;0),("24:00:00"-D393)+("00:00:00"+F393)-0.0416666666666667,IF(AND(OR(AG393="Allaitement",AG393="Sans déjeuner"),F393-D393&lt;0),("24:00:00"-D393)+("00:00:00"+F393),IF(AND(AG393="",F393-D393&gt;0.166666666666667),F393-D393-0.0416666666666667,IF(AND(OR(AG393="Allaitement",AG393="Sans déjeuner"),F393-D393&gt;0.166666666666667),F393-D393,F393-D393)))))))</f>
        <v>0.375</v>
      </c>
      <c r="P393" s="6" t="str">
        <f aca="false">IFERROR(VLOOKUP($B393,Agents!$A:$D,2,0),"-")</f>
        <v>Accessibilité</v>
      </c>
      <c r="Q393" s="21" t="n">
        <v>46079</v>
      </c>
      <c r="R393" s="8" t="n">
        <f aca="false">IF(M393="Abs",O393,0)</f>
        <v>0</v>
      </c>
      <c r="S393" s="8" t="n">
        <f aca="false">SUM(R393,L393,I393,J393,W393,H393)</f>
        <v>0</v>
      </c>
      <c r="T393" s="6" t="str">
        <f aca="false">"Sem - "&amp;WEEKNUM(Q393,21)</f>
        <v>Sem - 9</v>
      </c>
      <c r="U393" s="6" t="str">
        <f aca="false">CHOOSE(MONTH(Q393),"Janvier","Février","Mars","Avril","Mai","Juin","Juillet","Août","Septembre","Octobre","Novembre","Décembre")</f>
        <v>Février</v>
      </c>
      <c r="V393" s="22" t="n">
        <f aca="false">YEAR(Q393)</f>
        <v>2026</v>
      </c>
      <c r="W393" s="20"/>
      <c r="X393" s="8" t="n">
        <f aca="false">IFERROR(IF(M393="Abs",0,IF(ROUND((D393-C393+E393-F393)*1440,0)&lt;=1,0,D393-C393+E393-F393)),0)</f>
        <v>0</v>
      </c>
      <c r="Y393" s="6" t="str">
        <f aca="false">IFERROR(VLOOKUP($B393,Agents!$A:$D,3,0),"-")</f>
        <v>OUBRAHIM Mohammed</v>
      </c>
      <c r="Z393" s="6" t="str">
        <f aca="false">IFERROR(VLOOKUP($B393,Agents!$A:$D,4,0),"-")</f>
        <v>Credit Mutuel</v>
      </c>
      <c r="AA393" s="18" t="s">
        <v>90</v>
      </c>
      <c r="AB393" s="8" t="str">
        <f aca="false">IF(AND(D393="Congé",F393="Congé"),0.333333333333333,IF(OR(AND(D393="Congé",F393&lt;&gt;"Congé"),(AND(F393="Congé",D393&lt;&gt;"Congé"))),0.166666666666667,""))</f>
        <v/>
      </c>
      <c r="AC393" s="8" t="str">
        <f aca="false">IF(AND(D393="Congé sans solde",F393="Congé sans solde"),0.333333333333333,IF(OR(AND(D393="Congé sans solde",F393&lt;&gt;"Congé sans solde"),(AND(F393="Congé sans solde",D393&lt;&gt;"Congé sans solde"))),0.166666666666667,""))</f>
        <v/>
      </c>
      <c r="AD393" s="8" t="str">
        <f aca="false">IF(AND(D393="Congé spécial",F393="Congé spécial"),0.333333333333333,IF(OR(AND(D393="Congé spécial",F393&lt;&gt;"Congé spécial"),AND(F393="Congé spécial",D393&lt;&gt;"Congé spécial")),0.166666666666667,""))</f>
        <v/>
      </c>
      <c r="AE393" s="8" t="str">
        <f aca="false">IF(AND(D393="Férié",F393="Férié"),0.333333333333333,IF(OR(AND(D393="Férié",F393&lt;&gt;"Férié"),(AND(F393="Férié",D393&lt;&gt;"Férié"))),0.166666666666667,""))</f>
        <v/>
      </c>
      <c r="AF393" s="18"/>
      <c r="AG393" s="18" t="s">
        <v>91</v>
      </c>
    </row>
    <row r="394" customFormat="false" ht="15" hidden="false" customHeight="false" outlineLevel="0" collapsed="false">
      <c r="A394" s="6" t="str">
        <f aca="false">YEAR(Q394-WEEKDAY(Q394,2)+4)&amp;"-S"&amp;TEXT(WEEKNUM(Q394,21),"00")</f>
        <v>2026-S09</v>
      </c>
      <c r="B394" s="18" t="s">
        <v>69</v>
      </c>
      <c r="C394" s="19" t="n">
        <v>0.333333333333333</v>
      </c>
      <c r="D394" s="19" t="n">
        <v>0.333333333333333</v>
      </c>
      <c r="E394" s="19" t="n">
        <v>0.666666666666667</v>
      </c>
      <c r="F394" s="19" t="n">
        <v>0.666666666666667</v>
      </c>
      <c r="G394" s="20"/>
      <c r="H394" s="20"/>
      <c r="I394" s="8" t="str">
        <f aca="false">IF(IF(OR(C394="",D394="Congé",D394="OFF",D394="Congé spécial"),"",IF(D394&gt;F394,D394-C394,IF(C394-D394&lt;0,0,C394-D394)))&lt;0.00068287037037037,"",IF(OR(D394="Congé",D394="OFF",C394="",D394="Congé spécial"),"",IF(D394&gt;F394,D394-C394,IF(C394-D394&lt;0,0,C394-D394))))</f>
        <v/>
      </c>
      <c r="J394" s="20"/>
      <c r="K394" s="8" t="n">
        <f aca="false">IF(SUM(H394:J394)&lt;0.00068287037037037,0,SUM(H394:J394))</f>
        <v>0</v>
      </c>
      <c r="L394" s="8" t="n">
        <f aca="false">IF(OR(F394="Congé",F394="OFF",M394="Abs",F394="Congé sans solde",F394="Férié",F394="Congé spécial",D394="Congé spécial"),0,IF(F394-E394&lt;0,0,IF(F394-E394&lt;=0.00068287037037037,0,F394-E394)))</f>
        <v>0</v>
      </c>
      <c r="M394" s="6" t="n">
        <f aca="false">IF(AND(O394&lt;&gt;0,C394=""),"Abs",0)</f>
        <v>0</v>
      </c>
      <c r="N394" s="8" t="n">
        <f aca="false">IFERROR(IF(OR(D394="OFF",D394="Congé",M394="Abs",D394="Congé sans solde",D394="Férié"),"",IF(O394-K394-L394&gt;O394,O394,IF(O394-K394-L394&lt;0,"",O394-K394-L394))),"")</f>
        <v>0.333333333333333</v>
      </c>
      <c r="O394" s="8" t="n">
        <f aca="false">IF(AG394="2H Pause déjeuner",IF(F394-D394-0.0833333333333333&lt;0,F394-D394-0.0833333333333333+1,F394-D394-0.0833333333333333),IF(OR(AND(F394="OFF",D394="OFF"),AND(F394="Congé",D394="Congé"),AND(F394="Congé sans solde",D394="Congé sans solde"),AND(F394="Congé spécial",D394="Congé spécial"),AND(F394="Férié",D394="Férié"),AND(F394="OFF",D394="Congé"),AND(F394="OFF",D394="Congé sans solde"),AND(F394="OFF",D394="Congé spécial"),AND(F394="OFF",D394="Férié"),AND(F394="Congé",D394="OFF"),AND(F394="Congé",D394="Congé sans solde"),AND(F394="Congé",D394="Congé spécial"),AND(F394="Congé",D394="Férié"),AND(F394="Congé sans solde",D394="OFF"),AND(F394="Congé sans solde",D394="Congé"),AND(F394="Congé sans solde",D394="Congé spécial"),AND(F394="Congé sans solde",D394="Férié"),AND(F394="Congé spécial",D394="OFF"),AND(F394="Congé spécial",D394="Congé"),AND(F394="Congé spécial",D394="Congé sans solde"),AND(F394="Congé spécial",D394="Férié"),AND(F394="Férié",D394="OFF"),AND(F394="Férié",D394="Congé"),AND(F394="Férié",D394="Congé sans solde"),AND(F394="Férié",D394="Congé spécial")),0,IF(OR(F394="OFF",F394="Congé",F394="Congé spécial",F394="Congé sans solde",D394="OFF",D394="Congé",D394="Congé spécial",D394="Congé sans solde"),0.208333333333334,IF(AND(AG394="",F394-D394&lt;0),("24:00:00"-D394)+("00:00:00"+F394)-0.0416666666666667,IF(AND(OR(AG394="Allaitement",AG394="Sans déjeuner"),F394-D394&lt;0),("24:00:00"-D394)+("00:00:00"+F394),IF(AND(AG394="",F394-D394&gt;0.166666666666667),F394-D394-0.0416666666666667,IF(AND(OR(AG394="Allaitement",AG394="Sans déjeuner"),F394-D394&gt;0.166666666666667),F394-D394,F394-D394)))))))</f>
        <v>0.333333333333333</v>
      </c>
      <c r="P394" s="6" t="str">
        <f aca="false">IFERROR(VLOOKUP($B394,Agents!$A:$D,2,0),"-")</f>
        <v>Accessibilité</v>
      </c>
      <c r="Q394" s="21" t="n">
        <v>46080</v>
      </c>
      <c r="R394" s="8" t="n">
        <f aca="false">IF(M394="Abs",O394,0)</f>
        <v>0</v>
      </c>
      <c r="S394" s="8" t="n">
        <f aca="false">SUM(R394,L394,I394,J394,W394,H394)</f>
        <v>0</v>
      </c>
      <c r="T394" s="6" t="str">
        <f aca="false">"Sem - "&amp;WEEKNUM(Q394,21)</f>
        <v>Sem - 9</v>
      </c>
      <c r="U394" s="6" t="str">
        <f aca="false">CHOOSE(MONTH(Q394),"Janvier","Février","Mars","Avril","Mai","Juin","Juillet","Août","Septembre","Octobre","Novembre","Décembre")</f>
        <v>Février</v>
      </c>
      <c r="V394" s="22" t="n">
        <f aca="false">YEAR(Q394)</f>
        <v>2026</v>
      </c>
      <c r="W394" s="20"/>
      <c r="X394" s="8" t="n">
        <f aca="false">IFERROR(IF(M394="Abs",0,IF(ROUND((D394-C394+E394-F394)*1440,0)&lt;=1,0,D394-C394+E394-F394)),0)</f>
        <v>0</v>
      </c>
      <c r="Y394" s="6" t="str">
        <f aca="false">IFERROR(VLOOKUP($B394,Agents!$A:$D,3,0),"-")</f>
        <v>OUBRAHIM Mohammed</v>
      </c>
      <c r="Z394" s="6" t="str">
        <f aca="false">IFERROR(VLOOKUP($B394,Agents!$A:$D,4,0),"-")</f>
        <v>Credit Mutuel</v>
      </c>
      <c r="AA394" s="18" t="s">
        <v>90</v>
      </c>
      <c r="AB394" s="8" t="str">
        <f aca="false">IF(AND(D394="Congé",F394="Congé"),0.333333333333333,IF(OR(AND(D394="Congé",F394&lt;&gt;"Congé"),(AND(F394="Congé",D394&lt;&gt;"Congé"))),0.166666666666667,""))</f>
        <v/>
      </c>
      <c r="AC394" s="8" t="str">
        <f aca="false">IF(AND(D394="Congé sans solde",F394="Congé sans solde"),0.333333333333333,IF(OR(AND(D394="Congé sans solde",F394&lt;&gt;"Congé sans solde"),(AND(F394="Congé sans solde",D394&lt;&gt;"Congé sans solde"))),0.166666666666667,""))</f>
        <v/>
      </c>
      <c r="AD394" s="8" t="str">
        <f aca="false">IF(AND(D394="Congé spécial",F394="Congé spécial"),0.333333333333333,IF(OR(AND(D394="Congé spécial",F394&lt;&gt;"Congé spécial"),AND(F394="Congé spécial",D394&lt;&gt;"Congé spécial")),0.166666666666667,""))</f>
        <v/>
      </c>
      <c r="AE394" s="8" t="str">
        <f aca="false">IF(AND(D394="Férié",F394="Férié"),0.333333333333333,IF(OR(AND(D394="Férié",F394&lt;&gt;"Férié"),(AND(F394="Férié",D394&lt;&gt;"Férié"))),0.166666666666667,""))</f>
        <v/>
      </c>
      <c r="AF394" s="18"/>
      <c r="AG394" s="18" t="s">
        <v>91</v>
      </c>
    </row>
    <row r="395" customFormat="false" ht="15" hidden="false" customHeight="false" outlineLevel="0" collapsed="false">
      <c r="A395" s="6" t="str">
        <f aca="false">YEAR(Q395-WEEKDAY(Q395,2)+4)&amp;"-S"&amp;TEXT(WEEKNUM(Q395,21),"00")</f>
        <v>2026-S09</v>
      </c>
      <c r="B395" s="18" t="s">
        <v>71</v>
      </c>
      <c r="C395" s="19" t="n">
        <v>0.333333333333333</v>
      </c>
      <c r="D395" s="19" t="n">
        <v>0.333333333333333</v>
      </c>
      <c r="E395" s="19" t="n">
        <v>0.666666666666667</v>
      </c>
      <c r="F395" s="19" t="n">
        <v>0.666666666666667</v>
      </c>
      <c r="G395" s="20"/>
      <c r="H395" s="20"/>
      <c r="I395" s="8" t="str">
        <f aca="false">IF(IF(OR(C395="",D395="Congé",D395="OFF",D395="Congé spécial"),"",IF(D395&gt;F395,D395-C395,IF(C395-D395&lt;0,0,C395-D395)))&lt;0.00068287037037037,"",IF(OR(D395="Congé",D395="OFF",C395="",D395="Congé spécial"),"",IF(D395&gt;F395,D395-C395,IF(C395-D395&lt;0,0,C395-D395))))</f>
        <v/>
      </c>
      <c r="J395" s="20"/>
      <c r="K395" s="8" t="n">
        <f aca="false">IF(SUM(H395:J395)&lt;0.00068287037037037,0,SUM(H395:J395))</f>
        <v>0</v>
      </c>
      <c r="L395" s="8" t="n">
        <f aca="false">IF(OR(F395="Congé",F395="OFF",M395="Abs",F395="Congé sans solde",F395="Férié",F395="Congé spécial",D395="Congé spécial"),0,IF(F395-E395&lt;0,0,IF(F395-E395&lt;=0.00068287037037037,0,F395-E395)))</f>
        <v>0</v>
      </c>
      <c r="M395" s="6" t="n">
        <f aca="false">IF(AND(O395&lt;&gt;0,C395=""),"Abs",0)</f>
        <v>0</v>
      </c>
      <c r="N395" s="8" t="n">
        <f aca="false">IFERROR(IF(OR(D395="OFF",D395="Congé",M395="Abs",D395="Congé sans solde",D395="Férié"),"",IF(O395-K395-L395&gt;O395,O395,IF(O395-K395-L395&lt;0,"",O395-K395-L395))),"")</f>
        <v>0.333333333333333</v>
      </c>
      <c r="O395" s="8" t="n">
        <f aca="false">IF(AG395="2H Pause déjeuner",IF(F395-D395-0.0833333333333333&lt;0,F395-D395-0.0833333333333333+1,F395-D395-0.0833333333333333),IF(OR(AND(F395="OFF",D395="OFF"),AND(F395="Congé",D395="Congé"),AND(F395="Congé sans solde",D395="Congé sans solde"),AND(F395="Congé spécial",D395="Congé spécial"),AND(F395="Férié",D395="Férié"),AND(F395="OFF",D395="Congé"),AND(F395="OFF",D395="Congé sans solde"),AND(F395="OFF",D395="Congé spécial"),AND(F395="OFF",D395="Férié"),AND(F395="Congé",D395="OFF"),AND(F395="Congé",D395="Congé sans solde"),AND(F395="Congé",D395="Congé spécial"),AND(F395="Congé",D395="Férié"),AND(F395="Congé sans solde",D395="OFF"),AND(F395="Congé sans solde",D395="Congé"),AND(F395="Congé sans solde",D395="Congé spécial"),AND(F395="Congé sans solde",D395="Férié"),AND(F395="Congé spécial",D395="OFF"),AND(F395="Congé spécial",D395="Congé"),AND(F395="Congé spécial",D395="Congé sans solde"),AND(F395="Congé spécial",D395="Férié"),AND(F395="Férié",D395="OFF"),AND(F395="Férié",D395="Congé"),AND(F395="Férié",D395="Congé sans solde"),AND(F395="Férié",D395="Congé spécial")),0,IF(OR(F395="OFF",F395="Congé",F395="Congé spécial",F395="Congé sans solde",D395="OFF",D395="Congé",D395="Congé spécial",D395="Congé sans solde"),0.208333333333334,IF(AND(AG395="",F395-D395&lt;0),("24:00:00"-D395)+("00:00:00"+F395)-0.0416666666666667,IF(AND(OR(AG395="Allaitement",AG395="Sans déjeuner"),F395-D395&lt;0),("24:00:00"-D395)+("00:00:00"+F395),IF(AND(AG395="",F395-D395&gt;0.166666666666667),F395-D395-0.0416666666666667,IF(AND(OR(AG395="Allaitement",AG395="Sans déjeuner"),F395-D395&gt;0.166666666666667),F395-D395,F395-D395)))))))</f>
        <v>0.333333333333333</v>
      </c>
      <c r="P395" s="6" t="str">
        <f aca="false">IFERROR(VLOOKUP($B395,Agents!$A:$D,2,0),"-")</f>
        <v>Accessibilité</v>
      </c>
      <c r="Q395" s="21" t="n">
        <v>46080</v>
      </c>
      <c r="R395" s="8" t="n">
        <f aca="false">IF(M395="Abs",O395,0)</f>
        <v>0</v>
      </c>
      <c r="S395" s="8" t="n">
        <f aca="false">SUM(R395,L395,I395,J395,W395,H395)</f>
        <v>0</v>
      </c>
      <c r="T395" s="6" t="str">
        <f aca="false">"Sem - "&amp;WEEKNUM(Q395,21)</f>
        <v>Sem - 9</v>
      </c>
      <c r="U395" s="6" t="str">
        <f aca="false">CHOOSE(MONTH(Q395),"Janvier","Février","Mars","Avril","Mai","Juin","Juillet","Août","Septembre","Octobre","Novembre","Décembre")</f>
        <v>Février</v>
      </c>
      <c r="V395" s="22" t="n">
        <f aca="false">YEAR(Q395)</f>
        <v>2026</v>
      </c>
      <c r="W395" s="20"/>
      <c r="X395" s="8" t="n">
        <f aca="false">IFERROR(IF(M395="Abs",0,IF(ROUND((D395-C395+E395-F395)*1440,0)&lt;=1,0,D395-C395+E395-F395)),0)</f>
        <v>0</v>
      </c>
      <c r="Y395" s="6" t="str">
        <f aca="false">IFERROR(VLOOKUP($B395,Agents!$A:$D,3,0),"-")</f>
        <v>OUBRAHIM Mohammed</v>
      </c>
      <c r="Z395" s="6" t="str">
        <f aca="false">IFERROR(VLOOKUP($B395,Agents!$A:$D,4,0),"-")</f>
        <v>Credit Mutuel</v>
      </c>
      <c r="AA395" s="18" t="s">
        <v>90</v>
      </c>
      <c r="AB395" s="8" t="str">
        <f aca="false">IF(AND(D395="Congé",F395="Congé"),0.333333333333333,IF(OR(AND(D395="Congé",F395&lt;&gt;"Congé"),(AND(F395="Congé",D395&lt;&gt;"Congé"))),0.166666666666667,""))</f>
        <v/>
      </c>
      <c r="AC395" s="8" t="str">
        <f aca="false">IF(AND(D395="Congé sans solde",F395="Congé sans solde"),0.333333333333333,IF(OR(AND(D395="Congé sans solde",F395&lt;&gt;"Congé sans solde"),(AND(F395="Congé sans solde",D395&lt;&gt;"Congé sans solde"))),0.166666666666667,""))</f>
        <v/>
      </c>
      <c r="AD395" s="8" t="str">
        <f aca="false">IF(AND(D395="Congé spécial",F395="Congé spécial"),0.333333333333333,IF(OR(AND(D395="Congé spécial",F395&lt;&gt;"Congé spécial"),AND(F395="Congé spécial",D395&lt;&gt;"Congé spécial")),0.166666666666667,""))</f>
        <v/>
      </c>
      <c r="AE395" s="8" t="str">
        <f aca="false">IF(AND(D395="Férié",F395="Férié"),0.333333333333333,IF(OR(AND(D395="Férié",F395&lt;&gt;"Férié"),(AND(F395="Férié",D395&lt;&gt;"Férié"))),0.166666666666667,""))</f>
        <v/>
      </c>
      <c r="AF395" s="18"/>
      <c r="AG395" s="18" t="s">
        <v>91</v>
      </c>
    </row>
    <row r="396" customFormat="false" ht="15" hidden="false" customHeight="false" outlineLevel="0" collapsed="false">
      <c r="A396" s="6" t="str">
        <f aca="false">YEAR(Q396-WEEKDAY(Q396,2)+4)&amp;"-S"&amp;TEXT(WEEKNUM(Q396,21),"00")</f>
        <v>2026-S09</v>
      </c>
      <c r="B396" s="18" t="s">
        <v>72</v>
      </c>
      <c r="C396" s="19" t="n">
        <v>0.333333333333333</v>
      </c>
      <c r="D396" s="19" t="n">
        <v>0.333333333333333</v>
      </c>
      <c r="E396" s="19" t="n">
        <v>0.666666666666667</v>
      </c>
      <c r="F396" s="19" t="n">
        <v>0.666666666666667</v>
      </c>
      <c r="G396" s="20"/>
      <c r="H396" s="20"/>
      <c r="I396" s="8" t="str">
        <f aca="false">IF(IF(OR(C396="",D396="Congé",D396="OFF",D396="Congé spécial"),"",IF(D396&gt;F396,D396-C396,IF(C396-D396&lt;0,0,C396-D396)))&lt;0.00068287037037037,"",IF(OR(D396="Congé",D396="OFF",C396="",D396="Congé spécial"),"",IF(D396&gt;F396,D396-C396,IF(C396-D396&lt;0,0,C396-D396))))</f>
        <v/>
      </c>
      <c r="J396" s="20"/>
      <c r="K396" s="8" t="n">
        <f aca="false">IF(SUM(H396:J396)&lt;0.00068287037037037,0,SUM(H396:J396))</f>
        <v>0</v>
      </c>
      <c r="L396" s="8" t="n">
        <f aca="false">IF(OR(F396="Congé",F396="OFF",M396="Abs",F396="Congé sans solde",F396="Férié",F396="Congé spécial",D396="Congé spécial"),0,IF(F396-E396&lt;0,0,IF(F396-E396&lt;=0.00068287037037037,0,F396-E396)))</f>
        <v>0</v>
      </c>
      <c r="M396" s="6" t="n">
        <f aca="false">IF(AND(O396&lt;&gt;0,C396=""),"Abs",0)</f>
        <v>0</v>
      </c>
      <c r="N396" s="8" t="n">
        <f aca="false">IFERROR(IF(OR(D396="OFF",D396="Congé",M396="Abs",D396="Congé sans solde",D396="Férié"),"",IF(O396-K396-L396&gt;O396,O396,IF(O396-K396-L396&lt;0,"",O396-K396-L396))),"")</f>
        <v>0.333333333333333</v>
      </c>
      <c r="O396" s="8" t="n">
        <f aca="false">IF(AG396="2H Pause déjeuner",IF(F396-D396-0.0833333333333333&lt;0,F396-D396-0.0833333333333333+1,F396-D396-0.0833333333333333),IF(OR(AND(F396="OFF",D396="OFF"),AND(F396="Congé",D396="Congé"),AND(F396="Congé sans solde",D396="Congé sans solde"),AND(F396="Congé spécial",D396="Congé spécial"),AND(F396="Férié",D396="Férié"),AND(F396="OFF",D396="Congé"),AND(F396="OFF",D396="Congé sans solde"),AND(F396="OFF",D396="Congé spécial"),AND(F396="OFF",D396="Férié"),AND(F396="Congé",D396="OFF"),AND(F396="Congé",D396="Congé sans solde"),AND(F396="Congé",D396="Congé spécial"),AND(F396="Congé",D396="Férié"),AND(F396="Congé sans solde",D396="OFF"),AND(F396="Congé sans solde",D396="Congé"),AND(F396="Congé sans solde",D396="Congé spécial"),AND(F396="Congé sans solde",D396="Férié"),AND(F396="Congé spécial",D396="OFF"),AND(F396="Congé spécial",D396="Congé"),AND(F396="Congé spécial",D396="Congé sans solde"),AND(F396="Congé spécial",D396="Férié"),AND(F396="Férié",D396="OFF"),AND(F396="Férié",D396="Congé"),AND(F396="Férié",D396="Congé sans solde"),AND(F396="Férié",D396="Congé spécial")),0,IF(OR(F396="OFF",F396="Congé",F396="Congé spécial",F396="Congé sans solde",D396="OFF",D396="Congé",D396="Congé spécial",D396="Congé sans solde"),0.208333333333334,IF(AND(AG396="",F396-D396&lt;0),("24:00:00"-D396)+("00:00:00"+F396)-0.0416666666666667,IF(AND(OR(AG396="Allaitement",AG396="Sans déjeuner"),F396-D396&lt;0),("24:00:00"-D396)+("00:00:00"+F396),IF(AND(AG396="",F396-D396&gt;0.166666666666667),F396-D396-0.0416666666666667,IF(AND(OR(AG396="Allaitement",AG396="Sans déjeuner"),F396-D396&gt;0.166666666666667),F396-D396,F396-D396)))))))</f>
        <v>0.333333333333333</v>
      </c>
      <c r="P396" s="6" t="str">
        <f aca="false">IFERROR(VLOOKUP($B396,Agents!$A:$D,2,0),"-")</f>
        <v>Accessibilité</v>
      </c>
      <c r="Q396" s="21" t="n">
        <v>46080</v>
      </c>
      <c r="R396" s="8" t="n">
        <f aca="false">IF(M396="Abs",O396,0)</f>
        <v>0</v>
      </c>
      <c r="S396" s="8" t="n">
        <f aca="false">SUM(R396,L396,I396,J396,W396,H396)</f>
        <v>0</v>
      </c>
      <c r="T396" s="6" t="str">
        <f aca="false">"Sem - "&amp;WEEKNUM(Q396,21)</f>
        <v>Sem - 9</v>
      </c>
      <c r="U396" s="6" t="str">
        <f aca="false">CHOOSE(MONTH(Q396),"Janvier","Février","Mars","Avril","Mai","Juin","Juillet","Août","Septembre","Octobre","Novembre","Décembre")</f>
        <v>Février</v>
      </c>
      <c r="V396" s="22" t="n">
        <f aca="false">YEAR(Q396)</f>
        <v>2026</v>
      </c>
      <c r="W396" s="20"/>
      <c r="X396" s="8" t="n">
        <f aca="false">IFERROR(IF(M396="Abs",0,IF(ROUND((D396-C396+E396-F396)*1440,0)&lt;=1,0,D396-C396+E396-F396)),0)</f>
        <v>0</v>
      </c>
      <c r="Y396" s="6" t="str">
        <f aca="false">IFERROR(VLOOKUP($B396,Agents!$A:$D,3,0),"-")</f>
        <v>OUBRAHIM Mohammed</v>
      </c>
      <c r="Z396" s="6" t="str">
        <f aca="false">IFERROR(VLOOKUP($B396,Agents!$A:$D,4,0),"-")</f>
        <v>Credit Mutuel</v>
      </c>
      <c r="AA396" s="18" t="s">
        <v>90</v>
      </c>
      <c r="AB396" s="8" t="str">
        <f aca="false">IF(AND(D396="Congé",F396="Congé"),0.333333333333333,IF(OR(AND(D396="Congé",F396&lt;&gt;"Congé"),(AND(F396="Congé",D396&lt;&gt;"Congé"))),0.166666666666667,""))</f>
        <v/>
      </c>
      <c r="AC396" s="8" t="str">
        <f aca="false">IF(AND(D396="Congé sans solde",F396="Congé sans solde"),0.333333333333333,IF(OR(AND(D396="Congé sans solde",F396&lt;&gt;"Congé sans solde"),(AND(F396="Congé sans solde",D396&lt;&gt;"Congé sans solde"))),0.166666666666667,""))</f>
        <v/>
      </c>
      <c r="AD396" s="8" t="str">
        <f aca="false">IF(AND(D396="Congé spécial",F396="Congé spécial"),0.333333333333333,IF(OR(AND(D396="Congé spécial",F396&lt;&gt;"Congé spécial"),AND(F396="Congé spécial",D396&lt;&gt;"Congé spécial")),0.166666666666667,""))</f>
        <v/>
      </c>
      <c r="AE396" s="8" t="str">
        <f aca="false">IF(AND(D396="Férié",F396="Férié"),0.333333333333333,IF(OR(AND(D396="Férié",F396&lt;&gt;"Férié"),(AND(F396="Férié",D396&lt;&gt;"Férié"))),0.166666666666667,""))</f>
        <v/>
      </c>
      <c r="AF396" s="18"/>
      <c r="AG396" s="18" t="s">
        <v>91</v>
      </c>
    </row>
    <row r="397" customFormat="false" ht="15" hidden="false" customHeight="false" outlineLevel="0" collapsed="false">
      <c r="A397" s="6" t="str">
        <f aca="false">YEAR(Q397-WEEKDAY(Q397,2)+4)&amp;"-S"&amp;TEXT(WEEKNUM(Q397,21),"00")</f>
        <v>2026-S09</v>
      </c>
      <c r="B397" s="18" t="s">
        <v>73</v>
      </c>
      <c r="C397" s="19" t="n">
        <v>0.333333333333333</v>
      </c>
      <c r="D397" s="19" t="n">
        <v>0.333333333333333</v>
      </c>
      <c r="E397" s="19" t="n">
        <v>0.666666666666667</v>
      </c>
      <c r="F397" s="19" t="n">
        <v>0.666666666666667</v>
      </c>
      <c r="G397" s="20"/>
      <c r="H397" s="20"/>
      <c r="I397" s="8" t="str">
        <f aca="false">IF(IF(OR(C397="",D397="Congé",D397="OFF",D397="Congé spécial"),"",IF(D397&gt;F397,D397-C397,IF(C397-D397&lt;0,0,C397-D397)))&lt;0.00068287037037037,"",IF(OR(D397="Congé",D397="OFF",C397="",D397="Congé spécial"),"",IF(D397&gt;F397,D397-C397,IF(C397-D397&lt;0,0,C397-D397))))</f>
        <v/>
      </c>
      <c r="J397" s="20"/>
      <c r="K397" s="8" t="n">
        <f aca="false">IF(SUM(H397:J397)&lt;0.00068287037037037,0,SUM(H397:J397))</f>
        <v>0</v>
      </c>
      <c r="L397" s="8" t="n">
        <f aca="false">IF(OR(F397="Congé",F397="OFF",M397="Abs",F397="Congé sans solde",F397="Férié",F397="Congé spécial",D397="Congé spécial"),0,IF(F397-E397&lt;0,0,IF(F397-E397&lt;=0.00068287037037037,0,F397-E397)))</f>
        <v>0</v>
      </c>
      <c r="M397" s="6" t="n">
        <f aca="false">IF(AND(O397&lt;&gt;0,C397=""),"Abs",0)</f>
        <v>0</v>
      </c>
      <c r="N397" s="8" t="n">
        <f aca="false">IFERROR(IF(OR(D397="OFF",D397="Congé",M397="Abs",D397="Congé sans solde",D397="Férié"),"",IF(O397-K397-L397&gt;O397,O397,IF(O397-K397-L397&lt;0,"",O397-K397-L397))),"")</f>
        <v>0.333333333333333</v>
      </c>
      <c r="O397" s="8" t="n">
        <f aca="false">IF(AG397="2H Pause déjeuner",IF(F397-D397-0.0833333333333333&lt;0,F397-D397-0.0833333333333333+1,F397-D397-0.0833333333333333),IF(OR(AND(F397="OFF",D397="OFF"),AND(F397="Congé",D397="Congé"),AND(F397="Congé sans solde",D397="Congé sans solde"),AND(F397="Congé spécial",D397="Congé spécial"),AND(F397="Férié",D397="Férié"),AND(F397="OFF",D397="Congé"),AND(F397="OFF",D397="Congé sans solde"),AND(F397="OFF",D397="Congé spécial"),AND(F397="OFF",D397="Férié"),AND(F397="Congé",D397="OFF"),AND(F397="Congé",D397="Congé sans solde"),AND(F397="Congé",D397="Congé spécial"),AND(F397="Congé",D397="Férié"),AND(F397="Congé sans solde",D397="OFF"),AND(F397="Congé sans solde",D397="Congé"),AND(F397="Congé sans solde",D397="Congé spécial"),AND(F397="Congé sans solde",D397="Férié"),AND(F397="Congé spécial",D397="OFF"),AND(F397="Congé spécial",D397="Congé"),AND(F397="Congé spécial",D397="Congé sans solde"),AND(F397="Congé spécial",D397="Férié"),AND(F397="Férié",D397="OFF"),AND(F397="Férié",D397="Congé"),AND(F397="Férié",D397="Congé sans solde"),AND(F397="Férié",D397="Congé spécial")),0,IF(OR(F397="OFF",F397="Congé",F397="Congé spécial",F397="Congé sans solde",D397="OFF",D397="Congé",D397="Congé spécial",D397="Congé sans solde"),0.208333333333334,IF(AND(AG397="",F397-D397&lt;0),("24:00:00"-D397)+("00:00:00"+F397)-0.0416666666666667,IF(AND(OR(AG397="Allaitement",AG397="Sans déjeuner"),F397-D397&lt;0),("24:00:00"-D397)+("00:00:00"+F397),IF(AND(AG397="",F397-D397&gt;0.166666666666667),F397-D397-0.0416666666666667,IF(AND(OR(AG397="Allaitement",AG397="Sans déjeuner"),F397-D397&gt;0.166666666666667),F397-D397,F397-D397)))))))</f>
        <v>0.333333333333333</v>
      </c>
      <c r="P397" s="6" t="str">
        <f aca="false">IFERROR(VLOOKUP($B397,Agents!$A:$D,2,0),"-")</f>
        <v>Accessibilité</v>
      </c>
      <c r="Q397" s="21" t="n">
        <v>46080</v>
      </c>
      <c r="R397" s="8" t="n">
        <f aca="false">IF(M397="Abs",O397,0)</f>
        <v>0</v>
      </c>
      <c r="S397" s="8" t="n">
        <f aca="false">SUM(R397,L397,I397,J397,W397,H397)</f>
        <v>0</v>
      </c>
      <c r="T397" s="6" t="str">
        <f aca="false">"Sem - "&amp;WEEKNUM(Q397,21)</f>
        <v>Sem - 9</v>
      </c>
      <c r="U397" s="6" t="str">
        <f aca="false">CHOOSE(MONTH(Q397),"Janvier","Février","Mars","Avril","Mai","Juin","Juillet","Août","Septembre","Octobre","Novembre","Décembre")</f>
        <v>Février</v>
      </c>
      <c r="V397" s="22" t="n">
        <f aca="false">YEAR(Q397)</f>
        <v>2026</v>
      </c>
      <c r="W397" s="20"/>
      <c r="X397" s="8" t="n">
        <f aca="false">IFERROR(IF(M397="Abs",0,IF(ROUND((D397-C397+E397-F397)*1440,0)&lt;=1,0,D397-C397+E397-F397)),0)</f>
        <v>0</v>
      </c>
      <c r="Y397" s="6" t="str">
        <f aca="false">IFERROR(VLOOKUP($B397,Agents!$A:$D,3,0),"-")</f>
        <v>OUBRAHIM Mohammed</v>
      </c>
      <c r="Z397" s="6" t="str">
        <f aca="false">IFERROR(VLOOKUP($B397,Agents!$A:$D,4,0),"-")</f>
        <v>Credit Mutuel</v>
      </c>
      <c r="AA397" s="18" t="s">
        <v>90</v>
      </c>
      <c r="AB397" s="8" t="str">
        <f aca="false">IF(AND(D397="Congé",F397="Congé"),0.333333333333333,IF(OR(AND(D397="Congé",F397&lt;&gt;"Congé"),(AND(F397="Congé",D397&lt;&gt;"Congé"))),0.166666666666667,""))</f>
        <v/>
      </c>
      <c r="AC397" s="8" t="str">
        <f aca="false">IF(AND(D397="Congé sans solde",F397="Congé sans solde"),0.333333333333333,IF(OR(AND(D397="Congé sans solde",F397&lt;&gt;"Congé sans solde"),(AND(F397="Congé sans solde",D397&lt;&gt;"Congé sans solde"))),0.166666666666667,""))</f>
        <v/>
      </c>
      <c r="AD397" s="8" t="str">
        <f aca="false">IF(AND(D397="Congé spécial",F397="Congé spécial"),0.333333333333333,IF(OR(AND(D397="Congé spécial",F397&lt;&gt;"Congé spécial"),AND(F397="Congé spécial",D397&lt;&gt;"Congé spécial")),0.166666666666667,""))</f>
        <v/>
      </c>
      <c r="AE397" s="8" t="str">
        <f aca="false">IF(AND(D397="Férié",F397="Férié"),0.333333333333333,IF(OR(AND(D397="Férié",F397&lt;&gt;"Férié"),(AND(F397="Férié",D397&lt;&gt;"Férié"))),0.166666666666667,""))</f>
        <v/>
      </c>
      <c r="AF397" s="18"/>
      <c r="AG397" s="18" t="s">
        <v>91</v>
      </c>
    </row>
    <row r="398" customFormat="false" ht="15" hidden="false" customHeight="false" outlineLevel="0" collapsed="false">
      <c r="A398" s="6" t="str">
        <f aca="false">YEAR(Q398-WEEKDAY(Q398,2)+4)&amp;"-S"&amp;TEXT(WEEKNUM(Q398,21),"00")</f>
        <v>2026-S09</v>
      </c>
      <c r="B398" s="18" t="s">
        <v>69</v>
      </c>
      <c r="C398" s="19"/>
      <c r="D398" s="19" t="s">
        <v>74</v>
      </c>
      <c r="E398" s="19"/>
      <c r="F398" s="19" t="s">
        <v>74</v>
      </c>
      <c r="G398" s="20"/>
      <c r="H398" s="20"/>
      <c r="I398" s="8" t="str">
        <f aca="false">IF(IF(OR(C398="",D398="Congé",D398="OFF",D398="Congé spécial"),"",IF(D398&gt;F398,D398-C398,IF(C398-D398&lt;0,0,C398-D398)))&lt;0.00068287037037037,"",IF(OR(D398="Congé",D398="OFF",C398="",D398="Congé spécial"),"",IF(D398&gt;F398,D398-C398,IF(C398-D398&lt;0,0,C398-D398))))</f>
        <v/>
      </c>
      <c r="J398" s="20"/>
      <c r="K398" s="8" t="n">
        <f aca="false">IF(SUM(H398:J398)&lt;0.00068287037037037,0,SUM(H398:J398))</f>
        <v>0</v>
      </c>
      <c r="L398" s="8" t="n">
        <f aca="false">IF(OR(F398="Congé",F398="OFF",M398="Abs",F398="Congé sans solde",F398="Férié",F398="Congé spécial",D398="Congé spécial"),0,IF(F398-E398&lt;0,0,IF(F398-E398&lt;=0.00068287037037037,0,F398-E398)))</f>
        <v>0</v>
      </c>
      <c r="M398" s="6" t="n">
        <f aca="false">IF(AND(O398&lt;&gt;0,C398=""),"Abs",0)</f>
        <v>0</v>
      </c>
      <c r="N398" s="8" t="str">
        <f aca="false">IFERROR(IF(OR(D398="OFF",D398="Congé",M398="Abs",D398="Congé sans solde",D398="Férié"),"",IF(O398-K398-L398&gt;O398,O398,IF(O398-K398-L398&lt;0,"",O398-K398-L398))),"")</f>
        <v/>
      </c>
      <c r="O398" s="8" t="n">
        <f aca="false">IF(AG398="2H Pause déjeuner",IF(F398-D398-0.0833333333333333&lt;0,F398-D398-0.0833333333333333+1,F398-D398-0.0833333333333333),IF(OR(AND(F398="OFF",D398="OFF"),AND(F398="Congé",D398="Congé"),AND(F398="Congé sans solde",D398="Congé sans solde"),AND(F398="Congé spécial",D398="Congé spécial"),AND(F398="Férié",D398="Férié"),AND(F398="OFF",D398="Congé"),AND(F398="OFF",D398="Congé sans solde"),AND(F398="OFF",D398="Congé spécial"),AND(F398="OFF",D398="Férié"),AND(F398="Congé",D398="OFF"),AND(F398="Congé",D398="Congé sans solde"),AND(F398="Congé",D398="Congé spécial"),AND(F398="Congé",D398="Férié"),AND(F398="Congé sans solde",D398="OFF"),AND(F398="Congé sans solde",D398="Congé"),AND(F398="Congé sans solde",D398="Congé spécial"),AND(F398="Congé sans solde",D398="Férié"),AND(F398="Congé spécial",D398="OFF"),AND(F398="Congé spécial",D398="Congé"),AND(F398="Congé spécial",D398="Congé sans solde"),AND(F398="Congé spécial",D398="Férié"),AND(F398="Férié",D398="OFF"),AND(F398="Férié",D398="Congé"),AND(F398="Férié",D398="Congé sans solde"),AND(F398="Férié",D398="Congé spécial")),0,IF(OR(F398="OFF",F398="Congé",F398="Congé spécial",F398="Congé sans solde",D398="OFF",D398="Congé",D398="Congé spécial",D398="Congé sans solde"),0.208333333333334,IF(AND(AG398="",F398-D398&lt;0),("24:00:00"-D398)+("00:00:00"+F398)-0.0416666666666667,IF(AND(OR(AG398="Allaitement",AG398="Sans déjeuner"),F398-D398&lt;0),("24:00:00"-D398)+("00:00:00"+F398),IF(AND(AG398="",F398-D398&gt;0.166666666666667),F398-D398-0.0416666666666667,IF(AND(OR(AG398="Allaitement",AG398="Sans déjeuner"),F398-D398&gt;0.166666666666667),F398-D398,F398-D398)))))))</f>
        <v>0</v>
      </c>
      <c r="P398" s="6" t="str">
        <f aca="false">IFERROR(VLOOKUP($B398,Agents!$A:$D,2,0),"-")</f>
        <v>Accessibilité</v>
      </c>
      <c r="Q398" s="21" t="n">
        <v>46081</v>
      </c>
      <c r="R398" s="8" t="n">
        <f aca="false">IF(M398="Abs",O398,0)</f>
        <v>0</v>
      </c>
      <c r="S398" s="8" t="n">
        <f aca="false">SUM(R398,L398,I398,J398,W398,H398)</f>
        <v>0</v>
      </c>
      <c r="T398" s="6" t="str">
        <f aca="false">"Sem - "&amp;WEEKNUM(Q398,21)</f>
        <v>Sem - 9</v>
      </c>
      <c r="U398" s="6" t="str">
        <f aca="false">CHOOSE(MONTH(Q398),"Janvier","Février","Mars","Avril","Mai","Juin","Juillet","Août","Septembre","Octobre","Novembre","Décembre")</f>
        <v>Février</v>
      </c>
      <c r="V398" s="22" t="n">
        <f aca="false">YEAR(Q398)</f>
        <v>2026</v>
      </c>
      <c r="W398" s="20"/>
      <c r="X398" s="8" t="n">
        <f aca="false">IFERROR(IF(M398="Abs",0,IF(ROUND((D398-C398+E398-F398)*1440,0)&lt;=1,0,D398-C398+E398-F398)),0)</f>
        <v>0</v>
      </c>
      <c r="Y398" s="6" t="str">
        <f aca="false">IFERROR(VLOOKUP($B398,Agents!$A:$D,3,0),"-")</f>
        <v>OUBRAHIM Mohammed</v>
      </c>
      <c r="Z398" s="6" t="str">
        <f aca="false">IFERROR(VLOOKUP($B398,Agents!$A:$D,4,0),"-")</f>
        <v>Credit Mutuel</v>
      </c>
      <c r="AA398" s="18" t="s">
        <v>90</v>
      </c>
      <c r="AB398" s="8" t="str">
        <f aca="false">IF(AND(D398="Congé",F398="Congé"),0.333333333333333,IF(OR(AND(D398="Congé",F398&lt;&gt;"Congé"),(AND(F398="Congé",D398&lt;&gt;"Congé"))),0.166666666666667,""))</f>
        <v/>
      </c>
      <c r="AC398" s="8" t="str">
        <f aca="false">IF(AND(D398="Congé sans solde",F398="Congé sans solde"),0.333333333333333,IF(OR(AND(D398="Congé sans solde",F398&lt;&gt;"Congé sans solde"),(AND(F398="Congé sans solde",D398&lt;&gt;"Congé sans solde"))),0.166666666666667,""))</f>
        <v/>
      </c>
      <c r="AD398" s="8" t="str">
        <f aca="false">IF(AND(D398="Congé spécial",F398="Congé spécial"),0.333333333333333,IF(OR(AND(D398="Congé spécial",F398&lt;&gt;"Congé spécial"),AND(F398="Congé spécial",D398&lt;&gt;"Congé spécial")),0.166666666666667,""))</f>
        <v/>
      </c>
      <c r="AE398" s="8" t="str">
        <f aca="false">IF(AND(D398="Férié",F398="Férié"),0.333333333333333,IF(OR(AND(D398="Férié",F398&lt;&gt;"Férié"),(AND(F398="Férié",D398&lt;&gt;"Férié"))),0.166666666666667,""))</f>
        <v/>
      </c>
      <c r="AF398" s="18"/>
      <c r="AG398" s="18"/>
    </row>
    <row r="399" customFormat="false" ht="15" hidden="false" customHeight="false" outlineLevel="0" collapsed="false">
      <c r="A399" s="6" t="str">
        <f aca="false">YEAR(Q399-WEEKDAY(Q399,2)+4)&amp;"-S"&amp;TEXT(WEEKNUM(Q399,21),"00")</f>
        <v>2026-S09</v>
      </c>
      <c r="B399" s="18" t="s">
        <v>71</v>
      </c>
      <c r="C399" s="19"/>
      <c r="D399" s="19" t="s">
        <v>74</v>
      </c>
      <c r="E399" s="19"/>
      <c r="F399" s="19" t="s">
        <v>74</v>
      </c>
      <c r="G399" s="20"/>
      <c r="H399" s="20"/>
      <c r="I399" s="8" t="str">
        <f aca="false">IF(IF(OR(C399="",D399="Congé",D399="OFF",D399="Congé spécial"),"",IF(D399&gt;F399,D399-C399,IF(C399-D399&lt;0,0,C399-D399)))&lt;0.00068287037037037,"",IF(OR(D399="Congé",D399="OFF",C399="",D399="Congé spécial"),"",IF(D399&gt;F399,D399-C399,IF(C399-D399&lt;0,0,C399-D399))))</f>
        <v/>
      </c>
      <c r="J399" s="20"/>
      <c r="K399" s="8" t="n">
        <f aca="false">IF(SUM(H399:J399)&lt;0.00068287037037037,0,SUM(H399:J399))</f>
        <v>0</v>
      </c>
      <c r="L399" s="8" t="n">
        <f aca="false">IF(OR(F399="Congé",F399="OFF",M399="Abs",F399="Congé sans solde",F399="Férié",F399="Congé spécial",D399="Congé spécial"),0,IF(F399-E399&lt;0,0,IF(F399-E399&lt;=0.00068287037037037,0,F399-E399)))</f>
        <v>0</v>
      </c>
      <c r="M399" s="6" t="n">
        <f aca="false">IF(AND(O399&lt;&gt;0,C399=""),"Abs",0)</f>
        <v>0</v>
      </c>
      <c r="N399" s="8" t="str">
        <f aca="false">IFERROR(IF(OR(D399="OFF",D399="Congé",M399="Abs",D399="Congé sans solde",D399="Férié"),"",IF(O399-K399-L399&gt;O399,O399,IF(O399-K399-L399&lt;0,"",O399-K399-L399))),"")</f>
        <v/>
      </c>
      <c r="O399" s="8" t="n">
        <f aca="false">IF(AG399="2H Pause déjeuner",IF(F399-D399-0.0833333333333333&lt;0,F399-D399-0.0833333333333333+1,F399-D399-0.0833333333333333),IF(OR(AND(F399="OFF",D399="OFF"),AND(F399="Congé",D399="Congé"),AND(F399="Congé sans solde",D399="Congé sans solde"),AND(F399="Congé spécial",D399="Congé spécial"),AND(F399="Férié",D399="Férié"),AND(F399="OFF",D399="Congé"),AND(F399="OFF",D399="Congé sans solde"),AND(F399="OFF",D399="Congé spécial"),AND(F399="OFF",D399="Férié"),AND(F399="Congé",D399="OFF"),AND(F399="Congé",D399="Congé sans solde"),AND(F399="Congé",D399="Congé spécial"),AND(F399="Congé",D399="Férié"),AND(F399="Congé sans solde",D399="OFF"),AND(F399="Congé sans solde",D399="Congé"),AND(F399="Congé sans solde",D399="Congé spécial"),AND(F399="Congé sans solde",D399="Férié"),AND(F399="Congé spécial",D399="OFF"),AND(F399="Congé spécial",D399="Congé"),AND(F399="Congé spécial",D399="Congé sans solde"),AND(F399="Congé spécial",D399="Férié"),AND(F399="Férié",D399="OFF"),AND(F399="Férié",D399="Congé"),AND(F399="Férié",D399="Congé sans solde"),AND(F399="Férié",D399="Congé spécial")),0,IF(OR(F399="OFF",F399="Congé",F399="Congé spécial",F399="Congé sans solde",D399="OFF",D399="Congé",D399="Congé spécial",D399="Congé sans solde"),0.208333333333334,IF(AND(AG399="",F399-D399&lt;0),("24:00:00"-D399)+("00:00:00"+F399)-0.0416666666666667,IF(AND(OR(AG399="Allaitement",AG399="Sans déjeuner"),F399-D399&lt;0),("24:00:00"-D399)+("00:00:00"+F399),IF(AND(AG399="",F399-D399&gt;0.166666666666667),F399-D399-0.0416666666666667,IF(AND(OR(AG399="Allaitement",AG399="Sans déjeuner"),F399-D399&gt;0.166666666666667),F399-D399,F399-D399)))))))</f>
        <v>0</v>
      </c>
      <c r="P399" s="6" t="str">
        <f aca="false">IFERROR(VLOOKUP($B399,Agents!$A:$D,2,0),"-")</f>
        <v>Accessibilité</v>
      </c>
      <c r="Q399" s="21" t="n">
        <v>46081</v>
      </c>
      <c r="R399" s="8" t="n">
        <f aca="false">IF(M399="Abs",O399,0)</f>
        <v>0</v>
      </c>
      <c r="S399" s="8" t="n">
        <f aca="false">SUM(R399,L399,I399,J399,W399,H399)</f>
        <v>0</v>
      </c>
      <c r="T399" s="6" t="str">
        <f aca="false">"Sem - "&amp;WEEKNUM(Q399,21)</f>
        <v>Sem - 9</v>
      </c>
      <c r="U399" s="6" t="str">
        <f aca="false">CHOOSE(MONTH(Q399),"Janvier","Février","Mars","Avril","Mai","Juin","Juillet","Août","Septembre","Octobre","Novembre","Décembre")</f>
        <v>Février</v>
      </c>
      <c r="V399" s="22" t="n">
        <f aca="false">YEAR(Q399)</f>
        <v>2026</v>
      </c>
      <c r="W399" s="20"/>
      <c r="X399" s="8" t="n">
        <f aca="false">IFERROR(IF(M399="Abs",0,IF(ROUND((D399-C399+E399-F399)*1440,0)&lt;=1,0,D399-C399+E399-F399)),0)</f>
        <v>0</v>
      </c>
      <c r="Y399" s="6" t="str">
        <f aca="false">IFERROR(VLOOKUP($B399,Agents!$A:$D,3,0),"-")</f>
        <v>OUBRAHIM Mohammed</v>
      </c>
      <c r="Z399" s="6" t="str">
        <f aca="false">IFERROR(VLOOKUP($B399,Agents!$A:$D,4,0),"-")</f>
        <v>Credit Mutuel</v>
      </c>
      <c r="AA399" s="18" t="s">
        <v>90</v>
      </c>
      <c r="AB399" s="8" t="str">
        <f aca="false">IF(AND(D399="Congé",F399="Congé"),0.333333333333333,IF(OR(AND(D399="Congé",F399&lt;&gt;"Congé"),(AND(F399="Congé",D399&lt;&gt;"Congé"))),0.166666666666667,""))</f>
        <v/>
      </c>
      <c r="AC399" s="8" t="str">
        <f aca="false">IF(AND(D399="Congé sans solde",F399="Congé sans solde"),0.333333333333333,IF(OR(AND(D399="Congé sans solde",F399&lt;&gt;"Congé sans solde"),(AND(F399="Congé sans solde",D399&lt;&gt;"Congé sans solde"))),0.166666666666667,""))</f>
        <v/>
      </c>
      <c r="AD399" s="8" t="str">
        <f aca="false">IF(AND(D399="Congé spécial",F399="Congé spécial"),0.333333333333333,IF(OR(AND(D399="Congé spécial",F399&lt;&gt;"Congé spécial"),AND(F399="Congé spécial",D399&lt;&gt;"Congé spécial")),0.166666666666667,""))</f>
        <v/>
      </c>
      <c r="AE399" s="8" t="str">
        <f aca="false">IF(AND(D399="Férié",F399="Férié"),0.333333333333333,IF(OR(AND(D399="Férié",F399&lt;&gt;"Férié"),(AND(F399="Férié",D399&lt;&gt;"Férié"))),0.166666666666667,""))</f>
        <v/>
      </c>
      <c r="AF399" s="18"/>
      <c r="AG399" s="18"/>
    </row>
    <row r="400" customFormat="false" ht="15" hidden="false" customHeight="false" outlineLevel="0" collapsed="false">
      <c r="A400" s="6" t="str">
        <f aca="false">YEAR(Q400-WEEKDAY(Q400,2)+4)&amp;"-S"&amp;TEXT(WEEKNUM(Q400,21),"00")</f>
        <v>2026-S09</v>
      </c>
      <c r="B400" s="18" t="s">
        <v>72</v>
      </c>
      <c r="C400" s="19"/>
      <c r="D400" s="19" t="s">
        <v>74</v>
      </c>
      <c r="E400" s="19"/>
      <c r="F400" s="19" t="s">
        <v>74</v>
      </c>
      <c r="G400" s="20"/>
      <c r="H400" s="20"/>
      <c r="I400" s="8" t="str">
        <f aca="false">IF(IF(OR(C400="",D400="Congé",D400="OFF",D400="Congé spécial"),"",IF(D400&gt;F400,D400-C400,IF(C400-D400&lt;0,0,C400-D400)))&lt;0.00068287037037037,"",IF(OR(D400="Congé",D400="OFF",C400="",D400="Congé spécial"),"",IF(D400&gt;F400,D400-C400,IF(C400-D400&lt;0,0,C400-D400))))</f>
        <v/>
      </c>
      <c r="J400" s="20"/>
      <c r="K400" s="8" t="n">
        <f aca="false">IF(SUM(H400:J400)&lt;0.00068287037037037,0,SUM(H400:J400))</f>
        <v>0</v>
      </c>
      <c r="L400" s="8" t="n">
        <f aca="false">IF(OR(F400="Congé",F400="OFF",M400="Abs",F400="Congé sans solde",F400="Férié",F400="Congé spécial",D400="Congé spécial"),0,IF(F400-E400&lt;0,0,IF(F400-E400&lt;=0.00068287037037037,0,F400-E400)))</f>
        <v>0</v>
      </c>
      <c r="M400" s="6" t="n">
        <f aca="false">IF(AND(O400&lt;&gt;0,C400=""),"Abs",0)</f>
        <v>0</v>
      </c>
      <c r="N400" s="8" t="str">
        <f aca="false">IFERROR(IF(OR(D400="OFF",D400="Congé",M400="Abs",D400="Congé sans solde",D400="Férié"),"",IF(O400-K400-L400&gt;O400,O400,IF(O400-K400-L400&lt;0,"",O400-K400-L400))),"")</f>
        <v/>
      </c>
      <c r="O400" s="8" t="n">
        <f aca="false">IF(AG400="2H Pause déjeuner",IF(F400-D400-0.0833333333333333&lt;0,F400-D400-0.0833333333333333+1,F400-D400-0.0833333333333333),IF(OR(AND(F400="OFF",D400="OFF"),AND(F400="Congé",D400="Congé"),AND(F400="Congé sans solde",D400="Congé sans solde"),AND(F400="Congé spécial",D400="Congé spécial"),AND(F400="Férié",D400="Férié"),AND(F400="OFF",D400="Congé"),AND(F400="OFF",D400="Congé sans solde"),AND(F400="OFF",D400="Congé spécial"),AND(F400="OFF",D400="Férié"),AND(F400="Congé",D400="OFF"),AND(F400="Congé",D400="Congé sans solde"),AND(F400="Congé",D400="Congé spécial"),AND(F400="Congé",D400="Férié"),AND(F400="Congé sans solde",D400="OFF"),AND(F400="Congé sans solde",D400="Congé"),AND(F400="Congé sans solde",D400="Congé spécial"),AND(F400="Congé sans solde",D400="Férié"),AND(F400="Congé spécial",D400="OFF"),AND(F400="Congé spécial",D400="Congé"),AND(F400="Congé spécial",D400="Congé sans solde"),AND(F400="Congé spécial",D400="Férié"),AND(F400="Férié",D400="OFF"),AND(F400="Férié",D400="Congé"),AND(F400="Férié",D400="Congé sans solde"),AND(F400="Férié",D400="Congé spécial")),0,IF(OR(F400="OFF",F400="Congé",F400="Congé spécial",F400="Congé sans solde",D400="OFF",D400="Congé",D400="Congé spécial",D400="Congé sans solde"),0.208333333333334,IF(AND(AG400="",F400-D400&lt;0),("24:00:00"-D400)+("00:00:00"+F400)-0.0416666666666667,IF(AND(OR(AG400="Allaitement",AG400="Sans déjeuner"),F400-D400&lt;0),("24:00:00"-D400)+("00:00:00"+F400),IF(AND(AG400="",F400-D400&gt;0.166666666666667),F400-D400-0.0416666666666667,IF(AND(OR(AG400="Allaitement",AG400="Sans déjeuner"),F400-D400&gt;0.166666666666667),F400-D400,F400-D400)))))))</f>
        <v>0</v>
      </c>
      <c r="P400" s="6" t="str">
        <f aca="false">IFERROR(VLOOKUP($B400,Agents!$A:$D,2,0),"-")</f>
        <v>Accessibilité</v>
      </c>
      <c r="Q400" s="21" t="n">
        <v>46081</v>
      </c>
      <c r="R400" s="8" t="n">
        <f aca="false">IF(M400="Abs",O400,0)</f>
        <v>0</v>
      </c>
      <c r="S400" s="8" t="n">
        <f aca="false">SUM(R400,L400,I400,J400,W400,H400)</f>
        <v>0</v>
      </c>
      <c r="T400" s="6" t="str">
        <f aca="false">"Sem - "&amp;WEEKNUM(Q400,21)</f>
        <v>Sem - 9</v>
      </c>
      <c r="U400" s="6" t="str">
        <f aca="false">CHOOSE(MONTH(Q400),"Janvier","Février","Mars","Avril","Mai","Juin","Juillet","Août","Septembre","Octobre","Novembre","Décembre")</f>
        <v>Février</v>
      </c>
      <c r="V400" s="22" t="n">
        <f aca="false">YEAR(Q400)</f>
        <v>2026</v>
      </c>
      <c r="W400" s="20"/>
      <c r="X400" s="8" t="n">
        <f aca="false">IFERROR(IF(M400="Abs",0,IF(ROUND((D400-C400+E400-F400)*1440,0)&lt;=1,0,D400-C400+E400-F400)),0)</f>
        <v>0</v>
      </c>
      <c r="Y400" s="6" t="str">
        <f aca="false">IFERROR(VLOOKUP($B400,Agents!$A:$D,3,0),"-")</f>
        <v>OUBRAHIM Mohammed</v>
      </c>
      <c r="Z400" s="6" t="str">
        <f aca="false">IFERROR(VLOOKUP($B400,Agents!$A:$D,4,0),"-")</f>
        <v>Credit Mutuel</v>
      </c>
      <c r="AA400" s="18" t="s">
        <v>90</v>
      </c>
      <c r="AB400" s="8" t="str">
        <f aca="false">IF(AND(D400="Congé",F400="Congé"),0.333333333333333,IF(OR(AND(D400="Congé",F400&lt;&gt;"Congé"),(AND(F400="Congé",D400&lt;&gt;"Congé"))),0.166666666666667,""))</f>
        <v/>
      </c>
      <c r="AC400" s="8" t="str">
        <f aca="false">IF(AND(D400="Congé sans solde",F400="Congé sans solde"),0.333333333333333,IF(OR(AND(D400="Congé sans solde",F400&lt;&gt;"Congé sans solde"),(AND(F400="Congé sans solde",D400&lt;&gt;"Congé sans solde"))),0.166666666666667,""))</f>
        <v/>
      </c>
      <c r="AD400" s="8" t="str">
        <f aca="false">IF(AND(D400="Congé spécial",F400="Congé spécial"),0.333333333333333,IF(OR(AND(D400="Congé spécial",F400&lt;&gt;"Congé spécial"),AND(F400="Congé spécial",D400&lt;&gt;"Congé spécial")),0.166666666666667,""))</f>
        <v/>
      </c>
      <c r="AE400" s="8" t="str">
        <f aca="false">IF(AND(D400="Férié",F400="Férié"),0.333333333333333,IF(OR(AND(D400="Férié",F400&lt;&gt;"Férié"),(AND(F400="Férié",D400&lt;&gt;"Férié"))),0.166666666666667,""))</f>
        <v/>
      </c>
      <c r="AF400" s="18"/>
      <c r="AG400" s="18"/>
    </row>
    <row r="401" customFormat="false" ht="15" hidden="false" customHeight="false" outlineLevel="0" collapsed="false">
      <c r="A401" s="6" t="str">
        <f aca="false">YEAR(Q401-WEEKDAY(Q401,2)+4)&amp;"-S"&amp;TEXT(WEEKNUM(Q401,21),"00")</f>
        <v>2026-S09</v>
      </c>
      <c r="B401" s="18" t="s">
        <v>73</v>
      </c>
      <c r="C401" s="19"/>
      <c r="D401" s="19" t="s">
        <v>74</v>
      </c>
      <c r="E401" s="19"/>
      <c r="F401" s="19" t="s">
        <v>74</v>
      </c>
      <c r="G401" s="20"/>
      <c r="H401" s="20"/>
      <c r="I401" s="8" t="str">
        <f aca="false">IF(IF(OR(C401="",D401="Congé",D401="OFF",D401="Congé spécial"),"",IF(D401&gt;F401,D401-C401,IF(C401-D401&lt;0,0,C401-D401)))&lt;0.00068287037037037,"",IF(OR(D401="Congé",D401="OFF",C401="",D401="Congé spécial"),"",IF(D401&gt;F401,D401-C401,IF(C401-D401&lt;0,0,C401-D401))))</f>
        <v/>
      </c>
      <c r="J401" s="20"/>
      <c r="K401" s="8" t="n">
        <f aca="false">IF(SUM(H401:J401)&lt;0.00068287037037037,0,SUM(H401:J401))</f>
        <v>0</v>
      </c>
      <c r="L401" s="8" t="n">
        <f aca="false">IF(OR(F401="Congé",F401="OFF",M401="Abs",F401="Congé sans solde",F401="Férié",F401="Congé spécial",D401="Congé spécial"),0,IF(F401-E401&lt;0,0,IF(F401-E401&lt;=0.00068287037037037,0,F401-E401)))</f>
        <v>0</v>
      </c>
      <c r="M401" s="6" t="n">
        <f aca="false">IF(AND(O401&lt;&gt;0,C401=""),"Abs",0)</f>
        <v>0</v>
      </c>
      <c r="N401" s="8" t="str">
        <f aca="false">IFERROR(IF(OR(D401="OFF",D401="Congé",M401="Abs",D401="Congé sans solde",D401="Férié"),"",IF(O401-K401-L401&gt;O401,O401,IF(O401-K401-L401&lt;0,"",O401-K401-L401))),"")</f>
        <v/>
      </c>
      <c r="O401" s="8" t="n">
        <f aca="false">IF(AG401="2H Pause déjeuner",IF(F401-D401-0.0833333333333333&lt;0,F401-D401-0.0833333333333333+1,F401-D401-0.0833333333333333),IF(OR(AND(F401="OFF",D401="OFF"),AND(F401="Congé",D401="Congé"),AND(F401="Congé sans solde",D401="Congé sans solde"),AND(F401="Congé spécial",D401="Congé spécial"),AND(F401="Férié",D401="Férié"),AND(F401="OFF",D401="Congé"),AND(F401="OFF",D401="Congé sans solde"),AND(F401="OFF",D401="Congé spécial"),AND(F401="OFF",D401="Férié"),AND(F401="Congé",D401="OFF"),AND(F401="Congé",D401="Congé sans solde"),AND(F401="Congé",D401="Congé spécial"),AND(F401="Congé",D401="Férié"),AND(F401="Congé sans solde",D401="OFF"),AND(F401="Congé sans solde",D401="Congé"),AND(F401="Congé sans solde",D401="Congé spécial"),AND(F401="Congé sans solde",D401="Férié"),AND(F401="Congé spécial",D401="OFF"),AND(F401="Congé spécial",D401="Congé"),AND(F401="Congé spécial",D401="Congé sans solde"),AND(F401="Congé spécial",D401="Férié"),AND(F401="Férié",D401="OFF"),AND(F401="Férié",D401="Congé"),AND(F401="Férié",D401="Congé sans solde"),AND(F401="Férié",D401="Congé spécial")),0,IF(OR(F401="OFF",F401="Congé",F401="Congé spécial",F401="Congé sans solde",D401="OFF",D401="Congé",D401="Congé spécial",D401="Congé sans solde"),0.208333333333334,IF(AND(AG401="",F401-D401&lt;0),("24:00:00"-D401)+("00:00:00"+F401)-0.0416666666666667,IF(AND(OR(AG401="Allaitement",AG401="Sans déjeuner"),F401-D401&lt;0),("24:00:00"-D401)+("00:00:00"+F401),IF(AND(AG401="",F401-D401&gt;0.166666666666667),F401-D401-0.0416666666666667,IF(AND(OR(AG401="Allaitement",AG401="Sans déjeuner"),F401-D401&gt;0.166666666666667),F401-D401,F401-D401)))))))</f>
        <v>0</v>
      </c>
      <c r="P401" s="6" t="str">
        <f aca="false">IFERROR(VLOOKUP($B401,Agents!$A:$D,2,0),"-")</f>
        <v>Accessibilité</v>
      </c>
      <c r="Q401" s="21" t="n">
        <v>46081</v>
      </c>
      <c r="R401" s="8" t="n">
        <f aca="false">IF(M401="Abs",O401,0)</f>
        <v>0</v>
      </c>
      <c r="S401" s="8" t="n">
        <f aca="false">SUM(R401,L401,I401,J401,W401,H401)</f>
        <v>0</v>
      </c>
      <c r="T401" s="6" t="str">
        <f aca="false">"Sem - "&amp;WEEKNUM(Q401,21)</f>
        <v>Sem - 9</v>
      </c>
      <c r="U401" s="6" t="str">
        <f aca="false">CHOOSE(MONTH(Q401),"Janvier","Février","Mars","Avril","Mai","Juin","Juillet","Août","Septembre","Octobre","Novembre","Décembre")</f>
        <v>Février</v>
      </c>
      <c r="V401" s="22" t="n">
        <f aca="false">YEAR(Q401)</f>
        <v>2026</v>
      </c>
      <c r="W401" s="20"/>
      <c r="X401" s="8" t="n">
        <f aca="false">IFERROR(IF(M401="Abs",0,IF(ROUND((D401-C401+E401-F401)*1440,0)&lt;=1,0,D401-C401+E401-F401)),0)</f>
        <v>0</v>
      </c>
      <c r="Y401" s="6" t="str">
        <f aca="false">IFERROR(VLOOKUP($B401,Agents!$A:$D,3,0),"-")</f>
        <v>OUBRAHIM Mohammed</v>
      </c>
      <c r="Z401" s="6" t="str">
        <f aca="false">IFERROR(VLOOKUP($B401,Agents!$A:$D,4,0),"-")</f>
        <v>Credit Mutuel</v>
      </c>
      <c r="AA401" s="18" t="s">
        <v>90</v>
      </c>
      <c r="AB401" s="8" t="str">
        <f aca="false">IF(AND(D401="Congé",F401="Congé"),0.333333333333333,IF(OR(AND(D401="Congé",F401&lt;&gt;"Congé"),(AND(F401="Congé",D401&lt;&gt;"Congé"))),0.166666666666667,""))</f>
        <v/>
      </c>
      <c r="AC401" s="8" t="str">
        <f aca="false">IF(AND(D401="Congé sans solde",F401="Congé sans solde"),0.333333333333333,IF(OR(AND(D401="Congé sans solde",F401&lt;&gt;"Congé sans solde"),(AND(F401="Congé sans solde",D401&lt;&gt;"Congé sans solde"))),0.166666666666667,""))</f>
        <v/>
      </c>
      <c r="AD401" s="8" t="str">
        <f aca="false">IF(AND(D401="Congé spécial",F401="Congé spécial"),0.333333333333333,IF(OR(AND(D401="Congé spécial",F401&lt;&gt;"Congé spécial"),AND(F401="Congé spécial",D401&lt;&gt;"Congé spécial")),0.166666666666667,""))</f>
        <v/>
      </c>
      <c r="AE401" s="8" t="str">
        <f aca="false">IF(AND(D401="Férié",F401="Férié"),0.333333333333333,IF(OR(AND(D401="Férié",F401&lt;&gt;"Férié"),(AND(F401="Férié",D401&lt;&gt;"Férié"))),0.166666666666667,""))</f>
        <v/>
      </c>
      <c r="AF401" s="18"/>
      <c r="AG401" s="18"/>
    </row>
    <row r="402" customFormat="false" ht="15" hidden="false" customHeight="false" outlineLevel="0" collapsed="false">
      <c r="A402" s="6" t="str">
        <f aca="false">YEAR(Q402-WEEKDAY(Q402,2)+4)&amp;"-S"&amp;TEXT(WEEKNUM(Q402,21),"00")</f>
        <v>2026-S09</v>
      </c>
      <c r="B402" s="18" t="s">
        <v>69</v>
      </c>
      <c r="C402" s="19"/>
      <c r="D402" s="19" t="s">
        <v>74</v>
      </c>
      <c r="E402" s="19"/>
      <c r="F402" s="19" t="s">
        <v>74</v>
      </c>
      <c r="G402" s="20"/>
      <c r="H402" s="20"/>
      <c r="I402" s="8" t="str">
        <f aca="false">IF(IF(OR(C402="",D402="Congé",D402="OFF",D402="Congé spécial"),"",IF(D402&gt;F402,D402-C402,IF(C402-D402&lt;0,0,C402-D402)))&lt;0.00068287037037037,"",IF(OR(D402="Congé",D402="OFF",C402="",D402="Congé spécial"),"",IF(D402&gt;F402,D402-C402,IF(C402-D402&lt;0,0,C402-D402))))</f>
        <v/>
      </c>
      <c r="J402" s="20"/>
      <c r="K402" s="8" t="n">
        <f aca="false">IF(SUM(H402:J402)&lt;0.00068287037037037,0,SUM(H402:J402))</f>
        <v>0</v>
      </c>
      <c r="L402" s="8" t="n">
        <f aca="false">IF(OR(F402="Congé",F402="OFF",M402="Abs",F402="Congé sans solde",F402="Férié",F402="Congé spécial",D402="Congé spécial"),0,IF(F402-E402&lt;0,0,IF(F402-E402&lt;=0.00068287037037037,0,F402-E402)))</f>
        <v>0</v>
      </c>
      <c r="M402" s="6" t="n">
        <f aca="false">IF(AND(O402&lt;&gt;0,C402=""),"Abs",0)</f>
        <v>0</v>
      </c>
      <c r="N402" s="8" t="str">
        <f aca="false">IFERROR(IF(OR(D402="OFF",D402="Congé",M402="Abs",D402="Congé sans solde",D402="Férié"),"",IF(O402-K402-L402&gt;O402,O402,IF(O402-K402-L402&lt;0,"",O402-K402-L402))),"")</f>
        <v/>
      </c>
      <c r="O402" s="8" t="n">
        <f aca="false">IF(AG402="2H Pause déjeuner",IF(F402-D402-0.0833333333333333&lt;0,F402-D402-0.0833333333333333+1,F402-D402-0.0833333333333333),IF(OR(AND(F402="OFF",D402="OFF"),AND(F402="Congé",D402="Congé"),AND(F402="Congé sans solde",D402="Congé sans solde"),AND(F402="Congé spécial",D402="Congé spécial"),AND(F402="Férié",D402="Férié"),AND(F402="OFF",D402="Congé"),AND(F402="OFF",D402="Congé sans solde"),AND(F402="OFF",D402="Congé spécial"),AND(F402="OFF",D402="Férié"),AND(F402="Congé",D402="OFF"),AND(F402="Congé",D402="Congé sans solde"),AND(F402="Congé",D402="Congé spécial"),AND(F402="Congé",D402="Férié"),AND(F402="Congé sans solde",D402="OFF"),AND(F402="Congé sans solde",D402="Congé"),AND(F402="Congé sans solde",D402="Congé spécial"),AND(F402="Congé sans solde",D402="Férié"),AND(F402="Congé spécial",D402="OFF"),AND(F402="Congé spécial",D402="Congé"),AND(F402="Congé spécial",D402="Congé sans solde"),AND(F402="Congé spécial",D402="Férié"),AND(F402="Férié",D402="OFF"),AND(F402="Férié",D402="Congé"),AND(F402="Férié",D402="Congé sans solde"),AND(F402="Férié",D402="Congé spécial")),0,IF(OR(F402="OFF",F402="Congé",F402="Congé spécial",F402="Congé sans solde",D402="OFF",D402="Congé",D402="Congé spécial",D402="Congé sans solde"),0.208333333333334,IF(AND(AG402="",F402-D402&lt;0),("24:00:00"-D402)+("00:00:00"+F402)-0.0416666666666667,IF(AND(OR(AG402="Allaitement",AG402="Sans déjeuner"),F402-D402&lt;0),("24:00:00"-D402)+("00:00:00"+F402),IF(AND(AG402="",F402-D402&gt;0.166666666666667),F402-D402-0.0416666666666667,IF(AND(OR(AG402="Allaitement",AG402="Sans déjeuner"),F402-D402&gt;0.166666666666667),F402-D402,F402-D402)))))))</f>
        <v>0</v>
      </c>
      <c r="P402" s="6" t="str">
        <f aca="false">IFERROR(VLOOKUP($B402,Agents!$A:$D,2,0),"-")</f>
        <v>Accessibilité</v>
      </c>
      <c r="Q402" s="21" t="n">
        <v>46082</v>
      </c>
      <c r="R402" s="8" t="n">
        <f aca="false">IF(M402="Abs",O402,0)</f>
        <v>0</v>
      </c>
      <c r="S402" s="8" t="n">
        <f aca="false">SUM(R402,L402,I402,J402,W402,H402)</f>
        <v>0</v>
      </c>
      <c r="T402" s="6" t="str">
        <f aca="false">"Sem - "&amp;WEEKNUM(Q402,21)</f>
        <v>Sem - 9</v>
      </c>
      <c r="U402" s="6" t="str">
        <f aca="false">CHOOSE(MONTH(Q402),"Janvier","Février","Mars","Avril","Mai","Juin","Juillet","Août","Septembre","Octobre","Novembre","Décembre")</f>
        <v>Mars</v>
      </c>
      <c r="V402" s="22" t="n">
        <f aca="false">YEAR(Q402)</f>
        <v>2026</v>
      </c>
      <c r="W402" s="20"/>
      <c r="X402" s="8" t="n">
        <f aca="false">IFERROR(IF(M402="Abs",0,IF(ROUND((D402-C402+E402-F402)*1440,0)&lt;=1,0,D402-C402+E402-F402)),0)</f>
        <v>0</v>
      </c>
      <c r="Y402" s="6" t="str">
        <f aca="false">IFERROR(VLOOKUP($B402,Agents!$A:$D,3,0),"-")</f>
        <v>OUBRAHIM Mohammed</v>
      </c>
      <c r="Z402" s="6" t="str">
        <f aca="false">IFERROR(VLOOKUP($B402,Agents!$A:$D,4,0),"-")</f>
        <v>Credit Mutuel</v>
      </c>
      <c r="AA402" s="18" t="s">
        <v>90</v>
      </c>
      <c r="AB402" s="8" t="str">
        <f aca="false">IF(AND(D402="Congé",F402="Congé"),0.333333333333333,IF(OR(AND(D402="Congé",F402&lt;&gt;"Congé"),(AND(F402="Congé",D402&lt;&gt;"Congé"))),0.166666666666667,""))</f>
        <v/>
      </c>
      <c r="AC402" s="8" t="str">
        <f aca="false">IF(AND(D402="Congé sans solde",F402="Congé sans solde"),0.333333333333333,IF(OR(AND(D402="Congé sans solde",F402&lt;&gt;"Congé sans solde"),(AND(F402="Congé sans solde",D402&lt;&gt;"Congé sans solde"))),0.166666666666667,""))</f>
        <v/>
      </c>
      <c r="AD402" s="8" t="str">
        <f aca="false">IF(AND(D402="Congé spécial",F402="Congé spécial"),0.333333333333333,IF(OR(AND(D402="Congé spécial",F402&lt;&gt;"Congé spécial"),AND(F402="Congé spécial",D402&lt;&gt;"Congé spécial")),0.166666666666667,""))</f>
        <v/>
      </c>
      <c r="AE402" s="8" t="str">
        <f aca="false">IF(AND(D402="Férié",F402="Férié"),0.333333333333333,IF(OR(AND(D402="Férié",F402&lt;&gt;"Férié"),(AND(F402="Férié",D402&lt;&gt;"Férié"))),0.166666666666667,""))</f>
        <v/>
      </c>
      <c r="AF402" s="18"/>
      <c r="AG402" s="18"/>
    </row>
    <row r="403" customFormat="false" ht="15" hidden="false" customHeight="false" outlineLevel="0" collapsed="false">
      <c r="A403" s="6" t="str">
        <f aca="false">YEAR(Q403-WEEKDAY(Q403,2)+4)&amp;"-S"&amp;TEXT(WEEKNUM(Q403,21),"00")</f>
        <v>2026-S09</v>
      </c>
      <c r="B403" s="18" t="s">
        <v>71</v>
      </c>
      <c r="C403" s="19"/>
      <c r="D403" s="19" t="s">
        <v>74</v>
      </c>
      <c r="E403" s="19"/>
      <c r="F403" s="19" t="s">
        <v>74</v>
      </c>
      <c r="G403" s="20"/>
      <c r="H403" s="20"/>
      <c r="I403" s="8" t="str">
        <f aca="false">IF(IF(OR(C403="",D403="Congé",D403="OFF",D403="Congé spécial"),"",IF(D403&gt;F403,D403-C403,IF(C403-D403&lt;0,0,C403-D403)))&lt;0.00068287037037037,"",IF(OR(D403="Congé",D403="OFF",C403="",D403="Congé spécial"),"",IF(D403&gt;F403,D403-C403,IF(C403-D403&lt;0,0,C403-D403))))</f>
        <v/>
      </c>
      <c r="J403" s="20"/>
      <c r="K403" s="8" t="n">
        <f aca="false">IF(SUM(H403:J403)&lt;0.00068287037037037,0,SUM(H403:J403))</f>
        <v>0</v>
      </c>
      <c r="L403" s="8" t="n">
        <f aca="false">IF(OR(F403="Congé",F403="OFF",M403="Abs",F403="Congé sans solde",F403="Férié",F403="Congé spécial",D403="Congé spécial"),0,IF(F403-E403&lt;0,0,IF(F403-E403&lt;=0.00068287037037037,0,F403-E403)))</f>
        <v>0</v>
      </c>
      <c r="M403" s="6" t="n">
        <f aca="false">IF(AND(O403&lt;&gt;0,C403=""),"Abs",0)</f>
        <v>0</v>
      </c>
      <c r="N403" s="8" t="str">
        <f aca="false">IFERROR(IF(OR(D403="OFF",D403="Congé",M403="Abs",D403="Congé sans solde",D403="Férié"),"",IF(O403-K403-L403&gt;O403,O403,IF(O403-K403-L403&lt;0,"",O403-K403-L403))),"")</f>
        <v/>
      </c>
      <c r="O403" s="8" t="n">
        <f aca="false">IF(AG403="2H Pause déjeuner",IF(F403-D403-0.0833333333333333&lt;0,F403-D403-0.0833333333333333+1,F403-D403-0.0833333333333333),IF(OR(AND(F403="OFF",D403="OFF"),AND(F403="Congé",D403="Congé"),AND(F403="Congé sans solde",D403="Congé sans solde"),AND(F403="Congé spécial",D403="Congé spécial"),AND(F403="Férié",D403="Férié"),AND(F403="OFF",D403="Congé"),AND(F403="OFF",D403="Congé sans solde"),AND(F403="OFF",D403="Congé spécial"),AND(F403="OFF",D403="Férié"),AND(F403="Congé",D403="OFF"),AND(F403="Congé",D403="Congé sans solde"),AND(F403="Congé",D403="Congé spécial"),AND(F403="Congé",D403="Férié"),AND(F403="Congé sans solde",D403="OFF"),AND(F403="Congé sans solde",D403="Congé"),AND(F403="Congé sans solde",D403="Congé spécial"),AND(F403="Congé sans solde",D403="Férié"),AND(F403="Congé spécial",D403="OFF"),AND(F403="Congé spécial",D403="Congé"),AND(F403="Congé spécial",D403="Congé sans solde"),AND(F403="Congé spécial",D403="Férié"),AND(F403="Férié",D403="OFF"),AND(F403="Férié",D403="Congé"),AND(F403="Férié",D403="Congé sans solde"),AND(F403="Férié",D403="Congé spécial")),0,IF(OR(F403="OFF",F403="Congé",F403="Congé spécial",F403="Congé sans solde",D403="OFF",D403="Congé",D403="Congé spécial",D403="Congé sans solde"),0.208333333333334,IF(AND(AG403="",F403-D403&lt;0),("24:00:00"-D403)+("00:00:00"+F403)-0.0416666666666667,IF(AND(OR(AG403="Allaitement",AG403="Sans déjeuner"),F403-D403&lt;0),("24:00:00"-D403)+("00:00:00"+F403),IF(AND(AG403="",F403-D403&gt;0.166666666666667),F403-D403-0.0416666666666667,IF(AND(OR(AG403="Allaitement",AG403="Sans déjeuner"),F403-D403&gt;0.166666666666667),F403-D403,F403-D403)))))))</f>
        <v>0</v>
      </c>
      <c r="P403" s="6" t="str">
        <f aca="false">IFERROR(VLOOKUP($B403,Agents!$A:$D,2,0),"-")</f>
        <v>Accessibilité</v>
      </c>
      <c r="Q403" s="21" t="n">
        <v>46082</v>
      </c>
      <c r="R403" s="8" t="n">
        <f aca="false">IF(M403="Abs",O403,0)</f>
        <v>0</v>
      </c>
      <c r="S403" s="8" t="n">
        <f aca="false">SUM(R403,L403,I403,J403,W403,H403)</f>
        <v>0</v>
      </c>
      <c r="T403" s="6" t="str">
        <f aca="false">"Sem - "&amp;WEEKNUM(Q403,21)</f>
        <v>Sem - 9</v>
      </c>
      <c r="U403" s="6" t="str">
        <f aca="false">CHOOSE(MONTH(Q403),"Janvier","Février","Mars","Avril","Mai","Juin","Juillet","Août","Septembre","Octobre","Novembre","Décembre")</f>
        <v>Mars</v>
      </c>
      <c r="V403" s="22" t="n">
        <f aca="false">YEAR(Q403)</f>
        <v>2026</v>
      </c>
      <c r="W403" s="20"/>
      <c r="X403" s="8" t="n">
        <f aca="false">IFERROR(IF(M403="Abs",0,IF(ROUND((D403-C403+E403-F403)*1440,0)&lt;=1,0,D403-C403+E403-F403)),0)</f>
        <v>0</v>
      </c>
      <c r="Y403" s="6" t="str">
        <f aca="false">IFERROR(VLOOKUP($B403,Agents!$A:$D,3,0),"-")</f>
        <v>OUBRAHIM Mohammed</v>
      </c>
      <c r="Z403" s="6" t="str">
        <f aca="false">IFERROR(VLOOKUP($B403,Agents!$A:$D,4,0),"-")</f>
        <v>Credit Mutuel</v>
      </c>
      <c r="AA403" s="18" t="s">
        <v>90</v>
      </c>
      <c r="AB403" s="8" t="str">
        <f aca="false">IF(AND(D403="Congé",F403="Congé"),0.333333333333333,IF(OR(AND(D403="Congé",F403&lt;&gt;"Congé"),(AND(F403="Congé",D403&lt;&gt;"Congé"))),0.166666666666667,""))</f>
        <v/>
      </c>
      <c r="AC403" s="8" t="str">
        <f aca="false">IF(AND(D403="Congé sans solde",F403="Congé sans solde"),0.333333333333333,IF(OR(AND(D403="Congé sans solde",F403&lt;&gt;"Congé sans solde"),(AND(F403="Congé sans solde",D403&lt;&gt;"Congé sans solde"))),0.166666666666667,""))</f>
        <v/>
      </c>
      <c r="AD403" s="8" t="str">
        <f aca="false">IF(AND(D403="Congé spécial",F403="Congé spécial"),0.333333333333333,IF(OR(AND(D403="Congé spécial",F403&lt;&gt;"Congé spécial"),AND(F403="Congé spécial",D403&lt;&gt;"Congé spécial")),0.166666666666667,""))</f>
        <v/>
      </c>
      <c r="AE403" s="8" t="str">
        <f aca="false">IF(AND(D403="Férié",F403="Férié"),0.333333333333333,IF(OR(AND(D403="Férié",F403&lt;&gt;"Férié"),(AND(F403="Férié",D403&lt;&gt;"Férié"))),0.166666666666667,""))</f>
        <v/>
      </c>
      <c r="AF403" s="18"/>
      <c r="AG403" s="18"/>
    </row>
    <row r="404" customFormat="false" ht="15" hidden="false" customHeight="false" outlineLevel="0" collapsed="false">
      <c r="A404" s="6" t="str">
        <f aca="false">YEAR(Q404-WEEKDAY(Q404,2)+4)&amp;"-S"&amp;TEXT(WEEKNUM(Q404,21),"00")</f>
        <v>2026-S09</v>
      </c>
      <c r="B404" s="18" t="s">
        <v>72</v>
      </c>
      <c r="C404" s="19"/>
      <c r="D404" s="19" t="s">
        <v>74</v>
      </c>
      <c r="E404" s="19"/>
      <c r="F404" s="19" t="s">
        <v>74</v>
      </c>
      <c r="G404" s="20"/>
      <c r="H404" s="20"/>
      <c r="I404" s="8" t="str">
        <f aca="false">IF(IF(OR(C404="",D404="Congé",D404="OFF",D404="Congé spécial"),"",IF(D404&gt;F404,D404-C404,IF(C404-D404&lt;0,0,C404-D404)))&lt;0.00068287037037037,"",IF(OR(D404="Congé",D404="OFF",C404="",D404="Congé spécial"),"",IF(D404&gt;F404,D404-C404,IF(C404-D404&lt;0,0,C404-D404))))</f>
        <v/>
      </c>
      <c r="J404" s="20"/>
      <c r="K404" s="8" t="n">
        <f aca="false">IF(SUM(H404:J404)&lt;0.00068287037037037,0,SUM(H404:J404))</f>
        <v>0</v>
      </c>
      <c r="L404" s="8" t="n">
        <f aca="false">IF(OR(F404="Congé",F404="OFF",M404="Abs",F404="Congé sans solde",F404="Férié",F404="Congé spécial",D404="Congé spécial"),0,IF(F404-E404&lt;0,0,IF(F404-E404&lt;=0.00068287037037037,0,F404-E404)))</f>
        <v>0</v>
      </c>
      <c r="M404" s="6" t="n">
        <f aca="false">IF(AND(O404&lt;&gt;0,C404=""),"Abs",0)</f>
        <v>0</v>
      </c>
      <c r="N404" s="8" t="str">
        <f aca="false">IFERROR(IF(OR(D404="OFF",D404="Congé",M404="Abs",D404="Congé sans solde",D404="Férié"),"",IF(O404-K404-L404&gt;O404,O404,IF(O404-K404-L404&lt;0,"",O404-K404-L404))),"")</f>
        <v/>
      </c>
      <c r="O404" s="8" t="n">
        <f aca="false">IF(AG404="2H Pause déjeuner",IF(F404-D404-0.0833333333333333&lt;0,F404-D404-0.0833333333333333+1,F404-D404-0.0833333333333333),IF(OR(AND(F404="OFF",D404="OFF"),AND(F404="Congé",D404="Congé"),AND(F404="Congé sans solde",D404="Congé sans solde"),AND(F404="Congé spécial",D404="Congé spécial"),AND(F404="Férié",D404="Férié"),AND(F404="OFF",D404="Congé"),AND(F404="OFF",D404="Congé sans solde"),AND(F404="OFF",D404="Congé spécial"),AND(F404="OFF",D404="Férié"),AND(F404="Congé",D404="OFF"),AND(F404="Congé",D404="Congé sans solde"),AND(F404="Congé",D404="Congé spécial"),AND(F404="Congé",D404="Férié"),AND(F404="Congé sans solde",D404="OFF"),AND(F404="Congé sans solde",D404="Congé"),AND(F404="Congé sans solde",D404="Congé spécial"),AND(F404="Congé sans solde",D404="Férié"),AND(F404="Congé spécial",D404="OFF"),AND(F404="Congé spécial",D404="Congé"),AND(F404="Congé spécial",D404="Congé sans solde"),AND(F404="Congé spécial",D404="Férié"),AND(F404="Férié",D404="OFF"),AND(F404="Férié",D404="Congé"),AND(F404="Férié",D404="Congé sans solde"),AND(F404="Férié",D404="Congé spécial")),0,IF(OR(F404="OFF",F404="Congé",F404="Congé spécial",F404="Congé sans solde",D404="OFF",D404="Congé",D404="Congé spécial",D404="Congé sans solde"),0.208333333333334,IF(AND(AG404="",F404-D404&lt;0),("24:00:00"-D404)+("00:00:00"+F404)-0.0416666666666667,IF(AND(OR(AG404="Allaitement",AG404="Sans déjeuner"),F404-D404&lt;0),("24:00:00"-D404)+("00:00:00"+F404),IF(AND(AG404="",F404-D404&gt;0.166666666666667),F404-D404-0.0416666666666667,IF(AND(OR(AG404="Allaitement",AG404="Sans déjeuner"),F404-D404&gt;0.166666666666667),F404-D404,F404-D404)))))))</f>
        <v>0</v>
      </c>
      <c r="P404" s="6" t="str">
        <f aca="false">IFERROR(VLOOKUP($B404,Agents!$A:$D,2,0),"-")</f>
        <v>Accessibilité</v>
      </c>
      <c r="Q404" s="21" t="n">
        <v>46082</v>
      </c>
      <c r="R404" s="8" t="n">
        <f aca="false">IF(M404="Abs",O404,0)</f>
        <v>0</v>
      </c>
      <c r="S404" s="8" t="n">
        <f aca="false">SUM(R404,L404,I404,J404,W404,H404)</f>
        <v>0</v>
      </c>
      <c r="T404" s="6" t="str">
        <f aca="false">"Sem - "&amp;WEEKNUM(Q404,21)</f>
        <v>Sem - 9</v>
      </c>
      <c r="U404" s="6" t="str">
        <f aca="false">CHOOSE(MONTH(Q404),"Janvier","Février","Mars","Avril","Mai","Juin","Juillet","Août","Septembre","Octobre","Novembre","Décembre")</f>
        <v>Mars</v>
      </c>
      <c r="V404" s="22" t="n">
        <f aca="false">YEAR(Q404)</f>
        <v>2026</v>
      </c>
      <c r="W404" s="20"/>
      <c r="X404" s="8" t="n">
        <f aca="false">IFERROR(IF(M404="Abs",0,IF(ROUND((D404-C404+E404-F404)*1440,0)&lt;=1,0,D404-C404+E404-F404)),0)</f>
        <v>0</v>
      </c>
      <c r="Y404" s="6" t="str">
        <f aca="false">IFERROR(VLOOKUP($B404,Agents!$A:$D,3,0),"-")</f>
        <v>OUBRAHIM Mohammed</v>
      </c>
      <c r="Z404" s="6" t="str">
        <f aca="false">IFERROR(VLOOKUP($B404,Agents!$A:$D,4,0),"-")</f>
        <v>Credit Mutuel</v>
      </c>
      <c r="AA404" s="18" t="s">
        <v>90</v>
      </c>
      <c r="AB404" s="8" t="str">
        <f aca="false">IF(AND(D404="Congé",F404="Congé"),0.333333333333333,IF(OR(AND(D404="Congé",F404&lt;&gt;"Congé"),(AND(F404="Congé",D404&lt;&gt;"Congé"))),0.166666666666667,""))</f>
        <v/>
      </c>
      <c r="AC404" s="8" t="str">
        <f aca="false">IF(AND(D404="Congé sans solde",F404="Congé sans solde"),0.333333333333333,IF(OR(AND(D404="Congé sans solde",F404&lt;&gt;"Congé sans solde"),(AND(F404="Congé sans solde",D404&lt;&gt;"Congé sans solde"))),0.166666666666667,""))</f>
        <v/>
      </c>
      <c r="AD404" s="8" t="str">
        <f aca="false">IF(AND(D404="Congé spécial",F404="Congé spécial"),0.333333333333333,IF(OR(AND(D404="Congé spécial",F404&lt;&gt;"Congé spécial"),AND(F404="Congé spécial",D404&lt;&gt;"Congé spécial")),0.166666666666667,""))</f>
        <v/>
      </c>
      <c r="AE404" s="8" t="str">
        <f aca="false">IF(AND(D404="Férié",F404="Férié"),0.333333333333333,IF(OR(AND(D404="Férié",F404&lt;&gt;"Férié"),(AND(F404="Férié",D404&lt;&gt;"Férié"))),0.166666666666667,""))</f>
        <v/>
      </c>
      <c r="AF404" s="18"/>
      <c r="AG404" s="18"/>
    </row>
    <row r="405" customFormat="false" ht="15" hidden="false" customHeight="false" outlineLevel="0" collapsed="false">
      <c r="A405" s="6" t="str">
        <f aca="false">YEAR(Q405-WEEKDAY(Q405,2)+4)&amp;"-S"&amp;TEXT(WEEKNUM(Q405,21),"00")</f>
        <v>2026-S09</v>
      </c>
      <c r="B405" s="18" t="s">
        <v>73</v>
      </c>
      <c r="C405" s="19"/>
      <c r="D405" s="19" t="s">
        <v>74</v>
      </c>
      <c r="E405" s="19"/>
      <c r="F405" s="19" t="s">
        <v>74</v>
      </c>
      <c r="G405" s="20"/>
      <c r="H405" s="20"/>
      <c r="I405" s="8" t="str">
        <f aca="false">IF(IF(OR(C405="",D405="Congé",D405="OFF",D405="Congé spécial"),"",IF(D405&gt;F405,D405-C405,IF(C405-D405&lt;0,0,C405-D405)))&lt;0.00068287037037037,"",IF(OR(D405="Congé",D405="OFF",C405="",D405="Congé spécial"),"",IF(D405&gt;F405,D405-C405,IF(C405-D405&lt;0,0,C405-D405))))</f>
        <v/>
      </c>
      <c r="J405" s="20"/>
      <c r="K405" s="8" t="n">
        <f aca="false">IF(SUM(H405:J405)&lt;0.00068287037037037,0,SUM(H405:J405))</f>
        <v>0</v>
      </c>
      <c r="L405" s="8" t="n">
        <f aca="false">IF(OR(F405="Congé",F405="OFF",M405="Abs",F405="Congé sans solde",F405="Férié",F405="Congé spécial",D405="Congé spécial"),0,IF(F405-E405&lt;0,0,IF(F405-E405&lt;=0.00068287037037037,0,F405-E405)))</f>
        <v>0</v>
      </c>
      <c r="M405" s="6" t="n">
        <f aca="false">IF(AND(O405&lt;&gt;0,C405=""),"Abs",0)</f>
        <v>0</v>
      </c>
      <c r="N405" s="8" t="str">
        <f aca="false">IFERROR(IF(OR(D405="OFF",D405="Congé",M405="Abs",D405="Congé sans solde",D405="Férié"),"",IF(O405-K405-L405&gt;O405,O405,IF(O405-K405-L405&lt;0,"",O405-K405-L405))),"")</f>
        <v/>
      </c>
      <c r="O405" s="8" t="n">
        <f aca="false">IF(AG405="2H Pause déjeuner",IF(F405-D405-0.0833333333333333&lt;0,F405-D405-0.0833333333333333+1,F405-D405-0.0833333333333333),IF(OR(AND(F405="OFF",D405="OFF"),AND(F405="Congé",D405="Congé"),AND(F405="Congé sans solde",D405="Congé sans solde"),AND(F405="Congé spécial",D405="Congé spécial"),AND(F405="Férié",D405="Férié"),AND(F405="OFF",D405="Congé"),AND(F405="OFF",D405="Congé sans solde"),AND(F405="OFF",D405="Congé spécial"),AND(F405="OFF",D405="Férié"),AND(F405="Congé",D405="OFF"),AND(F405="Congé",D405="Congé sans solde"),AND(F405="Congé",D405="Congé spécial"),AND(F405="Congé",D405="Férié"),AND(F405="Congé sans solde",D405="OFF"),AND(F405="Congé sans solde",D405="Congé"),AND(F405="Congé sans solde",D405="Congé spécial"),AND(F405="Congé sans solde",D405="Férié"),AND(F405="Congé spécial",D405="OFF"),AND(F405="Congé spécial",D405="Congé"),AND(F405="Congé spécial",D405="Congé sans solde"),AND(F405="Congé spécial",D405="Férié"),AND(F405="Férié",D405="OFF"),AND(F405="Férié",D405="Congé"),AND(F405="Férié",D405="Congé sans solde"),AND(F405="Férié",D405="Congé spécial")),0,IF(OR(F405="OFF",F405="Congé",F405="Congé spécial",F405="Congé sans solde",D405="OFF",D405="Congé",D405="Congé spécial",D405="Congé sans solde"),0.208333333333334,IF(AND(AG405="",F405-D405&lt;0),("24:00:00"-D405)+("00:00:00"+F405)-0.0416666666666667,IF(AND(OR(AG405="Allaitement",AG405="Sans déjeuner"),F405-D405&lt;0),("24:00:00"-D405)+("00:00:00"+F405),IF(AND(AG405="",F405-D405&gt;0.166666666666667),F405-D405-0.0416666666666667,IF(AND(OR(AG405="Allaitement",AG405="Sans déjeuner"),F405-D405&gt;0.166666666666667),F405-D405,F405-D405)))))))</f>
        <v>0</v>
      </c>
      <c r="P405" s="6" t="str">
        <f aca="false">IFERROR(VLOOKUP($B405,Agents!$A:$D,2,0),"-")</f>
        <v>Accessibilité</v>
      </c>
      <c r="Q405" s="21" t="n">
        <v>46082</v>
      </c>
      <c r="R405" s="8" t="n">
        <f aca="false">IF(M405="Abs",O405,0)</f>
        <v>0</v>
      </c>
      <c r="S405" s="8" t="n">
        <f aca="false">SUM(R405,L405,I405,J405,W405,H405)</f>
        <v>0</v>
      </c>
      <c r="T405" s="6" t="str">
        <f aca="false">"Sem - "&amp;WEEKNUM(Q405,21)</f>
        <v>Sem - 9</v>
      </c>
      <c r="U405" s="6" t="str">
        <f aca="false">CHOOSE(MONTH(Q405),"Janvier","Février","Mars","Avril","Mai","Juin","Juillet","Août","Septembre","Octobre","Novembre","Décembre")</f>
        <v>Mars</v>
      </c>
      <c r="V405" s="22" t="n">
        <f aca="false">YEAR(Q405)</f>
        <v>2026</v>
      </c>
      <c r="W405" s="20"/>
      <c r="X405" s="8" t="n">
        <f aca="false">IFERROR(IF(M405="Abs",0,IF(ROUND((D405-C405+E405-F405)*1440,0)&lt;=1,0,D405-C405+E405-F405)),0)</f>
        <v>0</v>
      </c>
      <c r="Y405" s="6" t="str">
        <f aca="false">IFERROR(VLOOKUP($B405,Agents!$A:$D,3,0),"-")</f>
        <v>OUBRAHIM Mohammed</v>
      </c>
      <c r="Z405" s="6" t="str">
        <f aca="false">IFERROR(VLOOKUP($B405,Agents!$A:$D,4,0),"-")</f>
        <v>Credit Mutuel</v>
      </c>
      <c r="AA405" s="18" t="s">
        <v>90</v>
      </c>
      <c r="AB405" s="8" t="str">
        <f aca="false">IF(AND(D405="Congé",F405="Congé"),0.333333333333333,IF(OR(AND(D405="Congé",F405&lt;&gt;"Congé"),(AND(F405="Congé",D405&lt;&gt;"Congé"))),0.166666666666667,""))</f>
        <v/>
      </c>
      <c r="AC405" s="8" t="str">
        <f aca="false">IF(AND(D405="Congé sans solde",F405="Congé sans solde"),0.333333333333333,IF(OR(AND(D405="Congé sans solde",F405&lt;&gt;"Congé sans solde"),(AND(F405="Congé sans solde",D405&lt;&gt;"Congé sans solde"))),0.166666666666667,""))</f>
        <v/>
      </c>
      <c r="AD405" s="8" t="str">
        <f aca="false">IF(AND(D405="Congé spécial",F405="Congé spécial"),0.333333333333333,IF(OR(AND(D405="Congé spécial",F405&lt;&gt;"Congé spécial"),AND(F405="Congé spécial",D405&lt;&gt;"Congé spécial")),0.166666666666667,""))</f>
        <v/>
      </c>
      <c r="AE405" s="8" t="str">
        <f aca="false">IF(AND(D405="Férié",F405="Férié"),0.333333333333333,IF(OR(AND(D405="Férié",F405&lt;&gt;"Férié"),(AND(F405="Férié",D405&lt;&gt;"Férié"))),0.166666666666667,""))</f>
        <v/>
      </c>
      <c r="AF405" s="18"/>
      <c r="AG405" s="18"/>
    </row>
    <row r="406" customFormat="false" ht="15" hidden="false" customHeight="false" outlineLevel="0" collapsed="false">
      <c r="A406" s="6" t="str">
        <f aca="false">YEAR(Q406-WEEKDAY(Q406,2)+4)&amp;"-S"&amp;TEXT(WEEKNUM(Q406,21),"00")</f>
        <v>2026-S10</v>
      </c>
      <c r="B406" s="18" t="s">
        <v>69</v>
      </c>
      <c r="C406" s="19" t="n">
        <v>0.332638888888889</v>
      </c>
      <c r="D406" s="19" t="n">
        <v>0.333333333333333</v>
      </c>
      <c r="E406" s="19" t="n">
        <v>0.708333333333333</v>
      </c>
      <c r="F406" s="19" t="n">
        <v>0.708333333333333</v>
      </c>
      <c r="G406" s="20"/>
      <c r="H406" s="20"/>
      <c r="I406" s="8" t="str">
        <f aca="false">IF(IF(OR(C406="",D406="Congé",D406="OFF",D406="Congé spécial"),"",IF(D406&gt;F406,D406-C406,IF(C406-D406&lt;0,0,C406-D406)))&lt;0.00068287037037037,"",IF(OR(D406="Congé",D406="OFF",C406="",D406="Congé spécial"),"",IF(D406&gt;F406,D406-C406,IF(C406-D406&lt;0,0,C406-D406))))</f>
        <v/>
      </c>
      <c r="J406" s="20"/>
      <c r="K406" s="8" t="n">
        <f aca="false">IF(SUM(H406:J406)&lt;0.00068287037037037,0,SUM(H406:J406))</f>
        <v>0</v>
      </c>
      <c r="L406" s="8" t="n">
        <f aca="false">IF(OR(F406="Congé",F406="OFF",M406="Abs",F406="Congé sans solde",F406="Férié",F406="Congé spécial",D406="Congé spécial"),0,IF(F406-E406&lt;0,0,IF(F406-E406&lt;=0.00068287037037037,0,F406-E406)))</f>
        <v>0</v>
      </c>
      <c r="M406" s="6" t="n">
        <f aca="false">IF(AND(O406&lt;&gt;0,C406=""),"Abs",0)</f>
        <v>0</v>
      </c>
      <c r="N406" s="8" t="n">
        <f aca="false">IFERROR(IF(OR(D406="OFF",D406="Congé",M406="Abs",D406="Congé sans solde",D406="Férié"),"",IF(O406-K406-L406&gt;O406,O406,IF(O406-K406-L406&lt;0,"",O406-K406-L406))),"")</f>
        <v>0.375</v>
      </c>
      <c r="O406" s="8" t="n">
        <f aca="false">IF(AG406="2H Pause déjeuner",IF(F406-D406-0.0833333333333333&lt;0,F406-D406-0.0833333333333333+1,F406-D406-0.0833333333333333),IF(OR(AND(F406="OFF",D406="OFF"),AND(F406="Congé",D406="Congé"),AND(F406="Congé sans solde",D406="Congé sans solde"),AND(F406="Congé spécial",D406="Congé spécial"),AND(F406="Férié",D406="Férié"),AND(F406="OFF",D406="Congé"),AND(F406="OFF",D406="Congé sans solde"),AND(F406="OFF",D406="Congé spécial"),AND(F406="OFF",D406="Férié"),AND(F406="Congé",D406="OFF"),AND(F406="Congé",D406="Congé sans solde"),AND(F406="Congé",D406="Congé spécial"),AND(F406="Congé",D406="Férié"),AND(F406="Congé sans solde",D406="OFF"),AND(F406="Congé sans solde",D406="Congé"),AND(F406="Congé sans solde",D406="Congé spécial"),AND(F406="Congé sans solde",D406="Férié"),AND(F406="Congé spécial",D406="OFF"),AND(F406="Congé spécial",D406="Congé"),AND(F406="Congé spécial",D406="Congé sans solde"),AND(F406="Congé spécial",D406="Férié"),AND(F406="Férié",D406="OFF"),AND(F406="Férié",D406="Congé"),AND(F406="Férié",D406="Congé sans solde"),AND(F406="Férié",D406="Congé spécial")),0,IF(OR(F406="OFF",F406="Congé",F406="Congé spécial",F406="Congé sans solde",D406="OFF",D406="Congé",D406="Congé spécial",D406="Congé sans solde"),0.208333333333334,IF(AND(AG406="",F406-D406&lt;0),("24:00:00"-D406)+("00:00:00"+F406)-0.0416666666666667,IF(AND(OR(AG406="Allaitement",AG406="Sans déjeuner"),F406-D406&lt;0),("24:00:00"-D406)+("00:00:00"+F406),IF(AND(AG406="",F406-D406&gt;0.166666666666667),F406-D406-0.0416666666666667,IF(AND(OR(AG406="Allaitement",AG406="Sans déjeuner"),F406-D406&gt;0.166666666666667),F406-D406,F406-D406)))))))</f>
        <v>0.375</v>
      </c>
      <c r="P406" s="6" t="str">
        <f aca="false">IFERROR(VLOOKUP($B406,Agents!$A:$D,2,0),"-")</f>
        <v>Accessibilité</v>
      </c>
      <c r="Q406" s="21" t="n">
        <v>46083</v>
      </c>
      <c r="R406" s="8" t="n">
        <f aca="false">IF(M406="Abs",O406,0)</f>
        <v>0</v>
      </c>
      <c r="S406" s="8" t="n">
        <f aca="false">SUM(R406,L406,I406,J406,W406,H406)</f>
        <v>0</v>
      </c>
      <c r="T406" s="6" t="str">
        <f aca="false">"Sem - "&amp;WEEKNUM(Q406,21)</f>
        <v>Sem - 10</v>
      </c>
      <c r="U406" s="6" t="str">
        <f aca="false">CHOOSE(MONTH(Q406),"Janvier","Février","Mars","Avril","Mai","Juin","Juillet","Août","Septembre","Octobre","Novembre","Décembre")</f>
        <v>Mars</v>
      </c>
      <c r="V406" s="22" t="n">
        <f aca="false">YEAR(Q406)</f>
        <v>2026</v>
      </c>
      <c r="W406" s="20"/>
      <c r="X406" s="8" t="n">
        <f aca="false">IFERROR(IF(M406="Abs",0,IF(ROUND((D406-C406+E406-F406)*1440,0)&lt;=1,0,D406-C406+E406-F406)),0)</f>
        <v>0</v>
      </c>
      <c r="Y406" s="6" t="str">
        <f aca="false">IFERROR(VLOOKUP($B406,Agents!$A:$D,3,0),"-")</f>
        <v>OUBRAHIM Mohammed</v>
      </c>
      <c r="Z406" s="6" t="str">
        <f aca="false">IFERROR(VLOOKUP($B406,Agents!$A:$D,4,0),"-")</f>
        <v>Credit Mutuel</v>
      </c>
      <c r="AA406" s="18" t="s">
        <v>92</v>
      </c>
      <c r="AB406" s="8" t="str">
        <f aca="false">IF(AND(D406="Congé",F406="Congé"),0.333333333333333,IF(OR(AND(D406="Congé",F406&lt;&gt;"Congé"),(AND(F406="Congé",D406&lt;&gt;"Congé"))),0.166666666666667,""))</f>
        <v/>
      </c>
      <c r="AC406" s="8" t="str">
        <f aca="false">IF(AND(D406="Congé sans solde",F406="Congé sans solde"),0.333333333333333,IF(OR(AND(D406="Congé sans solde",F406&lt;&gt;"Congé sans solde"),(AND(F406="Congé sans solde",D406&lt;&gt;"Congé sans solde"))),0.166666666666667,""))</f>
        <v/>
      </c>
      <c r="AD406" s="8" t="str">
        <f aca="false">IF(AND(D406="Congé spécial",F406="Congé spécial"),0.333333333333333,IF(OR(AND(D406="Congé spécial",F406&lt;&gt;"Congé spécial"),AND(F406="Congé spécial",D406&lt;&gt;"Congé spécial")),0.166666666666667,""))</f>
        <v/>
      </c>
      <c r="AE406" s="8" t="str">
        <f aca="false">IF(AND(D406="Férié",F406="Férié"),0.333333333333333,IF(OR(AND(D406="Férié",F406&lt;&gt;"Férié"),(AND(F406="Férié",D406&lt;&gt;"Férié"))),0.166666666666667,""))</f>
        <v/>
      </c>
      <c r="AF406" s="18"/>
      <c r="AG406" s="18" t="s">
        <v>91</v>
      </c>
    </row>
    <row r="407" customFormat="false" ht="15" hidden="false" customHeight="false" outlineLevel="0" collapsed="false">
      <c r="A407" s="6" t="str">
        <f aca="false">YEAR(Q407-WEEKDAY(Q407,2)+4)&amp;"-S"&amp;TEXT(WEEKNUM(Q407,21),"00")</f>
        <v>2026-S10</v>
      </c>
      <c r="B407" s="18" t="s">
        <v>71</v>
      </c>
      <c r="C407" s="19" t="n">
        <v>0.332638888888889</v>
      </c>
      <c r="D407" s="19" t="n">
        <v>0.333333333333333</v>
      </c>
      <c r="E407" s="19" t="n">
        <v>0.708333333333333</v>
      </c>
      <c r="F407" s="19" t="n">
        <v>0.708333333333333</v>
      </c>
      <c r="G407" s="20"/>
      <c r="H407" s="20"/>
      <c r="I407" s="8" t="str">
        <f aca="false">IF(IF(OR(C407="",D407="Congé",D407="OFF",D407="Congé spécial"),"",IF(D407&gt;F407,D407-C407,IF(C407-D407&lt;0,0,C407-D407)))&lt;0.00068287037037037,"",IF(OR(D407="Congé",D407="OFF",C407="",D407="Congé spécial"),"",IF(D407&gt;F407,D407-C407,IF(C407-D407&lt;0,0,C407-D407))))</f>
        <v/>
      </c>
      <c r="J407" s="20"/>
      <c r="K407" s="8" t="n">
        <f aca="false">IF(SUM(H407:J407)&lt;0.00068287037037037,0,SUM(H407:J407))</f>
        <v>0</v>
      </c>
      <c r="L407" s="8" t="n">
        <f aca="false">IF(OR(F407="Congé",F407="OFF",M407="Abs",F407="Congé sans solde",F407="Férié",F407="Congé spécial",D407="Congé spécial"),0,IF(F407-E407&lt;0,0,IF(F407-E407&lt;=0.00068287037037037,0,F407-E407)))</f>
        <v>0</v>
      </c>
      <c r="M407" s="6" t="n">
        <f aca="false">IF(AND(O407&lt;&gt;0,C407=""),"Abs",0)</f>
        <v>0</v>
      </c>
      <c r="N407" s="8" t="n">
        <f aca="false">IFERROR(IF(OR(D407="OFF",D407="Congé",M407="Abs",D407="Congé sans solde",D407="Férié"),"",IF(O407-K407-L407&gt;O407,O407,IF(O407-K407-L407&lt;0,"",O407-K407-L407))),"")</f>
        <v>0.375</v>
      </c>
      <c r="O407" s="8" t="n">
        <f aca="false">IF(AG407="2H Pause déjeuner",IF(F407-D407-0.0833333333333333&lt;0,F407-D407-0.0833333333333333+1,F407-D407-0.0833333333333333),IF(OR(AND(F407="OFF",D407="OFF"),AND(F407="Congé",D407="Congé"),AND(F407="Congé sans solde",D407="Congé sans solde"),AND(F407="Congé spécial",D407="Congé spécial"),AND(F407="Férié",D407="Férié"),AND(F407="OFF",D407="Congé"),AND(F407="OFF",D407="Congé sans solde"),AND(F407="OFF",D407="Congé spécial"),AND(F407="OFF",D407="Férié"),AND(F407="Congé",D407="OFF"),AND(F407="Congé",D407="Congé sans solde"),AND(F407="Congé",D407="Congé spécial"),AND(F407="Congé",D407="Férié"),AND(F407="Congé sans solde",D407="OFF"),AND(F407="Congé sans solde",D407="Congé"),AND(F407="Congé sans solde",D407="Congé spécial"),AND(F407="Congé sans solde",D407="Férié"),AND(F407="Congé spécial",D407="OFF"),AND(F407="Congé spécial",D407="Congé"),AND(F407="Congé spécial",D407="Congé sans solde"),AND(F407="Congé spécial",D407="Férié"),AND(F407="Férié",D407="OFF"),AND(F407="Férié",D407="Congé"),AND(F407="Férié",D407="Congé sans solde"),AND(F407="Férié",D407="Congé spécial")),0,IF(OR(F407="OFF",F407="Congé",F407="Congé spécial",F407="Congé sans solde",D407="OFF",D407="Congé",D407="Congé spécial",D407="Congé sans solde"),0.208333333333334,IF(AND(AG407="",F407-D407&lt;0),("24:00:00"-D407)+("00:00:00"+F407)-0.0416666666666667,IF(AND(OR(AG407="Allaitement",AG407="Sans déjeuner"),F407-D407&lt;0),("24:00:00"-D407)+("00:00:00"+F407),IF(AND(AG407="",F407-D407&gt;0.166666666666667),F407-D407-0.0416666666666667,IF(AND(OR(AG407="Allaitement",AG407="Sans déjeuner"),F407-D407&gt;0.166666666666667),F407-D407,F407-D407)))))))</f>
        <v>0.375</v>
      </c>
      <c r="P407" s="6" t="str">
        <f aca="false">IFERROR(VLOOKUP($B407,Agents!$A:$D,2,0),"-")</f>
        <v>Accessibilité</v>
      </c>
      <c r="Q407" s="21" t="n">
        <v>46083</v>
      </c>
      <c r="R407" s="8" t="n">
        <f aca="false">IF(M407="Abs",O407,0)</f>
        <v>0</v>
      </c>
      <c r="S407" s="8" t="n">
        <f aca="false">SUM(R407,L407,I407,J407,W407,H407)</f>
        <v>0</v>
      </c>
      <c r="T407" s="6" t="str">
        <f aca="false">"Sem - "&amp;WEEKNUM(Q407,21)</f>
        <v>Sem - 10</v>
      </c>
      <c r="U407" s="6" t="str">
        <f aca="false">CHOOSE(MONTH(Q407),"Janvier","Février","Mars","Avril","Mai","Juin","Juillet","Août","Septembre","Octobre","Novembre","Décembre")</f>
        <v>Mars</v>
      </c>
      <c r="V407" s="22" t="n">
        <f aca="false">YEAR(Q407)</f>
        <v>2026</v>
      </c>
      <c r="W407" s="20"/>
      <c r="X407" s="8" t="n">
        <f aca="false">IFERROR(IF(M407="Abs",0,IF(ROUND((D407-C407+E407-F407)*1440,0)&lt;=1,0,D407-C407+E407-F407)),0)</f>
        <v>0</v>
      </c>
      <c r="Y407" s="6" t="str">
        <f aca="false">IFERROR(VLOOKUP($B407,Agents!$A:$D,3,0),"-")</f>
        <v>OUBRAHIM Mohammed</v>
      </c>
      <c r="Z407" s="6" t="str">
        <f aca="false">IFERROR(VLOOKUP($B407,Agents!$A:$D,4,0),"-")</f>
        <v>Credit Mutuel</v>
      </c>
      <c r="AA407" s="18" t="s">
        <v>92</v>
      </c>
      <c r="AB407" s="8" t="str">
        <f aca="false">IF(AND(D407="Congé",F407="Congé"),0.333333333333333,IF(OR(AND(D407="Congé",F407&lt;&gt;"Congé"),(AND(F407="Congé",D407&lt;&gt;"Congé"))),0.166666666666667,""))</f>
        <v/>
      </c>
      <c r="AC407" s="8" t="str">
        <f aca="false">IF(AND(D407="Congé sans solde",F407="Congé sans solde"),0.333333333333333,IF(OR(AND(D407="Congé sans solde",F407&lt;&gt;"Congé sans solde"),(AND(F407="Congé sans solde",D407&lt;&gt;"Congé sans solde"))),0.166666666666667,""))</f>
        <v/>
      </c>
      <c r="AD407" s="8" t="str">
        <f aca="false">IF(AND(D407="Congé spécial",F407="Congé spécial"),0.333333333333333,IF(OR(AND(D407="Congé spécial",F407&lt;&gt;"Congé spécial"),AND(F407="Congé spécial",D407&lt;&gt;"Congé spécial")),0.166666666666667,""))</f>
        <v/>
      </c>
      <c r="AE407" s="8" t="str">
        <f aca="false">IF(AND(D407="Férié",F407="Férié"),0.333333333333333,IF(OR(AND(D407="Férié",F407&lt;&gt;"Férié"),(AND(F407="Férié",D407&lt;&gt;"Férié"))),0.166666666666667,""))</f>
        <v/>
      </c>
      <c r="AF407" s="18"/>
      <c r="AG407" s="18" t="s">
        <v>91</v>
      </c>
    </row>
    <row r="408" customFormat="false" ht="15" hidden="false" customHeight="false" outlineLevel="0" collapsed="false">
      <c r="A408" s="6" t="str">
        <f aca="false">YEAR(Q408-WEEKDAY(Q408,2)+4)&amp;"-S"&amp;TEXT(WEEKNUM(Q408,21),"00")</f>
        <v>2026-S10</v>
      </c>
      <c r="B408" s="18" t="s">
        <v>72</v>
      </c>
      <c r="C408" s="19" t="n">
        <v>0.333333333333333</v>
      </c>
      <c r="D408" s="19" t="n">
        <v>0.333333333333333</v>
      </c>
      <c r="E408" s="19" t="n">
        <v>0.708333333333333</v>
      </c>
      <c r="F408" s="19" t="n">
        <v>0.708333333333333</v>
      </c>
      <c r="G408" s="20"/>
      <c r="H408" s="20"/>
      <c r="I408" s="8" t="str">
        <f aca="false">IF(IF(OR(C408="",D408="Congé",D408="OFF",D408="Congé spécial"),"",IF(D408&gt;F408,D408-C408,IF(C408-D408&lt;0,0,C408-D408)))&lt;0.00068287037037037,"",IF(OR(D408="Congé",D408="OFF",C408="",D408="Congé spécial"),"",IF(D408&gt;F408,D408-C408,IF(C408-D408&lt;0,0,C408-D408))))</f>
        <v/>
      </c>
      <c r="J408" s="20"/>
      <c r="K408" s="8" t="n">
        <f aca="false">IF(SUM(H408:J408)&lt;0.00068287037037037,0,SUM(H408:J408))</f>
        <v>0</v>
      </c>
      <c r="L408" s="8" t="n">
        <f aca="false">IF(OR(F408="Congé",F408="OFF",M408="Abs",F408="Congé sans solde",F408="Férié",F408="Congé spécial",D408="Congé spécial"),0,IF(F408-E408&lt;0,0,IF(F408-E408&lt;=0.00068287037037037,0,F408-E408)))</f>
        <v>0</v>
      </c>
      <c r="M408" s="6" t="n">
        <f aca="false">IF(AND(O408&lt;&gt;0,C408=""),"Abs",0)</f>
        <v>0</v>
      </c>
      <c r="N408" s="8" t="n">
        <f aca="false">IFERROR(IF(OR(D408="OFF",D408="Congé",M408="Abs",D408="Congé sans solde",D408="Férié"),"",IF(O408-K408-L408&gt;O408,O408,IF(O408-K408-L408&lt;0,"",O408-K408-L408))),"")</f>
        <v>0.375</v>
      </c>
      <c r="O408" s="8" t="n">
        <f aca="false">IF(AG408="2H Pause déjeuner",IF(F408-D408-0.0833333333333333&lt;0,F408-D408-0.0833333333333333+1,F408-D408-0.0833333333333333),IF(OR(AND(F408="OFF",D408="OFF"),AND(F408="Congé",D408="Congé"),AND(F408="Congé sans solde",D408="Congé sans solde"),AND(F408="Congé spécial",D408="Congé spécial"),AND(F408="Férié",D408="Férié"),AND(F408="OFF",D408="Congé"),AND(F408="OFF",D408="Congé sans solde"),AND(F408="OFF",D408="Congé spécial"),AND(F408="OFF",D408="Férié"),AND(F408="Congé",D408="OFF"),AND(F408="Congé",D408="Congé sans solde"),AND(F408="Congé",D408="Congé spécial"),AND(F408="Congé",D408="Férié"),AND(F408="Congé sans solde",D408="OFF"),AND(F408="Congé sans solde",D408="Congé"),AND(F408="Congé sans solde",D408="Congé spécial"),AND(F408="Congé sans solde",D408="Férié"),AND(F408="Congé spécial",D408="OFF"),AND(F408="Congé spécial",D408="Congé"),AND(F408="Congé spécial",D408="Congé sans solde"),AND(F408="Congé spécial",D408="Férié"),AND(F408="Férié",D408="OFF"),AND(F408="Férié",D408="Congé"),AND(F408="Férié",D408="Congé sans solde"),AND(F408="Férié",D408="Congé spécial")),0,IF(OR(F408="OFF",F408="Congé",F408="Congé spécial",F408="Congé sans solde",D408="OFF",D408="Congé",D408="Congé spécial",D408="Congé sans solde"),0.208333333333334,IF(AND(AG408="",F408-D408&lt;0),("24:00:00"-D408)+("00:00:00"+F408)-0.0416666666666667,IF(AND(OR(AG408="Allaitement",AG408="Sans déjeuner"),F408-D408&lt;0),("24:00:00"-D408)+("00:00:00"+F408),IF(AND(AG408="",F408-D408&gt;0.166666666666667),F408-D408-0.0416666666666667,IF(AND(OR(AG408="Allaitement",AG408="Sans déjeuner"),F408-D408&gt;0.166666666666667),F408-D408,F408-D408)))))))</f>
        <v>0.375</v>
      </c>
      <c r="P408" s="6" t="str">
        <f aca="false">IFERROR(VLOOKUP($B408,Agents!$A:$D,2,0),"-")</f>
        <v>Accessibilité</v>
      </c>
      <c r="Q408" s="21" t="n">
        <v>46083</v>
      </c>
      <c r="R408" s="8" t="n">
        <f aca="false">IF(M408="Abs",O408,0)</f>
        <v>0</v>
      </c>
      <c r="S408" s="8" t="n">
        <f aca="false">SUM(R408,L408,I408,J408,W408,H408)</f>
        <v>0</v>
      </c>
      <c r="T408" s="6" t="str">
        <f aca="false">"Sem - "&amp;WEEKNUM(Q408,21)</f>
        <v>Sem - 10</v>
      </c>
      <c r="U408" s="6" t="str">
        <f aca="false">CHOOSE(MONTH(Q408),"Janvier","Février","Mars","Avril","Mai","Juin","Juillet","Août","Septembre","Octobre","Novembre","Décembre")</f>
        <v>Mars</v>
      </c>
      <c r="V408" s="22" t="n">
        <f aca="false">YEAR(Q408)</f>
        <v>2026</v>
      </c>
      <c r="W408" s="20"/>
      <c r="X408" s="8" t="n">
        <f aca="false">IFERROR(IF(M408="Abs",0,IF(ROUND((D408-C408+E408-F408)*1440,0)&lt;=1,0,D408-C408+E408-F408)),0)</f>
        <v>0</v>
      </c>
      <c r="Y408" s="6" t="str">
        <f aca="false">IFERROR(VLOOKUP($B408,Agents!$A:$D,3,0),"-")</f>
        <v>OUBRAHIM Mohammed</v>
      </c>
      <c r="Z408" s="6" t="str">
        <f aca="false">IFERROR(VLOOKUP($B408,Agents!$A:$D,4,0),"-")</f>
        <v>Credit Mutuel</v>
      </c>
      <c r="AA408" s="18" t="s">
        <v>92</v>
      </c>
      <c r="AB408" s="8" t="str">
        <f aca="false">IF(AND(D408="Congé",F408="Congé"),0.333333333333333,IF(OR(AND(D408="Congé",F408&lt;&gt;"Congé"),(AND(F408="Congé",D408&lt;&gt;"Congé"))),0.166666666666667,""))</f>
        <v/>
      </c>
      <c r="AC408" s="8" t="str">
        <f aca="false">IF(AND(D408="Congé sans solde",F408="Congé sans solde"),0.333333333333333,IF(OR(AND(D408="Congé sans solde",F408&lt;&gt;"Congé sans solde"),(AND(F408="Congé sans solde",D408&lt;&gt;"Congé sans solde"))),0.166666666666667,""))</f>
        <v/>
      </c>
      <c r="AD408" s="8" t="str">
        <f aca="false">IF(AND(D408="Congé spécial",F408="Congé spécial"),0.333333333333333,IF(OR(AND(D408="Congé spécial",F408&lt;&gt;"Congé spécial"),AND(F408="Congé spécial",D408&lt;&gt;"Congé spécial")),0.166666666666667,""))</f>
        <v/>
      </c>
      <c r="AE408" s="8" t="str">
        <f aca="false">IF(AND(D408="Férié",F408="Férié"),0.333333333333333,IF(OR(AND(D408="Férié",F408&lt;&gt;"Férié"),(AND(F408="Férié",D408&lt;&gt;"Férié"))),0.166666666666667,""))</f>
        <v/>
      </c>
      <c r="AF408" s="18"/>
      <c r="AG408" s="18" t="s">
        <v>91</v>
      </c>
    </row>
    <row r="409" customFormat="false" ht="15" hidden="false" customHeight="false" outlineLevel="0" collapsed="false">
      <c r="A409" s="6" t="str">
        <f aca="false">YEAR(Q409-WEEKDAY(Q409,2)+4)&amp;"-S"&amp;TEXT(WEEKNUM(Q409,21),"00")</f>
        <v>2026-S10</v>
      </c>
      <c r="B409" s="18" t="s">
        <v>73</v>
      </c>
      <c r="C409" s="19" t="n">
        <v>0.333333333333333</v>
      </c>
      <c r="D409" s="19" t="n">
        <v>0.333333333333333</v>
      </c>
      <c r="E409" s="19" t="n">
        <v>0.708333333333333</v>
      </c>
      <c r="F409" s="19" t="n">
        <v>0.708333333333333</v>
      </c>
      <c r="G409" s="20"/>
      <c r="H409" s="20"/>
      <c r="I409" s="8" t="str">
        <f aca="false">IF(IF(OR(C409="",D409="Congé",D409="OFF",D409="Congé spécial"),"",IF(D409&gt;F409,D409-C409,IF(C409-D409&lt;0,0,C409-D409)))&lt;0.00068287037037037,"",IF(OR(D409="Congé",D409="OFF",C409="",D409="Congé spécial"),"",IF(D409&gt;F409,D409-C409,IF(C409-D409&lt;0,0,C409-D409))))</f>
        <v/>
      </c>
      <c r="J409" s="20"/>
      <c r="K409" s="8" t="n">
        <f aca="false">IF(SUM(H409:J409)&lt;0.00068287037037037,0,SUM(H409:J409))</f>
        <v>0</v>
      </c>
      <c r="L409" s="8" t="n">
        <f aca="false">IF(OR(F409="Congé",F409="OFF",M409="Abs",F409="Congé sans solde",F409="Férié",F409="Congé spécial",D409="Congé spécial"),0,IF(F409-E409&lt;0,0,IF(F409-E409&lt;=0.00068287037037037,0,F409-E409)))</f>
        <v>0</v>
      </c>
      <c r="M409" s="6" t="n">
        <f aca="false">IF(AND(O409&lt;&gt;0,C409=""),"Abs",0)</f>
        <v>0</v>
      </c>
      <c r="N409" s="8" t="n">
        <f aca="false">IFERROR(IF(OR(D409="OFF",D409="Congé",M409="Abs",D409="Congé sans solde",D409="Férié"),"",IF(O409-K409-L409&gt;O409,O409,IF(O409-K409-L409&lt;0,"",O409-K409-L409))),"")</f>
        <v>0.375</v>
      </c>
      <c r="O409" s="8" t="n">
        <f aca="false">IF(AG409="2H Pause déjeuner",IF(F409-D409-0.0833333333333333&lt;0,F409-D409-0.0833333333333333+1,F409-D409-0.0833333333333333),IF(OR(AND(F409="OFF",D409="OFF"),AND(F409="Congé",D409="Congé"),AND(F409="Congé sans solde",D409="Congé sans solde"),AND(F409="Congé spécial",D409="Congé spécial"),AND(F409="Férié",D409="Férié"),AND(F409="OFF",D409="Congé"),AND(F409="OFF",D409="Congé sans solde"),AND(F409="OFF",D409="Congé spécial"),AND(F409="OFF",D409="Férié"),AND(F409="Congé",D409="OFF"),AND(F409="Congé",D409="Congé sans solde"),AND(F409="Congé",D409="Congé spécial"),AND(F409="Congé",D409="Férié"),AND(F409="Congé sans solde",D409="OFF"),AND(F409="Congé sans solde",D409="Congé"),AND(F409="Congé sans solde",D409="Congé spécial"),AND(F409="Congé sans solde",D409="Férié"),AND(F409="Congé spécial",D409="OFF"),AND(F409="Congé spécial",D409="Congé"),AND(F409="Congé spécial",D409="Congé sans solde"),AND(F409="Congé spécial",D409="Férié"),AND(F409="Férié",D409="OFF"),AND(F409="Férié",D409="Congé"),AND(F409="Férié",D409="Congé sans solde"),AND(F409="Férié",D409="Congé spécial")),0,IF(OR(F409="OFF",F409="Congé",F409="Congé spécial",F409="Congé sans solde",D409="OFF",D409="Congé",D409="Congé spécial",D409="Congé sans solde"),0.208333333333334,IF(AND(AG409="",F409-D409&lt;0),("24:00:00"-D409)+("00:00:00"+F409)-0.0416666666666667,IF(AND(OR(AG409="Allaitement",AG409="Sans déjeuner"),F409-D409&lt;0),("24:00:00"-D409)+("00:00:00"+F409),IF(AND(AG409="",F409-D409&gt;0.166666666666667),F409-D409-0.0416666666666667,IF(AND(OR(AG409="Allaitement",AG409="Sans déjeuner"),F409-D409&gt;0.166666666666667),F409-D409,F409-D409)))))))</f>
        <v>0.375</v>
      </c>
      <c r="P409" s="6" t="str">
        <f aca="false">IFERROR(VLOOKUP($B409,Agents!$A:$D,2,0),"-")</f>
        <v>Accessibilité</v>
      </c>
      <c r="Q409" s="21" t="n">
        <v>46083</v>
      </c>
      <c r="R409" s="8" t="n">
        <f aca="false">IF(M409="Abs",O409,0)</f>
        <v>0</v>
      </c>
      <c r="S409" s="8" t="n">
        <f aca="false">SUM(R409,L409,I409,J409,W409,H409)</f>
        <v>0</v>
      </c>
      <c r="T409" s="6" t="str">
        <f aca="false">"Sem - "&amp;WEEKNUM(Q409,21)</f>
        <v>Sem - 10</v>
      </c>
      <c r="U409" s="6" t="str">
        <f aca="false">CHOOSE(MONTH(Q409),"Janvier","Février","Mars","Avril","Mai","Juin","Juillet","Août","Septembre","Octobre","Novembre","Décembre")</f>
        <v>Mars</v>
      </c>
      <c r="V409" s="22" t="n">
        <f aca="false">YEAR(Q409)</f>
        <v>2026</v>
      </c>
      <c r="W409" s="20"/>
      <c r="X409" s="8" t="n">
        <f aca="false">IFERROR(IF(M409="Abs",0,IF(ROUND((D409-C409+E409-F409)*1440,0)&lt;=1,0,D409-C409+E409-F409)),0)</f>
        <v>0</v>
      </c>
      <c r="Y409" s="6" t="str">
        <f aca="false">IFERROR(VLOOKUP($B409,Agents!$A:$D,3,0),"-")</f>
        <v>OUBRAHIM Mohammed</v>
      </c>
      <c r="Z409" s="6" t="str">
        <f aca="false">IFERROR(VLOOKUP($B409,Agents!$A:$D,4,0),"-")</f>
        <v>Credit Mutuel</v>
      </c>
      <c r="AA409" s="18" t="s">
        <v>92</v>
      </c>
      <c r="AB409" s="8" t="str">
        <f aca="false">IF(AND(D409="Congé",F409="Congé"),0.333333333333333,IF(OR(AND(D409="Congé",F409&lt;&gt;"Congé"),(AND(F409="Congé",D409&lt;&gt;"Congé"))),0.166666666666667,""))</f>
        <v/>
      </c>
      <c r="AC409" s="8" t="str">
        <f aca="false">IF(AND(D409="Congé sans solde",F409="Congé sans solde"),0.333333333333333,IF(OR(AND(D409="Congé sans solde",F409&lt;&gt;"Congé sans solde"),(AND(F409="Congé sans solde",D409&lt;&gt;"Congé sans solde"))),0.166666666666667,""))</f>
        <v/>
      </c>
      <c r="AD409" s="8" t="str">
        <f aca="false">IF(AND(D409="Congé spécial",F409="Congé spécial"),0.333333333333333,IF(OR(AND(D409="Congé spécial",F409&lt;&gt;"Congé spécial"),AND(F409="Congé spécial",D409&lt;&gt;"Congé spécial")),0.166666666666667,""))</f>
        <v/>
      </c>
      <c r="AE409" s="8" t="str">
        <f aca="false">IF(AND(D409="Férié",F409="Férié"),0.333333333333333,IF(OR(AND(D409="Férié",F409&lt;&gt;"Férié"),(AND(F409="Férié",D409&lt;&gt;"Férié"))),0.166666666666667,""))</f>
        <v/>
      </c>
      <c r="AF409" s="18"/>
      <c r="AG409" s="18" t="s">
        <v>91</v>
      </c>
    </row>
    <row r="410" customFormat="false" ht="15" hidden="false" customHeight="false" outlineLevel="0" collapsed="false">
      <c r="A410" s="6" t="str">
        <f aca="false">YEAR(Q410-WEEKDAY(Q410,2)+4)&amp;"-S"&amp;TEXT(WEEKNUM(Q410,21),"00")</f>
        <v>2026-S10</v>
      </c>
      <c r="B410" s="18" t="s">
        <v>69</v>
      </c>
      <c r="C410" s="19" t="n">
        <v>0.332638888888889</v>
      </c>
      <c r="D410" s="19" t="n">
        <v>0.333333333333333</v>
      </c>
      <c r="E410" s="19" t="n">
        <v>0.708333333333333</v>
      </c>
      <c r="F410" s="19" t="n">
        <v>0.708333333333333</v>
      </c>
      <c r="G410" s="20"/>
      <c r="H410" s="20"/>
      <c r="I410" s="8" t="str">
        <f aca="false">IF(IF(OR(C410="",D410="Congé",D410="OFF",D410="Congé spécial"),"",IF(D410&gt;F410,D410-C410,IF(C410-D410&lt;0,0,C410-D410)))&lt;0.00068287037037037,"",IF(OR(D410="Congé",D410="OFF",C410="",D410="Congé spécial"),"",IF(D410&gt;F410,D410-C410,IF(C410-D410&lt;0,0,C410-D410))))</f>
        <v/>
      </c>
      <c r="J410" s="20"/>
      <c r="K410" s="8" t="n">
        <f aca="false">IF(SUM(H410:J410)&lt;0.00068287037037037,0,SUM(H410:J410))</f>
        <v>0</v>
      </c>
      <c r="L410" s="8" t="n">
        <f aca="false">IF(OR(F410="Congé",F410="OFF",M410="Abs",F410="Congé sans solde",F410="Férié",F410="Congé spécial",D410="Congé spécial"),0,IF(F410-E410&lt;0,0,IF(F410-E410&lt;=0.00068287037037037,0,F410-E410)))</f>
        <v>0</v>
      </c>
      <c r="M410" s="6" t="n">
        <f aca="false">IF(AND(O410&lt;&gt;0,C410=""),"Abs",0)</f>
        <v>0</v>
      </c>
      <c r="N410" s="8" t="n">
        <f aca="false">IFERROR(IF(OR(D410="OFF",D410="Congé",M410="Abs",D410="Congé sans solde",D410="Férié"),"",IF(O410-K410-L410&gt;O410,O410,IF(O410-K410-L410&lt;0,"",O410-K410-L410))),"")</f>
        <v>0.375</v>
      </c>
      <c r="O410" s="8" t="n">
        <f aca="false">IF(AG410="2H Pause déjeuner",IF(F410-D410-0.0833333333333333&lt;0,F410-D410-0.0833333333333333+1,F410-D410-0.0833333333333333),IF(OR(AND(F410="OFF",D410="OFF"),AND(F410="Congé",D410="Congé"),AND(F410="Congé sans solde",D410="Congé sans solde"),AND(F410="Congé spécial",D410="Congé spécial"),AND(F410="Férié",D410="Férié"),AND(F410="OFF",D410="Congé"),AND(F410="OFF",D410="Congé sans solde"),AND(F410="OFF",D410="Congé spécial"),AND(F410="OFF",D410="Férié"),AND(F410="Congé",D410="OFF"),AND(F410="Congé",D410="Congé sans solde"),AND(F410="Congé",D410="Congé spécial"),AND(F410="Congé",D410="Férié"),AND(F410="Congé sans solde",D410="OFF"),AND(F410="Congé sans solde",D410="Congé"),AND(F410="Congé sans solde",D410="Congé spécial"),AND(F410="Congé sans solde",D410="Férié"),AND(F410="Congé spécial",D410="OFF"),AND(F410="Congé spécial",D410="Congé"),AND(F410="Congé spécial",D410="Congé sans solde"),AND(F410="Congé spécial",D410="Férié"),AND(F410="Férié",D410="OFF"),AND(F410="Férié",D410="Congé"),AND(F410="Férié",D410="Congé sans solde"),AND(F410="Férié",D410="Congé spécial")),0,IF(OR(F410="OFF",F410="Congé",F410="Congé spécial",F410="Congé sans solde",D410="OFF",D410="Congé",D410="Congé spécial",D410="Congé sans solde"),0.208333333333334,IF(AND(AG410="",F410-D410&lt;0),("24:00:00"-D410)+("00:00:00"+F410)-0.0416666666666667,IF(AND(OR(AG410="Allaitement",AG410="Sans déjeuner"),F410-D410&lt;0),("24:00:00"-D410)+("00:00:00"+F410),IF(AND(AG410="",F410-D410&gt;0.166666666666667),F410-D410-0.0416666666666667,IF(AND(OR(AG410="Allaitement",AG410="Sans déjeuner"),F410-D410&gt;0.166666666666667),F410-D410,F410-D410)))))))</f>
        <v>0.375</v>
      </c>
      <c r="P410" s="6" t="str">
        <f aca="false">IFERROR(VLOOKUP($B410,Agents!$A:$D,2,0),"-")</f>
        <v>Accessibilité</v>
      </c>
      <c r="Q410" s="21" t="n">
        <v>46084</v>
      </c>
      <c r="R410" s="8" t="n">
        <f aca="false">IF(M410="Abs",O410,0)</f>
        <v>0</v>
      </c>
      <c r="S410" s="8" t="n">
        <f aca="false">SUM(R410,L410,I410,J410,W410,H410)</f>
        <v>0</v>
      </c>
      <c r="T410" s="6" t="str">
        <f aca="false">"Sem - "&amp;WEEKNUM(Q410,21)</f>
        <v>Sem - 10</v>
      </c>
      <c r="U410" s="6" t="str">
        <f aca="false">CHOOSE(MONTH(Q410),"Janvier","Février","Mars","Avril","Mai","Juin","Juillet","Août","Septembre","Octobre","Novembre","Décembre")</f>
        <v>Mars</v>
      </c>
      <c r="V410" s="22" t="n">
        <f aca="false">YEAR(Q410)</f>
        <v>2026</v>
      </c>
      <c r="W410" s="20"/>
      <c r="X410" s="8" t="n">
        <f aca="false">IFERROR(IF(M410="Abs",0,IF(ROUND((D410-C410+E410-F410)*1440,0)&lt;=1,0,D410-C410+E410-F410)),0)</f>
        <v>0</v>
      </c>
      <c r="Y410" s="6" t="str">
        <f aca="false">IFERROR(VLOOKUP($B410,Agents!$A:$D,3,0),"-")</f>
        <v>OUBRAHIM Mohammed</v>
      </c>
      <c r="Z410" s="6" t="str">
        <f aca="false">IFERROR(VLOOKUP($B410,Agents!$A:$D,4,0),"-")</f>
        <v>Credit Mutuel</v>
      </c>
      <c r="AA410" s="18" t="s">
        <v>92</v>
      </c>
      <c r="AB410" s="8" t="str">
        <f aca="false">IF(AND(D410="Congé",F410="Congé"),0.333333333333333,IF(OR(AND(D410="Congé",F410&lt;&gt;"Congé"),(AND(F410="Congé",D410&lt;&gt;"Congé"))),0.166666666666667,""))</f>
        <v/>
      </c>
      <c r="AC410" s="8" t="str">
        <f aca="false">IF(AND(D410="Congé sans solde",F410="Congé sans solde"),0.333333333333333,IF(OR(AND(D410="Congé sans solde",F410&lt;&gt;"Congé sans solde"),(AND(F410="Congé sans solde",D410&lt;&gt;"Congé sans solde"))),0.166666666666667,""))</f>
        <v/>
      </c>
      <c r="AD410" s="8" t="str">
        <f aca="false">IF(AND(D410="Congé spécial",F410="Congé spécial"),0.333333333333333,IF(OR(AND(D410="Congé spécial",F410&lt;&gt;"Congé spécial"),AND(F410="Congé spécial",D410&lt;&gt;"Congé spécial")),0.166666666666667,""))</f>
        <v/>
      </c>
      <c r="AE410" s="8" t="str">
        <f aca="false">IF(AND(D410="Férié",F410="Férié"),0.333333333333333,IF(OR(AND(D410="Férié",F410&lt;&gt;"Férié"),(AND(F410="Férié",D410&lt;&gt;"Férié"))),0.166666666666667,""))</f>
        <v/>
      </c>
      <c r="AF410" s="18"/>
      <c r="AG410" s="18" t="s">
        <v>91</v>
      </c>
    </row>
    <row r="411" customFormat="false" ht="15" hidden="false" customHeight="false" outlineLevel="0" collapsed="false">
      <c r="A411" s="6" t="str">
        <f aca="false">YEAR(Q411-WEEKDAY(Q411,2)+4)&amp;"-S"&amp;TEXT(WEEKNUM(Q411,21),"00")</f>
        <v>2026-S10</v>
      </c>
      <c r="B411" s="18" t="s">
        <v>71</v>
      </c>
      <c r="C411" s="19" t="n">
        <v>0.331944444444444</v>
      </c>
      <c r="D411" s="19" t="n">
        <v>0.333333333333333</v>
      </c>
      <c r="E411" s="19" t="n">
        <v>0.708333333333333</v>
      </c>
      <c r="F411" s="19" t="n">
        <v>0.708333333333333</v>
      </c>
      <c r="G411" s="20"/>
      <c r="H411" s="20"/>
      <c r="I411" s="8" t="str">
        <f aca="false">IF(IF(OR(C411="",D411="Congé",D411="OFF",D411="Congé spécial"),"",IF(D411&gt;F411,D411-C411,IF(C411-D411&lt;0,0,C411-D411)))&lt;0.00068287037037037,"",IF(OR(D411="Congé",D411="OFF",C411="",D411="Congé spécial"),"",IF(D411&gt;F411,D411-C411,IF(C411-D411&lt;0,0,C411-D411))))</f>
        <v/>
      </c>
      <c r="J411" s="20"/>
      <c r="K411" s="8" t="n">
        <f aca="false">IF(SUM(H411:J411)&lt;0.00068287037037037,0,SUM(H411:J411))</f>
        <v>0</v>
      </c>
      <c r="L411" s="8" t="n">
        <f aca="false">IF(OR(F411="Congé",F411="OFF",M411="Abs",F411="Congé sans solde",F411="Férié",F411="Congé spécial",D411="Congé spécial"),0,IF(F411-E411&lt;0,0,IF(F411-E411&lt;=0.00068287037037037,0,F411-E411)))</f>
        <v>0</v>
      </c>
      <c r="M411" s="6" t="n">
        <f aca="false">IF(AND(O411&lt;&gt;0,C411=""),"Abs",0)</f>
        <v>0</v>
      </c>
      <c r="N411" s="8" t="n">
        <f aca="false">IFERROR(IF(OR(D411="OFF",D411="Congé",M411="Abs",D411="Congé sans solde",D411="Férié"),"",IF(O411-K411-L411&gt;O411,O411,IF(O411-K411-L411&lt;0,"",O411-K411-L411))),"")</f>
        <v>0.375</v>
      </c>
      <c r="O411" s="8" t="n">
        <f aca="false">IF(AG411="2H Pause déjeuner",IF(F411-D411-0.0833333333333333&lt;0,F411-D411-0.0833333333333333+1,F411-D411-0.0833333333333333),IF(OR(AND(F411="OFF",D411="OFF"),AND(F411="Congé",D411="Congé"),AND(F411="Congé sans solde",D411="Congé sans solde"),AND(F411="Congé spécial",D411="Congé spécial"),AND(F411="Férié",D411="Férié"),AND(F411="OFF",D411="Congé"),AND(F411="OFF",D411="Congé sans solde"),AND(F411="OFF",D411="Congé spécial"),AND(F411="OFF",D411="Férié"),AND(F411="Congé",D411="OFF"),AND(F411="Congé",D411="Congé sans solde"),AND(F411="Congé",D411="Congé spécial"),AND(F411="Congé",D411="Férié"),AND(F411="Congé sans solde",D411="OFF"),AND(F411="Congé sans solde",D411="Congé"),AND(F411="Congé sans solde",D411="Congé spécial"),AND(F411="Congé sans solde",D411="Férié"),AND(F411="Congé spécial",D411="OFF"),AND(F411="Congé spécial",D411="Congé"),AND(F411="Congé spécial",D411="Congé sans solde"),AND(F411="Congé spécial",D411="Férié"),AND(F411="Férié",D411="OFF"),AND(F411="Férié",D411="Congé"),AND(F411="Férié",D411="Congé sans solde"),AND(F411="Férié",D411="Congé spécial")),0,IF(OR(F411="OFF",F411="Congé",F411="Congé spécial",F411="Congé sans solde",D411="OFF",D411="Congé",D411="Congé spécial",D411="Congé sans solde"),0.208333333333334,IF(AND(AG411="",F411-D411&lt;0),("24:00:00"-D411)+("00:00:00"+F411)-0.0416666666666667,IF(AND(OR(AG411="Allaitement",AG411="Sans déjeuner"),F411-D411&lt;0),("24:00:00"-D411)+("00:00:00"+F411),IF(AND(AG411="",F411-D411&gt;0.166666666666667),F411-D411-0.0416666666666667,IF(AND(OR(AG411="Allaitement",AG411="Sans déjeuner"),F411-D411&gt;0.166666666666667),F411-D411,F411-D411)))))))</f>
        <v>0.375</v>
      </c>
      <c r="P411" s="6" t="str">
        <f aca="false">IFERROR(VLOOKUP($B411,Agents!$A:$D,2,0),"-")</f>
        <v>Accessibilité</v>
      </c>
      <c r="Q411" s="21" t="n">
        <v>46084</v>
      </c>
      <c r="R411" s="8" t="n">
        <f aca="false">IF(M411="Abs",O411,0)</f>
        <v>0</v>
      </c>
      <c r="S411" s="8" t="n">
        <f aca="false">SUM(R411,L411,I411,J411,W411,H411)</f>
        <v>0</v>
      </c>
      <c r="T411" s="6" t="str">
        <f aca="false">"Sem - "&amp;WEEKNUM(Q411,21)</f>
        <v>Sem - 10</v>
      </c>
      <c r="U411" s="6" t="str">
        <f aca="false">CHOOSE(MONTH(Q411),"Janvier","Février","Mars","Avril","Mai","Juin","Juillet","Août","Septembre","Octobre","Novembre","Décembre")</f>
        <v>Mars</v>
      </c>
      <c r="V411" s="22" t="n">
        <f aca="false">YEAR(Q411)</f>
        <v>2026</v>
      </c>
      <c r="W411" s="20"/>
      <c r="X411" s="8" t="n">
        <f aca="false">IFERROR(IF(M411="Abs",0,IF(ROUND((D411-C411+E411-F411)*1440,0)&lt;=1,0,D411-C411+E411-F411)),0)</f>
        <v>0.00138888888888889</v>
      </c>
      <c r="Y411" s="6" t="str">
        <f aca="false">IFERROR(VLOOKUP($B411,Agents!$A:$D,3,0),"-")</f>
        <v>OUBRAHIM Mohammed</v>
      </c>
      <c r="Z411" s="6" t="str">
        <f aca="false">IFERROR(VLOOKUP($B411,Agents!$A:$D,4,0),"-")</f>
        <v>Credit Mutuel</v>
      </c>
      <c r="AA411" s="18" t="s">
        <v>92</v>
      </c>
      <c r="AB411" s="8" t="str">
        <f aca="false">IF(AND(D411="Congé",F411="Congé"),0.333333333333333,IF(OR(AND(D411="Congé",F411&lt;&gt;"Congé"),(AND(F411="Congé",D411&lt;&gt;"Congé"))),0.166666666666667,""))</f>
        <v/>
      </c>
      <c r="AC411" s="8" t="str">
        <f aca="false">IF(AND(D411="Congé sans solde",F411="Congé sans solde"),0.333333333333333,IF(OR(AND(D411="Congé sans solde",F411&lt;&gt;"Congé sans solde"),(AND(F411="Congé sans solde",D411&lt;&gt;"Congé sans solde"))),0.166666666666667,""))</f>
        <v/>
      </c>
      <c r="AD411" s="8" t="str">
        <f aca="false">IF(AND(D411="Congé spécial",F411="Congé spécial"),0.333333333333333,IF(OR(AND(D411="Congé spécial",F411&lt;&gt;"Congé spécial"),AND(F411="Congé spécial",D411&lt;&gt;"Congé spécial")),0.166666666666667,""))</f>
        <v/>
      </c>
      <c r="AE411" s="8" t="str">
        <f aca="false">IF(AND(D411="Férié",F411="Férié"),0.333333333333333,IF(OR(AND(D411="Férié",F411&lt;&gt;"Férié"),(AND(F411="Férié",D411&lt;&gt;"Férié"))),0.166666666666667,""))</f>
        <v/>
      </c>
      <c r="AF411" s="18"/>
      <c r="AG411" s="18" t="s">
        <v>91</v>
      </c>
    </row>
    <row r="412" customFormat="false" ht="15" hidden="false" customHeight="false" outlineLevel="0" collapsed="false">
      <c r="A412" s="6" t="str">
        <f aca="false">YEAR(Q412-WEEKDAY(Q412,2)+4)&amp;"-S"&amp;TEXT(WEEKNUM(Q412,21),"00")</f>
        <v>2026-S10</v>
      </c>
      <c r="B412" s="18" t="s">
        <v>72</v>
      </c>
      <c r="C412" s="19" t="n">
        <v>0.331944444444444</v>
      </c>
      <c r="D412" s="19" t="n">
        <v>0.333333333333333</v>
      </c>
      <c r="E412" s="19" t="n">
        <v>0.708333333333333</v>
      </c>
      <c r="F412" s="19" t="n">
        <v>0.708333333333333</v>
      </c>
      <c r="G412" s="20"/>
      <c r="H412" s="20"/>
      <c r="I412" s="8" t="str">
        <f aca="false">IF(IF(OR(C412="",D412="Congé",D412="OFF",D412="Congé spécial"),"",IF(D412&gt;F412,D412-C412,IF(C412-D412&lt;0,0,C412-D412)))&lt;0.00068287037037037,"",IF(OR(D412="Congé",D412="OFF",C412="",D412="Congé spécial"),"",IF(D412&gt;F412,D412-C412,IF(C412-D412&lt;0,0,C412-D412))))</f>
        <v/>
      </c>
      <c r="J412" s="20"/>
      <c r="K412" s="8" t="n">
        <f aca="false">IF(SUM(H412:J412)&lt;0.00068287037037037,0,SUM(H412:J412))</f>
        <v>0</v>
      </c>
      <c r="L412" s="8" t="n">
        <f aca="false">IF(OR(F412="Congé",F412="OFF",M412="Abs",F412="Congé sans solde",F412="Férié",F412="Congé spécial",D412="Congé spécial"),0,IF(F412-E412&lt;0,0,IF(F412-E412&lt;=0.00068287037037037,0,F412-E412)))</f>
        <v>0</v>
      </c>
      <c r="M412" s="6" t="n">
        <f aca="false">IF(AND(O412&lt;&gt;0,C412=""),"Abs",0)</f>
        <v>0</v>
      </c>
      <c r="N412" s="8" t="n">
        <f aca="false">IFERROR(IF(OR(D412="OFF",D412="Congé",M412="Abs",D412="Congé sans solde",D412="Férié"),"",IF(O412-K412-L412&gt;O412,O412,IF(O412-K412-L412&lt;0,"",O412-K412-L412))),"")</f>
        <v>0.375</v>
      </c>
      <c r="O412" s="8" t="n">
        <f aca="false">IF(AG412="2H Pause déjeuner",IF(F412-D412-0.0833333333333333&lt;0,F412-D412-0.0833333333333333+1,F412-D412-0.0833333333333333),IF(OR(AND(F412="OFF",D412="OFF"),AND(F412="Congé",D412="Congé"),AND(F412="Congé sans solde",D412="Congé sans solde"),AND(F412="Congé spécial",D412="Congé spécial"),AND(F412="Férié",D412="Férié"),AND(F412="OFF",D412="Congé"),AND(F412="OFF",D412="Congé sans solde"),AND(F412="OFF",D412="Congé spécial"),AND(F412="OFF",D412="Férié"),AND(F412="Congé",D412="OFF"),AND(F412="Congé",D412="Congé sans solde"),AND(F412="Congé",D412="Congé spécial"),AND(F412="Congé",D412="Férié"),AND(F412="Congé sans solde",D412="OFF"),AND(F412="Congé sans solde",D412="Congé"),AND(F412="Congé sans solde",D412="Congé spécial"),AND(F412="Congé sans solde",D412="Férié"),AND(F412="Congé spécial",D412="OFF"),AND(F412="Congé spécial",D412="Congé"),AND(F412="Congé spécial",D412="Congé sans solde"),AND(F412="Congé spécial",D412="Férié"),AND(F412="Férié",D412="OFF"),AND(F412="Férié",D412="Congé"),AND(F412="Férié",D412="Congé sans solde"),AND(F412="Férié",D412="Congé spécial")),0,IF(OR(F412="OFF",F412="Congé",F412="Congé spécial",F412="Congé sans solde",D412="OFF",D412="Congé",D412="Congé spécial",D412="Congé sans solde"),0.208333333333334,IF(AND(AG412="",F412-D412&lt;0),("24:00:00"-D412)+("00:00:00"+F412)-0.0416666666666667,IF(AND(OR(AG412="Allaitement",AG412="Sans déjeuner"),F412-D412&lt;0),("24:00:00"-D412)+("00:00:00"+F412),IF(AND(AG412="",F412-D412&gt;0.166666666666667),F412-D412-0.0416666666666667,IF(AND(OR(AG412="Allaitement",AG412="Sans déjeuner"),F412-D412&gt;0.166666666666667),F412-D412,F412-D412)))))))</f>
        <v>0.375</v>
      </c>
      <c r="P412" s="6" t="str">
        <f aca="false">IFERROR(VLOOKUP($B412,Agents!$A:$D,2,0),"-")</f>
        <v>Accessibilité</v>
      </c>
      <c r="Q412" s="21" t="n">
        <v>46084</v>
      </c>
      <c r="R412" s="8" t="n">
        <f aca="false">IF(M412="Abs",O412,0)</f>
        <v>0</v>
      </c>
      <c r="S412" s="8" t="n">
        <f aca="false">SUM(R412,L412,I412,J412,W412,H412)</f>
        <v>0</v>
      </c>
      <c r="T412" s="6" t="str">
        <f aca="false">"Sem - "&amp;WEEKNUM(Q412,21)</f>
        <v>Sem - 10</v>
      </c>
      <c r="U412" s="6" t="str">
        <f aca="false">CHOOSE(MONTH(Q412),"Janvier","Février","Mars","Avril","Mai","Juin","Juillet","Août","Septembre","Octobre","Novembre","Décembre")</f>
        <v>Mars</v>
      </c>
      <c r="V412" s="22" t="n">
        <f aca="false">YEAR(Q412)</f>
        <v>2026</v>
      </c>
      <c r="W412" s="20"/>
      <c r="X412" s="8" t="n">
        <f aca="false">IFERROR(IF(M412="Abs",0,IF(ROUND((D412-C412+E412-F412)*1440,0)&lt;=1,0,D412-C412+E412-F412)),0)</f>
        <v>0.00138888888888889</v>
      </c>
      <c r="Y412" s="6" t="str">
        <f aca="false">IFERROR(VLOOKUP($B412,Agents!$A:$D,3,0),"-")</f>
        <v>OUBRAHIM Mohammed</v>
      </c>
      <c r="Z412" s="6" t="str">
        <f aca="false">IFERROR(VLOOKUP($B412,Agents!$A:$D,4,0),"-")</f>
        <v>Credit Mutuel</v>
      </c>
      <c r="AA412" s="18" t="s">
        <v>92</v>
      </c>
      <c r="AB412" s="8" t="str">
        <f aca="false">IF(AND(D412="Congé",F412="Congé"),0.333333333333333,IF(OR(AND(D412="Congé",F412&lt;&gt;"Congé"),(AND(F412="Congé",D412&lt;&gt;"Congé"))),0.166666666666667,""))</f>
        <v/>
      </c>
      <c r="AC412" s="8" t="str">
        <f aca="false">IF(AND(D412="Congé sans solde",F412="Congé sans solde"),0.333333333333333,IF(OR(AND(D412="Congé sans solde",F412&lt;&gt;"Congé sans solde"),(AND(F412="Congé sans solde",D412&lt;&gt;"Congé sans solde"))),0.166666666666667,""))</f>
        <v/>
      </c>
      <c r="AD412" s="8" t="str">
        <f aca="false">IF(AND(D412="Congé spécial",F412="Congé spécial"),0.333333333333333,IF(OR(AND(D412="Congé spécial",F412&lt;&gt;"Congé spécial"),AND(F412="Congé spécial",D412&lt;&gt;"Congé spécial")),0.166666666666667,""))</f>
        <v/>
      </c>
      <c r="AE412" s="8" t="str">
        <f aca="false">IF(AND(D412="Férié",F412="Férié"),0.333333333333333,IF(OR(AND(D412="Férié",F412&lt;&gt;"Férié"),(AND(F412="Férié",D412&lt;&gt;"Férié"))),0.166666666666667,""))</f>
        <v/>
      </c>
      <c r="AF412" s="18"/>
      <c r="AG412" s="18" t="s">
        <v>91</v>
      </c>
    </row>
    <row r="413" customFormat="false" ht="15" hidden="false" customHeight="false" outlineLevel="0" collapsed="false">
      <c r="A413" s="6" t="str">
        <f aca="false">YEAR(Q413-WEEKDAY(Q413,2)+4)&amp;"-S"&amp;TEXT(WEEKNUM(Q413,21),"00")</f>
        <v>2026-S10</v>
      </c>
      <c r="B413" s="18" t="s">
        <v>73</v>
      </c>
      <c r="C413" s="19" t="n">
        <v>0.333333333333333</v>
      </c>
      <c r="D413" s="19" t="n">
        <v>0.333333333333333</v>
      </c>
      <c r="E413" s="19" t="n">
        <v>0.708333333333333</v>
      </c>
      <c r="F413" s="19" t="n">
        <v>0.708333333333333</v>
      </c>
      <c r="G413" s="20"/>
      <c r="H413" s="20"/>
      <c r="I413" s="8" t="str">
        <f aca="false">IF(IF(OR(C413="",D413="Congé",D413="OFF",D413="Congé spécial"),"",IF(D413&gt;F413,D413-C413,IF(C413-D413&lt;0,0,C413-D413)))&lt;0.00068287037037037,"",IF(OR(D413="Congé",D413="OFF",C413="",D413="Congé spécial"),"",IF(D413&gt;F413,D413-C413,IF(C413-D413&lt;0,0,C413-D413))))</f>
        <v/>
      </c>
      <c r="J413" s="20"/>
      <c r="K413" s="8" t="n">
        <f aca="false">IF(SUM(H413:J413)&lt;0.00068287037037037,0,SUM(H413:J413))</f>
        <v>0</v>
      </c>
      <c r="L413" s="8" t="n">
        <f aca="false">IF(OR(F413="Congé",F413="OFF",M413="Abs",F413="Congé sans solde",F413="Férié",F413="Congé spécial",D413="Congé spécial"),0,IF(F413-E413&lt;0,0,IF(F413-E413&lt;=0.00068287037037037,0,F413-E413)))</f>
        <v>0</v>
      </c>
      <c r="M413" s="6" t="n">
        <f aca="false">IF(AND(O413&lt;&gt;0,C413=""),"Abs",0)</f>
        <v>0</v>
      </c>
      <c r="N413" s="8" t="n">
        <f aca="false">IFERROR(IF(OR(D413="OFF",D413="Congé",M413="Abs",D413="Congé sans solde",D413="Férié"),"",IF(O413-K413-L413&gt;O413,O413,IF(O413-K413-L413&lt;0,"",O413-K413-L413))),"")</f>
        <v>0.375</v>
      </c>
      <c r="O413" s="8" t="n">
        <f aca="false">IF(AG413="2H Pause déjeuner",IF(F413-D413-0.0833333333333333&lt;0,F413-D413-0.0833333333333333+1,F413-D413-0.0833333333333333),IF(OR(AND(F413="OFF",D413="OFF"),AND(F413="Congé",D413="Congé"),AND(F413="Congé sans solde",D413="Congé sans solde"),AND(F413="Congé spécial",D413="Congé spécial"),AND(F413="Férié",D413="Férié"),AND(F413="OFF",D413="Congé"),AND(F413="OFF",D413="Congé sans solde"),AND(F413="OFF",D413="Congé spécial"),AND(F413="OFF",D413="Férié"),AND(F413="Congé",D413="OFF"),AND(F413="Congé",D413="Congé sans solde"),AND(F413="Congé",D413="Congé spécial"),AND(F413="Congé",D413="Férié"),AND(F413="Congé sans solde",D413="OFF"),AND(F413="Congé sans solde",D413="Congé"),AND(F413="Congé sans solde",D413="Congé spécial"),AND(F413="Congé sans solde",D413="Férié"),AND(F413="Congé spécial",D413="OFF"),AND(F413="Congé spécial",D413="Congé"),AND(F413="Congé spécial",D413="Congé sans solde"),AND(F413="Congé spécial",D413="Férié"),AND(F413="Férié",D413="OFF"),AND(F413="Férié",D413="Congé"),AND(F413="Férié",D413="Congé sans solde"),AND(F413="Férié",D413="Congé spécial")),0,IF(OR(F413="OFF",F413="Congé",F413="Congé spécial",F413="Congé sans solde",D413="OFF",D413="Congé",D413="Congé spécial",D413="Congé sans solde"),0.208333333333334,IF(AND(AG413="",F413-D413&lt;0),("24:00:00"-D413)+("00:00:00"+F413)-0.0416666666666667,IF(AND(OR(AG413="Allaitement",AG413="Sans déjeuner"),F413-D413&lt;0),("24:00:00"-D413)+("00:00:00"+F413),IF(AND(AG413="",F413-D413&gt;0.166666666666667),F413-D413-0.0416666666666667,IF(AND(OR(AG413="Allaitement",AG413="Sans déjeuner"),F413-D413&gt;0.166666666666667),F413-D413,F413-D413)))))))</f>
        <v>0.375</v>
      </c>
      <c r="P413" s="6" t="str">
        <f aca="false">IFERROR(VLOOKUP($B413,Agents!$A:$D,2,0),"-")</f>
        <v>Accessibilité</v>
      </c>
      <c r="Q413" s="21" t="n">
        <v>46084</v>
      </c>
      <c r="R413" s="8" t="n">
        <f aca="false">IF(M413="Abs",O413,0)</f>
        <v>0</v>
      </c>
      <c r="S413" s="8" t="n">
        <f aca="false">SUM(R413,L413,I413,J413,W413,H413)</f>
        <v>0</v>
      </c>
      <c r="T413" s="6" t="str">
        <f aca="false">"Sem - "&amp;WEEKNUM(Q413,21)</f>
        <v>Sem - 10</v>
      </c>
      <c r="U413" s="6" t="str">
        <f aca="false">CHOOSE(MONTH(Q413),"Janvier","Février","Mars","Avril","Mai","Juin","Juillet","Août","Septembre","Octobre","Novembre","Décembre")</f>
        <v>Mars</v>
      </c>
      <c r="V413" s="22" t="n">
        <f aca="false">YEAR(Q413)</f>
        <v>2026</v>
      </c>
      <c r="W413" s="20"/>
      <c r="X413" s="8" t="n">
        <f aca="false">IFERROR(IF(M413="Abs",0,IF(ROUND((D413-C413+E413-F413)*1440,0)&lt;=1,0,D413-C413+E413-F413)),0)</f>
        <v>0</v>
      </c>
      <c r="Y413" s="6" t="str">
        <f aca="false">IFERROR(VLOOKUP($B413,Agents!$A:$D,3,0),"-")</f>
        <v>OUBRAHIM Mohammed</v>
      </c>
      <c r="Z413" s="6" t="str">
        <f aca="false">IFERROR(VLOOKUP($B413,Agents!$A:$D,4,0),"-")</f>
        <v>Credit Mutuel</v>
      </c>
      <c r="AA413" s="18" t="s">
        <v>92</v>
      </c>
      <c r="AB413" s="8" t="str">
        <f aca="false">IF(AND(D413="Congé",F413="Congé"),0.333333333333333,IF(OR(AND(D413="Congé",F413&lt;&gt;"Congé"),(AND(F413="Congé",D413&lt;&gt;"Congé"))),0.166666666666667,""))</f>
        <v/>
      </c>
      <c r="AC413" s="8" t="str">
        <f aca="false">IF(AND(D413="Congé sans solde",F413="Congé sans solde"),0.333333333333333,IF(OR(AND(D413="Congé sans solde",F413&lt;&gt;"Congé sans solde"),(AND(F413="Congé sans solde",D413&lt;&gt;"Congé sans solde"))),0.166666666666667,""))</f>
        <v/>
      </c>
      <c r="AD413" s="8" t="str">
        <f aca="false">IF(AND(D413="Congé spécial",F413="Congé spécial"),0.333333333333333,IF(OR(AND(D413="Congé spécial",F413&lt;&gt;"Congé spécial"),AND(F413="Congé spécial",D413&lt;&gt;"Congé spécial")),0.166666666666667,""))</f>
        <v/>
      </c>
      <c r="AE413" s="8" t="str">
        <f aca="false">IF(AND(D413="Férié",F413="Férié"),0.333333333333333,IF(OR(AND(D413="Férié",F413&lt;&gt;"Férié"),(AND(F413="Férié",D413&lt;&gt;"Férié"))),0.166666666666667,""))</f>
        <v/>
      </c>
      <c r="AF413" s="18"/>
      <c r="AG413" s="18" t="s">
        <v>91</v>
      </c>
    </row>
    <row r="414" customFormat="false" ht="15" hidden="false" customHeight="false" outlineLevel="0" collapsed="false">
      <c r="A414" s="6" t="str">
        <f aca="false">YEAR(Q414-WEEKDAY(Q414,2)+4)&amp;"-S"&amp;TEXT(WEEKNUM(Q414,21),"00")</f>
        <v>2026-S10</v>
      </c>
      <c r="B414" s="18" t="s">
        <v>69</v>
      </c>
      <c r="C414" s="19" t="n">
        <v>0.332638888888889</v>
      </c>
      <c r="D414" s="19" t="n">
        <v>0.333333333333333</v>
      </c>
      <c r="E414" s="19" t="n">
        <v>0.708333333333333</v>
      </c>
      <c r="F414" s="19" t="n">
        <v>0.708333333333333</v>
      </c>
      <c r="G414" s="20"/>
      <c r="H414" s="20"/>
      <c r="I414" s="8" t="str">
        <f aca="false">IF(IF(OR(C414="",D414="Congé",D414="OFF",D414="Congé spécial"),"",IF(D414&gt;F414,D414-C414,IF(C414-D414&lt;0,0,C414-D414)))&lt;0.00068287037037037,"",IF(OR(D414="Congé",D414="OFF",C414="",D414="Congé spécial"),"",IF(D414&gt;F414,D414-C414,IF(C414-D414&lt;0,0,C414-D414))))</f>
        <v/>
      </c>
      <c r="J414" s="20"/>
      <c r="K414" s="8" t="n">
        <f aca="false">IF(SUM(H414:J414)&lt;0.00068287037037037,0,SUM(H414:J414))</f>
        <v>0</v>
      </c>
      <c r="L414" s="8" t="n">
        <f aca="false">IF(OR(F414="Congé",F414="OFF",M414="Abs",F414="Congé sans solde",F414="Férié",F414="Congé spécial",D414="Congé spécial"),0,IF(F414-E414&lt;0,0,IF(F414-E414&lt;=0.00068287037037037,0,F414-E414)))</f>
        <v>0</v>
      </c>
      <c r="M414" s="6" t="n">
        <f aca="false">IF(AND(O414&lt;&gt;0,C414=""),"Abs",0)</f>
        <v>0</v>
      </c>
      <c r="N414" s="8" t="n">
        <f aca="false">IFERROR(IF(OR(D414="OFF",D414="Congé",M414="Abs",D414="Congé sans solde",D414="Férié"),"",IF(O414-K414-L414&gt;O414,O414,IF(O414-K414-L414&lt;0,"",O414-K414-L414))),"")</f>
        <v>0.375</v>
      </c>
      <c r="O414" s="8" t="n">
        <f aca="false">IF(AG414="2H Pause déjeuner",IF(F414-D414-0.0833333333333333&lt;0,F414-D414-0.0833333333333333+1,F414-D414-0.0833333333333333),IF(OR(AND(F414="OFF",D414="OFF"),AND(F414="Congé",D414="Congé"),AND(F414="Congé sans solde",D414="Congé sans solde"),AND(F414="Congé spécial",D414="Congé spécial"),AND(F414="Férié",D414="Férié"),AND(F414="OFF",D414="Congé"),AND(F414="OFF",D414="Congé sans solde"),AND(F414="OFF",D414="Congé spécial"),AND(F414="OFF",D414="Férié"),AND(F414="Congé",D414="OFF"),AND(F414="Congé",D414="Congé sans solde"),AND(F414="Congé",D414="Congé spécial"),AND(F414="Congé",D414="Férié"),AND(F414="Congé sans solde",D414="OFF"),AND(F414="Congé sans solde",D414="Congé"),AND(F414="Congé sans solde",D414="Congé spécial"),AND(F414="Congé sans solde",D414="Férié"),AND(F414="Congé spécial",D414="OFF"),AND(F414="Congé spécial",D414="Congé"),AND(F414="Congé spécial",D414="Congé sans solde"),AND(F414="Congé spécial",D414="Férié"),AND(F414="Férié",D414="OFF"),AND(F414="Férié",D414="Congé"),AND(F414="Férié",D414="Congé sans solde"),AND(F414="Férié",D414="Congé spécial")),0,IF(OR(F414="OFF",F414="Congé",F414="Congé spécial",F414="Congé sans solde",D414="OFF",D414="Congé",D414="Congé spécial",D414="Congé sans solde"),0.208333333333334,IF(AND(AG414="",F414-D414&lt;0),("24:00:00"-D414)+("00:00:00"+F414)-0.0416666666666667,IF(AND(OR(AG414="Allaitement",AG414="Sans déjeuner"),F414-D414&lt;0),("24:00:00"-D414)+("00:00:00"+F414),IF(AND(AG414="",F414-D414&gt;0.166666666666667),F414-D414-0.0416666666666667,IF(AND(OR(AG414="Allaitement",AG414="Sans déjeuner"),F414-D414&gt;0.166666666666667),F414-D414,F414-D414)))))))</f>
        <v>0.375</v>
      </c>
      <c r="P414" s="6" t="str">
        <f aca="false">IFERROR(VLOOKUP($B414,Agents!$A:$D,2,0),"-")</f>
        <v>Accessibilité</v>
      </c>
      <c r="Q414" s="21" t="n">
        <v>46085</v>
      </c>
      <c r="R414" s="8" t="n">
        <f aca="false">IF(M414="Abs",O414,0)</f>
        <v>0</v>
      </c>
      <c r="S414" s="8" t="n">
        <f aca="false">SUM(R414,L414,I414,J414,W414,H414)</f>
        <v>0</v>
      </c>
      <c r="T414" s="6" t="str">
        <f aca="false">"Sem - "&amp;WEEKNUM(Q414,21)</f>
        <v>Sem - 10</v>
      </c>
      <c r="U414" s="6" t="str">
        <f aca="false">CHOOSE(MONTH(Q414),"Janvier","Février","Mars","Avril","Mai","Juin","Juillet","Août","Septembre","Octobre","Novembre","Décembre")</f>
        <v>Mars</v>
      </c>
      <c r="V414" s="22" t="n">
        <f aca="false">YEAR(Q414)</f>
        <v>2026</v>
      </c>
      <c r="W414" s="20"/>
      <c r="X414" s="8" t="n">
        <f aca="false">IFERROR(IF(M414="Abs",0,IF(ROUND((D414-C414+E414-F414)*1440,0)&lt;=1,0,D414-C414+E414-F414)),0)</f>
        <v>0</v>
      </c>
      <c r="Y414" s="6" t="str">
        <f aca="false">IFERROR(VLOOKUP($B414,Agents!$A:$D,3,0),"-")</f>
        <v>OUBRAHIM Mohammed</v>
      </c>
      <c r="Z414" s="6" t="str">
        <f aca="false">IFERROR(VLOOKUP($B414,Agents!$A:$D,4,0),"-")</f>
        <v>Credit Mutuel</v>
      </c>
      <c r="AA414" s="18" t="s">
        <v>92</v>
      </c>
      <c r="AB414" s="8" t="str">
        <f aca="false">IF(AND(D414="Congé",F414="Congé"),0.333333333333333,IF(OR(AND(D414="Congé",F414&lt;&gt;"Congé"),(AND(F414="Congé",D414&lt;&gt;"Congé"))),0.166666666666667,""))</f>
        <v/>
      </c>
      <c r="AC414" s="8" t="str">
        <f aca="false">IF(AND(D414="Congé sans solde",F414="Congé sans solde"),0.333333333333333,IF(OR(AND(D414="Congé sans solde",F414&lt;&gt;"Congé sans solde"),(AND(F414="Congé sans solde",D414&lt;&gt;"Congé sans solde"))),0.166666666666667,""))</f>
        <v/>
      </c>
      <c r="AD414" s="8" t="str">
        <f aca="false">IF(AND(D414="Congé spécial",F414="Congé spécial"),0.333333333333333,IF(OR(AND(D414="Congé spécial",F414&lt;&gt;"Congé spécial"),AND(F414="Congé spécial",D414&lt;&gt;"Congé spécial")),0.166666666666667,""))</f>
        <v/>
      </c>
      <c r="AE414" s="8" t="str">
        <f aca="false">IF(AND(D414="Férié",F414="Férié"),0.333333333333333,IF(OR(AND(D414="Férié",F414&lt;&gt;"Férié"),(AND(F414="Férié",D414&lt;&gt;"Férié"))),0.166666666666667,""))</f>
        <v/>
      </c>
      <c r="AF414" s="18"/>
      <c r="AG414" s="18" t="s">
        <v>91</v>
      </c>
    </row>
    <row r="415" customFormat="false" ht="15" hidden="false" customHeight="false" outlineLevel="0" collapsed="false">
      <c r="A415" s="6" t="str">
        <f aca="false">YEAR(Q415-WEEKDAY(Q415,2)+4)&amp;"-S"&amp;TEXT(WEEKNUM(Q415,21),"00")</f>
        <v>2026-S10</v>
      </c>
      <c r="B415" s="18" t="s">
        <v>71</v>
      </c>
      <c r="C415" s="19" t="n">
        <v>0.332638888888889</v>
      </c>
      <c r="D415" s="19" t="n">
        <v>0.333333333333333</v>
      </c>
      <c r="E415" s="19" t="n">
        <v>0.708333333333333</v>
      </c>
      <c r="F415" s="19" t="n">
        <v>0.708333333333333</v>
      </c>
      <c r="G415" s="20"/>
      <c r="H415" s="20"/>
      <c r="I415" s="8" t="str">
        <f aca="false">IF(IF(OR(C415="",D415="Congé",D415="OFF",D415="Congé spécial"),"",IF(D415&gt;F415,D415-C415,IF(C415-D415&lt;0,0,C415-D415)))&lt;0.00068287037037037,"",IF(OR(D415="Congé",D415="OFF",C415="",D415="Congé spécial"),"",IF(D415&gt;F415,D415-C415,IF(C415-D415&lt;0,0,C415-D415))))</f>
        <v/>
      </c>
      <c r="J415" s="20"/>
      <c r="K415" s="8" t="n">
        <f aca="false">IF(SUM(H415:J415)&lt;0.00068287037037037,0,SUM(H415:J415))</f>
        <v>0</v>
      </c>
      <c r="L415" s="8" t="n">
        <f aca="false">IF(OR(F415="Congé",F415="OFF",M415="Abs",F415="Congé sans solde",F415="Férié",F415="Congé spécial",D415="Congé spécial"),0,IF(F415-E415&lt;0,0,IF(F415-E415&lt;=0.00068287037037037,0,F415-E415)))</f>
        <v>0</v>
      </c>
      <c r="M415" s="6" t="n">
        <f aca="false">IF(AND(O415&lt;&gt;0,C415=""),"Abs",0)</f>
        <v>0</v>
      </c>
      <c r="N415" s="8" t="n">
        <f aca="false">IFERROR(IF(OR(D415="OFF",D415="Congé",M415="Abs",D415="Congé sans solde",D415="Férié"),"",IF(O415-K415-L415&gt;O415,O415,IF(O415-K415-L415&lt;0,"",O415-K415-L415))),"")</f>
        <v>0.375</v>
      </c>
      <c r="O415" s="8" t="n">
        <f aca="false">IF(AG415="2H Pause déjeuner",IF(F415-D415-0.0833333333333333&lt;0,F415-D415-0.0833333333333333+1,F415-D415-0.0833333333333333),IF(OR(AND(F415="OFF",D415="OFF"),AND(F415="Congé",D415="Congé"),AND(F415="Congé sans solde",D415="Congé sans solde"),AND(F415="Congé spécial",D415="Congé spécial"),AND(F415="Férié",D415="Férié"),AND(F415="OFF",D415="Congé"),AND(F415="OFF",D415="Congé sans solde"),AND(F415="OFF",D415="Congé spécial"),AND(F415="OFF",D415="Férié"),AND(F415="Congé",D415="OFF"),AND(F415="Congé",D415="Congé sans solde"),AND(F415="Congé",D415="Congé spécial"),AND(F415="Congé",D415="Férié"),AND(F415="Congé sans solde",D415="OFF"),AND(F415="Congé sans solde",D415="Congé"),AND(F415="Congé sans solde",D415="Congé spécial"),AND(F415="Congé sans solde",D415="Férié"),AND(F415="Congé spécial",D415="OFF"),AND(F415="Congé spécial",D415="Congé"),AND(F415="Congé spécial",D415="Congé sans solde"),AND(F415="Congé spécial",D415="Férié"),AND(F415="Férié",D415="OFF"),AND(F415="Férié",D415="Congé"),AND(F415="Férié",D415="Congé sans solde"),AND(F415="Férié",D415="Congé spécial")),0,IF(OR(F415="OFF",F415="Congé",F415="Congé spécial",F415="Congé sans solde",D415="OFF",D415="Congé",D415="Congé spécial",D415="Congé sans solde"),0.208333333333334,IF(AND(AG415="",F415-D415&lt;0),("24:00:00"-D415)+("00:00:00"+F415)-0.0416666666666667,IF(AND(OR(AG415="Allaitement",AG415="Sans déjeuner"),F415-D415&lt;0),("24:00:00"-D415)+("00:00:00"+F415),IF(AND(AG415="",F415-D415&gt;0.166666666666667),F415-D415-0.0416666666666667,IF(AND(OR(AG415="Allaitement",AG415="Sans déjeuner"),F415-D415&gt;0.166666666666667),F415-D415,F415-D415)))))))</f>
        <v>0.375</v>
      </c>
      <c r="P415" s="6" t="str">
        <f aca="false">IFERROR(VLOOKUP($B415,Agents!$A:$D,2,0),"-")</f>
        <v>Accessibilité</v>
      </c>
      <c r="Q415" s="21" t="n">
        <v>46085</v>
      </c>
      <c r="R415" s="8" t="n">
        <f aca="false">IF(M415="Abs",O415,0)</f>
        <v>0</v>
      </c>
      <c r="S415" s="8" t="n">
        <f aca="false">SUM(R415,L415,I415,J415,W415,H415)</f>
        <v>0</v>
      </c>
      <c r="T415" s="6" t="str">
        <f aca="false">"Sem - "&amp;WEEKNUM(Q415,21)</f>
        <v>Sem - 10</v>
      </c>
      <c r="U415" s="6" t="str">
        <f aca="false">CHOOSE(MONTH(Q415),"Janvier","Février","Mars","Avril","Mai","Juin","Juillet","Août","Septembre","Octobre","Novembre","Décembre")</f>
        <v>Mars</v>
      </c>
      <c r="V415" s="22" t="n">
        <f aca="false">YEAR(Q415)</f>
        <v>2026</v>
      </c>
      <c r="W415" s="20"/>
      <c r="X415" s="8" t="n">
        <f aca="false">IFERROR(IF(M415="Abs",0,IF(ROUND((D415-C415+E415-F415)*1440,0)&lt;=1,0,D415-C415+E415-F415)),0)</f>
        <v>0</v>
      </c>
      <c r="Y415" s="6" t="str">
        <f aca="false">IFERROR(VLOOKUP($B415,Agents!$A:$D,3,0),"-")</f>
        <v>OUBRAHIM Mohammed</v>
      </c>
      <c r="Z415" s="6" t="str">
        <f aca="false">IFERROR(VLOOKUP($B415,Agents!$A:$D,4,0),"-")</f>
        <v>Credit Mutuel</v>
      </c>
      <c r="AA415" s="18" t="s">
        <v>92</v>
      </c>
      <c r="AB415" s="8" t="str">
        <f aca="false">IF(AND(D415="Congé",F415="Congé"),0.333333333333333,IF(OR(AND(D415="Congé",F415&lt;&gt;"Congé"),(AND(F415="Congé",D415&lt;&gt;"Congé"))),0.166666666666667,""))</f>
        <v/>
      </c>
      <c r="AC415" s="8" t="str">
        <f aca="false">IF(AND(D415="Congé sans solde",F415="Congé sans solde"),0.333333333333333,IF(OR(AND(D415="Congé sans solde",F415&lt;&gt;"Congé sans solde"),(AND(F415="Congé sans solde",D415&lt;&gt;"Congé sans solde"))),0.166666666666667,""))</f>
        <v/>
      </c>
      <c r="AD415" s="8" t="str">
        <f aca="false">IF(AND(D415="Congé spécial",F415="Congé spécial"),0.333333333333333,IF(OR(AND(D415="Congé spécial",F415&lt;&gt;"Congé spécial"),AND(F415="Congé spécial",D415&lt;&gt;"Congé spécial")),0.166666666666667,""))</f>
        <v/>
      </c>
      <c r="AE415" s="8" t="str">
        <f aca="false">IF(AND(D415="Férié",F415="Férié"),0.333333333333333,IF(OR(AND(D415="Férié",F415&lt;&gt;"Férié"),(AND(F415="Férié",D415&lt;&gt;"Férié"))),0.166666666666667,""))</f>
        <v/>
      </c>
      <c r="AF415" s="18"/>
      <c r="AG415" s="18" t="s">
        <v>91</v>
      </c>
    </row>
    <row r="416" customFormat="false" ht="15" hidden="false" customHeight="false" outlineLevel="0" collapsed="false">
      <c r="A416" s="6" t="str">
        <f aca="false">YEAR(Q416-WEEKDAY(Q416,2)+4)&amp;"-S"&amp;TEXT(WEEKNUM(Q416,21),"00")</f>
        <v>2026-S10</v>
      </c>
      <c r="B416" s="18" t="s">
        <v>72</v>
      </c>
      <c r="C416" s="19" t="n">
        <v>0.333333333333333</v>
      </c>
      <c r="D416" s="19" t="n">
        <v>0.333333333333333</v>
      </c>
      <c r="E416" s="19" t="n">
        <v>0.708333333333333</v>
      </c>
      <c r="F416" s="19" t="n">
        <v>0.708333333333333</v>
      </c>
      <c r="G416" s="20"/>
      <c r="H416" s="20"/>
      <c r="I416" s="8" t="str">
        <f aca="false">IF(IF(OR(C416="",D416="Congé",D416="OFF",D416="Congé spécial"),"",IF(D416&gt;F416,D416-C416,IF(C416-D416&lt;0,0,C416-D416)))&lt;0.00068287037037037,"",IF(OR(D416="Congé",D416="OFF",C416="",D416="Congé spécial"),"",IF(D416&gt;F416,D416-C416,IF(C416-D416&lt;0,0,C416-D416))))</f>
        <v/>
      </c>
      <c r="J416" s="20"/>
      <c r="K416" s="8" t="n">
        <f aca="false">IF(SUM(H416:J416)&lt;0.00068287037037037,0,SUM(H416:J416))</f>
        <v>0</v>
      </c>
      <c r="L416" s="8" t="n">
        <f aca="false">IF(OR(F416="Congé",F416="OFF",M416="Abs",F416="Congé sans solde",F416="Férié",F416="Congé spécial",D416="Congé spécial"),0,IF(F416-E416&lt;0,0,IF(F416-E416&lt;=0.00068287037037037,0,F416-E416)))</f>
        <v>0</v>
      </c>
      <c r="M416" s="6" t="n">
        <f aca="false">IF(AND(O416&lt;&gt;0,C416=""),"Abs",0)</f>
        <v>0</v>
      </c>
      <c r="N416" s="8" t="n">
        <f aca="false">IFERROR(IF(OR(D416="OFF",D416="Congé",M416="Abs",D416="Congé sans solde",D416="Férié"),"",IF(O416-K416-L416&gt;O416,O416,IF(O416-K416-L416&lt;0,"",O416-K416-L416))),"")</f>
        <v>0.375</v>
      </c>
      <c r="O416" s="8" t="n">
        <f aca="false">IF(AG416="2H Pause déjeuner",IF(F416-D416-0.0833333333333333&lt;0,F416-D416-0.0833333333333333+1,F416-D416-0.0833333333333333),IF(OR(AND(F416="OFF",D416="OFF"),AND(F416="Congé",D416="Congé"),AND(F416="Congé sans solde",D416="Congé sans solde"),AND(F416="Congé spécial",D416="Congé spécial"),AND(F416="Férié",D416="Férié"),AND(F416="OFF",D416="Congé"),AND(F416="OFF",D416="Congé sans solde"),AND(F416="OFF",D416="Congé spécial"),AND(F416="OFF",D416="Férié"),AND(F416="Congé",D416="OFF"),AND(F416="Congé",D416="Congé sans solde"),AND(F416="Congé",D416="Congé spécial"),AND(F416="Congé",D416="Férié"),AND(F416="Congé sans solde",D416="OFF"),AND(F416="Congé sans solde",D416="Congé"),AND(F416="Congé sans solde",D416="Congé spécial"),AND(F416="Congé sans solde",D416="Férié"),AND(F416="Congé spécial",D416="OFF"),AND(F416="Congé spécial",D416="Congé"),AND(F416="Congé spécial",D416="Congé sans solde"),AND(F416="Congé spécial",D416="Férié"),AND(F416="Férié",D416="OFF"),AND(F416="Férié",D416="Congé"),AND(F416="Férié",D416="Congé sans solde"),AND(F416="Férié",D416="Congé spécial")),0,IF(OR(F416="OFF",F416="Congé",F416="Congé spécial",F416="Congé sans solde",D416="OFF",D416="Congé",D416="Congé spécial",D416="Congé sans solde"),0.208333333333334,IF(AND(AG416="",F416-D416&lt;0),("24:00:00"-D416)+("00:00:00"+F416)-0.0416666666666667,IF(AND(OR(AG416="Allaitement",AG416="Sans déjeuner"),F416-D416&lt;0),("24:00:00"-D416)+("00:00:00"+F416),IF(AND(AG416="",F416-D416&gt;0.166666666666667),F416-D416-0.0416666666666667,IF(AND(OR(AG416="Allaitement",AG416="Sans déjeuner"),F416-D416&gt;0.166666666666667),F416-D416,F416-D416)))))))</f>
        <v>0.375</v>
      </c>
      <c r="P416" s="6" t="str">
        <f aca="false">IFERROR(VLOOKUP($B416,Agents!$A:$D,2,0),"-")</f>
        <v>Accessibilité</v>
      </c>
      <c r="Q416" s="21" t="n">
        <v>46085</v>
      </c>
      <c r="R416" s="8" t="n">
        <f aca="false">IF(M416="Abs",O416,0)</f>
        <v>0</v>
      </c>
      <c r="S416" s="8" t="n">
        <f aca="false">SUM(R416,L416,I416,J416,W416,H416)</f>
        <v>0</v>
      </c>
      <c r="T416" s="6" t="str">
        <f aca="false">"Sem - "&amp;WEEKNUM(Q416,21)</f>
        <v>Sem - 10</v>
      </c>
      <c r="U416" s="6" t="str">
        <f aca="false">CHOOSE(MONTH(Q416),"Janvier","Février","Mars","Avril","Mai","Juin","Juillet","Août","Septembre","Octobre","Novembre","Décembre")</f>
        <v>Mars</v>
      </c>
      <c r="V416" s="22" t="n">
        <f aca="false">YEAR(Q416)</f>
        <v>2026</v>
      </c>
      <c r="W416" s="20"/>
      <c r="X416" s="8" t="n">
        <f aca="false">IFERROR(IF(M416="Abs",0,IF(ROUND((D416-C416+E416-F416)*1440,0)&lt;=1,0,D416-C416+E416-F416)),0)</f>
        <v>0</v>
      </c>
      <c r="Y416" s="6" t="str">
        <f aca="false">IFERROR(VLOOKUP($B416,Agents!$A:$D,3,0),"-")</f>
        <v>OUBRAHIM Mohammed</v>
      </c>
      <c r="Z416" s="6" t="str">
        <f aca="false">IFERROR(VLOOKUP($B416,Agents!$A:$D,4,0),"-")</f>
        <v>Credit Mutuel</v>
      </c>
      <c r="AA416" s="18" t="s">
        <v>92</v>
      </c>
      <c r="AB416" s="8" t="str">
        <f aca="false">IF(AND(D416="Congé",F416="Congé"),0.333333333333333,IF(OR(AND(D416="Congé",F416&lt;&gt;"Congé"),(AND(F416="Congé",D416&lt;&gt;"Congé"))),0.166666666666667,""))</f>
        <v/>
      </c>
      <c r="AC416" s="8" t="str">
        <f aca="false">IF(AND(D416="Congé sans solde",F416="Congé sans solde"),0.333333333333333,IF(OR(AND(D416="Congé sans solde",F416&lt;&gt;"Congé sans solde"),(AND(F416="Congé sans solde",D416&lt;&gt;"Congé sans solde"))),0.166666666666667,""))</f>
        <v/>
      </c>
      <c r="AD416" s="8" t="str">
        <f aca="false">IF(AND(D416="Congé spécial",F416="Congé spécial"),0.333333333333333,IF(OR(AND(D416="Congé spécial",F416&lt;&gt;"Congé spécial"),AND(F416="Congé spécial",D416&lt;&gt;"Congé spécial")),0.166666666666667,""))</f>
        <v/>
      </c>
      <c r="AE416" s="8" t="str">
        <f aca="false">IF(AND(D416="Férié",F416="Férié"),0.333333333333333,IF(OR(AND(D416="Férié",F416&lt;&gt;"Férié"),(AND(F416="Férié",D416&lt;&gt;"Férié"))),0.166666666666667,""))</f>
        <v/>
      </c>
      <c r="AF416" s="18"/>
      <c r="AG416" s="18" t="s">
        <v>91</v>
      </c>
    </row>
    <row r="417" customFormat="false" ht="15" hidden="false" customHeight="false" outlineLevel="0" collapsed="false">
      <c r="A417" s="6" t="str">
        <f aca="false">YEAR(Q417-WEEKDAY(Q417,2)+4)&amp;"-S"&amp;TEXT(WEEKNUM(Q417,21),"00")</f>
        <v>2026-S10</v>
      </c>
      <c r="B417" s="18" t="s">
        <v>73</v>
      </c>
      <c r="C417" s="19" t="n">
        <v>0.330555555555556</v>
      </c>
      <c r="D417" s="19" t="n">
        <v>0.333333333333333</v>
      </c>
      <c r="E417" s="19" t="n">
        <v>0.708333333333333</v>
      </c>
      <c r="F417" s="19" t="n">
        <v>0.708333333333333</v>
      </c>
      <c r="G417" s="20"/>
      <c r="H417" s="20"/>
      <c r="I417" s="8" t="str">
        <f aca="false">IF(IF(OR(C417="",D417="Congé",D417="OFF",D417="Congé spécial"),"",IF(D417&gt;F417,D417-C417,IF(C417-D417&lt;0,0,C417-D417)))&lt;0.00068287037037037,"",IF(OR(D417="Congé",D417="OFF",C417="",D417="Congé spécial"),"",IF(D417&gt;F417,D417-C417,IF(C417-D417&lt;0,0,C417-D417))))</f>
        <v/>
      </c>
      <c r="J417" s="20"/>
      <c r="K417" s="8" t="n">
        <f aca="false">IF(SUM(H417:J417)&lt;0.00068287037037037,0,SUM(H417:J417))</f>
        <v>0</v>
      </c>
      <c r="L417" s="8" t="n">
        <f aca="false">IF(OR(F417="Congé",F417="OFF",M417="Abs",F417="Congé sans solde",F417="Férié",F417="Congé spécial",D417="Congé spécial"),0,IF(F417-E417&lt;0,0,IF(F417-E417&lt;=0.00068287037037037,0,F417-E417)))</f>
        <v>0</v>
      </c>
      <c r="M417" s="6" t="n">
        <f aca="false">IF(AND(O417&lt;&gt;0,C417=""),"Abs",0)</f>
        <v>0</v>
      </c>
      <c r="N417" s="8" t="n">
        <f aca="false">IFERROR(IF(OR(D417="OFF",D417="Congé",M417="Abs",D417="Congé sans solde",D417="Férié"),"",IF(O417-K417-L417&gt;O417,O417,IF(O417-K417-L417&lt;0,"",O417-K417-L417))),"")</f>
        <v>0.375</v>
      </c>
      <c r="O417" s="8" t="n">
        <f aca="false">IF(AG417="2H Pause déjeuner",IF(F417-D417-0.0833333333333333&lt;0,F417-D417-0.0833333333333333+1,F417-D417-0.0833333333333333),IF(OR(AND(F417="OFF",D417="OFF"),AND(F417="Congé",D417="Congé"),AND(F417="Congé sans solde",D417="Congé sans solde"),AND(F417="Congé spécial",D417="Congé spécial"),AND(F417="Férié",D417="Férié"),AND(F417="OFF",D417="Congé"),AND(F417="OFF",D417="Congé sans solde"),AND(F417="OFF",D417="Congé spécial"),AND(F417="OFF",D417="Férié"),AND(F417="Congé",D417="OFF"),AND(F417="Congé",D417="Congé sans solde"),AND(F417="Congé",D417="Congé spécial"),AND(F417="Congé",D417="Férié"),AND(F417="Congé sans solde",D417="OFF"),AND(F417="Congé sans solde",D417="Congé"),AND(F417="Congé sans solde",D417="Congé spécial"),AND(F417="Congé sans solde",D417="Férié"),AND(F417="Congé spécial",D417="OFF"),AND(F417="Congé spécial",D417="Congé"),AND(F417="Congé spécial",D417="Congé sans solde"),AND(F417="Congé spécial",D417="Férié"),AND(F417="Férié",D417="OFF"),AND(F417="Férié",D417="Congé"),AND(F417="Férié",D417="Congé sans solde"),AND(F417="Férié",D417="Congé spécial")),0,IF(OR(F417="OFF",F417="Congé",F417="Congé spécial",F417="Congé sans solde",D417="OFF",D417="Congé",D417="Congé spécial",D417="Congé sans solde"),0.208333333333334,IF(AND(AG417="",F417-D417&lt;0),("24:00:00"-D417)+("00:00:00"+F417)-0.0416666666666667,IF(AND(OR(AG417="Allaitement",AG417="Sans déjeuner"),F417-D417&lt;0),("24:00:00"-D417)+("00:00:00"+F417),IF(AND(AG417="",F417-D417&gt;0.166666666666667),F417-D417-0.0416666666666667,IF(AND(OR(AG417="Allaitement",AG417="Sans déjeuner"),F417-D417&gt;0.166666666666667),F417-D417,F417-D417)))))))</f>
        <v>0.375</v>
      </c>
      <c r="P417" s="6" t="str">
        <f aca="false">IFERROR(VLOOKUP($B417,Agents!$A:$D,2,0),"-")</f>
        <v>Accessibilité</v>
      </c>
      <c r="Q417" s="21" t="n">
        <v>46085</v>
      </c>
      <c r="R417" s="8" t="n">
        <f aca="false">IF(M417="Abs",O417,0)</f>
        <v>0</v>
      </c>
      <c r="S417" s="8" t="n">
        <f aca="false">SUM(R417,L417,I417,J417,W417,H417)</f>
        <v>0</v>
      </c>
      <c r="T417" s="6" t="str">
        <f aca="false">"Sem - "&amp;WEEKNUM(Q417,21)</f>
        <v>Sem - 10</v>
      </c>
      <c r="U417" s="6" t="str">
        <f aca="false">CHOOSE(MONTH(Q417),"Janvier","Février","Mars","Avril","Mai","Juin","Juillet","Août","Septembre","Octobre","Novembre","Décembre")</f>
        <v>Mars</v>
      </c>
      <c r="V417" s="22" t="n">
        <f aca="false">YEAR(Q417)</f>
        <v>2026</v>
      </c>
      <c r="W417" s="20"/>
      <c r="X417" s="8" t="n">
        <f aca="false">IFERROR(IF(M417="Abs",0,IF(ROUND((D417-C417+E417-F417)*1440,0)&lt;=1,0,D417-C417+E417-F417)),0)</f>
        <v>0.00277777777777778</v>
      </c>
      <c r="Y417" s="6" t="str">
        <f aca="false">IFERROR(VLOOKUP($B417,Agents!$A:$D,3,0),"-")</f>
        <v>OUBRAHIM Mohammed</v>
      </c>
      <c r="Z417" s="6" t="str">
        <f aca="false">IFERROR(VLOOKUP($B417,Agents!$A:$D,4,0),"-")</f>
        <v>Credit Mutuel</v>
      </c>
      <c r="AA417" s="18" t="s">
        <v>92</v>
      </c>
      <c r="AB417" s="8" t="str">
        <f aca="false">IF(AND(D417="Congé",F417="Congé"),0.333333333333333,IF(OR(AND(D417="Congé",F417&lt;&gt;"Congé"),(AND(F417="Congé",D417&lt;&gt;"Congé"))),0.166666666666667,""))</f>
        <v/>
      </c>
      <c r="AC417" s="8" t="str">
        <f aca="false">IF(AND(D417="Congé sans solde",F417="Congé sans solde"),0.333333333333333,IF(OR(AND(D417="Congé sans solde",F417&lt;&gt;"Congé sans solde"),(AND(F417="Congé sans solde",D417&lt;&gt;"Congé sans solde"))),0.166666666666667,""))</f>
        <v/>
      </c>
      <c r="AD417" s="8" t="str">
        <f aca="false">IF(AND(D417="Congé spécial",F417="Congé spécial"),0.333333333333333,IF(OR(AND(D417="Congé spécial",F417&lt;&gt;"Congé spécial"),AND(F417="Congé spécial",D417&lt;&gt;"Congé spécial")),0.166666666666667,""))</f>
        <v/>
      </c>
      <c r="AE417" s="8" t="str">
        <f aca="false">IF(AND(D417="Férié",F417="Férié"),0.333333333333333,IF(OR(AND(D417="Férié",F417&lt;&gt;"Férié"),(AND(F417="Férié",D417&lt;&gt;"Férié"))),0.166666666666667,""))</f>
        <v/>
      </c>
      <c r="AF417" s="18"/>
      <c r="AG417" s="18" t="s">
        <v>91</v>
      </c>
    </row>
    <row r="418" customFormat="false" ht="15" hidden="false" customHeight="false" outlineLevel="0" collapsed="false">
      <c r="A418" s="6" t="str">
        <f aca="false">YEAR(Q418-WEEKDAY(Q418,2)+4)&amp;"-S"&amp;TEXT(WEEKNUM(Q418,21),"00")</f>
        <v>2026-S10</v>
      </c>
      <c r="B418" s="18" t="s">
        <v>69</v>
      </c>
      <c r="C418" s="19" t="n">
        <v>0.333333333333333</v>
      </c>
      <c r="D418" s="19" t="n">
        <v>0.333333333333333</v>
      </c>
      <c r="E418" s="19" t="n">
        <v>0.708333333333333</v>
      </c>
      <c r="F418" s="19" t="n">
        <v>0.708333333333333</v>
      </c>
      <c r="G418" s="20"/>
      <c r="H418" s="20"/>
      <c r="I418" s="8" t="str">
        <f aca="false">IF(IF(OR(C418="",D418="Congé",D418="OFF",D418="Congé spécial"),"",IF(D418&gt;F418,D418-C418,IF(C418-D418&lt;0,0,C418-D418)))&lt;0.00068287037037037,"",IF(OR(D418="Congé",D418="OFF",C418="",D418="Congé spécial"),"",IF(D418&gt;F418,D418-C418,IF(C418-D418&lt;0,0,C418-D418))))</f>
        <v/>
      </c>
      <c r="J418" s="20"/>
      <c r="K418" s="8" t="n">
        <f aca="false">IF(SUM(H418:J418)&lt;0.00068287037037037,0,SUM(H418:J418))</f>
        <v>0</v>
      </c>
      <c r="L418" s="8" t="n">
        <f aca="false">IF(OR(F418="Congé",F418="OFF",M418="Abs",F418="Congé sans solde",F418="Férié",F418="Congé spécial",D418="Congé spécial"),0,IF(F418-E418&lt;0,0,IF(F418-E418&lt;=0.00068287037037037,0,F418-E418)))</f>
        <v>0</v>
      </c>
      <c r="M418" s="6" t="n">
        <f aca="false">IF(AND(O418&lt;&gt;0,C418=""),"Abs",0)</f>
        <v>0</v>
      </c>
      <c r="N418" s="8" t="n">
        <f aca="false">IFERROR(IF(OR(D418="OFF",D418="Congé",M418="Abs",D418="Congé sans solde",D418="Férié"),"",IF(O418-K418-L418&gt;O418,O418,IF(O418-K418-L418&lt;0,"",O418-K418-L418))),"")</f>
        <v>0.375</v>
      </c>
      <c r="O418" s="8" t="n">
        <f aca="false">IF(AG418="2H Pause déjeuner",IF(F418-D418-0.0833333333333333&lt;0,F418-D418-0.0833333333333333+1,F418-D418-0.0833333333333333),IF(OR(AND(F418="OFF",D418="OFF"),AND(F418="Congé",D418="Congé"),AND(F418="Congé sans solde",D418="Congé sans solde"),AND(F418="Congé spécial",D418="Congé spécial"),AND(F418="Férié",D418="Férié"),AND(F418="OFF",D418="Congé"),AND(F418="OFF",D418="Congé sans solde"),AND(F418="OFF",D418="Congé spécial"),AND(F418="OFF",D418="Férié"),AND(F418="Congé",D418="OFF"),AND(F418="Congé",D418="Congé sans solde"),AND(F418="Congé",D418="Congé spécial"),AND(F418="Congé",D418="Férié"),AND(F418="Congé sans solde",D418="OFF"),AND(F418="Congé sans solde",D418="Congé"),AND(F418="Congé sans solde",D418="Congé spécial"),AND(F418="Congé sans solde",D418="Férié"),AND(F418="Congé spécial",D418="OFF"),AND(F418="Congé spécial",D418="Congé"),AND(F418="Congé spécial",D418="Congé sans solde"),AND(F418="Congé spécial",D418="Férié"),AND(F418="Férié",D418="OFF"),AND(F418="Férié",D418="Congé"),AND(F418="Férié",D418="Congé sans solde"),AND(F418="Férié",D418="Congé spécial")),0,IF(OR(F418="OFF",F418="Congé",F418="Congé spécial",F418="Congé sans solde",D418="OFF",D418="Congé",D418="Congé spécial",D418="Congé sans solde"),0.208333333333334,IF(AND(AG418="",F418-D418&lt;0),("24:00:00"-D418)+("00:00:00"+F418)-0.0416666666666667,IF(AND(OR(AG418="Allaitement",AG418="Sans déjeuner"),F418-D418&lt;0),("24:00:00"-D418)+("00:00:00"+F418),IF(AND(AG418="",F418-D418&gt;0.166666666666667),F418-D418-0.0416666666666667,IF(AND(OR(AG418="Allaitement",AG418="Sans déjeuner"),F418-D418&gt;0.166666666666667),F418-D418,F418-D418)))))))</f>
        <v>0.375</v>
      </c>
      <c r="P418" s="6" t="str">
        <f aca="false">IFERROR(VLOOKUP($B418,Agents!$A:$D,2,0),"-")</f>
        <v>Accessibilité</v>
      </c>
      <c r="Q418" s="21" t="n">
        <v>46086</v>
      </c>
      <c r="R418" s="8" t="n">
        <f aca="false">IF(M418="Abs",O418,0)</f>
        <v>0</v>
      </c>
      <c r="S418" s="8" t="n">
        <f aca="false">SUM(R418,L418,I418,J418,W418,H418)</f>
        <v>0</v>
      </c>
      <c r="T418" s="6" t="str">
        <f aca="false">"Sem - "&amp;WEEKNUM(Q418,21)</f>
        <v>Sem - 10</v>
      </c>
      <c r="U418" s="6" t="str">
        <f aca="false">CHOOSE(MONTH(Q418),"Janvier","Février","Mars","Avril","Mai","Juin","Juillet","Août","Septembre","Octobre","Novembre","Décembre")</f>
        <v>Mars</v>
      </c>
      <c r="V418" s="22" t="n">
        <f aca="false">YEAR(Q418)</f>
        <v>2026</v>
      </c>
      <c r="W418" s="20"/>
      <c r="X418" s="8" t="n">
        <f aca="false">IFERROR(IF(M418="Abs",0,IF(ROUND((D418-C418+E418-F418)*1440,0)&lt;=1,0,D418-C418+E418-F418)),0)</f>
        <v>0</v>
      </c>
      <c r="Y418" s="6" t="str">
        <f aca="false">IFERROR(VLOOKUP($B418,Agents!$A:$D,3,0),"-")</f>
        <v>OUBRAHIM Mohammed</v>
      </c>
      <c r="Z418" s="6" t="str">
        <f aca="false">IFERROR(VLOOKUP($B418,Agents!$A:$D,4,0),"-")</f>
        <v>Credit Mutuel</v>
      </c>
      <c r="AA418" s="18" t="s">
        <v>92</v>
      </c>
      <c r="AB418" s="8" t="str">
        <f aca="false">IF(AND(D418="Congé",F418="Congé"),0.333333333333333,IF(OR(AND(D418="Congé",F418&lt;&gt;"Congé"),(AND(F418="Congé",D418&lt;&gt;"Congé"))),0.166666666666667,""))</f>
        <v/>
      </c>
      <c r="AC418" s="8" t="str">
        <f aca="false">IF(AND(D418="Congé sans solde",F418="Congé sans solde"),0.333333333333333,IF(OR(AND(D418="Congé sans solde",F418&lt;&gt;"Congé sans solde"),(AND(F418="Congé sans solde",D418&lt;&gt;"Congé sans solde"))),0.166666666666667,""))</f>
        <v/>
      </c>
      <c r="AD418" s="8" t="str">
        <f aca="false">IF(AND(D418="Congé spécial",F418="Congé spécial"),0.333333333333333,IF(OR(AND(D418="Congé spécial",F418&lt;&gt;"Congé spécial"),AND(F418="Congé spécial",D418&lt;&gt;"Congé spécial")),0.166666666666667,""))</f>
        <v/>
      </c>
      <c r="AE418" s="8" t="str">
        <f aca="false">IF(AND(D418="Férié",F418="Férié"),0.333333333333333,IF(OR(AND(D418="Férié",F418&lt;&gt;"Férié"),(AND(F418="Férié",D418&lt;&gt;"Férié"))),0.166666666666667,""))</f>
        <v/>
      </c>
      <c r="AF418" s="18"/>
      <c r="AG418" s="18" t="s">
        <v>91</v>
      </c>
    </row>
    <row r="419" customFormat="false" ht="15" hidden="false" customHeight="false" outlineLevel="0" collapsed="false">
      <c r="A419" s="6" t="str">
        <f aca="false">YEAR(Q419-WEEKDAY(Q419,2)+4)&amp;"-S"&amp;TEXT(WEEKNUM(Q419,21),"00")</f>
        <v>2026-S10</v>
      </c>
      <c r="B419" s="18" t="s">
        <v>71</v>
      </c>
      <c r="C419" s="19" t="n">
        <v>0.333333333333333</v>
      </c>
      <c r="D419" s="19" t="n">
        <v>0.333333333333333</v>
      </c>
      <c r="E419" s="19" t="n">
        <v>0.708333333333333</v>
      </c>
      <c r="F419" s="19" t="n">
        <v>0.708333333333333</v>
      </c>
      <c r="G419" s="20"/>
      <c r="H419" s="20"/>
      <c r="I419" s="8" t="str">
        <f aca="false">IF(IF(OR(C419="",D419="Congé",D419="OFF",D419="Congé spécial"),"",IF(D419&gt;F419,D419-C419,IF(C419-D419&lt;0,0,C419-D419)))&lt;0.00068287037037037,"",IF(OR(D419="Congé",D419="OFF",C419="",D419="Congé spécial"),"",IF(D419&gt;F419,D419-C419,IF(C419-D419&lt;0,0,C419-D419))))</f>
        <v/>
      </c>
      <c r="J419" s="20"/>
      <c r="K419" s="8" t="n">
        <f aca="false">IF(SUM(H419:J419)&lt;0.00068287037037037,0,SUM(H419:J419))</f>
        <v>0</v>
      </c>
      <c r="L419" s="8" t="n">
        <f aca="false">IF(OR(F419="Congé",F419="OFF",M419="Abs",F419="Congé sans solde",F419="Férié",F419="Congé spécial",D419="Congé spécial"),0,IF(F419-E419&lt;0,0,IF(F419-E419&lt;=0.00068287037037037,0,F419-E419)))</f>
        <v>0</v>
      </c>
      <c r="M419" s="6" t="n">
        <f aca="false">IF(AND(O419&lt;&gt;0,C419=""),"Abs",0)</f>
        <v>0</v>
      </c>
      <c r="N419" s="8" t="n">
        <f aca="false">IFERROR(IF(OR(D419="OFF",D419="Congé",M419="Abs",D419="Congé sans solde",D419="Férié"),"",IF(O419-K419-L419&gt;O419,O419,IF(O419-K419-L419&lt;0,"",O419-K419-L419))),"")</f>
        <v>0.375</v>
      </c>
      <c r="O419" s="8" t="n">
        <f aca="false">IF(AG419="2H Pause déjeuner",IF(F419-D419-0.0833333333333333&lt;0,F419-D419-0.0833333333333333+1,F419-D419-0.0833333333333333),IF(OR(AND(F419="OFF",D419="OFF"),AND(F419="Congé",D419="Congé"),AND(F419="Congé sans solde",D419="Congé sans solde"),AND(F419="Congé spécial",D419="Congé spécial"),AND(F419="Férié",D419="Férié"),AND(F419="OFF",D419="Congé"),AND(F419="OFF",D419="Congé sans solde"),AND(F419="OFF",D419="Congé spécial"),AND(F419="OFF",D419="Férié"),AND(F419="Congé",D419="OFF"),AND(F419="Congé",D419="Congé sans solde"),AND(F419="Congé",D419="Congé spécial"),AND(F419="Congé",D419="Férié"),AND(F419="Congé sans solde",D419="OFF"),AND(F419="Congé sans solde",D419="Congé"),AND(F419="Congé sans solde",D419="Congé spécial"),AND(F419="Congé sans solde",D419="Férié"),AND(F419="Congé spécial",D419="OFF"),AND(F419="Congé spécial",D419="Congé"),AND(F419="Congé spécial",D419="Congé sans solde"),AND(F419="Congé spécial",D419="Férié"),AND(F419="Férié",D419="OFF"),AND(F419="Férié",D419="Congé"),AND(F419="Férié",D419="Congé sans solde"),AND(F419="Férié",D419="Congé spécial")),0,IF(OR(F419="OFF",F419="Congé",F419="Congé spécial",F419="Congé sans solde",D419="OFF",D419="Congé",D419="Congé spécial",D419="Congé sans solde"),0.208333333333334,IF(AND(AG419="",F419-D419&lt;0),("24:00:00"-D419)+("00:00:00"+F419)-0.0416666666666667,IF(AND(OR(AG419="Allaitement",AG419="Sans déjeuner"),F419-D419&lt;0),("24:00:00"-D419)+("00:00:00"+F419),IF(AND(AG419="",F419-D419&gt;0.166666666666667),F419-D419-0.0416666666666667,IF(AND(OR(AG419="Allaitement",AG419="Sans déjeuner"),F419-D419&gt;0.166666666666667),F419-D419,F419-D419)))))))</f>
        <v>0.375</v>
      </c>
      <c r="P419" s="6" t="str">
        <f aca="false">IFERROR(VLOOKUP($B419,Agents!$A:$D,2,0),"-")</f>
        <v>Accessibilité</v>
      </c>
      <c r="Q419" s="21" t="n">
        <v>46086</v>
      </c>
      <c r="R419" s="8" t="n">
        <f aca="false">IF(M419="Abs",O419,0)</f>
        <v>0</v>
      </c>
      <c r="S419" s="8" t="n">
        <f aca="false">SUM(R419,L419,I419,J419,W419,H419)</f>
        <v>0</v>
      </c>
      <c r="T419" s="6" t="str">
        <f aca="false">"Sem - "&amp;WEEKNUM(Q419,21)</f>
        <v>Sem - 10</v>
      </c>
      <c r="U419" s="6" t="str">
        <f aca="false">CHOOSE(MONTH(Q419),"Janvier","Février","Mars","Avril","Mai","Juin","Juillet","Août","Septembre","Octobre","Novembre","Décembre")</f>
        <v>Mars</v>
      </c>
      <c r="V419" s="22" t="n">
        <f aca="false">YEAR(Q419)</f>
        <v>2026</v>
      </c>
      <c r="W419" s="20"/>
      <c r="X419" s="8" t="n">
        <f aca="false">IFERROR(IF(M419="Abs",0,IF(ROUND((D419-C419+E419-F419)*1440,0)&lt;=1,0,D419-C419+E419-F419)),0)</f>
        <v>0</v>
      </c>
      <c r="Y419" s="6" t="str">
        <f aca="false">IFERROR(VLOOKUP($B419,Agents!$A:$D,3,0),"-")</f>
        <v>OUBRAHIM Mohammed</v>
      </c>
      <c r="Z419" s="6" t="str">
        <f aca="false">IFERROR(VLOOKUP($B419,Agents!$A:$D,4,0),"-")</f>
        <v>Credit Mutuel</v>
      </c>
      <c r="AA419" s="18" t="s">
        <v>92</v>
      </c>
      <c r="AB419" s="8" t="str">
        <f aca="false">IF(AND(D419="Congé",F419="Congé"),0.333333333333333,IF(OR(AND(D419="Congé",F419&lt;&gt;"Congé"),(AND(F419="Congé",D419&lt;&gt;"Congé"))),0.166666666666667,""))</f>
        <v/>
      </c>
      <c r="AC419" s="8" t="str">
        <f aca="false">IF(AND(D419="Congé sans solde",F419="Congé sans solde"),0.333333333333333,IF(OR(AND(D419="Congé sans solde",F419&lt;&gt;"Congé sans solde"),(AND(F419="Congé sans solde",D419&lt;&gt;"Congé sans solde"))),0.166666666666667,""))</f>
        <v/>
      </c>
      <c r="AD419" s="8" t="str">
        <f aca="false">IF(AND(D419="Congé spécial",F419="Congé spécial"),0.333333333333333,IF(OR(AND(D419="Congé spécial",F419&lt;&gt;"Congé spécial"),AND(F419="Congé spécial",D419&lt;&gt;"Congé spécial")),0.166666666666667,""))</f>
        <v/>
      </c>
      <c r="AE419" s="8" t="str">
        <f aca="false">IF(AND(D419="Férié",F419="Férié"),0.333333333333333,IF(OR(AND(D419="Férié",F419&lt;&gt;"Férié"),(AND(F419="Férié",D419&lt;&gt;"Férié"))),0.166666666666667,""))</f>
        <v/>
      </c>
      <c r="AF419" s="18"/>
      <c r="AG419" s="18" t="s">
        <v>91</v>
      </c>
    </row>
    <row r="420" customFormat="false" ht="15" hidden="false" customHeight="false" outlineLevel="0" collapsed="false">
      <c r="A420" s="6" t="str">
        <f aca="false">YEAR(Q420-WEEKDAY(Q420,2)+4)&amp;"-S"&amp;TEXT(WEEKNUM(Q420,21),"00")</f>
        <v>2026-S10</v>
      </c>
      <c r="B420" s="18" t="s">
        <v>72</v>
      </c>
      <c r="C420" s="19" t="n">
        <v>0.333333333333333</v>
      </c>
      <c r="D420" s="19" t="n">
        <v>0.333333333333333</v>
      </c>
      <c r="E420" s="19" t="n">
        <v>0.708333333333333</v>
      </c>
      <c r="F420" s="19" t="n">
        <v>0.708333333333333</v>
      </c>
      <c r="G420" s="20"/>
      <c r="H420" s="20"/>
      <c r="I420" s="8" t="str">
        <f aca="false">IF(IF(OR(C420="",D420="Congé",D420="OFF",D420="Congé spécial"),"",IF(D420&gt;F420,D420-C420,IF(C420-D420&lt;0,0,C420-D420)))&lt;0.00068287037037037,"",IF(OR(D420="Congé",D420="OFF",C420="",D420="Congé spécial"),"",IF(D420&gt;F420,D420-C420,IF(C420-D420&lt;0,0,C420-D420))))</f>
        <v/>
      </c>
      <c r="J420" s="20"/>
      <c r="K420" s="8" t="n">
        <f aca="false">IF(SUM(H420:J420)&lt;0.00068287037037037,0,SUM(H420:J420))</f>
        <v>0</v>
      </c>
      <c r="L420" s="8" t="n">
        <f aca="false">IF(OR(F420="Congé",F420="OFF",M420="Abs",F420="Congé sans solde",F420="Férié",F420="Congé spécial",D420="Congé spécial"),0,IF(F420-E420&lt;0,0,IF(F420-E420&lt;=0.00068287037037037,0,F420-E420)))</f>
        <v>0</v>
      </c>
      <c r="M420" s="6" t="n">
        <f aca="false">IF(AND(O420&lt;&gt;0,C420=""),"Abs",0)</f>
        <v>0</v>
      </c>
      <c r="N420" s="8" t="n">
        <f aca="false">IFERROR(IF(OR(D420="OFF",D420="Congé",M420="Abs",D420="Congé sans solde",D420="Férié"),"",IF(O420-K420-L420&gt;O420,O420,IF(O420-K420-L420&lt;0,"",O420-K420-L420))),"")</f>
        <v>0.375</v>
      </c>
      <c r="O420" s="8" t="n">
        <f aca="false">IF(AG420="2H Pause déjeuner",IF(F420-D420-0.0833333333333333&lt;0,F420-D420-0.0833333333333333+1,F420-D420-0.0833333333333333),IF(OR(AND(F420="OFF",D420="OFF"),AND(F420="Congé",D420="Congé"),AND(F420="Congé sans solde",D420="Congé sans solde"),AND(F420="Congé spécial",D420="Congé spécial"),AND(F420="Férié",D420="Férié"),AND(F420="OFF",D420="Congé"),AND(F420="OFF",D420="Congé sans solde"),AND(F420="OFF",D420="Congé spécial"),AND(F420="OFF",D420="Férié"),AND(F420="Congé",D420="OFF"),AND(F420="Congé",D420="Congé sans solde"),AND(F420="Congé",D420="Congé spécial"),AND(F420="Congé",D420="Férié"),AND(F420="Congé sans solde",D420="OFF"),AND(F420="Congé sans solde",D420="Congé"),AND(F420="Congé sans solde",D420="Congé spécial"),AND(F420="Congé sans solde",D420="Férié"),AND(F420="Congé spécial",D420="OFF"),AND(F420="Congé spécial",D420="Congé"),AND(F420="Congé spécial",D420="Congé sans solde"),AND(F420="Congé spécial",D420="Férié"),AND(F420="Férié",D420="OFF"),AND(F420="Férié",D420="Congé"),AND(F420="Férié",D420="Congé sans solde"),AND(F420="Férié",D420="Congé spécial")),0,IF(OR(F420="OFF",F420="Congé",F420="Congé spécial",F420="Congé sans solde",D420="OFF",D420="Congé",D420="Congé spécial",D420="Congé sans solde"),0.208333333333334,IF(AND(AG420="",F420-D420&lt;0),("24:00:00"-D420)+("00:00:00"+F420)-0.0416666666666667,IF(AND(OR(AG420="Allaitement",AG420="Sans déjeuner"),F420-D420&lt;0),("24:00:00"-D420)+("00:00:00"+F420),IF(AND(AG420="",F420-D420&gt;0.166666666666667),F420-D420-0.0416666666666667,IF(AND(OR(AG420="Allaitement",AG420="Sans déjeuner"),F420-D420&gt;0.166666666666667),F420-D420,F420-D420)))))))</f>
        <v>0.375</v>
      </c>
      <c r="P420" s="6" t="str">
        <f aca="false">IFERROR(VLOOKUP($B420,Agents!$A:$D,2,0),"-")</f>
        <v>Accessibilité</v>
      </c>
      <c r="Q420" s="21" t="n">
        <v>46086</v>
      </c>
      <c r="R420" s="8" t="n">
        <f aca="false">IF(M420="Abs",O420,0)</f>
        <v>0</v>
      </c>
      <c r="S420" s="8" t="n">
        <f aca="false">SUM(R420,L420,I420,J420,W420,H420)</f>
        <v>0</v>
      </c>
      <c r="T420" s="6" t="str">
        <f aca="false">"Sem - "&amp;WEEKNUM(Q420,21)</f>
        <v>Sem - 10</v>
      </c>
      <c r="U420" s="6" t="str">
        <f aca="false">CHOOSE(MONTH(Q420),"Janvier","Février","Mars","Avril","Mai","Juin","Juillet","Août","Septembre","Octobre","Novembre","Décembre")</f>
        <v>Mars</v>
      </c>
      <c r="V420" s="22" t="n">
        <f aca="false">YEAR(Q420)</f>
        <v>2026</v>
      </c>
      <c r="W420" s="20"/>
      <c r="X420" s="8" t="n">
        <f aca="false">IFERROR(IF(M420="Abs",0,IF(ROUND((D420-C420+E420-F420)*1440,0)&lt;=1,0,D420-C420+E420-F420)),0)</f>
        <v>0</v>
      </c>
      <c r="Y420" s="6" t="str">
        <f aca="false">IFERROR(VLOOKUP($B420,Agents!$A:$D,3,0),"-")</f>
        <v>OUBRAHIM Mohammed</v>
      </c>
      <c r="Z420" s="6" t="str">
        <f aca="false">IFERROR(VLOOKUP($B420,Agents!$A:$D,4,0),"-")</f>
        <v>Credit Mutuel</v>
      </c>
      <c r="AA420" s="18" t="s">
        <v>92</v>
      </c>
      <c r="AB420" s="8" t="str">
        <f aca="false">IF(AND(D420="Congé",F420="Congé"),0.333333333333333,IF(OR(AND(D420="Congé",F420&lt;&gt;"Congé"),(AND(F420="Congé",D420&lt;&gt;"Congé"))),0.166666666666667,""))</f>
        <v/>
      </c>
      <c r="AC420" s="8" t="str">
        <f aca="false">IF(AND(D420="Congé sans solde",F420="Congé sans solde"),0.333333333333333,IF(OR(AND(D420="Congé sans solde",F420&lt;&gt;"Congé sans solde"),(AND(F420="Congé sans solde",D420&lt;&gt;"Congé sans solde"))),0.166666666666667,""))</f>
        <v/>
      </c>
      <c r="AD420" s="8" t="str">
        <f aca="false">IF(AND(D420="Congé spécial",F420="Congé spécial"),0.333333333333333,IF(OR(AND(D420="Congé spécial",F420&lt;&gt;"Congé spécial"),AND(F420="Congé spécial",D420&lt;&gt;"Congé spécial")),0.166666666666667,""))</f>
        <v/>
      </c>
      <c r="AE420" s="8" t="str">
        <f aca="false">IF(AND(D420="Férié",F420="Férié"),0.333333333333333,IF(OR(AND(D420="Férié",F420&lt;&gt;"Férié"),(AND(F420="Férié",D420&lt;&gt;"Férié"))),0.166666666666667,""))</f>
        <v/>
      </c>
      <c r="AF420" s="18"/>
      <c r="AG420" s="18" t="s">
        <v>91</v>
      </c>
    </row>
    <row r="421" customFormat="false" ht="15" hidden="false" customHeight="false" outlineLevel="0" collapsed="false">
      <c r="A421" s="6" t="str">
        <f aca="false">YEAR(Q421-WEEKDAY(Q421,2)+4)&amp;"-S"&amp;TEXT(WEEKNUM(Q421,21),"00")</f>
        <v>2026-S10</v>
      </c>
      <c r="B421" s="18" t="s">
        <v>73</v>
      </c>
      <c r="C421" s="19" t="n">
        <v>0.333333333333333</v>
      </c>
      <c r="D421" s="19" t="n">
        <v>0.333333333333333</v>
      </c>
      <c r="E421" s="19" t="n">
        <v>0.708333333333333</v>
      </c>
      <c r="F421" s="19" t="n">
        <v>0.708333333333333</v>
      </c>
      <c r="G421" s="20"/>
      <c r="H421" s="20"/>
      <c r="I421" s="8" t="str">
        <f aca="false">IF(IF(OR(C421="",D421="Congé",D421="OFF",D421="Congé spécial"),"",IF(D421&gt;F421,D421-C421,IF(C421-D421&lt;0,0,C421-D421)))&lt;0.00068287037037037,"",IF(OR(D421="Congé",D421="OFF",C421="",D421="Congé spécial"),"",IF(D421&gt;F421,D421-C421,IF(C421-D421&lt;0,0,C421-D421))))</f>
        <v/>
      </c>
      <c r="J421" s="20"/>
      <c r="K421" s="8" t="n">
        <f aca="false">IF(SUM(H421:J421)&lt;0.00068287037037037,0,SUM(H421:J421))</f>
        <v>0</v>
      </c>
      <c r="L421" s="8" t="n">
        <f aca="false">IF(OR(F421="Congé",F421="OFF",M421="Abs",F421="Congé sans solde",F421="Férié",F421="Congé spécial",D421="Congé spécial"),0,IF(F421-E421&lt;0,0,IF(F421-E421&lt;=0.00068287037037037,0,F421-E421)))</f>
        <v>0</v>
      </c>
      <c r="M421" s="6" t="n">
        <f aca="false">IF(AND(O421&lt;&gt;0,C421=""),"Abs",0)</f>
        <v>0</v>
      </c>
      <c r="N421" s="8" t="n">
        <f aca="false">IFERROR(IF(OR(D421="OFF",D421="Congé",M421="Abs",D421="Congé sans solde",D421="Férié"),"",IF(O421-K421-L421&gt;O421,O421,IF(O421-K421-L421&lt;0,"",O421-K421-L421))),"")</f>
        <v>0.375</v>
      </c>
      <c r="O421" s="8" t="n">
        <f aca="false">IF(AG421="2H Pause déjeuner",IF(F421-D421-0.0833333333333333&lt;0,F421-D421-0.0833333333333333+1,F421-D421-0.0833333333333333),IF(OR(AND(F421="OFF",D421="OFF"),AND(F421="Congé",D421="Congé"),AND(F421="Congé sans solde",D421="Congé sans solde"),AND(F421="Congé spécial",D421="Congé spécial"),AND(F421="Férié",D421="Férié"),AND(F421="OFF",D421="Congé"),AND(F421="OFF",D421="Congé sans solde"),AND(F421="OFF",D421="Congé spécial"),AND(F421="OFF",D421="Férié"),AND(F421="Congé",D421="OFF"),AND(F421="Congé",D421="Congé sans solde"),AND(F421="Congé",D421="Congé spécial"),AND(F421="Congé",D421="Férié"),AND(F421="Congé sans solde",D421="OFF"),AND(F421="Congé sans solde",D421="Congé"),AND(F421="Congé sans solde",D421="Congé spécial"),AND(F421="Congé sans solde",D421="Férié"),AND(F421="Congé spécial",D421="OFF"),AND(F421="Congé spécial",D421="Congé"),AND(F421="Congé spécial",D421="Congé sans solde"),AND(F421="Congé spécial",D421="Férié"),AND(F421="Férié",D421="OFF"),AND(F421="Férié",D421="Congé"),AND(F421="Férié",D421="Congé sans solde"),AND(F421="Férié",D421="Congé spécial")),0,IF(OR(F421="OFF",F421="Congé",F421="Congé spécial",F421="Congé sans solde",D421="OFF",D421="Congé",D421="Congé spécial",D421="Congé sans solde"),0.208333333333334,IF(AND(AG421="",F421-D421&lt;0),("24:00:00"-D421)+("00:00:00"+F421)-0.0416666666666667,IF(AND(OR(AG421="Allaitement",AG421="Sans déjeuner"),F421-D421&lt;0),("24:00:00"-D421)+("00:00:00"+F421),IF(AND(AG421="",F421-D421&gt;0.166666666666667),F421-D421-0.0416666666666667,IF(AND(OR(AG421="Allaitement",AG421="Sans déjeuner"),F421-D421&gt;0.166666666666667),F421-D421,F421-D421)))))))</f>
        <v>0.375</v>
      </c>
      <c r="P421" s="6" t="str">
        <f aca="false">IFERROR(VLOOKUP($B421,Agents!$A:$D,2,0),"-")</f>
        <v>Accessibilité</v>
      </c>
      <c r="Q421" s="21" t="n">
        <v>46086</v>
      </c>
      <c r="R421" s="8" t="n">
        <f aca="false">IF(M421="Abs",O421,0)</f>
        <v>0</v>
      </c>
      <c r="S421" s="8" t="n">
        <f aca="false">SUM(R421,L421,I421,J421,W421,H421)</f>
        <v>0</v>
      </c>
      <c r="T421" s="6" t="str">
        <f aca="false">"Sem - "&amp;WEEKNUM(Q421,21)</f>
        <v>Sem - 10</v>
      </c>
      <c r="U421" s="6" t="str">
        <f aca="false">CHOOSE(MONTH(Q421),"Janvier","Février","Mars","Avril","Mai","Juin","Juillet","Août","Septembre","Octobre","Novembre","Décembre")</f>
        <v>Mars</v>
      </c>
      <c r="V421" s="22" t="n">
        <f aca="false">YEAR(Q421)</f>
        <v>2026</v>
      </c>
      <c r="W421" s="20"/>
      <c r="X421" s="8" t="n">
        <f aca="false">IFERROR(IF(M421="Abs",0,IF(ROUND((D421-C421+E421-F421)*1440,0)&lt;=1,0,D421-C421+E421-F421)),0)</f>
        <v>0</v>
      </c>
      <c r="Y421" s="6" t="str">
        <f aca="false">IFERROR(VLOOKUP($B421,Agents!$A:$D,3,0),"-")</f>
        <v>OUBRAHIM Mohammed</v>
      </c>
      <c r="Z421" s="6" t="str">
        <f aca="false">IFERROR(VLOOKUP($B421,Agents!$A:$D,4,0),"-")</f>
        <v>Credit Mutuel</v>
      </c>
      <c r="AA421" s="18" t="s">
        <v>92</v>
      </c>
      <c r="AB421" s="8" t="str">
        <f aca="false">IF(AND(D421="Congé",F421="Congé"),0.333333333333333,IF(OR(AND(D421="Congé",F421&lt;&gt;"Congé"),(AND(F421="Congé",D421&lt;&gt;"Congé"))),0.166666666666667,""))</f>
        <v/>
      </c>
      <c r="AC421" s="8" t="str">
        <f aca="false">IF(AND(D421="Congé sans solde",F421="Congé sans solde"),0.333333333333333,IF(OR(AND(D421="Congé sans solde",F421&lt;&gt;"Congé sans solde"),(AND(F421="Congé sans solde",D421&lt;&gt;"Congé sans solde"))),0.166666666666667,""))</f>
        <v/>
      </c>
      <c r="AD421" s="8" t="str">
        <f aca="false">IF(AND(D421="Congé spécial",F421="Congé spécial"),0.333333333333333,IF(OR(AND(D421="Congé spécial",F421&lt;&gt;"Congé spécial"),AND(F421="Congé spécial",D421&lt;&gt;"Congé spécial")),0.166666666666667,""))</f>
        <v/>
      </c>
      <c r="AE421" s="8" t="str">
        <f aca="false">IF(AND(D421="Férié",F421="Férié"),0.333333333333333,IF(OR(AND(D421="Férié",F421&lt;&gt;"Férié"),(AND(F421="Férié",D421&lt;&gt;"Férié"))),0.166666666666667,""))</f>
        <v/>
      </c>
      <c r="AF421" s="18"/>
      <c r="AG421" s="18" t="s">
        <v>91</v>
      </c>
    </row>
    <row r="422" customFormat="false" ht="15" hidden="false" customHeight="false" outlineLevel="0" collapsed="false">
      <c r="A422" s="6" t="str">
        <f aca="false">YEAR(Q422-WEEKDAY(Q422,2)+4)&amp;"-S"&amp;TEXT(WEEKNUM(Q422,21),"00")</f>
        <v>2026-S10</v>
      </c>
      <c r="B422" s="18" t="s">
        <v>69</v>
      </c>
      <c r="C422" s="19" t="n">
        <v>0.333333333333333</v>
      </c>
      <c r="D422" s="19" t="n">
        <v>0.333333333333333</v>
      </c>
      <c r="E422" s="19" t="n">
        <v>0.666666666666667</v>
      </c>
      <c r="F422" s="19" t="n">
        <v>0.666666666666667</v>
      </c>
      <c r="G422" s="20"/>
      <c r="H422" s="20"/>
      <c r="I422" s="8" t="str">
        <f aca="false">IF(IF(OR(C422="",D422="Congé",D422="OFF",D422="Congé spécial"),"",IF(D422&gt;F422,D422-C422,IF(C422-D422&lt;0,0,C422-D422)))&lt;0.00068287037037037,"",IF(OR(D422="Congé",D422="OFF",C422="",D422="Congé spécial"),"",IF(D422&gt;F422,D422-C422,IF(C422-D422&lt;0,0,C422-D422))))</f>
        <v/>
      </c>
      <c r="J422" s="20"/>
      <c r="K422" s="8" t="n">
        <f aca="false">IF(SUM(H422:J422)&lt;0.00068287037037037,0,SUM(H422:J422))</f>
        <v>0</v>
      </c>
      <c r="L422" s="8" t="n">
        <f aca="false">IF(OR(F422="Congé",F422="OFF",M422="Abs",F422="Congé sans solde",F422="Férié",F422="Congé spécial",D422="Congé spécial"),0,IF(F422-E422&lt;0,0,IF(F422-E422&lt;=0.00068287037037037,0,F422-E422)))</f>
        <v>0</v>
      </c>
      <c r="M422" s="6" t="n">
        <f aca="false">IF(AND(O422&lt;&gt;0,C422=""),"Abs",0)</f>
        <v>0</v>
      </c>
      <c r="N422" s="8" t="n">
        <f aca="false">IFERROR(IF(OR(D422="OFF",D422="Congé",M422="Abs",D422="Congé sans solde",D422="Férié"),"",IF(O422-K422-L422&gt;O422,O422,IF(O422-K422-L422&lt;0,"",O422-K422-L422))),"")</f>
        <v>0.333333333333333</v>
      </c>
      <c r="O422" s="8" t="n">
        <f aca="false">IF(AG422="2H Pause déjeuner",IF(F422-D422-0.0833333333333333&lt;0,F422-D422-0.0833333333333333+1,F422-D422-0.0833333333333333),IF(OR(AND(F422="OFF",D422="OFF"),AND(F422="Congé",D422="Congé"),AND(F422="Congé sans solde",D422="Congé sans solde"),AND(F422="Congé spécial",D422="Congé spécial"),AND(F422="Férié",D422="Férié"),AND(F422="OFF",D422="Congé"),AND(F422="OFF",D422="Congé sans solde"),AND(F422="OFF",D422="Congé spécial"),AND(F422="OFF",D422="Férié"),AND(F422="Congé",D422="OFF"),AND(F422="Congé",D422="Congé sans solde"),AND(F422="Congé",D422="Congé spécial"),AND(F422="Congé",D422="Férié"),AND(F422="Congé sans solde",D422="OFF"),AND(F422="Congé sans solde",D422="Congé"),AND(F422="Congé sans solde",D422="Congé spécial"),AND(F422="Congé sans solde",D422="Férié"),AND(F422="Congé spécial",D422="OFF"),AND(F422="Congé spécial",D422="Congé"),AND(F422="Congé spécial",D422="Congé sans solde"),AND(F422="Congé spécial",D422="Férié"),AND(F422="Férié",D422="OFF"),AND(F422="Férié",D422="Congé"),AND(F422="Férié",D422="Congé sans solde"),AND(F422="Férié",D422="Congé spécial")),0,IF(OR(F422="OFF",F422="Congé",F422="Congé spécial",F422="Congé sans solde",D422="OFF",D422="Congé",D422="Congé spécial",D422="Congé sans solde"),0.208333333333334,IF(AND(AG422="",F422-D422&lt;0),("24:00:00"-D422)+("00:00:00"+F422)-0.0416666666666667,IF(AND(OR(AG422="Allaitement",AG422="Sans déjeuner"),F422-D422&lt;0),("24:00:00"-D422)+("00:00:00"+F422),IF(AND(AG422="",F422-D422&gt;0.166666666666667),F422-D422-0.0416666666666667,IF(AND(OR(AG422="Allaitement",AG422="Sans déjeuner"),F422-D422&gt;0.166666666666667),F422-D422,F422-D422)))))))</f>
        <v>0.333333333333333</v>
      </c>
      <c r="P422" s="6" t="str">
        <f aca="false">IFERROR(VLOOKUP($B422,Agents!$A:$D,2,0),"-")</f>
        <v>Accessibilité</v>
      </c>
      <c r="Q422" s="21" t="n">
        <v>46087</v>
      </c>
      <c r="R422" s="8" t="n">
        <f aca="false">IF(M422="Abs",O422,0)</f>
        <v>0</v>
      </c>
      <c r="S422" s="8" t="n">
        <f aca="false">SUM(R422,L422,I422,J422,W422,H422)</f>
        <v>0</v>
      </c>
      <c r="T422" s="6" t="str">
        <f aca="false">"Sem - "&amp;WEEKNUM(Q422,21)</f>
        <v>Sem - 10</v>
      </c>
      <c r="U422" s="6" t="str">
        <f aca="false">CHOOSE(MONTH(Q422),"Janvier","Février","Mars","Avril","Mai","Juin","Juillet","Août","Septembre","Octobre","Novembre","Décembre")</f>
        <v>Mars</v>
      </c>
      <c r="V422" s="22" t="n">
        <f aca="false">YEAR(Q422)</f>
        <v>2026</v>
      </c>
      <c r="W422" s="20"/>
      <c r="X422" s="8" t="n">
        <f aca="false">IFERROR(IF(M422="Abs",0,IF(ROUND((D422-C422+E422-F422)*1440,0)&lt;=1,0,D422-C422+E422-F422)),0)</f>
        <v>0</v>
      </c>
      <c r="Y422" s="6" t="str">
        <f aca="false">IFERROR(VLOOKUP($B422,Agents!$A:$D,3,0),"-")</f>
        <v>OUBRAHIM Mohammed</v>
      </c>
      <c r="Z422" s="6" t="str">
        <f aca="false">IFERROR(VLOOKUP($B422,Agents!$A:$D,4,0),"-")</f>
        <v>Credit Mutuel</v>
      </c>
      <c r="AA422" s="18" t="s">
        <v>92</v>
      </c>
      <c r="AB422" s="8" t="str">
        <f aca="false">IF(AND(D422="Congé",F422="Congé"),0.333333333333333,IF(OR(AND(D422="Congé",F422&lt;&gt;"Congé"),(AND(F422="Congé",D422&lt;&gt;"Congé"))),0.166666666666667,""))</f>
        <v/>
      </c>
      <c r="AC422" s="8" t="str">
        <f aca="false">IF(AND(D422="Congé sans solde",F422="Congé sans solde"),0.333333333333333,IF(OR(AND(D422="Congé sans solde",F422&lt;&gt;"Congé sans solde"),(AND(F422="Congé sans solde",D422&lt;&gt;"Congé sans solde"))),0.166666666666667,""))</f>
        <v/>
      </c>
      <c r="AD422" s="8" t="str">
        <f aca="false">IF(AND(D422="Congé spécial",F422="Congé spécial"),0.333333333333333,IF(OR(AND(D422="Congé spécial",F422&lt;&gt;"Congé spécial"),AND(F422="Congé spécial",D422&lt;&gt;"Congé spécial")),0.166666666666667,""))</f>
        <v/>
      </c>
      <c r="AE422" s="8" t="str">
        <f aca="false">IF(AND(D422="Férié",F422="Férié"),0.333333333333333,IF(OR(AND(D422="Férié",F422&lt;&gt;"Férié"),(AND(F422="Férié",D422&lt;&gt;"Férié"))),0.166666666666667,""))</f>
        <v/>
      </c>
      <c r="AF422" s="18"/>
      <c r="AG422" s="18" t="s">
        <v>91</v>
      </c>
    </row>
    <row r="423" customFormat="false" ht="15" hidden="false" customHeight="false" outlineLevel="0" collapsed="false">
      <c r="A423" s="6" t="str">
        <f aca="false">YEAR(Q423-WEEKDAY(Q423,2)+4)&amp;"-S"&amp;TEXT(WEEKNUM(Q423,21),"00")</f>
        <v>2026-S10</v>
      </c>
      <c r="B423" s="18" t="s">
        <v>71</v>
      </c>
      <c r="C423" s="19" t="n">
        <v>0.333333333333333</v>
      </c>
      <c r="D423" s="19" t="n">
        <v>0.333333333333333</v>
      </c>
      <c r="E423" s="19" t="n">
        <v>0.666666666666667</v>
      </c>
      <c r="F423" s="19" t="n">
        <v>0.666666666666667</v>
      </c>
      <c r="G423" s="20"/>
      <c r="H423" s="20"/>
      <c r="I423" s="8" t="str">
        <f aca="false">IF(IF(OR(C423="",D423="Congé",D423="OFF",D423="Congé spécial"),"",IF(D423&gt;F423,D423-C423,IF(C423-D423&lt;0,0,C423-D423)))&lt;0.00068287037037037,"",IF(OR(D423="Congé",D423="OFF",C423="",D423="Congé spécial"),"",IF(D423&gt;F423,D423-C423,IF(C423-D423&lt;0,0,C423-D423))))</f>
        <v/>
      </c>
      <c r="J423" s="20"/>
      <c r="K423" s="8" t="n">
        <f aca="false">IF(SUM(H423:J423)&lt;0.00068287037037037,0,SUM(H423:J423))</f>
        <v>0</v>
      </c>
      <c r="L423" s="8" t="n">
        <f aca="false">IF(OR(F423="Congé",F423="OFF",M423="Abs",F423="Congé sans solde",F423="Férié",F423="Congé spécial",D423="Congé spécial"),0,IF(F423-E423&lt;0,0,IF(F423-E423&lt;=0.00068287037037037,0,F423-E423)))</f>
        <v>0</v>
      </c>
      <c r="M423" s="6" t="n">
        <f aca="false">IF(AND(O423&lt;&gt;0,C423=""),"Abs",0)</f>
        <v>0</v>
      </c>
      <c r="N423" s="8" t="n">
        <f aca="false">IFERROR(IF(OR(D423="OFF",D423="Congé",M423="Abs",D423="Congé sans solde",D423="Férié"),"",IF(O423-K423-L423&gt;O423,O423,IF(O423-K423-L423&lt;0,"",O423-K423-L423))),"")</f>
        <v>0.333333333333333</v>
      </c>
      <c r="O423" s="8" t="n">
        <f aca="false">IF(AG423="2H Pause déjeuner",IF(F423-D423-0.0833333333333333&lt;0,F423-D423-0.0833333333333333+1,F423-D423-0.0833333333333333),IF(OR(AND(F423="OFF",D423="OFF"),AND(F423="Congé",D423="Congé"),AND(F423="Congé sans solde",D423="Congé sans solde"),AND(F423="Congé spécial",D423="Congé spécial"),AND(F423="Férié",D423="Férié"),AND(F423="OFF",D423="Congé"),AND(F423="OFF",D423="Congé sans solde"),AND(F423="OFF",D423="Congé spécial"),AND(F423="OFF",D423="Férié"),AND(F423="Congé",D423="OFF"),AND(F423="Congé",D423="Congé sans solde"),AND(F423="Congé",D423="Congé spécial"),AND(F423="Congé",D423="Férié"),AND(F423="Congé sans solde",D423="OFF"),AND(F423="Congé sans solde",D423="Congé"),AND(F423="Congé sans solde",D423="Congé spécial"),AND(F423="Congé sans solde",D423="Férié"),AND(F423="Congé spécial",D423="OFF"),AND(F423="Congé spécial",D423="Congé"),AND(F423="Congé spécial",D423="Congé sans solde"),AND(F423="Congé spécial",D423="Férié"),AND(F423="Férié",D423="OFF"),AND(F423="Férié",D423="Congé"),AND(F423="Férié",D423="Congé sans solde"),AND(F423="Férié",D423="Congé spécial")),0,IF(OR(F423="OFF",F423="Congé",F423="Congé spécial",F423="Congé sans solde",D423="OFF",D423="Congé",D423="Congé spécial",D423="Congé sans solde"),0.208333333333334,IF(AND(AG423="",F423-D423&lt;0),("24:00:00"-D423)+("00:00:00"+F423)-0.0416666666666667,IF(AND(OR(AG423="Allaitement",AG423="Sans déjeuner"),F423-D423&lt;0),("24:00:00"-D423)+("00:00:00"+F423),IF(AND(AG423="",F423-D423&gt;0.166666666666667),F423-D423-0.0416666666666667,IF(AND(OR(AG423="Allaitement",AG423="Sans déjeuner"),F423-D423&gt;0.166666666666667),F423-D423,F423-D423)))))))</f>
        <v>0.333333333333333</v>
      </c>
      <c r="P423" s="6" t="str">
        <f aca="false">IFERROR(VLOOKUP($B423,Agents!$A:$D,2,0),"-")</f>
        <v>Accessibilité</v>
      </c>
      <c r="Q423" s="21" t="n">
        <v>46087</v>
      </c>
      <c r="R423" s="8" t="n">
        <f aca="false">IF(M423="Abs",O423,0)</f>
        <v>0</v>
      </c>
      <c r="S423" s="8" t="n">
        <f aca="false">SUM(R423,L423,I423,J423,W423,H423)</f>
        <v>0</v>
      </c>
      <c r="T423" s="6" t="str">
        <f aca="false">"Sem - "&amp;WEEKNUM(Q423,21)</f>
        <v>Sem - 10</v>
      </c>
      <c r="U423" s="6" t="str">
        <f aca="false">CHOOSE(MONTH(Q423),"Janvier","Février","Mars","Avril","Mai","Juin","Juillet","Août","Septembre","Octobre","Novembre","Décembre")</f>
        <v>Mars</v>
      </c>
      <c r="V423" s="22" t="n">
        <f aca="false">YEAR(Q423)</f>
        <v>2026</v>
      </c>
      <c r="W423" s="20"/>
      <c r="X423" s="8" t="n">
        <f aca="false">IFERROR(IF(M423="Abs",0,IF(ROUND((D423-C423+E423-F423)*1440,0)&lt;=1,0,D423-C423+E423-F423)),0)</f>
        <v>0</v>
      </c>
      <c r="Y423" s="6" t="str">
        <f aca="false">IFERROR(VLOOKUP($B423,Agents!$A:$D,3,0),"-")</f>
        <v>OUBRAHIM Mohammed</v>
      </c>
      <c r="Z423" s="6" t="str">
        <f aca="false">IFERROR(VLOOKUP($B423,Agents!$A:$D,4,0),"-")</f>
        <v>Credit Mutuel</v>
      </c>
      <c r="AA423" s="18" t="s">
        <v>92</v>
      </c>
      <c r="AB423" s="8" t="str">
        <f aca="false">IF(AND(D423="Congé",F423="Congé"),0.333333333333333,IF(OR(AND(D423="Congé",F423&lt;&gt;"Congé"),(AND(F423="Congé",D423&lt;&gt;"Congé"))),0.166666666666667,""))</f>
        <v/>
      </c>
      <c r="AC423" s="8" t="str">
        <f aca="false">IF(AND(D423="Congé sans solde",F423="Congé sans solde"),0.333333333333333,IF(OR(AND(D423="Congé sans solde",F423&lt;&gt;"Congé sans solde"),(AND(F423="Congé sans solde",D423&lt;&gt;"Congé sans solde"))),0.166666666666667,""))</f>
        <v/>
      </c>
      <c r="AD423" s="8" t="str">
        <f aca="false">IF(AND(D423="Congé spécial",F423="Congé spécial"),0.333333333333333,IF(OR(AND(D423="Congé spécial",F423&lt;&gt;"Congé spécial"),AND(F423="Congé spécial",D423&lt;&gt;"Congé spécial")),0.166666666666667,""))</f>
        <v/>
      </c>
      <c r="AE423" s="8" t="str">
        <f aca="false">IF(AND(D423="Férié",F423="Férié"),0.333333333333333,IF(OR(AND(D423="Férié",F423&lt;&gt;"Férié"),(AND(F423="Férié",D423&lt;&gt;"Férié"))),0.166666666666667,""))</f>
        <v/>
      </c>
      <c r="AF423" s="18"/>
      <c r="AG423" s="18" t="s">
        <v>91</v>
      </c>
    </row>
    <row r="424" customFormat="false" ht="15" hidden="false" customHeight="false" outlineLevel="0" collapsed="false">
      <c r="A424" s="6" t="str">
        <f aca="false">YEAR(Q424-WEEKDAY(Q424,2)+4)&amp;"-S"&amp;TEXT(WEEKNUM(Q424,21),"00")</f>
        <v>2026-S10</v>
      </c>
      <c r="B424" s="18" t="s">
        <v>72</v>
      </c>
      <c r="C424" s="19" t="n">
        <v>0.333333333333333</v>
      </c>
      <c r="D424" s="19" t="n">
        <v>0.333333333333333</v>
      </c>
      <c r="E424" s="19" t="n">
        <v>0.666666666666667</v>
      </c>
      <c r="F424" s="19" t="n">
        <v>0.666666666666667</v>
      </c>
      <c r="G424" s="20"/>
      <c r="H424" s="20"/>
      <c r="I424" s="8" t="str">
        <f aca="false">IF(IF(OR(C424="",D424="Congé",D424="OFF",D424="Congé spécial"),"",IF(D424&gt;F424,D424-C424,IF(C424-D424&lt;0,0,C424-D424)))&lt;0.00068287037037037,"",IF(OR(D424="Congé",D424="OFF",C424="",D424="Congé spécial"),"",IF(D424&gt;F424,D424-C424,IF(C424-D424&lt;0,0,C424-D424))))</f>
        <v/>
      </c>
      <c r="J424" s="20"/>
      <c r="K424" s="8" t="n">
        <f aca="false">IF(SUM(H424:J424)&lt;0.00068287037037037,0,SUM(H424:J424))</f>
        <v>0</v>
      </c>
      <c r="L424" s="8" t="n">
        <f aca="false">IF(OR(F424="Congé",F424="OFF",M424="Abs",F424="Congé sans solde",F424="Férié",F424="Congé spécial",D424="Congé spécial"),0,IF(F424-E424&lt;0,0,IF(F424-E424&lt;=0.00068287037037037,0,F424-E424)))</f>
        <v>0</v>
      </c>
      <c r="M424" s="6" t="n">
        <f aca="false">IF(AND(O424&lt;&gt;0,C424=""),"Abs",0)</f>
        <v>0</v>
      </c>
      <c r="N424" s="8" t="n">
        <f aca="false">IFERROR(IF(OR(D424="OFF",D424="Congé",M424="Abs",D424="Congé sans solde",D424="Férié"),"",IF(O424-K424-L424&gt;O424,O424,IF(O424-K424-L424&lt;0,"",O424-K424-L424))),"")</f>
        <v>0.333333333333333</v>
      </c>
      <c r="O424" s="8" t="n">
        <f aca="false">IF(AG424="2H Pause déjeuner",IF(F424-D424-0.0833333333333333&lt;0,F424-D424-0.0833333333333333+1,F424-D424-0.0833333333333333),IF(OR(AND(F424="OFF",D424="OFF"),AND(F424="Congé",D424="Congé"),AND(F424="Congé sans solde",D424="Congé sans solde"),AND(F424="Congé spécial",D424="Congé spécial"),AND(F424="Férié",D424="Férié"),AND(F424="OFF",D424="Congé"),AND(F424="OFF",D424="Congé sans solde"),AND(F424="OFF",D424="Congé spécial"),AND(F424="OFF",D424="Férié"),AND(F424="Congé",D424="OFF"),AND(F424="Congé",D424="Congé sans solde"),AND(F424="Congé",D424="Congé spécial"),AND(F424="Congé",D424="Férié"),AND(F424="Congé sans solde",D424="OFF"),AND(F424="Congé sans solde",D424="Congé"),AND(F424="Congé sans solde",D424="Congé spécial"),AND(F424="Congé sans solde",D424="Férié"),AND(F424="Congé spécial",D424="OFF"),AND(F424="Congé spécial",D424="Congé"),AND(F424="Congé spécial",D424="Congé sans solde"),AND(F424="Congé spécial",D424="Férié"),AND(F424="Férié",D424="OFF"),AND(F424="Férié",D424="Congé"),AND(F424="Férié",D424="Congé sans solde"),AND(F424="Férié",D424="Congé spécial")),0,IF(OR(F424="OFF",F424="Congé",F424="Congé spécial",F424="Congé sans solde",D424="OFF",D424="Congé",D424="Congé spécial",D424="Congé sans solde"),0.208333333333334,IF(AND(AG424="",F424-D424&lt;0),("24:00:00"-D424)+("00:00:00"+F424)-0.0416666666666667,IF(AND(OR(AG424="Allaitement",AG424="Sans déjeuner"),F424-D424&lt;0),("24:00:00"-D424)+("00:00:00"+F424),IF(AND(AG424="",F424-D424&gt;0.166666666666667),F424-D424-0.0416666666666667,IF(AND(OR(AG424="Allaitement",AG424="Sans déjeuner"),F424-D424&gt;0.166666666666667),F424-D424,F424-D424)))))))</f>
        <v>0.333333333333333</v>
      </c>
      <c r="P424" s="6" t="str">
        <f aca="false">IFERROR(VLOOKUP($B424,Agents!$A:$D,2,0),"-")</f>
        <v>Accessibilité</v>
      </c>
      <c r="Q424" s="21" t="n">
        <v>46087</v>
      </c>
      <c r="R424" s="8" t="n">
        <f aca="false">IF(M424="Abs",O424,0)</f>
        <v>0</v>
      </c>
      <c r="S424" s="8" t="n">
        <f aca="false">SUM(R424,L424,I424,J424,W424,H424)</f>
        <v>0</v>
      </c>
      <c r="T424" s="6" t="str">
        <f aca="false">"Sem - "&amp;WEEKNUM(Q424,21)</f>
        <v>Sem - 10</v>
      </c>
      <c r="U424" s="6" t="str">
        <f aca="false">CHOOSE(MONTH(Q424),"Janvier","Février","Mars","Avril","Mai","Juin","Juillet","Août","Septembre","Octobre","Novembre","Décembre")</f>
        <v>Mars</v>
      </c>
      <c r="V424" s="22" t="n">
        <f aca="false">YEAR(Q424)</f>
        <v>2026</v>
      </c>
      <c r="W424" s="20"/>
      <c r="X424" s="8" t="n">
        <f aca="false">IFERROR(IF(M424="Abs",0,IF(ROUND((D424-C424+E424-F424)*1440,0)&lt;=1,0,D424-C424+E424-F424)),0)</f>
        <v>0</v>
      </c>
      <c r="Y424" s="6" t="str">
        <f aca="false">IFERROR(VLOOKUP($B424,Agents!$A:$D,3,0),"-")</f>
        <v>OUBRAHIM Mohammed</v>
      </c>
      <c r="Z424" s="6" t="str">
        <f aca="false">IFERROR(VLOOKUP($B424,Agents!$A:$D,4,0),"-")</f>
        <v>Credit Mutuel</v>
      </c>
      <c r="AA424" s="18" t="s">
        <v>92</v>
      </c>
      <c r="AB424" s="8" t="str">
        <f aca="false">IF(AND(D424="Congé",F424="Congé"),0.333333333333333,IF(OR(AND(D424="Congé",F424&lt;&gt;"Congé"),(AND(F424="Congé",D424&lt;&gt;"Congé"))),0.166666666666667,""))</f>
        <v/>
      </c>
      <c r="AC424" s="8" t="str">
        <f aca="false">IF(AND(D424="Congé sans solde",F424="Congé sans solde"),0.333333333333333,IF(OR(AND(D424="Congé sans solde",F424&lt;&gt;"Congé sans solde"),(AND(F424="Congé sans solde",D424&lt;&gt;"Congé sans solde"))),0.166666666666667,""))</f>
        <v/>
      </c>
      <c r="AD424" s="8" t="str">
        <f aca="false">IF(AND(D424="Congé spécial",F424="Congé spécial"),0.333333333333333,IF(OR(AND(D424="Congé spécial",F424&lt;&gt;"Congé spécial"),AND(F424="Congé spécial",D424&lt;&gt;"Congé spécial")),0.166666666666667,""))</f>
        <v/>
      </c>
      <c r="AE424" s="8" t="str">
        <f aca="false">IF(AND(D424="Férié",F424="Férié"),0.333333333333333,IF(OR(AND(D424="Férié",F424&lt;&gt;"Férié"),(AND(F424="Férié",D424&lt;&gt;"Férié"))),0.166666666666667,""))</f>
        <v/>
      </c>
      <c r="AF424" s="18"/>
      <c r="AG424" s="18" t="s">
        <v>91</v>
      </c>
    </row>
    <row r="425" customFormat="false" ht="15" hidden="false" customHeight="false" outlineLevel="0" collapsed="false">
      <c r="A425" s="6" t="str">
        <f aca="false">YEAR(Q425-WEEKDAY(Q425,2)+4)&amp;"-S"&amp;TEXT(WEEKNUM(Q425,21),"00")</f>
        <v>2026-S10</v>
      </c>
      <c r="B425" s="18" t="s">
        <v>73</v>
      </c>
      <c r="C425" s="19" t="n">
        <v>0.333333333333333</v>
      </c>
      <c r="D425" s="19" t="n">
        <v>0.333333333333333</v>
      </c>
      <c r="E425" s="19" t="n">
        <v>0.666666666666667</v>
      </c>
      <c r="F425" s="19" t="n">
        <v>0.666666666666667</v>
      </c>
      <c r="G425" s="20"/>
      <c r="H425" s="20"/>
      <c r="I425" s="8" t="str">
        <f aca="false">IF(IF(OR(C425="",D425="Congé",D425="OFF",D425="Congé spécial"),"",IF(D425&gt;F425,D425-C425,IF(C425-D425&lt;0,0,C425-D425)))&lt;0.00068287037037037,"",IF(OR(D425="Congé",D425="OFF",C425="",D425="Congé spécial"),"",IF(D425&gt;F425,D425-C425,IF(C425-D425&lt;0,0,C425-D425))))</f>
        <v/>
      </c>
      <c r="J425" s="20"/>
      <c r="K425" s="8" t="n">
        <f aca="false">IF(SUM(H425:J425)&lt;0.00068287037037037,0,SUM(H425:J425))</f>
        <v>0</v>
      </c>
      <c r="L425" s="8" t="n">
        <f aca="false">IF(OR(F425="Congé",F425="OFF",M425="Abs",F425="Congé sans solde",F425="Férié",F425="Congé spécial",D425="Congé spécial"),0,IF(F425-E425&lt;0,0,IF(F425-E425&lt;=0.00068287037037037,0,F425-E425)))</f>
        <v>0</v>
      </c>
      <c r="M425" s="6" t="n">
        <f aca="false">IF(AND(O425&lt;&gt;0,C425=""),"Abs",0)</f>
        <v>0</v>
      </c>
      <c r="N425" s="8" t="n">
        <f aca="false">IFERROR(IF(OR(D425="OFF",D425="Congé",M425="Abs",D425="Congé sans solde",D425="Férié"),"",IF(O425-K425-L425&gt;O425,O425,IF(O425-K425-L425&lt;0,"",O425-K425-L425))),"")</f>
        <v>0.333333333333333</v>
      </c>
      <c r="O425" s="8" t="n">
        <f aca="false">IF(AG425="2H Pause déjeuner",IF(F425-D425-0.0833333333333333&lt;0,F425-D425-0.0833333333333333+1,F425-D425-0.0833333333333333),IF(OR(AND(F425="OFF",D425="OFF"),AND(F425="Congé",D425="Congé"),AND(F425="Congé sans solde",D425="Congé sans solde"),AND(F425="Congé spécial",D425="Congé spécial"),AND(F425="Férié",D425="Férié"),AND(F425="OFF",D425="Congé"),AND(F425="OFF",D425="Congé sans solde"),AND(F425="OFF",D425="Congé spécial"),AND(F425="OFF",D425="Férié"),AND(F425="Congé",D425="OFF"),AND(F425="Congé",D425="Congé sans solde"),AND(F425="Congé",D425="Congé spécial"),AND(F425="Congé",D425="Férié"),AND(F425="Congé sans solde",D425="OFF"),AND(F425="Congé sans solde",D425="Congé"),AND(F425="Congé sans solde",D425="Congé spécial"),AND(F425="Congé sans solde",D425="Férié"),AND(F425="Congé spécial",D425="OFF"),AND(F425="Congé spécial",D425="Congé"),AND(F425="Congé spécial",D425="Congé sans solde"),AND(F425="Congé spécial",D425="Férié"),AND(F425="Férié",D425="OFF"),AND(F425="Férié",D425="Congé"),AND(F425="Férié",D425="Congé sans solde"),AND(F425="Férié",D425="Congé spécial")),0,IF(OR(F425="OFF",F425="Congé",F425="Congé spécial",F425="Congé sans solde",D425="OFF",D425="Congé",D425="Congé spécial",D425="Congé sans solde"),0.208333333333334,IF(AND(AG425="",F425-D425&lt;0),("24:00:00"-D425)+("00:00:00"+F425)-0.0416666666666667,IF(AND(OR(AG425="Allaitement",AG425="Sans déjeuner"),F425-D425&lt;0),("24:00:00"-D425)+("00:00:00"+F425),IF(AND(AG425="",F425-D425&gt;0.166666666666667),F425-D425-0.0416666666666667,IF(AND(OR(AG425="Allaitement",AG425="Sans déjeuner"),F425-D425&gt;0.166666666666667),F425-D425,F425-D425)))))))</f>
        <v>0.333333333333333</v>
      </c>
      <c r="P425" s="6" t="str">
        <f aca="false">IFERROR(VLOOKUP($B425,Agents!$A:$D,2,0),"-")</f>
        <v>Accessibilité</v>
      </c>
      <c r="Q425" s="21" t="n">
        <v>46087</v>
      </c>
      <c r="R425" s="8" t="n">
        <f aca="false">IF(M425="Abs",O425,0)</f>
        <v>0</v>
      </c>
      <c r="S425" s="8" t="n">
        <f aca="false">SUM(R425,L425,I425,J425,W425,H425)</f>
        <v>0</v>
      </c>
      <c r="T425" s="6" t="str">
        <f aca="false">"Sem - "&amp;WEEKNUM(Q425,21)</f>
        <v>Sem - 10</v>
      </c>
      <c r="U425" s="6" t="str">
        <f aca="false">CHOOSE(MONTH(Q425),"Janvier","Février","Mars","Avril","Mai","Juin","Juillet","Août","Septembre","Octobre","Novembre","Décembre")</f>
        <v>Mars</v>
      </c>
      <c r="V425" s="22" t="n">
        <f aca="false">YEAR(Q425)</f>
        <v>2026</v>
      </c>
      <c r="W425" s="20"/>
      <c r="X425" s="8" t="n">
        <f aca="false">IFERROR(IF(M425="Abs",0,IF(ROUND((D425-C425+E425-F425)*1440,0)&lt;=1,0,D425-C425+E425-F425)),0)</f>
        <v>0</v>
      </c>
      <c r="Y425" s="6" t="str">
        <f aca="false">IFERROR(VLOOKUP($B425,Agents!$A:$D,3,0),"-")</f>
        <v>OUBRAHIM Mohammed</v>
      </c>
      <c r="Z425" s="6" t="str">
        <f aca="false">IFERROR(VLOOKUP($B425,Agents!$A:$D,4,0),"-")</f>
        <v>Credit Mutuel</v>
      </c>
      <c r="AA425" s="18" t="s">
        <v>92</v>
      </c>
      <c r="AB425" s="8" t="str">
        <f aca="false">IF(AND(D425="Congé",F425="Congé"),0.333333333333333,IF(OR(AND(D425="Congé",F425&lt;&gt;"Congé"),(AND(F425="Congé",D425&lt;&gt;"Congé"))),0.166666666666667,""))</f>
        <v/>
      </c>
      <c r="AC425" s="8" t="str">
        <f aca="false">IF(AND(D425="Congé sans solde",F425="Congé sans solde"),0.333333333333333,IF(OR(AND(D425="Congé sans solde",F425&lt;&gt;"Congé sans solde"),(AND(F425="Congé sans solde",D425&lt;&gt;"Congé sans solde"))),0.166666666666667,""))</f>
        <v/>
      </c>
      <c r="AD425" s="8" t="str">
        <f aca="false">IF(AND(D425="Congé spécial",F425="Congé spécial"),0.333333333333333,IF(OR(AND(D425="Congé spécial",F425&lt;&gt;"Congé spécial"),AND(F425="Congé spécial",D425&lt;&gt;"Congé spécial")),0.166666666666667,""))</f>
        <v/>
      </c>
      <c r="AE425" s="8" t="str">
        <f aca="false">IF(AND(D425="Férié",F425="Férié"),0.333333333333333,IF(OR(AND(D425="Férié",F425&lt;&gt;"Férié"),(AND(F425="Férié",D425&lt;&gt;"Férié"))),0.166666666666667,""))</f>
        <v/>
      </c>
      <c r="AF425" s="18"/>
      <c r="AG425" s="18" t="s">
        <v>91</v>
      </c>
    </row>
    <row r="426" customFormat="false" ht="15" hidden="false" customHeight="false" outlineLevel="0" collapsed="false">
      <c r="A426" s="6" t="str">
        <f aca="false">YEAR(Q426-WEEKDAY(Q426,2)+4)&amp;"-S"&amp;TEXT(WEEKNUM(Q426,21),"00")</f>
        <v>2026-S10</v>
      </c>
      <c r="B426" s="18" t="s">
        <v>69</v>
      </c>
      <c r="C426" s="19"/>
      <c r="D426" s="19" t="s">
        <v>74</v>
      </c>
      <c r="E426" s="19"/>
      <c r="F426" s="19" t="s">
        <v>74</v>
      </c>
      <c r="G426" s="20"/>
      <c r="H426" s="20"/>
      <c r="I426" s="8" t="str">
        <f aca="false">IF(IF(OR(C426="",D426="Congé",D426="OFF",D426="Congé spécial"),"",IF(D426&gt;F426,D426-C426,IF(C426-D426&lt;0,0,C426-D426)))&lt;0.00068287037037037,"",IF(OR(D426="Congé",D426="OFF",C426="",D426="Congé spécial"),"",IF(D426&gt;F426,D426-C426,IF(C426-D426&lt;0,0,C426-D426))))</f>
        <v/>
      </c>
      <c r="J426" s="20"/>
      <c r="K426" s="8" t="n">
        <f aca="false">IF(SUM(H426:J426)&lt;0.00068287037037037,0,SUM(H426:J426))</f>
        <v>0</v>
      </c>
      <c r="L426" s="8" t="n">
        <f aca="false">IF(OR(F426="Congé",F426="OFF",M426="Abs",F426="Congé sans solde",F426="Férié",F426="Congé spécial",D426="Congé spécial"),0,IF(F426-E426&lt;0,0,IF(F426-E426&lt;=0.00068287037037037,0,F426-E426)))</f>
        <v>0</v>
      </c>
      <c r="M426" s="6" t="n">
        <f aca="false">IF(AND(O426&lt;&gt;0,C426=""),"Abs",0)</f>
        <v>0</v>
      </c>
      <c r="N426" s="8" t="str">
        <f aca="false">IFERROR(IF(OR(D426="OFF",D426="Congé",M426="Abs",D426="Congé sans solde",D426="Férié"),"",IF(O426-K426-L426&gt;O426,O426,IF(O426-K426-L426&lt;0,"",O426-K426-L426))),"")</f>
        <v/>
      </c>
      <c r="O426" s="8" t="n">
        <f aca="false">IF(AG426="2H Pause déjeuner",IF(F426-D426-0.0833333333333333&lt;0,F426-D426-0.0833333333333333+1,F426-D426-0.0833333333333333),IF(OR(AND(F426="OFF",D426="OFF"),AND(F426="Congé",D426="Congé"),AND(F426="Congé sans solde",D426="Congé sans solde"),AND(F426="Congé spécial",D426="Congé spécial"),AND(F426="Férié",D426="Férié"),AND(F426="OFF",D426="Congé"),AND(F426="OFF",D426="Congé sans solde"),AND(F426="OFF",D426="Congé spécial"),AND(F426="OFF",D426="Férié"),AND(F426="Congé",D426="OFF"),AND(F426="Congé",D426="Congé sans solde"),AND(F426="Congé",D426="Congé spécial"),AND(F426="Congé",D426="Férié"),AND(F426="Congé sans solde",D426="OFF"),AND(F426="Congé sans solde",D426="Congé"),AND(F426="Congé sans solde",D426="Congé spécial"),AND(F426="Congé sans solde",D426="Férié"),AND(F426="Congé spécial",D426="OFF"),AND(F426="Congé spécial",D426="Congé"),AND(F426="Congé spécial",D426="Congé sans solde"),AND(F426="Congé spécial",D426="Férié"),AND(F426="Férié",D426="OFF"),AND(F426="Férié",D426="Congé"),AND(F426="Férié",D426="Congé sans solde"),AND(F426="Férié",D426="Congé spécial")),0,IF(OR(F426="OFF",F426="Congé",F426="Congé spécial",F426="Congé sans solde",D426="OFF",D426="Congé",D426="Congé spécial",D426="Congé sans solde"),0.208333333333334,IF(AND(AG426="",F426-D426&lt;0),("24:00:00"-D426)+("00:00:00"+F426)-0.0416666666666667,IF(AND(OR(AG426="Allaitement",AG426="Sans déjeuner"),F426-D426&lt;0),("24:00:00"-D426)+("00:00:00"+F426),IF(AND(AG426="",F426-D426&gt;0.166666666666667),F426-D426-0.0416666666666667,IF(AND(OR(AG426="Allaitement",AG426="Sans déjeuner"),F426-D426&gt;0.166666666666667),F426-D426,F426-D426)))))))</f>
        <v>0</v>
      </c>
      <c r="P426" s="6" t="str">
        <f aca="false">IFERROR(VLOOKUP($B426,Agents!$A:$D,2,0),"-")</f>
        <v>Accessibilité</v>
      </c>
      <c r="Q426" s="21" t="n">
        <v>46088</v>
      </c>
      <c r="R426" s="8" t="n">
        <f aca="false">IF(M426="Abs",O426,0)</f>
        <v>0</v>
      </c>
      <c r="S426" s="8" t="n">
        <f aca="false">SUM(R426,L426,I426,J426,W426,H426)</f>
        <v>0</v>
      </c>
      <c r="T426" s="6" t="str">
        <f aca="false">"Sem - "&amp;WEEKNUM(Q426,21)</f>
        <v>Sem - 10</v>
      </c>
      <c r="U426" s="6" t="str">
        <f aca="false">CHOOSE(MONTH(Q426),"Janvier","Février","Mars","Avril","Mai","Juin","Juillet","Août","Septembre","Octobre","Novembre","Décembre")</f>
        <v>Mars</v>
      </c>
      <c r="V426" s="22" t="n">
        <f aca="false">YEAR(Q426)</f>
        <v>2026</v>
      </c>
      <c r="W426" s="20"/>
      <c r="X426" s="8" t="n">
        <f aca="false">IFERROR(IF(M426="Abs",0,IF(ROUND((D426-C426+E426-F426)*1440,0)&lt;=1,0,D426-C426+E426-F426)),0)</f>
        <v>0</v>
      </c>
      <c r="Y426" s="6" t="str">
        <f aca="false">IFERROR(VLOOKUP($B426,Agents!$A:$D,3,0),"-")</f>
        <v>OUBRAHIM Mohammed</v>
      </c>
      <c r="Z426" s="6" t="str">
        <f aca="false">IFERROR(VLOOKUP($B426,Agents!$A:$D,4,0),"-")</f>
        <v>Credit Mutuel</v>
      </c>
      <c r="AA426" s="18" t="s">
        <v>92</v>
      </c>
      <c r="AB426" s="8" t="str">
        <f aca="false">IF(AND(D426="Congé",F426="Congé"),0.333333333333333,IF(OR(AND(D426="Congé",F426&lt;&gt;"Congé"),(AND(F426="Congé",D426&lt;&gt;"Congé"))),0.166666666666667,""))</f>
        <v/>
      </c>
      <c r="AC426" s="8" t="str">
        <f aca="false">IF(AND(D426="Congé sans solde",F426="Congé sans solde"),0.333333333333333,IF(OR(AND(D426="Congé sans solde",F426&lt;&gt;"Congé sans solde"),(AND(F426="Congé sans solde",D426&lt;&gt;"Congé sans solde"))),0.166666666666667,""))</f>
        <v/>
      </c>
      <c r="AD426" s="8" t="str">
        <f aca="false">IF(AND(D426="Congé spécial",F426="Congé spécial"),0.333333333333333,IF(OR(AND(D426="Congé spécial",F426&lt;&gt;"Congé spécial"),AND(F426="Congé spécial",D426&lt;&gt;"Congé spécial")),0.166666666666667,""))</f>
        <v/>
      </c>
      <c r="AE426" s="8" t="str">
        <f aca="false">IF(AND(D426="Férié",F426="Férié"),0.333333333333333,IF(OR(AND(D426="Férié",F426&lt;&gt;"Férié"),(AND(F426="Férié",D426&lt;&gt;"Férié"))),0.166666666666667,""))</f>
        <v/>
      </c>
      <c r="AF426" s="18"/>
      <c r="AG426" s="18"/>
    </row>
    <row r="427" customFormat="false" ht="15" hidden="false" customHeight="false" outlineLevel="0" collapsed="false">
      <c r="A427" s="6" t="str">
        <f aca="false">YEAR(Q427-WEEKDAY(Q427,2)+4)&amp;"-S"&amp;TEXT(WEEKNUM(Q427,21),"00")</f>
        <v>2026-S10</v>
      </c>
      <c r="B427" s="18" t="s">
        <v>71</v>
      </c>
      <c r="C427" s="19"/>
      <c r="D427" s="19" t="s">
        <v>74</v>
      </c>
      <c r="E427" s="19"/>
      <c r="F427" s="19" t="s">
        <v>74</v>
      </c>
      <c r="G427" s="20"/>
      <c r="H427" s="20"/>
      <c r="I427" s="8" t="str">
        <f aca="false">IF(IF(OR(C427="",D427="Congé",D427="OFF",D427="Congé spécial"),"",IF(D427&gt;F427,D427-C427,IF(C427-D427&lt;0,0,C427-D427)))&lt;0.00068287037037037,"",IF(OR(D427="Congé",D427="OFF",C427="",D427="Congé spécial"),"",IF(D427&gt;F427,D427-C427,IF(C427-D427&lt;0,0,C427-D427))))</f>
        <v/>
      </c>
      <c r="J427" s="20"/>
      <c r="K427" s="8" t="n">
        <f aca="false">IF(SUM(H427:J427)&lt;0.00068287037037037,0,SUM(H427:J427))</f>
        <v>0</v>
      </c>
      <c r="L427" s="8" t="n">
        <f aca="false">IF(OR(F427="Congé",F427="OFF",M427="Abs",F427="Congé sans solde",F427="Férié",F427="Congé spécial",D427="Congé spécial"),0,IF(F427-E427&lt;0,0,IF(F427-E427&lt;=0.00068287037037037,0,F427-E427)))</f>
        <v>0</v>
      </c>
      <c r="M427" s="6" t="n">
        <f aca="false">IF(AND(O427&lt;&gt;0,C427=""),"Abs",0)</f>
        <v>0</v>
      </c>
      <c r="N427" s="8" t="str">
        <f aca="false">IFERROR(IF(OR(D427="OFF",D427="Congé",M427="Abs",D427="Congé sans solde",D427="Férié"),"",IF(O427-K427-L427&gt;O427,O427,IF(O427-K427-L427&lt;0,"",O427-K427-L427))),"")</f>
        <v/>
      </c>
      <c r="O427" s="8" t="n">
        <f aca="false">IF(AG427="2H Pause déjeuner",IF(F427-D427-0.0833333333333333&lt;0,F427-D427-0.0833333333333333+1,F427-D427-0.0833333333333333),IF(OR(AND(F427="OFF",D427="OFF"),AND(F427="Congé",D427="Congé"),AND(F427="Congé sans solde",D427="Congé sans solde"),AND(F427="Congé spécial",D427="Congé spécial"),AND(F427="Férié",D427="Férié"),AND(F427="OFF",D427="Congé"),AND(F427="OFF",D427="Congé sans solde"),AND(F427="OFF",D427="Congé spécial"),AND(F427="OFF",D427="Férié"),AND(F427="Congé",D427="OFF"),AND(F427="Congé",D427="Congé sans solde"),AND(F427="Congé",D427="Congé spécial"),AND(F427="Congé",D427="Férié"),AND(F427="Congé sans solde",D427="OFF"),AND(F427="Congé sans solde",D427="Congé"),AND(F427="Congé sans solde",D427="Congé spécial"),AND(F427="Congé sans solde",D427="Férié"),AND(F427="Congé spécial",D427="OFF"),AND(F427="Congé spécial",D427="Congé"),AND(F427="Congé spécial",D427="Congé sans solde"),AND(F427="Congé spécial",D427="Férié"),AND(F427="Férié",D427="OFF"),AND(F427="Férié",D427="Congé"),AND(F427="Férié",D427="Congé sans solde"),AND(F427="Férié",D427="Congé spécial")),0,IF(OR(F427="OFF",F427="Congé",F427="Congé spécial",F427="Congé sans solde",D427="OFF",D427="Congé",D427="Congé spécial",D427="Congé sans solde"),0.208333333333334,IF(AND(AG427="",F427-D427&lt;0),("24:00:00"-D427)+("00:00:00"+F427)-0.0416666666666667,IF(AND(OR(AG427="Allaitement",AG427="Sans déjeuner"),F427-D427&lt;0),("24:00:00"-D427)+("00:00:00"+F427),IF(AND(AG427="",F427-D427&gt;0.166666666666667),F427-D427-0.0416666666666667,IF(AND(OR(AG427="Allaitement",AG427="Sans déjeuner"),F427-D427&gt;0.166666666666667),F427-D427,F427-D427)))))))</f>
        <v>0</v>
      </c>
      <c r="P427" s="6" t="str">
        <f aca="false">IFERROR(VLOOKUP($B427,Agents!$A:$D,2,0),"-")</f>
        <v>Accessibilité</v>
      </c>
      <c r="Q427" s="21" t="n">
        <v>46088</v>
      </c>
      <c r="R427" s="8" t="n">
        <f aca="false">IF(M427="Abs",O427,0)</f>
        <v>0</v>
      </c>
      <c r="S427" s="8" t="n">
        <f aca="false">SUM(R427,L427,I427,J427,W427,H427)</f>
        <v>0</v>
      </c>
      <c r="T427" s="6" t="str">
        <f aca="false">"Sem - "&amp;WEEKNUM(Q427,21)</f>
        <v>Sem - 10</v>
      </c>
      <c r="U427" s="6" t="str">
        <f aca="false">CHOOSE(MONTH(Q427),"Janvier","Février","Mars","Avril","Mai","Juin","Juillet","Août","Septembre","Octobre","Novembre","Décembre")</f>
        <v>Mars</v>
      </c>
      <c r="V427" s="22" t="n">
        <f aca="false">YEAR(Q427)</f>
        <v>2026</v>
      </c>
      <c r="W427" s="20"/>
      <c r="X427" s="8" t="n">
        <f aca="false">IFERROR(IF(M427="Abs",0,IF(ROUND((D427-C427+E427-F427)*1440,0)&lt;=1,0,D427-C427+E427-F427)),0)</f>
        <v>0</v>
      </c>
      <c r="Y427" s="6" t="str">
        <f aca="false">IFERROR(VLOOKUP($B427,Agents!$A:$D,3,0),"-")</f>
        <v>OUBRAHIM Mohammed</v>
      </c>
      <c r="Z427" s="6" t="str">
        <f aca="false">IFERROR(VLOOKUP($B427,Agents!$A:$D,4,0),"-")</f>
        <v>Credit Mutuel</v>
      </c>
      <c r="AA427" s="18" t="s">
        <v>92</v>
      </c>
      <c r="AB427" s="8" t="str">
        <f aca="false">IF(AND(D427="Congé",F427="Congé"),0.333333333333333,IF(OR(AND(D427="Congé",F427&lt;&gt;"Congé"),(AND(F427="Congé",D427&lt;&gt;"Congé"))),0.166666666666667,""))</f>
        <v/>
      </c>
      <c r="AC427" s="8" t="str">
        <f aca="false">IF(AND(D427="Congé sans solde",F427="Congé sans solde"),0.333333333333333,IF(OR(AND(D427="Congé sans solde",F427&lt;&gt;"Congé sans solde"),(AND(F427="Congé sans solde",D427&lt;&gt;"Congé sans solde"))),0.166666666666667,""))</f>
        <v/>
      </c>
      <c r="AD427" s="8" t="str">
        <f aca="false">IF(AND(D427="Congé spécial",F427="Congé spécial"),0.333333333333333,IF(OR(AND(D427="Congé spécial",F427&lt;&gt;"Congé spécial"),AND(F427="Congé spécial",D427&lt;&gt;"Congé spécial")),0.166666666666667,""))</f>
        <v/>
      </c>
      <c r="AE427" s="8" t="str">
        <f aca="false">IF(AND(D427="Férié",F427="Férié"),0.333333333333333,IF(OR(AND(D427="Férié",F427&lt;&gt;"Férié"),(AND(F427="Férié",D427&lt;&gt;"Férié"))),0.166666666666667,""))</f>
        <v/>
      </c>
      <c r="AF427" s="18"/>
      <c r="AG427" s="18"/>
    </row>
    <row r="428" customFormat="false" ht="15" hidden="false" customHeight="false" outlineLevel="0" collapsed="false">
      <c r="A428" s="6" t="str">
        <f aca="false">YEAR(Q428-WEEKDAY(Q428,2)+4)&amp;"-S"&amp;TEXT(WEEKNUM(Q428,21),"00")</f>
        <v>2026-S10</v>
      </c>
      <c r="B428" s="18" t="s">
        <v>72</v>
      </c>
      <c r="C428" s="19"/>
      <c r="D428" s="19" t="s">
        <v>74</v>
      </c>
      <c r="E428" s="19"/>
      <c r="F428" s="19" t="s">
        <v>74</v>
      </c>
      <c r="G428" s="20"/>
      <c r="H428" s="20"/>
      <c r="I428" s="8" t="str">
        <f aca="false">IF(IF(OR(C428="",D428="Congé",D428="OFF",D428="Congé spécial"),"",IF(D428&gt;F428,D428-C428,IF(C428-D428&lt;0,0,C428-D428)))&lt;0.00068287037037037,"",IF(OR(D428="Congé",D428="OFF",C428="",D428="Congé spécial"),"",IF(D428&gt;F428,D428-C428,IF(C428-D428&lt;0,0,C428-D428))))</f>
        <v/>
      </c>
      <c r="J428" s="20"/>
      <c r="K428" s="8" t="n">
        <f aca="false">IF(SUM(H428:J428)&lt;0.00068287037037037,0,SUM(H428:J428))</f>
        <v>0</v>
      </c>
      <c r="L428" s="8" t="n">
        <f aca="false">IF(OR(F428="Congé",F428="OFF",M428="Abs",F428="Congé sans solde",F428="Férié",F428="Congé spécial",D428="Congé spécial"),0,IF(F428-E428&lt;0,0,IF(F428-E428&lt;=0.00068287037037037,0,F428-E428)))</f>
        <v>0</v>
      </c>
      <c r="M428" s="6" t="n">
        <f aca="false">IF(AND(O428&lt;&gt;0,C428=""),"Abs",0)</f>
        <v>0</v>
      </c>
      <c r="N428" s="8" t="str">
        <f aca="false">IFERROR(IF(OR(D428="OFF",D428="Congé",M428="Abs",D428="Congé sans solde",D428="Férié"),"",IF(O428-K428-L428&gt;O428,O428,IF(O428-K428-L428&lt;0,"",O428-K428-L428))),"")</f>
        <v/>
      </c>
      <c r="O428" s="8" t="n">
        <f aca="false">IF(AG428="2H Pause déjeuner",IF(F428-D428-0.0833333333333333&lt;0,F428-D428-0.0833333333333333+1,F428-D428-0.0833333333333333),IF(OR(AND(F428="OFF",D428="OFF"),AND(F428="Congé",D428="Congé"),AND(F428="Congé sans solde",D428="Congé sans solde"),AND(F428="Congé spécial",D428="Congé spécial"),AND(F428="Férié",D428="Férié"),AND(F428="OFF",D428="Congé"),AND(F428="OFF",D428="Congé sans solde"),AND(F428="OFF",D428="Congé spécial"),AND(F428="OFF",D428="Férié"),AND(F428="Congé",D428="OFF"),AND(F428="Congé",D428="Congé sans solde"),AND(F428="Congé",D428="Congé spécial"),AND(F428="Congé",D428="Férié"),AND(F428="Congé sans solde",D428="OFF"),AND(F428="Congé sans solde",D428="Congé"),AND(F428="Congé sans solde",D428="Congé spécial"),AND(F428="Congé sans solde",D428="Férié"),AND(F428="Congé spécial",D428="OFF"),AND(F428="Congé spécial",D428="Congé"),AND(F428="Congé spécial",D428="Congé sans solde"),AND(F428="Congé spécial",D428="Férié"),AND(F428="Férié",D428="OFF"),AND(F428="Férié",D428="Congé"),AND(F428="Férié",D428="Congé sans solde"),AND(F428="Férié",D428="Congé spécial")),0,IF(OR(F428="OFF",F428="Congé",F428="Congé spécial",F428="Congé sans solde",D428="OFF",D428="Congé",D428="Congé spécial",D428="Congé sans solde"),0.208333333333334,IF(AND(AG428="",F428-D428&lt;0),("24:00:00"-D428)+("00:00:00"+F428)-0.0416666666666667,IF(AND(OR(AG428="Allaitement",AG428="Sans déjeuner"),F428-D428&lt;0),("24:00:00"-D428)+("00:00:00"+F428),IF(AND(AG428="",F428-D428&gt;0.166666666666667),F428-D428-0.0416666666666667,IF(AND(OR(AG428="Allaitement",AG428="Sans déjeuner"),F428-D428&gt;0.166666666666667),F428-D428,F428-D428)))))))</f>
        <v>0</v>
      </c>
      <c r="P428" s="6" t="str">
        <f aca="false">IFERROR(VLOOKUP($B428,Agents!$A:$D,2,0),"-")</f>
        <v>Accessibilité</v>
      </c>
      <c r="Q428" s="21" t="n">
        <v>46088</v>
      </c>
      <c r="R428" s="8" t="n">
        <f aca="false">IF(M428="Abs",O428,0)</f>
        <v>0</v>
      </c>
      <c r="S428" s="8" t="n">
        <f aca="false">SUM(R428,L428,I428,J428,W428,H428)</f>
        <v>0</v>
      </c>
      <c r="T428" s="6" t="str">
        <f aca="false">"Sem - "&amp;WEEKNUM(Q428,21)</f>
        <v>Sem - 10</v>
      </c>
      <c r="U428" s="6" t="str">
        <f aca="false">CHOOSE(MONTH(Q428),"Janvier","Février","Mars","Avril","Mai","Juin","Juillet","Août","Septembre","Octobre","Novembre","Décembre")</f>
        <v>Mars</v>
      </c>
      <c r="V428" s="22" t="n">
        <f aca="false">YEAR(Q428)</f>
        <v>2026</v>
      </c>
      <c r="W428" s="20"/>
      <c r="X428" s="8" t="n">
        <f aca="false">IFERROR(IF(M428="Abs",0,IF(ROUND((D428-C428+E428-F428)*1440,0)&lt;=1,0,D428-C428+E428-F428)),0)</f>
        <v>0</v>
      </c>
      <c r="Y428" s="6" t="str">
        <f aca="false">IFERROR(VLOOKUP($B428,Agents!$A:$D,3,0),"-")</f>
        <v>OUBRAHIM Mohammed</v>
      </c>
      <c r="Z428" s="6" t="str">
        <f aca="false">IFERROR(VLOOKUP($B428,Agents!$A:$D,4,0),"-")</f>
        <v>Credit Mutuel</v>
      </c>
      <c r="AA428" s="18" t="s">
        <v>92</v>
      </c>
      <c r="AB428" s="8" t="str">
        <f aca="false">IF(AND(D428="Congé",F428="Congé"),0.333333333333333,IF(OR(AND(D428="Congé",F428&lt;&gt;"Congé"),(AND(F428="Congé",D428&lt;&gt;"Congé"))),0.166666666666667,""))</f>
        <v/>
      </c>
      <c r="AC428" s="8" t="str">
        <f aca="false">IF(AND(D428="Congé sans solde",F428="Congé sans solde"),0.333333333333333,IF(OR(AND(D428="Congé sans solde",F428&lt;&gt;"Congé sans solde"),(AND(F428="Congé sans solde",D428&lt;&gt;"Congé sans solde"))),0.166666666666667,""))</f>
        <v/>
      </c>
      <c r="AD428" s="8" t="str">
        <f aca="false">IF(AND(D428="Congé spécial",F428="Congé spécial"),0.333333333333333,IF(OR(AND(D428="Congé spécial",F428&lt;&gt;"Congé spécial"),AND(F428="Congé spécial",D428&lt;&gt;"Congé spécial")),0.166666666666667,""))</f>
        <v/>
      </c>
      <c r="AE428" s="8" t="str">
        <f aca="false">IF(AND(D428="Férié",F428="Férié"),0.333333333333333,IF(OR(AND(D428="Férié",F428&lt;&gt;"Férié"),(AND(F428="Férié",D428&lt;&gt;"Férié"))),0.166666666666667,""))</f>
        <v/>
      </c>
      <c r="AF428" s="18"/>
      <c r="AG428" s="18"/>
    </row>
    <row r="429" customFormat="false" ht="15" hidden="false" customHeight="false" outlineLevel="0" collapsed="false">
      <c r="A429" s="6" t="str">
        <f aca="false">YEAR(Q429-WEEKDAY(Q429,2)+4)&amp;"-S"&amp;TEXT(WEEKNUM(Q429,21),"00")</f>
        <v>2026-S10</v>
      </c>
      <c r="B429" s="18" t="s">
        <v>73</v>
      </c>
      <c r="C429" s="19"/>
      <c r="D429" s="19" t="s">
        <v>74</v>
      </c>
      <c r="E429" s="19"/>
      <c r="F429" s="19" t="s">
        <v>74</v>
      </c>
      <c r="G429" s="20"/>
      <c r="H429" s="20"/>
      <c r="I429" s="8" t="str">
        <f aca="false">IF(IF(OR(C429="",D429="Congé",D429="OFF",D429="Congé spécial"),"",IF(D429&gt;F429,D429-C429,IF(C429-D429&lt;0,0,C429-D429)))&lt;0.00068287037037037,"",IF(OR(D429="Congé",D429="OFF",C429="",D429="Congé spécial"),"",IF(D429&gt;F429,D429-C429,IF(C429-D429&lt;0,0,C429-D429))))</f>
        <v/>
      </c>
      <c r="J429" s="20"/>
      <c r="K429" s="8" t="n">
        <f aca="false">IF(SUM(H429:J429)&lt;0.00068287037037037,0,SUM(H429:J429))</f>
        <v>0</v>
      </c>
      <c r="L429" s="8" t="n">
        <f aca="false">IF(OR(F429="Congé",F429="OFF",M429="Abs",F429="Congé sans solde",F429="Férié",F429="Congé spécial",D429="Congé spécial"),0,IF(F429-E429&lt;0,0,IF(F429-E429&lt;=0.00068287037037037,0,F429-E429)))</f>
        <v>0</v>
      </c>
      <c r="M429" s="6" t="n">
        <f aca="false">IF(AND(O429&lt;&gt;0,C429=""),"Abs",0)</f>
        <v>0</v>
      </c>
      <c r="N429" s="8" t="str">
        <f aca="false">IFERROR(IF(OR(D429="OFF",D429="Congé",M429="Abs",D429="Congé sans solde",D429="Férié"),"",IF(O429-K429-L429&gt;O429,O429,IF(O429-K429-L429&lt;0,"",O429-K429-L429))),"")</f>
        <v/>
      </c>
      <c r="O429" s="8" t="n">
        <f aca="false">IF(AG429="2H Pause déjeuner",IF(F429-D429-0.0833333333333333&lt;0,F429-D429-0.0833333333333333+1,F429-D429-0.0833333333333333),IF(OR(AND(F429="OFF",D429="OFF"),AND(F429="Congé",D429="Congé"),AND(F429="Congé sans solde",D429="Congé sans solde"),AND(F429="Congé spécial",D429="Congé spécial"),AND(F429="Férié",D429="Férié"),AND(F429="OFF",D429="Congé"),AND(F429="OFF",D429="Congé sans solde"),AND(F429="OFF",D429="Congé spécial"),AND(F429="OFF",D429="Férié"),AND(F429="Congé",D429="OFF"),AND(F429="Congé",D429="Congé sans solde"),AND(F429="Congé",D429="Congé spécial"),AND(F429="Congé",D429="Férié"),AND(F429="Congé sans solde",D429="OFF"),AND(F429="Congé sans solde",D429="Congé"),AND(F429="Congé sans solde",D429="Congé spécial"),AND(F429="Congé sans solde",D429="Férié"),AND(F429="Congé spécial",D429="OFF"),AND(F429="Congé spécial",D429="Congé"),AND(F429="Congé spécial",D429="Congé sans solde"),AND(F429="Congé spécial",D429="Férié"),AND(F429="Férié",D429="OFF"),AND(F429="Férié",D429="Congé"),AND(F429="Férié",D429="Congé sans solde"),AND(F429="Férié",D429="Congé spécial")),0,IF(OR(F429="OFF",F429="Congé",F429="Congé spécial",F429="Congé sans solde",D429="OFF",D429="Congé",D429="Congé spécial",D429="Congé sans solde"),0.208333333333334,IF(AND(AG429="",F429-D429&lt;0),("24:00:00"-D429)+("00:00:00"+F429)-0.0416666666666667,IF(AND(OR(AG429="Allaitement",AG429="Sans déjeuner"),F429-D429&lt;0),("24:00:00"-D429)+("00:00:00"+F429),IF(AND(AG429="",F429-D429&gt;0.166666666666667),F429-D429-0.0416666666666667,IF(AND(OR(AG429="Allaitement",AG429="Sans déjeuner"),F429-D429&gt;0.166666666666667),F429-D429,F429-D429)))))))</f>
        <v>0</v>
      </c>
      <c r="P429" s="6" t="str">
        <f aca="false">IFERROR(VLOOKUP($B429,Agents!$A:$D,2,0),"-")</f>
        <v>Accessibilité</v>
      </c>
      <c r="Q429" s="21" t="n">
        <v>46088</v>
      </c>
      <c r="R429" s="8" t="n">
        <f aca="false">IF(M429="Abs",O429,0)</f>
        <v>0</v>
      </c>
      <c r="S429" s="8" t="n">
        <f aca="false">SUM(R429,L429,I429,J429,W429,H429)</f>
        <v>0</v>
      </c>
      <c r="T429" s="6" t="str">
        <f aca="false">"Sem - "&amp;WEEKNUM(Q429,21)</f>
        <v>Sem - 10</v>
      </c>
      <c r="U429" s="6" t="str">
        <f aca="false">CHOOSE(MONTH(Q429),"Janvier","Février","Mars","Avril","Mai","Juin","Juillet","Août","Septembre","Octobre","Novembre","Décembre")</f>
        <v>Mars</v>
      </c>
      <c r="V429" s="22" t="n">
        <f aca="false">YEAR(Q429)</f>
        <v>2026</v>
      </c>
      <c r="W429" s="20"/>
      <c r="X429" s="8" t="n">
        <f aca="false">IFERROR(IF(M429="Abs",0,IF(ROUND((D429-C429+E429-F429)*1440,0)&lt;=1,0,D429-C429+E429-F429)),0)</f>
        <v>0</v>
      </c>
      <c r="Y429" s="6" t="str">
        <f aca="false">IFERROR(VLOOKUP($B429,Agents!$A:$D,3,0),"-")</f>
        <v>OUBRAHIM Mohammed</v>
      </c>
      <c r="Z429" s="6" t="str">
        <f aca="false">IFERROR(VLOOKUP($B429,Agents!$A:$D,4,0),"-")</f>
        <v>Credit Mutuel</v>
      </c>
      <c r="AA429" s="18" t="s">
        <v>92</v>
      </c>
      <c r="AB429" s="8" t="str">
        <f aca="false">IF(AND(D429="Congé",F429="Congé"),0.333333333333333,IF(OR(AND(D429="Congé",F429&lt;&gt;"Congé"),(AND(F429="Congé",D429&lt;&gt;"Congé"))),0.166666666666667,""))</f>
        <v/>
      </c>
      <c r="AC429" s="8" t="str">
        <f aca="false">IF(AND(D429="Congé sans solde",F429="Congé sans solde"),0.333333333333333,IF(OR(AND(D429="Congé sans solde",F429&lt;&gt;"Congé sans solde"),(AND(F429="Congé sans solde",D429&lt;&gt;"Congé sans solde"))),0.166666666666667,""))</f>
        <v/>
      </c>
      <c r="AD429" s="8" t="str">
        <f aca="false">IF(AND(D429="Congé spécial",F429="Congé spécial"),0.333333333333333,IF(OR(AND(D429="Congé spécial",F429&lt;&gt;"Congé spécial"),AND(F429="Congé spécial",D429&lt;&gt;"Congé spécial")),0.166666666666667,""))</f>
        <v/>
      </c>
      <c r="AE429" s="8" t="str">
        <f aca="false">IF(AND(D429="Férié",F429="Férié"),0.333333333333333,IF(OR(AND(D429="Férié",F429&lt;&gt;"Férié"),(AND(F429="Férié",D429&lt;&gt;"Férié"))),0.166666666666667,""))</f>
        <v/>
      </c>
      <c r="AF429" s="18"/>
      <c r="AG429" s="18"/>
    </row>
    <row r="430" customFormat="false" ht="15" hidden="false" customHeight="false" outlineLevel="0" collapsed="false">
      <c r="A430" s="6" t="str">
        <f aca="false">YEAR(Q430-WEEKDAY(Q430,2)+4)&amp;"-S"&amp;TEXT(WEEKNUM(Q430,21),"00")</f>
        <v>2026-S10</v>
      </c>
      <c r="B430" s="18" t="s">
        <v>69</v>
      </c>
      <c r="C430" s="19"/>
      <c r="D430" s="19" t="s">
        <v>74</v>
      </c>
      <c r="E430" s="19"/>
      <c r="F430" s="19" t="s">
        <v>74</v>
      </c>
      <c r="G430" s="20"/>
      <c r="H430" s="20"/>
      <c r="I430" s="8" t="str">
        <f aca="false">IF(IF(OR(C430="",D430="Congé",D430="OFF",D430="Congé spécial"),"",IF(D430&gt;F430,D430-C430,IF(C430-D430&lt;0,0,C430-D430)))&lt;0.00068287037037037,"",IF(OR(D430="Congé",D430="OFF",C430="",D430="Congé spécial"),"",IF(D430&gt;F430,D430-C430,IF(C430-D430&lt;0,0,C430-D430))))</f>
        <v/>
      </c>
      <c r="J430" s="20"/>
      <c r="K430" s="8" t="n">
        <f aca="false">IF(SUM(H430:J430)&lt;0.00068287037037037,0,SUM(H430:J430))</f>
        <v>0</v>
      </c>
      <c r="L430" s="8" t="n">
        <f aca="false">IF(OR(F430="Congé",F430="OFF",M430="Abs",F430="Congé sans solde",F430="Férié",F430="Congé spécial",D430="Congé spécial"),0,IF(F430-E430&lt;0,0,IF(F430-E430&lt;=0.00068287037037037,0,F430-E430)))</f>
        <v>0</v>
      </c>
      <c r="M430" s="6" t="n">
        <f aca="false">IF(AND(O430&lt;&gt;0,C430=""),"Abs",0)</f>
        <v>0</v>
      </c>
      <c r="N430" s="8" t="str">
        <f aca="false">IFERROR(IF(OR(D430="OFF",D430="Congé",M430="Abs",D430="Congé sans solde",D430="Férié"),"",IF(O430-K430-L430&gt;O430,O430,IF(O430-K430-L430&lt;0,"",O430-K430-L430))),"")</f>
        <v/>
      </c>
      <c r="O430" s="8" t="n">
        <f aca="false">IF(AG430="2H Pause déjeuner",IF(F430-D430-0.0833333333333333&lt;0,F430-D430-0.0833333333333333+1,F430-D430-0.0833333333333333),IF(OR(AND(F430="OFF",D430="OFF"),AND(F430="Congé",D430="Congé"),AND(F430="Congé sans solde",D430="Congé sans solde"),AND(F430="Congé spécial",D430="Congé spécial"),AND(F430="Férié",D430="Férié"),AND(F430="OFF",D430="Congé"),AND(F430="OFF",D430="Congé sans solde"),AND(F430="OFF",D430="Congé spécial"),AND(F430="OFF",D430="Férié"),AND(F430="Congé",D430="OFF"),AND(F430="Congé",D430="Congé sans solde"),AND(F430="Congé",D430="Congé spécial"),AND(F430="Congé",D430="Férié"),AND(F430="Congé sans solde",D430="OFF"),AND(F430="Congé sans solde",D430="Congé"),AND(F430="Congé sans solde",D430="Congé spécial"),AND(F430="Congé sans solde",D430="Férié"),AND(F430="Congé spécial",D430="OFF"),AND(F430="Congé spécial",D430="Congé"),AND(F430="Congé spécial",D430="Congé sans solde"),AND(F430="Congé spécial",D430="Férié"),AND(F430="Férié",D430="OFF"),AND(F430="Férié",D430="Congé"),AND(F430="Férié",D430="Congé sans solde"),AND(F430="Férié",D430="Congé spécial")),0,IF(OR(F430="OFF",F430="Congé",F430="Congé spécial",F430="Congé sans solde",D430="OFF",D430="Congé",D430="Congé spécial",D430="Congé sans solde"),0.208333333333334,IF(AND(AG430="",F430-D430&lt;0),("24:00:00"-D430)+("00:00:00"+F430)-0.0416666666666667,IF(AND(OR(AG430="Allaitement",AG430="Sans déjeuner"),F430-D430&lt;0),("24:00:00"-D430)+("00:00:00"+F430),IF(AND(AG430="",F430-D430&gt;0.166666666666667),F430-D430-0.0416666666666667,IF(AND(OR(AG430="Allaitement",AG430="Sans déjeuner"),F430-D430&gt;0.166666666666667),F430-D430,F430-D430)))))))</f>
        <v>0</v>
      </c>
      <c r="P430" s="6" t="str">
        <f aca="false">IFERROR(VLOOKUP($B430,Agents!$A:$D,2,0),"-")</f>
        <v>Accessibilité</v>
      </c>
      <c r="Q430" s="21" t="n">
        <v>46089</v>
      </c>
      <c r="R430" s="8" t="n">
        <f aca="false">IF(M430="Abs",O430,0)</f>
        <v>0</v>
      </c>
      <c r="S430" s="8" t="n">
        <f aca="false">SUM(R430,L430,I430,J430,W430,H430)</f>
        <v>0</v>
      </c>
      <c r="T430" s="6" t="str">
        <f aca="false">"Sem - "&amp;WEEKNUM(Q430,21)</f>
        <v>Sem - 10</v>
      </c>
      <c r="U430" s="6" t="str">
        <f aca="false">CHOOSE(MONTH(Q430),"Janvier","Février","Mars","Avril","Mai","Juin","Juillet","Août","Septembre","Octobre","Novembre","Décembre")</f>
        <v>Mars</v>
      </c>
      <c r="V430" s="22" t="n">
        <f aca="false">YEAR(Q430)</f>
        <v>2026</v>
      </c>
      <c r="W430" s="20"/>
      <c r="X430" s="8" t="n">
        <f aca="false">IFERROR(IF(M430="Abs",0,IF(ROUND((D430-C430+E430-F430)*1440,0)&lt;=1,0,D430-C430+E430-F430)),0)</f>
        <v>0</v>
      </c>
      <c r="Y430" s="6" t="str">
        <f aca="false">IFERROR(VLOOKUP($B430,Agents!$A:$D,3,0),"-")</f>
        <v>OUBRAHIM Mohammed</v>
      </c>
      <c r="Z430" s="6" t="str">
        <f aca="false">IFERROR(VLOOKUP($B430,Agents!$A:$D,4,0),"-")</f>
        <v>Credit Mutuel</v>
      </c>
      <c r="AA430" s="18" t="s">
        <v>92</v>
      </c>
      <c r="AB430" s="8" t="str">
        <f aca="false">IF(AND(D430="Congé",F430="Congé"),0.333333333333333,IF(OR(AND(D430="Congé",F430&lt;&gt;"Congé"),(AND(F430="Congé",D430&lt;&gt;"Congé"))),0.166666666666667,""))</f>
        <v/>
      </c>
      <c r="AC430" s="8" t="str">
        <f aca="false">IF(AND(D430="Congé sans solde",F430="Congé sans solde"),0.333333333333333,IF(OR(AND(D430="Congé sans solde",F430&lt;&gt;"Congé sans solde"),(AND(F430="Congé sans solde",D430&lt;&gt;"Congé sans solde"))),0.166666666666667,""))</f>
        <v/>
      </c>
      <c r="AD430" s="8" t="str">
        <f aca="false">IF(AND(D430="Congé spécial",F430="Congé spécial"),0.333333333333333,IF(OR(AND(D430="Congé spécial",F430&lt;&gt;"Congé spécial"),AND(F430="Congé spécial",D430&lt;&gt;"Congé spécial")),0.166666666666667,""))</f>
        <v/>
      </c>
      <c r="AE430" s="8" t="str">
        <f aca="false">IF(AND(D430="Férié",F430="Férié"),0.333333333333333,IF(OR(AND(D430="Férié",F430&lt;&gt;"Férié"),(AND(F430="Férié",D430&lt;&gt;"Férié"))),0.166666666666667,""))</f>
        <v/>
      </c>
      <c r="AF430" s="18"/>
      <c r="AG430" s="18"/>
    </row>
    <row r="431" customFormat="false" ht="15" hidden="false" customHeight="false" outlineLevel="0" collapsed="false">
      <c r="A431" s="6" t="str">
        <f aca="false">YEAR(Q431-WEEKDAY(Q431,2)+4)&amp;"-S"&amp;TEXT(WEEKNUM(Q431,21),"00")</f>
        <v>2026-S10</v>
      </c>
      <c r="B431" s="18" t="s">
        <v>71</v>
      </c>
      <c r="C431" s="19"/>
      <c r="D431" s="19" t="s">
        <v>74</v>
      </c>
      <c r="E431" s="19"/>
      <c r="F431" s="19" t="s">
        <v>74</v>
      </c>
      <c r="G431" s="20"/>
      <c r="H431" s="20"/>
      <c r="I431" s="8" t="str">
        <f aca="false">IF(IF(OR(C431="",D431="Congé",D431="OFF",D431="Congé spécial"),"",IF(D431&gt;F431,D431-C431,IF(C431-D431&lt;0,0,C431-D431)))&lt;0.00068287037037037,"",IF(OR(D431="Congé",D431="OFF",C431="",D431="Congé spécial"),"",IF(D431&gt;F431,D431-C431,IF(C431-D431&lt;0,0,C431-D431))))</f>
        <v/>
      </c>
      <c r="J431" s="20"/>
      <c r="K431" s="8" t="n">
        <f aca="false">IF(SUM(H431:J431)&lt;0.00068287037037037,0,SUM(H431:J431))</f>
        <v>0</v>
      </c>
      <c r="L431" s="8" t="n">
        <f aca="false">IF(OR(F431="Congé",F431="OFF",M431="Abs",F431="Congé sans solde",F431="Férié",F431="Congé spécial",D431="Congé spécial"),0,IF(F431-E431&lt;0,0,IF(F431-E431&lt;=0.00068287037037037,0,F431-E431)))</f>
        <v>0</v>
      </c>
      <c r="M431" s="6" t="n">
        <f aca="false">IF(AND(O431&lt;&gt;0,C431=""),"Abs",0)</f>
        <v>0</v>
      </c>
      <c r="N431" s="8" t="str">
        <f aca="false">IFERROR(IF(OR(D431="OFF",D431="Congé",M431="Abs",D431="Congé sans solde",D431="Férié"),"",IF(O431-K431-L431&gt;O431,O431,IF(O431-K431-L431&lt;0,"",O431-K431-L431))),"")</f>
        <v/>
      </c>
      <c r="O431" s="8" t="n">
        <f aca="false">IF(AG431="2H Pause déjeuner",IF(F431-D431-0.0833333333333333&lt;0,F431-D431-0.0833333333333333+1,F431-D431-0.0833333333333333),IF(OR(AND(F431="OFF",D431="OFF"),AND(F431="Congé",D431="Congé"),AND(F431="Congé sans solde",D431="Congé sans solde"),AND(F431="Congé spécial",D431="Congé spécial"),AND(F431="Férié",D431="Férié"),AND(F431="OFF",D431="Congé"),AND(F431="OFF",D431="Congé sans solde"),AND(F431="OFF",D431="Congé spécial"),AND(F431="OFF",D431="Férié"),AND(F431="Congé",D431="OFF"),AND(F431="Congé",D431="Congé sans solde"),AND(F431="Congé",D431="Congé spécial"),AND(F431="Congé",D431="Férié"),AND(F431="Congé sans solde",D431="OFF"),AND(F431="Congé sans solde",D431="Congé"),AND(F431="Congé sans solde",D431="Congé spécial"),AND(F431="Congé sans solde",D431="Férié"),AND(F431="Congé spécial",D431="OFF"),AND(F431="Congé spécial",D431="Congé"),AND(F431="Congé spécial",D431="Congé sans solde"),AND(F431="Congé spécial",D431="Férié"),AND(F431="Férié",D431="OFF"),AND(F431="Férié",D431="Congé"),AND(F431="Férié",D431="Congé sans solde"),AND(F431="Férié",D431="Congé spécial")),0,IF(OR(F431="OFF",F431="Congé",F431="Congé spécial",F431="Congé sans solde",D431="OFF",D431="Congé",D431="Congé spécial",D431="Congé sans solde"),0.208333333333334,IF(AND(AG431="",F431-D431&lt;0),("24:00:00"-D431)+("00:00:00"+F431)-0.0416666666666667,IF(AND(OR(AG431="Allaitement",AG431="Sans déjeuner"),F431-D431&lt;0),("24:00:00"-D431)+("00:00:00"+F431),IF(AND(AG431="",F431-D431&gt;0.166666666666667),F431-D431-0.0416666666666667,IF(AND(OR(AG431="Allaitement",AG431="Sans déjeuner"),F431-D431&gt;0.166666666666667),F431-D431,F431-D431)))))))</f>
        <v>0</v>
      </c>
      <c r="P431" s="6" t="str">
        <f aca="false">IFERROR(VLOOKUP($B431,Agents!$A:$D,2,0),"-")</f>
        <v>Accessibilité</v>
      </c>
      <c r="Q431" s="21" t="n">
        <v>46089</v>
      </c>
      <c r="R431" s="8" t="n">
        <f aca="false">IF(M431="Abs",O431,0)</f>
        <v>0</v>
      </c>
      <c r="S431" s="8" t="n">
        <f aca="false">SUM(R431,L431,I431,J431,W431,H431)</f>
        <v>0</v>
      </c>
      <c r="T431" s="6" t="str">
        <f aca="false">"Sem - "&amp;WEEKNUM(Q431,21)</f>
        <v>Sem - 10</v>
      </c>
      <c r="U431" s="6" t="str">
        <f aca="false">CHOOSE(MONTH(Q431),"Janvier","Février","Mars","Avril","Mai","Juin","Juillet","Août","Septembre","Octobre","Novembre","Décembre")</f>
        <v>Mars</v>
      </c>
      <c r="V431" s="22" t="n">
        <f aca="false">YEAR(Q431)</f>
        <v>2026</v>
      </c>
      <c r="W431" s="20"/>
      <c r="X431" s="8" t="n">
        <f aca="false">IFERROR(IF(M431="Abs",0,IF(ROUND((D431-C431+E431-F431)*1440,0)&lt;=1,0,D431-C431+E431-F431)),0)</f>
        <v>0</v>
      </c>
      <c r="Y431" s="6" t="str">
        <f aca="false">IFERROR(VLOOKUP($B431,Agents!$A:$D,3,0),"-")</f>
        <v>OUBRAHIM Mohammed</v>
      </c>
      <c r="Z431" s="6" t="str">
        <f aca="false">IFERROR(VLOOKUP($B431,Agents!$A:$D,4,0),"-")</f>
        <v>Credit Mutuel</v>
      </c>
      <c r="AA431" s="18" t="s">
        <v>92</v>
      </c>
      <c r="AB431" s="8" t="str">
        <f aca="false">IF(AND(D431="Congé",F431="Congé"),0.333333333333333,IF(OR(AND(D431="Congé",F431&lt;&gt;"Congé"),(AND(F431="Congé",D431&lt;&gt;"Congé"))),0.166666666666667,""))</f>
        <v/>
      </c>
      <c r="AC431" s="8" t="str">
        <f aca="false">IF(AND(D431="Congé sans solde",F431="Congé sans solde"),0.333333333333333,IF(OR(AND(D431="Congé sans solde",F431&lt;&gt;"Congé sans solde"),(AND(F431="Congé sans solde",D431&lt;&gt;"Congé sans solde"))),0.166666666666667,""))</f>
        <v/>
      </c>
      <c r="AD431" s="8" t="str">
        <f aca="false">IF(AND(D431="Congé spécial",F431="Congé spécial"),0.333333333333333,IF(OR(AND(D431="Congé spécial",F431&lt;&gt;"Congé spécial"),AND(F431="Congé spécial",D431&lt;&gt;"Congé spécial")),0.166666666666667,""))</f>
        <v/>
      </c>
      <c r="AE431" s="8" t="str">
        <f aca="false">IF(AND(D431="Férié",F431="Férié"),0.333333333333333,IF(OR(AND(D431="Férié",F431&lt;&gt;"Férié"),(AND(F431="Férié",D431&lt;&gt;"Férié"))),0.166666666666667,""))</f>
        <v/>
      </c>
      <c r="AF431" s="18"/>
      <c r="AG431" s="18"/>
    </row>
    <row r="432" customFormat="false" ht="15" hidden="false" customHeight="false" outlineLevel="0" collapsed="false">
      <c r="A432" s="6" t="str">
        <f aca="false">YEAR(Q432-WEEKDAY(Q432,2)+4)&amp;"-S"&amp;TEXT(WEEKNUM(Q432,21),"00")</f>
        <v>2026-S10</v>
      </c>
      <c r="B432" s="18" t="s">
        <v>72</v>
      </c>
      <c r="C432" s="19"/>
      <c r="D432" s="19" t="s">
        <v>74</v>
      </c>
      <c r="E432" s="19"/>
      <c r="F432" s="19" t="s">
        <v>74</v>
      </c>
      <c r="G432" s="20"/>
      <c r="H432" s="20"/>
      <c r="I432" s="8" t="str">
        <f aca="false">IF(IF(OR(C432="",D432="Congé",D432="OFF",D432="Congé spécial"),"",IF(D432&gt;F432,D432-C432,IF(C432-D432&lt;0,0,C432-D432)))&lt;0.00068287037037037,"",IF(OR(D432="Congé",D432="OFF",C432="",D432="Congé spécial"),"",IF(D432&gt;F432,D432-C432,IF(C432-D432&lt;0,0,C432-D432))))</f>
        <v/>
      </c>
      <c r="J432" s="20"/>
      <c r="K432" s="8" t="n">
        <f aca="false">IF(SUM(H432:J432)&lt;0.00068287037037037,0,SUM(H432:J432))</f>
        <v>0</v>
      </c>
      <c r="L432" s="8" t="n">
        <f aca="false">IF(OR(F432="Congé",F432="OFF",M432="Abs",F432="Congé sans solde",F432="Férié",F432="Congé spécial",D432="Congé spécial"),0,IF(F432-E432&lt;0,0,IF(F432-E432&lt;=0.00068287037037037,0,F432-E432)))</f>
        <v>0</v>
      </c>
      <c r="M432" s="6" t="n">
        <f aca="false">IF(AND(O432&lt;&gt;0,C432=""),"Abs",0)</f>
        <v>0</v>
      </c>
      <c r="N432" s="8" t="str">
        <f aca="false">IFERROR(IF(OR(D432="OFF",D432="Congé",M432="Abs",D432="Congé sans solde",D432="Férié"),"",IF(O432-K432-L432&gt;O432,O432,IF(O432-K432-L432&lt;0,"",O432-K432-L432))),"")</f>
        <v/>
      </c>
      <c r="O432" s="8" t="n">
        <f aca="false">IF(AG432="2H Pause déjeuner",IF(F432-D432-0.0833333333333333&lt;0,F432-D432-0.0833333333333333+1,F432-D432-0.0833333333333333),IF(OR(AND(F432="OFF",D432="OFF"),AND(F432="Congé",D432="Congé"),AND(F432="Congé sans solde",D432="Congé sans solde"),AND(F432="Congé spécial",D432="Congé spécial"),AND(F432="Férié",D432="Férié"),AND(F432="OFF",D432="Congé"),AND(F432="OFF",D432="Congé sans solde"),AND(F432="OFF",D432="Congé spécial"),AND(F432="OFF",D432="Férié"),AND(F432="Congé",D432="OFF"),AND(F432="Congé",D432="Congé sans solde"),AND(F432="Congé",D432="Congé spécial"),AND(F432="Congé",D432="Férié"),AND(F432="Congé sans solde",D432="OFF"),AND(F432="Congé sans solde",D432="Congé"),AND(F432="Congé sans solde",D432="Congé spécial"),AND(F432="Congé sans solde",D432="Férié"),AND(F432="Congé spécial",D432="OFF"),AND(F432="Congé spécial",D432="Congé"),AND(F432="Congé spécial",D432="Congé sans solde"),AND(F432="Congé spécial",D432="Férié"),AND(F432="Férié",D432="OFF"),AND(F432="Férié",D432="Congé"),AND(F432="Férié",D432="Congé sans solde"),AND(F432="Férié",D432="Congé spécial")),0,IF(OR(F432="OFF",F432="Congé",F432="Congé spécial",F432="Congé sans solde",D432="OFF",D432="Congé",D432="Congé spécial",D432="Congé sans solde"),0.208333333333334,IF(AND(AG432="",F432-D432&lt;0),("24:00:00"-D432)+("00:00:00"+F432)-0.0416666666666667,IF(AND(OR(AG432="Allaitement",AG432="Sans déjeuner"),F432-D432&lt;0),("24:00:00"-D432)+("00:00:00"+F432),IF(AND(AG432="",F432-D432&gt;0.166666666666667),F432-D432-0.0416666666666667,IF(AND(OR(AG432="Allaitement",AG432="Sans déjeuner"),F432-D432&gt;0.166666666666667),F432-D432,F432-D432)))))))</f>
        <v>0</v>
      </c>
      <c r="P432" s="6" t="str">
        <f aca="false">IFERROR(VLOOKUP($B432,Agents!$A:$D,2,0),"-")</f>
        <v>Accessibilité</v>
      </c>
      <c r="Q432" s="21" t="n">
        <v>46089</v>
      </c>
      <c r="R432" s="8" t="n">
        <f aca="false">IF(M432="Abs",O432,0)</f>
        <v>0</v>
      </c>
      <c r="S432" s="8" t="n">
        <f aca="false">SUM(R432,L432,I432,J432,W432,H432)</f>
        <v>0</v>
      </c>
      <c r="T432" s="6" t="str">
        <f aca="false">"Sem - "&amp;WEEKNUM(Q432,21)</f>
        <v>Sem - 10</v>
      </c>
      <c r="U432" s="6" t="str">
        <f aca="false">CHOOSE(MONTH(Q432),"Janvier","Février","Mars","Avril","Mai","Juin","Juillet","Août","Septembre","Octobre","Novembre","Décembre")</f>
        <v>Mars</v>
      </c>
      <c r="V432" s="22" t="n">
        <f aca="false">YEAR(Q432)</f>
        <v>2026</v>
      </c>
      <c r="W432" s="20"/>
      <c r="X432" s="8" t="n">
        <f aca="false">IFERROR(IF(M432="Abs",0,IF(ROUND((D432-C432+E432-F432)*1440,0)&lt;=1,0,D432-C432+E432-F432)),0)</f>
        <v>0</v>
      </c>
      <c r="Y432" s="6" t="str">
        <f aca="false">IFERROR(VLOOKUP($B432,Agents!$A:$D,3,0),"-")</f>
        <v>OUBRAHIM Mohammed</v>
      </c>
      <c r="Z432" s="6" t="str">
        <f aca="false">IFERROR(VLOOKUP($B432,Agents!$A:$D,4,0),"-")</f>
        <v>Credit Mutuel</v>
      </c>
      <c r="AA432" s="18" t="s">
        <v>92</v>
      </c>
      <c r="AB432" s="8" t="str">
        <f aca="false">IF(AND(D432="Congé",F432="Congé"),0.333333333333333,IF(OR(AND(D432="Congé",F432&lt;&gt;"Congé"),(AND(F432="Congé",D432&lt;&gt;"Congé"))),0.166666666666667,""))</f>
        <v/>
      </c>
      <c r="AC432" s="8" t="str">
        <f aca="false">IF(AND(D432="Congé sans solde",F432="Congé sans solde"),0.333333333333333,IF(OR(AND(D432="Congé sans solde",F432&lt;&gt;"Congé sans solde"),(AND(F432="Congé sans solde",D432&lt;&gt;"Congé sans solde"))),0.166666666666667,""))</f>
        <v/>
      </c>
      <c r="AD432" s="8" t="str">
        <f aca="false">IF(AND(D432="Congé spécial",F432="Congé spécial"),0.333333333333333,IF(OR(AND(D432="Congé spécial",F432&lt;&gt;"Congé spécial"),AND(F432="Congé spécial",D432&lt;&gt;"Congé spécial")),0.166666666666667,""))</f>
        <v/>
      </c>
      <c r="AE432" s="8" t="str">
        <f aca="false">IF(AND(D432="Férié",F432="Férié"),0.333333333333333,IF(OR(AND(D432="Férié",F432&lt;&gt;"Férié"),(AND(F432="Férié",D432&lt;&gt;"Férié"))),0.166666666666667,""))</f>
        <v/>
      </c>
      <c r="AF432" s="18"/>
      <c r="AG432" s="18"/>
    </row>
    <row r="433" customFormat="false" ht="15" hidden="false" customHeight="false" outlineLevel="0" collapsed="false">
      <c r="A433" s="6" t="str">
        <f aca="false">YEAR(Q433-WEEKDAY(Q433,2)+4)&amp;"-S"&amp;TEXT(WEEKNUM(Q433,21),"00")</f>
        <v>2026-S10</v>
      </c>
      <c r="B433" s="18" t="s">
        <v>73</v>
      </c>
      <c r="C433" s="19"/>
      <c r="D433" s="19" t="s">
        <v>74</v>
      </c>
      <c r="E433" s="19"/>
      <c r="F433" s="19" t="s">
        <v>74</v>
      </c>
      <c r="G433" s="20"/>
      <c r="H433" s="20"/>
      <c r="I433" s="8" t="str">
        <f aca="false">IF(IF(OR(C433="",D433="Congé",D433="OFF",D433="Congé spécial"),"",IF(D433&gt;F433,D433-C433,IF(C433-D433&lt;0,0,C433-D433)))&lt;0.00068287037037037,"",IF(OR(D433="Congé",D433="OFF",C433="",D433="Congé spécial"),"",IF(D433&gt;F433,D433-C433,IF(C433-D433&lt;0,0,C433-D433))))</f>
        <v/>
      </c>
      <c r="J433" s="20"/>
      <c r="K433" s="8" t="n">
        <f aca="false">IF(SUM(H433:J433)&lt;0.00068287037037037,0,SUM(H433:J433))</f>
        <v>0</v>
      </c>
      <c r="L433" s="8" t="n">
        <f aca="false">IF(OR(F433="Congé",F433="OFF",M433="Abs",F433="Congé sans solde",F433="Férié",F433="Congé spécial",D433="Congé spécial"),0,IF(F433-E433&lt;0,0,IF(F433-E433&lt;=0.00068287037037037,0,F433-E433)))</f>
        <v>0</v>
      </c>
      <c r="M433" s="6" t="n">
        <f aca="false">IF(AND(O433&lt;&gt;0,C433=""),"Abs",0)</f>
        <v>0</v>
      </c>
      <c r="N433" s="8" t="str">
        <f aca="false">IFERROR(IF(OR(D433="OFF",D433="Congé",M433="Abs",D433="Congé sans solde",D433="Férié"),"",IF(O433-K433-L433&gt;O433,O433,IF(O433-K433-L433&lt;0,"",O433-K433-L433))),"")</f>
        <v/>
      </c>
      <c r="O433" s="8" t="n">
        <f aca="false">IF(AG433="2H Pause déjeuner",IF(F433-D433-0.0833333333333333&lt;0,F433-D433-0.0833333333333333+1,F433-D433-0.0833333333333333),IF(OR(AND(F433="OFF",D433="OFF"),AND(F433="Congé",D433="Congé"),AND(F433="Congé sans solde",D433="Congé sans solde"),AND(F433="Congé spécial",D433="Congé spécial"),AND(F433="Férié",D433="Férié"),AND(F433="OFF",D433="Congé"),AND(F433="OFF",D433="Congé sans solde"),AND(F433="OFF",D433="Congé spécial"),AND(F433="OFF",D433="Férié"),AND(F433="Congé",D433="OFF"),AND(F433="Congé",D433="Congé sans solde"),AND(F433="Congé",D433="Congé spécial"),AND(F433="Congé",D433="Férié"),AND(F433="Congé sans solde",D433="OFF"),AND(F433="Congé sans solde",D433="Congé"),AND(F433="Congé sans solde",D433="Congé spécial"),AND(F433="Congé sans solde",D433="Férié"),AND(F433="Congé spécial",D433="OFF"),AND(F433="Congé spécial",D433="Congé"),AND(F433="Congé spécial",D433="Congé sans solde"),AND(F433="Congé spécial",D433="Férié"),AND(F433="Férié",D433="OFF"),AND(F433="Férié",D433="Congé"),AND(F433="Férié",D433="Congé sans solde"),AND(F433="Férié",D433="Congé spécial")),0,IF(OR(F433="OFF",F433="Congé",F433="Congé spécial",F433="Congé sans solde",D433="OFF",D433="Congé",D433="Congé spécial",D433="Congé sans solde"),0.208333333333334,IF(AND(AG433="",F433-D433&lt;0),("24:00:00"-D433)+("00:00:00"+F433)-0.0416666666666667,IF(AND(OR(AG433="Allaitement",AG433="Sans déjeuner"),F433-D433&lt;0),("24:00:00"-D433)+("00:00:00"+F433),IF(AND(AG433="",F433-D433&gt;0.166666666666667),F433-D433-0.0416666666666667,IF(AND(OR(AG433="Allaitement",AG433="Sans déjeuner"),F433-D433&gt;0.166666666666667),F433-D433,F433-D433)))))))</f>
        <v>0</v>
      </c>
      <c r="P433" s="6" t="str">
        <f aca="false">IFERROR(VLOOKUP($B433,Agents!$A:$D,2,0),"-")</f>
        <v>Accessibilité</v>
      </c>
      <c r="Q433" s="21" t="n">
        <v>46089</v>
      </c>
      <c r="R433" s="8" t="n">
        <f aca="false">IF(M433="Abs",O433,0)</f>
        <v>0</v>
      </c>
      <c r="S433" s="8" t="n">
        <f aca="false">SUM(R433,L433,I433,J433,W433,H433)</f>
        <v>0</v>
      </c>
      <c r="T433" s="6" t="str">
        <f aca="false">"Sem - "&amp;WEEKNUM(Q433,21)</f>
        <v>Sem - 10</v>
      </c>
      <c r="U433" s="6" t="str">
        <f aca="false">CHOOSE(MONTH(Q433),"Janvier","Février","Mars","Avril","Mai","Juin","Juillet","Août","Septembre","Octobre","Novembre","Décembre")</f>
        <v>Mars</v>
      </c>
      <c r="V433" s="22" t="n">
        <f aca="false">YEAR(Q433)</f>
        <v>2026</v>
      </c>
      <c r="W433" s="20"/>
      <c r="X433" s="8" t="n">
        <f aca="false">IFERROR(IF(M433="Abs",0,IF(ROUND((D433-C433+E433-F433)*1440,0)&lt;=1,0,D433-C433+E433-F433)),0)</f>
        <v>0</v>
      </c>
      <c r="Y433" s="6" t="str">
        <f aca="false">IFERROR(VLOOKUP($B433,Agents!$A:$D,3,0),"-")</f>
        <v>OUBRAHIM Mohammed</v>
      </c>
      <c r="Z433" s="6" t="str">
        <f aca="false">IFERROR(VLOOKUP($B433,Agents!$A:$D,4,0),"-")</f>
        <v>Credit Mutuel</v>
      </c>
      <c r="AA433" s="18" t="s">
        <v>92</v>
      </c>
      <c r="AB433" s="8" t="str">
        <f aca="false">IF(AND(D433="Congé",F433="Congé"),0.333333333333333,IF(OR(AND(D433="Congé",F433&lt;&gt;"Congé"),(AND(F433="Congé",D433&lt;&gt;"Congé"))),0.166666666666667,""))</f>
        <v/>
      </c>
      <c r="AC433" s="8" t="str">
        <f aca="false">IF(AND(D433="Congé sans solde",F433="Congé sans solde"),0.333333333333333,IF(OR(AND(D433="Congé sans solde",F433&lt;&gt;"Congé sans solde"),(AND(F433="Congé sans solde",D433&lt;&gt;"Congé sans solde"))),0.166666666666667,""))</f>
        <v/>
      </c>
      <c r="AD433" s="8" t="str">
        <f aca="false">IF(AND(D433="Congé spécial",F433="Congé spécial"),0.333333333333333,IF(OR(AND(D433="Congé spécial",F433&lt;&gt;"Congé spécial"),AND(F433="Congé spécial",D433&lt;&gt;"Congé spécial")),0.166666666666667,""))</f>
        <v/>
      </c>
      <c r="AE433" s="8" t="str">
        <f aca="false">IF(AND(D433="Férié",F433="Férié"),0.333333333333333,IF(OR(AND(D433="Férié",F433&lt;&gt;"Férié"),(AND(F433="Férié",D433&lt;&gt;"Férié"))),0.166666666666667,""))</f>
        <v/>
      </c>
      <c r="AF433" s="18"/>
      <c r="AG433" s="18"/>
    </row>
    <row r="434" customFormat="false" ht="15" hidden="false" customHeight="false" outlineLevel="0" collapsed="false">
      <c r="A434" s="6" t="str">
        <f aca="false">YEAR(Q434-WEEKDAY(Q434,2)+4)&amp;"-S"&amp;TEXT(WEEKNUM(Q434,21),"00")</f>
        <v>2026-S11</v>
      </c>
      <c r="B434" s="18" t="s">
        <v>69</v>
      </c>
      <c r="C434" s="19" t="n">
        <v>0.332638888888889</v>
      </c>
      <c r="D434" s="19" t="n">
        <v>0.333333333333333</v>
      </c>
      <c r="E434" s="19" t="n">
        <v>0.708333333333333</v>
      </c>
      <c r="F434" s="19" t="n">
        <v>0.708333333333333</v>
      </c>
      <c r="G434" s="20"/>
      <c r="H434" s="20"/>
      <c r="I434" s="8" t="str">
        <f aca="false">IF(IF(OR(C434="",D434="Congé",D434="OFF",D434="Congé spécial"),"",IF(D434&gt;F434,D434-C434,IF(C434-D434&lt;0,0,C434-D434)))&lt;0.00068287037037037,"",IF(OR(D434="Congé",D434="OFF",C434="",D434="Congé spécial"),"",IF(D434&gt;F434,D434-C434,IF(C434-D434&lt;0,0,C434-D434))))</f>
        <v/>
      </c>
      <c r="J434" s="20"/>
      <c r="K434" s="8" t="n">
        <f aca="false">IF(SUM(H434:J434)&lt;0.00068287037037037,0,SUM(H434:J434))</f>
        <v>0</v>
      </c>
      <c r="L434" s="8" t="n">
        <f aca="false">IF(OR(F434="Congé",F434="OFF",M434="Abs",F434="Congé sans solde",F434="Férié",F434="Congé spécial",D434="Congé spécial"),0,IF(F434-E434&lt;0,0,IF(F434-E434&lt;=0.00068287037037037,0,F434-E434)))</f>
        <v>0</v>
      </c>
      <c r="M434" s="6" t="n">
        <f aca="false">IF(AND(O434&lt;&gt;0,C434=""),"Abs",0)</f>
        <v>0</v>
      </c>
      <c r="N434" s="8" t="n">
        <f aca="false">IFERROR(IF(OR(D434="OFF",D434="Congé",M434="Abs",D434="Congé sans solde",D434="Férié"),"",IF(O434-K434-L434&gt;O434,O434,IF(O434-K434-L434&lt;0,"",O434-K434-L434))),"")</f>
        <v>0.375</v>
      </c>
      <c r="O434" s="8" t="n">
        <f aca="false">IF(AG434="2H Pause déjeuner",IF(F434-D434-0.0833333333333333&lt;0,F434-D434-0.0833333333333333+1,F434-D434-0.0833333333333333),IF(OR(AND(F434="OFF",D434="OFF"),AND(F434="Congé",D434="Congé"),AND(F434="Congé sans solde",D434="Congé sans solde"),AND(F434="Congé spécial",D434="Congé spécial"),AND(F434="Férié",D434="Férié"),AND(F434="OFF",D434="Congé"),AND(F434="OFF",D434="Congé sans solde"),AND(F434="OFF",D434="Congé spécial"),AND(F434="OFF",D434="Férié"),AND(F434="Congé",D434="OFF"),AND(F434="Congé",D434="Congé sans solde"),AND(F434="Congé",D434="Congé spécial"),AND(F434="Congé",D434="Férié"),AND(F434="Congé sans solde",D434="OFF"),AND(F434="Congé sans solde",D434="Congé"),AND(F434="Congé sans solde",D434="Congé spécial"),AND(F434="Congé sans solde",D434="Férié"),AND(F434="Congé spécial",D434="OFF"),AND(F434="Congé spécial",D434="Congé"),AND(F434="Congé spécial",D434="Congé sans solde"),AND(F434="Congé spécial",D434="Férié"),AND(F434="Férié",D434="OFF"),AND(F434="Férié",D434="Congé"),AND(F434="Férié",D434="Congé sans solde"),AND(F434="Férié",D434="Congé spécial")),0,IF(OR(F434="OFF",F434="Congé",F434="Congé spécial",F434="Congé sans solde",D434="OFF",D434="Congé",D434="Congé spécial",D434="Congé sans solde"),0.208333333333334,IF(AND(AG434="",F434-D434&lt;0),("24:00:00"-D434)+("00:00:00"+F434)-0.0416666666666667,IF(AND(OR(AG434="Allaitement",AG434="Sans déjeuner"),F434-D434&lt;0),("24:00:00"-D434)+("00:00:00"+F434),IF(AND(AG434="",F434-D434&gt;0.166666666666667),F434-D434-0.0416666666666667,IF(AND(OR(AG434="Allaitement",AG434="Sans déjeuner"),F434-D434&gt;0.166666666666667),F434-D434,F434-D434)))))))</f>
        <v>0.375</v>
      </c>
      <c r="P434" s="6" t="str">
        <f aca="false">IFERROR(VLOOKUP($B434,Agents!$A:$D,2,0),"-")</f>
        <v>Accessibilité</v>
      </c>
      <c r="Q434" s="21" t="n">
        <v>46090</v>
      </c>
      <c r="R434" s="8" t="n">
        <f aca="false">IF(M434="Abs",O434,0)</f>
        <v>0</v>
      </c>
      <c r="S434" s="8" t="n">
        <f aca="false">SUM(R434,L434,I434,J434,W434,H434)</f>
        <v>0</v>
      </c>
      <c r="T434" s="6" t="str">
        <f aca="false">"Sem - "&amp;WEEKNUM(Q434,21)</f>
        <v>Sem - 11</v>
      </c>
      <c r="U434" s="6" t="str">
        <f aca="false">CHOOSE(MONTH(Q434),"Janvier","Février","Mars","Avril","Mai","Juin","Juillet","Août","Septembre","Octobre","Novembre","Décembre")</f>
        <v>Mars</v>
      </c>
      <c r="V434" s="22" t="n">
        <f aca="false">YEAR(Q434)</f>
        <v>2026</v>
      </c>
      <c r="W434" s="20"/>
      <c r="X434" s="8" t="n">
        <f aca="false">IFERROR(IF(M434="Abs",0,IF(ROUND((D434-C434+E434-F434)*1440,0)&lt;=1,0,D434-C434+E434-F434)),0)</f>
        <v>0</v>
      </c>
      <c r="Y434" s="6" t="str">
        <f aca="false">IFERROR(VLOOKUP($B434,Agents!$A:$D,3,0),"-")</f>
        <v>OUBRAHIM Mohammed</v>
      </c>
      <c r="Z434" s="6" t="str">
        <f aca="false">IFERROR(VLOOKUP($B434,Agents!$A:$D,4,0),"-")</f>
        <v>Credit Mutuel</v>
      </c>
      <c r="AA434" s="18" t="s">
        <v>93</v>
      </c>
      <c r="AB434" s="8" t="str">
        <f aca="false">IF(AND(D434="Congé",F434="Congé"),0.333333333333333,IF(OR(AND(D434="Congé",F434&lt;&gt;"Congé"),(AND(F434="Congé",D434&lt;&gt;"Congé"))),0.166666666666667,""))</f>
        <v/>
      </c>
      <c r="AC434" s="8" t="str">
        <f aca="false">IF(AND(D434="Congé sans solde",F434="Congé sans solde"),0.333333333333333,IF(OR(AND(D434="Congé sans solde",F434&lt;&gt;"Congé sans solde"),(AND(F434="Congé sans solde",D434&lt;&gt;"Congé sans solde"))),0.166666666666667,""))</f>
        <v/>
      </c>
      <c r="AD434" s="8" t="str">
        <f aca="false">IF(AND(D434="Congé spécial",F434="Congé spécial"),0.333333333333333,IF(OR(AND(D434="Congé spécial",F434&lt;&gt;"Congé spécial"),AND(F434="Congé spécial",D434&lt;&gt;"Congé spécial")),0.166666666666667,""))</f>
        <v/>
      </c>
      <c r="AE434" s="8" t="str">
        <f aca="false">IF(AND(D434="Férié",F434="Férié"),0.333333333333333,IF(OR(AND(D434="Férié",F434&lt;&gt;"Férié"),(AND(F434="Férié",D434&lt;&gt;"Férié"))),0.166666666666667,""))</f>
        <v/>
      </c>
      <c r="AF434" s="18"/>
      <c r="AG434" s="18" t="s">
        <v>91</v>
      </c>
    </row>
    <row r="435" customFormat="false" ht="15" hidden="false" customHeight="false" outlineLevel="0" collapsed="false">
      <c r="A435" s="6" t="str">
        <f aca="false">YEAR(Q435-WEEKDAY(Q435,2)+4)&amp;"-S"&amp;TEXT(WEEKNUM(Q435,21),"00")</f>
        <v>2026-S11</v>
      </c>
      <c r="B435" s="18" t="s">
        <v>71</v>
      </c>
      <c r="C435" s="19" t="n">
        <v>0.332638888888889</v>
      </c>
      <c r="D435" s="19" t="n">
        <v>0.333333333333333</v>
      </c>
      <c r="E435" s="19" t="n">
        <v>0.708333333333333</v>
      </c>
      <c r="F435" s="19" t="n">
        <v>0.708333333333333</v>
      </c>
      <c r="G435" s="20"/>
      <c r="H435" s="20"/>
      <c r="I435" s="8" t="str">
        <f aca="false">IF(IF(OR(C435="",D435="Congé",D435="OFF",D435="Congé spécial"),"",IF(D435&gt;F435,D435-C435,IF(C435-D435&lt;0,0,C435-D435)))&lt;0.00068287037037037,"",IF(OR(D435="Congé",D435="OFF",C435="",D435="Congé spécial"),"",IF(D435&gt;F435,D435-C435,IF(C435-D435&lt;0,0,C435-D435))))</f>
        <v/>
      </c>
      <c r="J435" s="20"/>
      <c r="K435" s="8" t="n">
        <f aca="false">IF(SUM(H435:J435)&lt;0.00068287037037037,0,SUM(H435:J435))</f>
        <v>0</v>
      </c>
      <c r="L435" s="8" t="n">
        <f aca="false">IF(OR(F435="Congé",F435="OFF",M435="Abs",F435="Congé sans solde",F435="Férié",F435="Congé spécial",D435="Congé spécial"),0,IF(F435-E435&lt;0,0,IF(F435-E435&lt;=0.00068287037037037,0,F435-E435)))</f>
        <v>0</v>
      </c>
      <c r="M435" s="6" t="n">
        <f aca="false">IF(AND(O435&lt;&gt;0,C435=""),"Abs",0)</f>
        <v>0</v>
      </c>
      <c r="N435" s="8" t="n">
        <f aca="false">IFERROR(IF(OR(D435="OFF",D435="Congé",M435="Abs",D435="Congé sans solde",D435="Férié"),"",IF(O435-K435-L435&gt;O435,O435,IF(O435-K435-L435&lt;0,"",O435-K435-L435))),"")</f>
        <v>0.375</v>
      </c>
      <c r="O435" s="8" t="n">
        <f aca="false">IF(AG435="2H Pause déjeuner",IF(F435-D435-0.0833333333333333&lt;0,F435-D435-0.0833333333333333+1,F435-D435-0.0833333333333333),IF(OR(AND(F435="OFF",D435="OFF"),AND(F435="Congé",D435="Congé"),AND(F435="Congé sans solde",D435="Congé sans solde"),AND(F435="Congé spécial",D435="Congé spécial"),AND(F435="Férié",D435="Férié"),AND(F435="OFF",D435="Congé"),AND(F435="OFF",D435="Congé sans solde"),AND(F435="OFF",D435="Congé spécial"),AND(F435="OFF",D435="Férié"),AND(F435="Congé",D435="OFF"),AND(F435="Congé",D435="Congé sans solde"),AND(F435="Congé",D435="Congé spécial"),AND(F435="Congé",D435="Férié"),AND(F435="Congé sans solde",D435="OFF"),AND(F435="Congé sans solde",D435="Congé"),AND(F435="Congé sans solde",D435="Congé spécial"),AND(F435="Congé sans solde",D435="Férié"),AND(F435="Congé spécial",D435="OFF"),AND(F435="Congé spécial",D435="Congé"),AND(F435="Congé spécial",D435="Congé sans solde"),AND(F435="Congé spécial",D435="Férié"),AND(F435="Férié",D435="OFF"),AND(F435="Férié",D435="Congé"),AND(F435="Férié",D435="Congé sans solde"),AND(F435="Férié",D435="Congé spécial")),0,IF(OR(F435="OFF",F435="Congé",F435="Congé spécial",F435="Congé sans solde",D435="OFF",D435="Congé",D435="Congé spécial",D435="Congé sans solde"),0.208333333333334,IF(AND(AG435="",F435-D435&lt;0),("24:00:00"-D435)+("00:00:00"+F435)-0.0416666666666667,IF(AND(OR(AG435="Allaitement",AG435="Sans déjeuner"),F435-D435&lt;0),("24:00:00"-D435)+("00:00:00"+F435),IF(AND(AG435="",F435-D435&gt;0.166666666666667),F435-D435-0.0416666666666667,IF(AND(OR(AG435="Allaitement",AG435="Sans déjeuner"),F435-D435&gt;0.166666666666667),F435-D435,F435-D435)))))))</f>
        <v>0.375</v>
      </c>
      <c r="P435" s="6" t="str">
        <f aca="false">IFERROR(VLOOKUP($B435,Agents!$A:$D,2,0),"-")</f>
        <v>Accessibilité</v>
      </c>
      <c r="Q435" s="21" t="n">
        <v>46090</v>
      </c>
      <c r="R435" s="8" t="n">
        <f aca="false">IF(M435="Abs",O435,0)</f>
        <v>0</v>
      </c>
      <c r="S435" s="8" t="n">
        <f aca="false">SUM(R435,L435,I435,J435,W435,H435)</f>
        <v>0</v>
      </c>
      <c r="T435" s="6" t="str">
        <f aca="false">"Sem - "&amp;WEEKNUM(Q435,21)</f>
        <v>Sem - 11</v>
      </c>
      <c r="U435" s="6" t="str">
        <f aca="false">CHOOSE(MONTH(Q435),"Janvier","Février","Mars","Avril","Mai","Juin","Juillet","Août","Septembre","Octobre","Novembre","Décembre")</f>
        <v>Mars</v>
      </c>
      <c r="V435" s="22" t="n">
        <f aca="false">YEAR(Q435)</f>
        <v>2026</v>
      </c>
      <c r="W435" s="20"/>
      <c r="X435" s="8" t="n">
        <f aca="false">IFERROR(IF(M435="Abs",0,IF(ROUND((D435-C435+E435-F435)*1440,0)&lt;=1,0,D435-C435+E435-F435)),0)</f>
        <v>0</v>
      </c>
      <c r="Y435" s="6" t="str">
        <f aca="false">IFERROR(VLOOKUP($B435,Agents!$A:$D,3,0),"-")</f>
        <v>OUBRAHIM Mohammed</v>
      </c>
      <c r="Z435" s="6" t="str">
        <f aca="false">IFERROR(VLOOKUP($B435,Agents!$A:$D,4,0),"-")</f>
        <v>Credit Mutuel</v>
      </c>
      <c r="AA435" s="18" t="s">
        <v>93</v>
      </c>
      <c r="AB435" s="8" t="str">
        <f aca="false">IF(AND(D435="Congé",F435="Congé"),0.333333333333333,IF(OR(AND(D435="Congé",F435&lt;&gt;"Congé"),(AND(F435="Congé",D435&lt;&gt;"Congé"))),0.166666666666667,""))</f>
        <v/>
      </c>
      <c r="AC435" s="8" t="str">
        <f aca="false">IF(AND(D435="Congé sans solde",F435="Congé sans solde"),0.333333333333333,IF(OR(AND(D435="Congé sans solde",F435&lt;&gt;"Congé sans solde"),(AND(F435="Congé sans solde",D435&lt;&gt;"Congé sans solde"))),0.166666666666667,""))</f>
        <v/>
      </c>
      <c r="AD435" s="8" t="str">
        <f aca="false">IF(AND(D435="Congé spécial",F435="Congé spécial"),0.333333333333333,IF(OR(AND(D435="Congé spécial",F435&lt;&gt;"Congé spécial"),AND(F435="Congé spécial",D435&lt;&gt;"Congé spécial")),0.166666666666667,""))</f>
        <v/>
      </c>
      <c r="AE435" s="8" t="str">
        <f aca="false">IF(AND(D435="Férié",F435="Férié"),0.333333333333333,IF(OR(AND(D435="Férié",F435&lt;&gt;"Férié"),(AND(F435="Férié",D435&lt;&gt;"Férié"))),0.166666666666667,""))</f>
        <v/>
      </c>
      <c r="AF435" s="18"/>
      <c r="AG435" s="18" t="s">
        <v>91</v>
      </c>
    </row>
    <row r="436" customFormat="false" ht="15" hidden="false" customHeight="false" outlineLevel="0" collapsed="false">
      <c r="A436" s="6" t="str">
        <f aca="false">YEAR(Q436-WEEKDAY(Q436,2)+4)&amp;"-S"&amp;TEXT(WEEKNUM(Q436,21),"00")</f>
        <v>2026-S11</v>
      </c>
      <c r="B436" s="18" t="s">
        <v>72</v>
      </c>
      <c r="C436" s="19" t="n">
        <v>0.331944444444444</v>
      </c>
      <c r="D436" s="19" t="n">
        <v>0.333333333333333</v>
      </c>
      <c r="E436" s="19" t="n">
        <v>0.708333333333333</v>
      </c>
      <c r="F436" s="19" t="n">
        <v>0.708333333333333</v>
      </c>
      <c r="G436" s="20"/>
      <c r="H436" s="20"/>
      <c r="I436" s="8" t="str">
        <f aca="false">IF(IF(OR(C436="",D436="Congé",D436="OFF",D436="Congé spécial"),"",IF(D436&gt;F436,D436-C436,IF(C436-D436&lt;0,0,C436-D436)))&lt;0.00068287037037037,"",IF(OR(D436="Congé",D436="OFF",C436="",D436="Congé spécial"),"",IF(D436&gt;F436,D436-C436,IF(C436-D436&lt;0,0,C436-D436))))</f>
        <v/>
      </c>
      <c r="J436" s="20"/>
      <c r="K436" s="8" t="n">
        <f aca="false">IF(SUM(H436:J436)&lt;0.00068287037037037,0,SUM(H436:J436))</f>
        <v>0</v>
      </c>
      <c r="L436" s="8" t="n">
        <f aca="false">IF(OR(F436="Congé",F436="OFF",M436="Abs",F436="Congé sans solde",F436="Férié",F436="Congé spécial",D436="Congé spécial"),0,IF(F436-E436&lt;0,0,IF(F436-E436&lt;=0.00068287037037037,0,F436-E436)))</f>
        <v>0</v>
      </c>
      <c r="M436" s="6" t="n">
        <f aca="false">IF(AND(O436&lt;&gt;0,C436=""),"Abs",0)</f>
        <v>0</v>
      </c>
      <c r="N436" s="8" t="n">
        <f aca="false">IFERROR(IF(OR(D436="OFF",D436="Congé",M436="Abs",D436="Congé sans solde",D436="Férié"),"",IF(O436-K436-L436&gt;O436,O436,IF(O436-K436-L436&lt;0,"",O436-K436-L436))),"")</f>
        <v>0.375</v>
      </c>
      <c r="O436" s="8" t="n">
        <f aca="false">IF(AG436="2H Pause déjeuner",IF(F436-D436-0.0833333333333333&lt;0,F436-D436-0.0833333333333333+1,F436-D436-0.0833333333333333),IF(OR(AND(F436="OFF",D436="OFF"),AND(F436="Congé",D436="Congé"),AND(F436="Congé sans solde",D436="Congé sans solde"),AND(F436="Congé spécial",D436="Congé spécial"),AND(F436="Férié",D436="Férié"),AND(F436="OFF",D436="Congé"),AND(F436="OFF",D436="Congé sans solde"),AND(F436="OFF",D436="Congé spécial"),AND(F436="OFF",D436="Férié"),AND(F436="Congé",D436="OFF"),AND(F436="Congé",D436="Congé sans solde"),AND(F436="Congé",D436="Congé spécial"),AND(F436="Congé",D436="Férié"),AND(F436="Congé sans solde",D436="OFF"),AND(F436="Congé sans solde",D436="Congé"),AND(F436="Congé sans solde",D436="Congé spécial"),AND(F436="Congé sans solde",D436="Férié"),AND(F436="Congé spécial",D436="OFF"),AND(F436="Congé spécial",D436="Congé"),AND(F436="Congé spécial",D436="Congé sans solde"),AND(F436="Congé spécial",D436="Férié"),AND(F436="Férié",D436="OFF"),AND(F436="Férié",D436="Congé"),AND(F436="Férié",D436="Congé sans solde"),AND(F436="Férié",D436="Congé spécial")),0,IF(OR(F436="OFF",F436="Congé",F436="Congé spécial",F436="Congé sans solde",D436="OFF",D436="Congé",D436="Congé spécial",D436="Congé sans solde"),0.208333333333334,IF(AND(AG436="",F436-D436&lt;0),("24:00:00"-D436)+("00:00:00"+F436)-0.0416666666666667,IF(AND(OR(AG436="Allaitement",AG436="Sans déjeuner"),F436-D436&lt;0),("24:00:00"-D436)+("00:00:00"+F436),IF(AND(AG436="",F436-D436&gt;0.166666666666667),F436-D436-0.0416666666666667,IF(AND(OR(AG436="Allaitement",AG436="Sans déjeuner"),F436-D436&gt;0.166666666666667),F436-D436,F436-D436)))))))</f>
        <v>0.375</v>
      </c>
      <c r="P436" s="6" t="str">
        <f aca="false">IFERROR(VLOOKUP($B436,Agents!$A:$D,2,0),"-")</f>
        <v>Accessibilité</v>
      </c>
      <c r="Q436" s="21" t="n">
        <v>46090</v>
      </c>
      <c r="R436" s="8" t="n">
        <f aca="false">IF(M436="Abs",O436,0)</f>
        <v>0</v>
      </c>
      <c r="S436" s="8" t="n">
        <f aca="false">SUM(R436,L436,I436,J436,W436,H436)</f>
        <v>0</v>
      </c>
      <c r="T436" s="6" t="str">
        <f aca="false">"Sem - "&amp;WEEKNUM(Q436,21)</f>
        <v>Sem - 11</v>
      </c>
      <c r="U436" s="6" t="str">
        <f aca="false">CHOOSE(MONTH(Q436),"Janvier","Février","Mars","Avril","Mai","Juin","Juillet","Août","Septembre","Octobre","Novembre","Décembre")</f>
        <v>Mars</v>
      </c>
      <c r="V436" s="22" t="n">
        <f aca="false">YEAR(Q436)</f>
        <v>2026</v>
      </c>
      <c r="W436" s="20"/>
      <c r="X436" s="8" t="n">
        <f aca="false">IFERROR(IF(M436="Abs",0,IF(ROUND((D436-C436+E436-F436)*1440,0)&lt;=1,0,D436-C436+E436-F436)),0)</f>
        <v>0.00138888888888889</v>
      </c>
      <c r="Y436" s="6" t="str">
        <f aca="false">IFERROR(VLOOKUP($B436,Agents!$A:$D,3,0),"-")</f>
        <v>OUBRAHIM Mohammed</v>
      </c>
      <c r="Z436" s="6" t="str">
        <f aca="false">IFERROR(VLOOKUP($B436,Agents!$A:$D,4,0),"-")</f>
        <v>Credit Mutuel</v>
      </c>
      <c r="AA436" s="18" t="s">
        <v>93</v>
      </c>
      <c r="AB436" s="8" t="str">
        <f aca="false">IF(AND(D436="Congé",F436="Congé"),0.333333333333333,IF(OR(AND(D436="Congé",F436&lt;&gt;"Congé"),(AND(F436="Congé",D436&lt;&gt;"Congé"))),0.166666666666667,""))</f>
        <v/>
      </c>
      <c r="AC436" s="8" t="str">
        <f aca="false">IF(AND(D436="Congé sans solde",F436="Congé sans solde"),0.333333333333333,IF(OR(AND(D436="Congé sans solde",F436&lt;&gt;"Congé sans solde"),(AND(F436="Congé sans solde",D436&lt;&gt;"Congé sans solde"))),0.166666666666667,""))</f>
        <v/>
      </c>
      <c r="AD436" s="8" t="str">
        <f aca="false">IF(AND(D436="Congé spécial",F436="Congé spécial"),0.333333333333333,IF(OR(AND(D436="Congé spécial",F436&lt;&gt;"Congé spécial"),AND(F436="Congé spécial",D436&lt;&gt;"Congé spécial")),0.166666666666667,""))</f>
        <v/>
      </c>
      <c r="AE436" s="8" t="str">
        <f aca="false">IF(AND(D436="Férié",F436="Férié"),0.333333333333333,IF(OR(AND(D436="Férié",F436&lt;&gt;"Férié"),(AND(F436="Férié",D436&lt;&gt;"Férié"))),0.166666666666667,""))</f>
        <v/>
      </c>
      <c r="AF436" s="18"/>
      <c r="AG436" s="18" t="s">
        <v>91</v>
      </c>
    </row>
    <row r="437" customFormat="false" ht="15" hidden="false" customHeight="false" outlineLevel="0" collapsed="false">
      <c r="A437" s="6" t="str">
        <f aca="false">YEAR(Q437-WEEKDAY(Q437,2)+4)&amp;"-S"&amp;TEXT(WEEKNUM(Q437,21),"00")</f>
        <v>2026-S11</v>
      </c>
      <c r="B437" s="18" t="s">
        <v>73</v>
      </c>
      <c r="C437" s="19" t="n">
        <v>0.33125</v>
      </c>
      <c r="D437" s="19" t="n">
        <v>0.333333333333333</v>
      </c>
      <c r="E437" s="19" t="n">
        <v>0.708333333333333</v>
      </c>
      <c r="F437" s="19" t="n">
        <v>0.708333333333333</v>
      </c>
      <c r="G437" s="20"/>
      <c r="H437" s="20"/>
      <c r="I437" s="8" t="str">
        <f aca="false">IF(IF(OR(C437="",D437="Congé",D437="OFF",D437="Congé spécial"),"",IF(D437&gt;F437,D437-C437,IF(C437-D437&lt;0,0,C437-D437)))&lt;0.00068287037037037,"",IF(OR(D437="Congé",D437="OFF",C437="",D437="Congé spécial"),"",IF(D437&gt;F437,D437-C437,IF(C437-D437&lt;0,0,C437-D437))))</f>
        <v/>
      </c>
      <c r="J437" s="20"/>
      <c r="K437" s="8" t="n">
        <f aca="false">IF(SUM(H437:J437)&lt;0.00068287037037037,0,SUM(H437:J437))</f>
        <v>0</v>
      </c>
      <c r="L437" s="8" t="n">
        <f aca="false">IF(OR(F437="Congé",F437="OFF",M437="Abs",F437="Congé sans solde",F437="Férié",F437="Congé spécial",D437="Congé spécial"),0,IF(F437-E437&lt;0,0,IF(F437-E437&lt;=0.00068287037037037,0,F437-E437)))</f>
        <v>0</v>
      </c>
      <c r="M437" s="6" t="n">
        <f aca="false">IF(AND(O437&lt;&gt;0,C437=""),"Abs",0)</f>
        <v>0</v>
      </c>
      <c r="N437" s="8" t="n">
        <f aca="false">IFERROR(IF(OR(D437="OFF",D437="Congé",M437="Abs",D437="Congé sans solde",D437="Férié"),"",IF(O437-K437-L437&gt;O437,O437,IF(O437-K437-L437&lt;0,"",O437-K437-L437))),"")</f>
        <v>0.375</v>
      </c>
      <c r="O437" s="8" t="n">
        <f aca="false">IF(AG437="2H Pause déjeuner",IF(F437-D437-0.0833333333333333&lt;0,F437-D437-0.0833333333333333+1,F437-D437-0.0833333333333333),IF(OR(AND(F437="OFF",D437="OFF"),AND(F437="Congé",D437="Congé"),AND(F437="Congé sans solde",D437="Congé sans solde"),AND(F437="Congé spécial",D437="Congé spécial"),AND(F437="Férié",D437="Férié"),AND(F437="OFF",D437="Congé"),AND(F437="OFF",D437="Congé sans solde"),AND(F437="OFF",D437="Congé spécial"),AND(F437="OFF",D437="Férié"),AND(F437="Congé",D437="OFF"),AND(F437="Congé",D437="Congé sans solde"),AND(F437="Congé",D437="Congé spécial"),AND(F437="Congé",D437="Férié"),AND(F437="Congé sans solde",D437="OFF"),AND(F437="Congé sans solde",D437="Congé"),AND(F437="Congé sans solde",D437="Congé spécial"),AND(F437="Congé sans solde",D437="Férié"),AND(F437="Congé spécial",D437="OFF"),AND(F437="Congé spécial",D437="Congé"),AND(F437="Congé spécial",D437="Congé sans solde"),AND(F437="Congé spécial",D437="Férié"),AND(F437="Férié",D437="OFF"),AND(F437="Férié",D437="Congé"),AND(F437="Férié",D437="Congé sans solde"),AND(F437="Férié",D437="Congé spécial")),0,IF(OR(F437="OFF",F437="Congé",F437="Congé spécial",F437="Congé sans solde",D437="OFF",D437="Congé",D437="Congé spécial",D437="Congé sans solde"),0.208333333333334,IF(AND(AG437="",F437-D437&lt;0),("24:00:00"-D437)+("00:00:00"+F437)-0.0416666666666667,IF(AND(OR(AG437="Allaitement",AG437="Sans déjeuner"),F437-D437&lt;0),("24:00:00"-D437)+("00:00:00"+F437),IF(AND(AG437="",F437-D437&gt;0.166666666666667),F437-D437-0.0416666666666667,IF(AND(OR(AG437="Allaitement",AG437="Sans déjeuner"),F437-D437&gt;0.166666666666667),F437-D437,F437-D437)))))))</f>
        <v>0.375</v>
      </c>
      <c r="P437" s="6" t="str">
        <f aca="false">IFERROR(VLOOKUP($B437,Agents!$A:$D,2,0),"-")</f>
        <v>Accessibilité</v>
      </c>
      <c r="Q437" s="21" t="n">
        <v>46090</v>
      </c>
      <c r="R437" s="8" t="n">
        <f aca="false">IF(M437="Abs",O437,0)</f>
        <v>0</v>
      </c>
      <c r="S437" s="8" t="n">
        <f aca="false">SUM(R437,L437,I437,J437,W437,H437)</f>
        <v>0</v>
      </c>
      <c r="T437" s="6" t="str">
        <f aca="false">"Sem - "&amp;WEEKNUM(Q437,21)</f>
        <v>Sem - 11</v>
      </c>
      <c r="U437" s="6" t="str">
        <f aca="false">CHOOSE(MONTH(Q437),"Janvier","Février","Mars","Avril","Mai","Juin","Juillet","Août","Septembre","Octobre","Novembre","Décembre")</f>
        <v>Mars</v>
      </c>
      <c r="V437" s="22" t="n">
        <f aca="false">YEAR(Q437)</f>
        <v>2026</v>
      </c>
      <c r="W437" s="20"/>
      <c r="X437" s="8" t="n">
        <f aca="false">IFERROR(IF(M437="Abs",0,IF(ROUND((D437-C437+E437-F437)*1440,0)&lt;=1,0,D437-C437+E437-F437)),0)</f>
        <v>0.00208333333333333</v>
      </c>
      <c r="Y437" s="6" t="str">
        <f aca="false">IFERROR(VLOOKUP($B437,Agents!$A:$D,3,0),"-")</f>
        <v>OUBRAHIM Mohammed</v>
      </c>
      <c r="Z437" s="6" t="str">
        <f aca="false">IFERROR(VLOOKUP($B437,Agents!$A:$D,4,0),"-")</f>
        <v>Credit Mutuel</v>
      </c>
      <c r="AA437" s="18" t="s">
        <v>93</v>
      </c>
      <c r="AB437" s="8" t="str">
        <f aca="false">IF(AND(D437="Congé",F437="Congé"),0.333333333333333,IF(OR(AND(D437="Congé",F437&lt;&gt;"Congé"),(AND(F437="Congé",D437&lt;&gt;"Congé"))),0.166666666666667,""))</f>
        <v/>
      </c>
      <c r="AC437" s="8" t="str">
        <f aca="false">IF(AND(D437="Congé sans solde",F437="Congé sans solde"),0.333333333333333,IF(OR(AND(D437="Congé sans solde",F437&lt;&gt;"Congé sans solde"),(AND(F437="Congé sans solde",D437&lt;&gt;"Congé sans solde"))),0.166666666666667,""))</f>
        <v/>
      </c>
      <c r="AD437" s="8" t="str">
        <f aca="false">IF(AND(D437="Congé spécial",F437="Congé spécial"),0.333333333333333,IF(OR(AND(D437="Congé spécial",F437&lt;&gt;"Congé spécial"),AND(F437="Congé spécial",D437&lt;&gt;"Congé spécial")),0.166666666666667,""))</f>
        <v/>
      </c>
      <c r="AE437" s="8" t="str">
        <f aca="false">IF(AND(D437="Férié",F437="Férié"),0.333333333333333,IF(OR(AND(D437="Férié",F437&lt;&gt;"Férié"),(AND(F437="Férié",D437&lt;&gt;"Férié"))),0.166666666666667,""))</f>
        <v/>
      </c>
      <c r="AF437" s="18"/>
      <c r="AG437" s="18" t="s">
        <v>91</v>
      </c>
    </row>
    <row r="438" customFormat="false" ht="15" hidden="false" customHeight="false" outlineLevel="0" collapsed="false">
      <c r="A438" s="6" t="str">
        <f aca="false">YEAR(Q438-WEEKDAY(Q438,2)+4)&amp;"-S"&amp;TEXT(WEEKNUM(Q438,21),"00")</f>
        <v>2026-S11</v>
      </c>
      <c r="B438" s="18" t="s">
        <v>69</v>
      </c>
      <c r="C438" s="19" t="n">
        <v>0.332638888888889</v>
      </c>
      <c r="D438" s="19" t="n">
        <v>0.333333333333333</v>
      </c>
      <c r="E438" s="19" t="n">
        <v>0.708333333333333</v>
      </c>
      <c r="F438" s="19" t="n">
        <v>0.708333333333333</v>
      </c>
      <c r="G438" s="20"/>
      <c r="H438" s="20"/>
      <c r="I438" s="8" t="str">
        <f aca="false">IF(IF(OR(C438="",D438="Congé",D438="OFF",D438="Congé spécial"),"",IF(D438&gt;F438,D438-C438,IF(C438-D438&lt;0,0,C438-D438)))&lt;0.00068287037037037,"",IF(OR(D438="Congé",D438="OFF",C438="",D438="Congé spécial"),"",IF(D438&gt;F438,D438-C438,IF(C438-D438&lt;0,0,C438-D438))))</f>
        <v/>
      </c>
      <c r="J438" s="20"/>
      <c r="K438" s="8" t="n">
        <f aca="false">IF(SUM(H438:J438)&lt;0.00068287037037037,0,SUM(H438:J438))</f>
        <v>0</v>
      </c>
      <c r="L438" s="8" t="n">
        <f aca="false">IF(OR(F438="Congé",F438="OFF",M438="Abs",F438="Congé sans solde",F438="Férié",F438="Congé spécial",D438="Congé spécial"),0,IF(F438-E438&lt;0,0,IF(F438-E438&lt;=0.00068287037037037,0,F438-E438)))</f>
        <v>0</v>
      </c>
      <c r="M438" s="6" t="n">
        <f aca="false">IF(AND(O438&lt;&gt;0,C438=""),"Abs",0)</f>
        <v>0</v>
      </c>
      <c r="N438" s="8" t="n">
        <f aca="false">IFERROR(IF(OR(D438="OFF",D438="Congé",M438="Abs",D438="Congé sans solde",D438="Férié"),"",IF(O438-K438-L438&gt;O438,O438,IF(O438-K438-L438&lt;0,"",O438-K438-L438))),"")</f>
        <v>0.375</v>
      </c>
      <c r="O438" s="8" t="n">
        <f aca="false">IF(AG438="2H Pause déjeuner",IF(F438-D438-0.0833333333333333&lt;0,F438-D438-0.0833333333333333+1,F438-D438-0.0833333333333333),IF(OR(AND(F438="OFF",D438="OFF"),AND(F438="Congé",D438="Congé"),AND(F438="Congé sans solde",D438="Congé sans solde"),AND(F438="Congé spécial",D438="Congé spécial"),AND(F438="Férié",D438="Férié"),AND(F438="OFF",D438="Congé"),AND(F438="OFF",D438="Congé sans solde"),AND(F438="OFF",D438="Congé spécial"),AND(F438="OFF",D438="Férié"),AND(F438="Congé",D438="OFF"),AND(F438="Congé",D438="Congé sans solde"),AND(F438="Congé",D438="Congé spécial"),AND(F438="Congé",D438="Férié"),AND(F438="Congé sans solde",D438="OFF"),AND(F438="Congé sans solde",D438="Congé"),AND(F438="Congé sans solde",D438="Congé spécial"),AND(F438="Congé sans solde",D438="Férié"),AND(F438="Congé spécial",D438="OFF"),AND(F438="Congé spécial",D438="Congé"),AND(F438="Congé spécial",D438="Congé sans solde"),AND(F438="Congé spécial",D438="Férié"),AND(F438="Férié",D438="OFF"),AND(F438="Férié",D438="Congé"),AND(F438="Férié",D438="Congé sans solde"),AND(F438="Férié",D438="Congé spécial")),0,IF(OR(F438="OFF",F438="Congé",F438="Congé spécial",F438="Congé sans solde",D438="OFF",D438="Congé",D438="Congé spécial",D438="Congé sans solde"),0.208333333333334,IF(AND(AG438="",F438-D438&lt;0),("24:00:00"-D438)+("00:00:00"+F438)-0.0416666666666667,IF(AND(OR(AG438="Allaitement",AG438="Sans déjeuner"),F438-D438&lt;0),("24:00:00"-D438)+("00:00:00"+F438),IF(AND(AG438="",F438-D438&gt;0.166666666666667),F438-D438-0.0416666666666667,IF(AND(OR(AG438="Allaitement",AG438="Sans déjeuner"),F438-D438&gt;0.166666666666667),F438-D438,F438-D438)))))))</f>
        <v>0.375</v>
      </c>
      <c r="P438" s="6" t="str">
        <f aca="false">IFERROR(VLOOKUP($B438,Agents!$A:$D,2,0),"-")</f>
        <v>Accessibilité</v>
      </c>
      <c r="Q438" s="21" t="n">
        <v>46091</v>
      </c>
      <c r="R438" s="8" t="n">
        <f aca="false">IF(M438="Abs",O438,0)</f>
        <v>0</v>
      </c>
      <c r="S438" s="8" t="n">
        <f aca="false">SUM(R438,L438,I438,J438,W438,H438)</f>
        <v>0</v>
      </c>
      <c r="T438" s="6" t="str">
        <f aca="false">"Sem - "&amp;WEEKNUM(Q438,21)</f>
        <v>Sem - 11</v>
      </c>
      <c r="U438" s="6" t="str">
        <f aca="false">CHOOSE(MONTH(Q438),"Janvier","Février","Mars","Avril","Mai","Juin","Juillet","Août","Septembre","Octobre","Novembre","Décembre")</f>
        <v>Mars</v>
      </c>
      <c r="V438" s="22" t="n">
        <f aca="false">YEAR(Q438)</f>
        <v>2026</v>
      </c>
      <c r="W438" s="20"/>
      <c r="X438" s="8" t="n">
        <f aca="false">IFERROR(IF(M438="Abs",0,IF(ROUND((D438-C438+E438-F438)*1440,0)&lt;=1,0,D438-C438+E438-F438)),0)</f>
        <v>0</v>
      </c>
      <c r="Y438" s="6" t="str">
        <f aca="false">IFERROR(VLOOKUP($B438,Agents!$A:$D,3,0),"-")</f>
        <v>OUBRAHIM Mohammed</v>
      </c>
      <c r="Z438" s="6" t="str">
        <f aca="false">IFERROR(VLOOKUP($B438,Agents!$A:$D,4,0),"-")</f>
        <v>Credit Mutuel</v>
      </c>
      <c r="AA438" s="18" t="s">
        <v>93</v>
      </c>
      <c r="AB438" s="8" t="str">
        <f aca="false">IF(AND(D438="Congé",F438="Congé"),0.333333333333333,IF(OR(AND(D438="Congé",F438&lt;&gt;"Congé"),(AND(F438="Congé",D438&lt;&gt;"Congé"))),0.166666666666667,""))</f>
        <v/>
      </c>
      <c r="AC438" s="8" t="str">
        <f aca="false">IF(AND(D438="Congé sans solde",F438="Congé sans solde"),0.333333333333333,IF(OR(AND(D438="Congé sans solde",F438&lt;&gt;"Congé sans solde"),(AND(F438="Congé sans solde",D438&lt;&gt;"Congé sans solde"))),0.166666666666667,""))</f>
        <v/>
      </c>
      <c r="AD438" s="8" t="str">
        <f aca="false">IF(AND(D438="Congé spécial",F438="Congé spécial"),0.333333333333333,IF(OR(AND(D438="Congé spécial",F438&lt;&gt;"Congé spécial"),AND(F438="Congé spécial",D438&lt;&gt;"Congé spécial")),0.166666666666667,""))</f>
        <v/>
      </c>
      <c r="AE438" s="8" t="str">
        <f aca="false">IF(AND(D438="Férié",F438="Férié"),0.333333333333333,IF(OR(AND(D438="Férié",F438&lt;&gt;"Férié"),(AND(F438="Férié",D438&lt;&gt;"Férié"))),0.166666666666667,""))</f>
        <v/>
      </c>
      <c r="AF438" s="18"/>
      <c r="AG438" s="18" t="s">
        <v>91</v>
      </c>
    </row>
    <row r="439" customFormat="false" ht="15" hidden="false" customHeight="false" outlineLevel="0" collapsed="false">
      <c r="A439" s="6" t="str">
        <f aca="false">YEAR(Q439-WEEKDAY(Q439,2)+4)&amp;"-S"&amp;TEXT(WEEKNUM(Q439,21),"00")</f>
        <v>2026-S11</v>
      </c>
      <c r="B439" s="18" t="s">
        <v>71</v>
      </c>
      <c r="C439" s="19" t="n">
        <v>0.331944444444444</v>
      </c>
      <c r="D439" s="19" t="n">
        <v>0.333333333333333</v>
      </c>
      <c r="E439" s="19" t="n">
        <v>0.708333333333333</v>
      </c>
      <c r="F439" s="19" t="n">
        <v>0.708333333333333</v>
      </c>
      <c r="G439" s="20"/>
      <c r="H439" s="20"/>
      <c r="I439" s="8" t="str">
        <f aca="false">IF(IF(OR(C439="",D439="Congé",D439="OFF",D439="Congé spécial"),"",IF(D439&gt;F439,D439-C439,IF(C439-D439&lt;0,0,C439-D439)))&lt;0.00068287037037037,"",IF(OR(D439="Congé",D439="OFF",C439="",D439="Congé spécial"),"",IF(D439&gt;F439,D439-C439,IF(C439-D439&lt;0,0,C439-D439))))</f>
        <v/>
      </c>
      <c r="J439" s="20"/>
      <c r="K439" s="8" t="n">
        <f aca="false">IF(SUM(H439:J439)&lt;0.00068287037037037,0,SUM(H439:J439))</f>
        <v>0</v>
      </c>
      <c r="L439" s="8" t="n">
        <f aca="false">IF(OR(F439="Congé",F439="OFF",M439="Abs",F439="Congé sans solde",F439="Férié",F439="Congé spécial",D439="Congé spécial"),0,IF(F439-E439&lt;0,0,IF(F439-E439&lt;=0.00068287037037037,0,F439-E439)))</f>
        <v>0</v>
      </c>
      <c r="M439" s="6" t="n">
        <f aca="false">IF(AND(O439&lt;&gt;0,C439=""),"Abs",0)</f>
        <v>0</v>
      </c>
      <c r="N439" s="8" t="n">
        <f aca="false">IFERROR(IF(OR(D439="OFF",D439="Congé",M439="Abs",D439="Congé sans solde",D439="Férié"),"",IF(O439-K439-L439&gt;O439,O439,IF(O439-K439-L439&lt;0,"",O439-K439-L439))),"")</f>
        <v>0.375</v>
      </c>
      <c r="O439" s="8" t="n">
        <f aca="false">IF(AG439="2H Pause déjeuner",IF(F439-D439-0.0833333333333333&lt;0,F439-D439-0.0833333333333333+1,F439-D439-0.0833333333333333),IF(OR(AND(F439="OFF",D439="OFF"),AND(F439="Congé",D439="Congé"),AND(F439="Congé sans solde",D439="Congé sans solde"),AND(F439="Congé spécial",D439="Congé spécial"),AND(F439="Férié",D439="Férié"),AND(F439="OFF",D439="Congé"),AND(F439="OFF",D439="Congé sans solde"),AND(F439="OFF",D439="Congé spécial"),AND(F439="OFF",D439="Férié"),AND(F439="Congé",D439="OFF"),AND(F439="Congé",D439="Congé sans solde"),AND(F439="Congé",D439="Congé spécial"),AND(F439="Congé",D439="Férié"),AND(F439="Congé sans solde",D439="OFF"),AND(F439="Congé sans solde",D439="Congé"),AND(F439="Congé sans solde",D439="Congé spécial"),AND(F439="Congé sans solde",D439="Férié"),AND(F439="Congé spécial",D439="OFF"),AND(F439="Congé spécial",D439="Congé"),AND(F439="Congé spécial",D439="Congé sans solde"),AND(F439="Congé spécial",D439="Férié"),AND(F439="Férié",D439="OFF"),AND(F439="Férié",D439="Congé"),AND(F439="Férié",D439="Congé sans solde"),AND(F439="Férié",D439="Congé spécial")),0,IF(OR(F439="OFF",F439="Congé",F439="Congé spécial",F439="Congé sans solde",D439="OFF",D439="Congé",D439="Congé spécial",D439="Congé sans solde"),0.208333333333334,IF(AND(AG439="",F439-D439&lt;0),("24:00:00"-D439)+("00:00:00"+F439)-0.0416666666666667,IF(AND(OR(AG439="Allaitement",AG439="Sans déjeuner"),F439-D439&lt;0),("24:00:00"-D439)+("00:00:00"+F439),IF(AND(AG439="",F439-D439&gt;0.166666666666667),F439-D439-0.0416666666666667,IF(AND(OR(AG439="Allaitement",AG439="Sans déjeuner"),F439-D439&gt;0.166666666666667),F439-D439,F439-D439)))))))</f>
        <v>0.375</v>
      </c>
      <c r="P439" s="6" t="str">
        <f aca="false">IFERROR(VLOOKUP($B439,Agents!$A:$D,2,0),"-")</f>
        <v>Accessibilité</v>
      </c>
      <c r="Q439" s="21" t="n">
        <v>46091</v>
      </c>
      <c r="R439" s="8" t="n">
        <f aca="false">IF(M439="Abs",O439,0)</f>
        <v>0</v>
      </c>
      <c r="S439" s="8" t="n">
        <f aca="false">SUM(R439,L439,I439,J439,W439,H439)</f>
        <v>0</v>
      </c>
      <c r="T439" s="6" t="str">
        <f aca="false">"Sem - "&amp;WEEKNUM(Q439,21)</f>
        <v>Sem - 11</v>
      </c>
      <c r="U439" s="6" t="str">
        <f aca="false">CHOOSE(MONTH(Q439),"Janvier","Février","Mars","Avril","Mai","Juin","Juillet","Août","Septembre","Octobre","Novembre","Décembre")</f>
        <v>Mars</v>
      </c>
      <c r="V439" s="22" t="n">
        <f aca="false">YEAR(Q439)</f>
        <v>2026</v>
      </c>
      <c r="W439" s="20"/>
      <c r="X439" s="8" t="n">
        <f aca="false">IFERROR(IF(M439="Abs",0,IF(ROUND((D439-C439+E439-F439)*1440,0)&lt;=1,0,D439-C439+E439-F439)),0)</f>
        <v>0.00138888888888889</v>
      </c>
      <c r="Y439" s="6" t="str">
        <f aca="false">IFERROR(VLOOKUP($B439,Agents!$A:$D,3,0),"-")</f>
        <v>OUBRAHIM Mohammed</v>
      </c>
      <c r="Z439" s="6" t="str">
        <f aca="false">IFERROR(VLOOKUP($B439,Agents!$A:$D,4,0),"-")</f>
        <v>Credit Mutuel</v>
      </c>
      <c r="AA439" s="18" t="s">
        <v>93</v>
      </c>
      <c r="AB439" s="8" t="str">
        <f aca="false">IF(AND(D439="Congé",F439="Congé"),0.333333333333333,IF(OR(AND(D439="Congé",F439&lt;&gt;"Congé"),(AND(F439="Congé",D439&lt;&gt;"Congé"))),0.166666666666667,""))</f>
        <v/>
      </c>
      <c r="AC439" s="8" t="str">
        <f aca="false">IF(AND(D439="Congé sans solde",F439="Congé sans solde"),0.333333333333333,IF(OR(AND(D439="Congé sans solde",F439&lt;&gt;"Congé sans solde"),(AND(F439="Congé sans solde",D439&lt;&gt;"Congé sans solde"))),0.166666666666667,""))</f>
        <v/>
      </c>
      <c r="AD439" s="8" t="str">
        <f aca="false">IF(AND(D439="Congé spécial",F439="Congé spécial"),0.333333333333333,IF(OR(AND(D439="Congé spécial",F439&lt;&gt;"Congé spécial"),AND(F439="Congé spécial",D439&lt;&gt;"Congé spécial")),0.166666666666667,""))</f>
        <v/>
      </c>
      <c r="AE439" s="8" t="str">
        <f aca="false">IF(AND(D439="Férié",F439="Férié"),0.333333333333333,IF(OR(AND(D439="Férié",F439&lt;&gt;"Férié"),(AND(F439="Férié",D439&lt;&gt;"Férié"))),0.166666666666667,""))</f>
        <v/>
      </c>
      <c r="AF439" s="18"/>
      <c r="AG439" s="18" t="s">
        <v>91</v>
      </c>
    </row>
    <row r="440" customFormat="false" ht="15" hidden="false" customHeight="false" outlineLevel="0" collapsed="false">
      <c r="A440" s="6" t="str">
        <f aca="false">YEAR(Q440-WEEKDAY(Q440,2)+4)&amp;"-S"&amp;TEXT(WEEKNUM(Q440,21),"00")</f>
        <v>2026-S11</v>
      </c>
      <c r="B440" s="18" t="s">
        <v>72</v>
      </c>
      <c r="C440" s="19" t="n">
        <v>0.331944444444444</v>
      </c>
      <c r="D440" s="19" t="n">
        <v>0.333333333333333</v>
      </c>
      <c r="E440" s="19" t="n">
        <v>0.708333333333333</v>
      </c>
      <c r="F440" s="19" t="n">
        <v>0.708333333333333</v>
      </c>
      <c r="G440" s="20"/>
      <c r="H440" s="20"/>
      <c r="I440" s="8" t="str">
        <f aca="false">IF(IF(OR(C440="",D440="Congé",D440="OFF",D440="Congé spécial"),"",IF(D440&gt;F440,D440-C440,IF(C440-D440&lt;0,0,C440-D440)))&lt;0.00068287037037037,"",IF(OR(D440="Congé",D440="OFF",C440="",D440="Congé spécial"),"",IF(D440&gt;F440,D440-C440,IF(C440-D440&lt;0,0,C440-D440))))</f>
        <v/>
      </c>
      <c r="J440" s="20"/>
      <c r="K440" s="8" t="n">
        <f aca="false">IF(SUM(H440:J440)&lt;0.00068287037037037,0,SUM(H440:J440))</f>
        <v>0</v>
      </c>
      <c r="L440" s="8" t="n">
        <f aca="false">IF(OR(F440="Congé",F440="OFF",M440="Abs",F440="Congé sans solde",F440="Férié",F440="Congé spécial",D440="Congé spécial"),0,IF(F440-E440&lt;0,0,IF(F440-E440&lt;=0.00068287037037037,0,F440-E440)))</f>
        <v>0</v>
      </c>
      <c r="M440" s="6" t="n">
        <f aca="false">IF(AND(O440&lt;&gt;0,C440=""),"Abs",0)</f>
        <v>0</v>
      </c>
      <c r="N440" s="8" t="n">
        <f aca="false">IFERROR(IF(OR(D440="OFF",D440="Congé",M440="Abs",D440="Congé sans solde",D440="Férié"),"",IF(O440-K440-L440&gt;O440,O440,IF(O440-K440-L440&lt;0,"",O440-K440-L440))),"")</f>
        <v>0.375</v>
      </c>
      <c r="O440" s="8" t="n">
        <f aca="false">IF(AG440="2H Pause déjeuner",IF(F440-D440-0.0833333333333333&lt;0,F440-D440-0.0833333333333333+1,F440-D440-0.0833333333333333),IF(OR(AND(F440="OFF",D440="OFF"),AND(F440="Congé",D440="Congé"),AND(F440="Congé sans solde",D440="Congé sans solde"),AND(F440="Congé spécial",D440="Congé spécial"),AND(F440="Férié",D440="Férié"),AND(F440="OFF",D440="Congé"),AND(F440="OFF",D440="Congé sans solde"),AND(F440="OFF",D440="Congé spécial"),AND(F440="OFF",D440="Férié"),AND(F440="Congé",D440="OFF"),AND(F440="Congé",D440="Congé sans solde"),AND(F440="Congé",D440="Congé spécial"),AND(F440="Congé",D440="Férié"),AND(F440="Congé sans solde",D440="OFF"),AND(F440="Congé sans solde",D440="Congé"),AND(F440="Congé sans solde",D440="Congé spécial"),AND(F440="Congé sans solde",D440="Férié"),AND(F440="Congé spécial",D440="OFF"),AND(F440="Congé spécial",D440="Congé"),AND(F440="Congé spécial",D440="Congé sans solde"),AND(F440="Congé spécial",D440="Férié"),AND(F440="Férié",D440="OFF"),AND(F440="Férié",D440="Congé"),AND(F440="Férié",D440="Congé sans solde"),AND(F440="Férié",D440="Congé spécial")),0,IF(OR(F440="OFF",F440="Congé",F440="Congé spécial",F440="Congé sans solde",D440="OFF",D440="Congé",D440="Congé spécial",D440="Congé sans solde"),0.208333333333334,IF(AND(AG440="",F440-D440&lt;0),("24:00:00"-D440)+("00:00:00"+F440)-0.0416666666666667,IF(AND(OR(AG440="Allaitement",AG440="Sans déjeuner"),F440-D440&lt;0),("24:00:00"-D440)+("00:00:00"+F440),IF(AND(AG440="",F440-D440&gt;0.166666666666667),F440-D440-0.0416666666666667,IF(AND(OR(AG440="Allaitement",AG440="Sans déjeuner"),F440-D440&gt;0.166666666666667),F440-D440,F440-D440)))))))</f>
        <v>0.375</v>
      </c>
      <c r="P440" s="6" t="str">
        <f aca="false">IFERROR(VLOOKUP($B440,Agents!$A:$D,2,0),"-")</f>
        <v>Accessibilité</v>
      </c>
      <c r="Q440" s="21" t="n">
        <v>46091</v>
      </c>
      <c r="R440" s="8" t="n">
        <f aca="false">IF(M440="Abs",O440,0)</f>
        <v>0</v>
      </c>
      <c r="S440" s="8" t="n">
        <f aca="false">SUM(R440,L440,I440,J440,W440,H440)</f>
        <v>0</v>
      </c>
      <c r="T440" s="6" t="str">
        <f aca="false">"Sem - "&amp;WEEKNUM(Q440,21)</f>
        <v>Sem - 11</v>
      </c>
      <c r="U440" s="6" t="str">
        <f aca="false">CHOOSE(MONTH(Q440),"Janvier","Février","Mars","Avril","Mai","Juin","Juillet","Août","Septembre","Octobre","Novembre","Décembre")</f>
        <v>Mars</v>
      </c>
      <c r="V440" s="22" t="n">
        <f aca="false">YEAR(Q440)</f>
        <v>2026</v>
      </c>
      <c r="W440" s="20"/>
      <c r="X440" s="8" t="n">
        <f aca="false">IFERROR(IF(M440="Abs",0,IF(ROUND((D440-C440+E440-F440)*1440,0)&lt;=1,0,D440-C440+E440-F440)),0)</f>
        <v>0.00138888888888889</v>
      </c>
      <c r="Y440" s="6" t="str">
        <f aca="false">IFERROR(VLOOKUP($B440,Agents!$A:$D,3,0),"-")</f>
        <v>OUBRAHIM Mohammed</v>
      </c>
      <c r="Z440" s="6" t="str">
        <f aca="false">IFERROR(VLOOKUP($B440,Agents!$A:$D,4,0),"-")</f>
        <v>Credit Mutuel</v>
      </c>
      <c r="AA440" s="18" t="s">
        <v>93</v>
      </c>
      <c r="AB440" s="8" t="str">
        <f aca="false">IF(AND(D440="Congé",F440="Congé"),0.333333333333333,IF(OR(AND(D440="Congé",F440&lt;&gt;"Congé"),(AND(F440="Congé",D440&lt;&gt;"Congé"))),0.166666666666667,""))</f>
        <v/>
      </c>
      <c r="AC440" s="8" t="str">
        <f aca="false">IF(AND(D440="Congé sans solde",F440="Congé sans solde"),0.333333333333333,IF(OR(AND(D440="Congé sans solde",F440&lt;&gt;"Congé sans solde"),(AND(F440="Congé sans solde",D440&lt;&gt;"Congé sans solde"))),0.166666666666667,""))</f>
        <v/>
      </c>
      <c r="AD440" s="8" t="str">
        <f aca="false">IF(AND(D440="Congé spécial",F440="Congé spécial"),0.333333333333333,IF(OR(AND(D440="Congé spécial",F440&lt;&gt;"Congé spécial"),AND(F440="Congé spécial",D440&lt;&gt;"Congé spécial")),0.166666666666667,""))</f>
        <v/>
      </c>
      <c r="AE440" s="8" t="str">
        <f aca="false">IF(AND(D440="Férié",F440="Férié"),0.333333333333333,IF(OR(AND(D440="Férié",F440&lt;&gt;"Férié"),(AND(F440="Férié",D440&lt;&gt;"Férié"))),0.166666666666667,""))</f>
        <v/>
      </c>
      <c r="AF440" s="18"/>
      <c r="AG440" s="18" t="s">
        <v>91</v>
      </c>
    </row>
    <row r="441" customFormat="false" ht="15" hidden="false" customHeight="false" outlineLevel="0" collapsed="false">
      <c r="A441" s="6" t="str">
        <f aca="false">YEAR(Q441-WEEKDAY(Q441,2)+4)&amp;"-S"&amp;TEXT(WEEKNUM(Q441,21),"00")</f>
        <v>2026-S11</v>
      </c>
      <c r="B441" s="18" t="s">
        <v>73</v>
      </c>
      <c r="C441" s="19" t="n">
        <v>0.332638888888889</v>
      </c>
      <c r="D441" s="19" t="n">
        <v>0.333333333333333</v>
      </c>
      <c r="E441" s="19" t="n">
        <v>0.708333333333333</v>
      </c>
      <c r="F441" s="19" t="n">
        <v>0.708333333333333</v>
      </c>
      <c r="G441" s="20"/>
      <c r="H441" s="20"/>
      <c r="I441" s="8" t="str">
        <f aca="false">IF(IF(OR(C441="",D441="Congé",D441="OFF",D441="Congé spécial"),"",IF(D441&gt;F441,D441-C441,IF(C441-D441&lt;0,0,C441-D441)))&lt;0.00068287037037037,"",IF(OR(D441="Congé",D441="OFF",C441="",D441="Congé spécial"),"",IF(D441&gt;F441,D441-C441,IF(C441-D441&lt;0,0,C441-D441))))</f>
        <v/>
      </c>
      <c r="J441" s="20"/>
      <c r="K441" s="8" t="n">
        <f aca="false">IF(SUM(H441:J441)&lt;0.00068287037037037,0,SUM(H441:J441))</f>
        <v>0</v>
      </c>
      <c r="L441" s="8" t="n">
        <f aca="false">IF(OR(F441="Congé",F441="OFF",M441="Abs",F441="Congé sans solde",F441="Férié",F441="Congé spécial",D441="Congé spécial"),0,IF(F441-E441&lt;0,0,IF(F441-E441&lt;=0.00068287037037037,0,F441-E441)))</f>
        <v>0</v>
      </c>
      <c r="M441" s="6" t="n">
        <f aca="false">IF(AND(O441&lt;&gt;0,C441=""),"Abs",0)</f>
        <v>0</v>
      </c>
      <c r="N441" s="8" t="n">
        <f aca="false">IFERROR(IF(OR(D441="OFF",D441="Congé",M441="Abs",D441="Congé sans solde",D441="Férié"),"",IF(O441-K441-L441&gt;O441,O441,IF(O441-K441-L441&lt;0,"",O441-K441-L441))),"")</f>
        <v>0.375</v>
      </c>
      <c r="O441" s="8" t="n">
        <f aca="false">IF(AG441="2H Pause déjeuner",IF(F441-D441-0.0833333333333333&lt;0,F441-D441-0.0833333333333333+1,F441-D441-0.0833333333333333),IF(OR(AND(F441="OFF",D441="OFF"),AND(F441="Congé",D441="Congé"),AND(F441="Congé sans solde",D441="Congé sans solde"),AND(F441="Congé spécial",D441="Congé spécial"),AND(F441="Férié",D441="Férié"),AND(F441="OFF",D441="Congé"),AND(F441="OFF",D441="Congé sans solde"),AND(F441="OFF",D441="Congé spécial"),AND(F441="OFF",D441="Férié"),AND(F441="Congé",D441="OFF"),AND(F441="Congé",D441="Congé sans solde"),AND(F441="Congé",D441="Congé spécial"),AND(F441="Congé",D441="Férié"),AND(F441="Congé sans solde",D441="OFF"),AND(F441="Congé sans solde",D441="Congé"),AND(F441="Congé sans solde",D441="Congé spécial"),AND(F441="Congé sans solde",D441="Férié"),AND(F441="Congé spécial",D441="OFF"),AND(F441="Congé spécial",D441="Congé"),AND(F441="Congé spécial",D441="Congé sans solde"),AND(F441="Congé spécial",D441="Férié"),AND(F441="Férié",D441="OFF"),AND(F441="Férié",D441="Congé"),AND(F441="Férié",D441="Congé sans solde"),AND(F441="Férié",D441="Congé spécial")),0,IF(OR(F441="OFF",F441="Congé",F441="Congé spécial",F441="Congé sans solde",D441="OFF",D441="Congé",D441="Congé spécial",D441="Congé sans solde"),0.208333333333334,IF(AND(AG441="",F441-D441&lt;0),("24:00:00"-D441)+("00:00:00"+F441)-0.0416666666666667,IF(AND(OR(AG441="Allaitement",AG441="Sans déjeuner"),F441-D441&lt;0),("24:00:00"-D441)+("00:00:00"+F441),IF(AND(AG441="",F441-D441&gt;0.166666666666667),F441-D441-0.0416666666666667,IF(AND(OR(AG441="Allaitement",AG441="Sans déjeuner"),F441-D441&gt;0.166666666666667),F441-D441,F441-D441)))))))</f>
        <v>0.375</v>
      </c>
      <c r="P441" s="6" t="str">
        <f aca="false">IFERROR(VLOOKUP($B441,Agents!$A:$D,2,0),"-")</f>
        <v>Accessibilité</v>
      </c>
      <c r="Q441" s="21" t="n">
        <v>46091</v>
      </c>
      <c r="R441" s="8" t="n">
        <f aca="false">IF(M441="Abs",O441,0)</f>
        <v>0</v>
      </c>
      <c r="S441" s="8" t="n">
        <f aca="false">SUM(R441,L441,I441,J441,W441,H441)</f>
        <v>0</v>
      </c>
      <c r="T441" s="6" t="str">
        <f aca="false">"Sem - "&amp;WEEKNUM(Q441,21)</f>
        <v>Sem - 11</v>
      </c>
      <c r="U441" s="6" t="str">
        <f aca="false">CHOOSE(MONTH(Q441),"Janvier","Février","Mars","Avril","Mai","Juin","Juillet","Août","Septembre","Octobre","Novembre","Décembre")</f>
        <v>Mars</v>
      </c>
      <c r="V441" s="22" t="n">
        <f aca="false">YEAR(Q441)</f>
        <v>2026</v>
      </c>
      <c r="W441" s="20"/>
      <c r="X441" s="8" t="n">
        <f aca="false">IFERROR(IF(M441="Abs",0,IF(ROUND((D441-C441+E441-F441)*1440,0)&lt;=1,0,D441-C441+E441-F441)),0)</f>
        <v>0</v>
      </c>
      <c r="Y441" s="6" t="str">
        <f aca="false">IFERROR(VLOOKUP($B441,Agents!$A:$D,3,0),"-")</f>
        <v>OUBRAHIM Mohammed</v>
      </c>
      <c r="Z441" s="6" t="str">
        <f aca="false">IFERROR(VLOOKUP($B441,Agents!$A:$D,4,0),"-")</f>
        <v>Credit Mutuel</v>
      </c>
      <c r="AA441" s="18" t="s">
        <v>93</v>
      </c>
      <c r="AB441" s="8" t="str">
        <f aca="false">IF(AND(D441="Congé",F441="Congé"),0.333333333333333,IF(OR(AND(D441="Congé",F441&lt;&gt;"Congé"),(AND(F441="Congé",D441&lt;&gt;"Congé"))),0.166666666666667,""))</f>
        <v/>
      </c>
      <c r="AC441" s="8" t="str">
        <f aca="false">IF(AND(D441="Congé sans solde",F441="Congé sans solde"),0.333333333333333,IF(OR(AND(D441="Congé sans solde",F441&lt;&gt;"Congé sans solde"),(AND(F441="Congé sans solde",D441&lt;&gt;"Congé sans solde"))),0.166666666666667,""))</f>
        <v/>
      </c>
      <c r="AD441" s="8" t="str">
        <f aca="false">IF(AND(D441="Congé spécial",F441="Congé spécial"),0.333333333333333,IF(OR(AND(D441="Congé spécial",F441&lt;&gt;"Congé spécial"),AND(F441="Congé spécial",D441&lt;&gt;"Congé spécial")),0.166666666666667,""))</f>
        <v/>
      </c>
      <c r="AE441" s="8" t="str">
        <f aca="false">IF(AND(D441="Férié",F441="Férié"),0.333333333333333,IF(OR(AND(D441="Férié",F441&lt;&gt;"Férié"),(AND(F441="Férié",D441&lt;&gt;"Férié"))),0.166666666666667,""))</f>
        <v/>
      </c>
      <c r="AF441" s="18"/>
      <c r="AG441" s="18" t="s">
        <v>91</v>
      </c>
    </row>
    <row r="442" customFormat="false" ht="15" hidden="false" customHeight="false" outlineLevel="0" collapsed="false">
      <c r="A442" s="6" t="str">
        <f aca="false">YEAR(Q442-WEEKDAY(Q442,2)+4)&amp;"-S"&amp;TEXT(WEEKNUM(Q442,21),"00")</f>
        <v>2026-S11</v>
      </c>
      <c r="B442" s="18" t="s">
        <v>69</v>
      </c>
      <c r="C442" s="19" t="n">
        <v>0.333333333333333</v>
      </c>
      <c r="D442" s="19" t="n">
        <v>0.333333333333333</v>
      </c>
      <c r="E442" s="19" t="n">
        <v>0.708333333333333</v>
      </c>
      <c r="F442" s="19" t="n">
        <v>0.708333333333333</v>
      </c>
      <c r="G442" s="20"/>
      <c r="H442" s="20"/>
      <c r="I442" s="8" t="str">
        <f aca="false">IF(IF(OR(C442="",D442="Congé",D442="OFF",D442="Congé spécial"),"",IF(D442&gt;F442,D442-C442,IF(C442-D442&lt;0,0,C442-D442)))&lt;0.00068287037037037,"",IF(OR(D442="Congé",D442="OFF",C442="",D442="Congé spécial"),"",IF(D442&gt;F442,D442-C442,IF(C442-D442&lt;0,0,C442-D442))))</f>
        <v/>
      </c>
      <c r="J442" s="20"/>
      <c r="K442" s="8" t="n">
        <f aca="false">IF(SUM(H442:J442)&lt;0.00068287037037037,0,SUM(H442:J442))</f>
        <v>0</v>
      </c>
      <c r="L442" s="8" t="n">
        <f aca="false">IF(OR(F442="Congé",F442="OFF",M442="Abs",F442="Congé sans solde",F442="Férié",F442="Congé spécial",D442="Congé spécial"),0,IF(F442-E442&lt;0,0,IF(F442-E442&lt;=0.00068287037037037,0,F442-E442)))</f>
        <v>0</v>
      </c>
      <c r="M442" s="6" t="n">
        <f aca="false">IF(AND(O442&lt;&gt;0,C442=""),"Abs",0)</f>
        <v>0</v>
      </c>
      <c r="N442" s="8" t="n">
        <f aca="false">IFERROR(IF(OR(D442="OFF",D442="Congé",M442="Abs",D442="Congé sans solde",D442="Férié"),"",IF(O442-K442-L442&gt;O442,O442,IF(O442-K442-L442&lt;0,"",O442-K442-L442))),"")</f>
        <v>0.375</v>
      </c>
      <c r="O442" s="8" t="n">
        <f aca="false">IF(AG442="2H Pause déjeuner",IF(F442-D442-0.0833333333333333&lt;0,F442-D442-0.0833333333333333+1,F442-D442-0.0833333333333333),IF(OR(AND(F442="OFF",D442="OFF"),AND(F442="Congé",D442="Congé"),AND(F442="Congé sans solde",D442="Congé sans solde"),AND(F442="Congé spécial",D442="Congé spécial"),AND(F442="Férié",D442="Férié"),AND(F442="OFF",D442="Congé"),AND(F442="OFF",D442="Congé sans solde"),AND(F442="OFF",D442="Congé spécial"),AND(F442="OFF",D442="Férié"),AND(F442="Congé",D442="OFF"),AND(F442="Congé",D442="Congé sans solde"),AND(F442="Congé",D442="Congé spécial"),AND(F442="Congé",D442="Férié"),AND(F442="Congé sans solde",D442="OFF"),AND(F442="Congé sans solde",D442="Congé"),AND(F442="Congé sans solde",D442="Congé spécial"),AND(F442="Congé sans solde",D442="Férié"),AND(F442="Congé spécial",D442="OFF"),AND(F442="Congé spécial",D442="Congé"),AND(F442="Congé spécial",D442="Congé sans solde"),AND(F442="Congé spécial",D442="Férié"),AND(F442="Férié",D442="OFF"),AND(F442="Férié",D442="Congé"),AND(F442="Férié",D442="Congé sans solde"),AND(F442="Férié",D442="Congé spécial")),0,IF(OR(F442="OFF",F442="Congé",F442="Congé spécial",F442="Congé sans solde",D442="OFF",D442="Congé",D442="Congé spécial",D442="Congé sans solde"),0.208333333333334,IF(AND(AG442="",F442-D442&lt;0),("24:00:00"-D442)+("00:00:00"+F442)-0.0416666666666667,IF(AND(OR(AG442="Allaitement",AG442="Sans déjeuner"),F442-D442&lt;0),("24:00:00"-D442)+("00:00:00"+F442),IF(AND(AG442="",F442-D442&gt;0.166666666666667),F442-D442-0.0416666666666667,IF(AND(OR(AG442="Allaitement",AG442="Sans déjeuner"),F442-D442&gt;0.166666666666667),F442-D442,F442-D442)))))))</f>
        <v>0.375</v>
      </c>
      <c r="P442" s="6" t="str">
        <f aca="false">IFERROR(VLOOKUP($B442,Agents!$A:$D,2,0),"-")</f>
        <v>Accessibilité</v>
      </c>
      <c r="Q442" s="21" t="n">
        <v>46092</v>
      </c>
      <c r="R442" s="8" t="n">
        <f aca="false">IF(M442="Abs",O442,0)</f>
        <v>0</v>
      </c>
      <c r="S442" s="8" t="n">
        <f aca="false">SUM(R442,L442,I442,J442,W442,H442)</f>
        <v>0</v>
      </c>
      <c r="T442" s="6" t="str">
        <f aca="false">"Sem - "&amp;WEEKNUM(Q442,21)</f>
        <v>Sem - 11</v>
      </c>
      <c r="U442" s="6" t="str">
        <f aca="false">CHOOSE(MONTH(Q442),"Janvier","Février","Mars","Avril","Mai","Juin","Juillet","Août","Septembre","Octobre","Novembre","Décembre")</f>
        <v>Mars</v>
      </c>
      <c r="V442" s="22" t="n">
        <f aca="false">YEAR(Q442)</f>
        <v>2026</v>
      </c>
      <c r="W442" s="20"/>
      <c r="X442" s="8" t="n">
        <f aca="false">IFERROR(IF(M442="Abs",0,IF(ROUND((D442-C442+E442-F442)*1440,0)&lt;=1,0,D442-C442+E442-F442)),0)</f>
        <v>0</v>
      </c>
      <c r="Y442" s="6" t="str">
        <f aca="false">IFERROR(VLOOKUP($B442,Agents!$A:$D,3,0),"-")</f>
        <v>OUBRAHIM Mohammed</v>
      </c>
      <c r="Z442" s="6" t="str">
        <f aca="false">IFERROR(VLOOKUP($B442,Agents!$A:$D,4,0),"-")</f>
        <v>Credit Mutuel</v>
      </c>
      <c r="AA442" s="18" t="s">
        <v>93</v>
      </c>
      <c r="AB442" s="8" t="str">
        <f aca="false">IF(AND(D442="Congé",F442="Congé"),0.333333333333333,IF(OR(AND(D442="Congé",F442&lt;&gt;"Congé"),(AND(F442="Congé",D442&lt;&gt;"Congé"))),0.166666666666667,""))</f>
        <v/>
      </c>
      <c r="AC442" s="8" t="str">
        <f aca="false">IF(AND(D442="Congé sans solde",F442="Congé sans solde"),0.333333333333333,IF(OR(AND(D442="Congé sans solde",F442&lt;&gt;"Congé sans solde"),(AND(F442="Congé sans solde",D442&lt;&gt;"Congé sans solde"))),0.166666666666667,""))</f>
        <v/>
      </c>
      <c r="AD442" s="8" t="str">
        <f aca="false">IF(AND(D442="Congé spécial",F442="Congé spécial"),0.333333333333333,IF(OR(AND(D442="Congé spécial",F442&lt;&gt;"Congé spécial"),AND(F442="Congé spécial",D442&lt;&gt;"Congé spécial")),0.166666666666667,""))</f>
        <v/>
      </c>
      <c r="AE442" s="8" t="str">
        <f aca="false">IF(AND(D442="Férié",F442="Férié"),0.333333333333333,IF(OR(AND(D442="Férié",F442&lt;&gt;"Férié"),(AND(F442="Férié",D442&lt;&gt;"Férié"))),0.166666666666667,""))</f>
        <v/>
      </c>
      <c r="AF442" s="18"/>
      <c r="AG442" s="18" t="s">
        <v>91</v>
      </c>
    </row>
    <row r="443" customFormat="false" ht="15" hidden="false" customHeight="false" outlineLevel="0" collapsed="false">
      <c r="A443" s="6" t="str">
        <f aca="false">YEAR(Q443-WEEKDAY(Q443,2)+4)&amp;"-S"&amp;TEXT(WEEKNUM(Q443,21),"00")</f>
        <v>2026-S11</v>
      </c>
      <c r="B443" s="18" t="s">
        <v>71</v>
      </c>
      <c r="C443" s="19" t="n">
        <v>0.333333333333333</v>
      </c>
      <c r="D443" s="19" t="n">
        <v>0.333333333333333</v>
      </c>
      <c r="E443" s="19" t="n">
        <v>0.708333333333333</v>
      </c>
      <c r="F443" s="19" t="n">
        <v>0.708333333333333</v>
      </c>
      <c r="G443" s="20"/>
      <c r="H443" s="20"/>
      <c r="I443" s="8" t="str">
        <f aca="false">IF(IF(OR(C443="",D443="Congé",D443="OFF",D443="Congé spécial"),"",IF(D443&gt;F443,D443-C443,IF(C443-D443&lt;0,0,C443-D443)))&lt;0.00068287037037037,"",IF(OR(D443="Congé",D443="OFF",C443="",D443="Congé spécial"),"",IF(D443&gt;F443,D443-C443,IF(C443-D443&lt;0,0,C443-D443))))</f>
        <v/>
      </c>
      <c r="J443" s="20"/>
      <c r="K443" s="8" t="n">
        <f aca="false">IF(SUM(H443:J443)&lt;0.00068287037037037,0,SUM(H443:J443))</f>
        <v>0</v>
      </c>
      <c r="L443" s="8" t="n">
        <f aca="false">IF(OR(F443="Congé",F443="OFF",M443="Abs",F443="Congé sans solde",F443="Férié",F443="Congé spécial",D443="Congé spécial"),0,IF(F443-E443&lt;0,0,IF(F443-E443&lt;=0.00068287037037037,0,F443-E443)))</f>
        <v>0</v>
      </c>
      <c r="M443" s="6" t="n">
        <f aca="false">IF(AND(O443&lt;&gt;0,C443=""),"Abs",0)</f>
        <v>0</v>
      </c>
      <c r="N443" s="8" t="n">
        <f aca="false">IFERROR(IF(OR(D443="OFF",D443="Congé",M443="Abs",D443="Congé sans solde",D443="Férié"),"",IF(O443-K443-L443&gt;O443,O443,IF(O443-K443-L443&lt;0,"",O443-K443-L443))),"")</f>
        <v>0.375</v>
      </c>
      <c r="O443" s="8" t="n">
        <f aca="false">IF(AG443="2H Pause déjeuner",IF(F443-D443-0.0833333333333333&lt;0,F443-D443-0.0833333333333333+1,F443-D443-0.0833333333333333),IF(OR(AND(F443="OFF",D443="OFF"),AND(F443="Congé",D443="Congé"),AND(F443="Congé sans solde",D443="Congé sans solde"),AND(F443="Congé spécial",D443="Congé spécial"),AND(F443="Férié",D443="Férié"),AND(F443="OFF",D443="Congé"),AND(F443="OFF",D443="Congé sans solde"),AND(F443="OFF",D443="Congé spécial"),AND(F443="OFF",D443="Férié"),AND(F443="Congé",D443="OFF"),AND(F443="Congé",D443="Congé sans solde"),AND(F443="Congé",D443="Congé spécial"),AND(F443="Congé",D443="Férié"),AND(F443="Congé sans solde",D443="OFF"),AND(F443="Congé sans solde",D443="Congé"),AND(F443="Congé sans solde",D443="Congé spécial"),AND(F443="Congé sans solde",D443="Férié"),AND(F443="Congé spécial",D443="OFF"),AND(F443="Congé spécial",D443="Congé"),AND(F443="Congé spécial",D443="Congé sans solde"),AND(F443="Congé spécial",D443="Férié"),AND(F443="Férié",D443="OFF"),AND(F443="Férié",D443="Congé"),AND(F443="Férié",D443="Congé sans solde"),AND(F443="Férié",D443="Congé spécial")),0,IF(OR(F443="OFF",F443="Congé",F443="Congé spécial",F443="Congé sans solde",D443="OFF",D443="Congé",D443="Congé spécial",D443="Congé sans solde"),0.208333333333334,IF(AND(AG443="",F443-D443&lt;0),("24:00:00"-D443)+("00:00:00"+F443)-0.0416666666666667,IF(AND(OR(AG443="Allaitement",AG443="Sans déjeuner"),F443-D443&lt;0),("24:00:00"-D443)+("00:00:00"+F443),IF(AND(AG443="",F443-D443&gt;0.166666666666667),F443-D443-0.0416666666666667,IF(AND(OR(AG443="Allaitement",AG443="Sans déjeuner"),F443-D443&gt;0.166666666666667),F443-D443,F443-D443)))))))</f>
        <v>0.375</v>
      </c>
      <c r="P443" s="6" t="str">
        <f aca="false">IFERROR(VLOOKUP($B443,Agents!$A:$D,2,0),"-")</f>
        <v>Accessibilité</v>
      </c>
      <c r="Q443" s="21" t="n">
        <v>46092</v>
      </c>
      <c r="R443" s="8" t="n">
        <f aca="false">IF(M443="Abs",O443,0)</f>
        <v>0</v>
      </c>
      <c r="S443" s="8" t="n">
        <f aca="false">SUM(R443,L443,I443,J443,W443,H443)</f>
        <v>0</v>
      </c>
      <c r="T443" s="6" t="str">
        <f aca="false">"Sem - "&amp;WEEKNUM(Q443,21)</f>
        <v>Sem - 11</v>
      </c>
      <c r="U443" s="6" t="str">
        <f aca="false">CHOOSE(MONTH(Q443),"Janvier","Février","Mars","Avril","Mai","Juin","Juillet","Août","Septembre","Octobre","Novembre","Décembre")</f>
        <v>Mars</v>
      </c>
      <c r="V443" s="22" t="n">
        <f aca="false">YEAR(Q443)</f>
        <v>2026</v>
      </c>
      <c r="W443" s="20"/>
      <c r="X443" s="8" t="n">
        <f aca="false">IFERROR(IF(M443="Abs",0,IF(ROUND((D443-C443+E443-F443)*1440,0)&lt;=1,0,D443-C443+E443-F443)),0)</f>
        <v>0</v>
      </c>
      <c r="Y443" s="6" t="str">
        <f aca="false">IFERROR(VLOOKUP($B443,Agents!$A:$D,3,0),"-")</f>
        <v>OUBRAHIM Mohammed</v>
      </c>
      <c r="Z443" s="6" t="str">
        <f aca="false">IFERROR(VLOOKUP($B443,Agents!$A:$D,4,0),"-")</f>
        <v>Credit Mutuel</v>
      </c>
      <c r="AA443" s="18" t="s">
        <v>93</v>
      </c>
      <c r="AB443" s="8" t="str">
        <f aca="false">IF(AND(D443="Congé",F443="Congé"),0.333333333333333,IF(OR(AND(D443="Congé",F443&lt;&gt;"Congé"),(AND(F443="Congé",D443&lt;&gt;"Congé"))),0.166666666666667,""))</f>
        <v/>
      </c>
      <c r="AC443" s="8" t="str">
        <f aca="false">IF(AND(D443="Congé sans solde",F443="Congé sans solde"),0.333333333333333,IF(OR(AND(D443="Congé sans solde",F443&lt;&gt;"Congé sans solde"),(AND(F443="Congé sans solde",D443&lt;&gt;"Congé sans solde"))),0.166666666666667,""))</f>
        <v/>
      </c>
      <c r="AD443" s="8" t="str">
        <f aca="false">IF(AND(D443="Congé spécial",F443="Congé spécial"),0.333333333333333,IF(OR(AND(D443="Congé spécial",F443&lt;&gt;"Congé spécial"),AND(F443="Congé spécial",D443&lt;&gt;"Congé spécial")),0.166666666666667,""))</f>
        <v/>
      </c>
      <c r="AE443" s="8" t="str">
        <f aca="false">IF(AND(D443="Férié",F443="Férié"),0.333333333333333,IF(OR(AND(D443="Férié",F443&lt;&gt;"Férié"),(AND(F443="Férié",D443&lt;&gt;"Férié"))),0.166666666666667,""))</f>
        <v/>
      </c>
      <c r="AF443" s="18"/>
      <c r="AG443" s="18" t="s">
        <v>91</v>
      </c>
    </row>
    <row r="444" customFormat="false" ht="15" hidden="false" customHeight="false" outlineLevel="0" collapsed="false">
      <c r="A444" s="6" t="str">
        <f aca="false">YEAR(Q444-WEEKDAY(Q444,2)+4)&amp;"-S"&amp;TEXT(WEEKNUM(Q444,21),"00")</f>
        <v>2026-S11</v>
      </c>
      <c r="B444" s="18" t="s">
        <v>72</v>
      </c>
      <c r="C444" s="19" t="n">
        <v>0.333333333333333</v>
      </c>
      <c r="D444" s="19" t="n">
        <v>0.333333333333333</v>
      </c>
      <c r="E444" s="19" t="n">
        <v>0.708333333333333</v>
      </c>
      <c r="F444" s="19" t="n">
        <v>0.708333333333333</v>
      </c>
      <c r="G444" s="20"/>
      <c r="H444" s="20"/>
      <c r="I444" s="8" t="str">
        <f aca="false">IF(IF(OR(C444="",D444="Congé",D444="OFF",D444="Congé spécial"),"",IF(D444&gt;F444,D444-C444,IF(C444-D444&lt;0,0,C444-D444)))&lt;0.00068287037037037,"",IF(OR(D444="Congé",D444="OFF",C444="",D444="Congé spécial"),"",IF(D444&gt;F444,D444-C444,IF(C444-D444&lt;0,0,C444-D444))))</f>
        <v/>
      </c>
      <c r="J444" s="20"/>
      <c r="K444" s="8" t="n">
        <f aca="false">IF(SUM(H444:J444)&lt;0.00068287037037037,0,SUM(H444:J444))</f>
        <v>0</v>
      </c>
      <c r="L444" s="8" t="n">
        <f aca="false">IF(OR(F444="Congé",F444="OFF",M444="Abs",F444="Congé sans solde",F444="Férié",F444="Congé spécial",D444="Congé spécial"),0,IF(F444-E444&lt;0,0,IF(F444-E444&lt;=0.00068287037037037,0,F444-E444)))</f>
        <v>0</v>
      </c>
      <c r="M444" s="6" t="n">
        <f aca="false">IF(AND(O444&lt;&gt;0,C444=""),"Abs",0)</f>
        <v>0</v>
      </c>
      <c r="N444" s="8" t="n">
        <f aca="false">IFERROR(IF(OR(D444="OFF",D444="Congé",M444="Abs",D444="Congé sans solde",D444="Férié"),"",IF(O444-K444-L444&gt;O444,O444,IF(O444-K444-L444&lt;0,"",O444-K444-L444))),"")</f>
        <v>0.375</v>
      </c>
      <c r="O444" s="8" t="n">
        <f aca="false">IF(AG444="2H Pause déjeuner",IF(F444-D444-0.0833333333333333&lt;0,F444-D444-0.0833333333333333+1,F444-D444-0.0833333333333333),IF(OR(AND(F444="OFF",D444="OFF"),AND(F444="Congé",D444="Congé"),AND(F444="Congé sans solde",D444="Congé sans solde"),AND(F444="Congé spécial",D444="Congé spécial"),AND(F444="Férié",D444="Férié"),AND(F444="OFF",D444="Congé"),AND(F444="OFF",D444="Congé sans solde"),AND(F444="OFF",D444="Congé spécial"),AND(F444="OFF",D444="Férié"),AND(F444="Congé",D444="OFF"),AND(F444="Congé",D444="Congé sans solde"),AND(F444="Congé",D444="Congé spécial"),AND(F444="Congé",D444="Férié"),AND(F444="Congé sans solde",D444="OFF"),AND(F444="Congé sans solde",D444="Congé"),AND(F444="Congé sans solde",D444="Congé spécial"),AND(F444="Congé sans solde",D444="Férié"),AND(F444="Congé spécial",D444="OFF"),AND(F444="Congé spécial",D444="Congé"),AND(F444="Congé spécial",D444="Congé sans solde"),AND(F444="Congé spécial",D444="Férié"),AND(F444="Férié",D444="OFF"),AND(F444="Férié",D444="Congé"),AND(F444="Férié",D444="Congé sans solde"),AND(F444="Férié",D444="Congé spécial")),0,IF(OR(F444="OFF",F444="Congé",F444="Congé spécial",F444="Congé sans solde",D444="OFF",D444="Congé",D444="Congé spécial",D444="Congé sans solde"),0.208333333333334,IF(AND(AG444="",F444-D444&lt;0),("24:00:00"-D444)+("00:00:00"+F444)-0.0416666666666667,IF(AND(OR(AG444="Allaitement",AG444="Sans déjeuner"),F444-D444&lt;0),("24:00:00"-D444)+("00:00:00"+F444),IF(AND(AG444="",F444-D444&gt;0.166666666666667),F444-D444-0.0416666666666667,IF(AND(OR(AG444="Allaitement",AG444="Sans déjeuner"),F444-D444&gt;0.166666666666667),F444-D444,F444-D444)))))))</f>
        <v>0.375</v>
      </c>
      <c r="P444" s="6" t="str">
        <f aca="false">IFERROR(VLOOKUP($B444,Agents!$A:$D,2,0),"-")</f>
        <v>Accessibilité</v>
      </c>
      <c r="Q444" s="21" t="n">
        <v>46092</v>
      </c>
      <c r="R444" s="8" t="n">
        <f aca="false">IF(M444="Abs",O444,0)</f>
        <v>0</v>
      </c>
      <c r="S444" s="8" t="n">
        <f aca="false">SUM(R444,L444,I444,J444,W444,H444)</f>
        <v>0</v>
      </c>
      <c r="T444" s="6" t="str">
        <f aca="false">"Sem - "&amp;WEEKNUM(Q444,21)</f>
        <v>Sem - 11</v>
      </c>
      <c r="U444" s="6" t="str">
        <f aca="false">CHOOSE(MONTH(Q444),"Janvier","Février","Mars","Avril","Mai","Juin","Juillet","Août","Septembre","Octobre","Novembre","Décembre")</f>
        <v>Mars</v>
      </c>
      <c r="V444" s="22" t="n">
        <f aca="false">YEAR(Q444)</f>
        <v>2026</v>
      </c>
      <c r="W444" s="20"/>
      <c r="X444" s="8" t="n">
        <f aca="false">IFERROR(IF(M444="Abs",0,IF(ROUND((D444-C444+E444-F444)*1440,0)&lt;=1,0,D444-C444+E444-F444)),0)</f>
        <v>0</v>
      </c>
      <c r="Y444" s="6" t="str">
        <f aca="false">IFERROR(VLOOKUP($B444,Agents!$A:$D,3,0),"-")</f>
        <v>OUBRAHIM Mohammed</v>
      </c>
      <c r="Z444" s="6" t="str">
        <f aca="false">IFERROR(VLOOKUP($B444,Agents!$A:$D,4,0),"-")</f>
        <v>Credit Mutuel</v>
      </c>
      <c r="AA444" s="18" t="s">
        <v>93</v>
      </c>
      <c r="AB444" s="8" t="str">
        <f aca="false">IF(AND(D444="Congé",F444="Congé"),0.333333333333333,IF(OR(AND(D444="Congé",F444&lt;&gt;"Congé"),(AND(F444="Congé",D444&lt;&gt;"Congé"))),0.166666666666667,""))</f>
        <v/>
      </c>
      <c r="AC444" s="8" t="str">
        <f aca="false">IF(AND(D444="Congé sans solde",F444="Congé sans solde"),0.333333333333333,IF(OR(AND(D444="Congé sans solde",F444&lt;&gt;"Congé sans solde"),(AND(F444="Congé sans solde",D444&lt;&gt;"Congé sans solde"))),0.166666666666667,""))</f>
        <v/>
      </c>
      <c r="AD444" s="8" t="str">
        <f aca="false">IF(AND(D444="Congé spécial",F444="Congé spécial"),0.333333333333333,IF(OR(AND(D444="Congé spécial",F444&lt;&gt;"Congé spécial"),AND(F444="Congé spécial",D444&lt;&gt;"Congé spécial")),0.166666666666667,""))</f>
        <v/>
      </c>
      <c r="AE444" s="8" t="str">
        <f aca="false">IF(AND(D444="Férié",F444="Férié"),0.333333333333333,IF(OR(AND(D444="Férié",F444&lt;&gt;"Férié"),(AND(F444="Férié",D444&lt;&gt;"Férié"))),0.166666666666667,""))</f>
        <v/>
      </c>
      <c r="AF444" s="18"/>
      <c r="AG444" s="18" t="s">
        <v>91</v>
      </c>
    </row>
    <row r="445" customFormat="false" ht="15" hidden="false" customHeight="false" outlineLevel="0" collapsed="false">
      <c r="A445" s="6" t="str">
        <f aca="false">YEAR(Q445-WEEKDAY(Q445,2)+4)&amp;"-S"&amp;TEXT(WEEKNUM(Q445,21),"00")</f>
        <v>2026-S11</v>
      </c>
      <c r="B445" s="18" t="s">
        <v>73</v>
      </c>
      <c r="C445" s="19" t="n">
        <v>0.333333333333333</v>
      </c>
      <c r="D445" s="19" t="n">
        <v>0.333333333333333</v>
      </c>
      <c r="E445" s="19" t="n">
        <v>0.708333333333333</v>
      </c>
      <c r="F445" s="19" t="n">
        <v>0.708333333333333</v>
      </c>
      <c r="G445" s="20"/>
      <c r="H445" s="20"/>
      <c r="I445" s="8" t="str">
        <f aca="false">IF(IF(OR(C445="",D445="Congé",D445="OFF",D445="Congé spécial"),"",IF(D445&gt;F445,D445-C445,IF(C445-D445&lt;0,0,C445-D445)))&lt;0.00068287037037037,"",IF(OR(D445="Congé",D445="OFF",C445="",D445="Congé spécial"),"",IF(D445&gt;F445,D445-C445,IF(C445-D445&lt;0,0,C445-D445))))</f>
        <v/>
      </c>
      <c r="J445" s="20"/>
      <c r="K445" s="8" t="n">
        <f aca="false">IF(SUM(H445:J445)&lt;0.00068287037037037,0,SUM(H445:J445))</f>
        <v>0</v>
      </c>
      <c r="L445" s="8" t="n">
        <f aca="false">IF(OR(F445="Congé",F445="OFF",M445="Abs",F445="Congé sans solde",F445="Férié",F445="Congé spécial",D445="Congé spécial"),0,IF(F445-E445&lt;0,0,IF(F445-E445&lt;=0.00068287037037037,0,F445-E445)))</f>
        <v>0</v>
      </c>
      <c r="M445" s="6" t="n">
        <f aca="false">IF(AND(O445&lt;&gt;0,C445=""),"Abs",0)</f>
        <v>0</v>
      </c>
      <c r="N445" s="8" t="n">
        <f aca="false">IFERROR(IF(OR(D445="OFF",D445="Congé",M445="Abs",D445="Congé sans solde",D445="Férié"),"",IF(O445-K445-L445&gt;O445,O445,IF(O445-K445-L445&lt;0,"",O445-K445-L445))),"")</f>
        <v>0.375</v>
      </c>
      <c r="O445" s="8" t="n">
        <f aca="false">IF(AG445="2H Pause déjeuner",IF(F445-D445-0.0833333333333333&lt;0,F445-D445-0.0833333333333333+1,F445-D445-0.0833333333333333),IF(OR(AND(F445="OFF",D445="OFF"),AND(F445="Congé",D445="Congé"),AND(F445="Congé sans solde",D445="Congé sans solde"),AND(F445="Congé spécial",D445="Congé spécial"),AND(F445="Férié",D445="Férié"),AND(F445="OFF",D445="Congé"),AND(F445="OFF",D445="Congé sans solde"),AND(F445="OFF",D445="Congé spécial"),AND(F445="OFF",D445="Férié"),AND(F445="Congé",D445="OFF"),AND(F445="Congé",D445="Congé sans solde"),AND(F445="Congé",D445="Congé spécial"),AND(F445="Congé",D445="Férié"),AND(F445="Congé sans solde",D445="OFF"),AND(F445="Congé sans solde",D445="Congé"),AND(F445="Congé sans solde",D445="Congé spécial"),AND(F445="Congé sans solde",D445="Férié"),AND(F445="Congé spécial",D445="OFF"),AND(F445="Congé spécial",D445="Congé"),AND(F445="Congé spécial",D445="Congé sans solde"),AND(F445="Congé spécial",D445="Férié"),AND(F445="Férié",D445="OFF"),AND(F445="Férié",D445="Congé"),AND(F445="Férié",D445="Congé sans solde"),AND(F445="Férié",D445="Congé spécial")),0,IF(OR(F445="OFF",F445="Congé",F445="Congé spécial",F445="Congé sans solde",D445="OFF",D445="Congé",D445="Congé spécial",D445="Congé sans solde"),0.208333333333334,IF(AND(AG445="",F445-D445&lt;0),("24:00:00"-D445)+("00:00:00"+F445)-0.0416666666666667,IF(AND(OR(AG445="Allaitement",AG445="Sans déjeuner"),F445-D445&lt;0),("24:00:00"-D445)+("00:00:00"+F445),IF(AND(AG445="",F445-D445&gt;0.166666666666667),F445-D445-0.0416666666666667,IF(AND(OR(AG445="Allaitement",AG445="Sans déjeuner"),F445-D445&gt;0.166666666666667),F445-D445,F445-D445)))))))</f>
        <v>0.375</v>
      </c>
      <c r="P445" s="6" t="str">
        <f aca="false">IFERROR(VLOOKUP($B445,Agents!$A:$D,2,0),"-")</f>
        <v>Accessibilité</v>
      </c>
      <c r="Q445" s="21" t="n">
        <v>46092</v>
      </c>
      <c r="R445" s="8" t="n">
        <f aca="false">IF(M445="Abs",O445,0)</f>
        <v>0</v>
      </c>
      <c r="S445" s="8" t="n">
        <f aca="false">SUM(R445,L445,I445,J445,W445,H445)</f>
        <v>0</v>
      </c>
      <c r="T445" s="6" t="str">
        <f aca="false">"Sem - "&amp;WEEKNUM(Q445,21)</f>
        <v>Sem - 11</v>
      </c>
      <c r="U445" s="6" t="str">
        <f aca="false">CHOOSE(MONTH(Q445),"Janvier","Février","Mars","Avril","Mai","Juin","Juillet","Août","Septembre","Octobre","Novembre","Décembre")</f>
        <v>Mars</v>
      </c>
      <c r="V445" s="22" t="n">
        <f aca="false">YEAR(Q445)</f>
        <v>2026</v>
      </c>
      <c r="W445" s="20"/>
      <c r="X445" s="8" t="n">
        <f aca="false">IFERROR(IF(M445="Abs",0,IF(ROUND((D445-C445+E445-F445)*1440,0)&lt;=1,0,D445-C445+E445-F445)),0)</f>
        <v>0</v>
      </c>
      <c r="Y445" s="6" t="str">
        <f aca="false">IFERROR(VLOOKUP($B445,Agents!$A:$D,3,0),"-")</f>
        <v>OUBRAHIM Mohammed</v>
      </c>
      <c r="Z445" s="6" t="str">
        <f aca="false">IFERROR(VLOOKUP($B445,Agents!$A:$D,4,0),"-")</f>
        <v>Credit Mutuel</v>
      </c>
      <c r="AA445" s="18" t="s">
        <v>93</v>
      </c>
      <c r="AB445" s="8" t="str">
        <f aca="false">IF(AND(D445="Congé",F445="Congé"),0.333333333333333,IF(OR(AND(D445="Congé",F445&lt;&gt;"Congé"),(AND(F445="Congé",D445&lt;&gt;"Congé"))),0.166666666666667,""))</f>
        <v/>
      </c>
      <c r="AC445" s="8" t="str">
        <f aca="false">IF(AND(D445="Congé sans solde",F445="Congé sans solde"),0.333333333333333,IF(OR(AND(D445="Congé sans solde",F445&lt;&gt;"Congé sans solde"),(AND(F445="Congé sans solde",D445&lt;&gt;"Congé sans solde"))),0.166666666666667,""))</f>
        <v/>
      </c>
      <c r="AD445" s="8" t="str">
        <f aca="false">IF(AND(D445="Congé spécial",F445="Congé spécial"),0.333333333333333,IF(OR(AND(D445="Congé spécial",F445&lt;&gt;"Congé spécial"),AND(F445="Congé spécial",D445&lt;&gt;"Congé spécial")),0.166666666666667,""))</f>
        <v/>
      </c>
      <c r="AE445" s="8" t="str">
        <f aca="false">IF(AND(D445="Férié",F445="Férié"),0.333333333333333,IF(OR(AND(D445="Férié",F445&lt;&gt;"Férié"),(AND(F445="Férié",D445&lt;&gt;"Férié"))),0.166666666666667,""))</f>
        <v/>
      </c>
      <c r="AF445" s="18"/>
      <c r="AG445" s="18" t="s">
        <v>91</v>
      </c>
    </row>
    <row r="446" customFormat="false" ht="15" hidden="false" customHeight="false" outlineLevel="0" collapsed="false">
      <c r="A446" s="6" t="str">
        <f aca="false">YEAR(Q446-WEEKDAY(Q446,2)+4)&amp;"-S"&amp;TEXT(WEEKNUM(Q446,21),"00")</f>
        <v>2026-S11</v>
      </c>
      <c r="B446" s="18" t="s">
        <v>69</v>
      </c>
      <c r="C446" s="19" t="n">
        <v>0.333333333333333</v>
      </c>
      <c r="D446" s="19" t="n">
        <v>0.333333333333333</v>
      </c>
      <c r="E446" s="19" t="n">
        <v>0.708333333333333</v>
      </c>
      <c r="F446" s="19" t="n">
        <v>0.708333333333333</v>
      </c>
      <c r="G446" s="20"/>
      <c r="H446" s="20"/>
      <c r="I446" s="8" t="str">
        <f aca="false">IF(IF(OR(C446="",D446="Congé",D446="OFF",D446="Congé spécial"),"",IF(D446&gt;F446,D446-C446,IF(C446-D446&lt;0,0,C446-D446)))&lt;0.00068287037037037,"",IF(OR(D446="Congé",D446="OFF",C446="",D446="Congé spécial"),"",IF(D446&gt;F446,D446-C446,IF(C446-D446&lt;0,0,C446-D446))))</f>
        <v/>
      </c>
      <c r="J446" s="20"/>
      <c r="K446" s="8" t="n">
        <f aca="false">IF(SUM(H446:J446)&lt;0.00068287037037037,0,SUM(H446:J446))</f>
        <v>0</v>
      </c>
      <c r="L446" s="8" t="n">
        <f aca="false">IF(OR(F446="Congé",F446="OFF",M446="Abs",F446="Congé sans solde",F446="Férié",F446="Congé spécial",D446="Congé spécial"),0,IF(F446-E446&lt;0,0,IF(F446-E446&lt;=0.00068287037037037,0,F446-E446)))</f>
        <v>0</v>
      </c>
      <c r="M446" s="6" t="n">
        <f aca="false">IF(AND(O446&lt;&gt;0,C446=""),"Abs",0)</f>
        <v>0</v>
      </c>
      <c r="N446" s="8" t="n">
        <f aca="false">IFERROR(IF(OR(D446="OFF",D446="Congé",M446="Abs",D446="Congé sans solde",D446="Férié"),"",IF(O446-K446-L446&gt;O446,O446,IF(O446-K446-L446&lt;0,"",O446-K446-L446))),"")</f>
        <v>0.375</v>
      </c>
      <c r="O446" s="8" t="n">
        <f aca="false">IF(AG446="2H Pause déjeuner",IF(F446-D446-0.0833333333333333&lt;0,F446-D446-0.0833333333333333+1,F446-D446-0.0833333333333333),IF(OR(AND(F446="OFF",D446="OFF"),AND(F446="Congé",D446="Congé"),AND(F446="Congé sans solde",D446="Congé sans solde"),AND(F446="Congé spécial",D446="Congé spécial"),AND(F446="Férié",D446="Férié"),AND(F446="OFF",D446="Congé"),AND(F446="OFF",D446="Congé sans solde"),AND(F446="OFF",D446="Congé spécial"),AND(F446="OFF",D446="Férié"),AND(F446="Congé",D446="OFF"),AND(F446="Congé",D446="Congé sans solde"),AND(F446="Congé",D446="Congé spécial"),AND(F446="Congé",D446="Férié"),AND(F446="Congé sans solde",D446="OFF"),AND(F446="Congé sans solde",D446="Congé"),AND(F446="Congé sans solde",D446="Congé spécial"),AND(F446="Congé sans solde",D446="Férié"),AND(F446="Congé spécial",D446="OFF"),AND(F446="Congé spécial",D446="Congé"),AND(F446="Congé spécial",D446="Congé sans solde"),AND(F446="Congé spécial",D446="Férié"),AND(F446="Férié",D446="OFF"),AND(F446="Férié",D446="Congé"),AND(F446="Férié",D446="Congé sans solde"),AND(F446="Férié",D446="Congé spécial")),0,IF(OR(F446="OFF",F446="Congé",F446="Congé spécial",F446="Congé sans solde",D446="OFF",D446="Congé",D446="Congé spécial",D446="Congé sans solde"),0.208333333333334,IF(AND(AG446="",F446-D446&lt;0),("24:00:00"-D446)+("00:00:00"+F446)-0.0416666666666667,IF(AND(OR(AG446="Allaitement",AG446="Sans déjeuner"),F446-D446&lt;0),("24:00:00"-D446)+("00:00:00"+F446),IF(AND(AG446="",F446-D446&gt;0.166666666666667),F446-D446-0.0416666666666667,IF(AND(OR(AG446="Allaitement",AG446="Sans déjeuner"),F446-D446&gt;0.166666666666667),F446-D446,F446-D446)))))))</f>
        <v>0.375</v>
      </c>
      <c r="P446" s="6" t="str">
        <f aca="false">IFERROR(VLOOKUP($B446,Agents!$A:$D,2,0),"-")</f>
        <v>Accessibilité</v>
      </c>
      <c r="Q446" s="21" t="n">
        <v>46093</v>
      </c>
      <c r="R446" s="8" t="n">
        <f aca="false">IF(M446="Abs",O446,0)</f>
        <v>0</v>
      </c>
      <c r="S446" s="8" t="n">
        <f aca="false">SUM(R446,L446,I446,J446,W446,H446)</f>
        <v>0</v>
      </c>
      <c r="T446" s="6" t="str">
        <f aca="false">"Sem - "&amp;WEEKNUM(Q446,21)</f>
        <v>Sem - 11</v>
      </c>
      <c r="U446" s="6" t="str">
        <f aca="false">CHOOSE(MONTH(Q446),"Janvier","Février","Mars","Avril","Mai","Juin","Juillet","Août","Septembre","Octobre","Novembre","Décembre")</f>
        <v>Mars</v>
      </c>
      <c r="V446" s="22" t="n">
        <f aca="false">YEAR(Q446)</f>
        <v>2026</v>
      </c>
      <c r="W446" s="20"/>
      <c r="X446" s="8" t="n">
        <f aca="false">IFERROR(IF(M446="Abs",0,IF(ROUND((D446-C446+E446-F446)*1440,0)&lt;=1,0,D446-C446+E446-F446)),0)</f>
        <v>0</v>
      </c>
      <c r="Y446" s="6" t="str">
        <f aca="false">IFERROR(VLOOKUP($B446,Agents!$A:$D,3,0),"-")</f>
        <v>OUBRAHIM Mohammed</v>
      </c>
      <c r="Z446" s="6" t="str">
        <f aca="false">IFERROR(VLOOKUP($B446,Agents!$A:$D,4,0),"-")</f>
        <v>Credit Mutuel</v>
      </c>
      <c r="AA446" s="18" t="s">
        <v>93</v>
      </c>
      <c r="AB446" s="8" t="str">
        <f aca="false">IF(AND(D446="Congé",F446="Congé"),0.333333333333333,IF(OR(AND(D446="Congé",F446&lt;&gt;"Congé"),(AND(F446="Congé",D446&lt;&gt;"Congé"))),0.166666666666667,""))</f>
        <v/>
      </c>
      <c r="AC446" s="8" t="str">
        <f aca="false">IF(AND(D446="Congé sans solde",F446="Congé sans solde"),0.333333333333333,IF(OR(AND(D446="Congé sans solde",F446&lt;&gt;"Congé sans solde"),(AND(F446="Congé sans solde",D446&lt;&gt;"Congé sans solde"))),0.166666666666667,""))</f>
        <v/>
      </c>
      <c r="AD446" s="8" t="str">
        <f aca="false">IF(AND(D446="Congé spécial",F446="Congé spécial"),0.333333333333333,IF(OR(AND(D446="Congé spécial",F446&lt;&gt;"Congé spécial"),AND(F446="Congé spécial",D446&lt;&gt;"Congé spécial")),0.166666666666667,""))</f>
        <v/>
      </c>
      <c r="AE446" s="8" t="str">
        <f aca="false">IF(AND(D446="Férié",F446="Férié"),0.333333333333333,IF(OR(AND(D446="Férié",F446&lt;&gt;"Férié"),(AND(F446="Férié",D446&lt;&gt;"Férié"))),0.166666666666667,""))</f>
        <v/>
      </c>
      <c r="AF446" s="18"/>
      <c r="AG446" s="18" t="s">
        <v>91</v>
      </c>
    </row>
    <row r="447" customFormat="false" ht="15" hidden="false" customHeight="false" outlineLevel="0" collapsed="false">
      <c r="A447" s="6" t="str">
        <f aca="false">YEAR(Q447-WEEKDAY(Q447,2)+4)&amp;"-S"&amp;TEXT(WEEKNUM(Q447,21),"00")</f>
        <v>2026-S11</v>
      </c>
      <c r="B447" s="18" t="s">
        <v>71</v>
      </c>
      <c r="C447" s="19" t="n">
        <v>0.333333333333333</v>
      </c>
      <c r="D447" s="19" t="n">
        <v>0.333333333333333</v>
      </c>
      <c r="E447" s="19" t="n">
        <v>0.708333333333333</v>
      </c>
      <c r="F447" s="19" t="n">
        <v>0.708333333333333</v>
      </c>
      <c r="G447" s="20"/>
      <c r="H447" s="20"/>
      <c r="I447" s="8" t="str">
        <f aca="false">IF(IF(OR(C447="",D447="Congé",D447="OFF",D447="Congé spécial"),"",IF(D447&gt;F447,D447-C447,IF(C447-D447&lt;0,0,C447-D447)))&lt;0.00068287037037037,"",IF(OR(D447="Congé",D447="OFF",C447="",D447="Congé spécial"),"",IF(D447&gt;F447,D447-C447,IF(C447-D447&lt;0,0,C447-D447))))</f>
        <v/>
      </c>
      <c r="J447" s="20"/>
      <c r="K447" s="8" t="n">
        <f aca="false">IF(SUM(H447:J447)&lt;0.00068287037037037,0,SUM(H447:J447))</f>
        <v>0</v>
      </c>
      <c r="L447" s="8" t="n">
        <f aca="false">IF(OR(F447="Congé",F447="OFF",M447="Abs",F447="Congé sans solde",F447="Férié",F447="Congé spécial",D447="Congé spécial"),0,IF(F447-E447&lt;0,0,IF(F447-E447&lt;=0.00068287037037037,0,F447-E447)))</f>
        <v>0</v>
      </c>
      <c r="M447" s="6" t="n">
        <f aca="false">IF(AND(O447&lt;&gt;0,C447=""),"Abs",0)</f>
        <v>0</v>
      </c>
      <c r="N447" s="8" t="n">
        <f aca="false">IFERROR(IF(OR(D447="OFF",D447="Congé",M447="Abs",D447="Congé sans solde",D447="Férié"),"",IF(O447-K447-L447&gt;O447,O447,IF(O447-K447-L447&lt;0,"",O447-K447-L447))),"")</f>
        <v>0.375</v>
      </c>
      <c r="O447" s="8" t="n">
        <f aca="false">IF(AG447="2H Pause déjeuner",IF(F447-D447-0.0833333333333333&lt;0,F447-D447-0.0833333333333333+1,F447-D447-0.0833333333333333),IF(OR(AND(F447="OFF",D447="OFF"),AND(F447="Congé",D447="Congé"),AND(F447="Congé sans solde",D447="Congé sans solde"),AND(F447="Congé spécial",D447="Congé spécial"),AND(F447="Férié",D447="Férié"),AND(F447="OFF",D447="Congé"),AND(F447="OFF",D447="Congé sans solde"),AND(F447="OFF",D447="Congé spécial"),AND(F447="OFF",D447="Férié"),AND(F447="Congé",D447="OFF"),AND(F447="Congé",D447="Congé sans solde"),AND(F447="Congé",D447="Congé spécial"),AND(F447="Congé",D447="Férié"),AND(F447="Congé sans solde",D447="OFF"),AND(F447="Congé sans solde",D447="Congé"),AND(F447="Congé sans solde",D447="Congé spécial"),AND(F447="Congé sans solde",D447="Férié"),AND(F447="Congé spécial",D447="OFF"),AND(F447="Congé spécial",D447="Congé"),AND(F447="Congé spécial",D447="Congé sans solde"),AND(F447="Congé spécial",D447="Férié"),AND(F447="Férié",D447="OFF"),AND(F447="Férié",D447="Congé"),AND(F447="Férié",D447="Congé sans solde"),AND(F447="Férié",D447="Congé spécial")),0,IF(OR(F447="OFF",F447="Congé",F447="Congé spécial",F447="Congé sans solde",D447="OFF",D447="Congé",D447="Congé spécial",D447="Congé sans solde"),0.208333333333334,IF(AND(AG447="",F447-D447&lt;0),("24:00:00"-D447)+("00:00:00"+F447)-0.0416666666666667,IF(AND(OR(AG447="Allaitement",AG447="Sans déjeuner"),F447-D447&lt;0),("24:00:00"-D447)+("00:00:00"+F447),IF(AND(AG447="",F447-D447&gt;0.166666666666667),F447-D447-0.0416666666666667,IF(AND(OR(AG447="Allaitement",AG447="Sans déjeuner"),F447-D447&gt;0.166666666666667),F447-D447,F447-D447)))))))</f>
        <v>0.375</v>
      </c>
      <c r="P447" s="6" t="str">
        <f aca="false">IFERROR(VLOOKUP($B447,Agents!$A:$D,2,0),"-")</f>
        <v>Accessibilité</v>
      </c>
      <c r="Q447" s="21" t="n">
        <v>46093</v>
      </c>
      <c r="R447" s="8" t="n">
        <f aca="false">IF(M447="Abs",O447,0)</f>
        <v>0</v>
      </c>
      <c r="S447" s="8" t="n">
        <f aca="false">SUM(R447,L447,I447,J447,W447,H447)</f>
        <v>0</v>
      </c>
      <c r="T447" s="6" t="str">
        <f aca="false">"Sem - "&amp;WEEKNUM(Q447,21)</f>
        <v>Sem - 11</v>
      </c>
      <c r="U447" s="6" t="str">
        <f aca="false">CHOOSE(MONTH(Q447),"Janvier","Février","Mars","Avril","Mai","Juin","Juillet","Août","Septembre","Octobre","Novembre","Décembre")</f>
        <v>Mars</v>
      </c>
      <c r="V447" s="22" t="n">
        <f aca="false">YEAR(Q447)</f>
        <v>2026</v>
      </c>
      <c r="W447" s="20"/>
      <c r="X447" s="8" t="n">
        <f aca="false">IFERROR(IF(M447="Abs",0,IF(ROUND((D447-C447+E447-F447)*1440,0)&lt;=1,0,D447-C447+E447-F447)),0)</f>
        <v>0</v>
      </c>
      <c r="Y447" s="6" t="str">
        <f aca="false">IFERROR(VLOOKUP($B447,Agents!$A:$D,3,0),"-")</f>
        <v>OUBRAHIM Mohammed</v>
      </c>
      <c r="Z447" s="6" t="str">
        <f aca="false">IFERROR(VLOOKUP($B447,Agents!$A:$D,4,0),"-")</f>
        <v>Credit Mutuel</v>
      </c>
      <c r="AA447" s="18" t="s">
        <v>93</v>
      </c>
      <c r="AB447" s="8" t="str">
        <f aca="false">IF(AND(D447="Congé",F447="Congé"),0.333333333333333,IF(OR(AND(D447="Congé",F447&lt;&gt;"Congé"),(AND(F447="Congé",D447&lt;&gt;"Congé"))),0.166666666666667,""))</f>
        <v/>
      </c>
      <c r="AC447" s="8" t="str">
        <f aca="false">IF(AND(D447="Congé sans solde",F447="Congé sans solde"),0.333333333333333,IF(OR(AND(D447="Congé sans solde",F447&lt;&gt;"Congé sans solde"),(AND(F447="Congé sans solde",D447&lt;&gt;"Congé sans solde"))),0.166666666666667,""))</f>
        <v/>
      </c>
      <c r="AD447" s="8" t="str">
        <f aca="false">IF(AND(D447="Congé spécial",F447="Congé spécial"),0.333333333333333,IF(OR(AND(D447="Congé spécial",F447&lt;&gt;"Congé spécial"),AND(F447="Congé spécial",D447&lt;&gt;"Congé spécial")),0.166666666666667,""))</f>
        <v/>
      </c>
      <c r="AE447" s="8" t="str">
        <f aca="false">IF(AND(D447="Férié",F447="Férié"),0.333333333333333,IF(OR(AND(D447="Férié",F447&lt;&gt;"Férié"),(AND(F447="Férié",D447&lt;&gt;"Férié"))),0.166666666666667,""))</f>
        <v/>
      </c>
      <c r="AF447" s="18"/>
      <c r="AG447" s="18" t="s">
        <v>91</v>
      </c>
    </row>
    <row r="448" customFormat="false" ht="15" hidden="false" customHeight="false" outlineLevel="0" collapsed="false">
      <c r="A448" s="6" t="str">
        <f aca="false">YEAR(Q448-WEEKDAY(Q448,2)+4)&amp;"-S"&amp;TEXT(WEEKNUM(Q448,21),"00")</f>
        <v>2026-S11</v>
      </c>
      <c r="B448" s="18" t="s">
        <v>72</v>
      </c>
      <c r="C448" s="19" t="n">
        <v>0.333333333333333</v>
      </c>
      <c r="D448" s="19" t="n">
        <v>0.333333333333333</v>
      </c>
      <c r="E448" s="19" t="n">
        <v>0.708333333333333</v>
      </c>
      <c r="F448" s="19" t="n">
        <v>0.708333333333333</v>
      </c>
      <c r="G448" s="20"/>
      <c r="H448" s="20"/>
      <c r="I448" s="8" t="str">
        <f aca="false">IF(IF(OR(C448="",D448="Congé",D448="OFF",D448="Congé spécial"),"",IF(D448&gt;F448,D448-C448,IF(C448-D448&lt;0,0,C448-D448)))&lt;0.00068287037037037,"",IF(OR(D448="Congé",D448="OFF",C448="",D448="Congé spécial"),"",IF(D448&gt;F448,D448-C448,IF(C448-D448&lt;0,0,C448-D448))))</f>
        <v/>
      </c>
      <c r="J448" s="20"/>
      <c r="K448" s="8" t="n">
        <f aca="false">IF(SUM(H448:J448)&lt;0.00068287037037037,0,SUM(H448:J448))</f>
        <v>0</v>
      </c>
      <c r="L448" s="8" t="n">
        <f aca="false">IF(OR(F448="Congé",F448="OFF",M448="Abs",F448="Congé sans solde",F448="Férié",F448="Congé spécial",D448="Congé spécial"),0,IF(F448-E448&lt;0,0,IF(F448-E448&lt;=0.00068287037037037,0,F448-E448)))</f>
        <v>0</v>
      </c>
      <c r="M448" s="6" t="n">
        <f aca="false">IF(AND(O448&lt;&gt;0,C448=""),"Abs",0)</f>
        <v>0</v>
      </c>
      <c r="N448" s="8" t="n">
        <f aca="false">IFERROR(IF(OR(D448="OFF",D448="Congé",M448="Abs",D448="Congé sans solde",D448="Férié"),"",IF(O448-K448-L448&gt;O448,O448,IF(O448-K448-L448&lt;0,"",O448-K448-L448))),"")</f>
        <v>0.375</v>
      </c>
      <c r="O448" s="8" t="n">
        <f aca="false">IF(AG448="2H Pause déjeuner",IF(F448-D448-0.0833333333333333&lt;0,F448-D448-0.0833333333333333+1,F448-D448-0.0833333333333333),IF(OR(AND(F448="OFF",D448="OFF"),AND(F448="Congé",D448="Congé"),AND(F448="Congé sans solde",D448="Congé sans solde"),AND(F448="Congé spécial",D448="Congé spécial"),AND(F448="Férié",D448="Férié"),AND(F448="OFF",D448="Congé"),AND(F448="OFF",D448="Congé sans solde"),AND(F448="OFF",D448="Congé spécial"),AND(F448="OFF",D448="Férié"),AND(F448="Congé",D448="OFF"),AND(F448="Congé",D448="Congé sans solde"),AND(F448="Congé",D448="Congé spécial"),AND(F448="Congé",D448="Férié"),AND(F448="Congé sans solde",D448="OFF"),AND(F448="Congé sans solde",D448="Congé"),AND(F448="Congé sans solde",D448="Congé spécial"),AND(F448="Congé sans solde",D448="Férié"),AND(F448="Congé spécial",D448="OFF"),AND(F448="Congé spécial",D448="Congé"),AND(F448="Congé spécial",D448="Congé sans solde"),AND(F448="Congé spécial",D448="Férié"),AND(F448="Férié",D448="OFF"),AND(F448="Férié",D448="Congé"),AND(F448="Férié",D448="Congé sans solde"),AND(F448="Férié",D448="Congé spécial")),0,IF(OR(F448="OFF",F448="Congé",F448="Congé spécial",F448="Congé sans solde",D448="OFF",D448="Congé",D448="Congé spécial",D448="Congé sans solde"),0.208333333333334,IF(AND(AG448="",F448-D448&lt;0),("24:00:00"-D448)+("00:00:00"+F448)-0.0416666666666667,IF(AND(OR(AG448="Allaitement",AG448="Sans déjeuner"),F448-D448&lt;0),("24:00:00"-D448)+("00:00:00"+F448),IF(AND(AG448="",F448-D448&gt;0.166666666666667),F448-D448-0.0416666666666667,IF(AND(OR(AG448="Allaitement",AG448="Sans déjeuner"),F448-D448&gt;0.166666666666667),F448-D448,F448-D448)))))))</f>
        <v>0.375</v>
      </c>
      <c r="P448" s="6" t="str">
        <f aca="false">IFERROR(VLOOKUP($B448,Agents!$A:$D,2,0),"-")</f>
        <v>Accessibilité</v>
      </c>
      <c r="Q448" s="21" t="n">
        <v>46093</v>
      </c>
      <c r="R448" s="8" t="n">
        <f aca="false">IF(M448="Abs",O448,0)</f>
        <v>0</v>
      </c>
      <c r="S448" s="8" t="n">
        <f aca="false">SUM(R448,L448,I448,J448,W448,H448)</f>
        <v>0</v>
      </c>
      <c r="T448" s="6" t="str">
        <f aca="false">"Sem - "&amp;WEEKNUM(Q448,21)</f>
        <v>Sem - 11</v>
      </c>
      <c r="U448" s="6" t="str">
        <f aca="false">CHOOSE(MONTH(Q448),"Janvier","Février","Mars","Avril","Mai","Juin","Juillet","Août","Septembre","Octobre","Novembre","Décembre")</f>
        <v>Mars</v>
      </c>
      <c r="V448" s="22" t="n">
        <f aca="false">YEAR(Q448)</f>
        <v>2026</v>
      </c>
      <c r="W448" s="20"/>
      <c r="X448" s="8" t="n">
        <f aca="false">IFERROR(IF(M448="Abs",0,IF(ROUND((D448-C448+E448-F448)*1440,0)&lt;=1,0,D448-C448+E448-F448)),0)</f>
        <v>0</v>
      </c>
      <c r="Y448" s="6" t="str">
        <f aca="false">IFERROR(VLOOKUP($B448,Agents!$A:$D,3,0),"-")</f>
        <v>OUBRAHIM Mohammed</v>
      </c>
      <c r="Z448" s="6" t="str">
        <f aca="false">IFERROR(VLOOKUP($B448,Agents!$A:$D,4,0),"-")</f>
        <v>Credit Mutuel</v>
      </c>
      <c r="AA448" s="18" t="s">
        <v>93</v>
      </c>
      <c r="AB448" s="8" t="str">
        <f aca="false">IF(AND(D448="Congé",F448="Congé"),0.333333333333333,IF(OR(AND(D448="Congé",F448&lt;&gt;"Congé"),(AND(F448="Congé",D448&lt;&gt;"Congé"))),0.166666666666667,""))</f>
        <v/>
      </c>
      <c r="AC448" s="8" t="str">
        <f aca="false">IF(AND(D448="Congé sans solde",F448="Congé sans solde"),0.333333333333333,IF(OR(AND(D448="Congé sans solde",F448&lt;&gt;"Congé sans solde"),(AND(F448="Congé sans solde",D448&lt;&gt;"Congé sans solde"))),0.166666666666667,""))</f>
        <v/>
      </c>
      <c r="AD448" s="8" t="str">
        <f aca="false">IF(AND(D448="Congé spécial",F448="Congé spécial"),0.333333333333333,IF(OR(AND(D448="Congé spécial",F448&lt;&gt;"Congé spécial"),AND(F448="Congé spécial",D448&lt;&gt;"Congé spécial")),0.166666666666667,""))</f>
        <v/>
      </c>
      <c r="AE448" s="8" t="str">
        <f aca="false">IF(AND(D448="Férié",F448="Férié"),0.333333333333333,IF(OR(AND(D448="Férié",F448&lt;&gt;"Férié"),(AND(F448="Férié",D448&lt;&gt;"Férié"))),0.166666666666667,""))</f>
        <v/>
      </c>
      <c r="AF448" s="18"/>
      <c r="AG448" s="18" t="s">
        <v>91</v>
      </c>
    </row>
    <row r="449" customFormat="false" ht="15" hidden="false" customHeight="false" outlineLevel="0" collapsed="false">
      <c r="A449" s="6" t="str">
        <f aca="false">YEAR(Q449-WEEKDAY(Q449,2)+4)&amp;"-S"&amp;TEXT(WEEKNUM(Q449,21),"00")</f>
        <v>2026-S11</v>
      </c>
      <c r="B449" s="18" t="s">
        <v>73</v>
      </c>
      <c r="C449" s="19" t="n">
        <v>0.333333333333333</v>
      </c>
      <c r="D449" s="19" t="n">
        <v>0.333333333333333</v>
      </c>
      <c r="E449" s="19" t="n">
        <v>0.708333333333333</v>
      </c>
      <c r="F449" s="19" t="n">
        <v>0.708333333333333</v>
      </c>
      <c r="G449" s="20"/>
      <c r="H449" s="20"/>
      <c r="I449" s="8" t="str">
        <f aca="false">IF(IF(OR(C449="",D449="Congé",D449="OFF",D449="Congé spécial"),"",IF(D449&gt;F449,D449-C449,IF(C449-D449&lt;0,0,C449-D449)))&lt;0.00068287037037037,"",IF(OR(D449="Congé",D449="OFF",C449="",D449="Congé spécial"),"",IF(D449&gt;F449,D449-C449,IF(C449-D449&lt;0,0,C449-D449))))</f>
        <v/>
      </c>
      <c r="J449" s="20"/>
      <c r="K449" s="8" t="n">
        <f aca="false">IF(SUM(H449:J449)&lt;0.00068287037037037,0,SUM(H449:J449))</f>
        <v>0</v>
      </c>
      <c r="L449" s="8" t="n">
        <f aca="false">IF(OR(F449="Congé",F449="OFF",M449="Abs",F449="Congé sans solde",F449="Férié",F449="Congé spécial",D449="Congé spécial"),0,IF(F449-E449&lt;0,0,IF(F449-E449&lt;=0.00068287037037037,0,F449-E449)))</f>
        <v>0</v>
      </c>
      <c r="M449" s="6" t="n">
        <f aca="false">IF(AND(O449&lt;&gt;0,C449=""),"Abs",0)</f>
        <v>0</v>
      </c>
      <c r="N449" s="8" t="n">
        <f aca="false">IFERROR(IF(OR(D449="OFF",D449="Congé",M449="Abs",D449="Congé sans solde",D449="Férié"),"",IF(O449-K449-L449&gt;O449,O449,IF(O449-K449-L449&lt;0,"",O449-K449-L449))),"")</f>
        <v>0.375</v>
      </c>
      <c r="O449" s="8" t="n">
        <f aca="false">IF(AG449="2H Pause déjeuner",IF(F449-D449-0.0833333333333333&lt;0,F449-D449-0.0833333333333333+1,F449-D449-0.0833333333333333),IF(OR(AND(F449="OFF",D449="OFF"),AND(F449="Congé",D449="Congé"),AND(F449="Congé sans solde",D449="Congé sans solde"),AND(F449="Congé spécial",D449="Congé spécial"),AND(F449="Férié",D449="Férié"),AND(F449="OFF",D449="Congé"),AND(F449="OFF",D449="Congé sans solde"),AND(F449="OFF",D449="Congé spécial"),AND(F449="OFF",D449="Férié"),AND(F449="Congé",D449="OFF"),AND(F449="Congé",D449="Congé sans solde"),AND(F449="Congé",D449="Congé spécial"),AND(F449="Congé",D449="Férié"),AND(F449="Congé sans solde",D449="OFF"),AND(F449="Congé sans solde",D449="Congé"),AND(F449="Congé sans solde",D449="Congé spécial"),AND(F449="Congé sans solde",D449="Férié"),AND(F449="Congé spécial",D449="OFF"),AND(F449="Congé spécial",D449="Congé"),AND(F449="Congé spécial",D449="Congé sans solde"),AND(F449="Congé spécial",D449="Férié"),AND(F449="Férié",D449="OFF"),AND(F449="Férié",D449="Congé"),AND(F449="Férié",D449="Congé sans solde"),AND(F449="Férié",D449="Congé spécial")),0,IF(OR(F449="OFF",F449="Congé",F449="Congé spécial",F449="Congé sans solde",D449="OFF",D449="Congé",D449="Congé spécial",D449="Congé sans solde"),0.208333333333334,IF(AND(AG449="",F449-D449&lt;0),("24:00:00"-D449)+("00:00:00"+F449)-0.0416666666666667,IF(AND(OR(AG449="Allaitement",AG449="Sans déjeuner"),F449-D449&lt;0),("24:00:00"-D449)+("00:00:00"+F449),IF(AND(AG449="",F449-D449&gt;0.166666666666667),F449-D449-0.0416666666666667,IF(AND(OR(AG449="Allaitement",AG449="Sans déjeuner"),F449-D449&gt;0.166666666666667),F449-D449,F449-D449)))))))</f>
        <v>0.375</v>
      </c>
      <c r="P449" s="6" t="str">
        <f aca="false">IFERROR(VLOOKUP($B449,Agents!$A:$D,2,0),"-")</f>
        <v>Accessibilité</v>
      </c>
      <c r="Q449" s="21" t="n">
        <v>46093</v>
      </c>
      <c r="R449" s="8" t="n">
        <f aca="false">IF(M449="Abs",O449,0)</f>
        <v>0</v>
      </c>
      <c r="S449" s="8" t="n">
        <f aca="false">SUM(R449,L449,I449,J449,W449,H449)</f>
        <v>0</v>
      </c>
      <c r="T449" s="6" t="str">
        <f aca="false">"Sem - "&amp;WEEKNUM(Q449,21)</f>
        <v>Sem - 11</v>
      </c>
      <c r="U449" s="6" t="str">
        <f aca="false">CHOOSE(MONTH(Q449),"Janvier","Février","Mars","Avril","Mai","Juin","Juillet","Août","Septembre","Octobre","Novembre","Décembre")</f>
        <v>Mars</v>
      </c>
      <c r="V449" s="22" t="n">
        <f aca="false">YEAR(Q449)</f>
        <v>2026</v>
      </c>
      <c r="W449" s="20"/>
      <c r="X449" s="8" t="n">
        <f aca="false">IFERROR(IF(M449="Abs",0,IF(ROUND((D449-C449+E449-F449)*1440,0)&lt;=1,0,D449-C449+E449-F449)),0)</f>
        <v>0</v>
      </c>
      <c r="Y449" s="6" t="str">
        <f aca="false">IFERROR(VLOOKUP($B449,Agents!$A:$D,3,0),"-")</f>
        <v>OUBRAHIM Mohammed</v>
      </c>
      <c r="Z449" s="6" t="str">
        <f aca="false">IFERROR(VLOOKUP($B449,Agents!$A:$D,4,0),"-")</f>
        <v>Credit Mutuel</v>
      </c>
      <c r="AA449" s="18" t="s">
        <v>93</v>
      </c>
      <c r="AB449" s="8" t="str">
        <f aca="false">IF(AND(D449="Congé",F449="Congé"),0.333333333333333,IF(OR(AND(D449="Congé",F449&lt;&gt;"Congé"),(AND(F449="Congé",D449&lt;&gt;"Congé"))),0.166666666666667,""))</f>
        <v/>
      </c>
      <c r="AC449" s="8" t="str">
        <f aca="false">IF(AND(D449="Congé sans solde",F449="Congé sans solde"),0.333333333333333,IF(OR(AND(D449="Congé sans solde",F449&lt;&gt;"Congé sans solde"),(AND(F449="Congé sans solde",D449&lt;&gt;"Congé sans solde"))),0.166666666666667,""))</f>
        <v/>
      </c>
      <c r="AD449" s="8" t="str">
        <f aca="false">IF(AND(D449="Congé spécial",F449="Congé spécial"),0.333333333333333,IF(OR(AND(D449="Congé spécial",F449&lt;&gt;"Congé spécial"),AND(F449="Congé spécial",D449&lt;&gt;"Congé spécial")),0.166666666666667,""))</f>
        <v/>
      </c>
      <c r="AE449" s="8" t="str">
        <f aca="false">IF(AND(D449="Férié",F449="Férié"),0.333333333333333,IF(OR(AND(D449="Férié",F449&lt;&gt;"Férié"),(AND(F449="Férié",D449&lt;&gt;"Férié"))),0.166666666666667,""))</f>
        <v/>
      </c>
      <c r="AF449" s="18"/>
      <c r="AG449" s="18" t="s">
        <v>91</v>
      </c>
    </row>
    <row r="450" customFormat="false" ht="15" hidden="false" customHeight="false" outlineLevel="0" collapsed="false">
      <c r="A450" s="6" t="str">
        <f aca="false">YEAR(Q450-WEEKDAY(Q450,2)+4)&amp;"-S"&amp;TEXT(WEEKNUM(Q450,21),"00")</f>
        <v>2026-S11</v>
      </c>
      <c r="B450" s="18" t="s">
        <v>69</v>
      </c>
      <c r="C450" s="19" t="n">
        <v>0.333333333333333</v>
      </c>
      <c r="D450" s="19" t="n">
        <v>0.333333333333333</v>
      </c>
      <c r="E450" s="19" t="n">
        <v>0.666666666666667</v>
      </c>
      <c r="F450" s="19" t="n">
        <v>0.666666666666667</v>
      </c>
      <c r="G450" s="20"/>
      <c r="H450" s="20"/>
      <c r="I450" s="8" t="str">
        <f aca="false">IF(IF(OR(C450="",D450="Congé",D450="OFF",D450="Congé spécial"),"",IF(D450&gt;F450,D450-C450,IF(C450-D450&lt;0,0,C450-D450)))&lt;0.00068287037037037,"",IF(OR(D450="Congé",D450="OFF",C450="",D450="Congé spécial"),"",IF(D450&gt;F450,D450-C450,IF(C450-D450&lt;0,0,C450-D450))))</f>
        <v/>
      </c>
      <c r="J450" s="20"/>
      <c r="K450" s="8" t="n">
        <f aca="false">IF(SUM(H450:J450)&lt;0.00068287037037037,0,SUM(H450:J450))</f>
        <v>0</v>
      </c>
      <c r="L450" s="8" t="n">
        <f aca="false">IF(OR(F450="Congé",F450="OFF",M450="Abs",F450="Congé sans solde",F450="Férié",F450="Congé spécial",D450="Congé spécial"),0,IF(F450-E450&lt;0,0,IF(F450-E450&lt;=0.00068287037037037,0,F450-E450)))</f>
        <v>0</v>
      </c>
      <c r="M450" s="6" t="n">
        <f aca="false">IF(AND(O450&lt;&gt;0,C450=""),"Abs",0)</f>
        <v>0</v>
      </c>
      <c r="N450" s="8" t="n">
        <f aca="false">IFERROR(IF(OR(D450="OFF",D450="Congé",M450="Abs",D450="Congé sans solde",D450="Férié"),"",IF(O450-K450-L450&gt;O450,O450,IF(O450-K450-L450&lt;0,"",O450-K450-L450))),"")</f>
        <v>0.333333333333333</v>
      </c>
      <c r="O450" s="8" t="n">
        <f aca="false">IF(AG450="2H Pause déjeuner",IF(F450-D450-0.0833333333333333&lt;0,F450-D450-0.0833333333333333+1,F450-D450-0.0833333333333333),IF(OR(AND(F450="OFF",D450="OFF"),AND(F450="Congé",D450="Congé"),AND(F450="Congé sans solde",D450="Congé sans solde"),AND(F450="Congé spécial",D450="Congé spécial"),AND(F450="Férié",D450="Férié"),AND(F450="OFF",D450="Congé"),AND(F450="OFF",D450="Congé sans solde"),AND(F450="OFF",D450="Congé spécial"),AND(F450="OFF",D450="Férié"),AND(F450="Congé",D450="OFF"),AND(F450="Congé",D450="Congé sans solde"),AND(F450="Congé",D450="Congé spécial"),AND(F450="Congé",D450="Férié"),AND(F450="Congé sans solde",D450="OFF"),AND(F450="Congé sans solde",D450="Congé"),AND(F450="Congé sans solde",D450="Congé spécial"),AND(F450="Congé sans solde",D450="Férié"),AND(F450="Congé spécial",D450="OFF"),AND(F450="Congé spécial",D450="Congé"),AND(F450="Congé spécial",D450="Congé sans solde"),AND(F450="Congé spécial",D450="Férié"),AND(F450="Férié",D450="OFF"),AND(F450="Férié",D450="Congé"),AND(F450="Férié",D450="Congé sans solde"),AND(F450="Férié",D450="Congé spécial")),0,IF(OR(F450="OFF",F450="Congé",F450="Congé spécial",F450="Congé sans solde",D450="OFF",D450="Congé",D450="Congé spécial",D450="Congé sans solde"),0.208333333333334,IF(AND(AG450="",F450-D450&lt;0),("24:00:00"-D450)+("00:00:00"+F450)-0.0416666666666667,IF(AND(OR(AG450="Allaitement",AG450="Sans déjeuner"),F450-D450&lt;0),("24:00:00"-D450)+("00:00:00"+F450),IF(AND(AG450="",F450-D450&gt;0.166666666666667),F450-D450-0.0416666666666667,IF(AND(OR(AG450="Allaitement",AG450="Sans déjeuner"),F450-D450&gt;0.166666666666667),F450-D450,F450-D450)))))))</f>
        <v>0.333333333333333</v>
      </c>
      <c r="P450" s="6" t="str">
        <f aca="false">IFERROR(VLOOKUP($B450,Agents!$A:$D,2,0),"-")</f>
        <v>Accessibilité</v>
      </c>
      <c r="Q450" s="21" t="n">
        <v>46094</v>
      </c>
      <c r="R450" s="8" t="n">
        <f aca="false">IF(M450="Abs",O450,0)</f>
        <v>0</v>
      </c>
      <c r="S450" s="8" t="n">
        <f aca="false">SUM(R450,L450,I450,J450,W450,H450)</f>
        <v>0</v>
      </c>
      <c r="T450" s="6" t="str">
        <f aca="false">"Sem - "&amp;WEEKNUM(Q450,21)</f>
        <v>Sem - 11</v>
      </c>
      <c r="U450" s="6" t="str">
        <f aca="false">CHOOSE(MONTH(Q450),"Janvier","Février","Mars","Avril","Mai","Juin","Juillet","Août","Septembre","Octobre","Novembre","Décembre")</f>
        <v>Mars</v>
      </c>
      <c r="V450" s="22" t="n">
        <f aca="false">YEAR(Q450)</f>
        <v>2026</v>
      </c>
      <c r="W450" s="20"/>
      <c r="X450" s="8" t="n">
        <f aca="false">IFERROR(IF(M450="Abs",0,IF(ROUND((D450-C450+E450-F450)*1440,0)&lt;=1,0,D450-C450+E450-F450)),0)</f>
        <v>0</v>
      </c>
      <c r="Y450" s="6" t="str">
        <f aca="false">IFERROR(VLOOKUP($B450,Agents!$A:$D,3,0),"-")</f>
        <v>OUBRAHIM Mohammed</v>
      </c>
      <c r="Z450" s="6" t="str">
        <f aca="false">IFERROR(VLOOKUP($B450,Agents!$A:$D,4,0),"-")</f>
        <v>Credit Mutuel</v>
      </c>
      <c r="AA450" s="18" t="s">
        <v>93</v>
      </c>
      <c r="AB450" s="8" t="str">
        <f aca="false">IF(AND(D450="Congé",F450="Congé"),0.333333333333333,IF(OR(AND(D450="Congé",F450&lt;&gt;"Congé"),(AND(F450="Congé",D450&lt;&gt;"Congé"))),0.166666666666667,""))</f>
        <v/>
      </c>
      <c r="AC450" s="8" t="str">
        <f aca="false">IF(AND(D450="Congé sans solde",F450="Congé sans solde"),0.333333333333333,IF(OR(AND(D450="Congé sans solde",F450&lt;&gt;"Congé sans solde"),(AND(F450="Congé sans solde",D450&lt;&gt;"Congé sans solde"))),0.166666666666667,""))</f>
        <v/>
      </c>
      <c r="AD450" s="8" t="str">
        <f aca="false">IF(AND(D450="Congé spécial",F450="Congé spécial"),0.333333333333333,IF(OR(AND(D450="Congé spécial",F450&lt;&gt;"Congé spécial"),AND(F450="Congé spécial",D450&lt;&gt;"Congé spécial")),0.166666666666667,""))</f>
        <v/>
      </c>
      <c r="AE450" s="8" t="str">
        <f aca="false">IF(AND(D450="Férié",F450="Férié"),0.333333333333333,IF(OR(AND(D450="Férié",F450&lt;&gt;"Férié"),(AND(F450="Férié",D450&lt;&gt;"Férié"))),0.166666666666667,""))</f>
        <v/>
      </c>
      <c r="AF450" s="18"/>
      <c r="AG450" s="18" t="s">
        <v>91</v>
      </c>
    </row>
    <row r="451" customFormat="false" ht="15" hidden="false" customHeight="false" outlineLevel="0" collapsed="false">
      <c r="A451" s="6" t="str">
        <f aca="false">YEAR(Q451-WEEKDAY(Q451,2)+4)&amp;"-S"&amp;TEXT(WEEKNUM(Q451,21),"00")</f>
        <v>2026-S11</v>
      </c>
      <c r="B451" s="18" t="s">
        <v>71</v>
      </c>
      <c r="C451" s="19" t="n">
        <v>0.333333333333333</v>
      </c>
      <c r="D451" s="19" t="n">
        <v>0.333333333333333</v>
      </c>
      <c r="E451" s="19" t="n">
        <v>0.666666666666667</v>
      </c>
      <c r="F451" s="19" t="n">
        <v>0.666666666666667</v>
      </c>
      <c r="G451" s="20"/>
      <c r="H451" s="20"/>
      <c r="I451" s="8" t="str">
        <f aca="false">IF(IF(OR(C451="",D451="Congé",D451="OFF",D451="Congé spécial"),"",IF(D451&gt;F451,D451-C451,IF(C451-D451&lt;0,0,C451-D451)))&lt;0.00068287037037037,"",IF(OR(D451="Congé",D451="OFF",C451="",D451="Congé spécial"),"",IF(D451&gt;F451,D451-C451,IF(C451-D451&lt;0,0,C451-D451))))</f>
        <v/>
      </c>
      <c r="J451" s="20"/>
      <c r="K451" s="8" t="n">
        <f aca="false">IF(SUM(H451:J451)&lt;0.00068287037037037,0,SUM(H451:J451))</f>
        <v>0</v>
      </c>
      <c r="L451" s="8" t="n">
        <f aca="false">IF(OR(F451="Congé",F451="OFF",M451="Abs",F451="Congé sans solde",F451="Férié",F451="Congé spécial",D451="Congé spécial"),0,IF(F451-E451&lt;0,0,IF(F451-E451&lt;=0.00068287037037037,0,F451-E451)))</f>
        <v>0</v>
      </c>
      <c r="M451" s="6" t="n">
        <f aca="false">IF(AND(O451&lt;&gt;0,C451=""),"Abs",0)</f>
        <v>0</v>
      </c>
      <c r="N451" s="8" t="n">
        <f aca="false">IFERROR(IF(OR(D451="OFF",D451="Congé",M451="Abs",D451="Congé sans solde",D451="Férié"),"",IF(O451-K451-L451&gt;O451,O451,IF(O451-K451-L451&lt;0,"",O451-K451-L451))),"")</f>
        <v>0.333333333333333</v>
      </c>
      <c r="O451" s="8" t="n">
        <f aca="false">IF(AG451="2H Pause déjeuner",IF(F451-D451-0.0833333333333333&lt;0,F451-D451-0.0833333333333333+1,F451-D451-0.0833333333333333),IF(OR(AND(F451="OFF",D451="OFF"),AND(F451="Congé",D451="Congé"),AND(F451="Congé sans solde",D451="Congé sans solde"),AND(F451="Congé spécial",D451="Congé spécial"),AND(F451="Férié",D451="Férié"),AND(F451="OFF",D451="Congé"),AND(F451="OFF",D451="Congé sans solde"),AND(F451="OFF",D451="Congé spécial"),AND(F451="OFF",D451="Férié"),AND(F451="Congé",D451="OFF"),AND(F451="Congé",D451="Congé sans solde"),AND(F451="Congé",D451="Congé spécial"),AND(F451="Congé",D451="Férié"),AND(F451="Congé sans solde",D451="OFF"),AND(F451="Congé sans solde",D451="Congé"),AND(F451="Congé sans solde",D451="Congé spécial"),AND(F451="Congé sans solde",D451="Férié"),AND(F451="Congé spécial",D451="OFF"),AND(F451="Congé spécial",D451="Congé"),AND(F451="Congé spécial",D451="Congé sans solde"),AND(F451="Congé spécial",D451="Férié"),AND(F451="Férié",D451="OFF"),AND(F451="Férié",D451="Congé"),AND(F451="Férié",D451="Congé sans solde"),AND(F451="Férié",D451="Congé spécial")),0,IF(OR(F451="OFF",F451="Congé",F451="Congé spécial",F451="Congé sans solde",D451="OFF",D451="Congé",D451="Congé spécial",D451="Congé sans solde"),0.208333333333334,IF(AND(AG451="",F451-D451&lt;0),("24:00:00"-D451)+("00:00:00"+F451)-0.0416666666666667,IF(AND(OR(AG451="Allaitement",AG451="Sans déjeuner"),F451-D451&lt;0),("24:00:00"-D451)+("00:00:00"+F451),IF(AND(AG451="",F451-D451&gt;0.166666666666667),F451-D451-0.0416666666666667,IF(AND(OR(AG451="Allaitement",AG451="Sans déjeuner"),F451-D451&gt;0.166666666666667),F451-D451,F451-D451)))))))</f>
        <v>0.333333333333333</v>
      </c>
      <c r="P451" s="6" t="str">
        <f aca="false">IFERROR(VLOOKUP($B451,Agents!$A:$D,2,0),"-")</f>
        <v>Accessibilité</v>
      </c>
      <c r="Q451" s="21" t="n">
        <v>46094</v>
      </c>
      <c r="R451" s="8" t="n">
        <f aca="false">IF(M451="Abs",O451,0)</f>
        <v>0</v>
      </c>
      <c r="S451" s="8" t="n">
        <f aca="false">SUM(R451,L451,I451,J451,W451,H451)</f>
        <v>0</v>
      </c>
      <c r="T451" s="6" t="str">
        <f aca="false">"Sem - "&amp;WEEKNUM(Q451,21)</f>
        <v>Sem - 11</v>
      </c>
      <c r="U451" s="6" t="str">
        <f aca="false">CHOOSE(MONTH(Q451),"Janvier","Février","Mars","Avril","Mai","Juin","Juillet","Août","Septembre","Octobre","Novembre","Décembre")</f>
        <v>Mars</v>
      </c>
      <c r="V451" s="22" t="n">
        <f aca="false">YEAR(Q451)</f>
        <v>2026</v>
      </c>
      <c r="W451" s="20"/>
      <c r="X451" s="8" t="n">
        <f aca="false">IFERROR(IF(M451="Abs",0,IF(ROUND((D451-C451+E451-F451)*1440,0)&lt;=1,0,D451-C451+E451-F451)),0)</f>
        <v>0</v>
      </c>
      <c r="Y451" s="6" t="str">
        <f aca="false">IFERROR(VLOOKUP($B451,Agents!$A:$D,3,0),"-")</f>
        <v>OUBRAHIM Mohammed</v>
      </c>
      <c r="Z451" s="6" t="str">
        <f aca="false">IFERROR(VLOOKUP($B451,Agents!$A:$D,4,0),"-")</f>
        <v>Credit Mutuel</v>
      </c>
      <c r="AA451" s="18" t="s">
        <v>93</v>
      </c>
      <c r="AB451" s="8" t="str">
        <f aca="false">IF(AND(D451="Congé",F451="Congé"),0.333333333333333,IF(OR(AND(D451="Congé",F451&lt;&gt;"Congé"),(AND(F451="Congé",D451&lt;&gt;"Congé"))),0.166666666666667,""))</f>
        <v/>
      </c>
      <c r="AC451" s="8" t="str">
        <f aca="false">IF(AND(D451="Congé sans solde",F451="Congé sans solde"),0.333333333333333,IF(OR(AND(D451="Congé sans solde",F451&lt;&gt;"Congé sans solde"),(AND(F451="Congé sans solde",D451&lt;&gt;"Congé sans solde"))),0.166666666666667,""))</f>
        <v/>
      </c>
      <c r="AD451" s="8" t="str">
        <f aca="false">IF(AND(D451="Congé spécial",F451="Congé spécial"),0.333333333333333,IF(OR(AND(D451="Congé spécial",F451&lt;&gt;"Congé spécial"),AND(F451="Congé spécial",D451&lt;&gt;"Congé spécial")),0.166666666666667,""))</f>
        <v/>
      </c>
      <c r="AE451" s="8" t="str">
        <f aca="false">IF(AND(D451="Férié",F451="Férié"),0.333333333333333,IF(OR(AND(D451="Férié",F451&lt;&gt;"Férié"),(AND(F451="Férié",D451&lt;&gt;"Férié"))),0.166666666666667,""))</f>
        <v/>
      </c>
      <c r="AF451" s="18"/>
      <c r="AG451" s="18" t="s">
        <v>91</v>
      </c>
    </row>
    <row r="452" customFormat="false" ht="15" hidden="false" customHeight="false" outlineLevel="0" collapsed="false">
      <c r="A452" s="6" t="str">
        <f aca="false">YEAR(Q452-WEEKDAY(Q452,2)+4)&amp;"-S"&amp;TEXT(WEEKNUM(Q452,21),"00")</f>
        <v>2026-S11</v>
      </c>
      <c r="B452" s="18" t="s">
        <v>72</v>
      </c>
      <c r="C452" s="19" t="n">
        <v>0.333333333333333</v>
      </c>
      <c r="D452" s="19" t="n">
        <v>0.333333333333333</v>
      </c>
      <c r="E452" s="19" t="n">
        <v>0.666666666666667</v>
      </c>
      <c r="F452" s="19" t="n">
        <v>0.666666666666667</v>
      </c>
      <c r="G452" s="20"/>
      <c r="H452" s="20"/>
      <c r="I452" s="8" t="str">
        <f aca="false">IF(IF(OR(C452="",D452="Congé",D452="OFF",D452="Congé spécial"),"",IF(D452&gt;F452,D452-C452,IF(C452-D452&lt;0,0,C452-D452)))&lt;0.00068287037037037,"",IF(OR(D452="Congé",D452="OFF",C452="",D452="Congé spécial"),"",IF(D452&gt;F452,D452-C452,IF(C452-D452&lt;0,0,C452-D452))))</f>
        <v/>
      </c>
      <c r="J452" s="20"/>
      <c r="K452" s="8" t="n">
        <f aca="false">IF(SUM(H452:J452)&lt;0.00068287037037037,0,SUM(H452:J452))</f>
        <v>0</v>
      </c>
      <c r="L452" s="8" t="n">
        <f aca="false">IF(OR(F452="Congé",F452="OFF",M452="Abs",F452="Congé sans solde",F452="Férié",F452="Congé spécial",D452="Congé spécial"),0,IF(F452-E452&lt;0,0,IF(F452-E452&lt;=0.00068287037037037,0,F452-E452)))</f>
        <v>0</v>
      </c>
      <c r="M452" s="6" t="n">
        <f aca="false">IF(AND(O452&lt;&gt;0,C452=""),"Abs",0)</f>
        <v>0</v>
      </c>
      <c r="N452" s="8" t="n">
        <f aca="false">IFERROR(IF(OR(D452="OFF",D452="Congé",M452="Abs",D452="Congé sans solde",D452="Férié"),"",IF(O452-K452-L452&gt;O452,O452,IF(O452-K452-L452&lt;0,"",O452-K452-L452))),"")</f>
        <v>0.333333333333333</v>
      </c>
      <c r="O452" s="8" t="n">
        <f aca="false">IF(AG452="2H Pause déjeuner",IF(F452-D452-0.0833333333333333&lt;0,F452-D452-0.0833333333333333+1,F452-D452-0.0833333333333333),IF(OR(AND(F452="OFF",D452="OFF"),AND(F452="Congé",D452="Congé"),AND(F452="Congé sans solde",D452="Congé sans solde"),AND(F452="Congé spécial",D452="Congé spécial"),AND(F452="Férié",D452="Férié"),AND(F452="OFF",D452="Congé"),AND(F452="OFF",D452="Congé sans solde"),AND(F452="OFF",D452="Congé spécial"),AND(F452="OFF",D452="Férié"),AND(F452="Congé",D452="OFF"),AND(F452="Congé",D452="Congé sans solde"),AND(F452="Congé",D452="Congé spécial"),AND(F452="Congé",D452="Férié"),AND(F452="Congé sans solde",D452="OFF"),AND(F452="Congé sans solde",D452="Congé"),AND(F452="Congé sans solde",D452="Congé spécial"),AND(F452="Congé sans solde",D452="Férié"),AND(F452="Congé spécial",D452="OFF"),AND(F452="Congé spécial",D452="Congé"),AND(F452="Congé spécial",D452="Congé sans solde"),AND(F452="Congé spécial",D452="Férié"),AND(F452="Férié",D452="OFF"),AND(F452="Férié",D452="Congé"),AND(F452="Férié",D452="Congé sans solde"),AND(F452="Férié",D452="Congé spécial")),0,IF(OR(F452="OFF",F452="Congé",F452="Congé spécial",F452="Congé sans solde",D452="OFF",D452="Congé",D452="Congé spécial",D452="Congé sans solde"),0.208333333333334,IF(AND(AG452="",F452-D452&lt;0),("24:00:00"-D452)+("00:00:00"+F452)-0.0416666666666667,IF(AND(OR(AG452="Allaitement",AG452="Sans déjeuner"),F452-D452&lt;0),("24:00:00"-D452)+("00:00:00"+F452),IF(AND(AG452="",F452-D452&gt;0.166666666666667),F452-D452-0.0416666666666667,IF(AND(OR(AG452="Allaitement",AG452="Sans déjeuner"),F452-D452&gt;0.166666666666667),F452-D452,F452-D452)))))))</f>
        <v>0.333333333333333</v>
      </c>
      <c r="P452" s="6" t="str">
        <f aca="false">IFERROR(VLOOKUP($B452,Agents!$A:$D,2,0),"-")</f>
        <v>Accessibilité</v>
      </c>
      <c r="Q452" s="21" t="n">
        <v>46094</v>
      </c>
      <c r="R452" s="8" t="n">
        <f aca="false">IF(M452="Abs",O452,0)</f>
        <v>0</v>
      </c>
      <c r="S452" s="8" t="n">
        <f aca="false">SUM(R452,L452,I452,J452,W452,H452)</f>
        <v>0</v>
      </c>
      <c r="T452" s="6" t="str">
        <f aca="false">"Sem - "&amp;WEEKNUM(Q452,21)</f>
        <v>Sem - 11</v>
      </c>
      <c r="U452" s="6" t="str">
        <f aca="false">CHOOSE(MONTH(Q452),"Janvier","Février","Mars","Avril","Mai","Juin","Juillet","Août","Septembre","Octobre","Novembre","Décembre")</f>
        <v>Mars</v>
      </c>
      <c r="V452" s="22" t="n">
        <f aca="false">YEAR(Q452)</f>
        <v>2026</v>
      </c>
      <c r="W452" s="20"/>
      <c r="X452" s="8" t="n">
        <f aca="false">IFERROR(IF(M452="Abs",0,IF(ROUND((D452-C452+E452-F452)*1440,0)&lt;=1,0,D452-C452+E452-F452)),0)</f>
        <v>0</v>
      </c>
      <c r="Y452" s="6" t="str">
        <f aca="false">IFERROR(VLOOKUP($B452,Agents!$A:$D,3,0),"-")</f>
        <v>OUBRAHIM Mohammed</v>
      </c>
      <c r="Z452" s="6" t="str">
        <f aca="false">IFERROR(VLOOKUP($B452,Agents!$A:$D,4,0),"-")</f>
        <v>Credit Mutuel</v>
      </c>
      <c r="AA452" s="18" t="s">
        <v>93</v>
      </c>
      <c r="AB452" s="8" t="str">
        <f aca="false">IF(AND(D452="Congé",F452="Congé"),0.333333333333333,IF(OR(AND(D452="Congé",F452&lt;&gt;"Congé"),(AND(F452="Congé",D452&lt;&gt;"Congé"))),0.166666666666667,""))</f>
        <v/>
      </c>
      <c r="AC452" s="8" t="str">
        <f aca="false">IF(AND(D452="Congé sans solde",F452="Congé sans solde"),0.333333333333333,IF(OR(AND(D452="Congé sans solde",F452&lt;&gt;"Congé sans solde"),(AND(F452="Congé sans solde",D452&lt;&gt;"Congé sans solde"))),0.166666666666667,""))</f>
        <v/>
      </c>
      <c r="AD452" s="8" t="str">
        <f aca="false">IF(AND(D452="Congé spécial",F452="Congé spécial"),0.333333333333333,IF(OR(AND(D452="Congé spécial",F452&lt;&gt;"Congé spécial"),AND(F452="Congé spécial",D452&lt;&gt;"Congé spécial")),0.166666666666667,""))</f>
        <v/>
      </c>
      <c r="AE452" s="8" t="str">
        <f aca="false">IF(AND(D452="Férié",F452="Férié"),0.333333333333333,IF(OR(AND(D452="Férié",F452&lt;&gt;"Férié"),(AND(F452="Férié",D452&lt;&gt;"Férié"))),0.166666666666667,""))</f>
        <v/>
      </c>
      <c r="AF452" s="18"/>
      <c r="AG452" s="18" t="s">
        <v>91</v>
      </c>
    </row>
    <row r="453" customFormat="false" ht="15" hidden="false" customHeight="false" outlineLevel="0" collapsed="false">
      <c r="A453" s="6" t="str">
        <f aca="false">YEAR(Q453-WEEKDAY(Q453,2)+4)&amp;"-S"&amp;TEXT(WEEKNUM(Q453,21),"00")</f>
        <v>2026-S11</v>
      </c>
      <c r="B453" s="18" t="s">
        <v>73</v>
      </c>
      <c r="C453" s="19" t="n">
        <v>0.333333333333333</v>
      </c>
      <c r="D453" s="19" t="n">
        <v>0.333333333333333</v>
      </c>
      <c r="E453" s="19" t="n">
        <v>0.666666666666667</v>
      </c>
      <c r="F453" s="19" t="n">
        <v>0.666666666666667</v>
      </c>
      <c r="G453" s="20"/>
      <c r="H453" s="20"/>
      <c r="I453" s="8" t="str">
        <f aca="false">IF(IF(OR(C453="",D453="Congé",D453="OFF",D453="Congé spécial"),"",IF(D453&gt;F453,D453-C453,IF(C453-D453&lt;0,0,C453-D453)))&lt;0.00068287037037037,"",IF(OR(D453="Congé",D453="OFF",C453="",D453="Congé spécial"),"",IF(D453&gt;F453,D453-C453,IF(C453-D453&lt;0,0,C453-D453))))</f>
        <v/>
      </c>
      <c r="J453" s="20"/>
      <c r="K453" s="8" t="n">
        <f aca="false">IF(SUM(H453:J453)&lt;0.00068287037037037,0,SUM(H453:J453))</f>
        <v>0</v>
      </c>
      <c r="L453" s="8" t="n">
        <f aca="false">IF(OR(F453="Congé",F453="OFF",M453="Abs",F453="Congé sans solde",F453="Férié",F453="Congé spécial",D453="Congé spécial"),0,IF(F453-E453&lt;0,0,IF(F453-E453&lt;=0.00068287037037037,0,F453-E453)))</f>
        <v>0</v>
      </c>
      <c r="M453" s="6" t="n">
        <f aca="false">IF(AND(O453&lt;&gt;0,C453=""),"Abs",0)</f>
        <v>0</v>
      </c>
      <c r="N453" s="8" t="n">
        <f aca="false">IFERROR(IF(OR(D453="OFF",D453="Congé",M453="Abs",D453="Congé sans solde",D453="Férié"),"",IF(O453-K453-L453&gt;O453,O453,IF(O453-K453-L453&lt;0,"",O453-K453-L453))),"")</f>
        <v>0.333333333333333</v>
      </c>
      <c r="O453" s="8" t="n">
        <f aca="false">IF(AG453="2H Pause déjeuner",IF(F453-D453-0.0833333333333333&lt;0,F453-D453-0.0833333333333333+1,F453-D453-0.0833333333333333),IF(OR(AND(F453="OFF",D453="OFF"),AND(F453="Congé",D453="Congé"),AND(F453="Congé sans solde",D453="Congé sans solde"),AND(F453="Congé spécial",D453="Congé spécial"),AND(F453="Férié",D453="Férié"),AND(F453="OFF",D453="Congé"),AND(F453="OFF",D453="Congé sans solde"),AND(F453="OFF",D453="Congé spécial"),AND(F453="OFF",D453="Férié"),AND(F453="Congé",D453="OFF"),AND(F453="Congé",D453="Congé sans solde"),AND(F453="Congé",D453="Congé spécial"),AND(F453="Congé",D453="Férié"),AND(F453="Congé sans solde",D453="OFF"),AND(F453="Congé sans solde",D453="Congé"),AND(F453="Congé sans solde",D453="Congé spécial"),AND(F453="Congé sans solde",D453="Férié"),AND(F453="Congé spécial",D453="OFF"),AND(F453="Congé spécial",D453="Congé"),AND(F453="Congé spécial",D453="Congé sans solde"),AND(F453="Congé spécial",D453="Férié"),AND(F453="Férié",D453="OFF"),AND(F453="Férié",D453="Congé"),AND(F453="Férié",D453="Congé sans solde"),AND(F453="Férié",D453="Congé spécial")),0,IF(OR(F453="OFF",F453="Congé",F453="Congé spécial",F453="Congé sans solde",D453="OFF",D453="Congé",D453="Congé spécial",D453="Congé sans solde"),0.208333333333334,IF(AND(AG453="",F453-D453&lt;0),("24:00:00"-D453)+("00:00:00"+F453)-0.0416666666666667,IF(AND(OR(AG453="Allaitement",AG453="Sans déjeuner"),F453-D453&lt;0),("24:00:00"-D453)+("00:00:00"+F453),IF(AND(AG453="",F453-D453&gt;0.166666666666667),F453-D453-0.0416666666666667,IF(AND(OR(AG453="Allaitement",AG453="Sans déjeuner"),F453-D453&gt;0.166666666666667),F453-D453,F453-D453)))))))</f>
        <v>0.333333333333333</v>
      </c>
      <c r="P453" s="6" t="str">
        <f aca="false">IFERROR(VLOOKUP($B453,Agents!$A:$D,2,0),"-")</f>
        <v>Accessibilité</v>
      </c>
      <c r="Q453" s="21" t="n">
        <v>46094</v>
      </c>
      <c r="R453" s="8" t="n">
        <f aca="false">IF(M453="Abs",O453,0)</f>
        <v>0</v>
      </c>
      <c r="S453" s="8" t="n">
        <f aca="false">SUM(R453,L453,I453,J453,W453,H453)</f>
        <v>0</v>
      </c>
      <c r="T453" s="6" t="str">
        <f aca="false">"Sem - "&amp;WEEKNUM(Q453,21)</f>
        <v>Sem - 11</v>
      </c>
      <c r="U453" s="6" t="str">
        <f aca="false">CHOOSE(MONTH(Q453),"Janvier","Février","Mars","Avril","Mai","Juin","Juillet","Août","Septembre","Octobre","Novembre","Décembre")</f>
        <v>Mars</v>
      </c>
      <c r="V453" s="22" t="n">
        <f aca="false">YEAR(Q453)</f>
        <v>2026</v>
      </c>
      <c r="W453" s="20"/>
      <c r="X453" s="8" t="n">
        <f aca="false">IFERROR(IF(M453="Abs",0,IF(ROUND((D453-C453+E453-F453)*1440,0)&lt;=1,0,D453-C453+E453-F453)),0)</f>
        <v>0</v>
      </c>
      <c r="Y453" s="6" t="str">
        <f aca="false">IFERROR(VLOOKUP($B453,Agents!$A:$D,3,0),"-")</f>
        <v>OUBRAHIM Mohammed</v>
      </c>
      <c r="Z453" s="6" t="str">
        <f aca="false">IFERROR(VLOOKUP($B453,Agents!$A:$D,4,0),"-")</f>
        <v>Credit Mutuel</v>
      </c>
      <c r="AA453" s="18" t="s">
        <v>93</v>
      </c>
      <c r="AB453" s="8" t="str">
        <f aca="false">IF(AND(D453="Congé",F453="Congé"),0.333333333333333,IF(OR(AND(D453="Congé",F453&lt;&gt;"Congé"),(AND(F453="Congé",D453&lt;&gt;"Congé"))),0.166666666666667,""))</f>
        <v/>
      </c>
      <c r="AC453" s="8" t="str">
        <f aca="false">IF(AND(D453="Congé sans solde",F453="Congé sans solde"),0.333333333333333,IF(OR(AND(D453="Congé sans solde",F453&lt;&gt;"Congé sans solde"),(AND(F453="Congé sans solde",D453&lt;&gt;"Congé sans solde"))),0.166666666666667,""))</f>
        <v/>
      </c>
      <c r="AD453" s="8" t="str">
        <f aca="false">IF(AND(D453="Congé spécial",F453="Congé spécial"),0.333333333333333,IF(OR(AND(D453="Congé spécial",F453&lt;&gt;"Congé spécial"),AND(F453="Congé spécial",D453&lt;&gt;"Congé spécial")),0.166666666666667,""))</f>
        <v/>
      </c>
      <c r="AE453" s="8" t="str">
        <f aca="false">IF(AND(D453="Férié",F453="Férié"),0.333333333333333,IF(OR(AND(D453="Férié",F453&lt;&gt;"Férié"),(AND(F453="Férié",D453&lt;&gt;"Férié"))),0.166666666666667,""))</f>
        <v/>
      </c>
      <c r="AF453" s="18"/>
      <c r="AG453" s="18" t="s">
        <v>91</v>
      </c>
    </row>
    <row r="454" customFormat="false" ht="15" hidden="false" customHeight="false" outlineLevel="0" collapsed="false">
      <c r="A454" s="6" t="str">
        <f aca="false">YEAR(Q454-WEEKDAY(Q454,2)+4)&amp;"-S"&amp;TEXT(WEEKNUM(Q454,21),"00")</f>
        <v>2026-S11</v>
      </c>
      <c r="B454" s="18" t="s">
        <v>69</v>
      </c>
      <c r="C454" s="19"/>
      <c r="D454" s="19" t="s">
        <v>74</v>
      </c>
      <c r="E454" s="19"/>
      <c r="F454" s="19" t="s">
        <v>74</v>
      </c>
      <c r="G454" s="20"/>
      <c r="H454" s="20"/>
      <c r="I454" s="8" t="str">
        <f aca="false">IF(IF(OR(C454="",D454="Congé",D454="OFF",D454="Congé spécial"),"",IF(D454&gt;F454,D454-C454,IF(C454-D454&lt;0,0,C454-D454)))&lt;0.00068287037037037,"",IF(OR(D454="Congé",D454="OFF",C454="",D454="Congé spécial"),"",IF(D454&gt;F454,D454-C454,IF(C454-D454&lt;0,0,C454-D454))))</f>
        <v/>
      </c>
      <c r="J454" s="20"/>
      <c r="K454" s="8" t="n">
        <f aca="false">IF(SUM(H454:J454)&lt;0.00068287037037037,0,SUM(H454:J454))</f>
        <v>0</v>
      </c>
      <c r="L454" s="8" t="n">
        <f aca="false">IF(OR(F454="Congé",F454="OFF",M454="Abs",F454="Congé sans solde",F454="Férié",F454="Congé spécial",D454="Congé spécial"),0,IF(F454-E454&lt;0,0,IF(F454-E454&lt;=0.00068287037037037,0,F454-E454)))</f>
        <v>0</v>
      </c>
      <c r="M454" s="6" t="n">
        <f aca="false">IF(AND(O454&lt;&gt;0,C454=""),"Abs",0)</f>
        <v>0</v>
      </c>
      <c r="N454" s="8" t="str">
        <f aca="false">IFERROR(IF(OR(D454="OFF",D454="Congé",M454="Abs",D454="Congé sans solde",D454="Férié"),"",IF(O454-K454-L454&gt;O454,O454,IF(O454-K454-L454&lt;0,"",O454-K454-L454))),"")</f>
        <v/>
      </c>
      <c r="O454" s="8" t="n">
        <f aca="false">IF(AG454="2H Pause déjeuner",IF(F454-D454-0.0833333333333333&lt;0,F454-D454-0.0833333333333333+1,F454-D454-0.0833333333333333),IF(OR(AND(F454="OFF",D454="OFF"),AND(F454="Congé",D454="Congé"),AND(F454="Congé sans solde",D454="Congé sans solde"),AND(F454="Congé spécial",D454="Congé spécial"),AND(F454="Férié",D454="Férié"),AND(F454="OFF",D454="Congé"),AND(F454="OFF",D454="Congé sans solde"),AND(F454="OFF",D454="Congé spécial"),AND(F454="OFF",D454="Férié"),AND(F454="Congé",D454="OFF"),AND(F454="Congé",D454="Congé sans solde"),AND(F454="Congé",D454="Congé spécial"),AND(F454="Congé",D454="Férié"),AND(F454="Congé sans solde",D454="OFF"),AND(F454="Congé sans solde",D454="Congé"),AND(F454="Congé sans solde",D454="Congé spécial"),AND(F454="Congé sans solde",D454="Férié"),AND(F454="Congé spécial",D454="OFF"),AND(F454="Congé spécial",D454="Congé"),AND(F454="Congé spécial",D454="Congé sans solde"),AND(F454="Congé spécial",D454="Férié"),AND(F454="Férié",D454="OFF"),AND(F454="Férié",D454="Congé"),AND(F454="Férié",D454="Congé sans solde"),AND(F454="Férié",D454="Congé spécial")),0,IF(OR(F454="OFF",F454="Congé",F454="Congé spécial",F454="Congé sans solde",D454="OFF",D454="Congé",D454="Congé spécial",D454="Congé sans solde"),0.208333333333334,IF(AND(AG454="",F454-D454&lt;0),("24:00:00"-D454)+("00:00:00"+F454)-0.0416666666666667,IF(AND(OR(AG454="Allaitement",AG454="Sans déjeuner"),F454-D454&lt;0),("24:00:00"-D454)+("00:00:00"+F454),IF(AND(AG454="",F454-D454&gt;0.166666666666667),F454-D454-0.0416666666666667,IF(AND(OR(AG454="Allaitement",AG454="Sans déjeuner"),F454-D454&gt;0.166666666666667),F454-D454,F454-D454)))))))</f>
        <v>0</v>
      </c>
      <c r="P454" s="6" t="str">
        <f aca="false">IFERROR(VLOOKUP($B454,Agents!$A:$D,2,0),"-")</f>
        <v>Accessibilité</v>
      </c>
      <c r="Q454" s="21" t="n">
        <v>46095</v>
      </c>
      <c r="R454" s="8" t="n">
        <f aca="false">IF(M454="Abs",O454,0)</f>
        <v>0</v>
      </c>
      <c r="S454" s="8" t="n">
        <f aca="false">SUM(R454,L454,I454,J454,W454,H454)</f>
        <v>0</v>
      </c>
      <c r="T454" s="6" t="str">
        <f aca="false">"Sem - "&amp;WEEKNUM(Q454,21)</f>
        <v>Sem - 11</v>
      </c>
      <c r="U454" s="6" t="str">
        <f aca="false">CHOOSE(MONTH(Q454),"Janvier","Février","Mars","Avril","Mai","Juin","Juillet","Août","Septembre","Octobre","Novembre","Décembre")</f>
        <v>Mars</v>
      </c>
      <c r="V454" s="22" t="n">
        <f aca="false">YEAR(Q454)</f>
        <v>2026</v>
      </c>
      <c r="W454" s="20"/>
      <c r="X454" s="8" t="n">
        <f aca="false">IFERROR(IF(M454="Abs",0,IF(ROUND((D454-C454+E454-F454)*1440,0)&lt;=1,0,D454-C454+E454-F454)),0)</f>
        <v>0</v>
      </c>
      <c r="Y454" s="6" t="str">
        <f aca="false">IFERROR(VLOOKUP($B454,Agents!$A:$D,3,0),"-")</f>
        <v>OUBRAHIM Mohammed</v>
      </c>
      <c r="Z454" s="6" t="str">
        <f aca="false">IFERROR(VLOOKUP($B454,Agents!$A:$D,4,0),"-")</f>
        <v>Credit Mutuel</v>
      </c>
      <c r="AA454" s="18" t="s">
        <v>93</v>
      </c>
      <c r="AB454" s="8" t="str">
        <f aca="false">IF(AND(D454="Congé",F454="Congé"),0.333333333333333,IF(OR(AND(D454="Congé",F454&lt;&gt;"Congé"),(AND(F454="Congé",D454&lt;&gt;"Congé"))),0.166666666666667,""))</f>
        <v/>
      </c>
      <c r="AC454" s="8" t="str">
        <f aca="false">IF(AND(D454="Congé sans solde",F454="Congé sans solde"),0.333333333333333,IF(OR(AND(D454="Congé sans solde",F454&lt;&gt;"Congé sans solde"),(AND(F454="Congé sans solde",D454&lt;&gt;"Congé sans solde"))),0.166666666666667,""))</f>
        <v/>
      </c>
      <c r="AD454" s="8" t="str">
        <f aca="false">IF(AND(D454="Congé spécial",F454="Congé spécial"),0.333333333333333,IF(OR(AND(D454="Congé spécial",F454&lt;&gt;"Congé spécial"),AND(F454="Congé spécial",D454&lt;&gt;"Congé spécial")),0.166666666666667,""))</f>
        <v/>
      </c>
      <c r="AE454" s="8" t="str">
        <f aca="false">IF(AND(D454="Férié",F454="Férié"),0.333333333333333,IF(OR(AND(D454="Férié",F454&lt;&gt;"Férié"),(AND(F454="Férié",D454&lt;&gt;"Férié"))),0.166666666666667,""))</f>
        <v/>
      </c>
      <c r="AF454" s="18"/>
      <c r="AG454" s="18"/>
    </row>
    <row r="455" customFormat="false" ht="15" hidden="false" customHeight="false" outlineLevel="0" collapsed="false">
      <c r="A455" s="6" t="str">
        <f aca="false">YEAR(Q455-WEEKDAY(Q455,2)+4)&amp;"-S"&amp;TEXT(WEEKNUM(Q455,21),"00")</f>
        <v>2026-S11</v>
      </c>
      <c r="B455" s="18" t="s">
        <v>71</v>
      </c>
      <c r="C455" s="19"/>
      <c r="D455" s="19" t="s">
        <v>74</v>
      </c>
      <c r="E455" s="19"/>
      <c r="F455" s="19" t="s">
        <v>74</v>
      </c>
      <c r="G455" s="20"/>
      <c r="H455" s="20"/>
      <c r="I455" s="8" t="str">
        <f aca="false">IF(IF(OR(C455="",D455="Congé",D455="OFF",D455="Congé spécial"),"",IF(D455&gt;F455,D455-C455,IF(C455-D455&lt;0,0,C455-D455)))&lt;0.00068287037037037,"",IF(OR(D455="Congé",D455="OFF",C455="",D455="Congé spécial"),"",IF(D455&gt;F455,D455-C455,IF(C455-D455&lt;0,0,C455-D455))))</f>
        <v/>
      </c>
      <c r="J455" s="20"/>
      <c r="K455" s="8" t="n">
        <f aca="false">IF(SUM(H455:J455)&lt;0.00068287037037037,0,SUM(H455:J455))</f>
        <v>0</v>
      </c>
      <c r="L455" s="8" t="n">
        <f aca="false">IF(OR(F455="Congé",F455="OFF",M455="Abs",F455="Congé sans solde",F455="Férié",F455="Congé spécial",D455="Congé spécial"),0,IF(F455-E455&lt;0,0,IF(F455-E455&lt;=0.00068287037037037,0,F455-E455)))</f>
        <v>0</v>
      </c>
      <c r="M455" s="6" t="n">
        <f aca="false">IF(AND(O455&lt;&gt;0,C455=""),"Abs",0)</f>
        <v>0</v>
      </c>
      <c r="N455" s="8" t="str">
        <f aca="false">IFERROR(IF(OR(D455="OFF",D455="Congé",M455="Abs",D455="Congé sans solde",D455="Férié"),"",IF(O455-K455-L455&gt;O455,O455,IF(O455-K455-L455&lt;0,"",O455-K455-L455))),"")</f>
        <v/>
      </c>
      <c r="O455" s="8" t="n">
        <f aca="false">IF(AG455="2H Pause déjeuner",IF(F455-D455-0.0833333333333333&lt;0,F455-D455-0.0833333333333333+1,F455-D455-0.0833333333333333),IF(OR(AND(F455="OFF",D455="OFF"),AND(F455="Congé",D455="Congé"),AND(F455="Congé sans solde",D455="Congé sans solde"),AND(F455="Congé spécial",D455="Congé spécial"),AND(F455="Férié",D455="Férié"),AND(F455="OFF",D455="Congé"),AND(F455="OFF",D455="Congé sans solde"),AND(F455="OFF",D455="Congé spécial"),AND(F455="OFF",D455="Férié"),AND(F455="Congé",D455="OFF"),AND(F455="Congé",D455="Congé sans solde"),AND(F455="Congé",D455="Congé spécial"),AND(F455="Congé",D455="Férié"),AND(F455="Congé sans solde",D455="OFF"),AND(F455="Congé sans solde",D455="Congé"),AND(F455="Congé sans solde",D455="Congé spécial"),AND(F455="Congé sans solde",D455="Férié"),AND(F455="Congé spécial",D455="OFF"),AND(F455="Congé spécial",D455="Congé"),AND(F455="Congé spécial",D455="Congé sans solde"),AND(F455="Congé spécial",D455="Férié"),AND(F455="Férié",D455="OFF"),AND(F455="Férié",D455="Congé"),AND(F455="Férié",D455="Congé sans solde"),AND(F455="Férié",D455="Congé spécial")),0,IF(OR(F455="OFF",F455="Congé",F455="Congé spécial",F455="Congé sans solde",D455="OFF",D455="Congé",D455="Congé spécial",D455="Congé sans solde"),0.208333333333334,IF(AND(AG455="",F455-D455&lt;0),("24:00:00"-D455)+("00:00:00"+F455)-0.0416666666666667,IF(AND(OR(AG455="Allaitement",AG455="Sans déjeuner"),F455-D455&lt;0),("24:00:00"-D455)+("00:00:00"+F455),IF(AND(AG455="",F455-D455&gt;0.166666666666667),F455-D455-0.0416666666666667,IF(AND(OR(AG455="Allaitement",AG455="Sans déjeuner"),F455-D455&gt;0.166666666666667),F455-D455,F455-D455)))))))</f>
        <v>0</v>
      </c>
      <c r="P455" s="6" t="str">
        <f aca="false">IFERROR(VLOOKUP($B455,Agents!$A:$D,2,0),"-")</f>
        <v>Accessibilité</v>
      </c>
      <c r="Q455" s="21" t="n">
        <v>46095</v>
      </c>
      <c r="R455" s="8" t="n">
        <f aca="false">IF(M455="Abs",O455,0)</f>
        <v>0</v>
      </c>
      <c r="S455" s="8" t="n">
        <f aca="false">SUM(R455,L455,I455,J455,W455,H455)</f>
        <v>0</v>
      </c>
      <c r="T455" s="6" t="str">
        <f aca="false">"Sem - "&amp;WEEKNUM(Q455,21)</f>
        <v>Sem - 11</v>
      </c>
      <c r="U455" s="6" t="str">
        <f aca="false">CHOOSE(MONTH(Q455),"Janvier","Février","Mars","Avril","Mai","Juin","Juillet","Août","Septembre","Octobre","Novembre","Décembre")</f>
        <v>Mars</v>
      </c>
      <c r="V455" s="22" t="n">
        <f aca="false">YEAR(Q455)</f>
        <v>2026</v>
      </c>
      <c r="W455" s="20"/>
      <c r="X455" s="8" t="n">
        <f aca="false">IFERROR(IF(M455="Abs",0,IF(ROUND((D455-C455+E455-F455)*1440,0)&lt;=1,0,D455-C455+E455-F455)),0)</f>
        <v>0</v>
      </c>
      <c r="Y455" s="6" t="str">
        <f aca="false">IFERROR(VLOOKUP($B455,Agents!$A:$D,3,0),"-")</f>
        <v>OUBRAHIM Mohammed</v>
      </c>
      <c r="Z455" s="6" t="str">
        <f aca="false">IFERROR(VLOOKUP($B455,Agents!$A:$D,4,0),"-")</f>
        <v>Credit Mutuel</v>
      </c>
      <c r="AA455" s="18" t="s">
        <v>93</v>
      </c>
      <c r="AB455" s="8" t="str">
        <f aca="false">IF(AND(D455="Congé",F455="Congé"),0.333333333333333,IF(OR(AND(D455="Congé",F455&lt;&gt;"Congé"),(AND(F455="Congé",D455&lt;&gt;"Congé"))),0.166666666666667,""))</f>
        <v/>
      </c>
      <c r="AC455" s="8" t="str">
        <f aca="false">IF(AND(D455="Congé sans solde",F455="Congé sans solde"),0.333333333333333,IF(OR(AND(D455="Congé sans solde",F455&lt;&gt;"Congé sans solde"),(AND(F455="Congé sans solde",D455&lt;&gt;"Congé sans solde"))),0.166666666666667,""))</f>
        <v/>
      </c>
      <c r="AD455" s="8" t="str">
        <f aca="false">IF(AND(D455="Congé spécial",F455="Congé spécial"),0.333333333333333,IF(OR(AND(D455="Congé spécial",F455&lt;&gt;"Congé spécial"),AND(F455="Congé spécial",D455&lt;&gt;"Congé spécial")),0.166666666666667,""))</f>
        <v/>
      </c>
      <c r="AE455" s="8" t="str">
        <f aca="false">IF(AND(D455="Férié",F455="Férié"),0.333333333333333,IF(OR(AND(D455="Férié",F455&lt;&gt;"Férié"),(AND(F455="Férié",D455&lt;&gt;"Férié"))),0.166666666666667,""))</f>
        <v/>
      </c>
      <c r="AF455" s="18"/>
      <c r="AG455" s="18"/>
    </row>
    <row r="456" customFormat="false" ht="15" hidden="false" customHeight="false" outlineLevel="0" collapsed="false">
      <c r="A456" s="6" t="str">
        <f aca="false">YEAR(Q456-WEEKDAY(Q456,2)+4)&amp;"-S"&amp;TEXT(WEEKNUM(Q456,21),"00")</f>
        <v>2026-S11</v>
      </c>
      <c r="B456" s="18" t="s">
        <v>72</v>
      </c>
      <c r="C456" s="19"/>
      <c r="D456" s="19" t="s">
        <v>74</v>
      </c>
      <c r="E456" s="19"/>
      <c r="F456" s="19" t="s">
        <v>74</v>
      </c>
      <c r="G456" s="20"/>
      <c r="H456" s="20"/>
      <c r="I456" s="8" t="str">
        <f aca="false">IF(IF(OR(C456="",D456="Congé",D456="OFF",D456="Congé spécial"),"",IF(D456&gt;F456,D456-C456,IF(C456-D456&lt;0,0,C456-D456)))&lt;0.00068287037037037,"",IF(OR(D456="Congé",D456="OFF",C456="",D456="Congé spécial"),"",IF(D456&gt;F456,D456-C456,IF(C456-D456&lt;0,0,C456-D456))))</f>
        <v/>
      </c>
      <c r="J456" s="20"/>
      <c r="K456" s="8" t="n">
        <f aca="false">IF(SUM(H456:J456)&lt;0.00068287037037037,0,SUM(H456:J456))</f>
        <v>0</v>
      </c>
      <c r="L456" s="8" t="n">
        <f aca="false">IF(OR(F456="Congé",F456="OFF",M456="Abs",F456="Congé sans solde",F456="Férié",F456="Congé spécial",D456="Congé spécial"),0,IF(F456-E456&lt;0,0,IF(F456-E456&lt;=0.00068287037037037,0,F456-E456)))</f>
        <v>0</v>
      </c>
      <c r="M456" s="6" t="n">
        <f aca="false">IF(AND(O456&lt;&gt;0,C456=""),"Abs",0)</f>
        <v>0</v>
      </c>
      <c r="N456" s="8" t="str">
        <f aca="false">IFERROR(IF(OR(D456="OFF",D456="Congé",M456="Abs",D456="Congé sans solde",D456="Férié"),"",IF(O456-K456-L456&gt;O456,O456,IF(O456-K456-L456&lt;0,"",O456-K456-L456))),"")</f>
        <v/>
      </c>
      <c r="O456" s="8" t="n">
        <f aca="false">IF(AG456="2H Pause déjeuner",IF(F456-D456-0.0833333333333333&lt;0,F456-D456-0.0833333333333333+1,F456-D456-0.0833333333333333),IF(OR(AND(F456="OFF",D456="OFF"),AND(F456="Congé",D456="Congé"),AND(F456="Congé sans solde",D456="Congé sans solde"),AND(F456="Congé spécial",D456="Congé spécial"),AND(F456="Férié",D456="Férié"),AND(F456="OFF",D456="Congé"),AND(F456="OFF",D456="Congé sans solde"),AND(F456="OFF",D456="Congé spécial"),AND(F456="OFF",D456="Férié"),AND(F456="Congé",D456="OFF"),AND(F456="Congé",D456="Congé sans solde"),AND(F456="Congé",D456="Congé spécial"),AND(F456="Congé",D456="Férié"),AND(F456="Congé sans solde",D456="OFF"),AND(F456="Congé sans solde",D456="Congé"),AND(F456="Congé sans solde",D456="Congé spécial"),AND(F456="Congé sans solde",D456="Férié"),AND(F456="Congé spécial",D456="OFF"),AND(F456="Congé spécial",D456="Congé"),AND(F456="Congé spécial",D456="Congé sans solde"),AND(F456="Congé spécial",D456="Férié"),AND(F456="Férié",D456="OFF"),AND(F456="Férié",D456="Congé"),AND(F456="Férié",D456="Congé sans solde"),AND(F456="Férié",D456="Congé spécial")),0,IF(OR(F456="OFF",F456="Congé",F456="Congé spécial",F456="Congé sans solde",D456="OFF",D456="Congé",D456="Congé spécial",D456="Congé sans solde"),0.208333333333334,IF(AND(AG456="",F456-D456&lt;0),("24:00:00"-D456)+("00:00:00"+F456)-0.0416666666666667,IF(AND(OR(AG456="Allaitement",AG456="Sans déjeuner"),F456-D456&lt;0),("24:00:00"-D456)+("00:00:00"+F456),IF(AND(AG456="",F456-D456&gt;0.166666666666667),F456-D456-0.0416666666666667,IF(AND(OR(AG456="Allaitement",AG456="Sans déjeuner"),F456-D456&gt;0.166666666666667),F456-D456,F456-D456)))))))</f>
        <v>0</v>
      </c>
      <c r="P456" s="6" t="str">
        <f aca="false">IFERROR(VLOOKUP($B456,Agents!$A:$D,2,0),"-")</f>
        <v>Accessibilité</v>
      </c>
      <c r="Q456" s="21" t="n">
        <v>46095</v>
      </c>
      <c r="R456" s="8" t="n">
        <f aca="false">IF(M456="Abs",O456,0)</f>
        <v>0</v>
      </c>
      <c r="S456" s="8" t="n">
        <f aca="false">SUM(R456,L456,I456,J456,W456,H456)</f>
        <v>0</v>
      </c>
      <c r="T456" s="6" t="str">
        <f aca="false">"Sem - "&amp;WEEKNUM(Q456,21)</f>
        <v>Sem - 11</v>
      </c>
      <c r="U456" s="6" t="str">
        <f aca="false">CHOOSE(MONTH(Q456),"Janvier","Février","Mars","Avril","Mai","Juin","Juillet","Août","Septembre","Octobre","Novembre","Décembre")</f>
        <v>Mars</v>
      </c>
      <c r="V456" s="22" t="n">
        <f aca="false">YEAR(Q456)</f>
        <v>2026</v>
      </c>
      <c r="W456" s="20"/>
      <c r="X456" s="8" t="n">
        <f aca="false">IFERROR(IF(M456="Abs",0,IF(ROUND((D456-C456+E456-F456)*1440,0)&lt;=1,0,D456-C456+E456-F456)),0)</f>
        <v>0</v>
      </c>
      <c r="Y456" s="6" t="str">
        <f aca="false">IFERROR(VLOOKUP($B456,Agents!$A:$D,3,0),"-")</f>
        <v>OUBRAHIM Mohammed</v>
      </c>
      <c r="Z456" s="6" t="str">
        <f aca="false">IFERROR(VLOOKUP($B456,Agents!$A:$D,4,0),"-")</f>
        <v>Credit Mutuel</v>
      </c>
      <c r="AA456" s="18" t="s">
        <v>93</v>
      </c>
      <c r="AB456" s="8" t="str">
        <f aca="false">IF(AND(D456="Congé",F456="Congé"),0.333333333333333,IF(OR(AND(D456="Congé",F456&lt;&gt;"Congé"),(AND(F456="Congé",D456&lt;&gt;"Congé"))),0.166666666666667,""))</f>
        <v/>
      </c>
      <c r="AC456" s="8" t="str">
        <f aca="false">IF(AND(D456="Congé sans solde",F456="Congé sans solde"),0.333333333333333,IF(OR(AND(D456="Congé sans solde",F456&lt;&gt;"Congé sans solde"),(AND(F456="Congé sans solde",D456&lt;&gt;"Congé sans solde"))),0.166666666666667,""))</f>
        <v/>
      </c>
      <c r="AD456" s="8" t="str">
        <f aca="false">IF(AND(D456="Congé spécial",F456="Congé spécial"),0.333333333333333,IF(OR(AND(D456="Congé spécial",F456&lt;&gt;"Congé spécial"),AND(F456="Congé spécial",D456&lt;&gt;"Congé spécial")),0.166666666666667,""))</f>
        <v/>
      </c>
      <c r="AE456" s="8" t="str">
        <f aca="false">IF(AND(D456="Férié",F456="Férié"),0.333333333333333,IF(OR(AND(D456="Férié",F456&lt;&gt;"Férié"),(AND(F456="Férié",D456&lt;&gt;"Férié"))),0.166666666666667,""))</f>
        <v/>
      </c>
      <c r="AF456" s="18"/>
      <c r="AG456" s="18"/>
    </row>
    <row r="457" customFormat="false" ht="15" hidden="false" customHeight="false" outlineLevel="0" collapsed="false">
      <c r="A457" s="6" t="str">
        <f aca="false">YEAR(Q457-WEEKDAY(Q457,2)+4)&amp;"-S"&amp;TEXT(WEEKNUM(Q457,21),"00")</f>
        <v>2026-S11</v>
      </c>
      <c r="B457" s="18" t="s">
        <v>73</v>
      </c>
      <c r="C457" s="19"/>
      <c r="D457" s="19" t="s">
        <v>74</v>
      </c>
      <c r="E457" s="19"/>
      <c r="F457" s="19" t="s">
        <v>74</v>
      </c>
      <c r="G457" s="20"/>
      <c r="H457" s="20"/>
      <c r="I457" s="8" t="str">
        <f aca="false">IF(IF(OR(C457="",D457="Congé",D457="OFF",D457="Congé spécial"),"",IF(D457&gt;F457,D457-C457,IF(C457-D457&lt;0,0,C457-D457)))&lt;0.00068287037037037,"",IF(OR(D457="Congé",D457="OFF",C457="",D457="Congé spécial"),"",IF(D457&gt;F457,D457-C457,IF(C457-D457&lt;0,0,C457-D457))))</f>
        <v/>
      </c>
      <c r="J457" s="20"/>
      <c r="K457" s="8" t="n">
        <f aca="false">IF(SUM(H457:J457)&lt;0.00068287037037037,0,SUM(H457:J457))</f>
        <v>0</v>
      </c>
      <c r="L457" s="8" t="n">
        <f aca="false">IF(OR(F457="Congé",F457="OFF",M457="Abs",F457="Congé sans solde",F457="Férié",F457="Congé spécial",D457="Congé spécial"),0,IF(F457-E457&lt;0,0,IF(F457-E457&lt;=0.00068287037037037,0,F457-E457)))</f>
        <v>0</v>
      </c>
      <c r="M457" s="6" t="n">
        <f aca="false">IF(AND(O457&lt;&gt;0,C457=""),"Abs",0)</f>
        <v>0</v>
      </c>
      <c r="N457" s="8" t="str">
        <f aca="false">IFERROR(IF(OR(D457="OFF",D457="Congé",M457="Abs",D457="Congé sans solde",D457="Férié"),"",IF(O457-K457-L457&gt;O457,O457,IF(O457-K457-L457&lt;0,"",O457-K457-L457))),"")</f>
        <v/>
      </c>
      <c r="O457" s="8" t="n">
        <f aca="false">IF(AG457="2H Pause déjeuner",IF(F457-D457-0.0833333333333333&lt;0,F457-D457-0.0833333333333333+1,F457-D457-0.0833333333333333),IF(OR(AND(F457="OFF",D457="OFF"),AND(F457="Congé",D457="Congé"),AND(F457="Congé sans solde",D457="Congé sans solde"),AND(F457="Congé spécial",D457="Congé spécial"),AND(F457="Férié",D457="Férié"),AND(F457="OFF",D457="Congé"),AND(F457="OFF",D457="Congé sans solde"),AND(F457="OFF",D457="Congé spécial"),AND(F457="OFF",D457="Férié"),AND(F457="Congé",D457="OFF"),AND(F457="Congé",D457="Congé sans solde"),AND(F457="Congé",D457="Congé spécial"),AND(F457="Congé",D457="Férié"),AND(F457="Congé sans solde",D457="OFF"),AND(F457="Congé sans solde",D457="Congé"),AND(F457="Congé sans solde",D457="Congé spécial"),AND(F457="Congé sans solde",D457="Férié"),AND(F457="Congé spécial",D457="OFF"),AND(F457="Congé spécial",D457="Congé"),AND(F457="Congé spécial",D457="Congé sans solde"),AND(F457="Congé spécial",D457="Férié"),AND(F457="Férié",D457="OFF"),AND(F457="Férié",D457="Congé"),AND(F457="Férié",D457="Congé sans solde"),AND(F457="Férié",D457="Congé spécial")),0,IF(OR(F457="OFF",F457="Congé",F457="Congé spécial",F457="Congé sans solde",D457="OFF",D457="Congé",D457="Congé spécial",D457="Congé sans solde"),0.208333333333334,IF(AND(AG457="",F457-D457&lt;0),("24:00:00"-D457)+("00:00:00"+F457)-0.0416666666666667,IF(AND(OR(AG457="Allaitement",AG457="Sans déjeuner"),F457-D457&lt;0),("24:00:00"-D457)+("00:00:00"+F457),IF(AND(AG457="",F457-D457&gt;0.166666666666667),F457-D457-0.0416666666666667,IF(AND(OR(AG457="Allaitement",AG457="Sans déjeuner"),F457-D457&gt;0.166666666666667),F457-D457,F457-D457)))))))</f>
        <v>0</v>
      </c>
      <c r="P457" s="6" t="str">
        <f aca="false">IFERROR(VLOOKUP($B457,Agents!$A:$D,2,0),"-")</f>
        <v>Accessibilité</v>
      </c>
      <c r="Q457" s="21" t="n">
        <v>46095</v>
      </c>
      <c r="R457" s="8" t="n">
        <f aca="false">IF(M457="Abs",O457,0)</f>
        <v>0</v>
      </c>
      <c r="S457" s="8" t="n">
        <f aca="false">SUM(R457,L457,I457,J457,W457,H457)</f>
        <v>0</v>
      </c>
      <c r="T457" s="6" t="str">
        <f aca="false">"Sem - "&amp;WEEKNUM(Q457,21)</f>
        <v>Sem - 11</v>
      </c>
      <c r="U457" s="6" t="str">
        <f aca="false">CHOOSE(MONTH(Q457),"Janvier","Février","Mars","Avril","Mai","Juin","Juillet","Août","Septembre","Octobre","Novembre","Décembre")</f>
        <v>Mars</v>
      </c>
      <c r="V457" s="22" t="n">
        <f aca="false">YEAR(Q457)</f>
        <v>2026</v>
      </c>
      <c r="W457" s="20"/>
      <c r="X457" s="8" t="n">
        <f aca="false">IFERROR(IF(M457="Abs",0,IF(ROUND((D457-C457+E457-F457)*1440,0)&lt;=1,0,D457-C457+E457-F457)),0)</f>
        <v>0</v>
      </c>
      <c r="Y457" s="6" t="str">
        <f aca="false">IFERROR(VLOOKUP($B457,Agents!$A:$D,3,0),"-")</f>
        <v>OUBRAHIM Mohammed</v>
      </c>
      <c r="Z457" s="6" t="str">
        <f aca="false">IFERROR(VLOOKUP($B457,Agents!$A:$D,4,0),"-")</f>
        <v>Credit Mutuel</v>
      </c>
      <c r="AA457" s="18" t="s">
        <v>93</v>
      </c>
      <c r="AB457" s="8" t="str">
        <f aca="false">IF(AND(D457="Congé",F457="Congé"),0.333333333333333,IF(OR(AND(D457="Congé",F457&lt;&gt;"Congé"),(AND(F457="Congé",D457&lt;&gt;"Congé"))),0.166666666666667,""))</f>
        <v/>
      </c>
      <c r="AC457" s="8" t="str">
        <f aca="false">IF(AND(D457="Congé sans solde",F457="Congé sans solde"),0.333333333333333,IF(OR(AND(D457="Congé sans solde",F457&lt;&gt;"Congé sans solde"),(AND(F457="Congé sans solde",D457&lt;&gt;"Congé sans solde"))),0.166666666666667,""))</f>
        <v/>
      </c>
      <c r="AD457" s="8" t="str">
        <f aca="false">IF(AND(D457="Congé spécial",F457="Congé spécial"),0.333333333333333,IF(OR(AND(D457="Congé spécial",F457&lt;&gt;"Congé spécial"),AND(F457="Congé spécial",D457&lt;&gt;"Congé spécial")),0.166666666666667,""))</f>
        <v/>
      </c>
      <c r="AE457" s="8" t="str">
        <f aca="false">IF(AND(D457="Férié",F457="Férié"),0.333333333333333,IF(OR(AND(D457="Férié",F457&lt;&gt;"Férié"),(AND(F457="Férié",D457&lt;&gt;"Férié"))),0.166666666666667,""))</f>
        <v/>
      </c>
      <c r="AF457" s="18"/>
      <c r="AG457" s="18"/>
    </row>
    <row r="458" customFormat="false" ht="15" hidden="false" customHeight="false" outlineLevel="0" collapsed="false">
      <c r="A458" s="6" t="str">
        <f aca="false">YEAR(Q458-WEEKDAY(Q458,2)+4)&amp;"-S"&amp;TEXT(WEEKNUM(Q458,21),"00")</f>
        <v>2026-S11</v>
      </c>
      <c r="B458" s="18" t="s">
        <v>69</v>
      </c>
      <c r="C458" s="19"/>
      <c r="D458" s="19" t="s">
        <v>74</v>
      </c>
      <c r="E458" s="19"/>
      <c r="F458" s="19" t="s">
        <v>74</v>
      </c>
      <c r="G458" s="20"/>
      <c r="H458" s="20"/>
      <c r="I458" s="8" t="str">
        <f aca="false">IF(IF(OR(C458="",D458="Congé",D458="OFF",D458="Congé spécial"),"",IF(D458&gt;F458,D458-C458,IF(C458-D458&lt;0,0,C458-D458)))&lt;0.00068287037037037,"",IF(OR(D458="Congé",D458="OFF",C458="",D458="Congé spécial"),"",IF(D458&gt;F458,D458-C458,IF(C458-D458&lt;0,0,C458-D458))))</f>
        <v/>
      </c>
      <c r="J458" s="20"/>
      <c r="K458" s="8" t="n">
        <f aca="false">IF(SUM(H458:J458)&lt;0.00068287037037037,0,SUM(H458:J458))</f>
        <v>0</v>
      </c>
      <c r="L458" s="8" t="n">
        <f aca="false">IF(OR(F458="Congé",F458="OFF",M458="Abs",F458="Congé sans solde",F458="Férié",F458="Congé spécial",D458="Congé spécial"),0,IF(F458-E458&lt;0,0,IF(F458-E458&lt;=0.00068287037037037,0,F458-E458)))</f>
        <v>0</v>
      </c>
      <c r="M458" s="6" t="n">
        <f aca="false">IF(AND(O458&lt;&gt;0,C458=""),"Abs",0)</f>
        <v>0</v>
      </c>
      <c r="N458" s="8" t="str">
        <f aca="false">IFERROR(IF(OR(D458="OFF",D458="Congé",M458="Abs",D458="Congé sans solde",D458="Férié"),"",IF(O458-K458-L458&gt;O458,O458,IF(O458-K458-L458&lt;0,"",O458-K458-L458))),"")</f>
        <v/>
      </c>
      <c r="O458" s="8" t="n">
        <f aca="false">IF(AG458="2H Pause déjeuner",IF(F458-D458-0.0833333333333333&lt;0,F458-D458-0.0833333333333333+1,F458-D458-0.0833333333333333),IF(OR(AND(F458="OFF",D458="OFF"),AND(F458="Congé",D458="Congé"),AND(F458="Congé sans solde",D458="Congé sans solde"),AND(F458="Congé spécial",D458="Congé spécial"),AND(F458="Férié",D458="Férié"),AND(F458="OFF",D458="Congé"),AND(F458="OFF",D458="Congé sans solde"),AND(F458="OFF",D458="Congé spécial"),AND(F458="OFF",D458="Férié"),AND(F458="Congé",D458="OFF"),AND(F458="Congé",D458="Congé sans solde"),AND(F458="Congé",D458="Congé spécial"),AND(F458="Congé",D458="Férié"),AND(F458="Congé sans solde",D458="OFF"),AND(F458="Congé sans solde",D458="Congé"),AND(F458="Congé sans solde",D458="Congé spécial"),AND(F458="Congé sans solde",D458="Férié"),AND(F458="Congé spécial",D458="OFF"),AND(F458="Congé spécial",D458="Congé"),AND(F458="Congé spécial",D458="Congé sans solde"),AND(F458="Congé spécial",D458="Férié"),AND(F458="Férié",D458="OFF"),AND(F458="Férié",D458="Congé"),AND(F458="Férié",D458="Congé sans solde"),AND(F458="Férié",D458="Congé spécial")),0,IF(OR(F458="OFF",F458="Congé",F458="Congé spécial",F458="Congé sans solde",D458="OFF",D458="Congé",D458="Congé spécial",D458="Congé sans solde"),0.208333333333334,IF(AND(AG458="",F458-D458&lt;0),("24:00:00"-D458)+("00:00:00"+F458)-0.0416666666666667,IF(AND(OR(AG458="Allaitement",AG458="Sans déjeuner"),F458-D458&lt;0),("24:00:00"-D458)+("00:00:00"+F458),IF(AND(AG458="",F458-D458&gt;0.166666666666667),F458-D458-0.0416666666666667,IF(AND(OR(AG458="Allaitement",AG458="Sans déjeuner"),F458-D458&gt;0.166666666666667),F458-D458,F458-D458)))))))</f>
        <v>0</v>
      </c>
      <c r="P458" s="6" t="str">
        <f aca="false">IFERROR(VLOOKUP($B458,Agents!$A:$D,2,0),"-")</f>
        <v>Accessibilité</v>
      </c>
      <c r="Q458" s="21" t="n">
        <v>46096</v>
      </c>
      <c r="R458" s="8" t="n">
        <f aca="false">IF(M458="Abs",O458,0)</f>
        <v>0</v>
      </c>
      <c r="S458" s="8" t="n">
        <f aca="false">SUM(R458,L458,I458,J458,W458,H458)</f>
        <v>0</v>
      </c>
      <c r="T458" s="6" t="str">
        <f aca="false">"Sem - "&amp;WEEKNUM(Q458,21)</f>
        <v>Sem - 11</v>
      </c>
      <c r="U458" s="6" t="str">
        <f aca="false">CHOOSE(MONTH(Q458),"Janvier","Février","Mars","Avril","Mai","Juin","Juillet","Août","Septembre","Octobre","Novembre","Décembre")</f>
        <v>Mars</v>
      </c>
      <c r="V458" s="22" t="n">
        <f aca="false">YEAR(Q458)</f>
        <v>2026</v>
      </c>
      <c r="W458" s="20"/>
      <c r="X458" s="8" t="n">
        <f aca="false">IFERROR(IF(M458="Abs",0,IF(ROUND((D458-C458+E458-F458)*1440,0)&lt;=1,0,D458-C458+E458-F458)),0)</f>
        <v>0</v>
      </c>
      <c r="Y458" s="6" t="str">
        <f aca="false">IFERROR(VLOOKUP($B458,Agents!$A:$D,3,0),"-")</f>
        <v>OUBRAHIM Mohammed</v>
      </c>
      <c r="Z458" s="6" t="str">
        <f aca="false">IFERROR(VLOOKUP($B458,Agents!$A:$D,4,0),"-")</f>
        <v>Credit Mutuel</v>
      </c>
      <c r="AA458" s="18" t="s">
        <v>93</v>
      </c>
      <c r="AB458" s="8" t="str">
        <f aca="false">IF(AND(D458="Congé",F458="Congé"),0.333333333333333,IF(OR(AND(D458="Congé",F458&lt;&gt;"Congé"),(AND(F458="Congé",D458&lt;&gt;"Congé"))),0.166666666666667,""))</f>
        <v/>
      </c>
      <c r="AC458" s="8" t="str">
        <f aca="false">IF(AND(D458="Congé sans solde",F458="Congé sans solde"),0.333333333333333,IF(OR(AND(D458="Congé sans solde",F458&lt;&gt;"Congé sans solde"),(AND(F458="Congé sans solde",D458&lt;&gt;"Congé sans solde"))),0.166666666666667,""))</f>
        <v/>
      </c>
      <c r="AD458" s="8" t="str">
        <f aca="false">IF(AND(D458="Congé spécial",F458="Congé spécial"),0.333333333333333,IF(OR(AND(D458="Congé spécial",F458&lt;&gt;"Congé spécial"),AND(F458="Congé spécial",D458&lt;&gt;"Congé spécial")),0.166666666666667,""))</f>
        <v/>
      </c>
      <c r="AE458" s="8" t="str">
        <f aca="false">IF(AND(D458="Férié",F458="Férié"),0.333333333333333,IF(OR(AND(D458="Férié",F458&lt;&gt;"Férié"),(AND(F458="Férié",D458&lt;&gt;"Férié"))),0.166666666666667,""))</f>
        <v/>
      </c>
      <c r="AF458" s="18"/>
      <c r="AG458" s="18"/>
    </row>
    <row r="459" customFormat="false" ht="15" hidden="false" customHeight="false" outlineLevel="0" collapsed="false">
      <c r="A459" s="6" t="str">
        <f aca="false">YEAR(Q459-WEEKDAY(Q459,2)+4)&amp;"-S"&amp;TEXT(WEEKNUM(Q459,21),"00")</f>
        <v>2026-S11</v>
      </c>
      <c r="B459" s="18" t="s">
        <v>71</v>
      </c>
      <c r="C459" s="19"/>
      <c r="D459" s="19" t="s">
        <v>74</v>
      </c>
      <c r="E459" s="19"/>
      <c r="F459" s="19" t="s">
        <v>74</v>
      </c>
      <c r="G459" s="20"/>
      <c r="H459" s="20"/>
      <c r="I459" s="8" t="str">
        <f aca="false">IF(IF(OR(C459="",D459="Congé",D459="OFF",D459="Congé spécial"),"",IF(D459&gt;F459,D459-C459,IF(C459-D459&lt;0,0,C459-D459)))&lt;0.00068287037037037,"",IF(OR(D459="Congé",D459="OFF",C459="",D459="Congé spécial"),"",IF(D459&gt;F459,D459-C459,IF(C459-D459&lt;0,0,C459-D459))))</f>
        <v/>
      </c>
      <c r="J459" s="20"/>
      <c r="K459" s="8" t="n">
        <f aca="false">IF(SUM(H459:J459)&lt;0.00068287037037037,0,SUM(H459:J459))</f>
        <v>0</v>
      </c>
      <c r="L459" s="8" t="n">
        <f aca="false">IF(OR(F459="Congé",F459="OFF",M459="Abs",F459="Congé sans solde",F459="Férié",F459="Congé spécial",D459="Congé spécial"),0,IF(F459-E459&lt;0,0,IF(F459-E459&lt;=0.00068287037037037,0,F459-E459)))</f>
        <v>0</v>
      </c>
      <c r="M459" s="6" t="n">
        <f aca="false">IF(AND(O459&lt;&gt;0,C459=""),"Abs",0)</f>
        <v>0</v>
      </c>
      <c r="N459" s="8" t="str">
        <f aca="false">IFERROR(IF(OR(D459="OFF",D459="Congé",M459="Abs",D459="Congé sans solde",D459="Férié"),"",IF(O459-K459-L459&gt;O459,O459,IF(O459-K459-L459&lt;0,"",O459-K459-L459))),"")</f>
        <v/>
      </c>
      <c r="O459" s="8" t="n">
        <f aca="false">IF(AG459="2H Pause déjeuner",IF(F459-D459-0.0833333333333333&lt;0,F459-D459-0.0833333333333333+1,F459-D459-0.0833333333333333),IF(OR(AND(F459="OFF",D459="OFF"),AND(F459="Congé",D459="Congé"),AND(F459="Congé sans solde",D459="Congé sans solde"),AND(F459="Congé spécial",D459="Congé spécial"),AND(F459="Férié",D459="Férié"),AND(F459="OFF",D459="Congé"),AND(F459="OFF",D459="Congé sans solde"),AND(F459="OFF",D459="Congé spécial"),AND(F459="OFF",D459="Férié"),AND(F459="Congé",D459="OFF"),AND(F459="Congé",D459="Congé sans solde"),AND(F459="Congé",D459="Congé spécial"),AND(F459="Congé",D459="Férié"),AND(F459="Congé sans solde",D459="OFF"),AND(F459="Congé sans solde",D459="Congé"),AND(F459="Congé sans solde",D459="Congé spécial"),AND(F459="Congé sans solde",D459="Férié"),AND(F459="Congé spécial",D459="OFF"),AND(F459="Congé spécial",D459="Congé"),AND(F459="Congé spécial",D459="Congé sans solde"),AND(F459="Congé spécial",D459="Férié"),AND(F459="Férié",D459="OFF"),AND(F459="Férié",D459="Congé"),AND(F459="Férié",D459="Congé sans solde"),AND(F459="Férié",D459="Congé spécial")),0,IF(OR(F459="OFF",F459="Congé",F459="Congé spécial",F459="Congé sans solde",D459="OFF",D459="Congé",D459="Congé spécial",D459="Congé sans solde"),0.208333333333334,IF(AND(AG459="",F459-D459&lt;0),("24:00:00"-D459)+("00:00:00"+F459)-0.0416666666666667,IF(AND(OR(AG459="Allaitement",AG459="Sans déjeuner"),F459-D459&lt;0),("24:00:00"-D459)+("00:00:00"+F459),IF(AND(AG459="",F459-D459&gt;0.166666666666667),F459-D459-0.0416666666666667,IF(AND(OR(AG459="Allaitement",AG459="Sans déjeuner"),F459-D459&gt;0.166666666666667),F459-D459,F459-D459)))))))</f>
        <v>0</v>
      </c>
      <c r="P459" s="6" t="str">
        <f aca="false">IFERROR(VLOOKUP($B459,Agents!$A:$D,2,0),"-")</f>
        <v>Accessibilité</v>
      </c>
      <c r="Q459" s="21" t="n">
        <v>46096</v>
      </c>
      <c r="R459" s="8" t="n">
        <f aca="false">IF(M459="Abs",O459,0)</f>
        <v>0</v>
      </c>
      <c r="S459" s="8" t="n">
        <f aca="false">SUM(R459,L459,I459,J459,W459,H459)</f>
        <v>0</v>
      </c>
      <c r="T459" s="6" t="str">
        <f aca="false">"Sem - "&amp;WEEKNUM(Q459,21)</f>
        <v>Sem - 11</v>
      </c>
      <c r="U459" s="6" t="str">
        <f aca="false">CHOOSE(MONTH(Q459),"Janvier","Février","Mars","Avril","Mai","Juin","Juillet","Août","Septembre","Octobre","Novembre","Décembre")</f>
        <v>Mars</v>
      </c>
      <c r="V459" s="22" t="n">
        <f aca="false">YEAR(Q459)</f>
        <v>2026</v>
      </c>
      <c r="W459" s="20"/>
      <c r="X459" s="8" t="n">
        <f aca="false">IFERROR(IF(M459="Abs",0,IF(ROUND((D459-C459+E459-F459)*1440,0)&lt;=1,0,D459-C459+E459-F459)),0)</f>
        <v>0</v>
      </c>
      <c r="Y459" s="6" t="str">
        <f aca="false">IFERROR(VLOOKUP($B459,Agents!$A:$D,3,0),"-")</f>
        <v>OUBRAHIM Mohammed</v>
      </c>
      <c r="Z459" s="6" t="str">
        <f aca="false">IFERROR(VLOOKUP($B459,Agents!$A:$D,4,0),"-")</f>
        <v>Credit Mutuel</v>
      </c>
      <c r="AA459" s="18" t="s">
        <v>93</v>
      </c>
      <c r="AB459" s="8" t="str">
        <f aca="false">IF(AND(D459="Congé",F459="Congé"),0.333333333333333,IF(OR(AND(D459="Congé",F459&lt;&gt;"Congé"),(AND(F459="Congé",D459&lt;&gt;"Congé"))),0.166666666666667,""))</f>
        <v/>
      </c>
      <c r="AC459" s="8" t="str">
        <f aca="false">IF(AND(D459="Congé sans solde",F459="Congé sans solde"),0.333333333333333,IF(OR(AND(D459="Congé sans solde",F459&lt;&gt;"Congé sans solde"),(AND(F459="Congé sans solde",D459&lt;&gt;"Congé sans solde"))),0.166666666666667,""))</f>
        <v/>
      </c>
      <c r="AD459" s="8" t="str">
        <f aca="false">IF(AND(D459="Congé spécial",F459="Congé spécial"),0.333333333333333,IF(OR(AND(D459="Congé spécial",F459&lt;&gt;"Congé spécial"),AND(F459="Congé spécial",D459&lt;&gt;"Congé spécial")),0.166666666666667,""))</f>
        <v/>
      </c>
      <c r="AE459" s="8" t="str">
        <f aca="false">IF(AND(D459="Férié",F459="Férié"),0.333333333333333,IF(OR(AND(D459="Férié",F459&lt;&gt;"Férié"),(AND(F459="Férié",D459&lt;&gt;"Férié"))),0.166666666666667,""))</f>
        <v/>
      </c>
      <c r="AF459" s="18"/>
      <c r="AG459" s="18"/>
    </row>
    <row r="460" customFormat="false" ht="15" hidden="false" customHeight="false" outlineLevel="0" collapsed="false">
      <c r="A460" s="6" t="str">
        <f aca="false">YEAR(Q460-WEEKDAY(Q460,2)+4)&amp;"-S"&amp;TEXT(WEEKNUM(Q460,21),"00")</f>
        <v>2026-S11</v>
      </c>
      <c r="B460" s="18" t="s">
        <v>72</v>
      </c>
      <c r="C460" s="19"/>
      <c r="D460" s="19" t="s">
        <v>74</v>
      </c>
      <c r="E460" s="19"/>
      <c r="F460" s="19" t="s">
        <v>74</v>
      </c>
      <c r="G460" s="20"/>
      <c r="H460" s="20"/>
      <c r="I460" s="8" t="str">
        <f aca="false">IF(IF(OR(C460="",D460="Congé",D460="OFF",D460="Congé spécial"),"",IF(D460&gt;F460,D460-C460,IF(C460-D460&lt;0,0,C460-D460)))&lt;0.00068287037037037,"",IF(OR(D460="Congé",D460="OFF",C460="",D460="Congé spécial"),"",IF(D460&gt;F460,D460-C460,IF(C460-D460&lt;0,0,C460-D460))))</f>
        <v/>
      </c>
      <c r="J460" s="20"/>
      <c r="K460" s="8" t="n">
        <f aca="false">IF(SUM(H460:J460)&lt;0.00068287037037037,0,SUM(H460:J460))</f>
        <v>0</v>
      </c>
      <c r="L460" s="8" t="n">
        <f aca="false">IF(OR(F460="Congé",F460="OFF",M460="Abs",F460="Congé sans solde",F460="Férié",F460="Congé spécial",D460="Congé spécial"),0,IF(F460-E460&lt;0,0,IF(F460-E460&lt;=0.00068287037037037,0,F460-E460)))</f>
        <v>0</v>
      </c>
      <c r="M460" s="6" t="n">
        <f aca="false">IF(AND(O460&lt;&gt;0,C460=""),"Abs",0)</f>
        <v>0</v>
      </c>
      <c r="N460" s="8" t="str">
        <f aca="false">IFERROR(IF(OR(D460="OFF",D460="Congé",M460="Abs",D460="Congé sans solde",D460="Férié"),"",IF(O460-K460-L460&gt;O460,O460,IF(O460-K460-L460&lt;0,"",O460-K460-L460))),"")</f>
        <v/>
      </c>
      <c r="O460" s="8" t="n">
        <f aca="false">IF(AG460="2H Pause déjeuner",IF(F460-D460-0.0833333333333333&lt;0,F460-D460-0.0833333333333333+1,F460-D460-0.0833333333333333),IF(OR(AND(F460="OFF",D460="OFF"),AND(F460="Congé",D460="Congé"),AND(F460="Congé sans solde",D460="Congé sans solde"),AND(F460="Congé spécial",D460="Congé spécial"),AND(F460="Férié",D460="Férié"),AND(F460="OFF",D460="Congé"),AND(F460="OFF",D460="Congé sans solde"),AND(F460="OFF",D460="Congé spécial"),AND(F460="OFF",D460="Férié"),AND(F460="Congé",D460="OFF"),AND(F460="Congé",D460="Congé sans solde"),AND(F460="Congé",D460="Congé spécial"),AND(F460="Congé",D460="Férié"),AND(F460="Congé sans solde",D460="OFF"),AND(F460="Congé sans solde",D460="Congé"),AND(F460="Congé sans solde",D460="Congé spécial"),AND(F460="Congé sans solde",D460="Férié"),AND(F460="Congé spécial",D460="OFF"),AND(F460="Congé spécial",D460="Congé"),AND(F460="Congé spécial",D460="Congé sans solde"),AND(F460="Congé spécial",D460="Férié"),AND(F460="Férié",D460="OFF"),AND(F460="Férié",D460="Congé"),AND(F460="Férié",D460="Congé sans solde"),AND(F460="Férié",D460="Congé spécial")),0,IF(OR(F460="OFF",F460="Congé",F460="Congé spécial",F460="Congé sans solde",D460="OFF",D460="Congé",D460="Congé spécial",D460="Congé sans solde"),0.208333333333334,IF(AND(AG460="",F460-D460&lt;0),("24:00:00"-D460)+("00:00:00"+F460)-0.0416666666666667,IF(AND(OR(AG460="Allaitement",AG460="Sans déjeuner"),F460-D460&lt;0),("24:00:00"-D460)+("00:00:00"+F460),IF(AND(AG460="",F460-D460&gt;0.166666666666667),F460-D460-0.0416666666666667,IF(AND(OR(AG460="Allaitement",AG460="Sans déjeuner"),F460-D460&gt;0.166666666666667),F460-D460,F460-D460)))))))</f>
        <v>0</v>
      </c>
      <c r="P460" s="6" t="str">
        <f aca="false">IFERROR(VLOOKUP($B460,Agents!$A:$D,2,0),"-")</f>
        <v>Accessibilité</v>
      </c>
      <c r="Q460" s="21" t="n">
        <v>46096</v>
      </c>
      <c r="R460" s="8" t="n">
        <f aca="false">IF(M460="Abs",O460,0)</f>
        <v>0</v>
      </c>
      <c r="S460" s="8" t="n">
        <f aca="false">SUM(R460,L460,I460,J460,W460,H460)</f>
        <v>0</v>
      </c>
      <c r="T460" s="6" t="str">
        <f aca="false">"Sem - "&amp;WEEKNUM(Q460,21)</f>
        <v>Sem - 11</v>
      </c>
      <c r="U460" s="6" t="str">
        <f aca="false">CHOOSE(MONTH(Q460),"Janvier","Février","Mars","Avril","Mai","Juin","Juillet","Août","Septembre","Octobre","Novembre","Décembre")</f>
        <v>Mars</v>
      </c>
      <c r="V460" s="22" t="n">
        <f aca="false">YEAR(Q460)</f>
        <v>2026</v>
      </c>
      <c r="W460" s="20"/>
      <c r="X460" s="8" t="n">
        <f aca="false">IFERROR(IF(M460="Abs",0,IF(ROUND((D460-C460+E460-F460)*1440,0)&lt;=1,0,D460-C460+E460-F460)),0)</f>
        <v>0</v>
      </c>
      <c r="Y460" s="6" t="str">
        <f aca="false">IFERROR(VLOOKUP($B460,Agents!$A:$D,3,0),"-")</f>
        <v>OUBRAHIM Mohammed</v>
      </c>
      <c r="Z460" s="6" t="str">
        <f aca="false">IFERROR(VLOOKUP($B460,Agents!$A:$D,4,0),"-")</f>
        <v>Credit Mutuel</v>
      </c>
      <c r="AA460" s="18" t="s">
        <v>93</v>
      </c>
      <c r="AB460" s="8" t="str">
        <f aca="false">IF(AND(D460="Congé",F460="Congé"),0.333333333333333,IF(OR(AND(D460="Congé",F460&lt;&gt;"Congé"),(AND(F460="Congé",D460&lt;&gt;"Congé"))),0.166666666666667,""))</f>
        <v/>
      </c>
      <c r="AC460" s="8" t="str">
        <f aca="false">IF(AND(D460="Congé sans solde",F460="Congé sans solde"),0.333333333333333,IF(OR(AND(D460="Congé sans solde",F460&lt;&gt;"Congé sans solde"),(AND(F460="Congé sans solde",D460&lt;&gt;"Congé sans solde"))),0.166666666666667,""))</f>
        <v/>
      </c>
      <c r="AD460" s="8" t="str">
        <f aca="false">IF(AND(D460="Congé spécial",F460="Congé spécial"),0.333333333333333,IF(OR(AND(D460="Congé spécial",F460&lt;&gt;"Congé spécial"),AND(F460="Congé spécial",D460&lt;&gt;"Congé spécial")),0.166666666666667,""))</f>
        <v/>
      </c>
      <c r="AE460" s="8" t="str">
        <f aca="false">IF(AND(D460="Férié",F460="Férié"),0.333333333333333,IF(OR(AND(D460="Férié",F460&lt;&gt;"Férié"),(AND(F460="Férié",D460&lt;&gt;"Férié"))),0.166666666666667,""))</f>
        <v/>
      </c>
      <c r="AF460" s="18"/>
      <c r="AG460" s="18"/>
    </row>
    <row r="461" customFormat="false" ht="15" hidden="false" customHeight="false" outlineLevel="0" collapsed="false">
      <c r="A461" s="6" t="str">
        <f aca="false">YEAR(Q461-WEEKDAY(Q461,2)+4)&amp;"-S"&amp;TEXT(WEEKNUM(Q461,21),"00")</f>
        <v>2026-S11</v>
      </c>
      <c r="B461" s="18" t="s">
        <v>73</v>
      </c>
      <c r="C461" s="19"/>
      <c r="D461" s="19" t="s">
        <v>74</v>
      </c>
      <c r="E461" s="19"/>
      <c r="F461" s="19" t="s">
        <v>74</v>
      </c>
      <c r="G461" s="20"/>
      <c r="H461" s="20"/>
      <c r="I461" s="8" t="str">
        <f aca="false">IF(IF(OR(C461="",D461="Congé",D461="OFF",D461="Congé spécial"),"",IF(D461&gt;F461,D461-C461,IF(C461-D461&lt;0,0,C461-D461)))&lt;0.00068287037037037,"",IF(OR(D461="Congé",D461="OFF",C461="",D461="Congé spécial"),"",IF(D461&gt;F461,D461-C461,IF(C461-D461&lt;0,0,C461-D461))))</f>
        <v/>
      </c>
      <c r="J461" s="20"/>
      <c r="K461" s="8" t="n">
        <f aca="false">IF(SUM(H461:J461)&lt;0.00068287037037037,0,SUM(H461:J461))</f>
        <v>0</v>
      </c>
      <c r="L461" s="8" t="n">
        <f aca="false">IF(OR(F461="Congé",F461="OFF",M461="Abs",F461="Congé sans solde",F461="Férié",F461="Congé spécial",D461="Congé spécial"),0,IF(F461-E461&lt;0,0,IF(F461-E461&lt;=0.00068287037037037,0,F461-E461)))</f>
        <v>0</v>
      </c>
      <c r="M461" s="6" t="n">
        <f aca="false">IF(AND(O461&lt;&gt;0,C461=""),"Abs",0)</f>
        <v>0</v>
      </c>
      <c r="N461" s="8" t="str">
        <f aca="false">IFERROR(IF(OR(D461="OFF",D461="Congé",M461="Abs",D461="Congé sans solde",D461="Férié"),"",IF(O461-K461-L461&gt;O461,O461,IF(O461-K461-L461&lt;0,"",O461-K461-L461))),"")</f>
        <v/>
      </c>
      <c r="O461" s="8" t="n">
        <f aca="false">IF(AG461="2H Pause déjeuner",IF(F461-D461-0.0833333333333333&lt;0,F461-D461-0.0833333333333333+1,F461-D461-0.0833333333333333),IF(OR(AND(F461="OFF",D461="OFF"),AND(F461="Congé",D461="Congé"),AND(F461="Congé sans solde",D461="Congé sans solde"),AND(F461="Congé spécial",D461="Congé spécial"),AND(F461="Férié",D461="Férié"),AND(F461="OFF",D461="Congé"),AND(F461="OFF",D461="Congé sans solde"),AND(F461="OFF",D461="Congé spécial"),AND(F461="OFF",D461="Férié"),AND(F461="Congé",D461="OFF"),AND(F461="Congé",D461="Congé sans solde"),AND(F461="Congé",D461="Congé spécial"),AND(F461="Congé",D461="Férié"),AND(F461="Congé sans solde",D461="OFF"),AND(F461="Congé sans solde",D461="Congé"),AND(F461="Congé sans solde",D461="Congé spécial"),AND(F461="Congé sans solde",D461="Férié"),AND(F461="Congé spécial",D461="OFF"),AND(F461="Congé spécial",D461="Congé"),AND(F461="Congé spécial",D461="Congé sans solde"),AND(F461="Congé spécial",D461="Férié"),AND(F461="Férié",D461="OFF"),AND(F461="Férié",D461="Congé"),AND(F461="Férié",D461="Congé sans solde"),AND(F461="Férié",D461="Congé spécial")),0,IF(OR(F461="OFF",F461="Congé",F461="Congé spécial",F461="Congé sans solde",D461="OFF",D461="Congé",D461="Congé spécial",D461="Congé sans solde"),0.208333333333334,IF(AND(AG461="",F461-D461&lt;0),("24:00:00"-D461)+("00:00:00"+F461)-0.0416666666666667,IF(AND(OR(AG461="Allaitement",AG461="Sans déjeuner"),F461-D461&lt;0),("24:00:00"-D461)+("00:00:00"+F461),IF(AND(AG461="",F461-D461&gt;0.166666666666667),F461-D461-0.0416666666666667,IF(AND(OR(AG461="Allaitement",AG461="Sans déjeuner"),F461-D461&gt;0.166666666666667),F461-D461,F461-D461)))))))</f>
        <v>0</v>
      </c>
      <c r="P461" s="6" t="str">
        <f aca="false">IFERROR(VLOOKUP($B461,Agents!$A:$D,2,0),"-")</f>
        <v>Accessibilité</v>
      </c>
      <c r="Q461" s="21" t="n">
        <v>46096</v>
      </c>
      <c r="R461" s="8" t="n">
        <f aca="false">IF(M461="Abs",O461,0)</f>
        <v>0</v>
      </c>
      <c r="S461" s="8" t="n">
        <f aca="false">SUM(R461,L461,I461,J461,W461,H461)</f>
        <v>0</v>
      </c>
      <c r="T461" s="6" t="str">
        <f aca="false">"Sem - "&amp;WEEKNUM(Q461,21)</f>
        <v>Sem - 11</v>
      </c>
      <c r="U461" s="6" t="str">
        <f aca="false">CHOOSE(MONTH(Q461),"Janvier","Février","Mars","Avril","Mai","Juin","Juillet","Août","Septembre","Octobre","Novembre","Décembre")</f>
        <v>Mars</v>
      </c>
      <c r="V461" s="22" t="n">
        <f aca="false">YEAR(Q461)</f>
        <v>2026</v>
      </c>
      <c r="W461" s="20"/>
      <c r="X461" s="8" t="n">
        <f aca="false">IFERROR(IF(M461="Abs",0,IF(ROUND((D461-C461+E461-F461)*1440,0)&lt;=1,0,D461-C461+E461-F461)),0)</f>
        <v>0</v>
      </c>
      <c r="Y461" s="6" t="str">
        <f aca="false">IFERROR(VLOOKUP($B461,Agents!$A:$D,3,0),"-")</f>
        <v>OUBRAHIM Mohammed</v>
      </c>
      <c r="Z461" s="6" t="str">
        <f aca="false">IFERROR(VLOOKUP($B461,Agents!$A:$D,4,0),"-")</f>
        <v>Credit Mutuel</v>
      </c>
      <c r="AA461" s="18" t="s">
        <v>93</v>
      </c>
      <c r="AB461" s="8" t="str">
        <f aca="false">IF(AND(D461="Congé",F461="Congé"),0.333333333333333,IF(OR(AND(D461="Congé",F461&lt;&gt;"Congé"),(AND(F461="Congé",D461&lt;&gt;"Congé"))),0.166666666666667,""))</f>
        <v/>
      </c>
      <c r="AC461" s="8" t="str">
        <f aca="false">IF(AND(D461="Congé sans solde",F461="Congé sans solde"),0.333333333333333,IF(OR(AND(D461="Congé sans solde",F461&lt;&gt;"Congé sans solde"),(AND(F461="Congé sans solde",D461&lt;&gt;"Congé sans solde"))),0.166666666666667,""))</f>
        <v/>
      </c>
      <c r="AD461" s="8" t="str">
        <f aca="false">IF(AND(D461="Congé spécial",F461="Congé spécial"),0.333333333333333,IF(OR(AND(D461="Congé spécial",F461&lt;&gt;"Congé spécial"),AND(F461="Congé spécial",D461&lt;&gt;"Congé spécial")),0.166666666666667,""))</f>
        <v/>
      </c>
      <c r="AE461" s="8" t="str">
        <f aca="false">IF(AND(D461="Férié",F461="Férié"),0.333333333333333,IF(OR(AND(D461="Férié",F461&lt;&gt;"Férié"),(AND(F461="Férié",D461&lt;&gt;"Férié"))),0.166666666666667,""))</f>
        <v/>
      </c>
      <c r="AF461" s="18"/>
      <c r="AG461" s="18"/>
    </row>
    <row r="462" customFormat="false" ht="15" hidden="false" customHeight="false" outlineLevel="0" collapsed="false">
      <c r="A462" s="6" t="str">
        <f aca="false">YEAR(Q462-WEEKDAY(Q462,2)+4)&amp;"-S"&amp;TEXT(WEEKNUM(Q462,21),"00")</f>
        <v>2026-S12</v>
      </c>
      <c r="B462" s="18" t="s">
        <v>69</v>
      </c>
      <c r="C462" s="19" t="n">
        <v>0.332638888888889</v>
      </c>
      <c r="D462" s="19" t="n">
        <v>0.333333333333333</v>
      </c>
      <c r="E462" s="19" t="n">
        <v>0.708333333333333</v>
      </c>
      <c r="F462" s="19" t="n">
        <v>0.708333333333333</v>
      </c>
      <c r="G462" s="20"/>
      <c r="H462" s="20"/>
      <c r="I462" s="8" t="str">
        <f aca="false">IF(IF(OR(C462="",D462="Congé",D462="OFF",D462="Congé spécial"),"",IF(D462&gt;F462,D462-C462,IF(C462-D462&lt;0,0,C462-D462)))&lt;0.00068287037037037,"",IF(OR(D462="Congé",D462="OFF",C462="",D462="Congé spécial"),"",IF(D462&gt;F462,D462-C462,IF(C462-D462&lt;0,0,C462-D462))))</f>
        <v/>
      </c>
      <c r="J462" s="20"/>
      <c r="K462" s="8" t="n">
        <f aca="false">IF(SUM(H462:J462)&lt;0.00068287037037037,0,SUM(H462:J462))</f>
        <v>0</v>
      </c>
      <c r="L462" s="8" t="n">
        <f aca="false">IF(OR(F462="Congé",F462="OFF",M462="Abs",F462="Congé sans solde",F462="Férié",F462="Congé spécial",D462="Congé spécial"),0,IF(F462-E462&lt;0,0,IF(F462-E462&lt;=0.00068287037037037,0,F462-E462)))</f>
        <v>0</v>
      </c>
      <c r="M462" s="6" t="n">
        <f aca="false">IF(AND(O462&lt;&gt;0,C462=""),"Abs",0)</f>
        <v>0</v>
      </c>
      <c r="N462" s="8" t="n">
        <f aca="false">IFERROR(IF(OR(D462="OFF",D462="Congé",M462="Abs",D462="Congé sans solde",D462="Férié"),"",IF(O462-K462-L462&gt;O462,O462,IF(O462-K462-L462&lt;0,"",O462-K462-L462))),"")</f>
        <v>0.375</v>
      </c>
      <c r="O462" s="8" t="n">
        <f aca="false">IF(AG462="2H Pause déjeuner",IF(F462-D462-0.0833333333333333&lt;0,F462-D462-0.0833333333333333+1,F462-D462-0.0833333333333333),IF(OR(AND(F462="OFF",D462="OFF"),AND(F462="Congé",D462="Congé"),AND(F462="Congé sans solde",D462="Congé sans solde"),AND(F462="Congé spécial",D462="Congé spécial"),AND(F462="Férié",D462="Férié"),AND(F462="OFF",D462="Congé"),AND(F462="OFF",D462="Congé sans solde"),AND(F462="OFF",D462="Congé spécial"),AND(F462="OFF",D462="Férié"),AND(F462="Congé",D462="OFF"),AND(F462="Congé",D462="Congé sans solde"),AND(F462="Congé",D462="Congé spécial"),AND(F462="Congé",D462="Férié"),AND(F462="Congé sans solde",D462="OFF"),AND(F462="Congé sans solde",D462="Congé"),AND(F462="Congé sans solde",D462="Congé spécial"),AND(F462="Congé sans solde",D462="Férié"),AND(F462="Congé spécial",D462="OFF"),AND(F462="Congé spécial",D462="Congé"),AND(F462="Congé spécial",D462="Congé sans solde"),AND(F462="Congé spécial",D462="Férié"),AND(F462="Férié",D462="OFF"),AND(F462="Férié",D462="Congé"),AND(F462="Férié",D462="Congé sans solde"),AND(F462="Férié",D462="Congé spécial")),0,IF(OR(F462="OFF",F462="Congé",F462="Congé spécial",F462="Congé sans solde",D462="OFF",D462="Congé",D462="Congé spécial",D462="Congé sans solde"),0.208333333333334,IF(AND(AG462="",F462-D462&lt;0),("24:00:00"-D462)+("00:00:00"+F462)-0.0416666666666667,IF(AND(OR(AG462="Allaitement",AG462="Sans déjeuner"),F462-D462&lt;0),("24:00:00"-D462)+("00:00:00"+F462),IF(AND(AG462="",F462-D462&gt;0.166666666666667),F462-D462-0.0416666666666667,IF(AND(OR(AG462="Allaitement",AG462="Sans déjeuner"),F462-D462&gt;0.166666666666667),F462-D462,F462-D462)))))))</f>
        <v>0.375</v>
      </c>
      <c r="P462" s="6" t="str">
        <f aca="false">IFERROR(VLOOKUP($B462,Agents!$A:$D,2,0),"-")</f>
        <v>Accessibilité</v>
      </c>
      <c r="Q462" s="21" t="n">
        <v>46097</v>
      </c>
      <c r="R462" s="8" t="n">
        <f aca="false">IF(M462="Abs",O462,0)</f>
        <v>0</v>
      </c>
      <c r="S462" s="8" t="n">
        <f aca="false">SUM(R462,L462,I462,J462,W462,H462)</f>
        <v>0</v>
      </c>
      <c r="T462" s="6" t="str">
        <f aca="false">"Sem - "&amp;WEEKNUM(Q462,21)</f>
        <v>Sem - 12</v>
      </c>
      <c r="U462" s="6" t="str">
        <f aca="false">CHOOSE(MONTH(Q462),"Janvier","Février","Mars","Avril","Mai","Juin","Juillet","Août","Septembre","Octobre","Novembre","Décembre")</f>
        <v>Mars</v>
      </c>
      <c r="V462" s="22" t="n">
        <f aca="false">YEAR(Q462)</f>
        <v>2026</v>
      </c>
      <c r="W462" s="20"/>
      <c r="X462" s="8" t="n">
        <f aca="false">IFERROR(IF(M462="Abs",0,IF(ROUND((D462-C462+E462-F462)*1440,0)&lt;=1,0,D462-C462+E462-F462)),0)</f>
        <v>0</v>
      </c>
      <c r="Y462" s="6" t="str">
        <f aca="false">IFERROR(VLOOKUP($B462,Agents!$A:$D,3,0),"-")</f>
        <v>OUBRAHIM Mohammed</v>
      </c>
      <c r="Z462" s="6" t="str">
        <f aca="false">IFERROR(VLOOKUP($B462,Agents!$A:$D,4,0),"-")</f>
        <v>Credit Mutuel</v>
      </c>
      <c r="AA462" s="18" t="s">
        <v>94</v>
      </c>
      <c r="AB462" s="8" t="str">
        <f aca="false">IF(AND(D462="Congé",F462="Congé"),0.333333333333333,IF(OR(AND(D462="Congé",F462&lt;&gt;"Congé"),(AND(F462="Congé",D462&lt;&gt;"Congé"))),0.166666666666667,""))</f>
        <v/>
      </c>
      <c r="AC462" s="8" t="str">
        <f aca="false">IF(AND(D462="Congé sans solde",F462="Congé sans solde"),0.333333333333333,IF(OR(AND(D462="Congé sans solde",F462&lt;&gt;"Congé sans solde"),(AND(F462="Congé sans solde",D462&lt;&gt;"Congé sans solde"))),0.166666666666667,""))</f>
        <v/>
      </c>
      <c r="AD462" s="8" t="str">
        <f aca="false">IF(AND(D462="Congé spécial",F462="Congé spécial"),0.333333333333333,IF(OR(AND(D462="Congé spécial",F462&lt;&gt;"Congé spécial"),AND(F462="Congé spécial",D462&lt;&gt;"Congé spécial")),0.166666666666667,""))</f>
        <v/>
      </c>
      <c r="AE462" s="8" t="str">
        <f aca="false">IF(AND(D462="Férié",F462="Férié"),0.333333333333333,IF(OR(AND(D462="Férié",F462&lt;&gt;"Férié"),(AND(F462="Férié",D462&lt;&gt;"Férié"))),0.166666666666667,""))</f>
        <v/>
      </c>
      <c r="AF462" s="18"/>
      <c r="AG462" s="18" t="s">
        <v>91</v>
      </c>
    </row>
    <row r="463" customFormat="false" ht="15" hidden="false" customHeight="false" outlineLevel="0" collapsed="false">
      <c r="A463" s="6" t="str">
        <f aca="false">YEAR(Q463-WEEKDAY(Q463,2)+4)&amp;"-S"&amp;TEXT(WEEKNUM(Q463,21),"00")</f>
        <v>2026-S12</v>
      </c>
      <c r="B463" s="18" t="s">
        <v>71</v>
      </c>
      <c r="C463" s="19" t="n">
        <v>0.332638888888889</v>
      </c>
      <c r="D463" s="19" t="n">
        <v>0.333333333333333</v>
      </c>
      <c r="E463" s="19" t="n">
        <v>0.708333333333333</v>
      </c>
      <c r="F463" s="19" t="n">
        <v>0.708333333333333</v>
      </c>
      <c r="G463" s="20"/>
      <c r="H463" s="20"/>
      <c r="I463" s="8" t="str">
        <f aca="false">IF(IF(OR(C463="",D463="Congé",D463="OFF",D463="Congé spécial"),"",IF(D463&gt;F463,D463-C463,IF(C463-D463&lt;0,0,C463-D463)))&lt;0.00068287037037037,"",IF(OR(D463="Congé",D463="OFF",C463="",D463="Congé spécial"),"",IF(D463&gt;F463,D463-C463,IF(C463-D463&lt;0,0,C463-D463))))</f>
        <v/>
      </c>
      <c r="J463" s="20"/>
      <c r="K463" s="8" t="n">
        <f aca="false">IF(SUM(H463:J463)&lt;0.00068287037037037,0,SUM(H463:J463))</f>
        <v>0</v>
      </c>
      <c r="L463" s="8" t="n">
        <f aca="false">IF(OR(F463="Congé",F463="OFF",M463="Abs",F463="Congé sans solde",F463="Férié",F463="Congé spécial",D463="Congé spécial"),0,IF(F463-E463&lt;0,0,IF(F463-E463&lt;=0.00068287037037037,0,F463-E463)))</f>
        <v>0</v>
      </c>
      <c r="M463" s="6" t="n">
        <f aca="false">IF(AND(O463&lt;&gt;0,C463=""),"Abs",0)</f>
        <v>0</v>
      </c>
      <c r="N463" s="8" t="n">
        <f aca="false">IFERROR(IF(OR(D463="OFF",D463="Congé",M463="Abs",D463="Congé sans solde",D463="Férié"),"",IF(O463-K463-L463&gt;O463,O463,IF(O463-K463-L463&lt;0,"",O463-K463-L463))),"")</f>
        <v>0.375</v>
      </c>
      <c r="O463" s="8" t="n">
        <f aca="false">IF(AG463="2H Pause déjeuner",IF(F463-D463-0.0833333333333333&lt;0,F463-D463-0.0833333333333333+1,F463-D463-0.0833333333333333),IF(OR(AND(F463="OFF",D463="OFF"),AND(F463="Congé",D463="Congé"),AND(F463="Congé sans solde",D463="Congé sans solde"),AND(F463="Congé spécial",D463="Congé spécial"),AND(F463="Férié",D463="Férié"),AND(F463="OFF",D463="Congé"),AND(F463="OFF",D463="Congé sans solde"),AND(F463="OFF",D463="Congé spécial"),AND(F463="OFF",D463="Férié"),AND(F463="Congé",D463="OFF"),AND(F463="Congé",D463="Congé sans solde"),AND(F463="Congé",D463="Congé spécial"),AND(F463="Congé",D463="Férié"),AND(F463="Congé sans solde",D463="OFF"),AND(F463="Congé sans solde",D463="Congé"),AND(F463="Congé sans solde",D463="Congé spécial"),AND(F463="Congé sans solde",D463="Férié"),AND(F463="Congé spécial",D463="OFF"),AND(F463="Congé spécial",D463="Congé"),AND(F463="Congé spécial",D463="Congé sans solde"),AND(F463="Congé spécial",D463="Férié"),AND(F463="Férié",D463="OFF"),AND(F463="Férié",D463="Congé"),AND(F463="Férié",D463="Congé sans solde"),AND(F463="Férié",D463="Congé spécial")),0,IF(OR(F463="OFF",F463="Congé",F463="Congé spécial",F463="Congé sans solde",D463="OFF",D463="Congé",D463="Congé spécial",D463="Congé sans solde"),0.208333333333334,IF(AND(AG463="",F463-D463&lt;0),("24:00:00"-D463)+("00:00:00"+F463)-0.0416666666666667,IF(AND(OR(AG463="Allaitement",AG463="Sans déjeuner"),F463-D463&lt;0),("24:00:00"-D463)+("00:00:00"+F463),IF(AND(AG463="",F463-D463&gt;0.166666666666667),F463-D463-0.0416666666666667,IF(AND(OR(AG463="Allaitement",AG463="Sans déjeuner"),F463-D463&gt;0.166666666666667),F463-D463,F463-D463)))))))</f>
        <v>0.375</v>
      </c>
      <c r="P463" s="6" t="str">
        <f aca="false">IFERROR(VLOOKUP($B463,Agents!$A:$D,2,0),"-")</f>
        <v>Accessibilité</v>
      </c>
      <c r="Q463" s="21" t="n">
        <v>46097</v>
      </c>
      <c r="R463" s="8" t="n">
        <f aca="false">IF(M463="Abs",O463,0)</f>
        <v>0</v>
      </c>
      <c r="S463" s="8" t="n">
        <f aca="false">SUM(R463,L463,I463,J463,W463,H463)</f>
        <v>0</v>
      </c>
      <c r="T463" s="6" t="str">
        <f aca="false">"Sem - "&amp;WEEKNUM(Q463,21)</f>
        <v>Sem - 12</v>
      </c>
      <c r="U463" s="6" t="str">
        <f aca="false">CHOOSE(MONTH(Q463),"Janvier","Février","Mars","Avril","Mai","Juin","Juillet","Août","Septembre","Octobre","Novembre","Décembre")</f>
        <v>Mars</v>
      </c>
      <c r="V463" s="22" t="n">
        <f aca="false">YEAR(Q463)</f>
        <v>2026</v>
      </c>
      <c r="W463" s="20"/>
      <c r="X463" s="8" t="n">
        <f aca="false">IFERROR(IF(M463="Abs",0,IF(ROUND((D463-C463+E463-F463)*1440,0)&lt;=1,0,D463-C463+E463-F463)),0)</f>
        <v>0</v>
      </c>
      <c r="Y463" s="6" t="str">
        <f aca="false">IFERROR(VLOOKUP($B463,Agents!$A:$D,3,0),"-")</f>
        <v>OUBRAHIM Mohammed</v>
      </c>
      <c r="Z463" s="6" t="str">
        <f aca="false">IFERROR(VLOOKUP($B463,Agents!$A:$D,4,0),"-")</f>
        <v>Credit Mutuel</v>
      </c>
      <c r="AA463" s="18" t="s">
        <v>94</v>
      </c>
      <c r="AB463" s="8" t="str">
        <f aca="false">IF(AND(D463="Congé",F463="Congé"),0.333333333333333,IF(OR(AND(D463="Congé",F463&lt;&gt;"Congé"),(AND(F463="Congé",D463&lt;&gt;"Congé"))),0.166666666666667,""))</f>
        <v/>
      </c>
      <c r="AC463" s="8" t="str">
        <f aca="false">IF(AND(D463="Congé sans solde",F463="Congé sans solde"),0.333333333333333,IF(OR(AND(D463="Congé sans solde",F463&lt;&gt;"Congé sans solde"),(AND(F463="Congé sans solde",D463&lt;&gt;"Congé sans solde"))),0.166666666666667,""))</f>
        <v/>
      </c>
      <c r="AD463" s="8" t="str">
        <f aca="false">IF(AND(D463="Congé spécial",F463="Congé spécial"),0.333333333333333,IF(OR(AND(D463="Congé spécial",F463&lt;&gt;"Congé spécial"),AND(F463="Congé spécial",D463&lt;&gt;"Congé spécial")),0.166666666666667,""))</f>
        <v/>
      </c>
      <c r="AE463" s="8" t="str">
        <f aca="false">IF(AND(D463="Férié",F463="Férié"),0.333333333333333,IF(OR(AND(D463="Férié",F463&lt;&gt;"Férié"),(AND(F463="Férié",D463&lt;&gt;"Férié"))),0.166666666666667,""))</f>
        <v/>
      </c>
      <c r="AF463" s="18"/>
      <c r="AG463" s="18" t="s">
        <v>91</v>
      </c>
    </row>
    <row r="464" customFormat="false" ht="15" hidden="false" customHeight="false" outlineLevel="0" collapsed="false">
      <c r="A464" s="6" t="str">
        <f aca="false">YEAR(Q464-WEEKDAY(Q464,2)+4)&amp;"-S"&amp;TEXT(WEEKNUM(Q464,21),"00")</f>
        <v>2026-S12</v>
      </c>
      <c r="B464" s="18" t="s">
        <v>72</v>
      </c>
      <c r="C464" s="19" t="n">
        <v>0.331944444444444</v>
      </c>
      <c r="D464" s="19" t="n">
        <v>0.333333333333333</v>
      </c>
      <c r="E464" s="19" t="n">
        <v>0.708333333333333</v>
      </c>
      <c r="F464" s="19" t="n">
        <v>0.708333333333333</v>
      </c>
      <c r="G464" s="20"/>
      <c r="H464" s="20"/>
      <c r="I464" s="8" t="str">
        <f aca="false">IF(IF(OR(C464="",D464="Congé",D464="OFF",D464="Congé spécial"),"",IF(D464&gt;F464,D464-C464,IF(C464-D464&lt;0,0,C464-D464)))&lt;0.00068287037037037,"",IF(OR(D464="Congé",D464="OFF",C464="",D464="Congé spécial"),"",IF(D464&gt;F464,D464-C464,IF(C464-D464&lt;0,0,C464-D464))))</f>
        <v/>
      </c>
      <c r="J464" s="20"/>
      <c r="K464" s="8" t="n">
        <f aca="false">IF(SUM(H464:J464)&lt;0.00068287037037037,0,SUM(H464:J464))</f>
        <v>0</v>
      </c>
      <c r="L464" s="8" t="n">
        <f aca="false">IF(OR(F464="Congé",F464="OFF",M464="Abs",F464="Congé sans solde",F464="Férié",F464="Congé spécial",D464="Congé spécial"),0,IF(F464-E464&lt;0,0,IF(F464-E464&lt;=0.00068287037037037,0,F464-E464)))</f>
        <v>0</v>
      </c>
      <c r="M464" s="6" t="n">
        <f aca="false">IF(AND(O464&lt;&gt;0,C464=""),"Abs",0)</f>
        <v>0</v>
      </c>
      <c r="N464" s="8" t="n">
        <f aca="false">IFERROR(IF(OR(D464="OFF",D464="Congé",M464="Abs",D464="Congé sans solde",D464="Férié"),"",IF(O464-K464-L464&gt;O464,O464,IF(O464-K464-L464&lt;0,"",O464-K464-L464))),"")</f>
        <v>0.375</v>
      </c>
      <c r="O464" s="8" t="n">
        <f aca="false">IF(AG464="2H Pause déjeuner",IF(F464-D464-0.0833333333333333&lt;0,F464-D464-0.0833333333333333+1,F464-D464-0.0833333333333333),IF(OR(AND(F464="OFF",D464="OFF"),AND(F464="Congé",D464="Congé"),AND(F464="Congé sans solde",D464="Congé sans solde"),AND(F464="Congé spécial",D464="Congé spécial"),AND(F464="Férié",D464="Férié"),AND(F464="OFF",D464="Congé"),AND(F464="OFF",D464="Congé sans solde"),AND(F464="OFF",D464="Congé spécial"),AND(F464="OFF",D464="Férié"),AND(F464="Congé",D464="OFF"),AND(F464="Congé",D464="Congé sans solde"),AND(F464="Congé",D464="Congé spécial"),AND(F464="Congé",D464="Férié"),AND(F464="Congé sans solde",D464="OFF"),AND(F464="Congé sans solde",D464="Congé"),AND(F464="Congé sans solde",D464="Congé spécial"),AND(F464="Congé sans solde",D464="Férié"),AND(F464="Congé spécial",D464="OFF"),AND(F464="Congé spécial",D464="Congé"),AND(F464="Congé spécial",D464="Congé sans solde"),AND(F464="Congé spécial",D464="Férié"),AND(F464="Férié",D464="OFF"),AND(F464="Férié",D464="Congé"),AND(F464="Férié",D464="Congé sans solde"),AND(F464="Férié",D464="Congé spécial")),0,IF(OR(F464="OFF",F464="Congé",F464="Congé spécial",F464="Congé sans solde",D464="OFF",D464="Congé",D464="Congé spécial",D464="Congé sans solde"),0.208333333333334,IF(AND(AG464="",F464-D464&lt;0),("24:00:00"-D464)+("00:00:00"+F464)-0.0416666666666667,IF(AND(OR(AG464="Allaitement",AG464="Sans déjeuner"),F464-D464&lt;0),("24:00:00"-D464)+("00:00:00"+F464),IF(AND(AG464="",F464-D464&gt;0.166666666666667),F464-D464-0.0416666666666667,IF(AND(OR(AG464="Allaitement",AG464="Sans déjeuner"),F464-D464&gt;0.166666666666667),F464-D464,F464-D464)))))))</f>
        <v>0.375</v>
      </c>
      <c r="P464" s="6" t="str">
        <f aca="false">IFERROR(VLOOKUP($B464,Agents!$A:$D,2,0),"-")</f>
        <v>Accessibilité</v>
      </c>
      <c r="Q464" s="21" t="n">
        <v>46097</v>
      </c>
      <c r="R464" s="8" t="n">
        <f aca="false">IF(M464="Abs",O464,0)</f>
        <v>0</v>
      </c>
      <c r="S464" s="8" t="n">
        <f aca="false">SUM(R464,L464,I464,J464,W464,H464)</f>
        <v>0</v>
      </c>
      <c r="T464" s="6" t="str">
        <f aca="false">"Sem - "&amp;WEEKNUM(Q464,21)</f>
        <v>Sem - 12</v>
      </c>
      <c r="U464" s="6" t="str">
        <f aca="false">CHOOSE(MONTH(Q464),"Janvier","Février","Mars","Avril","Mai","Juin","Juillet","Août","Septembre","Octobre","Novembre","Décembre")</f>
        <v>Mars</v>
      </c>
      <c r="V464" s="22" t="n">
        <f aca="false">YEAR(Q464)</f>
        <v>2026</v>
      </c>
      <c r="W464" s="20"/>
      <c r="X464" s="8" t="n">
        <f aca="false">IFERROR(IF(M464="Abs",0,IF(ROUND((D464-C464+E464-F464)*1440,0)&lt;=1,0,D464-C464+E464-F464)),0)</f>
        <v>0.00138888888888889</v>
      </c>
      <c r="Y464" s="6" t="str">
        <f aca="false">IFERROR(VLOOKUP($B464,Agents!$A:$D,3,0),"-")</f>
        <v>OUBRAHIM Mohammed</v>
      </c>
      <c r="Z464" s="6" t="str">
        <f aca="false">IFERROR(VLOOKUP($B464,Agents!$A:$D,4,0),"-")</f>
        <v>Credit Mutuel</v>
      </c>
      <c r="AA464" s="18" t="s">
        <v>94</v>
      </c>
      <c r="AB464" s="8" t="str">
        <f aca="false">IF(AND(D464="Congé",F464="Congé"),0.333333333333333,IF(OR(AND(D464="Congé",F464&lt;&gt;"Congé"),(AND(F464="Congé",D464&lt;&gt;"Congé"))),0.166666666666667,""))</f>
        <v/>
      </c>
      <c r="AC464" s="8" t="str">
        <f aca="false">IF(AND(D464="Congé sans solde",F464="Congé sans solde"),0.333333333333333,IF(OR(AND(D464="Congé sans solde",F464&lt;&gt;"Congé sans solde"),(AND(F464="Congé sans solde",D464&lt;&gt;"Congé sans solde"))),0.166666666666667,""))</f>
        <v/>
      </c>
      <c r="AD464" s="8" t="str">
        <f aca="false">IF(AND(D464="Congé spécial",F464="Congé spécial"),0.333333333333333,IF(OR(AND(D464="Congé spécial",F464&lt;&gt;"Congé spécial"),AND(F464="Congé spécial",D464&lt;&gt;"Congé spécial")),0.166666666666667,""))</f>
        <v/>
      </c>
      <c r="AE464" s="8" t="str">
        <f aca="false">IF(AND(D464="Férié",F464="Férié"),0.333333333333333,IF(OR(AND(D464="Férié",F464&lt;&gt;"Férié"),(AND(F464="Férié",D464&lt;&gt;"Férié"))),0.166666666666667,""))</f>
        <v/>
      </c>
      <c r="AF464" s="18"/>
      <c r="AG464" s="18" t="s">
        <v>91</v>
      </c>
    </row>
    <row r="465" customFormat="false" ht="15" hidden="false" customHeight="false" outlineLevel="0" collapsed="false">
      <c r="A465" s="6" t="str">
        <f aca="false">YEAR(Q465-WEEKDAY(Q465,2)+4)&amp;"-S"&amp;TEXT(WEEKNUM(Q465,21),"00")</f>
        <v>2026-S12</v>
      </c>
      <c r="B465" s="18" t="s">
        <v>73</v>
      </c>
      <c r="C465" s="19" t="n">
        <v>0.33125</v>
      </c>
      <c r="D465" s="19" t="n">
        <v>0.333333333333333</v>
      </c>
      <c r="E465" s="19" t="n">
        <v>0.708333333333333</v>
      </c>
      <c r="F465" s="19" t="n">
        <v>0.708333333333333</v>
      </c>
      <c r="G465" s="20"/>
      <c r="H465" s="20"/>
      <c r="I465" s="8" t="str">
        <f aca="false">IF(IF(OR(C465="",D465="Congé",D465="OFF",D465="Congé spécial"),"",IF(D465&gt;F465,D465-C465,IF(C465-D465&lt;0,0,C465-D465)))&lt;0.00068287037037037,"",IF(OR(D465="Congé",D465="OFF",C465="",D465="Congé spécial"),"",IF(D465&gt;F465,D465-C465,IF(C465-D465&lt;0,0,C465-D465))))</f>
        <v/>
      </c>
      <c r="J465" s="20"/>
      <c r="K465" s="8" t="n">
        <f aca="false">IF(SUM(H465:J465)&lt;0.00068287037037037,0,SUM(H465:J465))</f>
        <v>0</v>
      </c>
      <c r="L465" s="8" t="n">
        <f aca="false">IF(OR(F465="Congé",F465="OFF",M465="Abs",F465="Congé sans solde",F465="Férié",F465="Congé spécial",D465="Congé spécial"),0,IF(F465-E465&lt;0,0,IF(F465-E465&lt;=0.00068287037037037,0,F465-E465)))</f>
        <v>0</v>
      </c>
      <c r="M465" s="6" t="n">
        <f aca="false">IF(AND(O465&lt;&gt;0,C465=""),"Abs",0)</f>
        <v>0</v>
      </c>
      <c r="N465" s="8" t="n">
        <f aca="false">IFERROR(IF(OR(D465="OFF",D465="Congé",M465="Abs",D465="Congé sans solde",D465="Férié"),"",IF(O465-K465-L465&gt;O465,O465,IF(O465-K465-L465&lt;0,"",O465-K465-L465))),"")</f>
        <v>0.375</v>
      </c>
      <c r="O465" s="8" t="n">
        <f aca="false">IF(AG465="2H Pause déjeuner",IF(F465-D465-0.0833333333333333&lt;0,F465-D465-0.0833333333333333+1,F465-D465-0.0833333333333333),IF(OR(AND(F465="OFF",D465="OFF"),AND(F465="Congé",D465="Congé"),AND(F465="Congé sans solde",D465="Congé sans solde"),AND(F465="Congé spécial",D465="Congé spécial"),AND(F465="Férié",D465="Férié"),AND(F465="OFF",D465="Congé"),AND(F465="OFF",D465="Congé sans solde"),AND(F465="OFF",D465="Congé spécial"),AND(F465="OFF",D465="Férié"),AND(F465="Congé",D465="OFF"),AND(F465="Congé",D465="Congé sans solde"),AND(F465="Congé",D465="Congé spécial"),AND(F465="Congé",D465="Férié"),AND(F465="Congé sans solde",D465="OFF"),AND(F465="Congé sans solde",D465="Congé"),AND(F465="Congé sans solde",D465="Congé spécial"),AND(F465="Congé sans solde",D465="Férié"),AND(F465="Congé spécial",D465="OFF"),AND(F465="Congé spécial",D465="Congé"),AND(F465="Congé spécial",D465="Congé sans solde"),AND(F465="Congé spécial",D465="Férié"),AND(F465="Férié",D465="OFF"),AND(F465="Férié",D465="Congé"),AND(F465="Férié",D465="Congé sans solde"),AND(F465="Férié",D465="Congé spécial")),0,IF(OR(F465="OFF",F465="Congé",F465="Congé spécial",F465="Congé sans solde",D465="OFF",D465="Congé",D465="Congé spécial",D465="Congé sans solde"),0.208333333333334,IF(AND(AG465="",F465-D465&lt;0),("24:00:00"-D465)+("00:00:00"+F465)-0.0416666666666667,IF(AND(OR(AG465="Allaitement",AG465="Sans déjeuner"),F465-D465&lt;0),("24:00:00"-D465)+("00:00:00"+F465),IF(AND(AG465="",F465-D465&gt;0.166666666666667),F465-D465-0.0416666666666667,IF(AND(OR(AG465="Allaitement",AG465="Sans déjeuner"),F465-D465&gt;0.166666666666667),F465-D465,F465-D465)))))))</f>
        <v>0.375</v>
      </c>
      <c r="P465" s="6" t="str">
        <f aca="false">IFERROR(VLOOKUP($B465,Agents!$A:$D,2,0),"-")</f>
        <v>Accessibilité</v>
      </c>
      <c r="Q465" s="21" t="n">
        <v>46097</v>
      </c>
      <c r="R465" s="8" t="n">
        <f aca="false">IF(M465="Abs",O465,0)</f>
        <v>0</v>
      </c>
      <c r="S465" s="8" t="n">
        <f aca="false">SUM(R465,L465,I465,J465,W465,H465)</f>
        <v>0</v>
      </c>
      <c r="T465" s="6" t="str">
        <f aca="false">"Sem - "&amp;WEEKNUM(Q465,21)</f>
        <v>Sem - 12</v>
      </c>
      <c r="U465" s="6" t="str">
        <f aca="false">CHOOSE(MONTH(Q465),"Janvier","Février","Mars","Avril","Mai","Juin","Juillet","Août","Septembre","Octobre","Novembre","Décembre")</f>
        <v>Mars</v>
      </c>
      <c r="V465" s="22" t="n">
        <f aca="false">YEAR(Q465)</f>
        <v>2026</v>
      </c>
      <c r="W465" s="20"/>
      <c r="X465" s="8" t="n">
        <f aca="false">IFERROR(IF(M465="Abs",0,IF(ROUND((D465-C465+E465-F465)*1440,0)&lt;=1,0,D465-C465+E465-F465)),0)</f>
        <v>0.00208333333333333</v>
      </c>
      <c r="Y465" s="6" t="str">
        <f aca="false">IFERROR(VLOOKUP($B465,Agents!$A:$D,3,0),"-")</f>
        <v>OUBRAHIM Mohammed</v>
      </c>
      <c r="Z465" s="6" t="str">
        <f aca="false">IFERROR(VLOOKUP($B465,Agents!$A:$D,4,0),"-")</f>
        <v>Credit Mutuel</v>
      </c>
      <c r="AA465" s="18" t="s">
        <v>94</v>
      </c>
      <c r="AB465" s="8" t="str">
        <f aca="false">IF(AND(D465="Congé",F465="Congé"),0.333333333333333,IF(OR(AND(D465="Congé",F465&lt;&gt;"Congé"),(AND(F465="Congé",D465&lt;&gt;"Congé"))),0.166666666666667,""))</f>
        <v/>
      </c>
      <c r="AC465" s="8" t="str">
        <f aca="false">IF(AND(D465="Congé sans solde",F465="Congé sans solde"),0.333333333333333,IF(OR(AND(D465="Congé sans solde",F465&lt;&gt;"Congé sans solde"),(AND(F465="Congé sans solde",D465&lt;&gt;"Congé sans solde"))),0.166666666666667,""))</f>
        <v/>
      </c>
      <c r="AD465" s="8" t="str">
        <f aca="false">IF(AND(D465="Congé spécial",F465="Congé spécial"),0.333333333333333,IF(OR(AND(D465="Congé spécial",F465&lt;&gt;"Congé spécial"),AND(F465="Congé spécial",D465&lt;&gt;"Congé spécial")),0.166666666666667,""))</f>
        <v/>
      </c>
      <c r="AE465" s="8" t="str">
        <f aca="false">IF(AND(D465="Férié",F465="Férié"),0.333333333333333,IF(OR(AND(D465="Férié",F465&lt;&gt;"Férié"),(AND(F465="Férié",D465&lt;&gt;"Férié"))),0.166666666666667,""))</f>
        <v/>
      </c>
      <c r="AF465" s="18"/>
      <c r="AG465" s="18" t="s">
        <v>91</v>
      </c>
    </row>
    <row r="466" customFormat="false" ht="15" hidden="false" customHeight="false" outlineLevel="0" collapsed="false">
      <c r="A466" s="6" t="str">
        <f aca="false">YEAR(Q466-WEEKDAY(Q466,2)+4)&amp;"-S"&amp;TEXT(WEEKNUM(Q466,21),"00")</f>
        <v>2026-S12</v>
      </c>
      <c r="B466" s="18" t="s">
        <v>69</v>
      </c>
      <c r="C466" s="19" t="n">
        <v>0.332638888888889</v>
      </c>
      <c r="D466" s="19" t="n">
        <v>0.333333333333333</v>
      </c>
      <c r="E466" s="19" t="n">
        <v>0.708333333333333</v>
      </c>
      <c r="F466" s="19" t="n">
        <v>0.708333333333333</v>
      </c>
      <c r="G466" s="20"/>
      <c r="H466" s="20"/>
      <c r="I466" s="8" t="str">
        <f aca="false">IF(IF(OR(C466="",D466="Congé",D466="OFF",D466="Congé spécial"),"",IF(D466&gt;F466,D466-C466,IF(C466-D466&lt;0,0,C466-D466)))&lt;0.00068287037037037,"",IF(OR(D466="Congé",D466="OFF",C466="",D466="Congé spécial"),"",IF(D466&gt;F466,D466-C466,IF(C466-D466&lt;0,0,C466-D466))))</f>
        <v/>
      </c>
      <c r="J466" s="20"/>
      <c r="K466" s="8" t="n">
        <f aca="false">IF(SUM(H466:J466)&lt;0.00068287037037037,0,SUM(H466:J466))</f>
        <v>0</v>
      </c>
      <c r="L466" s="8" t="n">
        <f aca="false">IF(OR(F466="Congé",F466="OFF",M466="Abs",F466="Congé sans solde",F466="Férié",F466="Congé spécial",D466="Congé spécial"),0,IF(F466-E466&lt;0,0,IF(F466-E466&lt;=0.00068287037037037,0,F466-E466)))</f>
        <v>0</v>
      </c>
      <c r="M466" s="6" t="n">
        <f aca="false">IF(AND(O466&lt;&gt;0,C466=""),"Abs",0)</f>
        <v>0</v>
      </c>
      <c r="N466" s="8" t="n">
        <f aca="false">IFERROR(IF(OR(D466="OFF",D466="Congé",M466="Abs",D466="Congé sans solde",D466="Férié"),"",IF(O466-K466-L466&gt;O466,O466,IF(O466-K466-L466&lt;0,"",O466-K466-L466))),"")</f>
        <v>0.375</v>
      </c>
      <c r="O466" s="8" t="n">
        <f aca="false">IF(AG466="2H Pause déjeuner",IF(F466-D466-0.0833333333333333&lt;0,F466-D466-0.0833333333333333+1,F466-D466-0.0833333333333333),IF(OR(AND(F466="OFF",D466="OFF"),AND(F466="Congé",D466="Congé"),AND(F466="Congé sans solde",D466="Congé sans solde"),AND(F466="Congé spécial",D466="Congé spécial"),AND(F466="Férié",D466="Férié"),AND(F466="OFF",D466="Congé"),AND(F466="OFF",D466="Congé sans solde"),AND(F466="OFF",D466="Congé spécial"),AND(F466="OFF",D466="Férié"),AND(F466="Congé",D466="OFF"),AND(F466="Congé",D466="Congé sans solde"),AND(F466="Congé",D466="Congé spécial"),AND(F466="Congé",D466="Férié"),AND(F466="Congé sans solde",D466="OFF"),AND(F466="Congé sans solde",D466="Congé"),AND(F466="Congé sans solde",D466="Congé spécial"),AND(F466="Congé sans solde",D466="Férié"),AND(F466="Congé spécial",D466="OFF"),AND(F466="Congé spécial",D466="Congé"),AND(F466="Congé spécial",D466="Congé sans solde"),AND(F466="Congé spécial",D466="Férié"),AND(F466="Férié",D466="OFF"),AND(F466="Férié",D466="Congé"),AND(F466="Férié",D466="Congé sans solde"),AND(F466="Férié",D466="Congé spécial")),0,IF(OR(F466="OFF",F466="Congé",F466="Congé spécial",F466="Congé sans solde",D466="OFF",D466="Congé",D466="Congé spécial",D466="Congé sans solde"),0.208333333333334,IF(AND(AG466="",F466-D466&lt;0),("24:00:00"-D466)+("00:00:00"+F466)-0.0416666666666667,IF(AND(OR(AG466="Allaitement",AG466="Sans déjeuner"),F466-D466&lt;0),("24:00:00"-D466)+("00:00:00"+F466),IF(AND(AG466="",F466-D466&gt;0.166666666666667),F466-D466-0.0416666666666667,IF(AND(OR(AG466="Allaitement",AG466="Sans déjeuner"),F466-D466&gt;0.166666666666667),F466-D466,F466-D466)))))))</f>
        <v>0.375</v>
      </c>
      <c r="P466" s="6" t="str">
        <f aca="false">IFERROR(VLOOKUP($B466,Agents!$A:$D,2,0),"-")</f>
        <v>Accessibilité</v>
      </c>
      <c r="Q466" s="21" t="n">
        <v>46098</v>
      </c>
      <c r="R466" s="8" t="n">
        <f aca="false">IF(M466="Abs",O466,0)</f>
        <v>0</v>
      </c>
      <c r="S466" s="8" t="n">
        <f aca="false">SUM(R466,L466,I466,J466,W466,H466)</f>
        <v>0</v>
      </c>
      <c r="T466" s="6" t="str">
        <f aca="false">"Sem - "&amp;WEEKNUM(Q466,21)</f>
        <v>Sem - 12</v>
      </c>
      <c r="U466" s="6" t="str">
        <f aca="false">CHOOSE(MONTH(Q466),"Janvier","Février","Mars","Avril","Mai","Juin","Juillet","Août","Septembre","Octobre","Novembre","Décembre")</f>
        <v>Mars</v>
      </c>
      <c r="V466" s="22" t="n">
        <f aca="false">YEAR(Q466)</f>
        <v>2026</v>
      </c>
      <c r="W466" s="20"/>
      <c r="X466" s="8" t="n">
        <f aca="false">IFERROR(IF(M466="Abs",0,IF(ROUND((D466-C466+E466-F466)*1440,0)&lt;=1,0,D466-C466+E466-F466)),0)</f>
        <v>0</v>
      </c>
      <c r="Y466" s="6" t="str">
        <f aca="false">IFERROR(VLOOKUP($B466,Agents!$A:$D,3,0),"-")</f>
        <v>OUBRAHIM Mohammed</v>
      </c>
      <c r="Z466" s="6" t="str">
        <f aca="false">IFERROR(VLOOKUP($B466,Agents!$A:$D,4,0),"-")</f>
        <v>Credit Mutuel</v>
      </c>
      <c r="AA466" s="18" t="s">
        <v>94</v>
      </c>
      <c r="AB466" s="8" t="str">
        <f aca="false">IF(AND(D466="Congé",F466="Congé"),0.333333333333333,IF(OR(AND(D466="Congé",F466&lt;&gt;"Congé"),(AND(F466="Congé",D466&lt;&gt;"Congé"))),0.166666666666667,""))</f>
        <v/>
      </c>
      <c r="AC466" s="8" t="str">
        <f aca="false">IF(AND(D466="Congé sans solde",F466="Congé sans solde"),0.333333333333333,IF(OR(AND(D466="Congé sans solde",F466&lt;&gt;"Congé sans solde"),(AND(F466="Congé sans solde",D466&lt;&gt;"Congé sans solde"))),0.166666666666667,""))</f>
        <v/>
      </c>
      <c r="AD466" s="8" t="str">
        <f aca="false">IF(AND(D466="Congé spécial",F466="Congé spécial"),0.333333333333333,IF(OR(AND(D466="Congé spécial",F466&lt;&gt;"Congé spécial"),AND(F466="Congé spécial",D466&lt;&gt;"Congé spécial")),0.166666666666667,""))</f>
        <v/>
      </c>
      <c r="AE466" s="8" t="str">
        <f aca="false">IF(AND(D466="Férié",F466="Férié"),0.333333333333333,IF(OR(AND(D466="Férié",F466&lt;&gt;"Férié"),(AND(F466="Férié",D466&lt;&gt;"Férié"))),0.166666666666667,""))</f>
        <v/>
      </c>
      <c r="AF466" s="18"/>
      <c r="AG466" s="18" t="s">
        <v>91</v>
      </c>
    </row>
    <row r="467" customFormat="false" ht="15" hidden="false" customHeight="false" outlineLevel="0" collapsed="false">
      <c r="A467" s="6" t="str">
        <f aca="false">YEAR(Q467-WEEKDAY(Q467,2)+4)&amp;"-S"&amp;TEXT(WEEKNUM(Q467,21),"00")</f>
        <v>2026-S12</v>
      </c>
      <c r="B467" s="18" t="s">
        <v>71</v>
      </c>
      <c r="C467" s="19" t="n">
        <v>0.331944444444444</v>
      </c>
      <c r="D467" s="19" t="n">
        <v>0.333333333333333</v>
      </c>
      <c r="E467" s="19" t="n">
        <v>0.708333333333333</v>
      </c>
      <c r="F467" s="19" t="n">
        <v>0.708333333333333</v>
      </c>
      <c r="G467" s="20"/>
      <c r="H467" s="20"/>
      <c r="I467" s="8" t="str">
        <f aca="false">IF(IF(OR(C467="",D467="Congé",D467="OFF",D467="Congé spécial"),"",IF(D467&gt;F467,D467-C467,IF(C467-D467&lt;0,0,C467-D467)))&lt;0.00068287037037037,"",IF(OR(D467="Congé",D467="OFF",C467="",D467="Congé spécial"),"",IF(D467&gt;F467,D467-C467,IF(C467-D467&lt;0,0,C467-D467))))</f>
        <v/>
      </c>
      <c r="J467" s="20"/>
      <c r="K467" s="8" t="n">
        <f aca="false">IF(SUM(H467:J467)&lt;0.00068287037037037,0,SUM(H467:J467))</f>
        <v>0</v>
      </c>
      <c r="L467" s="8" t="n">
        <f aca="false">IF(OR(F467="Congé",F467="OFF",M467="Abs",F467="Congé sans solde",F467="Férié",F467="Congé spécial",D467="Congé spécial"),0,IF(F467-E467&lt;0,0,IF(F467-E467&lt;=0.00068287037037037,0,F467-E467)))</f>
        <v>0</v>
      </c>
      <c r="M467" s="6" t="n">
        <f aca="false">IF(AND(O467&lt;&gt;0,C467=""),"Abs",0)</f>
        <v>0</v>
      </c>
      <c r="N467" s="8" t="n">
        <f aca="false">IFERROR(IF(OR(D467="OFF",D467="Congé",M467="Abs",D467="Congé sans solde",D467="Férié"),"",IF(O467-K467-L467&gt;O467,O467,IF(O467-K467-L467&lt;0,"",O467-K467-L467))),"")</f>
        <v>0.375</v>
      </c>
      <c r="O467" s="8" t="n">
        <f aca="false">IF(AG467="2H Pause déjeuner",IF(F467-D467-0.0833333333333333&lt;0,F467-D467-0.0833333333333333+1,F467-D467-0.0833333333333333),IF(OR(AND(F467="OFF",D467="OFF"),AND(F467="Congé",D467="Congé"),AND(F467="Congé sans solde",D467="Congé sans solde"),AND(F467="Congé spécial",D467="Congé spécial"),AND(F467="Férié",D467="Férié"),AND(F467="OFF",D467="Congé"),AND(F467="OFF",D467="Congé sans solde"),AND(F467="OFF",D467="Congé spécial"),AND(F467="OFF",D467="Férié"),AND(F467="Congé",D467="OFF"),AND(F467="Congé",D467="Congé sans solde"),AND(F467="Congé",D467="Congé spécial"),AND(F467="Congé",D467="Férié"),AND(F467="Congé sans solde",D467="OFF"),AND(F467="Congé sans solde",D467="Congé"),AND(F467="Congé sans solde",D467="Congé spécial"),AND(F467="Congé sans solde",D467="Férié"),AND(F467="Congé spécial",D467="OFF"),AND(F467="Congé spécial",D467="Congé"),AND(F467="Congé spécial",D467="Congé sans solde"),AND(F467="Congé spécial",D467="Férié"),AND(F467="Férié",D467="OFF"),AND(F467="Férié",D467="Congé"),AND(F467="Férié",D467="Congé sans solde"),AND(F467="Férié",D467="Congé spécial")),0,IF(OR(F467="OFF",F467="Congé",F467="Congé spécial",F467="Congé sans solde",D467="OFF",D467="Congé",D467="Congé spécial",D467="Congé sans solde"),0.208333333333334,IF(AND(AG467="",F467-D467&lt;0),("24:00:00"-D467)+("00:00:00"+F467)-0.0416666666666667,IF(AND(OR(AG467="Allaitement",AG467="Sans déjeuner"),F467-D467&lt;0),("24:00:00"-D467)+("00:00:00"+F467),IF(AND(AG467="",F467-D467&gt;0.166666666666667),F467-D467-0.0416666666666667,IF(AND(OR(AG467="Allaitement",AG467="Sans déjeuner"),F467-D467&gt;0.166666666666667),F467-D467,F467-D467)))))))</f>
        <v>0.375</v>
      </c>
      <c r="P467" s="6" t="str">
        <f aca="false">IFERROR(VLOOKUP($B467,Agents!$A:$D,2,0),"-")</f>
        <v>Accessibilité</v>
      </c>
      <c r="Q467" s="21" t="n">
        <v>46098</v>
      </c>
      <c r="R467" s="8" t="n">
        <f aca="false">IF(M467="Abs",O467,0)</f>
        <v>0</v>
      </c>
      <c r="S467" s="8" t="n">
        <f aca="false">SUM(R467,L467,I467,J467,W467,H467)</f>
        <v>0</v>
      </c>
      <c r="T467" s="6" t="str">
        <f aca="false">"Sem - "&amp;WEEKNUM(Q467,21)</f>
        <v>Sem - 12</v>
      </c>
      <c r="U467" s="6" t="str">
        <f aca="false">CHOOSE(MONTH(Q467),"Janvier","Février","Mars","Avril","Mai","Juin","Juillet","Août","Septembre","Octobre","Novembre","Décembre")</f>
        <v>Mars</v>
      </c>
      <c r="V467" s="22" t="n">
        <f aca="false">YEAR(Q467)</f>
        <v>2026</v>
      </c>
      <c r="W467" s="20"/>
      <c r="X467" s="8" t="n">
        <f aca="false">IFERROR(IF(M467="Abs",0,IF(ROUND((D467-C467+E467-F467)*1440,0)&lt;=1,0,D467-C467+E467-F467)),0)</f>
        <v>0.00138888888888889</v>
      </c>
      <c r="Y467" s="6" t="str">
        <f aca="false">IFERROR(VLOOKUP($B467,Agents!$A:$D,3,0),"-")</f>
        <v>OUBRAHIM Mohammed</v>
      </c>
      <c r="Z467" s="6" t="str">
        <f aca="false">IFERROR(VLOOKUP($B467,Agents!$A:$D,4,0),"-")</f>
        <v>Credit Mutuel</v>
      </c>
      <c r="AA467" s="18" t="s">
        <v>94</v>
      </c>
      <c r="AB467" s="8" t="str">
        <f aca="false">IF(AND(D467="Congé",F467="Congé"),0.333333333333333,IF(OR(AND(D467="Congé",F467&lt;&gt;"Congé"),(AND(F467="Congé",D467&lt;&gt;"Congé"))),0.166666666666667,""))</f>
        <v/>
      </c>
      <c r="AC467" s="8" t="str">
        <f aca="false">IF(AND(D467="Congé sans solde",F467="Congé sans solde"),0.333333333333333,IF(OR(AND(D467="Congé sans solde",F467&lt;&gt;"Congé sans solde"),(AND(F467="Congé sans solde",D467&lt;&gt;"Congé sans solde"))),0.166666666666667,""))</f>
        <v/>
      </c>
      <c r="AD467" s="8" t="str">
        <f aca="false">IF(AND(D467="Congé spécial",F467="Congé spécial"),0.333333333333333,IF(OR(AND(D467="Congé spécial",F467&lt;&gt;"Congé spécial"),AND(F467="Congé spécial",D467&lt;&gt;"Congé spécial")),0.166666666666667,""))</f>
        <v/>
      </c>
      <c r="AE467" s="8" t="str">
        <f aca="false">IF(AND(D467="Férié",F467="Férié"),0.333333333333333,IF(OR(AND(D467="Férié",F467&lt;&gt;"Férié"),(AND(F467="Férié",D467&lt;&gt;"Férié"))),0.166666666666667,""))</f>
        <v/>
      </c>
      <c r="AF467" s="18"/>
      <c r="AG467" s="18" t="s">
        <v>91</v>
      </c>
    </row>
    <row r="468" customFormat="false" ht="15" hidden="false" customHeight="false" outlineLevel="0" collapsed="false">
      <c r="A468" s="6" t="str">
        <f aca="false">YEAR(Q468-WEEKDAY(Q468,2)+4)&amp;"-S"&amp;TEXT(WEEKNUM(Q468,21),"00")</f>
        <v>2026-S12</v>
      </c>
      <c r="B468" s="18" t="s">
        <v>72</v>
      </c>
      <c r="C468" s="19" t="n">
        <v>0.331944444444444</v>
      </c>
      <c r="D468" s="19" t="n">
        <v>0.333333333333333</v>
      </c>
      <c r="E468" s="19" t="n">
        <v>0.708333333333333</v>
      </c>
      <c r="F468" s="19" t="n">
        <v>0.708333333333333</v>
      </c>
      <c r="G468" s="20"/>
      <c r="H468" s="20"/>
      <c r="I468" s="8" t="str">
        <f aca="false">IF(IF(OR(C468="",D468="Congé",D468="OFF",D468="Congé spécial"),"",IF(D468&gt;F468,D468-C468,IF(C468-D468&lt;0,0,C468-D468)))&lt;0.00068287037037037,"",IF(OR(D468="Congé",D468="OFF",C468="",D468="Congé spécial"),"",IF(D468&gt;F468,D468-C468,IF(C468-D468&lt;0,0,C468-D468))))</f>
        <v/>
      </c>
      <c r="J468" s="20"/>
      <c r="K468" s="8" t="n">
        <f aca="false">IF(SUM(H468:J468)&lt;0.00068287037037037,0,SUM(H468:J468))</f>
        <v>0</v>
      </c>
      <c r="L468" s="8" t="n">
        <f aca="false">IF(OR(F468="Congé",F468="OFF",M468="Abs",F468="Congé sans solde",F468="Férié",F468="Congé spécial",D468="Congé spécial"),0,IF(F468-E468&lt;0,0,IF(F468-E468&lt;=0.00068287037037037,0,F468-E468)))</f>
        <v>0</v>
      </c>
      <c r="M468" s="6" t="n">
        <f aca="false">IF(AND(O468&lt;&gt;0,C468=""),"Abs",0)</f>
        <v>0</v>
      </c>
      <c r="N468" s="8" t="n">
        <f aca="false">IFERROR(IF(OR(D468="OFF",D468="Congé",M468="Abs",D468="Congé sans solde",D468="Férié"),"",IF(O468-K468-L468&gt;O468,O468,IF(O468-K468-L468&lt;0,"",O468-K468-L468))),"")</f>
        <v>0.375</v>
      </c>
      <c r="O468" s="8" t="n">
        <f aca="false">IF(AG468="2H Pause déjeuner",IF(F468-D468-0.0833333333333333&lt;0,F468-D468-0.0833333333333333+1,F468-D468-0.0833333333333333),IF(OR(AND(F468="OFF",D468="OFF"),AND(F468="Congé",D468="Congé"),AND(F468="Congé sans solde",D468="Congé sans solde"),AND(F468="Congé spécial",D468="Congé spécial"),AND(F468="Férié",D468="Férié"),AND(F468="OFF",D468="Congé"),AND(F468="OFF",D468="Congé sans solde"),AND(F468="OFF",D468="Congé spécial"),AND(F468="OFF",D468="Férié"),AND(F468="Congé",D468="OFF"),AND(F468="Congé",D468="Congé sans solde"),AND(F468="Congé",D468="Congé spécial"),AND(F468="Congé",D468="Férié"),AND(F468="Congé sans solde",D468="OFF"),AND(F468="Congé sans solde",D468="Congé"),AND(F468="Congé sans solde",D468="Congé spécial"),AND(F468="Congé sans solde",D468="Férié"),AND(F468="Congé spécial",D468="OFF"),AND(F468="Congé spécial",D468="Congé"),AND(F468="Congé spécial",D468="Congé sans solde"),AND(F468="Congé spécial",D468="Férié"),AND(F468="Férié",D468="OFF"),AND(F468="Férié",D468="Congé"),AND(F468="Férié",D468="Congé sans solde"),AND(F468="Férié",D468="Congé spécial")),0,IF(OR(F468="OFF",F468="Congé",F468="Congé spécial",F468="Congé sans solde",D468="OFF",D468="Congé",D468="Congé spécial",D468="Congé sans solde"),0.208333333333334,IF(AND(AG468="",F468-D468&lt;0),("24:00:00"-D468)+("00:00:00"+F468)-0.0416666666666667,IF(AND(OR(AG468="Allaitement",AG468="Sans déjeuner"),F468-D468&lt;0),("24:00:00"-D468)+("00:00:00"+F468),IF(AND(AG468="",F468-D468&gt;0.166666666666667),F468-D468-0.0416666666666667,IF(AND(OR(AG468="Allaitement",AG468="Sans déjeuner"),F468-D468&gt;0.166666666666667),F468-D468,F468-D468)))))))</f>
        <v>0.375</v>
      </c>
      <c r="P468" s="6" t="str">
        <f aca="false">IFERROR(VLOOKUP($B468,Agents!$A:$D,2,0),"-")</f>
        <v>Accessibilité</v>
      </c>
      <c r="Q468" s="21" t="n">
        <v>46098</v>
      </c>
      <c r="R468" s="8" t="n">
        <f aca="false">IF(M468="Abs",O468,0)</f>
        <v>0</v>
      </c>
      <c r="S468" s="8" t="n">
        <f aca="false">SUM(R468,L468,I468,J468,W468,H468)</f>
        <v>0</v>
      </c>
      <c r="T468" s="6" t="str">
        <f aca="false">"Sem - "&amp;WEEKNUM(Q468,21)</f>
        <v>Sem - 12</v>
      </c>
      <c r="U468" s="6" t="str">
        <f aca="false">CHOOSE(MONTH(Q468),"Janvier","Février","Mars","Avril","Mai","Juin","Juillet","Août","Septembre","Octobre","Novembre","Décembre")</f>
        <v>Mars</v>
      </c>
      <c r="V468" s="22" t="n">
        <f aca="false">YEAR(Q468)</f>
        <v>2026</v>
      </c>
      <c r="W468" s="20"/>
      <c r="X468" s="8" t="n">
        <f aca="false">IFERROR(IF(M468="Abs",0,IF(ROUND((D468-C468+E468-F468)*1440,0)&lt;=1,0,D468-C468+E468-F468)),0)</f>
        <v>0.00138888888888889</v>
      </c>
      <c r="Y468" s="6" t="str">
        <f aca="false">IFERROR(VLOOKUP($B468,Agents!$A:$D,3,0),"-")</f>
        <v>OUBRAHIM Mohammed</v>
      </c>
      <c r="Z468" s="6" t="str">
        <f aca="false">IFERROR(VLOOKUP($B468,Agents!$A:$D,4,0),"-")</f>
        <v>Credit Mutuel</v>
      </c>
      <c r="AA468" s="18" t="s">
        <v>94</v>
      </c>
      <c r="AB468" s="8" t="str">
        <f aca="false">IF(AND(D468="Congé",F468="Congé"),0.333333333333333,IF(OR(AND(D468="Congé",F468&lt;&gt;"Congé"),(AND(F468="Congé",D468&lt;&gt;"Congé"))),0.166666666666667,""))</f>
        <v/>
      </c>
      <c r="AC468" s="8" t="str">
        <f aca="false">IF(AND(D468="Congé sans solde",F468="Congé sans solde"),0.333333333333333,IF(OR(AND(D468="Congé sans solde",F468&lt;&gt;"Congé sans solde"),(AND(F468="Congé sans solde",D468&lt;&gt;"Congé sans solde"))),0.166666666666667,""))</f>
        <v/>
      </c>
      <c r="AD468" s="8" t="str">
        <f aca="false">IF(AND(D468="Congé spécial",F468="Congé spécial"),0.333333333333333,IF(OR(AND(D468="Congé spécial",F468&lt;&gt;"Congé spécial"),AND(F468="Congé spécial",D468&lt;&gt;"Congé spécial")),0.166666666666667,""))</f>
        <v/>
      </c>
      <c r="AE468" s="8" t="str">
        <f aca="false">IF(AND(D468="Férié",F468="Férié"),0.333333333333333,IF(OR(AND(D468="Férié",F468&lt;&gt;"Férié"),(AND(F468="Férié",D468&lt;&gt;"Férié"))),0.166666666666667,""))</f>
        <v/>
      </c>
      <c r="AF468" s="18"/>
      <c r="AG468" s="18" t="s">
        <v>91</v>
      </c>
    </row>
    <row r="469" customFormat="false" ht="15" hidden="false" customHeight="false" outlineLevel="0" collapsed="false">
      <c r="A469" s="6" t="str">
        <f aca="false">YEAR(Q469-WEEKDAY(Q469,2)+4)&amp;"-S"&amp;TEXT(WEEKNUM(Q469,21),"00")</f>
        <v>2026-S12</v>
      </c>
      <c r="B469" s="18" t="s">
        <v>73</v>
      </c>
      <c r="C469" s="19" t="n">
        <v>0.332638888888889</v>
      </c>
      <c r="D469" s="19" t="n">
        <v>0.333333333333333</v>
      </c>
      <c r="E469" s="19" t="n">
        <v>0.708333333333333</v>
      </c>
      <c r="F469" s="19" t="n">
        <v>0.708333333333333</v>
      </c>
      <c r="G469" s="20"/>
      <c r="H469" s="20"/>
      <c r="I469" s="8" t="str">
        <f aca="false">IF(IF(OR(C469="",D469="Congé",D469="OFF",D469="Congé spécial"),"",IF(D469&gt;F469,D469-C469,IF(C469-D469&lt;0,0,C469-D469)))&lt;0.00068287037037037,"",IF(OR(D469="Congé",D469="OFF",C469="",D469="Congé spécial"),"",IF(D469&gt;F469,D469-C469,IF(C469-D469&lt;0,0,C469-D469))))</f>
        <v/>
      </c>
      <c r="J469" s="20"/>
      <c r="K469" s="8" t="n">
        <f aca="false">IF(SUM(H469:J469)&lt;0.00068287037037037,0,SUM(H469:J469))</f>
        <v>0</v>
      </c>
      <c r="L469" s="8" t="n">
        <f aca="false">IF(OR(F469="Congé",F469="OFF",M469="Abs",F469="Congé sans solde",F469="Férié",F469="Congé spécial",D469="Congé spécial"),0,IF(F469-E469&lt;0,0,IF(F469-E469&lt;=0.00068287037037037,0,F469-E469)))</f>
        <v>0</v>
      </c>
      <c r="M469" s="6" t="n">
        <f aca="false">IF(AND(O469&lt;&gt;0,C469=""),"Abs",0)</f>
        <v>0</v>
      </c>
      <c r="N469" s="8" t="n">
        <f aca="false">IFERROR(IF(OR(D469="OFF",D469="Congé",M469="Abs",D469="Congé sans solde",D469="Férié"),"",IF(O469-K469-L469&gt;O469,O469,IF(O469-K469-L469&lt;0,"",O469-K469-L469))),"")</f>
        <v>0.375</v>
      </c>
      <c r="O469" s="8" t="n">
        <f aca="false">IF(AG469="2H Pause déjeuner",IF(F469-D469-0.0833333333333333&lt;0,F469-D469-0.0833333333333333+1,F469-D469-0.0833333333333333),IF(OR(AND(F469="OFF",D469="OFF"),AND(F469="Congé",D469="Congé"),AND(F469="Congé sans solde",D469="Congé sans solde"),AND(F469="Congé spécial",D469="Congé spécial"),AND(F469="Férié",D469="Férié"),AND(F469="OFF",D469="Congé"),AND(F469="OFF",D469="Congé sans solde"),AND(F469="OFF",D469="Congé spécial"),AND(F469="OFF",D469="Férié"),AND(F469="Congé",D469="OFF"),AND(F469="Congé",D469="Congé sans solde"),AND(F469="Congé",D469="Congé spécial"),AND(F469="Congé",D469="Férié"),AND(F469="Congé sans solde",D469="OFF"),AND(F469="Congé sans solde",D469="Congé"),AND(F469="Congé sans solde",D469="Congé spécial"),AND(F469="Congé sans solde",D469="Férié"),AND(F469="Congé spécial",D469="OFF"),AND(F469="Congé spécial",D469="Congé"),AND(F469="Congé spécial",D469="Congé sans solde"),AND(F469="Congé spécial",D469="Férié"),AND(F469="Férié",D469="OFF"),AND(F469="Férié",D469="Congé"),AND(F469="Férié",D469="Congé sans solde"),AND(F469="Férié",D469="Congé spécial")),0,IF(OR(F469="OFF",F469="Congé",F469="Congé spécial",F469="Congé sans solde",D469="OFF",D469="Congé",D469="Congé spécial",D469="Congé sans solde"),0.208333333333334,IF(AND(AG469="",F469-D469&lt;0),("24:00:00"-D469)+("00:00:00"+F469)-0.0416666666666667,IF(AND(OR(AG469="Allaitement",AG469="Sans déjeuner"),F469-D469&lt;0),("24:00:00"-D469)+("00:00:00"+F469),IF(AND(AG469="",F469-D469&gt;0.166666666666667),F469-D469-0.0416666666666667,IF(AND(OR(AG469="Allaitement",AG469="Sans déjeuner"),F469-D469&gt;0.166666666666667),F469-D469,F469-D469)))))))</f>
        <v>0.375</v>
      </c>
      <c r="P469" s="6" t="str">
        <f aca="false">IFERROR(VLOOKUP($B469,Agents!$A:$D,2,0),"-")</f>
        <v>Accessibilité</v>
      </c>
      <c r="Q469" s="21" t="n">
        <v>46098</v>
      </c>
      <c r="R469" s="8" t="n">
        <f aca="false">IF(M469="Abs",O469,0)</f>
        <v>0</v>
      </c>
      <c r="S469" s="8" t="n">
        <f aca="false">SUM(R469,L469,I469,J469,W469,H469)</f>
        <v>0</v>
      </c>
      <c r="T469" s="6" t="str">
        <f aca="false">"Sem - "&amp;WEEKNUM(Q469,21)</f>
        <v>Sem - 12</v>
      </c>
      <c r="U469" s="6" t="str">
        <f aca="false">CHOOSE(MONTH(Q469),"Janvier","Février","Mars","Avril","Mai","Juin","Juillet","Août","Septembre","Octobre","Novembre","Décembre")</f>
        <v>Mars</v>
      </c>
      <c r="V469" s="22" t="n">
        <f aca="false">YEAR(Q469)</f>
        <v>2026</v>
      </c>
      <c r="W469" s="20"/>
      <c r="X469" s="8" t="n">
        <f aca="false">IFERROR(IF(M469="Abs",0,IF(ROUND((D469-C469+E469-F469)*1440,0)&lt;=1,0,D469-C469+E469-F469)),0)</f>
        <v>0</v>
      </c>
      <c r="Y469" s="6" t="str">
        <f aca="false">IFERROR(VLOOKUP($B469,Agents!$A:$D,3,0),"-")</f>
        <v>OUBRAHIM Mohammed</v>
      </c>
      <c r="Z469" s="6" t="str">
        <f aca="false">IFERROR(VLOOKUP($B469,Agents!$A:$D,4,0),"-")</f>
        <v>Credit Mutuel</v>
      </c>
      <c r="AA469" s="18" t="s">
        <v>94</v>
      </c>
      <c r="AB469" s="8" t="str">
        <f aca="false">IF(AND(D469="Congé",F469="Congé"),0.333333333333333,IF(OR(AND(D469="Congé",F469&lt;&gt;"Congé"),(AND(F469="Congé",D469&lt;&gt;"Congé"))),0.166666666666667,""))</f>
        <v/>
      </c>
      <c r="AC469" s="8" t="str">
        <f aca="false">IF(AND(D469="Congé sans solde",F469="Congé sans solde"),0.333333333333333,IF(OR(AND(D469="Congé sans solde",F469&lt;&gt;"Congé sans solde"),(AND(F469="Congé sans solde",D469&lt;&gt;"Congé sans solde"))),0.166666666666667,""))</f>
        <v/>
      </c>
      <c r="AD469" s="8" t="str">
        <f aca="false">IF(AND(D469="Congé spécial",F469="Congé spécial"),0.333333333333333,IF(OR(AND(D469="Congé spécial",F469&lt;&gt;"Congé spécial"),AND(F469="Congé spécial",D469&lt;&gt;"Congé spécial")),0.166666666666667,""))</f>
        <v/>
      </c>
      <c r="AE469" s="8" t="str">
        <f aca="false">IF(AND(D469="Férié",F469="Férié"),0.333333333333333,IF(OR(AND(D469="Férié",F469&lt;&gt;"Férié"),(AND(F469="Férié",D469&lt;&gt;"Férié"))),0.166666666666667,""))</f>
        <v/>
      </c>
      <c r="AF469" s="18"/>
      <c r="AG469" s="18" t="s">
        <v>91</v>
      </c>
    </row>
    <row r="470" customFormat="false" ht="15" hidden="false" customHeight="false" outlineLevel="0" collapsed="false">
      <c r="A470" s="6" t="str">
        <f aca="false">YEAR(Q470-WEEKDAY(Q470,2)+4)&amp;"-S"&amp;TEXT(WEEKNUM(Q470,21),"00")</f>
        <v>2026-S12</v>
      </c>
      <c r="B470" s="18" t="s">
        <v>69</v>
      </c>
      <c r="C470" s="19" t="n">
        <v>0.333333333333333</v>
      </c>
      <c r="D470" s="19" t="n">
        <v>0.333333333333333</v>
      </c>
      <c r="E470" s="19" t="n">
        <v>0.708333333333333</v>
      </c>
      <c r="F470" s="19" t="n">
        <v>0.708333333333333</v>
      </c>
      <c r="G470" s="20"/>
      <c r="H470" s="20"/>
      <c r="I470" s="8" t="str">
        <f aca="false">IF(IF(OR(C470="",D470="Congé",D470="OFF",D470="Congé spécial"),"",IF(D470&gt;F470,D470-C470,IF(C470-D470&lt;0,0,C470-D470)))&lt;0.00068287037037037,"",IF(OR(D470="Congé",D470="OFF",C470="",D470="Congé spécial"),"",IF(D470&gt;F470,D470-C470,IF(C470-D470&lt;0,0,C470-D470))))</f>
        <v/>
      </c>
      <c r="J470" s="20"/>
      <c r="K470" s="8" t="n">
        <f aca="false">IF(SUM(H470:J470)&lt;0.00068287037037037,0,SUM(H470:J470))</f>
        <v>0</v>
      </c>
      <c r="L470" s="8" t="n">
        <f aca="false">IF(OR(F470="Congé",F470="OFF",M470="Abs",F470="Congé sans solde",F470="Férié",F470="Congé spécial",D470="Congé spécial"),0,IF(F470-E470&lt;0,0,IF(F470-E470&lt;=0.00068287037037037,0,F470-E470)))</f>
        <v>0</v>
      </c>
      <c r="M470" s="6" t="n">
        <f aca="false">IF(AND(O470&lt;&gt;0,C470=""),"Abs",0)</f>
        <v>0</v>
      </c>
      <c r="N470" s="8" t="n">
        <f aca="false">IFERROR(IF(OR(D470="OFF",D470="Congé",M470="Abs",D470="Congé sans solde",D470="Férié"),"",IF(O470-K470-L470&gt;O470,O470,IF(O470-K470-L470&lt;0,"",O470-K470-L470))),"")</f>
        <v>0.375</v>
      </c>
      <c r="O470" s="8" t="n">
        <f aca="false">IF(AG470="2H Pause déjeuner",IF(F470-D470-0.0833333333333333&lt;0,F470-D470-0.0833333333333333+1,F470-D470-0.0833333333333333),IF(OR(AND(F470="OFF",D470="OFF"),AND(F470="Congé",D470="Congé"),AND(F470="Congé sans solde",D470="Congé sans solde"),AND(F470="Congé spécial",D470="Congé spécial"),AND(F470="Férié",D470="Férié"),AND(F470="OFF",D470="Congé"),AND(F470="OFF",D470="Congé sans solde"),AND(F470="OFF",D470="Congé spécial"),AND(F470="OFF",D470="Férié"),AND(F470="Congé",D470="OFF"),AND(F470="Congé",D470="Congé sans solde"),AND(F470="Congé",D470="Congé spécial"),AND(F470="Congé",D470="Férié"),AND(F470="Congé sans solde",D470="OFF"),AND(F470="Congé sans solde",D470="Congé"),AND(F470="Congé sans solde",D470="Congé spécial"),AND(F470="Congé sans solde",D470="Férié"),AND(F470="Congé spécial",D470="OFF"),AND(F470="Congé spécial",D470="Congé"),AND(F470="Congé spécial",D470="Congé sans solde"),AND(F470="Congé spécial",D470="Férié"),AND(F470="Férié",D470="OFF"),AND(F470="Férié",D470="Congé"),AND(F470="Férié",D470="Congé sans solde"),AND(F470="Férié",D470="Congé spécial")),0,IF(OR(F470="OFF",F470="Congé",F470="Congé spécial",F470="Congé sans solde",D470="OFF",D470="Congé",D470="Congé spécial",D470="Congé sans solde"),0.208333333333334,IF(AND(AG470="",F470-D470&lt;0),("24:00:00"-D470)+("00:00:00"+F470)-0.0416666666666667,IF(AND(OR(AG470="Allaitement",AG470="Sans déjeuner"),F470-D470&lt;0),("24:00:00"-D470)+("00:00:00"+F470),IF(AND(AG470="",F470-D470&gt;0.166666666666667),F470-D470-0.0416666666666667,IF(AND(OR(AG470="Allaitement",AG470="Sans déjeuner"),F470-D470&gt;0.166666666666667),F470-D470,F470-D470)))))))</f>
        <v>0.375</v>
      </c>
      <c r="P470" s="6" t="str">
        <f aca="false">IFERROR(VLOOKUP($B470,Agents!$A:$D,2,0),"-")</f>
        <v>Accessibilité</v>
      </c>
      <c r="Q470" s="21" t="n">
        <v>46099</v>
      </c>
      <c r="R470" s="8" t="n">
        <f aca="false">IF(M470="Abs",O470,0)</f>
        <v>0</v>
      </c>
      <c r="S470" s="8" t="n">
        <f aca="false">SUM(R470,L470,I470,J470,W470,H470)</f>
        <v>0</v>
      </c>
      <c r="T470" s="6" t="str">
        <f aca="false">"Sem - "&amp;WEEKNUM(Q470,21)</f>
        <v>Sem - 12</v>
      </c>
      <c r="U470" s="6" t="str">
        <f aca="false">CHOOSE(MONTH(Q470),"Janvier","Février","Mars","Avril","Mai","Juin","Juillet","Août","Septembre","Octobre","Novembre","Décembre")</f>
        <v>Mars</v>
      </c>
      <c r="V470" s="22" t="n">
        <f aca="false">YEAR(Q470)</f>
        <v>2026</v>
      </c>
      <c r="W470" s="20"/>
      <c r="X470" s="8" t="n">
        <f aca="false">IFERROR(IF(M470="Abs",0,IF(ROUND((D470-C470+E470-F470)*1440,0)&lt;=1,0,D470-C470+E470-F470)),0)</f>
        <v>0</v>
      </c>
      <c r="Y470" s="6" t="str">
        <f aca="false">IFERROR(VLOOKUP($B470,Agents!$A:$D,3,0),"-")</f>
        <v>OUBRAHIM Mohammed</v>
      </c>
      <c r="Z470" s="6" t="str">
        <f aca="false">IFERROR(VLOOKUP($B470,Agents!$A:$D,4,0),"-")</f>
        <v>Credit Mutuel</v>
      </c>
      <c r="AA470" s="18" t="s">
        <v>94</v>
      </c>
      <c r="AB470" s="8" t="str">
        <f aca="false">IF(AND(D470="Congé",F470="Congé"),0.333333333333333,IF(OR(AND(D470="Congé",F470&lt;&gt;"Congé"),(AND(F470="Congé",D470&lt;&gt;"Congé"))),0.166666666666667,""))</f>
        <v/>
      </c>
      <c r="AC470" s="8" t="str">
        <f aca="false">IF(AND(D470="Congé sans solde",F470="Congé sans solde"),0.333333333333333,IF(OR(AND(D470="Congé sans solde",F470&lt;&gt;"Congé sans solde"),(AND(F470="Congé sans solde",D470&lt;&gt;"Congé sans solde"))),0.166666666666667,""))</f>
        <v/>
      </c>
      <c r="AD470" s="8" t="str">
        <f aca="false">IF(AND(D470="Congé spécial",F470="Congé spécial"),0.333333333333333,IF(OR(AND(D470="Congé spécial",F470&lt;&gt;"Congé spécial"),AND(F470="Congé spécial",D470&lt;&gt;"Congé spécial")),0.166666666666667,""))</f>
        <v/>
      </c>
      <c r="AE470" s="8" t="str">
        <f aca="false">IF(AND(D470="Férié",F470="Férié"),0.333333333333333,IF(OR(AND(D470="Férié",F470&lt;&gt;"Férié"),(AND(F470="Férié",D470&lt;&gt;"Férié"))),0.166666666666667,""))</f>
        <v/>
      </c>
      <c r="AF470" s="18"/>
      <c r="AG470" s="18" t="s">
        <v>91</v>
      </c>
    </row>
    <row r="471" customFormat="false" ht="15" hidden="false" customHeight="false" outlineLevel="0" collapsed="false">
      <c r="A471" s="6" t="str">
        <f aca="false">YEAR(Q471-WEEKDAY(Q471,2)+4)&amp;"-S"&amp;TEXT(WEEKNUM(Q471,21),"00")</f>
        <v>2026-S12</v>
      </c>
      <c r="B471" s="18" t="s">
        <v>71</v>
      </c>
      <c r="C471" s="19" t="n">
        <v>0.333333333333333</v>
      </c>
      <c r="D471" s="19" t="n">
        <v>0.333333333333333</v>
      </c>
      <c r="E471" s="19" t="n">
        <v>0.708333333333333</v>
      </c>
      <c r="F471" s="19" t="n">
        <v>0.708333333333333</v>
      </c>
      <c r="G471" s="20"/>
      <c r="H471" s="20"/>
      <c r="I471" s="8" t="str">
        <f aca="false">IF(IF(OR(C471="",D471="Congé",D471="OFF",D471="Congé spécial"),"",IF(D471&gt;F471,D471-C471,IF(C471-D471&lt;0,0,C471-D471)))&lt;0.00068287037037037,"",IF(OR(D471="Congé",D471="OFF",C471="",D471="Congé spécial"),"",IF(D471&gt;F471,D471-C471,IF(C471-D471&lt;0,0,C471-D471))))</f>
        <v/>
      </c>
      <c r="J471" s="20"/>
      <c r="K471" s="8" t="n">
        <f aca="false">IF(SUM(H471:J471)&lt;0.00068287037037037,0,SUM(H471:J471))</f>
        <v>0</v>
      </c>
      <c r="L471" s="8" t="n">
        <f aca="false">IF(OR(F471="Congé",F471="OFF",M471="Abs",F471="Congé sans solde",F471="Férié",F471="Congé spécial",D471="Congé spécial"),0,IF(F471-E471&lt;0,0,IF(F471-E471&lt;=0.00068287037037037,0,F471-E471)))</f>
        <v>0</v>
      </c>
      <c r="M471" s="6" t="n">
        <f aca="false">IF(AND(O471&lt;&gt;0,C471=""),"Abs",0)</f>
        <v>0</v>
      </c>
      <c r="N471" s="8" t="n">
        <f aca="false">IFERROR(IF(OR(D471="OFF",D471="Congé",M471="Abs",D471="Congé sans solde",D471="Férié"),"",IF(O471-K471-L471&gt;O471,O471,IF(O471-K471-L471&lt;0,"",O471-K471-L471))),"")</f>
        <v>0.375</v>
      </c>
      <c r="O471" s="8" t="n">
        <f aca="false">IF(AG471="2H Pause déjeuner",IF(F471-D471-0.0833333333333333&lt;0,F471-D471-0.0833333333333333+1,F471-D471-0.0833333333333333),IF(OR(AND(F471="OFF",D471="OFF"),AND(F471="Congé",D471="Congé"),AND(F471="Congé sans solde",D471="Congé sans solde"),AND(F471="Congé spécial",D471="Congé spécial"),AND(F471="Férié",D471="Férié"),AND(F471="OFF",D471="Congé"),AND(F471="OFF",D471="Congé sans solde"),AND(F471="OFF",D471="Congé spécial"),AND(F471="OFF",D471="Férié"),AND(F471="Congé",D471="OFF"),AND(F471="Congé",D471="Congé sans solde"),AND(F471="Congé",D471="Congé spécial"),AND(F471="Congé",D471="Férié"),AND(F471="Congé sans solde",D471="OFF"),AND(F471="Congé sans solde",D471="Congé"),AND(F471="Congé sans solde",D471="Congé spécial"),AND(F471="Congé sans solde",D471="Férié"),AND(F471="Congé spécial",D471="OFF"),AND(F471="Congé spécial",D471="Congé"),AND(F471="Congé spécial",D471="Congé sans solde"),AND(F471="Congé spécial",D471="Férié"),AND(F471="Férié",D471="OFF"),AND(F471="Férié",D471="Congé"),AND(F471="Férié",D471="Congé sans solde"),AND(F471="Férié",D471="Congé spécial")),0,IF(OR(F471="OFF",F471="Congé",F471="Congé spécial",F471="Congé sans solde",D471="OFF",D471="Congé",D471="Congé spécial",D471="Congé sans solde"),0.208333333333334,IF(AND(AG471="",F471-D471&lt;0),("24:00:00"-D471)+("00:00:00"+F471)-0.0416666666666667,IF(AND(OR(AG471="Allaitement",AG471="Sans déjeuner"),F471-D471&lt;0),("24:00:00"-D471)+("00:00:00"+F471),IF(AND(AG471="",F471-D471&gt;0.166666666666667),F471-D471-0.0416666666666667,IF(AND(OR(AG471="Allaitement",AG471="Sans déjeuner"),F471-D471&gt;0.166666666666667),F471-D471,F471-D471)))))))</f>
        <v>0.375</v>
      </c>
      <c r="P471" s="6" t="str">
        <f aca="false">IFERROR(VLOOKUP($B471,Agents!$A:$D,2,0),"-")</f>
        <v>Accessibilité</v>
      </c>
      <c r="Q471" s="21" t="n">
        <v>46099</v>
      </c>
      <c r="R471" s="8" t="n">
        <f aca="false">IF(M471="Abs",O471,0)</f>
        <v>0</v>
      </c>
      <c r="S471" s="8" t="n">
        <f aca="false">SUM(R471,L471,I471,J471,W471,H471)</f>
        <v>0</v>
      </c>
      <c r="T471" s="6" t="str">
        <f aca="false">"Sem - "&amp;WEEKNUM(Q471,21)</f>
        <v>Sem - 12</v>
      </c>
      <c r="U471" s="6" t="str">
        <f aca="false">CHOOSE(MONTH(Q471),"Janvier","Février","Mars","Avril","Mai","Juin","Juillet","Août","Septembre","Octobre","Novembre","Décembre")</f>
        <v>Mars</v>
      </c>
      <c r="V471" s="22" t="n">
        <f aca="false">YEAR(Q471)</f>
        <v>2026</v>
      </c>
      <c r="W471" s="20"/>
      <c r="X471" s="8" t="n">
        <f aca="false">IFERROR(IF(M471="Abs",0,IF(ROUND((D471-C471+E471-F471)*1440,0)&lt;=1,0,D471-C471+E471-F471)),0)</f>
        <v>0</v>
      </c>
      <c r="Y471" s="6" t="str">
        <f aca="false">IFERROR(VLOOKUP($B471,Agents!$A:$D,3,0),"-")</f>
        <v>OUBRAHIM Mohammed</v>
      </c>
      <c r="Z471" s="6" t="str">
        <f aca="false">IFERROR(VLOOKUP($B471,Agents!$A:$D,4,0),"-")</f>
        <v>Credit Mutuel</v>
      </c>
      <c r="AA471" s="18" t="s">
        <v>94</v>
      </c>
      <c r="AB471" s="8" t="str">
        <f aca="false">IF(AND(D471="Congé",F471="Congé"),0.333333333333333,IF(OR(AND(D471="Congé",F471&lt;&gt;"Congé"),(AND(F471="Congé",D471&lt;&gt;"Congé"))),0.166666666666667,""))</f>
        <v/>
      </c>
      <c r="AC471" s="8" t="str">
        <f aca="false">IF(AND(D471="Congé sans solde",F471="Congé sans solde"),0.333333333333333,IF(OR(AND(D471="Congé sans solde",F471&lt;&gt;"Congé sans solde"),(AND(F471="Congé sans solde",D471&lt;&gt;"Congé sans solde"))),0.166666666666667,""))</f>
        <v/>
      </c>
      <c r="AD471" s="8" t="str">
        <f aca="false">IF(AND(D471="Congé spécial",F471="Congé spécial"),0.333333333333333,IF(OR(AND(D471="Congé spécial",F471&lt;&gt;"Congé spécial"),AND(F471="Congé spécial",D471&lt;&gt;"Congé spécial")),0.166666666666667,""))</f>
        <v/>
      </c>
      <c r="AE471" s="8" t="str">
        <f aca="false">IF(AND(D471="Férié",F471="Férié"),0.333333333333333,IF(OR(AND(D471="Férié",F471&lt;&gt;"Férié"),(AND(F471="Férié",D471&lt;&gt;"Férié"))),0.166666666666667,""))</f>
        <v/>
      </c>
      <c r="AF471" s="18"/>
      <c r="AG471" s="18" t="s">
        <v>91</v>
      </c>
    </row>
    <row r="472" customFormat="false" ht="15" hidden="false" customHeight="false" outlineLevel="0" collapsed="false">
      <c r="A472" s="6" t="str">
        <f aca="false">YEAR(Q472-WEEKDAY(Q472,2)+4)&amp;"-S"&amp;TEXT(WEEKNUM(Q472,21),"00")</f>
        <v>2026-S12</v>
      </c>
      <c r="B472" s="18" t="s">
        <v>72</v>
      </c>
      <c r="C472" s="19" t="n">
        <v>0.333333333333333</v>
      </c>
      <c r="D472" s="19" t="n">
        <v>0.333333333333333</v>
      </c>
      <c r="E472" s="19" t="n">
        <v>0.708333333333333</v>
      </c>
      <c r="F472" s="19" t="n">
        <v>0.708333333333333</v>
      </c>
      <c r="G472" s="20"/>
      <c r="H472" s="20"/>
      <c r="I472" s="8" t="str">
        <f aca="false">IF(IF(OR(C472="",D472="Congé",D472="OFF",D472="Congé spécial"),"",IF(D472&gt;F472,D472-C472,IF(C472-D472&lt;0,0,C472-D472)))&lt;0.00068287037037037,"",IF(OR(D472="Congé",D472="OFF",C472="",D472="Congé spécial"),"",IF(D472&gt;F472,D472-C472,IF(C472-D472&lt;0,0,C472-D472))))</f>
        <v/>
      </c>
      <c r="J472" s="20"/>
      <c r="K472" s="8" t="n">
        <f aca="false">IF(SUM(H472:J472)&lt;0.00068287037037037,0,SUM(H472:J472))</f>
        <v>0</v>
      </c>
      <c r="L472" s="8" t="n">
        <f aca="false">IF(OR(F472="Congé",F472="OFF",M472="Abs",F472="Congé sans solde",F472="Férié",F472="Congé spécial",D472="Congé spécial"),0,IF(F472-E472&lt;0,0,IF(F472-E472&lt;=0.00068287037037037,0,F472-E472)))</f>
        <v>0</v>
      </c>
      <c r="M472" s="6" t="n">
        <f aca="false">IF(AND(O472&lt;&gt;0,C472=""),"Abs",0)</f>
        <v>0</v>
      </c>
      <c r="N472" s="8" t="n">
        <f aca="false">IFERROR(IF(OR(D472="OFF",D472="Congé",M472="Abs",D472="Congé sans solde",D472="Férié"),"",IF(O472-K472-L472&gt;O472,O472,IF(O472-K472-L472&lt;0,"",O472-K472-L472))),"")</f>
        <v>0.375</v>
      </c>
      <c r="O472" s="8" t="n">
        <f aca="false">IF(AG472="2H Pause déjeuner",IF(F472-D472-0.0833333333333333&lt;0,F472-D472-0.0833333333333333+1,F472-D472-0.0833333333333333),IF(OR(AND(F472="OFF",D472="OFF"),AND(F472="Congé",D472="Congé"),AND(F472="Congé sans solde",D472="Congé sans solde"),AND(F472="Congé spécial",D472="Congé spécial"),AND(F472="Férié",D472="Férié"),AND(F472="OFF",D472="Congé"),AND(F472="OFF",D472="Congé sans solde"),AND(F472="OFF",D472="Congé spécial"),AND(F472="OFF",D472="Férié"),AND(F472="Congé",D472="OFF"),AND(F472="Congé",D472="Congé sans solde"),AND(F472="Congé",D472="Congé spécial"),AND(F472="Congé",D472="Férié"),AND(F472="Congé sans solde",D472="OFF"),AND(F472="Congé sans solde",D472="Congé"),AND(F472="Congé sans solde",D472="Congé spécial"),AND(F472="Congé sans solde",D472="Férié"),AND(F472="Congé spécial",D472="OFF"),AND(F472="Congé spécial",D472="Congé"),AND(F472="Congé spécial",D472="Congé sans solde"),AND(F472="Congé spécial",D472="Férié"),AND(F472="Férié",D472="OFF"),AND(F472="Férié",D472="Congé"),AND(F472="Férié",D472="Congé sans solde"),AND(F472="Férié",D472="Congé spécial")),0,IF(OR(F472="OFF",F472="Congé",F472="Congé spécial",F472="Congé sans solde",D472="OFF",D472="Congé",D472="Congé spécial",D472="Congé sans solde"),0.208333333333334,IF(AND(AG472="",F472-D472&lt;0),("24:00:00"-D472)+("00:00:00"+F472)-0.0416666666666667,IF(AND(OR(AG472="Allaitement",AG472="Sans déjeuner"),F472-D472&lt;0),("24:00:00"-D472)+("00:00:00"+F472),IF(AND(AG472="",F472-D472&gt;0.166666666666667),F472-D472-0.0416666666666667,IF(AND(OR(AG472="Allaitement",AG472="Sans déjeuner"),F472-D472&gt;0.166666666666667),F472-D472,F472-D472)))))))</f>
        <v>0.375</v>
      </c>
      <c r="P472" s="6" t="str">
        <f aca="false">IFERROR(VLOOKUP($B472,Agents!$A:$D,2,0),"-")</f>
        <v>Accessibilité</v>
      </c>
      <c r="Q472" s="21" t="n">
        <v>46099</v>
      </c>
      <c r="R472" s="8" t="n">
        <f aca="false">IF(M472="Abs",O472,0)</f>
        <v>0</v>
      </c>
      <c r="S472" s="8" t="n">
        <f aca="false">SUM(R472,L472,I472,J472,W472,H472)</f>
        <v>0</v>
      </c>
      <c r="T472" s="6" t="str">
        <f aca="false">"Sem - "&amp;WEEKNUM(Q472,21)</f>
        <v>Sem - 12</v>
      </c>
      <c r="U472" s="6" t="str">
        <f aca="false">CHOOSE(MONTH(Q472),"Janvier","Février","Mars","Avril","Mai","Juin","Juillet","Août","Septembre","Octobre","Novembre","Décembre")</f>
        <v>Mars</v>
      </c>
      <c r="V472" s="22" t="n">
        <f aca="false">YEAR(Q472)</f>
        <v>2026</v>
      </c>
      <c r="W472" s="20"/>
      <c r="X472" s="8" t="n">
        <f aca="false">IFERROR(IF(M472="Abs",0,IF(ROUND((D472-C472+E472-F472)*1440,0)&lt;=1,0,D472-C472+E472-F472)),0)</f>
        <v>0</v>
      </c>
      <c r="Y472" s="6" t="str">
        <f aca="false">IFERROR(VLOOKUP($B472,Agents!$A:$D,3,0),"-")</f>
        <v>OUBRAHIM Mohammed</v>
      </c>
      <c r="Z472" s="6" t="str">
        <f aca="false">IFERROR(VLOOKUP($B472,Agents!$A:$D,4,0),"-")</f>
        <v>Credit Mutuel</v>
      </c>
      <c r="AA472" s="18" t="s">
        <v>94</v>
      </c>
      <c r="AB472" s="8" t="str">
        <f aca="false">IF(AND(D472="Congé",F472="Congé"),0.333333333333333,IF(OR(AND(D472="Congé",F472&lt;&gt;"Congé"),(AND(F472="Congé",D472&lt;&gt;"Congé"))),0.166666666666667,""))</f>
        <v/>
      </c>
      <c r="AC472" s="8" t="str">
        <f aca="false">IF(AND(D472="Congé sans solde",F472="Congé sans solde"),0.333333333333333,IF(OR(AND(D472="Congé sans solde",F472&lt;&gt;"Congé sans solde"),(AND(F472="Congé sans solde",D472&lt;&gt;"Congé sans solde"))),0.166666666666667,""))</f>
        <v/>
      </c>
      <c r="AD472" s="8" t="str">
        <f aca="false">IF(AND(D472="Congé spécial",F472="Congé spécial"),0.333333333333333,IF(OR(AND(D472="Congé spécial",F472&lt;&gt;"Congé spécial"),AND(F472="Congé spécial",D472&lt;&gt;"Congé spécial")),0.166666666666667,""))</f>
        <v/>
      </c>
      <c r="AE472" s="8" t="str">
        <f aca="false">IF(AND(D472="Férié",F472="Férié"),0.333333333333333,IF(OR(AND(D472="Férié",F472&lt;&gt;"Férié"),(AND(F472="Férié",D472&lt;&gt;"Férié"))),0.166666666666667,""))</f>
        <v/>
      </c>
      <c r="AF472" s="18"/>
      <c r="AG472" s="18" t="s">
        <v>91</v>
      </c>
    </row>
    <row r="473" customFormat="false" ht="15" hidden="false" customHeight="false" outlineLevel="0" collapsed="false">
      <c r="A473" s="6" t="str">
        <f aca="false">YEAR(Q473-WEEKDAY(Q473,2)+4)&amp;"-S"&amp;TEXT(WEEKNUM(Q473,21),"00")</f>
        <v>2026-S12</v>
      </c>
      <c r="B473" s="18" t="s">
        <v>73</v>
      </c>
      <c r="C473" s="19" t="n">
        <v>0.333333333333333</v>
      </c>
      <c r="D473" s="19" t="n">
        <v>0.333333333333333</v>
      </c>
      <c r="E473" s="19" t="n">
        <v>0.708333333333333</v>
      </c>
      <c r="F473" s="19" t="n">
        <v>0.708333333333333</v>
      </c>
      <c r="G473" s="20"/>
      <c r="H473" s="20"/>
      <c r="I473" s="8" t="str">
        <f aca="false">IF(IF(OR(C473="",D473="Congé",D473="OFF",D473="Congé spécial"),"",IF(D473&gt;F473,D473-C473,IF(C473-D473&lt;0,0,C473-D473)))&lt;0.00068287037037037,"",IF(OR(D473="Congé",D473="OFF",C473="",D473="Congé spécial"),"",IF(D473&gt;F473,D473-C473,IF(C473-D473&lt;0,0,C473-D473))))</f>
        <v/>
      </c>
      <c r="J473" s="20"/>
      <c r="K473" s="8" t="n">
        <f aca="false">IF(SUM(H473:J473)&lt;0.00068287037037037,0,SUM(H473:J473))</f>
        <v>0</v>
      </c>
      <c r="L473" s="8" t="n">
        <f aca="false">IF(OR(F473="Congé",F473="OFF",M473="Abs",F473="Congé sans solde",F473="Férié",F473="Congé spécial",D473="Congé spécial"),0,IF(F473-E473&lt;0,0,IF(F473-E473&lt;=0.00068287037037037,0,F473-E473)))</f>
        <v>0</v>
      </c>
      <c r="M473" s="6" t="n">
        <f aca="false">IF(AND(O473&lt;&gt;0,C473=""),"Abs",0)</f>
        <v>0</v>
      </c>
      <c r="N473" s="8" t="n">
        <f aca="false">IFERROR(IF(OR(D473="OFF",D473="Congé",M473="Abs",D473="Congé sans solde",D473="Férié"),"",IF(O473-K473-L473&gt;O473,O473,IF(O473-K473-L473&lt;0,"",O473-K473-L473))),"")</f>
        <v>0.375</v>
      </c>
      <c r="O473" s="8" t="n">
        <f aca="false">IF(AG473="2H Pause déjeuner",IF(F473-D473-0.0833333333333333&lt;0,F473-D473-0.0833333333333333+1,F473-D473-0.0833333333333333),IF(OR(AND(F473="OFF",D473="OFF"),AND(F473="Congé",D473="Congé"),AND(F473="Congé sans solde",D473="Congé sans solde"),AND(F473="Congé spécial",D473="Congé spécial"),AND(F473="Férié",D473="Férié"),AND(F473="OFF",D473="Congé"),AND(F473="OFF",D473="Congé sans solde"),AND(F473="OFF",D473="Congé spécial"),AND(F473="OFF",D473="Férié"),AND(F473="Congé",D473="OFF"),AND(F473="Congé",D473="Congé sans solde"),AND(F473="Congé",D473="Congé spécial"),AND(F473="Congé",D473="Férié"),AND(F473="Congé sans solde",D473="OFF"),AND(F473="Congé sans solde",D473="Congé"),AND(F473="Congé sans solde",D473="Congé spécial"),AND(F473="Congé sans solde",D473="Férié"),AND(F473="Congé spécial",D473="OFF"),AND(F473="Congé spécial",D473="Congé"),AND(F473="Congé spécial",D473="Congé sans solde"),AND(F473="Congé spécial",D473="Férié"),AND(F473="Férié",D473="OFF"),AND(F473="Férié",D473="Congé"),AND(F473="Férié",D473="Congé sans solde"),AND(F473="Férié",D473="Congé spécial")),0,IF(OR(F473="OFF",F473="Congé",F473="Congé spécial",F473="Congé sans solde",D473="OFF",D473="Congé",D473="Congé spécial",D473="Congé sans solde"),0.208333333333334,IF(AND(AG473="",F473-D473&lt;0),("24:00:00"-D473)+("00:00:00"+F473)-0.0416666666666667,IF(AND(OR(AG473="Allaitement",AG473="Sans déjeuner"),F473-D473&lt;0),("24:00:00"-D473)+("00:00:00"+F473),IF(AND(AG473="",F473-D473&gt;0.166666666666667),F473-D473-0.0416666666666667,IF(AND(OR(AG473="Allaitement",AG473="Sans déjeuner"),F473-D473&gt;0.166666666666667),F473-D473,F473-D473)))))))</f>
        <v>0.375</v>
      </c>
      <c r="P473" s="6" t="str">
        <f aca="false">IFERROR(VLOOKUP($B473,Agents!$A:$D,2,0),"-")</f>
        <v>Accessibilité</v>
      </c>
      <c r="Q473" s="21" t="n">
        <v>46099</v>
      </c>
      <c r="R473" s="8" t="n">
        <f aca="false">IF(M473="Abs",O473,0)</f>
        <v>0</v>
      </c>
      <c r="S473" s="8" t="n">
        <f aca="false">SUM(R473,L473,I473,J473,W473,H473)</f>
        <v>0</v>
      </c>
      <c r="T473" s="6" t="str">
        <f aca="false">"Sem - "&amp;WEEKNUM(Q473,21)</f>
        <v>Sem - 12</v>
      </c>
      <c r="U473" s="6" t="str">
        <f aca="false">CHOOSE(MONTH(Q473),"Janvier","Février","Mars","Avril","Mai","Juin","Juillet","Août","Septembre","Octobre","Novembre","Décembre")</f>
        <v>Mars</v>
      </c>
      <c r="V473" s="22" t="n">
        <f aca="false">YEAR(Q473)</f>
        <v>2026</v>
      </c>
      <c r="W473" s="20"/>
      <c r="X473" s="8" t="n">
        <f aca="false">IFERROR(IF(M473="Abs",0,IF(ROUND((D473-C473+E473-F473)*1440,0)&lt;=1,0,D473-C473+E473-F473)),0)</f>
        <v>0</v>
      </c>
      <c r="Y473" s="6" t="str">
        <f aca="false">IFERROR(VLOOKUP($B473,Agents!$A:$D,3,0),"-")</f>
        <v>OUBRAHIM Mohammed</v>
      </c>
      <c r="Z473" s="6" t="str">
        <f aca="false">IFERROR(VLOOKUP($B473,Agents!$A:$D,4,0),"-")</f>
        <v>Credit Mutuel</v>
      </c>
      <c r="AA473" s="18" t="s">
        <v>94</v>
      </c>
      <c r="AB473" s="8" t="str">
        <f aca="false">IF(AND(D473="Congé",F473="Congé"),0.333333333333333,IF(OR(AND(D473="Congé",F473&lt;&gt;"Congé"),(AND(F473="Congé",D473&lt;&gt;"Congé"))),0.166666666666667,""))</f>
        <v/>
      </c>
      <c r="AC473" s="8" t="str">
        <f aca="false">IF(AND(D473="Congé sans solde",F473="Congé sans solde"),0.333333333333333,IF(OR(AND(D473="Congé sans solde",F473&lt;&gt;"Congé sans solde"),(AND(F473="Congé sans solde",D473&lt;&gt;"Congé sans solde"))),0.166666666666667,""))</f>
        <v/>
      </c>
      <c r="AD473" s="8" t="str">
        <f aca="false">IF(AND(D473="Congé spécial",F473="Congé spécial"),0.333333333333333,IF(OR(AND(D473="Congé spécial",F473&lt;&gt;"Congé spécial"),AND(F473="Congé spécial",D473&lt;&gt;"Congé spécial")),0.166666666666667,""))</f>
        <v/>
      </c>
      <c r="AE473" s="8" t="str">
        <f aca="false">IF(AND(D473="Férié",F473="Férié"),0.333333333333333,IF(OR(AND(D473="Férié",F473&lt;&gt;"Férié"),(AND(F473="Férié",D473&lt;&gt;"Férié"))),0.166666666666667,""))</f>
        <v/>
      </c>
      <c r="AF473" s="18"/>
      <c r="AG473" s="18" t="s">
        <v>91</v>
      </c>
    </row>
    <row r="474" customFormat="false" ht="15" hidden="false" customHeight="false" outlineLevel="0" collapsed="false">
      <c r="A474" s="6" t="str">
        <f aca="false">YEAR(Q474-WEEKDAY(Q474,2)+4)&amp;"-S"&amp;TEXT(WEEKNUM(Q474,21),"00")</f>
        <v>2026-S12</v>
      </c>
      <c r="B474" s="18" t="s">
        <v>69</v>
      </c>
      <c r="C474" s="19" t="n">
        <v>0.333333333333333</v>
      </c>
      <c r="D474" s="19" t="n">
        <v>0.333333333333333</v>
      </c>
      <c r="E474" s="19" t="n">
        <v>0.708333333333333</v>
      </c>
      <c r="F474" s="19" t="n">
        <v>0.708333333333333</v>
      </c>
      <c r="G474" s="20"/>
      <c r="H474" s="20"/>
      <c r="I474" s="8" t="str">
        <f aca="false">IF(IF(OR(C474="",D474="Congé",D474="OFF",D474="Congé spécial"),"",IF(D474&gt;F474,D474-C474,IF(C474-D474&lt;0,0,C474-D474)))&lt;0.00068287037037037,"",IF(OR(D474="Congé",D474="OFF",C474="",D474="Congé spécial"),"",IF(D474&gt;F474,D474-C474,IF(C474-D474&lt;0,0,C474-D474))))</f>
        <v/>
      </c>
      <c r="J474" s="20"/>
      <c r="K474" s="8" t="n">
        <f aca="false">IF(SUM(H474:J474)&lt;0.00068287037037037,0,SUM(H474:J474))</f>
        <v>0</v>
      </c>
      <c r="L474" s="8" t="n">
        <f aca="false">IF(OR(F474="Congé",F474="OFF",M474="Abs",F474="Congé sans solde",F474="Férié",F474="Congé spécial",D474="Congé spécial"),0,IF(F474-E474&lt;0,0,IF(F474-E474&lt;=0.00068287037037037,0,F474-E474)))</f>
        <v>0</v>
      </c>
      <c r="M474" s="6" t="n">
        <f aca="false">IF(AND(O474&lt;&gt;0,C474=""),"Abs",0)</f>
        <v>0</v>
      </c>
      <c r="N474" s="8" t="n">
        <f aca="false">IFERROR(IF(OR(D474="OFF",D474="Congé",M474="Abs",D474="Congé sans solde",D474="Férié"),"",IF(O474-K474-L474&gt;O474,O474,IF(O474-K474-L474&lt;0,"",O474-K474-L474))),"")</f>
        <v>0.375</v>
      </c>
      <c r="O474" s="8" t="n">
        <f aca="false">IF(AG474="2H Pause déjeuner",IF(F474-D474-0.0833333333333333&lt;0,F474-D474-0.0833333333333333+1,F474-D474-0.0833333333333333),IF(OR(AND(F474="OFF",D474="OFF"),AND(F474="Congé",D474="Congé"),AND(F474="Congé sans solde",D474="Congé sans solde"),AND(F474="Congé spécial",D474="Congé spécial"),AND(F474="Férié",D474="Férié"),AND(F474="OFF",D474="Congé"),AND(F474="OFF",D474="Congé sans solde"),AND(F474="OFF",D474="Congé spécial"),AND(F474="OFF",D474="Férié"),AND(F474="Congé",D474="OFF"),AND(F474="Congé",D474="Congé sans solde"),AND(F474="Congé",D474="Congé spécial"),AND(F474="Congé",D474="Férié"),AND(F474="Congé sans solde",D474="OFF"),AND(F474="Congé sans solde",D474="Congé"),AND(F474="Congé sans solde",D474="Congé spécial"),AND(F474="Congé sans solde",D474="Férié"),AND(F474="Congé spécial",D474="OFF"),AND(F474="Congé spécial",D474="Congé"),AND(F474="Congé spécial",D474="Congé sans solde"),AND(F474="Congé spécial",D474="Férié"),AND(F474="Férié",D474="OFF"),AND(F474="Férié",D474="Congé"),AND(F474="Férié",D474="Congé sans solde"),AND(F474="Férié",D474="Congé spécial")),0,IF(OR(F474="OFF",F474="Congé",F474="Congé spécial",F474="Congé sans solde",D474="OFF",D474="Congé",D474="Congé spécial",D474="Congé sans solde"),0.208333333333334,IF(AND(AG474="",F474-D474&lt;0),("24:00:00"-D474)+("00:00:00"+F474)-0.0416666666666667,IF(AND(OR(AG474="Allaitement",AG474="Sans déjeuner"),F474-D474&lt;0),("24:00:00"-D474)+("00:00:00"+F474),IF(AND(AG474="",F474-D474&gt;0.166666666666667),F474-D474-0.0416666666666667,IF(AND(OR(AG474="Allaitement",AG474="Sans déjeuner"),F474-D474&gt;0.166666666666667),F474-D474,F474-D474)))))))</f>
        <v>0.375</v>
      </c>
      <c r="P474" s="6" t="str">
        <f aca="false">IFERROR(VLOOKUP($B474,Agents!$A:$D,2,0),"-")</f>
        <v>Accessibilité</v>
      </c>
      <c r="Q474" s="21" t="n">
        <v>46100</v>
      </c>
      <c r="R474" s="8" t="n">
        <f aca="false">IF(M474="Abs",O474,0)</f>
        <v>0</v>
      </c>
      <c r="S474" s="8" t="n">
        <f aca="false">SUM(R474,L474,I474,J474,W474,H474)</f>
        <v>0</v>
      </c>
      <c r="T474" s="6" t="str">
        <f aca="false">"Sem - "&amp;WEEKNUM(Q474,21)</f>
        <v>Sem - 12</v>
      </c>
      <c r="U474" s="6" t="str">
        <f aca="false">CHOOSE(MONTH(Q474),"Janvier","Février","Mars","Avril","Mai","Juin","Juillet","Août","Septembre","Octobre","Novembre","Décembre")</f>
        <v>Mars</v>
      </c>
      <c r="V474" s="22" t="n">
        <f aca="false">YEAR(Q474)</f>
        <v>2026</v>
      </c>
      <c r="W474" s="20"/>
      <c r="X474" s="8" t="n">
        <f aca="false">IFERROR(IF(M474="Abs",0,IF(ROUND((D474-C474+E474-F474)*1440,0)&lt;=1,0,D474-C474+E474-F474)),0)</f>
        <v>0</v>
      </c>
      <c r="Y474" s="6" t="str">
        <f aca="false">IFERROR(VLOOKUP($B474,Agents!$A:$D,3,0),"-")</f>
        <v>OUBRAHIM Mohammed</v>
      </c>
      <c r="Z474" s="6" t="str">
        <f aca="false">IFERROR(VLOOKUP($B474,Agents!$A:$D,4,0),"-")</f>
        <v>Credit Mutuel</v>
      </c>
      <c r="AA474" s="18" t="s">
        <v>94</v>
      </c>
      <c r="AB474" s="8" t="str">
        <f aca="false">IF(AND(D474="Congé",F474="Congé"),0.333333333333333,IF(OR(AND(D474="Congé",F474&lt;&gt;"Congé"),(AND(F474="Congé",D474&lt;&gt;"Congé"))),0.166666666666667,""))</f>
        <v/>
      </c>
      <c r="AC474" s="8" t="str">
        <f aca="false">IF(AND(D474="Congé sans solde",F474="Congé sans solde"),0.333333333333333,IF(OR(AND(D474="Congé sans solde",F474&lt;&gt;"Congé sans solde"),(AND(F474="Congé sans solde",D474&lt;&gt;"Congé sans solde"))),0.166666666666667,""))</f>
        <v/>
      </c>
      <c r="AD474" s="8" t="str">
        <f aca="false">IF(AND(D474="Congé spécial",F474="Congé spécial"),0.333333333333333,IF(OR(AND(D474="Congé spécial",F474&lt;&gt;"Congé spécial"),AND(F474="Congé spécial",D474&lt;&gt;"Congé spécial")),0.166666666666667,""))</f>
        <v/>
      </c>
      <c r="AE474" s="8" t="str">
        <f aca="false">IF(AND(D474="Férié",F474="Férié"),0.333333333333333,IF(OR(AND(D474="Férié",F474&lt;&gt;"Férié"),(AND(F474="Férié",D474&lt;&gt;"Férié"))),0.166666666666667,""))</f>
        <v/>
      </c>
      <c r="AF474" s="18"/>
      <c r="AG474" s="18" t="s">
        <v>91</v>
      </c>
    </row>
    <row r="475" customFormat="false" ht="15" hidden="false" customHeight="false" outlineLevel="0" collapsed="false">
      <c r="A475" s="6" t="str">
        <f aca="false">YEAR(Q475-WEEKDAY(Q475,2)+4)&amp;"-S"&amp;TEXT(WEEKNUM(Q475,21),"00")</f>
        <v>2026-S12</v>
      </c>
      <c r="B475" s="18" t="s">
        <v>71</v>
      </c>
      <c r="C475" s="19" t="n">
        <v>0.333333333333333</v>
      </c>
      <c r="D475" s="19" t="n">
        <v>0.333333333333333</v>
      </c>
      <c r="E475" s="19" t="n">
        <v>0.708333333333333</v>
      </c>
      <c r="F475" s="19" t="n">
        <v>0.708333333333333</v>
      </c>
      <c r="G475" s="20"/>
      <c r="H475" s="20"/>
      <c r="I475" s="8" t="str">
        <f aca="false">IF(IF(OR(C475="",D475="Congé",D475="OFF",D475="Congé spécial"),"",IF(D475&gt;F475,D475-C475,IF(C475-D475&lt;0,0,C475-D475)))&lt;0.00068287037037037,"",IF(OR(D475="Congé",D475="OFF",C475="",D475="Congé spécial"),"",IF(D475&gt;F475,D475-C475,IF(C475-D475&lt;0,0,C475-D475))))</f>
        <v/>
      </c>
      <c r="J475" s="20"/>
      <c r="K475" s="8" t="n">
        <f aca="false">IF(SUM(H475:J475)&lt;0.00068287037037037,0,SUM(H475:J475))</f>
        <v>0</v>
      </c>
      <c r="L475" s="8" t="n">
        <f aca="false">IF(OR(F475="Congé",F475="OFF",M475="Abs",F475="Congé sans solde",F475="Férié",F475="Congé spécial",D475="Congé spécial"),0,IF(F475-E475&lt;0,0,IF(F475-E475&lt;=0.00068287037037037,0,F475-E475)))</f>
        <v>0</v>
      </c>
      <c r="M475" s="6" t="n">
        <f aca="false">IF(AND(O475&lt;&gt;0,C475=""),"Abs",0)</f>
        <v>0</v>
      </c>
      <c r="N475" s="8" t="n">
        <f aca="false">IFERROR(IF(OR(D475="OFF",D475="Congé",M475="Abs",D475="Congé sans solde",D475="Férié"),"",IF(O475-K475-L475&gt;O475,O475,IF(O475-K475-L475&lt;0,"",O475-K475-L475))),"")</f>
        <v>0.375</v>
      </c>
      <c r="O475" s="8" t="n">
        <f aca="false">IF(AG475="2H Pause déjeuner",IF(F475-D475-0.0833333333333333&lt;0,F475-D475-0.0833333333333333+1,F475-D475-0.0833333333333333),IF(OR(AND(F475="OFF",D475="OFF"),AND(F475="Congé",D475="Congé"),AND(F475="Congé sans solde",D475="Congé sans solde"),AND(F475="Congé spécial",D475="Congé spécial"),AND(F475="Férié",D475="Férié"),AND(F475="OFF",D475="Congé"),AND(F475="OFF",D475="Congé sans solde"),AND(F475="OFF",D475="Congé spécial"),AND(F475="OFF",D475="Férié"),AND(F475="Congé",D475="OFF"),AND(F475="Congé",D475="Congé sans solde"),AND(F475="Congé",D475="Congé spécial"),AND(F475="Congé",D475="Férié"),AND(F475="Congé sans solde",D475="OFF"),AND(F475="Congé sans solde",D475="Congé"),AND(F475="Congé sans solde",D475="Congé spécial"),AND(F475="Congé sans solde",D475="Férié"),AND(F475="Congé spécial",D475="OFF"),AND(F475="Congé spécial",D475="Congé"),AND(F475="Congé spécial",D475="Congé sans solde"),AND(F475="Congé spécial",D475="Férié"),AND(F475="Férié",D475="OFF"),AND(F475="Férié",D475="Congé"),AND(F475="Férié",D475="Congé sans solde"),AND(F475="Férié",D475="Congé spécial")),0,IF(OR(F475="OFF",F475="Congé",F475="Congé spécial",F475="Congé sans solde",D475="OFF",D475="Congé",D475="Congé spécial",D475="Congé sans solde"),0.208333333333334,IF(AND(AG475="",F475-D475&lt;0),("24:00:00"-D475)+("00:00:00"+F475)-0.0416666666666667,IF(AND(OR(AG475="Allaitement",AG475="Sans déjeuner"),F475-D475&lt;0),("24:00:00"-D475)+("00:00:00"+F475),IF(AND(AG475="",F475-D475&gt;0.166666666666667),F475-D475-0.0416666666666667,IF(AND(OR(AG475="Allaitement",AG475="Sans déjeuner"),F475-D475&gt;0.166666666666667),F475-D475,F475-D475)))))))</f>
        <v>0.375</v>
      </c>
      <c r="P475" s="6" t="str">
        <f aca="false">IFERROR(VLOOKUP($B475,Agents!$A:$D,2,0),"-")</f>
        <v>Accessibilité</v>
      </c>
      <c r="Q475" s="21" t="n">
        <v>46100</v>
      </c>
      <c r="R475" s="8" t="n">
        <f aca="false">IF(M475="Abs",O475,0)</f>
        <v>0</v>
      </c>
      <c r="S475" s="8" t="n">
        <f aca="false">SUM(R475,L475,I475,J475,W475,H475)</f>
        <v>0</v>
      </c>
      <c r="T475" s="6" t="str">
        <f aca="false">"Sem - "&amp;WEEKNUM(Q475,21)</f>
        <v>Sem - 12</v>
      </c>
      <c r="U475" s="6" t="str">
        <f aca="false">CHOOSE(MONTH(Q475),"Janvier","Février","Mars","Avril","Mai","Juin","Juillet","Août","Septembre","Octobre","Novembre","Décembre")</f>
        <v>Mars</v>
      </c>
      <c r="V475" s="22" t="n">
        <f aca="false">YEAR(Q475)</f>
        <v>2026</v>
      </c>
      <c r="W475" s="20"/>
      <c r="X475" s="8" t="n">
        <f aca="false">IFERROR(IF(M475="Abs",0,IF(ROUND((D475-C475+E475-F475)*1440,0)&lt;=1,0,D475-C475+E475-F475)),0)</f>
        <v>0</v>
      </c>
      <c r="Y475" s="6" t="str">
        <f aca="false">IFERROR(VLOOKUP($B475,Agents!$A:$D,3,0),"-")</f>
        <v>OUBRAHIM Mohammed</v>
      </c>
      <c r="Z475" s="6" t="str">
        <f aca="false">IFERROR(VLOOKUP($B475,Agents!$A:$D,4,0),"-")</f>
        <v>Credit Mutuel</v>
      </c>
      <c r="AA475" s="18" t="s">
        <v>94</v>
      </c>
      <c r="AB475" s="8" t="str">
        <f aca="false">IF(AND(D475="Congé",F475="Congé"),0.333333333333333,IF(OR(AND(D475="Congé",F475&lt;&gt;"Congé"),(AND(F475="Congé",D475&lt;&gt;"Congé"))),0.166666666666667,""))</f>
        <v/>
      </c>
      <c r="AC475" s="8" t="str">
        <f aca="false">IF(AND(D475="Congé sans solde",F475="Congé sans solde"),0.333333333333333,IF(OR(AND(D475="Congé sans solde",F475&lt;&gt;"Congé sans solde"),(AND(F475="Congé sans solde",D475&lt;&gt;"Congé sans solde"))),0.166666666666667,""))</f>
        <v/>
      </c>
      <c r="AD475" s="8" t="str">
        <f aca="false">IF(AND(D475="Congé spécial",F475="Congé spécial"),0.333333333333333,IF(OR(AND(D475="Congé spécial",F475&lt;&gt;"Congé spécial"),AND(F475="Congé spécial",D475&lt;&gt;"Congé spécial")),0.166666666666667,""))</f>
        <v/>
      </c>
      <c r="AE475" s="8" t="str">
        <f aca="false">IF(AND(D475="Férié",F475="Férié"),0.333333333333333,IF(OR(AND(D475="Férié",F475&lt;&gt;"Férié"),(AND(F475="Férié",D475&lt;&gt;"Férié"))),0.166666666666667,""))</f>
        <v/>
      </c>
      <c r="AF475" s="18"/>
      <c r="AG475" s="18" t="s">
        <v>91</v>
      </c>
    </row>
    <row r="476" customFormat="false" ht="15" hidden="false" customHeight="false" outlineLevel="0" collapsed="false">
      <c r="A476" s="6" t="str">
        <f aca="false">YEAR(Q476-WEEKDAY(Q476,2)+4)&amp;"-S"&amp;TEXT(WEEKNUM(Q476,21),"00")</f>
        <v>2026-S12</v>
      </c>
      <c r="B476" s="18" t="s">
        <v>72</v>
      </c>
      <c r="C476" s="19" t="n">
        <v>0.333333333333333</v>
      </c>
      <c r="D476" s="19" t="n">
        <v>0.333333333333333</v>
      </c>
      <c r="E476" s="19" t="n">
        <v>0.708333333333333</v>
      </c>
      <c r="F476" s="19" t="n">
        <v>0.708333333333333</v>
      </c>
      <c r="G476" s="20"/>
      <c r="H476" s="20"/>
      <c r="I476" s="8" t="str">
        <f aca="false">IF(IF(OR(C476="",D476="Congé",D476="OFF",D476="Congé spécial"),"",IF(D476&gt;F476,D476-C476,IF(C476-D476&lt;0,0,C476-D476)))&lt;0.00068287037037037,"",IF(OR(D476="Congé",D476="OFF",C476="",D476="Congé spécial"),"",IF(D476&gt;F476,D476-C476,IF(C476-D476&lt;0,0,C476-D476))))</f>
        <v/>
      </c>
      <c r="J476" s="20"/>
      <c r="K476" s="8" t="n">
        <f aca="false">IF(SUM(H476:J476)&lt;0.00068287037037037,0,SUM(H476:J476))</f>
        <v>0</v>
      </c>
      <c r="L476" s="8" t="n">
        <f aca="false">IF(OR(F476="Congé",F476="OFF",M476="Abs",F476="Congé sans solde",F476="Férié",F476="Congé spécial",D476="Congé spécial"),0,IF(F476-E476&lt;0,0,IF(F476-E476&lt;=0.00068287037037037,0,F476-E476)))</f>
        <v>0</v>
      </c>
      <c r="M476" s="6" t="n">
        <f aca="false">IF(AND(O476&lt;&gt;0,C476=""),"Abs",0)</f>
        <v>0</v>
      </c>
      <c r="N476" s="8" t="n">
        <f aca="false">IFERROR(IF(OR(D476="OFF",D476="Congé",M476="Abs",D476="Congé sans solde",D476="Férié"),"",IF(O476-K476-L476&gt;O476,O476,IF(O476-K476-L476&lt;0,"",O476-K476-L476))),"")</f>
        <v>0.375</v>
      </c>
      <c r="O476" s="8" t="n">
        <f aca="false">IF(AG476="2H Pause déjeuner",IF(F476-D476-0.0833333333333333&lt;0,F476-D476-0.0833333333333333+1,F476-D476-0.0833333333333333),IF(OR(AND(F476="OFF",D476="OFF"),AND(F476="Congé",D476="Congé"),AND(F476="Congé sans solde",D476="Congé sans solde"),AND(F476="Congé spécial",D476="Congé spécial"),AND(F476="Férié",D476="Férié"),AND(F476="OFF",D476="Congé"),AND(F476="OFF",D476="Congé sans solde"),AND(F476="OFF",D476="Congé spécial"),AND(F476="OFF",D476="Férié"),AND(F476="Congé",D476="OFF"),AND(F476="Congé",D476="Congé sans solde"),AND(F476="Congé",D476="Congé spécial"),AND(F476="Congé",D476="Férié"),AND(F476="Congé sans solde",D476="OFF"),AND(F476="Congé sans solde",D476="Congé"),AND(F476="Congé sans solde",D476="Congé spécial"),AND(F476="Congé sans solde",D476="Férié"),AND(F476="Congé spécial",D476="OFF"),AND(F476="Congé spécial",D476="Congé"),AND(F476="Congé spécial",D476="Congé sans solde"),AND(F476="Congé spécial",D476="Férié"),AND(F476="Férié",D476="OFF"),AND(F476="Férié",D476="Congé"),AND(F476="Férié",D476="Congé sans solde"),AND(F476="Férié",D476="Congé spécial")),0,IF(OR(F476="OFF",F476="Congé",F476="Congé spécial",F476="Congé sans solde",D476="OFF",D476="Congé",D476="Congé spécial",D476="Congé sans solde"),0.208333333333334,IF(AND(AG476="",F476-D476&lt;0),("24:00:00"-D476)+("00:00:00"+F476)-0.0416666666666667,IF(AND(OR(AG476="Allaitement",AG476="Sans déjeuner"),F476-D476&lt;0),("24:00:00"-D476)+("00:00:00"+F476),IF(AND(AG476="",F476-D476&gt;0.166666666666667),F476-D476-0.0416666666666667,IF(AND(OR(AG476="Allaitement",AG476="Sans déjeuner"),F476-D476&gt;0.166666666666667),F476-D476,F476-D476)))))))</f>
        <v>0.375</v>
      </c>
      <c r="P476" s="6" t="str">
        <f aca="false">IFERROR(VLOOKUP($B476,Agents!$A:$D,2,0),"-")</f>
        <v>Accessibilité</v>
      </c>
      <c r="Q476" s="21" t="n">
        <v>46100</v>
      </c>
      <c r="R476" s="8" t="n">
        <f aca="false">IF(M476="Abs",O476,0)</f>
        <v>0</v>
      </c>
      <c r="S476" s="8" t="n">
        <f aca="false">SUM(R476,L476,I476,J476,W476,H476)</f>
        <v>0</v>
      </c>
      <c r="T476" s="6" t="str">
        <f aca="false">"Sem - "&amp;WEEKNUM(Q476,21)</f>
        <v>Sem - 12</v>
      </c>
      <c r="U476" s="6" t="str">
        <f aca="false">CHOOSE(MONTH(Q476),"Janvier","Février","Mars","Avril","Mai","Juin","Juillet","Août","Septembre","Octobre","Novembre","Décembre")</f>
        <v>Mars</v>
      </c>
      <c r="V476" s="22" t="n">
        <f aca="false">YEAR(Q476)</f>
        <v>2026</v>
      </c>
      <c r="W476" s="20"/>
      <c r="X476" s="8" t="n">
        <f aca="false">IFERROR(IF(M476="Abs",0,IF(ROUND((D476-C476+E476-F476)*1440,0)&lt;=1,0,D476-C476+E476-F476)),0)</f>
        <v>0</v>
      </c>
      <c r="Y476" s="6" t="str">
        <f aca="false">IFERROR(VLOOKUP($B476,Agents!$A:$D,3,0),"-")</f>
        <v>OUBRAHIM Mohammed</v>
      </c>
      <c r="Z476" s="6" t="str">
        <f aca="false">IFERROR(VLOOKUP($B476,Agents!$A:$D,4,0),"-")</f>
        <v>Credit Mutuel</v>
      </c>
      <c r="AA476" s="18" t="s">
        <v>94</v>
      </c>
      <c r="AB476" s="8" t="str">
        <f aca="false">IF(AND(D476="Congé",F476="Congé"),0.333333333333333,IF(OR(AND(D476="Congé",F476&lt;&gt;"Congé"),(AND(F476="Congé",D476&lt;&gt;"Congé"))),0.166666666666667,""))</f>
        <v/>
      </c>
      <c r="AC476" s="8" t="str">
        <f aca="false">IF(AND(D476="Congé sans solde",F476="Congé sans solde"),0.333333333333333,IF(OR(AND(D476="Congé sans solde",F476&lt;&gt;"Congé sans solde"),(AND(F476="Congé sans solde",D476&lt;&gt;"Congé sans solde"))),0.166666666666667,""))</f>
        <v/>
      </c>
      <c r="AD476" s="8" t="str">
        <f aca="false">IF(AND(D476="Congé spécial",F476="Congé spécial"),0.333333333333333,IF(OR(AND(D476="Congé spécial",F476&lt;&gt;"Congé spécial"),AND(F476="Congé spécial",D476&lt;&gt;"Congé spécial")),0.166666666666667,""))</f>
        <v/>
      </c>
      <c r="AE476" s="8" t="str">
        <f aca="false">IF(AND(D476="Férié",F476="Férié"),0.333333333333333,IF(OR(AND(D476="Férié",F476&lt;&gt;"Férié"),(AND(F476="Férié",D476&lt;&gt;"Férié"))),0.166666666666667,""))</f>
        <v/>
      </c>
      <c r="AF476" s="18"/>
      <c r="AG476" s="18" t="s">
        <v>91</v>
      </c>
    </row>
    <row r="477" customFormat="false" ht="15" hidden="false" customHeight="false" outlineLevel="0" collapsed="false">
      <c r="A477" s="6" t="str">
        <f aca="false">YEAR(Q477-WEEKDAY(Q477,2)+4)&amp;"-S"&amp;TEXT(WEEKNUM(Q477,21),"00")</f>
        <v>2026-S12</v>
      </c>
      <c r="B477" s="18" t="s">
        <v>73</v>
      </c>
      <c r="C477" s="19" t="n">
        <v>0.333333333333333</v>
      </c>
      <c r="D477" s="19" t="n">
        <v>0.333333333333333</v>
      </c>
      <c r="E477" s="19" t="n">
        <v>0.708333333333333</v>
      </c>
      <c r="F477" s="19" t="n">
        <v>0.708333333333333</v>
      </c>
      <c r="G477" s="20"/>
      <c r="H477" s="20"/>
      <c r="I477" s="8" t="str">
        <f aca="false">IF(IF(OR(C477="",D477="Congé",D477="OFF",D477="Congé spécial"),"",IF(D477&gt;F477,D477-C477,IF(C477-D477&lt;0,0,C477-D477)))&lt;0.00068287037037037,"",IF(OR(D477="Congé",D477="OFF",C477="",D477="Congé spécial"),"",IF(D477&gt;F477,D477-C477,IF(C477-D477&lt;0,0,C477-D477))))</f>
        <v/>
      </c>
      <c r="J477" s="20"/>
      <c r="K477" s="8" t="n">
        <f aca="false">IF(SUM(H477:J477)&lt;0.00068287037037037,0,SUM(H477:J477))</f>
        <v>0</v>
      </c>
      <c r="L477" s="8" t="n">
        <f aca="false">IF(OR(F477="Congé",F477="OFF",M477="Abs",F477="Congé sans solde",F477="Férié",F477="Congé spécial",D477="Congé spécial"),0,IF(F477-E477&lt;0,0,IF(F477-E477&lt;=0.00068287037037037,0,F477-E477)))</f>
        <v>0</v>
      </c>
      <c r="M477" s="6" t="n">
        <f aca="false">IF(AND(O477&lt;&gt;0,C477=""),"Abs",0)</f>
        <v>0</v>
      </c>
      <c r="N477" s="8" t="n">
        <f aca="false">IFERROR(IF(OR(D477="OFF",D477="Congé",M477="Abs",D477="Congé sans solde",D477="Férié"),"",IF(O477-K477-L477&gt;O477,O477,IF(O477-K477-L477&lt;0,"",O477-K477-L477))),"")</f>
        <v>0.375</v>
      </c>
      <c r="O477" s="8" t="n">
        <f aca="false">IF(AG477="2H Pause déjeuner",IF(F477-D477-0.0833333333333333&lt;0,F477-D477-0.0833333333333333+1,F477-D477-0.0833333333333333),IF(OR(AND(F477="OFF",D477="OFF"),AND(F477="Congé",D477="Congé"),AND(F477="Congé sans solde",D477="Congé sans solde"),AND(F477="Congé spécial",D477="Congé spécial"),AND(F477="Férié",D477="Férié"),AND(F477="OFF",D477="Congé"),AND(F477="OFF",D477="Congé sans solde"),AND(F477="OFF",D477="Congé spécial"),AND(F477="OFF",D477="Férié"),AND(F477="Congé",D477="OFF"),AND(F477="Congé",D477="Congé sans solde"),AND(F477="Congé",D477="Congé spécial"),AND(F477="Congé",D477="Férié"),AND(F477="Congé sans solde",D477="OFF"),AND(F477="Congé sans solde",D477="Congé"),AND(F477="Congé sans solde",D477="Congé spécial"),AND(F477="Congé sans solde",D477="Férié"),AND(F477="Congé spécial",D477="OFF"),AND(F477="Congé spécial",D477="Congé"),AND(F477="Congé spécial",D477="Congé sans solde"),AND(F477="Congé spécial",D477="Férié"),AND(F477="Férié",D477="OFF"),AND(F477="Férié",D477="Congé"),AND(F477="Férié",D477="Congé sans solde"),AND(F477="Férié",D477="Congé spécial")),0,IF(OR(F477="OFF",F477="Congé",F477="Congé spécial",F477="Congé sans solde",D477="OFF",D477="Congé",D477="Congé spécial",D477="Congé sans solde"),0.208333333333334,IF(AND(AG477="",F477-D477&lt;0),("24:00:00"-D477)+("00:00:00"+F477)-0.0416666666666667,IF(AND(OR(AG477="Allaitement",AG477="Sans déjeuner"),F477-D477&lt;0),("24:00:00"-D477)+("00:00:00"+F477),IF(AND(AG477="",F477-D477&gt;0.166666666666667),F477-D477-0.0416666666666667,IF(AND(OR(AG477="Allaitement",AG477="Sans déjeuner"),F477-D477&gt;0.166666666666667),F477-D477,F477-D477)))))))</f>
        <v>0.375</v>
      </c>
      <c r="P477" s="6" t="str">
        <f aca="false">IFERROR(VLOOKUP($B477,Agents!$A:$D,2,0),"-")</f>
        <v>Accessibilité</v>
      </c>
      <c r="Q477" s="21" t="n">
        <v>46100</v>
      </c>
      <c r="R477" s="8" t="n">
        <f aca="false">IF(M477="Abs",O477,0)</f>
        <v>0</v>
      </c>
      <c r="S477" s="8" t="n">
        <f aca="false">SUM(R477,L477,I477,J477,W477,H477)</f>
        <v>0</v>
      </c>
      <c r="T477" s="6" t="str">
        <f aca="false">"Sem - "&amp;WEEKNUM(Q477,21)</f>
        <v>Sem - 12</v>
      </c>
      <c r="U477" s="6" t="str">
        <f aca="false">CHOOSE(MONTH(Q477),"Janvier","Février","Mars","Avril","Mai","Juin","Juillet","Août","Septembre","Octobre","Novembre","Décembre")</f>
        <v>Mars</v>
      </c>
      <c r="V477" s="22" t="n">
        <f aca="false">YEAR(Q477)</f>
        <v>2026</v>
      </c>
      <c r="W477" s="20"/>
      <c r="X477" s="8" t="n">
        <f aca="false">IFERROR(IF(M477="Abs",0,IF(ROUND((D477-C477+E477-F477)*1440,0)&lt;=1,0,D477-C477+E477-F477)),0)</f>
        <v>0</v>
      </c>
      <c r="Y477" s="6" t="str">
        <f aca="false">IFERROR(VLOOKUP($B477,Agents!$A:$D,3,0),"-")</f>
        <v>OUBRAHIM Mohammed</v>
      </c>
      <c r="Z477" s="6" t="str">
        <f aca="false">IFERROR(VLOOKUP($B477,Agents!$A:$D,4,0),"-")</f>
        <v>Credit Mutuel</v>
      </c>
      <c r="AA477" s="18" t="s">
        <v>94</v>
      </c>
      <c r="AB477" s="8" t="str">
        <f aca="false">IF(AND(D477="Congé",F477="Congé"),0.333333333333333,IF(OR(AND(D477="Congé",F477&lt;&gt;"Congé"),(AND(F477="Congé",D477&lt;&gt;"Congé"))),0.166666666666667,""))</f>
        <v/>
      </c>
      <c r="AC477" s="8" t="str">
        <f aca="false">IF(AND(D477="Congé sans solde",F477="Congé sans solde"),0.333333333333333,IF(OR(AND(D477="Congé sans solde",F477&lt;&gt;"Congé sans solde"),(AND(F477="Congé sans solde",D477&lt;&gt;"Congé sans solde"))),0.166666666666667,""))</f>
        <v/>
      </c>
      <c r="AD477" s="8" t="str">
        <f aca="false">IF(AND(D477="Congé spécial",F477="Congé spécial"),0.333333333333333,IF(OR(AND(D477="Congé spécial",F477&lt;&gt;"Congé spécial"),AND(F477="Congé spécial",D477&lt;&gt;"Congé spécial")),0.166666666666667,""))</f>
        <v/>
      </c>
      <c r="AE477" s="8" t="str">
        <f aca="false">IF(AND(D477="Férié",F477="Férié"),0.333333333333333,IF(OR(AND(D477="Férié",F477&lt;&gt;"Férié"),(AND(F477="Férié",D477&lt;&gt;"Férié"))),0.166666666666667,""))</f>
        <v/>
      </c>
      <c r="AF477" s="18"/>
      <c r="AG477" s="18" t="s">
        <v>91</v>
      </c>
    </row>
    <row r="478" customFormat="false" ht="15" hidden="false" customHeight="false" outlineLevel="0" collapsed="false">
      <c r="A478" s="6" t="str">
        <f aca="false">YEAR(Q478-WEEKDAY(Q478,2)+4)&amp;"-S"&amp;TEXT(WEEKNUM(Q478,21),"00")</f>
        <v>2026-S12</v>
      </c>
      <c r="B478" s="18" t="s">
        <v>69</v>
      </c>
      <c r="C478" s="19" t="n">
        <v>0.333333333333333</v>
      </c>
      <c r="D478" s="19" t="n">
        <v>0.333333333333333</v>
      </c>
      <c r="E478" s="19" t="n">
        <v>0.666666666666667</v>
      </c>
      <c r="F478" s="19" t="n">
        <v>0.666666666666667</v>
      </c>
      <c r="G478" s="20"/>
      <c r="H478" s="20"/>
      <c r="I478" s="8" t="str">
        <f aca="false">IF(IF(OR(C478="",D478="Congé",D478="OFF",D478="Congé spécial"),"",IF(D478&gt;F478,D478-C478,IF(C478-D478&lt;0,0,C478-D478)))&lt;0.00068287037037037,"",IF(OR(D478="Congé",D478="OFF",C478="",D478="Congé spécial"),"",IF(D478&gt;F478,D478-C478,IF(C478-D478&lt;0,0,C478-D478))))</f>
        <v/>
      </c>
      <c r="J478" s="20"/>
      <c r="K478" s="8" t="n">
        <f aca="false">IF(SUM(H478:J478)&lt;0.00068287037037037,0,SUM(H478:J478))</f>
        <v>0</v>
      </c>
      <c r="L478" s="8" t="n">
        <f aca="false">IF(OR(F478="Congé",F478="OFF",M478="Abs",F478="Congé sans solde",F478="Férié",F478="Congé spécial",D478="Congé spécial"),0,IF(F478-E478&lt;0,0,IF(F478-E478&lt;=0.00068287037037037,0,F478-E478)))</f>
        <v>0</v>
      </c>
      <c r="M478" s="6" t="n">
        <f aca="false">IF(AND(O478&lt;&gt;0,C478=""),"Abs",0)</f>
        <v>0</v>
      </c>
      <c r="N478" s="8" t="n">
        <f aca="false">IFERROR(IF(OR(D478="OFF",D478="Congé",M478="Abs",D478="Congé sans solde",D478="Férié"),"",IF(O478-K478-L478&gt;O478,O478,IF(O478-K478-L478&lt;0,"",O478-K478-L478))),"")</f>
        <v>0.333333333333333</v>
      </c>
      <c r="O478" s="8" t="n">
        <f aca="false">IF(AG478="2H Pause déjeuner",IF(F478-D478-0.0833333333333333&lt;0,F478-D478-0.0833333333333333+1,F478-D478-0.0833333333333333),IF(OR(AND(F478="OFF",D478="OFF"),AND(F478="Congé",D478="Congé"),AND(F478="Congé sans solde",D478="Congé sans solde"),AND(F478="Congé spécial",D478="Congé spécial"),AND(F478="Férié",D478="Férié"),AND(F478="OFF",D478="Congé"),AND(F478="OFF",D478="Congé sans solde"),AND(F478="OFF",D478="Congé spécial"),AND(F478="OFF",D478="Férié"),AND(F478="Congé",D478="OFF"),AND(F478="Congé",D478="Congé sans solde"),AND(F478="Congé",D478="Congé spécial"),AND(F478="Congé",D478="Férié"),AND(F478="Congé sans solde",D478="OFF"),AND(F478="Congé sans solde",D478="Congé"),AND(F478="Congé sans solde",D478="Congé spécial"),AND(F478="Congé sans solde",D478="Férié"),AND(F478="Congé spécial",D478="OFF"),AND(F478="Congé spécial",D478="Congé"),AND(F478="Congé spécial",D478="Congé sans solde"),AND(F478="Congé spécial",D478="Férié"),AND(F478="Férié",D478="OFF"),AND(F478="Férié",D478="Congé"),AND(F478="Férié",D478="Congé sans solde"),AND(F478="Férié",D478="Congé spécial")),0,IF(OR(F478="OFF",F478="Congé",F478="Congé spécial",F478="Congé sans solde",D478="OFF",D478="Congé",D478="Congé spécial",D478="Congé sans solde"),0.208333333333334,IF(AND(AG478="",F478-D478&lt;0),("24:00:00"-D478)+("00:00:00"+F478)-0.0416666666666667,IF(AND(OR(AG478="Allaitement",AG478="Sans déjeuner"),F478-D478&lt;0),("24:00:00"-D478)+("00:00:00"+F478),IF(AND(AG478="",F478-D478&gt;0.166666666666667),F478-D478-0.0416666666666667,IF(AND(OR(AG478="Allaitement",AG478="Sans déjeuner"),F478-D478&gt;0.166666666666667),F478-D478,F478-D478)))))))</f>
        <v>0.333333333333333</v>
      </c>
      <c r="P478" s="6" t="str">
        <f aca="false">IFERROR(VLOOKUP($B478,Agents!$A:$D,2,0),"-")</f>
        <v>Accessibilité</v>
      </c>
      <c r="Q478" s="21" t="n">
        <v>46101</v>
      </c>
      <c r="R478" s="8" t="n">
        <f aca="false">IF(M478="Abs",O478,0)</f>
        <v>0</v>
      </c>
      <c r="S478" s="8" t="n">
        <f aca="false">SUM(R478,L478,I478,J478,W478,H478)</f>
        <v>0</v>
      </c>
      <c r="T478" s="6" t="str">
        <f aca="false">"Sem - "&amp;WEEKNUM(Q478,21)</f>
        <v>Sem - 12</v>
      </c>
      <c r="U478" s="6" t="str">
        <f aca="false">CHOOSE(MONTH(Q478),"Janvier","Février","Mars","Avril","Mai","Juin","Juillet","Août","Septembre","Octobre","Novembre","Décembre")</f>
        <v>Mars</v>
      </c>
      <c r="V478" s="22" t="n">
        <f aca="false">YEAR(Q478)</f>
        <v>2026</v>
      </c>
      <c r="W478" s="20"/>
      <c r="X478" s="8" t="n">
        <f aca="false">IFERROR(IF(M478="Abs",0,IF(ROUND((D478-C478+E478-F478)*1440,0)&lt;=1,0,D478-C478+E478-F478)),0)</f>
        <v>0</v>
      </c>
      <c r="Y478" s="6" t="str">
        <f aca="false">IFERROR(VLOOKUP($B478,Agents!$A:$D,3,0),"-")</f>
        <v>OUBRAHIM Mohammed</v>
      </c>
      <c r="Z478" s="6" t="str">
        <f aca="false">IFERROR(VLOOKUP($B478,Agents!$A:$D,4,0),"-")</f>
        <v>Credit Mutuel</v>
      </c>
      <c r="AA478" s="18" t="s">
        <v>94</v>
      </c>
      <c r="AB478" s="8" t="str">
        <f aca="false">IF(AND(D478="Congé",F478="Congé"),0.333333333333333,IF(OR(AND(D478="Congé",F478&lt;&gt;"Congé"),(AND(F478="Congé",D478&lt;&gt;"Congé"))),0.166666666666667,""))</f>
        <v/>
      </c>
      <c r="AC478" s="8" t="str">
        <f aca="false">IF(AND(D478="Congé sans solde",F478="Congé sans solde"),0.333333333333333,IF(OR(AND(D478="Congé sans solde",F478&lt;&gt;"Congé sans solde"),(AND(F478="Congé sans solde",D478&lt;&gt;"Congé sans solde"))),0.166666666666667,""))</f>
        <v/>
      </c>
      <c r="AD478" s="8" t="str">
        <f aca="false">IF(AND(D478="Congé spécial",F478="Congé spécial"),0.333333333333333,IF(OR(AND(D478="Congé spécial",F478&lt;&gt;"Congé spécial"),AND(F478="Congé spécial",D478&lt;&gt;"Congé spécial")),0.166666666666667,""))</f>
        <v/>
      </c>
      <c r="AE478" s="8" t="str">
        <f aca="false">IF(AND(D478="Férié",F478="Férié"),0.333333333333333,IF(OR(AND(D478="Férié",F478&lt;&gt;"Férié"),(AND(F478="Férié",D478&lt;&gt;"Férié"))),0.166666666666667,""))</f>
        <v/>
      </c>
      <c r="AF478" s="18"/>
      <c r="AG478" s="18" t="s">
        <v>91</v>
      </c>
    </row>
    <row r="479" customFormat="false" ht="15" hidden="false" customHeight="false" outlineLevel="0" collapsed="false">
      <c r="A479" s="6" t="str">
        <f aca="false">YEAR(Q479-WEEKDAY(Q479,2)+4)&amp;"-S"&amp;TEXT(WEEKNUM(Q479,21),"00")</f>
        <v>2026-S12</v>
      </c>
      <c r="B479" s="18" t="s">
        <v>71</v>
      </c>
      <c r="C479" s="19"/>
      <c r="D479" s="19" t="s">
        <v>81</v>
      </c>
      <c r="E479" s="19"/>
      <c r="F479" s="19" t="s">
        <v>81</v>
      </c>
      <c r="G479" s="20"/>
      <c r="H479" s="20"/>
      <c r="I479" s="8" t="str">
        <f aca="false">IF(IF(OR(C479="",D479="Congé",D479="OFF",D479="Congé spécial"),"",IF(D479&gt;F479,D479-C479,IF(C479-D479&lt;0,0,C479-D479)))&lt;0.00068287037037037,"",IF(OR(D479="Congé",D479="OFF",C479="",D479="Congé spécial"),"",IF(D479&gt;F479,D479-C479,IF(C479-D479&lt;0,0,C479-D479))))</f>
        <v/>
      </c>
      <c r="J479" s="20"/>
      <c r="K479" s="8" t="n">
        <f aca="false">IF(SUM(H479:J479)&lt;0.00068287037037037,0,SUM(H479:J479))</f>
        <v>0</v>
      </c>
      <c r="L479" s="8" t="n">
        <f aca="false">IF(OR(F479="Congé",F479="OFF",M479="Abs",F479="Congé sans solde",F479="Férié",F479="Congé spécial",D479="Congé spécial"),0,IF(F479-E479&lt;0,0,IF(F479-E479&lt;=0.00068287037037037,0,F479-E479)))</f>
        <v>0</v>
      </c>
      <c r="M479" s="6" t="n">
        <f aca="false">IF(AND(O479&lt;&gt;0,C479=""),"Abs",0)</f>
        <v>0</v>
      </c>
      <c r="N479" s="8" t="str">
        <f aca="false">IFERROR(IF(OR(D479="OFF",D479="Congé",M479="Abs",D479="Congé sans solde",D479="Férié"),"",IF(O479-K479-L479&gt;O479,O479,IF(O479-K479-L479&lt;0,"",O479-K479-L479))),"")</f>
        <v/>
      </c>
      <c r="O479" s="8" t="n">
        <f aca="false">IF(AG479="2H Pause déjeuner",IF(F479-D479-0.0833333333333333&lt;0,F479-D479-0.0833333333333333+1,F479-D479-0.0833333333333333),IF(OR(AND(F479="OFF",D479="OFF"),AND(F479="Congé",D479="Congé"),AND(F479="Congé sans solde",D479="Congé sans solde"),AND(F479="Congé spécial",D479="Congé spécial"),AND(F479="Férié",D479="Férié"),AND(F479="OFF",D479="Congé"),AND(F479="OFF",D479="Congé sans solde"),AND(F479="OFF",D479="Congé spécial"),AND(F479="OFF",D479="Férié"),AND(F479="Congé",D479="OFF"),AND(F479="Congé",D479="Congé sans solde"),AND(F479="Congé",D479="Congé spécial"),AND(F479="Congé",D479="Férié"),AND(F479="Congé sans solde",D479="OFF"),AND(F479="Congé sans solde",D479="Congé"),AND(F479="Congé sans solde",D479="Congé spécial"),AND(F479="Congé sans solde",D479="Férié"),AND(F479="Congé spécial",D479="OFF"),AND(F479="Congé spécial",D479="Congé"),AND(F479="Congé spécial",D479="Congé sans solde"),AND(F479="Congé spécial",D479="Férié"),AND(F479="Férié",D479="OFF"),AND(F479="Férié",D479="Congé"),AND(F479="Férié",D479="Congé sans solde"),AND(F479="Férié",D479="Congé spécial")),0,IF(OR(F479="OFF",F479="Congé",F479="Congé spécial",F479="Congé sans solde",D479="OFF",D479="Congé",D479="Congé spécial",D479="Congé sans solde"),0.208333333333334,IF(AND(AG479="",F479-D479&lt;0),("24:00:00"-D479)+("00:00:00"+F479)-0.0416666666666667,IF(AND(OR(AG479="Allaitement",AG479="Sans déjeuner"),F479-D479&lt;0),("24:00:00"-D479)+("00:00:00"+F479),IF(AND(AG479="",F479-D479&gt;0.166666666666667),F479-D479-0.0416666666666667,IF(AND(OR(AG479="Allaitement",AG479="Sans déjeuner"),F479-D479&gt;0.166666666666667),F479-D479,F479-D479)))))))</f>
        <v>0</v>
      </c>
      <c r="P479" s="6" t="str">
        <f aca="false">IFERROR(VLOOKUP($B479,Agents!$A:$D,2,0),"-")</f>
        <v>Accessibilité</v>
      </c>
      <c r="Q479" s="21" t="n">
        <v>46101</v>
      </c>
      <c r="R479" s="8" t="n">
        <f aca="false">IF(M479="Abs",O479,0)</f>
        <v>0</v>
      </c>
      <c r="S479" s="8" t="n">
        <f aca="false">SUM(R479,L479,I479,J479,W479,H479)</f>
        <v>0</v>
      </c>
      <c r="T479" s="6" t="str">
        <f aca="false">"Sem - "&amp;WEEKNUM(Q479,21)</f>
        <v>Sem - 12</v>
      </c>
      <c r="U479" s="6" t="str">
        <f aca="false">CHOOSE(MONTH(Q479),"Janvier","Février","Mars","Avril","Mai","Juin","Juillet","Août","Septembre","Octobre","Novembre","Décembre")</f>
        <v>Mars</v>
      </c>
      <c r="V479" s="22" t="n">
        <f aca="false">YEAR(Q479)</f>
        <v>2026</v>
      </c>
      <c r="W479" s="20"/>
      <c r="X479" s="8" t="n">
        <f aca="false">IFERROR(IF(M479="Abs",0,IF(ROUND((D479-C479+E479-F479)*1440,0)&lt;=1,0,D479-C479+E479-F479)),0)</f>
        <v>0</v>
      </c>
      <c r="Y479" s="6" t="str">
        <f aca="false">IFERROR(VLOOKUP($B479,Agents!$A:$D,3,0),"-")</f>
        <v>OUBRAHIM Mohammed</v>
      </c>
      <c r="Z479" s="6" t="str">
        <f aca="false">IFERROR(VLOOKUP($B479,Agents!$A:$D,4,0),"-")</f>
        <v>Credit Mutuel</v>
      </c>
      <c r="AA479" s="18" t="s">
        <v>94</v>
      </c>
      <c r="AB479" s="8" t="str">
        <f aca="false">IF(AND(D479="Congé",F479="Congé"),0.333333333333333,IF(OR(AND(D479="Congé",F479&lt;&gt;"Congé"),(AND(F479="Congé",D479&lt;&gt;"Congé"))),0.166666666666667,""))</f>
        <v/>
      </c>
      <c r="AC479" s="8" t="str">
        <f aca="false">IF(AND(D479="Congé sans solde",F479="Congé sans solde"),0.333333333333333,IF(OR(AND(D479="Congé sans solde",F479&lt;&gt;"Congé sans solde"),(AND(F479="Congé sans solde",D479&lt;&gt;"Congé sans solde"))),0.166666666666667,""))</f>
        <v/>
      </c>
      <c r="AD479" s="8" t="str">
        <f aca="false">IF(AND(D479="Congé spécial",F479="Congé spécial"),0.333333333333333,IF(OR(AND(D479="Congé spécial",F479&lt;&gt;"Congé spécial"),AND(F479="Congé spécial",D479&lt;&gt;"Congé spécial")),0.166666666666667,""))</f>
        <v/>
      </c>
      <c r="AE479" s="8" t="n">
        <f aca="false">IF(AND(D479="Férié",F479="Férié"),0.333333333333333,IF(OR(AND(D479="Férié",F479&lt;&gt;"Férié"),(AND(F479="Férié",D479&lt;&gt;"Férié"))),0.166666666666667,""))</f>
        <v>0.333333333333333</v>
      </c>
      <c r="AF479" s="18"/>
      <c r="AG479" s="18" t="s">
        <v>91</v>
      </c>
    </row>
    <row r="480" customFormat="false" ht="15" hidden="false" customHeight="false" outlineLevel="0" collapsed="false">
      <c r="A480" s="6" t="str">
        <f aca="false">YEAR(Q480-WEEKDAY(Q480,2)+4)&amp;"-S"&amp;TEXT(WEEKNUM(Q480,21),"00")</f>
        <v>2026-S12</v>
      </c>
      <c r="B480" s="18" t="s">
        <v>72</v>
      </c>
      <c r="C480" s="19" t="n">
        <v>0.333333333333333</v>
      </c>
      <c r="D480" s="19" t="n">
        <v>0.333333333333333</v>
      </c>
      <c r="E480" s="19" t="n">
        <v>0.666666666666667</v>
      </c>
      <c r="F480" s="19" t="n">
        <v>0.666666666666667</v>
      </c>
      <c r="G480" s="20"/>
      <c r="H480" s="20"/>
      <c r="I480" s="8" t="str">
        <f aca="false">IF(IF(OR(C480="",D480="Congé",D480="OFF",D480="Congé spécial"),"",IF(D480&gt;F480,D480-C480,IF(C480-D480&lt;0,0,C480-D480)))&lt;0.00068287037037037,"",IF(OR(D480="Congé",D480="OFF",C480="",D480="Congé spécial"),"",IF(D480&gt;F480,D480-C480,IF(C480-D480&lt;0,0,C480-D480))))</f>
        <v/>
      </c>
      <c r="J480" s="20"/>
      <c r="K480" s="8" t="n">
        <f aca="false">IF(SUM(H480:J480)&lt;0.00068287037037037,0,SUM(H480:J480))</f>
        <v>0</v>
      </c>
      <c r="L480" s="8" t="n">
        <f aca="false">IF(OR(F480="Congé",F480="OFF",M480="Abs",F480="Congé sans solde",F480="Férié",F480="Congé spécial",D480="Congé spécial"),0,IF(F480-E480&lt;0,0,IF(F480-E480&lt;=0.00068287037037037,0,F480-E480)))</f>
        <v>0</v>
      </c>
      <c r="M480" s="6" t="n">
        <f aca="false">IF(AND(O480&lt;&gt;0,C480=""),"Abs",0)</f>
        <v>0</v>
      </c>
      <c r="N480" s="8" t="n">
        <f aca="false">IFERROR(IF(OR(D480="OFF",D480="Congé",M480="Abs",D480="Congé sans solde",D480="Férié"),"",IF(O480-K480-L480&gt;O480,O480,IF(O480-K480-L480&lt;0,"",O480-K480-L480))),"")</f>
        <v>0.333333333333333</v>
      </c>
      <c r="O480" s="8" t="n">
        <f aca="false">IF(AG480="2H Pause déjeuner",IF(F480-D480-0.0833333333333333&lt;0,F480-D480-0.0833333333333333+1,F480-D480-0.0833333333333333),IF(OR(AND(F480="OFF",D480="OFF"),AND(F480="Congé",D480="Congé"),AND(F480="Congé sans solde",D480="Congé sans solde"),AND(F480="Congé spécial",D480="Congé spécial"),AND(F480="Férié",D480="Férié"),AND(F480="OFF",D480="Congé"),AND(F480="OFF",D480="Congé sans solde"),AND(F480="OFF",D480="Congé spécial"),AND(F480="OFF",D480="Férié"),AND(F480="Congé",D480="OFF"),AND(F480="Congé",D480="Congé sans solde"),AND(F480="Congé",D480="Congé spécial"),AND(F480="Congé",D480="Férié"),AND(F480="Congé sans solde",D480="OFF"),AND(F480="Congé sans solde",D480="Congé"),AND(F480="Congé sans solde",D480="Congé spécial"),AND(F480="Congé sans solde",D480="Férié"),AND(F480="Congé spécial",D480="OFF"),AND(F480="Congé spécial",D480="Congé"),AND(F480="Congé spécial",D480="Congé sans solde"),AND(F480="Congé spécial",D480="Férié"),AND(F480="Férié",D480="OFF"),AND(F480="Férié",D480="Congé"),AND(F480="Férié",D480="Congé sans solde"),AND(F480="Férié",D480="Congé spécial")),0,IF(OR(F480="OFF",F480="Congé",F480="Congé spécial",F480="Congé sans solde",D480="OFF",D480="Congé",D480="Congé spécial",D480="Congé sans solde"),0.208333333333334,IF(AND(AG480="",F480-D480&lt;0),("24:00:00"-D480)+("00:00:00"+F480)-0.0416666666666667,IF(AND(OR(AG480="Allaitement",AG480="Sans déjeuner"),F480-D480&lt;0),("24:00:00"-D480)+("00:00:00"+F480),IF(AND(AG480="",F480-D480&gt;0.166666666666667),F480-D480-0.0416666666666667,IF(AND(OR(AG480="Allaitement",AG480="Sans déjeuner"),F480-D480&gt;0.166666666666667),F480-D480,F480-D480)))))))</f>
        <v>0.333333333333333</v>
      </c>
      <c r="P480" s="6" t="str">
        <f aca="false">IFERROR(VLOOKUP($B480,Agents!$A:$D,2,0),"-")</f>
        <v>Accessibilité</v>
      </c>
      <c r="Q480" s="21" t="n">
        <v>46101</v>
      </c>
      <c r="R480" s="8" t="n">
        <f aca="false">IF(M480="Abs",O480,0)</f>
        <v>0</v>
      </c>
      <c r="S480" s="8" t="n">
        <f aca="false">SUM(R480,L480,I480,J480,W480,H480)</f>
        <v>0</v>
      </c>
      <c r="T480" s="6" t="str">
        <f aca="false">"Sem - "&amp;WEEKNUM(Q480,21)</f>
        <v>Sem - 12</v>
      </c>
      <c r="U480" s="6" t="str">
        <f aca="false">CHOOSE(MONTH(Q480),"Janvier","Février","Mars","Avril","Mai","Juin","Juillet","Août","Septembre","Octobre","Novembre","Décembre")</f>
        <v>Mars</v>
      </c>
      <c r="V480" s="22" t="n">
        <f aca="false">YEAR(Q480)</f>
        <v>2026</v>
      </c>
      <c r="W480" s="20"/>
      <c r="X480" s="8" t="n">
        <f aca="false">IFERROR(IF(M480="Abs",0,IF(ROUND((D480-C480+E480-F480)*1440,0)&lt;=1,0,D480-C480+E480-F480)),0)</f>
        <v>0</v>
      </c>
      <c r="Y480" s="6" t="str">
        <f aca="false">IFERROR(VLOOKUP($B480,Agents!$A:$D,3,0),"-")</f>
        <v>OUBRAHIM Mohammed</v>
      </c>
      <c r="Z480" s="6" t="str">
        <f aca="false">IFERROR(VLOOKUP($B480,Agents!$A:$D,4,0),"-")</f>
        <v>Credit Mutuel</v>
      </c>
      <c r="AA480" s="18" t="s">
        <v>94</v>
      </c>
      <c r="AB480" s="8" t="str">
        <f aca="false">IF(AND(D480="Congé",F480="Congé"),0.333333333333333,IF(OR(AND(D480="Congé",F480&lt;&gt;"Congé"),(AND(F480="Congé",D480&lt;&gt;"Congé"))),0.166666666666667,""))</f>
        <v/>
      </c>
      <c r="AC480" s="8" t="str">
        <f aca="false">IF(AND(D480="Congé sans solde",F480="Congé sans solde"),0.333333333333333,IF(OR(AND(D480="Congé sans solde",F480&lt;&gt;"Congé sans solde"),(AND(F480="Congé sans solde",D480&lt;&gt;"Congé sans solde"))),0.166666666666667,""))</f>
        <v/>
      </c>
      <c r="AD480" s="8" t="str">
        <f aca="false">IF(AND(D480="Congé spécial",F480="Congé spécial"),0.333333333333333,IF(OR(AND(D480="Congé spécial",F480&lt;&gt;"Congé spécial"),AND(F480="Congé spécial",D480&lt;&gt;"Congé spécial")),0.166666666666667,""))</f>
        <v/>
      </c>
      <c r="AE480" s="8" t="str">
        <f aca="false">IF(AND(D480="Férié",F480="Férié"),0.333333333333333,IF(OR(AND(D480="Férié",F480&lt;&gt;"Férié"),(AND(F480="Férié",D480&lt;&gt;"Férié"))),0.166666666666667,""))</f>
        <v/>
      </c>
      <c r="AF480" s="18"/>
      <c r="AG480" s="18" t="s">
        <v>91</v>
      </c>
    </row>
    <row r="481" customFormat="false" ht="15" hidden="false" customHeight="false" outlineLevel="0" collapsed="false">
      <c r="A481" s="6" t="str">
        <f aca="false">YEAR(Q481-WEEKDAY(Q481,2)+4)&amp;"-S"&amp;TEXT(WEEKNUM(Q481,21),"00")</f>
        <v>2026-S12</v>
      </c>
      <c r="B481" s="18" t="s">
        <v>73</v>
      </c>
      <c r="C481" s="19"/>
      <c r="D481" s="19" t="s">
        <v>81</v>
      </c>
      <c r="E481" s="19"/>
      <c r="F481" s="19" t="s">
        <v>81</v>
      </c>
      <c r="G481" s="20"/>
      <c r="H481" s="20"/>
      <c r="I481" s="8" t="str">
        <f aca="false">IF(IF(OR(C481="",D481="Congé",D481="OFF",D481="Congé spécial"),"",IF(D481&gt;F481,D481-C481,IF(C481-D481&lt;0,0,C481-D481)))&lt;0.00068287037037037,"",IF(OR(D481="Congé",D481="OFF",C481="",D481="Congé spécial"),"",IF(D481&gt;F481,D481-C481,IF(C481-D481&lt;0,0,C481-D481))))</f>
        <v/>
      </c>
      <c r="J481" s="20"/>
      <c r="K481" s="8" t="n">
        <f aca="false">IF(SUM(H481:J481)&lt;0.00068287037037037,0,SUM(H481:J481))</f>
        <v>0</v>
      </c>
      <c r="L481" s="8" t="n">
        <f aca="false">IF(OR(F481="Congé",F481="OFF",M481="Abs",F481="Congé sans solde",F481="Férié",F481="Congé spécial",D481="Congé spécial"),0,IF(F481-E481&lt;0,0,IF(F481-E481&lt;=0.00068287037037037,0,F481-E481)))</f>
        <v>0</v>
      </c>
      <c r="M481" s="6" t="n">
        <f aca="false">IF(AND(O481&lt;&gt;0,C481=""),"Abs",0)</f>
        <v>0</v>
      </c>
      <c r="N481" s="8" t="str">
        <f aca="false">IFERROR(IF(OR(D481="OFF",D481="Congé",M481="Abs",D481="Congé sans solde",D481="Férié"),"",IF(O481-K481-L481&gt;O481,O481,IF(O481-K481-L481&lt;0,"",O481-K481-L481))),"")</f>
        <v/>
      </c>
      <c r="O481" s="8" t="n">
        <f aca="false">IF(AG481="2H Pause déjeuner",IF(F481-D481-0.0833333333333333&lt;0,F481-D481-0.0833333333333333+1,F481-D481-0.0833333333333333),IF(OR(AND(F481="OFF",D481="OFF"),AND(F481="Congé",D481="Congé"),AND(F481="Congé sans solde",D481="Congé sans solde"),AND(F481="Congé spécial",D481="Congé spécial"),AND(F481="Férié",D481="Férié"),AND(F481="OFF",D481="Congé"),AND(F481="OFF",D481="Congé sans solde"),AND(F481="OFF",D481="Congé spécial"),AND(F481="OFF",D481="Férié"),AND(F481="Congé",D481="OFF"),AND(F481="Congé",D481="Congé sans solde"),AND(F481="Congé",D481="Congé spécial"),AND(F481="Congé",D481="Férié"),AND(F481="Congé sans solde",D481="OFF"),AND(F481="Congé sans solde",D481="Congé"),AND(F481="Congé sans solde",D481="Congé spécial"),AND(F481="Congé sans solde",D481="Férié"),AND(F481="Congé spécial",D481="OFF"),AND(F481="Congé spécial",D481="Congé"),AND(F481="Congé spécial",D481="Congé sans solde"),AND(F481="Congé spécial",D481="Férié"),AND(F481="Férié",D481="OFF"),AND(F481="Férié",D481="Congé"),AND(F481="Férié",D481="Congé sans solde"),AND(F481="Férié",D481="Congé spécial")),0,IF(OR(F481="OFF",F481="Congé",F481="Congé spécial",F481="Congé sans solde",D481="OFF",D481="Congé",D481="Congé spécial",D481="Congé sans solde"),0.208333333333334,IF(AND(AG481="",F481-D481&lt;0),("24:00:00"-D481)+("00:00:00"+F481)-0.0416666666666667,IF(AND(OR(AG481="Allaitement",AG481="Sans déjeuner"),F481-D481&lt;0),("24:00:00"-D481)+("00:00:00"+F481),IF(AND(AG481="",F481-D481&gt;0.166666666666667),F481-D481-0.0416666666666667,IF(AND(OR(AG481="Allaitement",AG481="Sans déjeuner"),F481-D481&gt;0.166666666666667),F481-D481,F481-D481)))))))</f>
        <v>0</v>
      </c>
      <c r="P481" s="6" t="str">
        <f aca="false">IFERROR(VLOOKUP($B481,Agents!$A:$D,2,0),"-")</f>
        <v>Accessibilité</v>
      </c>
      <c r="Q481" s="21" t="n">
        <v>46101</v>
      </c>
      <c r="R481" s="8" t="n">
        <f aca="false">IF(M481="Abs",O481,0)</f>
        <v>0</v>
      </c>
      <c r="S481" s="8" t="n">
        <f aca="false">SUM(R481,L481,I481,J481,W481,H481)</f>
        <v>0</v>
      </c>
      <c r="T481" s="6" t="str">
        <f aca="false">"Sem - "&amp;WEEKNUM(Q481,21)</f>
        <v>Sem - 12</v>
      </c>
      <c r="U481" s="6" t="str">
        <f aca="false">CHOOSE(MONTH(Q481),"Janvier","Février","Mars","Avril","Mai","Juin","Juillet","Août","Septembre","Octobre","Novembre","Décembre")</f>
        <v>Mars</v>
      </c>
      <c r="V481" s="22" t="n">
        <f aca="false">YEAR(Q481)</f>
        <v>2026</v>
      </c>
      <c r="W481" s="20"/>
      <c r="X481" s="8" t="n">
        <f aca="false">IFERROR(IF(M481="Abs",0,IF(ROUND((D481-C481+E481-F481)*1440,0)&lt;=1,0,D481-C481+E481-F481)),0)</f>
        <v>0</v>
      </c>
      <c r="Y481" s="6" t="str">
        <f aca="false">IFERROR(VLOOKUP($B481,Agents!$A:$D,3,0),"-")</f>
        <v>OUBRAHIM Mohammed</v>
      </c>
      <c r="Z481" s="6" t="str">
        <f aca="false">IFERROR(VLOOKUP($B481,Agents!$A:$D,4,0),"-")</f>
        <v>Credit Mutuel</v>
      </c>
      <c r="AA481" s="18" t="s">
        <v>94</v>
      </c>
      <c r="AB481" s="8" t="str">
        <f aca="false">IF(AND(D481="Congé",F481="Congé"),0.333333333333333,IF(OR(AND(D481="Congé",F481&lt;&gt;"Congé"),(AND(F481="Congé",D481&lt;&gt;"Congé"))),0.166666666666667,""))</f>
        <v/>
      </c>
      <c r="AC481" s="8" t="str">
        <f aca="false">IF(AND(D481="Congé sans solde",F481="Congé sans solde"),0.333333333333333,IF(OR(AND(D481="Congé sans solde",F481&lt;&gt;"Congé sans solde"),(AND(F481="Congé sans solde",D481&lt;&gt;"Congé sans solde"))),0.166666666666667,""))</f>
        <v/>
      </c>
      <c r="AD481" s="8" t="str">
        <f aca="false">IF(AND(D481="Congé spécial",F481="Congé spécial"),0.333333333333333,IF(OR(AND(D481="Congé spécial",F481&lt;&gt;"Congé spécial"),AND(F481="Congé spécial",D481&lt;&gt;"Congé spécial")),0.166666666666667,""))</f>
        <v/>
      </c>
      <c r="AE481" s="8" t="n">
        <f aca="false">IF(AND(D481="Férié",F481="Férié"),0.333333333333333,IF(OR(AND(D481="Férié",F481&lt;&gt;"Férié"),(AND(F481="Férié",D481&lt;&gt;"Férié"))),0.166666666666667,""))</f>
        <v>0.333333333333333</v>
      </c>
      <c r="AF481" s="18"/>
      <c r="AG481" s="18" t="s">
        <v>91</v>
      </c>
    </row>
    <row r="482" customFormat="false" ht="15" hidden="false" customHeight="false" outlineLevel="0" collapsed="false">
      <c r="A482" s="6" t="str">
        <f aca="false">YEAR(Q482-WEEKDAY(Q482,2)+4)&amp;"-S"&amp;TEXT(WEEKNUM(Q482,21),"00")</f>
        <v>2026-S12</v>
      </c>
      <c r="B482" s="18" t="s">
        <v>69</v>
      </c>
      <c r="C482" s="19"/>
      <c r="D482" s="19" t="s">
        <v>74</v>
      </c>
      <c r="E482" s="19"/>
      <c r="F482" s="19" t="s">
        <v>74</v>
      </c>
      <c r="G482" s="20"/>
      <c r="H482" s="20"/>
      <c r="I482" s="8" t="str">
        <f aca="false">IF(IF(OR(C482="",D482="Congé",D482="OFF",D482="Congé spécial"),"",IF(D482&gt;F482,D482-C482,IF(C482-D482&lt;0,0,C482-D482)))&lt;0.00068287037037037,"",IF(OR(D482="Congé",D482="OFF",C482="",D482="Congé spécial"),"",IF(D482&gt;F482,D482-C482,IF(C482-D482&lt;0,0,C482-D482))))</f>
        <v/>
      </c>
      <c r="J482" s="20"/>
      <c r="K482" s="8" t="n">
        <f aca="false">IF(SUM(H482:J482)&lt;0.00068287037037037,0,SUM(H482:J482))</f>
        <v>0</v>
      </c>
      <c r="L482" s="8" t="n">
        <f aca="false">IF(OR(F482="Congé",F482="OFF",M482="Abs",F482="Congé sans solde",F482="Férié",F482="Congé spécial",D482="Congé spécial"),0,IF(F482-E482&lt;0,0,IF(F482-E482&lt;=0.00068287037037037,0,F482-E482)))</f>
        <v>0</v>
      </c>
      <c r="M482" s="6" t="n">
        <f aca="false">IF(AND(O482&lt;&gt;0,C482=""),"Abs",0)</f>
        <v>0</v>
      </c>
      <c r="N482" s="8" t="str">
        <f aca="false">IFERROR(IF(OR(D482="OFF",D482="Congé",M482="Abs",D482="Congé sans solde",D482="Férié"),"",IF(O482-K482-L482&gt;O482,O482,IF(O482-K482-L482&lt;0,"",O482-K482-L482))),"")</f>
        <v/>
      </c>
      <c r="O482" s="8" t="n">
        <f aca="false">IF(AG482="2H Pause déjeuner",IF(F482-D482-0.0833333333333333&lt;0,F482-D482-0.0833333333333333+1,F482-D482-0.0833333333333333),IF(OR(AND(F482="OFF",D482="OFF"),AND(F482="Congé",D482="Congé"),AND(F482="Congé sans solde",D482="Congé sans solde"),AND(F482="Congé spécial",D482="Congé spécial"),AND(F482="Férié",D482="Férié"),AND(F482="OFF",D482="Congé"),AND(F482="OFF",D482="Congé sans solde"),AND(F482="OFF",D482="Congé spécial"),AND(F482="OFF",D482="Férié"),AND(F482="Congé",D482="OFF"),AND(F482="Congé",D482="Congé sans solde"),AND(F482="Congé",D482="Congé spécial"),AND(F482="Congé",D482="Férié"),AND(F482="Congé sans solde",D482="OFF"),AND(F482="Congé sans solde",D482="Congé"),AND(F482="Congé sans solde",D482="Congé spécial"),AND(F482="Congé sans solde",D482="Férié"),AND(F482="Congé spécial",D482="OFF"),AND(F482="Congé spécial",D482="Congé"),AND(F482="Congé spécial",D482="Congé sans solde"),AND(F482="Congé spécial",D482="Férié"),AND(F482="Férié",D482="OFF"),AND(F482="Férié",D482="Congé"),AND(F482="Férié",D482="Congé sans solde"),AND(F482="Férié",D482="Congé spécial")),0,IF(OR(F482="OFF",F482="Congé",F482="Congé spécial",F482="Congé sans solde",D482="OFF",D482="Congé",D482="Congé spécial",D482="Congé sans solde"),0.208333333333334,IF(AND(AG482="",F482-D482&lt;0),("24:00:00"-D482)+("00:00:00"+F482)-0.0416666666666667,IF(AND(OR(AG482="Allaitement",AG482="Sans déjeuner"),F482-D482&lt;0),("24:00:00"-D482)+("00:00:00"+F482),IF(AND(AG482="",F482-D482&gt;0.166666666666667),F482-D482-0.0416666666666667,IF(AND(OR(AG482="Allaitement",AG482="Sans déjeuner"),F482-D482&gt;0.166666666666667),F482-D482,F482-D482)))))))</f>
        <v>0</v>
      </c>
      <c r="P482" s="6" t="str">
        <f aca="false">IFERROR(VLOOKUP($B482,Agents!$A:$D,2,0),"-")</f>
        <v>Accessibilité</v>
      </c>
      <c r="Q482" s="21" t="n">
        <v>46102</v>
      </c>
      <c r="R482" s="8" t="n">
        <f aca="false">IF(M482="Abs",O482,0)</f>
        <v>0</v>
      </c>
      <c r="S482" s="8" t="n">
        <f aca="false">SUM(R482,L482,I482,J482,W482,H482)</f>
        <v>0</v>
      </c>
      <c r="T482" s="6" t="str">
        <f aca="false">"Sem - "&amp;WEEKNUM(Q482,21)</f>
        <v>Sem - 12</v>
      </c>
      <c r="U482" s="6" t="str">
        <f aca="false">CHOOSE(MONTH(Q482),"Janvier","Février","Mars","Avril","Mai","Juin","Juillet","Août","Septembre","Octobre","Novembre","Décembre")</f>
        <v>Mars</v>
      </c>
      <c r="V482" s="22" t="n">
        <f aca="false">YEAR(Q482)</f>
        <v>2026</v>
      </c>
      <c r="W482" s="20"/>
      <c r="X482" s="8" t="n">
        <f aca="false">IFERROR(IF(M482="Abs",0,IF(ROUND((D482-C482+E482-F482)*1440,0)&lt;=1,0,D482-C482+E482-F482)),0)</f>
        <v>0</v>
      </c>
      <c r="Y482" s="6" t="str">
        <f aca="false">IFERROR(VLOOKUP($B482,Agents!$A:$D,3,0),"-")</f>
        <v>OUBRAHIM Mohammed</v>
      </c>
      <c r="Z482" s="6" t="str">
        <f aca="false">IFERROR(VLOOKUP($B482,Agents!$A:$D,4,0),"-")</f>
        <v>Credit Mutuel</v>
      </c>
      <c r="AA482" s="18" t="s">
        <v>94</v>
      </c>
      <c r="AB482" s="8" t="str">
        <f aca="false">IF(AND(D482="Congé",F482="Congé"),0.333333333333333,IF(OR(AND(D482="Congé",F482&lt;&gt;"Congé"),(AND(F482="Congé",D482&lt;&gt;"Congé"))),0.166666666666667,""))</f>
        <v/>
      </c>
      <c r="AC482" s="8" t="str">
        <f aca="false">IF(AND(D482="Congé sans solde",F482="Congé sans solde"),0.333333333333333,IF(OR(AND(D482="Congé sans solde",F482&lt;&gt;"Congé sans solde"),(AND(F482="Congé sans solde",D482&lt;&gt;"Congé sans solde"))),0.166666666666667,""))</f>
        <v/>
      </c>
      <c r="AD482" s="8" t="str">
        <f aca="false">IF(AND(D482="Congé spécial",F482="Congé spécial"),0.333333333333333,IF(OR(AND(D482="Congé spécial",F482&lt;&gt;"Congé spécial"),AND(F482="Congé spécial",D482&lt;&gt;"Congé spécial")),0.166666666666667,""))</f>
        <v/>
      </c>
      <c r="AE482" s="8" t="str">
        <f aca="false">IF(AND(D482="Férié",F482="Férié"),0.333333333333333,IF(OR(AND(D482="Férié",F482&lt;&gt;"Férié"),(AND(F482="Férié",D482&lt;&gt;"Férié"))),0.166666666666667,""))</f>
        <v/>
      </c>
      <c r="AF482" s="18"/>
      <c r="AG482" s="18"/>
    </row>
    <row r="483" customFormat="false" ht="15" hidden="false" customHeight="false" outlineLevel="0" collapsed="false">
      <c r="A483" s="6" t="str">
        <f aca="false">YEAR(Q483-WEEKDAY(Q483,2)+4)&amp;"-S"&amp;TEXT(WEEKNUM(Q483,21),"00")</f>
        <v>2026-S12</v>
      </c>
      <c r="B483" s="18" t="s">
        <v>71</v>
      </c>
      <c r="C483" s="19"/>
      <c r="D483" s="19" t="s">
        <v>74</v>
      </c>
      <c r="E483" s="19"/>
      <c r="F483" s="19" t="s">
        <v>74</v>
      </c>
      <c r="G483" s="20"/>
      <c r="H483" s="20"/>
      <c r="I483" s="8" t="str">
        <f aca="false">IF(IF(OR(C483="",D483="Congé",D483="OFF",D483="Congé spécial"),"",IF(D483&gt;F483,D483-C483,IF(C483-D483&lt;0,0,C483-D483)))&lt;0.00068287037037037,"",IF(OR(D483="Congé",D483="OFF",C483="",D483="Congé spécial"),"",IF(D483&gt;F483,D483-C483,IF(C483-D483&lt;0,0,C483-D483))))</f>
        <v/>
      </c>
      <c r="J483" s="20"/>
      <c r="K483" s="8" t="n">
        <f aca="false">IF(SUM(H483:J483)&lt;0.00068287037037037,0,SUM(H483:J483))</f>
        <v>0</v>
      </c>
      <c r="L483" s="8" t="n">
        <f aca="false">IF(OR(F483="Congé",F483="OFF",M483="Abs",F483="Congé sans solde",F483="Férié",F483="Congé spécial",D483="Congé spécial"),0,IF(F483-E483&lt;0,0,IF(F483-E483&lt;=0.00068287037037037,0,F483-E483)))</f>
        <v>0</v>
      </c>
      <c r="M483" s="6" t="n">
        <f aca="false">IF(AND(O483&lt;&gt;0,C483=""),"Abs",0)</f>
        <v>0</v>
      </c>
      <c r="N483" s="8" t="str">
        <f aca="false">IFERROR(IF(OR(D483="OFF",D483="Congé",M483="Abs",D483="Congé sans solde",D483="Férié"),"",IF(O483-K483-L483&gt;O483,O483,IF(O483-K483-L483&lt;0,"",O483-K483-L483))),"")</f>
        <v/>
      </c>
      <c r="O483" s="8" t="n">
        <f aca="false">IF(AG483="2H Pause déjeuner",IF(F483-D483-0.0833333333333333&lt;0,F483-D483-0.0833333333333333+1,F483-D483-0.0833333333333333),IF(OR(AND(F483="OFF",D483="OFF"),AND(F483="Congé",D483="Congé"),AND(F483="Congé sans solde",D483="Congé sans solde"),AND(F483="Congé spécial",D483="Congé spécial"),AND(F483="Férié",D483="Férié"),AND(F483="OFF",D483="Congé"),AND(F483="OFF",D483="Congé sans solde"),AND(F483="OFF",D483="Congé spécial"),AND(F483="OFF",D483="Férié"),AND(F483="Congé",D483="OFF"),AND(F483="Congé",D483="Congé sans solde"),AND(F483="Congé",D483="Congé spécial"),AND(F483="Congé",D483="Férié"),AND(F483="Congé sans solde",D483="OFF"),AND(F483="Congé sans solde",D483="Congé"),AND(F483="Congé sans solde",D483="Congé spécial"),AND(F483="Congé sans solde",D483="Férié"),AND(F483="Congé spécial",D483="OFF"),AND(F483="Congé spécial",D483="Congé"),AND(F483="Congé spécial",D483="Congé sans solde"),AND(F483="Congé spécial",D483="Férié"),AND(F483="Férié",D483="OFF"),AND(F483="Férié",D483="Congé"),AND(F483="Férié",D483="Congé sans solde"),AND(F483="Férié",D483="Congé spécial")),0,IF(OR(F483="OFF",F483="Congé",F483="Congé spécial",F483="Congé sans solde",D483="OFF",D483="Congé",D483="Congé spécial",D483="Congé sans solde"),0.208333333333334,IF(AND(AG483="",F483-D483&lt;0),("24:00:00"-D483)+("00:00:00"+F483)-0.0416666666666667,IF(AND(OR(AG483="Allaitement",AG483="Sans déjeuner"),F483-D483&lt;0),("24:00:00"-D483)+("00:00:00"+F483),IF(AND(AG483="",F483-D483&gt;0.166666666666667),F483-D483-0.0416666666666667,IF(AND(OR(AG483="Allaitement",AG483="Sans déjeuner"),F483-D483&gt;0.166666666666667),F483-D483,F483-D483)))))))</f>
        <v>0</v>
      </c>
      <c r="P483" s="6" t="str">
        <f aca="false">IFERROR(VLOOKUP($B483,Agents!$A:$D,2,0),"-")</f>
        <v>Accessibilité</v>
      </c>
      <c r="Q483" s="21" t="n">
        <v>46102</v>
      </c>
      <c r="R483" s="8" t="n">
        <f aca="false">IF(M483="Abs",O483,0)</f>
        <v>0</v>
      </c>
      <c r="S483" s="8" t="n">
        <f aca="false">SUM(R483,L483,I483,J483,W483,H483)</f>
        <v>0</v>
      </c>
      <c r="T483" s="6" t="str">
        <f aca="false">"Sem - "&amp;WEEKNUM(Q483,21)</f>
        <v>Sem - 12</v>
      </c>
      <c r="U483" s="6" t="str">
        <f aca="false">CHOOSE(MONTH(Q483),"Janvier","Février","Mars","Avril","Mai","Juin","Juillet","Août","Septembre","Octobre","Novembre","Décembre")</f>
        <v>Mars</v>
      </c>
      <c r="V483" s="22" t="n">
        <f aca="false">YEAR(Q483)</f>
        <v>2026</v>
      </c>
      <c r="W483" s="20"/>
      <c r="X483" s="8" t="n">
        <f aca="false">IFERROR(IF(M483="Abs",0,IF(ROUND((D483-C483+E483-F483)*1440,0)&lt;=1,0,D483-C483+E483-F483)),0)</f>
        <v>0</v>
      </c>
      <c r="Y483" s="6" t="str">
        <f aca="false">IFERROR(VLOOKUP($B483,Agents!$A:$D,3,0),"-")</f>
        <v>OUBRAHIM Mohammed</v>
      </c>
      <c r="Z483" s="6" t="str">
        <f aca="false">IFERROR(VLOOKUP($B483,Agents!$A:$D,4,0),"-")</f>
        <v>Credit Mutuel</v>
      </c>
      <c r="AA483" s="18" t="s">
        <v>94</v>
      </c>
      <c r="AB483" s="8" t="str">
        <f aca="false">IF(AND(D483="Congé",F483="Congé"),0.333333333333333,IF(OR(AND(D483="Congé",F483&lt;&gt;"Congé"),(AND(F483="Congé",D483&lt;&gt;"Congé"))),0.166666666666667,""))</f>
        <v/>
      </c>
      <c r="AC483" s="8" t="str">
        <f aca="false">IF(AND(D483="Congé sans solde",F483="Congé sans solde"),0.333333333333333,IF(OR(AND(D483="Congé sans solde",F483&lt;&gt;"Congé sans solde"),(AND(F483="Congé sans solde",D483&lt;&gt;"Congé sans solde"))),0.166666666666667,""))</f>
        <v/>
      </c>
      <c r="AD483" s="8" t="str">
        <f aca="false">IF(AND(D483="Congé spécial",F483="Congé spécial"),0.333333333333333,IF(OR(AND(D483="Congé spécial",F483&lt;&gt;"Congé spécial"),AND(F483="Congé spécial",D483&lt;&gt;"Congé spécial")),0.166666666666667,""))</f>
        <v/>
      </c>
      <c r="AE483" s="8" t="str">
        <f aca="false">IF(AND(D483="Férié",F483="Férié"),0.333333333333333,IF(OR(AND(D483="Férié",F483&lt;&gt;"Férié"),(AND(F483="Férié",D483&lt;&gt;"Férié"))),0.166666666666667,""))</f>
        <v/>
      </c>
      <c r="AF483" s="18"/>
      <c r="AG483" s="18"/>
    </row>
    <row r="484" customFormat="false" ht="15" hidden="false" customHeight="false" outlineLevel="0" collapsed="false">
      <c r="A484" s="6" t="str">
        <f aca="false">YEAR(Q484-WEEKDAY(Q484,2)+4)&amp;"-S"&amp;TEXT(WEEKNUM(Q484,21),"00")</f>
        <v>2026-S12</v>
      </c>
      <c r="B484" s="18" t="s">
        <v>72</v>
      </c>
      <c r="C484" s="19"/>
      <c r="D484" s="19" t="s">
        <v>74</v>
      </c>
      <c r="E484" s="19"/>
      <c r="F484" s="19" t="s">
        <v>74</v>
      </c>
      <c r="G484" s="20"/>
      <c r="H484" s="20"/>
      <c r="I484" s="8" t="str">
        <f aca="false">IF(IF(OR(C484="",D484="Congé",D484="OFF",D484="Congé spécial"),"",IF(D484&gt;F484,D484-C484,IF(C484-D484&lt;0,0,C484-D484)))&lt;0.00068287037037037,"",IF(OR(D484="Congé",D484="OFF",C484="",D484="Congé spécial"),"",IF(D484&gt;F484,D484-C484,IF(C484-D484&lt;0,0,C484-D484))))</f>
        <v/>
      </c>
      <c r="J484" s="20"/>
      <c r="K484" s="8" t="n">
        <f aca="false">IF(SUM(H484:J484)&lt;0.00068287037037037,0,SUM(H484:J484))</f>
        <v>0</v>
      </c>
      <c r="L484" s="8" t="n">
        <f aca="false">IF(OR(F484="Congé",F484="OFF",M484="Abs",F484="Congé sans solde",F484="Férié",F484="Congé spécial",D484="Congé spécial"),0,IF(F484-E484&lt;0,0,IF(F484-E484&lt;=0.00068287037037037,0,F484-E484)))</f>
        <v>0</v>
      </c>
      <c r="M484" s="6" t="n">
        <f aca="false">IF(AND(O484&lt;&gt;0,C484=""),"Abs",0)</f>
        <v>0</v>
      </c>
      <c r="N484" s="8" t="str">
        <f aca="false">IFERROR(IF(OR(D484="OFF",D484="Congé",M484="Abs",D484="Congé sans solde",D484="Férié"),"",IF(O484-K484-L484&gt;O484,O484,IF(O484-K484-L484&lt;0,"",O484-K484-L484))),"")</f>
        <v/>
      </c>
      <c r="O484" s="8" t="n">
        <f aca="false">IF(AG484="2H Pause déjeuner",IF(F484-D484-0.0833333333333333&lt;0,F484-D484-0.0833333333333333+1,F484-D484-0.0833333333333333),IF(OR(AND(F484="OFF",D484="OFF"),AND(F484="Congé",D484="Congé"),AND(F484="Congé sans solde",D484="Congé sans solde"),AND(F484="Congé spécial",D484="Congé spécial"),AND(F484="Férié",D484="Férié"),AND(F484="OFF",D484="Congé"),AND(F484="OFF",D484="Congé sans solde"),AND(F484="OFF",D484="Congé spécial"),AND(F484="OFF",D484="Férié"),AND(F484="Congé",D484="OFF"),AND(F484="Congé",D484="Congé sans solde"),AND(F484="Congé",D484="Congé spécial"),AND(F484="Congé",D484="Férié"),AND(F484="Congé sans solde",D484="OFF"),AND(F484="Congé sans solde",D484="Congé"),AND(F484="Congé sans solde",D484="Congé spécial"),AND(F484="Congé sans solde",D484="Férié"),AND(F484="Congé spécial",D484="OFF"),AND(F484="Congé spécial",D484="Congé"),AND(F484="Congé spécial",D484="Congé sans solde"),AND(F484="Congé spécial",D484="Férié"),AND(F484="Férié",D484="OFF"),AND(F484="Férié",D484="Congé"),AND(F484="Férié",D484="Congé sans solde"),AND(F484="Férié",D484="Congé spécial")),0,IF(OR(F484="OFF",F484="Congé",F484="Congé spécial",F484="Congé sans solde",D484="OFF",D484="Congé",D484="Congé spécial",D484="Congé sans solde"),0.208333333333334,IF(AND(AG484="",F484-D484&lt;0),("24:00:00"-D484)+("00:00:00"+F484)-0.0416666666666667,IF(AND(OR(AG484="Allaitement",AG484="Sans déjeuner"),F484-D484&lt;0),("24:00:00"-D484)+("00:00:00"+F484),IF(AND(AG484="",F484-D484&gt;0.166666666666667),F484-D484-0.0416666666666667,IF(AND(OR(AG484="Allaitement",AG484="Sans déjeuner"),F484-D484&gt;0.166666666666667),F484-D484,F484-D484)))))))</f>
        <v>0</v>
      </c>
      <c r="P484" s="6" t="str">
        <f aca="false">IFERROR(VLOOKUP($B484,Agents!$A:$D,2,0),"-")</f>
        <v>Accessibilité</v>
      </c>
      <c r="Q484" s="21" t="n">
        <v>46102</v>
      </c>
      <c r="R484" s="8" t="n">
        <f aca="false">IF(M484="Abs",O484,0)</f>
        <v>0</v>
      </c>
      <c r="S484" s="8" t="n">
        <f aca="false">SUM(R484,L484,I484,J484,W484,H484)</f>
        <v>0</v>
      </c>
      <c r="T484" s="6" t="str">
        <f aca="false">"Sem - "&amp;WEEKNUM(Q484,21)</f>
        <v>Sem - 12</v>
      </c>
      <c r="U484" s="6" t="str">
        <f aca="false">CHOOSE(MONTH(Q484),"Janvier","Février","Mars","Avril","Mai","Juin","Juillet","Août","Septembre","Octobre","Novembre","Décembre")</f>
        <v>Mars</v>
      </c>
      <c r="V484" s="22" t="n">
        <f aca="false">YEAR(Q484)</f>
        <v>2026</v>
      </c>
      <c r="W484" s="20"/>
      <c r="X484" s="8" t="n">
        <f aca="false">IFERROR(IF(M484="Abs",0,IF(ROUND((D484-C484+E484-F484)*1440,0)&lt;=1,0,D484-C484+E484-F484)),0)</f>
        <v>0</v>
      </c>
      <c r="Y484" s="6" t="str">
        <f aca="false">IFERROR(VLOOKUP($B484,Agents!$A:$D,3,0),"-")</f>
        <v>OUBRAHIM Mohammed</v>
      </c>
      <c r="Z484" s="6" t="str">
        <f aca="false">IFERROR(VLOOKUP($B484,Agents!$A:$D,4,0),"-")</f>
        <v>Credit Mutuel</v>
      </c>
      <c r="AA484" s="18" t="s">
        <v>94</v>
      </c>
      <c r="AB484" s="8" t="str">
        <f aca="false">IF(AND(D484="Congé",F484="Congé"),0.333333333333333,IF(OR(AND(D484="Congé",F484&lt;&gt;"Congé"),(AND(F484="Congé",D484&lt;&gt;"Congé"))),0.166666666666667,""))</f>
        <v/>
      </c>
      <c r="AC484" s="8" t="str">
        <f aca="false">IF(AND(D484="Congé sans solde",F484="Congé sans solde"),0.333333333333333,IF(OR(AND(D484="Congé sans solde",F484&lt;&gt;"Congé sans solde"),(AND(F484="Congé sans solde",D484&lt;&gt;"Congé sans solde"))),0.166666666666667,""))</f>
        <v/>
      </c>
      <c r="AD484" s="8" t="str">
        <f aca="false">IF(AND(D484="Congé spécial",F484="Congé spécial"),0.333333333333333,IF(OR(AND(D484="Congé spécial",F484&lt;&gt;"Congé spécial"),AND(F484="Congé spécial",D484&lt;&gt;"Congé spécial")),0.166666666666667,""))</f>
        <v/>
      </c>
      <c r="AE484" s="8" t="str">
        <f aca="false">IF(AND(D484="Férié",F484="Férié"),0.333333333333333,IF(OR(AND(D484="Férié",F484&lt;&gt;"Férié"),(AND(F484="Férié",D484&lt;&gt;"Férié"))),0.166666666666667,""))</f>
        <v/>
      </c>
      <c r="AF484" s="18"/>
      <c r="AG484" s="18"/>
    </row>
    <row r="485" customFormat="false" ht="15" hidden="false" customHeight="false" outlineLevel="0" collapsed="false">
      <c r="A485" s="6" t="str">
        <f aca="false">YEAR(Q485-WEEKDAY(Q485,2)+4)&amp;"-S"&amp;TEXT(WEEKNUM(Q485,21),"00")</f>
        <v>2026-S12</v>
      </c>
      <c r="B485" s="18" t="s">
        <v>73</v>
      </c>
      <c r="C485" s="19"/>
      <c r="D485" s="19" t="s">
        <v>74</v>
      </c>
      <c r="E485" s="19"/>
      <c r="F485" s="19" t="s">
        <v>74</v>
      </c>
      <c r="G485" s="20"/>
      <c r="H485" s="20"/>
      <c r="I485" s="8" t="str">
        <f aca="false">IF(IF(OR(C485="",D485="Congé",D485="OFF",D485="Congé spécial"),"",IF(D485&gt;F485,D485-C485,IF(C485-D485&lt;0,0,C485-D485)))&lt;0.00068287037037037,"",IF(OR(D485="Congé",D485="OFF",C485="",D485="Congé spécial"),"",IF(D485&gt;F485,D485-C485,IF(C485-D485&lt;0,0,C485-D485))))</f>
        <v/>
      </c>
      <c r="J485" s="20"/>
      <c r="K485" s="8" t="n">
        <f aca="false">IF(SUM(H485:J485)&lt;0.00068287037037037,0,SUM(H485:J485))</f>
        <v>0</v>
      </c>
      <c r="L485" s="8" t="n">
        <f aca="false">IF(OR(F485="Congé",F485="OFF",M485="Abs",F485="Congé sans solde",F485="Férié",F485="Congé spécial",D485="Congé spécial"),0,IF(F485-E485&lt;0,0,IF(F485-E485&lt;=0.00068287037037037,0,F485-E485)))</f>
        <v>0</v>
      </c>
      <c r="M485" s="6" t="n">
        <f aca="false">IF(AND(O485&lt;&gt;0,C485=""),"Abs",0)</f>
        <v>0</v>
      </c>
      <c r="N485" s="8" t="str">
        <f aca="false">IFERROR(IF(OR(D485="OFF",D485="Congé",M485="Abs",D485="Congé sans solde",D485="Férié"),"",IF(O485-K485-L485&gt;O485,O485,IF(O485-K485-L485&lt;0,"",O485-K485-L485))),"")</f>
        <v/>
      </c>
      <c r="O485" s="8" t="n">
        <f aca="false">IF(AG485="2H Pause déjeuner",IF(F485-D485-0.0833333333333333&lt;0,F485-D485-0.0833333333333333+1,F485-D485-0.0833333333333333),IF(OR(AND(F485="OFF",D485="OFF"),AND(F485="Congé",D485="Congé"),AND(F485="Congé sans solde",D485="Congé sans solde"),AND(F485="Congé spécial",D485="Congé spécial"),AND(F485="Férié",D485="Férié"),AND(F485="OFF",D485="Congé"),AND(F485="OFF",D485="Congé sans solde"),AND(F485="OFF",D485="Congé spécial"),AND(F485="OFF",D485="Férié"),AND(F485="Congé",D485="OFF"),AND(F485="Congé",D485="Congé sans solde"),AND(F485="Congé",D485="Congé spécial"),AND(F485="Congé",D485="Férié"),AND(F485="Congé sans solde",D485="OFF"),AND(F485="Congé sans solde",D485="Congé"),AND(F485="Congé sans solde",D485="Congé spécial"),AND(F485="Congé sans solde",D485="Férié"),AND(F485="Congé spécial",D485="OFF"),AND(F485="Congé spécial",D485="Congé"),AND(F485="Congé spécial",D485="Congé sans solde"),AND(F485="Congé spécial",D485="Férié"),AND(F485="Férié",D485="OFF"),AND(F485="Férié",D485="Congé"),AND(F485="Férié",D485="Congé sans solde"),AND(F485="Férié",D485="Congé spécial")),0,IF(OR(F485="OFF",F485="Congé",F485="Congé spécial",F485="Congé sans solde",D485="OFF",D485="Congé",D485="Congé spécial",D485="Congé sans solde"),0.208333333333334,IF(AND(AG485="",F485-D485&lt;0),("24:00:00"-D485)+("00:00:00"+F485)-0.0416666666666667,IF(AND(OR(AG485="Allaitement",AG485="Sans déjeuner"),F485-D485&lt;0),("24:00:00"-D485)+("00:00:00"+F485),IF(AND(AG485="",F485-D485&gt;0.166666666666667),F485-D485-0.0416666666666667,IF(AND(OR(AG485="Allaitement",AG485="Sans déjeuner"),F485-D485&gt;0.166666666666667),F485-D485,F485-D485)))))))</f>
        <v>0</v>
      </c>
      <c r="P485" s="6" t="str">
        <f aca="false">IFERROR(VLOOKUP($B485,Agents!$A:$D,2,0),"-")</f>
        <v>Accessibilité</v>
      </c>
      <c r="Q485" s="21" t="n">
        <v>46102</v>
      </c>
      <c r="R485" s="8" t="n">
        <f aca="false">IF(M485="Abs",O485,0)</f>
        <v>0</v>
      </c>
      <c r="S485" s="8" t="n">
        <f aca="false">SUM(R485,L485,I485,J485,W485,H485)</f>
        <v>0</v>
      </c>
      <c r="T485" s="6" t="str">
        <f aca="false">"Sem - "&amp;WEEKNUM(Q485,21)</f>
        <v>Sem - 12</v>
      </c>
      <c r="U485" s="6" t="str">
        <f aca="false">CHOOSE(MONTH(Q485),"Janvier","Février","Mars","Avril","Mai","Juin","Juillet","Août","Septembre","Octobre","Novembre","Décembre")</f>
        <v>Mars</v>
      </c>
      <c r="V485" s="22" t="n">
        <f aca="false">YEAR(Q485)</f>
        <v>2026</v>
      </c>
      <c r="W485" s="20"/>
      <c r="X485" s="8" t="n">
        <f aca="false">IFERROR(IF(M485="Abs",0,IF(ROUND((D485-C485+E485-F485)*1440,0)&lt;=1,0,D485-C485+E485-F485)),0)</f>
        <v>0</v>
      </c>
      <c r="Y485" s="6" t="str">
        <f aca="false">IFERROR(VLOOKUP($B485,Agents!$A:$D,3,0),"-")</f>
        <v>OUBRAHIM Mohammed</v>
      </c>
      <c r="Z485" s="6" t="str">
        <f aca="false">IFERROR(VLOOKUP($B485,Agents!$A:$D,4,0),"-")</f>
        <v>Credit Mutuel</v>
      </c>
      <c r="AA485" s="18" t="s">
        <v>94</v>
      </c>
      <c r="AB485" s="8" t="str">
        <f aca="false">IF(AND(D485="Congé",F485="Congé"),0.333333333333333,IF(OR(AND(D485="Congé",F485&lt;&gt;"Congé"),(AND(F485="Congé",D485&lt;&gt;"Congé"))),0.166666666666667,""))</f>
        <v/>
      </c>
      <c r="AC485" s="8" t="str">
        <f aca="false">IF(AND(D485="Congé sans solde",F485="Congé sans solde"),0.333333333333333,IF(OR(AND(D485="Congé sans solde",F485&lt;&gt;"Congé sans solde"),(AND(F485="Congé sans solde",D485&lt;&gt;"Congé sans solde"))),0.166666666666667,""))</f>
        <v/>
      </c>
      <c r="AD485" s="8" t="str">
        <f aca="false">IF(AND(D485="Congé spécial",F485="Congé spécial"),0.333333333333333,IF(OR(AND(D485="Congé spécial",F485&lt;&gt;"Congé spécial"),AND(F485="Congé spécial",D485&lt;&gt;"Congé spécial")),0.166666666666667,""))</f>
        <v/>
      </c>
      <c r="AE485" s="8" t="str">
        <f aca="false">IF(AND(D485="Férié",F485="Férié"),0.333333333333333,IF(OR(AND(D485="Férié",F485&lt;&gt;"Férié"),(AND(F485="Férié",D485&lt;&gt;"Férié"))),0.166666666666667,""))</f>
        <v/>
      </c>
      <c r="AF485" s="18"/>
      <c r="AG485" s="18"/>
    </row>
    <row r="486" customFormat="false" ht="15" hidden="false" customHeight="false" outlineLevel="0" collapsed="false">
      <c r="A486" s="6" t="str">
        <f aca="false">YEAR(Q486-WEEKDAY(Q486,2)+4)&amp;"-S"&amp;TEXT(WEEKNUM(Q486,21),"00")</f>
        <v>2026-S12</v>
      </c>
      <c r="B486" s="18" t="s">
        <v>69</v>
      </c>
      <c r="C486" s="19"/>
      <c r="D486" s="19" t="s">
        <v>74</v>
      </c>
      <c r="E486" s="19"/>
      <c r="F486" s="19" t="s">
        <v>74</v>
      </c>
      <c r="G486" s="20"/>
      <c r="H486" s="20"/>
      <c r="I486" s="8" t="str">
        <f aca="false">IF(IF(OR(C486="",D486="Congé",D486="OFF",D486="Congé spécial"),"",IF(D486&gt;F486,D486-C486,IF(C486-D486&lt;0,0,C486-D486)))&lt;0.00068287037037037,"",IF(OR(D486="Congé",D486="OFF",C486="",D486="Congé spécial"),"",IF(D486&gt;F486,D486-C486,IF(C486-D486&lt;0,0,C486-D486))))</f>
        <v/>
      </c>
      <c r="J486" s="20"/>
      <c r="K486" s="8" t="n">
        <f aca="false">IF(SUM(H486:J486)&lt;0.00068287037037037,0,SUM(H486:J486))</f>
        <v>0</v>
      </c>
      <c r="L486" s="8" t="n">
        <f aca="false">IF(OR(F486="Congé",F486="OFF",M486="Abs",F486="Congé sans solde",F486="Férié",F486="Congé spécial",D486="Congé spécial"),0,IF(F486-E486&lt;0,0,IF(F486-E486&lt;=0.00068287037037037,0,F486-E486)))</f>
        <v>0</v>
      </c>
      <c r="M486" s="6" t="n">
        <f aca="false">IF(AND(O486&lt;&gt;0,C486=""),"Abs",0)</f>
        <v>0</v>
      </c>
      <c r="N486" s="8" t="str">
        <f aca="false">IFERROR(IF(OR(D486="OFF",D486="Congé",M486="Abs",D486="Congé sans solde",D486="Férié"),"",IF(O486-K486-L486&gt;O486,O486,IF(O486-K486-L486&lt;0,"",O486-K486-L486))),"")</f>
        <v/>
      </c>
      <c r="O486" s="8" t="n">
        <f aca="false">IF(AG486="2H Pause déjeuner",IF(F486-D486-0.0833333333333333&lt;0,F486-D486-0.0833333333333333+1,F486-D486-0.0833333333333333),IF(OR(AND(F486="OFF",D486="OFF"),AND(F486="Congé",D486="Congé"),AND(F486="Congé sans solde",D486="Congé sans solde"),AND(F486="Congé spécial",D486="Congé spécial"),AND(F486="Férié",D486="Férié"),AND(F486="OFF",D486="Congé"),AND(F486="OFF",D486="Congé sans solde"),AND(F486="OFF",D486="Congé spécial"),AND(F486="OFF",D486="Férié"),AND(F486="Congé",D486="OFF"),AND(F486="Congé",D486="Congé sans solde"),AND(F486="Congé",D486="Congé spécial"),AND(F486="Congé",D486="Férié"),AND(F486="Congé sans solde",D486="OFF"),AND(F486="Congé sans solde",D486="Congé"),AND(F486="Congé sans solde",D486="Congé spécial"),AND(F486="Congé sans solde",D486="Férié"),AND(F486="Congé spécial",D486="OFF"),AND(F486="Congé spécial",D486="Congé"),AND(F486="Congé spécial",D486="Congé sans solde"),AND(F486="Congé spécial",D486="Férié"),AND(F486="Férié",D486="OFF"),AND(F486="Férié",D486="Congé"),AND(F486="Férié",D486="Congé sans solde"),AND(F486="Férié",D486="Congé spécial")),0,IF(OR(F486="OFF",F486="Congé",F486="Congé spécial",F486="Congé sans solde",D486="OFF",D486="Congé",D486="Congé spécial",D486="Congé sans solde"),0.208333333333334,IF(AND(AG486="",F486-D486&lt;0),("24:00:00"-D486)+("00:00:00"+F486)-0.0416666666666667,IF(AND(OR(AG486="Allaitement",AG486="Sans déjeuner"),F486-D486&lt;0),("24:00:00"-D486)+("00:00:00"+F486),IF(AND(AG486="",F486-D486&gt;0.166666666666667),F486-D486-0.0416666666666667,IF(AND(OR(AG486="Allaitement",AG486="Sans déjeuner"),F486-D486&gt;0.166666666666667),F486-D486,F486-D486)))))))</f>
        <v>0</v>
      </c>
      <c r="P486" s="6" t="str">
        <f aca="false">IFERROR(VLOOKUP($B486,Agents!$A:$D,2,0),"-")</f>
        <v>Accessibilité</v>
      </c>
      <c r="Q486" s="21" t="n">
        <v>46103</v>
      </c>
      <c r="R486" s="8" t="n">
        <f aca="false">IF(M486="Abs",O486,0)</f>
        <v>0</v>
      </c>
      <c r="S486" s="8" t="n">
        <f aca="false">SUM(R486,L486,I486,J486,W486,H486)</f>
        <v>0</v>
      </c>
      <c r="T486" s="6" t="str">
        <f aca="false">"Sem - "&amp;WEEKNUM(Q486,21)</f>
        <v>Sem - 12</v>
      </c>
      <c r="U486" s="6" t="str">
        <f aca="false">CHOOSE(MONTH(Q486),"Janvier","Février","Mars","Avril","Mai","Juin","Juillet","Août","Septembre","Octobre","Novembre","Décembre")</f>
        <v>Mars</v>
      </c>
      <c r="V486" s="22" t="n">
        <f aca="false">YEAR(Q486)</f>
        <v>2026</v>
      </c>
      <c r="W486" s="20"/>
      <c r="X486" s="8" t="n">
        <f aca="false">IFERROR(IF(M486="Abs",0,IF(ROUND((D486-C486+E486-F486)*1440,0)&lt;=1,0,D486-C486+E486-F486)),0)</f>
        <v>0</v>
      </c>
      <c r="Y486" s="6" t="str">
        <f aca="false">IFERROR(VLOOKUP($B486,Agents!$A:$D,3,0),"-")</f>
        <v>OUBRAHIM Mohammed</v>
      </c>
      <c r="Z486" s="6" t="str">
        <f aca="false">IFERROR(VLOOKUP($B486,Agents!$A:$D,4,0),"-")</f>
        <v>Credit Mutuel</v>
      </c>
      <c r="AA486" s="18" t="s">
        <v>94</v>
      </c>
      <c r="AB486" s="8" t="str">
        <f aca="false">IF(AND(D486="Congé",F486="Congé"),0.333333333333333,IF(OR(AND(D486="Congé",F486&lt;&gt;"Congé"),(AND(F486="Congé",D486&lt;&gt;"Congé"))),0.166666666666667,""))</f>
        <v/>
      </c>
      <c r="AC486" s="8" t="str">
        <f aca="false">IF(AND(D486="Congé sans solde",F486="Congé sans solde"),0.333333333333333,IF(OR(AND(D486="Congé sans solde",F486&lt;&gt;"Congé sans solde"),(AND(F486="Congé sans solde",D486&lt;&gt;"Congé sans solde"))),0.166666666666667,""))</f>
        <v/>
      </c>
      <c r="AD486" s="8" t="str">
        <f aca="false">IF(AND(D486="Congé spécial",F486="Congé spécial"),0.333333333333333,IF(OR(AND(D486="Congé spécial",F486&lt;&gt;"Congé spécial"),AND(F486="Congé spécial",D486&lt;&gt;"Congé spécial")),0.166666666666667,""))</f>
        <v/>
      </c>
      <c r="AE486" s="8" t="str">
        <f aca="false">IF(AND(D486="Férié",F486="Férié"),0.333333333333333,IF(OR(AND(D486="Férié",F486&lt;&gt;"Férié"),(AND(F486="Férié",D486&lt;&gt;"Férié"))),0.166666666666667,""))</f>
        <v/>
      </c>
      <c r="AF486" s="18"/>
      <c r="AG486" s="18"/>
    </row>
    <row r="487" customFormat="false" ht="15" hidden="false" customHeight="false" outlineLevel="0" collapsed="false">
      <c r="A487" s="6" t="str">
        <f aca="false">YEAR(Q487-WEEKDAY(Q487,2)+4)&amp;"-S"&amp;TEXT(WEEKNUM(Q487,21),"00")</f>
        <v>2026-S12</v>
      </c>
      <c r="B487" s="18" t="s">
        <v>71</v>
      </c>
      <c r="C487" s="19"/>
      <c r="D487" s="19" t="s">
        <v>74</v>
      </c>
      <c r="E487" s="19"/>
      <c r="F487" s="19" t="s">
        <v>74</v>
      </c>
      <c r="G487" s="20"/>
      <c r="H487" s="20"/>
      <c r="I487" s="8" t="str">
        <f aca="false">IF(IF(OR(C487="",D487="Congé",D487="OFF",D487="Congé spécial"),"",IF(D487&gt;F487,D487-C487,IF(C487-D487&lt;0,0,C487-D487)))&lt;0.00068287037037037,"",IF(OR(D487="Congé",D487="OFF",C487="",D487="Congé spécial"),"",IF(D487&gt;F487,D487-C487,IF(C487-D487&lt;0,0,C487-D487))))</f>
        <v/>
      </c>
      <c r="J487" s="20"/>
      <c r="K487" s="8" t="n">
        <f aca="false">IF(SUM(H487:J487)&lt;0.00068287037037037,0,SUM(H487:J487))</f>
        <v>0</v>
      </c>
      <c r="L487" s="8" t="n">
        <f aca="false">IF(OR(F487="Congé",F487="OFF",M487="Abs",F487="Congé sans solde",F487="Férié",F487="Congé spécial",D487="Congé spécial"),0,IF(F487-E487&lt;0,0,IF(F487-E487&lt;=0.00068287037037037,0,F487-E487)))</f>
        <v>0</v>
      </c>
      <c r="M487" s="6" t="n">
        <f aca="false">IF(AND(O487&lt;&gt;0,C487=""),"Abs",0)</f>
        <v>0</v>
      </c>
      <c r="N487" s="8" t="str">
        <f aca="false">IFERROR(IF(OR(D487="OFF",D487="Congé",M487="Abs",D487="Congé sans solde",D487="Férié"),"",IF(O487-K487-L487&gt;O487,O487,IF(O487-K487-L487&lt;0,"",O487-K487-L487))),"")</f>
        <v/>
      </c>
      <c r="O487" s="8" t="n">
        <f aca="false">IF(AG487="2H Pause déjeuner",IF(F487-D487-0.0833333333333333&lt;0,F487-D487-0.0833333333333333+1,F487-D487-0.0833333333333333),IF(OR(AND(F487="OFF",D487="OFF"),AND(F487="Congé",D487="Congé"),AND(F487="Congé sans solde",D487="Congé sans solde"),AND(F487="Congé spécial",D487="Congé spécial"),AND(F487="Férié",D487="Férié"),AND(F487="OFF",D487="Congé"),AND(F487="OFF",D487="Congé sans solde"),AND(F487="OFF",D487="Congé spécial"),AND(F487="OFF",D487="Férié"),AND(F487="Congé",D487="OFF"),AND(F487="Congé",D487="Congé sans solde"),AND(F487="Congé",D487="Congé spécial"),AND(F487="Congé",D487="Férié"),AND(F487="Congé sans solde",D487="OFF"),AND(F487="Congé sans solde",D487="Congé"),AND(F487="Congé sans solde",D487="Congé spécial"),AND(F487="Congé sans solde",D487="Férié"),AND(F487="Congé spécial",D487="OFF"),AND(F487="Congé spécial",D487="Congé"),AND(F487="Congé spécial",D487="Congé sans solde"),AND(F487="Congé spécial",D487="Férié"),AND(F487="Férié",D487="OFF"),AND(F487="Férié",D487="Congé"),AND(F487="Férié",D487="Congé sans solde"),AND(F487="Férié",D487="Congé spécial")),0,IF(OR(F487="OFF",F487="Congé",F487="Congé spécial",F487="Congé sans solde",D487="OFF",D487="Congé",D487="Congé spécial",D487="Congé sans solde"),0.208333333333334,IF(AND(AG487="",F487-D487&lt;0),("24:00:00"-D487)+("00:00:00"+F487)-0.0416666666666667,IF(AND(OR(AG487="Allaitement",AG487="Sans déjeuner"),F487-D487&lt;0),("24:00:00"-D487)+("00:00:00"+F487),IF(AND(AG487="",F487-D487&gt;0.166666666666667),F487-D487-0.0416666666666667,IF(AND(OR(AG487="Allaitement",AG487="Sans déjeuner"),F487-D487&gt;0.166666666666667),F487-D487,F487-D487)))))))</f>
        <v>0</v>
      </c>
      <c r="P487" s="6" t="str">
        <f aca="false">IFERROR(VLOOKUP($B487,Agents!$A:$D,2,0),"-")</f>
        <v>Accessibilité</v>
      </c>
      <c r="Q487" s="21" t="n">
        <v>46103</v>
      </c>
      <c r="R487" s="8" t="n">
        <f aca="false">IF(M487="Abs",O487,0)</f>
        <v>0</v>
      </c>
      <c r="S487" s="8" t="n">
        <f aca="false">SUM(R487,L487,I487,J487,W487,H487)</f>
        <v>0</v>
      </c>
      <c r="T487" s="6" t="str">
        <f aca="false">"Sem - "&amp;WEEKNUM(Q487,21)</f>
        <v>Sem - 12</v>
      </c>
      <c r="U487" s="6" t="str">
        <f aca="false">CHOOSE(MONTH(Q487),"Janvier","Février","Mars","Avril","Mai","Juin","Juillet","Août","Septembre","Octobre","Novembre","Décembre")</f>
        <v>Mars</v>
      </c>
      <c r="V487" s="22" t="n">
        <f aca="false">YEAR(Q487)</f>
        <v>2026</v>
      </c>
      <c r="W487" s="20"/>
      <c r="X487" s="8" t="n">
        <f aca="false">IFERROR(IF(M487="Abs",0,IF(ROUND((D487-C487+E487-F487)*1440,0)&lt;=1,0,D487-C487+E487-F487)),0)</f>
        <v>0</v>
      </c>
      <c r="Y487" s="6" t="str">
        <f aca="false">IFERROR(VLOOKUP($B487,Agents!$A:$D,3,0),"-")</f>
        <v>OUBRAHIM Mohammed</v>
      </c>
      <c r="Z487" s="6" t="str">
        <f aca="false">IFERROR(VLOOKUP($B487,Agents!$A:$D,4,0),"-")</f>
        <v>Credit Mutuel</v>
      </c>
      <c r="AA487" s="18" t="s">
        <v>94</v>
      </c>
      <c r="AB487" s="8" t="str">
        <f aca="false">IF(AND(D487="Congé",F487="Congé"),0.333333333333333,IF(OR(AND(D487="Congé",F487&lt;&gt;"Congé"),(AND(F487="Congé",D487&lt;&gt;"Congé"))),0.166666666666667,""))</f>
        <v/>
      </c>
      <c r="AC487" s="8" t="str">
        <f aca="false">IF(AND(D487="Congé sans solde",F487="Congé sans solde"),0.333333333333333,IF(OR(AND(D487="Congé sans solde",F487&lt;&gt;"Congé sans solde"),(AND(F487="Congé sans solde",D487&lt;&gt;"Congé sans solde"))),0.166666666666667,""))</f>
        <v/>
      </c>
      <c r="AD487" s="8" t="str">
        <f aca="false">IF(AND(D487="Congé spécial",F487="Congé spécial"),0.333333333333333,IF(OR(AND(D487="Congé spécial",F487&lt;&gt;"Congé spécial"),AND(F487="Congé spécial",D487&lt;&gt;"Congé spécial")),0.166666666666667,""))</f>
        <v/>
      </c>
      <c r="AE487" s="8" t="str">
        <f aca="false">IF(AND(D487="Férié",F487="Férié"),0.333333333333333,IF(OR(AND(D487="Férié",F487&lt;&gt;"Férié"),(AND(F487="Férié",D487&lt;&gt;"Férié"))),0.166666666666667,""))</f>
        <v/>
      </c>
      <c r="AF487" s="18"/>
      <c r="AG487" s="18"/>
    </row>
    <row r="488" customFormat="false" ht="15" hidden="false" customHeight="false" outlineLevel="0" collapsed="false">
      <c r="A488" s="6" t="str">
        <f aca="false">YEAR(Q488-WEEKDAY(Q488,2)+4)&amp;"-S"&amp;TEXT(WEEKNUM(Q488,21),"00")</f>
        <v>2026-S12</v>
      </c>
      <c r="B488" s="18" t="s">
        <v>72</v>
      </c>
      <c r="C488" s="19"/>
      <c r="D488" s="19" t="s">
        <v>74</v>
      </c>
      <c r="E488" s="19"/>
      <c r="F488" s="19" t="s">
        <v>74</v>
      </c>
      <c r="G488" s="20"/>
      <c r="H488" s="20"/>
      <c r="I488" s="8" t="str">
        <f aca="false">IF(IF(OR(C488="",D488="Congé",D488="OFF",D488="Congé spécial"),"",IF(D488&gt;F488,D488-C488,IF(C488-D488&lt;0,0,C488-D488)))&lt;0.00068287037037037,"",IF(OR(D488="Congé",D488="OFF",C488="",D488="Congé spécial"),"",IF(D488&gt;F488,D488-C488,IF(C488-D488&lt;0,0,C488-D488))))</f>
        <v/>
      </c>
      <c r="J488" s="20"/>
      <c r="K488" s="8" t="n">
        <f aca="false">IF(SUM(H488:J488)&lt;0.00068287037037037,0,SUM(H488:J488))</f>
        <v>0</v>
      </c>
      <c r="L488" s="8" t="n">
        <f aca="false">IF(OR(F488="Congé",F488="OFF",M488="Abs",F488="Congé sans solde",F488="Férié",F488="Congé spécial",D488="Congé spécial"),0,IF(F488-E488&lt;0,0,IF(F488-E488&lt;=0.00068287037037037,0,F488-E488)))</f>
        <v>0</v>
      </c>
      <c r="M488" s="6" t="n">
        <f aca="false">IF(AND(O488&lt;&gt;0,C488=""),"Abs",0)</f>
        <v>0</v>
      </c>
      <c r="N488" s="8" t="str">
        <f aca="false">IFERROR(IF(OR(D488="OFF",D488="Congé",M488="Abs",D488="Congé sans solde",D488="Férié"),"",IF(O488-K488-L488&gt;O488,O488,IF(O488-K488-L488&lt;0,"",O488-K488-L488))),"")</f>
        <v/>
      </c>
      <c r="O488" s="8" t="n">
        <f aca="false">IF(AG488="2H Pause déjeuner",IF(F488-D488-0.0833333333333333&lt;0,F488-D488-0.0833333333333333+1,F488-D488-0.0833333333333333),IF(OR(AND(F488="OFF",D488="OFF"),AND(F488="Congé",D488="Congé"),AND(F488="Congé sans solde",D488="Congé sans solde"),AND(F488="Congé spécial",D488="Congé spécial"),AND(F488="Férié",D488="Férié"),AND(F488="OFF",D488="Congé"),AND(F488="OFF",D488="Congé sans solde"),AND(F488="OFF",D488="Congé spécial"),AND(F488="OFF",D488="Férié"),AND(F488="Congé",D488="OFF"),AND(F488="Congé",D488="Congé sans solde"),AND(F488="Congé",D488="Congé spécial"),AND(F488="Congé",D488="Férié"),AND(F488="Congé sans solde",D488="OFF"),AND(F488="Congé sans solde",D488="Congé"),AND(F488="Congé sans solde",D488="Congé spécial"),AND(F488="Congé sans solde",D488="Férié"),AND(F488="Congé spécial",D488="OFF"),AND(F488="Congé spécial",D488="Congé"),AND(F488="Congé spécial",D488="Congé sans solde"),AND(F488="Congé spécial",D488="Férié"),AND(F488="Férié",D488="OFF"),AND(F488="Férié",D488="Congé"),AND(F488="Férié",D488="Congé sans solde"),AND(F488="Férié",D488="Congé spécial")),0,IF(OR(F488="OFF",F488="Congé",F488="Congé spécial",F488="Congé sans solde",D488="OFF",D488="Congé",D488="Congé spécial",D488="Congé sans solde"),0.208333333333334,IF(AND(AG488="",F488-D488&lt;0),("24:00:00"-D488)+("00:00:00"+F488)-0.0416666666666667,IF(AND(OR(AG488="Allaitement",AG488="Sans déjeuner"),F488-D488&lt;0),("24:00:00"-D488)+("00:00:00"+F488),IF(AND(AG488="",F488-D488&gt;0.166666666666667),F488-D488-0.0416666666666667,IF(AND(OR(AG488="Allaitement",AG488="Sans déjeuner"),F488-D488&gt;0.166666666666667),F488-D488,F488-D488)))))))</f>
        <v>0</v>
      </c>
      <c r="P488" s="6" t="str">
        <f aca="false">IFERROR(VLOOKUP($B488,Agents!$A:$D,2,0),"-")</f>
        <v>Accessibilité</v>
      </c>
      <c r="Q488" s="21" t="n">
        <v>46103</v>
      </c>
      <c r="R488" s="8" t="n">
        <f aca="false">IF(M488="Abs",O488,0)</f>
        <v>0</v>
      </c>
      <c r="S488" s="8" t="n">
        <f aca="false">SUM(R488,L488,I488,J488,W488,H488)</f>
        <v>0</v>
      </c>
      <c r="T488" s="6" t="str">
        <f aca="false">"Sem - "&amp;WEEKNUM(Q488,21)</f>
        <v>Sem - 12</v>
      </c>
      <c r="U488" s="6" t="str">
        <f aca="false">CHOOSE(MONTH(Q488),"Janvier","Février","Mars","Avril","Mai","Juin","Juillet","Août","Septembre","Octobre","Novembre","Décembre")</f>
        <v>Mars</v>
      </c>
      <c r="V488" s="22" t="n">
        <f aca="false">YEAR(Q488)</f>
        <v>2026</v>
      </c>
      <c r="W488" s="20"/>
      <c r="X488" s="8" t="n">
        <f aca="false">IFERROR(IF(M488="Abs",0,IF(ROUND((D488-C488+E488-F488)*1440,0)&lt;=1,0,D488-C488+E488-F488)),0)</f>
        <v>0</v>
      </c>
      <c r="Y488" s="6" t="str">
        <f aca="false">IFERROR(VLOOKUP($B488,Agents!$A:$D,3,0),"-")</f>
        <v>OUBRAHIM Mohammed</v>
      </c>
      <c r="Z488" s="6" t="str">
        <f aca="false">IFERROR(VLOOKUP($B488,Agents!$A:$D,4,0),"-")</f>
        <v>Credit Mutuel</v>
      </c>
      <c r="AA488" s="18" t="s">
        <v>94</v>
      </c>
      <c r="AB488" s="8" t="str">
        <f aca="false">IF(AND(D488="Congé",F488="Congé"),0.333333333333333,IF(OR(AND(D488="Congé",F488&lt;&gt;"Congé"),(AND(F488="Congé",D488&lt;&gt;"Congé"))),0.166666666666667,""))</f>
        <v/>
      </c>
      <c r="AC488" s="8" t="str">
        <f aca="false">IF(AND(D488="Congé sans solde",F488="Congé sans solde"),0.333333333333333,IF(OR(AND(D488="Congé sans solde",F488&lt;&gt;"Congé sans solde"),(AND(F488="Congé sans solde",D488&lt;&gt;"Congé sans solde"))),0.166666666666667,""))</f>
        <v/>
      </c>
      <c r="AD488" s="8" t="str">
        <f aca="false">IF(AND(D488="Congé spécial",F488="Congé spécial"),0.333333333333333,IF(OR(AND(D488="Congé spécial",F488&lt;&gt;"Congé spécial"),AND(F488="Congé spécial",D488&lt;&gt;"Congé spécial")),0.166666666666667,""))</f>
        <v/>
      </c>
      <c r="AE488" s="8" t="str">
        <f aca="false">IF(AND(D488="Férié",F488="Férié"),0.333333333333333,IF(OR(AND(D488="Férié",F488&lt;&gt;"Férié"),(AND(F488="Férié",D488&lt;&gt;"Férié"))),0.166666666666667,""))</f>
        <v/>
      </c>
      <c r="AF488" s="18"/>
      <c r="AG488" s="18"/>
    </row>
    <row r="489" customFormat="false" ht="15" hidden="false" customHeight="false" outlineLevel="0" collapsed="false">
      <c r="A489" s="6" t="str">
        <f aca="false">YEAR(Q489-WEEKDAY(Q489,2)+4)&amp;"-S"&amp;TEXT(WEEKNUM(Q489,21),"00")</f>
        <v>2026-S12</v>
      </c>
      <c r="B489" s="18" t="s">
        <v>73</v>
      </c>
      <c r="C489" s="19"/>
      <c r="D489" s="19" t="s">
        <v>74</v>
      </c>
      <c r="E489" s="19"/>
      <c r="F489" s="19" t="s">
        <v>74</v>
      </c>
      <c r="G489" s="20"/>
      <c r="H489" s="20"/>
      <c r="I489" s="8" t="str">
        <f aca="false">IF(IF(OR(C489="",D489="Congé",D489="OFF",D489="Congé spécial"),"",IF(D489&gt;F489,D489-C489,IF(C489-D489&lt;0,0,C489-D489)))&lt;0.00068287037037037,"",IF(OR(D489="Congé",D489="OFF",C489="",D489="Congé spécial"),"",IF(D489&gt;F489,D489-C489,IF(C489-D489&lt;0,0,C489-D489))))</f>
        <v/>
      </c>
      <c r="J489" s="20"/>
      <c r="K489" s="8" t="n">
        <f aca="false">IF(SUM(H489:J489)&lt;0.00068287037037037,0,SUM(H489:J489))</f>
        <v>0</v>
      </c>
      <c r="L489" s="8" t="n">
        <f aca="false">IF(OR(F489="Congé",F489="OFF",M489="Abs",F489="Congé sans solde",F489="Férié",F489="Congé spécial",D489="Congé spécial"),0,IF(F489-E489&lt;0,0,IF(F489-E489&lt;=0.00068287037037037,0,F489-E489)))</f>
        <v>0</v>
      </c>
      <c r="M489" s="6" t="n">
        <f aca="false">IF(AND(O489&lt;&gt;0,C489=""),"Abs",0)</f>
        <v>0</v>
      </c>
      <c r="N489" s="8" t="str">
        <f aca="false">IFERROR(IF(OR(D489="OFF",D489="Congé",M489="Abs",D489="Congé sans solde",D489="Férié"),"",IF(O489-K489-L489&gt;O489,O489,IF(O489-K489-L489&lt;0,"",O489-K489-L489))),"")</f>
        <v/>
      </c>
      <c r="O489" s="8" t="n">
        <f aca="false">IF(AG489="2H Pause déjeuner",IF(F489-D489-0.0833333333333333&lt;0,F489-D489-0.0833333333333333+1,F489-D489-0.0833333333333333),IF(OR(AND(F489="OFF",D489="OFF"),AND(F489="Congé",D489="Congé"),AND(F489="Congé sans solde",D489="Congé sans solde"),AND(F489="Congé spécial",D489="Congé spécial"),AND(F489="Férié",D489="Férié"),AND(F489="OFF",D489="Congé"),AND(F489="OFF",D489="Congé sans solde"),AND(F489="OFF",D489="Congé spécial"),AND(F489="OFF",D489="Férié"),AND(F489="Congé",D489="OFF"),AND(F489="Congé",D489="Congé sans solde"),AND(F489="Congé",D489="Congé spécial"),AND(F489="Congé",D489="Férié"),AND(F489="Congé sans solde",D489="OFF"),AND(F489="Congé sans solde",D489="Congé"),AND(F489="Congé sans solde",D489="Congé spécial"),AND(F489="Congé sans solde",D489="Férié"),AND(F489="Congé spécial",D489="OFF"),AND(F489="Congé spécial",D489="Congé"),AND(F489="Congé spécial",D489="Congé sans solde"),AND(F489="Congé spécial",D489="Férié"),AND(F489="Férié",D489="OFF"),AND(F489="Férié",D489="Congé"),AND(F489="Férié",D489="Congé sans solde"),AND(F489="Férié",D489="Congé spécial")),0,IF(OR(F489="OFF",F489="Congé",F489="Congé spécial",F489="Congé sans solde",D489="OFF",D489="Congé",D489="Congé spécial",D489="Congé sans solde"),0.208333333333334,IF(AND(AG489="",F489-D489&lt;0),("24:00:00"-D489)+("00:00:00"+F489)-0.0416666666666667,IF(AND(OR(AG489="Allaitement",AG489="Sans déjeuner"),F489-D489&lt;0),("24:00:00"-D489)+("00:00:00"+F489),IF(AND(AG489="",F489-D489&gt;0.166666666666667),F489-D489-0.0416666666666667,IF(AND(OR(AG489="Allaitement",AG489="Sans déjeuner"),F489-D489&gt;0.166666666666667),F489-D489,F489-D489)))))))</f>
        <v>0</v>
      </c>
      <c r="P489" s="6" t="str">
        <f aca="false">IFERROR(VLOOKUP($B489,Agents!$A:$D,2,0),"-")</f>
        <v>Accessibilité</v>
      </c>
      <c r="Q489" s="21" t="n">
        <v>46103</v>
      </c>
      <c r="R489" s="8" t="n">
        <f aca="false">IF(M489="Abs",O489,0)</f>
        <v>0</v>
      </c>
      <c r="S489" s="8" t="n">
        <f aca="false">SUM(R489,L489,I489,J489,W489,H489)</f>
        <v>0</v>
      </c>
      <c r="T489" s="6" t="str">
        <f aca="false">"Sem - "&amp;WEEKNUM(Q489,21)</f>
        <v>Sem - 12</v>
      </c>
      <c r="U489" s="6" t="str">
        <f aca="false">CHOOSE(MONTH(Q489),"Janvier","Février","Mars","Avril","Mai","Juin","Juillet","Août","Septembre","Octobre","Novembre","Décembre")</f>
        <v>Mars</v>
      </c>
      <c r="V489" s="22" t="n">
        <f aca="false">YEAR(Q489)</f>
        <v>2026</v>
      </c>
      <c r="W489" s="20"/>
      <c r="X489" s="8" t="n">
        <f aca="false">IFERROR(IF(M489="Abs",0,IF(ROUND((D489-C489+E489-F489)*1440,0)&lt;=1,0,D489-C489+E489-F489)),0)</f>
        <v>0</v>
      </c>
      <c r="Y489" s="6" t="str">
        <f aca="false">IFERROR(VLOOKUP($B489,Agents!$A:$D,3,0),"-")</f>
        <v>OUBRAHIM Mohammed</v>
      </c>
      <c r="Z489" s="6" t="str">
        <f aca="false">IFERROR(VLOOKUP($B489,Agents!$A:$D,4,0),"-")</f>
        <v>Credit Mutuel</v>
      </c>
      <c r="AA489" s="18" t="s">
        <v>94</v>
      </c>
      <c r="AB489" s="8" t="str">
        <f aca="false">IF(AND(D489="Congé",F489="Congé"),0.333333333333333,IF(OR(AND(D489="Congé",F489&lt;&gt;"Congé"),(AND(F489="Congé",D489&lt;&gt;"Congé"))),0.166666666666667,""))</f>
        <v/>
      </c>
      <c r="AC489" s="8" t="str">
        <f aca="false">IF(AND(D489="Congé sans solde",F489="Congé sans solde"),0.333333333333333,IF(OR(AND(D489="Congé sans solde",F489&lt;&gt;"Congé sans solde"),(AND(F489="Congé sans solde",D489&lt;&gt;"Congé sans solde"))),0.166666666666667,""))</f>
        <v/>
      </c>
      <c r="AD489" s="8" t="str">
        <f aca="false">IF(AND(D489="Congé spécial",F489="Congé spécial"),0.333333333333333,IF(OR(AND(D489="Congé spécial",F489&lt;&gt;"Congé spécial"),AND(F489="Congé spécial",D489&lt;&gt;"Congé spécial")),0.166666666666667,""))</f>
        <v/>
      </c>
      <c r="AE489" s="8" t="str">
        <f aca="false">IF(AND(D489="Férié",F489="Férié"),0.333333333333333,IF(OR(AND(D489="Férié",F489&lt;&gt;"Férié"),(AND(F489="Férié",D489&lt;&gt;"Férié"))),0.166666666666667,""))</f>
        <v/>
      </c>
      <c r="AF489" s="18"/>
      <c r="AG489" s="18"/>
    </row>
    <row r="490" customFormat="false" ht="15" hidden="false" customHeight="false" outlineLevel="0" collapsed="false">
      <c r="A490" s="6" t="str">
        <f aca="false">YEAR(Q490-WEEKDAY(Q490,2)+4)&amp;"-S"&amp;TEXT(WEEKNUM(Q490,21),"00")</f>
        <v>2026-S13</v>
      </c>
      <c r="B490" s="18" t="s">
        <v>69</v>
      </c>
      <c r="C490" s="19" t="n">
        <v>0.332638888888889</v>
      </c>
      <c r="D490" s="19" t="n">
        <v>0.333333333333333</v>
      </c>
      <c r="E490" s="19" t="n">
        <v>0.75</v>
      </c>
      <c r="F490" s="19" t="n">
        <v>0.75</v>
      </c>
      <c r="G490" s="20"/>
      <c r="H490" s="20"/>
      <c r="I490" s="8" t="str">
        <f aca="false">IF(IF(OR(C490="",D490="Congé",D490="OFF",D490="Congé spécial"),"",IF(D490&gt;F490,D490-C490,IF(C490-D490&lt;0,0,C490-D490)))&lt;0.00068287037037037,"",IF(OR(D490="Congé",D490="OFF",C490="",D490="Congé spécial"),"",IF(D490&gt;F490,D490-C490,IF(C490-D490&lt;0,0,C490-D490))))</f>
        <v/>
      </c>
      <c r="J490" s="20"/>
      <c r="K490" s="8" t="n">
        <f aca="false">IF(SUM(H490:J490)&lt;0.00068287037037037,0,SUM(H490:J490))</f>
        <v>0</v>
      </c>
      <c r="L490" s="8" t="n">
        <f aca="false">IF(OR(F490="Congé",F490="OFF",M490="Abs",F490="Congé sans solde",F490="Férié",F490="Congé spécial",D490="Congé spécial"),0,IF(F490-E490&lt;0,0,IF(F490-E490&lt;=0.00068287037037037,0,F490-E490)))</f>
        <v>0</v>
      </c>
      <c r="M490" s="6" t="n">
        <f aca="false">IF(AND(O490&lt;&gt;0,C490=""),"Abs",0)</f>
        <v>0</v>
      </c>
      <c r="N490" s="8" t="n">
        <f aca="false">IFERROR(IF(OR(D490="OFF",D490="Congé",M490="Abs",D490="Congé sans solde",D490="Férié"),"",IF(O490-K490-L490&gt;O490,O490,IF(O490-K490-L490&lt;0,"",O490-K490-L490))),"")</f>
        <v>0.375</v>
      </c>
      <c r="O490" s="8" t="n">
        <f aca="false">IF(AG490="2H Pause déjeuner",IF(F490-D490-0.0833333333333333&lt;0,F490-D490-0.0833333333333333+1,F490-D490-0.0833333333333333),IF(OR(AND(F490="OFF",D490="OFF"),AND(F490="Congé",D490="Congé"),AND(F490="Congé sans solde",D490="Congé sans solde"),AND(F490="Congé spécial",D490="Congé spécial"),AND(F490="Férié",D490="Férié"),AND(F490="OFF",D490="Congé"),AND(F490="OFF",D490="Congé sans solde"),AND(F490="OFF",D490="Congé spécial"),AND(F490="OFF",D490="Férié"),AND(F490="Congé",D490="OFF"),AND(F490="Congé",D490="Congé sans solde"),AND(F490="Congé",D490="Congé spécial"),AND(F490="Congé",D490="Férié"),AND(F490="Congé sans solde",D490="OFF"),AND(F490="Congé sans solde",D490="Congé"),AND(F490="Congé sans solde",D490="Congé spécial"),AND(F490="Congé sans solde",D490="Férié"),AND(F490="Congé spécial",D490="OFF"),AND(F490="Congé spécial",D490="Congé"),AND(F490="Congé spécial",D490="Congé sans solde"),AND(F490="Congé spécial",D490="Férié"),AND(F490="Férié",D490="OFF"),AND(F490="Férié",D490="Congé"),AND(F490="Férié",D490="Congé sans solde"),AND(F490="Férié",D490="Congé spécial")),0,IF(OR(F490="OFF",F490="Congé",F490="Congé spécial",F490="Congé sans solde",D490="OFF",D490="Congé",D490="Congé spécial",D490="Congé sans solde"),0.208333333333334,IF(AND(AG490="",F490-D490&lt;0),("24:00:00"-D490)+("00:00:00"+F490)-0.0416666666666667,IF(AND(OR(AG490="Allaitement",AG490="Sans déjeuner"),F490-D490&lt;0),("24:00:00"-D490)+("00:00:00"+F490),IF(AND(AG490="",F490-D490&gt;0.166666666666667),F490-D490-0.0416666666666667,IF(AND(OR(AG490="Allaitement",AG490="Sans déjeuner"),F490-D490&gt;0.166666666666667),F490-D490,F490-D490)))))))</f>
        <v>0.375</v>
      </c>
      <c r="P490" s="6" t="str">
        <f aca="false">IFERROR(VLOOKUP($B490,Agents!$A:$D,2,0),"-")</f>
        <v>Accessibilité</v>
      </c>
      <c r="Q490" s="21" t="n">
        <v>46104</v>
      </c>
      <c r="R490" s="8" t="n">
        <f aca="false">IF(M490="Abs",O490,0)</f>
        <v>0</v>
      </c>
      <c r="S490" s="8" t="n">
        <f aca="false">SUM(R490,L490,I490,J490,W490,H490)</f>
        <v>0</v>
      </c>
      <c r="T490" s="6" t="str">
        <f aca="false">"Sem - "&amp;WEEKNUM(Q490,21)</f>
        <v>Sem - 13</v>
      </c>
      <c r="U490" s="6" t="str">
        <f aca="false">CHOOSE(MONTH(Q490),"Janvier","Février","Mars","Avril","Mai","Juin","Juillet","Août","Septembre","Octobre","Novembre","Décembre")</f>
        <v>Mars</v>
      </c>
      <c r="V490" s="22" t="n">
        <f aca="false">YEAR(Q490)</f>
        <v>2026</v>
      </c>
      <c r="W490" s="20"/>
      <c r="X490" s="8" t="n">
        <f aca="false">IFERROR(IF(M490="Abs",0,IF(ROUND((D490-C490+E490-F490)*1440,0)&lt;=1,0,D490-C490+E490-F490)),0)</f>
        <v>0</v>
      </c>
      <c r="Y490" s="6" t="str">
        <f aca="false">IFERROR(VLOOKUP($B490,Agents!$A:$D,3,0),"-")</f>
        <v>OUBRAHIM Mohammed</v>
      </c>
      <c r="Z490" s="6" t="str">
        <f aca="false">IFERROR(VLOOKUP($B490,Agents!$A:$D,4,0),"-")</f>
        <v>Credit Mutuel</v>
      </c>
      <c r="AA490" s="18" t="s">
        <v>95</v>
      </c>
      <c r="AB490" s="8" t="str">
        <f aca="false">IF(AND(D490="Congé",F490="Congé"),0.333333333333333,IF(OR(AND(D490="Congé",F490&lt;&gt;"Congé"),(AND(F490="Congé",D490&lt;&gt;"Congé"))),0.166666666666667,""))</f>
        <v/>
      </c>
      <c r="AC490" s="8" t="str">
        <f aca="false">IF(AND(D490="Congé sans solde",F490="Congé sans solde"),0.333333333333333,IF(OR(AND(D490="Congé sans solde",F490&lt;&gt;"Congé sans solde"),(AND(F490="Congé sans solde",D490&lt;&gt;"Congé sans solde"))),0.166666666666667,""))</f>
        <v/>
      </c>
      <c r="AD490" s="8" t="str">
        <f aca="false">IF(AND(D490="Congé spécial",F490="Congé spécial"),0.333333333333333,IF(OR(AND(D490="Congé spécial",F490&lt;&gt;"Congé spécial"),AND(F490="Congé spécial",D490&lt;&gt;"Congé spécial")),0.166666666666667,""))</f>
        <v/>
      </c>
      <c r="AE490" s="8" t="str">
        <f aca="false">IF(AND(D490="Férié",F490="Férié"),0.333333333333333,IF(OR(AND(D490="Férié",F490&lt;&gt;"Férié"),(AND(F490="Férié",D490&lt;&gt;"Férié"))),0.166666666666667,""))</f>
        <v/>
      </c>
      <c r="AF490" s="18"/>
      <c r="AG490" s="18"/>
    </row>
    <row r="491" customFormat="false" ht="15" hidden="false" customHeight="false" outlineLevel="0" collapsed="false">
      <c r="A491" s="6" t="str">
        <f aca="false">YEAR(Q491-WEEKDAY(Q491,2)+4)&amp;"-S"&amp;TEXT(WEEKNUM(Q491,21),"00")</f>
        <v>2026-S13</v>
      </c>
      <c r="B491" s="18" t="s">
        <v>71</v>
      </c>
      <c r="C491" s="19" t="n">
        <v>0.329166666666667</v>
      </c>
      <c r="D491" s="19" t="n">
        <v>0.333333333333333</v>
      </c>
      <c r="E491" s="19" t="n">
        <v>0.75</v>
      </c>
      <c r="F491" s="19" t="n">
        <v>0.75</v>
      </c>
      <c r="G491" s="20"/>
      <c r="H491" s="20"/>
      <c r="I491" s="8" t="str">
        <f aca="false">IF(IF(OR(C491="",D491="Congé",D491="OFF",D491="Congé spécial"),"",IF(D491&gt;F491,D491-C491,IF(C491-D491&lt;0,0,C491-D491)))&lt;0.00068287037037037,"",IF(OR(D491="Congé",D491="OFF",C491="",D491="Congé spécial"),"",IF(D491&gt;F491,D491-C491,IF(C491-D491&lt;0,0,C491-D491))))</f>
        <v/>
      </c>
      <c r="J491" s="20"/>
      <c r="K491" s="8" t="n">
        <f aca="false">IF(SUM(H491:J491)&lt;0.00068287037037037,0,SUM(H491:J491))</f>
        <v>0</v>
      </c>
      <c r="L491" s="8" t="n">
        <f aca="false">IF(OR(F491="Congé",F491="OFF",M491="Abs",F491="Congé sans solde",F491="Férié",F491="Congé spécial",D491="Congé spécial"),0,IF(F491-E491&lt;0,0,IF(F491-E491&lt;=0.00068287037037037,0,F491-E491)))</f>
        <v>0</v>
      </c>
      <c r="M491" s="6" t="n">
        <f aca="false">IF(AND(O491&lt;&gt;0,C491=""),"Abs",0)</f>
        <v>0</v>
      </c>
      <c r="N491" s="8" t="n">
        <f aca="false">IFERROR(IF(OR(D491="OFF",D491="Congé",M491="Abs",D491="Congé sans solde",D491="Férié"),"",IF(O491-K491-L491&gt;O491,O491,IF(O491-K491-L491&lt;0,"",O491-K491-L491))),"")</f>
        <v>0.375</v>
      </c>
      <c r="O491" s="8" t="n">
        <f aca="false">IF(AG491="2H Pause déjeuner",IF(F491-D491-0.0833333333333333&lt;0,F491-D491-0.0833333333333333+1,F491-D491-0.0833333333333333),IF(OR(AND(F491="OFF",D491="OFF"),AND(F491="Congé",D491="Congé"),AND(F491="Congé sans solde",D491="Congé sans solde"),AND(F491="Congé spécial",D491="Congé spécial"),AND(F491="Férié",D491="Férié"),AND(F491="OFF",D491="Congé"),AND(F491="OFF",D491="Congé sans solde"),AND(F491="OFF",D491="Congé spécial"),AND(F491="OFF",D491="Férié"),AND(F491="Congé",D491="OFF"),AND(F491="Congé",D491="Congé sans solde"),AND(F491="Congé",D491="Congé spécial"),AND(F491="Congé",D491="Férié"),AND(F491="Congé sans solde",D491="OFF"),AND(F491="Congé sans solde",D491="Congé"),AND(F491="Congé sans solde",D491="Congé spécial"),AND(F491="Congé sans solde",D491="Férié"),AND(F491="Congé spécial",D491="OFF"),AND(F491="Congé spécial",D491="Congé"),AND(F491="Congé spécial",D491="Congé sans solde"),AND(F491="Congé spécial",D491="Férié"),AND(F491="Férié",D491="OFF"),AND(F491="Férié",D491="Congé"),AND(F491="Férié",D491="Congé sans solde"),AND(F491="Férié",D491="Congé spécial")),0,IF(OR(F491="OFF",F491="Congé",F491="Congé spécial",F491="Congé sans solde",D491="OFF",D491="Congé",D491="Congé spécial",D491="Congé sans solde"),0.208333333333334,IF(AND(AG491="",F491-D491&lt;0),("24:00:00"-D491)+("00:00:00"+F491)-0.0416666666666667,IF(AND(OR(AG491="Allaitement",AG491="Sans déjeuner"),F491-D491&lt;0),("24:00:00"-D491)+("00:00:00"+F491),IF(AND(AG491="",F491-D491&gt;0.166666666666667),F491-D491-0.0416666666666667,IF(AND(OR(AG491="Allaitement",AG491="Sans déjeuner"),F491-D491&gt;0.166666666666667),F491-D491,F491-D491)))))))</f>
        <v>0.375</v>
      </c>
      <c r="P491" s="6" t="str">
        <f aca="false">IFERROR(VLOOKUP($B491,Agents!$A:$D,2,0),"-")</f>
        <v>Accessibilité</v>
      </c>
      <c r="Q491" s="21" t="n">
        <v>46104</v>
      </c>
      <c r="R491" s="8" t="n">
        <f aca="false">IF(M491="Abs",O491,0)</f>
        <v>0</v>
      </c>
      <c r="S491" s="8" t="n">
        <f aca="false">SUM(R491,L491,I491,J491,W491,H491)</f>
        <v>0</v>
      </c>
      <c r="T491" s="6" t="str">
        <f aca="false">"Sem - "&amp;WEEKNUM(Q491,21)</f>
        <v>Sem - 13</v>
      </c>
      <c r="U491" s="6" t="str">
        <f aca="false">CHOOSE(MONTH(Q491),"Janvier","Février","Mars","Avril","Mai","Juin","Juillet","Août","Septembre","Octobre","Novembre","Décembre")</f>
        <v>Mars</v>
      </c>
      <c r="V491" s="22" t="n">
        <f aca="false">YEAR(Q491)</f>
        <v>2026</v>
      </c>
      <c r="W491" s="20"/>
      <c r="X491" s="8" t="n">
        <f aca="false">IFERROR(IF(M491="Abs",0,IF(ROUND((D491-C491+E491-F491)*1440,0)&lt;=1,0,D491-C491+E491-F491)),0)</f>
        <v>0.00416666666666667</v>
      </c>
      <c r="Y491" s="6" t="str">
        <f aca="false">IFERROR(VLOOKUP($B491,Agents!$A:$D,3,0),"-")</f>
        <v>OUBRAHIM Mohammed</v>
      </c>
      <c r="Z491" s="6" t="str">
        <f aca="false">IFERROR(VLOOKUP($B491,Agents!$A:$D,4,0),"-")</f>
        <v>Credit Mutuel</v>
      </c>
      <c r="AA491" s="18" t="s">
        <v>95</v>
      </c>
      <c r="AB491" s="8" t="str">
        <f aca="false">IF(AND(D491="Congé",F491="Congé"),0.333333333333333,IF(OR(AND(D491="Congé",F491&lt;&gt;"Congé"),(AND(F491="Congé",D491&lt;&gt;"Congé"))),0.166666666666667,""))</f>
        <v/>
      </c>
      <c r="AC491" s="8" t="str">
        <f aca="false">IF(AND(D491="Congé sans solde",F491="Congé sans solde"),0.333333333333333,IF(OR(AND(D491="Congé sans solde",F491&lt;&gt;"Congé sans solde"),(AND(F491="Congé sans solde",D491&lt;&gt;"Congé sans solde"))),0.166666666666667,""))</f>
        <v/>
      </c>
      <c r="AD491" s="8" t="str">
        <f aca="false">IF(AND(D491="Congé spécial",F491="Congé spécial"),0.333333333333333,IF(OR(AND(D491="Congé spécial",F491&lt;&gt;"Congé spécial"),AND(F491="Congé spécial",D491&lt;&gt;"Congé spécial")),0.166666666666667,""))</f>
        <v/>
      </c>
      <c r="AE491" s="8" t="str">
        <f aca="false">IF(AND(D491="Férié",F491="Férié"),0.333333333333333,IF(OR(AND(D491="Férié",F491&lt;&gt;"Férié"),(AND(F491="Férié",D491&lt;&gt;"Férié"))),0.166666666666667,""))</f>
        <v/>
      </c>
      <c r="AF491" s="18"/>
      <c r="AG491" s="18"/>
    </row>
    <row r="492" customFormat="false" ht="15" hidden="false" customHeight="false" outlineLevel="0" collapsed="false">
      <c r="A492" s="6" t="str">
        <f aca="false">YEAR(Q492-WEEKDAY(Q492,2)+4)&amp;"-S"&amp;TEXT(WEEKNUM(Q492,21),"00")</f>
        <v>2026-S13</v>
      </c>
      <c r="B492" s="18" t="s">
        <v>72</v>
      </c>
      <c r="C492" s="19" t="n">
        <v>0.333333333333333</v>
      </c>
      <c r="D492" s="19" t="n">
        <v>0.333333333333333</v>
      </c>
      <c r="E492" s="19" t="n">
        <v>0.75</v>
      </c>
      <c r="F492" s="19" t="n">
        <v>0.75</v>
      </c>
      <c r="G492" s="20"/>
      <c r="H492" s="20"/>
      <c r="I492" s="8" t="str">
        <f aca="false">IF(IF(OR(C492="",D492="Congé",D492="OFF",D492="Congé spécial"),"",IF(D492&gt;F492,D492-C492,IF(C492-D492&lt;0,0,C492-D492)))&lt;0.00068287037037037,"",IF(OR(D492="Congé",D492="OFF",C492="",D492="Congé spécial"),"",IF(D492&gt;F492,D492-C492,IF(C492-D492&lt;0,0,C492-D492))))</f>
        <v/>
      </c>
      <c r="J492" s="20"/>
      <c r="K492" s="8" t="n">
        <f aca="false">IF(SUM(H492:J492)&lt;0.00068287037037037,0,SUM(H492:J492))</f>
        <v>0</v>
      </c>
      <c r="L492" s="8" t="n">
        <f aca="false">IF(OR(F492="Congé",F492="OFF",M492="Abs",F492="Congé sans solde",F492="Férié",F492="Congé spécial",D492="Congé spécial"),0,IF(F492-E492&lt;0,0,IF(F492-E492&lt;=0.00068287037037037,0,F492-E492)))</f>
        <v>0</v>
      </c>
      <c r="M492" s="6" t="n">
        <f aca="false">IF(AND(O492&lt;&gt;0,C492=""),"Abs",0)</f>
        <v>0</v>
      </c>
      <c r="N492" s="8" t="n">
        <f aca="false">IFERROR(IF(OR(D492="OFF",D492="Congé",M492="Abs",D492="Congé sans solde",D492="Férié"),"",IF(O492-K492-L492&gt;O492,O492,IF(O492-K492-L492&lt;0,"",O492-K492-L492))),"")</f>
        <v>0.375</v>
      </c>
      <c r="O492" s="8" t="n">
        <f aca="false">IF(AG492="2H Pause déjeuner",IF(F492-D492-0.0833333333333333&lt;0,F492-D492-0.0833333333333333+1,F492-D492-0.0833333333333333),IF(OR(AND(F492="OFF",D492="OFF"),AND(F492="Congé",D492="Congé"),AND(F492="Congé sans solde",D492="Congé sans solde"),AND(F492="Congé spécial",D492="Congé spécial"),AND(F492="Férié",D492="Férié"),AND(F492="OFF",D492="Congé"),AND(F492="OFF",D492="Congé sans solde"),AND(F492="OFF",D492="Congé spécial"),AND(F492="OFF",D492="Férié"),AND(F492="Congé",D492="OFF"),AND(F492="Congé",D492="Congé sans solde"),AND(F492="Congé",D492="Congé spécial"),AND(F492="Congé",D492="Férié"),AND(F492="Congé sans solde",D492="OFF"),AND(F492="Congé sans solde",D492="Congé"),AND(F492="Congé sans solde",D492="Congé spécial"),AND(F492="Congé sans solde",D492="Férié"),AND(F492="Congé spécial",D492="OFF"),AND(F492="Congé spécial",D492="Congé"),AND(F492="Congé spécial",D492="Congé sans solde"),AND(F492="Congé spécial",D492="Férié"),AND(F492="Férié",D492="OFF"),AND(F492="Férié",D492="Congé"),AND(F492="Férié",D492="Congé sans solde"),AND(F492="Férié",D492="Congé spécial")),0,IF(OR(F492="OFF",F492="Congé",F492="Congé spécial",F492="Congé sans solde",D492="OFF",D492="Congé",D492="Congé spécial",D492="Congé sans solde"),0.208333333333334,IF(AND(AG492="",F492-D492&lt;0),("24:00:00"-D492)+("00:00:00"+F492)-0.0416666666666667,IF(AND(OR(AG492="Allaitement",AG492="Sans déjeuner"),F492-D492&lt;0),("24:00:00"-D492)+("00:00:00"+F492),IF(AND(AG492="",F492-D492&gt;0.166666666666667),F492-D492-0.0416666666666667,IF(AND(OR(AG492="Allaitement",AG492="Sans déjeuner"),F492-D492&gt;0.166666666666667),F492-D492,F492-D492)))))))</f>
        <v>0.375</v>
      </c>
      <c r="P492" s="6" t="str">
        <f aca="false">IFERROR(VLOOKUP($B492,Agents!$A:$D,2,0),"-")</f>
        <v>Accessibilité</v>
      </c>
      <c r="Q492" s="21" t="n">
        <v>46104</v>
      </c>
      <c r="R492" s="8" t="n">
        <f aca="false">IF(M492="Abs",O492,0)</f>
        <v>0</v>
      </c>
      <c r="S492" s="8" t="n">
        <f aca="false">SUM(R492,L492,I492,J492,W492,H492)</f>
        <v>0</v>
      </c>
      <c r="T492" s="6" t="str">
        <f aca="false">"Sem - "&amp;WEEKNUM(Q492,21)</f>
        <v>Sem - 13</v>
      </c>
      <c r="U492" s="6" t="str">
        <f aca="false">CHOOSE(MONTH(Q492),"Janvier","Février","Mars","Avril","Mai","Juin","Juillet","Août","Septembre","Octobre","Novembre","Décembre")</f>
        <v>Mars</v>
      </c>
      <c r="V492" s="22" t="n">
        <f aca="false">YEAR(Q492)</f>
        <v>2026</v>
      </c>
      <c r="W492" s="20"/>
      <c r="X492" s="8" t="n">
        <f aca="false">IFERROR(IF(M492="Abs",0,IF(ROUND((D492-C492+E492-F492)*1440,0)&lt;=1,0,D492-C492+E492-F492)),0)</f>
        <v>0</v>
      </c>
      <c r="Y492" s="6" t="str">
        <f aca="false">IFERROR(VLOOKUP($B492,Agents!$A:$D,3,0),"-")</f>
        <v>OUBRAHIM Mohammed</v>
      </c>
      <c r="Z492" s="6" t="str">
        <f aca="false">IFERROR(VLOOKUP($B492,Agents!$A:$D,4,0),"-")</f>
        <v>Credit Mutuel</v>
      </c>
      <c r="AA492" s="18" t="s">
        <v>95</v>
      </c>
      <c r="AB492" s="8" t="str">
        <f aca="false">IF(AND(D492="Congé",F492="Congé"),0.333333333333333,IF(OR(AND(D492="Congé",F492&lt;&gt;"Congé"),(AND(F492="Congé",D492&lt;&gt;"Congé"))),0.166666666666667,""))</f>
        <v/>
      </c>
      <c r="AC492" s="8" t="str">
        <f aca="false">IF(AND(D492="Congé sans solde",F492="Congé sans solde"),0.333333333333333,IF(OR(AND(D492="Congé sans solde",F492&lt;&gt;"Congé sans solde"),(AND(F492="Congé sans solde",D492&lt;&gt;"Congé sans solde"))),0.166666666666667,""))</f>
        <v/>
      </c>
      <c r="AD492" s="8" t="str">
        <f aca="false">IF(AND(D492="Congé spécial",F492="Congé spécial"),0.333333333333333,IF(OR(AND(D492="Congé spécial",F492&lt;&gt;"Congé spécial"),AND(F492="Congé spécial",D492&lt;&gt;"Congé spécial")),0.166666666666667,""))</f>
        <v/>
      </c>
      <c r="AE492" s="8" t="str">
        <f aca="false">IF(AND(D492="Férié",F492="Férié"),0.333333333333333,IF(OR(AND(D492="Férié",F492&lt;&gt;"Férié"),(AND(F492="Férié",D492&lt;&gt;"Férié"))),0.166666666666667,""))</f>
        <v/>
      </c>
      <c r="AF492" s="18"/>
      <c r="AG492" s="18"/>
    </row>
    <row r="493" customFormat="false" ht="15" hidden="false" customHeight="false" outlineLevel="0" collapsed="false">
      <c r="A493" s="6" t="str">
        <f aca="false">YEAR(Q493-WEEKDAY(Q493,2)+4)&amp;"-S"&amp;TEXT(WEEKNUM(Q493,21),"00")</f>
        <v>2026-S13</v>
      </c>
      <c r="B493" s="18" t="s">
        <v>73</v>
      </c>
      <c r="C493" s="19" t="n">
        <v>0.333333333333333</v>
      </c>
      <c r="D493" s="19" t="n">
        <v>0.333333333333333</v>
      </c>
      <c r="E493" s="19" t="n">
        <v>0.75</v>
      </c>
      <c r="F493" s="19" t="n">
        <v>0.75</v>
      </c>
      <c r="G493" s="20"/>
      <c r="H493" s="20"/>
      <c r="I493" s="8" t="str">
        <f aca="false">IF(IF(OR(C493="",D493="Congé",D493="OFF",D493="Congé spécial"),"",IF(D493&gt;F493,D493-C493,IF(C493-D493&lt;0,0,C493-D493)))&lt;0.00068287037037037,"",IF(OR(D493="Congé",D493="OFF",C493="",D493="Congé spécial"),"",IF(D493&gt;F493,D493-C493,IF(C493-D493&lt;0,0,C493-D493))))</f>
        <v/>
      </c>
      <c r="J493" s="20"/>
      <c r="K493" s="8" t="n">
        <f aca="false">IF(SUM(H493:J493)&lt;0.00068287037037037,0,SUM(H493:J493))</f>
        <v>0</v>
      </c>
      <c r="L493" s="8" t="n">
        <f aca="false">IF(OR(F493="Congé",F493="OFF",M493="Abs",F493="Congé sans solde",F493="Férié",F493="Congé spécial",D493="Congé spécial"),0,IF(F493-E493&lt;0,0,IF(F493-E493&lt;=0.00068287037037037,0,F493-E493)))</f>
        <v>0</v>
      </c>
      <c r="M493" s="6" t="n">
        <f aca="false">IF(AND(O493&lt;&gt;0,C493=""),"Abs",0)</f>
        <v>0</v>
      </c>
      <c r="N493" s="8" t="n">
        <f aca="false">IFERROR(IF(OR(D493="OFF",D493="Congé",M493="Abs",D493="Congé sans solde",D493="Férié"),"",IF(O493-K493-L493&gt;O493,O493,IF(O493-K493-L493&lt;0,"",O493-K493-L493))),"")</f>
        <v>0.375</v>
      </c>
      <c r="O493" s="8" t="n">
        <f aca="false">IF(AG493="2H Pause déjeuner",IF(F493-D493-0.0833333333333333&lt;0,F493-D493-0.0833333333333333+1,F493-D493-0.0833333333333333),IF(OR(AND(F493="OFF",D493="OFF"),AND(F493="Congé",D493="Congé"),AND(F493="Congé sans solde",D493="Congé sans solde"),AND(F493="Congé spécial",D493="Congé spécial"),AND(F493="Férié",D493="Férié"),AND(F493="OFF",D493="Congé"),AND(F493="OFF",D493="Congé sans solde"),AND(F493="OFF",D493="Congé spécial"),AND(F493="OFF",D493="Férié"),AND(F493="Congé",D493="OFF"),AND(F493="Congé",D493="Congé sans solde"),AND(F493="Congé",D493="Congé spécial"),AND(F493="Congé",D493="Férié"),AND(F493="Congé sans solde",D493="OFF"),AND(F493="Congé sans solde",D493="Congé"),AND(F493="Congé sans solde",D493="Congé spécial"),AND(F493="Congé sans solde",D493="Férié"),AND(F493="Congé spécial",D493="OFF"),AND(F493="Congé spécial",D493="Congé"),AND(F493="Congé spécial",D493="Congé sans solde"),AND(F493="Congé spécial",D493="Férié"),AND(F493="Férié",D493="OFF"),AND(F493="Férié",D493="Congé"),AND(F493="Férié",D493="Congé sans solde"),AND(F493="Férié",D493="Congé spécial")),0,IF(OR(F493="OFF",F493="Congé",F493="Congé spécial",F493="Congé sans solde",D493="OFF",D493="Congé",D493="Congé spécial",D493="Congé sans solde"),0.208333333333334,IF(AND(AG493="",F493-D493&lt;0),("24:00:00"-D493)+("00:00:00"+F493)-0.0416666666666667,IF(AND(OR(AG493="Allaitement",AG493="Sans déjeuner"),F493-D493&lt;0),("24:00:00"-D493)+("00:00:00"+F493),IF(AND(AG493="",F493-D493&gt;0.166666666666667),F493-D493-0.0416666666666667,IF(AND(OR(AG493="Allaitement",AG493="Sans déjeuner"),F493-D493&gt;0.166666666666667),F493-D493,F493-D493)))))))</f>
        <v>0.375</v>
      </c>
      <c r="P493" s="6" t="str">
        <f aca="false">IFERROR(VLOOKUP($B493,Agents!$A:$D,2,0),"-")</f>
        <v>Accessibilité</v>
      </c>
      <c r="Q493" s="21" t="n">
        <v>46104</v>
      </c>
      <c r="R493" s="8" t="n">
        <f aca="false">IF(M493="Abs",O493,0)</f>
        <v>0</v>
      </c>
      <c r="S493" s="8" t="n">
        <f aca="false">SUM(R493,L493,I493,J493,W493,H493)</f>
        <v>0</v>
      </c>
      <c r="T493" s="6" t="str">
        <f aca="false">"Sem - "&amp;WEEKNUM(Q493,21)</f>
        <v>Sem - 13</v>
      </c>
      <c r="U493" s="6" t="str">
        <f aca="false">CHOOSE(MONTH(Q493),"Janvier","Février","Mars","Avril","Mai","Juin","Juillet","Août","Septembre","Octobre","Novembre","Décembre")</f>
        <v>Mars</v>
      </c>
      <c r="V493" s="22" t="n">
        <f aca="false">YEAR(Q493)</f>
        <v>2026</v>
      </c>
      <c r="W493" s="20"/>
      <c r="X493" s="8" t="n">
        <f aca="false">IFERROR(IF(M493="Abs",0,IF(ROUND((D493-C493+E493-F493)*1440,0)&lt;=1,0,D493-C493+E493-F493)),0)</f>
        <v>0</v>
      </c>
      <c r="Y493" s="6" t="str">
        <f aca="false">IFERROR(VLOOKUP($B493,Agents!$A:$D,3,0),"-")</f>
        <v>OUBRAHIM Mohammed</v>
      </c>
      <c r="Z493" s="6" t="str">
        <f aca="false">IFERROR(VLOOKUP($B493,Agents!$A:$D,4,0),"-")</f>
        <v>Credit Mutuel</v>
      </c>
      <c r="AA493" s="18" t="s">
        <v>95</v>
      </c>
      <c r="AB493" s="8" t="str">
        <f aca="false">IF(AND(D493="Congé",F493="Congé"),0.333333333333333,IF(OR(AND(D493="Congé",F493&lt;&gt;"Congé"),(AND(F493="Congé",D493&lt;&gt;"Congé"))),0.166666666666667,""))</f>
        <v/>
      </c>
      <c r="AC493" s="8" t="str">
        <f aca="false">IF(AND(D493="Congé sans solde",F493="Congé sans solde"),0.333333333333333,IF(OR(AND(D493="Congé sans solde",F493&lt;&gt;"Congé sans solde"),(AND(F493="Congé sans solde",D493&lt;&gt;"Congé sans solde"))),0.166666666666667,""))</f>
        <v/>
      </c>
      <c r="AD493" s="8" t="str">
        <f aca="false">IF(AND(D493="Congé spécial",F493="Congé spécial"),0.333333333333333,IF(OR(AND(D493="Congé spécial",F493&lt;&gt;"Congé spécial"),AND(F493="Congé spécial",D493&lt;&gt;"Congé spécial")),0.166666666666667,""))</f>
        <v/>
      </c>
      <c r="AE493" s="8" t="str">
        <f aca="false">IF(AND(D493="Férié",F493="Férié"),0.333333333333333,IF(OR(AND(D493="Férié",F493&lt;&gt;"Férié"),(AND(F493="Férié",D493&lt;&gt;"Férié"))),0.166666666666667,""))</f>
        <v/>
      </c>
      <c r="AF493" s="18"/>
      <c r="AG493" s="18"/>
    </row>
    <row r="494" customFormat="false" ht="15" hidden="false" customHeight="false" outlineLevel="0" collapsed="false">
      <c r="A494" s="6" t="str">
        <f aca="false">YEAR(Q494-WEEKDAY(Q494,2)+4)&amp;"-S"&amp;TEXT(WEEKNUM(Q494,21),"00")</f>
        <v>2026-S13</v>
      </c>
      <c r="B494" s="18" t="s">
        <v>69</v>
      </c>
      <c r="C494" s="19" t="n">
        <v>0.332638888888889</v>
      </c>
      <c r="D494" s="19" t="n">
        <v>0.333333333333333</v>
      </c>
      <c r="E494" s="19" t="n">
        <v>0.75</v>
      </c>
      <c r="F494" s="19" t="n">
        <v>0.75</v>
      </c>
      <c r="G494" s="20"/>
      <c r="H494" s="20"/>
      <c r="I494" s="8" t="str">
        <f aca="false">IF(IF(OR(C494="",D494="Congé",D494="OFF",D494="Congé spécial"),"",IF(D494&gt;F494,D494-C494,IF(C494-D494&lt;0,0,C494-D494)))&lt;0.00068287037037037,"",IF(OR(D494="Congé",D494="OFF",C494="",D494="Congé spécial"),"",IF(D494&gt;F494,D494-C494,IF(C494-D494&lt;0,0,C494-D494))))</f>
        <v/>
      </c>
      <c r="J494" s="20"/>
      <c r="K494" s="8" t="n">
        <f aca="false">IF(SUM(H494:J494)&lt;0.00068287037037037,0,SUM(H494:J494))</f>
        <v>0</v>
      </c>
      <c r="L494" s="8" t="n">
        <f aca="false">IF(OR(F494="Congé",F494="OFF",M494="Abs",F494="Congé sans solde",F494="Férié",F494="Congé spécial",D494="Congé spécial"),0,IF(F494-E494&lt;0,0,IF(F494-E494&lt;=0.00068287037037037,0,F494-E494)))</f>
        <v>0</v>
      </c>
      <c r="M494" s="6" t="n">
        <f aca="false">IF(AND(O494&lt;&gt;0,C494=""),"Abs",0)</f>
        <v>0</v>
      </c>
      <c r="N494" s="8" t="n">
        <f aca="false">IFERROR(IF(OR(D494="OFF",D494="Congé",M494="Abs",D494="Congé sans solde",D494="Férié"),"",IF(O494-K494-L494&gt;O494,O494,IF(O494-K494-L494&lt;0,"",O494-K494-L494))),"")</f>
        <v>0.375</v>
      </c>
      <c r="O494" s="8" t="n">
        <f aca="false">IF(AG494="2H Pause déjeuner",IF(F494-D494-0.0833333333333333&lt;0,F494-D494-0.0833333333333333+1,F494-D494-0.0833333333333333),IF(OR(AND(F494="OFF",D494="OFF"),AND(F494="Congé",D494="Congé"),AND(F494="Congé sans solde",D494="Congé sans solde"),AND(F494="Congé spécial",D494="Congé spécial"),AND(F494="Férié",D494="Férié"),AND(F494="OFF",D494="Congé"),AND(F494="OFF",D494="Congé sans solde"),AND(F494="OFF",D494="Congé spécial"),AND(F494="OFF",D494="Férié"),AND(F494="Congé",D494="OFF"),AND(F494="Congé",D494="Congé sans solde"),AND(F494="Congé",D494="Congé spécial"),AND(F494="Congé",D494="Férié"),AND(F494="Congé sans solde",D494="OFF"),AND(F494="Congé sans solde",D494="Congé"),AND(F494="Congé sans solde",D494="Congé spécial"),AND(F494="Congé sans solde",D494="Férié"),AND(F494="Congé spécial",D494="OFF"),AND(F494="Congé spécial",D494="Congé"),AND(F494="Congé spécial",D494="Congé sans solde"),AND(F494="Congé spécial",D494="Férié"),AND(F494="Férié",D494="OFF"),AND(F494="Férié",D494="Congé"),AND(F494="Férié",D494="Congé sans solde"),AND(F494="Férié",D494="Congé spécial")),0,IF(OR(F494="OFF",F494="Congé",F494="Congé spécial",F494="Congé sans solde",D494="OFF",D494="Congé",D494="Congé spécial",D494="Congé sans solde"),0.208333333333334,IF(AND(AG494="",F494-D494&lt;0),("24:00:00"-D494)+("00:00:00"+F494)-0.0416666666666667,IF(AND(OR(AG494="Allaitement",AG494="Sans déjeuner"),F494-D494&lt;0),("24:00:00"-D494)+("00:00:00"+F494),IF(AND(AG494="",F494-D494&gt;0.166666666666667),F494-D494-0.0416666666666667,IF(AND(OR(AG494="Allaitement",AG494="Sans déjeuner"),F494-D494&gt;0.166666666666667),F494-D494,F494-D494)))))))</f>
        <v>0.375</v>
      </c>
      <c r="P494" s="6" t="str">
        <f aca="false">IFERROR(VLOOKUP($B494,Agents!$A:$D,2,0),"-")</f>
        <v>Accessibilité</v>
      </c>
      <c r="Q494" s="21" t="n">
        <v>46105</v>
      </c>
      <c r="R494" s="8" t="n">
        <f aca="false">IF(M494="Abs",O494,0)</f>
        <v>0</v>
      </c>
      <c r="S494" s="8" t="n">
        <f aca="false">SUM(R494,L494,I494,J494,W494,H494)</f>
        <v>0</v>
      </c>
      <c r="T494" s="6" t="str">
        <f aca="false">"Sem - "&amp;WEEKNUM(Q494,21)</f>
        <v>Sem - 13</v>
      </c>
      <c r="U494" s="6" t="str">
        <f aca="false">CHOOSE(MONTH(Q494),"Janvier","Février","Mars","Avril","Mai","Juin","Juillet","Août","Septembre","Octobre","Novembre","Décembre")</f>
        <v>Mars</v>
      </c>
      <c r="V494" s="22" t="n">
        <f aca="false">YEAR(Q494)</f>
        <v>2026</v>
      </c>
      <c r="W494" s="20"/>
      <c r="X494" s="8" t="n">
        <f aca="false">IFERROR(IF(M494="Abs",0,IF(ROUND((D494-C494+E494-F494)*1440,0)&lt;=1,0,D494-C494+E494-F494)),0)</f>
        <v>0</v>
      </c>
      <c r="Y494" s="6" t="str">
        <f aca="false">IFERROR(VLOOKUP($B494,Agents!$A:$D,3,0),"-")</f>
        <v>OUBRAHIM Mohammed</v>
      </c>
      <c r="Z494" s="6" t="str">
        <f aca="false">IFERROR(VLOOKUP($B494,Agents!$A:$D,4,0),"-")</f>
        <v>Credit Mutuel</v>
      </c>
      <c r="AA494" s="18" t="s">
        <v>95</v>
      </c>
      <c r="AB494" s="8" t="str">
        <f aca="false">IF(AND(D494="Congé",F494="Congé"),0.333333333333333,IF(OR(AND(D494="Congé",F494&lt;&gt;"Congé"),(AND(F494="Congé",D494&lt;&gt;"Congé"))),0.166666666666667,""))</f>
        <v/>
      </c>
      <c r="AC494" s="8" t="str">
        <f aca="false">IF(AND(D494="Congé sans solde",F494="Congé sans solde"),0.333333333333333,IF(OR(AND(D494="Congé sans solde",F494&lt;&gt;"Congé sans solde"),(AND(F494="Congé sans solde",D494&lt;&gt;"Congé sans solde"))),0.166666666666667,""))</f>
        <v/>
      </c>
      <c r="AD494" s="8" t="str">
        <f aca="false">IF(AND(D494="Congé spécial",F494="Congé spécial"),0.333333333333333,IF(OR(AND(D494="Congé spécial",F494&lt;&gt;"Congé spécial"),AND(F494="Congé spécial",D494&lt;&gt;"Congé spécial")),0.166666666666667,""))</f>
        <v/>
      </c>
      <c r="AE494" s="8" t="str">
        <f aca="false">IF(AND(D494="Férié",F494="Férié"),0.333333333333333,IF(OR(AND(D494="Férié",F494&lt;&gt;"Férié"),(AND(F494="Férié",D494&lt;&gt;"Férié"))),0.166666666666667,""))</f>
        <v/>
      </c>
      <c r="AF494" s="18"/>
      <c r="AG494" s="18"/>
    </row>
    <row r="495" customFormat="false" ht="15" hidden="false" customHeight="false" outlineLevel="0" collapsed="false">
      <c r="A495" s="6" t="str">
        <f aca="false">YEAR(Q495-WEEKDAY(Q495,2)+4)&amp;"-S"&amp;TEXT(WEEKNUM(Q495,21),"00")</f>
        <v>2026-S13</v>
      </c>
      <c r="B495" s="18" t="s">
        <v>71</v>
      </c>
      <c r="C495" s="19" t="n">
        <v>0.332638888888889</v>
      </c>
      <c r="D495" s="19" t="n">
        <v>0.333333333333333</v>
      </c>
      <c r="E495" s="19" t="n">
        <v>0.75</v>
      </c>
      <c r="F495" s="19" t="n">
        <v>0.75</v>
      </c>
      <c r="G495" s="20"/>
      <c r="H495" s="20"/>
      <c r="I495" s="8" t="str">
        <f aca="false">IF(IF(OR(C495="",D495="Congé",D495="OFF",D495="Congé spécial"),"",IF(D495&gt;F495,D495-C495,IF(C495-D495&lt;0,0,C495-D495)))&lt;0.00068287037037037,"",IF(OR(D495="Congé",D495="OFF",C495="",D495="Congé spécial"),"",IF(D495&gt;F495,D495-C495,IF(C495-D495&lt;0,0,C495-D495))))</f>
        <v/>
      </c>
      <c r="J495" s="20"/>
      <c r="K495" s="8" t="n">
        <f aca="false">IF(SUM(H495:J495)&lt;0.00068287037037037,0,SUM(H495:J495))</f>
        <v>0</v>
      </c>
      <c r="L495" s="8" t="n">
        <f aca="false">IF(OR(F495="Congé",F495="OFF",M495="Abs",F495="Congé sans solde",F495="Férié",F495="Congé spécial",D495="Congé spécial"),0,IF(F495-E495&lt;0,0,IF(F495-E495&lt;=0.00068287037037037,0,F495-E495)))</f>
        <v>0</v>
      </c>
      <c r="M495" s="6" t="n">
        <f aca="false">IF(AND(O495&lt;&gt;0,C495=""),"Abs",0)</f>
        <v>0</v>
      </c>
      <c r="N495" s="8" t="n">
        <f aca="false">IFERROR(IF(OR(D495="OFF",D495="Congé",M495="Abs",D495="Congé sans solde",D495="Férié"),"",IF(O495-K495-L495&gt;O495,O495,IF(O495-K495-L495&lt;0,"",O495-K495-L495))),"")</f>
        <v>0.375</v>
      </c>
      <c r="O495" s="8" t="n">
        <f aca="false">IF(AG495="2H Pause déjeuner",IF(F495-D495-0.0833333333333333&lt;0,F495-D495-0.0833333333333333+1,F495-D495-0.0833333333333333),IF(OR(AND(F495="OFF",D495="OFF"),AND(F495="Congé",D495="Congé"),AND(F495="Congé sans solde",D495="Congé sans solde"),AND(F495="Congé spécial",D495="Congé spécial"),AND(F495="Férié",D495="Férié"),AND(F495="OFF",D495="Congé"),AND(F495="OFF",D495="Congé sans solde"),AND(F495="OFF",D495="Congé spécial"),AND(F495="OFF",D495="Férié"),AND(F495="Congé",D495="OFF"),AND(F495="Congé",D495="Congé sans solde"),AND(F495="Congé",D495="Congé spécial"),AND(F495="Congé",D495="Férié"),AND(F495="Congé sans solde",D495="OFF"),AND(F495="Congé sans solde",D495="Congé"),AND(F495="Congé sans solde",D495="Congé spécial"),AND(F495="Congé sans solde",D495="Férié"),AND(F495="Congé spécial",D495="OFF"),AND(F495="Congé spécial",D495="Congé"),AND(F495="Congé spécial",D495="Congé sans solde"),AND(F495="Congé spécial",D495="Férié"),AND(F495="Férié",D495="OFF"),AND(F495="Férié",D495="Congé"),AND(F495="Férié",D495="Congé sans solde"),AND(F495="Férié",D495="Congé spécial")),0,IF(OR(F495="OFF",F495="Congé",F495="Congé spécial",F495="Congé sans solde",D495="OFF",D495="Congé",D495="Congé spécial",D495="Congé sans solde"),0.208333333333334,IF(AND(AG495="",F495-D495&lt;0),("24:00:00"-D495)+("00:00:00"+F495)-0.0416666666666667,IF(AND(OR(AG495="Allaitement",AG495="Sans déjeuner"),F495-D495&lt;0),("24:00:00"-D495)+("00:00:00"+F495),IF(AND(AG495="",F495-D495&gt;0.166666666666667),F495-D495-0.0416666666666667,IF(AND(OR(AG495="Allaitement",AG495="Sans déjeuner"),F495-D495&gt;0.166666666666667),F495-D495,F495-D495)))))))</f>
        <v>0.375</v>
      </c>
      <c r="P495" s="6" t="str">
        <f aca="false">IFERROR(VLOOKUP($B495,Agents!$A:$D,2,0),"-")</f>
        <v>Accessibilité</v>
      </c>
      <c r="Q495" s="21" t="n">
        <v>46105</v>
      </c>
      <c r="R495" s="8" t="n">
        <f aca="false">IF(M495="Abs",O495,0)</f>
        <v>0</v>
      </c>
      <c r="S495" s="8" t="n">
        <f aca="false">SUM(R495,L495,I495,J495,W495,H495)</f>
        <v>0</v>
      </c>
      <c r="T495" s="6" t="str">
        <f aca="false">"Sem - "&amp;WEEKNUM(Q495,21)</f>
        <v>Sem - 13</v>
      </c>
      <c r="U495" s="6" t="str">
        <f aca="false">CHOOSE(MONTH(Q495),"Janvier","Février","Mars","Avril","Mai","Juin","Juillet","Août","Septembre","Octobre","Novembre","Décembre")</f>
        <v>Mars</v>
      </c>
      <c r="V495" s="22" t="n">
        <f aca="false">YEAR(Q495)</f>
        <v>2026</v>
      </c>
      <c r="W495" s="20"/>
      <c r="X495" s="8" t="n">
        <f aca="false">IFERROR(IF(M495="Abs",0,IF(ROUND((D495-C495+E495-F495)*1440,0)&lt;=1,0,D495-C495+E495-F495)),0)</f>
        <v>0</v>
      </c>
      <c r="Y495" s="6" t="str">
        <f aca="false">IFERROR(VLOOKUP($B495,Agents!$A:$D,3,0),"-")</f>
        <v>OUBRAHIM Mohammed</v>
      </c>
      <c r="Z495" s="6" t="str">
        <f aca="false">IFERROR(VLOOKUP($B495,Agents!$A:$D,4,0),"-")</f>
        <v>Credit Mutuel</v>
      </c>
      <c r="AA495" s="18" t="s">
        <v>95</v>
      </c>
      <c r="AB495" s="8" t="str">
        <f aca="false">IF(AND(D495="Congé",F495="Congé"),0.333333333333333,IF(OR(AND(D495="Congé",F495&lt;&gt;"Congé"),(AND(F495="Congé",D495&lt;&gt;"Congé"))),0.166666666666667,""))</f>
        <v/>
      </c>
      <c r="AC495" s="8" t="str">
        <f aca="false">IF(AND(D495="Congé sans solde",F495="Congé sans solde"),0.333333333333333,IF(OR(AND(D495="Congé sans solde",F495&lt;&gt;"Congé sans solde"),(AND(F495="Congé sans solde",D495&lt;&gt;"Congé sans solde"))),0.166666666666667,""))</f>
        <v/>
      </c>
      <c r="AD495" s="8" t="str">
        <f aca="false">IF(AND(D495="Congé spécial",F495="Congé spécial"),0.333333333333333,IF(OR(AND(D495="Congé spécial",F495&lt;&gt;"Congé spécial"),AND(F495="Congé spécial",D495&lt;&gt;"Congé spécial")),0.166666666666667,""))</f>
        <v/>
      </c>
      <c r="AE495" s="8" t="str">
        <f aca="false">IF(AND(D495="Férié",F495="Férié"),0.333333333333333,IF(OR(AND(D495="Férié",F495&lt;&gt;"Férié"),(AND(F495="Férié",D495&lt;&gt;"Férié"))),0.166666666666667,""))</f>
        <v/>
      </c>
      <c r="AF495" s="18"/>
      <c r="AG495" s="18"/>
    </row>
    <row r="496" customFormat="false" ht="15" hidden="false" customHeight="false" outlineLevel="0" collapsed="false">
      <c r="A496" s="6" t="str">
        <f aca="false">YEAR(Q496-WEEKDAY(Q496,2)+4)&amp;"-S"&amp;TEXT(WEEKNUM(Q496,21),"00")</f>
        <v>2026-S13</v>
      </c>
      <c r="B496" s="18" t="s">
        <v>72</v>
      </c>
      <c r="C496" s="19" t="n">
        <v>0.33125</v>
      </c>
      <c r="D496" s="19" t="n">
        <v>0.333333333333333</v>
      </c>
      <c r="E496" s="19" t="n">
        <v>0.75</v>
      </c>
      <c r="F496" s="19" t="n">
        <v>0.75</v>
      </c>
      <c r="G496" s="20"/>
      <c r="H496" s="20"/>
      <c r="I496" s="8" t="str">
        <f aca="false">IF(IF(OR(C496="",D496="Congé",D496="OFF",D496="Congé spécial"),"",IF(D496&gt;F496,D496-C496,IF(C496-D496&lt;0,0,C496-D496)))&lt;0.00068287037037037,"",IF(OR(D496="Congé",D496="OFF",C496="",D496="Congé spécial"),"",IF(D496&gt;F496,D496-C496,IF(C496-D496&lt;0,0,C496-D496))))</f>
        <v/>
      </c>
      <c r="J496" s="20"/>
      <c r="K496" s="8" t="n">
        <f aca="false">IF(SUM(H496:J496)&lt;0.00068287037037037,0,SUM(H496:J496))</f>
        <v>0</v>
      </c>
      <c r="L496" s="8" t="n">
        <f aca="false">IF(OR(F496="Congé",F496="OFF",M496="Abs",F496="Congé sans solde",F496="Férié",F496="Congé spécial",D496="Congé spécial"),0,IF(F496-E496&lt;0,0,IF(F496-E496&lt;=0.00068287037037037,0,F496-E496)))</f>
        <v>0</v>
      </c>
      <c r="M496" s="6" t="n">
        <f aca="false">IF(AND(O496&lt;&gt;0,C496=""),"Abs",0)</f>
        <v>0</v>
      </c>
      <c r="N496" s="8" t="n">
        <f aca="false">IFERROR(IF(OR(D496="OFF",D496="Congé",M496="Abs",D496="Congé sans solde",D496="Férié"),"",IF(O496-K496-L496&gt;O496,O496,IF(O496-K496-L496&lt;0,"",O496-K496-L496))),"")</f>
        <v>0.375</v>
      </c>
      <c r="O496" s="8" t="n">
        <f aca="false">IF(AG496="2H Pause déjeuner",IF(F496-D496-0.0833333333333333&lt;0,F496-D496-0.0833333333333333+1,F496-D496-0.0833333333333333),IF(OR(AND(F496="OFF",D496="OFF"),AND(F496="Congé",D496="Congé"),AND(F496="Congé sans solde",D496="Congé sans solde"),AND(F496="Congé spécial",D496="Congé spécial"),AND(F496="Férié",D496="Férié"),AND(F496="OFF",D496="Congé"),AND(F496="OFF",D496="Congé sans solde"),AND(F496="OFF",D496="Congé spécial"),AND(F496="OFF",D496="Férié"),AND(F496="Congé",D496="OFF"),AND(F496="Congé",D496="Congé sans solde"),AND(F496="Congé",D496="Congé spécial"),AND(F496="Congé",D496="Férié"),AND(F496="Congé sans solde",D496="OFF"),AND(F496="Congé sans solde",D496="Congé"),AND(F496="Congé sans solde",D496="Congé spécial"),AND(F496="Congé sans solde",D496="Férié"),AND(F496="Congé spécial",D496="OFF"),AND(F496="Congé spécial",D496="Congé"),AND(F496="Congé spécial",D496="Congé sans solde"),AND(F496="Congé spécial",D496="Férié"),AND(F496="Férié",D496="OFF"),AND(F496="Férié",D496="Congé"),AND(F496="Férié",D496="Congé sans solde"),AND(F496="Férié",D496="Congé spécial")),0,IF(OR(F496="OFF",F496="Congé",F496="Congé spécial",F496="Congé sans solde",D496="OFF",D496="Congé",D496="Congé spécial",D496="Congé sans solde"),0.208333333333334,IF(AND(AG496="",F496-D496&lt;0),("24:00:00"-D496)+("00:00:00"+F496)-0.0416666666666667,IF(AND(OR(AG496="Allaitement",AG496="Sans déjeuner"),F496-D496&lt;0),("24:00:00"-D496)+("00:00:00"+F496),IF(AND(AG496="",F496-D496&gt;0.166666666666667),F496-D496-0.0416666666666667,IF(AND(OR(AG496="Allaitement",AG496="Sans déjeuner"),F496-D496&gt;0.166666666666667),F496-D496,F496-D496)))))))</f>
        <v>0.375</v>
      </c>
      <c r="P496" s="6" t="str">
        <f aca="false">IFERROR(VLOOKUP($B496,Agents!$A:$D,2,0),"-")</f>
        <v>Accessibilité</v>
      </c>
      <c r="Q496" s="21" t="n">
        <v>46105</v>
      </c>
      <c r="R496" s="8" t="n">
        <f aca="false">IF(M496="Abs",O496,0)</f>
        <v>0</v>
      </c>
      <c r="S496" s="8" t="n">
        <f aca="false">SUM(R496,L496,I496,J496,W496,H496)</f>
        <v>0</v>
      </c>
      <c r="T496" s="6" t="str">
        <f aca="false">"Sem - "&amp;WEEKNUM(Q496,21)</f>
        <v>Sem - 13</v>
      </c>
      <c r="U496" s="6" t="str">
        <f aca="false">CHOOSE(MONTH(Q496),"Janvier","Février","Mars","Avril","Mai","Juin","Juillet","Août","Septembre","Octobre","Novembre","Décembre")</f>
        <v>Mars</v>
      </c>
      <c r="V496" s="22" t="n">
        <f aca="false">YEAR(Q496)</f>
        <v>2026</v>
      </c>
      <c r="W496" s="20"/>
      <c r="X496" s="8" t="n">
        <f aca="false">IFERROR(IF(M496="Abs",0,IF(ROUND((D496-C496+E496-F496)*1440,0)&lt;=1,0,D496-C496+E496-F496)),0)</f>
        <v>0.00208333333333333</v>
      </c>
      <c r="Y496" s="6" t="str">
        <f aca="false">IFERROR(VLOOKUP($B496,Agents!$A:$D,3,0),"-")</f>
        <v>OUBRAHIM Mohammed</v>
      </c>
      <c r="Z496" s="6" t="str">
        <f aca="false">IFERROR(VLOOKUP($B496,Agents!$A:$D,4,0),"-")</f>
        <v>Credit Mutuel</v>
      </c>
      <c r="AA496" s="18" t="s">
        <v>95</v>
      </c>
      <c r="AB496" s="8" t="str">
        <f aca="false">IF(AND(D496="Congé",F496="Congé"),0.333333333333333,IF(OR(AND(D496="Congé",F496&lt;&gt;"Congé"),(AND(F496="Congé",D496&lt;&gt;"Congé"))),0.166666666666667,""))</f>
        <v/>
      </c>
      <c r="AC496" s="8" t="str">
        <f aca="false">IF(AND(D496="Congé sans solde",F496="Congé sans solde"),0.333333333333333,IF(OR(AND(D496="Congé sans solde",F496&lt;&gt;"Congé sans solde"),(AND(F496="Congé sans solde",D496&lt;&gt;"Congé sans solde"))),0.166666666666667,""))</f>
        <v/>
      </c>
      <c r="AD496" s="8" t="str">
        <f aca="false">IF(AND(D496="Congé spécial",F496="Congé spécial"),0.333333333333333,IF(OR(AND(D496="Congé spécial",F496&lt;&gt;"Congé spécial"),AND(F496="Congé spécial",D496&lt;&gt;"Congé spécial")),0.166666666666667,""))</f>
        <v/>
      </c>
      <c r="AE496" s="8" t="str">
        <f aca="false">IF(AND(D496="Férié",F496="Férié"),0.333333333333333,IF(OR(AND(D496="Férié",F496&lt;&gt;"Férié"),(AND(F496="Férié",D496&lt;&gt;"Férié"))),0.166666666666667,""))</f>
        <v/>
      </c>
      <c r="AF496" s="18"/>
      <c r="AG496" s="18"/>
    </row>
    <row r="497" customFormat="false" ht="15" hidden="false" customHeight="false" outlineLevel="0" collapsed="false">
      <c r="A497" s="6" t="str">
        <f aca="false">YEAR(Q497-WEEKDAY(Q497,2)+4)&amp;"-S"&amp;TEXT(WEEKNUM(Q497,21),"00")</f>
        <v>2026-S13</v>
      </c>
      <c r="B497" s="18" t="s">
        <v>73</v>
      </c>
      <c r="C497" s="19" t="n">
        <v>0.332638888888889</v>
      </c>
      <c r="D497" s="19" t="n">
        <v>0.333333333333333</v>
      </c>
      <c r="E497" s="19" t="n">
        <v>0.75</v>
      </c>
      <c r="F497" s="19" t="n">
        <v>0.75</v>
      </c>
      <c r="G497" s="20"/>
      <c r="H497" s="20"/>
      <c r="I497" s="8" t="str">
        <f aca="false">IF(IF(OR(C497="",D497="Congé",D497="OFF",D497="Congé spécial"),"",IF(D497&gt;F497,D497-C497,IF(C497-D497&lt;0,0,C497-D497)))&lt;0.00068287037037037,"",IF(OR(D497="Congé",D497="OFF",C497="",D497="Congé spécial"),"",IF(D497&gt;F497,D497-C497,IF(C497-D497&lt;0,0,C497-D497))))</f>
        <v/>
      </c>
      <c r="J497" s="20"/>
      <c r="K497" s="8" t="n">
        <f aca="false">IF(SUM(H497:J497)&lt;0.00068287037037037,0,SUM(H497:J497))</f>
        <v>0</v>
      </c>
      <c r="L497" s="8" t="n">
        <f aca="false">IF(OR(F497="Congé",F497="OFF",M497="Abs",F497="Congé sans solde",F497="Férié",F497="Congé spécial",D497="Congé spécial"),0,IF(F497-E497&lt;0,0,IF(F497-E497&lt;=0.00068287037037037,0,F497-E497)))</f>
        <v>0</v>
      </c>
      <c r="M497" s="6" t="n">
        <f aca="false">IF(AND(O497&lt;&gt;0,C497=""),"Abs",0)</f>
        <v>0</v>
      </c>
      <c r="N497" s="8" t="n">
        <f aca="false">IFERROR(IF(OR(D497="OFF",D497="Congé",M497="Abs",D497="Congé sans solde",D497="Férié"),"",IF(O497-K497-L497&gt;O497,O497,IF(O497-K497-L497&lt;0,"",O497-K497-L497))),"")</f>
        <v>0.375</v>
      </c>
      <c r="O497" s="8" t="n">
        <f aca="false">IF(AG497="2H Pause déjeuner",IF(F497-D497-0.0833333333333333&lt;0,F497-D497-0.0833333333333333+1,F497-D497-0.0833333333333333),IF(OR(AND(F497="OFF",D497="OFF"),AND(F497="Congé",D497="Congé"),AND(F497="Congé sans solde",D497="Congé sans solde"),AND(F497="Congé spécial",D497="Congé spécial"),AND(F497="Férié",D497="Férié"),AND(F497="OFF",D497="Congé"),AND(F497="OFF",D497="Congé sans solde"),AND(F497="OFF",D497="Congé spécial"),AND(F497="OFF",D497="Férié"),AND(F497="Congé",D497="OFF"),AND(F497="Congé",D497="Congé sans solde"),AND(F497="Congé",D497="Congé spécial"),AND(F497="Congé",D497="Férié"),AND(F497="Congé sans solde",D497="OFF"),AND(F497="Congé sans solde",D497="Congé"),AND(F497="Congé sans solde",D497="Congé spécial"),AND(F497="Congé sans solde",D497="Férié"),AND(F497="Congé spécial",D497="OFF"),AND(F497="Congé spécial",D497="Congé"),AND(F497="Congé spécial",D497="Congé sans solde"),AND(F497="Congé spécial",D497="Férié"),AND(F497="Férié",D497="OFF"),AND(F497="Férié",D497="Congé"),AND(F497="Férié",D497="Congé sans solde"),AND(F497="Férié",D497="Congé spécial")),0,IF(OR(F497="OFF",F497="Congé",F497="Congé spécial",F497="Congé sans solde",D497="OFF",D497="Congé",D497="Congé spécial",D497="Congé sans solde"),0.208333333333334,IF(AND(AG497="",F497-D497&lt;0),("24:00:00"-D497)+("00:00:00"+F497)-0.0416666666666667,IF(AND(OR(AG497="Allaitement",AG497="Sans déjeuner"),F497-D497&lt;0),("24:00:00"-D497)+("00:00:00"+F497),IF(AND(AG497="",F497-D497&gt;0.166666666666667),F497-D497-0.0416666666666667,IF(AND(OR(AG497="Allaitement",AG497="Sans déjeuner"),F497-D497&gt;0.166666666666667),F497-D497,F497-D497)))))))</f>
        <v>0.375</v>
      </c>
      <c r="P497" s="6" t="str">
        <f aca="false">IFERROR(VLOOKUP($B497,Agents!$A:$D,2,0),"-")</f>
        <v>Accessibilité</v>
      </c>
      <c r="Q497" s="21" t="n">
        <v>46105</v>
      </c>
      <c r="R497" s="8" t="n">
        <f aca="false">IF(M497="Abs",O497,0)</f>
        <v>0</v>
      </c>
      <c r="S497" s="8" t="n">
        <f aca="false">SUM(R497,L497,I497,J497,W497,H497)</f>
        <v>0</v>
      </c>
      <c r="T497" s="6" t="str">
        <f aca="false">"Sem - "&amp;WEEKNUM(Q497,21)</f>
        <v>Sem - 13</v>
      </c>
      <c r="U497" s="6" t="str">
        <f aca="false">CHOOSE(MONTH(Q497),"Janvier","Février","Mars","Avril","Mai","Juin","Juillet","Août","Septembre","Octobre","Novembre","Décembre")</f>
        <v>Mars</v>
      </c>
      <c r="V497" s="22" t="n">
        <f aca="false">YEAR(Q497)</f>
        <v>2026</v>
      </c>
      <c r="W497" s="20"/>
      <c r="X497" s="8" t="n">
        <f aca="false">IFERROR(IF(M497="Abs",0,IF(ROUND((D497-C497+E497-F497)*1440,0)&lt;=1,0,D497-C497+E497-F497)),0)</f>
        <v>0</v>
      </c>
      <c r="Y497" s="6" t="str">
        <f aca="false">IFERROR(VLOOKUP($B497,Agents!$A:$D,3,0),"-")</f>
        <v>OUBRAHIM Mohammed</v>
      </c>
      <c r="Z497" s="6" t="str">
        <f aca="false">IFERROR(VLOOKUP($B497,Agents!$A:$D,4,0),"-")</f>
        <v>Credit Mutuel</v>
      </c>
      <c r="AA497" s="18" t="s">
        <v>95</v>
      </c>
      <c r="AB497" s="8" t="str">
        <f aca="false">IF(AND(D497="Congé",F497="Congé"),0.333333333333333,IF(OR(AND(D497="Congé",F497&lt;&gt;"Congé"),(AND(F497="Congé",D497&lt;&gt;"Congé"))),0.166666666666667,""))</f>
        <v/>
      </c>
      <c r="AC497" s="8" t="str">
        <f aca="false">IF(AND(D497="Congé sans solde",F497="Congé sans solde"),0.333333333333333,IF(OR(AND(D497="Congé sans solde",F497&lt;&gt;"Congé sans solde"),(AND(F497="Congé sans solde",D497&lt;&gt;"Congé sans solde"))),0.166666666666667,""))</f>
        <v/>
      </c>
      <c r="AD497" s="8" t="str">
        <f aca="false">IF(AND(D497="Congé spécial",F497="Congé spécial"),0.333333333333333,IF(OR(AND(D497="Congé spécial",F497&lt;&gt;"Congé spécial"),AND(F497="Congé spécial",D497&lt;&gt;"Congé spécial")),0.166666666666667,""))</f>
        <v/>
      </c>
      <c r="AE497" s="8" t="str">
        <f aca="false">IF(AND(D497="Férié",F497="Férié"),0.333333333333333,IF(OR(AND(D497="Férié",F497&lt;&gt;"Férié"),(AND(F497="Férié",D497&lt;&gt;"Férié"))),0.166666666666667,""))</f>
        <v/>
      </c>
      <c r="AF497" s="18"/>
      <c r="AG497" s="18"/>
    </row>
    <row r="498" customFormat="false" ht="15" hidden="false" customHeight="false" outlineLevel="0" collapsed="false">
      <c r="A498" s="6" t="str">
        <f aca="false">YEAR(Q498-WEEKDAY(Q498,2)+4)&amp;"-S"&amp;TEXT(WEEKNUM(Q498,21),"00")</f>
        <v>2026-S13</v>
      </c>
      <c r="B498" s="18" t="s">
        <v>69</v>
      </c>
      <c r="C498" s="19" t="n">
        <v>0.333333333333333</v>
      </c>
      <c r="D498" s="19" t="n">
        <v>0.333333333333333</v>
      </c>
      <c r="E498" s="19" t="n">
        <v>0.75</v>
      </c>
      <c r="F498" s="19" t="n">
        <v>0.75</v>
      </c>
      <c r="G498" s="20"/>
      <c r="H498" s="20"/>
      <c r="I498" s="8" t="str">
        <f aca="false">IF(IF(OR(C498="",D498="Congé",D498="OFF",D498="Congé spécial"),"",IF(D498&gt;F498,D498-C498,IF(C498-D498&lt;0,0,C498-D498)))&lt;0.00068287037037037,"",IF(OR(D498="Congé",D498="OFF",C498="",D498="Congé spécial"),"",IF(D498&gt;F498,D498-C498,IF(C498-D498&lt;0,0,C498-D498))))</f>
        <v/>
      </c>
      <c r="J498" s="20"/>
      <c r="K498" s="8" t="n">
        <f aca="false">IF(SUM(H498:J498)&lt;0.00068287037037037,0,SUM(H498:J498))</f>
        <v>0</v>
      </c>
      <c r="L498" s="8" t="n">
        <f aca="false">IF(OR(F498="Congé",F498="OFF",M498="Abs",F498="Congé sans solde",F498="Férié",F498="Congé spécial",D498="Congé spécial"),0,IF(F498-E498&lt;0,0,IF(F498-E498&lt;=0.00068287037037037,0,F498-E498)))</f>
        <v>0</v>
      </c>
      <c r="M498" s="6" t="n">
        <f aca="false">IF(AND(O498&lt;&gt;0,C498=""),"Abs",0)</f>
        <v>0</v>
      </c>
      <c r="N498" s="8" t="n">
        <f aca="false">IFERROR(IF(OR(D498="OFF",D498="Congé",M498="Abs",D498="Congé sans solde",D498="Férié"),"",IF(O498-K498-L498&gt;O498,O498,IF(O498-K498-L498&lt;0,"",O498-K498-L498))),"")</f>
        <v>0.375</v>
      </c>
      <c r="O498" s="8" t="n">
        <f aca="false">IF(AG498="2H Pause déjeuner",IF(F498-D498-0.0833333333333333&lt;0,F498-D498-0.0833333333333333+1,F498-D498-0.0833333333333333),IF(OR(AND(F498="OFF",D498="OFF"),AND(F498="Congé",D498="Congé"),AND(F498="Congé sans solde",D498="Congé sans solde"),AND(F498="Congé spécial",D498="Congé spécial"),AND(F498="Férié",D498="Férié"),AND(F498="OFF",D498="Congé"),AND(F498="OFF",D498="Congé sans solde"),AND(F498="OFF",D498="Congé spécial"),AND(F498="OFF",D498="Férié"),AND(F498="Congé",D498="OFF"),AND(F498="Congé",D498="Congé sans solde"),AND(F498="Congé",D498="Congé spécial"),AND(F498="Congé",D498="Férié"),AND(F498="Congé sans solde",D498="OFF"),AND(F498="Congé sans solde",D498="Congé"),AND(F498="Congé sans solde",D498="Congé spécial"),AND(F498="Congé sans solde",D498="Férié"),AND(F498="Congé spécial",D498="OFF"),AND(F498="Congé spécial",D498="Congé"),AND(F498="Congé spécial",D498="Congé sans solde"),AND(F498="Congé spécial",D498="Férié"),AND(F498="Férié",D498="OFF"),AND(F498="Férié",D498="Congé"),AND(F498="Férié",D498="Congé sans solde"),AND(F498="Férié",D498="Congé spécial")),0,IF(OR(F498="OFF",F498="Congé",F498="Congé spécial",F498="Congé sans solde",D498="OFF",D498="Congé",D498="Congé spécial",D498="Congé sans solde"),0.208333333333334,IF(AND(AG498="",F498-D498&lt;0),("24:00:00"-D498)+("00:00:00"+F498)-0.0416666666666667,IF(AND(OR(AG498="Allaitement",AG498="Sans déjeuner"),F498-D498&lt;0),("24:00:00"-D498)+("00:00:00"+F498),IF(AND(AG498="",F498-D498&gt;0.166666666666667),F498-D498-0.0416666666666667,IF(AND(OR(AG498="Allaitement",AG498="Sans déjeuner"),F498-D498&gt;0.166666666666667),F498-D498,F498-D498)))))))</f>
        <v>0.375</v>
      </c>
      <c r="P498" s="6" t="str">
        <f aca="false">IFERROR(VLOOKUP($B498,Agents!$A:$D,2,0),"-")</f>
        <v>Accessibilité</v>
      </c>
      <c r="Q498" s="21" t="n">
        <v>46106</v>
      </c>
      <c r="R498" s="8" t="n">
        <f aca="false">IF(M498="Abs",O498,0)</f>
        <v>0</v>
      </c>
      <c r="S498" s="8" t="n">
        <f aca="false">SUM(R498,L498,I498,J498,W498,H498)</f>
        <v>0</v>
      </c>
      <c r="T498" s="6" t="str">
        <f aca="false">"Sem - "&amp;WEEKNUM(Q498,21)</f>
        <v>Sem - 13</v>
      </c>
      <c r="U498" s="6" t="str">
        <f aca="false">CHOOSE(MONTH(Q498),"Janvier","Février","Mars","Avril","Mai","Juin","Juillet","Août","Septembre","Octobre","Novembre","Décembre")</f>
        <v>Mars</v>
      </c>
      <c r="V498" s="22" t="n">
        <f aca="false">YEAR(Q498)</f>
        <v>2026</v>
      </c>
      <c r="W498" s="20"/>
      <c r="X498" s="8" t="n">
        <f aca="false">IFERROR(IF(M498="Abs",0,IF(ROUND((D498-C498+E498-F498)*1440,0)&lt;=1,0,D498-C498+E498-F498)),0)</f>
        <v>0</v>
      </c>
      <c r="Y498" s="6" t="str">
        <f aca="false">IFERROR(VLOOKUP($B498,Agents!$A:$D,3,0),"-")</f>
        <v>OUBRAHIM Mohammed</v>
      </c>
      <c r="Z498" s="6" t="str">
        <f aca="false">IFERROR(VLOOKUP($B498,Agents!$A:$D,4,0),"-")</f>
        <v>Credit Mutuel</v>
      </c>
      <c r="AA498" s="18" t="s">
        <v>95</v>
      </c>
      <c r="AB498" s="8" t="str">
        <f aca="false">IF(AND(D498="Congé",F498="Congé"),0.333333333333333,IF(OR(AND(D498="Congé",F498&lt;&gt;"Congé"),(AND(F498="Congé",D498&lt;&gt;"Congé"))),0.166666666666667,""))</f>
        <v/>
      </c>
      <c r="AC498" s="8" t="str">
        <f aca="false">IF(AND(D498="Congé sans solde",F498="Congé sans solde"),0.333333333333333,IF(OR(AND(D498="Congé sans solde",F498&lt;&gt;"Congé sans solde"),(AND(F498="Congé sans solde",D498&lt;&gt;"Congé sans solde"))),0.166666666666667,""))</f>
        <v/>
      </c>
      <c r="AD498" s="8" t="str">
        <f aca="false">IF(AND(D498="Congé spécial",F498="Congé spécial"),0.333333333333333,IF(OR(AND(D498="Congé spécial",F498&lt;&gt;"Congé spécial"),AND(F498="Congé spécial",D498&lt;&gt;"Congé spécial")),0.166666666666667,""))</f>
        <v/>
      </c>
      <c r="AE498" s="8" t="str">
        <f aca="false">IF(AND(D498="Férié",F498="Férié"),0.333333333333333,IF(OR(AND(D498="Férié",F498&lt;&gt;"Férié"),(AND(F498="Férié",D498&lt;&gt;"Férié"))),0.166666666666667,""))</f>
        <v/>
      </c>
      <c r="AF498" s="18"/>
      <c r="AG498" s="18"/>
    </row>
    <row r="499" customFormat="false" ht="15" hidden="false" customHeight="false" outlineLevel="0" collapsed="false">
      <c r="A499" s="6" t="str">
        <f aca="false">YEAR(Q499-WEEKDAY(Q499,2)+4)&amp;"-S"&amp;TEXT(WEEKNUM(Q499,21),"00")</f>
        <v>2026-S13</v>
      </c>
      <c r="B499" s="18" t="s">
        <v>71</v>
      </c>
      <c r="C499" s="19" t="n">
        <v>0.333333333333333</v>
      </c>
      <c r="D499" s="19" t="n">
        <v>0.333333333333333</v>
      </c>
      <c r="E499" s="19" t="n">
        <v>0.75</v>
      </c>
      <c r="F499" s="19" t="n">
        <v>0.75</v>
      </c>
      <c r="G499" s="20"/>
      <c r="H499" s="20"/>
      <c r="I499" s="8" t="str">
        <f aca="false">IF(IF(OR(C499="",D499="Congé",D499="OFF",D499="Congé spécial"),"",IF(D499&gt;F499,D499-C499,IF(C499-D499&lt;0,0,C499-D499)))&lt;0.00068287037037037,"",IF(OR(D499="Congé",D499="OFF",C499="",D499="Congé spécial"),"",IF(D499&gt;F499,D499-C499,IF(C499-D499&lt;0,0,C499-D499))))</f>
        <v/>
      </c>
      <c r="J499" s="20"/>
      <c r="K499" s="8" t="n">
        <f aca="false">IF(SUM(H499:J499)&lt;0.00068287037037037,0,SUM(H499:J499))</f>
        <v>0</v>
      </c>
      <c r="L499" s="8" t="n">
        <f aca="false">IF(OR(F499="Congé",F499="OFF",M499="Abs",F499="Congé sans solde",F499="Férié",F499="Congé spécial",D499="Congé spécial"),0,IF(F499-E499&lt;0,0,IF(F499-E499&lt;=0.00068287037037037,0,F499-E499)))</f>
        <v>0</v>
      </c>
      <c r="M499" s="6" t="n">
        <f aca="false">IF(AND(O499&lt;&gt;0,C499=""),"Abs",0)</f>
        <v>0</v>
      </c>
      <c r="N499" s="8" t="n">
        <f aca="false">IFERROR(IF(OR(D499="OFF",D499="Congé",M499="Abs",D499="Congé sans solde",D499="Férié"),"",IF(O499-K499-L499&gt;O499,O499,IF(O499-K499-L499&lt;0,"",O499-K499-L499))),"")</f>
        <v>0.375</v>
      </c>
      <c r="O499" s="8" t="n">
        <f aca="false">IF(AG499="2H Pause déjeuner",IF(F499-D499-0.0833333333333333&lt;0,F499-D499-0.0833333333333333+1,F499-D499-0.0833333333333333),IF(OR(AND(F499="OFF",D499="OFF"),AND(F499="Congé",D499="Congé"),AND(F499="Congé sans solde",D499="Congé sans solde"),AND(F499="Congé spécial",D499="Congé spécial"),AND(F499="Férié",D499="Férié"),AND(F499="OFF",D499="Congé"),AND(F499="OFF",D499="Congé sans solde"),AND(F499="OFF",D499="Congé spécial"),AND(F499="OFF",D499="Férié"),AND(F499="Congé",D499="OFF"),AND(F499="Congé",D499="Congé sans solde"),AND(F499="Congé",D499="Congé spécial"),AND(F499="Congé",D499="Férié"),AND(F499="Congé sans solde",D499="OFF"),AND(F499="Congé sans solde",D499="Congé"),AND(F499="Congé sans solde",D499="Congé spécial"),AND(F499="Congé sans solde",D499="Férié"),AND(F499="Congé spécial",D499="OFF"),AND(F499="Congé spécial",D499="Congé"),AND(F499="Congé spécial",D499="Congé sans solde"),AND(F499="Congé spécial",D499="Férié"),AND(F499="Férié",D499="OFF"),AND(F499="Férié",D499="Congé"),AND(F499="Férié",D499="Congé sans solde"),AND(F499="Férié",D499="Congé spécial")),0,IF(OR(F499="OFF",F499="Congé",F499="Congé spécial",F499="Congé sans solde",D499="OFF",D499="Congé",D499="Congé spécial",D499="Congé sans solde"),0.208333333333334,IF(AND(AG499="",F499-D499&lt;0),("24:00:00"-D499)+("00:00:00"+F499)-0.0416666666666667,IF(AND(OR(AG499="Allaitement",AG499="Sans déjeuner"),F499-D499&lt;0),("24:00:00"-D499)+("00:00:00"+F499),IF(AND(AG499="",F499-D499&gt;0.166666666666667),F499-D499-0.0416666666666667,IF(AND(OR(AG499="Allaitement",AG499="Sans déjeuner"),F499-D499&gt;0.166666666666667),F499-D499,F499-D499)))))))</f>
        <v>0.375</v>
      </c>
      <c r="P499" s="6" t="str">
        <f aca="false">IFERROR(VLOOKUP($B499,Agents!$A:$D,2,0),"-")</f>
        <v>Accessibilité</v>
      </c>
      <c r="Q499" s="21" t="n">
        <v>46106</v>
      </c>
      <c r="R499" s="8" t="n">
        <f aca="false">IF(M499="Abs",O499,0)</f>
        <v>0</v>
      </c>
      <c r="S499" s="8" t="n">
        <f aca="false">SUM(R499,L499,I499,J499,W499,H499)</f>
        <v>0</v>
      </c>
      <c r="T499" s="6" t="str">
        <f aca="false">"Sem - "&amp;WEEKNUM(Q499,21)</f>
        <v>Sem - 13</v>
      </c>
      <c r="U499" s="6" t="str">
        <f aca="false">CHOOSE(MONTH(Q499),"Janvier","Février","Mars","Avril","Mai","Juin","Juillet","Août","Septembre","Octobre","Novembre","Décembre")</f>
        <v>Mars</v>
      </c>
      <c r="V499" s="22" t="n">
        <f aca="false">YEAR(Q499)</f>
        <v>2026</v>
      </c>
      <c r="W499" s="20"/>
      <c r="X499" s="8" t="n">
        <f aca="false">IFERROR(IF(M499="Abs",0,IF(ROUND((D499-C499+E499-F499)*1440,0)&lt;=1,0,D499-C499+E499-F499)),0)</f>
        <v>0</v>
      </c>
      <c r="Y499" s="6" t="str">
        <f aca="false">IFERROR(VLOOKUP($B499,Agents!$A:$D,3,0),"-")</f>
        <v>OUBRAHIM Mohammed</v>
      </c>
      <c r="Z499" s="6" t="str">
        <f aca="false">IFERROR(VLOOKUP($B499,Agents!$A:$D,4,0),"-")</f>
        <v>Credit Mutuel</v>
      </c>
      <c r="AA499" s="18" t="s">
        <v>95</v>
      </c>
      <c r="AB499" s="8" t="str">
        <f aca="false">IF(AND(D499="Congé",F499="Congé"),0.333333333333333,IF(OR(AND(D499="Congé",F499&lt;&gt;"Congé"),(AND(F499="Congé",D499&lt;&gt;"Congé"))),0.166666666666667,""))</f>
        <v/>
      </c>
      <c r="AC499" s="8" t="str">
        <f aca="false">IF(AND(D499="Congé sans solde",F499="Congé sans solde"),0.333333333333333,IF(OR(AND(D499="Congé sans solde",F499&lt;&gt;"Congé sans solde"),(AND(F499="Congé sans solde",D499&lt;&gt;"Congé sans solde"))),0.166666666666667,""))</f>
        <v/>
      </c>
      <c r="AD499" s="8" t="str">
        <f aca="false">IF(AND(D499="Congé spécial",F499="Congé spécial"),0.333333333333333,IF(OR(AND(D499="Congé spécial",F499&lt;&gt;"Congé spécial"),AND(F499="Congé spécial",D499&lt;&gt;"Congé spécial")),0.166666666666667,""))</f>
        <v/>
      </c>
      <c r="AE499" s="8" t="str">
        <f aca="false">IF(AND(D499="Férié",F499="Férié"),0.333333333333333,IF(OR(AND(D499="Férié",F499&lt;&gt;"Férié"),(AND(F499="Férié",D499&lt;&gt;"Férié"))),0.166666666666667,""))</f>
        <v/>
      </c>
      <c r="AF499" s="18"/>
      <c r="AG499" s="18"/>
    </row>
    <row r="500" customFormat="false" ht="15" hidden="false" customHeight="false" outlineLevel="0" collapsed="false">
      <c r="A500" s="6" t="str">
        <f aca="false">YEAR(Q500-WEEKDAY(Q500,2)+4)&amp;"-S"&amp;TEXT(WEEKNUM(Q500,21),"00")</f>
        <v>2026-S13</v>
      </c>
      <c r="B500" s="18" t="s">
        <v>72</v>
      </c>
      <c r="C500" s="19" t="n">
        <v>0.332638888888889</v>
      </c>
      <c r="D500" s="19" t="n">
        <v>0.333333333333333</v>
      </c>
      <c r="E500" s="19" t="n">
        <v>0.75</v>
      </c>
      <c r="F500" s="19" t="n">
        <v>0.75</v>
      </c>
      <c r="G500" s="20"/>
      <c r="H500" s="20"/>
      <c r="I500" s="8" t="str">
        <f aca="false">IF(IF(OR(C500="",D500="Congé",D500="OFF",D500="Congé spécial"),"",IF(D500&gt;F500,D500-C500,IF(C500-D500&lt;0,0,C500-D500)))&lt;0.00068287037037037,"",IF(OR(D500="Congé",D500="OFF",C500="",D500="Congé spécial"),"",IF(D500&gt;F500,D500-C500,IF(C500-D500&lt;0,0,C500-D500))))</f>
        <v/>
      </c>
      <c r="J500" s="20"/>
      <c r="K500" s="8" t="n">
        <f aca="false">IF(SUM(H500:J500)&lt;0.00068287037037037,0,SUM(H500:J500))</f>
        <v>0</v>
      </c>
      <c r="L500" s="8" t="n">
        <f aca="false">IF(OR(F500="Congé",F500="OFF",M500="Abs",F500="Congé sans solde",F500="Férié",F500="Congé spécial",D500="Congé spécial"),0,IF(F500-E500&lt;0,0,IF(F500-E500&lt;=0.00068287037037037,0,F500-E500)))</f>
        <v>0</v>
      </c>
      <c r="M500" s="6" t="n">
        <f aca="false">IF(AND(O500&lt;&gt;0,C500=""),"Abs",0)</f>
        <v>0</v>
      </c>
      <c r="N500" s="8" t="n">
        <f aca="false">IFERROR(IF(OR(D500="OFF",D500="Congé",M500="Abs",D500="Congé sans solde",D500="Férié"),"",IF(O500-K500-L500&gt;O500,O500,IF(O500-K500-L500&lt;0,"",O500-K500-L500))),"")</f>
        <v>0.375</v>
      </c>
      <c r="O500" s="8" t="n">
        <f aca="false">IF(AG500="2H Pause déjeuner",IF(F500-D500-0.0833333333333333&lt;0,F500-D500-0.0833333333333333+1,F500-D500-0.0833333333333333),IF(OR(AND(F500="OFF",D500="OFF"),AND(F500="Congé",D500="Congé"),AND(F500="Congé sans solde",D500="Congé sans solde"),AND(F500="Congé spécial",D500="Congé spécial"),AND(F500="Férié",D500="Férié"),AND(F500="OFF",D500="Congé"),AND(F500="OFF",D500="Congé sans solde"),AND(F500="OFF",D500="Congé spécial"),AND(F500="OFF",D500="Férié"),AND(F500="Congé",D500="OFF"),AND(F500="Congé",D500="Congé sans solde"),AND(F500="Congé",D500="Congé spécial"),AND(F500="Congé",D500="Férié"),AND(F500="Congé sans solde",D500="OFF"),AND(F500="Congé sans solde",D500="Congé"),AND(F500="Congé sans solde",D500="Congé spécial"),AND(F500="Congé sans solde",D500="Férié"),AND(F500="Congé spécial",D500="OFF"),AND(F500="Congé spécial",D500="Congé"),AND(F500="Congé spécial",D500="Congé sans solde"),AND(F500="Congé spécial",D500="Férié"),AND(F500="Férié",D500="OFF"),AND(F500="Férié",D500="Congé"),AND(F500="Férié",D500="Congé sans solde"),AND(F500="Férié",D500="Congé spécial")),0,IF(OR(F500="OFF",F500="Congé",F500="Congé spécial",F500="Congé sans solde",D500="OFF",D500="Congé",D500="Congé spécial",D500="Congé sans solde"),0.208333333333334,IF(AND(AG500="",F500-D500&lt;0),("24:00:00"-D500)+("00:00:00"+F500)-0.0416666666666667,IF(AND(OR(AG500="Allaitement",AG500="Sans déjeuner"),F500-D500&lt;0),("24:00:00"-D500)+("00:00:00"+F500),IF(AND(AG500="",F500-D500&gt;0.166666666666667),F500-D500-0.0416666666666667,IF(AND(OR(AG500="Allaitement",AG500="Sans déjeuner"),F500-D500&gt;0.166666666666667),F500-D500,F500-D500)))))))</f>
        <v>0.375</v>
      </c>
      <c r="P500" s="6" t="str">
        <f aca="false">IFERROR(VLOOKUP($B500,Agents!$A:$D,2,0),"-")</f>
        <v>Accessibilité</v>
      </c>
      <c r="Q500" s="21" t="n">
        <v>46106</v>
      </c>
      <c r="R500" s="8" t="n">
        <f aca="false">IF(M500="Abs",O500,0)</f>
        <v>0</v>
      </c>
      <c r="S500" s="8" t="n">
        <f aca="false">SUM(R500,L500,I500,J500,W500,H500)</f>
        <v>0</v>
      </c>
      <c r="T500" s="6" t="str">
        <f aca="false">"Sem - "&amp;WEEKNUM(Q500,21)</f>
        <v>Sem - 13</v>
      </c>
      <c r="U500" s="6" t="str">
        <f aca="false">CHOOSE(MONTH(Q500),"Janvier","Février","Mars","Avril","Mai","Juin","Juillet","Août","Septembre","Octobre","Novembre","Décembre")</f>
        <v>Mars</v>
      </c>
      <c r="V500" s="22" t="n">
        <f aca="false">YEAR(Q500)</f>
        <v>2026</v>
      </c>
      <c r="W500" s="20"/>
      <c r="X500" s="8" t="n">
        <f aca="false">IFERROR(IF(M500="Abs",0,IF(ROUND((D500-C500+E500-F500)*1440,0)&lt;=1,0,D500-C500+E500-F500)),0)</f>
        <v>0</v>
      </c>
      <c r="Y500" s="6" t="str">
        <f aca="false">IFERROR(VLOOKUP($B500,Agents!$A:$D,3,0),"-")</f>
        <v>OUBRAHIM Mohammed</v>
      </c>
      <c r="Z500" s="6" t="str">
        <f aca="false">IFERROR(VLOOKUP($B500,Agents!$A:$D,4,0),"-")</f>
        <v>Credit Mutuel</v>
      </c>
      <c r="AA500" s="18" t="s">
        <v>95</v>
      </c>
      <c r="AB500" s="8" t="str">
        <f aca="false">IF(AND(D500="Congé",F500="Congé"),0.333333333333333,IF(OR(AND(D500="Congé",F500&lt;&gt;"Congé"),(AND(F500="Congé",D500&lt;&gt;"Congé"))),0.166666666666667,""))</f>
        <v/>
      </c>
      <c r="AC500" s="8" t="str">
        <f aca="false">IF(AND(D500="Congé sans solde",F500="Congé sans solde"),0.333333333333333,IF(OR(AND(D500="Congé sans solde",F500&lt;&gt;"Congé sans solde"),(AND(F500="Congé sans solde",D500&lt;&gt;"Congé sans solde"))),0.166666666666667,""))</f>
        <v/>
      </c>
      <c r="AD500" s="8" t="str">
        <f aca="false">IF(AND(D500="Congé spécial",F500="Congé spécial"),0.333333333333333,IF(OR(AND(D500="Congé spécial",F500&lt;&gt;"Congé spécial"),AND(F500="Congé spécial",D500&lt;&gt;"Congé spécial")),0.166666666666667,""))</f>
        <v/>
      </c>
      <c r="AE500" s="8" t="str">
        <f aca="false">IF(AND(D500="Férié",F500="Férié"),0.333333333333333,IF(OR(AND(D500="Férié",F500&lt;&gt;"Férié"),(AND(F500="Férié",D500&lt;&gt;"Férié"))),0.166666666666667,""))</f>
        <v/>
      </c>
      <c r="AF500" s="18"/>
      <c r="AG500" s="18"/>
    </row>
    <row r="501" customFormat="false" ht="15" hidden="false" customHeight="false" outlineLevel="0" collapsed="false">
      <c r="A501" s="6" t="str">
        <f aca="false">YEAR(Q501-WEEKDAY(Q501,2)+4)&amp;"-S"&amp;TEXT(WEEKNUM(Q501,21),"00")</f>
        <v>2026-S13</v>
      </c>
      <c r="B501" s="18" t="s">
        <v>73</v>
      </c>
      <c r="C501" s="19" t="n">
        <v>0.331944444444444</v>
      </c>
      <c r="D501" s="19" t="n">
        <v>0.333333333333333</v>
      </c>
      <c r="E501" s="19" t="n">
        <v>0.75</v>
      </c>
      <c r="F501" s="19" t="n">
        <v>0.75</v>
      </c>
      <c r="G501" s="20"/>
      <c r="H501" s="20"/>
      <c r="I501" s="8" t="str">
        <f aca="false">IF(IF(OR(C501="",D501="Congé",D501="OFF",D501="Congé spécial"),"",IF(D501&gt;F501,D501-C501,IF(C501-D501&lt;0,0,C501-D501)))&lt;0.00068287037037037,"",IF(OR(D501="Congé",D501="OFF",C501="",D501="Congé spécial"),"",IF(D501&gt;F501,D501-C501,IF(C501-D501&lt;0,0,C501-D501))))</f>
        <v/>
      </c>
      <c r="J501" s="20"/>
      <c r="K501" s="8" t="n">
        <f aca="false">IF(SUM(H501:J501)&lt;0.00068287037037037,0,SUM(H501:J501))</f>
        <v>0</v>
      </c>
      <c r="L501" s="8" t="n">
        <f aca="false">IF(OR(F501="Congé",F501="OFF",M501="Abs",F501="Congé sans solde",F501="Férié",F501="Congé spécial",D501="Congé spécial"),0,IF(F501-E501&lt;0,0,IF(F501-E501&lt;=0.00068287037037037,0,F501-E501)))</f>
        <v>0</v>
      </c>
      <c r="M501" s="6" t="n">
        <f aca="false">IF(AND(O501&lt;&gt;0,C501=""),"Abs",0)</f>
        <v>0</v>
      </c>
      <c r="N501" s="8" t="n">
        <f aca="false">IFERROR(IF(OR(D501="OFF",D501="Congé",M501="Abs",D501="Congé sans solde",D501="Férié"),"",IF(O501-K501-L501&gt;O501,O501,IF(O501-K501-L501&lt;0,"",O501-K501-L501))),"")</f>
        <v>0.375</v>
      </c>
      <c r="O501" s="8" t="n">
        <f aca="false">IF(AG501="2H Pause déjeuner",IF(F501-D501-0.0833333333333333&lt;0,F501-D501-0.0833333333333333+1,F501-D501-0.0833333333333333),IF(OR(AND(F501="OFF",D501="OFF"),AND(F501="Congé",D501="Congé"),AND(F501="Congé sans solde",D501="Congé sans solde"),AND(F501="Congé spécial",D501="Congé spécial"),AND(F501="Férié",D501="Férié"),AND(F501="OFF",D501="Congé"),AND(F501="OFF",D501="Congé sans solde"),AND(F501="OFF",D501="Congé spécial"),AND(F501="OFF",D501="Férié"),AND(F501="Congé",D501="OFF"),AND(F501="Congé",D501="Congé sans solde"),AND(F501="Congé",D501="Congé spécial"),AND(F501="Congé",D501="Férié"),AND(F501="Congé sans solde",D501="OFF"),AND(F501="Congé sans solde",D501="Congé"),AND(F501="Congé sans solde",D501="Congé spécial"),AND(F501="Congé sans solde",D501="Férié"),AND(F501="Congé spécial",D501="OFF"),AND(F501="Congé spécial",D501="Congé"),AND(F501="Congé spécial",D501="Congé sans solde"),AND(F501="Congé spécial",D501="Férié"),AND(F501="Férié",D501="OFF"),AND(F501="Férié",D501="Congé"),AND(F501="Férié",D501="Congé sans solde"),AND(F501="Férié",D501="Congé spécial")),0,IF(OR(F501="OFF",F501="Congé",F501="Congé spécial",F501="Congé sans solde",D501="OFF",D501="Congé",D501="Congé spécial",D501="Congé sans solde"),0.208333333333334,IF(AND(AG501="",F501-D501&lt;0),("24:00:00"-D501)+("00:00:00"+F501)-0.0416666666666667,IF(AND(OR(AG501="Allaitement",AG501="Sans déjeuner"),F501-D501&lt;0),("24:00:00"-D501)+("00:00:00"+F501),IF(AND(AG501="",F501-D501&gt;0.166666666666667),F501-D501-0.0416666666666667,IF(AND(OR(AG501="Allaitement",AG501="Sans déjeuner"),F501-D501&gt;0.166666666666667),F501-D501,F501-D501)))))))</f>
        <v>0.375</v>
      </c>
      <c r="P501" s="6" t="str">
        <f aca="false">IFERROR(VLOOKUP($B501,Agents!$A:$D,2,0),"-")</f>
        <v>Accessibilité</v>
      </c>
      <c r="Q501" s="21" t="n">
        <v>46106</v>
      </c>
      <c r="R501" s="8" t="n">
        <f aca="false">IF(M501="Abs",O501,0)</f>
        <v>0</v>
      </c>
      <c r="S501" s="8" t="n">
        <f aca="false">SUM(R501,L501,I501,J501,W501,H501)</f>
        <v>0</v>
      </c>
      <c r="T501" s="6" t="str">
        <f aca="false">"Sem - "&amp;WEEKNUM(Q501,21)</f>
        <v>Sem - 13</v>
      </c>
      <c r="U501" s="6" t="str">
        <f aca="false">CHOOSE(MONTH(Q501),"Janvier","Février","Mars","Avril","Mai","Juin","Juillet","Août","Septembre","Octobre","Novembre","Décembre")</f>
        <v>Mars</v>
      </c>
      <c r="V501" s="22" t="n">
        <f aca="false">YEAR(Q501)</f>
        <v>2026</v>
      </c>
      <c r="W501" s="20"/>
      <c r="X501" s="8" t="n">
        <f aca="false">IFERROR(IF(M501="Abs",0,IF(ROUND((D501-C501+E501-F501)*1440,0)&lt;=1,0,D501-C501+E501-F501)),0)</f>
        <v>0.00138888888888889</v>
      </c>
      <c r="Y501" s="6" t="str">
        <f aca="false">IFERROR(VLOOKUP($B501,Agents!$A:$D,3,0),"-")</f>
        <v>OUBRAHIM Mohammed</v>
      </c>
      <c r="Z501" s="6" t="str">
        <f aca="false">IFERROR(VLOOKUP($B501,Agents!$A:$D,4,0),"-")</f>
        <v>Credit Mutuel</v>
      </c>
      <c r="AA501" s="18" t="s">
        <v>95</v>
      </c>
      <c r="AB501" s="8" t="str">
        <f aca="false">IF(AND(D501="Congé",F501="Congé"),0.333333333333333,IF(OR(AND(D501="Congé",F501&lt;&gt;"Congé"),(AND(F501="Congé",D501&lt;&gt;"Congé"))),0.166666666666667,""))</f>
        <v/>
      </c>
      <c r="AC501" s="8" t="str">
        <f aca="false">IF(AND(D501="Congé sans solde",F501="Congé sans solde"),0.333333333333333,IF(OR(AND(D501="Congé sans solde",F501&lt;&gt;"Congé sans solde"),(AND(F501="Congé sans solde",D501&lt;&gt;"Congé sans solde"))),0.166666666666667,""))</f>
        <v/>
      </c>
      <c r="AD501" s="8" t="str">
        <f aca="false">IF(AND(D501="Congé spécial",F501="Congé spécial"),0.333333333333333,IF(OR(AND(D501="Congé spécial",F501&lt;&gt;"Congé spécial"),AND(F501="Congé spécial",D501&lt;&gt;"Congé spécial")),0.166666666666667,""))</f>
        <v/>
      </c>
      <c r="AE501" s="8" t="str">
        <f aca="false">IF(AND(D501="Férié",F501="Férié"),0.333333333333333,IF(OR(AND(D501="Férié",F501&lt;&gt;"Férié"),(AND(F501="Férié",D501&lt;&gt;"Férié"))),0.166666666666667,""))</f>
        <v/>
      </c>
      <c r="AF501" s="18"/>
      <c r="AG501" s="18"/>
    </row>
    <row r="502" customFormat="false" ht="15" hidden="false" customHeight="false" outlineLevel="0" collapsed="false">
      <c r="A502" s="6" t="str">
        <f aca="false">YEAR(Q502-WEEKDAY(Q502,2)+4)&amp;"-S"&amp;TEXT(WEEKNUM(Q502,21),"00")</f>
        <v>2026-S13</v>
      </c>
      <c r="B502" s="18" t="s">
        <v>69</v>
      </c>
      <c r="C502" s="19" t="n">
        <v>0.333333333333333</v>
      </c>
      <c r="D502" s="19" t="n">
        <v>0.333333333333333</v>
      </c>
      <c r="E502" s="19" t="n">
        <v>0.75</v>
      </c>
      <c r="F502" s="19" t="n">
        <v>0.75</v>
      </c>
      <c r="G502" s="20"/>
      <c r="H502" s="20"/>
      <c r="I502" s="8" t="str">
        <f aca="false">IF(IF(OR(C502="",D502="Congé",D502="OFF",D502="Congé spécial"),"",IF(D502&gt;F502,D502-C502,IF(C502-D502&lt;0,0,C502-D502)))&lt;0.00068287037037037,"",IF(OR(D502="Congé",D502="OFF",C502="",D502="Congé spécial"),"",IF(D502&gt;F502,D502-C502,IF(C502-D502&lt;0,0,C502-D502))))</f>
        <v/>
      </c>
      <c r="J502" s="20"/>
      <c r="K502" s="8" t="n">
        <f aca="false">IF(SUM(H502:J502)&lt;0.00068287037037037,0,SUM(H502:J502))</f>
        <v>0</v>
      </c>
      <c r="L502" s="8" t="n">
        <f aca="false">IF(OR(F502="Congé",F502="OFF",M502="Abs",F502="Congé sans solde",F502="Férié",F502="Congé spécial",D502="Congé spécial"),0,IF(F502-E502&lt;0,0,IF(F502-E502&lt;=0.00068287037037037,0,F502-E502)))</f>
        <v>0</v>
      </c>
      <c r="M502" s="6" t="n">
        <f aca="false">IF(AND(O502&lt;&gt;0,C502=""),"Abs",0)</f>
        <v>0</v>
      </c>
      <c r="N502" s="8" t="n">
        <f aca="false">IFERROR(IF(OR(D502="OFF",D502="Congé",M502="Abs",D502="Congé sans solde",D502="Férié"),"",IF(O502-K502-L502&gt;O502,O502,IF(O502-K502-L502&lt;0,"",O502-K502-L502))),"")</f>
        <v>0.375</v>
      </c>
      <c r="O502" s="8" t="n">
        <f aca="false">IF(AG502="2H Pause déjeuner",IF(F502-D502-0.0833333333333333&lt;0,F502-D502-0.0833333333333333+1,F502-D502-0.0833333333333333),IF(OR(AND(F502="OFF",D502="OFF"),AND(F502="Congé",D502="Congé"),AND(F502="Congé sans solde",D502="Congé sans solde"),AND(F502="Congé spécial",D502="Congé spécial"),AND(F502="Férié",D502="Férié"),AND(F502="OFF",D502="Congé"),AND(F502="OFF",D502="Congé sans solde"),AND(F502="OFF",D502="Congé spécial"),AND(F502="OFF",D502="Férié"),AND(F502="Congé",D502="OFF"),AND(F502="Congé",D502="Congé sans solde"),AND(F502="Congé",D502="Congé spécial"),AND(F502="Congé",D502="Férié"),AND(F502="Congé sans solde",D502="OFF"),AND(F502="Congé sans solde",D502="Congé"),AND(F502="Congé sans solde",D502="Congé spécial"),AND(F502="Congé sans solde",D502="Férié"),AND(F502="Congé spécial",D502="OFF"),AND(F502="Congé spécial",D502="Congé"),AND(F502="Congé spécial",D502="Congé sans solde"),AND(F502="Congé spécial",D502="Férié"),AND(F502="Férié",D502="OFF"),AND(F502="Férié",D502="Congé"),AND(F502="Férié",D502="Congé sans solde"),AND(F502="Férié",D502="Congé spécial")),0,IF(OR(F502="OFF",F502="Congé",F502="Congé spécial",F502="Congé sans solde",D502="OFF",D502="Congé",D502="Congé spécial",D502="Congé sans solde"),0.208333333333334,IF(AND(AG502="",F502-D502&lt;0),("24:00:00"-D502)+("00:00:00"+F502)-0.0416666666666667,IF(AND(OR(AG502="Allaitement",AG502="Sans déjeuner"),F502-D502&lt;0),("24:00:00"-D502)+("00:00:00"+F502),IF(AND(AG502="",F502-D502&gt;0.166666666666667),F502-D502-0.0416666666666667,IF(AND(OR(AG502="Allaitement",AG502="Sans déjeuner"),F502-D502&gt;0.166666666666667),F502-D502,F502-D502)))))))</f>
        <v>0.375</v>
      </c>
      <c r="P502" s="6" t="str">
        <f aca="false">IFERROR(VLOOKUP($B502,Agents!$A:$D,2,0),"-")</f>
        <v>Accessibilité</v>
      </c>
      <c r="Q502" s="21" t="n">
        <v>46107</v>
      </c>
      <c r="R502" s="8" t="n">
        <f aca="false">IF(M502="Abs",O502,0)</f>
        <v>0</v>
      </c>
      <c r="S502" s="8" t="n">
        <f aca="false">SUM(R502,L502,I502,J502,W502,H502)</f>
        <v>0</v>
      </c>
      <c r="T502" s="6" t="str">
        <f aca="false">"Sem - "&amp;WEEKNUM(Q502,21)</f>
        <v>Sem - 13</v>
      </c>
      <c r="U502" s="6" t="str">
        <f aca="false">CHOOSE(MONTH(Q502),"Janvier","Février","Mars","Avril","Mai","Juin","Juillet","Août","Septembre","Octobre","Novembre","Décembre")</f>
        <v>Mars</v>
      </c>
      <c r="V502" s="22" t="n">
        <f aca="false">YEAR(Q502)</f>
        <v>2026</v>
      </c>
      <c r="W502" s="20"/>
      <c r="X502" s="8" t="n">
        <f aca="false">IFERROR(IF(M502="Abs",0,IF(ROUND((D502-C502+E502-F502)*1440,0)&lt;=1,0,D502-C502+E502-F502)),0)</f>
        <v>0</v>
      </c>
      <c r="Y502" s="6" t="str">
        <f aca="false">IFERROR(VLOOKUP($B502,Agents!$A:$D,3,0),"-")</f>
        <v>OUBRAHIM Mohammed</v>
      </c>
      <c r="Z502" s="6" t="str">
        <f aca="false">IFERROR(VLOOKUP($B502,Agents!$A:$D,4,0),"-")</f>
        <v>Credit Mutuel</v>
      </c>
      <c r="AA502" s="18" t="s">
        <v>95</v>
      </c>
      <c r="AB502" s="8" t="str">
        <f aca="false">IF(AND(D502="Congé",F502="Congé"),0.333333333333333,IF(OR(AND(D502="Congé",F502&lt;&gt;"Congé"),(AND(F502="Congé",D502&lt;&gt;"Congé"))),0.166666666666667,""))</f>
        <v/>
      </c>
      <c r="AC502" s="8" t="str">
        <f aca="false">IF(AND(D502="Congé sans solde",F502="Congé sans solde"),0.333333333333333,IF(OR(AND(D502="Congé sans solde",F502&lt;&gt;"Congé sans solde"),(AND(F502="Congé sans solde",D502&lt;&gt;"Congé sans solde"))),0.166666666666667,""))</f>
        <v/>
      </c>
      <c r="AD502" s="8" t="str">
        <f aca="false">IF(AND(D502="Congé spécial",F502="Congé spécial"),0.333333333333333,IF(OR(AND(D502="Congé spécial",F502&lt;&gt;"Congé spécial"),AND(F502="Congé spécial",D502&lt;&gt;"Congé spécial")),0.166666666666667,""))</f>
        <v/>
      </c>
      <c r="AE502" s="8" t="str">
        <f aca="false">IF(AND(D502="Férié",F502="Férié"),0.333333333333333,IF(OR(AND(D502="Férié",F502&lt;&gt;"Férié"),(AND(F502="Férié",D502&lt;&gt;"Férié"))),0.166666666666667,""))</f>
        <v/>
      </c>
      <c r="AF502" s="18"/>
      <c r="AG502" s="18"/>
    </row>
    <row r="503" customFormat="false" ht="15" hidden="false" customHeight="false" outlineLevel="0" collapsed="false">
      <c r="A503" s="6" t="str">
        <f aca="false">YEAR(Q503-WEEKDAY(Q503,2)+4)&amp;"-S"&amp;TEXT(WEEKNUM(Q503,21),"00")</f>
        <v>2026-S13</v>
      </c>
      <c r="B503" s="18" t="s">
        <v>71</v>
      </c>
      <c r="C503" s="19" t="n">
        <v>0.333333333333333</v>
      </c>
      <c r="D503" s="19" t="n">
        <v>0.333333333333333</v>
      </c>
      <c r="E503" s="19" t="n">
        <v>0.75</v>
      </c>
      <c r="F503" s="19" t="n">
        <v>0.75</v>
      </c>
      <c r="G503" s="20"/>
      <c r="H503" s="20"/>
      <c r="I503" s="8" t="str">
        <f aca="false">IF(IF(OR(C503="",D503="Congé",D503="OFF",D503="Congé spécial"),"",IF(D503&gt;F503,D503-C503,IF(C503-D503&lt;0,0,C503-D503)))&lt;0.00068287037037037,"",IF(OR(D503="Congé",D503="OFF",C503="",D503="Congé spécial"),"",IF(D503&gt;F503,D503-C503,IF(C503-D503&lt;0,0,C503-D503))))</f>
        <v/>
      </c>
      <c r="J503" s="20"/>
      <c r="K503" s="8" t="n">
        <f aca="false">IF(SUM(H503:J503)&lt;0.00068287037037037,0,SUM(H503:J503))</f>
        <v>0</v>
      </c>
      <c r="L503" s="8" t="n">
        <f aca="false">IF(OR(F503="Congé",F503="OFF",M503="Abs",F503="Congé sans solde",F503="Férié",F503="Congé spécial",D503="Congé spécial"),0,IF(F503-E503&lt;0,0,IF(F503-E503&lt;=0.00068287037037037,0,F503-E503)))</f>
        <v>0</v>
      </c>
      <c r="M503" s="6" t="n">
        <f aca="false">IF(AND(O503&lt;&gt;0,C503=""),"Abs",0)</f>
        <v>0</v>
      </c>
      <c r="N503" s="8" t="n">
        <f aca="false">IFERROR(IF(OR(D503="OFF",D503="Congé",M503="Abs",D503="Congé sans solde",D503="Férié"),"",IF(O503-K503-L503&gt;O503,O503,IF(O503-K503-L503&lt;0,"",O503-K503-L503))),"")</f>
        <v>0.375</v>
      </c>
      <c r="O503" s="8" t="n">
        <f aca="false">IF(AG503="2H Pause déjeuner",IF(F503-D503-0.0833333333333333&lt;0,F503-D503-0.0833333333333333+1,F503-D503-0.0833333333333333),IF(OR(AND(F503="OFF",D503="OFF"),AND(F503="Congé",D503="Congé"),AND(F503="Congé sans solde",D503="Congé sans solde"),AND(F503="Congé spécial",D503="Congé spécial"),AND(F503="Férié",D503="Férié"),AND(F503="OFF",D503="Congé"),AND(F503="OFF",D503="Congé sans solde"),AND(F503="OFF",D503="Congé spécial"),AND(F503="OFF",D503="Férié"),AND(F503="Congé",D503="OFF"),AND(F503="Congé",D503="Congé sans solde"),AND(F503="Congé",D503="Congé spécial"),AND(F503="Congé",D503="Férié"),AND(F503="Congé sans solde",D503="OFF"),AND(F503="Congé sans solde",D503="Congé"),AND(F503="Congé sans solde",D503="Congé spécial"),AND(F503="Congé sans solde",D503="Férié"),AND(F503="Congé spécial",D503="OFF"),AND(F503="Congé spécial",D503="Congé"),AND(F503="Congé spécial",D503="Congé sans solde"),AND(F503="Congé spécial",D503="Férié"),AND(F503="Férié",D503="OFF"),AND(F503="Férié",D503="Congé"),AND(F503="Férié",D503="Congé sans solde"),AND(F503="Férié",D503="Congé spécial")),0,IF(OR(F503="OFF",F503="Congé",F503="Congé spécial",F503="Congé sans solde",D503="OFF",D503="Congé",D503="Congé spécial",D503="Congé sans solde"),0.208333333333334,IF(AND(AG503="",F503-D503&lt;0),("24:00:00"-D503)+("00:00:00"+F503)-0.0416666666666667,IF(AND(OR(AG503="Allaitement",AG503="Sans déjeuner"),F503-D503&lt;0),("24:00:00"-D503)+("00:00:00"+F503),IF(AND(AG503="",F503-D503&gt;0.166666666666667),F503-D503-0.0416666666666667,IF(AND(OR(AG503="Allaitement",AG503="Sans déjeuner"),F503-D503&gt;0.166666666666667),F503-D503,F503-D503)))))))</f>
        <v>0.375</v>
      </c>
      <c r="P503" s="6" t="str">
        <f aca="false">IFERROR(VLOOKUP($B503,Agents!$A:$D,2,0),"-")</f>
        <v>Accessibilité</v>
      </c>
      <c r="Q503" s="21" t="n">
        <v>46107</v>
      </c>
      <c r="R503" s="8" t="n">
        <f aca="false">IF(M503="Abs",O503,0)</f>
        <v>0</v>
      </c>
      <c r="S503" s="8" t="n">
        <f aca="false">SUM(R503,L503,I503,J503,W503,H503)</f>
        <v>0</v>
      </c>
      <c r="T503" s="6" t="str">
        <f aca="false">"Sem - "&amp;WEEKNUM(Q503,21)</f>
        <v>Sem - 13</v>
      </c>
      <c r="U503" s="6" t="str">
        <f aca="false">CHOOSE(MONTH(Q503),"Janvier","Février","Mars","Avril","Mai","Juin","Juillet","Août","Septembre","Octobre","Novembre","Décembre")</f>
        <v>Mars</v>
      </c>
      <c r="V503" s="22" t="n">
        <f aca="false">YEAR(Q503)</f>
        <v>2026</v>
      </c>
      <c r="W503" s="20"/>
      <c r="X503" s="8" t="n">
        <f aca="false">IFERROR(IF(M503="Abs",0,IF(ROUND((D503-C503+E503-F503)*1440,0)&lt;=1,0,D503-C503+E503-F503)),0)</f>
        <v>0</v>
      </c>
      <c r="Y503" s="6" t="str">
        <f aca="false">IFERROR(VLOOKUP($B503,Agents!$A:$D,3,0),"-")</f>
        <v>OUBRAHIM Mohammed</v>
      </c>
      <c r="Z503" s="6" t="str">
        <f aca="false">IFERROR(VLOOKUP($B503,Agents!$A:$D,4,0),"-")</f>
        <v>Credit Mutuel</v>
      </c>
      <c r="AA503" s="18" t="s">
        <v>95</v>
      </c>
      <c r="AB503" s="8" t="str">
        <f aca="false">IF(AND(D503="Congé",F503="Congé"),0.333333333333333,IF(OR(AND(D503="Congé",F503&lt;&gt;"Congé"),(AND(F503="Congé",D503&lt;&gt;"Congé"))),0.166666666666667,""))</f>
        <v/>
      </c>
      <c r="AC503" s="8" t="str">
        <f aca="false">IF(AND(D503="Congé sans solde",F503="Congé sans solde"),0.333333333333333,IF(OR(AND(D503="Congé sans solde",F503&lt;&gt;"Congé sans solde"),(AND(F503="Congé sans solde",D503&lt;&gt;"Congé sans solde"))),0.166666666666667,""))</f>
        <v/>
      </c>
      <c r="AD503" s="8" t="str">
        <f aca="false">IF(AND(D503="Congé spécial",F503="Congé spécial"),0.333333333333333,IF(OR(AND(D503="Congé spécial",F503&lt;&gt;"Congé spécial"),AND(F503="Congé spécial",D503&lt;&gt;"Congé spécial")),0.166666666666667,""))</f>
        <v/>
      </c>
      <c r="AE503" s="8" t="str">
        <f aca="false">IF(AND(D503="Férié",F503="Férié"),0.333333333333333,IF(OR(AND(D503="Férié",F503&lt;&gt;"Férié"),(AND(F503="Férié",D503&lt;&gt;"Férié"))),0.166666666666667,""))</f>
        <v/>
      </c>
      <c r="AF503" s="18"/>
      <c r="AG503" s="18"/>
    </row>
    <row r="504" customFormat="false" ht="15" hidden="false" customHeight="false" outlineLevel="0" collapsed="false">
      <c r="A504" s="6" t="str">
        <f aca="false">YEAR(Q504-WEEKDAY(Q504,2)+4)&amp;"-S"&amp;TEXT(WEEKNUM(Q504,21),"00")</f>
        <v>2026-S13</v>
      </c>
      <c r="B504" s="18" t="s">
        <v>72</v>
      </c>
      <c r="C504" s="19" t="n">
        <v>0.333333333333333</v>
      </c>
      <c r="D504" s="19" t="n">
        <v>0.333333333333333</v>
      </c>
      <c r="E504" s="19" t="n">
        <v>0.75</v>
      </c>
      <c r="F504" s="19" t="n">
        <v>0.75</v>
      </c>
      <c r="G504" s="20"/>
      <c r="H504" s="20"/>
      <c r="I504" s="8" t="str">
        <f aca="false">IF(IF(OR(C504="",D504="Congé",D504="OFF",D504="Congé spécial"),"",IF(D504&gt;F504,D504-C504,IF(C504-D504&lt;0,0,C504-D504)))&lt;0.00068287037037037,"",IF(OR(D504="Congé",D504="OFF",C504="",D504="Congé spécial"),"",IF(D504&gt;F504,D504-C504,IF(C504-D504&lt;0,0,C504-D504))))</f>
        <v/>
      </c>
      <c r="J504" s="20"/>
      <c r="K504" s="8" t="n">
        <f aca="false">IF(SUM(H504:J504)&lt;0.00068287037037037,0,SUM(H504:J504))</f>
        <v>0</v>
      </c>
      <c r="L504" s="8" t="n">
        <f aca="false">IF(OR(F504="Congé",F504="OFF",M504="Abs",F504="Congé sans solde",F504="Férié",F504="Congé spécial",D504="Congé spécial"),0,IF(F504-E504&lt;0,0,IF(F504-E504&lt;=0.00068287037037037,0,F504-E504)))</f>
        <v>0</v>
      </c>
      <c r="M504" s="6" t="n">
        <f aca="false">IF(AND(O504&lt;&gt;0,C504=""),"Abs",0)</f>
        <v>0</v>
      </c>
      <c r="N504" s="8" t="n">
        <f aca="false">IFERROR(IF(OR(D504="OFF",D504="Congé",M504="Abs",D504="Congé sans solde",D504="Férié"),"",IF(O504-K504-L504&gt;O504,O504,IF(O504-K504-L504&lt;0,"",O504-K504-L504))),"")</f>
        <v>0.375</v>
      </c>
      <c r="O504" s="8" t="n">
        <f aca="false">IF(AG504="2H Pause déjeuner",IF(F504-D504-0.0833333333333333&lt;0,F504-D504-0.0833333333333333+1,F504-D504-0.0833333333333333),IF(OR(AND(F504="OFF",D504="OFF"),AND(F504="Congé",D504="Congé"),AND(F504="Congé sans solde",D504="Congé sans solde"),AND(F504="Congé spécial",D504="Congé spécial"),AND(F504="Férié",D504="Férié"),AND(F504="OFF",D504="Congé"),AND(F504="OFF",D504="Congé sans solde"),AND(F504="OFF",D504="Congé spécial"),AND(F504="OFF",D504="Férié"),AND(F504="Congé",D504="OFF"),AND(F504="Congé",D504="Congé sans solde"),AND(F504="Congé",D504="Congé spécial"),AND(F504="Congé",D504="Férié"),AND(F504="Congé sans solde",D504="OFF"),AND(F504="Congé sans solde",D504="Congé"),AND(F504="Congé sans solde",D504="Congé spécial"),AND(F504="Congé sans solde",D504="Férié"),AND(F504="Congé spécial",D504="OFF"),AND(F504="Congé spécial",D504="Congé"),AND(F504="Congé spécial",D504="Congé sans solde"),AND(F504="Congé spécial",D504="Férié"),AND(F504="Férié",D504="OFF"),AND(F504="Férié",D504="Congé"),AND(F504="Férié",D504="Congé sans solde"),AND(F504="Férié",D504="Congé spécial")),0,IF(OR(F504="OFF",F504="Congé",F504="Congé spécial",F504="Congé sans solde",D504="OFF",D504="Congé",D504="Congé spécial",D504="Congé sans solde"),0.208333333333334,IF(AND(AG504="",F504-D504&lt;0),("24:00:00"-D504)+("00:00:00"+F504)-0.0416666666666667,IF(AND(OR(AG504="Allaitement",AG504="Sans déjeuner"),F504-D504&lt;0),("24:00:00"-D504)+("00:00:00"+F504),IF(AND(AG504="",F504-D504&gt;0.166666666666667),F504-D504-0.0416666666666667,IF(AND(OR(AG504="Allaitement",AG504="Sans déjeuner"),F504-D504&gt;0.166666666666667),F504-D504,F504-D504)))))))</f>
        <v>0.375</v>
      </c>
      <c r="P504" s="6" t="str">
        <f aca="false">IFERROR(VLOOKUP($B504,Agents!$A:$D,2,0),"-")</f>
        <v>Accessibilité</v>
      </c>
      <c r="Q504" s="21" t="n">
        <v>46107</v>
      </c>
      <c r="R504" s="8" t="n">
        <f aca="false">IF(M504="Abs",O504,0)</f>
        <v>0</v>
      </c>
      <c r="S504" s="8" t="n">
        <f aca="false">SUM(R504,L504,I504,J504,W504,H504)</f>
        <v>0</v>
      </c>
      <c r="T504" s="6" t="str">
        <f aca="false">"Sem - "&amp;WEEKNUM(Q504,21)</f>
        <v>Sem - 13</v>
      </c>
      <c r="U504" s="6" t="str">
        <f aca="false">CHOOSE(MONTH(Q504),"Janvier","Février","Mars","Avril","Mai","Juin","Juillet","Août","Septembre","Octobre","Novembre","Décembre")</f>
        <v>Mars</v>
      </c>
      <c r="V504" s="22" t="n">
        <f aca="false">YEAR(Q504)</f>
        <v>2026</v>
      </c>
      <c r="W504" s="20"/>
      <c r="X504" s="8" t="n">
        <f aca="false">IFERROR(IF(M504="Abs",0,IF(ROUND((D504-C504+E504-F504)*1440,0)&lt;=1,0,D504-C504+E504-F504)),0)</f>
        <v>0</v>
      </c>
      <c r="Y504" s="6" t="str">
        <f aca="false">IFERROR(VLOOKUP($B504,Agents!$A:$D,3,0),"-")</f>
        <v>OUBRAHIM Mohammed</v>
      </c>
      <c r="Z504" s="6" t="str">
        <f aca="false">IFERROR(VLOOKUP($B504,Agents!$A:$D,4,0),"-")</f>
        <v>Credit Mutuel</v>
      </c>
      <c r="AA504" s="18" t="s">
        <v>95</v>
      </c>
      <c r="AB504" s="8" t="str">
        <f aca="false">IF(AND(D504="Congé",F504="Congé"),0.333333333333333,IF(OR(AND(D504="Congé",F504&lt;&gt;"Congé"),(AND(F504="Congé",D504&lt;&gt;"Congé"))),0.166666666666667,""))</f>
        <v/>
      </c>
      <c r="AC504" s="8" t="str">
        <f aca="false">IF(AND(D504="Congé sans solde",F504="Congé sans solde"),0.333333333333333,IF(OR(AND(D504="Congé sans solde",F504&lt;&gt;"Congé sans solde"),(AND(F504="Congé sans solde",D504&lt;&gt;"Congé sans solde"))),0.166666666666667,""))</f>
        <v/>
      </c>
      <c r="AD504" s="8" t="str">
        <f aca="false">IF(AND(D504="Congé spécial",F504="Congé spécial"),0.333333333333333,IF(OR(AND(D504="Congé spécial",F504&lt;&gt;"Congé spécial"),AND(F504="Congé spécial",D504&lt;&gt;"Congé spécial")),0.166666666666667,""))</f>
        <v/>
      </c>
      <c r="AE504" s="8" t="str">
        <f aca="false">IF(AND(D504="Férié",F504="Férié"),0.333333333333333,IF(OR(AND(D504="Férié",F504&lt;&gt;"Férié"),(AND(F504="Férié",D504&lt;&gt;"Férié"))),0.166666666666667,""))</f>
        <v/>
      </c>
      <c r="AF504" s="18"/>
      <c r="AG504" s="18"/>
    </row>
    <row r="505" customFormat="false" ht="15" hidden="false" customHeight="false" outlineLevel="0" collapsed="false">
      <c r="A505" s="6" t="str">
        <f aca="false">YEAR(Q505-WEEKDAY(Q505,2)+4)&amp;"-S"&amp;TEXT(WEEKNUM(Q505,21),"00")</f>
        <v>2026-S13</v>
      </c>
      <c r="B505" s="18" t="s">
        <v>73</v>
      </c>
      <c r="C505" s="19" t="n">
        <v>0.333333333333333</v>
      </c>
      <c r="D505" s="19" t="n">
        <v>0.333333333333333</v>
      </c>
      <c r="E505" s="19" t="n">
        <v>0.75</v>
      </c>
      <c r="F505" s="19" t="n">
        <v>0.75</v>
      </c>
      <c r="G505" s="20"/>
      <c r="H505" s="20"/>
      <c r="I505" s="8" t="str">
        <f aca="false">IF(IF(OR(C505="",D505="Congé",D505="OFF",D505="Congé spécial"),"",IF(D505&gt;F505,D505-C505,IF(C505-D505&lt;0,0,C505-D505)))&lt;0.00068287037037037,"",IF(OR(D505="Congé",D505="OFF",C505="",D505="Congé spécial"),"",IF(D505&gt;F505,D505-C505,IF(C505-D505&lt;0,0,C505-D505))))</f>
        <v/>
      </c>
      <c r="J505" s="20"/>
      <c r="K505" s="8" t="n">
        <f aca="false">IF(SUM(H505:J505)&lt;0.00068287037037037,0,SUM(H505:J505))</f>
        <v>0</v>
      </c>
      <c r="L505" s="8" t="n">
        <f aca="false">IF(OR(F505="Congé",F505="OFF",M505="Abs",F505="Congé sans solde",F505="Férié",F505="Congé spécial",D505="Congé spécial"),0,IF(F505-E505&lt;0,0,IF(F505-E505&lt;=0.00068287037037037,0,F505-E505)))</f>
        <v>0</v>
      </c>
      <c r="M505" s="6" t="n">
        <f aca="false">IF(AND(O505&lt;&gt;0,C505=""),"Abs",0)</f>
        <v>0</v>
      </c>
      <c r="N505" s="8" t="n">
        <f aca="false">IFERROR(IF(OR(D505="OFF",D505="Congé",M505="Abs",D505="Congé sans solde",D505="Férié"),"",IF(O505-K505-L505&gt;O505,O505,IF(O505-K505-L505&lt;0,"",O505-K505-L505))),"")</f>
        <v>0.375</v>
      </c>
      <c r="O505" s="8" t="n">
        <f aca="false">IF(AG505="2H Pause déjeuner",IF(F505-D505-0.0833333333333333&lt;0,F505-D505-0.0833333333333333+1,F505-D505-0.0833333333333333),IF(OR(AND(F505="OFF",D505="OFF"),AND(F505="Congé",D505="Congé"),AND(F505="Congé sans solde",D505="Congé sans solde"),AND(F505="Congé spécial",D505="Congé spécial"),AND(F505="Férié",D505="Férié"),AND(F505="OFF",D505="Congé"),AND(F505="OFF",D505="Congé sans solde"),AND(F505="OFF",D505="Congé spécial"),AND(F505="OFF",D505="Férié"),AND(F505="Congé",D505="OFF"),AND(F505="Congé",D505="Congé sans solde"),AND(F505="Congé",D505="Congé spécial"),AND(F505="Congé",D505="Férié"),AND(F505="Congé sans solde",D505="OFF"),AND(F505="Congé sans solde",D505="Congé"),AND(F505="Congé sans solde",D505="Congé spécial"),AND(F505="Congé sans solde",D505="Férié"),AND(F505="Congé spécial",D505="OFF"),AND(F505="Congé spécial",D505="Congé"),AND(F505="Congé spécial",D505="Congé sans solde"),AND(F505="Congé spécial",D505="Férié"),AND(F505="Férié",D505="OFF"),AND(F505="Férié",D505="Congé"),AND(F505="Férié",D505="Congé sans solde"),AND(F505="Férié",D505="Congé spécial")),0,IF(OR(F505="OFF",F505="Congé",F505="Congé spécial",F505="Congé sans solde",D505="OFF",D505="Congé",D505="Congé spécial",D505="Congé sans solde"),0.208333333333334,IF(AND(AG505="",F505-D505&lt;0),("24:00:00"-D505)+("00:00:00"+F505)-0.0416666666666667,IF(AND(OR(AG505="Allaitement",AG505="Sans déjeuner"),F505-D505&lt;0),("24:00:00"-D505)+("00:00:00"+F505),IF(AND(AG505="",F505-D505&gt;0.166666666666667),F505-D505-0.0416666666666667,IF(AND(OR(AG505="Allaitement",AG505="Sans déjeuner"),F505-D505&gt;0.166666666666667),F505-D505,F505-D505)))))))</f>
        <v>0.375</v>
      </c>
      <c r="P505" s="6" t="str">
        <f aca="false">IFERROR(VLOOKUP($B505,Agents!$A:$D,2,0),"-")</f>
        <v>Accessibilité</v>
      </c>
      <c r="Q505" s="21" t="n">
        <v>46107</v>
      </c>
      <c r="R505" s="8" t="n">
        <f aca="false">IF(M505="Abs",O505,0)</f>
        <v>0</v>
      </c>
      <c r="S505" s="8" t="n">
        <f aca="false">SUM(R505,L505,I505,J505,W505,H505)</f>
        <v>0</v>
      </c>
      <c r="T505" s="6" t="str">
        <f aca="false">"Sem - "&amp;WEEKNUM(Q505,21)</f>
        <v>Sem - 13</v>
      </c>
      <c r="U505" s="6" t="str">
        <f aca="false">CHOOSE(MONTH(Q505),"Janvier","Février","Mars","Avril","Mai","Juin","Juillet","Août","Septembre","Octobre","Novembre","Décembre")</f>
        <v>Mars</v>
      </c>
      <c r="V505" s="22" t="n">
        <f aca="false">YEAR(Q505)</f>
        <v>2026</v>
      </c>
      <c r="W505" s="20"/>
      <c r="X505" s="8" t="n">
        <f aca="false">IFERROR(IF(M505="Abs",0,IF(ROUND((D505-C505+E505-F505)*1440,0)&lt;=1,0,D505-C505+E505-F505)),0)</f>
        <v>0</v>
      </c>
      <c r="Y505" s="6" t="str">
        <f aca="false">IFERROR(VLOOKUP($B505,Agents!$A:$D,3,0),"-")</f>
        <v>OUBRAHIM Mohammed</v>
      </c>
      <c r="Z505" s="6" t="str">
        <f aca="false">IFERROR(VLOOKUP($B505,Agents!$A:$D,4,0),"-")</f>
        <v>Credit Mutuel</v>
      </c>
      <c r="AA505" s="18" t="s">
        <v>95</v>
      </c>
      <c r="AB505" s="8" t="str">
        <f aca="false">IF(AND(D505="Congé",F505="Congé"),0.333333333333333,IF(OR(AND(D505="Congé",F505&lt;&gt;"Congé"),(AND(F505="Congé",D505&lt;&gt;"Congé"))),0.166666666666667,""))</f>
        <v/>
      </c>
      <c r="AC505" s="8" t="str">
        <f aca="false">IF(AND(D505="Congé sans solde",F505="Congé sans solde"),0.333333333333333,IF(OR(AND(D505="Congé sans solde",F505&lt;&gt;"Congé sans solde"),(AND(F505="Congé sans solde",D505&lt;&gt;"Congé sans solde"))),0.166666666666667,""))</f>
        <v/>
      </c>
      <c r="AD505" s="8" t="str">
        <f aca="false">IF(AND(D505="Congé spécial",F505="Congé spécial"),0.333333333333333,IF(OR(AND(D505="Congé spécial",F505&lt;&gt;"Congé spécial"),AND(F505="Congé spécial",D505&lt;&gt;"Congé spécial")),0.166666666666667,""))</f>
        <v/>
      </c>
      <c r="AE505" s="8" t="str">
        <f aca="false">IF(AND(D505="Férié",F505="Férié"),0.333333333333333,IF(OR(AND(D505="Férié",F505&lt;&gt;"Férié"),(AND(F505="Férié",D505&lt;&gt;"Férié"))),0.166666666666667,""))</f>
        <v/>
      </c>
      <c r="AF505" s="18"/>
      <c r="AG505" s="18"/>
    </row>
    <row r="506" customFormat="false" ht="15" hidden="false" customHeight="false" outlineLevel="0" collapsed="false">
      <c r="A506" s="6" t="str">
        <f aca="false">YEAR(Q506-WEEKDAY(Q506,2)+4)&amp;"-S"&amp;TEXT(WEEKNUM(Q506,21),"00")</f>
        <v>2026-S13</v>
      </c>
      <c r="B506" s="18" t="s">
        <v>69</v>
      </c>
      <c r="C506" s="19" t="n">
        <v>0.333333333333333</v>
      </c>
      <c r="D506" s="19" t="n">
        <v>0.333333333333333</v>
      </c>
      <c r="E506" s="19" t="n">
        <v>0.708333333333333</v>
      </c>
      <c r="F506" s="19" t="n">
        <v>0.708333333333333</v>
      </c>
      <c r="G506" s="20"/>
      <c r="H506" s="20"/>
      <c r="I506" s="8" t="str">
        <f aca="false">IF(IF(OR(C506="",D506="Congé",D506="OFF",D506="Congé spécial"),"",IF(D506&gt;F506,D506-C506,IF(C506-D506&lt;0,0,C506-D506)))&lt;0.00068287037037037,"",IF(OR(D506="Congé",D506="OFF",C506="",D506="Congé spécial"),"",IF(D506&gt;F506,D506-C506,IF(C506-D506&lt;0,0,C506-D506))))</f>
        <v/>
      </c>
      <c r="J506" s="20"/>
      <c r="K506" s="8" t="n">
        <f aca="false">IF(SUM(H506:J506)&lt;0.00068287037037037,0,SUM(H506:J506))</f>
        <v>0</v>
      </c>
      <c r="L506" s="8" t="n">
        <f aca="false">IF(OR(F506="Congé",F506="OFF",M506="Abs",F506="Congé sans solde",F506="Férié",F506="Congé spécial",D506="Congé spécial"),0,IF(F506-E506&lt;0,0,IF(F506-E506&lt;=0.00068287037037037,0,F506-E506)))</f>
        <v>0</v>
      </c>
      <c r="M506" s="6" t="n">
        <f aca="false">IF(AND(O506&lt;&gt;0,C506=""),"Abs",0)</f>
        <v>0</v>
      </c>
      <c r="N506" s="8" t="n">
        <f aca="false">IFERROR(IF(OR(D506="OFF",D506="Congé",M506="Abs",D506="Congé sans solde",D506="Férié"),"",IF(O506-K506-L506&gt;O506,O506,IF(O506-K506-L506&lt;0,"",O506-K506-L506))),"")</f>
        <v>0.333333333333333</v>
      </c>
      <c r="O506" s="8" t="n">
        <f aca="false">IF(AG506="2H Pause déjeuner",IF(F506-D506-0.0833333333333333&lt;0,F506-D506-0.0833333333333333+1,F506-D506-0.0833333333333333),IF(OR(AND(F506="OFF",D506="OFF"),AND(F506="Congé",D506="Congé"),AND(F506="Congé sans solde",D506="Congé sans solde"),AND(F506="Congé spécial",D506="Congé spécial"),AND(F506="Férié",D506="Férié"),AND(F506="OFF",D506="Congé"),AND(F506="OFF",D506="Congé sans solde"),AND(F506="OFF",D506="Congé spécial"),AND(F506="OFF",D506="Férié"),AND(F506="Congé",D506="OFF"),AND(F506="Congé",D506="Congé sans solde"),AND(F506="Congé",D506="Congé spécial"),AND(F506="Congé",D506="Férié"),AND(F506="Congé sans solde",D506="OFF"),AND(F506="Congé sans solde",D506="Congé"),AND(F506="Congé sans solde",D506="Congé spécial"),AND(F506="Congé sans solde",D506="Férié"),AND(F506="Congé spécial",D506="OFF"),AND(F506="Congé spécial",D506="Congé"),AND(F506="Congé spécial",D506="Congé sans solde"),AND(F506="Congé spécial",D506="Férié"),AND(F506="Férié",D506="OFF"),AND(F506="Férié",D506="Congé"),AND(F506="Férié",D506="Congé sans solde"),AND(F506="Férié",D506="Congé spécial")),0,IF(OR(F506="OFF",F506="Congé",F506="Congé spécial",F506="Congé sans solde",D506="OFF",D506="Congé",D506="Congé spécial",D506="Congé sans solde"),0.208333333333334,IF(AND(AG506="",F506-D506&lt;0),("24:00:00"-D506)+("00:00:00"+F506)-0.0416666666666667,IF(AND(OR(AG506="Allaitement",AG506="Sans déjeuner"),F506-D506&lt;0),("24:00:00"-D506)+("00:00:00"+F506),IF(AND(AG506="",F506-D506&gt;0.166666666666667),F506-D506-0.0416666666666667,IF(AND(OR(AG506="Allaitement",AG506="Sans déjeuner"),F506-D506&gt;0.166666666666667),F506-D506,F506-D506)))))))</f>
        <v>0.333333333333333</v>
      </c>
      <c r="P506" s="6" t="str">
        <f aca="false">IFERROR(VLOOKUP($B506,Agents!$A:$D,2,0),"-")</f>
        <v>Accessibilité</v>
      </c>
      <c r="Q506" s="21" t="n">
        <v>46108</v>
      </c>
      <c r="R506" s="8" t="n">
        <f aca="false">IF(M506="Abs",O506,0)</f>
        <v>0</v>
      </c>
      <c r="S506" s="8" t="n">
        <f aca="false">SUM(R506,L506,I506,J506,W506,H506)</f>
        <v>0</v>
      </c>
      <c r="T506" s="6" t="str">
        <f aca="false">"Sem - "&amp;WEEKNUM(Q506,21)</f>
        <v>Sem - 13</v>
      </c>
      <c r="U506" s="6" t="str">
        <f aca="false">CHOOSE(MONTH(Q506),"Janvier","Février","Mars","Avril","Mai","Juin","Juillet","Août","Septembre","Octobre","Novembre","Décembre")</f>
        <v>Mars</v>
      </c>
      <c r="V506" s="22" t="n">
        <f aca="false">YEAR(Q506)</f>
        <v>2026</v>
      </c>
      <c r="W506" s="20"/>
      <c r="X506" s="8" t="n">
        <f aca="false">IFERROR(IF(M506="Abs",0,IF(ROUND((D506-C506+E506-F506)*1440,0)&lt;=1,0,D506-C506+E506-F506)),0)</f>
        <v>0</v>
      </c>
      <c r="Y506" s="6" t="str">
        <f aca="false">IFERROR(VLOOKUP($B506,Agents!$A:$D,3,0),"-")</f>
        <v>OUBRAHIM Mohammed</v>
      </c>
      <c r="Z506" s="6" t="str">
        <f aca="false">IFERROR(VLOOKUP($B506,Agents!$A:$D,4,0),"-")</f>
        <v>Credit Mutuel</v>
      </c>
      <c r="AA506" s="18" t="s">
        <v>95</v>
      </c>
      <c r="AB506" s="8" t="str">
        <f aca="false">IF(AND(D506="Congé",F506="Congé"),0.333333333333333,IF(OR(AND(D506="Congé",F506&lt;&gt;"Congé"),(AND(F506="Congé",D506&lt;&gt;"Congé"))),0.166666666666667,""))</f>
        <v/>
      </c>
      <c r="AC506" s="8" t="str">
        <f aca="false">IF(AND(D506="Congé sans solde",F506="Congé sans solde"),0.333333333333333,IF(OR(AND(D506="Congé sans solde",F506&lt;&gt;"Congé sans solde"),(AND(F506="Congé sans solde",D506&lt;&gt;"Congé sans solde"))),0.166666666666667,""))</f>
        <v/>
      </c>
      <c r="AD506" s="8" t="str">
        <f aca="false">IF(AND(D506="Congé spécial",F506="Congé spécial"),0.333333333333333,IF(OR(AND(D506="Congé spécial",F506&lt;&gt;"Congé spécial"),AND(F506="Congé spécial",D506&lt;&gt;"Congé spécial")),0.166666666666667,""))</f>
        <v/>
      </c>
      <c r="AE506" s="8" t="str">
        <f aca="false">IF(AND(D506="Férié",F506="Férié"),0.333333333333333,IF(OR(AND(D506="Férié",F506&lt;&gt;"Férié"),(AND(F506="Férié",D506&lt;&gt;"Férié"))),0.166666666666667,""))</f>
        <v/>
      </c>
      <c r="AF506" s="18"/>
      <c r="AG506" s="18"/>
    </row>
    <row r="507" customFormat="false" ht="15" hidden="false" customHeight="false" outlineLevel="0" collapsed="false">
      <c r="A507" s="6" t="str">
        <f aca="false">YEAR(Q507-WEEKDAY(Q507,2)+4)&amp;"-S"&amp;TEXT(WEEKNUM(Q507,21),"00")</f>
        <v>2026-S13</v>
      </c>
      <c r="B507" s="18" t="s">
        <v>71</v>
      </c>
      <c r="C507" s="19" t="n">
        <v>0.333333333333333</v>
      </c>
      <c r="D507" s="19" t="n">
        <v>0.333333333333333</v>
      </c>
      <c r="E507" s="19" t="n">
        <v>0.708333333333333</v>
      </c>
      <c r="F507" s="19" t="n">
        <v>0.708333333333333</v>
      </c>
      <c r="G507" s="20"/>
      <c r="H507" s="20"/>
      <c r="I507" s="8" t="str">
        <f aca="false">IF(IF(OR(C507="",D507="Congé",D507="OFF",D507="Congé spécial"),"",IF(D507&gt;F507,D507-C507,IF(C507-D507&lt;0,0,C507-D507)))&lt;0.00068287037037037,"",IF(OR(D507="Congé",D507="OFF",C507="",D507="Congé spécial"),"",IF(D507&gt;F507,D507-C507,IF(C507-D507&lt;0,0,C507-D507))))</f>
        <v/>
      </c>
      <c r="J507" s="20"/>
      <c r="K507" s="8" t="n">
        <f aca="false">IF(SUM(H507:J507)&lt;0.00068287037037037,0,SUM(H507:J507))</f>
        <v>0</v>
      </c>
      <c r="L507" s="8" t="n">
        <f aca="false">IF(OR(F507="Congé",F507="OFF",M507="Abs",F507="Congé sans solde",F507="Férié",F507="Congé spécial",D507="Congé spécial"),0,IF(F507-E507&lt;0,0,IF(F507-E507&lt;=0.00068287037037037,0,F507-E507)))</f>
        <v>0</v>
      </c>
      <c r="M507" s="6" t="n">
        <f aca="false">IF(AND(O507&lt;&gt;0,C507=""),"Abs",0)</f>
        <v>0</v>
      </c>
      <c r="N507" s="8" t="n">
        <f aca="false">IFERROR(IF(OR(D507="OFF",D507="Congé",M507="Abs",D507="Congé sans solde",D507="Férié"),"",IF(O507-K507-L507&gt;O507,O507,IF(O507-K507-L507&lt;0,"",O507-K507-L507))),"")</f>
        <v>0.333333333333333</v>
      </c>
      <c r="O507" s="8" t="n">
        <f aca="false">IF(AG507="2H Pause déjeuner",IF(F507-D507-0.0833333333333333&lt;0,F507-D507-0.0833333333333333+1,F507-D507-0.0833333333333333),IF(OR(AND(F507="OFF",D507="OFF"),AND(F507="Congé",D507="Congé"),AND(F507="Congé sans solde",D507="Congé sans solde"),AND(F507="Congé spécial",D507="Congé spécial"),AND(F507="Férié",D507="Férié"),AND(F507="OFF",D507="Congé"),AND(F507="OFF",D507="Congé sans solde"),AND(F507="OFF",D507="Congé spécial"),AND(F507="OFF",D507="Férié"),AND(F507="Congé",D507="OFF"),AND(F507="Congé",D507="Congé sans solde"),AND(F507="Congé",D507="Congé spécial"),AND(F507="Congé",D507="Férié"),AND(F507="Congé sans solde",D507="OFF"),AND(F507="Congé sans solde",D507="Congé"),AND(F507="Congé sans solde",D507="Congé spécial"),AND(F507="Congé sans solde",D507="Férié"),AND(F507="Congé spécial",D507="OFF"),AND(F507="Congé spécial",D507="Congé"),AND(F507="Congé spécial",D507="Congé sans solde"),AND(F507="Congé spécial",D507="Férié"),AND(F507="Férié",D507="OFF"),AND(F507="Férié",D507="Congé"),AND(F507="Férié",D507="Congé sans solde"),AND(F507="Férié",D507="Congé spécial")),0,IF(OR(F507="OFF",F507="Congé",F507="Congé spécial",F507="Congé sans solde",D507="OFF",D507="Congé",D507="Congé spécial",D507="Congé sans solde"),0.208333333333334,IF(AND(AG507="",F507-D507&lt;0),("24:00:00"-D507)+("00:00:00"+F507)-0.0416666666666667,IF(AND(OR(AG507="Allaitement",AG507="Sans déjeuner"),F507-D507&lt;0),("24:00:00"-D507)+("00:00:00"+F507),IF(AND(AG507="",F507-D507&gt;0.166666666666667),F507-D507-0.0416666666666667,IF(AND(OR(AG507="Allaitement",AG507="Sans déjeuner"),F507-D507&gt;0.166666666666667),F507-D507,F507-D507)))))))</f>
        <v>0.333333333333333</v>
      </c>
      <c r="P507" s="6" t="str">
        <f aca="false">IFERROR(VLOOKUP($B507,Agents!$A:$D,2,0),"-")</f>
        <v>Accessibilité</v>
      </c>
      <c r="Q507" s="21" t="n">
        <v>46108</v>
      </c>
      <c r="R507" s="8" t="n">
        <f aca="false">IF(M507="Abs",O507,0)</f>
        <v>0</v>
      </c>
      <c r="S507" s="8" t="n">
        <f aca="false">SUM(R507,L507,I507,J507,W507,H507)</f>
        <v>0</v>
      </c>
      <c r="T507" s="6" t="str">
        <f aca="false">"Sem - "&amp;WEEKNUM(Q507,21)</f>
        <v>Sem - 13</v>
      </c>
      <c r="U507" s="6" t="str">
        <f aca="false">CHOOSE(MONTH(Q507),"Janvier","Février","Mars","Avril","Mai","Juin","Juillet","Août","Septembre","Octobre","Novembre","Décembre")</f>
        <v>Mars</v>
      </c>
      <c r="V507" s="22" t="n">
        <f aca="false">YEAR(Q507)</f>
        <v>2026</v>
      </c>
      <c r="W507" s="20"/>
      <c r="X507" s="8" t="n">
        <f aca="false">IFERROR(IF(M507="Abs",0,IF(ROUND((D507-C507+E507-F507)*1440,0)&lt;=1,0,D507-C507+E507-F507)),0)</f>
        <v>0</v>
      </c>
      <c r="Y507" s="6" t="str">
        <f aca="false">IFERROR(VLOOKUP($B507,Agents!$A:$D,3,0),"-")</f>
        <v>OUBRAHIM Mohammed</v>
      </c>
      <c r="Z507" s="6" t="str">
        <f aca="false">IFERROR(VLOOKUP($B507,Agents!$A:$D,4,0),"-")</f>
        <v>Credit Mutuel</v>
      </c>
      <c r="AA507" s="18" t="s">
        <v>95</v>
      </c>
      <c r="AB507" s="8" t="str">
        <f aca="false">IF(AND(D507="Congé",F507="Congé"),0.333333333333333,IF(OR(AND(D507="Congé",F507&lt;&gt;"Congé"),(AND(F507="Congé",D507&lt;&gt;"Congé"))),0.166666666666667,""))</f>
        <v/>
      </c>
      <c r="AC507" s="8" t="str">
        <f aca="false">IF(AND(D507="Congé sans solde",F507="Congé sans solde"),0.333333333333333,IF(OR(AND(D507="Congé sans solde",F507&lt;&gt;"Congé sans solde"),(AND(F507="Congé sans solde",D507&lt;&gt;"Congé sans solde"))),0.166666666666667,""))</f>
        <v/>
      </c>
      <c r="AD507" s="8" t="str">
        <f aca="false">IF(AND(D507="Congé spécial",F507="Congé spécial"),0.333333333333333,IF(OR(AND(D507="Congé spécial",F507&lt;&gt;"Congé spécial"),AND(F507="Congé spécial",D507&lt;&gt;"Congé spécial")),0.166666666666667,""))</f>
        <v/>
      </c>
      <c r="AE507" s="8" t="str">
        <f aca="false">IF(AND(D507="Férié",F507="Férié"),0.333333333333333,IF(OR(AND(D507="Férié",F507&lt;&gt;"Férié"),(AND(F507="Férié",D507&lt;&gt;"Férié"))),0.166666666666667,""))</f>
        <v/>
      </c>
      <c r="AF507" s="18"/>
      <c r="AG507" s="18"/>
    </row>
    <row r="508" customFormat="false" ht="15" hidden="false" customHeight="false" outlineLevel="0" collapsed="false">
      <c r="A508" s="6" t="str">
        <f aca="false">YEAR(Q508-WEEKDAY(Q508,2)+4)&amp;"-S"&amp;TEXT(WEEKNUM(Q508,21),"00")</f>
        <v>2026-S13</v>
      </c>
      <c r="B508" s="18" t="s">
        <v>72</v>
      </c>
      <c r="C508" s="19" t="n">
        <v>0.333333333333333</v>
      </c>
      <c r="D508" s="19" t="n">
        <v>0.333333333333333</v>
      </c>
      <c r="E508" s="19" t="n">
        <v>0.708333333333333</v>
      </c>
      <c r="F508" s="19" t="n">
        <v>0.708333333333333</v>
      </c>
      <c r="G508" s="20"/>
      <c r="H508" s="20"/>
      <c r="I508" s="8" t="str">
        <f aca="false">IF(IF(OR(C508="",D508="Congé",D508="OFF",D508="Congé spécial"),"",IF(D508&gt;F508,D508-C508,IF(C508-D508&lt;0,0,C508-D508)))&lt;0.00068287037037037,"",IF(OR(D508="Congé",D508="OFF",C508="",D508="Congé spécial"),"",IF(D508&gt;F508,D508-C508,IF(C508-D508&lt;0,0,C508-D508))))</f>
        <v/>
      </c>
      <c r="J508" s="20"/>
      <c r="K508" s="8" t="n">
        <f aca="false">IF(SUM(H508:J508)&lt;0.00068287037037037,0,SUM(H508:J508))</f>
        <v>0</v>
      </c>
      <c r="L508" s="8" t="n">
        <f aca="false">IF(OR(F508="Congé",F508="OFF",M508="Abs",F508="Congé sans solde",F508="Férié",F508="Congé spécial",D508="Congé spécial"),0,IF(F508-E508&lt;0,0,IF(F508-E508&lt;=0.00068287037037037,0,F508-E508)))</f>
        <v>0</v>
      </c>
      <c r="M508" s="6" t="n">
        <f aca="false">IF(AND(O508&lt;&gt;0,C508=""),"Abs",0)</f>
        <v>0</v>
      </c>
      <c r="N508" s="8" t="n">
        <f aca="false">IFERROR(IF(OR(D508="OFF",D508="Congé",M508="Abs",D508="Congé sans solde",D508="Férié"),"",IF(O508-K508-L508&gt;O508,O508,IF(O508-K508-L508&lt;0,"",O508-K508-L508))),"")</f>
        <v>0.333333333333333</v>
      </c>
      <c r="O508" s="8" t="n">
        <f aca="false">IF(AG508="2H Pause déjeuner",IF(F508-D508-0.0833333333333333&lt;0,F508-D508-0.0833333333333333+1,F508-D508-0.0833333333333333),IF(OR(AND(F508="OFF",D508="OFF"),AND(F508="Congé",D508="Congé"),AND(F508="Congé sans solde",D508="Congé sans solde"),AND(F508="Congé spécial",D508="Congé spécial"),AND(F508="Férié",D508="Férié"),AND(F508="OFF",D508="Congé"),AND(F508="OFF",D508="Congé sans solde"),AND(F508="OFF",D508="Congé spécial"),AND(F508="OFF",D508="Férié"),AND(F508="Congé",D508="OFF"),AND(F508="Congé",D508="Congé sans solde"),AND(F508="Congé",D508="Congé spécial"),AND(F508="Congé",D508="Férié"),AND(F508="Congé sans solde",D508="OFF"),AND(F508="Congé sans solde",D508="Congé"),AND(F508="Congé sans solde",D508="Congé spécial"),AND(F508="Congé sans solde",D508="Férié"),AND(F508="Congé spécial",D508="OFF"),AND(F508="Congé spécial",D508="Congé"),AND(F508="Congé spécial",D508="Congé sans solde"),AND(F508="Congé spécial",D508="Férié"),AND(F508="Férié",D508="OFF"),AND(F508="Férié",D508="Congé"),AND(F508="Férié",D508="Congé sans solde"),AND(F508="Férié",D508="Congé spécial")),0,IF(OR(F508="OFF",F508="Congé",F508="Congé spécial",F508="Congé sans solde",D508="OFF",D508="Congé",D508="Congé spécial",D508="Congé sans solde"),0.208333333333334,IF(AND(AG508="",F508-D508&lt;0),("24:00:00"-D508)+("00:00:00"+F508)-0.0416666666666667,IF(AND(OR(AG508="Allaitement",AG508="Sans déjeuner"),F508-D508&lt;0),("24:00:00"-D508)+("00:00:00"+F508),IF(AND(AG508="",F508-D508&gt;0.166666666666667),F508-D508-0.0416666666666667,IF(AND(OR(AG508="Allaitement",AG508="Sans déjeuner"),F508-D508&gt;0.166666666666667),F508-D508,F508-D508)))))))</f>
        <v>0.333333333333333</v>
      </c>
      <c r="P508" s="6" t="str">
        <f aca="false">IFERROR(VLOOKUP($B508,Agents!$A:$D,2,0),"-")</f>
        <v>Accessibilité</v>
      </c>
      <c r="Q508" s="21" t="n">
        <v>46108</v>
      </c>
      <c r="R508" s="8" t="n">
        <f aca="false">IF(M508="Abs",O508,0)</f>
        <v>0</v>
      </c>
      <c r="S508" s="8" t="n">
        <f aca="false">SUM(R508,L508,I508,J508,W508,H508)</f>
        <v>0</v>
      </c>
      <c r="T508" s="6" t="str">
        <f aca="false">"Sem - "&amp;WEEKNUM(Q508,21)</f>
        <v>Sem - 13</v>
      </c>
      <c r="U508" s="6" t="str">
        <f aca="false">CHOOSE(MONTH(Q508),"Janvier","Février","Mars","Avril","Mai","Juin","Juillet","Août","Septembre","Octobre","Novembre","Décembre")</f>
        <v>Mars</v>
      </c>
      <c r="V508" s="22" t="n">
        <f aca="false">YEAR(Q508)</f>
        <v>2026</v>
      </c>
      <c r="W508" s="20"/>
      <c r="X508" s="8" t="n">
        <f aca="false">IFERROR(IF(M508="Abs",0,IF(ROUND((D508-C508+E508-F508)*1440,0)&lt;=1,0,D508-C508+E508-F508)),0)</f>
        <v>0</v>
      </c>
      <c r="Y508" s="6" t="str">
        <f aca="false">IFERROR(VLOOKUP($B508,Agents!$A:$D,3,0),"-")</f>
        <v>OUBRAHIM Mohammed</v>
      </c>
      <c r="Z508" s="6" t="str">
        <f aca="false">IFERROR(VLOOKUP($B508,Agents!$A:$D,4,0),"-")</f>
        <v>Credit Mutuel</v>
      </c>
      <c r="AA508" s="18" t="s">
        <v>95</v>
      </c>
      <c r="AB508" s="8" t="str">
        <f aca="false">IF(AND(D508="Congé",F508="Congé"),0.333333333333333,IF(OR(AND(D508="Congé",F508&lt;&gt;"Congé"),(AND(F508="Congé",D508&lt;&gt;"Congé"))),0.166666666666667,""))</f>
        <v/>
      </c>
      <c r="AC508" s="8" t="str">
        <f aca="false">IF(AND(D508="Congé sans solde",F508="Congé sans solde"),0.333333333333333,IF(OR(AND(D508="Congé sans solde",F508&lt;&gt;"Congé sans solde"),(AND(F508="Congé sans solde",D508&lt;&gt;"Congé sans solde"))),0.166666666666667,""))</f>
        <v/>
      </c>
      <c r="AD508" s="8" t="str">
        <f aca="false">IF(AND(D508="Congé spécial",F508="Congé spécial"),0.333333333333333,IF(OR(AND(D508="Congé spécial",F508&lt;&gt;"Congé spécial"),AND(F508="Congé spécial",D508&lt;&gt;"Congé spécial")),0.166666666666667,""))</f>
        <v/>
      </c>
      <c r="AE508" s="8" t="str">
        <f aca="false">IF(AND(D508="Férié",F508="Férié"),0.333333333333333,IF(OR(AND(D508="Férié",F508&lt;&gt;"Férié"),(AND(F508="Férié",D508&lt;&gt;"Férié"))),0.166666666666667,""))</f>
        <v/>
      </c>
      <c r="AF508" s="18"/>
      <c r="AG508" s="18"/>
    </row>
    <row r="509" customFormat="false" ht="15" hidden="false" customHeight="false" outlineLevel="0" collapsed="false">
      <c r="A509" s="6" t="str">
        <f aca="false">YEAR(Q509-WEEKDAY(Q509,2)+4)&amp;"-S"&amp;TEXT(WEEKNUM(Q509,21),"00")</f>
        <v>2026-S13</v>
      </c>
      <c r="B509" s="18" t="s">
        <v>73</v>
      </c>
      <c r="C509" s="19" t="n">
        <v>0.333333333333333</v>
      </c>
      <c r="D509" s="19" t="n">
        <v>0.333333333333333</v>
      </c>
      <c r="E509" s="19" t="n">
        <v>0.708333333333333</v>
      </c>
      <c r="F509" s="19" t="n">
        <v>0.708333333333333</v>
      </c>
      <c r="G509" s="20"/>
      <c r="H509" s="20"/>
      <c r="I509" s="8" t="str">
        <f aca="false">IF(IF(OR(C509="",D509="Congé",D509="OFF",D509="Congé spécial"),"",IF(D509&gt;F509,D509-C509,IF(C509-D509&lt;0,0,C509-D509)))&lt;0.00068287037037037,"",IF(OR(D509="Congé",D509="OFF",C509="",D509="Congé spécial"),"",IF(D509&gt;F509,D509-C509,IF(C509-D509&lt;0,0,C509-D509))))</f>
        <v/>
      </c>
      <c r="J509" s="20"/>
      <c r="K509" s="8" t="n">
        <f aca="false">IF(SUM(H509:J509)&lt;0.00068287037037037,0,SUM(H509:J509))</f>
        <v>0</v>
      </c>
      <c r="L509" s="8" t="n">
        <f aca="false">IF(OR(F509="Congé",F509="OFF",M509="Abs",F509="Congé sans solde",F509="Férié",F509="Congé spécial",D509="Congé spécial"),0,IF(F509-E509&lt;0,0,IF(F509-E509&lt;=0.00068287037037037,0,F509-E509)))</f>
        <v>0</v>
      </c>
      <c r="M509" s="6" t="n">
        <f aca="false">IF(AND(O509&lt;&gt;0,C509=""),"Abs",0)</f>
        <v>0</v>
      </c>
      <c r="N509" s="8" t="n">
        <f aca="false">IFERROR(IF(OR(D509="OFF",D509="Congé",M509="Abs",D509="Congé sans solde",D509="Férié"),"",IF(O509-K509-L509&gt;O509,O509,IF(O509-K509-L509&lt;0,"",O509-K509-L509))),"")</f>
        <v>0.333333333333333</v>
      </c>
      <c r="O509" s="8" t="n">
        <f aca="false">IF(AG509="2H Pause déjeuner",IF(F509-D509-0.0833333333333333&lt;0,F509-D509-0.0833333333333333+1,F509-D509-0.0833333333333333),IF(OR(AND(F509="OFF",D509="OFF"),AND(F509="Congé",D509="Congé"),AND(F509="Congé sans solde",D509="Congé sans solde"),AND(F509="Congé spécial",D509="Congé spécial"),AND(F509="Férié",D509="Férié"),AND(F509="OFF",D509="Congé"),AND(F509="OFF",D509="Congé sans solde"),AND(F509="OFF",D509="Congé spécial"),AND(F509="OFF",D509="Férié"),AND(F509="Congé",D509="OFF"),AND(F509="Congé",D509="Congé sans solde"),AND(F509="Congé",D509="Congé spécial"),AND(F509="Congé",D509="Férié"),AND(F509="Congé sans solde",D509="OFF"),AND(F509="Congé sans solde",D509="Congé"),AND(F509="Congé sans solde",D509="Congé spécial"),AND(F509="Congé sans solde",D509="Férié"),AND(F509="Congé spécial",D509="OFF"),AND(F509="Congé spécial",D509="Congé"),AND(F509="Congé spécial",D509="Congé sans solde"),AND(F509="Congé spécial",D509="Férié"),AND(F509="Férié",D509="OFF"),AND(F509="Férié",D509="Congé"),AND(F509="Férié",D509="Congé sans solde"),AND(F509="Férié",D509="Congé spécial")),0,IF(OR(F509="OFF",F509="Congé",F509="Congé spécial",F509="Congé sans solde",D509="OFF",D509="Congé",D509="Congé spécial",D509="Congé sans solde"),0.208333333333334,IF(AND(AG509="",F509-D509&lt;0),("24:00:00"-D509)+("00:00:00"+F509)-0.0416666666666667,IF(AND(OR(AG509="Allaitement",AG509="Sans déjeuner"),F509-D509&lt;0),("24:00:00"-D509)+("00:00:00"+F509),IF(AND(AG509="",F509-D509&gt;0.166666666666667),F509-D509-0.0416666666666667,IF(AND(OR(AG509="Allaitement",AG509="Sans déjeuner"),F509-D509&gt;0.166666666666667),F509-D509,F509-D509)))))))</f>
        <v>0.333333333333333</v>
      </c>
      <c r="P509" s="6" t="str">
        <f aca="false">IFERROR(VLOOKUP($B509,Agents!$A:$D,2,0),"-")</f>
        <v>Accessibilité</v>
      </c>
      <c r="Q509" s="21" t="n">
        <v>46108</v>
      </c>
      <c r="R509" s="8" t="n">
        <f aca="false">IF(M509="Abs",O509,0)</f>
        <v>0</v>
      </c>
      <c r="S509" s="8" t="n">
        <f aca="false">SUM(R509,L509,I509,J509,W509,H509)</f>
        <v>0</v>
      </c>
      <c r="T509" s="6" t="str">
        <f aca="false">"Sem - "&amp;WEEKNUM(Q509,21)</f>
        <v>Sem - 13</v>
      </c>
      <c r="U509" s="6" t="str">
        <f aca="false">CHOOSE(MONTH(Q509),"Janvier","Février","Mars","Avril","Mai","Juin","Juillet","Août","Septembre","Octobre","Novembre","Décembre")</f>
        <v>Mars</v>
      </c>
      <c r="V509" s="22" t="n">
        <f aca="false">YEAR(Q509)</f>
        <v>2026</v>
      </c>
      <c r="W509" s="20"/>
      <c r="X509" s="8" t="n">
        <f aca="false">IFERROR(IF(M509="Abs",0,IF(ROUND((D509-C509+E509-F509)*1440,0)&lt;=1,0,D509-C509+E509-F509)),0)</f>
        <v>0</v>
      </c>
      <c r="Y509" s="6" t="str">
        <f aca="false">IFERROR(VLOOKUP($B509,Agents!$A:$D,3,0),"-")</f>
        <v>OUBRAHIM Mohammed</v>
      </c>
      <c r="Z509" s="6" t="str">
        <f aca="false">IFERROR(VLOOKUP($B509,Agents!$A:$D,4,0),"-")</f>
        <v>Credit Mutuel</v>
      </c>
      <c r="AA509" s="18" t="s">
        <v>95</v>
      </c>
      <c r="AB509" s="8" t="str">
        <f aca="false">IF(AND(D509="Congé",F509="Congé"),0.333333333333333,IF(OR(AND(D509="Congé",F509&lt;&gt;"Congé"),(AND(F509="Congé",D509&lt;&gt;"Congé"))),0.166666666666667,""))</f>
        <v/>
      </c>
      <c r="AC509" s="8" t="str">
        <f aca="false">IF(AND(D509="Congé sans solde",F509="Congé sans solde"),0.333333333333333,IF(OR(AND(D509="Congé sans solde",F509&lt;&gt;"Congé sans solde"),(AND(F509="Congé sans solde",D509&lt;&gt;"Congé sans solde"))),0.166666666666667,""))</f>
        <v/>
      </c>
      <c r="AD509" s="8" t="str">
        <f aca="false">IF(AND(D509="Congé spécial",F509="Congé spécial"),0.333333333333333,IF(OR(AND(D509="Congé spécial",F509&lt;&gt;"Congé spécial"),AND(F509="Congé spécial",D509&lt;&gt;"Congé spécial")),0.166666666666667,""))</f>
        <v/>
      </c>
      <c r="AE509" s="8" t="str">
        <f aca="false">IF(AND(D509="Férié",F509="Férié"),0.333333333333333,IF(OR(AND(D509="Férié",F509&lt;&gt;"Férié"),(AND(F509="Férié",D509&lt;&gt;"Férié"))),0.166666666666667,""))</f>
        <v/>
      </c>
      <c r="AF509" s="18"/>
      <c r="AG509" s="18"/>
    </row>
    <row r="510" customFormat="false" ht="15" hidden="false" customHeight="false" outlineLevel="0" collapsed="false">
      <c r="A510" s="6" t="str">
        <f aca="false">YEAR(Q510-WEEKDAY(Q510,2)+4)&amp;"-S"&amp;TEXT(WEEKNUM(Q510,21),"00")</f>
        <v>2026-S13</v>
      </c>
      <c r="B510" s="18" t="s">
        <v>69</v>
      </c>
      <c r="C510" s="19"/>
      <c r="D510" s="19" t="s">
        <v>74</v>
      </c>
      <c r="E510" s="19"/>
      <c r="F510" s="19" t="s">
        <v>74</v>
      </c>
      <c r="G510" s="20"/>
      <c r="H510" s="20"/>
      <c r="I510" s="8" t="str">
        <f aca="false">IF(IF(OR(C510="",D510="Congé",D510="OFF",D510="Congé spécial"),"",IF(D510&gt;F510,D510-C510,IF(C510-D510&lt;0,0,C510-D510)))&lt;0.00068287037037037,"",IF(OR(D510="Congé",D510="OFF",C510="",D510="Congé spécial"),"",IF(D510&gt;F510,D510-C510,IF(C510-D510&lt;0,0,C510-D510))))</f>
        <v/>
      </c>
      <c r="J510" s="20"/>
      <c r="K510" s="8" t="n">
        <f aca="false">IF(SUM(H510:J510)&lt;0.00068287037037037,0,SUM(H510:J510))</f>
        <v>0</v>
      </c>
      <c r="L510" s="8" t="n">
        <f aca="false">IF(OR(F510="Congé",F510="OFF",M510="Abs",F510="Congé sans solde",F510="Férié",F510="Congé spécial",D510="Congé spécial"),0,IF(F510-E510&lt;0,0,IF(F510-E510&lt;=0.00068287037037037,0,F510-E510)))</f>
        <v>0</v>
      </c>
      <c r="M510" s="6" t="n">
        <f aca="false">IF(AND(O510&lt;&gt;0,C510=""),"Abs",0)</f>
        <v>0</v>
      </c>
      <c r="N510" s="8" t="str">
        <f aca="false">IFERROR(IF(OR(D510="OFF",D510="Congé",M510="Abs",D510="Congé sans solde",D510="Férié"),"",IF(O510-K510-L510&gt;O510,O510,IF(O510-K510-L510&lt;0,"",O510-K510-L510))),"")</f>
        <v/>
      </c>
      <c r="O510" s="8" t="n">
        <f aca="false">IF(AG510="2H Pause déjeuner",IF(F510-D510-0.0833333333333333&lt;0,F510-D510-0.0833333333333333+1,F510-D510-0.0833333333333333),IF(OR(AND(F510="OFF",D510="OFF"),AND(F510="Congé",D510="Congé"),AND(F510="Congé sans solde",D510="Congé sans solde"),AND(F510="Congé spécial",D510="Congé spécial"),AND(F510="Férié",D510="Férié"),AND(F510="OFF",D510="Congé"),AND(F510="OFF",D510="Congé sans solde"),AND(F510="OFF",D510="Congé spécial"),AND(F510="OFF",D510="Férié"),AND(F510="Congé",D510="OFF"),AND(F510="Congé",D510="Congé sans solde"),AND(F510="Congé",D510="Congé spécial"),AND(F510="Congé",D510="Férié"),AND(F510="Congé sans solde",D510="OFF"),AND(F510="Congé sans solde",D510="Congé"),AND(F510="Congé sans solde",D510="Congé spécial"),AND(F510="Congé sans solde",D510="Férié"),AND(F510="Congé spécial",D510="OFF"),AND(F510="Congé spécial",D510="Congé"),AND(F510="Congé spécial",D510="Congé sans solde"),AND(F510="Congé spécial",D510="Férié"),AND(F510="Férié",D510="OFF"),AND(F510="Férié",D510="Congé"),AND(F510="Férié",D510="Congé sans solde"),AND(F510="Férié",D510="Congé spécial")),0,IF(OR(F510="OFF",F510="Congé",F510="Congé spécial",F510="Congé sans solde",D510="OFF",D510="Congé",D510="Congé spécial",D510="Congé sans solde"),0.208333333333334,IF(AND(AG510="",F510-D510&lt;0),("24:00:00"-D510)+("00:00:00"+F510)-0.0416666666666667,IF(AND(OR(AG510="Allaitement",AG510="Sans déjeuner"),F510-D510&lt;0),("24:00:00"-D510)+("00:00:00"+F510),IF(AND(AG510="",F510-D510&gt;0.166666666666667),F510-D510-0.0416666666666667,IF(AND(OR(AG510="Allaitement",AG510="Sans déjeuner"),F510-D510&gt;0.166666666666667),F510-D510,F510-D510)))))))</f>
        <v>0</v>
      </c>
      <c r="P510" s="6" t="str">
        <f aca="false">IFERROR(VLOOKUP($B510,Agents!$A:$D,2,0),"-")</f>
        <v>Accessibilité</v>
      </c>
      <c r="Q510" s="21" t="n">
        <v>46109</v>
      </c>
      <c r="R510" s="8" t="n">
        <f aca="false">IF(M510="Abs",O510,0)</f>
        <v>0</v>
      </c>
      <c r="S510" s="8" t="n">
        <f aca="false">SUM(R510,L510,I510,J510,W510,H510)</f>
        <v>0</v>
      </c>
      <c r="T510" s="6" t="str">
        <f aca="false">"Sem - "&amp;WEEKNUM(Q510,21)</f>
        <v>Sem - 13</v>
      </c>
      <c r="U510" s="6" t="str">
        <f aca="false">CHOOSE(MONTH(Q510),"Janvier","Février","Mars","Avril","Mai","Juin","Juillet","Août","Septembre","Octobre","Novembre","Décembre")</f>
        <v>Mars</v>
      </c>
      <c r="V510" s="22" t="n">
        <f aca="false">YEAR(Q510)</f>
        <v>2026</v>
      </c>
      <c r="W510" s="20"/>
      <c r="X510" s="8" t="n">
        <f aca="false">IFERROR(IF(M510="Abs",0,IF(ROUND((D510-C510+E510-F510)*1440,0)&lt;=1,0,D510-C510+E510-F510)),0)</f>
        <v>0</v>
      </c>
      <c r="Y510" s="6" t="str">
        <f aca="false">IFERROR(VLOOKUP($B510,Agents!$A:$D,3,0),"-")</f>
        <v>OUBRAHIM Mohammed</v>
      </c>
      <c r="Z510" s="6" t="str">
        <f aca="false">IFERROR(VLOOKUP($B510,Agents!$A:$D,4,0),"-")</f>
        <v>Credit Mutuel</v>
      </c>
      <c r="AA510" s="18" t="s">
        <v>95</v>
      </c>
      <c r="AB510" s="8" t="str">
        <f aca="false">IF(AND(D510="Congé",F510="Congé"),0.333333333333333,IF(OR(AND(D510="Congé",F510&lt;&gt;"Congé"),(AND(F510="Congé",D510&lt;&gt;"Congé"))),0.166666666666667,""))</f>
        <v/>
      </c>
      <c r="AC510" s="8" t="str">
        <f aca="false">IF(AND(D510="Congé sans solde",F510="Congé sans solde"),0.333333333333333,IF(OR(AND(D510="Congé sans solde",F510&lt;&gt;"Congé sans solde"),(AND(F510="Congé sans solde",D510&lt;&gt;"Congé sans solde"))),0.166666666666667,""))</f>
        <v/>
      </c>
      <c r="AD510" s="8" t="str">
        <f aca="false">IF(AND(D510="Congé spécial",F510="Congé spécial"),0.333333333333333,IF(OR(AND(D510="Congé spécial",F510&lt;&gt;"Congé spécial"),AND(F510="Congé spécial",D510&lt;&gt;"Congé spécial")),0.166666666666667,""))</f>
        <v/>
      </c>
      <c r="AE510" s="8" t="str">
        <f aca="false">IF(AND(D510="Férié",F510="Férié"),0.333333333333333,IF(OR(AND(D510="Férié",F510&lt;&gt;"Férié"),(AND(F510="Férié",D510&lt;&gt;"Férié"))),0.166666666666667,""))</f>
        <v/>
      </c>
      <c r="AF510" s="18"/>
      <c r="AG510" s="18"/>
    </row>
    <row r="511" customFormat="false" ht="15" hidden="false" customHeight="false" outlineLevel="0" collapsed="false">
      <c r="A511" s="6" t="str">
        <f aca="false">YEAR(Q511-WEEKDAY(Q511,2)+4)&amp;"-S"&amp;TEXT(WEEKNUM(Q511,21),"00")</f>
        <v>2026-S13</v>
      </c>
      <c r="B511" s="18" t="s">
        <v>71</v>
      </c>
      <c r="C511" s="19"/>
      <c r="D511" s="19" t="s">
        <v>74</v>
      </c>
      <c r="E511" s="19"/>
      <c r="F511" s="19" t="s">
        <v>74</v>
      </c>
      <c r="G511" s="20"/>
      <c r="H511" s="20"/>
      <c r="I511" s="8" t="str">
        <f aca="false">IF(IF(OR(C511="",D511="Congé",D511="OFF",D511="Congé spécial"),"",IF(D511&gt;F511,D511-C511,IF(C511-D511&lt;0,0,C511-D511)))&lt;0.00068287037037037,"",IF(OR(D511="Congé",D511="OFF",C511="",D511="Congé spécial"),"",IF(D511&gt;F511,D511-C511,IF(C511-D511&lt;0,0,C511-D511))))</f>
        <v/>
      </c>
      <c r="J511" s="20"/>
      <c r="K511" s="8" t="n">
        <f aca="false">IF(SUM(H511:J511)&lt;0.00068287037037037,0,SUM(H511:J511))</f>
        <v>0</v>
      </c>
      <c r="L511" s="8" t="n">
        <f aca="false">IF(OR(F511="Congé",F511="OFF",M511="Abs",F511="Congé sans solde",F511="Férié",F511="Congé spécial",D511="Congé spécial"),0,IF(F511-E511&lt;0,0,IF(F511-E511&lt;=0.00068287037037037,0,F511-E511)))</f>
        <v>0</v>
      </c>
      <c r="M511" s="6" t="n">
        <f aca="false">IF(AND(O511&lt;&gt;0,C511=""),"Abs",0)</f>
        <v>0</v>
      </c>
      <c r="N511" s="8" t="str">
        <f aca="false">IFERROR(IF(OR(D511="OFF",D511="Congé",M511="Abs",D511="Congé sans solde",D511="Férié"),"",IF(O511-K511-L511&gt;O511,O511,IF(O511-K511-L511&lt;0,"",O511-K511-L511))),"")</f>
        <v/>
      </c>
      <c r="O511" s="8" t="n">
        <f aca="false">IF(AG511="2H Pause déjeuner",IF(F511-D511-0.0833333333333333&lt;0,F511-D511-0.0833333333333333+1,F511-D511-0.0833333333333333),IF(OR(AND(F511="OFF",D511="OFF"),AND(F511="Congé",D511="Congé"),AND(F511="Congé sans solde",D511="Congé sans solde"),AND(F511="Congé spécial",D511="Congé spécial"),AND(F511="Férié",D511="Férié"),AND(F511="OFF",D511="Congé"),AND(F511="OFF",D511="Congé sans solde"),AND(F511="OFF",D511="Congé spécial"),AND(F511="OFF",D511="Férié"),AND(F511="Congé",D511="OFF"),AND(F511="Congé",D511="Congé sans solde"),AND(F511="Congé",D511="Congé spécial"),AND(F511="Congé",D511="Férié"),AND(F511="Congé sans solde",D511="OFF"),AND(F511="Congé sans solde",D511="Congé"),AND(F511="Congé sans solde",D511="Congé spécial"),AND(F511="Congé sans solde",D511="Férié"),AND(F511="Congé spécial",D511="OFF"),AND(F511="Congé spécial",D511="Congé"),AND(F511="Congé spécial",D511="Congé sans solde"),AND(F511="Congé spécial",D511="Férié"),AND(F511="Férié",D511="OFF"),AND(F511="Férié",D511="Congé"),AND(F511="Férié",D511="Congé sans solde"),AND(F511="Férié",D511="Congé spécial")),0,IF(OR(F511="OFF",F511="Congé",F511="Congé spécial",F511="Congé sans solde",D511="OFF",D511="Congé",D511="Congé spécial",D511="Congé sans solde"),0.208333333333334,IF(AND(AG511="",F511-D511&lt;0),("24:00:00"-D511)+("00:00:00"+F511)-0.0416666666666667,IF(AND(OR(AG511="Allaitement",AG511="Sans déjeuner"),F511-D511&lt;0),("24:00:00"-D511)+("00:00:00"+F511),IF(AND(AG511="",F511-D511&gt;0.166666666666667),F511-D511-0.0416666666666667,IF(AND(OR(AG511="Allaitement",AG511="Sans déjeuner"),F511-D511&gt;0.166666666666667),F511-D511,F511-D511)))))))</f>
        <v>0</v>
      </c>
      <c r="P511" s="6" t="str">
        <f aca="false">IFERROR(VLOOKUP($B511,Agents!$A:$D,2,0),"-")</f>
        <v>Accessibilité</v>
      </c>
      <c r="Q511" s="21" t="n">
        <v>46109</v>
      </c>
      <c r="R511" s="8" t="n">
        <f aca="false">IF(M511="Abs",O511,0)</f>
        <v>0</v>
      </c>
      <c r="S511" s="8" t="n">
        <f aca="false">SUM(R511,L511,I511,J511,W511,H511)</f>
        <v>0</v>
      </c>
      <c r="T511" s="6" t="str">
        <f aca="false">"Sem - "&amp;WEEKNUM(Q511,21)</f>
        <v>Sem - 13</v>
      </c>
      <c r="U511" s="6" t="str">
        <f aca="false">CHOOSE(MONTH(Q511),"Janvier","Février","Mars","Avril","Mai","Juin","Juillet","Août","Septembre","Octobre","Novembre","Décembre")</f>
        <v>Mars</v>
      </c>
      <c r="V511" s="22" t="n">
        <f aca="false">YEAR(Q511)</f>
        <v>2026</v>
      </c>
      <c r="W511" s="20"/>
      <c r="X511" s="8" t="n">
        <f aca="false">IFERROR(IF(M511="Abs",0,IF(ROUND((D511-C511+E511-F511)*1440,0)&lt;=1,0,D511-C511+E511-F511)),0)</f>
        <v>0</v>
      </c>
      <c r="Y511" s="6" t="str">
        <f aca="false">IFERROR(VLOOKUP($B511,Agents!$A:$D,3,0),"-")</f>
        <v>OUBRAHIM Mohammed</v>
      </c>
      <c r="Z511" s="6" t="str">
        <f aca="false">IFERROR(VLOOKUP($B511,Agents!$A:$D,4,0),"-")</f>
        <v>Credit Mutuel</v>
      </c>
      <c r="AA511" s="18" t="s">
        <v>95</v>
      </c>
      <c r="AB511" s="8" t="str">
        <f aca="false">IF(AND(D511="Congé",F511="Congé"),0.333333333333333,IF(OR(AND(D511="Congé",F511&lt;&gt;"Congé"),(AND(F511="Congé",D511&lt;&gt;"Congé"))),0.166666666666667,""))</f>
        <v/>
      </c>
      <c r="AC511" s="8" t="str">
        <f aca="false">IF(AND(D511="Congé sans solde",F511="Congé sans solde"),0.333333333333333,IF(OR(AND(D511="Congé sans solde",F511&lt;&gt;"Congé sans solde"),(AND(F511="Congé sans solde",D511&lt;&gt;"Congé sans solde"))),0.166666666666667,""))</f>
        <v/>
      </c>
      <c r="AD511" s="8" t="str">
        <f aca="false">IF(AND(D511="Congé spécial",F511="Congé spécial"),0.333333333333333,IF(OR(AND(D511="Congé spécial",F511&lt;&gt;"Congé spécial"),AND(F511="Congé spécial",D511&lt;&gt;"Congé spécial")),0.166666666666667,""))</f>
        <v/>
      </c>
      <c r="AE511" s="8" t="str">
        <f aca="false">IF(AND(D511="Férié",F511="Férié"),0.333333333333333,IF(OR(AND(D511="Férié",F511&lt;&gt;"Férié"),(AND(F511="Férié",D511&lt;&gt;"Férié"))),0.166666666666667,""))</f>
        <v/>
      </c>
      <c r="AF511" s="18"/>
      <c r="AG511" s="18"/>
    </row>
    <row r="512" customFormat="false" ht="15" hidden="false" customHeight="false" outlineLevel="0" collapsed="false">
      <c r="A512" s="6" t="str">
        <f aca="false">YEAR(Q512-WEEKDAY(Q512,2)+4)&amp;"-S"&amp;TEXT(WEEKNUM(Q512,21),"00")</f>
        <v>2026-S13</v>
      </c>
      <c r="B512" s="18" t="s">
        <v>72</v>
      </c>
      <c r="C512" s="19"/>
      <c r="D512" s="19" t="s">
        <v>74</v>
      </c>
      <c r="E512" s="19"/>
      <c r="F512" s="19" t="s">
        <v>74</v>
      </c>
      <c r="G512" s="20"/>
      <c r="H512" s="20"/>
      <c r="I512" s="8" t="str">
        <f aca="false">IF(IF(OR(C512="",D512="Congé",D512="OFF",D512="Congé spécial"),"",IF(D512&gt;F512,D512-C512,IF(C512-D512&lt;0,0,C512-D512)))&lt;0.00068287037037037,"",IF(OR(D512="Congé",D512="OFF",C512="",D512="Congé spécial"),"",IF(D512&gt;F512,D512-C512,IF(C512-D512&lt;0,0,C512-D512))))</f>
        <v/>
      </c>
      <c r="J512" s="20"/>
      <c r="K512" s="8" t="n">
        <f aca="false">IF(SUM(H512:J512)&lt;0.00068287037037037,0,SUM(H512:J512))</f>
        <v>0</v>
      </c>
      <c r="L512" s="8" t="n">
        <f aca="false">IF(OR(F512="Congé",F512="OFF",M512="Abs",F512="Congé sans solde",F512="Férié",F512="Congé spécial",D512="Congé spécial"),0,IF(F512-E512&lt;0,0,IF(F512-E512&lt;=0.00068287037037037,0,F512-E512)))</f>
        <v>0</v>
      </c>
      <c r="M512" s="6" t="n">
        <f aca="false">IF(AND(O512&lt;&gt;0,C512=""),"Abs",0)</f>
        <v>0</v>
      </c>
      <c r="N512" s="8" t="str">
        <f aca="false">IFERROR(IF(OR(D512="OFF",D512="Congé",M512="Abs",D512="Congé sans solde",D512="Férié"),"",IF(O512-K512-L512&gt;O512,O512,IF(O512-K512-L512&lt;0,"",O512-K512-L512))),"")</f>
        <v/>
      </c>
      <c r="O512" s="8" t="n">
        <f aca="false">IF(AG512="2H Pause déjeuner",IF(F512-D512-0.0833333333333333&lt;0,F512-D512-0.0833333333333333+1,F512-D512-0.0833333333333333),IF(OR(AND(F512="OFF",D512="OFF"),AND(F512="Congé",D512="Congé"),AND(F512="Congé sans solde",D512="Congé sans solde"),AND(F512="Congé spécial",D512="Congé spécial"),AND(F512="Férié",D512="Férié"),AND(F512="OFF",D512="Congé"),AND(F512="OFF",D512="Congé sans solde"),AND(F512="OFF",D512="Congé spécial"),AND(F512="OFF",D512="Férié"),AND(F512="Congé",D512="OFF"),AND(F512="Congé",D512="Congé sans solde"),AND(F512="Congé",D512="Congé spécial"),AND(F512="Congé",D512="Férié"),AND(F512="Congé sans solde",D512="OFF"),AND(F512="Congé sans solde",D512="Congé"),AND(F512="Congé sans solde",D512="Congé spécial"),AND(F512="Congé sans solde",D512="Férié"),AND(F512="Congé spécial",D512="OFF"),AND(F512="Congé spécial",D512="Congé"),AND(F512="Congé spécial",D512="Congé sans solde"),AND(F512="Congé spécial",D512="Férié"),AND(F512="Férié",D512="OFF"),AND(F512="Férié",D512="Congé"),AND(F512="Férié",D512="Congé sans solde"),AND(F512="Férié",D512="Congé spécial")),0,IF(OR(F512="OFF",F512="Congé",F512="Congé spécial",F512="Congé sans solde",D512="OFF",D512="Congé",D512="Congé spécial",D512="Congé sans solde"),0.208333333333334,IF(AND(AG512="",F512-D512&lt;0),("24:00:00"-D512)+("00:00:00"+F512)-0.0416666666666667,IF(AND(OR(AG512="Allaitement",AG512="Sans déjeuner"),F512-D512&lt;0),("24:00:00"-D512)+("00:00:00"+F512),IF(AND(AG512="",F512-D512&gt;0.166666666666667),F512-D512-0.0416666666666667,IF(AND(OR(AG512="Allaitement",AG512="Sans déjeuner"),F512-D512&gt;0.166666666666667),F512-D512,F512-D512)))))))</f>
        <v>0</v>
      </c>
      <c r="P512" s="6" t="str">
        <f aca="false">IFERROR(VLOOKUP($B512,Agents!$A:$D,2,0),"-")</f>
        <v>Accessibilité</v>
      </c>
      <c r="Q512" s="21" t="n">
        <v>46109</v>
      </c>
      <c r="R512" s="8" t="n">
        <f aca="false">IF(M512="Abs",O512,0)</f>
        <v>0</v>
      </c>
      <c r="S512" s="8" t="n">
        <f aca="false">SUM(R512,L512,I512,J512,W512,H512)</f>
        <v>0</v>
      </c>
      <c r="T512" s="6" t="str">
        <f aca="false">"Sem - "&amp;WEEKNUM(Q512,21)</f>
        <v>Sem - 13</v>
      </c>
      <c r="U512" s="6" t="str">
        <f aca="false">CHOOSE(MONTH(Q512),"Janvier","Février","Mars","Avril","Mai","Juin","Juillet","Août","Septembre","Octobre","Novembre","Décembre")</f>
        <v>Mars</v>
      </c>
      <c r="V512" s="22" t="n">
        <f aca="false">YEAR(Q512)</f>
        <v>2026</v>
      </c>
      <c r="W512" s="20"/>
      <c r="X512" s="8" t="n">
        <f aca="false">IFERROR(IF(M512="Abs",0,IF(ROUND((D512-C512+E512-F512)*1440,0)&lt;=1,0,D512-C512+E512-F512)),0)</f>
        <v>0</v>
      </c>
      <c r="Y512" s="6" t="str">
        <f aca="false">IFERROR(VLOOKUP($B512,Agents!$A:$D,3,0),"-")</f>
        <v>OUBRAHIM Mohammed</v>
      </c>
      <c r="Z512" s="6" t="str">
        <f aca="false">IFERROR(VLOOKUP($B512,Agents!$A:$D,4,0),"-")</f>
        <v>Credit Mutuel</v>
      </c>
      <c r="AA512" s="18" t="s">
        <v>95</v>
      </c>
      <c r="AB512" s="8" t="str">
        <f aca="false">IF(AND(D512="Congé",F512="Congé"),0.333333333333333,IF(OR(AND(D512="Congé",F512&lt;&gt;"Congé"),(AND(F512="Congé",D512&lt;&gt;"Congé"))),0.166666666666667,""))</f>
        <v/>
      </c>
      <c r="AC512" s="8" t="str">
        <f aca="false">IF(AND(D512="Congé sans solde",F512="Congé sans solde"),0.333333333333333,IF(OR(AND(D512="Congé sans solde",F512&lt;&gt;"Congé sans solde"),(AND(F512="Congé sans solde",D512&lt;&gt;"Congé sans solde"))),0.166666666666667,""))</f>
        <v/>
      </c>
      <c r="AD512" s="8" t="str">
        <f aca="false">IF(AND(D512="Congé spécial",F512="Congé spécial"),0.333333333333333,IF(OR(AND(D512="Congé spécial",F512&lt;&gt;"Congé spécial"),AND(F512="Congé spécial",D512&lt;&gt;"Congé spécial")),0.166666666666667,""))</f>
        <v/>
      </c>
      <c r="AE512" s="8" t="str">
        <f aca="false">IF(AND(D512="Férié",F512="Férié"),0.333333333333333,IF(OR(AND(D512="Férié",F512&lt;&gt;"Férié"),(AND(F512="Férié",D512&lt;&gt;"Férié"))),0.166666666666667,""))</f>
        <v/>
      </c>
      <c r="AF512" s="18"/>
      <c r="AG512" s="18"/>
    </row>
    <row r="513" customFormat="false" ht="15" hidden="false" customHeight="false" outlineLevel="0" collapsed="false">
      <c r="A513" s="6" t="str">
        <f aca="false">YEAR(Q513-WEEKDAY(Q513,2)+4)&amp;"-S"&amp;TEXT(WEEKNUM(Q513,21),"00")</f>
        <v>2026-S13</v>
      </c>
      <c r="B513" s="18" t="s">
        <v>73</v>
      </c>
      <c r="C513" s="19"/>
      <c r="D513" s="19" t="s">
        <v>74</v>
      </c>
      <c r="E513" s="19"/>
      <c r="F513" s="19" t="s">
        <v>74</v>
      </c>
      <c r="G513" s="20"/>
      <c r="H513" s="20"/>
      <c r="I513" s="8" t="str">
        <f aca="false">IF(IF(OR(C513="",D513="Congé",D513="OFF",D513="Congé spécial"),"",IF(D513&gt;F513,D513-C513,IF(C513-D513&lt;0,0,C513-D513)))&lt;0.00068287037037037,"",IF(OR(D513="Congé",D513="OFF",C513="",D513="Congé spécial"),"",IF(D513&gt;F513,D513-C513,IF(C513-D513&lt;0,0,C513-D513))))</f>
        <v/>
      </c>
      <c r="J513" s="20"/>
      <c r="K513" s="8" t="n">
        <f aca="false">IF(SUM(H513:J513)&lt;0.00068287037037037,0,SUM(H513:J513))</f>
        <v>0</v>
      </c>
      <c r="L513" s="8" t="n">
        <f aca="false">IF(OR(F513="Congé",F513="OFF",M513="Abs",F513="Congé sans solde",F513="Férié",F513="Congé spécial",D513="Congé spécial"),0,IF(F513-E513&lt;0,0,IF(F513-E513&lt;=0.00068287037037037,0,F513-E513)))</f>
        <v>0</v>
      </c>
      <c r="M513" s="6" t="n">
        <f aca="false">IF(AND(O513&lt;&gt;0,C513=""),"Abs",0)</f>
        <v>0</v>
      </c>
      <c r="N513" s="8" t="str">
        <f aca="false">IFERROR(IF(OR(D513="OFF",D513="Congé",M513="Abs",D513="Congé sans solde",D513="Férié"),"",IF(O513-K513-L513&gt;O513,O513,IF(O513-K513-L513&lt;0,"",O513-K513-L513))),"")</f>
        <v/>
      </c>
      <c r="O513" s="8" t="n">
        <f aca="false">IF(AG513="2H Pause déjeuner",IF(F513-D513-0.0833333333333333&lt;0,F513-D513-0.0833333333333333+1,F513-D513-0.0833333333333333),IF(OR(AND(F513="OFF",D513="OFF"),AND(F513="Congé",D513="Congé"),AND(F513="Congé sans solde",D513="Congé sans solde"),AND(F513="Congé spécial",D513="Congé spécial"),AND(F513="Férié",D513="Férié"),AND(F513="OFF",D513="Congé"),AND(F513="OFF",D513="Congé sans solde"),AND(F513="OFF",D513="Congé spécial"),AND(F513="OFF",D513="Férié"),AND(F513="Congé",D513="OFF"),AND(F513="Congé",D513="Congé sans solde"),AND(F513="Congé",D513="Congé spécial"),AND(F513="Congé",D513="Férié"),AND(F513="Congé sans solde",D513="OFF"),AND(F513="Congé sans solde",D513="Congé"),AND(F513="Congé sans solde",D513="Congé spécial"),AND(F513="Congé sans solde",D513="Férié"),AND(F513="Congé spécial",D513="OFF"),AND(F513="Congé spécial",D513="Congé"),AND(F513="Congé spécial",D513="Congé sans solde"),AND(F513="Congé spécial",D513="Férié"),AND(F513="Férié",D513="OFF"),AND(F513="Férié",D513="Congé"),AND(F513="Férié",D513="Congé sans solde"),AND(F513="Férié",D513="Congé spécial")),0,IF(OR(F513="OFF",F513="Congé",F513="Congé spécial",F513="Congé sans solde",D513="OFF",D513="Congé",D513="Congé spécial",D513="Congé sans solde"),0.208333333333334,IF(AND(AG513="",F513-D513&lt;0),("24:00:00"-D513)+("00:00:00"+F513)-0.0416666666666667,IF(AND(OR(AG513="Allaitement",AG513="Sans déjeuner"),F513-D513&lt;0),("24:00:00"-D513)+("00:00:00"+F513),IF(AND(AG513="",F513-D513&gt;0.166666666666667),F513-D513-0.0416666666666667,IF(AND(OR(AG513="Allaitement",AG513="Sans déjeuner"),F513-D513&gt;0.166666666666667),F513-D513,F513-D513)))))))</f>
        <v>0</v>
      </c>
      <c r="P513" s="6" t="str">
        <f aca="false">IFERROR(VLOOKUP($B513,Agents!$A:$D,2,0),"-")</f>
        <v>Accessibilité</v>
      </c>
      <c r="Q513" s="21" t="n">
        <v>46109</v>
      </c>
      <c r="R513" s="8" t="n">
        <f aca="false">IF(M513="Abs",O513,0)</f>
        <v>0</v>
      </c>
      <c r="S513" s="8" t="n">
        <f aca="false">SUM(R513,L513,I513,J513,W513,H513)</f>
        <v>0</v>
      </c>
      <c r="T513" s="6" t="str">
        <f aca="false">"Sem - "&amp;WEEKNUM(Q513,21)</f>
        <v>Sem - 13</v>
      </c>
      <c r="U513" s="6" t="str">
        <f aca="false">CHOOSE(MONTH(Q513),"Janvier","Février","Mars","Avril","Mai","Juin","Juillet","Août","Septembre","Octobre","Novembre","Décembre")</f>
        <v>Mars</v>
      </c>
      <c r="V513" s="22" t="n">
        <f aca="false">YEAR(Q513)</f>
        <v>2026</v>
      </c>
      <c r="W513" s="20"/>
      <c r="X513" s="8" t="n">
        <f aca="false">IFERROR(IF(M513="Abs",0,IF(ROUND((D513-C513+E513-F513)*1440,0)&lt;=1,0,D513-C513+E513-F513)),0)</f>
        <v>0</v>
      </c>
      <c r="Y513" s="6" t="str">
        <f aca="false">IFERROR(VLOOKUP($B513,Agents!$A:$D,3,0),"-")</f>
        <v>OUBRAHIM Mohammed</v>
      </c>
      <c r="Z513" s="6" t="str">
        <f aca="false">IFERROR(VLOOKUP($B513,Agents!$A:$D,4,0),"-")</f>
        <v>Credit Mutuel</v>
      </c>
      <c r="AA513" s="18" t="s">
        <v>95</v>
      </c>
      <c r="AB513" s="8" t="str">
        <f aca="false">IF(AND(D513="Congé",F513="Congé"),0.333333333333333,IF(OR(AND(D513="Congé",F513&lt;&gt;"Congé"),(AND(F513="Congé",D513&lt;&gt;"Congé"))),0.166666666666667,""))</f>
        <v/>
      </c>
      <c r="AC513" s="8" t="str">
        <f aca="false">IF(AND(D513="Congé sans solde",F513="Congé sans solde"),0.333333333333333,IF(OR(AND(D513="Congé sans solde",F513&lt;&gt;"Congé sans solde"),(AND(F513="Congé sans solde",D513&lt;&gt;"Congé sans solde"))),0.166666666666667,""))</f>
        <v/>
      </c>
      <c r="AD513" s="8" t="str">
        <f aca="false">IF(AND(D513="Congé spécial",F513="Congé spécial"),0.333333333333333,IF(OR(AND(D513="Congé spécial",F513&lt;&gt;"Congé spécial"),AND(F513="Congé spécial",D513&lt;&gt;"Congé spécial")),0.166666666666667,""))</f>
        <v/>
      </c>
      <c r="AE513" s="8" t="str">
        <f aca="false">IF(AND(D513="Férié",F513="Férié"),0.333333333333333,IF(OR(AND(D513="Férié",F513&lt;&gt;"Férié"),(AND(F513="Férié",D513&lt;&gt;"Férié"))),0.166666666666667,""))</f>
        <v/>
      </c>
      <c r="AF513" s="18"/>
      <c r="AG513" s="18"/>
    </row>
    <row r="514" customFormat="false" ht="15" hidden="false" customHeight="false" outlineLevel="0" collapsed="false">
      <c r="A514" s="6" t="str">
        <f aca="false">YEAR(Q514-WEEKDAY(Q514,2)+4)&amp;"-S"&amp;TEXT(WEEKNUM(Q514,21),"00")</f>
        <v>2026-S13</v>
      </c>
      <c r="B514" s="18" t="s">
        <v>69</v>
      </c>
      <c r="C514" s="19"/>
      <c r="D514" s="19" t="s">
        <v>74</v>
      </c>
      <c r="E514" s="19"/>
      <c r="F514" s="19" t="s">
        <v>74</v>
      </c>
      <c r="G514" s="20"/>
      <c r="H514" s="20"/>
      <c r="I514" s="8" t="str">
        <f aca="false">IF(IF(OR(C514="",D514="Congé",D514="OFF",D514="Congé spécial"),"",IF(D514&gt;F514,D514-C514,IF(C514-D514&lt;0,0,C514-D514)))&lt;0.00068287037037037,"",IF(OR(D514="Congé",D514="OFF",C514="",D514="Congé spécial"),"",IF(D514&gt;F514,D514-C514,IF(C514-D514&lt;0,0,C514-D514))))</f>
        <v/>
      </c>
      <c r="J514" s="20"/>
      <c r="K514" s="8" t="n">
        <f aca="false">IF(SUM(H514:J514)&lt;0.00068287037037037,0,SUM(H514:J514))</f>
        <v>0</v>
      </c>
      <c r="L514" s="8" t="n">
        <f aca="false">IF(OR(F514="Congé",F514="OFF",M514="Abs",F514="Congé sans solde",F514="Férié",F514="Congé spécial",D514="Congé spécial"),0,IF(F514-E514&lt;0,0,IF(F514-E514&lt;=0.00068287037037037,0,F514-E514)))</f>
        <v>0</v>
      </c>
      <c r="M514" s="6" t="n">
        <f aca="false">IF(AND(O514&lt;&gt;0,C514=""),"Abs",0)</f>
        <v>0</v>
      </c>
      <c r="N514" s="8" t="str">
        <f aca="false">IFERROR(IF(OR(D514="OFF",D514="Congé",M514="Abs",D514="Congé sans solde",D514="Férié"),"",IF(O514-K514-L514&gt;O514,O514,IF(O514-K514-L514&lt;0,"",O514-K514-L514))),"")</f>
        <v/>
      </c>
      <c r="O514" s="8" t="n">
        <f aca="false">IF(AG514="2H Pause déjeuner",IF(F514-D514-0.0833333333333333&lt;0,F514-D514-0.0833333333333333+1,F514-D514-0.0833333333333333),IF(OR(AND(F514="OFF",D514="OFF"),AND(F514="Congé",D514="Congé"),AND(F514="Congé sans solde",D514="Congé sans solde"),AND(F514="Congé spécial",D514="Congé spécial"),AND(F514="Férié",D514="Férié"),AND(F514="OFF",D514="Congé"),AND(F514="OFF",D514="Congé sans solde"),AND(F514="OFF",D514="Congé spécial"),AND(F514="OFF",D514="Férié"),AND(F514="Congé",D514="OFF"),AND(F514="Congé",D514="Congé sans solde"),AND(F514="Congé",D514="Congé spécial"),AND(F514="Congé",D514="Férié"),AND(F514="Congé sans solde",D514="OFF"),AND(F514="Congé sans solde",D514="Congé"),AND(F514="Congé sans solde",D514="Congé spécial"),AND(F514="Congé sans solde",D514="Férié"),AND(F514="Congé spécial",D514="OFF"),AND(F514="Congé spécial",D514="Congé"),AND(F514="Congé spécial",D514="Congé sans solde"),AND(F514="Congé spécial",D514="Férié"),AND(F514="Férié",D514="OFF"),AND(F514="Férié",D514="Congé"),AND(F514="Férié",D514="Congé sans solde"),AND(F514="Férié",D514="Congé spécial")),0,IF(OR(F514="OFF",F514="Congé",F514="Congé spécial",F514="Congé sans solde",D514="OFF",D514="Congé",D514="Congé spécial",D514="Congé sans solde"),0.208333333333334,IF(AND(AG514="",F514-D514&lt;0),("24:00:00"-D514)+("00:00:00"+F514)-0.0416666666666667,IF(AND(OR(AG514="Allaitement",AG514="Sans déjeuner"),F514-D514&lt;0),("24:00:00"-D514)+("00:00:00"+F514),IF(AND(AG514="",F514-D514&gt;0.166666666666667),F514-D514-0.0416666666666667,IF(AND(OR(AG514="Allaitement",AG514="Sans déjeuner"),F514-D514&gt;0.166666666666667),F514-D514,F514-D514)))))))</f>
        <v>0</v>
      </c>
      <c r="P514" s="6" t="str">
        <f aca="false">IFERROR(VLOOKUP($B514,Agents!$A:$D,2,0),"-")</f>
        <v>Accessibilité</v>
      </c>
      <c r="Q514" s="21" t="n">
        <v>46110</v>
      </c>
      <c r="R514" s="8" t="n">
        <f aca="false">IF(M514="Abs",O514,0)</f>
        <v>0</v>
      </c>
      <c r="S514" s="8" t="n">
        <f aca="false">SUM(R514,L514,I514,J514,W514,H514)</f>
        <v>0</v>
      </c>
      <c r="T514" s="6" t="str">
        <f aca="false">"Sem - "&amp;WEEKNUM(Q514,21)</f>
        <v>Sem - 13</v>
      </c>
      <c r="U514" s="6" t="str">
        <f aca="false">CHOOSE(MONTH(Q514),"Janvier","Février","Mars","Avril","Mai","Juin","Juillet","Août","Septembre","Octobre","Novembre","Décembre")</f>
        <v>Mars</v>
      </c>
      <c r="V514" s="22" t="n">
        <f aca="false">YEAR(Q514)</f>
        <v>2026</v>
      </c>
      <c r="W514" s="20"/>
      <c r="X514" s="8" t="n">
        <f aca="false">IFERROR(IF(M514="Abs",0,IF(ROUND((D514-C514+E514-F514)*1440,0)&lt;=1,0,D514-C514+E514-F514)),0)</f>
        <v>0</v>
      </c>
      <c r="Y514" s="6" t="str">
        <f aca="false">IFERROR(VLOOKUP($B514,Agents!$A:$D,3,0),"-")</f>
        <v>OUBRAHIM Mohammed</v>
      </c>
      <c r="Z514" s="6" t="str">
        <f aca="false">IFERROR(VLOOKUP($B514,Agents!$A:$D,4,0),"-")</f>
        <v>Credit Mutuel</v>
      </c>
      <c r="AA514" s="18" t="s">
        <v>95</v>
      </c>
      <c r="AB514" s="8" t="str">
        <f aca="false">IF(AND(D514="Congé",F514="Congé"),0.333333333333333,IF(OR(AND(D514="Congé",F514&lt;&gt;"Congé"),(AND(F514="Congé",D514&lt;&gt;"Congé"))),0.166666666666667,""))</f>
        <v/>
      </c>
      <c r="AC514" s="8" t="str">
        <f aca="false">IF(AND(D514="Congé sans solde",F514="Congé sans solde"),0.333333333333333,IF(OR(AND(D514="Congé sans solde",F514&lt;&gt;"Congé sans solde"),(AND(F514="Congé sans solde",D514&lt;&gt;"Congé sans solde"))),0.166666666666667,""))</f>
        <v/>
      </c>
      <c r="AD514" s="8" t="str">
        <f aca="false">IF(AND(D514="Congé spécial",F514="Congé spécial"),0.333333333333333,IF(OR(AND(D514="Congé spécial",F514&lt;&gt;"Congé spécial"),AND(F514="Congé spécial",D514&lt;&gt;"Congé spécial")),0.166666666666667,""))</f>
        <v/>
      </c>
      <c r="AE514" s="8" t="str">
        <f aca="false">IF(AND(D514="Férié",F514="Férié"),0.333333333333333,IF(OR(AND(D514="Férié",F514&lt;&gt;"Férié"),(AND(F514="Férié",D514&lt;&gt;"Férié"))),0.166666666666667,""))</f>
        <v/>
      </c>
      <c r="AF514" s="18"/>
      <c r="AG514" s="18"/>
    </row>
    <row r="515" customFormat="false" ht="15" hidden="false" customHeight="false" outlineLevel="0" collapsed="false">
      <c r="A515" s="6" t="str">
        <f aca="false">YEAR(Q515-WEEKDAY(Q515,2)+4)&amp;"-S"&amp;TEXT(WEEKNUM(Q515,21),"00")</f>
        <v>2026-S13</v>
      </c>
      <c r="B515" s="18" t="s">
        <v>71</v>
      </c>
      <c r="C515" s="19"/>
      <c r="D515" s="19" t="s">
        <v>74</v>
      </c>
      <c r="E515" s="19"/>
      <c r="F515" s="19" t="s">
        <v>74</v>
      </c>
      <c r="G515" s="20"/>
      <c r="H515" s="20"/>
      <c r="I515" s="8" t="str">
        <f aca="false">IF(IF(OR(C515="",D515="Congé",D515="OFF",D515="Congé spécial"),"",IF(D515&gt;F515,D515-C515,IF(C515-D515&lt;0,0,C515-D515)))&lt;0.00068287037037037,"",IF(OR(D515="Congé",D515="OFF",C515="",D515="Congé spécial"),"",IF(D515&gt;F515,D515-C515,IF(C515-D515&lt;0,0,C515-D515))))</f>
        <v/>
      </c>
      <c r="J515" s="20"/>
      <c r="K515" s="8" t="n">
        <f aca="false">IF(SUM(H515:J515)&lt;0.00068287037037037,0,SUM(H515:J515))</f>
        <v>0</v>
      </c>
      <c r="L515" s="8" t="n">
        <f aca="false">IF(OR(F515="Congé",F515="OFF",M515="Abs",F515="Congé sans solde",F515="Férié",F515="Congé spécial",D515="Congé spécial"),0,IF(F515-E515&lt;0,0,IF(F515-E515&lt;=0.00068287037037037,0,F515-E515)))</f>
        <v>0</v>
      </c>
      <c r="M515" s="6" t="n">
        <f aca="false">IF(AND(O515&lt;&gt;0,C515=""),"Abs",0)</f>
        <v>0</v>
      </c>
      <c r="N515" s="8" t="str">
        <f aca="false">IFERROR(IF(OR(D515="OFF",D515="Congé",M515="Abs",D515="Congé sans solde",D515="Férié"),"",IF(O515-K515-L515&gt;O515,O515,IF(O515-K515-L515&lt;0,"",O515-K515-L515))),"")</f>
        <v/>
      </c>
      <c r="O515" s="8" t="n">
        <f aca="false">IF(AG515="2H Pause déjeuner",IF(F515-D515-0.0833333333333333&lt;0,F515-D515-0.0833333333333333+1,F515-D515-0.0833333333333333),IF(OR(AND(F515="OFF",D515="OFF"),AND(F515="Congé",D515="Congé"),AND(F515="Congé sans solde",D515="Congé sans solde"),AND(F515="Congé spécial",D515="Congé spécial"),AND(F515="Férié",D515="Férié"),AND(F515="OFF",D515="Congé"),AND(F515="OFF",D515="Congé sans solde"),AND(F515="OFF",D515="Congé spécial"),AND(F515="OFF",D515="Férié"),AND(F515="Congé",D515="OFF"),AND(F515="Congé",D515="Congé sans solde"),AND(F515="Congé",D515="Congé spécial"),AND(F515="Congé",D515="Férié"),AND(F515="Congé sans solde",D515="OFF"),AND(F515="Congé sans solde",D515="Congé"),AND(F515="Congé sans solde",D515="Congé spécial"),AND(F515="Congé sans solde",D515="Férié"),AND(F515="Congé spécial",D515="OFF"),AND(F515="Congé spécial",D515="Congé"),AND(F515="Congé spécial",D515="Congé sans solde"),AND(F515="Congé spécial",D515="Férié"),AND(F515="Férié",D515="OFF"),AND(F515="Férié",D515="Congé"),AND(F515="Férié",D515="Congé sans solde"),AND(F515="Férié",D515="Congé spécial")),0,IF(OR(F515="OFF",F515="Congé",F515="Congé spécial",F515="Congé sans solde",D515="OFF",D515="Congé",D515="Congé spécial",D515="Congé sans solde"),0.208333333333334,IF(AND(AG515="",F515-D515&lt;0),("24:00:00"-D515)+("00:00:00"+F515)-0.0416666666666667,IF(AND(OR(AG515="Allaitement",AG515="Sans déjeuner"),F515-D515&lt;0),("24:00:00"-D515)+("00:00:00"+F515),IF(AND(AG515="",F515-D515&gt;0.166666666666667),F515-D515-0.0416666666666667,IF(AND(OR(AG515="Allaitement",AG515="Sans déjeuner"),F515-D515&gt;0.166666666666667),F515-D515,F515-D515)))))))</f>
        <v>0</v>
      </c>
      <c r="P515" s="6" t="str">
        <f aca="false">IFERROR(VLOOKUP($B515,Agents!$A:$D,2,0),"-")</f>
        <v>Accessibilité</v>
      </c>
      <c r="Q515" s="21" t="n">
        <v>46110</v>
      </c>
      <c r="R515" s="8" t="n">
        <f aca="false">IF(M515="Abs",O515,0)</f>
        <v>0</v>
      </c>
      <c r="S515" s="8" t="n">
        <f aca="false">SUM(R515,L515,I515,J515,W515,H515)</f>
        <v>0</v>
      </c>
      <c r="T515" s="6" t="str">
        <f aca="false">"Sem - "&amp;WEEKNUM(Q515,21)</f>
        <v>Sem - 13</v>
      </c>
      <c r="U515" s="6" t="str">
        <f aca="false">CHOOSE(MONTH(Q515),"Janvier","Février","Mars","Avril","Mai","Juin","Juillet","Août","Septembre","Octobre","Novembre","Décembre")</f>
        <v>Mars</v>
      </c>
      <c r="V515" s="22" t="n">
        <f aca="false">YEAR(Q515)</f>
        <v>2026</v>
      </c>
      <c r="W515" s="20"/>
      <c r="X515" s="8" t="n">
        <f aca="false">IFERROR(IF(M515="Abs",0,IF(ROUND((D515-C515+E515-F515)*1440,0)&lt;=1,0,D515-C515+E515-F515)),0)</f>
        <v>0</v>
      </c>
      <c r="Y515" s="6" t="str">
        <f aca="false">IFERROR(VLOOKUP($B515,Agents!$A:$D,3,0),"-")</f>
        <v>OUBRAHIM Mohammed</v>
      </c>
      <c r="Z515" s="6" t="str">
        <f aca="false">IFERROR(VLOOKUP($B515,Agents!$A:$D,4,0),"-")</f>
        <v>Credit Mutuel</v>
      </c>
      <c r="AA515" s="18" t="s">
        <v>95</v>
      </c>
      <c r="AB515" s="8" t="str">
        <f aca="false">IF(AND(D515="Congé",F515="Congé"),0.333333333333333,IF(OR(AND(D515="Congé",F515&lt;&gt;"Congé"),(AND(F515="Congé",D515&lt;&gt;"Congé"))),0.166666666666667,""))</f>
        <v/>
      </c>
      <c r="AC515" s="8" t="str">
        <f aca="false">IF(AND(D515="Congé sans solde",F515="Congé sans solde"),0.333333333333333,IF(OR(AND(D515="Congé sans solde",F515&lt;&gt;"Congé sans solde"),(AND(F515="Congé sans solde",D515&lt;&gt;"Congé sans solde"))),0.166666666666667,""))</f>
        <v/>
      </c>
      <c r="AD515" s="8" t="str">
        <f aca="false">IF(AND(D515="Congé spécial",F515="Congé spécial"),0.333333333333333,IF(OR(AND(D515="Congé spécial",F515&lt;&gt;"Congé spécial"),AND(F515="Congé spécial",D515&lt;&gt;"Congé spécial")),0.166666666666667,""))</f>
        <v/>
      </c>
      <c r="AE515" s="8" t="str">
        <f aca="false">IF(AND(D515="Férié",F515="Férié"),0.333333333333333,IF(OR(AND(D515="Férié",F515&lt;&gt;"Férié"),(AND(F515="Férié",D515&lt;&gt;"Férié"))),0.166666666666667,""))</f>
        <v/>
      </c>
      <c r="AF515" s="18"/>
      <c r="AG515" s="18"/>
    </row>
    <row r="516" customFormat="false" ht="15" hidden="false" customHeight="false" outlineLevel="0" collapsed="false">
      <c r="A516" s="6" t="str">
        <f aca="false">YEAR(Q516-WEEKDAY(Q516,2)+4)&amp;"-S"&amp;TEXT(WEEKNUM(Q516,21),"00")</f>
        <v>2026-S13</v>
      </c>
      <c r="B516" s="18" t="s">
        <v>72</v>
      </c>
      <c r="C516" s="19"/>
      <c r="D516" s="19" t="s">
        <v>74</v>
      </c>
      <c r="E516" s="19"/>
      <c r="F516" s="19" t="s">
        <v>74</v>
      </c>
      <c r="G516" s="20"/>
      <c r="H516" s="20"/>
      <c r="I516" s="8" t="str">
        <f aca="false">IF(IF(OR(C516="",D516="Congé",D516="OFF",D516="Congé spécial"),"",IF(D516&gt;F516,D516-C516,IF(C516-D516&lt;0,0,C516-D516)))&lt;0.00068287037037037,"",IF(OR(D516="Congé",D516="OFF",C516="",D516="Congé spécial"),"",IF(D516&gt;F516,D516-C516,IF(C516-D516&lt;0,0,C516-D516))))</f>
        <v/>
      </c>
      <c r="J516" s="20"/>
      <c r="K516" s="8" t="n">
        <f aca="false">IF(SUM(H516:J516)&lt;0.00068287037037037,0,SUM(H516:J516))</f>
        <v>0</v>
      </c>
      <c r="L516" s="8" t="n">
        <f aca="false">IF(OR(F516="Congé",F516="OFF",M516="Abs",F516="Congé sans solde",F516="Férié",F516="Congé spécial",D516="Congé spécial"),0,IF(F516-E516&lt;0,0,IF(F516-E516&lt;=0.00068287037037037,0,F516-E516)))</f>
        <v>0</v>
      </c>
      <c r="M516" s="6" t="n">
        <f aca="false">IF(AND(O516&lt;&gt;0,C516=""),"Abs",0)</f>
        <v>0</v>
      </c>
      <c r="N516" s="8" t="str">
        <f aca="false">IFERROR(IF(OR(D516="OFF",D516="Congé",M516="Abs",D516="Congé sans solde",D516="Férié"),"",IF(O516-K516-L516&gt;O516,O516,IF(O516-K516-L516&lt;0,"",O516-K516-L516))),"")</f>
        <v/>
      </c>
      <c r="O516" s="8" t="n">
        <f aca="false">IF(AG516="2H Pause déjeuner",IF(F516-D516-0.0833333333333333&lt;0,F516-D516-0.0833333333333333+1,F516-D516-0.0833333333333333),IF(OR(AND(F516="OFF",D516="OFF"),AND(F516="Congé",D516="Congé"),AND(F516="Congé sans solde",D516="Congé sans solde"),AND(F516="Congé spécial",D516="Congé spécial"),AND(F516="Férié",D516="Férié"),AND(F516="OFF",D516="Congé"),AND(F516="OFF",D516="Congé sans solde"),AND(F516="OFF",D516="Congé spécial"),AND(F516="OFF",D516="Férié"),AND(F516="Congé",D516="OFF"),AND(F516="Congé",D516="Congé sans solde"),AND(F516="Congé",D516="Congé spécial"),AND(F516="Congé",D516="Férié"),AND(F516="Congé sans solde",D516="OFF"),AND(F516="Congé sans solde",D516="Congé"),AND(F516="Congé sans solde",D516="Congé spécial"),AND(F516="Congé sans solde",D516="Férié"),AND(F516="Congé spécial",D516="OFF"),AND(F516="Congé spécial",D516="Congé"),AND(F516="Congé spécial",D516="Congé sans solde"),AND(F516="Congé spécial",D516="Férié"),AND(F516="Férié",D516="OFF"),AND(F516="Férié",D516="Congé"),AND(F516="Férié",D516="Congé sans solde"),AND(F516="Férié",D516="Congé spécial")),0,IF(OR(F516="OFF",F516="Congé",F516="Congé spécial",F516="Congé sans solde",D516="OFF",D516="Congé",D516="Congé spécial",D516="Congé sans solde"),0.208333333333334,IF(AND(AG516="",F516-D516&lt;0),("24:00:00"-D516)+("00:00:00"+F516)-0.0416666666666667,IF(AND(OR(AG516="Allaitement",AG516="Sans déjeuner"),F516-D516&lt;0),("24:00:00"-D516)+("00:00:00"+F516),IF(AND(AG516="",F516-D516&gt;0.166666666666667),F516-D516-0.0416666666666667,IF(AND(OR(AG516="Allaitement",AG516="Sans déjeuner"),F516-D516&gt;0.166666666666667),F516-D516,F516-D516)))))))</f>
        <v>0</v>
      </c>
      <c r="P516" s="6" t="str">
        <f aca="false">IFERROR(VLOOKUP($B516,Agents!$A:$D,2,0),"-")</f>
        <v>Accessibilité</v>
      </c>
      <c r="Q516" s="21" t="n">
        <v>46110</v>
      </c>
      <c r="R516" s="8" t="n">
        <f aca="false">IF(M516="Abs",O516,0)</f>
        <v>0</v>
      </c>
      <c r="S516" s="8" t="n">
        <f aca="false">SUM(R516,L516,I516,J516,W516,H516)</f>
        <v>0</v>
      </c>
      <c r="T516" s="6" t="str">
        <f aca="false">"Sem - "&amp;WEEKNUM(Q516,21)</f>
        <v>Sem - 13</v>
      </c>
      <c r="U516" s="6" t="str">
        <f aca="false">CHOOSE(MONTH(Q516),"Janvier","Février","Mars","Avril","Mai","Juin","Juillet","Août","Septembre","Octobre","Novembre","Décembre")</f>
        <v>Mars</v>
      </c>
      <c r="V516" s="22" t="n">
        <f aca="false">YEAR(Q516)</f>
        <v>2026</v>
      </c>
      <c r="W516" s="20"/>
      <c r="X516" s="8" t="n">
        <f aca="false">IFERROR(IF(M516="Abs",0,IF(ROUND((D516-C516+E516-F516)*1440,0)&lt;=1,0,D516-C516+E516-F516)),0)</f>
        <v>0</v>
      </c>
      <c r="Y516" s="6" t="str">
        <f aca="false">IFERROR(VLOOKUP($B516,Agents!$A:$D,3,0),"-")</f>
        <v>OUBRAHIM Mohammed</v>
      </c>
      <c r="Z516" s="6" t="str">
        <f aca="false">IFERROR(VLOOKUP($B516,Agents!$A:$D,4,0),"-")</f>
        <v>Credit Mutuel</v>
      </c>
      <c r="AA516" s="18" t="s">
        <v>95</v>
      </c>
      <c r="AB516" s="8" t="str">
        <f aca="false">IF(AND(D516="Congé",F516="Congé"),0.333333333333333,IF(OR(AND(D516="Congé",F516&lt;&gt;"Congé"),(AND(F516="Congé",D516&lt;&gt;"Congé"))),0.166666666666667,""))</f>
        <v/>
      </c>
      <c r="AC516" s="8" t="str">
        <f aca="false">IF(AND(D516="Congé sans solde",F516="Congé sans solde"),0.333333333333333,IF(OR(AND(D516="Congé sans solde",F516&lt;&gt;"Congé sans solde"),(AND(F516="Congé sans solde",D516&lt;&gt;"Congé sans solde"))),0.166666666666667,""))</f>
        <v/>
      </c>
      <c r="AD516" s="8" t="str">
        <f aca="false">IF(AND(D516="Congé spécial",F516="Congé spécial"),0.333333333333333,IF(OR(AND(D516="Congé spécial",F516&lt;&gt;"Congé spécial"),AND(F516="Congé spécial",D516&lt;&gt;"Congé spécial")),0.166666666666667,""))</f>
        <v/>
      </c>
      <c r="AE516" s="8" t="str">
        <f aca="false">IF(AND(D516="Férié",F516="Férié"),0.333333333333333,IF(OR(AND(D516="Férié",F516&lt;&gt;"Férié"),(AND(F516="Férié",D516&lt;&gt;"Férié"))),0.166666666666667,""))</f>
        <v/>
      </c>
      <c r="AF516" s="18"/>
      <c r="AG516" s="18"/>
    </row>
    <row r="517" customFormat="false" ht="15" hidden="false" customHeight="false" outlineLevel="0" collapsed="false">
      <c r="A517" s="6" t="str">
        <f aca="false">YEAR(Q517-WEEKDAY(Q517,2)+4)&amp;"-S"&amp;TEXT(WEEKNUM(Q517,21),"00")</f>
        <v>2026-S13</v>
      </c>
      <c r="B517" s="18" t="s">
        <v>73</v>
      </c>
      <c r="C517" s="19"/>
      <c r="D517" s="19" t="s">
        <v>74</v>
      </c>
      <c r="E517" s="19"/>
      <c r="F517" s="19" t="s">
        <v>74</v>
      </c>
      <c r="G517" s="20"/>
      <c r="H517" s="20"/>
      <c r="I517" s="8" t="str">
        <f aca="false">IF(IF(OR(C517="",D517="Congé",D517="OFF",D517="Congé spécial"),"",IF(D517&gt;F517,D517-C517,IF(C517-D517&lt;0,0,C517-D517)))&lt;0.00068287037037037,"",IF(OR(D517="Congé",D517="OFF",C517="",D517="Congé spécial"),"",IF(D517&gt;F517,D517-C517,IF(C517-D517&lt;0,0,C517-D517))))</f>
        <v/>
      </c>
      <c r="J517" s="20"/>
      <c r="K517" s="8" t="n">
        <f aca="false">IF(SUM(H517:J517)&lt;0.00068287037037037,0,SUM(H517:J517))</f>
        <v>0</v>
      </c>
      <c r="L517" s="8" t="n">
        <f aca="false">IF(OR(F517="Congé",F517="OFF",M517="Abs",F517="Congé sans solde",F517="Férié",F517="Congé spécial",D517="Congé spécial"),0,IF(F517-E517&lt;0,0,IF(F517-E517&lt;=0.00068287037037037,0,F517-E517)))</f>
        <v>0</v>
      </c>
      <c r="M517" s="6" t="n">
        <f aca="false">IF(AND(O517&lt;&gt;0,C517=""),"Abs",0)</f>
        <v>0</v>
      </c>
      <c r="N517" s="8" t="str">
        <f aca="false">IFERROR(IF(OR(D517="OFF",D517="Congé",M517="Abs",D517="Congé sans solde",D517="Férié"),"",IF(O517-K517-L517&gt;O517,O517,IF(O517-K517-L517&lt;0,"",O517-K517-L517))),"")</f>
        <v/>
      </c>
      <c r="O517" s="8" t="n">
        <f aca="false">IF(AG517="2H Pause déjeuner",IF(F517-D517-0.0833333333333333&lt;0,F517-D517-0.0833333333333333+1,F517-D517-0.0833333333333333),IF(OR(AND(F517="OFF",D517="OFF"),AND(F517="Congé",D517="Congé"),AND(F517="Congé sans solde",D517="Congé sans solde"),AND(F517="Congé spécial",D517="Congé spécial"),AND(F517="Férié",D517="Férié"),AND(F517="OFF",D517="Congé"),AND(F517="OFF",D517="Congé sans solde"),AND(F517="OFF",D517="Congé spécial"),AND(F517="OFF",D517="Férié"),AND(F517="Congé",D517="OFF"),AND(F517="Congé",D517="Congé sans solde"),AND(F517="Congé",D517="Congé spécial"),AND(F517="Congé",D517="Férié"),AND(F517="Congé sans solde",D517="OFF"),AND(F517="Congé sans solde",D517="Congé"),AND(F517="Congé sans solde",D517="Congé spécial"),AND(F517="Congé sans solde",D517="Férié"),AND(F517="Congé spécial",D517="OFF"),AND(F517="Congé spécial",D517="Congé"),AND(F517="Congé spécial",D517="Congé sans solde"),AND(F517="Congé spécial",D517="Férié"),AND(F517="Férié",D517="OFF"),AND(F517="Férié",D517="Congé"),AND(F517="Férié",D517="Congé sans solde"),AND(F517="Férié",D517="Congé spécial")),0,IF(OR(F517="OFF",F517="Congé",F517="Congé spécial",F517="Congé sans solde",D517="OFF",D517="Congé",D517="Congé spécial",D517="Congé sans solde"),0.208333333333334,IF(AND(AG517="",F517-D517&lt;0),("24:00:00"-D517)+("00:00:00"+F517)-0.0416666666666667,IF(AND(OR(AG517="Allaitement",AG517="Sans déjeuner"),F517-D517&lt;0),("24:00:00"-D517)+("00:00:00"+F517),IF(AND(AG517="",F517-D517&gt;0.166666666666667),F517-D517-0.0416666666666667,IF(AND(OR(AG517="Allaitement",AG517="Sans déjeuner"),F517-D517&gt;0.166666666666667),F517-D517,F517-D517)))))))</f>
        <v>0</v>
      </c>
      <c r="P517" s="6" t="str">
        <f aca="false">IFERROR(VLOOKUP($B517,Agents!$A:$D,2,0),"-")</f>
        <v>Accessibilité</v>
      </c>
      <c r="Q517" s="21" t="n">
        <v>46110</v>
      </c>
      <c r="R517" s="8" t="n">
        <f aca="false">IF(M517="Abs",O517,0)</f>
        <v>0</v>
      </c>
      <c r="S517" s="8" t="n">
        <f aca="false">SUM(R517,L517,I517,J517,W517,H517)</f>
        <v>0</v>
      </c>
      <c r="T517" s="6" t="str">
        <f aca="false">"Sem - "&amp;WEEKNUM(Q517,21)</f>
        <v>Sem - 13</v>
      </c>
      <c r="U517" s="6" t="str">
        <f aca="false">CHOOSE(MONTH(Q517),"Janvier","Février","Mars","Avril","Mai","Juin","Juillet","Août","Septembre","Octobre","Novembre","Décembre")</f>
        <v>Mars</v>
      </c>
      <c r="V517" s="22" t="n">
        <f aca="false">YEAR(Q517)</f>
        <v>2026</v>
      </c>
      <c r="W517" s="20"/>
      <c r="X517" s="8" t="n">
        <f aca="false">IFERROR(IF(M517="Abs",0,IF(ROUND((D517-C517+E517-F517)*1440,0)&lt;=1,0,D517-C517+E517-F517)),0)</f>
        <v>0</v>
      </c>
      <c r="Y517" s="6" t="str">
        <f aca="false">IFERROR(VLOOKUP($B517,Agents!$A:$D,3,0),"-")</f>
        <v>OUBRAHIM Mohammed</v>
      </c>
      <c r="Z517" s="6" t="str">
        <f aca="false">IFERROR(VLOOKUP($B517,Agents!$A:$D,4,0),"-")</f>
        <v>Credit Mutuel</v>
      </c>
      <c r="AA517" s="18" t="s">
        <v>95</v>
      </c>
      <c r="AB517" s="8" t="str">
        <f aca="false">IF(AND(D517="Congé",F517="Congé"),0.333333333333333,IF(OR(AND(D517="Congé",F517&lt;&gt;"Congé"),(AND(F517="Congé",D517&lt;&gt;"Congé"))),0.166666666666667,""))</f>
        <v/>
      </c>
      <c r="AC517" s="8" t="str">
        <f aca="false">IF(AND(D517="Congé sans solde",F517="Congé sans solde"),0.333333333333333,IF(OR(AND(D517="Congé sans solde",F517&lt;&gt;"Congé sans solde"),(AND(F517="Congé sans solde",D517&lt;&gt;"Congé sans solde"))),0.166666666666667,""))</f>
        <v/>
      </c>
      <c r="AD517" s="8" t="str">
        <f aca="false">IF(AND(D517="Congé spécial",F517="Congé spécial"),0.333333333333333,IF(OR(AND(D517="Congé spécial",F517&lt;&gt;"Congé spécial"),AND(F517="Congé spécial",D517&lt;&gt;"Congé spécial")),0.166666666666667,""))</f>
        <v/>
      </c>
      <c r="AE517" s="8" t="str">
        <f aca="false">IF(AND(D517="Férié",F517="Férié"),0.333333333333333,IF(OR(AND(D517="Férié",F517&lt;&gt;"Férié"),(AND(F517="Férié",D517&lt;&gt;"Férié"))),0.166666666666667,""))</f>
        <v/>
      </c>
      <c r="AF517" s="18"/>
      <c r="AG517" s="18"/>
    </row>
    <row r="518" customFormat="false" ht="15" hidden="false" customHeight="false" outlineLevel="0" collapsed="false">
      <c r="A518" s="6" t="str">
        <f aca="false">YEAR(Q518-WEEKDAY(Q518,2)+4)&amp;"-S"&amp;TEXT(WEEKNUM(Q518,21),"00")</f>
        <v>2026-S14</v>
      </c>
      <c r="B518" s="18" t="s">
        <v>69</v>
      </c>
      <c r="C518" s="19" t="n">
        <v>0.332638888888889</v>
      </c>
      <c r="D518" s="19" t="n">
        <v>0.333333333333333</v>
      </c>
      <c r="E518" s="19" t="n">
        <v>0.75</v>
      </c>
      <c r="F518" s="19" t="n">
        <v>0.75</v>
      </c>
      <c r="G518" s="20"/>
      <c r="H518" s="20"/>
      <c r="I518" s="8" t="str">
        <f aca="false">IF(IF(OR(C518="",D518="Congé",D518="OFF",D518="Congé spécial"),"",IF(D518&gt;F518,D518-C518,IF(C518-D518&lt;0,0,C518-D518)))&lt;0.00068287037037037,"",IF(OR(D518="Congé",D518="OFF",C518="",D518="Congé spécial"),"",IF(D518&gt;F518,D518-C518,IF(C518-D518&lt;0,0,C518-D518))))</f>
        <v/>
      </c>
      <c r="J518" s="20"/>
      <c r="K518" s="8" t="n">
        <f aca="false">IF(SUM(H518:J518)&lt;0.00068287037037037,0,SUM(H518:J518))</f>
        <v>0</v>
      </c>
      <c r="L518" s="8" t="n">
        <f aca="false">IF(OR(F518="Congé",F518="OFF",M518="Abs",F518="Congé sans solde",F518="Férié",F518="Congé spécial",D518="Congé spécial"),0,IF(F518-E518&lt;0,0,IF(F518-E518&lt;=0.00068287037037037,0,F518-E518)))</f>
        <v>0</v>
      </c>
      <c r="M518" s="6" t="n">
        <f aca="false">IF(AND(O518&lt;&gt;0,C518=""),"Abs",0)</f>
        <v>0</v>
      </c>
      <c r="N518" s="8" t="n">
        <f aca="false">IFERROR(IF(OR(D518="OFF",D518="Congé",M518="Abs",D518="Congé sans solde",D518="Férié"),"",IF(O518-K518-L518&gt;O518,O518,IF(O518-K518-L518&lt;0,"",O518-K518-L518))),"")</f>
        <v>0.375</v>
      </c>
      <c r="O518" s="8" t="n">
        <f aca="false">IF(AG518="2H Pause déjeuner",IF(F518-D518-0.0833333333333333&lt;0,F518-D518-0.0833333333333333+1,F518-D518-0.0833333333333333),IF(OR(AND(F518="OFF",D518="OFF"),AND(F518="Congé",D518="Congé"),AND(F518="Congé sans solde",D518="Congé sans solde"),AND(F518="Congé spécial",D518="Congé spécial"),AND(F518="Férié",D518="Férié"),AND(F518="OFF",D518="Congé"),AND(F518="OFF",D518="Congé sans solde"),AND(F518="OFF",D518="Congé spécial"),AND(F518="OFF",D518="Férié"),AND(F518="Congé",D518="OFF"),AND(F518="Congé",D518="Congé sans solde"),AND(F518="Congé",D518="Congé spécial"),AND(F518="Congé",D518="Férié"),AND(F518="Congé sans solde",D518="OFF"),AND(F518="Congé sans solde",D518="Congé"),AND(F518="Congé sans solde",D518="Congé spécial"),AND(F518="Congé sans solde",D518="Férié"),AND(F518="Congé spécial",D518="OFF"),AND(F518="Congé spécial",D518="Congé"),AND(F518="Congé spécial",D518="Congé sans solde"),AND(F518="Congé spécial",D518="Férié"),AND(F518="Férié",D518="OFF"),AND(F518="Férié",D518="Congé"),AND(F518="Férié",D518="Congé sans solde"),AND(F518="Férié",D518="Congé spécial")),0,IF(OR(F518="OFF",F518="Congé",F518="Congé spécial",F518="Congé sans solde",D518="OFF",D518="Congé",D518="Congé spécial",D518="Congé sans solde"),0.208333333333334,IF(AND(AG518="",F518-D518&lt;0),("24:00:00"-D518)+("00:00:00"+F518)-0.0416666666666667,IF(AND(OR(AG518="Allaitement",AG518="Sans déjeuner"),F518-D518&lt;0),("24:00:00"-D518)+("00:00:00"+F518),IF(AND(AG518="",F518-D518&gt;0.166666666666667),F518-D518-0.0416666666666667,IF(AND(OR(AG518="Allaitement",AG518="Sans déjeuner"),F518-D518&gt;0.166666666666667),F518-D518,F518-D518)))))))</f>
        <v>0.375</v>
      </c>
      <c r="P518" s="6" t="str">
        <f aca="false">IFERROR(VLOOKUP($B518,Agents!$A:$D,2,0),"-")</f>
        <v>Accessibilité</v>
      </c>
      <c r="Q518" s="21" t="n">
        <v>46111</v>
      </c>
      <c r="R518" s="8" t="n">
        <f aca="false">IF(M518="Abs",O518,0)</f>
        <v>0</v>
      </c>
      <c r="S518" s="8" t="n">
        <f aca="false">SUM(R518,L518,I518,J518,W518,H518)</f>
        <v>0</v>
      </c>
      <c r="T518" s="6" t="str">
        <f aca="false">"Sem - "&amp;WEEKNUM(Q518,21)</f>
        <v>Sem - 14</v>
      </c>
      <c r="U518" s="6" t="str">
        <f aca="false">CHOOSE(MONTH(Q518),"Janvier","Février","Mars","Avril","Mai","Juin","Juillet","Août","Septembre","Octobre","Novembre","Décembre")</f>
        <v>Mars</v>
      </c>
      <c r="V518" s="22" t="n">
        <f aca="false">YEAR(Q518)</f>
        <v>2026</v>
      </c>
      <c r="W518" s="20"/>
      <c r="X518" s="8" t="n">
        <f aca="false">IFERROR(IF(M518="Abs",0,IF(ROUND((D518-C518+E518-F518)*1440,0)&lt;=1,0,D518-C518+E518-F518)),0)</f>
        <v>0</v>
      </c>
      <c r="Y518" s="6" t="str">
        <f aca="false">IFERROR(VLOOKUP($B518,Agents!$A:$D,3,0),"-")</f>
        <v>OUBRAHIM Mohammed</v>
      </c>
      <c r="Z518" s="6" t="str">
        <f aca="false">IFERROR(VLOOKUP($B518,Agents!$A:$D,4,0),"-")</f>
        <v>Credit Mutuel</v>
      </c>
      <c r="AA518" s="18" t="s">
        <v>96</v>
      </c>
      <c r="AB518" s="8" t="str">
        <f aca="false">IF(AND(D518="Congé",F518="Congé"),0.333333333333333,IF(OR(AND(D518="Congé",F518&lt;&gt;"Congé"),(AND(F518="Congé",D518&lt;&gt;"Congé"))),0.166666666666667,""))</f>
        <v/>
      </c>
      <c r="AC518" s="8" t="str">
        <f aca="false">IF(AND(D518="Congé sans solde",F518="Congé sans solde"),0.333333333333333,IF(OR(AND(D518="Congé sans solde",F518&lt;&gt;"Congé sans solde"),(AND(F518="Congé sans solde",D518&lt;&gt;"Congé sans solde"))),0.166666666666667,""))</f>
        <v/>
      </c>
      <c r="AD518" s="8" t="str">
        <f aca="false">IF(AND(D518="Congé spécial",F518="Congé spécial"),0.333333333333333,IF(OR(AND(D518="Congé spécial",F518&lt;&gt;"Congé spécial"),AND(F518="Congé spécial",D518&lt;&gt;"Congé spécial")),0.166666666666667,""))</f>
        <v/>
      </c>
      <c r="AE518" s="8" t="str">
        <f aca="false">IF(AND(D518="Férié",F518="Férié"),0.333333333333333,IF(OR(AND(D518="Férié",F518&lt;&gt;"Férié"),(AND(F518="Férié",D518&lt;&gt;"Férié"))),0.166666666666667,""))</f>
        <v/>
      </c>
      <c r="AF518" s="18"/>
      <c r="AG518" s="18"/>
    </row>
    <row r="519" customFormat="false" ht="15" hidden="false" customHeight="false" outlineLevel="0" collapsed="false">
      <c r="A519" s="6" t="str">
        <f aca="false">YEAR(Q519-WEEKDAY(Q519,2)+4)&amp;"-S"&amp;TEXT(WEEKNUM(Q519,21),"00")</f>
        <v>2026-S14</v>
      </c>
      <c r="B519" s="18" t="s">
        <v>71</v>
      </c>
      <c r="C519" s="19" t="n">
        <v>0.332638888888889</v>
      </c>
      <c r="D519" s="19" t="n">
        <v>0.333333333333333</v>
      </c>
      <c r="E519" s="19" t="n">
        <v>0.75</v>
      </c>
      <c r="F519" s="19" t="n">
        <v>0.75</v>
      </c>
      <c r="G519" s="20"/>
      <c r="H519" s="20"/>
      <c r="I519" s="8" t="str">
        <f aca="false">IF(IF(OR(C519="",D519="Congé",D519="OFF",D519="Congé spécial"),"",IF(D519&gt;F519,D519-C519,IF(C519-D519&lt;0,0,C519-D519)))&lt;0.00068287037037037,"",IF(OR(D519="Congé",D519="OFF",C519="",D519="Congé spécial"),"",IF(D519&gt;F519,D519-C519,IF(C519-D519&lt;0,0,C519-D519))))</f>
        <v/>
      </c>
      <c r="J519" s="20"/>
      <c r="K519" s="8" t="n">
        <f aca="false">IF(SUM(H519:J519)&lt;0.00068287037037037,0,SUM(H519:J519))</f>
        <v>0</v>
      </c>
      <c r="L519" s="8" t="n">
        <f aca="false">IF(OR(F519="Congé",F519="OFF",M519="Abs",F519="Congé sans solde",F519="Férié",F519="Congé spécial",D519="Congé spécial"),0,IF(F519-E519&lt;0,0,IF(F519-E519&lt;=0.00068287037037037,0,F519-E519)))</f>
        <v>0</v>
      </c>
      <c r="M519" s="6" t="n">
        <f aca="false">IF(AND(O519&lt;&gt;0,C519=""),"Abs",0)</f>
        <v>0</v>
      </c>
      <c r="N519" s="8" t="n">
        <f aca="false">IFERROR(IF(OR(D519="OFF",D519="Congé",M519="Abs",D519="Congé sans solde",D519="Férié"),"",IF(O519-K519-L519&gt;O519,O519,IF(O519-K519-L519&lt;0,"",O519-K519-L519))),"")</f>
        <v>0.375</v>
      </c>
      <c r="O519" s="8" t="n">
        <f aca="false">IF(AG519="2H Pause déjeuner",IF(F519-D519-0.0833333333333333&lt;0,F519-D519-0.0833333333333333+1,F519-D519-0.0833333333333333),IF(OR(AND(F519="OFF",D519="OFF"),AND(F519="Congé",D519="Congé"),AND(F519="Congé sans solde",D519="Congé sans solde"),AND(F519="Congé spécial",D519="Congé spécial"),AND(F519="Férié",D519="Férié"),AND(F519="OFF",D519="Congé"),AND(F519="OFF",D519="Congé sans solde"),AND(F519="OFF",D519="Congé spécial"),AND(F519="OFF",D519="Férié"),AND(F519="Congé",D519="OFF"),AND(F519="Congé",D519="Congé sans solde"),AND(F519="Congé",D519="Congé spécial"),AND(F519="Congé",D519="Férié"),AND(F519="Congé sans solde",D519="OFF"),AND(F519="Congé sans solde",D519="Congé"),AND(F519="Congé sans solde",D519="Congé spécial"),AND(F519="Congé sans solde",D519="Férié"),AND(F519="Congé spécial",D519="OFF"),AND(F519="Congé spécial",D519="Congé"),AND(F519="Congé spécial",D519="Congé sans solde"),AND(F519="Congé spécial",D519="Férié"),AND(F519="Férié",D519="OFF"),AND(F519="Férié",D519="Congé"),AND(F519="Férié",D519="Congé sans solde"),AND(F519="Férié",D519="Congé spécial")),0,IF(OR(F519="OFF",F519="Congé",F519="Congé spécial",F519="Congé sans solde",D519="OFF",D519="Congé",D519="Congé spécial",D519="Congé sans solde"),0.208333333333334,IF(AND(AG519="",F519-D519&lt;0),("24:00:00"-D519)+("00:00:00"+F519)-0.0416666666666667,IF(AND(OR(AG519="Allaitement",AG519="Sans déjeuner"),F519-D519&lt;0),("24:00:00"-D519)+("00:00:00"+F519),IF(AND(AG519="",F519-D519&gt;0.166666666666667),F519-D519-0.0416666666666667,IF(AND(OR(AG519="Allaitement",AG519="Sans déjeuner"),F519-D519&gt;0.166666666666667),F519-D519,F519-D519)))))))</f>
        <v>0.375</v>
      </c>
      <c r="P519" s="6" t="str">
        <f aca="false">IFERROR(VLOOKUP($B519,Agents!$A:$D,2,0),"-")</f>
        <v>Accessibilité</v>
      </c>
      <c r="Q519" s="21" t="n">
        <v>46111</v>
      </c>
      <c r="R519" s="8" t="n">
        <f aca="false">IF(M519="Abs",O519,0)</f>
        <v>0</v>
      </c>
      <c r="S519" s="8" t="n">
        <f aca="false">SUM(R519,L519,I519,J519,W519,H519)</f>
        <v>0</v>
      </c>
      <c r="T519" s="6" t="str">
        <f aca="false">"Sem - "&amp;WEEKNUM(Q519,21)</f>
        <v>Sem - 14</v>
      </c>
      <c r="U519" s="6" t="str">
        <f aca="false">CHOOSE(MONTH(Q519),"Janvier","Février","Mars","Avril","Mai","Juin","Juillet","Août","Septembre","Octobre","Novembre","Décembre")</f>
        <v>Mars</v>
      </c>
      <c r="V519" s="22" t="n">
        <f aca="false">YEAR(Q519)</f>
        <v>2026</v>
      </c>
      <c r="W519" s="20"/>
      <c r="X519" s="8" t="n">
        <f aca="false">IFERROR(IF(M519="Abs",0,IF(ROUND((D519-C519+E519-F519)*1440,0)&lt;=1,0,D519-C519+E519-F519)),0)</f>
        <v>0</v>
      </c>
      <c r="Y519" s="6" t="str">
        <f aca="false">IFERROR(VLOOKUP($B519,Agents!$A:$D,3,0),"-")</f>
        <v>OUBRAHIM Mohammed</v>
      </c>
      <c r="Z519" s="6" t="str">
        <f aca="false">IFERROR(VLOOKUP($B519,Agents!$A:$D,4,0),"-")</f>
        <v>Credit Mutuel</v>
      </c>
      <c r="AA519" s="18" t="s">
        <v>96</v>
      </c>
      <c r="AB519" s="8" t="str">
        <f aca="false">IF(AND(D519="Congé",F519="Congé"),0.333333333333333,IF(OR(AND(D519="Congé",F519&lt;&gt;"Congé"),(AND(F519="Congé",D519&lt;&gt;"Congé"))),0.166666666666667,""))</f>
        <v/>
      </c>
      <c r="AC519" s="8" t="str">
        <f aca="false">IF(AND(D519="Congé sans solde",F519="Congé sans solde"),0.333333333333333,IF(OR(AND(D519="Congé sans solde",F519&lt;&gt;"Congé sans solde"),(AND(F519="Congé sans solde",D519&lt;&gt;"Congé sans solde"))),0.166666666666667,""))</f>
        <v/>
      </c>
      <c r="AD519" s="8" t="str">
        <f aca="false">IF(AND(D519="Congé spécial",F519="Congé spécial"),0.333333333333333,IF(OR(AND(D519="Congé spécial",F519&lt;&gt;"Congé spécial"),AND(F519="Congé spécial",D519&lt;&gt;"Congé spécial")),0.166666666666667,""))</f>
        <v/>
      </c>
      <c r="AE519" s="8" t="str">
        <f aca="false">IF(AND(D519="Férié",F519="Férié"),0.333333333333333,IF(OR(AND(D519="Férié",F519&lt;&gt;"Férié"),(AND(F519="Férié",D519&lt;&gt;"Férié"))),0.166666666666667,""))</f>
        <v/>
      </c>
      <c r="AF519" s="18"/>
      <c r="AG519" s="18"/>
    </row>
    <row r="520" customFormat="false" ht="15" hidden="false" customHeight="false" outlineLevel="0" collapsed="false">
      <c r="A520" s="6" t="str">
        <f aca="false">YEAR(Q520-WEEKDAY(Q520,2)+4)&amp;"-S"&amp;TEXT(WEEKNUM(Q520,21),"00")</f>
        <v>2026-S14</v>
      </c>
      <c r="B520" s="18" t="s">
        <v>72</v>
      </c>
      <c r="C520" s="19" t="n">
        <v>0.332638888888889</v>
      </c>
      <c r="D520" s="19" t="n">
        <v>0.333333333333333</v>
      </c>
      <c r="E520" s="19" t="n">
        <v>0.75</v>
      </c>
      <c r="F520" s="19" t="n">
        <v>0.75</v>
      </c>
      <c r="G520" s="20"/>
      <c r="H520" s="20"/>
      <c r="I520" s="8" t="str">
        <f aca="false">IF(IF(OR(C520="",D520="Congé",D520="OFF",D520="Congé spécial"),"",IF(D520&gt;F520,D520-C520,IF(C520-D520&lt;0,0,C520-D520)))&lt;0.00068287037037037,"",IF(OR(D520="Congé",D520="OFF",C520="",D520="Congé spécial"),"",IF(D520&gt;F520,D520-C520,IF(C520-D520&lt;0,0,C520-D520))))</f>
        <v/>
      </c>
      <c r="J520" s="20"/>
      <c r="K520" s="8" t="n">
        <f aca="false">IF(SUM(H520:J520)&lt;0.00068287037037037,0,SUM(H520:J520))</f>
        <v>0</v>
      </c>
      <c r="L520" s="8" t="n">
        <f aca="false">IF(OR(F520="Congé",F520="OFF",M520="Abs",F520="Congé sans solde",F520="Férié",F520="Congé spécial",D520="Congé spécial"),0,IF(F520-E520&lt;0,0,IF(F520-E520&lt;=0.00068287037037037,0,F520-E520)))</f>
        <v>0</v>
      </c>
      <c r="M520" s="6" t="n">
        <f aca="false">IF(AND(O520&lt;&gt;0,C520=""),"Abs",0)</f>
        <v>0</v>
      </c>
      <c r="N520" s="8" t="n">
        <f aca="false">IFERROR(IF(OR(D520="OFF",D520="Congé",M520="Abs",D520="Congé sans solde",D520="Férié"),"",IF(O520-K520-L520&gt;O520,O520,IF(O520-K520-L520&lt;0,"",O520-K520-L520))),"")</f>
        <v>0.375</v>
      </c>
      <c r="O520" s="8" t="n">
        <f aca="false">IF(AG520="2H Pause déjeuner",IF(F520-D520-0.0833333333333333&lt;0,F520-D520-0.0833333333333333+1,F520-D520-0.0833333333333333),IF(OR(AND(F520="OFF",D520="OFF"),AND(F520="Congé",D520="Congé"),AND(F520="Congé sans solde",D520="Congé sans solde"),AND(F520="Congé spécial",D520="Congé spécial"),AND(F520="Férié",D520="Férié"),AND(F520="OFF",D520="Congé"),AND(F520="OFF",D520="Congé sans solde"),AND(F520="OFF",D520="Congé spécial"),AND(F520="OFF",D520="Férié"),AND(F520="Congé",D520="OFF"),AND(F520="Congé",D520="Congé sans solde"),AND(F520="Congé",D520="Congé spécial"),AND(F520="Congé",D520="Férié"),AND(F520="Congé sans solde",D520="OFF"),AND(F520="Congé sans solde",D520="Congé"),AND(F520="Congé sans solde",D520="Congé spécial"),AND(F520="Congé sans solde",D520="Férié"),AND(F520="Congé spécial",D520="OFF"),AND(F520="Congé spécial",D520="Congé"),AND(F520="Congé spécial",D520="Congé sans solde"),AND(F520="Congé spécial",D520="Férié"),AND(F520="Férié",D520="OFF"),AND(F520="Férié",D520="Congé"),AND(F520="Férié",D520="Congé sans solde"),AND(F520="Férié",D520="Congé spécial")),0,IF(OR(F520="OFF",F520="Congé",F520="Congé spécial",F520="Congé sans solde",D520="OFF",D520="Congé",D520="Congé spécial",D520="Congé sans solde"),0.208333333333334,IF(AND(AG520="",F520-D520&lt;0),("24:00:00"-D520)+("00:00:00"+F520)-0.0416666666666667,IF(AND(OR(AG520="Allaitement",AG520="Sans déjeuner"),F520-D520&lt;0),("24:00:00"-D520)+("00:00:00"+F520),IF(AND(AG520="",F520-D520&gt;0.166666666666667),F520-D520-0.0416666666666667,IF(AND(OR(AG520="Allaitement",AG520="Sans déjeuner"),F520-D520&gt;0.166666666666667),F520-D520,F520-D520)))))))</f>
        <v>0.375</v>
      </c>
      <c r="P520" s="6" t="str">
        <f aca="false">IFERROR(VLOOKUP($B520,Agents!$A:$D,2,0),"-")</f>
        <v>Accessibilité</v>
      </c>
      <c r="Q520" s="21" t="n">
        <v>46111</v>
      </c>
      <c r="R520" s="8" t="n">
        <f aca="false">IF(M520="Abs",O520,0)</f>
        <v>0</v>
      </c>
      <c r="S520" s="8" t="n">
        <f aca="false">SUM(R520,L520,I520,J520,W520,H520)</f>
        <v>0</v>
      </c>
      <c r="T520" s="6" t="str">
        <f aca="false">"Sem - "&amp;WEEKNUM(Q520,21)</f>
        <v>Sem - 14</v>
      </c>
      <c r="U520" s="6" t="str">
        <f aca="false">CHOOSE(MONTH(Q520),"Janvier","Février","Mars","Avril","Mai","Juin","Juillet","Août","Septembre","Octobre","Novembre","Décembre")</f>
        <v>Mars</v>
      </c>
      <c r="V520" s="22" t="n">
        <f aca="false">YEAR(Q520)</f>
        <v>2026</v>
      </c>
      <c r="W520" s="20"/>
      <c r="X520" s="8" t="n">
        <f aca="false">IFERROR(IF(M520="Abs",0,IF(ROUND((D520-C520+E520-F520)*1440,0)&lt;=1,0,D520-C520+E520-F520)),0)</f>
        <v>0</v>
      </c>
      <c r="Y520" s="6" t="str">
        <f aca="false">IFERROR(VLOOKUP($B520,Agents!$A:$D,3,0),"-")</f>
        <v>OUBRAHIM Mohammed</v>
      </c>
      <c r="Z520" s="6" t="str">
        <f aca="false">IFERROR(VLOOKUP($B520,Agents!$A:$D,4,0),"-")</f>
        <v>Credit Mutuel</v>
      </c>
      <c r="AA520" s="18" t="s">
        <v>96</v>
      </c>
      <c r="AB520" s="8" t="str">
        <f aca="false">IF(AND(D520="Congé",F520="Congé"),0.333333333333333,IF(OR(AND(D520="Congé",F520&lt;&gt;"Congé"),(AND(F520="Congé",D520&lt;&gt;"Congé"))),0.166666666666667,""))</f>
        <v/>
      </c>
      <c r="AC520" s="8" t="str">
        <f aca="false">IF(AND(D520="Congé sans solde",F520="Congé sans solde"),0.333333333333333,IF(OR(AND(D520="Congé sans solde",F520&lt;&gt;"Congé sans solde"),(AND(F520="Congé sans solde",D520&lt;&gt;"Congé sans solde"))),0.166666666666667,""))</f>
        <v/>
      </c>
      <c r="AD520" s="8" t="str">
        <f aca="false">IF(AND(D520="Congé spécial",F520="Congé spécial"),0.333333333333333,IF(OR(AND(D520="Congé spécial",F520&lt;&gt;"Congé spécial"),AND(F520="Congé spécial",D520&lt;&gt;"Congé spécial")),0.166666666666667,""))</f>
        <v/>
      </c>
      <c r="AE520" s="8" t="str">
        <f aca="false">IF(AND(D520="Férié",F520="Férié"),0.333333333333333,IF(OR(AND(D520="Férié",F520&lt;&gt;"Férié"),(AND(F520="Férié",D520&lt;&gt;"Férié"))),0.166666666666667,""))</f>
        <v/>
      </c>
      <c r="AF520" s="18"/>
      <c r="AG520" s="18"/>
    </row>
    <row r="521" customFormat="false" ht="15" hidden="false" customHeight="false" outlineLevel="0" collapsed="false">
      <c r="A521" s="6" t="str">
        <f aca="false">YEAR(Q521-WEEKDAY(Q521,2)+4)&amp;"-S"&amp;TEXT(WEEKNUM(Q521,21),"00")</f>
        <v>2026-S14</v>
      </c>
      <c r="B521" s="18" t="s">
        <v>73</v>
      </c>
      <c r="C521" s="19" t="n">
        <v>0.331944444444444</v>
      </c>
      <c r="D521" s="19" t="n">
        <v>0.333333333333333</v>
      </c>
      <c r="E521" s="19" t="n">
        <v>0.75</v>
      </c>
      <c r="F521" s="19" t="n">
        <v>0.75</v>
      </c>
      <c r="G521" s="20"/>
      <c r="H521" s="20"/>
      <c r="I521" s="8" t="str">
        <f aca="false">IF(IF(OR(C521="",D521="Congé",D521="OFF",D521="Congé spécial"),"",IF(D521&gt;F521,D521-C521,IF(C521-D521&lt;0,0,C521-D521)))&lt;0.00068287037037037,"",IF(OR(D521="Congé",D521="OFF",C521="",D521="Congé spécial"),"",IF(D521&gt;F521,D521-C521,IF(C521-D521&lt;0,0,C521-D521))))</f>
        <v/>
      </c>
      <c r="J521" s="20"/>
      <c r="K521" s="8" t="n">
        <f aca="false">IF(SUM(H521:J521)&lt;0.00068287037037037,0,SUM(H521:J521))</f>
        <v>0</v>
      </c>
      <c r="L521" s="8" t="n">
        <f aca="false">IF(OR(F521="Congé",F521="OFF",M521="Abs",F521="Congé sans solde",F521="Férié",F521="Congé spécial",D521="Congé spécial"),0,IF(F521-E521&lt;0,0,IF(F521-E521&lt;=0.00068287037037037,0,F521-E521)))</f>
        <v>0</v>
      </c>
      <c r="M521" s="6" t="n">
        <f aca="false">IF(AND(O521&lt;&gt;0,C521=""),"Abs",0)</f>
        <v>0</v>
      </c>
      <c r="N521" s="8" t="n">
        <f aca="false">IFERROR(IF(OR(D521="OFF",D521="Congé",M521="Abs",D521="Congé sans solde",D521="Férié"),"",IF(O521-K521-L521&gt;O521,O521,IF(O521-K521-L521&lt;0,"",O521-K521-L521))),"")</f>
        <v>0.375</v>
      </c>
      <c r="O521" s="8" t="n">
        <f aca="false">IF(AG521="2H Pause déjeuner",IF(F521-D521-0.0833333333333333&lt;0,F521-D521-0.0833333333333333+1,F521-D521-0.0833333333333333),IF(OR(AND(F521="OFF",D521="OFF"),AND(F521="Congé",D521="Congé"),AND(F521="Congé sans solde",D521="Congé sans solde"),AND(F521="Congé spécial",D521="Congé spécial"),AND(F521="Férié",D521="Férié"),AND(F521="OFF",D521="Congé"),AND(F521="OFF",D521="Congé sans solde"),AND(F521="OFF",D521="Congé spécial"),AND(F521="OFF",D521="Férié"),AND(F521="Congé",D521="OFF"),AND(F521="Congé",D521="Congé sans solde"),AND(F521="Congé",D521="Congé spécial"),AND(F521="Congé",D521="Férié"),AND(F521="Congé sans solde",D521="OFF"),AND(F521="Congé sans solde",D521="Congé"),AND(F521="Congé sans solde",D521="Congé spécial"),AND(F521="Congé sans solde",D521="Férié"),AND(F521="Congé spécial",D521="OFF"),AND(F521="Congé spécial",D521="Congé"),AND(F521="Congé spécial",D521="Congé sans solde"),AND(F521="Congé spécial",D521="Férié"),AND(F521="Férié",D521="OFF"),AND(F521="Férié",D521="Congé"),AND(F521="Férié",D521="Congé sans solde"),AND(F521="Férié",D521="Congé spécial")),0,IF(OR(F521="OFF",F521="Congé",F521="Congé spécial",F521="Congé sans solde",D521="OFF",D521="Congé",D521="Congé spécial",D521="Congé sans solde"),0.208333333333334,IF(AND(AG521="",F521-D521&lt;0),("24:00:00"-D521)+("00:00:00"+F521)-0.0416666666666667,IF(AND(OR(AG521="Allaitement",AG521="Sans déjeuner"),F521-D521&lt;0),("24:00:00"-D521)+("00:00:00"+F521),IF(AND(AG521="",F521-D521&gt;0.166666666666667),F521-D521-0.0416666666666667,IF(AND(OR(AG521="Allaitement",AG521="Sans déjeuner"),F521-D521&gt;0.166666666666667),F521-D521,F521-D521)))))))</f>
        <v>0.375</v>
      </c>
      <c r="P521" s="6" t="str">
        <f aca="false">IFERROR(VLOOKUP($B521,Agents!$A:$D,2,0),"-")</f>
        <v>Accessibilité</v>
      </c>
      <c r="Q521" s="21" t="n">
        <v>46111</v>
      </c>
      <c r="R521" s="8" t="n">
        <f aca="false">IF(M521="Abs",O521,0)</f>
        <v>0</v>
      </c>
      <c r="S521" s="8" t="n">
        <f aca="false">SUM(R521,L521,I521,J521,W521,H521)</f>
        <v>0</v>
      </c>
      <c r="T521" s="6" t="str">
        <f aca="false">"Sem - "&amp;WEEKNUM(Q521,21)</f>
        <v>Sem - 14</v>
      </c>
      <c r="U521" s="6" t="str">
        <f aca="false">CHOOSE(MONTH(Q521),"Janvier","Février","Mars","Avril","Mai","Juin","Juillet","Août","Septembre","Octobre","Novembre","Décembre")</f>
        <v>Mars</v>
      </c>
      <c r="V521" s="22" t="n">
        <f aca="false">YEAR(Q521)</f>
        <v>2026</v>
      </c>
      <c r="W521" s="20"/>
      <c r="X521" s="8" t="n">
        <f aca="false">IFERROR(IF(M521="Abs",0,IF(ROUND((D521-C521+E521-F521)*1440,0)&lt;=1,0,D521-C521+E521-F521)),0)</f>
        <v>0.00138888888888889</v>
      </c>
      <c r="Y521" s="6" t="str">
        <f aca="false">IFERROR(VLOOKUP($B521,Agents!$A:$D,3,0),"-")</f>
        <v>OUBRAHIM Mohammed</v>
      </c>
      <c r="Z521" s="6" t="str">
        <f aca="false">IFERROR(VLOOKUP($B521,Agents!$A:$D,4,0),"-")</f>
        <v>Credit Mutuel</v>
      </c>
      <c r="AA521" s="18" t="s">
        <v>96</v>
      </c>
      <c r="AB521" s="8" t="str">
        <f aca="false">IF(AND(D521="Congé",F521="Congé"),0.333333333333333,IF(OR(AND(D521="Congé",F521&lt;&gt;"Congé"),(AND(F521="Congé",D521&lt;&gt;"Congé"))),0.166666666666667,""))</f>
        <v/>
      </c>
      <c r="AC521" s="8" t="str">
        <f aca="false">IF(AND(D521="Congé sans solde",F521="Congé sans solde"),0.333333333333333,IF(OR(AND(D521="Congé sans solde",F521&lt;&gt;"Congé sans solde"),(AND(F521="Congé sans solde",D521&lt;&gt;"Congé sans solde"))),0.166666666666667,""))</f>
        <v/>
      </c>
      <c r="AD521" s="8" t="str">
        <f aca="false">IF(AND(D521="Congé spécial",F521="Congé spécial"),0.333333333333333,IF(OR(AND(D521="Congé spécial",F521&lt;&gt;"Congé spécial"),AND(F521="Congé spécial",D521&lt;&gt;"Congé spécial")),0.166666666666667,""))</f>
        <v/>
      </c>
      <c r="AE521" s="8" t="str">
        <f aca="false">IF(AND(D521="Férié",F521="Férié"),0.333333333333333,IF(OR(AND(D521="Férié",F521&lt;&gt;"Férié"),(AND(F521="Férié",D521&lt;&gt;"Férié"))),0.166666666666667,""))</f>
        <v/>
      </c>
      <c r="AF521" s="18"/>
      <c r="AG521" s="18"/>
    </row>
    <row r="522" customFormat="false" ht="15" hidden="false" customHeight="false" outlineLevel="0" collapsed="false">
      <c r="A522" s="6" t="str">
        <f aca="false">YEAR(Q522-WEEKDAY(Q522,2)+4)&amp;"-S"&amp;TEXT(WEEKNUM(Q522,21),"00")</f>
        <v>2026-S14</v>
      </c>
      <c r="B522" s="18" t="s">
        <v>69</v>
      </c>
      <c r="C522" s="19" t="n">
        <v>0.332638888888889</v>
      </c>
      <c r="D522" s="19" t="n">
        <v>0.333333333333333</v>
      </c>
      <c r="E522" s="19" t="n">
        <v>0.75</v>
      </c>
      <c r="F522" s="19" t="n">
        <v>0.75</v>
      </c>
      <c r="G522" s="20"/>
      <c r="H522" s="20"/>
      <c r="I522" s="8" t="str">
        <f aca="false">IF(IF(OR(C522="",D522="Congé",D522="OFF",D522="Congé spécial"),"",IF(D522&gt;F522,D522-C522,IF(C522-D522&lt;0,0,C522-D522)))&lt;0.00068287037037037,"",IF(OR(D522="Congé",D522="OFF",C522="",D522="Congé spécial"),"",IF(D522&gt;F522,D522-C522,IF(C522-D522&lt;0,0,C522-D522))))</f>
        <v/>
      </c>
      <c r="J522" s="20"/>
      <c r="K522" s="8" t="n">
        <f aca="false">IF(SUM(H522:J522)&lt;0.00068287037037037,0,SUM(H522:J522))</f>
        <v>0</v>
      </c>
      <c r="L522" s="8" t="n">
        <f aca="false">IF(OR(F522="Congé",F522="OFF",M522="Abs",F522="Congé sans solde",F522="Férié",F522="Congé spécial",D522="Congé spécial"),0,IF(F522-E522&lt;0,0,IF(F522-E522&lt;=0.00068287037037037,0,F522-E522)))</f>
        <v>0</v>
      </c>
      <c r="M522" s="6" t="n">
        <f aca="false">IF(AND(O522&lt;&gt;0,C522=""),"Abs",0)</f>
        <v>0</v>
      </c>
      <c r="N522" s="8" t="n">
        <f aca="false">IFERROR(IF(OR(D522="OFF",D522="Congé",M522="Abs",D522="Congé sans solde",D522="Férié"),"",IF(O522-K522-L522&gt;O522,O522,IF(O522-K522-L522&lt;0,"",O522-K522-L522))),"")</f>
        <v>0.375</v>
      </c>
      <c r="O522" s="8" t="n">
        <f aca="false">IF(AG522="2H Pause déjeuner",IF(F522-D522-0.0833333333333333&lt;0,F522-D522-0.0833333333333333+1,F522-D522-0.0833333333333333),IF(OR(AND(F522="OFF",D522="OFF"),AND(F522="Congé",D522="Congé"),AND(F522="Congé sans solde",D522="Congé sans solde"),AND(F522="Congé spécial",D522="Congé spécial"),AND(F522="Férié",D522="Férié"),AND(F522="OFF",D522="Congé"),AND(F522="OFF",D522="Congé sans solde"),AND(F522="OFF",D522="Congé spécial"),AND(F522="OFF",D522="Férié"),AND(F522="Congé",D522="OFF"),AND(F522="Congé",D522="Congé sans solde"),AND(F522="Congé",D522="Congé spécial"),AND(F522="Congé",D522="Férié"),AND(F522="Congé sans solde",D522="OFF"),AND(F522="Congé sans solde",D522="Congé"),AND(F522="Congé sans solde",D522="Congé spécial"),AND(F522="Congé sans solde",D522="Férié"),AND(F522="Congé spécial",D522="OFF"),AND(F522="Congé spécial",D522="Congé"),AND(F522="Congé spécial",D522="Congé sans solde"),AND(F522="Congé spécial",D522="Férié"),AND(F522="Férié",D522="OFF"),AND(F522="Férié",D522="Congé"),AND(F522="Férié",D522="Congé sans solde"),AND(F522="Férié",D522="Congé spécial")),0,IF(OR(F522="OFF",F522="Congé",F522="Congé spécial",F522="Congé sans solde",D522="OFF",D522="Congé",D522="Congé spécial",D522="Congé sans solde"),0.208333333333334,IF(AND(AG522="",F522-D522&lt;0),("24:00:00"-D522)+("00:00:00"+F522)-0.0416666666666667,IF(AND(OR(AG522="Allaitement",AG522="Sans déjeuner"),F522-D522&lt;0),("24:00:00"-D522)+("00:00:00"+F522),IF(AND(AG522="",F522-D522&gt;0.166666666666667),F522-D522-0.0416666666666667,IF(AND(OR(AG522="Allaitement",AG522="Sans déjeuner"),F522-D522&gt;0.166666666666667),F522-D522,F522-D522)))))))</f>
        <v>0.375</v>
      </c>
      <c r="P522" s="6" t="str">
        <f aca="false">IFERROR(VLOOKUP($B522,Agents!$A:$D,2,0),"-")</f>
        <v>Accessibilité</v>
      </c>
      <c r="Q522" s="21" t="n">
        <v>46112</v>
      </c>
      <c r="R522" s="8" t="n">
        <f aca="false">IF(M522="Abs",O522,0)</f>
        <v>0</v>
      </c>
      <c r="S522" s="8" t="n">
        <f aca="false">SUM(R522,L522,I522,J522,W522,H522)</f>
        <v>0</v>
      </c>
      <c r="T522" s="6" t="str">
        <f aca="false">"Sem - "&amp;WEEKNUM(Q522,21)</f>
        <v>Sem - 14</v>
      </c>
      <c r="U522" s="6" t="str">
        <f aca="false">CHOOSE(MONTH(Q522),"Janvier","Février","Mars","Avril","Mai","Juin","Juillet","Août","Septembre","Octobre","Novembre","Décembre")</f>
        <v>Mars</v>
      </c>
      <c r="V522" s="22" t="n">
        <f aca="false">YEAR(Q522)</f>
        <v>2026</v>
      </c>
      <c r="W522" s="20"/>
      <c r="X522" s="8" t="n">
        <f aca="false">IFERROR(IF(M522="Abs",0,IF(ROUND((D522-C522+E522-F522)*1440,0)&lt;=1,0,D522-C522+E522-F522)),0)</f>
        <v>0</v>
      </c>
      <c r="Y522" s="6" t="str">
        <f aca="false">IFERROR(VLOOKUP($B522,Agents!$A:$D,3,0),"-")</f>
        <v>OUBRAHIM Mohammed</v>
      </c>
      <c r="Z522" s="6" t="str">
        <f aca="false">IFERROR(VLOOKUP($B522,Agents!$A:$D,4,0),"-")</f>
        <v>Credit Mutuel</v>
      </c>
      <c r="AA522" s="18" t="s">
        <v>96</v>
      </c>
      <c r="AB522" s="8" t="str">
        <f aca="false">IF(AND(D522="Congé",F522="Congé"),0.333333333333333,IF(OR(AND(D522="Congé",F522&lt;&gt;"Congé"),(AND(F522="Congé",D522&lt;&gt;"Congé"))),0.166666666666667,""))</f>
        <v/>
      </c>
      <c r="AC522" s="8" t="str">
        <f aca="false">IF(AND(D522="Congé sans solde",F522="Congé sans solde"),0.333333333333333,IF(OR(AND(D522="Congé sans solde",F522&lt;&gt;"Congé sans solde"),(AND(F522="Congé sans solde",D522&lt;&gt;"Congé sans solde"))),0.166666666666667,""))</f>
        <v/>
      </c>
      <c r="AD522" s="8" t="str">
        <f aca="false">IF(AND(D522="Congé spécial",F522="Congé spécial"),0.333333333333333,IF(OR(AND(D522="Congé spécial",F522&lt;&gt;"Congé spécial"),AND(F522="Congé spécial",D522&lt;&gt;"Congé spécial")),0.166666666666667,""))</f>
        <v/>
      </c>
      <c r="AE522" s="8" t="str">
        <f aca="false">IF(AND(D522="Férié",F522="Férié"),0.333333333333333,IF(OR(AND(D522="Férié",F522&lt;&gt;"Férié"),(AND(F522="Férié",D522&lt;&gt;"Férié"))),0.166666666666667,""))</f>
        <v/>
      </c>
      <c r="AF522" s="18"/>
      <c r="AG522" s="18"/>
    </row>
    <row r="523" customFormat="false" ht="15" hidden="false" customHeight="false" outlineLevel="0" collapsed="false">
      <c r="A523" s="6" t="str">
        <f aca="false">YEAR(Q523-WEEKDAY(Q523,2)+4)&amp;"-S"&amp;TEXT(WEEKNUM(Q523,21),"00")</f>
        <v>2026-S14</v>
      </c>
      <c r="B523" s="18" t="s">
        <v>71</v>
      </c>
      <c r="C523" s="19" t="n">
        <v>0.332638888888889</v>
      </c>
      <c r="D523" s="19" t="n">
        <v>0.333333333333333</v>
      </c>
      <c r="E523" s="19" t="n">
        <v>0.75</v>
      </c>
      <c r="F523" s="19" t="n">
        <v>0.75</v>
      </c>
      <c r="G523" s="20"/>
      <c r="H523" s="20"/>
      <c r="I523" s="8" t="str">
        <f aca="false">IF(IF(OR(C523="",D523="Congé",D523="OFF",D523="Congé spécial"),"",IF(D523&gt;F523,D523-C523,IF(C523-D523&lt;0,0,C523-D523)))&lt;0.00068287037037037,"",IF(OR(D523="Congé",D523="OFF",C523="",D523="Congé spécial"),"",IF(D523&gt;F523,D523-C523,IF(C523-D523&lt;0,0,C523-D523))))</f>
        <v/>
      </c>
      <c r="J523" s="20"/>
      <c r="K523" s="8" t="n">
        <f aca="false">IF(SUM(H523:J523)&lt;0.00068287037037037,0,SUM(H523:J523))</f>
        <v>0</v>
      </c>
      <c r="L523" s="8" t="n">
        <f aca="false">IF(OR(F523="Congé",F523="OFF",M523="Abs",F523="Congé sans solde",F523="Férié",F523="Congé spécial",D523="Congé spécial"),0,IF(F523-E523&lt;0,0,IF(F523-E523&lt;=0.00068287037037037,0,F523-E523)))</f>
        <v>0</v>
      </c>
      <c r="M523" s="6" t="n">
        <f aca="false">IF(AND(O523&lt;&gt;0,C523=""),"Abs",0)</f>
        <v>0</v>
      </c>
      <c r="N523" s="8" t="n">
        <f aca="false">IFERROR(IF(OR(D523="OFF",D523="Congé",M523="Abs",D523="Congé sans solde",D523="Férié"),"",IF(O523-K523-L523&gt;O523,O523,IF(O523-K523-L523&lt;0,"",O523-K523-L523))),"")</f>
        <v>0.375</v>
      </c>
      <c r="O523" s="8" t="n">
        <f aca="false">IF(AG523="2H Pause déjeuner",IF(F523-D523-0.0833333333333333&lt;0,F523-D523-0.0833333333333333+1,F523-D523-0.0833333333333333),IF(OR(AND(F523="OFF",D523="OFF"),AND(F523="Congé",D523="Congé"),AND(F523="Congé sans solde",D523="Congé sans solde"),AND(F523="Congé spécial",D523="Congé spécial"),AND(F523="Férié",D523="Férié"),AND(F523="OFF",D523="Congé"),AND(F523="OFF",D523="Congé sans solde"),AND(F523="OFF",D523="Congé spécial"),AND(F523="OFF",D523="Férié"),AND(F523="Congé",D523="OFF"),AND(F523="Congé",D523="Congé sans solde"),AND(F523="Congé",D523="Congé spécial"),AND(F523="Congé",D523="Férié"),AND(F523="Congé sans solde",D523="OFF"),AND(F523="Congé sans solde",D523="Congé"),AND(F523="Congé sans solde",D523="Congé spécial"),AND(F523="Congé sans solde",D523="Férié"),AND(F523="Congé spécial",D523="OFF"),AND(F523="Congé spécial",D523="Congé"),AND(F523="Congé spécial",D523="Congé sans solde"),AND(F523="Congé spécial",D523="Férié"),AND(F523="Férié",D523="OFF"),AND(F523="Férié",D523="Congé"),AND(F523="Férié",D523="Congé sans solde"),AND(F523="Férié",D523="Congé spécial")),0,IF(OR(F523="OFF",F523="Congé",F523="Congé spécial",F523="Congé sans solde",D523="OFF",D523="Congé",D523="Congé spécial",D523="Congé sans solde"),0.208333333333334,IF(AND(AG523="",F523-D523&lt;0),("24:00:00"-D523)+("00:00:00"+F523)-0.0416666666666667,IF(AND(OR(AG523="Allaitement",AG523="Sans déjeuner"),F523-D523&lt;0),("24:00:00"-D523)+("00:00:00"+F523),IF(AND(AG523="",F523-D523&gt;0.166666666666667),F523-D523-0.0416666666666667,IF(AND(OR(AG523="Allaitement",AG523="Sans déjeuner"),F523-D523&gt;0.166666666666667),F523-D523,F523-D523)))))))</f>
        <v>0.375</v>
      </c>
      <c r="P523" s="6" t="str">
        <f aca="false">IFERROR(VLOOKUP($B523,Agents!$A:$D,2,0),"-")</f>
        <v>Accessibilité</v>
      </c>
      <c r="Q523" s="21" t="n">
        <v>46112</v>
      </c>
      <c r="R523" s="8" t="n">
        <f aca="false">IF(M523="Abs",O523,0)</f>
        <v>0</v>
      </c>
      <c r="S523" s="8" t="n">
        <f aca="false">SUM(R523,L523,I523,J523,W523,H523)</f>
        <v>0</v>
      </c>
      <c r="T523" s="6" t="str">
        <f aca="false">"Sem - "&amp;WEEKNUM(Q523,21)</f>
        <v>Sem - 14</v>
      </c>
      <c r="U523" s="6" t="str">
        <f aca="false">CHOOSE(MONTH(Q523),"Janvier","Février","Mars","Avril","Mai","Juin","Juillet","Août","Septembre","Octobre","Novembre","Décembre")</f>
        <v>Mars</v>
      </c>
      <c r="V523" s="22" t="n">
        <f aca="false">YEAR(Q523)</f>
        <v>2026</v>
      </c>
      <c r="W523" s="20"/>
      <c r="X523" s="8" t="n">
        <f aca="false">IFERROR(IF(M523="Abs",0,IF(ROUND((D523-C523+E523-F523)*1440,0)&lt;=1,0,D523-C523+E523-F523)),0)</f>
        <v>0</v>
      </c>
      <c r="Y523" s="6" t="str">
        <f aca="false">IFERROR(VLOOKUP($B523,Agents!$A:$D,3,0),"-")</f>
        <v>OUBRAHIM Mohammed</v>
      </c>
      <c r="Z523" s="6" t="str">
        <f aca="false">IFERROR(VLOOKUP($B523,Agents!$A:$D,4,0),"-")</f>
        <v>Credit Mutuel</v>
      </c>
      <c r="AA523" s="18" t="s">
        <v>96</v>
      </c>
      <c r="AB523" s="8" t="str">
        <f aca="false">IF(AND(D523="Congé",F523="Congé"),0.333333333333333,IF(OR(AND(D523="Congé",F523&lt;&gt;"Congé"),(AND(F523="Congé",D523&lt;&gt;"Congé"))),0.166666666666667,""))</f>
        <v/>
      </c>
      <c r="AC523" s="8" t="str">
        <f aca="false">IF(AND(D523="Congé sans solde",F523="Congé sans solde"),0.333333333333333,IF(OR(AND(D523="Congé sans solde",F523&lt;&gt;"Congé sans solde"),(AND(F523="Congé sans solde",D523&lt;&gt;"Congé sans solde"))),0.166666666666667,""))</f>
        <v/>
      </c>
      <c r="AD523" s="8" t="str">
        <f aca="false">IF(AND(D523="Congé spécial",F523="Congé spécial"),0.333333333333333,IF(OR(AND(D523="Congé spécial",F523&lt;&gt;"Congé spécial"),AND(F523="Congé spécial",D523&lt;&gt;"Congé spécial")),0.166666666666667,""))</f>
        <v/>
      </c>
      <c r="AE523" s="8" t="str">
        <f aca="false">IF(AND(D523="Férié",F523="Férié"),0.333333333333333,IF(OR(AND(D523="Férié",F523&lt;&gt;"Férié"),(AND(F523="Férié",D523&lt;&gt;"Férié"))),0.166666666666667,""))</f>
        <v/>
      </c>
      <c r="AF523" s="18"/>
      <c r="AG523" s="18"/>
    </row>
    <row r="524" customFormat="false" ht="15" hidden="false" customHeight="false" outlineLevel="0" collapsed="false">
      <c r="A524" s="6" t="str">
        <f aca="false">YEAR(Q524-WEEKDAY(Q524,2)+4)&amp;"-S"&amp;TEXT(WEEKNUM(Q524,21),"00")</f>
        <v>2026-S14</v>
      </c>
      <c r="B524" s="18" t="s">
        <v>72</v>
      </c>
      <c r="C524" s="19" t="n">
        <v>0.33125</v>
      </c>
      <c r="D524" s="19" t="n">
        <v>0.333333333333333</v>
      </c>
      <c r="E524" s="19" t="n">
        <v>0.75</v>
      </c>
      <c r="F524" s="19" t="n">
        <v>0.75</v>
      </c>
      <c r="G524" s="20"/>
      <c r="H524" s="20"/>
      <c r="I524" s="8" t="str">
        <f aca="false">IF(IF(OR(C524="",D524="Congé",D524="OFF",D524="Congé spécial"),"",IF(D524&gt;F524,D524-C524,IF(C524-D524&lt;0,0,C524-D524)))&lt;0.00068287037037037,"",IF(OR(D524="Congé",D524="OFF",C524="",D524="Congé spécial"),"",IF(D524&gt;F524,D524-C524,IF(C524-D524&lt;0,0,C524-D524))))</f>
        <v/>
      </c>
      <c r="J524" s="20"/>
      <c r="K524" s="8" t="n">
        <f aca="false">IF(SUM(H524:J524)&lt;0.00068287037037037,0,SUM(H524:J524))</f>
        <v>0</v>
      </c>
      <c r="L524" s="8" t="n">
        <f aca="false">IF(OR(F524="Congé",F524="OFF",M524="Abs",F524="Congé sans solde",F524="Férié",F524="Congé spécial",D524="Congé spécial"),0,IF(F524-E524&lt;0,0,IF(F524-E524&lt;=0.00068287037037037,0,F524-E524)))</f>
        <v>0</v>
      </c>
      <c r="M524" s="6" t="n">
        <f aca="false">IF(AND(O524&lt;&gt;0,C524=""),"Abs",0)</f>
        <v>0</v>
      </c>
      <c r="N524" s="8" t="n">
        <f aca="false">IFERROR(IF(OR(D524="OFF",D524="Congé",M524="Abs",D524="Congé sans solde",D524="Férié"),"",IF(O524-K524-L524&gt;O524,O524,IF(O524-K524-L524&lt;0,"",O524-K524-L524))),"")</f>
        <v>0.375</v>
      </c>
      <c r="O524" s="8" t="n">
        <f aca="false">IF(AG524="2H Pause déjeuner",IF(F524-D524-0.0833333333333333&lt;0,F524-D524-0.0833333333333333+1,F524-D524-0.0833333333333333),IF(OR(AND(F524="OFF",D524="OFF"),AND(F524="Congé",D524="Congé"),AND(F524="Congé sans solde",D524="Congé sans solde"),AND(F524="Congé spécial",D524="Congé spécial"),AND(F524="Férié",D524="Férié"),AND(F524="OFF",D524="Congé"),AND(F524="OFF",D524="Congé sans solde"),AND(F524="OFF",D524="Congé spécial"),AND(F524="OFF",D524="Férié"),AND(F524="Congé",D524="OFF"),AND(F524="Congé",D524="Congé sans solde"),AND(F524="Congé",D524="Congé spécial"),AND(F524="Congé",D524="Férié"),AND(F524="Congé sans solde",D524="OFF"),AND(F524="Congé sans solde",D524="Congé"),AND(F524="Congé sans solde",D524="Congé spécial"),AND(F524="Congé sans solde",D524="Férié"),AND(F524="Congé spécial",D524="OFF"),AND(F524="Congé spécial",D524="Congé"),AND(F524="Congé spécial",D524="Congé sans solde"),AND(F524="Congé spécial",D524="Férié"),AND(F524="Férié",D524="OFF"),AND(F524="Férié",D524="Congé"),AND(F524="Férié",D524="Congé sans solde"),AND(F524="Férié",D524="Congé spécial")),0,IF(OR(F524="OFF",F524="Congé",F524="Congé spécial",F524="Congé sans solde",D524="OFF",D524="Congé",D524="Congé spécial",D524="Congé sans solde"),0.208333333333334,IF(AND(AG524="",F524-D524&lt;0),("24:00:00"-D524)+("00:00:00"+F524)-0.0416666666666667,IF(AND(OR(AG524="Allaitement",AG524="Sans déjeuner"),F524-D524&lt;0),("24:00:00"-D524)+("00:00:00"+F524),IF(AND(AG524="",F524-D524&gt;0.166666666666667),F524-D524-0.0416666666666667,IF(AND(OR(AG524="Allaitement",AG524="Sans déjeuner"),F524-D524&gt;0.166666666666667),F524-D524,F524-D524)))))))</f>
        <v>0.375</v>
      </c>
      <c r="P524" s="6" t="str">
        <f aca="false">IFERROR(VLOOKUP($B524,Agents!$A:$D,2,0),"-")</f>
        <v>Accessibilité</v>
      </c>
      <c r="Q524" s="21" t="n">
        <v>46112</v>
      </c>
      <c r="R524" s="8" t="n">
        <f aca="false">IF(M524="Abs",O524,0)</f>
        <v>0</v>
      </c>
      <c r="S524" s="8" t="n">
        <f aca="false">SUM(R524,L524,I524,J524,W524,H524)</f>
        <v>0</v>
      </c>
      <c r="T524" s="6" t="str">
        <f aca="false">"Sem - "&amp;WEEKNUM(Q524,21)</f>
        <v>Sem - 14</v>
      </c>
      <c r="U524" s="6" t="str">
        <f aca="false">CHOOSE(MONTH(Q524),"Janvier","Février","Mars","Avril","Mai","Juin","Juillet","Août","Septembre","Octobre","Novembre","Décembre")</f>
        <v>Mars</v>
      </c>
      <c r="V524" s="22" t="n">
        <f aca="false">YEAR(Q524)</f>
        <v>2026</v>
      </c>
      <c r="W524" s="20"/>
      <c r="X524" s="8" t="n">
        <f aca="false">IFERROR(IF(M524="Abs",0,IF(ROUND((D524-C524+E524-F524)*1440,0)&lt;=1,0,D524-C524+E524-F524)),0)</f>
        <v>0.00208333333333333</v>
      </c>
      <c r="Y524" s="6" t="str">
        <f aca="false">IFERROR(VLOOKUP($B524,Agents!$A:$D,3,0),"-")</f>
        <v>OUBRAHIM Mohammed</v>
      </c>
      <c r="Z524" s="6" t="str">
        <f aca="false">IFERROR(VLOOKUP($B524,Agents!$A:$D,4,0),"-")</f>
        <v>Credit Mutuel</v>
      </c>
      <c r="AA524" s="18" t="s">
        <v>96</v>
      </c>
      <c r="AB524" s="8" t="str">
        <f aca="false">IF(AND(D524="Congé",F524="Congé"),0.333333333333333,IF(OR(AND(D524="Congé",F524&lt;&gt;"Congé"),(AND(F524="Congé",D524&lt;&gt;"Congé"))),0.166666666666667,""))</f>
        <v/>
      </c>
      <c r="AC524" s="8" t="str">
        <f aca="false">IF(AND(D524="Congé sans solde",F524="Congé sans solde"),0.333333333333333,IF(OR(AND(D524="Congé sans solde",F524&lt;&gt;"Congé sans solde"),(AND(F524="Congé sans solde",D524&lt;&gt;"Congé sans solde"))),0.166666666666667,""))</f>
        <v/>
      </c>
      <c r="AD524" s="8" t="str">
        <f aca="false">IF(AND(D524="Congé spécial",F524="Congé spécial"),0.333333333333333,IF(OR(AND(D524="Congé spécial",F524&lt;&gt;"Congé spécial"),AND(F524="Congé spécial",D524&lt;&gt;"Congé spécial")),0.166666666666667,""))</f>
        <v/>
      </c>
      <c r="AE524" s="8" t="str">
        <f aca="false">IF(AND(D524="Férié",F524="Férié"),0.333333333333333,IF(OR(AND(D524="Férié",F524&lt;&gt;"Férié"),(AND(F524="Férié",D524&lt;&gt;"Férié"))),0.166666666666667,""))</f>
        <v/>
      </c>
      <c r="AF524" s="18"/>
      <c r="AG524" s="18"/>
    </row>
    <row r="525" customFormat="false" ht="15" hidden="false" customHeight="false" outlineLevel="0" collapsed="false">
      <c r="A525" s="6" t="str">
        <f aca="false">YEAR(Q525-WEEKDAY(Q525,2)+4)&amp;"-S"&amp;TEXT(WEEKNUM(Q525,21),"00")</f>
        <v>2026-S14</v>
      </c>
      <c r="B525" s="18" t="s">
        <v>73</v>
      </c>
      <c r="C525" s="19" t="n">
        <v>0.330555555555556</v>
      </c>
      <c r="D525" s="19" t="n">
        <v>0.333333333333333</v>
      </c>
      <c r="E525" s="19" t="n">
        <v>0.75</v>
      </c>
      <c r="F525" s="19" t="n">
        <v>0.75</v>
      </c>
      <c r="G525" s="20"/>
      <c r="H525" s="20"/>
      <c r="I525" s="8" t="str">
        <f aca="false">IF(IF(OR(C525="",D525="Congé",D525="OFF",D525="Congé spécial"),"",IF(D525&gt;F525,D525-C525,IF(C525-D525&lt;0,0,C525-D525)))&lt;0.00068287037037037,"",IF(OR(D525="Congé",D525="OFF",C525="",D525="Congé spécial"),"",IF(D525&gt;F525,D525-C525,IF(C525-D525&lt;0,0,C525-D525))))</f>
        <v/>
      </c>
      <c r="J525" s="20"/>
      <c r="K525" s="8" t="n">
        <f aca="false">IF(SUM(H525:J525)&lt;0.00068287037037037,0,SUM(H525:J525))</f>
        <v>0</v>
      </c>
      <c r="L525" s="8" t="n">
        <f aca="false">IF(OR(F525="Congé",F525="OFF",M525="Abs",F525="Congé sans solde",F525="Férié",F525="Congé spécial",D525="Congé spécial"),0,IF(F525-E525&lt;0,0,IF(F525-E525&lt;=0.00068287037037037,0,F525-E525)))</f>
        <v>0</v>
      </c>
      <c r="M525" s="6" t="n">
        <f aca="false">IF(AND(O525&lt;&gt;0,C525=""),"Abs",0)</f>
        <v>0</v>
      </c>
      <c r="N525" s="8" t="n">
        <f aca="false">IFERROR(IF(OR(D525="OFF",D525="Congé",M525="Abs",D525="Congé sans solde",D525="Férié"),"",IF(O525-K525-L525&gt;O525,O525,IF(O525-K525-L525&lt;0,"",O525-K525-L525))),"")</f>
        <v>0.375</v>
      </c>
      <c r="O525" s="8" t="n">
        <f aca="false">IF(AG525="2H Pause déjeuner",IF(F525-D525-0.0833333333333333&lt;0,F525-D525-0.0833333333333333+1,F525-D525-0.0833333333333333),IF(OR(AND(F525="OFF",D525="OFF"),AND(F525="Congé",D525="Congé"),AND(F525="Congé sans solde",D525="Congé sans solde"),AND(F525="Congé spécial",D525="Congé spécial"),AND(F525="Férié",D525="Férié"),AND(F525="OFF",D525="Congé"),AND(F525="OFF",D525="Congé sans solde"),AND(F525="OFF",D525="Congé spécial"),AND(F525="OFF",D525="Férié"),AND(F525="Congé",D525="OFF"),AND(F525="Congé",D525="Congé sans solde"),AND(F525="Congé",D525="Congé spécial"),AND(F525="Congé",D525="Férié"),AND(F525="Congé sans solde",D525="OFF"),AND(F525="Congé sans solde",D525="Congé"),AND(F525="Congé sans solde",D525="Congé spécial"),AND(F525="Congé sans solde",D525="Férié"),AND(F525="Congé spécial",D525="OFF"),AND(F525="Congé spécial",D525="Congé"),AND(F525="Congé spécial",D525="Congé sans solde"),AND(F525="Congé spécial",D525="Férié"),AND(F525="Férié",D525="OFF"),AND(F525="Férié",D525="Congé"),AND(F525="Férié",D525="Congé sans solde"),AND(F525="Férié",D525="Congé spécial")),0,IF(OR(F525="OFF",F525="Congé",F525="Congé spécial",F525="Congé sans solde",D525="OFF",D525="Congé",D525="Congé spécial",D525="Congé sans solde"),0.208333333333334,IF(AND(AG525="",F525-D525&lt;0),("24:00:00"-D525)+("00:00:00"+F525)-0.0416666666666667,IF(AND(OR(AG525="Allaitement",AG525="Sans déjeuner"),F525-D525&lt;0),("24:00:00"-D525)+("00:00:00"+F525),IF(AND(AG525="",F525-D525&gt;0.166666666666667),F525-D525-0.0416666666666667,IF(AND(OR(AG525="Allaitement",AG525="Sans déjeuner"),F525-D525&gt;0.166666666666667),F525-D525,F525-D525)))))))</f>
        <v>0.375</v>
      </c>
      <c r="P525" s="6" t="str">
        <f aca="false">IFERROR(VLOOKUP($B525,Agents!$A:$D,2,0),"-")</f>
        <v>Accessibilité</v>
      </c>
      <c r="Q525" s="21" t="n">
        <v>46112</v>
      </c>
      <c r="R525" s="8" t="n">
        <f aca="false">IF(M525="Abs",O525,0)</f>
        <v>0</v>
      </c>
      <c r="S525" s="8" t="n">
        <f aca="false">SUM(R525,L525,I525,J525,W525,H525)</f>
        <v>0</v>
      </c>
      <c r="T525" s="6" t="str">
        <f aca="false">"Sem - "&amp;WEEKNUM(Q525,21)</f>
        <v>Sem - 14</v>
      </c>
      <c r="U525" s="6" t="str">
        <f aca="false">CHOOSE(MONTH(Q525),"Janvier","Février","Mars","Avril","Mai","Juin","Juillet","Août","Septembre","Octobre","Novembre","Décembre")</f>
        <v>Mars</v>
      </c>
      <c r="V525" s="22" t="n">
        <f aca="false">YEAR(Q525)</f>
        <v>2026</v>
      </c>
      <c r="W525" s="20"/>
      <c r="X525" s="8" t="n">
        <f aca="false">IFERROR(IF(M525="Abs",0,IF(ROUND((D525-C525+E525-F525)*1440,0)&lt;=1,0,D525-C525+E525-F525)),0)</f>
        <v>0.00277777777777778</v>
      </c>
      <c r="Y525" s="6" t="str">
        <f aca="false">IFERROR(VLOOKUP($B525,Agents!$A:$D,3,0),"-")</f>
        <v>OUBRAHIM Mohammed</v>
      </c>
      <c r="Z525" s="6" t="str">
        <f aca="false">IFERROR(VLOOKUP($B525,Agents!$A:$D,4,0),"-")</f>
        <v>Credit Mutuel</v>
      </c>
      <c r="AA525" s="18" t="s">
        <v>96</v>
      </c>
      <c r="AB525" s="8" t="str">
        <f aca="false">IF(AND(D525="Congé",F525="Congé"),0.333333333333333,IF(OR(AND(D525="Congé",F525&lt;&gt;"Congé"),(AND(F525="Congé",D525&lt;&gt;"Congé"))),0.166666666666667,""))</f>
        <v/>
      </c>
      <c r="AC525" s="8" t="str">
        <f aca="false">IF(AND(D525="Congé sans solde",F525="Congé sans solde"),0.333333333333333,IF(OR(AND(D525="Congé sans solde",F525&lt;&gt;"Congé sans solde"),(AND(F525="Congé sans solde",D525&lt;&gt;"Congé sans solde"))),0.166666666666667,""))</f>
        <v/>
      </c>
      <c r="AD525" s="8" t="str">
        <f aca="false">IF(AND(D525="Congé spécial",F525="Congé spécial"),0.333333333333333,IF(OR(AND(D525="Congé spécial",F525&lt;&gt;"Congé spécial"),AND(F525="Congé spécial",D525&lt;&gt;"Congé spécial")),0.166666666666667,""))</f>
        <v/>
      </c>
      <c r="AE525" s="8" t="str">
        <f aca="false">IF(AND(D525="Férié",F525="Férié"),0.333333333333333,IF(OR(AND(D525="Férié",F525&lt;&gt;"Férié"),(AND(F525="Férié",D525&lt;&gt;"Férié"))),0.166666666666667,""))</f>
        <v/>
      </c>
      <c r="AF525" s="18"/>
      <c r="AG525" s="18"/>
    </row>
    <row r="526" customFormat="false" ht="15" hidden="false" customHeight="false" outlineLevel="0" collapsed="false">
      <c r="A526" s="6" t="str">
        <f aca="false">YEAR(Q526-WEEKDAY(Q526,2)+4)&amp;"-S"&amp;TEXT(WEEKNUM(Q526,21),"00")</f>
        <v>2026-S14</v>
      </c>
      <c r="B526" s="18" t="s">
        <v>69</v>
      </c>
      <c r="C526" s="19" t="n">
        <v>0.332638888888889</v>
      </c>
      <c r="D526" s="19" t="n">
        <v>0.333333333333333</v>
      </c>
      <c r="E526" s="19" t="n">
        <v>0.75</v>
      </c>
      <c r="F526" s="19" t="n">
        <v>0.75</v>
      </c>
      <c r="G526" s="20"/>
      <c r="H526" s="20"/>
      <c r="I526" s="8" t="str">
        <f aca="false">IF(IF(OR(C526="",D526="Congé",D526="OFF",D526="Congé spécial"),"",IF(D526&gt;F526,D526-C526,IF(C526-D526&lt;0,0,C526-D526)))&lt;0.00068287037037037,"",IF(OR(D526="Congé",D526="OFF",C526="",D526="Congé spécial"),"",IF(D526&gt;F526,D526-C526,IF(C526-D526&lt;0,0,C526-D526))))</f>
        <v/>
      </c>
      <c r="J526" s="20"/>
      <c r="K526" s="8" t="n">
        <f aca="false">IF(SUM(H526:J526)&lt;0.00068287037037037,0,SUM(H526:J526))</f>
        <v>0</v>
      </c>
      <c r="L526" s="8" t="n">
        <f aca="false">IF(OR(F526="Congé",F526="OFF",M526="Abs",F526="Congé sans solde",F526="Férié",F526="Congé spécial",D526="Congé spécial"),0,IF(F526-E526&lt;0,0,IF(F526-E526&lt;=0.00068287037037037,0,F526-E526)))</f>
        <v>0</v>
      </c>
      <c r="M526" s="6" t="n">
        <f aca="false">IF(AND(O526&lt;&gt;0,C526=""),"Abs",0)</f>
        <v>0</v>
      </c>
      <c r="N526" s="8" t="n">
        <f aca="false">IFERROR(IF(OR(D526="OFF",D526="Congé",M526="Abs",D526="Congé sans solde",D526="Férié"),"",IF(O526-K526-L526&gt;O526,O526,IF(O526-K526-L526&lt;0,"",O526-K526-L526))),"")</f>
        <v>0.375</v>
      </c>
      <c r="O526" s="8" t="n">
        <f aca="false">IF(AG526="2H Pause déjeuner",IF(F526-D526-0.0833333333333333&lt;0,F526-D526-0.0833333333333333+1,F526-D526-0.0833333333333333),IF(OR(AND(F526="OFF",D526="OFF"),AND(F526="Congé",D526="Congé"),AND(F526="Congé sans solde",D526="Congé sans solde"),AND(F526="Congé spécial",D526="Congé spécial"),AND(F526="Férié",D526="Férié"),AND(F526="OFF",D526="Congé"),AND(F526="OFF",D526="Congé sans solde"),AND(F526="OFF",D526="Congé spécial"),AND(F526="OFF",D526="Férié"),AND(F526="Congé",D526="OFF"),AND(F526="Congé",D526="Congé sans solde"),AND(F526="Congé",D526="Congé spécial"),AND(F526="Congé",D526="Férié"),AND(F526="Congé sans solde",D526="OFF"),AND(F526="Congé sans solde",D526="Congé"),AND(F526="Congé sans solde",D526="Congé spécial"),AND(F526="Congé sans solde",D526="Férié"),AND(F526="Congé spécial",D526="OFF"),AND(F526="Congé spécial",D526="Congé"),AND(F526="Congé spécial",D526="Congé sans solde"),AND(F526="Congé spécial",D526="Férié"),AND(F526="Férié",D526="OFF"),AND(F526="Férié",D526="Congé"),AND(F526="Férié",D526="Congé sans solde"),AND(F526="Férié",D526="Congé spécial")),0,IF(OR(F526="OFF",F526="Congé",F526="Congé spécial",F526="Congé sans solde",D526="OFF",D526="Congé",D526="Congé spécial",D526="Congé sans solde"),0.208333333333334,IF(AND(AG526="",F526-D526&lt;0),("24:00:00"-D526)+("00:00:00"+F526)-0.0416666666666667,IF(AND(OR(AG526="Allaitement",AG526="Sans déjeuner"),F526-D526&lt;0),("24:00:00"-D526)+("00:00:00"+F526),IF(AND(AG526="",F526-D526&gt;0.166666666666667),F526-D526-0.0416666666666667,IF(AND(OR(AG526="Allaitement",AG526="Sans déjeuner"),F526-D526&gt;0.166666666666667),F526-D526,F526-D526)))))))</f>
        <v>0.375</v>
      </c>
      <c r="P526" s="6" t="str">
        <f aca="false">IFERROR(VLOOKUP($B526,Agents!$A:$D,2,0),"-")</f>
        <v>Accessibilité</v>
      </c>
      <c r="Q526" s="21" t="n">
        <v>46113</v>
      </c>
      <c r="R526" s="8" t="n">
        <f aca="false">IF(M526="Abs",O526,0)</f>
        <v>0</v>
      </c>
      <c r="S526" s="8" t="n">
        <f aca="false">SUM(R526,L526,I526,J526,W526,H526)</f>
        <v>0</v>
      </c>
      <c r="T526" s="6" t="str">
        <f aca="false">"Sem - "&amp;WEEKNUM(Q526,21)</f>
        <v>Sem - 14</v>
      </c>
      <c r="U526" s="6" t="str">
        <f aca="false">CHOOSE(MONTH(Q526),"Janvier","Février","Mars","Avril","Mai","Juin","Juillet","Août","Septembre","Octobre","Novembre","Décembre")</f>
        <v>Avril</v>
      </c>
      <c r="V526" s="22" t="n">
        <f aca="false">YEAR(Q526)</f>
        <v>2026</v>
      </c>
      <c r="W526" s="20"/>
      <c r="X526" s="8" t="n">
        <f aca="false">IFERROR(IF(M526="Abs",0,IF(ROUND((D526-C526+E526-F526)*1440,0)&lt;=1,0,D526-C526+E526-F526)),0)</f>
        <v>0</v>
      </c>
      <c r="Y526" s="6" t="str">
        <f aca="false">IFERROR(VLOOKUP($B526,Agents!$A:$D,3,0),"-")</f>
        <v>OUBRAHIM Mohammed</v>
      </c>
      <c r="Z526" s="6" t="str">
        <f aca="false">IFERROR(VLOOKUP($B526,Agents!$A:$D,4,0),"-")</f>
        <v>Credit Mutuel</v>
      </c>
      <c r="AA526" s="18" t="s">
        <v>96</v>
      </c>
      <c r="AB526" s="8" t="str">
        <f aca="false">IF(AND(D526="Congé",F526="Congé"),0.333333333333333,IF(OR(AND(D526="Congé",F526&lt;&gt;"Congé"),(AND(F526="Congé",D526&lt;&gt;"Congé"))),0.166666666666667,""))</f>
        <v/>
      </c>
      <c r="AC526" s="8" t="str">
        <f aca="false">IF(AND(D526="Congé sans solde",F526="Congé sans solde"),0.333333333333333,IF(OR(AND(D526="Congé sans solde",F526&lt;&gt;"Congé sans solde"),(AND(F526="Congé sans solde",D526&lt;&gt;"Congé sans solde"))),0.166666666666667,""))</f>
        <v/>
      </c>
      <c r="AD526" s="8" t="str">
        <f aca="false">IF(AND(D526="Congé spécial",F526="Congé spécial"),0.333333333333333,IF(OR(AND(D526="Congé spécial",F526&lt;&gt;"Congé spécial"),AND(F526="Congé spécial",D526&lt;&gt;"Congé spécial")),0.166666666666667,""))</f>
        <v/>
      </c>
      <c r="AE526" s="8" t="str">
        <f aca="false">IF(AND(D526="Férié",F526="Férié"),0.333333333333333,IF(OR(AND(D526="Férié",F526&lt;&gt;"Férié"),(AND(F526="Férié",D526&lt;&gt;"Férié"))),0.166666666666667,""))</f>
        <v/>
      </c>
      <c r="AF526" s="18"/>
      <c r="AG526" s="18"/>
    </row>
    <row r="527" customFormat="false" ht="15" hidden="false" customHeight="false" outlineLevel="0" collapsed="false">
      <c r="A527" s="6" t="str">
        <f aca="false">YEAR(Q527-WEEKDAY(Q527,2)+4)&amp;"-S"&amp;TEXT(WEEKNUM(Q527,21),"00")</f>
        <v>2026-S14</v>
      </c>
      <c r="B527" s="18" t="s">
        <v>71</v>
      </c>
      <c r="C527" s="19" t="n">
        <v>0.332638888888889</v>
      </c>
      <c r="D527" s="19" t="n">
        <v>0.333333333333333</v>
      </c>
      <c r="E527" s="19" t="n">
        <v>0.75</v>
      </c>
      <c r="F527" s="19" t="n">
        <v>0.75</v>
      </c>
      <c r="G527" s="20"/>
      <c r="H527" s="20"/>
      <c r="I527" s="8" t="str">
        <f aca="false">IF(IF(OR(C527="",D527="Congé",D527="OFF",D527="Congé spécial"),"",IF(D527&gt;F527,D527-C527,IF(C527-D527&lt;0,0,C527-D527)))&lt;0.00068287037037037,"",IF(OR(D527="Congé",D527="OFF",C527="",D527="Congé spécial"),"",IF(D527&gt;F527,D527-C527,IF(C527-D527&lt;0,0,C527-D527))))</f>
        <v/>
      </c>
      <c r="J527" s="20"/>
      <c r="K527" s="8" t="n">
        <f aca="false">IF(SUM(H527:J527)&lt;0.00068287037037037,0,SUM(H527:J527))</f>
        <v>0</v>
      </c>
      <c r="L527" s="8" t="n">
        <f aca="false">IF(OR(F527="Congé",F527="OFF",M527="Abs",F527="Congé sans solde",F527="Férié",F527="Congé spécial",D527="Congé spécial"),0,IF(F527-E527&lt;0,0,IF(F527-E527&lt;=0.00068287037037037,0,F527-E527)))</f>
        <v>0</v>
      </c>
      <c r="M527" s="6" t="n">
        <f aca="false">IF(AND(O527&lt;&gt;0,C527=""),"Abs",0)</f>
        <v>0</v>
      </c>
      <c r="N527" s="8" t="n">
        <f aca="false">IFERROR(IF(OR(D527="OFF",D527="Congé",M527="Abs",D527="Congé sans solde",D527="Férié"),"",IF(O527-K527-L527&gt;O527,O527,IF(O527-K527-L527&lt;0,"",O527-K527-L527))),"")</f>
        <v>0.375</v>
      </c>
      <c r="O527" s="8" t="n">
        <f aca="false">IF(AG527="2H Pause déjeuner",IF(F527-D527-0.0833333333333333&lt;0,F527-D527-0.0833333333333333+1,F527-D527-0.0833333333333333),IF(OR(AND(F527="OFF",D527="OFF"),AND(F527="Congé",D527="Congé"),AND(F527="Congé sans solde",D527="Congé sans solde"),AND(F527="Congé spécial",D527="Congé spécial"),AND(F527="Férié",D527="Férié"),AND(F527="OFF",D527="Congé"),AND(F527="OFF",D527="Congé sans solde"),AND(F527="OFF",D527="Congé spécial"),AND(F527="OFF",D527="Férié"),AND(F527="Congé",D527="OFF"),AND(F527="Congé",D527="Congé sans solde"),AND(F527="Congé",D527="Congé spécial"),AND(F527="Congé",D527="Férié"),AND(F527="Congé sans solde",D527="OFF"),AND(F527="Congé sans solde",D527="Congé"),AND(F527="Congé sans solde",D527="Congé spécial"),AND(F527="Congé sans solde",D527="Férié"),AND(F527="Congé spécial",D527="OFF"),AND(F527="Congé spécial",D527="Congé"),AND(F527="Congé spécial",D527="Congé sans solde"),AND(F527="Congé spécial",D527="Férié"),AND(F527="Férié",D527="OFF"),AND(F527="Férié",D527="Congé"),AND(F527="Férié",D527="Congé sans solde"),AND(F527="Férié",D527="Congé spécial")),0,IF(OR(F527="OFF",F527="Congé",F527="Congé spécial",F527="Congé sans solde",D527="OFF",D527="Congé",D527="Congé spécial",D527="Congé sans solde"),0.208333333333334,IF(AND(AG527="",F527-D527&lt;0),("24:00:00"-D527)+("00:00:00"+F527)-0.0416666666666667,IF(AND(OR(AG527="Allaitement",AG527="Sans déjeuner"),F527-D527&lt;0),("24:00:00"-D527)+("00:00:00"+F527),IF(AND(AG527="",F527-D527&gt;0.166666666666667),F527-D527-0.0416666666666667,IF(AND(OR(AG527="Allaitement",AG527="Sans déjeuner"),F527-D527&gt;0.166666666666667),F527-D527,F527-D527)))))))</f>
        <v>0.375</v>
      </c>
      <c r="P527" s="6" t="str">
        <f aca="false">IFERROR(VLOOKUP($B527,Agents!$A:$D,2,0),"-")</f>
        <v>Accessibilité</v>
      </c>
      <c r="Q527" s="21" t="n">
        <v>46113</v>
      </c>
      <c r="R527" s="8" t="n">
        <f aca="false">IF(M527="Abs",O527,0)</f>
        <v>0</v>
      </c>
      <c r="S527" s="8" t="n">
        <f aca="false">SUM(R527,L527,I527,J527,W527,H527)</f>
        <v>0</v>
      </c>
      <c r="T527" s="6" t="str">
        <f aca="false">"Sem - "&amp;WEEKNUM(Q527,21)</f>
        <v>Sem - 14</v>
      </c>
      <c r="U527" s="6" t="str">
        <f aca="false">CHOOSE(MONTH(Q527),"Janvier","Février","Mars","Avril","Mai","Juin","Juillet","Août","Septembre","Octobre","Novembre","Décembre")</f>
        <v>Avril</v>
      </c>
      <c r="V527" s="22" t="n">
        <f aca="false">YEAR(Q527)</f>
        <v>2026</v>
      </c>
      <c r="W527" s="20"/>
      <c r="X527" s="8" t="n">
        <f aca="false">IFERROR(IF(M527="Abs",0,IF(ROUND((D527-C527+E527-F527)*1440,0)&lt;=1,0,D527-C527+E527-F527)),0)</f>
        <v>0</v>
      </c>
      <c r="Y527" s="6" t="str">
        <f aca="false">IFERROR(VLOOKUP($B527,Agents!$A:$D,3,0),"-")</f>
        <v>OUBRAHIM Mohammed</v>
      </c>
      <c r="Z527" s="6" t="str">
        <f aca="false">IFERROR(VLOOKUP($B527,Agents!$A:$D,4,0),"-")</f>
        <v>Credit Mutuel</v>
      </c>
      <c r="AA527" s="18" t="s">
        <v>96</v>
      </c>
      <c r="AB527" s="8" t="str">
        <f aca="false">IF(AND(D527="Congé",F527="Congé"),0.333333333333333,IF(OR(AND(D527="Congé",F527&lt;&gt;"Congé"),(AND(F527="Congé",D527&lt;&gt;"Congé"))),0.166666666666667,""))</f>
        <v/>
      </c>
      <c r="AC527" s="8" t="str">
        <f aca="false">IF(AND(D527="Congé sans solde",F527="Congé sans solde"),0.333333333333333,IF(OR(AND(D527="Congé sans solde",F527&lt;&gt;"Congé sans solde"),(AND(F527="Congé sans solde",D527&lt;&gt;"Congé sans solde"))),0.166666666666667,""))</f>
        <v/>
      </c>
      <c r="AD527" s="8" t="str">
        <f aca="false">IF(AND(D527="Congé spécial",F527="Congé spécial"),0.333333333333333,IF(OR(AND(D527="Congé spécial",F527&lt;&gt;"Congé spécial"),AND(F527="Congé spécial",D527&lt;&gt;"Congé spécial")),0.166666666666667,""))</f>
        <v/>
      </c>
      <c r="AE527" s="8" t="str">
        <f aca="false">IF(AND(D527="Férié",F527="Férié"),0.333333333333333,IF(OR(AND(D527="Férié",F527&lt;&gt;"Férié"),(AND(F527="Férié",D527&lt;&gt;"Férié"))),0.166666666666667,""))</f>
        <v/>
      </c>
      <c r="AF527" s="18"/>
      <c r="AG527" s="18"/>
    </row>
    <row r="528" customFormat="false" ht="15" hidden="false" customHeight="false" outlineLevel="0" collapsed="false">
      <c r="A528" s="6" t="str">
        <f aca="false">YEAR(Q528-WEEKDAY(Q528,2)+4)&amp;"-S"&amp;TEXT(WEEKNUM(Q528,21),"00")</f>
        <v>2026-S14</v>
      </c>
      <c r="B528" s="18" t="s">
        <v>72</v>
      </c>
      <c r="C528" s="19" t="n">
        <v>0.33125</v>
      </c>
      <c r="D528" s="19" t="n">
        <v>0.333333333333333</v>
      </c>
      <c r="E528" s="19" t="n">
        <v>0.75</v>
      </c>
      <c r="F528" s="19" t="n">
        <v>0.75</v>
      </c>
      <c r="G528" s="20"/>
      <c r="H528" s="20"/>
      <c r="I528" s="8" t="str">
        <f aca="false">IF(IF(OR(C528="",D528="Congé",D528="OFF",D528="Congé spécial"),"",IF(D528&gt;F528,D528-C528,IF(C528-D528&lt;0,0,C528-D528)))&lt;0.00068287037037037,"",IF(OR(D528="Congé",D528="OFF",C528="",D528="Congé spécial"),"",IF(D528&gt;F528,D528-C528,IF(C528-D528&lt;0,0,C528-D528))))</f>
        <v/>
      </c>
      <c r="J528" s="20"/>
      <c r="K528" s="8" t="n">
        <f aca="false">IF(SUM(H528:J528)&lt;0.00068287037037037,0,SUM(H528:J528))</f>
        <v>0</v>
      </c>
      <c r="L528" s="8" t="n">
        <f aca="false">IF(OR(F528="Congé",F528="OFF",M528="Abs",F528="Congé sans solde",F528="Férié",F528="Congé spécial",D528="Congé spécial"),0,IF(F528-E528&lt;0,0,IF(F528-E528&lt;=0.00068287037037037,0,F528-E528)))</f>
        <v>0</v>
      </c>
      <c r="M528" s="6" t="n">
        <f aca="false">IF(AND(O528&lt;&gt;0,C528=""),"Abs",0)</f>
        <v>0</v>
      </c>
      <c r="N528" s="8" t="n">
        <f aca="false">IFERROR(IF(OR(D528="OFF",D528="Congé",M528="Abs",D528="Congé sans solde",D528="Férié"),"",IF(O528-K528-L528&gt;O528,O528,IF(O528-K528-L528&lt;0,"",O528-K528-L528))),"")</f>
        <v>0.375</v>
      </c>
      <c r="O528" s="8" t="n">
        <f aca="false">IF(AG528="2H Pause déjeuner",IF(F528-D528-0.0833333333333333&lt;0,F528-D528-0.0833333333333333+1,F528-D528-0.0833333333333333),IF(OR(AND(F528="OFF",D528="OFF"),AND(F528="Congé",D528="Congé"),AND(F528="Congé sans solde",D528="Congé sans solde"),AND(F528="Congé spécial",D528="Congé spécial"),AND(F528="Férié",D528="Férié"),AND(F528="OFF",D528="Congé"),AND(F528="OFF",D528="Congé sans solde"),AND(F528="OFF",D528="Congé spécial"),AND(F528="OFF",D528="Férié"),AND(F528="Congé",D528="OFF"),AND(F528="Congé",D528="Congé sans solde"),AND(F528="Congé",D528="Congé spécial"),AND(F528="Congé",D528="Férié"),AND(F528="Congé sans solde",D528="OFF"),AND(F528="Congé sans solde",D528="Congé"),AND(F528="Congé sans solde",D528="Congé spécial"),AND(F528="Congé sans solde",D528="Férié"),AND(F528="Congé spécial",D528="OFF"),AND(F528="Congé spécial",D528="Congé"),AND(F528="Congé spécial",D528="Congé sans solde"),AND(F528="Congé spécial",D528="Férié"),AND(F528="Férié",D528="OFF"),AND(F528="Férié",D528="Congé"),AND(F528="Férié",D528="Congé sans solde"),AND(F528="Férié",D528="Congé spécial")),0,IF(OR(F528="OFF",F528="Congé",F528="Congé spécial",F528="Congé sans solde",D528="OFF",D528="Congé",D528="Congé spécial",D528="Congé sans solde"),0.208333333333334,IF(AND(AG528="",F528-D528&lt;0),("24:00:00"-D528)+("00:00:00"+F528)-0.0416666666666667,IF(AND(OR(AG528="Allaitement",AG528="Sans déjeuner"),F528-D528&lt;0),("24:00:00"-D528)+("00:00:00"+F528),IF(AND(AG528="",F528-D528&gt;0.166666666666667),F528-D528-0.0416666666666667,IF(AND(OR(AG528="Allaitement",AG528="Sans déjeuner"),F528-D528&gt;0.166666666666667),F528-D528,F528-D528)))))))</f>
        <v>0.375</v>
      </c>
      <c r="P528" s="6" t="str">
        <f aca="false">IFERROR(VLOOKUP($B528,Agents!$A:$D,2,0),"-")</f>
        <v>Accessibilité</v>
      </c>
      <c r="Q528" s="21" t="n">
        <v>46113</v>
      </c>
      <c r="R528" s="8" t="n">
        <f aca="false">IF(M528="Abs",O528,0)</f>
        <v>0</v>
      </c>
      <c r="S528" s="8" t="n">
        <f aca="false">SUM(R528,L528,I528,J528,W528,H528)</f>
        <v>0</v>
      </c>
      <c r="T528" s="6" t="str">
        <f aca="false">"Sem - "&amp;WEEKNUM(Q528,21)</f>
        <v>Sem - 14</v>
      </c>
      <c r="U528" s="6" t="str">
        <f aca="false">CHOOSE(MONTH(Q528),"Janvier","Février","Mars","Avril","Mai","Juin","Juillet","Août","Septembre","Octobre","Novembre","Décembre")</f>
        <v>Avril</v>
      </c>
      <c r="V528" s="22" t="n">
        <f aca="false">YEAR(Q528)</f>
        <v>2026</v>
      </c>
      <c r="W528" s="20"/>
      <c r="X528" s="8" t="n">
        <f aca="false">IFERROR(IF(M528="Abs",0,IF(ROUND((D528-C528+E528-F528)*1440,0)&lt;=1,0,D528-C528+E528-F528)),0)</f>
        <v>0.00208333333333333</v>
      </c>
      <c r="Y528" s="6" t="str">
        <f aca="false">IFERROR(VLOOKUP($B528,Agents!$A:$D,3,0),"-")</f>
        <v>OUBRAHIM Mohammed</v>
      </c>
      <c r="Z528" s="6" t="str">
        <f aca="false">IFERROR(VLOOKUP($B528,Agents!$A:$D,4,0),"-")</f>
        <v>Credit Mutuel</v>
      </c>
      <c r="AA528" s="18" t="s">
        <v>96</v>
      </c>
      <c r="AB528" s="8" t="str">
        <f aca="false">IF(AND(D528="Congé",F528="Congé"),0.333333333333333,IF(OR(AND(D528="Congé",F528&lt;&gt;"Congé"),(AND(F528="Congé",D528&lt;&gt;"Congé"))),0.166666666666667,""))</f>
        <v/>
      </c>
      <c r="AC528" s="8" t="str">
        <f aca="false">IF(AND(D528="Congé sans solde",F528="Congé sans solde"),0.333333333333333,IF(OR(AND(D528="Congé sans solde",F528&lt;&gt;"Congé sans solde"),(AND(F528="Congé sans solde",D528&lt;&gt;"Congé sans solde"))),0.166666666666667,""))</f>
        <v/>
      </c>
      <c r="AD528" s="8" t="str">
        <f aca="false">IF(AND(D528="Congé spécial",F528="Congé spécial"),0.333333333333333,IF(OR(AND(D528="Congé spécial",F528&lt;&gt;"Congé spécial"),AND(F528="Congé spécial",D528&lt;&gt;"Congé spécial")),0.166666666666667,""))</f>
        <v/>
      </c>
      <c r="AE528" s="8" t="str">
        <f aca="false">IF(AND(D528="Férié",F528="Férié"),0.333333333333333,IF(OR(AND(D528="Férié",F528&lt;&gt;"Férié"),(AND(F528="Férié",D528&lt;&gt;"Férié"))),0.166666666666667,""))</f>
        <v/>
      </c>
      <c r="AF528" s="18"/>
      <c r="AG528" s="18"/>
    </row>
    <row r="529" customFormat="false" ht="15" hidden="false" customHeight="false" outlineLevel="0" collapsed="false">
      <c r="A529" s="6" t="str">
        <f aca="false">YEAR(Q529-WEEKDAY(Q529,2)+4)&amp;"-S"&amp;TEXT(WEEKNUM(Q529,21),"00")</f>
        <v>2026-S14</v>
      </c>
      <c r="B529" s="18" t="s">
        <v>73</v>
      </c>
      <c r="C529" s="19" t="n">
        <v>0.33125</v>
      </c>
      <c r="D529" s="19" t="n">
        <v>0.333333333333333</v>
      </c>
      <c r="E529" s="19" t="n">
        <v>0.75</v>
      </c>
      <c r="F529" s="19" t="n">
        <v>0.75</v>
      </c>
      <c r="G529" s="20"/>
      <c r="H529" s="20"/>
      <c r="I529" s="8" t="str">
        <f aca="false">IF(IF(OR(C529="",D529="Congé",D529="OFF",D529="Congé spécial"),"",IF(D529&gt;F529,D529-C529,IF(C529-D529&lt;0,0,C529-D529)))&lt;0.00068287037037037,"",IF(OR(D529="Congé",D529="OFF",C529="",D529="Congé spécial"),"",IF(D529&gt;F529,D529-C529,IF(C529-D529&lt;0,0,C529-D529))))</f>
        <v/>
      </c>
      <c r="J529" s="20"/>
      <c r="K529" s="8" t="n">
        <f aca="false">IF(SUM(H529:J529)&lt;0.00068287037037037,0,SUM(H529:J529))</f>
        <v>0</v>
      </c>
      <c r="L529" s="8" t="n">
        <f aca="false">IF(OR(F529="Congé",F529="OFF",M529="Abs",F529="Congé sans solde",F529="Férié",F529="Congé spécial",D529="Congé spécial"),0,IF(F529-E529&lt;0,0,IF(F529-E529&lt;=0.00068287037037037,0,F529-E529)))</f>
        <v>0</v>
      </c>
      <c r="M529" s="6" t="n">
        <f aca="false">IF(AND(O529&lt;&gt;0,C529=""),"Abs",0)</f>
        <v>0</v>
      </c>
      <c r="N529" s="8" t="n">
        <f aca="false">IFERROR(IF(OR(D529="OFF",D529="Congé",M529="Abs",D529="Congé sans solde",D529="Férié"),"",IF(O529-K529-L529&gt;O529,O529,IF(O529-K529-L529&lt;0,"",O529-K529-L529))),"")</f>
        <v>0.375</v>
      </c>
      <c r="O529" s="8" t="n">
        <f aca="false">IF(AG529="2H Pause déjeuner",IF(F529-D529-0.0833333333333333&lt;0,F529-D529-0.0833333333333333+1,F529-D529-0.0833333333333333),IF(OR(AND(F529="OFF",D529="OFF"),AND(F529="Congé",D529="Congé"),AND(F529="Congé sans solde",D529="Congé sans solde"),AND(F529="Congé spécial",D529="Congé spécial"),AND(F529="Férié",D529="Férié"),AND(F529="OFF",D529="Congé"),AND(F529="OFF",D529="Congé sans solde"),AND(F529="OFF",D529="Congé spécial"),AND(F529="OFF",D529="Férié"),AND(F529="Congé",D529="OFF"),AND(F529="Congé",D529="Congé sans solde"),AND(F529="Congé",D529="Congé spécial"),AND(F529="Congé",D529="Férié"),AND(F529="Congé sans solde",D529="OFF"),AND(F529="Congé sans solde",D529="Congé"),AND(F529="Congé sans solde",D529="Congé spécial"),AND(F529="Congé sans solde",D529="Férié"),AND(F529="Congé spécial",D529="OFF"),AND(F529="Congé spécial",D529="Congé"),AND(F529="Congé spécial",D529="Congé sans solde"),AND(F529="Congé spécial",D529="Férié"),AND(F529="Férié",D529="OFF"),AND(F529="Férié",D529="Congé"),AND(F529="Férié",D529="Congé sans solde"),AND(F529="Férié",D529="Congé spécial")),0,IF(OR(F529="OFF",F529="Congé",F529="Congé spécial",F529="Congé sans solde",D529="OFF",D529="Congé",D529="Congé spécial",D529="Congé sans solde"),0.208333333333334,IF(AND(AG529="",F529-D529&lt;0),("24:00:00"-D529)+("00:00:00"+F529)-0.0416666666666667,IF(AND(OR(AG529="Allaitement",AG529="Sans déjeuner"),F529-D529&lt;0),("24:00:00"-D529)+("00:00:00"+F529),IF(AND(AG529="",F529-D529&gt;0.166666666666667),F529-D529-0.0416666666666667,IF(AND(OR(AG529="Allaitement",AG529="Sans déjeuner"),F529-D529&gt;0.166666666666667),F529-D529,F529-D529)))))))</f>
        <v>0.375</v>
      </c>
      <c r="P529" s="6" t="str">
        <f aca="false">IFERROR(VLOOKUP($B529,Agents!$A:$D,2,0),"-")</f>
        <v>Accessibilité</v>
      </c>
      <c r="Q529" s="21" t="n">
        <v>46113</v>
      </c>
      <c r="R529" s="8" t="n">
        <f aca="false">IF(M529="Abs",O529,0)</f>
        <v>0</v>
      </c>
      <c r="S529" s="8" t="n">
        <f aca="false">SUM(R529,L529,I529,J529,W529,H529)</f>
        <v>0</v>
      </c>
      <c r="T529" s="6" t="str">
        <f aca="false">"Sem - "&amp;WEEKNUM(Q529,21)</f>
        <v>Sem - 14</v>
      </c>
      <c r="U529" s="6" t="str">
        <f aca="false">CHOOSE(MONTH(Q529),"Janvier","Février","Mars","Avril","Mai","Juin","Juillet","Août","Septembre","Octobre","Novembre","Décembre")</f>
        <v>Avril</v>
      </c>
      <c r="V529" s="22" t="n">
        <f aca="false">YEAR(Q529)</f>
        <v>2026</v>
      </c>
      <c r="W529" s="20"/>
      <c r="X529" s="8" t="n">
        <f aca="false">IFERROR(IF(M529="Abs",0,IF(ROUND((D529-C529+E529-F529)*1440,0)&lt;=1,0,D529-C529+E529-F529)),0)</f>
        <v>0.00208333333333333</v>
      </c>
      <c r="Y529" s="6" t="str">
        <f aca="false">IFERROR(VLOOKUP($B529,Agents!$A:$D,3,0),"-")</f>
        <v>OUBRAHIM Mohammed</v>
      </c>
      <c r="Z529" s="6" t="str">
        <f aca="false">IFERROR(VLOOKUP($B529,Agents!$A:$D,4,0),"-")</f>
        <v>Credit Mutuel</v>
      </c>
      <c r="AA529" s="18" t="s">
        <v>96</v>
      </c>
      <c r="AB529" s="8" t="str">
        <f aca="false">IF(AND(D529="Congé",F529="Congé"),0.333333333333333,IF(OR(AND(D529="Congé",F529&lt;&gt;"Congé"),(AND(F529="Congé",D529&lt;&gt;"Congé"))),0.166666666666667,""))</f>
        <v/>
      </c>
      <c r="AC529" s="8" t="str">
        <f aca="false">IF(AND(D529="Congé sans solde",F529="Congé sans solde"),0.333333333333333,IF(OR(AND(D529="Congé sans solde",F529&lt;&gt;"Congé sans solde"),(AND(F529="Congé sans solde",D529&lt;&gt;"Congé sans solde"))),0.166666666666667,""))</f>
        <v/>
      </c>
      <c r="AD529" s="8" t="str">
        <f aca="false">IF(AND(D529="Congé spécial",F529="Congé spécial"),0.333333333333333,IF(OR(AND(D529="Congé spécial",F529&lt;&gt;"Congé spécial"),AND(F529="Congé spécial",D529&lt;&gt;"Congé spécial")),0.166666666666667,""))</f>
        <v/>
      </c>
      <c r="AE529" s="8" t="str">
        <f aca="false">IF(AND(D529="Férié",F529="Férié"),0.333333333333333,IF(OR(AND(D529="Férié",F529&lt;&gt;"Férié"),(AND(F529="Férié",D529&lt;&gt;"Férié"))),0.166666666666667,""))</f>
        <v/>
      </c>
      <c r="AF529" s="18"/>
      <c r="AG529" s="18"/>
    </row>
    <row r="530" customFormat="false" ht="15" hidden="false" customHeight="false" outlineLevel="0" collapsed="false">
      <c r="A530" s="6" t="str">
        <f aca="false">YEAR(Q530-WEEKDAY(Q530,2)+4)&amp;"-S"&amp;TEXT(WEEKNUM(Q530,21),"00")</f>
        <v>2026-S14</v>
      </c>
      <c r="B530" s="18" t="s">
        <v>69</v>
      </c>
      <c r="C530" s="19" t="n">
        <v>0.333333333333333</v>
      </c>
      <c r="D530" s="19" t="n">
        <v>0.333333333333333</v>
      </c>
      <c r="E530" s="19" t="n">
        <v>0.75</v>
      </c>
      <c r="F530" s="19" t="n">
        <v>0.75</v>
      </c>
      <c r="G530" s="20"/>
      <c r="H530" s="20"/>
      <c r="I530" s="8" t="str">
        <f aca="false">IF(IF(OR(C530="",D530="Congé",D530="OFF",D530="Congé spécial"),"",IF(D530&gt;F530,D530-C530,IF(C530-D530&lt;0,0,C530-D530)))&lt;0.00068287037037037,"",IF(OR(D530="Congé",D530="OFF",C530="",D530="Congé spécial"),"",IF(D530&gt;F530,D530-C530,IF(C530-D530&lt;0,0,C530-D530))))</f>
        <v/>
      </c>
      <c r="J530" s="20"/>
      <c r="K530" s="8" t="n">
        <f aca="false">IF(SUM(H530:J530)&lt;0.00068287037037037,0,SUM(H530:J530))</f>
        <v>0</v>
      </c>
      <c r="L530" s="8" t="n">
        <f aca="false">IF(OR(F530="Congé",F530="OFF",M530="Abs",F530="Congé sans solde",F530="Férié",F530="Congé spécial",D530="Congé spécial"),0,IF(F530-E530&lt;0,0,IF(F530-E530&lt;=0.00068287037037037,0,F530-E530)))</f>
        <v>0</v>
      </c>
      <c r="M530" s="6" t="n">
        <f aca="false">IF(AND(O530&lt;&gt;0,C530=""),"Abs",0)</f>
        <v>0</v>
      </c>
      <c r="N530" s="8" t="n">
        <f aca="false">IFERROR(IF(OR(D530="OFF",D530="Congé",M530="Abs",D530="Congé sans solde",D530="Férié"),"",IF(O530-K530-L530&gt;O530,O530,IF(O530-K530-L530&lt;0,"",O530-K530-L530))),"")</f>
        <v>0.375</v>
      </c>
      <c r="O530" s="8" t="n">
        <f aca="false">IF(AG530="2H Pause déjeuner",IF(F530-D530-0.0833333333333333&lt;0,F530-D530-0.0833333333333333+1,F530-D530-0.0833333333333333),IF(OR(AND(F530="OFF",D530="OFF"),AND(F530="Congé",D530="Congé"),AND(F530="Congé sans solde",D530="Congé sans solde"),AND(F530="Congé spécial",D530="Congé spécial"),AND(F530="Férié",D530="Férié"),AND(F530="OFF",D530="Congé"),AND(F530="OFF",D530="Congé sans solde"),AND(F530="OFF",D530="Congé spécial"),AND(F530="OFF",D530="Férié"),AND(F530="Congé",D530="OFF"),AND(F530="Congé",D530="Congé sans solde"),AND(F530="Congé",D530="Congé spécial"),AND(F530="Congé",D530="Férié"),AND(F530="Congé sans solde",D530="OFF"),AND(F530="Congé sans solde",D530="Congé"),AND(F530="Congé sans solde",D530="Congé spécial"),AND(F530="Congé sans solde",D530="Férié"),AND(F530="Congé spécial",D530="OFF"),AND(F530="Congé spécial",D530="Congé"),AND(F530="Congé spécial",D530="Congé sans solde"),AND(F530="Congé spécial",D530="Férié"),AND(F530="Férié",D530="OFF"),AND(F530="Férié",D530="Congé"),AND(F530="Férié",D530="Congé sans solde"),AND(F530="Férié",D530="Congé spécial")),0,IF(OR(F530="OFF",F530="Congé",F530="Congé spécial",F530="Congé sans solde",D530="OFF",D530="Congé",D530="Congé spécial",D530="Congé sans solde"),0.208333333333334,IF(AND(AG530="",F530-D530&lt;0),("24:00:00"-D530)+("00:00:00"+F530)-0.0416666666666667,IF(AND(OR(AG530="Allaitement",AG530="Sans déjeuner"),F530-D530&lt;0),("24:00:00"-D530)+("00:00:00"+F530),IF(AND(AG530="",F530-D530&gt;0.166666666666667),F530-D530-0.0416666666666667,IF(AND(OR(AG530="Allaitement",AG530="Sans déjeuner"),F530-D530&gt;0.166666666666667),F530-D530,F530-D530)))))))</f>
        <v>0.375</v>
      </c>
      <c r="P530" s="6" t="str">
        <f aca="false">IFERROR(VLOOKUP($B530,Agents!$A:$D,2,0),"-")</f>
        <v>Accessibilité</v>
      </c>
      <c r="Q530" s="21" t="n">
        <v>46114</v>
      </c>
      <c r="R530" s="8" t="n">
        <f aca="false">IF(M530="Abs",O530,0)</f>
        <v>0</v>
      </c>
      <c r="S530" s="8" t="n">
        <f aca="false">SUM(R530,L530,I530,J530,W530,H530)</f>
        <v>0</v>
      </c>
      <c r="T530" s="6" t="str">
        <f aca="false">"Sem - "&amp;WEEKNUM(Q530,21)</f>
        <v>Sem - 14</v>
      </c>
      <c r="U530" s="6" t="str">
        <f aca="false">CHOOSE(MONTH(Q530),"Janvier","Février","Mars","Avril","Mai","Juin","Juillet","Août","Septembre","Octobre","Novembre","Décembre")</f>
        <v>Avril</v>
      </c>
      <c r="V530" s="22" t="n">
        <f aca="false">YEAR(Q530)</f>
        <v>2026</v>
      </c>
      <c r="W530" s="20"/>
      <c r="X530" s="8" t="n">
        <f aca="false">IFERROR(IF(M530="Abs",0,IF(ROUND((D530-C530+E530-F530)*1440,0)&lt;=1,0,D530-C530+E530-F530)),0)</f>
        <v>0</v>
      </c>
      <c r="Y530" s="6" t="str">
        <f aca="false">IFERROR(VLOOKUP($B530,Agents!$A:$D,3,0),"-")</f>
        <v>OUBRAHIM Mohammed</v>
      </c>
      <c r="Z530" s="6" t="str">
        <f aca="false">IFERROR(VLOOKUP($B530,Agents!$A:$D,4,0),"-")</f>
        <v>Credit Mutuel</v>
      </c>
      <c r="AA530" s="18" t="s">
        <v>96</v>
      </c>
      <c r="AB530" s="8" t="str">
        <f aca="false">IF(AND(D530="Congé",F530="Congé"),0.333333333333333,IF(OR(AND(D530="Congé",F530&lt;&gt;"Congé"),(AND(F530="Congé",D530&lt;&gt;"Congé"))),0.166666666666667,""))</f>
        <v/>
      </c>
      <c r="AC530" s="8" t="str">
        <f aca="false">IF(AND(D530="Congé sans solde",F530="Congé sans solde"),0.333333333333333,IF(OR(AND(D530="Congé sans solde",F530&lt;&gt;"Congé sans solde"),(AND(F530="Congé sans solde",D530&lt;&gt;"Congé sans solde"))),0.166666666666667,""))</f>
        <v/>
      </c>
      <c r="AD530" s="8" t="str">
        <f aca="false">IF(AND(D530="Congé spécial",F530="Congé spécial"),0.333333333333333,IF(OR(AND(D530="Congé spécial",F530&lt;&gt;"Congé spécial"),AND(F530="Congé spécial",D530&lt;&gt;"Congé spécial")),0.166666666666667,""))</f>
        <v/>
      </c>
      <c r="AE530" s="8" t="str">
        <f aca="false">IF(AND(D530="Férié",F530="Férié"),0.333333333333333,IF(OR(AND(D530="Férié",F530&lt;&gt;"Férié"),(AND(F530="Férié",D530&lt;&gt;"Férié"))),0.166666666666667,""))</f>
        <v/>
      </c>
      <c r="AF530" s="18"/>
      <c r="AG530" s="18"/>
    </row>
    <row r="531" customFormat="false" ht="15" hidden="false" customHeight="false" outlineLevel="0" collapsed="false">
      <c r="A531" s="6" t="str">
        <f aca="false">YEAR(Q531-WEEKDAY(Q531,2)+4)&amp;"-S"&amp;TEXT(WEEKNUM(Q531,21),"00")</f>
        <v>2026-S14</v>
      </c>
      <c r="B531" s="18" t="s">
        <v>71</v>
      </c>
      <c r="C531" s="19" t="n">
        <v>0.333333333333333</v>
      </c>
      <c r="D531" s="19" t="n">
        <v>0.333333333333333</v>
      </c>
      <c r="E531" s="19" t="n">
        <v>0.75</v>
      </c>
      <c r="F531" s="19" t="n">
        <v>0.75</v>
      </c>
      <c r="G531" s="20"/>
      <c r="H531" s="20"/>
      <c r="I531" s="8" t="str">
        <f aca="false">IF(IF(OR(C531="",D531="Congé",D531="OFF",D531="Congé spécial"),"",IF(D531&gt;F531,D531-C531,IF(C531-D531&lt;0,0,C531-D531)))&lt;0.00068287037037037,"",IF(OR(D531="Congé",D531="OFF",C531="",D531="Congé spécial"),"",IF(D531&gt;F531,D531-C531,IF(C531-D531&lt;0,0,C531-D531))))</f>
        <v/>
      </c>
      <c r="J531" s="20"/>
      <c r="K531" s="8" t="n">
        <f aca="false">IF(SUM(H531:J531)&lt;0.00068287037037037,0,SUM(H531:J531))</f>
        <v>0</v>
      </c>
      <c r="L531" s="8" t="n">
        <f aca="false">IF(OR(F531="Congé",F531="OFF",M531="Abs",F531="Congé sans solde",F531="Férié",F531="Congé spécial",D531="Congé spécial"),0,IF(F531-E531&lt;0,0,IF(F531-E531&lt;=0.00068287037037037,0,F531-E531)))</f>
        <v>0</v>
      </c>
      <c r="M531" s="6" t="n">
        <f aca="false">IF(AND(O531&lt;&gt;0,C531=""),"Abs",0)</f>
        <v>0</v>
      </c>
      <c r="N531" s="8" t="n">
        <f aca="false">IFERROR(IF(OR(D531="OFF",D531="Congé",M531="Abs",D531="Congé sans solde",D531="Férié"),"",IF(O531-K531-L531&gt;O531,O531,IF(O531-K531-L531&lt;0,"",O531-K531-L531))),"")</f>
        <v>0.375</v>
      </c>
      <c r="O531" s="8" t="n">
        <f aca="false">IF(AG531="2H Pause déjeuner",IF(F531-D531-0.0833333333333333&lt;0,F531-D531-0.0833333333333333+1,F531-D531-0.0833333333333333),IF(OR(AND(F531="OFF",D531="OFF"),AND(F531="Congé",D531="Congé"),AND(F531="Congé sans solde",D531="Congé sans solde"),AND(F531="Congé spécial",D531="Congé spécial"),AND(F531="Férié",D531="Férié"),AND(F531="OFF",D531="Congé"),AND(F531="OFF",D531="Congé sans solde"),AND(F531="OFF",D531="Congé spécial"),AND(F531="OFF",D531="Férié"),AND(F531="Congé",D531="OFF"),AND(F531="Congé",D531="Congé sans solde"),AND(F531="Congé",D531="Congé spécial"),AND(F531="Congé",D531="Férié"),AND(F531="Congé sans solde",D531="OFF"),AND(F531="Congé sans solde",D531="Congé"),AND(F531="Congé sans solde",D531="Congé spécial"),AND(F531="Congé sans solde",D531="Férié"),AND(F531="Congé spécial",D531="OFF"),AND(F531="Congé spécial",D531="Congé"),AND(F531="Congé spécial",D531="Congé sans solde"),AND(F531="Congé spécial",D531="Férié"),AND(F531="Férié",D531="OFF"),AND(F531="Férié",D531="Congé"),AND(F531="Férié",D531="Congé sans solde"),AND(F531="Férié",D531="Congé spécial")),0,IF(OR(F531="OFF",F531="Congé",F531="Congé spécial",F531="Congé sans solde",D531="OFF",D531="Congé",D531="Congé spécial",D531="Congé sans solde"),0.208333333333334,IF(AND(AG531="",F531-D531&lt;0),("24:00:00"-D531)+("00:00:00"+F531)-0.0416666666666667,IF(AND(OR(AG531="Allaitement",AG531="Sans déjeuner"),F531-D531&lt;0),("24:00:00"-D531)+("00:00:00"+F531),IF(AND(AG531="",F531-D531&gt;0.166666666666667),F531-D531-0.0416666666666667,IF(AND(OR(AG531="Allaitement",AG531="Sans déjeuner"),F531-D531&gt;0.166666666666667),F531-D531,F531-D531)))))))</f>
        <v>0.375</v>
      </c>
      <c r="P531" s="6" t="str">
        <f aca="false">IFERROR(VLOOKUP($B531,Agents!$A:$D,2,0),"-")</f>
        <v>Accessibilité</v>
      </c>
      <c r="Q531" s="21" t="n">
        <v>46114</v>
      </c>
      <c r="R531" s="8" t="n">
        <f aca="false">IF(M531="Abs",O531,0)</f>
        <v>0</v>
      </c>
      <c r="S531" s="8" t="n">
        <f aca="false">SUM(R531,L531,I531,J531,W531,H531)</f>
        <v>0</v>
      </c>
      <c r="T531" s="6" t="str">
        <f aca="false">"Sem - "&amp;WEEKNUM(Q531,21)</f>
        <v>Sem - 14</v>
      </c>
      <c r="U531" s="6" t="str">
        <f aca="false">CHOOSE(MONTH(Q531),"Janvier","Février","Mars","Avril","Mai","Juin","Juillet","Août","Septembre","Octobre","Novembre","Décembre")</f>
        <v>Avril</v>
      </c>
      <c r="V531" s="22" t="n">
        <f aca="false">YEAR(Q531)</f>
        <v>2026</v>
      </c>
      <c r="W531" s="20"/>
      <c r="X531" s="8" t="n">
        <f aca="false">IFERROR(IF(M531="Abs",0,IF(ROUND((D531-C531+E531-F531)*1440,0)&lt;=1,0,D531-C531+E531-F531)),0)</f>
        <v>0</v>
      </c>
      <c r="Y531" s="6" t="str">
        <f aca="false">IFERROR(VLOOKUP($B531,Agents!$A:$D,3,0),"-")</f>
        <v>OUBRAHIM Mohammed</v>
      </c>
      <c r="Z531" s="6" t="str">
        <f aca="false">IFERROR(VLOOKUP($B531,Agents!$A:$D,4,0),"-")</f>
        <v>Credit Mutuel</v>
      </c>
      <c r="AA531" s="18" t="s">
        <v>96</v>
      </c>
      <c r="AB531" s="8" t="str">
        <f aca="false">IF(AND(D531="Congé",F531="Congé"),0.333333333333333,IF(OR(AND(D531="Congé",F531&lt;&gt;"Congé"),(AND(F531="Congé",D531&lt;&gt;"Congé"))),0.166666666666667,""))</f>
        <v/>
      </c>
      <c r="AC531" s="8" t="str">
        <f aca="false">IF(AND(D531="Congé sans solde",F531="Congé sans solde"),0.333333333333333,IF(OR(AND(D531="Congé sans solde",F531&lt;&gt;"Congé sans solde"),(AND(F531="Congé sans solde",D531&lt;&gt;"Congé sans solde"))),0.166666666666667,""))</f>
        <v/>
      </c>
      <c r="AD531" s="8" t="str">
        <f aca="false">IF(AND(D531="Congé spécial",F531="Congé spécial"),0.333333333333333,IF(OR(AND(D531="Congé spécial",F531&lt;&gt;"Congé spécial"),AND(F531="Congé spécial",D531&lt;&gt;"Congé spécial")),0.166666666666667,""))</f>
        <v/>
      </c>
      <c r="AE531" s="8" t="str">
        <f aca="false">IF(AND(D531="Férié",F531="Férié"),0.333333333333333,IF(OR(AND(D531="Férié",F531&lt;&gt;"Férié"),(AND(F531="Férié",D531&lt;&gt;"Férié"))),0.166666666666667,""))</f>
        <v/>
      </c>
      <c r="AF531" s="18"/>
      <c r="AG531" s="18"/>
    </row>
    <row r="532" customFormat="false" ht="15" hidden="false" customHeight="false" outlineLevel="0" collapsed="false">
      <c r="A532" s="6" t="str">
        <f aca="false">YEAR(Q532-WEEKDAY(Q532,2)+4)&amp;"-S"&amp;TEXT(WEEKNUM(Q532,21),"00")</f>
        <v>2026-S14</v>
      </c>
      <c r="B532" s="18" t="s">
        <v>72</v>
      </c>
      <c r="C532" s="19" t="n">
        <v>0.333333333333333</v>
      </c>
      <c r="D532" s="19" t="n">
        <v>0.333333333333333</v>
      </c>
      <c r="E532" s="19" t="n">
        <v>0.75</v>
      </c>
      <c r="F532" s="19" t="n">
        <v>0.75</v>
      </c>
      <c r="G532" s="20"/>
      <c r="H532" s="20"/>
      <c r="I532" s="8" t="str">
        <f aca="false">IF(IF(OR(C532="",D532="Congé",D532="OFF",D532="Congé spécial"),"",IF(D532&gt;F532,D532-C532,IF(C532-D532&lt;0,0,C532-D532)))&lt;0.00068287037037037,"",IF(OR(D532="Congé",D532="OFF",C532="",D532="Congé spécial"),"",IF(D532&gt;F532,D532-C532,IF(C532-D532&lt;0,0,C532-D532))))</f>
        <v/>
      </c>
      <c r="J532" s="20"/>
      <c r="K532" s="8" t="n">
        <f aca="false">IF(SUM(H532:J532)&lt;0.00068287037037037,0,SUM(H532:J532))</f>
        <v>0</v>
      </c>
      <c r="L532" s="8" t="n">
        <f aca="false">IF(OR(F532="Congé",F532="OFF",M532="Abs",F532="Congé sans solde",F532="Férié",F532="Congé spécial",D532="Congé spécial"),0,IF(F532-E532&lt;0,0,IF(F532-E532&lt;=0.00068287037037037,0,F532-E532)))</f>
        <v>0</v>
      </c>
      <c r="M532" s="6" t="n">
        <f aca="false">IF(AND(O532&lt;&gt;0,C532=""),"Abs",0)</f>
        <v>0</v>
      </c>
      <c r="N532" s="8" t="n">
        <f aca="false">IFERROR(IF(OR(D532="OFF",D532="Congé",M532="Abs",D532="Congé sans solde",D532="Férié"),"",IF(O532-K532-L532&gt;O532,O532,IF(O532-K532-L532&lt;0,"",O532-K532-L532))),"")</f>
        <v>0.375</v>
      </c>
      <c r="O532" s="8" t="n">
        <f aca="false">IF(AG532="2H Pause déjeuner",IF(F532-D532-0.0833333333333333&lt;0,F532-D532-0.0833333333333333+1,F532-D532-0.0833333333333333),IF(OR(AND(F532="OFF",D532="OFF"),AND(F532="Congé",D532="Congé"),AND(F532="Congé sans solde",D532="Congé sans solde"),AND(F532="Congé spécial",D532="Congé spécial"),AND(F532="Férié",D532="Férié"),AND(F532="OFF",D532="Congé"),AND(F532="OFF",D532="Congé sans solde"),AND(F532="OFF",D532="Congé spécial"),AND(F532="OFF",D532="Férié"),AND(F532="Congé",D532="OFF"),AND(F532="Congé",D532="Congé sans solde"),AND(F532="Congé",D532="Congé spécial"),AND(F532="Congé",D532="Férié"),AND(F532="Congé sans solde",D532="OFF"),AND(F532="Congé sans solde",D532="Congé"),AND(F532="Congé sans solde",D532="Congé spécial"),AND(F532="Congé sans solde",D532="Férié"),AND(F532="Congé spécial",D532="OFF"),AND(F532="Congé spécial",D532="Congé"),AND(F532="Congé spécial",D532="Congé sans solde"),AND(F532="Congé spécial",D532="Férié"),AND(F532="Férié",D532="OFF"),AND(F532="Férié",D532="Congé"),AND(F532="Férié",D532="Congé sans solde"),AND(F532="Férié",D532="Congé spécial")),0,IF(OR(F532="OFF",F532="Congé",F532="Congé spécial",F532="Congé sans solde",D532="OFF",D532="Congé",D532="Congé spécial",D532="Congé sans solde"),0.208333333333334,IF(AND(AG532="",F532-D532&lt;0),("24:00:00"-D532)+("00:00:00"+F532)-0.0416666666666667,IF(AND(OR(AG532="Allaitement",AG532="Sans déjeuner"),F532-D532&lt;0),("24:00:00"-D532)+("00:00:00"+F532),IF(AND(AG532="",F532-D532&gt;0.166666666666667),F532-D532-0.0416666666666667,IF(AND(OR(AG532="Allaitement",AG532="Sans déjeuner"),F532-D532&gt;0.166666666666667),F532-D532,F532-D532)))))))</f>
        <v>0.375</v>
      </c>
      <c r="P532" s="6" t="str">
        <f aca="false">IFERROR(VLOOKUP($B532,Agents!$A:$D,2,0),"-")</f>
        <v>Accessibilité</v>
      </c>
      <c r="Q532" s="21" t="n">
        <v>46114</v>
      </c>
      <c r="R532" s="8" t="n">
        <f aca="false">IF(M532="Abs",O532,0)</f>
        <v>0</v>
      </c>
      <c r="S532" s="8" t="n">
        <f aca="false">SUM(R532,L532,I532,J532,W532,H532)</f>
        <v>0</v>
      </c>
      <c r="T532" s="6" t="str">
        <f aca="false">"Sem - "&amp;WEEKNUM(Q532,21)</f>
        <v>Sem - 14</v>
      </c>
      <c r="U532" s="6" t="str">
        <f aca="false">CHOOSE(MONTH(Q532),"Janvier","Février","Mars","Avril","Mai","Juin","Juillet","Août","Septembre","Octobre","Novembre","Décembre")</f>
        <v>Avril</v>
      </c>
      <c r="V532" s="22" t="n">
        <f aca="false">YEAR(Q532)</f>
        <v>2026</v>
      </c>
      <c r="W532" s="20"/>
      <c r="X532" s="8" t="n">
        <f aca="false">IFERROR(IF(M532="Abs",0,IF(ROUND((D532-C532+E532-F532)*1440,0)&lt;=1,0,D532-C532+E532-F532)),0)</f>
        <v>0</v>
      </c>
      <c r="Y532" s="6" t="str">
        <f aca="false">IFERROR(VLOOKUP($B532,Agents!$A:$D,3,0),"-")</f>
        <v>OUBRAHIM Mohammed</v>
      </c>
      <c r="Z532" s="6" t="str">
        <f aca="false">IFERROR(VLOOKUP($B532,Agents!$A:$D,4,0),"-")</f>
        <v>Credit Mutuel</v>
      </c>
      <c r="AA532" s="18" t="s">
        <v>96</v>
      </c>
      <c r="AB532" s="8" t="str">
        <f aca="false">IF(AND(D532="Congé",F532="Congé"),0.333333333333333,IF(OR(AND(D532="Congé",F532&lt;&gt;"Congé"),(AND(F532="Congé",D532&lt;&gt;"Congé"))),0.166666666666667,""))</f>
        <v/>
      </c>
      <c r="AC532" s="8" t="str">
        <f aca="false">IF(AND(D532="Congé sans solde",F532="Congé sans solde"),0.333333333333333,IF(OR(AND(D532="Congé sans solde",F532&lt;&gt;"Congé sans solde"),(AND(F532="Congé sans solde",D532&lt;&gt;"Congé sans solde"))),0.166666666666667,""))</f>
        <v/>
      </c>
      <c r="AD532" s="8" t="str">
        <f aca="false">IF(AND(D532="Congé spécial",F532="Congé spécial"),0.333333333333333,IF(OR(AND(D532="Congé spécial",F532&lt;&gt;"Congé spécial"),AND(F532="Congé spécial",D532&lt;&gt;"Congé spécial")),0.166666666666667,""))</f>
        <v/>
      </c>
      <c r="AE532" s="8" t="str">
        <f aca="false">IF(AND(D532="Férié",F532="Férié"),0.333333333333333,IF(OR(AND(D532="Férié",F532&lt;&gt;"Férié"),(AND(F532="Férié",D532&lt;&gt;"Férié"))),0.166666666666667,""))</f>
        <v/>
      </c>
      <c r="AF532" s="18"/>
      <c r="AG532" s="18"/>
    </row>
    <row r="533" customFormat="false" ht="15" hidden="false" customHeight="false" outlineLevel="0" collapsed="false">
      <c r="A533" s="6" t="str">
        <f aca="false">YEAR(Q533-WEEKDAY(Q533,2)+4)&amp;"-S"&amp;TEXT(WEEKNUM(Q533,21),"00")</f>
        <v>2026-S14</v>
      </c>
      <c r="B533" s="18" t="s">
        <v>73</v>
      </c>
      <c r="C533" s="19" t="n">
        <v>0.333333333333333</v>
      </c>
      <c r="D533" s="19" t="n">
        <v>0.333333333333333</v>
      </c>
      <c r="E533" s="19" t="n">
        <v>0.75</v>
      </c>
      <c r="F533" s="19" t="n">
        <v>0.75</v>
      </c>
      <c r="G533" s="20"/>
      <c r="H533" s="20"/>
      <c r="I533" s="8" t="str">
        <f aca="false">IF(IF(OR(C533="",D533="Congé",D533="OFF",D533="Congé spécial"),"",IF(D533&gt;F533,D533-C533,IF(C533-D533&lt;0,0,C533-D533)))&lt;0.00068287037037037,"",IF(OR(D533="Congé",D533="OFF",C533="",D533="Congé spécial"),"",IF(D533&gt;F533,D533-C533,IF(C533-D533&lt;0,0,C533-D533))))</f>
        <v/>
      </c>
      <c r="J533" s="20"/>
      <c r="K533" s="8" t="n">
        <f aca="false">IF(SUM(H533:J533)&lt;0.00068287037037037,0,SUM(H533:J533))</f>
        <v>0</v>
      </c>
      <c r="L533" s="8" t="n">
        <f aca="false">IF(OR(F533="Congé",F533="OFF",M533="Abs",F533="Congé sans solde",F533="Férié",F533="Congé spécial",D533="Congé spécial"),0,IF(F533-E533&lt;0,0,IF(F533-E533&lt;=0.00068287037037037,0,F533-E533)))</f>
        <v>0</v>
      </c>
      <c r="M533" s="6" t="n">
        <f aca="false">IF(AND(O533&lt;&gt;0,C533=""),"Abs",0)</f>
        <v>0</v>
      </c>
      <c r="N533" s="8" t="n">
        <f aca="false">IFERROR(IF(OR(D533="OFF",D533="Congé",M533="Abs",D533="Congé sans solde",D533="Férié"),"",IF(O533-K533-L533&gt;O533,O533,IF(O533-K533-L533&lt;0,"",O533-K533-L533))),"")</f>
        <v>0.375</v>
      </c>
      <c r="O533" s="8" t="n">
        <f aca="false">IF(AG533="2H Pause déjeuner",IF(F533-D533-0.0833333333333333&lt;0,F533-D533-0.0833333333333333+1,F533-D533-0.0833333333333333),IF(OR(AND(F533="OFF",D533="OFF"),AND(F533="Congé",D533="Congé"),AND(F533="Congé sans solde",D533="Congé sans solde"),AND(F533="Congé spécial",D533="Congé spécial"),AND(F533="Férié",D533="Férié"),AND(F533="OFF",D533="Congé"),AND(F533="OFF",D533="Congé sans solde"),AND(F533="OFF",D533="Congé spécial"),AND(F533="OFF",D533="Férié"),AND(F533="Congé",D533="OFF"),AND(F533="Congé",D533="Congé sans solde"),AND(F533="Congé",D533="Congé spécial"),AND(F533="Congé",D533="Férié"),AND(F533="Congé sans solde",D533="OFF"),AND(F533="Congé sans solde",D533="Congé"),AND(F533="Congé sans solde",D533="Congé spécial"),AND(F533="Congé sans solde",D533="Férié"),AND(F533="Congé spécial",D533="OFF"),AND(F533="Congé spécial",D533="Congé"),AND(F533="Congé spécial",D533="Congé sans solde"),AND(F533="Congé spécial",D533="Férié"),AND(F533="Férié",D533="OFF"),AND(F533="Férié",D533="Congé"),AND(F533="Férié",D533="Congé sans solde"),AND(F533="Férié",D533="Congé spécial")),0,IF(OR(F533="OFF",F533="Congé",F533="Congé spécial",F533="Congé sans solde",D533="OFF",D533="Congé",D533="Congé spécial",D533="Congé sans solde"),0.208333333333334,IF(AND(AG533="",F533-D533&lt;0),("24:00:00"-D533)+("00:00:00"+F533)-0.0416666666666667,IF(AND(OR(AG533="Allaitement",AG533="Sans déjeuner"),F533-D533&lt;0),("24:00:00"-D533)+("00:00:00"+F533),IF(AND(AG533="",F533-D533&gt;0.166666666666667),F533-D533-0.0416666666666667,IF(AND(OR(AG533="Allaitement",AG533="Sans déjeuner"),F533-D533&gt;0.166666666666667),F533-D533,F533-D533)))))))</f>
        <v>0.375</v>
      </c>
      <c r="P533" s="6" t="str">
        <f aca="false">IFERROR(VLOOKUP($B533,Agents!$A:$D,2,0),"-")</f>
        <v>Accessibilité</v>
      </c>
      <c r="Q533" s="21" t="n">
        <v>46114</v>
      </c>
      <c r="R533" s="8" t="n">
        <f aca="false">IF(M533="Abs",O533,0)</f>
        <v>0</v>
      </c>
      <c r="S533" s="8" t="n">
        <f aca="false">SUM(R533,L533,I533,J533,W533,H533)</f>
        <v>0</v>
      </c>
      <c r="T533" s="6" t="str">
        <f aca="false">"Sem - "&amp;WEEKNUM(Q533,21)</f>
        <v>Sem - 14</v>
      </c>
      <c r="U533" s="6" t="str">
        <f aca="false">CHOOSE(MONTH(Q533),"Janvier","Février","Mars","Avril","Mai","Juin","Juillet","Août","Septembre","Octobre","Novembre","Décembre")</f>
        <v>Avril</v>
      </c>
      <c r="V533" s="22" t="n">
        <f aca="false">YEAR(Q533)</f>
        <v>2026</v>
      </c>
      <c r="W533" s="20"/>
      <c r="X533" s="8" t="n">
        <f aca="false">IFERROR(IF(M533="Abs",0,IF(ROUND((D533-C533+E533-F533)*1440,0)&lt;=1,0,D533-C533+E533-F533)),0)</f>
        <v>0</v>
      </c>
      <c r="Y533" s="6" t="str">
        <f aca="false">IFERROR(VLOOKUP($B533,Agents!$A:$D,3,0),"-")</f>
        <v>OUBRAHIM Mohammed</v>
      </c>
      <c r="Z533" s="6" t="str">
        <f aca="false">IFERROR(VLOOKUP($B533,Agents!$A:$D,4,0),"-")</f>
        <v>Credit Mutuel</v>
      </c>
      <c r="AA533" s="18" t="s">
        <v>96</v>
      </c>
      <c r="AB533" s="8" t="str">
        <f aca="false">IF(AND(D533="Congé",F533="Congé"),0.333333333333333,IF(OR(AND(D533="Congé",F533&lt;&gt;"Congé"),(AND(F533="Congé",D533&lt;&gt;"Congé"))),0.166666666666667,""))</f>
        <v/>
      </c>
      <c r="AC533" s="8" t="str">
        <f aca="false">IF(AND(D533="Congé sans solde",F533="Congé sans solde"),0.333333333333333,IF(OR(AND(D533="Congé sans solde",F533&lt;&gt;"Congé sans solde"),(AND(F533="Congé sans solde",D533&lt;&gt;"Congé sans solde"))),0.166666666666667,""))</f>
        <v/>
      </c>
      <c r="AD533" s="8" t="str">
        <f aca="false">IF(AND(D533="Congé spécial",F533="Congé spécial"),0.333333333333333,IF(OR(AND(D533="Congé spécial",F533&lt;&gt;"Congé spécial"),AND(F533="Congé spécial",D533&lt;&gt;"Congé spécial")),0.166666666666667,""))</f>
        <v/>
      </c>
      <c r="AE533" s="8" t="str">
        <f aca="false">IF(AND(D533="Férié",F533="Férié"),0.333333333333333,IF(OR(AND(D533="Férié",F533&lt;&gt;"Férié"),(AND(F533="Férié",D533&lt;&gt;"Férié"))),0.166666666666667,""))</f>
        <v/>
      </c>
      <c r="AF533" s="18"/>
      <c r="AG533" s="18"/>
    </row>
    <row r="534" customFormat="false" ht="15" hidden="false" customHeight="false" outlineLevel="0" collapsed="false">
      <c r="A534" s="6" t="str">
        <f aca="false">YEAR(Q534-WEEKDAY(Q534,2)+4)&amp;"-S"&amp;TEXT(WEEKNUM(Q534,21),"00")</f>
        <v>2026-S14</v>
      </c>
      <c r="B534" s="18" t="s">
        <v>69</v>
      </c>
      <c r="C534" s="19" t="n">
        <v>0.333333333333333</v>
      </c>
      <c r="D534" s="19" t="n">
        <v>0.333333333333333</v>
      </c>
      <c r="E534" s="19" t="n">
        <v>0.708333333333333</v>
      </c>
      <c r="F534" s="19" t="n">
        <v>0.708333333333333</v>
      </c>
      <c r="G534" s="20"/>
      <c r="H534" s="20"/>
      <c r="I534" s="8" t="str">
        <f aca="false">IF(IF(OR(C534="",D534="Congé",D534="OFF",D534="Congé spécial"),"",IF(D534&gt;F534,D534-C534,IF(C534-D534&lt;0,0,C534-D534)))&lt;0.00068287037037037,"",IF(OR(D534="Congé",D534="OFF",C534="",D534="Congé spécial"),"",IF(D534&gt;F534,D534-C534,IF(C534-D534&lt;0,0,C534-D534))))</f>
        <v/>
      </c>
      <c r="J534" s="20"/>
      <c r="K534" s="8" t="n">
        <f aca="false">IF(SUM(H534:J534)&lt;0.00068287037037037,0,SUM(H534:J534))</f>
        <v>0</v>
      </c>
      <c r="L534" s="8" t="n">
        <f aca="false">IF(OR(F534="Congé",F534="OFF",M534="Abs",F534="Congé sans solde",F534="Férié",F534="Congé spécial",D534="Congé spécial"),0,IF(F534-E534&lt;0,0,IF(F534-E534&lt;=0.00068287037037037,0,F534-E534)))</f>
        <v>0</v>
      </c>
      <c r="M534" s="6" t="n">
        <f aca="false">IF(AND(O534&lt;&gt;0,C534=""),"Abs",0)</f>
        <v>0</v>
      </c>
      <c r="N534" s="8" t="n">
        <f aca="false">IFERROR(IF(OR(D534="OFF",D534="Congé",M534="Abs",D534="Congé sans solde",D534="Férié"),"",IF(O534-K534-L534&gt;O534,O534,IF(O534-K534-L534&lt;0,"",O534-K534-L534))),"")</f>
        <v>0.333333333333333</v>
      </c>
      <c r="O534" s="8" t="n">
        <f aca="false">IF(AG534="2H Pause déjeuner",IF(F534-D534-0.0833333333333333&lt;0,F534-D534-0.0833333333333333+1,F534-D534-0.0833333333333333),IF(OR(AND(F534="OFF",D534="OFF"),AND(F534="Congé",D534="Congé"),AND(F534="Congé sans solde",D534="Congé sans solde"),AND(F534="Congé spécial",D534="Congé spécial"),AND(F534="Férié",D534="Férié"),AND(F534="OFF",D534="Congé"),AND(F534="OFF",D534="Congé sans solde"),AND(F534="OFF",D534="Congé spécial"),AND(F534="OFF",D534="Férié"),AND(F534="Congé",D534="OFF"),AND(F534="Congé",D534="Congé sans solde"),AND(F534="Congé",D534="Congé spécial"),AND(F534="Congé",D534="Férié"),AND(F534="Congé sans solde",D534="OFF"),AND(F534="Congé sans solde",D534="Congé"),AND(F534="Congé sans solde",D534="Congé spécial"),AND(F534="Congé sans solde",D534="Férié"),AND(F534="Congé spécial",D534="OFF"),AND(F534="Congé spécial",D534="Congé"),AND(F534="Congé spécial",D534="Congé sans solde"),AND(F534="Congé spécial",D534="Férié"),AND(F534="Férié",D534="OFF"),AND(F534="Férié",D534="Congé"),AND(F534="Férié",D534="Congé sans solde"),AND(F534="Férié",D534="Congé spécial")),0,IF(OR(F534="OFF",F534="Congé",F534="Congé spécial",F534="Congé sans solde",D534="OFF",D534="Congé",D534="Congé spécial",D534="Congé sans solde"),0.208333333333334,IF(AND(AG534="",F534-D534&lt;0),("24:00:00"-D534)+("00:00:00"+F534)-0.0416666666666667,IF(AND(OR(AG534="Allaitement",AG534="Sans déjeuner"),F534-D534&lt;0),("24:00:00"-D534)+("00:00:00"+F534),IF(AND(AG534="",F534-D534&gt;0.166666666666667),F534-D534-0.0416666666666667,IF(AND(OR(AG534="Allaitement",AG534="Sans déjeuner"),F534-D534&gt;0.166666666666667),F534-D534,F534-D534)))))))</f>
        <v>0.333333333333333</v>
      </c>
      <c r="P534" s="6" t="str">
        <f aca="false">IFERROR(VLOOKUP($B534,Agents!$A:$D,2,0),"-")</f>
        <v>Accessibilité</v>
      </c>
      <c r="Q534" s="21" t="n">
        <v>46115</v>
      </c>
      <c r="R534" s="8" t="n">
        <f aca="false">IF(M534="Abs",O534,0)</f>
        <v>0</v>
      </c>
      <c r="S534" s="8" t="n">
        <f aca="false">SUM(R534,L534,I534,J534,W534,H534)</f>
        <v>0</v>
      </c>
      <c r="T534" s="6" t="str">
        <f aca="false">"Sem - "&amp;WEEKNUM(Q534,21)</f>
        <v>Sem - 14</v>
      </c>
      <c r="U534" s="6" t="str">
        <f aca="false">CHOOSE(MONTH(Q534),"Janvier","Février","Mars","Avril","Mai","Juin","Juillet","Août","Septembre","Octobre","Novembre","Décembre")</f>
        <v>Avril</v>
      </c>
      <c r="V534" s="22" t="n">
        <f aca="false">YEAR(Q534)</f>
        <v>2026</v>
      </c>
      <c r="W534" s="20"/>
      <c r="X534" s="8" t="n">
        <f aca="false">IFERROR(IF(M534="Abs",0,IF(ROUND((D534-C534+E534-F534)*1440,0)&lt;=1,0,D534-C534+E534-F534)),0)</f>
        <v>0</v>
      </c>
      <c r="Y534" s="6" t="str">
        <f aca="false">IFERROR(VLOOKUP($B534,Agents!$A:$D,3,0),"-")</f>
        <v>OUBRAHIM Mohammed</v>
      </c>
      <c r="Z534" s="6" t="str">
        <f aca="false">IFERROR(VLOOKUP($B534,Agents!$A:$D,4,0),"-")</f>
        <v>Credit Mutuel</v>
      </c>
      <c r="AA534" s="18" t="s">
        <v>96</v>
      </c>
      <c r="AB534" s="8" t="str">
        <f aca="false">IF(AND(D534="Congé",F534="Congé"),0.333333333333333,IF(OR(AND(D534="Congé",F534&lt;&gt;"Congé"),(AND(F534="Congé",D534&lt;&gt;"Congé"))),0.166666666666667,""))</f>
        <v/>
      </c>
      <c r="AC534" s="8" t="str">
        <f aca="false">IF(AND(D534="Congé sans solde",F534="Congé sans solde"),0.333333333333333,IF(OR(AND(D534="Congé sans solde",F534&lt;&gt;"Congé sans solde"),(AND(F534="Congé sans solde",D534&lt;&gt;"Congé sans solde"))),0.166666666666667,""))</f>
        <v/>
      </c>
      <c r="AD534" s="8" t="str">
        <f aca="false">IF(AND(D534="Congé spécial",F534="Congé spécial"),0.333333333333333,IF(OR(AND(D534="Congé spécial",F534&lt;&gt;"Congé spécial"),AND(F534="Congé spécial",D534&lt;&gt;"Congé spécial")),0.166666666666667,""))</f>
        <v/>
      </c>
      <c r="AE534" s="8" t="str">
        <f aca="false">IF(AND(D534="Férié",F534="Férié"),0.333333333333333,IF(OR(AND(D534="Férié",F534&lt;&gt;"Férié"),(AND(F534="Férié",D534&lt;&gt;"Férié"))),0.166666666666667,""))</f>
        <v/>
      </c>
      <c r="AF534" s="18"/>
      <c r="AG534" s="18"/>
    </row>
    <row r="535" customFormat="false" ht="15" hidden="false" customHeight="false" outlineLevel="0" collapsed="false">
      <c r="A535" s="6" t="str">
        <f aca="false">YEAR(Q535-WEEKDAY(Q535,2)+4)&amp;"-S"&amp;TEXT(WEEKNUM(Q535,21),"00")</f>
        <v>2026-S14</v>
      </c>
      <c r="B535" s="18" t="s">
        <v>71</v>
      </c>
      <c r="C535" s="19" t="n">
        <v>0.333333333333333</v>
      </c>
      <c r="D535" s="19" t="n">
        <v>0.333333333333333</v>
      </c>
      <c r="E535" s="19" t="n">
        <v>0.708333333333333</v>
      </c>
      <c r="F535" s="19" t="n">
        <v>0.708333333333333</v>
      </c>
      <c r="G535" s="20"/>
      <c r="H535" s="20"/>
      <c r="I535" s="8" t="str">
        <f aca="false">IF(IF(OR(C535="",D535="Congé",D535="OFF",D535="Congé spécial"),"",IF(D535&gt;F535,D535-C535,IF(C535-D535&lt;0,0,C535-D535)))&lt;0.00068287037037037,"",IF(OR(D535="Congé",D535="OFF",C535="",D535="Congé spécial"),"",IF(D535&gt;F535,D535-C535,IF(C535-D535&lt;0,0,C535-D535))))</f>
        <v/>
      </c>
      <c r="J535" s="20"/>
      <c r="K535" s="8" t="n">
        <f aca="false">IF(SUM(H535:J535)&lt;0.00068287037037037,0,SUM(H535:J535))</f>
        <v>0</v>
      </c>
      <c r="L535" s="8" t="n">
        <f aca="false">IF(OR(F535="Congé",F535="OFF",M535="Abs",F535="Congé sans solde",F535="Férié",F535="Congé spécial",D535="Congé spécial"),0,IF(F535-E535&lt;0,0,IF(F535-E535&lt;=0.00068287037037037,0,F535-E535)))</f>
        <v>0</v>
      </c>
      <c r="M535" s="6" t="n">
        <f aca="false">IF(AND(O535&lt;&gt;0,C535=""),"Abs",0)</f>
        <v>0</v>
      </c>
      <c r="N535" s="8" t="n">
        <f aca="false">IFERROR(IF(OR(D535="OFF",D535="Congé",M535="Abs",D535="Congé sans solde",D535="Férié"),"",IF(O535-K535-L535&gt;O535,O535,IF(O535-K535-L535&lt;0,"",O535-K535-L535))),"")</f>
        <v>0.333333333333333</v>
      </c>
      <c r="O535" s="8" t="n">
        <f aca="false">IF(AG535="2H Pause déjeuner",IF(F535-D535-0.0833333333333333&lt;0,F535-D535-0.0833333333333333+1,F535-D535-0.0833333333333333),IF(OR(AND(F535="OFF",D535="OFF"),AND(F535="Congé",D535="Congé"),AND(F535="Congé sans solde",D535="Congé sans solde"),AND(F535="Congé spécial",D535="Congé spécial"),AND(F535="Férié",D535="Férié"),AND(F535="OFF",D535="Congé"),AND(F535="OFF",D535="Congé sans solde"),AND(F535="OFF",D535="Congé spécial"),AND(F535="OFF",D535="Férié"),AND(F535="Congé",D535="OFF"),AND(F535="Congé",D535="Congé sans solde"),AND(F535="Congé",D535="Congé spécial"),AND(F535="Congé",D535="Férié"),AND(F535="Congé sans solde",D535="OFF"),AND(F535="Congé sans solde",D535="Congé"),AND(F535="Congé sans solde",D535="Congé spécial"),AND(F535="Congé sans solde",D535="Férié"),AND(F535="Congé spécial",D535="OFF"),AND(F535="Congé spécial",D535="Congé"),AND(F535="Congé spécial",D535="Congé sans solde"),AND(F535="Congé spécial",D535="Férié"),AND(F535="Férié",D535="OFF"),AND(F535="Férié",D535="Congé"),AND(F535="Férié",D535="Congé sans solde"),AND(F535="Férié",D535="Congé spécial")),0,IF(OR(F535="OFF",F535="Congé",F535="Congé spécial",F535="Congé sans solde",D535="OFF",D535="Congé",D535="Congé spécial",D535="Congé sans solde"),0.208333333333334,IF(AND(AG535="",F535-D535&lt;0),("24:00:00"-D535)+("00:00:00"+F535)-0.0416666666666667,IF(AND(OR(AG535="Allaitement",AG535="Sans déjeuner"),F535-D535&lt;0),("24:00:00"-D535)+("00:00:00"+F535),IF(AND(AG535="",F535-D535&gt;0.166666666666667),F535-D535-0.0416666666666667,IF(AND(OR(AG535="Allaitement",AG535="Sans déjeuner"),F535-D535&gt;0.166666666666667),F535-D535,F535-D535)))))))</f>
        <v>0.333333333333333</v>
      </c>
      <c r="P535" s="6" t="str">
        <f aca="false">IFERROR(VLOOKUP($B535,Agents!$A:$D,2,0),"-")</f>
        <v>Accessibilité</v>
      </c>
      <c r="Q535" s="21" t="n">
        <v>46115</v>
      </c>
      <c r="R535" s="8" t="n">
        <f aca="false">IF(M535="Abs",O535,0)</f>
        <v>0</v>
      </c>
      <c r="S535" s="8" t="n">
        <f aca="false">SUM(R535,L535,I535,J535,W535,H535)</f>
        <v>0</v>
      </c>
      <c r="T535" s="6" t="str">
        <f aca="false">"Sem - "&amp;WEEKNUM(Q535,21)</f>
        <v>Sem - 14</v>
      </c>
      <c r="U535" s="6" t="str">
        <f aca="false">CHOOSE(MONTH(Q535),"Janvier","Février","Mars","Avril","Mai","Juin","Juillet","Août","Septembre","Octobre","Novembre","Décembre")</f>
        <v>Avril</v>
      </c>
      <c r="V535" s="22" t="n">
        <f aca="false">YEAR(Q535)</f>
        <v>2026</v>
      </c>
      <c r="W535" s="20"/>
      <c r="X535" s="8" t="n">
        <f aca="false">IFERROR(IF(M535="Abs",0,IF(ROUND((D535-C535+E535-F535)*1440,0)&lt;=1,0,D535-C535+E535-F535)),0)</f>
        <v>0</v>
      </c>
      <c r="Y535" s="6" t="str">
        <f aca="false">IFERROR(VLOOKUP($B535,Agents!$A:$D,3,0),"-")</f>
        <v>OUBRAHIM Mohammed</v>
      </c>
      <c r="Z535" s="6" t="str">
        <f aca="false">IFERROR(VLOOKUP($B535,Agents!$A:$D,4,0),"-")</f>
        <v>Credit Mutuel</v>
      </c>
      <c r="AA535" s="18" t="s">
        <v>96</v>
      </c>
      <c r="AB535" s="8" t="str">
        <f aca="false">IF(AND(D535="Congé",F535="Congé"),0.333333333333333,IF(OR(AND(D535="Congé",F535&lt;&gt;"Congé"),(AND(F535="Congé",D535&lt;&gt;"Congé"))),0.166666666666667,""))</f>
        <v/>
      </c>
      <c r="AC535" s="8" t="str">
        <f aca="false">IF(AND(D535="Congé sans solde",F535="Congé sans solde"),0.333333333333333,IF(OR(AND(D535="Congé sans solde",F535&lt;&gt;"Congé sans solde"),(AND(F535="Congé sans solde",D535&lt;&gt;"Congé sans solde"))),0.166666666666667,""))</f>
        <v/>
      </c>
      <c r="AD535" s="8" t="str">
        <f aca="false">IF(AND(D535="Congé spécial",F535="Congé spécial"),0.333333333333333,IF(OR(AND(D535="Congé spécial",F535&lt;&gt;"Congé spécial"),AND(F535="Congé spécial",D535&lt;&gt;"Congé spécial")),0.166666666666667,""))</f>
        <v/>
      </c>
      <c r="AE535" s="8" t="str">
        <f aca="false">IF(AND(D535="Férié",F535="Férié"),0.333333333333333,IF(OR(AND(D535="Férié",F535&lt;&gt;"Férié"),(AND(F535="Férié",D535&lt;&gt;"Férié"))),0.166666666666667,""))</f>
        <v/>
      </c>
      <c r="AF535" s="18"/>
      <c r="AG535" s="18"/>
    </row>
    <row r="536" customFormat="false" ht="15" hidden="false" customHeight="false" outlineLevel="0" collapsed="false">
      <c r="A536" s="6" t="str">
        <f aca="false">YEAR(Q536-WEEKDAY(Q536,2)+4)&amp;"-S"&amp;TEXT(WEEKNUM(Q536,21),"00")</f>
        <v>2026-S14</v>
      </c>
      <c r="B536" s="18" t="s">
        <v>72</v>
      </c>
      <c r="C536" s="19" t="n">
        <v>0.333333333333333</v>
      </c>
      <c r="D536" s="19" t="n">
        <v>0.333333333333333</v>
      </c>
      <c r="E536" s="19" t="n">
        <v>0.708333333333333</v>
      </c>
      <c r="F536" s="19" t="n">
        <v>0.708333333333333</v>
      </c>
      <c r="G536" s="20"/>
      <c r="H536" s="20"/>
      <c r="I536" s="8" t="str">
        <f aca="false">IF(IF(OR(C536="",D536="Congé",D536="OFF",D536="Congé spécial"),"",IF(D536&gt;F536,D536-C536,IF(C536-D536&lt;0,0,C536-D536)))&lt;0.00068287037037037,"",IF(OR(D536="Congé",D536="OFF",C536="",D536="Congé spécial"),"",IF(D536&gt;F536,D536-C536,IF(C536-D536&lt;0,0,C536-D536))))</f>
        <v/>
      </c>
      <c r="J536" s="20"/>
      <c r="K536" s="8" t="n">
        <f aca="false">IF(SUM(H536:J536)&lt;0.00068287037037037,0,SUM(H536:J536))</f>
        <v>0</v>
      </c>
      <c r="L536" s="8" t="n">
        <f aca="false">IF(OR(F536="Congé",F536="OFF",M536="Abs",F536="Congé sans solde",F536="Férié",F536="Congé spécial",D536="Congé spécial"),0,IF(F536-E536&lt;0,0,IF(F536-E536&lt;=0.00068287037037037,0,F536-E536)))</f>
        <v>0</v>
      </c>
      <c r="M536" s="6" t="n">
        <f aca="false">IF(AND(O536&lt;&gt;0,C536=""),"Abs",0)</f>
        <v>0</v>
      </c>
      <c r="N536" s="8" t="n">
        <f aca="false">IFERROR(IF(OR(D536="OFF",D536="Congé",M536="Abs",D536="Congé sans solde",D536="Férié"),"",IF(O536-K536-L536&gt;O536,O536,IF(O536-K536-L536&lt;0,"",O536-K536-L536))),"")</f>
        <v>0.333333333333333</v>
      </c>
      <c r="O536" s="8" t="n">
        <f aca="false">IF(AG536="2H Pause déjeuner",IF(F536-D536-0.0833333333333333&lt;0,F536-D536-0.0833333333333333+1,F536-D536-0.0833333333333333),IF(OR(AND(F536="OFF",D536="OFF"),AND(F536="Congé",D536="Congé"),AND(F536="Congé sans solde",D536="Congé sans solde"),AND(F536="Congé spécial",D536="Congé spécial"),AND(F536="Férié",D536="Férié"),AND(F536="OFF",D536="Congé"),AND(F536="OFF",D536="Congé sans solde"),AND(F536="OFF",D536="Congé spécial"),AND(F536="OFF",D536="Férié"),AND(F536="Congé",D536="OFF"),AND(F536="Congé",D536="Congé sans solde"),AND(F536="Congé",D536="Congé spécial"),AND(F536="Congé",D536="Férié"),AND(F536="Congé sans solde",D536="OFF"),AND(F536="Congé sans solde",D536="Congé"),AND(F536="Congé sans solde",D536="Congé spécial"),AND(F536="Congé sans solde",D536="Férié"),AND(F536="Congé spécial",D536="OFF"),AND(F536="Congé spécial",D536="Congé"),AND(F536="Congé spécial",D536="Congé sans solde"),AND(F536="Congé spécial",D536="Férié"),AND(F536="Férié",D536="OFF"),AND(F536="Férié",D536="Congé"),AND(F536="Férié",D536="Congé sans solde"),AND(F536="Férié",D536="Congé spécial")),0,IF(OR(F536="OFF",F536="Congé",F536="Congé spécial",F536="Congé sans solde",D536="OFF",D536="Congé",D536="Congé spécial",D536="Congé sans solde"),0.208333333333334,IF(AND(AG536="",F536-D536&lt;0),("24:00:00"-D536)+("00:00:00"+F536)-0.0416666666666667,IF(AND(OR(AG536="Allaitement",AG536="Sans déjeuner"),F536-D536&lt;0),("24:00:00"-D536)+("00:00:00"+F536),IF(AND(AG536="",F536-D536&gt;0.166666666666667),F536-D536-0.0416666666666667,IF(AND(OR(AG536="Allaitement",AG536="Sans déjeuner"),F536-D536&gt;0.166666666666667),F536-D536,F536-D536)))))))</f>
        <v>0.333333333333333</v>
      </c>
      <c r="P536" s="6" t="str">
        <f aca="false">IFERROR(VLOOKUP($B536,Agents!$A:$D,2,0),"-")</f>
        <v>Accessibilité</v>
      </c>
      <c r="Q536" s="21" t="n">
        <v>46115</v>
      </c>
      <c r="R536" s="8" t="n">
        <f aca="false">IF(M536="Abs",O536,0)</f>
        <v>0</v>
      </c>
      <c r="S536" s="8" t="n">
        <f aca="false">SUM(R536,L536,I536,J536,W536,H536)</f>
        <v>0</v>
      </c>
      <c r="T536" s="6" t="str">
        <f aca="false">"Sem - "&amp;WEEKNUM(Q536,21)</f>
        <v>Sem - 14</v>
      </c>
      <c r="U536" s="6" t="str">
        <f aca="false">CHOOSE(MONTH(Q536),"Janvier","Février","Mars","Avril","Mai","Juin","Juillet","Août","Septembre","Octobre","Novembre","Décembre")</f>
        <v>Avril</v>
      </c>
      <c r="V536" s="22" t="n">
        <f aca="false">YEAR(Q536)</f>
        <v>2026</v>
      </c>
      <c r="W536" s="20"/>
      <c r="X536" s="8" t="n">
        <f aca="false">IFERROR(IF(M536="Abs",0,IF(ROUND((D536-C536+E536-F536)*1440,0)&lt;=1,0,D536-C536+E536-F536)),0)</f>
        <v>0</v>
      </c>
      <c r="Y536" s="6" t="str">
        <f aca="false">IFERROR(VLOOKUP($B536,Agents!$A:$D,3,0),"-")</f>
        <v>OUBRAHIM Mohammed</v>
      </c>
      <c r="Z536" s="6" t="str">
        <f aca="false">IFERROR(VLOOKUP($B536,Agents!$A:$D,4,0),"-")</f>
        <v>Credit Mutuel</v>
      </c>
      <c r="AA536" s="18" t="s">
        <v>96</v>
      </c>
      <c r="AB536" s="8" t="str">
        <f aca="false">IF(AND(D536="Congé",F536="Congé"),0.333333333333333,IF(OR(AND(D536="Congé",F536&lt;&gt;"Congé"),(AND(F536="Congé",D536&lt;&gt;"Congé"))),0.166666666666667,""))</f>
        <v/>
      </c>
      <c r="AC536" s="8" t="str">
        <f aca="false">IF(AND(D536="Congé sans solde",F536="Congé sans solde"),0.333333333333333,IF(OR(AND(D536="Congé sans solde",F536&lt;&gt;"Congé sans solde"),(AND(F536="Congé sans solde",D536&lt;&gt;"Congé sans solde"))),0.166666666666667,""))</f>
        <v/>
      </c>
      <c r="AD536" s="8" t="str">
        <f aca="false">IF(AND(D536="Congé spécial",F536="Congé spécial"),0.333333333333333,IF(OR(AND(D536="Congé spécial",F536&lt;&gt;"Congé spécial"),AND(F536="Congé spécial",D536&lt;&gt;"Congé spécial")),0.166666666666667,""))</f>
        <v/>
      </c>
      <c r="AE536" s="8" t="str">
        <f aca="false">IF(AND(D536="Férié",F536="Férié"),0.333333333333333,IF(OR(AND(D536="Férié",F536&lt;&gt;"Férié"),(AND(F536="Férié",D536&lt;&gt;"Férié"))),0.166666666666667,""))</f>
        <v/>
      </c>
      <c r="AF536" s="18"/>
      <c r="AG536" s="18"/>
    </row>
    <row r="537" customFormat="false" ht="15" hidden="false" customHeight="false" outlineLevel="0" collapsed="false">
      <c r="A537" s="6" t="str">
        <f aca="false">YEAR(Q537-WEEKDAY(Q537,2)+4)&amp;"-S"&amp;TEXT(WEEKNUM(Q537,21),"00")</f>
        <v>2026-S14</v>
      </c>
      <c r="B537" s="18" t="s">
        <v>73</v>
      </c>
      <c r="C537" s="19" t="n">
        <v>0.333333333333333</v>
      </c>
      <c r="D537" s="19" t="n">
        <v>0.333333333333333</v>
      </c>
      <c r="E537" s="19" t="n">
        <v>0.708333333333333</v>
      </c>
      <c r="F537" s="19" t="n">
        <v>0.708333333333333</v>
      </c>
      <c r="G537" s="20"/>
      <c r="H537" s="20"/>
      <c r="I537" s="8" t="str">
        <f aca="false">IF(IF(OR(C537="",D537="Congé",D537="OFF",D537="Congé spécial"),"",IF(D537&gt;F537,D537-C537,IF(C537-D537&lt;0,0,C537-D537)))&lt;0.00068287037037037,"",IF(OR(D537="Congé",D537="OFF",C537="",D537="Congé spécial"),"",IF(D537&gt;F537,D537-C537,IF(C537-D537&lt;0,0,C537-D537))))</f>
        <v/>
      </c>
      <c r="J537" s="20"/>
      <c r="K537" s="8" t="n">
        <f aca="false">IF(SUM(H537:J537)&lt;0.00068287037037037,0,SUM(H537:J537))</f>
        <v>0</v>
      </c>
      <c r="L537" s="8" t="n">
        <f aca="false">IF(OR(F537="Congé",F537="OFF",M537="Abs",F537="Congé sans solde",F537="Férié",F537="Congé spécial",D537="Congé spécial"),0,IF(F537-E537&lt;0,0,IF(F537-E537&lt;=0.00068287037037037,0,F537-E537)))</f>
        <v>0</v>
      </c>
      <c r="M537" s="6" t="n">
        <f aca="false">IF(AND(O537&lt;&gt;0,C537=""),"Abs",0)</f>
        <v>0</v>
      </c>
      <c r="N537" s="8" t="n">
        <f aca="false">IFERROR(IF(OR(D537="OFF",D537="Congé",M537="Abs",D537="Congé sans solde",D537="Férié"),"",IF(O537-K537-L537&gt;O537,O537,IF(O537-K537-L537&lt;0,"",O537-K537-L537))),"")</f>
        <v>0.333333333333333</v>
      </c>
      <c r="O537" s="8" t="n">
        <f aca="false">IF(AG537="2H Pause déjeuner",IF(F537-D537-0.0833333333333333&lt;0,F537-D537-0.0833333333333333+1,F537-D537-0.0833333333333333),IF(OR(AND(F537="OFF",D537="OFF"),AND(F537="Congé",D537="Congé"),AND(F537="Congé sans solde",D537="Congé sans solde"),AND(F537="Congé spécial",D537="Congé spécial"),AND(F537="Férié",D537="Férié"),AND(F537="OFF",D537="Congé"),AND(F537="OFF",D537="Congé sans solde"),AND(F537="OFF",D537="Congé spécial"),AND(F537="OFF",D537="Férié"),AND(F537="Congé",D537="OFF"),AND(F537="Congé",D537="Congé sans solde"),AND(F537="Congé",D537="Congé spécial"),AND(F537="Congé",D537="Férié"),AND(F537="Congé sans solde",D537="OFF"),AND(F537="Congé sans solde",D537="Congé"),AND(F537="Congé sans solde",D537="Congé spécial"),AND(F537="Congé sans solde",D537="Férié"),AND(F537="Congé spécial",D537="OFF"),AND(F537="Congé spécial",D537="Congé"),AND(F537="Congé spécial",D537="Congé sans solde"),AND(F537="Congé spécial",D537="Férié"),AND(F537="Férié",D537="OFF"),AND(F537="Férié",D537="Congé"),AND(F537="Férié",D537="Congé sans solde"),AND(F537="Férié",D537="Congé spécial")),0,IF(OR(F537="OFF",F537="Congé",F537="Congé spécial",F537="Congé sans solde",D537="OFF",D537="Congé",D537="Congé spécial",D537="Congé sans solde"),0.208333333333334,IF(AND(AG537="",F537-D537&lt;0),("24:00:00"-D537)+("00:00:00"+F537)-0.0416666666666667,IF(AND(OR(AG537="Allaitement",AG537="Sans déjeuner"),F537-D537&lt;0),("24:00:00"-D537)+("00:00:00"+F537),IF(AND(AG537="",F537-D537&gt;0.166666666666667),F537-D537-0.0416666666666667,IF(AND(OR(AG537="Allaitement",AG537="Sans déjeuner"),F537-D537&gt;0.166666666666667),F537-D537,F537-D537)))))))</f>
        <v>0.333333333333333</v>
      </c>
      <c r="P537" s="6" t="str">
        <f aca="false">IFERROR(VLOOKUP($B537,Agents!$A:$D,2,0),"-")</f>
        <v>Accessibilité</v>
      </c>
      <c r="Q537" s="21" t="n">
        <v>46115</v>
      </c>
      <c r="R537" s="8" t="n">
        <f aca="false">IF(M537="Abs",O537,0)</f>
        <v>0</v>
      </c>
      <c r="S537" s="8" t="n">
        <f aca="false">SUM(R537,L537,I537,J537,W537,H537)</f>
        <v>0</v>
      </c>
      <c r="T537" s="6" t="str">
        <f aca="false">"Sem - "&amp;WEEKNUM(Q537,21)</f>
        <v>Sem - 14</v>
      </c>
      <c r="U537" s="6" t="str">
        <f aca="false">CHOOSE(MONTH(Q537),"Janvier","Février","Mars","Avril","Mai","Juin","Juillet","Août","Septembre","Octobre","Novembre","Décembre")</f>
        <v>Avril</v>
      </c>
      <c r="V537" s="22" t="n">
        <f aca="false">YEAR(Q537)</f>
        <v>2026</v>
      </c>
      <c r="W537" s="20"/>
      <c r="X537" s="8" t="n">
        <f aca="false">IFERROR(IF(M537="Abs",0,IF(ROUND((D537-C537+E537-F537)*1440,0)&lt;=1,0,D537-C537+E537-F537)),0)</f>
        <v>0</v>
      </c>
      <c r="Y537" s="6" t="str">
        <f aca="false">IFERROR(VLOOKUP($B537,Agents!$A:$D,3,0),"-")</f>
        <v>OUBRAHIM Mohammed</v>
      </c>
      <c r="Z537" s="6" t="str">
        <f aca="false">IFERROR(VLOOKUP($B537,Agents!$A:$D,4,0),"-")</f>
        <v>Credit Mutuel</v>
      </c>
      <c r="AA537" s="18" t="s">
        <v>96</v>
      </c>
      <c r="AB537" s="8" t="str">
        <f aca="false">IF(AND(D537="Congé",F537="Congé"),0.333333333333333,IF(OR(AND(D537="Congé",F537&lt;&gt;"Congé"),(AND(F537="Congé",D537&lt;&gt;"Congé"))),0.166666666666667,""))</f>
        <v/>
      </c>
      <c r="AC537" s="8" t="str">
        <f aca="false">IF(AND(D537="Congé sans solde",F537="Congé sans solde"),0.333333333333333,IF(OR(AND(D537="Congé sans solde",F537&lt;&gt;"Congé sans solde"),(AND(F537="Congé sans solde",D537&lt;&gt;"Congé sans solde"))),0.166666666666667,""))</f>
        <v/>
      </c>
      <c r="AD537" s="8" t="str">
        <f aca="false">IF(AND(D537="Congé spécial",F537="Congé spécial"),0.333333333333333,IF(OR(AND(D537="Congé spécial",F537&lt;&gt;"Congé spécial"),AND(F537="Congé spécial",D537&lt;&gt;"Congé spécial")),0.166666666666667,""))</f>
        <v/>
      </c>
      <c r="AE537" s="8" t="str">
        <f aca="false">IF(AND(D537="Férié",F537="Férié"),0.333333333333333,IF(OR(AND(D537="Férié",F537&lt;&gt;"Férié"),(AND(F537="Férié",D537&lt;&gt;"Férié"))),0.166666666666667,""))</f>
        <v/>
      </c>
      <c r="AF537" s="18"/>
      <c r="AG537" s="18"/>
    </row>
    <row r="538" customFormat="false" ht="15" hidden="false" customHeight="false" outlineLevel="0" collapsed="false">
      <c r="A538" s="6" t="str">
        <f aca="false">YEAR(Q538-WEEKDAY(Q538,2)+4)&amp;"-S"&amp;TEXT(WEEKNUM(Q538,21),"00")</f>
        <v>2026-S14</v>
      </c>
      <c r="B538" s="18" t="s">
        <v>69</v>
      </c>
      <c r="C538" s="19"/>
      <c r="D538" s="19" t="s">
        <v>74</v>
      </c>
      <c r="E538" s="19"/>
      <c r="F538" s="19" t="s">
        <v>74</v>
      </c>
      <c r="G538" s="20"/>
      <c r="H538" s="20"/>
      <c r="I538" s="8" t="str">
        <f aca="false">IF(IF(OR(C538="",D538="Congé",D538="OFF",D538="Congé spécial"),"",IF(D538&gt;F538,D538-C538,IF(C538-D538&lt;0,0,C538-D538)))&lt;0.00068287037037037,"",IF(OR(D538="Congé",D538="OFF",C538="",D538="Congé spécial"),"",IF(D538&gt;F538,D538-C538,IF(C538-D538&lt;0,0,C538-D538))))</f>
        <v/>
      </c>
      <c r="J538" s="20"/>
      <c r="K538" s="8" t="n">
        <f aca="false">IF(SUM(H538:J538)&lt;0.00068287037037037,0,SUM(H538:J538))</f>
        <v>0</v>
      </c>
      <c r="L538" s="8" t="n">
        <f aca="false">IF(OR(F538="Congé",F538="OFF",M538="Abs",F538="Congé sans solde",F538="Férié",F538="Congé spécial",D538="Congé spécial"),0,IF(F538-E538&lt;0,0,IF(F538-E538&lt;=0.00068287037037037,0,F538-E538)))</f>
        <v>0</v>
      </c>
      <c r="M538" s="6" t="n">
        <f aca="false">IF(AND(O538&lt;&gt;0,C538=""),"Abs",0)</f>
        <v>0</v>
      </c>
      <c r="N538" s="8" t="str">
        <f aca="false">IFERROR(IF(OR(D538="OFF",D538="Congé",M538="Abs",D538="Congé sans solde",D538="Férié"),"",IF(O538-K538-L538&gt;O538,O538,IF(O538-K538-L538&lt;0,"",O538-K538-L538))),"")</f>
        <v/>
      </c>
      <c r="O538" s="8" t="n">
        <f aca="false">IF(AG538="2H Pause déjeuner",IF(F538-D538-0.0833333333333333&lt;0,F538-D538-0.0833333333333333+1,F538-D538-0.0833333333333333),IF(OR(AND(F538="OFF",D538="OFF"),AND(F538="Congé",D538="Congé"),AND(F538="Congé sans solde",D538="Congé sans solde"),AND(F538="Congé spécial",D538="Congé spécial"),AND(F538="Férié",D538="Férié"),AND(F538="OFF",D538="Congé"),AND(F538="OFF",D538="Congé sans solde"),AND(F538="OFF",D538="Congé spécial"),AND(F538="OFF",D538="Férié"),AND(F538="Congé",D538="OFF"),AND(F538="Congé",D538="Congé sans solde"),AND(F538="Congé",D538="Congé spécial"),AND(F538="Congé",D538="Férié"),AND(F538="Congé sans solde",D538="OFF"),AND(F538="Congé sans solde",D538="Congé"),AND(F538="Congé sans solde",D538="Congé spécial"),AND(F538="Congé sans solde",D538="Férié"),AND(F538="Congé spécial",D538="OFF"),AND(F538="Congé spécial",D538="Congé"),AND(F538="Congé spécial",D538="Congé sans solde"),AND(F538="Congé spécial",D538="Férié"),AND(F538="Férié",D538="OFF"),AND(F538="Férié",D538="Congé"),AND(F538="Férié",D538="Congé sans solde"),AND(F538="Férié",D538="Congé spécial")),0,IF(OR(F538="OFF",F538="Congé",F538="Congé spécial",F538="Congé sans solde",D538="OFF",D538="Congé",D538="Congé spécial",D538="Congé sans solde"),0.208333333333334,IF(AND(AG538="",F538-D538&lt;0),("24:00:00"-D538)+("00:00:00"+F538)-0.0416666666666667,IF(AND(OR(AG538="Allaitement",AG538="Sans déjeuner"),F538-D538&lt;0),("24:00:00"-D538)+("00:00:00"+F538),IF(AND(AG538="",F538-D538&gt;0.166666666666667),F538-D538-0.0416666666666667,IF(AND(OR(AG538="Allaitement",AG538="Sans déjeuner"),F538-D538&gt;0.166666666666667),F538-D538,F538-D538)))))))</f>
        <v>0</v>
      </c>
      <c r="P538" s="6" t="str">
        <f aca="false">IFERROR(VLOOKUP($B538,Agents!$A:$D,2,0),"-")</f>
        <v>Accessibilité</v>
      </c>
      <c r="Q538" s="21" t="n">
        <v>46116</v>
      </c>
      <c r="R538" s="8" t="n">
        <f aca="false">IF(M538="Abs",O538,0)</f>
        <v>0</v>
      </c>
      <c r="S538" s="8" t="n">
        <f aca="false">SUM(R538,L538,I538,J538,W538,H538)</f>
        <v>0</v>
      </c>
      <c r="T538" s="6" t="str">
        <f aca="false">"Sem - "&amp;WEEKNUM(Q538,21)</f>
        <v>Sem - 14</v>
      </c>
      <c r="U538" s="6" t="str">
        <f aca="false">CHOOSE(MONTH(Q538),"Janvier","Février","Mars","Avril","Mai","Juin","Juillet","Août","Septembre","Octobre","Novembre","Décembre")</f>
        <v>Avril</v>
      </c>
      <c r="V538" s="22" t="n">
        <f aca="false">YEAR(Q538)</f>
        <v>2026</v>
      </c>
      <c r="W538" s="20"/>
      <c r="X538" s="8" t="n">
        <f aca="false">IFERROR(IF(M538="Abs",0,IF(ROUND((D538-C538+E538-F538)*1440,0)&lt;=1,0,D538-C538+E538-F538)),0)</f>
        <v>0</v>
      </c>
      <c r="Y538" s="6" t="str">
        <f aca="false">IFERROR(VLOOKUP($B538,Agents!$A:$D,3,0),"-")</f>
        <v>OUBRAHIM Mohammed</v>
      </c>
      <c r="Z538" s="6" t="str">
        <f aca="false">IFERROR(VLOOKUP($B538,Agents!$A:$D,4,0),"-")</f>
        <v>Credit Mutuel</v>
      </c>
      <c r="AA538" s="18" t="s">
        <v>96</v>
      </c>
      <c r="AB538" s="8" t="str">
        <f aca="false">IF(AND(D538="Congé",F538="Congé"),0.333333333333333,IF(OR(AND(D538="Congé",F538&lt;&gt;"Congé"),(AND(F538="Congé",D538&lt;&gt;"Congé"))),0.166666666666667,""))</f>
        <v/>
      </c>
      <c r="AC538" s="8" t="str">
        <f aca="false">IF(AND(D538="Congé sans solde",F538="Congé sans solde"),0.333333333333333,IF(OR(AND(D538="Congé sans solde",F538&lt;&gt;"Congé sans solde"),(AND(F538="Congé sans solde",D538&lt;&gt;"Congé sans solde"))),0.166666666666667,""))</f>
        <v/>
      </c>
      <c r="AD538" s="8" t="str">
        <f aca="false">IF(AND(D538="Congé spécial",F538="Congé spécial"),0.333333333333333,IF(OR(AND(D538="Congé spécial",F538&lt;&gt;"Congé spécial"),AND(F538="Congé spécial",D538&lt;&gt;"Congé spécial")),0.166666666666667,""))</f>
        <v/>
      </c>
      <c r="AE538" s="8" t="str">
        <f aca="false">IF(AND(D538="Férié",F538="Férié"),0.333333333333333,IF(OR(AND(D538="Férié",F538&lt;&gt;"Férié"),(AND(F538="Férié",D538&lt;&gt;"Férié"))),0.166666666666667,""))</f>
        <v/>
      </c>
      <c r="AF538" s="18"/>
      <c r="AG538" s="18"/>
    </row>
    <row r="539" customFormat="false" ht="15" hidden="false" customHeight="false" outlineLevel="0" collapsed="false">
      <c r="A539" s="6" t="str">
        <f aca="false">YEAR(Q539-WEEKDAY(Q539,2)+4)&amp;"-S"&amp;TEXT(WEEKNUM(Q539,21),"00")</f>
        <v>2026-S14</v>
      </c>
      <c r="B539" s="18" t="s">
        <v>71</v>
      </c>
      <c r="C539" s="19"/>
      <c r="D539" s="19" t="s">
        <v>74</v>
      </c>
      <c r="E539" s="19"/>
      <c r="F539" s="19" t="s">
        <v>74</v>
      </c>
      <c r="G539" s="20"/>
      <c r="H539" s="20"/>
      <c r="I539" s="8" t="str">
        <f aca="false">IF(IF(OR(C539="",D539="Congé",D539="OFF",D539="Congé spécial"),"",IF(D539&gt;F539,D539-C539,IF(C539-D539&lt;0,0,C539-D539)))&lt;0.00068287037037037,"",IF(OR(D539="Congé",D539="OFF",C539="",D539="Congé spécial"),"",IF(D539&gt;F539,D539-C539,IF(C539-D539&lt;0,0,C539-D539))))</f>
        <v/>
      </c>
      <c r="J539" s="20"/>
      <c r="K539" s="8" t="n">
        <f aca="false">IF(SUM(H539:J539)&lt;0.00068287037037037,0,SUM(H539:J539))</f>
        <v>0</v>
      </c>
      <c r="L539" s="8" t="n">
        <f aca="false">IF(OR(F539="Congé",F539="OFF",M539="Abs",F539="Congé sans solde",F539="Férié",F539="Congé spécial",D539="Congé spécial"),0,IF(F539-E539&lt;0,0,IF(F539-E539&lt;=0.00068287037037037,0,F539-E539)))</f>
        <v>0</v>
      </c>
      <c r="M539" s="6" t="n">
        <f aca="false">IF(AND(O539&lt;&gt;0,C539=""),"Abs",0)</f>
        <v>0</v>
      </c>
      <c r="N539" s="8" t="str">
        <f aca="false">IFERROR(IF(OR(D539="OFF",D539="Congé",M539="Abs",D539="Congé sans solde",D539="Férié"),"",IF(O539-K539-L539&gt;O539,O539,IF(O539-K539-L539&lt;0,"",O539-K539-L539))),"")</f>
        <v/>
      </c>
      <c r="O539" s="8" t="n">
        <f aca="false">IF(AG539="2H Pause déjeuner",IF(F539-D539-0.0833333333333333&lt;0,F539-D539-0.0833333333333333+1,F539-D539-0.0833333333333333),IF(OR(AND(F539="OFF",D539="OFF"),AND(F539="Congé",D539="Congé"),AND(F539="Congé sans solde",D539="Congé sans solde"),AND(F539="Congé spécial",D539="Congé spécial"),AND(F539="Férié",D539="Férié"),AND(F539="OFF",D539="Congé"),AND(F539="OFF",D539="Congé sans solde"),AND(F539="OFF",D539="Congé spécial"),AND(F539="OFF",D539="Férié"),AND(F539="Congé",D539="OFF"),AND(F539="Congé",D539="Congé sans solde"),AND(F539="Congé",D539="Congé spécial"),AND(F539="Congé",D539="Férié"),AND(F539="Congé sans solde",D539="OFF"),AND(F539="Congé sans solde",D539="Congé"),AND(F539="Congé sans solde",D539="Congé spécial"),AND(F539="Congé sans solde",D539="Férié"),AND(F539="Congé spécial",D539="OFF"),AND(F539="Congé spécial",D539="Congé"),AND(F539="Congé spécial",D539="Congé sans solde"),AND(F539="Congé spécial",D539="Férié"),AND(F539="Férié",D539="OFF"),AND(F539="Férié",D539="Congé"),AND(F539="Férié",D539="Congé sans solde"),AND(F539="Férié",D539="Congé spécial")),0,IF(OR(F539="OFF",F539="Congé",F539="Congé spécial",F539="Congé sans solde",D539="OFF",D539="Congé",D539="Congé spécial",D539="Congé sans solde"),0.208333333333334,IF(AND(AG539="",F539-D539&lt;0),("24:00:00"-D539)+("00:00:00"+F539)-0.0416666666666667,IF(AND(OR(AG539="Allaitement",AG539="Sans déjeuner"),F539-D539&lt;0),("24:00:00"-D539)+("00:00:00"+F539),IF(AND(AG539="",F539-D539&gt;0.166666666666667),F539-D539-0.0416666666666667,IF(AND(OR(AG539="Allaitement",AG539="Sans déjeuner"),F539-D539&gt;0.166666666666667),F539-D539,F539-D539)))))))</f>
        <v>0</v>
      </c>
      <c r="P539" s="6" t="str">
        <f aca="false">IFERROR(VLOOKUP($B539,Agents!$A:$D,2,0),"-")</f>
        <v>Accessibilité</v>
      </c>
      <c r="Q539" s="21" t="n">
        <v>46116</v>
      </c>
      <c r="R539" s="8" t="n">
        <f aca="false">IF(M539="Abs",O539,0)</f>
        <v>0</v>
      </c>
      <c r="S539" s="8" t="n">
        <f aca="false">SUM(R539,L539,I539,J539,W539,H539)</f>
        <v>0</v>
      </c>
      <c r="T539" s="6" t="str">
        <f aca="false">"Sem - "&amp;WEEKNUM(Q539,21)</f>
        <v>Sem - 14</v>
      </c>
      <c r="U539" s="6" t="str">
        <f aca="false">CHOOSE(MONTH(Q539),"Janvier","Février","Mars","Avril","Mai","Juin","Juillet","Août","Septembre","Octobre","Novembre","Décembre")</f>
        <v>Avril</v>
      </c>
      <c r="V539" s="22" t="n">
        <f aca="false">YEAR(Q539)</f>
        <v>2026</v>
      </c>
      <c r="W539" s="20"/>
      <c r="X539" s="8" t="n">
        <f aca="false">IFERROR(IF(M539="Abs",0,IF(ROUND((D539-C539+E539-F539)*1440,0)&lt;=1,0,D539-C539+E539-F539)),0)</f>
        <v>0</v>
      </c>
      <c r="Y539" s="6" t="str">
        <f aca="false">IFERROR(VLOOKUP($B539,Agents!$A:$D,3,0),"-")</f>
        <v>OUBRAHIM Mohammed</v>
      </c>
      <c r="Z539" s="6" t="str">
        <f aca="false">IFERROR(VLOOKUP($B539,Agents!$A:$D,4,0),"-")</f>
        <v>Credit Mutuel</v>
      </c>
      <c r="AA539" s="18" t="s">
        <v>96</v>
      </c>
      <c r="AB539" s="8" t="str">
        <f aca="false">IF(AND(D539="Congé",F539="Congé"),0.333333333333333,IF(OR(AND(D539="Congé",F539&lt;&gt;"Congé"),(AND(F539="Congé",D539&lt;&gt;"Congé"))),0.166666666666667,""))</f>
        <v/>
      </c>
      <c r="AC539" s="8" t="str">
        <f aca="false">IF(AND(D539="Congé sans solde",F539="Congé sans solde"),0.333333333333333,IF(OR(AND(D539="Congé sans solde",F539&lt;&gt;"Congé sans solde"),(AND(F539="Congé sans solde",D539&lt;&gt;"Congé sans solde"))),0.166666666666667,""))</f>
        <v/>
      </c>
      <c r="AD539" s="8" t="str">
        <f aca="false">IF(AND(D539="Congé spécial",F539="Congé spécial"),0.333333333333333,IF(OR(AND(D539="Congé spécial",F539&lt;&gt;"Congé spécial"),AND(F539="Congé spécial",D539&lt;&gt;"Congé spécial")),0.166666666666667,""))</f>
        <v/>
      </c>
      <c r="AE539" s="8" t="str">
        <f aca="false">IF(AND(D539="Férié",F539="Férié"),0.333333333333333,IF(OR(AND(D539="Férié",F539&lt;&gt;"Férié"),(AND(F539="Férié",D539&lt;&gt;"Férié"))),0.166666666666667,""))</f>
        <v/>
      </c>
      <c r="AF539" s="18"/>
      <c r="AG539" s="18"/>
    </row>
    <row r="540" customFormat="false" ht="15" hidden="false" customHeight="false" outlineLevel="0" collapsed="false">
      <c r="A540" s="6" t="str">
        <f aca="false">YEAR(Q540-WEEKDAY(Q540,2)+4)&amp;"-S"&amp;TEXT(WEEKNUM(Q540,21),"00")</f>
        <v>2026-S14</v>
      </c>
      <c r="B540" s="18" t="s">
        <v>72</v>
      </c>
      <c r="C540" s="19"/>
      <c r="D540" s="19" t="s">
        <v>74</v>
      </c>
      <c r="E540" s="19"/>
      <c r="F540" s="19" t="s">
        <v>74</v>
      </c>
      <c r="G540" s="20"/>
      <c r="H540" s="20"/>
      <c r="I540" s="8" t="str">
        <f aca="false">IF(IF(OR(C540="",D540="Congé",D540="OFF",D540="Congé spécial"),"",IF(D540&gt;F540,D540-C540,IF(C540-D540&lt;0,0,C540-D540)))&lt;0.00068287037037037,"",IF(OR(D540="Congé",D540="OFF",C540="",D540="Congé spécial"),"",IF(D540&gt;F540,D540-C540,IF(C540-D540&lt;0,0,C540-D540))))</f>
        <v/>
      </c>
      <c r="J540" s="20"/>
      <c r="K540" s="8" t="n">
        <f aca="false">IF(SUM(H540:J540)&lt;0.00068287037037037,0,SUM(H540:J540))</f>
        <v>0</v>
      </c>
      <c r="L540" s="8" t="n">
        <f aca="false">IF(OR(F540="Congé",F540="OFF",M540="Abs",F540="Congé sans solde",F540="Férié",F540="Congé spécial",D540="Congé spécial"),0,IF(F540-E540&lt;0,0,IF(F540-E540&lt;=0.00068287037037037,0,F540-E540)))</f>
        <v>0</v>
      </c>
      <c r="M540" s="6" t="n">
        <f aca="false">IF(AND(O540&lt;&gt;0,C540=""),"Abs",0)</f>
        <v>0</v>
      </c>
      <c r="N540" s="8" t="str">
        <f aca="false">IFERROR(IF(OR(D540="OFF",D540="Congé",M540="Abs",D540="Congé sans solde",D540="Férié"),"",IF(O540-K540-L540&gt;O540,O540,IF(O540-K540-L540&lt;0,"",O540-K540-L540))),"")</f>
        <v/>
      </c>
      <c r="O540" s="8" t="n">
        <f aca="false">IF(AG540="2H Pause déjeuner",IF(F540-D540-0.0833333333333333&lt;0,F540-D540-0.0833333333333333+1,F540-D540-0.0833333333333333),IF(OR(AND(F540="OFF",D540="OFF"),AND(F540="Congé",D540="Congé"),AND(F540="Congé sans solde",D540="Congé sans solde"),AND(F540="Congé spécial",D540="Congé spécial"),AND(F540="Férié",D540="Férié"),AND(F540="OFF",D540="Congé"),AND(F540="OFF",D540="Congé sans solde"),AND(F540="OFF",D540="Congé spécial"),AND(F540="OFF",D540="Férié"),AND(F540="Congé",D540="OFF"),AND(F540="Congé",D540="Congé sans solde"),AND(F540="Congé",D540="Congé spécial"),AND(F540="Congé",D540="Férié"),AND(F540="Congé sans solde",D540="OFF"),AND(F540="Congé sans solde",D540="Congé"),AND(F540="Congé sans solde",D540="Congé spécial"),AND(F540="Congé sans solde",D540="Férié"),AND(F540="Congé spécial",D540="OFF"),AND(F540="Congé spécial",D540="Congé"),AND(F540="Congé spécial",D540="Congé sans solde"),AND(F540="Congé spécial",D540="Férié"),AND(F540="Férié",D540="OFF"),AND(F540="Férié",D540="Congé"),AND(F540="Férié",D540="Congé sans solde"),AND(F540="Férié",D540="Congé spécial")),0,IF(OR(F540="OFF",F540="Congé",F540="Congé spécial",F540="Congé sans solde",D540="OFF",D540="Congé",D540="Congé spécial",D540="Congé sans solde"),0.208333333333334,IF(AND(AG540="",F540-D540&lt;0),("24:00:00"-D540)+("00:00:00"+F540)-0.0416666666666667,IF(AND(OR(AG540="Allaitement",AG540="Sans déjeuner"),F540-D540&lt;0),("24:00:00"-D540)+("00:00:00"+F540),IF(AND(AG540="",F540-D540&gt;0.166666666666667),F540-D540-0.0416666666666667,IF(AND(OR(AG540="Allaitement",AG540="Sans déjeuner"),F540-D540&gt;0.166666666666667),F540-D540,F540-D540)))))))</f>
        <v>0</v>
      </c>
      <c r="P540" s="6" t="str">
        <f aca="false">IFERROR(VLOOKUP($B540,Agents!$A:$D,2,0),"-")</f>
        <v>Accessibilité</v>
      </c>
      <c r="Q540" s="21" t="n">
        <v>46116</v>
      </c>
      <c r="R540" s="8" t="n">
        <f aca="false">IF(M540="Abs",O540,0)</f>
        <v>0</v>
      </c>
      <c r="S540" s="8" t="n">
        <f aca="false">SUM(R540,L540,I540,J540,W540,H540)</f>
        <v>0</v>
      </c>
      <c r="T540" s="6" t="str">
        <f aca="false">"Sem - "&amp;WEEKNUM(Q540,21)</f>
        <v>Sem - 14</v>
      </c>
      <c r="U540" s="6" t="str">
        <f aca="false">CHOOSE(MONTH(Q540),"Janvier","Février","Mars","Avril","Mai","Juin","Juillet","Août","Septembre","Octobre","Novembre","Décembre")</f>
        <v>Avril</v>
      </c>
      <c r="V540" s="22" t="n">
        <f aca="false">YEAR(Q540)</f>
        <v>2026</v>
      </c>
      <c r="W540" s="20"/>
      <c r="X540" s="8" t="n">
        <f aca="false">IFERROR(IF(M540="Abs",0,IF(ROUND((D540-C540+E540-F540)*1440,0)&lt;=1,0,D540-C540+E540-F540)),0)</f>
        <v>0</v>
      </c>
      <c r="Y540" s="6" t="str">
        <f aca="false">IFERROR(VLOOKUP($B540,Agents!$A:$D,3,0),"-")</f>
        <v>OUBRAHIM Mohammed</v>
      </c>
      <c r="Z540" s="6" t="str">
        <f aca="false">IFERROR(VLOOKUP($B540,Agents!$A:$D,4,0),"-")</f>
        <v>Credit Mutuel</v>
      </c>
      <c r="AA540" s="18" t="s">
        <v>96</v>
      </c>
      <c r="AB540" s="8" t="str">
        <f aca="false">IF(AND(D540="Congé",F540="Congé"),0.333333333333333,IF(OR(AND(D540="Congé",F540&lt;&gt;"Congé"),(AND(F540="Congé",D540&lt;&gt;"Congé"))),0.166666666666667,""))</f>
        <v/>
      </c>
      <c r="AC540" s="8" t="str">
        <f aca="false">IF(AND(D540="Congé sans solde",F540="Congé sans solde"),0.333333333333333,IF(OR(AND(D540="Congé sans solde",F540&lt;&gt;"Congé sans solde"),(AND(F540="Congé sans solde",D540&lt;&gt;"Congé sans solde"))),0.166666666666667,""))</f>
        <v/>
      </c>
      <c r="AD540" s="8" t="str">
        <f aca="false">IF(AND(D540="Congé spécial",F540="Congé spécial"),0.333333333333333,IF(OR(AND(D540="Congé spécial",F540&lt;&gt;"Congé spécial"),AND(F540="Congé spécial",D540&lt;&gt;"Congé spécial")),0.166666666666667,""))</f>
        <v/>
      </c>
      <c r="AE540" s="8" t="str">
        <f aca="false">IF(AND(D540="Férié",F540="Férié"),0.333333333333333,IF(OR(AND(D540="Férié",F540&lt;&gt;"Férié"),(AND(F540="Férié",D540&lt;&gt;"Férié"))),0.166666666666667,""))</f>
        <v/>
      </c>
      <c r="AF540" s="18"/>
      <c r="AG540" s="18"/>
    </row>
    <row r="541" customFormat="false" ht="15" hidden="false" customHeight="false" outlineLevel="0" collapsed="false">
      <c r="A541" s="6" t="str">
        <f aca="false">YEAR(Q541-WEEKDAY(Q541,2)+4)&amp;"-S"&amp;TEXT(WEEKNUM(Q541,21),"00")</f>
        <v>2026-S14</v>
      </c>
      <c r="B541" s="18" t="s">
        <v>73</v>
      </c>
      <c r="C541" s="19"/>
      <c r="D541" s="19" t="s">
        <v>74</v>
      </c>
      <c r="E541" s="19"/>
      <c r="F541" s="19" t="s">
        <v>74</v>
      </c>
      <c r="G541" s="20"/>
      <c r="H541" s="20"/>
      <c r="I541" s="8" t="str">
        <f aca="false">IF(IF(OR(C541="",D541="Congé",D541="OFF",D541="Congé spécial"),"",IF(D541&gt;F541,D541-C541,IF(C541-D541&lt;0,0,C541-D541)))&lt;0.00068287037037037,"",IF(OR(D541="Congé",D541="OFF",C541="",D541="Congé spécial"),"",IF(D541&gt;F541,D541-C541,IF(C541-D541&lt;0,0,C541-D541))))</f>
        <v/>
      </c>
      <c r="J541" s="20"/>
      <c r="K541" s="8" t="n">
        <f aca="false">IF(SUM(H541:J541)&lt;0.00068287037037037,0,SUM(H541:J541))</f>
        <v>0</v>
      </c>
      <c r="L541" s="8" t="n">
        <f aca="false">IF(OR(F541="Congé",F541="OFF",M541="Abs",F541="Congé sans solde",F541="Férié",F541="Congé spécial",D541="Congé spécial"),0,IF(F541-E541&lt;0,0,IF(F541-E541&lt;=0.00068287037037037,0,F541-E541)))</f>
        <v>0</v>
      </c>
      <c r="M541" s="6" t="n">
        <f aca="false">IF(AND(O541&lt;&gt;0,C541=""),"Abs",0)</f>
        <v>0</v>
      </c>
      <c r="N541" s="8" t="str">
        <f aca="false">IFERROR(IF(OR(D541="OFF",D541="Congé",M541="Abs",D541="Congé sans solde",D541="Férié"),"",IF(O541-K541-L541&gt;O541,O541,IF(O541-K541-L541&lt;0,"",O541-K541-L541))),"")</f>
        <v/>
      </c>
      <c r="O541" s="8" t="n">
        <f aca="false">IF(AG541="2H Pause déjeuner",IF(F541-D541-0.0833333333333333&lt;0,F541-D541-0.0833333333333333+1,F541-D541-0.0833333333333333),IF(OR(AND(F541="OFF",D541="OFF"),AND(F541="Congé",D541="Congé"),AND(F541="Congé sans solde",D541="Congé sans solde"),AND(F541="Congé spécial",D541="Congé spécial"),AND(F541="Férié",D541="Férié"),AND(F541="OFF",D541="Congé"),AND(F541="OFF",D541="Congé sans solde"),AND(F541="OFF",D541="Congé spécial"),AND(F541="OFF",D541="Férié"),AND(F541="Congé",D541="OFF"),AND(F541="Congé",D541="Congé sans solde"),AND(F541="Congé",D541="Congé spécial"),AND(F541="Congé",D541="Férié"),AND(F541="Congé sans solde",D541="OFF"),AND(F541="Congé sans solde",D541="Congé"),AND(F541="Congé sans solde",D541="Congé spécial"),AND(F541="Congé sans solde",D541="Férié"),AND(F541="Congé spécial",D541="OFF"),AND(F541="Congé spécial",D541="Congé"),AND(F541="Congé spécial",D541="Congé sans solde"),AND(F541="Congé spécial",D541="Férié"),AND(F541="Férié",D541="OFF"),AND(F541="Férié",D541="Congé"),AND(F541="Férié",D541="Congé sans solde"),AND(F541="Férié",D541="Congé spécial")),0,IF(OR(F541="OFF",F541="Congé",F541="Congé spécial",F541="Congé sans solde",D541="OFF",D541="Congé",D541="Congé spécial",D541="Congé sans solde"),0.208333333333334,IF(AND(AG541="",F541-D541&lt;0),("24:00:00"-D541)+("00:00:00"+F541)-0.0416666666666667,IF(AND(OR(AG541="Allaitement",AG541="Sans déjeuner"),F541-D541&lt;0),("24:00:00"-D541)+("00:00:00"+F541),IF(AND(AG541="",F541-D541&gt;0.166666666666667),F541-D541-0.0416666666666667,IF(AND(OR(AG541="Allaitement",AG541="Sans déjeuner"),F541-D541&gt;0.166666666666667),F541-D541,F541-D541)))))))</f>
        <v>0</v>
      </c>
      <c r="P541" s="6" t="str">
        <f aca="false">IFERROR(VLOOKUP($B541,Agents!$A:$D,2,0),"-")</f>
        <v>Accessibilité</v>
      </c>
      <c r="Q541" s="21" t="n">
        <v>46116</v>
      </c>
      <c r="R541" s="8" t="n">
        <f aca="false">IF(M541="Abs",O541,0)</f>
        <v>0</v>
      </c>
      <c r="S541" s="8" t="n">
        <f aca="false">SUM(R541,L541,I541,J541,W541,H541)</f>
        <v>0</v>
      </c>
      <c r="T541" s="6" t="str">
        <f aca="false">"Sem - "&amp;WEEKNUM(Q541,21)</f>
        <v>Sem - 14</v>
      </c>
      <c r="U541" s="6" t="str">
        <f aca="false">CHOOSE(MONTH(Q541),"Janvier","Février","Mars","Avril","Mai","Juin","Juillet","Août","Septembre","Octobre","Novembre","Décembre")</f>
        <v>Avril</v>
      </c>
      <c r="V541" s="22" t="n">
        <f aca="false">YEAR(Q541)</f>
        <v>2026</v>
      </c>
      <c r="W541" s="20"/>
      <c r="X541" s="8" t="n">
        <f aca="false">IFERROR(IF(M541="Abs",0,IF(ROUND((D541-C541+E541-F541)*1440,0)&lt;=1,0,D541-C541+E541-F541)),0)</f>
        <v>0</v>
      </c>
      <c r="Y541" s="6" t="str">
        <f aca="false">IFERROR(VLOOKUP($B541,Agents!$A:$D,3,0),"-")</f>
        <v>OUBRAHIM Mohammed</v>
      </c>
      <c r="Z541" s="6" t="str">
        <f aca="false">IFERROR(VLOOKUP($B541,Agents!$A:$D,4,0),"-")</f>
        <v>Credit Mutuel</v>
      </c>
      <c r="AA541" s="18" t="s">
        <v>96</v>
      </c>
      <c r="AB541" s="8" t="str">
        <f aca="false">IF(AND(D541="Congé",F541="Congé"),0.333333333333333,IF(OR(AND(D541="Congé",F541&lt;&gt;"Congé"),(AND(F541="Congé",D541&lt;&gt;"Congé"))),0.166666666666667,""))</f>
        <v/>
      </c>
      <c r="AC541" s="8" t="str">
        <f aca="false">IF(AND(D541="Congé sans solde",F541="Congé sans solde"),0.333333333333333,IF(OR(AND(D541="Congé sans solde",F541&lt;&gt;"Congé sans solde"),(AND(F541="Congé sans solde",D541&lt;&gt;"Congé sans solde"))),0.166666666666667,""))</f>
        <v/>
      </c>
      <c r="AD541" s="8" t="str">
        <f aca="false">IF(AND(D541="Congé spécial",F541="Congé spécial"),0.333333333333333,IF(OR(AND(D541="Congé spécial",F541&lt;&gt;"Congé spécial"),AND(F541="Congé spécial",D541&lt;&gt;"Congé spécial")),0.166666666666667,""))</f>
        <v/>
      </c>
      <c r="AE541" s="8" t="str">
        <f aca="false">IF(AND(D541="Férié",F541="Férié"),0.333333333333333,IF(OR(AND(D541="Férié",F541&lt;&gt;"Férié"),(AND(F541="Férié",D541&lt;&gt;"Férié"))),0.166666666666667,""))</f>
        <v/>
      </c>
      <c r="AF541" s="18"/>
      <c r="AG541" s="18"/>
    </row>
    <row r="542" customFormat="false" ht="15" hidden="false" customHeight="false" outlineLevel="0" collapsed="false">
      <c r="A542" s="6" t="str">
        <f aca="false">YEAR(Q542-WEEKDAY(Q542,2)+4)&amp;"-S"&amp;TEXT(WEEKNUM(Q542,21),"00")</f>
        <v>2026-S14</v>
      </c>
      <c r="B542" s="18" t="s">
        <v>69</v>
      </c>
      <c r="C542" s="19"/>
      <c r="D542" s="19" t="s">
        <v>74</v>
      </c>
      <c r="E542" s="19"/>
      <c r="F542" s="19" t="s">
        <v>74</v>
      </c>
      <c r="G542" s="20"/>
      <c r="H542" s="20"/>
      <c r="I542" s="8" t="str">
        <f aca="false">IF(IF(OR(C542="",D542="Congé",D542="OFF",D542="Congé spécial"),"",IF(D542&gt;F542,D542-C542,IF(C542-D542&lt;0,0,C542-D542)))&lt;0.00068287037037037,"",IF(OR(D542="Congé",D542="OFF",C542="",D542="Congé spécial"),"",IF(D542&gt;F542,D542-C542,IF(C542-D542&lt;0,0,C542-D542))))</f>
        <v/>
      </c>
      <c r="J542" s="20"/>
      <c r="K542" s="8" t="n">
        <f aca="false">IF(SUM(H542:J542)&lt;0.00068287037037037,0,SUM(H542:J542))</f>
        <v>0</v>
      </c>
      <c r="L542" s="8" t="n">
        <f aca="false">IF(OR(F542="Congé",F542="OFF",M542="Abs",F542="Congé sans solde",F542="Férié",F542="Congé spécial",D542="Congé spécial"),0,IF(F542-E542&lt;0,0,IF(F542-E542&lt;=0.00068287037037037,0,F542-E542)))</f>
        <v>0</v>
      </c>
      <c r="M542" s="6" t="n">
        <f aca="false">IF(AND(O542&lt;&gt;0,C542=""),"Abs",0)</f>
        <v>0</v>
      </c>
      <c r="N542" s="8" t="str">
        <f aca="false">IFERROR(IF(OR(D542="OFF",D542="Congé",M542="Abs",D542="Congé sans solde",D542="Férié"),"",IF(O542-K542-L542&gt;O542,O542,IF(O542-K542-L542&lt;0,"",O542-K542-L542))),"")</f>
        <v/>
      </c>
      <c r="O542" s="8" t="n">
        <f aca="false">IF(AG542="2H Pause déjeuner",IF(F542-D542-0.0833333333333333&lt;0,F542-D542-0.0833333333333333+1,F542-D542-0.0833333333333333),IF(OR(AND(F542="OFF",D542="OFF"),AND(F542="Congé",D542="Congé"),AND(F542="Congé sans solde",D542="Congé sans solde"),AND(F542="Congé spécial",D542="Congé spécial"),AND(F542="Férié",D542="Férié"),AND(F542="OFF",D542="Congé"),AND(F542="OFF",D542="Congé sans solde"),AND(F542="OFF",D542="Congé spécial"),AND(F542="OFF",D542="Férié"),AND(F542="Congé",D542="OFF"),AND(F542="Congé",D542="Congé sans solde"),AND(F542="Congé",D542="Congé spécial"),AND(F542="Congé",D542="Férié"),AND(F542="Congé sans solde",D542="OFF"),AND(F542="Congé sans solde",D542="Congé"),AND(F542="Congé sans solde",D542="Congé spécial"),AND(F542="Congé sans solde",D542="Férié"),AND(F542="Congé spécial",D542="OFF"),AND(F542="Congé spécial",D542="Congé"),AND(F542="Congé spécial",D542="Congé sans solde"),AND(F542="Congé spécial",D542="Férié"),AND(F542="Férié",D542="OFF"),AND(F542="Férié",D542="Congé"),AND(F542="Férié",D542="Congé sans solde"),AND(F542="Férié",D542="Congé spécial")),0,IF(OR(F542="OFF",F542="Congé",F542="Congé spécial",F542="Congé sans solde",D542="OFF",D542="Congé",D542="Congé spécial",D542="Congé sans solde"),0.208333333333334,IF(AND(AG542="",F542-D542&lt;0),("24:00:00"-D542)+("00:00:00"+F542)-0.0416666666666667,IF(AND(OR(AG542="Allaitement",AG542="Sans déjeuner"),F542-D542&lt;0),("24:00:00"-D542)+("00:00:00"+F542),IF(AND(AG542="",F542-D542&gt;0.166666666666667),F542-D542-0.0416666666666667,IF(AND(OR(AG542="Allaitement",AG542="Sans déjeuner"),F542-D542&gt;0.166666666666667),F542-D542,F542-D542)))))))</f>
        <v>0</v>
      </c>
      <c r="P542" s="6" t="str">
        <f aca="false">IFERROR(VLOOKUP($B542,Agents!$A:$D,2,0),"-")</f>
        <v>Accessibilité</v>
      </c>
      <c r="Q542" s="21" t="n">
        <v>46117</v>
      </c>
      <c r="R542" s="8" t="n">
        <f aca="false">IF(M542="Abs",O542,0)</f>
        <v>0</v>
      </c>
      <c r="S542" s="8" t="n">
        <f aca="false">SUM(R542,L542,I542,J542,W542,H542)</f>
        <v>0</v>
      </c>
      <c r="T542" s="6" t="str">
        <f aca="false">"Sem - "&amp;WEEKNUM(Q542,21)</f>
        <v>Sem - 14</v>
      </c>
      <c r="U542" s="6" t="str">
        <f aca="false">CHOOSE(MONTH(Q542),"Janvier","Février","Mars","Avril","Mai","Juin","Juillet","Août","Septembre","Octobre","Novembre","Décembre")</f>
        <v>Avril</v>
      </c>
      <c r="V542" s="22" t="n">
        <f aca="false">YEAR(Q542)</f>
        <v>2026</v>
      </c>
      <c r="W542" s="20"/>
      <c r="X542" s="8" t="n">
        <f aca="false">IFERROR(IF(M542="Abs",0,IF(ROUND((D542-C542+E542-F542)*1440,0)&lt;=1,0,D542-C542+E542-F542)),0)</f>
        <v>0</v>
      </c>
      <c r="Y542" s="6" t="str">
        <f aca="false">IFERROR(VLOOKUP($B542,Agents!$A:$D,3,0),"-")</f>
        <v>OUBRAHIM Mohammed</v>
      </c>
      <c r="Z542" s="6" t="str">
        <f aca="false">IFERROR(VLOOKUP($B542,Agents!$A:$D,4,0),"-")</f>
        <v>Credit Mutuel</v>
      </c>
      <c r="AA542" s="18" t="s">
        <v>96</v>
      </c>
      <c r="AB542" s="8" t="str">
        <f aca="false">IF(AND(D542="Congé",F542="Congé"),0.333333333333333,IF(OR(AND(D542="Congé",F542&lt;&gt;"Congé"),(AND(F542="Congé",D542&lt;&gt;"Congé"))),0.166666666666667,""))</f>
        <v/>
      </c>
      <c r="AC542" s="8" t="str">
        <f aca="false">IF(AND(D542="Congé sans solde",F542="Congé sans solde"),0.333333333333333,IF(OR(AND(D542="Congé sans solde",F542&lt;&gt;"Congé sans solde"),(AND(F542="Congé sans solde",D542&lt;&gt;"Congé sans solde"))),0.166666666666667,""))</f>
        <v/>
      </c>
      <c r="AD542" s="8" t="str">
        <f aca="false">IF(AND(D542="Congé spécial",F542="Congé spécial"),0.333333333333333,IF(OR(AND(D542="Congé spécial",F542&lt;&gt;"Congé spécial"),AND(F542="Congé spécial",D542&lt;&gt;"Congé spécial")),0.166666666666667,""))</f>
        <v/>
      </c>
      <c r="AE542" s="8" t="str">
        <f aca="false">IF(AND(D542="Férié",F542="Férié"),0.333333333333333,IF(OR(AND(D542="Férié",F542&lt;&gt;"Férié"),(AND(F542="Férié",D542&lt;&gt;"Férié"))),0.166666666666667,""))</f>
        <v/>
      </c>
      <c r="AF542" s="18"/>
      <c r="AG542" s="18"/>
    </row>
    <row r="543" customFormat="false" ht="15" hidden="false" customHeight="false" outlineLevel="0" collapsed="false">
      <c r="A543" s="6" t="str">
        <f aca="false">YEAR(Q543-WEEKDAY(Q543,2)+4)&amp;"-S"&amp;TEXT(WEEKNUM(Q543,21),"00")</f>
        <v>2026-S14</v>
      </c>
      <c r="B543" s="18" t="s">
        <v>71</v>
      </c>
      <c r="C543" s="19"/>
      <c r="D543" s="19" t="s">
        <v>74</v>
      </c>
      <c r="E543" s="19"/>
      <c r="F543" s="19" t="s">
        <v>74</v>
      </c>
      <c r="G543" s="20"/>
      <c r="H543" s="20"/>
      <c r="I543" s="8" t="str">
        <f aca="false">IF(IF(OR(C543="",D543="Congé",D543="OFF",D543="Congé spécial"),"",IF(D543&gt;F543,D543-C543,IF(C543-D543&lt;0,0,C543-D543)))&lt;0.00068287037037037,"",IF(OR(D543="Congé",D543="OFF",C543="",D543="Congé spécial"),"",IF(D543&gt;F543,D543-C543,IF(C543-D543&lt;0,0,C543-D543))))</f>
        <v/>
      </c>
      <c r="J543" s="20"/>
      <c r="K543" s="8" t="n">
        <f aca="false">IF(SUM(H543:J543)&lt;0.00068287037037037,0,SUM(H543:J543))</f>
        <v>0</v>
      </c>
      <c r="L543" s="8" t="n">
        <f aca="false">IF(OR(F543="Congé",F543="OFF",M543="Abs",F543="Congé sans solde",F543="Férié",F543="Congé spécial",D543="Congé spécial"),0,IF(F543-E543&lt;0,0,IF(F543-E543&lt;=0.00068287037037037,0,F543-E543)))</f>
        <v>0</v>
      </c>
      <c r="M543" s="6" t="n">
        <f aca="false">IF(AND(O543&lt;&gt;0,C543=""),"Abs",0)</f>
        <v>0</v>
      </c>
      <c r="N543" s="8" t="str">
        <f aca="false">IFERROR(IF(OR(D543="OFF",D543="Congé",M543="Abs",D543="Congé sans solde",D543="Férié"),"",IF(O543-K543-L543&gt;O543,O543,IF(O543-K543-L543&lt;0,"",O543-K543-L543))),"")</f>
        <v/>
      </c>
      <c r="O543" s="8" t="n">
        <f aca="false">IF(AG543="2H Pause déjeuner",IF(F543-D543-0.0833333333333333&lt;0,F543-D543-0.0833333333333333+1,F543-D543-0.0833333333333333),IF(OR(AND(F543="OFF",D543="OFF"),AND(F543="Congé",D543="Congé"),AND(F543="Congé sans solde",D543="Congé sans solde"),AND(F543="Congé spécial",D543="Congé spécial"),AND(F543="Férié",D543="Férié"),AND(F543="OFF",D543="Congé"),AND(F543="OFF",D543="Congé sans solde"),AND(F543="OFF",D543="Congé spécial"),AND(F543="OFF",D543="Férié"),AND(F543="Congé",D543="OFF"),AND(F543="Congé",D543="Congé sans solde"),AND(F543="Congé",D543="Congé spécial"),AND(F543="Congé",D543="Férié"),AND(F543="Congé sans solde",D543="OFF"),AND(F543="Congé sans solde",D543="Congé"),AND(F543="Congé sans solde",D543="Congé spécial"),AND(F543="Congé sans solde",D543="Férié"),AND(F543="Congé spécial",D543="OFF"),AND(F543="Congé spécial",D543="Congé"),AND(F543="Congé spécial",D543="Congé sans solde"),AND(F543="Congé spécial",D543="Férié"),AND(F543="Férié",D543="OFF"),AND(F543="Férié",D543="Congé"),AND(F543="Férié",D543="Congé sans solde"),AND(F543="Férié",D543="Congé spécial")),0,IF(OR(F543="OFF",F543="Congé",F543="Congé spécial",F543="Congé sans solde",D543="OFF",D543="Congé",D543="Congé spécial",D543="Congé sans solde"),0.208333333333334,IF(AND(AG543="",F543-D543&lt;0),("24:00:00"-D543)+("00:00:00"+F543)-0.0416666666666667,IF(AND(OR(AG543="Allaitement",AG543="Sans déjeuner"),F543-D543&lt;0),("24:00:00"-D543)+("00:00:00"+F543),IF(AND(AG543="",F543-D543&gt;0.166666666666667),F543-D543-0.0416666666666667,IF(AND(OR(AG543="Allaitement",AG543="Sans déjeuner"),F543-D543&gt;0.166666666666667),F543-D543,F543-D543)))))))</f>
        <v>0</v>
      </c>
      <c r="P543" s="6" t="str">
        <f aca="false">IFERROR(VLOOKUP($B543,Agents!$A:$D,2,0),"-")</f>
        <v>Accessibilité</v>
      </c>
      <c r="Q543" s="21" t="n">
        <v>46117</v>
      </c>
      <c r="R543" s="8" t="n">
        <f aca="false">IF(M543="Abs",O543,0)</f>
        <v>0</v>
      </c>
      <c r="S543" s="8" t="n">
        <f aca="false">SUM(R543,L543,I543,J543,W543,H543)</f>
        <v>0</v>
      </c>
      <c r="T543" s="6" t="str">
        <f aca="false">"Sem - "&amp;WEEKNUM(Q543,21)</f>
        <v>Sem - 14</v>
      </c>
      <c r="U543" s="6" t="str">
        <f aca="false">CHOOSE(MONTH(Q543),"Janvier","Février","Mars","Avril","Mai","Juin","Juillet","Août","Septembre","Octobre","Novembre","Décembre")</f>
        <v>Avril</v>
      </c>
      <c r="V543" s="22" t="n">
        <f aca="false">YEAR(Q543)</f>
        <v>2026</v>
      </c>
      <c r="W543" s="20"/>
      <c r="X543" s="8" t="n">
        <f aca="false">IFERROR(IF(M543="Abs",0,IF(ROUND((D543-C543+E543-F543)*1440,0)&lt;=1,0,D543-C543+E543-F543)),0)</f>
        <v>0</v>
      </c>
      <c r="Y543" s="6" t="str">
        <f aca="false">IFERROR(VLOOKUP($B543,Agents!$A:$D,3,0),"-")</f>
        <v>OUBRAHIM Mohammed</v>
      </c>
      <c r="Z543" s="6" t="str">
        <f aca="false">IFERROR(VLOOKUP($B543,Agents!$A:$D,4,0),"-")</f>
        <v>Credit Mutuel</v>
      </c>
      <c r="AA543" s="18" t="s">
        <v>96</v>
      </c>
      <c r="AB543" s="8" t="str">
        <f aca="false">IF(AND(D543="Congé",F543="Congé"),0.333333333333333,IF(OR(AND(D543="Congé",F543&lt;&gt;"Congé"),(AND(F543="Congé",D543&lt;&gt;"Congé"))),0.166666666666667,""))</f>
        <v/>
      </c>
      <c r="AC543" s="8" t="str">
        <f aca="false">IF(AND(D543="Congé sans solde",F543="Congé sans solde"),0.333333333333333,IF(OR(AND(D543="Congé sans solde",F543&lt;&gt;"Congé sans solde"),(AND(F543="Congé sans solde",D543&lt;&gt;"Congé sans solde"))),0.166666666666667,""))</f>
        <v/>
      </c>
      <c r="AD543" s="8" t="str">
        <f aca="false">IF(AND(D543="Congé spécial",F543="Congé spécial"),0.333333333333333,IF(OR(AND(D543="Congé spécial",F543&lt;&gt;"Congé spécial"),AND(F543="Congé spécial",D543&lt;&gt;"Congé spécial")),0.166666666666667,""))</f>
        <v/>
      </c>
      <c r="AE543" s="8" t="str">
        <f aca="false">IF(AND(D543="Férié",F543="Férié"),0.333333333333333,IF(OR(AND(D543="Férié",F543&lt;&gt;"Férié"),(AND(F543="Férié",D543&lt;&gt;"Férié"))),0.166666666666667,""))</f>
        <v/>
      </c>
      <c r="AF543" s="18"/>
      <c r="AG543" s="18"/>
    </row>
    <row r="544" customFormat="false" ht="15" hidden="false" customHeight="false" outlineLevel="0" collapsed="false">
      <c r="A544" s="6" t="str">
        <f aca="false">YEAR(Q544-WEEKDAY(Q544,2)+4)&amp;"-S"&amp;TEXT(WEEKNUM(Q544,21),"00")</f>
        <v>2026-S14</v>
      </c>
      <c r="B544" s="18" t="s">
        <v>72</v>
      </c>
      <c r="C544" s="19"/>
      <c r="D544" s="19" t="s">
        <v>74</v>
      </c>
      <c r="E544" s="19"/>
      <c r="F544" s="19" t="s">
        <v>74</v>
      </c>
      <c r="G544" s="20"/>
      <c r="H544" s="20"/>
      <c r="I544" s="8" t="str">
        <f aca="false">IF(IF(OR(C544="",D544="Congé",D544="OFF",D544="Congé spécial"),"",IF(D544&gt;F544,D544-C544,IF(C544-D544&lt;0,0,C544-D544)))&lt;0.00068287037037037,"",IF(OR(D544="Congé",D544="OFF",C544="",D544="Congé spécial"),"",IF(D544&gt;F544,D544-C544,IF(C544-D544&lt;0,0,C544-D544))))</f>
        <v/>
      </c>
      <c r="J544" s="20"/>
      <c r="K544" s="8" t="n">
        <f aca="false">IF(SUM(H544:J544)&lt;0.00068287037037037,0,SUM(H544:J544))</f>
        <v>0</v>
      </c>
      <c r="L544" s="8" t="n">
        <f aca="false">IF(OR(F544="Congé",F544="OFF",M544="Abs",F544="Congé sans solde",F544="Férié",F544="Congé spécial",D544="Congé spécial"),0,IF(F544-E544&lt;0,0,IF(F544-E544&lt;=0.00068287037037037,0,F544-E544)))</f>
        <v>0</v>
      </c>
      <c r="M544" s="6" t="n">
        <f aca="false">IF(AND(O544&lt;&gt;0,C544=""),"Abs",0)</f>
        <v>0</v>
      </c>
      <c r="N544" s="8" t="str">
        <f aca="false">IFERROR(IF(OR(D544="OFF",D544="Congé",M544="Abs",D544="Congé sans solde",D544="Férié"),"",IF(O544-K544-L544&gt;O544,O544,IF(O544-K544-L544&lt;0,"",O544-K544-L544))),"")</f>
        <v/>
      </c>
      <c r="O544" s="8" t="n">
        <f aca="false">IF(AG544="2H Pause déjeuner",IF(F544-D544-0.0833333333333333&lt;0,F544-D544-0.0833333333333333+1,F544-D544-0.0833333333333333),IF(OR(AND(F544="OFF",D544="OFF"),AND(F544="Congé",D544="Congé"),AND(F544="Congé sans solde",D544="Congé sans solde"),AND(F544="Congé spécial",D544="Congé spécial"),AND(F544="Férié",D544="Férié"),AND(F544="OFF",D544="Congé"),AND(F544="OFF",D544="Congé sans solde"),AND(F544="OFF",D544="Congé spécial"),AND(F544="OFF",D544="Férié"),AND(F544="Congé",D544="OFF"),AND(F544="Congé",D544="Congé sans solde"),AND(F544="Congé",D544="Congé spécial"),AND(F544="Congé",D544="Férié"),AND(F544="Congé sans solde",D544="OFF"),AND(F544="Congé sans solde",D544="Congé"),AND(F544="Congé sans solde",D544="Congé spécial"),AND(F544="Congé sans solde",D544="Férié"),AND(F544="Congé spécial",D544="OFF"),AND(F544="Congé spécial",D544="Congé"),AND(F544="Congé spécial",D544="Congé sans solde"),AND(F544="Congé spécial",D544="Férié"),AND(F544="Férié",D544="OFF"),AND(F544="Férié",D544="Congé"),AND(F544="Férié",D544="Congé sans solde"),AND(F544="Férié",D544="Congé spécial")),0,IF(OR(F544="OFF",F544="Congé",F544="Congé spécial",F544="Congé sans solde",D544="OFF",D544="Congé",D544="Congé spécial",D544="Congé sans solde"),0.208333333333334,IF(AND(AG544="",F544-D544&lt;0),("24:00:00"-D544)+("00:00:00"+F544)-0.0416666666666667,IF(AND(OR(AG544="Allaitement",AG544="Sans déjeuner"),F544-D544&lt;0),("24:00:00"-D544)+("00:00:00"+F544),IF(AND(AG544="",F544-D544&gt;0.166666666666667),F544-D544-0.0416666666666667,IF(AND(OR(AG544="Allaitement",AG544="Sans déjeuner"),F544-D544&gt;0.166666666666667),F544-D544,F544-D544)))))))</f>
        <v>0</v>
      </c>
      <c r="P544" s="6" t="str">
        <f aca="false">IFERROR(VLOOKUP($B544,Agents!$A:$D,2,0),"-")</f>
        <v>Accessibilité</v>
      </c>
      <c r="Q544" s="21" t="n">
        <v>46117</v>
      </c>
      <c r="R544" s="8" t="n">
        <f aca="false">IF(M544="Abs",O544,0)</f>
        <v>0</v>
      </c>
      <c r="S544" s="8" t="n">
        <f aca="false">SUM(R544,L544,I544,J544,W544,H544)</f>
        <v>0</v>
      </c>
      <c r="T544" s="6" t="str">
        <f aca="false">"Sem - "&amp;WEEKNUM(Q544,21)</f>
        <v>Sem - 14</v>
      </c>
      <c r="U544" s="6" t="str">
        <f aca="false">CHOOSE(MONTH(Q544),"Janvier","Février","Mars","Avril","Mai","Juin","Juillet","Août","Septembre","Octobre","Novembre","Décembre")</f>
        <v>Avril</v>
      </c>
      <c r="V544" s="22" t="n">
        <f aca="false">YEAR(Q544)</f>
        <v>2026</v>
      </c>
      <c r="W544" s="20"/>
      <c r="X544" s="8" t="n">
        <f aca="false">IFERROR(IF(M544="Abs",0,IF(ROUND((D544-C544+E544-F544)*1440,0)&lt;=1,0,D544-C544+E544-F544)),0)</f>
        <v>0</v>
      </c>
      <c r="Y544" s="6" t="str">
        <f aca="false">IFERROR(VLOOKUP($B544,Agents!$A:$D,3,0),"-")</f>
        <v>OUBRAHIM Mohammed</v>
      </c>
      <c r="Z544" s="6" t="str">
        <f aca="false">IFERROR(VLOOKUP($B544,Agents!$A:$D,4,0),"-")</f>
        <v>Credit Mutuel</v>
      </c>
      <c r="AA544" s="18" t="s">
        <v>96</v>
      </c>
      <c r="AB544" s="8" t="str">
        <f aca="false">IF(AND(D544="Congé",F544="Congé"),0.333333333333333,IF(OR(AND(D544="Congé",F544&lt;&gt;"Congé"),(AND(F544="Congé",D544&lt;&gt;"Congé"))),0.166666666666667,""))</f>
        <v/>
      </c>
      <c r="AC544" s="8" t="str">
        <f aca="false">IF(AND(D544="Congé sans solde",F544="Congé sans solde"),0.333333333333333,IF(OR(AND(D544="Congé sans solde",F544&lt;&gt;"Congé sans solde"),(AND(F544="Congé sans solde",D544&lt;&gt;"Congé sans solde"))),0.166666666666667,""))</f>
        <v/>
      </c>
      <c r="AD544" s="8" t="str">
        <f aca="false">IF(AND(D544="Congé spécial",F544="Congé spécial"),0.333333333333333,IF(OR(AND(D544="Congé spécial",F544&lt;&gt;"Congé spécial"),AND(F544="Congé spécial",D544&lt;&gt;"Congé spécial")),0.166666666666667,""))</f>
        <v/>
      </c>
      <c r="AE544" s="8" t="str">
        <f aca="false">IF(AND(D544="Férié",F544="Férié"),0.333333333333333,IF(OR(AND(D544="Férié",F544&lt;&gt;"Férié"),(AND(F544="Férié",D544&lt;&gt;"Férié"))),0.166666666666667,""))</f>
        <v/>
      </c>
      <c r="AF544" s="18"/>
      <c r="AG544" s="18"/>
    </row>
    <row r="545" customFormat="false" ht="15" hidden="false" customHeight="false" outlineLevel="0" collapsed="false">
      <c r="A545" s="6" t="str">
        <f aca="false">YEAR(Q545-WEEKDAY(Q545,2)+4)&amp;"-S"&amp;TEXT(WEEKNUM(Q545,21),"00")</f>
        <v>2026-S14</v>
      </c>
      <c r="B545" s="18" t="s">
        <v>73</v>
      </c>
      <c r="C545" s="19"/>
      <c r="D545" s="19" t="s">
        <v>74</v>
      </c>
      <c r="E545" s="19"/>
      <c r="F545" s="19" t="s">
        <v>74</v>
      </c>
      <c r="G545" s="20"/>
      <c r="H545" s="20"/>
      <c r="I545" s="8" t="str">
        <f aca="false">IF(IF(OR(C545="",D545="Congé",D545="OFF",D545="Congé spécial"),"",IF(D545&gt;F545,D545-C545,IF(C545-D545&lt;0,0,C545-D545)))&lt;0.00068287037037037,"",IF(OR(D545="Congé",D545="OFF",C545="",D545="Congé spécial"),"",IF(D545&gt;F545,D545-C545,IF(C545-D545&lt;0,0,C545-D545))))</f>
        <v/>
      </c>
      <c r="J545" s="20"/>
      <c r="K545" s="8" t="n">
        <f aca="false">IF(SUM(H545:J545)&lt;0.00068287037037037,0,SUM(H545:J545))</f>
        <v>0</v>
      </c>
      <c r="L545" s="8" t="n">
        <f aca="false">IF(OR(F545="Congé",F545="OFF",M545="Abs",F545="Congé sans solde",F545="Férié",F545="Congé spécial",D545="Congé spécial"),0,IF(F545-E545&lt;0,0,IF(F545-E545&lt;=0.00068287037037037,0,F545-E545)))</f>
        <v>0</v>
      </c>
      <c r="M545" s="6" t="n">
        <f aca="false">IF(AND(O545&lt;&gt;0,C545=""),"Abs",0)</f>
        <v>0</v>
      </c>
      <c r="N545" s="8" t="str">
        <f aca="false">IFERROR(IF(OR(D545="OFF",D545="Congé",M545="Abs",D545="Congé sans solde",D545="Férié"),"",IF(O545-K545-L545&gt;O545,O545,IF(O545-K545-L545&lt;0,"",O545-K545-L545))),"")</f>
        <v/>
      </c>
      <c r="O545" s="8" t="n">
        <f aca="false">IF(AG545="2H Pause déjeuner",IF(F545-D545-0.0833333333333333&lt;0,F545-D545-0.0833333333333333+1,F545-D545-0.0833333333333333),IF(OR(AND(F545="OFF",D545="OFF"),AND(F545="Congé",D545="Congé"),AND(F545="Congé sans solde",D545="Congé sans solde"),AND(F545="Congé spécial",D545="Congé spécial"),AND(F545="Férié",D545="Férié"),AND(F545="OFF",D545="Congé"),AND(F545="OFF",D545="Congé sans solde"),AND(F545="OFF",D545="Congé spécial"),AND(F545="OFF",D545="Férié"),AND(F545="Congé",D545="OFF"),AND(F545="Congé",D545="Congé sans solde"),AND(F545="Congé",D545="Congé spécial"),AND(F545="Congé",D545="Férié"),AND(F545="Congé sans solde",D545="OFF"),AND(F545="Congé sans solde",D545="Congé"),AND(F545="Congé sans solde",D545="Congé spécial"),AND(F545="Congé sans solde",D545="Férié"),AND(F545="Congé spécial",D545="OFF"),AND(F545="Congé spécial",D545="Congé"),AND(F545="Congé spécial",D545="Congé sans solde"),AND(F545="Congé spécial",D545="Férié"),AND(F545="Férié",D545="OFF"),AND(F545="Férié",D545="Congé"),AND(F545="Férié",D545="Congé sans solde"),AND(F545="Férié",D545="Congé spécial")),0,IF(OR(F545="OFF",F545="Congé",F545="Congé spécial",F545="Congé sans solde",D545="OFF",D545="Congé",D545="Congé spécial",D545="Congé sans solde"),0.208333333333334,IF(AND(AG545="",F545-D545&lt;0),("24:00:00"-D545)+("00:00:00"+F545)-0.0416666666666667,IF(AND(OR(AG545="Allaitement",AG545="Sans déjeuner"),F545-D545&lt;0),("24:00:00"-D545)+("00:00:00"+F545),IF(AND(AG545="",F545-D545&gt;0.166666666666667),F545-D545-0.0416666666666667,IF(AND(OR(AG545="Allaitement",AG545="Sans déjeuner"),F545-D545&gt;0.166666666666667),F545-D545,F545-D545)))))))</f>
        <v>0</v>
      </c>
      <c r="P545" s="6" t="str">
        <f aca="false">IFERROR(VLOOKUP($B545,Agents!$A:$D,2,0),"-")</f>
        <v>Accessibilité</v>
      </c>
      <c r="Q545" s="21" t="n">
        <v>46117</v>
      </c>
      <c r="R545" s="8" t="n">
        <f aca="false">IF(M545="Abs",O545,0)</f>
        <v>0</v>
      </c>
      <c r="S545" s="8" t="n">
        <f aca="false">SUM(R545,L545,I545,J545,W545,H545)</f>
        <v>0</v>
      </c>
      <c r="T545" s="6" t="str">
        <f aca="false">"Sem - "&amp;WEEKNUM(Q545,21)</f>
        <v>Sem - 14</v>
      </c>
      <c r="U545" s="6" t="str">
        <f aca="false">CHOOSE(MONTH(Q545),"Janvier","Février","Mars","Avril","Mai","Juin","Juillet","Août","Septembre","Octobre","Novembre","Décembre")</f>
        <v>Avril</v>
      </c>
      <c r="V545" s="22" t="n">
        <f aca="false">YEAR(Q545)</f>
        <v>2026</v>
      </c>
      <c r="W545" s="20"/>
      <c r="X545" s="8" t="n">
        <f aca="false">IFERROR(IF(M545="Abs",0,IF(ROUND((D545-C545+E545-F545)*1440,0)&lt;=1,0,D545-C545+E545-F545)),0)</f>
        <v>0</v>
      </c>
      <c r="Y545" s="6" t="str">
        <f aca="false">IFERROR(VLOOKUP($B545,Agents!$A:$D,3,0),"-")</f>
        <v>OUBRAHIM Mohammed</v>
      </c>
      <c r="Z545" s="6" t="str">
        <f aca="false">IFERROR(VLOOKUP($B545,Agents!$A:$D,4,0),"-")</f>
        <v>Credit Mutuel</v>
      </c>
      <c r="AA545" s="18" t="s">
        <v>96</v>
      </c>
      <c r="AB545" s="8" t="str">
        <f aca="false">IF(AND(D545="Congé",F545="Congé"),0.333333333333333,IF(OR(AND(D545="Congé",F545&lt;&gt;"Congé"),(AND(F545="Congé",D545&lt;&gt;"Congé"))),0.166666666666667,""))</f>
        <v/>
      </c>
      <c r="AC545" s="8" t="str">
        <f aca="false">IF(AND(D545="Congé sans solde",F545="Congé sans solde"),0.333333333333333,IF(OR(AND(D545="Congé sans solde",F545&lt;&gt;"Congé sans solde"),(AND(F545="Congé sans solde",D545&lt;&gt;"Congé sans solde"))),0.166666666666667,""))</f>
        <v/>
      </c>
      <c r="AD545" s="8" t="str">
        <f aca="false">IF(AND(D545="Congé spécial",F545="Congé spécial"),0.333333333333333,IF(OR(AND(D545="Congé spécial",F545&lt;&gt;"Congé spécial"),AND(F545="Congé spécial",D545&lt;&gt;"Congé spécial")),0.166666666666667,""))</f>
        <v/>
      </c>
      <c r="AE545" s="8" t="str">
        <f aca="false">IF(AND(D545="Férié",F545="Férié"),0.333333333333333,IF(OR(AND(D545="Férié",F545&lt;&gt;"Férié"),(AND(F545="Férié",D545&lt;&gt;"Férié"))),0.166666666666667,""))</f>
        <v/>
      </c>
      <c r="AF545" s="18"/>
      <c r="AG545" s="18"/>
    </row>
    <row r="546" customFormat="false" ht="15" hidden="false" customHeight="false" outlineLevel="0" collapsed="false">
      <c r="A546" s="6" t="str">
        <f aca="false">YEAR(Q546-WEEKDAY(Q546,2)+4)&amp;"-S"&amp;TEXT(WEEKNUM(Q546,21),"00")</f>
        <v>2026-S15</v>
      </c>
      <c r="B546" s="18" t="s">
        <v>69</v>
      </c>
      <c r="C546" s="19"/>
      <c r="D546" s="19" t="s">
        <v>74</v>
      </c>
      <c r="E546" s="19"/>
      <c r="F546" s="19" t="s">
        <v>74</v>
      </c>
      <c r="G546" s="20"/>
      <c r="H546" s="20"/>
      <c r="I546" s="8" t="str">
        <f aca="false">IF(IF(OR(C546="",D546="Congé",D546="OFF",D546="Congé spécial"),"",IF(D546&gt;F546,D546-C546,IF(C546-D546&lt;0,0,C546-D546)))&lt;0.00068287037037037,"",IF(OR(D546="Congé",D546="OFF",C546="",D546="Congé spécial"),"",IF(D546&gt;F546,D546-C546,IF(C546-D546&lt;0,0,C546-D546))))</f>
        <v/>
      </c>
      <c r="J546" s="20"/>
      <c r="K546" s="8" t="n">
        <f aca="false">IF(SUM(H546:J546)&lt;0.00068287037037037,0,SUM(H546:J546))</f>
        <v>0</v>
      </c>
      <c r="L546" s="8" t="n">
        <f aca="false">IF(OR(F546="Congé",F546="OFF",M546="Abs",F546="Congé sans solde",F546="Férié",F546="Congé spécial",D546="Congé spécial"),0,IF(F546-E546&lt;0,0,IF(F546-E546&lt;=0.00068287037037037,0,F546-E546)))</f>
        <v>0</v>
      </c>
      <c r="M546" s="6" t="n">
        <f aca="false">IF(AND(O546&lt;&gt;0,C546=""),"Abs",0)</f>
        <v>0</v>
      </c>
      <c r="N546" s="8" t="str">
        <f aca="false">IFERROR(IF(OR(D546="OFF",D546="Congé",M546="Abs",D546="Congé sans solde",D546="Férié"),"",IF(O546-K546-L546&gt;O546,O546,IF(O546-K546-L546&lt;0,"",O546-K546-L546))),"")</f>
        <v/>
      </c>
      <c r="O546" s="8" t="n">
        <f aca="false">IF(AG546="2H Pause déjeuner",IF(F546-D546-0.0833333333333333&lt;0,F546-D546-0.0833333333333333+1,F546-D546-0.0833333333333333),IF(OR(AND(F546="OFF",D546="OFF"),AND(F546="Congé",D546="Congé"),AND(F546="Congé sans solde",D546="Congé sans solde"),AND(F546="Congé spécial",D546="Congé spécial"),AND(F546="Férié",D546="Férié"),AND(F546="OFF",D546="Congé"),AND(F546="OFF",D546="Congé sans solde"),AND(F546="OFF",D546="Congé spécial"),AND(F546="OFF",D546="Férié"),AND(F546="Congé",D546="OFF"),AND(F546="Congé",D546="Congé sans solde"),AND(F546="Congé",D546="Congé spécial"),AND(F546="Congé",D546="Férié"),AND(F546="Congé sans solde",D546="OFF"),AND(F546="Congé sans solde",D546="Congé"),AND(F546="Congé sans solde",D546="Congé spécial"),AND(F546="Congé sans solde",D546="Férié"),AND(F546="Congé spécial",D546="OFF"),AND(F546="Congé spécial",D546="Congé"),AND(F546="Congé spécial",D546="Congé sans solde"),AND(F546="Congé spécial",D546="Férié"),AND(F546="Férié",D546="OFF"),AND(F546="Férié",D546="Congé"),AND(F546="Férié",D546="Congé sans solde"),AND(F546="Férié",D546="Congé spécial")),0,IF(OR(F546="OFF",F546="Congé",F546="Congé spécial",F546="Congé sans solde",D546="OFF",D546="Congé",D546="Congé spécial",D546="Congé sans solde"),0.208333333333334,IF(AND(AG546="",F546-D546&lt;0),("24:00:00"-D546)+("00:00:00"+F546)-0.0416666666666667,IF(AND(OR(AG546="Allaitement",AG546="Sans déjeuner"),F546-D546&lt;0),("24:00:00"-D546)+("00:00:00"+F546),IF(AND(AG546="",F546-D546&gt;0.166666666666667),F546-D546-0.0416666666666667,IF(AND(OR(AG546="Allaitement",AG546="Sans déjeuner"),F546-D546&gt;0.166666666666667),F546-D546,F546-D546)))))))</f>
        <v>0</v>
      </c>
      <c r="P546" s="6" t="str">
        <f aca="false">IFERROR(VLOOKUP($B546,Agents!$A:$D,2,0),"-")</f>
        <v>Accessibilité</v>
      </c>
      <c r="Q546" s="21" t="n">
        <v>46118</v>
      </c>
      <c r="R546" s="8" t="n">
        <f aca="false">IF(M546="Abs",O546,0)</f>
        <v>0</v>
      </c>
      <c r="S546" s="8" t="n">
        <f aca="false">SUM(R546,L546,I546,J546,W546,H546)</f>
        <v>0</v>
      </c>
      <c r="T546" s="6" t="str">
        <f aca="false">"Sem - "&amp;WEEKNUM(Q546,21)</f>
        <v>Sem - 15</v>
      </c>
      <c r="U546" s="6" t="str">
        <f aca="false">CHOOSE(MONTH(Q546),"Janvier","Février","Mars","Avril","Mai","Juin","Juillet","Août","Septembre","Octobre","Novembre","Décembre")</f>
        <v>Avril</v>
      </c>
      <c r="V546" s="22" t="n">
        <f aca="false">YEAR(Q546)</f>
        <v>2026</v>
      </c>
      <c r="W546" s="20"/>
      <c r="X546" s="8" t="n">
        <f aca="false">IFERROR(IF(M546="Abs",0,IF(ROUND((D546-C546+E546-F546)*1440,0)&lt;=1,0,D546-C546+E546-F546)),0)</f>
        <v>0</v>
      </c>
      <c r="Y546" s="6" t="str">
        <f aca="false">IFERROR(VLOOKUP($B546,Agents!$A:$D,3,0),"-")</f>
        <v>OUBRAHIM Mohammed</v>
      </c>
      <c r="Z546" s="6" t="str">
        <f aca="false">IFERROR(VLOOKUP($B546,Agents!$A:$D,4,0),"-")</f>
        <v>Credit Mutuel</v>
      </c>
      <c r="AA546" s="18" t="s">
        <v>97</v>
      </c>
      <c r="AB546" s="8" t="str">
        <f aca="false">IF(AND(D546="Congé",F546="Congé"),0.333333333333333,IF(OR(AND(D546="Congé",F546&lt;&gt;"Congé"),(AND(F546="Congé",D546&lt;&gt;"Congé"))),0.166666666666667,""))</f>
        <v/>
      </c>
      <c r="AC546" s="8" t="str">
        <f aca="false">IF(AND(D546="Congé sans solde",F546="Congé sans solde"),0.333333333333333,IF(OR(AND(D546="Congé sans solde",F546&lt;&gt;"Congé sans solde"),(AND(F546="Congé sans solde",D546&lt;&gt;"Congé sans solde"))),0.166666666666667,""))</f>
        <v/>
      </c>
      <c r="AD546" s="8" t="str">
        <f aca="false">IF(AND(D546="Congé spécial",F546="Congé spécial"),0.333333333333333,IF(OR(AND(D546="Congé spécial",F546&lt;&gt;"Congé spécial"),AND(F546="Congé spécial",D546&lt;&gt;"Congé spécial")),0.166666666666667,""))</f>
        <v/>
      </c>
      <c r="AE546" s="8" t="str">
        <f aca="false">IF(AND(D546="Férié",F546="Férié"),0.333333333333333,IF(OR(AND(D546="Férié",F546&lt;&gt;"Férié"),(AND(F546="Férié",D546&lt;&gt;"Férié"))),0.166666666666667,""))</f>
        <v/>
      </c>
      <c r="AF546" s="18"/>
      <c r="AG546" s="18"/>
    </row>
    <row r="547" customFormat="false" ht="15" hidden="false" customHeight="false" outlineLevel="0" collapsed="false">
      <c r="A547" s="6" t="str">
        <f aca="false">YEAR(Q547-WEEKDAY(Q547,2)+4)&amp;"-S"&amp;TEXT(WEEKNUM(Q547,21),"00")</f>
        <v>2026-S15</v>
      </c>
      <c r="B547" s="18" t="s">
        <v>71</v>
      </c>
      <c r="C547" s="19"/>
      <c r="D547" s="19" t="s">
        <v>74</v>
      </c>
      <c r="E547" s="19"/>
      <c r="F547" s="19" t="s">
        <v>74</v>
      </c>
      <c r="G547" s="20"/>
      <c r="H547" s="20"/>
      <c r="I547" s="8" t="str">
        <f aca="false">IF(IF(OR(C547="",D547="Congé",D547="OFF",D547="Congé spécial"),"",IF(D547&gt;F547,D547-C547,IF(C547-D547&lt;0,0,C547-D547)))&lt;0.00068287037037037,"",IF(OR(D547="Congé",D547="OFF",C547="",D547="Congé spécial"),"",IF(D547&gt;F547,D547-C547,IF(C547-D547&lt;0,0,C547-D547))))</f>
        <v/>
      </c>
      <c r="J547" s="20"/>
      <c r="K547" s="8" t="n">
        <f aca="false">IF(SUM(H547:J547)&lt;0.00068287037037037,0,SUM(H547:J547))</f>
        <v>0</v>
      </c>
      <c r="L547" s="8" t="n">
        <f aca="false">IF(OR(F547="Congé",F547="OFF",M547="Abs",F547="Congé sans solde",F547="Férié",F547="Congé spécial",D547="Congé spécial"),0,IF(F547-E547&lt;0,0,IF(F547-E547&lt;=0.00068287037037037,0,F547-E547)))</f>
        <v>0</v>
      </c>
      <c r="M547" s="6" t="n">
        <f aca="false">IF(AND(O547&lt;&gt;0,C547=""),"Abs",0)</f>
        <v>0</v>
      </c>
      <c r="N547" s="8" t="str">
        <f aca="false">IFERROR(IF(OR(D547="OFF",D547="Congé",M547="Abs",D547="Congé sans solde",D547="Férié"),"",IF(O547-K547-L547&gt;O547,O547,IF(O547-K547-L547&lt;0,"",O547-K547-L547))),"")</f>
        <v/>
      </c>
      <c r="O547" s="8" t="n">
        <f aca="false">IF(AG547="2H Pause déjeuner",IF(F547-D547-0.0833333333333333&lt;0,F547-D547-0.0833333333333333+1,F547-D547-0.0833333333333333),IF(OR(AND(F547="OFF",D547="OFF"),AND(F547="Congé",D547="Congé"),AND(F547="Congé sans solde",D547="Congé sans solde"),AND(F547="Congé spécial",D547="Congé spécial"),AND(F547="Férié",D547="Férié"),AND(F547="OFF",D547="Congé"),AND(F547="OFF",D547="Congé sans solde"),AND(F547="OFF",D547="Congé spécial"),AND(F547="OFF",D547="Férié"),AND(F547="Congé",D547="OFF"),AND(F547="Congé",D547="Congé sans solde"),AND(F547="Congé",D547="Congé spécial"),AND(F547="Congé",D547="Férié"),AND(F547="Congé sans solde",D547="OFF"),AND(F547="Congé sans solde",D547="Congé"),AND(F547="Congé sans solde",D547="Congé spécial"),AND(F547="Congé sans solde",D547="Férié"),AND(F547="Congé spécial",D547="OFF"),AND(F547="Congé spécial",D547="Congé"),AND(F547="Congé spécial",D547="Congé sans solde"),AND(F547="Congé spécial",D547="Férié"),AND(F547="Férié",D547="OFF"),AND(F547="Férié",D547="Congé"),AND(F547="Férié",D547="Congé sans solde"),AND(F547="Férié",D547="Congé spécial")),0,IF(OR(F547="OFF",F547="Congé",F547="Congé spécial",F547="Congé sans solde",D547="OFF",D547="Congé",D547="Congé spécial",D547="Congé sans solde"),0.208333333333334,IF(AND(AG547="",F547-D547&lt;0),("24:00:00"-D547)+("00:00:00"+F547)-0.0416666666666667,IF(AND(OR(AG547="Allaitement",AG547="Sans déjeuner"),F547-D547&lt;0),("24:00:00"-D547)+("00:00:00"+F547),IF(AND(AG547="",F547-D547&gt;0.166666666666667),F547-D547-0.0416666666666667,IF(AND(OR(AG547="Allaitement",AG547="Sans déjeuner"),F547-D547&gt;0.166666666666667),F547-D547,F547-D547)))))))</f>
        <v>0</v>
      </c>
      <c r="P547" s="6" t="str">
        <f aca="false">IFERROR(VLOOKUP($B547,Agents!$A:$D,2,0),"-")</f>
        <v>Accessibilité</v>
      </c>
      <c r="Q547" s="21" t="n">
        <v>46118</v>
      </c>
      <c r="R547" s="8" t="n">
        <f aca="false">IF(M547="Abs",O547,0)</f>
        <v>0</v>
      </c>
      <c r="S547" s="8" t="n">
        <f aca="false">SUM(R547,L547,I547,J547,W547,H547)</f>
        <v>0</v>
      </c>
      <c r="T547" s="6" t="str">
        <f aca="false">"Sem - "&amp;WEEKNUM(Q547,21)</f>
        <v>Sem - 15</v>
      </c>
      <c r="U547" s="6" t="str">
        <f aca="false">CHOOSE(MONTH(Q547),"Janvier","Février","Mars","Avril","Mai","Juin","Juillet","Août","Septembre","Octobre","Novembre","Décembre")</f>
        <v>Avril</v>
      </c>
      <c r="V547" s="22" t="n">
        <f aca="false">YEAR(Q547)</f>
        <v>2026</v>
      </c>
      <c r="W547" s="20"/>
      <c r="X547" s="8" t="n">
        <f aca="false">IFERROR(IF(M547="Abs",0,IF(ROUND((D547-C547+E547-F547)*1440,0)&lt;=1,0,D547-C547+E547-F547)),0)</f>
        <v>0</v>
      </c>
      <c r="Y547" s="6" t="str">
        <f aca="false">IFERROR(VLOOKUP($B547,Agents!$A:$D,3,0),"-")</f>
        <v>OUBRAHIM Mohammed</v>
      </c>
      <c r="Z547" s="6" t="str">
        <f aca="false">IFERROR(VLOOKUP($B547,Agents!$A:$D,4,0),"-")</f>
        <v>Credit Mutuel</v>
      </c>
      <c r="AA547" s="18" t="s">
        <v>97</v>
      </c>
      <c r="AB547" s="8" t="str">
        <f aca="false">IF(AND(D547="Congé",F547="Congé"),0.333333333333333,IF(OR(AND(D547="Congé",F547&lt;&gt;"Congé"),(AND(F547="Congé",D547&lt;&gt;"Congé"))),0.166666666666667,""))</f>
        <v/>
      </c>
      <c r="AC547" s="8" t="str">
        <f aca="false">IF(AND(D547="Congé sans solde",F547="Congé sans solde"),0.333333333333333,IF(OR(AND(D547="Congé sans solde",F547&lt;&gt;"Congé sans solde"),(AND(F547="Congé sans solde",D547&lt;&gt;"Congé sans solde"))),0.166666666666667,""))</f>
        <v/>
      </c>
      <c r="AD547" s="8" t="str">
        <f aca="false">IF(AND(D547="Congé spécial",F547="Congé spécial"),0.333333333333333,IF(OR(AND(D547="Congé spécial",F547&lt;&gt;"Congé spécial"),AND(F547="Congé spécial",D547&lt;&gt;"Congé spécial")),0.166666666666667,""))</f>
        <v/>
      </c>
      <c r="AE547" s="8" t="str">
        <f aca="false">IF(AND(D547="Férié",F547="Férié"),0.333333333333333,IF(OR(AND(D547="Férié",F547&lt;&gt;"Férié"),(AND(F547="Férié",D547&lt;&gt;"Férié"))),0.166666666666667,""))</f>
        <v/>
      </c>
      <c r="AF547" s="18"/>
      <c r="AG547" s="18"/>
    </row>
    <row r="548" customFormat="false" ht="15" hidden="false" customHeight="false" outlineLevel="0" collapsed="false">
      <c r="A548" s="6" t="str">
        <f aca="false">YEAR(Q548-WEEKDAY(Q548,2)+4)&amp;"-S"&amp;TEXT(WEEKNUM(Q548,21),"00")</f>
        <v>2026-S15</v>
      </c>
      <c r="B548" s="18" t="s">
        <v>72</v>
      </c>
      <c r="C548" s="19"/>
      <c r="D548" s="19" t="s">
        <v>74</v>
      </c>
      <c r="E548" s="19"/>
      <c r="F548" s="19" t="s">
        <v>74</v>
      </c>
      <c r="G548" s="20"/>
      <c r="H548" s="20"/>
      <c r="I548" s="8" t="str">
        <f aca="false">IF(IF(OR(C548="",D548="Congé",D548="OFF",D548="Congé spécial"),"",IF(D548&gt;F548,D548-C548,IF(C548-D548&lt;0,0,C548-D548)))&lt;0.00068287037037037,"",IF(OR(D548="Congé",D548="OFF",C548="",D548="Congé spécial"),"",IF(D548&gt;F548,D548-C548,IF(C548-D548&lt;0,0,C548-D548))))</f>
        <v/>
      </c>
      <c r="J548" s="20"/>
      <c r="K548" s="8" t="n">
        <f aca="false">IF(SUM(H548:J548)&lt;0.00068287037037037,0,SUM(H548:J548))</f>
        <v>0</v>
      </c>
      <c r="L548" s="8" t="n">
        <f aca="false">IF(OR(F548="Congé",F548="OFF",M548="Abs",F548="Congé sans solde",F548="Férié",F548="Congé spécial",D548="Congé spécial"),0,IF(F548-E548&lt;0,0,IF(F548-E548&lt;=0.00068287037037037,0,F548-E548)))</f>
        <v>0</v>
      </c>
      <c r="M548" s="6" t="n">
        <f aca="false">IF(AND(O548&lt;&gt;0,C548=""),"Abs",0)</f>
        <v>0</v>
      </c>
      <c r="N548" s="8" t="str">
        <f aca="false">IFERROR(IF(OR(D548="OFF",D548="Congé",M548="Abs",D548="Congé sans solde",D548="Férié"),"",IF(O548-K548-L548&gt;O548,O548,IF(O548-K548-L548&lt;0,"",O548-K548-L548))),"")</f>
        <v/>
      </c>
      <c r="O548" s="8" t="n">
        <f aca="false">IF(AG548="2H Pause déjeuner",IF(F548-D548-0.0833333333333333&lt;0,F548-D548-0.0833333333333333+1,F548-D548-0.0833333333333333),IF(OR(AND(F548="OFF",D548="OFF"),AND(F548="Congé",D548="Congé"),AND(F548="Congé sans solde",D548="Congé sans solde"),AND(F548="Congé spécial",D548="Congé spécial"),AND(F548="Férié",D548="Férié"),AND(F548="OFF",D548="Congé"),AND(F548="OFF",D548="Congé sans solde"),AND(F548="OFF",D548="Congé spécial"),AND(F548="OFF",D548="Férié"),AND(F548="Congé",D548="OFF"),AND(F548="Congé",D548="Congé sans solde"),AND(F548="Congé",D548="Congé spécial"),AND(F548="Congé",D548="Férié"),AND(F548="Congé sans solde",D548="OFF"),AND(F548="Congé sans solde",D548="Congé"),AND(F548="Congé sans solde",D548="Congé spécial"),AND(F548="Congé sans solde",D548="Férié"),AND(F548="Congé spécial",D548="OFF"),AND(F548="Congé spécial",D548="Congé"),AND(F548="Congé spécial",D548="Congé sans solde"),AND(F548="Congé spécial",D548="Férié"),AND(F548="Férié",D548="OFF"),AND(F548="Férié",D548="Congé"),AND(F548="Férié",D548="Congé sans solde"),AND(F548="Férié",D548="Congé spécial")),0,IF(OR(F548="OFF",F548="Congé",F548="Congé spécial",F548="Congé sans solde",D548="OFF",D548="Congé",D548="Congé spécial",D548="Congé sans solde"),0.208333333333334,IF(AND(AG548="",F548-D548&lt;0),("24:00:00"-D548)+("00:00:00"+F548)-0.0416666666666667,IF(AND(OR(AG548="Allaitement",AG548="Sans déjeuner"),F548-D548&lt;0),("24:00:00"-D548)+("00:00:00"+F548),IF(AND(AG548="",F548-D548&gt;0.166666666666667),F548-D548-0.0416666666666667,IF(AND(OR(AG548="Allaitement",AG548="Sans déjeuner"),F548-D548&gt;0.166666666666667),F548-D548,F548-D548)))))))</f>
        <v>0</v>
      </c>
      <c r="P548" s="6" t="str">
        <f aca="false">IFERROR(VLOOKUP($B548,Agents!$A:$D,2,0),"-")</f>
        <v>Accessibilité</v>
      </c>
      <c r="Q548" s="21" t="n">
        <v>46118</v>
      </c>
      <c r="R548" s="8" t="n">
        <f aca="false">IF(M548="Abs",O548,0)</f>
        <v>0</v>
      </c>
      <c r="S548" s="8" t="n">
        <f aca="false">SUM(R548,L548,I548,J548,W548,H548)</f>
        <v>0</v>
      </c>
      <c r="T548" s="6" t="str">
        <f aca="false">"Sem - "&amp;WEEKNUM(Q548,21)</f>
        <v>Sem - 15</v>
      </c>
      <c r="U548" s="6" t="str">
        <f aca="false">CHOOSE(MONTH(Q548),"Janvier","Février","Mars","Avril","Mai","Juin","Juillet","Août","Septembre","Octobre","Novembre","Décembre")</f>
        <v>Avril</v>
      </c>
      <c r="V548" s="22" t="n">
        <f aca="false">YEAR(Q548)</f>
        <v>2026</v>
      </c>
      <c r="W548" s="20"/>
      <c r="X548" s="8" t="n">
        <f aca="false">IFERROR(IF(M548="Abs",0,IF(ROUND((D548-C548+E548-F548)*1440,0)&lt;=1,0,D548-C548+E548-F548)),0)</f>
        <v>0</v>
      </c>
      <c r="Y548" s="6" t="str">
        <f aca="false">IFERROR(VLOOKUP($B548,Agents!$A:$D,3,0),"-")</f>
        <v>OUBRAHIM Mohammed</v>
      </c>
      <c r="Z548" s="6" t="str">
        <f aca="false">IFERROR(VLOOKUP($B548,Agents!$A:$D,4,0),"-")</f>
        <v>Credit Mutuel</v>
      </c>
      <c r="AA548" s="18" t="s">
        <v>97</v>
      </c>
      <c r="AB548" s="8" t="str">
        <f aca="false">IF(AND(D548="Congé",F548="Congé"),0.333333333333333,IF(OR(AND(D548="Congé",F548&lt;&gt;"Congé"),(AND(F548="Congé",D548&lt;&gt;"Congé"))),0.166666666666667,""))</f>
        <v/>
      </c>
      <c r="AC548" s="8" t="str">
        <f aca="false">IF(AND(D548="Congé sans solde",F548="Congé sans solde"),0.333333333333333,IF(OR(AND(D548="Congé sans solde",F548&lt;&gt;"Congé sans solde"),(AND(F548="Congé sans solde",D548&lt;&gt;"Congé sans solde"))),0.166666666666667,""))</f>
        <v/>
      </c>
      <c r="AD548" s="8" t="str">
        <f aca="false">IF(AND(D548="Congé spécial",F548="Congé spécial"),0.333333333333333,IF(OR(AND(D548="Congé spécial",F548&lt;&gt;"Congé spécial"),AND(F548="Congé spécial",D548&lt;&gt;"Congé spécial")),0.166666666666667,""))</f>
        <v/>
      </c>
      <c r="AE548" s="8" t="str">
        <f aca="false">IF(AND(D548="Férié",F548="Férié"),0.333333333333333,IF(OR(AND(D548="Férié",F548&lt;&gt;"Férié"),(AND(F548="Férié",D548&lt;&gt;"Férié"))),0.166666666666667,""))</f>
        <v/>
      </c>
      <c r="AF548" s="18"/>
      <c r="AG548" s="18"/>
    </row>
    <row r="549" customFormat="false" ht="15" hidden="false" customHeight="false" outlineLevel="0" collapsed="false">
      <c r="A549" s="6" t="str">
        <f aca="false">YEAR(Q549-WEEKDAY(Q549,2)+4)&amp;"-S"&amp;TEXT(WEEKNUM(Q549,21),"00")</f>
        <v>2026-S15</v>
      </c>
      <c r="B549" s="18" t="s">
        <v>73</v>
      </c>
      <c r="C549" s="19"/>
      <c r="D549" s="19" t="s">
        <v>74</v>
      </c>
      <c r="E549" s="19"/>
      <c r="F549" s="19" t="s">
        <v>74</v>
      </c>
      <c r="G549" s="20"/>
      <c r="H549" s="20"/>
      <c r="I549" s="8" t="str">
        <f aca="false">IF(IF(OR(C549="",D549="Congé",D549="OFF",D549="Congé spécial"),"",IF(D549&gt;F549,D549-C549,IF(C549-D549&lt;0,0,C549-D549)))&lt;0.00068287037037037,"",IF(OR(D549="Congé",D549="OFF",C549="",D549="Congé spécial"),"",IF(D549&gt;F549,D549-C549,IF(C549-D549&lt;0,0,C549-D549))))</f>
        <v/>
      </c>
      <c r="J549" s="20"/>
      <c r="K549" s="8" t="n">
        <f aca="false">IF(SUM(H549:J549)&lt;0.00068287037037037,0,SUM(H549:J549))</f>
        <v>0</v>
      </c>
      <c r="L549" s="8" t="n">
        <f aca="false">IF(OR(F549="Congé",F549="OFF",M549="Abs",F549="Congé sans solde",F549="Férié",F549="Congé spécial",D549="Congé spécial"),0,IF(F549-E549&lt;0,0,IF(F549-E549&lt;=0.00068287037037037,0,F549-E549)))</f>
        <v>0</v>
      </c>
      <c r="M549" s="6" t="n">
        <f aca="false">IF(AND(O549&lt;&gt;0,C549=""),"Abs",0)</f>
        <v>0</v>
      </c>
      <c r="N549" s="8" t="str">
        <f aca="false">IFERROR(IF(OR(D549="OFF",D549="Congé",M549="Abs",D549="Congé sans solde",D549="Férié"),"",IF(O549-K549-L549&gt;O549,O549,IF(O549-K549-L549&lt;0,"",O549-K549-L549))),"")</f>
        <v/>
      </c>
      <c r="O549" s="8" t="n">
        <f aca="false">IF(AG549="2H Pause déjeuner",IF(F549-D549-0.0833333333333333&lt;0,F549-D549-0.0833333333333333+1,F549-D549-0.0833333333333333),IF(OR(AND(F549="OFF",D549="OFF"),AND(F549="Congé",D549="Congé"),AND(F549="Congé sans solde",D549="Congé sans solde"),AND(F549="Congé spécial",D549="Congé spécial"),AND(F549="Férié",D549="Férié"),AND(F549="OFF",D549="Congé"),AND(F549="OFF",D549="Congé sans solde"),AND(F549="OFF",D549="Congé spécial"),AND(F549="OFF",D549="Férié"),AND(F549="Congé",D549="OFF"),AND(F549="Congé",D549="Congé sans solde"),AND(F549="Congé",D549="Congé spécial"),AND(F549="Congé",D549="Férié"),AND(F549="Congé sans solde",D549="OFF"),AND(F549="Congé sans solde",D549="Congé"),AND(F549="Congé sans solde",D549="Congé spécial"),AND(F549="Congé sans solde",D549="Férié"),AND(F549="Congé spécial",D549="OFF"),AND(F549="Congé spécial",D549="Congé"),AND(F549="Congé spécial",D549="Congé sans solde"),AND(F549="Congé spécial",D549="Férié"),AND(F549="Férié",D549="OFF"),AND(F549="Férié",D549="Congé"),AND(F549="Férié",D549="Congé sans solde"),AND(F549="Férié",D549="Congé spécial")),0,IF(OR(F549="OFF",F549="Congé",F549="Congé spécial",F549="Congé sans solde",D549="OFF",D549="Congé",D549="Congé spécial",D549="Congé sans solde"),0.208333333333334,IF(AND(AG549="",F549-D549&lt;0),("24:00:00"-D549)+("00:00:00"+F549)-0.0416666666666667,IF(AND(OR(AG549="Allaitement",AG549="Sans déjeuner"),F549-D549&lt;0),("24:00:00"-D549)+("00:00:00"+F549),IF(AND(AG549="",F549-D549&gt;0.166666666666667),F549-D549-0.0416666666666667,IF(AND(OR(AG549="Allaitement",AG549="Sans déjeuner"),F549-D549&gt;0.166666666666667),F549-D549,F549-D549)))))))</f>
        <v>0</v>
      </c>
      <c r="P549" s="6" t="str">
        <f aca="false">IFERROR(VLOOKUP($B549,Agents!$A:$D,2,0),"-")</f>
        <v>Accessibilité</v>
      </c>
      <c r="Q549" s="21" t="n">
        <v>46118</v>
      </c>
      <c r="R549" s="8" t="n">
        <f aca="false">IF(M549="Abs",O549,0)</f>
        <v>0</v>
      </c>
      <c r="S549" s="8" t="n">
        <f aca="false">SUM(R549,L549,I549,J549,W549,H549)</f>
        <v>0</v>
      </c>
      <c r="T549" s="6" t="str">
        <f aca="false">"Sem - "&amp;WEEKNUM(Q549,21)</f>
        <v>Sem - 15</v>
      </c>
      <c r="U549" s="6" t="str">
        <f aca="false">CHOOSE(MONTH(Q549),"Janvier","Février","Mars","Avril","Mai","Juin","Juillet","Août","Septembre","Octobre","Novembre","Décembre")</f>
        <v>Avril</v>
      </c>
      <c r="V549" s="22" t="n">
        <f aca="false">YEAR(Q549)</f>
        <v>2026</v>
      </c>
      <c r="W549" s="20"/>
      <c r="X549" s="8" t="n">
        <f aca="false">IFERROR(IF(M549="Abs",0,IF(ROUND((D549-C549+E549-F549)*1440,0)&lt;=1,0,D549-C549+E549-F549)),0)</f>
        <v>0</v>
      </c>
      <c r="Y549" s="6" t="str">
        <f aca="false">IFERROR(VLOOKUP($B549,Agents!$A:$D,3,0),"-")</f>
        <v>OUBRAHIM Mohammed</v>
      </c>
      <c r="Z549" s="6" t="str">
        <f aca="false">IFERROR(VLOOKUP($B549,Agents!$A:$D,4,0),"-")</f>
        <v>Credit Mutuel</v>
      </c>
      <c r="AA549" s="18" t="s">
        <v>97</v>
      </c>
      <c r="AB549" s="8" t="str">
        <f aca="false">IF(AND(D549="Congé",F549="Congé"),0.333333333333333,IF(OR(AND(D549="Congé",F549&lt;&gt;"Congé"),(AND(F549="Congé",D549&lt;&gt;"Congé"))),0.166666666666667,""))</f>
        <v/>
      </c>
      <c r="AC549" s="8" t="str">
        <f aca="false">IF(AND(D549="Congé sans solde",F549="Congé sans solde"),0.333333333333333,IF(OR(AND(D549="Congé sans solde",F549&lt;&gt;"Congé sans solde"),(AND(F549="Congé sans solde",D549&lt;&gt;"Congé sans solde"))),0.166666666666667,""))</f>
        <v/>
      </c>
      <c r="AD549" s="8" t="str">
        <f aca="false">IF(AND(D549="Congé spécial",F549="Congé spécial"),0.333333333333333,IF(OR(AND(D549="Congé spécial",F549&lt;&gt;"Congé spécial"),AND(F549="Congé spécial",D549&lt;&gt;"Congé spécial")),0.166666666666667,""))</f>
        <v/>
      </c>
      <c r="AE549" s="8" t="str">
        <f aca="false">IF(AND(D549="Férié",F549="Férié"),0.333333333333333,IF(OR(AND(D549="Férié",F549&lt;&gt;"Férié"),(AND(F549="Férié",D549&lt;&gt;"Férié"))),0.166666666666667,""))</f>
        <v/>
      </c>
      <c r="AF549" s="18"/>
      <c r="AG549" s="18"/>
    </row>
    <row r="550" customFormat="false" ht="15" hidden="false" customHeight="false" outlineLevel="0" collapsed="false">
      <c r="A550" s="6" t="str">
        <f aca="false">YEAR(Q550-WEEKDAY(Q550,2)+4)&amp;"-S"&amp;TEXT(WEEKNUM(Q550,21),"00")</f>
        <v>2026-S15</v>
      </c>
      <c r="B550" s="18" t="s">
        <v>69</v>
      </c>
      <c r="C550" s="19" t="n">
        <v>0.332638888888889</v>
      </c>
      <c r="D550" s="19" t="n">
        <v>0.333333333333333</v>
      </c>
      <c r="E550" s="19" t="n">
        <v>0.75</v>
      </c>
      <c r="F550" s="19" t="n">
        <v>0.75</v>
      </c>
      <c r="G550" s="20"/>
      <c r="H550" s="20"/>
      <c r="I550" s="8" t="str">
        <f aca="false">IF(IF(OR(C550="",D550="Congé",D550="OFF",D550="Congé spécial"),"",IF(D550&gt;F550,D550-C550,IF(C550-D550&lt;0,0,C550-D550)))&lt;0.00068287037037037,"",IF(OR(D550="Congé",D550="OFF",C550="",D550="Congé spécial"),"",IF(D550&gt;F550,D550-C550,IF(C550-D550&lt;0,0,C550-D550))))</f>
        <v/>
      </c>
      <c r="J550" s="20"/>
      <c r="K550" s="8" t="n">
        <f aca="false">IF(SUM(H550:J550)&lt;0.00068287037037037,0,SUM(H550:J550))</f>
        <v>0</v>
      </c>
      <c r="L550" s="8" t="n">
        <f aca="false">IF(OR(F550="Congé",F550="OFF",M550="Abs",F550="Congé sans solde",F550="Férié",F550="Congé spécial",D550="Congé spécial"),0,IF(F550-E550&lt;0,0,IF(F550-E550&lt;=0.00068287037037037,0,F550-E550)))</f>
        <v>0</v>
      </c>
      <c r="M550" s="6" t="n">
        <f aca="false">IF(AND(O550&lt;&gt;0,C550=""),"Abs",0)</f>
        <v>0</v>
      </c>
      <c r="N550" s="8" t="n">
        <f aca="false">IFERROR(IF(OR(D550="OFF",D550="Congé",M550="Abs",D550="Congé sans solde",D550="Férié"),"",IF(O550-K550-L550&gt;O550,O550,IF(O550-K550-L550&lt;0,"",O550-K550-L550))),"")</f>
        <v>0.375</v>
      </c>
      <c r="O550" s="8" t="n">
        <f aca="false">IF(AG550="2H Pause déjeuner",IF(F550-D550-0.0833333333333333&lt;0,F550-D550-0.0833333333333333+1,F550-D550-0.0833333333333333),IF(OR(AND(F550="OFF",D550="OFF"),AND(F550="Congé",D550="Congé"),AND(F550="Congé sans solde",D550="Congé sans solde"),AND(F550="Congé spécial",D550="Congé spécial"),AND(F550="Férié",D550="Férié"),AND(F550="OFF",D550="Congé"),AND(F550="OFF",D550="Congé sans solde"),AND(F550="OFF",D550="Congé spécial"),AND(F550="OFF",D550="Férié"),AND(F550="Congé",D550="OFF"),AND(F550="Congé",D550="Congé sans solde"),AND(F550="Congé",D550="Congé spécial"),AND(F550="Congé",D550="Férié"),AND(F550="Congé sans solde",D550="OFF"),AND(F550="Congé sans solde",D550="Congé"),AND(F550="Congé sans solde",D550="Congé spécial"),AND(F550="Congé sans solde",D550="Férié"),AND(F550="Congé spécial",D550="OFF"),AND(F550="Congé spécial",D550="Congé"),AND(F550="Congé spécial",D550="Congé sans solde"),AND(F550="Congé spécial",D550="Férié"),AND(F550="Férié",D550="OFF"),AND(F550="Férié",D550="Congé"),AND(F550="Férié",D550="Congé sans solde"),AND(F550="Férié",D550="Congé spécial")),0,IF(OR(F550="OFF",F550="Congé",F550="Congé spécial",F550="Congé sans solde",D550="OFF",D550="Congé",D550="Congé spécial",D550="Congé sans solde"),0.208333333333334,IF(AND(AG550="",F550-D550&lt;0),("24:00:00"-D550)+("00:00:00"+F550)-0.0416666666666667,IF(AND(OR(AG550="Allaitement",AG550="Sans déjeuner"),F550-D550&lt;0),("24:00:00"-D550)+("00:00:00"+F550),IF(AND(AG550="",F550-D550&gt;0.166666666666667),F550-D550-0.0416666666666667,IF(AND(OR(AG550="Allaitement",AG550="Sans déjeuner"),F550-D550&gt;0.166666666666667),F550-D550,F550-D550)))))))</f>
        <v>0.375</v>
      </c>
      <c r="P550" s="6" t="str">
        <f aca="false">IFERROR(VLOOKUP($B550,Agents!$A:$D,2,0),"-")</f>
        <v>Accessibilité</v>
      </c>
      <c r="Q550" s="21" t="n">
        <v>46119</v>
      </c>
      <c r="R550" s="8" t="n">
        <f aca="false">IF(M550="Abs",O550,0)</f>
        <v>0</v>
      </c>
      <c r="S550" s="8" t="n">
        <f aca="false">SUM(R550,L550,I550,J550,W550,H550)</f>
        <v>0</v>
      </c>
      <c r="T550" s="6" t="str">
        <f aca="false">"Sem - "&amp;WEEKNUM(Q550,21)</f>
        <v>Sem - 15</v>
      </c>
      <c r="U550" s="6" t="str">
        <f aca="false">CHOOSE(MONTH(Q550),"Janvier","Février","Mars","Avril","Mai","Juin","Juillet","Août","Septembre","Octobre","Novembre","Décembre")</f>
        <v>Avril</v>
      </c>
      <c r="V550" s="22" t="n">
        <f aca="false">YEAR(Q550)</f>
        <v>2026</v>
      </c>
      <c r="W550" s="20"/>
      <c r="X550" s="8" t="n">
        <f aca="false">IFERROR(IF(M550="Abs",0,IF(ROUND((D550-C550+E550-F550)*1440,0)&lt;=1,0,D550-C550+E550-F550)),0)</f>
        <v>0</v>
      </c>
      <c r="Y550" s="6" t="str">
        <f aca="false">IFERROR(VLOOKUP($B550,Agents!$A:$D,3,0),"-")</f>
        <v>OUBRAHIM Mohammed</v>
      </c>
      <c r="Z550" s="6" t="str">
        <f aca="false">IFERROR(VLOOKUP($B550,Agents!$A:$D,4,0),"-")</f>
        <v>Credit Mutuel</v>
      </c>
      <c r="AA550" s="18" t="s">
        <v>97</v>
      </c>
      <c r="AB550" s="8" t="str">
        <f aca="false">IF(AND(D550="Congé",F550="Congé"),0.333333333333333,IF(OR(AND(D550="Congé",F550&lt;&gt;"Congé"),(AND(F550="Congé",D550&lt;&gt;"Congé"))),0.166666666666667,""))</f>
        <v/>
      </c>
      <c r="AC550" s="8" t="str">
        <f aca="false">IF(AND(D550="Congé sans solde",F550="Congé sans solde"),0.333333333333333,IF(OR(AND(D550="Congé sans solde",F550&lt;&gt;"Congé sans solde"),(AND(F550="Congé sans solde",D550&lt;&gt;"Congé sans solde"))),0.166666666666667,""))</f>
        <v/>
      </c>
      <c r="AD550" s="8" t="str">
        <f aca="false">IF(AND(D550="Congé spécial",F550="Congé spécial"),0.333333333333333,IF(OR(AND(D550="Congé spécial",F550&lt;&gt;"Congé spécial"),AND(F550="Congé spécial",D550&lt;&gt;"Congé spécial")),0.166666666666667,""))</f>
        <v/>
      </c>
      <c r="AE550" s="8" t="str">
        <f aca="false">IF(AND(D550="Férié",F550="Férié"),0.333333333333333,IF(OR(AND(D550="Férié",F550&lt;&gt;"Férié"),(AND(F550="Férié",D550&lt;&gt;"Férié"))),0.166666666666667,""))</f>
        <v/>
      </c>
      <c r="AF550" s="18"/>
      <c r="AG550" s="18"/>
    </row>
    <row r="551" customFormat="false" ht="15" hidden="false" customHeight="false" outlineLevel="0" collapsed="false">
      <c r="A551" s="6" t="str">
        <f aca="false">YEAR(Q551-WEEKDAY(Q551,2)+4)&amp;"-S"&amp;TEXT(WEEKNUM(Q551,21),"00")</f>
        <v>2026-S15</v>
      </c>
      <c r="B551" s="18" t="s">
        <v>71</v>
      </c>
      <c r="C551" s="19" t="n">
        <v>0.331944444444444</v>
      </c>
      <c r="D551" s="19" t="n">
        <v>0.333333333333333</v>
      </c>
      <c r="E551" s="19" t="n">
        <v>0.75</v>
      </c>
      <c r="F551" s="19" t="n">
        <v>0.75</v>
      </c>
      <c r="G551" s="20"/>
      <c r="H551" s="20"/>
      <c r="I551" s="8" t="str">
        <f aca="false">IF(IF(OR(C551="",D551="Congé",D551="OFF",D551="Congé spécial"),"",IF(D551&gt;F551,D551-C551,IF(C551-D551&lt;0,0,C551-D551)))&lt;0.00068287037037037,"",IF(OR(D551="Congé",D551="OFF",C551="",D551="Congé spécial"),"",IF(D551&gt;F551,D551-C551,IF(C551-D551&lt;0,0,C551-D551))))</f>
        <v/>
      </c>
      <c r="J551" s="20"/>
      <c r="K551" s="8" t="n">
        <f aca="false">IF(SUM(H551:J551)&lt;0.00068287037037037,0,SUM(H551:J551))</f>
        <v>0</v>
      </c>
      <c r="L551" s="8" t="n">
        <f aca="false">IF(OR(F551="Congé",F551="OFF",M551="Abs",F551="Congé sans solde",F551="Férié",F551="Congé spécial",D551="Congé spécial"),0,IF(F551-E551&lt;0,0,IF(F551-E551&lt;=0.00068287037037037,0,F551-E551)))</f>
        <v>0</v>
      </c>
      <c r="M551" s="6" t="n">
        <f aca="false">IF(AND(O551&lt;&gt;0,C551=""),"Abs",0)</f>
        <v>0</v>
      </c>
      <c r="N551" s="8" t="n">
        <f aca="false">IFERROR(IF(OR(D551="OFF",D551="Congé",M551="Abs",D551="Congé sans solde",D551="Férié"),"",IF(O551-K551-L551&gt;O551,O551,IF(O551-K551-L551&lt;0,"",O551-K551-L551))),"")</f>
        <v>0.375</v>
      </c>
      <c r="O551" s="8" t="n">
        <f aca="false">IF(AG551="2H Pause déjeuner",IF(F551-D551-0.0833333333333333&lt;0,F551-D551-0.0833333333333333+1,F551-D551-0.0833333333333333),IF(OR(AND(F551="OFF",D551="OFF"),AND(F551="Congé",D551="Congé"),AND(F551="Congé sans solde",D551="Congé sans solde"),AND(F551="Congé spécial",D551="Congé spécial"),AND(F551="Férié",D551="Férié"),AND(F551="OFF",D551="Congé"),AND(F551="OFF",D551="Congé sans solde"),AND(F551="OFF",D551="Congé spécial"),AND(F551="OFF",D551="Férié"),AND(F551="Congé",D551="OFF"),AND(F551="Congé",D551="Congé sans solde"),AND(F551="Congé",D551="Congé spécial"),AND(F551="Congé",D551="Férié"),AND(F551="Congé sans solde",D551="OFF"),AND(F551="Congé sans solde",D551="Congé"),AND(F551="Congé sans solde",D551="Congé spécial"),AND(F551="Congé sans solde",D551="Férié"),AND(F551="Congé spécial",D551="OFF"),AND(F551="Congé spécial",D551="Congé"),AND(F551="Congé spécial",D551="Congé sans solde"),AND(F551="Congé spécial",D551="Férié"),AND(F551="Férié",D551="OFF"),AND(F551="Férié",D551="Congé"),AND(F551="Férié",D551="Congé sans solde"),AND(F551="Férié",D551="Congé spécial")),0,IF(OR(F551="OFF",F551="Congé",F551="Congé spécial",F551="Congé sans solde",D551="OFF",D551="Congé",D551="Congé spécial",D551="Congé sans solde"),0.208333333333334,IF(AND(AG551="",F551-D551&lt;0),("24:00:00"-D551)+("00:00:00"+F551)-0.0416666666666667,IF(AND(OR(AG551="Allaitement",AG551="Sans déjeuner"),F551-D551&lt;0),("24:00:00"-D551)+("00:00:00"+F551),IF(AND(AG551="",F551-D551&gt;0.166666666666667),F551-D551-0.0416666666666667,IF(AND(OR(AG551="Allaitement",AG551="Sans déjeuner"),F551-D551&gt;0.166666666666667),F551-D551,F551-D551)))))))</f>
        <v>0.375</v>
      </c>
      <c r="P551" s="6" t="str">
        <f aca="false">IFERROR(VLOOKUP($B551,Agents!$A:$D,2,0),"-")</f>
        <v>Accessibilité</v>
      </c>
      <c r="Q551" s="21" t="n">
        <v>46119</v>
      </c>
      <c r="R551" s="8" t="n">
        <f aca="false">IF(M551="Abs",O551,0)</f>
        <v>0</v>
      </c>
      <c r="S551" s="8" t="n">
        <f aca="false">SUM(R551,L551,I551,J551,W551,H551)</f>
        <v>0</v>
      </c>
      <c r="T551" s="6" t="str">
        <f aca="false">"Sem - "&amp;WEEKNUM(Q551,21)</f>
        <v>Sem - 15</v>
      </c>
      <c r="U551" s="6" t="str">
        <f aca="false">CHOOSE(MONTH(Q551),"Janvier","Février","Mars","Avril","Mai","Juin","Juillet","Août","Septembre","Octobre","Novembre","Décembre")</f>
        <v>Avril</v>
      </c>
      <c r="V551" s="22" t="n">
        <f aca="false">YEAR(Q551)</f>
        <v>2026</v>
      </c>
      <c r="W551" s="20"/>
      <c r="X551" s="8" t="n">
        <f aca="false">IFERROR(IF(M551="Abs",0,IF(ROUND((D551-C551+E551-F551)*1440,0)&lt;=1,0,D551-C551+E551-F551)),0)</f>
        <v>0.00138888888888889</v>
      </c>
      <c r="Y551" s="6" t="str">
        <f aca="false">IFERROR(VLOOKUP($B551,Agents!$A:$D,3,0),"-")</f>
        <v>OUBRAHIM Mohammed</v>
      </c>
      <c r="Z551" s="6" t="str">
        <f aca="false">IFERROR(VLOOKUP($B551,Agents!$A:$D,4,0),"-")</f>
        <v>Credit Mutuel</v>
      </c>
      <c r="AA551" s="18" t="s">
        <v>97</v>
      </c>
      <c r="AB551" s="8" t="str">
        <f aca="false">IF(AND(D551="Congé",F551="Congé"),0.333333333333333,IF(OR(AND(D551="Congé",F551&lt;&gt;"Congé"),(AND(F551="Congé",D551&lt;&gt;"Congé"))),0.166666666666667,""))</f>
        <v/>
      </c>
      <c r="AC551" s="8" t="str">
        <f aca="false">IF(AND(D551="Congé sans solde",F551="Congé sans solde"),0.333333333333333,IF(OR(AND(D551="Congé sans solde",F551&lt;&gt;"Congé sans solde"),(AND(F551="Congé sans solde",D551&lt;&gt;"Congé sans solde"))),0.166666666666667,""))</f>
        <v/>
      </c>
      <c r="AD551" s="8" t="str">
        <f aca="false">IF(AND(D551="Congé spécial",F551="Congé spécial"),0.333333333333333,IF(OR(AND(D551="Congé spécial",F551&lt;&gt;"Congé spécial"),AND(F551="Congé spécial",D551&lt;&gt;"Congé spécial")),0.166666666666667,""))</f>
        <v/>
      </c>
      <c r="AE551" s="8" t="str">
        <f aca="false">IF(AND(D551="Férié",F551="Férié"),0.333333333333333,IF(OR(AND(D551="Férié",F551&lt;&gt;"Férié"),(AND(F551="Férié",D551&lt;&gt;"Férié"))),0.166666666666667,""))</f>
        <v/>
      </c>
      <c r="AF551" s="18"/>
      <c r="AG551" s="18"/>
    </row>
    <row r="552" customFormat="false" ht="15" hidden="false" customHeight="false" outlineLevel="0" collapsed="false">
      <c r="A552" s="6" t="str">
        <f aca="false">YEAR(Q552-WEEKDAY(Q552,2)+4)&amp;"-S"&amp;TEXT(WEEKNUM(Q552,21),"00")</f>
        <v>2026-S15</v>
      </c>
      <c r="B552" s="18" t="s">
        <v>72</v>
      </c>
      <c r="C552" s="19"/>
      <c r="D552" s="19" t="n">
        <v>0.333333333333333</v>
      </c>
      <c r="E552" s="19"/>
      <c r="F552" s="19" t="n">
        <v>0.75</v>
      </c>
      <c r="G552" s="20"/>
      <c r="H552" s="20"/>
      <c r="I552" s="8" t="str">
        <f aca="false">IF(IF(OR(C552="",D552="Congé",D552="OFF",D552="Congé spécial"),"",IF(D552&gt;F552,D552-C552,IF(C552-D552&lt;0,0,C552-D552)))&lt;0.00068287037037037,"",IF(OR(D552="Congé",D552="OFF",C552="",D552="Congé spécial"),"",IF(D552&gt;F552,D552-C552,IF(C552-D552&lt;0,0,C552-D552))))</f>
        <v/>
      </c>
      <c r="J552" s="20"/>
      <c r="K552" s="8" t="n">
        <f aca="false">IF(SUM(H552:J552)&lt;0.00068287037037037,0,SUM(H552:J552))</f>
        <v>0</v>
      </c>
      <c r="L552" s="8" t="n">
        <f aca="false">IF(OR(F552="Congé",F552="OFF",M552="Abs",F552="Congé sans solde",F552="Férié",F552="Congé spécial",D552="Congé spécial"),0,IF(F552-E552&lt;0,0,IF(F552-E552&lt;=0.00068287037037037,0,F552-E552)))</f>
        <v>0</v>
      </c>
      <c r="M552" s="6" t="str">
        <f aca="false">IF(AND(O552&lt;&gt;0,C552=""),"Abs",0)</f>
        <v>Abs</v>
      </c>
      <c r="N552" s="8" t="str">
        <f aca="false">IFERROR(IF(OR(D552="OFF",D552="Congé",M552="Abs",D552="Congé sans solde",D552="Férié"),"",IF(O552-K552-L552&gt;O552,O552,IF(O552-K552-L552&lt;0,"",O552-K552-L552))),"")</f>
        <v/>
      </c>
      <c r="O552" s="8" t="n">
        <f aca="false">IF(AG552="2H Pause déjeuner",IF(F552-D552-0.0833333333333333&lt;0,F552-D552-0.0833333333333333+1,F552-D552-0.0833333333333333),IF(OR(AND(F552="OFF",D552="OFF"),AND(F552="Congé",D552="Congé"),AND(F552="Congé sans solde",D552="Congé sans solde"),AND(F552="Congé spécial",D552="Congé spécial"),AND(F552="Férié",D552="Férié"),AND(F552="OFF",D552="Congé"),AND(F552="OFF",D552="Congé sans solde"),AND(F552="OFF",D552="Congé spécial"),AND(F552="OFF",D552="Férié"),AND(F552="Congé",D552="OFF"),AND(F552="Congé",D552="Congé sans solde"),AND(F552="Congé",D552="Congé spécial"),AND(F552="Congé",D552="Férié"),AND(F552="Congé sans solde",D552="OFF"),AND(F552="Congé sans solde",D552="Congé"),AND(F552="Congé sans solde",D552="Congé spécial"),AND(F552="Congé sans solde",D552="Férié"),AND(F552="Congé spécial",D552="OFF"),AND(F552="Congé spécial",D552="Congé"),AND(F552="Congé spécial",D552="Congé sans solde"),AND(F552="Congé spécial",D552="Férié"),AND(F552="Férié",D552="OFF"),AND(F552="Férié",D552="Congé"),AND(F552="Férié",D552="Congé sans solde"),AND(F552="Férié",D552="Congé spécial")),0,IF(OR(F552="OFF",F552="Congé",F552="Congé spécial",F552="Congé sans solde",D552="OFF",D552="Congé",D552="Congé spécial",D552="Congé sans solde"),0.208333333333334,IF(AND(AG552="",F552-D552&lt;0),("24:00:00"-D552)+("00:00:00"+F552)-0.0416666666666667,IF(AND(OR(AG552="Allaitement",AG552="Sans déjeuner"),F552-D552&lt;0),("24:00:00"-D552)+("00:00:00"+F552),IF(AND(AG552="",F552-D552&gt;0.166666666666667),F552-D552-0.0416666666666667,IF(AND(OR(AG552="Allaitement",AG552="Sans déjeuner"),F552-D552&gt;0.166666666666667),F552-D552,F552-D552)))))))</f>
        <v>0.375</v>
      </c>
      <c r="P552" s="6" t="str">
        <f aca="false">IFERROR(VLOOKUP($B552,Agents!$A:$D,2,0),"-")</f>
        <v>Accessibilité</v>
      </c>
      <c r="Q552" s="21" t="n">
        <v>46119</v>
      </c>
      <c r="R552" s="8" t="n">
        <f aca="false">IF(M552="Abs",O552,0)</f>
        <v>0.375</v>
      </c>
      <c r="S552" s="8" t="n">
        <f aca="false">SUM(R552,L552,I552,J552,W552,H552)</f>
        <v>0.375</v>
      </c>
      <c r="T552" s="6" t="str">
        <f aca="false">"Sem - "&amp;WEEKNUM(Q552,21)</f>
        <v>Sem - 15</v>
      </c>
      <c r="U552" s="6" t="str">
        <f aca="false">CHOOSE(MONTH(Q552),"Janvier","Février","Mars","Avril","Mai","Juin","Juillet","Août","Septembre","Octobre","Novembre","Décembre")</f>
        <v>Avril</v>
      </c>
      <c r="V552" s="22" t="n">
        <f aca="false">YEAR(Q552)</f>
        <v>2026</v>
      </c>
      <c r="W552" s="20"/>
      <c r="X552" s="8" t="n">
        <f aca="false">IFERROR(IF(M552="Abs",0,IF(ROUND((D552-C552+E552-F552)*1440,0)&lt;=1,0,D552-C552+E552-F552)),0)</f>
        <v>0</v>
      </c>
      <c r="Y552" s="6" t="str">
        <f aca="false">IFERROR(VLOOKUP($B552,Agents!$A:$D,3,0),"-")</f>
        <v>OUBRAHIM Mohammed</v>
      </c>
      <c r="Z552" s="6" t="str">
        <f aca="false">IFERROR(VLOOKUP($B552,Agents!$A:$D,4,0),"-")</f>
        <v>Credit Mutuel</v>
      </c>
      <c r="AA552" s="18" t="s">
        <v>97</v>
      </c>
      <c r="AB552" s="8" t="str">
        <f aca="false">IF(AND(D552="Congé",F552="Congé"),0.333333333333333,IF(OR(AND(D552="Congé",F552&lt;&gt;"Congé"),(AND(F552="Congé",D552&lt;&gt;"Congé"))),0.166666666666667,""))</f>
        <v/>
      </c>
      <c r="AC552" s="8" t="str">
        <f aca="false">IF(AND(D552="Congé sans solde",F552="Congé sans solde"),0.333333333333333,IF(OR(AND(D552="Congé sans solde",F552&lt;&gt;"Congé sans solde"),(AND(F552="Congé sans solde",D552&lt;&gt;"Congé sans solde"))),0.166666666666667,""))</f>
        <v/>
      </c>
      <c r="AD552" s="8" t="str">
        <f aca="false">IF(AND(D552="Congé spécial",F552="Congé spécial"),0.333333333333333,IF(OR(AND(D552="Congé spécial",F552&lt;&gt;"Congé spécial"),AND(F552="Congé spécial",D552&lt;&gt;"Congé spécial")),0.166666666666667,""))</f>
        <v/>
      </c>
      <c r="AE552" s="8" t="str">
        <f aca="false">IF(AND(D552="Férié",F552="Férié"),0.333333333333333,IF(OR(AND(D552="Férié",F552&lt;&gt;"Férié"),(AND(F552="Férié",D552&lt;&gt;"Férié"))),0.166666666666667,""))</f>
        <v/>
      </c>
      <c r="AF552" s="18"/>
      <c r="AG552" s="18"/>
    </row>
    <row r="553" customFormat="false" ht="15" hidden="false" customHeight="false" outlineLevel="0" collapsed="false">
      <c r="A553" s="6" t="str">
        <f aca="false">YEAR(Q553-WEEKDAY(Q553,2)+4)&amp;"-S"&amp;TEXT(WEEKNUM(Q553,21),"00")</f>
        <v>2026-S15</v>
      </c>
      <c r="B553" s="18" t="s">
        <v>73</v>
      </c>
      <c r="C553" s="19" t="n">
        <v>0.333333333333333</v>
      </c>
      <c r="D553" s="19" t="n">
        <v>0.333333333333333</v>
      </c>
      <c r="E553" s="19" t="n">
        <v>0.75</v>
      </c>
      <c r="F553" s="19" t="n">
        <v>0.75</v>
      </c>
      <c r="G553" s="20"/>
      <c r="H553" s="20"/>
      <c r="I553" s="8" t="str">
        <f aca="false">IF(IF(OR(C553="",D553="Congé",D553="OFF",D553="Congé spécial"),"",IF(D553&gt;F553,D553-C553,IF(C553-D553&lt;0,0,C553-D553)))&lt;0.00068287037037037,"",IF(OR(D553="Congé",D553="OFF",C553="",D553="Congé spécial"),"",IF(D553&gt;F553,D553-C553,IF(C553-D553&lt;0,0,C553-D553))))</f>
        <v/>
      </c>
      <c r="J553" s="20"/>
      <c r="K553" s="8" t="n">
        <f aca="false">IF(SUM(H553:J553)&lt;0.00068287037037037,0,SUM(H553:J553))</f>
        <v>0</v>
      </c>
      <c r="L553" s="8" t="n">
        <f aca="false">IF(OR(F553="Congé",F553="OFF",M553="Abs",F553="Congé sans solde",F553="Férié",F553="Congé spécial",D553="Congé spécial"),0,IF(F553-E553&lt;0,0,IF(F553-E553&lt;=0.00068287037037037,0,F553-E553)))</f>
        <v>0</v>
      </c>
      <c r="M553" s="6" t="n">
        <f aca="false">IF(AND(O553&lt;&gt;0,C553=""),"Abs",0)</f>
        <v>0</v>
      </c>
      <c r="N553" s="8" t="n">
        <f aca="false">IFERROR(IF(OR(D553="OFF",D553="Congé",M553="Abs",D553="Congé sans solde",D553="Férié"),"",IF(O553-K553-L553&gt;O553,O553,IF(O553-K553-L553&lt;0,"",O553-K553-L553))),"")</f>
        <v>0.375</v>
      </c>
      <c r="O553" s="8" t="n">
        <f aca="false">IF(AG553="2H Pause déjeuner",IF(F553-D553-0.0833333333333333&lt;0,F553-D553-0.0833333333333333+1,F553-D553-0.0833333333333333),IF(OR(AND(F553="OFF",D553="OFF"),AND(F553="Congé",D553="Congé"),AND(F553="Congé sans solde",D553="Congé sans solde"),AND(F553="Congé spécial",D553="Congé spécial"),AND(F553="Férié",D553="Férié"),AND(F553="OFF",D553="Congé"),AND(F553="OFF",D553="Congé sans solde"),AND(F553="OFF",D553="Congé spécial"),AND(F553="OFF",D553="Férié"),AND(F553="Congé",D553="OFF"),AND(F553="Congé",D553="Congé sans solde"),AND(F553="Congé",D553="Congé spécial"),AND(F553="Congé",D553="Férié"),AND(F553="Congé sans solde",D553="OFF"),AND(F553="Congé sans solde",D553="Congé"),AND(F553="Congé sans solde",D553="Congé spécial"),AND(F553="Congé sans solde",D553="Férié"),AND(F553="Congé spécial",D553="OFF"),AND(F553="Congé spécial",D553="Congé"),AND(F553="Congé spécial",D553="Congé sans solde"),AND(F553="Congé spécial",D553="Férié"),AND(F553="Férié",D553="OFF"),AND(F553="Férié",D553="Congé"),AND(F553="Férié",D553="Congé sans solde"),AND(F553="Férié",D553="Congé spécial")),0,IF(OR(F553="OFF",F553="Congé",F553="Congé spécial",F553="Congé sans solde",D553="OFF",D553="Congé",D553="Congé spécial",D553="Congé sans solde"),0.208333333333334,IF(AND(AG553="",F553-D553&lt;0),("24:00:00"-D553)+("00:00:00"+F553)-0.0416666666666667,IF(AND(OR(AG553="Allaitement",AG553="Sans déjeuner"),F553-D553&lt;0),("24:00:00"-D553)+("00:00:00"+F553),IF(AND(AG553="",F553-D553&gt;0.166666666666667),F553-D553-0.0416666666666667,IF(AND(OR(AG553="Allaitement",AG553="Sans déjeuner"),F553-D553&gt;0.166666666666667),F553-D553,F553-D553)))))))</f>
        <v>0.375</v>
      </c>
      <c r="P553" s="6" t="str">
        <f aca="false">IFERROR(VLOOKUP($B553,Agents!$A:$D,2,0),"-")</f>
        <v>Accessibilité</v>
      </c>
      <c r="Q553" s="21" t="n">
        <v>46119</v>
      </c>
      <c r="R553" s="8" t="n">
        <f aca="false">IF(M553="Abs",O553,0)</f>
        <v>0</v>
      </c>
      <c r="S553" s="8" t="n">
        <f aca="false">SUM(R553,L553,I553,J553,W553,H553)</f>
        <v>0</v>
      </c>
      <c r="T553" s="6" t="str">
        <f aca="false">"Sem - "&amp;WEEKNUM(Q553,21)</f>
        <v>Sem - 15</v>
      </c>
      <c r="U553" s="6" t="str">
        <f aca="false">CHOOSE(MONTH(Q553),"Janvier","Février","Mars","Avril","Mai","Juin","Juillet","Août","Septembre","Octobre","Novembre","Décembre")</f>
        <v>Avril</v>
      </c>
      <c r="V553" s="22" t="n">
        <f aca="false">YEAR(Q553)</f>
        <v>2026</v>
      </c>
      <c r="W553" s="20"/>
      <c r="X553" s="8" t="n">
        <f aca="false">IFERROR(IF(M553="Abs",0,IF(ROUND((D553-C553+E553-F553)*1440,0)&lt;=1,0,D553-C553+E553-F553)),0)</f>
        <v>0</v>
      </c>
      <c r="Y553" s="6" t="str">
        <f aca="false">IFERROR(VLOOKUP($B553,Agents!$A:$D,3,0),"-")</f>
        <v>OUBRAHIM Mohammed</v>
      </c>
      <c r="Z553" s="6" t="str">
        <f aca="false">IFERROR(VLOOKUP($B553,Agents!$A:$D,4,0),"-")</f>
        <v>Credit Mutuel</v>
      </c>
      <c r="AA553" s="18" t="s">
        <v>97</v>
      </c>
      <c r="AB553" s="8" t="str">
        <f aca="false">IF(AND(D553="Congé",F553="Congé"),0.333333333333333,IF(OR(AND(D553="Congé",F553&lt;&gt;"Congé"),(AND(F553="Congé",D553&lt;&gt;"Congé"))),0.166666666666667,""))</f>
        <v/>
      </c>
      <c r="AC553" s="8" t="str">
        <f aca="false">IF(AND(D553="Congé sans solde",F553="Congé sans solde"),0.333333333333333,IF(OR(AND(D553="Congé sans solde",F553&lt;&gt;"Congé sans solde"),(AND(F553="Congé sans solde",D553&lt;&gt;"Congé sans solde"))),0.166666666666667,""))</f>
        <v/>
      </c>
      <c r="AD553" s="8" t="str">
        <f aca="false">IF(AND(D553="Congé spécial",F553="Congé spécial"),0.333333333333333,IF(OR(AND(D553="Congé spécial",F553&lt;&gt;"Congé spécial"),AND(F553="Congé spécial",D553&lt;&gt;"Congé spécial")),0.166666666666667,""))</f>
        <v/>
      </c>
      <c r="AE553" s="8" t="str">
        <f aca="false">IF(AND(D553="Férié",F553="Férié"),0.333333333333333,IF(OR(AND(D553="Férié",F553&lt;&gt;"Férié"),(AND(F553="Férié",D553&lt;&gt;"Férié"))),0.166666666666667,""))</f>
        <v/>
      </c>
      <c r="AF553" s="18"/>
      <c r="AG553" s="18"/>
    </row>
    <row r="554" customFormat="false" ht="15" hidden="false" customHeight="false" outlineLevel="0" collapsed="false">
      <c r="A554" s="6" t="str">
        <f aca="false">YEAR(Q554-WEEKDAY(Q554,2)+4)&amp;"-S"&amp;TEXT(WEEKNUM(Q554,21),"00")</f>
        <v>2026-S15</v>
      </c>
      <c r="B554" s="18" t="s">
        <v>69</v>
      </c>
      <c r="C554" s="19" t="n">
        <v>0.332638888888889</v>
      </c>
      <c r="D554" s="19" t="n">
        <v>0.333333333333333</v>
      </c>
      <c r="E554" s="19" t="n">
        <v>0.75</v>
      </c>
      <c r="F554" s="19" t="n">
        <v>0.75</v>
      </c>
      <c r="G554" s="20"/>
      <c r="H554" s="20"/>
      <c r="I554" s="8" t="str">
        <f aca="false">IF(IF(OR(C554="",D554="Congé",D554="OFF",D554="Congé spécial"),"",IF(D554&gt;F554,D554-C554,IF(C554-D554&lt;0,0,C554-D554)))&lt;0.00068287037037037,"",IF(OR(D554="Congé",D554="OFF",C554="",D554="Congé spécial"),"",IF(D554&gt;F554,D554-C554,IF(C554-D554&lt;0,0,C554-D554))))</f>
        <v/>
      </c>
      <c r="J554" s="20"/>
      <c r="K554" s="8" t="n">
        <f aca="false">IF(SUM(H554:J554)&lt;0.00068287037037037,0,SUM(H554:J554))</f>
        <v>0</v>
      </c>
      <c r="L554" s="8" t="n">
        <f aca="false">IF(OR(F554="Congé",F554="OFF",M554="Abs",F554="Congé sans solde",F554="Férié",F554="Congé spécial",D554="Congé spécial"),0,IF(F554-E554&lt;0,0,IF(F554-E554&lt;=0.00068287037037037,0,F554-E554)))</f>
        <v>0</v>
      </c>
      <c r="M554" s="6" t="n">
        <f aca="false">IF(AND(O554&lt;&gt;0,C554=""),"Abs",0)</f>
        <v>0</v>
      </c>
      <c r="N554" s="8" t="n">
        <f aca="false">IFERROR(IF(OR(D554="OFF",D554="Congé",M554="Abs",D554="Congé sans solde",D554="Férié"),"",IF(O554-K554-L554&gt;O554,O554,IF(O554-K554-L554&lt;0,"",O554-K554-L554))),"")</f>
        <v>0.375</v>
      </c>
      <c r="O554" s="8" t="n">
        <f aca="false">IF(AG554="2H Pause déjeuner",IF(F554-D554-0.0833333333333333&lt;0,F554-D554-0.0833333333333333+1,F554-D554-0.0833333333333333),IF(OR(AND(F554="OFF",D554="OFF"),AND(F554="Congé",D554="Congé"),AND(F554="Congé sans solde",D554="Congé sans solde"),AND(F554="Congé spécial",D554="Congé spécial"),AND(F554="Férié",D554="Férié"),AND(F554="OFF",D554="Congé"),AND(F554="OFF",D554="Congé sans solde"),AND(F554="OFF",D554="Congé spécial"),AND(F554="OFF",D554="Férié"),AND(F554="Congé",D554="OFF"),AND(F554="Congé",D554="Congé sans solde"),AND(F554="Congé",D554="Congé spécial"),AND(F554="Congé",D554="Férié"),AND(F554="Congé sans solde",D554="OFF"),AND(F554="Congé sans solde",D554="Congé"),AND(F554="Congé sans solde",D554="Congé spécial"),AND(F554="Congé sans solde",D554="Férié"),AND(F554="Congé spécial",D554="OFF"),AND(F554="Congé spécial",D554="Congé"),AND(F554="Congé spécial",D554="Congé sans solde"),AND(F554="Congé spécial",D554="Férié"),AND(F554="Férié",D554="OFF"),AND(F554="Férié",D554="Congé"),AND(F554="Férié",D554="Congé sans solde"),AND(F554="Férié",D554="Congé spécial")),0,IF(OR(F554="OFF",F554="Congé",F554="Congé spécial",F554="Congé sans solde",D554="OFF",D554="Congé",D554="Congé spécial",D554="Congé sans solde"),0.208333333333334,IF(AND(AG554="",F554-D554&lt;0),("24:00:00"-D554)+("00:00:00"+F554)-0.0416666666666667,IF(AND(OR(AG554="Allaitement",AG554="Sans déjeuner"),F554-D554&lt;0),("24:00:00"-D554)+("00:00:00"+F554),IF(AND(AG554="",F554-D554&gt;0.166666666666667),F554-D554-0.0416666666666667,IF(AND(OR(AG554="Allaitement",AG554="Sans déjeuner"),F554-D554&gt;0.166666666666667),F554-D554,F554-D554)))))))</f>
        <v>0.375</v>
      </c>
      <c r="P554" s="6" t="str">
        <f aca="false">IFERROR(VLOOKUP($B554,Agents!$A:$D,2,0),"-")</f>
        <v>Accessibilité</v>
      </c>
      <c r="Q554" s="21" t="n">
        <v>46120</v>
      </c>
      <c r="R554" s="8" t="n">
        <f aca="false">IF(M554="Abs",O554,0)</f>
        <v>0</v>
      </c>
      <c r="S554" s="8" t="n">
        <f aca="false">SUM(R554,L554,I554,J554,W554,H554)</f>
        <v>0</v>
      </c>
      <c r="T554" s="6" t="str">
        <f aca="false">"Sem - "&amp;WEEKNUM(Q554,21)</f>
        <v>Sem - 15</v>
      </c>
      <c r="U554" s="6" t="str">
        <f aca="false">CHOOSE(MONTH(Q554),"Janvier","Février","Mars","Avril","Mai","Juin","Juillet","Août","Septembre","Octobre","Novembre","Décembre")</f>
        <v>Avril</v>
      </c>
      <c r="V554" s="22" t="n">
        <f aca="false">YEAR(Q554)</f>
        <v>2026</v>
      </c>
      <c r="W554" s="20"/>
      <c r="X554" s="8" t="n">
        <f aca="false">IFERROR(IF(M554="Abs",0,IF(ROUND((D554-C554+E554-F554)*1440,0)&lt;=1,0,D554-C554+E554-F554)),0)</f>
        <v>0</v>
      </c>
      <c r="Y554" s="6" t="str">
        <f aca="false">IFERROR(VLOOKUP($B554,Agents!$A:$D,3,0),"-")</f>
        <v>OUBRAHIM Mohammed</v>
      </c>
      <c r="Z554" s="6" t="str">
        <f aca="false">IFERROR(VLOOKUP($B554,Agents!$A:$D,4,0),"-")</f>
        <v>Credit Mutuel</v>
      </c>
      <c r="AA554" s="18" t="s">
        <v>97</v>
      </c>
      <c r="AB554" s="8" t="str">
        <f aca="false">IF(AND(D554="Congé",F554="Congé"),0.333333333333333,IF(OR(AND(D554="Congé",F554&lt;&gt;"Congé"),(AND(F554="Congé",D554&lt;&gt;"Congé"))),0.166666666666667,""))</f>
        <v/>
      </c>
      <c r="AC554" s="8" t="str">
        <f aca="false">IF(AND(D554="Congé sans solde",F554="Congé sans solde"),0.333333333333333,IF(OR(AND(D554="Congé sans solde",F554&lt;&gt;"Congé sans solde"),(AND(F554="Congé sans solde",D554&lt;&gt;"Congé sans solde"))),0.166666666666667,""))</f>
        <v/>
      </c>
      <c r="AD554" s="8" t="str">
        <f aca="false">IF(AND(D554="Congé spécial",F554="Congé spécial"),0.333333333333333,IF(OR(AND(D554="Congé spécial",F554&lt;&gt;"Congé spécial"),AND(F554="Congé spécial",D554&lt;&gt;"Congé spécial")),0.166666666666667,""))</f>
        <v/>
      </c>
      <c r="AE554" s="8" t="str">
        <f aca="false">IF(AND(D554="Férié",F554="Férié"),0.333333333333333,IF(OR(AND(D554="Férié",F554&lt;&gt;"Férié"),(AND(F554="Férié",D554&lt;&gt;"Férié"))),0.166666666666667,""))</f>
        <v/>
      </c>
      <c r="AF554" s="18"/>
      <c r="AG554" s="18"/>
    </row>
    <row r="555" customFormat="false" ht="15" hidden="false" customHeight="false" outlineLevel="0" collapsed="false">
      <c r="A555" s="6" t="str">
        <f aca="false">YEAR(Q555-WEEKDAY(Q555,2)+4)&amp;"-S"&amp;TEXT(WEEKNUM(Q555,21),"00")</f>
        <v>2026-S15</v>
      </c>
      <c r="B555" s="18" t="s">
        <v>71</v>
      </c>
      <c r="C555" s="19" t="n">
        <v>0.332638888888889</v>
      </c>
      <c r="D555" s="19" t="n">
        <v>0.333333333333333</v>
      </c>
      <c r="E555" s="19" t="n">
        <v>0.75</v>
      </c>
      <c r="F555" s="19" t="n">
        <v>0.75</v>
      </c>
      <c r="G555" s="20"/>
      <c r="H555" s="20"/>
      <c r="I555" s="8" t="str">
        <f aca="false">IF(IF(OR(C555="",D555="Congé",D555="OFF",D555="Congé spécial"),"",IF(D555&gt;F555,D555-C555,IF(C555-D555&lt;0,0,C555-D555)))&lt;0.00068287037037037,"",IF(OR(D555="Congé",D555="OFF",C555="",D555="Congé spécial"),"",IF(D555&gt;F555,D555-C555,IF(C555-D555&lt;0,0,C555-D555))))</f>
        <v/>
      </c>
      <c r="J555" s="20"/>
      <c r="K555" s="8" t="n">
        <f aca="false">IF(SUM(H555:J555)&lt;0.00068287037037037,0,SUM(H555:J555))</f>
        <v>0</v>
      </c>
      <c r="L555" s="8" t="n">
        <f aca="false">IF(OR(F555="Congé",F555="OFF",M555="Abs",F555="Congé sans solde",F555="Férié",F555="Congé spécial",D555="Congé spécial"),0,IF(F555-E555&lt;0,0,IF(F555-E555&lt;=0.00068287037037037,0,F555-E555)))</f>
        <v>0</v>
      </c>
      <c r="M555" s="6" t="n">
        <f aca="false">IF(AND(O555&lt;&gt;0,C555=""),"Abs",0)</f>
        <v>0</v>
      </c>
      <c r="N555" s="8" t="n">
        <f aca="false">IFERROR(IF(OR(D555="OFF",D555="Congé",M555="Abs",D555="Congé sans solde",D555="Férié"),"",IF(O555-K555-L555&gt;O555,O555,IF(O555-K555-L555&lt;0,"",O555-K555-L555))),"")</f>
        <v>0.375</v>
      </c>
      <c r="O555" s="8" t="n">
        <f aca="false">IF(AG555="2H Pause déjeuner",IF(F555-D555-0.0833333333333333&lt;0,F555-D555-0.0833333333333333+1,F555-D555-0.0833333333333333),IF(OR(AND(F555="OFF",D555="OFF"),AND(F555="Congé",D555="Congé"),AND(F555="Congé sans solde",D555="Congé sans solde"),AND(F555="Congé spécial",D555="Congé spécial"),AND(F555="Férié",D555="Férié"),AND(F555="OFF",D555="Congé"),AND(F555="OFF",D555="Congé sans solde"),AND(F555="OFF",D555="Congé spécial"),AND(F555="OFF",D555="Férié"),AND(F555="Congé",D555="OFF"),AND(F555="Congé",D555="Congé sans solde"),AND(F555="Congé",D555="Congé spécial"),AND(F555="Congé",D555="Férié"),AND(F555="Congé sans solde",D555="OFF"),AND(F555="Congé sans solde",D555="Congé"),AND(F555="Congé sans solde",D555="Congé spécial"),AND(F555="Congé sans solde",D555="Férié"),AND(F555="Congé spécial",D555="OFF"),AND(F555="Congé spécial",D555="Congé"),AND(F555="Congé spécial",D555="Congé sans solde"),AND(F555="Congé spécial",D555="Férié"),AND(F555="Férié",D555="OFF"),AND(F555="Férié",D555="Congé"),AND(F555="Férié",D555="Congé sans solde"),AND(F555="Férié",D555="Congé spécial")),0,IF(OR(F555="OFF",F555="Congé",F555="Congé spécial",F555="Congé sans solde",D555="OFF",D555="Congé",D555="Congé spécial",D555="Congé sans solde"),0.208333333333334,IF(AND(AG555="",F555-D555&lt;0),("24:00:00"-D555)+("00:00:00"+F555)-0.0416666666666667,IF(AND(OR(AG555="Allaitement",AG555="Sans déjeuner"),F555-D555&lt;0),("24:00:00"-D555)+("00:00:00"+F555),IF(AND(AG555="",F555-D555&gt;0.166666666666667),F555-D555-0.0416666666666667,IF(AND(OR(AG555="Allaitement",AG555="Sans déjeuner"),F555-D555&gt;0.166666666666667),F555-D555,F555-D555)))))))</f>
        <v>0.375</v>
      </c>
      <c r="P555" s="6" t="str">
        <f aca="false">IFERROR(VLOOKUP($B555,Agents!$A:$D,2,0),"-")</f>
        <v>Accessibilité</v>
      </c>
      <c r="Q555" s="21" t="n">
        <v>46120</v>
      </c>
      <c r="R555" s="8" t="n">
        <f aca="false">IF(M555="Abs",O555,0)</f>
        <v>0</v>
      </c>
      <c r="S555" s="8" t="n">
        <f aca="false">SUM(R555,L555,I555,J555,W555,H555)</f>
        <v>0</v>
      </c>
      <c r="T555" s="6" t="str">
        <f aca="false">"Sem - "&amp;WEEKNUM(Q555,21)</f>
        <v>Sem - 15</v>
      </c>
      <c r="U555" s="6" t="str">
        <f aca="false">CHOOSE(MONTH(Q555),"Janvier","Février","Mars","Avril","Mai","Juin","Juillet","Août","Septembre","Octobre","Novembre","Décembre")</f>
        <v>Avril</v>
      </c>
      <c r="V555" s="22" t="n">
        <f aca="false">YEAR(Q555)</f>
        <v>2026</v>
      </c>
      <c r="W555" s="20"/>
      <c r="X555" s="8" t="n">
        <f aca="false">IFERROR(IF(M555="Abs",0,IF(ROUND((D555-C555+E555-F555)*1440,0)&lt;=1,0,D555-C555+E555-F555)),0)</f>
        <v>0</v>
      </c>
      <c r="Y555" s="6" t="str">
        <f aca="false">IFERROR(VLOOKUP($B555,Agents!$A:$D,3,0),"-")</f>
        <v>OUBRAHIM Mohammed</v>
      </c>
      <c r="Z555" s="6" t="str">
        <f aca="false">IFERROR(VLOOKUP($B555,Agents!$A:$D,4,0),"-")</f>
        <v>Credit Mutuel</v>
      </c>
      <c r="AA555" s="18" t="s">
        <v>97</v>
      </c>
      <c r="AB555" s="8" t="str">
        <f aca="false">IF(AND(D555="Congé",F555="Congé"),0.333333333333333,IF(OR(AND(D555="Congé",F555&lt;&gt;"Congé"),(AND(F555="Congé",D555&lt;&gt;"Congé"))),0.166666666666667,""))</f>
        <v/>
      </c>
      <c r="AC555" s="8" t="str">
        <f aca="false">IF(AND(D555="Congé sans solde",F555="Congé sans solde"),0.333333333333333,IF(OR(AND(D555="Congé sans solde",F555&lt;&gt;"Congé sans solde"),(AND(F555="Congé sans solde",D555&lt;&gt;"Congé sans solde"))),0.166666666666667,""))</f>
        <v/>
      </c>
      <c r="AD555" s="8" t="str">
        <f aca="false">IF(AND(D555="Congé spécial",F555="Congé spécial"),0.333333333333333,IF(OR(AND(D555="Congé spécial",F555&lt;&gt;"Congé spécial"),AND(F555="Congé spécial",D555&lt;&gt;"Congé spécial")),0.166666666666667,""))</f>
        <v/>
      </c>
      <c r="AE555" s="8" t="str">
        <f aca="false">IF(AND(D555="Férié",F555="Férié"),0.333333333333333,IF(OR(AND(D555="Férié",F555&lt;&gt;"Férié"),(AND(F555="Férié",D555&lt;&gt;"Férié"))),0.166666666666667,""))</f>
        <v/>
      </c>
      <c r="AF555" s="18"/>
      <c r="AG555" s="18"/>
    </row>
    <row r="556" customFormat="false" ht="15" hidden="false" customHeight="false" outlineLevel="0" collapsed="false">
      <c r="A556" s="6" t="str">
        <f aca="false">YEAR(Q556-WEEKDAY(Q556,2)+4)&amp;"-S"&amp;TEXT(WEEKNUM(Q556,21),"00")</f>
        <v>2026-S15</v>
      </c>
      <c r="B556" s="18" t="s">
        <v>72</v>
      </c>
      <c r="C556" s="19"/>
      <c r="D556" s="19" t="n">
        <v>0.333333333333333</v>
      </c>
      <c r="E556" s="19"/>
      <c r="F556" s="19" t="n">
        <v>0.75</v>
      </c>
      <c r="G556" s="20"/>
      <c r="H556" s="20"/>
      <c r="I556" s="8" t="str">
        <f aca="false">IF(IF(OR(C556="",D556="Congé",D556="OFF",D556="Congé spécial"),"",IF(D556&gt;F556,D556-C556,IF(C556-D556&lt;0,0,C556-D556)))&lt;0.00068287037037037,"",IF(OR(D556="Congé",D556="OFF",C556="",D556="Congé spécial"),"",IF(D556&gt;F556,D556-C556,IF(C556-D556&lt;0,0,C556-D556))))</f>
        <v/>
      </c>
      <c r="J556" s="20"/>
      <c r="K556" s="8" t="n">
        <f aca="false">IF(SUM(H556:J556)&lt;0.00068287037037037,0,SUM(H556:J556))</f>
        <v>0</v>
      </c>
      <c r="L556" s="8" t="n">
        <f aca="false">IF(OR(F556="Congé",F556="OFF",M556="Abs",F556="Congé sans solde",F556="Férié",F556="Congé spécial",D556="Congé spécial"),0,IF(F556-E556&lt;0,0,IF(F556-E556&lt;=0.00068287037037037,0,F556-E556)))</f>
        <v>0</v>
      </c>
      <c r="M556" s="6" t="str">
        <f aca="false">IF(AND(O556&lt;&gt;0,C556=""),"Abs",0)</f>
        <v>Abs</v>
      </c>
      <c r="N556" s="8" t="str">
        <f aca="false">IFERROR(IF(OR(D556="OFF",D556="Congé",M556="Abs",D556="Congé sans solde",D556="Férié"),"",IF(O556-K556-L556&gt;O556,O556,IF(O556-K556-L556&lt;0,"",O556-K556-L556))),"")</f>
        <v/>
      </c>
      <c r="O556" s="8" t="n">
        <f aca="false">IF(AG556="2H Pause déjeuner",IF(F556-D556-0.0833333333333333&lt;0,F556-D556-0.0833333333333333+1,F556-D556-0.0833333333333333),IF(OR(AND(F556="OFF",D556="OFF"),AND(F556="Congé",D556="Congé"),AND(F556="Congé sans solde",D556="Congé sans solde"),AND(F556="Congé spécial",D556="Congé spécial"),AND(F556="Férié",D556="Férié"),AND(F556="OFF",D556="Congé"),AND(F556="OFF",D556="Congé sans solde"),AND(F556="OFF",D556="Congé spécial"),AND(F556="OFF",D556="Férié"),AND(F556="Congé",D556="OFF"),AND(F556="Congé",D556="Congé sans solde"),AND(F556="Congé",D556="Congé spécial"),AND(F556="Congé",D556="Férié"),AND(F556="Congé sans solde",D556="OFF"),AND(F556="Congé sans solde",D556="Congé"),AND(F556="Congé sans solde",D556="Congé spécial"),AND(F556="Congé sans solde",D556="Férié"),AND(F556="Congé spécial",D556="OFF"),AND(F556="Congé spécial",D556="Congé"),AND(F556="Congé spécial",D556="Congé sans solde"),AND(F556="Congé spécial",D556="Férié"),AND(F556="Férié",D556="OFF"),AND(F556="Férié",D556="Congé"),AND(F556="Férié",D556="Congé sans solde"),AND(F556="Férié",D556="Congé spécial")),0,IF(OR(F556="OFF",F556="Congé",F556="Congé spécial",F556="Congé sans solde",D556="OFF",D556="Congé",D556="Congé spécial",D556="Congé sans solde"),0.208333333333334,IF(AND(AG556="",F556-D556&lt;0),("24:00:00"-D556)+("00:00:00"+F556)-0.0416666666666667,IF(AND(OR(AG556="Allaitement",AG556="Sans déjeuner"),F556-D556&lt;0),("24:00:00"-D556)+("00:00:00"+F556),IF(AND(AG556="",F556-D556&gt;0.166666666666667),F556-D556-0.0416666666666667,IF(AND(OR(AG556="Allaitement",AG556="Sans déjeuner"),F556-D556&gt;0.166666666666667),F556-D556,F556-D556)))))))</f>
        <v>0.375</v>
      </c>
      <c r="P556" s="6" t="str">
        <f aca="false">IFERROR(VLOOKUP($B556,Agents!$A:$D,2,0),"-")</f>
        <v>Accessibilité</v>
      </c>
      <c r="Q556" s="21" t="n">
        <v>46120</v>
      </c>
      <c r="R556" s="8" t="n">
        <f aca="false">IF(M556="Abs",O556,0)</f>
        <v>0.375</v>
      </c>
      <c r="S556" s="8" t="n">
        <f aca="false">SUM(R556,L556,I556,J556,W556,H556)</f>
        <v>0.375</v>
      </c>
      <c r="T556" s="6" t="str">
        <f aca="false">"Sem - "&amp;WEEKNUM(Q556,21)</f>
        <v>Sem - 15</v>
      </c>
      <c r="U556" s="6" t="str">
        <f aca="false">CHOOSE(MONTH(Q556),"Janvier","Février","Mars","Avril","Mai","Juin","Juillet","Août","Septembre","Octobre","Novembre","Décembre")</f>
        <v>Avril</v>
      </c>
      <c r="V556" s="22" t="n">
        <f aca="false">YEAR(Q556)</f>
        <v>2026</v>
      </c>
      <c r="W556" s="20"/>
      <c r="X556" s="8" t="n">
        <f aca="false">IFERROR(IF(M556="Abs",0,IF(ROUND((D556-C556+E556-F556)*1440,0)&lt;=1,0,D556-C556+E556-F556)),0)</f>
        <v>0</v>
      </c>
      <c r="Y556" s="6" t="str">
        <f aca="false">IFERROR(VLOOKUP($B556,Agents!$A:$D,3,0),"-")</f>
        <v>OUBRAHIM Mohammed</v>
      </c>
      <c r="Z556" s="6" t="str">
        <f aca="false">IFERROR(VLOOKUP($B556,Agents!$A:$D,4,0),"-")</f>
        <v>Credit Mutuel</v>
      </c>
      <c r="AA556" s="18" t="s">
        <v>97</v>
      </c>
      <c r="AB556" s="8" t="str">
        <f aca="false">IF(AND(D556="Congé",F556="Congé"),0.333333333333333,IF(OR(AND(D556="Congé",F556&lt;&gt;"Congé"),(AND(F556="Congé",D556&lt;&gt;"Congé"))),0.166666666666667,""))</f>
        <v/>
      </c>
      <c r="AC556" s="8" t="str">
        <f aca="false">IF(AND(D556="Congé sans solde",F556="Congé sans solde"),0.333333333333333,IF(OR(AND(D556="Congé sans solde",F556&lt;&gt;"Congé sans solde"),(AND(F556="Congé sans solde",D556&lt;&gt;"Congé sans solde"))),0.166666666666667,""))</f>
        <v/>
      </c>
      <c r="AD556" s="8" t="str">
        <f aca="false">IF(AND(D556="Congé spécial",F556="Congé spécial"),0.333333333333333,IF(OR(AND(D556="Congé spécial",F556&lt;&gt;"Congé spécial"),AND(F556="Congé spécial",D556&lt;&gt;"Congé spécial")),0.166666666666667,""))</f>
        <v/>
      </c>
      <c r="AE556" s="8" t="str">
        <f aca="false">IF(AND(D556="Férié",F556="Férié"),0.333333333333333,IF(OR(AND(D556="Férié",F556&lt;&gt;"Férié"),(AND(F556="Férié",D556&lt;&gt;"Férié"))),0.166666666666667,""))</f>
        <v/>
      </c>
      <c r="AF556" s="18"/>
      <c r="AG556" s="18"/>
    </row>
    <row r="557" customFormat="false" ht="15" hidden="false" customHeight="false" outlineLevel="0" collapsed="false">
      <c r="A557" s="6" t="str">
        <f aca="false">YEAR(Q557-WEEKDAY(Q557,2)+4)&amp;"-S"&amp;TEXT(WEEKNUM(Q557,21),"00")</f>
        <v>2026-S15</v>
      </c>
      <c r="B557" s="18" t="s">
        <v>73</v>
      </c>
      <c r="C557" s="19" t="n">
        <v>0.331944444444444</v>
      </c>
      <c r="D557" s="19" t="n">
        <v>0.333333333333333</v>
      </c>
      <c r="E557" s="19" t="n">
        <v>0.75</v>
      </c>
      <c r="F557" s="19" t="n">
        <v>0.75</v>
      </c>
      <c r="G557" s="20"/>
      <c r="H557" s="20"/>
      <c r="I557" s="8" t="str">
        <f aca="false">IF(IF(OR(C557="",D557="Congé",D557="OFF",D557="Congé spécial"),"",IF(D557&gt;F557,D557-C557,IF(C557-D557&lt;0,0,C557-D557)))&lt;0.00068287037037037,"",IF(OR(D557="Congé",D557="OFF",C557="",D557="Congé spécial"),"",IF(D557&gt;F557,D557-C557,IF(C557-D557&lt;0,0,C557-D557))))</f>
        <v/>
      </c>
      <c r="J557" s="20"/>
      <c r="K557" s="8" t="n">
        <f aca="false">IF(SUM(H557:J557)&lt;0.00068287037037037,0,SUM(H557:J557))</f>
        <v>0</v>
      </c>
      <c r="L557" s="8" t="n">
        <f aca="false">IF(OR(F557="Congé",F557="OFF",M557="Abs",F557="Congé sans solde",F557="Férié",F557="Congé spécial",D557="Congé spécial"),0,IF(F557-E557&lt;0,0,IF(F557-E557&lt;=0.00068287037037037,0,F557-E557)))</f>
        <v>0</v>
      </c>
      <c r="M557" s="6" t="n">
        <f aca="false">IF(AND(O557&lt;&gt;0,C557=""),"Abs",0)</f>
        <v>0</v>
      </c>
      <c r="N557" s="8" t="n">
        <f aca="false">IFERROR(IF(OR(D557="OFF",D557="Congé",M557="Abs",D557="Congé sans solde",D557="Férié"),"",IF(O557-K557-L557&gt;O557,O557,IF(O557-K557-L557&lt;0,"",O557-K557-L557))),"")</f>
        <v>0.375</v>
      </c>
      <c r="O557" s="8" t="n">
        <f aca="false">IF(AG557="2H Pause déjeuner",IF(F557-D557-0.0833333333333333&lt;0,F557-D557-0.0833333333333333+1,F557-D557-0.0833333333333333),IF(OR(AND(F557="OFF",D557="OFF"),AND(F557="Congé",D557="Congé"),AND(F557="Congé sans solde",D557="Congé sans solde"),AND(F557="Congé spécial",D557="Congé spécial"),AND(F557="Férié",D557="Férié"),AND(F557="OFF",D557="Congé"),AND(F557="OFF",D557="Congé sans solde"),AND(F557="OFF",D557="Congé spécial"),AND(F557="OFF",D557="Férié"),AND(F557="Congé",D557="OFF"),AND(F557="Congé",D557="Congé sans solde"),AND(F557="Congé",D557="Congé spécial"),AND(F557="Congé",D557="Férié"),AND(F557="Congé sans solde",D557="OFF"),AND(F557="Congé sans solde",D557="Congé"),AND(F557="Congé sans solde",D557="Congé spécial"),AND(F557="Congé sans solde",D557="Férié"),AND(F557="Congé spécial",D557="OFF"),AND(F557="Congé spécial",D557="Congé"),AND(F557="Congé spécial",D557="Congé sans solde"),AND(F557="Congé spécial",D557="Férié"),AND(F557="Férié",D557="OFF"),AND(F557="Férié",D557="Congé"),AND(F557="Férié",D557="Congé sans solde"),AND(F557="Férié",D557="Congé spécial")),0,IF(OR(F557="OFF",F557="Congé",F557="Congé spécial",F557="Congé sans solde",D557="OFF",D557="Congé",D557="Congé spécial",D557="Congé sans solde"),0.208333333333334,IF(AND(AG557="",F557-D557&lt;0),("24:00:00"-D557)+("00:00:00"+F557)-0.0416666666666667,IF(AND(OR(AG557="Allaitement",AG557="Sans déjeuner"),F557-D557&lt;0),("24:00:00"-D557)+("00:00:00"+F557),IF(AND(AG557="",F557-D557&gt;0.166666666666667),F557-D557-0.0416666666666667,IF(AND(OR(AG557="Allaitement",AG557="Sans déjeuner"),F557-D557&gt;0.166666666666667),F557-D557,F557-D557)))))))</f>
        <v>0.375</v>
      </c>
      <c r="P557" s="6" t="str">
        <f aca="false">IFERROR(VLOOKUP($B557,Agents!$A:$D,2,0),"-")</f>
        <v>Accessibilité</v>
      </c>
      <c r="Q557" s="21" t="n">
        <v>46120</v>
      </c>
      <c r="R557" s="8" t="n">
        <f aca="false">IF(M557="Abs",O557,0)</f>
        <v>0</v>
      </c>
      <c r="S557" s="8" t="n">
        <f aca="false">SUM(R557,L557,I557,J557,W557,H557)</f>
        <v>0</v>
      </c>
      <c r="T557" s="6" t="str">
        <f aca="false">"Sem - "&amp;WEEKNUM(Q557,21)</f>
        <v>Sem - 15</v>
      </c>
      <c r="U557" s="6" t="str">
        <f aca="false">CHOOSE(MONTH(Q557),"Janvier","Février","Mars","Avril","Mai","Juin","Juillet","Août","Septembre","Octobre","Novembre","Décembre")</f>
        <v>Avril</v>
      </c>
      <c r="V557" s="22" t="n">
        <f aca="false">YEAR(Q557)</f>
        <v>2026</v>
      </c>
      <c r="W557" s="20"/>
      <c r="X557" s="8" t="n">
        <f aca="false">IFERROR(IF(M557="Abs",0,IF(ROUND((D557-C557+E557-F557)*1440,0)&lt;=1,0,D557-C557+E557-F557)),0)</f>
        <v>0.00138888888888889</v>
      </c>
      <c r="Y557" s="6" t="str">
        <f aca="false">IFERROR(VLOOKUP($B557,Agents!$A:$D,3,0),"-")</f>
        <v>OUBRAHIM Mohammed</v>
      </c>
      <c r="Z557" s="6" t="str">
        <f aca="false">IFERROR(VLOOKUP($B557,Agents!$A:$D,4,0),"-")</f>
        <v>Credit Mutuel</v>
      </c>
      <c r="AA557" s="18" t="s">
        <v>97</v>
      </c>
      <c r="AB557" s="8" t="str">
        <f aca="false">IF(AND(D557="Congé",F557="Congé"),0.333333333333333,IF(OR(AND(D557="Congé",F557&lt;&gt;"Congé"),(AND(F557="Congé",D557&lt;&gt;"Congé"))),0.166666666666667,""))</f>
        <v/>
      </c>
      <c r="AC557" s="8" t="str">
        <f aca="false">IF(AND(D557="Congé sans solde",F557="Congé sans solde"),0.333333333333333,IF(OR(AND(D557="Congé sans solde",F557&lt;&gt;"Congé sans solde"),(AND(F557="Congé sans solde",D557&lt;&gt;"Congé sans solde"))),0.166666666666667,""))</f>
        <v/>
      </c>
      <c r="AD557" s="8" t="str">
        <f aca="false">IF(AND(D557="Congé spécial",F557="Congé spécial"),0.333333333333333,IF(OR(AND(D557="Congé spécial",F557&lt;&gt;"Congé spécial"),AND(F557="Congé spécial",D557&lt;&gt;"Congé spécial")),0.166666666666667,""))</f>
        <v/>
      </c>
      <c r="AE557" s="8" t="str">
        <f aca="false">IF(AND(D557="Férié",F557="Férié"),0.333333333333333,IF(OR(AND(D557="Férié",F557&lt;&gt;"Férié"),(AND(F557="Férié",D557&lt;&gt;"Férié"))),0.166666666666667,""))</f>
        <v/>
      </c>
      <c r="AF557" s="18"/>
      <c r="AG557" s="18"/>
    </row>
    <row r="558" customFormat="false" ht="15" hidden="false" customHeight="false" outlineLevel="0" collapsed="false">
      <c r="A558" s="6" t="str">
        <f aca="false">YEAR(Q558-WEEKDAY(Q558,2)+4)&amp;"-S"&amp;TEXT(WEEKNUM(Q558,21),"00")</f>
        <v>2026-S15</v>
      </c>
      <c r="B558" s="18" t="s">
        <v>69</v>
      </c>
      <c r="C558" s="19" t="n">
        <v>0.333333333333333</v>
      </c>
      <c r="D558" s="19" t="n">
        <v>0.333333333333333</v>
      </c>
      <c r="E558" s="19" t="n">
        <v>0.75</v>
      </c>
      <c r="F558" s="19" t="n">
        <v>0.75</v>
      </c>
      <c r="G558" s="20"/>
      <c r="H558" s="20"/>
      <c r="I558" s="8" t="str">
        <f aca="false">IF(IF(OR(C558="",D558="Congé",D558="OFF",D558="Congé spécial"),"",IF(D558&gt;F558,D558-C558,IF(C558-D558&lt;0,0,C558-D558)))&lt;0.00068287037037037,"",IF(OR(D558="Congé",D558="OFF",C558="",D558="Congé spécial"),"",IF(D558&gt;F558,D558-C558,IF(C558-D558&lt;0,0,C558-D558))))</f>
        <v/>
      </c>
      <c r="J558" s="20"/>
      <c r="K558" s="8" t="n">
        <f aca="false">IF(SUM(H558:J558)&lt;0.00068287037037037,0,SUM(H558:J558))</f>
        <v>0</v>
      </c>
      <c r="L558" s="8" t="n">
        <f aca="false">IF(OR(F558="Congé",F558="OFF",M558="Abs",F558="Congé sans solde",F558="Férié",F558="Congé spécial",D558="Congé spécial"),0,IF(F558-E558&lt;0,0,IF(F558-E558&lt;=0.00068287037037037,0,F558-E558)))</f>
        <v>0</v>
      </c>
      <c r="M558" s="6" t="n">
        <f aca="false">IF(AND(O558&lt;&gt;0,C558=""),"Abs",0)</f>
        <v>0</v>
      </c>
      <c r="N558" s="8" t="n">
        <f aca="false">IFERROR(IF(OR(D558="OFF",D558="Congé",M558="Abs",D558="Congé sans solde",D558="Férié"),"",IF(O558-K558-L558&gt;O558,O558,IF(O558-K558-L558&lt;0,"",O558-K558-L558))),"")</f>
        <v>0.375</v>
      </c>
      <c r="O558" s="8" t="n">
        <f aca="false">IF(AG558="2H Pause déjeuner",IF(F558-D558-0.0833333333333333&lt;0,F558-D558-0.0833333333333333+1,F558-D558-0.0833333333333333),IF(OR(AND(F558="OFF",D558="OFF"),AND(F558="Congé",D558="Congé"),AND(F558="Congé sans solde",D558="Congé sans solde"),AND(F558="Congé spécial",D558="Congé spécial"),AND(F558="Férié",D558="Férié"),AND(F558="OFF",D558="Congé"),AND(F558="OFF",D558="Congé sans solde"),AND(F558="OFF",D558="Congé spécial"),AND(F558="OFF",D558="Férié"),AND(F558="Congé",D558="OFF"),AND(F558="Congé",D558="Congé sans solde"),AND(F558="Congé",D558="Congé spécial"),AND(F558="Congé",D558="Férié"),AND(F558="Congé sans solde",D558="OFF"),AND(F558="Congé sans solde",D558="Congé"),AND(F558="Congé sans solde",D558="Congé spécial"),AND(F558="Congé sans solde",D558="Férié"),AND(F558="Congé spécial",D558="OFF"),AND(F558="Congé spécial",D558="Congé"),AND(F558="Congé spécial",D558="Congé sans solde"),AND(F558="Congé spécial",D558="Férié"),AND(F558="Férié",D558="OFF"),AND(F558="Férié",D558="Congé"),AND(F558="Férié",D558="Congé sans solde"),AND(F558="Férié",D558="Congé spécial")),0,IF(OR(F558="OFF",F558="Congé",F558="Congé spécial",F558="Congé sans solde",D558="OFF",D558="Congé",D558="Congé spécial",D558="Congé sans solde"),0.208333333333334,IF(AND(AG558="",F558-D558&lt;0),("24:00:00"-D558)+("00:00:00"+F558)-0.0416666666666667,IF(AND(OR(AG558="Allaitement",AG558="Sans déjeuner"),F558-D558&lt;0),("24:00:00"-D558)+("00:00:00"+F558),IF(AND(AG558="",F558-D558&gt;0.166666666666667),F558-D558-0.0416666666666667,IF(AND(OR(AG558="Allaitement",AG558="Sans déjeuner"),F558-D558&gt;0.166666666666667),F558-D558,F558-D558)))))))</f>
        <v>0.375</v>
      </c>
      <c r="P558" s="6" t="str">
        <f aca="false">IFERROR(VLOOKUP($B558,Agents!$A:$D,2,0),"-")</f>
        <v>Accessibilité</v>
      </c>
      <c r="Q558" s="21" t="n">
        <v>46121</v>
      </c>
      <c r="R558" s="8" t="n">
        <f aca="false">IF(M558="Abs",O558,0)</f>
        <v>0</v>
      </c>
      <c r="S558" s="8" t="n">
        <f aca="false">SUM(R558,L558,I558,J558,W558,H558)</f>
        <v>0</v>
      </c>
      <c r="T558" s="6" t="str">
        <f aca="false">"Sem - "&amp;WEEKNUM(Q558,21)</f>
        <v>Sem - 15</v>
      </c>
      <c r="U558" s="6" t="str">
        <f aca="false">CHOOSE(MONTH(Q558),"Janvier","Février","Mars","Avril","Mai","Juin","Juillet","Août","Septembre","Octobre","Novembre","Décembre")</f>
        <v>Avril</v>
      </c>
      <c r="V558" s="22" t="n">
        <f aca="false">YEAR(Q558)</f>
        <v>2026</v>
      </c>
      <c r="W558" s="20"/>
      <c r="X558" s="8" t="n">
        <f aca="false">IFERROR(IF(M558="Abs",0,IF(ROUND((D558-C558+E558-F558)*1440,0)&lt;=1,0,D558-C558+E558-F558)),0)</f>
        <v>0</v>
      </c>
      <c r="Y558" s="6" t="str">
        <f aca="false">IFERROR(VLOOKUP($B558,Agents!$A:$D,3,0),"-")</f>
        <v>OUBRAHIM Mohammed</v>
      </c>
      <c r="Z558" s="6" t="str">
        <f aca="false">IFERROR(VLOOKUP($B558,Agents!$A:$D,4,0),"-")</f>
        <v>Credit Mutuel</v>
      </c>
      <c r="AA558" s="18" t="s">
        <v>97</v>
      </c>
      <c r="AB558" s="8" t="str">
        <f aca="false">IF(AND(D558="Congé",F558="Congé"),0.333333333333333,IF(OR(AND(D558="Congé",F558&lt;&gt;"Congé"),(AND(F558="Congé",D558&lt;&gt;"Congé"))),0.166666666666667,""))</f>
        <v/>
      </c>
      <c r="AC558" s="8" t="str">
        <f aca="false">IF(AND(D558="Congé sans solde",F558="Congé sans solde"),0.333333333333333,IF(OR(AND(D558="Congé sans solde",F558&lt;&gt;"Congé sans solde"),(AND(F558="Congé sans solde",D558&lt;&gt;"Congé sans solde"))),0.166666666666667,""))</f>
        <v/>
      </c>
      <c r="AD558" s="8" t="str">
        <f aca="false">IF(AND(D558="Congé spécial",F558="Congé spécial"),0.333333333333333,IF(OR(AND(D558="Congé spécial",F558&lt;&gt;"Congé spécial"),AND(F558="Congé spécial",D558&lt;&gt;"Congé spécial")),0.166666666666667,""))</f>
        <v/>
      </c>
      <c r="AE558" s="8" t="str">
        <f aca="false">IF(AND(D558="Férié",F558="Férié"),0.333333333333333,IF(OR(AND(D558="Férié",F558&lt;&gt;"Férié"),(AND(F558="Férié",D558&lt;&gt;"Férié"))),0.166666666666667,""))</f>
        <v/>
      </c>
      <c r="AF558" s="18"/>
      <c r="AG558" s="18"/>
    </row>
    <row r="559" customFormat="false" ht="15" hidden="false" customHeight="false" outlineLevel="0" collapsed="false">
      <c r="A559" s="6" t="str">
        <f aca="false">YEAR(Q559-WEEKDAY(Q559,2)+4)&amp;"-S"&amp;TEXT(WEEKNUM(Q559,21),"00")</f>
        <v>2026-S15</v>
      </c>
      <c r="B559" s="18" t="s">
        <v>71</v>
      </c>
      <c r="C559" s="19" t="n">
        <v>0.333333333333333</v>
      </c>
      <c r="D559" s="19" t="n">
        <v>0.333333333333333</v>
      </c>
      <c r="E559" s="19" t="n">
        <v>0.75</v>
      </c>
      <c r="F559" s="19" t="n">
        <v>0.75</v>
      </c>
      <c r="G559" s="20"/>
      <c r="H559" s="20"/>
      <c r="I559" s="8" t="str">
        <f aca="false">IF(IF(OR(C559="",D559="Congé",D559="OFF",D559="Congé spécial"),"",IF(D559&gt;F559,D559-C559,IF(C559-D559&lt;0,0,C559-D559)))&lt;0.00068287037037037,"",IF(OR(D559="Congé",D559="OFF",C559="",D559="Congé spécial"),"",IF(D559&gt;F559,D559-C559,IF(C559-D559&lt;0,0,C559-D559))))</f>
        <v/>
      </c>
      <c r="J559" s="20"/>
      <c r="K559" s="8" t="n">
        <f aca="false">IF(SUM(H559:J559)&lt;0.00068287037037037,0,SUM(H559:J559))</f>
        <v>0</v>
      </c>
      <c r="L559" s="8" t="n">
        <f aca="false">IF(OR(F559="Congé",F559="OFF",M559="Abs",F559="Congé sans solde",F559="Férié",F559="Congé spécial",D559="Congé spécial"),0,IF(F559-E559&lt;0,0,IF(F559-E559&lt;=0.00068287037037037,0,F559-E559)))</f>
        <v>0</v>
      </c>
      <c r="M559" s="6" t="n">
        <f aca="false">IF(AND(O559&lt;&gt;0,C559=""),"Abs",0)</f>
        <v>0</v>
      </c>
      <c r="N559" s="8" t="n">
        <f aca="false">IFERROR(IF(OR(D559="OFF",D559="Congé",M559="Abs",D559="Congé sans solde",D559="Férié"),"",IF(O559-K559-L559&gt;O559,O559,IF(O559-K559-L559&lt;0,"",O559-K559-L559))),"")</f>
        <v>0.375</v>
      </c>
      <c r="O559" s="8" t="n">
        <f aca="false">IF(AG559="2H Pause déjeuner",IF(F559-D559-0.0833333333333333&lt;0,F559-D559-0.0833333333333333+1,F559-D559-0.0833333333333333),IF(OR(AND(F559="OFF",D559="OFF"),AND(F559="Congé",D559="Congé"),AND(F559="Congé sans solde",D559="Congé sans solde"),AND(F559="Congé spécial",D559="Congé spécial"),AND(F559="Férié",D559="Férié"),AND(F559="OFF",D559="Congé"),AND(F559="OFF",D559="Congé sans solde"),AND(F559="OFF",D559="Congé spécial"),AND(F559="OFF",D559="Férié"),AND(F559="Congé",D559="OFF"),AND(F559="Congé",D559="Congé sans solde"),AND(F559="Congé",D559="Congé spécial"),AND(F559="Congé",D559="Férié"),AND(F559="Congé sans solde",D559="OFF"),AND(F559="Congé sans solde",D559="Congé"),AND(F559="Congé sans solde",D559="Congé spécial"),AND(F559="Congé sans solde",D559="Férié"),AND(F559="Congé spécial",D559="OFF"),AND(F559="Congé spécial",D559="Congé"),AND(F559="Congé spécial",D559="Congé sans solde"),AND(F559="Congé spécial",D559="Férié"),AND(F559="Férié",D559="OFF"),AND(F559="Férié",D559="Congé"),AND(F559="Férié",D559="Congé sans solde"),AND(F559="Férié",D559="Congé spécial")),0,IF(OR(F559="OFF",F559="Congé",F559="Congé spécial",F559="Congé sans solde",D559="OFF",D559="Congé",D559="Congé spécial",D559="Congé sans solde"),0.208333333333334,IF(AND(AG559="",F559-D559&lt;0),("24:00:00"-D559)+("00:00:00"+F559)-0.0416666666666667,IF(AND(OR(AG559="Allaitement",AG559="Sans déjeuner"),F559-D559&lt;0),("24:00:00"-D559)+("00:00:00"+F559),IF(AND(AG559="",F559-D559&gt;0.166666666666667),F559-D559-0.0416666666666667,IF(AND(OR(AG559="Allaitement",AG559="Sans déjeuner"),F559-D559&gt;0.166666666666667),F559-D559,F559-D559)))))))</f>
        <v>0.375</v>
      </c>
      <c r="P559" s="6" t="str">
        <f aca="false">IFERROR(VLOOKUP($B559,Agents!$A:$D,2,0),"-")</f>
        <v>Accessibilité</v>
      </c>
      <c r="Q559" s="21" t="n">
        <v>46121</v>
      </c>
      <c r="R559" s="8" t="n">
        <f aca="false">IF(M559="Abs",O559,0)</f>
        <v>0</v>
      </c>
      <c r="S559" s="8" t="n">
        <f aca="false">SUM(R559,L559,I559,J559,W559,H559)</f>
        <v>0</v>
      </c>
      <c r="T559" s="6" t="str">
        <f aca="false">"Sem - "&amp;WEEKNUM(Q559,21)</f>
        <v>Sem - 15</v>
      </c>
      <c r="U559" s="6" t="str">
        <f aca="false">CHOOSE(MONTH(Q559),"Janvier","Février","Mars","Avril","Mai","Juin","Juillet","Août","Septembre","Octobre","Novembre","Décembre")</f>
        <v>Avril</v>
      </c>
      <c r="V559" s="22" t="n">
        <f aca="false">YEAR(Q559)</f>
        <v>2026</v>
      </c>
      <c r="W559" s="20"/>
      <c r="X559" s="8" t="n">
        <f aca="false">IFERROR(IF(M559="Abs",0,IF(ROUND((D559-C559+E559-F559)*1440,0)&lt;=1,0,D559-C559+E559-F559)),0)</f>
        <v>0</v>
      </c>
      <c r="Y559" s="6" t="str">
        <f aca="false">IFERROR(VLOOKUP($B559,Agents!$A:$D,3,0),"-")</f>
        <v>OUBRAHIM Mohammed</v>
      </c>
      <c r="Z559" s="6" t="str">
        <f aca="false">IFERROR(VLOOKUP($B559,Agents!$A:$D,4,0),"-")</f>
        <v>Credit Mutuel</v>
      </c>
      <c r="AA559" s="18" t="s">
        <v>97</v>
      </c>
      <c r="AB559" s="8" t="str">
        <f aca="false">IF(AND(D559="Congé",F559="Congé"),0.333333333333333,IF(OR(AND(D559="Congé",F559&lt;&gt;"Congé"),(AND(F559="Congé",D559&lt;&gt;"Congé"))),0.166666666666667,""))</f>
        <v/>
      </c>
      <c r="AC559" s="8" t="str">
        <f aca="false">IF(AND(D559="Congé sans solde",F559="Congé sans solde"),0.333333333333333,IF(OR(AND(D559="Congé sans solde",F559&lt;&gt;"Congé sans solde"),(AND(F559="Congé sans solde",D559&lt;&gt;"Congé sans solde"))),0.166666666666667,""))</f>
        <v/>
      </c>
      <c r="AD559" s="8" t="str">
        <f aca="false">IF(AND(D559="Congé spécial",F559="Congé spécial"),0.333333333333333,IF(OR(AND(D559="Congé spécial",F559&lt;&gt;"Congé spécial"),AND(F559="Congé spécial",D559&lt;&gt;"Congé spécial")),0.166666666666667,""))</f>
        <v/>
      </c>
      <c r="AE559" s="8" t="str">
        <f aca="false">IF(AND(D559="Férié",F559="Férié"),0.333333333333333,IF(OR(AND(D559="Férié",F559&lt;&gt;"Férié"),(AND(F559="Férié",D559&lt;&gt;"Férié"))),0.166666666666667,""))</f>
        <v/>
      </c>
      <c r="AF559" s="18"/>
      <c r="AG559" s="18"/>
    </row>
    <row r="560" customFormat="false" ht="15" hidden="false" customHeight="false" outlineLevel="0" collapsed="false">
      <c r="A560" s="6" t="str">
        <f aca="false">YEAR(Q560-WEEKDAY(Q560,2)+4)&amp;"-S"&amp;TEXT(WEEKNUM(Q560,21),"00")</f>
        <v>2026-S15</v>
      </c>
      <c r="B560" s="18" t="s">
        <v>72</v>
      </c>
      <c r="C560" s="19"/>
      <c r="D560" s="19" t="n">
        <v>0.333333333333333</v>
      </c>
      <c r="E560" s="19"/>
      <c r="F560" s="19" t="n">
        <v>0.75</v>
      </c>
      <c r="G560" s="20"/>
      <c r="H560" s="20"/>
      <c r="I560" s="8" t="str">
        <f aca="false">IF(IF(OR(C560="",D560="Congé",D560="OFF",D560="Congé spécial"),"",IF(D560&gt;F560,D560-C560,IF(C560-D560&lt;0,0,C560-D560)))&lt;0.00068287037037037,"",IF(OR(D560="Congé",D560="OFF",C560="",D560="Congé spécial"),"",IF(D560&gt;F560,D560-C560,IF(C560-D560&lt;0,0,C560-D560))))</f>
        <v/>
      </c>
      <c r="J560" s="20"/>
      <c r="K560" s="8" t="n">
        <f aca="false">IF(SUM(H560:J560)&lt;0.00068287037037037,0,SUM(H560:J560))</f>
        <v>0</v>
      </c>
      <c r="L560" s="8" t="n">
        <f aca="false">IF(OR(F560="Congé",F560="OFF",M560="Abs",F560="Congé sans solde",F560="Férié",F560="Congé spécial",D560="Congé spécial"),0,IF(F560-E560&lt;0,0,IF(F560-E560&lt;=0.00068287037037037,0,F560-E560)))</f>
        <v>0</v>
      </c>
      <c r="M560" s="6" t="str">
        <f aca="false">IF(AND(O560&lt;&gt;0,C560=""),"Abs",0)</f>
        <v>Abs</v>
      </c>
      <c r="N560" s="8" t="str">
        <f aca="false">IFERROR(IF(OR(D560="OFF",D560="Congé",M560="Abs",D560="Congé sans solde",D560="Férié"),"",IF(O560-K560-L560&gt;O560,O560,IF(O560-K560-L560&lt;0,"",O560-K560-L560))),"")</f>
        <v/>
      </c>
      <c r="O560" s="8" t="n">
        <f aca="false">IF(AG560="2H Pause déjeuner",IF(F560-D560-0.0833333333333333&lt;0,F560-D560-0.0833333333333333+1,F560-D560-0.0833333333333333),IF(OR(AND(F560="OFF",D560="OFF"),AND(F560="Congé",D560="Congé"),AND(F560="Congé sans solde",D560="Congé sans solde"),AND(F560="Congé spécial",D560="Congé spécial"),AND(F560="Férié",D560="Férié"),AND(F560="OFF",D560="Congé"),AND(F560="OFF",D560="Congé sans solde"),AND(F560="OFF",D560="Congé spécial"),AND(F560="OFF",D560="Férié"),AND(F560="Congé",D560="OFF"),AND(F560="Congé",D560="Congé sans solde"),AND(F560="Congé",D560="Congé spécial"),AND(F560="Congé",D560="Férié"),AND(F560="Congé sans solde",D560="OFF"),AND(F560="Congé sans solde",D560="Congé"),AND(F560="Congé sans solde",D560="Congé spécial"),AND(F560="Congé sans solde",D560="Férié"),AND(F560="Congé spécial",D560="OFF"),AND(F560="Congé spécial",D560="Congé"),AND(F560="Congé spécial",D560="Congé sans solde"),AND(F560="Congé spécial",D560="Férié"),AND(F560="Férié",D560="OFF"),AND(F560="Férié",D560="Congé"),AND(F560="Férié",D560="Congé sans solde"),AND(F560="Férié",D560="Congé spécial")),0,IF(OR(F560="OFF",F560="Congé",F560="Congé spécial",F560="Congé sans solde",D560="OFF",D560="Congé",D560="Congé spécial",D560="Congé sans solde"),0.208333333333334,IF(AND(AG560="",F560-D560&lt;0),("24:00:00"-D560)+("00:00:00"+F560)-0.0416666666666667,IF(AND(OR(AG560="Allaitement",AG560="Sans déjeuner"),F560-D560&lt;0),("24:00:00"-D560)+("00:00:00"+F560),IF(AND(AG560="",F560-D560&gt;0.166666666666667),F560-D560-0.0416666666666667,IF(AND(OR(AG560="Allaitement",AG560="Sans déjeuner"),F560-D560&gt;0.166666666666667),F560-D560,F560-D560)))))))</f>
        <v>0.375</v>
      </c>
      <c r="P560" s="6" t="str">
        <f aca="false">IFERROR(VLOOKUP($B560,Agents!$A:$D,2,0),"-")</f>
        <v>Accessibilité</v>
      </c>
      <c r="Q560" s="21" t="n">
        <v>46121</v>
      </c>
      <c r="R560" s="8" t="n">
        <f aca="false">IF(M560="Abs",O560,0)</f>
        <v>0.375</v>
      </c>
      <c r="S560" s="8" t="n">
        <f aca="false">SUM(R560,L560,I560,J560,W560,H560)</f>
        <v>0.375</v>
      </c>
      <c r="T560" s="6" t="str">
        <f aca="false">"Sem - "&amp;WEEKNUM(Q560,21)</f>
        <v>Sem - 15</v>
      </c>
      <c r="U560" s="6" t="str">
        <f aca="false">CHOOSE(MONTH(Q560),"Janvier","Février","Mars","Avril","Mai","Juin","Juillet","Août","Septembre","Octobre","Novembre","Décembre")</f>
        <v>Avril</v>
      </c>
      <c r="V560" s="22" t="n">
        <f aca="false">YEAR(Q560)</f>
        <v>2026</v>
      </c>
      <c r="W560" s="20"/>
      <c r="X560" s="8" t="n">
        <f aca="false">IFERROR(IF(M560="Abs",0,IF(ROUND((D560-C560+E560-F560)*1440,0)&lt;=1,0,D560-C560+E560-F560)),0)</f>
        <v>0</v>
      </c>
      <c r="Y560" s="6" t="str">
        <f aca="false">IFERROR(VLOOKUP($B560,Agents!$A:$D,3,0),"-")</f>
        <v>OUBRAHIM Mohammed</v>
      </c>
      <c r="Z560" s="6" t="str">
        <f aca="false">IFERROR(VLOOKUP($B560,Agents!$A:$D,4,0),"-")</f>
        <v>Credit Mutuel</v>
      </c>
      <c r="AA560" s="18" t="s">
        <v>97</v>
      </c>
      <c r="AB560" s="8" t="str">
        <f aca="false">IF(AND(D560="Congé",F560="Congé"),0.333333333333333,IF(OR(AND(D560="Congé",F560&lt;&gt;"Congé"),(AND(F560="Congé",D560&lt;&gt;"Congé"))),0.166666666666667,""))</f>
        <v/>
      </c>
      <c r="AC560" s="8" t="str">
        <f aca="false">IF(AND(D560="Congé sans solde",F560="Congé sans solde"),0.333333333333333,IF(OR(AND(D560="Congé sans solde",F560&lt;&gt;"Congé sans solde"),(AND(F560="Congé sans solde",D560&lt;&gt;"Congé sans solde"))),0.166666666666667,""))</f>
        <v/>
      </c>
      <c r="AD560" s="8" t="str">
        <f aca="false">IF(AND(D560="Congé spécial",F560="Congé spécial"),0.333333333333333,IF(OR(AND(D560="Congé spécial",F560&lt;&gt;"Congé spécial"),AND(F560="Congé spécial",D560&lt;&gt;"Congé spécial")),0.166666666666667,""))</f>
        <v/>
      </c>
      <c r="AE560" s="8" t="str">
        <f aca="false">IF(AND(D560="Férié",F560="Férié"),0.333333333333333,IF(OR(AND(D560="Férié",F560&lt;&gt;"Férié"),(AND(F560="Férié",D560&lt;&gt;"Férié"))),0.166666666666667,""))</f>
        <v/>
      </c>
      <c r="AF560" s="18"/>
      <c r="AG560" s="18"/>
    </row>
    <row r="561" customFormat="false" ht="15" hidden="false" customHeight="false" outlineLevel="0" collapsed="false">
      <c r="A561" s="6" t="str">
        <f aca="false">YEAR(Q561-WEEKDAY(Q561,2)+4)&amp;"-S"&amp;TEXT(WEEKNUM(Q561,21),"00")</f>
        <v>2026-S15</v>
      </c>
      <c r="B561" s="18" t="s">
        <v>73</v>
      </c>
      <c r="C561" s="19" t="n">
        <v>0.333333333333333</v>
      </c>
      <c r="D561" s="19" t="n">
        <v>0.333333333333333</v>
      </c>
      <c r="E561" s="19" t="n">
        <v>0.75</v>
      </c>
      <c r="F561" s="19" t="n">
        <v>0.75</v>
      </c>
      <c r="G561" s="20"/>
      <c r="H561" s="20"/>
      <c r="I561" s="8" t="str">
        <f aca="false">IF(IF(OR(C561="",D561="Congé",D561="OFF",D561="Congé spécial"),"",IF(D561&gt;F561,D561-C561,IF(C561-D561&lt;0,0,C561-D561)))&lt;0.00068287037037037,"",IF(OR(D561="Congé",D561="OFF",C561="",D561="Congé spécial"),"",IF(D561&gt;F561,D561-C561,IF(C561-D561&lt;0,0,C561-D561))))</f>
        <v/>
      </c>
      <c r="J561" s="20"/>
      <c r="K561" s="8" t="n">
        <f aca="false">IF(SUM(H561:J561)&lt;0.00068287037037037,0,SUM(H561:J561))</f>
        <v>0</v>
      </c>
      <c r="L561" s="8" t="n">
        <f aca="false">IF(OR(F561="Congé",F561="OFF",M561="Abs",F561="Congé sans solde",F561="Férié",F561="Congé spécial",D561="Congé spécial"),0,IF(F561-E561&lt;0,0,IF(F561-E561&lt;=0.00068287037037037,0,F561-E561)))</f>
        <v>0</v>
      </c>
      <c r="M561" s="6" t="n">
        <f aca="false">IF(AND(O561&lt;&gt;0,C561=""),"Abs",0)</f>
        <v>0</v>
      </c>
      <c r="N561" s="8" t="n">
        <f aca="false">IFERROR(IF(OR(D561="OFF",D561="Congé",M561="Abs",D561="Congé sans solde",D561="Férié"),"",IF(O561-K561-L561&gt;O561,O561,IF(O561-K561-L561&lt;0,"",O561-K561-L561))),"")</f>
        <v>0.375</v>
      </c>
      <c r="O561" s="8" t="n">
        <f aca="false">IF(AG561="2H Pause déjeuner",IF(F561-D561-0.0833333333333333&lt;0,F561-D561-0.0833333333333333+1,F561-D561-0.0833333333333333),IF(OR(AND(F561="OFF",D561="OFF"),AND(F561="Congé",D561="Congé"),AND(F561="Congé sans solde",D561="Congé sans solde"),AND(F561="Congé spécial",D561="Congé spécial"),AND(F561="Férié",D561="Férié"),AND(F561="OFF",D561="Congé"),AND(F561="OFF",D561="Congé sans solde"),AND(F561="OFF",D561="Congé spécial"),AND(F561="OFF",D561="Férié"),AND(F561="Congé",D561="OFF"),AND(F561="Congé",D561="Congé sans solde"),AND(F561="Congé",D561="Congé spécial"),AND(F561="Congé",D561="Férié"),AND(F561="Congé sans solde",D561="OFF"),AND(F561="Congé sans solde",D561="Congé"),AND(F561="Congé sans solde",D561="Congé spécial"),AND(F561="Congé sans solde",D561="Férié"),AND(F561="Congé spécial",D561="OFF"),AND(F561="Congé spécial",D561="Congé"),AND(F561="Congé spécial",D561="Congé sans solde"),AND(F561="Congé spécial",D561="Férié"),AND(F561="Férié",D561="OFF"),AND(F561="Férié",D561="Congé"),AND(F561="Férié",D561="Congé sans solde"),AND(F561="Férié",D561="Congé spécial")),0,IF(OR(F561="OFF",F561="Congé",F561="Congé spécial",F561="Congé sans solde",D561="OFF",D561="Congé",D561="Congé spécial",D561="Congé sans solde"),0.208333333333334,IF(AND(AG561="",F561-D561&lt;0),("24:00:00"-D561)+("00:00:00"+F561)-0.0416666666666667,IF(AND(OR(AG561="Allaitement",AG561="Sans déjeuner"),F561-D561&lt;0),("24:00:00"-D561)+("00:00:00"+F561),IF(AND(AG561="",F561-D561&gt;0.166666666666667),F561-D561-0.0416666666666667,IF(AND(OR(AG561="Allaitement",AG561="Sans déjeuner"),F561-D561&gt;0.166666666666667),F561-D561,F561-D561)))))))</f>
        <v>0.375</v>
      </c>
      <c r="P561" s="6" t="str">
        <f aca="false">IFERROR(VLOOKUP($B561,Agents!$A:$D,2,0),"-")</f>
        <v>Accessibilité</v>
      </c>
      <c r="Q561" s="21" t="n">
        <v>46121</v>
      </c>
      <c r="R561" s="8" t="n">
        <f aca="false">IF(M561="Abs",O561,0)</f>
        <v>0</v>
      </c>
      <c r="S561" s="8" t="n">
        <f aca="false">SUM(R561,L561,I561,J561,W561,H561)</f>
        <v>0</v>
      </c>
      <c r="T561" s="6" t="str">
        <f aca="false">"Sem - "&amp;WEEKNUM(Q561,21)</f>
        <v>Sem - 15</v>
      </c>
      <c r="U561" s="6" t="str">
        <f aca="false">CHOOSE(MONTH(Q561),"Janvier","Février","Mars","Avril","Mai","Juin","Juillet","Août","Septembre","Octobre","Novembre","Décembre")</f>
        <v>Avril</v>
      </c>
      <c r="V561" s="22" t="n">
        <f aca="false">YEAR(Q561)</f>
        <v>2026</v>
      </c>
      <c r="W561" s="20"/>
      <c r="X561" s="8" t="n">
        <f aca="false">IFERROR(IF(M561="Abs",0,IF(ROUND((D561-C561+E561-F561)*1440,0)&lt;=1,0,D561-C561+E561-F561)),0)</f>
        <v>0</v>
      </c>
      <c r="Y561" s="6" t="str">
        <f aca="false">IFERROR(VLOOKUP($B561,Agents!$A:$D,3,0),"-")</f>
        <v>OUBRAHIM Mohammed</v>
      </c>
      <c r="Z561" s="6" t="str">
        <f aca="false">IFERROR(VLOOKUP($B561,Agents!$A:$D,4,0),"-")</f>
        <v>Credit Mutuel</v>
      </c>
      <c r="AA561" s="18" t="s">
        <v>97</v>
      </c>
      <c r="AB561" s="8" t="str">
        <f aca="false">IF(AND(D561="Congé",F561="Congé"),0.333333333333333,IF(OR(AND(D561="Congé",F561&lt;&gt;"Congé"),(AND(F561="Congé",D561&lt;&gt;"Congé"))),0.166666666666667,""))</f>
        <v/>
      </c>
      <c r="AC561" s="8" t="str">
        <f aca="false">IF(AND(D561="Congé sans solde",F561="Congé sans solde"),0.333333333333333,IF(OR(AND(D561="Congé sans solde",F561&lt;&gt;"Congé sans solde"),(AND(F561="Congé sans solde",D561&lt;&gt;"Congé sans solde"))),0.166666666666667,""))</f>
        <v/>
      </c>
      <c r="AD561" s="8" t="str">
        <f aca="false">IF(AND(D561="Congé spécial",F561="Congé spécial"),0.333333333333333,IF(OR(AND(D561="Congé spécial",F561&lt;&gt;"Congé spécial"),AND(F561="Congé spécial",D561&lt;&gt;"Congé spécial")),0.166666666666667,""))</f>
        <v/>
      </c>
      <c r="AE561" s="8" t="str">
        <f aca="false">IF(AND(D561="Férié",F561="Férié"),0.333333333333333,IF(OR(AND(D561="Férié",F561&lt;&gt;"Férié"),(AND(F561="Férié",D561&lt;&gt;"Férié"))),0.166666666666667,""))</f>
        <v/>
      </c>
      <c r="AF561" s="18"/>
      <c r="AG561" s="18"/>
    </row>
    <row r="562" customFormat="false" ht="15" hidden="false" customHeight="false" outlineLevel="0" collapsed="false">
      <c r="A562" s="6" t="str">
        <f aca="false">YEAR(Q562-WEEKDAY(Q562,2)+4)&amp;"-S"&amp;TEXT(WEEKNUM(Q562,21),"00")</f>
        <v>2026-S15</v>
      </c>
      <c r="B562" s="18" t="s">
        <v>69</v>
      </c>
      <c r="C562" s="19" t="n">
        <v>0.333333333333333</v>
      </c>
      <c r="D562" s="19" t="n">
        <v>0.333333333333333</v>
      </c>
      <c r="E562" s="19" t="n">
        <v>0.708333333333333</v>
      </c>
      <c r="F562" s="19" t="n">
        <v>0.708333333333333</v>
      </c>
      <c r="G562" s="20"/>
      <c r="H562" s="20"/>
      <c r="I562" s="8" t="str">
        <f aca="false">IF(IF(OR(C562="",D562="Congé",D562="OFF",D562="Congé spécial"),"",IF(D562&gt;F562,D562-C562,IF(C562-D562&lt;0,0,C562-D562)))&lt;0.00068287037037037,"",IF(OR(D562="Congé",D562="OFF",C562="",D562="Congé spécial"),"",IF(D562&gt;F562,D562-C562,IF(C562-D562&lt;0,0,C562-D562))))</f>
        <v/>
      </c>
      <c r="J562" s="20"/>
      <c r="K562" s="8" t="n">
        <f aca="false">IF(SUM(H562:J562)&lt;0.00068287037037037,0,SUM(H562:J562))</f>
        <v>0</v>
      </c>
      <c r="L562" s="8" t="n">
        <f aca="false">IF(OR(F562="Congé",F562="OFF",M562="Abs",F562="Congé sans solde",F562="Férié",F562="Congé spécial",D562="Congé spécial"),0,IF(F562-E562&lt;0,0,IF(F562-E562&lt;=0.00068287037037037,0,F562-E562)))</f>
        <v>0</v>
      </c>
      <c r="M562" s="6" t="n">
        <f aca="false">IF(AND(O562&lt;&gt;0,C562=""),"Abs",0)</f>
        <v>0</v>
      </c>
      <c r="N562" s="8" t="n">
        <f aca="false">IFERROR(IF(OR(D562="OFF",D562="Congé",M562="Abs",D562="Congé sans solde",D562="Férié"),"",IF(O562-K562-L562&gt;O562,O562,IF(O562-K562-L562&lt;0,"",O562-K562-L562))),"")</f>
        <v>0.333333333333333</v>
      </c>
      <c r="O562" s="8" t="n">
        <f aca="false">IF(AG562="2H Pause déjeuner",IF(F562-D562-0.0833333333333333&lt;0,F562-D562-0.0833333333333333+1,F562-D562-0.0833333333333333),IF(OR(AND(F562="OFF",D562="OFF"),AND(F562="Congé",D562="Congé"),AND(F562="Congé sans solde",D562="Congé sans solde"),AND(F562="Congé spécial",D562="Congé spécial"),AND(F562="Férié",D562="Férié"),AND(F562="OFF",D562="Congé"),AND(F562="OFF",D562="Congé sans solde"),AND(F562="OFF",D562="Congé spécial"),AND(F562="OFF",D562="Férié"),AND(F562="Congé",D562="OFF"),AND(F562="Congé",D562="Congé sans solde"),AND(F562="Congé",D562="Congé spécial"),AND(F562="Congé",D562="Férié"),AND(F562="Congé sans solde",D562="OFF"),AND(F562="Congé sans solde",D562="Congé"),AND(F562="Congé sans solde",D562="Congé spécial"),AND(F562="Congé sans solde",D562="Férié"),AND(F562="Congé spécial",D562="OFF"),AND(F562="Congé spécial",D562="Congé"),AND(F562="Congé spécial",D562="Congé sans solde"),AND(F562="Congé spécial",D562="Férié"),AND(F562="Férié",D562="OFF"),AND(F562="Férié",D562="Congé"),AND(F562="Férié",D562="Congé sans solde"),AND(F562="Férié",D562="Congé spécial")),0,IF(OR(F562="OFF",F562="Congé",F562="Congé spécial",F562="Congé sans solde",D562="OFF",D562="Congé",D562="Congé spécial",D562="Congé sans solde"),0.208333333333334,IF(AND(AG562="",F562-D562&lt;0),("24:00:00"-D562)+("00:00:00"+F562)-0.0416666666666667,IF(AND(OR(AG562="Allaitement",AG562="Sans déjeuner"),F562-D562&lt;0),("24:00:00"-D562)+("00:00:00"+F562),IF(AND(AG562="",F562-D562&gt;0.166666666666667),F562-D562-0.0416666666666667,IF(AND(OR(AG562="Allaitement",AG562="Sans déjeuner"),F562-D562&gt;0.166666666666667),F562-D562,F562-D562)))))))</f>
        <v>0.333333333333333</v>
      </c>
      <c r="P562" s="6" t="str">
        <f aca="false">IFERROR(VLOOKUP($B562,Agents!$A:$D,2,0),"-")</f>
        <v>Accessibilité</v>
      </c>
      <c r="Q562" s="21" t="n">
        <v>46122</v>
      </c>
      <c r="R562" s="8" t="n">
        <f aca="false">IF(M562="Abs",O562,0)</f>
        <v>0</v>
      </c>
      <c r="S562" s="8" t="n">
        <f aca="false">SUM(R562,L562,I562,J562,W562,H562)</f>
        <v>0</v>
      </c>
      <c r="T562" s="6" t="str">
        <f aca="false">"Sem - "&amp;WEEKNUM(Q562,21)</f>
        <v>Sem - 15</v>
      </c>
      <c r="U562" s="6" t="str">
        <f aca="false">CHOOSE(MONTH(Q562),"Janvier","Février","Mars","Avril","Mai","Juin","Juillet","Août","Septembre","Octobre","Novembre","Décembre")</f>
        <v>Avril</v>
      </c>
      <c r="V562" s="22" t="n">
        <f aca="false">YEAR(Q562)</f>
        <v>2026</v>
      </c>
      <c r="W562" s="20"/>
      <c r="X562" s="8" t="n">
        <f aca="false">IFERROR(IF(M562="Abs",0,IF(ROUND((D562-C562+E562-F562)*1440,0)&lt;=1,0,D562-C562+E562-F562)),0)</f>
        <v>0</v>
      </c>
      <c r="Y562" s="6" t="str">
        <f aca="false">IFERROR(VLOOKUP($B562,Agents!$A:$D,3,0),"-")</f>
        <v>OUBRAHIM Mohammed</v>
      </c>
      <c r="Z562" s="6" t="str">
        <f aca="false">IFERROR(VLOOKUP($B562,Agents!$A:$D,4,0),"-")</f>
        <v>Credit Mutuel</v>
      </c>
      <c r="AA562" s="18" t="s">
        <v>97</v>
      </c>
      <c r="AB562" s="8" t="str">
        <f aca="false">IF(AND(D562="Congé",F562="Congé"),0.333333333333333,IF(OR(AND(D562="Congé",F562&lt;&gt;"Congé"),(AND(F562="Congé",D562&lt;&gt;"Congé"))),0.166666666666667,""))</f>
        <v/>
      </c>
      <c r="AC562" s="8" t="str">
        <f aca="false">IF(AND(D562="Congé sans solde",F562="Congé sans solde"),0.333333333333333,IF(OR(AND(D562="Congé sans solde",F562&lt;&gt;"Congé sans solde"),(AND(F562="Congé sans solde",D562&lt;&gt;"Congé sans solde"))),0.166666666666667,""))</f>
        <v/>
      </c>
      <c r="AD562" s="8" t="str">
        <f aca="false">IF(AND(D562="Congé spécial",F562="Congé spécial"),0.333333333333333,IF(OR(AND(D562="Congé spécial",F562&lt;&gt;"Congé spécial"),AND(F562="Congé spécial",D562&lt;&gt;"Congé spécial")),0.166666666666667,""))</f>
        <v/>
      </c>
      <c r="AE562" s="8" t="str">
        <f aca="false">IF(AND(D562="Férié",F562="Férié"),0.333333333333333,IF(OR(AND(D562="Férié",F562&lt;&gt;"Férié"),(AND(F562="Férié",D562&lt;&gt;"Férié"))),0.166666666666667,""))</f>
        <v/>
      </c>
      <c r="AF562" s="18"/>
      <c r="AG562" s="18"/>
    </row>
    <row r="563" customFormat="false" ht="15" hidden="false" customHeight="false" outlineLevel="0" collapsed="false">
      <c r="A563" s="6" t="str">
        <f aca="false">YEAR(Q563-WEEKDAY(Q563,2)+4)&amp;"-S"&amp;TEXT(WEEKNUM(Q563,21),"00")</f>
        <v>2026-S15</v>
      </c>
      <c r="B563" s="18" t="s">
        <v>71</v>
      </c>
      <c r="C563" s="19" t="n">
        <v>0.333333333333333</v>
      </c>
      <c r="D563" s="19" t="n">
        <v>0.333333333333333</v>
      </c>
      <c r="E563" s="19" t="n">
        <v>0.708333333333333</v>
      </c>
      <c r="F563" s="19" t="n">
        <v>0.708333333333333</v>
      </c>
      <c r="G563" s="20"/>
      <c r="H563" s="20"/>
      <c r="I563" s="8" t="str">
        <f aca="false">IF(IF(OR(C563="",D563="Congé",D563="OFF",D563="Congé spécial"),"",IF(D563&gt;F563,D563-C563,IF(C563-D563&lt;0,0,C563-D563)))&lt;0.00068287037037037,"",IF(OR(D563="Congé",D563="OFF",C563="",D563="Congé spécial"),"",IF(D563&gt;F563,D563-C563,IF(C563-D563&lt;0,0,C563-D563))))</f>
        <v/>
      </c>
      <c r="J563" s="20"/>
      <c r="K563" s="8" t="n">
        <f aca="false">IF(SUM(H563:J563)&lt;0.00068287037037037,0,SUM(H563:J563))</f>
        <v>0</v>
      </c>
      <c r="L563" s="8" t="n">
        <f aca="false">IF(OR(F563="Congé",F563="OFF",M563="Abs",F563="Congé sans solde",F563="Férié",F563="Congé spécial",D563="Congé spécial"),0,IF(F563-E563&lt;0,0,IF(F563-E563&lt;=0.00068287037037037,0,F563-E563)))</f>
        <v>0</v>
      </c>
      <c r="M563" s="6" t="n">
        <f aca="false">IF(AND(O563&lt;&gt;0,C563=""),"Abs",0)</f>
        <v>0</v>
      </c>
      <c r="N563" s="8" t="n">
        <f aca="false">IFERROR(IF(OR(D563="OFF",D563="Congé",M563="Abs",D563="Congé sans solde",D563="Férié"),"",IF(O563-K563-L563&gt;O563,O563,IF(O563-K563-L563&lt;0,"",O563-K563-L563))),"")</f>
        <v>0.333333333333333</v>
      </c>
      <c r="O563" s="8" t="n">
        <f aca="false">IF(AG563="2H Pause déjeuner",IF(F563-D563-0.0833333333333333&lt;0,F563-D563-0.0833333333333333+1,F563-D563-0.0833333333333333),IF(OR(AND(F563="OFF",D563="OFF"),AND(F563="Congé",D563="Congé"),AND(F563="Congé sans solde",D563="Congé sans solde"),AND(F563="Congé spécial",D563="Congé spécial"),AND(F563="Férié",D563="Férié"),AND(F563="OFF",D563="Congé"),AND(F563="OFF",D563="Congé sans solde"),AND(F563="OFF",D563="Congé spécial"),AND(F563="OFF",D563="Férié"),AND(F563="Congé",D563="OFF"),AND(F563="Congé",D563="Congé sans solde"),AND(F563="Congé",D563="Congé spécial"),AND(F563="Congé",D563="Férié"),AND(F563="Congé sans solde",D563="OFF"),AND(F563="Congé sans solde",D563="Congé"),AND(F563="Congé sans solde",D563="Congé spécial"),AND(F563="Congé sans solde",D563="Férié"),AND(F563="Congé spécial",D563="OFF"),AND(F563="Congé spécial",D563="Congé"),AND(F563="Congé spécial",D563="Congé sans solde"),AND(F563="Congé spécial",D563="Férié"),AND(F563="Férié",D563="OFF"),AND(F563="Férié",D563="Congé"),AND(F563="Férié",D563="Congé sans solde"),AND(F563="Férié",D563="Congé spécial")),0,IF(OR(F563="OFF",F563="Congé",F563="Congé spécial",F563="Congé sans solde",D563="OFF",D563="Congé",D563="Congé spécial",D563="Congé sans solde"),0.208333333333334,IF(AND(AG563="",F563-D563&lt;0),("24:00:00"-D563)+("00:00:00"+F563)-0.0416666666666667,IF(AND(OR(AG563="Allaitement",AG563="Sans déjeuner"),F563-D563&lt;0),("24:00:00"-D563)+("00:00:00"+F563),IF(AND(AG563="",F563-D563&gt;0.166666666666667),F563-D563-0.0416666666666667,IF(AND(OR(AG563="Allaitement",AG563="Sans déjeuner"),F563-D563&gt;0.166666666666667),F563-D563,F563-D563)))))))</f>
        <v>0.333333333333333</v>
      </c>
      <c r="P563" s="6" t="str">
        <f aca="false">IFERROR(VLOOKUP($B563,Agents!$A:$D,2,0),"-")</f>
        <v>Accessibilité</v>
      </c>
      <c r="Q563" s="21" t="n">
        <v>46122</v>
      </c>
      <c r="R563" s="8" t="n">
        <f aca="false">IF(M563="Abs",O563,0)</f>
        <v>0</v>
      </c>
      <c r="S563" s="8" t="n">
        <f aca="false">SUM(R563,L563,I563,J563,W563,H563)</f>
        <v>0</v>
      </c>
      <c r="T563" s="6" t="str">
        <f aca="false">"Sem - "&amp;WEEKNUM(Q563,21)</f>
        <v>Sem - 15</v>
      </c>
      <c r="U563" s="6" t="str">
        <f aca="false">CHOOSE(MONTH(Q563),"Janvier","Février","Mars","Avril","Mai","Juin","Juillet","Août","Septembre","Octobre","Novembre","Décembre")</f>
        <v>Avril</v>
      </c>
      <c r="V563" s="22" t="n">
        <f aca="false">YEAR(Q563)</f>
        <v>2026</v>
      </c>
      <c r="W563" s="20"/>
      <c r="X563" s="8" t="n">
        <f aca="false">IFERROR(IF(M563="Abs",0,IF(ROUND((D563-C563+E563-F563)*1440,0)&lt;=1,0,D563-C563+E563-F563)),0)</f>
        <v>0</v>
      </c>
      <c r="Y563" s="6" t="str">
        <f aca="false">IFERROR(VLOOKUP($B563,Agents!$A:$D,3,0),"-")</f>
        <v>OUBRAHIM Mohammed</v>
      </c>
      <c r="Z563" s="6" t="str">
        <f aca="false">IFERROR(VLOOKUP($B563,Agents!$A:$D,4,0),"-")</f>
        <v>Credit Mutuel</v>
      </c>
      <c r="AA563" s="18" t="s">
        <v>97</v>
      </c>
      <c r="AB563" s="8" t="str">
        <f aca="false">IF(AND(D563="Congé",F563="Congé"),0.333333333333333,IF(OR(AND(D563="Congé",F563&lt;&gt;"Congé"),(AND(F563="Congé",D563&lt;&gt;"Congé"))),0.166666666666667,""))</f>
        <v/>
      </c>
      <c r="AC563" s="8" t="str">
        <f aca="false">IF(AND(D563="Congé sans solde",F563="Congé sans solde"),0.333333333333333,IF(OR(AND(D563="Congé sans solde",F563&lt;&gt;"Congé sans solde"),(AND(F563="Congé sans solde",D563&lt;&gt;"Congé sans solde"))),0.166666666666667,""))</f>
        <v/>
      </c>
      <c r="AD563" s="8" t="str">
        <f aca="false">IF(AND(D563="Congé spécial",F563="Congé spécial"),0.333333333333333,IF(OR(AND(D563="Congé spécial",F563&lt;&gt;"Congé spécial"),AND(F563="Congé spécial",D563&lt;&gt;"Congé spécial")),0.166666666666667,""))</f>
        <v/>
      </c>
      <c r="AE563" s="8" t="str">
        <f aca="false">IF(AND(D563="Férié",F563="Férié"),0.333333333333333,IF(OR(AND(D563="Férié",F563&lt;&gt;"Férié"),(AND(F563="Férié",D563&lt;&gt;"Férié"))),0.166666666666667,""))</f>
        <v/>
      </c>
      <c r="AF563" s="18"/>
      <c r="AG563" s="18"/>
    </row>
    <row r="564" customFormat="false" ht="15" hidden="false" customHeight="false" outlineLevel="0" collapsed="false">
      <c r="A564" s="6" t="str">
        <f aca="false">YEAR(Q564-WEEKDAY(Q564,2)+4)&amp;"-S"&amp;TEXT(WEEKNUM(Q564,21),"00")</f>
        <v>2026-S15</v>
      </c>
      <c r="B564" s="18" t="s">
        <v>72</v>
      </c>
      <c r="C564" s="19"/>
      <c r="D564" s="19" t="n">
        <v>0.333333333333333</v>
      </c>
      <c r="E564" s="19"/>
      <c r="F564" s="19" t="n">
        <v>0.708333333333333</v>
      </c>
      <c r="G564" s="20"/>
      <c r="H564" s="20"/>
      <c r="I564" s="8" t="str">
        <f aca="false">IF(IF(OR(C564="",D564="Congé",D564="OFF",D564="Congé spécial"),"",IF(D564&gt;F564,D564-C564,IF(C564-D564&lt;0,0,C564-D564)))&lt;0.00068287037037037,"",IF(OR(D564="Congé",D564="OFF",C564="",D564="Congé spécial"),"",IF(D564&gt;F564,D564-C564,IF(C564-D564&lt;0,0,C564-D564))))</f>
        <v/>
      </c>
      <c r="J564" s="20"/>
      <c r="K564" s="8" t="n">
        <f aca="false">IF(SUM(H564:J564)&lt;0.00068287037037037,0,SUM(H564:J564))</f>
        <v>0</v>
      </c>
      <c r="L564" s="8" t="n">
        <f aca="false">IF(OR(F564="Congé",F564="OFF",M564="Abs",F564="Congé sans solde",F564="Férié",F564="Congé spécial",D564="Congé spécial"),0,IF(F564-E564&lt;0,0,IF(F564-E564&lt;=0.00068287037037037,0,F564-E564)))</f>
        <v>0</v>
      </c>
      <c r="M564" s="6" t="str">
        <f aca="false">IF(AND(O564&lt;&gt;0,C564=""),"Abs",0)</f>
        <v>Abs</v>
      </c>
      <c r="N564" s="8" t="str">
        <f aca="false">IFERROR(IF(OR(D564="OFF",D564="Congé",M564="Abs",D564="Congé sans solde",D564="Férié"),"",IF(O564-K564-L564&gt;O564,O564,IF(O564-K564-L564&lt;0,"",O564-K564-L564))),"")</f>
        <v/>
      </c>
      <c r="O564" s="8" t="n">
        <f aca="false">IF(AG564="2H Pause déjeuner",IF(F564-D564-0.0833333333333333&lt;0,F564-D564-0.0833333333333333+1,F564-D564-0.0833333333333333),IF(OR(AND(F564="OFF",D564="OFF"),AND(F564="Congé",D564="Congé"),AND(F564="Congé sans solde",D564="Congé sans solde"),AND(F564="Congé spécial",D564="Congé spécial"),AND(F564="Férié",D564="Férié"),AND(F564="OFF",D564="Congé"),AND(F564="OFF",D564="Congé sans solde"),AND(F564="OFF",D564="Congé spécial"),AND(F564="OFF",D564="Férié"),AND(F564="Congé",D564="OFF"),AND(F564="Congé",D564="Congé sans solde"),AND(F564="Congé",D564="Congé spécial"),AND(F564="Congé",D564="Férié"),AND(F564="Congé sans solde",D564="OFF"),AND(F564="Congé sans solde",D564="Congé"),AND(F564="Congé sans solde",D564="Congé spécial"),AND(F564="Congé sans solde",D564="Férié"),AND(F564="Congé spécial",D564="OFF"),AND(F564="Congé spécial",D564="Congé"),AND(F564="Congé spécial",D564="Congé sans solde"),AND(F564="Congé spécial",D564="Férié"),AND(F564="Férié",D564="OFF"),AND(F564="Férié",D564="Congé"),AND(F564="Férié",D564="Congé sans solde"),AND(F564="Férié",D564="Congé spécial")),0,IF(OR(F564="OFF",F564="Congé",F564="Congé spécial",F564="Congé sans solde",D564="OFF",D564="Congé",D564="Congé spécial",D564="Congé sans solde"),0.208333333333334,IF(AND(AG564="",F564-D564&lt;0),("24:00:00"-D564)+("00:00:00"+F564)-0.0416666666666667,IF(AND(OR(AG564="Allaitement",AG564="Sans déjeuner"),F564-D564&lt;0),("24:00:00"-D564)+("00:00:00"+F564),IF(AND(AG564="",F564-D564&gt;0.166666666666667),F564-D564-0.0416666666666667,IF(AND(OR(AG564="Allaitement",AG564="Sans déjeuner"),F564-D564&gt;0.166666666666667),F564-D564,F564-D564)))))))</f>
        <v>0.333333333333333</v>
      </c>
      <c r="P564" s="6" t="str">
        <f aca="false">IFERROR(VLOOKUP($B564,Agents!$A:$D,2,0),"-")</f>
        <v>Accessibilité</v>
      </c>
      <c r="Q564" s="21" t="n">
        <v>46122</v>
      </c>
      <c r="R564" s="8" t="n">
        <f aca="false">IF(M564="Abs",O564,0)</f>
        <v>0.333333333333333</v>
      </c>
      <c r="S564" s="8" t="n">
        <f aca="false">SUM(R564,L564,I564,J564,W564,H564)</f>
        <v>0.333333333333333</v>
      </c>
      <c r="T564" s="6" t="str">
        <f aca="false">"Sem - "&amp;WEEKNUM(Q564,21)</f>
        <v>Sem - 15</v>
      </c>
      <c r="U564" s="6" t="str">
        <f aca="false">CHOOSE(MONTH(Q564),"Janvier","Février","Mars","Avril","Mai","Juin","Juillet","Août","Septembre","Octobre","Novembre","Décembre")</f>
        <v>Avril</v>
      </c>
      <c r="V564" s="22" t="n">
        <f aca="false">YEAR(Q564)</f>
        <v>2026</v>
      </c>
      <c r="W564" s="20"/>
      <c r="X564" s="8" t="n">
        <f aca="false">IFERROR(IF(M564="Abs",0,IF(ROUND((D564-C564+E564-F564)*1440,0)&lt;=1,0,D564-C564+E564-F564)),0)</f>
        <v>0</v>
      </c>
      <c r="Y564" s="6" t="str">
        <f aca="false">IFERROR(VLOOKUP($B564,Agents!$A:$D,3,0),"-")</f>
        <v>OUBRAHIM Mohammed</v>
      </c>
      <c r="Z564" s="6" t="str">
        <f aca="false">IFERROR(VLOOKUP($B564,Agents!$A:$D,4,0),"-")</f>
        <v>Credit Mutuel</v>
      </c>
      <c r="AA564" s="18" t="s">
        <v>97</v>
      </c>
      <c r="AB564" s="8" t="str">
        <f aca="false">IF(AND(D564="Congé",F564="Congé"),0.333333333333333,IF(OR(AND(D564="Congé",F564&lt;&gt;"Congé"),(AND(F564="Congé",D564&lt;&gt;"Congé"))),0.166666666666667,""))</f>
        <v/>
      </c>
      <c r="AC564" s="8" t="str">
        <f aca="false">IF(AND(D564="Congé sans solde",F564="Congé sans solde"),0.333333333333333,IF(OR(AND(D564="Congé sans solde",F564&lt;&gt;"Congé sans solde"),(AND(F564="Congé sans solde",D564&lt;&gt;"Congé sans solde"))),0.166666666666667,""))</f>
        <v/>
      </c>
      <c r="AD564" s="8" t="str">
        <f aca="false">IF(AND(D564="Congé spécial",F564="Congé spécial"),0.333333333333333,IF(OR(AND(D564="Congé spécial",F564&lt;&gt;"Congé spécial"),AND(F564="Congé spécial",D564&lt;&gt;"Congé spécial")),0.166666666666667,""))</f>
        <v/>
      </c>
      <c r="AE564" s="8" t="str">
        <f aca="false">IF(AND(D564="Férié",F564="Férié"),0.333333333333333,IF(OR(AND(D564="Férié",F564&lt;&gt;"Férié"),(AND(F564="Férié",D564&lt;&gt;"Férié"))),0.166666666666667,""))</f>
        <v/>
      </c>
      <c r="AF564" s="18"/>
      <c r="AG564" s="18"/>
    </row>
    <row r="565" customFormat="false" ht="15" hidden="false" customHeight="false" outlineLevel="0" collapsed="false">
      <c r="A565" s="6" t="str">
        <f aca="false">YEAR(Q565-WEEKDAY(Q565,2)+4)&amp;"-S"&amp;TEXT(WEEKNUM(Q565,21),"00")</f>
        <v>2026-S15</v>
      </c>
      <c r="B565" s="18" t="s">
        <v>73</v>
      </c>
      <c r="C565" s="19" t="n">
        <v>0.333333333333333</v>
      </c>
      <c r="D565" s="19" t="n">
        <v>0.333333333333333</v>
      </c>
      <c r="E565" s="19" t="n">
        <v>0.708333333333333</v>
      </c>
      <c r="F565" s="19" t="n">
        <v>0.708333333333333</v>
      </c>
      <c r="G565" s="20"/>
      <c r="H565" s="20"/>
      <c r="I565" s="8" t="str">
        <f aca="false">IF(IF(OR(C565="",D565="Congé",D565="OFF",D565="Congé spécial"),"",IF(D565&gt;F565,D565-C565,IF(C565-D565&lt;0,0,C565-D565)))&lt;0.00068287037037037,"",IF(OR(D565="Congé",D565="OFF",C565="",D565="Congé spécial"),"",IF(D565&gt;F565,D565-C565,IF(C565-D565&lt;0,0,C565-D565))))</f>
        <v/>
      </c>
      <c r="J565" s="20"/>
      <c r="K565" s="8" t="n">
        <f aca="false">IF(SUM(H565:J565)&lt;0.00068287037037037,0,SUM(H565:J565))</f>
        <v>0</v>
      </c>
      <c r="L565" s="8" t="n">
        <f aca="false">IF(OR(F565="Congé",F565="OFF",M565="Abs",F565="Congé sans solde",F565="Férié",F565="Congé spécial",D565="Congé spécial"),0,IF(F565-E565&lt;0,0,IF(F565-E565&lt;=0.00068287037037037,0,F565-E565)))</f>
        <v>0</v>
      </c>
      <c r="M565" s="6" t="n">
        <f aca="false">IF(AND(O565&lt;&gt;0,C565=""),"Abs",0)</f>
        <v>0</v>
      </c>
      <c r="N565" s="8" t="n">
        <f aca="false">IFERROR(IF(OR(D565="OFF",D565="Congé",M565="Abs",D565="Congé sans solde",D565="Férié"),"",IF(O565-K565-L565&gt;O565,O565,IF(O565-K565-L565&lt;0,"",O565-K565-L565))),"")</f>
        <v>0.333333333333333</v>
      </c>
      <c r="O565" s="8" t="n">
        <f aca="false">IF(AG565="2H Pause déjeuner",IF(F565-D565-0.0833333333333333&lt;0,F565-D565-0.0833333333333333+1,F565-D565-0.0833333333333333),IF(OR(AND(F565="OFF",D565="OFF"),AND(F565="Congé",D565="Congé"),AND(F565="Congé sans solde",D565="Congé sans solde"),AND(F565="Congé spécial",D565="Congé spécial"),AND(F565="Férié",D565="Férié"),AND(F565="OFF",D565="Congé"),AND(F565="OFF",D565="Congé sans solde"),AND(F565="OFF",D565="Congé spécial"),AND(F565="OFF",D565="Férié"),AND(F565="Congé",D565="OFF"),AND(F565="Congé",D565="Congé sans solde"),AND(F565="Congé",D565="Congé spécial"),AND(F565="Congé",D565="Férié"),AND(F565="Congé sans solde",D565="OFF"),AND(F565="Congé sans solde",D565="Congé"),AND(F565="Congé sans solde",D565="Congé spécial"),AND(F565="Congé sans solde",D565="Férié"),AND(F565="Congé spécial",D565="OFF"),AND(F565="Congé spécial",D565="Congé"),AND(F565="Congé spécial",D565="Congé sans solde"),AND(F565="Congé spécial",D565="Férié"),AND(F565="Férié",D565="OFF"),AND(F565="Férié",D565="Congé"),AND(F565="Férié",D565="Congé sans solde"),AND(F565="Férié",D565="Congé spécial")),0,IF(OR(F565="OFF",F565="Congé",F565="Congé spécial",F565="Congé sans solde",D565="OFF",D565="Congé",D565="Congé spécial",D565="Congé sans solde"),0.208333333333334,IF(AND(AG565="",F565-D565&lt;0),("24:00:00"-D565)+("00:00:00"+F565)-0.0416666666666667,IF(AND(OR(AG565="Allaitement",AG565="Sans déjeuner"),F565-D565&lt;0),("24:00:00"-D565)+("00:00:00"+F565),IF(AND(AG565="",F565-D565&gt;0.166666666666667),F565-D565-0.0416666666666667,IF(AND(OR(AG565="Allaitement",AG565="Sans déjeuner"),F565-D565&gt;0.166666666666667),F565-D565,F565-D565)))))))</f>
        <v>0.333333333333333</v>
      </c>
      <c r="P565" s="6" t="str">
        <f aca="false">IFERROR(VLOOKUP($B565,Agents!$A:$D,2,0),"-")</f>
        <v>Accessibilité</v>
      </c>
      <c r="Q565" s="21" t="n">
        <v>46122</v>
      </c>
      <c r="R565" s="8" t="n">
        <f aca="false">IF(M565="Abs",O565,0)</f>
        <v>0</v>
      </c>
      <c r="S565" s="8" t="n">
        <f aca="false">SUM(R565,L565,I565,J565,W565,H565)</f>
        <v>0</v>
      </c>
      <c r="T565" s="6" t="str">
        <f aca="false">"Sem - "&amp;WEEKNUM(Q565,21)</f>
        <v>Sem - 15</v>
      </c>
      <c r="U565" s="6" t="str">
        <f aca="false">CHOOSE(MONTH(Q565),"Janvier","Février","Mars","Avril","Mai","Juin","Juillet","Août","Septembre","Octobre","Novembre","Décembre")</f>
        <v>Avril</v>
      </c>
      <c r="V565" s="22" t="n">
        <f aca="false">YEAR(Q565)</f>
        <v>2026</v>
      </c>
      <c r="W565" s="20"/>
      <c r="X565" s="8" t="n">
        <f aca="false">IFERROR(IF(M565="Abs",0,IF(ROUND((D565-C565+E565-F565)*1440,0)&lt;=1,0,D565-C565+E565-F565)),0)</f>
        <v>0</v>
      </c>
      <c r="Y565" s="6" t="str">
        <f aca="false">IFERROR(VLOOKUP($B565,Agents!$A:$D,3,0),"-")</f>
        <v>OUBRAHIM Mohammed</v>
      </c>
      <c r="Z565" s="6" t="str">
        <f aca="false">IFERROR(VLOOKUP($B565,Agents!$A:$D,4,0),"-")</f>
        <v>Credit Mutuel</v>
      </c>
      <c r="AA565" s="18" t="s">
        <v>97</v>
      </c>
      <c r="AB565" s="8" t="str">
        <f aca="false">IF(AND(D565="Congé",F565="Congé"),0.333333333333333,IF(OR(AND(D565="Congé",F565&lt;&gt;"Congé"),(AND(F565="Congé",D565&lt;&gt;"Congé"))),0.166666666666667,""))</f>
        <v/>
      </c>
      <c r="AC565" s="8" t="str">
        <f aca="false">IF(AND(D565="Congé sans solde",F565="Congé sans solde"),0.333333333333333,IF(OR(AND(D565="Congé sans solde",F565&lt;&gt;"Congé sans solde"),(AND(F565="Congé sans solde",D565&lt;&gt;"Congé sans solde"))),0.166666666666667,""))</f>
        <v/>
      </c>
      <c r="AD565" s="8" t="str">
        <f aca="false">IF(AND(D565="Congé spécial",F565="Congé spécial"),0.333333333333333,IF(OR(AND(D565="Congé spécial",F565&lt;&gt;"Congé spécial"),AND(F565="Congé spécial",D565&lt;&gt;"Congé spécial")),0.166666666666667,""))</f>
        <v/>
      </c>
      <c r="AE565" s="8" t="str">
        <f aca="false">IF(AND(D565="Férié",F565="Férié"),0.333333333333333,IF(OR(AND(D565="Férié",F565&lt;&gt;"Férié"),(AND(F565="Férié",D565&lt;&gt;"Férié"))),0.166666666666667,""))</f>
        <v/>
      </c>
      <c r="AF565" s="18"/>
      <c r="AG565" s="18"/>
    </row>
    <row r="566" customFormat="false" ht="15" hidden="false" customHeight="false" outlineLevel="0" collapsed="false">
      <c r="A566" s="6" t="str">
        <f aca="false">YEAR(Q566-WEEKDAY(Q566,2)+4)&amp;"-S"&amp;TEXT(WEEKNUM(Q566,21),"00")</f>
        <v>2026-S15</v>
      </c>
      <c r="B566" s="18" t="s">
        <v>69</v>
      </c>
      <c r="C566" s="19"/>
      <c r="D566" s="19" t="s">
        <v>74</v>
      </c>
      <c r="E566" s="19"/>
      <c r="F566" s="19" t="s">
        <v>74</v>
      </c>
      <c r="G566" s="20"/>
      <c r="H566" s="20"/>
      <c r="I566" s="8" t="str">
        <f aca="false">IF(IF(OR(C566="",D566="Congé",D566="OFF",D566="Congé spécial"),"",IF(D566&gt;F566,D566-C566,IF(C566-D566&lt;0,0,C566-D566)))&lt;0.00068287037037037,"",IF(OR(D566="Congé",D566="OFF",C566="",D566="Congé spécial"),"",IF(D566&gt;F566,D566-C566,IF(C566-D566&lt;0,0,C566-D566))))</f>
        <v/>
      </c>
      <c r="J566" s="20"/>
      <c r="K566" s="8" t="n">
        <f aca="false">IF(SUM(H566:J566)&lt;0.00068287037037037,0,SUM(H566:J566))</f>
        <v>0</v>
      </c>
      <c r="L566" s="8" t="n">
        <f aca="false">IF(OR(F566="Congé",F566="OFF",M566="Abs",F566="Congé sans solde",F566="Férié",F566="Congé spécial",D566="Congé spécial"),0,IF(F566-E566&lt;0,0,IF(F566-E566&lt;=0.00068287037037037,0,F566-E566)))</f>
        <v>0</v>
      </c>
      <c r="M566" s="6" t="n">
        <f aca="false">IF(AND(O566&lt;&gt;0,C566=""),"Abs",0)</f>
        <v>0</v>
      </c>
      <c r="N566" s="8" t="str">
        <f aca="false">IFERROR(IF(OR(D566="OFF",D566="Congé",M566="Abs",D566="Congé sans solde",D566="Férié"),"",IF(O566-K566-L566&gt;O566,O566,IF(O566-K566-L566&lt;0,"",O566-K566-L566))),"")</f>
        <v/>
      </c>
      <c r="O566" s="8" t="n">
        <f aca="false">IF(AG566="2H Pause déjeuner",IF(F566-D566-0.0833333333333333&lt;0,F566-D566-0.0833333333333333+1,F566-D566-0.0833333333333333),IF(OR(AND(F566="OFF",D566="OFF"),AND(F566="Congé",D566="Congé"),AND(F566="Congé sans solde",D566="Congé sans solde"),AND(F566="Congé spécial",D566="Congé spécial"),AND(F566="Férié",D566="Férié"),AND(F566="OFF",D566="Congé"),AND(F566="OFF",D566="Congé sans solde"),AND(F566="OFF",D566="Congé spécial"),AND(F566="OFF",D566="Férié"),AND(F566="Congé",D566="OFF"),AND(F566="Congé",D566="Congé sans solde"),AND(F566="Congé",D566="Congé spécial"),AND(F566="Congé",D566="Férié"),AND(F566="Congé sans solde",D566="OFF"),AND(F566="Congé sans solde",D566="Congé"),AND(F566="Congé sans solde",D566="Congé spécial"),AND(F566="Congé sans solde",D566="Férié"),AND(F566="Congé spécial",D566="OFF"),AND(F566="Congé spécial",D566="Congé"),AND(F566="Congé spécial",D566="Congé sans solde"),AND(F566="Congé spécial",D566="Férié"),AND(F566="Férié",D566="OFF"),AND(F566="Férié",D566="Congé"),AND(F566="Férié",D566="Congé sans solde"),AND(F566="Férié",D566="Congé spécial")),0,IF(OR(F566="OFF",F566="Congé",F566="Congé spécial",F566="Congé sans solde",D566="OFF",D566="Congé",D566="Congé spécial",D566="Congé sans solde"),0.208333333333334,IF(AND(AG566="",F566-D566&lt;0),("24:00:00"-D566)+("00:00:00"+F566)-0.0416666666666667,IF(AND(OR(AG566="Allaitement",AG566="Sans déjeuner"),F566-D566&lt;0),("24:00:00"-D566)+("00:00:00"+F566),IF(AND(AG566="",F566-D566&gt;0.166666666666667),F566-D566-0.0416666666666667,IF(AND(OR(AG566="Allaitement",AG566="Sans déjeuner"),F566-D566&gt;0.166666666666667),F566-D566,F566-D566)))))))</f>
        <v>0</v>
      </c>
      <c r="P566" s="6" t="str">
        <f aca="false">IFERROR(VLOOKUP($B566,Agents!$A:$D,2,0),"-")</f>
        <v>Accessibilité</v>
      </c>
      <c r="Q566" s="21" t="n">
        <v>46123</v>
      </c>
      <c r="R566" s="8" t="n">
        <f aca="false">IF(M566="Abs",O566,0)</f>
        <v>0</v>
      </c>
      <c r="S566" s="8" t="n">
        <f aca="false">SUM(R566,L566,I566,J566,W566,H566)</f>
        <v>0</v>
      </c>
      <c r="T566" s="6" t="str">
        <f aca="false">"Sem - "&amp;WEEKNUM(Q566,21)</f>
        <v>Sem - 15</v>
      </c>
      <c r="U566" s="6" t="str">
        <f aca="false">CHOOSE(MONTH(Q566),"Janvier","Février","Mars","Avril","Mai","Juin","Juillet","Août","Septembre","Octobre","Novembre","Décembre")</f>
        <v>Avril</v>
      </c>
      <c r="V566" s="22" t="n">
        <f aca="false">YEAR(Q566)</f>
        <v>2026</v>
      </c>
      <c r="W566" s="20"/>
      <c r="X566" s="8" t="n">
        <f aca="false">IFERROR(IF(M566="Abs",0,IF(ROUND((D566-C566+E566-F566)*1440,0)&lt;=1,0,D566-C566+E566-F566)),0)</f>
        <v>0</v>
      </c>
      <c r="Y566" s="6" t="str">
        <f aca="false">IFERROR(VLOOKUP($B566,Agents!$A:$D,3,0),"-")</f>
        <v>OUBRAHIM Mohammed</v>
      </c>
      <c r="Z566" s="6" t="str">
        <f aca="false">IFERROR(VLOOKUP($B566,Agents!$A:$D,4,0),"-")</f>
        <v>Credit Mutuel</v>
      </c>
      <c r="AA566" s="18" t="s">
        <v>97</v>
      </c>
      <c r="AB566" s="8" t="str">
        <f aca="false">IF(AND(D566="Congé",F566="Congé"),0.333333333333333,IF(OR(AND(D566="Congé",F566&lt;&gt;"Congé"),(AND(F566="Congé",D566&lt;&gt;"Congé"))),0.166666666666667,""))</f>
        <v/>
      </c>
      <c r="AC566" s="8" t="str">
        <f aca="false">IF(AND(D566="Congé sans solde",F566="Congé sans solde"),0.333333333333333,IF(OR(AND(D566="Congé sans solde",F566&lt;&gt;"Congé sans solde"),(AND(F566="Congé sans solde",D566&lt;&gt;"Congé sans solde"))),0.166666666666667,""))</f>
        <v/>
      </c>
      <c r="AD566" s="8" t="str">
        <f aca="false">IF(AND(D566="Congé spécial",F566="Congé spécial"),0.333333333333333,IF(OR(AND(D566="Congé spécial",F566&lt;&gt;"Congé spécial"),AND(F566="Congé spécial",D566&lt;&gt;"Congé spécial")),0.166666666666667,""))</f>
        <v/>
      </c>
      <c r="AE566" s="8" t="str">
        <f aca="false">IF(AND(D566="Férié",F566="Férié"),0.333333333333333,IF(OR(AND(D566="Férié",F566&lt;&gt;"Férié"),(AND(F566="Férié",D566&lt;&gt;"Férié"))),0.166666666666667,""))</f>
        <v/>
      </c>
      <c r="AF566" s="18"/>
      <c r="AG566" s="18"/>
    </row>
    <row r="567" customFormat="false" ht="15" hidden="false" customHeight="false" outlineLevel="0" collapsed="false">
      <c r="A567" s="6" t="str">
        <f aca="false">YEAR(Q567-WEEKDAY(Q567,2)+4)&amp;"-S"&amp;TEXT(WEEKNUM(Q567,21),"00")</f>
        <v>2026-S15</v>
      </c>
      <c r="B567" s="18" t="s">
        <v>71</v>
      </c>
      <c r="C567" s="19"/>
      <c r="D567" s="19" t="s">
        <v>74</v>
      </c>
      <c r="E567" s="19"/>
      <c r="F567" s="19" t="s">
        <v>74</v>
      </c>
      <c r="G567" s="20"/>
      <c r="H567" s="20"/>
      <c r="I567" s="8" t="str">
        <f aca="false">IF(IF(OR(C567="",D567="Congé",D567="OFF",D567="Congé spécial"),"",IF(D567&gt;F567,D567-C567,IF(C567-D567&lt;0,0,C567-D567)))&lt;0.00068287037037037,"",IF(OR(D567="Congé",D567="OFF",C567="",D567="Congé spécial"),"",IF(D567&gt;F567,D567-C567,IF(C567-D567&lt;0,0,C567-D567))))</f>
        <v/>
      </c>
      <c r="J567" s="20"/>
      <c r="K567" s="8" t="n">
        <f aca="false">IF(SUM(H567:J567)&lt;0.00068287037037037,0,SUM(H567:J567))</f>
        <v>0</v>
      </c>
      <c r="L567" s="8" t="n">
        <f aca="false">IF(OR(F567="Congé",F567="OFF",M567="Abs",F567="Congé sans solde",F567="Férié",F567="Congé spécial",D567="Congé spécial"),0,IF(F567-E567&lt;0,0,IF(F567-E567&lt;=0.00068287037037037,0,F567-E567)))</f>
        <v>0</v>
      </c>
      <c r="M567" s="6" t="n">
        <f aca="false">IF(AND(O567&lt;&gt;0,C567=""),"Abs",0)</f>
        <v>0</v>
      </c>
      <c r="N567" s="8" t="str">
        <f aca="false">IFERROR(IF(OR(D567="OFF",D567="Congé",M567="Abs",D567="Congé sans solde",D567="Férié"),"",IF(O567-K567-L567&gt;O567,O567,IF(O567-K567-L567&lt;0,"",O567-K567-L567))),"")</f>
        <v/>
      </c>
      <c r="O567" s="8" t="n">
        <f aca="false">IF(AG567="2H Pause déjeuner",IF(F567-D567-0.0833333333333333&lt;0,F567-D567-0.0833333333333333+1,F567-D567-0.0833333333333333),IF(OR(AND(F567="OFF",D567="OFF"),AND(F567="Congé",D567="Congé"),AND(F567="Congé sans solde",D567="Congé sans solde"),AND(F567="Congé spécial",D567="Congé spécial"),AND(F567="Férié",D567="Férié"),AND(F567="OFF",D567="Congé"),AND(F567="OFF",D567="Congé sans solde"),AND(F567="OFF",D567="Congé spécial"),AND(F567="OFF",D567="Férié"),AND(F567="Congé",D567="OFF"),AND(F567="Congé",D567="Congé sans solde"),AND(F567="Congé",D567="Congé spécial"),AND(F567="Congé",D567="Férié"),AND(F567="Congé sans solde",D567="OFF"),AND(F567="Congé sans solde",D567="Congé"),AND(F567="Congé sans solde",D567="Congé spécial"),AND(F567="Congé sans solde",D567="Férié"),AND(F567="Congé spécial",D567="OFF"),AND(F567="Congé spécial",D567="Congé"),AND(F567="Congé spécial",D567="Congé sans solde"),AND(F567="Congé spécial",D567="Férié"),AND(F567="Férié",D567="OFF"),AND(F567="Férié",D567="Congé"),AND(F567="Férié",D567="Congé sans solde"),AND(F567="Férié",D567="Congé spécial")),0,IF(OR(F567="OFF",F567="Congé",F567="Congé spécial",F567="Congé sans solde",D567="OFF",D567="Congé",D567="Congé spécial",D567="Congé sans solde"),0.208333333333334,IF(AND(AG567="",F567-D567&lt;0),("24:00:00"-D567)+("00:00:00"+F567)-0.0416666666666667,IF(AND(OR(AG567="Allaitement",AG567="Sans déjeuner"),F567-D567&lt;0),("24:00:00"-D567)+("00:00:00"+F567),IF(AND(AG567="",F567-D567&gt;0.166666666666667),F567-D567-0.0416666666666667,IF(AND(OR(AG567="Allaitement",AG567="Sans déjeuner"),F567-D567&gt;0.166666666666667),F567-D567,F567-D567)))))))</f>
        <v>0</v>
      </c>
      <c r="P567" s="6" t="str">
        <f aca="false">IFERROR(VLOOKUP($B567,Agents!$A:$D,2,0),"-")</f>
        <v>Accessibilité</v>
      </c>
      <c r="Q567" s="21" t="n">
        <v>46123</v>
      </c>
      <c r="R567" s="8" t="n">
        <f aca="false">IF(M567="Abs",O567,0)</f>
        <v>0</v>
      </c>
      <c r="S567" s="8" t="n">
        <f aca="false">SUM(R567,L567,I567,J567,W567,H567)</f>
        <v>0</v>
      </c>
      <c r="T567" s="6" t="str">
        <f aca="false">"Sem - "&amp;WEEKNUM(Q567,21)</f>
        <v>Sem - 15</v>
      </c>
      <c r="U567" s="6" t="str">
        <f aca="false">CHOOSE(MONTH(Q567),"Janvier","Février","Mars","Avril","Mai","Juin","Juillet","Août","Septembre","Octobre","Novembre","Décembre")</f>
        <v>Avril</v>
      </c>
      <c r="V567" s="22" t="n">
        <f aca="false">YEAR(Q567)</f>
        <v>2026</v>
      </c>
      <c r="W567" s="20"/>
      <c r="X567" s="8" t="n">
        <f aca="false">IFERROR(IF(M567="Abs",0,IF(ROUND((D567-C567+E567-F567)*1440,0)&lt;=1,0,D567-C567+E567-F567)),0)</f>
        <v>0</v>
      </c>
      <c r="Y567" s="6" t="str">
        <f aca="false">IFERROR(VLOOKUP($B567,Agents!$A:$D,3,0),"-")</f>
        <v>OUBRAHIM Mohammed</v>
      </c>
      <c r="Z567" s="6" t="str">
        <f aca="false">IFERROR(VLOOKUP($B567,Agents!$A:$D,4,0),"-")</f>
        <v>Credit Mutuel</v>
      </c>
      <c r="AA567" s="18" t="s">
        <v>97</v>
      </c>
      <c r="AB567" s="8" t="str">
        <f aca="false">IF(AND(D567="Congé",F567="Congé"),0.333333333333333,IF(OR(AND(D567="Congé",F567&lt;&gt;"Congé"),(AND(F567="Congé",D567&lt;&gt;"Congé"))),0.166666666666667,""))</f>
        <v/>
      </c>
      <c r="AC567" s="8" t="str">
        <f aca="false">IF(AND(D567="Congé sans solde",F567="Congé sans solde"),0.333333333333333,IF(OR(AND(D567="Congé sans solde",F567&lt;&gt;"Congé sans solde"),(AND(F567="Congé sans solde",D567&lt;&gt;"Congé sans solde"))),0.166666666666667,""))</f>
        <v/>
      </c>
      <c r="AD567" s="8" t="str">
        <f aca="false">IF(AND(D567="Congé spécial",F567="Congé spécial"),0.333333333333333,IF(OR(AND(D567="Congé spécial",F567&lt;&gt;"Congé spécial"),AND(F567="Congé spécial",D567&lt;&gt;"Congé spécial")),0.166666666666667,""))</f>
        <v/>
      </c>
      <c r="AE567" s="8" t="str">
        <f aca="false">IF(AND(D567="Férié",F567="Férié"),0.333333333333333,IF(OR(AND(D567="Férié",F567&lt;&gt;"Férié"),(AND(F567="Férié",D567&lt;&gt;"Férié"))),0.166666666666667,""))</f>
        <v/>
      </c>
      <c r="AF567" s="18"/>
      <c r="AG567" s="18"/>
    </row>
    <row r="568" customFormat="false" ht="15" hidden="false" customHeight="false" outlineLevel="0" collapsed="false">
      <c r="A568" s="6" t="str">
        <f aca="false">YEAR(Q568-WEEKDAY(Q568,2)+4)&amp;"-S"&amp;TEXT(WEEKNUM(Q568,21),"00")</f>
        <v>2026-S15</v>
      </c>
      <c r="B568" s="18" t="s">
        <v>72</v>
      </c>
      <c r="C568" s="19"/>
      <c r="D568" s="19" t="s">
        <v>74</v>
      </c>
      <c r="E568" s="19"/>
      <c r="F568" s="19" t="s">
        <v>74</v>
      </c>
      <c r="G568" s="20"/>
      <c r="H568" s="20"/>
      <c r="I568" s="8" t="str">
        <f aca="false">IF(IF(OR(C568="",D568="Congé",D568="OFF",D568="Congé spécial"),"",IF(D568&gt;F568,D568-C568,IF(C568-D568&lt;0,0,C568-D568)))&lt;0.00068287037037037,"",IF(OR(D568="Congé",D568="OFF",C568="",D568="Congé spécial"),"",IF(D568&gt;F568,D568-C568,IF(C568-D568&lt;0,0,C568-D568))))</f>
        <v/>
      </c>
      <c r="J568" s="20"/>
      <c r="K568" s="8" t="n">
        <f aca="false">IF(SUM(H568:J568)&lt;0.00068287037037037,0,SUM(H568:J568))</f>
        <v>0</v>
      </c>
      <c r="L568" s="8" t="n">
        <f aca="false">IF(OR(F568="Congé",F568="OFF",M568="Abs",F568="Congé sans solde",F568="Férié",F568="Congé spécial",D568="Congé spécial"),0,IF(F568-E568&lt;0,0,IF(F568-E568&lt;=0.00068287037037037,0,F568-E568)))</f>
        <v>0</v>
      </c>
      <c r="M568" s="6" t="n">
        <f aca="false">IF(AND(O568&lt;&gt;0,C568=""),"Abs",0)</f>
        <v>0</v>
      </c>
      <c r="N568" s="8" t="str">
        <f aca="false">IFERROR(IF(OR(D568="OFF",D568="Congé",M568="Abs",D568="Congé sans solde",D568="Férié"),"",IF(O568-K568-L568&gt;O568,O568,IF(O568-K568-L568&lt;0,"",O568-K568-L568))),"")</f>
        <v/>
      </c>
      <c r="O568" s="8" t="n">
        <f aca="false">IF(AG568="2H Pause déjeuner",IF(F568-D568-0.0833333333333333&lt;0,F568-D568-0.0833333333333333+1,F568-D568-0.0833333333333333),IF(OR(AND(F568="OFF",D568="OFF"),AND(F568="Congé",D568="Congé"),AND(F568="Congé sans solde",D568="Congé sans solde"),AND(F568="Congé spécial",D568="Congé spécial"),AND(F568="Férié",D568="Férié"),AND(F568="OFF",D568="Congé"),AND(F568="OFF",D568="Congé sans solde"),AND(F568="OFF",D568="Congé spécial"),AND(F568="OFF",D568="Férié"),AND(F568="Congé",D568="OFF"),AND(F568="Congé",D568="Congé sans solde"),AND(F568="Congé",D568="Congé spécial"),AND(F568="Congé",D568="Férié"),AND(F568="Congé sans solde",D568="OFF"),AND(F568="Congé sans solde",D568="Congé"),AND(F568="Congé sans solde",D568="Congé spécial"),AND(F568="Congé sans solde",D568="Férié"),AND(F568="Congé spécial",D568="OFF"),AND(F568="Congé spécial",D568="Congé"),AND(F568="Congé spécial",D568="Congé sans solde"),AND(F568="Congé spécial",D568="Férié"),AND(F568="Férié",D568="OFF"),AND(F568="Férié",D568="Congé"),AND(F568="Férié",D568="Congé sans solde"),AND(F568="Férié",D568="Congé spécial")),0,IF(OR(F568="OFF",F568="Congé",F568="Congé spécial",F568="Congé sans solde",D568="OFF",D568="Congé",D568="Congé spécial",D568="Congé sans solde"),0.208333333333334,IF(AND(AG568="",F568-D568&lt;0),("24:00:00"-D568)+("00:00:00"+F568)-0.0416666666666667,IF(AND(OR(AG568="Allaitement",AG568="Sans déjeuner"),F568-D568&lt;0),("24:00:00"-D568)+("00:00:00"+F568),IF(AND(AG568="",F568-D568&gt;0.166666666666667),F568-D568-0.0416666666666667,IF(AND(OR(AG568="Allaitement",AG568="Sans déjeuner"),F568-D568&gt;0.166666666666667),F568-D568,F568-D568)))))))</f>
        <v>0</v>
      </c>
      <c r="P568" s="6" t="str">
        <f aca="false">IFERROR(VLOOKUP($B568,Agents!$A:$D,2,0),"-")</f>
        <v>Accessibilité</v>
      </c>
      <c r="Q568" s="21" t="n">
        <v>46123</v>
      </c>
      <c r="R568" s="8" t="n">
        <f aca="false">IF(M568="Abs",O568,0)</f>
        <v>0</v>
      </c>
      <c r="S568" s="8" t="n">
        <f aca="false">SUM(R568,L568,I568,J568,W568,H568)</f>
        <v>0</v>
      </c>
      <c r="T568" s="6" t="str">
        <f aca="false">"Sem - "&amp;WEEKNUM(Q568,21)</f>
        <v>Sem - 15</v>
      </c>
      <c r="U568" s="6" t="str">
        <f aca="false">CHOOSE(MONTH(Q568),"Janvier","Février","Mars","Avril","Mai","Juin","Juillet","Août","Septembre","Octobre","Novembre","Décembre")</f>
        <v>Avril</v>
      </c>
      <c r="V568" s="22" t="n">
        <f aca="false">YEAR(Q568)</f>
        <v>2026</v>
      </c>
      <c r="W568" s="20"/>
      <c r="X568" s="8" t="n">
        <f aca="false">IFERROR(IF(M568="Abs",0,IF(ROUND((D568-C568+E568-F568)*1440,0)&lt;=1,0,D568-C568+E568-F568)),0)</f>
        <v>0</v>
      </c>
      <c r="Y568" s="6" t="str">
        <f aca="false">IFERROR(VLOOKUP($B568,Agents!$A:$D,3,0),"-")</f>
        <v>OUBRAHIM Mohammed</v>
      </c>
      <c r="Z568" s="6" t="str">
        <f aca="false">IFERROR(VLOOKUP($B568,Agents!$A:$D,4,0),"-")</f>
        <v>Credit Mutuel</v>
      </c>
      <c r="AA568" s="18" t="s">
        <v>97</v>
      </c>
      <c r="AB568" s="8" t="str">
        <f aca="false">IF(AND(D568="Congé",F568="Congé"),0.333333333333333,IF(OR(AND(D568="Congé",F568&lt;&gt;"Congé"),(AND(F568="Congé",D568&lt;&gt;"Congé"))),0.166666666666667,""))</f>
        <v/>
      </c>
      <c r="AC568" s="8" t="str">
        <f aca="false">IF(AND(D568="Congé sans solde",F568="Congé sans solde"),0.333333333333333,IF(OR(AND(D568="Congé sans solde",F568&lt;&gt;"Congé sans solde"),(AND(F568="Congé sans solde",D568&lt;&gt;"Congé sans solde"))),0.166666666666667,""))</f>
        <v/>
      </c>
      <c r="AD568" s="8" t="str">
        <f aca="false">IF(AND(D568="Congé spécial",F568="Congé spécial"),0.333333333333333,IF(OR(AND(D568="Congé spécial",F568&lt;&gt;"Congé spécial"),AND(F568="Congé spécial",D568&lt;&gt;"Congé spécial")),0.166666666666667,""))</f>
        <v/>
      </c>
      <c r="AE568" s="8" t="str">
        <f aca="false">IF(AND(D568="Férié",F568="Férié"),0.333333333333333,IF(OR(AND(D568="Férié",F568&lt;&gt;"Férié"),(AND(F568="Férié",D568&lt;&gt;"Férié"))),0.166666666666667,""))</f>
        <v/>
      </c>
      <c r="AF568" s="18"/>
      <c r="AG568" s="18"/>
    </row>
    <row r="569" customFormat="false" ht="15" hidden="false" customHeight="false" outlineLevel="0" collapsed="false">
      <c r="A569" s="6" t="str">
        <f aca="false">YEAR(Q569-WEEKDAY(Q569,2)+4)&amp;"-S"&amp;TEXT(WEEKNUM(Q569,21),"00")</f>
        <v>2026-S15</v>
      </c>
      <c r="B569" s="18" t="s">
        <v>73</v>
      </c>
      <c r="C569" s="19"/>
      <c r="D569" s="19" t="s">
        <v>74</v>
      </c>
      <c r="E569" s="19"/>
      <c r="F569" s="19" t="s">
        <v>74</v>
      </c>
      <c r="G569" s="20"/>
      <c r="H569" s="20"/>
      <c r="I569" s="8" t="str">
        <f aca="false">IF(IF(OR(C569="",D569="Congé",D569="OFF",D569="Congé spécial"),"",IF(D569&gt;F569,D569-C569,IF(C569-D569&lt;0,0,C569-D569)))&lt;0.00068287037037037,"",IF(OR(D569="Congé",D569="OFF",C569="",D569="Congé spécial"),"",IF(D569&gt;F569,D569-C569,IF(C569-D569&lt;0,0,C569-D569))))</f>
        <v/>
      </c>
      <c r="J569" s="20"/>
      <c r="K569" s="8" t="n">
        <f aca="false">IF(SUM(H569:J569)&lt;0.00068287037037037,0,SUM(H569:J569))</f>
        <v>0</v>
      </c>
      <c r="L569" s="8" t="n">
        <f aca="false">IF(OR(F569="Congé",F569="OFF",M569="Abs",F569="Congé sans solde",F569="Férié",F569="Congé spécial",D569="Congé spécial"),0,IF(F569-E569&lt;0,0,IF(F569-E569&lt;=0.00068287037037037,0,F569-E569)))</f>
        <v>0</v>
      </c>
      <c r="M569" s="6" t="n">
        <f aca="false">IF(AND(O569&lt;&gt;0,C569=""),"Abs",0)</f>
        <v>0</v>
      </c>
      <c r="N569" s="8" t="str">
        <f aca="false">IFERROR(IF(OR(D569="OFF",D569="Congé",M569="Abs",D569="Congé sans solde",D569="Férié"),"",IF(O569-K569-L569&gt;O569,O569,IF(O569-K569-L569&lt;0,"",O569-K569-L569))),"")</f>
        <v/>
      </c>
      <c r="O569" s="8" t="n">
        <f aca="false">IF(AG569="2H Pause déjeuner",IF(F569-D569-0.0833333333333333&lt;0,F569-D569-0.0833333333333333+1,F569-D569-0.0833333333333333),IF(OR(AND(F569="OFF",D569="OFF"),AND(F569="Congé",D569="Congé"),AND(F569="Congé sans solde",D569="Congé sans solde"),AND(F569="Congé spécial",D569="Congé spécial"),AND(F569="Férié",D569="Férié"),AND(F569="OFF",D569="Congé"),AND(F569="OFF",D569="Congé sans solde"),AND(F569="OFF",D569="Congé spécial"),AND(F569="OFF",D569="Férié"),AND(F569="Congé",D569="OFF"),AND(F569="Congé",D569="Congé sans solde"),AND(F569="Congé",D569="Congé spécial"),AND(F569="Congé",D569="Férié"),AND(F569="Congé sans solde",D569="OFF"),AND(F569="Congé sans solde",D569="Congé"),AND(F569="Congé sans solde",D569="Congé spécial"),AND(F569="Congé sans solde",D569="Férié"),AND(F569="Congé spécial",D569="OFF"),AND(F569="Congé spécial",D569="Congé"),AND(F569="Congé spécial",D569="Congé sans solde"),AND(F569="Congé spécial",D569="Férié"),AND(F569="Férié",D569="OFF"),AND(F569="Férié",D569="Congé"),AND(F569="Férié",D569="Congé sans solde"),AND(F569="Férié",D569="Congé spécial")),0,IF(OR(F569="OFF",F569="Congé",F569="Congé spécial",F569="Congé sans solde",D569="OFF",D569="Congé",D569="Congé spécial",D569="Congé sans solde"),0.208333333333334,IF(AND(AG569="",F569-D569&lt;0),("24:00:00"-D569)+("00:00:00"+F569)-0.0416666666666667,IF(AND(OR(AG569="Allaitement",AG569="Sans déjeuner"),F569-D569&lt;0),("24:00:00"-D569)+("00:00:00"+F569),IF(AND(AG569="",F569-D569&gt;0.166666666666667),F569-D569-0.0416666666666667,IF(AND(OR(AG569="Allaitement",AG569="Sans déjeuner"),F569-D569&gt;0.166666666666667),F569-D569,F569-D569)))))))</f>
        <v>0</v>
      </c>
      <c r="P569" s="6" t="str">
        <f aca="false">IFERROR(VLOOKUP($B569,Agents!$A:$D,2,0),"-")</f>
        <v>Accessibilité</v>
      </c>
      <c r="Q569" s="21" t="n">
        <v>46123</v>
      </c>
      <c r="R569" s="8" t="n">
        <f aca="false">IF(M569="Abs",O569,0)</f>
        <v>0</v>
      </c>
      <c r="S569" s="8" t="n">
        <f aca="false">SUM(R569,L569,I569,J569,W569,H569)</f>
        <v>0</v>
      </c>
      <c r="T569" s="6" t="str">
        <f aca="false">"Sem - "&amp;WEEKNUM(Q569,21)</f>
        <v>Sem - 15</v>
      </c>
      <c r="U569" s="6" t="str">
        <f aca="false">CHOOSE(MONTH(Q569),"Janvier","Février","Mars","Avril","Mai","Juin","Juillet","Août","Septembre","Octobre","Novembre","Décembre")</f>
        <v>Avril</v>
      </c>
      <c r="V569" s="22" t="n">
        <f aca="false">YEAR(Q569)</f>
        <v>2026</v>
      </c>
      <c r="W569" s="20"/>
      <c r="X569" s="8" t="n">
        <f aca="false">IFERROR(IF(M569="Abs",0,IF(ROUND((D569-C569+E569-F569)*1440,0)&lt;=1,0,D569-C569+E569-F569)),0)</f>
        <v>0</v>
      </c>
      <c r="Y569" s="6" t="str">
        <f aca="false">IFERROR(VLOOKUP($B569,Agents!$A:$D,3,0),"-")</f>
        <v>OUBRAHIM Mohammed</v>
      </c>
      <c r="Z569" s="6" t="str">
        <f aca="false">IFERROR(VLOOKUP($B569,Agents!$A:$D,4,0),"-")</f>
        <v>Credit Mutuel</v>
      </c>
      <c r="AA569" s="18" t="s">
        <v>97</v>
      </c>
      <c r="AB569" s="8" t="str">
        <f aca="false">IF(AND(D569="Congé",F569="Congé"),0.333333333333333,IF(OR(AND(D569="Congé",F569&lt;&gt;"Congé"),(AND(F569="Congé",D569&lt;&gt;"Congé"))),0.166666666666667,""))</f>
        <v/>
      </c>
      <c r="AC569" s="8" t="str">
        <f aca="false">IF(AND(D569="Congé sans solde",F569="Congé sans solde"),0.333333333333333,IF(OR(AND(D569="Congé sans solde",F569&lt;&gt;"Congé sans solde"),(AND(F569="Congé sans solde",D569&lt;&gt;"Congé sans solde"))),0.166666666666667,""))</f>
        <v/>
      </c>
      <c r="AD569" s="8" t="str">
        <f aca="false">IF(AND(D569="Congé spécial",F569="Congé spécial"),0.333333333333333,IF(OR(AND(D569="Congé spécial",F569&lt;&gt;"Congé spécial"),AND(F569="Congé spécial",D569&lt;&gt;"Congé spécial")),0.166666666666667,""))</f>
        <v/>
      </c>
      <c r="AE569" s="8" t="str">
        <f aca="false">IF(AND(D569="Férié",F569="Férié"),0.333333333333333,IF(OR(AND(D569="Férié",F569&lt;&gt;"Férié"),(AND(F569="Férié",D569&lt;&gt;"Férié"))),0.166666666666667,""))</f>
        <v/>
      </c>
      <c r="AF569" s="18"/>
      <c r="AG569" s="18"/>
    </row>
    <row r="570" customFormat="false" ht="15" hidden="false" customHeight="false" outlineLevel="0" collapsed="false">
      <c r="A570" s="6" t="str">
        <f aca="false">YEAR(Q570-WEEKDAY(Q570,2)+4)&amp;"-S"&amp;TEXT(WEEKNUM(Q570,21),"00")</f>
        <v>2026-S15</v>
      </c>
      <c r="B570" s="18" t="s">
        <v>69</v>
      </c>
      <c r="C570" s="19"/>
      <c r="D570" s="19" t="s">
        <v>74</v>
      </c>
      <c r="E570" s="19"/>
      <c r="F570" s="19" t="s">
        <v>74</v>
      </c>
      <c r="G570" s="20"/>
      <c r="H570" s="20"/>
      <c r="I570" s="8" t="str">
        <f aca="false">IF(IF(OR(C570="",D570="Congé",D570="OFF",D570="Congé spécial"),"",IF(D570&gt;F570,D570-C570,IF(C570-D570&lt;0,0,C570-D570)))&lt;0.00068287037037037,"",IF(OR(D570="Congé",D570="OFF",C570="",D570="Congé spécial"),"",IF(D570&gt;F570,D570-C570,IF(C570-D570&lt;0,0,C570-D570))))</f>
        <v/>
      </c>
      <c r="J570" s="20"/>
      <c r="K570" s="8" t="n">
        <f aca="false">IF(SUM(H570:J570)&lt;0.00068287037037037,0,SUM(H570:J570))</f>
        <v>0</v>
      </c>
      <c r="L570" s="8" t="n">
        <f aca="false">IF(OR(F570="Congé",F570="OFF",M570="Abs",F570="Congé sans solde",F570="Férié",F570="Congé spécial",D570="Congé spécial"),0,IF(F570-E570&lt;0,0,IF(F570-E570&lt;=0.00068287037037037,0,F570-E570)))</f>
        <v>0</v>
      </c>
      <c r="M570" s="6" t="n">
        <f aca="false">IF(AND(O570&lt;&gt;0,C570=""),"Abs",0)</f>
        <v>0</v>
      </c>
      <c r="N570" s="8" t="str">
        <f aca="false">IFERROR(IF(OR(D570="OFF",D570="Congé",M570="Abs",D570="Congé sans solde",D570="Férié"),"",IF(O570-K570-L570&gt;O570,O570,IF(O570-K570-L570&lt;0,"",O570-K570-L570))),"")</f>
        <v/>
      </c>
      <c r="O570" s="8" t="n">
        <f aca="false">IF(AG570="2H Pause déjeuner",IF(F570-D570-0.0833333333333333&lt;0,F570-D570-0.0833333333333333+1,F570-D570-0.0833333333333333),IF(OR(AND(F570="OFF",D570="OFF"),AND(F570="Congé",D570="Congé"),AND(F570="Congé sans solde",D570="Congé sans solde"),AND(F570="Congé spécial",D570="Congé spécial"),AND(F570="Férié",D570="Férié"),AND(F570="OFF",D570="Congé"),AND(F570="OFF",D570="Congé sans solde"),AND(F570="OFF",D570="Congé spécial"),AND(F570="OFF",D570="Férié"),AND(F570="Congé",D570="OFF"),AND(F570="Congé",D570="Congé sans solde"),AND(F570="Congé",D570="Congé spécial"),AND(F570="Congé",D570="Férié"),AND(F570="Congé sans solde",D570="OFF"),AND(F570="Congé sans solde",D570="Congé"),AND(F570="Congé sans solde",D570="Congé spécial"),AND(F570="Congé sans solde",D570="Férié"),AND(F570="Congé spécial",D570="OFF"),AND(F570="Congé spécial",D570="Congé"),AND(F570="Congé spécial",D570="Congé sans solde"),AND(F570="Congé spécial",D570="Férié"),AND(F570="Férié",D570="OFF"),AND(F570="Férié",D570="Congé"),AND(F570="Férié",D570="Congé sans solde"),AND(F570="Férié",D570="Congé spécial")),0,IF(OR(F570="OFF",F570="Congé",F570="Congé spécial",F570="Congé sans solde",D570="OFF",D570="Congé",D570="Congé spécial",D570="Congé sans solde"),0.208333333333334,IF(AND(AG570="",F570-D570&lt;0),("24:00:00"-D570)+("00:00:00"+F570)-0.0416666666666667,IF(AND(OR(AG570="Allaitement",AG570="Sans déjeuner"),F570-D570&lt;0),("24:00:00"-D570)+("00:00:00"+F570),IF(AND(AG570="",F570-D570&gt;0.166666666666667),F570-D570-0.0416666666666667,IF(AND(OR(AG570="Allaitement",AG570="Sans déjeuner"),F570-D570&gt;0.166666666666667),F570-D570,F570-D570)))))))</f>
        <v>0</v>
      </c>
      <c r="P570" s="6" t="str">
        <f aca="false">IFERROR(VLOOKUP($B570,Agents!$A:$D,2,0),"-")</f>
        <v>Accessibilité</v>
      </c>
      <c r="Q570" s="21" t="n">
        <v>46124</v>
      </c>
      <c r="R570" s="8" t="n">
        <f aca="false">IF(M570="Abs",O570,0)</f>
        <v>0</v>
      </c>
      <c r="S570" s="8" t="n">
        <f aca="false">SUM(R570,L570,I570,J570,W570,H570)</f>
        <v>0</v>
      </c>
      <c r="T570" s="6" t="str">
        <f aca="false">"Sem - "&amp;WEEKNUM(Q570,21)</f>
        <v>Sem - 15</v>
      </c>
      <c r="U570" s="6" t="str">
        <f aca="false">CHOOSE(MONTH(Q570),"Janvier","Février","Mars","Avril","Mai","Juin","Juillet","Août","Septembre","Octobre","Novembre","Décembre")</f>
        <v>Avril</v>
      </c>
      <c r="V570" s="22" t="n">
        <f aca="false">YEAR(Q570)</f>
        <v>2026</v>
      </c>
      <c r="W570" s="20"/>
      <c r="X570" s="8" t="n">
        <f aca="false">IFERROR(IF(M570="Abs",0,IF(ROUND((D570-C570+E570-F570)*1440,0)&lt;=1,0,D570-C570+E570-F570)),0)</f>
        <v>0</v>
      </c>
      <c r="Y570" s="6" t="str">
        <f aca="false">IFERROR(VLOOKUP($B570,Agents!$A:$D,3,0),"-")</f>
        <v>OUBRAHIM Mohammed</v>
      </c>
      <c r="Z570" s="6" t="str">
        <f aca="false">IFERROR(VLOOKUP($B570,Agents!$A:$D,4,0),"-")</f>
        <v>Credit Mutuel</v>
      </c>
      <c r="AA570" s="18" t="s">
        <v>97</v>
      </c>
      <c r="AB570" s="8" t="str">
        <f aca="false">IF(AND(D570="Congé",F570="Congé"),0.333333333333333,IF(OR(AND(D570="Congé",F570&lt;&gt;"Congé"),(AND(F570="Congé",D570&lt;&gt;"Congé"))),0.166666666666667,""))</f>
        <v/>
      </c>
      <c r="AC570" s="8" t="str">
        <f aca="false">IF(AND(D570="Congé sans solde",F570="Congé sans solde"),0.333333333333333,IF(OR(AND(D570="Congé sans solde",F570&lt;&gt;"Congé sans solde"),(AND(F570="Congé sans solde",D570&lt;&gt;"Congé sans solde"))),0.166666666666667,""))</f>
        <v/>
      </c>
      <c r="AD570" s="8" t="str">
        <f aca="false">IF(AND(D570="Congé spécial",F570="Congé spécial"),0.333333333333333,IF(OR(AND(D570="Congé spécial",F570&lt;&gt;"Congé spécial"),AND(F570="Congé spécial",D570&lt;&gt;"Congé spécial")),0.166666666666667,""))</f>
        <v/>
      </c>
      <c r="AE570" s="8" t="str">
        <f aca="false">IF(AND(D570="Férié",F570="Férié"),0.333333333333333,IF(OR(AND(D570="Férié",F570&lt;&gt;"Férié"),(AND(F570="Férié",D570&lt;&gt;"Férié"))),0.166666666666667,""))</f>
        <v/>
      </c>
      <c r="AF570" s="18"/>
      <c r="AG570" s="18"/>
    </row>
    <row r="571" customFormat="false" ht="15" hidden="false" customHeight="false" outlineLevel="0" collapsed="false">
      <c r="A571" s="6" t="str">
        <f aca="false">YEAR(Q571-WEEKDAY(Q571,2)+4)&amp;"-S"&amp;TEXT(WEEKNUM(Q571,21),"00")</f>
        <v>2026-S15</v>
      </c>
      <c r="B571" s="18" t="s">
        <v>71</v>
      </c>
      <c r="C571" s="19"/>
      <c r="D571" s="19" t="s">
        <v>74</v>
      </c>
      <c r="E571" s="19"/>
      <c r="F571" s="19" t="s">
        <v>74</v>
      </c>
      <c r="G571" s="20"/>
      <c r="H571" s="20"/>
      <c r="I571" s="8" t="str">
        <f aca="false">IF(IF(OR(C571="",D571="Congé",D571="OFF",D571="Congé spécial"),"",IF(D571&gt;F571,D571-C571,IF(C571-D571&lt;0,0,C571-D571)))&lt;0.00068287037037037,"",IF(OR(D571="Congé",D571="OFF",C571="",D571="Congé spécial"),"",IF(D571&gt;F571,D571-C571,IF(C571-D571&lt;0,0,C571-D571))))</f>
        <v/>
      </c>
      <c r="J571" s="20"/>
      <c r="K571" s="8" t="n">
        <f aca="false">IF(SUM(H571:J571)&lt;0.00068287037037037,0,SUM(H571:J571))</f>
        <v>0</v>
      </c>
      <c r="L571" s="8" t="n">
        <f aca="false">IF(OR(F571="Congé",F571="OFF",M571="Abs",F571="Congé sans solde",F571="Férié",F571="Congé spécial",D571="Congé spécial"),0,IF(F571-E571&lt;0,0,IF(F571-E571&lt;=0.00068287037037037,0,F571-E571)))</f>
        <v>0</v>
      </c>
      <c r="M571" s="6" t="n">
        <f aca="false">IF(AND(O571&lt;&gt;0,C571=""),"Abs",0)</f>
        <v>0</v>
      </c>
      <c r="N571" s="8" t="str">
        <f aca="false">IFERROR(IF(OR(D571="OFF",D571="Congé",M571="Abs",D571="Congé sans solde",D571="Férié"),"",IF(O571-K571-L571&gt;O571,O571,IF(O571-K571-L571&lt;0,"",O571-K571-L571))),"")</f>
        <v/>
      </c>
      <c r="O571" s="8" t="n">
        <f aca="false">IF(AG571="2H Pause déjeuner",IF(F571-D571-0.0833333333333333&lt;0,F571-D571-0.0833333333333333+1,F571-D571-0.0833333333333333),IF(OR(AND(F571="OFF",D571="OFF"),AND(F571="Congé",D571="Congé"),AND(F571="Congé sans solde",D571="Congé sans solde"),AND(F571="Congé spécial",D571="Congé spécial"),AND(F571="Férié",D571="Férié"),AND(F571="OFF",D571="Congé"),AND(F571="OFF",D571="Congé sans solde"),AND(F571="OFF",D571="Congé spécial"),AND(F571="OFF",D571="Férié"),AND(F571="Congé",D571="OFF"),AND(F571="Congé",D571="Congé sans solde"),AND(F571="Congé",D571="Congé spécial"),AND(F571="Congé",D571="Férié"),AND(F571="Congé sans solde",D571="OFF"),AND(F571="Congé sans solde",D571="Congé"),AND(F571="Congé sans solde",D571="Congé spécial"),AND(F571="Congé sans solde",D571="Férié"),AND(F571="Congé spécial",D571="OFF"),AND(F571="Congé spécial",D571="Congé"),AND(F571="Congé spécial",D571="Congé sans solde"),AND(F571="Congé spécial",D571="Férié"),AND(F571="Férié",D571="OFF"),AND(F571="Férié",D571="Congé"),AND(F571="Férié",D571="Congé sans solde"),AND(F571="Férié",D571="Congé spécial")),0,IF(OR(F571="OFF",F571="Congé",F571="Congé spécial",F571="Congé sans solde",D571="OFF",D571="Congé",D571="Congé spécial",D571="Congé sans solde"),0.208333333333334,IF(AND(AG571="",F571-D571&lt;0),("24:00:00"-D571)+("00:00:00"+F571)-0.0416666666666667,IF(AND(OR(AG571="Allaitement",AG571="Sans déjeuner"),F571-D571&lt;0),("24:00:00"-D571)+("00:00:00"+F571),IF(AND(AG571="",F571-D571&gt;0.166666666666667),F571-D571-0.0416666666666667,IF(AND(OR(AG571="Allaitement",AG571="Sans déjeuner"),F571-D571&gt;0.166666666666667),F571-D571,F571-D571)))))))</f>
        <v>0</v>
      </c>
      <c r="P571" s="6" t="str">
        <f aca="false">IFERROR(VLOOKUP($B571,Agents!$A:$D,2,0),"-")</f>
        <v>Accessibilité</v>
      </c>
      <c r="Q571" s="21" t="n">
        <v>46124</v>
      </c>
      <c r="R571" s="8" t="n">
        <f aca="false">IF(M571="Abs",O571,0)</f>
        <v>0</v>
      </c>
      <c r="S571" s="8" t="n">
        <f aca="false">SUM(R571,L571,I571,J571,W571,H571)</f>
        <v>0</v>
      </c>
      <c r="T571" s="6" t="str">
        <f aca="false">"Sem - "&amp;WEEKNUM(Q571,21)</f>
        <v>Sem - 15</v>
      </c>
      <c r="U571" s="6" t="str">
        <f aca="false">CHOOSE(MONTH(Q571),"Janvier","Février","Mars","Avril","Mai","Juin","Juillet","Août","Septembre","Octobre","Novembre","Décembre")</f>
        <v>Avril</v>
      </c>
      <c r="V571" s="22" t="n">
        <f aca="false">YEAR(Q571)</f>
        <v>2026</v>
      </c>
      <c r="W571" s="20"/>
      <c r="X571" s="8" t="n">
        <f aca="false">IFERROR(IF(M571="Abs",0,IF(ROUND((D571-C571+E571-F571)*1440,0)&lt;=1,0,D571-C571+E571-F571)),0)</f>
        <v>0</v>
      </c>
      <c r="Y571" s="6" t="str">
        <f aca="false">IFERROR(VLOOKUP($B571,Agents!$A:$D,3,0),"-")</f>
        <v>OUBRAHIM Mohammed</v>
      </c>
      <c r="Z571" s="6" t="str">
        <f aca="false">IFERROR(VLOOKUP($B571,Agents!$A:$D,4,0),"-")</f>
        <v>Credit Mutuel</v>
      </c>
      <c r="AA571" s="18" t="s">
        <v>97</v>
      </c>
      <c r="AB571" s="8" t="str">
        <f aca="false">IF(AND(D571="Congé",F571="Congé"),0.333333333333333,IF(OR(AND(D571="Congé",F571&lt;&gt;"Congé"),(AND(F571="Congé",D571&lt;&gt;"Congé"))),0.166666666666667,""))</f>
        <v/>
      </c>
      <c r="AC571" s="8" t="str">
        <f aca="false">IF(AND(D571="Congé sans solde",F571="Congé sans solde"),0.333333333333333,IF(OR(AND(D571="Congé sans solde",F571&lt;&gt;"Congé sans solde"),(AND(F571="Congé sans solde",D571&lt;&gt;"Congé sans solde"))),0.166666666666667,""))</f>
        <v/>
      </c>
      <c r="AD571" s="8" t="str">
        <f aca="false">IF(AND(D571="Congé spécial",F571="Congé spécial"),0.333333333333333,IF(OR(AND(D571="Congé spécial",F571&lt;&gt;"Congé spécial"),AND(F571="Congé spécial",D571&lt;&gt;"Congé spécial")),0.166666666666667,""))</f>
        <v/>
      </c>
      <c r="AE571" s="8" t="str">
        <f aca="false">IF(AND(D571="Férié",F571="Férié"),0.333333333333333,IF(OR(AND(D571="Férié",F571&lt;&gt;"Férié"),(AND(F571="Férié",D571&lt;&gt;"Férié"))),0.166666666666667,""))</f>
        <v/>
      </c>
      <c r="AF571" s="18"/>
      <c r="AG571" s="18"/>
    </row>
    <row r="572" customFormat="false" ht="15" hidden="false" customHeight="false" outlineLevel="0" collapsed="false">
      <c r="A572" s="6" t="str">
        <f aca="false">YEAR(Q572-WEEKDAY(Q572,2)+4)&amp;"-S"&amp;TEXT(WEEKNUM(Q572,21),"00")</f>
        <v>2026-S15</v>
      </c>
      <c r="B572" s="18" t="s">
        <v>72</v>
      </c>
      <c r="C572" s="19"/>
      <c r="D572" s="19" t="s">
        <v>74</v>
      </c>
      <c r="E572" s="19"/>
      <c r="F572" s="19" t="s">
        <v>74</v>
      </c>
      <c r="G572" s="20"/>
      <c r="H572" s="20"/>
      <c r="I572" s="8" t="str">
        <f aca="false">IF(IF(OR(C572="",D572="Congé",D572="OFF",D572="Congé spécial"),"",IF(D572&gt;F572,D572-C572,IF(C572-D572&lt;0,0,C572-D572)))&lt;0.00068287037037037,"",IF(OR(D572="Congé",D572="OFF",C572="",D572="Congé spécial"),"",IF(D572&gt;F572,D572-C572,IF(C572-D572&lt;0,0,C572-D572))))</f>
        <v/>
      </c>
      <c r="J572" s="20"/>
      <c r="K572" s="8" t="n">
        <f aca="false">IF(SUM(H572:J572)&lt;0.00068287037037037,0,SUM(H572:J572))</f>
        <v>0</v>
      </c>
      <c r="L572" s="8" t="n">
        <f aca="false">IF(OR(F572="Congé",F572="OFF",M572="Abs",F572="Congé sans solde",F572="Férié",F572="Congé spécial",D572="Congé spécial"),0,IF(F572-E572&lt;0,0,IF(F572-E572&lt;=0.00068287037037037,0,F572-E572)))</f>
        <v>0</v>
      </c>
      <c r="M572" s="6" t="n">
        <f aca="false">IF(AND(O572&lt;&gt;0,C572=""),"Abs",0)</f>
        <v>0</v>
      </c>
      <c r="N572" s="8" t="str">
        <f aca="false">IFERROR(IF(OR(D572="OFF",D572="Congé",M572="Abs",D572="Congé sans solde",D572="Férié"),"",IF(O572-K572-L572&gt;O572,O572,IF(O572-K572-L572&lt;0,"",O572-K572-L572))),"")</f>
        <v/>
      </c>
      <c r="O572" s="8" t="n">
        <f aca="false">IF(AG572="2H Pause déjeuner",IF(F572-D572-0.0833333333333333&lt;0,F572-D572-0.0833333333333333+1,F572-D572-0.0833333333333333),IF(OR(AND(F572="OFF",D572="OFF"),AND(F572="Congé",D572="Congé"),AND(F572="Congé sans solde",D572="Congé sans solde"),AND(F572="Congé spécial",D572="Congé spécial"),AND(F572="Férié",D572="Férié"),AND(F572="OFF",D572="Congé"),AND(F572="OFF",D572="Congé sans solde"),AND(F572="OFF",D572="Congé spécial"),AND(F572="OFF",D572="Férié"),AND(F572="Congé",D572="OFF"),AND(F572="Congé",D572="Congé sans solde"),AND(F572="Congé",D572="Congé spécial"),AND(F572="Congé",D572="Férié"),AND(F572="Congé sans solde",D572="OFF"),AND(F572="Congé sans solde",D572="Congé"),AND(F572="Congé sans solde",D572="Congé spécial"),AND(F572="Congé sans solde",D572="Férié"),AND(F572="Congé spécial",D572="OFF"),AND(F572="Congé spécial",D572="Congé"),AND(F572="Congé spécial",D572="Congé sans solde"),AND(F572="Congé spécial",D572="Férié"),AND(F572="Férié",D572="OFF"),AND(F572="Férié",D572="Congé"),AND(F572="Férié",D572="Congé sans solde"),AND(F572="Férié",D572="Congé spécial")),0,IF(OR(F572="OFF",F572="Congé",F572="Congé spécial",F572="Congé sans solde",D572="OFF",D572="Congé",D572="Congé spécial",D572="Congé sans solde"),0.208333333333334,IF(AND(AG572="",F572-D572&lt;0),("24:00:00"-D572)+("00:00:00"+F572)-0.0416666666666667,IF(AND(OR(AG572="Allaitement",AG572="Sans déjeuner"),F572-D572&lt;0),("24:00:00"-D572)+("00:00:00"+F572),IF(AND(AG572="",F572-D572&gt;0.166666666666667),F572-D572-0.0416666666666667,IF(AND(OR(AG572="Allaitement",AG572="Sans déjeuner"),F572-D572&gt;0.166666666666667),F572-D572,F572-D572)))))))</f>
        <v>0</v>
      </c>
      <c r="P572" s="6" t="str">
        <f aca="false">IFERROR(VLOOKUP($B572,Agents!$A:$D,2,0),"-")</f>
        <v>Accessibilité</v>
      </c>
      <c r="Q572" s="21" t="n">
        <v>46124</v>
      </c>
      <c r="R572" s="8" t="n">
        <f aca="false">IF(M572="Abs",O572,0)</f>
        <v>0</v>
      </c>
      <c r="S572" s="8" t="n">
        <f aca="false">SUM(R572,L572,I572,J572,W572,H572)</f>
        <v>0</v>
      </c>
      <c r="T572" s="6" t="str">
        <f aca="false">"Sem - "&amp;WEEKNUM(Q572,21)</f>
        <v>Sem - 15</v>
      </c>
      <c r="U572" s="6" t="str">
        <f aca="false">CHOOSE(MONTH(Q572),"Janvier","Février","Mars","Avril","Mai","Juin","Juillet","Août","Septembre","Octobre","Novembre","Décembre")</f>
        <v>Avril</v>
      </c>
      <c r="V572" s="22" t="n">
        <f aca="false">YEAR(Q572)</f>
        <v>2026</v>
      </c>
      <c r="W572" s="20"/>
      <c r="X572" s="8" t="n">
        <f aca="false">IFERROR(IF(M572="Abs",0,IF(ROUND((D572-C572+E572-F572)*1440,0)&lt;=1,0,D572-C572+E572-F572)),0)</f>
        <v>0</v>
      </c>
      <c r="Y572" s="6" t="str">
        <f aca="false">IFERROR(VLOOKUP($B572,Agents!$A:$D,3,0),"-")</f>
        <v>OUBRAHIM Mohammed</v>
      </c>
      <c r="Z572" s="6" t="str">
        <f aca="false">IFERROR(VLOOKUP($B572,Agents!$A:$D,4,0),"-")</f>
        <v>Credit Mutuel</v>
      </c>
      <c r="AA572" s="18" t="s">
        <v>97</v>
      </c>
      <c r="AB572" s="8" t="str">
        <f aca="false">IF(AND(D572="Congé",F572="Congé"),0.333333333333333,IF(OR(AND(D572="Congé",F572&lt;&gt;"Congé"),(AND(F572="Congé",D572&lt;&gt;"Congé"))),0.166666666666667,""))</f>
        <v/>
      </c>
      <c r="AC572" s="8" t="str">
        <f aca="false">IF(AND(D572="Congé sans solde",F572="Congé sans solde"),0.333333333333333,IF(OR(AND(D572="Congé sans solde",F572&lt;&gt;"Congé sans solde"),(AND(F572="Congé sans solde",D572&lt;&gt;"Congé sans solde"))),0.166666666666667,""))</f>
        <v/>
      </c>
      <c r="AD572" s="8" t="str">
        <f aca="false">IF(AND(D572="Congé spécial",F572="Congé spécial"),0.333333333333333,IF(OR(AND(D572="Congé spécial",F572&lt;&gt;"Congé spécial"),AND(F572="Congé spécial",D572&lt;&gt;"Congé spécial")),0.166666666666667,""))</f>
        <v/>
      </c>
      <c r="AE572" s="8" t="str">
        <f aca="false">IF(AND(D572="Férié",F572="Férié"),0.333333333333333,IF(OR(AND(D572="Férié",F572&lt;&gt;"Férié"),(AND(F572="Férié",D572&lt;&gt;"Férié"))),0.166666666666667,""))</f>
        <v/>
      </c>
      <c r="AF572" s="18"/>
      <c r="AG572" s="18"/>
    </row>
    <row r="573" customFormat="false" ht="15" hidden="false" customHeight="false" outlineLevel="0" collapsed="false">
      <c r="A573" s="6" t="str">
        <f aca="false">YEAR(Q573-WEEKDAY(Q573,2)+4)&amp;"-S"&amp;TEXT(WEEKNUM(Q573,21),"00")</f>
        <v>2026-S15</v>
      </c>
      <c r="B573" s="18" t="s">
        <v>73</v>
      </c>
      <c r="C573" s="19"/>
      <c r="D573" s="19" t="s">
        <v>74</v>
      </c>
      <c r="E573" s="19"/>
      <c r="F573" s="19" t="s">
        <v>74</v>
      </c>
      <c r="G573" s="20"/>
      <c r="H573" s="20"/>
      <c r="I573" s="8" t="str">
        <f aca="false">IF(IF(OR(C573="",D573="Congé",D573="OFF",D573="Congé spécial"),"",IF(D573&gt;F573,D573-C573,IF(C573-D573&lt;0,0,C573-D573)))&lt;0.00068287037037037,"",IF(OR(D573="Congé",D573="OFF",C573="",D573="Congé spécial"),"",IF(D573&gt;F573,D573-C573,IF(C573-D573&lt;0,0,C573-D573))))</f>
        <v/>
      </c>
      <c r="J573" s="20"/>
      <c r="K573" s="8" t="n">
        <f aca="false">IF(SUM(H573:J573)&lt;0.00068287037037037,0,SUM(H573:J573))</f>
        <v>0</v>
      </c>
      <c r="L573" s="8" t="n">
        <f aca="false">IF(OR(F573="Congé",F573="OFF",M573="Abs",F573="Congé sans solde",F573="Férié",F573="Congé spécial",D573="Congé spécial"),0,IF(F573-E573&lt;0,0,IF(F573-E573&lt;=0.00068287037037037,0,F573-E573)))</f>
        <v>0</v>
      </c>
      <c r="M573" s="6" t="n">
        <f aca="false">IF(AND(O573&lt;&gt;0,C573=""),"Abs",0)</f>
        <v>0</v>
      </c>
      <c r="N573" s="8" t="str">
        <f aca="false">IFERROR(IF(OR(D573="OFF",D573="Congé",M573="Abs",D573="Congé sans solde",D573="Férié"),"",IF(O573-K573-L573&gt;O573,O573,IF(O573-K573-L573&lt;0,"",O573-K573-L573))),"")</f>
        <v/>
      </c>
      <c r="O573" s="8" t="n">
        <f aca="false">IF(AG573="2H Pause déjeuner",IF(F573-D573-0.0833333333333333&lt;0,F573-D573-0.0833333333333333+1,F573-D573-0.0833333333333333),IF(OR(AND(F573="OFF",D573="OFF"),AND(F573="Congé",D573="Congé"),AND(F573="Congé sans solde",D573="Congé sans solde"),AND(F573="Congé spécial",D573="Congé spécial"),AND(F573="Férié",D573="Férié"),AND(F573="OFF",D573="Congé"),AND(F573="OFF",D573="Congé sans solde"),AND(F573="OFF",D573="Congé spécial"),AND(F573="OFF",D573="Férié"),AND(F573="Congé",D573="OFF"),AND(F573="Congé",D573="Congé sans solde"),AND(F573="Congé",D573="Congé spécial"),AND(F573="Congé",D573="Férié"),AND(F573="Congé sans solde",D573="OFF"),AND(F573="Congé sans solde",D573="Congé"),AND(F573="Congé sans solde",D573="Congé spécial"),AND(F573="Congé sans solde",D573="Férié"),AND(F573="Congé spécial",D573="OFF"),AND(F573="Congé spécial",D573="Congé"),AND(F573="Congé spécial",D573="Congé sans solde"),AND(F573="Congé spécial",D573="Férié"),AND(F573="Férié",D573="OFF"),AND(F573="Férié",D573="Congé"),AND(F573="Férié",D573="Congé sans solde"),AND(F573="Férié",D573="Congé spécial")),0,IF(OR(F573="OFF",F573="Congé",F573="Congé spécial",F573="Congé sans solde",D573="OFF",D573="Congé",D573="Congé spécial",D573="Congé sans solde"),0.208333333333334,IF(AND(AG573="",F573-D573&lt;0),("24:00:00"-D573)+("00:00:00"+F573)-0.0416666666666667,IF(AND(OR(AG573="Allaitement",AG573="Sans déjeuner"),F573-D573&lt;0),("24:00:00"-D573)+("00:00:00"+F573),IF(AND(AG573="",F573-D573&gt;0.166666666666667),F573-D573-0.0416666666666667,IF(AND(OR(AG573="Allaitement",AG573="Sans déjeuner"),F573-D573&gt;0.166666666666667),F573-D573,F573-D573)))))))</f>
        <v>0</v>
      </c>
      <c r="P573" s="6" t="str">
        <f aca="false">IFERROR(VLOOKUP($B573,Agents!$A:$D,2,0),"-")</f>
        <v>Accessibilité</v>
      </c>
      <c r="Q573" s="21" t="n">
        <v>46124</v>
      </c>
      <c r="R573" s="8" t="n">
        <f aca="false">IF(M573="Abs",O573,0)</f>
        <v>0</v>
      </c>
      <c r="S573" s="8" t="n">
        <f aca="false">SUM(R573,L573,I573,J573,W573,H573)</f>
        <v>0</v>
      </c>
      <c r="T573" s="6" t="str">
        <f aca="false">"Sem - "&amp;WEEKNUM(Q573,21)</f>
        <v>Sem - 15</v>
      </c>
      <c r="U573" s="6" t="str">
        <f aca="false">CHOOSE(MONTH(Q573),"Janvier","Février","Mars","Avril","Mai","Juin","Juillet","Août","Septembre","Octobre","Novembre","Décembre")</f>
        <v>Avril</v>
      </c>
      <c r="V573" s="22" t="n">
        <f aca="false">YEAR(Q573)</f>
        <v>2026</v>
      </c>
      <c r="W573" s="20"/>
      <c r="X573" s="8" t="n">
        <f aca="false">IFERROR(IF(M573="Abs",0,IF(ROUND((D573-C573+E573-F573)*1440,0)&lt;=1,0,D573-C573+E573-F573)),0)</f>
        <v>0</v>
      </c>
      <c r="Y573" s="6" t="str">
        <f aca="false">IFERROR(VLOOKUP($B573,Agents!$A:$D,3,0),"-")</f>
        <v>OUBRAHIM Mohammed</v>
      </c>
      <c r="Z573" s="6" t="str">
        <f aca="false">IFERROR(VLOOKUP($B573,Agents!$A:$D,4,0),"-")</f>
        <v>Credit Mutuel</v>
      </c>
      <c r="AA573" s="18" t="s">
        <v>97</v>
      </c>
      <c r="AB573" s="8" t="str">
        <f aca="false">IF(AND(D573="Congé",F573="Congé"),0.333333333333333,IF(OR(AND(D573="Congé",F573&lt;&gt;"Congé"),(AND(F573="Congé",D573&lt;&gt;"Congé"))),0.166666666666667,""))</f>
        <v/>
      </c>
      <c r="AC573" s="8" t="str">
        <f aca="false">IF(AND(D573="Congé sans solde",F573="Congé sans solde"),0.333333333333333,IF(OR(AND(D573="Congé sans solde",F573&lt;&gt;"Congé sans solde"),(AND(F573="Congé sans solde",D573&lt;&gt;"Congé sans solde"))),0.166666666666667,""))</f>
        <v/>
      </c>
      <c r="AD573" s="8" t="str">
        <f aca="false">IF(AND(D573="Congé spécial",F573="Congé spécial"),0.333333333333333,IF(OR(AND(D573="Congé spécial",F573&lt;&gt;"Congé spécial"),AND(F573="Congé spécial",D573&lt;&gt;"Congé spécial")),0.166666666666667,""))</f>
        <v/>
      </c>
      <c r="AE573" s="8" t="str">
        <f aca="false">IF(AND(D573="Férié",F573="Férié"),0.333333333333333,IF(OR(AND(D573="Férié",F573&lt;&gt;"Férié"),(AND(F573="Férié",D573&lt;&gt;"Férié"))),0.166666666666667,""))</f>
        <v/>
      </c>
      <c r="AF573" s="18"/>
      <c r="AG573" s="18"/>
    </row>
    <row r="574" customFormat="false" ht="15" hidden="false" customHeight="false" outlineLevel="0" collapsed="false">
      <c r="A574" s="6" t="str">
        <f aca="false">YEAR(Q574-WEEKDAY(Q574,2)+4)&amp;"-S"&amp;TEXT(WEEKNUM(Q574,21),"00")</f>
        <v>2026-S16</v>
      </c>
      <c r="B574" s="18" t="s">
        <v>69</v>
      </c>
      <c r="C574" s="19" t="n">
        <v>0.33125</v>
      </c>
      <c r="D574" s="19" t="n">
        <v>0.333333333333333</v>
      </c>
      <c r="E574" s="19" t="n">
        <v>0.75</v>
      </c>
      <c r="F574" s="19" t="n">
        <v>0.75</v>
      </c>
      <c r="G574" s="20"/>
      <c r="H574" s="20"/>
      <c r="I574" s="8" t="str">
        <f aca="false">IF(IF(OR(C574="",D574="Congé",D574="OFF",D574="Congé spécial"),"",IF(D574&gt;F574,D574-C574,IF(C574-D574&lt;0,0,C574-D574)))&lt;0.00068287037037037,"",IF(OR(D574="Congé",D574="OFF",C574="",D574="Congé spécial"),"",IF(D574&gt;F574,D574-C574,IF(C574-D574&lt;0,0,C574-D574))))</f>
        <v/>
      </c>
      <c r="J574" s="20"/>
      <c r="K574" s="8" t="n">
        <f aca="false">IF(SUM(H574:J574)&lt;0.00068287037037037,0,SUM(H574:J574))</f>
        <v>0</v>
      </c>
      <c r="L574" s="8" t="n">
        <f aca="false">IF(OR(F574="Congé",F574="OFF",M574="Abs",F574="Congé sans solde",F574="Férié",F574="Congé spécial",D574="Congé spécial"),0,IF(F574-E574&lt;0,0,IF(F574-E574&lt;=0.00068287037037037,0,F574-E574)))</f>
        <v>0</v>
      </c>
      <c r="M574" s="6" t="n">
        <f aca="false">IF(AND(O574&lt;&gt;0,C574=""),"Abs",0)</f>
        <v>0</v>
      </c>
      <c r="N574" s="8" t="n">
        <f aca="false">IFERROR(IF(OR(D574="OFF",D574="Congé",M574="Abs",D574="Congé sans solde",D574="Férié"),"",IF(O574-K574-L574&gt;O574,O574,IF(O574-K574-L574&lt;0,"",O574-K574-L574))),"")</f>
        <v>0.375</v>
      </c>
      <c r="O574" s="8" t="n">
        <f aca="false">IF(AG574="2H Pause déjeuner",IF(F574-D574-0.0833333333333333&lt;0,F574-D574-0.0833333333333333+1,F574-D574-0.0833333333333333),IF(OR(AND(F574="OFF",D574="OFF"),AND(F574="Congé",D574="Congé"),AND(F574="Congé sans solde",D574="Congé sans solde"),AND(F574="Congé spécial",D574="Congé spécial"),AND(F574="Férié",D574="Férié"),AND(F574="OFF",D574="Congé"),AND(F574="OFF",D574="Congé sans solde"),AND(F574="OFF",D574="Congé spécial"),AND(F574="OFF",D574="Férié"),AND(F574="Congé",D574="OFF"),AND(F574="Congé",D574="Congé sans solde"),AND(F574="Congé",D574="Congé spécial"),AND(F574="Congé",D574="Férié"),AND(F574="Congé sans solde",D574="OFF"),AND(F574="Congé sans solde",D574="Congé"),AND(F574="Congé sans solde",D574="Congé spécial"),AND(F574="Congé sans solde",D574="Férié"),AND(F574="Congé spécial",D574="OFF"),AND(F574="Congé spécial",D574="Congé"),AND(F574="Congé spécial",D574="Congé sans solde"),AND(F574="Congé spécial",D574="Férié"),AND(F574="Férié",D574="OFF"),AND(F574="Férié",D574="Congé"),AND(F574="Férié",D574="Congé sans solde"),AND(F574="Férié",D574="Congé spécial")),0,IF(OR(F574="OFF",F574="Congé",F574="Congé spécial",F574="Congé sans solde",D574="OFF",D574="Congé",D574="Congé spécial",D574="Congé sans solde"),0.208333333333334,IF(AND(AG574="",F574-D574&lt;0),("24:00:00"-D574)+("00:00:00"+F574)-0.0416666666666667,IF(AND(OR(AG574="Allaitement",AG574="Sans déjeuner"),F574-D574&lt;0),("24:00:00"-D574)+("00:00:00"+F574),IF(AND(AG574="",F574-D574&gt;0.166666666666667),F574-D574-0.0416666666666667,IF(AND(OR(AG574="Allaitement",AG574="Sans déjeuner"),F574-D574&gt;0.166666666666667),F574-D574,F574-D574)))))))</f>
        <v>0.375</v>
      </c>
      <c r="P574" s="6" t="str">
        <f aca="false">IFERROR(VLOOKUP($B574,Agents!$A:$D,2,0),"-")</f>
        <v>Accessibilité</v>
      </c>
      <c r="Q574" s="21" t="n">
        <v>46125</v>
      </c>
      <c r="R574" s="8" t="n">
        <f aca="false">IF(M574="Abs",O574,0)</f>
        <v>0</v>
      </c>
      <c r="S574" s="8" t="n">
        <f aca="false">SUM(R574,L574,I574,J574,W574,H574)</f>
        <v>0</v>
      </c>
      <c r="T574" s="6" t="str">
        <f aca="false">"Sem - "&amp;WEEKNUM(Q574,21)</f>
        <v>Sem - 16</v>
      </c>
      <c r="U574" s="6" t="str">
        <f aca="false">CHOOSE(MONTH(Q574),"Janvier","Février","Mars","Avril","Mai","Juin","Juillet","Août","Septembre","Octobre","Novembre","Décembre")</f>
        <v>Avril</v>
      </c>
      <c r="V574" s="22" t="n">
        <f aca="false">YEAR(Q574)</f>
        <v>2026</v>
      </c>
      <c r="W574" s="20"/>
      <c r="X574" s="8" t="n">
        <f aca="false">IFERROR(IF(M574="Abs",0,IF(ROUND((D574-C574+E574-F574)*1440,0)&lt;=1,0,D574-C574+E574-F574)),0)</f>
        <v>0.00208333333333333</v>
      </c>
      <c r="Y574" s="6" t="str">
        <f aca="false">IFERROR(VLOOKUP($B574,Agents!$A:$D,3,0),"-")</f>
        <v>OUBRAHIM Mohammed</v>
      </c>
      <c r="Z574" s="6" t="str">
        <f aca="false">IFERROR(VLOOKUP($B574,Agents!$A:$D,4,0),"-")</f>
        <v>Credit Mutuel</v>
      </c>
      <c r="AA574" s="18" t="s">
        <v>98</v>
      </c>
      <c r="AB574" s="8" t="str">
        <f aca="false">IF(AND(D574="Congé",F574="Congé"),0.333333333333333,IF(OR(AND(D574="Congé",F574&lt;&gt;"Congé"),(AND(F574="Congé",D574&lt;&gt;"Congé"))),0.166666666666667,""))</f>
        <v/>
      </c>
      <c r="AC574" s="8" t="str">
        <f aca="false">IF(AND(D574="Congé sans solde",F574="Congé sans solde"),0.333333333333333,IF(OR(AND(D574="Congé sans solde",F574&lt;&gt;"Congé sans solde"),(AND(F574="Congé sans solde",D574&lt;&gt;"Congé sans solde"))),0.166666666666667,""))</f>
        <v/>
      </c>
      <c r="AD574" s="8" t="str">
        <f aca="false">IF(AND(D574="Congé spécial",F574="Congé spécial"),0.333333333333333,IF(OR(AND(D574="Congé spécial",F574&lt;&gt;"Congé spécial"),AND(F574="Congé spécial",D574&lt;&gt;"Congé spécial")),0.166666666666667,""))</f>
        <v/>
      </c>
      <c r="AE574" s="8" t="str">
        <f aca="false">IF(AND(D574="Férié",F574="Férié"),0.333333333333333,IF(OR(AND(D574="Férié",F574&lt;&gt;"Férié"),(AND(F574="Férié",D574&lt;&gt;"Férié"))),0.166666666666667,""))</f>
        <v/>
      </c>
      <c r="AF574" s="18"/>
      <c r="AG574" s="18"/>
    </row>
    <row r="575" customFormat="false" ht="15" hidden="false" customHeight="false" outlineLevel="0" collapsed="false">
      <c r="A575" s="6" t="str">
        <f aca="false">YEAR(Q575-WEEKDAY(Q575,2)+4)&amp;"-S"&amp;TEXT(WEEKNUM(Q575,21),"00")</f>
        <v>2026-S16</v>
      </c>
      <c r="B575" s="18" t="s">
        <v>71</v>
      </c>
      <c r="C575" s="19" t="n">
        <v>0.331944444444444</v>
      </c>
      <c r="D575" s="19" t="n">
        <v>0.333333333333333</v>
      </c>
      <c r="E575" s="19" t="n">
        <v>0.75</v>
      </c>
      <c r="F575" s="19" t="n">
        <v>0.75</v>
      </c>
      <c r="G575" s="20"/>
      <c r="H575" s="20"/>
      <c r="I575" s="8" t="str">
        <f aca="false">IF(IF(OR(C575="",D575="Congé",D575="OFF",D575="Congé spécial"),"",IF(D575&gt;F575,D575-C575,IF(C575-D575&lt;0,0,C575-D575)))&lt;0.00068287037037037,"",IF(OR(D575="Congé",D575="OFF",C575="",D575="Congé spécial"),"",IF(D575&gt;F575,D575-C575,IF(C575-D575&lt;0,0,C575-D575))))</f>
        <v/>
      </c>
      <c r="J575" s="20"/>
      <c r="K575" s="8" t="n">
        <f aca="false">IF(SUM(H575:J575)&lt;0.00068287037037037,0,SUM(H575:J575))</f>
        <v>0</v>
      </c>
      <c r="L575" s="8" t="n">
        <f aca="false">IF(OR(F575="Congé",F575="OFF",M575="Abs",F575="Congé sans solde",F575="Férié",F575="Congé spécial",D575="Congé spécial"),0,IF(F575-E575&lt;0,0,IF(F575-E575&lt;=0.00068287037037037,0,F575-E575)))</f>
        <v>0</v>
      </c>
      <c r="M575" s="6" t="n">
        <f aca="false">IF(AND(O575&lt;&gt;0,C575=""),"Abs",0)</f>
        <v>0</v>
      </c>
      <c r="N575" s="8" t="n">
        <f aca="false">IFERROR(IF(OR(D575="OFF",D575="Congé",M575="Abs",D575="Congé sans solde",D575="Férié"),"",IF(O575-K575-L575&gt;O575,O575,IF(O575-K575-L575&lt;0,"",O575-K575-L575))),"")</f>
        <v>0.375</v>
      </c>
      <c r="O575" s="8" t="n">
        <f aca="false">IF(AG575="2H Pause déjeuner",IF(F575-D575-0.0833333333333333&lt;0,F575-D575-0.0833333333333333+1,F575-D575-0.0833333333333333),IF(OR(AND(F575="OFF",D575="OFF"),AND(F575="Congé",D575="Congé"),AND(F575="Congé sans solde",D575="Congé sans solde"),AND(F575="Congé spécial",D575="Congé spécial"),AND(F575="Férié",D575="Férié"),AND(F575="OFF",D575="Congé"),AND(F575="OFF",D575="Congé sans solde"),AND(F575="OFF",D575="Congé spécial"),AND(F575="OFF",D575="Férié"),AND(F575="Congé",D575="OFF"),AND(F575="Congé",D575="Congé sans solde"),AND(F575="Congé",D575="Congé spécial"),AND(F575="Congé",D575="Férié"),AND(F575="Congé sans solde",D575="OFF"),AND(F575="Congé sans solde",D575="Congé"),AND(F575="Congé sans solde",D575="Congé spécial"),AND(F575="Congé sans solde",D575="Férié"),AND(F575="Congé spécial",D575="OFF"),AND(F575="Congé spécial",D575="Congé"),AND(F575="Congé spécial",D575="Congé sans solde"),AND(F575="Congé spécial",D575="Férié"),AND(F575="Férié",D575="OFF"),AND(F575="Férié",D575="Congé"),AND(F575="Férié",D575="Congé sans solde"),AND(F575="Férié",D575="Congé spécial")),0,IF(OR(F575="OFF",F575="Congé",F575="Congé spécial",F575="Congé sans solde",D575="OFF",D575="Congé",D575="Congé spécial",D575="Congé sans solde"),0.208333333333334,IF(AND(AG575="",F575-D575&lt;0),("24:00:00"-D575)+("00:00:00"+F575)-0.0416666666666667,IF(AND(OR(AG575="Allaitement",AG575="Sans déjeuner"),F575-D575&lt;0),("24:00:00"-D575)+("00:00:00"+F575),IF(AND(AG575="",F575-D575&gt;0.166666666666667),F575-D575-0.0416666666666667,IF(AND(OR(AG575="Allaitement",AG575="Sans déjeuner"),F575-D575&gt;0.166666666666667),F575-D575,F575-D575)))))))</f>
        <v>0.375</v>
      </c>
      <c r="P575" s="6" t="str">
        <f aca="false">IFERROR(VLOOKUP($B575,Agents!$A:$D,2,0),"-")</f>
        <v>Accessibilité</v>
      </c>
      <c r="Q575" s="21" t="n">
        <v>46125</v>
      </c>
      <c r="R575" s="8" t="n">
        <f aca="false">IF(M575="Abs",O575,0)</f>
        <v>0</v>
      </c>
      <c r="S575" s="8" t="n">
        <f aca="false">SUM(R575,L575,I575,J575,W575,H575)</f>
        <v>0</v>
      </c>
      <c r="T575" s="6" t="str">
        <f aca="false">"Sem - "&amp;WEEKNUM(Q575,21)</f>
        <v>Sem - 16</v>
      </c>
      <c r="U575" s="6" t="str">
        <f aca="false">CHOOSE(MONTH(Q575),"Janvier","Février","Mars","Avril","Mai","Juin","Juillet","Août","Septembre","Octobre","Novembre","Décembre")</f>
        <v>Avril</v>
      </c>
      <c r="V575" s="22" t="n">
        <f aca="false">YEAR(Q575)</f>
        <v>2026</v>
      </c>
      <c r="W575" s="20"/>
      <c r="X575" s="8" t="n">
        <f aca="false">IFERROR(IF(M575="Abs",0,IF(ROUND((D575-C575+E575-F575)*1440,0)&lt;=1,0,D575-C575+E575-F575)),0)</f>
        <v>0.00138888888888889</v>
      </c>
      <c r="Y575" s="6" t="str">
        <f aca="false">IFERROR(VLOOKUP($B575,Agents!$A:$D,3,0),"-")</f>
        <v>OUBRAHIM Mohammed</v>
      </c>
      <c r="Z575" s="6" t="str">
        <f aca="false">IFERROR(VLOOKUP($B575,Agents!$A:$D,4,0),"-")</f>
        <v>Credit Mutuel</v>
      </c>
      <c r="AA575" s="18" t="s">
        <v>98</v>
      </c>
      <c r="AB575" s="8" t="str">
        <f aca="false">IF(AND(D575="Congé",F575="Congé"),0.333333333333333,IF(OR(AND(D575="Congé",F575&lt;&gt;"Congé"),(AND(F575="Congé",D575&lt;&gt;"Congé"))),0.166666666666667,""))</f>
        <v/>
      </c>
      <c r="AC575" s="8" t="str">
        <f aca="false">IF(AND(D575="Congé sans solde",F575="Congé sans solde"),0.333333333333333,IF(OR(AND(D575="Congé sans solde",F575&lt;&gt;"Congé sans solde"),(AND(F575="Congé sans solde",D575&lt;&gt;"Congé sans solde"))),0.166666666666667,""))</f>
        <v/>
      </c>
      <c r="AD575" s="8" t="str">
        <f aca="false">IF(AND(D575="Congé spécial",F575="Congé spécial"),0.333333333333333,IF(OR(AND(D575="Congé spécial",F575&lt;&gt;"Congé spécial"),AND(F575="Congé spécial",D575&lt;&gt;"Congé spécial")),0.166666666666667,""))</f>
        <v/>
      </c>
      <c r="AE575" s="8" t="str">
        <f aca="false">IF(AND(D575="Férié",F575="Férié"),0.333333333333333,IF(OR(AND(D575="Férié",F575&lt;&gt;"Férié"),(AND(F575="Férié",D575&lt;&gt;"Férié"))),0.166666666666667,""))</f>
        <v/>
      </c>
      <c r="AF575" s="18"/>
      <c r="AG575" s="18"/>
    </row>
    <row r="576" customFormat="false" ht="15" hidden="false" customHeight="false" outlineLevel="0" collapsed="false">
      <c r="A576" s="6" t="str">
        <f aca="false">YEAR(Q576-WEEKDAY(Q576,2)+4)&amp;"-S"&amp;TEXT(WEEKNUM(Q576,21),"00")</f>
        <v>2026-S16</v>
      </c>
      <c r="B576" s="18" t="s">
        <v>72</v>
      </c>
      <c r="C576" s="19" t="n">
        <v>0.33125</v>
      </c>
      <c r="D576" s="19" t="n">
        <v>0.333333333333333</v>
      </c>
      <c r="E576" s="19" t="n">
        <v>0.75</v>
      </c>
      <c r="F576" s="19" t="n">
        <v>0.75</v>
      </c>
      <c r="G576" s="20"/>
      <c r="H576" s="20"/>
      <c r="I576" s="8" t="str">
        <f aca="false">IF(IF(OR(C576="",D576="Congé",D576="OFF",D576="Congé spécial"),"",IF(D576&gt;F576,D576-C576,IF(C576-D576&lt;0,0,C576-D576)))&lt;0.00068287037037037,"",IF(OR(D576="Congé",D576="OFF",C576="",D576="Congé spécial"),"",IF(D576&gt;F576,D576-C576,IF(C576-D576&lt;0,0,C576-D576))))</f>
        <v/>
      </c>
      <c r="J576" s="20"/>
      <c r="K576" s="8" t="n">
        <f aca="false">IF(SUM(H576:J576)&lt;0.00068287037037037,0,SUM(H576:J576))</f>
        <v>0</v>
      </c>
      <c r="L576" s="8" t="n">
        <f aca="false">IF(OR(F576="Congé",F576="OFF",M576="Abs",F576="Congé sans solde",F576="Férié",F576="Congé spécial",D576="Congé spécial"),0,IF(F576-E576&lt;0,0,IF(F576-E576&lt;=0.00068287037037037,0,F576-E576)))</f>
        <v>0</v>
      </c>
      <c r="M576" s="6" t="n">
        <f aca="false">IF(AND(O576&lt;&gt;0,C576=""),"Abs",0)</f>
        <v>0</v>
      </c>
      <c r="N576" s="8" t="n">
        <f aca="false">IFERROR(IF(OR(D576="OFF",D576="Congé",M576="Abs",D576="Congé sans solde",D576="Férié"),"",IF(O576-K576-L576&gt;O576,O576,IF(O576-K576-L576&lt;0,"",O576-K576-L576))),"")</f>
        <v>0.375</v>
      </c>
      <c r="O576" s="8" t="n">
        <f aca="false">IF(AG576="2H Pause déjeuner",IF(F576-D576-0.0833333333333333&lt;0,F576-D576-0.0833333333333333+1,F576-D576-0.0833333333333333),IF(OR(AND(F576="OFF",D576="OFF"),AND(F576="Congé",D576="Congé"),AND(F576="Congé sans solde",D576="Congé sans solde"),AND(F576="Congé spécial",D576="Congé spécial"),AND(F576="Férié",D576="Férié"),AND(F576="OFF",D576="Congé"),AND(F576="OFF",D576="Congé sans solde"),AND(F576="OFF",D576="Congé spécial"),AND(F576="OFF",D576="Férié"),AND(F576="Congé",D576="OFF"),AND(F576="Congé",D576="Congé sans solde"),AND(F576="Congé",D576="Congé spécial"),AND(F576="Congé",D576="Férié"),AND(F576="Congé sans solde",D576="OFF"),AND(F576="Congé sans solde",D576="Congé"),AND(F576="Congé sans solde",D576="Congé spécial"),AND(F576="Congé sans solde",D576="Férié"),AND(F576="Congé spécial",D576="OFF"),AND(F576="Congé spécial",D576="Congé"),AND(F576="Congé spécial",D576="Congé sans solde"),AND(F576="Congé spécial",D576="Férié"),AND(F576="Férié",D576="OFF"),AND(F576="Férié",D576="Congé"),AND(F576="Férié",D576="Congé sans solde"),AND(F576="Férié",D576="Congé spécial")),0,IF(OR(F576="OFF",F576="Congé",F576="Congé spécial",F576="Congé sans solde",D576="OFF",D576="Congé",D576="Congé spécial",D576="Congé sans solde"),0.208333333333334,IF(AND(AG576="",F576-D576&lt;0),("24:00:00"-D576)+("00:00:00"+F576)-0.0416666666666667,IF(AND(OR(AG576="Allaitement",AG576="Sans déjeuner"),F576-D576&lt;0),("24:00:00"-D576)+("00:00:00"+F576),IF(AND(AG576="",F576-D576&gt;0.166666666666667),F576-D576-0.0416666666666667,IF(AND(OR(AG576="Allaitement",AG576="Sans déjeuner"),F576-D576&gt;0.166666666666667),F576-D576,F576-D576)))))))</f>
        <v>0.375</v>
      </c>
      <c r="P576" s="6" t="str">
        <f aca="false">IFERROR(VLOOKUP($B576,Agents!$A:$D,2,0),"-")</f>
        <v>Accessibilité</v>
      </c>
      <c r="Q576" s="21" t="n">
        <v>46125</v>
      </c>
      <c r="R576" s="8" t="n">
        <f aca="false">IF(M576="Abs",O576,0)</f>
        <v>0</v>
      </c>
      <c r="S576" s="8" t="n">
        <f aca="false">SUM(R576,L576,I576,J576,W576,H576)</f>
        <v>0</v>
      </c>
      <c r="T576" s="6" t="str">
        <f aca="false">"Sem - "&amp;WEEKNUM(Q576,21)</f>
        <v>Sem - 16</v>
      </c>
      <c r="U576" s="6" t="str">
        <f aca="false">CHOOSE(MONTH(Q576),"Janvier","Février","Mars","Avril","Mai","Juin","Juillet","Août","Septembre","Octobre","Novembre","Décembre")</f>
        <v>Avril</v>
      </c>
      <c r="V576" s="22" t="n">
        <f aca="false">YEAR(Q576)</f>
        <v>2026</v>
      </c>
      <c r="W576" s="20"/>
      <c r="X576" s="8" t="n">
        <f aca="false">IFERROR(IF(M576="Abs",0,IF(ROUND((D576-C576+E576-F576)*1440,0)&lt;=1,0,D576-C576+E576-F576)),0)</f>
        <v>0.00208333333333333</v>
      </c>
      <c r="Y576" s="6" t="str">
        <f aca="false">IFERROR(VLOOKUP($B576,Agents!$A:$D,3,0),"-")</f>
        <v>OUBRAHIM Mohammed</v>
      </c>
      <c r="Z576" s="6" t="str">
        <f aca="false">IFERROR(VLOOKUP($B576,Agents!$A:$D,4,0),"-")</f>
        <v>Credit Mutuel</v>
      </c>
      <c r="AA576" s="18" t="s">
        <v>98</v>
      </c>
      <c r="AB576" s="8" t="str">
        <f aca="false">IF(AND(D576="Congé",F576="Congé"),0.333333333333333,IF(OR(AND(D576="Congé",F576&lt;&gt;"Congé"),(AND(F576="Congé",D576&lt;&gt;"Congé"))),0.166666666666667,""))</f>
        <v/>
      </c>
      <c r="AC576" s="8" t="str">
        <f aca="false">IF(AND(D576="Congé sans solde",F576="Congé sans solde"),0.333333333333333,IF(OR(AND(D576="Congé sans solde",F576&lt;&gt;"Congé sans solde"),(AND(F576="Congé sans solde",D576&lt;&gt;"Congé sans solde"))),0.166666666666667,""))</f>
        <v/>
      </c>
      <c r="AD576" s="8" t="str">
        <f aca="false">IF(AND(D576="Congé spécial",F576="Congé spécial"),0.333333333333333,IF(OR(AND(D576="Congé spécial",F576&lt;&gt;"Congé spécial"),AND(F576="Congé spécial",D576&lt;&gt;"Congé spécial")),0.166666666666667,""))</f>
        <v/>
      </c>
      <c r="AE576" s="8" t="str">
        <f aca="false">IF(AND(D576="Férié",F576="Férié"),0.333333333333333,IF(OR(AND(D576="Férié",F576&lt;&gt;"Férié"),(AND(F576="Férié",D576&lt;&gt;"Férié"))),0.166666666666667,""))</f>
        <v/>
      </c>
      <c r="AF576" s="18"/>
      <c r="AG576" s="18"/>
    </row>
    <row r="577" customFormat="false" ht="15" hidden="false" customHeight="false" outlineLevel="0" collapsed="false">
      <c r="A577" s="6" t="str">
        <f aca="false">YEAR(Q577-WEEKDAY(Q577,2)+4)&amp;"-S"&amp;TEXT(WEEKNUM(Q577,21),"00")</f>
        <v>2026-S16</v>
      </c>
      <c r="B577" s="18" t="s">
        <v>73</v>
      </c>
      <c r="C577" s="19" t="n">
        <v>0.333333333333333</v>
      </c>
      <c r="D577" s="19" t="n">
        <v>0.333333333333333</v>
      </c>
      <c r="E577" s="19" t="n">
        <v>0.75</v>
      </c>
      <c r="F577" s="19" t="n">
        <v>0.75</v>
      </c>
      <c r="G577" s="20"/>
      <c r="H577" s="20"/>
      <c r="I577" s="8" t="str">
        <f aca="false">IF(IF(OR(C577="",D577="Congé",D577="OFF",D577="Congé spécial"),"",IF(D577&gt;F577,D577-C577,IF(C577-D577&lt;0,0,C577-D577)))&lt;0.00068287037037037,"",IF(OR(D577="Congé",D577="OFF",C577="",D577="Congé spécial"),"",IF(D577&gt;F577,D577-C577,IF(C577-D577&lt;0,0,C577-D577))))</f>
        <v/>
      </c>
      <c r="J577" s="20"/>
      <c r="K577" s="8" t="n">
        <f aca="false">IF(SUM(H577:J577)&lt;0.00068287037037037,0,SUM(H577:J577))</f>
        <v>0</v>
      </c>
      <c r="L577" s="8" t="n">
        <f aca="false">IF(OR(F577="Congé",F577="OFF",M577="Abs",F577="Congé sans solde",F577="Férié",F577="Congé spécial",D577="Congé spécial"),0,IF(F577-E577&lt;0,0,IF(F577-E577&lt;=0.00068287037037037,0,F577-E577)))</f>
        <v>0</v>
      </c>
      <c r="M577" s="6" t="n">
        <f aca="false">IF(AND(O577&lt;&gt;0,C577=""),"Abs",0)</f>
        <v>0</v>
      </c>
      <c r="N577" s="8" t="n">
        <f aca="false">IFERROR(IF(OR(D577="OFF",D577="Congé",M577="Abs",D577="Congé sans solde",D577="Férié"),"",IF(O577-K577-L577&gt;O577,O577,IF(O577-K577-L577&lt;0,"",O577-K577-L577))),"")</f>
        <v>0.375</v>
      </c>
      <c r="O577" s="8" t="n">
        <f aca="false">IF(AG577="2H Pause déjeuner",IF(F577-D577-0.0833333333333333&lt;0,F577-D577-0.0833333333333333+1,F577-D577-0.0833333333333333),IF(OR(AND(F577="OFF",D577="OFF"),AND(F577="Congé",D577="Congé"),AND(F577="Congé sans solde",D577="Congé sans solde"),AND(F577="Congé spécial",D577="Congé spécial"),AND(F577="Férié",D577="Férié"),AND(F577="OFF",D577="Congé"),AND(F577="OFF",D577="Congé sans solde"),AND(F577="OFF",D577="Congé spécial"),AND(F577="OFF",D577="Férié"),AND(F577="Congé",D577="OFF"),AND(F577="Congé",D577="Congé sans solde"),AND(F577="Congé",D577="Congé spécial"),AND(F577="Congé",D577="Férié"),AND(F577="Congé sans solde",D577="OFF"),AND(F577="Congé sans solde",D577="Congé"),AND(F577="Congé sans solde",D577="Congé spécial"),AND(F577="Congé sans solde",D577="Férié"),AND(F577="Congé spécial",D577="OFF"),AND(F577="Congé spécial",D577="Congé"),AND(F577="Congé spécial",D577="Congé sans solde"),AND(F577="Congé spécial",D577="Férié"),AND(F577="Férié",D577="OFF"),AND(F577="Férié",D577="Congé"),AND(F577="Férié",D577="Congé sans solde"),AND(F577="Férié",D577="Congé spécial")),0,IF(OR(F577="OFF",F577="Congé",F577="Congé spécial",F577="Congé sans solde",D577="OFF",D577="Congé",D577="Congé spécial",D577="Congé sans solde"),0.208333333333334,IF(AND(AG577="",F577-D577&lt;0),("24:00:00"-D577)+("00:00:00"+F577)-0.0416666666666667,IF(AND(OR(AG577="Allaitement",AG577="Sans déjeuner"),F577-D577&lt;0),("24:00:00"-D577)+("00:00:00"+F577),IF(AND(AG577="",F577-D577&gt;0.166666666666667),F577-D577-0.0416666666666667,IF(AND(OR(AG577="Allaitement",AG577="Sans déjeuner"),F577-D577&gt;0.166666666666667),F577-D577,F577-D577)))))))</f>
        <v>0.375</v>
      </c>
      <c r="P577" s="6" t="str">
        <f aca="false">IFERROR(VLOOKUP($B577,Agents!$A:$D,2,0),"-")</f>
        <v>Accessibilité</v>
      </c>
      <c r="Q577" s="21" t="n">
        <v>46125</v>
      </c>
      <c r="R577" s="8" t="n">
        <f aca="false">IF(M577="Abs",O577,0)</f>
        <v>0</v>
      </c>
      <c r="S577" s="8" t="n">
        <f aca="false">SUM(R577,L577,I577,J577,W577,H577)</f>
        <v>0</v>
      </c>
      <c r="T577" s="6" t="str">
        <f aca="false">"Sem - "&amp;WEEKNUM(Q577,21)</f>
        <v>Sem - 16</v>
      </c>
      <c r="U577" s="6" t="str">
        <f aca="false">CHOOSE(MONTH(Q577),"Janvier","Février","Mars","Avril","Mai","Juin","Juillet","Août","Septembre","Octobre","Novembre","Décembre")</f>
        <v>Avril</v>
      </c>
      <c r="V577" s="22" t="n">
        <f aca="false">YEAR(Q577)</f>
        <v>2026</v>
      </c>
      <c r="W577" s="20"/>
      <c r="X577" s="8" t="n">
        <f aca="false">IFERROR(IF(M577="Abs",0,IF(ROUND((D577-C577+E577-F577)*1440,0)&lt;=1,0,D577-C577+E577-F577)),0)</f>
        <v>0</v>
      </c>
      <c r="Y577" s="6" t="str">
        <f aca="false">IFERROR(VLOOKUP($B577,Agents!$A:$D,3,0),"-")</f>
        <v>OUBRAHIM Mohammed</v>
      </c>
      <c r="Z577" s="6" t="str">
        <f aca="false">IFERROR(VLOOKUP($B577,Agents!$A:$D,4,0),"-")</f>
        <v>Credit Mutuel</v>
      </c>
      <c r="AA577" s="18" t="s">
        <v>98</v>
      </c>
      <c r="AB577" s="8" t="str">
        <f aca="false">IF(AND(D577="Congé",F577="Congé"),0.333333333333333,IF(OR(AND(D577="Congé",F577&lt;&gt;"Congé"),(AND(F577="Congé",D577&lt;&gt;"Congé"))),0.166666666666667,""))</f>
        <v/>
      </c>
      <c r="AC577" s="8" t="str">
        <f aca="false">IF(AND(D577="Congé sans solde",F577="Congé sans solde"),0.333333333333333,IF(OR(AND(D577="Congé sans solde",F577&lt;&gt;"Congé sans solde"),(AND(F577="Congé sans solde",D577&lt;&gt;"Congé sans solde"))),0.166666666666667,""))</f>
        <v/>
      </c>
      <c r="AD577" s="8" t="str">
        <f aca="false">IF(AND(D577="Congé spécial",F577="Congé spécial"),0.333333333333333,IF(OR(AND(D577="Congé spécial",F577&lt;&gt;"Congé spécial"),AND(F577="Congé spécial",D577&lt;&gt;"Congé spécial")),0.166666666666667,""))</f>
        <v/>
      </c>
      <c r="AE577" s="8" t="str">
        <f aca="false">IF(AND(D577="Férié",F577="Férié"),0.333333333333333,IF(OR(AND(D577="Férié",F577&lt;&gt;"Férié"),(AND(F577="Férié",D577&lt;&gt;"Férié"))),0.166666666666667,""))</f>
        <v/>
      </c>
      <c r="AF577" s="18"/>
      <c r="AG577" s="18"/>
    </row>
    <row r="578" customFormat="false" ht="15" hidden="false" customHeight="false" outlineLevel="0" collapsed="false">
      <c r="A578" s="6" t="str">
        <f aca="false">YEAR(Q578-WEEKDAY(Q578,2)+4)&amp;"-S"&amp;TEXT(WEEKNUM(Q578,21),"00")</f>
        <v>2026-S16</v>
      </c>
      <c r="B578" s="18" t="s">
        <v>69</v>
      </c>
      <c r="C578" s="19"/>
      <c r="D578" s="19" t="s">
        <v>83</v>
      </c>
      <c r="E578" s="19"/>
      <c r="F578" s="19" t="s">
        <v>83</v>
      </c>
      <c r="G578" s="20"/>
      <c r="H578" s="20"/>
      <c r="I578" s="8" t="str">
        <f aca="false">IF(IF(OR(C578="",D578="Congé",D578="OFF",D578="Congé spécial"),"",IF(D578&gt;F578,D578-C578,IF(C578-D578&lt;0,0,C578-D578)))&lt;0.00068287037037037,"",IF(OR(D578="Congé",D578="OFF",C578="",D578="Congé spécial"),"",IF(D578&gt;F578,D578-C578,IF(C578-D578&lt;0,0,C578-D578))))</f>
        <v/>
      </c>
      <c r="J578" s="20"/>
      <c r="K578" s="8" t="n">
        <f aca="false">IF(SUM(H578:J578)&lt;0.00068287037037037,0,SUM(H578:J578))</f>
        <v>0</v>
      </c>
      <c r="L578" s="8" t="n">
        <f aca="false">IF(OR(F578="Congé",F578="OFF",M578="Abs",F578="Congé sans solde",F578="Férié",F578="Congé spécial",D578="Congé spécial"),0,IF(F578-E578&lt;0,0,IF(F578-E578&lt;=0.00068287037037037,0,F578-E578)))</f>
        <v>0</v>
      </c>
      <c r="M578" s="6" t="n">
        <f aca="false">IF(AND(O578&lt;&gt;0,C578=""),"Abs",0)</f>
        <v>0</v>
      </c>
      <c r="N578" s="8" t="str">
        <f aca="false">IFERROR(IF(OR(D578="OFF",D578="Congé",M578="Abs",D578="Congé sans solde",D578="Férié"),"",IF(O578-K578-L578&gt;O578,O578,IF(O578-K578-L578&lt;0,"",O578-K578-L578))),"")</f>
        <v/>
      </c>
      <c r="O578" s="8" t="n">
        <f aca="false">IF(AG578="2H Pause déjeuner",IF(F578-D578-0.0833333333333333&lt;0,F578-D578-0.0833333333333333+1,F578-D578-0.0833333333333333),IF(OR(AND(F578="OFF",D578="OFF"),AND(F578="Congé",D578="Congé"),AND(F578="Congé sans solde",D578="Congé sans solde"),AND(F578="Congé spécial",D578="Congé spécial"),AND(F578="Férié",D578="Férié"),AND(F578="OFF",D578="Congé"),AND(F578="OFF",D578="Congé sans solde"),AND(F578="OFF",D578="Congé spécial"),AND(F578="OFF",D578="Férié"),AND(F578="Congé",D578="OFF"),AND(F578="Congé",D578="Congé sans solde"),AND(F578="Congé",D578="Congé spécial"),AND(F578="Congé",D578="Férié"),AND(F578="Congé sans solde",D578="OFF"),AND(F578="Congé sans solde",D578="Congé"),AND(F578="Congé sans solde",D578="Congé spécial"),AND(F578="Congé sans solde",D578="Férié"),AND(F578="Congé spécial",D578="OFF"),AND(F578="Congé spécial",D578="Congé"),AND(F578="Congé spécial",D578="Congé sans solde"),AND(F578="Congé spécial",D578="Férié"),AND(F578="Férié",D578="OFF"),AND(F578="Férié",D578="Congé"),AND(F578="Férié",D578="Congé sans solde"),AND(F578="Férié",D578="Congé spécial")),0,IF(OR(F578="OFF",F578="Congé",F578="Congé spécial",F578="Congé sans solde",D578="OFF",D578="Congé",D578="Congé spécial",D578="Congé sans solde"),0.208333333333334,IF(AND(AG578="",F578-D578&lt;0),("24:00:00"-D578)+("00:00:00"+F578)-0.0416666666666667,IF(AND(OR(AG578="Allaitement",AG578="Sans déjeuner"),F578-D578&lt;0),("24:00:00"-D578)+("00:00:00"+F578),IF(AND(AG578="",F578-D578&gt;0.166666666666667),F578-D578-0.0416666666666667,IF(AND(OR(AG578="Allaitement",AG578="Sans déjeuner"),F578-D578&gt;0.166666666666667),F578-D578,F578-D578)))))))</f>
        <v>0</v>
      </c>
      <c r="P578" s="6" t="str">
        <f aca="false">IFERROR(VLOOKUP($B578,Agents!$A:$D,2,0),"-")</f>
        <v>Accessibilité</v>
      </c>
      <c r="Q578" s="21" t="n">
        <v>46126</v>
      </c>
      <c r="R578" s="8" t="n">
        <f aca="false">IF(M578="Abs",O578,0)</f>
        <v>0</v>
      </c>
      <c r="S578" s="8" t="n">
        <f aca="false">SUM(R578,L578,I578,J578,W578,H578)</f>
        <v>0</v>
      </c>
      <c r="T578" s="6" t="str">
        <f aca="false">"Sem - "&amp;WEEKNUM(Q578,21)</f>
        <v>Sem - 16</v>
      </c>
      <c r="U578" s="6" t="str">
        <f aca="false">CHOOSE(MONTH(Q578),"Janvier","Février","Mars","Avril","Mai","Juin","Juillet","Août","Septembre","Octobre","Novembre","Décembre")</f>
        <v>Avril</v>
      </c>
      <c r="V578" s="22" t="n">
        <f aca="false">YEAR(Q578)</f>
        <v>2026</v>
      </c>
      <c r="W578" s="20"/>
      <c r="X578" s="8" t="n">
        <f aca="false">IFERROR(IF(M578="Abs",0,IF(ROUND((D578-C578+E578-F578)*1440,0)&lt;=1,0,D578-C578+E578-F578)),0)</f>
        <v>0</v>
      </c>
      <c r="Y578" s="6" t="str">
        <f aca="false">IFERROR(VLOOKUP($B578,Agents!$A:$D,3,0),"-")</f>
        <v>OUBRAHIM Mohammed</v>
      </c>
      <c r="Z578" s="6" t="str">
        <f aca="false">IFERROR(VLOOKUP($B578,Agents!$A:$D,4,0),"-")</f>
        <v>Credit Mutuel</v>
      </c>
      <c r="AA578" s="18" t="s">
        <v>98</v>
      </c>
      <c r="AB578" s="8" t="n">
        <f aca="false">IF(AND(D578="Congé",F578="Congé"),0.333333333333333,IF(OR(AND(D578="Congé",F578&lt;&gt;"Congé"),(AND(F578="Congé",D578&lt;&gt;"Congé"))),0.166666666666667,""))</f>
        <v>0.333333333333333</v>
      </c>
      <c r="AC578" s="8" t="str">
        <f aca="false">IF(AND(D578="Congé sans solde",F578="Congé sans solde"),0.333333333333333,IF(OR(AND(D578="Congé sans solde",F578&lt;&gt;"Congé sans solde"),(AND(F578="Congé sans solde",D578&lt;&gt;"Congé sans solde"))),0.166666666666667,""))</f>
        <v/>
      </c>
      <c r="AD578" s="8" t="str">
        <f aca="false">IF(AND(D578="Congé spécial",F578="Congé spécial"),0.333333333333333,IF(OR(AND(D578="Congé spécial",F578&lt;&gt;"Congé spécial"),AND(F578="Congé spécial",D578&lt;&gt;"Congé spécial")),0.166666666666667,""))</f>
        <v/>
      </c>
      <c r="AE578" s="8" t="str">
        <f aca="false">IF(AND(D578="Férié",F578="Férié"),0.333333333333333,IF(OR(AND(D578="Férié",F578&lt;&gt;"Férié"),(AND(F578="Férié",D578&lt;&gt;"Férié"))),0.166666666666667,""))</f>
        <v/>
      </c>
      <c r="AF578" s="18"/>
      <c r="AG578" s="18"/>
    </row>
    <row r="579" customFormat="false" ht="15" hidden="false" customHeight="false" outlineLevel="0" collapsed="false">
      <c r="A579" s="6" t="str">
        <f aca="false">YEAR(Q579-WEEKDAY(Q579,2)+4)&amp;"-S"&amp;TEXT(WEEKNUM(Q579,21),"00")</f>
        <v>2026-S16</v>
      </c>
      <c r="B579" s="18" t="s">
        <v>71</v>
      </c>
      <c r="C579" s="19" t="n">
        <v>0.33125</v>
      </c>
      <c r="D579" s="19" t="n">
        <v>0.333333333333333</v>
      </c>
      <c r="E579" s="19" t="n">
        <v>0.75</v>
      </c>
      <c r="F579" s="19" t="n">
        <v>0.75</v>
      </c>
      <c r="G579" s="20"/>
      <c r="H579" s="20"/>
      <c r="I579" s="8" t="str">
        <f aca="false">IF(IF(OR(C579="",D579="Congé",D579="OFF",D579="Congé spécial"),"",IF(D579&gt;F579,D579-C579,IF(C579-D579&lt;0,0,C579-D579)))&lt;0.00068287037037037,"",IF(OR(D579="Congé",D579="OFF",C579="",D579="Congé spécial"),"",IF(D579&gt;F579,D579-C579,IF(C579-D579&lt;0,0,C579-D579))))</f>
        <v/>
      </c>
      <c r="J579" s="20"/>
      <c r="K579" s="8" t="n">
        <f aca="false">IF(SUM(H579:J579)&lt;0.00068287037037037,0,SUM(H579:J579))</f>
        <v>0</v>
      </c>
      <c r="L579" s="8" t="n">
        <f aca="false">IF(OR(F579="Congé",F579="OFF",M579="Abs",F579="Congé sans solde",F579="Férié",F579="Congé spécial",D579="Congé spécial"),0,IF(F579-E579&lt;0,0,IF(F579-E579&lt;=0.00068287037037037,0,F579-E579)))</f>
        <v>0</v>
      </c>
      <c r="M579" s="6" t="n">
        <f aca="false">IF(AND(O579&lt;&gt;0,C579=""),"Abs",0)</f>
        <v>0</v>
      </c>
      <c r="N579" s="8" t="n">
        <f aca="false">IFERROR(IF(OR(D579="OFF",D579="Congé",M579="Abs",D579="Congé sans solde",D579="Férié"),"",IF(O579-K579-L579&gt;O579,O579,IF(O579-K579-L579&lt;0,"",O579-K579-L579))),"")</f>
        <v>0.375</v>
      </c>
      <c r="O579" s="8" t="n">
        <f aca="false">IF(AG579="2H Pause déjeuner",IF(F579-D579-0.0833333333333333&lt;0,F579-D579-0.0833333333333333+1,F579-D579-0.0833333333333333),IF(OR(AND(F579="OFF",D579="OFF"),AND(F579="Congé",D579="Congé"),AND(F579="Congé sans solde",D579="Congé sans solde"),AND(F579="Congé spécial",D579="Congé spécial"),AND(F579="Férié",D579="Férié"),AND(F579="OFF",D579="Congé"),AND(F579="OFF",D579="Congé sans solde"),AND(F579="OFF",D579="Congé spécial"),AND(F579="OFF",D579="Férié"),AND(F579="Congé",D579="OFF"),AND(F579="Congé",D579="Congé sans solde"),AND(F579="Congé",D579="Congé spécial"),AND(F579="Congé",D579="Férié"),AND(F579="Congé sans solde",D579="OFF"),AND(F579="Congé sans solde",D579="Congé"),AND(F579="Congé sans solde",D579="Congé spécial"),AND(F579="Congé sans solde",D579="Férié"),AND(F579="Congé spécial",D579="OFF"),AND(F579="Congé spécial",D579="Congé"),AND(F579="Congé spécial",D579="Congé sans solde"),AND(F579="Congé spécial",D579="Férié"),AND(F579="Férié",D579="OFF"),AND(F579="Férié",D579="Congé"),AND(F579="Férié",D579="Congé sans solde"),AND(F579="Férié",D579="Congé spécial")),0,IF(OR(F579="OFF",F579="Congé",F579="Congé spécial",F579="Congé sans solde",D579="OFF",D579="Congé",D579="Congé spécial",D579="Congé sans solde"),0.208333333333334,IF(AND(AG579="",F579-D579&lt;0),("24:00:00"-D579)+("00:00:00"+F579)-0.0416666666666667,IF(AND(OR(AG579="Allaitement",AG579="Sans déjeuner"),F579-D579&lt;0),("24:00:00"-D579)+("00:00:00"+F579),IF(AND(AG579="",F579-D579&gt;0.166666666666667),F579-D579-0.0416666666666667,IF(AND(OR(AG579="Allaitement",AG579="Sans déjeuner"),F579-D579&gt;0.166666666666667),F579-D579,F579-D579)))))))</f>
        <v>0.375</v>
      </c>
      <c r="P579" s="6" t="str">
        <f aca="false">IFERROR(VLOOKUP($B579,Agents!$A:$D,2,0),"-")</f>
        <v>Accessibilité</v>
      </c>
      <c r="Q579" s="21" t="n">
        <v>46126</v>
      </c>
      <c r="R579" s="8" t="n">
        <f aca="false">IF(M579="Abs",O579,0)</f>
        <v>0</v>
      </c>
      <c r="S579" s="8" t="n">
        <f aca="false">SUM(R579,L579,I579,J579,W579,H579)</f>
        <v>0</v>
      </c>
      <c r="T579" s="6" t="str">
        <f aca="false">"Sem - "&amp;WEEKNUM(Q579,21)</f>
        <v>Sem - 16</v>
      </c>
      <c r="U579" s="6" t="str">
        <f aca="false">CHOOSE(MONTH(Q579),"Janvier","Février","Mars","Avril","Mai","Juin","Juillet","Août","Septembre","Octobre","Novembre","Décembre")</f>
        <v>Avril</v>
      </c>
      <c r="V579" s="22" t="n">
        <f aca="false">YEAR(Q579)</f>
        <v>2026</v>
      </c>
      <c r="W579" s="20"/>
      <c r="X579" s="8" t="n">
        <f aca="false">IFERROR(IF(M579="Abs",0,IF(ROUND((D579-C579+E579-F579)*1440,0)&lt;=1,0,D579-C579+E579-F579)),0)</f>
        <v>0.00208333333333333</v>
      </c>
      <c r="Y579" s="6" t="str">
        <f aca="false">IFERROR(VLOOKUP($B579,Agents!$A:$D,3,0),"-")</f>
        <v>OUBRAHIM Mohammed</v>
      </c>
      <c r="Z579" s="6" t="str">
        <f aca="false">IFERROR(VLOOKUP($B579,Agents!$A:$D,4,0),"-")</f>
        <v>Credit Mutuel</v>
      </c>
      <c r="AA579" s="18" t="s">
        <v>98</v>
      </c>
      <c r="AB579" s="8" t="str">
        <f aca="false">IF(AND(D579="Congé",F579="Congé"),0.333333333333333,IF(OR(AND(D579="Congé",F579&lt;&gt;"Congé"),(AND(F579="Congé",D579&lt;&gt;"Congé"))),0.166666666666667,""))</f>
        <v/>
      </c>
      <c r="AC579" s="8" t="str">
        <f aca="false">IF(AND(D579="Congé sans solde",F579="Congé sans solde"),0.333333333333333,IF(OR(AND(D579="Congé sans solde",F579&lt;&gt;"Congé sans solde"),(AND(F579="Congé sans solde",D579&lt;&gt;"Congé sans solde"))),0.166666666666667,""))</f>
        <v/>
      </c>
      <c r="AD579" s="8" t="str">
        <f aca="false">IF(AND(D579="Congé spécial",F579="Congé spécial"),0.333333333333333,IF(OR(AND(D579="Congé spécial",F579&lt;&gt;"Congé spécial"),AND(F579="Congé spécial",D579&lt;&gt;"Congé spécial")),0.166666666666667,""))</f>
        <v/>
      </c>
      <c r="AE579" s="8" t="str">
        <f aca="false">IF(AND(D579="Férié",F579="Férié"),0.333333333333333,IF(OR(AND(D579="Férié",F579&lt;&gt;"Férié"),(AND(F579="Férié",D579&lt;&gt;"Férié"))),0.166666666666667,""))</f>
        <v/>
      </c>
      <c r="AF579" s="18"/>
      <c r="AG579" s="18"/>
    </row>
    <row r="580" customFormat="false" ht="15" hidden="false" customHeight="false" outlineLevel="0" collapsed="false">
      <c r="A580" s="6" t="str">
        <f aca="false">YEAR(Q580-WEEKDAY(Q580,2)+4)&amp;"-S"&amp;TEXT(WEEKNUM(Q580,21),"00")</f>
        <v>2026-S16</v>
      </c>
      <c r="B580" s="18" t="s">
        <v>72</v>
      </c>
      <c r="C580" s="19" t="n">
        <v>0.33125</v>
      </c>
      <c r="D580" s="19" t="n">
        <v>0.333333333333333</v>
      </c>
      <c r="E580" s="19" t="n">
        <v>0.75</v>
      </c>
      <c r="F580" s="19" t="n">
        <v>0.75</v>
      </c>
      <c r="G580" s="20"/>
      <c r="H580" s="20"/>
      <c r="I580" s="8" t="str">
        <f aca="false">IF(IF(OR(C580="",D580="Congé",D580="OFF",D580="Congé spécial"),"",IF(D580&gt;F580,D580-C580,IF(C580-D580&lt;0,0,C580-D580)))&lt;0.00068287037037037,"",IF(OR(D580="Congé",D580="OFF",C580="",D580="Congé spécial"),"",IF(D580&gt;F580,D580-C580,IF(C580-D580&lt;0,0,C580-D580))))</f>
        <v/>
      </c>
      <c r="J580" s="20"/>
      <c r="K580" s="8" t="n">
        <f aca="false">IF(SUM(H580:J580)&lt;0.00068287037037037,0,SUM(H580:J580))</f>
        <v>0</v>
      </c>
      <c r="L580" s="8" t="n">
        <f aca="false">IF(OR(F580="Congé",F580="OFF",M580="Abs",F580="Congé sans solde",F580="Férié",F580="Congé spécial",D580="Congé spécial"),0,IF(F580-E580&lt;0,0,IF(F580-E580&lt;=0.00068287037037037,0,F580-E580)))</f>
        <v>0</v>
      </c>
      <c r="M580" s="6" t="n">
        <f aca="false">IF(AND(O580&lt;&gt;0,C580=""),"Abs",0)</f>
        <v>0</v>
      </c>
      <c r="N580" s="8" t="n">
        <f aca="false">IFERROR(IF(OR(D580="OFF",D580="Congé",M580="Abs",D580="Congé sans solde",D580="Férié"),"",IF(O580-K580-L580&gt;O580,O580,IF(O580-K580-L580&lt;0,"",O580-K580-L580))),"")</f>
        <v>0.375</v>
      </c>
      <c r="O580" s="8" t="n">
        <f aca="false">IF(AG580="2H Pause déjeuner",IF(F580-D580-0.0833333333333333&lt;0,F580-D580-0.0833333333333333+1,F580-D580-0.0833333333333333),IF(OR(AND(F580="OFF",D580="OFF"),AND(F580="Congé",D580="Congé"),AND(F580="Congé sans solde",D580="Congé sans solde"),AND(F580="Congé spécial",D580="Congé spécial"),AND(F580="Férié",D580="Férié"),AND(F580="OFF",D580="Congé"),AND(F580="OFF",D580="Congé sans solde"),AND(F580="OFF",D580="Congé spécial"),AND(F580="OFF",D580="Férié"),AND(F580="Congé",D580="OFF"),AND(F580="Congé",D580="Congé sans solde"),AND(F580="Congé",D580="Congé spécial"),AND(F580="Congé",D580="Férié"),AND(F580="Congé sans solde",D580="OFF"),AND(F580="Congé sans solde",D580="Congé"),AND(F580="Congé sans solde",D580="Congé spécial"),AND(F580="Congé sans solde",D580="Férié"),AND(F580="Congé spécial",D580="OFF"),AND(F580="Congé spécial",D580="Congé"),AND(F580="Congé spécial",D580="Congé sans solde"),AND(F580="Congé spécial",D580="Férié"),AND(F580="Férié",D580="OFF"),AND(F580="Férié",D580="Congé"),AND(F580="Férié",D580="Congé sans solde"),AND(F580="Férié",D580="Congé spécial")),0,IF(OR(F580="OFF",F580="Congé",F580="Congé spécial",F580="Congé sans solde",D580="OFF",D580="Congé",D580="Congé spécial",D580="Congé sans solde"),0.208333333333334,IF(AND(AG580="",F580-D580&lt;0),("24:00:00"-D580)+("00:00:00"+F580)-0.0416666666666667,IF(AND(OR(AG580="Allaitement",AG580="Sans déjeuner"),F580-D580&lt;0),("24:00:00"-D580)+("00:00:00"+F580),IF(AND(AG580="",F580-D580&gt;0.166666666666667),F580-D580-0.0416666666666667,IF(AND(OR(AG580="Allaitement",AG580="Sans déjeuner"),F580-D580&gt;0.166666666666667),F580-D580,F580-D580)))))))</f>
        <v>0.375</v>
      </c>
      <c r="P580" s="6" t="str">
        <f aca="false">IFERROR(VLOOKUP($B580,Agents!$A:$D,2,0),"-")</f>
        <v>Accessibilité</v>
      </c>
      <c r="Q580" s="21" t="n">
        <v>46126</v>
      </c>
      <c r="R580" s="8" t="n">
        <f aca="false">IF(M580="Abs",O580,0)</f>
        <v>0</v>
      </c>
      <c r="S580" s="8" t="n">
        <f aca="false">SUM(R580,L580,I580,J580,W580,H580)</f>
        <v>0</v>
      </c>
      <c r="T580" s="6" t="str">
        <f aca="false">"Sem - "&amp;WEEKNUM(Q580,21)</f>
        <v>Sem - 16</v>
      </c>
      <c r="U580" s="6" t="str">
        <f aca="false">CHOOSE(MONTH(Q580),"Janvier","Février","Mars","Avril","Mai","Juin","Juillet","Août","Septembre","Octobre","Novembre","Décembre")</f>
        <v>Avril</v>
      </c>
      <c r="V580" s="22" t="n">
        <f aca="false">YEAR(Q580)</f>
        <v>2026</v>
      </c>
      <c r="W580" s="20"/>
      <c r="X580" s="8" t="n">
        <f aca="false">IFERROR(IF(M580="Abs",0,IF(ROUND((D580-C580+E580-F580)*1440,0)&lt;=1,0,D580-C580+E580-F580)),0)</f>
        <v>0.00208333333333333</v>
      </c>
      <c r="Y580" s="6" t="str">
        <f aca="false">IFERROR(VLOOKUP($B580,Agents!$A:$D,3,0),"-")</f>
        <v>OUBRAHIM Mohammed</v>
      </c>
      <c r="Z580" s="6" t="str">
        <f aca="false">IFERROR(VLOOKUP($B580,Agents!$A:$D,4,0),"-")</f>
        <v>Credit Mutuel</v>
      </c>
      <c r="AA580" s="18" t="s">
        <v>98</v>
      </c>
      <c r="AB580" s="8" t="str">
        <f aca="false">IF(AND(D580="Congé",F580="Congé"),0.333333333333333,IF(OR(AND(D580="Congé",F580&lt;&gt;"Congé"),(AND(F580="Congé",D580&lt;&gt;"Congé"))),0.166666666666667,""))</f>
        <v/>
      </c>
      <c r="AC580" s="8" t="str">
        <f aca="false">IF(AND(D580="Congé sans solde",F580="Congé sans solde"),0.333333333333333,IF(OR(AND(D580="Congé sans solde",F580&lt;&gt;"Congé sans solde"),(AND(F580="Congé sans solde",D580&lt;&gt;"Congé sans solde"))),0.166666666666667,""))</f>
        <v/>
      </c>
      <c r="AD580" s="8" t="str">
        <f aca="false">IF(AND(D580="Congé spécial",F580="Congé spécial"),0.333333333333333,IF(OR(AND(D580="Congé spécial",F580&lt;&gt;"Congé spécial"),AND(F580="Congé spécial",D580&lt;&gt;"Congé spécial")),0.166666666666667,""))</f>
        <v/>
      </c>
      <c r="AE580" s="8" t="str">
        <f aca="false">IF(AND(D580="Férié",F580="Férié"),0.333333333333333,IF(OR(AND(D580="Férié",F580&lt;&gt;"Férié"),(AND(F580="Férié",D580&lt;&gt;"Férié"))),0.166666666666667,""))</f>
        <v/>
      </c>
      <c r="AF580" s="18"/>
      <c r="AG580" s="18"/>
    </row>
    <row r="581" customFormat="false" ht="15" hidden="false" customHeight="false" outlineLevel="0" collapsed="false">
      <c r="A581" s="6" t="str">
        <f aca="false">YEAR(Q581-WEEKDAY(Q581,2)+4)&amp;"-S"&amp;TEXT(WEEKNUM(Q581,21),"00")</f>
        <v>2026-S16</v>
      </c>
      <c r="B581" s="18" t="s">
        <v>73</v>
      </c>
      <c r="C581" s="19" t="n">
        <v>0.333333333333333</v>
      </c>
      <c r="D581" s="19" t="n">
        <v>0.333333333333333</v>
      </c>
      <c r="E581" s="19" t="n">
        <v>0.75</v>
      </c>
      <c r="F581" s="19" t="n">
        <v>0.75</v>
      </c>
      <c r="G581" s="20"/>
      <c r="H581" s="20"/>
      <c r="I581" s="8" t="str">
        <f aca="false">IF(IF(OR(C581="",D581="Congé",D581="OFF",D581="Congé spécial"),"",IF(D581&gt;F581,D581-C581,IF(C581-D581&lt;0,0,C581-D581)))&lt;0.00068287037037037,"",IF(OR(D581="Congé",D581="OFF",C581="",D581="Congé spécial"),"",IF(D581&gt;F581,D581-C581,IF(C581-D581&lt;0,0,C581-D581))))</f>
        <v/>
      </c>
      <c r="J581" s="20"/>
      <c r="K581" s="8" t="n">
        <f aca="false">IF(SUM(H581:J581)&lt;0.00068287037037037,0,SUM(H581:J581))</f>
        <v>0</v>
      </c>
      <c r="L581" s="8" t="n">
        <f aca="false">IF(OR(F581="Congé",F581="OFF",M581="Abs",F581="Congé sans solde",F581="Férié",F581="Congé spécial",D581="Congé spécial"),0,IF(F581-E581&lt;0,0,IF(F581-E581&lt;=0.00068287037037037,0,F581-E581)))</f>
        <v>0</v>
      </c>
      <c r="M581" s="6" t="n">
        <f aca="false">IF(AND(O581&lt;&gt;0,C581=""),"Abs",0)</f>
        <v>0</v>
      </c>
      <c r="N581" s="8" t="n">
        <f aca="false">IFERROR(IF(OR(D581="OFF",D581="Congé",M581="Abs",D581="Congé sans solde",D581="Férié"),"",IF(O581-K581-L581&gt;O581,O581,IF(O581-K581-L581&lt;0,"",O581-K581-L581))),"")</f>
        <v>0.375</v>
      </c>
      <c r="O581" s="8" t="n">
        <f aca="false">IF(AG581="2H Pause déjeuner",IF(F581-D581-0.0833333333333333&lt;0,F581-D581-0.0833333333333333+1,F581-D581-0.0833333333333333),IF(OR(AND(F581="OFF",D581="OFF"),AND(F581="Congé",D581="Congé"),AND(F581="Congé sans solde",D581="Congé sans solde"),AND(F581="Congé spécial",D581="Congé spécial"),AND(F581="Férié",D581="Férié"),AND(F581="OFF",D581="Congé"),AND(F581="OFF",D581="Congé sans solde"),AND(F581="OFF",D581="Congé spécial"),AND(F581="OFF",D581="Férié"),AND(F581="Congé",D581="OFF"),AND(F581="Congé",D581="Congé sans solde"),AND(F581="Congé",D581="Congé spécial"),AND(F581="Congé",D581="Férié"),AND(F581="Congé sans solde",D581="OFF"),AND(F581="Congé sans solde",D581="Congé"),AND(F581="Congé sans solde",D581="Congé spécial"),AND(F581="Congé sans solde",D581="Férié"),AND(F581="Congé spécial",D581="OFF"),AND(F581="Congé spécial",D581="Congé"),AND(F581="Congé spécial",D581="Congé sans solde"),AND(F581="Congé spécial",D581="Férié"),AND(F581="Férié",D581="OFF"),AND(F581="Férié",D581="Congé"),AND(F581="Férié",D581="Congé sans solde"),AND(F581="Férié",D581="Congé spécial")),0,IF(OR(F581="OFF",F581="Congé",F581="Congé spécial",F581="Congé sans solde",D581="OFF",D581="Congé",D581="Congé spécial",D581="Congé sans solde"),0.208333333333334,IF(AND(AG581="",F581-D581&lt;0),("24:00:00"-D581)+("00:00:00"+F581)-0.0416666666666667,IF(AND(OR(AG581="Allaitement",AG581="Sans déjeuner"),F581-D581&lt;0),("24:00:00"-D581)+("00:00:00"+F581),IF(AND(AG581="",F581-D581&gt;0.166666666666667),F581-D581-0.0416666666666667,IF(AND(OR(AG581="Allaitement",AG581="Sans déjeuner"),F581-D581&gt;0.166666666666667),F581-D581,F581-D581)))))))</f>
        <v>0.375</v>
      </c>
      <c r="P581" s="6" t="str">
        <f aca="false">IFERROR(VLOOKUP($B581,Agents!$A:$D,2,0),"-")</f>
        <v>Accessibilité</v>
      </c>
      <c r="Q581" s="21" t="n">
        <v>46126</v>
      </c>
      <c r="R581" s="8" t="n">
        <f aca="false">IF(M581="Abs",O581,0)</f>
        <v>0</v>
      </c>
      <c r="S581" s="8" t="n">
        <f aca="false">SUM(R581,L581,I581,J581,W581,H581)</f>
        <v>0</v>
      </c>
      <c r="T581" s="6" t="str">
        <f aca="false">"Sem - "&amp;WEEKNUM(Q581,21)</f>
        <v>Sem - 16</v>
      </c>
      <c r="U581" s="6" t="str">
        <f aca="false">CHOOSE(MONTH(Q581),"Janvier","Février","Mars","Avril","Mai","Juin","Juillet","Août","Septembre","Octobre","Novembre","Décembre")</f>
        <v>Avril</v>
      </c>
      <c r="V581" s="22" t="n">
        <f aca="false">YEAR(Q581)</f>
        <v>2026</v>
      </c>
      <c r="W581" s="20"/>
      <c r="X581" s="8" t="n">
        <f aca="false">IFERROR(IF(M581="Abs",0,IF(ROUND((D581-C581+E581-F581)*1440,0)&lt;=1,0,D581-C581+E581-F581)),0)</f>
        <v>0</v>
      </c>
      <c r="Y581" s="6" t="str">
        <f aca="false">IFERROR(VLOOKUP($B581,Agents!$A:$D,3,0),"-")</f>
        <v>OUBRAHIM Mohammed</v>
      </c>
      <c r="Z581" s="6" t="str">
        <f aca="false">IFERROR(VLOOKUP($B581,Agents!$A:$D,4,0),"-")</f>
        <v>Credit Mutuel</v>
      </c>
      <c r="AA581" s="18" t="s">
        <v>98</v>
      </c>
      <c r="AB581" s="8" t="str">
        <f aca="false">IF(AND(D581="Congé",F581="Congé"),0.333333333333333,IF(OR(AND(D581="Congé",F581&lt;&gt;"Congé"),(AND(F581="Congé",D581&lt;&gt;"Congé"))),0.166666666666667,""))</f>
        <v/>
      </c>
      <c r="AC581" s="8" t="str">
        <f aca="false">IF(AND(D581="Congé sans solde",F581="Congé sans solde"),0.333333333333333,IF(OR(AND(D581="Congé sans solde",F581&lt;&gt;"Congé sans solde"),(AND(F581="Congé sans solde",D581&lt;&gt;"Congé sans solde"))),0.166666666666667,""))</f>
        <v/>
      </c>
      <c r="AD581" s="8" t="str">
        <f aca="false">IF(AND(D581="Congé spécial",F581="Congé spécial"),0.333333333333333,IF(OR(AND(D581="Congé spécial",F581&lt;&gt;"Congé spécial"),AND(F581="Congé spécial",D581&lt;&gt;"Congé spécial")),0.166666666666667,""))</f>
        <v/>
      </c>
      <c r="AE581" s="8" t="str">
        <f aca="false">IF(AND(D581="Férié",F581="Férié"),0.333333333333333,IF(OR(AND(D581="Férié",F581&lt;&gt;"Férié"),(AND(F581="Férié",D581&lt;&gt;"Férié"))),0.166666666666667,""))</f>
        <v/>
      </c>
      <c r="AF581" s="18"/>
      <c r="AG581" s="18"/>
    </row>
    <row r="582" customFormat="false" ht="15" hidden="false" customHeight="false" outlineLevel="0" collapsed="false">
      <c r="A582" s="6" t="str">
        <f aca="false">YEAR(Q582-WEEKDAY(Q582,2)+4)&amp;"-S"&amp;TEXT(WEEKNUM(Q582,21),"00")</f>
        <v>2026-S16</v>
      </c>
      <c r="B582" s="18" t="s">
        <v>69</v>
      </c>
      <c r="C582" s="19"/>
      <c r="D582" s="19" t="s">
        <v>83</v>
      </c>
      <c r="E582" s="19"/>
      <c r="F582" s="19" t="s">
        <v>83</v>
      </c>
      <c r="G582" s="20"/>
      <c r="H582" s="20"/>
      <c r="I582" s="8" t="str">
        <f aca="false">IF(IF(OR(C582="",D582="Congé",D582="OFF",D582="Congé spécial"),"",IF(D582&gt;F582,D582-C582,IF(C582-D582&lt;0,0,C582-D582)))&lt;0.00068287037037037,"",IF(OR(D582="Congé",D582="OFF",C582="",D582="Congé spécial"),"",IF(D582&gt;F582,D582-C582,IF(C582-D582&lt;0,0,C582-D582))))</f>
        <v/>
      </c>
      <c r="J582" s="20"/>
      <c r="K582" s="8" t="n">
        <f aca="false">IF(SUM(H582:J582)&lt;0.00068287037037037,0,SUM(H582:J582))</f>
        <v>0</v>
      </c>
      <c r="L582" s="8" t="n">
        <f aca="false">IF(OR(F582="Congé",F582="OFF",M582="Abs",F582="Congé sans solde",F582="Férié",F582="Congé spécial",D582="Congé spécial"),0,IF(F582-E582&lt;0,0,IF(F582-E582&lt;=0.00068287037037037,0,F582-E582)))</f>
        <v>0</v>
      </c>
      <c r="M582" s="6" t="n">
        <f aca="false">IF(AND(O582&lt;&gt;0,C582=""),"Abs",0)</f>
        <v>0</v>
      </c>
      <c r="N582" s="8" t="str">
        <f aca="false">IFERROR(IF(OR(D582="OFF",D582="Congé",M582="Abs",D582="Congé sans solde",D582="Férié"),"",IF(O582-K582-L582&gt;O582,O582,IF(O582-K582-L582&lt;0,"",O582-K582-L582))),"")</f>
        <v/>
      </c>
      <c r="O582" s="8" t="n">
        <f aca="false">IF(AG582="2H Pause déjeuner",IF(F582-D582-0.0833333333333333&lt;0,F582-D582-0.0833333333333333+1,F582-D582-0.0833333333333333),IF(OR(AND(F582="OFF",D582="OFF"),AND(F582="Congé",D582="Congé"),AND(F582="Congé sans solde",D582="Congé sans solde"),AND(F582="Congé spécial",D582="Congé spécial"),AND(F582="Férié",D582="Férié"),AND(F582="OFF",D582="Congé"),AND(F582="OFF",D582="Congé sans solde"),AND(F582="OFF",D582="Congé spécial"),AND(F582="OFF",D582="Férié"),AND(F582="Congé",D582="OFF"),AND(F582="Congé",D582="Congé sans solde"),AND(F582="Congé",D582="Congé spécial"),AND(F582="Congé",D582="Férié"),AND(F582="Congé sans solde",D582="OFF"),AND(F582="Congé sans solde",D582="Congé"),AND(F582="Congé sans solde",D582="Congé spécial"),AND(F582="Congé sans solde",D582="Férié"),AND(F582="Congé spécial",D582="OFF"),AND(F582="Congé spécial",D582="Congé"),AND(F582="Congé spécial",D582="Congé sans solde"),AND(F582="Congé spécial",D582="Férié"),AND(F582="Férié",D582="OFF"),AND(F582="Férié",D582="Congé"),AND(F582="Férié",D582="Congé sans solde"),AND(F582="Férié",D582="Congé spécial")),0,IF(OR(F582="OFF",F582="Congé",F582="Congé spécial",F582="Congé sans solde",D582="OFF",D582="Congé",D582="Congé spécial",D582="Congé sans solde"),0.208333333333334,IF(AND(AG582="",F582-D582&lt;0),("24:00:00"-D582)+("00:00:00"+F582)-0.0416666666666667,IF(AND(OR(AG582="Allaitement",AG582="Sans déjeuner"),F582-D582&lt;0),("24:00:00"-D582)+("00:00:00"+F582),IF(AND(AG582="",F582-D582&gt;0.166666666666667),F582-D582-0.0416666666666667,IF(AND(OR(AG582="Allaitement",AG582="Sans déjeuner"),F582-D582&gt;0.166666666666667),F582-D582,F582-D582)))))))</f>
        <v>0</v>
      </c>
      <c r="P582" s="6" t="str">
        <f aca="false">IFERROR(VLOOKUP($B582,Agents!$A:$D,2,0),"-")</f>
        <v>Accessibilité</v>
      </c>
      <c r="Q582" s="21" t="n">
        <v>46127</v>
      </c>
      <c r="R582" s="8" t="n">
        <f aca="false">IF(M582="Abs",O582,0)</f>
        <v>0</v>
      </c>
      <c r="S582" s="8" t="n">
        <f aca="false">SUM(R582,L582,I582,J582,W582,H582)</f>
        <v>0</v>
      </c>
      <c r="T582" s="6" t="str">
        <f aca="false">"Sem - "&amp;WEEKNUM(Q582,21)</f>
        <v>Sem - 16</v>
      </c>
      <c r="U582" s="6" t="str">
        <f aca="false">CHOOSE(MONTH(Q582),"Janvier","Février","Mars","Avril","Mai","Juin","Juillet","Août","Septembre","Octobre","Novembre","Décembre")</f>
        <v>Avril</v>
      </c>
      <c r="V582" s="22" t="n">
        <f aca="false">YEAR(Q582)</f>
        <v>2026</v>
      </c>
      <c r="W582" s="20"/>
      <c r="X582" s="8" t="n">
        <f aca="false">IFERROR(IF(M582="Abs",0,IF(ROUND((D582-C582+E582-F582)*1440,0)&lt;=1,0,D582-C582+E582-F582)),0)</f>
        <v>0</v>
      </c>
      <c r="Y582" s="6" t="str">
        <f aca="false">IFERROR(VLOOKUP($B582,Agents!$A:$D,3,0),"-")</f>
        <v>OUBRAHIM Mohammed</v>
      </c>
      <c r="Z582" s="6" t="str">
        <f aca="false">IFERROR(VLOOKUP($B582,Agents!$A:$D,4,0),"-")</f>
        <v>Credit Mutuel</v>
      </c>
      <c r="AA582" s="18" t="s">
        <v>98</v>
      </c>
      <c r="AB582" s="8" t="n">
        <f aca="false">IF(AND(D582="Congé",F582="Congé"),0.333333333333333,IF(OR(AND(D582="Congé",F582&lt;&gt;"Congé"),(AND(F582="Congé",D582&lt;&gt;"Congé"))),0.166666666666667,""))</f>
        <v>0.333333333333333</v>
      </c>
      <c r="AC582" s="8" t="str">
        <f aca="false">IF(AND(D582="Congé sans solde",F582="Congé sans solde"),0.333333333333333,IF(OR(AND(D582="Congé sans solde",F582&lt;&gt;"Congé sans solde"),(AND(F582="Congé sans solde",D582&lt;&gt;"Congé sans solde"))),0.166666666666667,""))</f>
        <v/>
      </c>
      <c r="AD582" s="8" t="str">
        <f aca="false">IF(AND(D582="Congé spécial",F582="Congé spécial"),0.333333333333333,IF(OR(AND(D582="Congé spécial",F582&lt;&gt;"Congé spécial"),AND(F582="Congé spécial",D582&lt;&gt;"Congé spécial")),0.166666666666667,""))</f>
        <v/>
      </c>
      <c r="AE582" s="8" t="str">
        <f aca="false">IF(AND(D582="Férié",F582="Férié"),0.333333333333333,IF(OR(AND(D582="Férié",F582&lt;&gt;"Férié"),(AND(F582="Férié",D582&lt;&gt;"Férié"))),0.166666666666667,""))</f>
        <v/>
      </c>
      <c r="AF582" s="18"/>
      <c r="AG582" s="18"/>
    </row>
    <row r="583" customFormat="false" ht="15" hidden="false" customHeight="false" outlineLevel="0" collapsed="false">
      <c r="A583" s="6" t="str">
        <f aca="false">YEAR(Q583-WEEKDAY(Q583,2)+4)&amp;"-S"&amp;TEXT(WEEKNUM(Q583,21),"00")</f>
        <v>2026-S16</v>
      </c>
      <c r="B583" s="18" t="s">
        <v>71</v>
      </c>
      <c r="C583" s="19" t="n">
        <v>0.332638888888889</v>
      </c>
      <c r="D583" s="19" t="n">
        <v>0.333333333333333</v>
      </c>
      <c r="E583" s="19" t="n">
        <v>0.75</v>
      </c>
      <c r="F583" s="19" t="n">
        <v>0.75</v>
      </c>
      <c r="G583" s="20"/>
      <c r="H583" s="20"/>
      <c r="I583" s="8" t="str">
        <f aca="false">IF(IF(OR(C583="",D583="Congé",D583="OFF",D583="Congé spécial"),"",IF(D583&gt;F583,D583-C583,IF(C583-D583&lt;0,0,C583-D583)))&lt;0.00068287037037037,"",IF(OR(D583="Congé",D583="OFF",C583="",D583="Congé spécial"),"",IF(D583&gt;F583,D583-C583,IF(C583-D583&lt;0,0,C583-D583))))</f>
        <v/>
      </c>
      <c r="J583" s="20"/>
      <c r="K583" s="8" t="n">
        <f aca="false">IF(SUM(H583:J583)&lt;0.00068287037037037,0,SUM(H583:J583))</f>
        <v>0</v>
      </c>
      <c r="L583" s="8" t="n">
        <f aca="false">IF(OR(F583="Congé",F583="OFF",M583="Abs",F583="Congé sans solde",F583="Férié",F583="Congé spécial",D583="Congé spécial"),0,IF(F583-E583&lt;0,0,IF(F583-E583&lt;=0.00068287037037037,0,F583-E583)))</f>
        <v>0</v>
      </c>
      <c r="M583" s="6" t="n">
        <f aca="false">IF(AND(O583&lt;&gt;0,C583=""),"Abs",0)</f>
        <v>0</v>
      </c>
      <c r="N583" s="8" t="n">
        <f aca="false">IFERROR(IF(OR(D583="OFF",D583="Congé",M583="Abs",D583="Congé sans solde",D583="Férié"),"",IF(O583-K583-L583&gt;O583,O583,IF(O583-K583-L583&lt;0,"",O583-K583-L583))),"")</f>
        <v>0.375</v>
      </c>
      <c r="O583" s="8" t="n">
        <f aca="false">IF(AG583="2H Pause déjeuner",IF(F583-D583-0.0833333333333333&lt;0,F583-D583-0.0833333333333333+1,F583-D583-0.0833333333333333),IF(OR(AND(F583="OFF",D583="OFF"),AND(F583="Congé",D583="Congé"),AND(F583="Congé sans solde",D583="Congé sans solde"),AND(F583="Congé spécial",D583="Congé spécial"),AND(F583="Férié",D583="Férié"),AND(F583="OFF",D583="Congé"),AND(F583="OFF",D583="Congé sans solde"),AND(F583="OFF",D583="Congé spécial"),AND(F583="OFF",D583="Férié"),AND(F583="Congé",D583="OFF"),AND(F583="Congé",D583="Congé sans solde"),AND(F583="Congé",D583="Congé spécial"),AND(F583="Congé",D583="Férié"),AND(F583="Congé sans solde",D583="OFF"),AND(F583="Congé sans solde",D583="Congé"),AND(F583="Congé sans solde",D583="Congé spécial"),AND(F583="Congé sans solde",D583="Férié"),AND(F583="Congé spécial",D583="OFF"),AND(F583="Congé spécial",D583="Congé"),AND(F583="Congé spécial",D583="Congé sans solde"),AND(F583="Congé spécial",D583="Férié"),AND(F583="Férié",D583="OFF"),AND(F583="Férié",D583="Congé"),AND(F583="Férié",D583="Congé sans solde"),AND(F583="Férié",D583="Congé spécial")),0,IF(OR(F583="OFF",F583="Congé",F583="Congé spécial",F583="Congé sans solde",D583="OFF",D583="Congé",D583="Congé spécial",D583="Congé sans solde"),0.208333333333334,IF(AND(AG583="",F583-D583&lt;0),("24:00:00"-D583)+("00:00:00"+F583)-0.0416666666666667,IF(AND(OR(AG583="Allaitement",AG583="Sans déjeuner"),F583-D583&lt;0),("24:00:00"-D583)+("00:00:00"+F583),IF(AND(AG583="",F583-D583&gt;0.166666666666667),F583-D583-0.0416666666666667,IF(AND(OR(AG583="Allaitement",AG583="Sans déjeuner"),F583-D583&gt;0.166666666666667),F583-D583,F583-D583)))))))</f>
        <v>0.375</v>
      </c>
      <c r="P583" s="6" t="str">
        <f aca="false">IFERROR(VLOOKUP($B583,Agents!$A:$D,2,0),"-")</f>
        <v>Accessibilité</v>
      </c>
      <c r="Q583" s="21" t="n">
        <v>46127</v>
      </c>
      <c r="R583" s="8" t="n">
        <f aca="false">IF(M583="Abs",O583,0)</f>
        <v>0</v>
      </c>
      <c r="S583" s="8" t="n">
        <f aca="false">SUM(R583,L583,I583,J583,W583,H583)</f>
        <v>0</v>
      </c>
      <c r="T583" s="6" t="str">
        <f aca="false">"Sem - "&amp;WEEKNUM(Q583,21)</f>
        <v>Sem - 16</v>
      </c>
      <c r="U583" s="6" t="str">
        <f aca="false">CHOOSE(MONTH(Q583),"Janvier","Février","Mars","Avril","Mai","Juin","Juillet","Août","Septembre","Octobre","Novembre","Décembre")</f>
        <v>Avril</v>
      </c>
      <c r="V583" s="22" t="n">
        <f aca="false">YEAR(Q583)</f>
        <v>2026</v>
      </c>
      <c r="W583" s="20"/>
      <c r="X583" s="8" t="n">
        <f aca="false">IFERROR(IF(M583="Abs",0,IF(ROUND((D583-C583+E583-F583)*1440,0)&lt;=1,0,D583-C583+E583-F583)),0)</f>
        <v>0</v>
      </c>
      <c r="Y583" s="6" t="str">
        <f aca="false">IFERROR(VLOOKUP($B583,Agents!$A:$D,3,0),"-")</f>
        <v>OUBRAHIM Mohammed</v>
      </c>
      <c r="Z583" s="6" t="str">
        <f aca="false">IFERROR(VLOOKUP($B583,Agents!$A:$D,4,0),"-")</f>
        <v>Credit Mutuel</v>
      </c>
      <c r="AA583" s="18" t="s">
        <v>98</v>
      </c>
      <c r="AB583" s="8" t="str">
        <f aca="false">IF(AND(D583="Congé",F583="Congé"),0.333333333333333,IF(OR(AND(D583="Congé",F583&lt;&gt;"Congé"),(AND(F583="Congé",D583&lt;&gt;"Congé"))),0.166666666666667,""))</f>
        <v/>
      </c>
      <c r="AC583" s="8" t="str">
        <f aca="false">IF(AND(D583="Congé sans solde",F583="Congé sans solde"),0.333333333333333,IF(OR(AND(D583="Congé sans solde",F583&lt;&gt;"Congé sans solde"),(AND(F583="Congé sans solde",D583&lt;&gt;"Congé sans solde"))),0.166666666666667,""))</f>
        <v/>
      </c>
      <c r="AD583" s="8" t="str">
        <f aca="false">IF(AND(D583="Congé spécial",F583="Congé spécial"),0.333333333333333,IF(OR(AND(D583="Congé spécial",F583&lt;&gt;"Congé spécial"),AND(F583="Congé spécial",D583&lt;&gt;"Congé spécial")),0.166666666666667,""))</f>
        <v/>
      </c>
      <c r="AE583" s="8" t="str">
        <f aca="false">IF(AND(D583="Férié",F583="Férié"),0.333333333333333,IF(OR(AND(D583="Férié",F583&lt;&gt;"Férié"),(AND(F583="Férié",D583&lt;&gt;"Férié"))),0.166666666666667,""))</f>
        <v/>
      </c>
      <c r="AF583" s="18"/>
      <c r="AG583" s="18"/>
    </row>
    <row r="584" customFormat="false" ht="15" hidden="false" customHeight="false" outlineLevel="0" collapsed="false">
      <c r="A584" s="6" t="str">
        <f aca="false">YEAR(Q584-WEEKDAY(Q584,2)+4)&amp;"-S"&amp;TEXT(WEEKNUM(Q584,21),"00")</f>
        <v>2026-S16</v>
      </c>
      <c r="B584" s="18" t="s">
        <v>72</v>
      </c>
      <c r="C584" s="19" t="n">
        <v>0.333333333333333</v>
      </c>
      <c r="D584" s="19" t="n">
        <v>0.333333333333333</v>
      </c>
      <c r="E584" s="19" t="n">
        <v>0.75</v>
      </c>
      <c r="F584" s="19" t="n">
        <v>0.75</v>
      </c>
      <c r="G584" s="20"/>
      <c r="H584" s="20"/>
      <c r="I584" s="8" t="str">
        <f aca="false">IF(IF(OR(C584="",D584="Congé",D584="OFF",D584="Congé spécial"),"",IF(D584&gt;F584,D584-C584,IF(C584-D584&lt;0,0,C584-D584)))&lt;0.00068287037037037,"",IF(OR(D584="Congé",D584="OFF",C584="",D584="Congé spécial"),"",IF(D584&gt;F584,D584-C584,IF(C584-D584&lt;0,0,C584-D584))))</f>
        <v/>
      </c>
      <c r="J584" s="20"/>
      <c r="K584" s="8" t="n">
        <f aca="false">IF(SUM(H584:J584)&lt;0.00068287037037037,0,SUM(H584:J584))</f>
        <v>0</v>
      </c>
      <c r="L584" s="8" t="n">
        <f aca="false">IF(OR(F584="Congé",F584="OFF",M584="Abs",F584="Congé sans solde",F584="Férié",F584="Congé spécial",D584="Congé spécial"),0,IF(F584-E584&lt;0,0,IF(F584-E584&lt;=0.00068287037037037,0,F584-E584)))</f>
        <v>0</v>
      </c>
      <c r="M584" s="6" t="n">
        <f aca="false">IF(AND(O584&lt;&gt;0,C584=""),"Abs",0)</f>
        <v>0</v>
      </c>
      <c r="N584" s="8" t="n">
        <f aca="false">IFERROR(IF(OR(D584="OFF",D584="Congé",M584="Abs",D584="Congé sans solde",D584="Férié"),"",IF(O584-K584-L584&gt;O584,O584,IF(O584-K584-L584&lt;0,"",O584-K584-L584))),"")</f>
        <v>0.375</v>
      </c>
      <c r="O584" s="8" t="n">
        <f aca="false">IF(AG584="2H Pause déjeuner",IF(F584-D584-0.0833333333333333&lt;0,F584-D584-0.0833333333333333+1,F584-D584-0.0833333333333333),IF(OR(AND(F584="OFF",D584="OFF"),AND(F584="Congé",D584="Congé"),AND(F584="Congé sans solde",D584="Congé sans solde"),AND(F584="Congé spécial",D584="Congé spécial"),AND(F584="Férié",D584="Férié"),AND(F584="OFF",D584="Congé"),AND(F584="OFF",D584="Congé sans solde"),AND(F584="OFF",D584="Congé spécial"),AND(F584="OFF",D584="Férié"),AND(F584="Congé",D584="OFF"),AND(F584="Congé",D584="Congé sans solde"),AND(F584="Congé",D584="Congé spécial"),AND(F584="Congé",D584="Férié"),AND(F584="Congé sans solde",D584="OFF"),AND(F584="Congé sans solde",D584="Congé"),AND(F584="Congé sans solde",D584="Congé spécial"),AND(F584="Congé sans solde",D584="Férié"),AND(F584="Congé spécial",D584="OFF"),AND(F584="Congé spécial",D584="Congé"),AND(F584="Congé spécial",D584="Congé sans solde"),AND(F584="Congé spécial",D584="Férié"),AND(F584="Férié",D584="OFF"),AND(F584="Férié",D584="Congé"),AND(F584="Férié",D584="Congé sans solde"),AND(F584="Férié",D584="Congé spécial")),0,IF(OR(F584="OFF",F584="Congé",F584="Congé spécial",F584="Congé sans solde",D584="OFF",D584="Congé",D584="Congé spécial",D584="Congé sans solde"),0.208333333333334,IF(AND(AG584="",F584-D584&lt;0),("24:00:00"-D584)+("00:00:00"+F584)-0.0416666666666667,IF(AND(OR(AG584="Allaitement",AG584="Sans déjeuner"),F584-D584&lt;0),("24:00:00"-D584)+("00:00:00"+F584),IF(AND(AG584="",F584-D584&gt;0.166666666666667),F584-D584-0.0416666666666667,IF(AND(OR(AG584="Allaitement",AG584="Sans déjeuner"),F584-D584&gt;0.166666666666667),F584-D584,F584-D584)))))))</f>
        <v>0.375</v>
      </c>
      <c r="P584" s="6" t="str">
        <f aca="false">IFERROR(VLOOKUP($B584,Agents!$A:$D,2,0),"-")</f>
        <v>Accessibilité</v>
      </c>
      <c r="Q584" s="21" t="n">
        <v>46127</v>
      </c>
      <c r="R584" s="8" t="n">
        <f aca="false">IF(M584="Abs",O584,0)</f>
        <v>0</v>
      </c>
      <c r="S584" s="8" t="n">
        <f aca="false">SUM(R584,L584,I584,J584,W584,H584)</f>
        <v>0</v>
      </c>
      <c r="T584" s="6" t="str">
        <f aca="false">"Sem - "&amp;WEEKNUM(Q584,21)</f>
        <v>Sem - 16</v>
      </c>
      <c r="U584" s="6" t="str">
        <f aca="false">CHOOSE(MONTH(Q584),"Janvier","Février","Mars","Avril","Mai","Juin","Juillet","Août","Septembre","Octobre","Novembre","Décembre")</f>
        <v>Avril</v>
      </c>
      <c r="V584" s="22" t="n">
        <f aca="false">YEAR(Q584)</f>
        <v>2026</v>
      </c>
      <c r="W584" s="20"/>
      <c r="X584" s="8" t="n">
        <f aca="false">IFERROR(IF(M584="Abs",0,IF(ROUND((D584-C584+E584-F584)*1440,0)&lt;=1,0,D584-C584+E584-F584)),0)</f>
        <v>0</v>
      </c>
      <c r="Y584" s="6" t="str">
        <f aca="false">IFERROR(VLOOKUP($B584,Agents!$A:$D,3,0),"-")</f>
        <v>OUBRAHIM Mohammed</v>
      </c>
      <c r="Z584" s="6" t="str">
        <f aca="false">IFERROR(VLOOKUP($B584,Agents!$A:$D,4,0),"-")</f>
        <v>Credit Mutuel</v>
      </c>
      <c r="AA584" s="18" t="s">
        <v>98</v>
      </c>
      <c r="AB584" s="8" t="str">
        <f aca="false">IF(AND(D584="Congé",F584="Congé"),0.333333333333333,IF(OR(AND(D584="Congé",F584&lt;&gt;"Congé"),(AND(F584="Congé",D584&lt;&gt;"Congé"))),0.166666666666667,""))</f>
        <v/>
      </c>
      <c r="AC584" s="8" t="str">
        <f aca="false">IF(AND(D584="Congé sans solde",F584="Congé sans solde"),0.333333333333333,IF(OR(AND(D584="Congé sans solde",F584&lt;&gt;"Congé sans solde"),(AND(F584="Congé sans solde",D584&lt;&gt;"Congé sans solde"))),0.166666666666667,""))</f>
        <v/>
      </c>
      <c r="AD584" s="8" t="str">
        <f aca="false">IF(AND(D584="Congé spécial",F584="Congé spécial"),0.333333333333333,IF(OR(AND(D584="Congé spécial",F584&lt;&gt;"Congé spécial"),AND(F584="Congé spécial",D584&lt;&gt;"Congé spécial")),0.166666666666667,""))</f>
        <v/>
      </c>
      <c r="AE584" s="8" t="str">
        <f aca="false">IF(AND(D584="Férié",F584="Férié"),0.333333333333333,IF(OR(AND(D584="Férié",F584&lt;&gt;"Férié"),(AND(F584="Férié",D584&lt;&gt;"Férié"))),0.166666666666667,""))</f>
        <v/>
      </c>
      <c r="AF584" s="18"/>
      <c r="AG584" s="18"/>
    </row>
    <row r="585" customFormat="false" ht="15" hidden="false" customHeight="false" outlineLevel="0" collapsed="false">
      <c r="A585" s="6" t="str">
        <f aca="false">YEAR(Q585-WEEKDAY(Q585,2)+4)&amp;"-S"&amp;TEXT(WEEKNUM(Q585,21),"00")</f>
        <v>2026-S16</v>
      </c>
      <c r="B585" s="18" t="s">
        <v>73</v>
      </c>
      <c r="C585" s="19" t="n">
        <v>0.333333333333333</v>
      </c>
      <c r="D585" s="19" t="n">
        <v>0.333333333333333</v>
      </c>
      <c r="E585" s="19" t="n">
        <v>0.75</v>
      </c>
      <c r="F585" s="19" t="n">
        <v>0.75</v>
      </c>
      <c r="G585" s="20"/>
      <c r="H585" s="20"/>
      <c r="I585" s="8" t="str">
        <f aca="false">IF(IF(OR(C585="",D585="Congé",D585="OFF",D585="Congé spécial"),"",IF(D585&gt;F585,D585-C585,IF(C585-D585&lt;0,0,C585-D585)))&lt;0.00068287037037037,"",IF(OR(D585="Congé",D585="OFF",C585="",D585="Congé spécial"),"",IF(D585&gt;F585,D585-C585,IF(C585-D585&lt;0,0,C585-D585))))</f>
        <v/>
      </c>
      <c r="J585" s="20"/>
      <c r="K585" s="8" t="n">
        <f aca="false">IF(SUM(H585:J585)&lt;0.00068287037037037,0,SUM(H585:J585))</f>
        <v>0</v>
      </c>
      <c r="L585" s="8" t="n">
        <f aca="false">IF(OR(F585="Congé",F585="OFF",M585="Abs",F585="Congé sans solde",F585="Férié",F585="Congé spécial",D585="Congé spécial"),0,IF(F585-E585&lt;0,0,IF(F585-E585&lt;=0.00068287037037037,0,F585-E585)))</f>
        <v>0</v>
      </c>
      <c r="M585" s="6" t="n">
        <f aca="false">IF(AND(O585&lt;&gt;0,C585=""),"Abs",0)</f>
        <v>0</v>
      </c>
      <c r="N585" s="8" t="n">
        <f aca="false">IFERROR(IF(OR(D585="OFF",D585="Congé",M585="Abs",D585="Congé sans solde",D585="Férié"),"",IF(O585-K585-L585&gt;O585,O585,IF(O585-K585-L585&lt;0,"",O585-K585-L585))),"")</f>
        <v>0.375</v>
      </c>
      <c r="O585" s="8" t="n">
        <f aca="false">IF(AG585="2H Pause déjeuner",IF(F585-D585-0.0833333333333333&lt;0,F585-D585-0.0833333333333333+1,F585-D585-0.0833333333333333),IF(OR(AND(F585="OFF",D585="OFF"),AND(F585="Congé",D585="Congé"),AND(F585="Congé sans solde",D585="Congé sans solde"),AND(F585="Congé spécial",D585="Congé spécial"),AND(F585="Férié",D585="Férié"),AND(F585="OFF",D585="Congé"),AND(F585="OFF",D585="Congé sans solde"),AND(F585="OFF",D585="Congé spécial"),AND(F585="OFF",D585="Férié"),AND(F585="Congé",D585="OFF"),AND(F585="Congé",D585="Congé sans solde"),AND(F585="Congé",D585="Congé spécial"),AND(F585="Congé",D585="Férié"),AND(F585="Congé sans solde",D585="OFF"),AND(F585="Congé sans solde",D585="Congé"),AND(F585="Congé sans solde",D585="Congé spécial"),AND(F585="Congé sans solde",D585="Férié"),AND(F585="Congé spécial",D585="OFF"),AND(F585="Congé spécial",D585="Congé"),AND(F585="Congé spécial",D585="Congé sans solde"),AND(F585="Congé spécial",D585="Férié"),AND(F585="Férié",D585="OFF"),AND(F585="Férié",D585="Congé"),AND(F585="Férié",D585="Congé sans solde"),AND(F585="Férié",D585="Congé spécial")),0,IF(OR(F585="OFF",F585="Congé",F585="Congé spécial",F585="Congé sans solde",D585="OFF",D585="Congé",D585="Congé spécial",D585="Congé sans solde"),0.208333333333334,IF(AND(AG585="",F585-D585&lt;0),("24:00:00"-D585)+("00:00:00"+F585)-0.0416666666666667,IF(AND(OR(AG585="Allaitement",AG585="Sans déjeuner"),F585-D585&lt;0),("24:00:00"-D585)+("00:00:00"+F585),IF(AND(AG585="",F585-D585&gt;0.166666666666667),F585-D585-0.0416666666666667,IF(AND(OR(AG585="Allaitement",AG585="Sans déjeuner"),F585-D585&gt;0.166666666666667),F585-D585,F585-D585)))))))</f>
        <v>0.375</v>
      </c>
      <c r="P585" s="6" t="str">
        <f aca="false">IFERROR(VLOOKUP($B585,Agents!$A:$D,2,0),"-")</f>
        <v>Accessibilité</v>
      </c>
      <c r="Q585" s="21" t="n">
        <v>46127</v>
      </c>
      <c r="R585" s="8" t="n">
        <f aca="false">IF(M585="Abs",O585,0)</f>
        <v>0</v>
      </c>
      <c r="S585" s="8" t="n">
        <f aca="false">SUM(R585,L585,I585,J585,W585,H585)</f>
        <v>0</v>
      </c>
      <c r="T585" s="6" t="str">
        <f aca="false">"Sem - "&amp;WEEKNUM(Q585,21)</f>
        <v>Sem - 16</v>
      </c>
      <c r="U585" s="6" t="str">
        <f aca="false">CHOOSE(MONTH(Q585),"Janvier","Février","Mars","Avril","Mai","Juin","Juillet","Août","Septembre","Octobre","Novembre","Décembre")</f>
        <v>Avril</v>
      </c>
      <c r="V585" s="22" t="n">
        <f aca="false">YEAR(Q585)</f>
        <v>2026</v>
      </c>
      <c r="W585" s="20"/>
      <c r="X585" s="8" t="n">
        <f aca="false">IFERROR(IF(M585="Abs",0,IF(ROUND((D585-C585+E585-F585)*1440,0)&lt;=1,0,D585-C585+E585-F585)),0)</f>
        <v>0</v>
      </c>
      <c r="Y585" s="6" t="str">
        <f aca="false">IFERROR(VLOOKUP($B585,Agents!$A:$D,3,0),"-")</f>
        <v>OUBRAHIM Mohammed</v>
      </c>
      <c r="Z585" s="6" t="str">
        <f aca="false">IFERROR(VLOOKUP($B585,Agents!$A:$D,4,0),"-")</f>
        <v>Credit Mutuel</v>
      </c>
      <c r="AA585" s="18" t="s">
        <v>98</v>
      </c>
      <c r="AB585" s="8" t="str">
        <f aca="false">IF(AND(D585="Congé",F585="Congé"),0.333333333333333,IF(OR(AND(D585="Congé",F585&lt;&gt;"Congé"),(AND(F585="Congé",D585&lt;&gt;"Congé"))),0.166666666666667,""))</f>
        <v/>
      </c>
      <c r="AC585" s="8" t="str">
        <f aca="false">IF(AND(D585="Congé sans solde",F585="Congé sans solde"),0.333333333333333,IF(OR(AND(D585="Congé sans solde",F585&lt;&gt;"Congé sans solde"),(AND(F585="Congé sans solde",D585&lt;&gt;"Congé sans solde"))),0.166666666666667,""))</f>
        <v/>
      </c>
      <c r="AD585" s="8" t="str">
        <f aca="false">IF(AND(D585="Congé spécial",F585="Congé spécial"),0.333333333333333,IF(OR(AND(D585="Congé spécial",F585&lt;&gt;"Congé spécial"),AND(F585="Congé spécial",D585&lt;&gt;"Congé spécial")),0.166666666666667,""))</f>
        <v/>
      </c>
      <c r="AE585" s="8" t="str">
        <f aca="false">IF(AND(D585="Férié",F585="Férié"),0.333333333333333,IF(OR(AND(D585="Férié",F585&lt;&gt;"Férié"),(AND(F585="Férié",D585&lt;&gt;"Férié"))),0.166666666666667,""))</f>
        <v/>
      </c>
      <c r="AF585" s="18"/>
      <c r="AG585" s="18"/>
    </row>
    <row r="586" customFormat="false" ht="15" hidden="false" customHeight="false" outlineLevel="0" collapsed="false">
      <c r="A586" s="6" t="str">
        <f aca="false">YEAR(Q586-WEEKDAY(Q586,2)+4)&amp;"-S"&amp;TEXT(WEEKNUM(Q586,21),"00")</f>
        <v>2026-S16</v>
      </c>
      <c r="B586" s="18" t="s">
        <v>69</v>
      </c>
      <c r="C586" s="19" t="n">
        <v>0.331944444444444</v>
      </c>
      <c r="D586" s="19" t="n">
        <v>0.333333333333333</v>
      </c>
      <c r="E586" s="19" t="n">
        <v>0.75</v>
      </c>
      <c r="F586" s="19" t="n">
        <v>0.75</v>
      </c>
      <c r="G586" s="20"/>
      <c r="H586" s="20"/>
      <c r="I586" s="8" t="str">
        <f aca="false">IF(IF(OR(C586="",D586="Congé",D586="OFF",D586="Congé spécial"),"",IF(D586&gt;F586,D586-C586,IF(C586-D586&lt;0,0,C586-D586)))&lt;0.00068287037037037,"",IF(OR(D586="Congé",D586="OFF",C586="",D586="Congé spécial"),"",IF(D586&gt;F586,D586-C586,IF(C586-D586&lt;0,0,C586-D586))))</f>
        <v/>
      </c>
      <c r="J586" s="20"/>
      <c r="K586" s="8" t="n">
        <f aca="false">IF(SUM(H586:J586)&lt;0.00068287037037037,0,SUM(H586:J586))</f>
        <v>0</v>
      </c>
      <c r="L586" s="8" t="n">
        <f aca="false">IF(OR(F586="Congé",F586="OFF",M586="Abs",F586="Congé sans solde",F586="Férié",F586="Congé spécial",D586="Congé spécial"),0,IF(F586-E586&lt;0,0,IF(F586-E586&lt;=0.00068287037037037,0,F586-E586)))</f>
        <v>0</v>
      </c>
      <c r="M586" s="6" t="n">
        <f aca="false">IF(AND(O586&lt;&gt;0,C586=""),"Abs",0)</f>
        <v>0</v>
      </c>
      <c r="N586" s="8" t="n">
        <f aca="false">IFERROR(IF(OR(D586="OFF",D586="Congé",M586="Abs",D586="Congé sans solde",D586="Férié"),"",IF(O586-K586-L586&gt;O586,O586,IF(O586-K586-L586&lt;0,"",O586-K586-L586))),"")</f>
        <v>0.375</v>
      </c>
      <c r="O586" s="8" t="n">
        <f aca="false">IF(AG586="2H Pause déjeuner",IF(F586-D586-0.0833333333333333&lt;0,F586-D586-0.0833333333333333+1,F586-D586-0.0833333333333333),IF(OR(AND(F586="OFF",D586="OFF"),AND(F586="Congé",D586="Congé"),AND(F586="Congé sans solde",D586="Congé sans solde"),AND(F586="Congé spécial",D586="Congé spécial"),AND(F586="Férié",D586="Férié"),AND(F586="OFF",D586="Congé"),AND(F586="OFF",D586="Congé sans solde"),AND(F586="OFF",D586="Congé spécial"),AND(F586="OFF",D586="Férié"),AND(F586="Congé",D586="OFF"),AND(F586="Congé",D586="Congé sans solde"),AND(F586="Congé",D586="Congé spécial"),AND(F586="Congé",D586="Férié"),AND(F586="Congé sans solde",D586="OFF"),AND(F586="Congé sans solde",D586="Congé"),AND(F586="Congé sans solde",D586="Congé spécial"),AND(F586="Congé sans solde",D586="Férié"),AND(F586="Congé spécial",D586="OFF"),AND(F586="Congé spécial",D586="Congé"),AND(F586="Congé spécial",D586="Congé sans solde"),AND(F586="Congé spécial",D586="Férié"),AND(F586="Férié",D586="OFF"),AND(F586="Férié",D586="Congé"),AND(F586="Férié",D586="Congé sans solde"),AND(F586="Férié",D586="Congé spécial")),0,IF(OR(F586="OFF",F586="Congé",F586="Congé spécial",F586="Congé sans solde",D586="OFF",D586="Congé",D586="Congé spécial",D586="Congé sans solde"),0.208333333333334,IF(AND(AG586="",F586-D586&lt;0),("24:00:00"-D586)+("00:00:00"+F586)-0.0416666666666667,IF(AND(OR(AG586="Allaitement",AG586="Sans déjeuner"),F586-D586&lt;0),("24:00:00"-D586)+("00:00:00"+F586),IF(AND(AG586="",F586-D586&gt;0.166666666666667),F586-D586-0.0416666666666667,IF(AND(OR(AG586="Allaitement",AG586="Sans déjeuner"),F586-D586&gt;0.166666666666667),F586-D586,F586-D586)))))))</f>
        <v>0.375</v>
      </c>
      <c r="P586" s="6" t="str">
        <f aca="false">IFERROR(VLOOKUP($B586,Agents!$A:$D,2,0),"-")</f>
        <v>Accessibilité</v>
      </c>
      <c r="Q586" s="21" t="n">
        <v>46128</v>
      </c>
      <c r="R586" s="8" t="n">
        <f aca="false">IF(M586="Abs",O586,0)</f>
        <v>0</v>
      </c>
      <c r="S586" s="8" t="n">
        <f aca="false">SUM(R586,L586,I586,J586,W586,H586)</f>
        <v>0</v>
      </c>
      <c r="T586" s="6" t="str">
        <f aca="false">"Sem - "&amp;WEEKNUM(Q586,21)</f>
        <v>Sem - 16</v>
      </c>
      <c r="U586" s="6" t="str">
        <f aca="false">CHOOSE(MONTH(Q586),"Janvier","Février","Mars","Avril","Mai","Juin","Juillet","Août","Septembre","Octobre","Novembre","Décembre")</f>
        <v>Avril</v>
      </c>
      <c r="V586" s="22" t="n">
        <f aca="false">YEAR(Q586)</f>
        <v>2026</v>
      </c>
      <c r="W586" s="20"/>
      <c r="X586" s="8" t="n">
        <f aca="false">IFERROR(IF(M586="Abs",0,IF(ROUND((D586-C586+E586-F586)*1440,0)&lt;=1,0,D586-C586+E586-F586)),0)</f>
        <v>0.00138888888888889</v>
      </c>
      <c r="Y586" s="6" t="str">
        <f aca="false">IFERROR(VLOOKUP($B586,Agents!$A:$D,3,0),"-")</f>
        <v>OUBRAHIM Mohammed</v>
      </c>
      <c r="Z586" s="6" t="str">
        <f aca="false">IFERROR(VLOOKUP($B586,Agents!$A:$D,4,0),"-")</f>
        <v>Credit Mutuel</v>
      </c>
      <c r="AA586" s="18" t="s">
        <v>98</v>
      </c>
      <c r="AB586" s="8" t="str">
        <f aca="false">IF(AND(D586="Congé",F586="Congé"),0.333333333333333,IF(OR(AND(D586="Congé",F586&lt;&gt;"Congé"),(AND(F586="Congé",D586&lt;&gt;"Congé"))),0.166666666666667,""))</f>
        <v/>
      </c>
      <c r="AC586" s="8" t="str">
        <f aca="false">IF(AND(D586="Congé sans solde",F586="Congé sans solde"),0.333333333333333,IF(OR(AND(D586="Congé sans solde",F586&lt;&gt;"Congé sans solde"),(AND(F586="Congé sans solde",D586&lt;&gt;"Congé sans solde"))),0.166666666666667,""))</f>
        <v/>
      </c>
      <c r="AD586" s="8" t="str">
        <f aca="false">IF(AND(D586="Congé spécial",F586="Congé spécial"),0.333333333333333,IF(OR(AND(D586="Congé spécial",F586&lt;&gt;"Congé spécial"),AND(F586="Congé spécial",D586&lt;&gt;"Congé spécial")),0.166666666666667,""))</f>
        <v/>
      </c>
      <c r="AE586" s="8" t="str">
        <f aca="false">IF(AND(D586="Férié",F586="Férié"),0.333333333333333,IF(OR(AND(D586="Férié",F586&lt;&gt;"Férié"),(AND(F586="Férié",D586&lt;&gt;"Férié"))),0.166666666666667,""))</f>
        <v/>
      </c>
      <c r="AF586" s="18"/>
      <c r="AG586" s="18"/>
    </row>
    <row r="587" customFormat="false" ht="15" hidden="false" customHeight="false" outlineLevel="0" collapsed="false">
      <c r="A587" s="6" t="str">
        <f aca="false">YEAR(Q587-WEEKDAY(Q587,2)+4)&amp;"-S"&amp;TEXT(WEEKNUM(Q587,21),"00")</f>
        <v>2026-S16</v>
      </c>
      <c r="B587" s="18" t="s">
        <v>71</v>
      </c>
      <c r="C587" s="19" t="n">
        <v>0.331944444444444</v>
      </c>
      <c r="D587" s="19" t="n">
        <v>0.333333333333333</v>
      </c>
      <c r="E587" s="19" t="n">
        <v>0.75</v>
      </c>
      <c r="F587" s="19" t="n">
        <v>0.75</v>
      </c>
      <c r="G587" s="20"/>
      <c r="H587" s="20"/>
      <c r="I587" s="8" t="str">
        <f aca="false">IF(IF(OR(C587="",D587="Congé",D587="OFF",D587="Congé spécial"),"",IF(D587&gt;F587,D587-C587,IF(C587-D587&lt;0,0,C587-D587)))&lt;0.00068287037037037,"",IF(OR(D587="Congé",D587="OFF",C587="",D587="Congé spécial"),"",IF(D587&gt;F587,D587-C587,IF(C587-D587&lt;0,0,C587-D587))))</f>
        <v/>
      </c>
      <c r="J587" s="20"/>
      <c r="K587" s="8" t="n">
        <f aca="false">IF(SUM(H587:J587)&lt;0.00068287037037037,0,SUM(H587:J587))</f>
        <v>0</v>
      </c>
      <c r="L587" s="8" t="n">
        <f aca="false">IF(OR(F587="Congé",F587="OFF",M587="Abs",F587="Congé sans solde",F587="Férié",F587="Congé spécial",D587="Congé spécial"),0,IF(F587-E587&lt;0,0,IF(F587-E587&lt;=0.00068287037037037,0,F587-E587)))</f>
        <v>0</v>
      </c>
      <c r="M587" s="6" t="n">
        <f aca="false">IF(AND(O587&lt;&gt;0,C587=""),"Abs",0)</f>
        <v>0</v>
      </c>
      <c r="N587" s="8" t="n">
        <f aca="false">IFERROR(IF(OR(D587="OFF",D587="Congé",M587="Abs",D587="Congé sans solde",D587="Férié"),"",IF(O587-K587-L587&gt;O587,O587,IF(O587-K587-L587&lt;0,"",O587-K587-L587))),"")</f>
        <v>0.375</v>
      </c>
      <c r="O587" s="8" t="n">
        <f aca="false">IF(AG587="2H Pause déjeuner",IF(F587-D587-0.0833333333333333&lt;0,F587-D587-0.0833333333333333+1,F587-D587-0.0833333333333333),IF(OR(AND(F587="OFF",D587="OFF"),AND(F587="Congé",D587="Congé"),AND(F587="Congé sans solde",D587="Congé sans solde"),AND(F587="Congé spécial",D587="Congé spécial"),AND(F587="Férié",D587="Férié"),AND(F587="OFF",D587="Congé"),AND(F587="OFF",D587="Congé sans solde"),AND(F587="OFF",D587="Congé spécial"),AND(F587="OFF",D587="Férié"),AND(F587="Congé",D587="OFF"),AND(F587="Congé",D587="Congé sans solde"),AND(F587="Congé",D587="Congé spécial"),AND(F587="Congé",D587="Férié"),AND(F587="Congé sans solde",D587="OFF"),AND(F587="Congé sans solde",D587="Congé"),AND(F587="Congé sans solde",D587="Congé spécial"),AND(F587="Congé sans solde",D587="Férié"),AND(F587="Congé spécial",D587="OFF"),AND(F587="Congé spécial",D587="Congé"),AND(F587="Congé spécial",D587="Congé sans solde"),AND(F587="Congé spécial",D587="Férié"),AND(F587="Férié",D587="OFF"),AND(F587="Férié",D587="Congé"),AND(F587="Férié",D587="Congé sans solde"),AND(F587="Férié",D587="Congé spécial")),0,IF(OR(F587="OFF",F587="Congé",F587="Congé spécial",F587="Congé sans solde",D587="OFF",D587="Congé",D587="Congé spécial",D587="Congé sans solde"),0.208333333333334,IF(AND(AG587="",F587-D587&lt;0),("24:00:00"-D587)+("00:00:00"+F587)-0.0416666666666667,IF(AND(OR(AG587="Allaitement",AG587="Sans déjeuner"),F587-D587&lt;0),("24:00:00"-D587)+("00:00:00"+F587),IF(AND(AG587="",F587-D587&gt;0.166666666666667),F587-D587-0.0416666666666667,IF(AND(OR(AG587="Allaitement",AG587="Sans déjeuner"),F587-D587&gt;0.166666666666667),F587-D587,F587-D587)))))))</f>
        <v>0.375</v>
      </c>
      <c r="P587" s="6" t="str">
        <f aca="false">IFERROR(VLOOKUP($B587,Agents!$A:$D,2,0),"-")</f>
        <v>Accessibilité</v>
      </c>
      <c r="Q587" s="21" t="n">
        <v>46128</v>
      </c>
      <c r="R587" s="8" t="n">
        <f aca="false">IF(M587="Abs",O587,0)</f>
        <v>0</v>
      </c>
      <c r="S587" s="8" t="n">
        <f aca="false">SUM(R587,L587,I587,J587,W587,H587)</f>
        <v>0</v>
      </c>
      <c r="T587" s="6" t="str">
        <f aca="false">"Sem - "&amp;WEEKNUM(Q587,21)</f>
        <v>Sem - 16</v>
      </c>
      <c r="U587" s="6" t="str">
        <f aca="false">CHOOSE(MONTH(Q587),"Janvier","Février","Mars","Avril","Mai","Juin","Juillet","Août","Septembre","Octobre","Novembre","Décembre")</f>
        <v>Avril</v>
      </c>
      <c r="V587" s="22" t="n">
        <f aca="false">YEAR(Q587)</f>
        <v>2026</v>
      </c>
      <c r="W587" s="20"/>
      <c r="X587" s="8" t="n">
        <f aca="false">IFERROR(IF(M587="Abs",0,IF(ROUND((D587-C587+E587-F587)*1440,0)&lt;=1,0,D587-C587+E587-F587)),0)</f>
        <v>0.00138888888888889</v>
      </c>
      <c r="Y587" s="6" t="str">
        <f aca="false">IFERROR(VLOOKUP($B587,Agents!$A:$D,3,0),"-")</f>
        <v>OUBRAHIM Mohammed</v>
      </c>
      <c r="Z587" s="6" t="str">
        <f aca="false">IFERROR(VLOOKUP($B587,Agents!$A:$D,4,0),"-")</f>
        <v>Credit Mutuel</v>
      </c>
      <c r="AA587" s="18" t="s">
        <v>98</v>
      </c>
      <c r="AB587" s="8" t="str">
        <f aca="false">IF(AND(D587="Congé",F587="Congé"),0.333333333333333,IF(OR(AND(D587="Congé",F587&lt;&gt;"Congé"),(AND(F587="Congé",D587&lt;&gt;"Congé"))),0.166666666666667,""))</f>
        <v/>
      </c>
      <c r="AC587" s="8" t="str">
        <f aca="false">IF(AND(D587="Congé sans solde",F587="Congé sans solde"),0.333333333333333,IF(OR(AND(D587="Congé sans solde",F587&lt;&gt;"Congé sans solde"),(AND(F587="Congé sans solde",D587&lt;&gt;"Congé sans solde"))),0.166666666666667,""))</f>
        <v/>
      </c>
      <c r="AD587" s="8" t="str">
        <f aca="false">IF(AND(D587="Congé spécial",F587="Congé spécial"),0.333333333333333,IF(OR(AND(D587="Congé spécial",F587&lt;&gt;"Congé spécial"),AND(F587="Congé spécial",D587&lt;&gt;"Congé spécial")),0.166666666666667,""))</f>
        <v/>
      </c>
      <c r="AE587" s="8" t="str">
        <f aca="false">IF(AND(D587="Férié",F587="Férié"),0.333333333333333,IF(OR(AND(D587="Férié",F587&lt;&gt;"Férié"),(AND(F587="Férié",D587&lt;&gt;"Férié"))),0.166666666666667,""))</f>
        <v/>
      </c>
      <c r="AF587" s="18"/>
      <c r="AG587" s="18"/>
    </row>
    <row r="588" customFormat="false" ht="15" hidden="false" customHeight="false" outlineLevel="0" collapsed="false">
      <c r="A588" s="6" t="str">
        <f aca="false">YEAR(Q588-WEEKDAY(Q588,2)+4)&amp;"-S"&amp;TEXT(WEEKNUM(Q588,21),"00")</f>
        <v>2026-S16</v>
      </c>
      <c r="B588" s="18" t="s">
        <v>72</v>
      </c>
      <c r="C588" s="19" t="n">
        <v>0.331944444444444</v>
      </c>
      <c r="D588" s="19" t="n">
        <v>0.333333333333333</v>
      </c>
      <c r="E588" s="19" t="n">
        <v>0.75</v>
      </c>
      <c r="F588" s="19" t="n">
        <v>0.75</v>
      </c>
      <c r="G588" s="20"/>
      <c r="H588" s="20"/>
      <c r="I588" s="8" t="str">
        <f aca="false">IF(IF(OR(C588="",D588="Congé",D588="OFF",D588="Congé spécial"),"",IF(D588&gt;F588,D588-C588,IF(C588-D588&lt;0,0,C588-D588)))&lt;0.00068287037037037,"",IF(OR(D588="Congé",D588="OFF",C588="",D588="Congé spécial"),"",IF(D588&gt;F588,D588-C588,IF(C588-D588&lt;0,0,C588-D588))))</f>
        <v/>
      </c>
      <c r="J588" s="20"/>
      <c r="K588" s="8" t="n">
        <f aca="false">IF(SUM(H588:J588)&lt;0.00068287037037037,0,SUM(H588:J588))</f>
        <v>0</v>
      </c>
      <c r="L588" s="8" t="n">
        <f aca="false">IF(OR(F588="Congé",F588="OFF",M588="Abs",F588="Congé sans solde",F588="Férié",F588="Congé spécial",D588="Congé spécial"),0,IF(F588-E588&lt;0,0,IF(F588-E588&lt;=0.00068287037037037,0,F588-E588)))</f>
        <v>0</v>
      </c>
      <c r="M588" s="6" t="n">
        <f aca="false">IF(AND(O588&lt;&gt;0,C588=""),"Abs",0)</f>
        <v>0</v>
      </c>
      <c r="N588" s="8" t="n">
        <f aca="false">IFERROR(IF(OR(D588="OFF",D588="Congé",M588="Abs",D588="Congé sans solde",D588="Férié"),"",IF(O588-K588-L588&gt;O588,O588,IF(O588-K588-L588&lt;0,"",O588-K588-L588))),"")</f>
        <v>0.375</v>
      </c>
      <c r="O588" s="8" t="n">
        <f aca="false">IF(AG588="2H Pause déjeuner",IF(F588-D588-0.0833333333333333&lt;0,F588-D588-0.0833333333333333+1,F588-D588-0.0833333333333333),IF(OR(AND(F588="OFF",D588="OFF"),AND(F588="Congé",D588="Congé"),AND(F588="Congé sans solde",D588="Congé sans solde"),AND(F588="Congé spécial",D588="Congé spécial"),AND(F588="Férié",D588="Férié"),AND(F588="OFF",D588="Congé"),AND(F588="OFF",D588="Congé sans solde"),AND(F588="OFF",D588="Congé spécial"),AND(F588="OFF",D588="Férié"),AND(F588="Congé",D588="OFF"),AND(F588="Congé",D588="Congé sans solde"),AND(F588="Congé",D588="Congé spécial"),AND(F588="Congé",D588="Férié"),AND(F588="Congé sans solde",D588="OFF"),AND(F588="Congé sans solde",D588="Congé"),AND(F588="Congé sans solde",D588="Congé spécial"),AND(F588="Congé sans solde",D588="Férié"),AND(F588="Congé spécial",D588="OFF"),AND(F588="Congé spécial",D588="Congé"),AND(F588="Congé spécial",D588="Congé sans solde"),AND(F588="Congé spécial",D588="Férié"),AND(F588="Férié",D588="OFF"),AND(F588="Férié",D588="Congé"),AND(F588="Férié",D588="Congé sans solde"),AND(F588="Férié",D588="Congé spécial")),0,IF(OR(F588="OFF",F588="Congé",F588="Congé spécial",F588="Congé sans solde",D588="OFF",D588="Congé",D588="Congé spécial",D588="Congé sans solde"),0.208333333333334,IF(AND(AG588="",F588-D588&lt;0),("24:00:00"-D588)+("00:00:00"+F588)-0.0416666666666667,IF(AND(OR(AG588="Allaitement",AG588="Sans déjeuner"),F588-D588&lt;0),("24:00:00"-D588)+("00:00:00"+F588),IF(AND(AG588="",F588-D588&gt;0.166666666666667),F588-D588-0.0416666666666667,IF(AND(OR(AG588="Allaitement",AG588="Sans déjeuner"),F588-D588&gt;0.166666666666667),F588-D588,F588-D588)))))))</f>
        <v>0.375</v>
      </c>
      <c r="P588" s="6" t="str">
        <f aca="false">IFERROR(VLOOKUP($B588,Agents!$A:$D,2,0),"-")</f>
        <v>Accessibilité</v>
      </c>
      <c r="Q588" s="21" t="n">
        <v>46128</v>
      </c>
      <c r="R588" s="8" t="n">
        <f aca="false">IF(M588="Abs",O588,0)</f>
        <v>0</v>
      </c>
      <c r="S588" s="8" t="n">
        <f aca="false">SUM(R588,L588,I588,J588,W588,H588)</f>
        <v>0</v>
      </c>
      <c r="T588" s="6" t="str">
        <f aca="false">"Sem - "&amp;WEEKNUM(Q588,21)</f>
        <v>Sem - 16</v>
      </c>
      <c r="U588" s="6" t="str">
        <f aca="false">CHOOSE(MONTH(Q588),"Janvier","Février","Mars","Avril","Mai","Juin","Juillet","Août","Septembre","Octobre","Novembre","Décembre")</f>
        <v>Avril</v>
      </c>
      <c r="V588" s="22" t="n">
        <f aca="false">YEAR(Q588)</f>
        <v>2026</v>
      </c>
      <c r="W588" s="20"/>
      <c r="X588" s="8" t="n">
        <f aca="false">IFERROR(IF(M588="Abs",0,IF(ROUND((D588-C588+E588-F588)*1440,0)&lt;=1,0,D588-C588+E588-F588)),0)</f>
        <v>0.00138888888888889</v>
      </c>
      <c r="Y588" s="6" t="str">
        <f aca="false">IFERROR(VLOOKUP($B588,Agents!$A:$D,3,0),"-")</f>
        <v>OUBRAHIM Mohammed</v>
      </c>
      <c r="Z588" s="6" t="str">
        <f aca="false">IFERROR(VLOOKUP($B588,Agents!$A:$D,4,0),"-")</f>
        <v>Credit Mutuel</v>
      </c>
      <c r="AA588" s="18" t="s">
        <v>98</v>
      </c>
      <c r="AB588" s="8" t="str">
        <f aca="false">IF(AND(D588="Congé",F588="Congé"),0.333333333333333,IF(OR(AND(D588="Congé",F588&lt;&gt;"Congé"),(AND(F588="Congé",D588&lt;&gt;"Congé"))),0.166666666666667,""))</f>
        <v/>
      </c>
      <c r="AC588" s="8" t="str">
        <f aca="false">IF(AND(D588="Congé sans solde",F588="Congé sans solde"),0.333333333333333,IF(OR(AND(D588="Congé sans solde",F588&lt;&gt;"Congé sans solde"),(AND(F588="Congé sans solde",D588&lt;&gt;"Congé sans solde"))),0.166666666666667,""))</f>
        <v/>
      </c>
      <c r="AD588" s="8" t="str">
        <f aca="false">IF(AND(D588="Congé spécial",F588="Congé spécial"),0.333333333333333,IF(OR(AND(D588="Congé spécial",F588&lt;&gt;"Congé spécial"),AND(F588="Congé spécial",D588&lt;&gt;"Congé spécial")),0.166666666666667,""))</f>
        <v/>
      </c>
      <c r="AE588" s="8" t="str">
        <f aca="false">IF(AND(D588="Férié",F588="Férié"),0.333333333333333,IF(OR(AND(D588="Férié",F588&lt;&gt;"Férié"),(AND(F588="Férié",D588&lt;&gt;"Férié"))),0.166666666666667,""))</f>
        <v/>
      </c>
      <c r="AF588" s="18"/>
      <c r="AG588" s="18"/>
    </row>
    <row r="589" customFormat="false" ht="15" hidden="false" customHeight="false" outlineLevel="0" collapsed="false">
      <c r="A589" s="6" t="str">
        <f aca="false">YEAR(Q589-WEEKDAY(Q589,2)+4)&amp;"-S"&amp;TEXT(WEEKNUM(Q589,21),"00")</f>
        <v>2026-S16</v>
      </c>
      <c r="B589" s="18" t="s">
        <v>73</v>
      </c>
      <c r="C589" s="19" t="n">
        <v>0.331944444444444</v>
      </c>
      <c r="D589" s="19" t="n">
        <v>0.333333333333333</v>
      </c>
      <c r="E589" s="19" t="n">
        <v>0.75</v>
      </c>
      <c r="F589" s="19" t="n">
        <v>0.75</v>
      </c>
      <c r="G589" s="20"/>
      <c r="H589" s="20"/>
      <c r="I589" s="8" t="str">
        <f aca="false">IF(IF(OR(C589="",D589="Congé",D589="OFF",D589="Congé spécial"),"",IF(D589&gt;F589,D589-C589,IF(C589-D589&lt;0,0,C589-D589)))&lt;0.00068287037037037,"",IF(OR(D589="Congé",D589="OFF",C589="",D589="Congé spécial"),"",IF(D589&gt;F589,D589-C589,IF(C589-D589&lt;0,0,C589-D589))))</f>
        <v/>
      </c>
      <c r="J589" s="20"/>
      <c r="K589" s="8" t="n">
        <f aca="false">IF(SUM(H589:J589)&lt;0.00068287037037037,0,SUM(H589:J589))</f>
        <v>0</v>
      </c>
      <c r="L589" s="8" t="n">
        <f aca="false">IF(OR(F589="Congé",F589="OFF",M589="Abs",F589="Congé sans solde",F589="Férié",F589="Congé spécial",D589="Congé spécial"),0,IF(F589-E589&lt;0,0,IF(F589-E589&lt;=0.00068287037037037,0,F589-E589)))</f>
        <v>0</v>
      </c>
      <c r="M589" s="6" t="n">
        <f aca="false">IF(AND(O589&lt;&gt;0,C589=""),"Abs",0)</f>
        <v>0</v>
      </c>
      <c r="N589" s="8" t="n">
        <f aca="false">IFERROR(IF(OR(D589="OFF",D589="Congé",M589="Abs",D589="Congé sans solde",D589="Férié"),"",IF(O589-K589-L589&gt;O589,O589,IF(O589-K589-L589&lt;0,"",O589-K589-L589))),"")</f>
        <v>0.375</v>
      </c>
      <c r="O589" s="8" t="n">
        <f aca="false">IF(AG589="2H Pause déjeuner",IF(F589-D589-0.0833333333333333&lt;0,F589-D589-0.0833333333333333+1,F589-D589-0.0833333333333333),IF(OR(AND(F589="OFF",D589="OFF"),AND(F589="Congé",D589="Congé"),AND(F589="Congé sans solde",D589="Congé sans solde"),AND(F589="Congé spécial",D589="Congé spécial"),AND(F589="Férié",D589="Férié"),AND(F589="OFF",D589="Congé"),AND(F589="OFF",D589="Congé sans solde"),AND(F589="OFF",D589="Congé spécial"),AND(F589="OFF",D589="Férié"),AND(F589="Congé",D589="OFF"),AND(F589="Congé",D589="Congé sans solde"),AND(F589="Congé",D589="Congé spécial"),AND(F589="Congé",D589="Férié"),AND(F589="Congé sans solde",D589="OFF"),AND(F589="Congé sans solde",D589="Congé"),AND(F589="Congé sans solde",D589="Congé spécial"),AND(F589="Congé sans solde",D589="Férié"),AND(F589="Congé spécial",D589="OFF"),AND(F589="Congé spécial",D589="Congé"),AND(F589="Congé spécial",D589="Congé sans solde"),AND(F589="Congé spécial",D589="Férié"),AND(F589="Férié",D589="OFF"),AND(F589="Férié",D589="Congé"),AND(F589="Férié",D589="Congé sans solde"),AND(F589="Férié",D589="Congé spécial")),0,IF(OR(F589="OFF",F589="Congé",F589="Congé spécial",F589="Congé sans solde",D589="OFF",D589="Congé",D589="Congé spécial",D589="Congé sans solde"),0.208333333333334,IF(AND(AG589="",F589-D589&lt;0),("24:00:00"-D589)+("00:00:00"+F589)-0.0416666666666667,IF(AND(OR(AG589="Allaitement",AG589="Sans déjeuner"),F589-D589&lt;0),("24:00:00"-D589)+("00:00:00"+F589),IF(AND(AG589="",F589-D589&gt;0.166666666666667),F589-D589-0.0416666666666667,IF(AND(OR(AG589="Allaitement",AG589="Sans déjeuner"),F589-D589&gt;0.166666666666667),F589-D589,F589-D589)))))))</f>
        <v>0.375</v>
      </c>
      <c r="P589" s="6" t="str">
        <f aca="false">IFERROR(VLOOKUP($B589,Agents!$A:$D,2,0),"-")</f>
        <v>Accessibilité</v>
      </c>
      <c r="Q589" s="21" t="n">
        <v>46128</v>
      </c>
      <c r="R589" s="8" t="n">
        <f aca="false">IF(M589="Abs",O589,0)</f>
        <v>0</v>
      </c>
      <c r="S589" s="8" t="n">
        <f aca="false">SUM(R589,L589,I589,J589,W589,H589)</f>
        <v>0</v>
      </c>
      <c r="T589" s="6" t="str">
        <f aca="false">"Sem - "&amp;WEEKNUM(Q589,21)</f>
        <v>Sem - 16</v>
      </c>
      <c r="U589" s="6" t="str">
        <f aca="false">CHOOSE(MONTH(Q589),"Janvier","Février","Mars","Avril","Mai","Juin","Juillet","Août","Septembre","Octobre","Novembre","Décembre")</f>
        <v>Avril</v>
      </c>
      <c r="V589" s="22" t="n">
        <f aca="false">YEAR(Q589)</f>
        <v>2026</v>
      </c>
      <c r="W589" s="20"/>
      <c r="X589" s="8" t="n">
        <f aca="false">IFERROR(IF(M589="Abs",0,IF(ROUND((D589-C589+E589-F589)*1440,0)&lt;=1,0,D589-C589+E589-F589)),0)</f>
        <v>0.00138888888888889</v>
      </c>
      <c r="Y589" s="6" t="str">
        <f aca="false">IFERROR(VLOOKUP($B589,Agents!$A:$D,3,0),"-")</f>
        <v>OUBRAHIM Mohammed</v>
      </c>
      <c r="Z589" s="6" t="str">
        <f aca="false">IFERROR(VLOOKUP($B589,Agents!$A:$D,4,0),"-")</f>
        <v>Credit Mutuel</v>
      </c>
      <c r="AA589" s="18" t="s">
        <v>98</v>
      </c>
      <c r="AB589" s="8" t="str">
        <f aca="false">IF(AND(D589="Congé",F589="Congé"),0.333333333333333,IF(OR(AND(D589="Congé",F589&lt;&gt;"Congé"),(AND(F589="Congé",D589&lt;&gt;"Congé"))),0.166666666666667,""))</f>
        <v/>
      </c>
      <c r="AC589" s="8" t="str">
        <f aca="false">IF(AND(D589="Congé sans solde",F589="Congé sans solde"),0.333333333333333,IF(OR(AND(D589="Congé sans solde",F589&lt;&gt;"Congé sans solde"),(AND(F589="Congé sans solde",D589&lt;&gt;"Congé sans solde"))),0.166666666666667,""))</f>
        <v/>
      </c>
      <c r="AD589" s="8" t="str">
        <f aca="false">IF(AND(D589="Congé spécial",F589="Congé spécial"),0.333333333333333,IF(OR(AND(D589="Congé spécial",F589&lt;&gt;"Congé spécial"),AND(F589="Congé spécial",D589&lt;&gt;"Congé spécial")),0.166666666666667,""))</f>
        <v/>
      </c>
      <c r="AE589" s="8" t="str">
        <f aca="false">IF(AND(D589="Férié",F589="Férié"),0.333333333333333,IF(OR(AND(D589="Férié",F589&lt;&gt;"Férié"),(AND(F589="Férié",D589&lt;&gt;"Férié"))),0.166666666666667,""))</f>
        <v/>
      </c>
      <c r="AF589" s="18"/>
      <c r="AG589" s="18"/>
    </row>
    <row r="590" customFormat="false" ht="15" hidden="false" customHeight="false" outlineLevel="0" collapsed="false">
      <c r="A590" s="6" t="str">
        <f aca="false">YEAR(Q590-WEEKDAY(Q590,2)+4)&amp;"-S"&amp;TEXT(WEEKNUM(Q590,21),"00")</f>
        <v>2026-S16</v>
      </c>
      <c r="B590" s="18" t="s">
        <v>69</v>
      </c>
      <c r="C590" s="19" t="n">
        <v>0.333333333333333</v>
      </c>
      <c r="D590" s="19" t="n">
        <v>0.333333333333333</v>
      </c>
      <c r="E590" s="19" t="n">
        <v>0.708333333333333</v>
      </c>
      <c r="F590" s="19" t="n">
        <v>0.708333333333333</v>
      </c>
      <c r="G590" s="20"/>
      <c r="H590" s="20"/>
      <c r="I590" s="8" t="str">
        <f aca="false">IF(IF(OR(C590="",D590="Congé",D590="OFF",D590="Congé spécial"),"",IF(D590&gt;F590,D590-C590,IF(C590-D590&lt;0,0,C590-D590)))&lt;0.00068287037037037,"",IF(OR(D590="Congé",D590="OFF",C590="",D590="Congé spécial"),"",IF(D590&gt;F590,D590-C590,IF(C590-D590&lt;0,0,C590-D590))))</f>
        <v/>
      </c>
      <c r="J590" s="20"/>
      <c r="K590" s="8" t="n">
        <f aca="false">IF(SUM(H590:J590)&lt;0.00068287037037037,0,SUM(H590:J590))</f>
        <v>0</v>
      </c>
      <c r="L590" s="8" t="n">
        <f aca="false">IF(OR(F590="Congé",F590="OFF",M590="Abs",F590="Congé sans solde",F590="Férié",F590="Congé spécial",D590="Congé spécial"),0,IF(F590-E590&lt;0,0,IF(F590-E590&lt;=0.00068287037037037,0,F590-E590)))</f>
        <v>0</v>
      </c>
      <c r="M590" s="6" t="n">
        <f aca="false">IF(AND(O590&lt;&gt;0,C590=""),"Abs",0)</f>
        <v>0</v>
      </c>
      <c r="N590" s="8" t="n">
        <f aca="false">IFERROR(IF(OR(D590="OFF",D590="Congé",M590="Abs",D590="Congé sans solde",D590="Férié"),"",IF(O590-K590-L590&gt;O590,O590,IF(O590-K590-L590&lt;0,"",O590-K590-L590))),"")</f>
        <v>0.333333333333333</v>
      </c>
      <c r="O590" s="8" t="n">
        <f aca="false">IF(AG590="2H Pause déjeuner",IF(F590-D590-0.0833333333333333&lt;0,F590-D590-0.0833333333333333+1,F590-D590-0.0833333333333333),IF(OR(AND(F590="OFF",D590="OFF"),AND(F590="Congé",D590="Congé"),AND(F590="Congé sans solde",D590="Congé sans solde"),AND(F590="Congé spécial",D590="Congé spécial"),AND(F590="Férié",D590="Férié"),AND(F590="OFF",D590="Congé"),AND(F590="OFF",D590="Congé sans solde"),AND(F590="OFF",D590="Congé spécial"),AND(F590="OFF",D590="Férié"),AND(F590="Congé",D590="OFF"),AND(F590="Congé",D590="Congé sans solde"),AND(F590="Congé",D590="Congé spécial"),AND(F590="Congé",D590="Férié"),AND(F590="Congé sans solde",D590="OFF"),AND(F590="Congé sans solde",D590="Congé"),AND(F590="Congé sans solde",D590="Congé spécial"),AND(F590="Congé sans solde",D590="Férié"),AND(F590="Congé spécial",D590="OFF"),AND(F590="Congé spécial",D590="Congé"),AND(F590="Congé spécial",D590="Congé sans solde"),AND(F590="Congé spécial",D590="Férié"),AND(F590="Férié",D590="OFF"),AND(F590="Férié",D590="Congé"),AND(F590="Férié",D590="Congé sans solde"),AND(F590="Férié",D590="Congé spécial")),0,IF(OR(F590="OFF",F590="Congé",F590="Congé spécial",F590="Congé sans solde",D590="OFF",D590="Congé",D590="Congé spécial",D590="Congé sans solde"),0.208333333333334,IF(AND(AG590="",F590-D590&lt;0),("24:00:00"-D590)+("00:00:00"+F590)-0.0416666666666667,IF(AND(OR(AG590="Allaitement",AG590="Sans déjeuner"),F590-D590&lt;0),("24:00:00"-D590)+("00:00:00"+F590),IF(AND(AG590="",F590-D590&gt;0.166666666666667),F590-D590-0.0416666666666667,IF(AND(OR(AG590="Allaitement",AG590="Sans déjeuner"),F590-D590&gt;0.166666666666667),F590-D590,F590-D590)))))))</f>
        <v>0.333333333333333</v>
      </c>
      <c r="P590" s="6" t="str">
        <f aca="false">IFERROR(VLOOKUP($B590,Agents!$A:$D,2,0),"-")</f>
        <v>Accessibilité</v>
      </c>
      <c r="Q590" s="21" t="n">
        <v>46129</v>
      </c>
      <c r="R590" s="8" t="n">
        <f aca="false">IF(M590="Abs",O590,0)</f>
        <v>0</v>
      </c>
      <c r="S590" s="8" t="n">
        <f aca="false">SUM(R590,L590,I590,J590,W590,H590)</f>
        <v>0</v>
      </c>
      <c r="T590" s="6" t="str">
        <f aca="false">"Sem - "&amp;WEEKNUM(Q590,21)</f>
        <v>Sem - 16</v>
      </c>
      <c r="U590" s="6" t="str">
        <f aca="false">CHOOSE(MONTH(Q590),"Janvier","Février","Mars","Avril","Mai","Juin","Juillet","Août","Septembre","Octobre","Novembre","Décembre")</f>
        <v>Avril</v>
      </c>
      <c r="V590" s="22" t="n">
        <f aca="false">YEAR(Q590)</f>
        <v>2026</v>
      </c>
      <c r="W590" s="20"/>
      <c r="X590" s="8" t="n">
        <f aca="false">IFERROR(IF(M590="Abs",0,IF(ROUND((D590-C590+E590-F590)*1440,0)&lt;=1,0,D590-C590+E590-F590)),0)</f>
        <v>0</v>
      </c>
      <c r="Y590" s="6" t="str">
        <f aca="false">IFERROR(VLOOKUP($B590,Agents!$A:$D,3,0),"-")</f>
        <v>OUBRAHIM Mohammed</v>
      </c>
      <c r="Z590" s="6" t="str">
        <f aca="false">IFERROR(VLOOKUP($B590,Agents!$A:$D,4,0),"-")</f>
        <v>Credit Mutuel</v>
      </c>
      <c r="AA590" s="18" t="s">
        <v>98</v>
      </c>
      <c r="AB590" s="8" t="str">
        <f aca="false">IF(AND(D590="Congé",F590="Congé"),0.333333333333333,IF(OR(AND(D590="Congé",F590&lt;&gt;"Congé"),(AND(F590="Congé",D590&lt;&gt;"Congé"))),0.166666666666667,""))</f>
        <v/>
      </c>
      <c r="AC590" s="8" t="str">
        <f aca="false">IF(AND(D590="Congé sans solde",F590="Congé sans solde"),0.333333333333333,IF(OR(AND(D590="Congé sans solde",F590&lt;&gt;"Congé sans solde"),(AND(F590="Congé sans solde",D590&lt;&gt;"Congé sans solde"))),0.166666666666667,""))</f>
        <v/>
      </c>
      <c r="AD590" s="8" t="str">
        <f aca="false">IF(AND(D590="Congé spécial",F590="Congé spécial"),0.333333333333333,IF(OR(AND(D590="Congé spécial",F590&lt;&gt;"Congé spécial"),AND(F590="Congé spécial",D590&lt;&gt;"Congé spécial")),0.166666666666667,""))</f>
        <v/>
      </c>
      <c r="AE590" s="8" t="str">
        <f aca="false">IF(AND(D590="Férié",F590="Férié"),0.333333333333333,IF(OR(AND(D590="Férié",F590&lt;&gt;"Férié"),(AND(F590="Férié",D590&lt;&gt;"Férié"))),0.166666666666667,""))</f>
        <v/>
      </c>
      <c r="AF590" s="18"/>
      <c r="AG590" s="18"/>
    </row>
    <row r="591" customFormat="false" ht="15" hidden="false" customHeight="false" outlineLevel="0" collapsed="false">
      <c r="A591" s="6" t="str">
        <f aca="false">YEAR(Q591-WEEKDAY(Q591,2)+4)&amp;"-S"&amp;TEXT(WEEKNUM(Q591,21),"00")</f>
        <v>2026-S16</v>
      </c>
      <c r="B591" s="18" t="s">
        <v>71</v>
      </c>
      <c r="C591" s="19" t="n">
        <v>0.333333333333333</v>
      </c>
      <c r="D591" s="19" t="n">
        <v>0.333333333333333</v>
      </c>
      <c r="E591" s="19" t="n">
        <v>0.708333333333333</v>
      </c>
      <c r="F591" s="19" t="n">
        <v>0.708333333333333</v>
      </c>
      <c r="G591" s="20"/>
      <c r="H591" s="20"/>
      <c r="I591" s="8" t="str">
        <f aca="false">IF(IF(OR(C591="",D591="Congé",D591="OFF",D591="Congé spécial"),"",IF(D591&gt;F591,D591-C591,IF(C591-D591&lt;0,0,C591-D591)))&lt;0.00068287037037037,"",IF(OR(D591="Congé",D591="OFF",C591="",D591="Congé spécial"),"",IF(D591&gt;F591,D591-C591,IF(C591-D591&lt;0,0,C591-D591))))</f>
        <v/>
      </c>
      <c r="J591" s="20"/>
      <c r="K591" s="8" t="n">
        <f aca="false">IF(SUM(H591:J591)&lt;0.00068287037037037,0,SUM(H591:J591))</f>
        <v>0</v>
      </c>
      <c r="L591" s="8" t="n">
        <f aca="false">IF(OR(F591="Congé",F591="OFF",M591="Abs",F591="Congé sans solde",F591="Férié",F591="Congé spécial",D591="Congé spécial"),0,IF(F591-E591&lt;0,0,IF(F591-E591&lt;=0.00068287037037037,0,F591-E591)))</f>
        <v>0</v>
      </c>
      <c r="M591" s="6" t="n">
        <f aca="false">IF(AND(O591&lt;&gt;0,C591=""),"Abs",0)</f>
        <v>0</v>
      </c>
      <c r="N591" s="8" t="n">
        <f aca="false">IFERROR(IF(OR(D591="OFF",D591="Congé",M591="Abs",D591="Congé sans solde",D591="Férié"),"",IF(O591-K591-L591&gt;O591,O591,IF(O591-K591-L591&lt;0,"",O591-K591-L591))),"")</f>
        <v>0.333333333333333</v>
      </c>
      <c r="O591" s="8" t="n">
        <f aca="false">IF(AG591="2H Pause déjeuner",IF(F591-D591-0.0833333333333333&lt;0,F591-D591-0.0833333333333333+1,F591-D591-0.0833333333333333),IF(OR(AND(F591="OFF",D591="OFF"),AND(F591="Congé",D591="Congé"),AND(F591="Congé sans solde",D591="Congé sans solde"),AND(F591="Congé spécial",D591="Congé spécial"),AND(F591="Férié",D591="Férié"),AND(F591="OFF",D591="Congé"),AND(F591="OFF",D591="Congé sans solde"),AND(F591="OFF",D591="Congé spécial"),AND(F591="OFF",D591="Férié"),AND(F591="Congé",D591="OFF"),AND(F591="Congé",D591="Congé sans solde"),AND(F591="Congé",D591="Congé spécial"),AND(F591="Congé",D591="Férié"),AND(F591="Congé sans solde",D591="OFF"),AND(F591="Congé sans solde",D591="Congé"),AND(F591="Congé sans solde",D591="Congé spécial"),AND(F591="Congé sans solde",D591="Férié"),AND(F591="Congé spécial",D591="OFF"),AND(F591="Congé spécial",D591="Congé"),AND(F591="Congé spécial",D591="Congé sans solde"),AND(F591="Congé spécial",D591="Férié"),AND(F591="Férié",D591="OFF"),AND(F591="Férié",D591="Congé"),AND(F591="Férié",D591="Congé sans solde"),AND(F591="Férié",D591="Congé spécial")),0,IF(OR(F591="OFF",F591="Congé",F591="Congé spécial",F591="Congé sans solde",D591="OFF",D591="Congé",D591="Congé spécial",D591="Congé sans solde"),0.208333333333334,IF(AND(AG591="",F591-D591&lt;0),("24:00:00"-D591)+("00:00:00"+F591)-0.0416666666666667,IF(AND(OR(AG591="Allaitement",AG591="Sans déjeuner"),F591-D591&lt;0),("24:00:00"-D591)+("00:00:00"+F591),IF(AND(AG591="",F591-D591&gt;0.166666666666667),F591-D591-0.0416666666666667,IF(AND(OR(AG591="Allaitement",AG591="Sans déjeuner"),F591-D591&gt;0.166666666666667),F591-D591,F591-D591)))))))</f>
        <v>0.333333333333333</v>
      </c>
      <c r="P591" s="6" t="str">
        <f aca="false">IFERROR(VLOOKUP($B591,Agents!$A:$D,2,0),"-")</f>
        <v>Accessibilité</v>
      </c>
      <c r="Q591" s="21" t="n">
        <v>46129</v>
      </c>
      <c r="R591" s="8" t="n">
        <f aca="false">IF(M591="Abs",O591,0)</f>
        <v>0</v>
      </c>
      <c r="S591" s="8" t="n">
        <f aca="false">SUM(R591,L591,I591,J591,W591,H591)</f>
        <v>0</v>
      </c>
      <c r="T591" s="6" t="str">
        <f aca="false">"Sem - "&amp;WEEKNUM(Q591,21)</f>
        <v>Sem - 16</v>
      </c>
      <c r="U591" s="6" t="str">
        <f aca="false">CHOOSE(MONTH(Q591),"Janvier","Février","Mars","Avril","Mai","Juin","Juillet","Août","Septembre","Octobre","Novembre","Décembre")</f>
        <v>Avril</v>
      </c>
      <c r="V591" s="22" t="n">
        <f aca="false">YEAR(Q591)</f>
        <v>2026</v>
      </c>
      <c r="W591" s="20"/>
      <c r="X591" s="8" t="n">
        <f aca="false">IFERROR(IF(M591="Abs",0,IF(ROUND((D591-C591+E591-F591)*1440,0)&lt;=1,0,D591-C591+E591-F591)),0)</f>
        <v>0</v>
      </c>
      <c r="Y591" s="6" t="str">
        <f aca="false">IFERROR(VLOOKUP($B591,Agents!$A:$D,3,0),"-")</f>
        <v>OUBRAHIM Mohammed</v>
      </c>
      <c r="Z591" s="6" t="str">
        <f aca="false">IFERROR(VLOOKUP($B591,Agents!$A:$D,4,0),"-")</f>
        <v>Credit Mutuel</v>
      </c>
      <c r="AA591" s="18" t="s">
        <v>98</v>
      </c>
      <c r="AB591" s="8" t="str">
        <f aca="false">IF(AND(D591="Congé",F591="Congé"),0.333333333333333,IF(OR(AND(D591="Congé",F591&lt;&gt;"Congé"),(AND(F591="Congé",D591&lt;&gt;"Congé"))),0.166666666666667,""))</f>
        <v/>
      </c>
      <c r="AC591" s="8" t="str">
        <f aca="false">IF(AND(D591="Congé sans solde",F591="Congé sans solde"),0.333333333333333,IF(OR(AND(D591="Congé sans solde",F591&lt;&gt;"Congé sans solde"),(AND(F591="Congé sans solde",D591&lt;&gt;"Congé sans solde"))),0.166666666666667,""))</f>
        <v/>
      </c>
      <c r="AD591" s="8" t="str">
        <f aca="false">IF(AND(D591="Congé spécial",F591="Congé spécial"),0.333333333333333,IF(OR(AND(D591="Congé spécial",F591&lt;&gt;"Congé spécial"),AND(F591="Congé spécial",D591&lt;&gt;"Congé spécial")),0.166666666666667,""))</f>
        <v/>
      </c>
      <c r="AE591" s="8" t="str">
        <f aca="false">IF(AND(D591="Férié",F591="Férié"),0.333333333333333,IF(OR(AND(D591="Férié",F591&lt;&gt;"Férié"),(AND(F591="Férié",D591&lt;&gt;"Férié"))),0.166666666666667,""))</f>
        <v/>
      </c>
      <c r="AF591" s="18"/>
      <c r="AG591" s="18"/>
    </row>
    <row r="592" customFormat="false" ht="15" hidden="false" customHeight="false" outlineLevel="0" collapsed="false">
      <c r="A592" s="6" t="str">
        <f aca="false">YEAR(Q592-WEEKDAY(Q592,2)+4)&amp;"-S"&amp;TEXT(WEEKNUM(Q592,21),"00")</f>
        <v>2026-S16</v>
      </c>
      <c r="B592" s="18" t="s">
        <v>72</v>
      </c>
      <c r="C592" s="19" t="n">
        <v>0.333333333333333</v>
      </c>
      <c r="D592" s="19" t="n">
        <v>0.333333333333333</v>
      </c>
      <c r="E592" s="19" t="n">
        <v>0.708333333333333</v>
      </c>
      <c r="F592" s="19" t="n">
        <v>0.708333333333333</v>
      </c>
      <c r="G592" s="20"/>
      <c r="H592" s="20"/>
      <c r="I592" s="8" t="str">
        <f aca="false">IF(IF(OR(C592="",D592="Congé",D592="OFF",D592="Congé spécial"),"",IF(D592&gt;F592,D592-C592,IF(C592-D592&lt;0,0,C592-D592)))&lt;0.00068287037037037,"",IF(OR(D592="Congé",D592="OFF",C592="",D592="Congé spécial"),"",IF(D592&gt;F592,D592-C592,IF(C592-D592&lt;0,0,C592-D592))))</f>
        <v/>
      </c>
      <c r="J592" s="20"/>
      <c r="K592" s="8" t="n">
        <f aca="false">IF(SUM(H592:J592)&lt;0.00068287037037037,0,SUM(H592:J592))</f>
        <v>0</v>
      </c>
      <c r="L592" s="8" t="n">
        <f aca="false">IF(OR(F592="Congé",F592="OFF",M592="Abs",F592="Congé sans solde",F592="Férié",F592="Congé spécial",D592="Congé spécial"),0,IF(F592-E592&lt;0,0,IF(F592-E592&lt;=0.00068287037037037,0,F592-E592)))</f>
        <v>0</v>
      </c>
      <c r="M592" s="6" t="n">
        <f aca="false">IF(AND(O592&lt;&gt;0,C592=""),"Abs",0)</f>
        <v>0</v>
      </c>
      <c r="N592" s="8" t="n">
        <f aca="false">IFERROR(IF(OR(D592="OFF",D592="Congé",M592="Abs",D592="Congé sans solde",D592="Férié"),"",IF(O592-K592-L592&gt;O592,O592,IF(O592-K592-L592&lt;0,"",O592-K592-L592))),"")</f>
        <v>0.333333333333333</v>
      </c>
      <c r="O592" s="8" t="n">
        <f aca="false">IF(AG592="2H Pause déjeuner",IF(F592-D592-0.0833333333333333&lt;0,F592-D592-0.0833333333333333+1,F592-D592-0.0833333333333333),IF(OR(AND(F592="OFF",D592="OFF"),AND(F592="Congé",D592="Congé"),AND(F592="Congé sans solde",D592="Congé sans solde"),AND(F592="Congé spécial",D592="Congé spécial"),AND(F592="Férié",D592="Férié"),AND(F592="OFF",D592="Congé"),AND(F592="OFF",D592="Congé sans solde"),AND(F592="OFF",D592="Congé spécial"),AND(F592="OFF",D592="Férié"),AND(F592="Congé",D592="OFF"),AND(F592="Congé",D592="Congé sans solde"),AND(F592="Congé",D592="Congé spécial"),AND(F592="Congé",D592="Férié"),AND(F592="Congé sans solde",D592="OFF"),AND(F592="Congé sans solde",D592="Congé"),AND(F592="Congé sans solde",D592="Congé spécial"),AND(F592="Congé sans solde",D592="Férié"),AND(F592="Congé spécial",D592="OFF"),AND(F592="Congé spécial",D592="Congé"),AND(F592="Congé spécial",D592="Congé sans solde"),AND(F592="Congé spécial",D592="Férié"),AND(F592="Férié",D592="OFF"),AND(F592="Férié",D592="Congé"),AND(F592="Férié",D592="Congé sans solde"),AND(F592="Férié",D592="Congé spécial")),0,IF(OR(F592="OFF",F592="Congé",F592="Congé spécial",F592="Congé sans solde",D592="OFF",D592="Congé",D592="Congé spécial",D592="Congé sans solde"),0.208333333333334,IF(AND(AG592="",F592-D592&lt;0),("24:00:00"-D592)+("00:00:00"+F592)-0.0416666666666667,IF(AND(OR(AG592="Allaitement",AG592="Sans déjeuner"),F592-D592&lt;0),("24:00:00"-D592)+("00:00:00"+F592),IF(AND(AG592="",F592-D592&gt;0.166666666666667),F592-D592-0.0416666666666667,IF(AND(OR(AG592="Allaitement",AG592="Sans déjeuner"),F592-D592&gt;0.166666666666667),F592-D592,F592-D592)))))))</f>
        <v>0.333333333333333</v>
      </c>
      <c r="P592" s="6" t="str">
        <f aca="false">IFERROR(VLOOKUP($B592,Agents!$A:$D,2,0),"-")</f>
        <v>Accessibilité</v>
      </c>
      <c r="Q592" s="21" t="n">
        <v>46129</v>
      </c>
      <c r="R592" s="8" t="n">
        <f aca="false">IF(M592="Abs",O592,0)</f>
        <v>0</v>
      </c>
      <c r="S592" s="8" t="n">
        <f aca="false">SUM(R592,L592,I592,J592,W592,H592)</f>
        <v>0</v>
      </c>
      <c r="T592" s="6" t="str">
        <f aca="false">"Sem - "&amp;WEEKNUM(Q592,21)</f>
        <v>Sem - 16</v>
      </c>
      <c r="U592" s="6" t="str">
        <f aca="false">CHOOSE(MONTH(Q592),"Janvier","Février","Mars","Avril","Mai","Juin","Juillet","Août","Septembre","Octobre","Novembre","Décembre")</f>
        <v>Avril</v>
      </c>
      <c r="V592" s="22" t="n">
        <f aca="false">YEAR(Q592)</f>
        <v>2026</v>
      </c>
      <c r="W592" s="20"/>
      <c r="X592" s="8" t="n">
        <f aca="false">IFERROR(IF(M592="Abs",0,IF(ROUND((D592-C592+E592-F592)*1440,0)&lt;=1,0,D592-C592+E592-F592)),0)</f>
        <v>0</v>
      </c>
      <c r="Y592" s="6" t="str">
        <f aca="false">IFERROR(VLOOKUP($B592,Agents!$A:$D,3,0),"-")</f>
        <v>OUBRAHIM Mohammed</v>
      </c>
      <c r="Z592" s="6" t="str">
        <f aca="false">IFERROR(VLOOKUP($B592,Agents!$A:$D,4,0),"-")</f>
        <v>Credit Mutuel</v>
      </c>
      <c r="AA592" s="18" t="s">
        <v>98</v>
      </c>
      <c r="AB592" s="8" t="str">
        <f aca="false">IF(AND(D592="Congé",F592="Congé"),0.333333333333333,IF(OR(AND(D592="Congé",F592&lt;&gt;"Congé"),(AND(F592="Congé",D592&lt;&gt;"Congé"))),0.166666666666667,""))</f>
        <v/>
      </c>
      <c r="AC592" s="8" t="str">
        <f aca="false">IF(AND(D592="Congé sans solde",F592="Congé sans solde"),0.333333333333333,IF(OR(AND(D592="Congé sans solde",F592&lt;&gt;"Congé sans solde"),(AND(F592="Congé sans solde",D592&lt;&gt;"Congé sans solde"))),0.166666666666667,""))</f>
        <v/>
      </c>
      <c r="AD592" s="8" t="str">
        <f aca="false">IF(AND(D592="Congé spécial",F592="Congé spécial"),0.333333333333333,IF(OR(AND(D592="Congé spécial",F592&lt;&gt;"Congé spécial"),AND(F592="Congé spécial",D592&lt;&gt;"Congé spécial")),0.166666666666667,""))</f>
        <v/>
      </c>
      <c r="AE592" s="8" t="str">
        <f aca="false">IF(AND(D592="Férié",F592="Férié"),0.333333333333333,IF(OR(AND(D592="Férié",F592&lt;&gt;"Férié"),(AND(F592="Férié",D592&lt;&gt;"Férié"))),0.166666666666667,""))</f>
        <v/>
      </c>
      <c r="AF592" s="18"/>
      <c r="AG592" s="18"/>
    </row>
    <row r="593" customFormat="false" ht="15" hidden="false" customHeight="false" outlineLevel="0" collapsed="false">
      <c r="A593" s="6" t="str">
        <f aca="false">YEAR(Q593-WEEKDAY(Q593,2)+4)&amp;"-S"&amp;TEXT(WEEKNUM(Q593,21),"00")</f>
        <v>2026-S16</v>
      </c>
      <c r="B593" s="18" t="s">
        <v>73</v>
      </c>
      <c r="C593" s="19" t="n">
        <v>0.333333333333333</v>
      </c>
      <c r="D593" s="19" t="n">
        <v>0.333333333333333</v>
      </c>
      <c r="E593" s="19" t="n">
        <v>0.708333333333333</v>
      </c>
      <c r="F593" s="19" t="n">
        <v>0.708333333333333</v>
      </c>
      <c r="G593" s="20"/>
      <c r="H593" s="20"/>
      <c r="I593" s="8" t="str">
        <f aca="false">IF(IF(OR(C593="",D593="Congé",D593="OFF",D593="Congé spécial"),"",IF(D593&gt;F593,D593-C593,IF(C593-D593&lt;0,0,C593-D593)))&lt;0.00068287037037037,"",IF(OR(D593="Congé",D593="OFF",C593="",D593="Congé spécial"),"",IF(D593&gt;F593,D593-C593,IF(C593-D593&lt;0,0,C593-D593))))</f>
        <v/>
      </c>
      <c r="J593" s="20"/>
      <c r="K593" s="8" t="n">
        <f aca="false">IF(SUM(H593:J593)&lt;0.00068287037037037,0,SUM(H593:J593))</f>
        <v>0</v>
      </c>
      <c r="L593" s="8" t="n">
        <f aca="false">IF(OR(F593="Congé",F593="OFF",M593="Abs",F593="Congé sans solde",F593="Férié",F593="Congé spécial",D593="Congé spécial"),0,IF(F593-E593&lt;0,0,IF(F593-E593&lt;=0.00068287037037037,0,F593-E593)))</f>
        <v>0</v>
      </c>
      <c r="M593" s="6" t="n">
        <f aca="false">IF(AND(O593&lt;&gt;0,C593=""),"Abs",0)</f>
        <v>0</v>
      </c>
      <c r="N593" s="8" t="n">
        <f aca="false">IFERROR(IF(OR(D593="OFF",D593="Congé",M593="Abs",D593="Congé sans solde",D593="Férié"),"",IF(O593-K593-L593&gt;O593,O593,IF(O593-K593-L593&lt;0,"",O593-K593-L593))),"")</f>
        <v>0.333333333333333</v>
      </c>
      <c r="O593" s="8" t="n">
        <f aca="false">IF(AG593="2H Pause déjeuner",IF(F593-D593-0.0833333333333333&lt;0,F593-D593-0.0833333333333333+1,F593-D593-0.0833333333333333),IF(OR(AND(F593="OFF",D593="OFF"),AND(F593="Congé",D593="Congé"),AND(F593="Congé sans solde",D593="Congé sans solde"),AND(F593="Congé spécial",D593="Congé spécial"),AND(F593="Férié",D593="Férié"),AND(F593="OFF",D593="Congé"),AND(F593="OFF",D593="Congé sans solde"),AND(F593="OFF",D593="Congé spécial"),AND(F593="OFF",D593="Férié"),AND(F593="Congé",D593="OFF"),AND(F593="Congé",D593="Congé sans solde"),AND(F593="Congé",D593="Congé spécial"),AND(F593="Congé",D593="Férié"),AND(F593="Congé sans solde",D593="OFF"),AND(F593="Congé sans solde",D593="Congé"),AND(F593="Congé sans solde",D593="Congé spécial"),AND(F593="Congé sans solde",D593="Férié"),AND(F593="Congé spécial",D593="OFF"),AND(F593="Congé spécial",D593="Congé"),AND(F593="Congé spécial",D593="Congé sans solde"),AND(F593="Congé spécial",D593="Férié"),AND(F593="Férié",D593="OFF"),AND(F593="Férié",D593="Congé"),AND(F593="Férié",D593="Congé sans solde"),AND(F593="Férié",D593="Congé spécial")),0,IF(OR(F593="OFF",F593="Congé",F593="Congé spécial",F593="Congé sans solde",D593="OFF",D593="Congé",D593="Congé spécial",D593="Congé sans solde"),0.208333333333334,IF(AND(AG593="",F593-D593&lt;0),("24:00:00"-D593)+("00:00:00"+F593)-0.0416666666666667,IF(AND(OR(AG593="Allaitement",AG593="Sans déjeuner"),F593-D593&lt;0),("24:00:00"-D593)+("00:00:00"+F593),IF(AND(AG593="",F593-D593&gt;0.166666666666667),F593-D593-0.0416666666666667,IF(AND(OR(AG593="Allaitement",AG593="Sans déjeuner"),F593-D593&gt;0.166666666666667),F593-D593,F593-D593)))))))</f>
        <v>0.333333333333333</v>
      </c>
      <c r="P593" s="6" t="str">
        <f aca="false">IFERROR(VLOOKUP($B593,Agents!$A:$D,2,0),"-")</f>
        <v>Accessibilité</v>
      </c>
      <c r="Q593" s="21" t="n">
        <v>46129</v>
      </c>
      <c r="R593" s="8" t="n">
        <f aca="false">IF(M593="Abs",O593,0)</f>
        <v>0</v>
      </c>
      <c r="S593" s="8" t="n">
        <f aca="false">SUM(R593,L593,I593,J593,W593,H593)</f>
        <v>0</v>
      </c>
      <c r="T593" s="6" t="str">
        <f aca="false">"Sem - "&amp;WEEKNUM(Q593,21)</f>
        <v>Sem - 16</v>
      </c>
      <c r="U593" s="6" t="str">
        <f aca="false">CHOOSE(MONTH(Q593),"Janvier","Février","Mars","Avril","Mai","Juin","Juillet","Août","Septembre","Octobre","Novembre","Décembre")</f>
        <v>Avril</v>
      </c>
      <c r="V593" s="22" t="n">
        <f aca="false">YEAR(Q593)</f>
        <v>2026</v>
      </c>
      <c r="W593" s="20"/>
      <c r="X593" s="8" t="n">
        <f aca="false">IFERROR(IF(M593="Abs",0,IF(ROUND((D593-C593+E593-F593)*1440,0)&lt;=1,0,D593-C593+E593-F593)),0)</f>
        <v>0</v>
      </c>
      <c r="Y593" s="6" t="str">
        <f aca="false">IFERROR(VLOOKUP($B593,Agents!$A:$D,3,0),"-")</f>
        <v>OUBRAHIM Mohammed</v>
      </c>
      <c r="Z593" s="6" t="str">
        <f aca="false">IFERROR(VLOOKUP($B593,Agents!$A:$D,4,0),"-")</f>
        <v>Credit Mutuel</v>
      </c>
      <c r="AA593" s="18" t="s">
        <v>98</v>
      </c>
      <c r="AB593" s="8" t="str">
        <f aca="false">IF(AND(D593="Congé",F593="Congé"),0.333333333333333,IF(OR(AND(D593="Congé",F593&lt;&gt;"Congé"),(AND(F593="Congé",D593&lt;&gt;"Congé"))),0.166666666666667,""))</f>
        <v/>
      </c>
      <c r="AC593" s="8" t="str">
        <f aca="false">IF(AND(D593="Congé sans solde",F593="Congé sans solde"),0.333333333333333,IF(OR(AND(D593="Congé sans solde",F593&lt;&gt;"Congé sans solde"),(AND(F593="Congé sans solde",D593&lt;&gt;"Congé sans solde"))),0.166666666666667,""))</f>
        <v/>
      </c>
      <c r="AD593" s="8" t="str">
        <f aca="false">IF(AND(D593="Congé spécial",F593="Congé spécial"),0.333333333333333,IF(OR(AND(D593="Congé spécial",F593&lt;&gt;"Congé spécial"),AND(F593="Congé spécial",D593&lt;&gt;"Congé spécial")),0.166666666666667,""))</f>
        <v/>
      </c>
      <c r="AE593" s="8" t="str">
        <f aca="false">IF(AND(D593="Férié",F593="Férié"),0.333333333333333,IF(OR(AND(D593="Férié",F593&lt;&gt;"Férié"),(AND(F593="Férié",D593&lt;&gt;"Férié"))),0.166666666666667,""))</f>
        <v/>
      </c>
      <c r="AF593" s="18"/>
      <c r="AG593" s="18"/>
    </row>
    <row r="594" customFormat="false" ht="15" hidden="false" customHeight="false" outlineLevel="0" collapsed="false">
      <c r="A594" s="6" t="str">
        <f aca="false">YEAR(Q594-WEEKDAY(Q594,2)+4)&amp;"-S"&amp;TEXT(WEEKNUM(Q594,21),"00")</f>
        <v>2026-S16</v>
      </c>
      <c r="B594" s="18" t="s">
        <v>69</v>
      </c>
      <c r="C594" s="19"/>
      <c r="D594" s="19" t="s">
        <v>74</v>
      </c>
      <c r="E594" s="19"/>
      <c r="F594" s="19" t="s">
        <v>74</v>
      </c>
      <c r="G594" s="20"/>
      <c r="H594" s="20"/>
      <c r="I594" s="8" t="str">
        <f aca="false">IF(IF(OR(C594="",D594="Congé",D594="OFF",D594="Congé spécial"),"",IF(D594&gt;F594,D594-C594,IF(C594-D594&lt;0,0,C594-D594)))&lt;0.00068287037037037,"",IF(OR(D594="Congé",D594="OFF",C594="",D594="Congé spécial"),"",IF(D594&gt;F594,D594-C594,IF(C594-D594&lt;0,0,C594-D594))))</f>
        <v/>
      </c>
      <c r="J594" s="20"/>
      <c r="K594" s="8" t="n">
        <f aca="false">IF(SUM(H594:J594)&lt;0.00068287037037037,0,SUM(H594:J594))</f>
        <v>0</v>
      </c>
      <c r="L594" s="8" t="n">
        <f aca="false">IF(OR(F594="Congé",F594="OFF",M594="Abs",F594="Congé sans solde",F594="Férié",F594="Congé spécial",D594="Congé spécial"),0,IF(F594-E594&lt;0,0,IF(F594-E594&lt;=0.00068287037037037,0,F594-E594)))</f>
        <v>0</v>
      </c>
      <c r="M594" s="6" t="n">
        <f aca="false">IF(AND(O594&lt;&gt;0,C594=""),"Abs",0)</f>
        <v>0</v>
      </c>
      <c r="N594" s="8" t="str">
        <f aca="false">IFERROR(IF(OR(D594="OFF",D594="Congé",M594="Abs",D594="Congé sans solde",D594="Férié"),"",IF(O594-K594-L594&gt;O594,O594,IF(O594-K594-L594&lt;0,"",O594-K594-L594))),"")</f>
        <v/>
      </c>
      <c r="O594" s="8" t="n">
        <f aca="false">IF(AG594="2H Pause déjeuner",IF(F594-D594-0.0833333333333333&lt;0,F594-D594-0.0833333333333333+1,F594-D594-0.0833333333333333),IF(OR(AND(F594="OFF",D594="OFF"),AND(F594="Congé",D594="Congé"),AND(F594="Congé sans solde",D594="Congé sans solde"),AND(F594="Congé spécial",D594="Congé spécial"),AND(F594="Férié",D594="Férié"),AND(F594="OFF",D594="Congé"),AND(F594="OFF",D594="Congé sans solde"),AND(F594="OFF",D594="Congé spécial"),AND(F594="OFF",D594="Férié"),AND(F594="Congé",D594="OFF"),AND(F594="Congé",D594="Congé sans solde"),AND(F594="Congé",D594="Congé spécial"),AND(F594="Congé",D594="Férié"),AND(F594="Congé sans solde",D594="OFF"),AND(F594="Congé sans solde",D594="Congé"),AND(F594="Congé sans solde",D594="Congé spécial"),AND(F594="Congé sans solde",D594="Férié"),AND(F594="Congé spécial",D594="OFF"),AND(F594="Congé spécial",D594="Congé"),AND(F594="Congé spécial",D594="Congé sans solde"),AND(F594="Congé spécial",D594="Férié"),AND(F594="Férié",D594="OFF"),AND(F594="Férié",D594="Congé"),AND(F594="Férié",D594="Congé sans solde"),AND(F594="Férié",D594="Congé spécial")),0,IF(OR(F594="OFF",F594="Congé",F594="Congé spécial",F594="Congé sans solde",D594="OFF",D594="Congé",D594="Congé spécial",D594="Congé sans solde"),0.208333333333334,IF(AND(AG594="",F594-D594&lt;0),("24:00:00"-D594)+("00:00:00"+F594)-0.0416666666666667,IF(AND(OR(AG594="Allaitement",AG594="Sans déjeuner"),F594-D594&lt;0),("24:00:00"-D594)+("00:00:00"+F594),IF(AND(AG594="",F594-D594&gt;0.166666666666667),F594-D594-0.0416666666666667,IF(AND(OR(AG594="Allaitement",AG594="Sans déjeuner"),F594-D594&gt;0.166666666666667),F594-D594,F594-D594)))))))</f>
        <v>0</v>
      </c>
      <c r="P594" s="6" t="str">
        <f aca="false">IFERROR(VLOOKUP($B594,Agents!$A:$D,2,0),"-")</f>
        <v>Accessibilité</v>
      </c>
      <c r="Q594" s="21" t="n">
        <v>46130</v>
      </c>
      <c r="R594" s="8" t="n">
        <f aca="false">IF(M594="Abs",O594,0)</f>
        <v>0</v>
      </c>
      <c r="S594" s="8" t="n">
        <f aca="false">SUM(R594,L594,I594,J594,W594,H594)</f>
        <v>0</v>
      </c>
      <c r="T594" s="6" t="str">
        <f aca="false">"Sem - "&amp;WEEKNUM(Q594,21)</f>
        <v>Sem - 16</v>
      </c>
      <c r="U594" s="6" t="str">
        <f aca="false">CHOOSE(MONTH(Q594),"Janvier","Février","Mars","Avril","Mai","Juin","Juillet","Août","Septembre","Octobre","Novembre","Décembre")</f>
        <v>Avril</v>
      </c>
      <c r="V594" s="22" t="n">
        <f aca="false">YEAR(Q594)</f>
        <v>2026</v>
      </c>
      <c r="W594" s="20"/>
      <c r="X594" s="8" t="n">
        <f aca="false">IFERROR(IF(M594="Abs",0,IF(ROUND((D594-C594+E594-F594)*1440,0)&lt;=1,0,D594-C594+E594-F594)),0)</f>
        <v>0</v>
      </c>
      <c r="Y594" s="6" t="str">
        <f aca="false">IFERROR(VLOOKUP($B594,Agents!$A:$D,3,0),"-")</f>
        <v>OUBRAHIM Mohammed</v>
      </c>
      <c r="Z594" s="6" t="str">
        <f aca="false">IFERROR(VLOOKUP($B594,Agents!$A:$D,4,0),"-")</f>
        <v>Credit Mutuel</v>
      </c>
      <c r="AA594" s="18" t="s">
        <v>98</v>
      </c>
      <c r="AB594" s="8" t="str">
        <f aca="false">IF(AND(D594="Congé",F594="Congé"),0.333333333333333,IF(OR(AND(D594="Congé",F594&lt;&gt;"Congé"),(AND(F594="Congé",D594&lt;&gt;"Congé"))),0.166666666666667,""))</f>
        <v/>
      </c>
      <c r="AC594" s="8" t="str">
        <f aca="false">IF(AND(D594="Congé sans solde",F594="Congé sans solde"),0.333333333333333,IF(OR(AND(D594="Congé sans solde",F594&lt;&gt;"Congé sans solde"),(AND(F594="Congé sans solde",D594&lt;&gt;"Congé sans solde"))),0.166666666666667,""))</f>
        <v/>
      </c>
      <c r="AD594" s="8" t="str">
        <f aca="false">IF(AND(D594="Congé spécial",F594="Congé spécial"),0.333333333333333,IF(OR(AND(D594="Congé spécial",F594&lt;&gt;"Congé spécial"),AND(F594="Congé spécial",D594&lt;&gt;"Congé spécial")),0.166666666666667,""))</f>
        <v/>
      </c>
      <c r="AE594" s="8" t="str">
        <f aca="false">IF(AND(D594="Férié",F594="Férié"),0.333333333333333,IF(OR(AND(D594="Férié",F594&lt;&gt;"Férié"),(AND(F594="Férié",D594&lt;&gt;"Férié"))),0.166666666666667,""))</f>
        <v/>
      </c>
      <c r="AF594" s="18"/>
      <c r="AG594" s="18"/>
    </row>
    <row r="595" customFormat="false" ht="15" hidden="false" customHeight="false" outlineLevel="0" collapsed="false">
      <c r="A595" s="6" t="str">
        <f aca="false">YEAR(Q595-WEEKDAY(Q595,2)+4)&amp;"-S"&amp;TEXT(WEEKNUM(Q595,21),"00")</f>
        <v>2026-S16</v>
      </c>
      <c r="B595" s="18" t="s">
        <v>71</v>
      </c>
      <c r="C595" s="19"/>
      <c r="D595" s="19" t="s">
        <v>74</v>
      </c>
      <c r="E595" s="19"/>
      <c r="F595" s="19" t="s">
        <v>74</v>
      </c>
      <c r="G595" s="20"/>
      <c r="H595" s="20"/>
      <c r="I595" s="8" t="str">
        <f aca="false">IF(IF(OR(C595="",D595="Congé",D595="OFF",D595="Congé spécial"),"",IF(D595&gt;F595,D595-C595,IF(C595-D595&lt;0,0,C595-D595)))&lt;0.00068287037037037,"",IF(OR(D595="Congé",D595="OFF",C595="",D595="Congé spécial"),"",IF(D595&gt;F595,D595-C595,IF(C595-D595&lt;0,0,C595-D595))))</f>
        <v/>
      </c>
      <c r="J595" s="20"/>
      <c r="K595" s="8" t="n">
        <f aca="false">IF(SUM(H595:J595)&lt;0.00068287037037037,0,SUM(H595:J595))</f>
        <v>0</v>
      </c>
      <c r="L595" s="8" t="n">
        <f aca="false">IF(OR(F595="Congé",F595="OFF",M595="Abs",F595="Congé sans solde",F595="Férié",F595="Congé spécial",D595="Congé spécial"),0,IF(F595-E595&lt;0,0,IF(F595-E595&lt;=0.00068287037037037,0,F595-E595)))</f>
        <v>0</v>
      </c>
      <c r="M595" s="6" t="n">
        <f aca="false">IF(AND(O595&lt;&gt;0,C595=""),"Abs",0)</f>
        <v>0</v>
      </c>
      <c r="N595" s="8" t="str">
        <f aca="false">IFERROR(IF(OR(D595="OFF",D595="Congé",M595="Abs",D595="Congé sans solde",D595="Férié"),"",IF(O595-K595-L595&gt;O595,O595,IF(O595-K595-L595&lt;0,"",O595-K595-L595))),"")</f>
        <v/>
      </c>
      <c r="O595" s="8" t="n">
        <f aca="false">IF(AG595="2H Pause déjeuner",IF(F595-D595-0.0833333333333333&lt;0,F595-D595-0.0833333333333333+1,F595-D595-0.0833333333333333),IF(OR(AND(F595="OFF",D595="OFF"),AND(F595="Congé",D595="Congé"),AND(F595="Congé sans solde",D595="Congé sans solde"),AND(F595="Congé spécial",D595="Congé spécial"),AND(F595="Férié",D595="Férié"),AND(F595="OFF",D595="Congé"),AND(F595="OFF",D595="Congé sans solde"),AND(F595="OFF",D595="Congé spécial"),AND(F595="OFF",D595="Férié"),AND(F595="Congé",D595="OFF"),AND(F595="Congé",D595="Congé sans solde"),AND(F595="Congé",D595="Congé spécial"),AND(F595="Congé",D595="Férié"),AND(F595="Congé sans solde",D595="OFF"),AND(F595="Congé sans solde",D595="Congé"),AND(F595="Congé sans solde",D595="Congé spécial"),AND(F595="Congé sans solde",D595="Férié"),AND(F595="Congé spécial",D595="OFF"),AND(F595="Congé spécial",D595="Congé"),AND(F595="Congé spécial",D595="Congé sans solde"),AND(F595="Congé spécial",D595="Férié"),AND(F595="Férié",D595="OFF"),AND(F595="Férié",D595="Congé"),AND(F595="Férié",D595="Congé sans solde"),AND(F595="Férié",D595="Congé spécial")),0,IF(OR(F595="OFF",F595="Congé",F595="Congé spécial",F595="Congé sans solde",D595="OFF",D595="Congé",D595="Congé spécial",D595="Congé sans solde"),0.208333333333334,IF(AND(AG595="",F595-D595&lt;0),("24:00:00"-D595)+("00:00:00"+F595)-0.0416666666666667,IF(AND(OR(AG595="Allaitement",AG595="Sans déjeuner"),F595-D595&lt;0),("24:00:00"-D595)+("00:00:00"+F595),IF(AND(AG595="",F595-D595&gt;0.166666666666667),F595-D595-0.0416666666666667,IF(AND(OR(AG595="Allaitement",AG595="Sans déjeuner"),F595-D595&gt;0.166666666666667),F595-D595,F595-D595)))))))</f>
        <v>0</v>
      </c>
      <c r="P595" s="6" t="str">
        <f aca="false">IFERROR(VLOOKUP($B595,Agents!$A:$D,2,0),"-")</f>
        <v>Accessibilité</v>
      </c>
      <c r="Q595" s="21" t="n">
        <v>46130</v>
      </c>
      <c r="R595" s="8" t="n">
        <f aca="false">IF(M595="Abs",O595,0)</f>
        <v>0</v>
      </c>
      <c r="S595" s="8" t="n">
        <f aca="false">SUM(R595,L595,I595,J595,W595,H595)</f>
        <v>0</v>
      </c>
      <c r="T595" s="6" t="str">
        <f aca="false">"Sem - "&amp;WEEKNUM(Q595,21)</f>
        <v>Sem - 16</v>
      </c>
      <c r="U595" s="6" t="str">
        <f aca="false">CHOOSE(MONTH(Q595),"Janvier","Février","Mars","Avril","Mai","Juin","Juillet","Août","Septembre","Octobre","Novembre","Décembre")</f>
        <v>Avril</v>
      </c>
      <c r="V595" s="22" t="n">
        <f aca="false">YEAR(Q595)</f>
        <v>2026</v>
      </c>
      <c r="W595" s="20"/>
      <c r="X595" s="8" t="n">
        <f aca="false">IFERROR(IF(M595="Abs",0,IF(ROUND((D595-C595+E595-F595)*1440,0)&lt;=1,0,D595-C595+E595-F595)),0)</f>
        <v>0</v>
      </c>
      <c r="Y595" s="6" t="str">
        <f aca="false">IFERROR(VLOOKUP($B595,Agents!$A:$D,3,0),"-")</f>
        <v>OUBRAHIM Mohammed</v>
      </c>
      <c r="Z595" s="6" t="str">
        <f aca="false">IFERROR(VLOOKUP($B595,Agents!$A:$D,4,0),"-")</f>
        <v>Credit Mutuel</v>
      </c>
      <c r="AA595" s="18" t="s">
        <v>98</v>
      </c>
      <c r="AB595" s="8" t="str">
        <f aca="false">IF(AND(D595="Congé",F595="Congé"),0.333333333333333,IF(OR(AND(D595="Congé",F595&lt;&gt;"Congé"),(AND(F595="Congé",D595&lt;&gt;"Congé"))),0.166666666666667,""))</f>
        <v/>
      </c>
      <c r="AC595" s="8" t="str">
        <f aca="false">IF(AND(D595="Congé sans solde",F595="Congé sans solde"),0.333333333333333,IF(OR(AND(D595="Congé sans solde",F595&lt;&gt;"Congé sans solde"),(AND(F595="Congé sans solde",D595&lt;&gt;"Congé sans solde"))),0.166666666666667,""))</f>
        <v/>
      </c>
      <c r="AD595" s="8" t="str">
        <f aca="false">IF(AND(D595="Congé spécial",F595="Congé spécial"),0.333333333333333,IF(OR(AND(D595="Congé spécial",F595&lt;&gt;"Congé spécial"),AND(F595="Congé spécial",D595&lt;&gt;"Congé spécial")),0.166666666666667,""))</f>
        <v/>
      </c>
      <c r="AE595" s="8" t="str">
        <f aca="false">IF(AND(D595="Férié",F595="Férié"),0.333333333333333,IF(OR(AND(D595="Férié",F595&lt;&gt;"Férié"),(AND(F595="Férié",D595&lt;&gt;"Férié"))),0.166666666666667,""))</f>
        <v/>
      </c>
      <c r="AF595" s="18"/>
      <c r="AG595" s="18"/>
    </row>
    <row r="596" customFormat="false" ht="15" hidden="false" customHeight="false" outlineLevel="0" collapsed="false">
      <c r="A596" s="6" t="str">
        <f aca="false">YEAR(Q596-WEEKDAY(Q596,2)+4)&amp;"-S"&amp;TEXT(WEEKNUM(Q596,21),"00")</f>
        <v>2026-S16</v>
      </c>
      <c r="B596" s="18" t="s">
        <v>72</v>
      </c>
      <c r="C596" s="19"/>
      <c r="D596" s="19" t="s">
        <v>74</v>
      </c>
      <c r="E596" s="19"/>
      <c r="F596" s="19" t="s">
        <v>74</v>
      </c>
      <c r="G596" s="20"/>
      <c r="H596" s="20"/>
      <c r="I596" s="8" t="str">
        <f aca="false">IF(IF(OR(C596="",D596="Congé",D596="OFF",D596="Congé spécial"),"",IF(D596&gt;F596,D596-C596,IF(C596-D596&lt;0,0,C596-D596)))&lt;0.00068287037037037,"",IF(OR(D596="Congé",D596="OFF",C596="",D596="Congé spécial"),"",IF(D596&gt;F596,D596-C596,IF(C596-D596&lt;0,0,C596-D596))))</f>
        <v/>
      </c>
      <c r="J596" s="20"/>
      <c r="K596" s="8" t="n">
        <f aca="false">IF(SUM(H596:J596)&lt;0.00068287037037037,0,SUM(H596:J596))</f>
        <v>0</v>
      </c>
      <c r="L596" s="8" t="n">
        <f aca="false">IF(OR(F596="Congé",F596="OFF",M596="Abs",F596="Congé sans solde",F596="Férié",F596="Congé spécial",D596="Congé spécial"),0,IF(F596-E596&lt;0,0,IF(F596-E596&lt;=0.00068287037037037,0,F596-E596)))</f>
        <v>0</v>
      </c>
      <c r="M596" s="6" t="n">
        <f aca="false">IF(AND(O596&lt;&gt;0,C596=""),"Abs",0)</f>
        <v>0</v>
      </c>
      <c r="N596" s="8" t="str">
        <f aca="false">IFERROR(IF(OR(D596="OFF",D596="Congé",M596="Abs",D596="Congé sans solde",D596="Férié"),"",IF(O596-K596-L596&gt;O596,O596,IF(O596-K596-L596&lt;0,"",O596-K596-L596))),"")</f>
        <v/>
      </c>
      <c r="O596" s="8" t="n">
        <f aca="false">IF(AG596="2H Pause déjeuner",IF(F596-D596-0.0833333333333333&lt;0,F596-D596-0.0833333333333333+1,F596-D596-0.0833333333333333),IF(OR(AND(F596="OFF",D596="OFF"),AND(F596="Congé",D596="Congé"),AND(F596="Congé sans solde",D596="Congé sans solde"),AND(F596="Congé spécial",D596="Congé spécial"),AND(F596="Férié",D596="Férié"),AND(F596="OFF",D596="Congé"),AND(F596="OFF",D596="Congé sans solde"),AND(F596="OFF",D596="Congé spécial"),AND(F596="OFF",D596="Férié"),AND(F596="Congé",D596="OFF"),AND(F596="Congé",D596="Congé sans solde"),AND(F596="Congé",D596="Congé spécial"),AND(F596="Congé",D596="Férié"),AND(F596="Congé sans solde",D596="OFF"),AND(F596="Congé sans solde",D596="Congé"),AND(F596="Congé sans solde",D596="Congé spécial"),AND(F596="Congé sans solde",D596="Férié"),AND(F596="Congé spécial",D596="OFF"),AND(F596="Congé spécial",D596="Congé"),AND(F596="Congé spécial",D596="Congé sans solde"),AND(F596="Congé spécial",D596="Férié"),AND(F596="Férié",D596="OFF"),AND(F596="Férié",D596="Congé"),AND(F596="Férié",D596="Congé sans solde"),AND(F596="Férié",D596="Congé spécial")),0,IF(OR(F596="OFF",F596="Congé",F596="Congé spécial",F596="Congé sans solde",D596="OFF",D596="Congé",D596="Congé spécial",D596="Congé sans solde"),0.208333333333334,IF(AND(AG596="",F596-D596&lt;0),("24:00:00"-D596)+("00:00:00"+F596)-0.0416666666666667,IF(AND(OR(AG596="Allaitement",AG596="Sans déjeuner"),F596-D596&lt;0),("24:00:00"-D596)+("00:00:00"+F596),IF(AND(AG596="",F596-D596&gt;0.166666666666667),F596-D596-0.0416666666666667,IF(AND(OR(AG596="Allaitement",AG596="Sans déjeuner"),F596-D596&gt;0.166666666666667),F596-D596,F596-D596)))))))</f>
        <v>0</v>
      </c>
      <c r="P596" s="6" t="str">
        <f aca="false">IFERROR(VLOOKUP($B596,Agents!$A:$D,2,0),"-")</f>
        <v>Accessibilité</v>
      </c>
      <c r="Q596" s="21" t="n">
        <v>46130</v>
      </c>
      <c r="R596" s="8" t="n">
        <f aca="false">IF(M596="Abs",O596,0)</f>
        <v>0</v>
      </c>
      <c r="S596" s="8" t="n">
        <f aca="false">SUM(R596,L596,I596,J596,W596,H596)</f>
        <v>0</v>
      </c>
      <c r="T596" s="6" t="str">
        <f aca="false">"Sem - "&amp;WEEKNUM(Q596,21)</f>
        <v>Sem - 16</v>
      </c>
      <c r="U596" s="6" t="str">
        <f aca="false">CHOOSE(MONTH(Q596),"Janvier","Février","Mars","Avril","Mai","Juin","Juillet","Août","Septembre","Octobre","Novembre","Décembre")</f>
        <v>Avril</v>
      </c>
      <c r="V596" s="22" t="n">
        <f aca="false">YEAR(Q596)</f>
        <v>2026</v>
      </c>
      <c r="W596" s="20"/>
      <c r="X596" s="8" t="n">
        <f aca="false">IFERROR(IF(M596="Abs",0,IF(ROUND((D596-C596+E596-F596)*1440,0)&lt;=1,0,D596-C596+E596-F596)),0)</f>
        <v>0</v>
      </c>
      <c r="Y596" s="6" t="str">
        <f aca="false">IFERROR(VLOOKUP($B596,Agents!$A:$D,3,0),"-")</f>
        <v>OUBRAHIM Mohammed</v>
      </c>
      <c r="Z596" s="6" t="str">
        <f aca="false">IFERROR(VLOOKUP($B596,Agents!$A:$D,4,0),"-")</f>
        <v>Credit Mutuel</v>
      </c>
      <c r="AA596" s="18" t="s">
        <v>98</v>
      </c>
      <c r="AB596" s="8" t="str">
        <f aca="false">IF(AND(D596="Congé",F596="Congé"),0.333333333333333,IF(OR(AND(D596="Congé",F596&lt;&gt;"Congé"),(AND(F596="Congé",D596&lt;&gt;"Congé"))),0.166666666666667,""))</f>
        <v/>
      </c>
      <c r="AC596" s="8" t="str">
        <f aca="false">IF(AND(D596="Congé sans solde",F596="Congé sans solde"),0.333333333333333,IF(OR(AND(D596="Congé sans solde",F596&lt;&gt;"Congé sans solde"),(AND(F596="Congé sans solde",D596&lt;&gt;"Congé sans solde"))),0.166666666666667,""))</f>
        <v/>
      </c>
      <c r="AD596" s="8" t="str">
        <f aca="false">IF(AND(D596="Congé spécial",F596="Congé spécial"),0.333333333333333,IF(OR(AND(D596="Congé spécial",F596&lt;&gt;"Congé spécial"),AND(F596="Congé spécial",D596&lt;&gt;"Congé spécial")),0.166666666666667,""))</f>
        <v/>
      </c>
      <c r="AE596" s="8" t="str">
        <f aca="false">IF(AND(D596="Férié",F596="Férié"),0.333333333333333,IF(OR(AND(D596="Férié",F596&lt;&gt;"Férié"),(AND(F596="Férié",D596&lt;&gt;"Férié"))),0.166666666666667,""))</f>
        <v/>
      </c>
      <c r="AF596" s="18"/>
      <c r="AG596" s="18"/>
    </row>
    <row r="597" customFormat="false" ht="15" hidden="false" customHeight="false" outlineLevel="0" collapsed="false">
      <c r="A597" s="6" t="str">
        <f aca="false">YEAR(Q597-WEEKDAY(Q597,2)+4)&amp;"-S"&amp;TEXT(WEEKNUM(Q597,21),"00")</f>
        <v>2026-S16</v>
      </c>
      <c r="B597" s="18" t="s">
        <v>73</v>
      </c>
      <c r="C597" s="19"/>
      <c r="D597" s="19" t="s">
        <v>74</v>
      </c>
      <c r="E597" s="19"/>
      <c r="F597" s="19" t="s">
        <v>74</v>
      </c>
      <c r="G597" s="20"/>
      <c r="H597" s="20"/>
      <c r="I597" s="8" t="str">
        <f aca="false">IF(IF(OR(C597="",D597="Congé",D597="OFF",D597="Congé spécial"),"",IF(D597&gt;F597,D597-C597,IF(C597-D597&lt;0,0,C597-D597)))&lt;0.00068287037037037,"",IF(OR(D597="Congé",D597="OFF",C597="",D597="Congé spécial"),"",IF(D597&gt;F597,D597-C597,IF(C597-D597&lt;0,0,C597-D597))))</f>
        <v/>
      </c>
      <c r="J597" s="20"/>
      <c r="K597" s="8" t="n">
        <f aca="false">IF(SUM(H597:J597)&lt;0.00068287037037037,0,SUM(H597:J597))</f>
        <v>0</v>
      </c>
      <c r="L597" s="8" t="n">
        <f aca="false">IF(OR(F597="Congé",F597="OFF",M597="Abs",F597="Congé sans solde",F597="Férié",F597="Congé spécial",D597="Congé spécial"),0,IF(F597-E597&lt;0,0,IF(F597-E597&lt;=0.00068287037037037,0,F597-E597)))</f>
        <v>0</v>
      </c>
      <c r="M597" s="6" t="n">
        <f aca="false">IF(AND(O597&lt;&gt;0,C597=""),"Abs",0)</f>
        <v>0</v>
      </c>
      <c r="N597" s="8" t="str">
        <f aca="false">IFERROR(IF(OR(D597="OFF",D597="Congé",M597="Abs",D597="Congé sans solde",D597="Férié"),"",IF(O597-K597-L597&gt;O597,O597,IF(O597-K597-L597&lt;0,"",O597-K597-L597))),"")</f>
        <v/>
      </c>
      <c r="O597" s="8" t="n">
        <f aca="false">IF(AG597="2H Pause déjeuner",IF(F597-D597-0.0833333333333333&lt;0,F597-D597-0.0833333333333333+1,F597-D597-0.0833333333333333),IF(OR(AND(F597="OFF",D597="OFF"),AND(F597="Congé",D597="Congé"),AND(F597="Congé sans solde",D597="Congé sans solde"),AND(F597="Congé spécial",D597="Congé spécial"),AND(F597="Férié",D597="Férié"),AND(F597="OFF",D597="Congé"),AND(F597="OFF",D597="Congé sans solde"),AND(F597="OFF",D597="Congé spécial"),AND(F597="OFF",D597="Férié"),AND(F597="Congé",D597="OFF"),AND(F597="Congé",D597="Congé sans solde"),AND(F597="Congé",D597="Congé spécial"),AND(F597="Congé",D597="Férié"),AND(F597="Congé sans solde",D597="OFF"),AND(F597="Congé sans solde",D597="Congé"),AND(F597="Congé sans solde",D597="Congé spécial"),AND(F597="Congé sans solde",D597="Férié"),AND(F597="Congé spécial",D597="OFF"),AND(F597="Congé spécial",D597="Congé"),AND(F597="Congé spécial",D597="Congé sans solde"),AND(F597="Congé spécial",D597="Férié"),AND(F597="Férié",D597="OFF"),AND(F597="Férié",D597="Congé"),AND(F597="Férié",D597="Congé sans solde"),AND(F597="Férié",D597="Congé spécial")),0,IF(OR(F597="OFF",F597="Congé",F597="Congé spécial",F597="Congé sans solde",D597="OFF",D597="Congé",D597="Congé spécial",D597="Congé sans solde"),0.208333333333334,IF(AND(AG597="",F597-D597&lt;0),("24:00:00"-D597)+("00:00:00"+F597)-0.0416666666666667,IF(AND(OR(AG597="Allaitement",AG597="Sans déjeuner"),F597-D597&lt;0),("24:00:00"-D597)+("00:00:00"+F597),IF(AND(AG597="",F597-D597&gt;0.166666666666667),F597-D597-0.0416666666666667,IF(AND(OR(AG597="Allaitement",AG597="Sans déjeuner"),F597-D597&gt;0.166666666666667),F597-D597,F597-D597)))))))</f>
        <v>0</v>
      </c>
      <c r="P597" s="6" t="str">
        <f aca="false">IFERROR(VLOOKUP($B597,Agents!$A:$D,2,0),"-")</f>
        <v>Accessibilité</v>
      </c>
      <c r="Q597" s="21" t="n">
        <v>46130</v>
      </c>
      <c r="R597" s="8" t="n">
        <f aca="false">IF(M597="Abs",O597,0)</f>
        <v>0</v>
      </c>
      <c r="S597" s="8" t="n">
        <f aca="false">SUM(R597,L597,I597,J597,W597,H597)</f>
        <v>0</v>
      </c>
      <c r="T597" s="6" t="str">
        <f aca="false">"Sem - "&amp;WEEKNUM(Q597,21)</f>
        <v>Sem - 16</v>
      </c>
      <c r="U597" s="6" t="str">
        <f aca="false">CHOOSE(MONTH(Q597),"Janvier","Février","Mars","Avril","Mai","Juin","Juillet","Août","Septembre","Octobre","Novembre","Décembre")</f>
        <v>Avril</v>
      </c>
      <c r="V597" s="22" t="n">
        <f aca="false">YEAR(Q597)</f>
        <v>2026</v>
      </c>
      <c r="W597" s="20"/>
      <c r="X597" s="8" t="n">
        <f aca="false">IFERROR(IF(M597="Abs",0,IF(ROUND((D597-C597+E597-F597)*1440,0)&lt;=1,0,D597-C597+E597-F597)),0)</f>
        <v>0</v>
      </c>
      <c r="Y597" s="6" t="str">
        <f aca="false">IFERROR(VLOOKUP($B597,Agents!$A:$D,3,0),"-")</f>
        <v>OUBRAHIM Mohammed</v>
      </c>
      <c r="Z597" s="6" t="str">
        <f aca="false">IFERROR(VLOOKUP($B597,Agents!$A:$D,4,0),"-")</f>
        <v>Credit Mutuel</v>
      </c>
      <c r="AA597" s="18" t="s">
        <v>98</v>
      </c>
      <c r="AB597" s="8" t="str">
        <f aca="false">IF(AND(D597="Congé",F597="Congé"),0.333333333333333,IF(OR(AND(D597="Congé",F597&lt;&gt;"Congé"),(AND(F597="Congé",D597&lt;&gt;"Congé"))),0.166666666666667,""))</f>
        <v/>
      </c>
      <c r="AC597" s="8" t="str">
        <f aca="false">IF(AND(D597="Congé sans solde",F597="Congé sans solde"),0.333333333333333,IF(OR(AND(D597="Congé sans solde",F597&lt;&gt;"Congé sans solde"),(AND(F597="Congé sans solde",D597&lt;&gt;"Congé sans solde"))),0.166666666666667,""))</f>
        <v/>
      </c>
      <c r="AD597" s="8" t="str">
        <f aca="false">IF(AND(D597="Congé spécial",F597="Congé spécial"),0.333333333333333,IF(OR(AND(D597="Congé spécial",F597&lt;&gt;"Congé spécial"),AND(F597="Congé spécial",D597&lt;&gt;"Congé spécial")),0.166666666666667,""))</f>
        <v/>
      </c>
      <c r="AE597" s="8" t="str">
        <f aca="false">IF(AND(D597="Férié",F597="Férié"),0.333333333333333,IF(OR(AND(D597="Férié",F597&lt;&gt;"Férié"),(AND(F597="Férié",D597&lt;&gt;"Férié"))),0.166666666666667,""))</f>
        <v/>
      </c>
      <c r="AF597" s="18"/>
      <c r="AG597" s="18"/>
    </row>
    <row r="598" customFormat="false" ht="15" hidden="false" customHeight="false" outlineLevel="0" collapsed="false">
      <c r="A598" s="6" t="str">
        <f aca="false">YEAR(Q598-WEEKDAY(Q598,2)+4)&amp;"-S"&amp;TEXT(WEEKNUM(Q598,21),"00")</f>
        <v>2026-S16</v>
      </c>
      <c r="B598" s="18" t="s">
        <v>69</v>
      </c>
      <c r="C598" s="19"/>
      <c r="D598" s="19" t="s">
        <v>74</v>
      </c>
      <c r="E598" s="19"/>
      <c r="F598" s="19" t="s">
        <v>74</v>
      </c>
      <c r="G598" s="20"/>
      <c r="H598" s="20"/>
      <c r="I598" s="8" t="str">
        <f aca="false">IF(IF(OR(C598="",D598="Congé",D598="OFF",D598="Congé spécial"),"",IF(D598&gt;F598,D598-C598,IF(C598-D598&lt;0,0,C598-D598)))&lt;0.00068287037037037,"",IF(OR(D598="Congé",D598="OFF",C598="",D598="Congé spécial"),"",IF(D598&gt;F598,D598-C598,IF(C598-D598&lt;0,0,C598-D598))))</f>
        <v/>
      </c>
      <c r="J598" s="20"/>
      <c r="K598" s="8" t="n">
        <f aca="false">IF(SUM(H598:J598)&lt;0.00068287037037037,0,SUM(H598:J598))</f>
        <v>0</v>
      </c>
      <c r="L598" s="8" t="n">
        <f aca="false">IF(OR(F598="Congé",F598="OFF",M598="Abs",F598="Congé sans solde",F598="Férié",F598="Congé spécial",D598="Congé spécial"),0,IF(F598-E598&lt;0,0,IF(F598-E598&lt;=0.00068287037037037,0,F598-E598)))</f>
        <v>0</v>
      </c>
      <c r="M598" s="6" t="n">
        <f aca="false">IF(AND(O598&lt;&gt;0,C598=""),"Abs",0)</f>
        <v>0</v>
      </c>
      <c r="N598" s="8" t="str">
        <f aca="false">IFERROR(IF(OR(D598="OFF",D598="Congé",M598="Abs",D598="Congé sans solde",D598="Férié"),"",IF(O598-K598-L598&gt;O598,O598,IF(O598-K598-L598&lt;0,"",O598-K598-L598))),"")</f>
        <v/>
      </c>
      <c r="O598" s="8" t="n">
        <f aca="false">IF(AG598="2H Pause déjeuner",IF(F598-D598-0.0833333333333333&lt;0,F598-D598-0.0833333333333333+1,F598-D598-0.0833333333333333),IF(OR(AND(F598="OFF",D598="OFF"),AND(F598="Congé",D598="Congé"),AND(F598="Congé sans solde",D598="Congé sans solde"),AND(F598="Congé spécial",D598="Congé spécial"),AND(F598="Férié",D598="Férié"),AND(F598="OFF",D598="Congé"),AND(F598="OFF",D598="Congé sans solde"),AND(F598="OFF",D598="Congé spécial"),AND(F598="OFF",D598="Férié"),AND(F598="Congé",D598="OFF"),AND(F598="Congé",D598="Congé sans solde"),AND(F598="Congé",D598="Congé spécial"),AND(F598="Congé",D598="Férié"),AND(F598="Congé sans solde",D598="OFF"),AND(F598="Congé sans solde",D598="Congé"),AND(F598="Congé sans solde",D598="Congé spécial"),AND(F598="Congé sans solde",D598="Férié"),AND(F598="Congé spécial",D598="OFF"),AND(F598="Congé spécial",D598="Congé"),AND(F598="Congé spécial",D598="Congé sans solde"),AND(F598="Congé spécial",D598="Férié"),AND(F598="Férié",D598="OFF"),AND(F598="Férié",D598="Congé"),AND(F598="Férié",D598="Congé sans solde"),AND(F598="Férié",D598="Congé spécial")),0,IF(OR(F598="OFF",F598="Congé",F598="Congé spécial",F598="Congé sans solde",D598="OFF",D598="Congé",D598="Congé spécial",D598="Congé sans solde"),0.208333333333334,IF(AND(AG598="",F598-D598&lt;0),("24:00:00"-D598)+("00:00:00"+F598)-0.0416666666666667,IF(AND(OR(AG598="Allaitement",AG598="Sans déjeuner"),F598-D598&lt;0),("24:00:00"-D598)+("00:00:00"+F598),IF(AND(AG598="",F598-D598&gt;0.166666666666667),F598-D598-0.0416666666666667,IF(AND(OR(AG598="Allaitement",AG598="Sans déjeuner"),F598-D598&gt;0.166666666666667),F598-D598,F598-D598)))))))</f>
        <v>0</v>
      </c>
      <c r="P598" s="6" t="str">
        <f aca="false">IFERROR(VLOOKUP($B598,Agents!$A:$D,2,0),"-")</f>
        <v>Accessibilité</v>
      </c>
      <c r="Q598" s="21" t="n">
        <v>46131</v>
      </c>
      <c r="R598" s="8" t="n">
        <f aca="false">IF(M598="Abs",O598,0)</f>
        <v>0</v>
      </c>
      <c r="S598" s="8" t="n">
        <f aca="false">SUM(R598,L598,I598,J598,W598,H598)</f>
        <v>0</v>
      </c>
      <c r="T598" s="6" t="str">
        <f aca="false">"Sem - "&amp;WEEKNUM(Q598,21)</f>
        <v>Sem - 16</v>
      </c>
      <c r="U598" s="6" t="str">
        <f aca="false">CHOOSE(MONTH(Q598),"Janvier","Février","Mars","Avril","Mai","Juin","Juillet","Août","Septembre","Octobre","Novembre","Décembre")</f>
        <v>Avril</v>
      </c>
      <c r="V598" s="22" t="n">
        <f aca="false">YEAR(Q598)</f>
        <v>2026</v>
      </c>
      <c r="W598" s="20"/>
      <c r="X598" s="8" t="n">
        <f aca="false">IFERROR(IF(M598="Abs",0,IF(ROUND((D598-C598+E598-F598)*1440,0)&lt;=1,0,D598-C598+E598-F598)),0)</f>
        <v>0</v>
      </c>
      <c r="Y598" s="6" t="str">
        <f aca="false">IFERROR(VLOOKUP($B598,Agents!$A:$D,3,0),"-")</f>
        <v>OUBRAHIM Mohammed</v>
      </c>
      <c r="Z598" s="6" t="str">
        <f aca="false">IFERROR(VLOOKUP($B598,Agents!$A:$D,4,0),"-")</f>
        <v>Credit Mutuel</v>
      </c>
      <c r="AA598" s="18" t="s">
        <v>98</v>
      </c>
      <c r="AB598" s="8" t="str">
        <f aca="false">IF(AND(D598="Congé",F598="Congé"),0.333333333333333,IF(OR(AND(D598="Congé",F598&lt;&gt;"Congé"),(AND(F598="Congé",D598&lt;&gt;"Congé"))),0.166666666666667,""))</f>
        <v/>
      </c>
      <c r="AC598" s="8" t="str">
        <f aca="false">IF(AND(D598="Congé sans solde",F598="Congé sans solde"),0.333333333333333,IF(OR(AND(D598="Congé sans solde",F598&lt;&gt;"Congé sans solde"),(AND(F598="Congé sans solde",D598&lt;&gt;"Congé sans solde"))),0.166666666666667,""))</f>
        <v/>
      </c>
      <c r="AD598" s="8" t="str">
        <f aca="false">IF(AND(D598="Congé spécial",F598="Congé spécial"),0.333333333333333,IF(OR(AND(D598="Congé spécial",F598&lt;&gt;"Congé spécial"),AND(F598="Congé spécial",D598&lt;&gt;"Congé spécial")),0.166666666666667,""))</f>
        <v/>
      </c>
      <c r="AE598" s="8" t="str">
        <f aca="false">IF(AND(D598="Férié",F598="Férié"),0.333333333333333,IF(OR(AND(D598="Férié",F598&lt;&gt;"Férié"),(AND(F598="Férié",D598&lt;&gt;"Férié"))),0.166666666666667,""))</f>
        <v/>
      </c>
      <c r="AF598" s="18"/>
      <c r="AG598" s="18"/>
    </row>
    <row r="599" customFormat="false" ht="15" hidden="false" customHeight="false" outlineLevel="0" collapsed="false">
      <c r="A599" s="6" t="str">
        <f aca="false">YEAR(Q599-WEEKDAY(Q599,2)+4)&amp;"-S"&amp;TEXT(WEEKNUM(Q599,21),"00")</f>
        <v>2026-S16</v>
      </c>
      <c r="B599" s="18" t="s">
        <v>71</v>
      </c>
      <c r="C599" s="19"/>
      <c r="D599" s="19" t="s">
        <v>74</v>
      </c>
      <c r="E599" s="19"/>
      <c r="F599" s="19" t="s">
        <v>74</v>
      </c>
      <c r="G599" s="20"/>
      <c r="H599" s="20"/>
      <c r="I599" s="8" t="str">
        <f aca="false">IF(IF(OR(C599="",D599="Congé",D599="OFF",D599="Congé spécial"),"",IF(D599&gt;F599,D599-C599,IF(C599-D599&lt;0,0,C599-D599)))&lt;0.00068287037037037,"",IF(OR(D599="Congé",D599="OFF",C599="",D599="Congé spécial"),"",IF(D599&gt;F599,D599-C599,IF(C599-D599&lt;0,0,C599-D599))))</f>
        <v/>
      </c>
      <c r="J599" s="20"/>
      <c r="K599" s="8" t="n">
        <f aca="false">IF(SUM(H599:J599)&lt;0.00068287037037037,0,SUM(H599:J599))</f>
        <v>0</v>
      </c>
      <c r="L599" s="8" t="n">
        <f aca="false">IF(OR(F599="Congé",F599="OFF",M599="Abs",F599="Congé sans solde",F599="Férié",F599="Congé spécial",D599="Congé spécial"),0,IF(F599-E599&lt;0,0,IF(F599-E599&lt;=0.00068287037037037,0,F599-E599)))</f>
        <v>0</v>
      </c>
      <c r="M599" s="6" t="n">
        <f aca="false">IF(AND(O599&lt;&gt;0,C599=""),"Abs",0)</f>
        <v>0</v>
      </c>
      <c r="N599" s="8" t="str">
        <f aca="false">IFERROR(IF(OR(D599="OFF",D599="Congé",M599="Abs",D599="Congé sans solde",D599="Férié"),"",IF(O599-K599-L599&gt;O599,O599,IF(O599-K599-L599&lt;0,"",O599-K599-L599))),"")</f>
        <v/>
      </c>
      <c r="O599" s="8" t="n">
        <f aca="false">IF(AG599="2H Pause déjeuner",IF(F599-D599-0.0833333333333333&lt;0,F599-D599-0.0833333333333333+1,F599-D599-0.0833333333333333),IF(OR(AND(F599="OFF",D599="OFF"),AND(F599="Congé",D599="Congé"),AND(F599="Congé sans solde",D599="Congé sans solde"),AND(F599="Congé spécial",D599="Congé spécial"),AND(F599="Férié",D599="Férié"),AND(F599="OFF",D599="Congé"),AND(F599="OFF",D599="Congé sans solde"),AND(F599="OFF",D599="Congé spécial"),AND(F599="OFF",D599="Férié"),AND(F599="Congé",D599="OFF"),AND(F599="Congé",D599="Congé sans solde"),AND(F599="Congé",D599="Congé spécial"),AND(F599="Congé",D599="Férié"),AND(F599="Congé sans solde",D599="OFF"),AND(F599="Congé sans solde",D599="Congé"),AND(F599="Congé sans solde",D599="Congé spécial"),AND(F599="Congé sans solde",D599="Férié"),AND(F599="Congé spécial",D599="OFF"),AND(F599="Congé spécial",D599="Congé"),AND(F599="Congé spécial",D599="Congé sans solde"),AND(F599="Congé spécial",D599="Férié"),AND(F599="Férié",D599="OFF"),AND(F599="Férié",D599="Congé"),AND(F599="Férié",D599="Congé sans solde"),AND(F599="Férié",D599="Congé spécial")),0,IF(OR(F599="OFF",F599="Congé",F599="Congé spécial",F599="Congé sans solde",D599="OFF",D599="Congé",D599="Congé spécial",D599="Congé sans solde"),0.208333333333334,IF(AND(AG599="",F599-D599&lt;0),("24:00:00"-D599)+("00:00:00"+F599)-0.0416666666666667,IF(AND(OR(AG599="Allaitement",AG599="Sans déjeuner"),F599-D599&lt;0),("24:00:00"-D599)+("00:00:00"+F599),IF(AND(AG599="",F599-D599&gt;0.166666666666667),F599-D599-0.0416666666666667,IF(AND(OR(AG599="Allaitement",AG599="Sans déjeuner"),F599-D599&gt;0.166666666666667),F599-D599,F599-D599)))))))</f>
        <v>0</v>
      </c>
      <c r="P599" s="6" t="str">
        <f aca="false">IFERROR(VLOOKUP($B599,Agents!$A:$D,2,0),"-")</f>
        <v>Accessibilité</v>
      </c>
      <c r="Q599" s="21" t="n">
        <v>46131</v>
      </c>
      <c r="R599" s="8" t="n">
        <f aca="false">IF(M599="Abs",O599,0)</f>
        <v>0</v>
      </c>
      <c r="S599" s="8" t="n">
        <f aca="false">SUM(R599,L599,I599,J599,W599,H599)</f>
        <v>0</v>
      </c>
      <c r="T599" s="6" t="str">
        <f aca="false">"Sem - "&amp;WEEKNUM(Q599,21)</f>
        <v>Sem - 16</v>
      </c>
      <c r="U599" s="6" t="str">
        <f aca="false">CHOOSE(MONTH(Q599),"Janvier","Février","Mars","Avril","Mai","Juin","Juillet","Août","Septembre","Octobre","Novembre","Décembre")</f>
        <v>Avril</v>
      </c>
      <c r="V599" s="22" t="n">
        <f aca="false">YEAR(Q599)</f>
        <v>2026</v>
      </c>
      <c r="W599" s="20"/>
      <c r="X599" s="8" t="n">
        <f aca="false">IFERROR(IF(M599="Abs",0,IF(ROUND((D599-C599+E599-F599)*1440,0)&lt;=1,0,D599-C599+E599-F599)),0)</f>
        <v>0</v>
      </c>
      <c r="Y599" s="6" t="str">
        <f aca="false">IFERROR(VLOOKUP($B599,Agents!$A:$D,3,0),"-")</f>
        <v>OUBRAHIM Mohammed</v>
      </c>
      <c r="Z599" s="6" t="str">
        <f aca="false">IFERROR(VLOOKUP($B599,Agents!$A:$D,4,0),"-")</f>
        <v>Credit Mutuel</v>
      </c>
      <c r="AA599" s="18" t="s">
        <v>98</v>
      </c>
      <c r="AB599" s="8" t="str">
        <f aca="false">IF(AND(D599="Congé",F599="Congé"),0.333333333333333,IF(OR(AND(D599="Congé",F599&lt;&gt;"Congé"),(AND(F599="Congé",D599&lt;&gt;"Congé"))),0.166666666666667,""))</f>
        <v/>
      </c>
      <c r="AC599" s="8" t="str">
        <f aca="false">IF(AND(D599="Congé sans solde",F599="Congé sans solde"),0.333333333333333,IF(OR(AND(D599="Congé sans solde",F599&lt;&gt;"Congé sans solde"),(AND(F599="Congé sans solde",D599&lt;&gt;"Congé sans solde"))),0.166666666666667,""))</f>
        <v/>
      </c>
      <c r="AD599" s="8" t="str">
        <f aca="false">IF(AND(D599="Congé spécial",F599="Congé spécial"),0.333333333333333,IF(OR(AND(D599="Congé spécial",F599&lt;&gt;"Congé spécial"),AND(F599="Congé spécial",D599&lt;&gt;"Congé spécial")),0.166666666666667,""))</f>
        <v/>
      </c>
      <c r="AE599" s="8" t="str">
        <f aca="false">IF(AND(D599="Férié",F599="Férié"),0.333333333333333,IF(OR(AND(D599="Férié",F599&lt;&gt;"Férié"),(AND(F599="Férié",D599&lt;&gt;"Férié"))),0.166666666666667,""))</f>
        <v/>
      </c>
      <c r="AF599" s="18"/>
      <c r="AG599" s="18"/>
    </row>
    <row r="600" customFormat="false" ht="15" hidden="false" customHeight="false" outlineLevel="0" collapsed="false">
      <c r="A600" s="6" t="str">
        <f aca="false">YEAR(Q600-WEEKDAY(Q600,2)+4)&amp;"-S"&amp;TEXT(WEEKNUM(Q600,21),"00")</f>
        <v>2026-S16</v>
      </c>
      <c r="B600" s="18" t="s">
        <v>72</v>
      </c>
      <c r="C600" s="19"/>
      <c r="D600" s="19" t="s">
        <v>74</v>
      </c>
      <c r="E600" s="19"/>
      <c r="F600" s="19" t="s">
        <v>74</v>
      </c>
      <c r="G600" s="20"/>
      <c r="H600" s="20"/>
      <c r="I600" s="8" t="str">
        <f aca="false">IF(IF(OR(C600="",D600="Congé",D600="OFF",D600="Congé spécial"),"",IF(D600&gt;F600,D600-C600,IF(C600-D600&lt;0,0,C600-D600)))&lt;0.00068287037037037,"",IF(OR(D600="Congé",D600="OFF",C600="",D600="Congé spécial"),"",IF(D600&gt;F600,D600-C600,IF(C600-D600&lt;0,0,C600-D600))))</f>
        <v/>
      </c>
      <c r="J600" s="20"/>
      <c r="K600" s="8" t="n">
        <f aca="false">IF(SUM(H600:J600)&lt;0.00068287037037037,0,SUM(H600:J600))</f>
        <v>0</v>
      </c>
      <c r="L600" s="8" t="n">
        <f aca="false">IF(OR(F600="Congé",F600="OFF",M600="Abs",F600="Congé sans solde",F600="Férié",F600="Congé spécial",D600="Congé spécial"),0,IF(F600-E600&lt;0,0,IF(F600-E600&lt;=0.00068287037037037,0,F600-E600)))</f>
        <v>0</v>
      </c>
      <c r="M600" s="6" t="n">
        <f aca="false">IF(AND(O600&lt;&gt;0,C600=""),"Abs",0)</f>
        <v>0</v>
      </c>
      <c r="N600" s="8" t="str">
        <f aca="false">IFERROR(IF(OR(D600="OFF",D600="Congé",M600="Abs",D600="Congé sans solde",D600="Férié"),"",IF(O600-K600-L600&gt;O600,O600,IF(O600-K600-L600&lt;0,"",O600-K600-L600))),"")</f>
        <v/>
      </c>
      <c r="O600" s="8" t="n">
        <f aca="false">IF(AG600="2H Pause déjeuner",IF(F600-D600-0.0833333333333333&lt;0,F600-D600-0.0833333333333333+1,F600-D600-0.0833333333333333),IF(OR(AND(F600="OFF",D600="OFF"),AND(F600="Congé",D600="Congé"),AND(F600="Congé sans solde",D600="Congé sans solde"),AND(F600="Congé spécial",D600="Congé spécial"),AND(F600="Férié",D600="Férié"),AND(F600="OFF",D600="Congé"),AND(F600="OFF",D600="Congé sans solde"),AND(F600="OFF",D600="Congé spécial"),AND(F600="OFF",D600="Férié"),AND(F600="Congé",D600="OFF"),AND(F600="Congé",D600="Congé sans solde"),AND(F600="Congé",D600="Congé spécial"),AND(F600="Congé",D600="Férié"),AND(F600="Congé sans solde",D600="OFF"),AND(F600="Congé sans solde",D600="Congé"),AND(F600="Congé sans solde",D600="Congé spécial"),AND(F600="Congé sans solde",D600="Férié"),AND(F600="Congé spécial",D600="OFF"),AND(F600="Congé spécial",D600="Congé"),AND(F600="Congé spécial",D600="Congé sans solde"),AND(F600="Congé spécial",D600="Férié"),AND(F600="Férié",D600="OFF"),AND(F600="Férié",D600="Congé"),AND(F600="Férié",D600="Congé sans solde"),AND(F600="Férié",D600="Congé spécial")),0,IF(OR(F600="OFF",F600="Congé",F600="Congé spécial",F600="Congé sans solde",D600="OFF",D600="Congé",D600="Congé spécial",D600="Congé sans solde"),0.208333333333334,IF(AND(AG600="",F600-D600&lt;0),("24:00:00"-D600)+("00:00:00"+F600)-0.0416666666666667,IF(AND(OR(AG600="Allaitement",AG600="Sans déjeuner"),F600-D600&lt;0),("24:00:00"-D600)+("00:00:00"+F600),IF(AND(AG600="",F600-D600&gt;0.166666666666667),F600-D600-0.0416666666666667,IF(AND(OR(AG600="Allaitement",AG600="Sans déjeuner"),F600-D600&gt;0.166666666666667),F600-D600,F600-D600)))))))</f>
        <v>0</v>
      </c>
      <c r="P600" s="6" t="str">
        <f aca="false">IFERROR(VLOOKUP($B600,Agents!$A:$D,2,0),"-")</f>
        <v>Accessibilité</v>
      </c>
      <c r="Q600" s="21" t="n">
        <v>46131</v>
      </c>
      <c r="R600" s="8" t="n">
        <f aca="false">IF(M600="Abs",O600,0)</f>
        <v>0</v>
      </c>
      <c r="S600" s="8" t="n">
        <f aca="false">SUM(R600,L600,I600,J600,W600,H600)</f>
        <v>0</v>
      </c>
      <c r="T600" s="6" t="str">
        <f aca="false">"Sem - "&amp;WEEKNUM(Q600,21)</f>
        <v>Sem - 16</v>
      </c>
      <c r="U600" s="6" t="str">
        <f aca="false">CHOOSE(MONTH(Q600),"Janvier","Février","Mars","Avril","Mai","Juin","Juillet","Août","Septembre","Octobre","Novembre","Décembre")</f>
        <v>Avril</v>
      </c>
      <c r="V600" s="22" t="n">
        <f aca="false">YEAR(Q600)</f>
        <v>2026</v>
      </c>
      <c r="W600" s="20"/>
      <c r="X600" s="8" t="n">
        <f aca="false">IFERROR(IF(M600="Abs",0,IF(ROUND((D600-C600+E600-F600)*1440,0)&lt;=1,0,D600-C600+E600-F600)),0)</f>
        <v>0</v>
      </c>
      <c r="Y600" s="6" t="str">
        <f aca="false">IFERROR(VLOOKUP($B600,Agents!$A:$D,3,0),"-")</f>
        <v>OUBRAHIM Mohammed</v>
      </c>
      <c r="Z600" s="6" t="str">
        <f aca="false">IFERROR(VLOOKUP($B600,Agents!$A:$D,4,0),"-")</f>
        <v>Credit Mutuel</v>
      </c>
      <c r="AA600" s="18" t="s">
        <v>98</v>
      </c>
      <c r="AB600" s="8" t="str">
        <f aca="false">IF(AND(D600="Congé",F600="Congé"),0.333333333333333,IF(OR(AND(D600="Congé",F600&lt;&gt;"Congé"),(AND(F600="Congé",D600&lt;&gt;"Congé"))),0.166666666666667,""))</f>
        <v/>
      </c>
      <c r="AC600" s="8" t="str">
        <f aca="false">IF(AND(D600="Congé sans solde",F600="Congé sans solde"),0.333333333333333,IF(OR(AND(D600="Congé sans solde",F600&lt;&gt;"Congé sans solde"),(AND(F600="Congé sans solde",D600&lt;&gt;"Congé sans solde"))),0.166666666666667,""))</f>
        <v/>
      </c>
      <c r="AD600" s="8" t="str">
        <f aca="false">IF(AND(D600="Congé spécial",F600="Congé spécial"),0.333333333333333,IF(OR(AND(D600="Congé spécial",F600&lt;&gt;"Congé spécial"),AND(F600="Congé spécial",D600&lt;&gt;"Congé spécial")),0.166666666666667,""))</f>
        <v/>
      </c>
      <c r="AE600" s="8" t="str">
        <f aca="false">IF(AND(D600="Férié",F600="Férié"),0.333333333333333,IF(OR(AND(D600="Férié",F600&lt;&gt;"Férié"),(AND(F600="Férié",D600&lt;&gt;"Férié"))),0.166666666666667,""))</f>
        <v/>
      </c>
      <c r="AF600" s="18"/>
      <c r="AG600" s="18"/>
    </row>
    <row r="601" customFormat="false" ht="15" hidden="false" customHeight="false" outlineLevel="0" collapsed="false">
      <c r="A601" s="6" t="str">
        <f aca="false">YEAR(Q601-WEEKDAY(Q601,2)+4)&amp;"-S"&amp;TEXT(WEEKNUM(Q601,21),"00")</f>
        <v>2026-S16</v>
      </c>
      <c r="B601" s="18" t="s">
        <v>73</v>
      </c>
      <c r="C601" s="19"/>
      <c r="D601" s="19" t="s">
        <v>74</v>
      </c>
      <c r="E601" s="19"/>
      <c r="F601" s="19" t="s">
        <v>74</v>
      </c>
      <c r="G601" s="20"/>
      <c r="H601" s="20"/>
      <c r="I601" s="8" t="str">
        <f aca="false">IF(IF(OR(C601="",D601="Congé",D601="OFF",D601="Congé spécial"),"",IF(D601&gt;F601,D601-C601,IF(C601-D601&lt;0,0,C601-D601)))&lt;0.00068287037037037,"",IF(OR(D601="Congé",D601="OFF",C601="",D601="Congé spécial"),"",IF(D601&gt;F601,D601-C601,IF(C601-D601&lt;0,0,C601-D601))))</f>
        <v/>
      </c>
      <c r="J601" s="20"/>
      <c r="K601" s="8" t="n">
        <f aca="false">IF(SUM(H601:J601)&lt;0.00068287037037037,0,SUM(H601:J601))</f>
        <v>0</v>
      </c>
      <c r="L601" s="8" t="n">
        <f aca="false">IF(OR(F601="Congé",F601="OFF",M601="Abs",F601="Congé sans solde",F601="Férié",F601="Congé spécial",D601="Congé spécial"),0,IF(F601-E601&lt;0,0,IF(F601-E601&lt;=0.00068287037037037,0,F601-E601)))</f>
        <v>0</v>
      </c>
      <c r="M601" s="6" t="n">
        <f aca="false">IF(AND(O601&lt;&gt;0,C601=""),"Abs",0)</f>
        <v>0</v>
      </c>
      <c r="N601" s="8" t="str">
        <f aca="false">IFERROR(IF(OR(D601="OFF",D601="Congé",M601="Abs",D601="Congé sans solde",D601="Férié"),"",IF(O601-K601-L601&gt;O601,O601,IF(O601-K601-L601&lt;0,"",O601-K601-L601))),"")</f>
        <v/>
      </c>
      <c r="O601" s="8" t="n">
        <f aca="false">IF(AG601="2H Pause déjeuner",IF(F601-D601-0.0833333333333333&lt;0,F601-D601-0.0833333333333333+1,F601-D601-0.0833333333333333),IF(OR(AND(F601="OFF",D601="OFF"),AND(F601="Congé",D601="Congé"),AND(F601="Congé sans solde",D601="Congé sans solde"),AND(F601="Congé spécial",D601="Congé spécial"),AND(F601="Férié",D601="Férié"),AND(F601="OFF",D601="Congé"),AND(F601="OFF",D601="Congé sans solde"),AND(F601="OFF",D601="Congé spécial"),AND(F601="OFF",D601="Férié"),AND(F601="Congé",D601="OFF"),AND(F601="Congé",D601="Congé sans solde"),AND(F601="Congé",D601="Congé spécial"),AND(F601="Congé",D601="Férié"),AND(F601="Congé sans solde",D601="OFF"),AND(F601="Congé sans solde",D601="Congé"),AND(F601="Congé sans solde",D601="Congé spécial"),AND(F601="Congé sans solde",D601="Férié"),AND(F601="Congé spécial",D601="OFF"),AND(F601="Congé spécial",D601="Congé"),AND(F601="Congé spécial",D601="Congé sans solde"),AND(F601="Congé spécial",D601="Férié"),AND(F601="Férié",D601="OFF"),AND(F601="Férié",D601="Congé"),AND(F601="Férié",D601="Congé sans solde"),AND(F601="Férié",D601="Congé spécial")),0,IF(OR(F601="OFF",F601="Congé",F601="Congé spécial",F601="Congé sans solde",D601="OFF",D601="Congé",D601="Congé spécial",D601="Congé sans solde"),0.208333333333334,IF(AND(AG601="",F601-D601&lt;0),("24:00:00"-D601)+("00:00:00"+F601)-0.0416666666666667,IF(AND(OR(AG601="Allaitement",AG601="Sans déjeuner"),F601-D601&lt;0),("24:00:00"-D601)+("00:00:00"+F601),IF(AND(AG601="",F601-D601&gt;0.166666666666667),F601-D601-0.0416666666666667,IF(AND(OR(AG601="Allaitement",AG601="Sans déjeuner"),F601-D601&gt;0.166666666666667),F601-D601,F601-D601)))))))</f>
        <v>0</v>
      </c>
      <c r="P601" s="6" t="str">
        <f aca="false">IFERROR(VLOOKUP($B601,Agents!$A:$D,2,0),"-")</f>
        <v>Accessibilité</v>
      </c>
      <c r="Q601" s="21" t="n">
        <v>46131</v>
      </c>
      <c r="R601" s="8" t="n">
        <f aca="false">IF(M601="Abs",O601,0)</f>
        <v>0</v>
      </c>
      <c r="S601" s="8" t="n">
        <f aca="false">SUM(R601,L601,I601,J601,W601,H601)</f>
        <v>0</v>
      </c>
      <c r="T601" s="6" t="str">
        <f aca="false">"Sem - "&amp;WEEKNUM(Q601,21)</f>
        <v>Sem - 16</v>
      </c>
      <c r="U601" s="6" t="str">
        <f aca="false">CHOOSE(MONTH(Q601),"Janvier","Février","Mars","Avril","Mai","Juin","Juillet","Août","Septembre","Octobre","Novembre","Décembre")</f>
        <v>Avril</v>
      </c>
      <c r="V601" s="22" t="n">
        <f aca="false">YEAR(Q601)</f>
        <v>2026</v>
      </c>
      <c r="W601" s="20"/>
      <c r="X601" s="8" t="n">
        <f aca="false">IFERROR(IF(M601="Abs",0,IF(ROUND((D601-C601+E601-F601)*1440,0)&lt;=1,0,D601-C601+E601-F601)),0)</f>
        <v>0</v>
      </c>
      <c r="Y601" s="6" t="str">
        <f aca="false">IFERROR(VLOOKUP($B601,Agents!$A:$D,3,0),"-")</f>
        <v>OUBRAHIM Mohammed</v>
      </c>
      <c r="Z601" s="6" t="str">
        <f aca="false">IFERROR(VLOOKUP($B601,Agents!$A:$D,4,0),"-")</f>
        <v>Credit Mutuel</v>
      </c>
      <c r="AA601" s="18" t="s">
        <v>98</v>
      </c>
      <c r="AB601" s="8" t="str">
        <f aca="false">IF(AND(D601="Congé",F601="Congé"),0.333333333333333,IF(OR(AND(D601="Congé",F601&lt;&gt;"Congé"),(AND(F601="Congé",D601&lt;&gt;"Congé"))),0.166666666666667,""))</f>
        <v/>
      </c>
      <c r="AC601" s="8" t="str">
        <f aca="false">IF(AND(D601="Congé sans solde",F601="Congé sans solde"),0.333333333333333,IF(OR(AND(D601="Congé sans solde",F601&lt;&gt;"Congé sans solde"),(AND(F601="Congé sans solde",D601&lt;&gt;"Congé sans solde"))),0.166666666666667,""))</f>
        <v/>
      </c>
      <c r="AD601" s="8" t="str">
        <f aca="false">IF(AND(D601="Congé spécial",F601="Congé spécial"),0.333333333333333,IF(OR(AND(D601="Congé spécial",F601&lt;&gt;"Congé spécial"),AND(F601="Congé spécial",D601&lt;&gt;"Congé spécial")),0.166666666666667,""))</f>
        <v/>
      </c>
      <c r="AE601" s="8" t="str">
        <f aca="false">IF(AND(D601="Férié",F601="Férié"),0.333333333333333,IF(OR(AND(D601="Férié",F601&lt;&gt;"Férié"),(AND(F601="Férié",D601&lt;&gt;"Férié"))),0.166666666666667,""))</f>
        <v/>
      </c>
      <c r="AF601" s="18"/>
      <c r="AG601" s="18"/>
    </row>
    <row r="602" customFormat="false" ht="15" hidden="false" customHeight="false" outlineLevel="0" collapsed="false">
      <c r="A602" s="6" t="str">
        <f aca="false">YEAR(Q602-WEEKDAY(Q602,2)+4)&amp;"-S"&amp;TEXT(WEEKNUM(Q602,21),"00")</f>
        <v>2026-S17</v>
      </c>
      <c r="B602" s="18" t="s">
        <v>69</v>
      </c>
      <c r="C602" s="19" t="n">
        <v>0.332638888888889</v>
      </c>
      <c r="D602" s="19" t="n">
        <v>0.333333333333333</v>
      </c>
      <c r="E602" s="19" t="n">
        <v>0.75</v>
      </c>
      <c r="F602" s="19" t="n">
        <v>0.75</v>
      </c>
      <c r="G602" s="20"/>
      <c r="H602" s="20"/>
      <c r="I602" s="8" t="str">
        <f aca="false">IF(IF(OR(C602="",D602="Congé",D602="OFF",D602="Congé spécial"),"",IF(D602&gt;F602,D602-C602,IF(C602-D602&lt;0,0,C602-D602)))&lt;0.00068287037037037,"",IF(OR(D602="Congé",D602="OFF",C602="",D602="Congé spécial"),"",IF(D602&gt;F602,D602-C602,IF(C602-D602&lt;0,0,C602-D602))))</f>
        <v/>
      </c>
      <c r="J602" s="20"/>
      <c r="K602" s="8" t="n">
        <f aca="false">IF(SUM(H602:J602)&lt;0.00068287037037037,0,SUM(H602:J602))</f>
        <v>0</v>
      </c>
      <c r="L602" s="8" t="n">
        <f aca="false">IF(OR(F602="Congé",F602="OFF",M602="Abs",F602="Congé sans solde",F602="Férié",F602="Congé spécial",D602="Congé spécial"),0,IF(F602-E602&lt;0,0,IF(F602-E602&lt;=0.00068287037037037,0,F602-E602)))</f>
        <v>0</v>
      </c>
      <c r="M602" s="6" t="n">
        <f aca="false">IF(AND(O602&lt;&gt;0,C602=""),"Abs",0)</f>
        <v>0</v>
      </c>
      <c r="N602" s="8" t="n">
        <f aca="false">IFERROR(IF(OR(D602="OFF",D602="Congé",M602="Abs",D602="Congé sans solde",D602="Férié"),"",IF(O602-K602-L602&gt;O602,O602,IF(O602-K602-L602&lt;0,"",O602-K602-L602))),"")</f>
        <v>0.375</v>
      </c>
      <c r="O602" s="8" t="n">
        <f aca="false">IF(AG602="2H Pause déjeuner",IF(F602-D602-0.0833333333333333&lt;0,F602-D602-0.0833333333333333+1,F602-D602-0.0833333333333333),IF(OR(AND(F602="OFF",D602="OFF"),AND(F602="Congé",D602="Congé"),AND(F602="Congé sans solde",D602="Congé sans solde"),AND(F602="Congé spécial",D602="Congé spécial"),AND(F602="Férié",D602="Férié"),AND(F602="OFF",D602="Congé"),AND(F602="OFF",D602="Congé sans solde"),AND(F602="OFF",D602="Congé spécial"),AND(F602="OFF",D602="Férié"),AND(F602="Congé",D602="OFF"),AND(F602="Congé",D602="Congé sans solde"),AND(F602="Congé",D602="Congé spécial"),AND(F602="Congé",D602="Férié"),AND(F602="Congé sans solde",D602="OFF"),AND(F602="Congé sans solde",D602="Congé"),AND(F602="Congé sans solde",D602="Congé spécial"),AND(F602="Congé sans solde",D602="Férié"),AND(F602="Congé spécial",D602="OFF"),AND(F602="Congé spécial",D602="Congé"),AND(F602="Congé spécial",D602="Congé sans solde"),AND(F602="Congé spécial",D602="Férié"),AND(F602="Férié",D602="OFF"),AND(F602="Férié",D602="Congé"),AND(F602="Férié",D602="Congé sans solde"),AND(F602="Férié",D602="Congé spécial")),0,IF(OR(F602="OFF",F602="Congé",F602="Congé spécial",F602="Congé sans solde",D602="OFF",D602="Congé",D602="Congé spécial",D602="Congé sans solde"),0.208333333333334,IF(AND(AG602="",F602-D602&lt;0),("24:00:00"-D602)+("00:00:00"+F602)-0.0416666666666667,IF(AND(OR(AG602="Allaitement",AG602="Sans déjeuner"),F602-D602&lt;0),("24:00:00"-D602)+("00:00:00"+F602),IF(AND(AG602="",F602-D602&gt;0.166666666666667),F602-D602-0.0416666666666667,IF(AND(OR(AG602="Allaitement",AG602="Sans déjeuner"),F602-D602&gt;0.166666666666667),F602-D602,F602-D602)))))))</f>
        <v>0.375</v>
      </c>
      <c r="P602" s="6" t="str">
        <f aca="false">IFERROR(VLOOKUP($B602,Agents!$A:$D,2,0),"-")</f>
        <v>Accessibilité</v>
      </c>
      <c r="Q602" s="21" t="n">
        <v>46132</v>
      </c>
      <c r="R602" s="8" t="n">
        <f aca="false">IF(M602="Abs",O602,0)</f>
        <v>0</v>
      </c>
      <c r="S602" s="8" t="n">
        <f aca="false">SUM(R602,L602,I602,J602,W602,H602)</f>
        <v>0</v>
      </c>
      <c r="T602" s="6" t="str">
        <f aca="false">"Sem - "&amp;WEEKNUM(Q602,21)</f>
        <v>Sem - 17</v>
      </c>
      <c r="U602" s="6" t="str">
        <f aca="false">CHOOSE(MONTH(Q602),"Janvier","Février","Mars","Avril","Mai","Juin","Juillet","Août","Septembre","Octobre","Novembre","Décembre")</f>
        <v>Avril</v>
      </c>
      <c r="V602" s="22" t="n">
        <f aca="false">YEAR(Q602)</f>
        <v>2026</v>
      </c>
      <c r="W602" s="20"/>
      <c r="X602" s="8" t="n">
        <f aca="false">IFERROR(IF(M602="Abs",0,IF(ROUND((D602-C602+E602-F602)*1440,0)&lt;=1,0,D602-C602+E602-F602)),0)</f>
        <v>0</v>
      </c>
      <c r="Y602" s="6" t="str">
        <f aca="false">IFERROR(VLOOKUP($B602,Agents!$A:$D,3,0),"-")</f>
        <v>OUBRAHIM Mohammed</v>
      </c>
      <c r="Z602" s="6" t="str">
        <f aca="false">IFERROR(VLOOKUP($B602,Agents!$A:$D,4,0),"-")</f>
        <v>Credit Mutuel</v>
      </c>
      <c r="AA602" s="18" t="s">
        <v>99</v>
      </c>
      <c r="AB602" s="8" t="str">
        <f aca="false">IF(AND(D602="Congé",F602="Congé"),0.333333333333333,IF(OR(AND(D602="Congé",F602&lt;&gt;"Congé"),(AND(F602="Congé",D602&lt;&gt;"Congé"))),0.166666666666667,""))</f>
        <v/>
      </c>
      <c r="AC602" s="8" t="str">
        <f aca="false">IF(AND(D602="Congé sans solde",F602="Congé sans solde"),0.333333333333333,IF(OR(AND(D602="Congé sans solde",F602&lt;&gt;"Congé sans solde"),(AND(F602="Congé sans solde",D602&lt;&gt;"Congé sans solde"))),0.166666666666667,""))</f>
        <v/>
      </c>
      <c r="AD602" s="8" t="str">
        <f aca="false">IF(AND(D602="Congé spécial",F602="Congé spécial"),0.333333333333333,IF(OR(AND(D602="Congé spécial",F602&lt;&gt;"Congé spécial"),AND(F602="Congé spécial",D602&lt;&gt;"Congé spécial")),0.166666666666667,""))</f>
        <v/>
      </c>
      <c r="AE602" s="8" t="str">
        <f aca="false">IF(AND(D602="Férié",F602="Férié"),0.333333333333333,IF(OR(AND(D602="Férié",F602&lt;&gt;"Férié"),(AND(F602="Férié",D602&lt;&gt;"Férié"))),0.166666666666667,""))</f>
        <v/>
      </c>
      <c r="AF602" s="18"/>
      <c r="AG602" s="18"/>
    </row>
    <row r="603" customFormat="false" ht="15" hidden="false" customHeight="false" outlineLevel="0" collapsed="false">
      <c r="A603" s="6" t="str">
        <f aca="false">YEAR(Q603-WEEKDAY(Q603,2)+4)&amp;"-S"&amp;TEXT(WEEKNUM(Q603,21),"00")</f>
        <v>2026-S17</v>
      </c>
      <c r="B603" s="18" t="s">
        <v>71</v>
      </c>
      <c r="C603" s="19" t="n">
        <v>0.332638888888889</v>
      </c>
      <c r="D603" s="19" t="n">
        <v>0.333333333333333</v>
      </c>
      <c r="E603" s="19" t="n">
        <v>0.75</v>
      </c>
      <c r="F603" s="19" t="n">
        <v>0.75</v>
      </c>
      <c r="G603" s="20"/>
      <c r="H603" s="20"/>
      <c r="I603" s="8" t="str">
        <f aca="false">IF(IF(OR(C603="",D603="Congé",D603="OFF",D603="Congé spécial"),"",IF(D603&gt;F603,D603-C603,IF(C603-D603&lt;0,0,C603-D603)))&lt;0.00068287037037037,"",IF(OR(D603="Congé",D603="OFF",C603="",D603="Congé spécial"),"",IF(D603&gt;F603,D603-C603,IF(C603-D603&lt;0,0,C603-D603))))</f>
        <v/>
      </c>
      <c r="J603" s="20"/>
      <c r="K603" s="8" t="n">
        <f aca="false">IF(SUM(H603:J603)&lt;0.00068287037037037,0,SUM(H603:J603))</f>
        <v>0</v>
      </c>
      <c r="L603" s="8" t="n">
        <f aca="false">IF(OR(F603="Congé",F603="OFF",M603="Abs",F603="Congé sans solde",F603="Férié",F603="Congé spécial",D603="Congé spécial"),0,IF(F603-E603&lt;0,0,IF(F603-E603&lt;=0.00068287037037037,0,F603-E603)))</f>
        <v>0</v>
      </c>
      <c r="M603" s="6" t="n">
        <f aca="false">IF(AND(O603&lt;&gt;0,C603=""),"Abs",0)</f>
        <v>0</v>
      </c>
      <c r="N603" s="8" t="n">
        <f aca="false">IFERROR(IF(OR(D603="OFF",D603="Congé",M603="Abs",D603="Congé sans solde",D603="Férié"),"",IF(O603-K603-L603&gt;O603,O603,IF(O603-K603-L603&lt;0,"",O603-K603-L603))),"")</f>
        <v>0.375</v>
      </c>
      <c r="O603" s="8" t="n">
        <f aca="false">IF(AG603="2H Pause déjeuner",IF(F603-D603-0.0833333333333333&lt;0,F603-D603-0.0833333333333333+1,F603-D603-0.0833333333333333),IF(OR(AND(F603="OFF",D603="OFF"),AND(F603="Congé",D603="Congé"),AND(F603="Congé sans solde",D603="Congé sans solde"),AND(F603="Congé spécial",D603="Congé spécial"),AND(F603="Férié",D603="Férié"),AND(F603="OFF",D603="Congé"),AND(F603="OFF",D603="Congé sans solde"),AND(F603="OFF",D603="Congé spécial"),AND(F603="OFF",D603="Férié"),AND(F603="Congé",D603="OFF"),AND(F603="Congé",D603="Congé sans solde"),AND(F603="Congé",D603="Congé spécial"),AND(F603="Congé",D603="Férié"),AND(F603="Congé sans solde",D603="OFF"),AND(F603="Congé sans solde",D603="Congé"),AND(F603="Congé sans solde",D603="Congé spécial"),AND(F603="Congé sans solde",D603="Férié"),AND(F603="Congé spécial",D603="OFF"),AND(F603="Congé spécial",D603="Congé"),AND(F603="Congé spécial",D603="Congé sans solde"),AND(F603="Congé spécial",D603="Férié"),AND(F603="Férié",D603="OFF"),AND(F603="Férié",D603="Congé"),AND(F603="Férié",D603="Congé sans solde"),AND(F603="Férié",D603="Congé spécial")),0,IF(OR(F603="OFF",F603="Congé",F603="Congé spécial",F603="Congé sans solde",D603="OFF",D603="Congé",D603="Congé spécial",D603="Congé sans solde"),0.208333333333334,IF(AND(AG603="",F603-D603&lt;0),("24:00:00"-D603)+("00:00:00"+F603)-0.0416666666666667,IF(AND(OR(AG603="Allaitement",AG603="Sans déjeuner"),F603-D603&lt;0),("24:00:00"-D603)+("00:00:00"+F603),IF(AND(AG603="",F603-D603&gt;0.166666666666667),F603-D603-0.0416666666666667,IF(AND(OR(AG603="Allaitement",AG603="Sans déjeuner"),F603-D603&gt;0.166666666666667),F603-D603,F603-D603)))))))</f>
        <v>0.375</v>
      </c>
      <c r="P603" s="6" t="str">
        <f aca="false">IFERROR(VLOOKUP($B603,Agents!$A:$D,2,0),"-")</f>
        <v>Accessibilité</v>
      </c>
      <c r="Q603" s="21" t="n">
        <v>46132</v>
      </c>
      <c r="R603" s="8" t="n">
        <f aca="false">IF(M603="Abs",O603,0)</f>
        <v>0</v>
      </c>
      <c r="S603" s="8" t="n">
        <f aca="false">SUM(R603,L603,I603,J603,W603,H603)</f>
        <v>0</v>
      </c>
      <c r="T603" s="6" t="str">
        <f aca="false">"Sem - "&amp;WEEKNUM(Q603,21)</f>
        <v>Sem - 17</v>
      </c>
      <c r="U603" s="6" t="str">
        <f aca="false">CHOOSE(MONTH(Q603),"Janvier","Février","Mars","Avril","Mai","Juin","Juillet","Août","Septembre","Octobre","Novembre","Décembre")</f>
        <v>Avril</v>
      </c>
      <c r="V603" s="22" t="n">
        <f aca="false">YEAR(Q603)</f>
        <v>2026</v>
      </c>
      <c r="W603" s="20"/>
      <c r="X603" s="8" t="n">
        <f aca="false">IFERROR(IF(M603="Abs",0,IF(ROUND((D603-C603+E603-F603)*1440,0)&lt;=1,0,D603-C603+E603-F603)),0)</f>
        <v>0</v>
      </c>
      <c r="Y603" s="6" t="str">
        <f aca="false">IFERROR(VLOOKUP($B603,Agents!$A:$D,3,0),"-")</f>
        <v>OUBRAHIM Mohammed</v>
      </c>
      <c r="Z603" s="6" t="str">
        <f aca="false">IFERROR(VLOOKUP($B603,Agents!$A:$D,4,0),"-")</f>
        <v>Credit Mutuel</v>
      </c>
      <c r="AA603" s="18" t="s">
        <v>99</v>
      </c>
      <c r="AB603" s="8" t="str">
        <f aca="false">IF(AND(D603="Congé",F603="Congé"),0.333333333333333,IF(OR(AND(D603="Congé",F603&lt;&gt;"Congé"),(AND(F603="Congé",D603&lt;&gt;"Congé"))),0.166666666666667,""))</f>
        <v/>
      </c>
      <c r="AC603" s="8" t="str">
        <f aca="false">IF(AND(D603="Congé sans solde",F603="Congé sans solde"),0.333333333333333,IF(OR(AND(D603="Congé sans solde",F603&lt;&gt;"Congé sans solde"),(AND(F603="Congé sans solde",D603&lt;&gt;"Congé sans solde"))),0.166666666666667,""))</f>
        <v/>
      </c>
      <c r="AD603" s="8" t="str">
        <f aca="false">IF(AND(D603="Congé spécial",F603="Congé spécial"),0.333333333333333,IF(OR(AND(D603="Congé spécial",F603&lt;&gt;"Congé spécial"),AND(F603="Congé spécial",D603&lt;&gt;"Congé spécial")),0.166666666666667,""))</f>
        <v/>
      </c>
      <c r="AE603" s="8" t="str">
        <f aca="false">IF(AND(D603="Férié",F603="Férié"),0.333333333333333,IF(OR(AND(D603="Férié",F603&lt;&gt;"Férié"),(AND(F603="Férié",D603&lt;&gt;"Férié"))),0.166666666666667,""))</f>
        <v/>
      </c>
      <c r="AF603" s="18"/>
      <c r="AG603" s="18"/>
    </row>
    <row r="604" customFormat="false" ht="15" hidden="false" customHeight="false" outlineLevel="0" collapsed="false">
      <c r="A604" s="6" t="str">
        <f aca="false">YEAR(Q604-WEEKDAY(Q604,2)+4)&amp;"-S"&amp;TEXT(WEEKNUM(Q604,21),"00")</f>
        <v>2026-S17</v>
      </c>
      <c r="B604" s="18" t="s">
        <v>72</v>
      </c>
      <c r="C604" s="19"/>
      <c r="D604" s="19" t="s">
        <v>83</v>
      </c>
      <c r="E604" s="19"/>
      <c r="F604" s="19" t="s">
        <v>83</v>
      </c>
      <c r="G604" s="20"/>
      <c r="H604" s="20"/>
      <c r="I604" s="8" t="str">
        <f aca="false">IF(IF(OR(C604="",D604="Congé",D604="OFF",D604="Congé spécial"),"",IF(D604&gt;F604,D604-C604,IF(C604-D604&lt;0,0,C604-D604)))&lt;0.00068287037037037,"",IF(OR(D604="Congé",D604="OFF",C604="",D604="Congé spécial"),"",IF(D604&gt;F604,D604-C604,IF(C604-D604&lt;0,0,C604-D604))))</f>
        <v/>
      </c>
      <c r="J604" s="20"/>
      <c r="K604" s="8" t="n">
        <f aca="false">IF(SUM(H604:J604)&lt;0.00068287037037037,0,SUM(H604:J604))</f>
        <v>0</v>
      </c>
      <c r="L604" s="8" t="n">
        <f aca="false">IF(OR(F604="Congé",F604="OFF",M604="Abs",F604="Congé sans solde",F604="Férié",F604="Congé spécial",D604="Congé spécial"),0,IF(F604-E604&lt;0,0,IF(F604-E604&lt;=0.00068287037037037,0,F604-E604)))</f>
        <v>0</v>
      </c>
      <c r="M604" s="6" t="n">
        <f aca="false">IF(AND(O604&lt;&gt;0,C604=""),"Abs",0)</f>
        <v>0</v>
      </c>
      <c r="N604" s="8" t="str">
        <f aca="false">IFERROR(IF(OR(D604="OFF",D604="Congé",M604="Abs",D604="Congé sans solde",D604="Férié"),"",IF(O604-K604-L604&gt;O604,O604,IF(O604-K604-L604&lt;0,"",O604-K604-L604))),"")</f>
        <v/>
      </c>
      <c r="O604" s="8" t="n">
        <f aca="false">IF(AG604="2H Pause déjeuner",IF(F604-D604-0.0833333333333333&lt;0,F604-D604-0.0833333333333333+1,F604-D604-0.0833333333333333),IF(OR(AND(F604="OFF",D604="OFF"),AND(F604="Congé",D604="Congé"),AND(F604="Congé sans solde",D604="Congé sans solde"),AND(F604="Congé spécial",D604="Congé spécial"),AND(F604="Férié",D604="Férié"),AND(F604="OFF",D604="Congé"),AND(F604="OFF",D604="Congé sans solde"),AND(F604="OFF",D604="Congé spécial"),AND(F604="OFF",D604="Férié"),AND(F604="Congé",D604="OFF"),AND(F604="Congé",D604="Congé sans solde"),AND(F604="Congé",D604="Congé spécial"),AND(F604="Congé",D604="Férié"),AND(F604="Congé sans solde",D604="OFF"),AND(F604="Congé sans solde",D604="Congé"),AND(F604="Congé sans solde",D604="Congé spécial"),AND(F604="Congé sans solde",D604="Férié"),AND(F604="Congé spécial",D604="OFF"),AND(F604="Congé spécial",D604="Congé"),AND(F604="Congé spécial",D604="Congé sans solde"),AND(F604="Congé spécial",D604="Férié"),AND(F604="Férié",D604="OFF"),AND(F604="Férié",D604="Congé"),AND(F604="Férié",D604="Congé sans solde"),AND(F604="Férié",D604="Congé spécial")),0,IF(OR(F604="OFF",F604="Congé",F604="Congé spécial",F604="Congé sans solde",D604="OFF",D604="Congé",D604="Congé spécial",D604="Congé sans solde"),0.208333333333334,IF(AND(AG604="",F604-D604&lt;0),("24:00:00"-D604)+("00:00:00"+F604)-0.0416666666666667,IF(AND(OR(AG604="Allaitement",AG604="Sans déjeuner"),F604-D604&lt;0),("24:00:00"-D604)+("00:00:00"+F604),IF(AND(AG604="",F604-D604&gt;0.166666666666667),F604-D604-0.0416666666666667,IF(AND(OR(AG604="Allaitement",AG604="Sans déjeuner"),F604-D604&gt;0.166666666666667),F604-D604,F604-D604)))))))</f>
        <v>0</v>
      </c>
      <c r="P604" s="6" t="str">
        <f aca="false">IFERROR(VLOOKUP($B604,Agents!$A:$D,2,0),"-")</f>
        <v>Accessibilité</v>
      </c>
      <c r="Q604" s="21" t="n">
        <v>46132</v>
      </c>
      <c r="R604" s="8" t="n">
        <f aca="false">IF(M604="Abs",O604,0)</f>
        <v>0</v>
      </c>
      <c r="S604" s="8" t="n">
        <f aca="false">SUM(R604,L604,I604,J604,W604,H604)</f>
        <v>0</v>
      </c>
      <c r="T604" s="6" t="str">
        <f aca="false">"Sem - "&amp;WEEKNUM(Q604,21)</f>
        <v>Sem - 17</v>
      </c>
      <c r="U604" s="6" t="str">
        <f aca="false">CHOOSE(MONTH(Q604),"Janvier","Février","Mars","Avril","Mai","Juin","Juillet","Août","Septembre","Octobre","Novembre","Décembre")</f>
        <v>Avril</v>
      </c>
      <c r="V604" s="22" t="n">
        <f aca="false">YEAR(Q604)</f>
        <v>2026</v>
      </c>
      <c r="W604" s="20"/>
      <c r="X604" s="8" t="n">
        <f aca="false">IFERROR(IF(M604="Abs",0,IF(ROUND((D604-C604+E604-F604)*1440,0)&lt;=1,0,D604-C604+E604-F604)),0)</f>
        <v>0</v>
      </c>
      <c r="Y604" s="6" t="str">
        <f aca="false">IFERROR(VLOOKUP($B604,Agents!$A:$D,3,0),"-")</f>
        <v>OUBRAHIM Mohammed</v>
      </c>
      <c r="Z604" s="6" t="str">
        <f aca="false">IFERROR(VLOOKUP($B604,Agents!$A:$D,4,0),"-")</f>
        <v>Credit Mutuel</v>
      </c>
      <c r="AA604" s="18" t="s">
        <v>99</v>
      </c>
      <c r="AB604" s="8" t="n">
        <f aca="false">IF(AND(D604="Congé",F604="Congé"),0.333333333333333,IF(OR(AND(D604="Congé",F604&lt;&gt;"Congé"),(AND(F604="Congé",D604&lt;&gt;"Congé"))),0.166666666666667,""))</f>
        <v>0.333333333333333</v>
      </c>
      <c r="AC604" s="8" t="str">
        <f aca="false">IF(AND(D604="Congé sans solde",F604="Congé sans solde"),0.333333333333333,IF(OR(AND(D604="Congé sans solde",F604&lt;&gt;"Congé sans solde"),(AND(F604="Congé sans solde",D604&lt;&gt;"Congé sans solde"))),0.166666666666667,""))</f>
        <v/>
      </c>
      <c r="AD604" s="8" t="str">
        <f aca="false">IF(AND(D604="Congé spécial",F604="Congé spécial"),0.333333333333333,IF(OR(AND(D604="Congé spécial",F604&lt;&gt;"Congé spécial"),AND(F604="Congé spécial",D604&lt;&gt;"Congé spécial")),0.166666666666667,""))</f>
        <v/>
      </c>
      <c r="AE604" s="8" t="str">
        <f aca="false">IF(AND(D604="Férié",F604="Férié"),0.333333333333333,IF(OR(AND(D604="Férié",F604&lt;&gt;"Férié"),(AND(F604="Férié",D604&lt;&gt;"Férié"))),0.166666666666667,""))</f>
        <v/>
      </c>
      <c r="AF604" s="18"/>
      <c r="AG604" s="18"/>
    </row>
    <row r="605" customFormat="false" ht="15" hidden="false" customHeight="false" outlineLevel="0" collapsed="false">
      <c r="A605" s="6" t="str">
        <f aca="false">YEAR(Q605-WEEKDAY(Q605,2)+4)&amp;"-S"&amp;TEXT(WEEKNUM(Q605,21),"00")</f>
        <v>2026-S17</v>
      </c>
      <c r="B605" s="18" t="s">
        <v>73</v>
      </c>
      <c r="C605" s="19" t="n">
        <v>0.33125</v>
      </c>
      <c r="D605" s="19" t="n">
        <v>0.333333333333333</v>
      </c>
      <c r="E605" s="19" t="n">
        <v>0.75</v>
      </c>
      <c r="F605" s="19" t="n">
        <v>0.75</v>
      </c>
      <c r="G605" s="20"/>
      <c r="H605" s="20"/>
      <c r="I605" s="8" t="str">
        <f aca="false">IF(IF(OR(C605="",D605="Congé",D605="OFF",D605="Congé spécial"),"",IF(D605&gt;F605,D605-C605,IF(C605-D605&lt;0,0,C605-D605)))&lt;0.00068287037037037,"",IF(OR(D605="Congé",D605="OFF",C605="",D605="Congé spécial"),"",IF(D605&gt;F605,D605-C605,IF(C605-D605&lt;0,0,C605-D605))))</f>
        <v/>
      </c>
      <c r="J605" s="20"/>
      <c r="K605" s="8" t="n">
        <f aca="false">IF(SUM(H605:J605)&lt;0.00068287037037037,0,SUM(H605:J605))</f>
        <v>0</v>
      </c>
      <c r="L605" s="8" t="n">
        <f aca="false">IF(OR(F605="Congé",F605="OFF",M605="Abs",F605="Congé sans solde",F605="Férié",F605="Congé spécial",D605="Congé spécial"),0,IF(F605-E605&lt;0,0,IF(F605-E605&lt;=0.00068287037037037,0,F605-E605)))</f>
        <v>0</v>
      </c>
      <c r="M605" s="6" t="n">
        <f aca="false">IF(AND(O605&lt;&gt;0,C605=""),"Abs",0)</f>
        <v>0</v>
      </c>
      <c r="N605" s="8" t="n">
        <f aca="false">IFERROR(IF(OR(D605="OFF",D605="Congé",M605="Abs",D605="Congé sans solde",D605="Férié"),"",IF(O605-K605-L605&gt;O605,O605,IF(O605-K605-L605&lt;0,"",O605-K605-L605))),"")</f>
        <v>0.375</v>
      </c>
      <c r="O605" s="8" t="n">
        <f aca="false">IF(AG605="2H Pause déjeuner",IF(F605-D605-0.0833333333333333&lt;0,F605-D605-0.0833333333333333+1,F605-D605-0.0833333333333333),IF(OR(AND(F605="OFF",D605="OFF"),AND(F605="Congé",D605="Congé"),AND(F605="Congé sans solde",D605="Congé sans solde"),AND(F605="Congé spécial",D605="Congé spécial"),AND(F605="Férié",D605="Férié"),AND(F605="OFF",D605="Congé"),AND(F605="OFF",D605="Congé sans solde"),AND(F605="OFF",D605="Congé spécial"),AND(F605="OFF",D605="Férié"),AND(F605="Congé",D605="OFF"),AND(F605="Congé",D605="Congé sans solde"),AND(F605="Congé",D605="Congé spécial"),AND(F605="Congé",D605="Férié"),AND(F605="Congé sans solde",D605="OFF"),AND(F605="Congé sans solde",D605="Congé"),AND(F605="Congé sans solde",D605="Congé spécial"),AND(F605="Congé sans solde",D605="Férié"),AND(F605="Congé spécial",D605="OFF"),AND(F605="Congé spécial",D605="Congé"),AND(F605="Congé spécial",D605="Congé sans solde"),AND(F605="Congé spécial",D605="Férié"),AND(F605="Férié",D605="OFF"),AND(F605="Férié",D605="Congé"),AND(F605="Férié",D605="Congé sans solde"),AND(F605="Férié",D605="Congé spécial")),0,IF(OR(F605="OFF",F605="Congé",F605="Congé spécial",F605="Congé sans solde",D605="OFF",D605="Congé",D605="Congé spécial",D605="Congé sans solde"),0.208333333333334,IF(AND(AG605="",F605-D605&lt;0),("24:00:00"-D605)+("00:00:00"+F605)-0.0416666666666667,IF(AND(OR(AG605="Allaitement",AG605="Sans déjeuner"),F605-D605&lt;0),("24:00:00"-D605)+("00:00:00"+F605),IF(AND(AG605="",F605-D605&gt;0.166666666666667),F605-D605-0.0416666666666667,IF(AND(OR(AG605="Allaitement",AG605="Sans déjeuner"),F605-D605&gt;0.166666666666667),F605-D605,F605-D605)))))))</f>
        <v>0.375</v>
      </c>
      <c r="P605" s="6" t="str">
        <f aca="false">IFERROR(VLOOKUP($B605,Agents!$A:$D,2,0),"-")</f>
        <v>Accessibilité</v>
      </c>
      <c r="Q605" s="21" t="n">
        <v>46132</v>
      </c>
      <c r="R605" s="8" t="n">
        <f aca="false">IF(M605="Abs",O605,0)</f>
        <v>0</v>
      </c>
      <c r="S605" s="8" t="n">
        <f aca="false">SUM(R605,L605,I605,J605,W605,H605)</f>
        <v>0</v>
      </c>
      <c r="T605" s="6" t="str">
        <f aca="false">"Sem - "&amp;WEEKNUM(Q605,21)</f>
        <v>Sem - 17</v>
      </c>
      <c r="U605" s="6" t="str">
        <f aca="false">CHOOSE(MONTH(Q605),"Janvier","Février","Mars","Avril","Mai","Juin","Juillet","Août","Septembre","Octobre","Novembre","Décembre")</f>
        <v>Avril</v>
      </c>
      <c r="V605" s="22" t="n">
        <f aca="false">YEAR(Q605)</f>
        <v>2026</v>
      </c>
      <c r="W605" s="20"/>
      <c r="X605" s="8" t="n">
        <f aca="false">IFERROR(IF(M605="Abs",0,IF(ROUND((D605-C605+E605-F605)*1440,0)&lt;=1,0,D605-C605+E605-F605)),0)</f>
        <v>0.00208333333333333</v>
      </c>
      <c r="Y605" s="6" t="str">
        <f aca="false">IFERROR(VLOOKUP($B605,Agents!$A:$D,3,0),"-")</f>
        <v>OUBRAHIM Mohammed</v>
      </c>
      <c r="Z605" s="6" t="str">
        <f aca="false">IFERROR(VLOOKUP($B605,Agents!$A:$D,4,0),"-")</f>
        <v>Credit Mutuel</v>
      </c>
      <c r="AA605" s="18" t="s">
        <v>99</v>
      </c>
      <c r="AB605" s="8" t="str">
        <f aca="false">IF(AND(D605="Congé",F605="Congé"),0.333333333333333,IF(OR(AND(D605="Congé",F605&lt;&gt;"Congé"),(AND(F605="Congé",D605&lt;&gt;"Congé"))),0.166666666666667,""))</f>
        <v/>
      </c>
      <c r="AC605" s="8" t="str">
        <f aca="false">IF(AND(D605="Congé sans solde",F605="Congé sans solde"),0.333333333333333,IF(OR(AND(D605="Congé sans solde",F605&lt;&gt;"Congé sans solde"),(AND(F605="Congé sans solde",D605&lt;&gt;"Congé sans solde"))),0.166666666666667,""))</f>
        <v/>
      </c>
      <c r="AD605" s="8" t="str">
        <f aca="false">IF(AND(D605="Congé spécial",F605="Congé spécial"),0.333333333333333,IF(OR(AND(D605="Congé spécial",F605&lt;&gt;"Congé spécial"),AND(F605="Congé spécial",D605&lt;&gt;"Congé spécial")),0.166666666666667,""))</f>
        <v/>
      </c>
      <c r="AE605" s="8" t="str">
        <f aca="false">IF(AND(D605="Férié",F605="Férié"),0.333333333333333,IF(OR(AND(D605="Férié",F605&lt;&gt;"Férié"),(AND(F605="Férié",D605&lt;&gt;"Férié"))),0.166666666666667,""))</f>
        <v/>
      </c>
      <c r="AF605" s="18"/>
      <c r="AG605" s="18"/>
    </row>
    <row r="606" customFormat="false" ht="15" hidden="false" customHeight="false" outlineLevel="0" collapsed="false">
      <c r="A606" s="6" t="str">
        <f aca="false">YEAR(Q606-WEEKDAY(Q606,2)+4)&amp;"-S"&amp;TEXT(WEEKNUM(Q606,21),"00")</f>
        <v>2026-S17</v>
      </c>
      <c r="B606" s="18" t="s">
        <v>69</v>
      </c>
      <c r="C606" s="19" t="n">
        <v>0.332638888888889</v>
      </c>
      <c r="D606" s="19" t="n">
        <v>0.333333333333333</v>
      </c>
      <c r="E606" s="19" t="n">
        <v>0.75</v>
      </c>
      <c r="F606" s="19" t="n">
        <v>0.75</v>
      </c>
      <c r="G606" s="20"/>
      <c r="H606" s="20"/>
      <c r="I606" s="8" t="str">
        <f aca="false">IF(IF(OR(C606="",D606="Congé",D606="OFF",D606="Congé spécial"),"",IF(D606&gt;F606,D606-C606,IF(C606-D606&lt;0,0,C606-D606)))&lt;0.00068287037037037,"",IF(OR(D606="Congé",D606="OFF",C606="",D606="Congé spécial"),"",IF(D606&gt;F606,D606-C606,IF(C606-D606&lt;0,0,C606-D606))))</f>
        <v/>
      </c>
      <c r="J606" s="20"/>
      <c r="K606" s="8" t="n">
        <f aca="false">IF(SUM(H606:J606)&lt;0.00068287037037037,0,SUM(H606:J606))</f>
        <v>0</v>
      </c>
      <c r="L606" s="8" t="n">
        <f aca="false">IF(OR(F606="Congé",F606="OFF",M606="Abs",F606="Congé sans solde",F606="Férié",F606="Congé spécial",D606="Congé spécial"),0,IF(F606-E606&lt;0,0,IF(F606-E606&lt;=0.00068287037037037,0,F606-E606)))</f>
        <v>0</v>
      </c>
      <c r="M606" s="6" t="n">
        <f aca="false">IF(AND(O606&lt;&gt;0,C606=""),"Abs",0)</f>
        <v>0</v>
      </c>
      <c r="N606" s="8" t="n">
        <f aca="false">IFERROR(IF(OR(D606="OFF",D606="Congé",M606="Abs",D606="Congé sans solde",D606="Férié"),"",IF(O606-K606-L606&gt;O606,O606,IF(O606-K606-L606&lt;0,"",O606-K606-L606))),"")</f>
        <v>0.375</v>
      </c>
      <c r="O606" s="8" t="n">
        <f aca="false">IF(AG606="2H Pause déjeuner",IF(F606-D606-0.0833333333333333&lt;0,F606-D606-0.0833333333333333+1,F606-D606-0.0833333333333333),IF(OR(AND(F606="OFF",D606="OFF"),AND(F606="Congé",D606="Congé"),AND(F606="Congé sans solde",D606="Congé sans solde"),AND(F606="Congé spécial",D606="Congé spécial"),AND(F606="Férié",D606="Férié"),AND(F606="OFF",D606="Congé"),AND(F606="OFF",D606="Congé sans solde"),AND(F606="OFF",D606="Congé spécial"),AND(F606="OFF",D606="Férié"),AND(F606="Congé",D606="OFF"),AND(F606="Congé",D606="Congé sans solde"),AND(F606="Congé",D606="Congé spécial"),AND(F606="Congé",D606="Férié"),AND(F606="Congé sans solde",D606="OFF"),AND(F606="Congé sans solde",D606="Congé"),AND(F606="Congé sans solde",D606="Congé spécial"),AND(F606="Congé sans solde",D606="Férié"),AND(F606="Congé spécial",D606="OFF"),AND(F606="Congé spécial",D606="Congé"),AND(F606="Congé spécial",D606="Congé sans solde"),AND(F606="Congé spécial",D606="Férié"),AND(F606="Férié",D606="OFF"),AND(F606="Férié",D606="Congé"),AND(F606="Férié",D606="Congé sans solde"),AND(F606="Férié",D606="Congé spécial")),0,IF(OR(F606="OFF",F606="Congé",F606="Congé spécial",F606="Congé sans solde",D606="OFF",D606="Congé",D606="Congé spécial",D606="Congé sans solde"),0.208333333333334,IF(AND(AG606="",F606-D606&lt;0),("24:00:00"-D606)+("00:00:00"+F606)-0.0416666666666667,IF(AND(OR(AG606="Allaitement",AG606="Sans déjeuner"),F606-D606&lt;0),("24:00:00"-D606)+("00:00:00"+F606),IF(AND(AG606="",F606-D606&gt;0.166666666666667),F606-D606-0.0416666666666667,IF(AND(OR(AG606="Allaitement",AG606="Sans déjeuner"),F606-D606&gt;0.166666666666667),F606-D606,F606-D606)))))))</f>
        <v>0.375</v>
      </c>
      <c r="P606" s="6" t="str">
        <f aca="false">IFERROR(VLOOKUP($B606,Agents!$A:$D,2,0),"-")</f>
        <v>Accessibilité</v>
      </c>
      <c r="Q606" s="21" t="n">
        <v>46133</v>
      </c>
      <c r="R606" s="8" t="n">
        <f aca="false">IF(M606="Abs",O606,0)</f>
        <v>0</v>
      </c>
      <c r="S606" s="8" t="n">
        <f aca="false">SUM(R606,L606,I606,J606,W606,H606)</f>
        <v>0</v>
      </c>
      <c r="T606" s="6" t="str">
        <f aca="false">"Sem - "&amp;WEEKNUM(Q606,21)</f>
        <v>Sem - 17</v>
      </c>
      <c r="U606" s="6" t="str">
        <f aca="false">CHOOSE(MONTH(Q606),"Janvier","Février","Mars","Avril","Mai","Juin","Juillet","Août","Septembre","Octobre","Novembre","Décembre")</f>
        <v>Avril</v>
      </c>
      <c r="V606" s="22" t="n">
        <f aca="false">YEAR(Q606)</f>
        <v>2026</v>
      </c>
      <c r="W606" s="20"/>
      <c r="X606" s="8" t="n">
        <f aca="false">IFERROR(IF(M606="Abs",0,IF(ROUND((D606-C606+E606-F606)*1440,0)&lt;=1,0,D606-C606+E606-F606)),0)</f>
        <v>0</v>
      </c>
      <c r="Y606" s="6" t="str">
        <f aca="false">IFERROR(VLOOKUP($B606,Agents!$A:$D,3,0),"-")</f>
        <v>OUBRAHIM Mohammed</v>
      </c>
      <c r="Z606" s="6" t="str">
        <f aca="false">IFERROR(VLOOKUP($B606,Agents!$A:$D,4,0),"-")</f>
        <v>Credit Mutuel</v>
      </c>
      <c r="AA606" s="18" t="s">
        <v>99</v>
      </c>
      <c r="AB606" s="8" t="str">
        <f aca="false">IF(AND(D606="Congé",F606="Congé"),0.333333333333333,IF(OR(AND(D606="Congé",F606&lt;&gt;"Congé"),(AND(F606="Congé",D606&lt;&gt;"Congé"))),0.166666666666667,""))</f>
        <v/>
      </c>
      <c r="AC606" s="8" t="str">
        <f aca="false">IF(AND(D606="Congé sans solde",F606="Congé sans solde"),0.333333333333333,IF(OR(AND(D606="Congé sans solde",F606&lt;&gt;"Congé sans solde"),(AND(F606="Congé sans solde",D606&lt;&gt;"Congé sans solde"))),0.166666666666667,""))</f>
        <v/>
      </c>
      <c r="AD606" s="8" t="str">
        <f aca="false">IF(AND(D606="Congé spécial",F606="Congé spécial"),0.333333333333333,IF(OR(AND(D606="Congé spécial",F606&lt;&gt;"Congé spécial"),AND(F606="Congé spécial",D606&lt;&gt;"Congé spécial")),0.166666666666667,""))</f>
        <v/>
      </c>
      <c r="AE606" s="8" t="str">
        <f aca="false">IF(AND(D606="Férié",F606="Férié"),0.333333333333333,IF(OR(AND(D606="Férié",F606&lt;&gt;"Férié"),(AND(F606="Férié",D606&lt;&gt;"Férié"))),0.166666666666667,""))</f>
        <v/>
      </c>
      <c r="AF606" s="18"/>
      <c r="AG606" s="18"/>
    </row>
    <row r="607" customFormat="false" ht="15" hidden="false" customHeight="false" outlineLevel="0" collapsed="false">
      <c r="A607" s="6" t="str">
        <f aca="false">YEAR(Q607-WEEKDAY(Q607,2)+4)&amp;"-S"&amp;TEXT(WEEKNUM(Q607,21),"00")</f>
        <v>2026-S17</v>
      </c>
      <c r="B607" s="18" t="s">
        <v>71</v>
      </c>
      <c r="C607" s="19" t="n">
        <v>0.331944444444444</v>
      </c>
      <c r="D607" s="19" t="n">
        <v>0.333333333333333</v>
      </c>
      <c r="E607" s="19" t="n">
        <v>0.75</v>
      </c>
      <c r="F607" s="19" t="n">
        <v>0.75</v>
      </c>
      <c r="G607" s="20"/>
      <c r="H607" s="20"/>
      <c r="I607" s="8" t="str">
        <f aca="false">IF(IF(OR(C607="",D607="Congé",D607="OFF",D607="Congé spécial"),"",IF(D607&gt;F607,D607-C607,IF(C607-D607&lt;0,0,C607-D607)))&lt;0.00068287037037037,"",IF(OR(D607="Congé",D607="OFF",C607="",D607="Congé spécial"),"",IF(D607&gt;F607,D607-C607,IF(C607-D607&lt;0,0,C607-D607))))</f>
        <v/>
      </c>
      <c r="J607" s="20"/>
      <c r="K607" s="8" t="n">
        <f aca="false">IF(SUM(H607:J607)&lt;0.00068287037037037,0,SUM(H607:J607))</f>
        <v>0</v>
      </c>
      <c r="L607" s="8" t="n">
        <f aca="false">IF(OR(F607="Congé",F607="OFF",M607="Abs",F607="Congé sans solde",F607="Férié",F607="Congé spécial",D607="Congé spécial"),0,IF(F607-E607&lt;0,0,IF(F607-E607&lt;=0.00068287037037037,0,F607-E607)))</f>
        <v>0</v>
      </c>
      <c r="M607" s="6" t="n">
        <f aca="false">IF(AND(O607&lt;&gt;0,C607=""),"Abs",0)</f>
        <v>0</v>
      </c>
      <c r="N607" s="8" t="n">
        <f aca="false">IFERROR(IF(OR(D607="OFF",D607="Congé",M607="Abs",D607="Congé sans solde",D607="Férié"),"",IF(O607-K607-L607&gt;O607,O607,IF(O607-K607-L607&lt;0,"",O607-K607-L607))),"")</f>
        <v>0.375</v>
      </c>
      <c r="O607" s="8" t="n">
        <f aca="false">IF(AG607="2H Pause déjeuner",IF(F607-D607-0.0833333333333333&lt;0,F607-D607-0.0833333333333333+1,F607-D607-0.0833333333333333),IF(OR(AND(F607="OFF",D607="OFF"),AND(F607="Congé",D607="Congé"),AND(F607="Congé sans solde",D607="Congé sans solde"),AND(F607="Congé spécial",D607="Congé spécial"),AND(F607="Férié",D607="Férié"),AND(F607="OFF",D607="Congé"),AND(F607="OFF",D607="Congé sans solde"),AND(F607="OFF",D607="Congé spécial"),AND(F607="OFF",D607="Férié"),AND(F607="Congé",D607="OFF"),AND(F607="Congé",D607="Congé sans solde"),AND(F607="Congé",D607="Congé spécial"),AND(F607="Congé",D607="Férié"),AND(F607="Congé sans solde",D607="OFF"),AND(F607="Congé sans solde",D607="Congé"),AND(F607="Congé sans solde",D607="Congé spécial"),AND(F607="Congé sans solde",D607="Férié"),AND(F607="Congé spécial",D607="OFF"),AND(F607="Congé spécial",D607="Congé"),AND(F607="Congé spécial",D607="Congé sans solde"),AND(F607="Congé spécial",D607="Férié"),AND(F607="Férié",D607="OFF"),AND(F607="Férié",D607="Congé"),AND(F607="Férié",D607="Congé sans solde"),AND(F607="Férié",D607="Congé spécial")),0,IF(OR(F607="OFF",F607="Congé",F607="Congé spécial",F607="Congé sans solde",D607="OFF",D607="Congé",D607="Congé spécial",D607="Congé sans solde"),0.208333333333334,IF(AND(AG607="",F607-D607&lt;0),("24:00:00"-D607)+("00:00:00"+F607)-0.0416666666666667,IF(AND(OR(AG607="Allaitement",AG607="Sans déjeuner"),F607-D607&lt;0),("24:00:00"-D607)+("00:00:00"+F607),IF(AND(AG607="",F607-D607&gt;0.166666666666667),F607-D607-0.0416666666666667,IF(AND(OR(AG607="Allaitement",AG607="Sans déjeuner"),F607-D607&gt;0.166666666666667),F607-D607,F607-D607)))))))</f>
        <v>0.375</v>
      </c>
      <c r="P607" s="6" t="str">
        <f aca="false">IFERROR(VLOOKUP($B607,Agents!$A:$D,2,0),"-")</f>
        <v>Accessibilité</v>
      </c>
      <c r="Q607" s="21" t="n">
        <v>46133</v>
      </c>
      <c r="R607" s="8" t="n">
        <f aca="false">IF(M607="Abs",O607,0)</f>
        <v>0</v>
      </c>
      <c r="S607" s="8" t="n">
        <f aca="false">SUM(R607,L607,I607,J607,W607,H607)</f>
        <v>0</v>
      </c>
      <c r="T607" s="6" t="str">
        <f aca="false">"Sem - "&amp;WEEKNUM(Q607,21)</f>
        <v>Sem - 17</v>
      </c>
      <c r="U607" s="6" t="str">
        <f aca="false">CHOOSE(MONTH(Q607),"Janvier","Février","Mars","Avril","Mai","Juin","Juillet","Août","Septembre","Octobre","Novembre","Décembre")</f>
        <v>Avril</v>
      </c>
      <c r="V607" s="22" t="n">
        <f aca="false">YEAR(Q607)</f>
        <v>2026</v>
      </c>
      <c r="W607" s="20"/>
      <c r="X607" s="8" t="n">
        <f aca="false">IFERROR(IF(M607="Abs",0,IF(ROUND((D607-C607+E607-F607)*1440,0)&lt;=1,0,D607-C607+E607-F607)),0)</f>
        <v>0.00138888888888889</v>
      </c>
      <c r="Y607" s="6" t="str">
        <f aca="false">IFERROR(VLOOKUP($B607,Agents!$A:$D,3,0),"-")</f>
        <v>OUBRAHIM Mohammed</v>
      </c>
      <c r="Z607" s="6" t="str">
        <f aca="false">IFERROR(VLOOKUP($B607,Agents!$A:$D,4,0),"-")</f>
        <v>Credit Mutuel</v>
      </c>
      <c r="AA607" s="18" t="s">
        <v>99</v>
      </c>
      <c r="AB607" s="8" t="str">
        <f aca="false">IF(AND(D607="Congé",F607="Congé"),0.333333333333333,IF(OR(AND(D607="Congé",F607&lt;&gt;"Congé"),(AND(F607="Congé",D607&lt;&gt;"Congé"))),0.166666666666667,""))</f>
        <v/>
      </c>
      <c r="AC607" s="8" t="str">
        <f aca="false">IF(AND(D607="Congé sans solde",F607="Congé sans solde"),0.333333333333333,IF(OR(AND(D607="Congé sans solde",F607&lt;&gt;"Congé sans solde"),(AND(F607="Congé sans solde",D607&lt;&gt;"Congé sans solde"))),0.166666666666667,""))</f>
        <v/>
      </c>
      <c r="AD607" s="8" t="str">
        <f aca="false">IF(AND(D607="Congé spécial",F607="Congé spécial"),0.333333333333333,IF(OR(AND(D607="Congé spécial",F607&lt;&gt;"Congé spécial"),AND(F607="Congé spécial",D607&lt;&gt;"Congé spécial")),0.166666666666667,""))</f>
        <v/>
      </c>
      <c r="AE607" s="8" t="str">
        <f aca="false">IF(AND(D607="Férié",F607="Férié"),0.333333333333333,IF(OR(AND(D607="Férié",F607&lt;&gt;"Férié"),(AND(F607="Férié",D607&lt;&gt;"Férié"))),0.166666666666667,""))</f>
        <v/>
      </c>
      <c r="AF607" s="18"/>
      <c r="AG607" s="18"/>
    </row>
    <row r="608" customFormat="false" ht="15" hidden="false" customHeight="false" outlineLevel="0" collapsed="false">
      <c r="A608" s="6" t="str">
        <f aca="false">YEAR(Q608-WEEKDAY(Q608,2)+4)&amp;"-S"&amp;TEXT(WEEKNUM(Q608,21),"00")</f>
        <v>2026-S17</v>
      </c>
      <c r="B608" s="18" t="s">
        <v>72</v>
      </c>
      <c r="C608" s="19" t="n">
        <v>0.33125</v>
      </c>
      <c r="D608" s="19" t="n">
        <v>0.333333333333333</v>
      </c>
      <c r="E608" s="19" t="n">
        <v>0.75</v>
      </c>
      <c r="F608" s="19" t="n">
        <v>0.75</v>
      </c>
      <c r="G608" s="20"/>
      <c r="H608" s="20"/>
      <c r="I608" s="8" t="str">
        <f aca="false">IF(IF(OR(C608="",D608="Congé",D608="OFF",D608="Congé spécial"),"",IF(D608&gt;F608,D608-C608,IF(C608-D608&lt;0,0,C608-D608)))&lt;0.00068287037037037,"",IF(OR(D608="Congé",D608="OFF",C608="",D608="Congé spécial"),"",IF(D608&gt;F608,D608-C608,IF(C608-D608&lt;0,0,C608-D608))))</f>
        <v/>
      </c>
      <c r="J608" s="20"/>
      <c r="K608" s="8" t="n">
        <f aca="false">IF(SUM(H608:J608)&lt;0.00068287037037037,0,SUM(H608:J608))</f>
        <v>0</v>
      </c>
      <c r="L608" s="8" t="n">
        <f aca="false">IF(OR(F608="Congé",F608="OFF",M608="Abs",F608="Congé sans solde",F608="Férié",F608="Congé spécial",D608="Congé spécial"),0,IF(F608-E608&lt;0,0,IF(F608-E608&lt;=0.00068287037037037,0,F608-E608)))</f>
        <v>0</v>
      </c>
      <c r="M608" s="6" t="n">
        <f aca="false">IF(AND(O608&lt;&gt;0,C608=""),"Abs",0)</f>
        <v>0</v>
      </c>
      <c r="N608" s="8" t="n">
        <f aca="false">IFERROR(IF(OR(D608="OFF",D608="Congé",M608="Abs",D608="Congé sans solde",D608="Férié"),"",IF(O608-K608-L608&gt;O608,O608,IF(O608-K608-L608&lt;0,"",O608-K608-L608))),"")</f>
        <v>0.375</v>
      </c>
      <c r="O608" s="8" t="n">
        <f aca="false">IF(AG608="2H Pause déjeuner",IF(F608-D608-0.0833333333333333&lt;0,F608-D608-0.0833333333333333+1,F608-D608-0.0833333333333333),IF(OR(AND(F608="OFF",D608="OFF"),AND(F608="Congé",D608="Congé"),AND(F608="Congé sans solde",D608="Congé sans solde"),AND(F608="Congé spécial",D608="Congé spécial"),AND(F608="Férié",D608="Férié"),AND(F608="OFF",D608="Congé"),AND(F608="OFF",D608="Congé sans solde"),AND(F608="OFF",D608="Congé spécial"),AND(F608="OFF",D608="Férié"),AND(F608="Congé",D608="OFF"),AND(F608="Congé",D608="Congé sans solde"),AND(F608="Congé",D608="Congé spécial"),AND(F608="Congé",D608="Férié"),AND(F608="Congé sans solde",D608="OFF"),AND(F608="Congé sans solde",D608="Congé"),AND(F608="Congé sans solde",D608="Congé spécial"),AND(F608="Congé sans solde",D608="Férié"),AND(F608="Congé spécial",D608="OFF"),AND(F608="Congé spécial",D608="Congé"),AND(F608="Congé spécial",D608="Congé sans solde"),AND(F608="Congé spécial",D608="Férié"),AND(F608="Férié",D608="OFF"),AND(F608="Férié",D608="Congé"),AND(F608="Férié",D608="Congé sans solde"),AND(F608="Férié",D608="Congé spécial")),0,IF(OR(F608="OFF",F608="Congé",F608="Congé spécial",F608="Congé sans solde",D608="OFF",D608="Congé",D608="Congé spécial",D608="Congé sans solde"),0.208333333333334,IF(AND(AG608="",F608-D608&lt;0),("24:00:00"-D608)+("00:00:00"+F608)-0.0416666666666667,IF(AND(OR(AG608="Allaitement",AG608="Sans déjeuner"),F608-D608&lt;0),("24:00:00"-D608)+("00:00:00"+F608),IF(AND(AG608="",F608-D608&gt;0.166666666666667),F608-D608-0.0416666666666667,IF(AND(OR(AG608="Allaitement",AG608="Sans déjeuner"),F608-D608&gt;0.166666666666667),F608-D608,F608-D608)))))))</f>
        <v>0.375</v>
      </c>
      <c r="P608" s="6" t="str">
        <f aca="false">IFERROR(VLOOKUP($B608,Agents!$A:$D,2,0),"-")</f>
        <v>Accessibilité</v>
      </c>
      <c r="Q608" s="21" t="n">
        <v>46133</v>
      </c>
      <c r="R608" s="8" t="n">
        <f aca="false">IF(M608="Abs",O608,0)</f>
        <v>0</v>
      </c>
      <c r="S608" s="8" t="n">
        <f aca="false">SUM(R608,L608,I608,J608,W608,H608)</f>
        <v>0</v>
      </c>
      <c r="T608" s="6" t="str">
        <f aca="false">"Sem - "&amp;WEEKNUM(Q608,21)</f>
        <v>Sem - 17</v>
      </c>
      <c r="U608" s="6" t="str">
        <f aca="false">CHOOSE(MONTH(Q608),"Janvier","Février","Mars","Avril","Mai","Juin","Juillet","Août","Septembre","Octobre","Novembre","Décembre")</f>
        <v>Avril</v>
      </c>
      <c r="V608" s="22" t="n">
        <f aca="false">YEAR(Q608)</f>
        <v>2026</v>
      </c>
      <c r="W608" s="20"/>
      <c r="X608" s="8" t="n">
        <f aca="false">IFERROR(IF(M608="Abs",0,IF(ROUND((D608-C608+E608-F608)*1440,0)&lt;=1,0,D608-C608+E608-F608)),0)</f>
        <v>0.00208333333333333</v>
      </c>
      <c r="Y608" s="6" t="str">
        <f aca="false">IFERROR(VLOOKUP($B608,Agents!$A:$D,3,0),"-")</f>
        <v>OUBRAHIM Mohammed</v>
      </c>
      <c r="Z608" s="6" t="str">
        <f aca="false">IFERROR(VLOOKUP($B608,Agents!$A:$D,4,0),"-")</f>
        <v>Credit Mutuel</v>
      </c>
      <c r="AA608" s="18" t="s">
        <v>99</v>
      </c>
      <c r="AB608" s="8" t="str">
        <f aca="false">IF(AND(D608="Congé",F608="Congé"),0.333333333333333,IF(OR(AND(D608="Congé",F608&lt;&gt;"Congé"),(AND(F608="Congé",D608&lt;&gt;"Congé"))),0.166666666666667,""))</f>
        <v/>
      </c>
      <c r="AC608" s="8" t="str">
        <f aca="false">IF(AND(D608="Congé sans solde",F608="Congé sans solde"),0.333333333333333,IF(OR(AND(D608="Congé sans solde",F608&lt;&gt;"Congé sans solde"),(AND(F608="Congé sans solde",D608&lt;&gt;"Congé sans solde"))),0.166666666666667,""))</f>
        <v/>
      </c>
      <c r="AD608" s="8" t="str">
        <f aca="false">IF(AND(D608="Congé spécial",F608="Congé spécial"),0.333333333333333,IF(OR(AND(D608="Congé spécial",F608&lt;&gt;"Congé spécial"),AND(F608="Congé spécial",D608&lt;&gt;"Congé spécial")),0.166666666666667,""))</f>
        <v/>
      </c>
      <c r="AE608" s="8" t="str">
        <f aca="false">IF(AND(D608="Férié",F608="Férié"),0.333333333333333,IF(OR(AND(D608="Férié",F608&lt;&gt;"Férié"),(AND(F608="Férié",D608&lt;&gt;"Férié"))),0.166666666666667,""))</f>
        <v/>
      </c>
      <c r="AF608" s="18"/>
      <c r="AG608" s="18"/>
    </row>
    <row r="609" customFormat="false" ht="15" hidden="false" customHeight="false" outlineLevel="0" collapsed="false">
      <c r="A609" s="6" t="str">
        <f aca="false">YEAR(Q609-WEEKDAY(Q609,2)+4)&amp;"-S"&amp;TEXT(WEEKNUM(Q609,21),"00")</f>
        <v>2026-S17</v>
      </c>
      <c r="B609" s="18" t="s">
        <v>73</v>
      </c>
      <c r="C609" s="19" t="n">
        <v>0.331944444444444</v>
      </c>
      <c r="D609" s="19" t="n">
        <v>0.333333333333333</v>
      </c>
      <c r="E609" s="19" t="n">
        <v>0.75</v>
      </c>
      <c r="F609" s="19" t="n">
        <v>0.75</v>
      </c>
      <c r="G609" s="20"/>
      <c r="H609" s="20"/>
      <c r="I609" s="8" t="str">
        <f aca="false">IF(IF(OR(C609="",D609="Congé",D609="OFF",D609="Congé spécial"),"",IF(D609&gt;F609,D609-C609,IF(C609-D609&lt;0,0,C609-D609)))&lt;0.00068287037037037,"",IF(OR(D609="Congé",D609="OFF",C609="",D609="Congé spécial"),"",IF(D609&gt;F609,D609-C609,IF(C609-D609&lt;0,0,C609-D609))))</f>
        <v/>
      </c>
      <c r="J609" s="20"/>
      <c r="K609" s="8" t="n">
        <f aca="false">IF(SUM(H609:J609)&lt;0.00068287037037037,0,SUM(H609:J609))</f>
        <v>0</v>
      </c>
      <c r="L609" s="8" t="n">
        <f aca="false">IF(OR(F609="Congé",F609="OFF",M609="Abs",F609="Congé sans solde",F609="Férié",F609="Congé spécial",D609="Congé spécial"),0,IF(F609-E609&lt;0,0,IF(F609-E609&lt;=0.00068287037037037,0,F609-E609)))</f>
        <v>0</v>
      </c>
      <c r="M609" s="6" t="n">
        <f aca="false">IF(AND(O609&lt;&gt;0,C609=""),"Abs",0)</f>
        <v>0</v>
      </c>
      <c r="N609" s="8" t="n">
        <f aca="false">IFERROR(IF(OR(D609="OFF",D609="Congé",M609="Abs",D609="Congé sans solde",D609="Férié"),"",IF(O609-K609-L609&gt;O609,O609,IF(O609-K609-L609&lt;0,"",O609-K609-L609))),"")</f>
        <v>0.375</v>
      </c>
      <c r="O609" s="8" t="n">
        <f aca="false">IF(AG609="2H Pause déjeuner",IF(F609-D609-0.0833333333333333&lt;0,F609-D609-0.0833333333333333+1,F609-D609-0.0833333333333333),IF(OR(AND(F609="OFF",D609="OFF"),AND(F609="Congé",D609="Congé"),AND(F609="Congé sans solde",D609="Congé sans solde"),AND(F609="Congé spécial",D609="Congé spécial"),AND(F609="Férié",D609="Férié"),AND(F609="OFF",D609="Congé"),AND(F609="OFF",D609="Congé sans solde"),AND(F609="OFF",D609="Congé spécial"),AND(F609="OFF",D609="Férié"),AND(F609="Congé",D609="OFF"),AND(F609="Congé",D609="Congé sans solde"),AND(F609="Congé",D609="Congé spécial"),AND(F609="Congé",D609="Férié"),AND(F609="Congé sans solde",D609="OFF"),AND(F609="Congé sans solde",D609="Congé"),AND(F609="Congé sans solde",D609="Congé spécial"),AND(F609="Congé sans solde",D609="Férié"),AND(F609="Congé spécial",D609="OFF"),AND(F609="Congé spécial",D609="Congé"),AND(F609="Congé spécial",D609="Congé sans solde"),AND(F609="Congé spécial",D609="Férié"),AND(F609="Férié",D609="OFF"),AND(F609="Férié",D609="Congé"),AND(F609="Férié",D609="Congé sans solde"),AND(F609="Férié",D609="Congé spécial")),0,IF(OR(F609="OFF",F609="Congé",F609="Congé spécial",F609="Congé sans solde",D609="OFF",D609="Congé",D609="Congé spécial",D609="Congé sans solde"),0.208333333333334,IF(AND(AG609="",F609-D609&lt;0),("24:00:00"-D609)+("00:00:00"+F609)-0.0416666666666667,IF(AND(OR(AG609="Allaitement",AG609="Sans déjeuner"),F609-D609&lt;0),("24:00:00"-D609)+("00:00:00"+F609),IF(AND(AG609="",F609-D609&gt;0.166666666666667),F609-D609-0.0416666666666667,IF(AND(OR(AG609="Allaitement",AG609="Sans déjeuner"),F609-D609&gt;0.166666666666667),F609-D609,F609-D609)))))))</f>
        <v>0.375</v>
      </c>
      <c r="P609" s="6" t="str">
        <f aca="false">IFERROR(VLOOKUP($B609,Agents!$A:$D,2,0),"-")</f>
        <v>Accessibilité</v>
      </c>
      <c r="Q609" s="21" t="n">
        <v>46133</v>
      </c>
      <c r="R609" s="8" t="n">
        <f aca="false">IF(M609="Abs",O609,0)</f>
        <v>0</v>
      </c>
      <c r="S609" s="8" t="n">
        <f aca="false">SUM(R609,L609,I609,J609,W609,H609)</f>
        <v>0</v>
      </c>
      <c r="T609" s="6" t="str">
        <f aca="false">"Sem - "&amp;WEEKNUM(Q609,21)</f>
        <v>Sem - 17</v>
      </c>
      <c r="U609" s="6" t="str">
        <f aca="false">CHOOSE(MONTH(Q609),"Janvier","Février","Mars","Avril","Mai","Juin","Juillet","Août","Septembre","Octobre","Novembre","Décembre")</f>
        <v>Avril</v>
      </c>
      <c r="V609" s="22" t="n">
        <f aca="false">YEAR(Q609)</f>
        <v>2026</v>
      </c>
      <c r="W609" s="20"/>
      <c r="X609" s="8" t="n">
        <f aca="false">IFERROR(IF(M609="Abs",0,IF(ROUND((D609-C609+E609-F609)*1440,0)&lt;=1,0,D609-C609+E609-F609)),0)</f>
        <v>0.00138888888888889</v>
      </c>
      <c r="Y609" s="6" t="str">
        <f aca="false">IFERROR(VLOOKUP($B609,Agents!$A:$D,3,0),"-")</f>
        <v>OUBRAHIM Mohammed</v>
      </c>
      <c r="Z609" s="6" t="str">
        <f aca="false">IFERROR(VLOOKUP($B609,Agents!$A:$D,4,0),"-")</f>
        <v>Credit Mutuel</v>
      </c>
      <c r="AA609" s="18" t="s">
        <v>99</v>
      </c>
      <c r="AB609" s="8" t="str">
        <f aca="false">IF(AND(D609="Congé",F609="Congé"),0.333333333333333,IF(OR(AND(D609="Congé",F609&lt;&gt;"Congé"),(AND(F609="Congé",D609&lt;&gt;"Congé"))),0.166666666666667,""))</f>
        <v/>
      </c>
      <c r="AC609" s="8" t="str">
        <f aca="false">IF(AND(D609="Congé sans solde",F609="Congé sans solde"),0.333333333333333,IF(OR(AND(D609="Congé sans solde",F609&lt;&gt;"Congé sans solde"),(AND(F609="Congé sans solde",D609&lt;&gt;"Congé sans solde"))),0.166666666666667,""))</f>
        <v/>
      </c>
      <c r="AD609" s="8" t="str">
        <f aca="false">IF(AND(D609="Congé spécial",F609="Congé spécial"),0.333333333333333,IF(OR(AND(D609="Congé spécial",F609&lt;&gt;"Congé spécial"),AND(F609="Congé spécial",D609&lt;&gt;"Congé spécial")),0.166666666666667,""))</f>
        <v/>
      </c>
      <c r="AE609" s="8" t="str">
        <f aca="false">IF(AND(D609="Férié",F609="Férié"),0.333333333333333,IF(OR(AND(D609="Férié",F609&lt;&gt;"Férié"),(AND(F609="Férié",D609&lt;&gt;"Férié"))),0.166666666666667,""))</f>
        <v/>
      </c>
      <c r="AF609" s="18"/>
      <c r="AG609" s="18"/>
    </row>
    <row r="610" customFormat="false" ht="15" hidden="false" customHeight="false" outlineLevel="0" collapsed="false">
      <c r="A610" s="6" t="str">
        <f aca="false">YEAR(Q610-WEEKDAY(Q610,2)+4)&amp;"-S"&amp;TEXT(WEEKNUM(Q610,21),"00")</f>
        <v>2026-S17</v>
      </c>
      <c r="B610" s="18" t="s">
        <v>71</v>
      </c>
      <c r="C610" s="19" t="n">
        <v>0.332638888888889</v>
      </c>
      <c r="D610" s="19" t="n">
        <v>0.333333333333333</v>
      </c>
      <c r="E610" s="19" t="n">
        <v>0.75</v>
      </c>
      <c r="F610" s="19" t="n">
        <v>0.75</v>
      </c>
      <c r="G610" s="20"/>
      <c r="H610" s="20"/>
      <c r="I610" s="8" t="str">
        <f aca="false">IF(IF(OR(C610="",D610="Congé",D610="OFF",D610="Congé spécial"),"",IF(D610&gt;F610,D610-C610,IF(C610-D610&lt;0,0,C610-D610)))&lt;0.00068287037037037,"",IF(OR(D610="Congé",D610="OFF",C610="",D610="Congé spécial"),"",IF(D610&gt;F610,D610-C610,IF(C610-D610&lt;0,0,C610-D610))))</f>
        <v/>
      </c>
      <c r="J610" s="20"/>
      <c r="K610" s="8" t="n">
        <f aca="false">IF(SUM(H610:J610)&lt;0.00068287037037037,0,SUM(H610:J610))</f>
        <v>0</v>
      </c>
      <c r="L610" s="8" t="n">
        <f aca="false">IF(OR(F610="Congé",F610="OFF",M610="Abs",F610="Congé sans solde",F610="Férié",F610="Congé spécial",D610="Congé spécial"),0,IF(F610-E610&lt;0,0,IF(F610-E610&lt;=0.00068287037037037,0,F610-E610)))</f>
        <v>0</v>
      </c>
      <c r="M610" s="6" t="n">
        <f aca="false">IF(AND(O610&lt;&gt;0,C610=""),"Abs",0)</f>
        <v>0</v>
      </c>
      <c r="N610" s="8" t="n">
        <f aca="false">IFERROR(IF(OR(D610="OFF",D610="Congé",M610="Abs",D610="Congé sans solde",D610="Férié"),"",IF(O610-K610-L610&gt;O610,O610,IF(O610-K610-L610&lt;0,"",O610-K610-L610))),"")</f>
        <v>0.375</v>
      </c>
      <c r="O610" s="8" t="n">
        <f aca="false">IF(AG610="2H Pause déjeuner",IF(F610-D610-0.0833333333333333&lt;0,F610-D610-0.0833333333333333+1,F610-D610-0.0833333333333333),IF(OR(AND(F610="OFF",D610="OFF"),AND(F610="Congé",D610="Congé"),AND(F610="Congé sans solde",D610="Congé sans solde"),AND(F610="Congé spécial",D610="Congé spécial"),AND(F610="Férié",D610="Férié"),AND(F610="OFF",D610="Congé"),AND(F610="OFF",D610="Congé sans solde"),AND(F610="OFF",D610="Congé spécial"),AND(F610="OFF",D610="Férié"),AND(F610="Congé",D610="OFF"),AND(F610="Congé",D610="Congé sans solde"),AND(F610="Congé",D610="Congé spécial"),AND(F610="Congé",D610="Férié"),AND(F610="Congé sans solde",D610="OFF"),AND(F610="Congé sans solde",D610="Congé"),AND(F610="Congé sans solde",D610="Congé spécial"),AND(F610="Congé sans solde",D610="Férié"),AND(F610="Congé spécial",D610="OFF"),AND(F610="Congé spécial",D610="Congé"),AND(F610="Congé spécial",D610="Congé sans solde"),AND(F610="Congé spécial",D610="Férié"),AND(F610="Férié",D610="OFF"),AND(F610="Férié",D610="Congé"),AND(F610="Férié",D610="Congé sans solde"),AND(F610="Férié",D610="Congé spécial")),0,IF(OR(F610="OFF",F610="Congé",F610="Congé spécial",F610="Congé sans solde",D610="OFF",D610="Congé",D610="Congé spécial",D610="Congé sans solde"),0.208333333333334,IF(AND(AG610="",F610-D610&lt;0),("24:00:00"-D610)+("00:00:00"+F610)-0.0416666666666667,IF(AND(OR(AG610="Allaitement",AG610="Sans déjeuner"),F610-D610&lt;0),("24:00:00"-D610)+("00:00:00"+F610),IF(AND(AG610="",F610-D610&gt;0.166666666666667),F610-D610-0.0416666666666667,IF(AND(OR(AG610="Allaitement",AG610="Sans déjeuner"),F610-D610&gt;0.166666666666667),F610-D610,F610-D610)))))))</f>
        <v>0.375</v>
      </c>
      <c r="P610" s="6" t="str">
        <f aca="false">IFERROR(VLOOKUP($B610,Agents!$A:$D,2,0),"-")</f>
        <v>Accessibilité</v>
      </c>
      <c r="Q610" s="21" t="n">
        <v>46134</v>
      </c>
      <c r="R610" s="8" t="n">
        <f aca="false">IF(M610="Abs",O610,0)</f>
        <v>0</v>
      </c>
      <c r="S610" s="8" t="n">
        <f aca="false">SUM(R610,L610,I610,J610,W610,H610)</f>
        <v>0</v>
      </c>
      <c r="T610" s="6" t="str">
        <f aca="false">"Sem - "&amp;WEEKNUM(Q610,21)</f>
        <v>Sem - 17</v>
      </c>
      <c r="U610" s="6" t="str">
        <f aca="false">CHOOSE(MONTH(Q610),"Janvier","Février","Mars","Avril","Mai","Juin","Juillet","Août","Septembre","Octobre","Novembre","Décembre")</f>
        <v>Avril</v>
      </c>
      <c r="V610" s="22" t="n">
        <f aca="false">YEAR(Q610)</f>
        <v>2026</v>
      </c>
      <c r="W610" s="20"/>
      <c r="X610" s="8" t="n">
        <f aca="false">IFERROR(IF(M610="Abs",0,IF(ROUND((D610-C610+E610-F610)*1440,0)&lt;=1,0,D610-C610+E610-F610)),0)</f>
        <v>0</v>
      </c>
      <c r="Y610" s="6" t="str">
        <f aca="false">IFERROR(VLOOKUP($B610,Agents!$A:$D,3,0),"-")</f>
        <v>OUBRAHIM Mohammed</v>
      </c>
      <c r="Z610" s="6" t="str">
        <f aca="false">IFERROR(VLOOKUP($B610,Agents!$A:$D,4,0),"-")</f>
        <v>Credit Mutuel</v>
      </c>
      <c r="AA610" s="18" t="s">
        <v>99</v>
      </c>
      <c r="AB610" s="8" t="str">
        <f aca="false">IF(AND(D610="Congé",F610="Congé"),0.333333333333333,IF(OR(AND(D610="Congé",F610&lt;&gt;"Congé"),(AND(F610="Congé",D610&lt;&gt;"Congé"))),0.166666666666667,""))</f>
        <v/>
      </c>
      <c r="AC610" s="8" t="str">
        <f aca="false">IF(AND(D610="Congé sans solde",F610="Congé sans solde"),0.333333333333333,IF(OR(AND(D610="Congé sans solde",F610&lt;&gt;"Congé sans solde"),(AND(F610="Congé sans solde",D610&lt;&gt;"Congé sans solde"))),0.166666666666667,""))</f>
        <v/>
      </c>
      <c r="AD610" s="8" t="str">
        <f aca="false">IF(AND(D610="Congé spécial",F610="Congé spécial"),0.333333333333333,IF(OR(AND(D610="Congé spécial",F610&lt;&gt;"Congé spécial"),AND(F610="Congé spécial",D610&lt;&gt;"Congé spécial")),0.166666666666667,""))</f>
        <v/>
      </c>
      <c r="AE610" s="8" t="str">
        <f aca="false">IF(AND(D610="Férié",F610="Férié"),0.333333333333333,IF(OR(AND(D610="Férié",F610&lt;&gt;"Férié"),(AND(F610="Férié",D610&lt;&gt;"Férié"))),0.166666666666667,""))</f>
        <v/>
      </c>
      <c r="AF610" s="18"/>
      <c r="AG610" s="18"/>
    </row>
    <row r="611" customFormat="false" ht="15" hidden="false" customHeight="false" outlineLevel="0" collapsed="false">
      <c r="A611" s="6" t="str">
        <f aca="false">YEAR(Q611-WEEKDAY(Q611,2)+4)&amp;"-S"&amp;TEXT(WEEKNUM(Q611,21),"00")</f>
        <v>2026-S17</v>
      </c>
      <c r="B611" s="18" t="s">
        <v>72</v>
      </c>
      <c r="C611" s="19" t="n">
        <v>0.331944444444444</v>
      </c>
      <c r="D611" s="19" t="n">
        <v>0.333333333333333</v>
      </c>
      <c r="E611" s="19" t="n">
        <v>0.75</v>
      </c>
      <c r="F611" s="19" t="n">
        <v>0.75</v>
      </c>
      <c r="G611" s="20"/>
      <c r="H611" s="20"/>
      <c r="I611" s="8" t="str">
        <f aca="false">IF(IF(OR(C611="",D611="Congé",D611="OFF",D611="Congé spécial"),"",IF(D611&gt;F611,D611-C611,IF(C611-D611&lt;0,0,C611-D611)))&lt;0.00068287037037037,"",IF(OR(D611="Congé",D611="OFF",C611="",D611="Congé spécial"),"",IF(D611&gt;F611,D611-C611,IF(C611-D611&lt;0,0,C611-D611))))</f>
        <v/>
      </c>
      <c r="J611" s="20"/>
      <c r="K611" s="8" t="n">
        <f aca="false">IF(SUM(H611:J611)&lt;0.00068287037037037,0,SUM(H611:J611))</f>
        <v>0</v>
      </c>
      <c r="L611" s="8" t="n">
        <f aca="false">IF(OR(F611="Congé",F611="OFF",M611="Abs",F611="Congé sans solde",F611="Férié",F611="Congé spécial",D611="Congé spécial"),0,IF(F611-E611&lt;0,0,IF(F611-E611&lt;=0.00068287037037037,0,F611-E611)))</f>
        <v>0</v>
      </c>
      <c r="M611" s="6" t="n">
        <f aca="false">IF(AND(O611&lt;&gt;0,C611=""),"Abs",0)</f>
        <v>0</v>
      </c>
      <c r="N611" s="8" t="n">
        <f aca="false">IFERROR(IF(OR(D611="OFF",D611="Congé",M611="Abs",D611="Congé sans solde",D611="Férié"),"",IF(O611-K611-L611&gt;O611,O611,IF(O611-K611-L611&lt;0,"",O611-K611-L611))),"")</f>
        <v>0.375</v>
      </c>
      <c r="O611" s="8" t="n">
        <f aca="false">IF(AG611="2H Pause déjeuner",IF(F611-D611-0.0833333333333333&lt;0,F611-D611-0.0833333333333333+1,F611-D611-0.0833333333333333),IF(OR(AND(F611="OFF",D611="OFF"),AND(F611="Congé",D611="Congé"),AND(F611="Congé sans solde",D611="Congé sans solde"),AND(F611="Congé spécial",D611="Congé spécial"),AND(F611="Férié",D611="Férié"),AND(F611="OFF",D611="Congé"),AND(F611="OFF",D611="Congé sans solde"),AND(F611="OFF",D611="Congé spécial"),AND(F611="OFF",D611="Férié"),AND(F611="Congé",D611="OFF"),AND(F611="Congé",D611="Congé sans solde"),AND(F611="Congé",D611="Congé spécial"),AND(F611="Congé",D611="Férié"),AND(F611="Congé sans solde",D611="OFF"),AND(F611="Congé sans solde",D611="Congé"),AND(F611="Congé sans solde",D611="Congé spécial"),AND(F611="Congé sans solde",D611="Férié"),AND(F611="Congé spécial",D611="OFF"),AND(F611="Congé spécial",D611="Congé"),AND(F611="Congé spécial",D611="Congé sans solde"),AND(F611="Congé spécial",D611="Férié"),AND(F611="Férié",D611="OFF"),AND(F611="Férié",D611="Congé"),AND(F611="Férié",D611="Congé sans solde"),AND(F611="Férié",D611="Congé spécial")),0,IF(OR(F611="OFF",F611="Congé",F611="Congé spécial",F611="Congé sans solde",D611="OFF",D611="Congé",D611="Congé spécial",D611="Congé sans solde"),0.208333333333334,IF(AND(AG611="",F611-D611&lt;0),("24:00:00"-D611)+("00:00:00"+F611)-0.0416666666666667,IF(AND(OR(AG611="Allaitement",AG611="Sans déjeuner"),F611-D611&lt;0),("24:00:00"-D611)+("00:00:00"+F611),IF(AND(AG611="",F611-D611&gt;0.166666666666667),F611-D611-0.0416666666666667,IF(AND(OR(AG611="Allaitement",AG611="Sans déjeuner"),F611-D611&gt;0.166666666666667),F611-D611,F611-D611)))))))</f>
        <v>0.375</v>
      </c>
      <c r="P611" s="6" t="str">
        <f aca="false">IFERROR(VLOOKUP($B611,Agents!$A:$D,2,0),"-")</f>
        <v>Accessibilité</v>
      </c>
      <c r="Q611" s="21" t="n">
        <v>46134</v>
      </c>
      <c r="R611" s="8" t="n">
        <f aca="false">IF(M611="Abs",O611,0)</f>
        <v>0</v>
      </c>
      <c r="S611" s="8" t="n">
        <f aca="false">SUM(R611,L611,I611,J611,W611,H611)</f>
        <v>0</v>
      </c>
      <c r="T611" s="6" t="str">
        <f aca="false">"Sem - "&amp;WEEKNUM(Q611,21)</f>
        <v>Sem - 17</v>
      </c>
      <c r="U611" s="6" t="str">
        <f aca="false">CHOOSE(MONTH(Q611),"Janvier","Février","Mars","Avril","Mai","Juin","Juillet","Août","Septembre","Octobre","Novembre","Décembre")</f>
        <v>Avril</v>
      </c>
      <c r="V611" s="22" t="n">
        <f aca="false">YEAR(Q611)</f>
        <v>2026</v>
      </c>
      <c r="W611" s="20"/>
      <c r="X611" s="8" t="n">
        <f aca="false">IFERROR(IF(M611="Abs",0,IF(ROUND((D611-C611+E611-F611)*1440,0)&lt;=1,0,D611-C611+E611-F611)),0)</f>
        <v>0.00138888888888889</v>
      </c>
      <c r="Y611" s="6" t="str">
        <f aca="false">IFERROR(VLOOKUP($B611,Agents!$A:$D,3,0),"-")</f>
        <v>OUBRAHIM Mohammed</v>
      </c>
      <c r="Z611" s="6" t="str">
        <f aca="false">IFERROR(VLOOKUP($B611,Agents!$A:$D,4,0),"-")</f>
        <v>Credit Mutuel</v>
      </c>
      <c r="AA611" s="18" t="s">
        <v>99</v>
      </c>
      <c r="AB611" s="8" t="str">
        <f aca="false">IF(AND(D611="Congé",F611="Congé"),0.333333333333333,IF(OR(AND(D611="Congé",F611&lt;&gt;"Congé"),(AND(F611="Congé",D611&lt;&gt;"Congé"))),0.166666666666667,""))</f>
        <v/>
      </c>
      <c r="AC611" s="8" t="str">
        <f aca="false">IF(AND(D611="Congé sans solde",F611="Congé sans solde"),0.333333333333333,IF(OR(AND(D611="Congé sans solde",F611&lt;&gt;"Congé sans solde"),(AND(F611="Congé sans solde",D611&lt;&gt;"Congé sans solde"))),0.166666666666667,""))</f>
        <v/>
      </c>
      <c r="AD611" s="8" t="str">
        <f aca="false">IF(AND(D611="Congé spécial",F611="Congé spécial"),0.333333333333333,IF(OR(AND(D611="Congé spécial",F611&lt;&gt;"Congé spécial"),AND(F611="Congé spécial",D611&lt;&gt;"Congé spécial")),0.166666666666667,""))</f>
        <v/>
      </c>
      <c r="AE611" s="8" t="str">
        <f aca="false">IF(AND(D611="Férié",F611="Férié"),0.333333333333333,IF(OR(AND(D611="Férié",F611&lt;&gt;"Férié"),(AND(F611="Férié",D611&lt;&gt;"Férié"))),0.166666666666667,""))</f>
        <v/>
      </c>
      <c r="AF611" s="18"/>
      <c r="AG611" s="18"/>
    </row>
    <row r="612" customFormat="false" ht="15" hidden="false" customHeight="false" outlineLevel="0" collapsed="false">
      <c r="A612" s="6" t="str">
        <f aca="false">YEAR(Q612-WEEKDAY(Q612,2)+4)&amp;"-S"&amp;TEXT(WEEKNUM(Q612,21),"00")</f>
        <v>2026-S17</v>
      </c>
      <c r="B612" s="18" t="s">
        <v>73</v>
      </c>
      <c r="C612" s="19" t="n">
        <v>0.331944444444444</v>
      </c>
      <c r="D612" s="19" t="n">
        <v>0.333333333333333</v>
      </c>
      <c r="E612" s="19" t="n">
        <v>0.75</v>
      </c>
      <c r="F612" s="19" t="n">
        <v>0.75</v>
      </c>
      <c r="G612" s="20"/>
      <c r="H612" s="20"/>
      <c r="I612" s="8" t="str">
        <f aca="false">IF(IF(OR(C612="",D612="Congé",D612="OFF",D612="Congé spécial"),"",IF(D612&gt;F612,D612-C612,IF(C612-D612&lt;0,0,C612-D612)))&lt;0.00068287037037037,"",IF(OR(D612="Congé",D612="OFF",C612="",D612="Congé spécial"),"",IF(D612&gt;F612,D612-C612,IF(C612-D612&lt;0,0,C612-D612))))</f>
        <v/>
      </c>
      <c r="J612" s="20"/>
      <c r="K612" s="8" t="n">
        <f aca="false">IF(SUM(H612:J612)&lt;0.00068287037037037,0,SUM(H612:J612))</f>
        <v>0</v>
      </c>
      <c r="L612" s="8" t="n">
        <f aca="false">IF(OR(F612="Congé",F612="OFF",M612="Abs",F612="Congé sans solde",F612="Férié",F612="Congé spécial",D612="Congé spécial"),0,IF(F612-E612&lt;0,0,IF(F612-E612&lt;=0.00068287037037037,0,F612-E612)))</f>
        <v>0</v>
      </c>
      <c r="M612" s="6" t="n">
        <f aca="false">IF(AND(O612&lt;&gt;0,C612=""),"Abs",0)</f>
        <v>0</v>
      </c>
      <c r="N612" s="8" t="n">
        <f aca="false">IFERROR(IF(OR(D612="OFF",D612="Congé",M612="Abs",D612="Congé sans solde",D612="Férié"),"",IF(O612-K612-L612&gt;O612,O612,IF(O612-K612-L612&lt;0,"",O612-K612-L612))),"")</f>
        <v>0.375</v>
      </c>
      <c r="O612" s="8" t="n">
        <f aca="false">IF(AG612="2H Pause déjeuner",IF(F612-D612-0.0833333333333333&lt;0,F612-D612-0.0833333333333333+1,F612-D612-0.0833333333333333),IF(OR(AND(F612="OFF",D612="OFF"),AND(F612="Congé",D612="Congé"),AND(F612="Congé sans solde",D612="Congé sans solde"),AND(F612="Congé spécial",D612="Congé spécial"),AND(F612="Férié",D612="Férié"),AND(F612="OFF",D612="Congé"),AND(F612="OFF",D612="Congé sans solde"),AND(F612="OFF",D612="Congé spécial"),AND(F612="OFF",D612="Férié"),AND(F612="Congé",D612="OFF"),AND(F612="Congé",D612="Congé sans solde"),AND(F612="Congé",D612="Congé spécial"),AND(F612="Congé",D612="Férié"),AND(F612="Congé sans solde",D612="OFF"),AND(F612="Congé sans solde",D612="Congé"),AND(F612="Congé sans solde",D612="Congé spécial"),AND(F612="Congé sans solde",D612="Férié"),AND(F612="Congé spécial",D612="OFF"),AND(F612="Congé spécial",D612="Congé"),AND(F612="Congé spécial",D612="Congé sans solde"),AND(F612="Congé spécial",D612="Férié"),AND(F612="Férié",D612="OFF"),AND(F612="Férié",D612="Congé"),AND(F612="Férié",D612="Congé sans solde"),AND(F612="Férié",D612="Congé spécial")),0,IF(OR(F612="OFF",F612="Congé",F612="Congé spécial",F612="Congé sans solde",D612="OFF",D612="Congé",D612="Congé spécial",D612="Congé sans solde"),0.208333333333334,IF(AND(AG612="",F612-D612&lt;0),("24:00:00"-D612)+("00:00:00"+F612)-0.0416666666666667,IF(AND(OR(AG612="Allaitement",AG612="Sans déjeuner"),F612-D612&lt;0),("24:00:00"-D612)+("00:00:00"+F612),IF(AND(AG612="",F612-D612&gt;0.166666666666667),F612-D612-0.0416666666666667,IF(AND(OR(AG612="Allaitement",AG612="Sans déjeuner"),F612-D612&gt;0.166666666666667),F612-D612,F612-D612)))))))</f>
        <v>0.375</v>
      </c>
      <c r="P612" s="6" t="str">
        <f aca="false">IFERROR(VLOOKUP($B612,Agents!$A:$D,2,0),"-")</f>
        <v>Accessibilité</v>
      </c>
      <c r="Q612" s="21" t="n">
        <v>46134</v>
      </c>
      <c r="R612" s="8" t="n">
        <f aca="false">IF(M612="Abs",O612,0)</f>
        <v>0</v>
      </c>
      <c r="S612" s="8" t="n">
        <f aca="false">SUM(R612,L612,I612,J612,W612,H612)</f>
        <v>0</v>
      </c>
      <c r="T612" s="6" t="str">
        <f aca="false">"Sem - "&amp;WEEKNUM(Q612,21)</f>
        <v>Sem - 17</v>
      </c>
      <c r="U612" s="6" t="str">
        <f aca="false">CHOOSE(MONTH(Q612),"Janvier","Février","Mars","Avril","Mai","Juin","Juillet","Août","Septembre","Octobre","Novembre","Décembre")</f>
        <v>Avril</v>
      </c>
      <c r="V612" s="22" t="n">
        <f aca="false">YEAR(Q612)</f>
        <v>2026</v>
      </c>
      <c r="W612" s="20"/>
      <c r="X612" s="8" t="n">
        <f aca="false">IFERROR(IF(M612="Abs",0,IF(ROUND((D612-C612+E612-F612)*1440,0)&lt;=1,0,D612-C612+E612-F612)),0)</f>
        <v>0.00138888888888889</v>
      </c>
      <c r="Y612" s="6" t="str">
        <f aca="false">IFERROR(VLOOKUP($B612,Agents!$A:$D,3,0),"-")</f>
        <v>OUBRAHIM Mohammed</v>
      </c>
      <c r="Z612" s="6" t="str">
        <f aca="false">IFERROR(VLOOKUP($B612,Agents!$A:$D,4,0),"-")</f>
        <v>Credit Mutuel</v>
      </c>
      <c r="AA612" s="18" t="s">
        <v>99</v>
      </c>
      <c r="AB612" s="8" t="str">
        <f aca="false">IF(AND(D612="Congé",F612="Congé"),0.333333333333333,IF(OR(AND(D612="Congé",F612&lt;&gt;"Congé"),(AND(F612="Congé",D612&lt;&gt;"Congé"))),0.166666666666667,""))</f>
        <v/>
      </c>
      <c r="AC612" s="8" t="str">
        <f aca="false">IF(AND(D612="Congé sans solde",F612="Congé sans solde"),0.333333333333333,IF(OR(AND(D612="Congé sans solde",F612&lt;&gt;"Congé sans solde"),(AND(F612="Congé sans solde",D612&lt;&gt;"Congé sans solde"))),0.166666666666667,""))</f>
        <v/>
      </c>
      <c r="AD612" s="8" t="str">
        <f aca="false">IF(AND(D612="Congé spécial",F612="Congé spécial"),0.333333333333333,IF(OR(AND(D612="Congé spécial",F612&lt;&gt;"Congé spécial"),AND(F612="Congé spécial",D612&lt;&gt;"Congé spécial")),0.166666666666667,""))</f>
        <v/>
      </c>
      <c r="AE612" s="8" t="str">
        <f aca="false">IF(AND(D612="Férié",F612="Férié"),0.333333333333333,IF(OR(AND(D612="Férié",F612&lt;&gt;"Férié"),(AND(F612="Férié",D612&lt;&gt;"Férié"))),0.166666666666667,""))</f>
        <v/>
      </c>
      <c r="AF612" s="18"/>
      <c r="AG612" s="18"/>
    </row>
    <row r="613" customFormat="false" ht="15" hidden="false" customHeight="false" outlineLevel="0" collapsed="false">
      <c r="A613" s="6" t="str">
        <f aca="false">YEAR(Q613-WEEKDAY(Q613,2)+4)&amp;"-S"&amp;TEXT(WEEKNUM(Q613,21),"00")</f>
        <v>2026-S17</v>
      </c>
      <c r="B613" s="18" t="s">
        <v>71</v>
      </c>
      <c r="C613" s="19" t="n">
        <v>0.332638888888889</v>
      </c>
      <c r="D613" s="19" t="n">
        <v>0.333333333333333</v>
      </c>
      <c r="E613" s="19" t="n">
        <v>0.75</v>
      </c>
      <c r="F613" s="19" t="n">
        <v>0.75</v>
      </c>
      <c r="G613" s="20"/>
      <c r="H613" s="20"/>
      <c r="I613" s="8" t="str">
        <f aca="false">IF(IF(OR(C613="",D613="Congé",D613="OFF",D613="Congé spécial"),"",IF(D613&gt;F613,D613-C613,IF(C613-D613&lt;0,0,C613-D613)))&lt;0.00068287037037037,"",IF(OR(D613="Congé",D613="OFF",C613="",D613="Congé spécial"),"",IF(D613&gt;F613,D613-C613,IF(C613-D613&lt;0,0,C613-D613))))</f>
        <v/>
      </c>
      <c r="J613" s="20"/>
      <c r="K613" s="8" t="n">
        <f aca="false">IF(SUM(H613:J613)&lt;0.00068287037037037,0,SUM(H613:J613))</f>
        <v>0</v>
      </c>
      <c r="L613" s="8" t="n">
        <f aca="false">IF(OR(F613="Congé",F613="OFF",M613="Abs",F613="Congé sans solde",F613="Férié",F613="Congé spécial",D613="Congé spécial"),0,IF(F613-E613&lt;0,0,IF(F613-E613&lt;=0.00068287037037037,0,F613-E613)))</f>
        <v>0</v>
      </c>
      <c r="M613" s="6" t="n">
        <f aca="false">IF(AND(O613&lt;&gt;0,C613=""),"Abs",0)</f>
        <v>0</v>
      </c>
      <c r="N613" s="8" t="n">
        <f aca="false">IFERROR(IF(OR(D613="OFF",D613="Congé",M613="Abs",D613="Congé sans solde",D613="Férié"),"",IF(O613-K613-L613&gt;O613,O613,IF(O613-K613-L613&lt;0,"",O613-K613-L613))),"")</f>
        <v>0.375</v>
      </c>
      <c r="O613" s="8" t="n">
        <f aca="false">IF(AG613="2H Pause déjeuner",IF(F613-D613-0.0833333333333333&lt;0,F613-D613-0.0833333333333333+1,F613-D613-0.0833333333333333),IF(OR(AND(F613="OFF",D613="OFF"),AND(F613="Congé",D613="Congé"),AND(F613="Congé sans solde",D613="Congé sans solde"),AND(F613="Congé spécial",D613="Congé spécial"),AND(F613="Férié",D613="Férié"),AND(F613="OFF",D613="Congé"),AND(F613="OFF",D613="Congé sans solde"),AND(F613="OFF",D613="Congé spécial"),AND(F613="OFF",D613="Férié"),AND(F613="Congé",D613="OFF"),AND(F613="Congé",D613="Congé sans solde"),AND(F613="Congé",D613="Congé spécial"),AND(F613="Congé",D613="Férié"),AND(F613="Congé sans solde",D613="OFF"),AND(F613="Congé sans solde",D613="Congé"),AND(F613="Congé sans solde",D613="Congé spécial"),AND(F613="Congé sans solde",D613="Férié"),AND(F613="Congé spécial",D613="OFF"),AND(F613="Congé spécial",D613="Congé"),AND(F613="Congé spécial",D613="Congé sans solde"),AND(F613="Congé spécial",D613="Férié"),AND(F613="Férié",D613="OFF"),AND(F613="Férié",D613="Congé"),AND(F613="Férié",D613="Congé sans solde"),AND(F613="Férié",D613="Congé spécial")),0,IF(OR(F613="OFF",F613="Congé",F613="Congé spécial",F613="Congé sans solde",D613="OFF",D613="Congé",D613="Congé spécial",D613="Congé sans solde"),0.208333333333334,IF(AND(AG613="",F613-D613&lt;0),("24:00:00"-D613)+("00:00:00"+F613)-0.0416666666666667,IF(AND(OR(AG613="Allaitement",AG613="Sans déjeuner"),F613-D613&lt;0),("24:00:00"-D613)+("00:00:00"+F613),IF(AND(AG613="",F613-D613&gt;0.166666666666667),F613-D613-0.0416666666666667,IF(AND(OR(AG613="Allaitement",AG613="Sans déjeuner"),F613-D613&gt;0.166666666666667),F613-D613,F613-D613)))))))</f>
        <v>0.375</v>
      </c>
      <c r="P613" s="6" t="str">
        <f aca="false">IFERROR(VLOOKUP($B613,Agents!$A:$D,2,0),"-")</f>
        <v>Accessibilité</v>
      </c>
      <c r="Q613" s="21" t="n">
        <v>46135</v>
      </c>
      <c r="R613" s="8" t="n">
        <f aca="false">IF(M613="Abs",O613,0)</f>
        <v>0</v>
      </c>
      <c r="S613" s="8" t="n">
        <f aca="false">SUM(R613,L613,I613,J613,W613,H613)</f>
        <v>0</v>
      </c>
      <c r="T613" s="6" t="str">
        <f aca="false">"Sem - "&amp;WEEKNUM(Q613,21)</f>
        <v>Sem - 17</v>
      </c>
      <c r="U613" s="6" t="str">
        <f aca="false">CHOOSE(MONTH(Q613),"Janvier","Février","Mars","Avril","Mai","Juin","Juillet","Août","Septembre","Octobre","Novembre","Décembre")</f>
        <v>Avril</v>
      </c>
      <c r="V613" s="22" t="n">
        <f aca="false">YEAR(Q613)</f>
        <v>2026</v>
      </c>
      <c r="W613" s="20"/>
      <c r="X613" s="8" t="n">
        <f aca="false">IFERROR(IF(M613="Abs",0,IF(ROUND((D613-C613+E613-F613)*1440,0)&lt;=1,0,D613-C613+E613-F613)),0)</f>
        <v>0</v>
      </c>
      <c r="Y613" s="6" t="str">
        <f aca="false">IFERROR(VLOOKUP($B613,Agents!$A:$D,3,0),"-")</f>
        <v>OUBRAHIM Mohammed</v>
      </c>
      <c r="Z613" s="6" t="str">
        <f aca="false">IFERROR(VLOOKUP($B613,Agents!$A:$D,4,0),"-")</f>
        <v>Credit Mutuel</v>
      </c>
      <c r="AA613" s="18" t="s">
        <v>99</v>
      </c>
      <c r="AB613" s="8" t="str">
        <f aca="false">IF(AND(D613="Congé",F613="Congé"),0.333333333333333,IF(OR(AND(D613="Congé",F613&lt;&gt;"Congé"),(AND(F613="Congé",D613&lt;&gt;"Congé"))),0.166666666666667,""))</f>
        <v/>
      </c>
      <c r="AC613" s="8" t="str">
        <f aca="false">IF(AND(D613="Congé sans solde",F613="Congé sans solde"),0.333333333333333,IF(OR(AND(D613="Congé sans solde",F613&lt;&gt;"Congé sans solde"),(AND(F613="Congé sans solde",D613&lt;&gt;"Congé sans solde"))),0.166666666666667,""))</f>
        <v/>
      </c>
      <c r="AD613" s="8" t="str">
        <f aca="false">IF(AND(D613="Congé spécial",F613="Congé spécial"),0.333333333333333,IF(OR(AND(D613="Congé spécial",F613&lt;&gt;"Congé spécial"),AND(F613="Congé spécial",D613&lt;&gt;"Congé spécial")),0.166666666666667,""))</f>
        <v/>
      </c>
      <c r="AE613" s="8" t="str">
        <f aca="false">IF(AND(D613="Férié",F613="Férié"),0.333333333333333,IF(OR(AND(D613="Férié",F613&lt;&gt;"Férié"),(AND(F613="Férié",D613&lt;&gt;"Férié"))),0.166666666666667,""))</f>
        <v/>
      </c>
      <c r="AF613" s="18"/>
      <c r="AG613" s="18"/>
    </row>
    <row r="614" customFormat="false" ht="15" hidden="false" customHeight="false" outlineLevel="0" collapsed="false">
      <c r="A614" s="6" t="str">
        <f aca="false">YEAR(Q614-WEEKDAY(Q614,2)+4)&amp;"-S"&amp;TEXT(WEEKNUM(Q614,21),"00")</f>
        <v>2026-S17</v>
      </c>
      <c r="B614" s="18" t="s">
        <v>72</v>
      </c>
      <c r="C614" s="19"/>
      <c r="D614" s="19" t="n">
        <v>0.333333333333333</v>
      </c>
      <c r="E614" s="19"/>
      <c r="F614" s="19" t="n">
        <v>0.75</v>
      </c>
      <c r="G614" s="20"/>
      <c r="H614" s="20"/>
      <c r="I614" s="8" t="str">
        <f aca="false">IF(IF(OR(C614="",D614="Congé",D614="OFF",D614="Congé spécial"),"",IF(D614&gt;F614,D614-C614,IF(C614-D614&lt;0,0,C614-D614)))&lt;0.00068287037037037,"",IF(OR(D614="Congé",D614="OFF",C614="",D614="Congé spécial"),"",IF(D614&gt;F614,D614-C614,IF(C614-D614&lt;0,0,C614-D614))))</f>
        <v/>
      </c>
      <c r="J614" s="20"/>
      <c r="K614" s="8" t="n">
        <f aca="false">IF(SUM(H614:J614)&lt;0.00068287037037037,0,SUM(H614:J614))</f>
        <v>0</v>
      </c>
      <c r="L614" s="8" t="n">
        <f aca="false">IF(OR(F614="Congé",F614="OFF",M614="Abs",F614="Congé sans solde",F614="Férié",F614="Congé spécial",D614="Congé spécial"),0,IF(F614-E614&lt;0,0,IF(F614-E614&lt;=0.00068287037037037,0,F614-E614)))</f>
        <v>0</v>
      </c>
      <c r="M614" s="6" t="str">
        <f aca="false">IF(AND(O614&lt;&gt;0,C614=""),"Abs",0)</f>
        <v>Abs</v>
      </c>
      <c r="N614" s="8" t="str">
        <f aca="false">IFERROR(IF(OR(D614="OFF",D614="Congé",M614="Abs",D614="Congé sans solde",D614="Férié"),"",IF(O614-K614-L614&gt;O614,O614,IF(O614-K614-L614&lt;0,"",O614-K614-L614))),"")</f>
        <v/>
      </c>
      <c r="O614" s="8" t="n">
        <f aca="false">IF(AG614="2H Pause déjeuner",IF(F614-D614-0.0833333333333333&lt;0,F614-D614-0.0833333333333333+1,F614-D614-0.0833333333333333),IF(OR(AND(F614="OFF",D614="OFF"),AND(F614="Congé",D614="Congé"),AND(F614="Congé sans solde",D614="Congé sans solde"),AND(F614="Congé spécial",D614="Congé spécial"),AND(F614="Férié",D614="Férié"),AND(F614="OFF",D614="Congé"),AND(F614="OFF",D614="Congé sans solde"),AND(F614="OFF",D614="Congé spécial"),AND(F614="OFF",D614="Férié"),AND(F614="Congé",D614="OFF"),AND(F614="Congé",D614="Congé sans solde"),AND(F614="Congé",D614="Congé spécial"),AND(F614="Congé",D614="Férié"),AND(F614="Congé sans solde",D614="OFF"),AND(F614="Congé sans solde",D614="Congé"),AND(F614="Congé sans solde",D614="Congé spécial"),AND(F614="Congé sans solde",D614="Férié"),AND(F614="Congé spécial",D614="OFF"),AND(F614="Congé spécial",D614="Congé"),AND(F614="Congé spécial",D614="Congé sans solde"),AND(F614="Congé spécial",D614="Férié"),AND(F614="Férié",D614="OFF"),AND(F614="Férié",D614="Congé"),AND(F614="Férié",D614="Congé sans solde"),AND(F614="Férié",D614="Congé spécial")),0,IF(OR(F614="OFF",F614="Congé",F614="Congé spécial",F614="Congé sans solde",D614="OFF",D614="Congé",D614="Congé spécial",D614="Congé sans solde"),0.208333333333334,IF(AND(AG614="",F614-D614&lt;0),("24:00:00"-D614)+("00:00:00"+F614)-0.0416666666666667,IF(AND(OR(AG614="Allaitement",AG614="Sans déjeuner"),F614-D614&lt;0),("24:00:00"-D614)+("00:00:00"+F614),IF(AND(AG614="",F614-D614&gt;0.166666666666667),F614-D614-0.0416666666666667,IF(AND(OR(AG614="Allaitement",AG614="Sans déjeuner"),F614-D614&gt;0.166666666666667),F614-D614,F614-D614)))))))</f>
        <v>0.375</v>
      </c>
      <c r="P614" s="6" t="str">
        <f aca="false">IFERROR(VLOOKUP($B614,Agents!$A:$D,2,0),"-")</f>
        <v>Accessibilité</v>
      </c>
      <c r="Q614" s="21" t="n">
        <v>46135</v>
      </c>
      <c r="R614" s="8" t="n">
        <f aca="false">IF(M614="Abs",O614,0)</f>
        <v>0.375</v>
      </c>
      <c r="S614" s="8" t="n">
        <f aca="false">SUM(R614,L614,I614,J614,W614,H614)</f>
        <v>0.375</v>
      </c>
      <c r="T614" s="6" t="str">
        <f aca="false">"Sem - "&amp;WEEKNUM(Q614,21)</f>
        <v>Sem - 17</v>
      </c>
      <c r="U614" s="6" t="str">
        <f aca="false">CHOOSE(MONTH(Q614),"Janvier","Février","Mars","Avril","Mai","Juin","Juillet","Août","Septembre","Octobre","Novembre","Décembre")</f>
        <v>Avril</v>
      </c>
      <c r="V614" s="22" t="n">
        <f aca="false">YEAR(Q614)</f>
        <v>2026</v>
      </c>
      <c r="W614" s="20"/>
      <c r="X614" s="8" t="n">
        <f aca="false">IFERROR(IF(M614="Abs",0,IF(ROUND((D614-C614+E614-F614)*1440,0)&lt;=1,0,D614-C614+E614-F614)),0)</f>
        <v>0</v>
      </c>
      <c r="Y614" s="6" t="str">
        <f aca="false">IFERROR(VLOOKUP($B614,Agents!$A:$D,3,0),"-")</f>
        <v>OUBRAHIM Mohammed</v>
      </c>
      <c r="Z614" s="6" t="str">
        <f aca="false">IFERROR(VLOOKUP($B614,Agents!$A:$D,4,0),"-")</f>
        <v>Credit Mutuel</v>
      </c>
      <c r="AA614" s="18" t="s">
        <v>99</v>
      </c>
      <c r="AB614" s="8" t="str">
        <f aca="false">IF(AND(D614="Congé",F614="Congé"),0.333333333333333,IF(OR(AND(D614="Congé",F614&lt;&gt;"Congé"),(AND(F614="Congé",D614&lt;&gt;"Congé"))),0.166666666666667,""))</f>
        <v/>
      </c>
      <c r="AC614" s="8" t="str">
        <f aca="false">IF(AND(D614="Congé sans solde",F614="Congé sans solde"),0.333333333333333,IF(OR(AND(D614="Congé sans solde",F614&lt;&gt;"Congé sans solde"),(AND(F614="Congé sans solde",D614&lt;&gt;"Congé sans solde"))),0.166666666666667,""))</f>
        <v/>
      </c>
      <c r="AD614" s="8" t="str">
        <f aca="false">IF(AND(D614="Congé spécial",F614="Congé spécial"),0.333333333333333,IF(OR(AND(D614="Congé spécial",F614&lt;&gt;"Congé spécial"),AND(F614="Congé spécial",D614&lt;&gt;"Congé spécial")),0.166666666666667,""))</f>
        <v/>
      </c>
      <c r="AE614" s="8" t="str">
        <f aca="false">IF(AND(D614="Férié",F614="Férié"),0.333333333333333,IF(OR(AND(D614="Férié",F614&lt;&gt;"Férié"),(AND(F614="Férié",D614&lt;&gt;"Férié"))),0.166666666666667,""))</f>
        <v/>
      </c>
      <c r="AF614" s="18"/>
      <c r="AG614" s="18"/>
    </row>
    <row r="615" customFormat="false" ht="15" hidden="false" customHeight="false" outlineLevel="0" collapsed="false">
      <c r="A615" s="6" t="str">
        <f aca="false">YEAR(Q615-WEEKDAY(Q615,2)+4)&amp;"-S"&amp;TEXT(WEEKNUM(Q615,21),"00")</f>
        <v>2026-S17</v>
      </c>
      <c r="B615" s="18" t="s">
        <v>73</v>
      </c>
      <c r="C615" s="19" t="n">
        <v>0.331944444444444</v>
      </c>
      <c r="D615" s="19" t="n">
        <v>0.333333333333333</v>
      </c>
      <c r="E615" s="19" t="n">
        <v>0.75</v>
      </c>
      <c r="F615" s="19" t="n">
        <v>0.75</v>
      </c>
      <c r="G615" s="20"/>
      <c r="H615" s="20"/>
      <c r="I615" s="8" t="str">
        <f aca="false">IF(IF(OR(C615="",D615="Congé",D615="OFF",D615="Congé spécial"),"",IF(D615&gt;F615,D615-C615,IF(C615-D615&lt;0,0,C615-D615)))&lt;0.00068287037037037,"",IF(OR(D615="Congé",D615="OFF",C615="",D615="Congé spécial"),"",IF(D615&gt;F615,D615-C615,IF(C615-D615&lt;0,0,C615-D615))))</f>
        <v/>
      </c>
      <c r="J615" s="20"/>
      <c r="K615" s="8" t="n">
        <f aca="false">IF(SUM(H615:J615)&lt;0.00068287037037037,0,SUM(H615:J615))</f>
        <v>0</v>
      </c>
      <c r="L615" s="8" t="n">
        <f aca="false">IF(OR(F615="Congé",F615="OFF",M615="Abs",F615="Congé sans solde",F615="Férié",F615="Congé spécial",D615="Congé spécial"),0,IF(F615-E615&lt;0,0,IF(F615-E615&lt;=0.00068287037037037,0,F615-E615)))</f>
        <v>0</v>
      </c>
      <c r="M615" s="6" t="n">
        <f aca="false">IF(AND(O615&lt;&gt;0,C615=""),"Abs",0)</f>
        <v>0</v>
      </c>
      <c r="N615" s="8" t="n">
        <f aca="false">IFERROR(IF(OR(D615="OFF",D615="Congé",M615="Abs",D615="Congé sans solde",D615="Férié"),"",IF(O615-K615-L615&gt;O615,O615,IF(O615-K615-L615&lt;0,"",O615-K615-L615))),"")</f>
        <v>0.375</v>
      </c>
      <c r="O615" s="8" t="n">
        <f aca="false">IF(AG615="2H Pause déjeuner",IF(F615-D615-0.0833333333333333&lt;0,F615-D615-0.0833333333333333+1,F615-D615-0.0833333333333333),IF(OR(AND(F615="OFF",D615="OFF"),AND(F615="Congé",D615="Congé"),AND(F615="Congé sans solde",D615="Congé sans solde"),AND(F615="Congé spécial",D615="Congé spécial"),AND(F615="Férié",D615="Férié"),AND(F615="OFF",D615="Congé"),AND(F615="OFF",D615="Congé sans solde"),AND(F615="OFF",D615="Congé spécial"),AND(F615="OFF",D615="Férié"),AND(F615="Congé",D615="OFF"),AND(F615="Congé",D615="Congé sans solde"),AND(F615="Congé",D615="Congé spécial"),AND(F615="Congé",D615="Férié"),AND(F615="Congé sans solde",D615="OFF"),AND(F615="Congé sans solde",D615="Congé"),AND(F615="Congé sans solde",D615="Congé spécial"),AND(F615="Congé sans solde",D615="Férié"),AND(F615="Congé spécial",D615="OFF"),AND(F615="Congé spécial",D615="Congé"),AND(F615="Congé spécial",D615="Congé sans solde"),AND(F615="Congé spécial",D615="Férié"),AND(F615="Férié",D615="OFF"),AND(F615="Férié",D615="Congé"),AND(F615="Férié",D615="Congé sans solde"),AND(F615="Férié",D615="Congé spécial")),0,IF(OR(F615="OFF",F615="Congé",F615="Congé spécial",F615="Congé sans solde",D615="OFF",D615="Congé",D615="Congé spécial",D615="Congé sans solde"),0.208333333333334,IF(AND(AG615="",F615-D615&lt;0),("24:00:00"-D615)+("00:00:00"+F615)-0.0416666666666667,IF(AND(OR(AG615="Allaitement",AG615="Sans déjeuner"),F615-D615&lt;0),("24:00:00"-D615)+("00:00:00"+F615),IF(AND(AG615="",F615-D615&gt;0.166666666666667),F615-D615-0.0416666666666667,IF(AND(OR(AG615="Allaitement",AG615="Sans déjeuner"),F615-D615&gt;0.166666666666667),F615-D615,F615-D615)))))))</f>
        <v>0.375</v>
      </c>
      <c r="P615" s="6" t="str">
        <f aca="false">IFERROR(VLOOKUP($B615,Agents!$A:$D,2,0),"-")</f>
        <v>Accessibilité</v>
      </c>
      <c r="Q615" s="21" t="n">
        <v>46135</v>
      </c>
      <c r="R615" s="8" t="n">
        <f aca="false">IF(M615="Abs",O615,0)</f>
        <v>0</v>
      </c>
      <c r="S615" s="8" t="n">
        <f aca="false">SUM(R615,L615,I615,J615,W615,H615)</f>
        <v>0</v>
      </c>
      <c r="T615" s="6" t="str">
        <f aca="false">"Sem - "&amp;WEEKNUM(Q615,21)</f>
        <v>Sem - 17</v>
      </c>
      <c r="U615" s="6" t="str">
        <f aca="false">CHOOSE(MONTH(Q615),"Janvier","Février","Mars","Avril","Mai","Juin","Juillet","Août","Septembre","Octobre","Novembre","Décembre")</f>
        <v>Avril</v>
      </c>
      <c r="V615" s="22" t="n">
        <f aca="false">YEAR(Q615)</f>
        <v>2026</v>
      </c>
      <c r="W615" s="20"/>
      <c r="X615" s="8" t="n">
        <f aca="false">IFERROR(IF(M615="Abs",0,IF(ROUND((D615-C615+E615-F615)*1440,0)&lt;=1,0,D615-C615+E615-F615)),0)</f>
        <v>0.00138888888888889</v>
      </c>
      <c r="Y615" s="6" t="str">
        <f aca="false">IFERROR(VLOOKUP($B615,Agents!$A:$D,3,0),"-")</f>
        <v>OUBRAHIM Mohammed</v>
      </c>
      <c r="Z615" s="6" t="str">
        <f aca="false">IFERROR(VLOOKUP($B615,Agents!$A:$D,4,0),"-")</f>
        <v>Credit Mutuel</v>
      </c>
      <c r="AA615" s="18" t="s">
        <v>99</v>
      </c>
      <c r="AB615" s="8" t="str">
        <f aca="false">IF(AND(D615="Congé",F615="Congé"),0.333333333333333,IF(OR(AND(D615="Congé",F615&lt;&gt;"Congé"),(AND(F615="Congé",D615&lt;&gt;"Congé"))),0.166666666666667,""))</f>
        <v/>
      </c>
      <c r="AC615" s="8" t="str">
        <f aca="false">IF(AND(D615="Congé sans solde",F615="Congé sans solde"),0.333333333333333,IF(OR(AND(D615="Congé sans solde",F615&lt;&gt;"Congé sans solde"),(AND(F615="Congé sans solde",D615&lt;&gt;"Congé sans solde"))),0.166666666666667,""))</f>
        <v/>
      </c>
      <c r="AD615" s="8" t="str">
        <f aca="false">IF(AND(D615="Congé spécial",F615="Congé spécial"),0.333333333333333,IF(OR(AND(D615="Congé spécial",F615&lt;&gt;"Congé spécial"),AND(F615="Congé spécial",D615&lt;&gt;"Congé spécial")),0.166666666666667,""))</f>
        <v/>
      </c>
      <c r="AE615" s="8" t="str">
        <f aca="false">IF(AND(D615="Férié",F615="Férié"),0.333333333333333,IF(OR(AND(D615="Férié",F615&lt;&gt;"Férié"),(AND(F615="Férié",D615&lt;&gt;"Férié"))),0.166666666666667,""))</f>
        <v/>
      </c>
      <c r="AF615" s="18"/>
      <c r="AG615" s="18"/>
    </row>
    <row r="616" customFormat="false" ht="15" hidden="false" customHeight="false" outlineLevel="0" collapsed="false">
      <c r="A616" s="6" t="str">
        <f aca="false">YEAR(Q616-WEEKDAY(Q616,2)+4)&amp;"-S"&amp;TEXT(WEEKNUM(Q616,21),"00")</f>
        <v>2026-S17</v>
      </c>
      <c r="B616" s="18" t="s">
        <v>71</v>
      </c>
      <c r="C616" s="19" t="n">
        <v>0.333333333333333</v>
      </c>
      <c r="D616" s="19" t="n">
        <v>0.333333333333333</v>
      </c>
      <c r="E616" s="19" t="n">
        <v>0.708333333333333</v>
      </c>
      <c r="F616" s="19" t="n">
        <v>0.708333333333333</v>
      </c>
      <c r="G616" s="20"/>
      <c r="H616" s="20"/>
      <c r="I616" s="8" t="str">
        <f aca="false">IF(IF(OR(C616="",D616="Congé",D616="OFF",D616="Congé spécial"),"",IF(D616&gt;F616,D616-C616,IF(C616-D616&lt;0,0,C616-D616)))&lt;0.00068287037037037,"",IF(OR(D616="Congé",D616="OFF",C616="",D616="Congé spécial"),"",IF(D616&gt;F616,D616-C616,IF(C616-D616&lt;0,0,C616-D616))))</f>
        <v/>
      </c>
      <c r="J616" s="20"/>
      <c r="K616" s="8" t="n">
        <f aca="false">IF(SUM(H616:J616)&lt;0.00068287037037037,0,SUM(H616:J616))</f>
        <v>0</v>
      </c>
      <c r="L616" s="8" t="n">
        <f aca="false">IF(OR(F616="Congé",F616="OFF",M616="Abs",F616="Congé sans solde",F616="Férié",F616="Congé spécial",D616="Congé spécial"),0,IF(F616-E616&lt;0,0,IF(F616-E616&lt;=0.00068287037037037,0,F616-E616)))</f>
        <v>0</v>
      </c>
      <c r="M616" s="6" t="n">
        <f aca="false">IF(AND(O616&lt;&gt;0,C616=""),"Abs",0)</f>
        <v>0</v>
      </c>
      <c r="N616" s="8" t="n">
        <f aca="false">IFERROR(IF(OR(D616="OFF",D616="Congé",M616="Abs",D616="Congé sans solde",D616="Férié"),"",IF(O616-K616-L616&gt;O616,O616,IF(O616-K616-L616&lt;0,"",O616-K616-L616))),"")</f>
        <v>0.333333333333333</v>
      </c>
      <c r="O616" s="8" t="n">
        <f aca="false">IF(AG616="2H Pause déjeuner",IF(F616-D616-0.0833333333333333&lt;0,F616-D616-0.0833333333333333+1,F616-D616-0.0833333333333333),IF(OR(AND(F616="OFF",D616="OFF"),AND(F616="Congé",D616="Congé"),AND(F616="Congé sans solde",D616="Congé sans solde"),AND(F616="Congé spécial",D616="Congé spécial"),AND(F616="Férié",D616="Férié"),AND(F616="OFF",D616="Congé"),AND(F616="OFF",D616="Congé sans solde"),AND(F616="OFF",D616="Congé spécial"),AND(F616="OFF",D616="Férié"),AND(F616="Congé",D616="OFF"),AND(F616="Congé",D616="Congé sans solde"),AND(F616="Congé",D616="Congé spécial"),AND(F616="Congé",D616="Férié"),AND(F616="Congé sans solde",D616="OFF"),AND(F616="Congé sans solde",D616="Congé"),AND(F616="Congé sans solde",D616="Congé spécial"),AND(F616="Congé sans solde",D616="Férié"),AND(F616="Congé spécial",D616="OFF"),AND(F616="Congé spécial",D616="Congé"),AND(F616="Congé spécial",D616="Congé sans solde"),AND(F616="Congé spécial",D616="Férié"),AND(F616="Férié",D616="OFF"),AND(F616="Férié",D616="Congé"),AND(F616="Férié",D616="Congé sans solde"),AND(F616="Férié",D616="Congé spécial")),0,IF(OR(F616="OFF",F616="Congé",F616="Congé spécial",F616="Congé sans solde",D616="OFF",D616="Congé",D616="Congé spécial",D616="Congé sans solde"),0.208333333333334,IF(AND(AG616="",F616-D616&lt;0),("24:00:00"-D616)+("00:00:00"+F616)-0.0416666666666667,IF(AND(OR(AG616="Allaitement",AG616="Sans déjeuner"),F616-D616&lt;0),("24:00:00"-D616)+("00:00:00"+F616),IF(AND(AG616="",F616-D616&gt;0.166666666666667),F616-D616-0.0416666666666667,IF(AND(OR(AG616="Allaitement",AG616="Sans déjeuner"),F616-D616&gt;0.166666666666667),F616-D616,F616-D616)))))))</f>
        <v>0.333333333333333</v>
      </c>
      <c r="P616" s="6" t="str">
        <f aca="false">IFERROR(VLOOKUP($B616,Agents!$A:$D,2,0),"-")</f>
        <v>Accessibilité</v>
      </c>
      <c r="Q616" s="21" t="n">
        <v>46136</v>
      </c>
      <c r="R616" s="8" t="n">
        <f aca="false">IF(M616="Abs",O616,0)</f>
        <v>0</v>
      </c>
      <c r="S616" s="8" t="n">
        <f aca="false">SUM(R616,L616,I616,J616,W616,H616)</f>
        <v>0</v>
      </c>
      <c r="T616" s="6" t="str">
        <f aca="false">"Sem - "&amp;WEEKNUM(Q616,21)</f>
        <v>Sem - 17</v>
      </c>
      <c r="U616" s="6" t="str">
        <f aca="false">CHOOSE(MONTH(Q616),"Janvier","Février","Mars","Avril","Mai","Juin","Juillet","Août","Septembre","Octobre","Novembre","Décembre")</f>
        <v>Avril</v>
      </c>
      <c r="V616" s="22" t="n">
        <f aca="false">YEAR(Q616)</f>
        <v>2026</v>
      </c>
      <c r="W616" s="20"/>
      <c r="X616" s="8" t="n">
        <f aca="false">IFERROR(IF(M616="Abs",0,IF(ROUND((D616-C616+E616-F616)*1440,0)&lt;=1,0,D616-C616+E616-F616)),0)</f>
        <v>0</v>
      </c>
      <c r="Y616" s="6" t="str">
        <f aca="false">IFERROR(VLOOKUP($B616,Agents!$A:$D,3,0),"-")</f>
        <v>OUBRAHIM Mohammed</v>
      </c>
      <c r="Z616" s="6" t="str">
        <f aca="false">IFERROR(VLOOKUP($B616,Agents!$A:$D,4,0),"-")</f>
        <v>Credit Mutuel</v>
      </c>
      <c r="AA616" s="18" t="s">
        <v>99</v>
      </c>
      <c r="AB616" s="8" t="str">
        <f aca="false">IF(AND(D616="Congé",F616="Congé"),0.333333333333333,IF(OR(AND(D616="Congé",F616&lt;&gt;"Congé"),(AND(F616="Congé",D616&lt;&gt;"Congé"))),0.166666666666667,""))</f>
        <v/>
      </c>
      <c r="AC616" s="8" t="str">
        <f aca="false">IF(AND(D616="Congé sans solde",F616="Congé sans solde"),0.333333333333333,IF(OR(AND(D616="Congé sans solde",F616&lt;&gt;"Congé sans solde"),(AND(F616="Congé sans solde",D616&lt;&gt;"Congé sans solde"))),0.166666666666667,""))</f>
        <v/>
      </c>
      <c r="AD616" s="8" t="str">
        <f aca="false">IF(AND(D616="Congé spécial",F616="Congé spécial"),0.333333333333333,IF(OR(AND(D616="Congé spécial",F616&lt;&gt;"Congé spécial"),AND(F616="Congé spécial",D616&lt;&gt;"Congé spécial")),0.166666666666667,""))</f>
        <v/>
      </c>
      <c r="AE616" s="8" t="str">
        <f aca="false">IF(AND(D616="Férié",F616="Férié"),0.333333333333333,IF(OR(AND(D616="Férié",F616&lt;&gt;"Férié"),(AND(F616="Férié",D616&lt;&gt;"Férié"))),0.166666666666667,""))</f>
        <v/>
      </c>
      <c r="AF616" s="18"/>
      <c r="AG616" s="18"/>
    </row>
    <row r="617" customFormat="false" ht="15" hidden="false" customHeight="false" outlineLevel="0" collapsed="false">
      <c r="A617" s="6" t="str">
        <f aca="false">YEAR(Q617-WEEKDAY(Q617,2)+4)&amp;"-S"&amp;TEXT(WEEKNUM(Q617,21),"00")</f>
        <v>2026-S17</v>
      </c>
      <c r="B617" s="18" t="s">
        <v>72</v>
      </c>
      <c r="C617" s="19" t="n">
        <v>0.333333333333333</v>
      </c>
      <c r="D617" s="19" t="n">
        <v>0.333333333333333</v>
      </c>
      <c r="E617" s="19" t="n">
        <v>0.708333333333333</v>
      </c>
      <c r="F617" s="19" t="n">
        <v>0.708333333333333</v>
      </c>
      <c r="G617" s="20"/>
      <c r="H617" s="20"/>
      <c r="I617" s="8" t="str">
        <f aca="false">IF(IF(OR(C617="",D617="Congé",D617="OFF",D617="Congé spécial"),"",IF(D617&gt;F617,D617-C617,IF(C617-D617&lt;0,0,C617-D617)))&lt;0.00068287037037037,"",IF(OR(D617="Congé",D617="OFF",C617="",D617="Congé spécial"),"",IF(D617&gt;F617,D617-C617,IF(C617-D617&lt;0,0,C617-D617))))</f>
        <v/>
      </c>
      <c r="J617" s="20"/>
      <c r="K617" s="8" t="n">
        <f aca="false">IF(SUM(H617:J617)&lt;0.00068287037037037,0,SUM(H617:J617))</f>
        <v>0</v>
      </c>
      <c r="L617" s="8" t="n">
        <f aca="false">IF(OR(F617="Congé",F617="OFF",M617="Abs",F617="Congé sans solde",F617="Férié",F617="Congé spécial",D617="Congé spécial"),0,IF(F617-E617&lt;0,0,IF(F617-E617&lt;=0.00068287037037037,0,F617-E617)))</f>
        <v>0</v>
      </c>
      <c r="M617" s="6" t="n">
        <f aca="false">IF(AND(O617&lt;&gt;0,C617=""),"Abs",0)</f>
        <v>0</v>
      </c>
      <c r="N617" s="8" t="n">
        <f aca="false">IFERROR(IF(OR(D617="OFF",D617="Congé",M617="Abs",D617="Congé sans solde",D617="Férié"),"",IF(O617-K617-L617&gt;O617,O617,IF(O617-K617-L617&lt;0,"",O617-K617-L617))),"")</f>
        <v>0.333333333333333</v>
      </c>
      <c r="O617" s="8" t="n">
        <f aca="false">IF(AG617="2H Pause déjeuner",IF(F617-D617-0.0833333333333333&lt;0,F617-D617-0.0833333333333333+1,F617-D617-0.0833333333333333),IF(OR(AND(F617="OFF",D617="OFF"),AND(F617="Congé",D617="Congé"),AND(F617="Congé sans solde",D617="Congé sans solde"),AND(F617="Congé spécial",D617="Congé spécial"),AND(F617="Férié",D617="Férié"),AND(F617="OFF",D617="Congé"),AND(F617="OFF",D617="Congé sans solde"),AND(F617="OFF",D617="Congé spécial"),AND(F617="OFF",D617="Férié"),AND(F617="Congé",D617="OFF"),AND(F617="Congé",D617="Congé sans solde"),AND(F617="Congé",D617="Congé spécial"),AND(F617="Congé",D617="Férié"),AND(F617="Congé sans solde",D617="OFF"),AND(F617="Congé sans solde",D617="Congé"),AND(F617="Congé sans solde",D617="Congé spécial"),AND(F617="Congé sans solde",D617="Férié"),AND(F617="Congé spécial",D617="OFF"),AND(F617="Congé spécial",D617="Congé"),AND(F617="Congé spécial",D617="Congé sans solde"),AND(F617="Congé spécial",D617="Férié"),AND(F617="Férié",D617="OFF"),AND(F617="Férié",D617="Congé"),AND(F617="Férié",D617="Congé sans solde"),AND(F617="Férié",D617="Congé spécial")),0,IF(OR(F617="OFF",F617="Congé",F617="Congé spécial",F617="Congé sans solde",D617="OFF",D617="Congé",D617="Congé spécial",D617="Congé sans solde"),0.208333333333334,IF(AND(AG617="",F617-D617&lt;0),("24:00:00"-D617)+("00:00:00"+F617)-0.0416666666666667,IF(AND(OR(AG617="Allaitement",AG617="Sans déjeuner"),F617-D617&lt;0),("24:00:00"-D617)+("00:00:00"+F617),IF(AND(AG617="",F617-D617&gt;0.166666666666667),F617-D617-0.0416666666666667,IF(AND(OR(AG617="Allaitement",AG617="Sans déjeuner"),F617-D617&gt;0.166666666666667),F617-D617,F617-D617)))))))</f>
        <v>0.333333333333333</v>
      </c>
      <c r="P617" s="6" t="str">
        <f aca="false">IFERROR(VLOOKUP($B617,Agents!$A:$D,2,0),"-")</f>
        <v>Accessibilité</v>
      </c>
      <c r="Q617" s="21" t="n">
        <v>46136</v>
      </c>
      <c r="R617" s="8" t="n">
        <f aca="false">IF(M617="Abs",O617,0)</f>
        <v>0</v>
      </c>
      <c r="S617" s="8" t="n">
        <f aca="false">SUM(R617,L617,I617,J617,W617,H617)</f>
        <v>0</v>
      </c>
      <c r="T617" s="6" t="str">
        <f aca="false">"Sem - "&amp;WEEKNUM(Q617,21)</f>
        <v>Sem - 17</v>
      </c>
      <c r="U617" s="6" t="str">
        <f aca="false">CHOOSE(MONTH(Q617),"Janvier","Février","Mars","Avril","Mai","Juin","Juillet","Août","Septembre","Octobre","Novembre","Décembre")</f>
        <v>Avril</v>
      </c>
      <c r="V617" s="22" t="n">
        <f aca="false">YEAR(Q617)</f>
        <v>2026</v>
      </c>
      <c r="W617" s="20"/>
      <c r="X617" s="8" t="n">
        <f aca="false">IFERROR(IF(M617="Abs",0,IF(ROUND((D617-C617+E617-F617)*1440,0)&lt;=1,0,D617-C617+E617-F617)),0)</f>
        <v>0</v>
      </c>
      <c r="Y617" s="6" t="str">
        <f aca="false">IFERROR(VLOOKUP($B617,Agents!$A:$D,3,0),"-")</f>
        <v>OUBRAHIM Mohammed</v>
      </c>
      <c r="Z617" s="6" t="str">
        <f aca="false">IFERROR(VLOOKUP($B617,Agents!$A:$D,4,0),"-")</f>
        <v>Credit Mutuel</v>
      </c>
      <c r="AA617" s="18" t="s">
        <v>99</v>
      </c>
      <c r="AB617" s="8" t="str">
        <f aca="false">IF(AND(D617="Congé",F617="Congé"),0.333333333333333,IF(OR(AND(D617="Congé",F617&lt;&gt;"Congé"),(AND(F617="Congé",D617&lt;&gt;"Congé"))),0.166666666666667,""))</f>
        <v/>
      </c>
      <c r="AC617" s="8" t="str">
        <f aca="false">IF(AND(D617="Congé sans solde",F617="Congé sans solde"),0.333333333333333,IF(OR(AND(D617="Congé sans solde",F617&lt;&gt;"Congé sans solde"),(AND(F617="Congé sans solde",D617&lt;&gt;"Congé sans solde"))),0.166666666666667,""))</f>
        <v/>
      </c>
      <c r="AD617" s="8" t="str">
        <f aca="false">IF(AND(D617="Congé spécial",F617="Congé spécial"),0.333333333333333,IF(OR(AND(D617="Congé spécial",F617&lt;&gt;"Congé spécial"),AND(F617="Congé spécial",D617&lt;&gt;"Congé spécial")),0.166666666666667,""))</f>
        <v/>
      </c>
      <c r="AE617" s="8" t="str">
        <f aca="false">IF(AND(D617="Férié",F617="Férié"),0.333333333333333,IF(OR(AND(D617="Férié",F617&lt;&gt;"Férié"),(AND(F617="Férié",D617&lt;&gt;"Férié"))),0.166666666666667,""))</f>
        <v/>
      </c>
      <c r="AF617" s="18"/>
      <c r="AG617" s="18"/>
    </row>
    <row r="618" customFormat="false" ht="15" hidden="false" customHeight="false" outlineLevel="0" collapsed="false">
      <c r="A618" s="6" t="str">
        <f aca="false">YEAR(Q618-WEEKDAY(Q618,2)+4)&amp;"-S"&amp;TEXT(WEEKNUM(Q618,21),"00")</f>
        <v>2026-S17</v>
      </c>
      <c r="B618" s="18" t="s">
        <v>73</v>
      </c>
      <c r="C618" s="19" t="n">
        <v>0.333333333333333</v>
      </c>
      <c r="D618" s="19" t="n">
        <v>0.333333333333333</v>
      </c>
      <c r="E618" s="19" t="n">
        <v>0.708333333333333</v>
      </c>
      <c r="F618" s="19" t="n">
        <v>0.708333333333333</v>
      </c>
      <c r="G618" s="20"/>
      <c r="H618" s="20"/>
      <c r="I618" s="8" t="str">
        <f aca="false">IF(IF(OR(C618="",D618="Congé",D618="OFF",D618="Congé spécial"),"",IF(D618&gt;F618,D618-C618,IF(C618-D618&lt;0,0,C618-D618)))&lt;0.00068287037037037,"",IF(OR(D618="Congé",D618="OFF",C618="",D618="Congé spécial"),"",IF(D618&gt;F618,D618-C618,IF(C618-D618&lt;0,0,C618-D618))))</f>
        <v/>
      </c>
      <c r="J618" s="20"/>
      <c r="K618" s="8" t="n">
        <f aca="false">IF(SUM(H618:J618)&lt;0.00068287037037037,0,SUM(H618:J618))</f>
        <v>0</v>
      </c>
      <c r="L618" s="8" t="n">
        <f aca="false">IF(OR(F618="Congé",F618="OFF",M618="Abs",F618="Congé sans solde",F618="Férié",F618="Congé spécial",D618="Congé spécial"),0,IF(F618-E618&lt;0,0,IF(F618-E618&lt;=0.00068287037037037,0,F618-E618)))</f>
        <v>0</v>
      </c>
      <c r="M618" s="6" t="n">
        <f aca="false">IF(AND(O618&lt;&gt;0,C618=""),"Abs",0)</f>
        <v>0</v>
      </c>
      <c r="N618" s="8" t="n">
        <f aca="false">IFERROR(IF(OR(D618="OFF",D618="Congé",M618="Abs",D618="Congé sans solde",D618="Férié"),"",IF(O618-K618-L618&gt;O618,O618,IF(O618-K618-L618&lt;0,"",O618-K618-L618))),"")</f>
        <v>0.333333333333333</v>
      </c>
      <c r="O618" s="8" t="n">
        <f aca="false">IF(AG618="2H Pause déjeuner",IF(F618-D618-0.0833333333333333&lt;0,F618-D618-0.0833333333333333+1,F618-D618-0.0833333333333333),IF(OR(AND(F618="OFF",D618="OFF"),AND(F618="Congé",D618="Congé"),AND(F618="Congé sans solde",D618="Congé sans solde"),AND(F618="Congé spécial",D618="Congé spécial"),AND(F618="Férié",D618="Férié"),AND(F618="OFF",D618="Congé"),AND(F618="OFF",D618="Congé sans solde"),AND(F618="OFF",D618="Congé spécial"),AND(F618="OFF",D618="Férié"),AND(F618="Congé",D618="OFF"),AND(F618="Congé",D618="Congé sans solde"),AND(F618="Congé",D618="Congé spécial"),AND(F618="Congé",D618="Férié"),AND(F618="Congé sans solde",D618="OFF"),AND(F618="Congé sans solde",D618="Congé"),AND(F618="Congé sans solde",D618="Congé spécial"),AND(F618="Congé sans solde",D618="Férié"),AND(F618="Congé spécial",D618="OFF"),AND(F618="Congé spécial",D618="Congé"),AND(F618="Congé spécial",D618="Congé sans solde"),AND(F618="Congé spécial",D618="Férié"),AND(F618="Férié",D618="OFF"),AND(F618="Férié",D618="Congé"),AND(F618="Férié",D618="Congé sans solde"),AND(F618="Férié",D618="Congé spécial")),0,IF(OR(F618="OFF",F618="Congé",F618="Congé spécial",F618="Congé sans solde",D618="OFF",D618="Congé",D618="Congé spécial",D618="Congé sans solde"),0.208333333333334,IF(AND(AG618="",F618-D618&lt;0),("24:00:00"-D618)+("00:00:00"+F618)-0.0416666666666667,IF(AND(OR(AG618="Allaitement",AG618="Sans déjeuner"),F618-D618&lt;0),("24:00:00"-D618)+("00:00:00"+F618),IF(AND(AG618="",F618-D618&gt;0.166666666666667),F618-D618-0.0416666666666667,IF(AND(OR(AG618="Allaitement",AG618="Sans déjeuner"),F618-D618&gt;0.166666666666667),F618-D618,F618-D618)))))))</f>
        <v>0.333333333333333</v>
      </c>
      <c r="P618" s="6" t="str">
        <f aca="false">IFERROR(VLOOKUP($B618,Agents!$A:$D,2,0),"-")</f>
        <v>Accessibilité</v>
      </c>
      <c r="Q618" s="21" t="n">
        <v>46136</v>
      </c>
      <c r="R618" s="8" t="n">
        <f aca="false">IF(M618="Abs",O618,0)</f>
        <v>0</v>
      </c>
      <c r="S618" s="8" t="n">
        <f aca="false">SUM(R618,L618,I618,J618,W618,H618)</f>
        <v>0</v>
      </c>
      <c r="T618" s="6" t="str">
        <f aca="false">"Sem - "&amp;WEEKNUM(Q618,21)</f>
        <v>Sem - 17</v>
      </c>
      <c r="U618" s="6" t="str">
        <f aca="false">CHOOSE(MONTH(Q618),"Janvier","Février","Mars","Avril","Mai","Juin","Juillet","Août","Septembre","Octobre","Novembre","Décembre")</f>
        <v>Avril</v>
      </c>
      <c r="V618" s="22" t="n">
        <f aca="false">YEAR(Q618)</f>
        <v>2026</v>
      </c>
      <c r="W618" s="20"/>
      <c r="X618" s="8" t="n">
        <f aca="false">IFERROR(IF(M618="Abs",0,IF(ROUND((D618-C618+E618-F618)*1440,0)&lt;=1,0,D618-C618+E618-F618)),0)</f>
        <v>0</v>
      </c>
      <c r="Y618" s="6" t="str">
        <f aca="false">IFERROR(VLOOKUP($B618,Agents!$A:$D,3,0),"-")</f>
        <v>OUBRAHIM Mohammed</v>
      </c>
      <c r="Z618" s="6" t="str">
        <f aca="false">IFERROR(VLOOKUP($B618,Agents!$A:$D,4,0),"-")</f>
        <v>Credit Mutuel</v>
      </c>
      <c r="AA618" s="18" t="s">
        <v>99</v>
      </c>
      <c r="AB618" s="8" t="str">
        <f aca="false">IF(AND(D618="Congé",F618="Congé"),0.333333333333333,IF(OR(AND(D618="Congé",F618&lt;&gt;"Congé"),(AND(F618="Congé",D618&lt;&gt;"Congé"))),0.166666666666667,""))</f>
        <v/>
      </c>
      <c r="AC618" s="8" t="str">
        <f aca="false">IF(AND(D618="Congé sans solde",F618="Congé sans solde"),0.333333333333333,IF(OR(AND(D618="Congé sans solde",F618&lt;&gt;"Congé sans solde"),(AND(F618="Congé sans solde",D618&lt;&gt;"Congé sans solde"))),0.166666666666667,""))</f>
        <v/>
      </c>
      <c r="AD618" s="8" t="str">
        <f aca="false">IF(AND(D618="Congé spécial",F618="Congé spécial"),0.333333333333333,IF(OR(AND(D618="Congé spécial",F618&lt;&gt;"Congé spécial"),AND(F618="Congé spécial",D618&lt;&gt;"Congé spécial")),0.166666666666667,""))</f>
        <v/>
      </c>
      <c r="AE618" s="8" t="str">
        <f aca="false">IF(AND(D618="Férié",F618="Férié"),0.333333333333333,IF(OR(AND(D618="Férié",F618&lt;&gt;"Férié"),(AND(F618="Férié",D618&lt;&gt;"Férié"))),0.166666666666667,""))</f>
        <v/>
      </c>
      <c r="AF618" s="18"/>
      <c r="AG618" s="18"/>
    </row>
    <row r="619" customFormat="false" ht="15" hidden="false" customHeight="false" outlineLevel="0" collapsed="false">
      <c r="A619" s="6" t="str">
        <f aca="false">YEAR(Q619-WEEKDAY(Q619,2)+4)&amp;"-S"&amp;TEXT(WEEKNUM(Q619,21),"00")</f>
        <v>2026-S17</v>
      </c>
      <c r="B619" s="18" t="s">
        <v>71</v>
      </c>
      <c r="C619" s="19"/>
      <c r="D619" s="19" t="s">
        <v>74</v>
      </c>
      <c r="E619" s="19"/>
      <c r="F619" s="19" t="s">
        <v>74</v>
      </c>
      <c r="G619" s="20"/>
      <c r="H619" s="20"/>
      <c r="I619" s="8" t="str">
        <f aca="false">IF(IF(OR(C619="",D619="Congé",D619="OFF",D619="Congé spécial"),"",IF(D619&gt;F619,D619-C619,IF(C619-D619&lt;0,0,C619-D619)))&lt;0.00068287037037037,"",IF(OR(D619="Congé",D619="OFF",C619="",D619="Congé spécial"),"",IF(D619&gt;F619,D619-C619,IF(C619-D619&lt;0,0,C619-D619))))</f>
        <v/>
      </c>
      <c r="J619" s="20"/>
      <c r="K619" s="8" t="n">
        <f aca="false">IF(SUM(H619:J619)&lt;0.00068287037037037,0,SUM(H619:J619))</f>
        <v>0</v>
      </c>
      <c r="L619" s="8" t="n">
        <f aca="false">IF(OR(F619="Congé",F619="OFF",M619="Abs",F619="Congé sans solde",F619="Férié",F619="Congé spécial",D619="Congé spécial"),0,IF(F619-E619&lt;0,0,IF(F619-E619&lt;=0.00068287037037037,0,F619-E619)))</f>
        <v>0</v>
      </c>
      <c r="M619" s="6" t="n">
        <f aca="false">IF(AND(O619&lt;&gt;0,C619=""),"Abs",0)</f>
        <v>0</v>
      </c>
      <c r="N619" s="8" t="str">
        <f aca="false">IFERROR(IF(OR(D619="OFF",D619="Congé",M619="Abs",D619="Congé sans solde",D619="Férié"),"",IF(O619-K619-L619&gt;O619,O619,IF(O619-K619-L619&lt;0,"",O619-K619-L619))),"")</f>
        <v/>
      </c>
      <c r="O619" s="8" t="n">
        <f aca="false">IF(AG619="2H Pause déjeuner",IF(F619-D619-0.0833333333333333&lt;0,F619-D619-0.0833333333333333+1,F619-D619-0.0833333333333333),IF(OR(AND(F619="OFF",D619="OFF"),AND(F619="Congé",D619="Congé"),AND(F619="Congé sans solde",D619="Congé sans solde"),AND(F619="Congé spécial",D619="Congé spécial"),AND(F619="Férié",D619="Férié"),AND(F619="OFF",D619="Congé"),AND(F619="OFF",D619="Congé sans solde"),AND(F619="OFF",D619="Congé spécial"),AND(F619="OFF",D619="Férié"),AND(F619="Congé",D619="OFF"),AND(F619="Congé",D619="Congé sans solde"),AND(F619="Congé",D619="Congé spécial"),AND(F619="Congé",D619="Férié"),AND(F619="Congé sans solde",D619="OFF"),AND(F619="Congé sans solde",D619="Congé"),AND(F619="Congé sans solde",D619="Congé spécial"),AND(F619="Congé sans solde",D619="Férié"),AND(F619="Congé spécial",D619="OFF"),AND(F619="Congé spécial",D619="Congé"),AND(F619="Congé spécial",D619="Congé sans solde"),AND(F619="Congé spécial",D619="Férié"),AND(F619="Férié",D619="OFF"),AND(F619="Férié",D619="Congé"),AND(F619="Férié",D619="Congé sans solde"),AND(F619="Férié",D619="Congé spécial")),0,IF(OR(F619="OFF",F619="Congé",F619="Congé spécial",F619="Congé sans solde",D619="OFF",D619="Congé",D619="Congé spécial",D619="Congé sans solde"),0.208333333333334,IF(AND(AG619="",F619-D619&lt;0),("24:00:00"-D619)+("00:00:00"+F619)-0.0416666666666667,IF(AND(OR(AG619="Allaitement",AG619="Sans déjeuner"),F619-D619&lt;0),("24:00:00"-D619)+("00:00:00"+F619),IF(AND(AG619="",F619-D619&gt;0.166666666666667),F619-D619-0.0416666666666667,IF(AND(OR(AG619="Allaitement",AG619="Sans déjeuner"),F619-D619&gt;0.166666666666667),F619-D619,F619-D619)))))))</f>
        <v>0</v>
      </c>
      <c r="P619" s="6" t="str">
        <f aca="false">IFERROR(VLOOKUP($B619,Agents!$A:$D,2,0),"-")</f>
        <v>Accessibilité</v>
      </c>
      <c r="Q619" s="21" t="n">
        <v>46137</v>
      </c>
      <c r="R619" s="8" t="n">
        <f aca="false">IF(M619="Abs",O619,0)</f>
        <v>0</v>
      </c>
      <c r="S619" s="8" t="n">
        <f aca="false">SUM(R619,L619,I619,J619,W619,H619)</f>
        <v>0</v>
      </c>
      <c r="T619" s="6" t="str">
        <f aca="false">"Sem - "&amp;WEEKNUM(Q619,21)</f>
        <v>Sem - 17</v>
      </c>
      <c r="U619" s="6" t="str">
        <f aca="false">CHOOSE(MONTH(Q619),"Janvier","Février","Mars","Avril","Mai","Juin","Juillet","Août","Septembre","Octobre","Novembre","Décembre")</f>
        <v>Avril</v>
      </c>
      <c r="V619" s="22" t="n">
        <f aca="false">YEAR(Q619)</f>
        <v>2026</v>
      </c>
      <c r="W619" s="20"/>
      <c r="X619" s="8" t="n">
        <f aca="false">IFERROR(IF(M619="Abs",0,IF(ROUND((D619-C619+E619-F619)*1440,0)&lt;=1,0,D619-C619+E619-F619)),0)</f>
        <v>0</v>
      </c>
      <c r="Y619" s="6" t="str">
        <f aca="false">IFERROR(VLOOKUP($B619,Agents!$A:$D,3,0),"-")</f>
        <v>OUBRAHIM Mohammed</v>
      </c>
      <c r="Z619" s="6" t="str">
        <f aca="false">IFERROR(VLOOKUP($B619,Agents!$A:$D,4,0),"-")</f>
        <v>Credit Mutuel</v>
      </c>
      <c r="AA619" s="18" t="s">
        <v>99</v>
      </c>
      <c r="AB619" s="8" t="str">
        <f aca="false">IF(AND(D619="Congé",F619="Congé"),0.333333333333333,IF(OR(AND(D619="Congé",F619&lt;&gt;"Congé"),(AND(F619="Congé",D619&lt;&gt;"Congé"))),0.166666666666667,""))</f>
        <v/>
      </c>
      <c r="AC619" s="8" t="str">
        <f aca="false">IF(AND(D619="Congé sans solde",F619="Congé sans solde"),0.333333333333333,IF(OR(AND(D619="Congé sans solde",F619&lt;&gt;"Congé sans solde"),(AND(F619="Congé sans solde",D619&lt;&gt;"Congé sans solde"))),0.166666666666667,""))</f>
        <v/>
      </c>
      <c r="AD619" s="8" t="str">
        <f aca="false">IF(AND(D619="Congé spécial",F619="Congé spécial"),0.333333333333333,IF(OR(AND(D619="Congé spécial",F619&lt;&gt;"Congé spécial"),AND(F619="Congé spécial",D619&lt;&gt;"Congé spécial")),0.166666666666667,""))</f>
        <v/>
      </c>
      <c r="AE619" s="8" t="str">
        <f aca="false">IF(AND(D619="Férié",F619="Férié"),0.333333333333333,IF(OR(AND(D619="Férié",F619&lt;&gt;"Férié"),(AND(F619="Férié",D619&lt;&gt;"Férié"))),0.166666666666667,""))</f>
        <v/>
      </c>
      <c r="AF619" s="18"/>
      <c r="AG619" s="18"/>
    </row>
    <row r="620" customFormat="false" ht="15" hidden="false" customHeight="false" outlineLevel="0" collapsed="false">
      <c r="A620" s="6" t="str">
        <f aca="false">YEAR(Q620-WEEKDAY(Q620,2)+4)&amp;"-S"&amp;TEXT(WEEKNUM(Q620,21),"00")</f>
        <v>2026-S17</v>
      </c>
      <c r="B620" s="18" t="s">
        <v>72</v>
      </c>
      <c r="C620" s="19"/>
      <c r="D620" s="19" t="s">
        <v>74</v>
      </c>
      <c r="E620" s="19"/>
      <c r="F620" s="19" t="s">
        <v>74</v>
      </c>
      <c r="G620" s="20"/>
      <c r="H620" s="20"/>
      <c r="I620" s="8" t="str">
        <f aca="false">IF(IF(OR(C620="",D620="Congé",D620="OFF",D620="Congé spécial"),"",IF(D620&gt;F620,D620-C620,IF(C620-D620&lt;0,0,C620-D620)))&lt;0.00068287037037037,"",IF(OR(D620="Congé",D620="OFF",C620="",D620="Congé spécial"),"",IF(D620&gt;F620,D620-C620,IF(C620-D620&lt;0,0,C620-D620))))</f>
        <v/>
      </c>
      <c r="J620" s="20"/>
      <c r="K620" s="8" t="n">
        <f aca="false">IF(SUM(H620:J620)&lt;0.00068287037037037,0,SUM(H620:J620))</f>
        <v>0</v>
      </c>
      <c r="L620" s="8" t="n">
        <f aca="false">IF(OR(F620="Congé",F620="OFF",M620="Abs",F620="Congé sans solde",F620="Férié",F620="Congé spécial",D620="Congé spécial"),0,IF(F620-E620&lt;0,0,IF(F620-E620&lt;=0.00068287037037037,0,F620-E620)))</f>
        <v>0</v>
      </c>
      <c r="M620" s="6" t="n">
        <f aca="false">IF(AND(O620&lt;&gt;0,C620=""),"Abs",0)</f>
        <v>0</v>
      </c>
      <c r="N620" s="8" t="str">
        <f aca="false">IFERROR(IF(OR(D620="OFF",D620="Congé",M620="Abs",D620="Congé sans solde",D620="Férié"),"",IF(O620-K620-L620&gt;O620,O620,IF(O620-K620-L620&lt;0,"",O620-K620-L620))),"")</f>
        <v/>
      </c>
      <c r="O620" s="8" t="n">
        <f aca="false">IF(AG620="2H Pause déjeuner",IF(F620-D620-0.0833333333333333&lt;0,F620-D620-0.0833333333333333+1,F620-D620-0.0833333333333333),IF(OR(AND(F620="OFF",D620="OFF"),AND(F620="Congé",D620="Congé"),AND(F620="Congé sans solde",D620="Congé sans solde"),AND(F620="Congé spécial",D620="Congé spécial"),AND(F620="Férié",D620="Férié"),AND(F620="OFF",D620="Congé"),AND(F620="OFF",D620="Congé sans solde"),AND(F620="OFF",D620="Congé spécial"),AND(F620="OFF",D620="Férié"),AND(F620="Congé",D620="OFF"),AND(F620="Congé",D620="Congé sans solde"),AND(F620="Congé",D620="Congé spécial"),AND(F620="Congé",D620="Férié"),AND(F620="Congé sans solde",D620="OFF"),AND(F620="Congé sans solde",D620="Congé"),AND(F620="Congé sans solde",D620="Congé spécial"),AND(F620="Congé sans solde",D620="Férié"),AND(F620="Congé spécial",D620="OFF"),AND(F620="Congé spécial",D620="Congé"),AND(F620="Congé spécial",D620="Congé sans solde"),AND(F620="Congé spécial",D620="Férié"),AND(F620="Férié",D620="OFF"),AND(F620="Férié",D620="Congé"),AND(F620="Férié",D620="Congé sans solde"),AND(F620="Férié",D620="Congé spécial")),0,IF(OR(F620="OFF",F620="Congé",F620="Congé spécial",F620="Congé sans solde",D620="OFF",D620="Congé",D620="Congé spécial",D620="Congé sans solde"),0.208333333333334,IF(AND(AG620="",F620-D620&lt;0),("24:00:00"-D620)+("00:00:00"+F620)-0.0416666666666667,IF(AND(OR(AG620="Allaitement",AG620="Sans déjeuner"),F620-D620&lt;0),("24:00:00"-D620)+("00:00:00"+F620),IF(AND(AG620="",F620-D620&gt;0.166666666666667),F620-D620-0.0416666666666667,IF(AND(OR(AG620="Allaitement",AG620="Sans déjeuner"),F620-D620&gt;0.166666666666667),F620-D620,F620-D620)))))))</f>
        <v>0</v>
      </c>
      <c r="P620" s="6" t="str">
        <f aca="false">IFERROR(VLOOKUP($B620,Agents!$A:$D,2,0),"-")</f>
        <v>Accessibilité</v>
      </c>
      <c r="Q620" s="21" t="n">
        <v>46137</v>
      </c>
      <c r="R620" s="8" t="n">
        <f aca="false">IF(M620="Abs",O620,0)</f>
        <v>0</v>
      </c>
      <c r="S620" s="8" t="n">
        <f aca="false">SUM(R620,L620,I620,J620,W620,H620)</f>
        <v>0</v>
      </c>
      <c r="T620" s="6" t="str">
        <f aca="false">"Sem - "&amp;WEEKNUM(Q620,21)</f>
        <v>Sem - 17</v>
      </c>
      <c r="U620" s="6" t="str">
        <f aca="false">CHOOSE(MONTH(Q620),"Janvier","Février","Mars","Avril","Mai","Juin","Juillet","Août","Septembre","Octobre","Novembre","Décembre")</f>
        <v>Avril</v>
      </c>
      <c r="V620" s="22" t="n">
        <f aca="false">YEAR(Q620)</f>
        <v>2026</v>
      </c>
      <c r="W620" s="20"/>
      <c r="X620" s="8" t="n">
        <f aca="false">IFERROR(IF(M620="Abs",0,IF(ROUND((D620-C620+E620-F620)*1440,0)&lt;=1,0,D620-C620+E620-F620)),0)</f>
        <v>0</v>
      </c>
      <c r="Y620" s="6" t="str">
        <f aca="false">IFERROR(VLOOKUP($B620,Agents!$A:$D,3,0),"-")</f>
        <v>OUBRAHIM Mohammed</v>
      </c>
      <c r="Z620" s="6" t="str">
        <f aca="false">IFERROR(VLOOKUP($B620,Agents!$A:$D,4,0),"-")</f>
        <v>Credit Mutuel</v>
      </c>
      <c r="AA620" s="18" t="s">
        <v>99</v>
      </c>
      <c r="AB620" s="8" t="str">
        <f aca="false">IF(AND(D620="Congé",F620="Congé"),0.333333333333333,IF(OR(AND(D620="Congé",F620&lt;&gt;"Congé"),(AND(F620="Congé",D620&lt;&gt;"Congé"))),0.166666666666667,""))</f>
        <v/>
      </c>
      <c r="AC620" s="8" t="str">
        <f aca="false">IF(AND(D620="Congé sans solde",F620="Congé sans solde"),0.333333333333333,IF(OR(AND(D620="Congé sans solde",F620&lt;&gt;"Congé sans solde"),(AND(F620="Congé sans solde",D620&lt;&gt;"Congé sans solde"))),0.166666666666667,""))</f>
        <v/>
      </c>
      <c r="AD620" s="8" t="str">
        <f aca="false">IF(AND(D620="Congé spécial",F620="Congé spécial"),0.333333333333333,IF(OR(AND(D620="Congé spécial",F620&lt;&gt;"Congé spécial"),AND(F620="Congé spécial",D620&lt;&gt;"Congé spécial")),0.166666666666667,""))</f>
        <v/>
      </c>
      <c r="AE620" s="8" t="str">
        <f aca="false">IF(AND(D620="Férié",F620="Férié"),0.333333333333333,IF(OR(AND(D620="Férié",F620&lt;&gt;"Férié"),(AND(F620="Férié",D620&lt;&gt;"Férié"))),0.166666666666667,""))</f>
        <v/>
      </c>
      <c r="AF620" s="18"/>
      <c r="AG620" s="18"/>
    </row>
    <row r="621" customFormat="false" ht="15" hidden="false" customHeight="false" outlineLevel="0" collapsed="false">
      <c r="A621" s="6" t="str">
        <f aca="false">YEAR(Q621-WEEKDAY(Q621,2)+4)&amp;"-S"&amp;TEXT(WEEKNUM(Q621,21),"00")</f>
        <v>2026-S17</v>
      </c>
      <c r="B621" s="18" t="s">
        <v>73</v>
      </c>
      <c r="C621" s="19"/>
      <c r="D621" s="19" t="s">
        <v>74</v>
      </c>
      <c r="E621" s="19"/>
      <c r="F621" s="19" t="s">
        <v>74</v>
      </c>
      <c r="G621" s="20"/>
      <c r="H621" s="20"/>
      <c r="I621" s="8" t="str">
        <f aca="false">IF(IF(OR(C621="",D621="Congé",D621="OFF",D621="Congé spécial"),"",IF(D621&gt;F621,D621-C621,IF(C621-D621&lt;0,0,C621-D621)))&lt;0.00068287037037037,"",IF(OR(D621="Congé",D621="OFF",C621="",D621="Congé spécial"),"",IF(D621&gt;F621,D621-C621,IF(C621-D621&lt;0,0,C621-D621))))</f>
        <v/>
      </c>
      <c r="J621" s="20"/>
      <c r="K621" s="8" t="n">
        <f aca="false">IF(SUM(H621:J621)&lt;0.00068287037037037,0,SUM(H621:J621))</f>
        <v>0</v>
      </c>
      <c r="L621" s="8" t="n">
        <f aca="false">IF(OR(F621="Congé",F621="OFF",M621="Abs",F621="Congé sans solde",F621="Férié",F621="Congé spécial",D621="Congé spécial"),0,IF(F621-E621&lt;0,0,IF(F621-E621&lt;=0.00068287037037037,0,F621-E621)))</f>
        <v>0</v>
      </c>
      <c r="M621" s="6" t="n">
        <f aca="false">IF(AND(O621&lt;&gt;0,C621=""),"Abs",0)</f>
        <v>0</v>
      </c>
      <c r="N621" s="8" t="str">
        <f aca="false">IFERROR(IF(OR(D621="OFF",D621="Congé",M621="Abs",D621="Congé sans solde",D621="Férié"),"",IF(O621-K621-L621&gt;O621,O621,IF(O621-K621-L621&lt;0,"",O621-K621-L621))),"")</f>
        <v/>
      </c>
      <c r="O621" s="8" t="n">
        <f aca="false">IF(AG621="2H Pause déjeuner",IF(F621-D621-0.0833333333333333&lt;0,F621-D621-0.0833333333333333+1,F621-D621-0.0833333333333333),IF(OR(AND(F621="OFF",D621="OFF"),AND(F621="Congé",D621="Congé"),AND(F621="Congé sans solde",D621="Congé sans solde"),AND(F621="Congé spécial",D621="Congé spécial"),AND(F621="Férié",D621="Férié"),AND(F621="OFF",D621="Congé"),AND(F621="OFF",D621="Congé sans solde"),AND(F621="OFF",D621="Congé spécial"),AND(F621="OFF",D621="Férié"),AND(F621="Congé",D621="OFF"),AND(F621="Congé",D621="Congé sans solde"),AND(F621="Congé",D621="Congé spécial"),AND(F621="Congé",D621="Férié"),AND(F621="Congé sans solde",D621="OFF"),AND(F621="Congé sans solde",D621="Congé"),AND(F621="Congé sans solde",D621="Congé spécial"),AND(F621="Congé sans solde",D621="Férié"),AND(F621="Congé spécial",D621="OFF"),AND(F621="Congé spécial",D621="Congé"),AND(F621="Congé spécial",D621="Congé sans solde"),AND(F621="Congé spécial",D621="Férié"),AND(F621="Férié",D621="OFF"),AND(F621="Férié",D621="Congé"),AND(F621="Férié",D621="Congé sans solde"),AND(F621="Férié",D621="Congé spécial")),0,IF(OR(F621="OFF",F621="Congé",F621="Congé spécial",F621="Congé sans solde",D621="OFF",D621="Congé",D621="Congé spécial",D621="Congé sans solde"),0.208333333333334,IF(AND(AG621="",F621-D621&lt;0),("24:00:00"-D621)+("00:00:00"+F621)-0.0416666666666667,IF(AND(OR(AG621="Allaitement",AG621="Sans déjeuner"),F621-D621&lt;0),("24:00:00"-D621)+("00:00:00"+F621),IF(AND(AG621="",F621-D621&gt;0.166666666666667),F621-D621-0.0416666666666667,IF(AND(OR(AG621="Allaitement",AG621="Sans déjeuner"),F621-D621&gt;0.166666666666667),F621-D621,F621-D621)))))))</f>
        <v>0</v>
      </c>
      <c r="P621" s="6" t="str">
        <f aca="false">IFERROR(VLOOKUP($B621,Agents!$A:$D,2,0),"-")</f>
        <v>Accessibilité</v>
      </c>
      <c r="Q621" s="21" t="n">
        <v>46137</v>
      </c>
      <c r="R621" s="8" t="n">
        <f aca="false">IF(M621="Abs",O621,0)</f>
        <v>0</v>
      </c>
      <c r="S621" s="8" t="n">
        <f aca="false">SUM(R621,L621,I621,J621,W621,H621)</f>
        <v>0</v>
      </c>
      <c r="T621" s="6" t="str">
        <f aca="false">"Sem - "&amp;WEEKNUM(Q621,21)</f>
        <v>Sem - 17</v>
      </c>
      <c r="U621" s="6" t="str">
        <f aca="false">CHOOSE(MONTH(Q621),"Janvier","Février","Mars","Avril","Mai","Juin","Juillet","Août","Septembre","Octobre","Novembre","Décembre")</f>
        <v>Avril</v>
      </c>
      <c r="V621" s="22" t="n">
        <f aca="false">YEAR(Q621)</f>
        <v>2026</v>
      </c>
      <c r="W621" s="20"/>
      <c r="X621" s="8" t="n">
        <f aca="false">IFERROR(IF(M621="Abs",0,IF(ROUND((D621-C621+E621-F621)*1440,0)&lt;=1,0,D621-C621+E621-F621)),0)</f>
        <v>0</v>
      </c>
      <c r="Y621" s="6" t="str">
        <f aca="false">IFERROR(VLOOKUP($B621,Agents!$A:$D,3,0),"-")</f>
        <v>OUBRAHIM Mohammed</v>
      </c>
      <c r="Z621" s="6" t="str">
        <f aca="false">IFERROR(VLOOKUP($B621,Agents!$A:$D,4,0),"-")</f>
        <v>Credit Mutuel</v>
      </c>
      <c r="AA621" s="18" t="s">
        <v>99</v>
      </c>
      <c r="AB621" s="8" t="str">
        <f aca="false">IF(AND(D621="Congé",F621="Congé"),0.333333333333333,IF(OR(AND(D621="Congé",F621&lt;&gt;"Congé"),(AND(F621="Congé",D621&lt;&gt;"Congé"))),0.166666666666667,""))</f>
        <v/>
      </c>
      <c r="AC621" s="8" t="str">
        <f aca="false">IF(AND(D621="Congé sans solde",F621="Congé sans solde"),0.333333333333333,IF(OR(AND(D621="Congé sans solde",F621&lt;&gt;"Congé sans solde"),(AND(F621="Congé sans solde",D621&lt;&gt;"Congé sans solde"))),0.166666666666667,""))</f>
        <v/>
      </c>
      <c r="AD621" s="8" t="str">
        <f aca="false">IF(AND(D621="Congé spécial",F621="Congé spécial"),0.333333333333333,IF(OR(AND(D621="Congé spécial",F621&lt;&gt;"Congé spécial"),AND(F621="Congé spécial",D621&lt;&gt;"Congé spécial")),0.166666666666667,""))</f>
        <v/>
      </c>
      <c r="AE621" s="8" t="str">
        <f aca="false">IF(AND(D621="Férié",F621="Férié"),0.333333333333333,IF(OR(AND(D621="Férié",F621&lt;&gt;"Férié"),(AND(F621="Férié",D621&lt;&gt;"Férié"))),0.166666666666667,""))</f>
        <v/>
      </c>
      <c r="AF621" s="18"/>
      <c r="AG621" s="18"/>
    </row>
    <row r="622" customFormat="false" ht="15" hidden="false" customHeight="false" outlineLevel="0" collapsed="false">
      <c r="A622" s="6" t="str">
        <f aca="false">YEAR(Q622-WEEKDAY(Q622,2)+4)&amp;"-S"&amp;TEXT(WEEKNUM(Q622,21),"00")</f>
        <v>2026-S17</v>
      </c>
      <c r="B622" s="18" t="s">
        <v>71</v>
      </c>
      <c r="C622" s="19"/>
      <c r="D622" s="19" t="s">
        <v>74</v>
      </c>
      <c r="E622" s="19"/>
      <c r="F622" s="19" t="s">
        <v>74</v>
      </c>
      <c r="G622" s="20"/>
      <c r="H622" s="20"/>
      <c r="I622" s="8" t="str">
        <f aca="false">IF(IF(OR(C622="",D622="Congé",D622="OFF",D622="Congé spécial"),"",IF(D622&gt;F622,D622-C622,IF(C622-D622&lt;0,0,C622-D622)))&lt;0.00068287037037037,"",IF(OR(D622="Congé",D622="OFF",C622="",D622="Congé spécial"),"",IF(D622&gt;F622,D622-C622,IF(C622-D622&lt;0,0,C622-D622))))</f>
        <v/>
      </c>
      <c r="J622" s="20"/>
      <c r="K622" s="8" t="n">
        <f aca="false">IF(SUM(H622:J622)&lt;0.00068287037037037,0,SUM(H622:J622))</f>
        <v>0</v>
      </c>
      <c r="L622" s="8" t="n">
        <f aca="false">IF(OR(F622="Congé",F622="OFF",M622="Abs",F622="Congé sans solde",F622="Férié",F622="Congé spécial",D622="Congé spécial"),0,IF(F622-E622&lt;0,0,IF(F622-E622&lt;=0.00068287037037037,0,F622-E622)))</f>
        <v>0</v>
      </c>
      <c r="M622" s="6" t="n">
        <f aca="false">IF(AND(O622&lt;&gt;0,C622=""),"Abs",0)</f>
        <v>0</v>
      </c>
      <c r="N622" s="8" t="str">
        <f aca="false">IFERROR(IF(OR(D622="OFF",D622="Congé",M622="Abs",D622="Congé sans solde",D622="Férié"),"",IF(O622-K622-L622&gt;O622,O622,IF(O622-K622-L622&lt;0,"",O622-K622-L622))),"")</f>
        <v/>
      </c>
      <c r="O622" s="8" t="n">
        <f aca="false">IF(AG622="2H Pause déjeuner",IF(F622-D622-0.0833333333333333&lt;0,F622-D622-0.0833333333333333+1,F622-D622-0.0833333333333333),IF(OR(AND(F622="OFF",D622="OFF"),AND(F622="Congé",D622="Congé"),AND(F622="Congé sans solde",D622="Congé sans solde"),AND(F622="Congé spécial",D622="Congé spécial"),AND(F622="Férié",D622="Férié"),AND(F622="OFF",D622="Congé"),AND(F622="OFF",D622="Congé sans solde"),AND(F622="OFF",D622="Congé spécial"),AND(F622="OFF",D622="Férié"),AND(F622="Congé",D622="OFF"),AND(F622="Congé",D622="Congé sans solde"),AND(F622="Congé",D622="Congé spécial"),AND(F622="Congé",D622="Férié"),AND(F622="Congé sans solde",D622="OFF"),AND(F622="Congé sans solde",D622="Congé"),AND(F622="Congé sans solde",D622="Congé spécial"),AND(F622="Congé sans solde",D622="Férié"),AND(F622="Congé spécial",D622="OFF"),AND(F622="Congé spécial",D622="Congé"),AND(F622="Congé spécial",D622="Congé sans solde"),AND(F622="Congé spécial",D622="Férié"),AND(F622="Férié",D622="OFF"),AND(F622="Férié",D622="Congé"),AND(F622="Férié",D622="Congé sans solde"),AND(F622="Férié",D622="Congé spécial")),0,IF(OR(F622="OFF",F622="Congé",F622="Congé spécial",F622="Congé sans solde",D622="OFF",D622="Congé",D622="Congé spécial",D622="Congé sans solde"),0.208333333333334,IF(AND(AG622="",F622-D622&lt;0),("24:00:00"-D622)+("00:00:00"+F622)-0.0416666666666667,IF(AND(OR(AG622="Allaitement",AG622="Sans déjeuner"),F622-D622&lt;0),("24:00:00"-D622)+("00:00:00"+F622),IF(AND(AG622="",F622-D622&gt;0.166666666666667),F622-D622-0.0416666666666667,IF(AND(OR(AG622="Allaitement",AG622="Sans déjeuner"),F622-D622&gt;0.166666666666667),F622-D622,F622-D622)))))))</f>
        <v>0</v>
      </c>
      <c r="P622" s="6" t="str">
        <f aca="false">IFERROR(VLOOKUP($B622,Agents!$A:$D,2,0),"-")</f>
        <v>Accessibilité</v>
      </c>
      <c r="Q622" s="21" t="n">
        <v>46138</v>
      </c>
      <c r="R622" s="8" t="n">
        <f aca="false">IF(M622="Abs",O622,0)</f>
        <v>0</v>
      </c>
      <c r="S622" s="8" t="n">
        <f aca="false">SUM(R622,L622,I622,J622,W622,H622)</f>
        <v>0</v>
      </c>
      <c r="T622" s="6" t="str">
        <f aca="false">"Sem - "&amp;WEEKNUM(Q622,21)</f>
        <v>Sem - 17</v>
      </c>
      <c r="U622" s="6" t="str">
        <f aca="false">CHOOSE(MONTH(Q622),"Janvier","Février","Mars","Avril","Mai","Juin","Juillet","Août","Septembre","Octobre","Novembre","Décembre")</f>
        <v>Avril</v>
      </c>
      <c r="V622" s="22" t="n">
        <f aca="false">YEAR(Q622)</f>
        <v>2026</v>
      </c>
      <c r="W622" s="20"/>
      <c r="X622" s="8" t="n">
        <f aca="false">IFERROR(IF(M622="Abs",0,IF(ROUND((D622-C622+E622-F622)*1440,0)&lt;=1,0,D622-C622+E622-F622)),0)</f>
        <v>0</v>
      </c>
      <c r="Y622" s="6" t="str">
        <f aca="false">IFERROR(VLOOKUP($B622,Agents!$A:$D,3,0),"-")</f>
        <v>OUBRAHIM Mohammed</v>
      </c>
      <c r="Z622" s="6" t="str">
        <f aca="false">IFERROR(VLOOKUP($B622,Agents!$A:$D,4,0),"-")</f>
        <v>Credit Mutuel</v>
      </c>
      <c r="AA622" s="18" t="s">
        <v>99</v>
      </c>
      <c r="AB622" s="8" t="str">
        <f aca="false">IF(AND(D622="Congé",F622="Congé"),0.333333333333333,IF(OR(AND(D622="Congé",F622&lt;&gt;"Congé"),(AND(F622="Congé",D622&lt;&gt;"Congé"))),0.166666666666667,""))</f>
        <v/>
      </c>
      <c r="AC622" s="8" t="str">
        <f aca="false">IF(AND(D622="Congé sans solde",F622="Congé sans solde"),0.333333333333333,IF(OR(AND(D622="Congé sans solde",F622&lt;&gt;"Congé sans solde"),(AND(F622="Congé sans solde",D622&lt;&gt;"Congé sans solde"))),0.166666666666667,""))</f>
        <v/>
      </c>
      <c r="AD622" s="8" t="str">
        <f aca="false">IF(AND(D622="Congé spécial",F622="Congé spécial"),0.333333333333333,IF(OR(AND(D622="Congé spécial",F622&lt;&gt;"Congé spécial"),AND(F622="Congé spécial",D622&lt;&gt;"Congé spécial")),0.166666666666667,""))</f>
        <v/>
      </c>
      <c r="AE622" s="8" t="str">
        <f aca="false">IF(AND(D622="Férié",F622="Férié"),0.333333333333333,IF(OR(AND(D622="Férié",F622&lt;&gt;"Férié"),(AND(F622="Férié",D622&lt;&gt;"Férié"))),0.166666666666667,""))</f>
        <v/>
      </c>
      <c r="AF622" s="18"/>
      <c r="AG622" s="18"/>
    </row>
    <row r="623" customFormat="false" ht="15" hidden="false" customHeight="false" outlineLevel="0" collapsed="false">
      <c r="A623" s="6" t="str">
        <f aca="false">YEAR(Q623-WEEKDAY(Q623,2)+4)&amp;"-S"&amp;TEXT(WEEKNUM(Q623,21),"00")</f>
        <v>2026-S17</v>
      </c>
      <c r="B623" s="18" t="s">
        <v>72</v>
      </c>
      <c r="C623" s="19"/>
      <c r="D623" s="19" t="s">
        <v>74</v>
      </c>
      <c r="E623" s="19"/>
      <c r="F623" s="19" t="s">
        <v>74</v>
      </c>
      <c r="G623" s="20"/>
      <c r="H623" s="20"/>
      <c r="I623" s="8" t="str">
        <f aca="false">IF(IF(OR(C623="",D623="Congé",D623="OFF",D623="Congé spécial"),"",IF(D623&gt;F623,D623-C623,IF(C623-D623&lt;0,0,C623-D623)))&lt;0.00068287037037037,"",IF(OR(D623="Congé",D623="OFF",C623="",D623="Congé spécial"),"",IF(D623&gt;F623,D623-C623,IF(C623-D623&lt;0,0,C623-D623))))</f>
        <v/>
      </c>
      <c r="J623" s="20"/>
      <c r="K623" s="8" t="n">
        <f aca="false">IF(SUM(H623:J623)&lt;0.00068287037037037,0,SUM(H623:J623))</f>
        <v>0</v>
      </c>
      <c r="L623" s="8" t="n">
        <f aca="false">IF(OR(F623="Congé",F623="OFF",M623="Abs",F623="Congé sans solde",F623="Férié",F623="Congé spécial",D623="Congé spécial"),0,IF(F623-E623&lt;0,0,IF(F623-E623&lt;=0.00068287037037037,0,F623-E623)))</f>
        <v>0</v>
      </c>
      <c r="M623" s="6" t="n">
        <f aca="false">IF(AND(O623&lt;&gt;0,C623=""),"Abs",0)</f>
        <v>0</v>
      </c>
      <c r="N623" s="8" t="str">
        <f aca="false">IFERROR(IF(OR(D623="OFF",D623="Congé",M623="Abs",D623="Congé sans solde",D623="Férié"),"",IF(O623-K623-L623&gt;O623,O623,IF(O623-K623-L623&lt;0,"",O623-K623-L623))),"")</f>
        <v/>
      </c>
      <c r="O623" s="8" t="n">
        <f aca="false">IF(AG623="2H Pause déjeuner",IF(F623-D623-0.0833333333333333&lt;0,F623-D623-0.0833333333333333+1,F623-D623-0.0833333333333333),IF(OR(AND(F623="OFF",D623="OFF"),AND(F623="Congé",D623="Congé"),AND(F623="Congé sans solde",D623="Congé sans solde"),AND(F623="Congé spécial",D623="Congé spécial"),AND(F623="Férié",D623="Férié"),AND(F623="OFF",D623="Congé"),AND(F623="OFF",D623="Congé sans solde"),AND(F623="OFF",D623="Congé spécial"),AND(F623="OFF",D623="Férié"),AND(F623="Congé",D623="OFF"),AND(F623="Congé",D623="Congé sans solde"),AND(F623="Congé",D623="Congé spécial"),AND(F623="Congé",D623="Férié"),AND(F623="Congé sans solde",D623="OFF"),AND(F623="Congé sans solde",D623="Congé"),AND(F623="Congé sans solde",D623="Congé spécial"),AND(F623="Congé sans solde",D623="Férié"),AND(F623="Congé spécial",D623="OFF"),AND(F623="Congé spécial",D623="Congé"),AND(F623="Congé spécial",D623="Congé sans solde"),AND(F623="Congé spécial",D623="Férié"),AND(F623="Férié",D623="OFF"),AND(F623="Férié",D623="Congé"),AND(F623="Férié",D623="Congé sans solde"),AND(F623="Férié",D623="Congé spécial")),0,IF(OR(F623="OFF",F623="Congé",F623="Congé spécial",F623="Congé sans solde",D623="OFF",D623="Congé",D623="Congé spécial",D623="Congé sans solde"),0.208333333333334,IF(AND(AG623="",F623-D623&lt;0),("24:00:00"-D623)+("00:00:00"+F623)-0.0416666666666667,IF(AND(OR(AG623="Allaitement",AG623="Sans déjeuner"),F623-D623&lt;0),("24:00:00"-D623)+("00:00:00"+F623),IF(AND(AG623="",F623-D623&gt;0.166666666666667),F623-D623-0.0416666666666667,IF(AND(OR(AG623="Allaitement",AG623="Sans déjeuner"),F623-D623&gt;0.166666666666667),F623-D623,F623-D623)))))))</f>
        <v>0</v>
      </c>
      <c r="P623" s="6" t="str">
        <f aca="false">IFERROR(VLOOKUP($B623,Agents!$A:$D,2,0),"-")</f>
        <v>Accessibilité</v>
      </c>
      <c r="Q623" s="21" t="n">
        <v>46138</v>
      </c>
      <c r="R623" s="8" t="n">
        <f aca="false">IF(M623="Abs",O623,0)</f>
        <v>0</v>
      </c>
      <c r="S623" s="8" t="n">
        <f aca="false">SUM(R623,L623,I623,J623,W623,H623)</f>
        <v>0</v>
      </c>
      <c r="T623" s="6" t="str">
        <f aca="false">"Sem - "&amp;WEEKNUM(Q623,21)</f>
        <v>Sem - 17</v>
      </c>
      <c r="U623" s="6" t="str">
        <f aca="false">CHOOSE(MONTH(Q623),"Janvier","Février","Mars","Avril","Mai","Juin","Juillet","Août","Septembre","Octobre","Novembre","Décembre")</f>
        <v>Avril</v>
      </c>
      <c r="V623" s="22" t="n">
        <f aca="false">YEAR(Q623)</f>
        <v>2026</v>
      </c>
      <c r="W623" s="20"/>
      <c r="X623" s="8" t="n">
        <f aca="false">IFERROR(IF(M623="Abs",0,IF(ROUND((D623-C623+E623-F623)*1440,0)&lt;=1,0,D623-C623+E623-F623)),0)</f>
        <v>0</v>
      </c>
      <c r="Y623" s="6" t="str">
        <f aca="false">IFERROR(VLOOKUP($B623,Agents!$A:$D,3,0),"-")</f>
        <v>OUBRAHIM Mohammed</v>
      </c>
      <c r="Z623" s="6" t="str">
        <f aca="false">IFERROR(VLOOKUP($B623,Agents!$A:$D,4,0),"-")</f>
        <v>Credit Mutuel</v>
      </c>
      <c r="AA623" s="18" t="s">
        <v>99</v>
      </c>
      <c r="AB623" s="8" t="str">
        <f aca="false">IF(AND(D623="Congé",F623="Congé"),0.333333333333333,IF(OR(AND(D623="Congé",F623&lt;&gt;"Congé"),(AND(F623="Congé",D623&lt;&gt;"Congé"))),0.166666666666667,""))</f>
        <v/>
      </c>
      <c r="AC623" s="8" t="str">
        <f aca="false">IF(AND(D623="Congé sans solde",F623="Congé sans solde"),0.333333333333333,IF(OR(AND(D623="Congé sans solde",F623&lt;&gt;"Congé sans solde"),(AND(F623="Congé sans solde",D623&lt;&gt;"Congé sans solde"))),0.166666666666667,""))</f>
        <v/>
      </c>
      <c r="AD623" s="8" t="str">
        <f aca="false">IF(AND(D623="Congé spécial",F623="Congé spécial"),0.333333333333333,IF(OR(AND(D623="Congé spécial",F623&lt;&gt;"Congé spécial"),AND(F623="Congé spécial",D623&lt;&gt;"Congé spécial")),0.166666666666667,""))</f>
        <v/>
      </c>
      <c r="AE623" s="8" t="str">
        <f aca="false">IF(AND(D623="Férié",F623="Férié"),0.333333333333333,IF(OR(AND(D623="Férié",F623&lt;&gt;"Férié"),(AND(F623="Férié",D623&lt;&gt;"Férié"))),0.166666666666667,""))</f>
        <v/>
      </c>
      <c r="AF623" s="18"/>
      <c r="AG623" s="18"/>
    </row>
    <row r="624" customFormat="false" ht="15" hidden="false" customHeight="false" outlineLevel="0" collapsed="false">
      <c r="A624" s="6" t="str">
        <f aca="false">YEAR(Q624-WEEKDAY(Q624,2)+4)&amp;"-S"&amp;TEXT(WEEKNUM(Q624,21),"00")</f>
        <v>2026-S17</v>
      </c>
      <c r="B624" s="18" t="s">
        <v>73</v>
      </c>
      <c r="C624" s="19"/>
      <c r="D624" s="19" t="s">
        <v>74</v>
      </c>
      <c r="E624" s="19"/>
      <c r="F624" s="19" t="s">
        <v>74</v>
      </c>
      <c r="G624" s="20"/>
      <c r="H624" s="20"/>
      <c r="I624" s="8" t="str">
        <f aca="false">IF(IF(OR(C624="",D624="Congé",D624="OFF",D624="Congé spécial"),"",IF(D624&gt;F624,D624-C624,IF(C624-D624&lt;0,0,C624-D624)))&lt;0.00068287037037037,"",IF(OR(D624="Congé",D624="OFF",C624="",D624="Congé spécial"),"",IF(D624&gt;F624,D624-C624,IF(C624-D624&lt;0,0,C624-D624))))</f>
        <v/>
      </c>
      <c r="J624" s="20"/>
      <c r="K624" s="8" t="n">
        <f aca="false">IF(SUM(H624:J624)&lt;0.00068287037037037,0,SUM(H624:J624))</f>
        <v>0</v>
      </c>
      <c r="L624" s="8" t="n">
        <f aca="false">IF(OR(F624="Congé",F624="OFF",M624="Abs",F624="Congé sans solde",F624="Férié",F624="Congé spécial",D624="Congé spécial"),0,IF(F624-E624&lt;0,0,IF(F624-E624&lt;=0.00068287037037037,0,F624-E624)))</f>
        <v>0</v>
      </c>
      <c r="M624" s="6" t="n">
        <f aca="false">IF(AND(O624&lt;&gt;0,C624=""),"Abs",0)</f>
        <v>0</v>
      </c>
      <c r="N624" s="8" t="str">
        <f aca="false">IFERROR(IF(OR(D624="OFF",D624="Congé",M624="Abs",D624="Congé sans solde",D624="Férié"),"",IF(O624-K624-L624&gt;O624,O624,IF(O624-K624-L624&lt;0,"",O624-K624-L624))),"")</f>
        <v/>
      </c>
      <c r="O624" s="8" t="n">
        <f aca="false">IF(AG624="2H Pause déjeuner",IF(F624-D624-0.0833333333333333&lt;0,F624-D624-0.0833333333333333+1,F624-D624-0.0833333333333333),IF(OR(AND(F624="OFF",D624="OFF"),AND(F624="Congé",D624="Congé"),AND(F624="Congé sans solde",D624="Congé sans solde"),AND(F624="Congé spécial",D624="Congé spécial"),AND(F624="Férié",D624="Férié"),AND(F624="OFF",D624="Congé"),AND(F624="OFF",D624="Congé sans solde"),AND(F624="OFF",D624="Congé spécial"),AND(F624="OFF",D624="Férié"),AND(F624="Congé",D624="OFF"),AND(F624="Congé",D624="Congé sans solde"),AND(F624="Congé",D624="Congé spécial"),AND(F624="Congé",D624="Férié"),AND(F624="Congé sans solde",D624="OFF"),AND(F624="Congé sans solde",D624="Congé"),AND(F624="Congé sans solde",D624="Congé spécial"),AND(F624="Congé sans solde",D624="Férié"),AND(F624="Congé spécial",D624="OFF"),AND(F624="Congé spécial",D624="Congé"),AND(F624="Congé spécial",D624="Congé sans solde"),AND(F624="Congé spécial",D624="Férié"),AND(F624="Férié",D624="OFF"),AND(F624="Férié",D624="Congé"),AND(F624="Férié",D624="Congé sans solde"),AND(F624="Férié",D624="Congé spécial")),0,IF(OR(F624="OFF",F624="Congé",F624="Congé spécial",F624="Congé sans solde",D624="OFF",D624="Congé",D624="Congé spécial",D624="Congé sans solde"),0.208333333333334,IF(AND(AG624="",F624-D624&lt;0),("24:00:00"-D624)+("00:00:00"+F624)-0.0416666666666667,IF(AND(OR(AG624="Allaitement",AG624="Sans déjeuner"),F624-D624&lt;0),("24:00:00"-D624)+("00:00:00"+F624),IF(AND(AG624="",F624-D624&gt;0.166666666666667),F624-D624-0.0416666666666667,IF(AND(OR(AG624="Allaitement",AG624="Sans déjeuner"),F624-D624&gt;0.166666666666667),F624-D624,F624-D624)))))))</f>
        <v>0</v>
      </c>
      <c r="P624" s="6" t="str">
        <f aca="false">IFERROR(VLOOKUP($B624,Agents!$A:$D,2,0),"-")</f>
        <v>Accessibilité</v>
      </c>
      <c r="Q624" s="21" t="n">
        <v>46138</v>
      </c>
      <c r="R624" s="8" t="n">
        <f aca="false">IF(M624="Abs",O624,0)</f>
        <v>0</v>
      </c>
      <c r="S624" s="8" t="n">
        <f aca="false">SUM(R624,L624,I624,J624,W624,H624)</f>
        <v>0</v>
      </c>
      <c r="T624" s="6" t="str">
        <f aca="false">"Sem - "&amp;WEEKNUM(Q624,21)</f>
        <v>Sem - 17</v>
      </c>
      <c r="U624" s="6" t="str">
        <f aca="false">CHOOSE(MONTH(Q624),"Janvier","Février","Mars","Avril","Mai","Juin","Juillet","Août","Septembre","Octobre","Novembre","Décembre")</f>
        <v>Avril</v>
      </c>
      <c r="V624" s="22" t="n">
        <f aca="false">YEAR(Q624)</f>
        <v>2026</v>
      </c>
      <c r="W624" s="20"/>
      <c r="X624" s="8" t="n">
        <f aca="false">IFERROR(IF(M624="Abs",0,IF(ROUND((D624-C624+E624-F624)*1440,0)&lt;=1,0,D624-C624+E624-F624)),0)</f>
        <v>0</v>
      </c>
      <c r="Y624" s="6" t="str">
        <f aca="false">IFERROR(VLOOKUP($B624,Agents!$A:$D,3,0),"-")</f>
        <v>OUBRAHIM Mohammed</v>
      </c>
      <c r="Z624" s="6" t="str">
        <f aca="false">IFERROR(VLOOKUP($B624,Agents!$A:$D,4,0),"-")</f>
        <v>Credit Mutuel</v>
      </c>
      <c r="AA624" s="18" t="s">
        <v>99</v>
      </c>
      <c r="AB624" s="8" t="str">
        <f aca="false">IF(AND(D624="Congé",F624="Congé"),0.333333333333333,IF(OR(AND(D624="Congé",F624&lt;&gt;"Congé"),(AND(F624="Congé",D624&lt;&gt;"Congé"))),0.166666666666667,""))</f>
        <v/>
      </c>
      <c r="AC624" s="8" t="str">
        <f aca="false">IF(AND(D624="Congé sans solde",F624="Congé sans solde"),0.333333333333333,IF(OR(AND(D624="Congé sans solde",F624&lt;&gt;"Congé sans solde"),(AND(F624="Congé sans solde",D624&lt;&gt;"Congé sans solde"))),0.166666666666667,""))</f>
        <v/>
      </c>
      <c r="AD624" s="8" t="str">
        <f aca="false">IF(AND(D624="Congé spécial",F624="Congé spécial"),0.333333333333333,IF(OR(AND(D624="Congé spécial",F624&lt;&gt;"Congé spécial"),AND(F624="Congé spécial",D624&lt;&gt;"Congé spécial")),0.166666666666667,""))</f>
        <v/>
      </c>
      <c r="AE624" s="8" t="str">
        <f aca="false">IF(AND(D624="Férié",F624="Férié"),0.333333333333333,IF(OR(AND(D624="Férié",F624&lt;&gt;"Férié"),(AND(F624="Férié",D624&lt;&gt;"Férié"))),0.166666666666667,""))</f>
        <v/>
      </c>
      <c r="AF624" s="18"/>
      <c r="AG624" s="18"/>
    </row>
    <row r="625" customFormat="false" ht="15" hidden="false" customHeight="false" outlineLevel="0" collapsed="false">
      <c r="A625" s="6" t="str">
        <f aca="false">YEAR(Q625-WEEKDAY(Q625,2)+4)&amp;"-S"&amp;TEXT(WEEKNUM(Q625,21),"00")</f>
        <v>2026-S18</v>
      </c>
      <c r="B625" s="18" t="s">
        <v>71</v>
      </c>
      <c r="C625" s="19" t="n">
        <v>0.332638888888889</v>
      </c>
      <c r="D625" s="19" t="n">
        <v>0.333333333333333</v>
      </c>
      <c r="E625" s="19" t="n">
        <v>0.75</v>
      </c>
      <c r="F625" s="19" t="n">
        <v>0.75</v>
      </c>
      <c r="G625" s="20"/>
      <c r="H625" s="20"/>
      <c r="I625" s="8" t="str">
        <f aca="false">IF(IF(OR(C625="",D625="Congé",D625="OFF",D625="Congé spécial"),"",IF(D625&gt;F625,D625-C625,IF(C625-D625&lt;0,0,C625-D625)))&lt;0.00068287037037037,"",IF(OR(D625="Congé",D625="OFF",C625="",D625="Congé spécial"),"",IF(D625&gt;F625,D625-C625,IF(C625-D625&lt;0,0,C625-D625))))</f>
        <v/>
      </c>
      <c r="J625" s="20"/>
      <c r="K625" s="8" t="n">
        <f aca="false">IF(SUM(H625:J625)&lt;0.00068287037037037,0,SUM(H625:J625))</f>
        <v>0</v>
      </c>
      <c r="L625" s="8" t="n">
        <f aca="false">IF(OR(F625="Congé",F625="OFF",M625="Abs",F625="Congé sans solde",F625="Férié",F625="Congé spécial",D625="Congé spécial"),0,IF(F625-E625&lt;0,0,IF(F625-E625&lt;=0.00068287037037037,0,F625-E625)))</f>
        <v>0</v>
      </c>
      <c r="M625" s="6" t="n">
        <f aca="false">IF(AND(O625&lt;&gt;0,C625=""),"Abs",0)</f>
        <v>0</v>
      </c>
      <c r="N625" s="8" t="n">
        <f aca="false">IFERROR(IF(OR(D625="OFF",D625="Congé",M625="Abs",D625="Congé sans solde",D625="Férié"),"",IF(O625-K625-L625&gt;O625,O625,IF(O625-K625-L625&lt;0,"",O625-K625-L625))),"")</f>
        <v>0.375</v>
      </c>
      <c r="O625" s="8" t="n">
        <f aca="false">IF(AG625="2H Pause déjeuner",IF(F625-D625-0.0833333333333333&lt;0,F625-D625-0.0833333333333333+1,F625-D625-0.0833333333333333),IF(OR(AND(F625="OFF",D625="OFF"),AND(F625="Congé",D625="Congé"),AND(F625="Congé sans solde",D625="Congé sans solde"),AND(F625="Congé spécial",D625="Congé spécial"),AND(F625="Férié",D625="Férié"),AND(F625="OFF",D625="Congé"),AND(F625="OFF",D625="Congé sans solde"),AND(F625="OFF",D625="Congé spécial"),AND(F625="OFF",D625="Férié"),AND(F625="Congé",D625="OFF"),AND(F625="Congé",D625="Congé sans solde"),AND(F625="Congé",D625="Congé spécial"),AND(F625="Congé",D625="Férié"),AND(F625="Congé sans solde",D625="OFF"),AND(F625="Congé sans solde",D625="Congé"),AND(F625="Congé sans solde",D625="Congé spécial"),AND(F625="Congé sans solde",D625="Férié"),AND(F625="Congé spécial",D625="OFF"),AND(F625="Congé spécial",D625="Congé"),AND(F625="Congé spécial",D625="Congé sans solde"),AND(F625="Congé spécial",D625="Férié"),AND(F625="Férié",D625="OFF"),AND(F625="Férié",D625="Congé"),AND(F625="Férié",D625="Congé sans solde"),AND(F625="Férié",D625="Congé spécial")),0,IF(OR(F625="OFF",F625="Congé",F625="Congé spécial",F625="Congé sans solde",D625="OFF",D625="Congé",D625="Congé spécial",D625="Congé sans solde"),0.208333333333334,IF(AND(AG625="",F625-D625&lt;0),("24:00:00"-D625)+("00:00:00"+F625)-0.0416666666666667,IF(AND(OR(AG625="Allaitement",AG625="Sans déjeuner"),F625-D625&lt;0),("24:00:00"-D625)+("00:00:00"+F625),IF(AND(AG625="",F625-D625&gt;0.166666666666667),F625-D625-0.0416666666666667,IF(AND(OR(AG625="Allaitement",AG625="Sans déjeuner"),F625-D625&gt;0.166666666666667),F625-D625,F625-D625)))))))</f>
        <v>0.375</v>
      </c>
      <c r="P625" s="6" t="str">
        <f aca="false">IFERROR(VLOOKUP($B625,Agents!$A:$D,2,0),"-")</f>
        <v>Accessibilité</v>
      </c>
      <c r="Q625" s="21" t="n">
        <v>46139</v>
      </c>
      <c r="R625" s="8" t="n">
        <f aca="false">IF(M625="Abs",O625,0)</f>
        <v>0</v>
      </c>
      <c r="S625" s="8" t="n">
        <f aca="false">SUM(R625,L625,I625,J625,W625,H625)</f>
        <v>0</v>
      </c>
      <c r="T625" s="6" t="str">
        <f aca="false">"Sem - "&amp;WEEKNUM(Q625,21)</f>
        <v>Sem - 18</v>
      </c>
      <c r="U625" s="6" t="str">
        <f aca="false">CHOOSE(MONTH(Q625),"Janvier","Février","Mars","Avril","Mai","Juin","Juillet","Août","Septembre","Octobre","Novembre","Décembre")</f>
        <v>Avril</v>
      </c>
      <c r="V625" s="22" t="n">
        <f aca="false">YEAR(Q625)</f>
        <v>2026</v>
      </c>
      <c r="W625" s="20"/>
      <c r="X625" s="8" t="n">
        <f aca="false">IFERROR(IF(M625="Abs",0,IF(ROUND((D625-C625+E625-F625)*1440,0)&lt;=1,0,D625-C625+E625-F625)),0)</f>
        <v>0</v>
      </c>
      <c r="Y625" s="6" t="str">
        <f aca="false">IFERROR(VLOOKUP($B625,Agents!$A:$D,3,0),"-")</f>
        <v>OUBRAHIM Mohammed</v>
      </c>
      <c r="Z625" s="6" t="str">
        <f aca="false">IFERROR(VLOOKUP($B625,Agents!$A:$D,4,0),"-")</f>
        <v>Credit Mutuel</v>
      </c>
      <c r="AA625" s="18" t="s">
        <v>100</v>
      </c>
      <c r="AB625" s="8" t="str">
        <f aca="false">IF(AND(D625="Congé",F625="Congé"),0.333333333333333,IF(OR(AND(D625="Congé",F625&lt;&gt;"Congé"),(AND(F625="Congé",D625&lt;&gt;"Congé"))),0.166666666666667,""))</f>
        <v/>
      </c>
      <c r="AC625" s="8" t="str">
        <f aca="false">IF(AND(D625="Congé sans solde",F625="Congé sans solde"),0.333333333333333,IF(OR(AND(D625="Congé sans solde",F625&lt;&gt;"Congé sans solde"),(AND(F625="Congé sans solde",D625&lt;&gt;"Congé sans solde"))),0.166666666666667,""))</f>
        <v/>
      </c>
      <c r="AD625" s="8" t="str">
        <f aca="false">IF(AND(D625="Congé spécial",F625="Congé spécial"),0.333333333333333,IF(OR(AND(D625="Congé spécial",F625&lt;&gt;"Congé spécial"),AND(F625="Congé spécial",D625&lt;&gt;"Congé spécial")),0.166666666666667,""))</f>
        <v/>
      </c>
      <c r="AE625" s="8" t="str">
        <f aca="false">IF(AND(D625="Férié",F625="Férié"),0.333333333333333,IF(OR(AND(D625="Férié",F625&lt;&gt;"Férié"),(AND(F625="Férié",D625&lt;&gt;"Férié"))),0.166666666666667,""))</f>
        <v/>
      </c>
      <c r="AF625" s="18"/>
      <c r="AG625" s="18"/>
    </row>
    <row r="626" customFormat="false" ht="15" hidden="false" customHeight="false" outlineLevel="0" collapsed="false">
      <c r="A626" s="6" t="str">
        <f aca="false">YEAR(Q626-WEEKDAY(Q626,2)+4)&amp;"-S"&amp;TEXT(WEEKNUM(Q626,21),"00")</f>
        <v>2026-S18</v>
      </c>
      <c r="B626" s="18" t="s">
        <v>72</v>
      </c>
      <c r="C626" s="19" t="n">
        <v>0.331944444444444</v>
      </c>
      <c r="D626" s="19" t="n">
        <v>0.333333333333333</v>
      </c>
      <c r="E626" s="19" t="n">
        <v>0.75</v>
      </c>
      <c r="F626" s="19" t="n">
        <v>0.75</v>
      </c>
      <c r="G626" s="20"/>
      <c r="H626" s="20"/>
      <c r="I626" s="8" t="str">
        <f aca="false">IF(IF(OR(C626="",D626="Congé",D626="OFF",D626="Congé spécial"),"",IF(D626&gt;F626,D626-C626,IF(C626-D626&lt;0,0,C626-D626)))&lt;0.00068287037037037,"",IF(OR(D626="Congé",D626="OFF",C626="",D626="Congé spécial"),"",IF(D626&gt;F626,D626-C626,IF(C626-D626&lt;0,0,C626-D626))))</f>
        <v/>
      </c>
      <c r="J626" s="20"/>
      <c r="K626" s="8" t="n">
        <f aca="false">IF(SUM(H626:J626)&lt;0.00068287037037037,0,SUM(H626:J626))</f>
        <v>0</v>
      </c>
      <c r="L626" s="8" t="n">
        <f aca="false">IF(OR(F626="Congé",F626="OFF",M626="Abs",F626="Congé sans solde",F626="Férié",F626="Congé spécial",D626="Congé spécial"),0,IF(F626-E626&lt;0,0,IF(F626-E626&lt;=0.00068287037037037,0,F626-E626)))</f>
        <v>0</v>
      </c>
      <c r="M626" s="6" t="n">
        <f aca="false">IF(AND(O626&lt;&gt;0,C626=""),"Abs",0)</f>
        <v>0</v>
      </c>
      <c r="N626" s="8" t="n">
        <f aca="false">IFERROR(IF(OR(D626="OFF",D626="Congé",M626="Abs",D626="Congé sans solde",D626="Férié"),"",IF(O626-K626-L626&gt;O626,O626,IF(O626-K626-L626&lt;0,"",O626-K626-L626))),"")</f>
        <v>0.375</v>
      </c>
      <c r="O626" s="8" t="n">
        <f aca="false">IF(AG626="2H Pause déjeuner",IF(F626-D626-0.0833333333333333&lt;0,F626-D626-0.0833333333333333+1,F626-D626-0.0833333333333333),IF(OR(AND(F626="OFF",D626="OFF"),AND(F626="Congé",D626="Congé"),AND(F626="Congé sans solde",D626="Congé sans solde"),AND(F626="Congé spécial",D626="Congé spécial"),AND(F626="Férié",D626="Férié"),AND(F626="OFF",D626="Congé"),AND(F626="OFF",D626="Congé sans solde"),AND(F626="OFF",D626="Congé spécial"),AND(F626="OFF",D626="Férié"),AND(F626="Congé",D626="OFF"),AND(F626="Congé",D626="Congé sans solde"),AND(F626="Congé",D626="Congé spécial"),AND(F626="Congé",D626="Férié"),AND(F626="Congé sans solde",D626="OFF"),AND(F626="Congé sans solde",D626="Congé"),AND(F626="Congé sans solde",D626="Congé spécial"),AND(F626="Congé sans solde",D626="Férié"),AND(F626="Congé spécial",D626="OFF"),AND(F626="Congé spécial",D626="Congé"),AND(F626="Congé spécial",D626="Congé sans solde"),AND(F626="Congé spécial",D626="Férié"),AND(F626="Férié",D626="OFF"),AND(F626="Férié",D626="Congé"),AND(F626="Férié",D626="Congé sans solde"),AND(F626="Férié",D626="Congé spécial")),0,IF(OR(F626="OFF",F626="Congé",F626="Congé spécial",F626="Congé sans solde",D626="OFF",D626="Congé",D626="Congé spécial",D626="Congé sans solde"),0.208333333333334,IF(AND(AG626="",F626-D626&lt;0),("24:00:00"-D626)+("00:00:00"+F626)-0.0416666666666667,IF(AND(OR(AG626="Allaitement",AG626="Sans déjeuner"),F626-D626&lt;0),("24:00:00"-D626)+("00:00:00"+F626),IF(AND(AG626="",F626-D626&gt;0.166666666666667),F626-D626-0.0416666666666667,IF(AND(OR(AG626="Allaitement",AG626="Sans déjeuner"),F626-D626&gt;0.166666666666667),F626-D626,F626-D626)))))))</f>
        <v>0.375</v>
      </c>
      <c r="P626" s="6" t="str">
        <f aca="false">IFERROR(VLOOKUP($B626,Agents!$A:$D,2,0),"-")</f>
        <v>Accessibilité</v>
      </c>
      <c r="Q626" s="21" t="n">
        <v>46139</v>
      </c>
      <c r="R626" s="8" t="n">
        <f aca="false">IF(M626="Abs",O626,0)</f>
        <v>0</v>
      </c>
      <c r="S626" s="8" t="n">
        <f aca="false">SUM(R626,L626,I626,J626,W626,H626)</f>
        <v>0</v>
      </c>
      <c r="T626" s="6" t="str">
        <f aca="false">"Sem - "&amp;WEEKNUM(Q626,21)</f>
        <v>Sem - 18</v>
      </c>
      <c r="U626" s="6" t="str">
        <f aca="false">CHOOSE(MONTH(Q626),"Janvier","Février","Mars","Avril","Mai","Juin","Juillet","Août","Septembre","Octobre","Novembre","Décembre")</f>
        <v>Avril</v>
      </c>
      <c r="V626" s="22" t="n">
        <f aca="false">YEAR(Q626)</f>
        <v>2026</v>
      </c>
      <c r="W626" s="20"/>
      <c r="X626" s="8" t="n">
        <f aca="false">IFERROR(IF(M626="Abs",0,IF(ROUND((D626-C626+E626-F626)*1440,0)&lt;=1,0,D626-C626+E626-F626)),0)</f>
        <v>0.00138888888888889</v>
      </c>
      <c r="Y626" s="6" t="str">
        <f aca="false">IFERROR(VLOOKUP($B626,Agents!$A:$D,3,0),"-")</f>
        <v>OUBRAHIM Mohammed</v>
      </c>
      <c r="Z626" s="6" t="str">
        <f aca="false">IFERROR(VLOOKUP($B626,Agents!$A:$D,4,0),"-")</f>
        <v>Credit Mutuel</v>
      </c>
      <c r="AA626" s="18" t="s">
        <v>100</v>
      </c>
      <c r="AB626" s="8" t="str">
        <f aca="false">IF(AND(D626="Congé",F626="Congé"),0.333333333333333,IF(OR(AND(D626="Congé",F626&lt;&gt;"Congé"),(AND(F626="Congé",D626&lt;&gt;"Congé"))),0.166666666666667,""))</f>
        <v/>
      </c>
      <c r="AC626" s="8" t="str">
        <f aca="false">IF(AND(D626="Congé sans solde",F626="Congé sans solde"),0.333333333333333,IF(OR(AND(D626="Congé sans solde",F626&lt;&gt;"Congé sans solde"),(AND(F626="Congé sans solde",D626&lt;&gt;"Congé sans solde"))),0.166666666666667,""))</f>
        <v/>
      </c>
      <c r="AD626" s="8" t="str">
        <f aca="false">IF(AND(D626="Congé spécial",F626="Congé spécial"),0.333333333333333,IF(OR(AND(D626="Congé spécial",F626&lt;&gt;"Congé spécial"),AND(F626="Congé spécial",D626&lt;&gt;"Congé spécial")),0.166666666666667,""))</f>
        <v/>
      </c>
      <c r="AE626" s="8" t="str">
        <f aca="false">IF(AND(D626="Férié",F626="Férié"),0.333333333333333,IF(OR(AND(D626="Férié",F626&lt;&gt;"Férié"),(AND(F626="Férié",D626&lt;&gt;"Férié"))),0.166666666666667,""))</f>
        <v/>
      </c>
      <c r="AF626" s="18"/>
      <c r="AG626" s="18"/>
    </row>
    <row r="627" customFormat="false" ht="15" hidden="false" customHeight="false" outlineLevel="0" collapsed="false">
      <c r="A627" s="6" t="str">
        <f aca="false">YEAR(Q627-WEEKDAY(Q627,2)+4)&amp;"-S"&amp;TEXT(WEEKNUM(Q627,21),"00")</f>
        <v>2026-S18</v>
      </c>
      <c r="B627" s="18" t="s">
        <v>73</v>
      </c>
      <c r="C627" s="19" t="n">
        <v>0.331944444444444</v>
      </c>
      <c r="D627" s="19" t="n">
        <v>0.333333333333333</v>
      </c>
      <c r="E627" s="19" t="n">
        <v>0.75</v>
      </c>
      <c r="F627" s="19" t="n">
        <v>0.75</v>
      </c>
      <c r="G627" s="20"/>
      <c r="H627" s="20"/>
      <c r="I627" s="8" t="str">
        <f aca="false">IF(IF(OR(C627="",D627="Congé",D627="OFF",D627="Congé spécial"),"",IF(D627&gt;F627,D627-C627,IF(C627-D627&lt;0,0,C627-D627)))&lt;0.00068287037037037,"",IF(OR(D627="Congé",D627="OFF",C627="",D627="Congé spécial"),"",IF(D627&gt;F627,D627-C627,IF(C627-D627&lt;0,0,C627-D627))))</f>
        <v/>
      </c>
      <c r="J627" s="20"/>
      <c r="K627" s="8" t="n">
        <f aca="false">IF(SUM(H627:J627)&lt;0.00068287037037037,0,SUM(H627:J627))</f>
        <v>0</v>
      </c>
      <c r="L627" s="8" t="n">
        <f aca="false">IF(OR(F627="Congé",F627="OFF",M627="Abs",F627="Congé sans solde",F627="Férié",F627="Congé spécial",D627="Congé spécial"),0,IF(F627-E627&lt;0,0,IF(F627-E627&lt;=0.00068287037037037,0,F627-E627)))</f>
        <v>0</v>
      </c>
      <c r="M627" s="6" t="n">
        <f aca="false">IF(AND(O627&lt;&gt;0,C627=""),"Abs",0)</f>
        <v>0</v>
      </c>
      <c r="N627" s="8" t="n">
        <f aca="false">IFERROR(IF(OR(D627="OFF",D627="Congé",M627="Abs",D627="Congé sans solde",D627="Férié"),"",IF(O627-K627-L627&gt;O627,O627,IF(O627-K627-L627&lt;0,"",O627-K627-L627))),"")</f>
        <v>0.375</v>
      </c>
      <c r="O627" s="8" t="n">
        <f aca="false">IF(AG627="2H Pause déjeuner",IF(F627-D627-0.0833333333333333&lt;0,F627-D627-0.0833333333333333+1,F627-D627-0.0833333333333333),IF(OR(AND(F627="OFF",D627="OFF"),AND(F627="Congé",D627="Congé"),AND(F627="Congé sans solde",D627="Congé sans solde"),AND(F627="Congé spécial",D627="Congé spécial"),AND(F627="Férié",D627="Férié"),AND(F627="OFF",D627="Congé"),AND(F627="OFF",D627="Congé sans solde"),AND(F627="OFF",D627="Congé spécial"),AND(F627="OFF",D627="Férié"),AND(F627="Congé",D627="OFF"),AND(F627="Congé",D627="Congé sans solde"),AND(F627="Congé",D627="Congé spécial"),AND(F627="Congé",D627="Férié"),AND(F627="Congé sans solde",D627="OFF"),AND(F627="Congé sans solde",D627="Congé"),AND(F627="Congé sans solde",D627="Congé spécial"),AND(F627="Congé sans solde",D627="Férié"),AND(F627="Congé spécial",D627="OFF"),AND(F627="Congé spécial",D627="Congé"),AND(F627="Congé spécial",D627="Congé sans solde"),AND(F627="Congé spécial",D627="Férié"),AND(F627="Férié",D627="OFF"),AND(F627="Férié",D627="Congé"),AND(F627="Férié",D627="Congé sans solde"),AND(F627="Férié",D627="Congé spécial")),0,IF(OR(F627="OFF",F627="Congé",F627="Congé spécial",F627="Congé sans solde",D627="OFF",D627="Congé",D627="Congé spécial",D627="Congé sans solde"),0.208333333333334,IF(AND(AG627="",F627-D627&lt;0),("24:00:00"-D627)+("00:00:00"+F627)-0.0416666666666667,IF(AND(OR(AG627="Allaitement",AG627="Sans déjeuner"),F627-D627&lt;0),("24:00:00"-D627)+("00:00:00"+F627),IF(AND(AG627="",F627-D627&gt;0.166666666666667),F627-D627-0.0416666666666667,IF(AND(OR(AG627="Allaitement",AG627="Sans déjeuner"),F627-D627&gt;0.166666666666667),F627-D627,F627-D627)))))))</f>
        <v>0.375</v>
      </c>
      <c r="P627" s="6" t="str">
        <f aca="false">IFERROR(VLOOKUP($B627,Agents!$A:$D,2,0),"-")</f>
        <v>Accessibilité</v>
      </c>
      <c r="Q627" s="21" t="n">
        <v>46139</v>
      </c>
      <c r="R627" s="8" t="n">
        <f aca="false">IF(M627="Abs",O627,0)</f>
        <v>0</v>
      </c>
      <c r="S627" s="8" t="n">
        <f aca="false">SUM(R627,L627,I627,J627,W627,H627)</f>
        <v>0</v>
      </c>
      <c r="T627" s="6" t="str">
        <f aca="false">"Sem - "&amp;WEEKNUM(Q627,21)</f>
        <v>Sem - 18</v>
      </c>
      <c r="U627" s="6" t="str">
        <f aca="false">CHOOSE(MONTH(Q627),"Janvier","Février","Mars","Avril","Mai","Juin","Juillet","Août","Septembre","Octobre","Novembre","Décembre")</f>
        <v>Avril</v>
      </c>
      <c r="V627" s="22" t="n">
        <f aca="false">YEAR(Q627)</f>
        <v>2026</v>
      </c>
      <c r="W627" s="20"/>
      <c r="X627" s="8" t="n">
        <f aca="false">IFERROR(IF(M627="Abs",0,IF(ROUND((D627-C627+E627-F627)*1440,0)&lt;=1,0,D627-C627+E627-F627)),0)</f>
        <v>0.00138888888888889</v>
      </c>
      <c r="Y627" s="6" t="str">
        <f aca="false">IFERROR(VLOOKUP($B627,Agents!$A:$D,3,0),"-")</f>
        <v>OUBRAHIM Mohammed</v>
      </c>
      <c r="Z627" s="6" t="str">
        <f aca="false">IFERROR(VLOOKUP($B627,Agents!$A:$D,4,0),"-")</f>
        <v>Credit Mutuel</v>
      </c>
      <c r="AA627" s="18" t="s">
        <v>100</v>
      </c>
      <c r="AB627" s="8" t="str">
        <f aca="false">IF(AND(D627="Congé",F627="Congé"),0.333333333333333,IF(OR(AND(D627="Congé",F627&lt;&gt;"Congé"),(AND(F627="Congé",D627&lt;&gt;"Congé"))),0.166666666666667,""))</f>
        <v/>
      </c>
      <c r="AC627" s="8" t="str">
        <f aca="false">IF(AND(D627="Congé sans solde",F627="Congé sans solde"),0.333333333333333,IF(OR(AND(D627="Congé sans solde",F627&lt;&gt;"Congé sans solde"),(AND(F627="Congé sans solde",D627&lt;&gt;"Congé sans solde"))),0.166666666666667,""))</f>
        <v/>
      </c>
      <c r="AD627" s="8" t="str">
        <f aca="false">IF(AND(D627="Congé spécial",F627="Congé spécial"),0.333333333333333,IF(OR(AND(D627="Congé spécial",F627&lt;&gt;"Congé spécial"),AND(F627="Congé spécial",D627&lt;&gt;"Congé spécial")),0.166666666666667,""))</f>
        <v/>
      </c>
      <c r="AE627" s="8" t="str">
        <f aca="false">IF(AND(D627="Férié",F627="Férié"),0.333333333333333,IF(OR(AND(D627="Férié",F627&lt;&gt;"Férié"),(AND(F627="Férié",D627&lt;&gt;"Férié"))),0.166666666666667,""))</f>
        <v/>
      </c>
      <c r="AF627" s="18"/>
      <c r="AG627" s="18"/>
    </row>
    <row r="628" customFormat="false" ht="15" hidden="false" customHeight="false" outlineLevel="0" collapsed="false">
      <c r="A628" s="6" t="str">
        <f aca="false">YEAR(Q628-WEEKDAY(Q628,2)+4)&amp;"-S"&amp;TEXT(WEEKNUM(Q628,21),"00")</f>
        <v>2026-S18</v>
      </c>
      <c r="B628" s="18" t="s">
        <v>71</v>
      </c>
      <c r="C628" s="19" t="n">
        <v>0.332638888888889</v>
      </c>
      <c r="D628" s="19" t="n">
        <v>0.333333333333333</v>
      </c>
      <c r="E628" s="19" t="n">
        <v>0.75</v>
      </c>
      <c r="F628" s="19" t="n">
        <v>0.75</v>
      </c>
      <c r="G628" s="20"/>
      <c r="H628" s="20"/>
      <c r="I628" s="8" t="str">
        <f aca="false">IF(IF(OR(C628="",D628="Congé",D628="OFF",D628="Congé spécial"),"",IF(D628&gt;F628,D628-C628,IF(C628-D628&lt;0,0,C628-D628)))&lt;0.00068287037037037,"",IF(OR(D628="Congé",D628="OFF",C628="",D628="Congé spécial"),"",IF(D628&gt;F628,D628-C628,IF(C628-D628&lt;0,0,C628-D628))))</f>
        <v/>
      </c>
      <c r="J628" s="20"/>
      <c r="K628" s="8" t="n">
        <f aca="false">IF(SUM(H628:J628)&lt;0.00068287037037037,0,SUM(H628:J628))</f>
        <v>0</v>
      </c>
      <c r="L628" s="8" t="n">
        <f aca="false">IF(OR(F628="Congé",F628="OFF",M628="Abs",F628="Congé sans solde",F628="Férié",F628="Congé spécial",D628="Congé spécial"),0,IF(F628-E628&lt;0,0,IF(F628-E628&lt;=0.00068287037037037,0,F628-E628)))</f>
        <v>0</v>
      </c>
      <c r="M628" s="6" t="n">
        <f aca="false">IF(AND(O628&lt;&gt;0,C628=""),"Abs",0)</f>
        <v>0</v>
      </c>
      <c r="N628" s="8" t="n">
        <f aca="false">IFERROR(IF(OR(D628="OFF",D628="Congé",M628="Abs",D628="Congé sans solde",D628="Férié"),"",IF(O628-K628-L628&gt;O628,O628,IF(O628-K628-L628&lt;0,"",O628-K628-L628))),"")</f>
        <v>0.375</v>
      </c>
      <c r="O628" s="8" t="n">
        <f aca="false">IF(AG628="2H Pause déjeuner",IF(F628-D628-0.0833333333333333&lt;0,F628-D628-0.0833333333333333+1,F628-D628-0.0833333333333333),IF(OR(AND(F628="OFF",D628="OFF"),AND(F628="Congé",D628="Congé"),AND(F628="Congé sans solde",D628="Congé sans solde"),AND(F628="Congé spécial",D628="Congé spécial"),AND(F628="Férié",D628="Férié"),AND(F628="OFF",D628="Congé"),AND(F628="OFF",D628="Congé sans solde"),AND(F628="OFF",D628="Congé spécial"),AND(F628="OFF",D628="Férié"),AND(F628="Congé",D628="OFF"),AND(F628="Congé",D628="Congé sans solde"),AND(F628="Congé",D628="Congé spécial"),AND(F628="Congé",D628="Férié"),AND(F628="Congé sans solde",D628="OFF"),AND(F628="Congé sans solde",D628="Congé"),AND(F628="Congé sans solde",D628="Congé spécial"),AND(F628="Congé sans solde",D628="Férié"),AND(F628="Congé spécial",D628="OFF"),AND(F628="Congé spécial",D628="Congé"),AND(F628="Congé spécial",D628="Congé sans solde"),AND(F628="Congé spécial",D628="Férié"),AND(F628="Férié",D628="OFF"),AND(F628="Férié",D628="Congé"),AND(F628="Férié",D628="Congé sans solde"),AND(F628="Férié",D628="Congé spécial")),0,IF(OR(F628="OFF",F628="Congé",F628="Congé spécial",F628="Congé sans solde",D628="OFF",D628="Congé",D628="Congé spécial",D628="Congé sans solde"),0.208333333333334,IF(AND(AG628="",F628-D628&lt;0),("24:00:00"-D628)+("00:00:00"+F628)-0.0416666666666667,IF(AND(OR(AG628="Allaitement",AG628="Sans déjeuner"),F628-D628&lt;0),("24:00:00"-D628)+("00:00:00"+F628),IF(AND(AG628="",F628-D628&gt;0.166666666666667),F628-D628-0.0416666666666667,IF(AND(OR(AG628="Allaitement",AG628="Sans déjeuner"),F628-D628&gt;0.166666666666667),F628-D628,F628-D628)))))))</f>
        <v>0.375</v>
      </c>
      <c r="P628" s="6" t="str">
        <f aca="false">IFERROR(VLOOKUP($B628,Agents!$A:$D,2,0),"-")</f>
        <v>Accessibilité</v>
      </c>
      <c r="Q628" s="21" t="n">
        <v>46140</v>
      </c>
      <c r="R628" s="8" t="n">
        <f aca="false">IF(M628="Abs",O628,0)</f>
        <v>0</v>
      </c>
      <c r="S628" s="8" t="n">
        <f aca="false">SUM(R628,L628,I628,J628,W628,H628)</f>
        <v>0</v>
      </c>
      <c r="T628" s="6" t="str">
        <f aca="false">"Sem - "&amp;WEEKNUM(Q628,21)</f>
        <v>Sem - 18</v>
      </c>
      <c r="U628" s="6" t="str">
        <f aca="false">CHOOSE(MONTH(Q628),"Janvier","Février","Mars","Avril","Mai","Juin","Juillet","Août","Septembre","Octobre","Novembre","Décembre")</f>
        <v>Avril</v>
      </c>
      <c r="V628" s="22" t="n">
        <f aca="false">YEAR(Q628)</f>
        <v>2026</v>
      </c>
      <c r="W628" s="20"/>
      <c r="X628" s="8" t="n">
        <f aca="false">IFERROR(IF(M628="Abs",0,IF(ROUND((D628-C628+E628-F628)*1440,0)&lt;=1,0,D628-C628+E628-F628)),0)</f>
        <v>0</v>
      </c>
      <c r="Y628" s="6" t="str">
        <f aca="false">IFERROR(VLOOKUP($B628,Agents!$A:$D,3,0),"-")</f>
        <v>OUBRAHIM Mohammed</v>
      </c>
      <c r="Z628" s="6" t="str">
        <f aca="false">IFERROR(VLOOKUP($B628,Agents!$A:$D,4,0),"-")</f>
        <v>Credit Mutuel</v>
      </c>
      <c r="AA628" s="18" t="s">
        <v>100</v>
      </c>
      <c r="AB628" s="8" t="str">
        <f aca="false">IF(AND(D628="Congé",F628="Congé"),0.333333333333333,IF(OR(AND(D628="Congé",F628&lt;&gt;"Congé"),(AND(F628="Congé",D628&lt;&gt;"Congé"))),0.166666666666667,""))</f>
        <v/>
      </c>
      <c r="AC628" s="8" t="str">
        <f aca="false">IF(AND(D628="Congé sans solde",F628="Congé sans solde"),0.333333333333333,IF(OR(AND(D628="Congé sans solde",F628&lt;&gt;"Congé sans solde"),(AND(F628="Congé sans solde",D628&lt;&gt;"Congé sans solde"))),0.166666666666667,""))</f>
        <v/>
      </c>
      <c r="AD628" s="8" t="str">
        <f aca="false">IF(AND(D628="Congé spécial",F628="Congé spécial"),0.333333333333333,IF(OR(AND(D628="Congé spécial",F628&lt;&gt;"Congé spécial"),AND(F628="Congé spécial",D628&lt;&gt;"Congé spécial")),0.166666666666667,""))</f>
        <v/>
      </c>
      <c r="AE628" s="8" t="str">
        <f aca="false">IF(AND(D628="Férié",F628="Férié"),0.333333333333333,IF(OR(AND(D628="Férié",F628&lt;&gt;"Férié"),(AND(F628="Férié",D628&lt;&gt;"Férié"))),0.166666666666667,""))</f>
        <v/>
      </c>
      <c r="AF628" s="18"/>
      <c r="AG628" s="18"/>
    </row>
    <row r="629" customFormat="false" ht="15" hidden="false" customHeight="false" outlineLevel="0" collapsed="false">
      <c r="A629" s="6" t="str">
        <f aca="false">YEAR(Q629-WEEKDAY(Q629,2)+4)&amp;"-S"&amp;TEXT(WEEKNUM(Q629,21),"00")</f>
        <v>2026-S18</v>
      </c>
      <c r="B629" s="18" t="s">
        <v>72</v>
      </c>
      <c r="C629" s="19" t="n">
        <v>0.332638888888889</v>
      </c>
      <c r="D629" s="19" t="n">
        <v>0.333333333333333</v>
      </c>
      <c r="E629" s="19" t="n">
        <v>0.75</v>
      </c>
      <c r="F629" s="19" t="n">
        <v>0.75</v>
      </c>
      <c r="G629" s="20"/>
      <c r="H629" s="20"/>
      <c r="I629" s="8" t="str">
        <f aca="false">IF(IF(OR(C629="",D629="Congé",D629="OFF",D629="Congé spécial"),"",IF(D629&gt;F629,D629-C629,IF(C629-D629&lt;0,0,C629-D629)))&lt;0.00068287037037037,"",IF(OR(D629="Congé",D629="OFF",C629="",D629="Congé spécial"),"",IF(D629&gt;F629,D629-C629,IF(C629-D629&lt;0,0,C629-D629))))</f>
        <v/>
      </c>
      <c r="J629" s="20"/>
      <c r="K629" s="8" t="n">
        <f aca="false">IF(SUM(H629:J629)&lt;0.00068287037037037,0,SUM(H629:J629))</f>
        <v>0</v>
      </c>
      <c r="L629" s="8" t="n">
        <f aca="false">IF(OR(F629="Congé",F629="OFF",M629="Abs",F629="Congé sans solde",F629="Férié",F629="Congé spécial",D629="Congé spécial"),0,IF(F629-E629&lt;0,0,IF(F629-E629&lt;=0.00068287037037037,0,F629-E629)))</f>
        <v>0</v>
      </c>
      <c r="M629" s="6" t="n">
        <f aca="false">IF(AND(O629&lt;&gt;0,C629=""),"Abs",0)</f>
        <v>0</v>
      </c>
      <c r="N629" s="8" t="n">
        <f aca="false">IFERROR(IF(OR(D629="OFF",D629="Congé",M629="Abs",D629="Congé sans solde",D629="Férié"),"",IF(O629-K629-L629&gt;O629,O629,IF(O629-K629-L629&lt;0,"",O629-K629-L629))),"")</f>
        <v>0.375</v>
      </c>
      <c r="O629" s="8" t="n">
        <f aca="false">IF(AG629="2H Pause déjeuner",IF(F629-D629-0.0833333333333333&lt;0,F629-D629-0.0833333333333333+1,F629-D629-0.0833333333333333),IF(OR(AND(F629="OFF",D629="OFF"),AND(F629="Congé",D629="Congé"),AND(F629="Congé sans solde",D629="Congé sans solde"),AND(F629="Congé spécial",D629="Congé spécial"),AND(F629="Férié",D629="Férié"),AND(F629="OFF",D629="Congé"),AND(F629="OFF",D629="Congé sans solde"),AND(F629="OFF",D629="Congé spécial"),AND(F629="OFF",D629="Férié"),AND(F629="Congé",D629="OFF"),AND(F629="Congé",D629="Congé sans solde"),AND(F629="Congé",D629="Congé spécial"),AND(F629="Congé",D629="Férié"),AND(F629="Congé sans solde",D629="OFF"),AND(F629="Congé sans solde",D629="Congé"),AND(F629="Congé sans solde",D629="Congé spécial"),AND(F629="Congé sans solde",D629="Férié"),AND(F629="Congé spécial",D629="OFF"),AND(F629="Congé spécial",D629="Congé"),AND(F629="Congé spécial",D629="Congé sans solde"),AND(F629="Congé spécial",D629="Férié"),AND(F629="Férié",D629="OFF"),AND(F629="Férié",D629="Congé"),AND(F629="Férié",D629="Congé sans solde"),AND(F629="Férié",D629="Congé spécial")),0,IF(OR(F629="OFF",F629="Congé",F629="Congé spécial",F629="Congé sans solde",D629="OFF",D629="Congé",D629="Congé spécial",D629="Congé sans solde"),0.208333333333334,IF(AND(AG629="",F629-D629&lt;0),("24:00:00"-D629)+("00:00:00"+F629)-0.0416666666666667,IF(AND(OR(AG629="Allaitement",AG629="Sans déjeuner"),F629-D629&lt;0),("24:00:00"-D629)+("00:00:00"+F629),IF(AND(AG629="",F629-D629&gt;0.166666666666667),F629-D629-0.0416666666666667,IF(AND(OR(AG629="Allaitement",AG629="Sans déjeuner"),F629-D629&gt;0.166666666666667),F629-D629,F629-D629)))))))</f>
        <v>0.375</v>
      </c>
      <c r="P629" s="6" t="str">
        <f aca="false">IFERROR(VLOOKUP($B629,Agents!$A:$D,2,0),"-")</f>
        <v>Accessibilité</v>
      </c>
      <c r="Q629" s="21" t="n">
        <v>46140</v>
      </c>
      <c r="R629" s="8" t="n">
        <f aca="false">IF(M629="Abs",O629,0)</f>
        <v>0</v>
      </c>
      <c r="S629" s="8" t="n">
        <f aca="false">SUM(R629,L629,I629,J629,W629,H629)</f>
        <v>0</v>
      </c>
      <c r="T629" s="6" t="str">
        <f aca="false">"Sem - "&amp;WEEKNUM(Q629,21)</f>
        <v>Sem - 18</v>
      </c>
      <c r="U629" s="6" t="str">
        <f aca="false">CHOOSE(MONTH(Q629),"Janvier","Février","Mars","Avril","Mai","Juin","Juillet","Août","Septembre","Octobre","Novembre","Décembre")</f>
        <v>Avril</v>
      </c>
      <c r="V629" s="22" t="n">
        <f aca="false">YEAR(Q629)</f>
        <v>2026</v>
      </c>
      <c r="W629" s="20"/>
      <c r="X629" s="8" t="n">
        <f aca="false">IFERROR(IF(M629="Abs",0,IF(ROUND((D629-C629+E629-F629)*1440,0)&lt;=1,0,D629-C629+E629-F629)),0)</f>
        <v>0</v>
      </c>
      <c r="Y629" s="6" t="str">
        <f aca="false">IFERROR(VLOOKUP($B629,Agents!$A:$D,3,0),"-")</f>
        <v>OUBRAHIM Mohammed</v>
      </c>
      <c r="Z629" s="6" t="str">
        <f aca="false">IFERROR(VLOOKUP($B629,Agents!$A:$D,4,0),"-")</f>
        <v>Credit Mutuel</v>
      </c>
      <c r="AA629" s="18" t="s">
        <v>100</v>
      </c>
      <c r="AB629" s="8" t="str">
        <f aca="false">IF(AND(D629="Congé",F629="Congé"),0.333333333333333,IF(OR(AND(D629="Congé",F629&lt;&gt;"Congé"),(AND(F629="Congé",D629&lt;&gt;"Congé"))),0.166666666666667,""))</f>
        <v/>
      </c>
      <c r="AC629" s="8" t="str">
        <f aca="false">IF(AND(D629="Congé sans solde",F629="Congé sans solde"),0.333333333333333,IF(OR(AND(D629="Congé sans solde",F629&lt;&gt;"Congé sans solde"),(AND(F629="Congé sans solde",D629&lt;&gt;"Congé sans solde"))),0.166666666666667,""))</f>
        <v/>
      </c>
      <c r="AD629" s="8" t="str">
        <f aca="false">IF(AND(D629="Congé spécial",F629="Congé spécial"),0.333333333333333,IF(OR(AND(D629="Congé spécial",F629&lt;&gt;"Congé spécial"),AND(F629="Congé spécial",D629&lt;&gt;"Congé spécial")),0.166666666666667,""))</f>
        <v/>
      </c>
      <c r="AE629" s="8" t="str">
        <f aca="false">IF(AND(D629="Férié",F629="Férié"),0.333333333333333,IF(OR(AND(D629="Férié",F629&lt;&gt;"Férié"),(AND(F629="Férié",D629&lt;&gt;"Férié"))),0.166666666666667,""))</f>
        <v/>
      </c>
      <c r="AF629" s="18"/>
      <c r="AG629" s="18"/>
    </row>
    <row r="630" customFormat="false" ht="15" hidden="false" customHeight="false" outlineLevel="0" collapsed="false">
      <c r="A630" s="6" t="str">
        <f aca="false">YEAR(Q630-WEEKDAY(Q630,2)+4)&amp;"-S"&amp;TEXT(WEEKNUM(Q630,21),"00")</f>
        <v>2026-S18</v>
      </c>
      <c r="B630" s="18" t="s">
        <v>73</v>
      </c>
      <c r="C630" s="19" t="n">
        <v>0.333333333333333</v>
      </c>
      <c r="D630" s="19" t="n">
        <v>0.333333333333333</v>
      </c>
      <c r="E630" s="19" t="n">
        <v>0.75</v>
      </c>
      <c r="F630" s="19" t="n">
        <v>0.75</v>
      </c>
      <c r="G630" s="20"/>
      <c r="H630" s="20"/>
      <c r="I630" s="8" t="str">
        <f aca="false">IF(IF(OR(C630="",D630="Congé",D630="OFF",D630="Congé spécial"),"",IF(D630&gt;F630,D630-C630,IF(C630-D630&lt;0,0,C630-D630)))&lt;0.00068287037037037,"",IF(OR(D630="Congé",D630="OFF",C630="",D630="Congé spécial"),"",IF(D630&gt;F630,D630-C630,IF(C630-D630&lt;0,0,C630-D630))))</f>
        <v/>
      </c>
      <c r="J630" s="20"/>
      <c r="K630" s="8" t="n">
        <f aca="false">IF(SUM(H630:J630)&lt;0.00068287037037037,0,SUM(H630:J630))</f>
        <v>0</v>
      </c>
      <c r="L630" s="8" t="n">
        <f aca="false">IF(OR(F630="Congé",F630="OFF",M630="Abs",F630="Congé sans solde",F630="Férié",F630="Congé spécial",D630="Congé spécial"),0,IF(F630-E630&lt;0,0,IF(F630-E630&lt;=0.00068287037037037,0,F630-E630)))</f>
        <v>0</v>
      </c>
      <c r="M630" s="6" t="n">
        <f aca="false">IF(AND(O630&lt;&gt;0,C630=""),"Abs",0)</f>
        <v>0</v>
      </c>
      <c r="N630" s="8" t="n">
        <f aca="false">IFERROR(IF(OR(D630="OFF",D630="Congé",M630="Abs",D630="Congé sans solde",D630="Férié"),"",IF(O630-K630-L630&gt;O630,O630,IF(O630-K630-L630&lt;0,"",O630-K630-L630))),"")</f>
        <v>0.375</v>
      </c>
      <c r="O630" s="8" t="n">
        <f aca="false">IF(AG630="2H Pause déjeuner",IF(F630-D630-0.0833333333333333&lt;0,F630-D630-0.0833333333333333+1,F630-D630-0.0833333333333333),IF(OR(AND(F630="OFF",D630="OFF"),AND(F630="Congé",D630="Congé"),AND(F630="Congé sans solde",D630="Congé sans solde"),AND(F630="Congé spécial",D630="Congé spécial"),AND(F630="Férié",D630="Férié"),AND(F630="OFF",D630="Congé"),AND(F630="OFF",D630="Congé sans solde"),AND(F630="OFF",D630="Congé spécial"),AND(F630="OFF",D630="Férié"),AND(F630="Congé",D630="OFF"),AND(F630="Congé",D630="Congé sans solde"),AND(F630="Congé",D630="Congé spécial"),AND(F630="Congé",D630="Férié"),AND(F630="Congé sans solde",D630="OFF"),AND(F630="Congé sans solde",D630="Congé"),AND(F630="Congé sans solde",D630="Congé spécial"),AND(F630="Congé sans solde",D630="Férié"),AND(F630="Congé spécial",D630="OFF"),AND(F630="Congé spécial",D630="Congé"),AND(F630="Congé spécial",D630="Congé sans solde"),AND(F630="Congé spécial",D630="Férié"),AND(F630="Férié",D630="OFF"),AND(F630="Férié",D630="Congé"),AND(F630="Férié",D630="Congé sans solde"),AND(F630="Férié",D630="Congé spécial")),0,IF(OR(F630="OFF",F630="Congé",F630="Congé spécial",F630="Congé sans solde",D630="OFF",D630="Congé",D630="Congé spécial",D630="Congé sans solde"),0.208333333333334,IF(AND(AG630="",F630-D630&lt;0),("24:00:00"-D630)+("00:00:00"+F630)-0.0416666666666667,IF(AND(OR(AG630="Allaitement",AG630="Sans déjeuner"),F630-D630&lt;0),("24:00:00"-D630)+("00:00:00"+F630),IF(AND(AG630="",F630-D630&gt;0.166666666666667),F630-D630-0.0416666666666667,IF(AND(OR(AG630="Allaitement",AG630="Sans déjeuner"),F630-D630&gt;0.166666666666667),F630-D630,F630-D630)))))))</f>
        <v>0.375</v>
      </c>
      <c r="P630" s="6" t="str">
        <f aca="false">IFERROR(VLOOKUP($B630,Agents!$A:$D,2,0),"-")</f>
        <v>Accessibilité</v>
      </c>
      <c r="Q630" s="21" t="n">
        <v>46140</v>
      </c>
      <c r="R630" s="8" t="n">
        <f aca="false">IF(M630="Abs",O630,0)</f>
        <v>0</v>
      </c>
      <c r="S630" s="8" t="n">
        <f aca="false">SUM(R630,L630,I630,J630,W630,H630)</f>
        <v>0</v>
      </c>
      <c r="T630" s="6" t="str">
        <f aca="false">"Sem - "&amp;WEEKNUM(Q630,21)</f>
        <v>Sem - 18</v>
      </c>
      <c r="U630" s="6" t="str">
        <f aca="false">CHOOSE(MONTH(Q630),"Janvier","Février","Mars","Avril","Mai","Juin","Juillet","Août","Septembre","Octobre","Novembre","Décembre")</f>
        <v>Avril</v>
      </c>
      <c r="V630" s="22" t="n">
        <f aca="false">YEAR(Q630)</f>
        <v>2026</v>
      </c>
      <c r="W630" s="20"/>
      <c r="X630" s="8" t="n">
        <f aca="false">IFERROR(IF(M630="Abs",0,IF(ROUND((D630-C630+E630-F630)*1440,0)&lt;=1,0,D630-C630+E630-F630)),0)</f>
        <v>0</v>
      </c>
      <c r="Y630" s="6" t="str">
        <f aca="false">IFERROR(VLOOKUP($B630,Agents!$A:$D,3,0),"-")</f>
        <v>OUBRAHIM Mohammed</v>
      </c>
      <c r="Z630" s="6" t="str">
        <f aca="false">IFERROR(VLOOKUP($B630,Agents!$A:$D,4,0),"-")</f>
        <v>Credit Mutuel</v>
      </c>
      <c r="AA630" s="18" t="s">
        <v>100</v>
      </c>
      <c r="AB630" s="8" t="str">
        <f aca="false">IF(AND(D630="Congé",F630="Congé"),0.333333333333333,IF(OR(AND(D630="Congé",F630&lt;&gt;"Congé"),(AND(F630="Congé",D630&lt;&gt;"Congé"))),0.166666666666667,""))</f>
        <v/>
      </c>
      <c r="AC630" s="8" t="str">
        <f aca="false">IF(AND(D630="Congé sans solde",F630="Congé sans solde"),0.333333333333333,IF(OR(AND(D630="Congé sans solde",F630&lt;&gt;"Congé sans solde"),(AND(F630="Congé sans solde",D630&lt;&gt;"Congé sans solde"))),0.166666666666667,""))</f>
        <v/>
      </c>
      <c r="AD630" s="8" t="str">
        <f aca="false">IF(AND(D630="Congé spécial",F630="Congé spécial"),0.333333333333333,IF(OR(AND(D630="Congé spécial",F630&lt;&gt;"Congé spécial"),AND(F630="Congé spécial",D630&lt;&gt;"Congé spécial")),0.166666666666667,""))</f>
        <v/>
      </c>
      <c r="AE630" s="8" t="str">
        <f aca="false">IF(AND(D630="Férié",F630="Férié"),0.333333333333333,IF(OR(AND(D630="Férié",F630&lt;&gt;"Férié"),(AND(F630="Férié",D630&lt;&gt;"Férié"))),0.166666666666667,""))</f>
        <v/>
      </c>
      <c r="AF630" s="18"/>
      <c r="AG630" s="18"/>
    </row>
    <row r="631" customFormat="false" ht="15" hidden="false" customHeight="false" outlineLevel="0" collapsed="false">
      <c r="A631" s="6" t="str">
        <f aca="false">YEAR(Q631-WEEKDAY(Q631,2)+4)&amp;"-S"&amp;TEXT(WEEKNUM(Q631,21),"00")</f>
        <v>2026-S18</v>
      </c>
      <c r="B631" s="18" t="s">
        <v>71</v>
      </c>
      <c r="C631" s="19" t="n">
        <v>0.332638888888889</v>
      </c>
      <c r="D631" s="19" t="n">
        <v>0.333333333333333</v>
      </c>
      <c r="E631" s="19" t="n">
        <v>0.75</v>
      </c>
      <c r="F631" s="19" t="n">
        <v>0.75</v>
      </c>
      <c r="G631" s="20"/>
      <c r="H631" s="20"/>
      <c r="I631" s="8" t="str">
        <f aca="false">IF(IF(OR(C631="",D631="Congé",D631="OFF",D631="Congé spécial"),"",IF(D631&gt;F631,D631-C631,IF(C631-D631&lt;0,0,C631-D631)))&lt;0.00068287037037037,"",IF(OR(D631="Congé",D631="OFF",C631="",D631="Congé spécial"),"",IF(D631&gt;F631,D631-C631,IF(C631-D631&lt;0,0,C631-D631))))</f>
        <v/>
      </c>
      <c r="J631" s="20"/>
      <c r="K631" s="8" t="n">
        <f aca="false">IF(SUM(H631:J631)&lt;0.00068287037037037,0,SUM(H631:J631))</f>
        <v>0</v>
      </c>
      <c r="L631" s="8" t="n">
        <f aca="false">IF(OR(F631="Congé",F631="OFF",M631="Abs",F631="Congé sans solde",F631="Férié",F631="Congé spécial",D631="Congé spécial"),0,IF(F631-E631&lt;0,0,IF(F631-E631&lt;=0.00068287037037037,0,F631-E631)))</f>
        <v>0</v>
      </c>
      <c r="M631" s="6" t="n">
        <f aca="false">IF(AND(O631&lt;&gt;0,C631=""),"Abs",0)</f>
        <v>0</v>
      </c>
      <c r="N631" s="8" t="n">
        <f aca="false">IFERROR(IF(OR(D631="OFF",D631="Congé",M631="Abs",D631="Congé sans solde",D631="Férié"),"",IF(O631-K631-L631&gt;O631,O631,IF(O631-K631-L631&lt;0,"",O631-K631-L631))),"")</f>
        <v>0.375</v>
      </c>
      <c r="O631" s="8" t="n">
        <f aca="false">IF(AG631="2H Pause déjeuner",IF(F631-D631-0.0833333333333333&lt;0,F631-D631-0.0833333333333333+1,F631-D631-0.0833333333333333),IF(OR(AND(F631="OFF",D631="OFF"),AND(F631="Congé",D631="Congé"),AND(F631="Congé sans solde",D631="Congé sans solde"),AND(F631="Congé spécial",D631="Congé spécial"),AND(F631="Férié",D631="Férié"),AND(F631="OFF",D631="Congé"),AND(F631="OFF",D631="Congé sans solde"),AND(F631="OFF",D631="Congé spécial"),AND(F631="OFF",D631="Férié"),AND(F631="Congé",D631="OFF"),AND(F631="Congé",D631="Congé sans solde"),AND(F631="Congé",D631="Congé spécial"),AND(F631="Congé",D631="Férié"),AND(F631="Congé sans solde",D631="OFF"),AND(F631="Congé sans solde",D631="Congé"),AND(F631="Congé sans solde",D631="Congé spécial"),AND(F631="Congé sans solde",D631="Férié"),AND(F631="Congé spécial",D631="OFF"),AND(F631="Congé spécial",D631="Congé"),AND(F631="Congé spécial",D631="Congé sans solde"),AND(F631="Congé spécial",D631="Férié"),AND(F631="Férié",D631="OFF"),AND(F631="Férié",D631="Congé"),AND(F631="Férié",D631="Congé sans solde"),AND(F631="Férié",D631="Congé spécial")),0,IF(OR(F631="OFF",F631="Congé",F631="Congé spécial",F631="Congé sans solde",D631="OFF",D631="Congé",D631="Congé spécial",D631="Congé sans solde"),0.208333333333334,IF(AND(AG631="",F631-D631&lt;0),("24:00:00"-D631)+("00:00:00"+F631)-0.0416666666666667,IF(AND(OR(AG631="Allaitement",AG631="Sans déjeuner"),F631-D631&lt;0),("24:00:00"-D631)+("00:00:00"+F631),IF(AND(AG631="",F631-D631&gt;0.166666666666667),F631-D631-0.0416666666666667,IF(AND(OR(AG631="Allaitement",AG631="Sans déjeuner"),F631-D631&gt;0.166666666666667),F631-D631,F631-D631)))))))</f>
        <v>0.375</v>
      </c>
      <c r="P631" s="6" t="str">
        <f aca="false">IFERROR(VLOOKUP($B631,Agents!$A:$D,2,0),"-")</f>
        <v>Accessibilité</v>
      </c>
      <c r="Q631" s="21" t="n">
        <v>46141</v>
      </c>
      <c r="R631" s="8" t="n">
        <f aca="false">IF(M631="Abs",O631,0)</f>
        <v>0</v>
      </c>
      <c r="S631" s="8" t="n">
        <f aca="false">SUM(R631,L631,I631,J631,W631,H631)</f>
        <v>0</v>
      </c>
      <c r="T631" s="6" t="str">
        <f aca="false">"Sem - "&amp;WEEKNUM(Q631,21)</f>
        <v>Sem - 18</v>
      </c>
      <c r="U631" s="6" t="str">
        <f aca="false">CHOOSE(MONTH(Q631),"Janvier","Février","Mars","Avril","Mai","Juin","Juillet","Août","Septembre","Octobre","Novembre","Décembre")</f>
        <v>Avril</v>
      </c>
      <c r="V631" s="22" t="n">
        <f aca="false">YEAR(Q631)</f>
        <v>2026</v>
      </c>
      <c r="W631" s="20"/>
      <c r="X631" s="8" t="n">
        <f aca="false">IFERROR(IF(M631="Abs",0,IF(ROUND((D631-C631+E631-F631)*1440,0)&lt;=1,0,D631-C631+E631-F631)),0)</f>
        <v>0</v>
      </c>
      <c r="Y631" s="6" t="str">
        <f aca="false">IFERROR(VLOOKUP($B631,Agents!$A:$D,3,0),"-")</f>
        <v>OUBRAHIM Mohammed</v>
      </c>
      <c r="Z631" s="6" t="str">
        <f aca="false">IFERROR(VLOOKUP($B631,Agents!$A:$D,4,0),"-")</f>
        <v>Credit Mutuel</v>
      </c>
      <c r="AA631" s="18" t="s">
        <v>100</v>
      </c>
      <c r="AB631" s="8" t="str">
        <f aca="false">IF(AND(D631="Congé",F631="Congé"),0.333333333333333,IF(OR(AND(D631="Congé",F631&lt;&gt;"Congé"),(AND(F631="Congé",D631&lt;&gt;"Congé"))),0.166666666666667,""))</f>
        <v/>
      </c>
      <c r="AC631" s="8" t="str">
        <f aca="false">IF(AND(D631="Congé sans solde",F631="Congé sans solde"),0.333333333333333,IF(OR(AND(D631="Congé sans solde",F631&lt;&gt;"Congé sans solde"),(AND(F631="Congé sans solde",D631&lt;&gt;"Congé sans solde"))),0.166666666666667,""))</f>
        <v/>
      </c>
      <c r="AD631" s="8" t="str">
        <f aca="false">IF(AND(D631="Congé spécial",F631="Congé spécial"),0.333333333333333,IF(OR(AND(D631="Congé spécial",F631&lt;&gt;"Congé spécial"),AND(F631="Congé spécial",D631&lt;&gt;"Congé spécial")),0.166666666666667,""))</f>
        <v/>
      </c>
      <c r="AE631" s="8" t="str">
        <f aca="false">IF(AND(D631="Férié",F631="Férié"),0.333333333333333,IF(OR(AND(D631="Férié",F631&lt;&gt;"Férié"),(AND(F631="Férié",D631&lt;&gt;"Férié"))),0.166666666666667,""))</f>
        <v/>
      </c>
      <c r="AF631" s="18"/>
      <c r="AG631" s="18"/>
    </row>
    <row r="632" customFormat="false" ht="15" hidden="false" customHeight="false" outlineLevel="0" collapsed="false">
      <c r="A632" s="6" t="str">
        <f aca="false">YEAR(Q632-WEEKDAY(Q632,2)+4)&amp;"-S"&amp;TEXT(WEEKNUM(Q632,21),"00")</f>
        <v>2026-S18</v>
      </c>
      <c r="B632" s="18" t="s">
        <v>72</v>
      </c>
      <c r="C632" s="19" t="n">
        <v>0.333333333333333</v>
      </c>
      <c r="D632" s="19" t="n">
        <v>0.333333333333333</v>
      </c>
      <c r="E632" s="19" t="n">
        <v>0.75</v>
      </c>
      <c r="F632" s="19" t="n">
        <v>0.75</v>
      </c>
      <c r="G632" s="20"/>
      <c r="H632" s="20"/>
      <c r="I632" s="8" t="str">
        <f aca="false">IF(IF(OR(C632="",D632="Congé",D632="OFF",D632="Congé spécial"),"",IF(D632&gt;F632,D632-C632,IF(C632-D632&lt;0,0,C632-D632)))&lt;0.00068287037037037,"",IF(OR(D632="Congé",D632="OFF",C632="",D632="Congé spécial"),"",IF(D632&gt;F632,D632-C632,IF(C632-D632&lt;0,0,C632-D632))))</f>
        <v/>
      </c>
      <c r="J632" s="20"/>
      <c r="K632" s="8" t="n">
        <f aca="false">IF(SUM(H632:J632)&lt;0.00068287037037037,0,SUM(H632:J632))</f>
        <v>0</v>
      </c>
      <c r="L632" s="8" t="n">
        <f aca="false">IF(OR(F632="Congé",F632="OFF",M632="Abs",F632="Congé sans solde",F632="Férié",F632="Congé spécial",D632="Congé spécial"),0,IF(F632-E632&lt;0,0,IF(F632-E632&lt;=0.00068287037037037,0,F632-E632)))</f>
        <v>0</v>
      </c>
      <c r="M632" s="6" t="n">
        <f aca="false">IF(AND(O632&lt;&gt;0,C632=""),"Abs",0)</f>
        <v>0</v>
      </c>
      <c r="N632" s="8" t="n">
        <f aca="false">IFERROR(IF(OR(D632="OFF",D632="Congé",M632="Abs",D632="Congé sans solde",D632="Férié"),"",IF(O632-K632-L632&gt;O632,O632,IF(O632-K632-L632&lt;0,"",O632-K632-L632))),"")</f>
        <v>0.375</v>
      </c>
      <c r="O632" s="8" t="n">
        <f aca="false">IF(AG632="2H Pause déjeuner",IF(F632-D632-0.0833333333333333&lt;0,F632-D632-0.0833333333333333+1,F632-D632-0.0833333333333333),IF(OR(AND(F632="OFF",D632="OFF"),AND(F632="Congé",D632="Congé"),AND(F632="Congé sans solde",D632="Congé sans solde"),AND(F632="Congé spécial",D632="Congé spécial"),AND(F632="Férié",D632="Férié"),AND(F632="OFF",D632="Congé"),AND(F632="OFF",D632="Congé sans solde"),AND(F632="OFF",D632="Congé spécial"),AND(F632="OFF",D632="Férié"),AND(F632="Congé",D632="OFF"),AND(F632="Congé",D632="Congé sans solde"),AND(F632="Congé",D632="Congé spécial"),AND(F632="Congé",D632="Férié"),AND(F632="Congé sans solde",D632="OFF"),AND(F632="Congé sans solde",D632="Congé"),AND(F632="Congé sans solde",D632="Congé spécial"),AND(F632="Congé sans solde",D632="Férié"),AND(F632="Congé spécial",D632="OFF"),AND(F632="Congé spécial",D632="Congé"),AND(F632="Congé spécial",D632="Congé sans solde"),AND(F632="Congé spécial",D632="Férié"),AND(F632="Férié",D632="OFF"),AND(F632="Férié",D632="Congé"),AND(F632="Férié",D632="Congé sans solde"),AND(F632="Férié",D632="Congé spécial")),0,IF(OR(F632="OFF",F632="Congé",F632="Congé spécial",F632="Congé sans solde",D632="OFF",D632="Congé",D632="Congé spécial",D632="Congé sans solde"),0.208333333333334,IF(AND(AG632="",F632-D632&lt;0),("24:00:00"-D632)+("00:00:00"+F632)-0.0416666666666667,IF(AND(OR(AG632="Allaitement",AG632="Sans déjeuner"),F632-D632&lt;0),("24:00:00"-D632)+("00:00:00"+F632),IF(AND(AG632="",F632-D632&gt;0.166666666666667),F632-D632-0.0416666666666667,IF(AND(OR(AG632="Allaitement",AG632="Sans déjeuner"),F632-D632&gt;0.166666666666667),F632-D632,F632-D632)))))))</f>
        <v>0.375</v>
      </c>
      <c r="P632" s="6" t="str">
        <f aca="false">IFERROR(VLOOKUP($B632,Agents!$A:$D,2,0),"-")</f>
        <v>Accessibilité</v>
      </c>
      <c r="Q632" s="21" t="n">
        <v>46141</v>
      </c>
      <c r="R632" s="8" t="n">
        <f aca="false">IF(M632="Abs",O632,0)</f>
        <v>0</v>
      </c>
      <c r="S632" s="8" t="n">
        <f aca="false">SUM(R632,L632,I632,J632,W632,H632)</f>
        <v>0</v>
      </c>
      <c r="T632" s="6" t="str">
        <f aca="false">"Sem - "&amp;WEEKNUM(Q632,21)</f>
        <v>Sem - 18</v>
      </c>
      <c r="U632" s="6" t="str">
        <f aca="false">CHOOSE(MONTH(Q632),"Janvier","Février","Mars","Avril","Mai","Juin","Juillet","Août","Septembre","Octobre","Novembre","Décembre")</f>
        <v>Avril</v>
      </c>
      <c r="V632" s="22" t="n">
        <f aca="false">YEAR(Q632)</f>
        <v>2026</v>
      </c>
      <c r="W632" s="20"/>
      <c r="X632" s="8" t="n">
        <f aca="false">IFERROR(IF(M632="Abs",0,IF(ROUND((D632-C632+E632-F632)*1440,0)&lt;=1,0,D632-C632+E632-F632)),0)</f>
        <v>0</v>
      </c>
      <c r="Y632" s="6" t="str">
        <f aca="false">IFERROR(VLOOKUP($B632,Agents!$A:$D,3,0),"-")</f>
        <v>OUBRAHIM Mohammed</v>
      </c>
      <c r="Z632" s="6" t="str">
        <f aca="false">IFERROR(VLOOKUP($B632,Agents!$A:$D,4,0),"-")</f>
        <v>Credit Mutuel</v>
      </c>
      <c r="AA632" s="18" t="s">
        <v>100</v>
      </c>
      <c r="AB632" s="8" t="str">
        <f aca="false">IF(AND(D632="Congé",F632="Congé"),0.333333333333333,IF(OR(AND(D632="Congé",F632&lt;&gt;"Congé"),(AND(F632="Congé",D632&lt;&gt;"Congé"))),0.166666666666667,""))</f>
        <v/>
      </c>
      <c r="AC632" s="8" t="str">
        <f aca="false">IF(AND(D632="Congé sans solde",F632="Congé sans solde"),0.333333333333333,IF(OR(AND(D632="Congé sans solde",F632&lt;&gt;"Congé sans solde"),(AND(F632="Congé sans solde",D632&lt;&gt;"Congé sans solde"))),0.166666666666667,""))</f>
        <v/>
      </c>
      <c r="AD632" s="8" t="str">
        <f aca="false">IF(AND(D632="Congé spécial",F632="Congé spécial"),0.333333333333333,IF(OR(AND(D632="Congé spécial",F632&lt;&gt;"Congé spécial"),AND(F632="Congé spécial",D632&lt;&gt;"Congé spécial")),0.166666666666667,""))</f>
        <v/>
      </c>
      <c r="AE632" s="8" t="str">
        <f aca="false">IF(AND(D632="Férié",F632="Férié"),0.333333333333333,IF(OR(AND(D632="Férié",F632&lt;&gt;"Férié"),(AND(F632="Férié",D632&lt;&gt;"Férié"))),0.166666666666667,""))</f>
        <v/>
      </c>
      <c r="AF632" s="18"/>
      <c r="AG632" s="18"/>
    </row>
    <row r="633" customFormat="false" ht="15" hidden="false" customHeight="false" outlineLevel="0" collapsed="false">
      <c r="A633" s="6" t="str">
        <f aca="false">YEAR(Q633-WEEKDAY(Q633,2)+4)&amp;"-S"&amp;TEXT(WEEKNUM(Q633,21),"00")</f>
        <v>2026-S18</v>
      </c>
      <c r="B633" s="18" t="s">
        <v>73</v>
      </c>
      <c r="C633" s="19" t="n">
        <v>0.332638888888889</v>
      </c>
      <c r="D633" s="19" t="n">
        <v>0.333333333333333</v>
      </c>
      <c r="E633" s="19" t="n">
        <v>0.75</v>
      </c>
      <c r="F633" s="19" t="n">
        <v>0.75</v>
      </c>
      <c r="G633" s="20"/>
      <c r="H633" s="20"/>
      <c r="I633" s="8" t="str">
        <f aca="false">IF(IF(OR(C633="",D633="Congé",D633="OFF",D633="Congé spécial"),"",IF(D633&gt;F633,D633-C633,IF(C633-D633&lt;0,0,C633-D633)))&lt;0.00068287037037037,"",IF(OR(D633="Congé",D633="OFF",C633="",D633="Congé spécial"),"",IF(D633&gt;F633,D633-C633,IF(C633-D633&lt;0,0,C633-D633))))</f>
        <v/>
      </c>
      <c r="J633" s="20"/>
      <c r="K633" s="8" t="n">
        <f aca="false">IF(SUM(H633:J633)&lt;0.00068287037037037,0,SUM(H633:J633))</f>
        <v>0</v>
      </c>
      <c r="L633" s="8" t="n">
        <f aca="false">IF(OR(F633="Congé",F633="OFF",M633="Abs",F633="Congé sans solde",F633="Férié",F633="Congé spécial",D633="Congé spécial"),0,IF(F633-E633&lt;0,0,IF(F633-E633&lt;=0.00068287037037037,0,F633-E633)))</f>
        <v>0</v>
      </c>
      <c r="M633" s="6" t="n">
        <f aca="false">IF(AND(O633&lt;&gt;0,C633=""),"Abs",0)</f>
        <v>0</v>
      </c>
      <c r="N633" s="8" t="n">
        <f aca="false">IFERROR(IF(OR(D633="OFF",D633="Congé",M633="Abs",D633="Congé sans solde",D633="Férié"),"",IF(O633-K633-L633&gt;O633,O633,IF(O633-K633-L633&lt;0,"",O633-K633-L633))),"")</f>
        <v>0.375</v>
      </c>
      <c r="O633" s="8" t="n">
        <f aca="false">IF(AG633="2H Pause déjeuner",IF(F633-D633-0.0833333333333333&lt;0,F633-D633-0.0833333333333333+1,F633-D633-0.0833333333333333),IF(OR(AND(F633="OFF",D633="OFF"),AND(F633="Congé",D633="Congé"),AND(F633="Congé sans solde",D633="Congé sans solde"),AND(F633="Congé spécial",D633="Congé spécial"),AND(F633="Férié",D633="Férié"),AND(F633="OFF",D633="Congé"),AND(F633="OFF",D633="Congé sans solde"),AND(F633="OFF",D633="Congé spécial"),AND(F633="OFF",D633="Férié"),AND(F633="Congé",D633="OFF"),AND(F633="Congé",D633="Congé sans solde"),AND(F633="Congé",D633="Congé spécial"),AND(F633="Congé",D633="Férié"),AND(F633="Congé sans solde",D633="OFF"),AND(F633="Congé sans solde",D633="Congé"),AND(F633="Congé sans solde",D633="Congé spécial"),AND(F633="Congé sans solde",D633="Férié"),AND(F633="Congé spécial",D633="OFF"),AND(F633="Congé spécial",D633="Congé"),AND(F633="Congé spécial",D633="Congé sans solde"),AND(F633="Congé spécial",D633="Férié"),AND(F633="Férié",D633="OFF"),AND(F633="Férié",D633="Congé"),AND(F633="Férié",D633="Congé sans solde"),AND(F633="Férié",D633="Congé spécial")),0,IF(OR(F633="OFF",F633="Congé",F633="Congé spécial",F633="Congé sans solde",D633="OFF",D633="Congé",D633="Congé spécial",D633="Congé sans solde"),0.208333333333334,IF(AND(AG633="",F633-D633&lt;0),("24:00:00"-D633)+("00:00:00"+F633)-0.0416666666666667,IF(AND(OR(AG633="Allaitement",AG633="Sans déjeuner"),F633-D633&lt;0),("24:00:00"-D633)+("00:00:00"+F633),IF(AND(AG633="",F633-D633&gt;0.166666666666667),F633-D633-0.0416666666666667,IF(AND(OR(AG633="Allaitement",AG633="Sans déjeuner"),F633-D633&gt;0.166666666666667),F633-D633,F633-D633)))))))</f>
        <v>0.375</v>
      </c>
      <c r="P633" s="6" t="str">
        <f aca="false">IFERROR(VLOOKUP($B633,Agents!$A:$D,2,0),"-")</f>
        <v>Accessibilité</v>
      </c>
      <c r="Q633" s="21" t="n">
        <v>46141</v>
      </c>
      <c r="R633" s="8" t="n">
        <f aca="false">IF(M633="Abs",O633,0)</f>
        <v>0</v>
      </c>
      <c r="S633" s="8" t="n">
        <f aca="false">SUM(R633,L633,I633,J633,W633,H633)</f>
        <v>0</v>
      </c>
      <c r="T633" s="6" t="str">
        <f aca="false">"Sem - "&amp;WEEKNUM(Q633,21)</f>
        <v>Sem - 18</v>
      </c>
      <c r="U633" s="6" t="str">
        <f aca="false">CHOOSE(MONTH(Q633),"Janvier","Février","Mars","Avril","Mai","Juin","Juillet","Août","Septembre","Octobre","Novembre","Décembre")</f>
        <v>Avril</v>
      </c>
      <c r="V633" s="22" t="n">
        <f aca="false">YEAR(Q633)</f>
        <v>2026</v>
      </c>
      <c r="W633" s="20"/>
      <c r="X633" s="8" t="n">
        <f aca="false">IFERROR(IF(M633="Abs",0,IF(ROUND((D633-C633+E633-F633)*1440,0)&lt;=1,0,D633-C633+E633-F633)),0)</f>
        <v>0</v>
      </c>
      <c r="Y633" s="6" t="str">
        <f aca="false">IFERROR(VLOOKUP($B633,Agents!$A:$D,3,0),"-")</f>
        <v>OUBRAHIM Mohammed</v>
      </c>
      <c r="Z633" s="6" t="str">
        <f aca="false">IFERROR(VLOOKUP($B633,Agents!$A:$D,4,0),"-")</f>
        <v>Credit Mutuel</v>
      </c>
      <c r="AA633" s="18" t="s">
        <v>100</v>
      </c>
      <c r="AB633" s="8" t="str">
        <f aca="false">IF(AND(D633="Congé",F633="Congé"),0.333333333333333,IF(OR(AND(D633="Congé",F633&lt;&gt;"Congé"),(AND(F633="Congé",D633&lt;&gt;"Congé"))),0.166666666666667,""))</f>
        <v/>
      </c>
      <c r="AC633" s="8" t="str">
        <f aca="false">IF(AND(D633="Congé sans solde",F633="Congé sans solde"),0.333333333333333,IF(OR(AND(D633="Congé sans solde",F633&lt;&gt;"Congé sans solde"),(AND(F633="Congé sans solde",D633&lt;&gt;"Congé sans solde"))),0.166666666666667,""))</f>
        <v/>
      </c>
      <c r="AD633" s="8" t="str">
        <f aca="false">IF(AND(D633="Congé spécial",F633="Congé spécial"),0.333333333333333,IF(OR(AND(D633="Congé spécial",F633&lt;&gt;"Congé spécial"),AND(F633="Congé spécial",D633&lt;&gt;"Congé spécial")),0.166666666666667,""))</f>
        <v/>
      </c>
      <c r="AE633" s="8" t="str">
        <f aca="false">IF(AND(D633="Férié",F633="Férié"),0.333333333333333,IF(OR(AND(D633="Férié",F633&lt;&gt;"Férié"),(AND(F633="Férié",D633&lt;&gt;"Férié"))),0.166666666666667,""))</f>
        <v/>
      </c>
      <c r="AF633" s="18"/>
      <c r="AG633" s="18"/>
    </row>
    <row r="634" customFormat="false" ht="15" hidden="false" customHeight="false" outlineLevel="0" collapsed="false">
      <c r="A634" s="6" t="str">
        <f aca="false">YEAR(Q634-WEEKDAY(Q634,2)+4)&amp;"-S"&amp;TEXT(WEEKNUM(Q634,21),"00")</f>
        <v>2026-S18</v>
      </c>
      <c r="B634" s="18" t="s">
        <v>71</v>
      </c>
      <c r="C634" s="19" t="n">
        <v>0.331944444444444</v>
      </c>
      <c r="D634" s="19" t="n">
        <v>0.333333333333333</v>
      </c>
      <c r="E634" s="19" t="n">
        <v>0.75</v>
      </c>
      <c r="F634" s="19" t="n">
        <v>0.75</v>
      </c>
      <c r="G634" s="20"/>
      <c r="H634" s="20"/>
      <c r="I634" s="8" t="str">
        <f aca="false">IF(IF(OR(C634="",D634="Congé",D634="OFF",D634="Congé spécial"),"",IF(D634&gt;F634,D634-C634,IF(C634-D634&lt;0,0,C634-D634)))&lt;0.00068287037037037,"",IF(OR(D634="Congé",D634="OFF",C634="",D634="Congé spécial"),"",IF(D634&gt;F634,D634-C634,IF(C634-D634&lt;0,0,C634-D634))))</f>
        <v/>
      </c>
      <c r="J634" s="20"/>
      <c r="K634" s="8" t="n">
        <f aca="false">IF(SUM(H634:J634)&lt;0.00068287037037037,0,SUM(H634:J634))</f>
        <v>0</v>
      </c>
      <c r="L634" s="8" t="n">
        <f aca="false">IF(OR(F634="Congé",F634="OFF",M634="Abs",F634="Congé sans solde",F634="Férié",F634="Congé spécial",D634="Congé spécial"),0,IF(F634-E634&lt;0,0,IF(F634-E634&lt;=0.00068287037037037,0,F634-E634)))</f>
        <v>0</v>
      </c>
      <c r="M634" s="6" t="n">
        <f aca="false">IF(AND(O634&lt;&gt;0,C634=""),"Abs",0)</f>
        <v>0</v>
      </c>
      <c r="N634" s="8" t="n">
        <f aca="false">IFERROR(IF(OR(D634="OFF",D634="Congé",M634="Abs",D634="Congé sans solde",D634="Férié"),"",IF(O634-K634-L634&gt;O634,O634,IF(O634-K634-L634&lt;0,"",O634-K634-L634))),"")</f>
        <v>0.375</v>
      </c>
      <c r="O634" s="8" t="n">
        <f aca="false">IF(AG634="2H Pause déjeuner",IF(F634-D634-0.0833333333333333&lt;0,F634-D634-0.0833333333333333+1,F634-D634-0.0833333333333333),IF(OR(AND(F634="OFF",D634="OFF"),AND(F634="Congé",D634="Congé"),AND(F634="Congé sans solde",D634="Congé sans solde"),AND(F634="Congé spécial",D634="Congé spécial"),AND(F634="Férié",D634="Férié"),AND(F634="OFF",D634="Congé"),AND(F634="OFF",D634="Congé sans solde"),AND(F634="OFF",D634="Congé spécial"),AND(F634="OFF",D634="Férié"),AND(F634="Congé",D634="OFF"),AND(F634="Congé",D634="Congé sans solde"),AND(F634="Congé",D634="Congé spécial"),AND(F634="Congé",D634="Férié"),AND(F634="Congé sans solde",D634="OFF"),AND(F634="Congé sans solde",D634="Congé"),AND(F634="Congé sans solde",D634="Congé spécial"),AND(F634="Congé sans solde",D634="Férié"),AND(F634="Congé spécial",D634="OFF"),AND(F634="Congé spécial",D634="Congé"),AND(F634="Congé spécial",D634="Congé sans solde"),AND(F634="Congé spécial",D634="Férié"),AND(F634="Férié",D634="OFF"),AND(F634="Férié",D634="Congé"),AND(F634="Férié",D634="Congé sans solde"),AND(F634="Férié",D634="Congé spécial")),0,IF(OR(F634="OFF",F634="Congé",F634="Congé spécial",F634="Congé sans solde",D634="OFF",D634="Congé",D634="Congé spécial",D634="Congé sans solde"),0.208333333333334,IF(AND(AG634="",F634-D634&lt;0),("24:00:00"-D634)+("00:00:00"+F634)-0.0416666666666667,IF(AND(OR(AG634="Allaitement",AG634="Sans déjeuner"),F634-D634&lt;0),("24:00:00"-D634)+("00:00:00"+F634),IF(AND(AG634="",F634-D634&gt;0.166666666666667),F634-D634-0.0416666666666667,IF(AND(OR(AG634="Allaitement",AG634="Sans déjeuner"),F634-D634&gt;0.166666666666667),F634-D634,F634-D634)))))))</f>
        <v>0.375</v>
      </c>
      <c r="P634" s="6" t="str">
        <f aca="false">IFERROR(VLOOKUP($B634,Agents!$A:$D,2,0),"-")</f>
        <v>Accessibilité</v>
      </c>
      <c r="Q634" s="21" t="n">
        <v>46142</v>
      </c>
      <c r="R634" s="8" t="n">
        <f aca="false">IF(M634="Abs",O634,0)</f>
        <v>0</v>
      </c>
      <c r="S634" s="8" t="n">
        <f aca="false">SUM(R634,L634,I634,J634,W634,H634)</f>
        <v>0</v>
      </c>
      <c r="T634" s="6" t="str">
        <f aca="false">"Sem - "&amp;WEEKNUM(Q634,21)</f>
        <v>Sem - 18</v>
      </c>
      <c r="U634" s="6" t="str">
        <f aca="false">CHOOSE(MONTH(Q634),"Janvier","Février","Mars","Avril","Mai","Juin","Juillet","Août","Septembre","Octobre","Novembre","Décembre")</f>
        <v>Avril</v>
      </c>
      <c r="V634" s="22" t="n">
        <f aca="false">YEAR(Q634)</f>
        <v>2026</v>
      </c>
      <c r="W634" s="20"/>
      <c r="X634" s="8" t="n">
        <f aca="false">IFERROR(IF(M634="Abs",0,IF(ROUND((D634-C634+E634-F634)*1440,0)&lt;=1,0,D634-C634+E634-F634)),0)</f>
        <v>0.00138888888888889</v>
      </c>
      <c r="Y634" s="6" t="str">
        <f aca="false">IFERROR(VLOOKUP($B634,Agents!$A:$D,3,0),"-")</f>
        <v>OUBRAHIM Mohammed</v>
      </c>
      <c r="Z634" s="6" t="str">
        <f aca="false">IFERROR(VLOOKUP($B634,Agents!$A:$D,4,0),"-")</f>
        <v>Credit Mutuel</v>
      </c>
      <c r="AA634" s="18" t="s">
        <v>100</v>
      </c>
      <c r="AB634" s="8" t="str">
        <f aca="false">IF(AND(D634="Congé",F634="Congé"),0.333333333333333,IF(OR(AND(D634="Congé",F634&lt;&gt;"Congé"),(AND(F634="Congé",D634&lt;&gt;"Congé"))),0.166666666666667,""))</f>
        <v/>
      </c>
      <c r="AC634" s="8" t="str">
        <f aca="false">IF(AND(D634="Congé sans solde",F634="Congé sans solde"),0.333333333333333,IF(OR(AND(D634="Congé sans solde",F634&lt;&gt;"Congé sans solde"),(AND(F634="Congé sans solde",D634&lt;&gt;"Congé sans solde"))),0.166666666666667,""))</f>
        <v/>
      </c>
      <c r="AD634" s="8" t="str">
        <f aca="false">IF(AND(D634="Congé spécial",F634="Congé spécial"),0.333333333333333,IF(OR(AND(D634="Congé spécial",F634&lt;&gt;"Congé spécial"),AND(F634="Congé spécial",D634&lt;&gt;"Congé spécial")),0.166666666666667,""))</f>
        <v/>
      </c>
      <c r="AE634" s="8" t="str">
        <f aca="false">IF(AND(D634="Férié",F634="Férié"),0.333333333333333,IF(OR(AND(D634="Férié",F634&lt;&gt;"Férié"),(AND(F634="Férié",D634&lt;&gt;"Férié"))),0.166666666666667,""))</f>
        <v/>
      </c>
      <c r="AF634" s="18"/>
      <c r="AG634" s="18"/>
    </row>
    <row r="635" customFormat="false" ht="15" hidden="false" customHeight="false" outlineLevel="0" collapsed="false">
      <c r="A635" s="6" t="str">
        <f aca="false">YEAR(Q635-WEEKDAY(Q635,2)+4)&amp;"-S"&amp;TEXT(WEEKNUM(Q635,21),"00")</f>
        <v>2026-S18</v>
      </c>
      <c r="B635" s="18" t="s">
        <v>72</v>
      </c>
      <c r="C635" s="19" t="n">
        <v>0.331944444444444</v>
      </c>
      <c r="D635" s="19" t="n">
        <v>0.333333333333333</v>
      </c>
      <c r="E635" s="19" t="n">
        <v>0.75</v>
      </c>
      <c r="F635" s="19" t="n">
        <v>0.75</v>
      </c>
      <c r="G635" s="20"/>
      <c r="H635" s="20"/>
      <c r="I635" s="8" t="str">
        <f aca="false">IF(IF(OR(C635="",D635="Congé",D635="OFF",D635="Congé spécial"),"",IF(D635&gt;F635,D635-C635,IF(C635-D635&lt;0,0,C635-D635)))&lt;0.00068287037037037,"",IF(OR(D635="Congé",D635="OFF",C635="",D635="Congé spécial"),"",IF(D635&gt;F635,D635-C635,IF(C635-D635&lt;0,0,C635-D635))))</f>
        <v/>
      </c>
      <c r="J635" s="20"/>
      <c r="K635" s="8" t="n">
        <f aca="false">IF(SUM(H635:J635)&lt;0.00068287037037037,0,SUM(H635:J635))</f>
        <v>0</v>
      </c>
      <c r="L635" s="8" t="n">
        <f aca="false">IF(OR(F635="Congé",F635="OFF",M635="Abs",F635="Congé sans solde",F635="Férié",F635="Congé spécial",D635="Congé spécial"),0,IF(F635-E635&lt;0,0,IF(F635-E635&lt;=0.00068287037037037,0,F635-E635)))</f>
        <v>0</v>
      </c>
      <c r="M635" s="6" t="n">
        <f aca="false">IF(AND(O635&lt;&gt;0,C635=""),"Abs",0)</f>
        <v>0</v>
      </c>
      <c r="N635" s="8" t="n">
        <f aca="false">IFERROR(IF(OR(D635="OFF",D635="Congé",M635="Abs",D635="Congé sans solde",D635="Férié"),"",IF(O635-K635-L635&gt;O635,O635,IF(O635-K635-L635&lt;0,"",O635-K635-L635))),"")</f>
        <v>0.375</v>
      </c>
      <c r="O635" s="8" t="n">
        <f aca="false">IF(AG635="2H Pause déjeuner",IF(F635-D635-0.0833333333333333&lt;0,F635-D635-0.0833333333333333+1,F635-D635-0.0833333333333333),IF(OR(AND(F635="OFF",D635="OFF"),AND(F635="Congé",D635="Congé"),AND(F635="Congé sans solde",D635="Congé sans solde"),AND(F635="Congé spécial",D635="Congé spécial"),AND(F635="Férié",D635="Férié"),AND(F635="OFF",D635="Congé"),AND(F635="OFF",D635="Congé sans solde"),AND(F635="OFF",D635="Congé spécial"),AND(F635="OFF",D635="Férié"),AND(F635="Congé",D635="OFF"),AND(F635="Congé",D635="Congé sans solde"),AND(F635="Congé",D635="Congé spécial"),AND(F635="Congé",D635="Férié"),AND(F635="Congé sans solde",D635="OFF"),AND(F635="Congé sans solde",D635="Congé"),AND(F635="Congé sans solde",D635="Congé spécial"),AND(F635="Congé sans solde",D635="Férié"),AND(F635="Congé spécial",D635="OFF"),AND(F635="Congé spécial",D635="Congé"),AND(F635="Congé spécial",D635="Congé sans solde"),AND(F635="Congé spécial",D635="Férié"),AND(F635="Férié",D635="OFF"),AND(F635="Férié",D635="Congé"),AND(F635="Férié",D635="Congé sans solde"),AND(F635="Férié",D635="Congé spécial")),0,IF(OR(F635="OFF",F635="Congé",F635="Congé spécial",F635="Congé sans solde",D635="OFF",D635="Congé",D635="Congé spécial",D635="Congé sans solde"),0.208333333333334,IF(AND(AG635="",F635-D635&lt;0),("24:00:00"-D635)+("00:00:00"+F635)-0.0416666666666667,IF(AND(OR(AG635="Allaitement",AG635="Sans déjeuner"),F635-D635&lt;0),("24:00:00"-D635)+("00:00:00"+F635),IF(AND(AG635="",F635-D635&gt;0.166666666666667),F635-D635-0.0416666666666667,IF(AND(OR(AG635="Allaitement",AG635="Sans déjeuner"),F635-D635&gt;0.166666666666667),F635-D635,F635-D635)))))))</f>
        <v>0.375</v>
      </c>
      <c r="P635" s="6" t="str">
        <f aca="false">IFERROR(VLOOKUP($B635,Agents!$A:$D,2,0),"-")</f>
        <v>Accessibilité</v>
      </c>
      <c r="Q635" s="21" t="n">
        <v>46142</v>
      </c>
      <c r="R635" s="8" t="n">
        <f aca="false">IF(M635="Abs",O635,0)</f>
        <v>0</v>
      </c>
      <c r="S635" s="8" t="n">
        <f aca="false">SUM(R635,L635,I635,J635,W635,H635)</f>
        <v>0</v>
      </c>
      <c r="T635" s="6" t="str">
        <f aca="false">"Sem - "&amp;WEEKNUM(Q635,21)</f>
        <v>Sem - 18</v>
      </c>
      <c r="U635" s="6" t="str">
        <f aca="false">CHOOSE(MONTH(Q635),"Janvier","Février","Mars","Avril","Mai","Juin","Juillet","Août","Septembre","Octobre","Novembre","Décembre")</f>
        <v>Avril</v>
      </c>
      <c r="V635" s="22" t="n">
        <f aca="false">YEAR(Q635)</f>
        <v>2026</v>
      </c>
      <c r="W635" s="20"/>
      <c r="X635" s="8" t="n">
        <f aca="false">IFERROR(IF(M635="Abs",0,IF(ROUND((D635-C635+E635-F635)*1440,0)&lt;=1,0,D635-C635+E635-F635)),0)</f>
        <v>0.00138888888888889</v>
      </c>
      <c r="Y635" s="6" t="str">
        <f aca="false">IFERROR(VLOOKUP($B635,Agents!$A:$D,3,0),"-")</f>
        <v>OUBRAHIM Mohammed</v>
      </c>
      <c r="Z635" s="6" t="str">
        <f aca="false">IFERROR(VLOOKUP($B635,Agents!$A:$D,4,0),"-")</f>
        <v>Credit Mutuel</v>
      </c>
      <c r="AA635" s="18" t="s">
        <v>100</v>
      </c>
      <c r="AB635" s="8" t="str">
        <f aca="false">IF(AND(D635="Congé",F635="Congé"),0.333333333333333,IF(OR(AND(D635="Congé",F635&lt;&gt;"Congé"),(AND(F635="Congé",D635&lt;&gt;"Congé"))),0.166666666666667,""))</f>
        <v/>
      </c>
      <c r="AC635" s="8" t="str">
        <f aca="false">IF(AND(D635="Congé sans solde",F635="Congé sans solde"),0.333333333333333,IF(OR(AND(D635="Congé sans solde",F635&lt;&gt;"Congé sans solde"),(AND(F635="Congé sans solde",D635&lt;&gt;"Congé sans solde"))),0.166666666666667,""))</f>
        <v/>
      </c>
      <c r="AD635" s="8" t="str">
        <f aca="false">IF(AND(D635="Congé spécial",F635="Congé spécial"),0.333333333333333,IF(OR(AND(D635="Congé spécial",F635&lt;&gt;"Congé spécial"),AND(F635="Congé spécial",D635&lt;&gt;"Congé spécial")),0.166666666666667,""))</f>
        <v/>
      </c>
      <c r="AE635" s="8" t="str">
        <f aca="false">IF(AND(D635="Férié",F635="Férié"),0.333333333333333,IF(OR(AND(D635="Férié",F635&lt;&gt;"Férié"),(AND(F635="Férié",D635&lt;&gt;"Férié"))),0.166666666666667,""))</f>
        <v/>
      </c>
      <c r="AF635" s="18"/>
      <c r="AG635" s="18"/>
    </row>
    <row r="636" customFormat="false" ht="15" hidden="false" customHeight="false" outlineLevel="0" collapsed="false">
      <c r="A636" s="6" t="str">
        <f aca="false">YEAR(Q636-WEEKDAY(Q636,2)+4)&amp;"-S"&amp;TEXT(WEEKNUM(Q636,21),"00")</f>
        <v>2026-S18</v>
      </c>
      <c r="B636" s="18" t="s">
        <v>73</v>
      </c>
      <c r="C636" s="19" t="n">
        <v>0.331944444444444</v>
      </c>
      <c r="D636" s="19" t="n">
        <v>0.333333333333333</v>
      </c>
      <c r="E636" s="19" t="n">
        <v>0.75</v>
      </c>
      <c r="F636" s="19" t="n">
        <v>0.75</v>
      </c>
      <c r="G636" s="20"/>
      <c r="H636" s="20"/>
      <c r="I636" s="8" t="str">
        <f aca="false">IF(IF(OR(C636="",D636="Congé",D636="OFF",D636="Congé spécial"),"",IF(D636&gt;F636,D636-C636,IF(C636-D636&lt;0,0,C636-D636)))&lt;0.00068287037037037,"",IF(OR(D636="Congé",D636="OFF",C636="",D636="Congé spécial"),"",IF(D636&gt;F636,D636-C636,IF(C636-D636&lt;0,0,C636-D636))))</f>
        <v/>
      </c>
      <c r="J636" s="20"/>
      <c r="K636" s="8" t="n">
        <f aca="false">IF(SUM(H636:J636)&lt;0.00068287037037037,0,SUM(H636:J636))</f>
        <v>0</v>
      </c>
      <c r="L636" s="8" t="n">
        <f aca="false">IF(OR(F636="Congé",F636="OFF",M636="Abs",F636="Congé sans solde",F636="Férié",F636="Congé spécial",D636="Congé spécial"),0,IF(F636-E636&lt;0,0,IF(F636-E636&lt;=0.00068287037037037,0,F636-E636)))</f>
        <v>0</v>
      </c>
      <c r="M636" s="6" t="n">
        <f aca="false">IF(AND(O636&lt;&gt;0,C636=""),"Abs",0)</f>
        <v>0</v>
      </c>
      <c r="N636" s="8" t="n">
        <f aca="false">IFERROR(IF(OR(D636="OFF",D636="Congé",M636="Abs",D636="Congé sans solde",D636="Férié"),"",IF(O636-K636-L636&gt;O636,O636,IF(O636-K636-L636&lt;0,"",O636-K636-L636))),"")</f>
        <v>0.375</v>
      </c>
      <c r="O636" s="8" t="n">
        <f aca="false">IF(AG636="2H Pause déjeuner",IF(F636-D636-0.0833333333333333&lt;0,F636-D636-0.0833333333333333+1,F636-D636-0.0833333333333333),IF(OR(AND(F636="OFF",D636="OFF"),AND(F636="Congé",D636="Congé"),AND(F636="Congé sans solde",D636="Congé sans solde"),AND(F636="Congé spécial",D636="Congé spécial"),AND(F636="Férié",D636="Férié"),AND(F636="OFF",D636="Congé"),AND(F636="OFF",D636="Congé sans solde"),AND(F636="OFF",D636="Congé spécial"),AND(F636="OFF",D636="Férié"),AND(F636="Congé",D636="OFF"),AND(F636="Congé",D636="Congé sans solde"),AND(F636="Congé",D636="Congé spécial"),AND(F636="Congé",D636="Férié"),AND(F636="Congé sans solde",D636="OFF"),AND(F636="Congé sans solde",D636="Congé"),AND(F636="Congé sans solde",D636="Congé spécial"),AND(F636="Congé sans solde",D636="Férié"),AND(F636="Congé spécial",D636="OFF"),AND(F636="Congé spécial",D636="Congé"),AND(F636="Congé spécial",D636="Congé sans solde"),AND(F636="Congé spécial",D636="Férié"),AND(F636="Férié",D636="OFF"),AND(F636="Férié",D636="Congé"),AND(F636="Férié",D636="Congé sans solde"),AND(F636="Férié",D636="Congé spécial")),0,IF(OR(F636="OFF",F636="Congé",F636="Congé spécial",F636="Congé sans solde",D636="OFF",D636="Congé",D636="Congé spécial",D636="Congé sans solde"),0.208333333333334,IF(AND(AG636="",F636-D636&lt;0),("24:00:00"-D636)+("00:00:00"+F636)-0.0416666666666667,IF(AND(OR(AG636="Allaitement",AG636="Sans déjeuner"),F636-D636&lt;0),("24:00:00"-D636)+("00:00:00"+F636),IF(AND(AG636="",F636-D636&gt;0.166666666666667),F636-D636-0.0416666666666667,IF(AND(OR(AG636="Allaitement",AG636="Sans déjeuner"),F636-D636&gt;0.166666666666667),F636-D636,F636-D636)))))))</f>
        <v>0.375</v>
      </c>
      <c r="P636" s="6" t="str">
        <f aca="false">IFERROR(VLOOKUP($B636,Agents!$A:$D,2,0),"-")</f>
        <v>Accessibilité</v>
      </c>
      <c r="Q636" s="21" t="n">
        <v>46142</v>
      </c>
      <c r="R636" s="8" t="n">
        <f aca="false">IF(M636="Abs",O636,0)</f>
        <v>0</v>
      </c>
      <c r="S636" s="8" t="n">
        <f aca="false">SUM(R636,L636,I636,J636,W636,H636)</f>
        <v>0</v>
      </c>
      <c r="T636" s="6" t="str">
        <f aca="false">"Sem - "&amp;WEEKNUM(Q636,21)</f>
        <v>Sem - 18</v>
      </c>
      <c r="U636" s="6" t="str">
        <f aca="false">CHOOSE(MONTH(Q636),"Janvier","Février","Mars","Avril","Mai","Juin","Juillet","Août","Septembre","Octobre","Novembre","Décembre")</f>
        <v>Avril</v>
      </c>
      <c r="V636" s="22" t="n">
        <f aca="false">YEAR(Q636)</f>
        <v>2026</v>
      </c>
      <c r="W636" s="20"/>
      <c r="X636" s="8" t="n">
        <f aca="false">IFERROR(IF(M636="Abs",0,IF(ROUND((D636-C636+E636-F636)*1440,0)&lt;=1,0,D636-C636+E636-F636)),0)</f>
        <v>0.00138888888888889</v>
      </c>
      <c r="Y636" s="6" t="str">
        <f aca="false">IFERROR(VLOOKUP($B636,Agents!$A:$D,3,0),"-")</f>
        <v>OUBRAHIM Mohammed</v>
      </c>
      <c r="Z636" s="6" t="str">
        <f aca="false">IFERROR(VLOOKUP($B636,Agents!$A:$D,4,0),"-")</f>
        <v>Credit Mutuel</v>
      </c>
      <c r="AA636" s="18" t="s">
        <v>100</v>
      </c>
      <c r="AB636" s="8" t="str">
        <f aca="false">IF(AND(D636="Congé",F636="Congé"),0.333333333333333,IF(OR(AND(D636="Congé",F636&lt;&gt;"Congé"),(AND(F636="Congé",D636&lt;&gt;"Congé"))),0.166666666666667,""))</f>
        <v/>
      </c>
      <c r="AC636" s="8" t="str">
        <f aca="false">IF(AND(D636="Congé sans solde",F636="Congé sans solde"),0.333333333333333,IF(OR(AND(D636="Congé sans solde",F636&lt;&gt;"Congé sans solde"),(AND(F636="Congé sans solde",D636&lt;&gt;"Congé sans solde"))),0.166666666666667,""))</f>
        <v/>
      </c>
      <c r="AD636" s="8" t="str">
        <f aca="false">IF(AND(D636="Congé spécial",F636="Congé spécial"),0.333333333333333,IF(OR(AND(D636="Congé spécial",F636&lt;&gt;"Congé spécial"),AND(F636="Congé spécial",D636&lt;&gt;"Congé spécial")),0.166666666666667,""))</f>
        <v/>
      </c>
      <c r="AE636" s="8" t="str">
        <f aca="false">IF(AND(D636="Férié",F636="Férié"),0.333333333333333,IF(OR(AND(D636="Férié",F636&lt;&gt;"Férié"),(AND(F636="Férié",D636&lt;&gt;"Férié"))),0.166666666666667,""))</f>
        <v/>
      </c>
      <c r="AF636" s="18"/>
      <c r="AG636" s="18"/>
    </row>
    <row r="637" customFormat="false" ht="15" hidden="false" customHeight="false" outlineLevel="0" collapsed="false">
      <c r="A637" s="6" t="str">
        <f aca="false">YEAR(Q637-WEEKDAY(Q637,2)+4)&amp;"-S"&amp;TEXT(WEEKNUM(Q637,21),"00")</f>
        <v>2026-S18</v>
      </c>
      <c r="B637" s="18" t="s">
        <v>71</v>
      </c>
      <c r="C637" s="19"/>
      <c r="D637" s="19" t="s">
        <v>81</v>
      </c>
      <c r="E637" s="19"/>
      <c r="F637" s="19" t="s">
        <v>81</v>
      </c>
      <c r="G637" s="20"/>
      <c r="H637" s="20"/>
      <c r="I637" s="8" t="str">
        <f aca="false">IF(IF(OR(C637="",D637="Congé",D637="OFF",D637="Congé spécial"),"",IF(D637&gt;F637,D637-C637,IF(C637-D637&lt;0,0,C637-D637)))&lt;0.00068287037037037,"",IF(OR(D637="Congé",D637="OFF",C637="",D637="Congé spécial"),"",IF(D637&gt;F637,D637-C637,IF(C637-D637&lt;0,0,C637-D637))))</f>
        <v/>
      </c>
      <c r="J637" s="20"/>
      <c r="K637" s="8" t="n">
        <f aca="false">IF(SUM(H637:J637)&lt;0.00068287037037037,0,SUM(H637:J637))</f>
        <v>0</v>
      </c>
      <c r="L637" s="8" t="n">
        <f aca="false">IF(OR(F637="Congé",F637="OFF",M637="Abs",F637="Congé sans solde",F637="Férié",F637="Congé spécial",D637="Congé spécial"),0,IF(F637-E637&lt;0,0,IF(F637-E637&lt;=0.00068287037037037,0,F637-E637)))</f>
        <v>0</v>
      </c>
      <c r="M637" s="6" t="n">
        <f aca="false">IF(AND(O637&lt;&gt;0,C637=""),"Abs",0)</f>
        <v>0</v>
      </c>
      <c r="N637" s="8" t="str">
        <f aca="false">IFERROR(IF(OR(D637="OFF",D637="Congé",M637="Abs",D637="Congé sans solde",D637="Férié"),"",IF(O637-K637-L637&gt;O637,O637,IF(O637-K637-L637&lt;0,"",O637-K637-L637))),"")</f>
        <v/>
      </c>
      <c r="O637" s="8" t="n">
        <f aca="false">IF(AG637="2H Pause déjeuner",IF(F637-D637-0.0833333333333333&lt;0,F637-D637-0.0833333333333333+1,F637-D637-0.0833333333333333),IF(OR(AND(F637="OFF",D637="OFF"),AND(F637="Congé",D637="Congé"),AND(F637="Congé sans solde",D637="Congé sans solde"),AND(F637="Congé spécial",D637="Congé spécial"),AND(F637="Férié",D637="Férié"),AND(F637="OFF",D637="Congé"),AND(F637="OFF",D637="Congé sans solde"),AND(F637="OFF",D637="Congé spécial"),AND(F637="OFF",D637="Férié"),AND(F637="Congé",D637="OFF"),AND(F637="Congé",D637="Congé sans solde"),AND(F637="Congé",D637="Congé spécial"),AND(F637="Congé",D637="Férié"),AND(F637="Congé sans solde",D637="OFF"),AND(F637="Congé sans solde",D637="Congé"),AND(F637="Congé sans solde",D637="Congé spécial"),AND(F637="Congé sans solde",D637="Férié"),AND(F637="Congé spécial",D637="OFF"),AND(F637="Congé spécial",D637="Congé"),AND(F637="Congé spécial",D637="Congé sans solde"),AND(F637="Congé spécial",D637="Férié"),AND(F637="Férié",D637="OFF"),AND(F637="Férié",D637="Congé"),AND(F637="Férié",D637="Congé sans solde"),AND(F637="Férié",D637="Congé spécial")),0,IF(OR(F637="OFF",F637="Congé",F637="Congé spécial",F637="Congé sans solde",D637="OFF",D637="Congé",D637="Congé spécial",D637="Congé sans solde"),0.208333333333334,IF(AND(AG637="",F637-D637&lt;0),("24:00:00"-D637)+("00:00:00"+F637)-0.0416666666666667,IF(AND(OR(AG637="Allaitement",AG637="Sans déjeuner"),F637-D637&lt;0),("24:00:00"-D637)+("00:00:00"+F637),IF(AND(AG637="",F637-D637&gt;0.166666666666667),F637-D637-0.0416666666666667,IF(AND(OR(AG637="Allaitement",AG637="Sans déjeuner"),F637-D637&gt;0.166666666666667),F637-D637,F637-D637)))))))</f>
        <v>0</v>
      </c>
      <c r="P637" s="6" t="str">
        <f aca="false">IFERROR(VLOOKUP($B637,Agents!$A:$D,2,0),"-")</f>
        <v>Accessibilité</v>
      </c>
      <c r="Q637" s="21" t="n">
        <v>46143</v>
      </c>
      <c r="R637" s="8" t="n">
        <f aca="false">IF(M637="Abs",O637,0)</f>
        <v>0</v>
      </c>
      <c r="S637" s="8" t="n">
        <f aca="false">SUM(R637,L637,I637,J637,W637,H637)</f>
        <v>0</v>
      </c>
      <c r="T637" s="6" t="str">
        <f aca="false">"Sem - "&amp;WEEKNUM(Q637,21)</f>
        <v>Sem - 18</v>
      </c>
      <c r="U637" s="6" t="str">
        <f aca="false">CHOOSE(MONTH(Q637),"Janvier","Février","Mars","Avril","Mai","Juin","Juillet","Août","Septembre","Octobre","Novembre","Décembre")</f>
        <v>Mai</v>
      </c>
      <c r="V637" s="22" t="n">
        <f aca="false">YEAR(Q637)</f>
        <v>2026</v>
      </c>
      <c r="W637" s="20"/>
      <c r="X637" s="8" t="n">
        <f aca="false">IFERROR(IF(M637="Abs",0,IF(ROUND((D637-C637+E637-F637)*1440,0)&lt;=1,0,D637-C637+E637-F637)),0)</f>
        <v>0</v>
      </c>
      <c r="Y637" s="6" t="str">
        <f aca="false">IFERROR(VLOOKUP($B637,Agents!$A:$D,3,0),"-")</f>
        <v>OUBRAHIM Mohammed</v>
      </c>
      <c r="Z637" s="6" t="str">
        <f aca="false">IFERROR(VLOOKUP($B637,Agents!$A:$D,4,0),"-")</f>
        <v>Credit Mutuel</v>
      </c>
      <c r="AA637" s="18" t="s">
        <v>100</v>
      </c>
      <c r="AB637" s="8" t="str">
        <f aca="false">IF(AND(D637="Congé",F637="Congé"),0.333333333333333,IF(OR(AND(D637="Congé",F637&lt;&gt;"Congé"),(AND(F637="Congé",D637&lt;&gt;"Congé"))),0.166666666666667,""))</f>
        <v/>
      </c>
      <c r="AC637" s="8" t="str">
        <f aca="false">IF(AND(D637="Congé sans solde",F637="Congé sans solde"),0.333333333333333,IF(OR(AND(D637="Congé sans solde",F637&lt;&gt;"Congé sans solde"),(AND(F637="Congé sans solde",D637&lt;&gt;"Congé sans solde"))),0.166666666666667,""))</f>
        <v/>
      </c>
      <c r="AD637" s="8" t="str">
        <f aca="false">IF(AND(D637="Congé spécial",F637="Congé spécial"),0.333333333333333,IF(OR(AND(D637="Congé spécial",F637&lt;&gt;"Congé spécial"),AND(F637="Congé spécial",D637&lt;&gt;"Congé spécial")),0.166666666666667,""))</f>
        <v/>
      </c>
      <c r="AE637" s="8" t="n">
        <f aca="false">IF(AND(D637="Férié",F637="Férié"),0.333333333333333,IF(OR(AND(D637="Férié",F637&lt;&gt;"Férié"),(AND(F637="Férié",D637&lt;&gt;"Férié"))),0.166666666666667,""))</f>
        <v>0.333333333333333</v>
      </c>
      <c r="AF637" s="18"/>
      <c r="AG637" s="18"/>
    </row>
    <row r="638" customFormat="false" ht="15" hidden="false" customHeight="false" outlineLevel="0" collapsed="false">
      <c r="A638" s="6" t="str">
        <f aca="false">YEAR(Q638-WEEKDAY(Q638,2)+4)&amp;"-S"&amp;TEXT(WEEKNUM(Q638,21),"00")</f>
        <v>2026-S18</v>
      </c>
      <c r="B638" s="18" t="s">
        <v>72</v>
      </c>
      <c r="C638" s="19"/>
      <c r="D638" s="19" t="s">
        <v>81</v>
      </c>
      <c r="E638" s="19"/>
      <c r="F638" s="19" t="s">
        <v>81</v>
      </c>
      <c r="G638" s="20"/>
      <c r="H638" s="20"/>
      <c r="I638" s="8" t="str">
        <f aca="false">IF(IF(OR(C638="",D638="Congé",D638="OFF",D638="Congé spécial"),"",IF(D638&gt;F638,D638-C638,IF(C638-D638&lt;0,0,C638-D638)))&lt;0.00068287037037037,"",IF(OR(D638="Congé",D638="OFF",C638="",D638="Congé spécial"),"",IF(D638&gt;F638,D638-C638,IF(C638-D638&lt;0,0,C638-D638))))</f>
        <v/>
      </c>
      <c r="J638" s="20"/>
      <c r="K638" s="8" t="n">
        <f aca="false">IF(SUM(H638:J638)&lt;0.00068287037037037,0,SUM(H638:J638))</f>
        <v>0</v>
      </c>
      <c r="L638" s="8" t="n">
        <f aca="false">IF(OR(F638="Congé",F638="OFF",M638="Abs",F638="Congé sans solde",F638="Férié",F638="Congé spécial",D638="Congé spécial"),0,IF(F638-E638&lt;0,0,IF(F638-E638&lt;=0.00068287037037037,0,F638-E638)))</f>
        <v>0</v>
      </c>
      <c r="M638" s="6" t="n">
        <f aca="false">IF(AND(O638&lt;&gt;0,C638=""),"Abs",0)</f>
        <v>0</v>
      </c>
      <c r="N638" s="8" t="str">
        <f aca="false">IFERROR(IF(OR(D638="OFF",D638="Congé",M638="Abs",D638="Congé sans solde",D638="Férié"),"",IF(O638-K638-L638&gt;O638,O638,IF(O638-K638-L638&lt;0,"",O638-K638-L638))),"")</f>
        <v/>
      </c>
      <c r="O638" s="8" t="n">
        <f aca="false">IF(AG638="2H Pause déjeuner",IF(F638-D638-0.0833333333333333&lt;0,F638-D638-0.0833333333333333+1,F638-D638-0.0833333333333333),IF(OR(AND(F638="OFF",D638="OFF"),AND(F638="Congé",D638="Congé"),AND(F638="Congé sans solde",D638="Congé sans solde"),AND(F638="Congé spécial",D638="Congé spécial"),AND(F638="Férié",D638="Férié"),AND(F638="OFF",D638="Congé"),AND(F638="OFF",D638="Congé sans solde"),AND(F638="OFF",D638="Congé spécial"),AND(F638="OFF",D638="Férié"),AND(F638="Congé",D638="OFF"),AND(F638="Congé",D638="Congé sans solde"),AND(F638="Congé",D638="Congé spécial"),AND(F638="Congé",D638="Férié"),AND(F638="Congé sans solde",D638="OFF"),AND(F638="Congé sans solde",D638="Congé"),AND(F638="Congé sans solde",D638="Congé spécial"),AND(F638="Congé sans solde",D638="Férié"),AND(F638="Congé spécial",D638="OFF"),AND(F638="Congé spécial",D638="Congé"),AND(F638="Congé spécial",D638="Congé sans solde"),AND(F638="Congé spécial",D638="Férié"),AND(F638="Férié",D638="OFF"),AND(F638="Férié",D638="Congé"),AND(F638="Férié",D638="Congé sans solde"),AND(F638="Férié",D638="Congé spécial")),0,IF(OR(F638="OFF",F638="Congé",F638="Congé spécial",F638="Congé sans solde",D638="OFF",D638="Congé",D638="Congé spécial",D638="Congé sans solde"),0.208333333333334,IF(AND(AG638="",F638-D638&lt;0),("24:00:00"-D638)+("00:00:00"+F638)-0.0416666666666667,IF(AND(OR(AG638="Allaitement",AG638="Sans déjeuner"),F638-D638&lt;0),("24:00:00"-D638)+("00:00:00"+F638),IF(AND(AG638="",F638-D638&gt;0.166666666666667),F638-D638-0.0416666666666667,IF(AND(OR(AG638="Allaitement",AG638="Sans déjeuner"),F638-D638&gt;0.166666666666667),F638-D638,F638-D638)))))))</f>
        <v>0</v>
      </c>
      <c r="P638" s="6" t="str">
        <f aca="false">IFERROR(VLOOKUP($B638,Agents!$A:$D,2,0),"-")</f>
        <v>Accessibilité</v>
      </c>
      <c r="Q638" s="21" t="n">
        <v>46143</v>
      </c>
      <c r="R638" s="8" t="n">
        <f aca="false">IF(M638="Abs",O638,0)</f>
        <v>0</v>
      </c>
      <c r="S638" s="8" t="n">
        <f aca="false">SUM(R638,L638,I638,J638,W638,H638)</f>
        <v>0</v>
      </c>
      <c r="T638" s="6" t="str">
        <f aca="false">"Sem - "&amp;WEEKNUM(Q638,21)</f>
        <v>Sem - 18</v>
      </c>
      <c r="U638" s="6" t="str">
        <f aca="false">CHOOSE(MONTH(Q638),"Janvier","Février","Mars","Avril","Mai","Juin","Juillet","Août","Septembre","Octobre","Novembre","Décembre")</f>
        <v>Mai</v>
      </c>
      <c r="V638" s="22" t="n">
        <f aca="false">YEAR(Q638)</f>
        <v>2026</v>
      </c>
      <c r="W638" s="20"/>
      <c r="X638" s="8" t="n">
        <f aca="false">IFERROR(IF(M638="Abs",0,IF(ROUND((D638-C638+E638-F638)*1440,0)&lt;=1,0,D638-C638+E638-F638)),0)</f>
        <v>0</v>
      </c>
      <c r="Y638" s="6" t="str">
        <f aca="false">IFERROR(VLOOKUP($B638,Agents!$A:$D,3,0),"-")</f>
        <v>OUBRAHIM Mohammed</v>
      </c>
      <c r="Z638" s="6" t="str">
        <f aca="false">IFERROR(VLOOKUP($B638,Agents!$A:$D,4,0),"-")</f>
        <v>Credit Mutuel</v>
      </c>
      <c r="AA638" s="18" t="s">
        <v>100</v>
      </c>
      <c r="AB638" s="8" t="str">
        <f aca="false">IF(AND(D638="Congé",F638="Congé"),0.333333333333333,IF(OR(AND(D638="Congé",F638&lt;&gt;"Congé"),(AND(F638="Congé",D638&lt;&gt;"Congé"))),0.166666666666667,""))</f>
        <v/>
      </c>
      <c r="AC638" s="8" t="str">
        <f aca="false">IF(AND(D638="Congé sans solde",F638="Congé sans solde"),0.333333333333333,IF(OR(AND(D638="Congé sans solde",F638&lt;&gt;"Congé sans solde"),(AND(F638="Congé sans solde",D638&lt;&gt;"Congé sans solde"))),0.166666666666667,""))</f>
        <v/>
      </c>
      <c r="AD638" s="8" t="str">
        <f aca="false">IF(AND(D638="Congé spécial",F638="Congé spécial"),0.333333333333333,IF(OR(AND(D638="Congé spécial",F638&lt;&gt;"Congé spécial"),AND(F638="Congé spécial",D638&lt;&gt;"Congé spécial")),0.166666666666667,""))</f>
        <v/>
      </c>
      <c r="AE638" s="8" t="n">
        <f aca="false">IF(AND(D638="Férié",F638="Férié"),0.333333333333333,IF(OR(AND(D638="Férié",F638&lt;&gt;"Férié"),(AND(F638="Férié",D638&lt;&gt;"Férié"))),0.166666666666667,""))</f>
        <v>0.333333333333333</v>
      </c>
      <c r="AF638" s="18"/>
      <c r="AG638" s="18"/>
    </row>
    <row r="639" customFormat="false" ht="15" hidden="false" customHeight="false" outlineLevel="0" collapsed="false">
      <c r="A639" s="6" t="str">
        <f aca="false">YEAR(Q639-WEEKDAY(Q639,2)+4)&amp;"-S"&amp;TEXT(WEEKNUM(Q639,21),"00")</f>
        <v>2026-S18</v>
      </c>
      <c r="B639" s="18" t="s">
        <v>73</v>
      </c>
      <c r="C639" s="19"/>
      <c r="D639" s="19" t="s">
        <v>81</v>
      </c>
      <c r="E639" s="19"/>
      <c r="F639" s="19" t="s">
        <v>81</v>
      </c>
      <c r="G639" s="20"/>
      <c r="H639" s="20"/>
      <c r="I639" s="8" t="str">
        <f aca="false">IF(IF(OR(C639="",D639="Congé",D639="OFF",D639="Congé spécial"),"",IF(D639&gt;F639,D639-C639,IF(C639-D639&lt;0,0,C639-D639)))&lt;0.00068287037037037,"",IF(OR(D639="Congé",D639="OFF",C639="",D639="Congé spécial"),"",IF(D639&gt;F639,D639-C639,IF(C639-D639&lt;0,0,C639-D639))))</f>
        <v/>
      </c>
      <c r="J639" s="20"/>
      <c r="K639" s="8" t="n">
        <f aca="false">IF(SUM(H639:J639)&lt;0.00068287037037037,0,SUM(H639:J639))</f>
        <v>0</v>
      </c>
      <c r="L639" s="8" t="n">
        <f aca="false">IF(OR(F639="Congé",F639="OFF",M639="Abs",F639="Congé sans solde",F639="Férié",F639="Congé spécial",D639="Congé spécial"),0,IF(F639-E639&lt;0,0,IF(F639-E639&lt;=0.00068287037037037,0,F639-E639)))</f>
        <v>0</v>
      </c>
      <c r="M639" s="6" t="n">
        <f aca="false">IF(AND(O639&lt;&gt;0,C639=""),"Abs",0)</f>
        <v>0</v>
      </c>
      <c r="N639" s="8" t="str">
        <f aca="false">IFERROR(IF(OR(D639="OFF",D639="Congé",M639="Abs",D639="Congé sans solde",D639="Férié"),"",IF(O639-K639-L639&gt;O639,O639,IF(O639-K639-L639&lt;0,"",O639-K639-L639))),"")</f>
        <v/>
      </c>
      <c r="O639" s="8" t="n">
        <f aca="false">IF(AG639="2H Pause déjeuner",IF(F639-D639-0.0833333333333333&lt;0,F639-D639-0.0833333333333333+1,F639-D639-0.0833333333333333),IF(OR(AND(F639="OFF",D639="OFF"),AND(F639="Congé",D639="Congé"),AND(F639="Congé sans solde",D639="Congé sans solde"),AND(F639="Congé spécial",D639="Congé spécial"),AND(F639="Férié",D639="Férié"),AND(F639="OFF",D639="Congé"),AND(F639="OFF",D639="Congé sans solde"),AND(F639="OFF",D639="Congé spécial"),AND(F639="OFF",D639="Férié"),AND(F639="Congé",D639="OFF"),AND(F639="Congé",D639="Congé sans solde"),AND(F639="Congé",D639="Congé spécial"),AND(F639="Congé",D639="Férié"),AND(F639="Congé sans solde",D639="OFF"),AND(F639="Congé sans solde",D639="Congé"),AND(F639="Congé sans solde",D639="Congé spécial"),AND(F639="Congé sans solde",D639="Férié"),AND(F639="Congé spécial",D639="OFF"),AND(F639="Congé spécial",D639="Congé"),AND(F639="Congé spécial",D639="Congé sans solde"),AND(F639="Congé spécial",D639="Férié"),AND(F639="Férié",D639="OFF"),AND(F639="Férié",D639="Congé"),AND(F639="Férié",D639="Congé sans solde"),AND(F639="Férié",D639="Congé spécial")),0,IF(OR(F639="OFF",F639="Congé",F639="Congé spécial",F639="Congé sans solde",D639="OFF",D639="Congé",D639="Congé spécial",D639="Congé sans solde"),0.208333333333334,IF(AND(AG639="",F639-D639&lt;0),("24:00:00"-D639)+("00:00:00"+F639)-0.0416666666666667,IF(AND(OR(AG639="Allaitement",AG639="Sans déjeuner"),F639-D639&lt;0),("24:00:00"-D639)+("00:00:00"+F639),IF(AND(AG639="",F639-D639&gt;0.166666666666667),F639-D639-0.0416666666666667,IF(AND(OR(AG639="Allaitement",AG639="Sans déjeuner"),F639-D639&gt;0.166666666666667),F639-D639,F639-D639)))))))</f>
        <v>0</v>
      </c>
      <c r="P639" s="6" t="str">
        <f aca="false">IFERROR(VLOOKUP($B639,Agents!$A:$D,2,0),"-")</f>
        <v>Accessibilité</v>
      </c>
      <c r="Q639" s="21" t="n">
        <v>46143</v>
      </c>
      <c r="R639" s="8" t="n">
        <f aca="false">IF(M639="Abs",O639,0)</f>
        <v>0</v>
      </c>
      <c r="S639" s="8" t="n">
        <f aca="false">SUM(R639,L639,I639,J639,W639,H639)</f>
        <v>0</v>
      </c>
      <c r="T639" s="6" t="str">
        <f aca="false">"Sem - "&amp;WEEKNUM(Q639,21)</f>
        <v>Sem - 18</v>
      </c>
      <c r="U639" s="6" t="str">
        <f aca="false">CHOOSE(MONTH(Q639),"Janvier","Février","Mars","Avril","Mai","Juin","Juillet","Août","Septembre","Octobre","Novembre","Décembre")</f>
        <v>Mai</v>
      </c>
      <c r="V639" s="22" t="n">
        <f aca="false">YEAR(Q639)</f>
        <v>2026</v>
      </c>
      <c r="W639" s="20"/>
      <c r="X639" s="8" t="n">
        <f aca="false">IFERROR(IF(M639="Abs",0,IF(ROUND((D639-C639+E639-F639)*1440,0)&lt;=1,0,D639-C639+E639-F639)),0)</f>
        <v>0</v>
      </c>
      <c r="Y639" s="6" t="str">
        <f aca="false">IFERROR(VLOOKUP($B639,Agents!$A:$D,3,0),"-")</f>
        <v>OUBRAHIM Mohammed</v>
      </c>
      <c r="Z639" s="6" t="str">
        <f aca="false">IFERROR(VLOOKUP($B639,Agents!$A:$D,4,0),"-")</f>
        <v>Credit Mutuel</v>
      </c>
      <c r="AA639" s="18" t="s">
        <v>100</v>
      </c>
      <c r="AB639" s="8" t="str">
        <f aca="false">IF(AND(D639="Congé",F639="Congé"),0.333333333333333,IF(OR(AND(D639="Congé",F639&lt;&gt;"Congé"),(AND(F639="Congé",D639&lt;&gt;"Congé"))),0.166666666666667,""))</f>
        <v/>
      </c>
      <c r="AC639" s="8" t="str">
        <f aca="false">IF(AND(D639="Congé sans solde",F639="Congé sans solde"),0.333333333333333,IF(OR(AND(D639="Congé sans solde",F639&lt;&gt;"Congé sans solde"),(AND(F639="Congé sans solde",D639&lt;&gt;"Congé sans solde"))),0.166666666666667,""))</f>
        <v/>
      </c>
      <c r="AD639" s="8" t="str">
        <f aca="false">IF(AND(D639="Congé spécial",F639="Congé spécial"),0.333333333333333,IF(OR(AND(D639="Congé spécial",F639&lt;&gt;"Congé spécial"),AND(F639="Congé spécial",D639&lt;&gt;"Congé spécial")),0.166666666666667,""))</f>
        <v/>
      </c>
      <c r="AE639" s="8" t="n">
        <f aca="false">IF(AND(D639="Férié",F639="Férié"),0.333333333333333,IF(OR(AND(D639="Férié",F639&lt;&gt;"Férié"),(AND(F639="Férié",D639&lt;&gt;"Férié"))),0.166666666666667,""))</f>
        <v>0.333333333333333</v>
      </c>
      <c r="AF639" s="18"/>
      <c r="AG639" s="18"/>
    </row>
    <row r="640" customFormat="false" ht="15" hidden="false" customHeight="false" outlineLevel="0" collapsed="false">
      <c r="A640" s="6" t="str">
        <f aca="false">YEAR(Q640-WEEKDAY(Q640,2)+4)&amp;"-S"&amp;TEXT(WEEKNUM(Q640,21),"00")</f>
        <v>2026-S18</v>
      </c>
      <c r="B640" s="18" t="s">
        <v>71</v>
      </c>
      <c r="C640" s="19"/>
      <c r="D640" s="19" t="s">
        <v>74</v>
      </c>
      <c r="E640" s="19"/>
      <c r="F640" s="19" t="s">
        <v>74</v>
      </c>
      <c r="G640" s="20"/>
      <c r="H640" s="20"/>
      <c r="I640" s="8" t="str">
        <f aca="false">IF(IF(OR(C640="",D640="Congé",D640="OFF",D640="Congé spécial"),"",IF(D640&gt;F640,D640-C640,IF(C640-D640&lt;0,0,C640-D640)))&lt;0.00068287037037037,"",IF(OR(D640="Congé",D640="OFF",C640="",D640="Congé spécial"),"",IF(D640&gt;F640,D640-C640,IF(C640-D640&lt;0,0,C640-D640))))</f>
        <v/>
      </c>
      <c r="J640" s="20"/>
      <c r="K640" s="8" t="n">
        <f aca="false">IF(SUM(H640:J640)&lt;0.00068287037037037,0,SUM(H640:J640))</f>
        <v>0</v>
      </c>
      <c r="L640" s="8" t="n">
        <f aca="false">IF(OR(F640="Congé",F640="OFF",M640="Abs",F640="Congé sans solde",F640="Férié",F640="Congé spécial",D640="Congé spécial"),0,IF(F640-E640&lt;0,0,IF(F640-E640&lt;=0.00068287037037037,0,F640-E640)))</f>
        <v>0</v>
      </c>
      <c r="M640" s="6" t="n">
        <f aca="false">IF(AND(O640&lt;&gt;0,C640=""),"Abs",0)</f>
        <v>0</v>
      </c>
      <c r="N640" s="8" t="str">
        <f aca="false">IFERROR(IF(OR(D640="OFF",D640="Congé",M640="Abs",D640="Congé sans solde",D640="Férié"),"",IF(O640-K640-L640&gt;O640,O640,IF(O640-K640-L640&lt;0,"",O640-K640-L640))),"")</f>
        <v/>
      </c>
      <c r="O640" s="8" t="n">
        <f aca="false">IF(AG640="2H Pause déjeuner",IF(F640-D640-0.0833333333333333&lt;0,F640-D640-0.0833333333333333+1,F640-D640-0.0833333333333333),IF(OR(AND(F640="OFF",D640="OFF"),AND(F640="Congé",D640="Congé"),AND(F640="Congé sans solde",D640="Congé sans solde"),AND(F640="Congé spécial",D640="Congé spécial"),AND(F640="Férié",D640="Férié"),AND(F640="OFF",D640="Congé"),AND(F640="OFF",D640="Congé sans solde"),AND(F640="OFF",D640="Congé spécial"),AND(F640="OFF",D640="Férié"),AND(F640="Congé",D640="OFF"),AND(F640="Congé",D640="Congé sans solde"),AND(F640="Congé",D640="Congé spécial"),AND(F640="Congé",D640="Férié"),AND(F640="Congé sans solde",D640="OFF"),AND(F640="Congé sans solde",D640="Congé"),AND(F640="Congé sans solde",D640="Congé spécial"),AND(F640="Congé sans solde",D640="Férié"),AND(F640="Congé spécial",D640="OFF"),AND(F640="Congé spécial",D640="Congé"),AND(F640="Congé spécial",D640="Congé sans solde"),AND(F640="Congé spécial",D640="Férié"),AND(F640="Férié",D640="OFF"),AND(F640="Férié",D640="Congé"),AND(F640="Férié",D640="Congé sans solde"),AND(F640="Férié",D640="Congé spécial")),0,IF(OR(F640="OFF",F640="Congé",F640="Congé spécial",F640="Congé sans solde",D640="OFF",D640="Congé",D640="Congé spécial",D640="Congé sans solde"),0.208333333333334,IF(AND(AG640="",F640-D640&lt;0),("24:00:00"-D640)+("00:00:00"+F640)-0.0416666666666667,IF(AND(OR(AG640="Allaitement",AG640="Sans déjeuner"),F640-D640&lt;0),("24:00:00"-D640)+("00:00:00"+F640),IF(AND(AG640="",F640-D640&gt;0.166666666666667),F640-D640-0.0416666666666667,IF(AND(OR(AG640="Allaitement",AG640="Sans déjeuner"),F640-D640&gt;0.166666666666667),F640-D640,F640-D640)))))))</f>
        <v>0</v>
      </c>
      <c r="P640" s="6" t="str">
        <f aca="false">IFERROR(VLOOKUP($B640,Agents!$A:$D,2,0),"-")</f>
        <v>Accessibilité</v>
      </c>
      <c r="Q640" s="21" t="n">
        <v>46144</v>
      </c>
      <c r="R640" s="8" t="n">
        <f aca="false">IF(M640="Abs",O640,0)</f>
        <v>0</v>
      </c>
      <c r="S640" s="8" t="n">
        <f aca="false">SUM(R640,L640,I640,J640,W640,H640)</f>
        <v>0</v>
      </c>
      <c r="T640" s="6" t="str">
        <f aca="false">"Sem - "&amp;WEEKNUM(Q640,21)</f>
        <v>Sem - 18</v>
      </c>
      <c r="U640" s="6" t="str">
        <f aca="false">CHOOSE(MONTH(Q640),"Janvier","Février","Mars","Avril","Mai","Juin","Juillet","Août","Septembre","Octobre","Novembre","Décembre")</f>
        <v>Mai</v>
      </c>
      <c r="V640" s="22" t="n">
        <f aca="false">YEAR(Q640)</f>
        <v>2026</v>
      </c>
      <c r="W640" s="20"/>
      <c r="X640" s="8" t="n">
        <f aca="false">IFERROR(IF(M640="Abs",0,IF(ROUND((D640-C640+E640-F640)*1440,0)&lt;=1,0,D640-C640+E640-F640)),0)</f>
        <v>0</v>
      </c>
      <c r="Y640" s="6" t="str">
        <f aca="false">IFERROR(VLOOKUP($B640,Agents!$A:$D,3,0),"-")</f>
        <v>OUBRAHIM Mohammed</v>
      </c>
      <c r="Z640" s="6" t="str">
        <f aca="false">IFERROR(VLOOKUP($B640,Agents!$A:$D,4,0),"-")</f>
        <v>Credit Mutuel</v>
      </c>
      <c r="AA640" s="18" t="s">
        <v>100</v>
      </c>
      <c r="AB640" s="8" t="str">
        <f aca="false">IF(AND(D640="Congé",F640="Congé"),0.333333333333333,IF(OR(AND(D640="Congé",F640&lt;&gt;"Congé"),(AND(F640="Congé",D640&lt;&gt;"Congé"))),0.166666666666667,""))</f>
        <v/>
      </c>
      <c r="AC640" s="8" t="str">
        <f aca="false">IF(AND(D640="Congé sans solde",F640="Congé sans solde"),0.333333333333333,IF(OR(AND(D640="Congé sans solde",F640&lt;&gt;"Congé sans solde"),(AND(F640="Congé sans solde",D640&lt;&gt;"Congé sans solde"))),0.166666666666667,""))</f>
        <v/>
      </c>
      <c r="AD640" s="8" t="str">
        <f aca="false">IF(AND(D640="Congé spécial",F640="Congé spécial"),0.333333333333333,IF(OR(AND(D640="Congé spécial",F640&lt;&gt;"Congé spécial"),AND(F640="Congé spécial",D640&lt;&gt;"Congé spécial")),0.166666666666667,""))</f>
        <v/>
      </c>
      <c r="AE640" s="8" t="str">
        <f aca="false">IF(AND(D640="Férié",F640="Férié"),0.333333333333333,IF(OR(AND(D640="Férié",F640&lt;&gt;"Férié"),(AND(F640="Férié",D640&lt;&gt;"Férié"))),0.166666666666667,""))</f>
        <v/>
      </c>
      <c r="AF640" s="18"/>
      <c r="AG640" s="18"/>
    </row>
    <row r="641" customFormat="false" ht="15" hidden="false" customHeight="false" outlineLevel="0" collapsed="false">
      <c r="A641" s="6" t="str">
        <f aca="false">YEAR(Q641-WEEKDAY(Q641,2)+4)&amp;"-S"&amp;TEXT(WEEKNUM(Q641,21),"00")</f>
        <v>2026-S18</v>
      </c>
      <c r="B641" s="18" t="s">
        <v>72</v>
      </c>
      <c r="C641" s="19"/>
      <c r="D641" s="19" t="s">
        <v>74</v>
      </c>
      <c r="E641" s="19"/>
      <c r="F641" s="19" t="s">
        <v>74</v>
      </c>
      <c r="G641" s="20"/>
      <c r="H641" s="20"/>
      <c r="I641" s="8" t="str">
        <f aca="false">IF(IF(OR(C641="",D641="Congé",D641="OFF",D641="Congé spécial"),"",IF(D641&gt;F641,D641-C641,IF(C641-D641&lt;0,0,C641-D641)))&lt;0.00068287037037037,"",IF(OR(D641="Congé",D641="OFF",C641="",D641="Congé spécial"),"",IF(D641&gt;F641,D641-C641,IF(C641-D641&lt;0,0,C641-D641))))</f>
        <v/>
      </c>
      <c r="J641" s="20"/>
      <c r="K641" s="8" t="n">
        <f aca="false">IF(SUM(H641:J641)&lt;0.00068287037037037,0,SUM(H641:J641))</f>
        <v>0</v>
      </c>
      <c r="L641" s="8" t="n">
        <f aca="false">IF(OR(F641="Congé",F641="OFF",M641="Abs",F641="Congé sans solde",F641="Férié",F641="Congé spécial",D641="Congé spécial"),0,IF(F641-E641&lt;0,0,IF(F641-E641&lt;=0.00068287037037037,0,F641-E641)))</f>
        <v>0</v>
      </c>
      <c r="M641" s="6" t="n">
        <f aca="false">IF(AND(O641&lt;&gt;0,C641=""),"Abs",0)</f>
        <v>0</v>
      </c>
      <c r="N641" s="8" t="str">
        <f aca="false">IFERROR(IF(OR(D641="OFF",D641="Congé",M641="Abs",D641="Congé sans solde",D641="Férié"),"",IF(O641-K641-L641&gt;O641,O641,IF(O641-K641-L641&lt;0,"",O641-K641-L641))),"")</f>
        <v/>
      </c>
      <c r="O641" s="8" t="n">
        <f aca="false">IF(AG641="2H Pause déjeuner",IF(F641-D641-0.0833333333333333&lt;0,F641-D641-0.0833333333333333+1,F641-D641-0.0833333333333333),IF(OR(AND(F641="OFF",D641="OFF"),AND(F641="Congé",D641="Congé"),AND(F641="Congé sans solde",D641="Congé sans solde"),AND(F641="Congé spécial",D641="Congé spécial"),AND(F641="Férié",D641="Férié"),AND(F641="OFF",D641="Congé"),AND(F641="OFF",D641="Congé sans solde"),AND(F641="OFF",D641="Congé spécial"),AND(F641="OFF",D641="Férié"),AND(F641="Congé",D641="OFF"),AND(F641="Congé",D641="Congé sans solde"),AND(F641="Congé",D641="Congé spécial"),AND(F641="Congé",D641="Férié"),AND(F641="Congé sans solde",D641="OFF"),AND(F641="Congé sans solde",D641="Congé"),AND(F641="Congé sans solde",D641="Congé spécial"),AND(F641="Congé sans solde",D641="Férié"),AND(F641="Congé spécial",D641="OFF"),AND(F641="Congé spécial",D641="Congé"),AND(F641="Congé spécial",D641="Congé sans solde"),AND(F641="Congé spécial",D641="Férié"),AND(F641="Férié",D641="OFF"),AND(F641="Férié",D641="Congé"),AND(F641="Férié",D641="Congé sans solde"),AND(F641="Férié",D641="Congé spécial")),0,IF(OR(F641="OFF",F641="Congé",F641="Congé spécial",F641="Congé sans solde",D641="OFF",D641="Congé",D641="Congé spécial",D641="Congé sans solde"),0.208333333333334,IF(AND(AG641="",F641-D641&lt;0),("24:00:00"-D641)+("00:00:00"+F641)-0.0416666666666667,IF(AND(OR(AG641="Allaitement",AG641="Sans déjeuner"),F641-D641&lt;0),("24:00:00"-D641)+("00:00:00"+F641),IF(AND(AG641="",F641-D641&gt;0.166666666666667),F641-D641-0.0416666666666667,IF(AND(OR(AG641="Allaitement",AG641="Sans déjeuner"),F641-D641&gt;0.166666666666667),F641-D641,F641-D641)))))))</f>
        <v>0</v>
      </c>
      <c r="P641" s="6" t="str">
        <f aca="false">IFERROR(VLOOKUP($B641,Agents!$A:$D,2,0),"-")</f>
        <v>Accessibilité</v>
      </c>
      <c r="Q641" s="21" t="n">
        <v>46144</v>
      </c>
      <c r="R641" s="8" t="n">
        <f aca="false">IF(M641="Abs",O641,0)</f>
        <v>0</v>
      </c>
      <c r="S641" s="8" t="n">
        <f aca="false">SUM(R641,L641,I641,J641,W641,H641)</f>
        <v>0</v>
      </c>
      <c r="T641" s="6" t="str">
        <f aca="false">"Sem - "&amp;WEEKNUM(Q641,21)</f>
        <v>Sem - 18</v>
      </c>
      <c r="U641" s="6" t="str">
        <f aca="false">CHOOSE(MONTH(Q641),"Janvier","Février","Mars","Avril","Mai","Juin","Juillet","Août","Septembre","Octobre","Novembre","Décembre")</f>
        <v>Mai</v>
      </c>
      <c r="V641" s="22" t="n">
        <f aca="false">YEAR(Q641)</f>
        <v>2026</v>
      </c>
      <c r="W641" s="20"/>
      <c r="X641" s="8" t="n">
        <f aca="false">IFERROR(IF(M641="Abs",0,IF(ROUND((D641-C641+E641-F641)*1440,0)&lt;=1,0,D641-C641+E641-F641)),0)</f>
        <v>0</v>
      </c>
      <c r="Y641" s="6" t="str">
        <f aca="false">IFERROR(VLOOKUP($B641,Agents!$A:$D,3,0),"-")</f>
        <v>OUBRAHIM Mohammed</v>
      </c>
      <c r="Z641" s="6" t="str">
        <f aca="false">IFERROR(VLOOKUP($B641,Agents!$A:$D,4,0),"-")</f>
        <v>Credit Mutuel</v>
      </c>
      <c r="AA641" s="18" t="s">
        <v>100</v>
      </c>
      <c r="AB641" s="8" t="str">
        <f aca="false">IF(AND(D641="Congé",F641="Congé"),0.333333333333333,IF(OR(AND(D641="Congé",F641&lt;&gt;"Congé"),(AND(F641="Congé",D641&lt;&gt;"Congé"))),0.166666666666667,""))</f>
        <v/>
      </c>
      <c r="AC641" s="8" t="str">
        <f aca="false">IF(AND(D641="Congé sans solde",F641="Congé sans solde"),0.333333333333333,IF(OR(AND(D641="Congé sans solde",F641&lt;&gt;"Congé sans solde"),(AND(F641="Congé sans solde",D641&lt;&gt;"Congé sans solde"))),0.166666666666667,""))</f>
        <v/>
      </c>
      <c r="AD641" s="8" t="str">
        <f aca="false">IF(AND(D641="Congé spécial",F641="Congé spécial"),0.333333333333333,IF(OR(AND(D641="Congé spécial",F641&lt;&gt;"Congé spécial"),AND(F641="Congé spécial",D641&lt;&gt;"Congé spécial")),0.166666666666667,""))</f>
        <v/>
      </c>
      <c r="AE641" s="8" t="str">
        <f aca="false">IF(AND(D641="Férié",F641="Férié"),0.333333333333333,IF(OR(AND(D641="Férié",F641&lt;&gt;"Férié"),(AND(F641="Férié",D641&lt;&gt;"Férié"))),0.166666666666667,""))</f>
        <v/>
      </c>
      <c r="AF641" s="18"/>
      <c r="AG641" s="18"/>
    </row>
    <row r="642" customFormat="false" ht="15" hidden="false" customHeight="false" outlineLevel="0" collapsed="false">
      <c r="A642" s="6" t="str">
        <f aca="false">YEAR(Q642-WEEKDAY(Q642,2)+4)&amp;"-S"&amp;TEXT(WEEKNUM(Q642,21),"00")</f>
        <v>2026-S18</v>
      </c>
      <c r="B642" s="18" t="s">
        <v>73</v>
      </c>
      <c r="C642" s="19"/>
      <c r="D642" s="19" t="s">
        <v>74</v>
      </c>
      <c r="E642" s="19"/>
      <c r="F642" s="19" t="s">
        <v>74</v>
      </c>
      <c r="G642" s="20"/>
      <c r="H642" s="20"/>
      <c r="I642" s="8" t="str">
        <f aca="false">IF(IF(OR(C642="",D642="Congé",D642="OFF",D642="Congé spécial"),"",IF(D642&gt;F642,D642-C642,IF(C642-D642&lt;0,0,C642-D642)))&lt;0.00068287037037037,"",IF(OR(D642="Congé",D642="OFF",C642="",D642="Congé spécial"),"",IF(D642&gt;F642,D642-C642,IF(C642-D642&lt;0,0,C642-D642))))</f>
        <v/>
      </c>
      <c r="J642" s="20"/>
      <c r="K642" s="8" t="n">
        <f aca="false">IF(SUM(H642:J642)&lt;0.00068287037037037,0,SUM(H642:J642))</f>
        <v>0</v>
      </c>
      <c r="L642" s="8" t="n">
        <f aca="false">IF(OR(F642="Congé",F642="OFF",M642="Abs",F642="Congé sans solde",F642="Férié",F642="Congé spécial",D642="Congé spécial"),0,IF(F642-E642&lt;0,0,IF(F642-E642&lt;=0.00068287037037037,0,F642-E642)))</f>
        <v>0</v>
      </c>
      <c r="M642" s="6" t="n">
        <f aca="false">IF(AND(O642&lt;&gt;0,C642=""),"Abs",0)</f>
        <v>0</v>
      </c>
      <c r="N642" s="8" t="str">
        <f aca="false">IFERROR(IF(OR(D642="OFF",D642="Congé",M642="Abs",D642="Congé sans solde",D642="Férié"),"",IF(O642-K642-L642&gt;O642,O642,IF(O642-K642-L642&lt;0,"",O642-K642-L642))),"")</f>
        <v/>
      </c>
      <c r="O642" s="8" t="n">
        <f aca="false">IF(AG642="2H Pause déjeuner",IF(F642-D642-0.0833333333333333&lt;0,F642-D642-0.0833333333333333+1,F642-D642-0.0833333333333333),IF(OR(AND(F642="OFF",D642="OFF"),AND(F642="Congé",D642="Congé"),AND(F642="Congé sans solde",D642="Congé sans solde"),AND(F642="Congé spécial",D642="Congé spécial"),AND(F642="Férié",D642="Férié"),AND(F642="OFF",D642="Congé"),AND(F642="OFF",D642="Congé sans solde"),AND(F642="OFF",D642="Congé spécial"),AND(F642="OFF",D642="Férié"),AND(F642="Congé",D642="OFF"),AND(F642="Congé",D642="Congé sans solde"),AND(F642="Congé",D642="Congé spécial"),AND(F642="Congé",D642="Férié"),AND(F642="Congé sans solde",D642="OFF"),AND(F642="Congé sans solde",D642="Congé"),AND(F642="Congé sans solde",D642="Congé spécial"),AND(F642="Congé sans solde",D642="Férié"),AND(F642="Congé spécial",D642="OFF"),AND(F642="Congé spécial",D642="Congé"),AND(F642="Congé spécial",D642="Congé sans solde"),AND(F642="Congé spécial",D642="Férié"),AND(F642="Férié",D642="OFF"),AND(F642="Férié",D642="Congé"),AND(F642="Férié",D642="Congé sans solde"),AND(F642="Férié",D642="Congé spécial")),0,IF(OR(F642="OFF",F642="Congé",F642="Congé spécial",F642="Congé sans solde",D642="OFF",D642="Congé",D642="Congé spécial",D642="Congé sans solde"),0.208333333333334,IF(AND(AG642="",F642-D642&lt;0),("24:00:00"-D642)+("00:00:00"+F642)-0.0416666666666667,IF(AND(OR(AG642="Allaitement",AG642="Sans déjeuner"),F642-D642&lt;0),("24:00:00"-D642)+("00:00:00"+F642),IF(AND(AG642="",F642-D642&gt;0.166666666666667),F642-D642-0.0416666666666667,IF(AND(OR(AG642="Allaitement",AG642="Sans déjeuner"),F642-D642&gt;0.166666666666667),F642-D642,F642-D642)))))))</f>
        <v>0</v>
      </c>
      <c r="P642" s="6" t="str">
        <f aca="false">IFERROR(VLOOKUP($B642,Agents!$A:$D,2,0),"-")</f>
        <v>Accessibilité</v>
      </c>
      <c r="Q642" s="21" t="n">
        <v>46144</v>
      </c>
      <c r="R642" s="8" t="n">
        <f aca="false">IF(M642="Abs",O642,0)</f>
        <v>0</v>
      </c>
      <c r="S642" s="8" t="n">
        <f aca="false">SUM(R642,L642,I642,J642,W642,H642)</f>
        <v>0</v>
      </c>
      <c r="T642" s="6" t="str">
        <f aca="false">"Sem - "&amp;WEEKNUM(Q642,21)</f>
        <v>Sem - 18</v>
      </c>
      <c r="U642" s="6" t="str">
        <f aca="false">CHOOSE(MONTH(Q642),"Janvier","Février","Mars","Avril","Mai","Juin","Juillet","Août","Septembre","Octobre","Novembre","Décembre")</f>
        <v>Mai</v>
      </c>
      <c r="V642" s="22" t="n">
        <f aca="false">YEAR(Q642)</f>
        <v>2026</v>
      </c>
      <c r="W642" s="20"/>
      <c r="X642" s="8" t="n">
        <f aca="false">IFERROR(IF(M642="Abs",0,IF(ROUND((D642-C642+E642-F642)*1440,0)&lt;=1,0,D642-C642+E642-F642)),0)</f>
        <v>0</v>
      </c>
      <c r="Y642" s="6" t="str">
        <f aca="false">IFERROR(VLOOKUP($B642,Agents!$A:$D,3,0),"-")</f>
        <v>OUBRAHIM Mohammed</v>
      </c>
      <c r="Z642" s="6" t="str">
        <f aca="false">IFERROR(VLOOKUP($B642,Agents!$A:$D,4,0),"-")</f>
        <v>Credit Mutuel</v>
      </c>
      <c r="AA642" s="18" t="s">
        <v>100</v>
      </c>
      <c r="AB642" s="8" t="str">
        <f aca="false">IF(AND(D642="Congé",F642="Congé"),0.333333333333333,IF(OR(AND(D642="Congé",F642&lt;&gt;"Congé"),(AND(F642="Congé",D642&lt;&gt;"Congé"))),0.166666666666667,""))</f>
        <v/>
      </c>
      <c r="AC642" s="8" t="str">
        <f aca="false">IF(AND(D642="Congé sans solde",F642="Congé sans solde"),0.333333333333333,IF(OR(AND(D642="Congé sans solde",F642&lt;&gt;"Congé sans solde"),(AND(F642="Congé sans solde",D642&lt;&gt;"Congé sans solde"))),0.166666666666667,""))</f>
        <v/>
      </c>
      <c r="AD642" s="8" t="str">
        <f aca="false">IF(AND(D642="Congé spécial",F642="Congé spécial"),0.333333333333333,IF(OR(AND(D642="Congé spécial",F642&lt;&gt;"Congé spécial"),AND(F642="Congé spécial",D642&lt;&gt;"Congé spécial")),0.166666666666667,""))</f>
        <v/>
      </c>
      <c r="AE642" s="8" t="str">
        <f aca="false">IF(AND(D642="Férié",F642="Férié"),0.333333333333333,IF(OR(AND(D642="Férié",F642&lt;&gt;"Férié"),(AND(F642="Férié",D642&lt;&gt;"Férié"))),0.166666666666667,""))</f>
        <v/>
      </c>
      <c r="AF642" s="18"/>
      <c r="AG642" s="18"/>
    </row>
    <row r="643" customFormat="false" ht="15" hidden="false" customHeight="false" outlineLevel="0" collapsed="false">
      <c r="A643" s="6" t="str">
        <f aca="false">YEAR(Q643-WEEKDAY(Q643,2)+4)&amp;"-S"&amp;TEXT(WEEKNUM(Q643,21),"00")</f>
        <v>2026-S18</v>
      </c>
      <c r="B643" s="18" t="s">
        <v>71</v>
      </c>
      <c r="C643" s="19"/>
      <c r="D643" s="19" t="s">
        <v>74</v>
      </c>
      <c r="E643" s="19"/>
      <c r="F643" s="19" t="s">
        <v>74</v>
      </c>
      <c r="G643" s="20"/>
      <c r="H643" s="20"/>
      <c r="I643" s="8" t="str">
        <f aca="false">IF(IF(OR(C643="",D643="Congé",D643="OFF",D643="Congé spécial"),"",IF(D643&gt;F643,D643-C643,IF(C643-D643&lt;0,0,C643-D643)))&lt;0.00068287037037037,"",IF(OR(D643="Congé",D643="OFF",C643="",D643="Congé spécial"),"",IF(D643&gt;F643,D643-C643,IF(C643-D643&lt;0,0,C643-D643))))</f>
        <v/>
      </c>
      <c r="J643" s="20"/>
      <c r="K643" s="8" t="n">
        <f aca="false">IF(SUM(H643:J643)&lt;0.00068287037037037,0,SUM(H643:J643))</f>
        <v>0</v>
      </c>
      <c r="L643" s="8" t="n">
        <f aca="false">IF(OR(F643="Congé",F643="OFF",M643="Abs",F643="Congé sans solde",F643="Férié",F643="Congé spécial",D643="Congé spécial"),0,IF(F643-E643&lt;0,0,IF(F643-E643&lt;=0.00068287037037037,0,F643-E643)))</f>
        <v>0</v>
      </c>
      <c r="M643" s="6" t="n">
        <f aca="false">IF(AND(O643&lt;&gt;0,C643=""),"Abs",0)</f>
        <v>0</v>
      </c>
      <c r="N643" s="8" t="str">
        <f aca="false">IFERROR(IF(OR(D643="OFF",D643="Congé",M643="Abs",D643="Congé sans solde",D643="Férié"),"",IF(O643-K643-L643&gt;O643,O643,IF(O643-K643-L643&lt;0,"",O643-K643-L643))),"")</f>
        <v/>
      </c>
      <c r="O643" s="8" t="n">
        <f aca="false">IF(AG643="2H Pause déjeuner",IF(F643-D643-0.0833333333333333&lt;0,F643-D643-0.0833333333333333+1,F643-D643-0.0833333333333333),IF(OR(AND(F643="OFF",D643="OFF"),AND(F643="Congé",D643="Congé"),AND(F643="Congé sans solde",D643="Congé sans solde"),AND(F643="Congé spécial",D643="Congé spécial"),AND(F643="Férié",D643="Férié"),AND(F643="OFF",D643="Congé"),AND(F643="OFF",D643="Congé sans solde"),AND(F643="OFF",D643="Congé spécial"),AND(F643="OFF",D643="Férié"),AND(F643="Congé",D643="OFF"),AND(F643="Congé",D643="Congé sans solde"),AND(F643="Congé",D643="Congé spécial"),AND(F643="Congé",D643="Férié"),AND(F643="Congé sans solde",D643="OFF"),AND(F643="Congé sans solde",D643="Congé"),AND(F643="Congé sans solde",D643="Congé spécial"),AND(F643="Congé sans solde",D643="Férié"),AND(F643="Congé spécial",D643="OFF"),AND(F643="Congé spécial",D643="Congé"),AND(F643="Congé spécial",D643="Congé sans solde"),AND(F643="Congé spécial",D643="Férié"),AND(F643="Férié",D643="OFF"),AND(F643="Férié",D643="Congé"),AND(F643="Férié",D643="Congé sans solde"),AND(F643="Férié",D643="Congé spécial")),0,IF(OR(F643="OFF",F643="Congé",F643="Congé spécial",F643="Congé sans solde",D643="OFF",D643="Congé",D643="Congé spécial",D643="Congé sans solde"),0.208333333333334,IF(AND(AG643="",F643-D643&lt;0),("24:00:00"-D643)+("00:00:00"+F643)-0.0416666666666667,IF(AND(OR(AG643="Allaitement",AG643="Sans déjeuner"),F643-D643&lt;0),("24:00:00"-D643)+("00:00:00"+F643),IF(AND(AG643="",F643-D643&gt;0.166666666666667),F643-D643-0.0416666666666667,IF(AND(OR(AG643="Allaitement",AG643="Sans déjeuner"),F643-D643&gt;0.166666666666667),F643-D643,F643-D643)))))))</f>
        <v>0</v>
      </c>
      <c r="P643" s="6" t="str">
        <f aca="false">IFERROR(VLOOKUP($B643,Agents!$A:$D,2,0),"-")</f>
        <v>Accessibilité</v>
      </c>
      <c r="Q643" s="21" t="n">
        <v>46145</v>
      </c>
      <c r="R643" s="8" t="n">
        <f aca="false">IF(M643="Abs",O643,0)</f>
        <v>0</v>
      </c>
      <c r="S643" s="8" t="n">
        <f aca="false">SUM(R643,L643,I643,J643,W643,H643)</f>
        <v>0</v>
      </c>
      <c r="T643" s="6" t="str">
        <f aca="false">"Sem - "&amp;WEEKNUM(Q643,21)</f>
        <v>Sem - 18</v>
      </c>
      <c r="U643" s="6" t="str">
        <f aca="false">CHOOSE(MONTH(Q643),"Janvier","Février","Mars","Avril","Mai","Juin","Juillet","Août","Septembre","Octobre","Novembre","Décembre")</f>
        <v>Mai</v>
      </c>
      <c r="V643" s="22" t="n">
        <f aca="false">YEAR(Q643)</f>
        <v>2026</v>
      </c>
      <c r="W643" s="20"/>
      <c r="X643" s="8" t="n">
        <f aca="false">IFERROR(IF(M643="Abs",0,IF(ROUND((D643-C643+E643-F643)*1440,0)&lt;=1,0,D643-C643+E643-F643)),0)</f>
        <v>0</v>
      </c>
      <c r="Y643" s="6" t="str">
        <f aca="false">IFERROR(VLOOKUP($B643,Agents!$A:$D,3,0),"-")</f>
        <v>OUBRAHIM Mohammed</v>
      </c>
      <c r="Z643" s="6" t="str">
        <f aca="false">IFERROR(VLOOKUP($B643,Agents!$A:$D,4,0),"-")</f>
        <v>Credit Mutuel</v>
      </c>
      <c r="AA643" s="18" t="s">
        <v>100</v>
      </c>
      <c r="AB643" s="8" t="str">
        <f aca="false">IF(AND(D643="Congé",F643="Congé"),0.333333333333333,IF(OR(AND(D643="Congé",F643&lt;&gt;"Congé"),(AND(F643="Congé",D643&lt;&gt;"Congé"))),0.166666666666667,""))</f>
        <v/>
      </c>
      <c r="AC643" s="8" t="str">
        <f aca="false">IF(AND(D643="Congé sans solde",F643="Congé sans solde"),0.333333333333333,IF(OR(AND(D643="Congé sans solde",F643&lt;&gt;"Congé sans solde"),(AND(F643="Congé sans solde",D643&lt;&gt;"Congé sans solde"))),0.166666666666667,""))</f>
        <v/>
      </c>
      <c r="AD643" s="8" t="str">
        <f aca="false">IF(AND(D643="Congé spécial",F643="Congé spécial"),0.333333333333333,IF(OR(AND(D643="Congé spécial",F643&lt;&gt;"Congé spécial"),AND(F643="Congé spécial",D643&lt;&gt;"Congé spécial")),0.166666666666667,""))</f>
        <v/>
      </c>
      <c r="AE643" s="8" t="str">
        <f aca="false">IF(AND(D643="Férié",F643="Férié"),0.333333333333333,IF(OR(AND(D643="Férié",F643&lt;&gt;"Férié"),(AND(F643="Férié",D643&lt;&gt;"Férié"))),0.166666666666667,""))</f>
        <v/>
      </c>
      <c r="AF643" s="18"/>
      <c r="AG643" s="18"/>
    </row>
    <row r="644" customFormat="false" ht="15" hidden="false" customHeight="false" outlineLevel="0" collapsed="false">
      <c r="A644" s="6" t="str">
        <f aca="false">YEAR(Q644-WEEKDAY(Q644,2)+4)&amp;"-S"&amp;TEXT(WEEKNUM(Q644,21),"00")</f>
        <v>2026-S18</v>
      </c>
      <c r="B644" s="18" t="s">
        <v>72</v>
      </c>
      <c r="C644" s="19"/>
      <c r="D644" s="19" t="s">
        <v>74</v>
      </c>
      <c r="E644" s="19"/>
      <c r="F644" s="19" t="s">
        <v>74</v>
      </c>
      <c r="G644" s="20"/>
      <c r="H644" s="20"/>
      <c r="I644" s="8" t="str">
        <f aca="false">IF(IF(OR(C644="",D644="Congé",D644="OFF",D644="Congé spécial"),"",IF(D644&gt;F644,D644-C644,IF(C644-D644&lt;0,0,C644-D644)))&lt;0.00068287037037037,"",IF(OR(D644="Congé",D644="OFF",C644="",D644="Congé spécial"),"",IF(D644&gt;F644,D644-C644,IF(C644-D644&lt;0,0,C644-D644))))</f>
        <v/>
      </c>
      <c r="J644" s="20"/>
      <c r="K644" s="8" t="n">
        <f aca="false">IF(SUM(H644:J644)&lt;0.00068287037037037,0,SUM(H644:J644))</f>
        <v>0</v>
      </c>
      <c r="L644" s="8" t="n">
        <f aca="false">IF(OR(F644="Congé",F644="OFF",M644="Abs",F644="Congé sans solde",F644="Férié",F644="Congé spécial",D644="Congé spécial"),0,IF(F644-E644&lt;0,0,IF(F644-E644&lt;=0.00068287037037037,0,F644-E644)))</f>
        <v>0</v>
      </c>
      <c r="M644" s="6" t="n">
        <f aca="false">IF(AND(O644&lt;&gt;0,C644=""),"Abs",0)</f>
        <v>0</v>
      </c>
      <c r="N644" s="8" t="str">
        <f aca="false">IFERROR(IF(OR(D644="OFF",D644="Congé",M644="Abs",D644="Congé sans solde",D644="Férié"),"",IF(O644-K644-L644&gt;O644,O644,IF(O644-K644-L644&lt;0,"",O644-K644-L644))),"")</f>
        <v/>
      </c>
      <c r="O644" s="8" t="n">
        <f aca="false">IF(AG644="2H Pause déjeuner",IF(F644-D644-0.0833333333333333&lt;0,F644-D644-0.0833333333333333+1,F644-D644-0.0833333333333333),IF(OR(AND(F644="OFF",D644="OFF"),AND(F644="Congé",D644="Congé"),AND(F644="Congé sans solde",D644="Congé sans solde"),AND(F644="Congé spécial",D644="Congé spécial"),AND(F644="Férié",D644="Férié"),AND(F644="OFF",D644="Congé"),AND(F644="OFF",D644="Congé sans solde"),AND(F644="OFF",D644="Congé spécial"),AND(F644="OFF",D644="Férié"),AND(F644="Congé",D644="OFF"),AND(F644="Congé",D644="Congé sans solde"),AND(F644="Congé",D644="Congé spécial"),AND(F644="Congé",D644="Férié"),AND(F644="Congé sans solde",D644="OFF"),AND(F644="Congé sans solde",D644="Congé"),AND(F644="Congé sans solde",D644="Congé spécial"),AND(F644="Congé sans solde",D644="Férié"),AND(F644="Congé spécial",D644="OFF"),AND(F644="Congé spécial",D644="Congé"),AND(F644="Congé spécial",D644="Congé sans solde"),AND(F644="Congé spécial",D644="Férié"),AND(F644="Férié",D644="OFF"),AND(F644="Férié",D644="Congé"),AND(F644="Férié",D644="Congé sans solde"),AND(F644="Férié",D644="Congé spécial")),0,IF(OR(F644="OFF",F644="Congé",F644="Congé spécial",F644="Congé sans solde",D644="OFF",D644="Congé",D644="Congé spécial",D644="Congé sans solde"),0.208333333333334,IF(AND(AG644="",F644-D644&lt;0),("24:00:00"-D644)+("00:00:00"+F644)-0.0416666666666667,IF(AND(OR(AG644="Allaitement",AG644="Sans déjeuner"),F644-D644&lt;0),("24:00:00"-D644)+("00:00:00"+F644),IF(AND(AG644="",F644-D644&gt;0.166666666666667),F644-D644-0.0416666666666667,IF(AND(OR(AG644="Allaitement",AG644="Sans déjeuner"),F644-D644&gt;0.166666666666667),F644-D644,F644-D644)))))))</f>
        <v>0</v>
      </c>
      <c r="P644" s="6" t="str">
        <f aca="false">IFERROR(VLOOKUP($B644,Agents!$A:$D,2,0),"-")</f>
        <v>Accessibilité</v>
      </c>
      <c r="Q644" s="21" t="n">
        <v>46145</v>
      </c>
      <c r="R644" s="8" t="n">
        <f aca="false">IF(M644="Abs",O644,0)</f>
        <v>0</v>
      </c>
      <c r="S644" s="8" t="n">
        <f aca="false">SUM(R644,L644,I644,J644,W644,H644)</f>
        <v>0</v>
      </c>
      <c r="T644" s="6" t="str">
        <f aca="false">"Sem - "&amp;WEEKNUM(Q644,21)</f>
        <v>Sem - 18</v>
      </c>
      <c r="U644" s="6" t="str">
        <f aca="false">CHOOSE(MONTH(Q644),"Janvier","Février","Mars","Avril","Mai","Juin","Juillet","Août","Septembre","Octobre","Novembre","Décembre")</f>
        <v>Mai</v>
      </c>
      <c r="V644" s="22" t="n">
        <f aca="false">YEAR(Q644)</f>
        <v>2026</v>
      </c>
      <c r="W644" s="20"/>
      <c r="X644" s="8" t="n">
        <f aca="false">IFERROR(IF(M644="Abs",0,IF(ROUND((D644-C644+E644-F644)*1440,0)&lt;=1,0,D644-C644+E644-F644)),0)</f>
        <v>0</v>
      </c>
      <c r="Y644" s="6" t="str">
        <f aca="false">IFERROR(VLOOKUP($B644,Agents!$A:$D,3,0),"-")</f>
        <v>OUBRAHIM Mohammed</v>
      </c>
      <c r="Z644" s="6" t="str">
        <f aca="false">IFERROR(VLOOKUP($B644,Agents!$A:$D,4,0),"-")</f>
        <v>Credit Mutuel</v>
      </c>
      <c r="AA644" s="18" t="s">
        <v>100</v>
      </c>
      <c r="AB644" s="8" t="str">
        <f aca="false">IF(AND(D644="Congé",F644="Congé"),0.333333333333333,IF(OR(AND(D644="Congé",F644&lt;&gt;"Congé"),(AND(F644="Congé",D644&lt;&gt;"Congé"))),0.166666666666667,""))</f>
        <v/>
      </c>
      <c r="AC644" s="8" t="str">
        <f aca="false">IF(AND(D644="Congé sans solde",F644="Congé sans solde"),0.333333333333333,IF(OR(AND(D644="Congé sans solde",F644&lt;&gt;"Congé sans solde"),(AND(F644="Congé sans solde",D644&lt;&gt;"Congé sans solde"))),0.166666666666667,""))</f>
        <v/>
      </c>
      <c r="AD644" s="8" t="str">
        <f aca="false">IF(AND(D644="Congé spécial",F644="Congé spécial"),0.333333333333333,IF(OR(AND(D644="Congé spécial",F644&lt;&gt;"Congé spécial"),AND(F644="Congé spécial",D644&lt;&gt;"Congé spécial")),0.166666666666667,""))</f>
        <v/>
      </c>
      <c r="AE644" s="8" t="str">
        <f aca="false">IF(AND(D644="Férié",F644="Férié"),0.333333333333333,IF(OR(AND(D644="Férié",F644&lt;&gt;"Férié"),(AND(F644="Férié",D644&lt;&gt;"Férié"))),0.166666666666667,""))</f>
        <v/>
      </c>
      <c r="AF644" s="18"/>
      <c r="AG644" s="18"/>
    </row>
    <row r="645" customFormat="false" ht="15" hidden="false" customHeight="false" outlineLevel="0" collapsed="false">
      <c r="A645" s="6" t="str">
        <f aca="false">YEAR(Q645-WEEKDAY(Q645,2)+4)&amp;"-S"&amp;TEXT(WEEKNUM(Q645,21),"00")</f>
        <v>2026-S18</v>
      </c>
      <c r="B645" s="18" t="s">
        <v>73</v>
      </c>
      <c r="C645" s="19"/>
      <c r="D645" s="19" t="s">
        <v>74</v>
      </c>
      <c r="E645" s="19"/>
      <c r="F645" s="19" t="s">
        <v>74</v>
      </c>
      <c r="G645" s="20"/>
      <c r="H645" s="20"/>
      <c r="I645" s="8" t="str">
        <f aca="false">IF(IF(OR(C645="",D645="Congé",D645="OFF",D645="Congé spécial"),"",IF(D645&gt;F645,D645-C645,IF(C645-D645&lt;0,0,C645-D645)))&lt;0.00068287037037037,"",IF(OR(D645="Congé",D645="OFF",C645="",D645="Congé spécial"),"",IF(D645&gt;F645,D645-C645,IF(C645-D645&lt;0,0,C645-D645))))</f>
        <v/>
      </c>
      <c r="J645" s="20"/>
      <c r="K645" s="8" t="n">
        <f aca="false">IF(SUM(H645:J645)&lt;0.00068287037037037,0,SUM(H645:J645))</f>
        <v>0</v>
      </c>
      <c r="L645" s="8" t="n">
        <f aca="false">IF(OR(F645="Congé",F645="OFF",M645="Abs",F645="Congé sans solde",F645="Férié",F645="Congé spécial",D645="Congé spécial"),0,IF(F645-E645&lt;0,0,IF(F645-E645&lt;=0.00068287037037037,0,F645-E645)))</f>
        <v>0</v>
      </c>
      <c r="M645" s="6" t="n">
        <f aca="false">IF(AND(O645&lt;&gt;0,C645=""),"Abs",0)</f>
        <v>0</v>
      </c>
      <c r="N645" s="8" t="str">
        <f aca="false">IFERROR(IF(OR(D645="OFF",D645="Congé",M645="Abs",D645="Congé sans solde",D645="Férié"),"",IF(O645-K645-L645&gt;O645,O645,IF(O645-K645-L645&lt;0,"",O645-K645-L645))),"")</f>
        <v/>
      </c>
      <c r="O645" s="8" t="n">
        <f aca="false">IF(AG645="2H Pause déjeuner",IF(F645-D645-0.0833333333333333&lt;0,F645-D645-0.0833333333333333+1,F645-D645-0.0833333333333333),IF(OR(AND(F645="OFF",D645="OFF"),AND(F645="Congé",D645="Congé"),AND(F645="Congé sans solde",D645="Congé sans solde"),AND(F645="Congé spécial",D645="Congé spécial"),AND(F645="Férié",D645="Férié"),AND(F645="OFF",D645="Congé"),AND(F645="OFF",D645="Congé sans solde"),AND(F645="OFF",D645="Congé spécial"),AND(F645="OFF",D645="Férié"),AND(F645="Congé",D645="OFF"),AND(F645="Congé",D645="Congé sans solde"),AND(F645="Congé",D645="Congé spécial"),AND(F645="Congé",D645="Férié"),AND(F645="Congé sans solde",D645="OFF"),AND(F645="Congé sans solde",D645="Congé"),AND(F645="Congé sans solde",D645="Congé spécial"),AND(F645="Congé sans solde",D645="Férié"),AND(F645="Congé spécial",D645="OFF"),AND(F645="Congé spécial",D645="Congé"),AND(F645="Congé spécial",D645="Congé sans solde"),AND(F645="Congé spécial",D645="Férié"),AND(F645="Férié",D645="OFF"),AND(F645="Férié",D645="Congé"),AND(F645="Férié",D645="Congé sans solde"),AND(F645="Férié",D645="Congé spécial")),0,IF(OR(F645="OFF",F645="Congé",F645="Congé spécial",F645="Congé sans solde",D645="OFF",D645="Congé",D645="Congé spécial",D645="Congé sans solde"),0.208333333333334,IF(AND(AG645="",F645-D645&lt;0),("24:00:00"-D645)+("00:00:00"+F645)-0.0416666666666667,IF(AND(OR(AG645="Allaitement",AG645="Sans déjeuner"),F645-D645&lt;0),("24:00:00"-D645)+("00:00:00"+F645),IF(AND(AG645="",F645-D645&gt;0.166666666666667),F645-D645-0.0416666666666667,IF(AND(OR(AG645="Allaitement",AG645="Sans déjeuner"),F645-D645&gt;0.166666666666667),F645-D645,F645-D645)))))))</f>
        <v>0</v>
      </c>
      <c r="P645" s="6" t="str">
        <f aca="false">IFERROR(VLOOKUP($B645,Agents!$A:$D,2,0),"-")</f>
        <v>Accessibilité</v>
      </c>
      <c r="Q645" s="21" t="n">
        <v>46145</v>
      </c>
      <c r="R645" s="8" t="n">
        <f aca="false">IF(M645="Abs",O645,0)</f>
        <v>0</v>
      </c>
      <c r="S645" s="8" t="n">
        <f aca="false">SUM(R645,L645,I645,J645,W645,H645)</f>
        <v>0</v>
      </c>
      <c r="T645" s="6" t="str">
        <f aca="false">"Sem - "&amp;WEEKNUM(Q645,21)</f>
        <v>Sem - 18</v>
      </c>
      <c r="U645" s="6" t="str">
        <f aca="false">CHOOSE(MONTH(Q645),"Janvier","Février","Mars","Avril","Mai","Juin","Juillet","Août","Septembre","Octobre","Novembre","Décembre")</f>
        <v>Mai</v>
      </c>
      <c r="V645" s="22" t="n">
        <f aca="false">YEAR(Q645)</f>
        <v>2026</v>
      </c>
      <c r="W645" s="20"/>
      <c r="X645" s="8" t="n">
        <f aca="false">IFERROR(IF(M645="Abs",0,IF(ROUND((D645-C645+E645-F645)*1440,0)&lt;=1,0,D645-C645+E645-F645)),0)</f>
        <v>0</v>
      </c>
      <c r="Y645" s="6" t="str">
        <f aca="false">IFERROR(VLOOKUP($B645,Agents!$A:$D,3,0),"-")</f>
        <v>OUBRAHIM Mohammed</v>
      </c>
      <c r="Z645" s="6" t="str">
        <f aca="false">IFERROR(VLOOKUP($B645,Agents!$A:$D,4,0),"-")</f>
        <v>Credit Mutuel</v>
      </c>
      <c r="AA645" s="18" t="s">
        <v>100</v>
      </c>
      <c r="AB645" s="8" t="str">
        <f aca="false">IF(AND(D645="Congé",F645="Congé"),0.333333333333333,IF(OR(AND(D645="Congé",F645&lt;&gt;"Congé"),(AND(F645="Congé",D645&lt;&gt;"Congé"))),0.166666666666667,""))</f>
        <v/>
      </c>
      <c r="AC645" s="8" t="str">
        <f aca="false">IF(AND(D645="Congé sans solde",F645="Congé sans solde"),0.333333333333333,IF(OR(AND(D645="Congé sans solde",F645&lt;&gt;"Congé sans solde"),(AND(F645="Congé sans solde",D645&lt;&gt;"Congé sans solde"))),0.166666666666667,""))</f>
        <v/>
      </c>
      <c r="AD645" s="8" t="str">
        <f aca="false">IF(AND(D645="Congé spécial",F645="Congé spécial"),0.333333333333333,IF(OR(AND(D645="Congé spécial",F645&lt;&gt;"Congé spécial"),AND(F645="Congé spécial",D645&lt;&gt;"Congé spécial")),0.166666666666667,""))</f>
        <v/>
      </c>
      <c r="AE645" s="8" t="str">
        <f aca="false">IF(AND(D645="Férié",F645="Férié"),0.333333333333333,IF(OR(AND(D645="Férié",F645&lt;&gt;"Férié"),(AND(F645="Férié",D645&lt;&gt;"Férié"))),0.166666666666667,""))</f>
        <v/>
      </c>
      <c r="AF645" s="18"/>
      <c r="AG645" s="18"/>
    </row>
    <row r="646" customFormat="false" ht="15" hidden="false" customHeight="false" outlineLevel="0" collapsed="false">
      <c r="A646" s="6" t="str">
        <f aca="false">YEAR(Q646-WEEKDAY(Q646,2)+4)&amp;"-S"&amp;TEXT(WEEKNUM(Q646,21),"00")</f>
        <v>2026-S19</v>
      </c>
      <c r="B646" s="18" t="s">
        <v>71</v>
      </c>
      <c r="C646" s="19" t="n">
        <v>0.332638888888889</v>
      </c>
      <c r="D646" s="19" t="n">
        <v>0.333333333333333</v>
      </c>
      <c r="E646" s="19" t="n">
        <v>0.75</v>
      </c>
      <c r="F646" s="19" t="n">
        <v>0.75</v>
      </c>
      <c r="G646" s="20"/>
      <c r="H646" s="20"/>
      <c r="I646" s="8" t="str">
        <f aca="false">IF(IF(OR(C646="",D646="Congé",D646="OFF",D646="Congé spécial"),"",IF(D646&gt;F646,D646-C646,IF(C646-D646&lt;0,0,C646-D646)))&lt;0.00068287037037037,"",IF(OR(D646="Congé",D646="OFF",C646="",D646="Congé spécial"),"",IF(D646&gt;F646,D646-C646,IF(C646-D646&lt;0,0,C646-D646))))</f>
        <v/>
      </c>
      <c r="J646" s="20"/>
      <c r="K646" s="8" t="n">
        <f aca="false">IF(SUM(H646:J646)&lt;0.00068287037037037,0,SUM(H646:J646))</f>
        <v>0</v>
      </c>
      <c r="L646" s="8" t="n">
        <f aca="false">IF(OR(F646="Congé",F646="OFF",M646="Abs",F646="Congé sans solde",F646="Férié",F646="Congé spécial",D646="Congé spécial"),0,IF(F646-E646&lt;0,0,IF(F646-E646&lt;=0.00068287037037037,0,F646-E646)))</f>
        <v>0</v>
      </c>
      <c r="M646" s="6" t="n">
        <f aca="false">IF(AND(O646&lt;&gt;0,C646=""),"Abs",0)</f>
        <v>0</v>
      </c>
      <c r="N646" s="8" t="n">
        <f aca="false">IFERROR(IF(OR(D646="OFF",D646="Congé",M646="Abs",D646="Congé sans solde",D646="Férié"),"",IF(O646-K646-L646&gt;O646,O646,IF(O646-K646-L646&lt;0,"",O646-K646-L646))),"")</f>
        <v>0.375</v>
      </c>
      <c r="O646" s="8" t="n">
        <f aca="false">IF(AG646="2H Pause déjeuner",IF(F646-D646-0.0833333333333333&lt;0,F646-D646-0.0833333333333333+1,F646-D646-0.0833333333333333),IF(OR(AND(F646="OFF",D646="OFF"),AND(F646="Congé",D646="Congé"),AND(F646="Congé sans solde",D646="Congé sans solde"),AND(F646="Congé spécial",D646="Congé spécial"),AND(F646="Férié",D646="Férié"),AND(F646="OFF",D646="Congé"),AND(F646="OFF",D646="Congé sans solde"),AND(F646="OFF",D646="Congé spécial"),AND(F646="OFF",D646="Férié"),AND(F646="Congé",D646="OFF"),AND(F646="Congé",D646="Congé sans solde"),AND(F646="Congé",D646="Congé spécial"),AND(F646="Congé",D646="Férié"),AND(F646="Congé sans solde",D646="OFF"),AND(F646="Congé sans solde",D646="Congé"),AND(F646="Congé sans solde",D646="Congé spécial"),AND(F646="Congé sans solde",D646="Férié"),AND(F646="Congé spécial",D646="OFF"),AND(F646="Congé spécial",D646="Congé"),AND(F646="Congé spécial",D646="Congé sans solde"),AND(F646="Congé spécial",D646="Férié"),AND(F646="Férié",D646="OFF"),AND(F646="Férié",D646="Congé"),AND(F646="Férié",D646="Congé sans solde"),AND(F646="Férié",D646="Congé spécial")),0,IF(OR(F646="OFF",F646="Congé",F646="Congé spécial",F646="Congé sans solde",D646="OFF",D646="Congé",D646="Congé spécial",D646="Congé sans solde"),0.208333333333334,IF(AND(AG646="",F646-D646&lt;0),("24:00:00"-D646)+("00:00:00"+F646)-0.0416666666666667,IF(AND(OR(AG646="Allaitement",AG646="Sans déjeuner"),F646-D646&lt;0),("24:00:00"-D646)+("00:00:00"+F646),IF(AND(AG646="",F646-D646&gt;0.166666666666667),F646-D646-0.0416666666666667,IF(AND(OR(AG646="Allaitement",AG646="Sans déjeuner"),F646-D646&gt;0.166666666666667),F646-D646,F646-D646)))))))</f>
        <v>0.375</v>
      </c>
      <c r="P646" s="6" t="str">
        <f aca="false">IFERROR(VLOOKUP($B646,Agents!$A:$D,2,0),"-")</f>
        <v>Accessibilité</v>
      </c>
      <c r="Q646" s="21" t="n">
        <v>46146</v>
      </c>
      <c r="R646" s="8" t="n">
        <f aca="false">IF(M646="Abs",O646,0)</f>
        <v>0</v>
      </c>
      <c r="S646" s="8" t="n">
        <f aca="false">SUM(R646,L646,I646,J646,W646,H646)</f>
        <v>0</v>
      </c>
      <c r="T646" s="6" t="str">
        <f aca="false">"Sem - "&amp;WEEKNUM(Q646,21)</f>
        <v>Sem - 19</v>
      </c>
      <c r="U646" s="6" t="str">
        <f aca="false">CHOOSE(MONTH(Q646),"Janvier","Février","Mars","Avril","Mai","Juin","Juillet","Août","Septembre","Octobre","Novembre","Décembre")</f>
        <v>Mai</v>
      </c>
      <c r="V646" s="22" t="n">
        <f aca="false">YEAR(Q646)</f>
        <v>2026</v>
      </c>
      <c r="W646" s="20"/>
      <c r="X646" s="8" t="n">
        <f aca="false">IFERROR(IF(M646="Abs",0,IF(ROUND((D646-C646+E646-F646)*1440,0)&lt;=1,0,D646-C646+E646-F646)),0)</f>
        <v>0</v>
      </c>
      <c r="Y646" s="6" t="str">
        <f aca="false">IFERROR(VLOOKUP($B646,Agents!$A:$D,3,0),"-")</f>
        <v>OUBRAHIM Mohammed</v>
      </c>
      <c r="Z646" s="6" t="str">
        <f aca="false">IFERROR(VLOOKUP($B646,Agents!$A:$D,4,0),"-")</f>
        <v>Credit Mutuel</v>
      </c>
      <c r="AA646" s="18" t="s">
        <v>101</v>
      </c>
      <c r="AB646" s="8" t="str">
        <f aca="false">IF(AND(D646="Congé",F646="Congé"),0.333333333333333,IF(OR(AND(D646="Congé",F646&lt;&gt;"Congé"),(AND(F646="Congé",D646&lt;&gt;"Congé"))),0.166666666666667,""))</f>
        <v/>
      </c>
      <c r="AC646" s="8" t="str">
        <f aca="false">IF(AND(D646="Congé sans solde",F646="Congé sans solde"),0.333333333333333,IF(OR(AND(D646="Congé sans solde",F646&lt;&gt;"Congé sans solde"),(AND(F646="Congé sans solde",D646&lt;&gt;"Congé sans solde"))),0.166666666666667,""))</f>
        <v/>
      </c>
      <c r="AD646" s="8" t="str">
        <f aca="false">IF(AND(D646="Congé spécial",F646="Congé spécial"),0.333333333333333,IF(OR(AND(D646="Congé spécial",F646&lt;&gt;"Congé spécial"),AND(F646="Congé spécial",D646&lt;&gt;"Congé spécial")),0.166666666666667,""))</f>
        <v/>
      </c>
      <c r="AE646" s="8" t="str">
        <f aca="false">IF(AND(D646="Férié",F646="Férié"),0.333333333333333,IF(OR(AND(D646="Férié",F646&lt;&gt;"Férié"),(AND(F646="Férié",D646&lt;&gt;"Férié"))),0.166666666666667,""))</f>
        <v/>
      </c>
      <c r="AF646" s="18"/>
      <c r="AG646" s="18"/>
    </row>
    <row r="647" customFormat="false" ht="15" hidden="false" customHeight="false" outlineLevel="0" collapsed="false">
      <c r="A647" s="6" t="str">
        <f aca="false">YEAR(Q647-WEEKDAY(Q647,2)+4)&amp;"-S"&amp;TEXT(WEEKNUM(Q647,21),"00")</f>
        <v>2026-S19</v>
      </c>
      <c r="B647" s="18" t="s">
        <v>72</v>
      </c>
      <c r="C647" s="19" t="n">
        <v>0.333333333333333</v>
      </c>
      <c r="D647" s="19" t="n">
        <v>0.333333333333333</v>
      </c>
      <c r="E647" s="19" t="n">
        <v>0.75</v>
      </c>
      <c r="F647" s="19" t="n">
        <v>0.75</v>
      </c>
      <c r="G647" s="20"/>
      <c r="H647" s="20"/>
      <c r="I647" s="8" t="str">
        <f aca="false">IF(IF(OR(C647="",D647="Congé",D647="OFF",D647="Congé spécial"),"",IF(D647&gt;F647,D647-C647,IF(C647-D647&lt;0,0,C647-D647)))&lt;0.00068287037037037,"",IF(OR(D647="Congé",D647="OFF",C647="",D647="Congé spécial"),"",IF(D647&gt;F647,D647-C647,IF(C647-D647&lt;0,0,C647-D647))))</f>
        <v/>
      </c>
      <c r="J647" s="20"/>
      <c r="K647" s="8" t="n">
        <f aca="false">IF(SUM(H647:J647)&lt;0.00068287037037037,0,SUM(H647:J647))</f>
        <v>0</v>
      </c>
      <c r="L647" s="8" t="n">
        <f aca="false">IF(OR(F647="Congé",F647="OFF",M647="Abs",F647="Congé sans solde",F647="Férié",F647="Congé spécial",D647="Congé spécial"),0,IF(F647-E647&lt;0,0,IF(F647-E647&lt;=0.00068287037037037,0,F647-E647)))</f>
        <v>0</v>
      </c>
      <c r="M647" s="6" t="n">
        <f aca="false">IF(AND(O647&lt;&gt;0,C647=""),"Abs",0)</f>
        <v>0</v>
      </c>
      <c r="N647" s="8" t="n">
        <f aca="false">IFERROR(IF(OR(D647="OFF",D647="Congé",M647="Abs",D647="Congé sans solde",D647="Férié"),"",IF(O647-K647-L647&gt;O647,O647,IF(O647-K647-L647&lt;0,"",O647-K647-L647))),"")</f>
        <v>0.375</v>
      </c>
      <c r="O647" s="8" t="n">
        <f aca="false">IF(AG647="2H Pause déjeuner",IF(F647-D647-0.0833333333333333&lt;0,F647-D647-0.0833333333333333+1,F647-D647-0.0833333333333333),IF(OR(AND(F647="OFF",D647="OFF"),AND(F647="Congé",D647="Congé"),AND(F647="Congé sans solde",D647="Congé sans solde"),AND(F647="Congé spécial",D647="Congé spécial"),AND(F647="Férié",D647="Férié"),AND(F647="OFF",D647="Congé"),AND(F647="OFF",D647="Congé sans solde"),AND(F647="OFF",D647="Congé spécial"),AND(F647="OFF",D647="Férié"),AND(F647="Congé",D647="OFF"),AND(F647="Congé",D647="Congé sans solde"),AND(F647="Congé",D647="Congé spécial"),AND(F647="Congé",D647="Férié"),AND(F647="Congé sans solde",D647="OFF"),AND(F647="Congé sans solde",D647="Congé"),AND(F647="Congé sans solde",D647="Congé spécial"),AND(F647="Congé sans solde",D647="Férié"),AND(F647="Congé spécial",D647="OFF"),AND(F647="Congé spécial",D647="Congé"),AND(F647="Congé spécial",D647="Congé sans solde"),AND(F647="Congé spécial",D647="Férié"),AND(F647="Férié",D647="OFF"),AND(F647="Férié",D647="Congé"),AND(F647="Férié",D647="Congé sans solde"),AND(F647="Férié",D647="Congé spécial")),0,IF(OR(F647="OFF",F647="Congé",F647="Congé spécial",F647="Congé sans solde",D647="OFF",D647="Congé",D647="Congé spécial",D647="Congé sans solde"),0.208333333333334,IF(AND(AG647="",F647-D647&lt;0),("24:00:00"-D647)+("00:00:00"+F647)-0.0416666666666667,IF(AND(OR(AG647="Allaitement",AG647="Sans déjeuner"),F647-D647&lt;0),("24:00:00"-D647)+("00:00:00"+F647),IF(AND(AG647="",F647-D647&gt;0.166666666666667),F647-D647-0.0416666666666667,IF(AND(OR(AG647="Allaitement",AG647="Sans déjeuner"),F647-D647&gt;0.166666666666667),F647-D647,F647-D647)))))))</f>
        <v>0.375</v>
      </c>
      <c r="P647" s="6" t="str">
        <f aca="false">IFERROR(VLOOKUP($B647,Agents!$A:$D,2,0),"-")</f>
        <v>Accessibilité</v>
      </c>
      <c r="Q647" s="21" t="n">
        <v>46146</v>
      </c>
      <c r="R647" s="8" t="n">
        <f aca="false">IF(M647="Abs",O647,0)</f>
        <v>0</v>
      </c>
      <c r="S647" s="8" t="n">
        <f aca="false">SUM(R647,L647,I647,J647,W647,H647)</f>
        <v>0</v>
      </c>
      <c r="T647" s="6" t="str">
        <f aca="false">"Sem - "&amp;WEEKNUM(Q647,21)</f>
        <v>Sem - 19</v>
      </c>
      <c r="U647" s="6" t="str">
        <f aca="false">CHOOSE(MONTH(Q647),"Janvier","Février","Mars","Avril","Mai","Juin","Juillet","Août","Septembre","Octobre","Novembre","Décembre")</f>
        <v>Mai</v>
      </c>
      <c r="V647" s="22" t="n">
        <f aca="false">YEAR(Q647)</f>
        <v>2026</v>
      </c>
      <c r="W647" s="20"/>
      <c r="X647" s="8" t="n">
        <f aca="false">IFERROR(IF(M647="Abs",0,IF(ROUND((D647-C647+E647-F647)*1440,0)&lt;=1,0,D647-C647+E647-F647)),0)</f>
        <v>0</v>
      </c>
      <c r="Y647" s="6" t="str">
        <f aca="false">IFERROR(VLOOKUP($B647,Agents!$A:$D,3,0),"-")</f>
        <v>OUBRAHIM Mohammed</v>
      </c>
      <c r="Z647" s="6" t="str">
        <f aca="false">IFERROR(VLOOKUP($B647,Agents!$A:$D,4,0),"-")</f>
        <v>Credit Mutuel</v>
      </c>
      <c r="AA647" s="18" t="s">
        <v>101</v>
      </c>
      <c r="AB647" s="8" t="str">
        <f aca="false">IF(AND(D647="Congé",F647="Congé"),0.333333333333333,IF(OR(AND(D647="Congé",F647&lt;&gt;"Congé"),(AND(F647="Congé",D647&lt;&gt;"Congé"))),0.166666666666667,""))</f>
        <v/>
      </c>
      <c r="AC647" s="8" t="str">
        <f aca="false">IF(AND(D647="Congé sans solde",F647="Congé sans solde"),0.333333333333333,IF(OR(AND(D647="Congé sans solde",F647&lt;&gt;"Congé sans solde"),(AND(F647="Congé sans solde",D647&lt;&gt;"Congé sans solde"))),0.166666666666667,""))</f>
        <v/>
      </c>
      <c r="AD647" s="8" t="str">
        <f aca="false">IF(AND(D647="Congé spécial",F647="Congé spécial"),0.333333333333333,IF(OR(AND(D647="Congé spécial",F647&lt;&gt;"Congé spécial"),AND(F647="Congé spécial",D647&lt;&gt;"Congé spécial")),0.166666666666667,""))</f>
        <v/>
      </c>
      <c r="AE647" s="8" t="str">
        <f aca="false">IF(AND(D647="Férié",F647="Férié"),0.333333333333333,IF(OR(AND(D647="Férié",F647&lt;&gt;"Férié"),(AND(F647="Férié",D647&lt;&gt;"Férié"))),0.166666666666667,""))</f>
        <v/>
      </c>
      <c r="AF647" s="18"/>
      <c r="AG647" s="18"/>
    </row>
    <row r="648" customFormat="false" ht="15" hidden="false" customHeight="false" outlineLevel="0" collapsed="false">
      <c r="A648" s="6" t="str">
        <f aca="false">YEAR(Q648-WEEKDAY(Q648,2)+4)&amp;"-S"&amp;TEXT(WEEKNUM(Q648,21),"00")</f>
        <v>2026-S19</v>
      </c>
      <c r="B648" s="18" t="s">
        <v>73</v>
      </c>
      <c r="C648" s="19" t="n">
        <v>0.332638888888889</v>
      </c>
      <c r="D648" s="19" t="n">
        <v>0.333333333333333</v>
      </c>
      <c r="E648" s="19" t="n">
        <v>0.75</v>
      </c>
      <c r="F648" s="19" t="n">
        <v>0.75</v>
      </c>
      <c r="G648" s="20"/>
      <c r="H648" s="20"/>
      <c r="I648" s="8" t="str">
        <f aca="false">IF(IF(OR(C648="",D648="Congé",D648="OFF",D648="Congé spécial"),"",IF(D648&gt;F648,D648-C648,IF(C648-D648&lt;0,0,C648-D648)))&lt;0.00068287037037037,"",IF(OR(D648="Congé",D648="OFF",C648="",D648="Congé spécial"),"",IF(D648&gt;F648,D648-C648,IF(C648-D648&lt;0,0,C648-D648))))</f>
        <v/>
      </c>
      <c r="J648" s="20"/>
      <c r="K648" s="8" t="n">
        <f aca="false">IF(SUM(H648:J648)&lt;0.00068287037037037,0,SUM(H648:J648))</f>
        <v>0</v>
      </c>
      <c r="L648" s="8" t="n">
        <f aca="false">IF(OR(F648="Congé",F648="OFF",M648="Abs",F648="Congé sans solde",F648="Férié",F648="Congé spécial",D648="Congé spécial"),0,IF(F648-E648&lt;0,0,IF(F648-E648&lt;=0.00068287037037037,0,F648-E648)))</f>
        <v>0</v>
      </c>
      <c r="M648" s="6" t="n">
        <f aca="false">IF(AND(O648&lt;&gt;0,C648=""),"Abs",0)</f>
        <v>0</v>
      </c>
      <c r="N648" s="8" t="n">
        <f aca="false">IFERROR(IF(OR(D648="OFF",D648="Congé",M648="Abs",D648="Congé sans solde",D648="Férié"),"",IF(O648-K648-L648&gt;O648,O648,IF(O648-K648-L648&lt;0,"",O648-K648-L648))),"")</f>
        <v>0.375</v>
      </c>
      <c r="O648" s="8" t="n">
        <f aca="false">IF(AG648="2H Pause déjeuner",IF(F648-D648-0.0833333333333333&lt;0,F648-D648-0.0833333333333333+1,F648-D648-0.0833333333333333),IF(OR(AND(F648="OFF",D648="OFF"),AND(F648="Congé",D648="Congé"),AND(F648="Congé sans solde",D648="Congé sans solde"),AND(F648="Congé spécial",D648="Congé spécial"),AND(F648="Férié",D648="Férié"),AND(F648="OFF",D648="Congé"),AND(F648="OFF",D648="Congé sans solde"),AND(F648="OFF",D648="Congé spécial"),AND(F648="OFF",D648="Férié"),AND(F648="Congé",D648="OFF"),AND(F648="Congé",D648="Congé sans solde"),AND(F648="Congé",D648="Congé spécial"),AND(F648="Congé",D648="Férié"),AND(F648="Congé sans solde",D648="OFF"),AND(F648="Congé sans solde",D648="Congé"),AND(F648="Congé sans solde",D648="Congé spécial"),AND(F648="Congé sans solde",D648="Férié"),AND(F648="Congé spécial",D648="OFF"),AND(F648="Congé spécial",D648="Congé"),AND(F648="Congé spécial",D648="Congé sans solde"),AND(F648="Congé spécial",D648="Férié"),AND(F648="Férié",D648="OFF"),AND(F648="Férié",D648="Congé"),AND(F648="Férié",D648="Congé sans solde"),AND(F648="Férié",D648="Congé spécial")),0,IF(OR(F648="OFF",F648="Congé",F648="Congé spécial",F648="Congé sans solde",D648="OFF",D648="Congé",D648="Congé spécial",D648="Congé sans solde"),0.208333333333334,IF(AND(AG648="",F648-D648&lt;0),("24:00:00"-D648)+("00:00:00"+F648)-0.0416666666666667,IF(AND(OR(AG648="Allaitement",AG648="Sans déjeuner"),F648-D648&lt;0),("24:00:00"-D648)+("00:00:00"+F648),IF(AND(AG648="",F648-D648&gt;0.166666666666667),F648-D648-0.0416666666666667,IF(AND(OR(AG648="Allaitement",AG648="Sans déjeuner"),F648-D648&gt;0.166666666666667),F648-D648,F648-D648)))))))</f>
        <v>0.375</v>
      </c>
      <c r="P648" s="6" t="str">
        <f aca="false">IFERROR(VLOOKUP($B648,Agents!$A:$D,2,0),"-")</f>
        <v>Accessibilité</v>
      </c>
      <c r="Q648" s="21" t="n">
        <v>46146</v>
      </c>
      <c r="R648" s="8" t="n">
        <f aca="false">IF(M648="Abs",O648,0)</f>
        <v>0</v>
      </c>
      <c r="S648" s="8" t="n">
        <f aca="false">SUM(R648,L648,I648,J648,W648,H648)</f>
        <v>0</v>
      </c>
      <c r="T648" s="6" t="str">
        <f aca="false">"Sem - "&amp;WEEKNUM(Q648,21)</f>
        <v>Sem - 19</v>
      </c>
      <c r="U648" s="6" t="str">
        <f aca="false">CHOOSE(MONTH(Q648),"Janvier","Février","Mars","Avril","Mai","Juin","Juillet","Août","Septembre","Octobre","Novembre","Décembre")</f>
        <v>Mai</v>
      </c>
      <c r="V648" s="22" t="n">
        <f aca="false">YEAR(Q648)</f>
        <v>2026</v>
      </c>
      <c r="W648" s="20"/>
      <c r="X648" s="8" t="n">
        <f aca="false">IFERROR(IF(M648="Abs",0,IF(ROUND((D648-C648+E648-F648)*1440,0)&lt;=1,0,D648-C648+E648-F648)),0)</f>
        <v>0</v>
      </c>
      <c r="Y648" s="6" t="str">
        <f aca="false">IFERROR(VLOOKUP($B648,Agents!$A:$D,3,0),"-")</f>
        <v>OUBRAHIM Mohammed</v>
      </c>
      <c r="Z648" s="6" t="str">
        <f aca="false">IFERROR(VLOOKUP($B648,Agents!$A:$D,4,0),"-")</f>
        <v>Credit Mutuel</v>
      </c>
      <c r="AA648" s="18" t="s">
        <v>101</v>
      </c>
      <c r="AB648" s="8" t="str">
        <f aca="false">IF(AND(D648="Congé",F648="Congé"),0.333333333333333,IF(OR(AND(D648="Congé",F648&lt;&gt;"Congé"),(AND(F648="Congé",D648&lt;&gt;"Congé"))),0.166666666666667,""))</f>
        <v/>
      </c>
      <c r="AC648" s="8" t="str">
        <f aca="false">IF(AND(D648="Congé sans solde",F648="Congé sans solde"),0.333333333333333,IF(OR(AND(D648="Congé sans solde",F648&lt;&gt;"Congé sans solde"),(AND(F648="Congé sans solde",D648&lt;&gt;"Congé sans solde"))),0.166666666666667,""))</f>
        <v/>
      </c>
      <c r="AD648" s="8" t="str">
        <f aca="false">IF(AND(D648="Congé spécial",F648="Congé spécial"),0.333333333333333,IF(OR(AND(D648="Congé spécial",F648&lt;&gt;"Congé spécial"),AND(F648="Congé spécial",D648&lt;&gt;"Congé spécial")),0.166666666666667,""))</f>
        <v/>
      </c>
      <c r="AE648" s="8" t="str">
        <f aca="false">IF(AND(D648="Férié",F648="Férié"),0.333333333333333,IF(OR(AND(D648="Férié",F648&lt;&gt;"Férié"),(AND(F648="Férié",D648&lt;&gt;"Férié"))),0.166666666666667,""))</f>
        <v/>
      </c>
      <c r="AF648" s="18"/>
      <c r="AG648" s="18"/>
    </row>
    <row r="649" customFormat="false" ht="15" hidden="false" customHeight="false" outlineLevel="0" collapsed="false">
      <c r="A649" s="6" t="str">
        <f aca="false">YEAR(Q649-WEEKDAY(Q649,2)+4)&amp;"-S"&amp;TEXT(WEEKNUM(Q649,21),"00")</f>
        <v>2026-S19</v>
      </c>
      <c r="B649" s="18" t="s">
        <v>71</v>
      </c>
      <c r="C649" s="19" t="n">
        <v>0.332638888888889</v>
      </c>
      <c r="D649" s="19" t="n">
        <v>0.333333333333333</v>
      </c>
      <c r="E649" s="19" t="n">
        <v>0.75</v>
      </c>
      <c r="F649" s="19" t="n">
        <v>0.75</v>
      </c>
      <c r="G649" s="20"/>
      <c r="H649" s="20"/>
      <c r="I649" s="8" t="str">
        <f aca="false">IF(IF(OR(C649="",D649="Congé",D649="OFF",D649="Congé spécial"),"",IF(D649&gt;F649,D649-C649,IF(C649-D649&lt;0,0,C649-D649)))&lt;0.00068287037037037,"",IF(OR(D649="Congé",D649="OFF",C649="",D649="Congé spécial"),"",IF(D649&gt;F649,D649-C649,IF(C649-D649&lt;0,0,C649-D649))))</f>
        <v/>
      </c>
      <c r="J649" s="20"/>
      <c r="K649" s="8" t="n">
        <f aca="false">IF(SUM(H649:J649)&lt;0.00068287037037037,0,SUM(H649:J649))</f>
        <v>0</v>
      </c>
      <c r="L649" s="8" t="n">
        <f aca="false">IF(OR(F649="Congé",F649="OFF",M649="Abs",F649="Congé sans solde",F649="Férié",F649="Congé spécial",D649="Congé spécial"),0,IF(F649-E649&lt;0,0,IF(F649-E649&lt;=0.00068287037037037,0,F649-E649)))</f>
        <v>0</v>
      </c>
      <c r="M649" s="6" t="n">
        <f aca="false">IF(AND(O649&lt;&gt;0,C649=""),"Abs",0)</f>
        <v>0</v>
      </c>
      <c r="N649" s="8" t="n">
        <f aca="false">IFERROR(IF(OR(D649="OFF",D649="Congé",M649="Abs",D649="Congé sans solde",D649="Férié"),"",IF(O649-K649-L649&gt;O649,O649,IF(O649-K649-L649&lt;0,"",O649-K649-L649))),"")</f>
        <v>0.375</v>
      </c>
      <c r="O649" s="8" t="n">
        <f aca="false">IF(AG649="2H Pause déjeuner",IF(F649-D649-0.0833333333333333&lt;0,F649-D649-0.0833333333333333+1,F649-D649-0.0833333333333333),IF(OR(AND(F649="OFF",D649="OFF"),AND(F649="Congé",D649="Congé"),AND(F649="Congé sans solde",D649="Congé sans solde"),AND(F649="Congé spécial",D649="Congé spécial"),AND(F649="Férié",D649="Férié"),AND(F649="OFF",D649="Congé"),AND(F649="OFF",D649="Congé sans solde"),AND(F649="OFF",D649="Congé spécial"),AND(F649="OFF",D649="Férié"),AND(F649="Congé",D649="OFF"),AND(F649="Congé",D649="Congé sans solde"),AND(F649="Congé",D649="Congé spécial"),AND(F649="Congé",D649="Férié"),AND(F649="Congé sans solde",D649="OFF"),AND(F649="Congé sans solde",D649="Congé"),AND(F649="Congé sans solde",D649="Congé spécial"),AND(F649="Congé sans solde",D649="Férié"),AND(F649="Congé spécial",D649="OFF"),AND(F649="Congé spécial",D649="Congé"),AND(F649="Congé spécial",D649="Congé sans solde"),AND(F649="Congé spécial",D649="Férié"),AND(F649="Férié",D649="OFF"),AND(F649="Férié",D649="Congé"),AND(F649="Férié",D649="Congé sans solde"),AND(F649="Férié",D649="Congé spécial")),0,IF(OR(F649="OFF",F649="Congé",F649="Congé spécial",F649="Congé sans solde",D649="OFF",D649="Congé",D649="Congé spécial",D649="Congé sans solde"),0.208333333333334,IF(AND(AG649="",F649-D649&lt;0),("24:00:00"-D649)+("00:00:00"+F649)-0.0416666666666667,IF(AND(OR(AG649="Allaitement",AG649="Sans déjeuner"),F649-D649&lt;0),("24:00:00"-D649)+("00:00:00"+F649),IF(AND(AG649="",F649-D649&gt;0.166666666666667),F649-D649-0.0416666666666667,IF(AND(OR(AG649="Allaitement",AG649="Sans déjeuner"),F649-D649&gt;0.166666666666667),F649-D649,F649-D649)))))))</f>
        <v>0.375</v>
      </c>
      <c r="P649" s="6" t="str">
        <f aca="false">IFERROR(VLOOKUP($B649,Agents!$A:$D,2,0),"-")</f>
        <v>Accessibilité</v>
      </c>
      <c r="Q649" s="21" t="n">
        <v>46147</v>
      </c>
      <c r="R649" s="8" t="n">
        <f aca="false">IF(M649="Abs",O649,0)</f>
        <v>0</v>
      </c>
      <c r="S649" s="8" t="n">
        <f aca="false">SUM(R649,L649,I649,J649,W649,H649)</f>
        <v>0</v>
      </c>
      <c r="T649" s="6" t="str">
        <f aca="false">"Sem - "&amp;WEEKNUM(Q649,21)</f>
        <v>Sem - 19</v>
      </c>
      <c r="U649" s="6" t="str">
        <f aca="false">CHOOSE(MONTH(Q649),"Janvier","Février","Mars","Avril","Mai","Juin","Juillet","Août","Septembre","Octobre","Novembre","Décembre")</f>
        <v>Mai</v>
      </c>
      <c r="V649" s="22" t="n">
        <f aca="false">YEAR(Q649)</f>
        <v>2026</v>
      </c>
      <c r="W649" s="20"/>
      <c r="X649" s="8" t="n">
        <f aca="false">IFERROR(IF(M649="Abs",0,IF(ROUND((D649-C649+E649-F649)*1440,0)&lt;=1,0,D649-C649+E649-F649)),0)</f>
        <v>0</v>
      </c>
      <c r="Y649" s="6" t="str">
        <f aca="false">IFERROR(VLOOKUP($B649,Agents!$A:$D,3,0),"-")</f>
        <v>OUBRAHIM Mohammed</v>
      </c>
      <c r="Z649" s="6" t="str">
        <f aca="false">IFERROR(VLOOKUP($B649,Agents!$A:$D,4,0),"-")</f>
        <v>Credit Mutuel</v>
      </c>
      <c r="AA649" s="18" t="s">
        <v>101</v>
      </c>
      <c r="AB649" s="8" t="str">
        <f aca="false">IF(AND(D649="Congé",F649="Congé"),0.333333333333333,IF(OR(AND(D649="Congé",F649&lt;&gt;"Congé"),(AND(F649="Congé",D649&lt;&gt;"Congé"))),0.166666666666667,""))</f>
        <v/>
      </c>
      <c r="AC649" s="8" t="str">
        <f aca="false">IF(AND(D649="Congé sans solde",F649="Congé sans solde"),0.333333333333333,IF(OR(AND(D649="Congé sans solde",F649&lt;&gt;"Congé sans solde"),(AND(F649="Congé sans solde",D649&lt;&gt;"Congé sans solde"))),0.166666666666667,""))</f>
        <v/>
      </c>
      <c r="AD649" s="8" t="str">
        <f aca="false">IF(AND(D649="Congé spécial",F649="Congé spécial"),0.333333333333333,IF(OR(AND(D649="Congé spécial",F649&lt;&gt;"Congé spécial"),AND(F649="Congé spécial",D649&lt;&gt;"Congé spécial")),0.166666666666667,""))</f>
        <v/>
      </c>
      <c r="AE649" s="8" t="str">
        <f aca="false">IF(AND(D649="Férié",F649="Férié"),0.333333333333333,IF(OR(AND(D649="Férié",F649&lt;&gt;"Férié"),(AND(F649="Férié",D649&lt;&gt;"Férié"))),0.166666666666667,""))</f>
        <v/>
      </c>
      <c r="AF649" s="18"/>
      <c r="AG649" s="18"/>
    </row>
    <row r="650" customFormat="false" ht="15" hidden="false" customHeight="false" outlineLevel="0" collapsed="false">
      <c r="A650" s="6" t="str">
        <f aca="false">YEAR(Q650-WEEKDAY(Q650,2)+4)&amp;"-S"&amp;TEXT(WEEKNUM(Q650,21),"00")</f>
        <v>2026-S19</v>
      </c>
      <c r="B650" s="18" t="s">
        <v>72</v>
      </c>
      <c r="C650" s="19" t="n">
        <v>0.331944444444444</v>
      </c>
      <c r="D650" s="19" t="n">
        <v>0.333333333333333</v>
      </c>
      <c r="E650" s="19" t="n">
        <v>0.75</v>
      </c>
      <c r="F650" s="19" t="n">
        <v>0.75</v>
      </c>
      <c r="G650" s="20"/>
      <c r="H650" s="20"/>
      <c r="I650" s="8" t="str">
        <f aca="false">IF(IF(OR(C650="",D650="Congé",D650="OFF",D650="Congé spécial"),"",IF(D650&gt;F650,D650-C650,IF(C650-D650&lt;0,0,C650-D650)))&lt;0.00068287037037037,"",IF(OR(D650="Congé",D650="OFF",C650="",D650="Congé spécial"),"",IF(D650&gt;F650,D650-C650,IF(C650-D650&lt;0,0,C650-D650))))</f>
        <v/>
      </c>
      <c r="J650" s="20"/>
      <c r="K650" s="8" t="n">
        <f aca="false">IF(SUM(H650:J650)&lt;0.00068287037037037,0,SUM(H650:J650))</f>
        <v>0</v>
      </c>
      <c r="L650" s="8" t="n">
        <f aca="false">IF(OR(F650="Congé",F650="OFF",M650="Abs",F650="Congé sans solde",F650="Férié",F650="Congé spécial",D650="Congé spécial"),0,IF(F650-E650&lt;0,0,IF(F650-E650&lt;=0.00068287037037037,0,F650-E650)))</f>
        <v>0</v>
      </c>
      <c r="M650" s="6" t="n">
        <f aca="false">IF(AND(O650&lt;&gt;0,C650=""),"Abs",0)</f>
        <v>0</v>
      </c>
      <c r="N650" s="8" t="n">
        <f aca="false">IFERROR(IF(OR(D650="OFF",D650="Congé",M650="Abs",D650="Congé sans solde",D650="Férié"),"",IF(O650-K650-L650&gt;O650,O650,IF(O650-K650-L650&lt;0,"",O650-K650-L650))),"")</f>
        <v>0.375</v>
      </c>
      <c r="O650" s="8" t="n">
        <f aca="false">IF(AG650="2H Pause déjeuner",IF(F650-D650-0.0833333333333333&lt;0,F650-D650-0.0833333333333333+1,F650-D650-0.0833333333333333),IF(OR(AND(F650="OFF",D650="OFF"),AND(F650="Congé",D650="Congé"),AND(F650="Congé sans solde",D650="Congé sans solde"),AND(F650="Congé spécial",D650="Congé spécial"),AND(F650="Férié",D650="Férié"),AND(F650="OFF",D650="Congé"),AND(F650="OFF",D650="Congé sans solde"),AND(F650="OFF",D650="Congé spécial"),AND(F650="OFF",D650="Férié"),AND(F650="Congé",D650="OFF"),AND(F650="Congé",D650="Congé sans solde"),AND(F650="Congé",D650="Congé spécial"),AND(F650="Congé",D650="Férié"),AND(F650="Congé sans solde",D650="OFF"),AND(F650="Congé sans solde",D650="Congé"),AND(F650="Congé sans solde",D650="Congé spécial"),AND(F650="Congé sans solde",D650="Férié"),AND(F650="Congé spécial",D650="OFF"),AND(F650="Congé spécial",D650="Congé"),AND(F650="Congé spécial",D650="Congé sans solde"),AND(F650="Congé spécial",D650="Férié"),AND(F650="Férié",D650="OFF"),AND(F650="Férié",D650="Congé"),AND(F650="Férié",D650="Congé sans solde"),AND(F650="Férié",D650="Congé spécial")),0,IF(OR(F650="OFF",F650="Congé",F650="Congé spécial",F650="Congé sans solde",D650="OFF",D650="Congé",D650="Congé spécial",D650="Congé sans solde"),0.208333333333334,IF(AND(AG650="",F650-D650&lt;0),("24:00:00"-D650)+("00:00:00"+F650)-0.0416666666666667,IF(AND(OR(AG650="Allaitement",AG650="Sans déjeuner"),F650-D650&lt;0),("24:00:00"-D650)+("00:00:00"+F650),IF(AND(AG650="",F650-D650&gt;0.166666666666667),F650-D650-0.0416666666666667,IF(AND(OR(AG650="Allaitement",AG650="Sans déjeuner"),F650-D650&gt;0.166666666666667),F650-D650,F650-D650)))))))</f>
        <v>0.375</v>
      </c>
      <c r="P650" s="6" t="str">
        <f aca="false">IFERROR(VLOOKUP($B650,Agents!$A:$D,2,0),"-")</f>
        <v>Accessibilité</v>
      </c>
      <c r="Q650" s="21" t="n">
        <v>46147</v>
      </c>
      <c r="R650" s="8" t="n">
        <f aca="false">IF(M650="Abs",O650,0)</f>
        <v>0</v>
      </c>
      <c r="S650" s="8" t="n">
        <f aca="false">SUM(R650,L650,I650,J650,W650,H650)</f>
        <v>0</v>
      </c>
      <c r="T650" s="6" t="str">
        <f aca="false">"Sem - "&amp;WEEKNUM(Q650,21)</f>
        <v>Sem - 19</v>
      </c>
      <c r="U650" s="6" t="str">
        <f aca="false">CHOOSE(MONTH(Q650),"Janvier","Février","Mars","Avril","Mai","Juin","Juillet","Août","Septembre","Octobre","Novembre","Décembre")</f>
        <v>Mai</v>
      </c>
      <c r="V650" s="22" t="n">
        <f aca="false">YEAR(Q650)</f>
        <v>2026</v>
      </c>
      <c r="W650" s="20"/>
      <c r="X650" s="8" t="n">
        <f aca="false">IFERROR(IF(M650="Abs",0,IF(ROUND((D650-C650+E650-F650)*1440,0)&lt;=1,0,D650-C650+E650-F650)),0)</f>
        <v>0.00138888888888889</v>
      </c>
      <c r="Y650" s="6" t="str">
        <f aca="false">IFERROR(VLOOKUP($B650,Agents!$A:$D,3,0),"-")</f>
        <v>OUBRAHIM Mohammed</v>
      </c>
      <c r="Z650" s="6" t="str">
        <f aca="false">IFERROR(VLOOKUP($B650,Agents!$A:$D,4,0),"-")</f>
        <v>Credit Mutuel</v>
      </c>
      <c r="AA650" s="18" t="s">
        <v>101</v>
      </c>
      <c r="AB650" s="8" t="str">
        <f aca="false">IF(AND(D650="Congé",F650="Congé"),0.333333333333333,IF(OR(AND(D650="Congé",F650&lt;&gt;"Congé"),(AND(F650="Congé",D650&lt;&gt;"Congé"))),0.166666666666667,""))</f>
        <v/>
      </c>
      <c r="AC650" s="8" t="str">
        <f aca="false">IF(AND(D650="Congé sans solde",F650="Congé sans solde"),0.333333333333333,IF(OR(AND(D650="Congé sans solde",F650&lt;&gt;"Congé sans solde"),(AND(F650="Congé sans solde",D650&lt;&gt;"Congé sans solde"))),0.166666666666667,""))</f>
        <v/>
      </c>
      <c r="AD650" s="8" t="str">
        <f aca="false">IF(AND(D650="Congé spécial",F650="Congé spécial"),0.333333333333333,IF(OR(AND(D650="Congé spécial",F650&lt;&gt;"Congé spécial"),AND(F650="Congé spécial",D650&lt;&gt;"Congé spécial")),0.166666666666667,""))</f>
        <v/>
      </c>
      <c r="AE650" s="8" t="str">
        <f aca="false">IF(AND(D650="Férié",F650="Férié"),0.333333333333333,IF(OR(AND(D650="Férié",F650&lt;&gt;"Férié"),(AND(F650="Férié",D650&lt;&gt;"Férié"))),0.166666666666667,""))</f>
        <v/>
      </c>
      <c r="AF650" s="18"/>
      <c r="AG650" s="18"/>
    </row>
    <row r="651" customFormat="false" ht="15" hidden="false" customHeight="false" outlineLevel="0" collapsed="false">
      <c r="A651" s="6" t="str">
        <f aca="false">YEAR(Q651-WEEKDAY(Q651,2)+4)&amp;"-S"&amp;TEXT(WEEKNUM(Q651,21),"00")</f>
        <v>2026-S19</v>
      </c>
      <c r="B651" s="18" t="s">
        <v>73</v>
      </c>
      <c r="C651" s="19" t="n">
        <v>0.329861111111111</v>
      </c>
      <c r="D651" s="19" t="n">
        <v>0.333333333333333</v>
      </c>
      <c r="E651" s="19" t="n">
        <v>0.75</v>
      </c>
      <c r="F651" s="19" t="n">
        <v>0.75</v>
      </c>
      <c r="G651" s="20"/>
      <c r="H651" s="20"/>
      <c r="I651" s="8" t="str">
        <f aca="false">IF(IF(OR(C651="",D651="Congé",D651="OFF",D651="Congé spécial"),"",IF(D651&gt;F651,D651-C651,IF(C651-D651&lt;0,0,C651-D651)))&lt;0.00068287037037037,"",IF(OR(D651="Congé",D651="OFF",C651="",D651="Congé spécial"),"",IF(D651&gt;F651,D651-C651,IF(C651-D651&lt;0,0,C651-D651))))</f>
        <v/>
      </c>
      <c r="J651" s="20"/>
      <c r="K651" s="8" t="n">
        <f aca="false">IF(SUM(H651:J651)&lt;0.00068287037037037,0,SUM(H651:J651))</f>
        <v>0</v>
      </c>
      <c r="L651" s="8" t="n">
        <f aca="false">IF(OR(F651="Congé",F651="OFF",M651="Abs",F651="Congé sans solde",F651="Férié",F651="Congé spécial",D651="Congé spécial"),0,IF(F651-E651&lt;0,0,IF(F651-E651&lt;=0.00068287037037037,0,F651-E651)))</f>
        <v>0</v>
      </c>
      <c r="M651" s="6" t="n">
        <f aca="false">IF(AND(O651&lt;&gt;0,C651=""),"Abs",0)</f>
        <v>0</v>
      </c>
      <c r="N651" s="8" t="n">
        <f aca="false">IFERROR(IF(OR(D651="OFF",D651="Congé",M651="Abs",D651="Congé sans solde",D651="Férié"),"",IF(O651-K651-L651&gt;O651,O651,IF(O651-K651-L651&lt;0,"",O651-K651-L651))),"")</f>
        <v>0.375</v>
      </c>
      <c r="O651" s="8" t="n">
        <f aca="false">IF(AG651="2H Pause déjeuner",IF(F651-D651-0.0833333333333333&lt;0,F651-D651-0.0833333333333333+1,F651-D651-0.0833333333333333),IF(OR(AND(F651="OFF",D651="OFF"),AND(F651="Congé",D651="Congé"),AND(F651="Congé sans solde",D651="Congé sans solde"),AND(F651="Congé spécial",D651="Congé spécial"),AND(F651="Férié",D651="Férié"),AND(F651="OFF",D651="Congé"),AND(F651="OFF",D651="Congé sans solde"),AND(F651="OFF",D651="Congé spécial"),AND(F651="OFF",D651="Férié"),AND(F651="Congé",D651="OFF"),AND(F651="Congé",D651="Congé sans solde"),AND(F651="Congé",D651="Congé spécial"),AND(F651="Congé",D651="Férié"),AND(F651="Congé sans solde",D651="OFF"),AND(F651="Congé sans solde",D651="Congé"),AND(F651="Congé sans solde",D651="Congé spécial"),AND(F651="Congé sans solde",D651="Férié"),AND(F651="Congé spécial",D651="OFF"),AND(F651="Congé spécial",D651="Congé"),AND(F651="Congé spécial",D651="Congé sans solde"),AND(F651="Congé spécial",D651="Férié"),AND(F651="Férié",D651="OFF"),AND(F651="Férié",D651="Congé"),AND(F651="Férié",D651="Congé sans solde"),AND(F651="Férié",D651="Congé spécial")),0,IF(OR(F651="OFF",F651="Congé",F651="Congé spécial",F651="Congé sans solde",D651="OFF",D651="Congé",D651="Congé spécial",D651="Congé sans solde"),0.208333333333334,IF(AND(AG651="",F651-D651&lt;0),("24:00:00"-D651)+("00:00:00"+F651)-0.0416666666666667,IF(AND(OR(AG651="Allaitement",AG651="Sans déjeuner"),F651-D651&lt;0),("24:00:00"-D651)+("00:00:00"+F651),IF(AND(AG651="",F651-D651&gt;0.166666666666667),F651-D651-0.0416666666666667,IF(AND(OR(AG651="Allaitement",AG651="Sans déjeuner"),F651-D651&gt;0.166666666666667),F651-D651,F651-D651)))))))</f>
        <v>0.375</v>
      </c>
      <c r="P651" s="6" t="str">
        <f aca="false">IFERROR(VLOOKUP($B651,Agents!$A:$D,2,0),"-")</f>
        <v>Accessibilité</v>
      </c>
      <c r="Q651" s="21" t="n">
        <v>46147</v>
      </c>
      <c r="R651" s="8" t="n">
        <f aca="false">IF(M651="Abs",O651,0)</f>
        <v>0</v>
      </c>
      <c r="S651" s="8" t="n">
        <f aca="false">SUM(R651,L651,I651,J651,W651,H651)</f>
        <v>0</v>
      </c>
      <c r="T651" s="6" t="str">
        <f aca="false">"Sem - "&amp;WEEKNUM(Q651,21)</f>
        <v>Sem - 19</v>
      </c>
      <c r="U651" s="6" t="str">
        <f aca="false">CHOOSE(MONTH(Q651),"Janvier","Février","Mars","Avril","Mai","Juin","Juillet","Août","Septembre","Octobre","Novembre","Décembre")</f>
        <v>Mai</v>
      </c>
      <c r="V651" s="22" t="n">
        <f aca="false">YEAR(Q651)</f>
        <v>2026</v>
      </c>
      <c r="W651" s="20"/>
      <c r="X651" s="8" t="n">
        <f aca="false">IFERROR(IF(M651="Abs",0,IF(ROUND((D651-C651+E651-F651)*1440,0)&lt;=1,0,D651-C651+E651-F651)),0)</f>
        <v>0.00347222222222222</v>
      </c>
      <c r="Y651" s="6" t="str">
        <f aca="false">IFERROR(VLOOKUP($B651,Agents!$A:$D,3,0),"-")</f>
        <v>OUBRAHIM Mohammed</v>
      </c>
      <c r="Z651" s="6" t="str">
        <f aca="false">IFERROR(VLOOKUP($B651,Agents!$A:$D,4,0),"-")</f>
        <v>Credit Mutuel</v>
      </c>
      <c r="AA651" s="18" t="s">
        <v>101</v>
      </c>
      <c r="AB651" s="8" t="str">
        <f aca="false">IF(AND(D651="Congé",F651="Congé"),0.333333333333333,IF(OR(AND(D651="Congé",F651&lt;&gt;"Congé"),(AND(F651="Congé",D651&lt;&gt;"Congé"))),0.166666666666667,""))</f>
        <v/>
      </c>
      <c r="AC651" s="8" t="str">
        <f aca="false">IF(AND(D651="Congé sans solde",F651="Congé sans solde"),0.333333333333333,IF(OR(AND(D651="Congé sans solde",F651&lt;&gt;"Congé sans solde"),(AND(F651="Congé sans solde",D651&lt;&gt;"Congé sans solde"))),0.166666666666667,""))</f>
        <v/>
      </c>
      <c r="AD651" s="8" t="str">
        <f aca="false">IF(AND(D651="Congé spécial",F651="Congé spécial"),0.333333333333333,IF(OR(AND(D651="Congé spécial",F651&lt;&gt;"Congé spécial"),AND(F651="Congé spécial",D651&lt;&gt;"Congé spécial")),0.166666666666667,""))</f>
        <v/>
      </c>
      <c r="AE651" s="8" t="str">
        <f aca="false">IF(AND(D651="Férié",F651="Férié"),0.333333333333333,IF(OR(AND(D651="Férié",F651&lt;&gt;"Férié"),(AND(F651="Férié",D651&lt;&gt;"Férié"))),0.166666666666667,""))</f>
        <v/>
      </c>
      <c r="AF651" s="18"/>
      <c r="AG651" s="18"/>
    </row>
    <row r="652" customFormat="false" ht="15" hidden="false" customHeight="false" outlineLevel="0" collapsed="false">
      <c r="A652" s="6" t="str">
        <f aca="false">YEAR(Q652-WEEKDAY(Q652,2)+4)&amp;"-S"&amp;TEXT(WEEKNUM(Q652,21),"00")</f>
        <v>2026-S19</v>
      </c>
      <c r="B652" s="18" t="s">
        <v>71</v>
      </c>
      <c r="C652" s="19" t="n">
        <v>0.333333333333333</v>
      </c>
      <c r="D652" s="19" t="n">
        <v>0.333333333333333</v>
      </c>
      <c r="E652" s="19" t="n">
        <v>0.75</v>
      </c>
      <c r="F652" s="19" t="n">
        <v>0.75</v>
      </c>
      <c r="G652" s="20"/>
      <c r="H652" s="20"/>
      <c r="I652" s="8" t="str">
        <f aca="false">IF(IF(OR(C652="",D652="Congé",D652="OFF",D652="Congé spécial"),"",IF(D652&gt;F652,D652-C652,IF(C652-D652&lt;0,0,C652-D652)))&lt;0.00068287037037037,"",IF(OR(D652="Congé",D652="OFF",C652="",D652="Congé spécial"),"",IF(D652&gt;F652,D652-C652,IF(C652-D652&lt;0,0,C652-D652))))</f>
        <v/>
      </c>
      <c r="J652" s="20"/>
      <c r="K652" s="8" t="n">
        <f aca="false">IF(SUM(H652:J652)&lt;0.00068287037037037,0,SUM(H652:J652))</f>
        <v>0</v>
      </c>
      <c r="L652" s="8" t="n">
        <f aca="false">IF(OR(F652="Congé",F652="OFF",M652="Abs",F652="Congé sans solde",F652="Férié",F652="Congé spécial",D652="Congé spécial"),0,IF(F652-E652&lt;0,0,IF(F652-E652&lt;=0.00068287037037037,0,F652-E652)))</f>
        <v>0</v>
      </c>
      <c r="M652" s="6" t="n">
        <f aca="false">IF(AND(O652&lt;&gt;0,C652=""),"Abs",0)</f>
        <v>0</v>
      </c>
      <c r="N652" s="8" t="n">
        <f aca="false">IFERROR(IF(OR(D652="OFF",D652="Congé",M652="Abs",D652="Congé sans solde",D652="Férié"),"",IF(O652-K652-L652&gt;O652,O652,IF(O652-K652-L652&lt;0,"",O652-K652-L652))),"")</f>
        <v>0.375</v>
      </c>
      <c r="O652" s="8" t="n">
        <f aca="false">IF(AG652="2H Pause déjeuner",IF(F652-D652-0.0833333333333333&lt;0,F652-D652-0.0833333333333333+1,F652-D652-0.0833333333333333),IF(OR(AND(F652="OFF",D652="OFF"),AND(F652="Congé",D652="Congé"),AND(F652="Congé sans solde",D652="Congé sans solde"),AND(F652="Congé spécial",D652="Congé spécial"),AND(F652="Férié",D652="Férié"),AND(F652="OFF",D652="Congé"),AND(F652="OFF",D652="Congé sans solde"),AND(F652="OFF",D652="Congé spécial"),AND(F652="OFF",D652="Férié"),AND(F652="Congé",D652="OFF"),AND(F652="Congé",D652="Congé sans solde"),AND(F652="Congé",D652="Congé spécial"),AND(F652="Congé",D652="Férié"),AND(F652="Congé sans solde",D652="OFF"),AND(F652="Congé sans solde",D652="Congé"),AND(F652="Congé sans solde",D652="Congé spécial"),AND(F652="Congé sans solde",D652="Férié"),AND(F652="Congé spécial",D652="OFF"),AND(F652="Congé spécial",D652="Congé"),AND(F652="Congé spécial",D652="Congé sans solde"),AND(F652="Congé spécial",D652="Férié"),AND(F652="Férié",D652="OFF"),AND(F652="Férié",D652="Congé"),AND(F652="Férié",D652="Congé sans solde"),AND(F652="Férié",D652="Congé spécial")),0,IF(OR(F652="OFF",F652="Congé",F652="Congé spécial",F652="Congé sans solde",D652="OFF",D652="Congé",D652="Congé spécial",D652="Congé sans solde"),0.208333333333334,IF(AND(AG652="",F652-D652&lt;0),("24:00:00"-D652)+("00:00:00"+F652)-0.0416666666666667,IF(AND(OR(AG652="Allaitement",AG652="Sans déjeuner"),F652-D652&lt;0),("24:00:00"-D652)+("00:00:00"+F652),IF(AND(AG652="",F652-D652&gt;0.166666666666667),F652-D652-0.0416666666666667,IF(AND(OR(AG652="Allaitement",AG652="Sans déjeuner"),F652-D652&gt;0.166666666666667),F652-D652,F652-D652)))))))</f>
        <v>0.375</v>
      </c>
      <c r="P652" s="6" t="str">
        <f aca="false">IFERROR(VLOOKUP($B652,Agents!$A:$D,2,0),"-")</f>
        <v>Accessibilité</v>
      </c>
      <c r="Q652" s="21" t="n">
        <v>46148</v>
      </c>
      <c r="R652" s="8" t="n">
        <f aca="false">IF(M652="Abs",O652,0)</f>
        <v>0</v>
      </c>
      <c r="S652" s="8" t="n">
        <f aca="false">SUM(R652,L652,I652,J652,W652,H652)</f>
        <v>0</v>
      </c>
      <c r="T652" s="6" t="str">
        <f aca="false">"Sem - "&amp;WEEKNUM(Q652,21)</f>
        <v>Sem - 19</v>
      </c>
      <c r="U652" s="6" t="str">
        <f aca="false">CHOOSE(MONTH(Q652),"Janvier","Février","Mars","Avril","Mai","Juin","Juillet","Août","Septembre","Octobre","Novembre","Décembre")</f>
        <v>Mai</v>
      </c>
      <c r="V652" s="22" t="n">
        <f aca="false">YEAR(Q652)</f>
        <v>2026</v>
      </c>
      <c r="W652" s="20"/>
      <c r="X652" s="8" t="n">
        <f aca="false">IFERROR(IF(M652="Abs",0,IF(ROUND((D652-C652+E652-F652)*1440,0)&lt;=1,0,D652-C652+E652-F652)),0)</f>
        <v>0</v>
      </c>
      <c r="Y652" s="6" t="str">
        <f aca="false">IFERROR(VLOOKUP($B652,Agents!$A:$D,3,0),"-")</f>
        <v>OUBRAHIM Mohammed</v>
      </c>
      <c r="Z652" s="6" t="str">
        <f aca="false">IFERROR(VLOOKUP($B652,Agents!$A:$D,4,0),"-")</f>
        <v>Credit Mutuel</v>
      </c>
      <c r="AA652" s="18" t="s">
        <v>101</v>
      </c>
      <c r="AB652" s="8" t="str">
        <f aca="false">IF(AND(D652="Congé",F652="Congé"),0.333333333333333,IF(OR(AND(D652="Congé",F652&lt;&gt;"Congé"),(AND(F652="Congé",D652&lt;&gt;"Congé"))),0.166666666666667,""))</f>
        <v/>
      </c>
      <c r="AC652" s="8" t="str">
        <f aca="false">IF(AND(D652="Congé sans solde",F652="Congé sans solde"),0.333333333333333,IF(OR(AND(D652="Congé sans solde",F652&lt;&gt;"Congé sans solde"),(AND(F652="Congé sans solde",D652&lt;&gt;"Congé sans solde"))),0.166666666666667,""))</f>
        <v/>
      </c>
      <c r="AD652" s="8" t="str">
        <f aca="false">IF(AND(D652="Congé spécial",F652="Congé spécial"),0.333333333333333,IF(OR(AND(D652="Congé spécial",F652&lt;&gt;"Congé spécial"),AND(F652="Congé spécial",D652&lt;&gt;"Congé spécial")),0.166666666666667,""))</f>
        <v/>
      </c>
      <c r="AE652" s="8" t="str">
        <f aca="false">IF(AND(D652="Férié",F652="Férié"),0.333333333333333,IF(OR(AND(D652="Férié",F652&lt;&gt;"Férié"),(AND(F652="Férié",D652&lt;&gt;"Férié"))),0.166666666666667,""))</f>
        <v/>
      </c>
      <c r="AF652" s="18"/>
      <c r="AG652" s="18"/>
    </row>
    <row r="653" customFormat="false" ht="15" hidden="false" customHeight="false" outlineLevel="0" collapsed="false">
      <c r="A653" s="6" t="str">
        <f aca="false">YEAR(Q653-WEEKDAY(Q653,2)+4)&amp;"-S"&amp;TEXT(WEEKNUM(Q653,21),"00")</f>
        <v>2026-S19</v>
      </c>
      <c r="B653" s="18" t="s">
        <v>72</v>
      </c>
      <c r="C653" s="19" t="n">
        <v>0.333333333333333</v>
      </c>
      <c r="D653" s="19" t="n">
        <v>0.333333333333333</v>
      </c>
      <c r="E653" s="19" t="n">
        <v>0.75</v>
      </c>
      <c r="F653" s="19" t="n">
        <v>0.75</v>
      </c>
      <c r="G653" s="20"/>
      <c r="H653" s="20"/>
      <c r="I653" s="8" t="str">
        <f aca="false">IF(IF(OR(C653="",D653="Congé",D653="OFF",D653="Congé spécial"),"",IF(D653&gt;F653,D653-C653,IF(C653-D653&lt;0,0,C653-D653)))&lt;0.00068287037037037,"",IF(OR(D653="Congé",D653="OFF",C653="",D653="Congé spécial"),"",IF(D653&gt;F653,D653-C653,IF(C653-D653&lt;0,0,C653-D653))))</f>
        <v/>
      </c>
      <c r="J653" s="20"/>
      <c r="K653" s="8" t="n">
        <f aca="false">IF(SUM(H653:J653)&lt;0.00068287037037037,0,SUM(H653:J653))</f>
        <v>0</v>
      </c>
      <c r="L653" s="8" t="n">
        <f aca="false">IF(OR(F653="Congé",F653="OFF",M653="Abs",F653="Congé sans solde",F653="Férié",F653="Congé spécial",D653="Congé spécial"),0,IF(F653-E653&lt;0,0,IF(F653-E653&lt;=0.00068287037037037,0,F653-E653)))</f>
        <v>0</v>
      </c>
      <c r="M653" s="6" t="n">
        <f aca="false">IF(AND(O653&lt;&gt;0,C653=""),"Abs",0)</f>
        <v>0</v>
      </c>
      <c r="N653" s="8" t="n">
        <f aca="false">IFERROR(IF(OR(D653="OFF",D653="Congé",M653="Abs",D653="Congé sans solde",D653="Férié"),"",IF(O653-K653-L653&gt;O653,O653,IF(O653-K653-L653&lt;0,"",O653-K653-L653))),"")</f>
        <v>0.375</v>
      </c>
      <c r="O653" s="8" t="n">
        <f aca="false">IF(AG653="2H Pause déjeuner",IF(F653-D653-0.0833333333333333&lt;0,F653-D653-0.0833333333333333+1,F653-D653-0.0833333333333333),IF(OR(AND(F653="OFF",D653="OFF"),AND(F653="Congé",D653="Congé"),AND(F653="Congé sans solde",D653="Congé sans solde"),AND(F653="Congé spécial",D653="Congé spécial"),AND(F653="Férié",D653="Férié"),AND(F653="OFF",D653="Congé"),AND(F653="OFF",D653="Congé sans solde"),AND(F653="OFF",D653="Congé spécial"),AND(F653="OFF",D653="Férié"),AND(F653="Congé",D653="OFF"),AND(F653="Congé",D653="Congé sans solde"),AND(F653="Congé",D653="Congé spécial"),AND(F653="Congé",D653="Férié"),AND(F653="Congé sans solde",D653="OFF"),AND(F653="Congé sans solde",D653="Congé"),AND(F653="Congé sans solde",D653="Congé spécial"),AND(F653="Congé sans solde",D653="Férié"),AND(F653="Congé spécial",D653="OFF"),AND(F653="Congé spécial",D653="Congé"),AND(F653="Congé spécial",D653="Congé sans solde"),AND(F653="Congé spécial",D653="Férié"),AND(F653="Férié",D653="OFF"),AND(F653="Férié",D653="Congé"),AND(F653="Férié",D653="Congé sans solde"),AND(F653="Férié",D653="Congé spécial")),0,IF(OR(F653="OFF",F653="Congé",F653="Congé spécial",F653="Congé sans solde",D653="OFF",D653="Congé",D653="Congé spécial",D653="Congé sans solde"),0.208333333333334,IF(AND(AG653="",F653-D653&lt;0),("24:00:00"-D653)+("00:00:00"+F653)-0.0416666666666667,IF(AND(OR(AG653="Allaitement",AG653="Sans déjeuner"),F653-D653&lt;0),("24:00:00"-D653)+("00:00:00"+F653),IF(AND(AG653="",F653-D653&gt;0.166666666666667),F653-D653-0.0416666666666667,IF(AND(OR(AG653="Allaitement",AG653="Sans déjeuner"),F653-D653&gt;0.166666666666667),F653-D653,F653-D653)))))))</f>
        <v>0.375</v>
      </c>
      <c r="P653" s="6" t="str">
        <f aca="false">IFERROR(VLOOKUP($B653,Agents!$A:$D,2,0),"-")</f>
        <v>Accessibilité</v>
      </c>
      <c r="Q653" s="21" t="n">
        <v>46148</v>
      </c>
      <c r="R653" s="8" t="n">
        <f aca="false">IF(M653="Abs",O653,0)</f>
        <v>0</v>
      </c>
      <c r="S653" s="8" t="n">
        <f aca="false">SUM(R653,L653,I653,J653,W653,H653)</f>
        <v>0</v>
      </c>
      <c r="T653" s="6" t="str">
        <f aca="false">"Sem - "&amp;WEEKNUM(Q653,21)</f>
        <v>Sem - 19</v>
      </c>
      <c r="U653" s="6" t="str">
        <f aca="false">CHOOSE(MONTH(Q653),"Janvier","Février","Mars","Avril","Mai","Juin","Juillet","Août","Septembre","Octobre","Novembre","Décembre")</f>
        <v>Mai</v>
      </c>
      <c r="V653" s="22" t="n">
        <f aca="false">YEAR(Q653)</f>
        <v>2026</v>
      </c>
      <c r="W653" s="20"/>
      <c r="X653" s="8" t="n">
        <f aca="false">IFERROR(IF(M653="Abs",0,IF(ROUND((D653-C653+E653-F653)*1440,0)&lt;=1,0,D653-C653+E653-F653)),0)</f>
        <v>0</v>
      </c>
      <c r="Y653" s="6" t="str">
        <f aca="false">IFERROR(VLOOKUP($B653,Agents!$A:$D,3,0),"-")</f>
        <v>OUBRAHIM Mohammed</v>
      </c>
      <c r="Z653" s="6" t="str">
        <f aca="false">IFERROR(VLOOKUP($B653,Agents!$A:$D,4,0),"-")</f>
        <v>Credit Mutuel</v>
      </c>
      <c r="AA653" s="18" t="s">
        <v>101</v>
      </c>
      <c r="AB653" s="8" t="str">
        <f aca="false">IF(AND(D653="Congé",F653="Congé"),0.333333333333333,IF(OR(AND(D653="Congé",F653&lt;&gt;"Congé"),(AND(F653="Congé",D653&lt;&gt;"Congé"))),0.166666666666667,""))</f>
        <v/>
      </c>
      <c r="AC653" s="8" t="str">
        <f aca="false">IF(AND(D653="Congé sans solde",F653="Congé sans solde"),0.333333333333333,IF(OR(AND(D653="Congé sans solde",F653&lt;&gt;"Congé sans solde"),(AND(F653="Congé sans solde",D653&lt;&gt;"Congé sans solde"))),0.166666666666667,""))</f>
        <v/>
      </c>
      <c r="AD653" s="8" t="str">
        <f aca="false">IF(AND(D653="Congé spécial",F653="Congé spécial"),0.333333333333333,IF(OR(AND(D653="Congé spécial",F653&lt;&gt;"Congé spécial"),AND(F653="Congé spécial",D653&lt;&gt;"Congé spécial")),0.166666666666667,""))</f>
        <v/>
      </c>
      <c r="AE653" s="8" t="str">
        <f aca="false">IF(AND(D653="Férié",F653="Férié"),0.333333333333333,IF(OR(AND(D653="Férié",F653&lt;&gt;"Férié"),(AND(F653="Férié",D653&lt;&gt;"Férié"))),0.166666666666667,""))</f>
        <v/>
      </c>
      <c r="AF653" s="18"/>
      <c r="AG653" s="18"/>
    </row>
    <row r="654" customFormat="false" ht="15" hidden="false" customHeight="false" outlineLevel="0" collapsed="false">
      <c r="A654" s="6" t="str">
        <f aca="false">YEAR(Q654-WEEKDAY(Q654,2)+4)&amp;"-S"&amp;TEXT(WEEKNUM(Q654,21),"00")</f>
        <v>2026-S19</v>
      </c>
      <c r="B654" s="18" t="s">
        <v>73</v>
      </c>
      <c r="C654" s="19" t="n">
        <v>0.333333333333333</v>
      </c>
      <c r="D654" s="19" t="n">
        <v>0.333333333333333</v>
      </c>
      <c r="E654" s="19" t="n">
        <v>0.75</v>
      </c>
      <c r="F654" s="19" t="n">
        <v>0.75</v>
      </c>
      <c r="G654" s="20"/>
      <c r="H654" s="20"/>
      <c r="I654" s="8" t="str">
        <f aca="false">IF(IF(OR(C654="",D654="Congé",D654="OFF",D654="Congé spécial"),"",IF(D654&gt;F654,D654-C654,IF(C654-D654&lt;0,0,C654-D654)))&lt;0.00068287037037037,"",IF(OR(D654="Congé",D654="OFF",C654="",D654="Congé spécial"),"",IF(D654&gt;F654,D654-C654,IF(C654-D654&lt;0,0,C654-D654))))</f>
        <v/>
      </c>
      <c r="J654" s="20"/>
      <c r="K654" s="8" t="n">
        <f aca="false">IF(SUM(H654:J654)&lt;0.00068287037037037,0,SUM(H654:J654))</f>
        <v>0</v>
      </c>
      <c r="L654" s="8" t="n">
        <f aca="false">IF(OR(F654="Congé",F654="OFF",M654="Abs",F654="Congé sans solde",F654="Férié",F654="Congé spécial",D654="Congé spécial"),0,IF(F654-E654&lt;0,0,IF(F654-E654&lt;=0.00068287037037037,0,F654-E654)))</f>
        <v>0</v>
      </c>
      <c r="M654" s="6" t="n">
        <f aca="false">IF(AND(O654&lt;&gt;0,C654=""),"Abs",0)</f>
        <v>0</v>
      </c>
      <c r="N654" s="8" t="n">
        <f aca="false">IFERROR(IF(OR(D654="OFF",D654="Congé",M654="Abs",D654="Congé sans solde",D654="Férié"),"",IF(O654-K654-L654&gt;O654,O654,IF(O654-K654-L654&lt;0,"",O654-K654-L654))),"")</f>
        <v>0.375</v>
      </c>
      <c r="O654" s="8" t="n">
        <f aca="false">IF(AG654="2H Pause déjeuner",IF(F654-D654-0.0833333333333333&lt;0,F654-D654-0.0833333333333333+1,F654-D654-0.0833333333333333),IF(OR(AND(F654="OFF",D654="OFF"),AND(F654="Congé",D654="Congé"),AND(F654="Congé sans solde",D654="Congé sans solde"),AND(F654="Congé spécial",D654="Congé spécial"),AND(F654="Férié",D654="Férié"),AND(F654="OFF",D654="Congé"),AND(F654="OFF",D654="Congé sans solde"),AND(F654="OFF",D654="Congé spécial"),AND(F654="OFF",D654="Férié"),AND(F654="Congé",D654="OFF"),AND(F654="Congé",D654="Congé sans solde"),AND(F654="Congé",D654="Congé spécial"),AND(F654="Congé",D654="Férié"),AND(F654="Congé sans solde",D654="OFF"),AND(F654="Congé sans solde",D654="Congé"),AND(F654="Congé sans solde",D654="Congé spécial"),AND(F654="Congé sans solde",D654="Férié"),AND(F654="Congé spécial",D654="OFF"),AND(F654="Congé spécial",D654="Congé"),AND(F654="Congé spécial",D654="Congé sans solde"),AND(F654="Congé spécial",D654="Férié"),AND(F654="Férié",D654="OFF"),AND(F654="Férié",D654="Congé"),AND(F654="Férié",D654="Congé sans solde"),AND(F654="Férié",D654="Congé spécial")),0,IF(OR(F654="OFF",F654="Congé",F654="Congé spécial",F654="Congé sans solde",D654="OFF",D654="Congé",D654="Congé spécial",D654="Congé sans solde"),0.208333333333334,IF(AND(AG654="",F654-D654&lt;0),("24:00:00"-D654)+("00:00:00"+F654)-0.0416666666666667,IF(AND(OR(AG654="Allaitement",AG654="Sans déjeuner"),F654-D654&lt;0),("24:00:00"-D654)+("00:00:00"+F654),IF(AND(AG654="",F654-D654&gt;0.166666666666667),F654-D654-0.0416666666666667,IF(AND(OR(AG654="Allaitement",AG654="Sans déjeuner"),F654-D654&gt;0.166666666666667),F654-D654,F654-D654)))))))</f>
        <v>0.375</v>
      </c>
      <c r="P654" s="6" t="str">
        <f aca="false">IFERROR(VLOOKUP($B654,Agents!$A:$D,2,0),"-")</f>
        <v>Accessibilité</v>
      </c>
      <c r="Q654" s="21" t="n">
        <v>46148</v>
      </c>
      <c r="R654" s="8" t="n">
        <f aca="false">IF(M654="Abs",O654,0)</f>
        <v>0</v>
      </c>
      <c r="S654" s="8" t="n">
        <f aca="false">SUM(R654,L654,I654,J654,W654,H654)</f>
        <v>0</v>
      </c>
      <c r="T654" s="6" t="str">
        <f aca="false">"Sem - "&amp;WEEKNUM(Q654,21)</f>
        <v>Sem - 19</v>
      </c>
      <c r="U654" s="6" t="str">
        <f aca="false">CHOOSE(MONTH(Q654),"Janvier","Février","Mars","Avril","Mai","Juin","Juillet","Août","Septembre","Octobre","Novembre","Décembre")</f>
        <v>Mai</v>
      </c>
      <c r="V654" s="22" t="n">
        <f aca="false">YEAR(Q654)</f>
        <v>2026</v>
      </c>
      <c r="W654" s="20"/>
      <c r="X654" s="8" t="n">
        <f aca="false">IFERROR(IF(M654="Abs",0,IF(ROUND((D654-C654+E654-F654)*1440,0)&lt;=1,0,D654-C654+E654-F654)),0)</f>
        <v>0</v>
      </c>
      <c r="Y654" s="6" t="str">
        <f aca="false">IFERROR(VLOOKUP($B654,Agents!$A:$D,3,0),"-")</f>
        <v>OUBRAHIM Mohammed</v>
      </c>
      <c r="Z654" s="6" t="str">
        <f aca="false">IFERROR(VLOOKUP($B654,Agents!$A:$D,4,0),"-")</f>
        <v>Credit Mutuel</v>
      </c>
      <c r="AA654" s="18" t="s">
        <v>101</v>
      </c>
      <c r="AB654" s="8" t="str">
        <f aca="false">IF(AND(D654="Congé",F654="Congé"),0.333333333333333,IF(OR(AND(D654="Congé",F654&lt;&gt;"Congé"),(AND(F654="Congé",D654&lt;&gt;"Congé"))),0.166666666666667,""))</f>
        <v/>
      </c>
      <c r="AC654" s="8" t="str">
        <f aca="false">IF(AND(D654="Congé sans solde",F654="Congé sans solde"),0.333333333333333,IF(OR(AND(D654="Congé sans solde",F654&lt;&gt;"Congé sans solde"),(AND(F654="Congé sans solde",D654&lt;&gt;"Congé sans solde"))),0.166666666666667,""))</f>
        <v/>
      </c>
      <c r="AD654" s="8" t="str">
        <f aca="false">IF(AND(D654="Congé spécial",F654="Congé spécial"),0.333333333333333,IF(OR(AND(D654="Congé spécial",F654&lt;&gt;"Congé spécial"),AND(F654="Congé spécial",D654&lt;&gt;"Congé spécial")),0.166666666666667,""))</f>
        <v/>
      </c>
      <c r="AE654" s="8" t="str">
        <f aca="false">IF(AND(D654="Férié",F654="Férié"),0.333333333333333,IF(OR(AND(D654="Férié",F654&lt;&gt;"Férié"),(AND(F654="Férié",D654&lt;&gt;"Férié"))),0.166666666666667,""))</f>
        <v/>
      </c>
      <c r="AF654" s="18"/>
      <c r="AG654" s="18"/>
    </row>
    <row r="655" customFormat="false" ht="15" hidden="false" customHeight="false" outlineLevel="0" collapsed="false">
      <c r="A655" s="6" t="str">
        <f aca="false">YEAR(Q655-WEEKDAY(Q655,2)+4)&amp;"-S"&amp;TEXT(WEEKNUM(Q655,21),"00")</f>
        <v>2026-S19</v>
      </c>
      <c r="B655" s="18" t="s">
        <v>71</v>
      </c>
      <c r="C655" s="19" t="n">
        <v>0.331944444444444</v>
      </c>
      <c r="D655" s="19" t="n">
        <v>0.333333333333333</v>
      </c>
      <c r="E655" s="19" t="n">
        <v>0.75</v>
      </c>
      <c r="F655" s="19" t="n">
        <v>0.75</v>
      </c>
      <c r="G655" s="20"/>
      <c r="H655" s="20"/>
      <c r="I655" s="8" t="str">
        <f aca="false">IF(IF(OR(C655="",D655="Congé",D655="OFF",D655="Congé spécial"),"",IF(D655&gt;F655,D655-C655,IF(C655-D655&lt;0,0,C655-D655)))&lt;0.00068287037037037,"",IF(OR(D655="Congé",D655="OFF",C655="",D655="Congé spécial"),"",IF(D655&gt;F655,D655-C655,IF(C655-D655&lt;0,0,C655-D655))))</f>
        <v/>
      </c>
      <c r="J655" s="20"/>
      <c r="K655" s="8" t="n">
        <f aca="false">IF(SUM(H655:J655)&lt;0.00068287037037037,0,SUM(H655:J655))</f>
        <v>0</v>
      </c>
      <c r="L655" s="8" t="n">
        <f aca="false">IF(OR(F655="Congé",F655="OFF",M655="Abs",F655="Congé sans solde",F655="Férié",F655="Congé spécial",D655="Congé spécial"),0,IF(F655-E655&lt;0,0,IF(F655-E655&lt;=0.00068287037037037,0,F655-E655)))</f>
        <v>0</v>
      </c>
      <c r="M655" s="6" t="n">
        <f aca="false">IF(AND(O655&lt;&gt;0,C655=""),"Abs",0)</f>
        <v>0</v>
      </c>
      <c r="N655" s="8" t="n">
        <f aca="false">IFERROR(IF(OR(D655="OFF",D655="Congé",M655="Abs",D655="Congé sans solde",D655="Férié"),"",IF(O655-K655-L655&gt;O655,O655,IF(O655-K655-L655&lt;0,"",O655-K655-L655))),"")</f>
        <v>0.375</v>
      </c>
      <c r="O655" s="8" t="n">
        <f aca="false">IF(AG655="2H Pause déjeuner",IF(F655-D655-0.0833333333333333&lt;0,F655-D655-0.0833333333333333+1,F655-D655-0.0833333333333333),IF(OR(AND(F655="OFF",D655="OFF"),AND(F655="Congé",D655="Congé"),AND(F655="Congé sans solde",D655="Congé sans solde"),AND(F655="Congé spécial",D655="Congé spécial"),AND(F655="Férié",D655="Férié"),AND(F655="OFF",D655="Congé"),AND(F655="OFF",D655="Congé sans solde"),AND(F655="OFF",D655="Congé spécial"),AND(F655="OFF",D655="Férié"),AND(F655="Congé",D655="OFF"),AND(F655="Congé",D655="Congé sans solde"),AND(F655="Congé",D655="Congé spécial"),AND(F655="Congé",D655="Férié"),AND(F655="Congé sans solde",D655="OFF"),AND(F655="Congé sans solde",D655="Congé"),AND(F655="Congé sans solde",D655="Congé spécial"),AND(F655="Congé sans solde",D655="Férié"),AND(F655="Congé spécial",D655="OFF"),AND(F655="Congé spécial",D655="Congé"),AND(F655="Congé spécial",D655="Congé sans solde"),AND(F655="Congé spécial",D655="Férié"),AND(F655="Férié",D655="OFF"),AND(F655="Férié",D655="Congé"),AND(F655="Férié",D655="Congé sans solde"),AND(F655="Férié",D655="Congé spécial")),0,IF(OR(F655="OFF",F655="Congé",F655="Congé spécial",F655="Congé sans solde",D655="OFF",D655="Congé",D655="Congé spécial",D655="Congé sans solde"),0.208333333333334,IF(AND(AG655="",F655-D655&lt;0),("24:00:00"-D655)+("00:00:00"+F655)-0.0416666666666667,IF(AND(OR(AG655="Allaitement",AG655="Sans déjeuner"),F655-D655&lt;0),("24:00:00"-D655)+("00:00:00"+F655),IF(AND(AG655="",F655-D655&gt;0.166666666666667),F655-D655-0.0416666666666667,IF(AND(OR(AG655="Allaitement",AG655="Sans déjeuner"),F655-D655&gt;0.166666666666667),F655-D655,F655-D655)))))))</f>
        <v>0.375</v>
      </c>
      <c r="P655" s="6" t="str">
        <f aca="false">IFERROR(VLOOKUP($B655,Agents!$A:$D,2,0),"-")</f>
        <v>Accessibilité</v>
      </c>
      <c r="Q655" s="21" t="n">
        <v>46149</v>
      </c>
      <c r="R655" s="8" t="n">
        <f aca="false">IF(M655="Abs",O655,0)</f>
        <v>0</v>
      </c>
      <c r="S655" s="8" t="n">
        <f aca="false">SUM(R655,L655,I655,J655,W655,H655)</f>
        <v>0</v>
      </c>
      <c r="T655" s="6" t="str">
        <f aca="false">"Sem - "&amp;WEEKNUM(Q655,21)</f>
        <v>Sem - 19</v>
      </c>
      <c r="U655" s="6" t="str">
        <f aca="false">CHOOSE(MONTH(Q655),"Janvier","Février","Mars","Avril","Mai","Juin","Juillet","Août","Septembre","Octobre","Novembre","Décembre")</f>
        <v>Mai</v>
      </c>
      <c r="V655" s="22" t="n">
        <f aca="false">YEAR(Q655)</f>
        <v>2026</v>
      </c>
      <c r="W655" s="20"/>
      <c r="X655" s="8" t="n">
        <f aca="false">IFERROR(IF(M655="Abs",0,IF(ROUND((D655-C655+E655-F655)*1440,0)&lt;=1,0,D655-C655+E655-F655)),0)</f>
        <v>0.00138888888888889</v>
      </c>
      <c r="Y655" s="6" t="str">
        <f aca="false">IFERROR(VLOOKUP($B655,Agents!$A:$D,3,0),"-")</f>
        <v>OUBRAHIM Mohammed</v>
      </c>
      <c r="Z655" s="6" t="str">
        <f aca="false">IFERROR(VLOOKUP($B655,Agents!$A:$D,4,0),"-")</f>
        <v>Credit Mutuel</v>
      </c>
      <c r="AA655" s="18" t="s">
        <v>101</v>
      </c>
      <c r="AB655" s="8" t="str">
        <f aca="false">IF(AND(D655="Congé",F655="Congé"),0.333333333333333,IF(OR(AND(D655="Congé",F655&lt;&gt;"Congé"),(AND(F655="Congé",D655&lt;&gt;"Congé"))),0.166666666666667,""))</f>
        <v/>
      </c>
      <c r="AC655" s="8" t="str">
        <f aca="false">IF(AND(D655="Congé sans solde",F655="Congé sans solde"),0.333333333333333,IF(OR(AND(D655="Congé sans solde",F655&lt;&gt;"Congé sans solde"),(AND(F655="Congé sans solde",D655&lt;&gt;"Congé sans solde"))),0.166666666666667,""))</f>
        <v/>
      </c>
      <c r="AD655" s="8" t="str">
        <f aca="false">IF(AND(D655="Congé spécial",F655="Congé spécial"),0.333333333333333,IF(OR(AND(D655="Congé spécial",F655&lt;&gt;"Congé spécial"),AND(F655="Congé spécial",D655&lt;&gt;"Congé spécial")),0.166666666666667,""))</f>
        <v/>
      </c>
      <c r="AE655" s="8" t="str">
        <f aca="false">IF(AND(D655="Férié",F655="Férié"),0.333333333333333,IF(OR(AND(D655="Férié",F655&lt;&gt;"Férié"),(AND(F655="Férié",D655&lt;&gt;"Férié"))),0.166666666666667,""))</f>
        <v/>
      </c>
      <c r="AF655" s="18"/>
      <c r="AG655" s="18"/>
    </row>
    <row r="656" customFormat="false" ht="15" hidden="false" customHeight="false" outlineLevel="0" collapsed="false">
      <c r="A656" s="6" t="str">
        <f aca="false">YEAR(Q656-WEEKDAY(Q656,2)+4)&amp;"-S"&amp;TEXT(WEEKNUM(Q656,21),"00")</f>
        <v>2026-S19</v>
      </c>
      <c r="B656" s="18" t="s">
        <v>72</v>
      </c>
      <c r="C656" s="19" t="n">
        <v>0.33125</v>
      </c>
      <c r="D656" s="19" t="n">
        <v>0.333333333333333</v>
      </c>
      <c r="E656" s="19" t="n">
        <v>0.75</v>
      </c>
      <c r="F656" s="19" t="n">
        <v>0.75</v>
      </c>
      <c r="G656" s="20"/>
      <c r="H656" s="20"/>
      <c r="I656" s="8" t="str">
        <f aca="false">IF(IF(OR(C656="",D656="Congé",D656="OFF",D656="Congé spécial"),"",IF(D656&gt;F656,D656-C656,IF(C656-D656&lt;0,0,C656-D656)))&lt;0.00068287037037037,"",IF(OR(D656="Congé",D656="OFF",C656="",D656="Congé spécial"),"",IF(D656&gt;F656,D656-C656,IF(C656-D656&lt;0,0,C656-D656))))</f>
        <v/>
      </c>
      <c r="J656" s="20"/>
      <c r="K656" s="8" t="n">
        <f aca="false">IF(SUM(H656:J656)&lt;0.00068287037037037,0,SUM(H656:J656))</f>
        <v>0</v>
      </c>
      <c r="L656" s="8" t="n">
        <f aca="false">IF(OR(F656="Congé",F656="OFF",M656="Abs",F656="Congé sans solde",F656="Férié",F656="Congé spécial",D656="Congé spécial"),0,IF(F656-E656&lt;0,0,IF(F656-E656&lt;=0.00068287037037037,0,F656-E656)))</f>
        <v>0</v>
      </c>
      <c r="M656" s="6" t="n">
        <f aca="false">IF(AND(O656&lt;&gt;0,C656=""),"Abs",0)</f>
        <v>0</v>
      </c>
      <c r="N656" s="8" t="n">
        <f aca="false">IFERROR(IF(OR(D656="OFF",D656="Congé",M656="Abs",D656="Congé sans solde",D656="Férié"),"",IF(O656-K656-L656&gt;O656,O656,IF(O656-K656-L656&lt;0,"",O656-K656-L656))),"")</f>
        <v>0.375</v>
      </c>
      <c r="O656" s="8" t="n">
        <f aca="false">IF(AG656="2H Pause déjeuner",IF(F656-D656-0.0833333333333333&lt;0,F656-D656-0.0833333333333333+1,F656-D656-0.0833333333333333),IF(OR(AND(F656="OFF",D656="OFF"),AND(F656="Congé",D656="Congé"),AND(F656="Congé sans solde",D656="Congé sans solde"),AND(F656="Congé spécial",D656="Congé spécial"),AND(F656="Férié",D656="Férié"),AND(F656="OFF",D656="Congé"),AND(F656="OFF",D656="Congé sans solde"),AND(F656="OFF",D656="Congé spécial"),AND(F656="OFF",D656="Férié"),AND(F656="Congé",D656="OFF"),AND(F656="Congé",D656="Congé sans solde"),AND(F656="Congé",D656="Congé spécial"),AND(F656="Congé",D656="Férié"),AND(F656="Congé sans solde",D656="OFF"),AND(F656="Congé sans solde",D656="Congé"),AND(F656="Congé sans solde",D656="Congé spécial"),AND(F656="Congé sans solde",D656="Férié"),AND(F656="Congé spécial",D656="OFF"),AND(F656="Congé spécial",D656="Congé"),AND(F656="Congé spécial",D656="Congé sans solde"),AND(F656="Congé spécial",D656="Férié"),AND(F656="Férié",D656="OFF"),AND(F656="Férié",D656="Congé"),AND(F656="Férié",D656="Congé sans solde"),AND(F656="Férié",D656="Congé spécial")),0,IF(OR(F656="OFF",F656="Congé",F656="Congé spécial",F656="Congé sans solde",D656="OFF",D656="Congé",D656="Congé spécial",D656="Congé sans solde"),0.208333333333334,IF(AND(AG656="",F656-D656&lt;0),("24:00:00"-D656)+("00:00:00"+F656)-0.0416666666666667,IF(AND(OR(AG656="Allaitement",AG656="Sans déjeuner"),F656-D656&lt;0),("24:00:00"-D656)+("00:00:00"+F656),IF(AND(AG656="",F656-D656&gt;0.166666666666667),F656-D656-0.0416666666666667,IF(AND(OR(AG656="Allaitement",AG656="Sans déjeuner"),F656-D656&gt;0.166666666666667),F656-D656,F656-D656)))))))</f>
        <v>0.375</v>
      </c>
      <c r="P656" s="6" t="str">
        <f aca="false">IFERROR(VLOOKUP($B656,Agents!$A:$D,2,0),"-")</f>
        <v>Accessibilité</v>
      </c>
      <c r="Q656" s="21" t="n">
        <v>46149</v>
      </c>
      <c r="R656" s="8" t="n">
        <f aca="false">IF(M656="Abs",O656,0)</f>
        <v>0</v>
      </c>
      <c r="S656" s="8" t="n">
        <f aca="false">SUM(R656,L656,I656,J656,W656,H656)</f>
        <v>0</v>
      </c>
      <c r="T656" s="6" t="str">
        <f aca="false">"Sem - "&amp;WEEKNUM(Q656,21)</f>
        <v>Sem - 19</v>
      </c>
      <c r="U656" s="6" t="str">
        <f aca="false">CHOOSE(MONTH(Q656),"Janvier","Février","Mars","Avril","Mai","Juin","Juillet","Août","Septembre","Octobre","Novembre","Décembre")</f>
        <v>Mai</v>
      </c>
      <c r="V656" s="22" t="n">
        <f aca="false">YEAR(Q656)</f>
        <v>2026</v>
      </c>
      <c r="W656" s="20"/>
      <c r="X656" s="8" t="n">
        <f aca="false">IFERROR(IF(M656="Abs",0,IF(ROUND((D656-C656+E656-F656)*1440,0)&lt;=1,0,D656-C656+E656-F656)),0)</f>
        <v>0.00208333333333333</v>
      </c>
      <c r="Y656" s="6" t="str">
        <f aca="false">IFERROR(VLOOKUP($B656,Agents!$A:$D,3,0),"-")</f>
        <v>OUBRAHIM Mohammed</v>
      </c>
      <c r="Z656" s="6" t="str">
        <f aca="false">IFERROR(VLOOKUP($B656,Agents!$A:$D,4,0),"-")</f>
        <v>Credit Mutuel</v>
      </c>
      <c r="AA656" s="18" t="s">
        <v>101</v>
      </c>
      <c r="AB656" s="8" t="str">
        <f aca="false">IF(AND(D656="Congé",F656="Congé"),0.333333333333333,IF(OR(AND(D656="Congé",F656&lt;&gt;"Congé"),(AND(F656="Congé",D656&lt;&gt;"Congé"))),0.166666666666667,""))</f>
        <v/>
      </c>
      <c r="AC656" s="8" t="str">
        <f aca="false">IF(AND(D656="Congé sans solde",F656="Congé sans solde"),0.333333333333333,IF(OR(AND(D656="Congé sans solde",F656&lt;&gt;"Congé sans solde"),(AND(F656="Congé sans solde",D656&lt;&gt;"Congé sans solde"))),0.166666666666667,""))</f>
        <v/>
      </c>
      <c r="AD656" s="8" t="str">
        <f aca="false">IF(AND(D656="Congé spécial",F656="Congé spécial"),0.333333333333333,IF(OR(AND(D656="Congé spécial",F656&lt;&gt;"Congé spécial"),AND(F656="Congé spécial",D656&lt;&gt;"Congé spécial")),0.166666666666667,""))</f>
        <v/>
      </c>
      <c r="AE656" s="8" t="str">
        <f aca="false">IF(AND(D656="Férié",F656="Férié"),0.333333333333333,IF(OR(AND(D656="Férié",F656&lt;&gt;"Férié"),(AND(F656="Férié",D656&lt;&gt;"Férié"))),0.166666666666667,""))</f>
        <v/>
      </c>
      <c r="AF656" s="18"/>
      <c r="AG656" s="18"/>
    </row>
    <row r="657" customFormat="false" ht="15" hidden="false" customHeight="false" outlineLevel="0" collapsed="false">
      <c r="A657" s="6" t="str">
        <f aca="false">YEAR(Q657-WEEKDAY(Q657,2)+4)&amp;"-S"&amp;TEXT(WEEKNUM(Q657,21),"00")</f>
        <v>2026-S19</v>
      </c>
      <c r="B657" s="18" t="s">
        <v>73</v>
      </c>
      <c r="C657" s="19" t="n">
        <v>0.331944444444444</v>
      </c>
      <c r="D657" s="19" t="n">
        <v>0.333333333333333</v>
      </c>
      <c r="E657" s="19" t="n">
        <v>0.75</v>
      </c>
      <c r="F657" s="19" t="n">
        <v>0.75</v>
      </c>
      <c r="G657" s="20"/>
      <c r="H657" s="20"/>
      <c r="I657" s="8" t="str">
        <f aca="false">IF(IF(OR(C657="",D657="Congé",D657="OFF",D657="Congé spécial"),"",IF(D657&gt;F657,D657-C657,IF(C657-D657&lt;0,0,C657-D657)))&lt;0.00068287037037037,"",IF(OR(D657="Congé",D657="OFF",C657="",D657="Congé spécial"),"",IF(D657&gt;F657,D657-C657,IF(C657-D657&lt;0,0,C657-D657))))</f>
        <v/>
      </c>
      <c r="J657" s="20"/>
      <c r="K657" s="8" t="n">
        <f aca="false">IF(SUM(H657:J657)&lt;0.00068287037037037,0,SUM(H657:J657))</f>
        <v>0</v>
      </c>
      <c r="L657" s="8" t="n">
        <f aca="false">IF(OR(F657="Congé",F657="OFF",M657="Abs",F657="Congé sans solde",F657="Férié",F657="Congé spécial",D657="Congé spécial"),0,IF(F657-E657&lt;0,0,IF(F657-E657&lt;=0.00068287037037037,0,F657-E657)))</f>
        <v>0</v>
      </c>
      <c r="M657" s="6" t="n">
        <f aca="false">IF(AND(O657&lt;&gt;0,C657=""),"Abs",0)</f>
        <v>0</v>
      </c>
      <c r="N657" s="8" t="n">
        <f aca="false">IFERROR(IF(OR(D657="OFF",D657="Congé",M657="Abs",D657="Congé sans solde",D657="Férié"),"",IF(O657-K657-L657&gt;O657,O657,IF(O657-K657-L657&lt;0,"",O657-K657-L657))),"")</f>
        <v>0.375</v>
      </c>
      <c r="O657" s="8" t="n">
        <f aca="false">IF(AG657="2H Pause déjeuner",IF(F657-D657-0.0833333333333333&lt;0,F657-D657-0.0833333333333333+1,F657-D657-0.0833333333333333),IF(OR(AND(F657="OFF",D657="OFF"),AND(F657="Congé",D657="Congé"),AND(F657="Congé sans solde",D657="Congé sans solde"),AND(F657="Congé spécial",D657="Congé spécial"),AND(F657="Férié",D657="Férié"),AND(F657="OFF",D657="Congé"),AND(F657="OFF",D657="Congé sans solde"),AND(F657="OFF",D657="Congé spécial"),AND(F657="OFF",D657="Férié"),AND(F657="Congé",D657="OFF"),AND(F657="Congé",D657="Congé sans solde"),AND(F657="Congé",D657="Congé spécial"),AND(F657="Congé",D657="Férié"),AND(F657="Congé sans solde",D657="OFF"),AND(F657="Congé sans solde",D657="Congé"),AND(F657="Congé sans solde",D657="Congé spécial"),AND(F657="Congé sans solde",D657="Férié"),AND(F657="Congé spécial",D657="OFF"),AND(F657="Congé spécial",D657="Congé"),AND(F657="Congé spécial",D657="Congé sans solde"),AND(F657="Congé spécial",D657="Férié"),AND(F657="Férié",D657="OFF"),AND(F657="Férié",D657="Congé"),AND(F657="Férié",D657="Congé sans solde"),AND(F657="Férié",D657="Congé spécial")),0,IF(OR(F657="OFF",F657="Congé",F657="Congé spécial",F657="Congé sans solde",D657="OFF",D657="Congé",D657="Congé spécial",D657="Congé sans solde"),0.208333333333334,IF(AND(AG657="",F657-D657&lt;0),("24:00:00"-D657)+("00:00:00"+F657)-0.0416666666666667,IF(AND(OR(AG657="Allaitement",AG657="Sans déjeuner"),F657-D657&lt;0),("24:00:00"-D657)+("00:00:00"+F657),IF(AND(AG657="",F657-D657&gt;0.166666666666667),F657-D657-0.0416666666666667,IF(AND(OR(AG657="Allaitement",AG657="Sans déjeuner"),F657-D657&gt;0.166666666666667),F657-D657,F657-D657)))))))</f>
        <v>0.375</v>
      </c>
      <c r="P657" s="6" t="str">
        <f aca="false">IFERROR(VLOOKUP($B657,Agents!$A:$D,2,0),"-")</f>
        <v>Accessibilité</v>
      </c>
      <c r="Q657" s="21" t="n">
        <v>46149</v>
      </c>
      <c r="R657" s="8" t="n">
        <f aca="false">IF(M657="Abs",O657,0)</f>
        <v>0</v>
      </c>
      <c r="S657" s="8" t="n">
        <f aca="false">SUM(R657,L657,I657,J657,W657,H657)</f>
        <v>0</v>
      </c>
      <c r="T657" s="6" t="str">
        <f aca="false">"Sem - "&amp;WEEKNUM(Q657,21)</f>
        <v>Sem - 19</v>
      </c>
      <c r="U657" s="6" t="str">
        <f aca="false">CHOOSE(MONTH(Q657),"Janvier","Février","Mars","Avril","Mai","Juin","Juillet","Août","Septembre","Octobre","Novembre","Décembre")</f>
        <v>Mai</v>
      </c>
      <c r="V657" s="22" t="n">
        <f aca="false">YEAR(Q657)</f>
        <v>2026</v>
      </c>
      <c r="W657" s="20"/>
      <c r="X657" s="8" t="n">
        <f aca="false">IFERROR(IF(M657="Abs",0,IF(ROUND((D657-C657+E657-F657)*1440,0)&lt;=1,0,D657-C657+E657-F657)),0)</f>
        <v>0.00138888888888889</v>
      </c>
      <c r="Y657" s="6" t="str">
        <f aca="false">IFERROR(VLOOKUP($B657,Agents!$A:$D,3,0),"-")</f>
        <v>OUBRAHIM Mohammed</v>
      </c>
      <c r="Z657" s="6" t="str">
        <f aca="false">IFERROR(VLOOKUP($B657,Agents!$A:$D,4,0),"-")</f>
        <v>Credit Mutuel</v>
      </c>
      <c r="AA657" s="18" t="s">
        <v>101</v>
      </c>
      <c r="AB657" s="8" t="str">
        <f aca="false">IF(AND(D657="Congé",F657="Congé"),0.333333333333333,IF(OR(AND(D657="Congé",F657&lt;&gt;"Congé"),(AND(F657="Congé",D657&lt;&gt;"Congé"))),0.166666666666667,""))</f>
        <v/>
      </c>
      <c r="AC657" s="8" t="str">
        <f aca="false">IF(AND(D657="Congé sans solde",F657="Congé sans solde"),0.333333333333333,IF(OR(AND(D657="Congé sans solde",F657&lt;&gt;"Congé sans solde"),(AND(F657="Congé sans solde",D657&lt;&gt;"Congé sans solde"))),0.166666666666667,""))</f>
        <v/>
      </c>
      <c r="AD657" s="8" t="str">
        <f aca="false">IF(AND(D657="Congé spécial",F657="Congé spécial"),0.333333333333333,IF(OR(AND(D657="Congé spécial",F657&lt;&gt;"Congé spécial"),AND(F657="Congé spécial",D657&lt;&gt;"Congé spécial")),0.166666666666667,""))</f>
        <v/>
      </c>
      <c r="AE657" s="8" t="str">
        <f aca="false">IF(AND(D657="Férié",F657="Férié"),0.333333333333333,IF(OR(AND(D657="Férié",F657&lt;&gt;"Férié"),(AND(F657="Férié",D657&lt;&gt;"Férié"))),0.166666666666667,""))</f>
        <v/>
      </c>
      <c r="AF657" s="18"/>
      <c r="AG657" s="18"/>
    </row>
    <row r="658" customFormat="false" ht="15" hidden="false" customHeight="false" outlineLevel="0" collapsed="false">
      <c r="A658" s="6" t="str">
        <f aca="false">YEAR(Q658-WEEKDAY(Q658,2)+4)&amp;"-S"&amp;TEXT(WEEKNUM(Q658,21),"00")</f>
        <v>2026-S19</v>
      </c>
      <c r="B658" s="18" t="s">
        <v>71</v>
      </c>
      <c r="C658" s="19"/>
      <c r="D658" s="19" t="s">
        <v>81</v>
      </c>
      <c r="E658" s="19"/>
      <c r="F658" s="19" t="s">
        <v>81</v>
      </c>
      <c r="G658" s="20"/>
      <c r="H658" s="20"/>
      <c r="I658" s="8" t="str">
        <f aca="false">IF(IF(OR(C658="",D658="Congé",D658="OFF",D658="Congé spécial"),"",IF(D658&gt;F658,D658-C658,IF(C658-D658&lt;0,0,C658-D658)))&lt;0.00068287037037037,"",IF(OR(D658="Congé",D658="OFF",C658="",D658="Congé spécial"),"",IF(D658&gt;F658,D658-C658,IF(C658-D658&lt;0,0,C658-D658))))</f>
        <v/>
      </c>
      <c r="J658" s="20"/>
      <c r="K658" s="8" t="n">
        <f aca="false">IF(SUM(H658:J658)&lt;0.00068287037037037,0,SUM(H658:J658))</f>
        <v>0</v>
      </c>
      <c r="L658" s="8" t="n">
        <f aca="false">IF(OR(F658="Congé",F658="OFF",M658="Abs",F658="Congé sans solde",F658="Férié",F658="Congé spécial",D658="Congé spécial"),0,IF(F658-E658&lt;0,0,IF(F658-E658&lt;=0.00068287037037037,0,F658-E658)))</f>
        <v>0</v>
      </c>
      <c r="M658" s="6" t="n">
        <f aca="false">IF(AND(O658&lt;&gt;0,C658=""),"Abs",0)</f>
        <v>0</v>
      </c>
      <c r="N658" s="8" t="str">
        <f aca="false">IFERROR(IF(OR(D658="OFF",D658="Congé",M658="Abs",D658="Congé sans solde",D658="Férié"),"",IF(O658-K658-L658&gt;O658,O658,IF(O658-K658-L658&lt;0,"",O658-K658-L658))),"")</f>
        <v/>
      </c>
      <c r="O658" s="8" t="n">
        <f aca="false">IF(AG658="2H Pause déjeuner",IF(F658-D658-0.0833333333333333&lt;0,F658-D658-0.0833333333333333+1,F658-D658-0.0833333333333333),IF(OR(AND(F658="OFF",D658="OFF"),AND(F658="Congé",D658="Congé"),AND(F658="Congé sans solde",D658="Congé sans solde"),AND(F658="Congé spécial",D658="Congé spécial"),AND(F658="Férié",D658="Férié"),AND(F658="OFF",D658="Congé"),AND(F658="OFF",D658="Congé sans solde"),AND(F658="OFF",D658="Congé spécial"),AND(F658="OFF",D658="Férié"),AND(F658="Congé",D658="OFF"),AND(F658="Congé",D658="Congé sans solde"),AND(F658="Congé",D658="Congé spécial"),AND(F658="Congé",D658="Férié"),AND(F658="Congé sans solde",D658="OFF"),AND(F658="Congé sans solde",D658="Congé"),AND(F658="Congé sans solde",D658="Congé spécial"),AND(F658="Congé sans solde",D658="Férié"),AND(F658="Congé spécial",D658="OFF"),AND(F658="Congé spécial",D658="Congé"),AND(F658="Congé spécial",D658="Congé sans solde"),AND(F658="Congé spécial",D658="Férié"),AND(F658="Férié",D658="OFF"),AND(F658="Férié",D658="Congé"),AND(F658="Férié",D658="Congé sans solde"),AND(F658="Férié",D658="Congé spécial")),0,IF(OR(F658="OFF",F658="Congé",F658="Congé spécial",F658="Congé sans solde",D658="OFF",D658="Congé",D658="Congé spécial",D658="Congé sans solde"),0.208333333333334,IF(AND(AG658="",F658-D658&lt;0),("24:00:00"-D658)+("00:00:00"+F658)-0.0416666666666667,IF(AND(OR(AG658="Allaitement",AG658="Sans déjeuner"),F658-D658&lt;0),("24:00:00"-D658)+("00:00:00"+F658),IF(AND(AG658="",F658-D658&gt;0.166666666666667),F658-D658-0.0416666666666667,IF(AND(OR(AG658="Allaitement",AG658="Sans déjeuner"),F658-D658&gt;0.166666666666667),F658-D658,F658-D658)))))))</f>
        <v>0</v>
      </c>
      <c r="P658" s="6" t="str">
        <f aca="false">IFERROR(VLOOKUP($B658,Agents!$A:$D,2,0),"-")</f>
        <v>Accessibilité</v>
      </c>
      <c r="Q658" s="21" t="n">
        <v>46150</v>
      </c>
      <c r="R658" s="8" t="n">
        <f aca="false">IF(M658="Abs",O658,0)</f>
        <v>0</v>
      </c>
      <c r="S658" s="8" t="n">
        <f aca="false">SUM(R658,L658,I658,J658,W658,H658)</f>
        <v>0</v>
      </c>
      <c r="T658" s="6" t="str">
        <f aca="false">"Sem - "&amp;WEEKNUM(Q658,21)</f>
        <v>Sem - 19</v>
      </c>
      <c r="U658" s="6" t="str">
        <f aca="false">CHOOSE(MONTH(Q658),"Janvier","Février","Mars","Avril","Mai","Juin","Juillet","Août","Septembre","Octobre","Novembre","Décembre")</f>
        <v>Mai</v>
      </c>
      <c r="V658" s="22" t="n">
        <f aca="false">YEAR(Q658)</f>
        <v>2026</v>
      </c>
      <c r="W658" s="20"/>
      <c r="X658" s="8" t="n">
        <f aca="false">IFERROR(IF(M658="Abs",0,IF(ROUND((D658-C658+E658-F658)*1440,0)&lt;=1,0,D658-C658+E658-F658)),0)</f>
        <v>0</v>
      </c>
      <c r="Y658" s="6" t="str">
        <f aca="false">IFERROR(VLOOKUP($B658,Agents!$A:$D,3,0),"-")</f>
        <v>OUBRAHIM Mohammed</v>
      </c>
      <c r="Z658" s="6" t="str">
        <f aca="false">IFERROR(VLOOKUP($B658,Agents!$A:$D,4,0),"-")</f>
        <v>Credit Mutuel</v>
      </c>
      <c r="AA658" s="18" t="s">
        <v>101</v>
      </c>
      <c r="AB658" s="8" t="str">
        <f aca="false">IF(AND(D658="Congé",F658="Congé"),0.333333333333333,IF(OR(AND(D658="Congé",F658&lt;&gt;"Congé"),(AND(F658="Congé",D658&lt;&gt;"Congé"))),0.166666666666667,""))</f>
        <v/>
      </c>
      <c r="AC658" s="8" t="str">
        <f aca="false">IF(AND(D658="Congé sans solde",F658="Congé sans solde"),0.333333333333333,IF(OR(AND(D658="Congé sans solde",F658&lt;&gt;"Congé sans solde"),(AND(F658="Congé sans solde",D658&lt;&gt;"Congé sans solde"))),0.166666666666667,""))</f>
        <v/>
      </c>
      <c r="AD658" s="8" t="str">
        <f aca="false">IF(AND(D658="Congé spécial",F658="Congé spécial"),0.333333333333333,IF(OR(AND(D658="Congé spécial",F658&lt;&gt;"Congé spécial"),AND(F658="Congé spécial",D658&lt;&gt;"Congé spécial")),0.166666666666667,""))</f>
        <v/>
      </c>
      <c r="AE658" s="8" t="n">
        <f aca="false">IF(AND(D658="Férié",F658="Férié"),0.333333333333333,IF(OR(AND(D658="Férié",F658&lt;&gt;"Férié"),(AND(F658="Férié",D658&lt;&gt;"Férié"))),0.166666666666667,""))</f>
        <v>0.333333333333333</v>
      </c>
      <c r="AF658" s="18"/>
      <c r="AG658" s="18"/>
    </row>
    <row r="659" customFormat="false" ht="15" hidden="false" customHeight="false" outlineLevel="0" collapsed="false">
      <c r="A659" s="6" t="str">
        <f aca="false">YEAR(Q659-WEEKDAY(Q659,2)+4)&amp;"-S"&amp;TEXT(WEEKNUM(Q659,21),"00")</f>
        <v>2026-S19</v>
      </c>
      <c r="B659" s="18" t="s">
        <v>72</v>
      </c>
      <c r="C659" s="19"/>
      <c r="D659" s="19" t="s">
        <v>81</v>
      </c>
      <c r="E659" s="19"/>
      <c r="F659" s="19" t="s">
        <v>81</v>
      </c>
      <c r="G659" s="20"/>
      <c r="H659" s="20"/>
      <c r="I659" s="8" t="str">
        <f aca="false">IF(IF(OR(C659="",D659="Congé",D659="OFF",D659="Congé spécial"),"",IF(D659&gt;F659,D659-C659,IF(C659-D659&lt;0,0,C659-D659)))&lt;0.00068287037037037,"",IF(OR(D659="Congé",D659="OFF",C659="",D659="Congé spécial"),"",IF(D659&gt;F659,D659-C659,IF(C659-D659&lt;0,0,C659-D659))))</f>
        <v/>
      </c>
      <c r="J659" s="20"/>
      <c r="K659" s="8" t="n">
        <f aca="false">IF(SUM(H659:J659)&lt;0.00068287037037037,0,SUM(H659:J659))</f>
        <v>0</v>
      </c>
      <c r="L659" s="8" t="n">
        <f aca="false">IF(OR(F659="Congé",F659="OFF",M659="Abs",F659="Congé sans solde",F659="Férié",F659="Congé spécial",D659="Congé spécial"),0,IF(F659-E659&lt;0,0,IF(F659-E659&lt;=0.00068287037037037,0,F659-E659)))</f>
        <v>0</v>
      </c>
      <c r="M659" s="6" t="n">
        <f aca="false">IF(AND(O659&lt;&gt;0,C659=""),"Abs",0)</f>
        <v>0</v>
      </c>
      <c r="N659" s="8" t="str">
        <f aca="false">IFERROR(IF(OR(D659="OFF",D659="Congé",M659="Abs",D659="Congé sans solde",D659="Férié"),"",IF(O659-K659-L659&gt;O659,O659,IF(O659-K659-L659&lt;0,"",O659-K659-L659))),"")</f>
        <v/>
      </c>
      <c r="O659" s="8" t="n">
        <f aca="false">IF(AG659="2H Pause déjeuner",IF(F659-D659-0.0833333333333333&lt;0,F659-D659-0.0833333333333333+1,F659-D659-0.0833333333333333),IF(OR(AND(F659="OFF",D659="OFF"),AND(F659="Congé",D659="Congé"),AND(F659="Congé sans solde",D659="Congé sans solde"),AND(F659="Congé spécial",D659="Congé spécial"),AND(F659="Férié",D659="Férié"),AND(F659="OFF",D659="Congé"),AND(F659="OFF",D659="Congé sans solde"),AND(F659="OFF",D659="Congé spécial"),AND(F659="OFF",D659="Férié"),AND(F659="Congé",D659="OFF"),AND(F659="Congé",D659="Congé sans solde"),AND(F659="Congé",D659="Congé spécial"),AND(F659="Congé",D659="Férié"),AND(F659="Congé sans solde",D659="OFF"),AND(F659="Congé sans solde",D659="Congé"),AND(F659="Congé sans solde",D659="Congé spécial"),AND(F659="Congé sans solde",D659="Férié"),AND(F659="Congé spécial",D659="OFF"),AND(F659="Congé spécial",D659="Congé"),AND(F659="Congé spécial",D659="Congé sans solde"),AND(F659="Congé spécial",D659="Férié"),AND(F659="Férié",D659="OFF"),AND(F659="Férié",D659="Congé"),AND(F659="Férié",D659="Congé sans solde"),AND(F659="Férié",D659="Congé spécial")),0,IF(OR(F659="OFF",F659="Congé",F659="Congé spécial",F659="Congé sans solde",D659="OFF",D659="Congé",D659="Congé spécial",D659="Congé sans solde"),0.208333333333334,IF(AND(AG659="",F659-D659&lt;0),("24:00:00"-D659)+("00:00:00"+F659)-0.0416666666666667,IF(AND(OR(AG659="Allaitement",AG659="Sans déjeuner"),F659-D659&lt;0),("24:00:00"-D659)+("00:00:00"+F659),IF(AND(AG659="",F659-D659&gt;0.166666666666667),F659-D659-0.0416666666666667,IF(AND(OR(AG659="Allaitement",AG659="Sans déjeuner"),F659-D659&gt;0.166666666666667),F659-D659,F659-D659)))))))</f>
        <v>0</v>
      </c>
      <c r="P659" s="6" t="str">
        <f aca="false">IFERROR(VLOOKUP($B659,Agents!$A:$D,2,0),"-")</f>
        <v>Accessibilité</v>
      </c>
      <c r="Q659" s="21" t="n">
        <v>46150</v>
      </c>
      <c r="R659" s="8" t="n">
        <f aca="false">IF(M659="Abs",O659,0)</f>
        <v>0</v>
      </c>
      <c r="S659" s="8" t="n">
        <f aca="false">SUM(R659,L659,I659,J659,W659,H659)</f>
        <v>0</v>
      </c>
      <c r="T659" s="6" t="str">
        <f aca="false">"Sem - "&amp;WEEKNUM(Q659,21)</f>
        <v>Sem - 19</v>
      </c>
      <c r="U659" s="6" t="str">
        <f aca="false">CHOOSE(MONTH(Q659),"Janvier","Février","Mars","Avril","Mai","Juin","Juillet","Août","Septembre","Octobre","Novembre","Décembre")</f>
        <v>Mai</v>
      </c>
      <c r="V659" s="22" t="n">
        <f aca="false">YEAR(Q659)</f>
        <v>2026</v>
      </c>
      <c r="W659" s="20"/>
      <c r="X659" s="8" t="n">
        <f aca="false">IFERROR(IF(M659="Abs",0,IF(ROUND((D659-C659+E659-F659)*1440,0)&lt;=1,0,D659-C659+E659-F659)),0)</f>
        <v>0</v>
      </c>
      <c r="Y659" s="6" t="str">
        <f aca="false">IFERROR(VLOOKUP($B659,Agents!$A:$D,3,0),"-")</f>
        <v>OUBRAHIM Mohammed</v>
      </c>
      <c r="Z659" s="6" t="str">
        <f aca="false">IFERROR(VLOOKUP($B659,Agents!$A:$D,4,0),"-")</f>
        <v>Credit Mutuel</v>
      </c>
      <c r="AA659" s="18" t="s">
        <v>101</v>
      </c>
      <c r="AB659" s="8" t="str">
        <f aca="false">IF(AND(D659="Congé",F659="Congé"),0.333333333333333,IF(OR(AND(D659="Congé",F659&lt;&gt;"Congé"),(AND(F659="Congé",D659&lt;&gt;"Congé"))),0.166666666666667,""))</f>
        <v/>
      </c>
      <c r="AC659" s="8" t="str">
        <f aca="false">IF(AND(D659="Congé sans solde",F659="Congé sans solde"),0.333333333333333,IF(OR(AND(D659="Congé sans solde",F659&lt;&gt;"Congé sans solde"),(AND(F659="Congé sans solde",D659&lt;&gt;"Congé sans solde"))),0.166666666666667,""))</f>
        <v/>
      </c>
      <c r="AD659" s="8" t="str">
        <f aca="false">IF(AND(D659="Congé spécial",F659="Congé spécial"),0.333333333333333,IF(OR(AND(D659="Congé spécial",F659&lt;&gt;"Congé spécial"),AND(F659="Congé spécial",D659&lt;&gt;"Congé spécial")),0.166666666666667,""))</f>
        <v/>
      </c>
      <c r="AE659" s="8" t="n">
        <f aca="false">IF(AND(D659="Férié",F659="Férié"),0.333333333333333,IF(OR(AND(D659="Férié",F659&lt;&gt;"Férié"),(AND(F659="Férié",D659&lt;&gt;"Férié"))),0.166666666666667,""))</f>
        <v>0.333333333333333</v>
      </c>
      <c r="AF659" s="18"/>
      <c r="AG659" s="18"/>
    </row>
    <row r="660" customFormat="false" ht="15" hidden="false" customHeight="false" outlineLevel="0" collapsed="false">
      <c r="A660" s="6" t="str">
        <f aca="false">YEAR(Q660-WEEKDAY(Q660,2)+4)&amp;"-S"&amp;TEXT(WEEKNUM(Q660,21),"00")</f>
        <v>2026-S19</v>
      </c>
      <c r="B660" s="18" t="s">
        <v>73</v>
      </c>
      <c r="C660" s="19"/>
      <c r="D660" s="19" t="s">
        <v>81</v>
      </c>
      <c r="E660" s="19"/>
      <c r="F660" s="19" t="s">
        <v>81</v>
      </c>
      <c r="G660" s="20"/>
      <c r="H660" s="20"/>
      <c r="I660" s="8" t="str">
        <f aca="false">IF(IF(OR(C660="",D660="Congé",D660="OFF",D660="Congé spécial"),"",IF(D660&gt;F660,D660-C660,IF(C660-D660&lt;0,0,C660-D660)))&lt;0.00068287037037037,"",IF(OR(D660="Congé",D660="OFF",C660="",D660="Congé spécial"),"",IF(D660&gt;F660,D660-C660,IF(C660-D660&lt;0,0,C660-D660))))</f>
        <v/>
      </c>
      <c r="J660" s="20"/>
      <c r="K660" s="8" t="n">
        <f aca="false">IF(SUM(H660:J660)&lt;0.00068287037037037,0,SUM(H660:J660))</f>
        <v>0</v>
      </c>
      <c r="L660" s="8" t="n">
        <f aca="false">IF(OR(F660="Congé",F660="OFF",M660="Abs",F660="Congé sans solde",F660="Férié",F660="Congé spécial",D660="Congé spécial"),0,IF(F660-E660&lt;0,0,IF(F660-E660&lt;=0.00068287037037037,0,F660-E660)))</f>
        <v>0</v>
      </c>
      <c r="M660" s="6" t="n">
        <f aca="false">IF(AND(O660&lt;&gt;0,C660=""),"Abs",0)</f>
        <v>0</v>
      </c>
      <c r="N660" s="8" t="str">
        <f aca="false">IFERROR(IF(OR(D660="OFF",D660="Congé",M660="Abs",D660="Congé sans solde",D660="Férié"),"",IF(O660-K660-L660&gt;O660,O660,IF(O660-K660-L660&lt;0,"",O660-K660-L660))),"")</f>
        <v/>
      </c>
      <c r="O660" s="8" t="n">
        <f aca="false">IF(AG660="2H Pause déjeuner",IF(F660-D660-0.0833333333333333&lt;0,F660-D660-0.0833333333333333+1,F660-D660-0.0833333333333333),IF(OR(AND(F660="OFF",D660="OFF"),AND(F660="Congé",D660="Congé"),AND(F660="Congé sans solde",D660="Congé sans solde"),AND(F660="Congé spécial",D660="Congé spécial"),AND(F660="Férié",D660="Férié"),AND(F660="OFF",D660="Congé"),AND(F660="OFF",D660="Congé sans solde"),AND(F660="OFF",D660="Congé spécial"),AND(F660="OFF",D660="Férié"),AND(F660="Congé",D660="OFF"),AND(F660="Congé",D660="Congé sans solde"),AND(F660="Congé",D660="Congé spécial"),AND(F660="Congé",D660="Férié"),AND(F660="Congé sans solde",D660="OFF"),AND(F660="Congé sans solde",D660="Congé"),AND(F660="Congé sans solde",D660="Congé spécial"),AND(F660="Congé sans solde",D660="Férié"),AND(F660="Congé spécial",D660="OFF"),AND(F660="Congé spécial",D660="Congé"),AND(F660="Congé spécial",D660="Congé sans solde"),AND(F660="Congé spécial",D660="Férié"),AND(F660="Férié",D660="OFF"),AND(F660="Férié",D660="Congé"),AND(F660="Férié",D660="Congé sans solde"),AND(F660="Férié",D660="Congé spécial")),0,IF(OR(F660="OFF",F660="Congé",F660="Congé spécial",F660="Congé sans solde",D660="OFF",D660="Congé",D660="Congé spécial",D660="Congé sans solde"),0.208333333333334,IF(AND(AG660="",F660-D660&lt;0),("24:00:00"-D660)+("00:00:00"+F660)-0.0416666666666667,IF(AND(OR(AG660="Allaitement",AG660="Sans déjeuner"),F660-D660&lt;0),("24:00:00"-D660)+("00:00:00"+F660),IF(AND(AG660="",F660-D660&gt;0.166666666666667),F660-D660-0.0416666666666667,IF(AND(OR(AG660="Allaitement",AG660="Sans déjeuner"),F660-D660&gt;0.166666666666667),F660-D660,F660-D660)))))))</f>
        <v>0</v>
      </c>
      <c r="P660" s="6" t="str">
        <f aca="false">IFERROR(VLOOKUP($B660,Agents!$A:$D,2,0),"-")</f>
        <v>Accessibilité</v>
      </c>
      <c r="Q660" s="21" t="n">
        <v>46150</v>
      </c>
      <c r="R660" s="8" t="n">
        <f aca="false">IF(M660="Abs",O660,0)</f>
        <v>0</v>
      </c>
      <c r="S660" s="8" t="n">
        <f aca="false">SUM(R660,L660,I660,J660,W660,H660)</f>
        <v>0</v>
      </c>
      <c r="T660" s="6" t="str">
        <f aca="false">"Sem - "&amp;WEEKNUM(Q660,21)</f>
        <v>Sem - 19</v>
      </c>
      <c r="U660" s="6" t="str">
        <f aca="false">CHOOSE(MONTH(Q660),"Janvier","Février","Mars","Avril","Mai","Juin","Juillet","Août","Septembre","Octobre","Novembre","Décembre")</f>
        <v>Mai</v>
      </c>
      <c r="V660" s="22" t="n">
        <f aca="false">YEAR(Q660)</f>
        <v>2026</v>
      </c>
      <c r="W660" s="20"/>
      <c r="X660" s="8" t="n">
        <f aca="false">IFERROR(IF(M660="Abs",0,IF(ROUND((D660-C660+E660-F660)*1440,0)&lt;=1,0,D660-C660+E660-F660)),0)</f>
        <v>0</v>
      </c>
      <c r="Y660" s="6" t="str">
        <f aca="false">IFERROR(VLOOKUP($B660,Agents!$A:$D,3,0),"-")</f>
        <v>OUBRAHIM Mohammed</v>
      </c>
      <c r="Z660" s="6" t="str">
        <f aca="false">IFERROR(VLOOKUP($B660,Agents!$A:$D,4,0),"-")</f>
        <v>Credit Mutuel</v>
      </c>
      <c r="AA660" s="18" t="s">
        <v>101</v>
      </c>
      <c r="AB660" s="8" t="str">
        <f aca="false">IF(AND(D660="Congé",F660="Congé"),0.333333333333333,IF(OR(AND(D660="Congé",F660&lt;&gt;"Congé"),(AND(F660="Congé",D660&lt;&gt;"Congé"))),0.166666666666667,""))</f>
        <v/>
      </c>
      <c r="AC660" s="8" t="str">
        <f aca="false">IF(AND(D660="Congé sans solde",F660="Congé sans solde"),0.333333333333333,IF(OR(AND(D660="Congé sans solde",F660&lt;&gt;"Congé sans solde"),(AND(F660="Congé sans solde",D660&lt;&gt;"Congé sans solde"))),0.166666666666667,""))</f>
        <v/>
      </c>
      <c r="AD660" s="8" t="str">
        <f aca="false">IF(AND(D660="Congé spécial",F660="Congé spécial"),0.333333333333333,IF(OR(AND(D660="Congé spécial",F660&lt;&gt;"Congé spécial"),AND(F660="Congé spécial",D660&lt;&gt;"Congé spécial")),0.166666666666667,""))</f>
        <v/>
      </c>
      <c r="AE660" s="8" t="n">
        <f aca="false">IF(AND(D660="Férié",F660="Férié"),0.333333333333333,IF(OR(AND(D660="Férié",F660&lt;&gt;"Férié"),(AND(F660="Férié",D660&lt;&gt;"Férié"))),0.166666666666667,""))</f>
        <v>0.333333333333333</v>
      </c>
      <c r="AF660" s="18"/>
      <c r="AG660" s="18"/>
    </row>
    <row r="661" customFormat="false" ht="15" hidden="false" customHeight="false" outlineLevel="0" collapsed="false">
      <c r="A661" s="6" t="str">
        <f aca="false">YEAR(Q661-WEEKDAY(Q661,2)+4)&amp;"-S"&amp;TEXT(WEEKNUM(Q661,21),"00")</f>
        <v>2026-S19</v>
      </c>
      <c r="B661" s="18" t="s">
        <v>71</v>
      </c>
      <c r="C661" s="19"/>
      <c r="D661" s="19" t="s">
        <v>74</v>
      </c>
      <c r="E661" s="19"/>
      <c r="F661" s="19" t="s">
        <v>74</v>
      </c>
      <c r="G661" s="20"/>
      <c r="H661" s="20"/>
      <c r="I661" s="8" t="str">
        <f aca="false">IF(IF(OR(C661="",D661="Congé",D661="OFF",D661="Congé spécial"),"",IF(D661&gt;F661,D661-C661,IF(C661-D661&lt;0,0,C661-D661)))&lt;0.00068287037037037,"",IF(OR(D661="Congé",D661="OFF",C661="",D661="Congé spécial"),"",IF(D661&gt;F661,D661-C661,IF(C661-D661&lt;0,0,C661-D661))))</f>
        <v/>
      </c>
      <c r="J661" s="20"/>
      <c r="K661" s="8" t="n">
        <f aca="false">IF(SUM(H661:J661)&lt;0.00068287037037037,0,SUM(H661:J661))</f>
        <v>0</v>
      </c>
      <c r="L661" s="8" t="n">
        <f aca="false">IF(OR(F661="Congé",F661="OFF",M661="Abs",F661="Congé sans solde",F661="Férié",F661="Congé spécial",D661="Congé spécial"),0,IF(F661-E661&lt;0,0,IF(F661-E661&lt;=0.00068287037037037,0,F661-E661)))</f>
        <v>0</v>
      </c>
      <c r="M661" s="6" t="n">
        <f aca="false">IF(AND(O661&lt;&gt;0,C661=""),"Abs",0)</f>
        <v>0</v>
      </c>
      <c r="N661" s="8" t="str">
        <f aca="false">IFERROR(IF(OR(D661="OFF",D661="Congé",M661="Abs",D661="Congé sans solde",D661="Férié"),"",IF(O661-K661-L661&gt;O661,O661,IF(O661-K661-L661&lt;0,"",O661-K661-L661))),"")</f>
        <v/>
      </c>
      <c r="O661" s="8" t="n">
        <f aca="false">IF(AG661="2H Pause déjeuner",IF(F661-D661-0.0833333333333333&lt;0,F661-D661-0.0833333333333333+1,F661-D661-0.0833333333333333),IF(OR(AND(F661="OFF",D661="OFF"),AND(F661="Congé",D661="Congé"),AND(F661="Congé sans solde",D661="Congé sans solde"),AND(F661="Congé spécial",D661="Congé spécial"),AND(F661="Férié",D661="Férié"),AND(F661="OFF",D661="Congé"),AND(F661="OFF",D661="Congé sans solde"),AND(F661="OFF",D661="Congé spécial"),AND(F661="OFF",D661="Férié"),AND(F661="Congé",D661="OFF"),AND(F661="Congé",D661="Congé sans solde"),AND(F661="Congé",D661="Congé spécial"),AND(F661="Congé",D661="Férié"),AND(F661="Congé sans solde",D661="OFF"),AND(F661="Congé sans solde",D661="Congé"),AND(F661="Congé sans solde",D661="Congé spécial"),AND(F661="Congé sans solde",D661="Férié"),AND(F661="Congé spécial",D661="OFF"),AND(F661="Congé spécial",D661="Congé"),AND(F661="Congé spécial",D661="Congé sans solde"),AND(F661="Congé spécial",D661="Férié"),AND(F661="Férié",D661="OFF"),AND(F661="Férié",D661="Congé"),AND(F661="Férié",D661="Congé sans solde"),AND(F661="Férié",D661="Congé spécial")),0,IF(OR(F661="OFF",F661="Congé",F661="Congé spécial",F661="Congé sans solde",D661="OFF",D661="Congé",D661="Congé spécial",D661="Congé sans solde"),0.208333333333334,IF(AND(AG661="",F661-D661&lt;0),("24:00:00"-D661)+("00:00:00"+F661)-0.0416666666666667,IF(AND(OR(AG661="Allaitement",AG661="Sans déjeuner"),F661-D661&lt;0),("24:00:00"-D661)+("00:00:00"+F661),IF(AND(AG661="",F661-D661&gt;0.166666666666667),F661-D661-0.0416666666666667,IF(AND(OR(AG661="Allaitement",AG661="Sans déjeuner"),F661-D661&gt;0.166666666666667),F661-D661,F661-D661)))))))</f>
        <v>0</v>
      </c>
      <c r="P661" s="6" t="str">
        <f aca="false">IFERROR(VLOOKUP($B661,Agents!$A:$D,2,0),"-")</f>
        <v>Accessibilité</v>
      </c>
      <c r="Q661" s="21" t="n">
        <v>46151</v>
      </c>
      <c r="R661" s="8" t="n">
        <f aca="false">IF(M661="Abs",O661,0)</f>
        <v>0</v>
      </c>
      <c r="S661" s="8" t="n">
        <f aca="false">SUM(R661,L661,I661,J661,W661,H661)</f>
        <v>0</v>
      </c>
      <c r="T661" s="6" t="str">
        <f aca="false">"Sem - "&amp;WEEKNUM(Q661,21)</f>
        <v>Sem - 19</v>
      </c>
      <c r="U661" s="6" t="str">
        <f aca="false">CHOOSE(MONTH(Q661),"Janvier","Février","Mars","Avril","Mai","Juin","Juillet","Août","Septembre","Octobre","Novembre","Décembre")</f>
        <v>Mai</v>
      </c>
      <c r="V661" s="22" t="n">
        <f aca="false">YEAR(Q661)</f>
        <v>2026</v>
      </c>
      <c r="W661" s="20"/>
      <c r="X661" s="8" t="n">
        <f aca="false">IFERROR(IF(M661="Abs",0,IF(ROUND((D661-C661+E661-F661)*1440,0)&lt;=1,0,D661-C661+E661-F661)),0)</f>
        <v>0</v>
      </c>
      <c r="Y661" s="6" t="str">
        <f aca="false">IFERROR(VLOOKUP($B661,Agents!$A:$D,3,0),"-")</f>
        <v>OUBRAHIM Mohammed</v>
      </c>
      <c r="Z661" s="6" t="str">
        <f aca="false">IFERROR(VLOOKUP($B661,Agents!$A:$D,4,0),"-")</f>
        <v>Credit Mutuel</v>
      </c>
      <c r="AA661" s="18" t="s">
        <v>101</v>
      </c>
      <c r="AB661" s="8" t="str">
        <f aca="false">IF(AND(D661="Congé",F661="Congé"),0.333333333333333,IF(OR(AND(D661="Congé",F661&lt;&gt;"Congé"),(AND(F661="Congé",D661&lt;&gt;"Congé"))),0.166666666666667,""))</f>
        <v/>
      </c>
      <c r="AC661" s="8" t="str">
        <f aca="false">IF(AND(D661="Congé sans solde",F661="Congé sans solde"),0.333333333333333,IF(OR(AND(D661="Congé sans solde",F661&lt;&gt;"Congé sans solde"),(AND(F661="Congé sans solde",D661&lt;&gt;"Congé sans solde"))),0.166666666666667,""))</f>
        <v/>
      </c>
      <c r="AD661" s="8" t="str">
        <f aca="false">IF(AND(D661="Congé spécial",F661="Congé spécial"),0.333333333333333,IF(OR(AND(D661="Congé spécial",F661&lt;&gt;"Congé spécial"),AND(F661="Congé spécial",D661&lt;&gt;"Congé spécial")),0.166666666666667,""))</f>
        <v/>
      </c>
      <c r="AE661" s="8" t="str">
        <f aca="false">IF(AND(D661="Férié",F661="Férié"),0.333333333333333,IF(OR(AND(D661="Férié",F661&lt;&gt;"Férié"),(AND(F661="Férié",D661&lt;&gt;"Férié"))),0.166666666666667,""))</f>
        <v/>
      </c>
      <c r="AF661" s="18"/>
      <c r="AG661" s="18"/>
    </row>
    <row r="662" customFormat="false" ht="15" hidden="false" customHeight="false" outlineLevel="0" collapsed="false">
      <c r="A662" s="6" t="str">
        <f aca="false">YEAR(Q662-WEEKDAY(Q662,2)+4)&amp;"-S"&amp;TEXT(WEEKNUM(Q662,21),"00")</f>
        <v>2026-S19</v>
      </c>
      <c r="B662" s="18" t="s">
        <v>72</v>
      </c>
      <c r="C662" s="19"/>
      <c r="D662" s="19" t="s">
        <v>74</v>
      </c>
      <c r="E662" s="19"/>
      <c r="F662" s="19" t="s">
        <v>74</v>
      </c>
      <c r="G662" s="20"/>
      <c r="H662" s="20"/>
      <c r="I662" s="8" t="str">
        <f aca="false">IF(IF(OR(C662="",D662="Congé",D662="OFF",D662="Congé spécial"),"",IF(D662&gt;F662,D662-C662,IF(C662-D662&lt;0,0,C662-D662)))&lt;0.00068287037037037,"",IF(OR(D662="Congé",D662="OFF",C662="",D662="Congé spécial"),"",IF(D662&gt;F662,D662-C662,IF(C662-D662&lt;0,0,C662-D662))))</f>
        <v/>
      </c>
      <c r="J662" s="20"/>
      <c r="K662" s="8" t="n">
        <f aca="false">IF(SUM(H662:J662)&lt;0.00068287037037037,0,SUM(H662:J662))</f>
        <v>0</v>
      </c>
      <c r="L662" s="8" t="n">
        <f aca="false">IF(OR(F662="Congé",F662="OFF",M662="Abs",F662="Congé sans solde",F662="Férié",F662="Congé spécial",D662="Congé spécial"),0,IF(F662-E662&lt;0,0,IF(F662-E662&lt;=0.00068287037037037,0,F662-E662)))</f>
        <v>0</v>
      </c>
      <c r="M662" s="6" t="n">
        <f aca="false">IF(AND(O662&lt;&gt;0,C662=""),"Abs",0)</f>
        <v>0</v>
      </c>
      <c r="N662" s="8" t="str">
        <f aca="false">IFERROR(IF(OR(D662="OFF",D662="Congé",M662="Abs",D662="Congé sans solde",D662="Férié"),"",IF(O662-K662-L662&gt;O662,O662,IF(O662-K662-L662&lt;0,"",O662-K662-L662))),"")</f>
        <v/>
      </c>
      <c r="O662" s="8" t="n">
        <f aca="false">IF(AG662="2H Pause déjeuner",IF(F662-D662-0.0833333333333333&lt;0,F662-D662-0.0833333333333333+1,F662-D662-0.0833333333333333),IF(OR(AND(F662="OFF",D662="OFF"),AND(F662="Congé",D662="Congé"),AND(F662="Congé sans solde",D662="Congé sans solde"),AND(F662="Congé spécial",D662="Congé spécial"),AND(F662="Férié",D662="Férié"),AND(F662="OFF",D662="Congé"),AND(F662="OFF",D662="Congé sans solde"),AND(F662="OFF",D662="Congé spécial"),AND(F662="OFF",D662="Férié"),AND(F662="Congé",D662="OFF"),AND(F662="Congé",D662="Congé sans solde"),AND(F662="Congé",D662="Congé spécial"),AND(F662="Congé",D662="Férié"),AND(F662="Congé sans solde",D662="OFF"),AND(F662="Congé sans solde",D662="Congé"),AND(F662="Congé sans solde",D662="Congé spécial"),AND(F662="Congé sans solde",D662="Férié"),AND(F662="Congé spécial",D662="OFF"),AND(F662="Congé spécial",D662="Congé"),AND(F662="Congé spécial",D662="Congé sans solde"),AND(F662="Congé spécial",D662="Férié"),AND(F662="Férié",D662="OFF"),AND(F662="Férié",D662="Congé"),AND(F662="Férié",D662="Congé sans solde"),AND(F662="Férié",D662="Congé spécial")),0,IF(OR(F662="OFF",F662="Congé",F662="Congé spécial",F662="Congé sans solde",D662="OFF",D662="Congé",D662="Congé spécial",D662="Congé sans solde"),0.208333333333334,IF(AND(AG662="",F662-D662&lt;0),("24:00:00"-D662)+("00:00:00"+F662)-0.0416666666666667,IF(AND(OR(AG662="Allaitement",AG662="Sans déjeuner"),F662-D662&lt;0),("24:00:00"-D662)+("00:00:00"+F662),IF(AND(AG662="",F662-D662&gt;0.166666666666667),F662-D662-0.0416666666666667,IF(AND(OR(AG662="Allaitement",AG662="Sans déjeuner"),F662-D662&gt;0.166666666666667),F662-D662,F662-D662)))))))</f>
        <v>0</v>
      </c>
      <c r="P662" s="6" t="str">
        <f aca="false">IFERROR(VLOOKUP($B662,Agents!$A:$D,2,0),"-")</f>
        <v>Accessibilité</v>
      </c>
      <c r="Q662" s="21" t="n">
        <v>46151</v>
      </c>
      <c r="R662" s="8" t="n">
        <f aca="false">IF(M662="Abs",O662,0)</f>
        <v>0</v>
      </c>
      <c r="S662" s="8" t="n">
        <f aca="false">SUM(R662,L662,I662,J662,W662,H662)</f>
        <v>0</v>
      </c>
      <c r="T662" s="6" t="str">
        <f aca="false">"Sem - "&amp;WEEKNUM(Q662,21)</f>
        <v>Sem - 19</v>
      </c>
      <c r="U662" s="6" t="str">
        <f aca="false">CHOOSE(MONTH(Q662),"Janvier","Février","Mars","Avril","Mai","Juin","Juillet","Août","Septembre","Octobre","Novembre","Décembre")</f>
        <v>Mai</v>
      </c>
      <c r="V662" s="22" t="n">
        <f aca="false">YEAR(Q662)</f>
        <v>2026</v>
      </c>
      <c r="W662" s="20"/>
      <c r="X662" s="8" t="n">
        <f aca="false">IFERROR(IF(M662="Abs",0,IF(ROUND((D662-C662+E662-F662)*1440,0)&lt;=1,0,D662-C662+E662-F662)),0)</f>
        <v>0</v>
      </c>
      <c r="Y662" s="6" t="str">
        <f aca="false">IFERROR(VLOOKUP($B662,Agents!$A:$D,3,0),"-")</f>
        <v>OUBRAHIM Mohammed</v>
      </c>
      <c r="Z662" s="6" t="str">
        <f aca="false">IFERROR(VLOOKUP($B662,Agents!$A:$D,4,0),"-")</f>
        <v>Credit Mutuel</v>
      </c>
      <c r="AA662" s="18" t="s">
        <v>101</v>
      </c>
      <c r="AB662" s="8" t="str">
        <f aca="false">IF(AND(D662="Congé",F662="Congé"),0.333333333333333,IF(OR(AND(D662="Congé",F662&lt;&gt;"Congé"),(AND(F662="Congé",D662&lt;&gt;"Congé"))),0.166666666666667,""))</f>
        <v/>
      </c>
      <c r="AC662" s="8" t="str">
        <f aca="false">IF(AND(D662="Congé sans solde",F662="Congé sans solde"),0.333333333333333,IF(OR(AND(D662="Congé sans solde",F662&lt;&gt;"Congé sans solde"),(AND(F662="Congé sans solde",D662&lt;&gt;"Congé sans solde"))),0.166666666666667,""))</f>
        <v/>
      </c>
      <c r="AD662" s="8" t="str">
        <f aca="false">IF(AND(D662="Congé spécial",F662="Congé spécial"),0.333333333333333,IF(OR(AND(D662="Congé spécial",F662&lt;&gt;"Congé spécial"),AND(F662="Congé spécial",D662&lt;&gt;"Congé spécial")),0.166666666666667,""))</f>
        <v/>
      </c>
      <c r="AE662" s="8" t="str">
        <f aca="false">IF(AND(D662="Férié",F662="Férié"),0.333333333333333,IF(OR(AND(D662="Férié",F662&lt;&gt;"Férié"),(AND(F662="Férié",D662&lt;&gt;"Férié"))),0.166666666666667,""))</f>
        <v/>
      </c>
      <c r="AF662" s="18"/>
      <c r="AG662" s="18"/>
    </row>
    <row r="663" customFormat="false" ht="15" hidden="false" customHeight="false" outlineLevel="0" collapsed="false">
      <c r="A663" s="6" t="str">
        <f aca="false">YEAR(Q663-WEEKDAY(Q663,2)+4)&amp;"-S"&amp;TEXT(WEEKNUM(Q663,21),"00")</f>
        <v>2026-S19</v>
      </c>
      <c r="B663" s="18" t="s">
        <v>73</v>
      </c>
      <c r="C663" s="19"/>
      <c r="D663" s="19" t="s">
        <v>74</v>
      </c>
      <c r="E663" s="19"/>
      <c r="F663" s="19" t="s">
        <v>74</v>
      </c>
      <c r="G663" s="20"/>
      <c r="H663" s="20"/>
      <c r="I663" s="8" t="str">
        <f aca="false">IF(IF(OR(C663="",D663="Congé",D663="OFF",D663="Congé spécial"),"",IF(D663&gt;F663,D663-C663,IF(C663-D663&lt;0,0,C663-D663)))&lt;0.00068287037037037,"",IF(OR(D663="Congé",D663="OFF",C663="",D663="Congé spécial"),"",IF(D663&gt;F663,D663-C663,IF(C663-D663&lt;0,0,C663-D663))))</f>
        <v/>
      </c>
      <c r="J663" s="20"/>
      <c r="K663" s="8" t="n">
        <f aca="false">IF(SUM(H663:J663)&lt;0.00068287037037037,0,SUM(H663:J663))</f>
        <v>0</v>
      </c>
      <c r="L663" s="8" t="n">
        <f aca="false">IF(OR(F663="Congé",F663="OFF",M663="Abs",F663="Congé sans solde",F663="Férié",F663="Congé spécial",D663="Congé spécial"),0,IF(F663-E663&lt;0,0,IF(F663-E663&lt;=0.00068287037037037,0,F663-E663)))</f>
        <v>0</v>
      </c>
      <c r="M663" s="6" t="n">
        <f aca="false">IF(AND(O663&lt;&gt;0,C663=""),"Abs",0)</f>
        <v>0</v>
      </c>
      <c r="N663" s="8" t="str">
        <f aca="false">IFERROR(IF(OR(D663="OFF",D663="Congé",M663="Abs",D663="Congé sans solde",D663="Férié"),"",IF(O663-K663-L663&gt;O663,O663,IF(O663-K663-L663&lt;0,"",O663-K663-L663))),"")</f>
        <v/>
      </c>
      <c r="O663" s="8" t="n">
        <f aca="false">IF(AG663="2H Pause déjeuner",IF(F663-D663-0.0833333333333333&lt;0,F663-D663-0.0833333333333333+1,F663-D663-0.0833333333333333),IF(OR(AND(F663="OFF",D663="OFF"),AND(F663="Congé",D663="Congé"),AND(F663="Congé sans solde",D663="Congé sans solde"),AND(F663="Congé spécial",D663="Congé spécial"),AND(F663="Férié",D663="Férié"),AND(F663="OFF",D663="Congé"),AND(F663="OFF",D663="Congé sans solde"),AND(F663="OFF",D663="Congé spécial"),AND(F663="OFF",D663="Férié"),AND(F663="Congé",D663="OFF"),AND(F663="Congé",D663="Congé sans solde"),AND(F663="Congé",D663="Congé spécial"),AND(F663="Congé",D663="Férié"),AND(F663="Congé sans solde",D663="OFF"),AND(F663="Congé sans solde",D663="Congé"),AND(F663="Congé sans solde",D663="Congé spécial"),AND(F663="Congé sans solde",D663="Férié"),AND(F663="Congé spécial",D663="OFF"),AND(F663="Congé spécial",D663="Congé"),AND(F663="Congé spécial",D663="Congé sans solde"),AND(F663="Congé spécial",D663="Férié"),AND(F663="Férié",D663="OFF"),AND(F663="Férié",D663="Congé"),AND(F663="Férié",D663="Congé sans solde"),AND(F663="Férié",D663="Congé spécial")),0,IF(OR(F663="OFF",F663="Congé",F663="Congé spécial",F663="Congé sans solde",D663="OFF",D663="Congé",D663="Congé spécial",D663="Congé sans solde"),0.208333333333334,IF(AND(AG663="",F663-D663&lt;0),("24:00:00"-D663)+("00:00:00"+F663)-0.0416666666666667,IF(AND(OR(AG663="Allaitement",AG663="Sans déjeuner"),F663-D663&lt;0),("24:00:00"-D663)+("00:00:00"+F663),IF(AND(AG663="",F663-D663&gt;0.166666666666667),F663-D663-0.0416666666666667,IF(AND(OR(AG663="Allaitement",AG663="Sans déjeuner"),F663-D663&gt;0.166666666666667),F663-D663,F663-D663)))))))</f>
        <v>0</v>
      </c>
      <c r="P663" s="6" t="str">
        <f aca="false">IFERROR(VLOOKUP($B663,Agents!$A:$D,2,0),"-")</f>
        <v>Accessibilité</v>
      </c>
      <c r="Q663" s="21" t="n">
        <v>46151</v>
      </c>
      <c r="R663" s="8" t="n">
        <f aca="false">IF(M663="Abs",O663,0)</f>
        <v>0</v>
      </c>
      <c r="S663" s="8" t="n">
        <f aca="false">SUM(R663,L663,I663,J663,W663,H663)</f>
        <v>0</v>
      </c>
      <c r="T663" s="6" t="str">
        <f aca="false">"Sem - "&amp;WEEKNUM(Q663,21)</f>
        <v>Sem - 19</v>
      </c>
      <c r="U663" s="6" t="str">
        <f aca="false">CHOOSE(MONTH(Q663),"Janvier","Février","Mars","Avril","Mai","Juin","Juillet","Août","Septembre","Octobre","Novembre","Décembre")</f>
        <v>Mai</v>
      </c>
      <c r="V663" s="22" t="n">
        <f aca="false">YEAR(Q663)</f>
        <v>2026</v>
      </c>
      <c r="W663" s="20"/>
      <c r="X663" s="8" t="n">
        <f aca="false">IFERROR(IF(M663="Abs",0,IF(ROUND((D663-C663+E663-F663)*1440,0)&lt;=1,0,D663-C663+E663-F663)),0)</f>
        <v>0</v>
      </c>
      <c r="Y663" s="6" t="str">
        <f aca="false">IFERROR(VLOOKUP($B663,Agents!$A:$D,3,0),"-")</f>
        <v>OUBRAHIM Mohammed</v>
      </c>
      <c r="Z663" s="6" t="str">
        <f aca="false">IFERROR(VLOOKUP($B663,Agents!$A:$D,4,0),"-")</f>
        <v>Credit Mutuel</v>
      </c>
      <c r="AA663" s="18" t="s">
        <v>101</v>
      </c>
      <c r="AB663" s="8" t="str">
        <f aca="false">IF(AND(D663="Congé",F663="Congé"),0.333333333333333,IF(OR(AND(D663="Congé",F663&lt;&gt;"Congé"),(AND(F663="Congé",D663&lt;&gt;"Congé"))),0.166666666666667,""))</f>
        <v/>
      </c>
      <c r="AC663" s="8" t="str">
        <f aca="false">IF(AND(D663="Congé sans solde",F663="Congé sans solde"),0.333333333333333,IF(OR(AND(D663="Congé sans solde",F663&lt;&gt;"Congé sans solde"),(AND(F663="Congé sans solde",D663&lt;&gt;"Congé sans solde"))),0.166666666666667,""))</f>
        <v/>
      </c>
      <c r="AD663" s="8" t="str">
        <f aca="false">IF(AND(D663="Congé spécial",F663="Congé spécial"),0.333333333333333,IF(OR(AND(D663="Congé spécial",F663&lt;&gt;"Congé spécial"),AND(F663="Congé spécial",D663&lt;&gt;"Congé spécial")),0.166666666666667,""))</f>
        <v/>
      </c>
      <c r="AE663" s="8" t="str">
        <f aca="false">IF(AND(D663="Férié",F663="Férié"),0.333333333333333,IF(OR(AND(D663="Férié",F663&lt;&gt;"Férié"),(AND(F663="Férié",D663&lt;&gt;"Férié"))),0.166666666666667,""))</f>
        <v/>
      </c>
      <c r="AF663" s="18"/>
      <c r="AG663" s="18"/>
    </row>
    <row r="664" customFormat="false" ht="15" hidden="false" customHeight="false" outlineLevel="0" collapsed="false">
      <c r="A664" s="6" t="str">
        <f aca="false">YEAR(Q664-WEEKDAY(Q664,2)+4)&amp;"-S"&amp;TEXT(WEEKNUM(Q664,21),"00")</f>
        <v>2026-S19</v>
      </c>
      <c r="B664" s="18" t="s">
        <v>71</v>
      </c>
      <c r="C664" s="19"/>
      <c r="D664" s="19" t="s">
        <v>74</v>
      </c>
      <c r="E664" s="19"/>
      <c r="F664" s="19" t="s">
        <v>74</v>
      </c>
      <c r="G664" s="20"/>
      <c r="H664" s="20"/>
      <c r="I664" s="8" t="str">
        <f aca="false">IF(IF(OR(C664="",D664="Congé",D664="OFF",D664="Congé spécial"),"",IF(D664&gt;F664,D664-C664,IF(C664-D664&lt;0,0,C664-D664)))&lt;0.00068287037037037,"",IF(OR(D664="Congé",D664="OFF",C664="",D664="Congé spécial"),"",IF(D664&gt;F664,D664-C664,IF(C664-D664&lt;0,0,C664-D664))))</f>
        <v/>
      </c>
      <c r="J664" s="20"/>
      <c r="K664" s="8" t="n">
        <f aca="false">IF(SUM(H664:J664)&lt;0.00068287037037037,0,SUM(H664:J664))</f>
        <v>0</v>
      </c>
      <c r="L664" s="8" t="n">
        <f aca="false">IF(OR(F664="Congé",F664="OFF",M664="Abs",F664="Congé sans solde",F664="Férié",F664="Congé spécial",D664="Congé spécial"),0,IF(F664-E664&lt;0,0,IF(F664-E664&lt;=0.00068287037037037,0,F664-E664)))</f>
        <v>0</v>
      </c>
      <c r="M664" s="6" t="n">
        <f aca="false">IF(AND(O664&lt;&gt;0,C664=""),"Abs",0)</f>
        <v>0</v>
      </c>
      <c r="N664" s="8" t="str">
        <f aca="false">IFERROR(IF(OR(D664="OFF",D664="Congé",M664="Abs",D664="Congé sans solde",D664="Férié"),"",IF(O664-K664-L664&gt;O664,O664,IF(O664-K664-L664&lt;0,"",O664-K664-L664))),"")</f>
        <v/>
      </c>
      <c r="O664" s="8" t="n">
        <f aca="false">IF(AG664="2H Pause déjeuner",IF(F664-D664-0.0833333333333333&lt;0,F664-D664-0.0833333333333333+1,F664-D664-0.0833333333333333),IF(OR(AND(F664="OFF",D664="OFF"),AND(F664="Congé",D664="Congé"),AND(F664="Congé sans solde",D664="Congé sans solde"),AND(F664="Congé spécial",D664="Congé spécial"),AND(F664="Férié",D664="Férié"),AND(F664="OFF",D664="Congé"),AND(F664="OFF",D664="Congé sans solde"),AND(F664="OFF",D664="Congé spécial"),AND(F664="OFF",D664="Férié"),AND(F664="Congé",D664="OFF"),AND(F664="Congé",D664="Congé sans solde"),AND(F664="Congé",D664="Congé spécial"),AND(F664="Congé",D664="Férié"),AND(F664="Congé sans solde",D664="OFF"),AND(F664="Congé sans solde",D664="Congé"),AND(F664="Congé sans solde",D664="Congé spécial"),AND(F664="Congé sans solde",D664="Férié"),AND(F664="Congé spécial",D664="OFF"),AND(F664="Congé spécial",D664="Congé"),AND(F664="Congé spécial",D664="Congé sans solde"),AND(F664="Congé spécial",D664="Férié"),AND(F664="Férié",D664="OFF"),AND(F664="Férié",D664="Congé"),AND(F664="Férié",D664="Congé sans solde"),AND(F664="Férié",D664="Congé spécial")),0,IF(OR(F664="OFF",F664="Congé",F664="Congé spécial",F664="Congé sans solde",D664="OFF",D664="Congé",D664="Congé spécial",D664="Congé sans solde"),0.208333333333334,IF(AND(AG664="",F664-D664&lt;0),("24:00:00"-D664)+("00:00:00"+F664)-0.0416666666666667,IF(AND(OR(AG664="Allaitement",AG664="Sans déjeuner"),F664-D664&lt;0),("24:00:00"-D664)+("00:00:00"+F664),IF(AND(AG664="",F664-D664&gt;0.166666666666667),F664-D664-0.0416666666666667,IF(AND(OR(AG664="Allaitement",AG664="Sans déjeuner"),F664-D664&gt;0.166666666666667),F664-D664,F664-D664)))))))</f>
        <v>0</v>
      </c>
      <c r="P664" s="6" t="str">
        <f aca="false">IFERROR(VLOOKUP($B664,Agents!$A:$D,2,0),"-")</f>
        <v>Accessibilité</v>
      </c>
      <c r="Q664" s="21" t="n">
        <v>46152</v>
      </c>
      <c r="R664" s="8" t="n">
        <f aca="false">IF(M664="Abs",O664,0)</f>
        <v>0</v>
      </c>
      <c r="S664" s="8" t="n">
        <f aca="false">SUM(R664,L664,I664,J664,W664,H664)</f>
        <v>0</v>
      </c>
      <c r="T664" s="6" t="str">
        <f aca="false">"Sem - "&amp;WEEKNUM(Q664,21)</f>
        <v>Sem - 19</v>
      </c>
      <c r="U664" s="6" t="str">
        <f aca="false">CHOOSE(MONTH(Q664),"Janvier","Février","Mars","Avril","Mai","Juin","Juillet","Août","Septembre","Octobre","Novembre","Décembre")</f>
        <v>Mai</v>
      </c>
      <c r="V664" s="22" t="n">
        <f aca="false">YEAR(Q664)</f>
        <v>2026</v>
      </c>
      <c r="W664" s="20"/>
      <c r="X664" s="8" t="n">
        <f aca="false">IFERROR(IF(M664="Abs",0,IF(ROUND((D664-C664+E664-F664)*1440,0)&lt;=1,0,D664-C664+E664-F664)),0)</f>
        <v>0</v>
      </c>
      <c r="Y664" s="6" t="str">
        <f aca="false">IFERROR(VLOOKUP($B664,Agents!$A:$D,3,0),"-")</f>
        <v>OUBRAHIM Mohammed</v>
      </c>
      <c r="Z664" s="6" t="str">
        <f aca="false">IFERROR(VLOOKUP($B664,Agents!$A:$D,4,0),"-")</f>
        <v>Credit Mutuel</v>
      </c>
      <c r="AA664" s="18" t="s">
        <v>101</v>
      </c>
      <c r="AB664" s="8" t="str">
        <f aca="false">IF(AND(D664="Congé",F664="Congé"),0.333333333333333,IF(OR(AND(D664="Congé",F664&lt;&gt;"Congé"),(AND(F664="Congé",D664&lt;&gt;"Congé"))),0.166666666666667,""))</f>
        <v/>
      </c>
      <c r="AC664" s="8" t="str">
        <f aca="false">IF(AND(D664="Congé sans solde",F664="Congé sans solde"),0.333333333333333,IF(OR(AND(D664="Congé sans solde",F664&lt;&gt;"Congé sans solde"),(AND(F664="Congé sans solde",D664&lt;&gt;"Congé sans solde"))),0.166666666666667,""))</f>
        <v/>
      </c>
      <c r="AD664" s="8" t="str">
        <f aca="false">IF(AND(D664="Congé spécial",F664="Congé spécial"),0.333333333333333,IF(OR(AND(D664="Congé spécial",F664&lt;&gt;"Congé spécial"),AND(F664="Congé spécial",D664&lt;&gt;"Congé spécial")),0.166666666666667,""))</f>
        <v/>
      </c>
      <c r="AE664" s="8" t="str">
        <f aca="false">IF(AND(D664="Férié",F664="Férié"),0.333333333333333,IF(OR(AND(D664="Férié",F664&lt;&gt;"Férié"),(AND(F664="Férié",D664&lt;&gt;"Férié"))),0.166666666666667,""))</f>
        <v/>
      </c>
      <c r="AF664" s="18"/>
      <c r="AG664" s="18"/>
    </row>
    <row r="665" customFormat="false" ht="15" hidden="false" customHeight="false" outlineLevel="0" collapsed="false">
      <c r="A665" s="6" t="str">
        <f aca="false">YEAR(Q665-WEEKDAY(Q665,2)+4)&amp;"-S"&amp;TEXT(WEEKNUM(Q665,21),"00")</f>
        <v>2026-S19</v>
      </c>
      <c r="B665" s="18" t="s">
        <v>72</v>
      </c>
      <c r="C665" s="19"/>
      <c r="D665" s="19" t="s">
        <v>74</v>
      </c>
      <c r="E665" s="19"/>
      <c r="F665" s="19" t="s">
        <v>74</v>
      </c>
      <c r="G665" s="20"/>
      <c r="H665" s="20"/>
      <c r="I665" s="8" t="str">
        <f aca="false">IF(IF(OR(C665="",D665="Congé",D665="OFF",D665="Congé spécial"),"",IF(D665&gt;F665,D665-C665,IF(C665-D665&lt;0,0,C665-D665)))&lt;0.00068287037037037,"",IF(OR(D665="Congé",D665="OFF",C665="",D665="Congé spécial"),"",IF(D665&gt;F665,D665-C665,IF(C665-D665&lt;0,0,C665-D665))))</f>
        <v/>
      </c>
      <c r="J665" s="20"/>
      <c r="K665" s="8" t="n">
        <f aca="false">IF(SUM(H665:J665)&lt;0.00068287037037037,0,SUM(H665:J665))</f>
        <v>0</v>
      </c>
      <c r="L665" s="8" t="n">
        <f aca="false">IF(OR(F665="Congé",F665="OFF",M665="Abs",F665="Congé sans solde",F665="Férié",F665="Congé spécial",D665="Congé spécial"),0,IF(F665-E665&lt;0,0,IF(F665-E665&lt;=0.00068287037037037,0,F665-E665)))</f>
        <v>0</v>
      </c>
      <c r="M665" s="6" t="n">
        <f aca="false">IF(AND(O665&lt;&gt;0,C665=""),"Abs",0)</f>
        <v>0</v>
      </c>
      <c r="N665" s="8" t="str">
        <f aca="false">IFERROR(IF(OR(D665="OFF",D665="Congé",M665="Abs",D665="Congé sans solde",D665="Férié"),"",IF(O665-K665-L665&gt;O665,O665,IF(O665-K665-L665&lt;0,"",O665-K665-L665))),"")</f>
        <v/>
      </c>
      <c r="O665" s="8" t="n">
        <f aca="false">IF(AG665="2H Pause déjeuner",IF(F665-D665-0.0833333333333333&lt;0,F665-D665-0.0833333333333333+1,F665-D665-0.0833333333333333),IF(OR(AND(F665="OFF",D665="OFF"),AND(F665="Congé",D665="Congé"),AND(F665="Congé sans solde",D665="Congé sans solde"),AND(F665="Congé spécial",D665="Congé spécial"),AND(F665="Férié",D665="Férié"),AND(F665="OFF",D665="Congé"),AND(F665="OFF",D665="Congé sans solde"),AND(F665="OFF",D665="Congé spécial"),AND(F665="OFF",D665="Férié"),AND(F665="Congé",D665="OFF"),AND(F665="Congé",D665="Congé sans solde"),AND(F665="Congé",D665="Congé spécial"),AND(F665="Congé",D665="Férié"),AND(F665="Congé sans solde",D665="OFF"),AND(F665="Congé sans solde",D665="Congé"),AND(F665="Congé sans solde",D665="Congé spécial"),AND(F665="Congé sans solde",D665="Férié"),AND(F665="Congé spécial",D665="OFF"),AND(F665="Congé spécial",D665="Congé"),AND(F665="Congé spécial",D665="Congé sans solde"),AND(F665="Congé spécial",D665="Férié"),AND(F665="Férié",D665="OFF"),AND(F665="Férié",D665="Congé"),AND(F665="Férié",D665="Congé sans solde"),AND(F665="Férié",D665="Congé spécial")),0,IF(OR(F665="OFF",F665="Congé",F665="Congé spécial",F665="Congé sans solde",D665="OFF",D665="Congé",D665="Congé spécial",D665="Congé sans solde"),0.208333333333334,IF(AND(AG665="",F665-D665&lt;0),("24:00:00"-D665)+("00:00:00"+F665)-0.0416666666666667,IF(AND(OR(AG665="Allaitement",AG665="Sans déjeuner"),F665-D665&lt;0),("24:00:00"-D665)+("00:00:00"+F665),IF(AND(AG665="",F665-D665&gt;0.166666666666667),F665-D665-0.0416666666666667,IF(AND(OR(AG665="Allaitement",AG665="Sans déjeuner"),F665-D665&gt;0.166666666666667),F665-D665,F665-D665)))))))</f>
        <v>0</v>
      </c>
      <c r="P665" s="6" t="str">
        <f aca="false">IFERROR(VLOOKUP($B665,Agents!$A:$D,2,0),"-")</f>
        <v>Accessibilité</v>
      </c>
      <c r="Q665" s="21" t="n">
        <v>46152</v>
      </c>
      <c r="R665" s="8" t="n">
        <f aca="false">IF(M665="Abs",O665,0)</f>
        <v>0</v>
      </c>
      <c r="S665" s="8" t="n">
        <f aca="false">SUM(R665,L665,I665,J665,W665,H665)</f>
        <v>0</v>
      </c>
      <c r="T665" s="6" t="str">
        <f aca="false">"Sem - "&amp;WEEKNUM(Q665,21)</f>
        <v>Sem - 19</v>
      </c>
      <c r="U665" s="6" t="str">
        <f aca="false">CHOOSE(MONTH(Q665),"Janvier","Février","Mars","Avril","Mai","Juin","Juillet","Août","Septembre","Octobre","Novembre","Décembre")</f>
        <v>Mai</v>
      </c>
      <c r="V665" s="22" t="n">
        <f aca="false">YEAR(Q665)</f>
        <v>2026</v>
      </c>
      <c r="W665" s="20"/>
      <c r="X665" s="8" t="n">
        <f aca="false">IFERROR(IF(M665="Abs",0,IF(ROUND((D665-C665+E665-F665)*1440,0)&lt;=1,0,D665-C665+E665-F665)),0)</f>
        <v>0</v>
      </c>
      <c r="Y665" s="6" t="str">
        <f aca="false">IFERROR(VLOOKUP($B665,Agents!$A:$D,3,0),"-")</f>
        <v>OUBRAHIM Mohammed</v>
      </c>
      <c r="Z665" s="6" t="str">
        <f aca="false">IFERROR(VLOOKUP($B665,Agents!$A:$D,4,0),"-")</f>
        <v>Credit Mutuel</v>
      </c>
      <c r="AA665" s="18" t="s">
        <v>101</v>
      </c>
      <c r="AB665" s="8" t="str">
        <f aca="false">IF(AND(D665="Congé",F665="Congé"),0.333333333333333,IF(OR(AND(D665="Congé",F665&lt;&gt;"Congé"),(AND(F665="Congé",D665&lt;&gt;"Congé"))),0.166666666666667,""))</f>
        <v/>
      </c>
      <c r="AC665" s="8" t="str">
        <f aca="false">IF(AND(D665="Congé sans solde",F665="Congé sans solde"),0.333333333333333,IF(OR(AND(D665="Congé sans solde",F665&lt;&gt;"Congé sans solde"),(AND(F665="Congé sans solde",D665&lt;&gt;"Congé sans solde"))),0.166666666666667,""))</f>
        <v/>
      </c>
      <c r="AD665" s="8" t="str">
        <f aca="false">IF(AND(D665="Congé spécial",F665="Congé spécial"),0.333333333333333,IF(OR(AND(D665="Congé spécial",F665&lt;&gt;"Congé spécial"),AND(F665="Congé spécial",D665&lt;&gt;"Congé spécial")),0.166666666666667,""))</f>
        <v/>
      </c>
      <c r="AE665" s="8" t="str">
        <f aca="false">IF(AND(D665="Férié",F665="Férié"),0.333333333333333,IF(OR(AND(D665="Férié",F665&lt;&gt;"Férié"),(AND(F665="Férié",D665&lt;&gt;"Férié"))),0.166666666666667,""))</f>
        <v/>
      </c>
      <c r="AF665" s="18"/>
      <c r="AG665" s="18"/>
    </row>
    <row r="666" customFormat="false" ht="15" hidden="false" customHeight="false" outlineLevel="0" collapsed="false">
      <c r="A666" s="6" t="str">
        <f aca="false">YEAR(Q666-WEEKDAY(Q666,2)+4)&amp;"-S"&amp;TEXT(WEEKNUM(Q666,21),"00")</f>
        <v>2026-S19</v>
      </c>
      <c r="B666" s="18" t="s">
        <v>73</v>
      </c>
      <c r="C666" s="19"/>
      <c r="D666" s="19" t="s">
        <v>74</v>
      </c>
      <c r="E666" s="19"/>
      <c r="F666" s="19" t="s">
        <v>74</v>
      </c>
      <c r="G666" s="20"/>
      <c r="H666" s="20"/>
      <c r="I666" s="8" t="str">
        <f aca="false">IF(IF(OR(C666="",D666="Congé",D666="OFF",D666="Congé spécial"),"",IF(D666&gt;F666,D666-C666,IF(C666-D666&lt;0,0,C666-D666)))&lt;0.00068287037037037,"",IF(OR(D666="Congé",D666="OFF",C666="",D666="Congé spécial"),"",IF(D666&gt;F666,D666-C666,IF(C666-D666&lt;0,0,C666-D666))))</f>
        <v/>
      </c>
      <c r="J666" s="20"/>
      <c r="K666" s="8" t="n">
        <f aca="false">IF(SUM(H666:J666)&lt;0.00068287037037037,0,SUM(H666:J666))</f>
        <v>0</v>
      </c>
      <c r="L666" s="8" t="n">
        <f aca="false">IF(OR(F666="Congé",F666="OFF",M666="Abs",F666="Congé sans solde",F666="Férié",F666="Congé spécial",D666="Congé spécial"),0,IF(F666-E666&lt;0,0,IF(F666-E666&lt;=0.00068287037037037,0,F666-E666)))</f>
        <v>0</v>
      </c>
      <c r="M666" s="6" t="n">
        <f aca="false">IF(AND(O666&lt;&gt;0,C666=""),"Abs",0)</f>
        <v>0</v>
      </c>
      <c r="N666" s="8" t="str">
        <f aca="false">IFERROR(IF(OR(D666="OFF",D666="Congé",M666="Abs",D666="Congé sans solde",D666="Férié"),"",IF(O666-K666-L666&gt;O666,O666,IF(O666-K666-L666&lt;0,"",O666-K666-L666))),"")</f>
        <v/>
      </c>
      <c r="O666" s="8" t="n">
        <f aca="false">IF(AG666="2H Pause déjeuner",IF(F666-D666-0.0833333333333333&lt;0,F666-D666-0.0833333333333333+1,F666-D666-0.0833333333333333),IF(OR(AND(F666="OFF",D666="OFF"),AND(F666="Congé",D666="Congé"),AND(F666="Congé sans solde",D666="Congé sans solde"),AND(F666="Congé spécial",D666="Congé spécial"),AND(F666="Férié",D666="Férié"),AND(F666="OFF",D666="Congé"),AND(F666="OFF",D666="Congé sans solde"),AND(F666="OFF",D666="Congé spécial"),AND(F666="OFF",D666="Férié"),AND(F666="Congé",D666="OFF"),AND(F666="Congé",D666="Congé sans solde"),AND(F666="Congé",D666="Congé spécial"),AND(F666="Congé",D666="Férié"),AND(F666="Congé sans solde",D666="OFF"),AND(F666="Congé sans solde",D666="Congé"),AND(F666="Congé sans solde",D666="Congé spécial"),AND(F666="Congé sans solde",D666="Férié"),AND(F666="Congé spécial",D666="OFF"),AND(F666="Congé spécial",D666="Congé"),AND(F666="Congé spécial",D666="Congé sans solde"),AND(F666="Congé spécial",D666="Férié"),AND(F666="Férié",D666="OFF"),AND(F666="Férié",D666="Congé"),AND(F666="Férié",D666="Congé sans solde"),AND(F666="Férié",D666="Congé spécial")),0,IF(OR(F666="OFF",F666="Congé",F666="Congé spécial",F666="Congé sans solde",D666="OFF",D666="Congé",D666="Congé spécial",D666="Congé sans solde"),0.208333333333334,IF(AND(AG666="",F666-D666&lt;0),("24:00:00"-D666)+("00:00:00"+F666)-0.0416666666666667,IF(AND(OR(AG666="Allaitement",AG666="Sans déjeuner"),F666-D666&lt;0),("24:00:00"-D666)+("00:00:00"+F666),IF(AND(AG666="",F666-D666&gt;0.166666666666667),F666-D666-0.0416666666666667,IF(AND(OR(AG666="Allaitement",AG666="Sans déjeuner"),F666-D666&gt;0.166666666666667),F666-D666,F666-D666)))))))</f>
        <v>0</v>
      </c>
      <c r="P666" s="6" t="str">
        <f aca="false">IFERROR(VLOOKUP($B666,Agents!$A:$D,2,0),"-")</f>
        <v>Accessibilité</v>
      </c>
      <c r="Q666" s="21" t="n">
        <v>46152</v>
      </c>
      <c r="R666" s="8" t="n">
        <f aca="false">IF(M666="Abs",O666,0)</f>
        <v>0</v>
      </c>
      <c r="S666" s="8" t="n">
        <f aca="false">SUM(R666,L666,I666,J666,W666,H666)</f>
        <v>0</v>
      </c>
      <c r="T666" s="6" t="str">
        <f aca="false">"Sem - "&amp;WEEKNUM(Q666,21)</f>
        <v>Sem - 19</v>
      </c>
      <c r="U666" s="6" t="str">
        <f aca="false">CHOOSE(MONTH(Q666),"Janvier","Février","Mars","Avril","Mai","Juin","Juillet","Août","Septembre","Octobre","Novembre","Décembre")</f>
        <v>Mai</v>
      </c>
      <c r="V666" s="22" t="n">
        <f aca="false">YEAR(Q666)</f>
        <v>2026</v>
      </c>
      <c r="W666" s="20"/>
      <c r="X666" s="8" t="n">
        <f aca="false">IFERROR(IF(M666="Abs",0,IF(ROUND((D666-C666+E666-F666)*1440,0)&lt;=1,0,D666-C666+E666-F666)),0)</f>
        <v>0</v>
      </c>
      <c r="Y666" s="6" t="str">
        <f aca="false">IFERROR(VLOOKUP($B666,Agents!$A:$D,3,0),"-")</f>
        <v>OUBRAHIM Mohammed</v>
      </c>
      <c r="Z666" s="6" t="str">
        <f aca="false">IFERROR(VLOOKUP($B666,Agents!$A:$D,4,0),"-")</f>
        <v>Credit Mutuel</v>
      </c>
      <c r="AA666" s="18" t="s">
        <v>101</v>
      </c>
      <c r="AB666" s="8" t="str">
        <f aca="false">IF(AND(D666="Congé",F666="Congé"),0.333333333333333,IF(OR(AND(D666="Congé",F666&lt;&gt;"Congé"),(AND(F666="Congé",D666&lt;&gt;"Congé"))),0.166666666666667,""))</f>
        <v/>
      </c>
      <c r="AC666" s="8" t="str">
        <f aca="false">IF(AND(D666="Congé sans solde",F666="Congé sans solde"),0.333333333333333,IF(OR(AND(D666="Congé sans solde",F666&lt;&gt;"Congé sans solde"),(AND(F666="Congé sans solde",D666&lt;&gt;"Congé sans solde"))),0.166666666666667,""))</f>
        <v/>
      </c>
      <c r="AD666" s="8" t="str">
        <f aca="false">IF(AND(D666="Congé spécial",F666="Congé spécial"),0.333333333333333,IF(OR(AND(D666="Congé spécial",F666&lt;&gt;"Congé spécial"),AND(F666="Congé spécial",D666&lt;&gt;"Congé spécial")),0.166666666666667,""))</f>
        <v/>
      </c>
      <c r="AE666" s="8" t="str">
        <f aca="false">IF(AND(D666="Férié",F666="Férié"),0.333333333333333,IF(OR(AND(D666="Férié",F666&lt;&gt;"Férié"),(AND(F666="Férié",D666&lt;&gt;"Férié"))),0.166666666666667,""))</f>
        <v/>
      </c>
      <c r="AF666" s="18"/>
      <c r="AG666" s="18"/>
    </row>
    <row r="667" customFormat="false" ht="15" hidden="false" customHeight="false" outlineLevel="0" collapsed="false">
      <c r="A667" s="6" t="str">
        <f aca="false">YEAR(Q667-WEEKDAY(Q667,2)+4)&amp;"-S"&amp;TEXT(WEEKNUM(Q667,21),"00")</f>
        <v>2026-S20</v>
      </c>
      <c r="B667" s="18" t="s">
        <v>71</v>
      </c>
      <c r="C667" s="19" t="n">
        <v>0.332638888888889</v>
      </c>
      <c r="D667" s="19" t="n">
        <v>0.333333333333333</v>
      </c>
      <c r="E667" s="19" t="n">
        <v>0.75</v>
      </c>
      <c r="F667" s="19" t="n">
        <v>0.75</v>
      </c>
      <c r="G667" s="20"/>
      <c r="H667" s="20"/>
      <c r="I667" s="8" t="str">
        <f aca="false">IF(IF(OR(C667="",D667="Congé",D667="OFF",D667="Congé spécial"),"",IF(D667&gt;F667,D667-C667,IF(C667-D667&lt;0,0,C667-D667)))&lt;0.00068287037037037,"",IF(OR(D667="Congé",D667="OFF",C667="",D667="Congé spécial"),"",IF(D667&gt;F667,D667-C667,IF(C667-D667&lt;0,0,C667-D667))))</f>
        <v/>
      </c>
      <c r="J667" s="20"/>
      <c r="K667" s="8" t="n">
        <f aca="false">IF(SUM(H667:J667)&lt;0.00068287037037037,0,SUM(H667:J667))</f>
        <v>0</v>
      </c>
      <c r="L667" s="8" t="n">
        <f aca="false">IF(OR(F667="Congé",F667="OFF",M667="Abs",F667="Congé sans solde",F667="Férié",F667="Congé spécial",D667="Congé spécial"),0,IF(F667-E667&lt;0,0,IF(F667-E667&lt;=0.00068287037037037,0,F667-E667)))</f>
        <v>0</v>
      </c>
      <c r="M667" s="6" t="n">
        <f aca="false">IF(AND(O667&lt;&gt;0,C667=""),"Abs",0)</f>
        <v>0</v>
      </c>
      <c r="N667" s="8" t="n">
        <f aca="false">IFERROR(IF(OR(D667="OFF",D667="Congé",M667="Abs",D667="Congé sans solde",D667="Férié"),"",IF(O667-K667-L667&gt;O667,O667,IF(O667-K667-L667&lt;0,"",O667-K667-L667))),"")</f>
        <v>0.375</v>
      </c>
      <c r="O667" s="8" t="n">
        <f aca="false">IF(AG667="2H Pause déjeuner",IF(F667-D667-0.0833333333333333&lt;0,F667-D667-0.0833333333333333+1,F667-D667-0.0833333333333333),IF(OR(AND(F667="OFF",D667="OFF"),AND(F667="Congé",D667="Congé"),AND(F667="Congé sans solde",D667="Congé sans solde"),AND(F667="Congé spécial",D667="Congé spécial"),AND(F667="Férié",D667="Férié"),AND(F667="OFF",D667="Congé"),AND(F667="OFF",D667="Congé sans solde"),AND(F667="OFF",D667="Congé spécial"),AND(F667="OFF",D667="Férié"),AND(F667="Congé",D667="OFF"),AND(F667="Congé",D667="Congé sans solde"),AND(F667="Congé",D667="Congé spécial"),AND(F667="Congé",D667="Férié"),AND(F667="Congé sans solde",D667="OFF"),AND(F667="Congé sans solde",D667="Congé"),AND(F667="Congé sans solde",D667="Congé spécial"),AND(F667="Congé sans solde",D667="Férié"),AND(F667="Congé spécial",D667="OFF"),AND(F667="Congé spécial",D667="Congé"),AND(F667="Congé spécial",D667="Congé sans solde"),AND(F667="Congé spécial",D667="Férié"),AND(F667="Férié",D667="OFF"),AND(F667="Férié",D667="Congé"),AND(F667="Férié",D667="Congé sans solde"),AND(F667="Férié",D667="Congé spécial")),0,IF(OR(F667="OFF",F667="Congé",F667="Congé spécial",F667="Congé sans solde",D667="OFF",D667="Congé",D667="Congé spécial",D667="Congé sans solde"),0.208333333333334,IF(AND(AG667="",F667-D667&lt;0),("24:00:00"-D667)+("00:00:00"+F667)-0.0416666666666667,IF(AND(OR(AG667="Allaitement",AG667="Sans déjeuner"),F667-D667&lt;0),("24:00:00"-D667)+("00:00:00"+F667),IF(AND(AG667="",F667-D667&gt;0.166666666666667),F667-D667-0.0416666666666667,IF(AND(OR(AG667="Allaitement",AG667="Sans déjeuner"),F667-D667&gt;0.166666666666667),F667-D667,F667-D667)))))))</f>
        <v>0.375</v>
      </c>
      <c r="P667" s="6" t="str">
        <f aca="false">IFERROR(VLOOKUP($B667,Agents!$A:$D,2,0),"-")</f>
        <v>Accessibilité</v>
      </c>
      <c r="Q667" s="21" t="n">
        <v>46153</v>
      </c>
      <c r="R667" s="8" t="n">
        <f aca="false">IF(M667="Abs",O667,0)</f>
        <v>0</v>
      </c>
      <c r="S667" s="8" t="n">
        <f aca="false">SUM(R667,L667,I667,J667,W667,H667)</f>
        <v>0</v>
      </c>
      <c r="T667" s="6" t="str">
        <f aca="false">"Sem - "&amp;WEEKNUM(Q667,21)</f>
        <v>Sem - 20</v>
      </c>
      <c r="U667" s="6" t="str">
        <f aca="false">CHOOSE(MONTH(Q667),"Janvier","Février","Mars","Avril","Mai","Juin","Juillet","Août","Septembre","Octobre","Novembre","Décembre")</f>
        <v>Mai</v>
      </c>
      <c r="V667" s="22" t="n">
        <f aca="false">YEAR(Q667)</f>
        <v>2026</v>
      </c>
      <c r="W667" s="20"/>
      <c r="X667" s="8" t="n">
        <f aca="false">IFERROR(IF(M667="Abs",0,IF(ROUND((D667-C667+E667-F667)*1440,0)&lt;=1,0,D667-C667+E667-F667)),0)</f>
        <v>0</v>
      </c>
      <c r="Y667" s="6" t="str">
        <f aca="false">IFERROR(VLOOKUP($B667,Agents!$A:$D,3,0),"-")</f>
        <v>OUBRAHIM Mohammed</v>
      </c>
      <c r="Z667" s="6" t="str">
        <f aca="false">IFERROR(VLOOKUP($B667,Agents!$A:$D,4,0),"-")</f>
        <v>Credit Mutuel</v>
      </c>
      <c r="AA667" s="18" t="s">
        <v>102</v>
      </c>
      <c r="AB667" s="8" t="str">
        <f aca="false">IF(AND(D667="Congé",F667="Congé"),0.333333333333333,IF(OR(AND(D667="Congé",F667&lt;&gt;"Congé"),(AND(F667="Congé",D667&lt;&gt;"Congé"))),0.166666666666667,""))</f>
        <v/>
      </c>
      <c r="AC667" s="8" t="str">
        <f aca="false">IF(AND(D667="Congé sans solde",F667="Congé sans solde"),0.333333333333333,IF(OR(AND(D667="Congé sans solde",F667&lt;&gt;"Congé sans solde"),(AND(F667="Congé sans solde",D667&lt;&gt;"Congé sans solde"))),0.166666666666667,""))</f>
        <v/>
      </c>
      <c r="AD667" s="8" t="str">
        <f aca="false">IF(AND(D667="Congé spécial",F667="Congé spécial"),0.333333333333333,IF(OR(AND(D667="Congé spécial",F667&lt;&gt;"Congé spécial"),AND(F667="Congé spécial",D667&lt;&gt;"Congé spécial")),0.166666666666667,""))</f>
        <v/>
      </c>
      <c r="AE667" s="8" t="str">
        <f aca="false">IF(AND(D667="Férié",F667="Férié"),0.333333333333333,IF(OR(AND(D667="Férié",F667&lt;&gt;"Férié"),(AND(F667="Férié",D667&lt;&gt;"Férié"))),0.166666666666667,""))</f>
        <v/>
      </c>
      <c r="AF667" s="18"/>
      <c r="AG667" s="18"/>
    </row>
    <row r="668" customFormat="false" ht="15" hidden="false" customHeight="false" outlineLevel="0" collapsed="false">
      <c r="A668" s="6" t="str">
        <f aca="false">YEAR(Q668-WEEKDAY(Q668,2)+4)&amp;"-S"&amp;TEXT(WEEKNUM(Q668,21),"00")</f>
        <v>2026-S20</v>
      </c>
      <c r="B668" s="18" t="s">
        <v>72</v>
      </c>
      <c r="C668" s="19" t="n">
        <v>0.332638888888889</v>
      </c>
      <c r="D668" s="19" t="n">
        <v>0.333333333333333</v>
      </c>
      <c r="E668" s="19" t="n">
        <v>0.75</v>
      </c>
      <c r="F668" s="19" t="n">
        <v>0.75</v>
      </c>
      <c r="G668" s="20"/>
      <c r="H668" s="20"/>
      <c r="I668" s="8" t="str">
        <f aca="false">IF(IF(OR(C668="",D668="Congé",D668="OFF",D668="Congé spécial"),"",IF(D668&gt;F668,D668-C668,IF(C668-D668&lt;0,0,C668-D668)))&lt;0.00068287037037037,"",IF(OR(D668="Congé",D668="OFF",C668="",D668="Congé spécial"),"",IF(D668&gt;F668,D668-C668,IF(C668-D668&lt;0,0,C668-D668))))</f>
        <v/>
      </c>
      <c r="J668" s="20"/>
      <c r="K668" s="8" t="n">
        <f aca="false">IF(SUM(H668:J668)&lt;0.00068287037037037,0,SUM(H668:J668))</f>
        <v>0</v>
      </c>
      <c r="L668" s="8" t="n">
        <f aca="false">IF(OR(F668="Congé",F668="OFF",M668="Abs",F668="Congé sans solde",F668="Férié",F668="Congé spécial",D668="Congé spécial"),0,IF(F668-E668&lt;0,0,IF(F668-E668&lt;=0.00068287037037037,0,F668-E668)))</f>
        <v>0</v>
      </c>
      <c r="M668" s="6" t="n">
        <f aca="false">IF(AND(O668&lt;&gt;0,C668=""),"Abs",0)</f>
        <v>0</v>
      </c>
      <c r="N668" s="8" t="n">
        <f aca="false">IFERROR(IF(OR(D668="OFF",D668="Congé",M668="Abs",D668="Congé sans solde",D668="Férié"),"",IF(O668-K668-L668&gt;O668,O668,IF(O668-K668-L668&lt;0,"",O668-K668-L668))),"")</f>
        <v>0.375</v>
      </c>
      <c r="O668" s="8" t="n">
        <f aca="false">IF(AG668="2H Pause déjeuner",IF(F668-D668-0.0833333333333333&lt;0,F668-D668-0.0833333333333333+1,F668-D668-0.0833333333333333),IF(OR(AND(F668="OFF",D668="OFF"),AND(F668="Congé",D668="Congé"),AND(F668="Congé sans solde",D668="Congé sans solde"),AND(F668="Congé spécial",D668="Congé spécial"),AND(F668="Férié",D668="Férié"),AND(F668="OFF",D668="Congé"),AND(F668="OFF",D668="Congé sans solde"),AND(F668="OFF",D668="Congé spécial"),AND(F668="OFF",D668="Férié"),AND(F668="Congé",D668="OFF"),AND(F668="Congé",D668="Congé sans solde"),AND(F668="Congé",D668="Congé spécial"),AND(F668="Congé",D668="Férié"),AND(F668="Congé sans solde",D668="OFF"),AND(F668="Congé sans solde",D668="Congé"),AND(F668="Congé sans solde",D668="Congé spécial"),AND(F668="Congé sans solde",D668="Férié"),AND(F668="Congé spécial",D668="OFF"),AND(F668="Congé spécial",D668="Congé"),AND(F668="Congé spécial",D668="Congé sans solde"),AND(F668="Congé spécial",D668="Férié"),AND(F668="Férié",D668="OFF"),AND(F668="Férié",D668="Congé"),AND(F668="Férié",D668="Congé sans solde"),AND(F668="Férié",D668="Congé spécial")),0,IF(OR(F668="OFF",F668="Congé",F668="Congé spécial",F668="Congé sans solde",D668="OFF",D668="Congé",D668="Congé spécial",D668="Congé sans solde"),0.208333333333334,IF(AND(AG668="",F668-D668&lt;0),("24:00:00"-D668)+("00:00:00"+F668)-0.0416666666666667,IF(AND(OR(AG668="Allaitement",AG668="Sans déjeuner"),F668-D668&lt;0),("24:00:00"-D668)+("00:00:00"+F668),IF(AND(AG668="",F668-D668&gt;0.166666666666667),F668-D668-0.0416666666666667,IF(AND(OR(AG668="Allaitement",AG668="Sans déjeuner"),F668-D668&gt;0.166666666666667),F668-D668,F668-D668)))))))</f>
        <v>0.375</v>
      </c>
      <c r="P668" s="6" t="str">
        <f aca="false">IFERROR(VLOOKUP($B668,Agents!$A:$D,2,0),"-")</f>
        <v>Accessibilité</v>
      </c>
      <c r="Q668" s="21" t="n">
        <v>46153</v>
      </c>
      <c r="R668" s="8" t="n">
        <f aca="false">IF(M668="Abs",O668,0)</f>
        <v>0</v>
      </c>
      <c r="S668" s="8" t="n">
        <f aca="false">SUM(R668,L668,I668,J668,W668,H668)</f>
        <v>0</v>
      </c>
      <c r="T668" s="6" t="str">
        <f aca="false">"Sem - "&amp;WEEKNUM(Q668,21)</f>
        <v>Sem - 20</v>
      </c>
      <c r="U668" s="6" t="str">
        <f aca="false">CHOOSE(MONTH(Q668),"Janvier","Février","Mars","Avril","Mai","Juin","Juillet","Août","Septembre","Octobre","Novembre","Décembre")</f>
        <v>Mai</v>
      </c>
      <c r="V668" s="22" t="n">
        <f aca="false">YEAR(Q668)</f>
        <v>2026</v>
      </c>
      <c r="W668" s="20"/>
      <c r="X668" s="8" t="n">
        <f aca="false">IFERROR(IF(M668="Abs",0,IF(ROUND((D668-C668+E668-F668)*1440,0)&lt;=1,0,D668-C668+E668-F668)),0)</f>
        <v>0</v>
      </c>
      <c r="Y668" s="6" t="str">
        <f aca="false">IFERROR(VLOOKUP($B668,Agents!$A:$D,3,0),"-")</f>
        <v>OUBRAHIM Mohammed</v>
      </c>
      <c r="Z668" s="6" t="str">
        <f aca="false">IFERROR(VLOOKUP($B668,Agents!$A:$D,4,0),"-")</f>
        <v>Credit Mutuel</v>
      </c>
      <c r="AA668" s="18" t="s">
        <v>102</v>
      </c>
      <c r="AB668" s="8" t="str">
        <f aca="false">IF(AND(D668="Congé",F668="Congé"),0.333333333333333,IF(OR(AND(D668="Congé",F668&lt;&gt;"Congé"),(AND(F668="Congé",D668&lt;&gt;"Congé"))),0.166666666666667,""))</f>
        <v/>
      </c>
      <c r="AC668" s="8" t="str">
        <f aca="false">IF(AND(D668="Congé sans solde",F668="Congé sans solde"),0.333333333333333,IF(OR(AND(D668="Congé sans solde",F668&lt;&gt;"Congé sans solde"),(AND(F668="Congé sans solde",D668&lt;&gt;"Congé sans solde"))),0.166666666666667,""))</f>
        <v/>
      </c>
      <c r="AD668" s="8" t="str">
        <f aca="false">IF(AND(D668="Congé spécial",F668="Congé spécial"),0.333333333333333,IF(OR(AND(D668="Congé spécial",F668&lt;&gt;"Congé spécial"),AND(F668="Congé spécial",D668&lt;&gt;"Congé spécial")),0.166666666666667,""))</f>
        <v/>
      </c>
      <c r="AE668" s="8" t="str">
        <f aca="false">IF(AND(D668="Férié",F668="Férié"),0.333333333333333,IF(OR(AND(D668="Férié",F668&lt;&gt;"Férié"),(AND(F668="Férié",D668&lt;&gt;"Férié"))),0.166666666666667,""))</f>
        <v/>
      </c>
      <c r="AF668" s="18"/>
      <c r="AG668" s="18"/>
    </row>
    <row r="669" customFormat="false" ht="15" hidden="false" customHeight="false" outlineLevel="0" collapsed="false">
      <c r="A669" s="6" t="str">
        <f aca="false">YEAR(Q669-WEEKDAY(Q669,2)+4)&amp;"-S"&amp;TEXT(WEEKNUM(Q669,21),"00")</f>
        <v>2026-S20</v>
      </c>
      <c r="B669" s="18" t="s">
        <v>73</v>
      </c>
      <c r="C669" s="19" t="n">
        <v>0.33125</v>
      </c>
      <c r="D669" s="19" t="n">
        <v>0.333333333333333</v>
      </c>
      <c r="E669" s="19" t="n">
        <v>0.75</v>
      </c>
      <c r="F669" s="19" t="n">
        <v>0.75</v>
      </c>
      <c r="G669" s="20"/>
      <c r="H669" s="20"/>
      <c r="I669" s="8" t="str">
        <f aca="false">IF(IF(OR(C669="",D669="Congé",D669="OFF",D669="Congé spécial"),"",IF(D669&gt;F669,D669-C669,IF(C669-D669&lt;0,0,C669-D669)))&lt;0.00068287037037037,"",IF(OR(D669="Congé",D669="OFF",C669="",D669="Congé spécial"),"",IF(D669&gt;F669,D669-C669,IF(C669-D669&lt;0,0,C669-D669))))</f>
        <v/>
      </c>
      <c r="J669" s="20"/>
      <c r="K669" s="8" t="n">
        <f aca="false">IF(SUM(H669:J669)&lt;0.00068287037037037,0,SUM(H669:J669))</f>
        <v>0</v>
      </c>
      <c r="L669" s="8" t="n">
        <f aca="false">IF(OR(F669="Congé",F669="OFF",M669="Abs",F669="Congé sans solde",F669="Férié",F669="Congé spécial",D669="Congé spécial"),0,IF(F669-E669&lt;0,0,IF(F669-E669&lt;=0.00068287037037037,0,F669-E669)))</f>
        <v>0</v>
      </c>
      <c r="M669" s="6" t="n">
        <f aca="false">IF(AND(O669&lt;&gt;0,C669=""),"Abs",0)</f>
        <v>0</v>
      </c>
      <c r="N669" s="8" t="n">
        <f aca="false">IFERROR(IF(OR(D669="OFF",D669="Congé",M669="Abs",D669="Congé sans solde",D669="Férié"),"",IF(O669-K669-L669&gt;O669,O669,IF(O669-K669-L669&lt;0,"",O669-K669-L669))),"")</f>
        <v>0.375</v>
      </c>
      <c r="O669" s="8" t="n">
        <f aca="false">IF(AG669="2H Pause déjeuner",IF(F669-D669-0.0833333333333333&lt;0,F669-D669-0.0833333333333333+1,F669-D669-0.0833333333333333),IF(OR(AND(F669="OFF",D669="OFF"),AND(F669="Congé",D669="Congé"),AND(F669="Congé sans solde",D669="Congé sans solde"),AND(F669="Congé spécial",D669="Congé spécial"),AND(F669="Férié",D669="Férié"),AND(F669="OFF",D669="Congé"),AND(F669="OFF",D669="Congé sans solde"),AND(F669="OFF",D669="Congé spécial"),AND(F669="OFF",D669="Férié"),AND(F669="Congé",D669="OFF"),AND(F669="Congé",D669="Congé sans solde"),AND(F669="Congé",D669="Congé spécial"),AND(F669="Congé",D669="Férié"),AND(F669="Congé sans solde",D669="OFF"),AND(F669="Congé sans solde",D669="Congé"),AND(F669="Congé sans solde",D669="Congé spécial"),AND(F669="Congé sans solde",D669="Férié"),AND(F669="Congé spécial",D669="OFF"),AND(F669="Congé spécial",D669="Congé"),AND(F669="Congé spécial",D669="Congé sans solde"),AND(F669="Congé spécial",D669="Férié"),AND(F669="Férié",D669="OFF"),AND(F669="Férié",D669="Congé"),AND(F669="Férié",D669="Congé sans solde"),AND(F669="Férié",D669="Congé spécial")),0,IF(OR(F669="OFF",F669="Congé",F669="Congé spécial",F669="Congé sans solde",D669="OFF",D669="Congé",D669="Congé spécial",D669="Congé sans solde"),0.208333333333334,IF(AND(AG669="",F669-D669&lt;0),("24:00:00"-D669)+("00:00:00"+F669)-0.0416666666666667,IF(AND(OR(AG669="Allaitement",AG669="Sans déjeuner"),F669-D669&lt;0),("24:00:00"-D669)+("00:00:00"+F669),IF(AND(AG669="",F669-D669&gt;0.166666666666667),F669-D669-0.0416666666666667,IF(AND(OR(AG669="Allaitement",AG669="Sans déjeuner"),F669-D669&gt;0.166666666666667),F669-D669,F669-D669)))))))</f>
        <v>0.375</v>
      </c>
      <c r="P669" s="6" t="str">
        <f aca="false">IFERROR(VLOOKUP($B669,Agents!$A:$D,2,0),"-")</f>
        <v>Accessibilité</v>
      </c>
      <c r="Q669" s="21" t="n">
        <v>46153</v>
      </c>
      <c r="R669" s="8" t="n">
        <f aca="false">IF(M669="Abs",O669,0)</f>
        <v>0</v>
      </c>
      <c r="S669" s="8" t="n">
        <f aca="false">SUM(R669,L669,I669,J669,W669,H669)</f>
        <v>0</v>
      </c>
      <c r="T669" s="6" t="str">
        <f aca="false">"Sem - "&amp;WEEKNUM(Q669,21)</f>
        <v>Sem - 20</v>
      </c>
      <c r="U669" s="6" t="str">
        <f aca="false">CHOOSE(MONTH(Q669),"Janvier","Février","Mars","Avril","Mai","Juin","Juillet","Août","Septembre","Octobre","Novembre","Décembre")</f>
        <v>Mai</v>
      </c>
      <c r="V669" s="22" t="n">
        <f aca="false">YEAR(Q669)</f>
        <v>2026</v>
      </c>
      <c r="W669" s="20"/>
      <c r="X669" s="8" t="n">
        <f aca="false">IFERROR(IF(M669="Abs",0,IF(ROUND((D669-C669+E669-F669)*1440,0)&lt;=1,0,D669-C669+E669-F669)),0)</f>
        <v>0.00208333333333333</v>
      </c>
      <c r="Y669" s="6" t="str">
        <f aca="false">IFERROR(VLOOKUP($B669,Agents!$A:$D,3,0),"-")</f>
        <v>OUBRAHIM Mohammed</v>
      </c>
      <c r="Z669" s="6" t="str">
        <f aca="false">IFERROR(VLOOKUP($B669,Agents!$A:$D,4,0),"-")</f>
        <v>Credit Mutuel</v>
      </c>
      <c r="AA669" s="18" t="s">
        <v>102</v>
      </c>
      <c r="AB669" s="8" t="str">
        <f aca="false">IF(AND(D669="Congé",F669="Congé"),0.333333333333333,IF(OR(AND(D669="Congé",F669&lt;&gt;"Congé"),(AND(F669="Congé",D669&lt;&gt;"Congé"))),0.166666666666667,""))</f>
        <v/>
      </c>
      <c r="AC669" s="8" t="str">
        <f aca="false">IF(AND(D669="Congé sans solde",F669="Congé sans solde"),0.333333333333333,IF(OR(AND(D669="Congé sans solde",F669&lt;&gt;"Congé sans solde"),(AND(F669="Congé sans solde",D669&lt;&gt;"Congé sans solde"))),0.166666666666667,""))</f>
        <v/>
      </c>
      <c r="AD669" s="8" t="str">
        <f aca="false">IF(AND(D669="Congé spécial",F669="Congé spécial"),0.333333333333333,IF(OR(AND(D669="Congé spécial",F669&lt;&gt;"Congé spécial"),AND(F669="Congé spécial",D669&lt;&gt;"Congé spécial")),0.166666666666667,""))</f>
        <v/>
      </c>
      <c r="AE669" s="8" t="str">
        <f aca="false">IF(AND(D669="Férié",F669="Férié"),0.333333333333333,IF(OR(AND(D669="Férié",F669&lt;&gt;"Férié"),(AND(F669="Férié",D669&lt;&gt;"Férié"))),0.166666666666667,""))</f>
        <v/>
      </c>
      <c r="AF669" s="18"/>
      <c r="AG669" s="18"/>
    </row>
    <row r="670" customFormat="false" ht="15" hidden="false" customHeight="false" outlineLevel="0" collapsed="false">
      <c r="A670" s="6" t="str">
        <f aca="false">YEAR(Q670-WEEKDAY(Q670,2)+4)&amp;"-S"&amp;TEXT(WEEKNUM(Q670,21),"00")</f>
        <v>2026-S20</v>
      </c>
      <c r="B670" s="18" t="s">
        <v>71</v>
      </c>
      <c r="C670" s="19" t="n">
        <v>0.332638888888889</v>
      </c>
      <c r="D670" s="19" t="n">
        <v>0.333333333333333</v>
      </c>
      <c r="E670" s="19" t="n">
        <v>0.75</v>
      </c>
      <c r="F670" s="19" t="n">
        <v>0.75</v>
      </c>
      <c r="G670" s="20"/>
      <c r="H670" s="20"/>
      <c r="I670" s="8" t="str">
        <f aca="false">IF(IF(OR(C670="",D670="Congé",D670="OFF",D670="Congé spécial"),"",IF(D670&gt;F670,D670-C670,IF(C670-D670&lt;0,0,C670-D670)))&lt;0.00068287037037037,"",IF(OR(D670="Congé",D670="OFF",C670="",D670="Congé spécial"),"",IF(D670&gt;F670,D670-C670,IF(C670-D670&lt;0,0,C670-D670))))</f>
        <v/>
      </c>
      <c r="J670" s="20"/>
      <c r="K670" s="8" t="n">
        <f aca="false">IF(SUM(H670:J670)&lt;0.00068287037037037,0,SUM(H670:J670))</f>
        <v>0</v>
      </c>
      <c r="L670" s="8" t="n">
        <f aca="false">IF(OR(F670="Congé",F670="OFF",M670="Abs",F670="Congé sans solde",F670="Férié",F670="Congé spécial",D670="Congé spécial"),0,IF(F670-E670&lt;0,0,IF(F670-E670&lt;=0.00068287037037037,0,F670-E670)))</f>
        <v>0</v>
      </c>
      <c r="M670" s="6" t="n">
        <f aca="false">IF(AND(O670&lt;&gt;0,C670=""),"Abs",0)</f>
        <v>0</v>
      </c>
      <c r="N670" s="8" t="n">
        <f aca="false">IFERROR(IF(OR(D670="OFF",D670="Congé",M670="Abs",D670="Congé sans solde",D670="Férié"),"",IF(O670-K670-L670&gt;O670,O670,IF(O670-K670-L670&lt;0,"",O670-K670-L670))),"")</f>
        <v>0.375</v>
      </c>
      <c r="O670" s="8" t="n">
        <f aca="false">IF(AG670="2H Pause déjeuner",IF(F670-D670-0.0833333333333333&lt;0,F670-D670-0.0833333333333333+1,F670-D670-0.0833333333333333),IF(OR(AND(F670="OFF",D670="OFF"),AND(F670="Congé",D670="Congé"),AND(F670="Congé sans solde",D670="Congé sans solde"),AND(F670="Congé spécial",D670="Congé spécial"),AND(F670="Férié",D670="Férié"),AND(F670="OFF",D670="Congé"),AND(F670="OFF",D670="Congé sans solde"),AND(F670="OFF",D670="Congé spécial"),AND(F670="OFF",D670="Férié"),AND(F670="Congé",D670="OFF"),AND(F670="Congé",D670="Congé sans solde"),AND(F670="Congé",D670="Congé spécial"),AND(F670="Congé",D670="Férié"),AND(F670="Congé sans solde",D670="OFF"),AND(F670="Congé sans solde",D670="Congé"),AND(F670="Congé sans solde",D670="Congé spécial"),AND(F670="Congé sans solde",D670="Férié"),AND(F670="Congé spécial",D670="OFF"),AND(F670="Congé spécial",D670="Congé"),AND(F670="Congé spécial",D670="Congé sans solde"),AND(F670="Congé spécial",D670="Férié"),AND(F670="Férié",D670="OFF"),AND(F670="Férié",D670="Congé"),AND(F670="Férié",D670="Congé sans solde"),AND(F670="Férié",D670="Congé spécial")),0,IF(OR(F670="OFF",F670="Congé",F670="Congé spécial",F670="Congé sans solde",D670="OFF",D670="Congé",D670="Congé spécial",D670="Congé sans solde"),0.208333333333334,IF(AND(AG670="",F670-D670&lt;0),("24:00:00"-D670)+("00:00:00"+F670)-0.0416666666666667,IF(AND(OR(AG670="Allaitement",AG670="Sans déjeuner"),F670-D670&lt;0),("24:00:00"-D670)+("00:00:00"+F670),IF(AND(AG670="",F670-D670&gt;0.166666666666667),F670-D670-0.0416666666666667,IF(AND(OR(AG670="Allaitement",AG670="Sans déjeuner"),F670-D670&gt;0.166666666666667),F670-D670,F670-D670)))))))</f>
        <v>0.375</v>
      </c>
      <c r="P670" s="6" t="str">
        <f aca="false">IFERROR(VLOOKUP($B670,Agents!$A:$D,2,0),"-")</f>
        <v>Accessibilité</v>
      </c>
      <c r="Q670" s="21" t="n">
        <v>46154</v>
      </c>
      <c r="R670" s="8" t="n">
        <f aca="false">IF(M670="Abs",O670,0)</f>
        <v>0</v>
      </c>
      <c r="S670" s="8" t="n">
        <f aca="false">SUM(R670,L670,I670,J670,W670,H670)</f>
        <v>0</v>
      </c>
      <c r="T670" s="6" t="str">
        <f aca="false">"Sem - "&amp;WEEKNUM(Q670,21)</f>
        <v>Sem - 20</v>
      </c>
      <c r="U670" s="6" t="str">
        <f aca="false">CHOOSE(MONTH(Q670),"Janvier","Février","Mars","Avril","Mai","Juin","Juillet","Août","Septembre","Octobre","Novembre","Décembre")</f>
        <v>Mai</v>
      </c>
      <c r="V670" s="22" t="n">
        <f aca="false">YEAR(Q670)</f>
        <v>2026</v>
      </c>
      <c r="W670" s="20"/>
      <c r="X670" s="8" t="n">
        <f aca="false">IFERROR(IF(M670="Abs",0,IF(ROUND((D670-C670+E670-F670)*1440,0)&lt;=1,0,D670-C670+E670-F670)),0)</f>
        <v>0</v>
      </c>
      <c r="Y670" s="6" t="str">
        <f aca="false">IFERROR(VLOOKUP($B670,Agents!$A:$D,3,0),"-")</f>
        <v>OUBRAHIM Mohammed</v>
      </c>
      <c r="Z670" s="6" t="str">
        <f aca="false">IFERROR(VLOOKUP($B670,Agents!$A:$D,4,0),"-")</f>
        <v>Credit Mutuel</v>
      </c>
      <c r="AA670" s="18" t="s">
        <v>102</v>
      </c>
      <c r="AB670" s="8" t="str">
        <f aca="false">IF(AND(D670="Congé",F670="Congé"),0.333333333333333,IF(OR(AND(D670="Congé",F670&lt;&gt;"Congé"),(AND(F670="Congé",D670&lt;&gt;"Congé"))),0.166666666666667,""))</f>
        <v/>
      </c>
      <c r="AC670" s="8" t="str">
        <f aca="false">IF(AND(D670="Congé sans solde",F670="Congé sans solde"),0.333333333333333,IF(OR(AND(D670="Congé sans solde",F670&lt;&gt;"Congé sans solde"),(AND(F670="Congé sans solde",D670&lt;&gt;"Congé sans solde"))),0.166666666666667,""))</f>
        <v/>
      </c>
      <c r="AD670" s="8" t="str">
        <f aca="false">IF(AND(D670="Congé spécial",F670="Congé spécial"),0.333333333333333,IF(OR(AND(D670="Congé spécial",F670&lt;&gt;"Congé spécial"),AND(F670="Congé spécial",D670&lt;&gt;"Congé spécial")),0.166666666666667,""))</f>
        <v/>
      </c>
      <c r="AE670" s="8" t="str">
        <f aca="false">IF(AND(D670="Férié",F670="Férié"),0.333333333333333,IF(OR(AND(D670="Férié",F670&lt;&gt;"Férié"),(AND(F670="Férié",D670&lt;&gt;"Férié"))),0.166666666666667,""))</f>
        <v/>
      </c>
      <c r="AF670" s="18"/>
      <c r="AG670" s="18"/>
    </row>
    <row r="671" customFormat="false" ht="15" hidden="false" customHeight="false" outlineLevel="0" collapsed="false">
      <c r="A671" s="6" t="str">
        <f aca="false">YEAR(Q671-WEEKDAY(Q671,2)+4)&amp;"-S"&amp;TEXT(WEEKNUM(Q671,21),"00")</f>
        <v>2026-S20</v>
      </c>
      <c r="B671" s="18" t="s">
        <v>72</v>
      </c>
      <c r="C671" s="19" t="n">
        <v>0.332638888888889</v>
      </c>
      <c r="D671" s="19" t="n">
        <v>0.333333333333333</v>
      </c>
      <c r="E671" s="19" t="n">
        <v>0.75</v>
      </c>
      <c r="F671" s="19" t="n">
        <v>0.75</v>
      </c>
      <c r="G671" s="20"/>
      <c r="H671" s="20"/>
      <c r="I671" s="8" t="str">
        <f aca="false">IF(IF(OR(C671="",D671="Congé",D671="OFF",D671="Congé spécial"),"",IF(D671&gt;F671,D671-C671,IF(C671-D671&lt;0,0,C671-D671)))&lt;0.00068287037037037,"",IF(OR(D671="Congé",D671="OFF",C671="",D671="Congé spécial"),"",IF(D671&gt;F671,D671-C671,IF(C671-D671&lt;0,0,C671-D671))))</f>
        <v/>
      </c>
      <c r="J671" s="20"/>
      <c r="K671" s="8" t="n">
        <f aca="false">IF(SUM(H671:J671)&lt;0.00068287037037037,0,SUM(H671:J671))</f>
        <v>0</v>
      </c>
      <c r="L671" s="8" t="n">
        <f aca="false">IF(OR(F671="Congé",F671="OFF",M671="Abs",F671="Congé sans solde",F671="Férié",F671="Congé spécial",D671="Congé spécial"),0,IF(F671-E671&lt;0,0,IF(F671-E671&lt;=0.00068287037037037,0,F671-E671)))</f>
        <v>0</v>
      </c>
      <c r="M671" s="6" t="n">
        <f aca="false">IF(AND(O671&lt;&gt;0,C671=""),"Abs",0)</f>
        <v>0</v>
      </c>
      <c r="N671" s="8" t="n">
        <f aca="false">IFERROR(IF(OR(D671="OFF",D671="Congé",M671="Abs",D671="Congé sans solde",D671="Férié"),"",IF(O671-K671-L671&gt;O671,O671,IF(O671-K671-L671&lt;0,"",O671-K671-L671))),"")</f>
        <v>0.375</v>
      </c>
      <c r="O671" s="8" t="n">
        <f aca="false">IF(AG671="2H Pause déjeuner",IF(F671-D671-0.0833333333333333&lt;0,F671-D671-0.0833333333333333+1,F671-D671-0.0833333333333333),IF(OR(AND(F671="OFF",D671="OFF"),AND(F671="Congé",D671="Congé"),AND(F671="Congé sans solde",D671="Congé sans solde"),AND(F671="Congé spécial",D671="Congé spécial"),AND(F671="Férié",D671="Férié"),AND(F671="OFF",D671="Congé"),AND(F671="OFF",D671="Congé sans solde"),AND(F671="OFF",D671="Congé spécial"),AND(F671="OFF",D671="Férié"),AND(F671="Congé",D671="OFF"),AND(F671="Congé",D671="Congé sans solde"),AND(F671="Congé",D671="Congé spécial"),AND(F671="Congé",D671="Férié"),AND(F671="Congé sans solde",D671="OFF"),AND(F671="Congé sans solde",D671="Congé"),AND(F671="Congé sans solde",D671="Congé spécial"),AND(F671="Congé sans solde",D671="Férié"),AND(F671="Congé spécial",D671="OFF"),AND(F671="Congé spécial",D671="Congé"),AND(F671="Congé spécial",D671="Congé sans solde"),AND(F671="Congé spécial",D671="Férié"),AND(F671="Férié",D671="OFF"),AND(F671="Férié",D671="Congé"),AND(F671="Férié",D671="Congé sans solde"),AND(F671="Férié",D671="Congé spécial")),0,IF(OR(F671="OFF",F671="Congé",F671="Congé spécial",F671="Congé sans solde",D671="OFF",D671="Congé",D671="Congé spécial",D671="Congé sans solde"),0.208333333333334,IF(AND(AG671="",F671-D671&lt;0),("24:00:00"-D671)+("00:00:00"+F671)-0.0416666666666667,IF(AND(OR(AG671="Allaitement",AG671="Sans déjeuner"),F671-D671&lt;0),("24:00:00"-D671)+("00:00:00"+F671),IF(AND(AG671="",F671-D671&gt;0.166666666666667),F671-D671-0.0416666666666667,IF(AND(OR(AG671="Allaitement",AG671="Sans déjeuner"),F671-D671&gt;0.166666666666667),F671-D671,F671-D671)))))))</f>
        <v>0.375</v>
      </c>
      <c r="P671" s="6" t="str">
        <f aca="false">IFERROR(VLOOKUP($B671,Agents!$A:$D,2,0),"-")</f>
        <v>Accessibilité</v>
      </c>
      <c r="Q671" s="21" t="n">
        <v>46154</v>
      </c>
      <c r="R671" s="8" t="n">
        <f aca="false">IF(M671="Abs",O671,0)</f>
        <v>0</v>
      </c>
      <c r="S671" s="8" t="n">
        <f aca="false">SUM(R671,L671,I671,J671,W671,H671)</f>
        <v>0</v>
      </c>
      <c r="T671" s="6" t="str">
        <f aca="false">"Sem - "&amp;WEEKNUM(Q671,21)</f>
        <v>Sem - 20</v>
      </c>
      <c r="U671" s="6" t="str">
        <f aca="false">CHOOSE(MONTH(Q671),"Janvier","Février","Mars","Avril","Mai","Juin","Juillet","Août","Septembre","Octobre","Novembre","Décembre")</f>
        <v>Mai</v>
      </c>
      <c r="V671" s="22" t="n">
        <f aca="false">YEAR(Q671)</f>
        <v>2026</v>
      </c>
      <c r="W671" s="20"/>
      <c r="X671" s="8" t="n">
        <f aca="false">IFERROR(IF(M671="Abs",0,IF(ROUND((D671-C671+E671-F671)*1440,0)&lt;=1,0,D671-C671+E671-F671)),0)</f>
        <v>0</v>
      </c>
      <c r="Y671" s="6" t="str">
        <f aca="false">IFERROR(VLOOKUP($B671,Agents!$A:$D,3,0),"-")</f>
        <v>OUBRAHIM Mohammed</v>
      </c>
      <c r="Z671" s="6" t="str">
        <f aca="false">IFERROR(VLOOKUP($B671,Agents!$A:$D,4,0),"-")</f>
        <v>Credit Mutuel</v>
      </c>
      <c r="AA671" s="18" t="s">
        <v>102</v>
      </c>
      <c r="AB671" s="8" t="str">
        <f aca="false">IF(AND(D671="Congé",F671="Congé"),0.333333333333333,IF(OR(AND(D671="Congé",F671&lt;&gt;"Congé"),(AND(F671="Congé",D671&lt;&gt;"Congé"))),0.166666666666667,""))</f>
        <v/>
      </c>
      <c r="AC671" s="8" t="str">
        <f aca="false">IF(AND(D671="Congé sans solde",F671="Congé sans solde"),0.333333333333333,IF(OR(AND(D671="Congé sans solde",F671&lt;&gt;"Congé sans solde"),(AND(F671="Congé sans solde",D671&lt;&gt;"Congé sans solde"))),0.166666666666667,""))</f>
        <v/>
      </c>
      <c r="AD671" s="8" t="str">
        <f aca="false">IF(AND(D671="Congé spécial",F671="Congé spécial"),0.333333333333333,IF(OR(AND(D671="Congé spécial",F671&lt;&gt;"Congé spécial"),AND(F671="Congé spécial",D671&lt;&gt;"Congé spécial")),0.166666666666667,""))</f>
        <v/>
      </c>
      <c r="AE671" s="8" t="str">
        <f aca="false">IF(AND(D671="Férié",F671="Férié"),0.333333333333333,IF(OR(AND(D671="Férié",F671&lt;&gt;"Férié"),(AND(F671="Férié",D671&lt;&gt;"Férié"))),0.166666666666667,""))</f>
        <v/>
      </c>
      <c r="AF671" s="18"/>
      <c r="AG671" s="18"/>
    </row>
    <row r="672" customFormat="false" ht="15" hidden="false" customHeight="false" outlineLevel="0" collapsed="false">
      <c r="A672" s="6" t="str">
        <f aca="false">YEAR(Q672-WEEKDAY(Q672,2)+4)&amp;"-S"&amp;TEXT(WEEKNUM(Q672,21),"00")</f>
        <v>2026-S20</v>
      </c>
      <c r="B672" s="18" t="s">
        <v>73</v>
      </c>
      <c r="C672" s="19" t="n">
        <v>0.33125</v>
      </c>
      <c r="D672" s="19" t="n">
        <v>0.333333333333333</v>
      </c>
      <c r="E672" s="19" t="n">
        <v>0.75</v>
      </c>
      <c r="F672" s="19" t="n">
        <v>0.75</v>
      </c>
      <c r="G672" s="20"/>
      <c r="H672" s="20"/>
      <c r="I672" s="8" t="str">
        <f aca="false">IF(IF(OR(C672="",D672="Congé",D672="OFF",D672="Congé spécial"),"",IF(D672&gt;F672,D672-C672,IF(C672-D672&lt;0,0,C672-D672)))&lt;0.00068287037037037,"",IF(OR(D672="Congé",D672="OFF",C672="",D672="Congé spécial"),"",IF(D672&gt;F672,D672-C672,IF(C672-D672&lt;0,0,C672-D672))))</f>
        <v/>
      </c>
      <c r="J672" s="20"/>
      <c r="K672" s="8" t="n">
        <f aca="false">IF(SUM(H672:J672)&lt;0.00068287037037037,0,SUM(H672:J672))</f>
        <v>0</v>
      </c>
      <c r="L672" s="8" t="n">
        <f aca="false">IF(OR(F672="Congé",F672="OFF",M672="Abs",F672="Congé sans solde",F672="Férié",F672="Congé spécial",D672="Congé spécial"),0,IF(F672-E672&lt;0,0,IF(F672-E672&lt;=0.00068287037037037,0,F672-E672)))</f>
        <v>0</v>
      </c>
      <c r="M672" s="6" t="n">
        <f aca="false">IF(AND(O672&lt;&gt;0,C672=""),"Abs",0)</f>
        <v>0</v>
      </c>
      <c r="N672" s="8" t="n">
        <f aca="false">IFERROR(IF(OR(D672="OFF",D672="Congé",M672="Abs",D672="Congé sans solde",D672="Férié"),"",IF(O672-K672-L672&gt;O672,O672,IF(O672-K672-L672&lt;0,"",O672-K672-L672))),"")</f>
        <v>0.375</v>
      </c>
      <c r="O672" s="8" t="n">
        <f aca="false">IF(AG672="2H Pause déjeuner",IF(F672-D672-0.0833333333333333&lt;0,F672-D672-0.0833333333333333+1,F672-D672-0.0833333333333333),IF(OR(AND(F672="OFF",D672="OFF"),AND(F672="Congé",D672="Congé"),AND(F672="Congé sans solde",D672="Congé sans solde"),AND(F672="Congé spécial",D672="Congé spécial"),AND(F672="Férié",D672="Férié"),AND(F672="OFF",D672="Congé"),AND(F672="OFF",D672="Congé sans solde"),AND(F672="OFF",D672="Congé spécial"),AND(F672="OFF",D672="Férié"),AND(F672="Congé",D672="OFF"),AND(F672="Congé",D672="Congé sans solde"),AND(F672="Congé",D672="Congé spécial"),AND(F672="Congé",D672="Férié"),AND(F672="Congé sans solde",D672="OFF"),AND(F672="Congé sans solde",D672="Congé"),AND(F672="Congé sans solde",D672="Congé spécial"),AND(F672="Congé sans solde",D672="Férié"),AND(F672="Congé spécial",D672="OFF"),AND(F672="Congé spécial",D672="Congé"),AND(F672="Congé spécial",D672="Congé sans solde"),AND(F672="Congé spécial",D672="Férié"),AND(F672="Férié",D672="OFF"),AND(F672="Férié",D672="Congé"),AND(F672="Férié",D672="Congé sans solde"),AND(F672="Férié",D672="Congé spécial")),0,IF(OR(F672="OFF",F672="Congé",F672="Congé spécial",F672="Congé sans solde",D672="OFF",D672="Congé",D672="Congé spécial",D672="Congé sans solde"),0.208333333333334,IF(AND(AG672="",F672-D672&lt;0),("24:00:00"-D672)+("00:00:00"+F672)-0.0416666666666667,IF(AND(OR(AG672="Allaitement",AG672="Sans déjeuner"),F672-D672&lt;0),("24:00:00"-D672)+("00:00:00"+F672),IF(AND(AG672="",F672-D672&gt;0.166666666666667),F672-D672-0.0416666666666667,IF(AND(OR(AG672="Allaitement",AG672="Sans déjeuner"),F672-D672&gt;0.166666666666667),F672-D672,F672-D672)))))))</f>
        <v>0.375</v>
      </c>
      <c r="P672" s="6" t="str">
        <f aca="false">IFERROR(VLOOKUP($B672,Agents!$A:$D,2,0),"-")</f>
        <v>Accessibilité</v>
      </c>
      <c r="Q672" s="21" t="n">
        <v>46154</v>
      </c>
      <c r="R672" s="8" t="n">
        <f aca="false">IF(M672="Abs",O672,0)</f>
        <v>0</v>
      </c>
      <c r="S672" s="8" t="n">
        <f aca="false">SUM(R672,L672,I672,J672,W672,H672)</f>
        <v>0</v>
      </c>
      <c r="T672" s="6" t="str">
        <f aca="false">"Sem - "&amp;WEEKNUM(Q672,21)</f>
        <v>Sem - 20</v>
      </c>
      <c r="U672" s="6" t="str">
        <f aca="false">CHOOSE(MONTH(Q672),"Janvier","Février","Mars","Avril","Mai","Juin","Juillet","Août","Septembre","Octobre","Novembre","Décembre")</f>
        <v>Mai</v>
      </c>
      <c r="V672" s="22" t="n">
        <f aca="false">YEAR(Q672)</f>
        <v>2026</v>
      </c>
      <c r="W672" s="20"/>
      <c r="X672" s="8" t="n">
        <f aca="false">IFERROR(IF(M672="Abs",0,IF(ROUND((D672-C672+E672-F672)*1440,0)&lt;=1,0,D672-C672+E672-F672)),0)</f>
        <v>0.00208333333333333</v>
      </c>
      <c r="Y672" s="6" t="str">
        <f aca="false">IFERROR(VLOOKUP($B672,Agents!$A:$D,3,0),"-")</f>
        <v>OUBRAHIM Mohammed</v>
      </c>
      <c r="Z672" s="6" t="str">
        <f aca="false">IFERROR(VLOOKUP($B672,Agents!$A:$D,4,0),"-")</f>
        <v>Credit Mutuel</v>
      </c>
      <c r="AA672" s="18" t="s">
        <v>102</v>
      </c>
      <c r="AB672" s="8" t="str">
        <f aca="false">IF(AND(D672="Congé",F672="Congé"),0.333333333333333,IF(OR(AND(D672="Congé",F672&lt;&gt;"Congé"),(AND(F672="Congé",D672&lt;&gt;"Congé"))),0.166666666666667,""))</f>
        <v/>
      </c>
      <c r="AC672" s="8" t="str">
        <f aca="false">IF(AND(D672="Congé sans solde",F672="Congé sans solde"),0.333333333333333,IF(OR(AND(D672="Congé sans solde",F672&lt;&gt;"Congé sans solde"),(AND(F672="Congé sans solde",D672&lt;&gt;"Congé sans solde"))),0.166666666666667,""))</f>
        <v/>
      </c>
      <c r="AD672" s="8" t="str">
        <f aca="false">IF(AND(D672="Congé spécial",F672="Congé spécial"),0.333333333333333,IF(OR(AND(D672="Congé spécial",F672&lt;&gt;"Congé spécial"),AND(F672="Congé spécial",D672&lt;&gt;"Congé spécial")),0.166666666666667,""))</f>
        <v/>
      </c>
      <c r="AE672" s="8" t="str">
        <f aca="false">IF(AND(D672="Férié",F672="Férié"),0.333333333333333,IF(OR(AND(D672="Férié",F672&lt;&gt;"Férié"),(AND(F672="Férié",D672&lt;&gt;"Férié"))),0.166666666666667,""))</f>
        <v/>
      </c>
      <c r="AF672" s="18"/>
      <c r="AG672" s="18"/>
    </row>
    <row r="673" customFormat="false" ht="15" hidden="false" customHeight="false" outlineLevel="0" collapsed="false">
      <c r="A673" s="6" t="str">
        <f aca="false">YEAR(Q673-WEEKDAY(Q673,2)+4)&amp;"-S"&amp;TEXT(WEEKNUM(Q673,21),"00")</f>
        <v>2026-S20</v>
      </c>
      <c r="B673" s="18" t="s">
        <v>71</v>
      </c>
      <c r="C673" s="19"/>
      <c r="D673" s="19" t="s">
        <v>83</v>
      </c>
      <c r="E673" s="19"/>
      <c r="F673" s="19" t="s">
        <v>83</v>
      </c>
      <c r="G673" s="20"/>
      <c r="H673" s="20"/>
      <c r="I673" s="8" t="str">
        <f aca="false">IF(IF(OR(C673="",D673="Congé",D673="OFF",D673="Congé spécial"),"",IF(D673&gt;F673,D673-C673,IF(C673-D673&lt;0,0,C673-D673)))&lt;0.00068287037037037,"",IF(OR(D673="Congé",D673="OFF",C673="",D673="Congé spécial"),"",IF(D673&gt;F673,D673-C673,IF(C673-D673&lt;0,0,C673-D673))))</f>
        <v/>
      </c>
      <c r="J673" s="20"/>
      <c r="K673" s="8" t="n">
        <f aca="false">IF(SUM(H673:J673)&lt;0.00068287037037037,0,SUM(H673:J673))</f>
        <v>0</v>
      </c>
      <c r="L673" s="8" t="n">
        <f aca="false">IF(OR(F673="Congé",F673="OFF",M673="Abs",F673="Congé sans solde",F673="Férié",F673="Congé spécial",D673="Congé spécial"),0,IF(F673-E673&lt;0,0,IF(F673-E673&lt;=0.00068287037037037,0,F673-E673)))</f>
        <v>0</v>
      </c>
      <c r="M673" s="6" t="n">
        <f aca="false">IF(AND(O673&lt;&gt;0,C673=""),"Abs",0)</f>
        <v>0</v>
      </c>
      <c r="N673" s="8" t="str">
        <f aca="false">IFERROR(IF(OR(D673="OFF",D673="Congé",M673="Abs",D673="Congé sans solde",D673="Férié"),"",IF(O673-K673-L673&gt;O673,O673,IF(O673-K673-L673&lt;0,"",O673-K673-L673))),"")</f>
        <v/>
      </c>
      <c r="O673" s="8" t="n">
        <f aca="false">IF(AG673="2H Pause déjeuner",IF(F673-D673-0.0833333333333333&lt;0,F673-D673-0.0833333333333333+1,F673-D673-0.0833333333333333),IF(OR(AND(F673="OFF",D673="OFF"),AND(F673="Congé",D673="Congé"),AND(F673="Congé sans solde",D673="Congé sans solde"),AND(F673="Congé spécial",D673="Congé spécial"),AND(F673="Férié",D673="Férié"),AND(F673="OFF",D673="Congé"),AND(F673="OFF",D673="Congé sans solde"),AND(F673="OFF",D673="Congé spécial"),AND(F673="OFF",D673="Férié"),AND(F673="Congé",D673="OFF"),AND(F673="Congé",D673="Congé sans solde"),AND(F673="Congé",D673="Congé spécial"),AND(F673="Congé",D673="Férié"),AND(F673="Congé sans solde",D673="OFF"),AND(F673="Congé sans solde",D673="Congé"),AND(F673="Congé sans solde",D673="Congé spécial"),AND(F673="Congé sans solde",D673="Férié"),AND(F673="Congé spécial",D673="OFF"),AND(F673="Congé spécial",D673="Congé"),AND(F673="Congé spécial",D673="Congé sans solde"),AND(F673="Congé spécial",D673="Férié"),AND(F673="Férié",D673="OFF"),AND(F673="Férié",D673="Congé"),AND(F673="Férié",D673="Congé sans solde"),AND(F673="Férié",D673="Congé spécial")),0,IF(OR(F673="OFF",F673="Congé",F673="Congé spécial",F673="Congé sans solde",D673="OFF",D673="Congé",D673="Congé spécial",D673="Congé sans solde"),0.208333333333334,IF(AND(AG673="",F673-D673&lt;0),("24:00:00"-D673)+("00:00:00"+F673)-0.0416666666666667,IF(AND(OR(AG673="Allaitement",AG673="Sans déjeuner"),F673-D673&lt;0),("24:00:00"-D673)+("00:00:00"+F673),IF(AND(AG673="",F673-D673&gt;0.166666666666667),F673-D673-0.0416666666666667,IF(AND(OR(AG673="Allaitement",AG673="Sans déjeuner"),F673-D673&gt;0.166666666666667),F673-D673,F673-D673)))))))</f>
        <v>0</v>
      </c>
      <c r="P673" s="6" t="str">
        <f aca="false">IFERROR(VLOOKUP($B673,Agents!$A:$D,2,0),"-")</f>
        <v>Accessibilité</v>
      </c>
      <c r="Q673" s="21" t="n">
        <v>46155</v>
      </c>
      <c r="R673" s="8" t="n">
        <f aca="false">IF(M673="Abs",O673,0)</f>
        <v>0</v>
      </c>
      <c r="S673" s="8" t="n">
        <f aca="false">SUM(R673,L673,I673,J673,W673,H673)</f>
        <v>0</v>
      </c>
      <c r="T673" s="6" t="str">
        <f aca="false">"Sem - "&amp;WEEKNUM(Q673,21)</f>
        <v>Sem - 20</v>
      </c>
      <c r="U673" s="6" t="str">
        <f aca="false">CHOOSE(MONTH(Q673),"Janvier","Février","Mars","Avril","Mai","Juin","Juillet","Août","Septembre","Octobre","Novembre","Décembre")</f>
        <v>Mai</v>
      </c>
      <c r="V673" s="22" t="n">
        <f aca="false">YEAR(Q673)</f>
        <v>2026</v>
      </c>
      <c r="W673" s="20"/>
      <c r="X673" s="8" t="n">
        <f aca="false">IFERROR(IF(M673="Abs",0,IF(ROUND((D673-C673+E673-F673)*1440,0)&lt;=1,0,D673-C673+E673-F673)),0)</f>
        <v>0</v>
      </c>
      <c r="Y673" s="6" t="str">
        <f aca="false">IFERROR(VLOOKUP($B673,Agents!$A:$D,3,0),"-")</f>
        <v>OUBRAHIM Mohammed</v>
      </c>
      <c r="Z673" s="6" t="str">
        <f aca="false">IFERROR(VLOOKUP($B673,Agents!$A:$D,4,0),"-")</f>
        <v>Credit Mutuel</v>
      </c>
      <c r="AA673" s="18" t="s">
        <v>102</v>
      </c>
      <c r="AB673" s="8" t="n">
        <f aca="false">IF(AND(D673="Congé",F673="Congé"),0.333333333333333,IF(OR(AND(D673="Congé",F673&lt;&gt;"Congé"),(AND(F673="Congé",D673&lt;&gt;"Congé"))),0.166666666666667,""))</f>
        <v>0.333333333333333</v>
      </c>
      <c r="AC673" s="8" t="str">
        <f aca="false">IF(AND(D673="Congé sans solde",F673="Congé sans solde"),0.333333333333333,IF(OR(AND(D673="Congé sans solde",F673&lt;&gt;"Congé sans solde"),(AND(F673="Congé sans solde",D673&lt;&gt;"Congé sans solde"))),0.166666666666667,""))</f>
        <v/>
      </c>
      <c r="AD673" s="8" t="str">
        <f aca="false">IF(AND(D673="Congé spécial",F673="Congé spécial"),0.333333333333333,IF(OR(AND(D673="Congé spécial",F673&lt;&gt;"Congé spécial"),AND(F673="Congé spécial",D673&lt;&gt;"Congé spécial")),0.166666666666667,""))</f>
        <v/>
      </c>
      <c r="AE673" s="8" t="str">
        <f aca="false">IF(AND(D673="Férié",F673="Férié"),0.333333333333333,IF(OR(AND(D673="Férié",F673&lt;&gt;"Férié"),(AND(F673="Férié",D673&lt;&gt;"Férié"))),0.166666666666667,""))</f>
        <v/>
      </c>
      <c r="AF673" s="18"/>
      <c r="AG673" s="18"/>
    </row>
    <row r="674" customFormat="false" ht="15" hidden="false" customHeight="false" outlineLevel="0" collapsed="false">
      <c r="A674" s="6" t="str">
        <f aca="false">YEAR(Q674-WEEKDAY(Q674,2)+4)&amp;"-S"&amp;TEXT(WEEKNUM(Q674,21),"00")</f>
        <v>2026-S20</v>
      </c>
      <c r="B674" s="18" t="s">
        <v>72</v>
      </c>
      <c r="C674" s="19"/>
      <c r="D674" s="19" t="s">
        <v>83</v>
      </c>
      <c r="E674" s="19"/>
      <c r="F674" s="19" t="s">
        <v>83</v>
      </c>
      <c r="G674" s="20"/>
      <c r="H674" s="20"/>
      <c r="I674" s="8" t="str">
        <f aca="false">IF(IF(OR(C674="",D674="Congé",D674="OFF",D674="Congé spécial"),"",IF(D674&gt;F674,D674-C674,IF(C674-D674&lt;0,0,C674-D674)))&lt;0.00068287037037037,"",IF(OR(D674="Congé",D674="OFF",C674="",D674="Congé spécial"),"",IF(D674&gt;F674,D674-C674,IF(C674-D674&lt;0,0,C674-D674))))</f>
        <v/>
      </c>
      <c r="J674" s="20"/>
      <c r="K674" s="8" t="n">
        <f aca="false">IF(SUM(H674:J674)&lt;0.00068287037037037,0,SUM(H674:J674))</f>
        <v>0</v>
      </c>
      <c r="L674" s="8" t="n">
        <f aca="false">IF(OR(F674="Congé",F674="OFF",M674="Abs",F674="Congé sans solde",F674="Férié",F674="Congé spécial",D674="Congé spécial"),0,IF(F674-E674&lt;0,0,IF(F674-E674&lt;=0.00068287037037037,0,F674-E674)))</f>
        <v>0</v>
      </c>
      <c r="M674" s="6" t="n">
        <f aca="false">IF(AND(O674&lt;&gt;0,C674=""),"Abs",0)</f>
        <v>0</v>
      </c>
      <c r="N674" s="8" t="str">
        <f aca="false">IFERROR(IF(OR(D674="OFF",D674="Congé",M674="Abs",D674="Congé sans solde",D674="Férié"),"",IF(O674-K674-L674&gt;O674,O674,IF(O674-K674-L674&lt;0,"",O674-K674-L674))),"")</f>
        <v/>
      </c>
      <c r="O674" s="8" t="n">
        <f aca="false">IF(AG674="2H Pause déjeuner",IF(F674-D674-0.0833333333333333&lt;0,F674-D674-0.0833333333333333+1,F674-D674-0.0833333333333333),IF(OR(AND(F674="OFF",D674="OFF"),AND(F674="Congé",D674="Congé"),AND(F674="Congé sans solde",D674="Congé sans solde"),AND(F674="Congé spécial",D674="Congé spécial"),AND(F674="Férié",D674="Férié"),AND(F674="OFF",D674="Congé"),AND(F674="OFF",D674="Congé sans solde"),AND(F674="OFF",D674="Congé spécial"),AND(F674="OFF",D674="Férié"),AND(F674="Congé",D674="OFF"),AND(F674="Congé",D674="Congé sans solde"),AND(F674="Congé",D674="Congé spécial"),AND(F674="Congé",D674="Férié"),AND(F674="Congé sans solde",D674="OFF"),AND(F674="Congé sans solde",D674="Congé"),AND(F674="Congé sans solde",D674="Congé spécial"),AND(F674="Congé sans solde",D674="Férié"),AND(F674="Congé spécial",D674="OFF"),AND(F674="Congé spécial",D674="Congé"),AND(F674="Congé spécial",D674="Congé sans solde"),AND(F674="Congé spécial",D674="Férié"),AND(F674="Férié",D674="OFF"),AND(F674="Férié",D674="Congé"),AND(F674="Férié",D674="Congé sans solde"),AND(F674="Férié",D674="Congé spécial")),0,IF(OR(F674="OFF",F674="Congé",F674="Congé spécial",F674="Congé sans solde",D674="OFF",D674="Congé",D674="Congé spécial",D674="Congé sans solde"),0.208333333333334,IF(AND(AG674="",F674-D674&lt;0),("24:00:00"-D674)+("00:00:00"+F674)-0.0416666666666667,IF(AND(OR(AG674="Allaitement",AG674="Sans déjeuner"),F674-D674&lt;0),("24:00:00"-D674)+("00:00:00"+F674),IF(AND(AG674="",F674-D674&gt;0.166666666666667),F674-D674-0.0416666666666667,IF(AND(OR(AG674="Allaitement",AG674="Sans déjeuner"),F674-D674&gt;0.166666666666667),F674-D674,F674-D674)))))))</f>
        <v>0</v>
      </c>
      <c r="P674" s="6" t="str">
        <f aca="false">IFERROR(VLOOKUP($B674,Agents!$A:$D,2,0),"-")</f>
        <v>Accessibilité</v>
      </c>
      <c r="Q674" s="21" t="n">
        <v>46155</v>
      </c>
      <c r="R674" s="8" t="n">
        <f aca="false">IF(M674="Abs",O674,0)</f>
        <v>0</v>
      </c>
      <c r="S674" s="8" t="n">
        <f aca="false">SUM(R674,L674,I674,J674,W674,H674)</f>
        <v>0</v>
      </c>
      <c r="T674" s="6" t="str">
        <f aca="false">"Sem - "&amp;WEEKNUM(Q674,21)</f>
        <v>Sem - 20</v>
      </c>
      <c r="U674" s="6" t="str">
        <f aca="false">CHOOSE(MONTH(Q674),"Janvier","Février","Mars","Avril","Mai","Juin","Juillet","Août","Septembre","Octobre","Novembre","Décembre")</f>
        <v>Mai</v>
      </c>
      <c r="V674" s="22" t="n">
        <f aca="false">YEAR(Q674)</f>
        <v>2026</v>
      </c>
      <c r="W674" s="20"/>
      <c r="X674" s="8" t="n">
        <f aca="false">IFERROR(IF(M674="Abs",0,IF(ROUND((D674-C674+E674-F674)*1440,0)&lt;=1,0,D674-C674+E674-F674)),0)</f>
        <v>0</v>
      </c>
      <c r="Y674" s="6" t="str">
        <f aca="false">IFERROR(VLOOKUP($B674,Agents!$A:$D,3,0),"-")</f>
        <v>OUBRAHIM Mohammed</v>
      </c>
      <c r="Z674" s="6" t="str">
        <f aca="false">IFERROR(VLOOKUP($B674,Agents!$A:$D,4,0),"-")</f>
        <v>Credit Mutuel</v>
      </c>
      <c r="AA674" s="18" t="s">
        <v>102</v>
      </c>
      <c r="AB674" s="8" t="n">
        <f aca="false">IF(AND(D674="Congé",F674="Congé"),0.333333333333333,IF(OR(AND(D674="Congé",F674&lt;&gt;"Congé"),(AND(F674="Congé",D674&lt;&gt;"Congé"))),0.166666666666667,""))</f>
        <v>0.333333333333333</v>
      </c>
      <c r="AC674" s="8" t="str">
        <f aca="false">IF(AND(D674="Congé sans solde",F674="Congé sans solde"),0.333333333333333,IF(OR(AND(D674="Congé sans solde",F674&lt;&gt;"Congé sans solde"),(AND(F674="Congé sans solde",D674&lt;&gt;"Congé sans solde"))),0.166666666666667,""))</f>
        <v/>
      </c>
      <c r="AD674" s="8" t="str">
        <f aca="false">IF(AND(D674="Congé spécial",F674="Congé spécial"),0.333333333333333,IF(OR(AND(D674="Congé spécial",F674&lt;&gt;"Congé spécial"),AND(F674="Congé spécial",D674&lt;&gt;"Congé spécial")),0.166666666666667,""))</f>
        <v/>
      </c>
      <c r="AE674" s="8" t="str">
        <f aca="false">IF(AND(D674="Férié",F674="Férié"),0.333333333333333,IF(OR(AND(D674="Férié",F674&lt;&gt;"Férié"),(AND(F674="Férié",D674&lt;&gt;"Férié"))),0.166666666666667,""))</f>
        <v/>
      </c>
      <c r="AF674" s="18"/>
      <c r="AG674" s="18"/>
    </row>
    <row r="675" customFormat="false" ht="15" hidden="false" customHeight="false" outlineLevel="0" collapsed="false">
      <c r="A675" s="6" t="str">
        <f aca="false">YEAR(Q675-WEEKDAY(Q675,2)+4)&amp;"-S"&amp;TEXT(WEEKNUM(Q675,21),"00")</f>
        <v>2026-S20</v>
      </c>
      <c r="B675" s="18" t="s">
        <v>73</v>
      </c>
      <c r="C675" s="19"/>
      <c r="D675" s="19" t="s">
        <v>83</v>
      </c>
      <c r="E675" s="19"/>
      <c r="F675" s="19" t="s">
        <v>83</v>
      </c>
      <c r="G675" s="20"/>
      <c r="H675" s="20"/>
      <c r="I675" s="8" t="str">
        <f aca="false">IF(IF(OR(C675="",D675="Congé",D675="OFF",D675="Congé spécial"),"",IF(D675&gt;F675,D675-C675,IF(C675-D675&lt;0,0,C675-D675)))&lt;0.00068287037037037,"",IF(OR(D675="Congé",D675="OFF",C675="",D675="Congé spécial"),"",IF(D675&gt;F675,D675-C675,IF(C675-D675&lt;0,0,C675-D675))))</f>
        <v/>
      </c>
      <c r="J675" s="20"/>
      <c r="K675" s="8" t="n">
        <f aca="false">IF(SUM(H675:J675)&lt;0.00068287037037037,0,SUM(H675:J675))</f>
        <v>0</v>
      </c>
      <c r="L675" s="8" t="n">
        <f aca="false">IF(OR(F675="Congé",F675="OFF",M675="Abs",F675="Congé sans solde",F675="Férié",F675="Congé spécial",D675="Congé spécial"),0,IF(F675-E675&lt;0,0,IF(F675-E675&lt;=0.00068287037037037,0,F675-E675)))</f>
        <v>0</v>
      </c>
      <c r="M675" s="6" t="n">
        <f aca="false">IF(AND(O675&lt;&gt;0,C675=""),"Abs",0)</f>
        <v>0</v>
      </c>
      <c r="N675" s="8" t="str">
        <f aca="false">IFERROR(IF(OR(D675="OFF",D675="Congé",M675="Abs",D675="Congé sans solde",D675="Férié"),"",IF(O675-K675-L675&gt;O675,O675,IF(O675-K675-L675&lt;0,"",O675-K675-L675))),"")</f>
        <v/>
      </c>
      <c r="O675" s="8" t="n">
        <f aca="false">IF(AG675="2H Pause déjeuner",IF(F675-D675-0.0833333333333333&lt;0,F675-D675-0.0833333333333333+1,F675-D675-0.0833333333333333),IF(OR(AND(F675="OFF",D675="OFF"),AND(F675="Congé",D675="Congé"),AND(F675="Congé sans solde",D675="Congé sans solde"),AND(F675="Congé spécial",D675="Congé spécial"),AND(F675="Férié",D675="Férié"),AND(F675="OFF",D675="Congé"),AND(F675="OFF",D675="Congé sans solde"),AND(F675="OFF",D675="Congé spécial"),AND(F675="OFF",D675="Férié"),AND(F675="Congé",D675="OFF"),AND(F675="Congé",D675="Congé sans solde"),AND(F675="Congé",D675="Congé spécial"),AND(F675="Congé",D675="Férié"),AND(F675="Congé sans solde",D675="OFF"),AND(F675="Congé sans solde",D675="Congé"),AND(F675="Congé sans solde",D675="Congé spécial"),AND(F675="Congé sans solde",D675="Férié"),AND(F675="Congé spécial",D675="OFF"),AND(F675="Congé spécial",D675="Congé"),AND(F675="Congé spécial",D675="Congé sans solde"),AND(F675="Congé spécial",D675="Férié"),AND(F675="Férié",D675="OFF"),AND(F675="Férié",D675="Congé"),AND(F675="Férié",D675="Congé sans solde"),AND(F675="Férié",D675="Congé spécial")),0,IF(OR(F675="OFF",F675="Congé",F675="Congé spécial",F675="Congé sans solde",D675="OFF",D675="Congé",D675="Congé spécial",D675="Congé sans solde"),0.208333333333334,IF(AND(AG675="",F675-D675&lt;0),("24:00:00"-D675)+("00:00:00"+F675)-0.0416666666666667,IF(AND(OR(AG675="Allaitement",AG675="Sans déjeuner"),F675-D675&lt;0),("24:00:00"-D675)+("00:00:00"+F675),IF(AND(AG675="",F675-D675&gt;0.166666666666667),F675-D675-0.0416666666666667,IF(AND(OR(AG675="Allaitement",AG675="Sans déjeuner"),F675-D675&gt;0.166666666666667),F675-D675,F675-D675)))))))</f>
        <v>0</v>
      </c>
      <c r="P675" s="6" t="str">
        <f aca="false">IFERROR(VLOOKUP($B675,Agents!$A:$D,2,0),"-")</f>
        <v>Accessibilité</v>
      </c>
      <c r="Q675" s="21" t="n">
        <v>46155</v>
      </c>
      <c r="R675" s="8" t="n">
        <f aca="false">IF(M675="Abs",O675,0)</f>
        <v>0</v>
      </c>
      <c r="S675" s="8" t="n">
        <f aca="false">SUM(R675,L675,I675,J675,W675,H675)</f>
        <v>0</v>
      </c>
      <c r="T675" s="6" t="str">
        <f aca="false">"Sem - "&amp;WEEKNUM(Q675,21)</f>
        <v>Sem - 20</v>
      </c>
      <c r="U675" s="6" t="str">
        <f aca="false">CHOOSE(MONTH(Q675),"Janvier","Février","Mars","Avril","Mai","Juin","Juillet","Août","Septembre","Octobre","Novembre","Décembre")</f>
        <v>Mai</v>
      </c>
      <c r="V675" s="22" t="n">
        <f aca="false">YEAR(Q675)</f>
        <v>2026</v>
      </c>
      <c r="W675" s="20"/>
      <c r="X675" s="8" t="n">
        <f aca="false">IFERROR(IF(M675="Abs",0,IF(ROUND((D675-C675+E675-F675)*1440,0)&lt;=1,0,D675-C675+E675-F675)),0)</f>
        <v>0</v>
      </c>
      <c r="Y675" s="6" t="str">
        <f aca="false">IFERROR(VLOOKUP($B675,Agents!$A:$D,3,0),"-")</f>
        <v>OUBRAHIM Mohammed</v>
      </c>
      <c r="Z675" s="6" t="str">
        <f aca="false">IFERROR(VLOOKUP($B675,Agents!$A:$D,4,0),"-")</f>
        <v>Credit Mutuel</v>
      </c>
      <c r="AA675" s="18" t="s">
        <v>102</v>
      </c>
      <c r="AB675" s="8" t="n">
        <f aca="false">IF(AND(D675="Congé",F675="Congé"),0.333333333333333,IF(OR(AND(D675="Congé",F675&lt;&gt;"Congé"),(AND(F675="Congé",D675&lt;&gt;"Congé"))),0.166666666666667,""))</f>
        <v>0.333333333333333</v>
      </c>
      <c r="AC675" s="8" t="str">
        <f aca="false">IF(AND(D675="Congé sans solde",F675="Congé sans solde"),0.333333333333333,IF(OR(AND(D675="Congé sans solde",F675&lt;&gt;"Congé sans solde"),(AND(F675="Congé sans solde",D675&lt;&gt;"Congé sans solde"))),0.166666666666667,""))</f>
        <v/>
      </c>
      <c r="AD675" s="8" t="str">
        <f aca="false">IF(AND(D675="Congé spécial",F675="Congé spécial"),0.333333333333333,IF(OR(AND(D675="Congé spécial",F675&lt;&gt;"Congé spécial"),AND(F675="Congé spécial",D675&lt;&gt;"Congé spécial")),0.166666666666667,""))</f>
        <v/>
      </c>
      <c r="AE675" s="8" t="str">
        <f aca="false">IF(AND(D675="Férié",F675="Férié"),0.333333333333333,IF(OR(AND(D675="Férié",F675&lt;&gt;"Férié"),(AND(F675="Férié",D675&lt;&gt;"Férié"))),0.166666666666667,""))</f>
        <v/>
      </c>
      <c r="AF675" s="18"/>
      <c r="AG675" s="18"/>
    </row>
    <row r="676" customFormat="false" ht="15" hidden="false" customHeight="false" outlineLevel="0" collapsed="false">
      <c r="A676" s="6" t="str">
        <f aca="false">YEAR(Q676-WEEKDAY(Q676,2)+4)&amp;"-S"&amp;TEXT(WEEKNUM(Q676,21),"00")</f>
        <v>2026-S20</v>
      </c>
      <c r="B676" s="18" t="s">
        <v>71</v>
      </c>
      <c r="C676" s="19"/>
      <c r="D676" s="19" t="s">
        <v>74</v>
      </c>
      <c r="E676" s="19"/>
      <c r="F676" s="19" t="s">
        <v>74</v>
      </c>
      <c r="G676" s="20"/>
      <c r="H676" s="20"/>
      <c r="I676" s="8" t="str">
        <f aca="false">IF(IF(OR(C676="",D676="Congé",D676="OFF",D676="Congé spécial"),"",IF(D676&gt;F676,D676-C676,IF(C676-D676&lt;0,0,C676-D676)))&lt;0.00068287037037037,"",IF(OR(D676="Congé",D676="OFF",C676="",D676="Congé spécial"),"",IF(D676&gt;F676,D676-C676,IF(C676-D676&lt;0,0,C676-D676))))</f>
        <v/>
      </c>
      <c r="J676" s="20"/>
      <c r="K676" s="8" t="n">
        <f aca="false">IF(SUM(H676:J676)&lt;0.00068287037037037,0,SUM(H676:J676))</f>
        <v>0</v>
      </c>
      <c r="L676" s="8" t="n">
        <f aca="false">IF(OR(F676="Congé",F676="OFF",M676="Abs",F676="Congé sans solde",F676="Férié",F676="Congé spécial",D676="Congé spécial"),0,IF(F676-E676&lt;0,0,IF(F676-E676&lt;=0.00068287037037037,0,F676-E676)))</f>
        <v>0</v>
      </c>
      <c r="M676" s="6" t="n">
        <f aca="false">IF(AND(O676&lt;&gt;0,C676=""),"Abs",0)</f>
        <v>0</v>
      </c>
      <c r="N676" s="8" t="str">
        <f aca="false">IFERROR(IF(OR(D676="OFF",D676="Congé",M676="Abs",D676="Congé sans solde",D676="Férié"),"",IF(O676-K676-L676&gt;O676,O676,IF(O676-K676-L676&lt;0,"",O676-K676-L676))),"")</f>
        <v/>
      </c>
      <c r="O676" s="8" t="n">
        <f aca="false">IF(AG676="2H Pause déjeuner",IF(F676-D676-0.0833333333333333&lt;0,F676-D676-0.0833333333333333+1,F676-D676-0.0833333333333333),IF(OR(AND(F676="OFF",D676="OFF"),AND(F676="Congé",D676="Congé"),AND(F676="Congé sans solde",D676="Congé sans solde"),AND(F676="Congé spécial",D676="Congé spécial"),AND(F676="Férié",D676="Férié"),AND(F676="OFF",D676="Congé"),AND(F676="OFF",D676="Congé sans solde"),AND(F676="OFF",D676="Congé spécial"),AND(F676="OFF",D676="Férié"),AND(F676="Congé",D676="OFF"),AND(F676="Congé",D676="Congé sans solde"),AND(F676="Congé",D676="Congé spécial"),AND(F676="Congé",D676="Férié"),AND(F676="Congé sans solde",D676="OFF"),AND(F676="Congé sans solde",D676="Congé"),AND(F676="Congé sans solde",D676="Congé spécial"),AND(F676="Congé sans solde",D676="Férié"),AND(F676="Congé spécial",D676="OFF"),AND(F676="Congé spécial",D676="Congé"),AND(F676="Congé spécial",D676="Congé sans solde"),AND(F676="Congé spécial",D676="Férié"),AND(F676="Férié",D676="OFF"),AND(F676="Férié",D676="Congé"),AND(F676="Férié",D676="Congé sans solde"),AND(F676="Férié",D676="Congé spécial")),0,IF(OR(F676="OFF",F676="Congé",F676="Congé spécial",F676="Congé sans solde",D676="OFF",D676="Congé",D676="Congé spécial",D676="Congé sans solde"),0.208333333333334,IF(AND(AG676="",F676-D676&lt;0),("24:00:00"-D676)+("00:00:00"+F676)-0.0416666666666667,IF(AND(OR(AG676="Allaitement",AG676="Sans déjeuner"),F676-D676&lt;0),("24:00:00"-D676)+("00:00:00"+F676),IF(AND(AG676="",F676-D676&gt;0.166666666666667),F676-D676-0.0416666666666667,IF(AND(OR(AG676="Allaitement",AG676="Sans déjeuner"),F676-D676&gt;0.166666666666667),F676-D676,F676-D676)))))))</f>
        <v>0</v>
      </c>
      <c r="P676" s="6" t="str">
        <f aca="false">IFERROR(VLOOKUP($B676,Agents!$A:$D,2,0),"-")</f>
        <v>Accessibilité</v>
      </c>
      <c r="Q676" s="21" t="n">
        <v>46156</v>
      </c>
      <c r="R676" s="8" t="n">
        <f aca="false">IF(M676="Abs",O676,0)</f>
        <v>0</v>
      </c>
      <c r="S676" s="8" t="n">
        <f aca="false">SUM(R676,L676,I676,J676,W676,H676)</f>
        <v>0</v>
      </c>
      <c r="T676" s="6" t="str">
        <f aca="false">"Sem - "&amp;WEEKNUM(Q676,21)</f>
        <v>Sem - 20</v>
      </c>
      <c r="U676" s="6" t="str">
        <f aca="false">CHOOSE(MONTH(Q676),"Janvier","Février","Mars","Avril","Mai","Juin","Juillet","Août","Septembre","Octobre","Novembre","Décembre")</f>
        <v>Mai</v>
      </c>
      <c r="V676" s="22" t="n">
        <f aca="false">YEAR(Q676)</f>
        <v>2026</v>
      </c>
      <c r="W676" s="20"/>
      <c r="X676" s="8" t="n">
        <f aca="false">IFERROR(IF(M676="Abs",0,IF(ROUND((D676-C676+E676-F676)*1440,0)&lt;=1,0,D676-C676+E676-F676)),0)</f>
        <v>0</v>
      </c>
      <c r="Y676" s="6" t="str">
        <f aca="false">IFERROR(VLOOKUP($B676,Agents!$A:$D,3,0),"-")</f>
        <v>OUBRAHIM Mohammed</v>
      </c>
      <c r="Z676" s="6" t="str">
        <f aca="false">IFERROR(VLOOKUP($B676,Agents!$A:$D,4,0),"-")</f>
        <v>Credit Mutuel</v>
      </c>
      <c r="AA676" s="18" t="s">
        <v>102</v>
      </c>
      <c r="AB676" s="8" t="str">
        <f aca="false">IF(AND(D676="Congé",F676="Congé"),0.333333333333333,IF(OR(AND(D676="Congé",F676&lt;&gt;"Congé"),(AND(F676="Congé",D676&lt;&gt;"Congé"))),0.166666666666667,""))</f>
        <v/>
      </c>
      <c r="AC676" s="8" t="str">
        <f aca="false">IF(AND(D676="Congé sans solde",F676="Congé sans solde"),0.333333333333333,IF(OR(AND(D676="Congé sans solde",F676&lt;&gt;"Congé sans solde"),(AND(F676="Congé sans solde",D676&lt;&gt;"Congé sans solde"))),0.166666666666667,""))</f>
        <v/>
      </c>
      <c r="AD676" s="8" t="str">
        <f aca="false">IF(AND(D676="Congé spécial",F676="Congé spécial"),0.333333333333333,IF(OR(AND(D676="Congé spécial",F676&lt;&gt;"Congé spécial"),AND(F676="Congé spécial",D676&lt;&gt;"Congé spécial")),0.166666666666667,""))</f>
        <v/>
      </c>
      <c r="AE676" s="8" t="str">
        <f aca="false">IF(AND(D676="Férié",F676="Férié"),0.333333333333333,IF(OR(AND(D676="Férié",F676&lt;&gt;"Férié"),(AND(F676="Férié",D676&lt;&gt;"Férié"))),0.166666666666667,""))</f>
        <v/>
      </c>
      <c r="AF676" s="18"/>
      <c r="AG676" s="18"/>
    </row>
    <row r="677" customFormat="false" ht="15" hidden="false" customHeight="false" outlineLevel="0" collapsed="false">
      <c r="A677" s="6" t="str">
        <f aca="false">YEAR(Q677-WEEKDAY(Q677,2)+4)&amp;"-S"&amp;TEXT(WEEKNUM(Q677,21),"00")</f>
        <v>2026-S20</v>
      </c>
      <c r="B677" s="18" t="s">
        <v>72</v>
      </c>
      <c r="C677" s="19"/>
      <c r="D677" s="19" t="s">
        <v>74</v>
      </c>
      <c r="E677" s="19"/>
      <c r="F677" s="19" t="s">
        <v>74</v>
      </c>
      <c r="G677" s="20"/>
      <c r="H677" s="20"/>
      <c r="I677" s="8" t="str">
        <f aca="false">IF(IF(OR(C677="",D677="Congé",D677="OFF",D677="Congé spécial"),"",IF(D677&gt;F677,D677-C677,IF(C677-D677&lt;0,0,C677-D677)))&lt;0.00068287037037037,"",IF(OR(D677="Congé",D677="OFF",C677="",D677="Congé spécial"),"",IF(D677&gt;F677,D677-C677,IF(C677-D677&lt;0,0,C677-D677))))</f>
        <v/>
      </c>
      <c r="J677" s="20"/>
      <c r="K677" s="8" t="n">
        <f aca="false">IF(SUM(H677:J677)&lt;0.00068287037037037,0,SUM(H677:J677))</f>
        <v>0</v>
      </c>
      <c r="L677" s="8" t="n">
        <f aca="false">IF(OR(F677="Congé",F677="OFF",M677="Abs",F677="Congé sans solde",F677="Férié",F677="Congé spécial",D677="Congé spécial"),0,IF(F677-E677&lt;0,0,IF(F677-E677&lt;=0.00068287037037037,0,F677-E677)))</f>
        <v>0</v>
      </c>
      <c r="M677" s="6" t="n">
        <f aca="false">IF(AND(O677&lt;&gt;0,C677=""),"Abs",0)</f>
        <v>0</v>
      </c>
      <c r="N677" s="8" t="str">
        <f aca="false">IFERROR(IF(OR(D677="OFF",D677="Congé",M677="Abs",D677="Congé sans solde",D677="Férié"),"",IF(O677-K677-L677&gt;O677,O677,IF(O677-K677-L677&lt;0,"",O677-K677-L677))),"")</f>
        <v/>
      </c>
      <c r="O677" s="8" t="n">
        <f aca="false">IF(AG677="2H Pause déjeuner",IF(F677-D677-0.0833333333333333&lt;0,F677-D677-0.0833333333333333+1,F677-D677-0.0833333333333333),IF(OR(AND(F677="OFF",D677="OFF"),AND(F677="Congé",D677="Congé"),AND(F677="Congé sans solde",D677="Congé sans solde"),AND(F677="Congé spécial",D677="Congé spécial"),AND(F677="Férié",D677="Férié"),AND(F677="OFF",D677="Congé"),AND(F677="OFF",D677="Congé sans solde"),AND(F677="OFF",D677="Congé spécial"),AND(F677="OFF",D677="Férié"),AND(F677="Congé",D677="OFF"),AND(F677="Congé",D677="Congé sans solde"),AND(F677="Congé",D677="Congé spécial"),AND(F677="Congé",D677="Férié"),AND(F677="Congé sans solde",D677="OFF"),AND(F677="Congé sans solde",D677="Congé"),AND(F677="Congé sans solde",D677="Congé spécial"),AND(F677="Congé sans solde",D677="Férié"),AND(F677="Congé spécial",D677="OFF"),AND(F677="Congé spécial",D677="Congé"),AND(F677="Congé spécial",D677="Congé sans solde"),AND(F677="Congé spécial",D677="Férié"),AND(F677="Férié",D677="OFF"),AND(F677="Férié",D677="Congé"),AND(F677="Férié",D677="Congé sans solde"),AND(F677="Férié",D677="Congé spécial")),0,IF(OR(F677="OFF",F677="Congé",F677="Congé spécial",F677="Congé sans solde",D677="OFF",D677="Congé",D677="Congé spécial",D677="Congé sans solde"),0.208333333333334,IF(AND(AG677="",F677-D677&lt;0),("24:00:00"-D677)+("00:00:00"+F677)-0.0416666666666667,IF(AND(OR(AG677="Allaitement",AG677="Sans déjeuner"),F677-D677&lt;0),("24:00:00"-D677)+("00:00:00"+F677),IF(AND(AG677="",F677-D677&gt;0.166666666666667),F677-D677-0.0416666666666667,IF(AND(OR(AG677="Allaitement",AG677="Sans déjeuner"),F677-D677&gt;0.166666666666667),F677-D677,F677-D677)))))))</f>
        <v>0</v>
      </c>
      <c r="P677" s="6" t="str">
        <f aca="false">IFERROR(VLOOKUP($B677,Agents!$A:$D,2,0),"-")</f>
        <v>Accessibilité</v>
      </c>
      <c r="Q677" s="21" t="n">
        <v>46156</v>
      </c>
      <c r="R677" s="8" t="n">
        <f aca="false">IF(M677="Abs",O677,0)</f>
        <v>0</v>
      </c>
      <c r="S677" s="8" t="n">
        <f aca="false">SUM(R677,L677,I677,J677,W677,H677)</f>
        <v>0</v>
      </c>
      <c r="T677" s="6" t="str">
        <f aca="false">"Sem - "&amp;WEEKNUM(Q677,21)</f>
        <v>Sem - 20</v>
      </c>
      <c r="U677" s="6" t="str">
        <f aca="false">CHOOSE(MONTH(Q677),"Janvier","Février","Mars","Avril","Mai","Juin","Juillet","Août","Septembre","Octobre","Novembre","Décembre")</f>
        <v>Mai</v>
      </c>
      <c r="V677" s="22" t="n">
        <f aca="false">YEAR(Q677)</f>
        <v>2026</v>
      </c>
      <c r="W677" s="20"/>
      <c r="X677" s="8" t="n">
        <f aca="false">IFERROR(IF(M677="Abs",0,IF(ROUND((D677-C677+E677-F677)*1440,0)&lt;=1,0,D677-C677+E677-F677)),0)</f>
        <v>0</v>
      </c>
      <c r="Y677" s="6" t="str">
        <f aca="false">IFERROR(VLOOKUP($B677,Agents!$A:$D,3,0),"-")</f>
        <v>OUBRAHIM Mohammed</v>
      </c>
      <c r="Z677" s="6" t="str">
        <f aca="false">IFERROR(VLOOKUP($B677,Agents!$A:$D,4,0),"-")</f>
        <v>Credit Mutuel</v>
      </c>
      <c r="AA677" s="18" t="s">
        <v>102</v>
      </c>
      <c r="AB677" s="8" t="str">
        <f aca="false">IF(AND(D677="Congé",F677="Congé"),0.333333333333333,IF(OR(AND(D677="Congé",F677&lt;&gt;"Congé"),(AND(F677="Congé",D677&lt;&gt;"Congé"))),0.166666666666667,""))</f>
        <v/>
      </c>
      <c r="AC677" s="8" t="str">
        <f aca="false">IF(AND(D677="Congé sans solde",F677="Congé sans solde"),0.333333333333333,IF(OR(AND(D677="Congé sans solde",F677&lt;&gt;"Congé sans solde"),(AND(F677="Congé sans solde",D677&lt;&gt;"Congé sans solde"))),0.166666666666667,""))</f>
        <v/>
      </c>
      <c r="AD677" s="8" t="str">
        <f aca="false">IF(AND(D677="Congé spécial",F677="Congé spécial"),0.333333333333333,IF(OR(AND(D677="Congé spécial",F677&lt;&gt;"Congé spécial"),AND(F677="Congé spécial",D677&lt;&gt;"Congé spécial")),0.166666666666667,""))</f>
        <v/>
      </c>
      <c r="AE677" s="8" t="str">
        <f aca="false">IF(AND(D677="Férié",F677="Férié"),0.333333333333333,IF(OR(AND(D677="Férié",F677&lt;&gt;"Férié"),(AND(F677="Férié",D677&lt;&gt;"Férié"))),0.166666666666667,""))</f>
        <v/>
      </c>
      <c r="AF677" s="18"/>
      <c r="AG677" s="18"/>
    </row>
    <row r="678" customFormat="false" ht="15" hidden="false" customHeight="false" outlineLevel="0" collapsed="false">
      <c r="A678" s="6" t="str">
        <f aca="false">YEAR(Q678-WEEKDAY(Q678,2)+4)&amp;"-S"&amp;TEXT(WEEKNUM(Q678,21),"00")</f>
        <v>2026-S20</v>
      </c>
      <c r="B678" s="18" t="s">
        <v>73</v>
      </c>
      <c r="C678" s="19"/>
      <c r="D678" s="19" t="s">
        <v>74</v>
      </c>
      <c r="E678" s="19"/>
      <c r="F678" s="19" t="s">
        <v>74</v>
      </c>
      <c r="G678" s="20"/>
      <c r="H678" s="20"/>
      <c r="I678" s="8" t="str">
        <f aca="false">IF(IF(OR(C678="",D678="Congé",D678="OFF",D678="Congé spécial"),"",IF(D678&gt;F678,D678-C678,IF(C678-D678&lt;0,0,C678-D678)))&lt;0.00068287037037037,"",IF(OR(D678="Congé",D678="OFF",C678="",D678="Congé spécial"),"",IF(D678&gt;F678,D678-C678,IF(C678-D678&lt;0,0,C678-D678))))</f>
        <v/>
      </c>
      <c r="J678" s="20"/>
      <c r="K678" s="8" t="n">
        <f aca="false">IF(SUM(H678:J678)&lt;0.00068287037037037,0,SUM(H678:J678))</f>
        <v>0</v>
      </c>
      <c r="L678" s="8" t="n">
        <f aca="false">IF(OR(F678="Congé",F678="OFF",M678="Abs",F678="Congé sans solde",F678="Férié",F678="Congé spécial",D678="Congé spécial"),0,IF(F678-E678&lt;0,0,IF(F678-E678&lt;=0.00068287037037037,0,F678-E678)))</f>
        <v>0</v>
      </c>
      <c r="M678" s="6" t="n">
        <f aca="false">IF(AND(O678&lt;&gt;0,C678=""),"Abs",0)</f>
        <v>0</v>
      </c>
      <c r="N678" s="8" t="str">
        <f aca="false">IFERROR(IF(OR(D678="OFF",D678="Congé",M678="Abs",D678="Congé sans solde",D678="Férié"),"",IF(O678-K678-L678&gt;O678,O678,IF(O678-K678-L678&lt;0,"",O678-K678-L678))),"")</f>
        <v/>
      </c>
      <c r="O678" s="8" t="n">
        <f aca="false">IF(AG678="2H Pause déjeuner",IF(F678-D678-0.0833333333333333&lt;0,F678-D678-0.0833333333333333+1,F678-D678-0.0833333333333333),IF(OR(AND(F678="OFF",D678="OFF"),AND(F678="Congé",D678="Congé"),AND(F678="Congé sans solde",D678="Congé sans solde"),AND(F678="Congé spécial",D678="Congé spécial"),AND(F678="Férié",D678="Férié"),AND(F678="OFF",D678="Congé"),AND(F678="OFF",D678="Congé sans solde"),AND(F678="OFF",D678="Congé spécial"),AND(F678="OFF",D678="Férié"),AND(F678="Congé",D678="OFF"),AND(F678="Congé",D678="Congé sans solde"),AND(F678="Congé",D678="Congé spécial"),AND(F678="Congé",D678="Férié"),AND(F678="Congé sans solde",D678="OFF"),AND(F678="Congé sans solde",D678="Congé"),AND(F678="Congé sans solde",D678="Congé spécial"),AND(F678="Congé sans solde",D678="Férié"),AND(F678="Congé spécial",D678="OFF"),AND(F678="Congé spécial",D678="Congé"),AND(F678="Congé spécial",D678="Congé sans solde"),AND(F678="Congé spécial",D678="Férié"),AND(F678="Férié",D678="OFF"),AND(F678="Férié",D678="Congé"),AND(F678="Férié",D678="Congé sans solde"),AND(F678="Férié",D678="Congé spécial")),0,IF(OR(F678="OFF",F678="Congé",F678="Congé spécial",F678="Congé sans solde",D678="OFF",D678="Congé",D678="Congé spécial",D678="Congé sans solde"),0.208333333333334,IF(AND(AG678="",F678-D678&lt;0),("24:00:00"-D678)+("00:00:00"+F678)-0.0416666666666667,IF(AND(OR(AG678="Allaitement",AG678="Sans déjeuner"),F678-D678&lt;0),("24:00:00"-D678)+("00:00:00"+F678),IF(AND(AG678="",F678-D678&gt;0.166666666666667),F678-D678-0.0416666666666667,IF(AND(OR(AG678="Allaitement",AG678="Sans déjeuner"),F678-D678&gt;0.166666666666667),F678-D678,F678-D678)))))))</f>
        <v>0</v>
      </c>
      <c r="P678" s="6" t="str">
        <f aca="false">IFERROR(VLOOKUP($B678,Agents!$A:$D,2,0),"-")</f>
        <v>Accessibilité</v>
      </c>
      <c r="Q678" s="21" t="n">
        <v>46156</v>
      </c>
      <c r="R678" s="8" t="n">
        <f aca="false">IF(M678="Abs",O678,0)</f>
        <v>0</v>
      </c>
      <c r="S678" s="8" t="n">
        <f aca="false">SUM(R678,L678,I678,J678,W678,H678)</f>
        <v>0</v>
      </c>
      <c r="T678" s="6" t="str">
        <f aca="false">"Sem - "&amp;WEEKNUM(Q678,21)</f>
        <v>Sem - 20</v>
      </c>
      <c r="U678" s="6" t="str">
        <f aca="false">CHOOSE(MONTH(Q678),"Janvier","Février","Mars","Avril","Mai","Juin","Juillet","Août","Septembre","Octobre","Novembre","Décembre")</f>
        <v>Mai</v>
      </c>
      <c r="V678" s="22" t="n">
        <f aca="false">YEAR(Q678)</f>
        <v>2026</v>
      </c>
      <c r="W678" s="20"/>
      <c r="X678" s="8" t="n">
        <f aca="false">IFERROR(IF(M678="Abs",0,IF(ROUND((D678-C678+E678-F678)*1440,0)&lt;=1,0,D678-C678+E678-F678)),0)</f>
        <v>0</v>
      </c>
      <c r="Y678" s="6" t="str">
        <f aca="false">IFERROR(VLOOKUP($B678,Agents!$A:$D,3,0),"-")</f>
        <v>OUBRAHIM Mohammed</v>
      </c>
      <c r="Z678" s="6" t="str">
        <f aca="false">IFERROR(VLOOKUP($B678,Agents!$A:$D,4,0),"-")</f>
        <v>Credit Mutuel</v>
      </c>
      <c r="AA678" s="18" t="s">
        <v>102</v>
      </c>
      <c r="AB678" s="8" t="str">
        <f aca="false">IF(AND(D678="Congé",F678="Congé"),0.333333333333333,IF(OR(AND(D678="Congé",F678&lt;&gt;"Congé"),(AND(F678="Congé",D678&lt;&gt;"Congé"))),0.166666666666667,""))</f>
        <v/>
      </c>
      <c r="AC678" s="8" t="str">
        <f aca="false">IF(AND(D678="Congé sans solde",F678="Congé sans solde"),0.333333333333333,IF(OR(AND(D678="Congé sans solde",F678&lt;&gt;"Congé sans solde"),(AND(F678="Congé sans solde",D678&lt;&gt;"Congé sans solde"))),0.166666666666667,""))</f>
        <v/>
      </c>
      <c r="AD678" s="8" t="str">
        <f aca="false">IF(AND(D678="Congé spécial",F678="Congé spécial"),0.333333333333333,IF(OR(AND(D678="Congé spécial",F678&lt;&gt;"Congé spécial"),AND(F678="Congé spécial",D678&lt;&gt;"Congé spécial")),0.166666666666667,""))</f>
        <v/>
      </c>
      <c r="AE678" s="8" t="str">
        <f aca="false">IF(AND(D678="Férié",F678="Férié"),0.333333333333333,IF(OR(AND(D678="Férié",F678&lt;&gt;"Férié"),(AND(F678="Férié",D678&lt;&gt;"Férié"))),0.166666666666667,""))</f>
        <v/>
      </c>
      <c r="AF678" s="18"/>
      <c r="AG678" s="18"/>
    </row>
    <row r="679" customFormat="false" ht="15" hidden="false" customHeight="false" outlineLevel="0" collapsed="false">
      <c r="A679" s="6" t="str">
        <f aca="false">YEAR(Q679-WEEKDAY(Q679,2)+4)&amp;"-S"&amp;TEXT(WEEKNUM(Q679,21),"00")</f>
        <v>2026-S20</v>
      </c>
      <c r="B679" s="18" t="s">
        <v>71</v>
      </c>
      <c r="C679" s="19"/>
      <c r="D679" s="19" t="s">
        <v>83</v>
      </c>
      <c r="E679" s="19"/>
      <c r="F679" s="19" t="s">
        <v>83</v>
      </c>
      <c r="G679" s="20"/>
      <c r="H679" s="20"/>
      <c r="I679" s="8" t="str">
        <f aca="false">IF(IF(OR(C679="",D679="Congé",D679="OFF",D679="Congé spécial"),"",IF(D679&gt;F679,D679-C679,IF(C679-D679&lt;0,0,C679-D679)))&lt;0.00068287037037037,"",IF(OR(D679="Congé",D679="OFF",C679="",D679="Congé spécial"),"",IF(D679&gt;F679,D679-C679,IF(C679-D679&lt;0,0,C679-D679))))</f>
        <v/>
      </c>
      <c r="J679" s="20"/>
      <c r="K679" s="8" t="n">
        <f aca="false">IF(SUM(H679:J679)&lt;0.00068287037037037,0,SUM(H679:J679))</f>
        <v>0</v>
      </c>
      <c r="L679" s="8" t="n">
        <f aca="false">IF(OR(F679="Congé",F679="OFF",M679="Abs",F679="Congé sans solde",F679="Férié",F679="Congé spécial",D679="Congé spécial"),0,IF(F679-E679&lt;0,0,IF(F679-E679&lt;=0.00068287037037037,0,F679-E679)))</f>
        <v>0</v>
      </c>
      <c r="M679" s="6" t="n">
        <f aca="false">IF(AND(O679&lt;&gt;0,C679=""),"Abs",0)</f>
        <v>0</v>
      </c>
      <c r="N679" s="8" t="str">
        <f aca="false">IFERROR(IF(OR(D679="OFF",D679="Congé",M679="Abs",D679="Congé sans solde",D679="Férié"),"",IF(O679-K679-L679&gt;O679,O679,IF(O679-K679-L679&lt;0,"",O679-K679-L679))),"")</f>
        <v/>
      </c>
      <c r="O679" s="8" t="n">
        <f aca="false">IF(AG679="2H Pause déjeuner",IF(F679-D679-0.0833333333333333&lt;0,F679-D679-0.0833333333333333+1,F679-D679-0.0833333333333333),IF(OR(AND(F679="OFF",D679="OFF"),AND(F679="Congé",D679="Congé"),AND(F679="Congé sans solde",D679="Congé sans solde"),AND(F679="Congé spécial",D679="Congé spécial"),AND(F679="Férié",D679="Férié"),AND(F679="OFF",D679="Congé"),AND(F679="OFF",D679="Congé sans solde"),AND(F679="OFF",D679="Congé spécial"),AND(F679="OFF",D679="Férié"),AND(F679="Congé",D679="OFF"),AND(F679="Congé",D679="Congé sans solde"),AND(F679="Congé",D679="Congé spécial"),AND(F679="Congé",D679="Férié"),AND(F679="Congé sans solde",D679="OFF"),AND(F679="Congé sans solde",D679="Congé"),AND(F679="Congé sans solde",D679="Congé spécial"),AND(F679="Congé sans solde",D679="Férié"),AND(F679="Congé spécial",D679="OFF"),AND(F679="Congé spécial",D679="Congé"),AND(F679="Congé spécial",D679="Congé sans solde"),AND(F679="Congé spécial",D679="Férié"),AND(F679="Férié",D679="OFF"),AND(F679="Férié",D679="Congé"),AND(F679="Férié",D679="Congé sans solde"),AND(F679="Férié",D679="Congé spécial")),0,IF(OR(F679="OFF",F679="Congé",F679="Congé spécial",F679="Congé sans solde",D679="OFF",D679="Congé",D679="Congé spécial",D679="Congé sans solde"),0.208333333333334,IF(AND(AG679="",F679-D679&lt;0),("24:00:00"-D679)+("00:00:00"+F679)-0.0416666666666667,IF(AND(OR(AG679="Allaitement",AG679="Sans déjeuner"),F679-D679&lt;0),("24:00:00"-D679)+("00:00:00"+F679),IF(AND(AG679="",F679-D679&gt;0.166666666666667),F679-D679-0.0416666666666667,IF(AND(OR(AG679="Allaitement",AG679="Sans déjeuner"),F679-D679&gt;0.166666666666667),F679-D679,F679-D679)))))))</f>
        <v>0</v>
      </c>
      <c r="P679" s="6" t="str">
        <f aca="false">IFERROR(VLOOKUP($B679,Agents!$A:$D,2,0),"-")</f>
        <v>Accessibilité</v>
      </c>
      <c r="Q679" s="21" t="n">
        <v>46157</v>
      </c>
      <c r="R679" s="8" t="n">
        <f aca="false">IF(M679="Abs",O679,0)</f>
        <v>0</v>
      </c>
      <c r="S679" s="8" t="n">
        <f aca="false">SUM(R679,L679,I679,J679,W679,H679)</f>
        <v>0</v>
      </c>
      <c r="T679" s="6" t="str">
        <f aca="false">"Sem - "&amp;WEEKNUM(Q679,21)</f>
        <v>Sem - 20</v>
      </c>
      <c r="U679" s="6" t="str">
        <f aca="false">CHOOSE(MONTH(Q679),"Janvier","Février","Mars","Avril","Mai","Juin","Juillet","Août","Septembre","Octobre","Novembre","Décembre")</f>
        <v>Mai</v>
      </c>
      <c r="V679" s="22" t="n">
        <f aca="false">YEAR(Q679)</f>
        <v>2026</v>
      </c>
      <c r="W679" s="20"/>
      <c r="X679" s="8" t="n">
        <f aca="false">IFERROR(IF(M679="Abs",0,IF(ROUND((D679-C679+E679-F679)*1440,0)&lt;=1,0,D679-C679+E679-F679)),0)</f>
        <v>0</v>
      </c>
      <c r="Y679" s="6" t="str">
        <f aca="false">IFERROR(VLOOKUP($B679,Agents!$A:$D,3,0),"-")</f>
        <v>OUBRAHIM Mohammed</v>
      </c>
      <c r="Z679" s="6" t="str">
        <f aca="false">IFERROR(VLOOKUP($B679,Agents!$A:$D,4,0),"-")</f>
        <v>Credit Mutuel</v>
      </c>
      <c r="AA679" s="18" t="s">
        <v>102</v>
      </c>
      <c r="AB679" s="8" t="n">
        <f aca="false">IF(AND(D679="Congé",F679="Congé"),0.333333333333333,IF(OR(AND(D679="Congé",F679&lt;&gt;"Congé"),(AND(F679="Congé",D679&lt;&gt;"Congé"))),0.166666666666667,""))</f>
        <v>0.333333333333333</v>
      </c>
      <c r="AC679" s="8" t="str">
        <f aca="false">IF(AND(D679="Congé sans solde",F679="Congé sans solde"),0.333333333333333,IF(OR(AND(D679="Congé sans solde",F679&lt;&gt;"Congé sans solde"),(AND(F679="Congé sans solde",D679&lt;&gt;"Congé sans solde"))),0.166666666666667,""))</f>
        <v/>
      </c>
      <c r="AD679" s="8" t="str">
        <f aca="false">IF(AND(D679="Congé spécial",F679="Congé spécial"),0.333333333333333,IF(OR(AND(D679="Congé spécial",F679&lt;&gt;"Congé spécial"),AND(F679="Congé spécial",D679&lt;&gt;"Congé spécial")),0.166666666666667,""))</f>
        <v/>
      </c>
      <c r="AE679" s="8" t="str">
        <f aca="false">IF(AND(D679="Férié",F679="Férié"),0.333333333333333,IF(OR(AND(D679="Férié",F679&lt;&gt;"Férié"),(AND(F679="Férié",D679&lt;&gt;"Férié"))),0.166666666666667,""))</f>
        <v/>
      </c>
      <c r="AF679" s="18"/>
      <c r="AG679" s="18"/>
    </row>
    <row r="680" customFormat="false" ht="15" hidden="false" customHeight="false" outlineLevel="0" collapsed="false">
      <c r="A680" s="6" t="str">
        <f aca="false">YEAR(Q680-WEEKDAY(Q680,2)+4)&amp;"-S"&amp;TEXT(WEEKNUM(Q680,21),"00")</f>
        <v>2026-S20</v>
      </c>
      <c r="B680" s="18" t="s">
        <v>72</v>
      </c>
      <c r="C680" s="19"/>
      <c r="D680" s="19" t="s">
        <v>83</v>
      </c>
      <c r="E680" s="19"/>
      <c r="F680" s="19" t="s">
        <v>83</v>
      </c>
      <c r="G680" s="20"/>
      <c r="H680" s="20"/>
      <c r="I680" s="8" t="str">
        <f aca="false">IF(IF(OR(C680="",D680="Congé",D680="OFF",D680="Congé spécial"),"",IF(D680&gt;F680,D680-C680,IF(C680-D680&lt;0,0,C680-D680)))&lt;0.00068287037037037,"",IF(OR(D680="Congé",D680="OFF",C680="",D680="Congé spécial"),"",IF(D680&gt;F680,D680-C680,IF(C680-D680&lt;0,0,C680-D680))))</f>
        <v/>
      </c>
      <c r="J680" s="20"/>
      <c r="K680" s="8" t="n">
        <f aca="false">IF(SUM(H680:J680)&lt;0.00068287037037037,0,SUM(H680:J680))</f>
        <v>0</v>
      </c>
      <c r="L680" s="8" t="n">
        <f aca="false">IF(OR(F680="Congé",F680="OFF",M680="Abs",F680="Congé sans solde",F680="Férié",F680="Congé spécial",D680="Congé spécial"),0,IF(F680-E680&lt;0,0,IF(F680-E680&lt;=0.00068287037037037,0,F680-E680)))</f>
        <v>0</v>
      </c>
      <c r="M680" s="6" t="n">
        <f aca="false">IF(AND(O680&lt;&gt;0,C680=""),"Abs",0)</f>
        <v>0</v>
      </c>
      <c r="N680" s="8" t="str">
        <f aca="false">IFERROR(IF(OR(D680="OFF",D680="Congé",M680="Abs",D680="Congé sans solde",D680="Férié"),"",IF(O680-K680-L680&gt;O680,O680,IF(O680-K680-L680&lt;0,"",O680-K680-L680))),"")</f>
        <v/>
      </c>
      <c r="O680" s="8" t="n">
        <f aca="false">IF(AG680="2H Pause déjeuner",IF(F680-D680-0.0833333333333333&lt;0,F680-D680-0.0833333333333333+1,F680-D680-0.0833333333333333),IF(OR(AND(F680="OFF",D680="OFF"),AND(F680="Congé",D680="Congé"),AND(F680="Congé sans solde",D680="Congé sans solde"),AND(F680="Congé spécial",D680="Congé spécial"),AND(F680="Férié",D680="Férié"),AND(F680="OFF",D680="Congé"),AND(F680="OFF",D680="Congé sans solde"),AND(F680="OFF",D680="Congé spécial"),AND(F680="OFF",D680="Férié"),AND(F680="Congé",D680="OFF"),AND(F680="Congé",D680="Congé sans solde"),AND(F680="Congé",D680="Congé spécial"),AND(F680="Congé",D680="Férié"),AND(F680="Congé sans solde",D680="OFF"),AND(F680="Congé sans solde",D680="Congé"),AND(F680="Congé sans solde",D680="Congé spécial"),AND(F680="Congé sans solde",D680="Férié"),AND(F680="Congé spécial",D680="OFF"),AND(F680="Congé spécial",D680="Congé"),AND(F680="Congé spécial",D680="Congé sans solde"),AND(F680="Congé spécial",D680="Férié"),AND(F680="Férié",D680="OFF"),AND(F680="Férié",D680="Congé"),AND(F680="Férié",D680="Congé sans solde"),AND(F680="Férié",D680="Congé spécial")),0,IF(OR(F680="OFF",F680="Congé",F680="Congé spécial",F680="Congé sans solde",D680="OFF",D680="Congé",D680="Congé spécial",D680="Congé sans solde"),0.208333333333334,IF(AND(AG680="",F680-D680&lt;0),("24:00:00"-D680)+("00:00:00"+F680)-0.0416666666666667,IF(AND(OR(AG680="Allaitement",AG680="Sans déjeuner"),F680-D680&lt;0),("24:00:00"-D680)+("00:00:00"+F680),IF(AND(AG680="",F680-D680&gt;0.166666666666667),F680-D680-0.0416666666666667,IF(AND(OR(AG680="Allaitement",AG680="Sans déjeuner"),F680-D680&gt;0.166666666666667),F680-D680,F680-D680)))))))</f>
        <v>0</v>
      </c>
      <c r="P680" s="6" t="str">
        <f aca="false">IFERROR(VLOOKUP($B680,Agents!$A:$D,2,0),"-")</f>
        <v>Accessibilité</v>
      </c>
      <c r="Q680" s="21" t="n">
        <v>46157</v>
      </c>
      <c r="R680" s="8" t="n">
        <f aca="false">IF(M680="Abs",O680,0)</f>
        <v>0</v>
      </c>
      <c r="S680" s="8" t="n">
        <f aca="false">SUM(R680,L680,I680,J680,W680,H680)</f>
        <v>0</v>
      </c>
      <c r="T680" s="6" t="str">
        <f aca="false">"Sem - "&amp;WEEKNUM(Q680,21)</f>
        <v>Sem - 20</v>
      </c>
      <c r="U680" s="6" t="str">
        <f aca="false">CHOOSE(MONTH(Q680),"Janvier","Février","Mars","Avril","Mai","Juin","Juillet","Août","Septembre","Octobre","Novembre","Décembre")</f>
        <v>Mai</v>
      </c>
      <c r="V680" s="22" t="n">
        <f aca="false">YEAR(Q680)</f>
        <v>2026</v>
      </c>
      <c r="W680" s="20"/>
      <c r="X680" s="8" t="n">
        <f aca="false">IFERROR(IF(M680="Abs",0,IF(ROUND((D680-C680+E680-F680)*1440,0)&lt;=1,0,D680-C680+E680-F680)),0)</f>
        <v>0</v>
      </c>
      <c r="Y680" s="6" t="str">
        <f aca="false">IFERROR(VLOOKUP($B680,Agents!$A:$D,3,0),"-")</f>
        <v>OUBRAHIM Mohammed</v>
      </c>
      <c r="Z680" s="6" t="str">
        <f aca="false">IFERROR(VLOOKUP($B680,Agents!$A:$D,4,0),"-")</f>
        <v>Credit Mutuel</v>
      </c>
      <c r="AA680" s="18" t="s">
        <v>102</v>
      </c>
      <c r="AB680" s="8" t="n">
        <f aca="false">IF(AND(D680="Congé",F680="Congé"),0.333333333333333,IF(OR(AND(D680="Congé",F680&lt;&gt;"Congé"),(AND(F680="Congé",D680&lt;&gt;"Congé"))),0.166666666666667,""))</f>
        <v>0.333333333333333</v>
      </c>
      <c r="AC680" s="8" t="str">
        <f aca="false">IF(AND(D680="Congé sans solde",F680="Congé sans solde"),0.333333333333333,IF(OR(AND(D680="Congé sans solde",F680&lt;&gt;"Congé sans solde"),(AND(F680="Congé sans solde",D680&lt;&gt;"Congé sans solde"))),0.166666666666667,""))</f>
        <v/>
      </c>
      <c r="AD680" s="8" t="str">
        <f aca="false">IF(AND(D680="Congé spécial",F680="Congé spécial"),0.333333333333333,IF(OR(AND(D680="Congé spécial",F680&lt;&gt;"Congé spécial"),AND(F680="Congé spécial",D680&lt;&gt;"Congé spécial")),0.166666666666667,""))</f>
        <v/>
      </c>
      <c r="AE680" s="8" t="str">
        <f aca="false">IF(AND(D680="Férié",F680="Férié"),0.333333333333333,IF(OR(AND(D680="Férié",F680&lt;&gt;"Férié"),(AND(F680="Férié",D680&lt;&gt;"Férié"))),0.166666666666667,""))</f>
        <v/>
      </c>
      <c r="AF680" s="18"/>
      <c r="AG680" s="18"/>
    </row>
    <row r="681" customFormat="false" ht="15" hidden="false" customHeight="false" outlineLevel="0" collapsed="false">
      <c r="A681" s="6" t="str">
        <f aca="false">YEAR(Q681-WEEKDAY(Q681,2)+4)&amp;"-S"&amp;TEXT(WEEKNUM(Q681,21),"00")</f>
        <v>2026-S20</v>
      </c>
      <c r="B681" s="18" t="s">
        <v>73</v>
      </c>
      <c r="C681" s="19"/>
      <c r="D681" s="19" t="s">
        <v>83</v>
      </c>
      <c r="E681" s="19"/>
      <c r="F681" s="19" t="s">
        <v>83</v>
      </c>
      <c r="G681" s="20"/>
      <c r="H681" s="20"/>
      <c r="I681" s="8" t="str">
        <f aca="false">IF(IF(OR(C681="",D681="Congé",D681="OFF",D681="Congé spécial"),"",IF(D681&gt;F681,D681-C681,IF(C681-D681&lt;0,0,C681-D681)))&lt;0.00068287037037037,"",IF(OR(D681="Congé",D681="OFF",C681="",D681="Congé spécial"),"",IF(D681&gt;F681,D681-C681,IF(C681-D681&lt;0,0,C681-D681))))</f>
        <v/>
      </c>
      <c r="J681" s="20"/>
      <c r="K681" s="8" t="n">
        <f aca="false">IF(SUM(H681:J681)&lt;0.00068287037037037,0,SUM(H681:J681))</f>
        <v>0</v>
      </c>
      <c r="L681" s="8" t="n">
        <f aca="false">IF(OR(F681="Congé",F681="OFF",M681="Abs",F681="Congé sans solde",F681="Férié",F681="Congé spécial",D681="Congé spécial"),0,IF(F681-E681&lt;0,0,IF(F681-E681&lt;=0.00068287037037037,0,F681-E681)))</f>
        <v>0</v>
      </c>
      <c r="M681" s="6" t="n">
        <f aca="false">IF(AND(O681&lt;&gt;0,C681=""),"Abs",0)</f>
        <v>0</v>
      </c>
      <c r="N681" s="8" t="str">
        <f aca="false">IFERROR(IF(OR(D681="OFF",D681="Congé",M681="Abs",D681="Congé sans solde",D681="Férié"),"",IF(O681-K681-L681&gt;O681,O681,IF(O681-K681-L681&lt;0,"",O681-K681-L681))),"")</f>
        <v/>
      </c>
      <c r="O681" s="8" t="n">
        <f aca="false">IF(AG681="2H Pause déjeuner",IF(F681-D681-0.0833333333333333&lt;0,F681-D681-0.0833333333333333+1,F681-D681-0.0833333333333333),IF(OR(AND(F681="OFF",D681="OFF"),AND(F681="Congé",D681="Congé"),AND(F681="Congé sans solde",D681="Congé sans solde"),AND(F681="Congé spécial",D681="Congé spécial"),AND(F681="Férié",D681="Férié"),AND(F681="OFF",D681="Congé"),AND(F681="OFF",D681="Congé sans solde"),AND(F681="OFF",D681="Congé spécial"),AND(F681="OFF",D681="Férié"),AND(F681="Congé",D681="OFF"),AND(F681="Congé",D681="Congé sans solde"),AND(F681="Congé",D681="Congé spécial"),AND(F681="Congé",D681="Férié"),AND(F681="Congé sans solde",D681="OFF"),AND(F681="Congé sans solde",D681="Congé"),AND(F681="Congé sans solde",D681="Congé spécial"),AND(F681="Congé sans solde",D681="Férié"),AND(F681="Congé spécial",D681="OFF"),AND(F681="Congé spécial",D681="Congé"),AND(F681="Congé spécial",D681="Congé sans solde"),AND(F681="Congé spécial",D681="Férié"),AND(F681="Férié",D681="OFF"),AND(F681="Férié",D681="Congé"),AND(F681="Férié",D681="Congé sans solde"),AND(F681="Férié",D681="Congé spécial")),0,IF(OR(F681="OFF",F681="Congé",F681="Congé spécial",F681="Congé sans solde",D681="OFF",D681="Congé",D681="Congé spécial",D681="Congé sans solde"),0.208333333333334,IF(AND(AG681="",F681-D681&lt;0),("24:00:00"-D681)+("00:00:00"+F681)-0.0416666666666667,IF(AND(OR(AG681="Allaitement",AG681="Sans déjeuner"),F681-D681&lt;0),("24:00:00"-D681)+("00:00:00"+F681),IF(AND(AG681="",F681-D681&gt;0.166666666666667),F681-D681-0.0416666666666667,IF(AND(OR(AG681="Allaitement",AG681="Sans déjeuner"),F681-D681&gt;0.166666666666667),F681-D681,F681-D681)))))))</f>
        <v>0</v>
      </c>
      <c r="P681" s="6" t="str">
        <f aca="false">IFERROR(VLOOKUP($B681,Agents!$A:$D,2,0),"-")</f>
        <v>Accessibilité</v>
      </c>
      <c r="Q681" s="21" t="n">
        <v>46157</v>
      </c>
      <c r="R681" s="8" t="n">
        <f aca="false">IF(M681="Abs",O681,0)</f>
        <v>0</v>
      </c>
      <c r="S681" s="8" t="n">
        <f aca="false">SUM(R681,L681,I681,J681,W681,H681)</f>
        <v>0</v>
      </c>
      <c r="T681" s="6" t="str">
        <f aca="false">"Sem - "&amp;WEEKNUM(Q681,21)</f>
        <v>Sem - 20</v>
      </c>
      <c r="U681" s="6" t="str">
        <f aca="false">CHOOSE(MONTH(Q681),"Janvier","Février","Mars","Avril","Mai","Juin","Juillet","Août","Septembre","Octobre","Novembre","Décembre")</f>
        <v>Mai</v>
      </c>
      <c r="V681" s="22" t="n">
        <f aca="false">YEAR(Q681)</f>
        <v>2026</v>
      </c>
      <c r="W681" s="20"/>
      <c r="X681" s="8" t="n">
        <f aca="false">IFERROR(IF(M681="Abs",0,IF(ROUND((D681-C681+E681-F681)*1440,0)&lt;=1,0,D681-C681+E681-F681)),0)</f>
        <v>0</v>
      </c>
      <c r="Y681" s="6" t="str">
        <f aca="false">IFERROR(VLOOKUP($B681,Agents!$A:$D,3,0),"-")</f>
        <v>OUBRAHIM Mohammed</v>
      </c>
      <c r="Z681" s="6" t="str">
        <f aca="false">IFERROR(VLOOKUP($B681,Agents!$A:$D,4,0),"-")</f>
        <v>Credit Mutuel</v>
      </c>
      <c r="AA681" s="18" t="s">
        <v>102</v>
      </c>
      <c r="AB681" s="8" t="n">
        <f aca="false">IF(AND(D681="Congé",F681="Congé"),0.333333333333333,IF(OR(AND(D681="Congé",F681&lt;&gt;"Congé"),(AND(F681="Congé",D681&lt;&gt;"Congé"))),0.166666666666667,""))</f>
        <v>0.333333333333333</v>
      </c>
      <c r="AC681" s="8" t="str">
        <f aca="false">IF(AND(D681="Congé sans solde",F681="Congé sans solde"),0.333333333333333,IF(OR(AND(D681="Congé sans solde",F681&lt;&gt;"Congé sans solde"),(AND(F681="Congé sans solde",D681&lt;&gt;"Congé sans solde"))),0.166666666666667,""))</f>
        <v/>
      </c>
      <c r="AD681" s="8" t="str">
        <f aca="false">IF(AND(D681="Congé spécial",F681="Congé spécial"),0.333333333333333,IF(OR(AND(D681="Congé spécial",F681&lt;&gt;"Congé spécial"),AND(F681="Congé spécial",D681&lt;&gt;"Congé spécial")),0.166666666666667,""))</f>
        <v/>
      </c>
      <c r="AE681" s="8" t="str">
        <f aca="false">IF(AND(D681="Férié",F681="Férié"),0.333333333333333,IF(OR(AND(D681="Férié",F681&lt;&gt;"Férié"),(AND(F681="Férié",D681&lt;&gt;"Férié"))),0.166666666666667,""))</f>
        <v/>
      </c>
      <c r="AF681" s="18"/>
      <c r="AG681" s="18"/>
    </row>
    <row r="682" customFormat="false" ht="15" hidden="false" customHeight="false" outlineLevel="0" collapsed="false">
      <c r="A682" s="6" t="str">
        <f aca="false">YEAR(Q682-WEEKDAY(Q682,2)+4)&amp;"-S"&amp;TEXT(WEEKNUM(Q682,21),"00")</f>
        <v>2026-S20</v>
      </c>
      <c r="B682" s="18" t="s">
        <v>71</v>
      </c>
      <c r="C682" s="19"/>
      <c r="D682" s="19" t="s">
        <v>74</v>
      </c>
      <c r="E682" s="19"/>
      <c r="F682" s="19" t="s">
        <v>74</v>
      </c>
      <c r="G682" s="20"/>
      <c r="H682" s="20"/>
      <c r="I682" s="8" t="str">
        <f aca="false">IF(IF(OR(C682="",D682="Congé",D682="OFF",D682="Congé spécial"),"",IF(D682&gt;F682,D682-C682,IF(C682-D682&lt;0,0,C682-D682)))&lt;0.00068287037037037,"",IF(OR(D682="Congé",D682="OFF",C682="",D682="Congé spécial"),"",IF(D682&gt;F682,D682-C682,IF(C682-D682&lt;0,0,C682-D682))))</f>
        <v/>
      </c>
      <c r="J682" s="20"/>
      <c r="K682" s="8" t="n">
        <f aca="false">IF(SUM(H682:J682)&lt;0.00068287037037037,0,SUM(H682:J682))</f>
        <v>0</v>
      </c>
      <c r="L682" s="8" t="n">
        <f aca="false">IF(OR(F682="Congé",F682="OFF",M682="Abs",F682="Congé sans solde",F682="Férié",F682="Congé spécial",D682="Congé spécial"),0,IF(F682-E682&lt;0,0,IF(F682-E682&lt;=0.00068287037037037,0,F682-E682)))</f>
        <v>0</v>
      </c>
      <c r="M682" s="6" t="n">
        <f aca="false">IF(AND(O682&lt;&gt;0,C682=""),"Abs",0)</f>
        <v>0</v>
      </c>
      <c r="N682" s="8" t="str">
        <f aca="false">IFERROR(IF(OR(D682="OFF",D682="Congé",M682="Abs",D682="Congé sans solde",D682="Férié"),"",IF(O682-K682-L682&gt;O682,O682,IF(O682-K682-L682&lt;0,"",O682-K682-L682))),"")</f>
        <v/>
      </c>
      <c r="O682" s="8" t="n">
        <f aca="false">IF(AG682="2H Pause déjeuner",IF(F682-D682-0.0833333333333333&lt;0,F682-D682-0.0833333333333333+1,F682-D682-0.0833333333333333),IF(OR(AND(F682="OFF",D682="OFF"),AND(F682="Congé",D682="Congé"),AND(F682="Congé sans solde",D682="Congé sans solde"),AND(F682="Congé spécial",D682="Congé spécial"),AND(F682="Férié",D682="Férié"),AND(F682="OFF",D682="Congé"),AND(F682="OFF",D682="Congé sans solde"),AND(F682="OFF",D682="Congé spécial"),AND(F682="OFF",D682="Férié"),AND(F682="Congé",D682="OFF"),AND(F682="Congé",D682="Congé sans solde"),AND(F682="Congé",D682="Congé spécial"),AND(F682="Congé",D682="Férié"),AND(F682="Congé sans solde",D682="OFF"),AND(F682="Congé sans solde",D682="Congé"),AND(F682="Congé sans solde",D682="Congé spécial"),AND(F682="Congé sans solde",D682="Férié"),AND(F682="Congé spécial",D682="OFF"),AND(F682="Congé spécial",D682="Congé"),AND(F682="Congé spécial",D682="Congé sans solde"),AND(F682="Congé spécial",D682="Férié"),AND(F682="Férié",D682="OFF"),AND(F682="Férié",D682="Congé"),AND(F682="Férié",D682="Congé sans solde"),AND(F682="Férié",D682="Congé spécial")),0,IF(OR(F682="OFF",F682="Congé",F682="Congé spécial",F682="Congé sans solde",D682="OFF",D682="Congé",D682="Congé spécial",D682="Congé sans solde"),0.208333333333334,IF(AND(AG682="",F682-D682&lt;0),("24:00:00"-D682)+("00:00:00"+F682)-0.0416666666666667,IF(AND(OR(AG682="Allaitement",AG682="Sans déjeuner"),F682-D682&lt;0),("24:00:00"-D682)+("00:00:00"+F682),IF(AND(AG682="",F682-D682&gt;0.166666666666667),F682-D682-0.0416666666666667,IF(AND(OR(AG682="Allaitement",AG682="Sans déjeuner"),F682-D682&gt;0.166666666666667),F682-D682,F682-D682)))))))</f>
        <v>0</v>
      </c>
      <c r="P682" s="6" t="str">
        <f aca="false">IFERROR(VLOOKUP($B682,Agents!$A:$D,2,0),"-")</f>
        <v>Accessibilité</v>
      </c>
      <c r="Q682" s="21" t="n">
        <v>46158</v>
      </c>
      <c r="R682" s="8" t="n">
        <f aca="false">IF(M682="Abs",O682,0)</f>
        <v>0</v>
      </c>
      <c r="S682" s="8" t="n">
        <f aca="false">SUM(R682,L682,I682,J682,W682,H682)</f>
        <v>0</v>
      </c>
      <c r="T682" s="6" t="str">
        <f aca="false">"Sem - "&amp;WEEKNUM(Q682,21)</f>
        <v>Sem - 20</v>
      </c>
      <c r="U682" s="6" t="str">
        <f aca="false">CHOOSE(MONTH(Q682),"Janvier","Février","Mars","Avril","Mai","Juin","Juillet","Août","Septembre","Octobre","Novembre","Décembre")</f>
        <v>Mai</v>
      </c>
      <c r="V682" s="22" t="n">
        <f aca="false">YEAR(Q682)</f>
        <v>2026</v>
      </c>
      <c r="W682" s="20"/>
      <c r="X682" s="8" t="n">
        <f aca="false">IFERROR(IF(M682="Abs",0,IF(ROUND((D682-C682+E682-F682)*1440,0)&lt;=1,0,D682-C682+E682-F682)),0)</f>
        <v>0</v>
      </c>
      <c r="Y682" s="6" t="str">
        <f aca="false">IFERROR(VLOOKUP($B682,Agents!$A:$D,3,0),"-")</f>
        <v>OUBRAHIM Mohammed</v>
      </c>
      <c r="Z682" s="6" t="str">
        <f aca="false">IFERROR(VLOOKUP($B682,Agents!$A:$D,4,0),"-")</f>
        <v>Credit Mutuel</v>
      </c>
      <c r="AA682" s="18" t="s">
        <v>102</v>
      </c>
      <c r="AB682" s="8" t="str">
        <f aca="false">IF(AND(D682="Congé",F682="Congé"),0.333333333333333,IF(OR(AND(D682="Congé",F682&lt;&gt;"Congé"),(AND(F682="Congé",D682&lt;&gt;"Congé"))),0.166666666666667,""))</f>
        <v/>
      </c>
      <c r="AC682" s="8" t="str">
        <f aca="false">IF(AND(D682="Congé sans solde",F682="Congé sans solde"),0.333333333333333,IF(OR(AND(D682="Congé sans solde",F682&lt;&gt;"Congé sans solde"),(AND(F682="Congé sans solde",D682&lt;&gt;"Congé sans solde"))),0.166666666666667,""))</f>
        <v/>
      </c>
      <c r="AD682" s="8" t="str">
        <f aca="false">IF(AND(D682="Congé spécial",F682="Congé spécial"),0.333333333333333,IF(OR(AND(D682="Congé spécial",F682&lt;&gt;"Congé spécial"),AND(F682="Congé spécial",D682&lt;&gt;"Congé spécial")),0.166666666666667,""))</f>
        <v/>
      </c>
      <c r="AE682" s="8" t="str">
        <f aca="false">IF(AND(D682="Férié",F682="Férié"),0.333333333333333,IF(OR(AND(D682="Férié",F682&lt;&gt;"Férié"),(AND(F682="Férié",D682&lt;&gt;"Férié"))),0.166666666666667,""))</f>
        <v/>
      </c>
      <c r="AF682" s="18"/>
      <c r="AG682" s="18"/>
    </row>
    <row r="683" customFormat="false" ht="15" hidden="false" customHeight="false" outlineLevel="0" collapsed="false">
      <c r="A683" s="6" t="str">
        <f aca="false">YEAR(Q683-WEEKDAY(Q683,2)+4)&amp;"-S"&amp;TEXT(WEEKNUM(Q683,21),"00")</f>
        <v>2026-S20</v>
      </c>
      <c r="B683" s="18" t="s">
        <v>72</v>
      </c>
      <c r="C683" s="19"/>
      <c r="D683" s="19" t="s">
        <v>74</v>
      </c>
      <c r="E683" s="19"/>
      <c r="F683" s="19" t="s">
        <v>74</v>
      </c>
      <c r="G683" s="20"/>
      <c r="H683" s="20"/>
      <c r="I683" s="8" t="str">
        <f aca="false">IF(IF(OR(C683="",D683="Congé",D683="OFF",D683="Congé spécial"),"",IF(D683&gt;F683,D683-C683,IF(C683-D683&lt;0,0,C683-D683)))&lt;0.00068287037037037,"",IF(OR(D683="Congé",D683="OFF",C683="",D683="Congé spécial"),"",IF(D683&gt;F683,D683-C683,IF(C683-D683&lt;0,0,C683-D683))))</f>
        <v/>
      </c>
      <c r="J683" s="20"/>
      <c r="K683" s="8" t="n">
        <f aca="false">IF(SUM(H683:J683)&lt;0.00068287037037037,0,SUM(H683:J683))</f>
        <v>0</v>
      </c>
      <c r="L683" s="8" t="n">
        <f aca="false">IF(OR(F683="Congé",F683="OFF",M683="Abs",F683="Congé sans solde",F683="Férié",F683="Congé spécial",D683="Congé spécial"),0,IF(F683-E683&lt;0,0,IF(F683-E683&lt;=0.00068287037037037,0,F683-E683)))</f>
        <v>0</v>
      </c>
      <c r="M683" s="6" t="n">
        <f aca="false">IF(AND(O683&lt;&gt;0,C683=""),"Abs",0)</f>
        <v>0</v>
      </c>
      <c r="N683" s="8" t="str">
        <f aca="false">IFERROR(IF(OR(D683="OFF",D683="Congé",M683="Abs",D683="Congé sans solde",D683="Férié"),"",IF(O683-K683-L683&gt;O683,O683,IF(O683-K683-L683&lt;0,"",O683-K683-L683))),"")</f>
        <v/>
      </c>
      <c r="O683" s="8" t="n">
        <f aca="false">IF(AG683="2H Pause déjeuner",IF(F683-D683-0.0833333333333333&lt;0,F683-D683-0.0833333333333333+1,F683-D683-0.0833333333333333),IF(OR(AND(F683="OFF",D683="OFF"),AND(F683="Congé",D683="Congé"),AND(F683="Congé sans solde",D683="Congé sans solde"),AND(F683="Congé spécial",D683="Congé spécial"),AND(F683="Férié",D683="Férié"),AND(F683="OFF",D683="Congé"),AND(F683="OFF",D683="Congé sans solde"),AND(F683="OFF",D683="Congé spécial"),AND(F683="OFF",D683="Férié"),AND(F683="Congé",D683="OFF"),AND(F683="Congé",D683="Congé sans solde"),AND(F683="Congé",D683="Congé spécial"),AND(F683="Congé",D683="Férié"),AND(F683="Congé sans solde",D683="OFF"),AND(F683="Congé sans solde",D683="Congé"),AND(F683="Congé sans solde",D683="Congé spécial"),AND(F683="Congé sans solde",D683="Férié"),AND(F683="Congé spécial",D683="OFF"),AND(F683="Congé spécial",D683="Congé"),AND(F683="Congé spécial",D683="Congé sans solde"),AND(F683="Congé spécial",D683="Férié"),AND(F683="Férié",D683="OFF"),AND(F683="Férié",D683="Congé"),AND(F683="Férié",D683="Congé sans solde"),AND(F683="Férié",D683="Congé spécial")),0,IF(OR(F683="OFF",F683="Congé",F683="Congé spécial",F683="Congé sans solde",D683="OFF",D683="Congé",D683="Congé spécial",D683="Congé sans solde"),0.208333333333334,IF(AND(AG683="",F683-D683&lt;0),("24:00:00"-D683)+("00:00:00"+F683)-0.0416666666666667,IF(AND(OR(AG683="Allaitement",AG683="Sans déjeuner"),F683-D683&lt;0),("24:00:00"-D683)+("00:00:00"+F683),IF(AND(AG683="",F683-D683&gt;0.166666666666667),F683-D683-0.0416666666666667,IF(AND(OR(AG683="Allaitement",AG683="Sans déjeuner"),F683-D683&gt;0.166666666666667),F683-D683,F683-D683)))))))</f>
        <v>0</v>
      </c>
      <c r="P683" s="6" t="str">
        <f aca="false">IFERROR(VLOOKUP($B683,Agents!$A:$D,2,0),"-")</f>
        <v>Accessibilité</v>
      </c>
      <c r="Q683" s="21" t="n">
        <v>46158</v>
      </c>
      <c r="R683" s="8" t="n">
        <f aca="false">IF(M683="Abs",O683,0)</f>
        <v>0</v>
      </c>
      <c r="S683" s="8" t="n">
        <f aca="false">SUM(R683,L683,I683,J683,W683,H683)</f>
        <v>0</v>
      </c>
      <c r="T683" s="6" t="str">
        <f aca="false">"Sem - "&amp;WEEKNUM(Q683,21)</f>
        <v>Sem - 20</v>
      </c>
      <c r="U683" s="6" t="str">
        <f aca="false">CHOOSE(MONTH(Q683),"Janvier","Février","Mars","Avril","Mai","Juin","Juillet","Août","Septembre","Octobre","Novembre","Décembre")</f>
        <v>Mai</v>
      </c>
      <c r="V683" s="22" t="n">
        <f aca="false">YEAR(Q683)</f>
        <v>2026</v>
      </c>
      <c r="W683" s="20"/>
      <c r="X683" s="8" t="n">
        <f aca="false">IFERROR(IF(M683="Abs",0,IF(ROUND((D683-C683+E683-F683)*1440,0)&lt;=1,0,D683-C683+E683-F683)),0)</f>
        <v>0</v>
      </c>
      <c r="Y683" s="6" t="str">
        <f aca="false">IFERROR(VLOOKUP($B683,Agents!$A:$D,3,0),"-")</f>
        <v>OUBRAHIM Mohammed</v>
      </c>
      <c r="Z683" s="6" t="str">
        <f aca="false">IFERROR(VLOOKUP($B683,Agents!$A:$D,4,0),"-")</f>
        <v>Credit Mutuel</v>
      </c>
      <c r="AA683" s="18" t="s">
        <v>102</v>
      </c>
      <c r="AB683" s="8" t="str">
        <f aca="false">IF(AND(D683="Congé",F683="Congé"),0.333333333333333,IF(OR(AND(D683="Congé",F683&lt;&gt;"Congé"),(AND(F683="Congé",D683&lt;&gt;"Congé"))),0.166666666666667,""))</f>
        <v/>
      </c>
      <c r="AC683" s="8" t="str">
        <f aca="false">IF(AND(D683="Congé sans solde",F683="Congé sans solde"),0.333333333333333,IF(OR(AND(D683="Congé sans solde",F683&lt;&gt;"Congé sans solde"),(AND(F683="Congé sans solde",D683&lt;&gt;"Congé sans solde"))),0.166666666666667,""))</f>
        <v/>
      </c>
      <c r="AD683" s="8" t="str">
        <f aca="false">IF(AND(D683="Congé spécial",F683="Congé spécial"),0.333333333333333,IF(OR(AND(D683="Congé spécial",F683&lt;&gt;"Congé spécial"),AND(F683="Congé spécial",D683&lt;&gt;"Congé spécial")),0.166666666666667,""))</f>
        <v/>
      </c>
      <c r="AE683" s="8" t="str">
        <f aca="false">IF(AND(D683="Férié",F683="Férié"),0.333333333333333,IF(OR(AND(D683="Férié",F683&lt;&gt;"Férié"),(AND(F683="Férié",D683&lt;&gt;"Férié"))),0.166666666666667,""))</f>
        <v/>
      </c>
      <c r="AF683" s="18"/>
      <c r="AG683" s="18"/>
    </row>
    <row r="684" customFormat="false" ht="15" hidden="false" customHeight="false" outlineLevel="0" collapsed="false">
      <c r="A684" s="6" t="str">
        <f aca="false">YEAR(Q684-WEEKDAY(Q684,2)+4)&amp;"-S"&amp;TEXT(WEEKNUM(Q684,21),"00")</f>
        <v>2026-S20</v>
      </c>
      <c r="B684" s="18" t="s">
        <v>73</v>
      </c>
      <c r="C684" s="19"/>
      <c r="D684" s="19" t="s">
        <v>74</v>
      </c>
      <c r="E684" s="19"/>
      <c r="F684" s="19" t="s">
        <v>74</v>
      </c>
      <c r="G684" s="20"/>
      <c r="H684" s="20"/>
      <c r="I684" s="8" t="str">
        <f aca="false">IF(IF(OR(C684="",D684="Congé",D684="OFF",D684="Congé spécial"),"",IF(D684&gt;F684,D684-C684,IF(C684-D684&lt;0,0,C684-D684)))&lt;0.00068287037037037,"",IF(OR(D684="Congé",D684="OFF",C684="",D684="Congé spécial"),"",IF(D684&gt;F684,D684-C684,IF(C684-D684&lt;0,0,C684-D684))))</f>
        <v/>
      </c>
      <c r="J684" s="20"/>
      <c r="K684" s="8" t="n">
        <f aca="false">IF(SUM(H684:J684)&lt;0.00068287037037037,0,SUM(H684:J684))</f>
        <v>0</v>
      </c>
      <c r="L684" s="8" t="n">
        <f aca="false">IF(OR(F684="Congé",F684="OFF",M684="Abs",F684="Congé sans solde",F684="Férié",F684="Congé spécial",D684="Congé spécial"),0,IF(F684-E684&lt;0,0,IF(F684-E684&lt;=0.00068287037037037,0,F684-E684)))</f>
        <v>0</v>
      </c>
      <c r="M684" s="6" t="n">
        <f aca="false">IF(AND(O684&lt;&gt;0,C684=""),"Abs",0)</f>
        <v>0</v>
      </c>
      <c r="N684" s="8" t="str">
        <f aca="false">IFERROR(IF(OR(D684="OFF",D684="Congé",M684="Abs",D684="Congé sans solde",D684="Férié"),"",IF(O684-K684-L684&gt;O684,O684,IF(O684-K684-L684&lt;0,"",O684-K684-L684))),"")</f>
        <v/>
      </c>
      <c r="O684" s="8" t="n">
        <f aca="false">IF(AG684="2H Pause déjeuner",IF(F684-D684-0.0833333333333333&lt;0,F684-D684-0.0833333333333333+1,F684-D684-0.0833333333333333),IF(OR(AND(F684="OFF",D684="OFF"),AND(F684="Congé",D684="Congé"),AND(F684="Congé sans solde",D684="Congé sans solde"),AND(F684="Congé spécial",D684="Congé spécial"),AND(F684="Férié",D684="Férié"),AND(F684="OFF",D684="Congé"),AND(F684="OFF",D684="Congé sans solde"),AND(F684="OFF",D684="Congé spécial"),AND(F684="OFF",D684="Férié"),AND(F684="Congé",D684="OFF"),AND(F684="Congé",D684="Congé sans solde"),AND(F684="Congé",D684="Congé spécial"),AND(F684="Congé",D684="Férié"),AND(F684="Congé sans solde",D684="OFF"),AND(F684="Congé sans solde",D684="Congé"),AND(F684="Congé sans solde",D684="Congé spécial"),AND(F684="Congé sans solde",D684="Férié"),AND(F684="Congé spécial",D684="OFF"),AND(F684="Congé spécial",D684="Congé"),AND(F684="Congé spécial",D684="Congé sans solde"),AND(F684="Congé spécial",D684="Férié"),AND(F684="Férié",D684="OFF"),AND(F684="Férié",D684="Congé"),AND(F684="Férié",D684="Congé sans solde"),AND(F684="Férié",D684="Congé spécial")),0,IF(OR(F684="OFF",F684="Congé",F684="Congé spécial",F684="Congé sans solde",D684="OFF",D684="Congé",D684="Congé spécial",D684="Congé sans solde"),0.208333333333334,IF(AND(AG684="",F684-D684&lt;0),("24:00:00"-D684)+("00:00:00"+F684)-0.0416666666666667,IF(AND(OR(AG684="Allaitement",AG684="Sans déjeuner"),F684-D684&lt;0),("24:00:00"-D684)+("00:00:00"+F684),IF(AND(AG684="",F684-D684&gt;0.166666666666667),F684-D684-0.0416666666666667,IF(AND(OR(AG684="Allaitement",AG684="Sans déjeuner"),F684-D684&gt;0.166666666666667),F684-D684,F684-D684)))))))</f>
        <v>0</v>
      </c>
      <c r="P684" s="6" t="str">
        <f aca="false">IFERROR(VLOOKUP($B684,Agents!$A:$D,2,0),"-")</f>
        <v>Accessibilité</v>
      </c>
      <c r="Q684" s="21" t="n">
        <v>46158</v>
      </c>
      <c r="R684" s="8" t="n">
        <f aca="false">IF(M684="Abs",O684,0)</f>
        <v>0</v>
      </c>
      <c r="S684" s="8" t="n">
        <f aca="false">SUM(R684,L684,I684,J684,W684,H684)</f>
        <v>0</v>
      </c>
      <c r="T684" s="6" t="str">
        <f aca="false">"Sem - "&amp;WEEKNUM(Q684,21)</f>
        <v>Sem - 20</v>
      </c>
      <c r="U684" s="6" t="str">
        <f aca="false">CHOOSE(MONTH(Q684),"Janvier","Février","Mars","Avril","Mai","Juin","Juillet","Août","Septembre","Octobre","Novembre","Décembre")</f>
        <v>Mai</v>
      </c>
      <c r="V684" s="22" t="n">
        <f aca="false">YEAR(Q684)</f>
        <v>2026</v>
      </c>
      <c r="W684" s="20"/>
      <c r="X684" s="8" t="n">
        <f aca="false">IFERROR(IF(M684="Abs",0,IF(ROUND((D684-C684+E684-F684)*1440,0)&lt;=1,0,D684-C684+E684-F684)),0)</f>
        <v>0</v>
      </c>
      <c r="Y684" s="6" t="str">
        <f aca="false">IFERROR(VLOOKUP($B684,Agents!$A:$D,3,0),"-")</f>
        <v>OUBRAHIM Mohammed</v>
      </c>
      <c r="Z684" s="6" t="str">
        <f aca="false">IFERROR(VLOOKUP($B684,Agents!$A:$D,4,0),"-")</f>
        <v>Credit Mutuel</v>
      </c>
      <c r="AA684" s="18" t="s">
        <v>102</v>
      </c>
      <c r="AB684" s="8" t="str">
        <f aca="false">IF(AND(D684="Congé",F684="Congé"),0.333333333333333,IF(OR(AND(D684="Congé",F684&lt;&gt;"Congé"),(AND(F684="Congé",D684&lt;&gt;"Congé"))),0.166666666666667,""))</f>
        <v/>
      </c>
      <c r="AC684" s="8" t="str">
        <f aca="false">IF(AND(D684="Congé sans solde",F684="Congé sans solde"),0.333333333333333,IF(OR(AND(D684="Congé sans solde",F684&lt;&gt;"Congé sans solde"),(AND(F684="Congé sans solde",D684&lt;&gt;"Congé sans solde"))),0.166666666666667,""))</f>
        <v/>
      </c>
      <c r="AD684" s="8" t="str">
        <f aca="false">IF(AND(D684="Congé spécial",F684="Congé spécial"),0.333333333333333,IF(OR(AND(D684="Congé spécial",F684&lt;&gt;"Congé spécial"),AND(F684="Congé spécial",D684&lt;&gt;"Congé spécial")),0.166666666666667,""))</f>
        <v/>
      </c>
      <c r="AE684" s="8" t="str">
        <f aca="false">IF(AND(D684="Férié",F684="Férié"),0.333333333333333,IF(OR(AND(D684="Férié",F684&lt;&gt;"Férié"),(AND(F684="Férié",D684&lt;&gt;"Férié"))),0.166666666666667,""))</f>
        <v/>
      </c>
      <c r="AF684" s="18"/>
      <c r="AG684" s="18"/>
    </row>
    <row r="685" customFormat="false" ht="15" hidden="false" customHeight="false" outlineLevel="0" collapsed="false">
      <c r="A685" s="6" t="str">
        <f aca="false">YEAR(Q685-WEEKDAY(Q685,2)+4)&amp;"-S"&amp;TEXT(WEEKNUM(Q685,21),"00")</f>
        <v>2026-S20</v>
      </c>
      <c r="B685" s="18" t="s">
        <v>71</v>
      </c>
      <c r="C685" s="19"/>
      <c r="D685" s="19" t="s">
        <v>74</v>
      </c>
      <c r="E685" s="19"/>
      <c r="F685" s="19" t="s">
        <v>74</v>
      </c>
      <c r="G685" s="20"/>
      <c r="H685" s="20"/>
      <c r="I685" s="8" t="str">
        <f aca="false">IF(IF(OR(C685="",D685="Congé",D685="OFF",D685="Congé spécial"),"",IF(D685&gt;F685,D685-C685,IF(C685-D685&lt;0,0,C685-D685)))&lt;0.00068287037037037,"",IF(OR(D685="Congé",D685="OFF",C685="",D685="Congé spécial"),"",IF(D685&gt;F685,D685-C685,IF(C685-D685&lt;0,0,C685-D685))))</f>
        <v/>
      </c>
      <c r="J685" s="20"/>
      <c r="K685" s="8" t="n">
        <f aca="false">IF(SUM(H685:J685)&lt;0.00068287037037037,0,SUM(H685:J685))</f>
        <v>0</v>
      </c>
      <c r="L685" s="8" t="n">
        <f aca="false">IF(OR(F685="Congé",F685="OFF",M685="Abs",F685="Congé sans solde",F685="Férié",F685="Congé spécial",D685="Congé spécial"),0,IF(F685-E685&lt;0,0,IF(F685-E685&lt;=0.00068287037037037,0,F685-E685)))</f>
        <v>0</v>
      </c>
      <c r="M685" s="6" t="n">
        <f aca="false">IF(AND(O685&lt;&gt;0,C685=""),"Abs",0)</f>
        <v>0</v>
      </c>
      <c r="N685" s="8" t="str">
        <f aca="false">IFERROR(IF(OR(D685="OFF",D685="Congé",M685="Abs",D685="Congé sans solde",D685="Férié"),"",IF(O685-K685-L685&gt;O685,O685,IF(O685-K685-L685&lt;0,"",O685-K685-L685))),"")</f>
        <v/>
      </c>
      <c r="O685" s="8" t="n">
        <f aca="false">IF(AG685="2H Pause déjeuner",IF(F685-D685-0.0833333333333333&lt;0,F685-D685-0.0833333333333333+1,F685-D685-0.0833333333333333),IF(OR(AND(F685="OFF",D685="OFF"),AND(F685="Congé",D685="Congé"),AND(F685="Congé sans solde",D685="Congé sans solde"),AND(F685="Congé spécial",D685="Congé spécial"),AND(F685="Férié",D685="Férié"),AND(F685="OFF",D685="Congé"),AND(F685="OFF",D685="Congé sans solde"),AND(F685="OFF",D685="Congé spécial"),AND(F685="OFF",D685="Férié"),AND(F685="Congé",D685="OFF"),AND(F685="Congé",D685="Congé sans solde"),AND(F685="Congé",D685="Congé spécial"),AND(F685="Congé",D685="Férié"),AND(F685="Congé sans solde",D685="OFF"),AND(F685="Congé sans solde",D685="Congé"),AND(F685="Congé sans solde",D685="Congé spécial"),AND(F685="Congé sans solde",D685="Férié"),AND(F685="Congé spécial",D685="OFF"),AND(F685="Congé spécial",D685="Congé"),AND(F685="Congé spécial",D685="Congé sans solde"),AND(F685="Congé spécial",D685="Férié"),AND(F685="Férié",D685="OFF"),AND(F685="Férié",D685="Congé"),AND(F685="Férié",D685="Congé sans solde"),AND(F685="Férié",D685="Congé spécial")),0,IF(OR(F685="OFF",F685="Congé",F685="Congé spécial",F685="Congé sans solde",D685="OFF",D685="Congé",D685="Congé spécial",D685="Congé sans solde"),0.208333333333334,IF(AND(AG685="",F685-D685&lt;0),("24:00:00"-D685)+("00:00:00"+F685)-0.0416666666666667,IF(AND(OR(AG685="Allaitement",AG685="Sans déjeuner"),F685-D685&lt;0),("24:00:00"-D685)+("00:00:00"+F685),IF(AND(AG685="",F685-D685&gt;0.166666666666667),F685-D685-0.0416666666666667,IF(AND(OR(AG685="Allaitement",AG685="Sans déjeuner"),F685-D685&gt;0.166666666666667),F685-D685,F685-D685)))))))</f>
        <v>0</v>
      </c>
      <c r="P685" s="6" t="str">
        <f aca="false">IFERROR(VLOOKUP($B685,Agents!$A:$D,2,0),"-")</f>
        <v>Accessibilité</v>
      </c>
      <c r="Q685" s="21" t="n">
        <v>46159</v>
      </c>
      <c r="R685" s="8" t="n">
        <f aca="false">IF(M685="Abs",O685,0)</f>
        <v>0</v>
      </c>
      <c r="S685" s="8" t="n">
        <f aca="false">SUM(R685,L685,I685,J685,W685,H685)</f>
        <v>0</v>
      </c>
      <c r="T685" s="6" t="str">
        <f aca="false">"Sem - "&amp;WEEKNUM(Q685,21)</f>
        <v>Sem - 20</v>
      </c>
      <c r="U685" s="6" t="str">
        <f aca="false">CHOOSE(MONTH(Q685),"Janvier","Février","Mars","Avril","Mai","Juin","Juillet","Août","Septembre","Octobre","Novembre","Décembre")</f>
        <v>Mai</v>
      </c>
      <c r="V685" s="22" t="n">
        <f aca="false">YEAR(Q685)</f>
        <v>2026</v>
      </c>
      <c r="W685" s="20"/>
      <c r="X685" s="8" t="n">
        <f aca="false">IFERROR(IF(M685="Abs",0,IF(ROUND((D685-C685+E685-F685)*1440,0)&lt;=1,0,D685-C685+E685-F685)),0)</f>
        <v>0</v>
      </c>
      <c r="Y685" s="6" t="str">
        <f aca="false">IFERROR(VLOOKUP($B685,Agents!$A:$D,3,0),"-")</f>
        <v>OUBRAHIM Mohammed</v>
      </c>
      <c r="Z685" s="6" t="str">
        <f aca="false">IFERROR(VLOOKUP($B685,Agents!$A:$D,4,0),"-")</f>
        <v>Credit Mutuel</v>
      </c>
      <c r="AA685" s="18" t="s">
        <v>102</v>
      </c>
      <c r="AB685" s="8" t="str">
        <f aca="false">IF(AND(D685="Congé",F685="Congé"),0.333333333333333,IF(OR(AND(D685="Congé",F685&lt;&gt;"Congé"),(AND(F685="Congé",D685&lt;&gt;"Congé"))),0.166666666666667,""))</f>
        <v/>
      </c>
      <c r="AC685" s="8" t="str">
        <f aca="false">IF(AND(D685="Congé sans solde",F685="Congé sans solde"),0.333333333333333,IF(OR(AND(D685="Congé sans solde",F685&lt;&gt;"Congé sans solde"),(AND(F685="Congé sans solde",D685&lt;&gt;"Congé sans solde"))),0.166666666666667,""))</f>
        <v/>
      </c>
      <c r="AD685" s="8" t="str">
        <f aca="false">IF(AND(D685="Congé spécial",F685="Congé spécial"),0.333333333333333,IF(OR(AND(D685="Congé spécial",F685&lt;&gt;"Congé spécial"),AND(F685="Congé spécial",D685&lt;&gt;"Congé spécial")),0.166666666666667,""))</f>
        <v/>
      </c>
      <c r="AE685" s="8" t="str">
        <f aca="false">IF(AND(D685="Férié",F685="Férié"),0.333333333333333,IF(OR(AND(D685="Férié",F685&lt;&gt;"Férié"),(AND(F685="Férié",D685&lt;&gt;"Férié"))),0.166666666666667,""))</f>
        <v/>
      </c>
      <c r="AF685" s="18"/>
      <c r="AG685" s="18"/>
    </row>
    <row r="686" customFormat="false" ht="15" hidden="false" customHeight="false" outlineLevel="0" collapsed="false">
      <c r="A686" s="6" t="str">
        <f aca="false">YEAR(Q686-WEEKDAY(Q686,2)+4)&amp;"-S"&amp;TEXT(WEEKNUM(Q686,21),"00")</f>
        <v>2026-S20</v>
      </c>
      <c r="B686" s="18" t="s">
        <v>72</v>
      </c>
      <c r="C686" s="19"/>
      <c r="D686" s="19" t="s">
        <v>74</v>
      </c>
      <c r="E686" s="19"/>
      <c r="F686" s="19" t="s">
        <v>74</v>
      </c>
      <c r="G686" s="20"/>
      <c r="H686" s="20"/>
      <c r="I686" s="8" t="str">
        <f aca="false">IF(IF(OR(C686="",D686="Congé",D686="OFF",D686="Congé spécial"),"",IF(D686&gt;F686,D686-C686,IF(C686-D686&lt;0,0,C686-D686)))&lt;0.00068287037037037,"",IF(OR(D686="Congé",D686="OFF",C686="",D686="Congé spécial"),"",IF(D686&gt;F686,D686-C686,IF(C686-D686&lt;0,0,C686-D686))))</f>
        <v/>
      </c>
      <c r="J686" s="20"/>
      <c r="K686" s="8" t="n">
        <f aca="false">IF(SUM(H686:J686)&lt;0.00068287037037037,0,SUM(H686:J686))</f>
        <v>0</v>
      </c>
      <c r="L686" s="8" t="n">
        <f aca="false">IF(OR(F686="Congé",F686="OFF",M686="Abs",F686="Congé sans solde",F686="Férié",F686="Congé spécial",D686="Congé spécial"),0,IF(F686-E686&lt;0,0,IF(F686-E686&lt;=0.00068287037037037,0,F686-E686)))</f>
        <v>0</v>
      </c>
      <c r="M686" s="6" t="n">
        <f aca="false">IF(AND(O686&lt;&gt;0,C686=""),"Abs",0)</f>
        <v>0</v>
      </c>
      <c r="N686" s="8" t="str">
        <f aca="false">IFERROR(IF(OR(D686="OFF",D686="Congé",M686="Abs",D686="Congé sans solde",D686="Férié"),"",IF(O686-K686-L686&gt;O686,O686,IF(O686-K686-L686&lt;0,"",O686-K686-L686))),"")</f>
        <v/>
      </c>
      <c r="O686" s="8" t="n">
        <f aca="false">IF(AG686="2H Pause déjeuner",IF(F686-D686-0.0833333333333333&lt;0,F686-D686-0.0833333333333333+1,F686-D686-0.0833333333333333),IF(OR(AND(F686="OFF",D686="OFF"),AND(F686="Congé",D686="Congé"),AND(F686="Congé sans solde",D686="Congé sans solde"),AND(F686="Congé spécial",D686="Congé spécial"),AND(F686="Férié",D686="Férié"),AND(F686="OFF",D686="Congé"),AND(F686="OFF",D686="Congé sans solde"),AND(F686="OFF",D686="Congé spécial"),AND(F686="OFF",D686="Férié"),AND(F686="Congé",D686="OFF"),AND(F686="Congé",D686="Congé sans solde"),AND(F686="Congé",D686="Congé spécial"),AND(F686="Congé",D686="Férié"),AND(F686="Congé sans solde",D686="OFF"),AND(F686="Congé sans solde",D686="Congé"),AND(F686="Congé sans solde",D686="Congé spécial"),AND(F686="Congé sans solde",D686="Férié"),AND(F686="Congé spécial",D686="OFF"),AND(F686="Congé spécial",D686="Congé"),AND(F686="Congé spécial",D686="Congé sans solde"),AND(F686="Congé spécial",D686="Férié"),AND(F686="Férié",D686="OFF"),AND(F686="Férié",D686="Congé"),AND(F686="Férié",D686="Congé sans solde"),AND(F686="Férié",D686="Congé spécial")),0,IF(OR(F686="OFF",F686="Congé",F686="Congé spécial",F686="Congé sans solde",D686="OFF",D686="Congé",D686="Congé spécial",D686="Congé sans solde"),0.208333333333334,IF(AND(AG686="",F686-D686&lt;0),("24:00:00"-D686)+("00:00:00"+F686)-0.0416666666666667,IF(AND(OR(AG686="Allaitement",AG686="Sans déjeuner"),F686-D686&lt;0),("24:00:00"-D686)+("00:00:00"+F686),IF(AND(AG686="",F686-D686&gt;0.166666666666667),F686-D686-0.0416666666666667,IF(AND(OR(AG686="Allaitement",AG686="Sans déjeuner"),F686-D686&gt;0.166666666666667),F686-D686,F686-D686)))))))</f>
        <v>0</v>
      </c>
      <c r="P686" s="6" t="str">
        <f aca="false">IFERROR(VLOOKUP($B686,Agents!$A:$D,2,0),"-")</f>
        <v>Accessibilité</v>
      </c>
      <c r="Q686" s="21" t="n">
        <v>46159</v>
      </c>
      <c r="R686" s="8" t="n">
        <f aca="false">IF(M686="Abs",O686,0)</f>
        <v>0</v>
      </c>
      <c r="S686" s="8" t="n">
        <f aca="false">SUM(R686,L686,I686,J686,W686,H686)</f>
        <v>0</v>
      </c>
      <c r="T686" s="6" t="str">
        <f aca="false">"Sem - "&amp;WEEKNUM(Q686,21)</f>
        <v>Sem - 20</v>
      </c>
      <c r="U686" s="6" t="str">
        <f aca="false">CHOOSE(MONTH(Q686),"Janvier","Février","Mars","Avril","Mai","Juin","Juillet","Août","Septembre","Octobre","Novembre","Décembre")</f>
        <v>Mai</v>
      </c>
      <c r="V686" s="22" t="n">
        <f aca="false">YEAR(Q686)</f>
        <v>2026</v>
      </c>
      <c r="W686" s="20"/>
      <c r="X686" s="8" t="n">
        <f aca="false">IFERROR(IF(M686="Abs",0,IF(ROUND((D686-C686+E686-F686)*1440,0)&lt;=1,0,D686-C686+E686-F686)),0)</f>
        <v>0</v>
      </c>
      <c r="Y686" s="6" t="str">
        <f aca="false">IFERROR(VLOOKUP($B686,Agents!$A:$D,3,0),"-")</f>
        <v>OUBRAHIM Mohammed</v>
      </c>
      <c r="Z686" s="6" t="str">
        <f aca="false">IFERROR(VLOOKUP($B686,Agents!$A:$D,4,0),"-")</f>
        <v>Credit Mutuel</v>
      </c>
      <c r="AA686" s="18" t="s">
        <v>102</v>
      </c>
      <c r="AB686" s="8" t="str">
        <f aca="false">IF(AND(D686="Congé",F686="Congé"),0.333333333333333,IF(OR(AND(D686="Congé",F686&lt;&gt;"Congé"),(AND(F686="Congé",D686&lt;&gt;"Congé"))),0.166666666666667,""))</f>
        <v/>
      </c>
      <c r="AC686" s="8" t="str">
        <f aca="false">IF(AND(D686="Congé sans solde",F686="Congé sans solde"),0.333333333333333,IF(OR(AND(D686="Congé sans solde",F686&lt;&gt;"Congé sans solde"),(AND(F686="Congé sans solde",D686&lt;&gt;"Congé sans solde"))),0.166666666666667,""))</f>
        <v/>
      </c>
      <c r="AD686" s="8" t="str">
        <f aca="false">IF(AND(D686="Congé spécial",F686="Congé spécial"),0.333333333333333,IF(OR(AND(D686="Congé spécial",F686&lt;&gt;"Congé spécial"),AND(F686="Congé spécial",D686&lt;&gt;"Congé spécial")),0.166666666666667,""))</f>
        <v/>
      </c>
      <c r="AE686" s="8" t="str">
        <f aca="false">IF(AND(D686="Férié",F686="Férié"),0.333333333333333,IF(OR(AND(D686="Férié",F686&lt;&gt;"Férié"),(AND(F686="Férié",D686&lt;&gt;"Férié"))),0.166666666666667,""))</f>
        <v/>
      </c>
      <c r="AF686" s="18"/>
      <c r="AG686" s="18"/>
    </row>
    <row r="687" customFormat="false" ht="15" hidden="false" customHeight="false" outlineLevel="0" collapsed="false">
      <c r="A687" s="6" t="str">
        <f aca="false">YEAR(Q687-WEEKDAY(Q687,2)+4)&amp;"-S"&amp;TEXT(WEEKNUM(Q687,21),"00")</f>
        <v>2026-S20</v>
      </c>
      <c r="B687" s="18" t="s">
        <v>73</v>
      </c>
      <c r="C687" s="19"/>
      <c r="D687" s="19" t="s">
        <v>74</v>
      </c>
      <c r="E687" s="19"/>
      <c r="F687" s="19" t="s">
        <v>74</v>
      </c>
      <c r="G687" s="20"/>
      <c r="H687" s="20"/>
      <c r="I687" s="8" t="str">
        <f aca="false">IF(IF(OR(C687="",D687="Congé",D687="OFF",D687="Congé spécial"),"",IF(D687&gt;F687,D687-C687,IF(C687-D687&lt;0,0,C687-D687)))&lt;0.00068287037037037,"",IF(OR(D687="Congé",D687="OFF",C687="",D687="Congé spécial"),"",IF(D687&gt;F687,D687-C687,IF(C687-D687&lt;0,0,C687-D687))))</f>
        <v/>
      </c>
      <c r="J687" s="20"/>
      <c r="K687" s="8" t="n">
        <f aca="false">IF(SUM(H687:J687)&lt;0.00068287037037037,0,SUM(H687:J687))</f>
        <v>0</v>
      </c>
      <c r="L687" s="8" t="n">
        <f aca="false">IF(OR(F687="Congé",F687="OFF",M687="Abs",F687="Congé sans solde",F687="Férié",F687="Congé spécial",D687="Congé spécial"),0,IF(F687-E687&lt;0,0,IF(F687-E687&lt;=0.00068287037037037,0,F687-E687)))</f>
        <v>0</v>
      </c>
      <c r="M687" s="6" t="n">
        <f aca="false">IF(AND(O687&lt;&gt;0,C687=""),"Abs",0)</f>
        <v>0</v>
      </c>
      <c r="N687" s="8" t="str">
        <f aca="false">IFERROR(IF(OR(D687="OFF",D687="Congé",M687="Abs",D687="Congé sans solde",D687="Férié"),"",IF(O687-K687-L687&gt;O687,O687,IF(O687-K687-L687&lt;0,"",O687-K687-L687))),"")</f>
        <v/>
      </c>
      <c r="O687" s="8" t="n">
        <f aca="false">IF(AG687="2H Pause déjeuner",IF(F687-D687-0.0833333333333333&lt;0,F687-D687-0.0833333333333333+1,F687-D687-0.0833333333333333),IF(OR(AND(F687="OFF",D687="OFF"),AND(F687="Congé",D687="Congé"),AND(F687="Congé sans solde",D687="Congé sans solde"),AND(F687="Congé spécial",D687="Congé spécial"),AND(F687="Férié",D687="Férié"),AND(F687="OFF",D687="Congé"),AND(F687="OFF",D687="Congé sans solde"),AND(F687="OFF",D687="Congé spécial"),AND(F687="OFF",D687="Férié"),AND(F687="Congé",D687="OFF"),AND(F687="Congé",D687="Congé sans solde"),AND(F687="Congé",D687="Congé spécial"),AND(F687="Congé",D687="Férié"),AND(F687="Congé sans solde",D687="OFF"),AND(F687="Congé sans solde",D687="Congé"),AND(F687="Congé sans solde",D687="Congé spécial"),AND(F687="Congé sans solde",D687="Férié"),AND(F687="Congé spécial",D687="OFF"),AND(F687="Congé spécial",D687="Congé"),AND(F687="Congé spécial",D687="Congé sans solde"),AND(F687="Congé spécial",D687="Férié"),AND(F687="Férié",D687="OFF"),AND(F687="Férié",D687="Congé"),AND(F687="Férié",D687="Congé sans solde"),AND(F687="Férié",D687="Congé spécial")),0,IF(OR(F687="OFF",F687="Congé",F687="Congé spécial",F687="Congé sans solde",D687="OFF",D687="Congé",D687="Congé spécial",D687="Congé sans solde"),0.208333333333334,IF(AND(AG687="",F687-D687&lt;0),("24:00:00"-D687)+("00:00:00"+F687)-0.0416666666666667,IF(AND(OR(AG687="Allaitement",AG687="Sans déjeuner"),F687-D687&lt;0),("24:00:00"-D687)+("00:00:00"+F687),IF(AND(AG687="",F687-D687&gt;0.166666666666667),F687-D687-0.0416666666666667,IF(AND(OR(AG687="Allaitement",AG687="Sans déjeuner"),F687-D687&gt;0.166666666666667),F687-D687,F687-D687)))))))</f>
        <v>0</v>
      </c>
      <c r="P687" s="6" t="str">
        <f aca="false">IFERROR(VLOOKUP($B687,Agents!$A:$D,2,0),"-")</f>
        <v>Accessibilité</v>
      </c>
      <c r="Q687" s="21" t="n">
        <v>46159</v>
      </c>
      <c r="R687" s="8" t="n">
        <f aca="false">IF(M687="Abs",O687,0)</f>
        <v>0</v>
      </c>
      <c r="S687" s="8" t="n">
        <f aca="false">SUM(R687,L687,I687,J687,W687,H687)</f>
        <v>0</v>
      </c>
      <c r="T687" s="6" t="str">
        <f aca="false">"Sem - "&amp;WEEKNUM(Q687,21)</f>
        <v>Sem - 20</v>
      </c>
      <c r="U687" s="6" t="str">
        <f aca="false">CHOOSE(MONTH(Q687),"Janvier","Février","Mars","Avril","Mai","Juin","Juillet","Août","Septembre","Octobre","Novembre","Décembre")</f>
        <v>Mai</v>
      </c>
      <c r="V687" s="22" t="n">
        <f aca="false">YEAR(Q687)</f>
        <v>2026</v>
      </c>
      <c r="W687" s="20"/>
      <c r="X687" s="8" t="n">
        <f aca="false">IFERROR(IF(M687="Abs",0,IF(ROUND((D687-C687+E687-F687)*1440,0)&lt;=1,0,D687-C687+E687-F687)),0)</f>
        <v>0</v>
      </c>
      <c r="Y687" s="6" t="str">
        <f aca="false">IFERROR(VLOOKUP($B687,Agents!$A:$D,3,0),"-")</f>
        <v>OUBRAHIM Mohammed</v>
      </c>
      <c r="Z687" s="6" t="str">
        <f aca="false">IFERROR(VLOOKUP($B687,Agents!$A:$D,4,0),"-")</f>
        <v>Credit Mutuel</v>
      </c>
      <c r="AA687" s="18" t="s">
        <v>102</v>
      </c>
      <c r="AB687" s="8" t="str">
        <f aca="false">IF(AND(D687="Congé",F687="Congé"),0.333333333333333,IF(OR(AND(D687="Congé",F687&lt;&gt;"Congé"),(AND(F687="Congé",D687&lt;&gt;"Congé"))),0.166666666666667,""))</f>
        <v/>
      </c>
      <c r="AC687" s="8" t="str">
        <f aca="false">IF(AND(D687="Congé sans solde",F687="Congé sans solde"),0.333333333333333,IF(OR(AND(D687="Congé sans solde",F687&lt;&gt;"Congé sans solde"),(AND(F687="Congé sans solde",D687&lt;&gt;"Congé sans solde"))),0.166666666666667,""))</f>
        <v/>
      </c>
      <c r="AD687" s="8" t="str">
        <f aca="false">IF(AND(D687="Congé spécial",F687="Congé spécial"),0.333333333333333,IF(OR(AND(D687="Congé spécial",F687&lt;&gt;"Congé spécial"),AND(F687="Congé spécial",D687&lt;&gt;"Congé spécial")),0.166666666666667,""))</f>
        <v/>
      </c>
      <c r="AE687" s="8" t="str">
        <f aca="false">IF(AND(D687="Férié",F687="Férié"),0.333333333333333,IF(OR(AND(D687="Férié",F687&lt;&gt;"Férié"),(AND(F687="Férié",D687&lt;&gt;"Férié"))),0.166666666666667,""))</f>
        <v/>
      </c>
      <c r="AF687" s="18"/>
      <c r="AG687" s="18"/>
    </row>
    <row r="688" customFormat="false" ht="15" hidden="false" customHeight="false" outlineLevel="0" collapsed="false">
      <c r="A688" s="6" t="str">
        <f aca="false">YEAR(Q688-WEEKDAY(Q688,2)+4)&amp;"-S"&amp;TEXT(WEEKNUM(Q688,21),"00")</f>
        <v>2026-S21</v>
      </c>
      <c r="B688" s="18" t="s">
        <v>71</v>
      </c>
      <c r="C688" s="19" t="n">
        <v>0.331944444444444</v>
      </c>
      <c r="D688" s="19" t="n">
        <v>0.333333333333333</v>
      </c>
      <c r="E688" s="19" t="n">
        <v>0.75</v>
      </c>
      <c r="F688" s="19" t="n">
        <v>0.75</v>
      </c>
      <c r="G688" s="20"/>
      <c r="H688" s="20"/>
      <c r="I688" s="8" t="str">
        <f aca="false">IF(IF(OR(C688="",D688="Congé",D688="OFF",D688="Congé spécial"),"",IF(D688&gt;F688,D688-C688,IF(C688-D688&lt;0,0,C688-D688)))&lt;0.00068287037037037,"",IF(OR(D688="Congé",D688="OFF",C688="",D688="Congé spécial"),"",IF(D688&gt;F688,D688-C688,IF(C688-D688&lt;0,0,C688-D688))))</f>
        <v/>
      </c>
      <c r="J688" s="20"/>
      <c r="K688" s="8" t="n">
        <f aca="false">IF(SUM(H688:J688)&lt;0.00068287037037037,0,SUM(H688:J688))</f>
        <v>0</v>
      </c>
      <c r="L688" s="8" t="n">
        <f aca="false">IF(OR(F688="Congé",F688="OFF",M688="Abs",F688="Congé sans solde",F688="Férié",F688="Congé spécial",D688="Congé spécial"),0,IF(F688-E688&lt;0,0,IF(F688-E688&lt;=0.00068287037037037,0,F688-E688)))</f>
        <v>0</v>
      </c>
      <c r="M688" s="6" t="n">
        <f aca="false">IF(AND(O688&lt;&gt;0,C688=""),"Abs",0)</f>
        <v>0</v>
      </c>
      <c r="N688" s="8" t="n">
        <f aca="false">IFERROR(IF(OR(D688="OFF",D688="Congé",M688="Abs",D688="Congé sans solde",D688="Férié"),"",IF(O688-K688-L688&gt;O688,O688,IF(O688-K688-L688&lt;0,"",O688-K688-L688))),"")</f>
        <v>0.375</v>
      </c>
      <c r="O688" s="8" t="n">
        <f aca="false">IF(AG688="2H Pause déjeuner",IF(F688-D688-0.0833333333333333&lt;0,F688-D688-0.0833333333333333+1,F688-D688-0.0833333333333333),IF(OR(AND(F688="OFF",D688="OFF"),AND(F688="Congé",D688="Congé"),AND(F688="Congé sans solde",D688="Congé sans solde"),AND(F688="Congé spécial",D688="Congé spécial"),AND(F688="Férié",D688="Férié"),AND(F688="OFF",D688="Congé"),AND(F688="OFF",D688="Congé sans solde"),AND(F688="OFF",D688="Congé spécial"),AND(F688="OFF",D688="Férié"),AND(F688="Congé",D688="OFF"),AND(F688="Congé",D688="Congé sans solde"),AND(F688="Congé",D688="Congé spécial"),AND(F688="Congé",D688="Férié"),AND(F688="Congé sans solde",D688="OFF"),AND(F688="Congé sans solde",D688="Congé"),AND(F688="Congé sans solde",D688="Congé spécial"),AND(F688="Congé sans solde",D688="Férié"),AND(F688="Congé spécial",D688="OFF"),AND(F688="Congé spécial",D688="Congé"),AND(F688="Congé spécial",D688="Congé sans solde"),AND(F688="Congé spécial",D688="Férié"),AND(F688="Férié",D688="OFF"),AND(F688="Férié",D688="Congé"),AND(F688="Férié",D688="Congé sans solde"),AND(F688="Férié",D688="Congé spécial")),0,IF(OR(F688="OFF",F688="Congé",F688="Congé spécial",F688="Congé sans solde",D688="OFF",D688="Congé",D688="Congé spécial",D688="Congé sans solde"),0.208333333333334,IF(AND(AG688="",F688-D688&lt;0),("24:00:00"-D688)+("00:00:00"+F688)-0.0416666666666667,IF(AND(OR(AG688="Allaitement",AG688="Sans déjeuner"),F688-D688&lt;0),("24:00:00"-D688)+("00:00:00"+F688),IF(AND(AG688="",F688-D688&gt;0.166666666666667),F688-D688-0.0416666666666667,IF(AND(OR(AG688="Allaitement",AG688="Sans déjeuner"),F688-D688&gt;0.166666666666667),F688-D688,F688-D688)))))))</f>
        <v>0.375</v>
      </c>
      <c r="P688" s="6" t="str">
        <f aca="false">IFERROR(VLOOKUP($B688,Agents!$A:$D,2,0),"-")</f>
        <v>Accessibilité</v>
      </c>
      <c r="Q688" s="21" t="n">
        <v>46160</v>
      </c>
      <c r="R688" s="8" t="n">
        <f aca="false">IF(M688="Abs",O688,0)</f>
        <v>0</v>
      </c>
      <c r="S688" s="8" t="n">
        <f aca="false">SUM(R688,L688,I688,J688,W688,H688)</f>
        <v>0</v>
      </c>
      <c r="T688" s="6" t="str">
        <f aca="false">"Sem - "&amp;WEEKNUM(Q688,21)</f>
        <v>Sem - 21</v>
      </c>
      <c r="U688" s="6" t="str">
        <f aca="false">CHOOSE(MONTH(Q688),"Janvier","Février","Mars","Avril","Mai","Juin","Juillet","Août","Septembre","Octobre","Novembre","Décembre")</f>
        <v>Mai</v>
      </c>
      <c r="V688" s="22" t="n">
        <f aca="false">YEAR(Q688)</f>
        <v>2026</v>
      </c>
      <c r="W688" s="20"/>
      <c r="X688" s="8" t="n">
        <f aca="false">IFERROR(IF(M688="Abs",0,IF(ROUND((D688-C688+E688-F688)*1440,0)&lt;=1,0,D688-C688+E688-F688)),0)</f>
        <v>0.00138888888888889</v>
      </c>
      <c r="Y688" s="6" t="str">
        <f aca="false">IFERROR(VLOOKUP($B688,Agents!$A:$D,3,0),"-")</f>
        <v>OUBRAHIM Mohammed</v>
      </c>
      <c r="Z688" s="6" t="str">
        <f aca="false">IFERROR(VLOOKUP($B688,Agents!$A:$D,4,0),"-")</f>
        <v>Credit Mutuel</v>
      </c>
      <c r="AA688" s="18" t="s">
        <v>103</v>
      </c>
      <c r="AB688" s="8" t="str">
        <f aca="false">IF(AND(D688="Congé",F688="Congé"),0.333333333333333,IF(OR(AND(D688="Congé",F688&lt;&gt;"Congé"),(AND(F688="Congé",D688&lt;&gt;"Congé"))),0.166666666666667,""))</f>
        <v/>
      </c>
      <c r="AC688" s="8" t="str">
        <f aca="false">IF(AND(D688="Congé sans solde",F688="Congé sans solde"),0.333333333333333,IF(OR(AND(D688="Congé sans solde",F688&lt;&gt;"Congé sans solde"),(AND(F688="Congé sans solde",D688&lt;&gt;"Congé sans solde"))),0.166666666666667,""))</f>
        <v/>
      </c>
      <c r="AD688" s="8" t="str">
        <f aca="false">IF(AND(D688="Congé spécial",F688="Congé spécial"),0.333333333333333,IF(OR(AND(D688="Congé spécial",F688&lt;&gt;"Congé spécial"),AND(F688="Congé spécial",D688&lt;&gt;"Congé spécial")),0.166666666666667,""))</f>
        <v/>
      </c>
      <c r="AE688" s="8" t="str">
        <f aca="false">IF(AND(D688="Férié",F688="Férié"),0.333333333333333,IF(OR(AND(D688="Férié",F688&lt;&gt;"Férié"),(AND(F688="Férié",D688&lt;&gt;"Férié"))),0.166666666666667,""))</f>
        <v/>
      </c>
      <c r="AF688" s="18"/>
      <c r="AG688" s="18"/>
    </row>
    <row r="689" customFormat="false" ht="15" hidden="false" customHeight="false" outlineLevel="0" collapsed="false">
      <c r="A689" s="6" t="str">
        <f aca="false">YEAR(Q689-WEEKDAY(Q689,2)+4)&amp;"-S"&amp;TEXT(WEEKNUM(Q689,21),"00")</f>
        <v>2026-S21</v>
      </c>
      <c r="B689" s="18" t="s">
        <v>72</v>
      </c>
      <c r="C689" s="19" t="n">
        <v>0.331944444444444</v>
      </c>
      <c r="D689" s="19" t="n">
        <v>0.333333333333333</v>
      </c>
      <c r="E689" s="19" t="n">
        <v>0.75</v>
      </c>
      <c r="F689" s="19" t="n">
        <v>0.75</v>
      </c>
      <c r="G689" s="20"/>
      <c r="H689" s="20"/>
      <c r="I689" s="8" t="str">
        <f aca="false">IF(IF(OR(C689="",D689="Congé",D689="OFF",D689="Congé spécial"),"",IF(D689&gt;F689,D689-C689,IF(C689-D689&lt;0,0,C689-D689)))&lt;0.00068287037037037,"",IF(OR(D689="Congé",D689="OFF",C689="",D689="Congé spécial"),"",IF(D689&gt;F689,D689-C689,IF(C689-D689&lt;0,0,C689-D689))))</f>
        <v/>
      </c>
      <c r="J689" s="20"/>
      <c r="K689" s="8" t="n">
        <f aca="false">IF(SUM(H689:J689)&lt;0.00068287037037037,0,SUM(H689:J689))</f>
        <v>0</v>
      </c>
      <c r="L689" s="8" t="n">
        <f aca="false">IF(OR(F689="Congé",F689="OFF",M689="Abs",F689="Congé sans solde",F689="Férié",F689="Congé spécial",D689="Congé spécial"),0,IF(F689-E689&lt;0,0,IF(F689-E689&lt;=0.00068287037037037,0,F689-E689)))</f>
        <v>0</v>
      </c>
      <c r="M689" s="6" t="n">
        <f aca="false">IF(AND(O689&lt;&gt;0,C689=""),"Abs",0)</f>
        <v>0</v>
      </c>
      <c r="N689" s="8" t="n">
        <f aca="false">IFERROR(IF(OR(D689="OFF",D689="Congé",M689="Abs",D689="Congé sans solde",D689="Férié"),"",IF(O689-K689-L689&gt;O689,O689,IF(O689-K689-L689&lt;0,"",O689-K689-L689))),"")</f>
        <v>0.375</v>
      </c>
      <c r="O689" s="8" t="n">
        <f aca="false">IF(AG689="2H Pause déjeuner",IF(F689-D689-0.0833333333333333&lt;0,F689-D689-0.0833333333333333+1,F689-D689-0.0833333333333333),IF(OR(AND(F689="OFF",D689="OFF"),AND(F689="Congé",D689="Congé"),AND(F689="Congé sans solde",D689="Congé sans solde"),AND(F689="Congé spécial",D689="Congé spécial"),AND(F689="Férié",D689="Férié"),AND(F689="OFF",D689="Congé"),AND(F689="OFF",D689="Congé sans solde"),AND(F689="OFF",D689="Congé spécial"),AND(F689="OFF",D689="Férié"),AND(F689="Congé",D689="OFF"),AND(F689="Congé",D689="Congé sans solde"),AND(F689="Congé",D689="Congé spécial"),AND(F689="Congé",D689="Férié"),AND(F689="Congé sans solde",D689="OFF"),AND(F689="Congé sans solde",D689="Congé"),AND(F689="Congé sans solde",D689="Congé spécial"),AND(F689="Congé sans solde",D689="Férié"),AND(F689="Congé spécial",D689="OFF"),AND(F689="Congé spécial",D689="Congé"),AND(F689="Congé spécial",D689="Congé sans solde"),AND(F689="Congé spécial",D689="Férié"),AND(F689="Férié",D689="OFF"),AND(F689="Férié",D689="Congé"),AND(F689="Férié",D689="Congé sans solde"),AND(F689="Férié",D689="Congé spécial")),0,IF(OR(F689="OFF",F689="Congé",F689="Congé spécial",F689="Congé sans solde",D689="OFF",D689="Congé",D689="Congé spécial",D689="Congé sans solde"),0.208333333333334,IF(AND(AG689="",F689-D689&lt;0),("24:00:00"-D689)+("00:00:00"+F689)-0.0416666666666667,IF(AND(OR(AG689="Allaitement",AG689="Sans déjeuner"),F689-D689&lt;0),("24:00:00"-D689)+("00:00:00"+F689),IF(AND(AG689="",F689-D689&gt;0.166666666666667),F689-D689-0.0416666666666667,IF(AND(OR(AG689="Allaitement",AG689="Sans déjeuner"),F689-D689&gt;0.166666666666667),F689-D689,F689-D689)))))))</f>
        <v>0.375</v>
      </c>
      <c r="P689" s="6" t="str">
        <f aca="false">IFERROR(VLOOKUP($B689,Agents!$A:$D,2,0),"-")</f>
        <v>Accessibilité</v>
      </c>
      <c r="Q689" s="21" t="n">
        <v>46160</v>
      </c>
      <c r="R689" s="8" t="n">
        <f aca="false">IF(M689="Abs",O689,0)</f>
        <v>0</v>
      </c>
      <c r="S689" s="8" t="n">
        <f aca="false">SUM(R689,L689,I689,J689,W689,H689)</f>
        <v>0</v>
      </c>
      <c r="T689" s="6" t="str">
        <f aca="false">"Sem - "&amp;WEEKNUM(Q689,21)</f>
        <v>Sem - 21</v>
      </c>
      <c r="U689" s="6" t="str">
        <f aca="false">CHOOSE(MONTH(Q689),"Janvier","Février","Mars","Avril","Mai","Juin","Juillet","Août","Septembre","Octobre","Novembre","Décembre")</f>
        <v>Mai</v>
      </c>
      <c r="V689" s="22" t="n">
        <f aca="false">YEAR(Q689)</f>
        <v>2026</v>
      </c>
      <c r="W689" s="20"/>
      <c r="X689" s="8" t="n">
        <f aca="false">IFERROR(IF(M689="Abs",0,IF(ROUND((D689-C689+E689-F689)*1440,0)&lt;=1,0,D689-C689+E689-F689)),0)</f>
        <v>0.00138888888888889</v>
      </c>
      <c r="Y689" s="6" t="str">
        <f aca="false">IFERROR(VLOOKUP($B689,Agents!$A:$D,3,0),"-")</f>
        <v>OUBRAHIM Mohammed</v>
      </c>
      <c r="Z689" s="6" t="str">
        <f aca="false">IFERROR(VLOOKUP($B689,Agents!$A:$D,4,0),"-")</f>
        <v>Credit Mutuel</v>
      </c>
      <c r="AA689" s="18" t="s">
        <v>103</v>
      </c>
      <c r="AB689" s="8" t="str">
        <f aca="false">IF(AND(D689="Congé",F689="Congé"),0.333333333333333,IF(OR(AND(D689="Congé",F689&lt;&gt;"Congé"),(AND(F689="Congé",D689&lt;&gt;"Congé"))),0.166666666666667,""))</f>
        <v/>
      </c>
      <c r="AC689" s="8" t="str">
        <f aca="false">IF(AND(D689="Congé sans solde",F689="Congé sans solde"),0.333333333333333,IF(OR(AND(D689="Congé sans solde",F689&lt;&gt;"Congé sans solde"),(AND(F689="Congé sans solde",D689&lt;&gt;"Congé sans solde"))),0.166666666666667,""))</f>
        <v/>
      </c>
      <c r="AD689" s="8" t="str">
        <f aca="false">IF(AND(D689="Congé spécial",F689="Congé spécial"),0.333333333333333,IF(OR(AND(D689="Congé spécial",F689&lt;&gt;"Congé spécial"),AND(F689="Congé spécial",D689&lt;&gt;"Congé spécial")),0.166666666666667,""))</f>
        <v/>
      </c>
      <c r="AE689" s="8" t="str">
        <f aca="false">IF(AND(D689="Férié",F689="Férié"),0.333333333333333,IF(OR(AND(D689="Férié",F689&lt;&gt;"Férié"),(AND(F689="Férié",D689&lt;&gt;"Férié"))),0.166666666666667,""))</f>
        <v/>
      </c>
      <c r="AF689" s="18"/>
      <c r="AG689" s="18"/>
    </row>
    <row r="690" customFormat="false" ht="15" hidden="false" customHeight="false" outlineLevel="0" collapsed="false">
      <c r="A690" s="6" t="str">
        <f aca="false">YEAR(Q690-WEEKDAY(Q690,2)+4)&amp;"-S"&amp;TEXT(WEEKNUM(Q690,21),"00")</f>
        <v>2026-S21</v>
      </c>
      <c r="B690" s="18" t="s">
        <v>73</v>
      </c>
      <c r="C690" s="19" t="n">
        <v>0.338888888888889</v>
      </c>
      <c r="D690" s="19" t="n">
        <v>0.333333333333333</v>
      </c>
      <c r="E690" s="19" t="n">
        <v>0.75</v>
      </c>
      <c r="F690" s="19" t="n">
        <v>0.75</v>
      </c>
      <c r="G690" s="20"/>
      <c r="H690" s="20"/>
      <c r="I690" s="8" t="n">
        <f aca="false">IF(IF(OR(C690="",D690="Congé",D690="OFF",D690="Congé spécial"),"",IF(D690&gt;F690,D690-C690,IF(C690-D690&lt;0,0,C690-D690)))&lt;0.00068287037037037,"",IF(OR(D690="Congé",D690="OFF",C690="",D690="Congé spécial"),"",IF(D690&gt;F690,D690-C690,IF(C690-D690&lt;0,0,C690-D690))))</f>
        <v>0.00555555555555556</v>
      </c>
      <c r="J690" s="20"/>
      <c r="K690" s="8" t="n">
        <f aca="false">IF(SUM(H690:J690)&lt;0.00068287037037037,0,SUM(H690:J690))</f>
        <v>0.00555555555555556</v>
      </c>
      <c r="L690" s="8" t="n">
        <f aca="false">IF(OR(F690="Congé",F690="OFF",M690="Abs",F690="Congé sans solde",F690="Férié",F690="Congé spécial",D690="Congé spécial"),0,IF(F690-E690&lt;0,0,IF(F690-E690&lt;=0.00068287037037037,0,F690-E690)))</f>
        <v>0</v>
      </c>
      <c r="M690" s="6" t="n">
        <f aca="false">IF(AND(O690&lt;&gt;0,C690=""),"Abs",0)</f>
        <v>0</v>
      </c>
      <c r="N690" s="8" t="n">
        <f aca="false">IFERROR(IF(OR(D690="OFF",D690="Congé",M690="Abs",D690="Congé sans solde",D690="Férié"),"",IF(O690-K690-L690&gt;O690,O690,IF(O690-K690-L690&lt;0,"",O690-K690-L690))),"")</f>
        <v>0.369444444444444</v>
      </c>
      <c r="O690" s="8" t="n">
        <f aca="false">IF(AG690="2H Pause déjeuner",IF(F690-D690-0.0833333333333333&lt;0,F690-D690-0.0833333333333333+1,F690-D690-0.0833333333333333),IF(OR(AND(F690="OFF",D690="OFF"),AND(F690="Congé",D690="Congé"),AND(F690="Congé sans solde",D690="Congé sans solde"),AND(F690="Congé spécial",D690="Congé spécial"),AND(F690="Férié",D690="Férié"),AND(F690="OFF",D690="Congé"),AND(F690="OFF",D690="Congé sans solde"),AND(F690="OFF",D690="Congé spécial"),AND(F690="OFF",D690="Férié"),AND(F690="Congé",D690="OFF"),AND(F690="Congé",D690="Congé sans solde"),AND(F690="Congé",D690="Congé spécial"),AND(F690="Congé",D690="Férié"),AND(F690="Congé sans solde",D690="OFF"),AND(F690="Congé sans solde",D690="Congé"),AND(F690="Congé sans solde",D690="Congé spécial"),AND(F690="Congé sans solde",D690="Férié"),AND(F690="Congé spécial",D690="OFF"),AND(F690="Congé spécial",D690="Congé"),AND(F690="Congé spécial",D690="Congé sans solde"),AND(F690="Congé spécial",D690="Férié"),AND(F690="Férié",D690="OFF"),AND(F690="Férié",D690="Congé"),AND(F690="Férié",D690="Congé sans solde"),AND(F690="Férié",D690="Congé spécial")),0,IF(OR(F690="OFF",F690="Congé",F690="Congé spécial",F690="Congé sans solde",D690="OFF",D690="Congé",D690="Congé spécial",D690="Congé sans solde"),0.208333333333334,IF(AND(AG690="",F690-D690&lt;0),("24:00:00"-D690)+("00:00:00"+F690)-0.0416666666666667,IF(AND(OR(AG690="Allaitement",AG690="Sans déjeuner"),F690-D690&lt;0),("24:00:00"-D690)+("00:00:00"+F690),IF(AND(AG690="",F690-D690&gt;0.166666666666667),F690-D690-0.0416666666666667,IF(AND(OR(AG690="Allaitement",AG690="Sans déjeuner"),F690-D690&gt;0.166666666666667),F690-D690,F690-D690)))))))</f>
        <v>0.375</v>
      </c>
      <c r="P690" s="6" t="str">
        <f aca="false">IFERROR(VLOOKUP($B690,Agents!$A:$D,2,0),"-")</f>
        <v>Accessibilité</v>
      </c>
      <c r="Q690" s="21" t="n">
        <v>46160</v>
      </c>
      <c r="R690" s="8" t="n">
        <f aca="false">IF(M690="Abs",O690,0)</f>
        <v>0</v>
      </c>
      <c r="S690" s="8" t="n">
        <f aca="false">SUM(R690,L690,I690,J690,W690,H690)</f>
        <v>0.00555555555555556</v>
      </c>
      <c r="T690" s="6" t="str">
        <f aca="false">"Sem - "&amp;WEEKNUM(Q690,21)</f>
        <v>Sem - 21</v>
      </c>
      <c r="U690" s="6" t="str">
        <f aca="false">CHOOSE(MONTH(Q690),"Janvier","Février","Mars","Avril","Mai","Juin","Juillet","Août","Septembre","Octobre","Novembre","Décembre")</f>
        <v>Mai</v>
      </c>
      <c r="V690" s="22" t="n">
        <f aca="false">YEAR(Q690)</f>
        <v>2026</v>
      </c>
      <c r="W690" s="20"/>
      <c r="X690" s="8" t="n">
        <f aca="false">IFERROR(IF(M690="Abs",0,IF(ROUND((D690-C690+E690-F690)*1440,0)&lt;=1,0,D690-C690+E690-F690)),0)</f>
        <v>0</v>
      </c>
      <c r="Y690" s="6" t="str">
        <f aca="false">IFERROR(VLOOKUP($B690,Agents!$A:$D,3,0),"-")</f>
        <v>OUBRAHIM Mohammed</v>
      </c>
      <c r="Z690" s="6" t="str">
        <f aca="false">IFERROR(VLOOKUP($B690,Agents!$A:$D,4,0),"-")</f>
        <v>Credit Mutuel</v>
      </c>
      <c r="AA690" s="18" t="s">
        <v>103</v>
      </c>
      <c r="AB690" s="8" t="str">
        <f aca="false">IF(AND(D690="Congé",F690="Congé"),0.333333333333333,IF(OR(AND(D690="Congé",F690&lt;&gt;"Congé"),(AND(F690="Congé",D690&lt;&gt;"Congé"))),0.166666666666667,""))</f>
        <v/>
      </c>
      <c r="AC690" s="8" t="str">
        <f aca="false">IF(AND(D690="Congé sans solde",F690="Congé sans solde"),0.333333333333333,IF(OR(AND(D690="Congé sans solde",F690&lt;&gt;"Congé sans solde"),(AND(F690="Congé sans solde",D690&lt;&gt;"Congé sans solde"))),0.166666666666667,""))</f>
        <v/>
      </c>
      <c r="AD690" s="8" t="str">
        <f aca="false">IF(AND(D690="Congé spécial",F690="Congé spécial"),0.333333333333333,IF(OR(AND(D690="Congé spécial",F690&lt;&gt;"Congé spécial"),AND(F690="Congé spécial",D690&lt;&gt;"Congé spécial")),0.166666666666667,""))</f>
        <v/>
      </c>
      <c r="AE690" s="8" t="str">
        <f aca="false">IF(AND(D690="Férié",F690="Férié"),0.333333333333333,IF(OR(AND(D690="Férié",F690&lt;&gt;"Férié"),(AND(F690="Férié",D690&lt;&gt;"Férié"))),0.166666666666667,""))</f>
        <v/>
      </c>
      <c r="AF690" s="18"/>
      <c r="AG690" s="18"/>
    </row>
    <row r="691" customFormat="false" ht="15" hidden="false" customHeight="false" outlineLevel="0" collapsed="false">
      <c r="A691" s="6" t="str">
        <f aca="false">YEAR(Q691-WEEKDAY(Q691,2)+4)&amp;"-S"&amp;TEXT(WEEKNUM(Q691,21),"00")</f>
        <v>2026-S21</v>
      </c>
      <c r="B691" s="18" t="s">
        <v>71</v>
      </c>
      <c r="C691" s="19" t="n">
        <v>0.331944444444444</v>
      </c>
      <c r="D691" s="19" t="n">
        <v>0.333333333333333</v>
      </c>
      <c r="E691" s="19" t="n">
        <v>0.75</v>
      </c>
      <c r="F691" s="19" t="n">
        <v>0.75</v>
      </c>
      <c r="G691" s="20"/>
      <c r="H691" s="20"/>
      <c r="I691" s="8" t="str">
        <f aca="false">IF(IF(OR(C691="",D691="Congé",D691="OFF",D691="Congé spécial"),"",IF(D691&gt;F691,D691-C691,IF(C691-D691&lt;0,0,C691-D691)))&lt;0.00068287037037037,"",IF(OR(D691="Congé",D691="OFF",C691="",D691="Congé spécial"),"",IF(D691&gt;F691,D691-C691,IF(C691-D691&lt;0,0,C691-D691))))</f>
        <v/>
      </c>
      <c r="J691" s="20"/>
      <c r="K691" s="8" t="n">
        <f aca="false">IF(SUM(H691:J691)&lt;0.00068287037037037,0,SUM(H691:J691))</f>
        <v>0</v>
      </c>
      <c r="L691" s="8" t="n">
        <f aca="false">IF(OR(F691="Congé",F691="OFF",M691="Abs",F691="Congé sans solde",F691="Férié",F691="Congé spécial",D691="Congé spécial"),0,IF(F691-E691&lt;0,0,IF(F691-E691&lt;=0.00068287037037037,0,F691-E691)))</f>
        <v>0</v>
      </c>
      <c r="M691" s="6" t="n">
        <f aca="false">IF(AND(O691&lt;&gt;0,C691=""),"Abs",0)</f>
        <v>0</v>
      </c>
      <c r="N691" s="8" t="n">
        <f aca="false">IFERROR(IF(OR(D691="OFF",D691="Congé",M691="Abs",D691="Congé sans solde",D691="Férié"),"",IF(O691-K691-L691&gt;O691,O691,IF(O691-K691-L691&lt;0,"",O691-K691-L691))),"")</f>
        <v>0.375</v>
      </c>
      <c r="O691" s="8" t="n">
        <f aca="false">IF(AG691="2H Pause déjeuner",IF(F691-D691-0.0833333333333333&lt;0,F691-D691-0.0833333333333333+1,F691-D691-0.0833333333333333),IF(OR(AND(F691="OFF",D691="OFF"),AND(F691="Congé",D691="Congé"),AND(F691="Congé sans solde",D691="Congé sans solde"),AND(F691="Congé spécial",D691="Congé spécial"),AND(F691="Férié",D691="Férié"),AND(F691="OFF",D691="Congé"),AND(F691="OFF",D691="Congé sans solde"),AND(F691="OFF",D691="Congé spécial"),AND(F691="OFF",D691="Férié"),AND(F691="Congé",D691="OFF"),AND(F691="Congé",D691="Congé sans solde"),AND(F691="Congé",D691="Congé spécial"),AND(F691="Congé",D691="Férié"),AND(F691="Congé sans solde",D691="OFF"),AND(F691="Congé sans solde",D691="Congé"),AND(F691="Congé sans solde",D691="Congé spécial"),AND(F691="Congé sans solde",D691="Férié"),AND(F691="Congé spécial",D691="OFF"),AND(F691="Congé spécial",D691="Congé"),AND(F691="Congé spécial",D691="Congé sans solde"),AND(F691="Congé spécial",D691="Férié"),AND(F691="Férié",D691="OFF"),AND(F691="Férié",D691="Congé"),AND(F691="Férié",D691="Congé sans solde"),AND(F691="Férié",D691="Congé spécial")),0,IF(OR(F691="OFF",F691="Congé",F691="Congé spécial",F691="Congé sans solde",D691="OFF",D691="Congé",D691="Congé spécial",D691="Congé sans solde"),0.208333333333334,IF(AND(AG691="",F691-D691&lt;0),("24:00:00"-D691)+("00:00:00"+F691)-0.0416666666666667,IF(AND(OR(AG691="Allaitement",AG691="Sans déjeuner"),F691-D691&lt;0),("24:00:00"-D691)+("00:00:00"+F691),IF(AND(AG691="",F691-D691&gt;0.166666666666667),F691-D691-0.0416666666666667,IF(AND(OR(AG691="Allaitement",AG691="Sans déjeuner"),F691-D691&gt;0.166666666666667),F691-D691,F691-D691)))))))</f>
        <v>0.375</v>
      </c>
      <c r="P691" s="6" t="str">
        <f aca="false">IFERROR(VLOOKUP($B691,Agents!$A:$D,2,0),"-")</f>
        <v>Accessibilité</v>
      </c>
      <c r="Q691" s="21" t="n">
        <v>46161</v>
      </c>
      <c r="R691" s="8" t="n">
        <f aca="false">IF(M691="Abs",O691,0)</f>
        <v>0</v>
      </c>
      <c r="S691" s="8" t="n">
        <f aca="false">SUM(R691,L691,I691,J691,W691,H691)</f>
        <v>0</v>
      </c>
      <c r="T691" s="6" t="str">
        <f aca="false">"Sem - "&amp;WEEKNUM(Q691,21)</f>
        <v>Sem - 21</v>
      </c>
      <c r="U691" s="6" t="str">
        <f aca="false">CHOOSE(MONTH(Q691),"Janvier","Février","Mars","Avril","Mai","Juin","Juillet","Août","Septembre","Octobre","Novembre","Décembre")</f>
        <v>Mai</v>
      </c>
      <c r="V691" s="22" t="n">
        <f aca="false">YEAR(Q691)</f>
        <v>2026</v>
      </c>
      <c r="W691" s="20"/>
      <c r="X691" s="8" t="n">
        <f aca="false">IFERROR(IF(M691="Abs",0,IF(ROUND((D691-C691+E691-F691)*1440,0)&lt;=1,0,D691-C691+E691-F691)),0)</f>
        <v>0.00138888888888889</v>
      </c>
      <c r="Y691" s="6" t="str">
        <f aca="false">IFERROR(VLOOKUP($B691,Agents!$A:$D,3,0),"-")</f>
        <v>OUBRAHIM Mohammed</v>
      </c>
      <c r="Z691" s="6" t="str">
        <f aca="false">IFERROR(VLOOKUP($B691,Agents!$A:$D,4,0),"-")</f>
        <v>Credit Mutuel</v>
      </c>
      <c r="AA691" s="18" t="s">
        <v>103</v>
      </c>
      <c r="AB691" s="8" t="str">
        <f aca="false">IF(AND(D691="Congé",F691="Congé"),0.333333333333333,IF(OR(AND(D691="Congé",F691&lt;&gt;"Congé"),(AND(F691="Congé",D691&lt;&gt;"Congé"))),0.166666666666667,""))</f>
        <v/>
      </c>
      <c r="AC691" s="8" t="str">
        <f aca="false">IF(AND(D691="Congé sans solde",F691="Congé sans solde"),0.333333333333333,IF(OR(AND(D691="Congé sans solde",F691&lt;&gt;"Congé sans solde"),(AND(F691="Congé sans solde",D691&lt;&gt;"Congé sans solde"))),0.166666666666667,""))</f>
        <v/>
      </c>
      <c r="AD691" s="8" t="str">
        <f aca="false">IF(AND(D691="Congé spécial",F691="Congé spécial"),0.333333333333333,IF(OR(AND(D691="Congé spécial",F691&lt;&gt;"Congé spécial"),AND(F691="Congé spécial",D691&lt;&gt;"Congé spécial")),0.166666666666667,""))</f>
        <v/>
      </c>
      <c r="AE691" s="8" t="str">
        <f aca="false">IF(AND(D691="Férié",F691="Férié"),0.333333333333333,IF(OR(AND(D691="Férié",F691&lt;&gt;"Férié"),(AND(F691="Férié",D691&lt;&gt;"Férié"))),0.166666666666667,""))</f>
        <v/>
      </c>
      <c r="AF691" s="18"/>
      <c r="AG691" s="18"/>
    </row>
    <row r="692" customFormat="false" ht="15" hidden="false" customHeight="false" outlineLevel="0" collapsed="false">
      <c r="A692" s="6" t="str">
        <f aca="false">YEAR(Q692-WEEKDAY(Q692,2)+4)&amp;"-S"&amp;TEXT(WEEKNUM(Q692,21),"00")</f>
        <v>2026-S21</v>
      </c>
      <c r="B692" s="18" t="s">
        <v>72</v>
      </c>
      <c r="C692" s="19" t="n">
        <v>0.331944444444444</v>
      </c>
      <c r="D692" s="19" t="n">
        <v>0.333333333333333</v>
      </c>
      <c r="E692" s="19" t="n">
        <v>0.75</v>
      </c>
      <c r="F692" s="19" t="n">
        <v>0.75</v>
      </c>
      <c r="G692" s="20"/>
      <c r="H692" s="20"/>
      <c r="I692" s="8" t="str">
        <f aca="false">IF(IF(OR(C692="",D692="Congé",D692="OFF",D692="Congé spécial"),"",IF(D692&gt;F692,D692-C692,IF(C692-D692&lt;0,0,C692-D692)))&lt;0.00068287037037037,"",IF(OR(D692="Congé",D692="OFF",C692="",D692="Congé spécial"),"",IF(D692&gt;F692,D692-C692,IF(C692-D692&lt;0,0,C692-D692))))</f>
        <v/>
      </c>
      <c r="J692" s="20"/>
      <c r="K692" s="8" t="n">
        <f aca="false">IF(SUM(H692:J692)&lt;0.00068287037037037,0,SUM(H692:J692))</f>
        <v>0</v>
      </c>
      <c r="L692" s="8" t="n">
        <f aca="false">IF(OR(F692="Congé",F692="OFF",M692="Abs",F692="Congé sans solde",F692="Férié",F692="Congé spécial",D692="Congé spécial"),0,IF(F692-E692&lt;0,0,IF(F692-E692&lt;=0.00068287037037037,0,F692-E692)))</f>
        <v>0</v>
      </c>
      <c r="M692" s="6" t="n">
        <f aca="false">IF(AND(O692&lt;&gt;0,C692=""),"Abs",0)</f>
        <v>0</v>
      </c>
      <c r="N692" s="8" t="n">
        <f aca="false">IFERROR(IF(OR(D692="OFF",D692="Congé",M692="Abs",D692="Congé sans solde",D692="Férié"),"",IF(O692-K692-L692&gt;O692,O692,IF(O692-K692-L692&lt;0,"",O692-K692-L692))),"")</f>
        <v>0.375</v>
      </c>
      <c r="O692" s="8" t="n">
        <f aca="false">IF(AG692="2H Pause déjeuner",IF(F692-D692-0.0833333333333333&lt;0,F692-D692-0.0833333333333333+1,F692-D692-0.0833333333333333),IF(OR(AND(F692="OFF",D692="OFF"),AND(F692="Congé",D692="Congé"),AND(F692="Congé sans solde",D692="Congé sans solde"),AND(F692="Congé spécial",D692="Congé spécial"),AND(F692="Férié",D692="Férié"),AND(F692="OFF",D692="Congé"),AND(F692="OFF",D692="Congé sans solde"),AND(F692="OFF",D692="Congé spécial"),AND(F692="OFF",D692="Férié"),AND(F692="Congé",D692="OFF"),AND(F692="Congé",D692="Congé sans solde"),AND(F692="Congé",D692="Congé spécial"),AND(F692="Congé",D692="Férié"),AND(F692="Congé sans solde",D692="OFF"),AND(F692="Congé sans solde",D692="Congé"),AND(F692="Congé sans solde",D692="Congé spécial"),AND(F692="Congé sans solde",D692="Férié"),AND(F692="Congé spécial",D692="OFF"),AND(F692="Congé spécial",D692="Congé"),AND(F692="Congé spécial",D692="Congé sans solde"),AND(F692="Congé spécial",D692="Férié"),AND(F692="Férié",D692="OFF"),AND(F692="Férié",D692="Congé"),AND(F692="Férié",D692="Congé sans solde"),AND(F692="Férié",D692="Congé spécial")),0,IF(OR(F692="OFF",F692="Congé",F692="Congé spécial",F692="Congé sans solde",D692="OFF",D692="Congé",D692="Congé spécial",D692="Congé sans solde"),0.208333333333334,IF(AND(AG692="",F692-D692&lt;0),("24:00:00"-D692)+("00:00:00"+F692)-0.0416666666666667,IF(AND(OR(AG692="Allaitement",AG692="Sans déjeuner"),F692-D692&lt;0),("24:00:00"-D692)+("00:00:00"+F692),IF(AND(AG692="",F692-D692&gt;0.166666666666667),F692-D692-0.0416666666666667,IF(AND(OR(AG692="Allaitement",AG692="Sans déjeuner"),F692-D692&gt;0.166666666666667),F692-D692,F692-D692)))))))</f>
        <v>0.375</v>
      </c>
      <c r="P692" s="6" t="str">
        <f aca="false">IFERROR(VLOOKUP($B692,Agents!$A:$D,2,0),"-")</f>
        <v>Accessibilité</v>
      </c>
      <c r="Q692" s="21" t="n">
        <v>46161</v>
      </c>
      <c r="R692" s="8" t="n">
        <f aca="false">IF(M692="Abs",O692,0)</f>
        <v>0</v>
      </c>
      <c r="S692" s="8" t="n">
        <f aca="false">SUM(R692,L692,I692,J692,W692,H692)</f>
        <v>0</v>
      </c>
      <c r="T692" s="6" t="str">
        <f aca="false">"Sem - "&amp;WEEKNUM(Q692,21)</f>
        <v>Sem - 21</v>
      </c>
      <c r="U692" s="6" t="str">
        <f aca="false">CHOOSE(MONTH(Q692),"Janvier","Février","Mars","Avril","Mai","Juin","Juillet","Août","Septembre","Octobre","Novembre","Décembre")</f>
        <v>Mai</v>
      </c>
      <c r="V692" s="22" t="n">
        <f aca="false">YEAR(Q692)</f>
        <v>2026</v>
      </c>
      <c r="W692" s="20"/>
      <c r="X692" s="8" t="n">
        <f aca="false">IFERROR(IF(M692="Abs",0,IF(ROUND((D692-C692+E692-F692)*1440,0)&lt;=1,0,D692-C692+E692-F692)),0)</f>
        <v>0.00138888888888889</v>
      </c>
      <c r="Y692" s="6" t="str">
        <f aca="false">IFERROR(VLOOKUP($B692,Agents!$A:$D,3,0),"-")</f>
        <v>OUBRAHIM Mohammed</v>
      </c>
      <c r="Z692" s="6" t="str">
        <f aca="false">IFERROR(VLOOKUP($B692,Agents!$A:$D,4,0),"-")</f>
        <v>Credit Mutuel</v>
      </c>
      <c r="AA692" s="18" t="s">
        <v>103</v>
      </c>
      <c r="AB692" s="8" t="str">
        <f aca="false">IF(AND(D692="Congé",F692="Congé"),0.333333333333333,IF(OR(AND(D692="Congé",F692&lt;&gt;"Congé"),(AND(F692="Congé",D692&lt;&gt;"Congé"))),0.166666666666667,""))</f>
        <v/>
      </c>
      <c r="AC692" s="8" t="str">
        <f aca="false">IF(AND(D692="Congé sans solde",F692="Congé sans solde"),0.333333333333333,IF(OR(AND(D692="Congé sans solde",F692&lt;&gt;"Congé sans solde"),(AND(F692="Congé sans solde",D692&lt;&gt;"Congé sans solde"))),0.166666666666667,""))</f>
        <v/>
      </c>
      <c r="AD692" s="8" t="str">
        <f aca="false">IF(AND(D692="Congé spécial",F692="Congé spécial"),0.333333333333333,IF(OR(AND(D692="Congé spécial",F692&lt;&gt;"Congé spécial"),AND(F692="Congé spécial",D692&lt;&gt;"Congé spécial")),0.166666666666667,""))</f>
        <v/>
      </c>
      <c r="AE692" s="8" t="str">
        <f aca="false">IF(AND(D692="Férié",F692="Férié"),0.333333333333333,IF(OR(AND(D692="Férié",F692&lt;&gt;"Férié"),(AND(F692="Férié",D692&lt;&gt;"Férié"))),0.166666666666667,""))</f>
        <v/>
      </c>
      <c r="AF692" s="18"/>
      <c r="AG692" s="18"/>
    </row>
    <row r="693" customFormat="false" ht="15" hidden="false" customHeight="false" outlineLevel="0" collapsed="false">
      <c r="A693" s="6" t="str">
        <f aca="false">YEAR(Q693-WEEKDAY(Q693,2)+4)&amp;"-S"&amp;TEXT(WEEKNUM(Q693,21),"00")</f>
        <v>2026-S21</v>
      </c>
      <c r="B693" s="18" t="s">
        <v>73</v>
      </c>
      <c r="C693" s="19" t="n">
        <v>0.333333333333333</v>
      </c>
      <c r="D693" s="19" t="n">
        <v>0.333333333333333</v>
      </c>
      <c r="E693" s="19" t="n">
        <v>0.75</v>
      </c>
      <c r="F693" s="19" t="n">
        <v>0.75</v>
      </c>
      <c r="G693" s="20"/>
      <c r="H693" s="20"/>
      <c r="I693" s="8" t="str">
        <f aca="false">IF(IF(OR(C693="",D693="Congé",D693="OFF",D693="Congé spécial"),"",IF(D693&gt;F693,D693-C693,IF(C693-D693&lt;0,0,C693-D693)))&lt;0.00068287037037037,"",IF(OR(D693="Congé",D693="OFF",C693="",D693="Congé spécial"),"",IF(D693&gt;F693,D693-C693,IF(C693-D693&lt;0,0,C693-D693))))</f>
        <v/>
      </c>
      <c r="J693" s="20"/>
      <c r="K693" s="8" t="n">
        <f aca="false">IF(SUM(H693:J693)&lt;0.00068287037037037,0,SUM(H693:J693))</f>
        <v>0</v>
      </c>
      <c r="L693" s="8" t="n">
        <f aca="false">IF(OR(F693="Congé",F693="OFF",M693="Abs",F693="Congé sans solde",F693="Férié",F693="Congé spécial",D693="Congé spécial"),0,IF(F693-E693&lt;0,0,IF(F693-E693&lt;=0.00068287037037037,0,F693-E693)))</f>
        <v>0</v>
      </c>
      <c r="M693" s="6" t="n">
        <f aca="false">IF(AND(O693&lt;&gt;0,C693=""),"Abs",0)</f>
        <v>0</v>
      </c>
      <c r="N693" s="8" t="n">
        <f aca="false">IFERROR(IF(OR(D693="OFF",D693="Congé",M693="Abs",D693="Congé sans solde",D693="Férié"),"",IF(O693-K693-L693&gt;O693,O693,IF(O693-K693-L693&lt;0,"",O693-K693-L693))),"")</f>
        <v>0.375</v>
      </c>
      <c r="O693" s="8" t="n">
        <f aca="false">IF(AG693="2H Pause déjeuner",IF(F693-D693-0.0833333333333333&lt;0,F693-D693-0.0833333333333333+1,F693-D693-0.0833333333333333),IF(OR(AND(F693="OFF",D693="OFF"),AND(F693="Congé",D693="Congé"),AND(F693="Congé sans solde",D693="Congé sans solde"),AND(F693="Congé spécial",D693="Congé spécial"),AND(F693="Férié",D693="Férié"),AND(F693="OFF",D693="Congé"),AND(F693="OFF",D693="Congé sans solde"),AND(F693="OFF",D693="Congé spécial"),AND(F693="OFF",D693="Férié"),AND(F693="Congé",D693="OFF"),AND(F693="Congé",D693="Congé sans solde"),AND(F693="Congé",D693="Congé spécial"),AND(F693="Congé",D693="Férié"),AND(F693="Congé sans solde",D693="OFF"),AND(F693="Congé sans solde",D693="Congé"),AND(F693="Congé sans solde",D693="Congé spécial"),AND(F693="Congé sans solde",D693="Férié"),AND(F693="Congé spécial",D693="OFF"),AND(F693="Congé spécial",D693="Congé"),AND(F693="Congé spécial",D693="Congé sans solde"),AND(F693="Congé spécial",D693="Férié"),AND(F693="Férié",D693="OFF"),AND(F693="Férié",D693="Congé"),AND(F693="Férié",D693="Congé sans solde"),AND(F693="Férié",D693="Congé spécial")),0,IF(OR(F693="OFF",F693="Congé",F693="Congé spécial",F693="Congé sans solde",D693="OFF",D693="Congé",D693="Congé spécial",D693="Congé sans solde"),0.208333333333334,IF(AND(AG693="",F693-D693&lt;0),("24:00:00"-D693)+("00:00:00"+F693)-0.0416666666666667,IF(AND(OR(AG693="Allaitement",AG693="Sans déjeuner"),F693-D693&lt;0),("24:00:00"-D693)+("00:00:00"+F693),IF(AND(AG693="",F693-D693&gt;0.166666666666667),F693-D693-0.0416666666666667,IF(AND(OR(AG693="Allaitement",AG693="Sans déjeuner"),F693-D693&gt;0.166666666666667),F693-D693,F693-D693)))))))</f>
        <v>0.375</v>
      </c>
      <c r="P693" s="6" t="str">
        <f aca="false">IFERROR(VLOOKUP($B693,Agents!$A:$D,2,0),"-")</f>
        <v>Accessibilité</v>
      </c>
      <c r="Q693" s="21" t="n">
        <v>46161</v>
      </c>
      <c r="R693" s="8" t="n">
        <f aca="false">IF(M693="Abs",O693,0)</f>
        <v>0</v>
      </c>
      <c r="S693" s="8" t="n">
        <f aca="false">SUM(R693,L693,I693,J693,W693,H693)</f>
        <v>0</v>
      </c>
      <c r="T693" s="6" t="str">
        <f aca="false">"Sem - "&amp;WEEKNUM(Q693,21)</f>
        <v>Sem - 21</v>
      </c>
      <c r="U693" s="6" t="str">
        <f aca="false">CHOOSE(MONTH(Q693),"Janvier","Février","Mars","Avril","Mai","Juin","Juillet","Août","Septembre","Octobre","Novembre","Décembre")</f>
        <v>Mai</v>
      </c>
      <c r="V693" s="22" t="n">
        <f aca="false">YEAR(Q693)</f>
        <v>2026</v>
      </c>
      <c r="W693" s="20"/>
      <c r="X693" s="8" t="n">
        <f aca="false">IFERROR(IF(M693="Abs",0,IF(ROUND((D693-C693+E693-F693)*1440,0)&lt;=1,0,D693-C693+E693-F693)),0)</f>
        <v>0</v>
      </c>
      <c r="Y693" s="6" t="str">
        <f aca="false">IFERROR(VLOOKUP($B693,Agents!$A:$D,3,0),"-")</f>
        <v>OUBRAHIM Mohammed</v>
      </c>
      <c r="Z693" s="6" t="str">
        <f aca="false">IFERROR(VLOOKUP($B693,Agents!$A:$D,4,0),"-")</f>
        <v>Credit Mutuel</v>
      </c>
      <c r="AA693" s="18" t="s">
        <v>103</v>
      </c>
      <c r="AB693" s="8" t="str">
        <f aca="false">IF(AND(D693="Congé",F693="Congé"),0.333333333333333,IF(OR(AND(D693="Congé",F693&lt;&gt;"Congé"),(AND(F693="Congé",D693&lt;&gt;"Congé"))),0.166666666666667,""))</f>
        <v/>
      </c>
      <c r="AC693" s="8" t="str">
        <f aca="false">IF(AND(D693="Congé sans solde",F693="Congé sans solde"),0.333333333333333,IF(OR(AND(D693="Congé sans solde",F693&lt;&gt;"Congé sans solde"),(AND(F693="Congé sans solde",D693&lt;&gt;"Congé sans solde"))),0.166666666666667,""))</f>
        <v/>
      </c>
      <c r="AD693" s="8" t="str">
        <f aca="false">IF(AND(D693="Congé spécial",F693="Congé spécial"),0.333333333333333,IF(OR(AND(D693="Congé spécial",F693&lt;&gt;"Congé spécial"),AND(F693="Congé spécial",D693&lt;&gt;"Congé spécial")),0.166666666666667,""))</f>
        <v/>
      </c>
      <c r="AE693" s="8" t="str">
        <f aca="false">IF(AND(D693="Férié",F693="Férié"),0.333333333333333,IF(OR(AND(D693="Férié",F693&lt;&gt;"Férié"),(AND(F693="Férié",D693&lt;&gt;"Férié"))),0.166666666666667,""))</f>
        <v/>
      </c>
      <c r="AF693" s="18"/>
      <c r="AG693" s="18"/>
    </row>
    <row r="694" customFormat="false" ht="15" hidden="false" customHeight="false" outlineLevel="0" collapsed="false">
      <c r="A694" s="6" t="str">
        <f aca="false">YEAR(Q694-WEEKDAY(Q694,2)+4)&amp;"-S"&amp;TEXT(WEEKNUM(Q694,21),"00")</f>
        <v>2026-S21</v>
      </c>
      <c r="B694" s="18" t="s">
        <v>71</v>
      </c>
      <c r="C694" s="19"/>
      <c r="D694" s="19" t="n">
        <v>0.333333333333333</v>
      </c>
      <c r="E694" s="19"/>
      <c r="F694" s="19" t="n">
        <v>0.75</v>
      </c>
      <c r="G694" s="20"/>
      <c r="H694" s="20"/>
      <c r="I694" s="8" t="str">
        <f aca="false">IF(IF(OR(C694="",D694="Congé",D694="OFF",D694="Congé spécial"),"",IF(D694&gt;F694,D694-C694,IF(C694-D694&lt;0,0,C694-D694)))&lt;0.00068287037037037,"",IF(OR(D694="Congé",D694="OFF",C694="",D694="Congé spécial"),"",IF(D694&gt;F694,D694-C694,IF(C694-D694&lt;0,0,C694-D694))))</f>
        <v/>
      </c>
      <c r="J694" s="20"/>
      <c r="K694" s="8" t="n">
        <f aca="false">IF(SUM(H694:J694)&lt;0.00068287037037037,0,SUM(H694:J694))</f>
        <v>0</v>
      </c>
      <c r="L694" s="8" t="n">
        <f aca="false">IF(OR(F694="Congé",F694="OFF",M694="Abs",F694="Congé sans solde",F694="Férié",F694="Congé spécial",D694="Congé spécial"),0,IF(F694-E694&lt;0,0,IF(F694-E694&lt;=0.00068287037037037,0,F694-E694)))</f>
        <v>0</v>
      </c>
      <c r="M694" s="6" t="str">
        <f aca="false">IF(AND(O694&lt;&gt;0,C694=""),"Abs",0)</f>
        <v>Abs</v>
      </c>
      <c r="N694" s="8" t="str">
        <f aca="false">IFERROR(IF(OR(D694="OFF",D694="Congé",M694="Abs",D694="Congé sans solde",D694="Férié"),"",IF(O694-K694-L694&gt;O694,O694,IF(O694-K694-L694&lt;0,"",O694-K694-L694))),"")</f>
        <v/>
      </c>
      <c r="O694" s="8" t="n">
        <f aca="false">IF(AG694="2H Pause déjeuner",IF(F694-D694-0.0833333333333333&lt;0,F694-D694-0.0833333333333333+1,F694-D694-0.0833333333333333),IF(OR(AND(F694="OFF",D694="OFF"),AND(F694="Congé",D694="Congé"),AND(F694="Congé sans solde",D694="Congé sans solde"),AND(F694="Congé spécial",D694="Congé spécial"),AND(F694="Férié",D694="Férié"),AND(F694="OFF",D694="Congé"),AND(F694="OFF",D694="Congé sans solde"),AND(F694="OFF",D694="Congé spécial"),AND(F694="OFF",D694="Férié"),AND(F694="Congé",D694="OFF"),AND(F694="Congé",D694="Congé sans solde"),AND(F694="Congé",D694="Congé spécial"),AND(F694="Congé",D694="Férié"),AND(F694="Congé sans solde",D694="OFF"),AND(F694="Congé sans solde",D694="Congé"),AND(F694="Congé sans solde",D694="Congé spécial"),AND(F694="Congé sans solde",D694="Férié"),AND(F694="Congé spécial",D694="OFF"),AND(F694="Congé spécial",D694="Congé"),AND(F694="Congé spécial",D694="Congé sans solde"),AND(F694="Congé spécial",D694="Férié"),AND(F694="Férié",D694="OFF"),AND(F694="Férié",D694="Congé"),AND(F694="Férié",D694="Congé sans solde"),AND(F694="Férié",D694="Congé spécial")),0,IF(OR(F694="OFF",F694="Congé",F694="Congé spécial",F694="Congé sans solde",D694="OFF",D694="Congé",D694="Congé spécial",D694="Congé sans solde"),0.208333333333334,IF(AND(AG694="",F694-D694&lt;0),("24:00:00"-D694)+("00:00:00"+F694)-0.0416666666666667,IF(AND(OR(AG694="Allaitement",AG694="Sans déjeuner"),F694-D694&lt;0),("24:00:00"-D694)+("00:00:00"+F694),IF(AND(AG694="",F694-D694&gt;0.166666666666667),F694-D694-0.0416666666666667,IF(AND(OR(AG694="Allaitement",AG694="Sans déjeuner"),F694-D694&gt;0.166666666666667),F694-D694,F694-D694)))))))</f>
        <v>0.375</v>
      </c>
      <c r="P694" s="6" t="str">
        <f aca="false">IFERROR(VLOOKUP($B694,Agents!$A:$D,2,0),"-")</f>
        <v>Accessibilité</v>
      </c>
      <c r="Q694" s="21" t="n">
        <v>46162</v>
      </c>
      <c r="R694" s="8" t="n">
        <f aca="false">IF(M694="Abs",O694,0)</f>
        <v>0.375</v>
      </c>
      <c r="S694" s="8" t="n">
        <f aca="false">SUM(R694,L694,I694,J694,W694,H694)</f>
        <v>0.375</v>
      </c>
      <c r="T694" s="6" t="str">
        <f aca="false">"Sem - "&amp;WEEKNUM(Q694,21)</f>
        <v>Sem - 21</v>
      </c>
      <c r="U694" s="6" t="str">
        <f aca="false">CHOOSE(MONTH(Q694),"Janvier","Février","Mars","Avril","Mai","Juin","Juillet","Août","Septembre","Octobre","Novembre","Décembre")</f>
        <v>Mai</v>
      </c>
      <c r="V694" s="22" t="n">
        <f aca="false">YEAR(Q694)</f>
        <v>2026</v>
      </c>
      <c r="W694" s="20"/>
      <c r="X694" s="8" t="n">
        <f aca="false">IFERROR(IF(M694="Abs",0,IF(ROUND((D694-C694+E694-F694)*1440,0)&lt;=1,0,D694-C694+E694-F694)),0)</f>
        <v>0</v>
      </c>
      <c r="Y694" s="6" t="str">
        <f aca="false">IFERROR(VLOOKUP($B694,Agents!$A:$D,3,0),"-")</f>
        <v>OUBRAHIM Mohammed</v>
      </c>
      <c r="Z694" s="6" t="str">
        <f aca="false">IFERROR(VLOOKUP($B694,Agents!$A:$D,4,0),"-")</f>
        <v>Credit Mutuel</v>
      </c>
      <c r="AA694" s="18" t="s">
        <v>103</v>
      </c>
      <c r="AB694" s="8" t="str">
        <f aca="false">IF(AND(D694="Congé",F694="Congé"),0.333333333333333,IF(OR(AND(D694="Congé",F694&lt;&gt;"Congé"),(AND(F694="Congé",D694&lt;&gt;"Congé"))),0.166666666666667,""))</f>
        <v/>
      </c>
      <c r="AC694" s="8" t="str">
        <f aca="false">IF(AND(D694="Congé sans solde",F694="Congé sans solde"),0.333333333333333,IF(OR(AND(D694="Congé sans solde",F694&lt;&gt;"Congé sans solde"),(AND(F694="Congé sans solde",D694&lt;&gt;"Congé sans solde"))),0.166666666666667,""))</f>
        <v/>
      </c>
      <c r="AD694" s="8" t="str">
        <f aca="false">IF(AND(D694="Congé spécial",F694="Congé spécial"),0.333333333333333,IF(OR(AND(D694="Congé spécial",F694&lt;&gt;"Congé spécial"),AND(F694="Congé spécial",D694&lt;&gt;"Congé spécial")),0.166666666666667,""))</f>
        <v/>
      </c>
      <c r="AE694" s="8" t="str">
        <f aca="false">IF(AND(D694="Férié",F694="Férié"),0.333333333333333,IF(OR(AND(D694="Férié",F694&lt;&gt;"Férié"),(AND(F694="Férié",D694&lt;&gt;"Férié"))),0.166666666666667,""))</f>
        <v/>
      </c>
      <c r="AF694" s="18"/>
      <c r="AG694" s="18"/>
    </row>
    <row r="695" customFormat="false" ht="15" hidden="false" customHeight="false" outlineLevel="0" collapsed="false">
      <c r="A695" s="6" t="str">
        <f aca="false">YEAR(Q695-WEEKDAY(Q695,2)+4)&amp;"-S"&amp;TEXT(WEEKNUM(Q695,21),"00")</f>
        <v>2026-S21</v>
      </c>
      <c r="B695" s="18" t="s">
        <v>72</v>
      </c>
      <c r="C695" s="19" t="n">
        <v>0.332638888888889</v>
      </c>
      <c r="D695" s="19" t="n">
        <v>0.333333333333333</v>
      </c>
      <c r="E695" s="19" t="n">
        <v>0.75</v>
      </c>
      <c r="F695" s="19" t="n">
        <v>0.75</v>
      </c>
      <c r="G695" s="20"/>
      <c r="H695" s="20"/>
      <c r="I695" s="8" t="str">
        <f aca="false">IF(IF(OR(C695="",D695="Congé",D695="OFF",D695="Congé spécial"),"",IF(D695&gt;F695,D695-C695,IF(C695-D695&lt;0,0,C695-D695)))&lt;0.00068287037037037,"",IF(OR(D695="Congé",D695="OFF",C695="",D695="Congé spécial"),"",IF(D695&gt;F695,D695-C695,IF(C695-D695&lt;0,0,C695-D695))))</f>
        <v/>
      </c>
      <c r="J695" s="20"/>
      <c r="K695" s="8" t="n">
        <f aca="false">IF(SUM(H695:J695)&lt;0.00068287037037037,0,SUM(H695:J695))</f>
        <v>0</v>
      </c>
      <c r="L695" s="8" t="n">
        <f aca="false">IF(OR(F695="Congé",F695="OFF",M695="Abs",F695="Congé sans solde",F695="Férié",F695="Congé spécial",D695="Congé spécial"),0,IF(F695-E695&lt;0,0,IF(F695-E695&lt;=0.00068287037037037,0,F695-E695)))</f>
        <v>0</v>
      </c>
      <c r="M695" s="6" t="n">
        <f aca="false">IF(AND(O695&lt;&gt;0,C695=""),"Abs",0)</f>
        <v>0</v>
      </c>
      <c r="N695" s="8" t="n">
        <f aca="false">IFERROR(IF(OR(D695="OFF",D695="Congé",M695="Abs",D695="Congé sans solde",D695="Férié"),"",IF(O695-K695-L695&gt;O695,O695,IF(O695-K695-L695&lt;0,"",O695-K695-L695))),"")</f>
        <v>0.375</v>
      </c>
      <c r="O695" s="8" t="n">
        <f aca="false">IF(AG695="2H Pause déjeuner",IF(F695-D695-0.0833333333333333&lt;0,F695-D695-0.0833333333333333+1,F695-D695-0.0833333333333333),IF(OR(AND(F695="OFF",D695="OFF"),AND(F695="Congé",D695="Congé"),AND(F695="Congé sans solde",D695="Congé sans solde"),AND(F695="Congé spécial",D695="Congé spécial"),AND(F695="Férié",D695="Férié"),AND(F695="OFF",D695="Congé"),AND(F695="OFF",D695="Congé sans solde"),AND(F695="OFF",D695="Congé spécial"),AND(F695="OFF",D695="Férié"),AND(F695="Congé",D695="OFF"),AND(F695="Congé",D695="Congé sans solde"),AND(F695="Congé",D695="Congé spécial"),AND(F695="Congé",D695="Férié"),AND(F695="Congé sans solde",D695="OFF"),AND(F695="Congé sans solde",D695="Congé"),AND(F695="Congé sans solde",D695="Congé spécial"),AND(F695="Congé sans solde",D695="Férié"),AND(F695="Congé spécial",D695="OFF"),AND(F695="Congé spécial",D695="Congé"),AND(F695="Congé spécial",D695="Congé sans solde"),AND(F695="Congé spécial",D695="Férié"),AND(F695="Férié",D695="OFF"),AND(F695="Férié",D695="Congé"),AND(F695="Férié",D695="Congé sans solde"),AND(F695="Férié",D695="Congé spécial")),0,IF(OR(F695="OFF",F695="Congé",F695="Congé spécial",F695="Congé sans solde",D695="OFF",D695="Congé",D695="Congé spécial",D695="Congé sans solde"),0.208333333333334,IF(AND(AG695="",F695-D695&lt;0),("24:00:00"-D695)+("00:00:00"+F695)-0.0416666666666667,IF(AND(OR(AG695="Allaitement",AG695="Sans déjeuner"),F695-D695&lt;0),("24:00:00"-D695)+("00:00:00"+F695),IF(AND(AG695="",F695-D695&gt;0.166666666666667),F695-D695-0.0416666666666667,IF(AND(OR(AG695="Allaitement",AG695="Sans déjeuner"),F695-D695&gt;0.166666666666667),F695-D695,F695-D695)))))))</f>
        <v>0.375</v>
      </c>
      <c r="P695" s="6" t="str">
        <f aca="false">IFERROR(VLOOKUP($B695,Agents!$A:$D,2,0),"-")</f>
        <v>Accessibilité</v>
      </c>
      <c r="Q695" s="21" t="n">
        <v>46162</v>
      </c>
      <c r="R695" s="8" t="n">
        <f aca="false">IF(M695="Abs",O695,0)</f>
        <v>0</v>
      </c>
      <c r="S695" s="8" t="n">
        <f aca="false">SUM(R695,L695,I695,J695,W695,H695)</f>
        <v>0</v>
      </c>
      <c r="T695" s="6" t="str">
        <f aca="false">"Sem - "&amp;WEEKNUM(Q695,21)</f>
        <v>Sem - 21</v>
      </c>
      <c r="U695" s="6" t="str">
        <f aca="false">CHOOSE(MONTH(Q695),"Janvier","Février","Mars","Avril","Mai","Juin","Juillet","Août","Septembre","Octobre","Novembre","Décembre")</f>
        <v>Mai</v>
      </c>
      <c r="V695" s="22" t="n">
        <f aca="false">YEAR(Q695)</f>
        <v>2026</v>
      </c>
      <c r="W695" s="20"/>
      <c r="X695" s="8" t="n">
        <f aca="false">IFERROR(IF(M695="Abs",0,IF(ROUND((D695-C695+E695-F695)*1440,0)&lt;=1,0,D695-C695+E695-F695)),0)</f>
        <v>0</v>
      </c>
      <c r="Y695" s="6" t="str">
        <f aca="false">IFERROR(VLOOKUP($B695,Agents!$A:$D,3,0),"-")</f>
        <v>OUBRAHIM Mohammed</v>
      </c>
      <c r="Z695" s="6" t="str">
        <f aca="false">IFERROR(VLOOKUP($B695,Agents!$A:$D,4,0),"-")</f>
        <v>Credit Mutuel</v>
      </c>
      <c r="AA695" s="18" t="s">
        <v>103</v>
      </c>
      <c r="AB695" s="8" t="str">
        <f aca="false">IF(AND(D695="Congé",F695="Congé"),0.333333333333333,IF(OR(AND(D695="Congé",F695&lt;&gt;"Congé"),(AND(F695="Congé",D695&lt;&gt;"Congé"))),0.166666666666667,""))</f>
        <v/>
      </c>
      <c r="AC695" s="8" t="str">
        <f aca="false">IF(AND(D695="Congé sans solde",F695="Congé sans solde"),0.333333333333333,IF(OR(AND(D695="Congé sans solde",F695&lt;&gt;"Congé sans solde"),(AND(F695="Congé sans solde",D695&lt;&gt;"Congé sans solde"))),0.166666666666667,""))</f>
        <v/>
      </c>
      <c r="AD695" s="8" t="str">
        <f aca="false">IF(AND(D695="Congé spécial",F695="Congé spécial"),0.333333333333333,IF(OR(AND(D695="Congé spécial",F695&lt;&gt;"Congé spécial"),AND(F695="Congé spécial",D695&lt;&gt;"Congé spécial")),0.166666666666667,""))</f>
        <v/>
      </c>
      <c r="AE695" s="8" t="str">
        <f aca="false">IF(AND(D695="Férié",F695="Férié"),0.333333333333333,IF(OR(AND(D695="Férié",F695&lt;&gt;"Férié"),(AND(F695="Férié",D695&lt;&gt;"Férié"))),0.166666666666667,""))</f>
        <v/>
      </c>
      <c r="AF695" s="18"/>
      <c r="AG695" s="18"/>
    </row>
    <row r="696" customFormat="false" ht="15" hidden="false" customHeight="false" outlineLevel="0" collapsed="false">
      <c r="A696" s="6" t="str">
        <f aca="false">YEAR(Q696-WEEKDAY(Q696,2)+4)&amp;"-S"&amp;TEXT(WEEKNUM(Q696,21),"00")</f>
        <v>2026-S21</v>
      </c>
      <c r="B696" s="18" t="s">
        <v>73</v>
      </c>
      <c r="C696" s="19" t="n">
        <v>0.332638888888889</v>
      </c>
      <c r="D696" s="19" t="n">
        <v>0.333333333333333</v>
      </c>
      <c r="E696" s="19" t="n">
        <v>0.75</v>
      </c>
      <c r="F696" s="19" t="n">
        <v>0.75</v>
      </c>
      <c r="G696" s="20"/>
      <c r="H696" s="20"/>
      <c r="I696" s="8" t="str">
        <f aca="false">IF(IF(OR(C696="",D696="Congé",D696="OFF",D696="Congé spécial"),"",IF(D696&gt;F696,D696-C696,IF(C696-D696&lt;0,0,C696-D696)))&lt;0.00068287037037037,"",IF(OR(D696="Congé",D696="OFF",C696="",D696="Congé spécial"),"",IF(D696&gt;F696,D696-C696,IF(C696-D696&lt;0,0,C696-D696))))</f>
        <v/>
      </c>
      <c r="J696" s="20"/>
      <c r="K696" s="8" t="n">
        <f aca="false">IF(SUM(H696:J696)&lt;0.00068287037037037,0,SUM(H696:J696))</f>
        <v>0</v>
      </c>
      <c r="L696" s="8" t="n">
        <f aca="false">IF(OR(F696="Congé",F696="OFF",M696="Abs",F696="Congé sans solde",F696="Férié",F696="Congé spécial",D696="Congé spécial"),0,IF(F696-E696&lt;0,0,IF(F696-E696&lt;=0.00068287037037037,0,F696-E696)))</f>
        <v>0</v>
      </c>
      <c r="M696" s="6" t="n">
        <f aca="false">IF(AND(O696&lt;&gt;0,C696=""),"Abs",0)</f>
        <v>0</v>
      </c>
      <c r="N696" s="8" t="n">
        <f aca="false">IFERROR(IF(OR(D696="OFF",D696="Congé",M696="Abs",D696="Congé sans solde",D696="Férié"),"",IF(O696-K696-L696&gt;O696,O696,IF(O696-K696-L696&lt;0,"",O696-K696-L696))),"")</f>
        <v>0.375</v>
      </c>
      <c r="O696" s="8" t="n">
        <f aca="false">IF(AG696="2H Pause déjeuner",IF(F696-D696-0.0833333333333333&lt;0,F696-D696-0.0833333333333333+1,F696-D696-0.0833333333333333),IF(OR(AND(F696="OFF",D696="OFF"),AND(F696="Congé",D696="Congé"),AND(F696="Congé sans solde",D696="Congé sans solde"),AND(F696="Congé spécial",D696="Congé spécial"),AND(F696="Férié",D696="Férié"),AND(F696="OFF",D696="Congé"),AND(F696="OFF",D696="Congé sans solde"),AND(F696="OFF",D696="Congé spécial"),AND(F696="OFF",D696="Férié"),AND(F696="Congé",D696="OFF"),AND(F696="Congé",D696="Congé sans solde"),AND(F696="Congé",D696="Congé spécial"),AND(F696="Congé",D696="Férié"),AND(F696="Congé sans solde",D696="OFF"),AND(F696="Congé sans solde",D696="Congé"),AND(F696="Congé sans solde",D696="Congé spécial"),AND(F696="Congé sans solde",D696="Férié"),AND(F696="Congé spécial",D696="OFF"),AND(F696="Congé spécial",D696="Congé"),AND(F696="Congé spécial",D696="Congé sans solde"),AND(F696="Congé spécial",D696="Férié"),AND(F696="Férié",D696="OFF"),AND(F696="Férié",D696="Congé"),AND(F696="Férié",D696="Congé sans solde"),AND(F696="Férié",D696="Congé spécial")),0,IF(OR(F696="OFF",F696="Congé",F696="Congé spécial",F696="Congé sans solde",D696="OFF",D696="Congé",D696="Congé spécial",D696="Congé sans solde"),0.208333333333334,IF(AND(AG696="",F696-D696&lt;0),("24:00:00"-D696)+("00:00:00"+F696)-0.0416666666666667,IF(AND(OR(AG696="Allaitement",AG696="Sans déjeuner"),F696-D696&lt;0),("24:00:00"-D696)+("00:00:00"+F696),IF(AND(AG696="",F696-D696&gt;0.166666666666667),F696-D696-0.0416666666666667,IF(AND(OR(AG696="Allaitement",AG696="Sans déjeuner"),F696-D696&gt;0.166666666666667),F696-D696,F696-D696)))))))</f>
        <v>0.375</v>
      </c>
      <c r="P696" s="6" t="str">
        <f aca="false">IFERROR(VLOOKUP($B696,Agents!$A:$D,2,0),"-")</f>
        <v>Accessibilité</v>
      </c>
      <c r="Q696" s="21" t="n">
        <v>46162</v>
      </c>
      <c r="R696" s="8" t="n">
        <f aca="false">IF(M696="Abs",O696,0)</f>
        <v>0</v>
      </c>
      <c r="S696" s="8" t="n">
        <f aca="false">SUM(R696,L696,I696,J696,W696,H696)</f>
        <v>0</v>
      </c>
      <c r="T696" s="6" t="str">
        <f aca="false">"Sem - "&amp;WEEKNUM(Q696,21)</f>
        <v>Sem - 21</v>
      </c>
      <c r="U696" s="6" t="str">
        <f aca="false">CHOOSE(MONTH(Q696),"Janvier","Février","Mars","Avril","Mai","Juin","Juillet","Août","Septembre","Octobre","Novembre","Décembre")</f>
        <v>Mai</v>
      </c>
      <c r="V696" s="22" t="n">
        <f aca="false">YEAR(Q696)</f>
        <v>2026</v>
      </c>
      <c r="W696" s="20"/>
      <c r="X696" s="8" t="n">
        <f aca="false">IFERROR(IF(M696="Abs",0,IF(ROUND((D696-C696+E696-F696)*1440,0)&lt;=1,0,D696-C696+E696-F696)),0)</f>
        <v>0</v>
      </c>
      <c r="Y696" s="6" t="str">
        <f aca="false">IFERROR(VLOOKUP($B696,Agents!$A:$D,3,0),"-")</f>
        <v>OUBRAHIM Mohammed</v>
      </c>
      <c r="Z696" s="6" t="str">
        <f aca="false">IFERROR(VLOOKUP($B696,Agents!$A:$D,4,0),"-")</f>
        <v>Credit Mutuel</v>
      </c>
      <c r="AA696" s="18" t="s">
        <v>103</v>
      </c>
      <c r="AB696" s="8" t="str">
        <f aca="false">IF(AND(D696="Congé",F696="Congé"),0.333333333333333,IF(OR(AND(D696="Congé",F696&lt;&gt;"Congé"),(AND(F696="Congé",D696&lt;&gt;"Congé"))),0.166666666666667,""))</f>
        <v/>
      </c>
      <c r="AC696" s="8" t="str">
        <f aca="false">IF(AND(D696="Congé sans solde",F696="Congé sans solde"),0.333333333333333,IF(OR(AND(D696="Congé sans solde",F696&lt;&gt;"Congé sans solde"),(AND(F696="Congé sans solde",D696&lt;&gt;"Congé sans solde"))),0.166666666666667,""))</f>
        <v/>
      </c>
      <c r="AD696" s="8" t="str">
        <f aca="false">IF(AND(D696="Congé spécial",F696="Congé spécial"),0.333333333333333,IF(OR(AND(D696="Congé spécial",F696&lt;&gt;"Congé spécial"),AND(F696="Congé spécial",D696&lt;&gt;"Congé spécial")),0.166666666666667,""))</f>
        <v/>
      </c>
      <c r="AE696" s="8" t="str">
        <f aca="false">IF(AND(D696="Férié",F696="Férié"),0.333333333333333,IF(OR(AND(D696="Férié",F696&lt;&gt;"Férié"),(AND(F696="Férié",D696&lt;&gt;"Férié"))),0.166666666666667,""))</f>
        <v/>
      </c>
      <c r="AF696" s="18"/>
      <c r="AG696" s="18"/>
    </row>
    <row r="697" customFormat="false" ht="15" hidden="false" customHeight="false" outlineLevel="0" collapsed="false">
      <c r="A697" s="6" t="str">
        <f aca="false">YEAR(Q697-WEEKDAY(Q697,2)+4)&amp;"-S"&amp;TEXT(WEEKNUM(Q697,21),"00")</f>
        <v>2026-S21</v>
      </c>
      <c r="B697" s="18" t="s">
        <v>71</v>
      </c>
      <c r="C697" s="19" t="n">
        <v>0.333333333333333</v>
      </c>
      <c r="D697" s="19" t="n">
        <v>0.333333333333333</v>
      </c>
      <c r="E697" s="19" t="n">
        <v>0.75</v>
      </c>
      <c r="F697" s="19" t="n">
        <v>0.75</v>
      </c>
      <c r="G697" s="20"/>
      <c r="H697" s="20"/>
      <c r="I697" s="8" t="str">
        <f aca="false">IF(IF(OR(C697="",D697="Congé",D697="OFF",D697="Congé spécial"),"",IF(D697&gt;F697,D697-C697,IF(C697-D697&lt;0,0,C697-D697)))&lt;0.00068287037037037,"",IF(OR(D697="Congé",D697="OFF",C697="",D697="Congé spécial"),"",IF(D697&gt;F697,D697-C697,IF(C697-D697&lt;0,0,C697-D697))))</f>
        <v/>
      </c>
      <c r="J697" s="20"/>
      <c r="K697" s="8" t="n">
        <f aca="false">IF(SUM(H697:J697)&lt;0.00068287037037037,0,SUM(H697:J697))</f>
        <v>0</v>
      </c>
      <c r="L697" s="8" t="n">
        <f aca="false">IF(OR(F697="Congé",F697="OFF",M697="Abs",F697="Congé sans solde",F697="Férié",F697="Congé spécial",D697="Congé spécial"),0,IF(F697-E697&lt;0,0,IF(F697-E697&lt;=0.00068287037037037,0,F697-E697)))</f>
        <v>0</v>
      </c>
      <c r="M697" s="6" t="n">
        <f aca="false">IF(AND(O697&lt;&gt;0,C697=""),"Abs",0)</f>
        <v>0</v>
      </c>
      <c r="N697" s="8" t="n">
        <f aca="false">IFERROR(IF(OR(D697="OFF",D697="Congé",M697="Abs",D697="Congé sans solde",D697="Férié"),"",IF(O697-K697-L697&gt;O697,O697,IF(O697-K697-L697&lt;0,"",O697-K697-L697))),"")</f>
        <v>0.375</v>
      </c>
      <c r="O697" s="8" t="n">
        <f aca="false">IF(AG697="2H Pause déjeuner",IF(F697-D697-0.0833333333333333&lt;0,F697-D697-0.0833333333333333+1,F697-D697-0.0833333333333333),IF(OR(AND(F697="OFF",D697="OFF"),AND(F697="Congé",D697="Congé"),AND(F697="Congé sans solde",D697="Congé sans solde"),AND(F697="Congé spécial",D697="Congé spécial"),AND(F697="Férié",D697="Férié"),AND(F697="OFF",D697="Congé"),AND(F697="OFF",D697="Congé sans solde"),AND(F697="OFF",D697="Congé spécial"),AND(F697="OFF",D697="Férié"),AND(F697="Congé",D697="OFF"),AND(F697="Congé",D697="Congé sans solde"),AND(F697="Congé",D697="Congé spécial"),AND(F697="Congé",D697="Férié"),AND(F697="Congé sans solde",D697="OFF"),AND(F697="Congé sans solde",D697="Congé"),AND(F697="Congé sans solde",D697="Congé spécial"),AND(F697="Congé sans solde",D697="Férié"),AND(F697="Congé spécial",D697="OFF"),AND(F697="Congé spécial",D697="Congé"),AND(F697="Congé spécial",D697="Congé sans solde"),AND(F697="Congé spécial",D697="Férié"),AND(F697="Férié",D697="OFF"),AND(F697="Férié",D697="Congé"),AND(F697="Férié",D697="Congé sans solde"),AND(F697="Férié",D697="Congé spécial")),0,IF(OR(F697="OFF",F697="Congé",F697="Congé spécial",F697="Congé sans solde",D697="OFF",D697="Congé",D697="Congé spécial",D697="Congé sans solde"),0.208333333333334,IF(AND(AG697="",F697-D697&lt;0),("24:00:00"-D697)+("00:00:00"+F697)-0.0416666666666667,IF(AND(OR(AG697="Allaitement",AG697="Sans déjeuner"),F697-D697&lt;0),("24:00:00"-D697)+("00:00:00"+F697),IF(AND(AG697="",F697-D697&gt;0.166666666666667),F697-D697-0.0416666666666667,IF(AND(OR(AG697="Allaitement",AG697="Sans déjeuner"),F697-D697&gt;0.166666666666667),F697-D697,F697-D697)))))))</f>
        <v>0.375</v>
      </c>
      <c r="P697" s="6" t="str">
        <f aca="false">IFERROR(VLOOKUP($B697,Agents!$A:$D,2,0),"-")</f>
        <v>Accessibilité</v>
      </c>
      <c r="Q697" s="21" t="n">
        <v>46163</v>
      </c>
      <c r="R697" s="8" t="n">
        <f aca="false">IF(M697="Abs",O697,0)</f>
        <v>0</v>
      </c>
      <c r="S697" s="8" t="n">
        <f aca="false">SUM(R697,L697,I697,J697,W697,H697)</f>
        <v>0</v>
      </c>
      <c r="T697" s="6" t="str">
        <f aca="false">"Sem - "&amp;WEEKNUM(Q697,21)</f>
        <v>Sem - 21</v>
      </c>
      <c r="U697" s="6" t="str">
        <f aca="false">CHOOSE(MONTH(Q697),"Janvier","Février","Mars","Avril","Mai","Juin","Juillet","Août","Septembre","Octobre","Novembre","Décembre")</f>
        <v>Mai</v>
      </c>
      <c r="V697" s="22" t="n">
        <f aca="false">YEAR(Q697)</f>
        <v>2026</v>
      </c>
      <c r="W697" s="20"/>
      <c r="X697" s="8" t="n">
        <f aca="false">IFERROR(IF(M697="Abs",0,IF(ROUND((D697-C697+E697-F697)*1440,0)&lt;=1,0,D697-C697+E697-F697)),0)</f>
        <v>0</v>
      </c>
      <c r="Y697" s="6" t="str">
        <f aca="false">IFERROR(VLOOKUP($B697,Agents!$A:$D,3,0),"-")</f>
        <v>OUBRAHIM Mohammed</v>
      </c>
      <c r="Z697" s="6" t="str">
        <f aca="false">IFERROR(VLOOKUP($B697,Agents!$A:$D,4,0),"-")</f>
        <v>Credit Mutuel</v>
      </c>
      <c r="AA697" s="18" t="s">
        <v>103</v>
      </c>
      <c r="AB697" s="8" t="str">
        <f aca="false">IF(AND(D697="Congé",F697="Congé"),0.333333333333333,IF(OR(AND(D697="Congé",F697&lt;&gt;"Congé"),(AND(F697="Congé",D697&lt;&gt;"Congé"))),0.166666666666667,""))</f>
        <v/>
      </c>
      <c r="AC697" s="8" t="str">
        <f aca="false">IF(AND(D697="Congé sans solde",F697="Congé sans solde"),0.333333333333333,IF(OR(AND(D697="Congé sans solde",F697&lt;&gt;"Congé sans solde"),(AND(F697="Congé sans solde",D697&lt;&gt;"Congé sans solde"))),0.166666666666667,""))</f>
        <v/>
      </c>
      <c r="AD697" s="8" t="str">
        <f aca="false">IF(AND(D697="Congé spécial",F697="Congé spécial"),0.333333333333333,IF(OR(AND(D697="Congé spécial",F697&lt;&gt;"Congé spécial"),AND(F697="Congé spécial",D697&lt;&gt;"Congé spécial")),0.166666666666667,""))</f>
        <v/>
      </c>
      <c r="AE697" s="8" t="str">
        <f aca="false">IF(AND(D697="Férié",F697="Férié"),0.333333333333333,IF(OR(AND(D697="Férié",F697&lt;&gt;"Férié"),(AND(F697="Férié",D697&lt;&gt;"Férié"))),0.166666666666667,""))</f>
        <v/>
      </c>
      <c r="AF697" s="18"/>
      <c r="AG697" s="18"/>
    </row>
    <row r="698" customFormat="false" ht="15" hidden="false" customHeight="false" outlineLevel="0" collapsed="false">
      <c r="A698" s="6" t="str">
        <f aca="false">YEAR(Q698-WEEKDAY(Q698,2)+4)&amp;"-S"&amp;TEXT(WEEKNUM(Q698,21),"00")</f>
        <v>2026-S21</v>
      </c>
      <c r="B698" s="18" t="s">
        <v>72</v>
      </c>
      <c r="C698" s="19" t="n">
        <v>0.333333333333333</v>
      </c>
      <c r="D698" s="19" t="n">
        <v>0.333333333333333</v>
      </c>
      <c r="E698" s="19" t="n">
        <v>0.75</v>
      </c>
      <c r="F698" s="19" t="n">
        <v>0.75</v>
      </c>
      <c r="G698" s="20"/>
      <c r="H698" s="20"/>
      <c r="I698" s="8" t="str">
        <f aca="false">IF(IF(OR(C698="",D698="Congé",D698="OFF",D698="Congé spécial"),"",IF(D698&gt;F698,D698-C698,IF(C698-D698&lt;0,0,C698-D698)))&lt;0.00068287037037037,"",IF(OR(D698="Congé",D698="OFF",C698="",D698="Congé spécial"),"",IF(D698&gt;F698,D698-C698,IF(C698-D698&lt;0,0,C698-D698))))</f>
        <v/>
      </c>
      <c r="J698" s="20"/>
      <c r="K698" s="8" t="n">
        <f aca="false">IF(SUM(H698:J698)&lt;0.00068287037037037,0,SUM(H698:J698))</f>
        <v>0</v>
      </c>
      <c r="L698" s="8" t="n">
        <f aca="false">IF(OR(F698="Congé",F698="OFF",M698="Abs",F698="Congé sans solde",F698="Férié",F698="Congé spécial",D698="Congé spécial"),0,IF(F698-E698&lt;0,0,IF(F698-E698&lt;=0.00068287037037037,0,F698-E698)))</f>
        <v>0</v>
      </c>
      <c r="M698" s="6" t="n">
        <f aca="false">IF(AND(O698&lt;&gt;0,C698=""),"Abs",0)</f>
        <v>0</v>
      </c>
      <c r="N698" s="8" t="n">
        <f aca="false">IFERROR(IF(OR(D698="OFF",D698="Congé",M698="Abs",D698="Congé sans solde",D698="Férié"),"",IF(O698-K698-L698&gt;O698,O698,IF(O698-K698-L698&lt;0,"",O698-K698-L698))),"")</f>
        <v>0.375</v>
      </c>
      <c r="O698" s="8" t="n">
        <f aca="false">IF(AG698="2H Pause déjeuner",IF(F698-D698-0.0833333333333333&lt;0,F698-D698-0.0833333333333333+1,F698-D698-0.0833333333333333),IF(OR(AND(F698="OFF",D698="OFF"),AND(F698="Congé",D698="Congé"),AND(F698="Congé sans solde",D698="Congé sans solde"),AND(F698="Congé spécial",D698="Congé spécial"),AND(F698="Férié",D698="Férié"),AND(F698="OFF",D698="Congé"),AND(F698="OFF",D698="Congé sans solde"),AND(F698="OFF",D698="Congé spécial"),AND(F698="OFF",D698="Férié"),AND(F698="Congé",D698="OFF"),AND(F698="Congé",D698="Congé sans solde"),AND(F698="Congé",D698="Congé spécial"),AND(F698="Congé",D698="Férié"),AND(F698="Congé sans solde",D698="OFF"),AND(F698="Congé sans solde",D698="Congé"),AND(F698="Congé sans solde",D698="Congé spécial"),AND(F698="Congé sans solde",D698="Férié"),AND(F698="Congé spécial",D698="OFF"),AND(F698="Congé spécial",D698="Congé"),AND(F698="Congé spécial",D698="Congé sans solde"),AND(F698="Congé spécial",D698="Férié"),AND(F698="Férié",D698="OFF"),AND(F698="Férié",D698="Congé"),AND(F698="Férié",D698="Congé sans solde"),AND(F698="Férié",D698="Congé spécial")),0,IF(OR(F698="OFF",F698="Congé",F698="Congé spécial",F698="Congé sans solde",D698="OFF",D698="Congé",D698="Congé spécial",D698="Congé sans solde"),0.208333333333334,IF(AND(AG698="",F698-D698&lt;0),("24:00:00"-D698)+("00:00:00"+F698)-0.0416666666666667,IF(AND(OR(AG698="Allaitement",AG698="Sans déjeuner"),F698-D698&lt;0),("24:00:00"-D698)+("00:00:00"+F698),IF(AND(AG698="",F698-D698&gt;0.166666666666667),F698-D698-0.0416666666666667,IF(AND(OR(AG698="Allaitement",AG698="Sans déjeuner"),F698-D698&gt;0.166666666666667),F698-D698,F698-D698)))))))</f>
        <v>0.375</v>
      </c>
      <c r="P698" s="6" t="str">
        <f aca="false">IFERROR(VLOOKUP($B698,Agents!$A:$D,2,0),"-")</f>
        <v>Accessibilité</v>
      </c>
      <c r="Q698" s="21" t="n">
        <v>46163</v>
      </c>
      <c r="R698" s="8" t="n">
        <f aca="false">IF(M698="Abs",O698,0)</f>
        <v>0</v>
      </c>
      <c r="S698" s="8" t="n">
        <f aca="false">SUM(R698,L698,I698,J698,W698,H698)</f>
        <v>0</v>
      </c>
      <c r="T698" s="6" t="str">
        <f aca="false">"Sem - "&amp;WEEKNUM(Q698,21)</f>
        <v>Sem - 21</v>
      </c>
      <c r="U698" s="6" t="str">
        <f aca="false">CHOOSE(MONTH(Q698),"Janvier","Février","Mars","Avril","Mai","Juin","Juillet","Août","Septembre","Octobre","Novembre","Décembre")</f>
        <v>Mai</v>
      </c>
      <c r="V698" s="22" t="n">
        <f aca="false">YEAR(Q698)</f>
        <v>2026</v>
      </c>
      <c r="W698" s="20"/>
      <c r="X698" s="8" t="n">
        <f aca="false">IFERROR(IF(M698="Abs",0,IF(ROUND((D698-C698+E698-F698)*1440,0)&lt;=1,0,D698-C698+E698-F698)),0)</f>
        <v>0</v>
      </c>
      <c r="Y698" s="6" t="str">
        <f aca="false">IFERROR(VLOOKUP($B698,Agents!$A:$D,3,0),"-")</f>
        <v>OUBRAHIM Mohammed</v>
      </c>
      <c r="Z698" s="6" t="str">
        <f aca="false">IFERROR(VLOOKUP($B698,Agents!$A:$D,4,0),"-")</f>
        <v>Credit Mutuel</v>
      </c>
      <c r="AA698" s="18" t="s">
        <v>103</v>
      </c>
      <c r="AB698" s="8" t="str">
        <f aca="false">IF(AND(D698="Congé",F698="Congé"),0.333333333333333,IF(OR(AND(D698="Congé",F698&lt;&gt;"Congé"),(AND(F698="Congé",D698&lt;&gt;"Congé"))),0.166666666666667,""))</f>
        <v/>
      </c>
      <c r="AC698" s="8" t="str">
        <f aca="false">IF(AND(D698="Congé sans solde",F698="Congé sans solde"),0.333333333333333,IF(OR(AND(D698="Congé sans solde",F698&lt;&gt;"Congé sans solde"),(AND(F698="Congé sans solde",D698&lt;&gt;"Congé sans solde"))),0.166666666666667,""))</f>
        <v/>
      </c>
      <c r="AD698" s="8" t="str">
        <f aca="false">IF(AND(D698="Congé spécial",F698="Congé spécial"),0.333333333333333,IF(OR(AND(D698="Congé spécial",F698&lt;&gt;"Congé spécial"),AND(F698="Congé spécial",D698&lt;&gt;"Congé spécial")),0.166666666666667,""))</f>
        <v/>
      </c>
      <c r="AE698" s="8" t="str">
        <f aca="false">IF(AND(D698="Férié",F698="Férié"),0.333333333333333,IF(OR(AND(D698="Férié",F698&lt;&gt;"Férié"),(AND(F698="Férié",D698&lt;&gt;"Férié"))),0.166666666666667,""))</f>
        <v/>
      </c>
      <c r="AF698" s="18"/>
      <c r="AG698" s="18"/>
    </row>
    <row r="699" customFormat="false" ht="15" hidden="false" customHeight="false" outlineLevel="0" collapsed="false">
      <c r="A699" s="6" t="str">
        <f aca="false">YEAR(Q699-WEEKDAY(Q699,2)+4)&amp;"-S"&amp;TEXT(WEEKNUM(Q699,21),"00")</f>
        <v>2026-S21</v>
      </c>
      <c r="B699" s="18" t="s">
        <v>73</v>
      </c>
      <c r="C699" s="19" t="n">
        <v>0.333333333333333</v>
      </c>
      <c r="D699" s="19" t="n">
        <v>0.333333333333333</v>
      </c>
      <c r="E699" s="19" t="n">
        <v>0.75</v>
      </c>
      <c r="F699" s="19" t="n">
        <v>0.75</v>
      </c>
      <c r="G699" s="20"/>
      <c r="H699" s="20"/>
      <c r="I699" s="8" t="str">
        <f aca="false">IF(IF(OR(C699="",D699="Congé",D699="OFF",D699="Congé spécial"),"",IF(D699&gt;F699,D699-C699,IF(C699-D699&lt;0,0,C699-D699)))&lt;0.00068287037037037,"",IF(OR(D699="Congé",D699="OFF",C699="",D699="Congé spécial"),"",IF(D699&gt;F699,D699-C699,IF(C699-D699&lt;0,0,C699-D699))))</f>
        <v/>
      </c>
      <c r="J699" s="20"/>
      <c r="K699" s="8" t="n">
        <f aca="false">IF(SUM(H699:J699)&lt;0.00068287037037037,0,SUM(H699:J699))</f>
        <v>0</v>
      </c>
      <c r="L699" s="8" t="n">
        <f aca="false">IF(OR(F699="Congé",F699="OFF",M699="Abs",F699="Congé sans solde",F699="Férié",F699="Congé spécial",D699="Congé spécial"),0,IF(F699-E699&lt;0,0,IF(F699-E699&lt;=0.00068287037037037,0,F699-E699)))</f>
        <v>0</v>
      </c>
      <c r="M699" s="6" t="n">
        <f aca="false">IF(AND(O699&lt;&gt;0,C699=""),"Abs",0)</f>
        <v>0</v>
      </c>
      <c r="N699" s="8" t="n">
        <f aca="false">IFERROR(IF(OR(D699="OFF",D699="Congé",M699="Abs",D699="Congé sans solde",D699="Férié"),"",IF(O699-K699-L699&gt;O699,O699,IF(O699-K699-L699&lt;0,"",O699-K699-L699))),"")</f>
        <v>0.375</v>
      </c>
      <c r="O699" s="8" t="n">
        <f aca="false">IF(AG699="2H Pause déjeuner",IF(F699-D699-0.0833333333333333&lt;0,F699-D699-0.0833333333333333+1,F699-D699-0.0833333333333333),IF(OR(AND(F699="OFF",D699="OFF"),AND(F699="Congé",D699="Congé"),AND(F699="Congé sans solde",D699="Congé sans solde"),AND(F699="Congé spécial",D699="Congé spécial"),AND(F699="Férié",D699="Férié"),AND(F699="OFF",D699="Congé"),AND(F699="OFF",D699="Congé sans solde"),AND(F699="OFF",D699="Congé spécial"),AND(F699="OFF",D699="Férié"),AND(F699="Congé",D699="OFF"),AND(F699="Congé",D699="Congé sans solde"),AND(F699="Congé",D699="Congé spécial"),AND(F699="Congé",D699="Férié"),AND(F699="Congé sans solde",D699="OFF"),AND(F699="Congé sans solde",D699="Congé"),AND(F699="Congé sans solde",D699="Congé spécial"),AND(F699="Congé sans solde",D699="Férié"),AND(F699="Congé spécial",D699="OFF"),AND(F699="Congé spécial",D699="Congé"),AND(F699="Congé spécial",D699="Congé sans solde"),AND(F699="Congé spécial",D699="Férié"),AND(F699="Férié",D699="OFF"),AND(F699="Férié",D699="Congé"),AND(F699="Férié",D699="Congé sans solde"),AND(F699="Férié",D699="Congé spécial")),0,IF(OR(F699="OFF",F699="Congé",F699="Congé spécial",F699="Congé sans solde",D699="OFF",D699="Congé",D699="Congé spécial",D699="Congé sans solde"),0.208333333333334,IF(AND(AG699="",F699-D699&lt;0),("24:00:00"-D699)+("00:00:00"+F699)-0.0416666666666667,IF(AND(OR(AG699="Allaitement",AG699="Sans déjeuner"),F699-D699&lt;0),("24:00:00"-D699)+("00:00:00"+F699),IF(AND(AG699="",F699-D699&gt;0.166666666666667),F699-D699-0.0416666666666667,IF(AND(OR(AG699="Allaitement",AG699="Sans déjeuner"),F699-D699&gt;0.166666666666667),F699-D699,F699-D699)))))))</f>
        <v>0.375</v>
      </c>
      <c r="P699" s="6" t="str">
        <f aca="false">IFERROR(VLOOKUP($B699,Agents!$A:$D,2,0),"-")</f>
        <v>Accessibilité</v>
      </c>
      <c r="Q699" s="21" t="n">
        <v>46163</v>
      </c>
      <c r="R699" s="8" t="n">
        <f aca="false">IF(M699="Abs",O699,0)</f>
        <v>0</v>
      </c>
      <c r="S699" s="8" t="n">
        <f aca="false">SUM(R699,L699,I699,J699,W699,H699)</f>
        <v>0</v>
      </c>
      <c r="T699" s="6" t="str">
        <f aca="false">"Sem - "&amp;WEEKNUM(Q699,21)</f>
        <v>Sem - 21</v>
      </c>
      <c r="U699" s="6" t="str">
        <f aca="false">CHOOSE(MONTH(Q699),"Janvier","Février","Mars","Avril","Mai","Juin","Juillet","Août","Septembre","Octobre","Novembre","Décembre")</f>
        <v>Mai</v>
      </c>
      <c r="V699" s="22" t="n">
        <f aca="false">YEAR(Q699)</f>
        <v>2026</v>
      </c>
      <c r="W699" s="20"/>
      <c r="X699" s="8" t="n">
        <f aca="false">IFERROR(IF(M699="Abs",0,IF(ROUND((D699-C699+E699-F699)*1440,0)&lt;=1,0,D699-C699+E699-F699)),0)</f>
        <v>0</v>
      </c>
      <c r="Y699" s="6" t="str">
        <f aca="false">IFERROR(VLOOKUP($B699,Agents!$A:$D,3,0),"-")</f>
        <v>OUBRAHIM Mohammed</v>
      </c>
      <c r="Z699" s="6" t="str">
        <f aca="false">IFERROR(VLOOKUP($B699,Agents!$A:$D,4,0),"-")</f>
        <v>Credit Mutuel</v>
      </c>
      <c r="AA699" s="18" t="s">
        <v>103</v>
      </c>
      <c r="AB699" s="8" t="str">
        <f aca="false">IF(AND(D699="Congé",F699="Congé"),0.333333333333333,IF(OR(AND(D699="Congé",F699&lt;&gt;"Congé"),(AND(F699="Congé",D699&lt;&gt;"Congé"))),0.166666666666667,""))</f>
        <v/>
      </c>
      <c r="AC699" s="8" t="str">
        <f aca="false">IF(AND(D699="Congé sans solde",F699="Congé sans solde"),0.333333333333333,IF(OR(AND(D699="Congé sans solde",F699&lt;&gt;"Congé sans solde"),(AND(F699="Congé sans solde",D699&lt;&gt;"Congé sans solde"))),0.166666666666667,""))</f>
        <v/>
      </c>
      <c r="AD699" s="8" t="str">
        <f aca="false">IF(AND(D699="Congé spécial",F699="Congé spécial"),0.333333333333333,IF(OR(AND(D699="Congé spécial",F699&lt;&gt;"Congé spécial"),AND(F699="Congé spécial",D699&lt;&gt;"Congé spécial")),0.166666666666667,""))</f>
        <v/>
      </c>
      <c r="AE699" s="8" t="str">
        <f aca="false">IF(AND(D699="Férié",F699="Férié"),0.333333333333333,IF(OR(AND(D699="Férié",F699&lt;&gt;"Férié"),(AND(F699="Férié",D699&lt;&gt;"Férié"))),0.166666666666667,""))</f>
        <v/>
      </c>
      <c r="AF699" s="18"/>
      <c r="AG699" s="18"/>
    </row>
    <row r="700" customFormat="false" ht="15" hidden="false" customHeight="false" outlineLevel="0" collapsed="false">
      <c r="A700" s="6" t="str">
        <f aca="false">YEAR(Q700-WEEKDAY(Q700,2)+4)&amp;"-S"&amp;TEXT(WEEKNUM(Q700,21),"00")</f>
        <v>2026-S21</v>
      </c>
      <c r="B700" s="18" t="s">
        <v>71</v>
      </c>
      <c r="C700" s="19" t="n">
        <v>0.333333333333333</v>
      </c>
      <c r="D700" s="19" t="n">
        <v>0.333333333333333</v>
      </c>
      <c r="E700" s="19" t="n">
        <v>0.708333333333333</v>
      </c>
      <c r="F700" s="19" t="n">
        <v>0.708333333333333</v>
      </c>
      <c r="G700" s="20"/>
      <c r="H700" s="20"/>
      <c r="I700" s="8" t="str">
        <f aca="false">IF(IF(OR(C700="",D700="Congé",D700="OFF",D700="Congé spécial"),"",IF(D700&gt;F700,D700-C700,IF(C700-D700&lt;0,0,C700-D700)))&lt;0.00068287037037037,"",IF(OR(D700="Congé",D700="OFF",C700="",D700="Congé spécial"),"",IF(D700&gt;F700,D700-C700,IF(C700-D700&lt;0,0,C700-D700))))</f>
        <v/>
      </c>
      <c r="J700" s="20"/>
      <c r="K700" s="8" t="n">
        <f aca="false">IF(SUM(H700:J700)&lt;0.00068287037037037,0,SUM(H700:J700))</f>
        <v>0</v>
      </c>
      <c r="L700" s="8" t="n">
        <f aca="false">IF(OR(F700="Congé",F700="OFF",M700="Abs",F700="Congé sans solde",F700="Férié",F700="Congé spécial",D700="Congé spécial"),0,IF(F700-E700&lt;0,0,IF(F700-E700&lt;=0.00068287037037037,0,F700-E700)))</f>
        <v>0</v>
      </c>
      <c r="M700" s="6" t="n">
        <f aca="false">IF(AND(O700&lt;&gt;0,C700=""),"Abs",0)</f>
        <v>0</v>
      </c>
      <c r="N700" s="8" t="n">
        <f aca="false">IFERROR(IF(OR(D700="OFF",D700="Congé",M700="Abs",D700="Congé sans solde",D700="Férié"),"",IF(O700-K700-L700&gt;O700,O700,IF(O700-K700-L700&lt;0,"",O700-K700-L700))),"")</f>
        <v>0.333333333333333</v>
      </c>
      <c r="O700" s="8" t="n">
        <f aca="false">IF(AG700="2H Pause déjeuner",IF(F700-D700-0.0833333333333333&lt;0,F700-D700-0.0833333333333333+1,F700-D700-0.0833333333333333),IF(OR(AND(F700="OFF",D700="OFF"),AND(F700="Congé",D700="Congé"),AND(F700="Congé sans solde",D700="Congé sans solde"),AND(F700="Congé spécial",D700="Congé spécial"),AND(F700="Férié",D700="Férié"),AND(F700="OFF",D700="Congé"),AND(F700="OFF",D700="Congé sans solde"),AND(F700="OFF",D700="Congé spécial"),AND(F700="OFF",D700="Férié"),AND(F700="Congé",D700="OFF"),AND(F700="Congé",D700="Congé sans solde"),AND(F700="Congé",D700="Congé spécial"),AND(F700="Congé",D700="Férié"),AND(F700="Congé sans solde",D700="OFF"),AND(F700="Congé sans solde",D700="Congé"),AND(F700="Congé sans solde",D700="Congé spécial"),AND(F700="Congé sans solde",D700="Férié"),AND(F700="Congé spécial",D700="OFF"),AND(F700="Congé spécial",D700="Congé"),AND(F700="Congé spécial",D700="Congé sans solde"),AND(F700="Congé spécial",D700="Férié"),AND(F700="Férié",D700="OFF"),AND(F700="Férié",D700="Congé"),AND(F700="Férié",D700="Congé sans solde"),AND(F700="Férié",D700="Congé spécial")),0,IF(OR(F700="OFF",F700="Congé",F700="Congé spécial",F700="Congé sans solde",D700="OFF",D700="Congé",D700="Congé spécial",D700="Congé sans solde"),0.208333333333334,IF(AND(AG700="",F700-D700&lt;0),("24:00:00"-D700)+("00:00:00"+F700)-0.0416666666666667,IF(AND(OR(AG700="Allaitement",AG700="Sans déjeuner"),F700-D700&lt;0),("24:00:00"-D700)+("00:00:00"+F700),IF(AND(AG700="",F700-D700&gt;0.166666666666667),F700-D700-0.0416666666666667,IF(AND(OR(AG700="Allaitement",AG700="Sans déjeuner"),F700-D700&gt;0.166666666666667),F700-D700,F700-D700)))))))</f>
        <v>0.333333333333333</v>
      </c>
      <c r="P700" s="6" t="str">
        <f aca="false">IFERROR(VLOOKUP($B700,Agents!$A:$D,2,0),"-")</f>
        <v>Accessibilité</v>
      </c>
      <c r="Q700" s="21" t="n">
        <v>46164</v>
      </c>
      <c r="R700" s="8" t="n">
        <f aca="false">IF(M700="Abs",O700,0)</f>
        <v>0</v>
      </c>
      <c r="S700" s="8" t="n">
        <f aca="false">SUM(R700,L700,I700,J700,W700,H700)</f>
        <v>0</v>
      </c>
      <c r="T700" s="6" t="str">
        <f aca="false">"Sem - "&amp;WEEKNUM(Q700,21)</f>
        <v>Sem - 21</v>
      </c>
      <c r="U700" s="6" t="str">
        <f aca="false">CHOOSE(MONTH(Q700),"Janvier","Février","Mars","Avril","Mai","Juin","Juillet","Août","Septembre","Octobre","Novembre","Décembre")</f>
        <v>Mai</v>
      </c>
      <c r="V700" s="22" t="n">
        <f aca="false">YEAR(Q700)</f>
        <v>2026</v>
      </c>
      <c r="W700" s="20"/>
      <c r="X700" s="8" t="n">
        <f aca="false">IFERROR(IF(M700="Abs",0,IF(ROUND((D700-C700+E700-F700)*1440,0)&lt;=1,0,D700-C700+E700-F700)),0)</f>
        <v>0</v>
      </c>
      <c r="Y700" s="6" t="str">
        <f aca="false">IFERROR(VLOOKUP($B700,Agents!$A:$D,3,0),"-")</f>
        <v>OUBRAHIM Mohammed</v>
      </c>
      <c r="Z700" s="6" t="str">
        <f aca="false">IFERROR(VLOOKUP($B700,Agents!$A:$D,4,0),"-")</f>
        <v>Credit Mutuel</v>
      </c>
      <c r="AA700" s="18" t="s">
        <v>103</v>
      </c>
      <c r="AB700" s="8" t="str">
        <f aca="false">IF(AND(D700="Congé",F700="Congé"),0.333333333333333,IF(OR(AND(D700="Congé",F700&lt;&gt;"Congé"),(AND(F700="Congé",D700&lt;&gt;"Congé"))),0.166666666666667,""))</f>
        <v/>
      </c>
      <c r="AC700" s="8" t="str">
        <f aca="false">IF(AND(D700="Congé sans solde",F700="Congé sans solde"),0.333333333333333,IF(OR(AND(D700="Congé sans solde",F700&lt;&gt;"Congé sans solde"),(AND(F700="Congé sans solde",D700&lt;&gt;"Congé sans solde"))),0.166666666666667,""))</f>
        <v/>
      </c>
      <c r="AD700" s="8" t="str">
        <f aca="false">IF(AND(D700="Congé spécial",F700="Congé spécial"),0.333333333333333,IF(OR(AND(D700="Congé spécial",F700&lt;&gt;"Congé spécial"),AND(F700="Congé spécial",D700&lt;&gt;"Congé spécial")),0.166666666666667,""))</f>
        <v/>
      </c>
      <c r="AE700" s="8" t="str">
        <f aca="false">IF(AND(D700="Férié",F700="Férié"),0.333333333333333,IF(OR(AND(D700="Férié",F700&lt;&gt;"Férié"),(AND(F700="Férié",D700&lt;&gt;"Férié"))),0.166666666666667,""))</f>
        <v/>
      </c>
      <c r="AF700" s="18"/>
      <c r="AG700" s="18"/>
    </row>
    <row r="701" customFormat="false" ht="15" hidden="false" customHeight="false" outlineLevel="0" collapsed="false">
      <c r="A701" s="6" t="str">
        <f aca="false">YEAR(Q701-WEEKDAY(Q701,2)+4)&amp;"-S"&amp;TEXT(WEEKNUM(Q701,21),"00")</f>
        <v>2026-S21</v>
      </c>
      <c r="B701" s="18" t="s">
        <v>72</v>
      </c>
      <c r="C701" s="19" t="n">
        <v>0.333333333333333</v>
      </c>
      <c r="D701" s="19" t="n">
        <v>0.333333333333333</v>
      </c>
      <c r="E701" s="19" t="n">
        <v>0.708333333333333</v>
      </c>
      <c r="F701" s="19" t="n">
        <v>0.708333333333333</v>
      </c>
      <c r="G701" s="20"/>
      <c r="H701" s="20"/>
      <c r="I701" s="8" t="str">
        <f aca="false">IF(IF(OR(C701="",D701="Congé",D701="OFF",D701="Congé spécial"),"",IF(D701&gt;F701,D701-C701,IF(C701-D701&lt;0,0,C701-D701)))&lt;0.00068287037037037,"",IF(OR(D701="Congé",D701="OFF",C701="",D701="Congé spécial"),"",IF(D701&gt;F701,D701-C701,IF(C701-D701&lt;0,0,C701-D701))))</f>
        <v/>
      </c>
      <c r="J701" s="20"/>
      <c r="K701" s="8" t="n">
        <f aca="false">IF(SUM(H701:J701)&lt;0.00068287037037037,0,SUM(H701:J701))</f>
        <v>0</v>
      </c>
      <c r="L701" s="8" t="n">
        <f aca="false">IF(OR(F701="Congé",F701="OFF",M701="Abs",F701="Congé sans solde",F701="Férié",F701="Congé spécial",D701="Congé spécial"),0,IF(F701-E701&lt;0,0,IF(F701-E701&lt;=0.00068287037037037,0,F701-E701)))</f>
        <v>0</v>
      </c>
      <c r="M701" s="6" t="n">
        <f aca="false">IF(AND(O701&lt;&gt;0,C701=""),"Abs",0)</f>
        <v>0</v>
      </c>
      <c r="N701" s="8" t="n">
        <f aca="false">IFERROR(IF(OR(D701="OFF",D701="Congé",M701="Abs",D701="Congé sans solde",D701="Férié"),"",IF(O701-K701-L701&gt;O701,O701,IF(O701-K701-L701&lt;0,"",O701-K701-L701))),"")</f>
        <v>0.333333333333333</v>
      </c>
      <c r="O701" s="8" t="n">
        <f aca="false">IF(AG701="2H Pause déjeuner",IF(F701-D701-0.0833333333333333&lt;0,F701-D701-0.0833333333333333+1,F701-D701-0.0833333333333333),IF(OR(AND(F701="OFF",D701="OFF"),AND(F701="Congé",D701="Congé"),AND(F701="Congé sans solde",D701="Congé sans solde"),AND(F701="Congé spécial",D701="Congé spécial"),AND(F701="Férié",D701="Férié"),AND(F701="OFF",D701="Congé"),AND(F701="OFF",D701="Congé sans solde"),AND(F701="OFF",D701="Congé spécial"),AND(F701="OFF",D701="Férié"),AND(F701="Congé",D701="OFF"),AND(F701="Congé",D701="Congé sans solde"),AND(F701="Congé",D701="Congé spécial"),AND(F701="Congé",D701="Férié"),AND(F701="Congé sans solde",D701="OFF"),AND(F701="Congé sans solde",D701="Congé"),AND(F701="Congé sans solde",D701="Congé spécial"),AND(F701="Congé sans solde",D701="Férié"),AND(F701="Congé spécial",D701="OFF"),AND(F701="Congé spécial",D701="Congé"),AND(F701="Congé spécial",D701="Congé sans solde"),AND(F701="Congé spécial",D701="Férié"),AND(F701="Férié",D701="OFF"),AND(F701="Férié",D701="Congé"),AND(F701="Férié",D701="Congé sans solde"),AND(F701="Férié",D701="Congé spécial")),0,IF(OR(F701="OFF",F701="Congé",F701="Congé spécial",F701="Congé sans solde",D701="OFF",D701="Congé",D701="Congé spécial",D701="Congé sans solde"),0.208333333333334,IF(AND(AG701="",F701-D701&lt;0),("24:00:00"-D701)+("00:00:00"+F701)-0.0416666666666667,IF(AND(OR(AG701="Allaitement",AG701="Sans déjeuner"),F701-D701&lt;0),("24:00:00"-D701)+("00:00:00"+F701),IF(AND(AG701="",F701-D701&gt;0.166666666666667),F701-D701-0.0416666666666667,IF(AND(OR(AG701="Allaitement",AG701="Sans déjeuner"),F701-D701&gt;0.166666666666667),F701-D701,F701-D701)))))))</f>
        <v>0.333333333333333</v>
      </c>
      <c r="P701" s="6" t="str">
        <f aca="false">IFERROR(VLOOKUP($B701,Agents!$A:$D,2,0),"-")</f>
        <v>Accessibilité</v>
      </c>
      <c r="Q701" s="21" t="n">
        <v>46164</v>
      </c>
      <c r="R701" s="8" t="n">
        <f aca="false">IF(M701="Abs",O701,0)</f>
        <v>0</v>
      </c>
      <c r="S701" s="8" t="n">
        <f aca="false">SUM(R701,L701,I701,J701,W701,H701)</f>
        <v>0</v>
      </c>
      <c r="T701" s="6" t="str">
        <f aca="false">"Sem - "&amp;WEEKNUM(Q701,21)</f>
        <v>Sem - 21</v>
      </c>
      <c r="U701" s="6" t="str">
        <f aca="false">CHOOSE(MONTH(Q701),"Janvier","Février","Mars","Avril","Mai","Juin","Juillet","Août","Septembre","Octobre","Novembre","Décembre")</f>
        <v>Mai</v>
      </c>
      <c r="V701" s="22" t="n">
        <f aca="false">YEAR(Q701)</f>
        <v>2026</v>
      </c>
      <c r="W701" s="20"/>
      <c r="X701" s="8" t="n">
        <f aca="false">IFERROR(IF(M701="Abs",0,IF(ROUND((D701-C701+E701-F701)*1440,0)&lt;=1,0,D701-C701+E701-F701)),0)</f>
        <v>0</v>
      </c>
      <c r="Y701" s="6" t="str">
        <f aca="false">IFERROR(VLOOKUP($B701,Agents!$A:$D,3,0),"-")</f>
        <v>OUBRAHIM Mohammed</v>
      </c>
      <c r="Z701" s="6" t="str">
        <f aca="false">IFERROR(VLOOKUP($B701,Agents!$A:$D,4,0),"-")</f>
        <v>Credit Mutuel</v>
      </c>
      <c r="AA701" s="18" t="s">
        <v>103</v>
      </c>
      <c r="AB701" s="8" t="str">
        <f aca="false">IF(AND(D701="Congé",F701="Congé"),0.333333333333333,IF(OR(AND(D701="Congé",F701&lt;&gt;"Congé"),(AND(F701="Congé",D701&lt;&gt;"Congé"))),0.166666666666667,""))</f>
        <v/>
      </c>
      <c r="AC701" s="8" t="str">
        <f aca="false">IF(AND(D701="Congé sans solde",F701="Congé sans solde"),0.333333333333333,IF(OR(AND(D701="Congé sans solde",F701&lt;&gt;"Congé sans solde"),(AND(F701="Congé sans solde",D701&lt;&gt;"Congé sans solde"))),0.166666666666667,""))</f>
        <v/>
      </c>
      <c r="AD701" s="8" t="str">
        <f aca="false">IF(AND(D701="Congé spécial",F701="Congé spécial"),0.333333333333333,IF(OR(AND(D701="Congé spécial",F701&lt;&gt;"Congé spécial"),AND(F701="Congé spécial",D701&lt;&gt;"Congé spécial")),0.166666666666667,""))</f>
        <v/>
      </c>
      <c r="AE701" s="8" t="str">
        <f aca="false">IF(AND(D701="Férié",F701="Férié"),0.333333333333333,IF(OR(AND(D701="Férié",F701&lt;&gt;"Férié"),(AND(F701="Férié",D701&lt;&gt;"Férié"))),0.166666666666667,""))</f>
        <v/>
      </c>
      <c r="AF701" s="18"/>
      <c r="AG701" s="18"/>
    </row>
    <row r="702" customFormat="false" ht="15" hidden="false" customHeight="false" outlineLevel="0" collapsed="false">
      <c r="A702" s="6" t="str">
        <f aca="false">YEAR(Q702-WEEKDAY(Q702,2)+4)&amp;"-S"&amp;TEXT(WEEKNUM(Q702,21),"00")</f>
        <v>2026-S21</v>
      </c>
      <c r="B702" s="18" t="s">
        <v>73</v>
      </c>
      <c r="C702" s="19" t="n">
        <v>0.333333333333333</v>
      </c>
      <c r="D702" s="19" t="n">
        <v>0.333333333333333</v>
      </c>
      <c r="E702" s="19" t="n">
        <v>0.708333333333333</v>
      </c>
      <c r="F702" s="19" t="n">
        <v>0.708333333333333</v>
      </c>
      <c r="G702" s="20"/>
      <c r="H702" s="20"/>
      <c r="I702" s="8" t="str">
        <f aca="false">IF(IF(OR(C702="",D702="Congé",D702="OFF",D702="Congé spécial"),"",IF(D702&gt;F702,D702-C702,IF(C702-D702&lt;0,0,C702-D702)))&lt;0.00068287037037037,"",IF(OR(D702="Congé",D702="OFF",C702="",D702="Congé spécial"),"",IF(D702&gt;F702,D702-C702,IF(C702-D702&lt;0,0,C702-D702))))</f>
        <v/>
      </c>
      <c r="J702" s="20"/>
      <c r="K702" s="8" t="n">
        <f aca="false">IF(SUM(H702:J702)&lt;0.00068287037037037,0,SUM(H702:J702))</f>
        <v>0</v>
      </c>
      <c r="L702" s="8" t="n">
        <f aca="false">IF(OR(F702="Congé",F702="OFF",M702="Abs",F702="Congé sans solde",F702="Férié",F702="Congé spécial",D702="Congé spécial"),0,IF(F702-E702&lt;0,0,IF(F702-E702&lt;=0.00068287037037037,0,F702-E702)))</f>
        <v>0</v>
      </c>
      <c r="M702" s="6" t="n">
        <f aca="false">IF(AND(O702&lt;&gt;0,C702=""),"Abs",0)</f>
        <v>0</v>
      </c>
      <c r="N702" s="8" t="n">
        <f aca="false">IFERROR(IF(OR(D702="OFF",D702="Congé",M702="Abs",D702="Congé sans solde",D702="Férié"),"",IF(O702-K702-L702&gt;O702,O702,IF(O702-K702-L702&lt;0,"",O702-K702-L702))),"")</f>
        <v>0.333333333333333</v>
      </c>
      <c r="O702" s="8" t="n">
        <f aca="false">IF(AG702="2H Pause déjeuner",IF(F702-D702-0.0833333333333333&lt;0,F702-D702-0.0833333333333333+1,F702-D702-0.0833333333333333),IF(OR(AND(F702="OFF",D702="OFF"),AND(F702="Congé",D702="Congé"),AND(F702="Congé sans solde",D702="Congé sans solde"),AND(F702="Congé spécial",D702="Congé spécial"),AND(F702="Férié",D702="Férié"),AND(F702="OFF",D702="Congé"),AND(F702="OFF",D702="Congé sans solde"),AND(F702="OFF",D702="Congé spécial"),AND(F702="OFF",D702="Férié"),AND(F702="Congé",D702="OFF"),AND(F702="Congé",D702="Congé sans solde"),AND(F702="Congé",D702="Congé spécial"),AND(F702="Congé",D702="Férié"),AND(F702="Congé sans solde",D702="OFF"),AND(F702="Congé sans solde",D702="Congé"),AND(F702="Congé sans solde",D702="Congé spécial"),AND(F702="Congé sans solde",D702="Férié"),AND(F702="Congé spécial",D702="OFF"),AND(F702="Congé spécial",D702="Congé"),AND(F702="Congé spécial",D702="Congé sans solde"),AND(F702="Congé spécial",D702="Férié"),AND(F702="Férié",D702="OFF"),AND(F702="Férié",D702="Congé"),AND(F702="Férié",D702="Congé sans solde"),AND(F702="Férié",D702="Congé spécial")),0,IF(OR(F702="OFF",F702="Congé",F702="Congé spécial",F702="Congé sans solde",D702="OFF",D702="Congé",D702="Congé spécial",D702="Congé sans solde"),0.208333333333334,IF(AND(AG702="",F702-D702&lt;0),("24:00:00"-D702)+("00:00:00"+F702)-0.0416666666666667,IF(AND(OR(AG702="Allaitement",AG702="Sans déjeuner"),F702-D702&lt;0),("24:00:00"-D702)+("00:00:00"+F702),IF(AND(AG702="",F702-D702&gt;0.166666666666667),F702-D702-0.0416666666666667,IF(AND(OR(AG702="Allaitement",AG702="Sans déjeuner"),F702-D702&gt;0.166666666666667),F702-D702,F702-D702)))))))</f>
        <v>0.333333333333333</v>
      </c>
      <c r="P702" s="6" t="str">
        <f aca="false">IFERROR(VLOOKUP($B702,Agents!$A:$D,2,0),"-")</f>
        <v>Accessibilité</v>
      </c>
      <c r="Q702" s="21" t="n">
        <v>46164</v>
      </c>
      <c r="R702" s="8" t="n">
        <f aca="false">IF(M702="Abs",O702,0)</f>
        <v>0</v>
      </c>
      <c r="S702" s="8" t="n">
        <f aca="false">SUM(R702,L702,I702,J702,W702,H702)</f>
        <v>0</v>
      </c>
      <c r="T702" s="6" t="str">
        <f aca="false">"Sem - "&amp;WEEKNUM(Q702,21)</f>
        <v>Sem - 21</v>
      </c>
      <c r="U702" s="6" t="str">
        <f aca="false">CHOOSE(MONTH(Q702),"Janvier","Février","Mars","Avril","Mai","Juin","Juillet","Août","Septembre","Octobre","Novembre","Décembre")</f>
        <v>Mai</v>
      </c>
      <c r="V702" s="22" t="n">
        <f aca="false">YEAR(Q702)</f>
        <v>2026</v>
      </c>
      <c r="W702" s="20"/>
      <c r="X702" s="8" t="n">
        <f aca="false">IFERROR(IF(M702="Abs",0,IF(ROUND((D702-C702+E702-F702)*1440,0)&lt;=1,0,D702-C702+E702-F702)),0)</f>
        <v>0</v>
      </c>
      <c r="Y702" s="6" t="str">
        <f aca="false">IFERROR(VLOOKUP($B702,Agents!$A:$D,3,0),"-")</f>
        <v>OUBRAHIM Mohammed</v>
      </c>
      <c r="Z702" s="6" t="str">
        <f aca="false">IFERROR(VLOOKUP($B702,Agents!$A:$D,4,0),"-")</f>
        <v>Credit Mutuel</v>
      </c>
      <c r="AA702" s="18" t="s">
        <v>103</v>
      </c>
      <c r="AB702" s="8" t="str">
        <f aca="false">IF(AND(D702="Congé",F702="Congé"),0.333333333333333,IF(OR(AND(D702="Congé",F702&lt;&gt;"Congé"),(AND(F702="Congé",D702&lt;&gt;"Congé"))),0.166666666666667,""))</f>
        <v/>
      </c>
      <c r="AC702" s="8" t="str">
        <f aca="false">IF(AND(D702="Congé sans solde",F702="Congé sans solde"),0.333333333333333,IF(OR(AND(D702="Congé sans solde",F702&lt;&gt;"Congé sans solde"),(AND(F702="Congé sans solde",D702&lt;&gt;"Congé sans solde"))),0.166666666666667,""))</f>
        <v/>
      </c>
      <c r="AD702" s="8" t="str">
        <f aca="false">IF(AND(D702="Congé spécial",F702="Congé spécial"),0.333333333333333,IF(OR(AND(D702="Congé spécial",F702&lt;&gt;"Congé spécial"),AND(F702="Congé spécial",D702&lt;&gt;"Congé spécial")),0.166666666666667,""))</f>
        <v/>
      </c>
      <c r="AE702" s="8" t="str">
        <f aca="false">IF(AND(D702="Férié",F702="Férié"),0.333333333333333,IF(OR(AND(D702="Férié",F702&lt;&gt;"Férié"),(AND(F702="Férié",D702&lt;&gt;"Férié"))),0.166666666666667,""))</f>
        <v/>
      </c>
      <c r="AF702" s="18"/>
      <c r="AG702" s="18"/>
    </row>
    <row r="703" customFormat="false" ht="15" hidden="false" customHeight="false" outlineLevel="0" collapsed="false">
      <c r="A703" s="6" t="str">
        <f aca="false">YEAR(Q703-WEEKDAY(Q703,2)+4)&amp;"-S"&amp;TEXT(WEEKNUM(Q703,21),"00")</f>
        <v>2026-S21</v>
      </c>
      <c r="B703" s="18" t="s">
        <v>71</v>
      </c>
      <c r="C703" s="19"/>
      <c r="D703" s="19" t="s">
        <v>74</v>
      </c>
      <c r="E703" s="19"/>
      <c r="F703" s="19" t="s">
        <v>74</v>
      </c>
      <c r="G703" s="20"/>
      <c r="H703" s="20"/>
      <c r="I703" s="8" t="str">
        <f aca="false">IF(IF(OR(C703="",D703="Congé",D703="OFF",D703="Congé spécial"),"",IF(D703&gt;F703,D703-C703,IF(C703-D703&lt;0,0,C703-D703)))&lt;0.00068287037037037,"",IF(OR(D703="Congé",D703="OFF",C703="",D703="Congé spécial"),"",IF(D703&gt;F703,D703-C703,IF(C703-D703&lt;0,0,C703-D703))))</f>
        <v/>
      </c>
      <c r="J703" s="20"/>
      <c r="K703" s="8" t="n">
        <f aca="false">IF(SUM(H703:J703)&lt;0.00068287037037037,0,SUM(H703:J703))</f>
        <v>0</v>
      </c>
      <c r="L703" s="8" t="n">
        <f aca="false">IF(OR(F703="Congé",F703="OFF",M703="Abs",F703="Congé sans solde",F703="Férié",F703="Congé spécial",D703="Congé spécial"),0,IF(F703-E703&lt;0,0,IF(F703-E703&lt;=0.00068287037037037,0,F703-E703)))</f>
        <v>0</v>
      </c>
      <c r="M703" s="6" t="n">
        <f aca="false">IF(AND(O703&lt;&gt;0,C703=""),"Abs",0)</f>
        <v>0</v>
      </c>
      <c r="N703" s="8" t="str">
        <f aca="false">IFERROR(IF(OR(D703="OFF",D703="Congé",M703="Abs",D703="Congé sans solde",D703="Férié"),"",IF(O703-K703-L703&gt;O703,O703,IF(O703-K703-L703&lt;0,"",O703-K703-L703))),"")</f>
        <v/>
      </c>
      <c r="O703" s="8" t="n">
        <f aca="false">IF(AG703="2H Pause déjeuner",IF(F703-D703-0.0833333333333333&lt;0,F703-D703-0.0833333333333333+1,F703-D703-0.0833333333333333),IF(OR(AND(F703="OFF",D703="OFF"),AND(F703="Congé",D703="Congé"),AND(F703="Congé sans solde",D703="Congé sans solde"),AND(F703="Congé spécial",D703="Congé spécial"),AND(F703="Férié",D703="Férié"),AND(F703="OFF",D703="Congé"),AND(F703="OFF",D703="Congé sans solde"),AND(F703="OFF",D703="Congé spécial"),AND(F703="OFF",D703="Férié"),AND(F703="Congé",D703="OFF"),AND(F703="Congé",D703="Congé sans solde"),AND(F703="Congé",D703="Congé spécial"),AND(F703="Congé",D703="Férié"),AND(F703="Congé sans solde",D703="OFF"),AND(F703="Congé sans solde",D703="Congé"),AND(F703="Congé sans solde",D703="Congé spécial"),AND(F703="Congé sans solde",D703="Férié"),AND(F703="Congé spécial",D703="OFF"),AND(F703="Congé spécial",D703="Congé"),AND(F703="Congé spécial",D703="Congé sans solde"),AND(F703="Congé spécial",D703="Férié"),AND(F703="Férié",D703="OFF"),AND(F703="Férié",D703="Congé"),AND(F703="Férié",D703="Congé sans solde"),AND(F703="Férié",D703="Congé spécial")),0,IF(OR(F703="OFF",F703="Congé",F703="Congé spécial",F703="Congé sans solde",D703="OFF",D703="Congé",D703="Congé spécial",D703="Congé sans solde"),0.208333333333334,IF(AND(AG703="",F703-D703&lt;0),("24:00:00"-D703)+("00:00:00"+F703)-0.0416666666666667,IF(AND(OR(AG703="Allaitement",AG703="Sans déjeuner"),F703-D703&lt;0),("24:00:00"-D703)+("00:00:00"+F703),IF(AND(AG703="",F703-D703&gt;0.166666666666667),F703-D703-0.0416666666666667,IF(AND(OR(AG703="Allaitement",AG703="Sans déjeuner"),F703-D703&gt;0.166666666666667),F703-D703,F703-D703)))))))</f>
        <v>0</v>
      </c>
      <c r="P703" s="6" t="str">
        <f aca="false">IFERROR(VLOOKUP($B703,Agents!$A:$D,2,0),"-")</f>
        <v>Accessibilité</v>
      </c>
      <c r="Q703" s="21" t="n">
        <v>46165</v>
      </c>
      <c r="R703" s="8" t="n">
        <f aca="false">IF(M703="Abs",O703,0)</f>
        <v>0</v>
      </c>
      <c r="S703" s="8" t="n">
        <f aca="false">SUM(R703,L703,I703,J703,W703,H703)</f>
        <v>0</v>
      </c>
      <c r="T703" s="6" t="str">
        <f aca="false">"Sem - "&amp;WEEKNUM(Q703,21)</f>
        <v>Sem - 21</v>
      </c>
      <c r="U703" s="6" t="str">
        <f aca="false">CHOOSE(MONTH(Q703),"Janvier","Février","Mars","Avril","Mai","Juin","Juillet","Août","Septembre","Octobre","Novembre","Décembre")</f>
        <v>Mai</v>
      </c>
      <c r="V703" s="22" t="n">
        <f aca="false">YEAR(Q703)</f>
        <v>2026</v>
      </c>
      <c r="W703" s="20"/>
      <c r="X703" s="8" t="n">
        <f aca="false">IFERROR(IF(M703="Abs",0,IF(ROUND((D703-C703+E703-F703)*1440,0)&lt;=1,0,D703-C703+E703-F703)),0)</f>
        <v>0</v>
      </c>
      <c r="Y703" s="6" t="str">
        <f aca="false">IFERROR(VLOOKUP($B703,Agents!$A:$D,3,0),"-")</f>
        <v>OUBRAHIM Mohammed</v>
      </c>
      <c r="Z703" s="6" t="str">
        <f aca="false">IFERROR(VLOOKUP($B703,Agents!$A:$D,4,0),"-")</f>
        <v>Credit Mutuel</v>
      </c>
      <c r="AA703" s="18" t="s">
        <v>103</v>
      </c>
      <c r="AB703" s="8" t="str">
        <f aca="false">IF(AND(D703="Congé",F703="Congé"),0.333333333333333,IF(OR(AND(D703="Congé",F703&lt;&gt;"Congé"),(AND(F703="Congé",D703&lt;&gt;"Congé"))),0.166666666666667,""))</f>
        <v/>
      </c>
      <c r="AC703" s="8" t="str">
        <f aca="false">IF(AND(D703="Congé sans solde",F703="Congé sans solde"),0.333333333333333,IF(OR(AND(D703="Congé sans solde",F703&lt;&gt;"Congé sans solde"),(AND(F703="Congé sans solde",D703&lt;&gt;"Congé sans solde"))),0.166666666666667,""))</f>
        <v/>
      </c>
      <c r="AD703" s="8" t="str">
        <f aca="false">IF(AND(D703="Congé spécial",F703="Congé spécial"),0.333333333333333,IF(OR(AND(D703="Congé spécial",F703&lt;&gt;"Congé spécial"),AND(F703="Congé spécial",D703&lt;&gt;"Congé spécial")),0.166666666666667,""))</f>
        <v/>
      </c>
      <c r="AE703" s="8" t="str">
        <f aca="false">IF(AND(D703="Férié",F703="Férié"),0.333333333333333,IF(OR(AND(D703="Férié",F703&lt;&gt;"Férié"),(AND(F703="Férié",D703&lt;&gt;"Férié"))),0.166666666666667,""))</f>
        <v/>
      </c>
      <c r="AF703" s="18"/>
      <c r="AG703" s="18"/>
    </row>
    <row r="704" customFormat="false" ht="15" hidden="false" customHeight="false" outlineLevel="0" collapsed="false">
      <c r="A704" s="6" t="str">
        <f aca="false">YEAR(Q704-WEEKDAY(Q704,2)+4)&amp;"-S"&amp;TEXT(WEEKNUM(Q704,21),"00")</f>
        <v>2026-S21</v>
      </c>
      <c r="B704" s="18" t="s">
        <v>72</v>
      </c>
      <c r="C704" s="19"/>
      <c r="D704" s="19" t="s">
        <v>74</v>
      </c>
      <c r="E704" s="19"/>
      <c r="F704" s="19" t="s">
        <v>74</v>
      </c>
      <c r="G704" s="20"/>
      <c r="H704" s="20"/>
      <c r="I704" s="8" t="str">
        <f aca="false">IF(IF(OR(C704="",D704="Congé",D704="OFF",D704="Congé spécial"),"",IF(D704&gt;F704,D704-C704,IF(C704-D704&lt;0,0,C704-D704)))&lt;0.00068287037037037,"",IF(OR(D704="Congé",D704="OFF",C704="",D704="Congé spécial"),"",IF(D704&gt;F704,D704-C704,IF(C704-D704&lt;0,0,C704-D704))))</f>
        <v/>
      </c>
      <c r="J704" s="20"/>
      <c r="K704" s="8" t="n">
        <f aca="false">IF(SUM(H704:J704)&lt;0.00068287037037037,0,SUM(H704:J704))</f>
        <v>0</v>
      </c>
      <c r="L704" s="8" t="n">
        <f aca="false">IF(OR(F704="Congé",F704="OFF",M704="Abs",F704="Congé sans solde",F704="Férié",F704="Congé spécial",D704="Congé spécial"),0,IF(F704-E704&lt;0,0,IF(F704-E704&lt;=0.00068287037037037,0,F704-E704)))</f>
        <v>0</v>
      </c>
      <c r="M704" s="6" t="n">
        <f aca="false">IF(AND(O704&lt;&gt;0,C704=""),"Abs",0)</f>
        <v>0</v>
      </c>
      <c r="N704" s="8" t="str">
        <f aca="false">IFERROR(IF(OR(D704="OFF",D704="Congé",M704="Abs",D704="Congé sans solde",D704="Férié"),"",IF(O704-K704-L704&gt;O704,O704,IF(O704-K704-L704&lt;0,"",O704-K704-L704))),"")</f>
        <v/>
      </c>
      <c r="O704" s="8" t="n">
        <f aca="false">IF(AG704="2H Pause déjeuner",IF(F704-D704-0.0833333333333333&lt;0,F704-D704-0.0833333333333333+1,F704-D704-0.0833333333333333),IF(OR(AND(F704="OFF",D704="OFF"),AND(F704="Congé",D704="Congé"),AND(F704="Congé sans solde",D704="Congé sans solde"),AND(F704="Congé spécial",D704="Congé spécial"),AND(F704="Férié",D704="Férié"),AND(F704="OFF",D704="Congé"),AND(F704="OFF",D704="Congé sans solde"),AND(F704="OFF",D704="Congé spécial"),AND(F704="OFF",D704="Férié"),AND(F704="Congé",D704="OFF"),AND(F704="Congé",D704="Congé sans solde"),AND(F704="Congé",D704="Congé spécial"),AND(F704="Congé",D704="Férié"),AND(F704="Congé sans solde",D704="OFF"),AND(F704="Congé sans solde",D704="Congé"),AND(F704="Congé sans solde",D704="Congé spécial"),AND(F704="Congé sans solde",D704="Férié"),AND(F704="Congé spécial",D704="OFF"),AND(F704="Congé spécial",D704="Congé"),AND(F704="Congé spécial",D704="Congé sans solde"),AND(F704="Congé spécial",D704="Férié"),AND(F704="Férié",D704="OFF"),AND(F704="Férié",D704="Congé"),AND(F704="Férié",D704="Congé sans solde"),AND(F704="Férié",D704="Congé spécial")),0,IF(OR(F704="OFF",F704="Congé",F704="Congé spécial",F704="Congé sans solde",D704="OFF",D704="Congé",D704="Congé spécial",D704="Congé sans solde"),0.208333333333334,IF(AND(AG704="",F704-D704&lt;0),("24:00:00"-D704)+("00:00:00"+F704)-0.0416666666666667,IF(AND(OR(AG704="Allaitement",AG704="Sans déjeuner"),F704-D704&lt;0),("24:00:00"-D704)+("00:00:00"+F704),IF(AND(AG704="",F704-D704&gt;0.166666666666667),F704-D704-0.0416666666666667,IF(AND(OR(AG704="Allaitement",AG704="Sans déjeuner"),F704-D704&gt;0.166666666666667),F704-D704,F704-D704)))))))</f>
        <v>0</v>
      </c>
      <c r="P704" s="6" t="str">
        <f aca="false">IFERROR(VLOOKUP($B704,Agents!$A:$D,2,0),"-")</f>
        <v>Accessibilité</v>
      </c>
      <c r="Q704" s="21" t="n">
        <v>46165</v>
      </c>
      <c r="R704" s="8" t="n">
        <f aca="false">IF(M704="Abs",O704,0)</f>
        <v>0</v>
      </c>
      <c r="S704" s="8" t="n">
        <f aca="false">SUM(R704,L704,I704,J704,W704,H704)</f>
        <v>0</v>
      </c>
      <c r="T704" s="6" t="str">
        <f aca="false">"Sem - "&amp;WEEKNUM(Q704,21)</f>
        <v>Sem - 21</v>
      </c>
      <c r="U704" s="6" t="str">
        <f aca="false">CHOOSE(MONTH(Q704),"Janvier","Février","Mars","Avril","Mai","Juin","Juillet","Août","Septembre","Octobre","Novembre","Décembre")</f>
        <v>Mai</v>
      </c>
      <c r="V704" s="22" t="n">
        <f aca="false">YEAR(Q704)</f>
        <v>2026</v>
      </c>
      <c r="W704" s="20"/>
      <c r="X704" s="8" t="n">
        <f aca="false">IFERROR(IF(M704="Abs",0,IF(ROUND((D704-C704+E704-F704)*1440,0)&lt;=1,0,D704-C704+E704-F704)),0)</f>
        <v>0</v>
      </c>
      <c r="Y704" s="6" t="str">
        <f aca="false">IFERROR(VLOOKUP($B704,Agents!$A:$D,3,0),"-")</f>
        <v>OUBRAHIM Mohammed</v>
      </c>
      <c r="Z704" s="6" t="str">
        <f aca="false">IFERROR(VLOOKUP($B704,Agents!$A:$D,4,0),"-")</f>
        <v>Credit Mutuel</v>
      </c>
      <c r="AA704" s="18" t="s">
        <v>103</v>
      </c>
      <c r="AB704" s="8" t="str">
        <f aca="false">IF(AND(D704="Congé",F704="Congé"),0.333333333333333,IF(OR(AND(D704="Congé",F704&lt;&gt;"Congé"),(AND(F704="Congé",D704&lt;&gt;"Congé"))),0.166666666666667,""))</f>
        <v/>
      </c>
      <c r="AC704" s="8" t="str">
        <f aca="false">IF(AND(D704="Congé sans solde",F704="Congé sans solde"),0.333333333333333,IF(OR(AND(D704="Congé sans solde",F704&lt;&gt;"Congé sans solde"),(AND(F704="Congé sans solde",D704&lt;&gt;"Congé sans solde"))),0.166666666666667,""))</f>
        <v/>
      </c>
      <c r="AD704" s="8" t="str">
        <f aca="false">IF(AND(D704="Congé spécial",F704="Congé spécial"),0.333333333333333,IF(OR(AND(D704="Congé spécial",F704&lt;&gt;"Congé spécial"),AND(F704="Congé spécial",D704&lt;&gt;"Congé spécial")),0.166666666666667,""))</f>
        <v/>
      </c>
      <c r="AE704" s="8" t="str">
        <f aca="false">IF(AND(D704="Férié",F704="Férié"),0.333333333333333,IF(OR(AND(D704="Férié",F704&lt;&gt;"Férié"),(AND(F704="Férié",D704&lt;&gt;"Férié"))),0.166666666666667,""))</f>
        <v/>
      </c>
      <c r="AF704" s="18"/>
      <c r="AG704" s="18"/>
    </row>
    <row r="705" customFormat="false" ht="15" hidden="false" customHeight="false" outlineLevel="0" collapsed="false">
      <c r="A705" s="6" t="str">
        <f aca="false">YEAR(Q705-WEEKDAY(Q705,2)+4)&amp;"-S"&amp;TEXT(WEEKNUM(Q705,21),"00")</f>
        <v>2026-S21</v>
      </c>
      <c r="B705" s="18" t="s">
        <v>73</v>
      </c>
      <c r="C705" s="19"/>
      <c r="D705" s="19" t="s">
        <v>74</v>
      </c>
      <c r="E705" s="19"/>
      <c r="F705" s="19" t="s">
        <v>74</v>
      </c>
      <c r="G705" s="20"/>
      <c r="H705" s="20"/>
      <c r="I705" s="8" t="str">
        <f aca="false">IF(IF(OR(C705="",D705="Congé",D705="OFF",D705="Congé spécial"),"",IF(D705&gt;F705,D705-C705,IF(C705-D705&lt;0,0,C705-D705)))&lt;0.00068287037037037,"",IF(OR(D705="Congé",D705="OFF",C705="",D705="Congé spécial"),"",IF(D705&gt;F705,D705-C705,IF(C705-D705&lt;0,0,C705-D705))))</f>
        <v/>
      </c>
      <c r="J705" s="20"/>
      <c r="K705" s="8" t="n">
        <f aca="false">IF(SUM(H705:J705)&lt;0.00068287037037037,0,SUM(H705:J705))</f>
        <v>0</v>
      </c>
      <c r="L705" s="8" t="n">
        <f aca="false">IF(OR(F705="Congé",F705="OFF",M705="Abs",F705="Congé sans solde",F705="Férié",F705="Congé spécial",D705="Congé spécial"),0,IF(F705-E705&lt;0,0,IF(F705-E705&lt;=0.00068287037037037,0,F705-E705)))</f>
        <v>0</v>
      </c>
      <c r="M705" s="6" t="n">
        <f aca="false">IF(AND(O705&lt;&gt;0,C705=""),"Abs",0)</f>
        <v>0</v>
      </c>
      <c r="N705" s="8" t="str">
        <f aca="false">IFERROR(IF(OR(D705="OFF",D705="Congé",M705="Abs",D705="Congé sans solde",D705="Férié"),"",IF(O705-K705-L705&gt;O705,O705,IF(O705-K705-L705&lt;0,"",O705-K705-L705))),"")</f>
        <v/>
      </c>
      <c r="O705" s="8" t="n">
        <f aca="false">IF(AG705="2H Pause déjeuner",IF(F705-D705-0.0833333333333333&lt;0,F705-D705-0.0833333333333333+1,F705-D705-0.0833333333333333),IF(OR(AND(F705="OFF",D705="OFF"),AND(F705="Congé",D705="Congé"),AND(F705="Congé sans solde",D705="Congé sans solde"),AND(F705="Congé spécial",D705="Congé spécial"),AND(F705="Férié",D705="Férié"),AND(F705="OFF",D705="Congé"),AND(F705="OFF",D705="Congé sans solde"),AND(F705="OFF",D705="Congé spécial"),AND(F705="OFF",D705="Férié"),AND(F705="Congé",D705="OFF"),AND(F705="Congé",D705="Congé sans solde"),AND(F705="Congé",D705="Congé spécial"),AND(F705="Congé",D705="Férié"),AND(F705="Congé sans solde",D705="OFF"),AND(F705="Congé sans solde",D705="Congé"),AND(F705="Congé sans solde",D705="Congé spécial"),AND(F705="Congé sans solde",D705="Férié"),AND(F705="Congé spécial",D705="OFF"),AND(F705="Congé spécial",D705="Congé"),AND(F705="Congé spécial",D705="Congé sans solde"),AND(F705="Congé spécial",D705="Férié"),AND(F705="Férié",D705="OFF"),AND(F705="Férié",D705="Congé"),AND(F705="Férié",D705="Congé sans solde"),AND(F705="Férié",D705="Congé spécial")),0,IF(OR(F705="OFF",F705="Congé",F705="Congé spécial",F705="Congé sans solde",D705="OFF",D705="Congé",D705="Congé spécial",D705="Congé sans solde"),0.208333333333334,IF(AND(AG705="",F705-D705&lt;0),("24:00:00"-D705)+("00:00:00"+F705)-0.0416666666666667,IF(AND(OR(AG705="Allaitement",AG705="Sans déjeuner"),F705-D705&lt;0),("24:00:00"-D705)+("00:00:00"+F705),IF(AND(AG705="",F705-D705&gt;0.166666666666667),F705-D705-0.0416666666666667,IF(AND(OR(AG705="Allaitement",AG705="Sans déjeuner"),F705-D705&gt;0.166666666666667),F705-D705,F705-D705)))))))</f>
        <v>0</v>
      </c>
      <c r="P705" s="6" t="str">
        <f aca="false">IFERROR(VLOOKUP($B705,Agents!$A:$D,2,0),"-")</f>
        <v>Accessibilité</v>
      </c>
      <c r="Q705" s="21" t="n">
        <v>46165</v>
      </c>
      <c r="R705" s="8" t="n">
        <f aca="false">IF(M705="Abs",O705,0)</f>
        <v>0</v>
      </c>
      <c r="S705" s="8" t="n">
        <f aca="false">SUM(R705,L705,I705,J705,W705,H705)</f>
        <v>0</v>
      </c>
      <c r="T705" s="6" t="str">
        <f aca="false">"Sem - "&amp;WEEKNUM(Q705,21)</f>
        <v>Sem - 21</v>
      </c>
      <c r="U705" s="6" t="str">
        <f aca="false">CHOOSE(MONTH(Q705),"Janvier","Février","Mars","Avril","Mai","Juin","Juillet","Août","Septembre","Octobre","Novembre","Décembre")</f>
        <v>Mai</v>
      </c>
      <c r="V705" s="22" t="n">
        <f aca="false">YEAR(Q705)</f>
        <v>2026</v>
      </c>
      <c r="W705" s="20"/>
      <c r="X705" s="8" t="n">
        <f aca="false">IFERROR(IF(M705="Abs",0,IF(ROUND((D705-C705+E705-F705)*1440,0)&lt;=1,0,D705-C705+E705-F705)),0)</f>
        <v>0</v>
      </c>
      <c r="Y705" s="6" t="str">
        <f aca="false">IFERROR(VLOOKUP($B705,Agents!$A:$D,3,0),"-")</f>
        <v>OUBRAHIM Mohammed</v>
      </c>
      <c r="Z705" s="6" t="str">
        <f aca="false">IFERROR(VLOOKUP($B705,Agents!$A:$D,4,0),"-")</f>
        <v>Credit Mutuel</v>
      </c>
      <c r="AA705" s="18" t="s">
        <v>103</v>
      </c>
      <c r="AB705" s="8" t="str">
        <f aca="false">IF(AND(D705="Congé",F705="Congé"),0.333333333333333,IF(OR(AND(D705="Congé",F705&lt;&gt;"Congé"),(AND(F705="Congé",D705&lt;&gt;"Congé"))),0.166666666666667,""))</f>
        <v/>
      </c>
      <c r="AC705" s="8" t="str">
        <f aca="false">IF(AND(D705="Congé sans solde",F705="Congé sans solde"),0.333333333333333,IF(OR(AND(D705="Congé sans solde",F705&lt;&gt;"Congé sans solde"),(AND(F705="Congé sans solde",D705&lt;&gt;"Congé sans solde"))),0.166666666666667,""))</f>
        <v/>
      </c>
      <c r="AD705" s="8" t="str">
        <f aca="false">IF(AND(D705="Congé spécial",F705="Congé spécial"),0.333333333333333,IF(OR(AND(D705="Congé spécial",F705&lt;&gt;"Congé spécial"),AND(F705="Congé spécial",D705&lt;&gt;"Congé spécial")),0.166666666666667,""))</f>
        <v/>
      </c>
      <c r="AE705" s="8" t="str">
        <f aca="false">IF(AND(D705="Férié",F705="Férié"),0.333333333333333,IF(OR(AND(D705="Férié",F705&lt;&gt;"Férié"),(AND(F705="Férié",D705&lt;&gt;"Férié"))),0.166666666666667,""))</f>
        <v/>
      </c>
      <c r="AF705" s="18"/>
      <c r="AG705" s="18"/>
    </row>
    <row r="706" customFormat="false" ht="15" hidden="false" customHeight="false" outlineLevel="0" collapsed="false">
      <c r="A706" s="6" t="str">
        <f aca="false">YEAR(Q706-WEEKDAY(Q706,2)+4)&amp;"-S"&amp;TEXT(WEEKNUM(Q706,21),"00")</f>
        <v>2026-S21</v>
      </c>
      <c r="B706" s="18" t="s">
        <v>71</v>
      </c>
      <c r="C706" s="19"/>
      <c r="D706" s="19" t="s">
        <v>74</v>
      </c>
      <c r="E706" s="19"/>
      <c r="F706" s="19" t="s">
        <v>74</v>
      </c>
      <c r="G706" s="20"/>
      <c r="H706" s="20"/>
      <c r="I706" s="8" t="str">
        <f aca="false">IF(IF(OR(C706="",D706="Congé",D706="OFF",D706="Congé spécial"),"",IF(D706&gt;F706,D706-C706,IF(C706-D706&lt;0,0,C706-D706)))&lt;0.00068287037037037,"",IF(OR(D706="Congé",D706="OFF",C706="",D706="Congé spécial"),"",IF(D706&gt;F706,D706-C706,IF(C706-D706&lt;0,0,C706-D706))))</f>
        <v/>
      </c>
      <c r="J706" s="20"/>
      <c r="K706" s="8" t="n">
        <f aca="false">IF(SUM(H706:J706)&lt;0.00068287037037037,0,SUM(H706:J706))</f>
        <v>0</v>
      </c>
      <c r="L706" s="8" t="n">
        <f aca="false">IF(OR(F706="Congé",F706="OFF",M706="Abs",F706="Congé sans solde",F706="Férié",F706="Congé spécial",D706="Congé spécial"),0,IF(F706-E706&lt;0,0,IF(F706-E706&lt;=0.00068287037037037,0,F706-E706)))</f>
        <v>0</v>
      </c>
      <c r="M706" s="6" t="n">
        <f aca="false">IF(AND(O706&lt;&gt;0,C706=""),"Abs",0)</f>
        <v>0</v>
      </c>
      <c r="N706" s="8" t="str">
        <f aca="false">IFERROR(IF(OR(D706="OFF",D706="Congé",M706="Abs",D706="Congé sans solde",D706="Férié"),"",IF(O706-K706-L706&gt;O706,O706,IF(O706-K706-L706&lt;0,"",O706-K706-L706))),"")</f>
        <v/>
      </c>
      <c r="O706" s="8" t="n">
        <f aca="false">IF(AG706="2H Pause déjeuner",IF(F706-D706-0.0833333333333333&lt;0,F706-D706-0.0833333333333333+1,F706-D706-0.0833333333333333),IF(OR(AND(F706="OFF",D706="OFF"),AND(F706="Congé",D706="Congé"),AND(F706="Congé sans solde",D706="Congé sans solde"),AND(F706="Congé spécial",D706="Congé spécial"),AND(F706="Férié",D706="Férié"),AND(F706="OFF",D706="Congé"),AND(F706="OFF",D706="Congé sans solde"),AND(F706="OFF",D706="Congé spécial"),AND(F706="OFF",D706="Férié"),AND(F706="Congé",D706="OFF"),AND(F706="Congé",D706="Congé sans solde"),AND(F706="Congé",D706="Congé spécial"),AND(F706="Congé",D706="Férié"),AND(F706="Congé sans solde",D706="OFF"),AND(F706="Congé sans solde",D706="Congé"),AND(F706="Congé sans solde",D706="Congé spécial"),AND(F706="Congé sans solde",D706="Férié"),AND(F706="Congé spécial",D706="OFF"),AND(F706="Congé spécial",D706="Congé"),AND(F706="Congé spécial",D706="Congé sans solde"),AND(F706="Congé spécial",D706="Férié"),AND(F706="Férié",D706="OFF"),AND(F706="Férié",D706="Congé"),AND(F706="Férié",D706="Congé sans solde"),AND(F706="Férié",D706="Congé spécial")),0,IF(OR(F706="OFF",F706="Congé",F706="Congé spécial",F706="Congé sans solde",D706="OFF",D706="Congé",D706="Congé spécial",D706="Congé sans solde"),0.208333333333334,IF(AND(AG706="",F706-D706&lt;0),("24:00:00"-D706)+("00:00:00"+F706)-0.0416666666666667,IF(AND(OR(AG706="Allaitement",AG706="Sans déjeuner"),F706-D706&lt;0),("24:00:00"-D706)+("00:00:00"+F706),IF(AND(AG706="",F706-D706&gt;0.166666666666667),F706-D706-0.0416666666666667,IF(AND(OR(AG706="Allaitement",AG706="Sans déjeuner"),F706-D706&gt;0.166666666666667),F706-D706,F706-D706)))))))</f>
        <v>0</v>
      </c>
      <c r="P706" s="6" t="str">
        <f aca="false">IFERROR(VLOOKUP($B706,Agents!$A:$D,2,0),"-")</f>
        <v>Accessibilité</v>
      </c>
      <c r="Q706" s="21" t="n">
        <v>46166</v>
      </c>
      <c r="R706" s="8" t="n">
        <f aca="false">IF(M706="Abs",O706,0)</f>
        <v>0</v>
      </c>
      <c r="S706" s="8" t="n">
        <f aca="false">SUM(R706,L706,I706,J706,W706,H706)</f>
        <v>0</v>
      </c>
      <c r="T706" s="6" t="str">
        <f aca="false">"Sem - "&amp;WEEKNUM(Q706,21)</f>
        <v>Sem - 21</v>
      </c>
      <c r="U706" s="6" t="str">
        <f aca="false">CHOOSE(MONTH(Q706),"Janvier","Février","Mars","Avril","Mai","Juin","Juillet","Août","Septembre","Octobre","Novembre","Décembre")</f>
        <v>Mai</v>
      </c>
      <c r="V706" s="22" t="n">
        <f aca="false">YEAR(Q706)</f>
        <v>2026</v>
      </c>
      <c r="W706" s="20"/>
      <c r="X706" s="8" t="n">
        <f aca="false">IFERROR(IF(M706="Abs",0,IF(ROUND((D706-C706+E706-F706)*1440,0)&lt;=1,0,D706-C706+E706-F706)),0)</f>
        <v>0</v>
      </c>
      <c r="Y706" s="6" t="str">
        <f aca="false">IFERROR(VLOOKUP($B706,Agents!$A:$D,3,0),"-")</f>
        <v>OUBRAHIM Mohammed</v>
      </c>
      <c r="Z706" s="6" t="str">
        <f aca="false">IFERROR(VLOOKUP($B706,Agents!$A:$D,4,0),"-")</f>
        <v>Credit Mutuel</v>
      </c>
      <c r="AA706" s="18" t="s">
        <v>103</v>
      </c>
      <c r="AB706" s="8" t="str">
        <f aca="false">IF(AND(D706="Congé",F706="Congé"),0.333333333333333,IF(OR(AND(D706="Congé",F706&lt;&gt;"Congé"),(AND(F706="Congé",D706&lt;&gt;"Congé"))),0.166666666666667,""))</f>
        <v/>
      </c>
      <c r="AC706" s="8" t="str">
        <f aca="false">IF(AND(D706="Congé sans solde",F706="Congé sans solde"),0.333333333333333,IF(OR(AND(D706="Congé sans solde",F706&lt;&gt;"Congé sans solde"),(AND(F706="Congé sans solde",D706&lt;&gt;"Congé sans solde"))),0.166666666666667,""))</f>
        <v/>
      </c>
      <c r="AD706" s="8" t="str">
        <f aca="false">IF(AND(D706="Congé spécial",F706="Congé spécial"),0.333333333333333,IF(OR(AND(D706="Congé spécial",F706&lt;&gt;"Congé spécial"),AND(F706="Congé spécial",D706&lt;&gt;"Congé spécial")),0.166666666666667,""))</f>
        <v/>
      </c>
      <c r="AE706" s="8" t="str">
        <f aca="false">IF(AND(D706="Férié",F706="Férié"),0.333333333333333,IF(OR(AND(D706="Férié",F706&lt;&gt;"Férié"),(AND(F706="Férié",D706&lt;&gt;"Férié"))),0.166666666666667,""))</f>
        <v/>
      </c>
      <c r="AF706" s="18"/>
      <c r="AG706" s="18"/>
    </row>
    <row r="707" customFormat="false" ht="15" hidden="false" customHeight="false" outlineLevel="0" collapsed="false">
      <c r="A707" s="6" t="str">
        <f aca="false">YEAR(Q707-WEEKDAY(Q707,2)+4)&amp;"-S"&amp;TEXT(WEEKNUM(Q707,21),"00")</f>
        <v>2026-S21</v>
      </c>
      <c r="B707" s="18" t="s">
        <v>72</v>
      </c>
      <c r="C707" s="19"/>
      <c r="D707" s="19" t="s">
        <v>74</v>
      </c>
      <c r="E707" s="19"/>
      <c r="F707" s="19" t="s">
        <v>74</v>
      </c>
      <c r="G707" s="20"/>
      <c r="H707" s="20"/>
      <c r="I707" s="8" t="str">
        <f aca="false">IF(IF(OR(C707="",D707="Congé",D707="OFF",D707="Congé spécial"),"",IF(D707&gt;F707,D707-C707,IF(C707-D707&lt;0,0,C707-D707)))&lt;0.00068287037037037,"",IF(OR(D707="Congé",D707="OFF",C707="",D707="Congé spécial"),"",IF(D707&gt;F707,D707-C707,IF(C707-D707&lt;0,0,C707-D707))))</f>
        <v/>
      </c>
      <c r="J707" s="20"/>
      <c r="K707" s="8" t="n">
        <f aca="false">IF(SUM(H707:J707)&lt;0.00068287037037037,0,SUM(H707:J707))</f>
        <v>0</v>
      </c>
      <c r="L707" s="8" t="n">
        <f aca="false">IF(OR(F707="Congé",F707="OFF",M707="Abs",F707="Congé sans solde",F707="Férié",F707="Congé spécial",D707="Congé spécial"),0,IF(F707-E707&lt;0,0,IF(F707-E707&lt;=0.00068287037037037,0,F707-E707)))</f>
        <v>0</v>
      </c>
      <c r="M707" s="6" t="n">
        <f aca="false">IF(AND(O707&lt;&gt;0,C707=""),"Abs",0)</f>
        <v>0</v>
      </c>
      <c r="N707" s="8" t="str">
        <f aca="false">IFERROR(IF(OR(D707="OFF",D707="Congé",M707="Abs",D707="Congé sans solde",D707="Férié"),"",IF(O707-K707-L707&gt;O707,O707,IF(O707-K707-L707&lt;0,"",O707-K707-L707))),"")</f>
        <v/>
      </c>
      <c r="O707" s="8" t="n">
        <f aca="false">IF(AG707="2H Pause déjeuner",IF(F707-D707-0.0833333333333333&lt;0,F707-D707-0.0833333333333333+1,F707-D707-0.0833333333333333),IF(OR(AND(F707="OFF",D707="OFF"),AND(F707="Congé",D707="Congé"),AND(F707="Congé sans solde",D707="Congé sans solde"),AND(F707="Congé spécial",D707="Congé spécial"),AND(F707="Férié",D707="Férié"),AND(F707="OFF",D707="Congé"),AND(F707="OFF",D707="Congé sans solde"),AND(F707="OFF",D707="Congé spécial"),AND(F707="OFF",D707="Férié"),AND(F707="Congé",D707="OFF"),AND(F707="Congé",D707="Congé sans solde"),AND(F707="Congé",D707="Congé spécial"),AND(F707="Congé",D707="Férié"),AND(F707="Congé sans solde",D707="OFF"),AND(F707="Congé sans solde",D707="Congé"),AND(F707="Congé sans solde",D707="Congé spécial"),AND(F707="Congé sans solde",D707="Férié"),AND(F707="Congé spécial",D707="OFF"),AND(F707="Congé spécial",D707="Congé"),AND(F707="Congé spécial",D707="Congé sans solde"),AND(F707="Congé spécial",D707="Férié"),AND(F707="Férié",D707="OFF"),AND(F707="Férié",D707="Congé"),AND(F707="Férié",D707="Congé sans solde"),AND(F707="Férié",D707="Congé spécial")),0,IF(OR(F707="OFF",F707="Congé",F707="Congé spécial",F707="Congé sans solde",D707="OFF",D707="Congé",D707="Congé spécial",D707="Congé sans solde"),0.208333333333334,IF(AND(AG707="",F707-D707&lt;0),("24:00:00"-D707)+("00:00:00"+F707)-0.0416666666666667,IF(AND(OR(AG707="Allaitement",AG707="Sans déjeuner"),F707-D707&lt;0),("24:00:00"-D707)+("00:00:00"+F707),IF(AND(AG707="",F707-D707&gt;0.166666666666667),F707-D707-0.0416666666666667,IF(AND(OR(AG707="Allaitement",AG707="Sans déjeuner"),F707-D707&gt;0.166666666666667),F707-D707,F707-D707)))))))</f>
        <v>0</v>
      </c>
      <c r="P707" s="6" t="str">
        <f aca="false">IFERROR(VLOOKUP($B707,Agents!$A:$D,2,0),"-")</f>
        <v>Accessibilité</v>
      </c>
      <c r="Q707" s="21" t="n">
        <v>46166</v>
      </c>
      <c r="R707" s="8" t="n">
        <f aca="false">IF(M707="Abs",O707,0)</f>
        <v>0</v>
      </c>
      <c r="S707" s="8" t="n">
        <f aca="false">SUM(R707,L707,I707,J707,W707,H707)</f>
        <v>0</v>
      </c>
      <c r="T707" s="6" t="str">
        <f aca="false">"Sem - "&amp;WEEKNUM(Q707,21)</f>
        <v>Sem - 21</v>
      </c>
      <c r="U707" s="6" t="str">
        <f aca="false">CHOOSE(MONTH(Q707),"Janvier","Février","Mars","Avril","Mai","Juin","Juillet","Août","Septembre","Octobre","Novembre","Décembre")</f>
        <v>Mai</v>
      </c>
      <c r="V707" s="22" t="n">
        <f aca="false">YEAR(Q707)</f>
        <v>2026</v>
      </c>
      <c r="W707" s="20"/>
      <c r="X707" s="8" t="n">
        <f aca="false">IFERROR(IF(M707="Abs",0,IF(ROUND((D707-C707+E707-F707)*1440,0)&lt;=1,0,D707-C707+E707-F707)),0)</f>
        <v>0</v>
      </c>
      <c r="Y707" s="6" t="str">
        <f aca="false">IFERROR(VLOOKUP($B707,Agents!$A:$D,3,0),"-")</f>
        <v>OUBRAHIM Mohammed</v>
      </c>
      <c r="Z707" s="6" t="str">
        <f aca="false">IFERROR(VLOOKUP($B707,Agents!$A:$D,4,0),"-")</f>
        <v>Credit Mutuel</v>
      </c>
      <c r="AA707" s="18" t="s">
        <v>103</v>
      </c>
      <c r="AB707" s="8" t="str">
        <f aca="false">IF(AND(D707="Congé",F707="Congé"),0.333333333333333,IF(OR(AND(D707="Congé",F707&lt;&gt;"Congé"),(AND(F707="Congé",D707&lt;&gt;"Congé"))),0.166666666666667,""))</f>
        <v/>
      </c>
      <c r="AC707" s="8" t="str">
        <f aca="false">IF(AND(D707="Congé sans solde",F707="Congé sans solde"),0.333333333333333,IF(OR(AND(D707="Congé sans solde",F707&lt;&gt;"Congé sans solde"),(AND(F707="Congé sans solde",D707&lt;&gt;"Congé sans solde"))),0.166666666666667,""))</f>
        <v/>
      </c>
      <c r="AD707" s="8" t="str">
        <f aca="false">IF(AND(D707="Congé spécial",F707="Congé spécial"),0.333333333333333,IF(OR(AND(D707="Congé spécial",F707&lt;&gt;"Congé spécial"),AND(F707="Congé spécial",D707&lt;&gt;"Congé spécial")),0.166666666666667,""))</f>
        <v/>
      </c>
      <c r="AE707" s="8" t="str">
        <f aca="false">IF(AND(D707="Férié",F707="Férié"),0.333333333333333,IF(OR(AND(D707="Férié",F707&lt;&gt;"Férié"),(AND(F707="Férié",D707&lt;&gt;"Férié"))),0.166666666666667,""))</f>
        <v/>
      </c>
      <c r="AF707" s="18"/>
      <c r="AG707" s="18"/>
    </row>
    <row r="708" customFormat="false" ht="15" hidden="false" customHeight="false" outlineLevel="0" collapsed="false">
      <c r="A708" s="6" t="str">
        <f aca="false">YEAR(Q708-WEEKDAY(Q708,2)+4)&amp;"-S"&amp;TEXT(WEEKNUM(Q708,21),"00")</f>
        <v>2026-S21</v>
      </c>
      <c r="B708" s="18" t="s">
        <v>73</v>
      </c>
      <c r="C708" s="19"/>
      <c r="D708" s="19" t="s">
        <v>74</v>
      </c>
      <c r="E708" s="19"/>
      <c r="F708" s="19" t="s">
        <v>74</v>
      </c>
      <c r="G708" s="20"/>
      <c r="H708" s="20"/>
      <c r="I708" s="8" t="str">
        <f aca="false">IF(IF(OR(C708="",D708="Congé",D708="OFF",D708="Congé spécial"),"",IF(D708&gt;F708,D708-C708,IF(C708-D708&lt;0,0,C708-D708)))&lt;0.00068287037037037,"",IF(OR(D708="Congé",D708="OFF",C708="",D708="Congé spécial"),"",IF(D708&gt;F708,D708-C708,IF(C708-D708&lt;0,0,C708-D708))))</f>
        <v/>
      </c>
      <c r="J708" s="20"/>
      <c r="K708" s="8" t="n">
        <f aca="false">IF(SUM(H708:J708)&lt;0.00068287037037037,0,SUM(H708:J708))</f>
        <v>0</v>
      </c>
      <c r="L708" s="8" t="n">
        <f aca="false">IF(OR(F708="Congé",F708="OFF",M708="Abs",F708="Congé sans solde",F708="Férié",F708="Congé spécial",D708="Congé spécial"),0,IF(F708-E708&lt;0,0,IF(F708-E708&lt;=0.00068287037037037,0,F708-E708)))</f>
        <v>0</v>
      </c>
      <c r="M708" s="6" t="n">
        <f aca="false">IF(AND(O708&lt;&gt;0,C708=""),"Abs",0)</f>
        <v>0</v>
      </c>
      <c r="N708" s="8" t="str">
        <f aca="false">IFERROR(IF(OR(D708="OFF",D708="Congé",M708="Abs",D708="Congé sans solde",D708="Férié"),"",IF(O708-K708-L708&gt;O708,O708,IF(O708-K708-L708&lt;0,"",O708-K708-L708))),"")</f>
        <v/>
      </c>
      <c r="O708" s="8" t="n">
        <f aca="false">IF(AG708="2H Pause déjeuner",IF(F708-D708-0.0833333333333333&lt;0,F708-D708-0.0833333333333333+1,F708-D708-0.0833333333333333),IF(OR(AND(F708="OFF",D708="OFF"),AND(F708="Congé",D708="Congé"),AND(F708="Congé sans solde",D708="Congé sans solde"),AND(F708="Congé spécial",D708="Congé spécial"),AND(F708="Férié",D708="Férié"),AND(F708="OFF",D708="Congé"),AND(F708="OFF",D708="Congé sans solde"),AND(F708="OFF",D708="Congé spécial"),AND(F708="OFF",D708="Férié"),AND(F708="Congé",D708="OFF"),AND(F708="Congé",D708="Congé sans solde"),AND(F708="Congé",D708="Congé spécial"),AND(F708="Congé",D708="Férié"),AND(F708="Congé sans solde",D708="OFF"),AND(F708="Congé sans solde",D708="Congé"),AND(F708="Congé sans solde",D708="Congé spécial"),AND(F708="Congé sans solde",D708="Férié"),AND(F708="Congé spécial",D708="OFF"),AND(F708="Congé spécial",D708="Congé"),AND(F708="Congé spécial",D708="Congé sans solde"),AND(F708="Congé spécial",D708="Férié"),AND(F708="Férié",D708="OFF"),AND(F708="Férié",D708="Congé"),AND(F708="Férié",D708="Congé sans solde"),AND(F708="Férié",D708="Congé spécial")),0,IF(OR(F708="OFF",F708="Congé",F708="Congé spécial",F708="Congé sans solde",D708="OFF",D708="Congé",D708="Congé spécial",D708="Congé sans solde"),0.208333333333334,IF(AND(AG708="",F708-D708&lt;0),("24:00:00"-D708)+("00:00:00"+F708)-0.0416666666666667,IF(AND(OR(AG708="Allaitement",AG708="Sans déjeuner"),F708-D708&lt;0),("24:00:00"-D708)+("00:00:00"+F708),IF(AND(AG708="",F708-D708&gt;0.166666666666667),F708-D708-0.0416666666666667,IF(AND(OR(AG708="Allaitement",AG708="Sans déjeuner"),F708-D708&gt;0.166666666666667),F708-D708,F708-D708)))))))</f>
        <v>0</v>
      </c>
      <c r="P708" s="6" t="str">
        <f aca="false">IFERROR(VLOOKUP($B708,Agents!$A:$D,2,0),"-")</f>
        <v>Accessibilité</v>
      </c>
      <c r="Q708" s="21" t="n">
        <v>46166</v>
      </c>
      <c r="R708" s="8" t="n">
        <f aca="false">IF(M708="Abs",O708,0)</f>
        <v>0</v>
      </c>
      <c r="S708" s="8" t="n">
        <f aca="false">SUM(R708,L708,I708,J708,W708,H708)</f>
        <v>0</v>
      </c>
      <c r="T708" s="6" t="str">
        <f aca="false">"Sem - "&amp;WEEKNUM(Q708,21)</f>
        <v>Sem - 21</v>
      </c>
      <c r="U708" s="6" t="str">
        <f aca="false">CHOOSE(MONTH(Q708),"Janvier","Février","Mars","Avril","Mai","Juin","Juillet","Août","Septembre","Octobre","Novembre","Décembre")</f>
        <v>Mai</v>
      </c>
      <c r="V708" s="22" t="n">
        <f aca="false">YEAR(Q708)</f>
        <v>2026</v>
      </c>
      <c r="W708" s="20"/>
      <c r="X708" s="8" t="n">
        <f aca="false">IFERROR(IF(M708="Abs",0,IF(ROUND((D708-C708+E708-F708)*1440,0)&lt;=1,0,D708-C708+E708-F708)),0)</f>
        <v>0</v>
      </c>
      <c r="Y708" s="6" t="str">
        <f aca="false">IFERROR(VLOOKUP($B708,Agents!$A:$D,3,0),"-")</f>
        <v>OUBRAHIM Mohammed</v>
      </c>
      <c r="Z708" s="6" t="str">
        <f aca="false">IFERROR(VLOOKUP($B708,Agents!$A:$D,4,0),"-")</f>
        <v>Credit Mutuel</v>
      </c>
      <c r="AA708" s="18" t="s">
        <v>103</v>
      </c>
      <c r="AB708" s="8" t="str">
        <f aca="false">IF(AND(D708="Congé",F708="Congé"),0.333333333333333,IF(OR(AND(D708="Congé",F708&lt;&gt;"Congé"),(AND(F708="Congé",D708&lt;&gt;"Congé"))),0.166666666666667,""))</f>
        <v/>
      </c>
      <c r="AC708" s="8" t="str">
        <f aca="false">IF(AND(D708="Congé sans solde",F708="Congé sans solde"),0.333333333333333,IF(OR(AND(D708="Congé sans solde",F708&lt;&gt;"Congé sans solde"),(AND(F708="Congé sans solde",D708&lt;&gt;"Congé sans solde"))),0.166666666666667,""))</f>
        <v/>
      </c>
      <c r="AD708" s="8" t="str">
        <f aca="false">IF(AND(D708="Congé spécial",F708="Congé spécial"),0.333333333333333,IF(OR(AND(D708="Congé spécial",F708&lt;&gt;"Congé spécial"),AND(F708="Congé spécial",D708&lt;&gt;"Congé spécial")),0.166666666666667,""))</f>
        <v/>
      </c>
      <c r="AE708" s="8" t="str">
        <f aca="false">IF(AND(D708="Férié",F708="Férié"),0.333333333333333,IF(OR(AND(D708="Férié",F708&lt;&gt;"Férié"),(AND(F708="Férié",D708&lt;&gt;"Férié"))),0.166666666666667,""))</f>
        <v/>
      </c>
      <c r="AF708" s="18"/>
      <c r="AG708" s="18"/>
    </row>
    <row r="709" customFormat="false" ht="15" hidden="false" customHeight="false" outlineLevel="0" collapsed="false">
      <c r="A709" s="6" t="str">
        <f aca="false">YEAR(Q709-WEEKDAY(Q709,2)+4)&amp;"-S"&amp;TEXT(WEEKNUM(Q709,21),"00")</f>
        <v>2026-S22</v>
      </c>
      <c r="B709" s="18" t="s">
        <v>71</v>
      </c>
      <c r="C709" s="19"/>
      <c r="D709" s="19" t="s">
        <v>74</v>
      </c>
      <c r="E709" s="19"/>
      <c r="F709" s="19" t="s">
        <v>74</v>
      </c>
      <c r="G709" s="20"/>
      <c r="H709" s="20"/>
      <c r="I709" s="8" t="str">
        <f aca="false">IF(IF(OR(C709="",D709="Congé",D709="OFF",D709="Congé spécial"),"",IF(D709&gt;F709,D709-C709,IF(C709-D709&lt;0,0,C709-D709)))&lt;0.00068287037037037,"",IF(OR(D709="Congé",D709="OFF",C709="",D709="Congé spécial"),"",IF(D709&gt;F709,D709-C709,IF(C709-D709&lt;0,0,C709-D709))))</f>
        <v/>
      </c>
      <c r="J709" s="20"/>
      <c r="K709" s="8" t="n">
        <f aca="false">IF(SUM(H709:J709)&lt;0.00068287037037037,0,SUM(H709:J709))</f>
        <v>0</v>
      </c>
      <c r="L709" s="8" t="n">
        <f aca="false">IF(OR(F709="Congé",F709="OFF",M709="Abs",F709="Congé sans solde",F709="Férié",F709="Congé spécial",D709="Congé spécial"),0,IF(F709-E709&lt;0,0,IF(F709-E709&lt;=0.00068287037037037,0,F709-E709)))</f>
        <v>0</v>
      </c>
      <c r="M709" s="6" t="n">
        <f aca="false">IF(AND(O709&lt;&gt;0,C709=""),"Abs",0)</f>
        <v>0</v>
      </c>
      <c r="N709" s="8" t="str">
        <f aca="false">IFERROR(IF(OR(D709="OFF",D709="Congé",M709="Abs",D709="Congé sans solde",D709="Férié"),"",IF(O709-K709-L709&gt;O709,O709,IF(O709-K709-L709&lt;0,"",O709-K709-L709))),"")</f>
        <v/>
      </c>
      <c r="O709" s="8" t="n">
        <f aca="false">IF(AG709="2H Pause déjeuner",IF(F709-D709-0.0833333333333333&lt;0,F709-D709-0.0833333333333333+1,F709-D709-0.0833333333333333),IF(OR(AND(F709="OFF",D709="OFF"),AND(F709="Congé",D709="Congé"),AND(F709="Congé sans solde",D709="Congé sans solde"),AND(F709="Congé spécial",D709="Congé spécial"),AND(F709="Férié",D709="Férié"),AND(F709="OFF",D709="Congé"),AND(F709="OFF",D709="Congé sans solde"),AND(F709="OFF",D709="Congé spécial"),AND(F709="OFF",D709="Férié"),AND(F709="Congé",D709="OFF"),AND(F709="Congé",D709="Congé sans solde"),AND(F709="Congé",D709="Congé spécial"),AND(F709="Congé",D709="Férié"),AND(F709="Congé sans solde",D709="OFF"),AND(F709="Congé sans solde",D709="Congé"),AND(F709="Congé sans solde",D709="Congé spécial"),AND(F709="Congé sans solde",D709="Férié"),AND(F709="Congé spécial",D709="OFF"),AND(F709="Congé spécial",D709="Congé"),AND(F709="Congé spécial",D709="Congé sans solde"),AND(F709="Congé spécial",D709="Férié"),AND(F709="Férié",D709="OFF"),AND(F709="Férié",D709="Congé"),AND(F709="Férié",D709="Congé sans solde"),AND(F709="Férié",D709="Congé spécial")),0,IF(OR(F709="OFF",F709="Congé",F709="Congé spécial",F709="Congé sans solde",D709="OFF",D709="Congé",D709="Congé spécial",D709="Congé sans solde"),0.208333333333334,IF(AND(AG709="",F709-D709&lt;0),("24:00:00"-D709)+("00:00:00"+F709)-0.0416666666666667,IF(AND(OR(AG709="Allaitement",AG709="Sans déjeuner"),F709-D709&lt;0),("24:00:00"-D709)+("00:00:00"+F709),IF(AND(AG709="",F709-D709&gt;0.166666666666667),F709-D709-0.0416666666666667,IF(AND(OR(AG709="Allaitement",AG709="Sans déjeuner"),F709-D709&gt;0.166666666666667),F709-D709,F709-D709)))))))</f>
        <v>0</v>
      </c>
      <c r="P709" s="6" t="str">
        <f aca="false">IFERROR(VLOOKUP($B709,Agents!$A:$D,2,0),"-")</f>
        <v>Accessibilité</v>
      </c>
      <c r="Q709" s="21" t="n">
        <v>46167</v>
      </c>
      <c r="R709" s="8" t="n">
        <f aca="false">IF(M709="Abs",O709,0)</f>
        <v>0</v>
      </c>
      <c r="S709" s="8" t="n">
        <f aca="false">SUM(R709,L709,I709,J709,W709,H709)</f>
        <v>0</v>
      </c>
      <c r="T709" s="6" t="str">
        <f aca="false">"Sem - "&amp;WEEKNUM(Q709,21)</f>
        <v>Sem - 22</v>
      </c>
      <c r="U709" s="6" t="str">
        <f aca="false">CHOOSE(MONTH(Q709),"Janvier","Février","Mars","Avril","Mai","Juin","Juillet","Août","Septembre","Octobre","Novembre","Décembre")</f>
        <v>Mai</v>
      </c>
      <c r="V709" s="22" t="n">
        <f aca="false">YEAR(Q709)</f>
        <v>2026</v>
      </c>
      <c r="W709" s="20"/>
      <c r="X709" s="8" t="n">
        <f aca="false">IFERROR(IF(M709="Abs",0,IF(ROUND((D709-C709+E709-F709)*1440,0)&lt;=1,0,D709-C709+E709-F709)),0)</f>
        <v>0</v>
      </c>
      <c r="Y709" s="6" t="str">
        <f aca="false">IFERROR(VLOOKUP($B709,Agents!$A:$D,3,0),"-")</f>
        <v>OUBRAHIM Mohammed</v>
      </c>
      <c r="Z709" s="6" t="str">
        <f aca="false">IFERROR(VLOOKUP($B709,Agents!$A:$D,4,0),"-")</f>
        <v>Credit Mutuel</v>
      </c>
      <c r="AA709" s="18" t="s">
        <v>104</v>
      </c>
      <c r="AB709" s="8" t="str">
        <f aca="false">IF(AND(D709="Congé",F709="Congé"),0.333333333333333,IF(OR(AND(D709="Congé",F709&lt;&gt;"Congé"),(AND(F709="Congé",D709&lt;&gt;"Congé"))),0.166666666666667,""))</f>
        <v/>
      </c>
      <c r="AC709" s="8" t="str">
        <f aca="false">IF(AND(D709="Congé sans solde",F709="Congé sans solde"),0.333333333333333,IF(OR(AND(D709="Congé sans solde",F709&lt;&gt;"Congé sans solde"),(AND(F709="Congé sans solde",D709&lt;&gt;"Congé sans solde"))),0.166666666666667,""))</f>
        <v/>
      </c>
      <c r="AD709" s="8" t="str">
        <f aca="false">IF(AND(D709="Congé spécial",F709="Congé spécial"),0.333333333333333,IF(OR(AND(D709="Congé spécial",F709&lt;&gt;"Congé spécial"),AND(F709="Congé spécial",D709&lt;&gt;"Congé spécial")),0.166666666666667,""))</f>
        <v/>
      </c>
      <c r="AE709" s="8" t="str">
        <f aca="false">IF(AND(D709="Férié",F709="Férié"),0.333333333333333,IF(OR(AND(D709="Férié",F709&lt;&gt;"Férié"),(AND(F709="Férié",D709&lt;&gt;"Férié"))),0.166666666666667,""))</f>
        <v/>
      </c>
      <c r="AF709" s="18"/>
      <c r="AG709" s="18"/>
    </row>
    <row r="710" customFormat="false" ht="15" hidden="false" customHeight="false" outlineLevel="0" collapsed="false">
      <c r="A710" s="6" t="str">
        <f aca="false">YEAR(Q710-WEEKDAY(Q710,2)+4)&amp;"-S"&amp;TEXT(WEEKNUM(Q710,21),"00")</f>
        <v>2026-S22</v>
      </c>
      <c r="B710" s="18" t="s">
        <v>72</v>
      </c>
      <c r="C710" s="19"/>
      <c r="D710" s="19" t="s">
        <v>74</v>
      </c>
      <c r="E710" s="19"/>
      <c r="F710" s="19" t="s">
        <v>74</v>
      </c>
      <c r="G710" s="20"/>
      <c r="H710" s="20"/>
      <c r="I710" s="8" t="str">
        <f aca="false">IF(IF(OR(C710="",D710="Congé",D710="OFF",D710="Congé spécial"),"",IF(D710&gt;F710,D710-C710,IF(C710-D710&lt;0,0,C710-D710)))&lt;0.00068287037037037,"",IF(OR(D710="Congé",D710="OFF",C710="",D710="Congé spécial"),"",IF(D710&gt;F710,D710-C710,IF(C710-D710&lt;0,0,C710-D710))))</f>
        <v/>
      </c>
      <c r="J710" s="20"/>
      <c r="K710" s="8" t="n">
        <f aca="false">IF(SUM(H710:J710)&lt;0.00068287037037037,0,SUM(H710:J710))</f>
        <v>0</v>
      </c>
      <c r="L710" s="8" t="n">
        <f aca="false">IF(OR(F710="Congé",F710="OFF",M710="Abs",F710="Congé sans solde",F710="Férié",F710="Congé spécial",D710="Congé spécial"),0,IF(F710-E710&lt;0,0,IF(F710-E710&lt;=0.00068287037037037,0,F710-E710)))</f>
        <v>0</v>
      </c>
      <c r="M710" s="6" t="n">
        <f aca="false">IF(AND(O710&lt;&gt;0,C710=""),"Abs",0)</f>
        <v>0</v>
      </c>
      <c r="N710" s="8" t="str">
        <f aca="false">IFERROR(IF(OR(D710="OFF",D710="Congé",M710="Abs",D710="Congé sans solde",D710="Férié"),"",IF(O710-K710-L710&gt;O710,O710,IF(O710-K710-L710&lt;0,"",O710-K710-L710))),"")</f>
        <v/>
      </c>
      <c r="O710" s="8" t="n">
        <f aca="false">IF(AG710="2H Pause déjeuner",IF(F710-D710-0.0833333333333333&lt;0,F710-D710-0.0833333333333333+1,F710-D710-0.0833333333333333),IF(OR(AND(F710="OFF",D710="OFF"),AND(F710="Congé",D710="Congé"),AND(F710="Congé sans solde",D710="Congé sans solde"),AND(F710="Congé spécial",D710="Congé spécial"),AND(F710="Férié",D710="Férié"),AND(F710="OFF",D710="Congé"),AND(F710="OFF",D710="Congé sans solde"),AND(F710="OFF",D710="Congé spécial"),AND(F710="OFF",D710="Férié"),AND(F710="Congé",D710="OFF"),AND(F710="Congé",D710="Congé sans solde"),AND(F710="Congé",D710="Congé spécial"),AND(F710="Congé",D710="Férié"),AND(F710="Congé sans solde",D710="OFF"),AND(F710="Congé sans solde",D710="Congé"),AND(F710="Congé sans solde",D710="Congé spécial"),AND(F710="Congé sans solde",D710="Férié"),AND(F710="Congé spécial",D710="OFF"),AND(F710="Congé spécial",D710="Congé"),AND(F710="Congé spécial",D710="Congé sans solde"),AND(F710="Congé spécial",D710="Férié"),AND(F710="Férié",D710="OFF"),AND(F710="Férié",D710="Congé"),AND(F710="Férié",D710="Congé sans solde"),AND(F710="Férié",D710="Congé spécial")),0,IF(OR(F710="OFF",F710="Congé",F710="Congé spécial",F710="Congé sans solde",D710="OFF",D710="Congé",D710="Congé spécial",D710="Congé sans solde"),0.208333333333334,IF(AND(AG710="",F710-D710&lt;0),("24:00:00"-D710)+("00:00:00"+F710)-0.0416666666666667,IF(AND(OR(AG710="Allaitement",AG710="Sans déjeuner"),F710-D710&lt;0),("24:00:00"-D710)+("00:00:00"+F710),IF(AND(AG710="",F710-D710&gt;0.166666666666667),F710-D710-0.0416666666666667,IF(AND(OR(AG710="Allaitement",AG710="Sans déjeuner"),F710-D710&gt;0.166666666666667),F710-D710,F710-D710)))))))</f>
        <v>0</v>
      </c>
      <c r="P710" s="6" t="str">
        <f aca="false">IFERROR(VLOOKUP($B710,Agents!$A:$D,2,0),"-")</f>
        <v>Accessibilité</v>
      </c>
      <c r="Q710" s="21" t="n">
        <v>46167</v>
      </c>
      <c r="R710" s="8" t="n">
        <f aca="false">IF(M710="Abs",O710,0)</f>
        <v>0</v>
      </c>
      <c r="S710" s="8" t="n">
        <f aca="false">SUM(R710,L710,I710,J710,W710,H710)</f>
        <v>0</v>
      </c>
      <c r="T710" s="6" t="str">
        <f aca="false">"Sem - "&amp;WEEKNUM(Q710,21)</f>
        <v>Sem - 22</v>
      </c>
      <c r="U710" s="6" t="str">
        <f aca="false">CHOOSE(MONTH(Q710),"Janvier","Février","Mars","Avril","Mai","Juin","Juillet","Août","Septembre","Octobre","Novembre","Décembre")</f>
        <v>Mai</v>
      </c>
      <c r="V710" s="22" t="n">
        <f aca="false">YEAR(Q710)</f>
        <v>2026</v>
      </c>
      <c r="W710" s="20"/>
      <c r="X710" s="8" t="n">
        <f aca="false">IFERROR(IF(M710="Abs",0,IF(ROUND((D710-C710+E710-F710)*1440,0)&lt;=1,0,D710-C710+E710-F710)),0)</f>
        <v>0</v>
      </c>
      <c r="Y710" s="6" t="str">
        <f aca="false">IFERROR(VLOOKUP($B710,Agents!$A:$D,3,0),"-")</f>
        <v>OUBRAHIM Mohammed</v>
      </c>
      <c r="Z710" s="6" t="str">
        <f aca="false">IFERROR(VLOOKUP($B710,Agents!$A:$D,4,0),"-")</f>
        <v>Credit Mutuel</v>
      </c>
      <c r="AA710" s="18" t="s">
        <v>104</v>
      </c>
      <c r="AB710" s="8" t="str">
        <f aca="false">IF(AND(D710="Congé",F710="Congé"),0.333333333333333,IF(OR(AND(D710="Congé",F710&lt;&gt;"Congé"),(AND(F710="Congé",D710&lt;&gt;"Congé"))),0.166666666666667,""))</f>
        <v/>
      </c>
      <c r="AC710" s="8" t="str">
        <f aca="false">IF(AND(D710="Congé sans solde",F710="Congé sans solde"),0.333333333333333,IF(OR(AND(D710="Congé sans solde",F710&lt;&gt;"Congé sans solde"),(AND(F710="Congé sans solde",D710&lt;&gt;"Congé sans solde"))),0.166666666666667,""))</f>
        <v/>
      </c>
      <c r="AD710" s="8" t="str">
        <f aca="false">IF(AND(D710="Congé spécial",F710="Congé spécial"),0.333333333333333,IF(OR(AND(D710="Congé spécial",F710&lt;&gt;"Congé spécial"),AND(F710="Congé spécial",D710&lt;&gt;"Congé spécial")),0.166666666666667,""))</f>
        <v/>
      </c>
      <c r="AE710" s="8" t="str">
        <f aca="false">IF(AND(D710="Férié",F710="Férié"),0.333333333333333,IF(OR(AND(D710="Férié",F710&lt;&gt;"Férié"),(AND(F710="Férié",D710&lt;&gt;"Férié"))),0.166666666666667,""))</f>
        <v/>
      </c>
      <c r="AF710" s="18"/>
      <c r="AG710" s="18"/>
    </row>
    <row r="711" customFormat="false" ht="15" hidden="false" customHeight="false" outlineLevel="0" collapsed="false">
      <c r="A711" s="6" t="str">
        <f aca="false">YEAR(Q711-WEEKDAY(Q711,2)+4)&amp;"-S"&amp;TEXT(WEEKNUM(Q711,21),"00")</f>
        <v>2026-S22</v>
      </c>
      <c r="B711" s="18" t="s">
        <v>73</v>
      </c>
      <c r="C711" s="19"/>
      <c r="D711" s="19" t="s">
        <v>74</v>
      </c>
      <c r="E711" s="19"/>
      <c r="F711" s="19" t="s">
        <v>74</v>
      </c>
      <c r="G711" s="20"/>
      <c r="H711" s="20"/>
      <c r="I711" s="8" t="str">
        <f aca="false">IF(IF(OR(C711="",D711="Congé",D711="OFF",D711="Congé spécial"),"",IF(D711&gt;F711,D711-C711,IF(C711-D711&lt;0,0,C711-D711)))&lt;0.00068287037037037,"",IF(OR(D711="Congé",D711="OFF",C711="",D711="Congé spécial"),"",IF(D711&gt;F711,D711-C711,IF(C711-D711&lt;0,0,C711-D711))))</f>
        <v/>
      </c>
      <c r="J711" s="20"/>
      <c r="K711" s="8" t="n">
        <f aca="false">IF(SUM(H711:J711)&lt;0.00068287037037037,0,SUM(H711:J711))</f>
        <v>0</v>
      </c>
      <c r="L711" s="8" t="n">
        <f aca="false">IF(OR(F711="Congé",F711="OFF",M711="Abs",F711="Congé sans solde",F711="Férié",F711="Congé spécial",D711="Congé spécial"),0,IF(F711-E711&lt;0,0,IF(F711-E711&lt;=0.00068287037037037,0,F711-E711)))</f>
        <v>0</v>
      </c>
      <c r="M711" s="6" t="n">
        <f aca="false">IF(AND(O711&lt;&gt;0,C711=""),"Abs",0)</f>
        <v>0</v>
      </c>
      <c r="N711" s="8" t="str">
        <f aca="false">IFERROR(IF(OR(D711="OFF",D711="Congé",M711="Abs",D711="Congé sans solde",D711="Férié"),"",IF(O711-K711-L711&gt;O711,O711,IF(O711-K711-L711&lt;0,"",O711-K711-L711))),"")</f>
        <v/>
      </c>
      <c r="O711" s="8" t="n">
        <f aca="false">IF(AG711="2H Pause déjeuner",IF(F711-D711-0.0833333333333333&lt;0,F711-D711-0.0833333333333333+1,F711-D711-0.0833333333333333),IF(OR(AND(F711="OFF",D711="OFF"),AND(F711="Congé",D711="Congé"),AND(F711="Congé sans solde",D711="Congé sans solde"),AND(F711="Congé spécial",D711="Congé spécial"),AND(F711="Férié",D711="Férié"),AND(F711="OFF",D711="Congé"),AND(F711="OFF",D711="Congé sans solde"),AND(F711="OFF",D711="Congé spécial"),AND(F711="OFF",D711="Férié"),AND(F711="Congé",D711="OFF"),AND(F711="Congé",D711="Congé sans solde"),AND(F711="Congé",D711="Congé spécial"),AND(F711="Congé",D711="Férié"),AND(F711="Congé sans solde",D711="OFF"),AND(F711="Congé sans solde",D711="Congé"),AND(F711="Congé sans solde",D711="Congé spécial"),AND(F711="Congé sans solde",D711="Férié"),AND(F711="Congé spécial",D711="OFF"),AND(F711="Congé spécial",D711="Congé"),AND(F711="Congé spécial",D711="Congé sans solde"),AND(F711="Congé spécial",D711="Férié"),AND(F711="Férié",D711="OFF"),AND(F711="Férié",D711="Congé"),AND(F711="Férié",D711="Congé sans solde"),AND(F711="Férié",D711="Congé spécial")),0,IF(OR(F711="OFF",F711="Congé",F711="Congé spécial",F711="Congé sans solde",D711="OFF",D711="Congé",D711="Congé spécial",D711="Congé sans solde"),0.208333333333334,IF(AND(AG711="",F711-D711&lt;0),("24:00:00"-D711)+("00:00:00"+F711)-0.0416666666666667,IF(AND(OR(AG711="Allaitement",AG711="Sans déjeuner"),F711-D711&lt;0),("24:00:00"-D711)+("00:00:00"+F711),IF(AND(AG711="",F711-D711&gt;0.166666666666667),F711-D711-0.0416666666666667,IF(AND(OR(AG711="Allaitement",AG711="Sans déjeuner"),F711-D711&gt;0.166666666666667),F711-D711,F711-D711)))))))</f>
        <v>0</v>
      </c>
      <c r="P711" s="6" t="str">
        <f aca="false">IFERROR(VLOOKUP($B711,Agents!$A:$D,2,0),"-")</f>
        <v>Accessibilité</v>
      </c>
      <c r="Q711" s="21" t="n">
        <v>46167</v>
      </c>
      <c r="R711" s="8" t="n">
        <f aca="false">IF(M711="Abs",O711,0)</f>
        <v>0</v>
      </c>
      <c r="S711" s="8" t="n">
        <f aca="false">SUM(R711,L711,I711,J711,W711,H711)</f>
        <v>0</v>
      </c>
      <c r="T711" s="6" t="str">
        <f aca="false">"Sem - "&amp;WEEKNUM(Q711,21)</f>
        <v>Sem - 22</v>
      </c>
      <c r="U711" s="6" t="str">
        <f aca="false">CHOOSE(MONTH(Q711),"Janvier","Février","Mars","Avril","Mai","Juin","Juillet","Août","Septembre","Octobre","Novembre","Décembre")</f>
        <v>Mai</v>
      </c>
      <c r="V711" s="22" t="n">
        <f aca="false">YEAR(Q711)</f>
        <v>2026</v>
      </c>
      <c r="W711" s="20"/>
      <c r="X711" s="8" t="n">
        <f aca="false">IFERROR(IF(M711="Abs",0,IF(ROUND((D711-C711+E711-F711)*1440,0)&lt;=1,0,D711-C711+E711-F711)),0)</f>
        <v>0</v>
      </c>
      <c r="Y711" s="6" t="str">
        <f aca="false">IFERROR(VLOOKUP($B711,Agents!$A:$D,3,0),"-")</f>
        <v>OUBRAHIM Mohammed</v>
      </c>
      <c r="Z711" s="6" t="str">
        <f aca="false">IFERROR(VLOOKUP($B711,Agents!$A:$D,4,0),"-")</f>
        <v>Credit Mutuel</v>
      </c>
      <c r="AA711" s="18" t="s">
        <v>104</v>
      </c>
      <c r="AB711" s="8" t="str">
        <f aca="false">IF(AND(D711="Congé",F711="Congé"),0.333333333333333,IF(OR(AND(D711="Congé",F711&lt;&gt;"Congé"),(AND(F711="Congé",D711&lt;&gt;"Congé"))),0.166666666666667,""))</f>
        <v/>
      </c>
      <c r="AC711" s="8" t="str">
        <f aca="false">IF(AND(D711="Congé sans solde",F711="Congé sans solde"),0.333333333333333,IF(OR(AND(D711="Congé sans solde",F711&lt;&gt;"Congé sans solde"),(AND(F711="Congé sans solde",D711&lt;&gt;"Congé sans solde"))),0.166666666666667,""))</f>
        <v/>
      </c>
      <c r="AD711" s="8" t="str">
        <f aca="false">IF(AND(D711="Congé spécial",F711="Congé spécial"),0.333333333333333,IF(OR(AND(D711="Congé spécial",F711&lt;&gt;"Congé spécial"),AND(F711="Congé spécial",D711&lt;&gt;"Congé spécial")),0.166666666666667,""))</f>
        <v/>
      </c>
      <c r="AE711" s="8" t="str">
        <f aca="false">IF(AND(D711="Férié",F711="Férié"),0.333333333333333,IF(OR(AND(D711="Férié",F711&lt;&gt;"Férié"),(AND(F711="Férié",D711&lt;&gt;"Férié"))),0.166666666666667,""))</f>
        <v/>
      </c>
      <c r="AF711" s="18"/>
      <c r="AG711" s="18"/>
    </row>
    <row r="712" customFormat="false" ht="15" hidden="false" customHeight="false" outlineLevel="0" collapsed="false">
      <c r="A712" s="6" t="str">
        <f aca="false">YEAR(Q712-WEEKDAY(Q712,2)+4)&amp;"-S"&amp;TEXT(WEEKNUM(Q712,21),"00")</f>
        <v>2026-S22</v>
      </c>
      <c r="B712" s="18" t="s">
        <v>71</v>
      </c>
      <c r="C712" s="19" t="n">
        <v>0.331944444444444</v>
      </c>
      <c r="D712" s="19" t="n">
        <v>0.333333333333333</v>
      </c>
      <c r="E712" s="19" t="n">
        <v>0.75</v>
      </c>
      <c r="F712" s="19" t="n">
        <v>0.75</v>
      </c>
      <c r="G712" s="20"/>
      <c r="H712" s="20"/>
      <c r="I712" s="8" t="str">
        <f aca="false">IF(IF(OR(C712="",D712="Congé",D712="OFF",D712="Congé spécial"),"",IF(D712&gt;F712,D712-C712,IF(C712-D712&lt;0,0,C712-D712)))&lt;0.00068287037037037,"",IF(OR(D712="Congé",D712="OFF",C712="",D712="Congé spécial"),"",IF(D712&gt;F712,D712-C712,IF(C712-D712&lt;0,0,C712-D712))))</f>
        <v/>
      </c>
      <c r="J712" s="20"/>
      <c r="K712" s="8" t="n">
        <f aca="false">IF(SUM(H712:J712)&lt;0.00068287037037037,0,SUM(H712:J712))</f>
        <v>0</v>
      </c>
      <c r="L712" s="8" t="n">
        <f aca="false">IF(OR(F712="Congé",F712="OFF",M712="Abs",F712="Congé sans solde",F712="Férié",F712="Congé spécial",D712="Congé spécial"),0,IF(F712-E712&lt;0,0,IF(F712-E712&lt;=0.00068287037037037,0,F712-E712)))</f>
        <v>0</v>
      </c>
      <c r="M712" s="6" t="n">
        <f aca="false">IF(AND(O712&lt;&gt;0,C712=""),"Abs",0)</f>
        <v>0</v>
      </c>
      <c r="N712" s="8" t="n">
        <f aca="false">IFERROR(IF(OR(D712="OFF",D712="Congé",M712="Abs",D712="Congé sans solde",D712="Férié"),"",IF(O712-K712-L712&gt;O712,O712,IF(O712-K712-L712&lt;0,"",O712-K712-L712))),"")</f>
        <v>0.375</v>
      </c>
      <c r="O712" s="8" t="n">
        <f aca="false">IF(AG712="2H Pause déjeuner",IF(F712-D712-0.0833333333333333&lt;0,F712-D712-0.0833333333333333+1,F712-D712-0.0833333333333333),IF(OR(AND(F712="OFF",D712="OFF"),AND(F712="Congé",D712="Congé"),AND(F712="Congé sans solde",D712="Congé sans solde"),AND(F712="Congé spécial",D712="Congé spécial"),AND(F712="Férié",D712="Férié"),AND(F712="OFF",D712="Congé"),AND(F712="OFF",D712="Congé sans solde"),AND(F712="OFF",D712="Congé spécial"),AND(F712="OFF",D712="Férié"),AND(F712="Congé",D712="OFF"),AND(F712="Congé",D712="Congé sans solde"),AND(F712="Congé",D712="Congé spécial"),AND(F712="Congé",D712="Férié"),AND(F712="Congé sans solde",D712="OFF"),AND(F712="Congé sans solde",D712="Congé"),AND(F712="Congé sans solde",D712="Congé spécial"),AND(F712="Congé sans solde",D712="Férié"),AND(F712="Congé spécial",D712="OFF"),AND(F712="Congé spécial",D712="Congé"),AND(F712="Congé spécial",D712="Congé sans solde"),AND(F712="Congé spécial",D712="Férié"),AND(F712="Férié",D712="OFF"),AND(F712="Férié",D712="Congé"),AND(F712="Férié",D712="Congé sans solde"),AND(F712="Férié",D712="Congé spécial")),0,IF(OR(F712="OFF",F712="Congé",F712="Congé spécial",F712="Congé sans solde",D712="OFF",D712="Congé",D712="Congé spécial",D712="Congé sans solde"),0.208333333333334,IF(AND(AG712="",F712-D712&lt;0),("24:00:00"-D712)+("00:00:00"+F712)-0.0416666666666667,IF(AND(OR(AG712="Allaitement",AG712="Sans déjeuner"),F712-D712&lt;0),("24:00:00"-D712)+("00:00:00"+F712),IF(AND(AG712="",F712-D712&gt;0.166666666666667),F712-D712-0.0416666666666667,IF(AND(OR(AG712="Allaitement",AG712="Sans déjeuner"),F712-D712&gt;0.166666666666667),F712-D712,F712-D712)))))))</f>
        <v>0.375</v>
      </c>
      <c r="P712" s="6" t="str">
        <f aca="false">IFERROR(VLOOKUP($B712,Agents!$A:$D,2,0),"-")</f>
        <v>Accessibilité</v>
      </c>
      <c r="Q712" s="21" t="n">
        <v>46168</v>
      </c>
      <c r="R712" s="8" t="n">
        <f aca="false">IF(M712="Abs",O712,0)</f>
        <v>0</v>
      </c>
      <c r="S712" s="8" t="n">
        <f aca="false">SUM(R712,L712,I712,J712,W712,H712)</f>
        <v>0</v>
      </c>
      <c r="T712" s="6" t="str">
        <f aca="false">"Sem - "&amp;WEEKNUM(Q712,21)</f>
        <v>Sem - 22</v>
      </c>
      <c r="U712" s="6" t="str">
        <f aca="false">CHOOSE(MONTH(Q712),"Janvier","Février","Mars","Avril","Mai","Juin","Juillet","Août","Septembre","Octobre","Novembre","Décembre")</f>
        <v>Mai</v>
      </c>
      <c r="V712" s="22" t="n">
        <f aca="false">YEAR(Q712)</f>
        <v>2026</v>
      </c>
      <c r="W712" s="20"/>
      <c r="X712" s="8" t="n">
        <f aca="false">IFERROR(IF(M712="Abs",0,IF(ROUND((D712-C712+E712-F712)*1440,0)&lt;=1,0,D712-C712+E712-F712)),0)</f>
        <v>0.00138888888888889</v>
      </c>
      <c r="Y712" s="6" t="str">
        <f aca="false">IFERROR(VLOOKUP($B712,Agents!$A:$D,3,0),"-")</f>
        <v>OUBRAHIM Mohammed</v>
      </c>
      <c r="Z712" s="6" t="str">
        <f aca="false">IFERROR(VLOOKUP($B712,Agents!$A:$D,4,0),"-")</f>
        <v>Credit Mutuel</v>
      </c>
      <c r="AA712" s="18" t="s">
        <v>104</v>
      </c>
      <c r="AB712" s="8" t="str">
        <f aca="false">IF(AND(D712="Congé",F712="Congé"),0.333333333333333,IF(OR(AND(D712="Congé",F712&lt;&gt;"Congé"),(AND(F712="Congé",D712&lt;&gt;"Congé"))),0.166666666666667,""))</f>
        <v/>
      </c>
      <c r="AC712" s="8" t="str">
        <f aca="false">IF(AND(D712="Congé sans solde",F712="Congé sans solde"),0.333333333333333,IF(OR(AND(D712="Congé sans solde",F712&lt;&gt;"Congé sans solde"),(AND(F712="Congé sans solde",D712&lt;&gt;"Congé sans solde"))),0.166666666666667,""))</f>
        <v/>
      </c>
      <c r="AD712" s="8" t="str">
        <f aca="false">IF(AND(D712="Congé spécial",F712="Congé spécial"),0.333333333333333,IF(OR(AND(D712="Congé spécial",F712&lt;&gt;"Congé spécial"),AND(F712="Congé spécial",D712&lt;&gt;"Congé spécial")),0.166666666666667,""))</f>
        <v/>
      </c>
      <c r="AE712" s="8" t="str">
        <f aca="false">IF(AND(D712="Férié",F712="Férié"),0.333333333333333,IF(OR(AND(D712="Férié",F712&lt;&gt;"Férié"),(AND(F712="Férié",D712&lt;&gt;"Férié"))),0.166666666666667,""))</f>
        <v/>
      </c>
      <c r="AF712" s="18"/>
      <c r="AG712" s="18"/>
    </row>
    <row r="713" customFormat="false" ht="15" hidden="false" customHeight="false" outlineLevel="0" collapsed="false">
      <c r="A713" s="6" t="str">
        <f aca="false">YEAR(Q713-WEEKDAY(Q713,2)+4)&amp;"-S"&amp;TEXT(WEEKNUM(Q713,21),"00")</f>
        <v>2026-S22</v>
      </c>
      <c r="B713" s="18" t="s">
        <v>72</v>
      </c>
      <c r="C713" s="19" t="n">
        <v>0.332638888888889</v>
      </c>
      <c r="D713" s="19" t="n">
        <v>0.333333333333333</v>
      </c>
      <c r="E713" s="19" t="n">
        <v>0.75</v>
      </c>
      <c r="F713" s="19" t="n">
        <v>0.75</v>
      </c>
      <c r="G713" s="20"/>
      <c r="H713" s="20"/>
      <c r="I713" s="8" t="str">
        <f aca="false">IF(IF(OR(C713="",D713="Congé",D713="OFF",D713="Congé spécial"),"",IF(D713&gt;F713,D713-C713,IF(C713-D713&lt;0,0,C713-D713)))&lt;0.00068287037037037,"",IF(OR(D713="Congé",D713="OFF",C713="",D713="Congé spécial"),"",IF(D713&gt;F713,D713-C713,IF(C713-D713&lt;0,0,C713-D713))))</f>
        <v/>
      </c>
      <c r="J713" s="20"/>
      <c r="K713" s="8" t="n">
        <f aca="false">IF(SUM(H713:J713)&lt;0.00068287037037037,0,SUM(H713:J713))</f>
        <v>0</v>
      </c>
      <c r="L713" s="8" t="n">
        <f aca="false">IF(OR(F713="Congé",F713="OFF",M713="Abs",F713="Congé sans solde",F713="Férié",F713="Congé spécial",D713="Congé spécial"),0,IF(F713-E713&lt;0,0,IF(F713-E713&lt;=0.00068287037037037,0,F713-E713)))</f>
        <v>0</v>
      </c>
      <c r="M713" s="6" t="n">
        <f aca="false">IF(AND(O713&lt;&gt;0,C713=""),"Abs",0)</f>
        <v>0</v>
      </c>
      <c r="N713" s="8" t="n">
        <f aca="false">IFERROR(IF(OR(D713="OFF",D713="Congé",M713="Abs",D713="Congé sans solde",D713="Férié"),"",IF(O713-K713-L713&gt;O713,O713,IF(O713-K713-L713&lt;0,"",O713-K713-L713))),"")</f>
        <v>0.375</v>
      </c>
      <c r="O713" s="8" t="n">
        <f aca="false">IF(AG713="2H Pause déjeuner",IF(F713-D713-0.0833333333333333&lt;0,F713-D713-0.0833333333333333+1,F713-D713-0.0833333333333333),IF(OR(AND(F713="OFF",D713="OFF"),AND(F713="Congé",D713="Congé"),AND(F713="Congé sans solde",D713="Congé sans solde"),AND(F713="Congé spécial",D713="Congé spécial"),AND(F713="Férié",D713="Férié"),AND(F713="OFF",D713="Congé"),AND(F713="OFF",D713="Congé sans solde"),AND(F713="OFF",D713="Congé spécial"),AND(F713="OFF",D713="Férié"),AND(F713="Congé",D713="OFF"),AND(F713="Congé",D713="Congé sans solde"),AND(F713="Congé",D713="Congé spécial"),AND(F713="Congé",D713="Férié"),AND(F713="Congé sans solde",D713="OFF"),AND(F713="Congé sans solde",D713="Congé"),AND(F713="Congé sans solde",D713="Congé spécial"),AND(F713="Congé sans solde",D713="Férié"),AND(F713="Congé spécial",D713="OFF"),AND(F713="Congé spécial",D713="Congé"),AND(F713="Congé spécial",D713="Congé sans solde"),AND(F713="Congé spécial",D713="Férié"),AND(F713="Férié",D713="OFF"),AND(F713="Férié",D713="Congé"),AND(F713="Férié",D713="Congé sans solde"),AND(F713="Férié",D713="Congé spécial")),0,IF(OR(F713="OFF",F713="Congé",F713="Congé spécial",F713="Congé sans solde",D713="OFF",D713="Congé",D713="Congé spécial",D713="Congé sans solde"),0.208333333333334,IF(AND(AG713="",F713-D713&lt;0),("24:00:00"-D713)+("00:00:00"+F713)-0.0416666666666667,IF(AND(OR(AG713="Allaitement",AG713="Sans déjeuner"),F713-D713&lt;0),("24:00:00"-D713)+("00:00:00"+F713),IF(AND(AG713="",F713-D713&gt;0.166666666666667),F713-D713-0.0416666666666667,IF(AND(OR(AG713="Allaitement",AG713="Sans déjeuner"),F713-D713&gt;0.166666666666667),F713-D713,F713-D713)))))))</f>
        <v>0.375</v>
      </c>
      <c r="P713" s="6" t="str">
        <f aca="false">IFERROR(VLOOKUP($B713,Agents!$A:$D,2,0),"-")</f>
        <v>Accessibilité</v>
      </c>
      <c r="Q713" s="21" t="n">
        <v>46168</v>
      </c>
      <c r="R713" s="8" t="n">
        <f aca="false">IF(M713="Abs",O713,0)</f>
        <v>0</v>
      </c>
      <c r="S713" s="8" t="n">
        <f aca="false">SUM(R713,L713,I713,J713,W713,H713)</f>
        <v>0</v>
      </c>
      <c r="T713" s="6" t="str">
        <f aca="false">"Sem - "&amp;WEEKNUM(Q713,21)</f>
        <v>Sem - 22</v>
      </c>
      <c r="U713" s="6" t="str">
        <f aca="false">CHOOSE(MONTH(Q713),"Janvier","Février","Mars","Avril","Mai","Juin","Juillet","Août","Septembre","Octobre","Novembre","Décembre")</f>
        <v>Mai</v>
      </c>
      <c r="V713" s="22" t="n">
        <f aca="false">YEAR(Q713)</f>
        <v>2026</v>
      </c>
      <c r="W713" s="20"/>
      <c r="X713" s="8" t="n">
        <f aca="false">IFERROR(IF(M713="Abs",0,IF(ROUND((D713-C713+E713-F713)*1440,0)&lt;=1,0,D713-C713+E713-F713)),0)</f>
        <v>0</v>
      </c>
      <c r="Y713" s="6" t="str">
        <f aca="false">IFERROR(VLOOKUP($B713,Agents!$A:$D,3,0),"-")</f>
        <v>OUBRAHIM Mohammed</v>
      </c>
      <c r="Z713" s="6" t="str">
        <f aca="false">IFERROR(VLOOKUP($B713,Agents!$A:$D,4,0),"-")</f>
        <v>Credit Mutuel</v>
      </c>
      <c r="AA713" s="18" t="s">
        <v>104</v>
      </c>
      <c r="AB713" s="8" t="str">
        <f aca="false">IF(AND(D713="Congé",F713="Congé"),0.333333333333333,IF(OR(AND(D713="Congé",F713&lt;&gt;"Congé"),(AND(F713="Congé",D713&lt;&gt;"Congé"))),0.166666666666667,""))</f>
        <v/>
      </c>
      <c r="AC713" s="8" t="str">
        <f aca="false">IF(AND(D713="Congé sans solde",F713="Congé sans solde"),0.333333333333333,IF(OR(AND(D713="Congé sans solde",F713&lt;&gt;"Congé sans solde"),(AND(F713="Congé sans solde",D713&lt;&gt;"Congé sans solde"))),0.166666666666667,""))</f>
        <v/>
      </c>
      <c r="AD713" s="8" t="str">
        <f aca="false">IF(AND(D713="Congé spécial",F713="Congé spécial"),0.333333333333333,IF(OR(AND(D713="Congé spécial",F713&lt;&gt;"Congé spécial"),AND(F713="Congé spécial",D713&lt;&gt;"Congé spécial")),0.166666666666667,""))</f>
        <v/>
      </c>
      <c r="AE713" s="8" t="str">
        <f aca="false">IF(AND(D713="Férié",F713="Férié"),0.333333333333333,IF(OR(AND(D713="Férié",F713&lt;&gt;"Férié"),(AND(F713="Férié",D713&lt;&gt;"Férié"))),0.166666666666667,""))</f>
        <v/>
      </c>
      <c r="AF713" s="18"/>
      <c r="AG713" s="18"/>
    </row>
    <row r="714" customFormat="false" ht="15" hidden="false" customHeight="false" outlineLevel="0" collapsed="false">
      <c r="A714" s="6" t="str">
        <f aca="false">YEAR(Q714-WEEKDAY(Q714,2)+4)&amp;"-S"&amp;TEXT(WEEKNUM(Q714,21),"00")</f>
        <v>2026-S22</v>
      </c>
      <c r="B714" s="18" t="s">
        <v>73</v>
      </c>
      <c r="C714" s="19" t="n">
        <v>0.332638888888889</v>
      </c>
      <c r="D714" s="19" t="n">
        <v>0.333333333333333</v>
      </c>
      <c r="E714" s="19" t="n">
        <v>0.75</v>
      </c>
      <c r="F714" s="19" t="n">
        <v>0.75</v>
      </c>
      <c r="G714" s="20"/>
      <c r="H714" s="20"/>
      <c r="I714" s="8" t="str">
        <f aca="false">IF(IF(OR(C714="",D714="Congé",D714="OFF",D714="Congé spécial"),"",IF(D714&gt;F714,D714-C714,IF(C714-D714&lt;0,0,C714-D714)))&lt;0.00068287037037037,"",IF(OR(D714="Congé",D714="OFF",C714="",D714="Congé spécial"),"",IF(D714&gt;F714,D714-C714,IF(C714-D714&lt;0,0,C714-D714))))</f>
        <v/>
      </c>
      <c r="J714" s="20"/>
      <c r="K714" s="8" t="n">
        <f aca="false">IF(SUM(H714:J714)&lt;0.00068287037037037,0,SUM(H714:J714))</f>
        <v>0</v>
      </c>
      <c r="L714" s="8" t="n">
        <f aca="false">IF(OR(F714="Congé",F714="OFF",M714="Abs",F714="Congé sans solde",F714="Férié",F714="Congé spécial",D714="Congé spécial"),0,IF(F714-E714&lt;0,0,IF(F714-E714&lt;=0.00068287037037037,0,F714-E714)))</f>
        <v>0</v>
      </c>
      <c r="M714" s="6" t="n">
        <f aca="false">IF(AND(O714&lt;&gt;0,C714=""),"Abs",0)</f>
        <v>0</v>
      </c>
      <c r="N714" s="8" t="n">
        <f aca="false">IFERROR(IF(OR(D714="OFF",D714="Congé",M714="Abs",D714="Congé sans solde",D714="Férié"),"",IF(O714-K714-L714&gt;O714,O714,IF(O714-K714-L714&lt;0,"",O714-K714-L714))),"")</f>
        <v>0.375</v>
      </c>
      <c r="O714" s="8" t="n">
        <f aca="false">IF(AG714="2H Pause déjeuner",IF(F714-D714-0.0833333333333333&lt;0,F714-D714-0.0833333333333333+1,F714-D714-0.0833333333333333),IF(OR(AND(F714="OFF",D714="OFF"),AND(F714="Congé",D714="Congé"),AND(F714="Congé sans solde",D714="Congé sans solde"),AND(F714="Congé spécial",D714="Congé spécial"),AND(F714="Férié",D714="Férié"),AND(F714="OFF",D714="Congé"),AND(F714="OFF",D714="Congé sans solde"),AND(F714="OFF",D714="Congé spécial"),AND(F714="OFF",D714="Férié"),AND(F714="Congé",D714="OFF"),AND(F714="Congé",D714="Congé sans solde"),AND(F714="Congé",D714="Congé spécial"),AND(F714="Congé",D714="Férié"),AND(F714="Congé sans solde",D714="OFF"),AND(F714="Congé sans solde",D714="Congé"),AND(F714="Congé sans solde",D714="Congé spécial"),AND(F714="Congé sans solde",D714="Férié"),AND(F714="Congé spécial",D714="OFF"),AND(F714="Congé spécial",D714="Congé"),AND(F714="Congé spécial",D714="Congé sans solde"),AND(F714="Congé spécial",D714="Férié"),AND(F714="Férié",D714="OFF"),AND(F714="Férié",D714="Congé"),AND(F714="Férié",D714="Congé sans solde"),AND(F714="Férié",D714="Congé spécial")),0,IF(OR(F714="OFF",F714="Congé",F714="Congé spécial",F714="Congé sans solde",D714="OFF",D714="Congé",D714="Congé spécial",D714="Congé sans solde"),0.208333333333334,IF(AND(AG714="",F714-D714&lt;0),("24:00:00"-D714)+("00:00:00"+F714)-0.0416666666666667,IF(AND(OR(AG714="Allaitement",AG714="Sans déjeuner"),F714-D714&lt;0),("24:00:00"-D714)+("00:00:00"+F714),IF(AND(AG714="",F714-D714&gt;0.166666666666667),F714-D714-0.0416666666666667,IF(AND(OR(AG714="Allaitement",AG714="Sans déjeuner"),F714-D714&gt;0.166666666666667),F714-D714,F714-D714)))))))</f>
        <v>0.375</v>
      </c>
      <c r="P714" s="6" t="str">
        <f aca="false">IFERROR(VLOOKUP($B714,Agents!$A:$D,2,0),"-")</f>
        <v>Accessibilité</v>
      </c>
      <c r="Q714" s="21" t="n">
        <v>46168</v>
      </c>
      <c r="R714" s="8" t="n">
        <f aca="false">IF(M714="Abs",O714,0)</f>
        <v>0</v>
      </c>
      <c r="S714" s="8" t="n">
        <f aca="false">SUM(R714,L714,I714,J714,W714,H714)</f>
        <v>0</v>
      </c>
      <c r="T714" s="6" t="str">
        <f aca="false">"Sem - "&amp;WEEKNUM(Q714,21)</f>
        <v>Sem - 22</v>
      </c>
      <c r="U714" s="6" t="str">
        <f aca="false">CHOOSE(MONTH(Q714),"Janvier","Février","Mars","Avril","Mai","Juin","Juillet","Août","Septembre","Octobre","Novembre","Décembre")</f>
        <v>Mai</v>
      </c>
      <c r="V714" s="22" t="n">
        <f aca="false">YEAR(Q714)</f>
        <v>2026</v>
      </c>
      <c r="W714" s="20"/>
      <c r="X714" s="8" t="n">
        <f aca="false">IFERROR(IF(M714="Abs",0,IF(ROUND((D714-C714+E714-F714)*1440,0)&lt;=1,0,D714-C714+E714-F714)),0)</f>
        <v>0</v>
      </c>
      <c r="Y714" s="6" t="str">
        <f aca="false">IFERROR(VLOOKUP($B714,Agents!$A:$D,3,0),"-")</f>
        <v>OUBRAHIM Mohammed</v>
      </c>
      <c r="Z714" s="6" t="str">
        <f aca="false">IFERROR(VLOOKUP($B714,Agents!$A:$D,4,0),"-")</f>
        <v>Credit Mutuel</v>
      </c>
      <c r="AA714" s="18" t="s">
        <v>104</v>
      </c>
      <c r="AB714" s="8" t="str">
        <f aca="false">IF(AND(D714="Congé",F714="Congé"),0.333333333333333,IF(OR(AND(D714="Congé",F714&lt;&gt;"Congé"),(AND(F714="Congé",D714&lt;&gt;"Congé"))),0.166666666666667,""))</f>
        <v/>
      </c>
      <c r="AC714" s="8" t="str">
        <f aca="false">IF(AND(D714="Congé sans solde",F714="Congé sans solde"),0.333333333333333,IF(OR(AND(D714="Congé sans solde",F714&lt;&gt;"Congé sans solde"),(AND(F714="Congé sans solde",D714&lt;&gt;"Congé sans solde"))),0.166666666666667,""))</f>
        <v/>
      </c>
      <c r="AD714" s="8" t="str">
        <f aca="false">IF(AND(D714="Congé spécial",F714="Congé spécial"),0.333333333333333,IF(OR(AND(D714="Congé spécial",F714&lt;&gt;"Congé spécial"),AND(F714="Congé spécial",D714&lt;&gt;"Congé spécial")),0.166666666666667,""))</f>
        <v/>
      </c>
      <c r="AE714" s="8" t="str">
        <f aca="false">IF(AND(D714="Férié",F714="Férié"),0.333333333333333,IF(OR(AND(D714="Férié",F714&lt;&gt;"Férié"),(AND(F714="Férié",D714&lt;&gt;"Férié"))),0.166666666666667,""))</f>
        <v/>
      </c>
      <c r="AF714" s="18"/>
      <c r="AG714" s="18"/>
    </row>
    <row r="715" customFormat="false" ht="15" hidden="false" customHeight="false" outlineLevel="0" collapsed="false">
      <c r="A715" s="6" t="str">
        <f aca="false">YEAR(Q715-WEEKDAY(Q715,2)+4)&amp;"-S"&amp;TEXT(WEEKNUM(Q715,21),"00")</f>
        <v>2026-S22</v>
      </c>
      <c r="B715" s="18" t="s">
        <v>71</v>
      </c>
      <c r="C715" s="19" t="n">
        <v>0.33125</v>
      </c>
      <c r="D715" s="19" t="n">
        <v>0.333333333333333</v>
      </c>
      <c r="E715" s="19" t="n">
        <v>0.75</v>
      </c>
      <c r="F715" s="19" t="n">
        <v>0.75</v>
      </c>
      <c r="G715" s="20"/>
      <c r="H715" s="20"/>
      <c r="I715" s="8" t="str">
        <f aca="false">IF(IF(OR(C715="",D715="Congé",D715="OFF",D715="Congé spécial"),"",IF(D715&gt;F715,D715-C715,IF(C715-D715&lt;0,0,C715-D715)))&lt;0.00068287037037037,"",IF(OR(D715="Congé",D715="OFF",C715="",D715="Congé spécial"),"",IF(D715&gt;F715,D715-C715,IF(C715-D715&lt;0,0,C715-D715))))</f>
        <v/>
      </c>
      <c r="J715" s="20"/>
      <c r="K715" s="8" t="n">
        <f aca="false">IF(SUM(H715:J715)&lt;0.00068287037037037,0,SUM(H715:J715))</f>
        <v>0</v>
      </c>
      <c r="L715" s="8" t="n">
        <f aca="false">IF(OR(F715="Congé",F715="OFF",M715="Abs",F715="Congé sans solde",F715="Férié",F715="Congé spécial",D715="Congé spécial"),0,IF(F715-E715&lt;0,0,IF(F715-E715&lt;=0.00068287037037037,0,F715-E715)))</f>
        <v>0</v>
      </c>
      <c r="M715" s="6" t="n">
        <f aca="false">IF(AND(O715&lt;&gt;0,C715=""),"Abs",0)</f>
        <v>0</v>
      </c>
      <c r="N715" s="8" t="n">
        <f aca="false">IFERROR(IF(OR(D715="OFF",D715="Congé",M715="Abs",D715="Congé sans solde",D715="Férié"),"",IF(O715-K715-L715&gt;O715,O715,IF(O715-K715-L715&lt;0,"",O715-K715-L715))),"")</f>
        <v>0.375</v>
      </c>
      <c r="O715" s="8" t="n">
        <f aca="false">IF(AG715="2H Pause déjeuner",IF(F715-D715-0.0833333333333333&lt;0,F715-D715-0.0833333333333333+1,F715-D715-0.0833333333333333),IF(OR(AND(F715="OFF",D715="OFF"),AND(F715="Congé",D715="Congé"),AND(F715="Congé sans solde",D715="Congé sans solde"),AND(F715="Congé spécial",D715="Congé spécial"),AND(F715="Férié",D715="Férié"),AND(F715="OFF",D715="Congé"),AND(F715="OFF",D715="Congé sans solde"),AND(F715="OFF",D715="Congé spécial"),AND(F715="OFF",D715="Férié"),AND(F715="Congé",D715="OFF"),AND(F715="Congé",D715="Congé sans solde"),AND(F715="Congé",D715="Congé spécial"),AND(F715="Congé",D715="Férié"),AND(F715="Congé sans solde",D715="OFF"),AND(F715="Congé sans solde",D715="Congé"),AND(F715="Congé sans solde",D715="Congé spécial"),AND(F715="Congé sans solde",D715="Férié"),AND(F715="Congé spécial",D715="OFF"),AND(F715="Congé spécial",D715="Congé"),AND(F715="Congé spécial",D715="Congé sans solde"),AND(F715="Congé spécial",D715="Férié"),AND(F715="Férié",D715="OFF"),AND(F715="Férié",D715="Congé"),AND(F715="Férié",D715="Congé sans solde"),AND(F715="Férié",D715="Congé spécial")),0,IF(OR(F715="OFF",F715="Congé",F715="Congé spécial",F715="Congé sans solde",D715="OFF",D715="Congé",D715="Congé spécial",D715="Congé sans solde"),0.208333333333334,IF(AND(AG715="",F715-D715&lt;0),("24:00:00"-D715)+("00:00:00"+F715)-0.0416666666666667,IF(AND(OR(AG715="Allaitement",AG715="Sans déjeuner"),F715-D715&lt;0),("24:00:00"-D715)+("00:00:00"+F715),IF(AND(AG715="",F715-D715&gt;0.166666666666667),F715-D715-0.0416666666666667,IF(AND(OR(AG715="Allaitement",AG715="Sans déjeuner"),F715-D715&gt;0.166666666666667),F715-D715,F715-D715)))))))</f>
        <v>0.375</v>
      </c>
      <c r="P715" s="6" t="str">
        <f aca="false">IFERROR(VLOOKUP($B715,Agents!$A:$D,2,0),"-")</f>
        <v>Accessibilité</v>
      </c>
      <c r="Q715" s="21" t="n">
        <v>46169</v>
      </c>
      <c r="R715" s="8" t="n">
        <f aca="false">IF(M715="Abs",O715,0)</f>
        <v>0</v>
      </c>
      <c r="S715" s="8" t="n">
        <f aca="false">SUM(R715,L715,I715,J715,W715,H715)</f>
        <v>0</v>
      </c>
      <c r="T715" s="6" t="str">
        <f aca="false">"Sem - "&amp;WEEKNUM(Q715,21)</f>
        <v>Sem - 22</v>
      </c>
      <c r="U715" s="6" t="str">
        <f aca="false">CHOOSE(MONTH(Q715),"Janvier","Février","Mars","Avril","Mai","Juin","Juillet","Août","Septembre","Octobre","Novembre","Décembre")</f>
        <v>Mai</v>
      </c>
      <c r="V715" s="22" t="n">
        <f aca="false">YEAR(Q715)</f>
        <v>2026</v>
      </c>
      <c r="W715" s="20"/>
      <c r="X715" s="8" t="n">
        <f aca="false">IFERROR(IF(M715="Abs",0,IF(ROUND((D715-C715+E715-F715)*1440,0)&lt;=1,0,D715-C715+E715-F715)),0)</f>
        <v>0.00208333333333333</v>
      </c>
      <c r="Y715" s="6" t="str">
        <f aca="false">IFERROR(VLOOKUP($B715,Agents!$A:$D,3,0),"-")</f>
        <v>OUBRAHIM Mohammed</v>
      </c>
      <c r="Z715" s="6" t="str">
        <f aca="false">IFERROR(VLOOKUP($B715,Agents!$A:$D,4,0),"-")</f>
        <v>Credit Mutuel</v>
      </c>
      <c r="AA715" s="18" t="s">
        <v>104</v>
      </c>
      <c r="AB715" s="8" t="str">
        <f aca="false">IF(AND(D715="Congé",F715="Congé"),0.333333333333333,IF(OR(AND(D715="Congé",F715&lt;&gt;"Congé"),(AND(F715="Congé",D715&lt;&gt;"Congé"))),0.166666666666667,""))</f>
        <v/>
      </c>
      <c r="AC715" s="8" t="str">
        <f aca="false">IF(AND(D715="Congé sans solde",F715="Congé sans solde"),0.333333333333333,IF(OR(AND(D715="Congé sans solde",F715&lt;&gt;"Congé sans solde"),(AND(F715="Congé sans solde",D715&lt;&gt;"Congé sans solde"))),0.166666666666667,""))</f>
        <v/>
      </c>
      <c r="AD715" s="8" t="str">
        <f aca="false">IF(AND(D715="Congé spécial",F715="Congé spécial"),0.333333333333333,IF(OR(AND(D715="Congé spécial",F715&lt;&gt;"Congé spécial"),AND(F715="Congé spécial",D715&lt;&gt;"Congé spécial")),0.166666666666667,""))</f>
        <v/>
      </c>
      <c r="AE715" s="8" t="str">
        <f aca="false">IF(AND(D715="Férié",F715="Férié"),0.333333333333333,IF(OR(AND(D715="Férié",F715&lt;&gt;"Férié"),(AND(F715="Férié",D715&lt;&gt;"Férié"))),0.166666666666667,""))</f>
        <v/>
      </c>
      <c r="AF715" s="18"/>
      <c r="AG715" s="18"/>
    </row>
    <row r="716" customFormat="false" ht="15" hidden="false" customHeight="false" outlineLevel="0" collapsed="false">
      <c r="A716" s="6" t="str">
        <f aca="false">YEAR(Q716-WEEKDAY(Q716,2)+4)&amp;"-S"&amp;TEXT(WEEKNUM(Q716,21),"00")</f>
        <v>2026-S22</v>
      </c>
      <c r="B716" s="18" t="s">
        <v>72</v>
      </c>
      <c r="C716" s="19" t="n">
        <v>0.334722222222222</v>
      </c>
      <c r="D716" s="19" t="n">
        <v>0.333333333333333</v>
      </c>
      <c r="E716" s="19" t="n">
        <v>0.75</v>
      </c>
      <c r="F716" s="19" t="n">
        <v>0.75</v>
      </c>
      <c r="G716" s="20"/>
      <c r="H716" s="20"/>
      <c r="I716" s="8" t="n">
        <f aca="false">IF(IF(OR(C716="",D716="Congé",D716="OFF",D716="Congé spécial"),"",IF(D716&gt;F716,D716-C716,IF(C716-D716&lt;0,0,C716-D716)))&lt;0.00068287037037037,"",IF(OR(D716="Congé",D716="OFF",C716="",D716="Congé spécial"),"",IF(D716&gt;F716,D716-C716,IF(C716-D716&lt;0,0,C716-D716))))</f>
        <v>0.00138888888888889</v>
      </c>
      <c r="J716" s="20"/>
      <c r="K716" s="8" t="n">
        <f aca="false">IF(SUM(H716:J716)&lt;0.00068287037037037,0,SUM(H716:J716))</f>
        <v>0.00138888888888889</v>
      </c>
      <c r="L716" s="8" t="n">
        <f aca="false">IF(OR(F716="Congé",F716="OFF",M716="Abs",F716="Congé sans solde",F716="Férié",F716="Congé spécial",D716="Congé spécial"),0,IF(F716-E716&lt;0,0,IF(F716-E716&lt;=0.00068287037037037,0,F716-E716)))</f>
        <v>0</v>
      </c>
      <c r="M716" s="6" t="n">
        <f aca="false">IF(AND(O716&lt;&gt;0,C716=""),"Abs",0)</f>
        <v>0</v>
      </c>
      <c r="N716" s="8" t="n">
        <f aca="false">IFERROR(IF(OR(D716="OFF",D716="Congé",M716="Abs",D716="Congé sans solde",D716="Férié"),"",IF(O716-K716-L716&gt;O716,O716,IF(O716-K716-L716&lt;0,"",O716-K716-L716))),"")</f>
        <v>0.373611111111111</v>
      </c>
      <c r="O716" s="8" t="n">
        <f aca="false">IF(AG716="2H Pause déjeuner",IF(F716-D716-0.0833333333333333&lt;0,F716-D716-0.0833333333333333+1,F716-D716-0.0833333333333333),IF(OR(AND(F716="OFF",D716="OFF"),AND(F716="Congé",D716="Congé"),AND(F716="Congé sans solde",D716="Congé sans solde"),AND(F716="Congé spécial",D716="Congé spécial"),AND(F716="Férié",D716="Férié"),AND(F716="OFF",D716="Congé"),AND(F716="OFF",D716="Congé sans solde"),AND(F716="OFF",D716="Congé spécial"),AND(F716="OFF",D716="Férié"),AND(F716="Congé",D716="OFF"),AND(F716="Congé",D716="Congé sans solde"),AND(F716="Congé",D716="Congé spécial"),AND(F716="Congé",D716="Férié"),AND(F716="Congé sans solde",D716="OFF"),AND(F716="Congé sans solde",D716="Congé"),AND(F716="Congé sans solde",D716="Congé spécial"),AND(F716="Congé sans solde",D716="Férié"),AND(F716="Congé spécial",D716="OFF"),AND(F716="Congé spécial",D716="Congé"),AND(F716="Congé spécial",D716="Congé sans solde"),AND(F716="Congé spécial",D716="Férié"),AND(F716="Férié",D716="OFF"),AND(F716="Férié",D716="Congé"),AND(F716="Férié",D716="Congé sans solde"),AND(F716="Férié",D716="Congé spécial")),0,IF(OR(F716="OFF",F716="Congé",F716="Congé spécial",F716="Congé sans solde",D716="OFF",D716="Congé",D716="Congé spécial",D716="Congé sans solde"),0.208333333333334,IF(AND(AG716="",F716-D716&lt;0),("24:00:00"-D716)+("00:00:00"+F716)-0.0416666666666667,IF(AND(OR(AG716="Allaitement",AG716="Sans déjeuner"),F716-D716&lt;0),("24:00:00"-D716)+("00:00:00"+F716),IF(AND(AG716="",F716-D716&gt;0.166666666666667),F716-D716-0.0416666666666667,IF(AND(OR(AG716="Allaitement",AG716="Sans déjeuner"),F716-D716&gt;0.166666666666667),F716-D716,F716-D716)))))))</f>
        <v>0.375</v>
      </c>
      <c r="P716" s="6" t="str">
        <f aca="false">IFERROR(VLOOKUP($B716,Agents!$A:$D,2,0),"-")</f>
        <v>Accessibilité</v>
      </c>
      <c r="Q716" s="21" t="n">
        <v>46169</v>
      </c>
      <c r="R716" s="8" t="n">
        <f aca="false">IF(M716="Abs",O716,0)</f>
        <v>0</v>
      </c>
      <c r="S716" s="8" t="n">
        <f aca="false">SUM(R716,L716,I716,J716,W716,H716)</f>
        <v>0.00138888888888889</v>
      </c>
      <c r="T716" s="6" t="str">
        <f aca="false">"Sem - "&amp;WEEKNUM(Q716,21)</f>
        <v>Sem - 22</v>
      </c>
      <c r="U716" s="6" t="str">
        <f aca="false">CHOOSE(MONTH(Q716),"Janvier","Février","Mars","Avril","Mai","Juin","Juillet","Août","Septembre","Octobre","Novembre","Décembre")</f>
        <v>Mai</v>
      </c>
      <c r="V716" s="22" t="n">
        <f aca="false">YEAR(Q716)</f>
        <v>2026</v>
      </c>
      <c r="W716" s="20"/>
      <c r="X716" s="8" t="n">
        <f aca="false">IFERROR(IF(M716="Abs",0,IF(ROUND((D716-C716+E716-F716)*1440,0)&lt;=1,0,D716-C716+E716-F716)),0)</f>
        <v>0</v>
      </c>
      <c r="Y716" s="6" t="str">
        <f aca="false">IFERROR(VLOOKUP($B716,Agents!$A:$D,3,0),"-")</f>
        <v>OUBRAHIM Mohammed</v>
      </c>
      <c r="Z716" s="6" t="str">
        <f aca="false">IFERROR(VLOOKUP($B716,Agents!$A:$D,4,0),"-")</f>
        <v>Credit Mutuel</v>
      </c>
      <c r="AA716" s="18" t="s">
        <v>104</v>
      </c>
      <c r="AB716" s="8" t="str">
        <f aca="false">IF(AND(D716="Congé",F716="Congé"),0.333333333333333,IF(OR(AND(D716="Congé",F716&lt;&gt;"Congé"),(AND(F716="Congé",D716&lt;&gt;"Congé"))),0.166666666666667,""))</f>
        <v/>
      </c>
      <c r="AC716" s="8" t="str">
        <f aca="false">IF(AND(D716="Congé sans solde",F716="Congé sans solde"),0.333333333333333,IF(OR(AND(D716="Congé sans solde",F716&lt;&gt;"Congé sans solde"),(AND(F716="Congé sans solde",D716&lt;&gt;"Congé sans solde"))),0.166666666666667,""))</f>
        <v/>
      </c>
      <c r="AD716" s="8" t="str">
        <f aca="false">IF(AND(D716="Congé spécial",F716="Congé spécial"),0.333333333333333,IF(OR(AND(D716="Congé spécial",F716&lt;&gt;"Congé spécial"),AND(F716="Congé spécial",D716&lt;&gt;"Congé spécial")),0.166666666666667,""))</f>
        <v/>
      </c>
      <c r="AE716" s="8" t="str">
        <f aca="false">IF(AND(D716="Férié",F716="Férié"),0.333333333333333,IF(OR(AND(D716="Férié",F716&lt;&gt;"Férié"),(AND(F716="Férié",D716&lt;&gt;"Férié"))),0.166666666666667,""))</f>
        <v/>
      </c>
      <c r="AF716" s="18"/>
      <c r="AG716" s="18"/>
    </row>
    <row r="717" customFormat="false" ht="15" hidden="false" customHeight="false" outlineLevel="0" collapsed="false">
      <c r="A717" s="6" t="str">
        <f aca="false">YEAR(Q717-WEEKDAY(Q717,2)+4)&amp;"-S"&amp;TEXT(WEEKNUM(Q717,21),"00")</f>
        <v>2026-S22</v>
      </c>
      <c r="B717" s="18" t="s">
        <v>73</v>
      </c>
      <c r="C717" s="19" t="n">
        <v>0.331944444444444</v>
      </c>
      <c r="D717" s="19" t="n">
        <v>0.333333333333333</v>
      </c>
      <c r="E717" s="19" t="n">
        <v>0.75</v>
      </c>
      <c r="F717" s="19" t="n">
        <v>0.75</v>
      </c>
      <c r="G717" s="20"/>
      <c r="H717" s="20"/>
      <c r="I717" s="8" t="str">
        <f aca="false">IF(IF(OR(C717="",D717="Congé",D717="OFF",D717="Congé spécial"),"",IF(D717&gt;F717,D717-C717,IF(C717-D717&lt;0,0,C717-D717)))&lt;0.00068287037037037,"",IF(OR(D717="Congé",D717="OFF",C717="",D717="Congé spécial"),"",IF(D717&gt;F717,D717-C717,IF(C717-D717&lt;0,0,C717-D717))))</f>
        <v/>
      </c>
      <c r="J717" s="20"/>
      <c r="K717" s="8" t="n">
        <f aca="false">IF(SUM(H717:J717)&lt;0.00068287037037037,0,SUM(H717:J717))</f>
        <v>0</v>
      </c>
      <c r="L717" s="8" t="n">
        <f aca="false">IF(OR(F717="Congé",F717="OFF",M717="Abs",F717="Congé sans solde",F717="Férié",F717="Congé spécial",D717="Congé spécial"),0,IF(F717-E717&lt;0,0,IF(F717-E717&lt;=0.00068287037037037,0,F717-E717)))</f>
        <v>0</v>
      </c>
      <c r="M717" s="6" t="n">
        <f aca="false">IF(AND(O717&lt;&gt;0,C717=""),"Abs",0)</f>
        <v>0</v>
      </c>
      <c r="N717" s="8" t="n">
        <f aca="false">IFERROR(IF(OR(D717="OFF",D717="Congé",M717="Abs",D717="Congé sans solde",D717="Férié"),"",IF(O717-K717-L717&gt;O717,O717,IF(O717-K717-L717&lt;0,"",O717-K717-L717))),"")</f>
        <v>0.375</v>
      </c>
      <c r="O717" s="8" t="n">
        <f aca="false">IF(AG717="2H Pause déjeuner",IF(F717-D717-0.0833333333333333&lt;0,F717-D717-0.0833333333333333+1,F717-D717-0.0833333333333333),IF(OR(AND(F717="OFF",D717="OFF"),AND(F717="Congé",D717="Congé"),AND(F717="Congé sans solde",D717="Congé sans solde"),AND(F717="Congé spécial",D717="Congé spécial"),AND(F717="Férié",D717="Férié"),AND(F717="OFF",D717="Congé"),AND(F717="OFF",D717="Congé sans solde"),AND(F717="OFF",D717="Congé spécial"),AND(F717="OFF",D717="Férié"),AND(F717="Congé",D717="OFF"),AND(F717="Congé",D717="Congé sans solde"),AND(F717="Congé",D717="Congé spécial"),AND(F717="Congé",D717="Férié"),AND(F717="Congé sans solde",D717="OFF"),AND(F717="Congé sans solde",D717="Congé"),AND(F717="Congé sans solde",D717="Congé spécial"),AND(F717="Congé sans solde",D717="Férié"),AND(F717="Congé spécial",D717="OFF"),AND(F717="Congé spécial",D717="Congé"),AND(F717="Congé spécial",D717="Congé sans solde"),AND(F717="Congé spécial",D717="Férié"),AND(F717="Férié",D717="OFF"),AND(F717="Férié",D717="Congé"),AND(F717="Férié",D717="Congé sans solde"),AND(F717="Férié",D717="Congé spécial")),0,IF(OR(F717="OFF",F717="Congé",F717="Congé spécial",F717="Congé sans solde",D717="OFF",D717="Congé",D717="Congé spécial",D717="Congé sans solde"),0.208333333333334,IF(AND(AG717="",F717-D717&lt;0),("24:00:00"-D717)+("00:00:00"+F717)-0.0416666666666667,IF(AND(OR(AG717="Allaitement",AG717="Sans déjeuner"),F717-D717&lt;0),("24:00:00"-D717)+("00:00:00"+F717),IF(AND(AG717="",F717-D717&gt;0.166666666666667),F717-D717-0.0416666666666667,IF(AND(OR(AG717="Allaitement",AG717="Sans déjeuner"),F717-D717&gt;0.166666666666667),F717-D717,F717-D717)))))))</f>
        <v>0.375</v>
      </c>
      <c r="P717" s="6" t="str">
        <f aca="false">IFERROR(VLOOKUP($B717,Agents!$A:$D,2,0),"-")</f>
        <v>Accessibilité</v>
      </c>
      <c r="Q717" s="21" t="n">
        <v>46169</v>
      </c>
      <c r="R717" s="8" t="n">
        <f aca="false">IF(M717="Abs",O717,0)</f>
        <v>0</v>
      </c>
      <c r="S717" s="8" t="n">
        <f aca="false">SUM(R717,L717,I717,J717,W717,H717)</f>
        <v>0</v>
      </c>
      <c r="T717" s="6" t="str">
        <f aca="false">"Sem - "&amp;WEEKNUM(Q717,21)</f>
        <v>Sem - 22</v>
      </c>
      <c r="U717" s="6" t="str">
        <f aca="false">CHOOSE(MONTH(Q717),"Janvier","Février","Mars","Avril","Mai","Juin","Juillet","Août","Septembre","Octobre","Novembre","Décembre")</f>
        <v>Mai</v>
      </c>
      <c r="V717" s="22" t="n">
        <f aca="false">YEAR(Q717)</f>
        <v>2026</v>
      </c>
      <c r="W717" s="20"/>
      <c r="X717" s="8" t="n">
        <f aca="false">IFERROR(IF(M717="Abs",0,IF(ROUND((D717-C717+E717-F717)*1440,0)&lt;=1,0,D717-C717+E717-F717)),0)</f>
        <v>0.00138888888888889</v>
      </c>
      <c r="Y717" s="6" t="str">
        <f aca="false">IFERROR(VLOOKUP($B717,Agents!$A:$D,3,0),"-")</f>
        <v>OUBRAHIM Mohammed</v>
      </c>
      <c r="Z717" s="6" t="str">
        <f aca="false">IFERROR(VLOOKUP($B717,Agents!$A:$D,4,0),"-")</f>
        <v>Credit Mutuel</v>
      </c>
      <c r="AA717" s="18" t="s">
        <v>104</v>
      </c>
      <c r="AB717" s="8" t="str">
        <f aca="false">IF(AND(D717="Congé",F717="Congé"),0.333333333333333,IF(OR(AND(D717="Congé",F717&lt;&gt;"Congé"),(AND(F717="Congé",D717&lt;&gt;"Congé"))),0.166666666666667,""))</f>
        <v/>
      </c>
      <c r="AC717" s="8" t="str">
        <f aca="false">IF(AND(D717="Congé sans solde",F717="Congé sans solde"),0.333333333333333,IF(OR(AND(D717="Congé sans solde",F717&lt;&gt;"Congé sans solde"),(AND(F717="Congé sans solde",D717&lt;&gt;"Congé sans solde"))),0.166666666666667,""))</f>
        <v/>
      </c>
      <c r="AD717" s="8" t="str">
        <f aca="false">IF(AND(D717="Congé spécial",F717="Congé spécial"),0.333333333333333,IF(OR(AND(D717="Congé spécial",F717&lt;&gt;"Congé spécial"),AND(F717="Congé spécial",D717&lt;&gt;"Congé spécial")),0.166666666666667,""))</f>
        <v/>
      </c>
      <c r="AE717" s="8" t="str">
        <f aca="false">IF(AND(D717="Férié",F717="Férié"),0.333333333333333,IF(OR(AND(D717="Férié",F717&lt;&gt;"Férié"),(AND(F717="Férié",D717&lt;&gt;"Férié"))),0.166666666666667,""))</f>
        <v/>
      </c>
      <c r="AF717" s="18"/>
      <c r="AG717" s="18"/>
    </row>
    <row r="718" customFormat="false" ht="15" hidden="false" customHeight="false" outlineLevel="0" collapsed="false">
      <c r="A718" s="6" t="str">
        <f aca="false">YEAR(Q718-WEEKDAY(Q718,2)+4)&amp;"-S"&amp;TEXT(WEEKNUM(Q718,21),"00")</f>
        <v>2026-S22</v>
      </c>
      <c r="B718" s="18" t="s">
        <v>71</v>
      </c>
      <c r="C718" s="19" t="n">
        <v>0.333333333333333</v>
      </c>
      <c r="D718" s="19" t="n">
        <v>0.333333333333333</v>
      </c>
      <c r="E718" s="19" t="n">
        <v>0.75</v>
      </c>
      <c r="F718" s="19" t="n">
        <v>0.75</v>
      </c>
      <c r="G718" s="20"/>
      <c r="H718" s="20"/>
      <c r="I718" s="8" t="str">
        <f aca="false">IF(IF(OR(C718="",D718="Congé",D718="OFF",D718="Congé spécial"),"",IF(D718&gt;F718,D718-C718,IF(C718-D718&lt;0,0,C718-D718)))&lt;0.00068287037037037,"",IF(OR(D718="Congé",D718="OFF",C718="",D718="Congé spécial"),"",IF(D718&gt;F718,D718-C718,IF(C718-D718&lt;0,0,C718-D718))))</f>
        <v/>
      </c>
      <c r="J718" s="20"/>
      <c r="K718" s="8" t="n">
        <f aca="false">IF(SUM(H718:J718)&lt;0.00068287037037037,0,SUM(H718:J718))</f>
        <v>0</v>
      </c>
      <c r="L718" s="8" t="n">
        <f aca="false">IF(OR(F718="Congé",F718="OFF",M718="Abs",F718="Congé sans solde",F718="Férié",F718="Congé spécial",D718="Congé spécial"),0,IF(F718-E718&lt;0,0,IF(F718-E718&lt;=0.00068287037037037,0,F718-E718)))</f>
        <v>0</v>
      </c>
      <c r="M718" s="6" t="n">
        <f aca="false">IF(AND(O718&lt;&gt;0,C718=""),"Abs",0)</f>
        <v>0</v>
      </c>
      <c r="N718" s="8" t="n">
        <f aca="false">IFERROR(IF(OR(D718="OFF",D718="Congé",M718="Abs",D718="Congé sans solde",D718="Férié"),"",IF(O718-K718-L718&gt;O718,O718,IF(O718-K718-L718&lt;0,"",O718-K718-L718))),"")</f>
        <v>0.375</v>
      </c>
      <c r="O718" s="8" t="n">
        <f aca="false">IF(AG718="2H Pause déjeuner",IF(F718-D718-0.0833333333333333&lt;0,F718-D718-0.0833333333333333+1,F718-D718-0.0833333333333333),IF(OR(AND(F718="OFF",D718="OFF"),AND(F718="Congé",D718="Congé"),AND(F718="Congé sans solde",D718="Congé sans solde"),AND(F718="Congé spécial",D718="Congé spécial"),AND(F718="Férié",D718="Férié"),AND(F718="OFF",D718="Congé"),AND(F718="OFF",D718="Congé sans solde"),AND(F718="OFF",D718="Congé spécial"),AND(F718="OFF",D718="Férié"),AND(F718="Congé",D718="OFF"),AND(F718="Congé",D718="Congé sans solde"),AND(F718="Congé",D718="Congé spécial"),AND(F718="Congé",D718="Férié"),AND(F718="Congé sans solde",D718="OFF"),AND(F718="Congé sans solde",D718="Congé"),AND(F718="Congé sans solde",D718="Congé spécial"),AND(F718="Congé sans solde",D718="Férié"),AND(F718="Congé spécial",D718="OFF"),AND(F718="Congé spécial",D718="Congé"),AND(F718="Congé spécial",D718="Congé sans solde"),AND(F718="Congé spécial",D718="Férié"),AND(F718="Férié",D718="OFF"),AND(F718="Férié",D718="Congé"),AND(F718="Férié",D718="Congé sans solde"),AND(F718="Férié",D718="Congé spécial")),0,IF(OR(F718="OFF",F718="Congé",F718="Congé spécial",F718="Congé sans solde",D718="OFF",D718="Congé",D718="Congé spécial",D718="Congé sans solde"),0.208333333333334,IF(AND(AG718="",F718-D718&lt;0),("24:00:00"-D718)+("00:00:00"+F718)-0.0416666666666667,IF(AND(OR(AG718="Allaitement",AG718="Sans déjeuner"),F718-D718&lt;0),("24:00:00"-D718)+("00:00:00"+F718),IF(AND(AG718="",F718-D718&gt;0.166666666666667),F718-D718-0.0416666666666667,IF(AND(OR(AG718="Allaitement",AG718="Sans déjeuner"),F718-D718&gt;0.166666666666667),F718-D718,F718-D718)))))))</f>
        <v>0.375</v>
      </c>
      <c r="P718" s="6" t="str">
        <f aca="false">IFERROR(VLOOKUP($B718,Agents!$A:$D,2,0),"-")</f>
        <v>Accessibilité</v>
      </c>
      <c r="Q718" s="21" t="n">
        <v>46170</v>
      </c>
      <c r="R718" s="8" t="n">
        <f aca="false">IF(M718="Abs",O718,0)</f>
        <v>0</v>
      </c>
      <c r="S718" s="8" t="n">
        <f aca="false">SUM(R718,L718,I718,J718,W718,H718)</f>
        <v>0</v>
      </c>
      <c r="T718" s="6" t="str">
        <f aca="false">"Sem - "&amp;WEEKNUM(Q718,21)</f>
        <v>Sem - 22</v>
      </c>
      <c r="U718" s="6" t="str">
        <f aca="false">CHOOSE(MONTH(Q718),"Janvier","Février","Mars","Avril","Mai","Juin","Juillet","Août","Septembre","Octobre","Novembre","Décembre")</f>
        <v>Mai</v>
      </c>
      <c r="V718" s="22" t="n">
        <f aca="false">YEAR(Q718)</f>
        <v>2026</v>
      </c>
      <c r="W718" s="20"/>
      <c r="X718" s="8" t="n">
        <f aca="false">IFERROR(IF(M718="Abs",0,IF(ROUND((D718-C718+E718-F718)*1440,0)&lt;=1,0,D718-C718+E718-F718)),0)</f>
        <v>0</v>
      </c>
      <c r="Y718" s="6" t="str">
        <f aca="false">IFERROR(VLOOKUP($B718,Agents!$A:$D,3,0),"-")</f>
        <v>OUBRAHIM Mohammed</v>
      </c>
      <c r="Z718" s="6" t="str">
        <f aca="false">IFERROR(VLOOKUP($B718,Agents!$A:$D,4,0),"-")</f>
        <v>Credit Mutuel</v>
      </c>
      <c r="AA718" s="18" t="s">
        <v>104</v>
      </c>
      <c r="AB718" s="8" t="str">
        <f aca="false">IF(AND(D718="Congé",F718="Congé"),0.333333333333333,IF(OR(AND(D718="Congé",F718&lt;&gt;"Congé"),(AND(F718="Congé",D718&lt;&gt;"Congé"))),0.166666666666667,""))</f>
        <v/>
      </c>
      <c r="AC718" s="8" t="str">
        <f aca="false">IF(AND(D718="Congé sans solde",F718="Congé sans solde"),0.333333333333333,IF(OR(AND(D718="Congé sans solde",F718&lt;&gt;"Congé sans solde"),(AND(F718="Congé sans solde",D718&lt;&gt;"Congé sans solde"))),0.166666666666667,""))</f>
        <v/>
      </c>
      <c r="AD718" s="8" t="str">
        <f aca="false">IF(AND(D718="Congé spécial",F718="Congé spécial"),0.333333333333333,IF(OR(AND(D718="Congé spécial",F718&lt;&gt;"Congé spécial"),AND(F718="Congé spécial",D718&lt;&gt;"Congé spécial")),0.166666666666667,""))</f>
        <v/>
      </c>
      <c r="AE718" s="8" t="str">
        <f aca="false">IF(AND(D718="Férié",F718="Férié"),0.333333333333333,IF(OR(AND(D718="Férié",F718&lt;&gt;"Férié"),(AND(F718="Férié",D718&lt;&gt;"Férié"))),0.166666666666667,""))</f>
        <v/>
      </c>
      <c r="AF718" s="18"/>
      <c r="AG718" s="18"/>
    </row>
    <row r="719" customFormat="false" ht="15" hidden="false" customHeight="false" outlineLevel="0" collapsed="false">
      <c r="A719" s="6" t="str">
        <f aca="false">YEAR(Q719-WEEKDAY(Q719,2)+4)&amp;"-S"&amp;TEXT(WEEKNUM(Q719,21),"00")</f>
        <v>2026-S22</v>
      </c>
      <c r="B719" s="18" t="s">
        <v>72</v>
      </c>
      <c r="C719" s="19" t="n">
        <v>0.333333333333333</v>
      </c>
      <c r="D719" s="19" t="n">
        <v>0.333333333333333</v>
      </c>
      <c r="E719" s="19" t="n">
        <v>0.75</v>
      </c>
      <c r="F719" s="19" t="n">
        <v>0.75</v>
      </c>
      <c r="G719" s="20"/>
      <c r="H719" s="20"/>
      <c r="I719" s="8" t="str">
        <f aca="false">IF(IF(OR(C719="",D719="Congé",D719="OFF",D719="Congé spécial"),"",IF(D719&gt;F719,D719-C719,IF(C719-D719&lt;0,0,C719-D719)))&lt;0.00068287037037037,"",IF(OR(D719="Congé",D719="OFF",C719="",D719="Congé spécial"),"",IF(D719&gt;F719,D719-C719,IF(C719-D719&lt;0,0,C719-D719))))</f>
        <v/>
      </c>
      <c r="J719" s="20"/>
      <c r="K719" s="8" t="n">
        <f aca="false">IF(SUM(H719:J719)&lt;0.00068287037037037,0,SUM(H719:J719))</f>
        <v>0</v>
      </c>
      <c r="L719" s="8" t="n">
        <f aca="false">IF(OR(F719="Congé",F719="OFF",M719="Abs",F719="Congé sans solde",F719="Férié",F719="Congé spécial",D719="Congé spécial"),0,IF(F719-E719&lt;0,0,IF(F719-E719&lt;=0.00068287037037037,0,F719-E719)))</f>
        <v>0</v>
      </c>
      <c r="M719" s="6" t="n">
        <f aca="false">IF(AND(O719&lt;&gt;0,C719=""),"Abs",0)</f>
        <v>0</v>
      </c>
      <c r="N719" s="8" t="n">
        <f aca="false">IFERROR(IF(OR(D719="OFF",D719="Congé",M719="Abs",D719="Congé sans solde",D719="Férié"),"",IF(O719-K719-L719&gt;O719,O719,IF(O719-K719-L719&lt;0,"",O719-K719-L719))),"")</f>
        <v>0.375</v>
      </c>
      <c r="O719" s="8" t="n">
        <f aca="false">IF(AG719="2H Pause déjeuner",IF(F719-D719-0.0833333333333333&lt;0,F719-D719-0.0833333333333333+1,F719-D719-0.0833333333333333),IF(OR(AND(F719="OFF",D719="OFF"),AND(F719="Congé",D719="Congé"),AND(F719="Congé sans solde",D719="Congé sans solde"),AND(F719="Congé spécial",D719="Congé spécial"),AND(F719="Férié",D719="Férié"),AND(F719="OFF",D719="Congé"),AND(F719="OFF",D719="Congé sans solde"),AND(F719="OFF",D719="Congé spécial"),AND(F719="OFF",D719="Férié"),AND(F719="Congé",D719="OFF"),AND(F719="Congé",D719="Congé sans solde"),AND(F719="Congé",D719="Congé spécial"),AND(F719="Congé",D719="Férié"),AND(F719="Congé sans solde",D719="OFF"),AND(F719="Congé sans solde",D719="Congé"),AND(F719="Congé sans solde",D719="Congé spécial"),AND(F719="Congé sans solde",D719="Férié"),AND(F719="Congé spécial",D719="OFF"),AND(F719="Congé spécial",D719="Congé"),AND(F719="Congé spécial",D719="Congé sans solde"),AND(F719="Congé spécial",D719="Férié"),AND(F719="Férié",D719="OFF"),AND(F719="Férié",D719="Congé"),AND(F719="Férié",D719="Congé sans solde"),AND(F719="Férié",D719="Congé spécial")),0,IF(OR(F719="OFF",F719="Congé",F719="Congé spécial",F719="Congé sans solde",D719="OFF",D719="Congé",D719="Congé spécial",D719="Congé sans solde"),0.208333333333334,IF(AND(AG719="",F719-D719&lt;0),("24:00:00"-D719)+("00:00:00"+F719)-0.0416666666666667,IF(AND(OR(AG719="Allaitement",AG719="Sans déjeuner"),F719-D719&lt;0),("24:00:00"-D719)+("00:00:00"+F719),IF(AND(AG719="",F719-D719&gt;0.166666666666667),F719-D719-0.0416666666666667,IF(AND(OR(AG719="Allaitement",AG719="Sans déjeuner"),F719-D719&gt;0.166666666666667),F719-D719,F719-D719)))))))</f>
        <v>0.375</v>
      </c>
      <c r="P719" s="6" t="str">
        <f aca="false">IFERROR(VLOOKUP($B719,Agents!$A:$D,2,0),"-")</f>
        <v>Accessibilité</v>
      </c>
      <c r="Q719" s="21" t="n">
        <v>46170</v>
      </c>
      <c r="R719" s="8" t="n">
        <f aca="false">IF(M719="Abs",O719,0)</f>
        <v>0</v>
      </c>
      <c r="S719" s="8" t="n">
        <f aca="false">SUM(R719,L719,I719,J719,W719,H719)</f>
        <v>0</v>
      </c>
      <c r="T719" s="6" t="str">
        <f aca="false">"Sem - "&amp;WEEKNUM(Q719,21)</f>
        <v>Sem - 22</v>
      </c>
      <c r="U719" s="6" t="str">
        <f aca="false">CHOOSE(MONTH(Q719),"Janvier","Février","Mars","Avril","Mai","Juin","Juillet","Août","Septembre","Octobre","Novembre","Décembre")</f>
        <v>Mai</v>
      </c>
      <c r="V719" s="22" t="n">
        <f aca="false">YEAR(Q719)</f>
        <v>2026</v>
      </c>
      <c r="W719" s="20"/>
      <c r="X719" s="8" t="n">
        <f aca="false">IFERROR(IF(M719="Abs",0,IF(ROUND((D719-C719+E719-F719)*1440,0)&lt;=1,0,D719-C719+E719-F719)),0)</f>
        <v>0</v>
      </c>
      <c r="Y719" s="6" t="str">
        <f aca="false">IFERROR(VLOOKUP($B719,Agents!$A:$D,3,0),"-")</f>
        <v>OUBRAHIM Mohammed</v>
      </c>
      <c r="Z719" s="6" t="str">
        <f aca="false">IFERROR(VLOOKUP($B719,Agents!$A:$D,4,0),"-")</f>
        <v>Credit Mutuel</v>
      </c>
      <c r="AA719" s="18" t="s">
        <v>104</v>
      </c>
      <c r="AB719" s="8" t="str">
        <f aca="false">IF(AND(D719="Congé",F719="Congé"),0.333333333333333,IF(OR(AND(D719="Congé",F719&lt;&gt;"Congé"),(AND(F719="Congé",D719&lt;&gt;"Congé"))),0.166666666666667,""))</f>
        <v/>
      </c>
      <c r="AC719" s="8" t="str">
        <f aca="false">IF(AND(D719="Congé sans solde",F719="Congé sans solde"),0.333333333333333,IF(OR(AND(D719="Congé sans solde",F719&lt;&gt;"Congé sans solde"),(AND(F719="Congé sans solde",D719&lt;&gt;"Congé sans solde"))),0.166666666666667,""))</f>
        <v/>
      </c>
      <c r="AD719" s="8" t="str">
        <f aca="false">IF(AND(D719="Congé spécial",F719="Congé spécial"),0.333333333333333,IF(OR(AND(D719="Congé spécial",F719&lt;&gt;"Congé spécial"),AND(F719="Congé spécial",D719&lt;&gt;"Congé spécial")),0.166666666666667,""))</f>
        <v/>
      </c>
      <c r="AE719" s="8" t="str">
        <f aca="false">IF(AND(D719="Férié",F719="Férié"),0.333333333333333,IF(OR(AND(D719="Férié",F719&lt;&gt;"Férié"),(AND(F719="Férié",D719&lt;&gt;"Férié"))),0.166666666666667,""))</f>
        <v/>
      </c>
      <c r="AF719" s="18"/>
      <c r="AG719" s="18"/>
    </row>
    <row r="720" customFormat="false" ht="15" hidden="false" customHeight="false" outlineLevel="0" collapsed="false">
      <c r="A720" s="6" t="str">
        <f aca="false">YEAR(Q720-WEEKDAY(Q720,2)+4)&amp;"-S"&amp;TEXT(WEEKNUM(Q720,21),"00")</f>
        <v>2026-S22</v>
      </c>
      <c r="B720" s="18" t="s">
        <v>73</v>
      </c>
      <c r="C720" s="19" t="n">
        <v>0.333333333333333</v>
      </c>
      <c r="D720" s="19" t="n">
        <v>0.333333333333333</v>
      </c>
      <c r="E720" s="19" t="n">
        <v>0.75</v>
      </c>
      <c r="F720" s="19" t="n">
        <v>0.75</v>
      </c>
      <c r="G720" s="20"/>
      <c r="H720" s="20"/>
      <c r="I720" s="8" t="str">
        <f aca="false">IF(IF(OR(C720="",D720="Congé",D720="OFF",D720="Congé spécial"),"",IF(D720&gt;F720,D720-C720,IF(C720-D720&lt;0,0,C720-D720)))&lt;0.00068287037037037,"",IF(OR(D720="Congé",D720="OFF",C720="",D720="Congé spécial"),"",IF(D720&gt;F720,D720-C720,IF(C720-D720&lt;0,0,C720-D720))))</f>
        <v/>
      </c>
      <c r="J720" s="20"/>
      <c r="K720" s="8" t="n">
        <f aca="false">IF(SUM(H720:J720)&lt;0.00068287037037037,0,SUM(H720:J720))</f>
        <v>0</v>
      </c>
      <c r="L720" s="8" t="n">
        <f aca="false">IF(OR(F720="Congé",F720="OFF",M720="Abs",F720="Congé sans solde",F720="Férié",F720="Congé spécial",D720="Congé spécial"),0,IF(F720-E720&lt;0,0,IF(F720-E720&lt;=0.00068287037037037,0,F720-E720)))</f>
        <v>0</v>
      </c>
      <c r="M720" s="6" t="n">
        <f aca="false">IF(AND(O720&lt;&gt;0,C720=""),"Abs",0)</f>
        <v>0</v>
      </c>
      <c r="N720" s="8" t="n">
        <f aca="false">IFERROR(IF(OR(D720="OFF",D720="Congé",M720="Abs",D720="Congé sans solde",D720="Férié"),"",IF(O720-K720-L720&gt;O720,O720,IF(O720-K720-L720&lt;0,"",O720-K720-L720))),"")</f>
        <v>0.375</v>
      </c>
      <c r="O720" s="8" t="n">
        <f aca="false">IF(AG720="2H Pause déjeuner",IF(F720-D720-0.0833333333333333&lt;0,F720-D720-0.0833333333333333+1,F720-D720-0.0833333333333333),IF(OR(AND(F720="OFF",D720="OFF"),AND(F720="Congé",D720="Congé"),AND(F720="Congé sans solde",D720="Congé sans solde"),AND(F720="Congé spécial",D720="Congé spécial"),AND(F720="Férié",D720="Férié"),AND(F720="OFF",D720="Congé"),AND(F720="OFF",D720="Congé sans solde"),AND(F720="OFF",D720="Congé spécial"),AND(F720="OFF",D720="Férié"),AND(F720="Congé",D720="OFF"),AND(F720="Congé",D720="Congé sans solde"),AND(F720="Congé",D720="Congé spécial"),AND(F720="Congé",D720="Férié"),AND(F720="Congé sans solde",D720="OFF"),AND(F720="Congé sans solde",D720="Congé"),AND(F720="Congé sans solde",D720="Congé spécial"),AND(F720="Congé sans solde",D720="Férié"),AND(F720="Congé spécial",D720="OFF"),AND(F720="Congé spécial",D720="Congé"),AND(F720="Congé spécial",D720="Congé sans solde"),AND(F720="Congé spécial",D720="Férié"),AND(F720="Férié",D720="OFF"),AND(F720="Férié",D720="Congé"),AND(F720="Férié",D720="Congé sans solde"),AND(F720="Férié",D720="Congé spécial")),0,IF(OR(F720="OFF",F720="Congé",F720="Congé spécial",F720="Congé sans solde",D720="OFF",D720="Congé",D720="Congé spécial",D720="Congé sans solde"),0.208333333333334,IF(AND(AG720="",F720-D720&lt;0),("24:00:00"-D720)+("00:00:00"+F720)-0.0416666666666667,IF(AND(OR(AG720="Allaitement",AG720="Sans déjeuner"),F720-D720&lt;0),("24:00:00"-D720)+("00:00:00"+F720),IF(AND(AG720="",F720-D720&gt;0.166666666666667),F720-D720-0.0416666666666667,IF(AND(OR(AG720="Allaitement",AG720="Sans déjeuner"),F720-D720&gt;0.166666666666667),F720-D720,F720-D720)))))))</f>
        <v>0.375</v>
      </c>
      <c r="P720" s="6" t="str">
        <f aca="false">IFERROR(VLOOKUP($B720,Agents!$A:$D,2,0),"-")</f>
        <v>Accessibilité</v>
      </c>
      <c r="Q720" s="21" t="n">
        <v>46170</v>
      </c>
      <c r="R720" s="8" t="n">
        <f aca="false">IF(M720="Abs",O720,0)</f>
        <v>0</v>
      </c>
      <c r="S720" s="8" t="n">
        <f aca="false">SUM(R720,L720,I720,J720,W720,H720)</f>
        <v>0</v>
      </c>
      <c r="T720" s="6" t="str">
        <f aca="false">"Sem - "&amp;WEEKNUM(Q720,21)</f>
        <v>Sem - 22</v>
      </c>
      <c r="U720" s="6" t="str">
        <f aca="false">CHOOSE(MONTH(Q720),"Janvier","Février","Mars","Avril","Mai","Juin","Juillet","Août","Septembre","Octobre","Novembre","Décembre")</f>
        <v>Mai</v>
      </c>
      <c r="V720" s="22" t="n">
        <f aca="false">YEAR(Q720)</f>
        <v>2026</v>
      </c>
      <c r="W720" s="20"/>
      <c r="X720" s="8" t="n">
        <f aca="false">IFERROR(IF(M720="Abs",0,IF(ROUND((D720-C720+E720-F720)*1440,0)&lt;=1,0,D720-C720+E720-F720)),0)</f>
        <v>0</v>
      </c>
      <c r="Y720" s="6" t="str">
        <f aca="false">IFERROR(VLOOKUP($B720,Agents!$A:$D,3,0),"-")</f>
        <v>OUBRAHIM Mohammed</v>
      </c>
      <c r="Z720" s="6" t="str">
        <f aca="false">IFERROR(VLOOKUP($B720,Agents!$A:$D,4,0),"-")</f>
        <v>Credit Mutuel</v>
      </c>
      <c r="AA720" s="18" t="s">
        <v>104</v>
      </c>
      <c r="AB720" s="8" t="str">
        <f aca="false">IF(AND(D720="Congé",F720="Congé"),0.333333333333333,IF(OR(AND(D720="Congé",F720&lt;&gt;"Congé"),(AND(F720="Congé",D720&lt;&gt;"Congé"))),0.166666666666667,""))</f>
        <v/>
      </c>
      <c r="AC720" s="8" t="str">
        <f aca="false">IF(AND(D720="Congé sans solde",F720="Congé sans solde"),0.333333333333333,IF(OR(AND(D720="Congé sans solde",F720&lt;&gt;"Congé sans solde"),(AND(F720="Congé sans solde",D720&lt;&gt;"Congé sans solde"))),0.166666666666667,""))</f>
        <v/>
      </c>
      <c r="AD720" s="8" t="str">
        <f aca="false">IF(AND(D720="Congé spécial",F720="Congé spécial"),0.333333333333333,IF(OR(AND(D720="Congé spécial",F720&lt;&gt;"Congé spécial"),AND(F720="Congé spécial",D720&lt;&gt;"Congé spécial")),0.166666666666667,""))</f>
        <v/>
      </c>
      <c r="AE720" s="8" t="str">
        <f aca="false">IF(AND(D720="Férié",F720="Férié"),0.333333333333333,IF(OR(AND(D720="Férié",F720&lt;&gt;"Férié"),(AND(F720="Férié",D720&lt;&gt;"Férié"))),0.166666666666667,""))</f>
        <v/>
      </c>
      <c r="AF720" s="18"/>
      <c r="AG720" s="18"/>
    </row>
    <row r="721" customFormat="false" ht="15" hidden="false" customHeight="false" outlineLevel="0" collapsed="false">
      <c r="A721" s="6" t="str">
        <f aca="false">YEAR(Q721-WEEKDAY(Q721,2)+4)&amp;"-S"&amp;TEXT(WEEKNUM(Q721,21),"00")</f>
        <v>2026-S22</v>
      </c>
      <c r="B721" s="18" t="s">
        <v>71</v>
      </c>
      <c r="C721" s="19" t="n">
        <v>0.333333333333333</v>
      </c>
      <c r="D721" s="19" t="n">
        <v>0.333333333333333</v>
      </c>
      <c r="E721" s="19" t="n">
        <v>0.708333333333333</v>
      </c>
      <c r="F721" s="19" t="n">
        <v>0.708333333333333</v>
      </c>
      <c r="G721" s="20"/>
      <c r="H721" s="20"/>
      <c r="I721" s="8" t="str">
        <f aca="false">IF(IF(OR(C721="",D721="Congé",D721="OFF",D721="Congé spécial"),"",IF(D721&gt;F721,D721-C721,IF(C721-D721&lt;0,0,C721-D721)))&lt;0.00068287037037037,"",IF(OR(D721="Congé",D721="OFF",C721="",D721="Congé spécial"),"",IF(D721&gt;F721,D721-C721,IF(C721-D721&lt;0,0,C721-D721))))</f>
        <v/>
      </c>
      <c r="J721" s="20"/>
      <c r="K721" s="8" t="n">
        <f aca="false">IF(SUM(H721:J721)&lt;0.00068287037037037,0,SUM(H721:J721))</f>
        <v>0</v>
      </c>
      <c r="L721" s="8" t="n">
        <f aca="false">IF(OR(F721="Congé",F721="OFF",M721="Abs",F721="Congé sans solde",F721="Férié",F721="Congé spécial",D721="Congé spécial"),0,IF(F721-E721&lt;0,0,IF(F721-E721&lt;=0.00068287037037037,0,F721-E721)))</f>
        <v>0</v>
      </c>
      <c r="M721" s="6" t="n">
        <f aca="false">IF(AND(O721&lt;&gt;0,C721=""),"Abs",0)</f>
        <v>0</v>
      </c>
      <c r="N721" s="8" t="n">
        <f aca="false">IFERROR(IF(OR(D721="OFF",D721="Congé",M721="Abs",D721="Congé sans solde",D721="Férié"),"",IF(O721-K721-L721&gt;O721,O721,IF(O721-K721-L721&lt;0,"",O721-K721-L721))),"")</f>
        <v>0.333333333333333</v>
      </c>
      <c r="O721" s="8" t="n">
        <f aca="false">IF(AG721="2H Pause déjeuner",IF(F721-D721-0.0833333333333333&lt;0,F721-D721-0.0833333333333333+1,F721-D721-0.0833333333333333),IF(OR(AND(F721="OFF",D721="OFF"),AND(F721="Congé",D721="Congé"),AND(F721="Congé sans solde",D721="Congé sans solde"),AND(F721="Congé spécial",D721="Congé spécial"),AND(F721="Férié",D721="Férié"),AND(F721="OFF",D721="Congé"),AND(F721="OFF",D721="Congé sans solde"),AND(F721="OFF",D721="Congé spécial"),AND(F721="OFF",D721="Férié"),AND(F721="Congé",D721="OFF"),AND(F721="Congé",D721="Congé sans solde"),AND(F721="Congé",D721="Congé spécial"),AND(F721="Congé",D721="Férié"),AND(F721="Congé sans solde",D721="OFF"),AND(F721="Congé sans solde",D721="Congé"),AND(F721="Congé sans solde",D721="Congé spécial"),AND(F721="Congé sans solde",D721="Férié"),AND(F721="Congé spécial",D721="OFF"),AND(F721="Congé spécial",D721="Congé"),AND(F721="Congé spécial",D721="Congé sans solde"),AND(F721="Congé spécial",D721="Férié"),AND(F721="Férié",D721="OFF"),AND(F721="Férié",D721="Congé"),AND(F721="Férié",D721="Congé sans solde"),AND(F721="Férié",D721="Congé spécial")),0,IF(OR(F721="OFF",F721="Congé",F721="Congé spécial",F721="Congé sans solde",D721="OFF",D721="Congé",D721="Congé spécial",D721="Congé sans solde"),0.208333333333334,IF(AND(AG721="",F721-D721&lt;0),("24:00:00"-D721)+("00:00:00"+F721)-0.0416666666666667,IF(AND(OR(AG721="Allaitement",AG721="Sans déjeuner"),F721-D721&lt;0),("24:00:00"-D721)+("00:00:00"+F721),IF(AND(AG721="",F721-D721&gt;0.166666666666667),F721-D721-0.0416666666666667,IF(AND(OR(AG721="Allaitement",AG721="Sans déjeuner"),F721-D721&gt;0.166666666666667),F721-D721,F721-D721)))))))</f>
        <v>0.333333333333333</v>
      </c>
      <c r="P721" s="6" t="str">
        <f aca="false">IFERROR(VLOOKUP($B721,Agents!$A:$D,2,0),"-")</f>
        <v>Accessibilité</v>
      </c>
      <c r="Q721" s="21" t="n">
        <v>46171</v>
      </c>
      <c r="R721" s="8" t="n">
        <f aca="false">IF(M721="Abs",O721,0)</f>
        <v>0</v>
      </c>
      <c r="S721" s="8" t="n">
        <f aca="false">SUM(R721,L721,I721,J721,W721,H721)</f>
        <v>0</v>
      </c>
      <c r="T721" s="6" t="str">
        <f aca="false">"Sem - "&amp;WEEKNUM(Q721,21)</f>
        <v>Sem - 22</v>
      </c>
      <c r="U721" s="6" t="str">
        <f aca="false">CHOOSE(MONTH(Q721),"Janvier","Février","Mars","Avril","Mai","Juin","Juillet","Août","Septembre","Octobre","Novembre","Décembre")</f>
        <v>Mai</v>
      </c>
      <c r="V721" s="22" t="n">
        <f aca="false">YEAR(Q721)</f>
        <v>2026</v>
      </c>
      <c r="W721" s="20"/>
      <c r="X721" s="8" t="n">
        <f aca="false">IFERROR(IF(M721="Abs",0,IF(ROUND((D721-C721+E721-F721)*1440,0)&lt;=1,0,D721-C721+E721-F721)),0)</f>
        <v>0</v>
      </c>
      <c r="Y721" s="6" t="str">
        <f aca="false">IFERROR(VLOOKUP($B721,Agents!$A:$D,3,0),"-")</f>
        <v>OUBRAHIM Mohammed</v>
      </c>
      <c r="Z721" s="6" t="str">
        <f aca="false">IFERROR(VLOOKUP($B721,Agents!$A:$D,4,0),"-")</f>
        <v>Credit Mutuel</v>
      </c>
      <c r="AA721" s="18" t="s">
        <v>104</v>
      </c>
      <c r="AB721" s="8" t="str">
        <f aca="false">IF(AND(D721="Congé",F721="Congé"),0.333333333333333,IF(OR(AND(D721="Congé",F721&lt;&gt;"Congé"),(AND(F721="Congé",D721&lt;&gt;"Congé"))),0.166666666666667,""))</f>
        <v/>
      </c>
      <c r="AC721" s="8" t="str">
        <f aca="false">IF(AND(D721="Congé sans solde",F721="Congé sans solde"),0.333333333333333,IF(OR(AND(D721="Congé sans solde",F721&lt;&gt;"Congé sans solde"),(AND(F721="Congé sans solde",D721&lt;&gt;"Congé sans solde"))),0.166666666666667,""))</f>
        <v/>
      </c>
      <c r="AD721" s="8" t="str">
        <f aca="false">IF(AND(D721="Congé spécial",F721="Congé spécial"),0.333333333333333,IF(OR(AND(D721="Congé spécial",F721&lt;&gt;"Congé spécial"),AND(F721="Congé spécial",D721&lt;&gt;"Congé spécial")),0.166666666666667,""))</f>
        <v/>
      </c>
      <c r="AE721" s="8" t="str">
        <f aca="false">IF(AND(D721="Férié",F721="Férié"),0.333333333333333,IF(OR(AND(D721="Férié",F721&lt;&gt;"Férié"),(AND(F721="Férié",D721&lt;&gt;"Férié"))),0.166666666666667,""))</f>
        <v/>
      </c>
      <c r="AF721" s="18"/>
      <c r="AG721" s="18"/>
    </row>
    <row r="722" customFormat="false" ht="15" hidden="false" customHeight="false" outlineLevel="0" collapsed="false">
      <c r="A722" s="6" t="str">
        <f aca="false">YEAR(Q722-WEEKDAY(Q722,2)+4)&amp;"-S"&amp;TEXT(WEEKNUM(Q722,21),"00")</f>
        <v>2026-S22</v>
      </c>
      <c r="B722" s="18" t="s">
        <v>72</v>
      </c>
      <c r="C722" s="19" t="n">
        <v>0.333333333333333</v>
      </c>
      <c r="D722" s="19" t="n">
        <v>0.333333333333333</v>
      </c>
      <c r="E722" s="19" t="n">
        <v>0.708333333333333</v>
      </c>
      <c r="F722" s="19" t="n">
        <v>0.708333333333333</v>
      </c>
      <c r="G722" s="20"/>
      <c r="H722" s="20"/>
      <c r="I722" s="8" t="str">
        <f aca="false">IF(IF(OR(C722="",D722="Congé",D722="OFF",D722="Congé spécial"),"",IF(D722&gt;F722,D722-C722,IF(C722-D722&lt;0,0,C722-D722)))&lt;0.00068287037037037,"",IF(OR(D722="Congé",D722="OFF",C722="",D722="Congé spécial"),"",IF(D722&gt;F722,D722-C722,IF(C722-D722&lt;0,0,C722-D722))))</f>
        <v/>
      </c>
      <c r="J722" s="20"/>
      <c r="K722" s="8" t="n">
        <f aca="false">IF(SUM(H722:J722)&lt;0.00068287037037037,0,SUM(H722:J722))</f>
        <v>0</v>
      </c>
      <c r="L722" s="8" t="n">
        <f aca="false">IF(OR(F722="Congé",F722="OFF",M722="Abs",F722="Congé sans solde",F722="Férié",F722="Congé spécial",D722="Congé spécial"),0,IF(F722-E722&lt;0,0,IF(F722-E722&lt;=0.00068287037037037,0,F722-E722)))</f>
        <v>0</v>
      </c>
      <c r="M722" s="6" t="n">
        <f aca="false">IF(AND(O722&lt;&gt;0,C722=""),"Abs",0)</f>
        <v>0</v>
      </c>
      <c r="N722" s="8" t="n">
        <f aca="false">IFERROR(IF(OR(D722="OFF",D722="Congé",M722="Abs",D722="Congé sans solde",D722="Férié"),"",IF(O722-K722-L722&gt;O722,O722,IF(O722-K722-L722&lt;0,"",O722-K722-L722))),"")</f>
        <v>0.333333333333333</v>
      </c>
      <c r="O722" s="8" t="n">
        <f aca="false">IF(AG722="2H Pause déjeuner",IF(F722-D722-0.0833333333333333&lt;0,F722-D722-0.0833333333333333+1,F722-D722-0.0833333333333333),IF(OR(AND(F722="OFF",D722="OFF"),AND(F722="Congé",D722="Congé"),AND(F722="Congé sans solde",D722="Congé sans solde"),AND(F722="Congé spécial",D722="Congé spécial"),AND(F722="Férié",D722="Férié"),AND(F722="OFF",D722="Congé"),AND(F722="OFF",D722="Congé sans solde"),AND(F722="OFF",D722="Congé spécial"),AND(F722="OFF",D722="Férié"),AND(F722="Congé",D722="OFF"),AND(F722="Congé",D722="Congé sans solde"),AND(F722="Congé",D722="Congé spécial"),AND(F722="Congé",D722="Férié"),AND(F722="Congé sans solde",D722="OFF"),AND(F722="Congé sans solde",D722="Congé"),AND(F722="Congé sans solde",D722="Congé spécial"),AND(F722="Congé sans solde",D722="Férié"),AND(F722="Congé spécial",D722="OFF"),AND(F722="Congé spécial",D722="Congé"),AND(F722="Congé spécial",D722="Congé sans solde"),AND(F722="Congé spécial",D722="Férié"),AND(F722="Férié",D722="OFF"),AND(F722="Férié",D722="Congé"),AND(F722="Férié",D722="Congé sans solde"),AND(F722="Férié",D722="Congé spécial")),0,IF(OR(F722="OFF",F722="Congé",F722="Congé spécial",F722="Congé sans solde",D722="OFF",D722="Congé",D722="Congé spécial",D722="Congé sans solde"),0.208333333333334,IF(AND(AG722="",F722-D722&lt;0),("24:00:00"-D722)+("00:00:00"+F722)-0.0416666666666667,IF(AND(OR(AG722="Allaitement",AG722="Sans déjeuner"),F722-D722&lt;0),("24:00:00"-D722)+("00:00:00"+F722),IF(AND(AG722="",F722-D722&gt;0.166666666666667),F722-D722-0.0416666666666667,IF(AND(OR(AG722="Allaitement",AG722="Sans déjeuner"),F722-D722&gt;0.166666666666667),F722-D722,F722-D722)))))))</f>
        <v>0.333333333333333</v>
      </c>
      <c r="P722" s="6" t="str">
        <f aca="false">IFERROR(VLOOKUP($B722,Agents!$A:$D,2,0),"-")</f>
        <v>Accessibilité</v>
      </c>
      <c r="Q722" s="21" t="n">
        <v>46171</v>
      </c>
      <c r="R722" s="8" t="n">
        <f aca="false">IF(M722="Abs",O722,0)</f>
        <v>0</v>
      </c>
      <c r="S722" s="8" t="n">
        <f aca="false">SUM(R722,L722,I722,J722,W722,H722)</f>
        <v>0</v>
      </c>
      <c r="T722" s="6" t="str">
        <f aca="false">"Sem - "&amp;WEEKNUM(Q722,21)</f>
        <v>Sem - 22</v>
      </c>
      <c r="U722" s="6" t="str">
        <f aca="false">CHOOSE(MONTH(Q722),"Janvier","Février","Mars","Avril","Mai","Juin","Juillet","Août","Septembre","Octobre","Novembre","Décembre")</f>
        <v>Mai</v>
      </c>
      <c r="V722" s="22" t="n">
        <f aca="false">YEAR(Q722)</f>
        <v>2026</v>
      </c>
      <c r="W722" s="20"/>
      <c r="X722" s="8" t="n">
        <f aca="false">IFERROR(IF(M722="Abs",0,IF(ROUND((D722-C722+E722-F722)*1440,0)&lt;=1,0,D722-C722+E722-F722)),0)</f>
        <v>0</v>
      </c>
      <c r="Y722" s="6" t="str">
        <f aca="false">IFERROR(VLOOKUP($B722,Agents!$A:$D,3,0),"-")</f>
        <v>OUBRAHIM Mohammed</v>
      </c>
      <c r="Z722" s="6" t="str">
        <f aca="false">IFERROR(VLOOKUP($B722,Agents!$A:$D,4,0),"-")</f>
        <v>Credit Mutuel</v>
      </c>
      <c r="AA722" s="18" t="s">
        <v>104</v>
      </c>
      <c r="AB722" s="8" t="str">
        <f aca="false">IF(AND(D722="Congé",F722="Congé"),0.333333333333333,IF(OR(AND(D722="Congé",F722&lt;&gt;"Congé"),(AND(F722="Congé",D722&lt;&gt;"Congé"))),0.166666666666667,""))</f>
        <v/>
      </c>
      <c r="AC722" s="8" t="str">
        <f aca="false">IF(AND(D722="Congé sans solde",F722="Congé sans solde"),0.333333333333333,IF(OR(AND(D722="Congé sans solde",F722&lt;&gt;"Congé sans solde"),(AND(F722="Congé sans solde",D722&lt;&gt;"Congé sans solde"))),0.166666666666667,""))</f>
        <v/>
      </c>
      <c r="AD722" s="8" t="str">
        <f aca="false">IF(AND(D722="Congé spécial",F722="Congé spécial"),0.333333333333333,IF(OR(AND(D722="Congé spécial",F722&lt;&gt;"Congé spécial"),AND(F722="Congé spécial",D722&lt;&gt;"Congé spécial")),0.166666666666667,""))</f>
        <v/>
      </c>
      <c r="AE722" s="8" t="str">
        <f aca="false">IF(AND(D722="Férié",F722="Férié"),0.333333333333333,IF(OR(AND(D722="Férié",F722&lt;&gt;"Férié"),(AND(F722="Férié",D722&lt;&gt;"Férié"))),0.166666666666667,""))</f>
        <v/>
      </c>
      <c r="AF722" s="18"/>
      <c r="AG722" s="18"/>
    </row>
    <row r="723" customFormat="false" ht="15" hidden="false" customHeight="false" outlineLevel="0" collapsed="false">
      <c r="A723" s="6" t="str">
        <f aca="false">YEAR(Q723-WEEKDAY(Q723,2)+4)&amp;"-S"&amp;TEXT(WEEKNUM(Q723,21),"00")</f>
        <v>2026-S22</v>
      </c>
      <c r="B723" s="18" t="s">
        <v>73</v>
      </c>
      <c r="C723" s="19" t="n">
        <v>0.333333333333333</v>
      </c>
      <c r="D723" s="19" t="n">
        <v>0.333333333333333</v>
      </c>
      <c r="E723" s="19" t="n">
        <v>0.708333333333333</v>
      </c>
      <c r="F723" s="19" t="n">
        <v>0.708333333333333</v>
      </c>
      <c r="G723" s="20"/>
      <c r="H723" s="20"/>
      <c r="I723" s="8" t="str">
        <f aca="false">IF(IF(OR(C723="",D723="Congé",D723="OFF",D723="Congé spécial"),"",IF(D723&gt;F723,D723-C723,IF(C723-D723&lt;0,0,C723-D723)))&lt;0.00068287037037037,"",IF(OR(D723="Congé",D723="OFF",C723="",D723="Congé spécial"),"",IF(D723&gt;F723,D723-C723,IF(C723-D723&lt;0,0,C723-D723))))</f>
        <v/>
      </c>
      <c r="J723" s="20"/>
      <c r="K723" s="8" t="n">
        <f aca="false">IF(SUM(H723:J723)&lt;0.00068287037037037,0,SUM(H723:J723))</f>
        <v>0</v>
      </c>
      <c r="L723" s="8" t="n">
        <f aca="false">IF(OR(F723="Congé",F723="OFF",M723="Abs",F723="Congé sans solde",F723="Férié",F723="Congé spécial",D723="Congé spécial"),0,IF(F723-E723&lt;0,0,IF(F723-E723&lt;=0.00068287037037037,0,F723-E723)))</f>
        <v>0</v>
      </c>
      <c r="M723" s="6" t="n">
        <f aca="false">IF(AND(O723&lt;&gt;0,C723=""),"Abs",0)</f>
        <v>0</v>
      </c>
      <c r="N723" s="8" t="n">
        <f aca="false">IFERROR(IF(OR(D723="OFF",D723="Congé",M723="Abs",D723="Congé sans solde",D723="Férié"),"",IF(O723-K723-L723&gt;O723,O723,IF(O723-K723-L723&lt;0,"",O723-K723-L723))),"")</f>
        <v>0.333333333333333</v>
      </c>
      <c r="O723" s="8" t="n">
        <f aca="false">IF(AG723="2H Pause déjeuner",IF(F723-D723-0.0833333333333333&lt;0,F723-D723-0.0833333333333333+1,F723-D723-0.0833333333333333),IF(OR(AND(F723="OFF",D723="OFF"),AND(F723="Congé",D723="Congé"),AND(F723="Congé sans solde",D723="Congé sans solde"),AND(F723="Congé spécial",D723="Congé spécial"),AND(F723="Férié",D723="Férié"),AND(F723="OFF",D723="Congé"),AND(F723="OFF",D723="Congé sans solde"),AND(F723="OFF",D723="Congé spécial"),AND(F723="OFF",D723="Férié"),AND(F723="Congé",D723="OFF"),AND(F723="Congé",D723="Congé sans solde"),AND(F723="Congé",D723="Congé spécial"),AND(F723="Congé",D723="Férié"),AND(F723="Congé sans solde",D723="OFF"),AND(F723="Congé sans solde",D723="Congé"),AND(F723="Congé sans solde",D723="Congé spécial"),AND(F723="Congé sans solde",D723="Férié"),AND(F723="Congé spécial",D723="OFF"),AND(F723="Congé spécial",D723="Congé"),AND(F723="Congé spécial",D723="Congé sans solde"),AND(F723="Congé spécial",D723="Férié"),AND(F723="Férié",D723="OFF"),AND(F723="Férié",D723="Congé"),AND(F723="Férié",D723="Congé sans solde"),AND(F723="Férié",D723="Congé spécial")),0,IF(OR(F723="OFF",F723="Congé",F723="Congé spécial",F723="Congé sans solde",D723="OFF",D723="Congé",D723="Congé spécial",D723="Congé sans solde"),0.208333333333334,IF(AND(AG723="",F723-D723&lt;0),("24:00:00"-D723)+("00:00:00"+F723)-0.0416666666666667,IF(AND(OR(AG723="Allaitement",AG723="Sans déjeuner"),F723-D723&lt;0),("24:00:00"-D723)+("00:00:00"+F723),IF(AND(AG723="",F723-D723&gt;0.166666666666667),F723-D723-0.0416666666666667,IF(AND(OR(AG723="Allaitement",AG723="Sans déjeuner"),F723-D723&gt;0.166666666666667),F723-D723,F723-D723)))))))</f>
        <v>0.333333333333333</v>
      </c>
      <c r="P723" s="6" t="str">
        <f aca="false">IFERROR(VLOOKUP($B723,Agents!$A:$D,2,0),"-")</f>
        <v>Accessibilité</v>
      </c>
      <c r="Q723" s="21" t="n">
        <v>46171</v>
      </c>
      <c r="R723" s="8" t="n">
        <f aca="false">IF(M723="Abs",O723,0)</f>
        <v>0</v>
      </c>
      <c r="S723" s="8" t="n">
        <f aca="false">SUM(R723,L723,I723,J723,W723,H723)</f>
        <v>0</v>
      </c>
      <c r="T723" s="6" t="str">
        <f aca="false">"Sem - "&amp;WEEKNUM(Q723,21)</f>
        <v>Sem - 22</v>
      </c>
      <c r="U723" s="6" t="str">
        <f aca="false">CHOOSE(MONTH(Q723),"Janvier","Février","Mars","Avril","Mai","Juin","Juillet","Août","Septembre","Octobre","Novembre","Décembre")</f>
        <v>Mai</v>
      </c>
      <c r="V723" s="22" t="n">
        <f aca="false">YEAR(Q723)</f>
        <v>2026</v>
      </c>
      <c r="W723" s="20"/>
      <c r="X723" s="8" t="n">
        <f aca="false">IFERROR(IF(M723="Abs",0,IF(ROUND((D723-C723+E723-F723)*1440,0)&lt;=1,0,D723-C723+E723-F723)),0)</f>
        <v>0</v>
      </c>
      <c r="Y723" s="6" t="str">
        <f aca="false">IFERROR(VLOOKUP($B723,Agents!$A:$D,3,0),"-")</f>
        <v>OUBRAHIM Mohammed</v>
      </c>
      <c r="Z723" s="6" t="str">
        <f aca="false">IFERROR(VLOOKUP($B723,Agents!$A:$D,4,0),"-")</f>
        <v>Credit Mutuel</v>
      </c>
      <c r="AA723" s="18" t="s">
        <v>104</v>
      </c>
      <c r="AB723" s="8" t="str">
        <f aca="false">IF(AND(D723="Congé",F723="Congé"),0.333333333333333,IF(OR(AND(D723="Congé",F723&lt;&gt;"Congé"),(AND(F723="Congé",D723&lt;&gt;"Congé"))),0.166666666666667,""))</f>
        <v/>
      </c>
      <c r="AC723" s="8" t="str">
        <f aca="false">IF(AND(D723="Congé sans solde",F723="Congé sans solde"),0.333333333333333,IF(OR(AND(D723="Congé sans solde",F723&lt;&gt;"Congé sans solde"),(AND(F723="Congé sans solde",D723&lt;&gt;"Congé sans solde"))),0.166666666666667,""))</f>
        <v/>
      </c>
      <c r="AD723" s="8" t="str">
        <f aca="false">IF(AND(D723="Congé spécial",F723="Congé spécial"),0.333333333333333,IF(OR(AND(D723="Congé spécial",F723&lt;&gt;"Congé spécial"),AND(F723="Congé spécial",D723&lt;&gt;"Congé spécial")),0.166666666666667,""))</f>
        <v/>
      </c>
      <c r="AE723" s="8" t="str">
        <f aca="false">IF(AND(D723="Férié",F723="Férié"),0.333333333333333,IF(OR(AND(D723="Férié",F723&lt;&gt;"Férié"),(AND(F723="Férié",D723&lt;&gt;"Férié"))),0.166666666666667,""))</f>
        <v/>
      </c>
      <c r="AF723" s="18"/>
      <c r="AG723" s="18"/>
    </row>
    <row r="724" customFormat="false" ht="15" hidden="false" customHeight="false" outlineLevel="0" collapsed="false">
      <c r="A724" s="6" t="str">
        <f aca="false">YEAR(Q724-WEEKDAY(Q724,2)+4)&amp;"-S"&amp;TEXT(WEEKNUM(Q724,21),"00")</f>
        <v>2026-S22</v>
      </c>
      <c r="B724" s="18" t="s">
        <v>71</v>
      </c>
      <c r="C724" s="19"/>
      <c r="D724" s="19" t="s">
        <v>74</v>
      </c>
      <c r="E724" s="19"/>
      <c r="F724" s="19" t="s">
        <v>74</v>
      </c>
      <c r="G724" s="20"/>
      <c r="H724" s="20"/>
      <c r="I724" s="8" t="str">
        <f aca="false">IF(IF(OR(C724="",D724="Congé",D724="OFF",D724="Congé spécial"),"",IF(D724&gt;F724,D724-C724,IF(C724-D724&lt;0,0,C724-D724)))&lt;0.00068287037037037,"",IF(OR(D724="Congé",D724="OFF",C724="",D724="Congé spécial"),"",IF(D724&gt;F724,D724-C724,IF(C724-D724&lt;0,0,C724-D724))))</f>
        <v/>
      </c>
      <c r="J724" s="20"/>
      <c r="K724" s="8" t="n">
        <f aca="false">IF(SUM(H724:J724)&lt;0.00068287037037037,0,SUM(H724:J724))</f>
        <v>0</v>
      </c>
      <c r="L724" s="8" t="n">
        <f aca="false">IF(OR(F724="Congé",F724="OFF",M724="Abs",F724="Congé sans solde",F724="Férié",F724="Congé spécial",D724="Congé spécial"),0,IF(F724-E724&lt;0,0,IF(F724-E724&lt;=0.00068287037037037,0,F724-E724)))</f>
        <v>0</v>
      </c>
      <c r="M724" s="6" t="n">
        <f aca="false">IF(AND(O724&lt;&gt;0,C724=""),"Abs",0)</f>
        <v>0</v>
      </c>
      <c r="N724" s="8" t="str">
        <f aca="false">IFERROR(IF(OR(D724="OFF",D724="Congé",M724="Abs",D724="Congé sans solde",D724="Férié"),"",IF(O724-K724-L724&gt;O724,O724,IF(O724-K724-L724&lt;0,"",O724-K724-L724))),"")</f>
        <v/>
      </c>
      <c r="O724" s="8" t="n">
        <f aca="false">IF(AG724="2H Pause déjeuner",IF(F724-D724-0.0833333333333333&lt;0,F724-D724-0.0833333333333333+1,F724-D724-0.0833333333333333),IF(OR(AND(F724="OFF",D724="OFF"),AND(F724="Congé",D724="Congé"),AND(F724="Congé sans solde",D724="Congé sans solde"),AND(F724="Congé spécial",D724="Congé spécial"),AND(F724="Férié",D724="Férié"),AND(F724="OFF",D724="Congé"),AND(F724="OFF",D724="Congé sans solde"),AND(F724="OFF",D724="Congé spécial"),AND(F724="OFF",D724="Férié"),AND(F724="Congé",D724="OFF"),AND(F724="Congé",D724="Congé sans solde"),AND(F724="Congé",D724="Congé spécial"),AND(F724="Congé",D724="Férié"),AND(F724="Congé sans solde",D724="OFF"),AND(F724="Congé sans solde",D724="Congé"),AND(F724="Congé sans solde",D724="Congé spécial"),AND(F724="Congé sans solde",D724="Férié"),AND(F724="Congé spécial",D724="OFF"),AND(F724="Congé spécial",D724="Congé"),AND(F724="Congé spécial",D724="Congé sans solde"),AND(F724="Congé spécial",D724="Férié"),AND(F724="Férié",D724="OFF"),AND(F724="Férié",D724="Congé"),AND(F724="Férié",D724="Congé sans solde"),AND(F724="Férié",D724="Congé spécial")),0,IF(OR(F724="OFF",F724="Congé",F724="Congé spécial",F724="Congé sans solde",D724="OFF",D724="Congé",D724="Congé spécial",D724="Congé sans solde"),0.208333333333334,IF(AND(AG724="",F724-D724&lt;0),("24:00:00"-D724)+("00:00:00"+F724)-0.0416666666666667,IF(AND(OR(AG724="Allaitement",AG724="Sans déjeuner"),F724-D724&lt;0),("24:00:00"-D724)+("00:00:00"+F724),IF(AND(AG724="",F724-D724&gt;0.166666666666667),F724-D724-0.0416666666666667,IF(AND(OR(AG724="Allaitement",AG724="Sans déjeuner"),F724-D724&gt;0.166666666666667),F724-D724,F724-D724)))))))</f>
        <v>0</v>
      </c>
      <c r="P724" s="6" t="str">
        <f aca="false">IFERROR(VLOOKUP($B724,Agents!$A:$D,2,0),"-")</f>
        <v>Accessibilité</v>
      </c>
      <c r="Q724" s="21" t="n">
        <v>46172</v>
      </c>
      <c r="R724" s="8" t="n">
        <f aca="false">IF(M724="Abs",O724,0)</f>
        <v>0</v>
      </c>
      <c r="S724" s="8" t="n">
        <f aca="false">SUM(R724,L724,I724,J724,W724,H724)</f>
        <v>0</v>
      </c>
      <c r="T724" s="6" t="str">
        <f aca="false">"Sem - "&amp;WEEKNUM(Q724,21)</f>
        <v>Sem - 22</v>
      </c>
      <c r="U724" s="6" t="str">
        <f aca="false">CHOOSE(MONTH(Q724),"Janvier","Février","Mars","Avril","Mai","Juin","Juillet","Août","Septembre","Octobre","Novembre","Décembre")</f>
        <v>Mai</v>
      </c>
      <c r="V724" s="22" t="n">
        <f aca="false">YEAR(Q724)</f>
        <v>2026</v>
      </c>
      <c r="W724" s="20"/>
      <c r="X724" s="8" t="n">
        <f aca="false">IFERROR(IF(M724="Abs",0,IF(ROUND((D724-C724+E724-F724)*1440,0)&lt;=1,0,D724-C724+E724-F724)),0)</f>
        <v>0</v>
      </c>
      <c r="Y724" s="6" t="str">
        <f aca="false">IFERROR(VLOOKUP($B724,Agents!$A:$D,3,0),"-")</f>
        <v>OUBRAHIM Mohammed</v>
      </c>
      <c r="Z724" s="6" t="str">
        <f aca="false">IFERROR(VLOOKUP($B724,Agents!$A:$D,4,0),"-")</f>
        <v>Credit Mutuel</v>
      </c>
      <c r="AA724" s="18" t="s">
        <v>104</v>
      </c>
      <c r="AB724" s="8" t="str">
        <f aca="false">IF(AND(D724="Congé",F724="Congé"),0.333333333333333,IF(OR(AND(D724="Congé",F724&lt;&gt;"Congé"),(AND(F724="Congé",D724&lt;&gt;"Congé"))),0.166666666666667,""))</f>
        <v/>
      </c>
      <c r="AC724" s="8" t="str">
        <f aca="false">IF(AND(D724="Congé sans solde",F724="Congé sans solde"),0.333333333333333,IF(OR(AND(D724="Congé sans solde",F724&lt;&gt;"Congé sans solde"),(AND(F724="Congé sans solde",D724&lt;&gt;"Congé sans solde"))),0.166666666666667,""))</f>
        <v/>
      </c>
      <c r="AD724" s="8" t="str">
        <f aca="false">IF(AND(D724="Congé spécial",F724="Congé spécial"),0.333333333333333,IF(OR(AND(D724="Congé spécial",F724&lt;&gt;"Congé spécial"),AND(F724="Congé spécial",D724&lt;&gt;"Congé spécial")),0.166666666666667,""))</f>
        <v/>
      </c>
      <c r="AE724" s="8" t="str">
        <f aca="false">IF(AND(D724="Férié",F724="Férié"),0.333333333333333,IF(OR(AND(D724="Férié",F724&lt;&gt;"Férié"),(AND(F724="Férié",D724&lt;&gt;"Férié"))),0.166666666666667,""))</f>
        <v/>
      </c>
      <c r="AF724" s="18"/>
      <c r="AG724" s="18"/>
    </row>
    <row r="725" customFormat="false" ht="15" hidden="false" customHeight="false" outlineLevel="0" collapsed="false">
      <c r="A725" s="6" t="str">
        <f aca="false">YEAR(Q725-WEEKDAY(Q725,2)+4)&amp;"-S"&amp;TEXT(WEEKNUM(Q725,21),"00")</f>
        <v>2026-S22</v>
      </c>
      <c r="B725" s="18" t="s">
        <v>72</v>
      </c>
      <c r="C725" s="19"/>
      <c r="D725" s="19" t="s">
        <v>74</v>
      </c>
      <c r="E725" s="19"/>
      <c r="F725" s="19" t="s">
        <v>74</v>
      </c>
      <c r="G725" s="20"/>
      <c r="H725" s="20"/>
      <c r="I725" s="8" t="str">
        <f aca="false">IF(IF(OR(C725="",D725="Congé",D725="OFF",D725="Congé spécial"),"",IF(D725&gt;F725,D725-C725,IF(C725-D725&lt;0,0,C725-D725)))&lt;0.00068287037037037,"",IF(OR(D725="Congé",D725="OFF",C725="",D725="Congé spécial"),"",IF(D725&gt;F725,D725-C725,IF(C725-D725&lt;0,0,C725-D725))))</f>
        <v/>
      </c>
      <c r="J725" s="20"/>
      <c r="K725" s="8" t="n">
        <f aca="false">IF(SUM(H725:J725)&lt;0.00068287037037037,0,SUM(H725:J725))</f>
        <v>0</v>
      </c>
      <c r="L725" s="8" t="n">
        <f aca="false">IF(OR(F725="Congé",F725="OFF",M725="Abs",F725="Congé sans solde",F725="Férié",F725="Congé spécial",D725="Congé spécial"),0,IF(F725-E725&lt;0,0,IF(F725-E725&lt;=0.00068287037037037,0,F725-E725)))</f>
        <v>0</v>
      </c>
      <c r="M725" s="6" t="n">
        <f aca="false">IF(AND(O725&lt;&gt;0,C725=""),"Abs",0)</f>
        <v>0</v>
      </c>
      <c r="N725" s="8" t="str">
        <f aca="false">IFERROR(IF(OR(D725="OFF",D725="Congé",M725="Abs",D725="Congé sans solde",D725="Férié"),"",IF(O725-K725-L725&gt;O725,O725,IF(O725-K725-L725&lt;0,"",O725-K725-L725))),"")</f>
        <v/>
      </c>
      <c r="O725" s="8" t="n">
        <f aca="false">IF(AG725="2H Pause déjeuner",IF(F725-D725-0.0833333333333333&lt;0,F725-D725-0.0833333333333333+1,F725-D725-0.0833333333333333),IF(OR(AND(F725="OFF",D725="OFF"),AND(F725="Congé",D725="Congé"),AND(F725="Congé sans solde",D725="Congé sans solde"),AND(F725="Congé spécial",D725="Congé spécial"),AND(F725="Férié",D725="Férié"),AND(F725="OFF",D725="Congé"),AND(F725="OFF",D725="Congé sans solde"),AND(F725="OFF",D725="Congé spécial"),AND(F725="OFF",D725="Férié"),AND(F725="Congé",D725="OFF"),AND(F725="Congé",D725="Congé sans solde"),AND(F725="Congé",D725="Congé spécial"),AND(F725="Congé",D725="Férié"),AND(F725="Congé sans solde",D725="OFF"),AND(F725="Congé sans solde",D725="Congé"),AND(F725="Congé sans solde",D725="Congé spécial"),AND(F725="Congé sans solde",D725="Férié"),AND(F725="Congé spécial",D725="OFF"),AND(F725="Congé spécial",D725="Congé"),AND(F725="Congé spécial",D725="Congé sans solde"),AND(F725="Congé spécial",D725="Férié"),AND(F725="Férié",D725="OFF"),AND(F725="Férié",D725="Congé"),AND(F725="Férié",D725="Congé sans solde"),AND(F725="Férié",D725="Congé spécial")),0,IF(OR(F725="OFF",F725="Congé",F725="Congé spécial",F725="Congé sans solde",D725="OFF",D725="Congé",D725="Congé spécial",D725="Congé sans solde"),0.208333333333334,IF(AND(AG725="",F725-D725&lt;0),("24:00:00"-D725)+("00:00:00"+F725)-0.0416666666666667,IF(AND(OR(AG725="Allaitement",AG725="Sans déjeuner"),F725-D725&lt;0),("24:00:00"-D725)+("00:00:00"+F725),IF(AND(AG725="",F725-D725&gt;0.166666666666667),F725-D725-0.0416666666666667,IF(AND(OR(AG725="Allaitement",AG725="Sans déjeuner"),F725-D725&gt;0.166666666666667),F725-D725,F725-D725)))))))</f>
        <v>0</v>
      </c>
      <c r="P725" s="6" t="str">
        <f aca="false">IFERROR(VLOOKUP($B725,Agents!$A:$D,2,0),"-")</f>
        <v>Accessibilité</v>
      </c>
      <c r="Q725" s="21" t="n">
        <v>46172</v>
      </c>
      <c r="R725" s="8" t="n">
        <f aca="false">IF(M725="Abs",O725,0)</f>
        <v>0</v>
      </c>
      <c r="S725" s="8" t="n">
        <f aca="false">SUM(R725,L725,I725,J725,W725,H725)</f>
        <v>0</v>
      </c>
      <c r="T725" s="6" t="str">
        <f aca="false">"Sem - "&amp;WEEKNUM(Q725,21)</f>
        <v>Sem - 22</v>
      </c>
      <c r="U725" s="6" t="str">
        <f aca="false">CHOOSE(MONTH(Q725),"Janvier","Février","Mars","Avril","Mai","Juin","Juillet","Août","Septembre","Octobre","Novembre","Décembre")</f>
        <v>Mai</v>
      </c>
      <c r="V725" s="22" t="n">
        <f aca="false">YEAR(Q725)</f>
        <v>2026</v>
      </c>
      <c r="W725" s="20"/>
      <c r="X725" s="8" t="n">
        <f aca="false">IFERROR(IF(M725="Abs",0,IF(ROUND((D725-C725+E725-F725)*1440,0)&lt;=1,0,D725-C725+E725-F725)),0)</f>
        <v>0</v>
      </c>
      <c r="Y725" s="6" t="str">
        <f aca="false">IFERROR(VLOOKUP($B725,Agents!$A:$D,3,0),"-")</f>
        <v>OUBRAHIM Mohammed</v>
      </c>
      <c r="Z725" s="6" t="str">
        <f aca="false">IFERROR(VLOOKUP($B725,Agents!$A:$D,4,0),"-")</f>
        <v>Credit Mutuel</v>
      </c>
      <c r="AA725" s="18" t="s">
        <v>104</v>
      </c>
      <c r="AB725" s="8" t="str">
        <f aca="false">IF(AND(D725="Congé",F725="Congé"),0.333333333333333,IF(OR(AND(D725="Congé",F725&lt;&gt;"Congé"),(AND(F725="Congé",D725&lt;&gt;"Congé"))),0.166666666666667,""))</f>
        <v/>
      </c>
      <c r="AC725" s="8" t="str">
        <f aca="false">IF(AND(D725="Congé sans solde",F725="Congé sans solde"),0.333333333333333,IF(OR(AND(D725="Congé sans solde",F725&lt;&gt;"Congé sans solde"),(AND(F725="Congé sans solde",D725&lt;&gt;"Congé sans solde"))),0.166666666666667,""))</f>
        <v/>
      </c>
      <c r="AD725" s="8" t="str">
        <f aca="false">IF(AND(D725="Congé spécial",F725="Congé spécial"),0.333333333333333,IF(OR(AND(D725="Congé spécial",F725&lt;&gt;"Congé spécial"),AND(F725="Congé spécial",D725&lt;&gt;"Congé spécial")),0.166666666666667,""))</f>
        <v/>
      </c>
      <c r="AE725" s="8" t="str">
        <f aca="false">IF(AND(D725="Férié",F725="Férié"),0.333333333333333,IF(OR(AND(D725="Férié",F725&lt;&gt;"Férié"),(AND(F725="Férié",D725&lt;&gt;"Férié"))),0.166666666666667,""))</f>
        <v/>
      </c>
      <c r="AF725" s="18"/>
      <c r="AG725" s="18"/>
    </row>
    <row r="726" customFormat="false" ht="15" hidden="false" customHeight="false" outlineLevel="0" collapsed="false">
      <c r="A726" s="6" t="str">
        <f aca="false">YEAR(Q726-WEEKDAY(Q726,2)+4)&amp;"-S"&amp;TEXT(WEEKNUM(Q726,21),"00")</f>
        <v>2026-S22</v>
      </c>
      <c r="B726" s="18" t="s">
        <v>73</v>
      </c>
      <c r="C726" s="19"/>
      <c r="D726" s="19" t="s">
        <v>74</v>
      </c>
      <c r="E726" s="19"/>
      <c r="F726" s="19" t="s">
        <v>74</v>
      </c>
      <c r="G726" s="20"/>
      <c r="H726" s="20"/>
      <c r="I726" s="8" t="str">
        <f aca="false">IF(IF(OR(C726="",D726="Congé",D726="OFF",D726="Congé spécial"),"",IF(D726&gt;F726,D726-C726,IF(C726-D726&lt;0,0,C726-D726)))&lt;0.00068287037037037,"",IF(OR(D726="Congé",D726="OFF",C726="",D726="Congé spécial"),"",IF(D726&gt;F726,D726-C726,IF(C726-D726&lt;0,0,C726-D726))))</f>
        <v/>
      </c>
      <c r="J726" s="20"/>
      <c r="K726" s="8" t="n">
        <f aca="false">IF(SUM(H726:J726)&lt;0.00068287037037037,0,SUM(H726:J726))</f>
        <v>0</v>
      </c>
      <c r="L726" s="8" t="n">
        <f aca="false">IF(OR(F726="Congé",F726="OFF",M726="Abs",F726="Congé sans solde",F726="Férié",F726="Congé spécial",D726="Congé spécial"),0,IF(F726-E726&lt;0,0,IF(F726-E726&lt;=0.00068287037037037,0,F726-E726)))</f>
        <v>0</v>
      </c>
      <c r="M726" s="6" t="n">
        <f aca="false">IF(AND(O726&lt;&gt;0,C726=""),"Abs",0)</f>
        <v>0</v>
      </c>
      <c r="N726" s="8" t="str">
        <f aca="false">IFERROR(IF(OR(D726="OFF",D726="Congé",M726="Abs",D726="Congé sans solde",D726="Férié"),"",IF(O726-K726-L726&gt;O726,O726,IF(O726-K726-L726&lt;0,"",O726-K726-L726))),"")</f>
        <v/>
      </c>
      <c r="O726" s="8" t="n">
        <f aca="false">IF(AG726="2H Pause déjeuner",IF(F726-D726-0.0833333333333333&lt;0,F726-D726-0.0833333333333333+1,F726-D726-0.0833333333333333),IF(OR(AND(F726="OFF",D726="OFF"),AND(F726="Congé",D726="Congé"),AND(F726="Congé sans solde",D726="Congé sans solde"),AND(F726="Congé spécial",D726="Congé spécial"),AND(F726="Férié",D726="Férié"),AND(F726="OFF",D726="Congé"),AND(F726="OFF",D726="Congé sans solde"),AND(F726="OFF",D726="Congé spécial"),AND(F726="OFF",D726="Férié"),AND(F726="Congé",D726="OFF"),AND(F726="Congé",D726="Congé sans solde"),AND(F726="Congé",D726="Congé spécial"),AND(F726="Congé",D726="Férié"),AND(F726="Congé sans solde",D726="OFF"),AND(F726="Congé sans solde",D726="Congé"),AND(F726="Congé sans solde",D726="Congé spécial"),AND(F726="Congé sans solde",D726="Férié"),AND(F726="Congé spécial",D726="OFF"),AND(F726="Congé spécial",D726="Congé"),AND(F726="Congé spécial",D726="Congé sans solde"),AND(F726="Congé spécial",D726="Férié"),AND(F726="Férié",D726="OFF"),AND(F726="Férié",D726="Congé"),AND(F726="Férié",D726="Congé sans solde"),AND(F726="Férié",D726="Congé spécial")),0,IF(OR(F726="OFF",F726="Congé",F726="Congé spécial",F726="Congé sans solde",D726="OFF",D726="Congé",D726="Congé spécial",D726="Congé sans solde"),0.208333333333334,IF(AND(AG726="",F726-D726&lt;0),("24:00:00"-D726)+("00:00:00"+F726)-0.0416666666666667,IF(AND(OR(AG726="Allaitement",AG726="Sans déjeuner"),F726-D726&lt;0),("24:00:00"-D726)+("00:00:00"+F726),IF(AND(AG726="",F726-D726&gt;0.166666666666667),F726-D726-0.0416666666666667,IF(AND(OR(AG726="Allaitement",AG726="Sans déjeuner"),F726-D726&gt;0.166666666666667),F726-D726,F726-D726)))))))</f>
        <v>0</v>
      </c>
      <c r="P726" s="6" t="str">
        <f aca="false">IFERROR(VLOOKUP($B726,Agents!$A:$D,2,0),"-")</f>
        <v>Accessibilité</v>
      </c>
      <c r="Q726" s="21" t="n">
        <v>46172</v>
      </c>
      <c r="R726" s="8" t="n">
        <f aca="false">IF(M726="Abs",O726,0)</f>
        <v>0</v>
      </c>
      <c r="S726" s="8" t="n">
        <f aca="false">SUM(R726,L726,I726,J726,W726,H726)</f>
        <v>0</v>
      </c>
      <c r="T726" s="6" t="str">
        <f aca="false">"Sem - "&amp;WEEKNUM(Q726,21)</f>
        <v>Sem - 22</v>
      </c>
      <c r="U726" s="6" t="str">
        <f aca="false">CHOOSE(MONTH(Q726),"Janvier","Février","Mars","Avril","Mai","Juin","Juillet","Août","Septembre","Octobre","Novembre","Décembre")</f>
        <v>Mai</v>
      </c>
      <c r="V726" s="22" t="n">
        <f aca="false">YEAR(Q726)</f>
        <v>2026</v>
      </c>
      <c r="W726" s="20"/>
      <c r="X726" s="8" t="n">
        <f aca="false">IFERROR(IF(M726="Abs",0,IF(ROUND((D726-C726+E726-F726)*1440,0)&lt;=1,0,D726-C726+E726-F726)),0)</f>
        <v>0</v>
      </c>
      <c r="Y726" s="6" t="str">
        <f aca="false">IFERROR(VLOOKUP($B726,Agents!$A:$D,3,0),"-")</f>
        <v>OUBRAHIM Mohammed</v>
      </c>
      <c r="Z726" s="6" t="str">
        <f aca="false">IFERROR(VLOOKUP($B726,Agents!$A:$D,4,0),"-")</f>
        <v>Credit Mutuel</v>
      </c>
      <c r="AA726" s="18" t="s">
        <v>104</v>
      </c>
      <c r="AB726" s="8" t="str">
        <f aca="false">IF(AND(D726="Congé",F726="Congé"),0.333333333333333,IF(OR(AND(D726="Congé",F726&lt;&gt;"Congé"),(AND(F726="Congé",D726&lt;&gt;"Congé"))),0.166666666666667,""))</f>
        <v/>
      </c>
      <c r="AC726" s="8" t="str">
        <f aca="false">IF(AND(D726="Congé sans solde",F726="Congé sans solde"),0.333333333333333,IF(OR(AND(D726="Congé sans solde",F726&lt;&gt;"Congé sans solde"),(AND(F726="Congé sans solde",D726&lt;&gt;"Congé sans solde"))),0.166666666666667,""))</f>
        <v/>
      </c>
      <c r="AD726" s="8" t="str">
        <f aca="false">IF(AND(D726="Congé spécial",F726="Congé spécial"),0.333333333333333,IF(OR(AND(D726="Congé spécial",F726&lt;&gt;"Congé spécial"),AND(F726="Congé spécial",D726&lt;&gt;"Congé spécial")),0.166666666666667,""))</f>
        <v/>
      </c>
      <c r="AE726" s="8" t="str">
        <f aca="false">IF(AND(D726="Férié",F726="Férié"),0.333333333333333,IF(OR(AND(D726="Férié",F726&lt;&gt;"Férié"),(AND(F726="Férié",D726&lt;&gt;"Férié"))),0.166666666666667,""))</f>
        <v/>
      </c>
      <c r="AF726" s="18"/>
      <c r="AG726" s="18"/>
    </row>
    <row r="727" customFormat="false" ht="15" hidden="false" customHeight="false" outlineLevel="0" collapsed="false">
      <c r="A727" s="6" t="str">
        <f aca="false">YEAR(Q727-WEEKDAY(Q727,2)+4)&amp;"-S"&amp;TEXT(WEEKNUM(Q727,21),"00")</f>
        <v>2026-S22</v>
      </c>
      <c r="B727" s="18" t="s">
        <v>71</v>
      </c>
      <c r="C727" s="19"/>
      <c r="D727" s="19" t="s">
        <v>74</v>
      </c>
      <c r="E727" s="19"/>
      <c r="F727" s="19" t="s">
        <v>74</v>
      </c>
      <c r="G727" s="20"/>
      <c r="H727" s="20"/>
      <c r="I727" s="8" t="str">
        <f aca="false">IF(IF(OR(C727="",D727="Congé",D727="OFF",D727="Congé spécial"),"",IF(D727&gt;F727,D727-C727,IF(C727-D727&lt;0,0,C727-D727)))&lt;0.00068287037037037,"",IF(OR(D727="Congé",D727="OFF",C727="",D727="Congé spécial"),"",IF(D727&gt;F727,D727-C727,IF(C727-D727&lt;0,0,C727-D727))))</f>
        <v/>
      </c>
      <c r="J727" s="20"/>
      <c r="K727" s="8" t="n">
        <f aca="false">IF(SUM(H727:J727)&lt;0.00068287037037037,0,SUM(H727:J727))</f>
        <v>0</v>
      </c>
      <c r="L727" s="8" t="n">
        <f aca="false">IF(OR(F727="Congé",F727="OFF",M727="Abs",F727="Congé sans solde",F727="Férié",F727="Congé spécial",D727="Congé spécial"),0,IF(F727-E727&lt;0,0,IF(F727-E727&lt;=0.00068287037037037,0,F727-E727)))</f>
        <v>0</v>
      </c>
      <c r="M727" s="6" t="n">
        <f aca="false">IF(AND(O727&lt;&gt;0,C727=""),"Abs",0)</f>
        <v>0</v>
      </c>
      <c r="N727" s="8" t="str">
        <f aca="false">IFERROR(IF(OR(D727="OFF",D727="Congé",M727="Abs",D727="Congé sans solde",D727="Férié"),"",IF(O727-K727-L727&gt;O727,O727,IF(O727-K727-L727&lt;0,"",O727-K727-L727))),"")</f>
        <v/>
      </c>
      <c r="O727" s="8" t="n">
        <f aca="false">IF(AG727="2H Pause déjeuner",IF(F727-D727-0.0833333333333333&lt;0,F727-D727-0.0833333333333333+1,F727-D727-0.0833333333333333),IF(OR(AND(F727="OFF",D727="OFF"),AND(F727="Congé",D727="Congé"),AND(F727="Congé sans solde",D727="Congé sans solde"),AND(F727="Congé spécial",D727="Congé spécial"),AND(F727="Férié",D727="Férié"),AND(F727="OFF",D727="Congé"),AND(F727="OFF",D727="Congé sans solde"),AND(F727="OFF",D727="Congé spécial"),AND(F727="OFF",D727="Férié"),AND(F727="Congé",D727="OFF"),AND(F727="Congé",D727="Congé sans solde"),AND(F727="Congé",D727="Congé spécial"),AND(F727="Congé",D727="Férié"),AND(F727="Congé sans solde",D727="OFF"),AND(F727="Congé sans solde",D727="Congé"),AND(F727="Congé sans solde",D727="Congé spécial"),AND(F727="Congé sans solde",D727="Férié"),AND(F727="Congé spécial",D727="OFF"),AND(F727="Congé spécial",D727="Congé"),AND(F727="Congé spécial",D727="Congé sans solde"),AND(F727="Congé spécial",D727="Férié"),AND(F727="Férié",D727="OFF"),AND(F727="Férié",D727="Congé"),AND(F727="Férié",D727="Congé sans solde"),AND(F727="Férié",D727="Congé spécial")),0,IF(OR(F727="OFF",F727="Congé",F727="Congé spécial",F727="Congé sans solde",D727="OFF",D727="Congé",D727="Congé spécial",D727="Congé sans solde"),0.208333333333334,IF(AND(AG727="",F727-D727&lt;0),("24:00:00"-D727)+("00:00:00"+F727)-0.0416666666666667,IF(AND(OR(AG727="Allaitement",AG727="Sans déjeuner"),F727-D727&lt;0),("24:00:00"-D727)+("00:00:00"+F727),IF(AND(AG727="",F727-D727&gt;0.166666666666667),F727-D727-0.0416666666666667,IF(AND(OR(AG727="Allaitement",AG727="Sans déjeuner"),F727-D727&gt;0.166666666666667),F727-D727,F727-D727)))))))</f>
        <v>0</v>
      </c>
      <c r="P727" s="6" t="str">
        <f aca="false">IFERROR(VLOOKUP($B727,Agents!$A:$D,2,0),"-")</f>
        <v>Accessibilité</v>
      </c>
      <c r="Q727" s="21" t="n">
        <v>46173</v>
      </c>
      <c r="R727" s="8" t="n">
        <f aca="false">IF(M727="Abs",O727,0)</f>
        <v>0</v>
      </c>
      <c r="S727" s="8" t="n">
        <f aca="false">SUM(R727,L727,I727,J727,W727,H727)</f>
        <v>0</v>
      </c>
      <c r="T727" s="6" t="str">
        <f aca="false">"Sem - "&amp;WEEKNUM(Q727,21)</f>
        <v>Sem - 22</v>
      </c>
      <c r="U727" s="6" t="str">
        <f aca="false">CHOOSE(MONTH(Q727),"Janvier","Février","Mars","Avril","Mai","Juin","Juillet","Août","Septembre","Octobre","Novembre","Décembre")</f>
        <v>Mai</v>
      </c>
      <c r="V727" s="22" t="n">
        <f aca="false">YEAR(Q727)</f>
        <v>2026</v>
      </c>
      <c r="W727" s="20"/>
      <c r="X727" s="8" t="n">
        <f aca="false">IFERROR(IF(M727="Abs",0,IF(ROUND((D727-C727+E727-F727)*1440,0)&lt;=1,0,D727-C727+E727-F727)),0)</f>
        <v>0</v>
      </c>
      <c r="Y727" s="6" t="str">
        <f aca="false">IFERROR(VLOOKUP($B727,Agents!$A:$D,3,0),"-")</f>
        <v>OUBRAHIM Mohammed</v>
      </c>
      <c r="Z727" s="6" t="str">
        <f aca="false">IFERROR(VLOOKUP($B727,Agents!$A:$D,4,0),"-")</f>
        <v>Credit Mutuel</v>
      </c>
      <c r="AA727" s="18" t="s">
        <v>104</v>
      </c>
      <c r="AB727" s="8" t="str">
        <f aca="false">IF(AND(D727="Congé",F727="Congé"),0.333333333333333,IF(OR(AND(D727="Congé",F727&lt;&gt;"Congé"),(AND(F727="Congé",D727&lt;&gt;"Congé"))),0.166666666666667,""))</f>
        <v/>
      </c>
      <c r="AC727" s="8" t="str">
        <f aca="false">IF(AND(D727="Congé sans solde",F727="Congé sans solde"),0.333333333333333,IF(OR(AND(D727="Congé sans solde",F727&lt;&gt;"Congé sans solde"),(AND(F727="Congé sans solde",D727&lt;&gt;"Congé sans solde"))),0.166666666666667,""))</f>
        <v/>
      </c>
      <c r="AD727" s="8" t="str">
        <f aca="false">IF(AND(D727="Congé spécial",F727="Congé spécial"),0.333333333333333,IF(OR(AND(D727="Congé spécial",F727&lt;&gt;"Congé spécial"),AND(F727="Congé spécial",D727&lt;&gt;"Congé spécial")),0.166666666666667,""))</f>
        <v/>
      </c>
      <c r="AE727" s="8" t="str">
        <f aca="false">IF(AND(D727="Férié",F727="Férié"),0.333333333333333,IF(OR(AND(D727="Férié",F727&lt;&gt;"Férié"),(AND(F727="Férié",D727&lt;&gt;"Férié"))),0.166666666666667,""))</f>
        <v/>
      </c>
      <c r="AF727" s="18"/>
      <c r="AG727" s="18"/>
    </row>
    <row r="728" customFormat="false" ht="15" hidden="false" customHeight="false" outlineLevel="0" collapsed="false">
      <c r="A728" s="6" t="str">
        <f aca="false">YEAR(Q728-WEEKDAY(Q728,2)+4)&amp;"-S"&amp;TEXT(WEEKNUM(Q728,21),"00")</f>
        <v>2026-S22</v>
      </c>
      <c r="B728" s="18" t="s">
        <v>72</v>
      </c>
      <c r="C728" s="19"/>
      <c r="D728" s="19" t="s">
        <v>74</v>
      </c>
      <c r="E728" s="19"/>
      <c r="F728" s="19" t="s">
        <v>74</v>
      </c>
      <c r="G728" s="20"/>
      <c r="H728" s="20"/>
      <c r="I728" s="8" t="str">
        <f aca="false">IF(IF(OR(C728="",D728="Congé",D728="OFF",D728="Congé spécial"),"",IF(D728&gt;F728,D728-C728,IF(C728-D728&lt;0,0,C728-D728)))&lt;0.00068287037037037,"",IF(OR(D728="Congé",D728="OFF",C728="",D728="Congé spécial"),"",IF(D728&gt;F728,D728-C728,IF(C728-D728&lt;0,0,C728-D728))))</f>
        <v/>
      </c>
      <c r="J728" s="20"/>
      <c r="K728" s="8" t="n">
        <f aca="false">IF(SUM(H728:J728)&lt;0.00068287037037037,0,SUM(H728:J728))</f>
        <v>0</v>
      </c>
      <c r="L728" s="8" t="n">
        <f aca="false">IF(OR(F728="Congé",F728="OFF",M728="Abs",F728="Congé sans solde",F728="Férié",F728="Congé spécial",D728="Congé spécial"),0,IF(F728-E728&lt;0,0,IF(F728-E728&lt;=0.00068287037037037,0,F728-E728)))</f>
        <v>0</v>
      </c>
      <c r="M728" s="6" t="n">
        <f aca="false">IF(AND(O728&lt;&gt;0,C728=""),"Abs",0)</f>
        <v>0</v>
      </c>
      <c r="N728" s="8" t="str">
        <f aca="false">IFERROR(IF(OR(D728="OFF",D728="Congé",M728="Abs",D728="Congé sans solde",D728="Férié"),"",IF(O728-K728-L728&gt;O728,O728,IF(O728-K728-L728&lt;0,"",O728-K728-L728))),"")</f>
        <v/>
      </c>
      <c r="O728" s="8" t="n">
        <f aca="false">IF(AG728="2H Pause déjeuner",IF(F728-D728-0.0833333333333333&lt;0,F728-D728-0.0833333333333333+1,F728-D728-0.0833333333333333),IF(OR(AND(F728="OFF",D728="OFF"),AND(F728="Congé",D728="Congé"),AND(F728="Congé sans solde",D728="Congé sans solde"),AND(F728="Congé spécial",D728="Congé spécial"),AND(F728="Férié",D728="Férié"),AND(F728="OFF",D728="Congé"),AND(F728="OFF",D728="Congé sans solde"),AND(F728="OFF",D728="Congé spécial"),AND(F728="OFF",D728="Férié"),AND(F728="Congé",D728="OFF"),AND(F728="Congé",D728="Congé sans solde"),AND(F728="Congé",D728="Congé spécial"),AND(F728="Congé",D728="Férié"),AND(F728="Congé sans solde",D728="OFF"),AND(F728="Congé sans solde",D728="Congé"),AND(F728="Congé sans solde",D728="Congé spécial"),AND(F728="Congé sans solde",D728="Férié"),AND(F728="Congé spécial",D728="OFF"),AND(F728="Congé spécial",D728="Congé"),AND(F728="Congé spécial",D728="Congé sans solde"),AND(F728="Congé spécial",D728="Férié"),AND(F728="Férié",D728="OFF"),AND(F728="Férié",D728="Congé"),AND(F728="Férié",D728="Congé sans solde"),AND(F728="Férié",D728="Congé spécial")),0,IF(OR(F728="OFF",F728="Congé",F728="Congé spécial",F728="Congé sans solde",D728="OFF",D728="Congé",D728="Congé spécial",D728="Congé sans solde"),0.208333333333334,IF(AND(AG728="",F728-D728&lt;0),("24:00:00"-D728)+("00:00:00"+F728)-0.0416666666666667,IF(AND(OR(AG728="Allaitement",AG728="Sans déjeuner"),F728-D728&lt;0),("24:00:00"-D728)+("00:00:00"+F728),IF(AND(AG728="",F728-D728&gt;0.166666666666667),F728-D728-0.0416666666666667,IF(AND(OR(AG728="Allaitement",AG728="Sans déjeuner"),F728-D728&gt;0.166666666666667),F728-D728,F728-D728)))))))</f>
        <v>0</v>
      </c>
      <c r="P728" s="6" t="str">
        <f aca="false">IFERROR(VLOOKUP($B728,Agents!$A:$D,2,0),"-")</f>
        <v>Accessibilité</v>
      </c>
      <c r="Q728" s="21" t="n">
        <v>46173</v>
      </c>
      <c r="R728" s="8" t="n">
        <f aca="false">IF(M728="Abs",O728,0)</f>
        <v>0</v>
      </c>
      <c r="S728" s="8" t="n">
        <f aca="false">SUM(R728,L728,I728,J728,W728,H728)</f>
        <v>0</v>
      </c>
      <c r="T728" s="6" t="str">
        <f aca="false">"Sem - "&amp;WEEKNUM(Q728,21)</f>
        <v>Sem - 22</v>
      </c>
      <c r="U728" s="6" t="str">
        <f aca="false">CHOOSE(MONTH(Q728),"Janvier","Février","Mars","Avril","Mai","Juin","Juillet","Août","Septembre","Octobre","Novembre","Décembre")</f>
        <v>Mai</v>
      </c>
      <c r="V728" s="22" t="n">
        <f aca="false">YEAR(Q728)</f>
        <v>2026</v>
      </c>
      <c r="W728" s="20"/>
      <c r="X728" s="8" t="n">
        <f aca="false">IFERROR(IF(M728="Abs",0,IF(ROUND((D728-C728+E728-F728)*1440,0)&lt;=1,0,D728-C728+E728-F728)),0)</f>
        <v>0</v>
      </c>
      <c r="Y728" s="6" t="str">
        <f aca="false">IFERROR(VLOOKUP($B728,Agents!$A:$D,3,0),"-")</f>
        <v>OUBRAHIM Mohammed</v>
      </c>
      <c r="Z728" s="6" t="str">
        <f aca="false">IFERROR(VLOOKUP($B728,Agents!$A:$D,4,0),"-")</f>
        <v>Credit Mutuel</v>
      </c>
      <c r="AA728" s="18" t="s">
        <v>104</v>
      </c>
      <c r="AB728" s="8" t="str">
        <f aca="false">IF(AND(D728="Congé",F728="Congé"),0.333333333333333,IF(OR(AND(D728="Congé",F728&lt;&gt;"Congé"),(AND(F728="Congé",D728&lt;&gt;"Congé"))),0.166666666666667,""))</f>
        <v/>
      </c>
      <c r="AC728" s="8" t="str">
        <f aca="false">IF(AND(D728="Congé sans solde",F728="Congé sans solde"),0.333333333333333,IF(OR(AND(D728="Congé sans solde",F728&lt;&gt;"Congé sans solde"),(AND(F728="Congé sans solde",D728&lt;&gt;"Congé sans solde"))),0.166666666666667,""))</f>
        <v/>
      </c>
      <c r="AD728" s="8" t="str">
        <f aca="false">IF(AND(D728="Congé spécial",F728="Congé spécial"),0.333333333333333,IF(OR(AND(D728="Congé spécial",F728&lt;&gt;"Congé spécial"),AND(F728="Congé spécial",D728&lt;&gt;"Congé spécial")),0.166666666666667,""))</f>
        <v/>
      </c>
      <c r="AE728" s="8" t="str">
        <f aca="false">IF(AND(D728="Férié",F728="Férié"),0.333333333333333,IF(OR(AND(D728="Férié",F728&lt;&gt;"Férié"),(AND(F728="Férié",D728&lt;&gt;"Férié"))),0.166666666666667,""))</f>
        <v/>
      </c>
      <c r="AF728" s="18"/>
      <c r="AG728" s="18"/>
    </row>
    <row r="729" customFormat="false" ht="15" hidden="false" customHeight="false" outlineLevel="0" collapsed="false">
      <c r="A729" s="6" t="str">
        <f aca="false">YEAR(Q729-WEEKDAY(Q729,2)+4)&amp;"-S"&amp;TEXT(WEEKNUM(Q729,21),"00")</f>
        <v>2026-S22</v>
      </c>
      <c r="B729" s="18" t="s">
        <v>73</v>
      </c>
      <c r="C729" s="19"/>
      <c r="D729" s="19" t="s">
        <v>74</v>
      </c>
      <c r="E729" s="19"/>
      <c r="F729" s="19" t="s">
        <v>74</v>
      </c>
      <c r="G729" s="20"/>
      <c r="H729" s="20"/>
      <c r="I729" s="8" t="str">
        <f aca="false">IF(IF(OR(C729="",D729="Congé",D729="OFF",D729="Congé spécial"),"",IF(D729&gt;F729,D729-C729,IF(C729-D729&lt;0,0,C729-D729)))&lt;0.00068287037037037,"",IF(OR(D729="Congé",D729="OFF",C729="",D729="Congé spécial"),"",IF(D729&gt;F729,D729-C729,IF(C729-D729&lt;0,0,C729-D729))))</f>
        <v/>
      </c>
      <c r="J729" s="20"/>
      <c r="K729" s="8" t="n">
        <f aca="false">IF(SUM(H729:J729)&lt;0.00068287037037037,0,SUM(H729:J729))</f>
        <v>0</v>
      </c>
      <c r="L729" s="8" t="n">
        <f aca="false">IF(OR(F729="Congé",F729="OFF",M729="Abs",F729="Congé sans solde",F729="Férié",F729="Congé spécial",D729="Congé spécial"),0,IF(F729-E729&lt;0,0,IF(F729-E729&lt;=0.00068287037037037,0,F729-E729)))</f>
        <v>0</v>
      </c>
      <c r="M729" s="6" t="n">
        <f aca="false">IF(AND(O729&lt;&gt;0,C729=""),"Abs",0)</f>
        <v>0</v>
      </c>
      <c r="N729" s="8" t="str">
        <f aca="false">IFERROR(IF(OR(D729="OFF",D729="Congé",M729="Abs",D729="Congé sans solde",D729="Férié"),"",IF(O729-K729-L729&gt;O729,O729,IF(O729-K729-L729&lt;0,"",O729-K729-L729))),"")</f>
        <v/>
      </c>
      <c r="O729" s="8" t="n">
        <f aca="false">IF(AG729="2H Pause déjeuner",IF(F729-D729-0.0833333333333333&lt;0,F729-D729-0.0833333333333333+1,F729-D729-0.0833333333333333),IF(OR(AND(F729="OFF",D729="OFF"),AND(F729="Congé",D729="Congé"),AND(F729="Congé sans solde",D729="Congé sans solde"),AND(F729="Congé spécial",D729="Congé spécial"),AND(F729="Férié",D729="Férié"),AND(F729="OFF",D729="Congé"),AND(F729="OFF",D729="Congé sans solde"),AND(F729="OFF",D729="Congé spécial"),AND(F729="OFF",D729="Férié"),AND(F729="Congé",D729="OFF"),AND(F729="Congé",D729="Congé sans solde"),AND(F729="Congé",D729="Congé spécial"),AND(F729="Congé",D729="Férié"),AND(F729="Congé sans solde",D729="OFF"),AND(F729="Congé sans solde",D729="Congé"),AND(F729="Congé sans solde",D729="Congé spécial"),AND(F729="Congé sans solde",D729="Férié"),AND(F729="Congé spécial",D729="OFF"),AND(F729="Congé spécial",D729="Congé"),AND(F729="Congé spécial",D729="Congé sans solde"),AND(F729="Congé spécial",D729="Férié"),AND(F729="Férié",D729="OFF"),AND(F729="Férié",D729="Congé"),AND(F729="Férié",D729="Congé sans solde"),AND(F729="Férié",D729="Congé spécial")),0,IF(OR(F729="OFF",F729="Congé",F729="Congé spécial",F729="Congé sans solde",D729="OFF",D729="Congé",D729="Congé spécial",D729="Congé sans solde"),0.208333333333334,IF(AND(AG729="",F729-D729&lt;0),("24:00:00"-D729)+("00:00:00"+F729)-0.0416666666666667,IF(AND(OR(AG729="Allaitement",AG729="Sans déjeuner"),F729-D729&lt;0),("24:00:00"-D729)+("00:00:00"+F729),IF(AND(AG729="",F729-D729&gt;0.166666666666667),F729-D729-0.0416666666666667,IF(AND(OR(AG729="Allaitement",AG729="Sans déjeuner"),F729-D729&gt;0.166666666666667),F729-D729,F729-D729)))))))</f>
        <v>0</v>
      </c>
      <c r="P729" s="6" t="str">
        <f aca="false">IFERROR(VLOOKUP($B729,Agents!$A:$D,2,0),"-")</f>
        <v>Accessibilité</v>
      </c>
      <c r="Q729" s="21" t="n">
        <v>46173</v>
      </c>
      <c r="R729" s="8" t="n">
        <f aca="false">IF(M729="Abs",O729,0)</f>
        <v>0</v>
      </c>
      <c r="S729" s="8" t="n">
        <f aca="false">SUM(R729,L729,I729,J729,W729,H729)</f>
        <v>0</v>
      </c>
      <c r="T729" s="6" t="str">
        <f aca="false">"Sem - "&amp;WEEKNUM(Q729,21)</f>
        <v>Sem - 22</v>
      </c>
      <c r="U729" s="6" t="str">
        <f aca="false">CHOOSE(MONTH(Q729),"Janvier","Février","Mars","Avril","Mai","Juin","Juillet","Août","Septembre","Octobre","Novembre","Décembre")</f>
        <v>Mai</v>
      </c>
      <c r="V729" s="22" t="n">
        <f aca="false">YEAR(Q729)</f>
        <v>2026</v>
      </c>
      <c r="W729" s="20"/>
      <c r="X729" s="8" t="n">
        <f aca="false">IFERROR(IF(M729="Abs",0,IF(ROUND((D729-C729+E729-F729)*1440,0)&lt;=1,0,D729-C729+E729-F729)),0)</f>
        <v>0</v>
      </c>
      <c r="Y729" s="6" t="str">
        <f aca="false">IFERROR(VLOOKUP($B729,Agents!$A:$D,3,0),"-")</f>
        <v>OUBRAHIM Mohammed</v>
      </c>
      <c r="Z729" s="6" t="str">
        <f aca="false">IFERROR(VLOOKUP($B729,Agents!$A:$D,4,0),"-")</f>
        <v>Credit Mutuel</v>
      </c>
      <c r="AA729" s="18" t="s">
        <v>104</v>
      </c>
      <c r="AB729" s="8" t="str">
        <f aca="false">IF(AND(D729="Congé",F729="Congé"),0.333333333333333,IF(OR(AND(D729="Congé",F729&lt;&gt;"Congé"),(AND(F729="Congé",D729&lt;&gt;"Congé"))),0.166666666666667,""))</f>
        <v/>
      </c>
      <c r="AC729" s="8" t="str">
        <f aca="false">IF(AND(D729="Congé sans solde",F729="Congé sans solde"),0.333333333333333,IF(OR(AND(D729="Congé sans solde",F729&lt;&gt;"Congé sans solde"),(AND(F729="Congé sans solde",D729&lt;&gt;"Congé sans solde"))),0.166666666666667,""))</f>
        <v/>
      </c>
      <c r="AD729" s="8" t="str">
        <f aca="false">IF(AND(D729="Congé spécial",F729="Congé spécial"),0.333333333333333,IF(OR(AND(D729="Congé spécial",F729&lt;&gt;"Congé spécial"),AND(F729="Congé spécial",D729&lt;&gt;"Congé spécial")),0.166666666666667,""))</f>
        <v/>
      </c>
      <c r="AE729" s="8" t="str">
        <f aca="false">IF(AND(D729="Férié",F729="Férié"),0.333333333333333,IF(OR(AND(D729="Férié",F729&lt;&gt;"Férié"),(AND(F729="Férié",D729&lt;&gt;"Férié"))),0.166666666666667,""))</f>
        <v/>
      </c>
      <c r="AF729" s="18"/>
      <c r="AG729" s="18"/>
    </row>
    <row r="730" customFormat="false" ht="15" hidden="false" customHeight="false" outlineLevel="0" collapsed="false">
      <c r="A730" s="6" t="str">
        <f aca="false">YEAR(Q730-WEEKDAY(Q730,2)+4)&amp;"-S"&amp;TEXT(WEEKNUM(Q730,21),"00")</f>
        <v>2026-S23</v>
      </c>
      <c r="B730" s="18" t="s">
        <v>71</v>
      </c>
      <c r="C730" s="19" t="n">
        <v>0.331944444444444</v>
      </c>
      <c r="D730" s="19" t="n">
        <v>0.333333333333333</v>
      </c>
      <c r="E730" s="19" t="n">
        <v>0.75</v>
      </c>
      <c r="F730" s="19" t="n">
        <v>0.75</v>
      </c>
      <c r="G730" s="20"/>
      <c r="H730" s="20"/>
      <c r="I730" s="8" t="str">
        <f aca="false">IF(IF(OR(C730="",D730="Congé",D730="OFF",D730="Congé spécial"),"",IF(D730&gt;F730,D730-C730,IF(C730-D730&lt;0,0,C730-D730)))&lt;0.00068287037037037,"",IF(OR(D730="Congé",D730="OFF",C730="",D730="Congé spécial"),"",IF(D730&gt;F730,D730-C730,IF(C730-D730&lt;0,0,C730-D730))))</f>
        <v/>
      </c>
      <c r="J730" s="20"/>
      <c r="K730" s="8" t="n">
        <f aca="false">IF(SUM(H730:J730)&lt;0.00068287037037037,0,SUM(H730:J730))</f>
        <v>0</v>
      </c>
      <c r="L730" s="8" t="n">
        <f aca="false">IF(OR(F730="Congé",F730="OFF",M730="Abs",F730="Congé sans solde",F730="Férié",F730="Congé spécial",D730="Congé spécial"),0,IF(F730-E730&lt;0,0,IF(F730-E730&lt;=0.00068287037037037,0,F730-E730)))</f>
        <v>0</v>
      </c>
      <c r="M730" s="6" t="n">
        <f aca="false">IF(AND(O730&lt;&gt;0,C730=""),"Abs",0)</f>
        <v>0</v>
      </c>
      <c r="N730" s="8" t="n">
        <f aca="false">IFERROR(IF(OR(D730="OFF",D730="Congé",M730="Abs",D730="Congé sans solde",D730="Férié"),"",IF(O730-K730-L730&gt;O730,O730,IF(O730-K730-L730&lt;0,"",O730-K730-L730))),"")</f>
        <v>0.375</v>
      </c>
      <c r="O730" s="8" t="n">
        <f aca="false">IF(AG730="2H Pause déjeuner",IF(F730-D730-0.0833333333333333&lt;0,F730-D730-0.0833333333333333+1,F730-D730-0.0833333333333333),IF(OR(AND(F730="OFF",D730="OFF"),AND(F730="Congé",D730="Congé"),AND(F730="Congé sans solde",D730="Congé sans solde"),AND(F730="Congé spécial",D730="Congé spécial"),AND(F730="Férié",D730="Férié"),AND(F730="OFF",D730="Congé"),AND(F730="OFF",D730="Congé sans solde"),AND(F730="OFF",D730="Congé spécial"),AND(F730="OFF",D730="Férié"),AND(F730="Congé",D730="OFF"),AND(F730="Congé",D730="Congé sans solde"),AND(F730="Congé",D730="Congé spécial"),AND(F730="Congé",D730="Férié"),AND(F730="Congé sans solde",D730="OFF"),AND(F730="Congé sans solde",D730="Congé"),AND(F730="Congé sans solde",D730="Congé spécial"),AND(F730="Congé sans solde",D730="Férié"),AND(F730="Congé spécial",D730="OFF"),AND(F730="Congé spécial",D730="Congé"),AND(F730="Congé spécial",D730="Congé sans solde"),AND(F730="Congé spécial",D730="Férié"),AND(F730="Férié",D730="OFF"),AND(F730="Férié",D730="Congé"),AND(F730="Férié",D730="Congé sans solde"),AND(F730="Férié",D730="Congé spécial")),0,IF(OR(F730="OFF",F730="Congé",F730="Congé spécial",F730="Congé sans solde",D730="OFF",D730="Congé",D730="Congé spécial",D730="Congé sans solde"),0.208333333333334,IF(AND(AG730="",F730-D730&lt;0),("24:00:00"-D730)+("00:00:00"+F730)-0.0416666666666667,IF(AND(OR(AG730="Allaitement",AG730="Sans déjeuner"),F730-D730&lt;0),("24:00:00"-D730)+("00:00:00"+F730),IF(AND(AG730="",F730-D730&gt;0.166666666666667),F730-D730-0.0416666666666667,IF(AND(OR(AG730="Allaitement",AG730="Sans déjeuner"),F730-D730&gt;0.166666666666667),F730-D730,F730-D730)))))))</f>
        <v>0.375</v>
      </c>
      <c r="P730" s="6" t="str">
        <f aca="false">IFERROR(VLOOKUP($B730,Agents!$A:$D,2,0),"-")</f>
        <v>Accessibilité</v>
      </c>
      <c r="Q730" s="21" t="n">
        <v>46174</v>
      </c>
      <c r="R730" s="8" t="n">
        <f aca="false">IF(M730="Abs",O730,0)</f>
        <v>0</v>
      </c>
      <c r="S730" s="8" t="n">
        <f aca="false">SUM(R730,L730,I730,J730,W730,H730)</f>
        <v>0</v>
      </c>
      <c r="T730" s="6" t="str">
        <f aca="false">"Sem - "&amp;WEEKNUM(Q730,21)</f>
        <v>Sem - 23</v>
      </c>
      <c r="U730" s="6" t="str">
        <f aca="false">CHOOSE(MONTH(Q730),"Janvier","Février","Mars","Avril","Mai","Juin","Juillet","Août","Septembre","Octobre","Novembre","Décembre")</f>
        <v>Juin</v>
      </c>
      <c r="V730" s="22" t="n">
        <f aca="false">YEAR(Q730)</f>
        <v>2026</v>
      </c>
      <c r="W730" s="20"/>
      <c r="X730" s="8" t="n">
        <f aca="false">IFERROR(IF(M730="Abs",0,IF(ROUND((D730-C730+E730-F730)*1440,0)&lt;=1,0,D730-C730+E730-F730)),0)</f>
        <v>0.00138888888888889</v>
      </c>
      <c r="Y730" s="6" t="str">
        <f aca="false">IFERROR(VLOOKUP($B730,Agents!$A:$D,3,0),"-")</f>
        <v>OUBRAHIM Mohammed</v>
      </c>
      <c r="Z730" s="6" t="str">
        <f aca="false">IFERROR(VLOOKUP($B730,Agents!$A:$D,4,0),"-")</f>
        <v>Credit Mutuel</v>
      </c>
      <c r="AA730" s="18" t="s">
        <v>105</v>
      </c>
      <c r="AB730" s="8" t="str">
        <f aca="false">IF(AND(D730="Congé",F730="Congé"),0.333333333333333,IF(OR(AND(D730="Congé",F730&lt;&gt;"Congé"),(AND(F730="Congé",D730&lt;&gt;"Congé"))),0.166666666666667,""))</f>
        <v/>
      </c>
      <c r="AC730" s="8" t="str">
        <f aca="false">IF(AND(D730="Congé sans solde",F730="Congé sans solde"),0.333333333333333,IF(OR(AND(D730="Congé sans solde",F730&lt;&gt;"Congé sans solde"),(AND(F730="Congé sans solde",D730&lt;&gt;"Congé sans solde"))),0.166666666666667,""))</f>
        <v/>
      </c>
      <c r="AD730" s="8" t="str">
        <f aca="false">IF(AND(D730="Congé spécial",F730="Congé spécial"),0.333333333333333,IF(OR(AND(D730="Congé spécial",F730&lt;&gt;"Congé spécial"),AND(F730="Congé spécial",D730&lt;&gt;"Congé spécial")),0.166666666666667,""))</f>
        <v/>
      </c>
      <c r="AE730" s="8" t="str">
        <f aca="false">IF(AND(D730="Férié",F730="Férié"),0.333333333333333,IF(OR(AND(D730="Férié",F730&lt;&gt;"Férié"),(AND(F730="Férié",D730&lt;&gt;"Férié"))),0.166666666666667,""))</f>
        <v/>
      </c>
      <c r="AF730" s="18"/>
      <c r="AG730" s="18"/>
    </row>
    <row r="731" customFormat="false" ht="15" hidden="false" customHeight="false" outlineLevel="0" collapsed="false">
      <c r="A731" s="6" t="str">
        <f aca="false">YEAR(Q731-WEEKDAY(Q731,2)+4)&amp;"-S"&amp;TEXT(WEEKNUM(Q731,21),"00")</f>
        <v>2026-S23</v>
      </c>
      <c r="B731" s="18" t="s">
        <v>72</v>
      </c>
      <c r="C731" s="19" t="n">
        <v>0.3375</v>
      </c>
      <c r="D731" s="19" t="n">
        <v>0.333333333333333</v>
      </c>
      <c r="E731" s="19" t="n">
        <v>0.75</v>
      </c>
      <c r="F731" s="19" t="n">
        <v>0.75</v>
      </c>
      <c r="G731" s="20"/>
      <c r="H731" s="20"/>
      <c r="I731" s="8" t="n">
        <f aca="false">IF(IF(OR(C731="",D731="Congé",D731="OFF",D731="Congé spécial"),"",IF(D731&gt;F731,D731-C731,IF(C731-D731&lt;0,0,C731-D731)))&lt;0.00068287037037037,"",IF(OR(D731="Congé",D731="OFF",C731="",D731="Congé spécial"),"",IF(D731&gt;F731,D731-C731,IF(C731-D731&lt;0,0,C731-D731))))</f>
        <v>0.00416666666666667</v>
      </c>
      <c r="J731" s="20"/>
      <c r="K731" s="8" t="n">
        <f aca="false">IF(SUM(H731:J731)&lt;0.00068287037037037,0,SUM(H731:J731))</f>
        <v>0.00416666666666667</v>
      </c>
      <c r="L731" s="8" t="n">
        <f aca="false">IF(OR(F731="Congé",F731="OFF",M731="Abs",F731="Congé sans solde",F731="Férié",F731="Congé spécial",D731="Congé spécial"),0,IF(F731-E731&lt;0,0,IF(F731-E731&lt;=0.00068287037037037,0,F731-E731)))</f>
        <v>0</v>
      </c>
      <c r="M731" s="6" t="n">
        <f aca="false">IF(AND(O731&lt;&gt;0,C731=""),"Abs",0)</f>
        <v>0</v>
      </c>
      <c r="N731" s="8" t="n">
        <f aca="false">IFERROR(IF(OR(D731="OFF",D731="Congé",M731="Abs",D731="Congé sans solde",D731="Férié"),"",IF(O731-K731-L731&gt;O731,O731,IF(O731-K731-L731&lt;0,"",O731-K731-L731))),"")</f>
        <v>0.370833333333333</v>
      </c>
      <c r="O731" s="8" t="n">
        <f aca="false">IF(AG731="2H Pause déjeuner",IF(F731-D731-0.0833333333333333&lt;0,F731-D731-0.0833333333333333+1,F731-D731-0.0833333333333333),IF(OR(AND(F731="OFF",D731="OFF"),AND(F731="Congé",D731="Congé"),AND(F731="Congé sans solde",D731="Congé sans solde"),AND(F731="Congé spécial",D731="Congé spécial"),AND(F731="Férié",D731="Férié"),AND(F731="OFF",D731="Congé"),AND(F731="OFF",D731="Congé sans solde"),AND(F731="OFF",D731="Congé spécial"),AND(F731="OFF",D731="Férié"),AND(F731="Congé",D731="OFF"),AND(F731="Congé",D731="Congé sans solde"),AND(F731="Congé",D731="Congé spécial"),AND(F731="Congé",D731="Férié"),AND(F731="Congé sans solde",D731="OFF"),AND(F731="Congé sans solde",D731="Congé"),AND(F731="Congé sans solde",D731="Congé spécial"),AND(F731="Congé sans solde",D731="Férié"),AND(F731="Congé spécial",D731="OFF"),AND(F731="Congé spécial",D731="Congé"),AND(F731="Congé spécial",D731="Congé sans solde"),AND(F731="Congé spécial",D731="Férié"),AND(F731="Férié",D731="OFF"),AND(F731="Férié",D731="Congé"),AND(F731="Férié",D731="Congé sans solde"),AND(F731="Férié",D731="Congé spécial")),0,IF(OR(F731="OFF",F731="Congé",F731="Congé spécial",F731="Congé sans solde",D731="OFF",D731="Congé",D731="Congé spécial",D731="Congé sans solde"),0.208333333333334,IF(AND(AG731="",F731-D731&lt;0),("24:00:00"-D731)+("00:00:00"+F731)-0.0416666666666667,IF(AND(OR(AG731="Allaitement",AG731="Sans déjeuner"),F731-D731&lt;0),("24:00:00"-D731)+("00:00:00"+F731),IF(AND(AG731="",F731-D731&gt;0.166666666666667),F731-D731-0.0416666666666667,IF(AND(OR(AG731="Allaitement",AG731="Sans déjeuner"),F731-D731&gt;0.166666666666667),F731-D731,F731-D731)))))))</f>
        <v>0.375</v>
      </c>
      <c r="P731" s="6" t="str">
        <f aca="false">IFERROR(VLOOKUP($B731,Agents!$A:$D,2,0),"-")</f>
        <v>Accessibilité</v>
      </c>
      <c r="Q731" s="21" t="n">
        <v>46174</v>
      </c>
      <c r="R731" s="8" t="n">
        <f aca="false">IF(M731="Abs",O731,0)</f>
        <v>0</v>
      </c>
      <c r="S731" s="8" t="n">
        <f aca="false">SUM(R731,L731,I731,J731,W731,H731)</f>
        <v>0.00416666666666667</v>
      </c>
      <c r="T731" s="6" t="str">
        <f aca="false">"Sem - "&amp;WEEKNUM(Q731,21)</f>
        <v>Sem - 23</v>
      </c>
      <c r="U731" s="6" t="str">
        <f aca="false">CHOOSE(MONTH(Q731),"Janvier","Février","Mars","Avril","Mai","Juin","Juillet","Août","Septembre","Octobre","Novembre","Décembre")</f>
        <v>Juin</v>
      </c>
      <c r="V731" s="22" t="n">
        <f aca="false">YEAR(Q731)</f>
        <v>2026</v>
      </c>
      <c r="W731" s="20"/>
      <c r="X731" s="8" t="n">
        <f aca="false">IFERROR(IF(M731="Abs",0,IF(ROUND((D731-C731+E731-F731)*1440,0)&lt;=1,0,D731-C731+E731-F731)),0)</f>
        <v>0</v>
      </c>
      <c r="Y731" s="6" t="str">
        <f aca="false">IFERROR(VLOOKUP($B731,Agents!$A:$D,3,0),"-")</f>
        <v>OUBRAHIM Mohammed</v>
      </c>
      <c r="Z731" s="6" t="str">
        <f aca="false">IFERROR(VLOOKUP($B731,Agents!$A:$D,4,0),"-")</f>
        <v>Credit Mutuel</v>
      </c>
      <c r="AA731" s="18" t="s">
        <v>105</v>
      </c>
      <c r="AB731" s="8" t="str">
        <f aca="false">IF(AND(D731="Congé",F731="Congé"),0.333333333333333,IF(OR(AND(D731="Congé",F731&lt;&gt;"Congé"),(AND(F731="Congé",D731&lt;&gt;"Congé"))),0.166666666666667,""))</f>
        <v/>
      </c>
      <c r="AC731" s="8" t="str">
        <f aca="false">IF(AND(D731="Congé sans solde",F731="Congé sans solde"),0.333333333333333,IF(OR(AND(D731="Congé sans solde",F731&lt;&gt;"Congé sans solde"),(AND(F731="Congé sans solde",D731&lt;&gt;"Congé sans solde"))),0.166666666666667,""))</f>
        <v/>
      </c>
      <c r="AD731" s="8" t="str">
        <f aca="false">IF(AND(D731="Congé spécial",F731="Congé spécial"),0.333333333333333,IF(OR(AND(D731="Congé spécial",F731&lt;&gt;"Congé spécial"),AND(F731="Congé spécial",D731&lt;&gt;"Congé spécial")),0.166666666666667,""))</f>
        <v/>
      </c>
      <c r="AE731" s="8" t="str">
        <f aca="false">IF(AND(D731="Férié",F731="Férié"),0.333333333333333,IF(OR(AND(D731="Férié",F731&lt;&gt;"Férié"),(AND(F731="Férié",D731&lt;&gt;"Férié"))),0.166666666666667,""))</f>
        <v/>
      </c>
      <c r="AF731" s="18"/>
      <c r="AG731" s="18"/>
    </row>
    <row r="732" customFormat="false" ht="15" hidden="false" customHeight="false" outlineLevel="0" collapsed="false">
      <c r="A732" s="6" t="str">
        <f aca="false">YEAR(Q732-WEEKDAY(Q732,2)+4)&amp;"-S"&amp;TEXT(WEEKNUM(Q732,21),"00")</f>
        <v>2026-S23</v>
      </c>
      <c r="B732" s="18" t="s">
        <v>73</v>
      </c>
      <c r="C732" s="19" t="n">
        <v>0.333333333333333</v>
      </c>
      <c r="D732" s="19" t="n">
        <v>0.333333333333333</v>
      </c>
      <c r="E732" s="19" t="n">
        <v>0.75</v>
      </c>
      <c r="F732" s="19" t="n">
        <v>0.75</v>
      </c>
      <c r="G732" s="20"/>
      <c r="H732" s="20"/>
      <c r="I732" s="8" t="str">
        <f aca="false">IF(IF(OR(C732="",D732="Congé",D732="OFF",D732="Congé spécial"),"",IF(D732&gt;F732,D732-C732,IF(C732-D732&lt;0,0,C732-D732)))&lt;0.00068287037037037,"",IF(OR(D732="Congé",D732="OFF",C732="",D732="Congé spécial"),"",IF(D732&gt;F732,D732-C732,IF(C732-D732&lt;0,0,C732-D732))))</f>
        <v/>
      </c>
      <c r="J732" s="20"/>
      <c r="K732" s="8" t="n">
        <f aca="false">IF(SUM(H732:J732)&lt;0.00068287037037037,0,SUM(H732:J732))</f>
        <v>0</v>
      </c>
      <c r="L732" s="8" t="n">
        <f aca="false">IF(OR(F732="Congé",F732="OFF",M732="Abs",F732="Congé sans solde",F732="Férié",F732="Congé spécial",D732="Congé spécial"),0,IF(F732-E732&lt;0,0,IF(F732-E732&lt;=0.00068287037037037,0,F732-E732)))</f>
        <v>0</v>
      </c>
      <c r="M732" s="6" t="n">
        <f aca="false">IF(AND(O732&lt;&gt;0,C732=""),"Abs",0)</f>
        <v>0</v>
      </c>
      <c r="N732" s="8" t="n">
        <f aca="false">IFERROR(IF(OR(D732="OFF",D732="Congé",M732="Abs",D732="Congé sans solde",D732="Férié"),"",IF(O732-K732-L732&gt;O732,O732,IF(O732-K732-L732&lt;0,"",O732-K732-L732))),"")</f>
        <v>0.375</v>
      </c>
      <c r="O732" s="8" t="n">
        <f aca="false">IF(AG732="2H Pause déjeuner",IF(F732-D732-0.0833333333333333&lt;0,F732-D732-0.0833333333333333+1,F732-D732-0.0833333333333333),IF(OR(AND(F732="OFF",D732="OFF"),AND(F732="Congé",D732="Congé"),AND(F732="Congé sans solde",D732="Congé sans solde"),AND(F732="Congé spécial",D732="Congé spécial"),AND(F732="Férié",D732="Férié"),AND(F732="OFF",D732="Congé"),AND(F732="OFF",D732="Congé sans solde"),AND(F732="OFF",D732="Congé spécial"),AND(F732="OFF",D732="Férié"),AND(F732="Congé",D732="OFF"),AND(F732="Congé",D732="Congé sans solde"),AND(F732="Congé",D732="Congé spécial"),AND(F732="Congé",D732="Férié"),AND(F732="Congé sans solde",D732="OFF"),AND(F732="Congé sans solde",D732="Congé"),AND(F732="Congé sans solde",D732="Congé spécial"),AND(F732="Congé sans solde",D732="Férié"),AND(F732="Congé spécial",D732="OFF"),AND(F732="Congé spécial",D732="Congé"),AND(F732="Congé spécial",D732="Congé sans solde"),AND(F732="Congé spécial",D732="Férié"),AND(F732="Férié",D732="OFF"),AND(F732="Férié",D732="Congé"),AND(F732="Férié",D732="Congé sans solde"),AND(F732="Férié",D732="Congé spécial")),0,IF(OR(F732="OFF",F732="Congé",F732="Congé spécial",F732="Congé sans solde",D732="OFF",D732="Congé",D732="Congé spécial",D732="Congé sans solde"),0.208333333333334,IF(AND(AG732="",F732-D732&lt;0),("24:00:00"-D732)+("00:00:00"+F732)-0.0416666666666667,IF(AND(OR(AG732="Allaitement",AG732="Sans déjeuner"),F732-D732&lt;0),("24:00:00"-D732)+("00:00:00"+F732),IF(AND(AG732="",F732-D732&gt;0.166666666666667),F732-D732-0.0416666666666667,IF(AND(OR(AG732="Allaitement",AG732="Sans déjeuner"),F732-D732&gt;0.166666666666667),F732-D732,F732-D732)))))))</f>
        <v>0.375</v>
      </c>
      <c r="P732" s="6" t="str">
        <f aca="false">IFERROR(VLOOKUP($B732,Agents!$A:$D,2,0),"-")</f>
        <v>Accessibilité</v>
      </c>
      <c r="Q732" s="21" t="n">
        <v>46174</v>
      </c>
      <c r="R732" s="8" t="n">
        <f aca="false">IF(M732="Abs",O732,0)</f>
        <v>0</v>
      </c>
      <c r="S732" s="8" t="n">
        <f aca="false">SUM(R732,L732,I732,J732,W732,H732)</f>
        <v>0</v>
      </c>
      <c r="T732" s="6" t="str">
        <f aca="false">"Sem - "&amp;WEEKNUM(Q732,21)</f>
        <v>Sem - 23</v>
      </c>
      <c r="U732" s="6" t="str">
        <f aca="false">CHOOSE(MONTH(Q732),"Janvier","Février","Mars","Avril","Mai","Juin","Juillet","Août","Septembre","Octobre","Novembre","Décembre")</f>
        <v>Juin</v>
      </c>
      <c r="V732" s="22" t="n">
        <f aca="false">YEAR(Q732)</f>
        <v>2026</v>
      </c>
      <c r="W732" s="20"/>
      <c r="X732" s="8" t="n">
        <f aca="false">IFERROR(IF(M732="Abs",0,IF(ROUND((D732-C732+E732-F732)*1440,0)&lt;=1,0,D732-C732+E732-F732)),0)</f>
        <v>0</v>
      </c>
      <c r="Y732" s="6" t="str">
        <f aca="false">IFERROR(VLOOKUP($B732,Agents!$A:$D,3,0),"-")</f>
        <v>OUBRAHIM Mohammed</v>
      </c>
      <c r="Z732" s="6" t="str">
        <f aca="false">IFERROR(VLOOKUP($B732,Agents!$A:$D,4,0),"-")</f>
        <v>Credit Mutuel</v>
      </c>
      <c r="AA732" s="18" t="s">
        <v>105</v>
      </c>
      <c r="AB732" s="8" t="str">
        <f aca="false">IF(AND(D732="Congé",F732="Congé"),0.333333333333333,IF(OR(AND(D732="Congé",F732&lt;&gt;"Congé"),(AND(F732="Congé",D732&lt;&gt;"Congé"))),0.166666666666667,""))</f>
        <v/>
      </c>
      <c r="AC732" s="8" t="str">
        <f aca="false">IF(AND(D732="Congé sans solde",F732="Congé sans solde"),0.333333333333333,IF(OR(AND(D732="Congé sans solde",F732&lt;&gt;"Congé sans solde"),(AND(F732="Congé sans solde",D732&lt;&gt;"Congé sans solde"))),0.166666666666667,""))</f>
        <v/>
      </c>
      <c r="AD732" s="8" t="str">
        <f aca="false">IF(AND(D732="Congé spécial",F732="Congé spécial"),0.333333333333333,IF(OR(AND(D732="Congé spécial",F732&lt;&gt;"Congé spécial"),AND(F732="Congé spécial",D732&lt;&gt;"Congé spécial")),0.166666666666667,""))</f>
        <v/>
      </c>
      <c r="AE732" s="8" t="str">
        <f aca="false">IF(AND(D732="Férié",F732="Férié"),0.333333333333333,IF(OR(AND(D732="Férié",F732&lt;&gt;"Férié"),(AND(F732="Férié",D732&lt;&gt;"Férié"))),0.166666666666667,""))</f>
        <v/>
      </c>
      <c r="AF732" s="18"/>
      <c r="AG732" s="18"/>
    </row>
    <row r="733" customFormat="false" ht="15" hidden="false" customHeight="false" outlineLevel="0" collapsed="false">
      <c r="A733" s="6" t="str">
        <f aca="false">YEAR(Q733-WEEKDAY(Q733,2)+4)&amp;"-S"&amp;TEXT(WEEKNUM(Q733,21),"00")</f>
        <v>2026-S23</v>
      </c>
      <c r="B733" s="18" t="s">
        <v>71</v>
      </c>
      <c r="C733" s="19" t="n">
        <v>0.332638888888889</v>
      </c>
      <c r="D733" s="19" t="n">
        <v>0.333333333333333</v>
      </c>
      <c r="E733" s="19" t="n">
        <v>0.75</v>
      </c>
      <c r="F733" s="19" t="n">
        <v>0.75</v>
      </c>
      <c r="G733" s="20"/>
      <c r="H733" s="20"/>
      <c r="I733" s="8" t="str">
        <f aca="false">IF(IF(OR(C733="",D733="Congé",D733="OFF",D733="Congé spécial"),"",IF(D733&gt;F733,D733-C733,IF(C733-D733&lt;0,0,C733-D733)))&lt;0.00068287037037037,"",IF(OR(D733="Congé",D733="OFF",C733="",D733="Congé spécial"),"",IF(D733&gt;F733,D733-C733,IF(C733-D733&lt;0,0,C733-D733))))</f>
        <v/>
      </c>
      <c r="J733" s="20"/>
      <c r="K733" s="8" t="n">
        <f aca="false">IF(SUM(H733:J733)&lt;0.00068287037037037,0,SUM(H733:J733))</f>
        <v>0</v>
      </c>
      <c r="L733" s="8" t="n">
        <f aca="false">IF(OR(F733="Congé",F733="OFF",M733="Abs",F733="Congé sans solde",F733="Férié",F733="Congé spécial",D733="Congé spécial"),0,IF(F733-E733&lt;0,0,IF(F733-E733&lt;=0.00068287037037037,0,F733-E733)))</f>
        <v>0</v>
      </c>
      <c r="M733" s="6" t="n">
        <f aca="false">IF(AND(O733&lt;&gt;0,C733=""),"Abs",0)</f>
        <v>0</v>
      </c>
      <c r="N733" s="8" t="n">
        <f aca="false">IFERROR(IF(OR(D733="OFF",D733="Congé",M733="Abs",D733="Congé sans solde",D733="Férié"),"",IF(O733-K733-L733&gt;O733,O733,IF(O733-K733-L733&lt;0,"",O733-K733-L733))),"")</f>
        <v>0.375</v>
      </c>
      <c r="O733" s="8" t="n">
        <f aca="false">IF(AG733="2H Pause déjeuner",IF(F733-D733-0.0833333333333333&lt;0,F733-D733-0.0833333333333333+1,F733-D733-0.0833333333333333),IF(OR(AND(F733="OFF",D733="OFF"),AND(F733="Congé",D733="Congé"),AND(F733="Congé sans solde",D733="Congé sans solde"),AND(F733="Congé spécial",D733="Congé spécial"),AND(F733="Férié",D733="Férié"),AND(F733="OFF",D733="Congé"),AND(F733="OFF",D733="Congé sans solde"),AND(F733="OFF",D733="Congé spécial"),AND(F733="OFF",D733="Férié"),AND(F733="Congé",D733="OFF"),AND(F733="Congé",D733="Congé sans solde"),AND(F733="Congé",D733="Congé spécial"),AND(F733="Congé",D733="Férié"),AND(F733="Congé sans solde",D733="OFF"),AND(F733="Congé sans solde",D733="Congé"),AND(F733="Congé sans solde",D733="Congé spécial"),AND(F733="Congé sans solde",D733="Férié"),AND(F733="Congé spécial",D733="OFF"),AND(F733="Congé spécial",D733="Congé"),AND(F733="Congé spécial",D733="Congé sans solde"),AND(F733="Congé spécial",D733="Férié"),AND(F733="Férié",D733="OFF"),AND(F733="Férié",D733="Congé"),AND(F733="Férié",D733="Congé sans solde"),AND(F733="Férié",D733="Congé spécial")),0,IF(OR(F733="OFF",F733="Congé",F733="Congé spécial",F733="Congé sans solde",D733="OFF",D733="Congé",D733="Congé spécial",D733="Congé sans solde"),0.208333333333334,IF(AND(AG733="",F733-D733&lt;0),("24:00:00"-D733)+("00:00:00"+F733)-0.0416666666666667,IF(AND(OR(AG733="Allaitement",AG733="Sans déjeuner"),F733-D733&lt;0),("24:00:00"-D733)+("00:00:00"+F733),IF(AND(AG733="",F733-D733&gt;0.166666666666667),F733-D733-0.0416666666666667,IF(AND(OR(AG733="Allaitement",AG733="Sans déjeuner"),F733-D733&gt;0.166666666666667),F733-D733,F733-D733)))))))</f>
        <v>0.375</v>
      </c>
      <c r="P733" s="6" t="str">
        <f aca="false">IFERROR(VLOOKUP($B733,Agents!$A:$D,2,0),"-")</f>
        <v>Accessibilité</v>
      </c>
      <c r="Q733" s="21" t="n">
        <v>46175</v>
      </c>
      <c r="R733" s="8" t="n">
        <f aca="false">IF(M733="Abs",O733,0)</f>
        <v>0</v>
      </c>
      <c r="S733" s="8" t="n">
        <f aca="false">SUM(R733,L733,I733,J733,W733,H733)</f>
        <v>0</v>
      </c>
      <c r="T733" s="6" t="str">
        <f aca="false">"Sem - "&amp;WEEKNUM(Q733,21)</f>
        <v>Sem - 23</v>
      </c>
      <c r="U733" s="6" t="str">
        <f aca="false">CHOOSE(MONTH(Q733),"Janvier","Février","Mars","Avril","Mai","Juin","Juillet","Août","Septembre","Octobre","Novembre","Décembre")</f>
        <v>Juin</v>
      </c>
      <c r="V733" s="22" t="n">
        <f aca="false">YEAR(Q733)</f>
        <v>2026</v>
      </c>
      <c r="W733" s="20"/>
      <c r="X733" s="8" t="n">
        <f aca="false">IFERROR(IF(M733="Abs",0,IF(ROUND((D733-C733+E733-F733)*1440,0)&lt;=1,0,D733-C733+E733-F733)),0)</f>
        <v>0</v>
      </c>
      <c r="Y733" s="6" t="str">
        <f aca="false">IFERROR(VLOOKUP($B733,Agents!$A:$D,3,0),"-")</f>
        <v>OUBRAHIM Mohammed</v>
      </c>
      <c r="Z733" s="6" t="str">
        <f aca="false">IFERROR(VLOOKUP($B733,Agents!$A:$D,4,0),"-")</f>
        <v>Credit Mutuel</v>
      </c>
      <c r="AA733" s="18" t="s">
        <v>105</v>
      </c>
      <c r="AB733" s="8" t="str">
        <f aca="false">IF(AND(D733="Congé",F733="Congé"),0.333333333333333,IF(OR(AND(D733="Congé",F733&lt;&gt;"Congé"),(AND(F733="Congé",D733&lt;&gt;"Congé"))),0.166666666666667,""))</f>
        <v/>
      </c>
      <c r="AC733" s="8" t="str">
        <f aca="false">IF(AND(D733="Congé sans solde",F733="Congé sans solde"),0.333333333333333,IF(OR(AND(D733="Congé sans solde",F733&lt;&gt;"Congé sans solde"),(AND(F733="Congé sans solde",D733&lt;&gt;"Congé sans solde"))),0.166666666666667,""))</f>
        <v/>
      </c>
      <c r="AD733" s="8" t="str">
        <f aca="false">IF(AND(D733="Congé spécial",F733="Congé spécial"),0.333333333333333,IF(OR(AND(D733="Congé spécial",F733&lt;&gt;"Congé spécial"),AND(F733="Congé spécial",D733&lt;&gt;"Congé spécial")),0.166666666666667,""))</f>
        <v/>
      </c>
      <c r="AE733" s="8" t="str">
        <f aca="false">IF(AND(D733="Férié",F733="Férié"),0.333333333333333,IF(OR(AND(D733="Férié",F733&lt;&gt;"Férié"),(AND(F733="Férié",D733&lt;&gt;"Férié"))),0.166666666666667,""))</f>
        <v/>
      </c>
      <c r="AF733" s="18"/>
      <c r="AG733" s="18"/>
    </row>
    <row r="734" customFormat="false" ht="15" hidden="false" customHeight="false" outlineLevel="0" collapsed="false">
      <c r="A734" s="6" t="str">
        <f aca="false">YEAR(Q734-WEEKDAY(Q734,2)+4)&amp;"-S"&amp;TEXT(WEEKNUM(Q734,21),"00")</f>
        <v>2026-S23</v>
      </c>
      <c r="B734" s="18" t="s">
        <v>72</v>
      </c>
      <c r="C734" s="19" t="n">
        <v>0.331944444444444</v>
      </c>
      <c r="D734" s="19" t="n">
        <v>0.333333333333333</v>
      </c>
      <c r="E734" s="19" t="n">
        <v>0.75</v>
      </c>
      <c r="F734" s="19" t="n">
        <v>0.75</v>
      </c>
      <c r="G734" s="20"/>
      <c r="H734" s="20"/>
      <c r="I734" s="8" t="str">
        <f aca="false">IF(IF(OR(C734="",D734="Congé",D734="OFF",D734="Congé spécial"),"",IF(D734&gt;F734,D734-C734,IF(C734-D734&lt;0,0,C734-D734)))&lt;0.00068287037037037,"",IF(OR(D734="Congé",D734="OFF",C734="",D734="Congé spécial"),"",IF(D734&gt;F734,D734-C734,IF(C734-D734&lt;0,0,C734-D734))))</f>
        <v/>
      </c>
      <c r="J734" s="20"/>
      <c r="K734" s="8" t="n">
        <f aca="false">IF(SUM(H734:J734)&lt;0.00068287037037037,0,SUM(H734:J734))</f>
        <v>0</v>
      </c>
      <c r="L734" s="8" t="n">
        <f aca="false">IF(OR(F734="Congé",F734="OFF",M734="Abs",F734="Congé sans solde",F734="Férié",F734="Congé spécial",D734="Congé spécial"),0,IF(F734-E734&lt;0,0,IF(F734-E734&lt;=0.00068287037037037,0,F734-E734)))</f>
        <v>0</v>
      </c>
      <c r="M734" s="6" t="n">
        <f aca="false">IF(AND(O734&lt;&gt;0,C734=""),"Abs",0)</f>
        <v>0</v>
      </c>
      <c r="N734" s="8" t="n">
        <f aca="false">IFERROR(IF(OR(D734="OFF",D734="Congé",M734="Abs",D734="Congé sans solde",D734="Férié"),"",IF(O734-K734-L734&gt;O734,O734,IF(O734-K734-L734&lt;0,"",O734-K734-L734))),"")</f>
        <v>0.375</v>
      </c>
      <c r="O734" s="8" t="n">
        <f aca="false">IF(AG734="2H Pause déjeuner",IF(F734-D734-0.0833333333333333&lt;0,F734-D734-0.0833333333333333+1,F734-D734-0.0833333333333333),IF(OR(AND(F734="OFF",D734="OFF"),AND(F734="Congé",D734="Congé"),AND(F734="Congé sans solde",D734="Congé sans solde"),AND(F734="Congé spécial",D734="Congé spécial"),AND(F734="Férié",D734="Férié"),AND(F734="OFF",D734="Congé"),AND(F734="OFF",D734="Congé sans solde"),AND(F734="OFF",D734="Congé spécial"),AND(F734="OFF",D734="Férié"),AND(F734="Congé",D734="OFF"),AND(F734="Congé",D734="Congé sans solde"),AND(F734="Congé",D734="Congé spécial"),AND(F734="Congé",D734="Férié"),AND(F734="Congé sans solde",D734="OFF"),AND(F734="Congé sans solde",D734="Congé"),AND(F734="Congé sans solde",D734="Congé spécial"),AND(F734="Congé sans solde",D734="Férié"),AND(F734="Congé spécial",D734="OFF"),AND(F734="Congé spécial",D734="Congé"),AND(F734="Congé spécial",D734="Congé sans solde"),AND(F734="Congé spécial",D734="Férié"),AND(F734="Férié",D734="OFF"),AND(F734="Férié",D734="Congé"),AND(F734="Férié",D734="Congé sans solde"),AND(F734="Férié",D734="Congé spécial")),0,IF(OR(F734="OFF",F734="Congé",F734="Congé spécial",F734="Congé sans solde",D734="OFF",D734="Congé",D734="Congé spécial",D734="Congé sans solde"),0.208333333333334,IF(AND(AG734="",F734-D734&lt;0),("24:00:00"-D734)+("00:00:00"+F734)-0.0416666666666667,IF(AND(OR(AG734="Allaitement",AG734="Sans déjeuner"),F734-D734&lt;0),("24:00:00"-D734)+("00:00:00"+F734),IF(AND(AG734="",F734-D734&gt;0.166666666666667),F734-D734-0.0416666666666667,IF(AND(OR(AG734="Allaitement",AG734="Sans déjeuner"),F734-D734&gt;0.166666666666667),F734-D734,F734-D734)))))))</f>
        <v>0.375</v>
      </c>
      <c r="P734" s="6" t="str">
        <f aca="false">IFERROR(VLOOKUP($B734,Agents!$A:$D,2,0),"-")</f>
        <v>Accessibilité</v>
      </c>
      <c r="Q734" s="21" t="n">
        <v>46175</v>
      </c>
      <c r="R734" s="8" t="n">
        <f aca="false">IF(M734="Abs",O734,0)</f>
        <v>0</v>
      </c>
      <c r="S734" s="8" t="n">
        <f aca="false">SUM(R734,L734,I734,J734,W734,H734)</f>
        <v>0</v>
      </c>
      <c r="T734" s="6" t="str">
        <f aca="false">"Sem - "&amp;WEEKNUM(Q734,21)</f>
        <v>Sem - 23</v>
      </c>
      <c r="U734" s="6" t="str">
        <f aca="false">CHOOSE(MONTH(Q734),"Janvier","Février","Mars","Avril","Mai","Juin","Juillet","Août","Septembre","Octobre","Novembre","Décembre")</f>
        <v>Juin</v>
      </c>
      <c r="V734" s="22" t="n">
        <f aca="false">YEAR(Q734)</f>
        <v>2026</v>
      </c>
      <c r="W734" s="20"/>
      <c r="X734" s="8" t="n">
        <f aca="false">IFERROR(IF(M734="Abs",0,IF(ROUND((D734-C734+E734-F734)*1440,0)&lt;=1,0,D734-C734+E734-F734)),0)</f>
        <v>0.00138888888888889</v>
      </c>
      <c r="Y734" s="6" t="str">
        <f aca="false">IFERROR(VLOOKUP($B734,Agents!$A:$D,3,0),"-")</f>
        <v>OUBRAHIM Mohammed</v>
      </c>
      <c r="Z734" s="6" t="str">
        <f aca="false">IFERROR(VLOOKUP($B734,Agents!$A:$D,4,0),"-")</f>
        <v>Credit Mutuel</v>
      </c>
      <c r="AA734" s="18" t="s">
        <v>105</v>
      </c>
      <c r="AB734" s="8" t="str">
        <f aca="false">IF(AND(D734="Congé",F734="Congé"),0.333333333333333,IF(OR(AND(D734="Congé",F734&lt;&gt;"Congé"),(AND(F734="Congé",D734&lt;&gt;"Congé"))),0.166666666666667,""))</f>
        <v/>
      </c>
      <c r="AC734" s="8" t="str">
        <f aca="false">IF(AND(D734="Congé sans solde",F734="Congé sans solde"),0.333333333333333,IF(OR(AND(D734="Congé sans solde",F734&lt;&gt;"Congé sans solde"),(AND(F734="Congé sans solde",D734&lt;&gt;"Congé sans solde"))),0.166666666666667,""))</f>
        <v/>
      </c>
      <c r="AD734" s="8" t="str">
        <f aca="false">IF(AND(D734="Congé spécial",F734="Congé spécial"),0.333333333333333,IF(OR(AND(D734="Congé spécial",F734&lt;&gt;"Congé spécial"),AND(F734="Congé spécial",D734&lt;&gt;"Congé spécial")),0.166666666666667,""))</f>
        <v/>
      </c>
      <c r="AE734" s="8" t="str">
        <f aca="false">IF(AND(D734="Férié",F734="Férié"),0.333333333333333,IF(OR(AND(D734="Férié",F734&lt;&gt;"Férié"),(AND(F734="Férié",D734&lt;&gt;"Férié"))),0.166666666666667,""))</f>
        <v/>
      </c>
      <c r="AF734" s="18"/>
      <c r="AG734" s="18"/>
    </row>
    <row r="735" customFormat="false" ht="15" hidden="false" customHeight="false" outlineLevel="0" collapsed="false">
      <c r="A735" s="6" t="str">
        <f aca="false">YEAR(Q735-WEEKDAY(Q735,2)+4)&amp;"-S"&amp;TEXT(WEEKNUM(Q735,21),"00")</f>
        <v>2026-S23</v>
      </c>
      <c r="B735" s="18" t="s">
        <v>73</v>
      </c>
      <c r="C735" s="19" t="n">
        <v>0.336805555555556</v>
      </c>
      <c r="D735" s="19" t="n">
        <v>0.333333333333333</v>
      </c>
      <c r="E735" s="19" t="n">
        <v>0.75</v>
      </c>
      <c r="F735" s="19" t="n">
        <v>0.75</v>
      </c>
      <c r="G735" s="20"/>
      <c r="H735" s="20"/>
      <c r="I735" s="8" t="n">
        <f aca="false">IF(IF(OR(C735="",D735="Congé",D735="OFF",D735="Congé spécial"),"",IF(D735&gt;F735,D735-C735,IF(C735-D735&lt;0,0,C735-D735)))&lt;0.00068287037037037,"",IF(OR(D735="Congé",D735="OFF",C735="",D735="Congé spécial"),"",IF(D735&gt;F735,D735-C735,IF(C735-D735&lt;0,0,C735-D735))))</f>
        <v>0.00347222222222222</v>
      </c>
      <c r="J735" s="20"/>
      <c r="K735" s="8" t="n">
        <f aca="false">IF(SUM(H735:J735)&lt;0.00068287037037037,0,SUM(H735:J735))</f>
        <v>0.00347222222222222</v>
      </c>
      <c r="L735" s="8" t="n">
        <f aca="false">IF(OR(F735="Congé",F735="OFF",M735="Abs",F735="Congé sans solde",F735="Férié",F735="Congé spécial",D735="Congé spécial"),0,IF(F735-E735&lt;0,0,IF(F735-E735&lt;=0.00068287037037037,0,F735-E735)))</f>
        <v>0</v>
      </c>
      <c r="M735" s="6" t="n">
        <f aca="false">IF(AND(O735&lt;&gt;0,C735=""),"Abs",0)</f>
        <v>0</v>
      </c>
      <c r="N735" s="8" t="n">
        <f aca="false">IFERROR(IF(OR(D735="OFF",D735="Congé",M735="Abs",D735="Congé sans solde",D735="Férié"),"",IF(O735-K735-L735&gt;O735,O735,IF(O735-K735-L735&lt;0,"",O735-K735-L735))),"")</f>
        <v>0.371527777777778</v>
      </c>
      <c r="O735" s="8" t="n">
        <f aca="false">IF(AG735="2H Pause déjeuner",IF(F735-D735-0.0833333333333333&lt;0,F735-D735-0.0833333333333333+1,F735-D735-0.0833333333333333),IF(OR(AND(F735="OFF",D735="OFF"),AND(F735="Congé",D735="Congé"),AND(F735="Congé sans solde",D735="Congé sans solde"),AND(F735="Congé spécial",D735="Congé spécial"),AND(F735="Férié",D735="Férié"),AND(F735="OFF",D735="Congé"),AND(F735="OFF",D735="Congé sans solde"),AND(F735="OFF",D735="Congé spécial"),AND(F735="OFF",D735="Férié"),AND(F735="Congé",D735="OFF"),AND(F735="Congé",D735="Congé sans solde"),AND(F735="Congé",D735="Congé spécial"),AND(F735="Congé",D735="Férié"),AND(F735="Congé sans solde",D735="OFF"),AND(F735="Congé sans solde",D735="Congé"),AND(F735="Congé sans solde",D735="Congé spécial"),AND(F735="Congé sans solde",D735="Férié"),AND(F735="Congé spécial",D735="OFF"),AND(F735="Congé spécial",D735="Congé"),AND(F735="Congé spécial",D735="Congé sans solde"),AND(F735="Congé spécial",D735="Férié"),AND(F735="Férié",D735="OFF"),AND(F735="Férié",D735="Congé"),AND(F735="Férié",D735="Congé sans solde"),AND(F735="Férié",D735="Congé spécial")),0,IF(OR(F735="OFF",F735="Congé",F735="Congé spécial",F735="Congé sans solde",D735="OFF",D735="Congé",D735="Congé spécial",D735="Congé sans solde"),0.208333333333334,IF(AND(AG735="",F735-D735&lt;0),("24:00:00"-D735)+("00:00:00"+F735)-0.0416666666666667,IF(AND(OR(AG735="Allaitement",AG735="Sans déjeuner"),F735-D735&lt;0),("24:00:00"-D735)+("00:00:00"+F735),IF(AND(AG735="",F735-D735&gt;0.166666666666667),F735-D735-0.0416666666666667,IF(AND(OR(AG735="Allaitement",AG735="Sans déjeuner"),F735-D735&gt;0.166666666666667),F735-D735,F735-D735)))))))</f>
        <v>0.375</v>
      </c>
      <c r="P735" s="6" t="str">
        <f aca="false">IFERROR(VLOOKUP($B735,Agents!$A:$D,2,0),"-")</f>
        <v>Accessibilité</v>
      </c>
      <c r="Q735" s="21" t="n">
        <v>46175</v>
      </c>
      <c r="R735" s="8" t="n">
        <f aca="false">IF(M735="Abs",O735,0)</f>
        <v>0</v>
      </c>
      <c r="S735" s="8" t="n">
        <f aca="false">SUM(R735,L735,I735,J735,W735,H735)</f>
        <v>0.00347222222222222</v>
      </c>
      <c r="T735" s="6" t="str">
        <f aca="false">"Sem - "&amp;WEEKNUM(Q735,21)</f>
        <v>Sem - 23</v>
      </c>
      <c r="U735" s="6" t="str">
        <f aca="false">CHOOSE(MONTH(Q735),"Janvier","Février","Mars","Avril","Mai","Juin","Juillet","Août","Septembre","Octobre","Novembre","Décembre")</f>
        <v>Juin</v>
      </c>
      <c r="V735" s="22" t="n">
        <f aca="false">YEAR(Q735)</f>
        <v>2026</v>
      </c>
      <c r="W735" s="20"/>
      <c r="X735" s="8" t="n">
        <f aca="false">IFERROR(IF(M735="Abs",0,IF(ROUND((D735-C735+E735-F735)*1440,0)&lt;=1,0,D735-C735+E735-F735)),0)</f>
        <v>0</v>
      </c>
      <c r="Y735" s="6" t="str">
        <f aca="false">IFERROR(VLOOKUP($B735,Agents!$A:$D,3,0),"-")</f>
        <v>OUBRAHIM Mohammed</v>
      </c>
      <c r="Z735" s="6" t="str">
        <f aca="false">IFERROR(VLOOKUP($B735,Agents!$A:$D,4,0),"-")</f>
        <v>Credit Mutuel</v>
      </c>
      <c r="AA735" s="18" t="s">
        <v>105</v>
      </c>
      <c r="AB735" s="8" t="str">
        <f aca="false">IF(AND(D735="Congé",F735="Congé"),0.333333333333333,IF(OR(AND(D735="Congé",F735&lt;&gt;"Congé"),(AND(F735="Congé",D735&lt;&gt;"Congé"))),0.166666666666667,""))</f>
        <v/>
      </c>
      <c r="AC735" s="8" t="str">
        <f aca="false">IF(AND(D735="Congé sans solde",F735="Congé sans solde"),0.333333333333333,IF(OR(AND(D735="Congé sans solde",F735&lt;&gt;"Congé sans solde"),(AND(F735="Congé sans solde",D735&lt;&gt;"Congé sans solde"))),0.166666666666667,""))</f>
        <v/>
      </c>
      <c r="AD735" s="8" t="str">
        <f aca="false">IF(AND(D735="Congé spécial",F735="Congé spécial"),0.333333333333333,IF(OR(AND(D735="Congé spécial",F735&lt;&gt;"Congé spécial"),AND(F735="Congé spécial",D735&lt;&gt;"Congé spécial")),0.166666666666667,""))</f>
        <v/>
      </c>
      <c r="AE735" s="8" t="str">
        <f aca="false">IF(AND(D735="Férié",F735="Férié"),0.333333333333333,IF(OR(AND(D735="Férié",F735&lt;&gt;"Férié"),(AND(F735="Férié",D735&lt;&gt;"Férié"))),0.166666666666667,""))</f>
        <v/>
      </c>
      <c r="AF735" s="18"/>
      <c r="AG735" s="18"/>
    </row>
    <row r="736" customFormat="false" ht="15" hidden="false" customHeight="false" outlineLevel="0" collapsed="false">
      <c r="A736" s="6" t="str">
        <f aca="false">YEAR(Q736-WEEKDAY(Q736,2)+4)&amp;"-S"&amp;TEXT(WEEKNUM(Q736,21),"00")</f>
        <v>2026-S23</v>
      </c>
      <c r="B736" s="18" t="s">
        <v>71</v>
      </c>
      <c r="C736" s="19" t="n">
        <v>0.331944444444444</v>
      </c>
      <c r="D736" s="19" t="n">
        <v>0.333333333333333</v>
      </c>
      <c r="E736" s="19" t="n">
        <v>0.75</v>
      </c>
      <c r="F736" s="19" t="n">
        <v>0.75</v>
      </c>
      <c r="G736" s="20"/>
      <c r="H736" s="20"/>
      <c r="I736" s="8" t="str">
        <f aca="false">IF(IF(OR(C736="",D736="Congé",D736="OFF",D736="Congé spécial"),"",IF(D736&gt;F736,D736-C736,IF(C736-D736&lt;0,0,C736-D736)))&lt;0.00068287037037037,"",IF(OR(D736="Congé",D736="OFF",C736="",D736="Congé spécial"),"",IF(D736&gt;F736,D736-C736,IF(C736-D736&lt;0,0,C736-D736))))</f>
        <v/>
      </c>
      <c r="J736" s="20"/>
      <c r="K736" s="8" t="n">
        <f aca="false">IF(SUM(H736:J736)&lt;0.00068287037037037,0,SUM(H736:J736))</f>
        <v>0</v>
      </c>
      <c r="L736" s="8" t="n">
        <f aca="false">IF(OR(F736="Congé",F736="OFF",M736="Abs",F736="Congé sans solde",F736="Férié",F736="Congé spécial",D736="Congé spécial"),0,IF(F736-E736&lt;0,0,IF(F736-E736&lt;=0.00068287037037037,0,F736-E736)))</f>
        <v>0</v>
      </c>
      <c r="M736" s="6" t="n">
        <f aca="false">IF(AND(O736&lt;&gt;0,C736=""),"Abs",0)</f>
        <v>0</v>
      </c>
      <c r="N736" s="8" t="n">
        <f aca="false">IFERROR(IF(OR(D736="OFF",D736="Congé",M736="Abs",D736="Congé sans solde",D736="Férié"),"",IF(O736-K736-L736&gt;O736,O736,IF(O736-K736-L736&lt;0,"",O736-K736-L736))),"")</f>
        <v>0.375</v>
      </c>
      <c r="O736" s="8" t="n">
        <f aca="false">IF(AG736="2H Pause déjeuner",IF(F736-D736-0.0833333333333333&lt;0,F736-D736-0.0833333333333333+1,F736-D736-0.0833333333333333),IF(OR(AND(F736="OFF",D736="OFF"),AND(F736="Congé",D736="Congé"),AND(F736="Congé sans solde",D736="Congé sans solde"),AND(F736="Congé spécial",D736="Congé spécial"),AND(F736="Férié",D736="Férié"),AND(F736="OFF",D736="Congé"),AND(F736="OFF",D736="Congé sans solde"),AND(F736="OFF",D736="Congé spécial"),AND(F736="OFF",D736="Férié"),AND(F736="Congé",D736="OFF"),AND(F736="Congé",D736="Congé sans solde"),AND(F736="Congé",D736="Congé spécial"),AND(F736="Congé",D736="Férié"),AND(F736="Congé sans solde",D736="OFF"),AND(F736="Congé sans solde",D736="Congé"),AND(F736="Congé sans solde",D736="Congé spécial"),AND(F736="Congé sans solde",D736="Férié"),AND(F736="Congé spécial",D736="OFF"),AND(F736="Congé spécial",D736="Congé"),AND(F736="Congé spécial",D736="Congé sans solde"),AND(F736="Congé spécial",D736="Férié"),AND(F736="Férié",D736="OFF"),AND(F736="Férié",D736="Congé"),AND(F736="Férié",D736="Congé sans solde"),AND(F736="Férié",D736="Congé spécial")),0,IF(OR(F736="OFF",F736="Congé",F736="Congé spécial",F736="Congé sans solde",D736="OFF",D736="Congé",D736="Congé spécial",D736="Congé sans solde"),0.208333333333334,IF(AND(AG736="",F736-D736&lt;0),("24:00:00"-D736)+("00:00:00"+F736)-0.0416666666666667,IF(AND(OR(AG736="Allaitement",AG736="Sans déjeuner"),F736-D736&lt;0),("24:00:00"-D736)+("00:00:00"+F736),IF(AND(AG736="",F736-D736&gt;0.166666666666667),F736-D736-0.0416666666666667,IF(AND(OR(AG736="Allaitement",AG736="Sans déjeuner"),F736-D736&gt;0.166666666666667),F736-D736,F736-D736)))))))</f>
        <v>0.375</v>
      </c>
      <c r="P736" s="6" t="str">
        <f aca="false">IFERROR(VLOOKUP($B736,Agents!$A:$D,2,0),"-")</f>
        <v>Accessibilité</v>
      </c>
      <c r="Q736" s="21" t="n">
        <v>46176</v>
      </c>
      <c r="R736" s="8" t="n">
        <f aca="false">IF(M736="Abs",O736,0)</f>
        <v>0</v>
      </c>
      <c r="S736" s="8" t="n">
        <f aca="false">SUM(R736,L736,I736,J736,W736,H736)</f>
        <v>0</v>
      </c>
      <c r="T736" s="6" t="str">
        <f aca="false">"Sem - "&amp;WEEKNUM(Q736,21)</f>
        <v>Sem - 23</v>
      </c>
      <c r="U736" s="6" t="str">
        <f aca="false">CHOOSE(MONTH(Q736),"Janvier","Février","Mars","Avril","Mai","Juin","Juillet","Août","Septembre","Octobre","Novembre","Décembre")</f>
        <v>Juin</v>
      </c>
      <c r="V736" s="22" t="n">
        <f aca="false">YEAR(Q736)</f>
        <v>2026</v>
      </c>
      <c r="W736" s="20"/>
      <c r="X736" s="8" t="n">
        <f aca="false">IFERROR(IF(M736="Abs",0,IF(ROUND((D736-C736+E736-F736)*1440,0)&lt;=1,0,D736-C736+E736-F736)),0)</f>
        <v>0.00138888888888889</v>
      </c>
      <c r="Y736" s="6" t="str">
        <f aca="false">IFERROR(VLOOKUP($B736,Agents!$A:$D,3,0),"-")</f>
        <v>OUBRAHIM Mohammed</v>
      </c>
      <c r="Z736" s="6" t="str">
        <f aca="false">IFERROR(VLOOKUP($B736,Agents!$A:$D,4,0),"-")</f>
        <v>Credit Mutuel</v>
      </c>
      <c r="AA736" s="18" t="s">
        <v>105</v>
      </c>
      <c r="AB736" s="8" t="str">
        <f aca="false">IF(AND(D736="Congé",F736="Congé"),0.333333333333333,IF(OR(AND(D736="Congé",F736&lt;&gt;"Congé"),(AND(F736="Congé",D736&lt;&gt;"Congé"))),0.166666666666667,""))</f>
        <v/>
      </c>
      <c r="AC736" s="8" t="str">
        <f aca="false">IF(AND(D736="Congé sans solde",F736="Congé sans solde"),0.333333333333333,IF(OR(AND(D736="Congé sans solde",F736&lt;&gt;"Congé sans solde"),(AND(F736="Congé sans solde",D736&lt;&gt;"Congé sans solde"))),0.166666666666667,""))</f>
        <v/>
      </c>
      <c r="AD736" s="8" t="str">
        <f aca="false">IF(AND(D736="Congé spécial",F736="Congé spécial"),0.333333333333333,IF(OR(AND(D736="Congé spécial",F736&lt;&gt;"Congé spécial"),AND(F736="Congé spécial",D736&lt;&gt;"Congé spécial")),0.166666666666667,""))</f>
        <v/>
      </c>
      <c r="AE736" s="8" t="str">
        <f aca="false">IF(AND(D736="Férié",F736="Férié"),0.333333333333333,IF(OR(AND(D736="Férié",F736&lt;&gt;"Férié"),(AND(F736="Férié",D736&lt;&gt;"Férié"))),0.166666666666667,""))</f>
        <v/>
      </c>
      <c r="AF736" s="18"/>
      <c r="AG736" s="18"/>
    </row>
    <row r="737" customFormat="false" ht="15" hidden="false" customHeight="false" outlineLevel="0" collapsed="false">
      <c r="A737" s="6" t="str">
        <f aca="false">YEAR(Q737-WEEKDAY(Q737,2)+4)&amp;"-S"&amp;TEXT(WEEKNUM(Q737,21),"00")</f>
        <v>2026-S23</v>
      </c>
      <c r="B737" s="18" t="s">
        <v>72</v>
      </c>
      <c r="C737" s="19" t="n">
        <v>0.330555555555556</v>
      </c>
      <c r="D737" s="19" t="n">
        <v>0.333333333333333</v>
      </c>
      <c r="E737" s="19" t="n">
        <v>0.75</v>
      </c>
      <c r="F737" s="19" t="n">
        <v>0.75</v>
      </c>
      <c r="G737" s="20"/>
      <c r="H737" s="20"/>
      <c r="I737" s="8" t="str">
        <f aca="false">IF(IF(OR(C737="",D737="Congé",D737="OFF",D737="Congé spécial"),"",IF(D737&gt;F737,D737-C737,IF(C737-D737&lt;0,0,C737-D737)))&lt;0.00068287037037037,"",IF(OR(D737="Congé",D737="OFF",C737="",D737="Congé spécial"),"",IF(D737&gt;F737,D737-C737,IF(C737-D737&lt;0,0,C737-D737))))</f>
        <v/>
      </c>
      <c r="J737" s="20"/>
      <c r="K737" s="8" t="n">
        <f aca="false">IF(SUM(H737:J737)&lt;0.00068287037037037,0,SUM(H737:J737))</f>
        <v>0</v>
      </c>
      <c r="L737" s="8" t="n">
        <f aca="false">IF(OR(F737="Congé",F737="OFF",M737="Abs",F737="Congé sans solde",F737="Férié",F737="Congé spécial",D737="Congé spécial"),0,IF(F737-E737&lt;0,0,IF(F737-E737&lt;=0.00068287037037037,0,F737-E737)))</f>
        <v>0</v>
      </c>
      <c r="M737" s="6" t="n">
        <f aca="false">IF(AND(O737&lt;&gt;0,C737=""),"Abs",0)</f>
        <v>0</v>
      </c>
      <c r="N737" s="8" t="n">
        <f aca="false">IFERROR(IF(OR(D737="OFF",D737="Congé",M737="Abs",D737="Congé sans solde",D737="Férié"),"",IF(O737-K737-L737&gt;O737,O737,IF(O737-K737-L737&lt;0,"",O737-K737-L737))),"")</f>
        <v>0.375</v>
      </c>
      <c r="O737" s="8" t="n">
        <f aca="false">IF(AG737="2H Pause déjeuner",IF(F737-D737-0.0833333333333333&lt;0,F737-D737-0.0833333333333333+1,F737-D737-0.0833333333333333),IF(OR(AND(F737="OFF",D737="OFF"),AND(F737="Congé",D737="Congé"),AND(F737="Congé sans solde",D737="Congé sans solde"),AND(F737="Congé spécial",D737="Congé spécial"),AND(F737="Férié",D737="Férié"),AND(F737="OFF",D737="Congé"),AND(F737="OFF",D737="Congé sans solde"),AND(F737="OFF",D737="Congé spécial"),AND(F737="OFF",D737="Férié"),AND(F737="Congé",D737="OFF"),AND(F737="Congé",D737="Congé sans solde"),AND(F737="Congé",D737="Congé spécial"),AND(F737="Congé",D737="Férié"),AND(F737="Congé sans solde",D737="OFF"),AND(F737="Congé sans solde",D737="Congé"),AND(F737="Congé sans solde",D737="Congé spécial"),AND(F737="Congé sans solde",D737="Férié"),AND(F737="Congé spécial",D737="OFF"),AND(F737="Congé spécial",D737="Congé"),AND(F737="Congé spécial",D737="Congé sans solde"),AND(F737="Congé spécial",D737="Férié"),AND(F737="Férié",D737="OFF"),AND(F737="Férié",D737="Congé"),AND(F737="Férié",D737="Congé sans solde"),AND(F737="Férié",D737="Congé spécial")),0,IF(OR(F737="OFF",F737="Congé",F737="Congé spécial",F737="Congé sans solde",D737="OFF",D737="Congé",D737="Congé spécial",D737="Congé sans solde"),0.208333333333334,IF(AND(AG737="",F737-D737&lt;0),("24:00:00"-D737)+("00:00:00"+F737)-0.0416666666666667,IF(AND(OR(AG737="Allaitement",AG737="Sans déjeuner"),F737-D737&lt;0),("24:00:00"-D737)+("00:00:00"+F737),IF(AND(AG737="",F737-D737&gt;0.166666666666667),F737-D737-0.0416666666666667,IF(AND(OR(AG737="Allaitement",AG737="Sans déjeuner"),F737-D737&gt;0.166666666666667),F737-D737,F737-D737)))))))</f>
        <v>0.375</v>
      </c>
      <c r="P737" s="6" t="str">
        <f aca="false">IFERROR(VLOOKUP($B737,Agents!$A:$D,2,0),"-")</f>
        <v>Accessibilité</v>
      </c>
      <c r="Q737" s="21" t="n">
        <v>46176</v>
      </c>
      <c r="R737" s="8" t="n">
        <f aca="false">IF(M737="Abs",O737,0)</f>
        <v>0</v>
      </c>
      <c r="S737" s="8" t="n">
        <f aca="false">SUM(R737,L737,I737,J737,W737,H737)</f>
        <v>0</v>
      </c>
      <c r="T737" s="6" t="str">
        <f aca="false">"Sem - "&amp;WEEKNUM(Q737,21)</f>
        <v>Sem - 23</v>
      </c>
      <c r="U737" s="6" t="str">
        <f aca="false">CHOOSE(MONTH(Q737),"Janvier","Février","Mars","Avril","Mai","Juin","Juillet","Août","Septembre","Octobre","Novembre","Décembre")</f>
        <v>Juin</v>
      </c>
      <c r="V737" s="22" t="n">
        <f aca="false">YEAR(Q737)</f>
        <v>2026</v>
      </c>
      <c r="W737" s="20"/>
      <c r="X737" s="8" t="n">
        <f aca="false">IFERROR(IF(M737="Abs",0,IF(ROUND((D737-C737+E737-F737)*1440,0)&lt;=1,0,D737-C737+E737-F737)),0)</f>
        <v>0.00277777777777778</v>
      </c>
      <c r="Y737" s="6" t="str">
        <f aca="false">IFERROR(VLOOKUP($B737,Agents!$A:$D,3,0),"-")</f>
        <v>OUBRAHIM Mohammed</v>
      </c>
      <c r="Z737" s="6" t="str">
        <f aca="false">IFERROR(VLOOKUP($B737,Agents!$A:$D,4,0),"-")</f>
        <v>Credit Mutuel</v>
      </c>
      <c r="AA737" s="18" t="s">
        <v>105</v>
      </c>
      <c r="AB737" s="8" t="str">
        <f aca="false">IF(AND(D737="Congé",F737="Congé"),0.333333333333333,IF(OR(AND(D737="Congé",F737&lt;&gt;"Congé"),(AND(F737="Congé",D737&lt;&gt;"Congé"))),0.166666666666667,""))</f>
        <v/>
      </c>
      <c r="AC737" s="8" t="str">
        <f aca="false">IF(AND(D737="Congé sans solde",F737="Congé sans solde"),0.333333333333333,IF(OR(AND(D737="Congé sans solde",F737&lt;&gt;"Congé sans solde"),(AND(F737="Congé sans solde",D737&lt;&gt;"Congé sans solde"))),0.166666666666667,""))</f>
        <v/>
      </c>
      <c r="AD737" s="8" t="str">
        <f aca="false">IF(AND(D737="Congé spécial",F737="Congé spécial"),0.333333333333333,IF(OR(AND(D737="Congé spécial",F737&lt;&gt;"Congé spécial"),AND(F737="Congé spécial",D737&lt;&gt;"Congé spécial")),0.166666666666667,""))</f>
        <v/>
      </c>
      <c r="AE737" s="8" t="str">
        <f aca="false">IF(AND(D737="Férié",F737="Férié"),0.333333333333333,IF(OR(AND(D737="Férié",F737&lt;&gt;"Férié"),(AND(F737="Férié",D737&lt;&gt;"Férié"))),0.166666666666667,""))</f>
        <v/>
      </c>
      <c r="AF737" s="18"/>
      <c r="AG737" s="18"/>
    </row>
    <row r="738" customFormat="false" ht="15" hidden="false" customHeight="false" outlineLevel="0" collapsed="false">
      <c r="A738" s="6" t="str">
        <f aca="false">YEAR(Q738-WEEKDAY(Q738,2)+4)&amp;"-S"&amp;TEXT(WEEKNUM(Q738,21),"00")</f>
        <v>2026-S23</v>
      </c>
      <c r="B738" s="18" t="s">
        <v>73</v>
      </c>
      <c r="C738" s="19" t="n">
        <v>0.33125</v>
      </c>
      <c r="D738" s="19" t="n">
        <v>0.333333333333333</v>
      </c>
      <c r="E738" s="19" t="n">
        <v>0.75</v>
      </c>
      <c r="F738" s="19" t="n">
        <v>0.75</v>
      </c>
      <c r="G738" s="20"/>
      <c r="H738" s="20"/>
      <c r="I738" s="8" t="str">
        <f aca="false">IF(IF(OR(C738="",D738="Congé",D738="OFF",D738="Congé spécial"),"",IF(D738&gt;F738,D738-C738,IF(C738-D738&lt;0,0,C738-D738)))&lt;0.00068287037037037,"",IF(OR(D738="Congé",D738="OFF",C738="",D738="Congé spécial"),"",IF(D738&gt;F738,D738-C738,IF(C738-D738&lt;0,0,C738-D738))))</f>
        <v/>
      </c>
      <c r="J738" s="20"/>
      <c r="K738" s="8" t="n">
        <f aca="false">IF(SUM(H738:J738)&lt;0.00068287037037037,0,SUM(H738:J738))</f>
        <v>0</v>
      </c>
      <c r="L738" s="8" t="n">
        <f aca="false">IF(OR(F738="Congé",F738="OFF",M738="Abs",F738="Congé sans solde",F738="Férié",F738="Congé spécial",D738="Congé spécial"),0,IF(F738-E738&lt;0,0,IF(F738-E738&lt;=0.00068287037037037,0,F738-E738)))</f>
        <v>0</v>
      </c>
      <c r="M738" s="6" t="n">
        <f aca="false">IF(AND(O738&lt;&gt;0,C738=""),"Abs",0)</f>
        <v>0</v>
      </c>
      <c r="N738" s="8" t="n">
        <f aca="false">IFERROR(IF(OR(D738="OFF",D738="Congé",M738="Abs",D738="Congé sans solde",D738="Férié"),"",IF(O738-K738-L738&gt;O738,O738,IF(O738-K738-L738&lt;0,"",O738-K738-L738))),"")</f>
        <v>0.375</v>
      </c>
      <c r="O738" s="8" t="n">
        <f aca="false">IF(AG738="2H Pause déjeuner",IF(F738-D738-0.0833333333333333&lt;0,F738-D738-0.0833333333333333+1,F738-D738-0.0833333333333333),IF(OR(AND(F738="OFF",D738="OFF"),AND(F738="Congé",D738="Congé"),AND(F738="Congé sans solde",D738="Congé sans solde"),AND(F738="Congé spécial",D738="Congé spécial"),AND(F738="Férié",D738="Férié"),AND(F738="OFF",D738="Congé"),AND(F738="OFF",D738="Congé sans solde"),AND(F738="OFF",D738="Congé spécial"),AND(F738="OFF",D738="Férié"),AND(F738="Congé",D738="OFF"),AND(F738="Congé",D738="Congé sans solde"),AND(F738="Congé",D738="Congé spécial"),AND(F738="Congé",D738="Férié"),AND(F738="Congé sans solde",D738="OFF"),AND(F738="Congé sans solde",D738="Congé"),AND(F738="Congé sans solde",D738="Congé spécial"),AND(F738="Congé sans solde",D738="Férié"),AND(F738="Congé spécial",D738="OFF"),AND(F738="Congé spécial",D738="Congé"),AND(F738="Congé spécial",D738="Congé sans solde"),AND(F738="Congé spécial",D738="Férié"),AND(F738="Férié",D738="OFF"),AND(F738="Férié",D738="Congé"),AND(F738="Férié",D738="Congé sans solde"),AND(F738="Férié",D738="Congé spécial")),0,IF(OR(F738="OFF",F738="Congé",F738="Congé spécial",F738="Congé sans solde",D738="OFF",D738="Congé",D738="Congé spécial",D738="Congé sans solde"),0.208333333333334,IF(AND(AG738="",F738-D738&lt;0),("24:00:00"-D738)+("00:00:00"+F738)-0.0416666666666667,IF(AND(OR(AG738="Allaitement",AG738="Sans déjeuner"),F738-D738&lt;0),("24:00:00"-D738)+("00:00:00"+F738),IF(AND(AG738="",F738-D738&gt;0.166666666666667),F738-D738-0.0416666666666667,IF(AND(OR(AG738="Allaitement",AG738="Sans déjeuner"),F738-D738&gt;0.166666666666667),F738-D738,F738-D738)))))))</f>
        <v>0.375</v>
      </c>
      <c r="P738" s="6" t="str">
        <f aca="false">IFERROR(VLOOKUP($B738,Agents!$A:$D,2,0),"-")</f>
        <v>Accessibilité</v>
      </c>
      <c r="Q738" s="21" t="n">
        <v>46176</v>
      </c>
      <c r="R738" s="8" t="n">
        <f aca="false">IF(M738="Abs",O738,0)</f>
        <v>0</v>
      </c>
      <c r="S738" s="8" t="n">
        <f aca="false">SUM(R738,L738,I738,J738,W738,H738)</f>
        <v>0</v>
      </c>
      <c r="T738" s="6" t="str">
        <f aca="false">"Sem - "&amp;WEEKNUM(Q738,21)</f>
        <v>Sem - 23</v>
      </c>
      <c r="U738" s="6" t="str">
        <f aca="false">CHOOSE(MONTH(Q738),"Janvier","Février","Mars","Avril","Mai","Juin","Juillet","Août","Septembre","Octobre","Novembre","Décembre")</f>
        <v>Juin</v>
      </c>
      <c r="V738" s="22" t="n">
        <f aca="false">YEAR(Q738)</f>
        <v>2026</v>
      </c>
      <c r="W738" s="20"/>
      <c r="X738" s="8" t="n">
        <f aca="false">IFERROR(IF(M738="Abs",0,IF(ROUND((D738-C738+E738-F738)*1440,0)&lt;=1,0,D738-C738+E738-F738)),0)</f>
        <v>0.00208333333333333</v>
      </c>
      <c r="Y738" s="6" t="str">
        <f aca="false">IFERROR(VLOOKUP($B738,Agents!$A:$D,3,0),"-")</f>
        <v>OUBRAHIM Mohammed</v>
      </c>
      <c r="Z738" s="6" t="str">
        <f aca="false">IFERROR(VLOOKUP($B738,Agents!$A:$D,4,0),"-")</f>
        <v>Credit Mutuel</v>
      </c>
      <c r="AA738" s="18" t="s">
        <v>105</v>
      </c>
      <c r="AB738" s="8" t="str">
        <f aca="false">IF(AND(D738="Congé",F738="Congé"),0.333333333333333,IF(OR(AND(D738="Congé",F738&lt;&gt;"Congé"),(AND(F738="Congé",D738&lt;&gt;"Congé"))),0.166666666666667,""))</f>
        <v/>
      </c>
      <c r="AC738" s="8" t="str">
        <f aca="false">IF(AND(D738="Congé sans solde",F738="Congé sans solde"),0.333333333333333,IF(OR(AND(D738="Congé sans solde",F738&lt;&gt;"Congé sans solde"),(AND(F738="Congé sans solde",D738&lt;&gt;"Congé sans solde"))),0.166666666666667,""))</f>
        <v/>
      </c>
      <c r="AD738" s="8" t="str">
        <f aca="false">IF(AND(D738="Congé spécial",F738="Congé spécial"),0.333333333333333,IF(OR(AND(D738="Congé spécial",F738&lt;&gt;"Congé spécial"),AND(F738="Congé spécial",D738&lt;&gt;"Congé spécial")),0.166666666666667,""))</f>
        <v/>
      </c>
      <c r="AE738" s="8" t="str">
        <f aca="false">IF(AND(D738="Férié",F738="Férié"),0.333333333333333,IF(OR(AND(D738="Férié",F738&lt;&gt;"Férié"),(AND(F738="Férié",D738&lt;&gt;"Férié"))),0.166666666666667,""))</f>
        <v/>
      </c>
      <c r="AF738" s="18"/>
      <c r="AG738" s="18"/>
    </row>
    <row r="739" customFormat="false" ht="15" hidden="false" customHeight="false" outlineLevel="0" collapsed="false">
      <c r="A739" s="6" t="str">
        <f aca="false">YEAR(Q739-WEEKDAY(Q739,2)+4)&amp;"-S"&amp;TEXT(WEEKNUM(Q739,21),"00")</f>
        <v>2026-S23</v>
      </c>
      <c r="B739" s="18" t="s">
        <v>71</v>
      </c>
      <c r="C739" s="19" t="n">
        <v>0.331944444444444</v>
      </c>
      <c r="D739" s="19" t="n">
        <v>0.333333333333333</v>
      </c>
      <c r="E739" s="19" t="n">
        <v>0.75</v>
      </c>
      <c r="F739" s="19" t="n">
        <v>0.75</v>
      </c>
      <c r="G739" s="20"/>
      <c r="H739" s="20"/>
      <c r="I739" s="8" t="str">
        <f aca="false">IF(IF(OR(C739="",D739="Congé",D739="OFF",D739="Congé spécial"),"",IF(D739&gt;F739,D739-C739,IF(C739-D739&lt;0,0,C739-D739)))&lt;0.00068287037037037,"",IF(OR(D739="Congé",D739="OFF",C739="",D739="Congé spécial"),"",IF(D739&gt;F739,D739-C739,IF(C739-D739&lt;0,0,C739-D739))))</f>
        <v/>
      </c>
      <c r="J739" s="20"/>
      <c r="K739" s="8" t="n">
        <f aca="false">IF(SUM(H739:J739)&lt;0.00068287037037037,0,SUM(H739:J739))</f>
        <v>0</v>
      </c>
      <c r="L739" s="8" t="n">
        <f aca="false">IF(OR(F739="Congé",F739="OFF",M739="Abs",F739="Congé sans solde",F739="Férié",F739="Congé spécial",D739="Congé spécial"),0,IF(F739-E739&lt;0,0,IF(F739-E739&lt;=0.00068287037037037,0,F739-E739)))</f>
        <v>0</v>
      </c>
      <c r="M739" s="6" t="n">
        <f aca="false">IF(AND(O739&lt;&gt;0,C739=""),"Abs",0)</f>
        <v>0</v>
      </c>
      <c r="N739" s="8" t="n">
        <f aca="false">IFERROR(IF(OR(D739="OFF",D739="Congé",M739="Abs",D739="Congé sans solde",D739="Férié"),"",IF(O739-K739-L739&gt;O739,O739,IF(O739-K739-L739&lt;0,"",O739-K739-L739))),"")</f>
        <v>0.375</v>
      </c>
      <c r="O739" s="8" t="n">
        <f aca="false">IF(AG739="2H Pause déjeuner",IF(F739-D739-0.0833333333333333&lt;0,F739-D739-0.0833333333333333+1,F739-D739-0.0833333333333333),IF(OR(AND(F739="OFF",D739="OFF"),AND(F739="Congé",D739="Congé"),AND(F739="Congé sans solde",D739="Congé sans solde"),AND(F739="Congé spécial",D739="Congé spécial"),AND(F739="Férié",D739="Férié"),AND(F739="OFF",D739="Congé"),AND(F739="OFF",D739="Congé sans solde"),AND(F739="OFF",D739="Congé spécial"),AND(F739="OFF",D739="Férié"),AND(F739="Congé",D739="OFF"),AND(F739="Congé",D739="Congé sans solde"),AND(F739="Congé",D739="Congé spécial"),AND(F739="Congé",D739="Férié"),AND(F739="Congé sans solde",D739="OFF"),AND(F739="Congé sans solde",D739="Congé"),AND(F739="Congé sans solde",D739="Congé spécial"),AND(F739="Congé sans solde",D739="Férié"),AND(F739="Congé spécial",D739="OFF"),AND(F739="Congé spécial",D739="Congé"),AND(F739="Congé spécial",D739="Congé sans solde"),AND(F739="Congé spécial",D739="Férié"),AND(F739="Férié",D739="OFF"),AND(F739="Férié",D739="Congé"),AND(F739="Férié",D739="Congé sans solde"),AND(F739="Férié",D739="Congé spécial")),0,IF(OR(F739="OFF",F739="Congé",F739="Congé spécial",F739="Congé sans solde",D739="OFF",D739="Congé",D739="Congé spécial",D739="Congé sans solde"),0.208333333333334,IF(AND(AG739="",F739-D739&lt;0),("24:00:00"-D739)+("00:00:00"+F739)-0.0416666666666667,IF(AND(OR(AG739="Allaitement",AG739="Sans déjeuner"),F739-D739&lt;0),("24:00:00"-D739)+("00:00:00"+F739),IF(AND(AG739="",F739-D739&gt;0.166666666666667),F739-D739-0.0416666666666667,IF(AND(OR(AG739="Allaitement",AG739="Sans déjeuner"),F739-D739&gt;0.166666666666667),F739-D739,F739-D739)))))))</f>
        <v>0.375</v>
      </c>
      <c r="P739" s="6" t="str">
        <f aca="false">IFERROR(VLOOKUP($B739,Agents!$A:$D,2,0),"-")</f>
        <v>Accessibilité</v>
      </c>
      <c r="Q739" s="21" t="n">
        <v>46177</v>
      </c>
      <c r="R739" s="8" t="n">
        <f aca="false">IF(M739="Abs",O739,0)</f>
        <v>0</v>
      </c>
      <c r="S739" s="8" t="n">
        <f aca="false">SUM(R739,L739,I739,J739,W739,H739)</f>
        <v>0</v>
      </c>
      <c r="T739" s="6" t="str">
        <f aca="false">"Sem - "&amp;WEEKNUM(Q739,21)</f>
        <v>Sem - 23</v>
      </c>
      <c r="U739" s="6" t="str">
        <f aca="false">CHOOSE(MONTH(Q739),"Janvier","Février","Mars","Avril","Mai","Juin","Juillet","Août","Septembre","Octobre","Novembre","Décembre")</f>
        <v>Juin</v>
      </c>
      <c r="V739" s="22" t="n">
        <f aca="false">YEAR(Q739)</f>
        <v>2026</v>
      </c>
      <c r="W739" s="20"/>
      <c r="X739" s="8" t="n">
        <f aca="false">IFERROR(IF(M739="Abs",0,IF(ROUND((D739-C739+E739-F739)*1440,0)&lt;=1,0,D739-C739+E739-F739)),0)</f>
        <v>0.00138888888888889</v>
      </c>
      <c r="Y739" s="6" t="str">
        <f aca="false">IFERROR(VLOOKUP($B739,Agents!$A:$D,3,0),"-")</f>
        <v>OUBRAHIM Mohammed</v>
      </c>
      <c r="Z739" s="6" t="str">
        <f aca="false">IFERROR(VLOOKUP($B739,Agents!$A:$D,4,0),"-")</f>
        <v>Credit Mutuel</v>
      </c>
      <c r="AA739" s="18" t="s">
        <v>105</v>
      </c>
      <c r="AB739" s="8" t="str">
        <f aca="false">IF(AND(D739="Congé",F739="Congé"),0.333333333333333,IF(OR(AND(D739="Congé",F739&lt;&gt;"Congé"),(AND(F739="Congé",D739&lt;&gt;"Congé"))),0.166666666666667,""))</f>
        <v/>
      </c>
      <c r="AC739" s="8" t="str">
        <f aca="false">IF(AND(D739="Congé sans solde",F739="Congé sans solde"),0.333333333333333,IF(OR(AND(D739="Congé sans solde",F739&lt;&gt;"Congé sans solde"),(AND(F739="Congé sans solde",D739&lt;&gt;"Congé sans solde"))),0.166666666666667,""))</f>
        <v/>
      </c>
      <c r="AD739" s="8" t="str">
        <f aca="false">IF(AND(D739="Congé spécial",F739="Congé spécial"),0.333333333333333,IF(OR(AND(D739="Congé spécial",F739&lt;&gt;"Congé spécial"),AND(F739="Congé spécial",D739&lt;&gt;"Congé spécial")),0.166666666666667,""))</f>
        <v/>
      </c>
      <c r="AE739" s="8" t="str">
        <f aca="false">IF(AND(D739="Férié",F739="Férié"),0.333333333333333,IF(OR(AND(D739="Férié",F739&lt;&gt;"Férié"),(AND(F739="Férié",D739&lt;&gt;"Férié"))),0.166666666666667,""))</f>
        <v/>
      </c>
      <c r="AF739" s="18"/>
      <c r="AG739" s="18"/>
    </row>
    <row r="740" customFormat="false" ht="15" hidden="false" customHeight="false" outlineLevel="0" collapsed="false">
      <c r="A740" s="6" t="str">
        <f aca="false">YEAR(Q740-WEEKDAY(Q740,2)+4)&amp;"-S"&amp;TEXT(WEEKNUM(Q740,21),"00")</f>
        <v>2026-S23</v>
      </c>
      <c r="B740" s="18" t="s">
        <v>72</v>
      </c>
      <c r="C740" s="19" t="n">
        <v>0.331944444444444</v>
      </c>
      <c r="D740" s="19" t="n">
        <v>0.333333333333333</v>
      </c>
      <c r="E740" s="19" t="n">
        <v>0.75</v>
      </c>
      <c r="F740" s="19" t="n">
        <v>0.75</v>
      </c>
      <c r="G740" s="20"/>
      <c r="H740" s="20"/>
      <c r="I740" s="8" t="str">
        <f aca="false">IF(IF(OR(C740="",D740="Congé",D740="OFF",D740="Congé spécial"),"",IF(D740&gt;F740,D740-C740,IF(C740-D740&lt;0,0,C740-D740)))&lt;0.00068287037037037,"",IF(OR(D740="Congé",D740="OFF",C740="",D740="Congé spécial"),"",IF(D740&gt;F740,D740-C740,IF(C740-D740&lt;0,0,C740-D740))))</f>
        <v/>
      </c>
      <c r="J740" s="20"/>
      <c r="K740" s="8" t="n">
        <f aca="false">IF(SUM(H740:J740)&lt;0.00068287037037037,0,SUM(H740:J740))</f>
        <v>0</v>
      </c>
      <c r="L740" s="8" t="n">
        <f aca="false">IF(OR(F740="Congé",F740="OFF",M740="Abs",F740="Congé sans solde",F740="Férié",F740="Congé spécial",D740="Congé spécial"),0,IF(F740-E740&lt;0,0,IF(F740-E740&lt;=0.00068287037037037,0,F740-E740)))</f>
        <v>0</v>
      </c>
      <c r="M740" s="6" t="n">
        <f aca="false">IF(AND(O740&lt;&gt;0,C740=""),"Abs",0)</f>
        <v>0</v>
      </c>
      <c r="N740" s="8" t="n">
        <f aca="false">IFERROR(IF(OR(D740="OFF",D740="Congé",M740="Abs",D740="Congé sans solde",D740="Férié"),"",IF(O740-K740-L740&gt;O740,O740,IF(O740-K740-L740&lt;0,"",O740-K740-L740))),"")</f>
        <v>0.375</v>
      </c>
      <c r="O740" s="8" t="n">
        <f aca="false">IF(AG740="2H Pause déjeuner",IF(F740-D740-0.0833333333333333&lt;0,F740-D740-0.0833333333333333+1,F740-D740-0.0833333333333333),IF(OR(AND(F740="OFF",D740="OFF"),AND(F740="Congé",D740="Congé"),AND(F740="Congé sans solde",D740="Congé sans solde"),AND(F740="Congé spécial",D740="Congé spécial"),AND(F740="Férié",D740="Férié"),AND(F740="OFF",D740="Congé"),AND(F740="OFF",D740="Congé sans solde"),AND(F740="OFF",D740="Congé spécial"),AND(F740="OFF",D740="Férié"),AND(F740="Congé",D740="OFF"),AND(F740="Congé",D740="Congé sans solde"),AND(F740="Congé",D740="Congé spécial"),AND(F740="Congé",D740="Férié"),AND(F740="Congé sans solde",D740="OFF"),AND(F740="Congé sans solde",D740="Congé"),AND(F740="Congé sans solde",D740="Congé spécial"),AND(F740="Congé sans solde",D740="Férié"),AND(F740="Congé spécial",D740="OFF"),AND(F740="Congé spécial",D740="Congé"),AND(F740="Congé spécial",D740="Congé sans solde"),AND(F740="Congé spécial",D740="Férié"),AND(F740="Férié",D740="OFF"),AND(F740="Férié",D740="Congé"),AND(F740="Férié",D740="Congé sans solde"),AND(F740="Férié",D740="Congé spécial")),0,IF(OR(F740="OFF",F740="Congé",F740="Congé spécial",F740="Congé sans solde",D740="OFF",D740="Congé",D740="Congé spécial",D740="Congé sans solde"),0.208333333333334,IF(AND(AG740="",F740-D740&lt;0),("24:00:00"-D740)+("00:00:00"+F740)-0.0416666666666667,IF(AND(OR(AG740="Allaitement",AG740="Sans déjeuner"),F740-D740&lt;0),("24:00:00"-D740)+("00:00:00"+F740),IF(AND(AG740="",F740-D740&gt;0.166666666666667),F740-D740-0.0416666666666667,IF(AND(OR(AG740="Allaitement",AG740="Sans déjeuner"),F740-D740&gt;0.166666666666667),F740-D740,F740-D740)))))))</f>
        <v>0.375</v>
      </c>
      <c r="P740" s="6" t="str">
        <f aca="false">IFERROR(VLOOKUP($B740,Agents!$A:$D,2,0),"-")</f>
        <v>Accessibilité</v>
      </c>
      <c r="Q740" s="21" t="n">
        <v>46177</v>
      </c>
      <c r="R740" s="8" t="n">
        <f aca="false">IF(M740="Abs",O740,0)</f>
        <v>0</v>
      </c>
      <c r="S740" s="8" t="n">
        <f aca="false">SUM(R740,L740,I740,J740,W740,H740)</f>
        <v>0</v>
      </c>
      <c r="T740" s="6" t="str">
        <f aca="false">"Sem - "&amp;WEEKNUM(Q740,21)</f>
        <v>Sem - 23</v>
      </c>
      <c r="U740" s="6" t="str">
        <f aca="false">CHOOSE(MONTH(Q740),"Janvier","Février","Mars","Avril","Mai","Juin","Juillet","Août","Septembre","Octobre","Novembre","Décembre")</f>
        <v>Juin</v>
      </c>
      <c r="V740" s="22" t="n">
        <f aca="false">YEAR(Q740)</f>
        <v>2026</v>
      </c>
      <c r="W740" s="20"/>
      <c r="X740" s="8" t="n">
        <f aca="false">IFERROR(IF(M740="Abs",0,IF(ROUND((D740-C740+E740-F740)*1440,0)&lt;=1,0,D740-C740+E740-F740)),0)</f>
        <v>0.00138888888888889</v>
      </c>
      <c r="Y740" s="6" t="str">
        <f aca="false">IFERROR(VLOOKUP($B740,Agents!$A:$D,3,0),"-")</f>
        <v>OUBRAHIM Mohammed</v>
      </c>
      <c r="Z740" s="6" t="str">
        <f aca="false">IFERROR(VLOOKUP($B740,Agents!$A:$D,4,0),"-")</f>
        <v>Credit Mutuel</v>
      </c>
      <c r="AA740" s="18" t="s">
        <v>105</v>
      </c>
      <c r="AB740" s="8" t="str">
        <f aca="false">IF(AND(D740="Congé",F740="Congé"),0.333333333333333,IF(OR(AND(D740="Congé",F740&lt;&gt;"Congé"),(AND(F740="Congé",D740&lt;&gt;"Congé"))),0.166666666666667,""))</f>
        <v/>
      </c>
      <c r="AC740" s="8" t="str">
        <f aca="false">IF(AND(D740="Congé sans solde",F740="Congé sans solde"),0.333333333333333,IF(OR(AND(D740="Congé sans solde",F740&lt;&gt;"Congé sans solde"),(AND(F740="Congé sans solde",D740&lt;&gt;"Congé sans solde"))),0.166666666666667,""))</f>
        <v/>
      </c>
      <c r="AD740" s="8" t="str">
        <f aca="false">IF(AND(D740="Congé spécial",F740="Congé spécial"),0.333333333333333,IF(OR(AND(D740="Congé spécial",F740&lt;&gt;"Congé spécial"),AND(F740="Congé spécial",D740&lt;&gt;"Congé spécial")),0.166666666666667,""))</f>
        <v/>
      </c>
      <c r="AE740" s="8" t="str">
        <f aca="false">IF(AND(D740="Férié",F740="Férié"),0.333333333333333,IF(OR(AND(D740="Férié",F740&lt;&gt;"Férié"),(AND(F740="Férié",D740&lt;&gt;"Férié"))),0.166666666666667,""))</f>
        <v/>
      </c>
      <c r="AF740" s="18"/>
      <c r="AG740" s="18"/>
    </row>
    <row r="741" customFormat="false" ht="15" hidden="false" customHeight="false" outlineLevel="0" collapsed="false">
      <c r="A741" s="6" t="str">
        <f aca="false">YEAR(Q741-WEEKDAY(Q741,2)+4)&amp;"-S"&amp;TEXT(WEEKNUM(Q741,21),"00")</f>
        <v>2026-S23</v>
      </c>
      <c r="B741" s="18" t="s">
        <v>73</v>
      </c>
      <c r="C741" s="19" t="n">
        <v>0.33125</v>
      </c>
      <c r="D741" s="19" t="n">
        <v>0.333333333333333</v>
      </c>
      <c r="E741" s="19" t="n">
        <v>0.75</v>
      </c>
      <c r="F741" s="19" t="n">
        <v>0.75</v>
      </c>
      <c r="G741" s="20"/>
      <c r="H741" s="20"/>
      <c r="I741" s="8" t="str">
        <f aca="false">IF(IF(OR(C741="",D741="Congé",D741="OFF",D741="Congé spécial"),"",IF(D741&gt;F741,D741-C741,IF(C741-D741&lt;0,0,C741-D741)))&lt;0.00068287037037037,"",IF(OR(D741="Congé",D741="OFF",C741="",D741="Congé spécial"),"",IF(D741&gt;F741,D741-C741,IF(C741-D741&lt;0,0,C741-D741))))</f>
        <v/>
      </c>
      <c r="J741" s="20"/>
      <c r="K741" s="8" t="n">
        <f aca="false">IF(SUM(H741:J741)&lt;0.00068287037037037,0,SUM(H741:J741))</f>
        <v>0</v>
      </c>
      <c r="L741" s="8" t="n">
        <f aca="false">IF(OR(F741="Congé",F741="OFF",M741="Abs",F741="Congé sans solde",F741="Férié",F741="Congé spécial",D741="Congé spécial"),0,IF(F741-E741&lt;0,0,IF(F741-E741&lt;=0.00068287037037037,0,F741-E741)))</f>
        <v>0</v>
      </c>
      <c r="M741" s="6" t="n">
        <f aca="false">IF(AND(O741&lt;&gt;0,C741=""),"Abs",0)</f>
        <v>0</v>
      </c>
      <c r="N741" s="8" t="n">
        <f aca="false">IFERROR(IF(OR(D741="OFF",D741="Congé",M741="Abs",D741="Congé sans solde",D741="Férié"),"",IF(O741-K741-L741&gt;O741,O741,IF(O741-K741-L741&lt;0,"",O741-K741-L741))),"")</f>
        <v>0.375</v>
      </c>
      <c r="O741" s="8" t="n">
        <f aca="false">IF(AG741="2H Pause déjeuner",IF(F741-D741-0.0833333333333333&lt;0,F741-D741-0.0833333333333333+1,F741-D741-0.0833333333333333),IF(OR(AND(F741="OFF",D741="OFF"),AND(F741="Congé",D741="Congé"),AND(F741="Congé sans solde",D741="Congé sans solde"),AND(F741="Congé spécial",D741="Congé spécial"),AND(F741="Férié",D741="Férié"),AND(F741="OFF",D741="Congé"),AND(F741="OFF",D741="Congé sans solde"),AND(F741="OFF",D741="Congé spécial"),AND(F741="OFF",D741="Férié"),AND(F741="Congé",D741="OFF"),AND(F741="Congé",D741="Congé sans solde"),AND(F741="Congé",D741="Congé spécial"),AND(F741="Congé",D741="Férié"),AND(F741="Congé sans solde",D741="OFF"),AND(F741="Congé sans solde",D741="Congé"),AND(F741="Congé sans solde",D741="Congé spécial"),AND(F741="Congé sans solde",D741="Férié"),AND(F741="Congé spécial",D741="OFF"),AND(F741="Congé spécial",D741="Congé"),AND(F741="Congé spécial",D741="Congé sans solde"),AND(F741="Congé spécial",D741="Férié"),AND(F741="Férié",D741="OFF"),AND(F741="Férié",D741="Congé"),AND(F741="Férié",D741="Congé sans solde"),AND(F741="Férié",D741="Congé spécial")),0,IF(OR(F741="OFF",F741="Congé",F741="Congé spécial",F741="Congé sans solde",D741="OFF",D741="Congé",D741="Congé spécial",D741="Congé sans solde"),0.208333333333334,IF(AND(AG741="",F741-D741&lt;0),("24:00:00"-D741)+("00:00:00"+F741)-0.0416666666666667,IF(AND(OR(AG741="Allaitement",AG741="Sans déjeuner"),F741-D741&lt;0),("24:00:00"-D741)+("00:00:00"+F741),IF(AND(AG741="",F741-D741&gt;0.166666666666667),F741-D741-0.0416666666666667,IF(AND(OR(AG741="Allaitement",AG741="Sans déjeuner"),F741-D741&gt;0.166666666666667),F741-D741,F741-D741)))))))</f>
        <v>0.375</v>
      </c>
      <c r="P741" s="6" t="str">
        <f aca="false">IFERROR(VLOOKUP($B741,Agents!$A:$D,2,0),"-")</f>
        <v>Accessibilité</v>
      </c>
      <c r="Q741" s="21" t="n">
        <v>46177</v>
      </c>
      <c r="R741" s="8" t="n">
        <f aca="false">IF(M741="Abs",O741,0)</f>
        <v>0</v>
      </c>
      <c r="S741" s="8" t="n">
        <f aca="false">SUM(R741,L741,I741,J741,W741,H741)</f>
        <v>0</v>
      </c>
      <c r="T741" s="6" t="str">
        <f aca="false">"Sem - "&amp;WEEKNUM(Q741,21)</f>
        <v>Sem - 23</v>
      </c>
      <c r="U741" s="6" t="str">
        <f aca="false">CHOOSE(MONTH(Q741),"Janvier","Février","Mars","Avril","Mai","Juin","Juillet","Août","Septembre","Octobre","Novembre","Décembre")</f>
        <v>Juin</v>
      </c>
      <c r="V741" s="22" t="n">
        <f aca="false">YEAR(Q741)</f>
        <v>2026</v>
      </c>
      <c r="W741" s="20"/>
      <c r="X741" s="8" t="n">
        <f aca="false">IFERROR(IF(M741="Abs",0,IF(ROUND((D741-C741+E741-F741)*1440,0)&lt;=1,0,D741-C741+E741-F741)),0)</f>
        <v>0.00208333333333333</v>
      </c>
      <c r="Y741" s="6" t="str">
        <f aca="false">IFERROR(VLOOKUP($B741,Agents!$A:$D,3,0),"-")</f>
        <v>OUBRAHIM Mohammed</v>
      </c>
      <c r="Z741" s="6" t="str">
        <f aca="false">IFERROR(VLOOKUP($B741,Agents!$A:$D,4,0),"-")</f>
        <v>Credit Mutuel</v>
      </c>
      <c r="AA741" s="18" t="s">
        <v>105</v>
      </c>
      <c r="AB741" s="8" t="str">
        <f aca="false">IF(AND(D741="Congé",F741="Congé"),0.333333333333333,IF(OR(AND(D741="Congé",F741&lt;&gt;"Congé"),(AND(F741="Congé",D741&lt;&gt;"Congé"))),0.166666666666667,""))</f>
        <v/>
      </c>
      <c r="AC741" s="8" t="str">
        <f aca="false">IF(AND(D741="Congé sans solde",F741="Congé sans solde"),0.333333333333333,IF(OR(AND(D741="Congé sans solde",F741&lt;&gt;"Congé sans solde"),(AND(F741="Congé sans solde",D741&lt;&gt;"Congé sans solde"))),0.166666666666667,""))</f>
        <v/>
      </c>
      <c r="AD741" s="8" t="str">
        <f aca="false">IF(AND(D741="Congé spécial",F741="Congé spécial"),0.333333333333333,IF(OR(AND(D741="Congé spécial",F741&lt;&gt;"Congé spécial"),AND(F741="Congé spécial",D741&lt;&gt;"Congé spécial")),0.166666666666667,""))</f>
        <v/>
      </c>
      <c r="AE741" s="8" t="str">
        <f aca="false">IF(AND(D741="Férié",F741="Férié"),0.333333333333333,IF(OR(AND(D741="Férié",F741&lt;&gt;"Férié"),(AND(F741="Férié",D741&lt;&gt;"Férié"))),0.166666666666667,""))</f>
        <v/>
      </c>
      <c r="AF741" s="18"/>
      <c r="AG741" s="18"/>
    </row>
    <row r="742" customFormat="false" ht="15" hidden="false" customHeight="false" outlineLevel="0" collapsed="false">
      <c r="A742" s="6" t="str">
        <f aca="false">YEAR(Q742-WEEKDAY(Q742,2)+4)&amp;"-S"&amp;TEXT(WEEKNUM(Q742,21),"00")</f>
        <v>2026-S23</v>
      </c>
      <c r="B742" s="18" t="s">
        <v>71</v>
      </c>
      <c r="C742" s="19" t="n">
        <v>0.331944444444444</v>
      </c>
      <c r="D742" s="19" t="n">
        <v>0.333333333333333</v>
      </c>
      <c r="E742" s="19" t="n">
        <v>0.708333333333333</v>
      </c>
      <c r="F742" s="19" t="n">
        <v>0.708333333333333</v>
      </c>
      <c r="G742" s="20"/>
      <c r="H742" s="20"/>
      <c r="I742" s="8" t="str">
        <f aca="false">IF(IF(OR(C742="",D742="Congé",D742="OFF",D742="Congé spécial"),"",IF(D742&gt;F742,D742-C742,IF(C742-D742&lt;0,0,C742-D742)))&lt;0.00068287037037037,"",IF(OR(D742="Congé",D742="OFF",C742="",D742="Congé spécial"),"",IF(D742&gt;F742,D742-C742,IF(C742-D742&lt;0,0,C742-D742))))</f>
        <v/>
      </c>
      <c r="J742" s="20"/>
      <c r="K742" s="8" t="n">
        <f aca="false">IF(SUM(H742:J742)&lt;0.00068287037037037,0,SUM(H742:J742))</f>
        <v>0</v>
      </c>
      <c r="L742" s="8" t="n">
        <f aca="false">IF(OR(F742="Congé",F742="OFF",M742="Abs",F742="Congé sans solde",F742="Férié",F742="Congé spécial",D742="Congé spécial"),0,IF(F742-E742&lt;0,0,IF(F742-E742&lt;=0.00068287037037037,0,F742-E742)))</f>
        <v>0</v>
      </c>
      <c r="M742" s="6" t="n">
        <f aca="false">IF(AND(O742&lt;&gt;0,C742=""),"Abs",0)</f>
        <v>0</v>
      </c>
      <c r="N742" s="8" t="n">
        <f aca="false">IFERROR(IF(OR(D742="OFF",D742="Congé",M742="Abs",D742="Congé sans solde",D742="Férié"),"",IF(O742-K742-L742&gt;O742,O742,IF(O742-K742-L742&lt;0,"",O742-K742-L742))),"")</f>
        <v>0.333333333333333</v>
      </c>
      <c r="O742" s="8" t="n">
        <f aca="false">IF(AG742="2H Pause déjeuner",IF(F742-D742-0.0833333333333333&lt;0,F742-D742-0.0833333333333333+1,F742-D742-0.0833333333333333),IF(OR(AND(F742="OFF",D742="OFF"),AND(F742="Congé",D742="Congé"),AND(F742="Congé sans solde",D742="Congé sans solde"),AND(F742="Congé spécial",D742="Congé spécial"),AND(F742="Férié",D742="Férié"),AND(F742="OFF",D742="Congé"),AND(F742="OFF",D742="Congé sans solde"),AND(F742="OFF",D742="Congé spécial"),AND(F742="OFF",D742="Férié"),AND(F742="Congé",D742="OFF"),AND(F742="Congé",D742="Congé sans solde"),AND(F742="Congé",D742="Congé spécial"),AND(F742="Congé",D742="Férié"),AND(F742="Congé sans solde",D742="OFF"),AND(F742="Congé sans solde",D742="Congé"),AND(F742="Congé sans solde",D742="Congé spécial"),AND(F742="Congé sans solde",D742="Férié"),AND(F742="Congé spécial",D742="OFF"),AND(F742="Congé spécial",D742="Congé"),AND(F742="Congé spécial",D742="Congé sans solde"),AND(F742="Congé spécial",D742="Férié"),AND(F742="Férié",D742="OFF"),AND(F742="Férié",D742="Congé"),AND(F742="Férié",D742="Congé sans solde"),AND(F742="Férié",D742="Congé spécial")),0,IF(OR(F742="OFF",F742="Congé",F742="Congé spécial",F742="Congé sans solde",D742="OFF",D742="Congé",D742="Congé spécial",D742="Congé sans solde"),0.208333333333334,IF(AND(AG742="",F742-D742&lt;0),("24:00:00"-D742)+("00:00:00"+F742)-0.0416666666666667,IF(AND(OR(AG742="Allaitement",AG742="Sans déjeuner"),F742-D742&lt;0),("24:00:00"-D742)+("00:00:00"+F742),IF(AND(AG742="",F742-D742&gt;0.166666666666667),F742-D742-0.0416666666666667,IF(AND(OR(AG742="Allaitement",AG742="Sans déjeuner"),F742-D742&gt;0.166666666666667),F742-D742,F742-D742)))))))</f>
        <v>0.333333333333333</v>
      </c>
      <c r="P742" s="6" t="str">
        <f aca="false">IFERROR(VLOOKUP($B742,Agents!$A:$D,2,0),"-")</f>
        <v>Accessibilité</v>
      </c>
      <c r="Q742" s="21" t="n">
        <v>46178</v>
      </c>
      <c r="R742" s="8" t="n">
        <f aca="false">IF(M742="Abs",O742,0)</f>
        <v>0</v>
      </c>
      <c r="S742" s="8" t="n">
        <f aca="false">SUM(R742,L742,I742,J742,W742,H742)</f>
        <v>0</v>
      </c>
      <c r="T742" s="6" t="str">
        <f aca="false">"Sem - "&amp;WEEKNUM(Q742,21)</f>
        <v>Sem - 23</v>
      </c>
      <c r="U742" s="6" t="str">
        <f aca="false">CHOOSE(MONTH(Q742),"Janvier","Février","Mars","Avril","Mai","Juin","Juillet","Août","Septembre","Octobre","Novembre","Décembre")</f>
        <v>Juin</v>
      </c>
      <c r="V742" s="22" t="n">
        <f aca="false">YEAR(Q742)</f>
        <v>2026</v>
      </c>
      <c r="W742" s="20"/>
      <c r="X742" s="8" t="n">
        <f aca="false">IFERROR(IF(M742="Abs",0,IF(ROUND((D742-C742+E742-F742)*1440,0)&lt;=1,0,D742-C742+E742-F742)),0)</f>
        <v>0.00138888888888889</v>
      </c>
      <c r="Y742" s="6" t="str">
        <f aca="false">IFERROR(VLOOKUP($B742,Agents!$A:$D,3,0),"-")</f>
        <v>OUBRAHIM Mohammed</v>
      </c>
      <c r="Z742" s="6" t="str">
        <f aca="false">IFERROR(VLOOKUP($B742,Agents!$A:$D,4,0),"-")</f>
        <v>Credit Mutuel</v>
      </c>
      <c r="AA742" s="18" t="s">
        <v>105</v>
      </c>
      <c r="AB742" s="8" t="str">
        <f aca="false">IF(AND(D742="Congé",F742="Congé"),0.333333333333333,IF(OR(AND(D742="Congé",F742&lt;&gt;"Congé"),(AND(F742="Congé",D742&lt;&gt;"Congé"))),0.166666666666667,""))</f>
        <v/>
      </c>
      <c r="AC742" s="8" t="str">
        <f aca="false">IF(AND(D742="Congé sans solde",F742="Congé sans solde"),0.333333333333333,IF(OR(AND(D742="Congé sans solde",F742&lt;&gt;"Congé sans solde"),(AND(F742="Congé sans solde",D742&lt;&gt;"Congé sans solde"))),0.166666666666667,""))</f>
        <v/>
      </c>
      <c r="AD742" s="8" t="str">
        <f aca="false">IF(AND(D742="Congé spécial",F742="Congé spécial"),0.333333333333333,IF(OR(AND(D742="Congé spécial",F742&lt;&gt;"Congé spécial"),AND(F742="Congé spécial",D742&lt;&gt;"Congé spécial")),0.166666666666667,""))</f>
        <v/>
      </c>
      <c r="AE742" s="8" t="str">
        <f aca="false">IF(AND(D742="Férié",F742="Férié"),0.333333333333333,IF(OR(AND(D742="Férié",F742&lt;&gt;"Férié"),(AND(F742="Férié",D742&lt;&gt;"Férié"))),0.166666666666667,""))</f>
        <v/>
      </c>
      <c r="AF742" s="18"/>
      <c r="AG742" s="18"/>
    </row>
    <row r="743" customFormat="false" ht="15" hidden="false" customHeight="false" outlineLevel="0" collapsed="false">
      <c r="A743" s="6" t="str">
        <f aca="false">YEAR(Q743-WEEKDAY(Q743,2)+4)&amp;"-S"&amp;TEXT(WEEKNUM(Q743,21),"00")</f>
        <v>2026-S23</v>
      </c>
      <c r="B743" s="18" t="s">
        <v>72</v>
      </c>
      <c r="C743" s="19" t="n">
        <v>0.332638888888889</v>
      </c>
      <c r="D743" s="19" t="n">
        <v>0.333333333333333</v>
      </c>
      <c r="E743" s="19" t="n">
        <v>0.708333333333333</v>
      </c>
      <c r="F743" s="19" t="n">
        <v>0.708333333333333</v>
      </c>
      <c r="G743" s="20"/>
      <c r="H743" s="20"/>
      <c r="I743" s="8" t="str">
        <f aca="false">IF(IF(OR(C743="",D743="Congé",D743="OFF",D743="Congé spécial"),"",IF(D743&gt;F743,D743-C743,IF(C743-D743&lt;0,0,C743-D743)))&lt;0.00068287037037037,"",IF(OR(D743="Congé",D743="OFF",C743="",D743="Congé spécial"),"",IF(D743&gt;F743,D743-C743,IF(C743-D743&lt;0,0,C743-D743))))</f>
        <v/>
      </c>
      <c r="J743" s="20"/>
      <c r="K743" s="8" t="n">
        <f aca="false">IF(SUM(H743:J743)&lt;0.00068287037037037,0,SUM(H743:J743))</f>
        <v>0</v>
      </c>
      <c r="L743" s="8" t="n">
        <f aca="false">IF(OR(F743="Congé",F743="OFF",M743="Abs",F743="Congé sans solde",F743="Férié",F743="Congé spécial",D743="Congé spécial"),0,IF(F743-E743&lt;0,0,IF(F743-E743&lt;=0.00068287037037037,0,F743-E743)))</f>
        <v>0</v>
      </c>
      <c r="M743" s="6" t="n">
        <f aca="false">IF(AND(O743&lt;&gt;0,C743=""),"Abs",0)</f>
        <v>0</v>
      </c>
      <c r="N743" s="8" t="n">
        <f aca="false">IFERROR(IF(OR(D743="OFF",D743="Congé",M743="Abs",D743="Congé sans solde",D743="Férié"),"",IF(O743-K743-L743&gt;O743,O743,IF(O743-K743-L743&lt;0,"",O743-K743-L743))),"")</f>
        <v>0.333333333333333</v>
      </c>
      <c r="O743" s="8" t="n">
        <f aca="false">IF(AG743="2H Pause déjeuner",IF(F743-D743-0.0833333333333333&lt;0,F743-D743-0.0833333333333333+1,F743-D743-0.0833333333333333),IF(OR(AND(F743="OFF",D743="OFF"),AND(F743="Congé",D743="Congé"),AND(F743="Congé sans solde",D743="Congé sans solde"),AND(F743="Congé spécial",D743="Congé spécial"),AND(F743="Férié",D743="Férié"),AND(F743="OFF",D743="Congé"),AND(F743="OFF",D743="Congé sans solde"),AND(F743="OFF",D743="Congé spécial"),AND(F743="OFF",D743="Férié"),AND(F743="Congé",D743="OFF"),AND(F743="Congé",D743="Congé sans solde"),AND(F743="Congé",D743="Congé spécial"),AND(F743="Congé",D743="Férié"),AND(F743="Congé sans solde",D743="OFF"),AND(F743="Congé sans solde",D743="Congé"),AND(F743="Congé sans solde",D743="Congé spécial"),AND(F743="Congé sans solde",D743="Férié"),AND(F743="Congé spécial",D743="OFF"),AND(F743="Congé spécial",D743="Congé"),AND(F743="Congé spécial",D743="Congé sans solde"),AND(F743="Congé spécial",D743="Férié"),AND(F743="Férié",D743="OFF"),AND(F743="Férié",D743="Congé"),AND(F743="Férié",D743="Congé sans solde"),AND(F743="Férié",D743="Congé spécial")),0,IF(OR(F743="OFF",F743="Congé",F743="Congé spécial",F743="Congé sans solde",D743="OFF",D743="Congé",D743="Congé spécial",D743="Congé sans solde"),0.208333333333334,IF(AND(AG743="",F743-D743&lt;0),("24:00:00"-D743)+("00:00:00"+F743)-0.0416666666666667,IF(AND(OR(AG743="Allaitement",AG743="Sans déjeuner"),F743-D743&lt;0),("24:00:00"-D743)+("00:00:00"+F743),IF(AND(AG743="",F743-D743&gt;0.166666666666667),F743-D743-0.0416666666666667,IF(AND(OR(AG743="Allaitement",AG743="Sans déjeuner"),F743-D743&gt;0.166666666666667),F743-D743,F743-D743)))))))</f>
        <v>0.333333333333333</v>
      </c>
      <c r="P743" s="6" t="str">
        <f aca="false">IFERROR(VLOOKUP($B743,Agents!$A:$D,2,0),"-")</f>
        <v>Accessibilité</v>
      </c>
      <c r="Q743" s="21" t="n">
        <v>46178</v>
      </c>
      <c r="R743" s="8" t="n">
        <f aca="false">IF(M743="Abs",O743,0)</f>
        <v>0</v>
      </c>
      <c r="S743" s="8" t="n">
        <f aca="false">SUM(R743,L743,I743,J743,W743,H743)</f>
        <v>0</v>
      </c>
      <c r="T743" s="6" t="str">
        <f aca="false">"Sem - "&amp;WEEKNUM(Q743,21)</f>
        <v>Sem - 23</v>
      </c>
      <c r="U743" s="6" t="str">
        <f aca="false">CHOOSE(MONTH(Q743),"Janvier","Février","Mars","Avril","Mai","Juin","Juillet","Août","Septembre","Octobre","Novembre","Décembre")</f>
        <v>Juin</v>
      </c>
      <c r="V743" s="22" t="n">
        <f aca="false">YEAR(Q743)</f>
        <v>2026</v>
      </c>
      <c r="W743" s="20"/>
      <c r="X743" s="8" t="n">
        <f aca="false">IFERROR(IF(M743="Abs",0,IF(ROUND((D743-C743+E743-F743)*1440,0)&lt;=1,0,D743-C743+E743-F743)),0)</f>
        <v>0</v>
      </c>
      <c r="Y743" s="6" t="str">
        <f aca="false">IFERROR(VLOOKUP($B743,Agents!$A:$D,3,0),"-")</f>
        <v>OUBRAHIM Mohammed</v>
      </c>
      <c r="Z743" s="6" t="str">
        <f aca="false">IFERROR(VLOOKUP($B743,Agents!$A:$D,4,0),"-")</f>
        <v>Credit Mutuel</v>
      </c>
      <c r="AA743" s="18" t="s">
        <v>105</v>
      </c>
      <c r="AB743" s="8" t="str">
        <f aca="false">IF(AND(D743="Congé",F743="Congé"),0.333333333333333,IF(OR(AND(D743="Congé",F743&lt;&gt;"Congé"),(AND(F743="Congé",D743&lt;&gt;"Congé"))),0.166666666666667,""))</f>
        <v/>
      </c>
      <c r="AC743" s="8" t="str">
        <f aca="false">IF(AND(D743="Congé sans solde",F743="Congé sans solde"),0.333333333333333,IF(OR(AND(D743="Congé sans solde",F743&lt;&gt;"Congé sans solde"),(AND(F743="Congé sans solde",D743&lt;&gt;"Congé sans solde"))),0.166666666666667,""))</f>
        <v/>
      </c>
      <c r="AD743" s="8" t="str">
        <f aca="false">IF(AND(D743="Congé spécial",F743="Congé spécial"),0.333333333333333,IF(OR(AND(D743="Congé spécial",F743&lt;&gt;"Congé spécial"),AND(F743="Congé spécial",D743&lt;&gt;"Congé spécial")),0.166666666666667,""))</f>
        <v/>
      </c>
      <c r="AE743" s="8" t="str">
        <f aca="false">IF(AND(D743="Férié",F743="Férié"),0.333333333333333,IF(OR(AND(D743="Férié",F743&lt;&gt;"Férié"),(AND(F743="Férié",D743&lt;&gt;"Férié"))),0.166666666666667,""))</f>
        <v/>
      </c>
      <c r="AF743" s="18"/>
      <c r="AG743" s="18"/>
    </row>
    <row r="744" customFormat="false" ht="15" hidden="false" customHeight="false" outlineLevel="0" collapsed="false">
      <c r="A744" s="6" t="str">
        <f aca="false">YEAR(Q744-WEEKDAY(Q744,2)+4)&amp;"-S"&amp;TEXT(WEEKNUM(Q744,21),"00")</f>
        <v>2026-S23</v>
      </c>
      <c r="B744" s="18" t="s">
        <v>73</v>
      </c>
      <c r="C744" s="19" t="n">
        <v>0.333333333333333</v>
      </c>
      <c r="D744" s="19" t="n">
        <v>0.333333333333333</v>
      </c>
      <c r="E744" s="19" t="n">
        <v>0.708333333333333</v>
      </c>
      <c r="F744" s="19" t="n">
        <v>0.708333333333333</v>
      </c>
      <c r="G744" s="20"/>
      <c r="H744" s="20"/>
      <c r="I744" s="8" t="str">
        <f aca="false">IF(IF(OR(C744="",D744="Congé",D744="OFF",D744="Congé spécial"),"",IF(D744&gt;F744,D744-C744,IF(C744-D744&lt;0,0,C744-D744)))&lt;0.00068287037037037,"",IF(OR(D744="Congé",D744="OFF",C744="",D744="Congé spécial"),"",IF(D744&gt;F744,D744-C744,IF(C744-D744&lt;0,0,C744-D744))))</f>
        <v/>
      </c>
      <c r="J744" s="20"/>
      <c r="K744" s="8" t="n">
        <f aca="false">IF(SUM(H744:J744)&lt;0.00068287037037037,0,SUM(H744:J744))</f>
        <v>0</v>
      </c>
      <c r="L744" s="8" t="n">
        <f aca="false">IF(OR(F744="Congé",F744="OFF",M744="Abs",F744="Congé sans solde",F744="Férié",F744="Congé spécial",D744="Congé spécial"),0,IF(F744-E744&lt;0,0,IF(F744-E744&lt;=0.00068287037037037,0,F744-E744)))</f>
        <v>0</v>
      </c>
      <c r="M744" s="6" t="n">
        <f aca="false">IF(AND(O744&lt;&gt;0,C744=""),"Abs",0)</f>
        <v>0</v>
      </c>
      <c r="N744" s="8" t="n">
        <f aca="false">IFERROR(IF(OR(D744="OFF",D744="Congé",M744="Abs",D744="Congé sans solde",D744="Férié"),"",IF(O744-K744-L744&gt;O744,O744,IF(O744-K744-L744&lt;0,"",O744-K744-L744))),"")</f>
        <v>0.333333333333333</v>
      </c>
      <c r="O744" s="8" t="n">
        <f aca="false">IF(AG744="2H Pause déjeuner",IF(F744-D744-0.0833333333333333&lt;0,F744-D744-0.0833333333333333+1,F744-D744-0.0833333333333333),IF(OR(AND(F744="OFF",D744="OFF"),AND(F744="Congé",D744="Congé"),AND(F744="Congé sans solde",D744="Congé sans solde"),AND(F744="Congé spécial",D744="Congé spécial"),AND(F744="Férié",D744="Férié"),AND(F744="OFF",D744="Congé"),AND(F744="OFF",D744="Congé sans solde"),AND(F744="OFF",D744="Congé spécial"),AND(F744="OFF",D744="Férié"),AND(F744="Congé",D744="OFF"),AND(F744="Congé",D744="Congé sans solde"),AND(F744="Congé",D744="Congé spécial"),AND(F744="Congé",D744="Férié"),AND(F744="Congé sans solde",D744="OFF"),AND(F744="Congé sans solde",D744="Congé"),AND(F744="Congé sans solde",D744="Congé spécial"),AND(F744="Congé sans solde",D744="Férié"),AND(F744="Congé spécial",D744="OFF"),AND(F744="Congé spécial",D744="Congé"),AND(F744="Congé spécial",D744="Congé sans solde"),AND(F744="Congé spécial",D744="Férié"),AND(F744="Férié",D744="OFF"),AND(F744="Férié",D744="Congé"),AND(F744="Férié",D744="Congé sans solde"),AND(F744="Férié",D744="Congé spécial")),0,IF(OR(F744="OFF",F744="Congé",F744="Congé spécial",F744="Congé sans solde",D744="OFF",D744="Congé",D744="Congé spécial",D744="Congé sans solde"),0.208333333333334,IF(AND(AG744="",F744-D744&lt;0),("24:00:00"-D744)+("00:00:00"+F744)-0.0416666666666667,IF(AND(OR(AG744="Allaitement",AG744="Sans déjeuner"),F744-D744&lt;0),("24:00:00"-D744)+("00:00:00"+F744),IF(AND(AG744="",F744-D744&gt;0.166666666666667),F744-D744-0.0416666666666667,IF(AND(OR(AG744="Allaitement",AG744="Sans déjeuner"),F744-D744&gt;0.166666666666667),F744-D744,F744-D744)))))))</f>
        <v>0.333333333333333</v>
      </c>
      <c r="P744" s="6" t="str">
        <f aca="false">IFERROR(VLOOKUP($B744,Agents!$A:$D,2,0),"-")</f>
        <v>Accessibilité</v>
      </c>
      <c r="Q744" s="21" t="n">
        <v>46178</v>
      </c>
      <c r="R744" s="8" t="n">
        <f aca="false">IF(M744="Abs",O744,0)</f>
        <v>0</v>
      </c>
      <c r="S744" s="8" t="n">
        <f aca="false">SUM(R744,L744,I744,J744,W744,H744)</f>
        <v>0</v>
      </c>
      <c r="T744" s="6" t="str">
        <f aca="false">"Sem - "&amp;WEEKNUM(Q744,21)</f>
        <v>Sem - 23</v>
      </c>
      <c r="U744" s="6" t="str">
        <f aca="false">CHOOSE(MONTH(Q744),"Janvier","Février","Mars","Avril","Mai","Juin","Juillet","Août","Septembre","Octobre","Novembre","Décembre")</f>
        <v>Juin</v>
      </c>
      <c r="V744" s="22" t="n">
        <f aca="false">YEAR(Q744)</f>
        <v>2026</v>
      </c>
      <c r="W744" s="20"/>
      <c r="X744" s="8" t="n">
        <f aca="false">IFERROR(IF(M744="Abs",0,IF(ROUND((D744-C744+E744-F744)*1440,0)&lt;=1,0,D744-C744+E744-F744)),0)</f>
        <v>0</v>
      </c>
      <c r="Y744" s="6" t="str">
        <f aca="false">IFERROR(VLOOKUP($B744,Agents!$A:$D,3,0),"-")</f>
        <v>OUBRAHIM Mohammed</v>
      </c>
      <c r="Z744" s="6" t="str">
        <f aca="false">IFERROR(VLOOKUP($B744,Agents!$A:$D,4,0),"-")</f>
        <v>Credit Mutuel</v>
      </c>
      <c r="AA744" s="18" t="s">
        <v>105</v>
      </c>
      <c r="AB744" s="8" t="str">
        <f aca="false">IF(AND(D744="Congé",F744="Congé"),0.333333333333333,IF(OR(AND(D744="Congé",F744&lt;&gt;"Congé"),(AND(F744="Congé",D744&lt;&gt;"Congé"))),0.166666666666667,""))</f>
        <v/>
      </c>
      <c r="AC744" s="8" t="str">
        <f aca="false">IF(AND(D744="Congé sans solde",F744="Congé sans solde"),0.333333333333333,IF(OR(AND(D744="Congé sans solde",F744&lt;&gt;"Congé sans solde"),(AND(F744="Congé sans solde",D744&lt;&gt;"Congé sans solde"))),0.166666666666667,""))</f>
        <v/>
      </c>
      <c r="AD744" s="8" t="str">
        <f aca="false">IF(AND(D744="Congé spécial",F744="Congé spécial"),0.333333333333333,IF(OR(AND(D744="Congé spécial",F744&lt;&gt;"Congé spécial"),AND(F744="Congé spécial",D744&lt;&gt;"Congé spécial")),0.166666666666667,""))</f>
        <v/>
      </c>
      <c r="AE744" s="8" t="str">
        <f aca="false">IF(AND(D744="Férié",F744="Férié"),0.333333333333333,IF(OR(AND(D744="Férié",F744&lt;&gt;"Férié"),(AND(F744="Férié",D744&lt;&gt;"Férié"))),0.166666666666667,""))</f>
        <v/>
      </c>
      <c r="AF744" s="18"/>
      <c r="AG744" s="18"/>
    </row>
    <row r="745" customFormat="false" ht="15" hidden="false" customHeight="false" outlineLevel="0" collapsed="false">
      <c r="A745" s="6" t="str">
        <f aca="false">YEAR(Q745-WEEKDAY(Q745,2)+4)&amp;"-S"&amp;TEXT(WEEKNUM(Q745,21),"00")</f>
        <v>2026-S23</v>
      </c>
      <c r="B745" s="18" t="s">
        <v>71</v>
      </c>
      <c r="C745" s="19"/>
      <c r="D745" s="19" t="s">
        <v>74</v>
      </c>
      <c r="E745" s="19"/>
      <c r="F745" s="19" t="s">
        <v>74</v>
      </c>
      <c r="G745" s="20"/>
      <c r="H745" s="20"/>
      <c r="I745" s="8" t="str">
        <f aca="false">IF(IF(OR(C745="",D745="Congé",D745="OFF",D745="Congé spécial"),"",IF(D745&gt;F745,D745-C745,IF(C745-D745&lt;0,0,C745-D745)))&lt;0.00068287037037037,"",IF(OR(D745="Congé",D745="OFF",C745="",D745="Congé spécial"),"",IF(D745&gt;F745,D745-C745,IF(C745-D745&lt;0,0,C745-D745))))</f>
        <v/>
      </c>
      <c r="J745" s="20"/>
      <c r="K745" s="8" t="n">
        <f aca="false">IF(SUM(H745:J745)&lt;0.00068287037037037,0,SUM(H745:J745))</f>
        <v>0</v>
      </c>
      <c r="L745" s="8" t="n">
        <f aca="false">IF(OR(F745="Congé",F745="OFF",M745="Abs",F745="Congé sans solde",F745="Férié",F745="Congé spécial",D745="Congé spécial"),0,IF(F745-E745&lt;0,0,IF(F745-E745&lt;=0.00068287037037037,0,F745-E745)))</f>
        <v>0</v>
      </c>
      <c r="M745" s="6" t="n">
        <f aca="false">IF(AND(O745&lt;&gt;0,C745=""),"Abs",0)</f>
        <v>0</v>
      </c>
      <c r="N745" s="8" t="str">
        <f aca="false">IFERROR(IF(OR(D745="OFF",D745="Congé",M745="Abs",D745="Congé sans solde",D745="Férié"),"",IF(O745-K745-L745&gt;O745,O745,IF(O745-K745-L745&lt;0,"",O745-K745-L745))),"")</f>
        <v/>
      </c>
      <c r="O745" s="8" t="n">
        <f aca="false">IF(AG745="2H Pause déjeuner",IF(F745-D745-0.0833333333333333&lt;0,F745-D745-0.0833333333333333+1,F745-D745-0.0833333333333333),IF(OR(AND(F745="OFF",D745="OFF"),AND(F745="Congé",D745="Congé"),AND(F745="Congé sans solde",D745="Congé sans solde"),AND(F745="Congé spécial",D745="Congé spécial"),AND(F745="Férié",D745="Férié"),AND(F745="OFF",D745="Congé"),AND(F745="OFF",D745="Congé sans solde"),AND(F745="OFF",D745="Congé spécial"),AND(F745="OFF",D745="Férié"),AND(F745="Congé",D745="OFF"),AND(F745="Congé",D745="Congé sans solde"),AND(F745="Congé",D745="Congé spécial"),AND(F745="Congé",D745="Férié"),AND(F745="Congé sans solde",D745="OFF"),AND(F745="Congé sans solde",D745="Congé"),AND(F745="Congé sans solde",D745="Congé spécial"),AND(F745="Congé sans solde",D745="Férié"),AND(F745="Congé spécial",D745="OFF"),AND(F745="Congé spécial",D745="Congé"),AND(F745="Congé spécial",D745="Congé sans solde"),AND(F745="Congé spécial",D745="Férié"),AND(F745="Férié",D745="OFF"),AND(F745="Férié",D745="Congé"),AND(F745="Férié",D745="Congé sans solde"),AND(F745="Férié",D745="Congé spécial")),0,IF(OR(F745="OFF",F745="Congé",F745="Congé spécial",F745="Congé sans solde",D745="OFF",D745="Congé",D745="Congé spécial",D745="Congé sans solde"),0.208333333333334,IF(AND(AG745="",F745-D745&lt;0),("24:00:00"-D745)+("00:00:00"+F745)-0.0416666666666667,IF(AND(OR(AG745="Allaitement",AG745="Sans déjeuner"),F745-D745&lt;0),("24:00:00"-D745)+("00:00:00"+F745),IF(AND(AG745="",F745-D745&gt;0.166666666666667),F745-D745-0.0416666666666667,IF(AND(OR(AG745="Allaitement",AG745="Sans déjeuner"),F745-D745&gt;0.166666666666667),F745-D745,F745-D745)))))))</f>
        <v>0</v>
      </c>
      <c r="P745" s="6" t="str">
        <f aca="false">IFERROR(VLOOKUP($B745,Agents!$A:$D,2,0),"-")</f>
        <v>Accessibilité</v>
      </c>
      <c r="Q745" s="21" t="n">
        <v>46179</v>
      </c>
      <c r="R745" s="8" t="n">
        <f aca="false">IF(M745="Abs",O745,0)</f>
        <v>0</v>
      </c>
      <c r="S745" s="8" t="n">
        <f aca="false">SUM(R745,L745,I745,J745,W745,H745)</f>
        <v>0</v>
      </c>
      <c r="T745" s="6" t="str">
        <f aca="false">"Sem - "&amp;WEEKNUM(Q745,21)</f>
        <v>Sem - 23</v>
      </c>
      <c r="U745" s="6" t="str">
        <f aca="false">CHOOSE(MONTH(Q745),"Janvier","Février","Mars","Avril","Mai","Juin","Juillet","Août","Septembre","Octobre","Novembre","Décembre")</f>
        <v>Juin</v>
      </c>
      <c r="V745" s="22" t="n">
        <f aca="false">YEAR(Q745)</f>
        <v>2026</v>
      </c>
      <c r="W745" s="20"/>
      <c r="X745" s="8" t="n">
        <f aca="false">IFERROR(IF(M745="Abs",0,IF(ROUND((D745-C745+E745-F745)*1440,0)&lt;=1,0,D745-C745+E745-F745)),0)</f>
        <v>0</v>
      </c>
      <c r="Y745" s="6" t="str">
        <f aca="false">IFERROR(VLOOKUP($B745,Agents!$A:$D,3,0),"-")</f>
        <v>OUBRAHIM Mohammed</v>
      </c>
      <c r="Z745" s="6" t="str">
        <f aca="false">IFERROR(VLOOKUP($B745,Agents!$A:$D,4,0),"-")</f>
        <v>Credit Mutuel</v>
      </c>
      <c r="AA745" s="18" t="s">
        <v>105</v>
      </c>
      <c r="AB745" s="8" t="str">
        <f aca="false">IF(AND(D745="Congé",F745="Congé"),0.333333333333333,IF(OR(AND(D745="Congé",F745&lt;&gt;"Congé"),(AND(F745="Congé",D745&lt;&gt;"Congé"))),0.166666666666667,""))</f>
        <v/>
      </c>
      <c r="AC745" s="8" t="str">
        <f aca="false">IF(AND(D745="Congé sans solde",F745="Congé sans solde"),0.333333333333333,IF(OR(AND(D745="Congé sans solde",F745&lt;&gt;"Congé sans solde"),(AND(F745="Congé sans solde",D745&lt;&gt;"Congé sans solde"))),0.166666666666667,""))</f>
        <v/>
      </c>
      <c r="AD745" s="8" t="str">
        <f aca="false">IF(AND(D745="Congé spécial",F745="Congé spécial"),0.333333333333333,IF(OR(AND(D745="Congé spécial",F745&lt;&gt;"Congé spécial"),AND(F745="Congé spécial",D745&lt;&gt;"Congé spécial")),0.166666666666667,""))</f>
        <v/>
      </c>
      <c r="AE745" s="8" t="str">
        <f aca="false">IF(AND(D745="Férié",F745="Férié"),0.333333333333333,IF(OR(AND(D745="Férié",F745&lt;&gt;"Férié"),(AND(F745="Férié",D745&lt;&gt;"Férié"))),0.166666666666667,""))</f>
        <v/>
      </c>
      <c r="AF745" s="18"/>
      <c r="AG745" s="18"/>
    </row>
    <row r="746" customFormat="false" ht="15" hidden="false" customHeight="false" outlineLevel="0" collapsed="false">
      <c r="A746" s="6" t="str">
        <f aca="false">YEAR(Q746-WEEKDAY(Q746,2)+4)&amp;"-S"&amp;TEXT(WEEKNUM(Q746,21),"00")</f>
        <v>2026-S23</v>
      </c>
      <c r="B746" s="18" t="s">
        <v>72</v>
      </c>
      <c r="C746" s="19"/>
      <c r="D746" s="19" t="s">
        <v>74</v>
      </c>
      <c r="E746" s="19"/>
      <c r="F746" s="19" t="s">
        <v>74</v>
      </c>
      <c r="G746" s="20"/>
      <c r="H746" s="20"/>
      <c r="I746" s="8" t="str">
        <f aca="false">IF(IF(OR(C746="",D746="Congé",D746="OFF",D746="Congé spécial"),"",IF(D746&gt;F746,D746-C746,IF(C746-D746&lt;0,0,C746-D746)))&lt;0.00068287037037037,"",IF(OR(D746="Congé",D746="OFF",C746="",D746="Congé spécial"),"",IF(D746&gt;F746,D746-C746,IF(C746-D746&lt;0,0,C746-D746))))</f>
        <v/>
      </c>
      <c r="J746" s="20"/>
      <c r="K746" s="8" t="n">
        <f aca="false">IF(SUM(H746:J746)&lt;0.00068287037037037,0,SUM(H746:J746))</f>
        <v>0</v>
      </c>
      <c r="L746" s="8" t="n">
        <f aca="false">IF(OR(F746="Congé",F746="OFF",M746="Abs",F746="Congé sans solde",F746="Férié",F746="Congé spécial",D746="Congé spécial"),0,IF(F746-E746&lt;0,0,IF(F746-E746&lt;=0.00068287037037037,0,F746-E746)))</f>
        <v>0</v>
      </c>
      <c r="M746" s="6" t="n">
        <f aca="false">IF(AND(O746&lt;&gt;0,C746=""),"Abs",0)</f>
        <v>0</v>
      </c>
      <c r="N746" s="8" t="str">
        <f aca="false">IFERROR(IF(OR(D746="OFF",D746="Congé",M746="Abs",D746="Congé sans solde",D746="Férié"),"",IF(O746-K746-L746&gt;O746,O746,IF(O746-K746-L746&lt;0,"",O746-K746-L746))),"")</f>
        <v/>
      </c>
      <c r="O746" s="8" t="n">
        <f aca="false">IF(AG746="2H Pause déjeuner",IF(F746-D746-0.0833333333333333&lt;0,F746-D746-0.0833333333333333+1,F746-D746-0.0833333333333333),IF(OR(AND(F746="OFF",D746="OFF"),AND(F746="Congé",D746="Congé"),AND(F746="Congé sans solde",D746="Congé sans solde"),AND(F746="Congé spécial",D746="Congé spécial"),AND(F746="Férié",D746="Férié"),AND(F746="OFF",D746="Congé"),AND(F746="OFF",D746="Congé sans solde"),AND(F746="OFF",D746="Congé spécial"),AND(F746="OFF",D746="Férié"),AND(F746="Congé",D746="OFF"),AND(F746="Congé",D746="Congé sans solde"),AND(F746="Congé",D746="Congé spécial"),AND(F746="Congé",D746="Férié"),AND(F746="Congé sans solde",D746="OFF"),AND(F746="Congé sans solde",D746="Congé"),AND(F746="Congé sans solde",D746="Congé spécial"),AND(F746="Congé sans solde",D746="Férié"),AND(F746="Congé spécial",D746="OFF"),AND(F746="Congé spécial",D746="Congé"),AND(F746="Congé spécial",D746="Congé sans solde"),AND(F746="Congé spécial",D746="Férié"),AND(F746="Férié",D746="OFF"),AND(F746="Férié",D746="Congé"),AND(F746="Férié",D746="Congé sans solde"),AND(F746="Férié",D746="Congé spécial")),0,IF(OR(F746="OFF",F746="Congé",F746="Congé spécial",F746="Congé sans solde",D746="OFF",D746="Congé",D746="Congé spécial",D746="Congé sans solde"),0.208333333333334,IF(AND(AG746="",F746-D746&lt;0),("24:00:00"-D746)+("00:00:00"+F746)-0.0416666666666667,IF(AND(OR(AG746="Allaitement",AG746="Sans déjeuner"),F746-D746&lt;0),("24:00:00"-D746)+("00:00:00"+F746),IF(AND(AG746="",F746-D746&gt;0.166666666666667),F746-D746-0.0416666666666667,IF(AND(OR(AG746="Allaitement",AG746="Sans déjeuner"),F746-D746&gt;0.166666666666667),F746-D746,F746-D746)))))))</f>
        <v>0</v>
      </c>
      <c r="P746" s="6" t="str">
        <f aca="false">IFERROR(VLOOKUP($B746,Agents!$A:$D,2,0),"-")</f>
        <v>Accessibilité</v>
      </c>
      <c r="Q746" s="21" t="n">
        <v>46179</v>
      </c>
      <c r="R746" s="8" t="n">
        <f aca="false">IF(M746="Abs",O746,0)</f>
        <v>0</v>
      </c>
      <c r="S746" s="8" t="n">
        <f aca="false">SUM(R746,L746,I746,J746,W746,H746)</f>
        <v>0</v>
      </c>
      <c r="T746" s="6" t="str">
        <f aca="false">"Sem - "&amp;WEEKNUM(Q746,21)</f>
        <v>Sem - 23</v>
      </c>
      <c r="U746" s="6" t="str">
        <f aca="false">CHOOSE(MONTH(Q746),"Janvier","Février","Mars","Avril","Mai","Juin","Juillet","Août","Septembre","Octobre","Novembre","Décembre")</f>
        <v>Juin</v>
      </c>
      <c r="V746" s="22" t="n">
        <f aca="false">YEAR(Q746)</f>
        <v>2026</v>
      </c>
      <c r="W746" s="20"/>
      <c r="X746" s="8" t="n">
        <f aca="false">IFERROR(IF(M746="Abs",0,IF(ROUND((D746-C746+E746-F746)*1440,0)&lt;=1,0,D746-C746+E746-F746)),0)</f>
        <v>0</v>
      </c>
      <c r="Y746" s="6" t="str">
        <f aca="false">IFERROR(VLOOKUP($B746,Agents!$A:$D,3,0),"-")</f>
        <v>OUBRAHIM Mohammed</v>
      </c>
      <c r="Z746" s="6" t="str">
        <f aca="false">IFERROR(VLOOKUP($B746,Agents!$A:$D,4,0),"-")</f>
        <v>Credit Mutuel</v>
      </c>
      <c r="AA746" s="18" t="s">
        <v>105</v>
      </c>
      <c r="AB746" s="8" t="str">
        <f aca="false">IF(AND(D746="Congé",F746="Congé"),0.333333333333333,IF(OR(AND(D746="Congé",F746&lt;&gt;"Congé"),(AND(F746="Congé",D746&lt;&gt;"Congé"))),0.166666666666667,""))</f>
        <v/>
      </c>
      <c r="AC746" s="8" t="str">
        <f aca="false">IF(AND(D746="Congé sans solde",F746="Congé sans solde"),0.333333333333333,IF(OR(AND(D746="Congé sans solde",F746&lt;&gt;"Congé sans solde"),(AND(F746="Congé sans solde",D746&lt;&gt;"Congé sans solde"))),0.166666666666667,""))</f>
        <v/>
      </c>
      <c r="AD746" s="8" t="str">
        <f aca="false">IF(AND(D746="Congé spécial",F746="Congé spécial"),0.333333333333333,IF(OR(AND(D746="Congé spécial",F746&lt;&gt;"Congé spécial"),AND(F746="Congé spécial",D746&lt;&gt;"Congé spécial")),0.166666666666667,""))</f>
        <v/>
      </c>
      <c r="AE746" s="8" t="str">
        <f aca="false">IF(AND(D746="Férié",F746="Férié"),0.333333333333333,IF(OR(AND(D746="Férié",F746&lt;&gt;"Férié"),(AND(F746="Férié",D746&lt;&gt;"Férié"))),0.166666666666667,""))</f>
        <v/>
      </c>
      <c r="AF746" s="18"/>
      <c r="AG746" s="18"/>
    </row>
    <row r="747" customFormat="false" ht="15" hidden="false" customHeight="false" outlineLevel="0" collapsed="false">
      <c r="A747" s="6" t="str">
        <f aca="false">YEAR(Q747-WEEKDAY(Q747,2)+4)&amp;"-S"&amp;TEXT(WEEKNUM(Q747,21),"00")</f>
        <v>2026-S23</v>
      </c>
      <c r="B747" s="18" t="s">
        <v>73</v>
      </c>
      <c r="C747" s="19"/>
      <c r="D747" s="19" t="s">
        <v>74</v>
      </c>
      <c r="E747" s="19"/>
      <c r="F747" s="19" t="s">
        <v>74</v>
      </c>
      <c r="G747" s="20"/>
      <c r="H747" s="20"/>
      <c r="I747" s="8" t="str">
        <f aca="false">IF(IF(OR(C747="",D747="Congé",D747="OFF",D747="Congé spécial"),"",IF(D747&gt;F747,D747-C747,IF(C747-D747&lt;0,0,C747-D747)))&lt;0.00068287037037037,"",IF(OR(D747="Congé",D747="OFF",C747="",D747="Congé spécial"),"",IF(D747&gt;F747,D747-C747,IF(C747-D747&lt;0,0,C747-D747))))</f>
        <v/>
      </c>
      <c r="J747" s="20"/>
      <c r="K747" s="8" t="n">
        <f aca="false">IF(SUM(H747:J747)&lt;0.00068287037037037,0,SUM(H747:J747))</f>
        <v>0</v>
      </c>
      <c r="L747" s="8" t="n">
        <f aca="false">IF(OR(F747="Congé",F747="OFF",M747="Abs",F747="Congé sans solde",F747="Férié",F747="Congé spécial",D747="Congé spécial"),0,IF(F747-E747&lt;0,0,IF(F747-E747&lt;=0.00068287037037037,0,F747-E747)))</f>
        <v>0</v>
      </c>
      <c r="M747" s="6" t="n">
        <f aca="false">IF(AND(O747&lt;&gt;0,C747=""),"Abs",0)</f>
        <v>0</v>
      </c>
      <c r="N747" s="8" t="str">
        <f aca="false">IFERROR(IF(OR(D747="OFF",D747="Congé",M747="Abs",D747="Congé sans solde",D747="Férié"),"",IF(O747-K747-L747&gt;O747,O747,IF(O747-K747-L747&lt;0,"",O747-K747-L747))),"")</f>
        <v/>
      </c>
      <c r="O747" s="8" t="n">
        <f aca="false">IF(AG747="2H Pause déjeuner",IF(F747-D747-0.0833333333333333&lt;0,F747-D747-0.0833333333333333+1,F747-D747-0.0833333333333333),IF(OR(AND(F747="OFF",D747="OFF"),AND(F747="Congé",D747="Congé"),AND(F747="Congé sans solde",D747="Congé sans solde"),AND(F747="Congé spécial",D747="Congé spécial"),AND(F747="Férié",D747="Férié"),AND(F747="OFF",D747="Congé"),AND(F747="OFF",D747="Congé sans solde"),AND(F747="OFF",D747="Congé spécial"),AND(F747="OFF",D747="Férié"),AND(F747="Congé",D747="OFF"),AND(F747="Congé",D747="Congé sans solde"),AND(F747="Congé",D747="Congé spécial"),AND(F747="Congé",D747="Férié"),AND(F747="Congé sans solde",D747="OFF"),AND(F747="Congé sans solde",D747="Congé"),AND(F747="Congé sans solde",D747="Congé spécial"),AND(F747="Congé sans solde",D747="Férié"),AND(F747="Congé spécial",D747="OFF"),AND(F747="Congé spécial",D747="Congé"),AND(F747="Congé spécial",D747="Congé sans solde"),AND(F747="Congé spécial",D747="Férié"),AND(F747="Férié",D747="OFF"),AND(F747="Férié",D747="Congé"),AND(F747="Férié",D747="Congé sans solde"),AND(F747="Férié",D747="Congé spécial")),0,IF(OR(F747="OFF",F747="Congé",F747="Congé spécial",F747="Congé sans solde",D747="OFF",D747="Congé",D747="Congé spécial",D747="Congé sans solde"),0.208333333333334,IF(AND(AG747="",F747-D747&lt;0),("24:00:00"-D747)+("00:00:00"+F747)-0.0416666666666667,IF(AND(OR(AG747="Allaitement",AG747="Sans déjeuner"),F747-D747&lt;0),("24:00:00"-D747)+("00:00:00"+F747),IF(AND(AG747="",F747-D747&gt;0.166666666666667),F747-D747-0.0416666666666667,IF(AND(OR(AG747="Allaitement",AG747="Sans déjeuner"),F747-D747&gt;0.166666666666667),F747-D747,F747-D747)))))))</f>
        <v>0</v>
      </c>
      <c r="P747" s="6" t="str">
        <f aca="false">IFERROR(VLOOKUP($B747,Agents!$A:$D,2,0),"-")</f>
        <v>Accessibilité</v>
      </c>
      <c r="Q747" s="21" t="n">
        <v>46179</v>
      </c>
      <c r="R747" s="8" t="n">
        <f aca="false">IF(M747="Abs",O747,0)</f>
        <v>0</v>
      </c>
      <c r="S747" s="8" t="n">
        <f aca="false">SUM(R747,L747,I747,J747,W747,H747)</f>
        <v>0</v>
      </c>
      <c r="T747" s="6" t="str">
        <f aca="false">"Sem - "&amp;WEEKNUM(Q747,21)</f>
        <v>Sem - 23</v>
      </c>
      <c r="U747" s="6" t="str">
        <f aca="false">CHOOSE(MONTH(Q747),"Janvier","Février","Mars","Avril","Mai","Juin","Juillet","Août","Septembre","Octobre","Novembre","Décembre")</f>
        <v>Juin</v>
      </c>
      <c r="V747" s="22" t="n">
        <f aca="false">YEAR(Q747)</f>
        <v>2026</v>
      </c>
      <c r="W747" s="20"/>
      <c r="X747" s="8" t="n">
        <f aca="false">IFERROR(IF(M747="Abs",0,IF(ROUND((D747-C747+E747-F747)*1440,0)&lt;=1,0,D747-C747+E747-F747)),0)</f>
        <v>0</v>
      </c>
      <c r="Y747" s="6" t="str">
        <f aca="false">IFERROR(VLOOKUP($B747,Agents!$A:$D,3,0),"-")</f>
        <v>OUBRAHIM Mohammed</v>
      </c>
      <c r="Z747" s="6" t="str">
        <f aca="false">IFERROR(VLOOKUP($B747,Agents!$A:$D,4,0),"-")</f>
        <v>Credit Mutuel</v>
      </c>
      <c r="AA747" s="18" t="s">
        <v>105</v>
      </c>
      <c r="AB747" s="8" t="str">
        <f aca="false">IF(AND(D747="Congé",F747="Congé"),0.333333333333333,IF(OR(AND(D747="Congé",F747&lt;&gt;"Congé"),(AND(F747="Congé",D747&lt;&gt;"Congé"))),0.166666666666667,""))</f>
        <v/>
      </c>
      <c r="AC747" s="8" t="str">
        <f aca="false">IF(AND(D747="Congé sans solde",F747="Congé sans solde"),0.333333333333333,IF(OR(AND(D747="Congé sans solde",F747&lt;&gt;"Congé sans solde"),(AND(F747="Congé sans solde",D747&lt;&gt;"Congé sans solde"))),0.166666666666667,""))</f>
        <v/>
      </c>
      <c r="AD747" s="8" t="str">
        <f aca="false">IF(AND(D747="Congé spécial",F747="Congé spécial"),0.333333333333333,IF(OR(AND(D747="Congé spécial",F747&lt;&gt;"Congé spécial"),AND(F747="Congé spécial",D747&lt;&gt;"Congé spécial")),0.166666666666667,""))</f>
        <v/>
      </c>
      <c r="AE747" s="8" t="str">
        <f aca="false">IF(AND(D747="Férié",F747="Férié"),0.333333333333333,IF(OR(AND(D747="Férié",F747&lt;&gt;"Férié"),(AND(F747="Férié",D747&lt;&gt;"Férié"))),0.166666666666667,""))</f>
        <v/>
      </c>
      <c r="AF747" s="18"/>
      <c r="AG747" s="18"/>
    </row>
    <row r="748" customFormat="false" ht="15" hidden="false" customHeight="false" outlineLevel="0" collapsed="false">
      <c r="A748" s="6" t="str">
        <f aca="false">YEAR(Q748-WEEKDAY(Q748,2)+4)&amp;"-S"&amp;TEXT(WEEKNUM(Q748,21),"00")</f>
        <v>2026-S23</v>
      </c>
      <c r="B748" s="18" t="s">
        <v>71</v>
      </c>
      <c r="C748" s="19"/>
      <c r="D748" s="19" t="s">
        <v>74</v>
      </c>
      <c r="E748" s="19"/>
      <c r="F748" s="19" t="s">
        <v>74</v>
      </c>
      <c r="G748" s="20"/>
      <c r="H748" s="20"/>
      <c r="I748" s="8" t="str">
        <f aca="false">IF(IF(OR(C748="",D748="Congé",D748="OFF",D748="Congé spécial"),"",IF(D748&gt;F748,D748-C748,IF(C748-D748&lt;0,0,C748-D748)))&lt;0.00068287037037037,"",IF(OR(D748="Congé",D748="OFF",C748="",D748="Congé spécial"),"",IF(D748&gt;F748,D748-C748,IF(C748-D748&lt;0,0,C748-D748))))</f>
        <v/>
      </c>
      <c r="J748" s="20"/>
      <c r="K748" s="8" t="n">
        <f aca="false">IF(SUM(H748:J748)&lt;0.00068287037037037,0,SUM(H748:J748))</f>
        <v>0</v>
      </c>
      <c r="L748" s="8" t="n">
        <f aca="false">IF(OR(F748="Congé",F748="OFF",M748="Abs",F748="Congé sans solde",F748="Férié",F748="Congé spécial",D748="Congé spécial"),0,IF(F748-E748&lt;0,0,IF(F748-E748&lt;=0.00068287037037037,0,F748-E748)))</f>
        <v>0</v>
      </c>
      <c r="M748" s="6" t="n">
        <f aca="false">IF(AND(O748&lt;&gt;0,C748=""),"Abs",0)</f>
        <v>0</v>
      </c>
      <c r="N748" s="8" t="str">
        <f aca="false">IFERROR(IF(OR(D748="OFF",D748="Congé",M748="Abs",D748="Congé sans solde",D748="Férié"),"",IF(O748-K748-L748&gt;O748,O748,IF(O748-K748-L748&lt;0,"",O748-K748-L748))),"")</f>
        <v/>
      </c>
      <c r="O748" s="8" t="n">
        <f aca="false">IF(AG748="2H Pause déjeuner",IF(F748-D748-0.0833333333333333&lt;0,F748-D748-0.0833333333333333+1,F748-D748-0.0833333333333333),IF(OR(AND(F748="OFF",D748="OFF"),AND(F748="Congé",D748="Congé"),AND(F748="Congé sans solde",D748="Congé sans solde"),AND(F748="Congé spécial",D748="Congé spécial"),AND(F748="Férié",D748="Férié"),AND(F748="OFF",D748="Congé"),AND(F748="OFF",D748="Congé sans solde"),AND(F748="OFF",D748="Congé spécial"),AND(F748="OFF",D748="Férié"),AND(F748="Congé",D748="OFF"),AND(F748="Congé",D748="Congé sans solde"),AND(F748="Congé",D748="Congé spécial"),AND(F748="Congé",D748="Férié"),AND(F748="Congé sans solde",D748="OFF"),AND(F748="Congé sans solde",D748="Congé"),AND(F748="Congé sans solde",D748="Congé spécial"),AND(F748="Congé sans solde",D748="Férié"),AND(F748="Congé spécial",D748="OFF"),AND(F748="Congé spécial",D748="Congé"),AND(F748="Congé spécial",D748="Congé sans solde"),AND(F748="Congé spécial",D748="Férié"),AND(F748="Férié",D748="OFF"),AND(F748="Férié",D748="Congé"),AND(F748="Férié",D748="Congé sans solde"),AND(F748="Férié",D748="Congé spécial")),0,IF(OR(F748="OFF",F748="Congé",F748="Congé spécial",F748="Congé sans solde",D748="OFF",D748="Congé",D748="Congé spécial",D748="Congé sans solde"),0.208333333333334,IF(AND(AG748="",F748-D748&lt;0),("24:00:00"-D748)+("00:00:00"+F748)-0.0416666666666667,IF(AND(OR(AG748="Allaitement",AG748="Sans déjeuner"),F748-D748&lt;0),("24:00:00"-D748)+("00:00:00"+F748),IF(AND(AG748="",F748-D748&gt;0.166666666666667),F748-D748-0.0416666666666667,IF(AND(OR(AG748="Allaitement",AG748="Sans déjeuner"),F748-D748&gt;0.166666666666667),F748-D748,F748-D748)))))))</f>
        <v>0</v>
      </c>
      <c r="P748" s="6" t="str">
        <f aca="false">IFERROR(VLOOKUP($B748,Agents!$A:$D,2,0),"-")</f>
        <v>Accessibilité</v>
      </c>
      <c r="Q748" s="21" t="n">
        <v>46180</v>
      </c>
      <c r="R748" s="8" t="n">
        <f aca="false">IF(M748="Abs",O748,0)</f>
        <v>0</v>
      </c>
      <c r="S748" s="8" t="n">
        <f aca="false">SUM(R748,L748,I748,J748,W748,H748)</f>
        <v>0</v>
      </c>
      <c r="T748" s="6" t="str">
        <f aca="false">"Sem - "&amp;WEEKNUM(Q748,21)</f>
        <v>Sem - 23</v>
      </c>
      <c r="U748" s="6" t="str">
        <f aca="false">CHOOSE(MONTH(Q748),"Janvier","Février","Mars","Avril","Mai","Juin","Juillet","Août","Septembre","Octobre","Novembre","Décembre")</f>
        <v>Juin</v>
      </c>
      <c r="V748" s="22" t="n">
        <f aca="false">YEAR(Q748)</f>
        <v>2026</v>
      </c>
      <c r="W748" s="20"/>
      <c r="X748" s="8" t="n">
        <f aca="false">IFERROR(IF(M748="Abs",0,IF(ROUND((D748-C748+E748-F748)*1440,0)&lt;=1,0,D748-C748+E748-F748)),0)</f>
        <v>0</v>
      </c>
      <c r="Y748" s="6" t="str">
        <f aca="false">IFERROR(VLOOKUP($B748,Agents!$A:$D,3,0),"-")</f>
        <v>OUBRAHIM Mohammed</v>
      </c>
      <c r="Z748" s="6" t="str">
        <f aca="false">IFERROR(VLOOKUP($B748,Agents!$A:$D,4,0),"-")</f>
        <v>Credit Mutuel</v>
      </c>
      <c r="AA748" s="18" t="s">
        <v>105</v>
      </c>
      <c r="AB748" s="8" t="str">
        <f aca="false">IF(AND(D748="Congé",F748="Congé"),0.333333333333333,IF(OR(AND(D748="Congé",F748&lt;&gt;"Congé"),(AND(F748="Congé",D748&lt;&gt;"Congé"))),0.166666666666667,""))</f>
        <v/>
      </c>
      <c r="AC748" s="8" t="str">
        <f aca="false">IF(AND(D748="Congé sans solde",F748="Congé sans solde"),0.333333333333333,IF(OR(AND(D748="Congé sans solde",F748&lt;&gt;"Congé sans solde"),(AND(F748="Congé sans solde",D748&lt;&gt;"Congé sans solde"))),0.166666666666667,""))</f>
        <v/>
      </c>
      <c r="AD748" s="8" t="str">
        <f aca="false">IF(AND(D748="Congé spécial",F748="Congé spécial"),0.333333333333333,IF(OR(AND(D748="Congé spécial",F748&lt;&gt;"Congé spécial"),AND(F748="Congé spécial",D748&lt;&gt;"Congé spécial")),0.166666666666667,""))</f>
        <v/>
      </c>
      <c r="AE748" s="8" t="str">
        <f aca="false">IF(AND(D748="Férié",F748="Férié"),0.333333333333333,IF(OR(AND(D748="Férié",F748&lt;&gt;"Férié"),(AND(F748="Férié",D748&lt;&gt;"Férié"))),0.166666666666667,""))</f>
        <v/>
      </c>
      <c r="AF748" s="18"/>
      <c r="AG748" s="18"/>
    </row>
    <row r="749" customFormat="false" ht="15" hidden="false" customHeight="false" outlineLevel="0" collapsed="false">
      <c r="A749" s="6" t="str">
        <f aca="false">YEAR(Q749-WEEKDAY(Q749,2)+4)&amp;"-S"&amp;TEXT(WEEKNUM(Q749,21),"00")</f>
        <v>2026-S23</v>
      </c>
      <c r="B749" s="18" t="s">
        <v>72</v>
      </c>
      <c r="C749" s="19"/>
      <c r="D749" s="19" t="s">
        <v>74</v>
      </c>
      <c r="E749" s="19"/>
      <c r="F749" s="19" t="s">
        <v>74</v>
      </c>
      <c r="G749" s="20"/>
      <c r="H749" s="20"/>
      <c r="I749" s="8" t="str">
        <f aca="false">IF(IF(OR(C749="",D749="Congé",D749="OFF",D749="Congé spécial"),"",IF(D749&gt;F749,D749-C749,IF(C749-D749&lt;0,0,C749-D749)))&lt;0.00068287037037037,"",IF(OR(D749="Congé",D749="OFF",C749="",D749="Congé spécial"),"",IF(D749&gt;F749,D749-C749,IF(C749-D749&lt;0,0,C749-D749))))</f>
        <v/>
      </c>
      <c r="J749" s="20"/>
      <c r="K749" s="8" t="n">
        <f aca="false">IF(SUM(H749:J749)&lt;0.00068287037037037,0,SUM(H749:J749))</f>
        <v>0</v>
      </c>
      <c r="L749" s="8" t="n">
        <f aca="false">IF(OR(F749="Congé",F749="OFF",M749="Abs",F749="Congé sans solde",F749="Férié",F749="Congé spécial",D749="Congé spécial"),0,IF(F749-E749&lt;0,0,IF(F749-E749&lt;=0.00068287037037037,0,F749-E749)))</f>
        <v>0</v>
      </c>
      <c r="M749" s="6" t="n">
        <f aca="false">IF(AND(O749&lt;&gt;0,C749=""),"Abs",0)</f>
        <v>0</v>
      </c>
      <c r="N749" s="8" t="str">
        <f aca="false">IFERROR(IF(OR(D749="OFF",D749="Congé",M749="Abs",D749="Congé sans solde",D749="Férié"),"",IF(O749-K749-L749&gt;O749,O749,IF(O749-K749-L749&lt;0,"",O749-K749-L749))),"")</f>
        <v/>
      </c>
      <c r="O749" s="8" t="n">
        <f aca="false">IF(AG749="2H Pause déjeuner",IF(F749-D749-0.0833333333333333&lt;0,F749-D749-0.0833333333333333+1,F749-D749-0.0833333333333333),IF(OR(AND(F749="OFF",D749="OFF"),AND(F749="Congé",D749="Congé"),AND(F749="Congé sans solde",D749="Congé sans solde"),AND(F749="Congé spécial",D749="Congé spécial"),AND(F749="Férié",D749="Férié"),AND(F749="OFF",D749="Congé"),AND(F749="OFF",D749="Congé sans solde"),AND(F749="OFF",D749="Congé spécial"),AND(F749="OFF",D749="Férié"),AND(F749="Congé",D749="OFF"),AND(F749="Congé",D749="Congé sans solde"),AND(F749="Congé",D749="Congé spécial"),AND(F749="Congé",D749="Férié"),AND(F749="Congé sans solde",D749="OFF"),AND(F749="Congé sans solde",D749="Congé"),AND(F749="Congé sans solde",D749="Congé spécial"),AND(F749="Congé sans solde",D749="Férié"),AND(F749="Congé spécial",D749="OFF"),AND(F749="Congé spécial",D749="Congé"),AND(F749="Congé spécial",D749="Congé sans solde"),AND(F749="Congé spécial",D749="Férié"),AND(F749="Férié",D749="OFF"),AND(F749="Férié",D749="Congé"),AND(F749="Férié",D749="Congé sans solde"),AND(F749="Férié",D749="Congé spécial")),0,IF(OR(F749="OFF",F749="Congé",F749="Congé spécial",F749="Congé sans solde",D749="OFF",D749="Congé",D749="Congé spécial",D749="Congé sans solde"),0.208333333333334,IF(AND(AG749="",F749-D749&lt;0),("24:00:00"-D749)+("00:00:00"+F749)-0.0416666666666667,IF(AND(OR(AG749="Allaitement",AG749="Sans déjeuner"),F749-D749&lt;0),("24:00:00"-D749)+("00:00:00"+F749),IF(AND(AG749="",F749-D749&gt;0.166666666666667),F749-D749-0.0416666666666667,IF(AND(OR(AG749="Allaitement",AG749="Sans déjeuner"),F749-D749&gt;0.166666666666667),F749-D749,F749-D749)))))))</f>
        <v>0</v>
      </c>
      <c r="P749" s="6" t="str">
        <f aca="false">IFERROR(VLOOKUP($B749,Agents!$A:$D,2,0),"-")</f>
        <v>Accessibilité</v>
      </c>
      <c r="Q749" s="21" t="n">
        <v>46180</v>
      </c>
      <c r="R749" s="8" t="n">
        <f aca="false">IF(M749="Abs",O749,0)</f>
        <v>0</v>
      </c>
      <c r="S749" s="8" t="n">
        <f aca="false">SUM(R749,L749,I749,J749,W749,H749)</f>
        <v>0</v>
      </c>
      <c r="T749" s="6" t="str">
        <f aca="false">"Sem - "&amp;WEEKNUM(Q749,21)</f>
        <v>Sem - 23</v>
      </c>
      <c r="U749" s="6" t="str">
        <f aca="false">CHOOSE(MONTH(Q749),"Janvier","Février","Mars","Avril","Mai","Juin","Juillet","Août","Septembre","Octobre","Novembre","Décembre")</f>
        <v>Juin</v>
      </c>
      <c r="V749" s="22" t="n">
        <f aca="false">YEAR(Q749)</f>
        <v>2026</v>
      </c>
      <c r="W749" s="20"/>
      <c r="X749" s="8" t="n">
        <f aca="false">IFERROR(IF(M749="Abs",0,IF(ROUND((D749-C749+E749-F749)*1440,0)&lt;=1,0,D749-C749+E749-F749)),0)</f>
        <v>0</v>
      </c>
      <c r="Y749" s="6" t="str">
        <f aca="false">IFERROR(VLOOKUP($B749,Agents!$A:$D,3,0),"-")</f>
        <v>OUBRAHIM Mohammed</v>
      </c>
      <c r="Z749" s="6" t="str">
        <f aca="false">IFERROR(VLOOKUP($B749,Agents!$A:$D,4,0),"-")</f>
        <v>Credit Mutuel</v>
      </c>
      <c r="AA749" s="18" t="s">
        <v>105</v>
      </c>
      <c r="AB749" s="8" t="str">
        <f aca="false">IF(AND(D749="Congé",F749="Congé"),0.333333333333333,IF(OR(AND(D749="Congé",F749&lt;&gt;"Congé"),(AND(F749="Congé",D749&lt;&gt;"Congé"))),0.166666666666667,""))</f>
        <v/>
      </c>
      <c r="AC749" s="8" t="str">
        <f aca="false">IF(AND(D749="Congé sans solde",F749="Congé sans solde"),0.333333333333333,IF(OR(AND(D749="Congé sans solde",F749&lt;&gt;"Congé sans solde"),(AND(F749="Congé sans solde",D749&lt;&gt;"Congé sans solde"))),0.166666666666667,""))</f>
        <v/>
      </c>
      <c r="AD749" s="8" t="str">
        <f aca="false">IF(AND(D749="Congé spécial",F749="Congé spécial"),0.333333333333333,IF(OR(AND(D749="Congé spécial",F749&lt;&gt;"Congé spécial"),AND(F749="Congé spécial",D749&lt;&gt;"Congé spécial")),0.166666666666667,""))</f>
        <v/>
      </c>
      <c r="AE749" s="8" t="str">
        <f aca="false">IF(AND(D749="Férié",F749="Férié"),0.333333333333333,IF(OR(AND(D749="Férié",F749&lt;&gt;"Férié"),(AND(F749="Férié",D749&lt;&gt;"Férié"))),0.166666666666667,""))</f>
        <v/>
      </c>
      <c r="AF749" s="18"/>
      <c r="AG749" s="18"/>
    </row>
    <row r="750" customFormat="false" ht="15" hidden="false" customHeight="false" outlineLevel="0" collapsed="false">
      <c r="A750" s="6" t="str">
        <f aca="false">YEAR(Q750-WEEKDAY(Q750,2)+4)&amp;"-S"&amp;TEXT(WEEKNUM(Q750,21),"00")</f>
        <v>2026-S23</v>
      </c>
      <c r="B750" s="18" t="s">
        <v>73</v>
      </c>
      <c r="C750" s="19"/>
      <c r="D750" s="19" t="s">
        <v>74</v>
      </c>
      <c r="E750" s="19"/>
      <c r="F750" s="19" t="s">
        <v>74</v>
      </c>
      <c r="G750" s="20"/>
      <c r="H750" s="20"/>
      <c r="I750" s="8" t="str">
        <f aca="false">IF(IF(OR(C750="",D750="Congé",D750="OFF",D750="Congé spécial"),"",IF(D750&gt;F750,D750-C750,IF(C750-D750&lt;0,0,C750-D750)))&lt;0.00068287037037037,"",IF(OR(D750="Congé",D750="OFF",C750="",D750="Congé spécial"),"",IF(D750&gt;F750,D750-C750,IF(C750-D750&lt;0,0,C750-D750))))</f>
        <v/>
      </c>
      <c r="J750" s="20"/>
      <c r="K750" s="8" t="n">
        <f aca="false">IF(SUM(H750:J750)&lt;0.00068287037037037,0,SUM(H750:J750))</f>
        <v>0</v>
      </c>
      <c r="L750" s="8" t="n">
        <f aca="false">IF(OR(F750="Congé",F750="OFF",M750="Abs",F750="Congé sans solde",F750="Férié",F750="Congé spécial",D750="Congé spécial"),0,IF(F750-E750&lt;0,0,IF(F750-E750&lt;=0.00068287037037037,0,F750-E750)))</f>
        <v>0</v>
      </c>
      <c r="M750" s="6" t="n">
        <f aca="false">IF(AND(O750&lt;&gt;0,C750=""),"Abs",0)</f>
        <v>0</v>
      </c>
      <c r="N750" s="8" t="str">
        <f aca="false">IFERROR(IF(OR(D750="OFF",D750="Congé",M750="Abs",D750="Congé sans solde",D750="Férié"),"",IF(O750-K750-L750&gt;O750,O750,IF(O750-K750-L750&lt;0,"",O750-K750-L750))),"")</f>
        <v/>
      </c>
      <c r="O750" s="8" t="n">
        <f aca="false">IF(AG750="2H Pause déjeuner",IF(F750-D750-0.0833333333333333&lt;0,F750-D750-0.0833333333333333+1,F750-D750-0.0833333333333333),IF(OR(AND(F750="OFF",D750="OFF"),AND(F750="Congé",D750="Congé"),AND(F750="Congé sans solde",D750="Congé sans solde"),AND(F750="Congé spécial",D750="Congé spécial"),AND(F750="Férié",D750="Férié"),AND(F750="OFF",D750="Congé"),AND(F750="OFF",D750="Congé sans solde"),AND(F750="OFF",D750="Congé spécial"),AND(F750="OFF",D750="Férié"),AND(F750="Congé",D750="OFF"),AND(F750="Congé",D750="Congé sans solde"),AND(F750="Congé",D750="Congé spécial"),AND(F750="Congé",D750="Férié"),AND(F750="Congé sans solde",D750="OFF"),AND(F750="Congé sans solde",D750="Congé"),AND(F750="Congé sans solde",D750="Congé spécial"),AND(F750="Congé sans solde",D750="Férié"),AND(F750="Congé spécial",D750="OFF"),AND(F750="Congé spécial",D750="Congé"),AND(F750="Congé spécial",D750="Congé sans solde"),AND(F750="Congé spécial",D750="Férié"),AND(F750="Férié",D750="OFF"),AND(F750="Férié",D750="Congé"),AND(F750="Férié",D750="Congé sans solde"),AND(F750="Férié",D750="Congé spécial")),0,IF(OR(F750="OFF",F750="Congé",F750="Congé spécial",F750="Congé sans solde",D750="OFF",D750="Congé",D750="Congé spécial",D750="Congé sans solde"),0.208333333333334,IF(AND(AG750="",F750-D750&lt;0),("24:00:00"-D750)+("00:00:00"+F750)-0.0416666666666667,IF(AND(OR(AG750="Allaitement",AG750="Sans déjeuner"),F750-D750&lt;0),("24:00:00"-D750)+("00:00:00"+F750),IF(AND(AG750="",F750-D750&gt;0.166666666666667),F750-D750-0.0416666666666667,IF(AND(OR(AG750="Allaitement",AG750="Sans déjeuner"),F750-D750&gt;0.166666666666667),F750-D750,F750-D750)))))))</f>
        <v>0</v>
      </c>
      <c r="P750" s="6" t="str">
        <f aca="false">IFERROR(VLOOKUP($B750,Agents!$A:$D,2,0),"-")</f>
        <v>Accessibilité</v>
      </c>
      <c r="Q750" s="21" t="n">
        <v>46180</v>
      </c>
      <c r="R750" s="8" t="n">
        <f aca="false">IF(M750="Abs",O750,0)</f>
        <v>0</v>
      </c>
      <c r="S750" s="8" t="n">
        <f aca="false">SUM(R750,L750,I750,J750,W750,H750)</f>
        <v>0</v>
      </c>
      <c r="T750" s="6" t="str">
        <f aca="false">"Sem - "&amp;WEEKNUM(Q750,21)</f>
        <v>Sem - 23</v>
      </c>
      <c r="U750" s="6" t="str">
        <f aca="false">CHOOSE(MONTH(Q750),"Janvier","Février","Mars","Avril","Mai","Juin","Juillet","Août","Septembre","Octobre","Novembre","Décembre")</f>
        <v>Juin</v>
      </c>
      <c r="V750" s="22" t="n">
        <f aca="false">YEAR(Q750)</f>
        <v>2026</v>
      </c>
      <c r="W750" s="20"/>
      <c r="X750" s="8" t="n">
        <f aca="false">IFERROR(IF(M750="Abs",0,IF(ROUND((D750-C750+E750-F750)*1440,0)&lt;=1,0,D750-C750+E750-F750)),0)</f>
        <v>0</v>
      </c>
      <c r="Y750" s="6" t="str">
        <f aca="false">IFERROR(VLOOKUP($B750,Agents!$A:$D,3,0),"-")</f>
        <v>OUBRAHIM Mohammed</v>
      </c>
      <c r="Z750" s="6" t="str">
        <f aca="false">IFERROR(VLOOKUP($B750,Agents!$A:$D,4,0),"-")</f>
        <v>Credit Mutuel</v>
      </c>
      <c r="AA750" s="18" t="s">
        <v>105</v>
      </c>
      <c r="AB750" s="8" t="str">
        <f aca="false">IF(AND(D750="Congé",F750="Congé"),0.333333333333333,IF(OR(AND(D750="Congé",F750&lt;&gt;"Congé"),(AND(F750="Congé",D750&lt;&gt;"Congé"))),0.166666666666667,""))</f>
        <v/>
      </c>
      <c r="AC750" s="8" t="str">
        <f aca="false">IF(AND(D750="Congé sans solde",F750="Congé sans solde"),0.333333333333333,IF(OR(AND(D750="Congé sans solde",F750&lt;&gt;"Congé sans solde"),(AND(F750="Congé sans solde",D750&lt;&gt;"Congé sans solde"))),0.166666666666667,""))</f>
        <v/>
      </c>
      <c r="AD750" s="8" t="str">
        <f aca="false">IF(AND(D750="Congé spécial",F750="Congé spécial"),0.333333333333333,IF(OR(AND(D750="Congé spécial",F750&lt;&gt;"Congé spécial"),AND(F750="Congé spécial",D750&lt;&gt;"Congé spécial")),0.166666666666667,""))</f>
        <v/>
      </c>
      <c r="AE750" s="8" t="str">
        <f aca="false">IF(AND(D750="Férié",F750="Férié"),0.333333333333333,IF(OR(AND(D750="Férié",F750&lt;&gt;"Férié"),(AND(F750="Férié",D750&lt;&gt;"Férié"))),0.166666666666667,""))</f>
        <v/>
      </c>
      <c r="AF750" s="18"/>
      <c r="AG750" s="18"/>
    </row>
    <row r="751" customFormat="false" ht="15" hidden="false" customHeight="false" outlineLevel="0" collapsed="false">
      <c r="A751" s="6" t="str">
        <f aca="false">YEAR(Q751-WEEKDAY(Q751,2)+4)&amp;"-S"&amp;TEXT(WEEKNUM(Q751,21),"00")</f>
        <v>2026-S24</v>
      </c>
      <c r="B751" s="18" t="s">
        <v>71</v>
      </c>
      <c r="C751" s="19" t="n">
        <v>0.331944444444444</v>
      </c>
      <c r="D751" s="19" t="n">
        <v>0.333333333333333</v>
      </c>
      <c r="E751" s="19" t="n">
        <v>0.75</v>
      </c>
      <c r="F751" s="19" t="n">
        <v>0.75</v>
      </c>
      <c r="G751" s="20"/>
      <c r="H751" s="20"/>
      <c r="I751" s="8" t="str">
        <f aca="false">IF(IF(OR(C751="",D751="Congé",D751="OFF",D751="Congé spécial"),"",IF(D751&gt;F751,D751-C751,IF(C751-D751&lt;0,0,C751-D751)))&lt;0.00068287037037037,"",IF(OR(D751="Congé",D751="OFF",C751="",D751="Congé spécial"),"",IF(D751&gt;F751,D751-C751,IF(C751-D751&lt;0,0,C751-D751))))</f>
        <v/>
      </c>
      <c r="J751" s="20"/>
      <c r="K751" s="8" t="n">
        <f aca="false">IF(SUM(H751:J751)&lt;0.00068287037037037,0,SUM(H751:J751))</f>
        <v>0</v>
      </c>
      <c r="L751" s="8" t="n">
        <f aca="false">IF(OR(F751="Congé",F751="OFF",M751="Abs",F751="Congé sans solde",F751="Férié",F751="Congé spécial",D751="Congé spécial"),0,IF(F751-E751&lt;0,0,IF(F751-E751&lt;=0.00068287037037037,0,F751-E751)))</f>
        <v>0</v>
      </c>
      <c r="M751" s="6" t="n">
        <f aca="false">IF(AND(O751&lt;&gt;0,C751=""),"Abs",0)</f>
        <v>0</v>
      </c>
      <c r="N751" s="8" t="n">
        <f aca="false">IFERROR(IF(OR(D751="OFF",D751="Congé",M751="Abs",D751="Congé sans solde",D751="Férié"),"",IF(O751-K751-L751&gt;O751,O751,IF(O751-K751-L751&lt;0,"",O751-K751-L751))),"")</f>
        <v>0.375</v>
      </c>
      <c r="O751" s="8" t="n">
        <f aca="false">IF(AG751="2H Pause déjeuner",IF(F751-D751-0.0833333333333333&lt;0,F751-D751-0.0833333333333333+1,F751-D751-0.0833333333333333),IF(OR(AND(F751="OFF",D751="OFF"),AND(F751="Congé",D751="Congé"),AND(F751="Congé sans solde",D751="Congé sans solde"),AND(F751="Congé spécial",D751="Congé spécial"),AND(F751="Férié",D751="Férié"),AND(F751="OFF",D751="Congé"),AND(F751="OFF",D751="Congé sans solde"),AND(F751="OFF",D751="Congé spécial"),AND(F751="OFF",D751="Férié"),AND(F751="Congé",D751="OFF"),AND(F751="Congé",D751="Congé sans solde"),AND(F751="Congé",D751="Congé spécial"),AND(F751="Congé",D751="Férié"),AND(F751="Congé sans solde",D751="OFF"),AND(F751="Congé sans solde",D751="Congé"),AND(F751="Congé sans solde",D751="Congé spécial"),AND(F751="Congé sans solde",D751="Férié"),AND(F751="Congé spécial",D751="OFF"),AND(F751="Congé spécial",D751="Congé"),AND(F751="Congé spécial",D751="Congé sans solde"),AND(F751="Congé spécial",D751="Férié"),AND(F751="Férié",D751="OFF"),AND(F751="Férié",D751="Congé"),AND(F751="Férié",D751="Congé sans solde"),AND(F751="Férié",D751="Congé spécial")),0,IF(OR(F751="OFF",F751="Congé",F751="Congé spécial",F751="Congé sans solde",D751="OFF",D751="Congé",D751="Congé spécial",D751="Congé sans solde"),0.208333333333334,IF(AND(AG751="",F751-D751&lt;0),("24:00:00"-D751)+("00:00:00"+F751)-0.0416666666666667,IF(AND(OR(AG751="Allaitement",AG751="Sans déjeuner"),F751-D751&lt;0),("24:00:00"-D751)+("00:00:00"+F751),IF(AND(AG751="",F751-D751&gt;0.166666666666667),F751-D751-0.0416666666666667,IF(AND(OR(AG751="Allaitement",AG751="Sans déjeuner"),F751-D751&gt;0.166666666666667),F751-D751,F751-D751)))))))</f>
        <v>0.375</v>
      </c>
      <c r="P751" s="6" t="str">
        <f aca="false">IFERROR(VLOOKUP($B751,Agents!$A:$D,2,0),"-")</f>
        <v>Accessibilité</v>
      </c>
      <c r="Q751" s="21" t="n">
        <v>46181</v>
      </c>
      <c r="R751" s="8" t="n">
        <f aca="false">IF(M751="Abs",O751,0)</f>
        <v>0</v>
      </c>
      <c r="S751" s="8" t="n">
        <f aca="false">SUM(R751,L751,I751,J751,W751,H751)</f>
        <v>0</v>
      </c>
      <c r="T751" s="6" t="str">
        <f aca="false">"Sem - "&amp;WEEKNUM(Q751,21)</f>
        <v>Sem - 24</v>
      </c>
      <c r="U751" s="6" t="str">
        <f aca="false">CHOOSE(MONTH(Q751),"Janvier","Février","Mars","Avril","Mai","Juin","Juillet","Août","Septembre","Octobre","Novembre","Décembre")</f>
        <v>Juin</v>
      </c>
      <c r="V751" s="22" t="n">
        <f aca="false">YEAR(Q751)</f>
        <v>2026</v>
      </c>
      <c r="W751" s="20"/>
      <c r="X751" s="8" t="n">
        <f aca="false">IFERROR(IF(M751="Abs",0,IF(ROUND((D751-C751+E751-F751)*1440,0)&lt;=1,0,D751-C751+E751-F751)),0)</f>
        <v>0.00138888888888889</v>
      </c>
      <c r="Y751" s="6" t="str">
        <f aca="false">IFERROR(VLOOKUP($B751,Agents!$A:$D,3,0),"-")</f>
        <v>OUBRAHIM Mohammed</v>
      </c>
      <c r="Z751" s="6" t="str">
        <f aca="false">IFERROR(VLOOKUP($B751,Agents!$A:$D,4,0),"-")</f>
        <v>Credit Mutuel</v>
      </c>
      <c r="AA751" s="18" t="s">
        <v>106</v>
      </c>
      <c r="AB751" s="8" t="str">
        <f aca="false">IF(AND(D751="Congé",F751="Congé"),0.333333333333333,IF(OR(AND(D751="Congé",F751&lt;&gt;"Congé"),(AND(F751="Congé",D751&lt;&gt;"Congé"))),0.166666666666667,""))</f>
        <v/>
      </c>
      <c r="AC751" s="8" t="str">
        <f aca="false">IF(AND(D751="Congé sans solde",F751="Congé sans solde"),0.333333333333333,IF(OR(AND(D751="Congé sans solde",F751&lt;&gt;"Congé sans solde"),(AND(F751="Congé sans solde",D751&lt;&gt;"Congé sans solde"))),0.166666666666667,""))</f>
        <v/>
      </c>
      <c r="AD751" s="8" t="str">
        <f aca="false">IF(AND(D751="Congé spécial",F751="Congé spécial"),0.333333333333333,IF(OR(AND(D751="Congé spécial",F751&lt;&gt;"Congé spécial"),AND(F751="Congé spécial",D751&lt;&gt;"Congé spécial")),0.166666666666667,""))</f>
        <v/>
      </c>
      <c r="AE751" s="8" t="str">
        <f aca="false">IF(AND(D751="Férié",F751="Férié"),0.333333333333333,IF(OR(AND(D751="Férié",F751&lt;&gt;"Férié"),(AND(F751="Férié",D751&lt;&gt;"Férié"))),0.166666666666667,""))</f>
        <v/>
      </c>
      <c r="AF751" s="18"/>
      <c r="AG751" s="18"/>
    </row>
    <row r="752" customFormat="false" ht="15" hidden="false" customHeight="false" outlineLevel="0" collapsed="false">
      <c r="A752" s="6" t="str">
        <f aca="false">YEAR(Q752-WEEKDAY(Q752,2)+4)&amp;"-S"&amp;TEXT(WEEKNUM(Q752,21),"00")</f>
        <v>2026-S24</v>
      </c>
      <c r="B752" s="18" t="s">
        <v>72</v>
      </c>
      <c r="C752" s="19" t="n">
        <v>0.331944444444444</v>
      </c>
      <c r="D752" s="19" t="n">
        <v>0.333333333333333</v>
      </c>
      <c r="E752" s="19" t="n">
        <v>0.75</v>
      </c>
      <c r="F752" s="19" t="n">
        <v>0.75</v>
      </c>
      <c r="G752" s="20"/>
      <c r="H752" s="20"/>
      <c r="I752" s="8" t="str">
        <f aca="false">IF(IF(OR(C752="",D752="Congé",D752="OFF",D752="Congé spécial"),"",IF(D752&gt;F752,D752-C752,IF(C752-D752&lt;0,0,C752-D752)))&lt;0.00068287037037037,"",IF(OR(D752="Congé",D752="OFF",C752="",D752="Congé spécial"),"",IF(D752&gt;F752,D752-C752,IF(C752-D752&lt;0,0,C752-D752))))</f>
        <v/>
      </c>
      <c r="J752" s="20"/>
      <c r="K752" s="8" t="n">
        <f aca="false">IF(SUM(H752:J752)&lt;0.00068287037037037,0,SUM(H752:J752))</f>
        <v>0</v>
      </c>
      <c r="L752" s="8" t="n">
        <f aca="false">IF(OR(F752="Congé",F752="OFF",M752="Abs",F752="Congé sans solde",F752="Férié",F752="Congé spécial",D752="Congé spécial"),0,IF(F752-E752&lt;0,0,IF(F752-E752&lt;=0.00068287037037037,0,F752-E752)))</f>
        <v>0</v>
      </c>
      <c r="M752" s="6" t="n">
        <f aca="false">IF(AND(O752&lt;&gt;0,C752=""),"Abs",0)</f>
        <v>0</v>
      </c>
      <c r="N752" s="8" t="n">
        <f aca="false">IFERROR(IF(OR(D752="OFF",D752="Congé",M752="Abs",D752="Congé sans solde",D752="Férié"),"",IF(O752-K752-L752&gt;O752,O752,IF(O752-K752-L752&lt;0,"",O752-K752-L752))),"")</f>
        <v>0.375</v>
      </c>
      <c r="O752" s="8" t="n">
        <f aca="false">IF(AG752="2H Pause déjeuner",IF(F752-D752-0.0833333333333333&lt;0,F752-D752-0.0833333333333333+1,F752-D752-0.0833333333333333),IF(OR(AND(F752="OFF",D752="OFF"),AND(F752="Congé",D752="Congé"),AND(F752="Congé sans solde",D752="Congé sans solde"),AND(F752="Congé spécial",D752="Congé spécial"),AND(F752="Férié",D752="Férié"),AND(F752="OFF",D752="Congé"),AND(F752="OFF",D752="Congé sans solde"),AND(F752="OFF",D752="Congé spécial"),AND(F752="OFF",D752="Férié"),AND(F752="Congé",D752="OFF"),AND(F752="Congé",D752="Congé sans solde"),AND(F752="Congé",D752="Congé spécial"),AND(F752="Congé",D752="Férié"),AND(F752="Congé sans solde",D752="OFF"),AND(F752="Congé sans solde",D752="Congé"),AND(F752="Congé sans solde",D752="Congé spécial"),AND(F752="Congé sans solde",D752="Férié"),AND(F752="Congé spécial",D752="OFF"),AND(F752="Congé spécial",D752="Congé"),AND(F752="Congé spécial",D752="Congé sans solde"),AND(F752="Congé spécial",D752="Férié"),AND(F752="Férié",D752="OFF"),AND(F752="Férié",D752="Congé"),AND(F752="Férié",D752="Congé sans solde"),AND(F752="Férié",D752="Congé spécial")),0,IF(OR(F752="OFF",F752="Congé",F752="Congé spécial",F752="Congé sans solde",D752="OFF",D752="Congé",D752="Congé spécial",D752="Congé sans solde"),0.208333333333334,IF(AND(AG752="",F752-D752&lt;0),("24:00:00"-D752)+("00:00:00"+F752)-0.0416666666666667,IF(AND(OR(AG752="Allaitement",AG752="Sans déjeuner"),F752-D752&lt;0),("24:00:00"-D752)+("00:00:00"+F752),IF(AND(AG752="",F752-D752&gt;0.166666666666667),F752-D752-0.0416666666666667,IF(AND(OR(AG752="Allaitement",AG752="Sans déjeuner"),F752-D752&gt;0.166666666666667),F752-D752,F752-D752)))))))</f>
        <v>0.375</v>
      </c>
      <c r="P752" s="6" t="str">
        <f aca="false">IFERROR(VLOOKUP($B752,Agents!$A:$D,2,0),"-")</f>
        <v>Accessibilité</v>
      </c>
      <c r="Q752" s="21" t="n">
        <v>46181</v>
      </c>
      <c r="R752" s="8" t="n">
        <f aca="false">IF(M752="Abs",O752,0)</f>
        <v>0</v>
      </c>
      <c r="S752" s="8" t="n">
        <f aca="false">SUM(R752,L752,I752,J752,W752,H752)</f>
        <v>0</v>
      </c>
      <c r="T752" s="6" t="str">
        <f aca="false">"Sem - "&amp;WEEKNUM(Q752,21)</f>
        <v>Sem - 24</v>
      </c>
      <c r="U752" s="6" t="str">
        <f aca="false">CHOOSE(MONTH(Q752),"Janvier","Février","Mars","Avril","Mai","Juin","Juillet","Août","Septembre","Octobre","Novembre","Décembre")</f>
        <v>Juin</v>
      </c>
      <c r="V752" s="22" t="n">
        <f aca="false">YEAR(Q752)</f>
        <v>2026</v>
      </c>
      <c r="W752" s="20"/>
      <c r="X752" s="8" t="n">
        <f aca="false">IFERROR(IF(M752="Abs",0,IF(ROUND((D752-C752+E752-F752)*1440,0)&lt;=1,0,D752-C752+E752-F752)),0)</f>
        <v>0.00138888888888889</v>
      </c>
      <c r="Y752" s="6" t="str">
        <f aca="false">IFERROR(VLOOKUP($B752,Agents!$A:$D,3,0),"-")</f>
        <v>OUBRAHIM Mohammed</v>
      </c>
      <c r="Z752" s="6" t="str">
        <f aca="false">IFERROR(VLOOKUP($B752,Agents!$A:$D,4,0),"-")</f>
        <v>Credit Mutuel</v>
      </c>
      <c r="AA752" s="18" t="s">
        <v>106</v>
      </c>
      <c r="AB752" s="8" t="str">
        <f aca="false">IF(AND(D752="Congé",F752="Congé"),0.333333333333333,IF(OR(AND(D752="Congé",F752&lt;&gt;"Congé"),(AND(F752="Congé",D752&lt;&gt;"Congé"))),0.166666666666667,""))</f>
        <v/>
      </c>
      <c r="AC752" s="8" t="str">
        <f aca="false">IF(AND(D752="Congé sans solde",F752="Congé sans solde"),0.333333333333333,IF(OR(AND(D752="Congé sans solde",F752&lt;&gt;"Congé sans solde"),(AND(F752="Congé sans solde",D752&lt;&gt;"Congé sans solde"))),0.166666666666667,""))</f>
        <v/>
      </c>
      <c r="AD752" s="8" t="str">
        <f aca="false">IF(AND(D752="Congé spécial",F752="Congé spécial"),0.333333333333333,IF(OR(AND(D752="Congé spécial",F752&lt;&gt;"Congé spécial"),AND(F752="Congé spécial",D752&lt;&gt;"Congé spécial")),0.166666666666667,""))</f>
        <v/>
      </c>
      <c r="AE752" s="8" t="str">
        <f aca="false">IF(AND(D752="Férié",F752="Férié"),0.333333333333333,IF(OR(AND(D752="Férié",F752&lt;&gt;"Férié"),(AND(F752="Férié",D752&lt;&gt;"Férié"))),0.166666666666667,""))</f>
        <v/>
      </c>
      <c r="AF752" s="18"/>
      <c r="AG752" s="18"/>
    </row>
    <row r="753" customFormat="false" ht="15" hidden="false" customHeight="false" outlineLevel="0" collapsed="false">
      <c r="A753" s="6" t="str">
        <f aca="false">YEAR(Q753-WEEKDAY(Q753,2)+4)&amp;"-S"&amp;TEXT(WEEKNUM(Q753,21),"00")</f>
        <v>2026-S24</v>
      </c>
      <c r="B753" s="18" t="s">
        <v>73</v>
      </c>
      <c r="C753" s="19" t="n">
        <v>0.331944444444444</v>
      </c>
      <c r="D753" s="19" t="n">
        <v>0.333333333333333</v>
      </c>
      <c r="E753" s="19" t="n">
        <v>0.75</v>
      </c>
      <c r="F753" s="19" t="n">
        <v>0.75</v>
      </c>
      <c r="G753" s="20"/>
      <c r="H753" s="20"/>
      <c r="I753" s="8" t="str">
        <f aca="false">IF(IF(OR(C753="",D753="Congé",D753="OFF",D753="Congé spécial"),"",IF(D753&gt;F753,D753-C753,IF(C753-D753&lt;0,0,C753-D753)))&lt;0.00068287037037037,"",IF(OR(D753="Congé",D753="OFF",C753="",D753="Congé spécial"),"",IF(D753&gt;F753,D753-C753,IF(C753-D753&lt;0,0,C753-D753))))</f>
        <v/>
      </c>
      <c r="J753" s="20"/>
      <c r="K753" s="8" t="n">
        <f aca="false">IF(SUM(H753:J753)&lt;0.00068287037037037,0,SUM(H753:J753))</f>
        <v>0</v>
      </c>
      <c r="L753" s="8" t="n">
        <f aca="false">IF(OR(F753="Congé",F753="OFF",M753="Abs",F753="Congé sans solde",F753="Férié",F753="Congé spécial",D753="Congé spécial"),0,IF(F753-E753&lt;0,0,IF(F753-E753&lt;=0.00068287037037037,0,F753-E753)))</f>
        <v>0</v>
      </c>
      <c r="M753" s="6" t="n">
        <f aca="false">IF(AND(O753&lt;&gt;0,C753=""),"Abs",0)</f>
        <v>0</v>
      </c>
      <c r="N753" s="8" t="n">
        <f aca="false">IFERROR(IF(OR(D753="OFF",D753="Congé",M753="Abs",D753="Congé sans solde",D753="Férié"),"",IF(O753-K753-L753&gt;O753,O753,IF(O753-K753-L753&lt;0,"",O753-K753-L753))),"")</f>
        <v>0.375</v>
      </c>
      <c r="O753" s="8" t="n">
        <f aca="false">IF(AG753="2H Pause déjeuner",IF(F753-D753-0.0833333333333333&lt;0,F753-D753-0.0833333333333333+1,F753-D753-0.0833333333333333),IF(OR(AND(F753="OFF",D753="OFF"),AND(F753="Congé",D753="Congé"),AND(F753="Congé sans solde",D753="Congé sans solde"),AND(F753="Congé spécial",D753="Congé spécial"),AND(F753="Férié",D753="Férié"),AND(F753="OFF",D753="Congé"),AND(F753="OFF",D753="Congé sans solde"),AND(F753="OFF",D753="Congé spécial"),AND(F753="OFF",D753="Férié"),AND(F753="Congé",D753="OFF"),AND(F753="Congé",D753="Congé sans solde"),AND(F753="Congé",D753="Congé spécial"),AND(F753="Congé",D753="Férié"),AND(F753="Congé sans solde",D753="OFF"),AND(F753="Congé sans solde",D753="Congé"),AND(F753="Congé sans solde",D753="Congé spécial"),AND(F753="Congé sans solde",D753="Férié"),AND(F753="Congé spécial",D753="OFF"),AND(F753="Congé spécial",D753="Congé"),AND(F753="Congé spécial",D753="Congé sans solde"),AND(F753="Congé spécial",D753="Férié"),AND(F753="Férié",D753="OFF"),AND(F753="Férié",D753="Congé"),AND(F753="Férié",D753="Congé sans solde"),AND(F753="Férié",D753="Congé spécial")),0,IF(OR(F753="OFF",F753="Congé",F753="Congé spécial",F753="Congé sans solde",D753="OFF",D753="Congé",D753="Congé spécial",D753="Congé sans solde"),0.208333333333334,IF(AND(AG753="",F753-D753&lt;0),("24:00:00"-D753)+("00:00:00"+F753)-0.0416666666666667,IF(AND(OR(AG753="Allaitement",AG753="Sans déjeuner"),F753-D753&lt;0),("24:00:00"-D753)+("00:00:00"+F753),IF(AND(AG753="",F753-D753&gt;0.166666666666667),F753-D753-0.0416666666666667,IF(AND(OR(AG753="Allaitement",AG753="Sans déjeuner"),F753-D753&gt;0.166666666666667),F753-D753,F753-D753)))))))</f>
        <v>0.375</v>
      </c>
      <c r="P753" s="6" t="str">
        <f aca="false">IFERROR(VLOOKUP($B753,Agents!$A:$D,2,0),"-")</f>
        <v>Accessibilité</v>
      </c>
      <c r="Q753" s="21" t="n">
        <v>46181</v>
      </c>
      <c r="R753" s="8" t="n">
        <f aca="false">IF(M753="Abs",O753,0)</f>
        <v>0</v>
      </c>
      <c r="S753" s="8" t="n">
        <f aca="false">SUM(R753,L753,I753,J753,W753,H753)</f>
        <v>0</v>
      </c>
      <c r="T753" s="6" t="str">
        <f aca="false">"Sem - "&amp;WEEKNUM(Q753,21)</f>
        <v>Sem - 24</v>
      </c>
      <c r="U753" s="6" t="str">
        <f aca="false">CHOOSE(MONTH(Q753),"Janvier","Février","Mars","Avril","Mai","Juin","Juillet","Août","Septembre","Octobre","Novembre","Décembre")</f>
        <v>Juin</v>
      </c>
      <c r="V753" s="22" t="n">
        <f aca="false">YEAR(Q753)</f>
        <v>2026</v>
      </c>
      <c r="W753" s="20"/>
      <c r="X753" s="8" t="n">
        <f aca="false">IFERROR(IF(M753="Abs",0,IF(ROUND((D753-C753+E753-F753)*1440,0)&lt;=1,0,D753-C753+E753-F753)),0)</f>
        <v>0.00138888888888889</v>
      </c>
      <c r="Y753" s="6" t="str">
        <f aca="false">IFERROR(VLOOKUP($B753,Agents!$A:$D,3,0),"-")</f>
        <v>OUBRAHIM Mohammed</v>
      </c>
      <c r="Z753" s="6" t="str">
        <f aca="false">IFERROR(VLOOKUP($B753,Agents!$A:$D,4,0),"-")</f>
        <v>Credit Mutuel</v>
      </c>
      <c r="AA753" s="18" t="s">
        <v>106</v>
      </c>
      <c r="AB753" s="8" t="str">
        <f aca="false">IF(AND(D753="Congé",F753="Congé"),0.333333333333333,IF(OR(AND(D753="Congé",F753&lt;&gt;"Congé"),(AND(F753="Congé",D753&lt;&gt;"Congé"))),0.166666666666667,""))</f>
        <v/>
      </c>
      <c r="AC753" s="8" t="str">
        <f aca="false">IF(AND(D753="Congé sans solde",F753="Congé sans solde"),0.333333333333333,IF(OR(AND(D753="Congé sans solde",F753&lt;&gt;"Congé sans solde"),(AND(F753="Congé sans solde",D753&lt;&gt;"Congé sans solde"))),0.166666666666667,""))</f>
        <v/>
      </c>
      <c r="AD753" s="8" t="str">
        <f aca="false">IF(AND(D753="Congé spécial",F753="Congé spécial"),0.333333333333333,IF(OR(AND(D753="Congé spécial",F753&lt;&gt;"Congé spécial"),AND(F753="Congé spécial",D753&lt;&gt;"Congé spécial")),0.166666666666667,""))</f>
        <v/>
      </c>
      <c r="AE753" s="8" t="str">
        <f aca="false">IF(AND(D753="Férié",F753="Férié"),0.333333333333333,IF(OR(AND(D753="Férié",F753&lt;&gt;"Férié"),(AND(F753="Férié",D753&lt;&gt;"Férié"))),0.166666666666667,""))</f>
        <v/>
      </c>
      <c r="AF753" s="18"/>
      <c r="AG753" s="18"/>
    </row>
    <row r="754" customFormat="false" ht="15" hidden="false" customHeight="false" outlineLevel="0" collapsed="false">
      <c r="A754" s="6" t="str">
        <f aca="false">YEAR(Q754-WEEKDAY(Q754,2)+4)&amp;"-S"&amp;TEXT(WEEKNUM(Q754,21),"00")</f>
        <v>2026-S24</v>
      </c>
      <c r="B754" s="18" t="s">
        <v>71</v>
      </c>
      <c r="C754" s="19" t="n">
        <v>0.333333333333333</v>
      </c>
      <c r="D754" s="19" t="n">
        <v>0.333333333333333</v>
      </c>
      <c r="E754" s="19" t="n">
        <v>0.75</v>
      </c>
      <c r="F754" s="19" t="n">
        <v>0.75</v>
      </c>
      <c r="G754" s="20"/>
      <c r="H754" s="20"/>
      <c r="I754" s="8" t="str">
        <f aca="false">IF(IF(OR(C754="",D754="Congé",D754="OFF",D754="Congé spécial"),"",IF(D754&gt;F754,D754-C754,IF(C754-D754&lt;0,0,C754-D754)))&lt;0.00068287037037037,"",IF(OR(D754="Congé",D754="OFF",C754="",D754="Congé spécial"),"",IF(D754&gt;F754,D754-C754,IF(C754-D754&lt;0,0,C754-D754))))</f>
        <v/>
      </c>
      <c r="J754" s="20"/>
      <c r="K754" s="8" t="n">
        <f aca="false">IF(SUM(H754:J754)&lt;0.00068287037037037,0,SUM(H754:J754))</f>
        <v>0</v>
      </c>
      <c r="L754" s="8" t="n">
        <f aca="false">IF(OR(F754="Congé",F754="OFF",M754="Abs",F754="Congé sans solde",F754="Férié",F754="Congé spécial",D754="Congé spécial"),0,IF(F754-E754&lt;0,0,IF(F754-E754&lt;=0.00068287037037037,0,F754-E754)))</f>
        <v>0</v>
      </c>
      <c r="M754" s="6" t="n">
        <f aca="false">IF(AND(O754&lt;&gt;0,C754=""),"Abs",0)</f>
        <v>0</v>
      </c>
      <c r="N754" s="8" t="n">
        <f aca="false">IFERROR(IF(OR(D754="OFF",D754="Congé",M754="Abs",D754="Congé sans solde",D754="Férié"),"",IF(O754-K754-L754&gt;O754,O754,IF(O754-K754-L754&lt;0,"",O754-K754-L754))),"")</f>
        <v>0.375</v>
      </c>
      <c r="O754" s="8" t="n">
        <f aca="false">IF(AG754="2H Pause déjeuner",IF(F754-D754-0.0833333333333333&lt;0,F754-D754-0.0833333333333333+1,F754-D754-0.0833333333333333),IF(OR(AND(F754="OFF",D754="OFF"),AND(F754="Congé",D754="Congé"),AND(F754="Congé sans solde",D754="Congé sans solde"),AND(F754="Congé spécial",D754="Congé spécial"),AND(F754="Férié",D754="Férié"),AND(F754="OFF",D754="Congé"),AND(F754="OFF",D754="Congé sans solde"),AND(F754="OFF",D754="Congé spécial"),AND(F754="OFF",D754="Férié"),AND(F754="Congé",D754="OFF"),AND(F754="Congé",D754="Congé sans solde"),AND(F754="Congé",D754="Congé spécial"),AND(F754="Congé",D754="Férié"),AND(F754="Congé sans solde",D754="OFF"),AND(F754="Congé sans solde",D754="Congé"),AND(F754="Congé sans solde",D754="Congé spécial"),AND(F754="Congé sans solde",D754="Férié"),AND(F754="Congé spécial",D754="OFF"),AND(F754="Congé spécial",D754="Congé"),AND(F754="Congé spécial",D754="Congé sans solde"),AND(F754="Congé spécial",D754="Férié"),AND(F754="Férié",D754="OFF"),AND(F754="Férié",D754="Congé"),AND(F754="Férié",D754="Congé sans solde"),AND(F754="Férié",D754="Congé spécial")),0,IF(OR(F754="OFF",F754="Congé",F754="Congé spécial",F754="Congé sans solde",D754="OFF",D754="Congé",D754="Congé spécial",D754="Congé sans solde"),0.208333333333334,IF(AND(AG754="",F754-D754&lt;0),("24:00:00"-D754)+("00:00:00"+F754)-0.0416666666666667,IF(AND(OR(AG754="Allaitement",AG754="Sans déjeuner"),F754-D754&lt;0),("24:00:00"-D754)+("00:00:00"+F754),IF(AND(AG754="",F754-D754&gt;0.166666666666667),F754-D754-0.0416666666666667,IF(AND(OR(AG754="Allaitement",AG754="Sans déjeuner"),F754-D754&gt;0.166666666666667),F754-D754,F754-D754)))))))</f>
        <v>0.375</v>
      </c>
      <c r="P754" s="6" t="str">
        <f aca="false">IFERROR(VLOOKUP($B754,Agents!$A:$D,2,0),"-")</f>
        <v>Accessibilité</v>
      </c>
      <c r="Q754" s="21" t="n">
        <v>46182</v>
      </c>
      <c r="R754" s="8" t="n">
        <f aca="false">IF(M754="Abs",O754,0)</f>
        <v>0</v>
      </c>
      <c r="S754" s="8" t="n">
        <f aca="false">SUM(R754,L754,I754,J754,W754,H754)</f>
        <v>0</v>
      </c>
      <c r="T754" s="6" t="str">
        <f aca="false">"Sem - "&amp;WEEKNUM(Q754,21)</f>
        <v>Sem - 24</v>
      </c>
      <c r="U754" s="6" t="str">
        <f aca="false">CHOOSE(MONTH(Q754),"Janvier","Février","Mars","Avril","Mai","Juin","Juillet","Août","Septembre","Octobre","Novembre","Décembre")</f>
        <v>Juin</v>
      </c>
      <c r="V754" s="22" t="n">
        <f aca="false">YEAR(Q754)</f>
        <v>2026</v>
      </c>
      <c r="W754" s="20"/>
      <c r="X754" s="8" t="n">
        <f aca="false">IFERROR(IF(M754="Abs",0,IF(ROUND((D754-C754+E754-F754)*1440,0)&lt;=1,0,D754-C754+E754-F754)),0)</f>
        <v>0</v>
      </c>
      <c r="Y754" s="6" t="str">
        <f aca="false">IFERROR(VLOOKUP($B754,Agents!$A:$D,3,0),"-")</f>
        <v>OUBRAHIM Mohammed</v>
      </c>
      <c r="Z754" s="6" t="str">
        <f aca="false">IFERROR(VLOOKUP($B754,Agents!$A:$D,4,0),"-")</f>
        <v>Credit Mutuel</v>
      </c>
      <c r="AA754" s="18" t="s">
        <v>106</v>
      </c>
      <c r="AB754" s="8" t="str">
        <f aca="false">IF(AND(D754="Congé",F754="Congé"),0.333333333333333,IF(OR(AND(D754="Congé",F754&lt;&gt;"Congé"),(AND(F754="Congé",D754&lt;&gt;"Congé"))),0.166666666666667,""))</f>
        <v/>
      </c>
      <c r="AC754" s="8" t="str">
        <f aca="false">IF(AND(D754="Congé sans solde",F754="Congé sans solde"),0.333333333333333,IF(OR(AND(D754="Congé sans solde",F754&lt;&gt;"Congé sans solde"),(AND(F754="Congé sans solde",D754&lt;&gt;"Congé sans solde"))),0.166666666666667,""))</f>
        <v/>
      </c>
      <c r="AD754" s="8" t="str">
        <f aca="false">IF(AND(D754="Congé spécial",F754="Congé spécial"),0.333333333333333,IF(OR(AND(D754="Congé spécial",F754&lt;&gt;"Congé spécial"),AND(F754="Congé spécial",D754&lt;&gt;"Congé spécial")),0.166666666666667,""))</f>
        <v/>
      </c>
      <c r="AE754" s="8" t="str">
        <f aca="false">IF(AND(D754="Férié",F754="Férié"),0.333333333333333,IF(OR(AND(D754="Férié",F754&lt;&gt;"Férié"),(AND(F754="Férié",D754&lt;&gt;"Férié"))),0.166666666666667,""))</f>
        <v/>
      </c>
      <c r="AF754" s="18"/>
      <c r="AG754" s="18"/>
    </row>
    <row r="755" customFormat="false" ht="15" hidden="false" customHeight="false" outlineLevel="0" collapsed="false">
      <c r="A755" s="6" t="str">
        <f aca="false">YEAR(Q755-WEEKDAY(Q755,2)+4)&amp;"-S"&amp;TEXT(WEEKNUM(Q755,21),"00")</f>
        <v>2026-S24</v>
      </c>
      <c r="B755" s="18" t="s">
        <v>72</v>
      </c>
      <c r="C755" s="19" t="n">
        <v>0.333333333333333</v>
      </c>
      <c r="D755" s="19" t="n">
        <v>0.333333333333333</v>
      </c>
      <c r="E755" s="19" t="n">
        <v>0.75</v>
      </c>
      <c r="F755" s="19" t="n">
        <v>0.75</v>
      </c>
      <c r="G755" s="20"/>
      <c r="H755" s="20"/>
      <c r="I755" s="8" t="str">
        <f aca="false">IF(IF(OR(C755="",D755="Congé",D755="OFF",D755="Congé spécial"),"",IF(D755&gt;F755,D755-C755,IF(C755-D755&lt;0,0,C755-D755)))&lt;0.00068287037037037,"",IF(OR(D755="Congé",D755="OFF",C755="",D755="Congé spécial"),"",IF(D755&gt;F755,D755-C755,IF(C755-D755&lt;0,0,C755-D755))))</f>
        <v/>
      </c>
      <c r="J755" s="20"/>
      <c r="K755" s="8" t="n">
        <f aca="false">IF(SUM(H755:J755)&lt;0.00068287037037037,0,SUM(H755:J755))</f>
        <v>0</v>
      </c>
      <c r="L755" s="8" t="n">
        <f aca="false">IF(OR(F755="Congé",F755="OFF",M755="Abs",F755="Congé sans solde",F755="Férié",F755="Congé spécial",D755="Congé spécial"),0,IF(F755-E755&lt;0,0,IF(F755-E755&lt;=0.00068287037037037,0,F755-E755)))</f>
        <v>0</v>
      </c>
      <c r="M755" s="6" t="n">
        <f aca="false">IF(AND(O755&lt;&gt;0,C755=""),"Abs",0)</f>
        <v>0</v>
      </c>
      <c r="N755" s="8" t="n">
        <f aca="false">IFERROR(IF(OR(D755="OFF",D755="Congé",M755="Abs",D755="Congé sans solde",D755="Férié"),"",IF(O755-K755-L755&gt;O755,O755,IF(O755-K755-L755&lt;0,"",O755-K755-L755))),"")</f>
        <v>0.375</v>
      </c>
      <c r="O755" s="8" t="n">
        <f aca="false">IF(AG755="2H Pause déjeuner",IF(F755-D755-0.0833333333333333&lt;0,F755-D755-0.0833333333333333+1,F755-D755-0.0833333333333333),IF(OR(AND(F755="OFF",D755="OFF"),AND(F755="Congé",D755="Congé"),AND(F755="Congé sans solde",D755="Congé sans solde"),AND(F755="Congé spécial",D755="Congé spécial"),AND(F755="Férié",D755="Férié"),AND(F755="OFF",D755="Congé"),AND(F755="OFF",D755="Congé sans solde"),AND(F755="OFF",D755="Congé spécial"),AND(F755="OFF",D755="Férié"),AND(F755="Congé",D755="OFF"),AND(F755="Congé",D755="Congé sans solde"),AND(F755="Congé",D755="Congé spécial"),AND(F755="Congé",D755="Férié"),AND(F755="Congé sans solde",D755="OFF"),AND(F755="Congé sans solde",D755="Congé"),AND(F755="Congé sans solde",D755="Congé spécial"),AND(F755="Congé sans solde",D755="Férié"),AND(F755="Congé spécial",D755="OFF"),AND(F755="Congé spécial",D755="Congé"),AND(F755="Congé spécial",D755="Congé sans solde"),AND(F755="Congé spécial",D755="Férié"),AND(F755="Férié",D755="OFF"),AND(F755="Férié",D755="Congé"),AND(F755="Férié",D755="Congé sans solde"),AND(F755="Férié",D755="Congé spécial")),0,IF(OR(F755="OFF",F755="Congé",F755="Congé spécial",F755="Congé sans solde",D755="OFF",D755="Congé",D755="Congé spécial",D755="Congé sans solde"),0.208333333333334,IF(AND(AG755="",F755-D755&lt;0),("24:00:00"-D755)+("00:00:00"+F755)-0.0416666666666667,IF(AND(OR(AG755="Allaitement",AG755="Sans déjeuner"),F755-D755&lt;0),("24:00:00"-D755)+("00:00:00"+F755),IF(AND(AG755="",F755-D755&gt;0.166666666666667),F755-D755-0.0416666666666667,IF(AND(OR(AG755="Allaitement",AG755="Sans déjeuner"),F755-D755&gt;0.166666666666667),F755-D755,F755-D755)))))))</f>
        <v>0.375</v>
      </c>
      <c r="P755" s="6" t="str">
        <f aca="false">IFERROR(VLOOKUP($B755,Agents!$A:$D,2,0),"-")</f>
        <v>Accessibilité</v>
      </c>
      <c r="Q755" s="21" t="n">
        <v>46182</v>
      </c>
      <c r="R755" s="8" t="n">
        <f aca="false">IF(M755="Abs",O755,0)</f>
        <v>0</v>
      </c>
      <c r="S755" s="8" t="n">
        <f aca="false">SUM(R755,L755,I755,J755,W755,H755)</f>
        <v>0</v>
      </c>
      <c r="T755" s="6" t="str">
        <f aca="false">"Sem - "&amp;WEEKNUM(Q755,21)</f>
        <v>Sem - 24</v>
      </c>
      <c r="U755" s="6" t="str">
        <f aca="false">CHOOSE(MONTH(Q755),"Janvier","Février","Mars","Avril","Mai","Juin","Juillet","Août","Septembre","Octobre","Novembre","Décembre")</f>
        <v>Juin</v>
      </c>
      <c r="V755" s="22" t="n">
        <f aca="false">YEAR(Q755)</f>
        <v>2026</v>
      </c>
      <c r="W755" s="20"/>
      <c r="X755" s="8" t="n">
        <f aca="false">IFERROR(IF(M755="Abs",0,IF(ROUND((D755-C755+E755-F755)*1440,0)&lt;=1,0,D755-C755+E755-F755)),0)</f>
        <v>0</v>
      </c>
      <c r="Y755" s="6" t="str">
        <f aca="false">IFERROR(VLOOKUP($B755,Agents!$A:$D,3,0),"-")</f>
        <v>OUBRAHIM Mohammed</v>
      </c>
      <c r="Z755" s="6" t="str">
        <f aca="false">IFERROR(VLOOKUP($B755,Agents!$A:$D,4,0),"-")</f>
        <v>Credit Mutuel</v>
      </c>
      <c r="AA755" s="18" t="s">
        <v>106</v>
      </c>
      <c r="AB755" s="8" t="str">
        <f aca="false">IF(AND(D755="Congé",F755="Congé"),0.333333333333333,IF(OR(AND(D755="Congé",F755&lt;&gt;"Congé"),(AND(F755="Congé",D755&lt;&gt;"Congé"))),0.166666666666667,""))</f>
        <v/>
      </c>
      <c r="AC755" s="8" t="str">
        <f aca="false">IF(AND(D755="Congé sans solde",F755="Congé sans solde"),0.333333333333333,IF(OR(AND(D755="Congé sans solde",F755&lt;&gt;"Congé sans solde"),(AND(F755="Congé sans solde",D755&lt;&gt;"Congé sans solde"))),0.166666666666667,""))</f>
        <v/>
      </c>
      <c r="AD755" s="8" t="str">
        <f aca="false">IF(AND(D755="Congé spécial",F755="Congé spécial"),0.333333333333333,IF(OR(AND(D755="Congé spécial",F755&lt;&gt;"Congé spécial"),AND(F755="Congé spécial",D755&lt;&gt;"Congé spécial")),0.166666666666667,""))</f>
        <v/>
      </c>
      <c r="AE755" s="8" t="str">
        <f aca="false">IF(AND(D755="Férié",F755="Férié"),0.333333333333333,IF(OR(AND(D755="Férié",F755&lt;&gt;"Férié"),(AND(F755="Férié",D755&lt;&gt;"Férié"))),0.166666666666667,""))</f>
        <v/>
      </c>
      <c r="AF755" s="18"/>
      <c r="AG755" s="18"/>
    </row>
    <row r="756" customFormat="false" ht="15" hidden="false" customHeight="false" outlineLevel="0" collapsed="false">
      <c r="A756" s="6" t="str">
        <f aca="false">YEAR(Q756-WEEKDAY(Q756,2)+4)&amp;"-S"&amp;TEXT(WEEKNUM(Q756,21),"00")</f>
        <v>2026-S24</v>
      </c>
      <c r="B756" s="18" t="s">
        <v>73</v>
      </c>
      <c r="C756" s="19" t="n">
        <v>0.333333333333333</v>
      </c>
      <c r="D756" s="19" t="n">
        <v>0.333333333333333</v>
      </c>
      <c r="E756" s="19" t="n">
        <v>0.75</v>
      </c>
      <c r="F756" s="19" t="n">
        <v>0.75</v>
      </c>
      <c r="G756" s="20"/>
      <c r="H756" s="20"/>
      <c r="I756" s="8" t="str">
        <f aca="false">IF(IF(OR(C756="",D756="Congé",D756="OFF",D756="Congé spécial"),"",IF(D756&gt;F756,D756-C756,IF(C756-D756&lt;0,0,C756-D756)))&lt;0.00068287037037037,"",IF(OR(D756="Congé",D756="OFF",C756="",D756="Congé spécial"),"",IF(D756&gt;F756,D756-C756,IF(C756-D756&lt;0,0,C756-D756))))</f>
        <v/>
      </c>
      <c r="J756" s="20"/>
      <c r="K756" s="8" t="n">
        <f aca="false">IF(SUM(H756:J756)&lt;0.00068287037037037,0,SUM(H756:J756))</f>
        <v>0</v>
      </c>
      <c r="L756" s="8" t="n">
        <f aca="false">IF(OR(F756="Congé",F756="OFF",M756="Abs",F756="Congé sans solde",F756="Férié",F756="Congé spécial",D756="Congé spécial"),0,IF(F756-E756&lt;0,0,IF(F756-E756&lt;=0.00068287037037037,0,F756-E756)))</f>
        <v>0</v>
      </c>
      <c r="M756" s="6" t="n">
        <f aca="false">IF(AND(O756&lt;&gt;0,C756=""),"Abs",0)</f>
        <v>0</v>
      </c>
      <c r="N756" s="8" t="n">
        <f aca="false">IFERROR(IF(OR(D756="OFF",D756="Congé",M756="Abs",D756="Congé sans solde",D756="Férié"),"",IF(O756-K756-L756&gt;O756,O756,IF(O756-K756-L756&lt;0,"",O756-K756-L756))),"")</f>
        <v>0.375</v>
      </c>
      <c r="O756" s="8" t="n">
        <f aca="false">IF(AG756="2H Pause déjeuner",IF(F756-D756-0.0833333333333333&lt;0,F756-D756-0.0833333333333333+1,F756-D756-0.0833333333333333),IF(OR(AND(F756="OFF",D756="OFF"),AND(F756="Congé",D756="Congé"),AND(F756="Congé sans solde",D756="Congé sans solde"),AND(F756="Congé spécial",D756="Congé spécial"),AND(F756="Férié",D756="Férié"),AND(F756="OFF",D756="Congé"),AND(F756="OFF",D756="Congé sans solde"),AND(F756="OFF",D756="Congé spécial"),AND(F756="OFF",D756="Férié"),AND(F756="Congé",D756="OFF"),AND(F756="Congé",D756="Congé sans solde"),AND(F756="Congé",D756="Congé spécial"),AND(F756="Congé",D756="Férié"),AND(F756="Congé sans solde",D756="OFF"),AND(F756="Congé sans solde",D756="Congé"),AND(F756="Congé sans solde",D756="Congé spécial"),AND(F756="Congé sans solde",D756="Férié"),AND(F756="Congé spécial",D756="OFF"),AND(F756="Congé spécial",D756="Congé"),AND(F756="Congé spécial",D756="Congé sans solde"),AND(F756="Congé spécial",D756="Férié"),AND(F756="Férié",D756="OFF"),AND(F756="Férié",D756="Congé"),AND(F756="Férié",D756="Congé sans solde"),AND(F756="Férié",D756="Congé spécial")),0,IF(OR(F756="OFF",F756="Congé",F756="Congé spécial",F756="Congé sans solde",D756="OFF",D756="Congé",D756="Congé spécial",D756="Congé sans solde"),0.208333333333334,IF(AND(AG756="",F756-D756&lt;0),("24:00:00"-D756)+("00:00:00"+F756)-0.0416666666666667,IF(AND(OR(AG756="Allaitement",AG756="Sans déjeuner"),F756-D756&lt;0),("24:00:00"-D756)+("00:00:00"+F756),IF(AND(AG756="",F756-D756&gt;0.166666666666667),F756-D756-0.0416666666666667,IF(AND(OR(AG756="Allaitement",AG756="Sans déjeuner"),F756-D756&gt;0.166666666666667),F756-D756,F756-D756)))))))</f>
        <v>0.375</v>
      </c>
      <c r="P756" s="6" t="str">
        <f aca="false">IFERROR(VLOOKUP($B756,Agents!$A:$D,2,0),"-")</f>
        <v>Accessibilité</v>
      </c>
      <c r="Q756" s="21" t="n">
        <v>46182</v>
      </c>
      <c r="R756" s="8" t="n">
        <f aca="false">IF(M756="Abs",O756,0)</f>
        <v>0</v>
      </c>
      <c r="S756" s="8" t="n">
        <f aca="false">SUM(R756,L756,I756,J756,W756,H756)</f>
        <v>0</v>
      </c>
      <c r="T756" s="6" t="str">
        <f aca="false">"Sem - "&amp;WEEKNUM(Q756,21)</f>
        <v>Sem - 24</v>
      </c>
      <c r="U756" s="6" t="str">
        <f aca="false">CHOOSE(MONTH(Q756),"Janvier","Février","Mars","Avril","Mai","Juin","Juillet","Août","Septembre","Octobre","Novembre","Décembre")</f>
        <v>Juin</v>
      </c>
      <c r="V756" s="22" t="n">
        <f aca="false">YEAR(Q756)</f>
        <v>2026</v>
      </c>
      <c r="W756" s="20"/>
      <c r="X756" s="8" t="n">
        <f aca="false">IFERROR(IF(M756="Abs",0,IF(ROUND((D756-C756+E756-F756)*1440,0)&lt;=1,0,D756-C756+E756-F756)),0)</f>
        <v>0</v>
      </c>
      <c r="Y756" s="6" t="str">
        <f aca="false">IFERROR(VLOOKUP($B756,Agents!$A:$D,3,0),"-")</f>
        <v>OUBRAHIM Mohammed</v>
      </c>
      <c r="Z756" s="6" t="str">
        <f aca="false">IFERROR(VLOOKUP($B756,Agents!$A:$D,4,0),"-")</f>
        <v>Credit Mutuel</v>
      </c>
      <c r="AA756" s="18" t="s">
        <v>106</v>
      </c>
      <c r="AB756" s="8" t="str">
        <f aca="false">IF(AND(D756="Congé",F756="Congé"),0.333333333333333,IF(OR(AND(D756="Congé",F756&lt;&gt;"Congé"),(AND(F756="Congé",D756&lt;&gt;"Congé"))),0.166666666666667,""))</f>
        <v/>
      </c>
      <c r="AC756" s="8" t="str">
        <f aca="false">IF(AND(D756="Congé sans solde",F756="Congé sans solde"),0.333333333333333,IF(OR(AND(D756="Congé sans solde",F756&lt;&gt;"Congé sans solde"),(AND(F756="Congé sans solde",D756&lt;&gt;"Congé sans solde"))),0.166666666666667,""))</f>
        <v/>
      </c>
      <c r="AD756" s="8" t="str">
        <f aca="false">IF(AND(D756="Congé spécial",F756="Congé spécial"),0.333333333333333,IF(OR(AND(D756="Congé spécial",F756&lt;&gt;"Congé spécial"),AND(F756="Congé spécial",D756&lt;&gt;"Congé spécial")),0.166666666666667,""))</f>
        <v/>
      </c>
      <c r="AE756" s="8" t="str">
        <f aca="false">IF(AND(D756="Férié",F756="Férié"),0.333333333333333,IF(OR(AND(D756="Férié",F756&lt;&gt;"Férié"),(AND(F756="Férié",D756&lt;&gt;"Férié"))),0.166666666666667,""))</f>
        <v/>
      </c>
      <c r="AF756" s="18"/>
      <c r="AG756" s="18"/>
    </row>
    <row r="757" customFormat="false" ht="15" hidden="false" customHeight="false" outlineLevel="0" collapsed="false">
      <c r="A757" s="6" t="str">
        <f aca="false">YEAR(Q757-WEEKDAY(Q757,2)+4)&amp;"-S"&amp;TEXT(WEEKNUM(Q757,21),"00")</f>
        <v>2026-S24</v>
      </c>
      <c r="B757" s="18" t="s">
        <v>71</v>
      </c>
      <c r="C757" s="19" t="n">
        <v>0.331944444444444</v>
      </c>
      <c r="D757" s="19" t="n">
        <v>0.333333333333333</v>
      </c>
      <c r="E757" s="19" t="n">
        <v>0.75</v>
      </c>
      <c r="F757" s="19" t="n">
        <v>0.75</v>
      </c>
      <c r="G757" s="20"/>
      <c r="H757" s="20"/>
      <c r="I757" s="8" t="str">
        <f aca="false">IF(IF(OR(C757="",D757="Congé",D757="OFF",D757="Congé spécial"),"",IF(D757&gt;F757,D757-C757,IF(C757-D757&lt;0,0,C757-D757)))&lt;0.00068287037037037,"",IF(OR(D757="Congé",D757="OFF",C757="",D757="Congé spécial"),"",IF(D757&gt;F757,D757-C757,IF(C757-D757&lt;0,0,C757-D757))))</f>
        <v/>
      </c>
      <c r="J757" s="20"/>
      <c r="K757" s="8" t="n">
        <f aca="false">IF(SUM(H757:J757)&lt;0.00068287037037037,0,SUM(H757:J757))</f>
        <v>0</v>
      </c>
      <c r="L757" s="8" t="n">
        <f aca="false">IF(OR(F757="Congé",F757="OFF",M757="Abs",F757="Congé sans solde",F757="Férié",F757="Congé spécial",D757="Congé spécial"),0,IF(F757-E757&lt;0,0,IF(F757-E757&lt;=0.00068287037037037,0,F757-E757)))</f>
        <v>0</v>
      </c>
      <c r="M757" s="6" t="n">
        <f aca="false">IF(AND(O757&lt;&gt;0,C757=""),"Abs",0)</f>
        <v>0</v>
      </c>
      <c r="N757" s="8" t="n">
        <f aca="false">IFERROR(IF(OR(D757="OFF",D757="Congé",M757="Abs",D757="Congé sans solde",D757="Férié"),"",IF(O757-K757-L757&gt;O757,O757,IF(O757-K757-L757&lt;0,"",O757-K757-L757))),"")</f>
        <v>0.375</v>
      </c>
      <c r="O757" s="8" t="n">
        <f aca="false">IF(AG757="2H Pause déjeuner",IF(F757-D757-0.0833333333333333&lt;0,F757-D757-0.0833333333333333+1,F757-D757-0.0833333333333333),IF(OR(AND(F757="OFF",D757="OFF"),AND(F757="Congé",D757="Congé"),AND(F757="Congé sans solde",D757="Congé sans solde"),AND(F757="Congé spécial",D757="Congé spécial"),AND(F757="Férié",D757="Férié"),AND(F757="OFF",D757="Congé"),AND(F757="OFF",D757="Congé sans solde"),AND(F757="OFF",D757="Congé spécial"),AND(F757="OFF",D757="Férié"),AND(F757="Congé",D757="OFF"),AND(F757="Congé",D757="Congé sans solde"),AND(F757="Congé",D757="Congé spécial"),AND(F757="Congé",D757="Férié"),AND(F757="Congé sans solde",D757="OFF"),AND(F757="Congé sans solde",D757="Congé"),AND(F757="Congé sans solde",D757="Congé spécial"),AND(F757="Congé sans solde",D757="Férié"),AND(F757="Congé spécial",D757="OFF"),AND(F757="Congé spécial",D757="Congé"),AND(F757="Congé spécial",D757="Congé sans solde"),AND(F757="Congé spécial",D757="Férié"),AND(F757="Férié",D757="OFF"),AND(F757="Férié",D757="Congé"),AND(F757="Férié",D757="Congé sans solde"),AND(F757="Férié",D757="Congé spécial")),0,IF(OR(F757="OFF",F757="Congé",F757="Congé spécial",F757="Congé sans solde",D757="OFF",D757="Congé",D757="Congé spécial",D757="Congé sans solde"),0.208333333333334,IF(AND(AG757="",F757-D757&lt;0),("24:00:00"-D757)+("00:00:00"+F757)-0.0416666666666667,IF(AND(OR(AG757="Allaitement",AG757="Sans déjeuner"),F757-D757&lt;0),("24:00:00"-D757)+("00:00:00"+F757),IF(AND(AG757="",F757-D757&gt;0.166666666666667),F757-D757-0.0416666666666667,IF(AND(OR(AG757="Allaitement",AG757="Sans déjeuner"),F757-D757&gt;0.166666666666667),F757-D757,F757-D757)))))))</f>
        <v>0.375</v>
      </c>
      <c r="P757" s="6" t="str">
        <f aca="false">IFERROR(VLOOKUP($B757,Agents!$A:$D,2,0),"-")</f>
        <v>Accessibilité</v>
      </c>
      <c r="Q757" s="21" t="n">
        <v>46183</v>
      </c>
      <c r="R757" s="8" t="n">
        <f aca="false">IF(M757="Abs",O757,0)</f>
        <v>0</v>
      </c>
      <c r="S757" s="8" t="n">
        <f aca="false">SUM(R757,L757,I757,J757,W757,H757)</f>
        <v>0</v>
      </c>
      <c r="T757" s="6" t="str">
        <f aca="false">"Sem - "&amp;WEEKNUM(Q757,21)</f>
        <v>Sem - 24</v>
      </c>
      <c r="U757" s="6" t="str">
        <f aca="false">CHOOSE(MONTH(Q757),"Janvier","Février","Mars","Avril","Mai","Juin","Juillet","Août","Septembre","Octobre","Novembre","Décembre")</f>
        <v>Juin</v>
      </c>
      <c r="V757" s="22" t="n">
        <f aca="false">YEAR(Q757)</f>
        <v>2026</v>
      </c>
      <c r="W757" s="20"/>
      <c r="X757" s="8" t="n">
        <f aca="false">IFERROR(IF(M757="Abs",0,IF(ROUND((D757-C757+E757-F757)*1440,0)&lt;=1,0,D757-C757+E757-F757)),0)</f>
        <v>0.00138888888888889</v>
      </c>
      <c r="Y757" s="6" t="str">
        <f aca="false">IFERROR(VLOOKUP($B757,Agents!$A:$D,3,0),"-")</f>
        <v>OUBRAHIM Mohammed</v>
      </c>
      <c r="Z757" s="6" t="str">
        <f aca="false">IFERROR(VLOOKUP($B757,Agents!$A:$D,4,0),"-")</f>
        <v>Credit Mutuel</v>
      </c>
      <c r="AA757" s="18" t="s">
        <v>106</v>
      </c>
      <c r="AB757" s="8" t="str">
        <f aca="false">IF(AND(D757="Congé",F757="Congé"),0.333333333333333,IF(OR(AND(D757="Congé",F757&lt;&gt;"Congé"),(AND(F757="Congé",D757&lt;&gt;"Congé"))),0.166666666666667,""))</f>
        <v/>
      </c>
      <c r="AC757" s="8" t="str">
        <f aca="false">IF(AND(D757="Congé sans solde",F757="Congé sans solde"),0.333333333333333,IF(OR(AND(D757="Congé sans solde",F757&lt;&gt;"Congé sans solde"),(AND(F757="Congé sans solde",D757&lt;&gt;"Congé sans solde"))),0.166666666666667,""))</f>
        <v/>
      </c>
      <c r="AD757" s="8" t="str">
        <f aca="false">IF(AND(D757="Congé spécial",F757="Congé spécial"),0.333333333333333,IF(OR(AND(D757="Congé spécial",F757&lt;&gt;"Congé spécial"),AND(F757="Congé spécial",D757&lt;&gt;"Congé spécial")),0.166666666666667,""))</f>
        <v/>
      </c>
      <c r="AE757" s="8" t="str">
        <f aca="false">IF(AND(D757="Férié",F757="Férié"),0.333333333333333,IF(OR(AND(D757="Férié",F757&lt;&gt;"Férié"),(AND(F757="Férié",D757&lt;&gt;"Férié"))),0.166666666666667,""))</f>
        <v/>
      </c>
      <c r="AF757" s="18"/>
      <c r="AG757" s="18"/>
    </row>
    <row r="758" customFormat="false" ht="15" hidden="false" customHeight="false" outlineLevel="0" collapsed="false">
      <c r="A758" s="6" t="str">
        <f aca="false">YEAR(Q758-WEEKDAY(Q758,2)+4)&amp;"-S"&amp;TEXT(WEEKNUM(Q758,21),"00")</f>
        <v>2026-S24</v>
      </c>
      <c r="B758" s="18" t="s">
        <v>72</v>
      </c>
      <c r="C758" s="19" t="n">
        <v>0.333333333333333</v>
      </c>
      <c r="D758" s="19" t="n">
        <v>0.333333333333333</v>
      </c>
      <c r="E758" s="19" t="n">
        <v>0.75</v>
      </c>
      <c r="F758" s="19" t="n">
        <v>0.75</v>
      </c>
      <c r="G758" s="20"/>
      <c r="H758" s="20"/>
      <c r="I758" s="8" t="str">
        <f aca="false">IF(IF(OR(C758="",D758="Congé",D758="OFF",D758="Congé spécial"),"",IF(D758&gt;F758,D758-C758,IF(C758-D758&lt;0,0,C758-D758)))&lt;0.00068287037037037,"",IF(OR(D758="Congé",D758="OFF",C758="",D758="Congé spécial"),"",IF(D758&gt;F758,D758-C758,IF(C758-D758&lt;0,0,C758-D758))))</f>
        <v/>
      </c>
      <c r="J758" s="20"/>
      <c r="K758" s="8" t="n">
        <f aca="false">IF(SUM(H758:J758)&lt;0.00068287037037037,0,SUM(H758:J758))</f>
        <v>0</v>
      </c>
      <c r="L758" s="8" t="n">
        <f aca="false">IF(OR(F758="Congé",F758="OFF",M758="Abs",F758="Congé sans solde",F758="Férié",F758="Congé spécial",D758="Congé spécial"),0,IF(F758-E758&lt;0,0,IF(F758-E758&lt;=0.00068287037037037,0,F758-E758)))</f>
        <v>0</v>
      </c>
      <c r="M758" s="6" t="n">
        <f aca="false">IF(AND(O758&lt;&gt;0,C758=""),"Abs",0)</f>
        <v>0</v>
      </c>
      <c r="N758" s="8" t="n">
        <f aca="false">IFERROR(IF(OR(D758="OFF",D758="Congé",M758="Abs",D758="Congé sans solde",D758="Férié"),"",IF(O758-K758-L758&gt;O758,O758,IF(O758-K758-L758&lt;0,"",O758-K758-L758))),"")</f>
        <v>0.375</v>
      </c>
      <c r="O758" s="8" t="n">
        <f aca="false">IF(AG758="2H Pause déjeuner",IF(F758-D758-0.0833333333333333&lt;0,F758-D758-0.0833333333333333+1,F758-D758-0.0833333333333333),IF(OR(AND(F758="OFF",D758="OFF"),AND(F758="Congé",D758="Congé"),AND(F758="Congé sans solde",D758="Congé sans solde"),AND(F758="Congé spécial",D758="Congé spécial"),AND(F758="Férié",D758="Férié"),AND(F758="OFF",D758="Congé"),AND(F758="OFF",D758="Congé sans solde"),AND(F758="OFF",D758="Congé spécial"),AND(F758="OFF",D758="Férié"),AND(F758="Congé",D758="OFF"),AND(F758="Congé",D758="Congé sans solde"),AND(F758="Congé",D758="Congé spécial"),AND(F758="Congé",D758="Férié"),AND(F758="Congé sans solde",D758="OFF"),AND(F758="Congé sans solde",D758="Congé"),AND(F758="Congé sans solde",D758="Congé spécial"),AND(F758="Congé sans solde",D758="Férié"),AND(F758="Congé spécial",D758="OFF"),AND(F758="Congé spécial",D758="Congé"),AND(F758="Congé spécial",D758="Congé sans solde"),AND(F758="Congé spécial",D758="Férié"),AND(F758="Férié",D758="OFF"),AND(F758="Férié",D758="Congé"),AND(F758="Férié",D758="Congé sans solde"),AND(F758="Férié",D758="Congé spécial")),0,IF(OR(F758="OFF",F758="Congé",F758="Congé spécial",F758="Congé sans solde",D758="OFF",D758="Congé",D758="Congé spécial",D758="Congé sans solde"),0.208333333333334,IF(AND(AG758="",F758-D758&lt;0),("24:00:00"-D758)+("00:00:00"+F758)-0.0416666666666667,IF(AND(OR(AG758="Allaitement",AG758="Sans déjeuner"),F758-D758&lt;0),("24:00:00"-D758)+("00:00:00"+F758),IF(AND(AG758="",F758-D758&gt;0.166666666666667),F758-D758-0.0416666666666667,IF(AND(OR(AG758="Allaitement",AG758="Sans déjeuner"),F758-D758&gt;0.166666666666667),F758-D758,F758-D758)))))))</f>
        <v>0.375</v>
      </c>
      <c r="P758" s="6" t="str">
        <f aca="false">IFERROR(VLOOKUP($B758,Agents!$A:$D,2,0),"-")</f>
        <v>Accessibilité</v>
      </c>
      <c r="Q758" s="21" t="n">
        <v>46183</v>
      </c>
      <c r="R758" s="8" t="n">
        <f aca="false">IF(M758="Abs",O758,0)</f>
        <v>0</v>
      </c>
      <c r="S758" s="8" t="n">
        <f aca="false">SUM(R758,L758,I758,J758,W758,H758)</f>
        <v>0</v>
      </c>
      <c r="T758" s="6" t="str">
        <f aca="false">"Sem - "&amp;WEEKNUM(Q758,21)</f>
        <v>Sem - 24</v>
      </c>
      <c r="U758" s="6" t="str">
        <f aca="false">CHOOSE(MONTH(Q758),"Janvier","Février","Mars","Avril","Mai","Juin","Juillet","Août","Septembre","Octobre","Novembre","Décembre")</f>
        <v>Juin</v>
      </c>
      <c r="V758" s="22" t="n">
        <f aca="false">YEAR(Q758)</f>
        <v>2026</v>
      </c>
      <c r="W758" s="20"/>
      <c r="X758" s="8" t="n">
        <f aca="false">IFERROR(IF(M758="Abs",0,IF(ROUND((D758-C758+E758-F758)*1440,0)&lt;=1,0,D758-C758+E758-F758)),0)</f>
        <v>0</v>
      </c>
      <c r="Y758" s="6" t="str">
        <f aca="false">IFERROR(VLOOKUP($B758,Agents!$A:$D,3,0),"-")</f>
        <v>OUBRAHIM Mohammed</v>
      </c>
      <c r="Z758" s="6" t="str">
        <f aca="false">IFERROR(VLOOKUP($B758,Agents!$A:$D,4,0),"-")</f>
        <v>Credit Mutuel</v>
      </c>
      <c r="AA758" s="18" t="s">
        <v>106</v>
      </c>
      <c r="AB758" s="8" t="str">
        <f aca="false">IF(AND(D758="Congé",F758="Congé"),0.333333333333333,IF(OR(AND(D758="Congé",F758&lt;&gt;"Congé"),(AND(F758="Congé",D758&lt;&gt;"Congé"))),0.166666666666667,""))</f>
        <v/>
      </c>
      <c r="AC758" s="8" t="str">
        <f aca="false">IF(AND(D758="Congé sans solde",F758="Congé sans solde"),0.333333333333333,IF(OR(AND(D758="Congé sans solde",F758&lt;&gt;"Congé sans solde"),(AND(F758="Congé sans solde",D758&lt;&gt;"Congé sans solde"))),0.166666666666667,""))</f>
        <v/>
      </c>
      <c r="AD758" s="8" t="str">
        <f aca="false">IF(AND(D758="Congé spécial",F758="Congé spécial"),0.333333333333333,IF(OR(AND(D758="Congé spécial",F758&lt;&gt;"Congé spécial"),AND(F758="Congé spécial",D758&lt;&gt;"Congé spécial")),0.166666666666667,""))</f>
        <v/>
      </c>
      <c r="AE758" s="8" t="str">
        <f aca="false">IF(AND(D758="Férié",F758="Férié"),0.333333333333333,IF(OR(AND(D758="Férié",F758&lt;&gt;"Férié"),(AND(F758="Férié",D758&lt;&gt;"Férié"))),0.166666666666667,""))</f>
        <v/>
      </c>
      <c r="AF758" s="18"/>
      <c r="AG758" s="18"/>
    </row>
    <row r="759" customFormat="false" ht="15" hidden="false" customHeight="false" outlineLevel="0" collapsed="false">
      <c r="A759" s="6" t="str">
        <f aca="false">YEAR(Q759-WEEKDAY(Q759,2)+4)&amp;"-S"&amp;TEXT(WEEKNUM(Q759,21),"00")</f>
        <v>2026-S24</v>
      </c>
      <c r="B759" s="18" t="s">
        <v>73</v>
      </c>
      <c r="C759" s="19" t="n">
        <v>0.333333333333333</v>
      </c>
      <c r="D759" s="19" t="n">
        <v>0.333333333333333</v>
      </c>
      <c r="E759" s="19" t="n">
        <v>0.75</v>
      </c>
      <c r="F759" s="19" t="n">
        <v>0.75</v>
      </c>
      <c r="G759" s="20"/>
      <c r="H759" s="20"/>
      <c r="I759" s="8" t="str">
        <f aca="false">IF(IF(OR(C759="",D759="Congé",D759="OFF",D759="Congé spécial"),"",IF(D759&gt;F759,D759-C759,IF(C759-D759&lt;0,0,C759-D759)))&lt;0.00068287037037037,"",IF(OR(D759="Congé",D759="OFF",C759="",D759="Congé spécial"),"",IF(D759&gt;F759,D759-C759,IF(C759-D759&lt;0,0,C759-D759))))</f>
        <v/>
      </c>
      <c r="J759" s="20"/>
      <c r="K759" s="8" t="n">
        <f aca="false">IF(SUM(H759:J759)&lt;0.00068287037037037,0,SUM(H759:J759))</f>
        <v>0</v>
      </c>
      <c r="L759" s="8" t="n">
        <f aca="false">IF(OR(F759="Congé",F759="OFF",M759="Abs",F759="Congé sans solde",F759="Férié",F759="Congé spécial",D759="Congé spécial"),0,IF(F759-E759&lt;0,0,IF(F759-E759&lt;=0.00068287037037037,0,F759-E759)))</f>
        <v>0</v>
      </c>
      <c r="M759" s="6" t="n">
        <f aca="false">IF(AND(O759&lt;&gt;0,C759=""),"Abs",0)</f>
        <v>0</v>
      </c>
      <c r="N759" s="8" t="n">
        <f aca="false">IFERROR(IF(OR(D759="OFF",D759="Congé",M759="Abs",D759="Congé sans solde",D759="Férié"),"",IF(O759-K759-L759&gt;O759,O759,IF(O759-K759-L759&lt;0,"",O759-K759-L759))),"")</f>
        <v>0.375</v>
      </c>
      <c r="O759" s="8" t="n">
        <f aca="false">IF(AG759="2H Pause déjeuner",IF(F759-D759-0.0833333333333333&lt;0,F759-D759-0.0833333333333333+1,F759-D759-0.0833333333333333),IF(OR(AND(F759="OFF",D759="OFF"),AND(F759="Congé",D759="Congé"),AND(F759="Congé sans solde",D759="Congé sans solde"),AND(F759="Congé spécial",D759="Congé spécial"),AND(F759="Férié",D759="Férié"),AND(F759="OFF",D759="Congé"),AND(F759="OFF",D759="Congé sans solde"),AND(F759="OFF",D759="Congé spécial"),AND(F759="OFF",D759="Férié"),AND(F759="Congé",D759="OFF"),AND(F759="Congé",D759="Congé sans solde"),AND(F759="Congé",D759="Congé spécial"),AND(F759="Congé",D759="Férié"),AND(F759="Congé sans solde",D759="OFF"),AND(F759="Congé sans solde",D759="Congé"),AND(F759="Congé sans solde",D759="Congé spécial"),AND(F759="Congé sans solde",D759="Férié"),AND(F759="Congé spécial",D759="OFF"),AND(F759="Congé spécial",D759="Congé"),AND(F759="Congé spécial",D759="Congé sans solde"),AND(F759="Congé spécial",D759="Férié"),AND(F759="Férié",D759="OFF"),AND(F759="Férié",D759="Congé"),AND(F759="Férié",D759="Congé sans solde"),AND(F759="Férié",D759="Congé spécial")),0,IF(OR(F759="OFF",F759="Congé",F759="Congé spécial",F759="Congé sans solde",D759="OFF",D759="Congé",D759="Congé spécial",D759="Congé sans solde"),0.208333333333334,IF(AND(AG759="",F759-D759&lt;0),("24:00:00"-D759)+("00:00:00"+F759)-0.0416666666666667,IF(AND(OR(AG759="Allaitement",AG759="Sans déjeuner"),F759-D759&lt;0),("24:00:00"-D759)+("00:00:00"+F759),IF(AND(AG759="",F759-D759&gt;0.166666666666667),F759-D759-0.0416666666666667,IF(AND(OR(AG759="Allaitement",AG759="Sans déjeuner"),F759-D759&gt;0.166666666666667),F759-D759,F759-D759)))))))</f>
        <v>0.375</v>
      </c>
      <c r="P759" s="6" t="str">
        <f aca="false">IFERROR(VLOOKUP($B759,Agents!$A:$D,2,0),"-")</f>
        <v>Accessibilité</v>
      </c>
      <c r="Q759" s="21" t="n">
        <v>46183</v>
      </c>
      <c r="R759" s="8" t="n">
        <f aca="false">IF(M759="Abs",O759,0)</f>
        <v>0</v>
      </c>
      <c r="S759" s="8" t="n">
        <f aca="false">SUM(R759,L759,I759,J759,W759,H759)</f>
        <v>0</v>
      </c>
      <c r="T759" s="6" t="str">
        <f aca="false">"Sem - "&amp;WEEKNUM(Q759,21)</f>
        <v>Sem - 24</v>
      </c>
      <c r="U759" s="6" t="str">
        <f aca="false">CHOOSE(MONTH(Q759),"Janvier","Février","Mars","Avril","Mai","Juin","Juillet","Août","Septembre","Octobre","Novembre","Décembre")</f>
        <v>Juin</v>
      </c>
      <c r="V759" s="22" t="n">
        <f aca="false">YEAR(Q759)</f>
        <v>2026</v>
      </c>
      <c r="W759" s="20"/>
      <c r="X759" s="8" t="n">
        <f aca="false">IFERROR(IF(M759="Abs",0,IF(ROUND((D759-C759+E759-F759)*1440,0)&lt;=1,0,D759-C759+E759-F759)),0)</f>
        <v>0</v>
      </c>
      <c r="Y759" s="6" t="str">
        <f aca="false">IFERROR(VLOOKUP($B759,Agents!$A:$D,3,0),"-")</f>
        <v>OUBRAHIM Mohammed</v>
      </c>
      <c r="Z759" s="6" t="str">
        <f aca="false">IFERROR(VLOOKUP($B759,Agents!$A:$D,4,0),"-")</f>
        <v>Credit Mutuel</v>
      </c>
      <c r="AA759" s="18" t="s">
        <v>106</v>
      </c>
      <c r="AB759" s="8" t="str">
        <f aca="false">IF(AND(D759="Congé",F759="Congé"),0.333333333333333,IF(OR(AND(D759="Congé",F759&lt;&gt;"Congé"),(AND(F759="Congé",D759&lt;&gt;"Congé"))),0.166666666666667,""))</f>
        <v/>
      </c>
      <c r="AC759" s="8" t="str">
        <f aca="false">IF(AND(D759="Congé sans solde",F759="Congé sans solde"),0.333333333333333,IF(OR(AND(D759="Congé sans solde",F759&lt;&gt;"Congé sans solde"),(AND(F759="Congé sans solde",D759&lt;&gt;"Congé sans solde"))),0.166666666666667,""))</f>
        <v/>
      </c>
      <c r="AD759" s="8" t="str">
        <f aca="false">IF(AND(D759="Congé spécial",F759="Congé spécial"),0.333333333333333,IF(OR(AND(D759="Congé spécial",F759&lt;&gt;"Congé spécial"),AND(F759="Congé spécial",D759&lt;&gt;"Congé spécial")),0.166666666666667,""))</f>
        <v/>
      </c>
      <c r="AE759" s="8" t="str">
        <f aca="false">IF(AND(D759="Férié",F759="Férié"),0.333333333333333,IF(OR(AND(D759="Férié",F759&lt;&gt;"Férié"),(AND(F759="Férié",D759&lt;&gt;"Férié"))),0.166666666666667,""))</f>
        <v/>
      </c>
      <c r="AF759" s="18"/>
      <c r="AG759" s="18"/>
    </row>
    <row r="760" customFormat="false" ht="15" hidden="false" customHeight="false" outlineLevel="0" collapsed="false">
      <c r="A760" s="6" t="str">
        <f aca="false">YEAR(Q760-WEEKDAY(Q760,2)+4)&amp;"-S"&amp;TEXT(WEEKNUM(Q760,21),"00")</f>
        <v>2026-S24</v>
      </c>
      <c r="B760" s="18" t="s">
        <v>71</v>
      </c>
      <c r="C760" s="19" t="n">
        <v>0.333333333333333</v>
      </c>
      <c r="D760" s="19" t="n">
        <v>0.333333333333333</v>
      </c>
      <c r="E760" s="19" t="n">
        <v>0.75</v>
      </c>
      <c r="F760" s="19" t="n">
        <v>0.75</v>
      </c>
      <c r="G760" s="20"/>
      <c r="H760" s="20"/>
      <c r="I760" s="8" t="str">
        <f aca="false">IF(IF(OR(C760="",D760="Congé",D760="OFF",D760="Congé spécial"),"",IF(D760&gt;F760,D760-C760,IF(C760-D760&lt;0,0,C760-D760)))&lt;0.00068287037037037,"",IF(OR(D760="Congé",D760="OFF",C760="",D760="Congé spécial"),"",IF(D760&gt;F760,D760-C760,IF(C760-D760&lt;0,0,C760-D760))))</f>
        <v/>
      </c>
      <c r="J760" s="20"/>
      <c r="K760" s="8" t="n">
        <f aca="false">IF(SUM(H760:J760)&lt;0.00068287037037037,0,SUM(H760:J760))</f>
        <v>0</v>
      </c>
      <c r="L760" s="8" t="n">
        <f aca="false">IF(OR(F760="Congé",F760="OFF",M760="Abs",F760="Congé sans solde",F760="Férié",F760="Congé spécial",D760="Congé spécial"),0,IF(F760-E760&lt;0,0,IF(F760-E760&lt;=0.00068287037037037,0,F760-E760)))</f>
        <v>0</v>
      </c>
      <c r="M760" s="6" t="n">
        <f aca="false">IF(AND(O760&lt;&gt;0,C760=""),"Abs",0)</f>
        <v>0</v>
      </c>
      <c r="N760" s="8" t="n">
        <f aca="false">IFERROR(IF(OR(D760="OFF",D760="Congé",M760="Abs",D760="Congé sans solde",D760="Férié"),"",IF(O760-K760-L760&gt;O760,O760,IF(O760-K760-L760&lt;0,"",O760-K760-L760))),"")</f>
        <v>0.375</v>
      </c>
      <c r="O760" s="8" t="n">
        <f aca="false">IF(AG760="2H Pause déjeuner",IF(F760-D760-0.0833333333333333&lt;0,F760-D760-0.0833333333333333+1,F760-D760-0.0833333333333333),IF(OR(AND(F760="OFF",D760="OFF"),AND(F760="Congé",D760="Congé"),AND(F760="Congé sans solde",D760="Congé sans solde"),AND(F760="Congé spécial",D760="Congé spécial"),AND(F760="Férié",D760="Férié"),AND(F760="OFF",D760="Congé"),AND(F760="OFF",D760="Congé sans solde"),AND(F760="OFF",D760="Congé spécial"),AND(F760="OFF",D760="Férié"),AND(F760="Congé",D760="OFF"),AND(F760="Congé",D760="Congé sans solde"),AND(F760="Congé",D760="Congé spécial"),AND(F760="Congé",D760="Férié"),AND(F760="Congé sans solde",D760="OFF"),AND(F760="Congé sans solde",D760="Congé"),AND(F760="Congé sans solde",D760="Congé spécial"),AND(F760="Congé sans solde",D760="Férié"),AND(F760="Congé spécial",D760="OFF"),AND(F760="Congé spécial",D760="Congé"),AND(F760="Congé spécial",D760="Congé sans solde"),AND(F760="Congé spécial",D760="Férié"),AND(F760="Férié",D760="OFF"),AND(F760="Férié",D760="Congé"),AND(F760="Férié",D760="Congé sans solde"),AND(F760="Férié",D760="Congé spécial")),0,IF(OR(F760="OFF",F760="Congé",F760="Congé spécial",F760="Congé sans solde",D760="OFF",D760="Congé",D760="Congé spécial",D760="Congé sans solde"),0.208333333333334,IF(AND(AG760="",F760-D760&lt;0),("24:00:00"-D760)+("00:00:00"+F760)-0.0416666666666667,IF(AND(OR(AG760="Allaitement",AG760="Sans déjeuner"),F760-D760&lt;0),("24:00:00"-D760)+("00:00:00"+F760),IF(AND(AG760="",F760-D760&gt;0.166666666666667),F760-D760-0.0416666666666667,IF(AND(OR(AG760="Allaitement",AG760="Sans déjeuner"),F760-D760&gt;0.166666666666667),F760-D760,F760-D760)))))))</f>
        <v>0.375</v>
      </c>
      <c r="P760" s="6" t="str">
        <f aca="false">IFERROR(VLOOKUP($B760,Agents!$A:$D,2,0),"-")</f>
        <v>Accessibilité</v>
      </c>
      <c r="Q760" s="21" t="n">
        <v>46184</v>
      </c>
      <c r="R760" s="8" t="n">
        <f aca="false">IF(M760="Abs",O760,0)</f>
        <v>0</v>
      </c>
      <c r="S760" s="8" t="n">
        <f aca="false">SUM(R760,L760,I760,J760,W760,H760)</f>
        <v>0</v>
      </c>
      <c r="T760" s="6" t="str">
        <f aca="false">"Sem - "&amp;WEEKNUM(Q760,21)</f>
        <v>Sem - 24</v>
      </c>
      <c r="U760" s="6" t="str">
        <f aca="false">CHOOSE(MONTH(Q760),"Janvier","Février","Mars","Avril","Mai","Juin","Juillet","Août","Septembre","Octobre","Novembre","Décembre")</f>
        <v>Juin</v>
      </c>
      <c r="V760" s="22" t="n">
        <f aca="false">YEAR(Q760)</f>
        <v>2026</v>
      </c>
      <c r="W760" s="20"/>
      <c r="X760" s="8" t="n">
        <f aca="false">IFERROR(IF(M760="Abs",0,IF(ROUND((D760-C760+E760-F760)*1440,0)&lt;=1,0,D760-C760+E760-F760)),0)</f>
        <v>0</v>
      </c>
      <c r="Y760" s="6" t="str">
        <f aca="false">IFERROR(VLOOKUP($B760,Agents!$A:$D,3,0),"-")</f>
        <v>OUBRAHIM Mohammed</v>
      </c>
      <c r="Z760" s="6" t="str">
        <f aca="false">IFERROR(VLOOKUP($B760,Agents!$A:$D,4,0),"-")</f>
        <v>Credit Mutuel</v>
      </c>
      <c r="AA760" s="18" t="s">
        <v>106</v>
      </c>
      <c r="AB760" s="8" t="str">
        <f aca="false">IF(AND(D760="Congé",F760="Congé"),0.333333333333333,IF(OR(AND(D760="Congé",F760&lt;&gt;"Congé"),(AND(F760="Congé",D760&lt;&gt;"Congé"))),0.166666666666667,""))</f>
        <v/>
      </c>
      <c r="AC760" s="8" t="str">
        <f aca="false">IF(AND(D760="Congé sans solde",F760="Congé sans solde"),0.333333333333333,IF(OR(AND(D760="Congé sans solde",F760&lt;&gt;"Congé sans solde"),(AND(F760="Congé sans solde",D760&lt;&gt;"Congé sans solde"))),0.166666666666667,""))</f>
        <v/>
      </c>
      <c r="AD760" s="8" t="str">
        <f aca="false">IF(AND(D760="Congé spécial",F760="Congé spécial"),0.333333333333333,IF(OR(AND(D760="Congé spécial",F760&lt;&gt;"Congé spécial"),AND(F760="Congé spécial",D760&lt;&gt;"Congé spécial")),0.166666666666667,""))</f>
        <v/>
      </c>
      <c r="AE760" s="8" t="str">
        <f aca="false">IF(AND(D760="Férié",F760="Férié"),0.333333333333333,IF(OR(AND(D760="Férié",F760&lt;&gt;"Férié"),(AND(F760="Férié",D760&lt;&gt;"Férié"))),0.166666666666667,""))</f>
        <v/>
      </c>
      <c r="AF760" s="18"/>
      <c r="AG760" s="18"/>
    </row>
    <row r="761" customFormat="false" ht="15" hidden="false" customHeight="false" outlineLevel="0" collapsed="false">
      <c r="A761" s="6" t="str">
        <f aca="false">YEAR(Q761-WEEKDAY(Q761,2)+4)&amp;"-S"&amp;TEXT(WEEKNUM(Q761,21),"00")</f>
        <v>2026-S24</v>
      </c>
      <c r="B761" s="18" t="s">
        <v>72</v>
      </c>
      <c r="C761" s="19" t="n">
        <v>0.332638888888889</v>
      </c>
      <c r="D761" s="19" t="n">
        <v>0.333333333333333</v>
      </c>
      <c r="E761" s="19" t="n">
        <v>0.75</v>
      </c>
      <c r="F761" s="19" t="n">
        <v>0.75</v>
      </c>
      <c r="G761" s="20"/>
      <c r="H761" s="20"/>
      <c r="I761" s="8" t="str">
        <f aca="false">IF(IF(OR(C761="",D761="Congé",D761="OFF",D761="Congé spécial"),"",IF(D761&gt;F761,D761-C761,IF(C761-D761&lt;0,0,C761-D761)))&lt;0.00068287037037037,"",IF(OR(D761="Congé",D761="OFF",C761="",D761="Congé spécial"),"",IF(D761&gt;F761,D761-C761,IF(C761-D761&lt;0,0,C761-D761))))</f>
        <v/>
      </c>
      <c r="J761" s="20"/>
      <c r="K761" s="8" t="n">
        <f aca="false">IF(SUM(H761:J761)&lt;0.00068287037037037,0,SUM(H761:J761))</f>
        <v>0</v>
      </c>
      <c r="L761" s="8" t="n">
        <f aca="false">IF(OR(F761="Congé",F761="OFF",M761="Abs",F761="Congé sans solde",F761="Férié",F761="Congé spécial",D761="Congé spécial"),0,IF(F761-E761&lt;0,0,IF(F761-E761&lt;=0.00068287037037037,0,F761-E761)))</f>
        <v>0</v>
      </c>
      <c r="M761" s="6" t="n">
        <f aca="false">IF(AND(O761&lt;&gt;0,C761=""),"Abs",0)</f>
        <v>0</v>
      </c>
      <c r="N761" s="8" t="n">
        <f aca="false">IFERROR(IF(OR(D761="OFF",D761="Congé",M761="Abs",D761="Congé sans solde",D761="Férié"),"",IF(O761-K761-L761&gt;O761,O761,IF(O761-K761-L761&lt;0,"",O761-K761-L761))),"")</f>
        <v>0.375</v>
      </c>
      <c r="O761" s="8" t="n">
        <f aca="false">IF(AG761="2H Pause déjeuner",IF(F761-D761-0.0833333333333333&lt;0,F761-D761-0.0833333333333333+1,F761-D761-0.0833333333333333),IF(OR(AND(F761="OFF",D761="OFF"),AND(F761="Congé",D761="Congé"),AND(F761="Congé sans solde",D761="Congé sans solde"),AND(F761="Congé spécial",D761="Congé spécial"),AND(F761="Férié",D761="Férié"),AND(F761="OFF",D761="Congé"),AND(F761="OFF",D761="Congé sans solde"),AND(F761="OFF",D761="Congé spécial"),AND(F761="OFF",D761="Férié"),AND(F761="Congé",D761="OFF"),AND(F761="Congé",D761="Congé sans solde"),AND(F761="Congé",D761="Congé spécial"),AND(F761="Congé",D761="Férié"),AND(F761="Congé sans solde",D761="OFF"),AND(F761="Congé sans solde",D761="Congé"),AND(F761="Congé sans solde",D761="Congé spécial"),AND(F761="Congé sans solde",D761="Férié"),AND(F761="Congé spécial",D761="OFF"),AND(F761="Congé spécial",D761="Congé"),AND(F761="Congé spécial",D761="Congé sans solde"),AND(F761="Congé spécial",D761="Férié"),AND(F761="Férié",D761="OFF"),AND(F761="Férié",D761="Congé"),AND(F761="Férié",D761="Congé sans solde"),AND(F761="Férié",D761="Congé spécial")),0,IF(OR(F761="OFF",F761="Congé",F761="Congé spécial",F761="Congé sans solde",D761="OFF",D761="Congé",D761="Congé spécial",D761="Congé sans solde"),0.208333333333334,IF(AND(AG761="",F761-D761&lt;0),("24:00:00"-D761)+("00:00:00"+F761)-0.0416666666666667,IF(AND(OR(AG761="Allaitement",AG761="Sans déjeuner"),F761-D761&lt;0),("24:00:00"-D761)+("00:00:00"+F761),IF(AND(AG761="",F761-D761&gt;0.166666666666667),F761-D761-0.0416666666666667,IF(AND(OR(AG761="Allaitement",AG761="Sans déjeuner"),F761-D761&gt;0.166666666666667),F761-D761,F761-D761)))))))</f>
        <v>0.375</v>
      </c>
      <c r="P761" s="6" t="str">
        <f aca="false">IFERROR(VLOOKUP($B761,Agents!$A:$D,2,0),"-")</f>
        <v>Accessibilité</v>
      </c>
      <c r="Q761" s="21" t="n">
        <v>46184</v>
      </c>
      <c r="R761" s="8" t="n">
        <f aca="false">IF(M761="Abs",O761,0)</f>
        <v>0</v>
      </c>
      <c r="S761" s="8" t="n">
        <f aca="false">SUM(R761,L761,I761,J761,W761,H761)</f>
        <v>0</v>
      </c>
      <c r="T761" s="6" t="str">
        <f aca="false">"Sem - "&amp;WEEKNUM(Q761,21)</f>
        <v>Sem - 24</v>
      </c>
      <c r="U761" s="6" t="str">
        <f aca="false">CHOOSE(MONTH(Q761),"Janvier","Février","Mars","Avril","Mai","Juin","Juillet","Août","Septembre","Octobre","Novembre","Décembre")</f>
        <v>Juin</v>
      </c>
      <c r="V761" s="22" t="n">
        <f aca="false">YEAR(Q761)</f>
        <v>2026</v>
      </c>
      <c r="W761" s="20"/>
      <c r="X761" s="8" t="n">
        <f aca="false">IFERROR(IF(M761="Abs",0,IF(ROUND((D761-C761+E761-F761)*1440,0)&lt;=1,0,D761-C761+E761-F761)),0)</f>
        <v>0</v>
      </c>
      <c r="Y761" s="6" t="str">
        <f aca="false">IFERROR(VLOOKUP($B761,Agents!$A:$D,3,0),"-")</f>
        <v>OUBRAHIM Mohammed</v>
      </c>
      <c r="Z761" s="6" t="str">
        <f aca="false">IFERROR(VLOOKUP($B761,Agents!$A:$D,4,0),"-")</f>
        <v>Credit Mutuel</v>
      </c>
      <c r="AA761" s="18" t="s">
        <v>106</v>
      </c>
      <c r="AB761" s="8" t="str">
        <f aca="false">IF(AND(D761="Congé",F761="Congé"),0.333333333333333,IF(OR(AND(D761="Congé",F761&lt;&gt;"Congé"),(AND(F761="Congé",D761&lt;&gt;"Congé"))),0.166666666666667,""))</f>
        <v/>
      </c>
      <c r="AC761" s="8" t="str">
        <f aca="false">IF(AND(D761="Congé sans solde",F761="Congé sans solde"),0.333333333333333,IF(OR(AND(D761="Congé sans solde",F761&lt;&gt;"Congé sans solde"),(AND(F761="Congé sans solde",D761&lt;&gt;"Congé sans solde"))),0.166666666666667,""))</f>
        <v/>
      </c>
      <c r="AD761" s="8" t="str">
        <f aca="false">IF(AND(D761="Congé spécial",F761="Congé spécial"),0.333333333333333,IF(OR(AND(D761="Congé spécial",F761&lt;&gt;"Congé spécial"),AND(F761="Congé spécial",D761&lt;&gt;"Congé spécial")),0.166666666666667,""))</f>
        <v/>
      </c>
      <c r="AE761" s="8" t="str">
        <f aca="false">IF(AND(D761="Férié",F761="Férié"),0.333333333333333,IF(OR(AND(D761="Férié",F761&lt;&gt;"Férié"),(AND(F761="Férié",D761&lt;&gt;"Férié"))),0.166666666666667,""))</f>
        <v/>
      </c>
      <c r="AF761" s="18"/>
      <c r="AG761" s="18"/>
    </row>
    <row r="762" customFormat="false" ht="15" hidden="false" customHeight="false" outlineLevel="0" collapsed="false">
      <c r="A762" s="6" t="str">
        <f aca="false">YEAR(Q762-WEEKDAY(Q762,2)+4)&amp;"-S"&amp;TEXT(WEEKNUM(Q762,21),"00")</f>
        <v>2026-S24</v>
      </c>
      <c r="B762" s="18" t="s">
        <v>73</v>
      </c>
      <c r="C762" s="19" t="n">
        <v>0.333333333333333</v>
      </c>
      <c r="D762" s="19" t="n">
        <v>0.333333333333333</v>
      </c>
      <c r="E762" s="19" t="n">
        <v>0.75</v>
      </c>
      <c r="F762" s="19" t="n">
        <v>0.75</v>
      </c>
      <c r="G762" s="20"/>
      <c r="H762" s="20"/>
      <c r="I762" s="8" t="str">
        <f aca="false">IF(IF(OR(C762="",D762="Congé",D762="OFF",D762="Congé spécial"),"",IF(D762&gt;F762,D762-C762,IF(C762-D762&lt;0,0,C762-D762)))&lt;0.00068287037037037,"",IF(OR(D762="Congé",D762="OFF",C762="",D762="Congé spécial"),"",IF(D762&gt;F762,D762-C762,IF(C762-D762&lt;0,0,C762-D762))))</f>
        <v/>
      </c>
      <c r="J762" s="20"/>
      <c r="K762" s="8" t="n">
        <f aca="false">IF(SUM(H762:J762)&lt;0.00068287037037037,0,SUM(H762:J762))</f>
        <v>0</v>
      </c>
      <c r="L762" s="8" t="n">
        <f aca="false">IF(OR(F762="Congé",F762="OFF",M762="Abs",F762="Congé sans solde",F762="Férié",F762="Congé spécial",D762="Congé spécial"),0,IF(F762-E762&lt;0,0,IF(F762-E762&lt;=0.00068287037037037,0,F762-E762)))</f>
        <v>0</v>
      </c>
      <c r="M762" s="6" t="n">
        <f aca="false">IF(AND(O762&lt;&gt;0,C762=""),"Abs",0)</f>
        <v>0</v>
      </c>
      <c r="N762" s="8" t="n">
        <f aca="false">IFERROR(IF(OR(D762="OFF",D762="Congé",M762="Abs",D762="Congé sans solde",D762="Férié"),"",IF(O762-K762-L762&gt;O762,O762,IF(O762-K762-L762&lt;0,"",O762-K762-L762))),"")</f>
        <v>0.375</v>
      </c>
      <c r="O762" s="8" t="n">
        <f aca="false">IF(AG762="2H Pause déjeuner",IF(F762-D762-0.0833333333333333&lt;0,F762-D762-0.0833333333333333+1,F762-D762-0.0833333333333333),IF(OR(AND(F762="OFF",D762="OFF"),AND(F762="Congé",D762="Congé"),AND(F762="Congé sans solde",D762="Congé sans solde"),AND(F762="Congé spécial",D762="Congé spécial"),AND(F762="Férié",D762="Férié"),AND(F762="OFF",D762="Congé"),AND(F762="OFF",D762="Congé sans solde"),AND(F762="OFF",D762="Congé spécial"),AND(F762="OFF",D762="Férié"),AND(F762="Congé",D762="OFF"),AND(F762="Congé",D762="Congé sans solde"),AND(F762="Congé",D762="Congé spécial"),AND(F762="Congé",D762="Férié"),AND(F762="Congé sans solde",D762="OFF"),AND(F762="Congé sans solde",D762="Congé"),AND(F762="Congé sans solde",D762="Congé spécial"),AND(F762="Congé sans solde",D762="Férié"),AND(F762="Congé spécial",D762="OFF"),AND(F762="Congé spécial",D762="Congé"),AND(F762="Congé spécial",D762="Congé sans solde"),AND(F762="Congé spécial",D762="Férié"),AND(F762="Férié",D762="OFF"),AND(F762="Férié",D762="Congé"),AND(F762="Férié",D762="Congé sans solde"),AND(F762="Férié",D762="Congé spécial")),0,IF(OR(F762="OFF",F762="Congé",F762="Congé spécial",F762="Congé sans solde",D762="OFF",D762="Congé",D762="Congé spécial",D762="Congé sans solde"),0.208333333333334,IF(AND(AG762="",F762-D762&lt;0),("24:00:00"-D762)+("00:00:00"+F762)-0.0416666666666667,IF(AND(OR(AG762="Allaitement",AG762="Sans déjeuner"),F762-D762&lt;0),("24:00:00"-D762)+("00:00:00"+F762),IF(AND(AG762="",F762-D762&gt;0.166666666666667),F762-D762-0.0416666666666667,IF(AND(OR(AG762="Allaitement",AG762="Sans déjeuner"),F762-D762&gt;0.166666666666667),F762-D762,F762-D762)))))))</f>
        <v>0.375</v>
      </c>
      <c r="P762" s="6" t="str">
        <f aca="false">IFERROR(VLOOKUP($B762,Agents!$A:$D,2,0),"-")</f>
        <v>Accessibilité</v>
      </c>
      <c r="Q762" s="21" t="n">
        <v>46184</v>
      </c>
      <c r="R762" s="8" t="n">
        <f aca="false">IF(M762="Abs",O762,0)</f>
        <v>0</v>
      </c>
      <c r="S762" s="8" t="n">
        <f aca="false">SUM(R762,L762,I762,J762,W762,H762)</f>
        <v>0</v>
      </c>
      <c r="T762" s="6" t="str">
        <f aca="false">"Sem - "&amp;WEEKNUM(Q762,21)</f>
        <v>Sem - 24</v>
      </c>
      <c r="U762" s="6" t="str">
        <f aca="false">CHOOSE(MONTH(Q762),"Janvier","Février","Mars","Avril","Mai","Juin","Juillet","Août","Septembre","Octobre","Novembre","Décembre")</f>
        <v>Juin</v>
      </c>
      <c r="V762" s="22" t="n">
        <f aca="false">YEAR(Q762)</f>
        <v>2026</v>
      </c>
      <c r="W762" s="20"/>
      <c r="X762" s="8" t="n">
        <f aca="false">IFERROR(IF(M762="Abs",0,IF(ROUND((D762-C762+E762-F762)*1440,0)&lt;=1,0,D762-C762+E762-F762)),0)</f>
        <v>0</v>
      </c>
      <c r="Y762" s="6" t="str">
        <f aca="false">IFERROR(VLOOKUP($B762,Agents!$A:$D,3,0),"-")</f>
        <v>OUBRAHIM Mohammed</v>
      </c>
      <c r="Z762" s="6" t="str">
        <f aca="false">IFERROR(VLOOKUP($B762,Agents!$A:$D,4,0),"-")</f>
        <v>Credit Mutuel</v>
      </c>
      <c r="AA762" s="18" t="s">
        <v>106</v>
      </c>
      <c r="AB762" s="8" t="str">
        <f aca="false">IF(AND(D762="Congé",F762="Congé"),0.333333333333333,IF(OR(AND(D762="Congé",F762&lt;&gt;"Congé"),(AND(F762="Congé",D762&lt;&gt;"Congé"))),0.166666666666667,""))</f>
        <v/>
      </c>
      <c r="AC762" s="8" t="str">
        <f aca="false">IF(AND(D762="Congé sans solde",F762="Congé sans solde"),0.333333333333333,IF(OR(AND(D762="Congé sans solde",F762&lt;&gt;"Congé sans solde"),(AND(F762="Congé sans solde",D762&lt;&gt;"Congé sans solde"))),0.166666666666667,""))</f>
        <v/>
      </c>
      <c r="AD762" s="8" t="str">
        <f aca="false">IF(AND(D762="Congé spécial",F762="Congé spécial"),0.333333333333333,IF(OR(AND(D762="Congé spécial",F762&lt;&gt;"Congé spécial"),AND(F762="Congé spécial",D762&lt;&gt;"Congé spécial")),0.166666666666667,""))</f>
        <v/>
      </c>
      <c r="AE762" s="8" t="str">
        <f aca="false">IF(AND(D762="Férié",F762="Férié"),0.333333333333333,IF(OR(AND(D762="Férié",F762&lt;&gt;"Férié"),(AND(F762="Férié",D762&lt;&gt;"Férié"))),0.166666666666667,""))</f>
        <v/>
      </c>
      <c r="AF762" s="18"/>
      <c r="AG762" s="18"/>
    </row>
    <row r="763" customFormat="false" ht="15" hidden="false" customHeight="false" outlineLevel="0" collapsed="false">
      <c r="A763" s="6" t="str">
        <f aca="false">YEAR(Q763-WEEKDAY(Q763,2)+4)&amp;"-S"&amp;TEXT(WEEKNUM(Q763,21),"00")</f>
        <v>2026-S24</v>
      </c>
      <c r="B763" s="18" t="s">
        <v>71</v>
      </c>
      <c r="C763" s="19" t="n">
        <v>0.333333333333333</v>
      </c>
      <c r="D763" s="19" t="n">
        <v>0.333333333333333</v>
      </c>
      <c r="E763" s="19" t="n">
        <v>0.708333333333333</v>
      </c>
      <c r="F763" s="19" t="n">
        <v>0.708333333333333</v>
      </c>
      <c r="G763" s="20"/>
      <c r="H763" s="20"/>
      <c r="I763" s="8" t="str">
        <f aca="false">IF(IF(OR(C763="",D763="Congé",D763="OFF",D763="Congé spécial"),"",IF(D763&gt;F763,D763-C763,IF(C763-D763&lt;0,0,C763-D763)))&lt;0.00068287037037037,"",IF(OR(D763="Congé",D763="OFF",C763="",D763="Congé spécial"),"",IF(D763&gt;F763,D763-C763,IF(C763-D763&lt;0,0,C763-D763))))</f>
        <v/>
      </c>
      <c r="J763" s="20"/>
      <c r="K763" s="8" t="n">
        <f aca="false">IF(SUM(H763:J763)&lt;0.00068287037037037,0,SUM(H763:J763))</f>
        <v>0</v>
      </c>
      <c r="L763" s="8" t="n">
        <f aca="false">IF(OR(F763="Congé",F763="OFF",M763="Abs",F763="Congé sans solde",F763="Férié",F763="Congé spécial",D763="Congé spécial"),0,IF(F763-E763&lt;0,0,IF(F763-E763&lt;=0.00068287037037037,0,F763-E763)))</f>
        <v>0</v>
      </c>
      <c r="M763" s="6" t="n">
        <f aca="false">IF(AND(O763&lt;&gt;0,C763=""),"Abs",0)</f>
        <v>0</v>
      </c>
      <c r="N763" s="8" t="n">
        <f aca="false">IFERROR(IF(OR(D763="OFF",D763="Congé",M763="Abs",D763="Congé sans solde",D763="Férié"),"",IF(O763-K763-L763&gt;O763,O763,IF(O763-K763-L763&lt;0,"",O763-K763-L763))),"")</f>
        <v>0.333333333333333</v>
      </c>
      <c r="O763" s="8" t="n">
        <f aca="false">IF(AG763="2H Pause déjeuner",IF(F763-D763-0.0833333333333333&lt;0,F763-D763-0.0833333333333333+1,F763-D763-0.0833333333333333),IF(OR(AND(F763="OFF",D763="OFF"),AND(F763="Congé",D763="Congé"),AND(F763="Congé sans solde",D763="Congé sans solde"),AND(F763="Congé spécial",D763="Congé spécial"),AND(F763="Férié",D763="Férié"),AND(F763="OFF",D763="Congé"),AND(F763="OFF",D763="Congé sans solde"),AND(F763="OFF",D763="Congé spécial"),AND(F763="OFF",D763="Férié"),AND(F763="Congé",D763="OFF"),AND(F763="Congé",D763="Congé sans solde"),AND(F763="Congé",D763="Congé spécial"),AND(F763="Congé",D763="Férié"),AND(F763="Congé sans solde",D763="OFF"),AND(F763="Congé sans solde",D763="Congé"),AND(F763="Congé sans solde",D763="Congé spécial"),AND(F763="Congé sans solde",D763="Férié"),AND(F763="Congé spécial",D763="OFF"),AND(F763="Congé spécial",D763="Congé"),AND(F763="Congé spécial",D763="Congé sans solde"),AND(F763="Congé spécial",D763="Férié"),AND(F763="Férié",D763="OFF"),AND(F763="Férié",D763="Congé"),AND(F763="Férié",D763="Congé sans solde"),AND(F763="Férié",D763="Congé spécial")),0,IF(OR(F763="OFF",F763="Congé",F763="Congé spécial",F763="Congé sans solde",D763="OFF",D763="Congé",D763="Congé spécial",D763="Congé sans solde"),0.208333333333334,IF(AND(AG763="",F763-D763&lt;0),("24:00:00"-D763)+("00:00:00"+F763)-0.0416666666666667,IF(AND(OR(AG763="Allaitement",AG763="Sans déjeuner"),F763-D763&lt;0),("24:00:00"-D763)+("00:00:00"+F763),IF(AND(AG763="",F763-D763&gt;0.166666666666667),F763-D763-0.0416666666666667,IF(AND(OR(AG763="Allaitement",AG763="Sans déjeuner"),F763-D763&gt;0.166666666666667),F763-D763,F763-D763)))))))</f>
        <v>0.333333333333333</v>
      </c>
      <c r="P763" s="6" t="str">
        <f aca="false">IFERROR(VLOOKUP($B763,Agents!$A:$D,2,0),"-")</f>
        <v>Accessibilité</v>
      </c>
      <c r="Q763" s="21" t="n">
        <v>46185</v>
      </c>
      <c r="R763" s="8" t="n">
        <f aca="false">IF(M763="Abs",O763,0)</f>
        <v>0</v>
      </c>
      <c r="S763" s="8" t="n">
        <f aca="false">SUM(R763,L763,I763,J763,W763,H763)</f>
        <v>0</v>
      </c>
      <c r="T763" s="6" t="str">
        <f aca="false">"Sem - "&amp;WEEKNUM(Q763,21)</f>
        <v>Sem - 24</v>
      </c>
      <c r="U763" s="6" t="str">
        <f aca="false">CHOOSE(MONTH(Q763),"Janvier","Février","Mars","Avril","Mai","Juin","Juillet","Août","Septembre","Octobre","Novembre","Décembre")</f>
        <v>Juin</v>
      </c>
      <c r="V763" s="22" t="n">
        <f aca="false">YEAR(Q763)</f>
        <v>2026</v>
      </c>
      <c r="W763" s="20"/>
      <c r="X763" s="8" t="n">
        <f aca="false">IFERROR(IF(M763="Abs",0,IF(ROUND((D763-C763+E763-F763)*1440,0)&lt;=1,0,D763-C763+E763-F763)),0)</f>
        <v>0</v>
      </c>
      <c r="Y763" s="6" t="str">
        <f aca="false">IFERROR(VLOOKUP($B763,Agents!$A:$D,3,0),"-")</f>
        <v>OUBRAHIM Mohammed</v>
      </c>
      <c r="Z763" s="6" t="str">
        <f aca="false">IFERROR(VLOOKUP($B763,Agents!$A:$D,4,0),"-")</f>
        <v>Credit Mutuel</v>
      </c>
      <c r="AA763" s="18" t="s">
        <v>106</v>
      </c>
      <c r="AB763" s="8" t="str">
        <f aca="false">IF(AND(D763="Congé",F763="Congé"),0.333333333333333,IF(OR(AND(D763="Congé",F763&lt;&gt;"Congé"),(AND(F763="Congé",D763&lt;&gt;"Congé"))),0.166666666666667,""))</f>
        <v/>
      </c>
      <c r="AC763" s="8" t="str">
        <f aca="false">IF(AND(D763="Congé sans solde",F763="Congé sans solde"),0.333333333333333,IF(OR(AND(D763="Congé sans solde",F763&lt;&gt;"Congé sans solde"),(AND(F763="Congé sans solde",D763&lt;&gt;"Congé sans solde"))),0.166666666666667,""))</f>
        <v/>
      </c>
      <c r="AD763" s="8" t="str">
        <f aca="false">IF(AND(D763="Congé spécial",F763="Congé spécial"),0.333333333333333,IF(OR(AND(D763="Congé spécial",F763&lt;&gt;"Congé spécial"),AND(F763="Congé spécial",D763&lt;&gt;"Congé spécial")),0.166666666666667,""))</f>
        <v/>
      </c>
      <c r="AE763" s="8" t="str">
        <f aca="false">IF(AND(D763="Férié",F763="Férié"),0.333333333333333,IF(OR(AND(D763="Férié",F763&lt;&gt;"Férié"),(AND(F763="Férié",D763&lt;&gt;"Férié"))),0.166666666666667,""))</f>
        <v/>
      </c>
      <c r="AF763" s="18"/>
      <c r="AG763" s="18"/>
    </row>
    <row r="764" customFormat="false" ht="15" hidden="false" customHeight="false" outlineLevel="0" collapsed="false">
      <c r="A764" s="6" t="str">
        <f aca="false">YEAR(Q764-WEEKDAY(Q764,2)+4)&amp;"-S"&amp;TEXT(WEEKNUM(Q764,21),"00")</f>
        <v>2026-S24</v>
      </c>
      <c r="B764" s="18" t="s">
        <v>72</v>
      </c>
      <c r="C764" s="19" t="n">
        <v>0.333333333333333</v>
      </c>
      <c r="D764" s="19" t="n">
        <v>0.333333333333333</v>
      </c>
      <c r="E764" s="19" t="n">
        <v>0.708333333333333</v>
      </c>
      <c r="F764" s="19" t="n">
        <v>0.708333333333333</v>
      </c>
      <c r="G764" s="20"/>
      <c r="H764" s="20"/>
      <c r="I764" s="8" t="str">
        <f aca="false">IF(IF(OR(C764="",D764="Congé",D764="OFF",D764="Congé spécial"),"",IF(D764&gt;F764,D764-C764,IF(C764-D764&lt;0,0,C764-D764)))&lt;0.00068287037037037,"",IF(OR(D764="Congé",D764="OFF",C764="",D764="Congé spécial"),"",IF(D764&gt;F764,D764-C764,IF(C764-D764&lt;0,0,C764-D764))))</f>
        <v/>
      </c>
      <c r="J764" s="20"/>
      <c r="K764" s="8" t="n">
        <f aca="false">IF(SUM(H764:J764)&lt;0.00068287037037037,0,SUM(H764:J764))</f>
        <v>0</v>
      </c>
      <c r="L764" s="8" t="n">
        <f aca="false">IF(OR(F764="Congé",F764="OFF",M764="Abs",F764="Congé sans solde",F764="Férié",F764="Congé spécial",D764="Congé spécial"),0,IF(F764-E764&lt;0,0,IF(F764-E764&lt;=0.00068287037037037,0,F764-E764)))</f>
        <v>0</v>
      </c>
      <c r="M764" s="6" t="n">
        <f aca="false">IF(AND(O764&lt;&gt;0,C764=""),"Abs",0)</f>
        <v>0</v>
      </c>
      <c r="N764" s="8" t="n">
        <f aca="false">IFERROR(IF(OR(D764="OFF",D764="Congé",M764="Abs",D764="Congé sans solde",D764="Férié"),"",IF(O764-K764-L764&gt;O764,O764,IF(O764-K764-L764&lt;0,"",O764-K764-L764))),"")</f>
        <v>0.333333333333333</v>
      </c>
      <c r="O764" s="8" t="n">
        <f aca="false">IF(AG764="2H Pause déjeuner",IF(F764-D764-0.0833333333333333&lt;0,F764-D764-0.0833333333333333+1,F764-D764-0.0833333333333333),IF(OR(AND(F764="OFF",D764="OFF"),AND(F764="Congé",D764="Congé"),AND(F764="Congé sans solde",D764="Congé sans solde"),AND(F764="Congé spécial",D764="Congé spécial"),AND(F764="Férié",D764="Férié"),AND(F764="OFF",D764="Congé"),AND(F764="OFF",D764="Congé sans solde"),AND(F764="OFF",D764="Congé spécial"),AND(F764="OFF",D764="Férié"),AND(F764="Congé",D764="OFF"),AND(F764="Congé",D764="Congé sans solde"),AND(F764="Congé",D764="Congé spécial"),AND(F764="Congé",D764="Férié"),AND(F764="Congé sans solde",D764="OFF"),AND(F764="Congé sans solde",D764="Congé"),AND(F764="Congé sans solde",D764="Congé spécial"),AND(F764="Congé sans solde",D764="Férié"),AND(F764="Congé spécial",D764="OFF"),AND(F764="Congé spécial",D764="Congé"),AND(F764="Congé spécial",D764="Congé sans solde"),AND(F764="Congé spécial",D764="Férié"),AND(F764="Férié",D764="OFF"),AND(F764="Férié",D764="Congé"),AND(F764="Férié",D764="Congé sans solde"),AND(F764="Férié",D764="Congé spécial")),0,IF(OR(F764="OFF",F764="Congé",F764="Congé spécial",F764="Congé sans solde",D764="OFF",D764="Congé",D764="Congé spécial",D764="Congé sans solde"),0.208333333333334,IF(AND(AG764="",F764-D764&lt;0),("24:00:00"-D764)+("00:00:00"+F764)-0.0416666666666667,IF(AND(OR(AG764="Allaitement",AG764="Sans déjeuner"),F764-D764&lt;0),("24:00:00"-D764)+("00:00:00"+F764),IF(AND(AG764="",F764-D764&gt;0.166666666666667),F764-D764-0.0416666666666667,IF(AND(OR(AG764="Allaitement",AG764="Sans déjeuner"),F764-D764&gt;0.166666666666667),F764-D764,F764-D764)))))))</f>
        <v>0.333333333333333</v>
      </c>
      <c r="P764" s="6" t="str">
        <f aca="false">IFERROR(VLOOKUP($B764,Agents!$A:$D,2,0),"-")</f>
        <v>Accessibilité</v>
      </c>
      <c r="Q764" s="21" t="n">
        <v>46185</v>
      </c>
      <c r="R764" s="8" t="n">
        <f aca="false">IF(M764="Abs",O764,0)</f>
        <v>0</v>
      </c>
      <c r="S764" s="8" t="n">
        <f aca="false">SUM(R764,L764,I764,J764,W764,H764)</f>
        <v>0</v>
      </c>
      <c r="T764" s="6" t="str">
        <f aca="false">"Sem - "&amp;WEEKNUM(Q764,21)</f>
        <v>Sem - 24</v>
      </c>
      <c r="U764" s="6" t="str">
        <f aca="false">CHOOSE(MONTH(Q764),"Janvier","Février","Mars","Avril","Mai","Juin","Juillet","Août","Septembre","Octobre","Novembre","Décembre")</f>
        <v>Juin</v>
      </c>
      <c r="V764" s="22" t="n">
        <f aca="false">YEAR(Q764)</f>
        <v>2026</v>
      </c>
      <c r="W764" s="20"/>
      <c r="X764" s="8" t="n">
        <f aca="false">IFERROR(IF(M764="Abs",0,IF(ROUND((D764-C764+E764-F764)*1440,0)&lt;=1,0,D764-C764+E764-F764)),0)</f>
        <v>0</v>
      </c>
      <c r="Y764" s="6" t="str">
        <f aca="false">IFERROR(VLOOKUP($B764,Agents!$A:$D,3,0),"-")</f>
        <v>OUBRAHIM Mohammed</v>
      </c>
      <c r="Z764" s="6" t="str">
        <f aca="false">IFERROR(VLOOKUP($B764,Agents!$A:$D,4,0),"-")</f>
        <v>Credit Mutuel</v>
      </c>
      <c r="AA764" s="18" t="s">
        <v>106</v>
      </c>
      <c r="AB764" s="8" t="str">
        <f aca="false">IF(AND(D764="Congé",F764="Congé"),0.333333333333333,IF(OR(AND(D764="Congé",F764&lt;&gt;"Congé"),(AND(F764="Congé",D764&lt;&gt;"Congé"))),0.166666666666667,""))</f>
        <v/>
      </c>
      <c r="AC764" s="8" t="str">
        <f aca="false">IF(AND(D764="Congé sans solde",F764="Congé sans solde"),0.333333333333333,IF(OR(AND(D764="Congé sans solde",F764&lt;&gt;"Congé sans solde"),(AND(F764="Congé sans solde",D764&lt;&gt;"Congé sans solde"))),0.166666666666667,""))</f>
        <v/>
      </c>
      <c r="AD764" s="8" t="str">
        <f aca="false">IF(AND(D764="Congé spécial",F764="Congé spécial"),0.333333333333333,IF(OR(AND(D764="Congé spécial",F764&lt;&gt;"Congé spécial"),AND(F764="Congé spécial",D764&lt;&gt;"Congé spécial")),0.166666666666667,""))</f>
        <v/>
      </c>
      <c r="AE764" s="8" t="str">
        <f aca="false">IF(AND(D764="Férié",F764="Férié"),0.333333333333333,IF(OR(AND(D764="Férié",F764&lt;&gt;"Férié"),(AND(F764="Férié",D764&lt;&gt;"Férié"))),0.166666666666667,""))</f>
        <v/>
      </c>
      <c r="AF764" s="18"/>
      <c r="AG764" s="18"/>
    </row>
    <row r="765" customFormat="false" ht="15" hidden="false" customHeight="false" outlineLevel="0" collapsed="false">
      <c r="A765" s="6" t="str">
        <f aca="false">YEAR(Q765-WEEKDAY(Q765,2)+4)&amp;"-S"&amp;TEXT(WEEKNUM(Q765,21),"00")</f>
        <v>2026-S24</v>
      </c>
      <c r="B765" s="18" t="s">
        <v>73</v>
      </c>
      <c r="C765" s="19" t="n">
        <v>0.332638888888889</v>
      </c>
      <c r="D765" s="19" t="n">
        <v>0.333333333333333</v>
      </c>
      <c r="E765" s="19" t="n">
        <v>0.708333333333333</v>
      </c>
      <c r="F765" s="19" t="n">
        <v>0.708333333333333</v>
      </c>
      <c r="G765" s="20"/>
      <c r="H765" s="20"/>
      <c r="I765" s="8" t="str">
        <f aca="false">IF(IF(OR(C765="",D765="Congé",D765="OFF",D765="Congé spécial"),"",IF(D765&gt;F765,D765-C765,IF(C765-D765&lt;0,0,C765-D765)))&lt;0.00068287037037037,"",IF(OR(D765="Congé",D765="OFF",C765="",D765="Congé spécial"),"",IF(D765&gt;F765,D765-C765,IF(C765-D765&lt;0,0,C765-D765))))</f>
        <v/>
      </c>
      <c r="J765" s="20"/>
      <c r="K765" s="8" t="n">
        <f aca="false">IF(SUM(H765:J765)&lt;0.00068287037037037,0,SUM(H765:J765))</f>
        <v>0</v>
      </c>
      <c r="L765" s="8" t="n">
        <f aca="false">IF(OR(F765="Congé",F765="OFF",M765="Abs",F765="Congé sans solde",F765="Férié",F765="Congé spécial",D765="Congé spécial"),0,IF(F765-E765&lt;0,0,IF(F765-E765&lt;=0.00068287037037037,0,F765-E765)))</f>
        <v>0</v>
      </c>
      <c r="M765" s="6" t="n">
        <f aca="false">IF(AND(O765&lt;&gt;0,C765=""),"Abs",0)</f>
        <v>0</v>
      </c>
      <c r="N765" s="8" t="n">
        <f aca="false">IFERROR(IF(OR(D765="OFF",D765="Congé",M765="Abs",D765="Congé sans solde",D765="Férié"),"",IF(O765-K765-L765&gt;O765,O765,IF(O765-K765-L765&lt;0,"",O765-K765-L765))),"")</f>
        <v>0.333333333333333</v>
      </c>
      <c r="O765" s="8" t="n">
        <f aca="false">IF(AG765="2H Pause déjeuner",IF(F765-D765-0.0833333333333333&lt;0,F765-D765-0.0833333333333333+1,F765-D765-0.0833333333333333),IF(OR(AND(F765="OFF",D765="OFF"),AND(F765="Congé",D765="Congé"),AND(F765="Congé sans solde",D765="Congé sans solde"),AND(F765="Congé spécial",D765="Congé spécial"),AND(F765="Férié",D765="Férié"),AND(F765="OFF",D765="Congé"),AND(F765="OFF",D765="Congé sans solde"),AND(F765="OFF",D765="Congé spécial"),AND(F765="OFF",D765="Férié"),AND(F765="Congé",D765="OFF"),AND(F765="Congé",D765="Congé sans solde"),AND(F765="Congé",D765="Congé spécial"),AND(F765="Congé",D765="Férié"),AND(F765="Congé sans solde",D765="OFF"),AND(F765="Congé sans solde",D765="Congé"),AND(F765="Congé sans solde",D765="Congé spécial"),AND(F765="Congé sans solde",D765="Férié"),AND(F765="Congé spécial",D765="OFF"),AND(F765="Congé spécial",D765="Congé"),AND(F765="Congé spécial",D765="Congé sans solde"),AND(F765="Congé spécial",D765="Férié"),AND(F765="Férié",D765="OFF"),AND(F765="Férié",D765="Congé"),AND(F765="Férié",D765="Congé sans solde"),AND(F765="Férié",D765="Congé spécial")),0,IF(OR(F765="OFF",F765="Congé",F765="Congé spécial",F765="Congé sans solde",D765="OFF",D765="Congé",D765="Congé spécial",D765="Congé sans solde"),0.208333333333334,IF(AND(AG765="",F765-D765&lt;0),("24:00:00"-D765)+("00:00:00"+F765)-0.0416666666666667,IF(AND(OR(AG765="Allaitement",AG765="Sans déjeuner"),F765-D765&lt;0),("24:00:00"-D765)+("00:00:00"+F765),IF(AND(AG765="",F765-D765&gt;0.166666666666667),F765-D765-0.0416666666666667,IF(AND(OR(AG765="Allaitement",AG765="Sans déjeuner"),F765-D765&gt;0.166666666666667),F765-D765,F765-D765)))))))</f>
        <v>0.333333333333333</v>
      </c>
      <c r="P765" s="6" t="str">
        <f aca="false">IFERROR(VLOOKUP($B765,Agents!$A:$D,2,0),"-")</f>
        <v>Accessibilité</v>
      </c>
      <c r="Q765" s="21" t="n">
        <v>46185</v>
      </c>
      <c r="R765" s="8" t="n">
        <f aca="false">IF(M765="Abs",O765,0)</f>
        <v>0</v>
      </c>
      <c r="S765" s="8" t="n">
        <f aca="false">SUM(R765,L765,I765,J765,W765,H765)</f>
        <v>0</v>
      </c>
      <c r="T765" s="6" t="str">
        <f aca="false">"Sem - "&amp;WEEKNUM(Q765,21)</f>
        <v>Sem - 24</v>
      </c>
      <c r="U765" s="6" t="str">
        <f aca="false">CHOOSE(MONTH(Q765),"Janvier","Février","Mars","Avril","Mai","Juin","Juillet","Août","Septembre","Octobre","Novembre","Décembre")</f>
        <v>Juin</v>
      </c>
      <c r="V765" s="22" t="n">
        <f aca="false">YEAR(Q765)</f>
        <v>2026</v>
      </c>
      <c r="W765" s="20"/>
      <c r="X765" s="8" t="n">
        <f aca="false">IFERROR(IF(M765="Abs",0,IF(ROUND((D765-C765+E765-F765)*1440,0)&lt;=1,0,D765-C765+E765-F765)),0)</f>
        <v>0</v>
      </c>
      <c r="Y765" s="6" t="str">
        <f aca="false">IFERROR(VLOOKUP($B765,Agents!$A:$D,3,0),"-")</f>
        <v>OUBRAHIM Mohammed</v>
      </c>
      <c r="Z765" s="6" t="str">
        <f aca="false">IFERROR(VLOOKUP($B765,Agents!$A:$D,4,0),"-")</f>
        <v>Credit Mutuel</v>
      </c>
      <c r="AA765" s="18" t="s">
        <v>106</v>
      </c>
      <c r="AB765" s="8" t="str">
        <f aca="false">IF(AND(D765="Congé",F765="Congé"),0.333333333333333,IF(OR(AND(D765="Congé",F765&lt;&gt;"Congé"),(AND(F765="Congé",D765&lt;&gt;"Congé"))),0.166666666666667,""))</f>
        <v/>
      </c>
      <c r="AC765" s="8" t="str">
        <f aca="false">IF(AND(D765="Congé sans solde",F765="Congé sans solde"),0.333333333333333,IF(OR(AND(D765="Congé sans solde",F765&lt;&gt;"Congé sans solde"),(AND(F765="Congé sans solde",D765&lt;&gt;"Congé sans solde"))),0.166666666666667,""))</f>
        <v/>
      </c>
      <c r="AD765" s="8" t="str">
        <f aca="false">IF(AND(D765="Congé spécial",F765="Congé spécial"),0.333333333333333,IF(OR(AND(D765="Congé spécial",F765&lt;&gt;"Congé spécial"),AND(F765="Congé spécial",D765&lt;&gt;"Congé spécial")),0.166666666666667,""))</f>
        <v/>
      </c>
      <c r="AE765" s="8" t="str">
        <f aca="false">IF(AND(D765="Férié",F765="Férié"),0.333333333333333,IF(OR(AND(D765="Férié",F765&lt;&gt;"Férié"),(AND(F765="Férié",D765&lt;&gt;"Férié"))),0.166666666666667,""))</f>
        <v/>
      </c>
      <c r="AF765" s="18"/>
      <c r="AG765" s="18"/>
    </row>
    <row r="766" customFormat="false" ht="15" hidden="false" customHeight="false" outlineLevel="0" collapsed="false">
      <c r="A766" s="6" t="str">
        <f aca="false">YEAR(Q766-WEEKDAY(Q766,2)+4)&amp;"-S"&amp;TEXT(WEEKNUM(Q766,21),"00")</f>
        <v>2026-S24</v>
      </c>
      <c r="B766" s="18" t="s">
        <v>71</v>
      </c>
      <c r="C766" s="19"/>
      <c r="D766" s="19" t="s">
        <v>74</v>
      </c>
      <c r="E766" s="19"/>
      <c r="F766" s="19" t="s">
        <v>74</v>
      </c>
      <c r="G766" s="20"/>
      <c r="H766" s="20"/>
      <c r="I766" s="8" t="str">
        <f aca="false">IF(IF(OR(C766="",D766="Congé",D766="OFF",D766="Congé spécial"),"",IF(D766&gt;F766,D766-C766,IF(C766-D766&lt;0,0,C766-D766)))&lt;0.00068287037037037,"",IF(OR(D766="Congé",D766="OFF",C766="",D766="Congé spécial"),"",IF(D766&gt;F766,D766-C766,IF(C766-D766&lt;0,0,C766-D766))))</f>
        <v/>
      </c>
      <c r="J766" s="20"/>
      <c r="K766" s="8" t="n">
        <f aca="false">IF(SUM(H766:J766)&lt;0.00068287037037037,0,SUM(H766:J766))</f>
        <v>0</v>
      </c>
      <c r="L766" s="8" t="n">
        <f aca="false">IF(OR(F766="Congé",F766="OFF",M766="Abs",F766="Congé sans solde",F766="Férié",F766="Congé spécial",D766="Congé spécial"),0,IF(F766-E766&lt;0,0,IF(F766-E766&lt;=0.00068287037037037,0,F766-E766)))</f>
        <v>0</v>
      </c>
      <c r="M766" s="6" t="n">
        <f aca="false">IF(AND(O766&lt;&gt;0,C766=""),"Abs",0)</f>
        <v>0</v>
      </c>
      <c r="N766" s="8" t="str">
        <f aca="false">IFERROR(IF(OR(D766="OFF",D766="Congé",M766="Abs",D766="Congé sans solde",D766="Férié"),"",IF(O766-K766-L766&gt;O766,O766,IF(O766-K766-L766&lt;0,"",O766-K766-L766))),"")</f>
        <v/>
      </c>
      <c r="O766" s="8" t="n">
        <f aca="false">IF(AG766="2H Pause déjeuner",IF(F766-D766-0.0833333333333333&lt;0,F766-D766-0.0833333333333333+1,F766-D766-0.0833333333333333),IF(OR(AND(F766="OFF",D766="OFF"),AND(F766="Congé",D766="Congé"),AND(F766="Congé sans solde",D766="Congé sans solde"),AND(F766="Congé spécial",D766="Congé spécial"),AND(F766="Férié",D766="Férié"),AND(F766="OFF",D766="Congé"),AND(F766="OFF",D766="Congé sans solde"),AND(F766="OFF",D766="Congé spécial"),AND(F766="OFF",D766="Férié"),AND(F766="Congé",D766="OFF"),AND(F766="Congé",D766="Congé sans solde"),AND(F766="Congé",D766="Congé spécial"),AND(F766="Congé",D766="Férié"),AND(F766="Congé sans solde",D766="OFF"),AND(F766="Congé sans solde",D766="Congé"),AND(F766="Congé sans solde",D766="Congé spécial"),AND(F766="Congé sans solde",D766="Férié"),AND(F766="Congé spécial",D766="OFF"),AND(F766="Congé spécial",D766="Congé"),AND(F766="Congé spécial",D766="Congé sans solde"),AND(F766="Congé spécial",D766="Férié"),AND(F766="Férié",D766="OFF"),AND(F766="Férié",D766="Congé"),AND(F766="Férié",D766="Congé sans solde"),AND(F766="Férié",D766="Congé spécial")),0,IF(OR(F766="OFF",F766="Congé",F766="Congé spécial",F766="Congé sans solde",D766="OFF",D766="Congé",D766="Congé spécial",D766="Congé sans solde"),0.208333333333334,IF(AND(AG766="",F766-D766&lt;0),("24:00:00"-D766)+("00:00:00"+F766)-0.0416666666666667,IF(AND(OR(AG766="Allaitement",AG766="Sans déjeuner"),F766-D766&lt;0),("24:00:00"-D766)+("00:00:00"+F766),IF(AND(AG766="",F766-D766&gt;0.166666666666667),F766-D766-0.0416666666666667,IF(AND(OR(AG766="Allaitement",AG766="Sans déjeuner"),F766-D766&gt;0.166666666666667),F766-D766,F766-D766)))))))</f>
        <v>0</v>
      </c>
      <c r="P766" s="6" t="str">
        <f aca="false">IFERROR(VLOOKUP($B766,Agents!$A:$D,2,0),"-")</f>
        <v>Accessibilité</v>
      </c>
      <c r="Q766" s="21" t="n">
        <v>46186</v>
      </c>
      <c r="R766" s="8" t="n">
        <f aca="false">IF(M766="Abs",O766,0)</f>
        <v>0</v>
      </c>
      <c r="S766" s="8" t="n">
        <f aca="false">SUM(R766,L766,I766,J766,W766,H766)</f>
        <v>0</v>
      </c>
      <c r="T766" s="6" t="str">
        <f aca="false">"Sem - "&amp;WEEKNUM(Q766,21)</f>
        <v>Sem - 24</v>
      </c>
      <c r="U766" s="6" t="str">
        <f aca="false">CHOOSE(MONTH(Q766),"Janvier","Février","Mars","Avril","Mai","Juin","Juillet","Août","Septembre","Octobre","Novembre","Décembre")</f>
        <v>Juin</v>
      </c>
      <c r="V766" s="22" t="n">
        <f aca="false">YEAR(Q766)</f>
        <v>2026</v>
      </c>
      <c r="W766" s="20"/>
      <c r="X766" s="8" t="n">
        <f aca="false">IFERROR(IF(M766="Abs",0,IF(ROUND((D766-C766+E766-F766)*1440,0)&lt;=1,0,D766-C766+E766-F766)),0)</f>
        <v>0</v>
      </c>
      <c r="Y766" s="6" t="str">
        <f aca="false">IFERROR(VLOOKUP($B766,Agents!$A:$D,3,0),"-")</f>
        <v>OUBRAHIM Mohammed</v>
      </c>
      <c r="Z766" s="6" t="str">
        <f aca="false">IFERROR(VLOOKUP($B766,Agents!$A:$D,4,0),"-")</f>
        <v>Credit Mutuel</v>
      </c>
      <c r="AA766" s="18" t="s">
        <v>106</v>
      </c>
      <c r="AB766" s="8" t="str">
        <f aca="false">IF(AND(D766="Congé",F766="Congé"),0.333333333333333,IF(OR(AND(D766="Congé",F766&lt;&gt;"Congé"),(AND(F766="Congé",D766&lt;&gt;"Congé"))),0.166666666666667,""))</f>
        <v/>
      </c>
      <c r="AC766" s="8" t="str">
        <f aca="false">IF(AND(D766="Congé sans solde",F766="Congé sans solde"),0.333333333333333,IF(OR(AND(D766="Congé sans solde",F766&lt;&gt;"Congé sans solde"),(AND(F766="Congé sans solde",D766&lt;&gt;"Congé sans solde"))),0.166666666666667,""))</f>
        <v/>
      </c>
      <c r="AD766" s="8" t="str">
        <f aca="false">IF(AND(D766="Congé spécial",F766="Congé spécial"),0.333333333333333,IF(OR(AND(D766="Congé spécial",F766&lt;&gt;"Congé spécial"),AND(F766="Congé spécial",D766&lt;&gt;"Congé spécial")),0.166666666666667,""))</f>
        <v/>
      </c>
      <c r="AE766" s="8" t="str">
        <f aca="false">IF(AND(D766="Férié",F766="Férié"),0.333333333333333,IF(OR(AND(D766="Férié",F766&lt;&gt;"Férié"),(AND(F766="Férié",D766&lt;&gt;"Férié"))),0.166666666666667,""))</f>
        <v/>
      </c>
      <c r="AF766" s="18"/>
      <c r="AG766" s="18"/>
    </row>
    <row r="767" customFormat="false" ht="15" hidden="false" customHeight="false" outlineLevel="0" collapsed="false">
      <c r="A767" s="6" t="str">
        <f aca="false">YEAR(Q767-WEEKDAY(Q767,2)+4)&amp;"-S"&amp;TEXT(WEEKNUM(Q767,21),"00")</f>
        <v>2026-S24</v>
      </c>
      <c r="B767" s="18" t="s">
        <v>72</v>
      </c>
      <c r="C767" s="19"/>
      <c r="D767" s="19" t="s">
        <v>74</v>
      </c>
      <c r="E767" s="19"/>
      <c r="F767" s="19" t="s">
        <v>74</v>
      </c>
      <c r="G767" s="20"/>
      <c r="H767" s="20"/>
      <c r="I767" s="8" t="str">
        <f aca="false">IF(IF(OR(C767="",D767="Congé",D767="OFF",D767="Congé spécial"),"",IF(D767&gt;F767,D767-C767,IF(C767-D767&lt;0,0,C767-D767)))&lt;0.00068287037037037,"",IF(OR(D767="Congé",D767="OFF",C767="",D767="Congé spécial"),"",IF(D767&gt;F767,D767-C767,IF(C767-D767&lt;0,0,C767-D767))))</f>
        <v/>
      </c>
      <c r="J767" s="20"/>
      <c r="K767" s="8" t="n">
        <f aca="false">IF(SUM(H767:J767)&lt;0.00068287037037037,0,SUM(H767:J767))</f>
        <v>0</v>
      </c>
      <c r="L767" s="8" t="n">
        <f aca="false">IF(OR(F767="Congé",F767="OFF",M767="Abs",F767="Congé sans solde",F767="Férié",F767="Congé spécial",D767="Congé spécial"),0,IF(F767-E767&lt;0,0,IF(F767-E767&lt;=0.00068287037037037,0,F767-E767)))</f>
        <v>0</v>
      </c>
      <c r="M767" s="6" t="n">
        <f aca="false">IF(AND(O767&lt;&gt;0,C767=""),"Abs",0)</f>
        <v>0</v>
      </c>
      <c r="N767" s="8" t="str">
        <f aca="false">IFERROR(IF(OR(D767="OFF",D767="Congé",M767="Abs",D767="Congé sans solde",D767="Férié"),"",IF(O767-K767-L767&gt;O767,O767,IF(O767-K767-L767&lt;0,"",O767-K767-L767))),"")</f>
        <v/>
      </c>
      <c r="O767" s="8" t="n">
        <f aca="false">IF(AG767="2H Pause déjeuner",IF(F767-D767-0.0833333333333333&lt;0,F767-D767-0.0833333333333333+1,F767-D767-0.0833333333333333),IF(OR(AND(F767="OFF",D767="OFF"),AND(F767="Congé",D767="Congé"),AND(F767="Congé sans solde",D767="Congé sans solde"),AND(F767="Congé spécial",D767="Congé spécial"),AND(F767="Férié",D767="Férié"),AND(F767="OFF",D767="Congé"),AND(F767="OFF",D767="Congé sans solde"),AND(F767="OFF",D767="Congé spécial"),AND(F767="OFF",D767="Férié"),AND(F767="Congé",D767="OFF"),AND(F767="Congé",D767="Congé sans solde"),AND(F767="Congé",D767="Congé spécial"),AND(F767="Congé",D767="Férié"),AND(F767="Congé sans solde",D767="OFF"),AND(F767="Congé sans solde",D767="Congé"),AND(F767="Congé sans solde",D767="Congé spécial"),AND(F767="Congé sans solde",D767="Férié"),AND(F767="Congé spécial",D767="OFF"),AND(F767="Congé spécial",D767="Congé"),AND(F767="Congé spécial",D767="Congé sans solde"),AND(F767="Congé spécial",D767="Férié"),AND(F767="Férié",D767="OFF"),AND(F767="Férié",D767="Congé"),AND(F767="Férié",D767="Congé sans solde"),AND(F767="Férié",D767="Congé spécial")),0,IF(OR(F767="OFF",F767="Congé",F767="Congé spécial",F767="Congé sans solde",D767="OFF",D767="Congé",D767="Congé spécial",D767="Congé sans solde"),0.208333333333334,IF(AND(AG767="",F767-D767&lt;0),("24:00:00"-D767)+("00:00:00"+F767)-0.0416666666666667,IF(AND(OR(AG767="Allaitement",AG767="Sans déjeuner"),F767-D767&lt;0),("24:00:00"-D767)+("00:00:00"+F767),IF(AND(AG767="",F767-D767&gt;0.166666666666667),F767-D767-0.0416666666666667,IF(AND(OR(AG767="Allaitement",AG767="Sans déjeuner"),F767-D767&gt;0.166666666666667),F767-D767,F767-D767)))))))</f>
        <v>0</v>
      </c>
      <c r="P767" s="6" t="str">
        <f aca="false">IFERROR(VLOOKUP($B767,Agents!$A:$D,2,0),"-")</f>
        <v>Accessibilité</v>
      </c>
      <c r="Q767" s="21" t="n">
        <v>46186</v>
      </c>
      <c r="R767" s="8" t="n">
        <f aca="false">IF(M767="Abs",O767,0)</f>
        <v>0</v>
      </c>
      <c r="S767" s="8" t="n">
        <f aca="false">SUM(R767,L767,I767,J767,W767,H767)</f>
        <v>0</v>
      </c>
      <c r="T767" s="6" t="str">
        <f aca="false">"Sem - "&amp;WEEKNUM(Q767,21)</f>
        <v>Sem - 24</v>
      </c>
      <c r="U767" s="6" t="str">
        <f aca="false">CHOOSE(MONTH(Q767),"Janvier","Février","Mars","Avril","Mai","Juin","Juillet","Août","Septembre","Octobre","Novembre","Décembre")</f>
        <v>Juin</v>
      </c>
      <c r="V767" s="22" t="n">
        <f aca="false">YEAR(Q767)</f>
        <v>2026</v>
      </c>
      <c r="W767" s="20"/>
      <c r="X767" s="8" t="n">
        <f aca="false">IFERROR(IF(M767="Abs",0,IF(ROUND((D767-C767+E767-F767)*1440,0)&lt;=1,0,D767-C767+E767-F767)),0)</f>
        <v>0</v>
      </c>
      <c r="Y767" s="6" t="str">
        <f aca="false">IFERROR(VLOOKUP($B767,Agents!$A:$D,3,0),"-")</f>
        <v>OUBRAHIM Mohammed</v>
      </c>
      <c r="Z767" s="6" t="str">
        <f aca="false">IFERROR(VLOOKUP($B767,Agents!$A:$D,4,0),"-")</f>
        <v>Credit Mutuel</v>
      </c>
      <c r="AA767" s="18" t="s">
        <v>106</v>
      </c>
      <c r="AB767" s="8" t="str">
        <f aca="false">IF(AND(D767="Congé",F767="Congé"),0.333333333333333,IF(OR(AND(D767="Congé",F767&lt;&gt;"Congé"),(AND(F767="Congé",D767&lt;&gt;"Congé"))),0.166666666666667,""))</f>
        <v/>
      </c>
      <c r="AC767" s="8" t="str">
        <f aca="false">IF(AND(D767="Congé sans solde",F767="Congé sans solde"),0.333333333333333,IF(OR(AND(D767="Congé sans solde",F767&lt;&gt;"Congé sans solde"),(AND(F767="Congé sans solde",D767&lt;&gt;"Congé sans solde"))),0.166666666666667,""))</f>
        <v/>
      </c>
      <c r="AD767" s="8" t="str">
        <f aca="false">IF(AND(D767="Congé spécial",F767="Congé spécial"),0.333333333333333,IF(OR(AND(D767="Congé spécial",F767&lt;&gt;"Congé spécial"),AND(F767="Congé spécial",D767&lt;&gt;"Congé spécial")),0.166666666666667,""))</f>
        <v/>
      </c>
      <c r="AE767" s="8" t="str">
        <f aca="false">IF(AND(D767="Férié",F767="Férié"),0.333333333333333,IF(OR(AND(D767="Férié",F767&lt;&gt;"Férié"),(AND(F767="Férié",D767&lt;&gt;"Férié"))),0.166666666666667,""))</f>
        <v/>
      </c>
      <c r="AF767" s="18"/>
      <c r="AG767" s="18"/>
    </row>
    <row r="768" customFormat="false" ht="15" hidden="false" customHeight="false" outlineLevel="0" collapsed="false">
      <c r="A768" s="6" t="str">
        <f aca="false">YEAR(Q768-WEEKDAY(Q768,2)+4)&amp;"-S"&amp;TEXT(WEEKNUM(Q768,21),"00")</f>
        <v>2026-S24</v>
      </c>
      <c r="B768" s="18" t="s">
        <v>73</v>
      </c>
      <c r="C768" s="19"/>
      <c r="D768" s="19" t="s">
        <v>74</v>
      </c>
      <c r="E768" s="19"/>
      <c r="F768" s="19" t="s">
        <v>74</v>
      </c>
      <c r="G768" s="20"/>
      <c r="H768" s="20"/>
      <c r="I768" s="8" t="str">
        <f aca="false">IF(IF(OR(C768="",D768="Congé",D768="OFF",D768="Congé spécial"),"",IF(D768&gt;F768,D768-C768,IF(C768-D768&lt;0,0,C768-D768)))&lt;0.00068287037037037,"",IF(OR(D768="Congé",D768="OFF",C768="",D768="Congé spécial"),"",IF(D768&gt;F768,D768-C768,IF(C768-D768&lt;0,0,C768-D768))))</f>
        <v/>
      </c>
      <c r="J768" s="20"/>
      <c r="K768" s="8" t="n">
        <f aca="false">IF(SUM(H768:J768)&lt;0.00068287037037037,0,SUM(H768:J768))</f>
        <v>0</v>
      </c>
      <c r="L768" s="8" t="n">
        <f aca="false">IF(OR(F768="Congé",F768="OFF",M768="Abs",F768="Congé sans solde",F768="Férié",F768="Congé spécial",D768="Congé spécial"),0,IF(F768-E768&lt;0,0,IF(F768-E768&lt;=0.00068287037037037,0,F768-E768)))</f>
        <v>0</v>
      </c>
      <c r="M768" s="6" t="n">
        <f aca="false">IF(AND(O768&lt;&gt;0,C768=""),"Abs",0)</f>
        <v>0</v>
      </c>
      <c r="N768" s="8" t="str">
        <f aca="false">IFERROR(IF(OR(D768="OFF",D768="Congé",M768="Abs",D768="Congé sans solde",D768="Férié"),"",IF(O768-K768-L768&gt;O768,O768,IF(O768-K768-L768&lt;0,"",O768-K768-L768))),"")</f>
        <v/>
      </c>
      <c r="O768" s="8" t="n">
        <f aca="false">IF(AG768="2H Pause déjeuner",IF(F768-D768-0.0833333333333333&lt;0,F768-D768-0.0833333333333333+1,F768-D768-0.0833333333333333),IF(OR(AND(F768="OFF",D768="OFF"),AND(F768="Congé",D768="Congé"),AND(F768="Congé sans solde",D768="Congé sans solde"),AND(F768="Congé spécial",D768="Congé spécial"),AND(F768="Férié",D768="Férié"),AND(F768="OFF",D768="Congé"),AND(F768="OFF",D768="Congé sans solde"),AND(F768="OFF",D768="Congé spécial"),AND(F768="OFF",D768="Férié"),AND(F768="Congé",D768="OFF"),AND(F768="Congé",D768="Congé sans solde"),AND(F768="Congé",D768="Congé spécial"),AND(F768="Congé",D768="Férié"),AND(F768="Congé sans solde",D768="OFF"),AND(F768="Congé sans solde",D768="Congé"),AND(F768="Congé sans solde",D768="Congé spécial"),AND(F768="Congé sans solde",D768="Férié"),AND(F768="Congé spécial",D768="OFF"),AND(F768="Congé spécial",D768="Congé"),AND(F768="Congé spécial",D768="Congé sans solde"),AND(F768="Congé spécial",D768="Férié"),AND(F768="Férié",D768="OFF"),AND(F768="Férié",D768="Congé"),AND(F768="Férié",D768="Congé sans solde"),AND(F768="Férié",D768="Congé spécial")),0,IF(OR(F768="OFF",F768="Congé",F768="Congé spécial",F768="Congé sans solde",D768="OFF",D768="Congé",D768="Congé spécial",D768="Congé sans solde"),0.208333333333334,IF(AND(AG768="",F768-D768&lt;0),("24:00:00"-D768)+("00:00:00"+F768)-0.0416666666666667,IF(AND(OR(AG768="Allaitement",AG768="Sans déjeuner"),F768-D768&lt;0),("24:00:00"-D768)+("00:00:00"+F768),IF(AND(AG768="",F768-D768&gt;0.166666666666667),F768-D768-0.0416666666666667,IF(AND(OR(AG768="Allaitement",AG768="Sans déjeuner"),F768-D768&gt;0.166666666666667),F768-D768,F768-D768)))))))</f>
        <v>0</v>
      </c>
      <c r="P768" s="6" t="str">
        <f aca="false">IFERROR(VLOOKUP($B768,Agents!$A:$D,2,0),"-")</f>
        <v>Accessibilité</v>
      </c>
      <c r="Q768" s="21" t="n">
        <v>46186</v>
      </c>
      <c r="R768" s="8" t="n">
        <f aca="false">IF(M768="Abs",O768,0)</f>
        <v>0</v>
      </c>
      <c r="S768" s="8" t="n">
        <f aca="false">SUM(R768,L768,I768,J768,W768,H768)</f>
        <v>0</v>
      </c>
      <c r="T768" s="6" t="str">
        <f aca="false">"Sem - "&amp;WEEKNUM(Q768,21)</f>
        <v>Sem - 24</v>
      </c>
      <c r="U768" s="6" t="str">
        <f aca="false">CHOOSE(MONTH(Q768),"Janvier","Février","Mars","Avril","Mai","Juin","Juillet","Août","Septembre","Octobre","Novembre","Décembre")</f>
        <v>Juin</v>
      </c>
      <c r="V768" s="22" t="n">
        <f aca="false">YEAR(Q768)</f>
        <v>2026</v>
      </c>
      <c r="W768" s="20"/>
      <c r="X768" s="8" t="n">
        <f aca="false">IFERROR(IF(M768="Abs",0,IF(ROUND((D768-C768+E768-F768)*1440,0)&lt;=1,0,D768-C768+E768-F768)),0)</f>
        <v>0</v>
      </c>
      <c r="Y768" s="6" t="str">
        <f aca="false">IFERROR(VLOOKUP($B768,Agents!$A:$D,3,0),"-")</f>
        <v>OUBRAHIM Mohammed</v>
      </c>
      <c r="Z768" s="6" t="str">
        <f aca="false">IFERROR(VLOOKUP($B768,Agents!$A:$D,4,0),"-")</f>
        <v>Credit Mutuel</v>
      </c>
      <c r="AA768" s="18" t="s">
        <v>106</v>
      </c>
      <c r="AB768" s="8" t="str">
        <f aca="false">IF(AND(D768="Congé",F768="Congé"),0.333333333333333,IF(OR(AND(D768="Congé",F768&lt;&gt;"Congé"),(AND(F768="Congé",D768&lt;&gt;"Congé"))),0.166666666666667,""))</f>
        <v/>
      </c>
      <c r="AC768" s="8" t="str">
        <f aca="false">IF(AND(D768="Congé sans solde",F768="Congé sans solde"),0.333333333333333,IF(OR(AND(D768="Congé sans solde",F768&lt;&gt;"Congé sans solde"),(AND(F768="Congé sans solde",D768&lt;&gt;"Congé sans solde"))),0.166666666666667,""))</f>
        <v/>
      </c>
      <c r="AD768" s="8" t="str">
        <f aca="false">IF(AND(D768="Congé spécial",F768="Congé spécial"),0.333333333333333,IF(OR(AND(D768="Congé spécial",F768&lt;&gt;"Congé spécial"),AND(F768="Congé spécial",D768&lt;&gt;"Congé spécial")),0.166666666666667,""))</f>
        <v/>
      </c>
      <c r="AE768" s="8" t="str">
        <f aca="false">IF(AND(D768="Férié",F768="Férié"),0.333333333333333,IF(OR(AND(D768="Férié",F768&lt;&gt;"Férié"),(AND(F768="Férié",D768&lt;&gt;"Férié"))),0.166666666666667,""))</f>
        <v/>
      </c>
      <c r="AF768" s="18"/>
      <c r="AG768" s="18"/>
    </row>
    <row r="769" customFormat="false" ht="15" hidden="false" customHeight="false" outlineLevel="0" collapsed="false">
      <c r="A769" s="6" t="str">
        <f aca="false">YEAR(Q769-WEEKDAY(Q769,2)+4)&amp;"-S"&amp;TEXT(WEEKNUM(Q769,21),"00")</f>
        <v>2026-S24</v>
      </c>
      <c r="B769" s="18" t="s">
        <v>71</v>
      </c>
      <c r="C769" s="19"/>
      <c r="D769" s="19" t="s">
        <v>74</v>
      </c>
      <c r="E769" s="19"/>
      <c r="F769" s="19" t="s">
        <v>74</v>
      </c>
      <c r="G769" s="20"/>
      <c r="H769" s="20"/>
      <c r="I769" s="8" t="str">
        <f aca="false">IF(IF(OR(C769="",D769="Congé",D769="OFF",D769="Congé spécial"),"",IF(D769&gt;F769,D769-C769,IF(C769-D769&lt;0,0,C769-D769)))&lt;0.00068287037037037,"",IF(OR(D769="Congé",D769="OFF",C769="",D769="Congé spécial"),"",IF(D769&gt;F769,D769-C769,IF(C769-D769&lt;0,0,C769-D769))))</f>
        <v/>
      </c>
      <c r="J769" s="20"/>
      <c r="K769" s="8" t="n">
        <f aca="false">IF(SUM(H769:J769)&lt;0.00068287037037037,0,SUM(H769:J769))</f>
        <v>0</v>
      </c>
      <c r="L769" s="8" t="n">
        <f aca="false">IF(OR(F769="Congé",F769="OFF",M769="Abs",F769="Congé sans solde",F769="Férié",F769="Congé spécial",D769="Congé spécial"),0,IF(F769-E769&lt;0,0,IF(F769-E769&lt;=0.00068287037037037,0,F769-E769)))</f>
        <v>0</v>
      </c>
      <c r="M769" s="6" t="n">
        <f aca="false">IF(AND(O769&lt;&gt;0,C769=""),"Abs",0)</f>
        <v>0</v>
      </c>
      <c r="N769" s="8" t="str">
        <f aca="false">IFERROR(IF(OR(D769="OFF",D769="Congé",M769="Abs",D769="Congé sans solde",D769="Férié"),"",IF(O769-K769-L769&gt;O769,O769,IF(O769-K769-L769&lt;0,"",O769-K769-L769))),"")</f>
        <v/>
      </c>
      <c r="O769" s="8" t="n">
        <f aca="false">IF(AG769="2H Pause déjeuner",IF(F769-D769-0.0833333333333333&lt;0,F769-D769-0.0833333333333333+1,F769-D769-0.0833333333333333),IF(OR(AND(F769="OFF",D769="OFF"),AND(F769="Congé",D769="Congé"),AND(F769="Congé sans solde",D769="Congé sans solde"),AND(F769="Congé spécial",D769="Congé spécial"),AND(F769="Férié",D769="Férié"),AND(F769="OFF",D769="Congé"),AND(F769="OFF",D769="Congé sans solde"),AND(F769="OFF",D769="Congé spécial"),AND(F769="OFF",D769="Férié"),AND(F769="Congé",D769="OFF"),AND(F769="Congé",D769="Congé sans solde"),AND(F769="Congé",D769="Congé spécial"),AND(F769="Congé",D769="Férié"),AND(F769="Congé sans solde",D769="OFF"),AND(F769="Congé sans solde",D769="Congé"),AND(F769="Congé sans solde",D769="Congé spécial"),AND(F769="Congé sans solde",D769="Férié"),AND(F769="Congé spécial",D769="OFF"),AND(F769="Congé spécial",D769="Congé"),AND(F769="Congé spécial",D769="Congé sans solde"),AND(F769="Congé spécial",D769="Férié"),AND(F769="Férié",D769="OFF"),AND(F769="Férié",D769="Congé"),AND(F769="Férié",D769="Congé sans solde"),AND(F769="Férié",D769="Congé spécial")),0,IF(OR(F769="OFF",F769="Congé",F769="Congé spécial",F769="Congé sans solde",D769="OFF",D769="Congé",D769="Congé spécial",D769="Congé sans solde"),0.208333333333334,IF(AND(AG769="",F769-D769&lt;0),("24:00:00"-D769)+("00:00:00"+F769)-0.0416666666666667,IF(AND(OR(AG769="Allaitement",AG769="Sans déjeuner"),F769-D769&lt;0),("24:00:00"-D769)+("00:00:00"+F769),IF(AND(AG769="",F769-D769&gt;0.166666666666667),F769-D769-0.0416666666666667,IF(AND(OR(AG769="Allaitement",AG769="Sans déjeuner"),F769-D769&gt;0.166666666666667),F769-D769,F769-D769)))))))</f>
        <v>0</v>
      </c>
      <c r="P769" s="6" t="str">
        <f aca="false">IFERROR(VLOOKUP($B769,Agents!$A:$D,2,0),"-")</f>
        <v>Accessibilité</v>
      </c>
      <c r="Q769" s="21" t="n">
        <v>46187</v>
      </c>
      <c r="R769" s="8" t="n">
        <f aca="false">IF(M769="Abs",O769,0)</f>
        <v>0</v>
      </c>
      <c r="S769" s="8" t="n">
        <f aca="false">SUM(R769,L769,I769,J769,W769,H769)</f>
        <v>0</v>
      </c>
      <c r="T769" s="6" t="str">
        <f aca="false">"Sem - "&amp;WEEKNUM(Q769,21)</f>
        <v>Sem - 24</v>
      </c>
      <c r="U769" s="6" t="str">
        <f aca="false">CHOOSE(MONTH(Q769),"Janvier","Février","Mars","Avril","Mai","Juin","Juillet","Août","Septembre","Octobre","Novembre","Décembre")</f>
        <v>Juin</v>
      </c>
      <c r="V769" s="22" t="n">
        <f aca="false">YEAR(Q769)</f>
        <v>2026</v>
      </c>
      <c r="W769" s="20"/>
      <c r="X769" s="8" t="n">
        <f aca="false">IFERROR(IF(M769="Abs",0,IF(ROUND((D769-C769+E769-F769)*1440,0)&lt;=1,0,D769-C769+E769-F769)),0)</f>
        <v>0</v>
      </c>
      <c r="Y769" s="6" t="str">
        <f aca="false">IFERROR(VLOOKUP($B769,Agents!$A:$D,3,0),"-")</f>
        <v>OUBRAHIM Mohammed</v>
      </c>
      <c r="Z769" s="6" t="str">
        <f aca="false">IFERROR(VLOOKUP($B769,Agents!$A:$D,4,0),"-")</f>
        <v>Credit Mutuel</v>
      </c>
      <c r="AA769" s="18" t="s">
        <v>106</v>
      </c>
      <c r="AB769" s="8" t="str">
        <f aca="false">IF(AND(D769="Congé",F769="Congé"),0.333333333333333,IF(OR(AND(D769="Congé",F769&lt;&gt;"Congé"),(AND(F769="Congé",D769&lt;&gt;"Congé"))),0.166666666666667,""))</f>
        <v/>
      </c>
      <c r="AC769" s="8" t="str">
        <f aca="false">IF(AND(D769="Congé sans solde",F769="Congé sans solde"),0.333333333333333,IF(OR(AND(D769="Congé sans solde",F769&lt;&gt;"Congé sans solde"),(AND(F769="Congé sans solde",D769&lt;&gt;"Congé sans solde"))),0.166666666666667,""))</f>
        <v/>
      </c>
      <c r="AD769" s="8" t="str">
        <f aca="false">IF(AND(D769="Congé spécial",F769="Congé spécial"),0.333333333333333,IF(OR(AND(D769="Congé spécial",F769&lt;&gt;"Congé spécial"),AND(F769="Congé spécial",D769&lt;&gt;"Congé spécial")),0.166666666666667,""))</f>
        <v/>
      </c>
      <c r="AE769" s="8" t="str">
        <f aca="false">IF(AND(D769="Férié",F769="Férié"),0.333333333333333,IF(OR(AND(D769="Férié",F769&lt;&gt;"Férié"),(AND(F769="Férié",D769&lt;&gt;"Férié"))),0.166666666666667,""))</f>
        <v/>
      </c>
      <c r="AF769" s="18"/>
      <c r="AG769" s="18"/>
    </row>
    <row r="770" customFormat="false" ht="15" hidden="false" customHeight="false" outlineLevel="0" collapsed="false">
      <c r="A770" s="6" t="str">
        <f aca="false">YEAR(Q770-WEEKDAY(Q770,2)+4)&amp;"-S"&amp;TEXT(WEEKNUM(Q770,21),"00")</f>
        <v>2026-S24</v>
      </c>
      <c r="B770" s="18" t="s">
        <v>72</v>
      </c>
      <c r="C770" s="19"/>
      <c r="D770" s="19" t="s">
        <v>74</v>
      </c>
      <c r="E770" s="19"/>
      <c r="F770" s="19" t="s">
        <v>74</v>
      </c>
      <c r="G770" s="20"/>
      <c r="H770" s="20"/>
      <c r="I770" s="8" t="str">
        <f aca="false">IF(IF(OR(C770="",D770="Congé",D770="OFF",D770="Congé spécial"),"",IF(D770&gt;F770,D770-C770,IF(C770-D770&lt;0,0,C770-D770)))&lt;0.00068287037037037,"",IF(OR(D770="Congé",D770="OFF",C770="",D770="Congé spécial"),"",IF(D770&gt;F770,D770-C770,IF(C770-D770&lt;0,0,C770-D770))))</f>
        <v/>
      </c>
      <c r="J770" s="20"/>
      <c r="K770" s="8" t="n">
        <f aca="false">IF(SUM(H770:J770)&lt;0.00068287037037037,0,SUM(H770:J770))</f>
        <v>0</v>
      </c>
      <c r="L770" s="8" t="n">
        <f aca="false">IF(OR(F770="Congé",F770="OFF",M770="Abs",F770="Congé sans solde",F770="Férié",F770="Congé spécial",D770="Congé spécial"),0,IF(F770-E770&lt;0,0,IF(F770-E770&lt;=0.00068287037037037,0,F770-E770)))</f>
        <v>0</v>
      </c>
      <c r="M770" s="6" t="n">
        <f aca="false">IF(AND(O770&lt;&gt;0,C770=""),"Abs",0)</f>
        <v>0</v>
      </c>
      <c r="N770" s="8" t="str">
        <f aca="false">IFERROR(IF(OR(D770="OFF",D770="Congé",M770="Abs",D770="Congé sans solde",D770="Férié"),"",IF(O770-K770-L770&gt;O770,O770,IF(O770-K770-L770&lt;0,"",O770-K770-L770))),"")</f>
        <v/>
      </c>
      <c r="O770" s="8" t="n">
        <f aca="false">IF(AG770="2H Pause déjeuner",IF(F770-D770-0.0833333333333333&lt;0,F770-D770-0.0833333333333333+1,F770-D770-0.0833333333333333),IF(OR(AND(F770="OFF",D770="OFF"),AND(F770="Congé",D770="Congé"),AND(F770="Congé sans solde",D770="Congé sans solde"),AND(F770="Congé spécial",D770="Congé spécial"),AND(F770="Férié",D770="Férié"),AND(F770="OFF",D770="Congé"),AND(F770="OFF",D770="Congé sans solde"),AND(F770="OFF",D770="Congé spécial"),AND(F770="OFF",D770="Férié"),AND(F770="Congé",D770="OFF"),AND(F770="Congé",D770="Congé sans solde"),AND(F770="Congé",D770="Congé spécial"),AND(F770="Congé",D770="Férié"),AND(F770="Congé sans solde",D770="OFF"),AND(F770="Congé sans solde",D770="Congé"),AND(F770="Congé sans solde",D770="Congé spécial"),AND(F770="Congé sans solde",D770="Férié"),AND(F770="Congé spécial",D770="OFF"),AND(F770="Congé spécial",D770="Congé"),AND(F770="Congé spécial",D770="Congé sans solde"),AND(F770="Congé spécial",D770="Férié"),AND(F770="Férié",D770="OFF"),AND(F770="Férié",D770="Congé"),AND(F770="Férié",D770="Congé sans solde"),AND(F770="Férié",D770="Congé spécial")),0,IF(OR(F770="OFF",F770="Congé",F770="Congé spécial",F770="Congé sans solde",D770="OFF",D770="Congé",D770="Congé spécial",D770="Congé sans solde"),0.208333333333334,IF(AND(AG770="",F770-D770&lt;0),("24:00:00"-D770)+("00:00:00"+F770)-0.0416666666666667,IF(AND(OR(AG770="Allaitement",AG770="Sans déjeuner"),F770-D770&lt;0),("24:00:00"-D770)+("00:00:00"+F770),IF(AND(AG770="",F770-D770&gt;0.166666666666667),F770-D770-0.0416666666666667,IF(AND(OR(AG770="Allaitement",AG770="Sans déjeuner"),F770-D770&gt;0.166666666666667),F770-D770,F770-D770)))))))</f>
        <v>0</v>
      </c>
      <c r="P770" s="6" t="str">
        <f aca="false">IFERROR(VLOOKUP($B770,Agents!$A:$D,2,0),"-")</f>
        <v>Accessibilité</v>
      </c>
      <c r="Q770" s="21" t="n">
        <v>46187</v>
      </c>
      <c r="R770" s="8" t="n">
        <f aca="false">IF(M770="Abs",O770,0)</f>
        <v>0</v>
      </c>
      <c r="S770" s="8" t="n">
        <f aca="false">SUM(R770,L770,I770,J770,W770,H770)</f>
        <v>0</v>
      </c>
      <c r="T770" s="6" t="str">
        <f aca="false">"Sem - "&amp;WEEKNUM(Q770,21)</f>
        <v>Sem - 24</v>
      </c>
      <c r="U770" s="6" t="str">
        <f aca="false">CHOOSE(MONTH(Q770),"Janvier","Février","Mars","Avril","Mai","Juin","Juillet","Août","Septembre","Octobre","Novembre","Décembre")</f>
        <v>Juin</v>
      </c>
      <c r="V770" s="22" t="n">
        <f aca="false">YEAR(Q770)</f>
        <v>2026</v>
      </c>
      <c r="W770" s="20"/>
      <c r="X770" s="8" t="n">
        <f aca="false">IFERROR(IF(M770="Abs",0,IF(ROUND((D770-C770+E770-F770)*1440,0)&lt;=1,0,D770-C770+E770-F770)),0)</f>
        <v>0</v>
      </c>
      <c r="Y770" s="6" t="str">
        <f aca="false">IFERROR(VLOOKUP($B770,Agents!$A:$D,3,0),"-")</f>
        <v>OUBRAHIM Mohammed</v>
      </c>
      <c r="Z770" s="6" t="str">
        <f aca="false">IFERROR(VLOOKUP($B770,Agents!$A:$D,4,0),"-")</f>
        <v>Credit Mutuel</v>
      </c>
      <c r="AA770" s="18" t="s">
        <v>106</v>
      </c>
      <c r="AB770" s="8" t="str">
        <f aca="false">IF(AND(D770="Congé",F770="Congé"),0.333333333333333,IF(OR(AND(D770="Congé",F770&lt;&gt;"Congé"),(AND(F770="Congé",D770&lt;&gt;"Congé"))),0.166666666666667,""))</f>
        <v/>
      </c>
      <c r="AC770" s="8" t="str">
        <f aca="false">IF(AND(D770="Congé sans solde",F770="Congé sans solde"),0.333333333333333,IF(OR(AND(D770="Congé sans solde",F770&lt;&gt;"Congé sans solde"),(AND(F770="Congé sans solde",D770&lt;&gt;"Congé sans solde"))),0.166666666666667,""))</f>
        <v/>
      </c>
      <c r="AD770" s="8" t="str">
        <f aca="false">IF(AND(D770="Congé spécial",F770="Congé spécial"),0.333333333333333,IF(OR(AND(D770="Congé spécial",F770&lt;&gt;"Congé spécial"),AND(F770="Congé spécial",D770&lt;&gt;"Congé spécial")),0.166666666666667,""))</f>
        <v/>
      </c>
      <c r="AE770" s="8" t="str">
        <f aca="false">IF(AND(D770="Férié",F770="Férié"),0.333333333333333,IF(OR(AND(D770="Férié",F770&lt;&gt;"Férié"),(AND(F770="Férié",D770&lt;&gt;"Férié"))),0.166666666666667,""))</f>
        <v/>
      </c>
      <c r="AF770" s="18"/>
      <c r="AG770" s="18"/>
    </row>
    <row r="771" customFormat="false" ht="15" hidden="false" customHeight="false" outlineLevel="0" collapsed="false">
      <c r="A771" s="6" t="str">
        <f aca="false">YEAR(Q771-WEEKDAY(Q771,2)+4)&amp;"-S"&amp;TEXT(WEEKNUM(Q771,21),"00")</f>
        <v>2026-S24</v>
      </c>
      <c r="B771" s="18" t="s">
        <v>73</v>
      </c>
      <c r="C771" s="19"/>
      <c r="D771" s="19" t="s">
        <v>74</v>
      </c>
      <c r="E771" s="19"/>
      <c r="F771" s="19" t="s">
        <v>74</v>
      </c>
      <c r="G771" s="20"/>
      <c r="H771" s="20"/>
      <c r="I771" s="8" t="str">
        <f aca="false">IF(IF(OR(C771="",D771="Congé",D771="OFF",D771="Congé spécial"),"",IF(D771&gt;F771,D771-C771,IF(C771-D771&lt;0,0,C771-D771)))&lt;0.00068287037037037,"",IF(OR(D771="Congé",D771="OFF",C771="",D771="Congé spécial"),"",IF(D771&gt;F771,D771-C771,IF(C771-D771&lt;0,0,C771-D771))))</f>
        <v/>
      </c>
      <c r="J771" s="20"/>
      <c r="K771" s="8" t="n">
        <f aca="false">IF(SUM(H771:J771)&lt;0.00068287037037037,0,SUM(H771:J771))</f>
        <v>0</v>
      </c>
      <c r="L771" s="8" t="n">
        <f aca="false">IF(OR(F771="Congé",F771="OFF",M771="Abs",F771="Congé sans solde",F771="Férié",F771="Congé spécial",D771="Congé spécial"),0,IF(F771-E771&lt;0,0,IF(F771-E771&lt;=0.00068287037037037,0,F771-E771)))</f>
        <v>0</v>
      </c>
      <c r="M771" s="6" t="n">
        <f aca="false">IF(AND(O771&lt;&gt;0,C771=""),"Abs",0)</f>
        <v>0</v>
      </c>
      <c r="N771" s="8" t="str">
        <f aca="false">IFERROR(IF(OR(D771="OFF",D771="Congé",M771="Abs",D771="Congé sans solde",D771="Férié"),"",IF(O771-K771-L771&gt;O771,O771,IF(O771-K771-L771&lt;0,"",O771-K771-L771))),"")</f>
        <v/>
      </c>
      <c r="O771" s="8" t="n">
        <f aca="false">IF(AG771="2H Pause déjeuner",IF(F771-D771-0.0833333333333333&lt;0,F771-D771-0.0833333333333333+1,F771-D771-0.0833333333333333),IF(OR(AND(F771="OFF",D771="OFF"),AND(F771="Congé",D771="Congé"),AND(F771="Congé sans solde",D771="Congé sans solde"),AND(F771="Congé spécial",D771="Congé spécial"),AND(F771="Férié",D771="Férié"),AND(F771="OFF",D771="Congé"),AND(F771="OFF",D771="Congé sans solde"),AND(F771="OFF",D771="Congé spécial"),AND(F771="OFF",D771="Férié"),AND(F771="Congé",D771="OFF"),AND(F771="Congé",D771="Congé sans solde"),AND(F771="Congé",D771="Congé spécial"),AND(F771="Congé",D771="Férié"),AND(F771="Congé sans solde",D771="OFF"),AND(F771="Congé sans solde",D771="Congé"),AND(F771="Congé sans solde",D771="Congé spécial"),AND(F771="Congé sans solde",D771="Férié"),AND(F771="Congé spécial",D771="OFF"),AND(F771="Congé spécial",D771="Congé"),AND(F771="Congé spécial",D771="Congé sans solde"),AND(F771="Congé spécial",D771="Férié"),AND(F771="Férié",D771="OFF"),AND(F771="Férié",D771="Congé"),AND(F771="Férié",D771="Congé sans solde"),AND(F771="Férié",D771="Congé spécial")),0,IF(OR(F771="OFF",F771="Congé",F771="Congé spécial",F771="Congé sans solde",D771="OFF",D771="Congé",D771="Congé spécial",D771="Congé sans solde"),0.208333333333334,IF(AND(AG771="",F771-D771&lt;0),("24:00:00"-D771)+("00:00:00"+F771)-0.0416666666666667,IF(AND(OR(AG771="Allaitement",AG771="Sans déjeuner"),F771-D771&lt;0),("24:00:00"-D771)+("00:00:00"+F771),IF(AND(AG771="",F771-D771&gt;0.166666666666667),F771-D771-0.0416666666666667,IF(AND(OR(AG771="Allaitement",AG771="Sans déjeuner"),F771-D771&gt;0.166666666666667),F771-D771,F771-D771)))))))</f>
        <v>0</v>
      </c>
      <c r="P771" s="6" t="str">
        <f aca="false">IFERROR(VLOOKUP($B771,Agents!$A:$D,2,0),"-")</f>
        <v>Accessibilité</v>
      </c>
      <c r="Q771" s="21" t="n">
        <v>46187</v>
      </c>
      <c r="R771" s="8" t="n">
        <f aca="false">IF(M771="Abs",O771,0)</f>
        <v>0</v>
      </c>
      <c r="S771" s="8" t="n">
        <f aca="false">SUM(R771,L771,I771,J771,W771,H771)</f>
        <v>0</v>
      </c>
      <c r="T771" s="6" t="str">
        <f aca="false">"Sem - "&amp;WEEKNUM(Q771,21)</f>
        <v>Sem - 24</v>
      </c>
      <c r="U771" s="6" t="str">
        <f aca="false">CHOOSE(MONTH(Q771),"Janvier","Février","Mars","Avril","Mai","Juin","Juillet","Août","Septembre","Octobre","Novembre","Décembre")</f>
        <v>Juin</v>
      </c>
      <c r="V771" s="22" t="n">
        <f aca="false">YEAR(Q771)</f>
        <v>2026</v>
      </c>
      <c r="W771" s="20"/>
      <c r="X771" s="8" t="n">
        <f aca="false">IFERROR(IF(M771="Abs",0,IF(ROUND((D771-C771+E771-F771)*1440,0)&lt;=1,0,D771-C771+E771-F771)),0)</f>
        <v>0</v>
      </c>
      <c r="Y771" s="6" t="str">
        <f aca="false">IFERROR(VLOOKUP($B771,Agents!$A:$D,3,0),"-")</f>
        <v>OUBRAHIM Mohammed</v>
      </c>
      <c r="Z771" s="6" t="str">
        <f aca="false">IFERROR(VLOOKUP($B771,Agents!$A:$D,4,0),"-")</f>
        <v>Credit Mutuel</v>
      </c>
      <c r="AA771" s="18" t="s">
        <v>106</v>
      </c>
      <c r="AB771" s="8" t="str">
        <f aca="false">IF(AND(D771="Congé",F771="Congé"),0.333333333333333,IF(OR(AND(D771="Congé",F771&lt;&gt;"Congé"),(AND(F771="Congé",D771&lt;&gt;"Congé"))),0.166666666666667,""))</f>
        <v/>
      </c>
      <c r="AC771" s="8" t="str">
        <f aca="false">IF(AND(D771="Congé sans solde",F771="Congé sans solde"),0.333333333333333,IF(OR(AND(D771="Congé sans solde",F771&lt;&gt;"Congé sans solde"),(AND(F771="Congé sans solde",D771&lt;&gt;"Congé sans solde"))),0.166666666666667,""))</f>
        <v/>
      </c>
      <c r="AD771" s="8" t="str">
        <f aca="false">IF(AND(D771="Congé spécial",F771="Congé spécial"),0.333333333333333,IF(OR(AND(D771="Congé spécial",F771&lt;&gt;"Congé spécial"),AND(F771="Congé spécial",D771&lt;&gt;"Congé spécial")),0.166666666666667,""))</f>
        <v/>
      </c>
      <c r="AE771" s="8" t="str">
        <f aca="false">IF(AND(D771="Férié",F771="Férié"),0.333333333333333,IF(OR(AND(D771="Férié",F771&lt;&gt;"Férié"),(AND(F771="Férié",D771&lt;&gt;"Férié"))),0.166666666666667,""))</f>
        <v/>
      </c>
      <c r="AF771" s="18"/>
      <c r="AG771" s="18"/>
    </row>
    <row r="772" customFormat="false" ht="15" hidden="false" customHeight="false" outlineLevel="0" collapsed="false">
      <c r="A772" s="6" t="str">
        <f aca="false">YEAR(Q772-WEEKDAY(Q772,2)+4)&amp;"-S"&amp;TEXT(WEEKNUM(Q772,21),"00")</f>
        <v>2026-S25</v>
      </c>
      <c r="B772" s="18" t="s">
        <v>71</v>
      </c>
      <c r="C772" s="19" t="n">
        <v>0.332638888888889</v>
      </c>
      <c r="D772" s="19" t="n">
        <v>0.333333333333333</v>
      </c>
      <c r="E772" s="19" t="n">
        <v>0.75</v>
      </c>
      <c r="F772" s="19" t="n">
        <v>0.75</v>
      </c>
      <c r="G772" s="20"/>
      <c r="H772" s="20"/>
      <c r="I772" s="8" t="str">
        <f aca="false">IF(IF(OR(C772="",D772="Congé",D772="OFF",D772="Congé spécial"),"",IF(D772&gt;F772,D772-C772,IF(C772-D772&lt;0,0,C772-D772)))&lt;0.00068287037037037,"",IF(OR(D772="Congé",D772="OFF",C772="",D772="Congé spécial"),"",IF(D772&gt;F772,D772-C772,IF(C772-D772&lt;0,0,C772-D772))))</f>
        <v/>
      </c>
      <c r="J772" s="20"/>
      <c r="K772" s="8" t="n">
        <f aca="false">IF(SUM(H772:J772)&lt;0.00068287037037037,0,SUM(H772:J772))</f>
        <v>0</v>
      </c>
      <c r="L772" s="8" t="n">
        <f aca="false">IF(OR(F772="Congé",F772="OFF",M772="Abs",F772="Congé sans solde",F772="Férié",F772="Congé spécial",D772="Congé spécial"),0,IF(F772-E772&lt;0,0,IF(F772-E772&lt;=0.00068287037037037,0,F772-E772)))</f>
        <v>0</v>
      </c>
      <c r="M772" s="6" t="n">
        <f aca="false">IF(AND(O772&lt;&gt;0,C772=""),"Abs",0)</f>
        <v>0</v>
      </c>
      <c r="N772" s="8" t="n">
        <f aca="false">IFERROR(IF(OR(D772="OFF",D772="Congé",M772="Abs",D772="Congé sans solde",D772="Férié"),"",IF(O772-K772-L772&gt;O772,O772,IF(O772-K772-L772&lt;0,"",O772-K772-L772))),"")</f>
        <v>0.375</v>
      </c>
      <c r="O772" s="8" t="n">
        <f aca="false">IF(AG772="2H Pause déjeuner",IF(F772-D772-0.0833333333333333&lt;0,F772-D772-0.0833333333333333+1,F772-D772-0.0833333333333333),IF(OR(AND(F772="OFF",D772="OFF"),AND(F772="Congé",D772="Congé"),AND(F772="Congé sans solde",D772="Congé sans solde"),AND(F772="Congé spécial",D772="Congé spécial"),AND(F772="Férié",D772="Férié"),AND(F772="OFF",D772="Congé"),AND(F772="OFF",D772="Congé sans solde"),AND(F772="OFF",D772="Congé spécial"),AND(F772="OFF",D772="Férié"),AND(F772="Congé",D772="OFF"),AND(F772="Congé",D772="Congé sans solde"),AND(F772="Congé",D772="Congé spécial"),AND(F772="Congé",D772="Férié"),AND(F772="Congé sans solde",D772="OFF"),AND(F772="Congé sans solde",D772="Congé"),AND(F772="Congé sans solde",D772="Congé spécial"),AND(F772="Congé sans solde",D772="Férié"),AND(F772="Congé spécial",D772="OFF"),AND(F772="Congé spécial",D772="Congé"),AND(F772="Congé spécial",D772="Congé sans solde"),AND(F772="Congé spécial",D772="Férié"),AND(F772="Férié",D772="OFF"),AND(F772="Férié",D772="Congé"),AND(F772="Férié",D772="Congé sans solde"),AND(F772="Férié",D772="Congé spécial")),0,IF(OR(F772="OFF",F772="Congé",F772="Congé spécial",F772="Congé sans solde",D772="OFF",D772="Congé",D772="Congé spécial",D772="Congé sans solde"),0.208333333333334,IF(AND(AG772="",F772-D772&lt;0),("24:00:00"-D772)+("00:00:00"+F772)-0.0416666666666667,IF(AND(OR(AG772="Allaitement",AG772="Sans déjeuner"),F772-D772&lt;0),("24:00:00"-D772)+("00:00:00"+F772),IF(AND(AG772="",F772-D772&gt;0.166666666666667),F772-D772-0.0416666666666667,IF(AND(OR(AG772="Allaitement",AG772="Sans déjeuner"),F772-D772&gt;0.166666666666667),F772-D772,F772-D772)))))))</f>
        <v>0.375</v>
      </c>
      <c r="P772" s="6" t="str">
        <f aca="false">IFERROR(VLOOKUP($B772,Agents!$A:$D,2,0),"-")</f>
        <v>Accessibilité</v>
      </c>
      <c r="Q772" s="21" t="n">
        <v>46188</v>
      </c>
      <c r="R772" s="8" t="n">
        <f aca="false">IF(M772="Abs",O772,0)</f>
        <v>0</v>
      </c>
      <c r="S772" s="8" t="n">
        <f aca="false">SUM(R772,L772,I772,J772,W772,H772)</f>
        <v>0</v>
      </c>
      <c r="T772" s="6" t="str">
        <f aca="false">"Sem - "&amp;WEEKNUM(Q772,21)</f>
        <v>Sem - 25</v>
      </c>
      <c r="U772" s="6" t="str">
        <f aca="false">CHOOSE(MONTH(Q772),"Janvier","Février","Mars","Avril","Mai","Juin","Juillet","Août","Septembre","Octobre","Novembre","Décembre")</f>
        <v>Juin</v>
      </c>
      <c r="V772" s="22" t="n">
        <f aca="false">YEAR(Q772)</f>
        <v>2026</v>
      </c>
      <c r="W772" s="20"/>
      <c r="X772" s="8" t="n">
        <f aca="false">IFERROR(IF(M772="Abs",0,IF(ROUND((D772-C772+E772-F772)*1440,0)&lt;=1,0,D772-C772+E772-F772)),0)</f>
        <v>0</v>
      </c>
      <c r="Y772" s="6" t="str">
        <f aca="false">IFERROR(VLOOKUP($B772,Agents!$A:$D,3,0),"-")</f>
        <v>OUBRAHIM Mohammed</v>
      </c>
      <c r="Z772" s="6" t="str">
        <f aca="false">IFERROR(VLOOKUP($B772,Agents!$A:$D,4,0),"-")</f>
        <v>Credit Mutuel</v>
      </c>
      <c r="AA772" s="18" t="s">
        <v>107</v>
      </c>
      <c r="AB772" s="8" t="str">
        <f aca="false">IF(AND(D772="Congé",F772="Congé"),0.333333333333333,IF(OR(AND(D772="Congé",F772&lt;&gt;"Congé"),(AND(F772="Congé",D772&lt;&gt;"Congé"))),0.166666666666667,""))</f>
        <v/>
      </c>
      <c r="AC772" s="8" t="str">
        <f aca="false">IF(AND(D772="Congé sans solde",F772="Congé sans solde"),0.333333333333333,IF(OR(AND(D772="Congé sans solde",F772&lt;&gt;"Congé sans solde"),(AND(F772="Congé sans solde",D772&lt;&gt;"Congé sans solde"))),0.166666666666667,""))</f>
        <v/>
      </c>
      <c r="AD772" s="8" t="str">
        <f aca="false">IF(AND(D772="Congé spécial",F772="Congé spécial"),0.333333333333333,IF(OR(AND(D772="Congé spécial",F772&lt;&gt;"Congé spécial"),AND(F772="Congé spécial",D772&lt;&gt;"Congé spécial")),0.166666666666667,""))</f>
        <v/>
      </c>
      <c r="AE772" s="8" t="str">
        <f aca="false">IF(AND(D772="Férié",F772="Férié"),0.333333333333333,IF(OR(AND(D772="Férié",F772&lt;&gt;"Férié"),(AND(F772="Férié",D772&lt;&gt;"Férié"))),0.166666666666667,""))</f>
        <v/>
      </c>
      <c r="AF772" s="18"/>
      <c r="AG772" s="18"/>
    </row>
    <row r="773" customFormat="false" ht="15" hidden="false" customHeight="false" outlineLevel="0" collapsed="false">
      <c r="A773" s="6" t="str">
        <f aca="false">YEAR(Q773-WEEKDAY(Q773,2)+4)&amp;"-S"&amp;TEXT(WEEKNUM(Q773,21),"00")</f>
        <v>2026-S25</v>
      </c>
      <c r="B773" s="18" t="s">
        <v>72</v>
      </c>
      <c r="C773" s="19" t="n">
        <v>0.331944444444444</v>
      </c>
      <c r="D773" s="19" t="n">
        <v>0.333333333333333</v>
      </c>
      <c r="E773" s="19" t="n">
        <v>0.75</v>
      </c>
      <c r="F773" s="19" t="n">
        <v>0.75</v>
      </c>
      <c r="G773" s="20"/>
      <c r="H773" s="20"/>
      <c r="I773" s="8" t="str">
        <f aca="false">IF(IF(OR(C773="",D773="Congé",D773="OFF",D773="Congé spécial"),"",IF(D773&gt;F773,D773-C773,IF(C773-D773&lt;0,0,C773-D773)))&lt;0.00068287037037037,"",IF(OR(D773="Congé",D773="OFF",C773="",D773="Congé spécial"),"",IF(D773&gt;F773,D773-C773,IF(C773-D773&lt;0,0,C773-D773))))</f>
        <v/>
      </c>
      <c r="J773" s="20"/>
      <c r="K773" s="8" t="n">
        <f aca="false">IF(SUM(H773:J773)&lt;0.00068287037037037,0,SUM(H773:J773))</f>
        <v>0</v>
      </c>
      <c r="L773" s="8" t="n">
        <f aca="false">IF(OR(F773="Congé",F773="OFF",M773="Abs",F773="Congé sans solde",F773="Férié",F773="Congé spécial",D773="Congé spécial"),0,IF(F773-E773&lt;0,0,IF(F773-E773&lt;=0.00068287037037037,0,F773-E773)))</f>
        <v>0</v>
      </c>
      <c r="M773" s="6" t="n">
        <f aca="false">IF(AND(O773&lt;&gt;0,C773=""),"Abs",0)</f>
        <v>0</v>
      </c>
      <c r="N773" s="8" t="n">
        <f aca="false">IFERROR(IF(OR(D773="OFF",D773="Congé",M773="Abs",D773="Congé sans solde",D773="Férié"),"",IF(O773-K773-L773&gt;O773,O773,IF(O773-K773-L773&lt;0,"",O773-K773-L773))),"")</f>
        <v>0.375</v>
      </c>
      <c r="O773" s="8" t="n">
        <f aca="false">IF(AG773="2H Pause déjeuner",IF(F773-D773-0.0833333333333333&lt;0,F773-D773-0.0833333333333333+1,F773-D773-0.0833333333333333),IF(OR(AND(F773="OFF",D773="OFF"),AND(F773="Congé",D773="Congé"),AND(F773="Congé sans solde",D773="Congé sans solde"),AND(F773="Congé spécial",D773="Congé spécial"),AND(F773="Férié",D773="Férié"),AND(F773="OFF",D773="Congé"),AND(F773="OFF",D773="Congé sans solde"),AND(F773="OFF",D773="Congé spécial"),AND(F773="OFF",D773="Férié"),AND(F773="Congé",D773="OFF"),AND(F773="Congé",D773="Congé sans solde"),AND(F773="Congé",D773="Congé spécial"),AND(F773="Congé",D773="Férié"),AND(F773="Congé sans solde",D773="OFF"),AND(F773="Congé sans solde",D773="Congé"),AND(F773="Congé sans solde",D773="Congé spécial"),AND(F773="Congé sans solde",D773="Férié"),AND(F773="Congé spécial",D773="OFF"),AND(F773="Congé spécial",D773="Congé"),AND(F773="Congé spécial",D773="Congé sans solde"),AND(F773="Congé spécial",D773="Férié"),AND(F773="Férié",D773="OFF"),AND(F773="Férié",D773="Congé"),AND(F773="Férié",D773="Congé sans solde"),AND(F773="Férié",D773="Congé spécial")),0,IF(OR(F773="OFF",F773="Congé",F773="Congé spécial",F773="Congé sans solde",D773="OFF",D773="Congé",D773="Congé spécial",D773="Congé sans solde"),0.208333333333334,IF(AND(AG773="",F773-D773&lt;0),("24:00:00"-D773)+("00:00:00"+F773)-0.0416666666666667,IF(AND(OR(AG773="Allaitement",AG773="Sans déjeuner"),F773-D773&lt;0),("24:00:00"-D773)+("00:00:00"+F773),IF(AND(AG773="",F773-D773&gt;0.166666666666667),F773-D773-0.0416666666666667,IF(AND(OR(AG773="Allaitement",AG773="Sans déjeuner"),F773-D773&gt;0.166666666666667),F773-D773,F773-D773)))))))</f>
        <v>0.375</v>
      </c>
      <c r="P773" s="6" t="str">
        <f aca="false">IFERROR(VLOOKUP($B773,Agents!$A:$D,2,0),"-")</f>
        <v>Accessibilité</v>
      </c>
      <c r="Q773" s="21" t="n">
        <v>46188</v>
      </c>
      <c r="R773" s="8" t="n">
        <f aca="false">IF(M773="Abs",O773,0)</f>
        <v>0</v>
      </c>
      <c r="S773" s="8" t="n">
        <f aca="false">SUM(R773,L773,I773,J773,W773,H773)</f>
        <v>0</v>
      </c>
      <c r="T773" s="6" t="str">
        <f aca="false">"Sem - "&amp;WEEKNUM(Q773,21)</f>
        <v>Sem - 25</v>
      </c>
      <c r="U773" s="6" t="str">
        <f aca="false">CHOOSE(MONTH(Q773),"Janvier","Février","Mars","Avril","Mai","Juin","Juillet","Août","Septembre","Octobre","Novembre","Décembre")</f>
        <v>Juin</v>
      </c>
      <c r="V773" s="22" t="n">
        <f aca="false">YEAR(Q773)</f>
        <v>2026</v>
      </c>
      <c r="W773" s="20"/>
      <c r="X773" s="8" t="n">
        <f aca="false">IFERROR(IF(M773="Abs",0,IF(ROUND((D773-C773+E773-F773)*1440,0)&lt;=1,0,D773-C773+E773-F773)),0)</f>
        <v>0.00138888888888889</v>
      </c>
      <c r="Y773" s="6" t="str">
        <f aca="false">IFERROR(VLOOKUP($B773,Agents!$A:$D,3,0),"-")</f>
        <v>OUBRAHIM Mohammed</v>
      </c>
      <c r="Z773" s="6" t="str">
        <f aca="false">IFERROR(VLOOKUP($B773,Agents!$A:$D,4,0),"-")</f>
        <v>Credit Mutuel</v>
      </c>
      <c r="AA773" s="18" t="s">
        <v>107</v>
      </c>
      <c r="AB773" s="8" t="str">
        <f aca="false">IF(AND(D773="Congé",F773="Congé"),0.333333333333333,IF(OR(AND(D773="Congé",F773&lt;&gt;"Congé"),(AND(F773="Congé",D773&lt;&gt;"Congé"))),0.166666666666667,""))</f>
        <v/>
      </c>
      <c r="AC773" s="8" t="str">
        <f aca="false">IF(AND(D773="Congé sans solde",F773="Congé sans solde"),0.333333333333333,IF(OR(AND(D773="Congé sans solde",F773&lt;&gt;"Congé sans solde"),(AND(F773="Congé sans solde",D773&lt;&gt;"Congé sans solde"))),0.166666666666667,""))</f>
        <v/>
      </c>
      <c r="AD773" s="8" t="str">
        <f aca="false">IF(AND(D773="Congé spécial",F773="Congé spécial"),0.333333333333333,IF(OR(AND(D773="Congé spécial",F773&lt;&gt;"Congé spécial"),AND(F773="Congé spécial",D773&lt;&gt;"Congé spécial")),0.166666666666667,""))</f>
        <v/>
      </c>
      <c r="AE773" s="8" t="str">
        <f aca="false">IF(AND(D773="Férié",F773="Férié"),0.333333333333333,IF(OR(AND(D773="Férié",F773&lt;&gt;"Férié"),(AND(F773="Férié",D773&lt;&gt;"Férié"))),0.166666666666667,""))</f>
        <v/>
      </c>
      <c r="AF773" s="18"/>
      <c r="AG773" s="18"/>
    </row>
    <row r="774" customFormat="false" ht="15" hidden="false" customHeight="false" outlineLevel="0" collapsed="false">
      <c r="A774" s="6" t="str">
        <f aca="false">YEAR(Q774-WEEKDAY(Q774,2)+4)&amp;"-S"&amp;TEXT(WEEKNUM(Q774,21),"00")</f>
        <v>2026-S25</v>
      </c>
      <c r="B774" s="18" t="s">
        <v>73</v>
      </c>
      <c r="C774" s="19" t="n">
        <v>0.33125</v>
      </c>
      <c r="D774" s="19" t="n">
        <v>0.333333333333333</v>
      </c>
      <c r="E774" s="19" t="n">
        <v>0.75</v>
      </c>
      <c r="F774" s="19" t="n">
        <v>0.75</v>
      </c>
      <c r="G774" s="20"/>
      <c r="H774" s="20"/>
      <c r="I774" s="8" t="str">
        <f aca="false">IF(IF(OR(C774="",D774="Congé",D774="OFF",D774="Congé spécial"),"",IF(D774&gt;F774,D774-C774,IF(C774-D774&lt;0,0,C774-D774)))&lt;0.00068287037037037,"",IF(OR(D774="Congé",D774="OFF",C774="",D774="Congé spécial"),"",IF(D774&gt;F774,D774-C774,IF(C774-D774&lt;0,0,C774-D774))))</f>
        <v/>
      </c>
      <c r="J774" s="20"/>
      <c r="K774" s="8" t="n">
        <f aca="false">IF(SUM(H774:J774)&lt;0.00068287037037037,0,SUM(H774:J774))</f>
        <v>0</v>
      </c>
      <c r="L774" s="8" t="n">
        <f aca="false">IF(OR(F774="Congé",F774="OFF",M774="Abs",F774="Congé sans solde",F774="Férié",F774="Congé spécial",D774="Congé spécial"),0,IF(F774-E774&lt;0,0,IF(F774-E774&lt;=0.00068287037037037,0,F774-E774)))</f>
        <v>0</v>
      </c>
      <c r="M774" s="6" t="n">
        <f aca="false">IF(AND(O774&lt;&gt;0,C774=""),"Abs",0)</f>
        <v>0</v>
      </c>
      <c r="N774" s="8" t="n">
        <f aca="false">IFERROR(IF(OR(D774="OFF",D774="Congé",M774="Abs",D774="Congé sans solde",D774="Férié"),"",IF(O774-K774-L774&gt;O774,O774,IF(O774-K774-L774&lt;0,"",O774-K774-L774))),"")</f>
        <v>0.375</v>
      </c>
      <c r="O774" s="8" t="n">
        <f aca="false">IF(AG774="2H Pause déjeuner",IF(F774-D774-0.0833333333333333&lt;0,F774-D774-0.0833333333333333+1,F774-D774-0.0833333333333333),IF(OR(AND(F774="OFF",D774="OFF"),AND(F774="Congé",D774="Congé"),AND(F774="Congé sans solde",D774="Congé sans solde"),AND(F774="Congé spécial",D774="Congé spécial"),AND(F774="Férié",D774="Férié"),AND(F774="OFF",D774="Congé"),AND(F774="OFF",D774="Congé sans solde"),AND(F774="OFF",D774="Congé spécial"),AND(F774="OFF",D774="Férié"),AND(F774="Congé",D774="OFF"),AND(F774="Congé",D774="Congé sans solde"),AND(F774="Congé",D774="Congé spécial"),AND(F774="Congé",D774="Férié"),AND(F774="Congé sans solde",D774="OFF"),AND(F774="Congé sans solde",D774="Congé"),AND(F774="Congé sans solde",D774="Congé spécial"),AND(F774="Congé sans solde",D774="Férié"),AND(F774="Congé spécial",D774="OFF"),AND(F774="Congé spécial",D774="Congé"),AND(F774="Congé spécial",D774="Congé sans solde"),AND(F774="Congé spécial",D774="Férié"),AND(F774="Férié",D774="OFF"),AND(F774="Férié",D774="Congé"),AND(F774="Férié",D774="Congé sans solde"),AND(F774="Férié",D774="Congé spécial")),0,IF(OR(F774="OFF",F774="Congé",F774="Congé spécial",F774="Congé sans solde",D774="OFF",D774="Congé",D774="Congé spécial",D774="Congé sans solde"),0.208333333333334,IF(AND(AG774="",F774-D774&lt;0),("24:00:00"-D774)+("00:00:00"+F774)-0.0416666666666667,IF(AND(OR(AG774="Allaitement",AG774="Sans déjeuner"),F774-D774&lt;0),("24:00:00"-D774)+("00:00:00"+F774),IF(AND(AG774="",F774-D774&gt;0.166666666666667),F774-D774-0.0416666666666667,IF(AND(OR(AG774="Allaitement",AG774="Sans déjeuner"),F774-D774&gt;0.166666666666667),F774-D774,F774-D774)))))))</f>
        <v>0.375</v>
      </c>
      <c r="P774" s="6" t="str">
        <f aca="false">IFERROR(VLOOKUP($B774,Agents!$A:$D,2,0),"-")</f>
        <v>Accessibilité</v>
      </c>
      <c r="Q774" s="21" t="n">
        <v>46188</v>
      </c>
      <c r="R774" s="8" t="n">
        <f aca="false">IF(M774="Abs",O774,0)</f>
        <v>0</v>
      </c>
      <c r="S774" s="8" t="n">
        <f aca="false">SUM(R774,L774,I774,J774,W774,H774)</f>
        <v>0</v>
      </c>
      <c r="T774" s="6" t="str">
        <f aca="false">"Sem - "&amp;WEEKNUM(Q774,21)</f>
        <v>Sem - 25</v>
      </c>
      <c r="U774" s="6" t="str">
        <f aca="false">CHOOSE(MONTH(Q774),"Janvier","Février","Mars","Avril","Mai","Juin","Juillet","Août","Septembre","Octobre","Novembre","Décembre")</f>
        <v>Juin</v>
      </c>
      <c r="V774" s="22" t="n">
        <f aca="false">YEAR(Q774)</f>
        <v>2026</v>
      </c>
      <c r="W774" s="20"/>
      <c r="X774" s="8" t="n">
        <f aca="false">IFERROR(IF(M774="Abs",0,IF(ROUND((D774-C774+E774-F774)*1440,0)&lt;=1,0,D774-C774+E774-F774)),0)</f>
        <v>0.00208333333333333</v>
      </c>
      <c r="Y774" s="6" t="str">
        <f aca="false">IFERROR(VLOOKUP($B774,Agents!$A:$D,3,0),"-")</f>
        <v>OUBRAHIM Mohammed</v>
      </c>
      <c r="Z774" s="6" t="str">
        <f aca="false">IFERROR(VLOOKUP($B774,Agents!$A:$D,4,0),"-")</f>
        <v>Credit Mutuel</v>
      </c>
      <c r="AA774" s="18" t="s">
        <v>107</v>
      </c>
      <c r="AB774" s="8" t="str">
        <f aca="false">IF(AND(D774="Congé",F774="Congé"),0.333333333333333,IF(OR(AND(D774="Congé",F774&lt;&gt;"Congé"),(AND(F774="Congé",D774&lt;&gt;"Congé"))),0.166666666666667,""))</f>
        <v/>
      </c>
      <c r="AC774" s="8" t="str">
        <f aca="false">IF(AND(D774="Congé sans solde",F774="Congé sans solde"),0.333333333333333,IF(OR(AND(D774="Congé sans solde",F774&lt;&gt;"Congé sans solde"),(AND(F774="Congé sans solde",D774&lt;&gt;"Congé sans solde"))),0.166666666666667,""))</f>
        <v/>
      </c>
      <c r="AD774" s="8" t="str">
        <f aca="false">IF(AND(D774="Congé spécial",F774="Congé spécial"),0.333333333333333,IF(OR(AND(D774="Congé spécial",F774&lt;&gt;"Congé spécial"),AND(F774="Congé spécial",D774&lt;&gt;"Congé spécial")),0.166666666666667,""))</f>
        <v/>
      </c>
      <c r="AE774" s="8" t="str">
        <f aca="false">IF(AND(D774="Férié",F774="Férié"),0.333333333333333,IF(OR(AND(D774="Férié",F774&lt;&gt;"Férié"),(AND(F774="Férié",D774&lt;&gt;"Férié"))),0.166666666666667,""))</f>
        <v/>
      </c>
      <c r="AF774" s="18"/>
      <c r="AG774" s="18"/>
    </row>
    <row r="775" customFormat="false" ht="15" hidden="false" customHeight="false" outlineLevel="0" collapsed="false">
      <c r="A775" s="6" t="str">
        <f aca="false">YEAR(Q775-WEEKDAY(Q775,2)+4)&amp;"-S"&amp;TEXT(WEEKNUM(Q775,21),"00")</f>
        <v>2026-S25</v>
      </c>
      <c r="B775" s="18" t="s">
        <v>71</v>
      </c>
      <c r="C775" s="19" t="n">
        <v>0.333333333333333</v>
      </c>
      <c r="D775" s="19" t="n">
        <v>0.333333333333333</v>
      </c>
      <c r="E775" s="19" t="n">
        <v>0.75</v>
      </c>
      <c r="F775" s="19" t="n">
        <v>0.75</v>
      </c>
      <c r="G775" s="20"/>
      <c r="H775" s="20"/>
      <c r="I775" s="8" t="str">
        <f aca="false">IF(IF(OR(C775="",D775="Congé",D775="OFF",D775="Congé spécial"),"",IF(D775&gt;F775,D775-C775,IF(C775-D775&lt;0,0,C775-D775)))&lt;0.00068287037037037,"",IF(OR(D775="Congé",D775="OFF",C775="",D775="Congé spécial"),"",IF(D775&gt;F775,D775-C775,IF(C775-D775&lt;0,0,C775-D775))))</f>
        <v/>
      </c>
      <c r="J775" s="20"/>
      <c r="K775" s="8" t="n">
        <f aca="false">IF(SUM(H775:J775)&lt;0.00068287037037037,0,SUM(H775:J775))</f>
        <v>0</v>
      </c>
      <c r="L775" s="8" t="n">
        <f aca="false">IF(OR(F775="Congé",F775="OFF",M775="Abs",F775="Congé sans solde",F775="Férié",F775="Congé spécial",D775="Congé spécial"),0,IF(F775-E775&lt;0,0,IF(F775-E775&lt;=0.00068287037037037,0,F775-E775)))</f>
        <v>0</v>
      </c>
      <c r="M775" s="6" t="n">
        <f aca="false">IF(AND(O775&lt;&gt;0,C775=""),"Abs",0)</f>
        <v>0</v>
      </c>
      <c r="N775" s="8" t="n">
        <f aca="false">IFERROR(IF(OR(D775="OFF",D775="Congé",M775="Abs",D775="Congé sans solde",D775="Férié"),"",IF(O775-K775-L775&gt;O775,O775,IF(O775-K775-L775&lt;0,"",O775-K775-L775))),"")</f>
        <v>0.375</v>
      </c>
      <c r="O775" s="8" t="n">
        <f aca="false">IF(AG775="2H Pause déjeuner",IF(F775-D775-0.0833333333333333&lt;0,F775-D775-0.0833333333333333+1,F775-D775-0.0833333333333333),IF(OR(AND(F775="OFF",D775="OFF"),AND(F775="Congé",D775="Congé"),AND(F775="Congé sans solde",D775="Congé sans solde"),AND(F775="Congé spécial",D775="Congé spécial"),AND(F775="Férié",D775="Férié"),AND(F775="OFF",D775="Congé"),AND(F775="OFF",D775="Congé sans solde"),AND(F775="OFF",D775="Congé spécial"),AND(F775="OFF",D775="Férié"),AND(F775="Congé",D775="OFF"),AND(F775="Congé",D775="Congé sans solde"),AND(F775="Congé",D775="Congé spécial"),AND(F775="Congé",D775="Férié"),AND(F775="Congé sans solde",D775="OFF"),AND(F775="Congé sans solde",D775="Congé"),AND(F775="Congé sans solde",D775="Congé spécial"),AND(F775="Congé sans solde",D775="Férié"),AND(F775="Congé spécial",D775="OFF"),AND(F775="Congé spécial",D775="Congé"),AND(F775="Congé spécial",D775="Congé sans solde"),AND(F775="Congé spécial",D775="Férié"),AND(F775="Férié",D775="OFF"),AND(F775="Férié",D775="Congé"),AND(F775="Férié",D775="Congé sans solde"),AND(F775="Férié",D775="Congé spécial")),0,IF(OR(F775="OFF",F775="Congé",F775="Congé spécial",F775="Congé sans solde",D775="OFF",D775="Congé",D775="Congé spécial",D775="Congé sans solde"),0.208333333333334,IF(AND(AG775="",F775-D775&lt;0),("24:00:00"-D775)+("00:00:00"+F775)-0.0416666666666667,IF(AND(OR(AG775="Allaitement",AG775="Sans déjeuner"),F775-D775&lt;0),("24:00:00"-D775)+("00:00:00"+F775),IF(AND(AG775="",F775-D775&gt;0.166666666666667),F775-D775-0.0416666666666667,IF(AND(OR(AG775="Allaitement",AG775="Sans déjeuner"),F775-D775&gt;0.166666666666667),F775-D775,F775-D775)))))))</f>
        <v>0.375</v>
      </c>
      <c r="P775" s="6" t="str">
        <f aca="false">IFERROR(VLOOKUP($B775,Agents!$A:$D,2,0),"-")</f>
        <v>Accessibilité</v>
      </c>
      <c r="Q775" s="21" t="n">
        <v>46189</v>
      </c>
      <c r="R775" s="8" t="n">
        <f aca="false">IF(M775="Abs",O775,0)</f>
        <v>0</v>
      </c>
      <c r="S775" s="8" t="n">
        <f aca="false">SUM(R775,L775,I775,J775,W775,H775)</f>
        <v>0</v>
      </c>
      <c r="T775" s="6" t="str">
        <f aca="false">"Sem - "&amp;WEEKNUM(Q775,21)</f>
        <v>Sem - 25</v>
      </c>
      <c r="U775" s="6" t="str">
        <f aca="false">CHOOSE(MONTH(Q775),"Janvier","Février","Mars","Avril","Mai","Juin","Juillet","Août","Septembre","Octobre","Novembre","Décembre")</f>
        <v>Juin</v>
      </c>
      <c r="V775" s="22" t="n">
        <f aca="false">YEAR(Q775)</f>
        <v>2026</v>
      </c>
      <c r="W775" s="20"/>
      <c r="X775" s="8" t="n">
        <f aca="false">IFERROR(IF(M775="Abs",0,IF(ROUND((D775-C775+E775-F775)*1440,0)&lt;=1,0,D775-C775+E775-F775)),0)</f>
        <v>0</v>
      </c>
      <c r="Y775" s="6" t="str">
        <f aca="false">IFERROR(VLOOKUP($B775,Agents!$A:$D,3,0),"-")</f>
        <v>OUBRAHIM Mohammed</v>
      </c>
      <c r="Z775" s="6" t="str">
        <f aca="false">IFERROR(VLOOKUP($B775,Agents!$A:$D,4,0),"-")</f>
        <v>Credit Mutuel</v>
      </c>
      <c r="AA775" s="18" t="s">
        <v>107</v>
      </c>
      <c r="AB775" s="8" t="str">
        <f aca="false">IF(AND(D775="Congé",F775="Congé"),0.333333333333333,IF(OR(AND(D775="Congé",F775&lt;&gt;"Congé"),(AND(F775="Congé",D775&lt;&gt;"Congé"))),0.166666666666667,""))</f>
        <v/>
      </c>
      <c r="AC775" s="8" t="str">
        <f aca="false">IF(AND(D775="Congé sans solde",F775="Congé sans solde"),0.333333333333333,IF(OR(AND(D775="Congé sans solde",F775&lt;&gt;"Congé sans solde"),(AND(F775="Congé sans solde",D775&lt;&gt;"Congé sans solde"))),0.166666666666667,""))</f>
        <v/>
      </c>
      <c r="AD775" s="8" t="str">
        <f aca="false">IF(AND(D775="Congé spécial",F775="Congé spécial"),0.333333333333333,IF(OR(AND(D775="Congé spécial",F775&lt;&gt;"Congé spécial"),AND(F775="Congé spécial",D775&lt;&gt;"Congé spécial")),0.166666666666667,""))</f>
        <v/>
      </c>
      <c r="AE775" s="8" t="str">
        <f aca="false">IF(AND(D775="Férié",F775="Férié"),0.333333333333333,IF(OR(AND(D775="Férié",F775&lt;&gt;"Férié"),(AND(F775="Férié",D775&lt;&gt;"Férié"))),0.166666666666667,""))</f>
        <v/>
      </c>
      <c r="AF775" s="18"/>
      <c r="AG775" s="18"/>
    </row>
    <row r="776" customFormat="false" ht="15" hidden="false" customHeight="false" outlineLevel="0" collapsed="false">
      <c r="A776" s="6" t="str">
        <f aca="false">YEAR(Q776-WEEKDAY(Q776,2)+4)&amp;"-S"&amp;TEXT(WEEKNUM(Q776,21),"00")</f>
        <v>2026-S25</v>
      </c>
      <c r="B776" s="18" t="s">
        <v>72</v>
      </c>
      <c r="C776" s="19" t="n">
        <v>0.332638888888889</v>
      </c>
      <c r="D776" s="19" t="n">
        <v>0.333333333333333</v>
      </c>
      <c r="E776" s="19" t="n">
        <v>0.75</v>
      </c>
      <c r="F776" s="19" t="n">
        <v>0.75</v>
      </c>
      <c r="G776" s="20"/>
      <c r="H776" s="20"/>
      <c r="I776" s="8" t="str">
        <f aca="false">IF(IF(OR(C776="",D776="Congé",D776="OFF",D776="Congé spécial"),"",IF(D776&gt;F776,D776-C776,IF(C776-D776&lt;0,0,C776-D776)))&lt;0.00068287037037037,"",IF(OR(D776="Congé",D776="OFF",C776="",D776="Congé spécial"),"",IF(D776&gt;F776,D776-C776,IF(C776-D776&lt;0,0,C776-D776))))</f>
        <v/>
      </c>
      <c r="J776" s="20"/>
      <c r="K776" s="8" t="n">
        <f aca="false">IF(SUM(H776:J776)&lt;0.00068287037037037,0,SUM(H776:J776))</f>
        <v>0</v>
      </c>
      <c r="L776" s="8" t="n">
        <f aca="false">IF(OR(F776="Congé",F776="OFF",M776="Abs",F776="Congé sans solde",F776="Férié",F776="Congé spécial",D776="Congé spécial"),0,IF(F776-E776&lt;0,0,IF(F776-E776&lt;=0.00068287037037037,0,F776-E776)))</f>
        <v>0</v>
      </c>
      <c r="M776" s="6" t="n">
        <f aca="false">IF(AND(O776&lt;&gt;0,C776=""),"Abs",0)</f>
        <v>0</v>
      </c>
      <c r="N776" s="8" t="n">
        <f aca="false">IFERROR(IF(OR(D776="OFF",D776="Congé",M776="Abs",D776="Congé sans solde",D776="Férié"),"",IF(O776-K776-L776&gt;O776,O776,IF(O776-K776-L776&lt;0,"",O776-K776-L776))),"")</f>
        <v>0.375</v>
      </c>
      <c r="O776" s="8" t="n">
        <f aca="false">IF(AG776="2H Pause déjeuner",IF(F776-D776-0.0833333333333333&lt;0,F776-D776-0.0833333333333333+1,F776-D776-0.0833333333333333),IF(OR(AND(F776="OFF",D776="OFF"),AND(F776="Congé",D776="Congé"),AND(F776="Congé sans solde",D776="Congé sans solde"),AND(F776="Congé spécial",D776="Congé spécial"),AND(F776="Férié",D776="Férié"),AND(F776="OFF",D776="Congé"),AND(F776="OFF",D776="Congé sans solde"),AND(F776="OFF",D776="Congé spécial"),AND(F776="OFF",D776="Férié"),AND(F776="Congé",D776="OFF"),AND(F776="Congé",D776="Congé sans solde"),AND(F776="Congé",D776="Congé spécial"),AND(F776="Congé",D776="Férié"),AND(F776="Congé sans solde",D776="OFF"),AND(F776="Congé sans solde",D776="Congé"),AND(F776="Congé sans solde",D776="Congé spécial"),AND(F776="Congé sans solde",D776="Férié"),AND(F776="Congé spécial",D776="OFF"),AND(F776="Congé spécial",D776="Congé"),AND(F776="Congé spécial",D776="Congé sans solde"),AND(F776="Congé spécial",D776="Férié"),AND(F776="Férié",D776="OFF"),AND(F776="Férié",D776="Congé"),AND(F776="Férié",D776="Congé sans solde"),AND(F776="Férié",D776="Congé spécial")),0,IF(OR(F776="OFF",F776="Congé",F776="Congé spécial",F776="Congé sans solde",D776="OFF",D776="Congé",D776="Congé spécial",D776="Congé sans solde"),0.208333333333334,IF(AND(AG776="",F776-D776&lt;0),("24:00:00"-D776)+("00:00:00"+F776)-0.0416666666666667,IF(AND(OR(AG776="Allaitement",AG776="Sans déjeuner"),F776-D776&lt;0),("24:00:00"-D776)+("00:00:00"+F776),IF(AND(AG776="",F776-D776&gt;0.166666666666667),F776-D776-0.0416666666666667,IF(AND(OR(AG776="Allaitement",AG776="Sans déjeuner"),F776-D776&gt;0.166666666666667),F776-D776,F776-D776)))))))</f>
        <v>0.375</v>
      </c>
      <c r="P776" s="6" t="str">
        <f aca="false">IFERROR(VLOOKUP($B776,Agents!$A:$D,2,0),"-")</f>
        <v>Accessibilité</v>
      </c>
      <c r="Q776" s="21" t="n">
        <v>46189</v>
      </c>
      <c r="R776" s="8" t="n">
        <f aca="false">IF(M776="Abs",O776,0)</f>
        <v>0</v>
      </c>
      <c r="S776" s="8" t="n">
        <f aca="false">SUM(R776,L776,I776,J776,W776,H776)</f>
        <v>0</v>
      </c>
      <c r="T776" s="6" t="str">
        <f aca="false">"Sem - "&amp;WEEKNUM(Q776,21)</f>
        <v>Sem - 25</v>
      </c>
      <c r="U776" s="6" t="str">
        <f aca="false">CHOOSE(MONTH(Q776),"Janvier","Février","Mars","Avril","Mai","Juin","Juillet","Août","Septembre","Octobre","Novembre","Décembre")</f>
        <v>Juin</v>
      </c>
      <c r="V776" s="22" t="n">
        <f aca="false">YEAR(Q776)</f>
        <v>2026</v>
      </c>
      <c r="W776" s="20"/>
      <c r="X776" s="8" t="n">
        <f aca="false">IFERROR(IF(M776="Abs",0,IF(ROUND((D776-C776+E776-F776)*1440,0)&lt;=1,0,D776-C776+E776-F776)),0)</f>
        <v>0</v>
      </c>
      <c r="Y776" s="6" t="str">
        <f aca="false">IFERROR(VLOOKUP($B776,Agents!$A:$D,3,0),"-")</f>
        <v>OUBRAHIM Mohammed</v>
      </c>
      <c r="Z776" s="6" t="str">
        <f aca="false">IFERROR(VLOOKUP($B776,Agents!$A:$D,4,0),"-")</f>
        <v>Credit Mutuel</v>
      </c>
      <c r="AA776" s="18" t="s">
        <v>107</v>
      </c>
      <c r="AB776" s="8" t="str">
        <f aca="false">IF(AND(D776="Congé",F776="Congé"),0.333333333333333,IF(OR(AND(D776="Congé",F776&lt;&gt;"Congé"),(AND(F776="Congé",D776&lt;&gt;"Congé"))),0.166666666666667,""))</f>
        <v/>
      </c>
      <c r="AC776" s="8" t="str">
        <f aca="false">IF(AND(D776="Congé sans solde",F776="Congé sans solde"),0.333333333333333,IF(OR(AND(D776="Congé sans solde",F776&lt;&gt;"Congé sans solde"),(AND(F776="Congé sans solde",D776&lt;&gt;"Congé sans solde"))),0.166666666666667,""))</f>
        <v/>
      </c>
      <c r="AD776" s="8" t="str">
        <f aca="false">IF(AND(D776="Congé spécial",F776="Congé spécial"),0.333333333333333,IF(OR(AND(D776="Congé spécial",F776&lt;&gt;"Congé spécial"),AND(F776="Congé spécial",D776&lt;&gt;"Congé spécial")),0.166666666666667,""))</f>
        <v/>
      </c>
      <c r="AE776" s="8" t="str">
        <f aca="false">IF(AND(D776="Férié",F776="Férié"),0.333333333333333,IF(OR(AND(D776="Férié",F776&lt;&gt;"Férié"),(AND(F776="Férié",D776&lt;&gt;"Férié"))),0.166666666666667,""))</f>
        <v/>
      </c>
      <c r="AF776" s="18"/>
      <c r="AG776" s="18"/>
    </row>
    <row r="777" customFormat="false" ht="15" hidden="false" customHeight="false" outlineLevel="0" collapsed="false">
      <c r="A777" s="6" t="str">
        <f aca="false">YEAR(Q777-WEEKDAY(Q777,2)+4)&amp;"-S"&amp;TEXT(WEEKNUM(Q777,21),"00")</f>
        <v>2026-S25</v>
      </c>
      <c r="B777" s="18" t="s">
        <v>73</v>
      </c>
      <c r="C777" s="19" t="n">
        <v>0.33125</v>
      </c>
      <c r="D777" s="19" t="n">
        <v>0.333333333333333</v>
      </c>
      <c r="E777" s="19" t="n">
        <v>0.75</v>
      </c>
      <c r="F777" s="19" t="n">
        <v>0.75</v>
      </c>
      <c r="G777" s="20"/>
      <c r="H777" s="20"/>
      <c r="I777" s="8" t="str">
        <f aca="false">IF(IF(OR(C777="",D777="Congé",D777="OFF",D777="Congé spécial"),"",IF(D777&gt;F777,D777-C777,IF(C777-D777&lt;0,0,C777-D777)))&lt;0.00068287037037037,"",IF(OR(D777="Congé",D777="OFF",C777="",D777="Congé spécial"),"",IF(D777&gt;F777,D777-C777,IF(C777-D777&lt;0,0,C777-D777))))</f>
        <v/>
      </c>
      <c r="J777" s="20"/>
      <c r="K777" s="8" t="n">
        <f aca="false">IF(SUM(H777:J777)&lt;0.00068287037037037,0,SUM(H777:J777))</f>
        <v>0</v>
      </c>
      <c r="L777" s="8" t="n">
        <f aca="false">IF(OR(F777="Congé",F777="OFF",M777="Abs",F777="Congé sans solde",F777="Férié",F777="Congé spécial",D777="Congé spécial"),0,IF(F777-E777&lt;0,0,IF(F777-E777&lt;=0.00068287037037037,0,F777-E777)))</f>
        <v>0</v>
      </c>
      <c r="M777" s="6" t="n">
        <f aca="false">IF(AND(O777&lt;&gt;0,C777=""),"Abs",0)</f>
        <v>0</v>
      </c>
      <c r="N777" s="8" t="n">
        <f aca="false">IFERROR(IF(OR(D777="OFF",D777="Congé",M777="Abs",D777="Congé sans solde",D777="Férié"),"",IF(O777-K777-L777&gt;O777,O777,IF(O777-K777-L777&lt;0,"",O777-K777-L777))),"")</f>
        <v>0.375</v>
      </c>
      <c r="O777" s="8" t="n">
        <f aca="false">IF(AG777="2H Pause déjeuner",IF(F777-D777-0.0833333333333333&lt;0,F777-D777-0.0833333333333333+1,F777-D777-0.0833333333333333),IF(OR(AND(F777="OFF",D777="OFF"),AND(F777="Congé",D777="Congé"),AND(F777="Congé sans solde",D777="Congé sans solde"),AND(F777="Congé spécial",D777="Congé spécial"),AND(F777="Férié",D777="Férié"),AND(F777="OFF",D777="Congé"),AND(F777="OFF",D777="Congé sans solde"),AND(F777="OFF",D777="Congé spécial"),AND(F777="OFF",D777="Férié"),AND(F777="Congé",D777="OFF"),AND(F777="Congé",D777="Congé sans solde"),AND(F777="Congé",D777="Congé spécial"),AND(F777="Congé",D777="Férié"),AND(F777="Congé sans solde",D777="OFF"),AND(F777="Congé sans solde",D777="Congé"),AND(F777="Congé sans solde",D777="Congé spécial"),AND(F777="Congé sans solde",D777="Férié"),AND(F777="Congé spécial",D777="OFF"),AND(F777="Congé spécial",D777="Congé"),AND(F777="Congé spécial",D777="Congé sans solde"),AND(F777="Congé spécial",D777="Férié"),AND(F777="Férié",D777="OFF"),AND(F777="Férié",D777="Congé"),AND(F777="Férié",D777="Congé sans solde"),AND(F777="Férié",D777="Congé spécial")),0,IF(OR(F777="OFF",F777="Congé",F777="Congé spécial",F777="Congé sans solde",D777="OFF",D777="Congé",D777="Congé spécial",D777="Congé sans solde"),0.208333333333334,IF(AND(AG777="",F777-D777&lt;0),("24:00:00"-D777)+("00:00:00"+F777)-0.0416666666666667,IF(AND(OR(AG777="Allaitement",AG777="Sans déjeuner"),F777-D777&lt;0),("24:00:00"-D777)+("00:00:00"+F777),IF(AND(AG777="",F777-D777&gt;0.166666666666667),F777-D777-0.0416666666666667,IF(AND(OR(AG777="Allaitement",AG777="Sans déjeuner"),F777-D777&gt;0.166666666666667),F777-D777,F777-D777)))))))</f>
        <v>0.375</v>
      </c>
      <c r="P777" s="6" t="str">
        <f aca="false">IFERROR(VLOOKUP($B777,Agents!$A:$D,2,0),"-")</f>
        <v>Accessibilité</v>
      </c>
      <c r="Q777" s="21" t="n">
        <v>46189</v>
      </c>
      <c r="R777" s="8" t="n">
        <f aca="false">IF(M777="Abs",O777,0)</f>
        <v>0</v>
      </c>
      <c r="S777" s="8" t="n">
        <f aca="false">SUM(R777,L777,I777,J777,W777,H777)</f>
        <v>0</v>
      </c>
      <c r="T777" s="6" t="str">
        <f aca="false">"Sem - "&amp;WEEKNUM(Q777,21)</f>
        <v>Sem - 25</v>
      </c>
      <c r="U777" s="6" t="str">
        <f aca="false">CHOOSE(MONTH(Q777),"Janvier","Février","Mars","Avril","Mai","Juin","Juillet","Août","Septembre","Octobre","Novembre","Décembre")</f>
        <v>Juin</v>
      </c>
      <c r="V777" s="22" t="n">
        <f aca="false">YEAR(Q777)</f>
        <v>2026</v>
      </c>
      <c r="W777" s="20"/>
      <c r="X777" s="8" t="n">
        <f aca="false">IFERROR(IF(M777="Abs",0,IF(ROUND((D777-C777+E777-F777)*1440,0)&lt;=1,0,D777-C777+E777-F777)),0)</f>
        <v>0.00208333333333333</v>
      </c>
      <c r="Y777" s="6" t="str">
        <f aca="false">IFERROR(VLOOKUP($B777,Agents!$A:$D,3,0),"-")</f>
        <v>OUBRAHIM Mohammed</v>
      </c>
      <c r="Z777" s="6" t="str">
        <f aca="false">IFERROR(VLOOKUP($B777,Agents!$A:$D,4,0),"-")</f>
        <v>Credit Mutuel</v>
      </c>
      <c r="AA777" s="18" t="s">
        <v>107</v>
      </c>
      <c r="AB777" s="8" t="str">
        <f aca="false">IF(AND(D777="Congé",F777="Congé"),0.333333333333333,IF(OR(AND(D777="Congé",F777&lt;&gt;"Congé"),(AND(F777="Congé",D777&lt;&gt;"Congé"))),0.166666666666667,""))</f>
        <v/>
      </c>
      <c r="AC777" s="8" t="str">
        <f aca="false">IF(AND(D777="Congé sans solde",F777="Congé sans solde"),0.333333333333333,IF(OR(AND(D777="Congé sans solde",F777&lt;&gt;"Congé sans solde"),(AND(F777="Congé sans solde",D777&lt;&gt;"Congé sans solde"))),0.166666666666667,""))</f>
        <v/>
      </c>
      <c r="AD777" s="8" t="str">
        <f aca="false">IF(AND(D777="Congé spécial",F777="Congé spécial"),0.333333333333333,IF(OR(AND(D777="Congé spécial",F777&lt;&gt;"Congé spécial"),AND(F777="Congé spécial",D777&lt;&gt;"Congé spécial")),0.166666666666667,""))</f>
        <v/>
      </c>
      <c r="AE777" s="8" t="str">
        <f aca="false">IF(AND(D777="Férié",F777="Férié"),0.333333333333333,IF(OR(AND(D777="Férié",F777&lt;&gt;"Férié"),(AND(F777="Férié",D777&lt;&gt;"Férié"))),0.166666666666667,""))</f>
        <v/>
      </c>
      <c r="AF777" s="18"/>
      <c r="AG777" s="18"/>
    </row>
    <row r="778" customFormat="false" ht="15" hidden="false" customHeight="false" outlineLevel="0" collapsed="false">
      <c r="A778" s="6" t="str">
        <f aca="false">YEAR(Q778-WEEKDAY(Q778,2)+4)&amp;"-S"&amp;TEXT(WEEKNUM(Q778,21),"00")</f>
        <v>2026-S25</v>
      </c>
      <c r="B778" s="18" t="s">
        <v>71</v>
      </c>
      <c r="C778" s="19" t="n">
        <v>0.333333333333333</v>
      </c>
      <c r="D778" s="19" t="n">
        <v>0.333333333333333</v>
      </c>
      <c r="E778" s="19" t="n">
        <v>0.75</v>
      </c>
      <c r="F778" s="19" t="n">
        <v>0.75</v>
      </c>
      <c r="G778" s="20"/>
      <c r="H778" s="20"/>
      <c r="I778" s="8" t="str">
        <f aca="false">IF(IF(OR(C778="",D778="Congé",D778="OFF",D778="Congé spécial"),"",IF(D778&gt;F778,D778-C778,IF(C778-D778&lt;0,0,C778-D778)))&lt;0.00068287037037037,"",IF(OR(D778="Congé",D778="OFF",C778="",D778="Congé spécial"),"",IF(D778&gt;F778,D778-C778,IF(C778-D778&lt;0,0,C778-D778))))</f>
        <v/>
      </c>
      <c r="J778" s="20"/>
      <c r="K778" s="8" t="n">
        <f aca="false">IF(SUM(H778:J778)&lt;0.00068287037037037,0,SUM(H778:J778))</f>
        <v>0</v>
      </c>
      <c r="L778" s="8" t="n">
        <f aca="false">IF(OR(F778="Congé",F778="OFF",M778="Abs",F778="Congé sans solde",F778="Férié",F778="Congé spécial",D778="Congé spécial"),0,IF(F778-E778&lt;0,0,IF(F778-E778&lt;=0.00068287037037037,0,F778-E778)))</f>
        <v>0</v>
      </c>
      <c r="M778" s="6" t="n">
        <f aca="false">IF(AND(O778&lt;&gt;0,C778=""),"Abs",0)</f>
        <v>0</v>
      </c>
      <c r="N778" s="8" t="n">
        <f aca="false">IFERROR(IF(OR(D778="OFF",D778="Congé",M778="Abs",D778="Congé sans solde",D778="Férié"),"",IF(O778-K778-L778&gt;O778,O778,IF(O778-K778-L778&lt;0,"",O778-K778-L778))),"")</f>
        <v>0.375</v>
      </c>
      <c r="O778" s="8" t="n">
        <f aca="false">IF(AG778="2H Pause déjeuner",IF(F778-D778-0.0833333333333333&lt;0,F778-D778-0.0833333333333333+1,F778-D778-0.0833333333333333),IF(OR(AND(F778="OFF",D778="OFF"),AND(F778="Congé",D778="Congé"),AND(F778="Congé sans solde",D778="Congé sans solde"),AND(F778="Congé spécial",D778="Congé spécial"),AND(F778="Férié",D778="Férié"),AND(F778="OFF",D778="Congé"),AND(F778="OFF",D778="Congé sans solde"),AND(F778="OFF",D778="Congé spécial"),AND(F778="OFF",D778="Férié"),AND(F778="Congé",D778="OFF"),AND(F778="Congé",D778="Congé sans solde"),AND(F778="Congé",D778="Congé spécial"),AND(F778="Congé",D778="Férié"),AND(F778="Congé sans solde",D778="OFF"),AND(F778="Congé sans solde",D778="Congé"),AND(F778="Congé sans solde",D778="Congé spécial"),AND(F778="Congé sans solde",D778="Férié"),AND(F778="Congé spécial",D778="OFF"),AND(F778="Congé spécial",D778="Congé"),AND(F778="Congé spécial",D778="Congé sans solde"),AND(F778="Congé spécial",D778="Férié"),AND(F778="Férié",D778="OFF"),AND(F778="Férié",D778="Congé"),AND(F778="Férié",D778="Congé sans solde"),AND(F778="Férié",D778="Congé spécial")),0,IF(OR(F778="OFF",F778="Congé",F778="Congé spécial",F778="Congé sans solde",D778="OFF",D778="Congé",D778="Congé spécial",D778="Congé sans solde"),0.208333333333334,IF(AND(AG778="",F778-D778&lt;0),("24:00:00"-D778)+("00:00:00"+F778)-0.0416666666666667,IF(AND(OR(AG778="Allaitement",AG778="Sans déjeuner"),F778-D778&lt;0),("24:00:00"-D778)+("00:00:00"+F778),IF(AND(AG778="",F778-D778&gt;0.166666666666667),F778-D778-0.0416666666666667,IF(AND(OR(AG778="Allaitement",AG778="Sans déjeuner"),F778-D778&gt;0.166666666666667),F778-D778,F778-D778)))))))</f>
        <v>0.375</v>
      </c>
      <c r="P778" s="6" t="str">
        <f aca="false">IFERROR(VLOOKUP($B778,Agents!$A:$D,2,0),"-")</f>
        <v>Accessibilité</v>
      </c>
      <c r="Q778" s="21" t="n">
        <v>46190</v>
      </c>
      <c r="R778" s="8" t="n">
        <f aca="false">IF(M778="Abs",O778,0)</f>
        <v>0</v>
      </c>
      <c r="S778" s="8" t="n">
        <f aca="false">SUM(R778,L778,I778,J778,W778,H778)</f>
        <v>0</v>
      </c>
      <c r="T778" s="6" t="str">
        <f aca="false">"Sem - "&amp;WEEKNUM(Q778,21)</f>
        <v>Sem - 25</v>
      </c>
      <c r="U778" s="6" t="str">
        <f aca="false">CHOOSE(MONTH(Q778),"Janvier","Février","Mars","Avril","Mai","Juin","Juillet","Août","Septembre","Octobre","Novembre","Décembre")</f>
        <v>Juin</v>
      </c>
      <c r="V778" s="22" t="n">
        <f aca="false">YEAR(Q778)</f>
        <v>2026</v>
      </c>
      <c r="W778" s="20"/>
      <c r="X778" s="8" t="n">
        <f aca="false">IFERROR(IF(M778="Abs",0,IF(ROUND((D778-C778+E778-F778)*1440,0)&lt;=1,0,D778-C778+E778-F778)),0)</f>
        <v>0</v>
      </c>
      <c r="Y778" s="6" t="str">
        <f aca="false">IFERROR(VLOOKUP($B778,Agents!$A:$D,3,0),"-")</f>
        <v>OUBRAHIM Mohammed</v>
      </c>
      <c r="Z778" s="6" t="str">
        <f aca="false">IFERROR(VLOOKUP($B778,Agents!$A:$D,4,0),"-")</f>
        <v>Credit Mutuel</v>
      </c>
      <c r="AA778" s="18" t="s">
        <v>107</v>
      </c>
      <c r="AB778" s="8" t="str">
        <f aca="false">IF(AND(D778="Congé",F778="Congé"),0.333333333333333,IF(OR(AND(D778="Congé",F778&lt;&gt;"Congé"),(AND(F778="Congé",D778&lt;&gt;"Congé"))),0.166666666666667,""))</f>
        <v/>
      </c>
      <c r="AC778" s="8" t="str">
        <f aca="false">IF(AND(D778="Congé sans solde",F778="Congé sans solde"),0.333333333333333,IF(OR(AND(D778="Congé sans solde",F778&lt;&gt;"Congé sans solde"),(AND(F778="Congé sans solde",D778&lt;&gt;"Congé sans solde"))),0.166666666666667,""))</f>
        <v/>
      </c>
      <c r="AD778" s="8" t="str">
        <f aca="false">IF(AND(D778="Congé spécial",F778="Congé spécial"),0.333333333333333,IF(OR(AND(D778="Congé spécial",F778&lt;&gt;"Congé spécial"),AND(F778="Congé spécial",D778&lt;&gt;"Congé spécial")),0.166666666666667,""))</f>
        <v/>
      </c>
      <c r="AE778" s="8" t="str">
        <f aca="false">IF(AND(D778="Férié",F778="Férié"),0.333333333333333,IF(OR(AND(D778="Férié",F778&lt;&gt;"Férié"),(AND(F778="Férié",D778&lt;&gt;"Férié"))),0.166666666666667,""))</f>
        <v/>
      </c>
      <c r="AF778" s="18"/>
      <c r="AG778" s="18"/>
    </row>
    <row r="779" customFormat="false" ht="15" hidden="false" customHeight="false" outlineLevel="0" collapsed="false">
      <c r="A779" s="6" t="str">
        <f aca="false">YEAR(Q779-WEEKDAY(Q779,2)+4)&amp;"-S"&amp;TEXT(WEEKNUM(Q779,21),"00")</f>
        <v>2026-S25</v>
      </c>
      <c r="B779" s="18" t="s">
        <v>72</v>
      </c>
      <c r="C779" s="19" t="n">
        <v>0.331944444444444</v>
      </c>
      <c r="D779" s="19" t="n">
        <v>0.333333333333333</v>
      </c>
      <c r="E779" s="19" t="n">
        <v>0.75</v>
      </c>
      <c r="F779" s="19" t="n">
        <v>0.75</v>
      </c>
      <c r="G779" s="20"/>
      <c r="H779" s="20"/>
      <c r="I779" s="8" t="str">
        <f aca="false">IF(IF(OR(C779="",D779="Congé",D779="OFF",D779="Congé spécial"),"",IF(D779&gt;F779,D779-C779,IF(C779-D779&lt;0,0,C779-D779)))&lt;0.00068287037037037,"",IF(OR(D779="Congé",D779="OFF",C779="",D779="Congé spécial"),"",IF(D779&gt;F779,D779-C779,IF(C779-D779&lt;0,0,C779-D779))))</f>
        <v/>
      </c>
      <c r="J779" s="20"/>
      <c r="K779" s="8" t="n">
        <f aca="false">IF(SUM(H779:J779)&lt;0.00068287037037037,0,SUM(H779:J779))</f>
        <v>0</v>
      </c>
      <c r="L779" s="8" t="n">
        <f aca="false">IF(OR(F779="Congé",F779="OFF",M779="Abs",F779="Congé sans solde",F779="Férié",F779="Congé spécial",D779="Congé spécial"),0,IF(F779-E779&lt;0,0,IF(F779-E779&lt;=0.00068287037037037,0,F779-E779)))</f>
        <v>0</v>
      </c>
      <c r="M779" s="6" t="n">
        <f aca="false">IF(AND(O779&lt;&gt;0,C779=""),"Abs",0)</f>
        <v>0</v>
      </c>
      <c r="N779" s="8" t="n">
        <f aca="false">IFERROR(IF(OR(D779="OFF",D779="Congé",M779="Abs",D779="Congé sans solde",D779="Férié"),"",IF(O779-K779-L779&gt;O779,O779,IF(O779-K779-L779&lt;0,"",O779-K779-L779))),"")</f>
        <v>0.375</v>
      </c>
      <c r="O779" s="8" t="n">
        <f aca="false">IF(AG779="2H Pause déjeuner",IF(F779-D779-0.0833333333333333&lt;0,F779-D779-0.0833333333333333+1,F779-D779-0.0833333333333333),IF(OR(AND(F779="OFF",D779="OFF"),AND(F779="Congé",D779="Congé"),AND(F779="Congé sans solde",D779="Congé sans solde"),AND(F779="Congé spécial",D779="Congé spécial"),AND(F779="Férié",D779="Férié"),AND(F779="OFF",D779="Congé"),AND(F779="OFF",D779="Congé sans solde"),AND(F779="OFF",D779="Congé spécial"),AND(F779="OFF",D779="Férié"),AND(F779="Congé",D779="OFF"),AND(F779="Congé",D779="Congé sans solde"),AND(F779="Congé",D779="Congé spécial"),AND(F779="Congé",D779="Férié"),AND(F779="Congé sans solde",D779="OFF"),AND(F779="Congé sans solde",D779="Congé"),AND(F779="Congé sans solde",D779="Congé spécial"),AND(F779="Congé sans solde",D779="Férié"),AND(F779="Congé spécial",D779="OFF"),AND(F779="Congé spécial",D779="Congé"),AND(F779="Congé spécial",D779="Congé sans solde"),AND(F779="Congé spécial",D779="Férié"),AND(F779="Férié",D779="OFF"),AND(F779="Férié",D779="Congé"),AND(F779="Férié",D779="Congé sans solde"),AND(F779="Férié",D779="Congé spécial")),0,IF(OR(F779="OFF",F779="Congé",F779="Congé spécial",F779="Congé sans solde",D779="OFF",D779="Congé",D779="Congé spécial",D779="Congé sans solde"),0.208333333333334,IF(AND(AG779="",F779-D779&lt;0),("24:00:00"-D779)+("00:00:00"+F779)-0.0416666666666667,IF(AND(OR(AG779="Allaitement",AG779="Sans déjeuner"),F779-D779&lt;0),("24:00:00"-D779)+("00:00:00"+F779),IF(AND(AG779="",F779-D779&gt;0.166666666666667),F779-D779-0.0416666666666667,IF(AND(OR(AG779="Allaitement",AG779="Sans déjeuner"),F779-D779&gt;0.166666666666667),F779-D779,F779-D779)))))))</f>
        <v>0.375</v>
      </c>
      <c r="P779" s="6" t="str">
        <f aca="false">IFERROR(VLOOKUP($B779,Agents!$A:$D,2,0),"-")</f>
        <v>Accessibilité</v>
      </c>
      <c r="Q779" s="21" t="n">
        <v>46190</v>
      </c>
      <c r="R779" s="8" t="n">
        <f aca="false">IF(M779="Abs",O779,0)</f>
        <v>0</v>
      </c>
      <c r="S779" s="8" t="n">
        <f aca="false">SUM(R779,L779,I779,J779,W779,H779)</f>
        <v>0</v>
      </c>
      <c r="T779" s="6" t="str">
        <f aca="false">"Sem - "&amp;WEEKNUM(Q779,21)</f>
        <v>Sem - 25</v>
      </c>
      <c r="U779" s="6" t="str">
        <f aca="false">CHOOSE(MONTH(Q779),"Janvier","Février","Mars","Avril","Mai","Juin","Juillet","Août","Septembre","Octobre","Novembre","Décembre")</f>
        <v>Juin</v>
      </c>
      <c r="V779" s="22" t="n">
        <f aca="false">YEAR(Q779)</f>
        <v>2026</v>
      </c>
      <c r="W779" s="20"/>
      <c r="X779" s="8" t="n">
        <f aca="false">IFERROR(IF(M779="Abs",0,IF(ROUND((D779-C779+E779-F779)*1440,0)&lt;=1,0,D779-C779+E779-F779)),0)</f>
        <v>0.00138888888888889</v>
      </c>
      <c r="Y779" s="6" t="str">
        <f aca="false">IFERROR(VLOOKUP($B779,Agents!$A:$D,3,0),"-")</f>
        <v>OUBRAHIM Mohammed</v>
      </c>
      <c r="Z779" s="6" t="str">
        <f aca="false">IFERROR(VLOOKUP($B779,Agents!$A:$D,4,0),"-")</f>
        <v>Credit Mutuel</v>
      </c>
      <c r="AA779" s="18" t="s">
        <v>107</v>
      </c>
      <c r="AB779" s="8" t="str">
        <f aca="false">IF(AND(D779="Congé",F779="Congé"),0.333333333333333,IF(OR(AND(D779="Congé",F779&lt;&gt;"Congé"),(AND(F779="Congé",D779&lt;&gt;"Congé"))),0.166666666666667,""))</f>
        <v/>
      </c>
      <c r="AC779" s="8" t="str">
        <f aca="false">IF(AND(D779="Congé sans solde",F779="Congé sans solde"),0.333333333333333,IF(OR(AND(D779="Congé sans solde",F779&lt;&gt;"Congé sans solde"),(AND(F779="Congé sans solde",D779&lt;&gt;"Congé sans solde"))),0.166666666666667,""))</f>
        <v/>
      </c>
      <c r="AD779" s="8" t="str">
        <f aca="false">IF(AND(D779="Congé spécial",F779="Congé spécial"),0.333333333333333,IF(OR(AND(D779="Congé spécial",F779&lt;&gt;"Congé spécial"),AND(F779="Congé spécial",D779&lt;&gt;"Congé spécial")),0.166666666666667,""))</f>
        <v/>
      </c>
      <c r="AE779" s="8" t="str">
        <f aca="false">IF(AND(D779="Férié",F779="Férié"),0.333333333333333,IF(OR(AND(D779="Férié",F779&lt;&gt;"Férié"),(AND(F779="Férié",D779&lt;&gt;"Férié"))),0.166666666666667,""))</f>
        <v/>
      </c>
      <c r="AF779" s="18"/>
      <c r="AG779" s="18"/>
    </row>
    <row r="780" customFormat="false" ht="15" hidden="false" customHeight="false" outlineLevel="0" collapsed="false">
      <c r="A780" s="6" t="str">
        <f aca="false">YEAR(Q780-WEEKDAY(Q780,2)+4)&amp;"-S"&amp;TEXT(WEEKNUM(Q780,21),"00")</f>
        <v>2026-S25</v>
      </c>
      <c r="B780" s="18" t="s">
        <v>73</v>
      </c>
      <c r="C780" s="19" t="n">
        <v>0.333333333333333</v>
      </c>
      <c r="D780" s="19" t="n">
        <v>0.333333333333333</v>
      </c>
      <c r="E780" s="19" t="n">
        <v>0.75</v>
      </c>
      <c r="F780" s="19" t="n">
        <v>0.75</v>
      </c>
      <c r="G780" s="20"/>
      <c r="H780" s="20"/>
      <c r="I780" s="8" t="str">
        <f aca="false">IF(IF(OR(C780="",D780="Congé",D780="OFF",D780="Congé spécial"),"",IF(D780&gt;F780,D780-C780,IF(C780-D780&lt;0,0,C780-D780)))&lt;0.00068287037037037,"",IF(OR(D780="Congé",D780="OFF",C780="",D780="Congé spécial"),"",IF(D780&gt;F780,D780-C780,IF(C780-D780&lt;0,0,C780-D780))))</f>
        <v/>
      </c>
      <c r="J780" s="20"/>
      <c r="K780" s="8" t="n">
        <f aca="false">IF(SUM(H780:J780)&lt;0.00068287037037037,0,SUM(H780:J780))</f>
        <v>0</v>
      </c>
      <c r="L780" s="8" t="n">
        <f aca="false">IF(OR(F780="Congé",F780="OFF",M780="Abs",F780="Congé sans solde",F780="Férié",F780="Congé spécial",D780="Congé spécial"),0,IF(F780-E780&lt;0,0,IF(F780-E780&lt;=0.00068287037037037,0,F780-E780)))</f>
        <v>0</v>
      </c>
      <c r="M780" s="6" t="n">
        <f aca="false">IF(AND(O780&lt;&gt;0,C780=""),"Abs",0)</f>
        <v>0</v>
      </c>
      <c r="N780" s="8" t="n">
        <f aca="false">IFERROR(IF(OR(D780="OFF",D780="Congé",M780="Abs",D780="Congé sans solde",D780="Férié"),"",IF(O780-K780-L780&gt;O780,O780,IF(O780-K780-L780&lt;0,"",O780-K780-L780))),"")</f>
        <v>0.375</v>
      </c>
      <c r="O780" s="8" t="n">
        <f aca="false">IF(AG780="2H Pause déjeuner",IF(F780-D780-0.0833333333333333&lt;0,F780-D780-0.0833333333333333+1,F780-D780-0.0833333333333333),IF(OR(AND(F780="OFF",D780="OFF"),AND(F780="Congé",D780="Congé"),AND(F780="Congé sans solde",D780="Congé sans solde"),AND(F780="Congé spécial",D780="Congé spécial"),AND(F780="Férié",D780="Férié"),AND(F780="OFF",D780="Congé"),AND(F780="OFF",D780="Congé sans solde"),AND(F780="OFF",D780="Congé spécial"),AND(F780="OFF",D780="Férié"),AND(F780="Congé",D780="OFF"),AND(F780="Congé",D780="Congé sans solde"),AND(F780="Congé",D780="Congé spécial"),AND(F780="Congé",D780="Férié"),AND(F780="Congé sans solde",D780="OFF"),AND(F780="Congé sans solde",D780="Congé"),AND(F780="Congé sans solde",D780="Congé spécial"),AND(F780="Congé sans solde",D780="Férié"),AND(F780="Congé spécial",D780="OFF"),AND(F780="Congé spécial",D780="Congé"),AND(F780="Congé spécial",D780="Congé sans solde"),AND(F780="Congé spécial",D780="Férié"),AND(F780="Férié",D780="OFF"),AND(F780="Férié",D780="Congé"),AND(F780="Férié",D780="Congé sans solde"),AND(F780="Férié",D780="Congé spécial")),0,IF(OR(F780="OFF",F780="Congé",F780="Congé spécial",F780="Congé sans solde",D780="OFF",D780="Congé",D780="Congé spécial",D780="Congé sans solde"),0.208333333333334,IF(AND(AG780="",F780-D780&lt;0),("24:00:00"-D780)+("00:00:00"+F780)-0.0416666666666667,IF(AND(OR(AG780="Allaitement",AG780="Sans déjeuner"),F780-D780&lt;0),("24:00:00"-D780)+("00:00:00"+F780),IF(AND(AG780="",F780-D780&gt;0.166666666666667),F780-D780-0.0416666666666667,IF(AND(OR(AG780="Allaitement",AG780="Sans déjeuner"),F780-D780&gt;0.166666666666667),F780-D780,F780-D780)))))))</f>
        <v>0.375</v>
      </c>
      <c r="P780" s="6" t="str">
        <f aca="false">IFERROR(VLOOKUP($B780,Agents!$A:$D,2,0),"-")</f>
        <v>Accessibilité</v>
      </c>
      <c r="Q780" s="21" t="n">
        <v>46190</v>
      </c>
      <c r="R780" s="8" t="n">
        <f aca="false">IF(M780="Abs",O780,0)</f>
        <v>0</v>
      </c>
      <c r="S780" s="8" t="n">
        <f aca="false">SUM(R780,L780,I780,J780,W780,H780)</f>
        <v>0</v>
      </c>
      <c r="T780" s="6" t="str">
        <f aca="false">"Sem - "&amp;WEEKNUM(Q780,21)</f>
        <v>Sem - 25</v>
      </c>
      <c r="U780" s="6" t="str">
        <f aca="false">CHOOSE(MONTH(Q780),"Janvier","Février","Mars","Avril","Mai","Juin","Juillet","Août","Septembre","Octobre","Novembre","Décembre")</f>
        <v>Juin</v>
      </c>
      <c r="V780" s="22" t="n">
        <f aca="false">YEAR(Q780)</f>
        <v>2026</v>
      </c>
      <c r="W780" s="20"/>
      <c r="X780" s="8" t="n">
        <f aca="false">IFERROR(IF(M780="Abs",0,IF(ROUND((D780-C780+E780-F780)*1440,0)&lt;=1,0,D780-C780+E780-F780)),0)</f>
        <v>0</v>
      </c>
      <c r="Y780" s="6" t="str">
        <f aca="false">IFERROR(VLOOKUP($B780,Agents!$A:$D,3,0),"-")</f>
        <v>OUBRAHIM Mohammed</v>
      </c>
      <c r="Z780" s="6" t="str">
        <f aca="false">IFERROR(VLOOKUP($B780,Agents!$A:$D,4,0),"-")</f>
        <v>Credit Mutuel</v>
      </c>
      <c r="AA780" s="18" t="s">
        <v>107</v>
      </c>
      <c r="AB780" s="8" t="str">
        <f aca="false">IF(AND(D780="Congé",F780="Congé"),0.333333333333333,IF(OR(AND(D780="Congé",F780&lt;&gt;"Congé"),(AND(F780="Congé",D780&lt;&gt;"Congé"))),0.166666666666667,""))</f>
        <v/>
      </c>
      <c r="AC780" s="8" t="str">
        <f aca="false">IF(AND(D780="Congé sans solde",F780="Congé sans solde"),0.333333333333333,IF(OR(AND(D780="Congé sans solde",F780&lt;&gt;"Congé sans solde"),(AND(F780="Congé sans solde",D780&lt;&gt;"Congé sans solde"))),0.166666666666667,""))</f>
        <v/>
      </c>
      <c r="AD780" s="8" t="str">
        <f aca="false">IF(AND(D780="Congé spécial",F780="Congé spécial"),0.333333333333333,IF(OR(AND(D780="Congé spécial",F780&lt;&gt;"Congé spécial"),AND(F780="Congé spécial",D780&lt;&gt;"Congé spécial")),0.166666666666667,""))</f>
        <v/>
      </c>
      <c r="AE780" s="8" t="str">
        <f aca="false">IF(AND(D780="Férié",F780="Férié"),0.333333333333333,IF(OR(AND(D780="Férié",F780&lt;&gt;"Férié"),(AND(F780="Férié",D780&lt;&gt;"Férié"))),0.166666666666667,""))</f>
        <v/>
      </c>
      <c r="AF780" s="18"/>
      <c r="AG780" s="18"/>
    </row>
    <row r="781" customFormat="false" ht="15" hidden="false" customHeight="false" outlineLevel="0" collapsed="false">
      <c r="A781" s="6" t="str">
        <f aca="false">YEAR(Q781-WEEKDAY(Q781,2)+4)&amp;"-S"&amp;TEXT(WEEKNUM(Q781,21),"00")</f>
        <v>2026-S25</v>
      </c>
      <c r="B781" s="18" t="s">
        <v>71</v>
      </c>
      <c r="C781" s="19" t="n">
        <v>0.331944444444444</v>
      </c>
      <c r="D781" s="19" t="n">
        <v>0.333333333333333</v>
      </c>
      <c r="E781" s="19" t="n">
        <v>0.75</v>
      </c>
      <c r="F781" s="19" t="n">
        <v>0.75</v>
      </c>
      <c r="G781" s="20"/>
      <c r="H781" s="20"/>
      <c r="I781" s="8" t="str">
        <f aca="false">IF(IF(OR(C781="",D781="Congé",D781="OFF",D781="Congé spécial"),"",IF(D781&gt;F781,D781-C781,IF(C781-D781&lt;0,0,C781-D781)))&lt;0.00068287037037037,"",IF(OR(D781="Congé",D781="OFF",C781="",D781="Congé spécial"),"",IF(D781&gt;F781,D781-C781,IF(C781-D781&lt;0,0,C781-D781))))</f>
        <v/>
      </c>
      <c r="J781" s="20"/>
      <c r="K781" s="8" t="n">
        <f aca="false">IF(SUM(H781:J781)&lt;0.00068287037037037,0,SUM(H781:J781))</f>
        <v>0</v>
      </c>
      <c r="L781" s="8" t="n">
        <f aca="false">IF(OR(F781="Congé",F781="OFF",M781="Abs",F781="Congé sans solde",F781="Férié",F781="Congé spécial",D781="Congé spécial"),0,IF(F781-E781&lt;0,0,IF(F781-E781&lt;=0.00068287037037037,0,F781-E781)))</f>
        <v>0</v>
      </c>
      <c r="M781" s="6" t="n">
        <f aca="false">IF(AND(O781&lt;&gt;0,C781=""),"Abs",0)</f>
        <v>0</v>
      </c>
      <c r="N781" s="8" t="n">
        <f aca="false">IFERROR(IF(OR(D781="OFF",D781="Congé",M781="Abs",D781="Congé sans solde",D781="Férié"),"",IF(O781-K781-L781&gt;O781,O781,IF(O781-K781-L781&lt;0,"",O781-K781-L781))),"")</f>
        <v>0.375</v>
      </c>
      <c r="O781" s="8" t="n">
        <f aca="false">IF(AG781="2H Pause déjeuner",IF(F781-D781-0.0833333333333333&lt;0,F781-D781-0.0833333333333333+1,F781-D781-0.0833333333333333),IF(OR(AND(F781="OFF",D781="OFF"),AND(F781="Congé",D781="Congé"),AND(F781="Congé sans solde",D781="Congé sans solde"),AND(F781="Congé spécial",D781="Congé spécial"),AND(F781="Férié",D781="Férié"),AND(F781="OFF",D781="Congé"),AND(F781="OFF",D781="Congé sans solde"),AND(F781="OFF",D781="Congé spécial"),AND(F781="OFF",D781="Férié"),AND(F781="Congé",D781="OFF"),AND(F781="Congé",D781="Congé sans solde"),AND(F781="Congé",D781="Congé spécial"),AND(F781="Congé",D781="Férié"),AND(F781="Congé sans solde",D781="OFF"),AND(F781="Congé sans solde",D781="Congé"),AND(F781="Congé sans solde",D781="Congé spécial"),AND(F781="Congé sans solde",D781="Férié"),AND(F781="Congé spécial",D781="OFF"),AND(F781="Congé spécial",D781="Congé"),AND(F781="Congé spécial",D781="Congé sans solde"),AND(F781="Congé spécial",D781="Férié"),AND(F781="Férié",D781="OFF"),AND(F781="Férié",D781="Congé"),AND(F781="Férié",D781="Congé sans solde"),AND(F781="Férié",D781="Congé spécial")),0,IF(OR(F781="OFF",F781="Congé",F781="Congé spécial",F781="Congé sans solde",D781="OFF",D781="Congé",D781="Congé spécial",D781="Congé sans solde"),0.208333333333334,IF(AND(AG781="",F781-D781&lt;0),("24:00:00"-D781)+("00:00:00"+F781)-0.0416666666666667,IF(AND(OR(AG781="Allaitement",AG781="Sans déjeuner"),F781-D781&lt;0),("24:00:00"-D781)+("00:00:00"+F781),IF(AND(AG781="",F781-D781&gt;0.166666666666667),F781-D781-0.0416666666666667,IF(AND(OR(AG781="Allaitement",AG781="Sans déjeuner"),F781-D781&gt;0.166666666666667),F781-D781,F781-D781)))))))</f>
        <v>0.375</v>
      </c>
      <c r="P781" s="6" t="str">
        <f aca="false">IFERROR(VLOOKUP($B781,Agents!$A:$D,2,0),"-")</f>
        <v>Accessibilité</v>
      </c>
      <c r="Q781" s="21" t="n">
        <v>46191</v>
      </c>
      <c r="R781" s="8" t="n">
        <f aca="false">IF(M781="Abs",O781,0)</f>
        <v>0</v>
      </c>
      <c r="S781" s="8" t="n">
        <f aca="false">SUM(R781,L781,I781,J781,W781,H781)</f>
        <v>0</v>
      </c>
      <c r="T781" s="6" t="str">
        <f aca="false">"Sem - "&amp;WEEKNUM(Q781,21)</f>
        <v>Sem - 25</v>
      </c>
      <c r="U781" s="6" t="str">
        <f aca="false">CHOOSE(MONTH(Q781),"Janvier","Février","Mars","Avril","Mai","Juin","Juillet","Août","Septembre","Octobre","Novembre","Décembre")</f>
        <v>Juin</v>
      </c>
      <c r="V781" s="22" t="n">
        <f aca="false">YEAR(Q781)</f>
        <v>2026</v>
      </c>
      <c r="W781" s="20"/>
      <c r="X781" s="8" t="n">
        <f aca="false">IFERROR(IF(M781="Abs",0,IF(ROUND((D781-C781+E781-F781)*1440,0)&lt;=1,0,D781-C781+E781-F781)),0)</f>
        <v>0.00138888888888889</v>
      </c>
      <c r="Y781" s="6" t="str">
        <f aca="false">IFERROR(VLOOKUP($B781,Agents!$A:$D,3,0),"-")</f>
        <v>OUBRAHIM Mohammed</v>
      </c>
      <c r="Z781" s="6" t="str">
        <f aca="false">IFERROR(VLOOKUP($B781,Agents!$A:$D,4,0),"-")</f>
        <v>Credit Mutuel</v>
      </c>
      <c r="AA781" s="18" t="s">
        <v>107</v>
      </c>
      <c r="AB781" s="8" t="str">
        <f aca="false">IF(AND(D781="Congé",F781="Congé"),0.333333333333333,IF(OR(AND(D781="Congé",F781&lt;&gt;"Congé"),(AND(F781="Congé",D781&lt;&gt;"Congé"))),0.166666666666667,""))</f>
        <v/>
      </c>
      <c r="AC781" s="8" t="str">
        <f aca="false">IF(AND(D781="Congé sans solde",F781="Congé sans solde"),0.333333333333333,IF(OR(AND(D781="Congé sans solde",F781&lt;&gt;"Congé sans solde"),(AND(F781="Congé sans solde",D781&lt;&gt;"Congé sans solde"))),0.166666666666667,""))</f>
        <v/>
      </c>
      <c r="AD781" s="8" t="str">
        <f aca="false">IF(AND(D781="Congé spécial",F781="Congé spécial"),0.333333333333333,IF(OR(AND(D781="Congé spécial",F781&lt;&gt;"Congé spécial"),AND(F781="Congé spécial",D781&lt;&gt;"Congé spécial")),0.166666666666667,""))</f>
        <v/>
      </c>
      <c r="AE781" s="8" t="str">
        <f aca="false">IF(AND(D781="Férié",F781="Férié"),0.333333333333333,IF(OR(AND(D781="Férié",F781&lt;&gt;"Férié"),(AND(F781="Férié",D781&lt;&gt;"Férié"))),0.166666666666667,""))</f>
        <v/>
      </c>
      <c r="AF781" s="18"/>
      <c r="AG781" s="18"/>
    </row>
    <row r="782" customFormat="false" ht="15" hidden="false" customHeight="false" outlineLevel="0" collapsed="false">
      <c r="A782" s="6" t="str">
        <f aca="false">YEAR(Q782-WEEKDAY(Q782,2)+4)&amp;"-S"&amp;TEXT(WEEKNUM(Q782,21),"00")</f>
        <v>2026-S25</v>
      </c>
      <c r="B782" s="18" t="s">
        <v>72</v>
      </c>
      <c r="C782" s="19" t="n">
        <v>0.333333333333333</v>
      </c>
      <c r="D782" s="19" t="n">
        <v>0.333333333333333</v>
      </c>
      <c r="E782" s="19" t="n">
        <v>0.75</v>
      </c>
      <c r="F782" s="19" t="n">
        <v>0.75</v>
      </c>
      <c r="G782" s="20"/>
      <c r="H782" s="20"/>
      <c r="I782" s="8" t="str">
        <f aca="false">IF(IF(OR(C782="",D782="Congé",D782="OFF",D782="Congé spécial"),"",IF(D782&gt;F782,D782-C782,IF(C782-D782&lt;0,0,C782-D782)))&lt;0.00068287037037037,"",IF(OR(D782="Congé",D782="OFF",C782="",D782="Congé spécial"),"",IF(D782&gt;F782,D782-C782,IF(C782-D782&lt;0,0,C782-D782))))</f>
        <v/>
      </c>
      <c r="J782" s="20"/>
      <c r="K782" s="8" t="n">
        <f aca="false">IF(SUM(H782:J782)&lt;0.00068287037037037,0,SUM(H782:J782))</f>
        <v>0</v>
      </c>
      <c r="L782" s="8" t="n">
        <f aca="false">IF(OR(F782="Congé",F782="OFF",M782="Abs",F782="Congé sans solde",F782="Férié",F782="Congé spécial",D782="Congé spécial"),0,IF(F782-E782&lt;0,0,IF(F782-E782&lt;=0.00068287037037037,0,F782-E782)))</f>
        <v>0</v>
      </c>
      <c r="M782" s="6" t="n">
        <f aca="false">IF(AND(O782&lt;&gt;0,C782=""),"Abs",0)</f>
        <v>0</v>
      </c>
      <c r="N782" s="8" t="n">
        <f aca="false">IFERROR(IF(OR(D782="OFF",D782="Congé",M782="Abs",D782="Congé sans solde",D782="Férié"),"",IF(O782-K782-L782&gt;O782,O782,IF(O782-K782-L782&lt;0,"",O782-K782-L782))),"")</f>
        <v>0.375</v>
      </c>
      <c r="O782" s="8" t="n">
        <f aca="false">IF(AG782="2H Pause déjeuner",IF(F782-D782-0.0833333333333333&lt;0,F782-D782-0.0833333333333333+1,F782-D782-0.0833333333333333),IF(OR(AND(F782="OFF",D782="OFF"),AND(F782="Congé",D782="Congé"),AND(F782="Congé sans solde",D782="Congé sans solde"),AND(F782="Congé spécial",D782="Congé spécial"),AND(F782="Férié",D782="Férié"),AND(F782="OFF",D782="Congé"),AND(F782="OFF",D782="Congé sans solde"),AND(F782="OFF",D782="Congé spécial"),AND(F782="OFF",D782="Férié"),AND(F782="Congé",D782="OFF"),AND(F782="Congé",D782="Congé sans solde"),AND(F782="Congé",D782="Congé spécial"),AND(F782="Congé",D782="Férié"),AND(F782="Congé sans solde",D782="OFF"),AND(F782="Congé sans solde",D782="Congé"),AND(F782="Congé sans solde",D782="Congé spécial"),AND(F782="Congé sans solde",D782="Férié"),AND(F782="Congé spécial",D782="OFF"),AND(F782="Congé spécial",D782="Congé"),AND(F782="Congé spécial",D782="Congé sans solde"),AND(F782="Congé spécial",D782="Férié"),AND(F782="Férié",D782="OFF"),AND(F782="Férié",D782="Congé"),AND(F782="Férié",D782="Congé sans solde"),AND(F782="Férié",D782="Congé spécial")),0,IF(OR(F782="OFF",F782="Congé",F782="Congé spécial",F782="Congé sans solde",D782="OFF",D782="Congé",D782="Congé spécial",D782="Congé sans solde"),0.208333333333334,IF(AND(AG782="",F782-D782&lt;0),("24:00:00"-D782)+("00:00:00"+F782)-0.0416666666666667,IF(AND(OR(AG782="Allaitement",AG782="Sans déjeuner"),F782-D782&lt;0),("24:00:00"-D782)+("00:00:00"+F782),IF(AND(AG782="",F782-D782&gt;0.166666666666667),F782-D782-0.0416666666666667,IF(AND(OR(AG782="Allaitement",AG782="Sans déjeuner"),F782-D782&gt;0.166666666666667),F782-D782,F782-D782)))))))</f>
        <v>0.375</v>
      </c>
      <c r="P782" s="6" t="str">
        <f aca="false">IFERROR(VLOOKUP($B782,Agents!$A:$D,2,0),"-")</f>
        <v>Accessibilité</v>
      </c>
      <c r="Q782" s="21" t="n">
        <v>46191</v>
      </c>
      <c r="R782" s="8" t="n">
        <f aca="false">IF(M782="Abs",O782,0)</f>
        <v>0</v>
      </c>
      <c r="S782" s="8" t="n">
        <f aca="false">SUM(R782,L782,I782,J782,W782,H782)</f>
        <v>0</v>
      </c>
      <c r="T782" s="6" t="str">
        <f aca="false">"Sem - "&amp;WEEKNUM(Q782,21)</f>
        <v>Sem - 25</v>
      </c>
      <c r="U782" s="6" t="str">
        <f aca="false">CHOOSE(MONTH(Q782),"Janvier","Février","Mars","Avril","Mai","Juin","Juillet","Août","Septembre","Octobre","Novembre","Décembre")</f>
        <v>Juin</v>
      </c>
      <c r="V782" s="22" t="n">
        <f aca="false">YEAR(Q782)</f>
        <v>2026</v>
      </c>
      <c r="W782" s="20"/>
      <c r="X782" s="8" t="n">
        <f aca="false">IFERROR(IF(M782="Abs",0,IF(ROUND((D782-C782+E782-F782)*1440,0)&lt;=1,0,D782-C782+E782-F782)),0)</f>
        <v>0</v>
      </c>
      <c r="Y782" s="6" t="str">
        <f aca="false">IFERROR(VLOOKUP($B782,Agents!$A:$D,3,0),"-")</f>
        <v>OUBRAHIM Mohammed</v>
      </c>
      <c r="Z782" s="6" t="str">
        <f aca="false">IFERROR(VLOOKUP($B782,Agents!$A:$D,4,0),"-")</f>
        <v>Credit Mutuel</v>
      </c>
      <c r="AA782" s="18" t="s">
        <v>107</v>
      </c>
      <c r="AB782" s="8" t="str">
        <f aca="false">IF(AND(D782="Congé",F782="Congé"),0.333333333333333,IF(OR(AND(D782="Congé",F782&lt;&gt;"Congé"),(AND(F782="Congé",D782&lt;&gt;"Congé"))),0.166666666666667,""))</f>
        <v/>
      </c>
      <c r="AC782" s="8" t="str">
        <f aca="false">IF(AND(D782="Congé sans solde",F782="Congé sans solde"),0.333333333333333,IF(OR(AND(D782="Congé sans solde",F782&lt;&gt;"Congé sans solde"),(AND(F782="Congé sans solde",D782&lt;&gt;"Congé sans solde"))),0.166666666666667,""))</f>
        <v/>
      </c>
      <c r="AD782" s="8" t="str">
        <f aca="false">IF(AND(D782="Congé spécial",F782="Congé spécial"),0.333333333333333,IF(OR(AND(D782="Congé spécial",F782&lt;&gt;"Congé spécial"),AND(F782="Congé spécial",D782&lt;&gt;"Congé spécial")),0.166666666666667,""))</f>
        <v/>
      </c>
      <c r="AE782" s="8" t="str">
        <f aca="false">IF(AND(D782="Férié",F782="Férié"),0.333333333333333,IF(OR(AND(D782="Férié",F782&lt;&gt;"Férié"),(AND(F782="Férié",D782&lt;&gt;"Férié"))),0.166666666666667,""))</f>
        <v/>
      </c>
      <c r="AF782" s="18"/>
      <c r="AG782" s="18"/>
    </row>
    <row r="783" customFormat="false" ht="15" hidden="false" customHeight="false" outlineLevel="0" collapsed="false">
      <c r="A783" s="6" t="str">
        <f aca="false">YEAR(Q783-WEEKDAY(Q783,2)+4)&amp;"-S"&amp;TEXT(WEEKNUM(Q783,21),"00")</f>
        <v>2026-S25</v>
      </c>
      <c r="B783" s="18" t="s">
        <v>73</v>
      </c>
      <c r="C783" s="19" t="n">
        <v>0.331944444444444</v>
      </c>
      <c r="D783" s="19" t="n">
        <v>0.333333333333333</v>
      </c>
      <c r="E783" s="19" t="n">
        <v>0.75</v>
      </c>
      <c r="F783" s="19" t="n">
        <v>0.75</v>
      </c>
      <c r="G783" s="20"/>
      <c r="H783" s="20"/>
      <c r="I783" s="8" t="str">
        <f aca="false">IF(IF(OR(C783="",D783="Congé",D783="OFF",D783="Congé spécial"),"",IF(D783&gt;F783,D783-C783,IF(C783-D783&lt;0,0,C783-D783)))&lt;0.00068287037037037,"",IF(OR(D783="Congé",D783="OFF",C783="",D783="Congé spécial"),"",IF(D783&gt;F783,D783-C783,IF(C783-D783&lt;0,0,C783-D783))))</f>
        <v/>
      </c>
      <c r="J783" s="20"/>
      <c r="K783" s="8" t="n">
        <f aca="false">IF(SUM(H783:J783)&lt;0.00068287037037037,0,SUM(H783:J783))</f>
        <v>0</v>
      </c>
      <c r="L783" s="8" t="n">
        <f aca="false">IF(OR(F783="Congé",F783="OFF",M783="Abs",F783="Congé sans solde",F783="Férié",F783="Congé spécial",D783="Congé spécial"),0,IF(F783-E783&lt;0,0,IF(F783-E783&lt;=0.00068287037037037,0,F783-E783)))</f>
        <v>0</v>
      </c>
      <c r="M783" s="6" t="n">
        <f aca="false">IF(AND(O783&lt;&gt;0,C783=""),"Abs",0)</f>
        <v>0</v>
      </c>
      <c r="N783" s="8" t="n">
        <f aca="false">IFERROR(IF(OR(D783="OFF",D783="Congé",M783="Abs",D783="Congé sans solde",D783="Férié"),"",IF(O783-K783-L783&gt;O783,O783,IF(O783-K783-L783&lt;0,"",O783-K783-L783))),"")</f>
        <v>0.375</v>
      </c>
      <c r="O783" s="8" t="n">
        <f aca="false">IF(AG783="2H Pause déjeuner",IF(F783-D783-0.0833333333333333&lt;0,F783-D783-0.0833333333333333+1,F783-D783-0.0833333333333333),IF(OR(AND(F783="OFF",D783="OFF"),AND(F783="Congé",D783="Congé"),AND(F783="Congé sans solde",D783="Congé sans solde"),AND(F783="Congé spécial",D783="Congé spécial"),AND(F783="Férié",D783="Férié"),AND(F783="OFF",D783="Congé"),AND(F783="OFF",D783="Congé sans solde"),AND(F783="OFF",D783="Congé spécial"),AND(F783="OFF",D783="Férié"),AND(F783="Congé",D783="OFF"),AND(F783="Congé",D783="Congé sans solde"),AND(F783="Congé",D783="Congé spécial"),AND(F783="Congé",D783="Férié"),AND(F783="Congé sans solde",D783="OFF"),AND(F783="Congé sans solde",D783="Congé"),AND(F783="Congé sans solde",D783="Congé spécial"),AND(F783="Congé sans solde",D783="Férié"),AND(F783="Congé spécial",D783="OFF"),AND(F783="Congé spécial",D783="Congé"),AND(F783="Congé spécial",D783="Congé sans solde"),AND(F783="Congé spécial",D783="Férié"),AND(F783="Férié",D783="OFF"),AND(F783="Férié",D783="Congé"),AND(F783="Férié",D783="Congé sans solde"),AND(F783="Férié",D783="Congé spécial")),0,IF(OR(F783="OFF",F783="Congé",F783="Congé spécial",F783="Congé sans solde",D783="OFF",D783="Congé",D783="Congé spécial",D783="Congé sans solde"),0.208333333333334,IF(AND(AG783="",F783-D783&lt;0),("24:00:00"-D783)+("00:00:00"+F783)-0.0416666666666667,IF(AND(OR(AG783="Allaitement",AG783="Sans déjeuner"),F783-D783&lt;0),("24:00:00"-D783)+("00:00:00"+F783),IF(AND(AG783="",F783-D783&gt;0.166666666666667),F783-D783-0.0416666666666667,IF(AND(OR(AG783="Allaitement",AG783="Sans déjeuner"),F783-D783&gt;0.166666666666667),F783-D783,F783-D783)))))))</f>
        <v>0.375</v>
      </c>
      <c r="P783" s="6" t="str">
        <f aca="false">IFERROR(VLOOKUP($B783,Agents!$A:$D,2,0),"-")</f>
        <v>Accessibilité</v>
      </c>
      <c r="Q783" s="21" t="n">
        <v>46191</v>
      </c>
      <c r="R783" s="8" t="n">
        <f aca="false">IF(M783="Abs",O783,0)</f>
        <v>0</v>
      </c>
      <c r="S783" s="8" t="n">
        <f aca="false">SUM(R783,L783,I783,J783,W783,H783)</f>
        <v>0</v>
      </c>
      <c r="T783" s="6" t="str">
        <f aca="false">"Sem - "&amp;WEEKNUM(Q783,21)</f>
        <v>Sem - 25</v>
      </c>
      <c r="U783" s="6" t="str">
        <f aca="false">CHOOSE(MONTH(Q783),"Janvier","Février","Mars","Avril","Mai","Juin","Juillet","Août","Septembre","Octobre","Novembre","Décembre")</f>
        <v>Juin</v>
      </c>
      <c r="V783" s="22" t="n">
        <f aca="false">YEAR(Q783)</f>
        <v>2026</v>
      </c>
      <c r="W783" s="20"/>
      <c r="X783" s="8" t="n">
        <f aca="false">IFERROR(IF(M783="Abs",0,IF(ROUND((D783-C783+E783-F783)*1440,0)&lt;=1,0,D783-C783+E783-F783)),0)</f>
        <v>0.00138888888888889</v>
      </c>
      <c r="Y783" s="6" t="str">
        <f aca="false">IFERROR(VLOOKUP($B783,Agents!$A:$D,3,0),"-")</f>
        <v>OUBRAHIM Mohammed</v>
      </c>
      <c r="Z783" s="6" t="str">
        <f aca="false">IFERROR(VLOOKUP($B783,Agents!$A:$D,4,0),"-")</f>
        <v>Credit Mutuel</v>
      </c>
      <c r="AA783" s="18" t="s">
        <v>107</v>
      </c>
      <c r="AB783" s="8" t="str">
        <f aca="false">IF(AND(D783="Congé",F783="Congé"),0.333333333333333,IF(OR(AND(D783="Congé",F783&lt;&gt;"Congé"),(AND(F783="Congé",D783&lt;&gt;"Congé"))),0.166666666666667,""))</f>
        <v/>
      </c>
      <c r="AC783" s="8" t="str">
        <f aca="false">IF(AND(D783="Congé sans solde",F783="Congé sans solde"),0.333333333333333,IF(OR(AND(D783="Congé sans solde",F783&lt;&gt;"Congé sans solde"),(AND(F783="Congé sans solde",D783&lt;&gt;"Congé sans solde"))),0.166666666666667,""))</f>
        <v/>
      </c>
      <c r="AD783" s="8" t="str">
        <f aca="false">IF(AND(D783="Congé spécial",F783="Congé spécial"),0.333333333333333,IF(OR(AND(D783="Congé spécial",F783&lt;&gt;"Congé spécial"),AND(F783="Congé spécial",D783&lt;&gt;"Congé spécial")),0.166666666666667,""))</f>
        <v/>
      </c>
      <c r="AE783" s="8" t="str">
        <f aca="false">IF(AND(D783="Férié",F783="Férié"),0.333333333333333,IF(OR(AND(D783="Férié",F783&lt;&gt;"Férié"),(AND(F783="Férié",D783&lt;&gt;"Férié"))),0.166666666666667,""))</f>
        <v/>
      </c>
      <c r="AF783" s="18"/>
      <c r="AG783" s="18"/>
    </row>
    <row r="784" customFormat="false" ht="15" hidden="false" customHeight="false" outlineLevel="0" collapsed="false">
      <c r="A784" s="6" t="str">
        <f aca="false">YEAR(Q784-WEEKDAY(Q784,2)+4)&amp;"-S"&amp;TEXT(WEEKNUM(Q784,21),"00")</f>
        <v>2026-S25</v>
      </c>
      <c r="B784" s="18" t="s">
        <v>71</v>
      </c>
      <c r="C784" s="19" t="n">
        <v>0.332638888888889</v>
      </c>
      <c r="D784" s="19" t="n">
        <v>0.333333333333333</v>
      </c>
      <c r="E784" s="19" t="n">
        <v>0.708333333333333</v>
      </c>
      <c r="F784" s="19" t="n">
        <v>0.708333333333333</v>
      </c>
      <c r="G784" s="20"/>
      <c r="H784" s="20"/>
      <c r="I784" s="8" t="str">
        <f aca="false">IF(IF(OR(C784="",D784="Congé",D784="OFF",D784="Congé spécial"),"",IF(D784&gt;F784,D784-C784,IF(C784-D784&lt;0,0,C784-D784)))&lt;0.00068287037037037,"",IF(OR(D784="Congé",D784="OFF",C784="",D784="Congé spécial"),"",IF(D784&gt;F784,D784-C784,IF(C784-D784&lt;0,0,C784-D784))))</f>
        <v/>
      </c>
      <c r="J784" s="20"/>
      <c r="K784" s="8" t="n">
        <f aca="false">IF(SUM(H784:J784)&lt;0.00068287037037037,0,SUM(H784:J784))</f>
        <v>0</v>
      </c>
      <c r="L784" s="8" t="n">
        <f aca="false">IF(OR(F784="Congé",F784="OFF",M784="Abs",F784="Congé sans solde",F784="Férié",F784="Congé spécial",D784="Congé spécial"),0,IF(F784-E784&lt;0,0,IF(F784-E784&lt;=0.00068287037037037,0,F784-E784)))</f>
        <v>0</v>
      </c>
      <c r="M784" s="6" t="n">
        <f aca="false">IF(AND(O784&lt;&gt;0,C784=""),"Abs",0)</f>
        <v>0</v>
      </c>
      <c r="N784" s="8" t="n">
        <f aca="false">IFERROR(IF(OR(D784="OFF",D784="Congé",M784="Abs",D784="Congé sans solde",D784="Férié"),"",IF(O784-K784-L784&gt;O784,O784,IF(O784-K784-L784&lt;0,"",O784-K784-L784))),"")</f>
        <v>0.333333333333333</v>
      </c>
      <c r="O784" s="8" t="n">
        <f aca="false">IF(AG784="2H Pause déjeuner",IF(F784-D784-0.0833333333333333&lt;0,F784-D784-0.0833333333333333+1,F784-D784-0.0833333333333333),IF(OR(AND(F784="OFF",D784="OFF"),AND(F784="Congé",D784="Congé"),AND(F784="Congé sans solde",D784="Congé sans solde"),AND(F784="Congé spécial",D784="Congé spécial"),AND(F784="Férié",D784="Férié"),AND(F784="OFF",D784="Congé"),AND(F784="OFF",D784="Congé sans solde"),AND(F784="OFF",D784="Congé spécial"),AND(F784="OFF",D784="Férié"),AND(F784="Congé",D784="OFF"),AND(F784="Congé",D784="Congé sans solde"),AND(F784="Congé",D784="Congé spécial"),AND(F784="Congé",D784="Férié"),AND(F784="Congé sans solde",D784="OFF"),AND(F784="Congé sans solde",D784="Congé"),AND(F784="Congé sans solde",D784="Congé spécial"),AND(F784="Congé sans solde",D784="Férié"),AND(F784="Congé spécial",D784="OFF"),AND(F784="Congé spécial",D784="Congé"),AND(F784="Congé spécial",D784="Congé sans solde"),AND(F784="Congé spécial",D784="Férié"),AND(F784="Férié",D784="OFF"),AND(F784="Férié",D784="Congé"),AND(F784="Férié",D784="Congé sans solde"),AND(F784="Férié",D784="Congé spécial")),0,IF(OR(F784="OFF",F784="Congé",F784="Congé spécial",F784="Congé sans solde",D784="OFF",D784="Congé",D784="Congé spécial",D784="Congé sans solde"),0.208333333333334,IF(AND(AG784="",F784-D784&lt;0),("24:00:00"-D784)+("00:00:00"+F784)-0.0416666666666667,IF(AND(OR(AG784="Allaitement",AG784="Sans déjeuner"),F784-D784&lt;0),("24:00:00"-D784)+("00:00:00"+F784),IF(AND(AG784="",F784-D784&gt;0.166666666666667),F784-D784-0.0416666666666667,IF(AND(OR(AG784="Allaitement",AG784="Sans déjeuner"),F784-D784&gt;0.166666666666667),F784-D784,F784-D784)))))))</f>
        <v>0.333333333333333</v>
      </c>
      <c r="P784" s="6" t="str">
        <f aca="false">IFERROR(VLOOKUP($B784,Agents!$A:$D,2,0),"-")</f>
        <v>Accessibilité</v>
      </c>
      <c r="Q784" s="21" t="n">
        <v>46192</v>
      </c>
      <c r="R784" s="8" t="n">
        <f aca="false">IF(M784="Abs",O784,0)</f>
        <v>0</v>
      </c>
      <c r="S784" s="8" t="n">
        <f aca="false">SUM(R784,L784,I784,J784,W784,H784)</f>
        <v>0</v>
      </c>
      <c r="T784" s="6" t="str">
        <f aca="false">"Sem - "&amp;WEEKNUM(Q784,21)</f>
        <v>Sem - 25</v>
      </c>
      <c r="U784" s="6" t="str">
        <f aca="false">CHOOSE(MONTH(Q784),"Janvier","Février","Mars","Avril","Mai","Juin","Juillet","Août","Septembre","Octobre","Novembre","Décembre")</f>
        <v>Juin</v>
      </c>
      <c r="V784" s="22" t="n">
        <f aca="false">YEAR(Q784)</f>
        <v>2026</v>
      </c>
      <c r="W784" s="20"/>
      <c r="X784" s="8" t="n">
        <f aca="false">IFERROR(IF(M784="Abs",0,IF(ROUND((D784-C784+E784-F784)*1440,0)&lt;=1,0,D784-C784+E784-F784)),0)</f>
        <v>0</v>
      </c>
      <c r="Y784" s="6" t="str">
        <f aca="false">IFERROR(VLOOKUP($B784,Agents!$A:$D,3,0),"-")</f>
        <v>OUBRAHIM Mohammed</v>
      </c>
      <c r="Z784" s="6" t="str">
        <f aca="false">IFERROR(VLOOKUP($B784,Agents!$A:$D,4,0),"-")</f>
        <v>Credit Mutuel</v>
      </c>
      <c r="AA784" s="18" t="s">
        <v>107</v>
      </c>
      <c r="AB784" s="8" t="str">
        <f aca="false">IF(AND(D784="Congé",F784="Congé"),0.333333333333333,IF(OR(AND(D784="Congé",F784&lt;&gt;"Congé"),(AND(F784="Congé",D784&lt;&gt;"Congé"))),0.166666666666667,""))</f>
        <v/>
      </c>
      <c r="AC784" s="8" t="str">
        <f aca="false">IF(AND(D784="Congé sans solde",F784="Congé sans solde"),0.333333333333333,IF(OR(AND(D784="Congé sans solde",F784&lt;&gt;"Congé sans solde"),(AND(F784="Congé sans solde",D784&lt;&gt;"Congé sans solde"))),0.166666666666667,""))</f>
        <v/>
      </c>
      <c r="AD784" s="8" t="str">
        <f aca="false">IF(AND(D784="Congé spécial",F784="Congé spécial"),0.333333333333333,IF(OR(AND(D784="Congé spécial",F784&lt;&gt;"Congé spécial"),AND(F784="Congé spécial",D784&lt;&gt;"Congé spécial")),0.166666666666667,""))</f>
        <v/>
      </c>
      <c r="AE784" s="8" t="str">
        <f aca="false">IF(AND(D784="Férié",F784="Férié"),0.333333333333333,IF(OR(AND(D784="Férié",F784&lt;&gt;"Férié"),(AND(F784="Férié",D784&lt;&gt;"Férié"))),0.166666666666667,""))</f>
        <v/>
      </c>
      <c r="AF784" s="18"/>
      <c r="AG784" s="18"/>
    </row>
    <row r="785" customFormat="false" ht="15" hidden="false" customHeight="false" outlineLevel="0" collapsed="false">
      <c r="A785" s="6" t="str">
        <f aca="false">YEAR(Q785-WEEKDAY(Q785,2)+4)&amp;"-S"&amp;TEXT(WEEKNUM(Q785,21),"00")</f>
        <v>2026-S25</v>
      </c>
      <c r="B785" s="18" t="s">
        <v>72</v>
      </c>
      <c r="C785" s="19"/>
      <c r="D785" s="19" t="s">
        <v>83</v>
      </c>
      <c r="E785" s="19"/>
      <c r="F785" s="19" t="s">
        <v>83</v>
      </c>
      <c r="G785" s="20"/>
      <c r="H785" s="20"/>
      <c r="I785" s="8" t="str">
        <f aca="false">IF(IF(OR(C785="",D785="Congé",D785="OFF",D785="Congé spécial"),"",IF(D785&gt;F785,D785-C785,IF(C785-D785&lt;0,0,C785-D785)))&lt;0.00068287037037037,"",IF(OR(D785="Congé",D785="OFF",C785="",D785="Congé spécial"),"",IF(D785&gt;F785,D785-C785,IF(C785-D785&lt;0,0,C785-D785))))</f>
        <v/>
      </c>
      <c r="J785" s="20"/>
      <c r="K785" s="8" t="n">
        <f aca="false">IF(SUM(H785:J785)&lt;0.00068287037037037,0,SUM(H785:J785))</f>
        <v>0</v>
      </c>
      <c r="L785" s="8" t="n">
        <f aca="false">IF(OR(F785="Congé",F785="OFF",M785="Abs",F785="Congé sans solde",F785="Férié",F785="Congé spécial",D785="Congé spécial"),0,IF(F785-E785&lt;0,0,IF(F785-E785&lt;=0.00068287037037037,0,F785-E785)))</f>
        <v>0</v>
      </c>
      <c r="M785" s="6" t="n">
        <f aca="false">IF(AND(O785&lt;&gt;0,C785=""),"Abs",0)</f>
        <v>0</v>
      </c>
      <c r="N785" s="8" t="str">
        <f aca="false">IFERROR(IF(OR(D785="OFF",D785="Congé",M785="Abs",D785="Congé sans solde",D785="Férié"),"",IF(O785-K785-L785&gt;O785,O785,IF(O785-K785-L785&lt;0,"",O785-K785-L785))),"")</f>
        <v/>
      </c>
      <c r="O785" s="8" t="n">
        <f aca="false">IF(AG785="2H Pause déjeuner",IF(F785-D785-0.0833333333333333&lt;0,F785-D785-0.0833333333333333+1,F785-D785-0.0833333333333333),IF(OR(AND(F785="OFF",D785="OFF"),AND(F785="Congé",D785="Congé"),AND(F785="Congé sans solde",D785="Congé sans solde"),AND(F785="Congé spécial",D785="Congé spécial"),AND(F785="Férié",D785="Férié"),AND(F785="OFF",D785="Congé"),AND(F785="OFF",D785="Congé sans solde"),AND(F785="OFF",D785="Congé spécial"),AND(F785="OFF",D785="Férié"),AND(F785="Congé",D785="OFF"),AND(F785="Congé",D785="Congé sans solde"),AND(F785="Congé",D785="Congé spécial"),AND(F785="Congé",D785="Férié"),AND(F785="Congé sans solde",D785="OFF"),AND(F785="Congé sans solde",D785="Congé"),AND(F785="Congé sans solde",D785="Congé spécial"),AND(F785="Congé sans solde",D785="Férié"),AND(F785="Congé spécial",D785="OFF"),AND(F785="Congé spécial",D785="Congé"),AND(F785="Congé spécial",D785="Congé sans solde"),AND(F785="Congé spécial",D785="Férié"),AND(F785="Férié",D785="OFF"),AND(F785="Férié",D785="Congé"),AND(F785="Férié",D785="Congé sans solde"),AND(F785="Férié",D785="Congé spécial")),0,IF(OR(F785="OFF",F785="Congé",F785="Congé spécial",F785="Congé sans solde",D785="OFF",D785="Congé",D785="Congé spécial",D785="Congé sans solde"),0.208333333333334,IF(AND(AG785="",F785-D785&lt;0),("24:00:00"-D785)+("00:00:00"+F785)-0.0416666666666667,IF(AND(OR(AG785="Allaitement",AG785="Sans déjeuner"),F785-D785&lt;0),("24:00:00"-D785)+("00:00:00"+F785),IF(AND(AG785="",F785-D785&gt;0.166666666666667),F785-D785-0.0416666666666667,IF(AND(OR(AG785="Allaitement",AG785="Sans déjeuner"),F785-D785&gt;0.166666666666667),F785-D785,F785-D785)))))))</f>
        <v>0</v>
      </c>
      <c r="P785" s="6" t="str">
        <f aca="false">IFERROR(VLOOKUP($B785,Agents!$A:$D,2,0),"-")</f>
        <v>Accessibilité</v>
      </c>
      <c r="Q785" s="21" t="n">
        <v>46192</v>
      </c>
      <c r="R785" s="8" t="n">
        <f aca="false">IF(M785="Abs",O785,0)</f>
        <v>0</v>
      </c>
      <c r="S785" s="8" t="n">
        <f aca="false">SUM(R785,L785,I785,J785,W785,H785)</f>
        <v>0</v>
      </c>
      <c r="T785" s="6" t="str">
        <f aca="false">"Sem - "&amp;WEEKNUM(Q785,21)</f>
        <v>Sem - 25</v>
      </c>
      <c r="U785" s="6" t="str">
        <f aca="false">CHOOSE(MONTH(Q785),"Janvier","Février","Mars","Avril","Mai","Juin","Juillet","Août","Septembre","Octobre","Novembre","Décembre")</f>
        <v>Juin</v>
      </c>
      <c r="V785" s="22" t="n">
        <f aca="false">YEAR(Q785)</f>
        <v>2026</v>
      </c>
      <c r="W785" s="20"/>
      <c r="X785" s="8" t="n">
        <f aca="false">IFERROR(IF(M785="Abs",0,IF(ROUND((D785-C785+E785-F785)*1440,0)&lt;=1,0,D785-C785+E785-F785)),0)</f>
        <v>0</v>
      </c>
      <c r="Y785" s="6" t="str">
        <f aca="false">IFERROR(VLOOKUP($B785,Agents!$A:$D,3,0),"-")</f>
        <v>OUBRAHIM Mohammed</v>
      </c>
      <c r="Z785" s="6" t="str">
        <f aca="false">IFERROR(VLOOKUP($B785,Agents!$A:$D,4,0),"-")</f>
        <v>Credit Mutuel</v>
      </c>
      <c r="AA785" s="18" t="s">
        <v>107</v>
      </c>
      <c r="AB785" s="8" t="n">
        <f aca="false">IF(AND(D785="Congé",F785="Congé"),0.333333333333333,IF(OR(AND(D785="Congé",F785&lt;&gt;"Congé"),(AND(F785="Congé",D785&lt;&gt;"Congé"))),0.166666666666667,""))</f>
        <v>0.333333333333333</v>
      </c>
      <c r="AC785" s="8" t="str">
        <f aca="false">IF(AND(D785="Congé sans solde",F785="Congé sans solde"),0.333333333333333,IF(OR(AND(D785="Congé sans solde",F785&lt;&gt;"Congé sans solde"),(AND(F785="Congé sans solde",D785&lt;&gt;"Congé sans solde"))),0.166666666666667,""))</f>
        <v/>
      </c>
      <c r="AD785" s="8" t="str">
        <f aca="false">IF(AND(D785="Congé spécial",F785="Congé spécial"),0.333333333333333,IF(OR(AND(D785="Congé spécial",F785&lt;&gt;"Congé spécial"),AND(F785="Congé spécial",D785&lt;&gt;"Congé spécial")),0.166666666666667,""))</f>
        <v/>
      </c>
      <c r="AE785" s="8" t="str">
        <f aca="false">IF(AND(D785="Férié",F785="Férié"),0.333333333333333,IF(OR(AND(D785="Férié",F785&lt;&gt;"Férié"),(AND(F785="Férié",D785&lt;&gt;"Férié"))),0.166666666666667,""))</f>
        <v/>
      </c>
      <c r="AF785" s="18"/>
      <c r="AG785" s="18"/>
    </row>
    <row r="786" customFormat="false" ht="15" hidden="false" customHeight="false" outlineLevel="0" collapsed="false">
      <c r="A786" s="6" t="str">
        <f aca="false">YEAR(Q786-WEEKDAY(Q786,2)+4)&amp;"-S"&amp;TEXT(WEEKNUM(Q786,21),"00")</f>
        <v>2026-S25</v>
      </c>
      <c r="B786" s="18" t="s">
        <v>73</v>
      </c>
      <c r="C786" s="19" t="n">
        <v>0.332638888888889</v>
      </c>
      <c r="D786" s="19" t="n">
        <v>0.333333333333333</v>
      </c>
      <c r="E786" s="19" t="n">
        <v>0.708333333333333</v>
      </c>
      <c r="F786" s="19" t="n">
        <v>0.708333333333333</v>
      </c>
      <c r="G786" s="20"/>
      <c r="H786" s="20"/>
      <c r="I786" s="8" t="str">
        <f aca="false">IF(IF(OR(C786="",D786="Congé",D786="OFF",D786="Congé spécial"),"",IF(D786&gt;F786,D786-C786,IF(C786-D786&lt;0,0,C786-D786)))&lt;0.00068287037037037,"",IF(OR(D786="Congé",D786="OFF",C786="",D786="Congé spécial"),"",IF(D786&gt;F786,D786-C786,IF(C786-D786&lt;0,0,C786-D786))))</f>
        <v/>
      </c>
      <c r="J786" s="20"/>
      <c r="K786" s="8" t="n">
        <f aca="false">IF(SUM(H786:J786)&lt;0.00068287037037037,0,SUM(H786:J786))</f>
        <v>0</v>
      </c>
      <c r="L786" s="8" t="n">
        <f aca="false">IF(OR(F786="Congé",F786="OFF",M786="Abs",F786="Congé sans solde",F786="Férié",F786="Congé spécial",D786="Congé spécial"),0,IF(F786-E786&lt;0,0,IF(F786-E786&lt;=0.00068287037037037,0,F786-E786)))</f>
        <v>0</v>
      </c>
      <c r="M786" s="6" t="n">
        <f aca="false">IF(AND(O786&lt;&gt;0,C786=""),"Abs",0)</f>
        <v>0</v>
      </c>
      <c r="N786" s="8" t="n">
        <f aca="false">IFERROR(IF(OR(D786="OFF",D786="Congé",M786="Abs",D786="Congé sans solde",D786="Férié"),"",IF(O786-K786-L786&gt;O786,O786,IF(O786-K786-L786&lt;0,"",O786-K786-L786))),"")</f>
        <v>0.333333333333333</v>
      </c>
      <c r="O786" s="8" t="n">
        <f aca="false">IF(AG786="2H Pause déjeuner",IF(F786-D786-0.0833333333333333&lt;0,F786-D786-0.0833333333333333+1,F786-D786-0.0833333333333333),IF(OR(AND(F786="OFF",D786="OFF"),AND(F786="Congé",D786="Congé"),AND(F786="Congé sans solde",D786="Congé sans solde"),AND(F786="Congé spécial",D786="Congé spécial"),AND(F786="Férié",D786="Férié"),AND(F786="OFF",D786="Congé"),AND(F786="OFF",D786="Congé sans solde"),AND(F786="OFF",D786="Congé spécial"),AND(F786="OFF",D786="Férié"),AND(F786="Congé",D786="OFF"),AND(F786="Congé",D786="Congé sans solde"),AND(F786="Congé",D786="Congé spécial"),AND(F786="Congé",D786="Férié"),AND(F786="Congé sans solde",D786="OFF"),AND(F786="Congé sans solde",D786="Congé"),AND(F786="Congé sans solde",D786="Congé spécial"),AND(F786="Congé sans solde",D786="Férié"),AND(F786="Congé spécial",D786="OFF"),AND(F786="Congé spécial",D786="Congé"),AND(F786="Congé spécial",D786="Congé sans solde"),AND(F786="Congé spécial",D786="Férié"),AND(F786="Férié",D786="OFF"),AND(F786="Férié",D786="Congé"),AND(F786="Férié",D786="Congé sans solde"),AND(F786="Férié",D786="Congé spécial")),0,IF(OR(F786="OFF",F786="Congé",F786="Congé spécial",F786="Congé sans solde",D786="OFF",D786="Congé",D786="Congé spécial",D786="Congé sans solde"),0.208333333333334,IF(AND(AG786="",F786-D786&lt;0),("24:00:00"-D786)+("00:00:00"+F786)-0.0416666666666667,IF(AND(OR(AG786="Allaitement",AG786="Sans déjeuner"),F786-D786&lt;0),("24:00:00"-D786)+("00:00:00"+F786),IF(AND(AG786="",F786-D786&gt;0.166666666666667),F786-D786-0.0416666666666667,IF(AND(OR(AG786="Allaitement",AG786="Sans déjeuner"),F786-D786&gt;0.166666666666667),F786-D786,F786-D786)))))))</f>
        <v>0.333333333333333</v>
      </c>
      <c r="P786" s="6" t="str">
        <f aca="false">IFERROR(VLOOKUP($B786,Agents!$A:$D,2,0),"-")</f>
        <v>Accessibilité</v>
      </c>
      <c r="Q786" s="21" t="n">
        <v>46192</v>
      </c>
      <c r="R786" s="8" t="n">
        <f aca="false">IF(M786="Abs",O786,0)</f>
        <v>0</v>
      </c>
      <c r="S786" s="8" t="n">
        <f aca="false">SUM(R786,L786,I786,J786,W786,H786)</f>
        <v>0</v>
      </c>
      <c r="T786" s="6" t="str">
        <f aca="false">"Sem - "&amp;WEEKNUM(Q786,21)</f>
        <v>Sem - 25</v>
      </c>
      <c r="U786" s="6" t="str">
        <f aca="false">CHOOSE(MONTH(Q786),"Janvier","Février","Mars","Avril","Mai","Juin","Juillet","Août","Septembre","Octobre","Novembre","Décembre")</f>
        <v>Juin</v>
      </c>
      <c r="V786" s="22" t="n">
        <f aca="false">YEAR(Q786)</f>
        <v>2026</v>
      </c>
      <c r="W786" s="20"/>
      <c r="X786" s="8" t="n">
        <f aca="false">IFERROR(IF(M786="Abs",0,IF(ROUND((D786-C786+E786-F786)*1440,0)&lt;=1,0,D786-C786+E786-F786)),0)</f>
        <v>0</v>
      </c>
      <c r="Y786" s="6" t="str">
        <f aca="false">IFERROR(VLOOKUP($B786,Agents!$A:$D,3,0),"-")</f>
        <v>OUBRAHIM Mohammed</v>
      </c>
      <c r="Z786" s="6" t="str">
        <f aca="false">IFERROR(VLOOKUP($B786,Agents!$A:$D,4,0),"-")</f>
        <v>Credit Mutuel</v>
      </c>
      <c r="AA786" s="18" t="s">
        <v>107</v>
      </c>
      <c r="AB786" s="8" t="str">
        <f aca="false">IF(AND(D786="Congé",F786="Congé"),0.333333333333333,IF(OR(AND(D786="Congé",F786&lt;&gt;"Congé"),(AND(F786="Congé",D786&lt;&gt;"Congé"))),0.166666666666667,""))</f>
        <v/>
      </c>
      <c r="AC786" s="8" t="str">
        <f aca="false">IF(AND(D786="Congé sans solde",F786="Congé sans solde"),0.333333333333333,IF(OR(AND(D786="Congé sans solde",F786&lt;&gt;"Congé sans solde"),(AND(F786="Congé sans solde",D786&lt;&gt;"Congé sans solde"))),0.166666666666667,""))</f>
        <v/>
      </c>
      <c r="AD786" s="8" t="str">
        <f aca="false">IF(AND(D786="Congé spécial",F786="Congé spécial"),0.333333333333333,IF(OR(AND(D786="Congé spécial",F786&lt;&gt;"Congé spécial"),AND(F786="Congé spécial",D786&lt;&gt;"Congé spécial")),0.166666666666667,""))</f>
        <v/>
      </c>
      <c r="AE786" s="8" t="str">
        <f aca="false">IF(AND(D786="Férié",F786="Férié"),0.333333333333333,IF(OR(AND(D786="Férié",F786&lt;&gt;"Férié"),(AND(F786="Férié",D786&lt;&gt;"Férié"))),0.166666666666667,""))</f>
        <v/>
      </c>
      <c r="AF786" s="18"/>
      <c r="AG786" s="18"/>
    </row>
    <row r="787" customFormat="false" ht="15" hidden="false" customHeight="false" outlineLevel="0" collapsed="false">
      <c r="A787" s="6" t="str">
        <f aca="false">YEAR(Q787-WEEKDAY(Q787,2)+4)&amp;"-S"&amp;TEXT(WEEKNUM(Q787,21),"00")</f>
        <v>2026-S25</v>
      </c>
      <c r="B787" s="18" t="s">
        <v>71</v>
      </c>
      <c r="C787" s="19"/>
      <c r="D787" s="19" t="s">
        <v>74</v>
      </c>
      <c r="E787" s="19"/>
      <c r="F787" s="19" t="s">
        <v>74</v>
      </c>
      <c r="G787" s="20"/>
      <c r="H787" s="20"/>
      <c r="I787" s="8" t="str">
        <f aca="false">IF(IF(OR(C787="",D787="Congé",D787="OFF",D787="Congé spécial"),"",IF(D787&gt;F787,D787-C787,IF(C787-D787&lt;0,0,C787-D787)))&lt;0.00068287037037037,"",IF(OR(D787="Congé",D787="OFF",C787="",D787="Congé spécial"),"",IF(D787&gt;F787,D787-C787,IF(C787-D787&lt;0,0,C787-D787))))</f>
        <v/>
      </c>
      <c r="J787" s="20"/>
      <c r="K787" s="8" t="n">
        <f aca="false">IF(SUM(H787:J787)&lt;0.00068287037037037,0,SUM(H787:J787))</f>
        <v>0</v>
      </c>
      <c r="L787" s="8" t="n">
        <f aca="false">IF(OR(F787="Congé",F787="OFF",M787="Abs",F787="Congé sans solde",F787="Férié",F787="Congé spécial",D787="Congé spécial"),0,IF(F787-E787&lt;0,0,IF(F787-E787&lt;=0.00068287037037037,0,F787-E787)))</f>
        <v>0</v>
      </c>
      <c r="M787" s="6" t="n">
        <f aca="false">IF(AND(O787&lt;&gt;0,C787=""),"Abs",0)</f>
        <v>0</v>
      </c>
      <c r="N787" s="8" t="str">
        <f aca="false">IFERROR(IF(OR(D787="OFF",D787="Congé",M787="Abs",D787="Congé sans solde",D787="Férié"),"",IF(O787-K787-L787&gt;O787,O787,IF(O787-K787-L787&lt;0,"",O787-K787-L787))),"")</f>
        <v/>
      </c>
      <c r="O787" s="8" t="n">
        <f aca="false">IF(AG787="2H Pause déjeuner",IF(F787-D787-0.0833333333333333&lt;0,F787-D787-0.0833333333333333+1,F787-D787-0.0833333333333333),IF(OR(AND(F787="OFF",D787="OFF"),AND(F787="Congé",D787="Congé"),AND(F787="Congé sans solde",D787="Congé sans solde"),AND(F787="Congé spécial",D787="Congé spécial"),AND(F787="Férié",D787="Férié"),AND(F787="OFF",D787="Congé"),AND(F787="OFF",D787="Congé sans solde"),AND(F787="OFF",D787="Congé spécial"),AND(F787="OFF",D787="Férié"),AND(F787="Congé",D787="OFF"),AND(F787="Congé",D787="Congé sans solde"),AND(F787="Congé",D787="Congé spécial"),AND(F787="Congé",D787="Férié"),AND(F787="Congé sans solde",D787="OFF"),AND(F787="Congé sans solde",D787="Congé"),AND(F787="Congé sans solde",D787="Congé spécial"),AND(F787="Congé sans solde",D787="Férié"),AND(F787="Congé spécial",D787="OFF"),AND(F787="Congé spécial",D787="Congé"),AND(F787="Congé spécial",D787="Congé sans solde"),AND(F787="Congé spécial",D787="Férié"),AND(F787="Férié",D787="OFF"),AND(F787="Férié",D787="Congé"),AND(F787="Férié",D787="Congé sans solde"),AND(F787="Férié",D787="Congé spécial")),0,IF(OR(F787="OFF",F787="Congé",F787="Congé spécial",F787="Congé sans solde",D787="OFF",D787="Congé",D787="Congé spécial",D787="Congé sans solde"),0.208333333333334,IF(AND(AG787="",F787-D787&lt;0),("24:00:00"-D787)+("00:00:00"+F787)-0.0416666666666667,IF(AND(OR(AG787="Allaitement",AG787="Sans déjeuner"),F787-D787&lt;0),("24:00:00"-D787)+("00:00:00"+F787),IF(AND(AG787="",F787-D787&gt;0.166666666666667),F787-D787-0.0416666666666667,IF(AND(OR(AG787="Allaitement",AG787="Sans déjeuner"),F787-D787&gt;0.166666666666667),F787-D787,F787-D787)))))))</f>
        <v>0</v>
      </c>
      <c r="P787" s="6" t="str">
        <f aca="false">IFERROR(VLOOKUP($B787,Agents!$A:$D,2,0),"-")</f>
        <v>Accessibilité</v>
      </c>
      <c r="Q787" s="21" t="n">
        <v>46193</v>
      </c>
      <c r="R787" s="8" t="n">
        <f aca="false">IF(M787="Abs",O787,0)</f>
        <v>0</v>
      </c>
      <c r="S787" s="8" t="n">
        <f aca="false">SUM(R787,L787,I787,J787,W787,H787)</f>
        <v>0</v>
      </c>
      <c r="T787" s="6" t="str">
        <f aca="false">"Sem - "&amp;WEEKNUM(Q787,21)</f>
        <v>Sem - 25</v>
      </c>
      <c r="U787" s="6" t="str">
        <f aca="false">CHOOSE(MONTH(Q787),"Janvier","Février","Mars","Avril","Mai","Juin","Juillet","Août","Septembre","Octobre","Novembre","Décembre")</f>
        <v>Juin</v>
      </c>
      <c r="V787" s="22" t="n">
        <f aca="false">YEAR(Q787)</f>
        <v>2026</v>
      </c>
      <c r="W787" s="20"/>
      <c r="X787" s="8" t="n">
        <f aca="false">IFERROR(IF(M787="Abs",0,IF(ROUND((D787-C787+E787-F787)*1440,0)&lt;=1,0,D787-C787+E787-F787)),0)</f>
        <v>0</v>
      </c>
      <c r="Y787" s="6" t="str">
        <f aca="false">IFERROR(VLOOKUP($B787,Agents!$A:$D,3,0),"-")</f>
        <v>OUBRAHIM Mohammed</v>
      </c>
      <c r="Z787" s="6" t="str">
        <f aca="false">IFERROR(VLOOKUP($B787,Agents!$A:$D,4,0),"-")</f>
        <v>Credit Mutuel</v>
      </c>
      <c r="AA787" s="18" t="s">
        <v>107</v>
      </c>
      <c r="AB787" s="8" t="str">
        <f aca="false">IF(AND(D787="Congé",F787="Congé"),0.333333333333333,IF(OR(AND(D787="Congé",F787&lt;&gt;"Congé"),(AND(F787="Congé",D787&lt;&gt;"Congé"))),0.166666666666667,""))</f>
        <v/>
      </c>
      <c r="AC787" s="8" t="str">
        <f aca="false">IF(AND(D787="Congé sans solde",F787="Congé sans solde"),0.333333333333333,IF(OR(AND(D787="Congé sans solde",F787&lt;&gt;"Congé sans solde"),(AND(F787="Congé sans solde",D787&lt;&gt;"Congé sans solde"))),0.166666666666667,""))</f>
        <v/>
      </c>
      <c r="AD787" s="8" t="str">
        <f aca="false">IF(AND(D787="Congé spécial",F787="Congé spécial"),0.333333333333333,IF(OR(AND(D787="Congé spécial",F787&lt;&gt;"Congé spécial"),AND(F787="Congé spécial",D787&lt;&gt;"Congé spécial")),0.166666666666667,""))</f>
        <v/>
      </c>
      <c r="AE787" s="8" t="str">
        <f aca="false">IF(AND(D787="Férié",F787="Férié"),0.333333333333333,IF(OR(AND(D787="Férié",F787&lt;&gt;"Férié"),(AND(F787="Férié",D787&lt;&gt;"Férié"))),0.166666666666667,""))</f>
        <v/>
      </c>
      <c r="AF787" s="18"/>
      <c r="AG787" s="18"/>
    </row>
    <row r="788" customFormat="false" ht="15" hidden="false" customHeight="false" outlineLevel="0" collapsed="false">
      <c r="A788" s="6" t="str">
        <f aca="false">YEAR(Q788-WEEKDAY(Q788,2)+4)&amp;"-S"&amp;TEXT(WEEKNUM(Q788,21),"00")</f>
        <v>2026-S25</v>
      </c>
      <c r="B788" s="18" t="s">
        <v>72</v>
      </c>
      <c r="C788" s="19"/>
      <c r="D788" s="19" t="s">
        <v>74</v>
      </c>
      <c r="E788" s="19"/>
      <c r="F788" s="19" t="s">
        <v>74</v>
      </c>
      <c r="G788" s="20"/>
      <c r="H788" s="20"/>
      <c r="I788" s="8" t="str">
        <f aca="false">IF(IF(OR(C788="",D788="Congé",D788="OFF",D788="Congé spécial"),"",IF(D788&gt;F788,D788-C788,IF(C788-D788&lt;0,0,C788-D788)))&lt;0.00068287037037037,"",IF(OR(D788="Congé",D788="OFF",C788="",D788="Congé spécial"),"",IF(D788&gt;F788,D788-C788,IF(C788-D788&lt;0,0,C788-D788))))</f>
        <v/>
      </c>
      <c r="J788" s="20"/>
      <c r="K788" s="8" t="n">
        <f aca="false">IF(SUM(H788:J788)&lt;0.00068287037037037,0,SUM(H788:J788))</f>
        <v>0</v>
      </c>
      <c r="L788" s="8" t="n">
        <f aca="false">IF(OR(F788="Congé",F788="OFF",M788="Abs",F788="Congé sans solde",F788="Férié",F788="Congé spécial",D788="Congé spécial"),0,IF(F788-E788&lt;0,0,IF(F788-E788&lt;=0.00068287037037037,0,F788-E788)))</f>
        <v>0</v>
      </c>
      <c r="M788" s="6" t="n">
        <f aca="false">IF(AND(O788&lt;&gt;0,C788=""),"Abs",0)</f>
        <v>0</v>
      </c>
      <c r="N788" s="8" t="str">
        <f aca="false">IFERROR(IF(OR(D788="OFF",D788="Congé",M788="Abs",D788="Congé sans solde",D788="Férié"),"",IF(O788-K788-L788&gt;O788,O788,IF(O788-K788-L788&lt;0,"",O788-K788-L788))),"")</f>
        <v/>
      </c>
      <c r="O788" s="8" t="n">
        <f aca="false">IF(AG788="2H Pause déjeuner",IF(F788-D788-0.0833333333333333&lt;0,F788-D788-0.0833333333333333+1,F788-D788-0.0833333333333333),IF(OR(AND(F788="OFF",D788="OFF"),AND(F788="Congé",D788="Congé"),AND(F788="Congé sans solde",D788="Congé sans solde"),AND(F788="Congé spécial",D788="Congé spécial"),AND(F788="Férié",D788="Férié"),AND(F788="OFF",D788="Congé"),AND(F788="OFF",D788="Congé sans solde"),AND(F788="OFF",D788="Congé spécial"),AND(F788="OFF",D788="Férié"),AND(F788="Congé",D788="OFF"),AND(F788="Congé",D788="Congé sans solde"),AND(F788="Congé",D788="Congé spécial"),AND(F788="Congé",D788="Férié"),AND(F788="Congé sans solde",D788="OFF"),AND(F788="Congé sans solde",D788="Congé"),AND(F788="Congé sans solde",D788="Congé spécial"),AND(F788="Congé sans solde",D788="Férié"),AND(F788="Congé spécial",D788="OFF"),AND(F788="Congé spécial",D788="Congé"),AND(F788="Congé spécial",D788="Congé sans solde"),AND(F788="Congé spécial",D788="Férié"),AND(F788="Férié",D788="OFF"),AND(F788="Férié",D788="Congé"),AND(F788="Férié",D788="Congé sans solde"),AND(F788="Férié",D788="Congé spécial")),0,IF(OR(F788="OFF",F788="Congé",F788="Congé spécial",F788="Congé sans solde",D788="OFF",D788="Congé",D788="Congé spécial",D788="Congé sans solde"),0.208333333333334,IF(AND(AG788="",F788-D788&lt;0),("24:00:00"-D788)+("00:00:00"+F788)-0.0416666666666667,IF(AND(OR(AG788="Allaitement",AG788="Sans déjeuner"),F788-D788&lt;0),("24:00:00"-D788)+("00:00:00"+F788),IF(AND(AG788="",F788-D788&gt;0.166666666666667),F788-D788-0.0416666666666667,IF(AND(OR(AG788="Allaitement",AG788="Sans déjeuner"),F788-D788&gt;0.166666666666667),F788-D788,F788-D788)))))))</f>
        <v>0</v>
      </c>
      <c r="P788" s="6" t="str">
        <f aca="false">IFERROR(VLOOKUP($B788,Agents!$A:$D,2,0),"-")</f>
        <v>Accessibilité</v>
      </c>
      <c r="Q788" s="21" t="n">
        <v>46193</v>
      </c>
      <c r="R788" s="8" t="n">
        <f aca="false">IF(M788="Abs",O788,0)</f>
        <v>0</v>
      </c>
      <c r="S788" s="8" t="n">
        <f aca="false">SUM(R788,L788,I788,J788,W788,H788)</f>
        <v>0</v>
      </c>
      <c r="T788" s="6" t="str">
        <f aca="false">"Sem - "&amp;WEEKNUM(Q788,21)</f>
        <v>Sem - 25</v>
      </c>
      <c r="U788" s="6" t="str">
        <f aca="false">CHOOSE(MONTH(Q788),"Janvier","Février","Mars","Avril","Mai","Juin","Juillet","Août","Septembre","Octobre","Novembre","Décembre")</f>
        <v>Juin</v>
      </c>
      <c r="V788" s="22" t="n">
        <f aca="false">YEAR(Q788)</f>
        <v>2026</v>
      </c>
      <c r="W788" s="20"/>
      <c r="X788" s="8" t="n">
        <f aca="false">IFERROR(IF(M788="Abs",0,IF(ROUND((D788-C788+E788-F788)*1440,0)&lt;=1,0,D788-C788+E788-F788)),0)</f>
        <v>0</v>
      </c>
      <c r="Y788" s="6" t="str">
        <f aca="false">IFERROR(VLOOKUP($B788,Agents!$A:$D,3,0),"-")</f>
        <v>OUBRAHIM Mohammed</v>
      </c>
      <c r="Z788" s="6" t="str">
        <f aca="false">IFERROR(VLOOKUP($B788,Agents!$A:$D,4,0),"-")</f>
        <v>Credit Mutuel</v>
      </c>
      <c r="AA788" s="18" t="s">
        <v>107</v>
      </c>
      <c r="AB788" s="8" t="str">
        <f aca="false">IF(AND(D788="Congé",F788="Congé"),0.333333333333333,IF(OR(AND(D788="Congé",F788&lt;&gt;"Congé"),(AND(F788="Congé",D788&lt;&gt;"Congé"))),0.166666666666667,""))</f>
        <v/>
      </c>
      <c r="AC788" s="8" t="str">
        <f aca="false">IF(AND(D788="Congé sans solde",F788="Congé sans solde"),0.333333333333333,IF(OR(AND(D788="Congé sans solde",F788&lt;&gt;"Congé sans solde"),(AND(F788="Congé sans solde",D788&lt;&gt;"Congé sans solde"))),0.166666666666667,""))</f>
        <v/>
      </c>
      <c r="AD788" s="8" t="str">
        <f aca="false">IF(AND(D788="Congé spécial",F788="Congé spécial"),0.333333333333333,IF(OR(AND(D788="Congé spécial",F788&lt;&gt;"Congé spécial"),AND(F788="Congé spécial",D788&lt;&gt;"Congé spécial")),0.166666666666667,""))</f>
        <v/>
      </c>
      <c r="AE788" s="8" t="str">
        <f aca="false">IF(AND(D788="Férié",F788="Férié"),0.333333333333333,IF(OR(AND(D788="Férié",F788&lt;&gt;"Férié"),(AND(F788="Férié",D788&lt;&gt;"Férié"))),0.166666666666667,""))</f>
        <v/>
      </c>
      <c r="AF788" s="18"/>
      <c r="AG788" s="18"/>
    </row>
    <row r="789" customFormat="false" ht="15" hidden="false" customHeight="false" outlineLevel="0" collapsed="false">
      <c r="A789" s="6" t="str">
        <f aca="false">YEAR(Q789-WEEKDAY(Q789,2)+4)&amp;"-S"&amp;TEXT(WEEKNUM(Q789,21),"00")</f>
        <v>2026-S25</v>
      </c>
      <c r="B789" s="18" t="s">
        <v>73</v>
      </c>
      <c r="C789" s="19"/>
      <c r="D789" s="19" t="s">
        <v>74</v>
      </c>
      <c r="E789" s="19"/>
      <c r="F789" s="19" t="s">
        <v>74</v>
      </c>
      <c r="G789" s="20"/>
      <c r="H789" s="20"/>
      <c r="I789" s="8" t="str">
        <f aca="false">IF(IF(OR(C789="",D789="Congé",D789="OFF",D789="Congé spécial"),"",IF(D789&gt;F789,D789-C789,IF(C789-D789&lt;0,0,C789-D789)))&lt;0.00068287037037037,"",IF(OR(D789="Congé",D789="OFF",C789="",D789="Congé spécial"),"",IF(D789&gt;F789,D789-C789,IF(C789-D789&lt;0,0,C789-D789))))</f>
        <v/>
      </c>
      <c r="J789" s="20"/>
      <c r="K789" s="8" t="n">
        <f aca="false">IF(SUM(H789:J789)&lt;0.00068287037037037,0,SUM(H789:J789))</f>
        <v>0</v>
      </c>
      <c r="L789" s="8" t="n">
        <f aca="false">IF(OR(F789="Congé",F789="OFF",M789="Abs",F789="Congé sans solde",F789="Férié",F789="Congé spécial",D789="Congé spécial"),0,IF(F789-E789&lt;0,0,IF(F789-E789&lt;=0.00068287037037037,0,F789-E789)))</f>
        <v>0</v>
      </c>
      <c r="M789" s="6" t="n">
        <f aca="false">IF(AND(O789&lt;&gt;0,C789=""),"Abs",0)</f>
        <v>0</v>
      </c>
      <c r="N789" s="8" t="str">
        <f aca="false">IFERROR(IF(OR(D789="OFF",D789="Congé",M789="Abs",D789="Congé sans solde",D789="Férié"),"",IF(O789-K789-L789&gt;O789,O789,IF(O789-K789-L789&lt;0,"",O789-K789-L789))),"")</f>
        <v/>
      </c>
      <c r="O789" s="8" t="n">
        <f aca="false">IF(AG789="2H Pause déjeuner",IF(F789-D789-0.0833333333333333&lt;0,F789-D789-0.0833333333333333+1,F789-D789-0.0833333333333333),IF(OR(AND(F789="OFF",D789="OFF"),AND(F789="Congé",D789="Congé"),AND(F789="Congé sans solde",D789="Congé sans solde"),AND(F789="Congé spécial",D789="Congé spécial"),AND(F789="Férié",D789="Férié"),AND(F789="OFF",D789="Congé"),AND(F789="OFF",D789="Congé sans solde"),AND(F789="OFF",D789="Congé spécial"),AND(F789="OFF",D789="Férié"),AND(F789="Congé",D789="OFF"),AND(F789="Congé",D789="Congé sans solde"),AND(F789="Congé",D789="Congé spécial"),AND(F789="Congé",D789="Férié"),AND(F789="Congé sans solde",D789="OFF"),AND(F789="Congé sans solde",D789="Congé"),AND(F789="Congé sans solde",D789="Congé spécial"),AND(F789="Congé sans solde",D789="Férié"),AND(F789="Congé spécial",D789="OFF"),AND(F789="Congé spécial",D789="Congé"),AND(F789="Congé spécial",D789="Congé sans solde"),AND(F789="Congé spécial",D789="Férié"),AND(F789="Férié",D789="OFF"),AND(F789="Férié",D789="Congé"),AND(F789="Férié",D789="Congé sans solde"),AND(F789="Férié",D789="Congé spécial")),0,IF(OR(F789="OFF",F789="Congé",F789="Congé spécial",F789="Congé sans solde",D789="OFF",D789="Congé",D789="Congé spécial",D789="Congé sans solde"),0.208333333333334,IF(AND(AG789="",F789-D789&lt;0),("24:00:00"-D789)+("00:00:00"+F789)-0.0416666666666667,IF(AND(OR(AG789="Allaitement",AG789="Sans déjeuner"),F789-D789&lt;0),("24:00:00"-D789)+("00:00:00"+F789),IF(AND(AG789="",F789-D789&gt;0.166666666666667),F789-D789-0.0416666666666667,IF(AND(OR(AG789="Allaitement",AG789="Sans déjeuner"),F789-D789&gt;0.166666666666667),F789-D789,F789-D789)))))))</f>
        <v>0</v>
      </c>
      <c r="P789" s="6" t="str">
        <f aca="false">IFERROR(VLOOKUP($B789,Agents!$A:$D,2,0),"-")</f>
        <v>Accessibilité</v>
      </c>
      <c r="Q789" s="21" t="n">
        <v>46193</v>
      </c>
      <c r="R789" s="8" t="n">
        <f aca="false">IF(M789="Abs",O789,0)</f>
        <v>0</v>
      </c>
      <c r="S789" s="8" t="n">
        <f aca="false">SUM(R789,L789,I789,J789,W789,H789)</f>
        <v>0</v>
      </c>
      <c r="T789" s="6" t="str">
        <f aca="false">"Sem - "&amp;WEEKNUM(Q789,21)</f>
        <v>Sem - 25</v>
      </c>
      <c r="U789" s="6" t="str">
        <f aca="false">CHOOSE(MONTH(Q789),"Janvier","Février","Mars","Avril","Mai","Juin","Juillet","Août","Septembre","Octobre","Novembre","Décembre")</f>
        <v>Juin</v>
      </c>
      <c r="V789" s="22" t="n">
        <f aca="false">YEAR(Q789)</f>
        <v>2026</v>
      </c>
      <c r="W789" s="20"/>
      <c r="X789" s="8" t="n">
        <f aca="false">IFERROR(IF(M789="Abs",0,IF(ROUND((D789-C789+E789-F789)*1440,0)&lt;=1,0,D789-C789+E789-F789)),0)</f>
        <v>0</v>
      </c>
      <c r="Y789" s="6" t="str">
        <f aca="false">IFERROR(VLOOKUP($B789,Agents!$A:$D,3,0),"-")</f>
        <v>OUBRAHIM Mohammed</v>
      </c>
      <c r="Z789" s="6" t="str">
        <f aca="false">IFERROR(VLOOKUP($B789,Agents!$A:$D,4,0),"-")</f>
        <v>Credit Mutuel</v>
      </c>
      <c r="AA789" s="18" t="s">
        <v>107</v>
      </c>
      <c r="AB789" s="8" t="str">
        <f aca="false">IF(AND(D789="Congé",F789="Congé"),0.333333333333333,IF(OR(AND(D789="Congé",F789&lt;&gt;"Congé"),(AND(F789="Congé",D789&lt;&gt;"Congé"))),0.166666666666667,""))</f>
        <v/>
      </c>
      <c r="AC789" s="8" t="str">
        <f aca="false">IF(AND(D789="Congé sans solde",F789="Congé sans solde"),0.333333333333333,IF(OR(AND(D789="Congé sans solde",F789&lt;&gt;"Congé sans solde"),(AND(F789="Congé sans solde",D789&lt;&gt;"Congé sans solde"))),0.166666666666667,""))</f>
        <v/>
      </c>
      <c r="AD789" s="8" t="str">
        <f aca="false">IF(AND(D789="Congé spécial",F789="Congé spécial"),0.333333333333333,IF(OR(AND(D789="Congé spécial",F789&lt;&gt;"Congé spécial"),AND(F789="Congé spécial",D789&lt;&gt;"Congé spécial")),0.166666666666667,""))</f>
        <v/>
      </c>
      <c r="AE789" s="8" t="str">
        <f aca="false">IF(AND(D789="Férié",F789="Férié"),0.333333333333333,IF(OR(AND(D789="Férié",F789&lt;&gt;"Férié"),(AND(F789="Férié",D789&lt;&gt;"Férié"))),0.166666666666667,""))</f>
        <v/>
      </c>
      <c r="AF789" s="18"/>
      <c r="AG789" s="18"/>
    </row>
    <row r="790" customFormat="false" ht="15" hidden="false" customHeight="false" outlineLevel="0" collapsed="false">
      <c r="A790" s="6" t="str">
        <f aca="false">YEAR(Q790-WEEKDAY(Q790,2)+4)&amp;"-S"&amp;TEXT(WEEKNUM(Q790,21),"00")</f>
        <v>2026-S25</v>
      </c>
      <c r="B790" s="18" t="s">
        <v>71</v>
      </c>
      <c r="C790" s="19"/>
      <c r="D790" s="19" t="s">
        <v>74</v>
      </c>
      <c r="E790" s="19"/>
      <c r="F790" s="19" t="s">
        <v>74</v>
      </c>
      <c r="G790" s="20"/>
      <c r="H790" s="20"/>
      <c r="I790" s="8" t="str">
        <f aca="false">IF(IF(OR(C790="",D790="Congé",D790="OFF",D790="Congé spécial"),"",IF(D790&gt;F790,D790-C790,IF(C790-D790&lt;0,0,C790-D790)))&lt;0.00068287037037037,"",IF(OR(D790="Congé",D790="OFF",C790="",D790="Congé spécial"),"",IF(D790&gt;F790,D790-C790,IF(C790-D790&lt;0,0,C790-D790))))</f>
        <v/>
      </c>
      <c r="J790" s="20"/>
      <c r="K790" s="8" t="n">
        <f aca="false">IF(SUM(H790:J790)&lt;0.00068287037037037,0,SUM(H790:J790))</f>
        <v>0</v>
      </c>
      <c r="L790" s="8" t="n">
        <f aca="false">IF(OR(F790="Congé",F790="OFF",M790="Abs",F790="Congé sans solde",F790="Férié",F790="Congé spécial",D790="Congé spécial"),0,IF(F790-E790&lt;0,0,IF(F790-E790&lt;=0.00068287037037037,0,F790-E790)))</f>
        <v>0</v>
      </c>
      <c r="M790" s="6" t="n">
        <f aca="false">IF(AND(O790&lt;&gt;0,C790=""),"Abs",0)</f>
        <v>0</v>
      </c>
      <c r="N790" s="8" t="str">
        <f aca="false">IFERROR(IF(OR(D790="OFF",D790="Congé",M790="Abs",D790="Congé sans solde",D790="Férié"),"",IF(O790-K790-L790&gt;O790,O790,IF(O790-K790-L790&lt;0,"",O790-K790-L790))),"")</f>
        <v/>
      </c>
      <c r="O790" s="8" t="n">
        <f aca="false">IF(AG790="2H Pause déjeuner",IF(F790-D790-0.0833333333333333&lt;0,F790-D790-0.0833333333333333+1,F790-D790-0.0833333333333333),IF(OR(AND(F790="OFF",D790="OFF"),AND(F790="Congé",D790="Congé"),AND(F790="Congé sans solde",D790="Congé sans solde"),AND(F790="Congé spécial",D790="Congé spécial"),AND(F790="Férié",D790="Férié"),AND(F790="OFF",D790="Congé"),AND(F790="OFF",D790="Congé sans solde"),AND(F790="OFF",D790="Congé spécial"),AND(F790="OFF",D790="Férié"),AND(F790="Congé",D790="OFF"),AND(F790="Congé",D790="Congé sans solde"),AND(F790="Congé",D790="Congé spécial"),AND(F790="Congé",D790="Férié"),AND(F790="Congé sans solde",D790="OFF"),AND(F790="Congé sans solde",D790="Congé"),AND(F790="Congé sans solde",D790="Congé spécial"),AND(F790="Congé sans solde",D790="Férié"),AND(F790="Congé spécial",D790="OFF"),AND(F790="Congé spécial",D790="Congé"),AND(F790="Congé spécial",D790="Congé sans solde"),AND(F790="Congé spécial",D790="Férié"),AND(F790="Férié",D790="OFF"),AND(F790="Férié",D790="Congé"),AND(F790="Férié",D790="Congé sans solde"),AND(F790="Férié",D790="Congé spécial")),0,IF(OR(F790="OFF",F790="Congé",F790="Congé spécial",F790="Congé sans solde",D790="OFF",D790="Congé",D790="Congé spécial",D790="Congé sans solde"),0.208333333333334,IF(AND(AG790="",F790-D790&lt;0),("24:00:00"-D790)+("00:00:00"+F790)-0.0416666666666667,IF(AND(OR(AG790="Allaitement",AG790="Sans déjeuner"),F790-D790&lt;0),("24:00:00"-D790)+("00:00:00"+F790),IF(AND(AG790="",F790-D790&gt;0.166666666666667),F790-D790-0.0416666666666667,IF(AND(OR(AG790="Allaitement",AG790="Sans déjeuner"),F790-D790&gt;0.166666666666667),F790-D790,F790-D790)))))))</f>
        <v>0</v>
      </c>
      <c r="P790" s="6" t="str">
        <f aca="false">IFERROR(VLOOKUP($B790,Agents!$A:$D,2,0),"-")</f>
        <v>Accessibilité</v>
      </c>
      <c r="Q790" s="21" t="n">
        <v>46194</v>
      </c>
      <c r="R790" s="8" t="n">
        <f aca="false">IF(M790="Abs",O790,0)</f>
        <v>0</v>
      </c>
      <c r="S790" s="8" t="n">
        <f aca="false">SUM(R790,L790,I790,J790,W790,H790)</f>
        <v>0</v>
      </c>
      <c r="T790" s="6" t="str">
        <f aca="false">"Sem - "&amp;WEEKNUM(Q790,21)</f>
        <v>Sem - 25</v>
      </c>
      <c r="U790" s="6" t="str">
        <f aca="false">CHOOSE(MONTH(Q790),"Janvier","Février","Mars","Avril","Mai","Juin","Juillet","Août","Septembre","Octobre","Novembre","Décembre")</f>
        <v>Juin</v>
      </c>
      <c r="V790" s="22" t="n">
        <f aca="false">YEAR(Q790)</f>
        <v>2026</v>
      </c>
      <c r="W790" s="20"/>
      <c r="X790" s="8" t="n">
        <f aca="false">IFERROR(IF(M790="Abs",0,IF(ROUND((D790-C790+E790-F790)*1440,0)&lt;=1,0,D790-C790+E790-F790)),0)</f>
        <v>0</v>
      </c>
      <c r="Y790" s="6" t="str">
        <f aca="false">IFERROR(VLOOKUP($B790,Agents!$A:$D,3,0),"-")</f>
        <v>OUBRAHIM Mohammed</v>
      </c>
      <c r="Z790" s="6" t="str">
        <f aca="false">IFERROR(VLOOKUP($B790,Agents!$A:$D,4,0),"-")</f>
        <v>Credit Mutuel</v>
      </c>
      <c r="AA790" s="18" t="s">
        <v>107</v>
      </c>
      <c r="AB790" s="8" t="str">
        <f aca="false">IF(AND(D790="Congé",F790="Congé"),0.333333333333333,IF(OR(AND(D790="Congé",F790&lt;&gt;"Congé"),(AND(F790="Congé",D790&lt;&gt;"Congé"))),0.166666666666667,""))</f>
        <v/>
      </c>
      <c r="AC790" s="8" t="str">
        <f aca="false">IF(AND(D790="Congé sans solde",F790="Congé sans solde"),0.333333333333333,IF(OR(AND(D790="Congé sans solde",F790&lt;&gt;"Congé sans solde"),(AND(F790="Congé sans solde",D790&lt;&gt;"Congé sans solde"))),0.166666666666667,""))</f>
        <v/>
      </c>
      <c r="AD790" s="8" t="str">
        <f aca="false">IF(AND(D790="Congé spécial",F790="Congé spécial"),0.333333333333333,IF(OR(AND(D790="Congé spécial",F790&lt;&gt;"Congé spécial"),AND(F790="Congé spécial",D790&lt;&gt;"Congé spécial")),0.166666666666667,""))</f>
        <v/>
      </c>
      <c r="AE790" s="8" t="str">
        <f aca="false">IF(AND(D790="Férié",F790="Férié"),0.333333333333333,IF(OR(AND(D790="Férié",F790&lt;&gt;"Férié"),(AND(F790="Férié",D790&lt;&gt;"Férié"))),0.166666666666667,""))</f>
        <v/>
      </c>
      <c r="AF790" s="18"/>
      <c r="AG790" s="18"/>
    </row>
    <row r="791" customFormat="false" ht="15" hidden="false" customHeight="false" outlineLevel="0" collapsed="false">
      <c r="A791" s="6" t="str">
        <f aca="false">YEAR(Q791-WEEKDAY(Q791,2)+4)&amp;"-S"&amp;TEXT(WEEKNUM(Q791,21),"00")</f>
        <v>2026-S25</v>
      </c>
      <c r="B791" s="18" t="s">
        <v>72</v>
      </c>
      <c r="C791" s="19"/>
      <c r="D791" s="19" t="s">
        <v>74</v>
      </c>
      <c r="E791" s="19"/>
      <c r="F791" s="19" t="s">
        <v>74</v>
      </c>
      <c r="G791" s="20"/>
      <c r="H791" s="20"/>
      <c r="I791" s="8" t="str">
        <f aca="false">IF(IF(OR(C791="",D791="Congé",D791="OFF",D791="Congé spécial"),"",IF(D791&gt;F791,D791-C791,IF(C791-D791&lt;0,0,C791-D791)))&lt;0.00068287037037037,"",IF(OR(D791="Congé",D791="OFF",C791="",D791="Congé spécial"),"",IF(D791&gt;F791,D791-C791,IF(C791-D791&lt;0,0,C791-D791))))</f>
        <v/>
      </c>
      <c r="J791" s="20"/>
      <c r="K791" s="8" t="n">
        <f aca="false">IF(SUM(H791:J791)&lt;0.00068287037037037,0,SUM(H791:J791))</f>
        <v>0</v>
      </c>
      <c r="L791" s="8" t="n">
        <f aca="false">IF(OR(F791="Congé",F791="OFF",M791="Abs",F791="Congé sans solde",F791="Férié",F791="Congé spécial",D791="Congé spécial"),0,IF(F791-E791&lt;0,0,IF(F791-E791&lt;=0.00068287037037037,0,F791-E791)))</f>
        <v>0</v>
      </c>
      <c r="M791" s="6" t="n">
        <f aca="false">IF(AND(O791&lt;&gt;0,C791=""),"Abs",0)</f>
        <v>0</v>
      </c>
      <c r="N791" s="8" t="str">
        <f aca="false">IFERROR(IF(OR(D791="OFF",D791="Congé",M791="Abs",D791="Congé sans solde",D791="Férié"),"",IF(O791-K791-L791&gt;O791,O791,IF(O791-K791-L791&lt;0,"",O791-K791-L791))),"")</f>
        <v/>
      </c>
      <c r="O791" s="8" t="n">
        <f aca="false">IF(AG791="2H Pause déjeuner",IF(F791-D791-0.0833333333333333&lt;0,F791-D791-0.0833333333333333+1,F791-D791-0.0833333333333333),IF(OR(AND(F791="OFF",D791="OFF"),AND(F791="Congé",D791="Congé"),AND(F791="Congé sans solde",D791="Congé sans solde"),AND(F791="Congé spécial",D791="Congé spécial"),AND(F791="Férié",D791="Férié"),AND(F791="OFF",D791="Congé"),AND(F791="OFF",D791="Congé sans solde"),AND(F791="OFF",D791="Congé spécial"),AND(F791="OFF",D791="Férié"),AND(F791="Congé",D791="OFF"),AND(F791="Congé",D791="Congé sans solde"),AND(F791="Congé",D791="Congé spécial"),AND(F791="Congé",D791="Férié"),AND(F791="Congé sans solde",D791="OFF"),AND(F791="Congé sans solde",D791="Congé"),AND(F791="Congé sans solde",D791="Congé spécial"),AND(F791="Congé sans solde",D791="Férié"),AND(F791="Congé spécial",D791="OFF"),AND(F791="Congé spécial",D791="Congé"),AND(F791="Congé spécial",D791="Congé sans solde"),AND(F791="Congé spécial",D791="Férié"),AND(F791="Férié",D791="OFF"),AND(F791="Férié",D791="Congé"),AND(F791="Férié",D791="Congé sans solde"),AND(F791="Férié",D791="Congé spécial")),0,IF(OR(F791="OFF",F791="Congé",F791="Congé spécial",F791="Congé sans solde",D791="OFF",D791="Congé",D791="Congé spécial",D791="Congé sans solde"),0.208333333333334,IF(AND(AG791="",F791-D791&lt;0),("24:00:00"-D791)+("00:00:00"+F791)-0.0416666666666667,IF(AND(OR(AG791="Allaitement",AG791="Sans déjeuner"),F791-D791&lt;0),("24:00:00"-D791)+("00:00:00"+F791),IF(AND(AG791="",F791-D791&gt;0.166666666666667),F791-D791-0.0416666666666667,IF(AND(OR(AG791="Allaitement",AG791="Sans déjeuner"),F791-D791&gt;0.166666666666667),F791-D791,F791-D791)))))))</f>
        <v>0</v>
      </c>
      <c r="P791" s="6" t="str">
        <f aca="false">IFERROR(VLOOKUP($B791,Agents!$A:$D,2,0),"-")</f>
        <v>Accessibilité</v>
      </c>
      <c r="Q791" s="21" t="n">
        <v>46194</v>
      </c>
      <c r="R791" s="8" t="n">
        <f aca="false">IF(M791="Abs",O791,0)</f>
        <v>0</v>
      </c>
      <c r="S791" s="8" t="n">
        <f aca="false">SUM(R791,L791,I791,J791,W791,H791)</f>
        <v>0</v>
      </c>
      <c r="T791" s="6" t="str">
        <f aca="false">"Sem - "&amp;WEEKNUM(Q791,21)</f>
        <v>Sem - 25</v>
      </c>
      <c r="U791" s="6" t="str">
        <f aca="false">CHOOSE(MONTH(Q791),"Janvier","Février","Mars","Avril","Mai","Juin","Juillet","Août","Septembre","Octobre","Novembre","Décembre")</f>
        <v>Juin</v>
      </c>
      <c r="V791" s="22" t="n">
        <f aca="false">YEAR(Q791)</f>
        <v>2026</v>
      </c>
      <c r="W791" s="20"/>
      <c r="X791" s="8" t="n">
        <f aca="false">IFERROR(IF(M791="Abs",0,IF(ROUND((D791-C791+E791-F791)*1440,0)&lt;=1,0,D791-C791+E791-F791)),0)</f>
        <v>0</v>
      </c>
      <c r="Y791" s="6" t="str">
        <f aca="false">IFERROR(VLOOKUP($B791,Agents!$A:$D,3,0),"-")</f>
        <v>OUBRAHIM Mohammed</v>
      </c>
      <c r="Z791" s="6" t="str">
        <f aca="false">IFERROR(VLOOKUP($B791,Agents!$A:$D,4,0),"-")</f>
        <v>Credit Mutuel</v>
      </c>
      <c r="AA791" s="18" t="s">
        <v>107</v>
      </c>
      <c r="AB791" s="8" t="str">
        <f aca="false">IF(AND(D791="Congé",F791="Congé"),0.333333333333333,IF(OR(AND(D791="Congé",F791&lt;&gt;"Congé"),(AND(F791="Congé",D791&lt;&gt;"Congé"))),0.166666666666667,""))</f>
        <v/>
      </c>
      <c r="AC791" s="8" t="str">
        <f aca="false">IF(AND(D791="Congé sans solde",F791="Congé sans solde"),0.333333333333333,IF(OR(AND(D791="Congé sans solde",F791&lt;&gt;"Congé sans solde"),(AND(F791="Congé sans solde",D791&lt;&gt;"Congé sans solde"))),0.166666666666667,""))</f>
        <v/>
      </c>
      <c r="AD791" s="8" t="str">
        <f aca="false">IF(AND(D791="Congé spécial",F791="Congé spécial"),0.333333333333333,IF(OR(AND(D791="Congé spécial",F791&lt;&gt;"Congé spécial"),AND(F791="Congé spécial",D791&lt;&gt;"Congé spécial")),0.166666666666667,""))</f>
        <v/>
      </c>
      <c r="AE791" s="8" t="str">
        <f aca="false">IF(AND(D791="Férié",F791="Férié"),0.333333333333333,IF(OR(AND(D791="Férié",F791&lt;&gt;"Férié"),(AND(F791="Férié",D791&lt;&gt;"Férié"))),0.166666666666667,""))</f>
        <v/>
      </c>
      <c r="AF791" s="18"/>
      <c r="AG791" s="18"/>
    </row>
    <row r="792" customFormat="false" ht="15" hidden="false" customHeight="false" outlineLevel="0" collapsed="false">
      <c r="A792" s="6" t="str">
        <f aca="false">YEAR(Q792-WEEKDAY(Q792,2)+4)&amp;"-S"&amp;TEXT(WEEKNUM(Q792,21),"00")</f>
        <v>2026-S25</v>
      </c>
      <c r="B792" s="18" t="s">
        <v>73</v>
      </c>
      <c r="C792" s="19"/>
      <c r="D792" s="19" t="s">
        <v>74</v>
      </c>
      <c r="E792" s="19"/>
      <c r="F792" s="19" t="s">
        <v>74</v>
      </c>
      <c r="G792" s="20"/>
      <c r="H792" s="20"/>
      <c r="I792" s="8" t="str">
        <f aca="false">IF(IF(OR(C792="",D792="Congé",D792="OFF",D792="Congé spécial"),"",IF(D792&gt;F792,D792-C792,IF(C792-D792&lt;0,0,C792-D792)))&lt;0.00068287037037037,"",IF(OR(D792="Congé",D792="OFF",C792="",D792="Congé spécial"),"",IF(D792&gt;F792,D792-C792,IF(C792-D792&lt;0,0,C792-D792))))</f>
        <v/>
      </c>
      <c r="J792" s="20"/>
      <c r="K792" s="8" t="n">
        <f aca="false">IF(SUM(H792:J792)&lt;0.00068287037037037,0,SUM(H792:J792))</f>
        <v>0</v>
      </c>
      <c r="L792" s="8" t="n">
        <f aca="false">IF(OR(F792="Congé",F792="OFF",M792="Abs",F792="Congé sans solde",F792="Férié",F792="Congé spécial",D792="Congé spécial"),0,IF(F792-E792&lt;0,0,IF(F792-E792&lt;=0.00068287037037037,0,F792-E792)))</f>
        <v>0</v>
      </c>
      <c r="M792" s="6" t="n">
        <f aca="false">IF(AND(O792&lt;&gt;0,C792=""),"Abs",0)</f>
        <v>0</v>
      </c>
      <c r="N792" s="8" t="str">
        <f aca="false">IFERROR(IF(OR(D792="OFF",D792="Congé",M792="Abs",D792="Congé sans solde",D792="Férié"),"",IF(O792-K792-L792&gt;O792,O792,IF(O792-K792-L792&lt;0,"",O792-K792-L792))),"")</f>
        <v/>
      </c>
      <c r="O792" s="8" t="n">
        <f aca="false">IF(AG792="2H Pause déjeuner",IF(F792-D792-0.0833333333333333&lt;0,F792-D792-0.0833333333333333+1,F792-D792-0.0833333333333333),IF(OR(AND(F792="OFF",D792="OFF"),AND(F792="Congé",D792="Congé"),AND(F792="Congé sans solde",D792="Congé sans solde"),AND(F792="Congé spécial",D792="Congé spécial"),AND(F792="Férié",D792="Férié"),AND(F792="OFF",D792="Congé"),AND(F792="OFF",D792="Congé sans solde"),AND(F792="OFF",D792="Congé spécial"),AND(F792="OFF",D792="Férié"),AND(F792="Congé",D792="OFF"),AND(F792="Congé",D792="Congé sans solde"),AND(F792="Congé",D792="Congé spécial"),AND(F792="Congé",D792="Férié"),AND(F792="Congé sans solde",D792="OFF"),AND(F792="Congé sans solde",D792="Congé"),AND(F792="Congé sans solde",D792="Congé spécial"),AND(F792="Congé sans solde",D792="Férié"),AND(F792="Congé spécial",D792="OFF"),AND(F792="Congé spécial",D792="Congé"),AND(F792="Congé spécial",D792="Congé sans solde"),AND(F792="Congé spécial",D792="Férié"),AND(F792="Férié",D792="OFF"),AND(F792="Férié",D792="Congé"),AND(F792="Férié",D792="Congé sans solde"),AND(F792="Férié",D792="Congé spécial")),0,IF(OR(F792="OFF",F792="Congé",F792="Congé spécial",F792="Congé sans solde",D792="OFF",D792="Congé",D792="Congé spécial",D792="Congé sans solde"),0.208333333333334,IF(AND(AG792="",F792-D792&lt;0),("24:00:00"-D792)+("00:00:00"+F792)-0.0416666666666667,IF(AND(OR(AG792="Allaitement",AG792="Sans déjeuner"),F792-D792&lt;0),("24:00:00"-D792)+("00:00:00"+F792),IF(AND(AG792="",F792-D792&gt;0.166666666666667),F792-D792-0.0416666666666667,IF(AND(OR(AG792="Allaitement",AG792="Sans déjeuner"),F792-D792&gt;0.166666666666667),F792-D792,F792-D792)))))))</f>
        <v>0</v>
      </c>
      <c r="P792" s="6" t="str">
        <f aca="false">IFERROR(VLOOKUP($B792,Agents!$A:$D,2,0),"-")</f>
        <v>Accessibilité</v>
      </c>
      <c r="Q792" s="21" t="n">
        <v>46194</v>
      </c>
      <c r="R792" s="8" t="n">
        <f aca="false">IF(M792="Abs",O792,0)</f>
        <v>0</v>
      </c>
      <c r="S792" s="8" t="n">
        <f aca="false">SUM(R792,L792,I792,J792,W792,H792)</f>
        <v>0</v>
      </c>
      <c r="T792" s="6" t="str">
        <f aca="false">"Sem - "&amp;WEEKNUM(Q792,21)</f>
        <v>Sem - 25</v>
      </c>
      <c r="U792" s="6" t="str">
        <f aca="false">CHOOSE(MONTH(Q792),"Janvier","Février","Mars","Avril","Mai","Juin","Juillet","Août","Septembre","Octobre","Novembre","Décembre")</f>
        <v>Juin</v>
      </c>
      <c r="V792" s="22" t="n">
        <f aca="false">YEAR(Q792)</f>
        <v>2026</v>
      </c>
      <c r="W792" s="20"/>
      <c r="X792" s="8" t="n">
        <f aca="false">IFERROR(IF(M792="Abs",0,IF(ROUND((D792-C792+E792-F792)*1440,0)&lt;=1,0,D792-C792+E792-F792)),0)</f>
        <v>0</v>
      </c>
      <c r="Y792" s="6" t="str">
        <f aca="false">IFERROR(VLOOKUP($B792,Agents!$A:$D,3,0),"-")</f>
        <v>OUBRAHIM Mohammed</v>
      </c>
      <c r="Z792" s="6" t="str">
        <f aca="false">IFERROR(VLOOKUP($B792,Agents!$A:$D,4,0),"-")</f>
        <v>Credit Mutuel</v>
      </c>
      <c r="AA792" s="18" t="s">
        <v>107</v>
      </c>
      <c r="AB792" s="8" t="str">
        <f aca="false">IF(AND(D792="Congé",F792="Congé"),0.333333333333333,IF(OR(AND(D792="Congé",F792&lt;&gt;"Congé"),(AND(F792="Congé",D792&lt;&gt;"Congé"))),0.166666666666667,""))</f>
        <v/>
      </c>
      <c r="AC792" s="8" t="str">
        <f aca="false">IF(AND(D792="Congé sans solde",F792="Congé sans solde"),0.333333333333333,IF(OR(AND(D792="Congé sans solde",F792&lt;&gt;"Congé sans solde"),(AND(F792="Congé sans solde",D792&lt;&gt;"Congé sans solde"))),0.166666666666667,""))</f>
        <v/>
      </c>
      <c r="AD792" s="8" t="str">
        <f aca="false">IF(AND(D792="Congé spécial",F792="Congé spécial"),0.333333333333333,IF(OR(AND(D792="Congé spécial",F792&lt;&gt;"Congé spécial"),AND(F792="Congé spécial",D792&lt;&gt;"Congé spécial")),0.166666666666667,""))</f>
        <v/>
      </c>
      <c r="AE792" s="8" t="str">
        <f aca="false">IF(AND(D792="Férié",F792="Férié"),0.333333333333333,IF(OR(AND(D792="Férié",F792&lt;&gt;"Férié"),(AND(F792="Férié",D792&lt;&gt;"Férié"))),0.166666666666667,""))</f>
        <v/>
      </c>
      <c r="AF792" s="18"/>
      <c r="AG792" s="18"/>
    </row>
    <row r="793" customFormat="false" ht="15" hidden="false" customHeight="false" outlineLevel="0" collapsed="false">
      <c r="A793" s="6" t="str">
        <f aca="false">YEAR(Q793-WEEKDAY(Q793,2)+4)&amp;"-S"&amp;TEXT(WEEKNUM(Q793,21),"00")</f>
        <v>2026-S26</v>
      </c>
      <c r="B793" s="18" t="s">
        <v>71</v>
      </c>
      <c r="C793" s="19" t="n">
        <v>0.331944444444444</v>
      </c>
      <c r="D793" s="19" t="n">
        <v>0.333333333333333</v>
      </c>
      <c r="E793" s="19" t="n">
        <v>0.75</v>
      </c>
      <c r="F793" s="19" t="n">
        <v>0.75</v>
      </c>
      <c r="G793" s="20"/>
      <c r="H793" s="20"/>
      <c r="I793" s="8" t="str">
        <f aca="false">IF(IF(OR(C793="",D793="Congé",D793="OFF",D793="Congé spécial"),"",IF(D793&gt;F793,D793-C793,IF(C793-D793&lt;0,0,C793-D793)))&lt;0.00068287037037037,"",IF(OR(D793="Congé",D793="OFF",C793="",D793="Congé spécial"),"",IF(D793&gt;F793,D793-C793,IF(C793-D793&lt;0,0,C793-D793))))</f>
        <v/>
      </c>
      <c r="J793" s="20"/>
      <c r="K793" s="8" t="n">
        <f aca="false">IF(SUM(H793:J793)&lt;0.00068287037037037,0,SUM(H793:J793))</f>
        <v>0</v>
      </c>
      <c r="L793" s="8" t="n">
        <f aca="false">IF(OR(F793="Congé",F793="OFF",M793="Abs",F793="Congé sans solde",F793="Férié",F793="Congé spécial",D793="Congé spécial"),0,IF(F793-E793&lt;0,0,IF(F793-E793&lt;=0.00068287037037037,0,F793-E793)))</f>
        <v>0</v>
      </c>
      <c r="M793" s="6" t="n">
        <f aca="false">IF(AND(O793&lt;&gt;0,C793=""),"Abs",0)</f>
        <v>0</v>
      </c>
      <c r="N793" s="8" t="n">
        <f aca="false">IFERROR(IF(OR(D793="OFF",D793="Congé",M793="Abs",D793="Congé sans solde",D793="Férié"),"",IF(O793-K793-L793&gt;O793,O793,IF(O793-K793-L793&lt;0,"",O793-K793-L793))),"")</f>
        <v>0.375</v>
      </c>
      <c r="O793" s="8" t="n">
        <f aca="false">IF(AG793="2H Pause déjeuner",IF(F793-D793-0.0833333333333333&lt;0,F793-D793-0.0833333333333333+1,F793-D793-0.0833333333333333),IF(OR(AND(F793="OFF",D793="OFF"),AND(F793="Congé",D793="Congé"),AND(F793="Congé sans solde",D793="Congé sans solde"),AND(F793="Congé spécial",D793="Congé spécial"),AND(F793="Férié",D793="Férié"),AND(F793="OFF",D793="Congé"),AND(F793="OFF",D793="Congé sans solde"),AND(F793="OFF",D793="Congé spécial"),AND(F793="OFF",D793="Férié"),AND(F793="Congé",D793="OFF"),AND(F793="Congé",D793="Congé sans solde"),AND(F793="Congé",D793="Congé spécial"),AND(F793="Congé",D793="Férié"),AND(F793="Congé sans solde",D793="OFF"),AND(F793="Congé sans solde",D793="Congé"),AND(F793="Congé sans solde",D793="Congé spécial"),AND(F793="Congé sans solde",D793="Férié"),AND(F793="Congé spécial",D793="OFF"),AND(F793="Congé spécial",D793="Congé"),AND(F793="Congé spécial",D793="Congé sans solde"),AND(F793="Congé spécial",D793="Férié"),AND(F793="Férié",D793="OFF"),AND(F793="Férié",D793="Congé"),AND(F793="Férié",D793="Congé sans solde"),AND(F793="Férié",D793="Congé spécial")),0,IF(OR(F793="OFF",F793="Congé",F793="Congé spécial",F793="Congé sans solde",D793="OFF",D793="Congé",D793="Congé spécial",D793="Congé sans solde"),0.208333333333334,IF(AND(AG793="",F793-D793&lt;0),("24:00:00"-D793)+("00:00:00"+F793)-0.0416666666666667,IF(AND(OR(AG793="Allaitement",AG793="Sans déjeuner"),F793-D793&lt;0),("24:00:00"-D793)+("00:00:00"+F793),IF(AND(AG793="",F793-D793&gt;0.166666666666667),F793-D793-0.0416666666666667,IF(AND(OR(AG793="Allaitement",AG793="Sans déjeuner"),F793-D793&gt;0.166666666666667),F793-D793,F793-D793)))))))</f>
        <v>0.375</v>
      </c>
      <c r="P793" s="6" t="str">
        <f aca="false">IFERROR(VLOOKUP($B793,Agents!$A:$D,2,0),"-")</f>
        <v>Accessibilité</v>
      </c>
      <c r="Q793" s="21" t="n">
        <v>46195</v>
      </c>
      <c r="R793" s="8" t="n">
        <f aca="false">IF(M793="Abs",O793,0)</f>
        <v>0</v>
      </c>
      <c r="S793" s="8" t="n">
        <f aca="false">SUM(R793,L793,I793,J793,W793,H793)</f>
        <v>0</v>
      </c>
      <c r="T793" s="6" t="str">
        <f aca="false">"Sem - "&amp;WEEKNUM(Q793,21)</f>
        <v>Sem - 26</v>
      </c>
      <c r="U793" s="6" t="str">
        <f aca="false">CHOOSE(MONTH(Q793),"Janvier","Février","Mars","Avril","Mai","Juin","Juillet","Août","Septembre","Octobre","Novembre","Décembre")</f>
        <v>Juin</v>
      </c>
      <c r="V793" s="22" t="n">
        <f aca="false">YEAR(Q793)</f>
        <v>2026</v>
      </c>
      <c r="W793" s="20"/>
      <c r="X793" s="8" t="n">
        <f aca="false">IFERROR(IF(M793="Abs",0,IF(ROUND((D793-C793+E793-F793)*1440,0)&lt;=1,0,D793-C793+E793-F793)),0)</f>
        <v>0.00138888888888889</v>
      </c>
      <c r="Y793" s="6" t="str">
        <f aca="false">IFERROR(VLOOKUP($B793,Agents!$A:$D,3,0),"-")</f>
        <v>OUBRAHIM Mohammed</v>
      </c>
      <c r="Z793" s="6" t="str">
        <f aca="false">IFERROR(VLOOKUP($B793,Agents!$A:$D,4,0),"-")</f>
        <v>Credit Mutuel</v>
      </c>
      <c r="AA793" s="18" t="s">
        <v>108</v>
      </c>
      <c r="AB793" s="8" t="str">
        <f aca="false">IF(AND(D793="Congé",F793="Congé"),0.333333333333333,IF(OR(AND(D793="Congé",F793&lt;&gt;"Congé"),(AND(F793="Congé",D793&lt;&gt;"Congé"))),0.166666666666667,""))</f>
        <v/>
      </c>
      <c r="AC793" s="8" t="str">
        <f aca="false">IF(AND(D793="Congé sans solde",F793="Congé sans solde"),0.333333333333333,IF(OR(AND(D793="Congé sans solde",F793&lt;&gt;"Congé sans solde"),(AND(F793="Congé sans solde",D793&lt;&gt;"Congé sans solde"))),0.166666666666667,""))</f>
        <v/>
      </c>
      <c r="AD793" s="8" t="str">
        <f aca="false">IF(AND(D793="Congé spécial",F793="Congé spécial"),0.333333333333333,IF(OR(AND(D793="Congé spécial",F793&lt;&gt;"Congé spécial"),AND(F793="Congé spécial",D793&lt;&gt;"Congé spécial")),0.166666666666667,""))</f>
        <v/>
      </c>
      <c r="AE793" s="8" t="str">
        <f aca="false">IF(AND(D793="Férié",F793="Férié"),0.333333333333333,IF(OR(AND(D793="Férié",F793&lt;&gt;"Férié"),(AND(F793="Férié",D793&lt;&gt;"Férié"))),0.166666666666667,""))</f>
        <v/>
      </c>
      <c r="AF793" s="18"/>
      <c r="AG793" s="18"/>
    </row>
    <row r="794" customFormat="false" ht="15" hidden="false" customHeight="false" outlineLevel="0" collapsed="false">
      <c r="A794" s="6" t="str">
        <f aca="false">YEAR(Q794-WEEKDAY(Q794,2)+4)&amp;"-S"&amp;TEXT(WEEKNUM(Q794,21),"00")</f>
        <v>2026-S26</v>
      </c>
      <c r="B794" s="18" t="s">
        <v>72</v>
      </c>
      <c r="C794" s="19" t="n">
        <v>0.332638888888889</v>
      </c>
      <c r="D794" s="19" t="n">
        <v>0.333333333333333</v>
      </c>
      <c r="E794" s="19" t="n">
        <v>0.75</v>
      </c>
      <c r="F794" s="19" t="n">
        <v>0.75</v>
      </c>
      <c r="G794" s="20"/>
      <c r="H794" s="20"/>
      <c r="I794" s="8" t="str">
        <f aca="false">IF(IF(OR(C794="",D794="Congé",D794="OFF",D794="Congé spécial"),"",IF(D794&gt;F794,D794-C794,IF(C794-D794&lt;0,0,C794-D794)))&lt;0.00068287037037037,"",IF(OR(D794="Congé",D794="OFF",C794="",D794="Congé spécial"),"",IF(D794&gt;F794,D794-C794,IF(C794-D794&lt;0,0,C794-D794))))</f>
        <v/>
      </c>
      <c r="J794" s="20"/>
      <c r="K794" s="8" t="n">
        <f aca="false">IF(SUM(H794:J794)&lt;0.00068287037037037,0,SUM(H794:J794))</f>
        <v>0</v>
      </c>
      <c r="L794" s="8" t="n">
        <f aca="false">IF(OR(F794="Congé",F794="OFF",M794="Abs",F794="Congé sans solde",F794="Férié",F794="Congé spécial",D794="Congé spécial"),0,IF(F794-E794&lt;0,0,IF(F794-E794&lt;=0.00068287037037037,0,F794-E794)))</f>
        <v>0</v>
      </c>
      <c r="M794" s="6" t="n">
        <f aca="false">IF(AND(O794&lt;&gt;0,C794=""),"Abs",0)</f>
        <v>0</v>
      </c>
      <c r="N794" s="8" t="n">
        <f aca="false">IFERROR(IF(OR(D794="OFF",D794="Congé",M794="Abs",D794="Congé sans solde",D794="Férié"),"",IF(O794-K794-L794&gt;O794,O794,IF(O794-K794-L794&lt;0,"",O794-K794-L794))),"")</f>
        <v>0.375</v>
      </c>
      <c r="O794" s="8" t="n">
        <f aca="false">IF(AG794="2H Pause déjeuner",IF(F794-D794-0.0833333333333333&lt;0,F794-D794-0.0833333333333333+1,F794-D794-0.0833333333333333),IF(OR(AND(F794="OFF",D794="OFF"),AND(F794="Congé",D794="Congé"),AND(F794="Congé sans solde",D794="Congé sans solde"),AND(F794="Congé spécial",D794="Congé spécial"),AND(F794="Férié",D794="Férié"),AND(F794="OFF",D794="Congé"),AND(F794="OFF",D794="Congé sans solde"),AND(F794="OFF",D794="Congé spécial"),AND(F794="OFF",D794="Férié"),AND(F794="Congé",D794="OFF"),AND(F794="Congé",D794="Congé sans solde"),AND(F794="Congé",D794="Congé spécial"),AND(F794="Congé",D794="Férié"),AND(F794="Congé sans solde",D794="OFF"),AND(F794="Congé sans solde",D794="Congé"),AND(F794="Congé sans solde",D794="Congé spécial"),AND(F794="Congé sans solde",D794="Férié"),AND(F794="Congé spécial",D794="OFF"),AND(F794="Congé spécial",D794="Congé"),AND(F794="Congé spécial",D794="Congé sans solde"),AND(F794="Congé spécial",D794="Férié"),AND(F794="Férié",D794="OFF"),AND(F794="Férié",D794="Congé"),AND(F794="Férié",D794="Congé sans solde"),AND(F794="Férié",D794="Congé spécial")),0,IF(OR(F794="OFF",F794="Congé",F794="Congé spécial",F794="Congé sans solde",D794="OFF",D794="Congé",D794="Congé spécial",D794="Congé sans solde"),0.208333333333334,IF(AND(AG794="",F794-D794&lt;0),("24:00:00"-D794)+("00:00:00"+F794)-0.0416666666666667,IF(AND(OR(AG794="Allaitement",AG794="Sans déjeuner"),F794-D794&lt;0),("24:00:00"-D794)+("00:00:00"+F794),IF(AND(AG794="",F794-D794&gt;0.166666666666667),F794-D794-0.0416666666666667,IF(AND(OR(AG794="Allaitement",AG794="Sans déjeuner"),F794-D794&gt;0.166666666666667),F794-D794,F794-D794)))))))</f>
        <v>0.375</v>
      </c>
      <c r="P794" s="6" t="str">
        <f aca="false">IFERROR(VLOOKUP($B794,Agents!$A:$D,2,0),"-")</f>
        <v>Accessibilité</v>
      </c>
      <c r="Q794" s="21" t="n">
        <v>46195</v>
      </c>
      <c r="R794" s="8" t="n">
        <f aca="false">IF(M794="Abs",O794,0)</f>
        <v>0</v>
      </c>
      <c r="S794" s="8" t="n">
        <f aca="false">SUM(R794,L794,I794,J794,W794,H794)</f>
        <v>0</v>
      </c>
      <c r="T794" s="6" t="str">
        <f aca="false">"Sem - "&amp;WEEKNUM(Q794,21)</f>
        <v>Sem - 26</v>
      </c>
      <c r="U794" s="6" t="str">
        <f aca="false">CHOOSE(MONTH(Q794),"Janvier","Février","Mars","Avril","Mai","Juin","Juillet","Août","Septembre","Octobre","Novembre","Décembre")</f>
        <v>Juin</v>
      </c>
      <c r="V794" s="22" t="n">
        <f aca="false">YEAR(Q794)</f>
        <v>2026</v>
      </c>
      <c r="W794" s="20"/>
      <c r="X794" s="8" t="n">
        <f aca="false">IFERROR(IF(M794="Abs",0,IF(ROUND((D794-C794+E794-F794)*1440,0)&lt;=1,0,D794-C794+E794-F794)),0)</f>
        <v>0</v>
      </c>
      <c r="Y794" s="6" t="str">
        <f aca="false">IFERROR(VLOOKUP($B794,Agents!$A:$D,3,0),"-")</f>
        <v>OUBRAHIM Mohammed</v>
      </c>
      <c r="Z794" s="6" t="str">
        <f aca="false">IFERROR(VLOOKUP($B794,Agents!$A:$D,4,0),"-")</f>
        <v>Credit Mutuel</v>
      </c>
      <c r="AA794" s="18" t="s">
        <v>108</v>
      </c>
      <c r="AB794" s="8" t="str">
        <f aca="false">IF(AND(D794="Congé",F794="Congé"),0.333333333333333,IF(OR(AND(D794="Congé",F794&lt;&gt;"Congé"),(AND(F794="Congé",D794&lt;&gt;"Congé"))),0.166666666666667,""))</f>
        <v/>
      </c>
      <c r="AC794" s="8" t="str">
        <f aca="false">IF(AND(D794="Congé sans solde",F794="Congé sans solde"),0.333333333333333,IF(OR(AND(D794="Congé sans solde",F794&lt;&gt;"Congé sans solde"),(AND(F794="Congé sans solde",D794&lt;&gt;"Congé sans solde"))),0.166666666666667,""))</f>
        <v/>
      </c>
      <c r="AD794" s="8" t="str">
        <f aca="false">IF(AND(D794="Congé spécial",F794="Congé spécial"),0.333333333333333,IF(OR(AND(D794="Congé spécial",F794&lt;&gt;"Congé spécial"),AND(F794="Congé spécial",D794&lt;&gt;"Congé spécial")),0.166666666666667,""))</f>
        <v/>
      </c>
      <c r="AE794" s="8" t="str">
        <f aca="false">IF(AND(D794="Férié",F794="Férié"),0.333333333333333,IF(OR(AND(D794="Férié",F794&lt;&gt;"Férié"),(AND(F794="Férié",D794&lt;&gt;"Férié"))),0.166666666666667,""))</f>
        <v/>
      </c>
      <c r="AF794" s="18"/>
      <c r="AG794" s="18"/>
    </row>
    <row r="795" customFormat="false" ht="15" hidden="false" customHeight="false" outlineLevel="0" collapsed="false">
      <c r="A795" s="6" t="str">
        <f aca="false">YEAR(Q795-WEEKDAY(Q795,2)+4)&amp;"-S"&amp;TEXT(WEEKNUM(Q795,21),"00")</f>
        <v>2026-S26</v>
      </c>
      <c r="B795" s="18" t="s">
        <v>73</v>
      </c>
      <c r="C795" s="19" t="n">
        <v>0.36875</v>
      </c>
      <c r="D795" s="19" t="n">
        <v>0.333333333333333</v>
      </c>
      <c r="E795" s="19" t="n">
        <v>0.75</v>
      </c>
      <c r="F795" s="19" t="n">
        <v>0.75</v>
      </c>
      <c r="G795" s="20"/>
      <c r="H795" s="20"/>
      <c r="I795" s="8" t="n">
        <f aca="false">IF(IF(OR(C795="",D795="Congé",D795="OFF",D795="Congé spécial"),"",IF(D795&gt;F795,D795-C795,IF(C795-D795&lt;0,0,C795-D795)))&lt;0.00068287037037037,"",IF(OR(D795="Congé",D795="OFF",C795="",D795="Congé spécial"),"",IF(D795&gt;F795,D795-C795,IF(C795-D795&lt;0,0,C795-D795))))</f>
        <v>0.0354166666666667</v>
      </c>
      <c r="J795" s="20"/>
      <c r="K795" s="8" t="n">
        <f aca="false">IF(SUM(H795:J795)&lt;0.00068287037037037,0,SUM(H795:J795))</f>
        <v>0.0354166666666667</v>
      </c>
      <c r="L795" s="8" t="n">
        <f aca="false">IF(OR(F795="Congé",F795="OFF",M795="Abs",F795="Congé sans solde",F795="Férié",F795="Congé spécial",D795="Congé spécial"),0,IF(F795-E795&lt;0,0,IF(F795-E795&lt;=0.00068287037037037,0,F795-E795)))</f>
        <v>0</v>
      </c>
      <c r="M795" s="6" t="n">
        <f aca="false">IF(AND(O795&lt;&gt;0,C795=""),"Abs",0)</f>
        <v>0</v>
      </c>
      <c r="N795" s="8" t="n">
        <f aca="false">IFERROR(IF(OR(D795="OFF",D795="Congé",M795="Abs",D795="Congé sans solde",D795="Férié"),"",IF(O795-K795-L795&gt;O795,O795,IF(O795-K795-L795&lt;0,"",O795-K795-L795))),"")</f>
        <v>0.339583333333333</v>
      </c>
      <c r="O795" s="8" t="n">
        <f aca="false">IF(AG795="2H Pause déjeuner",IF(F795-D795-0.0833333333333333&lt;0,F795-D795-0.0833333333333333+1,F795-D795-0.0833333333333333),IF(OR(AND(F795="OFF",D795="OFF"),AND(F795="Congé",D795="Congé"),AND(F795="Congé sans solde",D795="Congé sans solde"),AND(F795="Congé spécial",D795="Congé spécial"),AND(F795="Férié",D795="Férié"),AND(F795="OFF",D795="Congé"),AND(F795="OFF",D795="Congé sans solde"),AND(F795="OFF",D795="Congé spécial"),AND(F795="OFF",D795="Férié"),AND(F795="Congé",D795="OFF"),AND(F795="Congé",D795="Congé sans solde"),AND(F795="Congé",D795="Congé spécial"),AND(F795="Congé",D795="Férié"),AND(F795="Congé sans solde",D795="OFF"),AND(F795="Congé sans solde",D795="Congé"),AND(F795="Congé sans solde",D795="Congé spécial"),AND(F795="Congé sans solde",D795="Férié"),AND(F795="Congé spécial",D795="OFF"),AND(F795="Congé spécial",D795="Congé"),AND(F795="Congé spécial",D795="Congé sans solde"),AND(F795="Congé spécial",D795="Férié"),AND(F795="Férié",D795="OFF"),AND(F795="Férié",D795="Congé"),AND(F795="Férié",D795="Congé sans solde"),AND(F795="Férié",D795="Congé spécial")),0,IF(OR(F795="OFF",F795="Congé",F795="Congé spécial",F795="Congé sans solde",D795="OFF",D795="Congé",D795="Congé spécial",D795="Congé sans solde"),0.208333333333334,IF(AND(AG795="",F795-D795&lt;0),("24:00:00"-D795)+("00:00:00"+F795)-0.0416666666666667,IF(AND(OR(AG795="Allaitement",AG795="Sans déjeuner"),F795-D795&lt;0),("24:00:00"-D795)+("00:00:00"+F795),IF(AND(AG795="",F795-D795&gt;0.166666666666667),F795-D795-0.0416666666666667,IF(AND(OR(AG795="Allaitement",AG795="Sans déjeuner"),F795-D795&gt;0.166666666666667),F795-D795,F795-D795)))))))</f>
        <v>0.375</v>
      </c>
      <c r="P795" s="6" t="str">
        <f aca="false">IFERROR(VLOOKUP($B795,Agents!$A:$D,2,0),"-")</f>
        <v>Accessibilité</v>
      </c>
      <c r="Q795" s="21" t="n">
        <v>46195</v>
      </c>
      <c r="R795" s="8" t="n">
        <f aca="false">IF(M795="Abs",O795,0)</f>
        <v>0</v>
      </c>
      <c r="S795" s="8" t="n">
        <f aca="false">SUM(R795,L795,I795,J795,W795,H795)</f>
        <v>0.0354166666666667</v>
      </c>
      <c r="T795" s="6" t="str">
        <f aca="false">"Sem - "&amp;WEEKNUM(Q795,21)</f>
        <v>Sem - 26</v>
      </c>
      <c r="U795" s="6" t="str">
        <f aca="false">CHOOSE(MONTH(Q795),"Janvier","Février","Mars","Avril","Mai","Juin","Juillet","Août","Septembre","Octobre","Novembre","Décembre")</f>
        <v>Juin</v>
      </c>
      <c r="V795" s="22" t="n">
        <f aca="false">YEAR(Q795)</f>
        <v>2026</v>
      </c>
      <c r="W795" s="20"/>
      <c r="X795" s="8" t="n">
        <f aca="false">IFERROR(IF(M795="Abs",0,IF(ROUND((D795-C795+E795-F795)*1440,0)&lt;=1,0,D795-C795+E795-F795)),0)</f>
        <v>0</v>
      </c>
      <c r="Y795" s="6" t="str">
        <f aca="false">IFERROR(VLOOKUP($B795,Agents!$A:$D,3,0),"-")</f>
        <v>OUBRAHIM Mohammed</v>
      </c>
      <c r="Z795" s="6" t="str">
        <f aca="false">IFERROR(VLOOKUP($B795,Agents!$A:$D,4,0),"-")</f>
        <v>Credit Mutuel</v>
      </c>
      <c r="AA795" s="18" t="s">
        <v>108</v>
      </c>
      <c r="AB795" s="8" t="str">
        <f aca="false">IF(AND(D795="Congé",F795="Congé"),0.333333333333333,IF(OR(AND(D795="Congé",F795&lt;&gt;"Congé"),(AND(F795="Congé",D795&lt;&gt;"Congé"))),0.166666666666667,""))</f>
        <v/>
      </c>
      <c r="AC795" s="8" t="str">
        <f aca="false">IF(AND(D795="Congé sans solde",F795="Congé sans solde"),0.333333333333333,IF(OR(AND(D795="Congé sans solde",F795&lt;&gt;"Congé sans solde"),(AND(F795="Congé sans solde",D795&lt;&gt;"Congé sans solde"))),0.166666666666667,""))</f>
        <v/>
      </c>
      <c r="AD795" s="8" t="str">
        <f aca="false">IF(AND(D795="Congé spécial",F795="Congé spécial"),0.333333333333333,IF(OR(AND(D795="Congé spécial",F795&lt;&gt;"Congé spécial"),AND(F795="Congé spécial",D795&lt;&gt;"Congé spécial")),0.166666666666667,""))</f>
        <v/>
      </c>
      <c r="AE795" s="8" t="str">
        <f aca="false">IF(AND(D795="Férié",F795="Férié"),0.333333333333333,IF(OR(AND(D795="Férié",F795&lt;&gt;"Férié"),(AND(F795="Férié",D795&lt;&gt;"Férié"))),0.166666666666667,""))</f>
        <v/>
      </c>
      <c r="AF795" s="18"/>
      <c r="AG795" s="18"/>
    </row>
    <row r="796" customFormat="false" ht="15" hidden="false" customHeight="false" outlineLevel="0" collapsed="false">
      <c r="A796" s="6" t="str">
        <f aca="false">YEAR(Q796-WEEKDAY(Q796,2)+4)&amp;"-S"&amp;TEXT(WEEKNUM(Q796,21),"00")</f>
        <v>2026-S26</v>
      </c>
      <c r="B796" s="18" t="s">
        <v>71</v>
      </c>
      <c r="C796" s="19" t="n">
        <v>0.331944444444444</v>
      </c>
      <c r="D796" s="19" t="n">
        <v>0.333333333333333</v>
      </c>
      <c r="E796" s="19" t="n">
        <v>0.75</v>
      </c>
      <c r="F796" s="19" t="n">
        <v>0.75</v>
      </c>
      <c r="G796" s="20"/>
      <c r="H796" s="20"/>
      <c r="I796" s="8" t="str">
        <f aca="false">IF(IF(OR(C796="",D796="Congé",D796="OFF",D796="Congé spécial"),"",IF(D796&gt;F796,D796-C796,IF(C796-D796&lt;0,0,C796-D796)))&lt;0.00068287037037037,"",IF(OR(D796="Congé",D796="OFF",C796="",D796="Congé spécial"),"",IF(D796&gt;F796,D796-C796,IF(C796-D796&lt;0,0,C796-D796))))</f>
        <v/>
      </c>
      <c r="J796" s="20"/>
      <c r="K796" s="8" t="n">
        <f aca="false">IF(SUM(H796:J796)&lt;0.00068287037037037,0,SUM(H796:J796))</f>
        <v>0</v>
      </c>
      <c r="L796" s="8" t="n">
        <f aca="false">IF(OR(F796="Congé",F796="OFF",M796="Abs",F796="Congé sans solde",F796="Férié",F796="Congé spécial",D796="Congé spécial"),0,IF(F796-E796&lt;0,0,IF(F796-E796&lt;=0.00068287037037037,0,F796-E796)))</f>
        <v>0</v>
      </c>
      <c r="M796" s="6" t="n">
        <f aca="false">IF(AND(O796&lt;&gt;0,C796=""),"Abs",0)</f>
        <v>0</v>
      </c>
      <c r="N796" s="8" t="n">
        <f aca="false">IFERROR(IF(OR(D796="OFF",D796="Congé",M796="Abs",D796="Congé sans solde",D796="Férié"),"",IF(O796-K796-L796&gt;O796,O796,IF(O796-K796-L796&lt;0,"",O796-K796-L796))),"")</f>
        <v>0.375</v>
      </c>
      <c r="O796" s="8" t="n">
        <f aca="false">IF(AG796="2H Pause déjeuner",IF(F796-D796-0.0833333333333333&lt;0,F796-D796-0.0833333333333333+1,F796-D796-0.0833333333333333),IF(OR(AND(F796="OFF",D796="OFF"),AND(F796="Congé",D796="Congé"),AND(F796="Congé sans solde",D796="Congé sans solde"),AND(F796="Congé spécial",D796="Congé spécial"),AND(F796="Férié",D796="Férié"),AND(F796="OFF",D796="Congé"),AND(F796="OFF",D796="Congé sans solde"),AND(F796="OFF",D796="Congé spécial"),AND(F796="OFF",D796="Férié"),AND(F796="Congé",D796="OFF"),AND(F796="Congé",D796="Congé sans solde"),AND(F796="Congé",D796="Congé spécial"),AND(F796="Congé",D796="Férié"),AND(F796="Congé sans solde",D796="OFF"),AND(F796="Congé sans solde",D796="Congé"),AND(F796="Congé sans solde",D796="Congé spécial"),AND(F796="Congé sans solde",D796="Férié"),AND(F796="Congé spécial",D796="OFF"),AND(F796="Congé spécial",D796="Congé"),AND(F796="Congé spécial",D796="Congé sans solde"),AND(F796="Congé spécial",D796="Férié"),AND(F796="Férié",D796="OFF"),AND(F796="Férié",D796="Congé"),AND(F796="Férié",D796="Congé sans solde"),AND(F796="Férié",D796="Congé spécial")),0,IF(OR(F796="OFF",F796="Congé",F796="Congé spécial",F796="Congé sans solde",D796="OFF",D796="Congé",D796="Congé spécial",D796="Congé sans solde"),0.208333333333334,IF(AND(AG796="",F796-D796&lt;0),("24:00:00"-D796)+("00:00:00"+F796)-0.0416666666666667,IF(AND(OR(AG796="Allaitement",AG796="Sans déjeuner"),F796-D796&lt;0),("24:00:00"-D796)+("00:00:00"+F796),IF(AND(AG796="",F796-D796&gt;0.166666666666667),F796-D796-0.0416666666666667,IF(AND(OR(AG796="Allaitement",AG796="Sans déjeuner"),F796-D796&gt;0.166666666666667),F796-D796,F796-D796)))))))</f>
        <v>0.375</v>
      </c>
      <c r="P796" s="6" t="str">
        <f aca="false">IFERROR(VLOOKUP($B796,Agents!$A:$D,2,0),"-")</f>
        <v>Accessibilité</v>
      </c>
      <c r="Q796" s="21" t="n">
        <v>46196</v>
      </c>
      <c r="R796" s="8" t="n">
        <f aca="false">IF(M796="Abs",O796,0)</f>
        <v>0</v>
      </c>
      <c r="S796" s="8" t="n">
        <f aca="false">SUM(R796,L796,I796,J796,W796,H796)</f>
        <v>0</v>
      </c>
      <c r="T796" s="6" t="str">
        <f aca="false">"Sem - "&amp;WEEKNUM(Q796,21)</f>
        <v>Sem - 26</v>
      </c>
      <c r="U796" s="6" t="str">
        <f aca="false">CHOOSE(MONTH(Q796),"Janvier","Février","Mars","Avril","Mai","Juin","Juillet","Août","Septembre","Octobre","Novembre","Décembre")</f>
        <v>Juin</v>
      </c>
      <c r="V796" s="22" t="n">
        <f aca="false">YEAR(Q796)</f>
        <v>2026</v>
      </c>
      <c r="W796" s="20"/>
      <c r="X796" s="8" t="n">
        <f aca="false">IFERROR(IF(M796="Abs",0,IF(ROUND((D796-C796+E796-F796)*1440,0)&lt;=1,0,D796-C796+E796-F796)),0)</f>
        <v>0.00138888888888889</v>
      </c>
      <c r="Y796" s="6" t="str">
        <f aca="false">IFERROR(VLOOKUP($B796,Agents!$A:$D,3,0),"-")</f>
        <v>OUBRAHIM Mohammed</v>
      </c>
      <c r="Z796" s="6" t="str">
        <f aca="false">IFERROR(VLOOKUP($B796,Agents!$A:$D,4,0),"-")</f>
        <v>Credit Mutuel</v>
      </c>
      <c r="AA796" s="18" t="s">
        <v>108</v>
      </c>
      <c r="AB796" s="8" t="str">
        <f aca="false">IF(AND(D796="Congé",F796="Congé"),0.333333333333333,IF(OR(AND(D796="Congé",F796&lt;&gt;"Congé"),(AND(F796="Congé",D796&lt;&gt;"Congé"))),0.166666666666667,""))</f>
        <v/>
      </c>
      <c r="AC796" s="8" t="str">
        <f aca="false">IF(AND(D796="Congé sans solde",F796="Congé sans solde"),0.333333333333333,IF(OR(AND(D796="Congé sans solde",F796&lt;&gt;"Congé sans solde"),(AND(F796="Congé sans solde",D796&lt;&gt;"Congé sans solde"))),0.166666666666667,""))</f>
        <v/>
      </c>
      <c r="AD796" s="8" t="str">
        <f aca="false">IF(AND(D796="Congé spécial",F796="Congé spécial"),0.333333333333333,IF(OR(AND(D796="Congé spécial",F796&lt;&gt;"Congé spécial"),AND(F796="Congé spécial",D796&lt;&gt;"Congé spécial")),0.166666666666667,""))</f>
        <v/>
      </c>
      <c r="AE796" s="8" t="str">
        <f aca="false">IF(AND(D796="Férié",F796="Férié"),0.333333333333333,IF(OR(AND(D796="Férié",F796&lt;&gt;"Férié"),(AND(F796="Férié",D796&lt;&gt;"Férié"))),0.166666666666667,""))</f>
        <v/>
      </c>
      <c r="AF796" s="18"/>
      <c r="AG796" s="18"/>
    </row>
    <row r="797" customFormat="false" ht="15" hidden="false" customHeight="false" outlineLevel="0" collapsed="false">
      <c r="A797" s="6" t="str">
        <f aca="false">YEAR(Q797-WEEKDAY(Q797,2)+4)&amp;"-S"&amp;TEXT(WEEKNUM(Q797,21),"00")</f>
        <v>2026-S26</v>
      </c>
      <c r="B797" s="18" t="s">
        <v>72</v>
      </c>
      <c r="C797" s="19" t="n">
        <v>0.332638888888889</v>
      </c>
      <c r="D797" s="19" t="n">
        <v>0.333333333333333</v>
      </c>
      <c r="E797" s="19" t="n">
        <v>0.75</v>
      </c>
      <c r="F797" s="19" t="n">
        <v>0.75</v>
      </c>
      <c r="G797" s="20"/>
      <c r="H797" s="20"/>
      <c r="I797" s="8" t="str">
        <f aca="false">IF(IF(OR(C797="",D797="Congé",D797="OFF",D797="Congé spécial"),"",IF(D797&gt;F797,D797-C797,IF(C797-D797&lt;0,0,C797-D797)))&lt;0.00068287037037037,"",IF(OR(D797="Congé",D797="OFF",C797="",D797="Congé spécial"),"",IF(D797&gt;F797,D797-C797,IF(C797-D797&lt;0,0,C797-D797))))</f>
        <v/>
      </c>
      <c r="J797" s="20"/>
      <c r="K797" s="8" t="n">
        <f aca="false">IF(SUM(H797:J797)&lt;0.00068287037037037,0,SUM(H797:J797))</f>
        <v>0</v>
      </c>
      <c r="L797" s="8" t="n">
        <f aca="false">IF(OR(F797="Congé",F797="OFF",M797="Abs",F797="Congé sans solde",F797="Férié",F797="Congé spécial",D797="Congé spécial"),0,IF(F797-E797&lt;0,0,IF(F797-E797&lt;=0.00068287037037037,0,F797-E797)))</f>
        <v>0</v>
      </c>
      <c r="M797" s="6" t="n">
        <f aca="false">IF(AND(O797&lt;&gt;0,C797=""),"Abs",0)</f>
        <v>0</v>
      </c>
      <c r="N797" s="8" t="n">
        <f aca="false">IFERROR(IF(OR(D797="OFF",D797="Congé",M797="Abs",D797="Congé sans solde",D797="Férié"),"",IF(O797-K797-L797&gt;O797,O797,IF(O797-K797-L797&lt;0,"",O797-K797-L797))),"")</f>
        <v>0.375</v>
      </c>
      <c r="O797" s="8" t="n">
        <f aca="false">IF(AG797="2H Pause déjeuner",IF(F797-D797-0.0833333333333333&lt;0,F797-D797-0.0833333333333333+1,F797-D797-0.0833333333333333),IF(OR(AND(F797="OFF",D797="OFF"),AND(F797="Congé",D797="Congé"),AND(F797="Congé sans solde",D797="Congé sans solde"),AND(F797="Congé spécial",D797="Congé spécial"),AND(F797="Férié",D797="Férié"),AND(F797="OFF",D797="Congé"),AND(F797="OFF",D797="Congé sans solde"),AND(F797="OFF",D797="Congé spécial"),AND(F797="OFF",D797="Férié"),AND(F797="Congé",D797="OFF"),AND(F797="Congé",D797="Congé sans solde"),AND(F797="Congé",D797="Congé spécial"),AND(F797="Congé",D797="Férié"),AND(F797="Congé sans solde",D797="OFF"),AND(F797="Congé sans solde",D797="Congé"),AND(F797="Congé sans solde",D797="Congé spécial"),AND(F797="Congé sans solde",D797="Férié"),AND(F797="Congé spécial",D797="OFF"),AND(F797="Congé spécial",D797="Congé"),AND(F797="Congé spécial",D797="Congé sans solde"),AND(F797="Congé spécial",D797="Férié"),AND(F797="Férié",D797="OFF"),AND(F797="Férié",D797="Congé"),AND(F797="Férié",D797="Congé sans solde"),AND(F797="Férié",D797="Congé spécial")),0,IF(OR(F797="OFF",F797="Congé",F797="Congé spécial",F797="Congé sans solde",D797="OFF",D797="Congé",D797="Congé spécial",D797="Congé sans solde"),0.208333333333334,IF(AND(AG797="",F797-D797&lt;0),("24:00:00"-D797)+("00:00:00"+F797)-0.0416666666666667,IF(AND(OR(AG797="Allaitement",AG797="Sans déjeuner"),F797-D797&lt;0),("24:00:00"-D797)+("00:00:00"+F797),IF(AND(AG797="",F797-D797&gt;0.166666666666667),F797-D797-0.0416666666666667,IF(AND(OR(AG797="Allaitement",AG797="Sans déjeuner"),F797-D797&gt;0.166666666666667),F797-D797,F797-D797)))))))</f>
        <v>0.375</v>
      </c>
      <c r="P797" s="6" t="str">
        <f aca="false">IFERROR(VLOOKUP($B797,Agents!$A:$D,2,0),"-")</f>
        <v>Accessibilité</v>
      </c>
      <c r="Q797" s="21" t="n">
        <v>46196</v>
      </c>
      <c r="R797" s="8" t="n">
        <f aca="false">IF(M797="Abs",O797,0)</f>
        <v>0</v>
      </c>
      <c r="S797" s="8" t="n">
        <f aca="false">SUM(R797,L797,I797,J797,W797,H797)</f>
        <v>0</v>
      </c>
      <c r="T797" s="6" t="str">
        <f aca="false">"Sem - "&amp;WEEKNUM(Q797,21)</f>
        <v>Sem - 26</v>
      </c>
      <c r="U797" s="6" t="str">
        <f aca="false">CHOOSE(MONTH(Q797),"Janvier","Février","Mars","Avril","Mai","Juin","Juillet","Août","Septembre","Octobre","Novembre","Décembre")</f>
        <v>Juin</v>
      </c>
      <c r="V797" s="22" t="n">
        <f aca="false">YEAR(Q797)</f>
        <v>2026</v>
      </c>
      <c r="W797" s="20"/>
      <c r="X797" s="8" t="n">
        <f aca="false">IFERROR(IF(M797="Abs",0,IF(ROUND((D797-C797+E797-F797)*1440,0)&lt;=1,0,D797-C797+E797-F797)),0)</f>
        <v>0</v>
      </c>
      <c r="Y797" s="6" t="str">
        <f aca="false">IFERROR(VLOOKUP($B797,Agents!$A:$D,3,0),"-")</f>
        <v>OUBRAHIM Mohammed</v>
      </c>
      <c r="Z797" s="6" t="str">
        <f aca="false">IFERROR(VLOOKUP($B797,Agents!$A:$D,4,0),"-")</f>
        <v>Credit Mutuel</v>
      </c>
      <c r="AA797" s="18" t="s">
        <v>108</v>
      </c>
      <c r="AB797" s="8" t="str">
        <f aca="false">IF(AND(D797="Congé",F797="Congé"),0.333333333333333,IF(OR(AND(D797="Congé",F797&lt;&gt;"Congé"),(AND(F797="Congé",D797&lt;&gt;"Congé"))),0.166666666666667,""))</f>
        <v/>
      </c>
      <c r="AC797" s="8" t="str">
        <f aca="false">IF(AND(D797="Congé sans solde",F797="Congé sans solde"),0.333333333333333,IF(OR(AND(D797="Congé sans solde",F797&lt;&gt;"Congé sans solde"),(AND(F797="Congé sans solde",D797&lt;&gt;"Congé sans solde"))),0.166666666666667,""))</f>
        <v/>
      </c>
      <c r="AD797" s="8" t="str">
        <f aca="false">IF(AND(D797="Congé spécial",F797="Congé spécial"),0.333333333333333,IF(OR(AND(D797="Congé spécial",F797&lt;&gt;"Congé spécial"),AND(F797="Congé spécial",D797&lt;&gt;"Congé spécial")),0.166666666666667,""))</f>
        <v/>
      </c>
      <c r="AE797" s="8" t="str">
        <f aca="false">IF(AND(D797="Férié",F797="Férié"),0.333333333333333,IF(OR(AND(D797="Férié",F797&lt;&gt;"Férié"),(AND(F797="Férié",D797&lt;&gt;"Férié"))),0.166666666666667,""))</f>
        <v/>
      </c>
      <c r="AF797" s="18"/>
      <c r="AG797" s="18"/>
    </row>
    <row r="798" customFormat="false" ht="15" hidden="false" customHeight="false" outlineLevel="0" collapsed="false">
      <c r="A798" s="6" t="str">
        <f aca="false">YEAR(Q798-WEEKDAY(Q798,2)+4)&amp;"-S"&amp;TEXT(WEEKNUM(Q798,21),"00")</f>
        <v>2026-S26</v>
      </c>
      <c r="B798" s="18" t="s">
        <v>73</v>
      </c>
      <c r="C798" s="19" t="n">
        <v>0.331944444444444</v>
      </c>
      <c r="D798" s="19" t="n">
        <v>0.333333333333333</v>
      </c>
      <c r="E798" s="19" t="n">
        <v>0.75</v>
      </c>
      <c r="F798" s="19" t="n">
        <v>0.75</v>
      </c>
      <c r="G798" s="20"/>
      <c r="H798" s="20"/>
      <c r="I798" s="8" t="str">
        <f aca="false">IF(IF(OR(C798="",D798="Congé",D798="OFF",D798="Congé spécial"),"",IF(D798&gt;F798,D798-C798,IF(C798-D798&lt;0,0,C798-D798)))&lt;0.00068287037037037,"",IF(OR(D798="Congé",D798="OFF",C798="",D798="Congé spécial"),"",IF(D798&gt;F798,D798-C798,IF(C798-D798&lt;0,0,C798-D798))))</f>
        <v/>
      </c>
      <c r="J798" s="20"/>
      <c r="K798" s="8" t="n">
        <f aca="false">IF(SUM(H798:J798)&lt;0.00068287037037037,0,SUM(H798:J798))</f>
        <v>0</v>
      </c>
      <c r="L798" s="8" t="n">
        <f aca="false">IF(OR(F798="Congé",F798="OFF",M798="Abs",F798="Congé sans solde",F798="Férié",F798="Congé spécial",D798="Congé spécial"),0,IF(F798-E798&lt;0,0,IF(F798-E798&lt;=0.00068287037037037,0,F798-E798)))</f>
        <v>0</v>
      </c>
      <c r="M798" s="6" t="n">
        <f aca="false">IF(AND(O798&lt;&gt;0,C798=""),"Abs",0)</f>
        <v>0</v>
      </c>
      <c r="N798" s="8" t="n">
        <f aca="false">IFERROR(IF(OR(D798="OFF",D798="Congé",M798="Abs",D798="Congé sans solde",D798="Férié"),"",IF(O798-K798-L798&gt;O798,O798,IF(O798-K798-L798&lt;0,"",O798-K798-L798))),"")</f>
        <v>0.375</v>
      </c>
      <c r="O798" s="8" t="n">
        <f aca="false">IF(AG798="2H Pause déjeuner",IF(F798-D798-0.0833333333333333&lt;0,F798-D798-0.0833333333333333+1,F798-D798-0.0833333333333333),IF(OR(AND(F798="OFF",D798="OFF"),AND(F798="Congé",D798="Congé"),AND(F798="Congé sans solde",D798="Congé sans solde"),AND(F798="Congé spécial",D798="Congé spécial"),AND(F798="Férié",D798="Férié"),AND(F798="OFF",D798="Congé"),AND(F798="OFF",D798="Congé sans solde"),AND(F798="OFF",D798="Congé spécial"),AND(F798="OFF",D798="Férié"),AND(F798="Congé",D798="OFF"),AND(F798="Congé",D798="Congé sans solde"),AND(F798="Congé",D798="Congé spécial"),AND(F798="Congé",D798="Férié"),AND(F798="Congé sans solde",D798="OFF"),AND(F798="Congé sans solde",D798="Congé"),AND(F798="Congé sans solde",D798="Congé spécial"),AND(F798="Congé sans solde",D798="Férié"),AND(F798="Congé spécial",D798="OFF"),AND(F798="Congé spécial",D798="Congé"),AND(F798="Congé spécial",D798="Congé sans solde"),AND(F798="Congé spécial",D798="Férié"),AND(F798="Férié",D798="OFF"),AND(F798="Férié",D798="Congé"),AND(F798="Férié",D798="Congé sans solde"),AND(F798="Férié",D798="Congé spécial")),0,IF(OR(F798="OFF",F798="Congé",F798="Congé spécial",F798="Congé sans solde",D798="OFF",D798="Congé",D798="Congé spécial",D798="Congé sans solde"),0.208333333333334,IF(AND(AG798="",F798-D798&lt;0),("24:00:00"-D798)+("00:00:00"+F798)-0.0416666666666667,IF(AND(OR(AG798="Allaitement",AG798="Sans déjeuner"),F798-D798&lt;0),("24:00:00"-D798)+("00:00:00"+F798),IF(AND(AG798="",F798-D798&gt;0.166666666666667),F798-D798-0.0416666666666667,IF(AND(OR(AG798="Allaitement",AG798="Sans déjeuner"),F798-D798&gt;0.166666666666667),F798-D798,F798-D798)))))))</f>
        <v>0.375</v>
      </c>
      <c r="P798" s="6" t="str">
        <f aca="false">IFERROR(VLOOKUP($B798,Agents!$A:$D,2,0),"-")</f>
        <v>Accessibilité</v>
      </c>
      <c r="Q798" s="21" t="n">
        <v>46196</v>
      </c>
      <c r="R798" s="8" t="n">
        <f aca="false">IF(M798="Abs",O798,0)</f>
        <v>0</v>
      </c>
      <c r="S798" s="8" t="n">
        <f aca="false">SUM(R798,L798,I798,J798,W798,H798)</f>
        <v>0</v>
      </c>
      <c r="T798" s="6" t="str">
        <f aca="false">"Sem - "&amp;WEEKNUM(Q798,21)</f>
        <v>Sem - 26</v>
      </c>
      <c r="U798" s="6" t="str">
        <f aca="false">CHOOSE(MONTH(Q798),"Janvier","Février","Mars","Avril","Mai","Juin","Juillet","Août","Septembre","Octobre","Novembre","Décembre")</f>
        <v>Juin</v>
      </c>
      <c r="V798" s="22" t="n">
        <f aca="false">YEAR(Q798)</f>
        <v>2026</v>
      </c>
      <c r="W798" s="20"/>
      <c r="X798" s="8" t="n">
        <f aca="false">IFERROR(IF(M798="Abs",0,IF(ROUND((D798-C798+E798-F798)*1440,0)&lt;=1,0,D798-C798+E798-F798)),0)</f>
        <v>0.00138888888888889</v>
      </c>
      <c r="Y798" s="6" t="str">
        <f aca="false">IFERROR(VLOOKUP($B798,Agents!$A:$D,3,0),"-")</f>
        <v>OUBRAHIM Mohammed</v>
      </c>
      <c r="Z798" s="6" t="str">
        <f aca="false">IFERROR(VLOOKUP($B798,Agents!$A:$D,4,0),"-")</f>
        <v>Credit Mutuel</v>
      </c>
      <c r="AA798" s="18" t="s">
        <v>108</v>
      </c>
      <c r="AB798" s="8" t="str">
        <f aca="false">IF(AND(D798="Congé",F798="Congé"),0.333333333333333,IF(OR(AND(D798="Congé",F798&lt;&gt;"Congé"),(AND(F798="Congé",D798&lt;&gt;"Congé"))),0.166666666666667,""))</f>
        <v/>
      </c>
      <c r="AC798" s="8" t="str">
        <f aca="false">IF(AND(D798="Congé sans solde",F798="Congé sans solde"),0.333333333333333,IF(OR(AND(D798="Congé sans solde",F798&lt;&gt;"Congé sans solde"),(AND(F798="Congé sans solde",D798&lt;&gt;"Congé sans solde"))),0.166666666666667,""))</f>
        <v/>
      </c>
      <c r="AD798" s="8" t="str">
        <f aca="false">IF(AND(D798="Congé spécial",F798="Congé spécial"),0.333333333333333,IF(OR(AND(D798="Congé spécial",F798&lt;&gt;"Congé spécial"),AND(F798="Congé spécial",D798&lt;&gt;"Congé spécial")),0.166666666666667,""))</f>
        <v/>
      </c>
      <c r="AE798" s="8" t="str">
        <f aca="false">IF(AND(D798="Férié",F798="Férié"),0.333333333333333,IF(OR(AND(D798="Férié",F798&lt;&gt;"Férié"),(AND(F798="Férié",D798&lt;&gt;"Férié"))),0.166666666666667,""))</f>
        <v/>
      </c>
      <c r="AF798" s="18"/>
      <c r="AG798" s="18"/>
    </row>
    <row r="799" customFormat="false" ht="15" hidden="false" customHeight="false" outlineLevel="0" collapsed="false">
      <c r="A799" s="6" t="str">
        <f aca="false">YEAR(Q799-WEEKDAY(Q799,2)+4)&amp;"-S"&amp;TEXT(WEEKNUM(Q799,21),"00")</f>
        <v>2026-S26</v>
      </c>
      <c r="B799" s="18" t="s">
        <v>71</v>
      </c>
      <c r="C799" s="19" t="n">
        <v>0.331944444444444</v>
      </c>
      <c r="D799" s="19" t="n">
        <v>0.333333333333333</v>
      </c>
      <c r="E799" s="19" t="n">
        <v>0.75</v>
      </c>
      <c r="F799" s="19" t="n">
        <v>0.75</v>
      </c>
      <c r="G799" s="20"/>
      <c r="H799" s="20"/>
      <c r="I799" s="8" t="str">
        <f aca="false">IF(IF(OR(C799="",D799="Congé",D799="OFF",D799="Congé spécial"),"",IF(D799&gt;F799,D799-C799,IF(C799-D799&lt;0,0,C799-D799)))&lt;0.00068287037037037,"",IF(OR(D799="Congé",D799="OFF",C799="",D799="Congé spécial"),"",IF(D799&gt;F799,D799-C799,IF(C799-D799&lt;0,0,C799-D799))))</f>
        <v/>
      </c>
      <c r="J799" s="20"/>
      <c r="K799" s="8" t="n">
        <f aca="false">IF(SUM(H799:J799)&lt;0.00068287037037037,0,SUM(H799:J799))</f>
        <v>0</v>
      </c>
      <c r="L799" s="8" t="n">
        <f aca="false">IF(OR(F799="Congé",F799="OFF",M799="Abs",F799="Congé sans solde",F799="Férié",F799="Congé spécial",D799="Congé spécial"),0,IF(F799-E799&lt;0,0,IF(F799-E799&lt;=0.00068287037037037,0,F799-E799)))</f>
        <v>0</v>
      </c>
      <c r="M799" s="6" t="n">
        <f aca="false">IF(AND(O799&lt;&gt;0,C799=""),"Abs",0)</f>
        <v>0</v>
      </c>
      <c r="N799" s="8" t="n">
        <f aca="false">IFERROR(IF(OR(D799="OFF",D799="Congé",M799="Abs",D799="Congé sans solde",D799="Férié"),"",IF(O799-K799-L799&gt;O799,O799,IF(O799-K799-L799&lt;0,"",O799-K799-L799))),"")</f>
        <v>0.375</v>
      </c>
      <c r="O799" s="8" t="n">
        <f aca="false">IF(AG799="2H Pause déjeuner",IF(F799-D799-0.0833333333333333&lt;0,F799-D799-0.0833333333333333+1,F799-D799-0.0833333333333333),IF(OR(AND(F799="OFF",D799="OFF"),AND(F799="Congé",D799="Congé"),AND(F799="Congé sans solde",D799="Congé sans solde"),AND(F799="Congé spécial",D799="Congé spécial"),AND(F799="Férié",D799="Férié"),AND(F799="OFF",D799="Congé"),AND(F799="OFF",D799="Congé sans solde"),AND(F799="OFF",D799="Congé spécial"),AND(F799="OFF",D799="Férié"),AND(F799="Congé",D799="OFF"),AND(F799="Congé",D799="Congé sans solde"),AND(F799="Congé",D799="Congé spécial"),AND(F799="Congé",D799="Férié"),AND(F799="Congé sans solde",D799="OFF"),AND(F799="Congé sans solde",D799="Congé"),AND(F799="Congé sans solde",D799="Congé spécial"),AND(F799="Congé sans solde",D799="Férié"),AND(F799="Congé spécial",D799="OFF"),AND(F799="Congé spécial",D799="Congé"),AND(F799="Congé spécial",D799="Congé sans solde"),AND(F799="Congé spécial",D799="Férié"),AND(F799="Férié",D799="OFF"),AND(F799="Férié",D799="Congé"),AND(F799="Férié",D799="Congé sans solde"),AND(F799="Férié",D799="Congé spécial")),0,IF(OR(F799="OFF",F799="Congé",F799="Congé spécial",F799="Congé sans solde",D799="OFF",D799="Congé",D799="Congé spécial",D799="Congé sans solde"),0.208333333333334,IF(AND(AG799="",F799-D799&lt;0),("24:00:00"-D799)+("00:00:00"+F799)-0.0416666666666667,IF(AND(OR(AG799="Allaitement",AG799="Sans déjeuner"),F799-D799&lt;0),("24:00:00"-D799)+("00:00:00"+F799),IF(AND(AG799="",F799-D799&gt;0.166666666666667),F799-D799-0.0416666666666667,IF(AND(OR(AG799="Allaitement",AG799="Sans déjeuner"),F799-D799&gt;0.166666666666667),F799-D799,F799-D799)))))))</f>
        <v>0.375</v>
      </c>
      <c r="P799" s="6" t="str">
        <f aca="false">IFERROR(VLOOKUP($B799,Agents!$A:$D,2,0),"-")</f>
        <v>Accessibilité</v>
      </c>
      <c r="Q799" s="21" t="n">
        <v>46197</v>
      </c>
      <c r="R799" s="8" t="n">
        <f aca="false">IF(M799="Abs",O799,0)</f>
        <v>0</v>
      </c>
      <c r="S799" s="8" t="n">
        <f aca="false">SUM(R799,L799,I799,J799,W799,H799)</f>
        <v>0</v>
      </c>
      <c r="T799" s="6" t="str">
        <f aca="false">"Sem - "&amp;WEEKNUM(Q799,21)</f>
        <v>Sem - 26</v>
      </c>
      <c r="U799" s="6" t="str">
        <f aca="false">CHOOSE(MONTH(Q799),"Janvier","Février","Mars","Avril","Mai","Juin","Juillet","Août","Septembre","Octobre","Novembre","Décembre")</f>
        <v>Juin</v>
      </c>
      <c r="V799" s="22" t="n">
        <f aca="false">YEAR(Q799)</f>
        <v>2026</v>
      </c>
      <c r="W799" s="20"/>
      <c r="X799" s="8" t="n">
        <f aca="false">IFERROR(IF(M799="Abs",0,IF(ROUND((D799-C799+E799-F799)*1440,0)&lt;=1,0,D799-C799+E799-F799)),0)</f>
        <v>0.00138888888888889</v>
      </c>
      <c r="Y799" s="6" t="str">
        <f aca="false">IFERROR(VLOOKUP($B799,Agents!$A:$D,3,0),"-")</f>
        <v>OUBRAHIM Mohammed</v>
      </c>
      <c r="Z799" s="6" t="str">
        <f aca="false">IFERROR(VLOOKUP($B799,Agents!$A:$D,4,0),"-")</f>
        <v>Credit Mutuel</v>
      </c>
      <c r="AA799" s="18" t="s">
        <v>108</v>
      </c>
      <c r="AB799" s="8" t="str">
        <f aca="false">IF(AND(D799="Congé",F799="Congé"),0.333333333333333,IF(OR(AND(D799="Congé",F799&lt;&gt;"Congé"),(AND(F799="Congé",D799&lt;&gt;"Congé"))),0.166666666666667,""))</f>
        <v/>
      </c>
      <c r="AC799" s="8" t="str">
        <f aca="false">IF(AND(D799="Congé sans solde",F799="Congé sans solde"),0.333333333333333,IF(OR(AND(D799="Congé sans solde",F799&lt;&gt;"Congé sans solde"),(AND(F799="Congé sans solde",D799&lt;&gt;"Congé sans solde"))),0.166666666666667,""))</f>
        <v/>
      </c>
      <c r="AD799" s="8" t="str">
        <f aca="false">IF(AND(D799="Congé spécial",F799="Congé spécial"),0.333333333333333,IF(OR(AND(D799="Congé spécial",F799&lt;&gt;"Congé spécial"),AND(F799="Congé spécial",D799&lt;&gt;"Congé spécial")),0.166666666666667,""))</f>
        <v/>
      </c>
      <c r="AE799" s="8" t="str">
        <f aca="false">IF(AND(D799="Férié",F799="Férié"),0.333333333333333,IF(OR(AND(D799="Férié",F799&lt;&gt;"Férié"),(AND(F799="Férié",D799&lt;&gt;"Férié"))),0.166666666666667,""))</f>
        <v/>
      </c>
      <c r="AF799" s="18"/>
      <c r="AG799" s="18"/>
    </row>
    <row r="800" customFormat="false" ht="15" hidden="false" customHeight="false" outlineLevel="0" collapsed="false">
      <c r="A800" s="6" t="str">
        <f aca="false">YEAR(Q800-WEEKDAY(Q800,2)+4)&amp;"-S"&amp;TEXT(WEEKNUM(Q800,21),"00")</f>
        <v>2026-S26</v>
      </c>
      <c r="B800" s="18" t="s">
        <v>72</v>
      </c>
      <c r="C800" s="19" t="n">
        <v>0.331944444444444</v>
      </c>
      <c r="D800" s="19" t="n">
        <v>0.333333333333333</v>
      </c>
      <c r="E800" s="19" t="n">
        <v>0.75</v>
      </c>
      <c r="F800" s="19" t="n">
        <v>0.75</v>
      </c>
      <c r="G800" s="20"/>
      <c r="H800" s="20"/>
      <c r="I800" s="8" t="str">
        <f aca="false">IF(IF(OR(C800="",D800="Congé",D800="OFF",D800="Congé spécial"),"",IF(D800&gt;F800,D800-C800,IF(C800-D800&lt;0,0,C800-D800)))&lt;0.00068287037037037,"",IF(OR(D800="Congé",D800="OFF",C800="",D800="Congé spécial"),"",IF(D800&gt;F800,D800-C800,IF(C800-D800&lt;0,0,C800-D800))))</f>
        <v/>
      </c>
      <c r="J800" s="20"/>
      <c r="K800" s="8" t="n">
        <f aca="false">IF(SUM(H800:J800)&lt;0.00068287037037037,0,SUM(H800:J800))</f>
        <v>0</v>
      </c>
      <c r="L800" s="8" t="n">
        <f aca="false">IF(OR(F800="Congé",F800="OFF",M800="Abs",F800="Congé sans solde",F800="Férié",F800="Congé spécial",D800="Congé spécial"),0,IF(F800-E800&lt;0,0,IF(F800-E800&lt;=0.00068287037037037,0,F800-E800)))</f>
        <v>0</v>
      </c>
      <c r="M800" s="6" t="n">
        <f aca="false">IF(AND(O800&lt;&gt;0,C800=""),"Abs",0)</f>
        <v>0</v>
      </c>
      <c r="N800" s="8" t="n">
        <f aca="false">IFERROR(IF(OR(D800="OFF",D800="Congé",M800="Abs",D800="Congé sans solde",D800="Férié"),"",IF(O800-K800-L800&gt;O800,O800,IF(O800-K800-L800&lt;0,"",O800-K800-L800))),"")</f>
        <v>0.375</v>
      </c>
      <c r="O800" s="8" t="n">
        <f aca="false">IF(AG800="2H Pause déjeuner",IF(F800-D800-0.0833333333333333&lt;0,F800-D800-0.0833333333333333+1,F800-D800-0.0833333333333333),IF(OR(AND(F800="OFF",D800="OFF"),AND(F800="Congé",D800="Congé"),AND(F800="Congé sans solde",D800="Congé sans solde"),AND(F800="Congé spécial",D800="Congé spécial"),AND(F800="Férié",D800="Férié"),AND(F800="OFF",D800="Congé"),AND(F800="OFF",D800="Congé sans solde"),AND(F800="OFF",D800="Congé spécial"),AND(F800="OFF",D800="Férié"),AND(F800="Congé",D800="OFF"),AND(F800="Congé",D800="Congé sans solde"),AND(F800="Congé",D800="Congé spécial"),AND(F800="Congé",D800="Férié"),AND(F800="Congé sans solde",D800="OFF"),AND(F800="Congé sans solde",D800="Congé"),AND(F800="Congé sans solde",D800="Congé spécial"),AND(F800="Congé sans solde",D800="Férié"),AND(F800="Congé spécial",D800="OFF"),AND(F800="Congé spécial",D800="Congé"),AND(F800="Congé spécial",D800="Congé sans solde"),AND(F800="Congé spécial",D800="Férié"),AND(F800="Férié",D800="OFF"),AND(F800="Férié",D800="Congé"),AND(F800="Férié",D800="Congé sans solde"),AND(F800="Férié",D800="Congé spécial")),0,IF(OR(F800="OFF",F800="Congé",F800="Congé spécial",F800="Congé sans solde",D800="OFF",D800="Congé",D800="Congé spécial",D800="Congé sans solde"),0.208333333333334,IF(AND(AG800="",F800-D800&lt;0),("24:00:00"-D800)+("00:00:00"+F800)-0.0416666666666667,IF(AND(OR(AG800="Allaitement",AG800="Sans déjeuner"),F800-D800&lt;0),("24:00:00"-D800)+("00:00:00"+F800),IF(AND(AG800="",F800-D800&gt;0.166666666666667),F800-D800-0.0416666666666667,IF(AND(OR(AG800="Allaitement",AG800="Sans déjeuner"),F800-D800&gt;0.166666666666667),F800-D800,F800-D800)))))))</f>
        <v>0.375</v>
      </c>
      <c r="P800" s="6" t="str">
        <f aca="false">IFERROR(VLOOKUP($B800,Agents!$A:$D,2,0),"-")</f>
        <v>Accessibilité</v>
      </c>
      <c r="Q800" s="21" t="n">
        <v>46197</v>
      </c>
      <c r="R800" s="8" t="n">
        <f aca="false">IF(M800="Abs",O800,0)</f>
        <v>0</v>
      </c>
      <c r="S800" s="8" t="n">
        <f aca="false">SUM(R800,L800,I800,J800,W800,H800)</f>
        <v>0</v>
      </c>
      <c r="T800" s="6" t="str">
        <f aca="false">"Sem - "&amp;WEEKNUM(Q800,21)</f>
        <v>Sem - 26</v>
      </c>
      <c r="U800" s="6" t="str">
        <f aca="false">CHOOSE(MONTH(Q800),"Janvier","Février","Mars","Avril","Mai","Juin","Juillet","Août","Septembre","Octobre","Novembre","Décembre")</f>
        <v>Juin</v>
      </c>
      <c r="V800" s="22" t="n">
        <f aca="false">YEAR(Q800)</f>
        <v>2026</v>
      </c>
      <c r="W800" s="20"/>
      <c r="X800" s="8" t="n">
        <f aca="false">IFERROR(IF(M800="Abs",0,IF(ROUND((D800-C800+E800-F800)*1440,0)&lt;=1,0,D800-C800+E800-F800)),0)</f>
        <v>0.00138888888888889</v>
      </c>
      <c r="Y800" s="6" t="str">
        <f aca="false">IFERROR(VLOOKUP($B800,Agents!$A:$D,3,0),"-")</f>
        <v>OUBRAHIM Mohammed</v>
      </c>
      <c r="Z800" s="6" t="str">
        <f aca="false">IFERROR(VLOOKUP($B800,Agents!$A:$D,4,0),"-")</f>
        <v>Credit Mutuel</v>
      </c>
      <c r="AA800" s="18" t="s">
        <v>108</v>
      </c>
      <c r="AB800" s="8" t="str">
        <f aca="false">IF(AND(D800="Congé",F800="Congé"),0.333333333333333,IF(OR(AND(D800="Congé",F800&lt;&gt;"Congé"),(AND(F800="Congé",D800&lt;&gt;"Congé"))),0.166666666666667,""))</f>
        <v/>
      </c>
      <c r="AC800" s="8" t="str">
        <f aca="false">IF(AND(D800="Congé sans solde",F800="Congé sans solde"),0.333333333333333,IF(OR(AND(D800="Congé sans solde",F800&lt;&gt;"Congé sans solde"),(AND(F800="Congé sans solde",D800&lt;&gt;"Congé sans solde"))),0.166666666666667,""))</f>
        <v/>
      </c>
      <c r="AD800" s="8" t="str">
        <f aca="false">IF(AND(D800="Congé spécial",F800="Congé spécial"),0.333333333333333,IF(OR(AND(D800="Congé spécial",F800&lt;&gt;"Congé spécial"),AND(F800="Congé spécial",D800&lt;&gt;"Congé spécial")),0.166666666666667,""))</f>
        <v/>
      </c>
      <c r="AE800" s="8" t="str">
        <f aca="false">IF(AND(D800="Férié",F800="Férié"),0.333333333333333,IF(OR(AND(D800="Férié",F800&lt;&gt;"Férié"),(AND(F800="Férié",D800&lt;&gt;"Férié"))),0.166666666666667,""))</f>
        <v/>
      </c>
      <c r="AF800" s="18"/>
      <c r="AG800" s="18"/>
    </row>
    <row r="801" customFormat="false" ht="15" hidden="false" customHeight="false" outlineLevel="0" collapsed="false">
      <c r="A801" s="6" t="str">
        <f aca="false">YEAR(Q801-WEEKDAY(Q801,2)+4)&amp;"-S"&amp;TEXT(WEEKNUM(Q801,21),"00")</f>
        <v>2026-S26</v>
      </c>
      <c r="B801" s="18" t="s">
        <v>73</v>
      </c>
      <c r="C801" s="19" t="n">
        <v>0.331944444444444</v>
      </c>
      <c r="D801" s="19" t="n">
        <v>0.333333333333333</v>
      </c>
      <c r="E801" s="19" t="n">
        <v>0.75</v>
      </c>
      <c r="F801" s="19" t="n">
        <v>0.75</v>
      </c>
      <c r="G801" s="20"/>
      <c r="H801" s="20"/>
      <c r="I801" s="8" t="str">
        <f aca="false">IF(IF(OR(C801="",D801="Congé",D801="OFF",D801="Congé spécial"),"",IF(D801&gt;F801,D801-C801,IF(C801-D801&lt;0,0,C801-D801)))&lt;0.00068287037037037,"",IF(OR(D801="Congé",D801="OFF",C801="",D801="Congé spécial"),"",IF(D801&gt;F801,D801-C801,IF(C801-D801&lt;0,0,C801-D801))))</f>
        <v/>
      </c>
      <c r="J801" s="20"/>
      <c r="K801" s="8" t="n">
        <f aca="false">IF(SUM(H801:J801)&lt;0.00068287037037037,0,SUM(H801:J801))</f>
        <v>0</v>
      </c>
      <c r="L801" s="8" t="n">
        <f aca="false">IF(OR(F801="Congé",F801="OFF",M801="Abs",F801="Congé sans solde",F801="Férié",F801="Congé spécial",D801="Congé spécial"),0,IF(F801-E801&lt;0,0,IF(F801-E801&lt;=0.00068287037037037,0,F801-E801)))</f>
        <v>0</v>
      </c>
      <c r="M801" s="6" t="n">
        <f aca="false">IF(AND(O801&lt;&gt;0,C801=""),"Abs",0)</f>
        <v>0</v>
      </c>
      <c r="N801" s="8" t="n">
        <f aca="false">IFERROR(IF(OR(D801="OFF",D801="Congé",M801="Abs",D801="Congé sans solde",D801="Férié"),"",IF(O801-K801-L801&gt;O801,O801,IF(O801-K801-L801&lt;0,"",O801-K801-L801))),"")</f>
        <v>0.375</v>
      </c>
      <c r="O801" s="8" t="n">
        <f aca="false">IF(AG801="2H Pause déjeuner",IF(F801-D801-0.0833333333333333&lt;0,F801-D801-0.0833333333333333+1,F801-D801-0.0833333333333333),IF(OR(AND(F801="OFF",D801="OFF"),AND(F801="Congé",D801="Congé"),AND(F801="Congé sans solde",D801="Congé sans solde"),AND(F801="Congé spécial",D801="Congé spécial"),AND(F801="Férié",D801="Férié"),AND(F801="OFF",D801="Congé"),AND(F801="OFF",D801="Congé sans solde"),AND(F801="OFF",D801="Congé spécial"),AND(F801="OFF",D801="Férié"),AND(F801="Congé",D801="OFF"),AND(F801="Congé",D801="Congé sans solde"),AND(F801="Congé",D801="Congé spécial"),AND(F801="Congé",D801="Férié"),AND(F801="Congé sans solde",D801="OFF"),AND(F801="Congé sans solde",D801="Congé"),AND(F801="Congé sans solde",D801="Congé spécial"),AND(F801="Congé sans solde",D801="Férié"),AND(F801="Congé spécial",D801="OFF"),AND(F801="Congé spécial",D801="Congé"),AND(F801="Congé spécial",D801="Congé sans solde"),AND(F801="Congé spécial",D801="Férié"),AND(F801="Férié",D801="OFF"),AND(F801="Férié",D801="Congé"),AND(F801="Férié",D801="Congé sans solde"),AND(F801="Férié",D801="Congé spécial")),0,IF(OR(F801="OFF",F801="Congé",F801="Congé spécial",F801="Congé sans solde",D801="OFF",D801="Congé",D801="Congé spécial",D801="Congé sans solde"),0.208333333333334,IF(AND(AG801="",F801-D801&lt;0),("24:00:00"-D801)+("00:00:00"+F801)-0.0416666666666667,IF(AND(OR(AG801="Allaitement",AG801="Sans déjeuner"),F801-D801&lt;0),("24:00:00"-D801)+("00:00:00"+F801),IF(AND(AG801="",F801-D801&gt;0.166666666666667),F801-D801-0.0416666666666667,IF(AND(OR(AG801="Allaitement",AG801="Sans déjeuner"),F801-D801&gt;0.166666666666667),F801-D801,F801-D801)))))))</f>
        <v>0.375</v>
      </c>
      <c r="P801" s="6" t="str">
        <f aca="false">IFERROR(VLOOKUP($B801,Agents!$A:$D,2,0),"-")</f>
        <v>Accessibilité</v>
      </c>
      <c r="Q801" s="21" t="n">
        <v>46197</v>
      </c>
      <c r="R801" s="8" t="n">
        <f aca="false">IF(M801="Abs",O801,0)</f>
        <v>0</v>
      </c>
      <c r="S801" s="8" t="n">
        <f aca="false">SUM(R801,L801,I801,J801,W801,H801)</f>
        <v>0</v>
      </c>
      <c r="T801" s="6" t="str">
        <f aca="false">"Sem - "&amp;WEEKNUM(Q801,21)</f>
        <v>Sem - 26</v>
      </c>
      <c r="U801" s="6" t="str">
        <f aca="false">CHOOSE(MONTH(Q801),"Janvier","Février","Mars","Avril","Mai","Juin","Juillet","Août","Septembre","Octobre","Novembre","Décembre")</f>
        <v>Juin</v>
      </c>
      <c r="V801" s="22" t="n">
        <f aca="false">YEAR(Q801)</f>
        <v>2026</v>
      </c>
      <c r="W801" s="20"/>
      <c r="X801" s="8" t="n">
        <f aca="false">IFERROR(IF(M801="Abs",0,IF(ROUND((D801-C801+E801-F801)*1440,0)&lt;=1,0,D801-C801+E801-F801)),0)</f>
        <v>0.00138888888888889</v>
      </c>
      <c r="Y801" s="6" t="str">
        <f aca="false">IFERROR(VLOOKUP($B801,Agents!$A:$D,3,0),"-")</f>
        <v>OUBRAHIM Mohammed</v>
      </c>
      <c r="Z801" s="6" t="str">
        <f aca="false">IFERROR(VLOOKUP($B801,Agents!$A:$D,4,0),"-")</f>
        <v>Credit Mutuel</v>
      </c>
      <c r="AA801" s="18" t="s">
        <v>108</v>
      </c>
      <c r="AB801" s="8" t="str">
        <f aca="false">IF(AND(D801="Congé",F801="Congé"),0.333333333333333,IF(OR(AND(D801="Congé",F801&lt;&gt;"Congé"),(AND(F801="Congé",D801&lt;&gt;"Congé"))),0.166666666666667,""))</f>
        <v/>
      </c>
      <c r="AC801" s="8" t="str">
        <f aca="false">IF(AND(D801="Congé sans solde",F801="Congé sans solde"),0.333333333333333,IF(OR(AND(D801="Congé sans solde",F801&lt;&gt;"Congé sans solde"),(AND(F801="Congé sans solde",D801&lt;&gt;"Congé sans solde"))),0.166666666666667,""))</f>
        <v/>
      </c>
      <c r="AD801" s="8" t="str">
        <f aca="false">IF(AND(D801="Congé spécial",F801="Congé spécial"),0.333333333333333,IF(OR(AND(D801="Congé spécial",F801&lt;&gt;"Congé spécial"),AND(F801="Congé spécial",D801&lt;&gt;"Congé spécial")),0.166666666666667,""))</f>
        <v/>
      </c>
      <c r="AE801" s="8" t="str">
        <f aca="false">IF(AND(D801="Férié",F801="Férié"),0.333333333333333,IF(OR(AND(D801="Férié",F801&lt;&gt;"Férié"),(AND(F801="Férié",D801&lt;&gt;"Férié"))),0.166666666666667,""))</f>
        <v/>
      </c>
      <c r="AF801" s="18"/>
      <c r="AG801" s="18"/>
    </row>
    <row r="802" customFormat="false" ht="15" hidden="false" customHeight="false" outlineLevel="0" collapsed="false">
      <c r="A802" s="6" t="str">
        <f aca="false">YEAR(Q802-WEEKDAY(Q802,2)+4)&amp;"-S"&amp;TEXT(WEEKNUM(Q802,21),"00")</f>
        <v>2026-S26</v>
      </c>
      <c r="B802" s="18" t="s">
        <v>71</v>
      </c>
      <c r="C802" s="19" t="n">
        <v>0.333333333333333</v>
      </c>
      <c r="D802" s="19" t="n">
        <v>0.333333333333333</v>
      </c>
      <c r="E802" s="19" t="n">
        <v>0.75</v>
      </c>
      <c r="F802" s="19" t="n">
        <v>0.75</v>
      </c>
      <c r="G802" s="20"/>
      <c r="H802" s="20"/>
      <c r="I802" s="8" t="str">
        <f aca="false">IF(IF(OR(C802="",D802="Congé",D802="OFF",D802="Congé spécial"),"",IF(D802&gt;F802,D802-C802,IF(C802-D802&lt;0,0,C802-D802)))&lt;0.00068287037037037,"",IF(OR(D802="Congé",D802="OFF",C802="",D802="Congé spécial"),"",IF(D802&gt;F802,D802-C802,IF(C802-D802&lt;0,0,C802-D802))))</f>
        <v/>
      </c>
      <c r="J802" s="20"/>
      <c r="K802" s="8" t="n">
        <f aca="false">IF(SUM(H802:J802)&lt;0.00068287037037037,0,SUM(H802:J802))</f>
        <v>0</v>
      </c>
      <c r="L802" s="8" t="n">
        <f aca="false">IF(OR(F802="Congé",F802="OFF",M802="Abs",F802="Congé sans solde",F802="Férié",F802="Congé spécial",D802="Congé spécial"),0,IF(F802-E802&lt;0,0,IF(F802-E802&lt;=0.00068287037037037,0,F802-E802)))</f>
        <v>0</v>
      </c>
      <c r="M802" s="6" t="n">
        <f aca="false">IF(AND(O802&lt;&gt;0,C802=""),"Abs",0)</f>
        <v>0</v>
      </c>
      <c r="N802" s="8" t="n">
        <f aca="false">IFERROR(IF(OR(D802="OFF",D802="Congé",M802="Abs",D802="Congé sans solde",D802="Férié"),"",IF(O802-K802-L802&gt;O802,O802,IF(O802-K802-L802&lt;0,"",O802-K802-L802))),"")</f>
        <v>0.375</v>
      </c>
      <c r="O802" s="8" t="n">
        <f aca="false">IF(AG802="2H Pause déjeuner",IF(F802-D802-0.0833333333333333&lt;0,F802-D802-0.0833333333333333+1,F802-D802-0.0833333333333333),IF(OR(AND(F802="OFF",D802="OFF"),AND(F802="Congé",D802="Congé"),AND(F802="Congé sans solde",D802="Congé sans solde"),AND(F802="Congé spécial",D802="Congé spécial"),AND(F802="Férié",D802="Férié"),AND(F802="OFF",D802="Congé"),AND(F802="OFF",D802="Congé sans solde"),AND(F802="OFF",D802="Congé spécial"),AND(F802="OFF",D802="Férié"),AND(F802="Congé",D802="OFF"),AND(F802="Congé",D802="Congé sans solde"),AND(F802="Congé",D802="Congé spécial"),AND(F802="Congé",D802="Férié"),AND(F802="Congé sans solde",D802="OFF"),AND(F802="Congé sans solde",D802="Congé"),AND(F802="Congé sans solde",D802="Congé spécial"),AND(F802="Congé sans solde",D802="Férié"),AND(F802="Congé spécial",D802="OFF"),AND(F802="Congé spécial",D802="Congé"),AND(F802="Congé spécial",D802="Congé sans solde"),AND(F802="Congé spécial",D802="Férié"),AND(F802="Férié",D802="OFF"),AND(F802="Férié",D802="Congé"),AND(F802="Férié",D802="Congé sans solde"),AND(F802="Férié",D802="Congé spécial")),0,IF(OR(F802="OFF",F802="Congé",F802="Congé spécial",F802="Congé sans solde",D802="OFF",D802="Congé",D802="Congé spécial",D802="Congé sans solde"),0.208333333333334,IF(AND(AG802="",F802-D802&lt;0),("24:00:00"-D802)+("00:00:00"+F802)-0.0416666666666667,IF(AND(OR(AG802="Allaitement",AG802="Sans déjeuner"),F802-D802&lt;0),("24:00:00"-D802)+("00:00:00"+F802),IF(AND(AG802="",F802-D802&gt;0.166666666666667),F802-D802-0.0416666666666667,IF(AND(OR(AG802="Allaitement",AG802="Sans déjeuner"),F802-D802&gt;0.166666666666667),F802-D802,F802-D802)))))))</f>
        <v>0.375</v>
      </c>
      <c r="P802" s="6" t="str">
        <f aca="false">IFERROR(VLOOKUP($B802,Agents!$A:$D,2,0),"-")</f>
        <v>Accessibilité</v>
      </c>
      <c r="Q802" s="21" t="n">
        <v>46198</v>
      </c>
      <c r="R802" s="8" t="n">
        <f aca="false">IF(M802="Abs",O802,0)</f>
        <v>0</v>
      </c>
      <c r="S802" s="8" t="n">
        <f aca="false">SUM(R802,L802,I802,J802,W802,H802)</f>
        <v>0</v>
      </c>
      <c r="T802" s="6" t="str">
        <f aca="false">"Sem - "&amp;WEEKNUM(Q802,21)</f>
        <v>Sem - 26</v>
      </c>
      <c r="U802" s="6" t="str">
        <f aca="false">CHOOSE(MONTH(Q802),"Janvier","Février","Mars","Avril","Mai","Juin","Juillet","Août","Septembre","Octobre","Novembre","Décembre")</f>
        <v>Juin</v>
      </c>
      <c r="V802" s="22" t="n">
        <f aca="false">YEAR(Q802)</f>
        <v>2026</v>
      </c>
      <c r="W802" s="20"/>
      <c r="X802" s="8" t="n">
        <f aca="false">IFERROR(IF(M802="Abs",0,IF(ROUND((D802-C802+E802-F802)*1440,0)&lt;=1,0,D802-C802+E802-F802)),0)</f>
        <v>0</v>
      </c>
      <c r="Y802" s="6" t="str">
        <f aca="false">IFERROR(VLOOKUP($B802,Agents!$A:$D,3,0),"-")</f>
        <v>OUBRAHIM Mohammed</v>
      </c>
      <c r="Z802" s="6" t="str">
        <f aca="false">IFERROR(VLOOKUP($B802,Agents!$A:$D,4,0),"-")</f>
        <v>Credit Mutuel</v>
      </c>
      <c r="AA802" s="18" t="s">
        <v>108</v>
      </c>
      <c r="AB802" s="8" t="str">
        <f aca="false">IF(AND(D802="Congé",F802="Congé"),0.333333333333333,IF(OR(AND(D802="Congé",F802&lt;&gt;"Congé"),(AND(F802="Congé",D802&lt;&gt;"Congé"))),0.166666666666667,""))</f>
        <v/>
      </c>
      <c r="AC802" s="8" t="str">
        <f aca="false">IF(AND(D802="Congé sans solde",F802="Congé sans solde"),0.333333333333333,IF(OR(AND(D802="Congé sans solde",F802&lt;&gt;"Congé sans solde"),(AND(F802="Congé sans solde",D802&lt;&gt;"Congé sans solde"))),0.166666666666667,""))</f>
        <v/>
      </c>
      <c r="AD802" s="8" t="str">
        <f aca="false">IF(AND(D802="Congé spécial",F802="Congé spécial"),0.333333333333333,IF(OR(AND(D802="Congé spécial",F802&lt;&gt;"Congé spécial"),AND(F802="Congé spécial",D802&lt;&gt;"Congé spécial")),0.166666666666667,""))</f>
        <v/>
      </c>
      <c r="AE802" s="8" t="str">
        <f aca="false">IF(AND(D802="Férié",F802="Férié"),0.333333333333333,IF(OR(AND(D802="Férié",F802&lt;&gt;"Férié"),(AND(F802="Férié",D802&lt;&gt;"Férié"))),0.166666666666667,""))</f>
        <v/>
      </c>
      <c r="AF802" s="18"/>
      <c r="AG802" s="18"/>
    </row>
    <row r="803" customFormat="false" ht="15" hidden="false" customHeight="false" outlineLevel="0" collapsed="false">
      <c r="A803" s="6" t="str">
        <f aca="false">YEAR(Q803-WEEKDAY(Q803,2)+4)&amp;"-S"&amp;TEXT(WEEKNUM(Q803,21),"00")</f>
        <v>2026-S26</v>
      </c>
      <c r="B803" s="18" t="s">
        <v>72</v>
      </c>
      <c r="C803" s="19" t="n">
        <v>0.333333333333333</v>
      </c>
      <c r="D803" s="19" t="n">
        <v>0.333333333333333</v>
      </c>
      <c r="E803" s="19" t="n">
        <v>0.75</v>
      </c>
      <c r="F803" s="19" t="n">
        <v>0.75</v>
      </c>
      <c r="G803" s="20"/>
      <c r="H803" s="20"/>
      <c r="I803" s="8" t="str">
        <f aca="false">IF(IF(OR(C803="",D803="Congé",D803="OFF",D803="Congé spécial"),"",IF(D803&gt;F803,D803-C803,IF(C803-D803&lt;0,0,C803-D803)))&lt;0.00068287037037037,"",IF(OR(D803="Congé",D803="OFF",C803="",D803="Congé spécial"),"",IF(D803&gt;F803,D803-C803,IF(C803-D803&lt;0,0,C803-D803))))</f>
        <v/>
      </c>
      <c r="J803" s="20"/>
      <c r="K803" s="8" t="n">
        <f aca="false">IF(SUM(H803:J803)&lt;0.00068287037037037,0,SUM(H803:J803))</f>
        <v>0</v>
      </c>
      <c r="L803" s="8" t="n">
        <f aca="false">IF(OR(F803="Congé",F803="OFF",M803="Abs",F803="Congé sans solde",F803="Férié",F803="Congé spécial",D803="Congé spécial"),0,IF(F803-E803&lt;0,0,IF(F803-E803&lt;=0.00068287037037037,0,F803-E803)))</f>
        <v>0</v>
      </c>
      <c r="M803" s="6" t="n">
        <f aca="false">IF(AND(O803&lt;&gt;0,C803=""),"Abs",0)</f>
        <v>0</v>
      </c>
      <c r="N803" s="8" t="n">
        <f aca="false">IFERROR(IF(OR(D803="OFF",D803="Congé",M803="Abs",D803="Congé sans solde",D803="Férié"),"",IF(O803-K803-L803&gt;O803,O803,IF(O803-K803-L803&lt;0,"",O803-K803-L803))),"")</f>
        <v>0.375</v>
      </c>
      <c r="O803" s="8" t="n">
        <f aca="false">IF(AG803="2H Pause déjeuner",IF(F803-D803-0.0833333333333333&lt;0,F803-D803-0.0833333333333333+1,F803-D803-0.0833333333333333),IF(OR(AND(F803="OFF",D803="OFF"),AND(F803="Congé",D803="Congé"),AND(F803="Congé sans solde",D803="Congé sans solde"),AND(F803="Congé spécial",D803="Congé spécial"),AND(F803="Férié",D803="Férié"),AND(F803="OFF",D803="Congé"),AND(F803="OFF",D803="Congé sans solde"),AND(F803="OFF",D803="Congé spécial"),AND(F803="OFF",D803="Férié"),AND(F803="Congé",D803="OFF"),AND(F803="Congé",D803="Congé sans solde"),AND(F803="Congé",D803="Congé spécial"),AND(F803="Congé",D803="Férié"),AND(F803="Congé sans solde",D803="OFF"),AND(F803="Congé sans solde",D803="Congé"),AND(F803="Congé sans solde",D803="Congé spécial"),AND(F803="Congé sans solde",D803="Férié"),AND(F803="Congé spécial",D803="OFF"),AND(F803="Congé spécial",D803="Congé"),AND(F803="Congé spécial",D803="Congé sans solde"),AND(F803="Congé spécial",D803="Férié"),AND(F803="Férié",D803="OFF"),AND(F803="Férié",D803="Congé"),AND(F803="Férié",D803="Congé sans solde"),AND(F803="Férié",D803="Congé spécial")),0,IF(OR(F803="OFF",F803="Congé",F803="Congé spécial",F803="Congé sans solde",D803="OFF",D803="Congé",D803="Congé spécial",D803="Congé sans solde"),0.208333333333334,IF(AND(AG803="",F803-D803&lt;0),("24:00:00"-D803)+("00:00:00"+F803)-0.0416666666666667,IF(AND(OR(AG803="Allaitement",AG803="Sans déjeuner"),F803-D803&lt;0),("24:00:00"-D803)+("00:00:00"+F803),IF(AND(AG803="",F803-D803&gt;0.166666666666667),F803-D803-0.0416666666666667,IF(AND(OR(AG803="Allaitement",AG803="Sans déjeuner"),F803-D803&gt;0.166666666666667),F803-D803,F803-D803)))))))</f>
        <v>0.375</v>
      </c>
      <c r="P803" s="6" t="str">
        <f aca="false">IFERROR(VLOOKUP($B803,Agents!$A:$D,2,0),"-")</f>
        <v>Accessibilité</v>
      </c>
      <c r="Q803" s="21" t="n">
        <v>46198</v>
      </c>
      <c r="R803" s="8" t="n">
        <f aca="false">IF(M803="Abs",O803,0)</f>
        <v>0</v>
      </c>
      <c r="S803" s="8" t="n">
        <f aca="false">SUM(R803,L803,I803,J803,W803,H803)</f>
        <v>0</v>
      </c>
      <c r="T803" s="6" t="str">
        <f aca="false">"Sem - "&amp;WEEKNUM(Q803,21)</f>
        <v>Sem - 26</v>
      </c>
      <c r="U803" s="6" t="str">
        <f aca="false">CHOOSE(MONTH(Q803),"Janvier","Février","Mars","Avril","Mai","Juin","Juillet","Août","Septembre","Octobre","Novembre","Décembre")</f>
        <v>Juin</v>
      </c>
      <c r="V803" s="22" t="n">
        <f aca="false">YEAR(Q803)</f>
        <v>2026</v>
      </c>
      <c r="W803" s="20"/>
      <c r="X803" s="8" t="n">
        <f aca="false">IFERROR(IF(M803="Abs",0,IF(ROUND((D803-C803+E803-F803)*1440,0)&lt;=1,0,D803-C803+E803-F803)),0)</f>
        <v>0</v>
      </c>
      <c r="Y803" s="6" t="str">
        <f aca="false">IFERROR(VLOOKUP($B803,Agents!$A:$D,3,0),"-")</f>
        <v>OUBRAHIM Mohammed</v>
      </c>
      <c r="Z803" s="6" t="str">
        <f aca="false">IFERROR(VLOOKUP($B803,Agents!$A:$D,4,0),"-")</f>
        <v>Credit Mutuel</v>
      </c>
      <c r="AA803" s="18" t="s">
        <v>108</v>
      </c>
      <c r="AB803" s="8" t="str">
        <f aca="false">IF(AND(D803="Congé",F803="Congé"),0.333333333333333,IF(OR(AND(D803="Congé",F803&lt;&gt;"Congé"),(AND(F803="Congé",D803&lt;&gt;"Congé"))),0.166666666666667,""))</f>
        <v/>
      </c>
      <c r="AC803" s="8" t="str">
        <f aca="false">IF(AND(D803="Congé sans solde",F803="Congé sans solde"),0.333333333333333,IF(OR(AND(D803="Congé sans solde",F803&lt;&gt;"Congé sans solde"),(AND(F803="Congé sans solde",D803&lt;&gt;"Congé sans solde"))),0.166666666666667,""))</f>
        <v/>
      </c>
      <c r="AD803" s="8" t="str">
        <f aca="false">IF(AND(D803="Congé spécial",F803="Congé spécial"),0.333333333333333,IF(OR(AND(D803="Congé spécial",F803&lt;&gt;"Congé spécial"),AND(F803="Congé spécial",D803&lt;&gt;"Congé spécial")),0.166666666666667,""))</f>
        <v/>
      </c>
      <c r="AE803" s="8" t="str">
        <f aca="false">IF(AND(D803="Férié",F803="Férié"),0.333333333333333,IF(OR(AND(D803="Férié",F803&lt;&gt;"Férié"),(AND(F803="Férié",D803&lt;&gt;"Férié"))),0.166666666666667,""))</f>
        <v/>
      </c>
      <c r="AF803" s="18"/>
      <c r="AG803" s="18"/>
    </row>
    <row r="804" customFormat="false" ht="15" hidden="false" customHeight="false" outlineLevel="0" collapsed="false">
      <c r="A804" s="6" t="str">
        <f aca="false">YEAR(Q804-WEEKDAY(Q804,2)+4)&amp;"-S"&amp;TEXT(WEEKNUM(Q804,21),"00")</f>
        <v>2026-S26</v>
      </c>
      <c r="B804" s="18" t="s">
        <v>73</v>
      </c>
      <c r="C804" s="19" t="n">
        <v>0.333333333333333</v>
      </c>
      <c r="D804" s="19" t="n">
        <v>0.333333333333333</v>
      </c>
      <c r="E804" s="19" t="n">
        <v>0.75</v>
      </c>
      <c r="F804" s="19" t="n">
        <v>0.75</v>
      </c>
      <c r="G804" s="20"/>
      <c r="H804" s="20"/>
      <c r="I804" s="8" t="str">
        <f aca="false">IF(IF(OR(C804="",D804="Congé",D804="OFF",D804="Congé spécial"),"",IF(D804&gt;F804,D804-C804,IF(C804-D804&lt;0,0,C804-D804)))&lt;0.00068287037037037,"",IF(OR(D804="Congé",D804="OFF",C804="",D804="Congé spécial"),"",IF(D804&gt;F804,D804-C804,IF(C804-D804&lt;0,0,C804-D804))))</f>
        <v/>
      </c>
      <c r="J804" s="20"/>
      <c r="K804" s="8" t="n">
        <f aca="false">IF(SUM(H804:J804)&lt;0.00068287037037037,0,SUM(H804:J804))</f>
        <v>0</v>
      </c>
      <c r="L804" s="8" t="n">
        <f aca="false">IF(OR(F804="Congé",F804="OFF",M804="Abs",F804="Congé sans solde",F804="Férié",F804="Congé spécial",D804="Congé spécial"),0,IF(F804-E804&lt;0,0,IF(F804-E804&lt;=0.00068287037037037,0,F804-E804)))</f>
        <v>0</v>
      </c>
      <c r="M804" s="6" t="n">
        <f aca="false">IF(AND(O804&lt;&gt;0,C804=""),"Abs",0)</f>
        <v>0</v>
      </c>
      <c r="N804" s="8" t="n">
        <f aca="false">IFERROR(IF(OR(D804="OFF",D804="Congé",M804="Abs",D804="Congé sans solde",D804="Férié"),"",IF(O804-K804-L804&gt;O804,O804,IF(O804-K804-L804&lt;0,"",O804-K804-L804))),"")</f>
        <v>0.375</v>
      </c>
      <c r="O804" s="8" t="n">
        <f aca="false">IF(AG804="2H Pause déjeuner",IF(F804-D804-0.0833333333333333&lt;0,F804-D804-0.0833333333333333+1,F804-D804-0.0833333333333333),IF(OR(AND(F804="OFF",D804="OFF"),AND(F804="Congé",D804="Congé"),AND(F804="Congé sans solde",D804="Congé sans solde"),AND(F804="Congé spécial",D804="Congé spécial"),AND(F804="Férié",D804="Férié"),AND(F804="OFF",D804="Congé"),AND(F804="OFF",D804="Congé sans solde"),AND(F804="OFF",D804="Congé spécial"),AND(F804="OFF",D804="Férié"),AND(F804="Congé",D804="OFF"),AND(F804="Congé",D804="Congé sans solde"),AND(F804="Congé",D804="Congé spécial"),AND(F804="Congé",D804="Férié"),AND(F804="Congé sans solde",D804="OFF"),AND(F804="Congé sans solde",D804="Congé"),AND(F804="Congé sans solde",D804="Congé spécial"),AND(F804="Congé sans solde",D804="Férié"),AND(F804="Congé spécial",D804="OFF"),AND(F804="Congé spécial",D804="Congé"),AND(F804="Congé spécial",D804="Congé sans solde"),AND(F804="Congé spécial",D804="Férié"),AND(F804="Férié",D804="OFF"),AND(F804="Férié",D804="Congé"),AND(F804="Férié",D804="Congé sans solde"),AND(F804="Férié",D804="Congé spécial")),0,IF(OR(F804="OFF",F804="Congé",F804="Congé spécial",F804="Congé sans solde",D804="OFF",D804="Congé",D804="Congé spécial",D804="Congé sans solde"),0.208333333333334,IF(AND(AG804="",F804-D804&lt;0),("24:00:00"-D804)+("00:00:00"+F804)-0.0416666666666667,IF(AND(OR(AG804="Allaitement",AG804="Sans déjeuner"),F804-D804&lt;0),("24:00:00"-D804)+("00:00:00"+F804),IF(AND(AG804="",F804-D804&gt;0.166666666666667),F804-D804-0.0416666666666667,IF(AND(OR(AG804="Allaitement",AG804="Sans déjeuner"),F804-D804&gt;0.166666666666667),F804-D804,F804-D804)))))))</f>
        <v>0.375</v>
      </c>
      <c r="P804" s="6" t="str">
        <f aca="false">IFERROR(VLOOKUP($B804,Agents!$A:$D,2,0),"-")</f>
        <v>Accessibilité</v>
      </c>
      <c r="Q804" s="21" t="n">
        <v>46198</v>
      </c>
      <c r="R804" s="8" t="n">
        <f aca="false">IF(M804="Abs",O804,0)</f>
        <v>0</v>
      </c>
      <c r="S804" s="8" t="n">
        <f aca="false">SUM(R804,L804,I804,J804,W804,H804)</f>
        <v>0</v>
      </c>
      <c r="T804" s="6" t="str">
        <f aca="false">"Sem - "&amp;WEEKNUM(Q804,21)</f>
        <v>Sem - 26</v>
      </c>
      <c r="U804" s="6" t="str">
        <f aca="false">CHOOSE(MONTH(Q804),"Janvier","Février","Mars","Avril","Mai","Juin","Juillet","Août","Septembre","Octobre","Novembre","Décembre")</f>
        <v>Juin</v>
      </c>
      <c r="V804" s="22" t="n">
        <f aca="false">YEAR(Q804)</f>
        <v>2026</v>
      </c>
      <c r="W804" s="20"/>
      <c r="X804" s="8" t="n">
        <f aca="false">IFERROR(IF(M804="Abs",0,IF(ROUND((D804-C804+E804-F804)*1440,0)&lt;=1,0,D804-C804+E804-F804)),0)</f>
        <v>0</v>
      </c>
      <c r="Y804" s="6" t="str">
        <f aca="false">IFERROR(VLOOKUP($B804,Agents!$A:$D,3,0),"-")</f>
        <v>OUBRAHIM Mohammed</v>
      </c>
      <c r="Z804" s="6" t="str">
        <f aca="false">IFERROR(VLOOKUP($B804,Agents!$A:$D,4,0),"-")</f>
        <v>Credit Mutuel</v>
      </c>
      <c r="AA804" s="18" t="s">
        <v>108</v>
      </c>
      <c r="AB804" s="8" t="str">
        <f aca="false">IF(AND(D804="Congé",F804="Congé"),0.333333333333333,IF(OR(AND(D804="Congé",F804&lt;&gt;"Congé"),(AND(F804="Congé",D804&lt;&gt;"Congé"))),0.166666666666667,""))</f>
        <v/>
      </c>
      <c r="AC804" s="8" t="str">
        <f aca="false">IF(AND(D804="Congé sans solde",F804="Congé sans solde"),0.333333333333333,IF(OR(AND(D804="Congé sans solde",F804&lt;&gt;"Congé sans solde"),(AND(F804="Congé sans solde",D804&lt;&gt;"Congé sans solde"))),0.166666666666667,""))</f>
        <v/>
      </c>
      <c r="AD804" s="8" t="str">
        <f aca="false">IF(AND(D804="Congé spécial",F804="Congé spécial"),0.333333333333333,IF(OR(AND(D804="Congé spécial",F804&lt;&gt;"Congé spécial"),AND(F804="Congé spécial",D804&lt;&gt;"Congé spécial")),0.166666666666667,""))</f>
        <v/>
      </c>
      <c r="AE804" s="8" t="str">
        <f aca="false">IF(AND(D804="Férié",F804="Férié"),0.333333333333333,IF(OR(AND(D804="Férié",F804&lt;&gt;"Férié"),(AND(F804="Férié",D804&lt;&gt;"Férié"))),0.166666666666667,""))</f>
        <v/>
      </c>
      <c r="AF804" s="18"/>
      <c r="AG804" s="18"/>
    </row>
    <row r="805" customFormat="false" ht="15" hidden="false" customHeight="false" outlineLevel="0" collapsed="false">
      <c r="A805" s="6" t="str">
        <f aca="false">YEAR(Q805-WEEKDAY(Q805,2)+4)&amp;"-S"&amp;TEXT(WEEKNUM(Q805,21),"00")</f>
        <v>2026-S26</v>
      </c>
      <c r="B805" s="18" t="s">
        <v>71</v>
      </c>
      <c r="C805" s="19" t="n">
        <v>0.333333333333333</v>
      </c>
      <c r="D805" s="19" t="n">
        <v>0.333333333333333</v>
      </c>
      <c r="E805" s="19" t="n">
        <v>0.708333333333333</v>
      </c>
      <c r="F805" s="19" t="n">
        <v>0.708333333333333</v>
      </c>
      <c r="G805" s="20"/>
      <c r="H805" s="20"/>
      <c r="I805" s="8" t="str">
        <f aca="false">IF(IF(OR(C805="",D805="Congé",D805="OFF",D805="Congé spécial"),"",IF(D805&gt;F805,D805-C805,IF(C805-D805&lt;0,0,C805-D805)))&lt;0.00068287037037037,"",IF(OR(D805="Congé",D805="OFF",C805="",D805="Congé spécial"),"",IF(D805&gt;F805,D805-C805,IF(C805-D805&lt;0,0,C805-D805))))</f>
        <v/>
      </c>
      <c r="J805" s="20"/>
      <c r="K805" s="8" t="n">
        <f aca="false">IF(SUM(H805:J805)&lt;0.00068287037037037,0,SUM(H805:J805))</f>
        <v>0</v>
      </c>
      <c r="L805" s="8" t="n">
        <f aca="false">IF(OR(F805="Congé",F805="OFF",M805="Abs",F805="Congé sans solde",F805="Férié",F805="Congé spécial",D805="Congé spécial"),0,IF(F805-E805&lt;0,0,IF(F805-E805&lt;=0.00068287037037037,0,F805-E805)))</f>
        <v>0</v>
      </c>
      <c r="M805" s="6" t="n">
        <f aca="false">IF(AND(O805&lt;&gt;0,C805=""),"Abs",0)</f>
        <v>0</v>
      </c>
      <c r="N805" s="8" t="n">
        <f aca="false">IFERROR(IF(OR(D805="OFF",D805="Congé",M805="Abs",D805="Congé sans solde",D805="Férié"),"",IF(O805-K805-L805&gt;O805,O805,IF(O805-K805-L805&lt;0,"",O805-K805-L805))),"")</f>
        <v>0.333333333333333</v>
      </c>
      <c r="O805" s="8" t="n">
        <f aca="false">IF(AG805="2H Pause déjeuner",IF(F805-D805-0.0833333333333333&lt;0,F805-D805-0.0833333333333333+1,F805-D805-0.0833333333333333),IF(OR(AND(F805="OFF",D805="OFF"),AND(F805="Congé",D805="Congé"),AND(F805="Congé sans solde",D805="Congé sans solde"),AND(F805="Congé spécial",D805="Congé spécial"),AND(F805="Férié",D805="Férié"),AND(F805="OFF",D805="Congé"),AND(F805="OFF",D805="Congé sans solde"),AND(F805="OFF",D805="Congé spécial"),AND(F805="OFF",D805="Férié"),AND(F805="Congé",D805="OFF"),AND(F805="Congé",D805="Congé sans solde"),AND(F805="Congé",D805="Congé spécial"),AND(F805="Congé",D805="Férié"),AND(F805="Congé sans solde",D805="OFF"),AND(F805="Congé sans solde",D805="Congé"),AND(F805="Congé sans solde",D805="Congé spécial"),AND(F805="Congé sans solde",D805="Férié"),AND(F805="Congé spécial",D805="OFF"),AND(F805="Congé spécial",D805="Congé"),AND(F805="Congé spécial",D805="Congé sans solde"),AND(F805="Congé spécial",D805="Férié"),AND(F805="Férié",D805="OFF"),AND(F805="Férié",D805="Congé"),AND(F805="Férié",D805="Congé sans solde"),AND(F805="Férié",D805="Congé spécial")),0,IF(OR(F805="OFF",F805="Congé",F805="Congé spécial",F805="Congé sans solde",D805="OFF",D805="Congé",D805="Congé spécial",D805="Congé sans solde"),0.208333333333334,IF(AND(AG805="",F805-D805&lt;0),("24:00:00"-D805)+("00:00:00"+F805)-0.0416666666666667,IF(AND(OR(AG805="Allaitement",AG805="Sans déjeuner"),F805-D805&lt;0),("24:00:00"-D805)+("00:00:00"+F805),IF(AND(AG805="",F805-D805&gt;0.166666666666667),F805-D805-0.0416666666666667,IF(AND(OR(AG805="Allaitement",AG805="Sans déjeuner"),F805-D805&gt;0.166666666666667),F805-D805,F805-D805)))))))</f>
        <v>0.333333333333333</v>
      </c>
      <c r="P805" s="6" t="str">
        <f aca="false">IFERROR(VLOOKUP($B805,Agents!$A:$D,2,0),"-")</f>
        <v>Accessibilité</v>
      </c>
      <c r="Q805" s="21" t="n">
        <v>46199</v>
      </c>
      <c r="R805" s="8" t="n">
        <f aca="false">IF(M805="Abs",O805,0)</f>
        <v>0</v>
      </c>
      <c r="S805" s="8" t="n">
        <f aca="false">SUM(R805,L805,I805,J805,W805,H805)</f>
        <v>0</v>
      </c>
      <c r="T805" s="6" t="str">
        <f aca="false">"Sem - "&amp;WEEKNUM(Q805,21)</f>
        <v>Sem - 26</v>
      </c>
      <c r="U805" s="6" t="str">
        <f aca="false">CHOOSE(MONTH(Q805),"Janvier","Février","Mars","Avril","Mai","Juin","Juillet","Août","Septembre","Octobre","Novembre","Décembre")</f>
        <v>Juin</v>
      </c>
      <c r="V805" s="22" t="n">
        <f aca="false">YEAR(Q805)</f>
        <v>2026</v>
      </c>
      <c r="W805" s="20"/>
      <c r="X805" s="8" t="n">
        <f aca="false">IFERROR(IF(M805="Abs",0,IF(ROUND((D805-C805+E805-F805)*1440,0)&lt;=1,0,D805-C805+E805-F805)),0)</f>
        <v>0</v>
      </c>
      <c r="Y805" s="6" t="str">
        <f aca="false">IFERROR(VLOOKUP($B805,Agents!$A:$D,3,0),"-")</f>
        <v>OUBRAHIM Mohammed</v>
      </c>
      <c r="Z805" s="6" t="str">
        <f aca="false">IFERROR(VLOOKUP($B805,Agents!$A:$D,4,0),"-")</f>
        <v>Credit Mutuel</v>
      </c>
      <c r="AA805" s="18" t="s">
        <v>108</v>
      </c>
      <c r="AB805" s="8" t="str">
        <f aca="false">IF(AND(D805="Congé",F805="Congé"),0.333333333333333,IF(OR(AND(D805="Congé",F805&lt;&gt;"Congé"),(AND(F805="Congé",D805&lt;&gt;"Congé"))),0.166666666666667,""))</f>
        <v/>
      </c>
      <c r="AC805" s="8" t="str">
        <f aca="false">IF(AND(D805="Congé sans solde",F805="Congé sans solde"),0.333333333333333,IF(OR(AND(D805="Congé sans solde",F805&lt;&gt;"Congé sans solde"),(AND(F805="Congé sans solde",D805&lt;&gt;"Congé sans solde"))),0.166666666666667,""))</f>
        <v/>
      </c>
      <c r="AD805" s="8" t="str">
        <f aca="false">IF(AND(D805="Congé spécial",F805="Congé spécial"),0.333333333333333,IF(OR(AND(D805="Congé spécial",F805&lt;&gt;"Congé spécial"),AND(F805="Congé spécial",D805&lt;&gt;"Congé spécial")),0.166666666666667,""))</f>
        <v/>
      </c>
      <c r="AE805" s="8" t="str">
        <f aca="false">IF(AND(D805="Férié",F805="Férié"),0.333333333333333,IF(OR(AND(D805="Férié",F805&lt;&gt;"Férié"),(AND(F805="Férié",D805&lt;&gt;"Férié"))),0.166666666666667,""))</f>
        <v/>
      </c>
      <c r="AF805" s="18"/>
      <c r="AG805" s="18"/>
    </row>
    <row r="806" customFormat="false" ht="15" hidden="false" customHeight="false" outlineLevel="0" collapsed="false">
      <c r="A806" s="6" t="str">
        <f aca="false">YEAR(Q806-WEEKDAY(Q806,2)+4)&amp;"-S"&amp;TEXT(WEEKNUM(Q806,21),"00")</f>
        <v>2026-S26</v>
      </c>
      <c r="B806" s="18" t="s">
        <v>72</v>
      </c>
      <c r="C806" s="19" t="n">
        <v>0.333333333333333</v>
      </c>
      <c r="D806" s="19" t="n">
        <v>0.333333333333333</v>
      </c>
      <c r="E806" s="19" t="n">
        <v>0.708333333333333</v>
      </c>
      <c r="F806" s="19" t="n">
        <v>0.708333333333333</v>
      </c>
      <c r="G806" s="20"/>
      <c r="H806" s="20"/>
      <c r="I806" s="8" t="str">
        <f aca="false">IF(IF(OR(C806="",D806="Congé",D806="OFF",D806="Congé spécial"),"",IF(D806&gt;F806,D806-C806,IF(C806-D806&lt;0,0,C806-D806)))&lt;0.00068287037037037,"",IF(OR(D806="Congé",D806="OFF",C806="",D806="Congé spécial"),"",IF(D806&gt;F806,D806-C806,IF(C806-D806&lt;0,0,C806-D806))))</f>
        <v/>
      </c>
      <c r="J806" s="20"/>
      <c r="K806" s="8" t="n">
        <f aca="false">IF(SUM(H806:J806)&lt;0.00068287037037037,0,SUM(H806:J806))</f>
        <v>0</v>
      </c>
      <c r="L806" s="8" t="n">
        <f aca="false">IF(OR(F806="Congé",F806="OFF",M806="Abs",F806="Congé sans solde",F806="Férié",F806="Congé spécial",D806="Congé spécial"),0,IF(F806-E806&lt;0,0,IF(F806-E806&lt;=0.00068287037037037,0,F806-E806)))</f>
        <v>0</v>
      </c>
      <c r="M806" s="6" t="n">
        <f aca="false">IF(AND(O806&lt;&gt;0,C806=""),"Abs",0)</f>
        <v>0</v>
      </c>
      <c r="N806" s="8" t="n">
        <f aca="false">IFERROR(IF(OR(D806="OFF",D806="Congé",M806="Abs",D806="Congé sans solde",D806="Férié"),"",IF(O806-K806-L806&gt;O806,O806,IF(O806-K806-L806&lt;0,"",O806-K806-L806))),"")</f>
        <v>0.333333333333333</v>
      </c>
      <c r="O806" s="8" t="n">
        <f aca="false">IF(AG806="2H Pause déjeuner",IF(F806-D806-0.0833333333333333&lt;0,F806-D806-0.0833333333333333+1,F806-D806-0.0833333333333333),IF(OR(AND(F806="OFF",D806="OFF"),AND(F806="Congé",D806="Congé"),AND(F806="Congé sans solde",D806="Congé sans solde"),AND(F806="Congé spécial",D806="Congé spécial"),AND(F806="Férié",D806="Férié"),AND(F806="OFF",D806="Congé"),AND(F806="OFF",D806="Congé sans solde"),AND(F806="OFF",D806="Congé spécial"),AND(F806="OFF",D806="Férié"),AND(F806="Congé",D806="OFF"),AND(F806="Congé",D806="Congé sans solde"),AND(F806="Congé",D806="Congé spécial"),AND(F806="Congé",D806="Férié"),AND(F806="Congé sans solde",D806="OFF"),AND(F806="Congé sans solde",D806="Congé"),AND(F806="Congé sans solde",D806="Congé spécial"),AND(F806="Congé sans solde",D806="Férié"),AND(F806="Congé spécial",D806="OFF"),AND(F806="Congé spécial",D806="Congé"),AND(F806="Congé spécial",D806="Congé sans solde"),AND(F806="Congé spécial",D806="Férié"),AND(F806="Férié",D806="OFF"),AND(F806="Férié",D806="Congé"),AND(F806="Férié",D806="Congé sans solde"),AND(F806="Férié",D806="Congé spécial")),0,IF(OR(F806="OFF",F806="Congé",F806="Congé spécial",F806="Congé sans solde",D806="OFF",D806="Congé",D806="Congé spécial",D806="Congé sans solde"),0.208333333333334,IF(AND(AG806="",F806-D806&lt;0),("24:00:00"-D806)+("00:00:00"+F806)-0.0416666666666667,IF(AND(OR(AG806="Allaitement",AG806="Sans déjeuner"),F806-D806&lt;0),("24:00:00"-D806)+("00:00:00"+F806),IF(AND(AG806="",F806-D806&gt;0.166666666666667),F806-D806-0.0416666666666667,IF(AND(OR(AG806="Allaitement",AG806="Sans déjeuner"),F806-D806&gt;0.166666666666667),F806-D806,F806-D806)))))))</f>
        <v>0.333333333333333</v>
      </c>
      <c r="P806" s="6" t="str">
        <f aca="false">IFERROR(VLOOKUP($B806,Agents!$A:$D,2,0),"-")</f>
        <v>Accessibilité</v>
      </c>
      <c r="Q806" s="21" t="n">
        <v>46199</v>
      </c>
      <c r="R806" s="8" t="n">
        <f aca="false">IF(M806="Abs",O806,0)</f>
        <v>0</v>
      </c>
      <c r="S806" s="8" t="n">
        <f aca="false">SUM(R806,L806,I806,J806,W806,H806)</f>
        <v>0</v>
      </c>
      <c r="T806" s="6" t="str">
        <f aca="false">"Sem - "&amp;WEEKNUM(Q806,21)</f>
        <v>Sem - 26</v>
      </c>
      <c r="U806" s="6" t="str">
        <f aca="false">CHOOSE(MONTH(Q806),"Janvier","Février","Mars","Avril","Mai","Juin","Juillet","Août","Septembre","Octobre","Novembre","Décembre")</f>
        <v>Juin</v>
      </c>
      <c r="V806" s="22" t="n">
        <f aca="false">YEAR(Q806)</f>
        <v>2026</v>
      </c>
      <c r="W806" s="20"/>
      <c r="X806" s="8" t="n">
        <f aca="false">IFERROR(IF(M806="Abs",0,IF(ROUND((D806-C806+E806-F806)*1440,0)&lt;=1,0,D806-C806+E806-F806)),0)</f>
        <v>0</v>
      </c>
      <c r="Y806" s="6" t="str">
        <f aca="false">IFERROR(VLOOKUP($B806,Agents!$A:$D,3,0),"-")</f>
        <v>OUBRAHIM Mohammed</v>
      </c>
      <c r="Z806" s="6" t="str">
        <f aca="false">IFERROR(VLOOKUP($B806,Agents!$A:$D,4,0),"-")</f>
        <v>Credit Mutuel</v>
      </c>
      <c r="AA806" s="18" t="s">
        <v>108</v>
      </c>
      <c r="AB806" s="8" t="str">
        <f aca="false">IF(AND(D806="Congé",F806="Congé"),0.333333333333333,IF(OR(AND(D806="Congé",F806&lt;&gt;"Congé"),(AND(F806="Congé",D806&lt;&gt;"Congé"))),0.166666666666667,""))</f>
        <v/>
      </c>
      <c r="AC806" s="8" t="str">
        <f aca="false">IF(AND(D806="Congé sans solde",F806="Congé sans solde"),0.333333333333333,IF(OR(AND(D806="Congé sans solde",F806&lt;&gt;"Congé sans solde"),(AND(F806="Congé sans solde",D806&lt;&gt;"Congé sans solde"))),0.166666666666667,""))</f>
        <v/>
      </c>
      <c r="AD806" s="8" t="str">
        <f aca="false">IF(AND(D806="Congé spécial",F806="Congé spécial"),0.333333333333333,IF(OR(AND(D806="Congé spécial",F806&lt;&gt;"Congé spécial"),AND(F806="Congé spécial",D806&lt;&gt;"Congé spécial")),0.166666666666667,""))</f>
        <v/>
      </c>
      <c r="AE806" s="8" t="str">
        <f aca="false">IF(AND(D806="Férié",F806="Férié"),0.333333333333333,IF(OR(AND(D806="Férié",F806&lt;&gt;"Férié"),(AND(F806="Férié",D806&lt;&gt;"Férié"))),0.166666666666667,""))</f>
        <v/>
      </c>
      <c r="AF806" s="18"/>
      <c r="AG806" s="18"/>
    </row>
    <row r="807" customFormat="false" ht="15" hidden="false" customHeight="false" outlineLevel="0" collapsed="false">
      <c r="A807" s="6" t="str">
        <f aca="false">YEAR(Q807-WEEKDAY(Q807,2)+4)&amp;"-S"&amp;TEXT(WEEKNUM(Q807,21),"00")</f>
        <v>2026-S26</v>
      </c>
      <c r="B807" s="18" t="s">
        <v>73</v>
      </c>
      <c r="C807" s="19" t="n">
        <v>0.333333333333333</v>
      </c>
      <c r="D807" s="19" t="n">
        <v>0.333333333333333</v>
      </c>
      <c r="E807" s="19" t="n">
        <v>0.708333333333333</v>
      </c>
      <c r="F807" s="19" t="n">
        <v>0.708333333333333</v>
      </c>
      <c r="G807" s="20"/>
      <c r="H807" s="20"/>
      <c r="I807" s="8" t="str">
        <f aca="false">IF(IF(OR(C807="",D807="Congé",D807="OFF",D807="Congé spécial"),"",IF(D807&gt;F807,D807-C807,IF(C807-D807&lt;0,0,C807-D807)))&lt;0.00068287037037037,"",IF(OR(D807="Congé",D807="OFF",C807="",D807="Congé spécial"),"",IF(D807&gt;F807,D807-C807,IF(C807-D807&lt;0,0,C807-D807))))</f>
        <v/>
      </c>
      <c r="J807" s="20"/>
      <c r="K807" s="8" t="n">
        <f aca="false">IF(SUM(H807:J807)&lt;0.00068287037037037,0,SUM(H807:J807))</f>
        <v>0</v>
      </c>
      <c r="L807" s="8" t="n">
        <f aca="false">IF(OR(F807="Congé",F807="OFF",M807="Abs",F807="Congé sans solde",F807="Férié",F807="Congé spécial",D807="Congé spécial"),0,IF(F807-E807&lt;0,0,IF(F807-E807&lt;=0.00068287037037037,0,F807-E807)))</f>
        <v>0</v>
      </c>
      <c r="M807" s="6" t="n">
        <f aca="false">IF(AND(O807&lt;&gt;0,C807=""),"Abs",0)</f>
        <v>0</v>
      </c>
      <c r="N807" s="8" t="n">
        <f aca="false">IFERROR(IF(OR(D807="OFF",D807="Congé",M807="Abs",D807="Congé sans solde",D807="Férié"),"",IF(O807-K807-L807&gt;O807,O807,IF(O807-K807-L807&lt;0,"",O807-K807-L807))),"")</f>
        <v>0.333333333333333</v>
      </c>
      <c r="O807" s="8" t="n">
        <f aca="false">IF(AG807="2H Pause déjeuner",IF(F807-D807-0.0833333333333333&lt;0,F807-D807-0.0833333333333333+1,F807-D807-0.0833333333333333),IF(OR(AND(F807="OFF",D807="OFF"),AND(F807="Congé",D807="Congé"),AND(F807="Congé sans solde",D807="Congé sans solde"),AND(F807="Congé spécial",D807="Congé spécial"),AND(F807="Férié",D807="Férié"),AND(F807="OFF",D807="Congé"),AND(F807="OFF",D807="Congé sans solde"),AND(F807="OFF",D807="Congé spécial"),AND(F807="OFF",D807="Férié"),AND(F807="Congé",D807="OFF"),AND(F807="Congé",D807="Congé sans solde"),AND(F807="Congé",D807="Congé spécial"),AND(F807="Congé",D807="Férié"),AND(F807="Congé sans solde",D807="OFF"),AND(F807="Congé sans solde",D807="Congé"),AND(F807="Congé sans solde",D807="Congé spécial"),AND(F807="Congé sans solde",D807="Férié"),AND(F807="Congé spécial",D807="OFF"),AND(F807="Congé spécial",D807="Congé"),AND(F807="Congé spécial",D807="Congé sans solde"),AND(F807="Congé spécial",D807="Férié"),AND(F807="Férié",D807="OFF"),AND(F807="Férié",D807="Congé"),AND(F807="Férié",D807="Congé sans solde"),AND(F807="Férié",D807="Congé spécial")),0,IF(OR(F807="OFF",F807="Congé",F807="Congé spécial",F807="Congé sans solde",D807="OFF",D807="Congé",D807="Congé spécial",D807="Congé sans solde"),0.208333333333334,IF(AND(AG807="",F807-D807&lt;0),("24:00:00"-D807)+("00:00:00"+F807)-0.0416666666666667,IF(AND(OR(AG807="Allaitement",AG807="Sans déjeuner"),F807-D807&lt;0),("24:00:00"-D807)+("00:00:00"+F807),IF(AND(AG807="",F807-D807&gt;0.166666666666667),F807-D807-0.0416666666666667,IF(AND(OR(AG807="Allaitement",AG807="Sans déjeuner"),F807-D807&gt;0.166666666666667),F807-D807,F807-D807)))))))</f>
        <v>0.333333333333333</v>
      </c>
      <c r="P807" s="6" t="str">
        <f aca="false">IFERROR(VLOOKUP($B807,Agents!$A:$D,2,0),"-")</f>
        <v>Accessibilité</v>
      </c>
      <c r="Q807" s="21" t="n">
        <v>46199</v>
      </c>
      <c r="R807" s="8" t="n">
        <f aca="false">IF(M807="Abs",O807,0)</f>
        <v>0</v>
      </c>
      <c r="S807" s="8" t="n">
        <f aca="false">SUM(R807,L807,I807,J807,W807,H807)</f>
        <v>0</v>
      </c>
      <c r="T807" s="6" t="str">
        <f aca="false">"Sem - "&amp;WEEKNUM(Q807,21)</f>
        <v>Sem - 26</v>
      </c>
      <c r="U807" s="6" t="str">
        <f aca="false">CHOOSE(MONTH(Q807),"Janvier","Février","Mars","Avril","Mai","Juin","Juillet","Août","Septembre","Octobre","Novembre","Décembre")</f>
        <v>Juin</v>
      </c>
      <c r="V807" s="22" t="n">
        <f aca="false">YEAR(Q807)</f>
        <v>2026</v>
      </c>
      <c r="W807" s="20"/>
      <c r="X807" s="8" t="n">
        <f aca="false">IFERROR(IF(M807="Abs",0,IF(ROUND((D807-C807+E807-F807)*1440,0)&lt;=1,0,D807-C807+E807-F807)),0)</f>
        <v>0</v>
      </c>
      <c r="Y807" s="6" t="str">
        <f aca="false">IFERROR(VLOOKUP($B807,Agents!$A:$D,3,0),"-")</f>
        <v>OUBRAHIM Mohammed</v>
      </c>
      <c r="Z807" s="6" t="str">
        <f aca="false">IFERROR(VLOOKUP($B807,Agents!$A:$D,4,0),"-")</f>
        <v>Credit Mutuel</v>
      </c>
      <c r="AA807" s="18" t="s">
        <v>108</v>
      </c>
      <c r="AB807" s="8" t="str">
        <f aca="false">IF(AND(D807="Congé",F807="Congé"),0.333333333333333,IF(OR(AND(D807="Congé",F807&lt;&gt;"Congé"),(AND(F807="Congé",D807&lt;&gt;"Congé"))),0.166666666666667,""))</f>
        <v/>
      </c>
      <c r="AC807" s="8" t="str">
        <f aca="false">IF(AND(D807="Congé sans solde",F807="Congé sans solde"),0.333333333333333,IF(OR(AND(D807="Congé sans solde",F807&lt;&gt;"Congé sans solde"),(AND(F807="Congé sans solde",D807&lt;&gt;"Congé sans solde"))),0.166666666666667,""))</f>
        <v/>
      </c>
      <c r="AD807" s="8" t="str">
        <f aca="false">IF(AND(D807="Congé spécial",F807="Congé spécial"),0.333333333333333,IF(OR(AND(D807="Congé spécial",F807&lt;&gt;"Congé spécial"),AND(F807="Congé spécial",D807&lt;&gt;"Congé spécial")),0.166666666666667,""))</f>
        <v/>
      </c>
      <c r="AE807" s="8" t="str">
        <f aca="false">IF(AND(D807="Férié",F807="Férié"),0.333333333333333,IF(OR(AND(D807="Férié",F807&lt;&gt;"Férié"),(AND(F807="Férié",D807&lt;&gt;"Férié"))),0.166666666666667,""))</f>
        <v/>
      </c>
      <c r="AF807" s="18"/>
      <c r="AG807" s="18"/>
    </row>
    <row r="808" customFormat="false" ht="15" hidden="false" customHeight="false" outlineLevel="0" collapsed="false">
      <c r="A808" s="6" t="str">
        <f aca="false">YEAR(Q808-WEEKDAY(Q808,2)+4)&amp;"-S"&amp;TEXT(WEEKNUM(Q808,21),"00")</f>
        <v>2026-S26</v>
      </c>
      <c r="B808" s="18" t="s">
        <v>71</v>
      </c>
      <c r="C808" s="19"/>
      <c r="D808" s="19" t="s">
        <v>74</v>
      </c>
      <c r="E808" s="19"/>
      <c r="F808" s="19" t="s">
        <v>74</v>
      </c>
      <c r="G808" s="20"/>
      <c r="H808" s="20"/>
      <c r="I808" s="8" t="str">
        <f aca="false">IF(IF(OR(C808="",D808="Congé",D808="OFF",D808="Congé spécial"),"",IF(D808&gt;F808,D808-C808,IF(C808-D808&lt;0,0,C808-D808)))&lt;0.00068287037037037,"",IF(OR(D808="Congé",D808="OFF",C808="",D808="Congé spécial"),"",IF(D808&gt;F808,D808-C808,IF(C808-D808&lt;0,0,C808-D808))))</f>
        <v/>
      </c>
      <c r="J808" s="20"/>
      <c r="K808" s="8" t="n">
        <f aca="false">IF(SUM(H808:J808)&lt;0.00068287037037037,0,SUM(H808:J808))</f>
        <v>0</v>
      </c>
      <c r="L808" s="8" t="n">
        <f aca="false">IF(OR(F808="Congé",F808="OFF",M808="Abs",F808="Congé sans solde",F808="Férié",F808="Congé spécial",D808="Congé spécial"),0,IF(F808-E808&lt;0,0,IF(F808-E808&lt;=0.00068287037037037,0,F808-E808)))</f>
        <v>0</v>
      </c>
      <c r="M808" s="6" t="n">
        <f aca="false">IF(AND(O808&lt;&gt;0,C808=""),"Abs",0)</f>
        <v>0</v>
      </c>
      <c r="N808" s="8" t="str">
        <f aca="false">IFERROR(IF(OR(D808="OFF",D808="Congé",M808="Abs",D808="Congé sans solde",D808="Férié"),"",IF(O808-K808-L808&gt;O808,O808,IF(O808-K808-L808&lt;0,"",O808-K808-L808))),"")</f>
        <v/>
      </c>
      <c r="O808" s="8" t="n">
        <f aca="false">IF(AG808="2H Pause déjeuner",IF(F808-D808-0.0833333333333333&lt;0,F808-D808-0.0833333333333333+1,F808-D808-0.0833333333333333),IF(OR(AND(F808="OFF",D808="OFF"),AND(F808="Congé",D808="Congé"),AND(F808="Congé sans solde",D808="Congé sans solde"),AND(F808="Congé spécial",D808="Congé spécial"),AND(F808="Férié",D808="Férié"),AND(F808="OFF",D808="Congé"),AND(F808="OFF",D808="Congé sans solde"),AND(F808="OFF",D808="Congé spécial"),AND(F808="OFF",D808="Férié"),AND(F808="Congé",D808="OFF"),AND(F808="Congé",D808="Congé sans solde"),AND(F808="Congé",D808="Congé spécial"),AND(F808="Congé",D808="Férié"),AND(F808="Congé sans solde",D808="OFF"),AND(F808="Congé sans solde",D808="Congé"),AND(F808="Congé sans solde",D808="Congé spécial"),AND(F808="Congé sans solde",D808="Férié"),AND(F808="Congé spécial",D808="OFF"),AND(F808="Congé spécial",D808="Congé"),AND(F808="Congé spécial",D808="Congé sans solde"),AND(F808="Congé spécial",D808="Férié"),AND(F808="Férié",D808="OFF"),AND(F808="Férié",D808="Congé"),AND(F808="Férié",D808="Congé sans solde"),AND(F808="Férié",D808="Congé spécial")),0,IF(OR(F808="OFF",F808="Congé",F808="Congé spécial",F808="Congé sans solde",D808="OFF",D808="Congé",D808="Congé spécial",D808="Congé sans solde"),0.208333333333334,IF(AND(AG808="",F808-D808&lt;0),("24:00:00"-D808)+("00:00:00"+F808)-0.0416666666666667,IF(AND(OR(AG808="Allaitement",AG808="Sans déjeuner"),F808-D808&lt;0),("24:00:00"-D808)+("00:00:00"+F808),IF(AND(AG808="",F808-D808&gt;0.166666666666667),F808-D808-0.0416666666666667,IF(AND(OR(AG808="Allaitement",AG808="Sans déjeuner"),F808-D808&gt;0.166666666666667),F808-D808,F808-D808)))))))</f>
        <v>0</v>
      </c>
      <c r="P808" s="6" t="str">
        <f aca="false">IFERROR(VLOOKUP($B808,Agents!$A:$D,2,0),"-")</f>
        <v>Accessibilité</v>
      </c>
      <c r="Q808" s="21" t="n">
        <v>46200</v>
      </c>
      <c r="R808" s="8" t="n">
        <f aca="false">IF(M808="Abs",O808,0)</f>
        <v>0</v>
      </c>
      <c r="S808" s="8" t="n">
        <f aca="false">SUM(R808,L808,I808,J808,W808,H808)</f>
        <v>0</v>
      </c>
      <c r="T808" s="6" t="str">
        <f aca="false">"Sem - "&amp;WEEKNUM(Q808,21)</f>
        <v>Sem - 26</v>
      </c>
      <c r="U808" s="6" t="str">
        <f aca="false">CHOOSE(MONTH(Q808),"Janvier","Février","Mars","Avril","Mai","Juin","Juillet","Août","Septembre","Octobre","Novembre","Décembre")</f>
        <v>Juin</v>
      </c>
      <c r="V808" s="22" t="n">
        <f aca="false">YEAR(Q808)</f>
        <v>2026</v>
      </c>
      <c r="W808" s="20"/>
      <c r="X808" s="8" t="n">
        <f aca="false">IFERROR(IF(M808="Abs",0,IF(ROUND((D808-C808+E808-F808)*1440,0)&lt;=1,0,D808-C808+E808-F808)),0)</f>
        <v>0</v>
      </c>
      <c r="Y808" s="6" t="str">
        <f aca="false">IFERROR(VLOOKUP($B808,Agents!$A:$D,3,0),"-")</f>
        <v>OUBRAHIM Mohammed</v>
      </c>
      <c r="Z808" s="6" t="str">
        <f aca="false">IFERROR(VLOOKUP($B808,Agents!$A:$D,4,0),"-")</f>
        <v>Credit Mutuel</v>
      </c>
      <c r="AA808" s="18" t="s">
        <v>108</v>
      </c>
      <c r="AB808" s="8" t="str">
        <f aca="false">IF(AND(D808="Congé",F808="Congé"),0.333333333333333,IF(OR(AND(D808="Congé",F808&lt;&gt;"Congé"),(AND(F808="Congé",D808&lt;&gt;"Congé"))),0.166666666666667,""))</f>
        <v/>
      </c>
      <c r="AC808" s="8" t="str">
        <f aca="false">IF(AND(D808="Congé sans solde",F808="Congé sans solde"),0.333333333333333,IF(OR(AND(D808="Congé sans solde",F808&lt;&gt;"Congé sans solde"),(AND(F808="Congé sans solde",D808&lt;&gt;"Congé sans solde"))),0.166666666666667,""))</f>
        <v/>
      </c>
      <c r="AD808" s="8" t="str">
        <f aca="false">IF(AND(D808="Congé spécial",F808="Congé spécial"),0.333333333333333,IF(OR(AND(D808="Congé spécial",F808&lt;&gt;"Congé spécial"),AND(F808="Congé spécial",D808&lt;&gt;"Congé spécial")),0.166666666666667,""))</f>
        <v/>
      </c>
      <c r="AE808" s="8" t="str">
        <f aca="false">IF(AND(D808="Férié",F808="Férié"),0.333333333333333,IF(OR(AND(D808="Férié",F808&lt;&gt;"Férié"),(AND(F808="Férié",D808&lt;&gt;"Férié"))),0.166666666666667,""))</f>
        <v/>
      </c>
      <c r="AF808" s="18"/>
      <c r="AG808" s="18"/>
    </row>
    <row r="809" customFormat="false" ht="15" hidden="false" customHeight="false" outlineLevel="0" collapsed="false">
      <c r="A809" s="6" t="str">
        <f aca="false">YEAR(Q809-WEEKDAY(Q809,2)+4)&amp;"-S"&amp;TEXT(WEEKNUM(Q809,21),"00")</f>
        <v>2026-S26</v>
      </c>
      <c r="B809" s="18" t="s">
        <v>72</v>
      </c>
      <c r="C809" s="19"/>
      <c r="D809" s="19" t="s">
        <v>74</v>
      </c>
      <c r="E809" s="19"/>
      <c r="F809" s="19" t="s">
        <v>74</v>
      </c>
      <c r="G809" s="20"/>
      <c r="H809" s="20"/>
      <c r="I809" s="8" t="str">
        <f aca="false">IF(IF(OR(C809="",D809="Congé",D809="OFF",D809="Congé spécial"),"",IF(D809&gt;F809,D809-C809,IF(C809-D809&lt;0,0,C809-D809)))&lt;0.00068287037037037,"",IF(OR(D809="Congé",D809="OFF",C809="",D809="Congé spécial"),"",IF(D809&gt;F809,D809-C809,IF(C809-D809&lt;0,0,C809-D809))))</f>
        <v/>
      </c>
      <c r="J809" s="20"/>
      <c r="K809" s="8" t="n">
        <f aca="false">IF(SUM(H809:J809)&lt;0.00068287037037037,0,SUM(H809:J809))</f>
        <v>0</v>
      </c>
      <c r="L809" s="8" t="n">
        <f aca="false">IF(OR(F809="Congé",F809="OFF",M809="Abs",F809="Congé sans solde",F809="Férié",F809="Congé spécial",D809="Congé spécial"),0,IF(F809-E809&lt;0,0,IF(F809-E809&lt;=0.00068287037037037,0,F809-E809)))</f>
        <v>0</v>
      </c>
      <c r="M809" s="6" t="n">
        <f aca="false">IF(AND(O809&lt;&gt;0,C809=""),"Abs",0)</f>
        <v>0</v>
      </c>
      <c r="N809" s="8" t="str">
        <f aca="false">IFERROR(IF(OR(D809="OFF",D809="Congé",M809="Abs",D809="Congé sans solde",D809="Férié"),"",IF(O809-K809-L809&gt;O809,O809,IF(O809-K809-L809&lt;0,"",O809-K809-L809))),"")</f>
        <v/>
      </c>
      <c r="O809" s="8" t="n">
        <f aca="false">IF(AG809="2H Pause déjeuner",IF(F809-D809-0.0833333333333333&lt;0,F809-D809-0.0833333333333333+1,F809-D809-0.0833333333333333),IF(OR(AND(F809="OFF",D809="OFF"),AND(F809="Congé",D809="Congé"),AND(F809="Congé sans solde",D809="Congé sans solde"),AND(F809="Congé spécial",D809="Congé spécial"),AND(F809="Férié",D809="Férié"),AND(F809="OFF",D809="Congé"),AND(F809="OFF",D809="Congé sans solde"),AND(F809="OFF",D809="Congé spécial"),AND(F809="OFF",D809="Férié"),AND(F809="Congé",D809="OFF"),AND(F809="Congé",D809="Congé sans solde"),AND(F809="Congé",D809="Congé spécial"),AND(F809="Congé",D809="Férié"),AND(F809="Congé sans solde",D809="OFF"),AND(F809="Congé sans solde",D809="Congé"),AND(F809="Congé sans solde",D809="Congé spécial"),AND(F809="Congé sans solde",D809="Férié"),AND(F809="Congé spécial",D809="OFF"),AND(F809="Congé spécial",D809="Congé"),AND(F809="Congé spécial",D809="Congé sans solde"),AND(F809="Congé spécial",D809="Férié"),AND(F809="Férié",D809="OFF"),AND(F809="Férié",D809="Congé"),AND(F809="Férié",D809="Congé sans solde"),AND(F809="Férié",D809="Congé spécial")),0,IF(OR(F809="OFF",F809="Congé",F809="Congé spécial",F809="Congé sans solde",D809="OFF",D809="Congé",D809="Congé spécial",D809="Congé sans solde"),0.208333333333334,IF(AND(AG809="",F809-D809&lt;0),("24:00:00"-D809)+("00:00:00"+F809)-0.0416666666666667,IF(AND(OR(AG809="Allaitement",AG809="Sans déjeuner"),F809-D809&lt;0),("24:00:00"-D809)+("00:00:00"+F809),IF(AND(AG809="",F809-D809&gt;0.166666666666667),F809-D809-0.0416666666666667,IF(AND(OR(AG809="Allaitement",AG809="Sans déjeuner"),F809-D809&gt;0.166666666666667),F809-D809,F809-D809)))))))</f>
        <v>0</v>
      </c>
      <c r="P809" s="6" t="str">
        <f aca="false">IFERROR(VLOOKUP($B809,Agents!$A:$D,2,0),"-")</f>
        <v>Accessibilité</v>
      </c>
      <c r="Q809" s="21" t="n">
        <v>46200</v>
      </c>
      <c r="R809" s="8" t="n">
        <f aca="false">IF(M809="Abs",O809,0)</f>
        <v>0</v>
      </c>
      <c r="S809" s="8" t="n">
        <f aca="false">SUM(R809,L809,I809,J809,W809,H809)</f>
        <v>0</v>
      </c>
      <c r="T809" s="6" t="str">
        <f aca="false">"Sem - "&amp;WEEKNUM(Q809,21)</f>
        <v>Sem - 26</v>
      </c>
      <c r="U809" s="6" t="str">
        <f aca="false">CHOOSE(MONTH(Q809),"Janvier","Février","Mars","Avril","Mai","Juin","Juillet","Août","Septembre","Octobre","Novembre","Décembre")</f>
        <v>Juin</v>
      </c>
      <c r="V809" s="22" t="n">
        <f aca="false">YEAR(Q809)</f>
        <v>2026</v>
      </c>
      <c r="W809" s="20"/>
      <c r="X809" s="8" t="n">
        <f aca="false">IFERROR(IF(M809="Abs",0,IF(ROUND((D809-C809+E809-F809)*1440,0)&lt;=1,0,D809-C809+E809-F809)),0)</f>
        <v>0</v>
      </c>
      <c r="Y809" s="6" t="str">
        <f aca="false">IFERROR(VLOOKUP($B809,Agents!$A:$D,3,0),"-")</f>
        <v>OUBRAHIM Mohammed</v>
      </c>
      <c r="Z809" s="6" t="str">
        <f aca="false">IFERROR(VLOOKUP($B809,Agents!$A:$D,4,0),"-")</f>
        <v>Credit Mutuel</v>
      </c>
      <c r="AA809" s="18" t="s">
        <v>108</v>
      </c>
      <c r="AB809" s="8" t="str">
        <f aca="false">IF(AND(D809="Congé",F809="Congé"),0.333333333333333,IF(OR(AND(D809="Congé",F809&lt;&gt;"Congé"),(AND(F809="Congé",D809&lt;&gt;"Congé"))),0.166666666666667,""))</f>
        <v/>
      </c>
      <c r="AC809" s="8" t="str">
        <f aca="false">IF(AND(D809="Congé sans solde",F809="Congé sans solde"),0.333333333333333,IF(OR(AND(D809="Congé sans solde",F809&lt;&gt;"Congé sans solde"),(AND(F809="Congé sans solde",D809&lt;&gt;"Congé sans solde"))),0.166666666666667,""))</f>
        <v/>
      </c>
      <c r="AD809" s="8" t="str">
        <f aca="false">IF(AND(D809="Congé spécial",F809="Congé spécial"),0.333333333333333,IF(OR(AND(D809="Congé spécial",F809&lt;&gt;"Congé spécial"),AND(F809="Congé spécial",D809&lt;&gt;"Congé spécial")),0.166666666666667,""))</f>
        <v/>
      </c>
      <c r="AE809" s="8" t="str">
        <f aca="false">IF(AND(D809="Férié",F809="Férié"),0.333333333333333,IF(OR(AND(D809="Férié",F809&lt;&gt;"Férié"),(AND(F809="Férié",D809&lt;&gt;"Férié"))),0.166666666666667,""))</f>
        <v/>
      </c>
      <c r="AF809" s="18"/>
      <c r="AG809" s="18"/>
    </row>
    <row r="810" customFormat="false" ht="15" hidden="false" customHeight="false" outlineLevel="0" collapsed="false">
      <c r="A810" s="6" t="str">
        <f aca="false">YEAR(Q810-WEEKDAY(Q810,2)+4)&amp;"-S"&amp;TEXT(WEEKNUM(Q810,21),"00")</f>
        <v>2026-S26</v>
      </c>
      <c r="B810" s="18" t="s">
        <v>73</v>
      </c>
      <c r="C810" s="19"/>
      <c r="D810" s="19" t="s">
        <v>74</v>
      </c>
      <c r="E810" s="19"/>
      <c r="F810" s="19" t="s">
        <v>74</v>
      </c>
      <c r="G810" s="20"/>
      <c r="H810" s="20"/>
      <c r="I810" s="8" t="str">
        <f aca="false">IF(IF(OR(C810="",D810="Congé",D810="OFF",D810="Congé spécial"),"",IF(D810&gt;F810,D810-C810,IF(C810-D810&lt;0,0,C810-D810)))&lt;0.00068287037037037,"",IF(OR(D810="Congé",D810="OFF",C810="",D810="Congé spécial"),"",IF(D810&gt;F810,D810-C810,IF(C810-D810&lt;0,0,C810-D810))))</f>
        <v/>
      </c>
      <c r="J810" s="20"/>
      <c r="K810" s="8" t="n">
        <f aca="false">IF(SUM(H810:J810)&lt;0.00068287037037037,0,SUM(H810:J810))</f>
        <v>0</v>
      </c>
      <c r="L810" s="8" t="n">
        <f aca="false">IF(OR(F810="Congé",F810="OFF",M810="Abs",F810="Congé sans solde",F810="Férié",F810="Congé spécial",D810="Congé spécial"),0,IF(F810-E810&lt;0,0,IF(F810-E810&lt;=0.00068287037037037,0,F810-E810)))</f>
        <v>0</v>
      </c>
      <c r="M810" s="6" t="n">
        <f aca="false">IF(AND(O810&lt;&gt;0,C810=""),"Abs",0)</f>
        <v>0</v>
      </c>
      <c r="N810" s="8" t="str">
        <f aca="false">IFERROR(IF(OR(D810="OFF",D810="Congé",M810="Abs",D810="Congé sans solde",D810="Férié"),"",IF(O810-K810-L810&gt;O810,O810,IF(O810-K810-L810&lt;0,"",O810-K810-L810))),"")</f>
        <v/>
      </c>
      <c r="O810" s="8" t="n">
        <f aca="false">IF(AG810="2H Pause déjeuner",IF(F810-D810-0.0833333333333333&lt;0,F810-D810-0.0833333333333333+1,F810-D810-0.0833333333333333),IF(OR(AND(F810="OFF",D810="OFF"),AND(F810="Congé",D810="Congé"),AND(F810="Congé sans solde",D810="Congé sans solde"),AND(F810="Congé spécial",D810="Congé spécial"),AND(F810="Férié",D810="Férié"),AND(F810="OFF",D810="Congé"),AND(F810="OFF",D810="Congé sans solde"),AND(F810="OFF",D810="Congé spécial"),AND(F810="OFF",D810="Férié"),AND(F810="Congé",D810="OFF"),AND(F810="Congé",D810="Congé sans solde"),AND(F810="Congé",D810="Congé spécial"),AND(F810="Congé",D810="Férié"),AND(F810="Congé sans solde",D810="OFF"),AND(F810="Congé sans solde",D810="Congé"),AND(F810="Congé sans solde",D810="Congé spécial"),AND(F810="Congé sans solde",D810="Férié"),AND(F810="Congé spécial",D810="OFF"),AND(F810="Congé spécial",D810="Congé"),AND(F810="Congé spécial",D810="Congé sans solde"),AND(F810="Congé spécial",D810="Férié"),AND(F810="Férié",D810="OFF"),AND(F810="Férié",D810="Congé"),AND(F810="Férié",D810="Congé sans solde"),AND(F810="Férié",D810="Congé spécial")),0,IF(OR(F810="OFF",F810="Congé",F810="Congé spécial",F810="Congé sans solde",D810="OFF",D810="Congé",D810="Congé spécial",D810="Congé sans solde"),0.208333333333334,IF(AND(AG810="",F810-D810&lt;0),("24:00:00"-D810)+("00:00:00"+F810)-0.0416666666666667,IF(AND(OR(AG810="Allaitement",AG810="Sans déjeuner"),F810-D810&lt;0),("24:00:00"-D810)+("00:00:00"+F810),IF(AND(AG810="",F810-D810&gt;0.166666666666667),F810-D810-0.0416666666666667,IF(AND(OR(AG810="Allaitement",AG810="Sans déjeuner"),F810-D810&gt;0.166666666666667),F810-D810,F810-D810)))))))</f>
        <v>0</v>
      </c>
      <c r="P810" s="6" t="str">
        <f aca="false">IFERROR(VLOOKUP($B810,Agents!$A:$D,2,0),"-")</f>
        <v>Accessibilité</v>
      </c>
      <c r="Q810" s="21" t="n">
        <v>46200</v>
      </c>
      <c r="R810" s="8" t="n">
        <f aca="false">IF(M810="Abs",O810,0)</f>
        <v>0</v>
      </c>
      <c r="S810" s="8" t="n">
        <f aca="false">SUM(R810,L810,I810,J810,W810,H810)</f>
        <v>0</v>
      </c>
      <c r="T810" s="6" t="str">
        <f aca="false">"Sem - "&amp;WEEKNUM(Q810,21)</f>
        <v>Sem - 26</v>
      </c>
      <c r="U810" s="6" t="str">
        <f aca="false">CHOOSE(MONTH(Q810),"Janvier","Février","Mars","Avril","Mai","Juin","Juillet","Août","Septembre","Octobre","Novembre","Décembre")</f>
        <v>Juin</v>
      </c>
      <c r="V810" s="22" t="n">
        <f aca="false">YEAR(Q810)</f>
        <v>2026</v>
      </c>
      <c r="W810" s="20"/>
      <c r="X810" s="8" t="n">
        <f aca="false">IFERROR(IF(M810="Abs",0,IF(ROUND((D810-C810+E810-F810)*1440,0)&lt;=1,0,D810-C810+E810-F810)),0)</f>
        <v>0</v>
      </c>
      <c r="Y810" s="6" t="str">
        <f aca="false">IFERROR(VLOOKUP($B810,Agents!$A:$D,3,0),"-")</f>
        <v>OUBRAHIM Mohammed</v>
      </c>
      <c r="Z810" s="6" t="str">
        <f aca="false">IFERROR(VLOOKUP($B810,Agents!$A:$D,4,0),"-")</f>
        <v>Credit Mutuel</v>
      </c>
      <c r="AA810" s="18" t="s">
        <v>108</v>
      </c>
      <c r="AB810" s="8" t="str">
        <f aca="false">IF(AND(D810="Congé",F810="Congé"),0.333333333333333,IF(OR(AND(D810="Congé",F810&lt;&gt;"Congé"),(AND(F810="Congé",D810&lt;&gt;"Congé"))),0.166666666666667,""))</f>
        <v/>
      </c>
      <c r="AC810" s="8" t="str">
        <f aca="false">IF(AND(D810="Congé sans solde",F810="Congé sans solde"),0.333333333333333,IF(OR(AND(D810="Congé sans solde",F810&lt;&gt;"Congé sans solde"),(AND(F810="Congé sans solde",D810&lt;&gt;"Congé sans solde"))),0.166666666666667,""))</f>
        <v/>
      </c>
      <c r="AD810" s="8" t="str">
        <f aca="false">IF(AND(D810="Congé spécial",F810="Congé spécial"),0.333333333333333,IF(OR(AND(D810="Congé spécial",F810&lt;&gt;"Congé spécial"),AND(F810="Congé spécial",D810&lt;&gt;"Congé spécial")),0.166666666666667,""))</f>
        <v/>
      </c>
      <c r="AE810" s="8" t="str">
        <f aca="false">IF(AND(D810="Férié",F810="Férié"),0.333333333333333,IF(OR(AND(D810="Férié",F810&lt;&gt;"Férié"),(AND(F810="Férié",D810&lt;&gt;"Férié"))),0.166666666666667,""))</f>
        <v/>
      </c>
      <c r="AF810" s="18"/>
      <c r="AG810" s="18"/>
    </row>
    <row r="811" customFormat="false" ht="15" hidden="false" customHeight="false" outlineLevel="0" collapsed="false">
      <c r="A811" s="6" t="str">
        <f aca="false">YEAR(Q811-WEEKDAY(Q811,2)+4)&amp;"-S"&amp;TEXT(WEEKNUM(Q811,21),"00")</f>
        <v>2026-S26</v>
      </c>
      <c r="B811" s="18" t="s">
        <v>71</v>
      </c>
      <c r="C811" s="19"/>
      <c r="D811" s="19" t="s">
        <v>74</v>
      </c>
      <c r="E811" s="19"/>
      <c r="F811" s="19" t="s">
        <v>74</v>
      </c>
      <c r="G811" s="20"/>
      <c r="H811" s="20"/>
      <c r="I811" s="8" t="str">
        <f aca="false">IF(IF(OR(C811="",D811="Congé",D811="OFF",D811="Congé spécial"),"",IF(D811&gt;F811,D811-C811,IF(C811-D811&lt;0,0,C811-D811)))&lt;0.00068287037037037,"",IF(OR(D811="Congé",D811="OFF",C811="",D811="Congé spécial"),"",IF(D811&gt;F811,D811-C811,IF(C811-D811&lt;0,0,C811-D811))))</f>
        <v/>
      </c>
      <c r="J811" s="20"/>
      <c r="K811" s="8" t="n">
        <f aca="false">IF(SUM(H811:J811)&lt;0.00068287037037037,0,SUM(H811:J811))</f>
        <v>0</v>
      </c>
      <c r="L811" s="8" t="n">
        <f aca="false">IF(OR(F811="Congé",F811="OFF",M811="Abs",F811="Congé sans solde",F811="Férié",F811="Congé spécial",D811="Congé spécial"),0,IF(F811-E811&lt;0,0,IF(F811-E811&lt;=0.00068287037037037,0,F811-E811)))</f>
        <v>0</v>
      </c>
      <c r="M811" s="6" t="n">
        <f aca="false">IF(AND(O811&lt;&gt;0,C811=""),"Abs",0)</f>
        <v>0</v>
      </c>
      <c r="N811" s="8" t="str">
        <f aca="false">IFERROR(IF(OR(D811="OFF",D811="Congé",M811="Abs",D811="Congé sans solde",D811="Férié"),"",IF(O811-K811-L811&gt;O811,O811,IF(O811-K811-L811&lt;0,"",O811-K811-L811))),"")</f>
        <v/>
      </c>
      <c r="O811" s="8" t="n">
        <f aca="false">IF(AG811="2H Pause déjeuner",IF(F811-D811-0.0833333333333333&lt;0,F811-D811-0.0833333333333333+1,F811-D811-0.0833333333333333),IF(OR(AND(F811="OFF",D811="OFF"),AND(F811="Congé",D811="Congé"),AND(F811="Congé sans solde",D811="Congé sans solde"),AND(F811="Congé spécial",D811="Congé spécial"),AND(F811="Férié",D811="Férié"),AND(F811="OFF",D811="Congé"),AND(F811="OFF",D811="Congé sans solde"),AND(F811="OFF",D811="Congé spécial"),AND(F811="OFF",D811="Férié"),AND(F811="Congé",D811="OFF"),AND(F811="Congé",D811="Congé sans solde"),AND(F811="Congé",D811="Congé spécial"),AND(F811="Congé",D811="Férié"),AND(F811="Congé sans solde",D811="OFF"),AND(F811="Congé sans solde",D811="Congé"),AND(F811="Congé sans solde",D811="Congé spécial"),AND(F811="Congé sans solde",D811="Férié"),AND(F811="Congé spécial",D811="OFF"),AND(F811="Congé spécial",D811="Congé"),AND(F811="Congé spécial",D811="Congé sans solde"),AND(F811="Congé spécial",D811="Férié"),AND(F811="Férié",D811="OFF"),AND(F811="Férié",D811="Congé"),AND(F811="Férié",D811="Congé sans solde"),AND(F811="Férié",D811="Congé spécial")),0,IF(OR(F811="OFF",F811="Congé",F811="Congé spécial",F811="Congé sans solde",D811="OFF",D811="Congé",D811="Congé spécial",D811="Congé sans solde"),0.208333333333334,IF(AND(AG811="",F811-D811&lt;0),("24:00:00"-D811)+("00:00:00"+F811)-0.0416666666666667,IF(AND(OR(AG811="Allaitement",AG811="Sans déjeuner"),F811-D811&lt;0),("24:00:00"-D811)+("00:00:00"+F811),IF(AND(AG811="",F811-D811&gt;0.166666666666667),F811-D811-0.0416666666666667,IF(AND(OR(AG811="Allaitement",AG811="Sans déjeuner"),F811-D811&gt;0.166666666666667),F811-D811,F811-D811)))))))</f>
        <v>0</v>
      </c>
      <c r="P811" s="6" t="str">
        <f aca="false">IFERROR(VLOOKUP($B811,Agents!$A:$D,2,0),"-")</f>
        <v>Accessibilité</v>
      </c>
      <c r="Q811" s="21" t="n">
        <v>46201</v>
      </c>
      <c r="R811" s="8" t="n">
        <f aca="false">IF(M811="Abs",O811,0)</f>
        <v>0</v>
      </c>
      <c r="S811" s="8" t="n">
        <f aca="false">SUM(R811,L811,I811,J811,W811,H811)</f>
        <v>0</v>
      </c>
      <c r="T811" s="6" t="str">
        <f aca="false">"Sem - "&amp;WEEKNUM(Q811,21)</f>
        <v>Sem - 26</v>
      </c>
      <c r="U811" s="6" t="str">
        <f aca="false">CHOOSE(MONTH(Q811),"Janvier","Février","Mars","Avril","Mai","Juin","Juillet","Août","Septembre","Octobre","Novembre","Décembre")</f>
        <v>Juin</v>
      </c>
      <c r="V811" s="22" t="n">
        <f aca="false">YEAR(Q811)</f>
        <v>2026</v>
      </c>
      <c r="W811" s="20"/>
      <c r="X811" s="8" t="n">
        <f aca="false">IFERROR(IF(M811="Abs",0,IF(ROUND((D811-C811+E811-F811)*1440,0)&lt;=1,0,D811-C811+E811-F811)),0)</f>
        <v>0</v>
      </c>
      <c r="Y811" s="6" t="str">
        <f aca="false">IFERROR(VLOOKUP($B811,Agents!$A:$D,3,0),"-")</f>
        <v>OUBRAHIM Mohammed</v>
      </c>
      <c r="Z811" s="6" t="str">
        <f aca="false">IFERROR(VLOOKUP($B811,Agents!$A:$D,4,0),"-")</f>
        <v>Credit Mutuel</v>
      </c>
      <c r="AA811" s="18" t="s">
        <v>108</v>
      </c>
      <c r="AB811" s="8" t="str">
        <f aca="false">IF(AND(D811="Congé",F811="Congé"),0.333333333333333,IF(OR(AND(D811="Congé",F811&lt;&gt;"Congé"),(AND(F811="Congé",D811&lt;&gt;"Congé"))),0.166666666666667,""))</f>
        <v/>
      </c>
      <c r="AC811" s="8" t="str">
        <f aca="false">IF(AND(D811="Congé sans solde",F811="Congé sans solde"),0.333333333333333,IF(OR(AND(D811="Congé sans solde",F811&lt;&gt;"Congé sans solde"),(AND(F811="Congé sans solde",D811&lt;&gt;"Congé sans solde"))),0.166666666666667,""))</f>
        <v/>
      </c>
      <c r="AD811" s="8" t="str">
        <f aca="false">IF(AND(D811="Congé spécial",F811="Congé spécial"),0.333333333333333,IF(OR(AND(D811="Congé spécial",F811&lt;&gt;"Congé spécial"),AND(F811="Congé spécial",D811&lt;&gt;"Congé spécial")),0.166666666666667,""))</f>
        <v/>
      </c>
      <c r="AE811" s="8" t="str">
        <f aca="false">IF(AND(D811="Férié",F811="Férié"),0.333333333333333,IF(OR(AND(D811="Férié",F811&lt;&gt;"Férié"),(AND(F811="Férié",D811&lt;&gt;"Férié"))),0.166666666666667,""))</f>
        <v/>
      </c>
      <c r="AF811" s="18"/>
      <c r="AG811" s="18"/>
    </row>
    <row r="812" customFormat="false" ht="15" hidden="false" customHeight="false" outlineLevel="0" collapsed="false">
      <c r="A812" s="6" t="str">
        <f aca="false">YEAR(Q812-WEEKDAY(Q812,2)+4)&amp;"-S"&amp;TEXT(WEEKNUM(Q812,21),"00")</f>
        <v>2026-S26</v>
      </c>
      <c r="B812" s="18" t="s">
        <v>72</v>
      </c>
      <c r="C812" s="19"/>
      <c r="D812" s="19" t="s">
        <v>74</v>
      </c>
      <c r="E812" s="19"/>
      <c r="F812" s="19" t="s">
        <v>74</v>
      </c>
      <c r="G812" s="20"/>
      <c r="H812" s="20"/>
      <c r="I812" s="8" t="str">
        <f aca="false">IF(IF(OR(C812="",D812="Congé",D812="OFF",D812="Congé spécial"),"",IF(D812&gt;F812,D812-C812,IF(C812-D812&lt;0,0,C812-D812)))&lt;0.00068287037037037,"",IF(OR(D812="Congé",D812="OFF",C812="",D812="Congé spécial"),"",IF(D812&gt;F812,D812-C812,IF(C812-D812&lt;0,0,C812-D812))))</f>
        <v/>
      </c>
      <c r="J812" s="20"/>
      <c r="K812" s="8" t="n">
        <f aca="false">IF(SUM(H812:J812)&lt;0.00068287037037037,0,SUM(H812:J812))</f>
        <v>0</v>
      </c>
      <c r="L812" s="8" t="n">
        <f aca="false">IF(OR(F812="Congé",F812="OFF",M812="Abs",F812="Congé sans solde",F812="Férié",F812="Congé spécial",D812="Congé spécial"),0,IF(F812-E812&lt;0,0,IF(F812-E812&lt;=0.00068287037037037,0,F812-E812)))</f>
        <v>0</v>
      </c>
      <c r="M812" s="6" t="n">
        <f aca="false">IF(AND(O812&lt;&gt;0,C812=""),"Abs",0)</f>
        <v>0</v>
      </c>
      <c r="N812" s="8" t="str">
        <f aca="false">IFERROR(IF(OR(D812="OFF",D812="Congé",M812="Abs",D812="Congé sans solde",D812="Férié"),"",IF(O812-K812-L812&gt;O812,O812,IF(O812-K812-L812&lt;0,"",O812-K812-L812))),"")</f>
        <v/>
      </c>
      <c r="O812" s="8" t="n">
        <f aca="false">IF(AG812="2H Pause déjeuner",IF(F812-D812-0.0833333333333333&lt;0,F812-D812-0.0833333333333333+1,F812-D812-0.0833333333333333),IF(OR(AND(F812="OFF",D812="OFF"),AND(F812="Congé",D812="Congé"),AND(F812="Congé sans solde",D812="Congé sans solde"),AND(F812="Congé spécial",D812="Congé spécial"),AND(F812="Férié",D812="Férié"),AND(F812="OFF",D812="Congé"),AND(F812="OFF",D812="Congé sans solde"),AND(F812="OFF",D812="Congé spécial"),AND(F812="OFF",D812="Férié"),AND(F812="Congé",D812="OFF"),AND(F812="Congé",D812="Congé sans solde"),AND(F812="Congé",D812="Congé spécial"),AND(F812="Congé",D812="Férié"),AND(F812="Congé sans solde",D812="OFF"),AND(F812="Congé sans solde",D812="Congé"),AND(F812="Congé sans solde",D812="Congé spécial"),AND(F812="Congé sans solde",D812="Férié"),AND(F812="Congé spécial",D812="OFF"),AND(F812="Congé spécial",D812="Congé"),AND(F812="Congé spécial",D812="Congé sans solde"),AND(F812="Congé spécial",D812="Férié"),AND(F812="Férié",D812="OFF"),AND(F812="Férié",D812="Congé"),AND(F812="Férié",D812="Congé sans solde"),AND(F812="Férié",D812="Congé spécial")),0,IF(OR(F812="OFF",F812="Congé",F812="Congé spécial",F812="Congé sans solde",D812="OFF",D812="Congé",D812="Congé spécial",D812="Congé sans solde"),0.208333333333334,IF(AND(AG812="",F812-D812&lt;0),("24:00:00"-D812)+("00:00:00"+F812)-0.0416666666666667,IF(AND(OR(AG812="Allaitement",AG812="Sans déjeuner"),F812-D812&lt;0),("24:00:00"-D812)+("00:00:00"+F812),IF(AND(AG812="",F812-D812&gt;0.166666666666667),F812-D812-0.0416666666666667,IF(AND(OR(AG812="Allaitement",AG812="Sans déjeuner"),F812-D812&gt;0.166666666666667),F812-D812,F812-D812)))))))</f>
        <v>0</v>
      </c>
      <c r="P812" s="6" t="str">
        <f aca="false">IFERROR(VLOOKUP($B812,Agents!$A:$D,2,0),"-")</f>
        <v>Accessibilité</v>
      </c>
      <c r="Q812" s="21" t="n">
        <v>46201</v>
      </c>
      <c r="R812" s="8" t="n">
        <f aca="false">IF(M812="Abs",O812,0)</f>
        <v>0</v>
      </c>
      <c r="S812" s="8" t="n">
        <f aca="false">SUM(R812,L812,I812,J812,W812,H812)</f>
        <v>0</v>
      </c>
      <c r="T812" s="6" t="str">
        <f aca="false">"Sem - "&amp;WEEKNUM(Q812,21)</f>
        <v>Sem - 26</v>
      </c>
      <c r="U812" s="6" t="str">
        <f aca="false">CHOOSE(MONTH(Q812),"Janvier","Février","Mars","Avril","Mai","Juin","Juillet","Août","Septembre","Octobre","Novembre","Décembre")</f>
        <v>Juin</v>
      </c>
      <c r="V812" s="22" t="n">
        <f aca="false">YEAR(Q812)</f>
        <v>2026</v>
      </c>
      <c r="W812" s="20"/>
      <c r="X812" s="8" t="n">
        <f aca="false">IFERROR(IF(M812="Abs",0,IF(ROUND((D812-C812+E812-F812)*1440,0)&lt;=1,0,D812-C812+E812-F812)),0)</f>
        <v>0</v>
      </c>
      <c r="Y812" s="6" t="str">
        <f aca="false">IFERROR(VLOOKUP($B812,Agents!$A:$D,3,0),"-")</f>
        <v>OUBRAHIM Mohammed</v>
      </c>
      <c r="Z812" s="6" t="str">
        <f aca="false">IFERROR(VLOOKUP($B812,Agents!$A:$D,4,0),"-")</f>
        <v>Credit Mutuel</v>
      </c>
      <c r="AA812" s="18" t="s">
        <v>108</v>
      </c>
      <c r="AB812" s="8" t="str">
        <f aca="false">IF(AND(D812="Congé",F812="Congé"),0.333333333333333,IF(OR(AND(D812="Congé",F812&lt;&gt;"Congé"),(AND(F812="Congé",D812&lt;&gt;"Congé"))),0.166666666666667,""))</f>
        <v/>
      </c>
      <c r="AC812" s="8" t="str">
        <f aca="false">IF(AND(D812="Congé sans solde",F812="Congé sans solde"),0.333333333333333,IF(OR(AND(D812="Congé sans solde",F812&lt;&gt;"Congé sans solde"),(AND(F812="Congé sans solde",D812&lt;&gt;"Congé sans solde"))),0.166666666666667,""))</f>
        <v/>
      </c>
      <c r="AD812" s="8" t="str">
        <f aca="false">IF(AND(D812="Congé spécial",F812="Congé spécial"),0.333333333333333,IF(OR(AND(D812="Congé spécial",F812&lt;&gt;"Congé spécial"),AND(F812="Congé spécial",D812&lt;&gt;"Congé spécial")),0.166666666666667,""))</f>
        <v/>
      </c>
      <c r="AE812" s="8" t="str">
        <f aca="false">IF(AND(D812="Férié",F812="Férié"),0.333333333333333,IF(OR(AND(D812="Férié",F812&lt;&gt;"Férié"),(AND(F812="Férié",D812&lt;&gt;"Férié"))),0.166666666666667,""))</f>
        <v/>
      </c>
      <c r="AF812" s="18"/>
      <c r="AG812" s="18"/>
    </row>
    <row r="813" customFormat="false" ht="15" hidden="false" customHeight="false" outlineLevel="0" collapsed="false">
      <c r="A813" s="6" t="str">
        <f aca="false">YEAR(Q813-WEEKDAY(Q813,2)+4)&amp;"-S"&amp;TEXT(WEEKNUM(Q813,21),"00")</f>
        <v>2026-S26</v>
      </c>
      <c r="B813" s="18" t="s">
        <v>73</v>
      </c>
      <c r="C813" s="19"/>
      <c r="D813" s="19" t="s">
        <v>74</v>
      </c>
      <c r="E813" s="19"/>
      <c r="F813" s="19" t="s">
        <v>74</v>
      </c>
      <c r="G813" s="20"/>
      <c r="H813" s="20"/>
      <c r="I813" s="8" t="str">
        <f aca="false">IF(IF(OR(C813="",D813="Congé",D813="OFF",D813="Congé spécial"),"",IF(D813&gt;F813,D813-C813,IF(C813-D813&lt;0,0,C813-D813)))&lt;0.00068287037037037,"",IF(OR(D813="Congé",D813="OFF",C813="",D813="Congé spécial"),"",IF(D813&gt;F813,D813-C813,IF(C813-D813&lt;0,0,C813-D813))))</f>
        <v/>
      </c>
      <c r="J813" s="20"/>
      <c r="K813" s="8" t="n">
        <f aca="false">IF(SUM(H813:J813)&lt;0.00068287037037037,0,SUM(H813:J813))</f>
        <v>0</v>
      </c>
      <c r="L813" s="8" t="n">
        <f aca="false">IF(OR(F813="Congé",F813="OFF",M813="Abs",F813="Congé sans solde",F813="Férié",F813="Congé spécial",D813="Congé spécial"),0,IF(F813-E813&lt;0,0,IF(F813-E813&lt;=0.00068287037037037,0,F813-E813)))</f>
        <v>0</v>
      </c>
      <c r="M813" s="6" t="n">
        <f aca="false">IF(AND(O813&lt;&gt;0,C813=""),"Abs",0)</f>
        <v>0</v>
      </c>
      <c r="N813" s="8" t="str">
        <f aca="false">IFERROR(IF(OR(D813="OFF",D813="Congé",M813="Abs",D813="Congé sans solde",D813="Férié"),"",IF(O813-K813-L813&gt;O813,O813,IF(O813-K813-L813&lt;0,"",O813-K813-L813))),"")</f>
        <v/>
      </c>
      <c r="O813" s="8" t="n">
        <f aca="false">IF(AG813="2H Pause déjeuner",IF(F813-D813-0.0833333333333333&lt;0,F813-D813-0.0833333333333333+1,F813-D813-0.0833333333333333),IF(OR(AND(F813="OFF",D813="OFF"),AND(F813="Congé",D813="Congé"),AND(F813="Congé sans solde",D813="Congé sans solde"),AND(F813="Congé spécial",D813="Congé spécial"),AND(F813="Férié",D813="Férié"),AND(F813="OFF",D813="Congé"),AND(F813="OFF",D813="Congé sans solde"),AND(F813="OFF",D813="Congé spécial"),AND(F813="OFF",D813="Férié"),AND(F813="Congé",D813="OFF"),AND(F813="Congé",D813="Congé sans solde"),AND(F813="Congé",D813="Congé spécial"),AND(F813="Congé",D813="Férié"),AND(F813="Congé sans solde",D813="OFF"),AND(F813="Congé sans solde",D813="Congé"),AND(F813="Congé sans solde",D813="Congé spécial"),AND(F813="Congé sans solde",D813="Férié"),AND(F813="Congé spécial",D813="OFF"),AND(F813="Congé spécial",D813="Congé"),AND(F813="Congé spécial",D813="Congé sans solde"),AND(F813="Congé spécial",D813="Férié"),AND(F813="Férié",D813="OFF"),AND(F813="Férié",D813="Congé"),AND(F813="Férié",D813="Congé sans solde"),AND(F813="Férié",D813="Congé spécial")),0,IF(OR(F813="OFF",F813="Congé",F813="Congé spécial",F813="Congé sans solde",D813="OFF",D813="Congé",D813="Congé spécial",D813="Congé sans solde"),0.208333333333334,IF(AND(AG813="",F813-D813&lt;0),("24:00:00"-D813)+("00:00:00"+F813)-0.0416666666666667,IF(AND(OR(AG813="Allaitement",AG813="Sans déjeuner"),F813-D813&lt;0),("24:00:00"-D813)+("00:00:00"+F813),IF(AND(AG813="",F813-D813&gt;0.166666666666667),F813-D813-0.0416666666666667,IF(AND(OR(AG813="Allaitement",AG813="Sans déjeuner"),F813-D813&gt;0.166666666666667),F813-D813,F813-D813)))))))</f>
        <v>0</v>
      </c>
      <c r="P813" s="6" t="str">
        <f aca="false">IFERROR(VLOOKUP($B813,Agents!$A:$D,2,0),"-")</f>
        <v>Accessibilité</v>
      </c>
      <c r="Q813" s="21" t="n">
        <v>46201</v>
      </c>
      <c r="R813" s="8" t="n">
        <f aca="false">IF(M813="Abs",O813,0)</f>
        <v>0</v>
      </c>
      <c r="S813" s="8" t="n">
        <f aca="false">SUM(R813,L813,I813,J813,W813,H813)</f>
        <v>0</v>
      </c>
      <c r="T813" s="6" t="str">
        <f aca="false">"Sem - "&amp;WEEKNUM(Q813,21)</f>
        <v>Sem - 26</v>
      </c>
      <c r="U813" s="6" t="str">
        <f aca="false">CHOOSE(MONTH(Q813),"Janvier","Février","Mars","Avril","Mai","Juin","Juillet","Août","Septembre","Octobre","Novembre","Décembre")</f>
        <v>Juin</v>
      </c>
      <c r="V813" s="22" t="n">
        <f aca="false">YEAR(Q813)</f>
        <v>2026</v>
      </c>
      <c r="W813" s="20"/>
      <c r="X813" s="8" t="n">
        <f aca="false">IFERROR(IF(M813="Abs",0,IF(ROUND((D813-C813+E813-F813)*1440,0)&lt;=1,0,D813-C813+E813-F813)),0)</f>
        <v>0</v>
      </c>
      <c r="Y813" s="6" t="str">
        <f aca="false">IFERROR(VLOOKUP($B813,Agents!$A:$D,3,0),"-")</f>
        <v>OUBRAHIM Mohammed</v>
      </c>
      <c r="Z813" s="6" t="str">
        <f aca="false">IFERROR(VLOOKUP($B813,Agents!$A:$D,4,0),"-")</f>
        <v>Credit Mutuel</v>
      </c>
      <c r="AA813" s="18" t="s">
        <v>108</v>
      </c>
      <c r="AB813" s="8" t="str">
        <f aca="false">IF(AND(D813="Congé",F813="Congé"),0.333333333333333,IF(OR(AND(D813="Congé",F813&lt;&gt;"Congé"),(AND(F813="Congé",D813&lt;&gt;"Congé"))),0.166666666666667,""))</f>
        <v/>
      </c>
      <c r="AC813" s="8" t="str">
        <f aca="false">IF(AND(D813="Congé sans solde",F813="Congé sans solde"),0.333333333333333,IF(OR(AND(D813="Congé sans solde",F813&lt;&gt;"Congé sans solde"),(AND(F813="Congé sans solde",D813&lt;&gt;"Congé sans solde"))),0.166666666666667,""))</f>
        <v/>
      </c>
      <c r="AD813" s="8" t="str">
        <f aca="false">IF(AND(D813="Congé spécial",F813="Congé spécial"),0.333333333333333,IF(OR(AND(D813="Congé spécial",F813&lt;&gt;"Congé spécial"),AND(F813="Congé spécial",D813&lt;&gt;"Congé spécial")),0.166666666666667,""))</f>
        <v/>
      </c>
      <c r="AE813" s="8" t="str">
        <f aca="false">IF(AND(D813="Férié",F813="Férié"),0.333333333333333,IF(OR(AND(D813="Férié",F813&lt;&gt;"Férié"),(AND(F813="Férié",D813&lt;&gt;"Férié"))),0.166666666666667,""))</f>
        <v/>
      </c>
      <c r="AF813" s="18"/>
      <c r="AG813" s="18"/>
    </row>
    <row r="814" customFormat="false" ht="15" hidden="false" customHeight="false" outlineLevel="0" collapsed="false">
      <c r="A814" s="6" t="str">
        <f aca="false">YEAR(Q814-WEEKDAY(Q814,2)+4)&amp;"-S"&amp;TEXT(WEEKNUM(Q814,21),"00")</f>
        <v>2026-S27</v>
      </c>
      <c r="B814" s="18" t="s">
        <v>71</v>
      </c>
      <c r="C814" s="19" t="n">
        <v>0.331944444444444</v>
      </c>
      <c r="D814" s="19" t="n">
        <v>0.333333333333333</v>
      </c>
      <c r="E814" s="19" t="n">
        <v>0.75</v>
      </c>
      <c r="F814" s="19" t="n">
        <v>0.75</v>
      </c>
      <c r="G814" s="20"/>
      <c r="H814" s="20"/>
      <c r="I814" s="8" t="str">
        <f aca="false">IF(IF(OR(C814="",D814="Congé",D814="OFF",D814="Congé spécial"),"",IF(D814&gt;F814,D814-C814,IF(C814-D814&lt;0,0,C814-D814)))&lt;0.00068287037037037,"",IF(OR(D814="Congé",D814="OFF",C814="",D814="Congé spécial"),"",IF(D814&gt;F814,D814-C814,IF(C814-D814&lt;0,0,C814-D814))))</f>
        <v/>
      </c>
      <c r="J814" s="20"/>
      <c r="K814" s="8" t="n">
        <f aca="false">IF(SUM(H814:J814)&lt;0.00068287037037037,0,SUM(H814:J814))</f>
        <v>0</v>
      </c>
      <c r="L814" s="8" t="n">
        <f aca="false">IF(OR(F814="Congé",F814="OFF",M814="Abs",F814="Congé sans solde",F814="Férié",F814="Congé spécial",D814="Congé spécial"),0,IF(F814-E814&lt;0,0,IF(F814-E814&lt;=0.00068287037037037,0,F814-E814)))</f>
        <v>0</v>
      </c>
      <c r="M814" s="6" t="n">
        <f aca="false">IF(AND(O814&lt;&gt;0,C814=""),"Abs",0)</f>
        <v>0</v>
      </c>
      <c r="N814" s="8" t="n">
        <f aca="false">IFERROR(IF(OR(D814="OFF",D814="Congé",M814="Abs",D814="Congé sans solde",D814="Férié"),"",IF(O814-K814-L814&gt;O814,O814,IF(O814-K814-L814&lt;0,"",O814-K814-L814))),"")</f>
        <v>0.375</v>
      </c>
      <c r="O814" s="8" t="n">
        <f aca="false">IF(AG814="2H Pause déjeuner",IF(F814-D814-0.0833333333333333&lt;0,F814-D814-0.0833333333333333+1,F814-D814-0.0833333333333333),IF(OR(AND(F814="OFF",D814="OFF"),AND(F814="Congé",D814="Congé"),AND(F814="Congé sans solde",D814="Congé sans solde"),AND(F814="Congé spécial",D814="Congé spécial"),AND(F814="Férié",D814="Férié"),AND(F814="OFF",D814="Congé"),AND(F814="OFF",D814="Congé sans solde"),AND(F814="OFF",D814="Congé spécial"),AND(F814="OFF",D814="Férié"),AND(F814="Congé",D814="OFF"),AND(F814="Congé",D814="Congé sans solde"),AND(F814="Congé",D814="Congé spécial"),AND(F814="Congé",D814="Férié"),AND(F814="Congé sans solde",D814="OFF"),AND(F814="Congé sans solde",D814="Congé"),AND(F814="Congé sans solde",D814="Congé spécial"),AND(F814="Congé sans solde",D814="Férié"),AND(F814="Congé spécial",D814="OFF"),AND(F814="Congé spécial",D814="Congé"),AND(F814="Congé spécial",D814="Congé sans solde"),AND(F814="Congé spécial",D814="Férié"),AND(F814="Férié",D814="OFF"),AND(F814="Férié",D814="Congé"),AND(F814="Férié",D814="Congé sans solde"),AND(F814="Férié",D814="Congé spécial")),0,IF(OR(F814="OFF",F814="Congé",F814="Congé spécial",F814="Congé sans solde",D814="OFF",D814="Congé",D814="Congé spécial",D814="Congé sans solde"),0.208333333333334,IF(AND(AG814="",F814-D814&lt;0),("24:00:00"-D814)+("00:00:00"+F814)-0.0416666666666667,IF(AND(OR(AG814="Allaitement",AG814="Sans déjeuner"),F814-D814&lt;0),("24:00:00"-D814)+("00:00:00"+F814),IF(AND(AG814="",F814-D814&gt;0.166666666666667),F814-D814-0.0416666666666667,IF(AND(OR(AG814="Allaitement",AG814="Sans déjeuner"),F814-D814&gt;0.166666666666667),F814-D814,F814-D814)))))))</f>
        <v>0.375</v>
      </c>
      <c r="P814" s="6" t="str">
        <f aca="false">IFERROR(VLOOKUP($B814,Agents!$A:$D,2,0),"-")</f>
        <v>Accessibilité</v>
      </c>
      <c r="Q814" s="21" t="n">
        <v>46202</v>
      </c>
      <c r="R814" s="8" t="n">
        <f aca="false">IF(M814="Abs",O814,0)</f>
        <v>0</v>
      </c>
      <c r="S814" s="8" t="n">
        <f aca="false">SUM(R814,L814,I814,J814,W814,H814)</f>
        <v>0</v>
      </c>
      <c r="T814" s="6" t="str">
        <f aca="false">"Sem - "&amp;WEEKNUM(Q814,21)</f>
        <v>Sem - 27</v>
      </c>
      <c r="U814" s="6" t="str">
        <f aca="false">CHOOSE(MONTH(Q814),"Janvier","Février","Mars","Avril","Mai","Juin","Juillet","Août","Septembre","Octobre","Novembre","Décembre")</f>
        <v>Juin</v>
      </c>
      <c r="V814" s="22" t="n">
        <f aca="false">YEAR(Q814)</f>
        <v>2026</v>
      </c>
      <c r="W814" s="20"/>
      <c r="X814" s="8" t="n">
        <f aca="false">IFERROR(IF(M814="Abs",0,IF(ROUND((D814-C814+E814-F814)*1440,0)&lt;=1,0,D814-C814+E814-F814)),0)</f>
        <v>0.00138888888888889</v>
      </c>
      <c r="Y814" s="6" t="str">
        <f aca="false">IFERROR(VLOOKUP($B814,Agents!$A:$D,3,0),"-")</f>
        <v>OUBRAHIM Mohammed</v>
      </c>
      <c r="Z814" s="6" t="str">
        <f aca="false">IFERROR(VLOOKUP($B814,Agents!$A:$D,4,0),"-")</f>
        <v>Credit Mutuel</v>
      </c>
      <c r="AA814" s="18" t="s">
        <v>109</v>
      </c>
      <c r="AB814" s="8" t="str">
        <f aca="false">IF(AND(D814="Congé",F814="Congé"),0.333333333333333,IF(OR(AND(D814="Congé",F814&lt;&gt;"Congé"),(AND(F814="Congé",D814&lt;&gt;"Congé"))),0.166666666666667,""))</f>
        <v/>
      </c>
      <c r="AC814" s="8" t="str">
        <f aca="false">IF(AND(D814="Congé sans solde",F814="Congé sans solde"),0.333333333333333,IF(OR(AND(D814="Congé sans solde",F814&lt;&gt;"Congé sans solde"),(AND(F814="Congé sans solde",D814&lt;&gt;"Congé sans solde"))),0.166666666666667,""))</f>
        <v/>
      </c>
      <c r="AD814" s="8" t="str">
        <f aca="false">IF(AND(D814="Congé spécial",F814="Congé spécial"),0.333333333333333,IF(OR(AND(D814="Congé spécial",F814&lt;&gt;"Congé spécial"),AND(F814="Congé spécial",D814&lt;&gt;"Congé spécial")),0.166666666666667,""))</f>
        <v/>
      </c>
      <c r="AE814" s="8" t="str">
        <f aca="false">IF(AND(D814="Férié",F814="Férié"),0.333333333333333,IF(OR(AND(D814="Férié",F814&lt;&gt;"Férié"),(AND(F814="Férié",D814&lt;&gt;"Férié"))),0.166666666666667,""))</f>
        <v/>
      </c>
      <c r="AF814" s="18"/>
      <c r="AG814" s="18"/>
    </row>
    <row r="815" customFormat="false" ht="15" hidden="false" customHeight="false" outlineLevel="0" collapsed="false">
      <c r="A815" s="6" t="str">
        <f aca="false">YEAR(Q815-WEEKDAY(Q815,2)+4)&amp;"-S"&amp;TEXT(WEEKNUM(Q815,21),"00")</f>
        <v>2026-S27</v>
      </c>
      <c r="B815" s="18" t="s">
        <v>72</v>
      </c>
      <c r="C815" s="19" t="n">
        <v>0.331944444444444</v>
      </c>
      <c r="D815" s="19" t="n">
        <v>0.333333333333333</v>
      </c>
      <c r="E815" s="19" t="n">
        <v>0.75</v>
      </c>
      <c r="F815" s="19" t="n">
        <v>0.75</v>
      </c>
      <c r="G815" s="20"/>
      <c r="H815" s="20"/>
      <c r="I815" s="8" t="str">
        <f aca="false">IF(IF(OR(C815="",D815="Congé",D815="OFF",D815="Congé spécial"),"",IF(D815&gt;F815,D815-C815,IF(C815-D815&lt;0,0,C815-D815)))&lt;0.00068287037037037,"",IF(OR(D815="Congé",D815="OFF",C815="",D815="Congé spécial"),"",IF(D815&gt;F815,D815-C815,IF(C815-D815&lt;0,0,C815-D815))))</f>
        <v/>
      </c>
      <c r="J815" s="20"/>
      <c r="K815" s="8" t="n">
        <f aca="false">IF(SUM(H815:J815)&lt;0.00068287037037037,0,SUM(H815:J815))</f>
        <v>0</v>
      </c>
      <c r="L815" s="8" t="n">
        <f aca="false">IF(OR(F815="Congé",F815="OFF",M815="Abs",F815="Congé sans solde",F815="Férié",F815="Congé spécial",D815="Congé spécial"),0,IF(F815-E815&lt;0,0,IF(F815-E815&lt;=0.00068287037037037,0,F815-E815)))</f>
        <v>0</v>
      </c>
      <c r="M815" s="6" t="n">
        <f aca="false">IF(AND(O815&lt;&gt;0,C815=""),"Abs",0)</f>
        <v>0</v>
      </c>
      <c r="N815" s="8" t="n">
        <f aca="false">IFERROR(IF(OR(D815="OFF",D815="Congé",M815="Abs",D815="Congé sans solde",D815="Férié"),"",IF(O815-K815-L815&gt;O815,O815,IF(O815-K815-L815&lt;0,"",O815-K815-L815))),"")</f>
        <v>0.375</v>
      </c>
      <c r="O815" s="8" t="n">
        <f aca="false">IF(AG815="2H Pause déjeuner",IF(F815-D815-0.0833333333333333&lt;0,F815-D815-0.0833333333333333+1,F815-D815-0.0833333333333333),IF(OR(AND(F815="OFF",D815="OFF"),AND(F815="Congé",D815="Congé"),AND(F815="Congé sans solde",D815="Congé sans solde"),AND(F815="Congé spécial",D815="Congé spécial"),AND(F815="Férié",D815="Férié"),AND(F815="OFF",D815="Congé"),AND(F815="OFF",D815="Congé sans solde"),AND(F815="OFF",D815="Congé spécial"),AND(F815="OFF",D815="Férié"),AND(F815="Congé",D815="OFF"),AND(F815="Congé",D815="Congé sans solde"),AND(F815="Congé",D815="Congé spécial"),AND(F815="Congé",D815="Férié"),AND(F815="Congé sans solde",D815="OFF"),AND(F815="Congé sans solde",D815="Congé"),AND(F815="Congé sans solde",D815="Congé spécial"),AND(F815="Congé sans solde",D815="Férié"),AND(F815="Congé spécial",D815="OFF"),AND(F815="Congé spécial",D815="Congé"),AND(F815="Congé spécial",D815="Congé sans solde"),AND(F815="Congé spécial",D815="Férié"),AND(F815="Férié",D815="OFF"),AND(F815="Férié",D815="Congé"),AND(F815="Férié",D815="Congé sans solde"),AND(F815="Férié",D815="Congé spécial")),0,IF(OR(F815="OFF",F815="Congé",F815="Congé spécial",F815="Congé sans solde",D815="OFF",D815="Congé",D815="Congé spécial",D815="Congé sans solde"),0.208333333333334,IF(AND(AG815="",F815-D815&lt;0),("24:00:00"-D815)+("00:00:00"+F815)-0.0416666666666667,IF(AND(OR(AG815="Allaitement",AG815="Sans déjeuner"),F815-D815&lt;0),("24:00:00"-D815)+("00:00:00"+F815),IF(AND(AG815="",F815-D815&gt;0.166666666666667),F815-D815-0.0416666666666667,IF(AND(OR(AG815="Allaitement",AG815="Sans déjeuner"),F815-D815&gt;0.166666666666667),F815-D815,F815-D815)))))))</f>
        <v>0.375</v>
      </c>
      <c r="P815" s="6" t="str">
        <f aca="false">IFERROR(VLOOKUP($B815,Agents!$A:$D,2,0),"-")</f>
        <v>Accessibilité</v>
      </c>
      <c r="Q815" s="21" t="n">
        <v>46202</v>
      </c>
      <c r="R815" s="8" t="n">
        <f aca="false">IF(M815="Abs",O815,0)</f>
        <v>0</v>
      </c>
      <c r="S815" s="8" t="n">
        <f aca="false">SUM(R815,L815,I815,J815,W815,H815)</f>
        <v>0</v>
      </c>
      <c r="T815" s="6" t="str">
        <f aca="false">"Sem - "&amp;WEEKNUM(Q815,21)</f>
        <v>Sem - 27</v>
      </c>
      <c r="U815" s="6" t="str">
        <f aca="false">CHOOSE(MONTH(Q815),"Janvier","Février","Mars","Avril","Mai","Juin","Juillet","Août","Septembre","Octobre","Novembre","Décembre")</f>
        <v>Juin</v>
      </c>
      <c r="V815" s="22" t="n">
        <f aca="false">YEAR(Q815)</f>
        <v>2026</v>
      </c>
      <c r="W815" s="20"/>
      <c r="X815" s="8" t="n">
        <f aca="false">IFERROR(IF(M815="Abs",0,IF(ROUND((D815-C815+E815-F815)*1440,0)&lt;=1,0,D815-C815+E815-F815)),0)</f>
        <v>0.00138888888888889</v>
      </c>
      <c r="Y815" s="6" t="str">
        <f aca="false">IFERROR(VLOOKUP($B815,Agents!$A:$D,3,0),"-")</f>
        <v>OUBRAHIM Mohammed</v>
      </c>
      <c r="Z815" s="6" t="str">
        <f aca="false">IFERROR(VLOOKUP($B815,Agents!$A:$D,4,0),"-")</f>
        <v>Credit Mutuel</v>
      </c>
      <c r="AA815" s="18" t="s">
        <v>109</v>
      </c>
      <c r="AB815" s="8" t="str">
        <f aca="false">IF(AND(D815="Congé",F815="Congé"),0.333333333333333,IF(OR(AND(D815="Congé",F815&lt;&gt;"Congé"),(AND(F815="Congé",D815&lt;&gt;"Congé"))),0.166666666666667,""))</f>
        <v/>
      </c>
      <c r="AC815" s="8" t="str">
        <f aca="false">IF(AND(D815="Congé sans solde",F815="Congé sans solde"),0.333333333333333,IF(OR(AND(D815="Congé sans solde",F815&lt;&gt;"Congé sans solde"),(AND(F815="Congé sans solde",D815&lt;&gt;"Congé sans solde"))),0.166666666666667,""))</f>
        <v/>
      </c>
      <c r="AD815" s="8" t="str">
        <f aca="false">IF(AND(D815="Congé spécial",F815="Congé spécial"),0.333333333333333,IF(OR(AND(D815="Congé spécial",F815&lt;&gt;"Congé spécial"),AND(F815="Congé spécial",D815&lt;&gt;"Congé spécial")),0.166666666666667,""))</f>
        <v/>
      </c>
      <c r="AE815" s="8" t="str">
        <f aca="false">IF(AND(D815="Férié",F815="Férié"),0.333333333333333,IF(OR(AND(D815="Férié",F815&lt;&gt;"Férié"),(AND(F815="Férié",D815&lt;&gt;"Férié"))),0.166666666666667,""))</f>
        <v/>
      </c>
      <c r="AF815" s="18"/>
      <c r="AG815" s="18"/>
    </row>
    <row r="816" customFormat="false" ht="15" hidden="false" customHeight="false" outlineLevel="0" collapsed="false">
      <c r="A816" s="6" t="str">
        <f aca="false">YEAR(Q816-WEEKDAY(Q816,2)+4)&amp;"-S"&amp;TEXT(WEEKNUM(Q816,21),"00")</f>
        <v>2026-S27</v>
      </c>
      <c r="B816" s="18" t="s">
        <v>73</v>
      </c>
      <c r="C816" s="19" t="n">
        <v>0.333333333333333</v>
      </c>
      <c r="D816" s="19" t="n">
        <v>0.333333333333333</v>
      </c>
      <c r="E816" s="19" t="n">
        <v>0.75</v>
      </c>
      <c r="F816" s="19" t="n">
        <v>0.75</v>
      </c>
      <c r="G816" s="20"/>
      <c r="H816" s="20"/>
      <c r="I816" s="8" t="str">
        <f aca="false">IF(IF(OR(C816="",D816="Congé",D816="OFF",D816="Congé spécial"),"",IF(D816&gt;F816,D816-C816,IF(C816-D816&lt;0,0,C816-D816)))&lt;0.00068287037037037,"",IF(OR(D816="Congé",D816="OFF",C816="",D816="Congé spécial"),"",IF(D816&gt;F816,D816-C816,IF(C816-D816&lt;0,0,C816-D816))))</f>
        <v/>
      </c>
      <c r="J816" s="20"/>
      <c r="K816" s="8" t="n">
        <f aca="false">IF(SUM(H816:J816)&lt;0.00068287037037037,0,SUM(H816:J816))</f>
        <v>0</v>
      </c>
      <c r="L816" s="8" t="n">
        <f aca="false">IF(OR(F816="Congé",F816="OFF",M816="Abs",F816="Congé sans solde",F816="Férié",F816="Congé spécial",D816="Congé spécial"),0,IF(F816-E816&lt;0,0,IF(F816-E816&lt;=0.00068287037037037,0,F816-E816)))</f>
        <v>0</v>
      </c>
      <c r="M816" s="6" t="n">
        <f aca="false">IF(AND(O816&lt;&gt;0,C816=""),"Abs",0)</f>
        <v>0</v>
      </c>
      <c r="N816" s="8" t="n">
        <f aca="false">IFERROR(IF(OR(D816="OFF",D816="Congé",M816="Abs",D816="Congé sans solde",D816="Férié"),"",IF(O816-K816-L816&gt;O816,O816,IF(O816-K816-L816&lt;0,"",O816-K816-L816))),"")</f>
        <v>0.375</v>
      </c>
      <c r="O816" s="8" t="n">
        <f aca="false">IF(AG816="2H Pause déjeuner",IF(F816-D816-0.0833333333333333&lt;0,F816-D816-0.0833333333333333+1,F816-D816-0.0833333333333333),IF(OR(AND(F816="OFF",D816="OFF"),AND(F816="Congé",D816="Congé"),AND(F816="Congé sans solde",D816="Congé sans solde"),AND(F816="Congé spécial",D816="Congé spécial"),AND(F816="Férié",D816="Férié"),AND(F816="OFF",D816="Congé"),AND(F816="OFF",D816="Congé sans solde"),AND(F816="OFF",D816="Congé spécial"),AND(F816="OFF",D816="Férié"),AND(F816="Congé",D816="OFF"),AND(F816="Congé",D816="Congé sans solde"),AND(F816="Congé",D816="Congé spécial"),AND(F816="Congé",D816="Férié"),AND(F816="Congé sans solde",D816="OFF"),AND(F816="Congé sans solde",D816="Congé"),AND(F816="Congé sans solde",D816="Congé spécial"),AND(F816="Congé sans solde",D816="Férié"),AND(F816="Congé spécial",D816="OFF"),AND(F816="Congé spécial",D816="Congé"),AND(F816="Congé spécial",D816="Congé sans solde"),AND(F816="Congé spécial",D816="Férié"),AND(F816="Férié",D816="OFF"),AND(F816="Férié",D816="Congé"),AND(F816="Férié",D816="Congé sans solde"),AND(F816="Férié",D816="Congé spécial")),0,IF(OR(F816="OFF",F816="Congé",F816="Congé spécial",F816="Congé sans solde",D816="OFF",D816="Congé",D816="Congé spécial",D816="Congé sans solde"),0.208333333333334,IF(AND(AG816="",F816-D816&lt;0),("24:00:00"-D816)+("00:00:00"+F816)-0.0416666666666667,IF(AND(OR(AG816="Allaitement",AG816="Sans déjeuner"),F816-D816&lt;0),("24:00:00"-D816)+("00:00:00"+F816),IF(AND(AG816="",F816-D816&gt;0.166666666666667),F816-D816-0.0416666666666667,IF(AND(OR(AG816="Allaitement",AG816="Sans déjeuner"),F816-D816&gt;0.166666666666667),F816-D816,F816-D816)))))))</f>
        <v>0.375</v>
      </c>
      <c r="P816" s="6" t="str">
        <f aca="false">IFERROR(VLOOKUP($B816,Agents!$A:$D,2,0),"-")</f>
        <v>Accessibilité</v>
      </c>
      <c r="Q816" s="21" t="n">
        <v>46202</v>
      </c>
      <c r="R816" s="8" t="n">
        <f aca="false">IF(M816="Abs",O816,0)</f>
        <v>0</v>
      </c>
      <c r="S816" s="8" t="n">
        <f aca="false">SUM(R816,L816,I816,J816,W816,H816)</f>
        <v>0</v>
      </c>
      <c r="T816" s="6" t="str">
        <f aca="false">"Sem - "&amp;WEEKNUM(Q816,21)</f>
        <v>Sem - 27</v>
      </c>
      <c r="U816" s="6" t="str">
        <f aca="false">CHOOSE(MONTH(Q816),"Janvier","Février","Mars","Avril","Mai","Juin","Juillet","Août","Septembre","Octobre","Novembre","Décembre")</f>
        <v>Juin</v>
      </c>
      <c r="V816" s="22" t="n">
        <f aca="false">YEAR(Q816)</f>
        <v>2026</v>
      </c>
      <c r="W816" s="20"/>
      <c r="X816" s="8" t="n">
        <f aca="false">IFERROR(IF(M816="Abs",0,IF(ROUND((D816-C816+E816-F816)*1440,0)&lt;=1,0,D816-C816+E816-F816)),0)</f>
        <v>0</v>
      </c>
      <c r="Y816" s="6" t="str">
        <f aca="false">IFERROR(VLOOKUP($B816,Agents!$A:$D,3,0),"-")</f>
        <v>OUBRAHIM Mohammed</v>
      </c>
      <c r="Z816" s="6" t="str">
        <f aca="false">IFERROR(VLOOKUP($B816,Agents!$A:$D,4,0),"-")</f>
        <v>Credit Mutuel</v>
      </c>
      <c r="AA816" s="18" t="s">
        <v>109</v>
      </c>
      <c r="AB816" s="8" t="str">
        <f aca="false">IF(AND(D816="Congé",F816="Congé"),0.333333333333333,IF(OR(AND(D816="Congé",F816&lt;&gt;"Congé"),(AND(F816="Congé",D816&lt;&gt;"Congé"))),0.166666666666667,""))</f>
        <v/>
      </c>
      <c r="AC816" s="8" t="str">
        <f aca="false">IF(AND(D816="Congé sans solde",F816="Congé sans solde"),0.333333333333333,IF(OR(AND(D816="Congé sans solde",F816&lt;&gt;"Congé sans solde"),(AND(F816="Congé sans solde",D816&lt;&gt;"Congé sans solde"))),0.166666666666667,""))</f>
        <v/>
      </c>
      <c r="AD816" s="8" t="str">
        <f aca="false">IF(AND(D816="Congé spécial",F816="Congé spécial"),0.333333333333333,IF(OR(AND(D816="Congé spécial",F816&lt;&gt;"Congé spécial"),AND(F816="Congé spécial",D816&lt;&gt;"Congé spécial")),0.166666666666667,""))</f>
        <v/>
      </c>
      <c r="AE816" s="8" t="str">
        <f aca="false">IF(AND(D816="Férié",F816="Férié"),0.333333333333333,IF(OR(AND(D816="Férié",F816&lt;&gt;"Férié"),(AND(F816="Férié",D816&lt;&gt;"Férié"))),0.166666666666667,""))</f>
        <v/>
      </c>
      <c r="AF816" s="18"/>
      <c r="AG816" s="18"/>
    </row>
    <row r="817" customFormat="false" ht="15" hidden="false" customHeight="false" outlineLevel="0" collapsed="false">
      <c r="A817" s="6" t="str">
        <f aca="false">YEAR(Q817-WEEKDAY(Q817,2)+4)&amp;"-S"&amp;TEXT(WEEKNUM(Q817,21),"00")</f>
        <v>2026-S27</v>
      </c>
      <c r="B817" s="18" t="s">
        <v>71</v>
      </c>
      <c r="C817" s="19" t="n">
        <v>0.331944444444444</v>
      </c>
      <c r="D817" s="19" t="n">
        <v>0.333333333333333</v>
      </c>
      <c r="E817" s="19" t="n">
        <v>0.75</v>
      </c>
      <c r="F817" s="19" t="n">
        <v>0.75</v>
      </c>
      <c r="G817" s="20"/>
      <c r="H817" s="20"/>
      <c r="I817" s="8" t="str">
        <f aca="false">IF(IF(OR(C817="",D817="Congé",D817="OFF",D817="Congé spécial"),"",IF(D817&gt;F817,D817-C817,IF(C817-D817&lt;0,0,C817-D817)))&lt;0.00068287037037037,"",IF(OR(D817="Congé",D817="OFF",C817="",D817="Congé spécial"),"",IF(D817&gt;F817,D817-C817,IF(C817-D817&lt;0,0,C817-D817))))</f>
        <v/>
      </c>
      <c r="J817" s="20"/>
      <c r="K817" s="8" t="n">
        <f aca="false">IF(SUM(H817:J817)&lt;0.00068287037037037,0,SUM(H817:J817))</f>
        <v>0</v>
      </c>
      <c r="L817" s="8" t="n">
        <f aca="false">IF(OR(F817="Congé",F817="OFF",M817="Abs",F817="Congé sans solde",F817="Férié",F817="Congé spécial",D817="Congé spécial"),0,IF(F817-E817&lt;0,0,IF(F817-E817&lt;=0.00068287037037037,0,F817-E817)))</f>
        <v>0</v>
      </c>
      <c r="M817" s="6" t="n">
        <f aca="false">IF(AND(O817&lt;&gt;0,C817=""),"Abs",0)</f>
        <v>0</v>
      </c>
      <c r="N817" s="8" t="n">
        <f aca="false">IFERROR(IF(OR(D817="OFF",D817="Congé",M817="Abs",D817="Congé sans solde",D817="Férié"),"",IF(O817-K817-L817&gt;O817,O817,IF(O817-K817-L817&lt;0,"",O817-K817-L817))),"")</f>
        <v>0.375</v>
      </c>
      <c r="O817" s="8" t="n">
        <f aca="false">IF(AG817="2H Pause déjeuner",IF(F817-D817-0.0833333333333333&lt;0,F817-D817-0.0833333333333333+1,F817-D817-0.0833333333333333),IF(OR(AND(F817="OFF",D817="OFF"),AND(F817="Congé",D817="Congé"),AND(F817="Congé sans solde",D817="Congé sans solde"),AND(F817="Congé spécial",D817="Congé spécial"),AND(F817="Férié",D817="Férié"),AND(F817="OFF",D817="Congé"),AND(F817="OFF",D817="Congé sans solde"),AND(F817="OFF",D817="Congé spécial"),AND(F817="OFF",D817="Férié"),AND(F817="Congé",D817="OFF"),AND(F817="Congé",D817="Congé sans solde"),AND(F817="Congé",D817="Congé spécial"),AND(F817="Congé",D817="Férié"),AND(F817="Congé sans solde",D817="OFF"),AND(F817="Congé sans solde",D817="Congé"),AND(F817="Congé sans solde",D817="Congé spécial"),AND(F817="Congé sans solde",D817="Férié"),AND(F817="Congé spécial",D817="OFF"),AND(F817="Congé spécial",D817="Congé"),AND(F817="Congé spécial",D817="Congé sans solde"),AND(F817="Congé spécial",D817="Férié"),AND(F817="Férié",D817="OFF"),AND(F817="Férié",D817="Congé"),AND(F817="Férié",D817="Congé sans solde"),AND(F817="Férié",D817="Congé spécial")),0,IF(OR(F817="OFF",F817="Congé",F817="Congé spécial",F817="Congé sans solde",D817="OFF",D817="Congé",D817="Congé spécial",D817="Congé sans solde"),0.208333333333334,IF(AND(AG817="",F817-D817&lt;0),("24:00:00"-D817)+("00:00:00"+F817)-0.0416666666666667,IF(AND(OR(AG817="Allaitement",AG817="Sans déjeuner"),F817-D817&lt;0),("24:00:00"-D817)+("00:00:00"+F817),IF(AND(AG817="",F817-D817&gt;0.166666666666667),F817-D817-0.0416666666666667,IF(AND(OR(AG817="Allaitement",AG817="Sans déjeuner"),F817-D817&gt;0.166666666666667),F817-D817,F817-D817)))))))</f>
        <v>0.375</v>
      </c>
      <c r="P817" s="6" t="str">
        <f aca="false">IFERROR(VLOOKUP($B817,Agents!$A:$D,2,0),"-")</f>
        <v>Accessibilité</v>
      </c>
      <c r="Q817" s="21" t="n">
        <v>46203</v>
      </c>
      <c r="R817" s="8" t="n">
        <f aca="false">IF(M817="Abs",O817,0)</f>
        <v>0</v>
      </c>
      <c r="S817" s="8" t="n">
        <f aca="false">SUM(R817,L817,I817,J817,W817,H817)</f>
        <v>0</v>
      </c>
      <c r="T817" s="6" t="str">
        <f aca="false">"Sem - "&amp;WEEKNUM(Q817,21)</f>
        <v>Sem - 27</v>
      </c>
      <c r="U817" s="6" t="str">
        <f aca="false">CHOOSE(MONTH(Q817),"Janvier","Février","Mars","Avril","Mai","Juin","Juillet","Août","Septembre","Octobre","Novembre","Décembre")</f>
        <v>Juin</v>
      </c>
      <c r="V817" s="22" t="n">
        <f aca="false">YEAR(Q817)</f>
        <v>2026</v>
      </c>
      <c r="W817" s="20"/>
      <c r="X817" s="8" t="n">
        <f aca="false">IFERROR(IF(M817="Abs",0,IF(ROUND((D817-C817+E817-F817)*1440,0)&lt;=1,0,D817-C817+E817-F817)),0)</f>
        <v>0.00138888888888889</v>
      </c>
      <c r="Y817" s="6" t="str">
        <f aca="false">IFERROR(VLOOKUP($B817,Agents!$A:$D,3,0),"-")</f>
        <v>OUBRAHIM Mohammed</v>
      </c>
      <c r="Z817" s="6" t="str">
        <f aca="false">IFERROR(VLOOKUP($B817,Agents!$A:$D,4,0),"-")</f>
        <v>Credit Mutuel</v>
      </c>
      <c r="AA817" s="18" t="s">
        <v>109</v>
      </c>
      <c r="AB817" s="8" t="str">
        <f aca="false">IF(AND(D817="Congé",F817="Congé"),0.333333333333333,IF(OR(AND(D817="Congé",F817&lt;&gt;"Congé"),(AND(F817="Congé",D817&lt;&gt;"Congé"))),0.166666666666667,""))</f>
        <v/>
      </c>
      <c r="AC817" s="8" t="str">
        <f aca="false">IF(AND(D817="Congé sans solde",F817="Congé sans solde"),0.333333333333333,IF(OR(AND(D817="Congé sans solde",F817&lt;&gt;"Congé sans solde"),(AND(F817="Congé sans solde",D817&lt;&gt;"Congé sans solde"))),0.166666666666667,""))</f>
        <v/>
      </c>
      <c r="AD817" s="8" t="str">
        <f aca="false">IF(AND(D817="Congé spécial",F817="Congé spécial"),0.333333333333333,IF(OR(AND(D817="Congé spécial",F817&lt;&gt;"Congé spécial"),AND(F817="Congé spécial",D817&lt;&gt;"Congé spécial")),0.166666666666667,""))</f>
        <v/>
      </c>
      <c r="AE817" s="8" t="str">
        <f aca="false">IF(AND(D817="Férié",F817="Férié"),0.333333333333333,IF(OR(AND(D817="Férié",F817&lt;&gt;"Férié"),(AND(F817="Férié",D817&lt;&gt;"Férié"))),0.166666666666667,""))</f>
        <v/>
      </c>
      <c r="AF817" s="18"/>
      <c r="AG817" s="18"/>
    </row>
    <row r="818" customFormat="false" ht="15" hidden="false" customHeight="false" outlineLevel="0" collapsed="false">
      <c r="A818" s="6" t="str">
        <f aca="false">YEAR(Q818-WEEKDAY(Q818,2)+4)&amp;"-S"&amp;TEXT(WEEKNUM(Q818,21),"00")</f>
        <v>2026-S27</v>
      </c>
      <c r="B818" s="18" t="s">
        <v>72</v>
      </c>
      <c r="C818" s="19" t="n">
        <v>0.332638888888889</v>
      </c>
      <c r="D818" s="19" t="n">
        <v>0.333333333333333</v>
      </c>
      <c r="E818" s="19" t="n">
        <v>0.75</v>
      </c>
      <c r="F818" s="19" t="n">
        <v>0.75</v>
      </c>
      <c r="G818" s="20"/>
      <c r="H818" s="20"/>
      <c r="I818" s="8" t="str">
        <f aca="false">IF(IF(OR(C818="",D818="Congé",D818="OFF",D818="Congé spécial"),"",IF(D818&gt;F818,D818-C818,IF(C818-D818&lt;0,0,C818-D818)))&lt;0.00068287037037037,"",IF(OR(D818="Congé",D818="OFF",C818="",D818="Congé spécial"),"",IF(D818&gt;F818,D818-C818,IF(C818-D818&lt;0,0,C818-D818))))</f>
        <v/>
      </c>
      <c r="J818" s="20"/>
      <c r="K818" s="8" t="n">
        <f aca="false">IF(SUM(H818:J818)&lt;0.00068287037037037,0,SUM(H818:J818))</f>
        <v>0</v>
      </c>
      <c r="L818" s="8" t="n">
        <f aca="false">IF(OR(F818="Congé",F818="OFF",M818="Abs",F818="Congé sans solde",F818="Férié",F818="Congé spécial",D818="Congé spécial"),0,IF(F818-E818&lt;0,0,IF(F818-E818&lt;=0.00068287037037037,0,F818-E818)))</f>
        <v>0</v>
      </c>
      <c r="M818" s="6" t="n">
        <f aca="false">IF(AND(O818&lt;&gt;0,C818=""),"Abs",0)</f>
        <v>0</v>
      </c>
      <c r="N818" s="8" t="n">
        <f aca="false">IFERROR(IF(OR(D818="OFF",D818="Congé",M818="Abs",D818="Congé sans solde",D818="Férié"),"",IF(O818-K818-L818&gt;O818,O818,IF(O818-K818-L818&lt;0,"",O818-K818-L818))),"")</f>
        <v>0.375</v>
      </c>
      <c r="O818" s="8" t="n">
        <f aca="false">IF(AG818="2H Pause déjeuner",IF(F818-D818-0.0833333333333333&lt;0,F818-D818-0.0833333333333333+1,F818-D818-0.0833333333333333),IF(OR(AND(F818="OFF",D818="OFF"),AND(F818="Congé",D818="Congé"),AND(F818="Congé sans solde",D818="Congé sans solde"),AND(F818="Congé spécial",D818="Congé spécial"),AND(F818="Férié",D818="Férié"),AND(F818="OFF",D818="Congé"),AND(F818="OFF",D818="Congé sans solde"),AND(F818="OFF",D818="Congé spécial"),AND(F818="OFF",D818="Férié"),AND(F818="Congé",D818="OFF"),AND(F818="Congé",D818="Congé sans solde"),AND(F818="Congé",D818="Congé spécial"),AND(F818="Congé",D818="Férié"),AND(F818="Congé sans solde",D818="OFF"),AND(F818="Congé sans solde",D818="Congé"),AND(F818="Congé sans solde",D818="Congé spécial"),AND(F818="Congé sans solde",D818="Férié"),AND(F818="Congé spécial",D818="OFF"),AND(F818="Congé spécial",D818="Congé"),AND(F818="Congé spécial",D818="Congé sans solde"),AND(F818="Congé spécial",D818="Férié"),AND(F818="Férié",D818="OFF"),AND(F818="Férié",D818="Congé"),AND(F818="Férié",D818="Congé sans solde"),AND(F818="Férié",D818="Congé spécial")),0,IF(OR(F818="OFF",F818="Congé",F818="Congé spécial",F818="Congé sans solde",D818="OFF",D818="Congé",D818="Congé spécial",D818="Congé sans solde"),0.208333333333334,IF(AND(AG818="",F818-D818&lt;0),("24:00:00"-D818)+("00:00:00"+F818)-0.0416666666666667,IF(AND(OR(AG818="Allaitement",AG818="Sans déjeuner"),F818-D818&lt;0),("24:00:00"-D818)+("00:00:00"+F818),IF(AND(AG818="",F818-D818&gt;0.166666666666667),F818-D818-0.0416666666666667,IF(AND(OR(AG818="Allaitement",AG818="Sans déjeuner"),F818-D818&gt;0.166666666666667),F818-D818,F818-D818)))))))</f>
        <v>0.375</v>
      </c>
      <c r="P818" s="6" t="str">
        <f aca="false">IFERROR(VLOOKUP($B818,Agents!$A:$D,2,0),"-")</f>
        <v>Accessibilité</v>
      </c>
      <c r="Q818" s="21" t="n">
        <v>46203</v>
      </c>
      <c r="R818" s="8" t="n">
        <f aca="false">IF(M818="Abs",O818,0)</f>
        <v>0</v>
      </c>
      <c r="S818" s="8" t="n">
        <f aca="false">SUM(R818,L818,I818,J818,W818,H818)</f>
        <v>0</v>
      </c>
      <c r="T818" s="6" t="str">
        <f aca="false">"Sem - "&amp;WEEKNUM(Q818,21)</f>
        <v>Sem - 27</v>
      </c>
      <c r="U818" s="6" t="str">
        <f aca="false">CHOOSE(MONTH(Q818),"Janvier","Février","Mars","Avril","Mai","Juin","Juillet","Août","Septembre","Octobre","Novembre","Décembre")</f>
        <v>Juin</v>
      </c>
      <c r="V818" s="22" t="n">
        <f aca="false">YEAR(Q818)</f>
        <v>2026</v>
      </c>
      <c r="W818" s="20"/>
      <c r="X818" s="8" t="n">
        <f aca="false">IFERROR(IF(M818="Abs",0,IF(ROUND((D818-C818+E818-F818)*1440,0)&lt;=1,0,D818-C818+E818-F818)),0)</f>
        <v>0</v>
      </c>
      <c r="Y818" s="6" t="str">
        <f aca="false">IFERROR(VLOOKUP($B818,Agents!$A:$D,3,0),"-")</f>
        <v>OUBRAHIM Mohammed</v>
      </c>
      <c r="Z818" s="6" t="str">
        <f aca="false">IFERROR(VLOOKUP($B818,Agents!$A:$D,4,0),"-")</f>
        <v>Credit Mutuel</v>
      </c>
      <c r="AA818" s="18" t="s">
        <v>109</v>
      </c>
      <c r="AB818" s="8" t="str">
        <f aca="false">IF(AND(D818="Congé",F818="Congé"),0.333333333333333,IF(OR(AND(D818="Congé",F818&lt;&gt;"Congé"),(AND(F818="Congé",D818&lt;&gt;"Congé"))),0.166666666666667,""))</f>
        <v/>
      </c>
      <c r="AC818" s="8" t="str">
        <f aca="false">IF(AND(D818="Congé sans solde",F818="Congé sans solde"),0.333333333333333,IF(OR(AND(D818="Congé sans solde",F818&lt;&gt;"Congé sans solde"),(AND(F818="Congé sans solde",D818&lt;&gt;"Congé sans solde"))),0.166666666666667,""))</f>
        <v/>
      </c>
      <c r="AD818" s="8" t="str">
        <f aca="false">IF(AND(D818="Congé spécial",F818="Congé spécial"),0.333333333333333,IF(OR(AND(D818="Congé spécial",F818&lt;&gt;"Congé spécial"),AND(F818="Congé spécial",D818&lt;&gt;"Congé spécial")),0.166666666666667,""))</f>
        <v/>
      </c>
      <c r="AE818" s="8" t="str">
        <f aca="false">IF(AND(D818="Férié",F818="Férié"),0.333333333333333,IF(OR(AND(D818="Férié",F818&lt;&gt;"Férié"),(AND(F818="Férié",D818&lt;&gt;"Férié"))),0.166666666666667,""))</f>
        <v/>
      </c>
      <c r="AF818" s="18"/>
      <c r="AG818" s="18"/>
    </row>
    <row r="819" customFormat="false" ht="15" hidden="false" customHeight="false" outlineLevel="0" collapsed="false">
      <c r="A819" s="6" t="str">
        <f aca="false">YEAR(Q819-WEEKDAY(Q819,2)+4)&amp;"-S"&amp;TEXT(WEEKNUM(Q819,21),"00")</f>
        <v>2026-S27</v>
      </c>
      <c r="B819" s="18" t="s">
        <v>73</v>
      </c>
      <c r="C819" s="19" t="n">
        <v>0.333333333333333</v>
      </c>
      <c r="D819" s="19" t="n">
        <v>0.333333333333333</v>
      </c>
      <c r="E819" s="19" t="n">
        <v>0.75</v>
      </c>
      <c r="F819" s="19" t="n">
        <v>0.75</v>
      </c>
      <c r="G819" s="20"/>
      <c r="H819" s="20"/>
      <c r="I819" s="8" t="str">
        <f aca="false">IF(IF(OR(C819="",D819="Congé",D819="OFF",D819="Congé spécial"),"",IF(D819&gt;F819,D819-C819,IF(C819-D819&lt;0,0,C819-D819)))&lt;0.00068287037037037,"",IF(OR(D819="Congé",D819="OFF",C819="",D819="Congé spécial"),"",IF(D819&gt;F819,D819-C819,IF(C819-D819&lt;0,0,C819-D819))))</f>
        <v/>
      </c>
      <c r="J819" s="20"/>
      <c r="K819" s="8" t="n">
        <f aca="false">IF(SUM(H819:J819)&lt;0.00068287037037037,0,SUM(H819:J819))</f>
        <v>0</v>
      </c>
      <c r="L819" s="8" t="n">
        <f aca="false">IF(OR(F819="Congé",F819="OFF",M819="Abs",F819="Congé sans solde",F819="Férié",F819="Congé spécial",D819="Congé spécial"),0,IF(F819-E819&lt;0,0,IF(F819-E819&lt;=0.00068287037037037,0,F819-E819)))</f>
        <v>0</v>
      </c>
      <c r="M819" s="6" t="n">
        <f aca="false">IF(AND(O819&lt;&gt;0,C819=""),"Abs",0)</f>
        <v>0</v>
      </c>
      <c r="N819" s="8" t="n">
        <f aca="false">IFERROR(IF(OR(D819="OFF",D819="Congé",M819="Abs",D819="Congé sans solde",D819="Férié"),"",IF(O819-K819-L819&gt;O819,O819,IF(O819-K819-L819&lt;0,"",O819-K819-L819))),"")</f>
        <v>0.375</v>
      </c>
      <c r="O819" s="8" t="n">
        <f aca="false">IF(AG819="2H Pause déjeuner",IF(F819-D819-0.0833333333333333&lt;0,F819-D819-0.0833333333333333+1,F819-D819-0.0833333333333333),IF(OR(AND(F819="OFF",D819="OFF"),AND(F819="Congé",D819="Congé"),AND(F819="Congé sans solde",D819="Congé sans solde"),AND(F819="Congé spécial",D819="Congé spécial"),AND(F819="Férié",D819="Férié"),AND(F819="OFF",D819="Congé"),AND(F819="OFF",D819="Congé sans solde"),AND(F819="OFF",D819="Congé spécial"),AND(F819="OFF",D819="Férié"),AND(F819="Congé",D819="OFF"),AND(F819="Congé",D819="Congé sans solde"),AND(F819="Congé",D819="Congé spécial"),AND(F819="Congé",D819="Férié"),AND(F819="Congé sans solde",D819="OFF"),AND(F819="Congé sans solde",D819="Congé"),AND(F819="Congé sans solde",D819="Congé spécial"),AND(F819="Congé sans solde",D819="Férié"),AND(F819="Congé spécial",D819="OFF"),AND(F819="Congé spécial",D819="Congé"),AND(F819="Congé spécial",D819="Congé sans solde"),AND(F819="Congé spécial",D819="Férié"),AND(F819="Férié",D819="OFF"),AND(F819="Férié",D819="Congé"),AND(F819="Férié",D819="Congé sans solde"),AND(F819="Férié",D819="Congé spécial")),0,IF(OR(F819="OFF",F819="Congé",F819="Congé spécial",F819="Congé sans solde",D819="OFF",D819="Congé",D819="Congé spécial",D819="Congé sans solde"),0.208333333333334,IF(AND(AG819="",F819-D819&lt;0),("24:00:00"-D819)+("00:00:00"+F819)-0.0416666666666667,IF(AND(OR(AG819="Allaitement",AG819="Sans déjeuner"),F819-D819&lt;0),("24:00:00"-D819)+("00:00:00"+F819),IF(AND(AG819="",F819-D819&gt;0.166666666666667),F819-D819-0.0416666666666667,IF(AND(OR(AG819="Allaitement",AG819="Sans déjeuner"),F819-D819&gt;0.166666666666667),F819-D819,F819-D819)))))))</f>
        <v>0.375</v>
      </c>
      <c r="P819" s="6" t="str">
        <f aca="false">IFERROR(VLOOKUP($B819,Agents!$A:$D,2,0),"-")</f>
        <v>Accessibilité</v>
      </c>
      <c r="Q819" s="21" t="n">
        <v>46203</v>
      </c>
      <c r="R819" s="8" t="n">
        <f aca="false">IF(M819="Abs",O819,0)</f>
        <v>0</v>
      </c>
      <c r="S819" s="8" t="n">
        <f aca="false">SUM(R819,L819,I819,J819,W819,H819)</f>
        <v>0</v>
      </c>
      <c r="T819" s="6" t="str">
        <f aca="false">"Sem - "&amp;WEEKNUM(Q819,21)</f>
        <v>Sem - 27</v>
      </c>
      <c r="U819" s="6" t="str">
        <f aca="false">CHOOSE(MONTH(Q819),"Janvier","Février","Mars","Avril","Mai","Juin","Juillet","Août","Septembre","Octobre","Novembre","Décembre")</f>
        <v>Juin</v>
      </c>
      <c r="V819" s="22" t="n">
        <f aca="false">YEAR(Q819)</f>
        <v>2026</v>
      </c>
      <c r="W819" s="20"/>
      <c r="X819" s="8" t="n">
        <f aca="false">IFERROR(IF(M819="Abs",0,IF(ROUND((D819-C819+E819-F819)*1440,0)&lt;=1,0,D819-C819+E819-F819)),0)</f>
        <v>0</v>
      </c>
      <c r="Y819" s="6" t="str">
        <f aca="false">IFERROR(VLOOKUP($B819,Agents!$A:$D,3,0),"-")</f>
        <v>OUBRAHIM Mohammed</v>
      </c>
      <c r="Z819" s="6" t="str">
        <f aca="false">IFERROR(VLOOKUP($B819,Agents!$A:$D,4,0),"-")</f>
        <v>Credit Mutuel</v>
      </c>
      <c r="AA819" s="18" t="s">
        <v>109</v>
      </c>
      <c r="AB819" s="8" t="str">
        <f aca="false">IF(AND(D819="Congé",F819="Congé"),0.333333333333333,IF(OR(AND(D819="Congé",F819&lt;&gt;"Congé"),(AND(F819="Congé",D819&lt;&gt;"Congé"))),0.166666666666667,""))</f>
        <v/>
      </c>
      <c r="AC819" s="8" t="str">
        <f aca="false">IF(AND(D819="Congé sans solde",F819="Congé sans solde"),0.333333333333333,IF(OR(AND(D819="Congé sans solde",F819&lt;&gt;"Congé sans solde"),(AND(F819="Congé sans solde",D819&lt;&gt;"Congé sans solde"))),0.166666666666667,""))</f>
        <v/>
      </c>
      <c r="AD819" s="8" t="str">
        <f aca="false">IF(AND(D819="Congé spécial",F819="Congé spécial"),0.333333333333333,IF(OR(AND(D819="Congé spécial",F819&lt;&gt;"Congé spécial"),AND(F819="Congé spécial",D819&lt;&gt;"Congé spécial")),0.166666666666667,""))</f>
        <v/>
      </c>
      <c r="AE819" s="8" t="str">
        <f aca="false">IF(AND(D819="Férié",F819="Férié"),0.333333333333333,IF(OR(AND(D819="Férié",F819&lt;&gt;"Férié"),(AND(F819="Férié",D819&lt;&gt;"Férié"))),0.166666666666667,""))</f>
        <v/>
      </c>
      <c r="AF819" s="18"/>
      <c r="AG819" s="18"/>
    </row>
    <row r="820" customFormat="false" ht="15" hidden="false" customHeight="false" outlineLevel="0" collapsed="false">
      <c r="A820" s="6" t="str">
        <f aca="false">YEAR(Q820-WEEKDAY(Q820,2)+4)&amp;"-S"&amp;TEXT(WEEKNUM(Q820,21),"00")</f>
        <v>2026-S27</v>
      </c>
      <c r="B820" s="18" t="s">
        <v>71</v>
      </c>
      <c r="C820" s="19" t="n">
        <v>0.333333333333333</v>
      </c>
      <c r="D820" s="19" t="n">
        <v>0.333333333333333</v>
      </c>
      <c r="E820" s="19" t="n">
        <v>0.75</v>
      </c>
      <c r="F820" s="19" t="n">
        <v>0.75</v>
      </c>
      <c r="G820" s="20"/>
      <c r="H820" s="20"/>
      <c r="I820" s="8" t="str">
        <f aca="false">IF(IF(OR(C820="",D820="Congé",D820="OFF",D820="Congé spécial"),"",IF(D820&gt;F820,D820-C820,IF(C820-D820&lt;0,0,C820-D820)))&lt;0.00068287037037037,"",IF(OR(D820="Congé",D820="OFF",C820="",D820="Congé spécial"),"",IF(D820&gt;F820,D820-C820,IF(C820-D820&lt;0,0,C820-D820))))</f>
        <v/>
      </c>
      <c r="J820" s="20"/>
      <c r="K820" s="8" t="n">
        <f aca="false">IF(SUM(H820:J820)&lt;0.00068287037037037,0,SUM(H820:J820))</f>
        <v>0</v>
      </c>
      <c r="L820" s="8" t="n">
        <f aca="false">IF(OR(F820="Congé",F820="OFF",M820="Abs",F820="Congé sans solde",F820="Férié",F820="Congé spécial",D820="Congé spécial"),0,IF(F820-E820&lt;0,0,IF(F820-E820&lt;=0.00068287037037037,0,F820-E820)))</f>
        <v>0</v>
      </c>
      <c r="M820" s="6" t="n">
        <f aca="false">IF(AND(O820&lt;&gt;0,C820=""),"Abs",0)</f>
        <v>0</v>
      </c>
      <c r="N820" s="8" t="n">
        <f aca="false">IFERROR(IF(OR(D820="OFF",D820="Congé",M820="Abs",D820="Congé sans solde",D820="Férié"),"",IF(O820-K820-L820&gt;O820,O820,IF(O820-K820-L820&lt;0,"",O820-K820-L820))),"")</f>
        <v>0.375</v>
      </c>
      <c r="O820" s="8" t="n">
        <f aca="false">IF(AG820="2H Pause déjeuner",IF(F820-D820-0.0833333333333333&lt;0,F820-D820-0.0833333333333333+1,F820-D820-0.0833333333333333),IF(OR(AND(F820="OFF",D820="OFF"),AND(F820="Congé",D820="Congé"),AND(F820="Congé sans solde",D820="Congé sans solde"),AND(F820="Congé spécial",D820="Congé spécial"),AND(F820="Férié",D820="Férié"),AND(F820="OFF",D820="Congé"),AND(F820="OFF",D820="Congé sans solde"),AND(F820="OFF",D820="Congé spécial"),AND(F820="OFF",D820="Férié"),AND(F820="Congé",D820="OFF"),AND(F820="Congé",D820="Congé sans solde"),AND(F820="Congé",D820="Congé spécial"),AND(F820="Congé",D820="Férié"),AND(F820="Congé sans solde",D820="OFF"),AND(F820="Congé sans solde",D820="Congé"),AND(F820="Congé sans solde",D820="Congé spécial"),AND(F820="Congé sans solde",D820="Férié"),AND(F820="Congé spécial",D820="OFF"),AND(F820="Congé spécial",D820="Congé"),AND(F820="Congé spécial",D820="Congé sans solde"),AND(F820="Congé spécial",D820="Férié"),AND(F820="Férié",D820="OFF"),AND(F820="Férié",D820="Congé"),AND(F820="Férié",D820="Congé sans solde"),AND(F820="Férié",D820="Congé spécial")),0,IF(OR(F820="OFF",F820="Congé",F820="Congé spécial",F820="Congé sans solde",D820="OFF",D820="Congé",D820="Congé spécial",D820="Congé sans solde"),0.208333333333334,IF(AND(AG820="",F820-D820&lt;0),("24:00:00"-D820)+("00:00:00"+F820)-0.0416666666666667,IF(AND(OR(AG820="Allaitement",AG820="Sans déjeuner"),F820-D820&lt;0),("24:00:00"-D820)+("00:00:00"+F820),IF(AND(AG820="",F820-D820&gt;0.166666666666667),F820-D820-0.0416666666666667,IF(AND(OR(AG820="Allaitement",AG820="Sans déjeuner"),F820-D820&gt;0.166666666666667),F820-D820,F820-D820)))))))</f>
        <v>0.375</v>
      </c>
      <c r="P820" s="6" t="str">
        <f aca="false">IFERROR(VLOOKUP($B820,Agents!$A:$D,2,0),"-")</f>
        <v>Accessibilité</v>
      </c>
      <c r="Q820" s="21" t="n">
        <v>46204</v>
      </c>
      <c r="R820" s="8" t="n">
        <f aca="false">IF(M820="Abs",O820,0)</f>
        <v>0</v>
      </c>
      <c r="S820" s="8" t="n">
        <f aca="false">SUM(R820,L820,I820,J820,W820,H820)</f>
        <v>0</v>
      </c>
      <c r="T820" s="6" t="str">
        <f aca="false">"Sem - "&amp;WEEKNUM(Q820,21)</f>
        <v>Sem - 27</v>
      </c>
      <c r="U820" s="6" t="str">
        <f aca="false">CHOOSE(MONTH(Q820),"Janvier","Février","Mars","Avril","Mai","Juin","Juillet","Août","Septembre","Octobre","Novembre","Décembre")</f>
        <v>Juillet</v>
      </c>
      <c r="V820" s="22" t="n">
        <f aca="false">YEAR(Q820)</f>
        <v>2026</v>
      </c>
      <c r="W820" s="20"/>
      <c r="X820" s="8" t="n">
        <f aca="false">IFERROR(IF(M820="Abs",0,IF(ROUND((D820-C820+E820-F820)*1440,0)&lt;=1,0,D820-C820+E820-F820)),0)</f>
        <v>0</v>
      </c>
      <c r="Y820" s="6" t="str">
        <f aca="false">IFERROR(VLOOKUP($B820,Agents!$A:$D,3,0),"-")</f>
        <v>OUBRAHIM Mohammed</v>
      </c>
      <c r="Z820" s="6" t="str">
        <f aca="false">IFERROR(VLOOKUP($B820,Agents!$A:$D,4,0),"-")</f>
        <v>Credit Mutuel</v>
      </c>
      <c r="AA820" s="18" t="s">
        <v>109</v>
      </c>
      <c r="AB820" s="8" t="str">
        <f aca="false">IF(AND(D820="Congé",F820="Congé"),0.333333333333333,IF(OR(AND(D820="Congé",F820&lt;&gt;"Congé"),(AND(F820="Congé",D820&lt;&gt;"Congé"))),0.166666666666667,""))</f>
        <v/>
      </c>
      <c r="AC820" s="8" t="str">
        <f aca="false">IF(AND(D820="Congé sans solde",F820="Congé sans solde"),0.333333333333333,IF(OR(AND(D820="Congé sans solde",F820&lt;&gt;"Congé sans solde"),(AND(F820="Congé sans solde",D820&lt;&gt;"Congé sans solde"))),0.166666666666667,""))</f>
        <v/>
      </c>
      <c r="AD820" s="8" t="str">
        <f aca="false">IF(AND(D820="Congé spécial",F820="Congé spécial"),0.333333333333333,IF(OR(AND(D820="Congé spécial",F820&lt;&gt;"Congé spécial"),AND(F820="Congé spécial",D820&lt;&gt;"Congé spécial")),0.166666666666667,""))</f>
        <v/>
      </c>
      <c r="AE820" s="8" t="str">
        <f aca="false">IF(AND(D820="Férié",F820="Férié"),0.333333333333333,IF(OR(AND(D820="Férié",F820&lt;&gt;"Férié"),(AND(F820="Férié",D820&lt;&gt;"Férié"))),0.166666666666667,""))</f>
        <v/>
      </c>
      <c r="AF820" s="18"/>
      <c r="AG820" s="18"/>
    </row>
    <row r="821" customFormat="false" ht="15" hidden="false" customHeight="false" outlineLevel="0" collapsed="false">
      <c r="A821" s="6" t="str">
        <f aca="false">YEAR(Q821-WEEKDAY(Q821,2)+4)&amp;"-S"&amp;TEXT(WEEKNUM(Q821,21),"00")</f>
        <v>2026-S27</v>
      </c>
      <c r="B821" s="18" t="s">
        <v>72</v>
      </c>
      <c r="C821" s="19" t="n">
        <v>0.333333333333333</v>
      </c>
      <c r="D821" s="19" t="n">
        <v>0.333333333333333</v>
      </c>
      <c r="E821" s="19" t="n">
        <v>0.75</v>
      </c>
      <c r="F821" s="19" t="n">
        <v>0.75</v>
      </c>
      <c r="G821" s="20"/>
      <c r="H821" s="20"/>
      <c r="I821" s="8" t="str">
        <f aca="false">IF(IF(OR(C821="",D821="Congé",D821="OFF",D821="Congé spécial"),"",IF(D821&gt;F821,D821-C821,IF(C821-D821&lt;0,0,C821-D821)))&lt;0.00068287037037037,"",IF(OR(D821="Congé",D821="OFF",C821="",D821="Congé spécial"),"",IF(D821&gt;F821,D821-C821,IF(C821-D821&lt;0,0,C821-D821))))</f>
        <v/>
      </c>
      <c r="J821" s="20"/>
      <c r="K821" s="8" t="n">
        <f aca="false">IF(SUM(H821:J821)&lt;0.00068287037037037,0,SUM(H821:J821))</f>
        <v>0</v>
      </c>
      <c r="L821" s="8" t="n">
        <f aca="false">IF(OR(F821="Congé",F821="OFF",M821="Abs",F821="Congé sans solde",F821="Férié",F821="Congé spécial",D821="Congé spécial"),0,IF(F821-E821&lt;0,0,IF(F821-E821&lt;=0.00068287037037037,0,F821-E821)))</f>
        <v>0</v>
      </c>
      <c r="M821" s="6" t="n">
        <f aca="false">IF(AND(O821&lt;&gt;0,C821=""),"Abs",0)</f>
        <v>0</v>
      </c>
      <c r="N821" s="8" t="n">
        <f aca="false">IFERROR(IF(OR(D821="OFF",D821="Congé",M821="Abs",D821="Congé sans solde",D821="Férié"),"",IF(O821-K821-L821&gt;O821,O821,IF(O821-K821-L821&lt;0,"",O821-K821-L821))),"")</f>
        <v>0.375</v>
      </c>
      <c r="O821" s="8" t="n">
        <f aca="false">IF(AG821="2H Pause déjeuner",IF(F821-D821-0.0833333333333333&lt;0,F821-D821-0.0833333333333333+1,F821-D821-0.0833333333333333),IF(OR(AND(F821="OFF",D821="OFF"),AND(F821="Congé",D821="Congé"),AND(F821="Congé sans solde",D821="Congé sans solde"),AND(F821="Congé spécial",D821="Congé spécial"),AND(F821="Férié",D821="Férié"),AND(F821="OFF",D821="Congé"),AND(F821="OFF",D821="Congé sans solde"),AND(F821="OFF",D821="Congé spécial"),AND(F821="OFF",D821="Férié"),AND(F821="Congé",D821="OFF"),AND(F821="Congé",D821="Congé sans solde"),AND(F821="Congé",D821="Congé spécial"),AND(F821="Congé",D821="Férié"),AND(F821="Congé sans solde",D821="OFF"),AND(F821="Congé sans solde",D821="Congé"),AND(F821="Congé sans solde",D821="Congé spécial"),AND(F821="Congé sans solde",D821="Férié"),AND(F821="Congé spécial",D821="OFF"),AND(F821="Congé spécial",D821="Congé"),AND(F821="Congé spécial",D821="Congé sans solde"),AND(F821="Congé spécial",D821="Férié"),AND(F821="Férié",D821="OFF"),AND(F821="Férié",D821="Congé"),AND(F821="Férié",D821="Congé sans solde"),AND(F821="Férié",D821="Congé spécial")),0,IF(OR(F821="OFF",F821="Congé",F821="Congé spécial",F821="Congé sans solde",D821="OFF",D821="Congé",D821="Congé spécial",D821="Congé sans solde"),0.208333333333334,IF(AND(AG821="",F821-D821&lt;0),("24:00:00"-D821)+("00:00:00"+F821)-0.0416666666666667,IF(AND(OR(AG821="Allaitement",AG821="Sans déjeuner"),F821-D821&lt;0),("24:00:00"-D821)+("00:00:00"+F821),IF(AND(AG821="",F821-D821&gt;0.166666666666667),F821-D821-0.0416666666666667,IF(AND(OR(AG821="Allaitement",AG821="Sans déjeuner"),F821-D821&gt;0.166666666666667),F821-D821,F821-D821)))))))</f>
        <v>0.375</v>
      </c>
      <c r="P821" s="6" t="str">
        <f aca="false">IFERROR(VLOOKUP($B821,Agents!$A:$D,2,0),"-")</f>
        <v>Accessibilité</v>
      </c>
      <c r="Q821" s="21" t="n">
        <v>46204</v>
      </c>
      <c r="R821" s="8" t="n">
        <f aca="false">IF(M821="Abs",O821,0)</f>
        <v>0</v>
      </c>
      <c r="S821" s="8" t="n">
        <f aca="false">SUM(R821,L821,I821,J821,W821,H821)</f>
        <v>0</v>
      </c>
      <c r="T821" s="6" t="str">
        <f aca="false">"Sem - "&amp;WEEKNUM(Q821,21)</f>
        <v>Sem - 27</v>
      </c>
      <c r="U821" s="6" t="str">
        <f aca="false">CHOOSE(MONTH(Q821),"Janvier","Février","Mars","Avril","Mai","Juin","Juillet","Août","Septembre","Octobre","Novembre","Décembre")</f>
        <v>Juillet</v>
      </c>
      <c r="V821" s="22" t="n">
        <f aca="false">YEAR(Q821)</f>
        <v>2026</v>
      </c>
      <c r="W821" s="20"/>
      <c r="X821" s="8" t="n">
        <f aca="false">IFERROR(IF(M821="Abs",0,IF(ROUND((D821-C821+E821-F821)*1440,0)&lt;=1,0,D821-C821+E821-F821)),0)</f>
        <v>0</v>
      </c>
      <c r="Y821" s="6" t="str">
        <f aca="false">IFERROR(VLOOKUP($B821,Agents!$A:$D,3,0),"-")</f>
        <v>OUBRAHIM Mohammed</v>
      </c>
      <c r="Z821" s="6" t="str">
        <f aca="false">IFERROR(VLOOKUP($B821,Agents!$A:$D,4,0),"-")</f>
        <v>Credit Mutuel</v>
      </c>
      <c r="AA821" s="18" t="s">
        <v>109</v>
      </c>
      <c r="AB821" s="8" t="str">
        <f aca="false">IF(AND(D821="Congé",F821="Congé"),0.333333333333333,IF(OR(AND(D821="Congé",F821&lt;&gt;"Congé"),(AND(F821="Congé",D821&lt;&gt;"Congé"))),0.166666666666667,""))</f>
        <v/>
      </c>
      <c r="AC821" s="8" t="str">
        <f aca="false">IF(AND(D821="Congé sans solde",F821="Congé sans solde"),0.333333333333333,IF(OR(AND(D821="Congé sans solde",F821&lt;&gt;"Congé sans solde"),(AND(F821="Congé sans solde",D821&lt;&gt;"Congé sans solde"))),0.166666666666667,""))</f>
        <v/>
      </c>
      <c r="AD821" s="8" t="str">
        <f aca="false">IF(AND(D821="Congé spécial",F821="Congé spécial"),0.333333333333333,IF(OR(AND(D821="Congé spécial",F821&lt;&gt;"Congé spécial"),AND(F821="Congé spécial",D821&lt;&gt;"Congé spécial")),0.166666666666667,""))</f>
        <v/>
      </c>
      <c r="AE821" s="8" t="str">
        <f aca="false">IF(AND(D821="Férié",F821="Férié"),0.333333333333333,IF(OR(AND(D821="Férié",F821&lt;&gt;"Férié"),(AND(F821="Férié",D821&lt;&gt;"Férié"))),0.166666666666667,""))</f>
        <v/>
      </c>
      <c r="AF821" s="18"/>
      <c r="AG821" s="18"/>
    </row>
    <row r="822" customFormat="false" ht="15" hidden="false" customHeight="false" outlineLevel="0" collapsed="false">
      <c r="A822" s="6" t="str">
        <f aca="false">YEAR(Q822-WEEKDAY(Q822,2)+4)&amp;"-S"&amp;TEXT(WEEKNUM(Q822,21),"00")</f>
        <v>2026-S27</v>
      </c>
      <c r="B822" s="18" t="s">
        <v>73</v>
      </c>
      <c r="C822" s="19" t="n">
        <v>0.333333333333333</v>
      </c>
      <c r="D822" s="19" t="n">
        <v>0.333333333333333</v>
      </c>
      <c r="E822" s="19" t="n">
        <v>0.75</v>
      </c>
      <c r="F822" s="19" t="n">
        <v>0.75</v>
      </c>
      <c r="G822" s="20"/>
      <c r="H822" s="20"/>
      <c r="I822" s="8" t="str">
        <f aca="false">IF(IF(OR(C822="",D822="Congé",D822="OFF",D822="Congé spécial"),"",IF(D822&gt;F822,D822-C822,IF(C822-D822&lt;0,0,C822-D822)))&lt;0.00068287037037037,"",IF(OR(D822="Congé",D822="OFF",C822="",D822="Congé spécial"),"",IF(D822&gt;F822,D822-C822,IF(C822-D822&lt;0,0,C822-D822))))</f>
        <v/>
      </c>
      <c r="J822" s="20"/>
      <c r="K822" s="8" t="n">
        <f aca="false">IF(SUM(H822:J822)&lt;0.00068287037037037,0,SUM(H822:J822))</f>
        <v>0</v>
      </c>
      <c r="L822" s="8" t="n">
        <f aca="false">IF(OR(F822="Congé",F822="OFF",M822="Abs",F822="Congé sans solde",F822="Férié",F822="Congé spécial",D822="Congé spécial"),0,IF(F822-E822&lt;0,0,IF(F822-E822&lt;=0.00068287037037037,0,F822-E822)))</f>
        <v>0</v>
      </c>
      <c r="M822" s="6" t="n">
        <f aca="false">IF(AND(O822&lt;&gt;0,C822=""),"Abs",0)</f>
        <v>0</v>
      </c>
      <c r="N822" s="8" t="n">
        <f aca="false">IFERROR(IF(OR(D822="OFF",D822="Congé",M822="Abs",D822="Congé sans solde",D822="Férié"),"",IF(O822-K822-L822&gt;O822,O822,IF(O822-K822-L822&lt;0,"",O822-K822-L822))),"")</f>
        <v>0.375</v>
      </c>
      <c r="O822" s="8" t="n">
        <f aca="false">IF(AG822="2H Pause déjeuner",IF(F822-D822-0.0833333333333333&lt;0,F822-D822-0.0833333333333333+1,F822-D822-0.0833333333333333),IF(OR(AND(F822="OFF",D822="OFF"),AND(F822="Congé",D822="Congé"),AND(F822="Congé sans solde",D822="Congé sans solde"),AND(F822="Congé spécial",D822="Congé spécial"),AND(F822="Férié",D822="Férié"),AND(F822="OFF",D822="Congé"),AND(F822="OFF",D822="Congé sans solde"),AND(F822="OFF",D822="Congé spécial"),AND(F822="OFF",D822="Férié"),AND(F822="Congé",D822="OFF"),AND(F822="Congé",D822="Congé sans solde"),AND(F822="Congé",D822="Congé spécial"),AND(F822="Congé",D822="Férié"),AND(F822="Congé sans solde",D822="OFF"),AND(F822="Congé sans solde",D822="Congé"),AND(F822="Congé sans solde",D822="Congé spécial"),AND(F822="Congé sans solde",D822="Férié"),AND(F822="Congé spécial",D822="OFF"),AND(F822="Congé spécial",D822="Congé"),AND(F822="Congé spécial",D822="Congé sans solde"),AND(F822="Congé spécial",D822="Férié"),AND(F822="Férié",D822="OFF"),AND(F822="Férié",D822="Congé"),AND(F822="Férié",D822="Congé sans solde"),AND(F822="Férié",D822="Congé spécial")),0,IF(OR(F822="OFF",F822="Congé",F822="Congé spécial",F822="Congé sans solde",D822="OFF",D822="Congé",D822="Congé spécial",D822="Congé sans solde"),0.208333333333334,IF(AND(AG822="",F822-D822&lt;0),("24:00:00"-D822)+("00:00:00"+F822)-0.0416666666666667,IF(AND(OR(AG822="Allaitement",AG822="Sans déjeuner"),F822-D822&lt;0),("24:00:00"-D822)+("00:00:00"+F822),IF(AND(AG822="",F822-D822&gt;0.166666666666667),F822-D822-0.0416666666666667,IF(AND(OR(AG822="Allaitement",AG822="Sans déjeuner"),F822-D822&gt;0.166666666666667),F822-D822,F822-D822)))))))</f>
        <v>0.375</v>
      </c>
      <c r="P822" s="6" t="str">
        <f aca="false">IFERROR(VLOOKUP($B822,Agents!$A:$D,2,0),"-")</f>
        <v>Accessibilité</v>
      </c>
      <c r="Q822" s="21" t="n">
        <v>46204</v>
      </c>
      <c r="R822" s="8" t="n">
        <f aca="false">IF(M822="Abs",O822,0)</f>
        <v>0</v>
      </c>
      <c r="S822" s="8" t="n">
        <f aca="false">SUM(R822,L822,I822,J822,W822,H822)</f>
        <v>0</v>
      </c>
      <c r="T822" s="6" t="str">
        <f aca="false">"Sem - "&amp;WEEKNUM(Q822,21)</f>
        <v>Sem - 27</v>
      </c>
      <c r="U822" s="6" t="str">
        <f aca="false">CHOOSE(MONTH(Q822),"Janvier","Février","Mars","Avril","Mai","Juin","Juillet","Août","Septembre","Octobre","Novembre","Décembre")</f>
        <v>Juillet</v>
      </c>
      <c r="V822" s="22" t="n">
        <f aca="false">YEAR(Q822)</f>
        <v>2026</v>
      </c>
      <c r="W822" s="20"/>
      <c r="X822" s="8" t="n">
        <f aca="false">IFERROR(IF(M822="Abs",0,IF(ROUND((D822-C822+E822-F822)*1440,0)&lt;=1,0,D822-C822+E822-F822)),0)</f>
        <v>0</v>
      </c>
      <c r="Y822" s="6" t="str">
        <f aca="false">IFERROR(VLOOKUP($B822,Agents!$A:$D,3,0),"-")</f>
        <v>OUBRAHIM Mohammed</v>
      </c>
      <c r="Z822" s="6" t="str">
        <f aca="false">IFERROR(VLOOKUP($B822,Agents!$A:$D,4,0),"-")</f>
        <v>Credit Mutuel</v>
      </c>
      <c r="AA822" s="18" t="s">
        <v>109</v>
      </c>
      <c r="AB822" s="8" t="str">
        <f aca="false">IF(AND(D822="Congé",F822="Congé"),0.333333333333333,IF(OR(AND(D822="Congé",F822&lt;&gt;"Congé"),(AND(F822="Congé",D822&lt;&gt;"Congé"))),0.166666666666667,""))</f>
        <v/>
      </c>
      <c r="AC822" s="8" t="str">
        <f aca="false">IF(AND(D822="Congé sans solde",F822="Congé sans solde"),0.333333333333333,IF(OR(AND(D822="Congé sans solde",F822&lt;&gt;"Congé sans solde"),(AND(F822="Congé sans solde",D822&lt;&gt;"Congé sans solde"))),0.166666666666667,""))</f>
        <v/>
      </c>
      <c r="AD822" s="8" t="str">
        <f aca="false">IF(AND(D822="Congé spécial",F822="Congé spécial"),0.333333333333333,IF(OR(AND(D822="Congé spécial",F822&lt;&gt;"Congé spécial"),AND(F822="Congé spécial",D822&lt;&gt;"Congé spécial")),0.166666666666667,""))</f>
        <v/>
      </c>
      <c r="AE822" s="8" t="str">
        <f aca="false">IF(AND(D822="Férié",F822="Férié"),0.333333333333333,IF(OR(AND(D822="Férié",F822&lt;&gt;"Férié"),(AND(F822="Férié",D822&lt;&gt;"Férié"))),0.166666666666667,""))</f>
        <v/>
      </c>
      <c r="AF822" s="18"/>
      <c r="AG822" s="18"/>
    </row>
    <row r="823" customFormat="false" ht="15" hidden="false" customHeight="false" outlineLevel="0" collapsed="false">
      <c r="A823" s="6" t="str">
        <f aca="false">YEAR(Q823-WEEKDAY(Q823,2)+4)&amp;"-S"&amp;TEXT(WEEKNUM(Q823,21),"00")</f>
        <v>2026-S27</v>
      </c>
      <c r="B823" s="18" t="s">
        <v>71</v>
      </c>
      <c r="C823" s="19" t="n">
        <v>0.331944444444444</v>
      </c>
      <c r="D823" s="19" t="n">
        <v>0.333333333333333</v>
      </c>
      <c r="E823" s="19" t="n">
        <v>0.75</v>
      </c>
      <c r="F823" s="19" t="n">
        <v>0.75</v>
      </c>
      <c r="G823" s="20"/>
      <c r="H823" s="20"/>
      <c r="I823" s="8" t="str">
        <f aca="false">IF(IF(OR(C823="",D823="Congé",D823="OFF",D823="Congé spécial"),"",IF(D823&gt;F823,D823-C823,IF(C823-D823&lt;0,0,C823-D823)))&lt;0.00068287037037037,"",IF(OR(D823="Congé",D823="OFF",C823="",D823="Congé spécial"),"",IF(D823&gt;F823,D823-C823,IF(C823-D823&lt;0,0,C823-D823))))</f>
        <v/>
      </c>
      <c r="J823" s="20"/>
      <c r="K823" s="8" t="n">
        <f aca="false">IF(SUM(H823:J823)&lt;0.00068287037037037,0,SUM(H823:J823))</f>
        <v>0</v>
      </c>
      <c r="L823" s="8" t="n">
        <f aca="false">IF(OR(F823="Congé",F823="OFF",M823="Abs",F823="Congé sans solde",F823="Férié",F823="Congé spécial",D823="Congé spécial"),0,IF(F823-E823&lt;0,0,IF(F823-E823&lt;=0.00068287037037037,0,F823-E823)))</f>
        <v>0</v>
      </c>
      <c r="M823" s="6" t="n">
        <f aca="false">IF(AND(O823&lt;&gt;0,C823=""),"Abs",0)</f>
        <v>0</v>
      </c>
      <c r="N823" s="8" t="n">
        <f aca="false">IFERROR(IF(OR(D823="OFF",D823="Congé",M823="Abs",D823="Congé sans solde",D823="Férié"),"",IF(O823-K823-L823&gt;O823,O823,IF(O823-K823-L823&lt;0,"",O823-K823-L823))),"")</f>
        <v>0.375</v>
      </c>
      <c r="O823" s="8" t="n">
        <f aca="false">IF(AG823="2H Pause déjeuner",IF(F823-D823-0.0833333333333333&lt;0,F823-D823-0.0833333333333333+1,F823-D823-0.0833333333333333),IF(OR(AND(F823="OFF",D823="OFF"),AND(F823="Congé",D823="Congé"),AND(F823="Congé sans solde",D823="Congé sans solde"),AND(F823="Congé spécial",D823="Congé spécial"),AND(F823="Férié",D823="Férié"),AND(F823="OFF",D823="Congé"),AND(F823="OFF",D823="Congé sans solde"),AND(F823="OFF",D823="Congé spécial"),AND(F823="OFF",D823="Férié"),AND(F823="Congé",D823="OFF"),AND(F823="Congé",D823="Congé sans solde"),AND(F823="Congé",D823="Congé spécial"),AND(F823="Congé",D823="Férié"),AND(F823="Congé sans solde",D823="OFF"),AND(F823="Congé sans solde",D823="Congé"),AND(F823="Congé sans solde",D823="Congé spécial"),AND(F823="Congé sans solde",D823="Férié"),AND(F823="Congé spécial",D823="OFF"),AND(F823="Congé spécial",D823="Congé"),AND(F823="Congé spécial",D823="Congé sans solde"),AND(F823="Congé spécial",D823="Férié"),AND(F823="Férié",D823="OFF"),AND(F823="Férié",D823="Congé"),AND(F823="Férié",D823="Congé sans solde"),AND(F823="Férié",D823="Congé spécial")),0,IF(OR(F823="OFF",F823="Congé",F823="Congé spécial",F823="Congé sans solde",D823="OFF",D823="Congé",D823="Congé spécial",D823="Congé sans solde"),0.208333333333334,IF(AND(AG823="",F823-D823&lt;0),("24:00:00"-D823)+("00:00:00"+F823)-0.0416666666666667,IF(AND(OR(AG823="Allaitement",AG823="Sans déjeuner"),F823-D823&lt;0),("24:00:00"-D823)+("00:00:00"+F823),IF(AND(AG823="",F823-D823&gt;0.166666666666667),F823-D823-0.0416666666666667,IF(AND(OR(AG823="Allaitement",AG823="Sans déjeuner"),F823-D823&gt;0.166666666666667),F823-D823,F823-D823)))))))</f>
        <v>0.375</v>
      </c>
      <c r="P823" s="6" t="str">
        <f aca="false">IFERROR(VLOOKUP($B823,Agents!$A:$D,2,0),"-")</f>
        <v>Accessibilité</v>
      </c>
      <c r="Q823" s="21" t="n">
        <v>46205</v>
      </c>
      <c r="R823" s="8" t="n">
        <f aca="false">IF(M823="Abs",O823,0)</f>
        <v>0</v>
      </c>
      <c r="S823" s="8" t="n">
        <f aca="false">SUM(R823,L823,I823,J823,W823,H823)</f>
        <v>0</v>
      </c>
      <c r="T823" s="6" t="str">
        <f aca="false">"Sem - "&amp;WEEKNUM(Q823,21)</f>
        <v>Sem - 27</v>
      </c>
      <c r="U823" s="6" t="str">
        <f aca="false">CHOOSE(MONTH(Q823),"Janvier","Février","Mars","Avril","Mai","Juin","Juillet","Août","Septembre","Octobre","Novembre","Décembre")</f>
        <v>Juillet</v>
      </c>
      <c r="V823" s="22" t="n">
        <f aca="false">YEAR(Q823)</f>
        <v>2026</v>
      </c>
      <c r="W823" s="20"/>
      <c r="X823" s="8" t="n">
        <f aca="false">IFERROR(IF(M823="Abs",0,IF(ROUND((D823-C823+E823-F823)*1440,0)&lt;=1,0,D823-C823+E823-F823)),0)</f>
        <v>0.00138888888888889</v>
      </c>
      <c r="Y823" s="6" t="str">
        <f aca="false">IFERROR(VLOOKUP($B823,Agents!$A:$D,3,0),"-")</f>
        <v>OUBRAHIM Mohammed</v>
      </c>
      <c r="Z823" s="6" t="str">
        <f aca="false">IFERROR(VLOOKUP($B823,Agents!$A:$D,4,0),"-")</f>
        <v>Credit Mutuel</v>
      </c>
      <c r="AA823" s="18" t="s">
        <v>109</v>
      </c>
      <c r="AB823" s="8" t="str">
        <f aca="false">IF(AND(D823="Congé",F823="Congé"),0.333333333333333,IF(OR(AND(D823="Congé",F823&lt;&gt;"Congé"),(AND(F823="Congé",D823&lt;&gt;"Congé"))),0.166666666666667,""))</f>
        <v/>
      </c>
      <c r="AC823" s="8" t="str">
        <f aca="false">IF(AND(D823="Congé sans solde",F823="Congé sans solde"),0.333333333333333,IF(OR(AND(D823="Congé sans solde",F823&lt;&gt;"Congé sans solde"),(AND(F823="Congé sans solde",D823&lt;&gt;"Congé sans solde"))),0.166666666666667,""))</f>
        <v/>
      </c>
      <c r="AD823" s="8" t="str">
        <f aca="false">IF(AND(D823="Congé spécial",F823="Congé spécial"),0.333333333333333,IF(OR(AND(D823="Congé spécial",F823&lt;&gt;"Congé spécial"),AND(F823="Congé spécial",D823&lt;&gt;"Congé spécial")),0.166666666666667,""))</f>
        <v/>
      </c>
      <c r="AE823" s="8" t="str">
        <f aca="false">IF(AND(D823="Férié",F823="Férié"),0.333333333333333,IF(OR(AND(D823="Férié",F823&lt;&gt;"Férié"),(AND(F823="Férié",D823&lt;&gt;"Férié"))),0.166666666666667,""))</f>
        <v/>
      </c>
      <c r="AF823" s="18"/>
      <c r="AG823" s="18"/>
    </row>
    <row r="824" customFormat="false" ht="15" hidden="false" customHeight="false" outlineLevel="0" collapsed="false">
      <c r="A824" s="6" t="str">
        <f aca="false">YEAR(Q824-WEEKDAY(Q824,2)+4)&amp;"-S"&amp;TEXT(WEEKNUM(Q824,21),"00")</f>
        <v>2026-S27</v>
      </c>
      <c r="B824" s="18" t="s">
        <v>72</v>
      </c>
      <c r="C824" s="19" t="n">
        <v>0.330555555555556</v>
      </c>
      <c r="D824" s="19" t="n">
        <v>0.333333333333333</v>
      </c>
      <c r="E824" s="19" t="n">
        <v>0.75</v>
      </c>
      <c r="F824" s="19" t="n">
        <v>0.75</v>
      </c>
      <c r="G824" s="20"/>
      <c r="H824" s="20"/>
      <c r="I824" s="8" t="str">
        <f aca="false">IF(IF(OR(C824="",D824="Congé",D824="OFF",D824="Congé spécial"),"",IF(D824&gt;F824,D824-C824,IF(C824-D824&lt;0,0,C824-D824)))&lt;0.00068287037037037,"",IF(OR(D824="Congé",D824="OFF",C824="",D824="Congé spécial"),"",IF(D824&gt;F824,D824-C824,IF(C824-D824&lt;0,0,C824-D824))))</f>
        <v/>
      </c>
      <c r="J824" s="20"/>
      <c r="K824" s="8" t="n">
        <f aca="false">IF(SUM(H824:J824)&lt;0.00068287037037037,0,SUM(H824:J824))</f>
        <v>0</v>
      </c>
      <c r="L824" s="8" t="n">
        <f aca="false">IF(OR(F824="Congé",F824="OFF",M824="Abs",F824="Congé sans solde",F824="Férié",F824="Congé spécial",D824="Congé spécial"),0,IF(F824-E824&lt;0,0,IF(F824-E824&lt;=0.00068287037037037,0,F824-E824)))</f>
        <v>0</v>
      </c>
      <c r="M824" s="6" t="n">
        <f aca="false">IF(AND(O824&lt;&gt;0,C824=""),"Abs",0)</f>
        <v>0</v>
      </c>
      <c r="N824" s="8" t="n">
        <f aca="false">IFERROR(IF(OR(D824="OFF",D824="Congé",M824="Abs",D824="Congé sans solde",D824="Férié"),"",IF(O824-K824-L824&gt;O824,O824,IF(O824-K824-L824&lt;0,"",O824-K824-L824))),"")</f>
        <v>0.375</v>
      </c>
      <c r="O824" s="8" t="n">
        <f aca="false">IF(AG824="2H Pause déjeuner",IF(F824-D824-0.0833333333333333&lt;0,F824-D824-0.0833333333333333+1,F824-D824-0.0833333333333333),IF(OR(AND(F824="OFF",D824="OFF"),AND(F824="Congé",D824="Congé"),AND(F824="Congé sans solde",D824="Congé sans solde"),AND(F824="Congé spécial",D824="Congé spécial"),AND(F824="Férié",D824="Férié"),AND(F824="OFF",D824="Congé"),AND(F824="OFF",D824="Congé sans solde"),AND(F824="OFF",D824="Congé spécial"),AND(F824="OFF",D824="Férié"),AND(F824="Congé",D824="OFF"),AND(F824="Congé",D824="Congé sans solde"),AND(F824="Congé",D824="Congé spécial"),AND(F824="Congé",D824="Férié"),AND(F824="Congé sans solde",D824="OFF"),AND(F824="Congé sans solde",D824="Congé"),AND(F824="Congé sans solde",D824="Congé spécial"),AND(F824="Congé sans solde",D824="Férié"),AND(F824="Congé spécial",D824="OFF"),AND(F824="Congé spécial",D824="Congé"),AND(F824="Congé spécial",D824="Congé sans solde"),AND(F824="Congé spécial",D824="Férié"),AND(F824="Férié",D824="OFF"),AND(F824="Férié",D824="Congé"),AND(F824="Férié",D824="Congé sans solde"),AND(F824="Férié",D824="Congé spécial")),0,IF(OR(F824="OFF",F824="Congé",F824="Congé spécial",F824="Congé sans solde",D824="OFF",D824="Congé",D824="Congé spécial",D824="Congé sans solde"),0.208333333333334,IF(AND(AG824="",F824-D824&lt;0),("24:00:00"-D824)+("00:00:00"+F824)-0.0416666666666667,IF(AND(OR(AG824="Allaitement",AG824="Sans déjeuner"),F824-D824&lt;0),("24:00:00"-D824)+("00:00:00"+F824),IF(AND(AG824="",F824-D824&gt;0.166666666666667),F824-D824-0.0416666666666667,IF(AND(OR(AG824="Allaitement",AG824="Sans déjeuner"),F824-D824&gt;0.166666666666667),F824-D824,F824-D824)))))))</f>
        <v>0.375</v>
      </c>
      <c r="P824" s="6" t="str">
        <f aca="false">IFERROR(VLOOKUP($B824,Agents!$A:$D,2,0),"-")</f>
        <v>Accessibilité</v>
      </c>
      <c r="Q824" s="21" t="n">
        <v>46205</v>
      </c>
      <c r="R824" s="8" t="n">
        <f aca="false">IF(M824="Abs",O824,0)</f>
        <v>0</v>
      </c>
      <c r="S824" s="8" t="n">
        <f aca="false">SUM(R824,L824,I824,J824,W824,H824)</f>
        <v>0</v>
      </c>
      <c r="T824" s="6" t="str">
        <f aca="false">"Sem - "&amp;WEEKNUM(Q824,21)</f>
        <v>Sem - 27</v>
      </c>
      <c r="U824" s="6" t="str">
        <f aca="false">CHOOSE(MONTH(Q824),"Janvier","Février","Mars","Avril","Mai","Juin","Juillet","Août","Septembre","Octobre","Novembre","Décembre")</f>
        <v>Juillet</v>
      </c>
      <c r="V824" s="22" t="n">
        <f aca="false">YEAR(Q824)</f>
        <v>2026</v>
      </c>
      <c r="W824" s="20"/>
      <c r="X824" s="8" t="n">
        <f aca="false">IFERROR(IF(M824="Abs",0,IF(ROUND((D824-C824+E824-F824)*1440,0)&lt;=1,0,D824-C824+E824-F824)),0)</f>
        <v>0.00277777777777778</v>
      </c>
      <c r="Y824" s="6" t="str">
        <f aca="false">IFERROR(VLOOKUP($B824,Agents!$A:$D,3,0),"-")</f>
        <v>OUBRAHIM Mohammed</v>
      </c>
      <c r="Z824" s="6" t="str">
        <f aca="false">IFERROR(VLOOKUP($B824,Agents!$A:$D,4,0),"-")</f>
        <v>Credit Mutuel</v>
      </c>
      <c r="AA824" s="18" t="s">
        <v>109</v>
      </c>
      <c r="AB824" s="8" t="str">
        <f aca="false">IF(AND(D824="Congé",F824="Congé"),0.333333333333333,IF(OR(AND(D824="Congé",F824&lt;&gt;"Congé"),(AND(F824="Congé",D824&lt;&gt;"Congé"))),0.166666666666667,""))</f>
        <v/>
      </c>
      <c r="AC824" s="8" t="str">
        <f aca="false">IF(AND(D824="Congé sans solde",F824="Congé sans solde"),0.333333333333333,IF(OR(AND(D824="Congé sans solde",F824&lt;&gt;"Congé sans solde"),(AND(F824="Congé sans solde",D824&lt;&gt;"Congé sans solde"))),0.166666666666667,""))</f>
        <v/>
      </c>
      <c r="AD824" s="8" t="str">
        <f aca="false">IF(AND(D824="Congé spécial",F824="Congé spécial"),0.333333333333333,IF(OR(AND(D824="Congé spécial",F824&lt;&gt;"Congé spécial"),AND(F824="Congé spécial",D824&lt;&gt;"Congé spécial")),0.166666666666667,""))</f>
        <v/>
      </c>
      <c r="AE824" s="8" t="str">
        <f aca="false">IF(AND(D824="Férié",F824="Férié"),0.333333333333333,IF(OR(AND(D824="Férié",F824&lt;&gt;"Férié"),(AND(F824="Férié",D824&lt;&gt;"Férié"))),0.166666666666667,""))</f>
        <v/>
      </c>
      <c r="AF824" s="18"/>
      <c r="AG824" s="18"/>
    </row>
    <row r="825" customFormat="false" ht="15" hidden="false" customHeight="false" outlineLevel="0" collapsed="false">
      <c r="A825" s="6" t="str">
        <f aca="false">YEAR(Q825-WEEKDAY(Q825,2)+4)&amp;"-S"&amp;TEXT(WEEKNUM(Q825,21),"00")</f>
        <v>2026-S27</v>
      </c>
      <c r="B825" s="18" t="s">
        <v>73</v>
      </c>
      <c r="C825" s="19" t="n">
        <v>0.329861111111111</v>
      </c>
      <c r="D825" s="19" t="n">
        <v>0.333333333333333</v>
      </c>
      <c r="E825" s="19" t="n">
        <v>0.75</v>
      </c>
      <c r="F825" s="19" t="n">
        <v>0.75</v>
      </c>
      <c r="G825" s="20"/>
      <c r="H825" s="20"/>
      <c r="I825" s="8" t="str">
        <f aca="false">IF(IF(OR(C825="",D825="Congé",D825="OFF",D825="Congé spécial"),"",IF(D825&gt;F825,D825-C825,IF(C825-D825&lt;0,0,C825-D825)))&lt;0.00068287037037037,"",IF(OR(D825="Congé",D825="OFF",C825="",D825="Congé spécial"),"",IF(D825&gt;F825,D825-C825,IF(C825-D825&lt;0,0,C825-D825))))</f>
        <v/>
      </c>
      <c r="J825" s="20"/>
      <c r="K825" s="8" t="n">
        <f aca="false">IF(SUM(H825:J825)&lt;0.00068287037037037,0,SUM(H825:J825))</f>
        <v>0</v>
      </c>
      <c r="L825" s="8" t="n">
        <f aca="false">IF(OR(F825="Congé",F825="OFF",M825="Abs",F825="Congé sans solde",F825="Férié",F825="Congé spécial",D825="Congé spécial"),0,IF(F825-E825&lt;0,0,IF(F825-E825&lt;=0.00068287037037037,0,F825-E825)))</f>
        <v>0</v>
      </c>
      <c r="M825" s="6" t="n">
        <f aca="false">IF(AND(O825&lt;&gt;0,C825=""),"Abs",0)</f>
        <v>0</v>
      </c>
      <c r="N825" s="8" t="n">
        <f aca="false">IFERROR(IF(OR(D825="OFF",D825="Congé",M825="Abs",D825="Congé sans solde",D825="Férié"),"",IF(O825-K825-L825&gt;O825,O825,IF(O825-K825-L825&lt;0,"",O825-K825-L825))),"")</f>
        <v>0.375</v>
      </c>
      <c r="O825" s="8" t="n">
        <f aca="false">IF(AG825="2H Pause déjeuner",IF(F825-D825-0.0833333333333333&lt;0,F825-D825-0.0833333333333333+1,F825-D825-0.0833333333333333),IF(OR(AND(F825="OFF",D825="OFF"),AND(F825="Congé",D825="Congé"),AND(F825="Congé sans solde",D825="Congé sans solde"),AND(F825="Congé spécial",D825="Congé spécial"),AND(F825="Férié",D825="Férié"),AND(F825="OFF",D825="Congé"),AND(F825="OFF",D825="Congé sans solde"),AND(F825="OFF",D825="Congé spécial"),AND(F825="OFF",D825="Férié"),AND(F825="Congé",D825="OFF"),AND(F825="Congé",D825="Congé sans solde"),AND(F825="Congé",D825="Congé spécial"),AND(F825="Congé",D825="Férié"),AND(F825="Congé sans solde",D825="OFF"),AND(F825="Congé sans solde",D825="Congé"),AND(F825="Congé sans solde",D825="Congé spécial"),AND(F825="Congé sans solde",D825="Férié"),AND(F825="Congé spécial",D825="OFF"),AND(F825="Congé spécial",D825="Congé"),AND(F825="Congé spécial",D825="Congé sans solde"),AND(F825="Congé spécial",D825="Férié"),AND(F825="Férié",D825="OFF"),AND(F825="Férié",D825="Congé"),AND(F825="Férié",D825="Congé sans solde"),AND(F825="Férié",D825="Congé spécial")),0,IF(OR(F825="OFF",F825="Congé",F825="Congé spécial",F825="Congé sans solde",D825="OFF",D825="Congé",D825="Congé spécial",D825="Congé sans solde"),0.208333333333334,IF(AND(AG825="",F825-D825&lt;0),("24:00:00"-D825)+("00:00:00"+F825)-0.0416666666666667,IF(AND(OR(AG825="Allaitement",AG825="Sans déjeuner"),F825-D825&lt;0),("24:00:00"-D825)+("00:00:00"+F825),IF(AND(AG825="",F825-D825&gt;0.166666666666667),F825-D825-0.0416666666666667,IF(AND(OR(AG825="Allaitement",AG825="Sans déjeuner"),F825-D825&gt;0.166666666666667),F825-D825,F825-D825)))))))</f>
        <v>0.375</v>
      </c>
      <c r="P825" s="6" t="str">
        <f aca="false">IFERROR(VLOOKUP($B825,Agents!$A:$D,2,0),"-")</f>
        <v>Accessibilité</v>
      </c>
      <c r="Q825" s="21" t="n">
        <v>46205</v>
      </c>
      <c r="R825" s="8" t="n">
        <f aca="false">IF(M825="Abs",O825,0)</f>
        <v>0</v>
      </c>
      <c r="S825" s="8" t="n">
        <f aca="false">SUM(R825,L825,I825,J825,W825,H825)</f>
        <v>0</v>
      </c>
      <c r="T825" s="6" t="str">
        <f aca="false">"Sem - "&amp;WEEKNUM(Q825,21)</f>
        <v>Sem - 27</v>
      </c>
      <c r="U825" s="6" t="str">
        <f aca="false">CHOOSE(MONTH(Q825),"Janvier","Février","Mars","Avril","Mai","Juin","Juillet","Août","Septembre","Octobre","Novembre","Décembre")</f>
        <v>Juillet</v>
      </c>
      <c r="V825" s="22" t="n">
        <f aca="false">YEAR(Q825)</f>
        <v>2026</v>
      </c>
      <c r="W825" s="20"/>
      <c r="X825" s="8" t="n">
        <f aca="false">IFERROR(IF(M825="Abs",0,IF(ROUND((D825-C825+E825-F825)*1440,0)&lt;=1,0,D825-C825+E825-F825)),0)</f>
        <v>0.00347222222222222</v>
      </c>
      <c r="Y825" s="6" t="str">
        <f aca="false">IFERROR(VLOOKUP($B825,Agents!$A:$D,3,0),"-")</f>
        <v>OUBRAHIM Mohammed</v>
      </c>
      <c r="Z825" s="6" t="str">
        <f aca="false">IFERROR(VLOOKUP($B825,Agents!$A:$D,4,0),"-")</f>
        <v>Credit Mutuel</v>
      </c>
      <c r="AA825" s="18" t="s">
        <v>109</v>
      </c>
      <c r="AB825" s="8" t="str">
        <f aca="false">IF(AND(D825="Congé",F825="Congé"),0.333333333333333,IF(OR(AND(D825="Congé",F825&lt;&gt;"Congé"),(AND(F825="Congé",D825&lt;&gt;"Congé"))),0.166666666666667,""))</f>
        <v/>
      </c>
      <c r="AC825" s="8" t="str">
        <f aca="false">IF(AND(D825="Congé sans solde",F825="Congé sans solde"),0.333333333333333,IF(OR(AND(D825="Congé sans solde",F825&lt;&gt;"Congé sans solde"),(AND(F825="Congé sans solde",D825&lt;&gt;"Congé sans solde"))),0.166666666666667,""))</f>
        <v/>
      </c>
      <c r="AD825" s="8" t="str">
        <f aca="false">IF(AND(D825="Congé spécial",F825="Congé spécial"),0.333333333333333,IF(OR(AND(D825="Congé spécial",F825&lt;&gt;"Congé spécial"),AND(F825="Congé spécial",D825&lt;&gt;"Congé spécial")),0.166666666666667,""))</f>
        <v/>
      </c>
      <c r="AE825" s="8" t="str">
        <f aca="false">IF(AND(D825="Férié",F825="Férié"),0.333333333333333,IF(OR(AND(D825="Férié",F825&lt;&gt;"Férié"),(AND(F825="Férié",D825&lt;&gt;"Férié"))),0.166666666666667,""))</f>
        <v/>
      </c>
      <c r="AF825" s="18"/>
      <c r="AG825" s="18"/>
    </row>
    <row r="826" customFormat="false" ht="15" hidden="false" customHeight="false" outlineLevel="0" collapsed="false">
      <c r="A826" s="6" t="str">
        <f aca="false">YEAR(Q826-WEEKDAY(Q826,2)+4)&amp;"-S"&amp;TEXT(WEEKNUM(Q826,21),"00")</f>
        <v>2026-S27</v>
      </c>
      <c r="B826" s="18" t="s">
        <v>71</v>
      </c>
      <c r="C826" s="19" t="n">
        <v>0.333333333333333</v>
      </c>
      <c r="D826" s="19" t="n">
        <v>0.333333333333333</v>
      </c>
      <c r="E826" s="19" t="n">
        <v>0.708333333333333</v>
      </c>
      <c r="F826" s="19" t="n">
        <v>0.708333333333333</v>
      </c>
      <c r="G826" s="20"/>
      <c r="H826" s="20"/>
      <c r="I826" s="8" t="str">
        <f aca="false">IF(IF(OR(C826="",D826="Congé",D826="OFF",D826="Congé spécial"),"",IF(D826&gt;F826,D826-C826,IF(C826-D826&lt;0,0,C826-D826)))&lt;0.00068287037037037,"",IF(OR(D826="Congé",D826="OFF",C826="",D826="Congé spécial"),"",IF(D826&gt;F826,D826-C826,IF(C826-D826&lt;0,0,C826-D826))))</f>
        <v/>
      </c>
      <c r="J826" s="20"/>
      <c r="K826" s="8" t="n">
        <f aca="false">IF(SUM(H826:J826)&lt;0.00068287037037037,0,SUM(H826:J826))</f>
        <v>0</v>
      </c>
      <c r="L826" s="8" t="n">
        <f aca="false">IF(OR(F826="Congé",F826="OFF",M826="Abs",F826="Congé sans solde",F826="Férié",F826="Congé spécial",D826="Congé spécial"),0,IF(F826-E826&lt;0,0,IF(F826-E826&lt;=0.00068287037037037,0,F826-E826)))</f>
        <v>0</v>
      </c>
      <c r="M826" s="6" t="n">
        <f aca="false">IF(AND(O826&lt;&gt;0,C826=""),"Abs",0)</f>
        <v>0</v>
      </c>
      <c r="N826" s="8" t="n">
        <f aca="false">IFERROR(IF(OR(D826="OFF",D826="Congé",M826="Abs",D826="Congé sans solde",D826="Férié"),"",IF(O826-K826-L826&gt;O826,O826,IF(O826-K826-L826&lt;0,"",O826-K826-L826))),"")</f>
        <v>0.333333333333333</v>
      </c>
      <c r="O826" s="8" t="n">
        <f aca="false">IF(AG826="2H Pause déjeuner",IF(F826-D826-0.0833333333333333&lt;0,F826-D826-0.0833333333333333+1,F826-D826-0.0833333333333333),IF(OR(AND(F826="OFF",D826="OFF"),AND(F826="Congé",D826="Congé"),AND(F826="Congé sans solde",D826="Congé sans solde"),AND(F826="Congé spécial",D826="Congé spécial"),AND(F826="Férié",D826="Férié"),AND(F826="OFF",D826="Congé"),AND(F826="OFF",D826="Congé sans solde"),AND(F826="OFF",D826="Congé spécial"),AND(F826="OFF",D826="Férié"),AND(F826="Congé",D826="OFF"),AND(F826="Congé",D826="Congé sans solde"),AND(F826="Congé",D826="Congé spécial"),AND(F826="Congé",D826="Férié"),AND(F826="Congé sans solde",D826="OFF"),AND(F826="Congé sans solde",D826="Congé"),AND(F826="Congé sans solde",D826="Congé spécial"),AND(F826="Congé sans solde",D826="Férié"),AND(F826="Congé spécial",D826="OFF"),AND(F826="Congé spécial",D826="Congé"),AND(F826="Congé spécial",D826="Congé sans solde"),AND(F826="Congé spécial",D826="Férié"),AND(F826="Férié",D826="OFF"),AND(F826="Férié",D826="Congé"),AND(F826="Férié",D826="Congé sans solde"),AND(F826="Férié",D826="Congé spécial")),0,IF(OR(F826="OFF",F826="Congé",F826="Congé spécial",F826="Congé sans solde",D826="OFF",D826="Congé",D826="Congé spécial",D826="Congé sans solde"),0.208333333333334,IF(AND(AG826="",F826-D826&lt;0),("24:00:00"-D826)+("00:00:00"+F826)-0.0416666666666667,IF(AND(OR(AG826="Allaitement",AG826="Sans déjeuner"),F826-D826&lt;0),("24:00:00"-D826)+("00:00:00"+F826),IF(AND(AG826="",F826-D826&gt;0.166666666666667),F826-D826-0.0416666666666667,IF(AND(OR(AG826="Allaitement",AG826="Sans déjeuner"),F826-D826&gt;0.166666666666667),F826-D826,F826-D826)))))))</f>
        <v>0.333333333333333</v>
      </c>
      <c r="P826" s="6" t="str">
        <f aca="false">IFERROR(VLOOKUP($B826,Agents!$A:$D,2,0),"-")</f>
        <v>Accessibilité</v>
      </c>
      <c r="Q826" s="21" t="n">
        <v>46206</v>
      </c>
      <c r="R826" s="8" t="n">
        <f aca="false">IF(M826="Abs",O826,0)</f>
        <v>0</v>
      </c>
      <c r="S826" s="8" t="n">
        <f aca="false">SUM(R826,L826,I826,J826,W826,H826)</f>
        <v>0</v>
      </c>
      <c r="T826" s="6" t="str">
        <f aca="false">"Sem - "&amp;WEEKNUM(Q826,21)</f>
        <v>Sem - 27</v>
      </c>
      <c r="U826" s="6" t="str">
        <f aca="false">CHOOSE(MONTH(Q826),"Janvier","Février","Mars","Avril","Mai","Juin","Juillet","Août","Septembre","Octobre","Novembre","Décembre")</f>
        <v>Juillet</v>
      </c>
      <c r="V826" s="22" t="n">
        <f aca="false">YEAR(Q826)</f>
        <v>2026</v>
      </c>
      <c r="W826" s="20"/>
      <c r="X826" s="8" t="n">
        <f aca="false">IFERROR(IF(M826="Abs",0,IF(ROUND((D826-C826+E826-F826)*1440,0)&lt;=1,0,D826-C826+E826-F826)),0)</f>
        <v>0</v>
      </c>
      <c r="Y826" s="6" t="str">
        <f aca="false">IFERROR(VLOOKUP($B826,Agents!$A:$D,3,0),"-")</f>
        <v>OUBRAHIM Mohammed</v>
      </c>
      <c r="Z826" s="6" t="str">
        <f aca="false">IFERROR(VLOOKUP($B826,Agents!$A:$D,4,0),"-")</f>
        <v>Credit Mutuel</v>
      </c>
      <c r="AA826" s="18" t="s">
        <v>109</v>
      </c>
      <c r="AB826" s="8" t="str">
        <f aca="false">IF(AND(D826="Congé",F826="Congé"),0.333333333333333,IF(OR(AND(D826="Congé",F826&lt;&gt;"Congé"),(AND(F826="Congé",D826&lt;&gt;"Congé"))),0.166666666666667,""))</f>
        <v/>
      </c>
      <c r="AC826" s="8" t="str">
        <f aca="false">IF(AND(D826="Congé sans solde",F826="Congé sans solde"),0.333333333333333,IF(OR(AND(D826="Congé sans solde",F826&lt;&gt;"Congé sans solde"),(AND(F826="Congé sans solde",D826&lt;&gt;"Congé sans solde"))),0.166666666666667,""))</f>
        <v/>
      </c>
      <c r="AD826" s="8" t="str">
        <f aca="false">IF(AND(D826="Congé spécial",F826="Congé spécial"),0.333333333333333,IF(OR(AND(D826="Congé spécial",F826&lt;&gt;"Congé spécial"),AND(F826="Congé spécial",D826&lt;&gt;"Congé spécial")),0.166666666666667,""))</f>
        <v/>
      </c>
      <c r="AE826" s="8" t="str">
        <f aca="false">IF(AND(D826="Férié",F826="Férié"),0.333333333333333,IF(OR(AND(D826="Férié",F826&lt;&gt;"Férié"),(AND(F826="Férié",D826&lt;&gt;"Férié"))),0.166666666666667,""))</f>
        <v/>
      </c>
      <c r="AF826" s="18"/>
      <c r="AG826" s="18"/>
    </row>
    <row r="827" customFormat="false" ht="15" hidden="false" customHeight="false" outlineLevel="0" collapsed="false">
      <c r="A827" s="6" t="str">
        <f aca="false">YEAR(Q827-WEEKDAY(Q827,2)+4)&amp;"-S"&amp;TEXT(WEEKNUM(Q827,21),"00")</f>
        <v>2026-S27</v>
      </c>
      <c r="B827" s="18" t="s">
        <v>72</v>
      </c>
      <c r="C827" s="19" t="n">
        <v>0.333333333333333</v>
      </c>
      <c r="D827" s="19" t="n">
        <v>0.333333333333333</v>
      </c>
      <c r="E827" s="19" t="n">
        <v>0.708333333333333</v>
      </c>
      <c r="F827" s="19" t="n">
        <v>0.708333333333333</v>
      </c>
      <c r="G827" s="20"/>
      <c r="H827" s="20"/>
      <c r="I827" s="8" t="str">
        <f aca="false">IF(IF(OR(C827="",D827="Congé",D827="OFF",D827="Congé spécial"),"",IF(D827&gt;F827,D827-C827,IF(C827-D827&lt;0,0,C827-D827)))&lt;0.00068287037037037,"",IF(OR(D827="Congé",D827="OFF",C827="",D827="Congé spécial"),"",IF(D827&gt;F827,D827-C827,IF(C827-D827&lt;0,0,C827-D827))))</f>
        <v/>
      </c>
      <c r="J827" s="20"/>
      <c r="K827" s="8" t="n">
        <f aca="false">IF(SUM(H827:J827)&lt;0.00068287037037037,0,SUM(H827:J827))</f>
        <v>0</v>
      </c>
      <c r="L827" s="8" t="n">
        <f aca="false">IF(OR(F827="Congé",F827="OFF",M827="Abs",F827="Congé sans solde",F827="Férié",F827="Congé spécial",D827="Congé spécial"),0,IF(F827-E827&lt;0,0,IF(F827-E827&lt;=0.00068287037037037,0,F827-E827)))</f>
        <v>0</v>
      </c>
      <c r="M827" s="6" t="n">
        <f aca="false">IF(AND(O827&lt;&gt;0,C827=""),"Abs",0)</f>
        <v>0</v>
      </c>
      <c r="N827" s="8" t="n">
        <f aca="false">IFERROR(IF(OR(D827="OFF",D827="Congé",M827="Abs",D827="Congé sans solde",D827="Férié"),"",IF(O827-K827-L827&gt;O827,O827,IF(O827-K827-L827&lt;0,"",O827-K827-L827))),"")</f>
        <v>0.333333333333333</v>
      </c>
      <c r="O827" s="8" t="n">
        <f aca="false">IF(AG827="2H Pause déjeuner",IF(F827-D827-0.0833333333333333&lt;0,F827-D827-0.0833333333333333+1,F827-D827-0.0833333333333333),IF(OR(AND(F827="OFF",D827="OFF"),AND(F827="Congé",D827="Congé"),AND(F827="Congé sans solde",D827="Congé sans solde"),AND(F827="Congé spécial",D827="Congé spécial"),AND(F827="Férié",D827="Férié"),AND(F827="OFF",D827="Congé"),AND(F827="OFF",D827="Congé sans solde"),AND(F827="OFF",D827="Congé spécial"),AND(F827="OFF",D827="Férié"),AND(F827="Congé",D827="OFF"),AND(F827="Congé",D827="Congé sans solde"),AND(F827="Congé",D827="Congé spécial"),AND(F827="Congé",D827="Férié"),AND(F827="Congé sans solde",D827="OFF"),AND(F827="Congé sans solde",D827="Congé"),AND(F827="Congé sans solde",D827="Congé spécial"),AND(F827="Congé sans solde",D827="Férié"),AND(F827="Congé spécial",D827="OFF"),AND(F827="Congé spécial",D827="Congé"),AND(F827="Congé spécial",D827="Congé sans solde"),AND(F827="Congé spécial",D827="Férié"),AND(F827="Férié",D827="OFF"),AND(F827="Férié",D827="Congé"),AND(F827="Férié",D827="Congé sans solde"),AND(F827="Férié",D827="Congé spécial")),0,IF(OR(F827="OFF",F827="Congé",F827="Congé spécial",F827="Congé sans solde",D827="OFF",D827="Congé",D827="Congé spécial",D827="Congé sans solde"),0.208333333333334,IF(AND(AG827="",F827-D827&lt;0),("24:00:00"-D827)+("00:00:00"+F827)-0.0416666666666667,IF(AND(OR(AG827="Allaitement",AG827="Sans déjeuner"),F827-D827&lt;0),("24:00:00"-D827)+("00:00:00"+F827),IF(AND(AG827="",F827-D827&gt;0.166666666666667),F827-D827-0.0416666666666667,IF(AND(OR(AG827="Allaitement",AG827="Sans déjeuner"),F827-D827&gt;0.166666666666667),F827-D827,F827-D827)))))))</f>
        <v>0.333333333333333</v>
      </c>
      <c r="P827" s="6" t="str">
        <f aca="false">IFERROR(VLOOKUP($B827,Agents!$A:$D,2,0),"-")</f>
        <v>Accessibilité</v>
      </c>
      <c r="Q827" s="21" t="n">
        <v>46206</v>
      </c>
      <c r="R827" s="8" t="n">
        <f aca="false">IF(M827="Abs",O827,0)</f>
        <v>0</v>
      </c>
      <c r="S827" s="8" t="n">
        <f aca="false">SUM(R827,L827,I827,J827,W827,H827)</f>
        <v>0</v>
      </c>
      <c r="T827" s="6" t="str">
        <f aca="false">"Sem - "&amp;WEEKNUM(Q827,21)</f>
        <v>Sem - 27</v>
      </c>
      <c r="U827" s="6" t="str">
        <f aca="false">CHOOSE(MONTH(Q827),"Janvier","Février","Mars","Avril","Mai","Juin","Juillet","Août","Septembre","Octobre","Novembre","Décembre")</f>
        <v>Juillet</v>
      </c>
      <c r="V827" s="22" t="n">
        <f aca="false">YEAR(Q827)</f>
        <v>2026</v>
      </c>
      <c r="W827" s="20"/>
      <c r="X827" s="8" t="n">
        <f aca="false">IFERROR(IF(M827="Abs",0,IF(ROUND((D827-C827+E827-F827)*1440,0)&lt;=1,0,D827-C827+E827-F827)),0)</f>
        <v>0</v>
      </c>
      <c r="Y827" s="6" t="str">
        <f aca="false">IFERROR(VLOOKUP($B827,Agents!$A:$D,3,0),"-")</f>
        <v>OUBRAHIM Mohammed</v>
      </c>
      <c r="Z827" s="6" t="str">
        <f aca="false">IFERROR(VLOOKUP($B827,Agents!$A:$D,4,0),"-")</f>
        <v>Credit Mutuel</v>
      </c>
      <c r="AA827" s="18" t="s">
        <v>109</v>
      </c>
      <c r="AB827" s="8" t="str">
        <f aca="false">IF(AND(D827="Congé",F827="Congé"),0.333333333333333,IF(OR(AND(D827="Congé",F827&lt;&gt;"Congé"),(AND(F827="Congé",D827&lt;&gt;"Congé"))),0.166666666666667,""))</f>
        <v/>
      </c>
      <c r="AC827" s="8" t="str">
        <f aca="false">IF(AND(D827="Congé sans solde",F827="Congé sans solde"),0.333333333333333,IF(OR(AND(D827="Congé sans solde",F827&lt;&gt;"Congé sans solde"),(AND(F827="Congé sans solde",D827&lt;&gt;"Congé sans solde"))),0.166666666666667,""))</f>
        <v/>
      </c>
      <c r="AD827" s="8" t="str">
        <f aca="false">IF(AND(D827="Congé spécial",F827="Congé spécial"),0.333333333333333,IF(OR(AND(D827="Congé spécial",F827&lt;&gt;"Congé spécial"),AND(F827="Congé spécial",D827&lt;&gt;"Congé spécial")),0.166666666666667,""))</f>
        <v/>
      </c>
      <c r="AE827" s="8" t="str">
        <f aca="false">IF(AND(D827="Férié",F827="Férié"),0.333333333333333,IF(OR(AND(D827="Férié",F827&lt;&gt;"Férié"),(AND(F827="Férié",D827&lt;&gt;"Férié"))),0.166666666666667,""))</f>
        <v/>
      </c>
      <c r="AF827" s="18"/>
      <c r="AG827" s="18"/>
    </row>
    <row r="828" customFormat="false" ht="15" hidden="false" customHeight="false" outlineLevel="0" collapsed="false">
      <c r="A828" s="6" t="str">
        <f aca="false">YEAR(Q828-WEEKDAY(Q828,2)+4)&amp;"-S"&amp;TEXT(WEEKNUM(Q828,21),"00")</f>
        <v>2026-S27</v>
      </c>
      <c r="B828" s="18" t="s">
        <v>73</v>
      </c>
      <c r="C828" s="19" t="n">
        <v>0.333333333333333</v>
      </c>
      <c r="D828" s="19" t="n">
        <v>0.333333333333333</v>
      </c>
      <c r="E828" s="19" t="n">
        <v>0.708333333333333</v>
      </c>
      <c r="F828" s="19" t="n">
        <v>0.708333333333333</v>
      </c>
      <c r="G828" s="20"/>
      <c r="H828" s="20"/>
      <c r="I828" s="8" t="str">
        <f aca="false">IF(IF(OR(C828="",D828="Congé",D828="OFF",D828="Congé spécial"),"",IF(D828&gt;F828,D828-C828,IF(C828-D828&lt;0,0,C828-D828)))&lt;0.00068287037037037,"",IF(OR(D828="Congé",D828="OFF",C828="",D828="Congé spécial"),"",IF(D828&gt;F828,D828-C828,IF(C828-D828&lt;0,0,C828-D828))))</f>
        <v/>
      </c>
      <c r="J828" s="20"/>
      <c r="K828" s="8" t="n">
        <f aca="false">IF(SUM(H828:J828)&lt;0.00068287037037037,0,SUM(H828:J828))</f>
        <v>0</v>
      </c>
      <c r="L828" s="8" t="n">
        <f aca="false">IF(OR(F828="Congé",F828="OFF",M828="Abs",F828="Congé sans solde",F828="Férié",F828="Congé spécial",D828="Congé spécial"),0,IF(F828-E828&lt;0,0,IF(F828-E828&lt;=0.00068287037037037,0,F828-E828)))</f>
        <v>0</v>
      </c>
      <c r="M828" s="6" t="n">
        <f aca="false">IF(AND(O828&lt;&gt;0,C828=""),"Abs",0)</f>
        <v>0</v>
      </c>
      <c r="N828" s="8" t="n">
        <f aca="false">IFERROR(IF(OR(D828="OFF",D828="Congé",M828="Abs",D828="Congé sans solde",D828="Férié"),"",IF(O828-K828-L828&gt;O828,O828,IF(O828-K828-L828&lt;0,"",O828-K828-L828))),"")</f>
        <v>0.333333333333333</v>
      </c>
      <c r="O828" s="8" t="n">
        <f aca="false">IF(AG828="2H Pause déjeuner",IF(F828-D828-0.0833333333333333&lt;0,F828-D828-0.0833333333333333+1,F828-D828-0.0833333333333333),IF(OR(AND(F828="OFF",D828="OFF"),AND(F828="Congé",D828="Congé"),AND(F828="Congé sans solde",D828="Congé sans solde"),AND(F828="Congé spécial",D828="Congé spécial"),AND(F828="Férié",D828="Férié"),AND(F828="OFF",D828="Congé"),AND(F828="OFF",D828="Congé sans solde"),AND(F828="OFF",D828="Congé spécial"),AND(F828="OFF",D828="Férié"),AND(F828="Congé",D828="OFF"),AND(F828="Congé",D828="Congé sans solde"),AND(F828="Congé",D828="Congé spécial"),AND(F828="Congé",D828="Férié"),AND(F828="Congé sans solde",D828="OFF"),AND(F828="Congé sans solde",D828="Congé"),AND(F828="Congé sans solde",D828="Congé spécial"),AND(F828="Congé sans solde",D828="Férié"),AND(F828="Congé spécial",D828="OFF"),AND(F828="Congé spécial",D828="Congé"),AND(F828="Congé spécial",D828="Congé sans solde"),AND(F828="Congé spécial",D828="Férié"),AND(F828="Férié",D828="OFF"),AND(F828="Férié",D828="Congé"),AND(F828="Férié",D828="Congé sans solde"),AND(F828="Férié",D828="Congé spécial")),0,IF(OR(F828="OFF",F828="Congé",F828="Congé spécial",F828="Congé sans solde",D828="OFF",D828="Congé",D828="Congé spécial",D828="Congé sans solde"),0.208333333333334,IF(AND(AG828="",F828-D828&lt;0),("24:00:00"-D828)+("00:00:00"+F828)-0.0416666666666667,IF(AND(OR(AG828="Allaitement",AG828="Sans déjeuner"),F828-D828&lt;0),("24:00:00"-D828)+("00:00:00"+F828),IF(AND(AG828="",F828-D828&gt;0.166666666666667),F828-D828-0.0416666666666667,IF(AND(OR(AG828="Allaitement",AG828="Sans déjeuner"),F828-D828&gt;0.166666666666667),F828-D828,F828-D828)))))))</f>
        <v>0.333333333333333</v>
      </c>
      <c r="P828" s="6" t="str">
        <f aca="false">IFERROR(VLOOKUP($B828,Agents!$A:$D,2,0),"-")</f>
        <v>Accessibilité</v>
      </c>
      <c r="Q828" s="21" t="n">
        <v>46206</v>
      </c>
      <c r="R828" s="8" t="n">
        <f aca="false">IF(M828="Abs",O828,0)</f>
        <v>0</v>
      </c>
      <c r="S828" s="8" t="n">
        <f aca="false">SUM(R828,L828,I828,J828,W828,H828)</f>
        <v>0</v>
      </c>
      <c r="T828" s="6" t="str">
        <f aca="false">"Sem - "&amp;WEEKNUM(Q828,21)</f>
        <v>Sem - 27</v>
      </c>
      <c r="U828" s="6" t="str">
        <f aca="false">CHOOSE(MONTH(Q828),"Janvier","Février","Mars","Avril","Mai","Juin","Juillet","Août","Septembre","Octobre","Novembre","Décembre")</f>
        <v>Juillet</v>
      </c>
      <c r="V828" s="22" t="n">
        <f aca="false">YEAR(Q828)</f>
        <v>2026</v>
      </c>
      <c r="W828" s="20"/>
      <c r="X828" s="8" t="n">
        <f aca="false">IFERROR(IF(M828="Abs",0,IF(ROUND((D828-C828+E828-F828)*1440,0)&lt;=1,0,D828-C828+E828-F828)),0)</f>
        <v>0</v>
      </c>
      <c r="Y828" s="6" t="str">
        <f aca="false">IFERROR(VLOOKUP($B828,Agents!$A:$D,3,0),"-")</f>
        <v>OUBRAHIM Mohammed</v>
      </c>
      <c r="Z828" s="6" t="str">
        <f aca="false">IFERROR(VLOOKUP($B828,Agents!$A:$D,4,0),"-")</f>
        <v>Credit Mutuel</v>
      </c>
      <c r="AA828" s="18" t="s">
        <v>109</v>
      </c>
      <c r="AB828" s="8" t="str">
        <f aca="false">IF(AND(D828="Congé",F828="Congé"),0.333333333333333,IF(OR(AND(D828="Congé",F828&lt;&gt;"Congé"),(AND(F828="Congé",D828&lt;&gt;"Congé"))),0.166666666666667,""))</f>
        <v/>
      </c>
      <c r="AC828" s="8" t="str">
        <f aca="false">IF(AND(D828="Congé sans solde",F828="Congé sans solde"),0.333333333333333,IF(OR(AND(D828="Congé sans solde",F828&lt;&gt;"Congé sans solde"),(AND(F828="Congé sans solde",D828&lt;&gt;"Congé sans solde"))),0.166666666666667,""))</f>
        <v/>
      </c>
      <c r="AD828" s="8" t="str">
        <f aca="false">IF(AND(D828="Congé spécial",F828="Congé spécial"),0.333333333333333,IF(OR(AND(D828="Congé spécial",F828&lt;&gt;"Congé spécial"),AND(F828="Congé spécial",D828&lt;&gt;"Congé spécial")),0.166666666666667,""))</f>
        <v/>
      </c>
      <c r="AE828" s="8" t="str">
        <f aca="false">IF(AND(D828="Férié",F828="Férié"),0.333333333333333,IF(OR(AND(D828="Férié",F828&lt;&gt;"Férié"),(AND(F828="Férié",D828&lt;&gt;"Férié"))),0.166666666666667,""))</f>
        <v/>
      </c>
      <c r="AF828" s="18"/>
      <c r="AG828" s="18"/>
    </row>
    <row r="829" customFormat="false" ht="15" hidden="false" customHeight="false" outlineLevel="0" collapsed="false">
      <c r="A829" s="6" t="str">
        <f aca="false">YEAR(Q829-WEEKDAY(Q829,2)+4)&amp;"-S"&amp;TEXT(WEEKNUM(Q829,21),"00")</f>
        <v>2026-S27</v>
      </c>
      <c r="B829" s="18" t="s">
        <v>71</v>
      </c>
      <c r="C829" s="19"/>
      <c r="D829" s="19" t="s">
        <v>74</v>
      </c>
      <c r="E829" s="19"/>
      <c r="F829" s="19" t="s">
        <v>74</v>
      </c>
      <c r="G829" s="20"/>
      <c r="H829" s="20"/>
      <c r="I829" s="8" t="str">
        <f aca="false">IF(IF(OR(C829="",D829="Congé",D829="OFF",D829="Congé spécial"),"",IF(D829&gt;F829,D829-C829,IF(C829-D829&lt;0,0,C829-D829)))&lt;0.00068287037037037,"",IF(OR(D829="Congé",D829="OFF",C829="",D829="Congé spécial"),"",IF(D829&gt;F829,D829-C829,IF(C829-D829&lt;0,0,C829-D829))))</f>
        <v/>
      </c>
      <c r="J829" s="20"/>
      <c r="K829" s="8" t="n">
        <f aca="false">IF(SUM(H829:J829)&lt;0.00068287037037037,0,SUM(H829:J829))</f>
        <v>0</v>
      </c>
      <c r="L829" s="8" t="n">
        <f aca="false">IF(OR(F829="Congé",F829="OFF",M829="Abs",F829="Congé sans solde",F829="Férié",F829="Congé spécial",D829="Congé spécial"),0,IF(F829-E829&lt;0,0,IF(F829-E829&lt;=0.00068287037037037,0,F829-E829)))</f>
        <v>0</v>
      </c>
      <c r="M829" s="6" t="n">
        <f aca="false">IF(AND(O829&lt;&gt;0,C829=""),"Abs",0)</f>
        <v>0</v>
      </c>
      <c r="N829" s="8" t="str">
        <f aca="false">IFERROR(IF(OR(D829="OFF",D829="Congé",M829="Abs",D829="Congé sans solde",D829="Férié"),"",IF(O829-K829-L829&gt;O829,O829,IF(O829-K829-L829&lt;0,"",O829-K829-L829))),"")</f>
        <v/>
      </c>
      <c r="O829" s="8" t="n">
        <f aca="false">IF(AG829="2H Pause déjeuner",IF(F829-D829-0.0833333333333333&lt;0,F829-D829-0.0833333333333333+1,F829-D829-0.0833333333333333),IF(OR(AND(F829="OFF",D829="OFF"),AND(F829="Congé",D829="Congé"),AND(F829="Congé sans solde",D829="Congé sans solde"),AND(F829="Congé spécial",D829="Congé spécial"),AND(F829="Férié",D829="Férié"),AND(F829="OFF",D829="Congé"),AND(F829="OFF",D829="Congé sans solde"),AND(F829="OFF",D829="Congé spécial"),AND(F829="OFF",D829="Férié"),AND(F829="Congé",D829="OFF"),AND(F829="Congé",D829="Congé sans solde"),AND(F829="Congé",D829="Congé spécial"),AND(F829="Congé",D829="Férié"),AND(F829="Congé sans solde",D829="OFF"),AND(F829="Congé sans solde",D829="Congé"),AND(F829="Congé sans solde",D829="Congé spécial"),AND(F829="Congé sans solde",D829="Férié"),AND(F829="Congé spécial",D829="OFF"),AND(F829="Congé spécial",D829="Congé"),AND(F829="Congé spécial",D829="Congé sans solde"),AND(F829="Congé spécial",D829="Férié"),AND(F829="Férié",D829="OFF"),AND(F829="Férié",D829="Congé"),AND(F829="Férié",D829="Congé sans solde"),AND(F829="Férié",D829="Congé spécial")),0,IF(OR(F829="OFF",F829="Congé",F829="Congé spécial",F829="Congé sans solde",D829="OFF",D829="Congé",D829="Congé spécial",D829="Congé sans solde"),0.208333333333334,IF(AND(AG829="",F829-D829&lt;0),("24:00:00"-D829)+("00:00:00"+F829)-0.0416666666666667,IF(AND(OR(AG829="Allaitement",AG829="Sans déjeuner"),F829-D829&lt;0),("24:00:00"-D829)+("00:00:00"+F829),IF(AND(AG829="",F829-D829&gt;0.166666666666667),F829-D829-0.0416666666666667,IF(AND(OR(AG829="Allaitement",AG829="Sans déjeuner"),F829-D829&gt;0.166666666666667),F829-D829,F829-D829)))))))</f>
        <v>0</v>
      </c>
      <c r="P829" s="6" t="str">
        <f aca="false">IFERROR(VLOOKUP($B829,Agents!$A:$D,2,0),"-")</f>
        <v>Accessibilité</v>
      </c>
      <c r="Q829" s="21" t="n">
        <v>46207</v>
      </c>
      <c r="R829" s="8" t="n">
        <f aca="false">IF(M829="Abs",O829,0)</f>
        <v>0</v>
      </c>
      <c r="S829" s="8" t="n">
        <f aca="false">SUM(R829,L829,I829,J829,W829,H829)</f>
        <v>0</v>
      </c>
      <c r="T829" s="6" t="str">
        <f aca="false">"Sem - "&amp;WEEKNUM(Q829,21)</f>
        <v>Sem - 27</v>
      </c>
      <c r="U829" s="6" t="str">
        <f aca="false">CHOOSE(MONTH(Q829),"Janvier","Février","Mars","Avril","Mai","Juin","Juillet","Août","Septembre","Octobre","Novembre","Décembre")</f>
        <v>Juillet</v>
      </c>
      <c r="V829" s="22" t="n">
        <f aca="false">YEAR(Q829)</f>
        <v>2026</v>
      </c>
      <c r="W829" s="20"/>
      <c r="X829" s="8" t="n">
        <f aca="false">IFERROR(IF(M829="Abs",0,IF(ROUND((D829-C829+E829-F829)*1440,0)&lt;=1,0,D829-C829+E829-F829)),0)</f>
        <v>0</v>
      </c>
      <c r="Y829" s="6" t="str">
        <f aca="false">IFERROR(VLOOKUP($B829,Agents!$A:$D,3,0),"-")</f>
        <v>OUBRAHIM Mohammed</v>
      </c>
      <c r="Z829" s="6" t="str">
        <f aca="false">IFERROR(VLOOKUP($B829,Agents!$A:$D,4,0),"-")</f>
        <v>Credit Mutuel</v>
      </c>
      <c r="AA829" s="18" t="s">
        <v>109</v>
      </c>
      <c r="AB829" s="8" t="str">
        <f aca="false">IF(AND(D829="Congé",F829="Congé"),0.333333333333333,IF(OR(AND(D829="Congé",F829&lt;&gt;"Congé"),(AND(F829="Congé",D829&lt;&gt;"Congé"))),0.166666666666667,""))</f>
        <v/>
      </c>
      <c r="AC829" s="8" t="str">
        <f aca="false">IF(AND(D829="Congé sans solde",F829="Congé sans solde"),0.333333333333333,IF(OR(AND(D829="Congé sans solde",F829&lt;&gt;"Congé sans solde"),(AND(F829="Congé sans solde",D829&lt;&gt;"Congé sans solde"))),0.166666666666667,""))</f>
        <v/>
      </c>
      <c r="AD829" s="8" t="str">
        <f aca="false">IF(AND(D829="Congé spécial",F829="Congé spécial"),0.333333333333333,IF(OR(AND(D829="Congé spécial",F829&lt;&gt;"Congé spécial"),AND(F829="Congé spécial",D829&lt;&gt;"Congé spécial")),0.166666666666667,""))</f>
        <v/>
      </c>
      <c r="AE829" s="8" t="str">
        <f aca="false">IF(AND(D829="Férié",F829="Férié"),0.333333333333333,IF(OR(AND(D829="Férié",F829&lt;&gt;"Férié"),(AND(F829="Férié",D829&lt;&gt;"Férié"))),0.166666666666667,""))</f>
        <v/>
      </c>
      <c r="AF829" s="18"/>
      <c r="AG829" s="18"/>
    </row>
    <row r="830" customFormat="false" ht="15" hidden="false" customHeight="false" outlineLevel="0" collapsed="false">
      <c r="A830" s="6" t="str">
        <f aca="false">YEAR(Q830-WEEKDAY(Q830,2)+4)&amp;"-S"&amp;TEXT(WEEKNUM(Q830,21),"00")</f>
        <v>2026-S27</v>
      </c>
      <c r="B830" s="18" t="s">
        <v>72</v>
      </c>
      <c r="C830" s="19"/>
      <c r="D830" s="19" t="s">
        <v>74</v>
      </c>
      <c r="E830" s="19"/>
      <c r="F830" s="19" t="s">
        <v>74</v>
      </c>
      <c r="G830" s="20"/>
      <c r="H830" s="20"/>
      <c r="I830" s="8" t="str">
        <f aca="false">IF(IF(OR(C830="",D830="Congé",D830="OFF",D830="Congé spécial"),"",IF(D830&gt;F830,D830-C830,IF(C830-D830&lt;0,0,C830-D830)))&lt;0.00068287037037037,"",IF(OR(D830="Congé",D830="OFF",C830="",D830="Congé spécial"),"",IF(D830&gt;F830,D830-C830,IF(C830-D830&lt;0,0,C830-D830))))</f>
        <v/>
      </c>
      <c r="J830" s="20"/>
      <c r="K830" s="8" t="n">
        <f aca="false">IF(SUM(H830:J830)&lt;0.00068287037037037,0,SUM(H830:J830))</f>
        <v>0</v>
      </c>
      <c r="L830" s="8" t="n">
        <f aca="false">IF(OR(F830="Congé",F830="OFF",M830="Abs",F830="Congé sans solde",F830="Férié",F830="Congé spécial",D830="Congé spécial"),0,IF(F830-E830&lt;0,0,IF(F830-E830&lt;=0.00068287037037037,0,F830-E830)))</f>
        <v>0</v>
      </c>
      <c r="M830" s="6" t="n">
        <f aca="false">IF(AND(O830&lt;&gt;0,C830=""),"Abs",0)</f>
        <v>0</v>
      </c>
      <c r="N830" s="8" t="str">
        <f aca="false">IFERROR(IF(OR(D830="OFF",D830="Congé",M830="Abs",D830="Congé sans solde",D830="Férié"),"",IF(O830-K830-L830&gt;O830,O830,IF(O830-K830-L830&lt;0,"",O830-K830-L830))),"")</f>
        <v/>
      </c>
      <c r="O830" s="8" t="n">
        <f aca="false">IF(AG830="2H Pause déjeuner",IF(F830-D830-0.0833333333333333&lt;0,F830-D830-0.0833333333333333+1,F830-D830-0.0833333333333333),IF(OR(AND(F830="OFF",D830="OFF"),AND(F830="Congé",D830="Congé"),AND(F830="Congé sans solde",D830="Congé sans solde"),AND(F830="Congé spécial",D830="Congé spécial"),AND(F830="Férié",D830="Férié"),AND(F830="OFF",D830="Congé"),AND(F830="OFF",D830="Congé sans solde"),AND(F830="OFF",D830="Congé spécial"),AND(F830="OFF",D830="Férié"),AND(F830="Congé",D830="OFF"),AND(F830="Congé",D830="Congé sans solde"),AND(F830="Congé",D830="Congé spécial"),AND(F830="Congé",D830="Férié"),AND(F830="Congé sans solde",D830="OFF"),AND(F830="Congé sans solde",D830="Congé"),AND(F830="Congé sans solde",D830="Congé spécial"),AND(F830="Congé sans solde",D830="Férié"),AND(F830="Congé spécial",D830="OFF"),AND(F830="Congé spécial",D830="Congé"),AND(F830="Congé spécial",D830="Congé sans solde"),AND(F830="Congé spécial",D830="Férié"),AND(F830="Férié",D830="OFF"),AND(F830="Férié",D830="Congé"),AND(F830="Férié",D830="Congé sans solde"),AND(F830="Férié",D830="Congé spécial")),0,IF(OR(F830="OFF",F830="Congé",F830="Congé spécial",F830="Congé sans solde",D830="OFF",D830="Congé",D830="Congé spécial",D830="Congé sans solde"),0.208333333333334,IF(AND(AG830="",F830-D830&lt;0),("24:00:00"-D830)+("00:00:00"+F830)-0.0416666666666667,IF(AND(OR(AG830="Allaitement",AG830="Sans déjeuner"),F830-D830&lt;0),("24:00:00"-D830)+("00:00:00"+F830),IF(AND(AG830="",F830-D830&gt;0.166666666666667),F830-D830-0.0416666666666667,IF(AND(OR(AG830="Allaitement",AG830="Sans déjeuner"),F830-D830&gt;0.166666666666667),F830-D830,F830-D830)))))))</f>
        <v>0</v>
      </c>
      <c r="P830" s="6" t="str">
        <f aca="false">IFERROR(VLOOKUP($B830,Agents!$A:$D,2,0),"-")</f>
        <v>Accessibilité</v>
      </c>
      <c r="Q830" s="21" t="n">
        <v>46207</v>
      </c>
      <c r="R830" s="8" t="n">
        <f aca="false">IF(M830="Abs",O830,0)</f>
        <v>0</v>
      </c>
      <c r="S830" s="8" t="n">
        <f aca="false">SUM(R830,L830,I830,J830,W830,H830)</f>
        <v>0</v>
      </c>
      <c r="T830" s="6" t="str">
        <f aca="false">"Sem - "&amp;WEEKNUM(Q830,21)</f>
        <v>Sem - 27</v>
      </c>
      <c r="U830" s="6" t="str">
        <f aca="false">CHOOSE(MONTH(Q830),"Janvier","Février","Mars","Avril","Mai","Juin","Juillet","Août","Septembre","Octobre","Novembre","Décembre")</f>
        <v>Juillet</v>
      </c>
      <c r="V830" s="22" t="n">
        <f aca="false">YEAR(Q830)</f>
        <v>2026</v>
      </c>
      <c r="W830" s="20"/>
      <c r="X830" s="8" t="n">
        <f aca="false">IFERROR(IF(M830="Abs",0,IF(ROUND((D830-C830+E830-F830)*1440,0)&lt;=1,0,D830-C830+E830-F830)),0)</f>
        <v>0</v>
      </c>
      <c r="Y830" s="6" t="str">
        <f aca="false">IFERROR(VLOOKUP($B830,Agents!$A:$D,3,0),"-")</f>
        <v>OUBRAHIM Mohammed</v>
      </c>
      <c r="Z830" s="6" t="str">
        <f aca="false">IFERROR(VLOOKUP($B830,Agents!$A:$D,4,0),"-")</f>
        <v>Credit Mutuel</v>
      </c>
      <c r="AA830" s="18" t="s">
        <v>109</v>
      </c>
      <c r="AB830" s="8" t="str">
        <f aca="false">IF(AND(D830="Congé",F830="Congé"),0.333333333333333,IF(OR(AND(D830="Congé",F830&lt;&gt;"Congé"),(AND(F830="Congé",D830&lt;&gt;"Congé"))),0.166666666666667,""))</f>
        <v/>
      </c>
      <c r="AC830" s="8" t="str">
        <f aca="false">IF(AND(D830="Congé sans solde",F830="Congé sans solde"),0.333333333333333,IF(OR(AND(D830="Congé sans solde",F830&lt;&gt;"Congé sans solde"),(AND(F830="Congé sans solde",D830&lt;&gt;"Congé sans solde"))),0.166666666666667,""))</f>
        <v/>
      </c>
      <c r="AD830" s="8" t="str">
        <f aca="false">IF(AND(D830="Congé spécial",F830="Congé spécial"),0.333333333333333,IF(OR(AND(D830="Congé spécial",F830&lt;&gt;"Congé spécial"),AND(F830="Congé spécial",D830&lt;&gt;"Congé spécial")),0.166666666666667,""))</f>
        <v/>
      </c>
      <c r="AE830" s="8" t="str">
        <f aca="false">IF(AND(D830="Férié",F830="Férié"),0.333333333333333,IF(OR(AND(D830="Férié",F830&lt;&gt;"Férié"),(AND(F830="Férié",D830&lt;&gt;"Férié"))),0.166666666666667,""))</f>
        <v/>
      </c>
      <c r="AF830" s="18"/>
      <c r="AG830" s="18"/>
    </row>
    <row r="831" customFormat="false" ht="15" hidden="false" customHeight="false" outlineLevel="0" collapsed="false">
      <c r="A831" s="6" t="str">
        <f aca="false">YEAR(Q831-WEEKDAY(Q831,2)+4)&amp;"-S"&amp;TEXT(WEEKNUM(Q831,21),"00")</f>
        <v>2026-S27</v>
      </c>
      <c r="B831" s="18" t="s">
        <v>73</v>
      </c>
      <c r="C831" s="19"/>
      <c r="D831" s="19" t="s">
        <v>74</v>
      </c>
      <c r="E831" s="19"/>
      <c r="F831" s="19" t="s">
        <v>74</v>
      </c>
      <c r="G831" s="20"/>
      <c r="H831" s="20"/>
      <c r="I831" s="8" t="str">
        <f aca="false">IF(IF(OR(C831="",D831="Congé",D831="OFF",D831="Congé spécial"),"",IF(D831&gt;F831,D831-C831,IF(C831-D831&lt;0,0,C831-D831)))&lt;0.00068287037037037,"",IF(OR(D831="Congé",D831="OFF",C831="",D831="Congé spécial"),"",IF(D831&gt;F831,D831-C831,IF(C831-D831&lt;0,0,C831-D831))))</f>
        <v/>
      </c>
      <c r="J831" s="20"/>
      <c r="K831" s="8" t="n">
        <f aca="false">IF(SUM(H831:J831)&lt;0.00068287037037037,0,SUM(H831:J831))</f>
        <v>0</v>
      </c>
      <c r="L831" s="8" t="n">
        <f aca="false">IF(OR(F831="Congé",F831="OFF",M831="Abs",F831="Congé sans solde",F831="Férié",F831="Congé spécial",D831="Congé spécial"),0,IF(F831-E831&lt;0,0,IF(F831-E831&lt;=0.00068287037037037,0,F831-E831)))</f>
        <v>0</v>
      </c>
      <c r="M831" s="6" t="n">
        <f aca="false">IF(AND(O831&lt;&gt;0,C831=""),"Abs",0)</f>
        <v>0</v>
      </c>
      <c r="N831" s="8" t="str">
        <f aca="false">IFERROR(IF(OR(D831="OFF",D831="Congé",M831="Abs",D831="Congé sans solde",D831="Férié"),"",IF(O831-K831-L831&gt;O831,O831,IF(O831-K831-L831&lt;0,"",O831-K831-L831))),"")</f>
        <v/>
      </c>
      <c r="O831" s="8" t="n">
        <f aca="false">IF(AG831="2H Pause déjeuner",IF(F831-D831-0.0833333333333333&lt;0,F831-D831-0.0833333333333333+1,F831-D831-0.0833333333333333),IF(OR(AND(F831="OFF",D831="OFF"),AND(F831="Congé",D831="Congé"),AND(F831="Congé sans solde",D831="Congé sans solde"),AND(F831="Congé spécial",D831="Congé spécial"),AND(F831="Férié",D831="Férié"),AND(F831="OFF",D831="Congé"),AND(F831="OFF",D831="Congé sans solde"),AND(F831="OFF",D831="Congé spécial"),AND(F831="OFF",D831="Férié"),AND(F831="Congé",D831="OFF"),AND(F831="Congé",D831="Congé sans solde"),AND(F831="Congé",D831="Congé spécial"),AND(F831="Congé",D831="Férié"),AND(F831="Congé sans solde",D831="OFF"),AND(F831="Congé sans solde",D831="Congé"),AND(F831="Congé sans solde",D831="Congé spécial"),AND(F831="Congé sans solde",D831="Férié"),AND(F831="Congé spécial",D831="OFF"),AND(F831="Congé spécial",D831="Congé"),AND(F831="Congé spécial",D831="Congé sans solde"),AND(F831="Congé spécial",D831="Férié"),AND(F831="Férié",D831="OFF"),AND(F831="Férié",D831="Congé"),AND(F831="Férié",D831="Congé sans solde"),AND(F831="Férié",D831="Congé spécial")),0,IF(OR(F831="OFF",F831="Congé",F831="Congé spécial",F831="Congé sans solde",D831="OFF",D831="Congé",D831="Congé spécial",D831="Congé sans solde"),0.208333333333334,IF(AND(AG831="",F831-D831&lt;0),("24:00:00"-D831)+("00:00:00"+F831)-0.0416666666666667,IF(AND(OR(AG831="Allaitement",AG831="Sans déjeuner"),F831-D831&lt;0),("24:00:00"-D831)+("00:00:00"+F831),IF(AND(AG831="",F831-D831&gt;0.166666666666667),F831-D831-0.0416666666666667,IF(AND(OR(AG831="Allaitement",AG831="Sans déjeuner"),F831-D831&gt;0.166666666666667),F831-D831,F831-D831)))))))</f>
        <v>0</v>
      </c>
      <c r="P831" s="6" t="str">
        <f aca="false">IFERROR(VLOOKUP($B831,Agents!$A:$D,2,0),"-")</f>
        <v>Accessibilité</v>
      </c>
      <c r="Q831" s="21" t="n">
        <v>46207</v>
      </c>
      <c r="R831" s="8" t="n">
        <f aca="false">IF(M831="Abs",O831,0)</f>
        <v>0</v>
      </c>
      <c r="S831" s="8" t="n">
        <f aca="false">SUM(R831,L831,I831,J831,W831,H831)</f>
        <v>0</v>
      </c>
      <c r="T831" s="6" t="str">
        <f aca="false">"Sem - "&amp;WEEKNUM(Q831,21)</f>
        <v>Sem - 27</v>
      </c>
      <c r="U831" s="6" t="str">
        <f aca="false">CHOOSE(MONTH(Q831),"Janvier","Février","Mars","Avril","Mai","Juin","Juillet","Août","Septembre","Octobre","Novembre","Décembre")</f>
        <v>Juillet</v>
      </c>
      <c r="V831" s="22" t="n">
        <f aca="false">YEAR(Q831)</f>
        <v>2026</v>
      </c>
      <c r="W831" s="20"/>
      <c r="X831" s="8" t="n">
        <f aca="false">IFERROR(IF(M831="Abs",0,IF(ROUND((D831-C831+E831-F831)*1440,0)&lt;=1,0,D831-C831+E831-F831)),0)</f>
        <v>0</v>
      </c>
      <c r="Y831" s="6" t="str">
        <f aca="false">IFERROR(VLOOKUP($B831,Agents!$A:$D,3,0),"-")</f>
        <v>OUBRAHIM Mohammed</v>
      </c>
      <c r="Z831" s="6" t="str">
        <f aca="false">IFERROR(VLOOKUP($B831,Agents!$A:$D,4,0),"-")</f>
        <v>Credit Mutuel</v>
      </c>
      <c r="AA831" s="18" t="s">
        <v>109</v>
      </c>
      <c r="AB831" s="8" t="str">
        <f aca="false">IF(AND(D831="Congé",F831="Congé"),0.333333333333333,IF(OR(AND(D831="Congé",F831&lt;&gt;"Congé"),(AND(F831="Congé",D831&lt;&gt;"Congé"))),0.166666666666667,""))</f>
        <v/>
      </c>
      <c r="AC831" s="8" t="str">
        <f aca="false">IF(AND(D831="Congé sans solde",F831="Congé sans solde"),0.333333333333333,IF(OR(AND(D831="Congé sans solde",F831&lt;&gt;"Congé sans solde"),(AND(F831="Congé sans solde",D831&lt;&gt;"Congé sans solde"))),0.166666666666667,""))</f>
        <v/>
      </c>
      <c r="AD831" s="8" t="str">
        <f aca="false">IF(AND(D831="Congé spécial",F831="Congé spécial"),0.333333333333333,IF(OR(AND(D831="Congé spécial",F831&lt;&gt;"Congé spécial"),AND(F831="Congé spécial",D831&lt;&gt;"Congé spécial")),0.166666666666667,""))</f>
        <v/>
      </c>
      <c r="AE831" s="8" t="str">
        <f aca="false">IF(AND(D831="Férié",F831="Férié"),0.333333333333333,IF(OR(AND(D831="Férié",F831&lt;&gt;"Férié"),(AND(F831="Férié",D831&lt;&gt;"Férié"))),0.166666666666667,""))</f>
        <v/>
      </c>
      <c r="AF831" s="18"/>
      <c r="AG831" s="18"/>
    </row>
    <row r="832" customFormat="false" ht="15" hidden="false" customHeight="false" outlineLevel="0" collapsed="false">
      <c r="A832" s="6" t="str">
        <f aca="false">YEAR(Q832-WEEKDAY(Q832,2)+4)&amp;"-S"&amp;TEXT(WEEKNUM(Q832,21),"00")</f>
        <v>2026-S27</v>
      </c>
      <c r="B832" s="18" t="s">
        <v>71</v>
      </c>
      <c r="C832" s="19"/>
      <c r="D832" s="19" t="s">
        <v>74</v>
      </c>
      <c r="E832" s="19"/>
      <c r="F832" s="19" t="s">
        <v>74</v>
      </c>
      <c r="G832" s="20"/>
      <c r="H832" s="20"/>
      <c r="I832" s="8" t="str">
        <f aca="false">IF(IF(OR(C832="",D832="Congé",D832="OFF",D832="Congé spécial"),"",IF(D832&gt;F832,D832-C832,IF(C832-D832&lt;0,0,C832-D832)))&lt;0.00068287037037037,"",IF(OR(D832="Congé",D832="OFF",C832="",D832="Congé spécial"),"",IF(D832&gt;F832,D832-C832,IF(C832-D832&lt;0,0,C832-D832))))</f>
        <v/>
      </c>
      <c r="J832" s="20"/>
      <c r="K832" s="8" t="n">
        <f aca="false">IF(SUM(H832:J832)&lt;0.00068287037037037,0,SUM(H832:J832))</f>
        <v>0</v>
      </c>
      <c r="L832" s="8" t="n">
        <f aca="false">IF(OR(F832="Congé",F832="OFF",M832="Abs",F832="Congé sans solde",F832="Férié",F832="Congé spécial",D832="Congé spécial"),0,IF(F832-E832&lt;0,0,IF(F832-E832&lt;=0.00068287037037037,0,F832-E832)))</f>
        <v>0</v>
      </c>
      <c r="M832" s="6" t="n">
        <f aca="false">IF(AND(O832&lt;&gt;0,C832=""),"Abs",0)</f>
        <v>0</v>
      </c>
      <c r="N832" s="8" t="str">
        <f aca="false">IFERROR(IF(OR(D832="OFF",D832="Congé",M832="Abs",D832="Congé sans solde",D832="Férié"),"",IF(O832-K832-L832&gt;O832,O832,IF(O832-K832-L832&lt;0,"",O832-K832-L832))),"")</f>
        <v/>
      </c>
      <c r="O832" s="8" t="n">
        <f aca="false">IF(AG832="2H Pause déjeuner",IF(F832-D832-0.0833333333333333&lt;0,F832-D832-0.0833333333333333+1,F832-D832-0.0833333333333333),IF(OR(AND(F832="OFF",D832="OFF"),AND(F832="Congé",D832="Congé"),AND(F832="Congé sans solde",D832="Congé sans solde"),AND(F832="Congé spécial",D832="Congé spécial"),AND(F832="Férié",D832="Férié"),AND(F832="OFF",D832="Congé"),AND(F832="OFF",D832="Congé sans solde"),AND(F832="OFF",D832="Congé spécial"),AND(F832="OFF",D832="Férié"),AND(F832="Congé",D832="OFF"),AND(F832="Congé",D832="Congé sans solde"),AND(F832="Congé",D832="Congé spécial"),AND(F832="Congé",D832="Férié"),AND(F832="Congé sans solde",D832="OFF"),AND(F832="Congé sans solde",D832="Congé"),AND(F832="Congé sans solde",D832="Congé spécial"),AND(F832="Congé sans solde",D832="Férié"),AND(F832="Congé spécial",D832="OFF"),AND(F832="Congé spécial",D832="Congé"),AND(F832="Congé spécial",D832="Congé sans solde"),AND(F832="Congé spécial",D832="Férié"),AND(F832="Férié",D832="OFF"),AND(F832="Férié",D832="Congé"),AND(F832="Férié",D832="Congé sans solde"),AND(F832="Férié",D832="Congé spécial")),0,IF(OR(F832="OFF",F832="Congé",F832="Congé spécial",F832="Congé sans solde",D832="OFF",D832="Congé",D832="Congé spécial",D832="Congé sans solde"),0.208333333333334,IF(AND(AG832="",F832-D832&lt;0),("24:00:00"-D832)+("00:00:00"+F832)-0.0416666666666667,IF(AND(OR(AG832="Allaitement",AG832="Sans déjeuner"),F832-D832&lt;0),("24:00:00"-D832)+("00:00:00"+F832),IF(AND(AG832="",F832-D832&gt;0.166666666666667),F832-D832-0.0416666666666667,IF(AND(OR(AG832="Allaitement",AG832="Sans déjeuner"),F832-D832&gt;0.166666666666667),F832-D832,F832-D832)))))))</f>
        <v>0</v>
      </c>
      <c r="P832" s="6" t="str">
        <f aca="false">IFERROR(VLOOKUP($B832,Agents!$A:$D,2,0),"-")</f>
        <v>Accessibilité</v>
      </c>
      <c r="Q832" s="21" t="n">
        <v>46208</v>
      </c>
      <c r="R832" s="8" t="n">
        <f aca="false">IF(M832="Abs",O832,0)</f>
        <v>0</v>
      </c>
      <c r="S832" s="8" t="n">
        <f aca="false">SUM(R832,L832,I832,J832,W832,H832)</f>
        <v>0</v>
      </c>
      <c r="T832" s="6" t="str">
        <f aca="false">"Sem - "&amp;WEEKNUM(Q832,21)</f>
        <v>Sem - 27</v>
      </c>
      <c r="U832" s="6" t="str">
        <f aca="false">CHOOSE(MONTH(Q832),"Janvier","Février","Mars","Avril","Mai","Juin","Juillet","Août","Septembre","Octobre","Novembre","Décembre")</f>
        <v>Juillet</v>
      </c>
      <c r="V832" s="22" t="n">
        <f aca="false">YEAR(Q832)</f>
        <v>2026</v>
      </c>
      <c r="W832" s="20"/>
      <c r="X832" s="8" t="n">
        <f aca="false">IFERROR(IF(M832="Abs",0,IF(ROUND((D832-C832+E832-F832)*1440,0)&lt;=1,0,D832-C832+E832-F832)),0)</f>
        <v>0</v>
      </c>
      <c r="Y832" s="6" t="str">
        <f aca="false">IFERROR(VLOOKUP($B832,Agents!$A:$D,3,0),"-")</f>
        <v>OUBRAHIM Mohammed</v>
      </c>
      <c r="Z832" s="6" t="str">
        <f aca="false">IFERROR(VLOOKUP($B832,Agents!$A:$D,4,0),"-")</f>
        <v>Credit Mutuel</v>
      </c>
      <c r="AA832" s="18" t="s">
        <v>109</v>
      </c>
      <c r="AB832" s="8" t="str">
        <f aca="false">IF(AND(D832="Congé",F832="Congé"),0.333333333333333,IF(OR(AND(D832="Congé",F832&lt;&gt;"Congé"),(AND(F832="Congé",D832&lt;&gt;"Congé"))),0.166666666666667,""))</f>
        <v/>
      </c>
      <c r="AC832" s="8" t="str">
        <f aca="false">IF(AND(D832="Congé sans solde",F832="Congé sans solde"),0.333333333333333,IF(OR(AND(D832="Congé sans solde",F832&lt;&gt;"Congé sans solde"),(AND(F832="Congé sans solde",D832&lt;&gt;"Congé sans solde"))),0.166666666666667,""))</f>
        <v/>
      </c>
      <c r="AD832" s="8" t="str">
        <f aca="false">IF(AND(D832="Congé spécial",F832="Congé spécial"),0.333333333333333,IF(OR(AND(D832="Congé spécial",F832&lt;&gt;"Congé spécial"),AND(F832="Congé spécial",D832&lt;&gt;"Congé spécial")),0.166666666666667,""))</f>
        <v/>
      </c>
      <c r="AE832" s="8" t="str">
        <f aca="false">IF(AND(D832="Férié",F832="Férié"),0.333333333333333,IF(OR(AND(D832="Férié",F832&lt;&gt;"Férié"),(AND(F832="Férié",D832&lt;&gt;"Férié"))),0.166666666666667,""))</f>
        <v/>
      </c>
      <c r="AF832" s="18"/>
      <c r="AG832" s="18"/>
    </row>
    <row r="833" customFormat="false" ht="15" hidden="false" customHeight="false" outlineLevel="0" collapsed="false">
      <c r="A833" s="6" t="str">
        <f aca="false">YEAR(Q833-WEEKDAY(Q833,2)+4)&amp;"-S"&amp;TEXT(WEEKNUM(Q833,21),"00")</f>
        <v>2026-S27</v>
      </c>
      <c r="B833" s="18" t="s">
        <v>72</v>
      </c>
      <c r="C833" s="19"/>
      <c r="D833" s="19" t="s">
        <v>74</v>
      </c>
      <c r="E833" s="19"/>
      <c r="F833" s="19" t="s">
        <v>74</v>
      </c>
      <c r="G833" s="20"/>
      <c r="H833" s="20"/>
      <c r="I833" s="8" t="str">
        <f aca="false">IF(IF(OR(C833="",D833="Congé",D833="OFF",D833="Congé spécial"),"",IF(D833&gt;F833,D833-C833,IF(C833-D833&lt;0,0,C833-D833)))&lt;0.00068287037037037,"",IF(OR(D833="Congé",D833="OFF",C833="",D833="Congé spécial"),"",IF(D833&gt;F833,D833-C833,IF(C833-D833&lt;0,0,C833-D833))))</f>
        <v/>
      </c>
      <c r="J833" s="20"/>
      <c r="K833" s="8" t="n">
        <f aca="false">IF(SUM(H833:J833)&lt;0.00068287037037037,0,SUM(H833:J833))</f>
        <v>0</v>
      </c>
      <c r="L833" s="8" t="n">
        <f aca="false">IF(OR(F833="Congé",F833="OFF",M833="Abs",F833="Congé sans solde",F833="Férié",F833="Congé spécial",D833="Congé spécial"),0,IF(F833-E833&lt;0,0,IF(F833-E833&lt;=0.00068287037037037,0,F833-E833)))</f>
        <v>0</v>
      </c>
      <c r="M833" s="6" t="n">
        <f aca="false">IF(AND(O833&lt;&gt;0,C833=""),"Abs",0)</f>
        <v>0</v>
      </c>
      <c r="N833" s="8" t="str">
        <f aca="false">IFERROR(IF(OR(D833="OFF",D833="Congé",M833="Abs",D833="Congé sans solde",D833="Férié"),"",IF(O833-K833-L833&gt;O833,O833,IF(O833-K833-L833&lt;0,"",O833-K833-L833))),"")</f>
        <v/>
      </c>
      <c r="O833" s="8" t="n">
        <f aca="false">IF(AG833="2H Pause déjeuner",IF(F833-D833-0.0833333333333333&lt;0,F833-D833-0.0833333333333333+1,F833-D833-0.0833333333333333),IF(OR(AND(F833="OFF",D833="OFF"),AND(F833="Congé",D833="Congé"),AND(F833="Congé sans solde",D833="Congé sans solde"),AND(F833="Congé spécial",D833="Congé spécial"),AND(F833="Férié",D833="Férié"),AND(F833="OFF",D833="Congé"),AND(F833="OFF",D833="Congé sans solde"),AND(F833="OFF",D833="Congé spécial"),AND(F833="OFF",D833="Férié"),AND(F833="Congé",D833="OFF"),AND(F833="Congé",D833="Congé sans solde"),AND(F833="Congé",D833="Congé spécial"),AND(F833="Congé",D833="Férié"),AND(F833="Congé sans solde",D833="OFF"),AND(F833="Congé sans solde",D833="Congé"),AND(F833="Congé sans solde",D833="Congé spécial"),AND(F833="Congé sans solde",D833="Férié"),AND(F833="Congé spécial",D833="OFF"),AND(F833="Congé spécial",D833="Congé"),AND(F833="Congé spécial",D833="Congé sans solde"),AND(F833="Congé spécial",D833="Férié"),AND(F833="Férié",D833="OFF"),AND(F833="Férié",D833="Congé"),AND(F833="Férié",D833="Congé sans solde"),AND(F833="Férié",D833="Congé spécial")),0,IF(OR(F833="OFF",F833="Congé",F833="Congé spécial",F833="Congé sans solde",D833="OFF",D833="Congé",D833="Congé spécial",D833="Congé sans solde"),0.208333333333334,IF(AND(AG833="",F833-D833&lt;0),("24:00:00"-D833)+("00:00:00"+F833)-0.0416666666666667,IF(AND(OR(AG833="Allaitement",AG833="Sans déjeuner"),F833-D833&lt;0),("24:00:00"-D833)+("00:00:00"+F833),IF(AND(AG833="",F833-D833&gt;0.166666666666667),F833-D833-0.0416666666666667,IF(AND(OR(AG833="Allaitement",AG833="Sans déjeuner"),F833-D833&gt;0.166666666666667),F833-D833,F833-D833)))))))</f>
        <v>0</v>
      </c>
      <c r="P833" s="6" t="str">
        <f aca="false">IFERROR(VLOOKUP($B833,Agents!$A:$D,2,0),"-")</f>
        <v>Accessibilité</v>
      </c>
      <c r="Q833" s="21" t="n">
        <v>46208</v>
      </c>
      <c r="R833" s="8" t="n">
        <f aca="false">IF(M833="Abs",O833,0)</f>
        <v>0</v>
      </c>
      <c r="S833" s="8" t="n">
        <f aca="false">SUM(R833,L833,I833,J833,W833,H833)</f>
        <v>0</v>
      </c>
      <c r="T833" s="6" t="str">
        <f aca="false">"Sem - "&amp;WEEKNUM(Q833,21)</f>
        <v>Sem - 27</v>
      </c>
      <c r="U833" s="6" t="str">
        <f aca="false">CHOOSE(MONTH(Q833),"Janvier","Février","Mars","Avril","Mai","Juin","Juillet","Août","Septembre","Octobre","Novembre","Décembre")</f>
        <v>Juillet</v>
      </c>
      <c r="V833" s="22" t="n">
        <f aca="false">YEAR(Q833)</f>
        <v>2026</v>
      </c>
      <c r="W833" s="20"/>
      <c r="X833" s="8" t="n">
        <f aca="false">IFERROR(IF(M833="Abs",0,IF(ROUND((D833-C833+E833-F833)*1440,0)&lt;=1,0,D833-C833+E833-F833)),0)</f>
        <v>0</v>
      </c>
      <c r="Y833" s="6" t="str">
        <f aca="false">IFERROR(VLOOKUP($B833,Agents!$A:$D,3,0),"-")</f>
        <v>OUBRAHIM Mohammed</v>
      </c>
      <c r="Z833" s="6" t="str">
        <f aca="false">IFERROR(VLOOKUP($B833,Agents!$A:$D,4,0),"-")</f>
        <v>Credit Mutuel</v>
      </c>
      <c r="AA833" s="18" t="s">
        <v>109</v>
      </c>
      <c r="AB833" s="8" t="str">
        <f aca="false">IF(AND(D833="Congé",F833="Congé"),0.333333333333333,IF(OR(AND(D833="Congé",F833&lt;&gt;"Congé"),(AND(F833="Congé",D833&lt;&gt;"Congé"))),0.166666666666667,""))</f>
        <v/>
      </c>
      <c r="AC833" s="8" t="str">
        <f aca="false">IF(AND(D833="Congé sans solde",F833="Congé sans solde"),0.333333333333333,IF(OR(AND(D833="Congé sans solde",F833&lt;&gt;"Congé sans solde"),(AND(F833="Congé sans solde",D833&lt;&gt;"Congé sans solde"))),0.166666666666667,""))</f>
        <v/>
      </c>
      <c r="AD833" s="8" t="str">
        <f aca="false">IF(AND(D833="Congé spécial",F833="Congé spécial"),0.333333333333333,IF(OR(AND(D833="Congé spécial",F833&lt;&gt;"Congé spécial"),AND(F833="Congé spécial",D833&lt;&gt;"Congé spécial")),0.166666666666667,""))</f>
        <v/>
      </c>
      <c r="AE833" s="8" t="str">
        <f aca="false">IF(AND(D833="Férié",F833="Férié"),0.333333333333333,IF(OR(AND(D833="Férié",F833&lt;&gt;"Férié"),(AND(F833="Férié",D833&lt;&gt;"Férié"))),0.166666666666667,""))</f>
        <v/>
      </c>
      <c r="AF833" s="18"/>
      <c r="AG833" s="18"/>
    </row>
    <row r="834" customFormat="false" ht="15" hidden="false" customHeight="false" outlineLevel="0" collapsed="false">
      <c r="A834" s="6" t="str">
        <f aca="false">YEAR(Q834-WEEKDAY(Q834,2)+4)&amp;"-S"&amp;TEXT(WEEKNUM(Q834,21),"00")</f>
        <v>2026-S27</v>
      </c>
      <c r="B834" s="18" t="s">
        <v>73</v>
      </c>
      <c r="C834" s="19"/>
      <c r="D834" s="19" t="s">
        <v>74</v>
      </c>
      <c r="E834" s="19"/>
      <c r="F834" s="19" t="s">
        <v>74</v>
      </c>
      <c r="G834" s="20"/>
      <c r="H834" s="20"/>
      <c r="I834" s="8" t="str">
        <f aca="false">IF(IF(OR(C834="",D834="Congé",D834="OFF",D834="Congé spécial"),"",IF(D834&gt;F834,D834-C834,IF(C834-D834&lt;0,0,C834-D834)))&lt;0.00068287037037037,"",IF(OR(D834="Congé",D834="OFF",C834="",D834="Congé spécial"),"",IF(D834&gt;F834,D834-C834,IF(C834-D834&lt;0,0,C834-D834))))</f>
        <v/>
      </c>
      <c r="J834" s="20"/>
      <c r="K834" s="8" t="n">
        <f aca="false">IF(SUM(H834:J834)&lt;0.00068287037037037,0,SUM(H834:J834))</f>
        <v>0</v>
      </c>
      <c r="L834" s="8" t="n">
        <f aca="false">IF(OR(F834="Congé",F834="OFF",M834="Abs",F834="Congé sans solde",F834="Férié",F834="Congé spécial",D834="Congé spécial"),0,IF(F834-E834&lt;0,0,IF(F834-E834&lt;=0.00068287037037037,0,F834-E834)))</f>
        <v>0</v>
      </c>
      <c r="M834" s="6" t="n">
        <f aca="false">IF(AND(O834&lt;&gt;0,C834=""),"Abs",0)</f>
        <v>0</v>
      </c>
      <c r="N834" s="8" t="str">
        <f aca="false">IFERROR(IF(OR(D834="OFF",D834="Congé",M834="Abs",D834="Congé sans solde",D834="Férié"),"",IF(O834-K834-L834&gt;O834,O834,IF(O834-K834-L834&lt;0,"",O834-K834-L834))),"")</f>
        <v/>
      </c>
      <c r="O834" s="8" t="n">
        <f aca="false">IF(AG834="2H Pause déjeuner",IF(F834-D834-0.0833333333333333&lt;0,F834-D834-0.0833333333333333+1,F834-D834-0.0833333333333333),IF(OR(AND(F834="OFF",D834="OFF"),AND(F834="Congé",D834="Congé"),AND(F834="Congé sans solde",D834="Congé sans solde"),AND(F834="Congé spécial",D834="Congé spécial"),AND(F834="Férié",D834="Férié"),AND(F834="OFF",D834="Congé"),AND(F834="OFF",D834="Congé sans solde"),AND(F834="OFF",D834="Congé spécial"),AND(F834="OFF",D834="Férié"),AND(F834="Congé",D834="OFF"),AND(F834="Congé",D834="Congé sans solde"),AND(F834="Congé",D834="Congé spécial"),AND(F834="Congé",D834="Férié"),AND(F834="Congé sans solde",D834="OFF"),AND(F834="Congé sans solde",D834="Congé"),AND(F834="Congé sans solde",D834="Congé spécial"),AND(F834="Congé sans solde",D834="Férié"),AND(F834="Congé spécial",D834="OFF"),AND(F834="Congé spécial",D834="Congé"),AND(F834="Congé spécial",D834="Congé sans solde"),AND(F834="Congé spécial",D834="Férié"),AND(F834="Férié",D834="OFF"),AND(F834="Férié",D834="Congé"),AND(F834="Férié",D834="Congé sans solde"),AND(F834="Férié",D834="Congé spécial")),0,IF(OR(F834="OFF",F834="Congé",F834="Congé spécial",F834="Congé sans solde",D834="OFF",D834="Congé",D834="Congé spécial",D834="Congé sans solde"),0.208333333333334,IF(AND(AG834="",F834-D834&lt;0),("24:00:00"-D834)+("00:00:00"+F834)-0.0416666666666667,IF(AND(OR(AG834="Allaitement",AG834="Sans déjeuner"),F834-D834&lt;0),("24:00:00"-D834)+("00:00:00"+F834),IF(AND(AG834="",F834-D834&gt;0.166666666666667),F834-D834-0.0416666666666667,IF(AND(OR(AG834="Allaitement",AG834="Sans déjeuner"),F834-D834&gt;0.166666666666667),F834-D834,F834-D834)))))))</f>
        <v>0</v>
      </c>
      <c r="P834" s="6" t="str">
        <f aca="false">IFERROR(VLOOKUP($B834,Agents!$A:$D,2,0),"-")</f>
        <v>Accessibilité</v>
      </c>
      <c r="Q834" s="21" t="n">
        <v>46208</v>
      </c>
      <c r="R834" s="8" t="n">
        <f aca="false">IF(M834="Abs",O834,0)</f>
        <v>0</v>
      </c>
      <c r="S834" s="8" t="n">
        <f aca="false">SUM(R834,L834,I834,J834,W834,H834)</f>
        <v>0</v>
      </c>
      <c r="T834" s="6" t="str">
        <f aca="false">"Sem - "&amp;WEEKNUM(Q834,21)</f>
        <v>Sem - 27</v>
      </c>
      <c r="U834" s="6" t="str">
        <f aca="false">CHOOSE(MONTH(Q834),"Janvier","Février","Mars","Avril","Mai","Juin","Juillet","Août","Septembre","Octobre","Novembre","Décembre")</f>
        <v>Juillet</v>
      </c>
      <c r="V834" s="22" t="n">
        <f aca="false">YEAR(Q834)</f>
        <v>2026</v>
      </c>
      <c r="W834" s="20"/>
      <c r="X834" s="8" t="n">
        <f aca="false">IFERROR(IF(M834="Abs",0,IF(ROUND((D834-C834+E834-F834)*1440,0)&lt;=1,0,D834-C834+E834-F834)),0)</f>
        <v>0</v>
      </c>
      <c r="Y834" s="6" t="str">
        <f aca="false">IFERROR(VLOOKUP($B834,Agents!$A:$D,3,0),"-")</f>
        <v>OUBRAHIM Mohammed</v>
      </c>
      <c r="Z834" s="6" t="str">
        <f aca="false">IFERROR(VLOOKUP($B834,Agents!$A:$D,4,0),"-")</f>
        <v>Credit Mutuel</v>
      </c>
      <c r="AA834" s="18" t="s">
        <v>109</v>
      </c>
      <c r="AB834" s="8" t="str">
        <f aca="false">IF(AND(D834="Congé",F834="Congé"),0.333333333333333,IF(OR(AND(D834="Congé",F834&lt;&gt;"Congé"),(AND(F834="Congé",D834&lt;&gt;"Congé"))),0.166666666666667,""))</f>
        <v/>
      </c>
      <c r="AC834" s="8" t="str">
        <f aca="false">IF(AND(D834="Congé sans solde",F834="Congé sans solde"),0.333333333333333,IF(OR(AND(D834="Congé sans solde",F834&lt;&gt;"Congé sans solde"),(AND(F834="Congé sans solde",D834&lt;&gt;"Congé sans solde"))),0.166666666666667,""))</f>
        <v/>
      </c>
      <c r="AD834" s="8" t="str">
        <f aca="false">IF(AND(D834="Congé spécial",F834="Congé spécial"),0.333333333333333,IF(OR(AND(D834="Congé spécial",F834&lt;&gt;"Congé spécial"),AND(F834="Congé spécial",D834&lt;&gt;"Congé spécial")),0.166666666666667,""))</f>
        <v/>
      </c>
      <c r="AE834" s="8" t="str">
        <f aca="false">IF(AND(D834="Férié",F834="Férié"),0.333333333333333,IF(OR(AND(D834="Férié",F834&lt;&gt;"Férié"),(AND(F834="Férié",D834&lt;&gt;"Férié"))),0.166666666666667,""))</f>
        <v/>
      </c>
      <c r="AF834" s="18"/>
      <c r="AG834" s="18"/>
    </row>
    <row r="835" customFormat="false" ht="15" hidden="false" customHeight="false" outlineLevel="0" collapsed="false">
      <c r="A835" s="6" t="str">
        <f aca="false">YEAR(Q835-WEEKDAY(Q835,2)+4)&amp;"-S"&amp;TEXT(WEEKNUM(Q835,21),"00")</f>
        <v>2026-S28</v>
      </c>
      <c r="B835" s="18" t="s">
        <v>71</v>
      </c>
      <c r="C835" s="19" t="n">
        <v>0.33125</v>
      </c>
      <c r="D835" s="19" t="n">
        <v>0.333333333333333</v>
      </c>
      <c r="E835" s="19" t="n">
        <v>0.75</v>
      </c>
      <c r="F835" s="19" t="n">
        <v>0.75</v>
      </c>
      <c r="G835" s="20"/>
      <c r="H835" s="20"/>
      <c r="I835" s="8" t="str">
        <f aca="false">IF(IF(OR(C835="",D835="Congé",D835="OFF",D835="Congé spécial"),"",IF(D835&gt;F835,D835-C835,IF(C835-D835&lt;0,0,C835-D835)))&lt;0.00068287037037037,"",IF(OR(D835="Congé",D835="OFF",C835="",D835="Congé spécial"),"",IF(D835&gt;F835,D835-C835,IF(C835-D835&lt;0,0,C835-D835))))</f>
        <v/>
      </c>
      <c r="J835" s="20"/>
      <c r="K835" s="8" t="n">
        <f aca="false">IF(SUM(H835:J835)&lt;0.00068287037037037,0,SUM(H835:J835))</f>
        <v>0</v>
      </c>
      <c r="L835" s="8" t="n">
        <f aca="false">IF(OR(F835="Congé",F835="OFF",M835="Abs",F835="Congé sans solde",F835="Férié",F835="Congé spécial",D835="Congé spécial"),0,IF(F835-E835&lt;0,0,IF(F835-E835&lt;=0.00068287037037037,0,F835-E835)))</f>
        <v>0</v>
      </c>
      <c r="M835" s="6" t="n">
        <f aca="false">IF(AND(O835&lt;&gt;0,C835=""),"Abs",0)</f>
        <v>0</v>
      </c>
      <c r="N835" s="8" t="n">
        <f aca="false">IFERROR(IF(OR(D835="OFF",D835="Congé",M835="Abs",D835="Congé sans solde",D835="Férié"),"",IF(O835-K835-L835&gt;O835,O835,IF(O835-K835-L835&lt;0,"",O835-K835-L835))),"")</f>
        <v>0.375</v>
      </c>
      <c r="O835" s="8" t="n">
        <f aca="false">IF(AG835="2H Pause déjeuner",IF(F835-D835-0.0833333333333333&lt;0,F835-D835-0.0833333333333333+1,F835-D835-0.0833333333333333),IF(OR(AND(F835="OFF",D835="OFF"),AND(F835="Congé",D835="Congé"),AND(F835="Congé sans solde",D835="Congé sans solde"),AND(F835="Congé spécial",D835="Congé spécial"),AND(F835="Férié",D835="Férié"),AND(F835="OFF",D835="Congé"),AND(F835="OFF",D835="Congé sans solde"),AND(F835="OFF",D835="Congé spécial"),AND(F835="OFF",D835="Férié"),AND(F835="Congé",D835="OFF"),AND(F835="Congé",D835="Congé sans solde"),AND(F835="Congé",D835="Congé spécial"),AND(F835="Congé",D835="Férié"),AND(F835="Congé sans solde",D835="OFF"),AND(F835="Congé sans solde",D835="Congé"),AND(F835="Congé sans solde",D835="Congé spécial"),AND(F835="Congé sans solde",D835="Férié"),AND(F835="Congé spécial",D835="OFF"),AND(F835="Congé spécial",D835="Congé"),AND(F835="Congé spécial",D835="Congé sans solde"),AND(F835="Congé spécial",D835="Férié"),AND(F835="Férié",D835="OFF"),AND(F835="Férié",D835="Congé"),AND(F835="Férié",D835="Congé sans solde"),AND(F835="Férié",D835="Congé spécial")),0,IF(OR(F835="OFF",F835="Congé",F835="Congé spécial",F835="Congé sans solde",D835="OFF",D835="Congé",D835="Congé spécial",D835="Congé sans solde"),0.208333333333334,IF(AND(AG835="",F835-D835&lt;0),("24:00:00"-D835)+("00:00:00"+F835)-0.0416666666666667,IF(AND(OR(AG835="Allaitement",AG835="Sans déjeuner"),F835-D835&lt;0),("24:00:00"-D835)+("00:00:00"+F835),IF(AND(AG835="",F835-D835&gt;0.166666666666667),F835-D835-0.0416666666666667,IF(AND(OR(AG835="Allaitement",AG835="Sans déjeuner"),F835-D835&gt;0.166666666666667),F835-D835,F835-D835)))))))</f>
        <v>0.375</v>
      </c>
      <c r="P835" s="6" t="str">
        <f aca="false">IFERROR(VLOOKUP($B835,Agents!$A:$D,2,0),"-")</f>
        <v>Accessibilité</v>
      </c>
      <c r="Q835" s="21" t="n">
        <v>46209</v>
      </c>
      <c r="R835" s="8" t="n">
        <f aca="false">IF(M835="Abs",O835,0)</f>
        <v>0</v>
      </c>
      <c r="S835" s="8" t="n">
        <f aca="false">SUM(R835,L835,I835,J835,W835,H835)</f>
        <v>0</v>
      </c>
      <c r="T835" s="6" t="str">
        <f aca="false">"Sem - "&amp;WEEKNUM(Q835,21)</f>
        <v>Sem - 28</v>
      </c>
      <c r="U835" s="6" t="str">
        <f aca="false">CHOOSE(MONTH(Q835),"Janvier","Février","Mars","Avril","Mai","Juin","Juillet","Août","Septembre","Octobre","Novembre","Décembre")</f>
        <v>Juillet</v>
      </c>
      <c r="V835" s="22" t="n">
        <f aca="false">YEAR(Q835)</f>
        <v>2026</v>
      </c>
      <c r="W835" s="20"/>
      <c r="X835" s="8" t="n">
        <f aca="false">IFERROR(IF(M835="Abs",0,IF(ROUND((D835-C835+E835-F835)*1440,0)&lt;=1,0,D835-C835+E835-F835)),0)</f>
        <v>0.00208333333333333</v>
      </c>
      <c r="Y835" s="6" t="str">
        <f aca="false">IFERROR(VLOOKUP($B835,Agents!$A:$D,3,0),"-")</f>
        <v>OUBRAHIM Mohammed</v>
      </c>
      <c r="Z835" s="6" t="str">
        <f aca="false">IFERROR(VLOOKUP($B835,Agents!$A:$D,4,0),"-")</f>
        <v>Credit Mutuel</v>
      </c>
      <c r="AA835" s="18" t="s">
        <v>110</v>
      </c>
      <c r="AB835" s="8" t="str">
        <f aca="false">IF(AND(D835="Congé",F835="Congé"),0.333333333333333,IF(OR(AND(D835="Congé",F835&lt;&gt;"Congé"),(AND(F835="Congé",D835&lt;&gt;"Congé"))),0.166666666666667,""))</f>
        <v/>
      </c>
      <c r="AC835" s="8" t="str">
        <f aca="false">IF(AND(D835="Congé sans solde",F835="Congé sans solde"),0.333333333333333,IF(OR(AND(D835="Congé sans solde",F835&lt;&gt;"Congé sans solde"),(AND(F835="Congé sans solde",D835&lt;&gt;"Congé sans solde"))),0.166666666666667,""))</f>
        <v/>
      </c>
      <c r="AD835" s="8" t="str">
        <f aca="false">IF(AND(D835="Congé spécial",F835="Congé spécial"),0.333333333333333,IF(OR(AND(D835="Congé spécial",F835&lt;&gt;"Congé spécial"),AND(F835="Congé spécial",D835&lt;&gt;"Congé spécial")),0.166666666666667,""))</f>
        <v/>
      </c>
      <c r="AE835" s="8" t="str">
        <f aca="false">IF(AND(D835="Férié",F835="Férié"),0.333333333333333,IF(OR(AND(D835="Férié",F835&lt;&gt;"Férié"),(AND(F835="Férié",D835&lt;&gt;"Férié"))),0.166666666666667,""))</f>
        <v/>
      </c>
      <c r="AF835" s="18"/>
      <c r="AG835" s="18"/>
    </row>
    <row r="836" customFormat="false" ht="15" hidden="false" customHeight="false" outlineLevel="0" collapsed="false">
      <c r="A836" s="6" t="str">
        <f aca="false">YEAR(Q836-WEEKDAY(Q836,2)+4)&amp;"-S"&amp;TEXT(WEEKNUM(Q836,21),"00")</f>
        <v>2026-S28</v>
      </c>
      <c r="B836" s="18" t="s">
        <v>72</v>
      </c>
      <c r="C836" s="19" t="n">
        <v>0.330555555555556</v>
      </c>
      <c r="D836" s="19" t="n">
        <v>0.333333333333333</v>
      </c>
      <c r="E836" s="19" t="n">
        <v>0.75</v>
      </c>
      <c r="F836" s="19" t="n">
        <v>0.75</v>
      </c>
      <c r="G836" s="20"/>
      <c r="H836" s="20"/>
      <c r="I836" s="8" t="str">
        <f aca="false">IF(IF(OR(C836="",D836="Congé",D836="OFF",D836="Congé spécial"),"",IF(D836&gt;F836,D836-C836,IF(C836-D836&lt;0,0,C836-D836)))&lt;0.00068287037037037,"",IF(OR(D836="Congé",D836="OFF",C836="",D836="Congé spécial"),"",IF(D836&gt;F836,D836-C836,IF(C836-D836&lt;0,0,C836-D836))))</f>
        <v/>
      </c>
      <c r="J836" s="20"/>
      <c r="K836" s="8" t="n">
        <f aca="false">IF(SUM(H836:J836)&lt;0.00068287037037037,0,SUM(H836:J836))</f>
        <v>0</v>
      </c>
      <c r="L836" s="8" t="n">
        <f aca="false">IF(OR(F836="Congé",F836="OFF",M836="Abs",F836="Congé sans solde",F836="Férié",F836="Congé spécial",D836="Congé spécial"),0,IF(F836-E836&lt;0,0,IF(F836-E836&lt;=0.00068287037037037,0,F836-E836)))</f>
        <v>0</v>
      </c>
      <c r="M836" s="6" t="n">
        <f aca="false">IF(AND(O836&lt;&gt;0,C836=""),"Abs",0)</f>
        <v>0</v>
      </c>
      <c r="N836" s="8" t="n">
        <f aca="false">IFERROR(IF(OR(D836="OFF",D836="Congé",M836="Abs",D836="Congé sans solde",D836="Férié"),"",IF(O836-K836-L836&gt;O836,O836,IF(O836-K836-L836&lt;0,"",O836-K836-L836))),"")</f>
        <v>0.375</v>
      </c>
      <c r="O836" s="8" t="n">
        <f aca="false">IF(AG836="2H Pause déjeuner",IF(F836-D836-0.0833333333333333&lt;0,F836-D836-0.0833333333333333+1,F836-D836-0.0833333333333333),IF(OR(AND(F836="OFF",D836="OFF"),AND(F836="Congé",D836="Congé"),AND(F836="Congé sans solde",D836="Congé sans solde"),AND(F836="Congé spécial",D836="Congé spécial"),AND(F836="Férié",D836="Férié"),AND(F836="OFF",D836="Congé"),AND(F836="OFF",D836="Congé sans solde"),AND(F836="OFF",D836="Congé spécial"),AND(F836="OFF",D836="Férié"),AND(F836="Congé",D836="OFF"),AND(F836="Congé",D836="Congé sans solde"),AND(F836="Congé",D836="Congé spécial"),AND(F836="Congé",D836="Férié"),AND(F836="Congé sans solde",D836="OFF"),AND(F836="Congé sans solde",D836="Congé"),AND(F836="Congé sans solde",D836="Congé spécial"),AND(F836="Congé sans solde",D836="Férié"),AND(F836="Congé spécial",D836="OFF"),AND(F836="Congé spécial",D836="Congé"),AND(F836="Congé spécial",D836="Congé sans solde"),AND(F836="Congé spécial",D836="Férié"),AND(F836="Férié",D836="OFF"),AND(F836="Férié",D836="Congé"),AND(F836="Férié",D836="Congé sans solde"),AND(F836="Férié",D836="Congé spécial")),0,IF(OR(F836="OFF",F836="Congé",F836="Congé spécial",F836="Congé sans solde",D836="OFF",D836="Congé",D836="Congé spécial",D836="Congé sans solde"),0.208333333333334,IF(AND(AG836="",F836-D836&lt;0),("24:00:00"-D836)+("00:00:00"+F836)-0.0416666666666667,IF(AND(OR(AG836="Allaitement",AG836="Sans déjeuner"),F836-D836&lt;0),("24:00:00"-D836)+("00:00:00"+F836),IF(AND(AG836="",F836-D836&gt;0.166666666666667),F836-D836-0.0416666666666667,IF(AND(OR(AG836="Allaitement",AG836="Sans déjeuner"),F836-D836&gt;0.166666666666667),F836-D836,F836-D836)))))))</f>
        <v>0.375</v>
      </c>
      <c r="P836" s="6" t="str">
        <f aca="false">IFERROR(VLOOKUP($B836,Agents!$A:$D,2,0),"-")</f>
        <v>Accessibilité</v>
      </c>
      <c r="Q836" s="21" t="n">
        <v>46209</v>
      </c>
      <c r="R836" s="8" t="n">
        <f aca="false">IF(M836="Abs",O836,0)</f>
        <v>0</v>
      </c>
      <c r="S836" s="8" t="n">
        <f aca="false">SUM(R836,L836,I836,J836,W836,H836)</f>
        <v>0</v>
      </c>
      <c r="T836" s="6" t="str">
        <f aca="false">"Sem - "&amp;WEEKNUM(Q836,21)</f>
        <v>Sem - 28</v>
      </c>
      <c r="U836" s="6" t="str">
        <f aca="false">CHOOSE(MONTH(Q836),"Janvier","Février","Mars","Avril","Mai","Juin","Juillet","Août","Septembre","Octobre","Novembre","Décembre")</f>
        <v>Juillet</v>
      </c>
      <c r="V836" s="22" t="n">
        <f aca="false">YEAR(Q836)</f>
        <v>2026</v>
      </c>
      <c r="W836" s="20"/>
      <c r="X836" s="8" t="n">
        <f aca="false">IFERROR(IF(M836="Abs",0,IF(ROUND((D836-C836+E836-F836)*1440,0)&lt;=1,0,D836-C836+E836-F836)),0)</f>
        <v>0.00277777777777778</v>
      </c>
      <c r="Y836" s="6" t="str">
        <f aca="false">IFERROR(VLOOKUP($B836,Agents!$A:$D,3,0),"-")</f>
        <v>OUBRAHIM Mohammed</v>
      </c>
      <c r="Z836" s="6" t="str">
        <f aca="false">IFERROR(VLOOKUP($B836,Agents!$A:$D,4,0),"-")</f>
        <v>Credit Mutuel</v>
      </c>
      <c r="AA836" s="18" t="s">
        <v>110</v>
      </c>
      <c r="AB836" s="8" t="str">
        <f aca="false">IF(AND(D836="Congé",F836="Congé"),0.333333333333333,IF(OR(AND(D836="Congé",F836&lt;&gt;"Congé"),(AND(F836="Congé",D836&lt;&gt;"Congé"))),0.166666666666667,""))</f>
        <v/>
      </c>
      <c r="AC836" s="8" t="str">
        <f aca="false">IF(AND(D836="Congé sans solde",F836="Congé sans solde"),0.333333333333333,IF(OR(AND(D836="Congé sans solde",F836&lt;&gt;"Congé sans solde"),(AND(F836="Congé sans solde",D836&lt;&gt;"Congé sans solde"))),0.166666666666667,""))</f>
        <v/>
      </c>
      <c r="AD836" s="8" t="str">
        <f aca="false">IF(AND(D836="Congé spécial",F836="Congé spécial"),0.333333333333333,IF(OR(AND(D836="Congé spécial",F836&lt;&gt;"Congé spécial"),AND(F836="Congé spécial",D836&lt;&gt;"Congé spécial")),0.166666666666667,""))</f>
        <v/>
      </c>
      <c r="AE836" s="8" t="str">
        <f aca="false">IF(AND(D836="Férié",F836="Férié"),0.333333333333333,IF(OR(AND(D836="Férié",F836&lt;&gt;"Férié"),(AND(F836="Férié",D836&lt;&gt;"Férié"))),0.166666666666667,""))</f>
        <v/>
      </c>
      <c r="AF836" s="18"/>
      <c r="AG836" s="18"/>
    </row>
    <row r="837" customFormat="false" ht="15" hidden="false" customHeight="false" outlineLevel="0" collapsed="false">
      <c r="A837" s="6" t="str">
        <f aca="false">YEAR(Q837-WEEKDAY(Q837,2)+4)&amp;"-S"&amp;TEXT(WEEKNUM(Q837,21),"00")</f>
        <v>2026-S28</v>
      </c>
      <c r="B837" s="18" t="s">
        <v>73</v>
      </c>
      <c r="C837" s="19" t="n">
        <v>0.333333333333333</v>
      </c>
      <c r="D837" s="19" t="n">
        <v>0.333333333333333</v>
      </c>
      <c r="E837" s="19" t="n">
        <v>0.75</v>
      </c>
      <c r="F837" s="19" t="n">
        <v>0.75</v>
      </c>
      <c r="G837" s="20"/>
      <c r="H837" s="20"/>
      <c r="I837" s="8" t="str">
        <f aca="false">IF(IF(OR(C837="",D837="Congé",D837="OFF",D837="Congé spécial"),"",IF(D837&gt;F837,D837-C837,IF(C837-D837&lt;0,0,C837-D837)))&lt;0.00068287037037037,"",IF(OR(D837="Congé",D837="OFF",C837="",D837="Congé spécial"),"",IF(D837&gt;F837,D837-C837,IF(C837-D837&lt;0,0,C837-D837))))</f>
        <v/>
      </c>
      <c r="J837" s="20"/>
      <c r="K837" s="8" t="n">
        <f aca="false">IF(SUM(H837:J837)&lt;0.00068287037037037,0,SUM(H837:J837))</f>
        <v>0</v>
      </c>
      <c r="L837" s="8" t="n">
        <f aca="false">IF(OR(F837="Congé",F837="OFF",M837="Abs",F837="Congé sans solde",F837="Férié",F837="Congé spécial",D837="Congé spécial"),0,IF(F837-E837&lt;0,0,IF(F837-E837&lt;=0.00068287037037037,0,F837-E837)))</f>
        <v>0</v>
      </c>
      <c r="M837" s="6" t="n">
        <f aca="false">IF(AND(O837&lt;&gt;0,C837=""),"Abs",0)</f>
        <v>0</v>
      </c>
      <c r="N837" s="8" t="n">
        <f aca="false">IFERROR(IF(OR(D837="OFF",D837="Congé",M837="Abs",D837="Congé sans solde",D837="Férié"),"",IF(O837-K837-L837&gt;O837,O837,IF(O837-K837-L837&lt;0,"",O837-K837-L837))),"")</f>
        <v>0.375</v>
      </c>
      <c r="O837" s="8" t="n">
        <f aca="false">IF(AG837="2H Pause déjeuner",IF(F837-D837-0.0833333333333333&lt;0,F837-D837-0.0833333333333333+1,F837-D837-0.0833333333333333),IF(OR(AND(F837="OFF",D837="OFF"),AND(F837="Congé",D837="Congé"),AND(F837="Congé sans solde",D837="Congé sans solde"),AND(F837="Congé spécial",D837="Congé spécial"),AND(F837="Férié",D837="Férié"),AND(F837="OFF",D837="Congé"),AND(F837="OFF",D837="Congé sans solde"),AND(F837="OFF",D837="Congé spécial"),AND(F837="OFF",D837="Férié"),AND(F837="Congé",D837="OFF"),AND(F837="Congé",D837="Congé sans solde"),AND(F837="Congé",D837="Congé spécial"),AND(F837="Congé",D837="Férié"),AND(F837="Congé sans solde",D837="OFF"),AND(F837="Congé sans solde",D837="Congé"),AND(F837="Congé sans solde",D837="Congé spécial"),AND(F837="Congé sans solde",D837="Férié"),AND(F837="Congé spécial",D837="OFF"),AND(F837="Congé spécial",D837="Congé"),AND(F837="Congé spécial",D837="Congé sans solde"),AND(F837="Congé spécial",D837="Férié"),AND(F837="Férié",D837="OFF"),AND(F837="Férié",D837="Congé"),AND(F837="Férié",D837="Congé sans solde"),AND(F837="Férié",D837="Congé spécial")),0,IF(OR(F837="OFF",F837="Congé",F837="Congé spécial",F837="Congé sans solde",D837="OFF",D837="Congé",D837="Congé spécial",D837="Congé sans solde"),0.208333333333334,IF(AND(AG837="",F837-D837&lt;0),("24:00:00"-D837)+("00:00:00"+F837)-0.0416666666666667,IF(AND(OR(AG837="Allaitement",AG837="Sans déjeuner"),F837-D837&lt;0),("24:00:00"-D837)+("00:00:00"+F837),IF(AND(AG837="",F837-D837&gt;0.166666666666667),F837-D837-0.0416666666666667,IF(AND(OR(AG837="Allaitement",AG837="Sans déjeuner"),F837-D837&gt;0.166666666666667),F837-D837,F837-D837)))))))</f>
        <v>0.375</v>
      </c>
      <c r="P837" s="6" t="str">
        <f aca="false">IFERROR(VLOOKUP($B837,Agents!$A:$D,2,0),"-")</f>
        <v>Accessibilité</v>
      </c>
      <c r="Q837" s="21" t="n">
        <v>46209</v>
      </c>
      <c r="R837" s="8" t="n">
        <f aca="false">IF(M837="Abs",O837,0)</f>
        <v>0</v>
      </c>
      <c r="S837" s="8" t="n">
        <f aca="false">SUM(R837,L837,I837,J837,W837,H837)</f>
        <v>0</v>
      </c>
      <c r="T837" s="6" t="str">
        <f aca="false">"Sem - "&amp;WEEKNUM(Q837,21)</f>
        <v>Sem - 28</v>
      </c>
      <c r="U837" s="6" t="str">
        <f aca="false">CHOOSE(MONTH(Q837),"Janvier","Février","Mars","Avril","Mai","Juin","Juillet","Août","Septembre","Octobre","Novembre","Décembre")</f>
        <v>Juillet</v>
      </c>
      <c r="V837" s="22" t="n">
        <f aca="false">YEAR(Q837)</f>
        <v>2026</v>
      </c>
      <c r="W837" s="20"/>
      <c r="X837" s="8" t="n">
        <f aca="false">IFERROR(IF(M837="Abs",0,IF(ROUND((D837-C837+E837-F837)*1440,0)&lt;=1,0,D837-C837+E837-F837)),0)</f>
        <v>0</v>
      </c>
      <c r="Y837" s="6" t="str">
        <f aca="false">IFERROR(VLOOKUP($B837,Agents!$A:$D,3,0),"-")</f>
        <v>OUBRAHIM Mohammed</v>
      </c>
      <c r="Z837" s="6" t="str">
        <f aca="false">IFERROR(VLOOKUP($B837,Agents!$A:$D,4,0),"-")</f>
        <v>Credit Mutuel</v>
      </c>
      <c r="AA837" s="18" t="s">
        <v>110</v>
      </c>
      <c r="AB837" s="8" t="str">
        <f aca="false">IF(AND(D837="Congé",F837="Congé"),0.333333333333333,IF(OR(AND(D837="Congé",F837&lt;&gt;"Congé"),(AND(F837="Congé",D837&lt;&gt;"Congé"))),0.166666666666667,""))</f>
        <v/>
      </c>
      <c r="AC837" s="8" t="str">
        <f aca="false">IF(AND(D837="Congé sans solde",F837="Congé sans solde"),0.333333333333333,IF(OR(AND(D837="Congé sans solde",F837&lt;&gt;"Congé sans solde"),(AND(F837="Congé sans solde",D837&lt;&gt;"Congé sans solde"))),0.166666666666667,""))</f>
        <v/>
      </c>
      <c r="AD837" s="8" t="str">
        <f aca="false">IF(AND(D837="Congé spécial",F837="Congé spécial"),0.333333333333333,IF(OR(AND(D837="Congé spécial",F837&lt;&gt;"Congé spécial"),AND(F837="Congé spécial",D837&lt;&gt;"Congé spécial")),0.166666666666667,""))</f>
        <v/>
      </c>
      <c r="AE837" s="8" t="str">
        <f aca="false">IF(AND(D837="Férié",F837="Férié"),0.333333333333333,IF(OR(AND(D837="Férié",F837&lt;&gt;"Férié"),(AND(F837="Férié",D837&lt;&gt;"Férié"))),0.166666666666667,""))</f>
        <v/>
      </c>
      <c r="AF837" s="18"/>
      <c r="AG837" s="18"/>
    </row>
    <row r="838" customFormat="false" ht="15" hidden="false" customHeight="false" outlineLevel="0" collapsed="false">
      <c r="A838" s="6" t="str">
        <f aca="false">YEAR(Q838-WEEKDAY(Q838,2)+4)&amp;"-S"&amp;TEXT(WEEKNUM(Q838,21),"00")</f>
        <v>2026-S28</v>
      </c>
      <c r="B838" s="18" t="s">
        <v>71</v>
      </c>
      <c r="C838" s="19" t="n">
        <v>0.333333333333333</v>
      </c>
      <c r="D838" s="19" t="n">
        <v>0.333333333333333</v>
      </c>
      <c r="E838" s="19" t="n">
        <v>0.75</v>
      </c>
      <c r="F838" s="19" t="n">
        <v>0.75</v>
      </c>
      <c r="G838" s="20"/>
      <c r="H838" s="20"/>
      <c r="I838" s="8" t="str">
        <f aca="false">IF(IF(OR(C838="",D838="Congé",D838="OFF",D838="Congé spécial"),"",IF(D838&gt;F838,D838-C838,IF(C838-D838&lt;0,0,C838-D838)))&lt;0.00068287037037037,"",IF(OR(D838="Congé",D838="OFF",C838="",D838="Congé spécial"),"",IF(D838&gt;F838,D838-C838,IF(C838-D838&lt;0,0,C838-D838))))</f>
        <v/>
      </c>
      <c r="J838" s="20"/>
      <c r="K838" s="8" t="n">
        <f aca="false">IF(SUM(H838:J838)&lt;0.00068287037037037,0,SUM(H838:J838))</f>
        <v>0</v>
      </c>
      <c r="L838" s="8" t="n">
        <f aca="false">IF(OR(F838="Congé",F838="OFF",M838="Abs",F838="Congé sans solde",F838="Férié",F838="Congé spécial",D838="Congé spécial"),0,IF(F838-E838&lt;0,0,IF(F838-E838&lt;=0.00068287037037037,0,F838-E838)))</f>
        <v>0</v>
      </c>
      <c r="M838" s="6" t="n">
        <f aca="false">IF(AND(O838&lt;&gt;0,C838=""),"Abs",0)</f>
        <v>0</v>
      </c>
      <c r="N838" s="8" t="n">
        <f aca="false">IFERROR(IF(OR(D838="OFF",D838="Congé",M838="Abs",D838="Congé sans solde",D838="Férié"),"",IF(O838-K838-L838&gt;O838,O838,IF(O838-K838-L838&lt;0,"",O838-K838-L838))),"")</f>
        <v>0.375</v>
      </c>
      <c r="O838" s="8" t="n">
        <f aca="false">IF(AG838="2H Pause déjeuner",IF(F838-D838-0.0833333333333333&lt;0,F838-D838-0.0833333333333333+1,F838-D838-0.0833333333333333),IF(OR(AND(F838="OFF",D838="OFF"),AND(F838="Congé",D838="Congé"),AND(F838="Congé sans solde",D838="Congé sans solde"),AND(F838="Congé spécial",D838="Congé spécial"),AND(F838="Férié",D838="Férié"),AND(F838="OFF",D838="Congé"),AND(F838="OFF",D838="Congé sans solde"),AND(F838="OFF",D838="Congé spécial"),AND(F838="OFF",D838="Férié"),AND(F838="Congé",D838="OFF"),AND(F838="Congé",D838="Congé sans solde"),AND(F838="Congé",D838="Congé spécial"),AND(F838="Congé",D838="Férié"),AND(F838="Congé sans solde",D838="OFF"),AND(F838="Congé sans solde",D838="Congé"),AND(F838="Congé sans solde",D838="Congé spécial"),AND(F838="Congé sans solde",D838="Férié"),AND(F838="Congé spécial",D838="OFF"),AND(F838="Congé spécial",D838="Congé"),AND(F838="Congé spécial",D838="Congé sans solde"),AND(F838="Congé spécial",D838="Férié"),AND(F838="Férié",D838="OFF"),AND(F838="Férié",D838="Congé"),AND(F838="Férié",D838="Congé sans solde"),AND(F838="Férié",D838="Congé spécial")),0,IF(OR(F838="OFF",F838="Congé",F838="Congé spécial",F838="Congé sans solde",D838="OFF",D838="Congé",D838="Congé spécial",D838="Congé sans solde"),0.208333333333334,IF(AND(AG838="",F838-D838&lt;0),("24:00:00"-D838)+("00:00:00"+F838)-0.0416666666666667,IF(AND(OR(AG838="Allaitement",AG838="Sans déjeuner"),F838-D838&lt;0),("24:00:00"-D838)+("00:00:00"+F838),IF(AND(AG838="",F838-D838&gt;0.166666666666667),F838-D838-0.0416666666666667,IF(AND(OR(AG838="Allaitement",AG838="Sans déjeuner"),F838-D838&gt;0.166666666666667),F838-D838,F838-D838)))))))</f>
        <v>0.375</v>
      </c>
      <c r="P838" s="6" t="str">
        <f aca="false">IFERROR(VLOOKUP($B838,Agents!$A:$D,2,0),"-")</f>
        <v>Accessibilité</v>
      </c>
      <c r="Q838" s="21" t="n">
        <v>46210</v>
      </c>
      <c r="R838" s="8" t="n">
        <f aca="false">IF(M838="Abs",O838,0)</f>
        <v>0</v>
      </c>
      <c r="S838" s="8" t="n">
        <f aca="false">SUM(R838,L838,I838,J838,W838,H838)</f>
        <v>0</v>
      </c>
      <c r="T838" s="6" t="str">
        <f aca="false">"Sem - "&amp;WEEKNUM(Q838,21)</f>
        <v>Sem - 28</v>
      </c>
      <c r="U838" s="6" t="str">
        <f aca="false">CHOOSE(MONTH(Q838),"Janvier","Février","Mars","Avril","Mai","Juin","Juillet","Août","Septembre","Octobre","Novembre","Décembre")</f>
        <v>Juillet</v>
      </c>
      <c r="V838" s="22" t="n">
        <f aca="false">YEAR(Q838)</f>
        <v>2026</v>
      </c>
      <c r="W838" s="20"/>
      <c r="X838" s="8" t="n">
        <f aca="false">IFERROR(IF(M838="Abs",0,IF(ROUND((D838-C838+E838-F838)*1440,0)&lt;=1,0,D838-C838+E838-F838)),0)</f>
        <v>0</v>
      </c>
      <c r="Y838" s="6" t="str">
        <f aca="false">IFERROR(VLOOKUP($B838,Agents!$A:$D,3,0),"-")</f>
        <v>OUBRAHIM Mohammed</v>
      </c>
      <c r="Z838" s="6" t="str">
        <f aca="false">IFERROR(VLOOKUP($B838,Agents!$A:$D,4,0),"-")</f>
        <v>Credit Mutuel</v>
      </c>
      <c r="AA838" s="18" t="s">
        <v>110</v>
      </c>
      <c r="AB838" s="8" t="str">
        <f aca="false">IF(AND(D838="Congé",F838="Congé"),0.333333333333333,IF(OR(AND(D838="Congé",F838&lt;&gt;"Congé"),(AND(F838="Congé",D838&lt;&gt;"Congé"))),0.166666666666667,""))</f>
        <v/>
      </c>
      <c r="AC838" s="8" t="str">
        <f aca="false">IF(AND(D838="Congé sans solde",F838="Congé sans solde"),0.333333333333333,IF(OR(AND(D838="Congé sans solde",F838&lt;&gt;"Congé sans solde"),(AND(F838="Congé sans solde",D838&lt;&gt;"Congé sans solde"))),0.166666666666667,""))</f>
        <v/>
      </c>
      <c r="AD838" s="8" t="str">
        <f aca="false">IF(AND(D838="Congé spécial",F838="Congé spécial"),0.333333333333333,IF(OR(AND(D838="Congé spécial",F838&lt;&gt;"Congé spécial"),AND(F838="Congé spécial",D838&lt;&gt;"Congé spécial")),0.166666666666667,""))</f>
        <v/>
      </c>
      <c r="AE838" s="8" t="str">
        <f aca="false">IF(AND(D838="Férié",F838="Férié"),0.333333333333333,IF(OR(AND(D838="Férié",F838&lt;&gt;"Férié"),(AND(F838="Férié",D838&lt;&gt;"Férié"))),0.166666666666667,""))</f>
        <v/>
      </c>
      <c r="AF838" s="18"/>
      <c r="AG838" s="18"/>
    </row>
    <row r="839" customFormat="false" ht="15" hidden="false" customHeight="false" outlineLevel="0" collapsed="false">
      <c r="A839" s="6" t="str">
        <f aca="false">YEAR(Q839-WEEKDAY(Q839,2)+4)&amp;"-S"&amp;TEXT(WEEKNUM(Q839,21),"00")</f>
        <v>2026-S28</v>
      </c>
      <c r="B839" s="18" t="s">
        <v>72</v>
      </c>
      <c r="C839" s="19" t="n">
        <v>0.333333333333333</v>
      </c>
      <c r="D839" s="19" t="n">
        <v>0.333333333333333</v>
      </c>
      <c r="E839" s="19" t="n">
        <v>0.75</v>
      </c>
      <c r="F839" s="19" t="n">
        <v>0.75</v>
      </c>
      <c r="G839" s="20"/>
      <c r="H839" s="20"/>
      <c r="I839" s="8" t="str">
        <f aca="false">IF(IF(OR(C839="",D839="Congé",D839="OFF",D839="Congé spécial"),"",IF(D839&gt;F839,D839-C839,IF(C839-D839&lt;0,0,C839-D839)))&lt;0.00068287037037037,"",IF(OR(D839="Congé",D839="OFF",C839="",D839="Congé spécial"),"",IF(D839&gt;F839,D839-C839,IF(C839-D839&lt;0,0,C839-D839))))</f>
        <v/>
      </c>
      <c r="J839" s="20"/>
      <c r="K839" s="8" t="n">
        <f aca="false">IF(SUM(H839:J839)&lt;0.00068287037037037,0,SUM(H839:J839))</f>
        <v>0</v>
      </c>
      <c r="L839" s="8" t="n">
        <f aca="false">IF(OR(F839="Congé",F839="OFF",M839="Abs",F839="Congé sans solde",F839="Férié",F839="Congé spécial",D839="Congé spécial"),0,IF(F839-E839&lt;0,0,IF(F839-E839&lt;=0.00068287037037037,0,F839-E839)))</f>
        <v>0</v>
      </c>
      <c r="M839" s="6" t="n">
        <f aca="false">IF(AND(O839&lt;&gt;0,C839=""),"Abs",0)</f>
        <v>0</v>
      </c>
      <c r="N839" s="8" t="n">
        <f aca="false">IFERROR(IF(OR(D839="OFF",D839="Congé",M839="Abs",D839="Congé sans solde",D839="Férié"),"",IF(O839-K839-L839&gt;O839,O839,IF(O839-K839-L839&lt;0,"",O839-K839-L839))),"")</f>
        <v>0.375</v>
      </c>
      <c r="O839" s="8" t="n">
        <f aca="false">IF(AG839="2H Pause déjeuner",IF(F839-D839-0.0833333333333333&lt;0,F839-D839-0.0833333333333333+1,F839-D839-0.0833333333333333),IF(OR(AND(F839="OFF",D839="OFF"),AND(F839="Congé",D839="Congé"),AND(F839="Congé sans solde",D839="Congé sans solde"),AND(F839="Congé spécial",D839="Congé spécial"),AND(F839="Férié",D839="Férié"),AND(F839="OFF",D839="Congé"),AND(F839="OFF",D839="Congé sans solde"),AND(F839="OFF",D839="Congé spécial"),AND(F839="OFF",D839="Férié"),AND(F839="Congé",D839="OFF"),AND(F839="Congé",D839="Congé sans solde"),AND(F839="Congé",D839="Congé spécial"),AND(F839="Congé",D839="Férié"),AND(F839="Congé sans solde",D839="OFF"),AND(F839="Congé sans solde",D839="Congé"),AND(F839="Congé sans solde",D839="Congé spécial"),AND(F839="Congé sans solde",D839="Férié"),AND(F839="Congé spécial",D839="OFF"),AND(F839="Congé spécial",D839="Congé"),AND(F839="Congé spécial",D839="Congé sans solde"),AND(F839="Congé spécial",D839="Férié"),AND(F839="Férié",D839="OFF"),AND(F839="Férié",D839="Congé"),AND(F839="Férié",D839="Congé sans solde"),AND(F839="Férié",D839="Congé spécial")),0,IF(OR(F839="OFF",F839="Congé",F839="Congé spécial",F839="Congé sans solde",D839="OFF",D839="Congé",D839="Congé spécial",D839="Congé sans solde"),0.208333333333334,IF(AND(AG839="",F839-D839&lt;0),("24:00:00"-D839)+("00:00:00"+F839)-0.0416666666666667,IF(AND(OR(AG839="Allaitement",AG839="Sans déjeuner"),F839-D839&lt;0),("24:00:00"-D839)+("00:00:00"+F839),IF(AND(AG839="",F839-D839&gt;0.166666666666667),F839-D839-0.0416666666666667,IF(AND(OR(AG839="Allaitement",AG839="Sans déjeuner"),F839-D839&gt;0.166666666666667),F839-D839,F839-D839)))))))</f>
        <v>0.375</v>
      </c>
      <c r="P839" s="6" t="str">
        <f aca="false">IFERROR(VLOOKUP($B839,Agents!$A:$D,2,0),"-")</f>
        <v>Accessibilité</v>
      </c>
      <c r="Q839" s="21" t="n">
        <v>46210</v>
      </c>
      <c r="R839" s="8" t="n">
        <f aca="false">IF(M839="Abs",O839,0)</f>
        <v>0</v>
      </c>
      <c r="S839" s="8" t="n">
        <f aca="false">SUM(R839,L839,I839,J839,W839,H839)</f>
        <v>0</v>
      </c>
      <c r="T839" s="6" t="str">
        <f aca="false">"Sem - "&amp;WEEKNUM(Q839,21)</f>
        <v>Sem - 28</v>
      </c>
      <c r="U839" s="6" t="str">
        <f aca="false">CHOOSE(MONTH(Q839),"Janvier","Février","Mars","Avril","Mai","Juin","Juillet","Août","Septembre","Octobre","Novembre","Décembre")</f>
        <v>Juillet</v>
      </c>
      <c r="V839" s="22" t="n">
        <f aca="false">YEAR(Q839)</f>
        <v>2026</v>
      </c>
      <c r="W839" s="20"/>
      <c r="X839" s="8" t="n">
        <f aca="false">IFERROR(IF(M839="Abs",0,IF(ROUND((D839-C839+E839-F839)*1440,0)&lt;=1,0,D839-C839+E839-F839)),0)</f>
        <v>0</v>
      </c>
      <c r="Y839" s="6" t="str">
        <f aca="false">IFERROR(VLOOKUP($B839,Agents!$A:$D,3,0),"-")</f>
        <v>OUBRAHIM Mohammed</v>
      </c>
      <c r="Z839" s="6" t="str">
        <f aca="false">IFERROR(VLOOKUP($B839,Agents!$A:$D,4,0),"-")</f>
        <v>Credit Mutuel</v>
      </c>
      <c r="AA839" s="18" t="s">
        <v>110</v>
      </c>
      <c r="AB839" s="8" t="str">
        <f aca="false">IF(AND(D839="Congé",F839="Congé"),0.333333333333333,IF(OR(AND(D839="Congé",F839&lt;&gt;"Congé"),(AND(F839="Congé",D839&lt;&gt;"Congé"))),0.166666666666667,""))</f>
        <v/>
      </c>
      <c r="AC839" s="8" t="str">
        <f aca="false">IF(AND(D839="Congé sans solde",F839="Congé sans solde"),0.333333333333333,IF(OR(AND(D839="Congé sans solde",F839&lt;&gt;"Congé sans solde"),(AND(F839="Congé sans solde",D839&lt;&gt;"Congé sans solde"))),0.166666666666667,""))</f>
        <v/>
      </c>
      <c r="AD839" s="8" t="str">
        <f aca="false">IF(AND(D839="Congé spécial",F839="Congé spécial"),0.333333333333333,IF(OR(AND(D839="Congé spécial",F839&lt;&gt;"Congé spécial"),AND(F839="Congé spécial",D839&lt;&gt;"Congé spécial")),0.166666666666667,""))</f>
        <v/>
      </c>
      <c r="AE839" s="8" t="str">
        <f aca="false">IF(AND(D839="Férié",F839="Férié"),0.333333333333333,IF(OR(AND(D839="Férié",F839&lt;&gt;"Férié"),(AND(F839="Férié",D839&lt;&gt;"Férié"))),0.166666666666667,""))</f>
        <v/>
      </c>
      <c r="AF839" s="18"/>
      <c r="AG839" s="18"/>
    </row>
    <row r="840" customFormat="false" ht="15" hidden="false" customHeight="false" outlineLevel="0" collapsed="false">
      <c r="A840" s="6" t="str">
        <f aca="false">YEAR(Q840-WEEKDAY(Q840,2)+4)&amp;"-S"&amp;TEXT(WEEKNUM(Q840,21),"00")</f>
        <v>2026-S28</v>
      </c>
      <c r="B840" s="18" t="s">
        <v>73</v>
      </c>
      <c r="C840" s="19" t="n">
        <v>0.333333333333333</v>
      </c>
      <c r="D840" s="19" t="n">
        <v>0.333333333333333</v>
      </c>
      <c r="E840" s="19" t="n">
        <v>0.75</v>
      </c>
      <c r="F840" s="19" t="n">
        <v>0.75</v>
      </c>
      <c r="G840" s="20"/>
      <c r="H840" s="20"/>
      <c r="I840" s="8" t="str">
        <f aca="false">IF(IF(OR(C840="",D840="Congé",D840="OFF",D840="Congé spécial"),"",IF(D840&gt;F840,D840-C840,IF(C840-D840&lt;0,0,C840-D840)))&lt;0.00068287037037037,"",IF(OR(D840="Congé",D840="OFF",C840="",D840="Congé spécial"),"",IF(D840&gt;F840,D840-C840,IF(C840-D840&lt;0,0,C840-D840))))</f>
        <v/>
      </c>
      <c r="J840" s="20"/>
      <c r="K840" s="8" t="n">
        <f aca="false">IF(SUM(H840:J840)&lt;0.00068287037037037,0,SUM(H840:J840))</f>
        <v>0</v>
      </c>
      <c r="L840" s="8" t="n">
        <f aca="false">IF(OR(F840="Congé",F840="OFF",M840="Abs",F840="Congé sans solde",F840="Férié",F840="Congé spécial",D840="Congé spécial"),0,IF(F840-E840&lt;0,0,IF(F840-E840&lt;=0.00068287037037037,0,F840-E840)))</f>
        <v>0</v>
      </c>
      <c r="M840" s="6" t="n">
        <f aca="false">IF(AND(O840&lt;&gt;0,C840=""),"Abs",0)</f>
        <v>0</v>
      </c>
      <c r="N840" s="8" t="n">
        <f aca="false">IFERROR(IF(OR(D840="OFF",D840="Congé",M840="Abs",D840="Congé sans solde",D840="Férié"),"",IF(O840-K840-L840&gt;O840,O840,IF(O840-K840-L840&lt;0,"",O840-K840-L840))),"")</f>
        <v>0.375</v>
      </c>
      <c r="O840" s="8" t="n">
        <f aca="false">IF(AG840="2H Pause déjeuner",IF(F840-D840-0.0833333333333333&lt;0,F840-D840-0.0833333333333333+1,F840-D840-0.0833333333333333),IF(OR(AND(F840="OFF",D840="OFF"),AND(F840="Congé",D840="Congé"),AND(F840="Congé sans solde",D840="Congé sans solde"),AND(F840="Congé spécial",D840="Congé spécial"),AND(F840="Férié",D840="Férié"),AND(F840="OFF",D840="Congé"),AND(F840="OFF",D840="Congé sans solde"),AND(F840="OFF",D840="Congé spécial"),AND(F840="OFF",D840="Férié"),AND(F840="Congé",D840="OFF"),AND(F840="Congé",D840="Congé sans solde"),AND(F840="Congé",D840="Congé spécial"),AND(F840="Congé",D840="Férié"),AND(F840="Congé sans solde",D840="OFF"),AND(F840="Congé sans solde",D840="Congé"),AND(F840="Congé sans solde",D840="Congé spécial"),AND(F840="Congé sans solde",D840="Férié"),AND(F840="Congé spécial",D840="OFF"),AND(F840="Congé spécial",D840="Congé"),AND(F840="Congé spécial",D840="Congé sans solde"),AND(F840="Congé spécial",D840="Férié"),AND(F840="Férié",D840="OFF"),AND(F840="Férié",D840="Congé"),AND(F840="Férié",D840="Congé sans solde"),AND(F840="Férié",D840="Congé spécial")),0,IF(OR(F840="OFF",F840="Congé",F840="Congé spécial",F840="Congé sans solde",D840="OFF",D840="Congé",D840="Congé spécial",D840="Congé sans solde"),0.208333333333334,IF(AND(AG840="",F840-D840&lt;0),("24:00:00"-D840)+("00:00:00"+F840)-0.0416666666666667,IF(AND(OR(AG840="Allaitement",AG840="Sans déjeuner"),F840-D840&lt;0),("24:00:00"-D840)+("00:00:00"+F840),IF(AND(AG840="",F840-D840&gt;0.166666666666667),F840-D840-0.0416666666666667,IF(AND(OR(AG840="Allaitement",AG840="Sans déjeuner"),F840-D840&gt;0.166666666666667),F840-D840,F840-D840)))))))</f>
        <v>0.375</v>
      </c>
      <c r="P840" s="6" t="str">
        <f aca="false">IFERROR(VLOOKUP($B840,Agents!$A:$D,2,0),"-")</f>
        <v>Accessibilité</v>
      </c>
      <c r="Q840" s="21" t="n">
        <v>46210</v>
      </c>
      <c r="R840" s="8" t="n">
        <f aca="false">IF(M840="Abs",O840,0)</f>
        <v>0</v>
      </c>
      <c r="S840" s="8" t="n">
        <f aca="false">SUM(R840,L840,I840,J840,W840,H840)</f>
        <v>0</v>
      </c>
      <c r="T840" s="6" t="str">
        <f aca="false">"Sem - "&amp;WEEKNUM(Q840,21)</f>
        <v>Sem - 28</v>
      </c>
      <c r="U840" s="6" t="str">
        <f aca="false">CHOOSE(MONTH(Q840),"Janvier","Février","Mars","Avril","Mai","Juin","Juillet","Août","Septembre","Octobre","Novembre","Décembre")</f>
        <v>Juillet</v>
      </c>
      <c r="V840" s="22" t="n">
        <f aca="false">YEAR(Q840)</f>
        <v>2026</v>
      </c>
      <c r="W840" s="20"/>
      <c r="X840" s="8" t="n">
        <f aca="false">IFERROR(IF(M840="Abs",0,IF(ROUND((D840-C840+E840-F840)*1440,0)&lt;=1,0,D840-C840+E840-F840)),0)</f>
        <v>0</v>
      </c>
      <c r="Y840" s="6" t="str">
        <f aca="false">IFERROR(VLOOKUP($B840,Agents!$A:$D,3,0),"-")</f>
        <v>OUBRAHIM Mohammed</v>
      </c>
      <c r="Z840" s="6" t="str">
        <f aca="false">IFERROR(VLOOKUP($B840,Agents!$A:$D,4,0),"-")</f>
        <v>Credit Mutuel</v>
      </c>
      <c r="AA840" s="18" t="s">
        <v>110</v>
      </c>
      <c r="AB840" s="8" t="str">
        <f aca="false">IF(AND(D840="Congé",F840="Congé"),0.333333333333333,IF(OR(AND(D840="Congé",F840&lt;&gt;"Congé"),(AND(F840="Congé",D840&lt;&gt;"Congé"))),0.166666666666667,""))</f>
        <v/>
      </c>
      <c r="AC840" s="8" t="str">
        <f aca="false">IF(AND(D840="Congé sans solde",F840="Congé sans solde"),0.333333333333333,IF(OR(AND(D840="Congé sans solde",F840&lt;&gt;"Congé sans solde"),(AND(F840="Congé sans solde",D840&lt;&gt;"Congé sans solde"))),0.166666666666667,""))</f>
        <v/>
      </c>
      <c r="AD840" s="8" t="str">
        <f aca="false">IF(AND(D840="Congé spécial",F840="Congé spécial"),0.333333333333333,IF(OR(AND(D840="Congé spécial",F840&lt;&gt;"Congé spécial"),AND(F840="Congé spécial",D840&lt;&gt;"Congé spécial")),0.166666666666667,""))</f>
        <v/>
      </c>
      <c r="AE840" s="8" t="str">
        <f aca="false">IF(AND(D840="Férié",F840="Férié"),0.333333333333333,IF(OR(AND(D840="Férié",F840&lt;&gt;"Férié"),(AND(F840="Férié",D840&lt;&gt;"Férié"))),0.166666666666667,""))</f>
        <v/>
      </c>
      <c r="AF840" s="18"/>
      <c r="AG840" s="18"/>
    </row>
    <row r="841" customFormat="false" ht="15" hidden="false" customHeight="false" outlineLevel="0" collapsed="false">
      <c r="A841" s="6" t="str">
        <f aca="false">YEAR(Q841-WEEKDAY(Q841,2)+4)&amp;"-S"&amp;TEXT(WEEKNUM(Q841,21),"00")</f>
        <v>2026-S28</v>
      </c>
      <c r="B841" s="18" t="s">
        <v>71</v>
      </c>
      <c r="C841" s="19" t="n">
        <v>0.333333333333333</v>
      </c>
      <c r="D841" s="19" t="n">
        <v>0.333333333333333</v>
      </c>
      <c r="E841" s="19" t="n">
        <v>0.75</v>
      </c>
      <c r="F841" s="19" t="n">
        <v>0.75</v>
      </c>
      <c r="G841" s="20"/>
      <c r="H841" s="20"/>
      <c r="I841" s="8" t="str">
        <f aca="false">IF(IF(OR(C841="",D841="Congé",D841="OFF",D841="Congé spécial"),"",IF(D841&gt;F841,D841-C841,IF(C841-D841&lt;0,0,C841-D841)))&lt;0.00068287037037037,"",IF(OR(D841="Congé",D841="OFF",C841="",D841="Congé spécial"),"",IF(D841&gt;F841,D841-C841,IF(C841-D841&lt;0,0,C841-D841))))</f>
        <v/>
      </c>
      <c r="J841" s="20"/>
      <c r="K841" s="8" t="n">
        <f aca="false">IF(SUM(H841:J841)&lt;0.00068287037037037,0,SUM(H841:J841))</f>
        <v>0</v>
      </c>
      <c r="L841" s="8" t="n">
        <f aca="false">IF(OR(F841="Congé",F841="OFF",M841="Abs",F841="Congé sans solde",F841="Férié",F841="Congé spécial",D841="Congé spécial"),0,IF(F841-E841&lt;0,0,IF(F841-E841&lt;=0.00068287037037037,0,F841-E841)))</f>
        <v>0</v>
      </c>
      <c r="M841" s="6" t="n">
        <f aca="false">IF(AND(O841&lt;&gt;0,C841=""),"Abs",0)</f>
        <v>0</v>
      </c>
      <c r="N841" s="8" t="n">
        <f aca="false">IFERROR(IF(OR(D841="OFF",D841="Congé",M841="Abs",D841="Congé sans solde",D841="Férié"),"",IF(O841-K841-L841&gt;O841,O841,IF(O841-K841-L841&lt;0,"",O841-K841-L841))),"")</f>
        <v>0.375</v>
      </c>
      <c r="O841" s="8" t="n">
        <f aca="false">IF(AG841="2H Pause déjeuner",IF(F841-D841-0.0833333333333333&lt;0,F841-D841-0.0833333333333333+1,F841-D841-0.0833333333333333),IF(OR(AND(F841="OFF",D841="OFF"),AND(F841="Congé",D841="Congé"),AND(F841="Congé sans solde",D841="Congé sans solde"),AND(F841="Congé spécial",D841="Congé spécial"),AND(F841="Férié",D841="Férié"),AND(F841="OFF",D841="Congé"),AND(F841="OFF",D841="Congé sans solde"),AND(F841="OFF",D841="Congé spécial"),AND(F841="OFF",D841="Férié"),AND(F841="Congé",D841="OFF"),AND(F841="Congé",D841="Congé sans solde"),AND(F841="Congé",D841="Congé spécial"),AND(F841="Congé",D841="Férié"),AND(F841="Congé sans solde",D841="OFF"),AND(F841="Congé sans solde",D841="Congé"),AND(F841="Congé sans solde",D841="Congé spécial"),AND(F841="Congé sans solde",D841="Férié"),AND(F841="Congé spécial",D841="OFF"),AND(F841="Congé spécial",D841="Congé"),AND(F841="Congé spécial",D841="Congé sans solde"),AND(F841="Congé spécial",D841="Férié"),AND(F841="Férié",D841="OFF"),AND(F841="Férié",D841="Congé"),AND(F841="Férié",D841="Congé sans solde"),AND(F841="Férié",D841="Congé spécial")),0,IF(OR(F841="OFF",F841="Congé",F841="Congé spécial",F841="Congé sans solde",D841="OFF",D841="Congé",D841="Congé spécial",D841="Congé sans solde"),0.208333333333334,IF(AND(AG841="",F841-D841&lt;0),("24:00:00"-D841)+("00:00:00"+F841)-0.0416666666666667,IF(AND(OR(AG841="Allaitement",AG841="Sans déjeuner"),F841-D841&lt;0),("24:00:00"-D841)+("00:00:00"+F841),IF(AND(AG841="",F841-D841&gt;0.166666666666667),F841-D841-0.0416666666666667,IF(AND(OR(AG841="Allaitement",AG841="Sans déjeuner"),F841-D841&gt;0.166666666666667),F841-D841,F841-D841)))))))</f>
        <v>0.375</v>
      </c>
      <c r="P841" s="6" t="str">
        <f aca="false">IFERROR(VLOOKUP($B841,Agents!$A:$D,2,0),"-")</f>
        <v>Accessibilité</v>
      </c>
      <c r="Q841" s="21" t="n">
        <v>46211</v>
      </c>
      <c r="R841" s="8" t="n">
        <f aca="false">IF(M841="Abs",O841,0)</f>
        <v>0</v>
      </c>
      <c r="S841" s="8" t="n">
        <f aca="false">SUM(R841,L841,I841,J841,W841,H841)</f>
        <v>0</v>
      </c>
      <c r="T841" s="6" t="str">
        <f aca="false">"Sem - "&amp;WEEKNUM(Q841,21)</f>
        <v>Sem - 28</v>
      </c>
      <c r="U841" s="6" t="str">
        <f aca="false">CHOOSE(MONTH(Q841),"Janvier","Février","Mars","Avril","Mai","Juin","Juillet","Août","Septembre","Octobre","Novembre","Décembre")</f>
        <v>Juillet</v>
      </c>
      <c r="V841" s="22" t="n">
        <f aca="false">YEAR(Q841)</f>
        <v>2026</v>
      </c>
      <c r="W841" s="20"/>
      <c r="X841" s="8" t="n">
        <f aca="false">IFERROR(IF(M841="Abs",0,IF(ROUND((D841-C841+E841-F841)*1440,0)&lt;=1,0,D841-C841+E841-F841)),0)</f>
        <v>0</v>
      </c>
      <c r="Y841" s="6" t="str">
        <f aca="false">IFERROR(VLOOKUP($B841,Agents!$A:$D,3,0),"-")</f>
        <v>OUBRAHIM Mohammed</v>
      </c>
      <c r="Z841" s="6" t="str">
        <f aca="false">IFERROR(VLOOKUP($B841,Agents!$A:$D,4,0),"-")</f>
        <v>Credit Mutuel</v>
      </c>
      <c r="AA841" s="18" t="s">
        <v>110</v>
      </c>
      <c r="AB841" s="8" t="str">
        <f aca="false">IF(AND(D841="Congé",F841="Congé"),0.333333333333333,IF(OR(AND(D841="Congé",F841&lt;&gt;"Congé"),(AND(F841="Congé",D841&lt;&gt;"Congé"))),0.166666666666667,""))</f>
        <v/>
      </c>
      <c r="AC841" s="8" t="str">
        <f aca="false">IF(AND(D841="Congé sans solde",F841="Congé sans solde"),0.333333333333333,IF(OR(AND(D841="Congé sans solde",F841&lt;&gt;"Congé sans solde"),(AND(F841="Congé sans solde",D841&lt;&gt;"Congé sans solde"))),0.166666666666667,""))</f>
        <v/>
      </c>
      <c r="AD841" s="8" t="str">
        <f aca="false">IF(AND(D841="Congé spécial",F841="Congé spécial"),0.333333333333333,IF(OR(AND(D841="Congé spécial",F841&lt;&gt;"Congé spécial"),AND(F841="Congé spécial",D841&lt;&gt;"Congé spécial")),0.166666666666667,""))</f>
        <v/>
      </c>
      <c r="AE841" s="8" t="str">
        <f aca="false">IF(AND(D841="Férié",F841="Férié"),0.333333333333333,IF(OR(AND(D841="Férié",F841&lt;&gt;"Férié"),(AND(F841="Férié",D841&lt;&gt;"Férié"))),0.166666666666667,""))</f>
        <v/>
      </c>
      <c r="AF841" s="18"/>
      <c r="AG841" s="18"/>
    </row>
    <row r="842" customFormat="false" ht="15" hidden="false" customHeight="false" outlineLevel="0" collapsed="false">
      <c r="A842" s="6" t="str">
        <f aca="false">YEAR(Q842-WEEKDAY(Q842,2)+4)&amp;"-S"&amp;TEXT(WEEKNUM(Q842,21),"00")</f>
        <v>2026-S28</v>
      </c>
      <c r="B842" s="18" t="s">
        <v>72</v>
      </c>
      <c r="C842" s="19" t="n">
        <v>0.333333333333333</v>
      </c>
      <c r="D842" s="19" t="n">
        <v>0.333333333333333</v>
      </c>
      <c r="E842" s="19" t="n">
        <v>0.75</v>
      </c>
      <c r="F842" s="19" t="n">
        <v>0.75</v>
      </c>
      <c r="G842" s="20"/>
      <c r="H842" s="20"/>
      <c r="I842" s="8" t="str">
        <f aca="false">IF(IF(OR(C842="",D842="Congé",D842="OFF",D842="Congé spécial"),"",IF(D842&gt;F842,D842-C842,IF(C842-D842&lt;0,0,C842-D842)))&lt;0.00068287037037037,"",IF(OR(D842="Congé",D842="OFF",C842="",D842="Congé spécial"),"",IF(D842&gt;F842,D842-C842,IF(C842-D842&lt;0,0,C842-D842))))</f>
        <v/>
      </c>
      <c r="J842" s="20"/>
      <c r="K842" s="8" t="n">
        <f aca="false">IF(SUM(H842:J842)&lt;0.00068287037037037,0,SUM(H842:J842))</f>
        <v>0</v>
      </c>
      <c r="L842" s="8" t="n">
        <f aca="false">IF(OR(F842="Congé",F842="OFF",M842="Abs",F842="Congé sans solde",F842="Férié",F842="Congé spécial",D842="Congé spécial"),0,IF(F842-E842&lt;0,0,IF(F842-E842&lt;=0.00068287037037037,0,F842-E842)))</f>
        <v>0</v>
      </c>
      <c r="M842" s="6" t="n">
        <f aca="false">IF(AND(O842&lt;&gt;0,C842=""),"Abs",0)</f>
        <v>0</v>
      </c>
      <c r="N842" s="8" t="n">
        <f aca="false">IFERROR(IF(OR(D842="OFF",D842="Congé",M842="Abs",D842="Congé sans solde",D842="Férié"),"",IF(O842-K842-L842&gt;O842,O842,IF(O842-K842-L842&lt;0,"",O842-K842-L842))),"")</f>
        <v>0.375</v>
      </c>
      <c r="O842" s="8" t="n">
        <f aca="false">IF(AG842="2H Pause déjeuner",IF(F842-D842-0.0833333333333333&lt;0,F842-D842-0.0833333333333333+1,F842-D842-0.0833333333333333),IF(OR(AND(F842="OFF",D842="OFF"),AND(F842="Congé",D842="Congé"),AND(F842="Congé sans solde",D842="Congé sans solde"),AND(F842="Congé spécial",D842="Congé spécial"),AND(F842="Férié",D842="Férié"),AND(F842="OFF",D842="Congé"),AND(F842="OFF",D842="Congé sans solde"),AND(F842="OFF",D842="Congé spécial"),AND(F842="OFF",D842="Férié"),AND(F842="Congé",D842="OFF"),AND(F842="Congé",D842="Congé sans solde"),AND(F842="Congé",D842="Congé spécial"),AND(F842="Congé",D842="Férié"),AND(F842="Congé sans solde",D842="OFF"),AND(F842="Congé sans solde",D842="Congé"),AND(F842="Congé sans solde",D842="Congé spécial"),AND(F842="Congé sans solde",D842="Férié"),AND(F842="Congé spécial",D842="OFF"),AND(F842="Congé spécial",D842="Congé"),AND(F842="Congé spécial",D842="Congé sans solde"),AND(F842="Congé spécial",D842="Férié"),AND(F842="Férié",D842="OFF"),AND(F842="Férié",D842="Congé"),AND(F842="Férié",D842="Congé sans solde"),AND(F842="Férié",D842="Congé spécial")),0,IF(OR(F842="OFF",F842="Congé",F842="Congé spécial",F842="Congé sans solde",D842="OFF",D842="Congé",D842="Congé spécial",D842="Congé sans solde"),0.208333333333334,IF(AND(AG842="",F842-D842&lt;0),("24:00:00"-D842)+("00:00:00"+F842)-0.0416666666666667,IF(AND(OR(AG842="Allaitement",AG842="Sans déjeuner"),F842-D842&lt;0),("24:00:00"-D842)+("00:00:00"+F842),IF(AND(AG842="",F842-D842&gt;0.166666666666667),F842-D842-0.0416666666666667,IF(AND(OR(AG842="Allaitement",AG842="Sans déjeuner"),F842-D842&gt;0.166666666666667),F842-D842,F842-D842)))))))</f>
        <v>0.375</v>
      </c>
      <c r="P842" s="6" t="str">
        <f aca="false">IFERROR(VLOOKUP($B842,Agents!$A:$D,2,0),"-")</f>
        <v>Accessibilité</v>
      </c>
      <c r="Q842" s="21" t="n">
        <v>46211</v>
      </c>
      <c r="R842" s="8" t="n">
        <f aca="false">IF(M842="Abs",O842,0)</f>
        <v>0</v>
      </c>
      <c r="S842" s="8" t="n">
        <f aca="false">SUM(R842,L842,I842,J842,W842,H842)</f>
        <v>0</v>
      </c>
      <c r="T842" s="6" t="str">
        <f aca="false">"Sem - "&amp;WEEKNUM(Q842,21)</f>
        <v>Sem - 28</v>
      </c>
      <c r="U842" s="6" t="str">
        <f aca="false">CHOOSE(MONTH(Q842),"Janvier","Février","Mars","Avril","Mai","Juin","Juillet","Août","Septembre","Octobre","Novembre","Décembre")</f>
        <v>Juillet</v>
      </c>
      <c r="V842" s="22" t="n">
        <f aca="false">YEAR(Q842)</f>
        <v>2026</v>
      </c>
      <c r="W842" s="20"/>
      <c r="X842" s="8" t="n">
        <f aca="false">IFERROR(IF(M842="Abs",0,IF(ROUND((D842-C842+E842-F842)*1440,0)&lt;=1,0,D842-C842+E842-F842)),0)</f>
        <v>0</v>
      </c>
      <c r="Y842" s="6" t="str">
        <f aca="false">IFERROR(VLOOKUP($B842,Agents!$A:$D,3,0),"-")</f>
        <v>OUBRAHIM Mohammed</v>
      </c>
      <c r="Z842" s="6" t="str">
        <f aca="false">IFERROR(VLOOKUP($B842,Agents!$A:$D,4,0),"-")</f>
        <v>Credit Mutuel</v>
      </c>
      <c r="AA842" s="18" t="s">
        <v>110</v>
      </c>
      <c r="AB842" s="8" t="str">
        <f aca="false">IF(AND(D842="Congé",F842="Congé"),0.333333333333333,IF(OR(AND(D842="Congé",F842&lt;&gt;"Congé"),(AND(F842="Congé",D842&lt;&gt;"Congé"))),0.166666666666667,""))</f>
        <v/>
      </c>
      <c r="AC842" s="8" t="str">
        <f aca="false">IF(AND(D842="Congé sans solde",F842="Congé sans solde"),0.333333333333333,IF(OR(AND(D842="Congé sans solde",F842&lt;&gt;"Congé sans solde"),(AND(F842="Congé sans solde",D842&lt;&gt;"Congé sans solde"))),0.166666666666667,""))</f>
        <v/>
      </c>
      <c r="AD842" s="8" t="str">
        <f aca="false">IF(AND(D842="Congé spécial",F842="Congé spécial"),0.333333333333333,IF(OR(AND(D842="Congé spécial",F842&lt;&gt;"Congé spécial"),AND(F842="Congé spécial",D842&lt;&gt;"Congé spécial")),0.166666666666667,""))</f>
        <v/>
      </c>
      <c r="AE842" s="8" t="str">
        <f aca="false">IF(AND(D842="Férié",F842="Férié"),0.333333333333333,IF(OR(AND(D842="Férié",F842&lt;&gt;"Férié"),(AND(F842="Férié",D842&lt;&gt;"Férié"))),0.166666666666667,""))</f>
        <v/>
      </c>
      <c r="AF842" s="18"/>
      <c r="AG842" s="18"/>
    </row>
    <row r="843" customFormat="false" ht="15" hidden="false" customHeight="false" outlineLevel="0" collapsed="false">
      <c r="A843" s="6" t="str">
        <f aca="false">YEAR(Q843-WEEKDAY(Q843,2)+4)&amp;"-S"&amp;TEXT(WEEKNUM(Q843,21),"00")</f>
        <v>2026-S28</v>
      </c>
      <c r="B843" s="18" t="s">
        <v>73</v>
      </c>
      <c r="C843" s="19" t="n">
        <v>0.333333333333333</v>
      </c>
      <c r="D843" s="19" t="n">
        <v>0.333333333333333</v>
      </c>
      <c r="E843" s="19" t="n">
        <v>0.75</v>
      </c>
      <c r="F843" s="19" t="n">
        <v>0.75</v>
      </c>
      <c r="G843" s="20"/>
      <c r="H843" s="20"/>
      <c r="I843" s="8" t="str">
        <f aca="false">IF(IF(OR(C843="",D843="Congé",D843="OFF",D843="Congé spécial"),"",IF(D843&gt;F843,D843-C843,IF(C843-D843&lt;0,0,C843-D843)))&lt;0.00068287037037037,"",IF(OR(D843="Congé",D843="OFF",C843="",D843="Congé spécial"),"",IF(D843&gt;F843,D843-C843,IF(C843-D843&lt;0,0,C843-D843))))</f>
        <v/>
      </c>
      <c r="J843" s="20"/>
      <c r="K843" s="8" t="n">
        <f aca="false">IF(SUM(H843:J843)&lt;0.00068287037037037,0,SUM(H843:J843))</f>
        <v>0</v>
      </c>
      <c r="L843" s="8" t="n">
        <f aca="false">IF(OR(F843="Congé",F843="OFF",M843="Abs",F843="Congé sans solde",F843="Férié",F843="Congé spécial",D843="Congé spécial"),0,IF(F843-E843&lt;0,0,IF(F843-E843&lt;=0.00068287037037037,0,F843-E843)))</f>
        <v>0</v>
      </c>
      <c r="M843" s="6" t="n">
        <f aca="false">IF(AND(O843&lt;&gt;0,C843=""),"Abs",0)</f>
        <v>0</v>
      </c>
      <c r="N843" s="8" t="n">
        <f aca="false">IFERROR(IF(OR(D843="OFF",D843="Congé",M843="Abs",D843="Congé sans solde",D843="Férié"),"",IF(O843-K843-L843&gt;O843,O843,IF(O843-K843-L843&lt;0,"",O843-K843-L843))),"")</f>
        <v>0.375</v>
      </c>
      <c r="O843" s="8" t="n">
        <f aca="false">IF(AG843="2H Pause déjeuner",IF(F843-D843-0.0833333333333333&lt;0,F843-D843-0.0833333333333333+1,F843-D843-0.0833333333333333),IF(OR(AND(F843="OFF",D843="OFF"),AND(F843="Congé",D843="Congé"),AND(F843="Congé sans solde",D843="Congé sans solde"),AND(F843="Congé spécial",D843="Congé spécial"),AND(F843="Férié",D843="Férié"),AND(F843="OFF",D843="Congé"),AND(F843="OFF",D843="Congé sans solde"),AND(F843="OFF",D843="Congé spécial"),AND(F843="OFF",D843="Férié"),AND(F843="Congé",D843="OFF"),AND(F843="Congé",D843="Congé sans solde"),AND(F843="Congé",D843="Congé spécial"),AND(F843="Congé",D843="Férié"),AND(F843="Congé sans solde",D843="OFF"),AND(F843="Congé sans solde",D843="Congé"),AND(F843="Congé sans solde",D843="Congé spécial"),AND(F843="Congé sans solde",D843="Férié"),AND(F843="Congé spécial",D843="OFF"),AND(F843="Congé spécial",D843="Congé"),AND(F843="Congé spécial",D843="Congé sans solde"),AND(F843="Congé spécial",D843="Férié"),AND(F843="Férié",D843="OFF"),AND(F843="Férié",D843="Congé"),AND(F843="Férié",D843="Congé sans solde"),AND(F843="Férié",D843="Congé spécial")),0,IF(OR(F843="OFF",F843="Congé",F843="Congé spécial",F843="Congé sans solde",D843="OFF",D843="Congé",D843="Congé spécial",D843="Congé sans solde"),0.208333333333334,IF(AND(AG843="",F843-D843&lt;0),("24:00:00"-D843)+("00:00:00"+F843)-0.0416666666666667,IF(AND(OR(AG843="Allaitement",AG843="Sans déjeuner"),F843-D843&lt;0),("24:00:00"-D843)+("00:00:00"+F843),IF(AND(AG843="",F843-D843&gt;0.166666666666667),F843-D843-0.0416666666666667,IF(AND(OR(AG843="Allaitement",AG843="Sans déjeuner"),F843-D843&gt;0.166666666666667),F843-D843,F843-D843)))))))</f>
        <v>0.375</v>
      </c>
      <c r="P843" s="6" t="str">
        <f aca="false">IFERROR(VLOOKUP($B843,Agents!$A:$D,2,0),"-")</f>
        <v>Accessibilité</v>
      </c>
      <c r="Q843" s="21" t="n">
        <v>46211</v>
      </c>
      <c r="R843" s="8" t="n">
        <f aca="false">IF(M843="Abs",O843,0)</f>
        <v>0</v>
      </c>
      <c r="S843" s="8" t="n">
        <f aca="false">SUM(R843,L843,I843,J843,W843,H843)</f>
        <v>0</v>
      </c>
      <c r="T843" s="6" t="str">
        <f aca="false">"Sem - "&amp;WEEKNUM(Q843,21)</f>
        <v>Sem - 28</v>
      </c>
      <c r="U843" s="6" t="str">
        <f aca="false">CHOOSE(MONTH(Q843),"Janvier","Février","Mars","Avril","Mai","Juin","Juillet","Août","Septembre","Octobre","Novembre","Décembre")</f>
        <v>Juillet</v>
      </c>
      <c r="V843" s="22" t="n">
        <f aca="false">YEAR(Q843)</f>
        <v>2026</v>
      </c>
      <c r="W843" s="20"/>
      <c r="X843" s="8" t="n">
        <f aca="false">IFERROR(IF(M843="Abs",0,IF(ROUND((D843-C843+E843-F843)*1440,0)&lt;=1,0,D843-C843+E843-F843)),0)</f>
        <v>0</v>
      </c>
      <c r="Y843" s="6" t="str">
        <f aca="false">IFERROR(VLOOKUP($B843,Agents!$A:$D,3,0),"-")</f>
        <v>OUBRAHIM Mohammed</v>
      </c>
      <c r="Z843" s="6" t="str">
        <f aca="false">IFERROR(VLOOKUP($B843,Agents!$A:$D,4,0),"-")</f>
        <v>Credit Mutuel</v>
      </c>
      <c r="AA843" s="18" t="s">
        <v>110</v>
      </c>
      <c r="AB843" s="8" t="str">
        <f aca="false">IF(AND(D843="Congé",F843="Congé"),0.333333333333333,IF(OR(AND(D843="Congé",F843&lt;&gt;"Congé"),(AND(F843="Congé",D843&lt;&gt;"Congé"))),0.166666666666667,""))</f>
        <v/>
      </c>
      <c r="AC843" s="8" t="str">
        <f aca="false">IF(AND(D843="Congé sans solde",F843="Congé sans solde"),0.333333333333333,IF(OR(AND(D843="Congé sans solde",F843&lt;&gt;"Congé sans solde"),(AND(F843="Congé sans solde",D843&lt;&gt;"Congé sans solde"))),0.166666666666667,""))</f>
        <v/>
      </c>
      <c r="AD843" s="8" t="str">
        <f aca="false">IF(AND(D843="Congé spécial",F843="Congé spécial"),0.333333333333333,IF(OR(AND(D843="Congé spécial",F843&lt;&gt;"Congé spécial"),AND(F843="Congé spécial",D843&lt;&gt;"Congé spécial")),0.166666666666667,""))</f>
        <v/>
      </c>
      <c r="AE843" s="8" t="str">
        <f aca="false">IF(AND(D843="Férié",F843="Férié"),0.333333333333333,IF(OR(AND(D843="Férié",F843&lt;&gt;"Férié"),(AND(F843="Férié",D843&lt;&gt;"Férié"))),0.166666666666667,""))</f>
        <v/>
      </c>
      <c r="AF843" s="18"/>
      <c r="AG843" s="18"/>
    </row>
    <row r="844" customFormat="false" ht="15" hidden="false" customHeight="false" outlineLevel="0" collapsed="false">
      <c r="A844" s="6" t="str">
        <f aca="false">YEAR(Q844-WEEKDAY(Q844,2)+4)&amp;"-S"&amp;TEXT(WEEKNUM(Q844,21),"00")</f>
        <v>2026-S28</v>
      </c>
      <c r="B844" s="18" t="s">
        <v>71</v>
      </c>
      <c r="C844" s="19" t="n">
        <v>0.333333333333333</v>
      </c>
      <c r="D844" s="19" t="n">
        <v>0.333333333333333</v>
      </c>
      <c r="E844" s="19" t="n">
        <v>0.75</v>
      </c>
      <c r="F844" s="19" t="n">
        <v>0.75</v>
      </c>
      <c r="G844" s="20"/>
      <c r="H844" s="20"/>
      <c r="I844" s="8" t="str">
        <f aca="false">IF(IF(OR(C844="",D844="Congé",D844="OFF",D844="Congé spécial"),"",IF(D844&gt;F844,D844-C844,IF(C844-D844&lt;0,0,C844-D844)))&lt;0.00068287037037037,"",IF(OR(D844="Congé",D844="OFF",C844="",D844="Congé spécial"),"",IF(D844&gt;F844,D844-C844,IF(C844-D844&lt;0,0,C844-D844))))</f>
        <v/>
      </c>
      <c r="J844" s="20"/>
      <c r="K844" s="8" t="n">
        <f aca="false">IF(SUM(H844:J844)&lt;0.00068287037037037,0,SUM(H844:J844))</f>
        <v>0</v>
      </c>
      <c r="L844" s="8" t="n">
        <f aca="false">IF(OR(F844="Congé",F844="OFF",M844="Abs",F844="Congé sans solde",F844="Férié",F844="Congé spécial",D844="Congé spécial"),0,IF(F844-E844&lt;0,0,IF(F844-E844&lt;=0.00068287037037037,0,F844-E844)))</f>
        <v>0</v>
      </c>
      <c r="M844" s="6" t="n">
        <f aca="false">IF(AND(O844&lt;&gt;0,C844=""),"Abs",0)</f>
        <v>0</v>
      </c>
      <c r="N844" s="8" t="n">
        <f aca="false">IFERROR(IF(OR(D844="OFF",D844="Congé",M844="Abs",D844="Congé sans solde",D844="Férié"),"",IF(O844-K844-L844&gt;O844,O844,IF(O844-K844-L844&lt;0,"",O844-K844-L844))),"")</f>
        <v>0.375</v>
      </c>
      <c r="O844" s="8" t="n">
        <f aca="false">IF(AG844="2H Pause déjeuner",IF(F844-D844-0.0833333333333333&lt;0,F844-D844-0.0833333333333333+1,F844-D844-0.0833333333333333),IF(OR(AND(F844="OFF",D844="OFF"),AND(F844="Congé",D844="Congé"),AND(F844="Congé sans solde",D844="Congé sans solde"),AND(F844="Congé spécial",D844="Congé spécial"),AND(F844="Férié",D844="Férié"),AND(F844="OFF",D844="Congé"),AND(F844="OFF",D844="Congé sans solde"),AND(F844="OFF",D844="Congé spécial"),AND(F844="OFF",D844="Férié"),AND(F844="Congé",D844="OFF"),AND(F844="Congé",D844="Congé sans solde"),AND(F844="Congé",D844="Congé spécial"),AND(F844="Congé",D844="Férié"),AND(F844="Congé sans solde",D844="OFF"),AND(F844="Congé sans solde",D844="Congé"),AND(F844="Congé sans solde",D844="Congé spécial"),AND(F844="Congé sans solde",D844="Férié"),AND(F844="Congé spécial",D844="OFF"),AND(F844="Congé spécial",D844="Congé"),AND(F844="Congé spécial",D844="Congé sans solde"),AND(F844="Congé spécial",D844="Férié"),AND(F844="Férié",D844="OFF"),AND(F844="Férié",D844="Congé"),AND(F844="Férié",D844="Congé sans solde"),AND(F844="Férié",D844="Congé spécial")),0,IF(OR(F844="OFF",F844="Congé",F844="Congé spécial",F844="Congé sans solde",D844="OFF",D844="Congé",D844="Congé spécial",D844="Congé sans solde"),0.208333333333334,IF(AND(AG844="",F844-D844&lt;0),("24:00:00"-D844)+("00:00:00"+F844)-0.0416666666666667,IF(AND(OR(AG844="Allaitement",AG844="Sans déjeuner"),F844-D844&lt;0),("24:00:00"-D844)+("00:00:00"+F844),IF(AND(AG844="",F844-D844&gt;0.166666666666667),F844-D844-0.0416666666666667,IF(AND(OR(AG844="Allaitement",AG844="Sans déjeuner"),F844-D844&gt;0.166666666666667),F844-D844,F844-D844)))))))</f>
        <v>0.375</v>
      </c>
      <c r="P844" s="6" t="str">
        <f aca="false">IFERROR(VLOOKUP($B844,Agents!$A:$D,2,0),"-")</f>
        <v>Accessibilité</v>
      </c>
      <c r="Q844" s="21" t="n">
        <v>46212</v>
      </c>
      <c r="R844" s="8" t="n">
        <f aca="false">IF(M844="Abs",O844,0)</f>
        <v>0</v>
      </c>
      <c r="S844" s="8" t="n">
        <f aca="false">SUM(R844,L844,I844,J844,W844,H844)</f>
        <v>0</v>
      </c>
      <c r="T844" s="6" t="str">
        <f aca="false">"Sem - "&amp;WEEKNUM(Q844,21)</f>
        <v>Sem - 28</v>
      </c>
      <c r="U844" s="6" t="str">
        <f aca="false">CHOOSE(MONTH(Q844),"Janvier","Février","Mars","Avril","Mai","Juin","Juillet","Août","Septembre","Octobre","Novembre","Décembre")</f>
        <v>Juillet</v>
      </c>
      <c r="V844" s="22" t="n">
        <f aca="false">YEAR(Q844)</f>
        <v>2026</v>
      </c>
      <c r="W844" s="20"/>
      <c r="X844" s="8" t="n">
        <f aca="false">IFERROR(IF(M844="Abs",0,IF(ROUND((D844-C844+E844-F844)*1440,0)&lt;=1,0,D844-C844+E844-F844)),0)</f>
        <v>0</v>
      </c>
      <c r="Y844" s="6" t="str">
        <f aca="false">IFERROR(VLOOKUP($B844,Agents!$A:$D,3,0),"-")</f>
        <v>OUBRAHIM Mohammed</v>
      </c>
      <c r="Z844" s="6" t="str">
        <f aca="false">IFERROR(VLOOKUP($B844,Agents!$A:$D,4,0),"-")</f>
        <v>Credit Mutuel</v>
      </c>
      <c r="AA844" s="18" t="s">
        <v>110</v>
      </c>
      <c r="AB844" s="8" t="str">
        <f aca="false">IF(AND(D844="Congé",F844="Congé"),0.333333333333333,IF(OR(AND(D844="Congé",F844&lt;&gt;"Congé"),(AND(F844="Congé",D844&lt;&gt;"Congé"))),0.166666666666667,""))</f>
        <v/>
      </c>
      <c r="AC844" s="8" t="str">
        <f aca="false">IF(AND(D844="Congé sans solde",F844="Congé sans solde"),0.333333333333333,IF(OR(AND(D844="Congé sans solde",F844&lt;&gt;"Congé sans solde"),(AND(F844="Congé sans solde",D844&lt;&gt;"Congé sans solde"))),0.166666666666667,""))</f>
        <v/>
      </c>
      <c r="AD844" s="8" t="str">
        <f aca="false">IF(AND(D844="Congé spécial",F844="Congé spécial"),0.333333333333333,IF(OR(AND(D844="Congé spécial",F844&lt;&gt;"Congé spécial"),AND(F844="Congé spécial",D844&lt;&gt;"Congé spécial")),0.166666666666667,""))</f>
        <v/>
      </c>
      <c r="AE844" s="8" t="str">
        <f aca="false">IF(AND(D844="Férié",F844="Férié"),0.333333333333333,IF(OR(AND(D844="Férié",F844&lt;&gt;"Férié"),(AND(F844="Férié",D844&lt;&gt;"Férié"))),0.166666666666667,""))</f>
        <v/>
      </c>
      <c r="AF844" s="18"/>
      <c r="AG844" s="18"/>
    </row>
    <row r="845" customFormat="false" ht="15" hidden="false" customHeight="false" outlineLevel="0" collapsed="false">
      <c r="A845" s="6" t="str">
        <f aca="false">YEAR(Q845-WEEKDAY(Q845,2)+4)&amp;"-S"&amp;TEXT(WEEKNUM(Q845,21),"00")</f>
        <v>2026-S28</v>
      </c>
      <c r="B845" s="18" t="s">
        <v>72</v>
      </c>
      <c r="C845" s="19" t="n">
        <v>0.333333333333333</v>
      </c>
      <c r="D845" s="19" t="n">
        <v>0.333333333333333</v>
      </c>
      <c r="E845" s="19" t="n">
        <v>0.75</v>
      </c>
      <c r="F845" s="19" t="n">
        <v>0.75</v>
      </c>
      <c r="G845" s="20"/>
      <c r="H845" s="20"/>
      <c r="I845" s="8" t="str">
        <f aca="false">IF(IF(OR(C845="",D845="Congé",D845="OFF",D845="Congé spécial"),"",IF(D845&gt;F845,D845-C845,IF(C845-D845&lt;0,0,C845-D845)))&lt;0.00068287037037037,"",IF(OR(D845="Congé",D845="OFF",C845="",D845="Congé spécial"),"",IF(D845&gt;F845,D845-C845,IF(C845-D845&lt;0,0,C845-D845))))</f>
        <v/>
      </c>
      <c r="J845" s="20"/>
      <c r="K845" s="8" t="n">
        <f aca="false">IF(SUM(H845:J845)&lt;0.00068287037037037,0,SUM(H845:J845))</f>
        <v>0</v>
      </c>
      <c r="L845" s="8" t="n">
        <f aca="false">IF(OR(F845="Congé",F845="OFF",M845="Abs",F845="Congé sans solde",F845="Férié",F845="Congé spécial",D845="Congé spécial"),0,IF(F845-E845&lt;0,0,IF(F845-E845&lt;=0.00068287037037037,0,F845-E845)))</f>
        <v>0</v>
      </c>
      <c r="M845" s="6" t="n">
        <f aca="false">IF(AND(O845&lt;&gt;0,C845=""),"Abs",0)</f>
        <v>0</v>
      </c>
      <c r="N845" s="8" t="n">
        <f aca="false">IFERROR(IF(OR(D845="OFF",D845="Congé",M845="Abs",D845="Congé sans solde",D845="Férié"),"",IF(O845-K845-L845&gt;O845,O845,IF(O845-K845-L845&lt;0,"",O845-K845-L845))),"")</f>
        <v>0.375</v>
      </c>
      <c r="O845" s="8" t="n">
        <f aca="false">IF(AG845="2H Pause déjeuner",IF(F845-D845-0.0833333333333333&lt;0,F845-D845-0.0833333333333333+1,F845-D845-0.0833333333333333),IF(OR(AND(F845="OFF",D845="OFF"),AND(F845="Congé",D845="Congé"),AND(F845="Congé sans solde",D845="Congé sans solde"),AND(F845="Congé spécial",D845="Congé spécial"),AND(F845="Férié",D845="Férié"),AND(F845="OFF",D845="Congé"),AND(F845="OFF",D845="Congé sans solde"),AND(F845="OFF",D845="Congé spécial"),AND(F845="OFF",D845="Férié"),AND(F845="Congé",D845="OFF"),AND(F845="Congé",D845="Congé sans solde"),AND(F845="Congé",D845="Congé spécial"),AND(F845="Congé",D845="Férié"),AND(F845="Congé sans solde",D845="OFF"),AND(F845="Congé sans solde",D845="Congé"),AND(F845="Congé sans solde",D845="Congé spécial"),AND(F845="Congé sans solde",D845="Férié"),AND(F845="Congé spécial",D845="OFF"),AND(F845="Congé spécial",D845="Congé"),AND(F845="Congé spécial",D845="Congé sans solde"),AND(F845="Congé spécial",D845="Férié"),AND(F845="Férié",D845="OFF"),AND(F845="Férié",D845="Congé"),AND(F845="Férié",D845="Congé sans solde"),AND(F845="Férié",D845="Congé spécial")),0,IF(OR(F845="OFF",F845="Congé",F845="Congé spécial",F845="Congé sans solde",D845="OFF",D845="Congé",D845="Congé spécial",D845="Congé sans solde"),0.208333333333334,IF(AND(AG845="",F845-D845&lt;0),("24:00:00"-D845)+("00:00:00"+F845)-0.0416666666666667,IF(AND(OR(AG845="Allaitement",AG845="Sans déjeuner"),F845-D845&lt;0),("24:00:00"-D845)+("00:00:00"+F845),IF(AND(AG845="",F845-D845&gt;0.166666666666667),F845-D845-0.0416666666666667,IF(AND(OR(AG845="Allaitement",AG845="Sans déjeuner"),F845-D845&gt;0.166666666666667),F845-D845,F845-D845)))))))</f>
        <v>0.375</v>
      </c>
      <c r="P845" s="6" t="str">
        <f aca="false">IFERROR(VLOOKUP($B845,Agents!$A:$D,2,0),"-")</f>
        <v>Accessibilité</v>
      </c>
      <c r="Q845" s="21" t="n">
        <v>46212</v>
      </c>
      <c r="R845" s="8" t="n">
        <f aca="false">IF(M845="Abs",O845,0)</f>
        <v>0</v>
      </c>
      <c r="S845" s="8" t="n">
        <f aca="false">SUM(R845,L845,I845,J845,W845,H845)</f>
        <v>0</v>
      </c>
      <c r="T845" s="6" t="str">
        <f aca="false">"Sem - "&amp;WEEKNUM(Q845,21)</f>
        <v>Sem - 28</v>
      </c>
      <c r="U845" s="6" t="str">
        <f aca="false">CHOOSE(MONTH(Q845),"Janvier","Février","Mars","Avril","Mai","Juin","Juillet","Août","Septembre","Octobre","Novembre","Décembre")</f>
        <v>Juillet</v>
      </c>
      <c r="V845" s="22" t="n">
        <f aca="false">YEAR(Q845)</f>
        <v>2026</v>
      </c>
      <c r="W845" s="20"/>
      <c r="X845" s="8" t="n">
        <f aca="false">IFERROR(IF(M845="Abs",0,IF(ROUND((D845-C845+E845-F845)*1440,0)&lt;=1,0,D845-C845+E845-F845)),0)</f>
        <v>0</v>
      </c>
      <c r="Y845" s="6" t="str">
        <f aca="false">IFERROR(VLOOKUP($B845,Agents!$A:$D,3,0),"-")</f>
        <v>OUBRAHIM Mohammed</v>
      </c>
      <c r="Z845" s="6" t="str">
        <f aca="false">IFERROR(VLOOKUP($B845,Agents!$A:$D,4,0),"-")</f>
        <v>Credit Mutuel</v>
      </c>
      <c r="AA845" s="18" t="s">
        <v>110</v>
      </c>
      <c r="AB845" s="8" t="str">
        <f aca="false">IF(AND(D845="Congé",F845="Congé"),0.333333333333333,IF(OR(AND(D845="Congé",F845&lt;&gt;"Congé"),(AND(F845="Congé",D845&lt;&gt;"Congé"))),0.166666666666667,""))</f>
        <v/>
      </c>
      <c r="AC845" s="8" t="str">
        <f aca="false">IF(AND(D845="Congé sans solde",F845="Congé sans solde"),0.333333333333333,IF(OR(AND(D845="Congé sans solde",F845&lt;&gt;"Congé sans solde"),(AND(F845="Congé sans solde",D845&lt;&gt;"Congé sans solde"))),0.166666666666667,""))</f>
        <v/>
      </c>
      <c r="AD845" s="8" t="str">
        <f aca="false">IF(AND(D845="Congé spécial",F845="Congé spécial"),0.333333333333333,IF(OR(AND(D845="Congé spécial",F845&lt;&gt;"Congé spécial"),AND(F845="Congé spécial",D845&lt;&gt;"Congé spécial")),0.166666666666667,""))</f>
        <v/>
      </c>
      <c r="AE845" s="8" t="str">
        <f aca="false">IF(AND(D845="Férié",F845="Férié"),0.333333333333333,IF(OR(AND(D845="Férié",F845&lt;&gt;"Férié"),(AND(F845="Férié",D845&lt;&gt;"Férié"))),0.166666666666667,""))</f>
        <v/>
      </c>
      <c r="AF845" s="18"/>
      <c r="AG845" s="18"/>
    </row>
    <row r="846" customFormat="false" ht="15" hidden="false" customHeight="false" outlineLevel="0" collapsed="false">
      <c r="A846" s="6" t="str">
        <f aca="false">YEAR(Q846-WEEKDAY(Q846,2)+4)&amp;"-S"&amp;TEXT(WEEKNUM(Q846,21),"00")</f>
        <v>2026-S28</v>
      </c>
      <c r="B846" s="18" t="s">
        <v>73</v>
      </c>
      <c r="C846" s="19" t="n">
        <v>0.333333333333333</v>
      </c>
      <c r="D846" s="19" t="n">
        <v>0.333333333333333</v>
      </c>
      <c r="E846" s="19" t="n">
        <v>0.75</v>
      </c>
      <c r="F846" s="19" t="n">
        <v>0.75</v>
      </c>
      <c r="G846" s="20"/>
      <c r="H846" s="20"/>
      <c r="I846" s="8" t="str">
        <f aca="false">IF(IF(OR(C846="",D846="Congé",D846="OFF",D846="Congé spécial"),"",IF(D846&gt;F846,D846-C846,IF(C846-D846&lt;0,0,C846-D846)))&lt;0.00068287037037037,"",IF(OR(D846="Congé",D846="OFF",C846="",D846="Congé spécial"),"",IF(D846&gt;F846,D846-C846,IF(C846-D846&lt;0,0,C846-D846))))</f>
        <v/>
      </c>
      <c r="J846" s="20"/>
      <c r="K846" s="8" t="n">
        <f aca="false">IF(SUM(H846:J846)&lt;0.00068287037037037,0,SUM(H846:J846))</f>
        <v>0</v>
      </c>
      <c r="L846" s="8" t="n">
        <f aca="false">IF(OR(F846="Congé",F846="OFF",M846="Abs",F846="Congé sans solde",F846="Férié",F846="Congé spécial",D846="Congé spécial"),0,IF(F846-E846&lt;0,0,IF(F846-E846&lt;=0.00068287037037037,0,F846-E846)))</f>
        <v>0</v>
      </c>
      <c r="M846" s="6" t="n">
        <f aca="false">IF(AND(O846&lt;&gt;0,C846=""),"Abs",0)</f>
        <v>0</v>
      </c>
      <c r="N846" s="8" t="n">
        <f aca="false">IFERROR(IF(OR(D846="OFF",D846="Congé",M846="Abs",D846="Congé sans solde",D846="Férié"),"",IF(O846-K846-L846&gt;O846,O846,IF(O846-K846-L846&lt;0,"",O846-K846-L846))),"")</f>
        <v>0.375</v>
      </c>
      <c r="O846" s="8" t="n">
        <f aca="false">IF(AG846="2H Pause déjeuner",IF(F846-D846-0.0833333333333333&lt;0,F846-D846-0.0833333333333333+1,F846-D846-0.0833333333333333),IF(OR(AND(F846="OFF",D846="OFF"),AND(F846="Congé",D846="Congé"),AND(F846="Congé sans solde",D846="Congé sans solde"),AND(F846="Congé spécial",D846="Congé spécial"),AND(F846="Férié",D846="Férié"),AND(F846="OFF",D846="Congé"),AND(F846="OFF",D846="Congé sans solde"),AND(F846="OFF",D846="Congé spécial"),AND(F846="OFF",D846="Férié"),AND(F846="Congé",D846="OFF"),AND(F846="Congé",D846="Congé sans solde"),AND(F846="Congé",D846="Congé spécial"),AND(F846="Congé",D846="Férié"),AND(F846="Congé sans solde",D846="OFF"),AND(F846="Congé sans solde",D846="Congé"),AND(F846="Congé sans solde",D846="Congé spécial"),AND(F846="Congé sans solde",D846="Férié"),AND(F846="Congé spécial",D846="OFF"),AND(F846="Congé spécial",D846="Congé"),AND(F846="Congé spécial",D846="Congé sans solde"),AND(F846="Congé spécial",D846="Férié"),AND(F846="Férié",D846="OFF"),AND(F846="Férié",D846="Congé"),AND(F846="Férié",D846="Congé sans solde"),AND(F846="Férié",D846="Congé spécial")),0,IF(OR(F846="OFF",F846="Congé",F846="Congé spécial",F846="Congé sans solde",D846="OFF",D846="Congé",D846="Congé spécial",D846="Congé sans solde"),0.208333333333334,IF(AND(AG846="",F846-D846&lt;0),("24:00:00"-D846)+("00:00:00"+F846)-0.0416666666666667,IF(AND(OR(AG846="Allaitement",AG846="Sans déjeuner"),F846-D846&lt;0),("24:00:00"-D846)+("00:00:00"+F846),IF(AND(AG846="",F846-D846&gt;0.166666666666667),F846-D846-0.0416666666666667,IF(AND(OR(AG846="Allaitement",AG846="Sans déjeuner"),F846-D846&gt;0.166666666666667),F846-D846,F846-D846)))))))</f>
        <v>0.375</v>
      </c>
      <c r="P846" s="6" t="str">
        <f aca="false">IFERROR(VLOOKUP($B846,Agents!$A:$D,2,0),"-")</f>
        <v>Accessibilité</v>
      </c>
      <c r="Q846" s="21" t="n">
        <v>46212</v>
      </c>
      <c r="R846" s="8" t="n">
        <f aca="false">IF(M846="Abs",O846,0)</f>
        <v>0</v>
      </c>
      <c r="S846" s="8" t="n">
        <f aca="false">SUM(R846,L846,I846,J846,W846,H846)</f>
        <v>0</v>
      </c>
      <c r="T846" s="6" t="str">
        <f aca="false">"Sem - "&amp;WEEKNUM(Q846,21)</f>
        <v>Sem - 28</v>
      </c>
      <c r="U846" s="6" t="str">
        <f aca="false">CHOOSE(MONTH(Q846),"Janvier","Février","Mars","Avril","Mai","Juin","Juillet","Août","Septembre","Octobre","Novembre","Décembre")</f>
        <v>Juillet</v>
      </c>
      <c r="V846" s="22" t="n">
        <f aca="false">YEAR(Q846)</f>
        <v>2026</v>
      </c>
      <c r="W846" s="20"/>
      <c r="X846" s="8" t="n">
        <f aca="false">IFERROR(IF(M846="Abs",0,IF(ROUND((D846-C846+E846-F846)*1440,0)&lt;=1,0,D846-C846+E846-F846)),0)</f>
        <v>0</v>
      </c>
      <c r="Y846" s="6" t="str">
        <f aca="false">IFERROR(VLOOKUP($B846,Agents!$A:$D,3,0),"-")</f>
        <v>OUBRAHIM Mohammed</v>
      </c>
      <c r="Z846" s="6" t="str">
        <f aca="false">IFERROR(VLOOKUP($B846,Agents!$A:$D,4,0),"-")</f>
        <v>Credit Mutuel</v>
      </c>
      <c r="AA846" s="18" t="s">
        <v>110</v>
      </c>
      <c r="AB846" s="8" t="str">
        <f aca="false">IF(AND(D846="Congé",F846="Congé"),0.333333333333333,IF(OR(AND(D846="Congé",F846&lt;&gt;"Congé"),(AND(F846="Congé",D846&lt;&gt;"Congé"))),0.166666666666667,""))</f>
        <v/>
      </c>
      <c r="AC846" s="8" t="str">
        <f aca="false">IF(AND(D846="Congé sans solde",F846="Congé sans solde"),0.333333333333333,IF(OR(AND(D846="Congé sans solde",F846&lt;&gt;"Congé sans solde"),(AND(F846="Congé sans solde",D846&lt;&gt;"Congé sans solde"))),0.166666666666667,""))</f>
        <v/>
      </c>
      <c r="AD846" s="8" t="str">
        <f aca="false">IF(AND(D846="Congé spécial",F846="Congé spécial"),0.333333333333333,IF(OR(AND(D846="Congé spécial",F846&lt;&gt;"Congé spécial"),AND(F846="Congé spécial",D846&lt;&gt;"Congé spécial")),0.166666666666667,""))</f>
        <v/>
      </c>
      <c r="AE846" s="8" t="str">
        <f aca="false">IF(AND(D846="Férié",F846="Férié"),0.333333333333333,IF(OR(AND(D846="Férié",F846&lt;&gt;"Férié"),(AND(F846="Férié",D846&lt;&gt;"Férié"))),0.166666666666667,""))</f>
        <v/>
      </c>
      <c r="AF846" s="18"/>
      <c r="AG846" s="18"/>
    </row>
    <row r="847" customFormat="false" ht="15" hidden="false" customHeight="false" outlineLevel="0" collapsed="false">
      <c r="A847" s="6" t="str">
        <f aca="false">YEAR(Q847-WEEKDAY(Q847,2)+4)&amp;"-S"&amp;TEXT(WEEKNUM(Q847,21),"00")</f>
        <v>2026-S28</v>
      </c>
      <c r="B847" s="18" t="s">
        <v>71</v>
      </c>
      <c r="C847" s="19" t="n">
        <v>0.333333333333333</v>
      </c>
      <c r="D847" s="19" t="n">
        <v>0.333333333333333</v>
      </c>
      <c r="E847" s="19" t="n">
        <v>0.708333333333333</v>
      </c>
      <c r="F847" s="19" t="n">
        <v>0.708333333333333</v>
      </c>
      <c r="G847" s="20"/>
      <c r="H847" s="20"/>
      <c r="I847" s="8" t="str">
        <f aca="false">IF(IF(OR(C847="",D847="Congé",D847="OFF",D847="Congé spécial"),"",IF(D847&gt;F847,D847-C847,IF(C847-D847&lt;0,0,C847-D847)))&lt;0.00068287037037037,"",IF(OR(D847="Congé",D847="OFF",C847="",D847="Congé spécial"),"",IF(D847&gt;F847,D847-C847,IF(C847-D847&lt;0,0,C847-D847))))</f>
        <v/>
      </c>
      <c r="J847" s="20"/>
      <c r="K847" s="8" t="n">
        <f aca="false">IF(SUM(H847:J847)&lt;0.00068287037037037,0,SUM(H847:J847))</f>
        <v>0</v>
      </c>
      <c r="L847" s="8" t="n">
        <f aca="false">IF(OR(F847="Congé",F847="OFF",M847="Abs",F847="Congé sans solde",F847="Férié",F847="Congé spécial",D847="Congé spécial"),0,IF(F847-E847&lt;0,0,IF(F847-E847&lt;=0.00068287037037037,0,F847-E847)))</f>
        <v>0</v>
      </c>
      <c r="M847" s="6" t="n">
        <f aca="false">IF(AND(O847&lt;&gt;0,C847=""),"Abs",0)</f>
        <v>0</v>
      </c>
      <c r="N847" s="8" t="n">
        <f aca="false">IFERROR(IF(OR(D847="OFF",D847="Congé",M847="Abs",D847="Congé sans solde",D847="Férié"),"",IF(O847-K847-L847&gt;O847,O847,IF(O847-K847-L847&lt;0,"",O847-K847-L847))),"")</f>
        <v>0.333333333333333</v>
      </c>
      <c r="O847" s="8" t="n">
        <f aca="false">IF(AG847="2H Pause déjeuner",IF(F847-D847-0.0833333333333333&lt;0,F847-D847-0.0833333333333333+1,F847-D847-0.0833333333333333),IF(OR(AND(F847="OFF",D847="OFF"),AND(F847="Congé",D847="Congé"),AND(F847="Congé sans solde",D847="Congé sans solde"),AND(F847="Congé spécial",D847="Congé spécial"),AND(F847="Férié",D847="Férié"),AND(F847="OFF",D847="Congé"),AND(F847="OFF",D847="Congé sans solde"),AND(F847="OFF",D847="Congé spécial"),AND(F847="OFF",D847="Férié"),AND(F847="Congé",D847="OFF"),AND(F847="Congé",D847="Congé sans solde"),AND(F847="Congé",D847="Congé spécial"),AND(F847="Congé",D847="Férié"),AND(F847="Congé sans solde",D847="OFF"),AND(F847="Congé sans solde",D847="Congé"),AND(F847="Congé sans solde",D847="Congé spécial"),AND(F847="Congé sans solde",D847="Férié"),AND(F847="Congé spécial",D847="OFF"),AND(F847="Congé spécial",D847="Congé"),AND(F847="Congé spécial",D847="Congé sans solde"),AND(F847="Congé spécial",D847="Férié"),AND(F847="Férié",D847="OFF"),AND(F847="Férié",D847="Congé"),AND(F847="Férié",D847="Congé sans solde"),AND(F847="Férié",D847="Congé spécial")),0,IF(OR(F847="OFF",F847="Congé",F847="Congé spécial",F847="Congé sans solde",D847="OFF",D847="Congé",D847="Congé spécial",D847="Congé sans solde"),0.208333333333334,IF(AND(AG847="",F847-D847&lt;0),("24:00:00"-D847)+("00:00:00"+F847)-0.0416666666666667,IF(AND(OR(AG847="Allaitement",AG847="Sans déjeuner"),F847-D847&lt;0),("24:00:00"-D847)+("00:00:00"+F847),IF(AND(AG847="",F847-D847&gt;0.166666666666667),F847-D847-0.0416666666666667,IF(AND(OR(AG847="Allaitement",AG847="Sans déjeuner"),F847-D847&gt;0.166666666666667),F847-D847,F847-D847)))))))</f>
        <v>0.333333333333333</v>
      </c>
      <c r="P847" s="6" t="str">
        <f aca="false">IFERROR(VLOOKUP($B847,Agents!$A:$D,2,0),"-")</f>
        <v>Accessibilité</v>
      </c>
      <c r="Q847" s="21" t="n">
        <v>46213</v>
      </c>
      <c r="R847" s="8" t="n">
        <f aca="false">IF(M847="Abs",O847,0)</f>
        <v>0</v>
      </c>
      <c r="S847" s="8" t="n">
        <f aca="false">SUM(R847,L847,I847,J847,W847,H847)</f>
        <v>0</v>
      </c>
      <c r="T847" s="6" t="str">
        <f aca="false">"Sem - "&amp;WEEKNUM(Q847,21)</f>
        <v>Sem - 28</v>
      </c>
      <c r="U847" s="6" t="str">
        <f aca="false">CHOOSE(MONTH(Q847),"Janvier","Février","Mars","Avril","Mai","Juin","Juillet","Août","Septembre","Octobre","Novembre","Décembre")</f>
        <v>Juillet</v>
      </c>
      <c r="V847" s="22" t="n">
        <f aca="false">YEAR(Q847)</f>
        <v>2026</v>
      </c>
      <c r="W847" s="20"/>
      <c r="X847" s="8" t="n">
        <f aca="false">IFERROR(IF(M847="Abs",0,IF(ROUND((D847-C847+E847-F847)*1440,0)&lt;=1,0,D847-C847+E847-F847)),0)</f>
        <v>0</v>
      </c>
      <c r="Y847" s="6" t="str">
        <f aca="false">IFERROR(VLOOKUP($B847,Agents!$A:$D,3,0),"-")</f>
        <v>OUBRAHIM Mohammed</v>
      </c>
      <c r="Z847" s="6" t="str">
        <f aca="false">IFERROR(VLOOKUP($B847,Agents!$A:$D,4,0),"-")</f>
        <v>Credit Mutuel</v>
      </c>
      <c r="AA847" s="18" t="s">
        <v>110</v>
      </c>
      <c r="AB847" s="8" t="str">
        <f aca="false">IF(AND(D847="Congé",F847="Congé"),0.333333333333333,IF(OR(AND(D847="Congé",F847&lt;&gt;"Congé"),(AND(F847="Congé",D847&lt;&gt;"Congé"))),0.166666666666667,""))</f>
        <v/>
      </c>
      <c r="AC847" s="8" t="str">
        <f aca="false">IF(AND(D847="Congé sans solde",F847="Congé sans solde"),0.333333333333333,IF(OR(AND(D847="Congé sans solde",F847&lt;&gt;"Congé sans solde"),(AND(F847="Congé sans solde",D847&lt;&gt;"Congé sans solde"))),0.166666666666667,""))</f>
        <v/>
      </c>
      <c r="AD847" s="8" t="str">
        <f aca="false">IF(AND(D847="Congé spécial",F847="Congé spécial"),0.333333333333333,IF(OR(AND(D847="Congé spécial",F847&lt;&gt;"Congé spécial"),AND(F847="Congé spécial",D847&lt;&gt;"Congé spécial")),0.166666666666667,""))</f>
        <v/>
      </c>
      <c r="AE847" s="8" t="str">
        <f aca="false">IF(AND(D847="Férié",F847="Férié"),0.333333333333333,IF(OR(AND(D847="Férié",F847&lt;&gt;"Férié"),(AND(F847="Férié",D847&lt;&gt;"Férié"))),0.166666666666667,""))</f>
        <v/>
      </c>
      <c r="AF847" s="18"/>
      <c r="AG847" s="18"/>
    </row>
    <row r="848" customFormat="false" ht="15" hidden="false" customHeight="false" outlineLevel="0" collapsed="false">
      <c r="A848" s="6" t="str">
        <f aca="false">YEAR(Q848-WEEKDAY(Q848,2)+4)&amp;"-S"&amp;TEXT(WEEKNUM(Q848,21),"00")</f>
        <v>2026-S28</v>
      </c>
      <c r="B848" s="18" t="s">
        <v>72</v>
      </c>
      <c r="C848" s="19" t="n">
        <v>0.333333333333333</v>
      </c>
      <c r="D848" s="19" t="n">
        <v>0.333333333333333</v>
      </c>
      <c r="E848" s="19" t="n">
        <v>0.708333333333333</v>
      </c>
      <c r="F848" s="19" t="n">
        <v>0.708333333333333</v>
      </c>
      <c r="G848" s="20"/>
      <c r="H848" s="20"/>
      <c r="I848" s="8" t="str">
        <f aca="false">IF(IF(OR(C848="",D848="Congé",D848="OFF",D848="Congé spécial"),"",IF(D848&gt;F848,D848-C848,IF(C848-D848&lt;0,0,C848-D848)))&lt;0.00068287037037037,"",IF(OR(D848="Congé",D848="OFF",C848="",D848="Congé spécial"),"",IF(D848&gt;F848,D848-C848,IF(C848-D848&lt;0,0,C848-D848))))</f>
        <v/>
      </c>
      <c r="J848" s="20"/>
      <c r="K848" s="8" t="n">
        <f aca="false">IF(SUM(H848:J848)&lt;0.00068287037037037,0,SUM(H848:J848))</f>
        <v>0</v>
      </c>
      <c r="L848" s="8" t="n">
        <f aca="false">IF(OR(F848="Congé",F848="OFF",M848="Abs",F848="Congé sans solde",F848="Férié",F848="Congé spécial",D848="Congé spécial"),0,IF(F848-E848&lt;0,0,IF(F848-E848&lt;=0.00068287037037037,0,F848-E848)))</f>
        <v>0</v>
      </c>
      <c r="M848" s="6" t="n">
        <f aca="false">IF(AND(O848&lt;&gt;0,C848=""),"Abs",0)</f>
        <v>0</v>
      </c>
      <c r="N848" s="8" t="n">
        <f aca="false">IFERROR(IF(OR(D848="OFF",D848="Congé",M848="Abs",D848="Congé sans solde",D848="Férié"),"",IF(O848-K848-L848&gt;O848,O848,IF(O848-K848-L848&lt;0,"",O848-K848-L848))),"")</f>
        <v>0.333333333333333</v>
      </c>
      <c r="O848" s="8" t="n">
        <f aca="false">IF(AG848="2H Pause déjeuner",IF(F848-D848-0.0833333333333333&lt;0,F848-D848-0.0833333333333333+1,F848-D848-0.0833333333333333),IF(OR(AND(F848="OFF",D848="OFF"),AND(F848="Congé",D848="Congé"),AND(F848="Congé sans solde",D848="Congé sans solde"),AND(F848="Congé spécial",D848="Congé spécial"),AND(F848="Férié",D848="Férié"),AND(F848="OFF",D848="Congé"),AND(F848="OFF",D848="Congé sans solde"),AND(F848="OFF",D848="Congé spécial"),AND(F848="OFF",D848="Férié"),AND(F848="Congé",D848="OFF"),AND(F848="Congé",D848="Congé sans solde"),AND(F848="Congé",D848="Congé spécial"),AND(F848="Congé",D848="Férié"),AND(F848="Congé sans solde",D848="OFF"),AND(F848="Congé sans solde",D848="Congé"),AND(F848="Congé sans solde",D848="Congé spécial"),AND(F848="Congé sans solde",D848="Férié"),AND(F848="Congé spécial",D848="OFF"),AND(F848="Congé spécial",D848="Congé"),AND(F848="Congé spécial",D848="Congé sans solde"),AND(F848="Congé spécial",D848="Férié"),AND(F848="Férié",D848="OFF"),AND(F848="Férié",D848="Congé"),AND(F848="Férié",D848="Congé sans solde"),AND(F848="Férié",D848="Congé spécial")),0,IF(OR(F848="OFF",F848="Congé",F848="Congé spécial",F848="Congé sans solde",D848="OFF",D848="Congé",D848="Congé spécial",D848="Congé sans solde"),0.208333333333334,IF(AND(AG848="",F848-D848&lt;0),("24:00:00"-D848)+("00:00:00"+F848)-0.0416666666666667,IF(AND(OR(AG848="Allaitement",AG848="Sans déjeuner"),F848-D848&lt;0),("24:00:00"-D848)+("00:00:00"+F848),IF(AND(AG848="",F848-D848&gt;0.166666666666667),F848-D848-0.0416666666666667,IF(AND(OR(AG848="Allaitement",AG848="Sans déjeuner"),F848-D848&gt;0.166666666666667),F848-D848,F848-D848)))))))</f>
        <v>0.333333333333333</v>
      </c>
      <c r="P848" s="6" t="str">
        <f aca="false">IFERROR(VLOOKUP($B848,Agents!$A:$D,2,0),"-")</f>
        <v>Accessibilité</v>
      </c>
      <c r="Q848" s="21" t="n">
        <v>46213</v>
      </c>
      <c r="R848" s="8" t="n">
        <f aca="false">IF(M848="Abs",O848,0)</f>
        <v>0</v>
      </c>
      <c r="S848" s="8" t="n">
        <f aca="false">SUM(R848,L848,I848,J848,W848,H848)</f>
        <v>0</v>
      </c>
      <c r="T848" s="6" t="str">
        <f aca="false">"Sem - "&amp;WEEKNUM(Q848,21)</f>
        <v>Sem - 28</v>
      </c>
      <c r="U848" s="6" t="str">
        <f aca="false">CHOOSE(MONTH(Q848),"Janvier","Février","Mars","Avril","Mai","Juin","Juillet","Août","Septembre","Octobre","Novembre","Décembre")</f>
        <v>Juillet</v>
      </c>
      <c r="V848" s="22" t="n">
        <f aca="false">YEAR(Q848)</f>
        <v>2026</v>
      </c>
      <c r="W848" s="20"/>
      <c r="X848" s="8" t="n">
        <f aca="false">IFERROR(IF(M848="Abs",0,IF(ROUND((D848-C848+E848-F848)*1440,0)&lt;=1,0,D848-C848+E848-F848)),0)</f>
        <v>0</v>
      </c>
      <c r="Y848" s="6" t="str">
        <f aca="false">IFERROR(VLOOKUP($B848,Agents!$A:$D,3,0),"-")</f>
        <v>OUBRAHIM Mohammed</v>
      </c>
      <c r="Z848" s="6" t="str">
        <f aca="false">IFERROR(VLOOKUP($B848,Agents!$A:$D,4,0),"-")</f>
        <v>Credit Mutuel</v>
      </c>
      <c r="AA848" s="18" t="s">
        <v>110</v>
      </c>
      <c r="AB848" s="8" t="str">
        <f aca="false">IF(AND(D848="Congé",F848="Congé"),0.333333333333333,IF(OR(AND(D848="Congé",F848&lt;&gt;"Congé"),(AND(F848="Congé",D848&lt;&gt;"Congé"))),0.166666666666667,""))</f>
        <v/>
      </c>
      <c r="AC848" s="8" t="str">
        <f aca="false">IF(AND(D848="Congé sans solde",F848="Congé sans solde"),0.333333333333333,IF(OR(AND(D848="Congé sans solde",F848&lt;&gt;"Congé sans solde"),(AND(F848="Congé sans solde",D848&lt;&gt;"Congé sans solde"))),0.166666666666667,""))</f>
        <v/>
      </c>
      <c r="AD848" s="8" t="str">
        <f aca="false">IF(AND(D848="Congé spécial",F848="Congé spécial"),0.333333333333333,IF(OR(AND(D848="Congé spécial",F848&lt;&gt;"Congé spécial"),AND(F848="Congé spécial",D848&lt;&gt;"Congé spécial")),0.166666666666667,""))</f>
        <v/>
      </c>
      <c r="AE848" s="8" t="str">
        <f aca="false">IF(AND(D848="Férié",F848="Férié"),0.333333333333333,IF(OR(AND(D848="Férié",F848&lt;&gt;"Férié"),(AND(F848="Férié",D848&lt;&gt;"Férié"))),0.166666666666667,""))</f>
        <v/>
      </c>
      <c r="AF848" s="18"/>
      <c r="AG848" s="18"/>
    </row>
    <row r="849" customFormat="false" ht="15" hidden="false" customHeight="false" outlineLevel="0" collapsed="false">
      <c r="A849" s="6" t="str">
        <f aca="false">YEAR(Q849-WEEKDAY(Q849,2)+4)&amp;"-S"&amp;TEXT(WEEKNUM(Q849,21),"00")</f>
        <v>2026-S28</v>
      </c>
      <c r="B849" s="18" t="s">
        <v>73</v>
      </c>
      <c r="C849" s="19" t="n">
        <v>0.333333333333333</v>
      </c>
      <c r="D849" s="19" t="n">
        <v>0.333333333333333</v>
      </c>
      <c r="E849" s="19" t="n">
        <v>0.708333333333333</v>
      </c>
      <c r="F849" s="19" t="n">
        <v>0.708333333333333</v>
      </c>
      <c r="G849" s="20"/>
      <c r="H849" s="20"/>
      <c r="I849" s="8" t="str">
        <f aca="false">IF(IF(OR(C849="",D849="Congé",D849="OFF",D849="Congé spécial"),"",IF(D849&gt;F849,D849-C849,IF(C849-D849&lt;0,0,C849-D849)))&lt;0.00068287037037037,"",IF(OR(D849="Congé",D849="OFF",C849="",D849="Congé spécial"),"",IF(D849&gt;F849,D849-C849,IF(C849-D849&lt;0,0,C849-D849))))</f>
        <v/>
      </c>
      <c r="J849" s="20"/>
      <c r="K849" s="8" t="n">
        <f aca="false">IF(SUM(H849:J849)&lt;0.00068287037037037,0,SUM(H849:J849))</f>
        <v>0</v>
      </c>
      <c r="L849" s="8" t="n">
        <f aca="false">IF(OR(F849="Congé",F849="OFF",M849="Abs",F849="Congé sans solde",F849="Férié",F849="Congé spécial",D849="Congé spécial"),0,IF(F849-E849&lt;0,0,IF(F849-E849&lt;=0.00068287037037037,0,F849-E849)))</f>
        <v>0</v>
      </c>
      <c r="M849" s="6" t="n">
        <f aca="false">IF(AND(O849&lt;&gt;0,C849=""),"Abs",0)</f>
        <v>0</v>
      </c>
      <c r="N849" s="8" t="n">
        <f aca="false">IFERROR(IF(OR(D849="OFF",D849="Congé",M849="Abs",D849="Congé sans solde",D849="Férié"),"",IF(O849-K849-L849&gt;O849,O849,IF(O849-K849-L849&lt;0,"",O849-K849-L849))),"")</f>
        <v>0.333333333333333</v>
      </c>
      <c r="O849" s="8" t="n">
        <f aca="false">IF(AG849="2H Pause déjeuner",IF(F849-D849-0.0833333333333333&lt;0,F849-D849-0.0833333333333333+1,F849-D849-0.0833333333333333),IF(OR(AND(F849="OFF",D849="OFF"),AND(F849="Congé",D849="Congé"),AND(F849="Congé sans solde",D849="Congé sans solde"),AND(F849="Congé spécial",D849="Congé spécial"),AND(F849="Férié",D849="Férié"),AND(F849="OFF",D849="Congé"),AND(F849="OFF",D849="Congé sans solde"),AND(F849="OFF",D849="Congé spécial"),AND(F849="OFF",D849="Férié"),AND(F849="Congé",D849="OFF"),AND(F849="Congé",D849="Congé sans solde"),AND(F849="Congé",D849="Congé spécial"),AND(F849="Congé",D849="Férié"),AND(F849="Congé sans solde",D849="OFF"),AND(F849="Congé sans solde",D849="Congé"),AND(F849="Congé sans solde",D849="Congé spécial"),AND(F849="Congé sans solde",D849="Férié"),AND(F849="Congé spécial",D849="OFF"),AND(F849="Congé spécial",D849="Congé"),AND(F849="Congé spécial",D849="Congé sans solde"),AND(F849="Congé spécial",D849="Férié"),AND(F849="Férié",D849="OFF"),AND(F849="Férié",D849="Congé"),AND(F849="Férié",D849="Congé sans solde"),AND(F849="Férié",D849="Congé spécial")),0,IF(OR(F849="OFF",F849="Congé",F849="Congé spécial",F849="Congé sans solde",D849="OFF",D849="Congé",D849="Congé spécial",D849="Congé sans solde"),0.208333333333334,IF(AND(AG849="",F849-D849&lt;0),("24:00:00"-D849)+("00:00:00"+F849)-0.0416666666666667,IF(AND(OR(AG849="Allaitement",AG849="Sans déjeuner"),F849-D849&lt;0),("24:00:00"-D849)+("00:00:00"+F849),IF(AND(AG849="",F849-D849&gt;0.166666666666667),F849-D849-0.0416666666666667,IF(AND(OR(AG849="Allaitement",AG849="Sans déjeuner"),F849-D849&gt;0.166666666666667),F849-D849,F849-D849)))))))</f>
        <v>0.333333333333333</v>
      </c>
      <c r="P849" s="6" t="str">
        <f aca="false">IFERROR(VLOOKUP($B849,Agents!$A:$D,2,0),"-")</f>
        <v>Accessibilité</v>
      </c>
      <c r="Q849" s="21" t="n">
        <v>46213</v>
      </c>
      <c r="R849" s="8" t="n">
        <f aca="false">IF(M849="Abs",O849,0)</f>
        <v>0</v>
      </c>
      <c r="S849" s="8" t="n">
        <f aca="false">SUM(R849,L849,I849,J849,W849,H849)</f>
        <v>0</v>
      </c>
      <c r="T849" s="6" t="str">
        <f aca="false">"Sem - "&amp;WEEKNUM(Q849,21)</f>
        <v>Sem - 28</v>
      </c>
      <c r="U849" s="6" t="str">
        <f aca="false">CHOOSE(MONTH(Q849),"Janvier","Février","Mars","Avril","Mai","Juin","Juillet","Août","Septembre","Octobre","Novembre","Décembre")</f>
        <v>Juillet</v>
      </c>
      <c r="V849" s="22" t="n">
        <f aca="false">YEAR(Q849)</f>
        <v>2026</v>
      </c>
      <c r="W849" s="20"/>
      <c r="X849" s="8" t="n">
        <f aca="false">IFERROR(IF(M849="Abs",0,IF(ROUND((D849-C849+E849-F849)*1440,0)&lt;=1,0,D849-C849+E849-F849)),0)</f>
        <v>0</v>
      </c>
      <c r="Y849" s="6" t="str">
        <f aca="false">IFERROR(VLOOKUP($B849,Agents!$A:$D,3,0),"-")</f>
        <v>OUBRAHIM Mohammed</v>
      </c>
      <c r="Z849" s="6" t="str">
        <f aca="false">IFERROR(VLOOKUP($B849,Agents!$A:$D,4,0),"-")</f>
        <v>Credit Mutuel</v>
      </c>
      <c r="AA849" s="18" t="s">
        <v>110</v>
      </c>
      <c r="AB849" s="8" t="str">
        <f aca="false">IF(AND(D849="Congé",F849="Congé"),0.333333333333333,IF(OR(AND(D849="Congé",F849&lt;&gt;"Congé"),(AND(F849="Congé",D849&lt;&gt;"Congé"))),0.166666666666667,""))</f>
        <v/>
      </c>
      <c r="AC849" s="8" t="str">
        <f aca="false">IF(AND(D849="Congé sans solde",F849="Congé sans solde"),0.333333333333333,IF(OR(AND(D849="Congé sans solde",F849&lt;&gt;"Congé sans solde"),(AND(F849="Congé sans solde",D849&lt;&gt;"Congé sans solde"))),0.166666666666667,""))</f>
        <v/>
      </c>
      <c r="AD849" s="8" t="str">
        <f aca="false">IF(AND(D849="Congé spécial",F849="Congé spécial"),0.333333333333333,IF(OR(AND(D849="Congé spécial",F849&lt;&gt;"Congé spécial"),AND(F849="Congé spécial",D849&lt;&gt;"Congé spécial")),0.166666666666667,""))</f>
        <v/>
      </c>
      <c r="AE849" s="8" t="str">
        <f aca="false">IF(AND(D849="Férié",F849="Férié"),0.333333333333333,IF(OR(AND(D849="Férié",F849&lt;&gt;"Férié"),(AND(F849="Férié",D849&lt;&gt;"Férié"))),0.166666666666667,""))</f>
        <v/>
      </c>
      <c r="AF849" s="18"/>
      <c r="AG849" s="18"/>
    </row>
    <row r="850" customFormat="false" ht="15" hidden="false" customHeight="false" outlineLevel="0" collapsed="false">
      <c r="A850" s="6" t="str">
        <f aca="false">YEAR(Q850-WEEKDAY(Q850,2)+4)&amp;"-S"&amp;TEXT(WEEKNUM(Q850,21),"00")</f>
        <v>2026-S28</v>
      </c>
      <c r="B850" s="18" t="s">
        <v>71</v>
      </c>
      <c r="C850" s="19"/>
      <c r="D850" s="19" t="s">
        <v>74</v>
      </c>
      <c r="E850" s="19"/>
      <c r="F850" s="19" t="s">
        <v>74</v>
      </c>
      <c r="G850" s="20"/>
      <c r="H850" s="20"/>
      <c r="I850" s="8" t="str">
        <f aca="false">IF(IF(OR(C850="",D850="Congé",D850="OFF",D850="Congé spécial"),"",IF(D850&gt;F850,D850-C850,IF(C850-D850&lt;0,0,C850-D850)))&lt;0.00068287037037037,"",IF(OR(D850="Congé",D850="OFF",C850="",D850="Congé spécial"),"",IF(D850&gt;F850,D850-C850,IF(C850-D850&lt;0,0,C850-D850))))</f>
        <v/>
      </c>
      <c r="J850" s="20"/>
      <c r="K850" s="8" t="n">
        <f aca="false">IF(SUM(H850:J850)&lt;0.00068287037037037,0,SUM(H850:J850))</f>
        <v>0</v>
      </c>
      <c r="L850" s="8" t="n">
        <f aca="false">IF(OR(F850="Congé",F850="OFF",M850="Abs",F850="Congé sans solde",F850="Férié",F850="Congé spécial",D850="Congé spécial"),0,IF(F850-E850&lt;0,0,IF(F850-E850&lt;=0.00068287037037037,0,F850-E850)))</f>
        <v>0</v>
      </c>
      <c r="M850" s="6" t="n">
        <f aca="false">IF(AND(O850&lt;&gt;0,C850=""),"Abs",0)</f>
        <v>0</v>
      </c>
      <c r="N850" s="8" t="str">
        <f aca="false">IFERROR(IF(OR(D850="OFF",D850="Congé",M850="Abs",D850="Congé sans solde",D850="Férié"),"",IF(O850-K850-L850&gt;O850,O850,IF(O850-K850-L850&lt;0,"",O850-K850-L850))),"")</f>
        <v/>
      </c>
      <c r="O850" s="8" t="n">
        <f aca="false">IF(AG850="2H Pause déjeuner",IF(F850-D850-0.0833333333333333&lt;0,F850-D850-0.0833333333333333+1,F850-D850-0.0833333333333333),IF(OR(AND(F850="OFF",D850="OFF"),AND(F850="Congé",D850="Congé"),AND(F850="Congé sans solde",D850="Congé sans solde"),AND(F850="Congé spécial",D850="Congé spécial"),AND(F850="Férié",D850="Férié"),AND(F850="OFF",D850="Congé"),AND(F850="OFF",D850="Congé sans solde"),AND(F850="OFF",D850="Congé spécial"),AND(F850="OFF",D850="Férié"),AND(F850="Congé",D850="OFF"),AND(F850="Congé",D850="Congé sans solde"),AND(F850="Congé",D850="Congé spécial"),AND(F850="Congé",D850="Férié"),AND(F850="Congé sans solde",D850="OFF"),AND(F850="Congé sans solde",D850="Congé"),AND(F850="Congé sans solde",D850="Congé spécial"),AND(F850="Congé sans solde",D850="Férié"),AND(F850="Congé spécial",D850="OFF"),AND(F850="Congé spécial",D850="Congé"),AND(F850="Congé spécial",D850="Congé sans solde"),AND(F850="Congé spécial",D850="Férié"),AND(F850="Férié",D850="OFF"),AND(F850="Férié",D850="Congé"),AND(F850="Férié",D850="Congé sans solde"),AND(F850="Férié",D850="Congé spécial")),0,IF(OR(F850="OFF",F850="Congé",F850="Congé spécial",F850="Congé sans solde",D850="OFF",D850="Congé",D850="Congé spécial",D850="Congé sans solde"),0.208333333333334,IF(AND(AG850="",F850-D850&lt;0),("24:00:00"-D850)+("00:00:00"+F850)-0.0416666666666667,IF(AND(OR(AG850="Allaitement",AG850="Sans déjeuner"),F850-D850&lt;0),("24:00:00"-D850)+("00:00:00"+F850),IF(AND(AG850="",F850-D850&gt;0.166666666666667),F850-D850-0.0416666666666667,IF(AND(OR(AG850="Allaitement",AG850="Sans déjeuner"),F850-D850&gt;0.166666666666667),F850-D850,F850-D850)))))))</f>
        <v>0</v>
      </c>
      <c r="P850" s="6" t="str">
        <f aca="false">IFERROR(VLOOKUP($B850,Agents!$A:$D,2,0),"-")</f>
        <v>Accessibilité</v>
      </c>
      <c r="Q850" s="21" t="n">
        <v>46214</v>
      </c>
      <c r="R850" s="8" t="n">
        <f aca="false">IF(M850="Abs",O850,0)</f>
        <v>0</v>
      </c>
      <c r="S850" s="8" t="n">
        <f aca="false">SUM(R850,L850,I850,J850,W850,H850)</f>
        <v>0</v>
      </c>
      <c r="T850" s="6" t="str">
        <f aca="false">"Sem - "&amp;WEEKNUM(Q850,21)</f>
        <v>Sem - 28</v>
      </c>
      <c r="U850" s="6" t="str">
        <f aca="false">CHOOSE(MONTH(Q850),"Janvier","Février","Mars","Avril","Mai","Juin","Juillet","Août","Septembre","Octobre","Novembre","Décembre")</f>
        <v>Juillet</v>
      </c>
      <c r="V850" s="22" t="n">
        <f aca="false">YEAR(Q850)</f>
        <v>2026</v>
      </c>
      <c r="W850" s="20"/>
      <c r="X850" s="8" t="n">
        <f aca="false">IFERROR(IF(M850="Abs",0,IF(ROUND((D850-C850+E850-F850)*1440,0)&lt;=1,0,D850-C850+E850-F850)),0)</f>
        <v>0</v>
      </c>
      <c r="Y850" s="6" t="str">
        <f aca="false">IFERROR(VLOOKUP($B850,Agents!$A:$D,3,0),"-")</f>
        <v>OUBRAHIM Mohammed</v>
      </c>
      <c r="Z850" s="6" t="str">
        <f aca="false">IFERROR(VLOOKUP($B850,Agents!$A:$D,4,0),"-")</f>
        <v>Credit Mutuel</v>
      </c>
      <c r="AA850" s="18" t="s">
        <v>110</v>
      </c>
      <c r="AB850" s="8" t="str">
        <f aca="false">IF(AND(D850="Congé",F850="Congé"),0.333333333333333,IF(OR(AND(D850="Congé",F850&lt;&gt;"Congé"),(AND(F850="Congé",D850&lt;&gt;"Congé"))),0.166666666666667,""))</f>
        <v/>
      </c>
      <c r="AC850" s="8" t="str">
        <f aca="false">IF(AND(D850="Congé sans solde",F850="Congé sans solde"),0.333333333333333,IF(OR(AND(D850="Congé sans solde",F850&lt;&gt;"Congé sans solde"),(AND(F850="Congé sans solde",D850&lt;&gt;"Congé sans solde"))),0.166666666666667,""))</f>
        <v/>
      </c>
      <c r="AD850" s="8" t="str">
        <f aca="false">IF(AND(D850="Congé spécial",F850="Congé spécial"),0.333333333333333,IF(OR(AND(D850="Congé spécial",F850&lt;&gt;"Congé spécial"),AND(F850="Congé spécial",D850&lt;&gt;"Congé spécial")),0.166666666666667,""))</f>
        <v/>
      </c>
      <c r="AE850" s="8" t="str">
        <f aca="false">IF(AND(D850="Férié",F850="Férié"),0.333333333333333,IF(OR(AND(D850="Férié",F850&lt;&gt;"Férié"),(AND(F850="Férié",D850&lt;&gt;"Férié"))),0.166666666666667,""))</f>
        <v/>
      </c>
      <c r="AF850" s="18"/>
      <c r="AG850" s="18"/>
    </row>
    <row r="851" customFormat="false" ht="15" hidden="false" customHeight="false" outlineLevel="0" collapsed="false">
      <c r="A851" s="6" t="str">
        <f aca="false">YEAR(Q851-WEEKDAY(Q851,2)+4)&amp;"-S"&amp;TEXT(WEEKNUM(Q851,21),"00")</f>
        <v>2026-S28</v>
      </c>
      <c r="B851" s="18" t="s">
        <v>72</v>
      </c>
      <c r="C851" s="19"/>
      <c r="D851" s="19" t="s">
        <v>74</v>
      </c>
      <c r="E851" s="19"/>
      <c r="F851" s="19" t="s">
        <v>74</v>
      </c>
      <c r="G851" s="20"/>
      <c r="H851" s="20"/>
      <c r="I851" s="8" t="str">
        <f aca="false">IF(IF(OR(C851="",D851="Congé",D851="OFF",D851="Congé spécial"),"",IF(D851&gt;F851,D851-C851,IF(C851-D851&lt;0,0,C851-D851)))&lt;0.00068287037037037,"",IF(OR(D851="Congé",D851="OFF",C851="",D851="Congé spécial"),"",IF(D851&gt;F851,D851-C851,IF(C851-D851&lt;0,0,C851-D851))))</f>
        <v/>
      </c>
      <c r="J851" s="20"/>
      <c r="K851" s="8" t="n">
        <f aca="false">IF(SUM(H851:J851)&lt;0.00068287037037037,0,SUM(H851:J851))</f>
        <v>0</v>
      </c>
      <c r="L851" s="8" t="n">
        <f aca="false">IF(OR(F851="Congé",F851="OFF",M851="Abs",F851="Congé sans solde",F851="Férié",F851="Congé spécial",D851="Congé spécial"),0,IF(F851-E851&lt;0,0,IF(F851-E851&lt;=0.00068287037037037,0,F851-E851)))</f>
        <v>0</v>
      </c>
      <c r="M851" s="6" t="n">
        <f aca="false">IF(AND(O851&lt;&gt;0,C851=""),"Abs",0)</f>
        <v>0</v>
      </c>
      <c r="N851" s="8" t="str">
        <f aca="false">IFERROR(IF(OR(D851="OFF",D851="Congé",M851="Abs",D851="Congé sans solde",D851="Férié"),"",IF(O851-K851-L851&gt;O851,O851,IF(O851-K851-L851&lt;0,"",O851-K851-L851))),"")</f>
        <v/>
      </c>
      <c r="O851" s="8" t="n">
        <f aca="false">IF(AG851="2H Pause déjeuner",IF(F851-D851-0.0833333333333333&lt;0,F851-D851-0.0833333333333333+1,F851-D851-0.0833333333333333),IF(OR(AND(F851="OFF",D851="OFF"),AND(F851="Congé",D851="Congé"),AND(F851="Congé sans solde",D851="Congé sans solde"),AND(F851="Congé spécial",D851="Congé spécial"),AND(F851="Férié",D851="Férié"),AND(F851="OFF",D851="Congé"),AND(F851="OFF",D851="Congé sans solde"),AND(F851="OFF",D851="Congé spécial"),AND(F851="OFF",D851="Férié"),AND(F851="Congé",D851="OFF"),AND(F851="Congé",D851="Congé sans solde"),AND(F851="Congé",D851="Congé spécial"),AND(F851="Congé",D851="Férié"),AND(F851="Congé sans solde",D851="OFF"),AND(F851="Congé sans solde",D851="Congé"),AND(F851="Congé sans solde",D851="Congé spécial"),AND(F851="Congé sans solde",D851="Férié"),AND(F851="Congé spécial",D851="OFF"),AND(F851="Congé spécial",D851="Congé"),AND(F851="Congé spécial",D851="Congé sans solde"),AND(F851="Congé spécial",D851="Férié"),AND(F851="Férié",D851="OFF"),AND(F851="Férié",D851="Congé"),AND(F851="Férié",D851="Congé sans solde"),AND(F851="Férié",D851="Congé spécial")),0,IF(OR(F851="OFF",F851="Congé",F851="Congé spécial",F851="Congé sans solde",D851="OFF",D851="Congé",D851="Congé spécial",D851="Congé sans solde"),0.208333333333334,IF(AND(AG851="",F851-D851&lt;0),("24:00:00"-D851)+("00:00:00"+F851)-0.0416666666666667,IF(AND(OR(AG851="Allaitement",AG851="Sans déjeuner"),F851-D851&lt;0),("24:00:00"-D851)+("00:00:00"+F851),IF(AND(AG851="",F851-D851&gt;0.166666666666667),F851-D851-0.0416666666666667,IF(AND(OR(AG851="Allaitement",AG851="Sans déjeuner"),F851-D851&gt;0.166666666666667),F851-D851,F851-D851)))))))</f>
        <v>0</v>
      </c>
      <c r="P851" s="6" t="str">
        <f aca="false">IFERROR(VLOOKUP($B851,Agents!$A:$D,2,0),"-")</f>
        <v>Accessibilité</v>
      </c>
      <c r="Q851" s="21" t="n">
        <v>46214</v>
      </c>
      <c r="R851" s="8" t="n">
        <f aca="false">IF(M851="Abs",O851,0)</f>
        <v>0</v>
      </c>
      <c r="S851" s="8" t="n">
        <f aca="false">SUM(R851,L851,I851,J851,W851,H851)</f>
        <v>0</v>
      </c>
      <c r="T851" s="6" t="str">
        <f aca="false">"Sem - "&amp;WEEKNUM(Q851,21)</f>
        <v>Sem - 28</v>
      </c>
      <c r="U851" s="6" t="str">
        <f aca="false">CHOOSE(MONTH(Q851),"Janvier","Février","Mars","Avril","Mai","Juin","Juillet","Août","Septembre","Octobre","Novembre","Décembre")</f>
        <v>Juillet</v>
      </c>
      <c r="V851" s="22" t="n">
        <f aca="false">YEAR(Q851)</f>
        <v>2026</v>
      </c>
      <c r="W851" s="20"/>
      <c r="X851" s="8" t="n">
        <f aca="false">IFERROR(IF(M851="Abs",0,IF(ROUND((D851-C851+E851-F851)*1440,0)&lt;=1,0,D851-C851+E851-F851)),0)</f>
        <v>0</v>
      </c>
      <c r="Y851" s="6" t="str">
        <f aca="false">IFERROR(VLOOKUP($B851,Agents!$A:$D,3,0),"-")</f>
        <v>OUBRAHIM Mohammed</v>
      </c>
      <c r="Z851" s="6" t="str">
        <f aca="false">IFERROR(VLOOKUP($B851,Agents!$A:$D,4,0),"-")</f>
        <v>Credit Mutuel</v>
      </c>
      <c r="AA851" s="18" t="s">
        <v>110</v>
      </c>
      <c r="AB851" s="8" t="str">
        <f aca="false">IF(AND(D851="Congé",F851="Congé"),0.333333333333333,IF(OR(AND(D851="Congé",F851&lt;&gt;"Congé"),(AND(F851="Congé",D851&lt;&gt;"Congé"))),0.166666666666667,""))</f>
        <v/>
      </c>
      <c r="AC851" s="8" t="str">
        <f aca="false">IF(AND(D851="Congé sans solde",F851="Congé sans solde"),0.333333333333333,IF(OR(AND(D851="Congé sans solde",F851&lt;&gt;"Congé sans solde"),(AND(F851="Congé sans solde",D851&lt;&gt;"Congé sans solde"))),0.166666666666667,""))</f>
        <v/>
      </c>
      <c r="AD851" s="8" t="str">
        <f aca="false">IF(AND(D851="Congé spécial",F851="Congé spécial"),0.333333333333333,IF(OR(AND(D851="Congé spécial",F851&lt;&gt;"Congé spécial"),AND(F851="Congé spécial",D851&lt;&gt;"Congé spécial")),0.166666666666667,""))</f>
        <v/>
      </c>
      <c r="AE851" s="8" t="str">
        <f aca="false">IF(AND(D851="Férié",F851="Férié"),0.333333333333333,IF(OR(AND(D851="Férié",F851&lt;&gt;"Férié"),(AND(F851="Férié",D851&lt;&gt;"Férié"))),0.166666666666667,""))</f>
        <v/>
      </c>
      <c r="AF851" s="18"/>
      <c r="AG851" s="18"/>
    </row>
    <row r="852" customFormat="false" ht="15" hidden="false" customHeight="false" outlineLevel="0" collapsed="false">
      <c r="A852" s="6" t="str">
        <f aca="false">YEAR(Q852-WEEKDAY(Q852,2)+4)&amp;"-S"&amp;TEXT(WEEKNUM(Q852,21),"00")</f>
        <v>2026-S28</v>
      </c>
      <c r="B852" s="18" t="s">
        <v>73</v>
      </c>
      <c r="C852" s="19"/>
      <c r="D852" s="19" t="s">
        <v>74</v>
      </c>
      <c r="E852" s="19"/>
      <c r="F852" s="19" t="s">
        <v>74</v>
      </c>
      <c r="G852" s="20"/>
      <c r="H852" s="20"/>
      <c r="I852" s="8" t="str">
        <f aca="false">IF(IF(OR(C852="",D852="Congé",D852="OFF",D852="Congé spécial"),"",IF(D852&gt;F852,D852-C852,IF(C852-D852&lt;0,0,C852-D852)))&lt;0.00068287037037037,"",IF(OR(D852="Congé",D852="OFF",C852="",D852="Congé spécial"),"",IF(D852&gt;F852,D852-C852,IF(C852-D852&lt;0,0,C852-D852))))</f>
        <v/>
      </c>
      <c r="J852" s="20"/>
      <c r="K852" s="8" t="n">
        <f aca="false">IF(SUM(H852:J852)&lt;0.00068287037037037,0,SUM(H852:J852))</f>
        <v>0</v>
      </c>
      <c r="L852" s="8" t="n">
        <f aca="false">IF(OR(F852="Congé",F852="OFF",M852="Abs",F852="Congé sans solde",F852="Férié",F852="Congé spécial",D852="Congé spécial"),0,IF(F852-E852&lt;0,0,IF(F852-E852&lt;=0.00068287037037037,0,F852-E852)))</f>
        <v>0</v>
      </c>
      <c r="M852" s="6" t="n">
        <f aca="false">IF(AND(O852&lt;&gt;0,C852=""),"Abs",0)</f>
        <v>0</v>
      </c>
      <c r="N852" s="8" t="str">
        <f aca="false">IFERROR(IF(OR(D852="OFF",D852="Congé",M852="Abs",D852="Congé sans solde",D852="Férié"),"",IF(O852-K852-L852&gt;O852,O852,IF(O852-K852-L852&lt;0,"",O852-K852-L852))),"")</f>
        <v/>
      </c>
      <c r="O852" s="8" t="n">
        <f aca="false">IF(AG852="2H Pause déjeuner",IF(F852-D852-0.0833333333333333&lt;0,F852-D852-0.0833333333333333+1,F852-D852-0.0833333333333333),IF(OR(AND(F852="OFF",D852="OFF"),AND(F852="Congé",D852="Congé"),AND(F852="Congé sans solde",D852="Congé sans solde"),AND(F852="Congé spécial",D852="Congé spécial"),AND(F852="Férié",D852="Férié"),AND(F852="OFF",D852="Congé"),AND(F852="OFF",D852="Congé sans solde"),AND(F852="OFF",D852="Congé spécial"),AND(F852="OFF",D852="Férié"),AND(F852="Congé",D852="OFF"),AND(F852="Congé",D852="Congé sans solde"),AND(F852="Congé",D852="Congé spécial"),AND(F852="Congé",D852="Férié"),AND(F852="Congé sans solde",D852="OFF"),AND(F852="Congé sans solde",D852="Congé"),AND(F852="Congé sans solde",D852="Congé spécial"),AND(F852="Congé sans solde",D852="Férié"),AND(F852="Congé spécial",D852="OFF"),AND(F852="Congé spécial",D852="Congé"),AND(F852="Congé spécial",D852="Congé sans solde"),AND(F852="Congé spécial",D852="Férié"),AND(F852="Férié",D852="OFF"),AND(F852="Férié",D852="Congé"),AND(F852="Férié",D852="Congé sans solde"),AND(F852="Férié",D852="Congé spécial")),0,IF(OR(F852="OFF",F852="Congé",F852="Congé spécial",F852="Congé sans solde",D852="OFF",D852="Congé",D852="Congé spécial",D852="Congé sans solde"),0.208333333333334,IF(AND(AG852="",F852-D852&lt;0),("24:00:00"-D852)+("00:00:00"+F852)-0.0416666666666667,IF(AND(OR(AG852="Allaitement",AG852="Sans déjeuner"),F852-D852&lt;0),("24:00:00"-D852)+("00:00:00"+F852),IF(AND(AG852="",F852-D852&gt;0.166666666666667),F852-D852-0.0416666666666667,IF(AND(OR(AG852="Allaitement",AG852="Sans déjeuner"),F852-D852&gt;0.166666666666667),F852-D852,F852-D852)))))))</f>
        <v>0</v>
      </c>
      <c r="P852" s="6" t="str">
        <f aca="false">IFERROR(VLOOKUP($B852,Agents!$A:$D,2,0),"-")</f>
        <v>Accessibilité</v>
      </c>
      <c r="Q852" s="21" t="n">
        <v>46214</v>
      </c>
      <c r="R852" s="8" t="n">
        <f aca="false">IF(M852="Abs",O852,0)</f>
        <v>0</v>
      </c>
      <c r="S852" s="8" t="n">
        <f aca="false">SUM(R852,L852,I852,J852,W852,H852)</f>
        <v>0</v>
      </c>
      <c r="T852" s="6" t="str">
        <f aca="false">"Sem - "&amp;WEEKNUM(Q852,21)</f>
        <v>Sem - 28</v>
      </c>
      <c r="U852" s="6" t="str">
        <f aca="false">CHOOSE(MONTH(Q852),"Janvier","Février","Mars","Avril","Mai","Juin","Juillet","Août","Septembre","Octobre","Novembre","Décembre")</f>
        <v>Juillet</v>
      </c>
      <c r="V852" s="22" t="n">
        <f aca="false">YEAR(Q852)</f>
        <v>2026</v>
      </c>
      <c r="W852" s="20"/>
      <c r="X852" s="8" t="n">
        <f aca="false">IFERROR(IF(M852="Abs",0,IF(ROUND((D852-C852+E852-F852)*1440,0)&lt;=1,0,D852-C852+E852-F852)),0)</f>
        <v>0</v>
      </c>
      <c r="Y852" s="6" t="str">
        <f aca="false">IFERROR(VLOOKUP($B852,Agents!$A:$D,3,0),"-")</f>
        <v>OUBRAHIM Mohammed</v>
      </c>
      <c r="Z852" s="6" t="str">
        <f aca="false">IFERROR(VLOOKUP($B852,Agents!$A:$D,4,0),"-")</f>
        <v>Credit Mutuel</v>
      </c>
      <c r="AA852" s="18" t="s">
        <v>110</v>
      </c>
      <c r="AB852" s="8" t="str">
        <f aca="false">IF(AND(D852="Congé",F852="Congé"),0.333333333333333,IF(OR(AND(D852="Congé",F852&lt;&gt;"Congé"),(AND(F852="Congé",D852&lt;&gt;"Congé"))),0.166666666666667,""))</f>
        <v/>
      </c>
      <c r="AC852" s="8" t="str">
        <f aca="false">IF(AND(D852="Congé sans solde",F852="Congé sans solde"),0.333333333333333,IF(OR(AND(D852="Congé sans solde",F852&lt;&gt;"Congé sans solde"),(AND(F852="Congé sans solde",D852&lt;&gt;"Congé sans solde"))),0.166666666666667,""))</f>
        <v/>
      </c>
      <c r="AD852" s="8" t="str">
        <f aca="false">IF(AND(D852="Congé spécial",F852="Congé spécial"),0.333333333333333,IF(OR(AND(D852="Congé spécial",F852&lt;&gt;"Congé spécial"),AND(F852="Congé spécial",D852&lt;&gt;"Congé spécial")),0.166666666666667,""))</f>
        <v/>
      </c>
      <c r="AE852" s="8" t="str">
        <f aca="false">IF(AND(D852="Férié",F852="Férié"),0.333333333333333,IF(OR(AND(D852="Férié",F852&lt;&gt;"Férié"),(AND(F852="Férié",D852&lt;&gt;"Férié"))),0.166666666666667,""))</f>
        <v/>
      </c>
      <c r="AF852" s="18"/>
      <c r="AG852" s="18"/>
    </row>
    <row r="853" customFormat="false" ht="15" hidden="false" customHeight="false" outlineLevel="0" collapsed="false">
      <c r="A853" s="6" t="str">
        <f aca="false">YEAR(Q853-WEEKDAY(Q853,2)+4)&amp;"-S"&amp;TEXT(WEEKNUM(Q853,21),"00")</f>
        <v>2026-S28</v>
      </c>
      <c r="B853" s="18" t="s">
        <v>71</v>
      </c>
      <c r="C853" s="19"/>
      <c r="D853" s="19" t="s">
        <v>74</v>
      </c>
      <c r="E853" s="19"/>
      <c r="F853" s="19" t="s">
        <v>74</v>
      </c>
      <c r="G853" s="20"/>
      <c r="H853" s="20"/>
      <c r="I853" s="8" t="str">
        <f aca="false">IF(IF(OR(C853="",D853="Congé",D853="OFF",D853="Congé spécial"),"",IF(D853&gt;F853,D853-C853,IF(C853-D853&lt;0,0,C853-D853)))&lt;0.00068287037037037,"",IF(OR(D853="Congé",D853="OFF",C853="",D853="Congé spécial"),"",IF(D853&gt;F853,D853-C853,IF(C853-D853&lt;0,0,C853-D853))))</f>
        <v/>
      </c>
      <c r="J853" s="20"/>
      <c r="K853" s="8" t="n">
        <f aca="false">IF(SUM(H853:J853)&lt;0.00068287037037037,0,SUM(H853:J853))</f>
        <v>0</v>
      </c>
      <c r="L853" s="8" t="n">
        <f aca="false">IF(OR(F853="Congé",F853="OFF",M853="Abs",F853="Congé sans solde",F853="Férié",F853="Congé spécial",D853="Congé spécial"),0,IF(F853-E853&lt;0,0,IF(F853-E853&lt;=0.00068287037037037,0,F853-E853)))</f>
        <v>0</v>
      </c>
      <c r="M853" s="6" t="n">
        <f aca="false">IF(AND(O853&lt;&gt;0,C853=""),"Abs",0)</f>
        <v>0</v>
      </c>
      <c r="N853" s="8" t="str">
        <f aca="false">IFERROR(IF(OR(D853="OFF",D853="Congé",M853="Abs",D853="Congé sans solde",D853="Férié"),"",IF(O853-K853-L853&gt;O853,O853,IF(O853-K853-L853&lt;0,"",O853-K853-L853))),"")</f>
        <v/>
      </c>
      <c r="O853" s="8" t="n">
        <f aca="false">IF(AG853="2H Pause déjeuner",IF(F853-D853-0.0833333333333333&lt;0,F853-D853-0.0833333333333333+1,F853-D853-0.0833333333333333),IF(OR(AND(F853="OFF",D853="OFF"),AND(F853="Congé",D853="Congé"),AND(F853="Congé sans solde",D853="Congé sans solde"),AND(F853="Congé spécial",D853="Congé spécial"),AND(F853="Férié",D853="Férié"),AND(F853="OFF",D853="Congé"),AND(F853="OFF",D853="Congé sans solde"),AND(F853="OFF",D853="Congé spécial"),AND(F853="OFF",D853="Férié"),AND(F853="Congé",D853="OFF"),AND(F853="Congé",D853="Congé sans solde"),AND(F853="Congé",D853="Congé spécial"),AND(F853="Congé",D853="Férié"),AND(F853="Congé sans solde",D853="OFF"),AND(F853="Congé sans solde",D853="Congé"),AND(F853="Congé sans solde",D853="Congé spécial"),AND(F853="Congé sans solde",D853="Férié"),AND(F853="Congé spécial",D853="OFF"),AND(F853="Congé spécial",D853="Congé"),AND(F853="Congé spécial",D853="Congé sans solde"),AND(F853="Congé spécial",D853="Férié"),AND(F853="Férié",D853="OFF"),AND(F853="Férié",D853="Congé"),AND(F853="Férié",D853="Congé sans solde"),AND(F853="Férié",D853="Congé spécial")),0,IF(OR(F853="OFF",F853="Congé",F853="Congé spécial",F853="Congé sans solde",D853="OFF",D853="Congé",D853="Congé spécial",D853="Congé sans solde"),0.208333333333334,IF(AND(AG853="",F853-D853&lt;0),("24:00:00"-D853)+("00:00:00"+F853)-0.0416666666666667,IF(AND(OR(AG853="Allaitement",AG853="Sans déjeuner"),F853-D853&lt;0),("24:00:00"-D853)+("00:00:00"+F853),IF(AND(AG853="",F853-D853&gt;0.166666666666667),F853-D853-0.0416666666666667,IF(AND(OR(AG853="Allaitement",AG853="Sans déjeuner"),F853-D853&gt;0.166666666666667),F853-D853,F853-D853)))))))</f>
        <v>0</v>
      </c>
      <c r="P853" s="6" t="str">
        <f aca="false">IFERROR(VLOOKUP($B853,Agents!$A:$D,2,0),"-")</f>
        <v>Accessibilité</v>
      </c>
      <c r="Q853" s="21" t="n">
        <v>46215</v>
      </c>
      <c r="R853" s="8" t="n">
        <f aca="false">IF(M853="Abs",O853,0)</f>
        <v>0</v>
      </c>
      <c r="S853" s="8" t="n">
        <f aca="false">SUM(R853,L853,I853,J853,W853,H853)</f>
        <v>0</v>
      </c>
      <c r="T853" s="6" t="str">
        <f aca="false">"Sem - "&amp;WEEKNUM(Q853,21)</f>
        <v>Sem - 28</v>
      </c>
      <c r="U853" s="6" t="str">
        <f aca="false">CHOOSE(MONTH(Q853),"Janvier","Février","Mars","Avril","Mai","Juin","Juillet","Août","Septembre","Octobre","Novembre","Décembre")</f>
        <v>Juillet</v>
      </c>
      <c r="V853" s="22" t="n">
        <f aca="false">YEAR(Q853)</f>
        <v>2026</v>
      </c>
      <c r="W853" s="20"/>
      <c r="X853" s="8" t="n">
        <f aca="false">IFERROR(IF(M853="Abs",0,IF(ROUND((D853-C853+E853-F853)*1440,0)&lt;=1,0,D853-C853+E853-F853)),0)</f>
        <v>0</v>
      </c>
      <c r="Y853" s="6" t="str">
        <f aca="false">IFERROR(VLOOKUP($B853,Agents!$A:$D,3,0),"-")</f>
        <v>OUBRAHIM Mohammed</v>
      </c>
      <c r="Z853" s="6" t="str">
        <f aca="false">IFERROR(VLOOKUP($B853,Agents!$A:$D,4,0),"-")</f>
        <v>Credit Mutuel</v>
      </c>
      <c r="AA853" s="18" t="s">
        <v>110</v>
      </c>
      <c r="AB853" s="8" t="str">
        <f aca="false">IF(AND(D853="Congé",F853="Congé"),0.333333333333333,IF(OR(AND(D853="Congé",F853&lt;&gt;"Congé"),(AND(F853="Congé",D853&lt;&gt;"Congé"))),0.166666666666667,""))</f>
        <v/>
      </c>
      <c r="AC853" s="8" t="str">
        <f aca="false">IF(AND(D853="Congé sans solde",F853="Congé sans solde"),0.333333333333333,IF(OR(AND(D853="Congé sans solde",F853&lt;&gt;"Congé sans solde"),(AND(F853="Congé sans solde",D853&lt;&gt;"Congé sans solde"))),0.166666666666667,""))</f>
        <v/>
      </c>
      <c r="AD853" s="8" t="str">
        <f aca="false">IF(AND(D853="Congé spécial",F853="Congé spécial"),0.333333333333333,IF(OR(AND(D853="Congé spécial",F853&lt;&gt;"Congé spécial"),AND(F853="Congé spécial",D853&lt;&gt;"Congé spécial")),0.166666666666667,""))</f>
        <v/>
      </c>
      <c r="AE853" s="8" t="str">
        <f aca="false">IF(AND(D853="Férié",F853="Férié"),0.333333333333333,IF(OR(AND(D853="Férié",F853&lt;&gt;"Férié"),(AND(F853="Férié",D853&lt;&gt;"Férié"))),0.166666666666667,""))</f>
        <v/>
      </c>
      <c r="AF853" s="18"/>
      <c r="AG853" s="18"/>
    </row>
    <row r="854" customFormat="false" ht="15" hidden="false" customHeight="false" outlineLevel="0" collapsed="false">
      <c r="A854" s="6" t="str">
        <f aca="false">YEAR(Q854-WEEKDAY(Q854,2)+4)&amp;"-S"&amp;TEXT(WEEKNUM(Q854,21),"00")</f>
        <v>2026-S28</v>
      </c>
      <c r="B854" s="18" t="s">
        <v>72</v>
      </c>
      <c r="C854" s="19"/>
      <c r="D854" s="19" t="s">
        <v>74</v>
      </c>
      <c r="E854" s="19"/>
      <c r="F854" s="19" t="s">
        <v>74</v>
      </c>
      <c r="G854" s="20"/>
      <c r="H854" s="20"/>
      <c r="I854" s="8" t="str">
        <f aca="false">IF(IF(OR(C854="",D854="Congé",D854="OFF",D854="Congé spécial"),"",IF(D854&gt;F854,D854-C854,IF(C854-D854&lt;0,0,C854-D854)))&lt;0.00068287037037037,"",IF(OR(D854="Congé",D854="OFF",C854="",D854="Congé spécial"),"",IF(D854&gt;F854,D854-C854,IF(C854-D854&lt;0,0,C854-D854))))</f>
        <v/>
      </c>
      <c r="J854" s="20"/>
      <c r="K854" s="8" t="n">
        <f aca="false">IF(SUM(H854:J854)&lt;0.00068287037037037,0,SUM(H854:J854))</f>
        <v>0</v>
      </c>
      <c r="L854" s="8" t="n">
        <f aca="false">IF(OR(F854="Congé",F854="OFF",M854="Abs",F854="Congé sans solde",F854="Férié",F854="Congé spécial",D854="Congé spécial"),0,IF(F854-E854&lt;0,0,IF(F854-E854&lt;=0.00068287037037037,0,F854-E854)))</f>
        <v>0</v>
      </c>
      <c r="M854" s="6" t="n">
        <f aca="false">IF(AND(O854&lt;&gt;0,C854=""),"Abs",0)</f>
        <v>0</v>
      </c>
      <c r="N854" s="8" t="str">
        <f aca="false">IFERROR(IF(OR(D854="OFF",D854="Congé",M854="Abs",D854="Congé sans solde",D854="Férié"),"",IF(O854-K854-L854&gt;O854,O854,IF(O854-K854-L854&lt;0,"",O854-K854-L854))),"")</f>
        <v/>
      </c>
      <c r="O854" s="8" t="n">
        <f aca="false">IF(AG854="2H Pause déjeuner",IF(F854-D854-0.0833333333333333&lt;0,F854-D854-0.0833333333333333+1,F854-D854-0.0833333333333333),IF(OR(AND(F854="OFF",D854="OFF"),AND(F854="Congé",D854="Congé"),AND(F854="Congé sans solde",D854="Congé sans solde"),AND(F854="Congé spécial",D854="Congé spécial"),AND(F854="Férié",D854="Férié"),AND(F854="OFF",D854="Congé"),AND(F854="OFF",D854="Congé sans solde"),AND(F854="OFF",D854="Congé spécial"),AND(F854="OFF",D854="Férié"),AND(F854="Congé",D854="OFF"),AND(F854="Congé",D854="Congé sans solde"),AND(F854="Congé",D854="Congé spécial"),AND(F854="Congé",D854="Férié"),AND(F854="Congé sans solde",D854="OFF"),AND(F854="Congé sans solde",D854="Congé"),AND(F854="Congé sans solde",D854="Congé spécial"),AND(F854="Congé sans solde",D854="Férié"),AND(F854="Congé spécial",D854="OFF"),AND(F854="Congé spécial",D854="Congé"),AND(F854="Congé spécial",D854="Congé sans solde"),AND(F854="Congé spécial",D854="Férié"),AND(F854="Férié",D854="OFF"),AND(F854="Férié",D854="Congé"),AND(F854="Férié",D854="Congé sans solde"),AND(F854="Férié",D854="Congé spécial")),0,IF(OR(F854="OFF",F854="Congé",F854="Congé spécial",F854="Congé sans solde",D854="OFF",D854="Congé",D854="Congé spécial",D854="Congé sans solde"),0.208333333333334,IF(AND(AG854="",F854-D854&lt;0),("24:00:00"-D854)+("00:00:00"+F854)-0.0416666666666667,IF(AND(OR(AG854="Allaitement",AG854="Sans déjeuner"),F854-D854&lt;0),("24:00:00"-D854)+("00:00:00"+F854),IF(AND(AG854="",F854-D854&gt;0.166666666666667),F854-D854-0.0416666666666667,IF(AND(OR(AG854="Allaitement",AG854="Sans déjeuner"),F854-D854&gt;0.166666666666667),F854-D854,F854-D854)))))))</f>
        <v>0</v>
      </c>
      <c r="P854" s="6" t="str">
        <f aca="false">IFERROR(VLOOKUP($B854,Agents!$A:$D,2,0),"-")</f>
        <v>Accessibilité</v>
      </c>
      <c r="Q854" s="21" t="n">
        <v>46215</v>
      </c>
      <c r="R854" s="8" t="n">
        <f aca="false">IF(M854="Abs",O854,0)</f>
        <v>0</v>
      </c>
      <c r="S854" s="8" t="n">
        <f aca="false">SUM(R854,L854,I854,J854,W854,H854)</f>
        <v>0</v>
      </c>
      <c r="T854" s="6" t="str">
        <f aca="false">"Sem - "&amp;WEEKNUM(Q854,21)</f>
        <v>Sem - 28</v>
      </c>
      <c r="U854" s="6" t="str">
        <f aca="false">CHOOSE(MONTH(Q854),"Janvier","Février","Mars","Avril","Mai","Juin","Juillet","Août","Septembre","Octobre","Novembre","Décembre")</f>
        <v>Juillet</v>
      </c>
      <c r="V854" s="22" t="n">
        <f aca="false">YEAR(Q854)</f>
        <v>2026</v>
      </c>
      <c r="W854" s="20"/>
      <c r="X854" s="8" t="n">
        <f aca="false">IFERROR(IF(M854="Abs",0,IF(ROUND((D854-C854+E854-F854)*1440,0)&lt;=1,0,D854-C854+E854-F854)),0)</f>
        <v>0</v>
      </c>
      <c r="Y854" s="6" t="str">
        <f aca="false">IFERROR(VLOOKUP($B854,Agents!$A:$D,3,0),"-")</f>
        <v>OUBRAHIM Mohammed</v>
      </c>
      <c r="Z854" s="6" t="str">
        <f aca="false">IFERROR(VLOOKUP($B854,Agents!$A:$D,4,0),"-")</f>
        <v>Credit Mutuel</v>
      </c>
      <c r="AA854" s="18" t="s">
        <v>110</v>
      </c>
      <c r="AB854" s="8" t="str">
        <f aca="false">IF(AND(D854="Congé",F854="Congé"),0.333333333333333,IF(OR(AND(D854="Congé",F854&lt;&gt;"Congé"),(AND(F854="Congé",D854&lt;&gt;"Congé"))),0.166666666666667,""))</f>
        <v/>
      </c>
      <c r="AC854" s="8" t="str">
        <f aca="false">IF(AND(D854="Congé sans solde",F854="Congé sans solde"),0.333333333333333,IF(OR(AND(D854="Congé sans solde",F854&lt;&gt;"Congé sans solde"),(AND(F854="Congé sans solde",D854&lt;&gt;"Congé sans solde"))),0.166666666666667,""))</f>
        <v/>
      </c>
      <c r="AD854" s="8" t="str">
        <f aca="false">IF(AND(D854="Congé spécial",F854="Congé spécial"),0.333333333333333,IF(OR(AND(D854="Congé spécial",F854&lt;&gt;"Congé spécial"),AND(F854="Congé spécial",D854&lt;&gt;"Congé spécial")),0.166666666666667,""))</f>
        <v/>
      </c>
      <c r="AE854" s="8" t="str">
        <f aca="false">IF(AND(D854="Férié",F854="Férié"),0.333333333333333,IF(OR(AND(D854="Férié",F854&lt;&gt;"Férié"),(AND(F854="Férié",D854&lt;&gt;"Férié"))),0.166666666666667,""))</f>
        <v/>
      </c>
      <c r="AF854" s="18"/>
      <c r="AG854" s="18"/>
    </row>
    <row r="855" customFormat="false" ht="15" hidden="false" customHeight="false" outlineLevel="0" collapsed="false">
      <c r="A855" s="6" t="str">
        <f aca="false">YEAR(Q855-WEEKDAY(Q855,2)+4)&amp;"-S"&amp;TEXT(WEEKNUM(Q855,21),"00")</f>
        <v>2026-S28</v>
      </c>
      <c r="B855" s="18" t="s">
        <v>73</v>
      </c>
      <c r="C855" s="19"/>
      <c r="D855" s="19" t="s">
        <v>74</v>
      </c>
      <c r="E855" s="19"/>
      <c r="F855" s="19" t="s">
        <v>74</v>
      </c>
      <c r="G855" s="20"/>
      <c r="H855" s="20"/>
      <c r="I855" s="8" t="str">
        <f aca="false">IF(IF(OR(C855="",D855="Congé",D855="OFF",D855="Congé spécial"),"",IF(D855&gt;F855,D855-C855,IF(C855-D855&lt;0,0,C855-D855)))&lt;0.00068287037037037,"",IF(OR(D855="Congé",D855="OFF",C855="",D855="Congé spécial"),"",IF(D855&gt;F855,D855-C855,IF(C855-D855&lt;0,0,C855-D855))))</f>
        <v/>
      </c>
      <c r="J855" s="20"/>
      <c r="K855" s="8" t="n">
        <f aca="false">IF(SUM(H855:J855)&lt;0.00068287037037037,0,SUM(H855:J855))</f>
        <v>0</v>
      </c>
      <c r="L855" s="8" t="n">
        <f aca="false">IF(OR(F855="Congé",F855="OFF",M855="Abs",F855="Congé sans solde",F855="Férié",F855="Congé spécial",D855="Congé spécial"),0,IF(F855-E855&lt;0,0,IF(F855-E855&lt;=0.00068287037037037,0,F855-E855)))</f>
        <v>0</v>
      </c>
      <c r="M855" s="6" t="n">
        <f aca="false">IF(AND(O855&lt;&gt;0,C855=""),"Abs",0)</f>
        <v>0</v>
      </c>
      <c r="N855" s="8" t="str">
        <f aca="false">IFERROR(IF(OR(D855="OFF",D855="Congé",M855="Abs",D855="Congé sans solde",D855="Férié"),"",IF(O855-K855-L855&gt;O855,O855,IF(O855-K855-L855&lt;0,"",O855-K855-L855))),"")</f>
        <v/>
      </c>
      <c r="O855" s="8" t="n">
        <f aca="false">IF(AG855="2H Pause déjeuner",IF(F855-D855-0.0833333333333333&lt;0,F855-D855-0.0833333333333333+1,F855-D855-0.0833333333333333),IF(OR(AND(F855="OFF",D855="OFF"),AND(F855="Congé",D855="Congé"),AND(F855="Congé sans solde",D855="Congé sans solde"),AND(F855="Congé spécial",D855="Congé spécial"),AND(F855="Férié",D855="Férié"),AND(F855="OFF",D855="Congé"),AND(F855="OFF",D855="Congé sans solde"),AND(F855="OFF",D855="Congé spécial"),AND(F855="OFF",D855="Férié"),AND(F855="Congé",D855="OFF"),AND(F855="Congé",D855="Congé sans solde"),AND(F855="Congé",D855="Congé spécial"),AND(F855="Congé",D855="Férié"),AND(F855="Congé sans solde",D855="OFF"),AND(F855="Congé sans solde",D855="Congé"),AND(F855="Congé sans solde",D855="Congé spécial"),AND(F855="Congé sans solde",D855="Férié"),AND(F855="Congé spécial",D855="OFF"),AND(F855="Congé spécial",D855="Congé"),AND(F855="Congé spécial",D855="Congé sans solde"),AND(F855="Congé spécial",D855="Férié"),AND(F855="Férié",D855="OFF"),AND(F855="Férié",D855="Congé"),AND(F855="Férié",D855="Congé sans solde"),AND(F855="Férié",D855="Congé spécial")),0,IF(OR(F855="OFF",F855="Congé",F855="Congé spécial",F855="Congé sans solde",D855="OFF",D855="Congé",D855="Congé spécial",D855="Congé sans solde"),0.208333333333334,IF(AND(AG855="",F855-D855&lt;0),("24:00:00"-D855)+("00:00:00"+F855)-0.0416666666666667,IF(AND(OR(AG855="Allaitement",AG855="Sans déjeuner"),F855-D855&lt;0),("24:00:00"-D855)+("00:00:00"+F855),IF(AND(AG855="",F855-D855&gt;0.166666666666667),F855-D855-0.0416666666666667,IF(AND(OR(AG855="Allaitement",AG855="Sans déjeuner"),F855-D855&gt;0.166666666666667),F855-D855,F855-D855)))))))</f>
        <v>0</v>
      </c>
      <c r="P855" s="6" t="str">
        <f aca="false">IFERROR(VLOOKUP($B855,Agents!$A:$D,2,0),"-")</f>
        <v>Accessibilité</v>
      </c>
      <c r="Q855" s="21" t="n">
        <v>46215</v>
      </c>
      <c r="R855" s="8" t="n">
        <f aca="false">IF(M855="Abs",O855,0)</f>
        <v>0</v>
      </c>
      <c r="S855" s="8" t="n">
        <f aca="false">SUM(R855,L855,I855,J855,W855,H855)</f>
        <v>0</v>
      </c>
      <c r="T855" s="6" t="str">
        <f aca="false">"Sem - "&amp;WEEKNUM(Q855,21)</f>
        <v>Sem - 28</v>
      </c>
      <c r="U855" s="6" t="str">
        <f aca="false">CHOOSE(MONTH(Q855),"Janvier","Février","Mars","Avril","Mai","Juin","Juillet","Août","Septembre","Octobre","Novembre","Décembre")</f>
        <v>Juillet</v>
      </c>
      <c r="V855" s="22" t="n">
        <f aca="false">YEAR(Q855)</f>
        <v>2026</v>
      </c>
      <c r="W855" s="20"/>
      <c r="X855" s="8" t="n">
        <f aca="false">IFERROR(IF(M855="Abs",0,IF(ROUND((D855-C855+E855-F855)*1440,0)&lt;=1,0,D855-C855+E855-F855)),0)</f>
        <v>0</v>
      </c>
      <c r="Y855" s="6" t="str">
        <f aca="false">IFERROR(VLOOKUP($B855,Agents!$A:$D,3,0),"-")</f>
        <v>OUBRAHIM Mohammed</v>
      </c>
      <c r="Z855" s="6" t="str">
        <f aca="false">IFERROR(VLOOKUP($B855,Agents!$A:$D,4,0),"-")</f>
        <v>Credit Mutuel</v>
      </c>
      <c r="AA855" s="18" t="s">
        <v>110</v>
      </c>
      <c r="AB855" s="8" t="str">
        <f aca="false">IF(AND(D855="Congé",F855="Congé"),0.333333333333333,IF(OR(AND(D855="Congé",F855&lt;&gt;"Congé"),(AND(F855="Congé",D855&lt;&gt;"Congé"))),0.166666666666667,""))</f>
        <v/>
      </c>
      <c r="AC855" s="8" t="str">
        <f aca="false">IF(AND(D855="Congé sans solde",F855="Congé sans solde"),0.333333333333333,IF(OR(AND(D855="Congé sans solde",F855&lt;&gt;"Congé sans solde"),(AND(F855="Congé sans solde",D855&lt;&gt;"Congé sans solde"))),0.166666666666667,""))</f>
        <v/>
      </c>
      <c r="AD855" s="8" t="str">
        <f aca="false">IF(AND(D855="Congé spécial",F855="Congé spécial"),0.333333333333333,IF(OR(AND(D855="Congé spécial",F855&lt;&gt;"Congé spécial"),AND(F855="Congé spécial",D855&lt;&gt;"Congé spécial")),0.166666666666667,""))</f>
        <v/>
      </c>
      <c r="AE855" s="8" t="str">
        <f aca="false">IF(AND(D855="Férié",F855="Férié"),0.333333333333333,IF(OR(AND(D855="Férié",F855&lt;&gt;"Férié"),(AND(F855="Férié",D855&lt;&gt;"Férié"))),0.166666666666667,""))</f>
        <v/>
      </c>
      <c r="AF855" s="18"/>
      <c r="AG855" s="18"/>
    </row>
    <row r="856" customFormat="false" ht="15" hidden="false" customHeight="false" outlineLevel="0" collapsed="false">
      <c r="A856" s="6" t="str">
        <f aca="false">YEAR(Q856-WEEKDAY(Q856,2)+4)&amp;"-S"&amp;TEXT(WEEKNUM(Q856,21),"00")</f>
        <v>2026-S29</v>
      </c>
      <c r="B856" s="18" t="s">
        <v>71</v>
      </c>
      <c r="C856" s="19" t="n">
        <v>0.331944444444444</v>
      </c>
      <c r="D856" s="19" t="n">
        <v>0.333333333333333</v>
      </c>
      <c r="E856" s="19" t="n">
        <v>0.75</v>
      </c>
      <c r="F856" s="19" t="n">
        <v>0.75</v>
      </c>
      <c r="G856" s="20"/>
      <c r="H856" s="20"/>
      <c r="I856" s="8" t="str">
        <f aca="false">IF(IF(OR(C856="",D856="Congé",D856="OFF",D856="Congé spécial"),"",IF(D856&gt;F856,D856-C856,IF(C856-D856&lt;0,0,C856-D856)))&lt;0.00068287037037037,"",IF(OR(D856="Congé",D856="OFF",C856="",D856="Congé spécial"),"",IF(D856&gt;F856,D856-C856,IF(C856-D856&lt;0,0,C856-D856))))</f>
        <v/>
      </c>
      <c r="J856" s="20"/>
      <c r="K856" s="8" t="n">
        <f aca="false">IF(SUM(H856:J856)&lt;0.00068287037037037,0,SUM(H856:J856))</f>
        <v>0</v>
      </c>
      <c r="L856" s="8" t="n">
        <f aca="false">IF(OR(F856="Congé",F856="OFF",M856="Abs",F856="Congé sans solde",F856="Férié",F856="Congé spécial",D856="Congé spécial"),0,IF(F856-E856&lt;0,0,IF(F856-E856&lt;=0.00068287037037037,0,F856-E856)))</f>
        <v>0</v>
      </c>
      <c r="M856" s="6" t="n">
        <f aca="false">IF(AND(O856&lt;&gt;0,C856=""),"Abs",0)</f>
        <v>0</v>
      </c>
      <c r="N856" s="8" t="n">
        <f aca="false">IFERROR(IF(OR(D856="OFF",D856="Congé",M856="Abs",D856="Congé sans solde",D856="Férié"),"",IF(O856-K856-L856&gt;O856,O856,IF(O856-K856-L856&lt;0,"",O856-K856-L856))),"")</f>
        <v>0.375</v>
      </c>
      <c r="O856" s="8" t="n">
        <f aca="false">IF(AG856="2H Pause déjeuner",IF(F856-D856-0.0833333333333333&lt;0,F856-D856-0.0833333333333333+1,F856-D856-0.0833333333333333),IF(OR(AND(F856="OFF",D856="OFF"),AND(F856="Congé",D856="Congé"),AND(F856="Congé sans solde",D856="Congé sans solde"),AND(F856="Congé spécial",D856="Congé spécial"),AND(F856="Férié",D856="Férié"),AND(F856="OFF",D856="Congé"),AND(F856="OFF",D856="Congé sans solde"),AND(F856="OFF",D856="Congé spécial"),AND(F856="OFF",D856="Férié"),AND(F856="Congé",D856="OFF"),AND(F856="Congé",D856="Congé sans solde"),AND(F856="Congé",D856="Congé spécial"),AND(F856="Congé",D856="Férié"),AND(F856="Congé sans solde",D856="OFF"),AND(F856="Congé sans solde",D856="Congé"),AND(F856="Congé sans solde",D856="Congé spécial"),AND(F856="Congé sans solde",D856="Férié"),AND(F856="Congé spécial",D856="OFF"),AND(F856="Congé spécial",D856="Congé"),AND(F856="Congé spécial",D856="Congé sans solde"),AND(F856="Congé spécial",D856="Férié"),AND(F856="Férié",D856="OFF"),AND(F856="Férié",D856="Congé"),AND(F856="Férié",D856="Congé sans solde"),AND(F856="Férié",D856="Congé spécial")),0,IF(OR(F856="OFF",F856="Congé",F856="Congé spécial",F856="Congé sans solde",D856="OFF",D856="Congé",D856="Congé spécial",D856="Congé sans solde"),0.208333333333334,IF(AND(AG856="",F856-D856&lt;0),("24:00:00"-D856)+("00:00:00"+F856)-0.0416666666666667,IF(AND(OR(AG856="Allaitement",AG856="Sans déjeuner"),F856-D856&lt;0),("24:00:00"-D856)+("00:00:00"+F856),IF(AND(AG856="",F856-D856&gt;0.166666666666667),F856-D856-0.0416666666666667,IF(AND(OR(AG856="Allaitement",AG856="Sans déjeuner"),F856-D856&gt;0.166666666666667),F856-D856,F856-D856)))))))</f>
        <v>0.375</v>
      </c>
      <c r="P856" s="6" t="str">
        <f aca="false">IFERROR(VLOOKUP($B856,Agents!$A:$D,2,0),"-")</f>
        <v>Accessibilité</v>
      </c>
      <c r="Q856" s="21" t="n">
        <v>46216</v>
      </c>
      <c r="R856" s="8" t="n">
        <f aca="false">IF(M856="Abs",O856,0)</f>
        <v>0</v>
      </c>
      <c r="S856" s="8" t="n">
        <f aca="false">SUM(R856,L856,I856,J856,W856,H856)</f>
        <v>0</v>
      </c>
      <c r="T856" s="6" t="str">
        <f aca="false">"Sem - "&amp;WEEKNUM(Q856,21)</f>
        <v>Sem - 29</v>
      </c>
      <c r="U856" s="6" t="str">
        <f aca="false">CHOOSE(MONTH(Q856),"Janvier","Février","Mars","Avril","Mai","Juin","Juillet","Août","Septembre","Octobre","Novembre","Décembre")</f>
        <v>Juillet</v>
      </c>
      <c r="V856" s="22" t="n">
        <f aca="false">YEAR(Q856)</f>
        <v>2026</v>
      </c>
      <c r="W856" s="20"/>
      <c r="X856" s="8" t="n">
        <f aca="false">IFERROR(IF(M856="Abs",0,IF(ROUND((D856-C856+E856-F856)*1440,0)&lt;=1,0,D856-C856+E856-F856)),0)</f>
        <v>0.00138888888888889</v>
      </c>
      <c r="Y856" s="6" t="str">
        <f aca="false">IFERROR(VLOOKUP($B856,Agents!$A:$D,3,0),"-")</f>
        <v>OUBRAHIM Mohammed</v>
      </c>
      <c r="Z856" s="6" t="str">
        <f aca="false">IFERROR(VLOOKUP($B856,Agents!$A:$D,4,0),"-")</f>
        <v>Credit Mutuel</v>
      </c>
      <c r="AA856" s="18" t="s">
        <v>111</v>
      </c>
      <c r="AB856" s="8" t="str">
        <f aca="false">IF(AND(D856="Congé",F856="Congé"),0.333333333333333,IF(OR(AND(D856="Congé",F856&lt;&gt;"Congé"),(AND(F856="Congé",D856&lt;&gt;"Congé"))),0.166666666666667,""))</f>
        <v/>
      </c>
      <c r="AC856" s="8" t="str">
        <f aca="false">IF(AND(D856="Congé sans solde",F856="Congé sans solde"),0.333333333333333,IF(OR(AND(D856="Congé sans solde",F856&lt;&gt;"Congé sans solde"),(AND(F856="Congé sans solde",D856&lt;&gt;"Congé sans solde"))),0.166666666666667,""))</f>
        <v/>
      </c>
      <c r="AD856" s="8" t="str">
        <f aca="false">IF(AND(D856="Congé spécial",F856="Congé spécial"),0.333333333333333,IF(OR(AND(D856="Congé spécial",F856&lt;&gt;"Congé spécial"),AND(F856="Congé spécial",D856&lt;&gt;"Congé spécial")),0.166666666666667,""))</f>
        <v/>
      </c>
      <c r="AE856" s="8" t="str">
        <f aca="false">IF(AND(D856="Férié",F856="Férié"),0.333333333333333,IF(OR(AND(D856="Férié",F856&lt;&gt;"Férié"),(AND(F856="Férié",D856&lt;&gt;"Férié"))),0.166666666666667,""))</f>
        <v/>
      </c>
      <c r="AF856" s="18"/>
      <c r="AG856" s="18"/>
    </row>
    <row r="857" customFormat="false" ht="15" hidden="false" customHeight="false" outlineLevel="0" collapsed="false">
      <c r="A857" s="6" t="str">
        <f aca="false">YEAR(Q857-WEEKDAY(Q857,2)+4)&amp;"-S"&amp;TEXT(WEEKNUM(Q857,21),"00")</f>
        <v>2026-S29</v>
      </c>
      <c r="B857" s="18" t="s">
        <v>72</v>
      </c>
      <c r="C857" s="19" t="n">
        <v>0.331944444444444</v>
      </c>
      <c r="D857" s="19" t="n">
        <v>0.333333333333333</v>
      </c>
      <c r="E857" s="19" t="n">
        <v>0.75</v>
      </c>
      <c r="F857" s="19" t="n">
        <v>0.75</v>
      </c>
      <c r="G857" s="20"/>
      <c r="H857" s="20"/>
      <c r="I857" s="8" t="str">
        <f aca="false">IF(IF(OR(C857="",D857="Congé",D857="OFF",D857="Congé spécial"),"",IF(D857&gt;F857,D857-C857,IF(C857-D857&lt;0,0,C857-D857)))&lt;0.00068287037037037,"",IF(OR(D857="Congé",D857="OFF",C857="",D857="Congé spécial"),"",IF(D857&gt;F857,D857-C857,IF(C857-D857&lt;0,0,C857-D857))))</f>
        <v/>
      </c>
      <c r="J857" s="20"/>
      <c r="K857" s="8" t="n">
        <f aca="false">IF(SUM(H857:J857)&lt;0.00068287037037037,0,SUM(H857:J857))</f>
        <v>0</v>
      </c>
      <c r="L857" s="8" t="n">
        <f aca="false">IF(OR(F857="Congé",F857="OFF",M857="Abs",F857="Congé sans solde",F857="Férié",F857="Congé spécial",D857="Congé spécial"),0,IF(F857-E857&lt;0,0,IF(F857-E857&lt;=0.00068287037037037,0,F857-E857)))</f>
        <v>0</v>
      </c>
      <c r="M857" s="6" t="n">
        <f aca="false">IF(AND(O857&lt;&gt;0,C857=""),"Abs",0)</f>
        <v>0</v>
      </c>
      <c r="N857" s="8" t="n">
        <f aca="false">IFERROR(IF(OR(D857="OFF",D857="Congé",M857="Abs",D857="Congé sans solde",D857="Férié"),"",IF(O857-K857-L857&gt;O857,O857,IF(O857-K857-L857&lt;0,"",O857-K857-L857))),"")</f>
        <v>0.375</v>
      </c>
      <c r="O857" s="8" t="n">
        <f aca="false">IF(AG857="2H Pause déjeuner",IF(F857-D857-0.0833333333333333&lt;0,F857-D857-0.0833333333333333+1,F857-D857-0.0833333333333333),IF(OR(AND(F857="OFF",D857="OFF"),AND(F857="Congé",D857="Congé"),AND(F857="Congé sans solde",D857="Congé sans solde"),AND(F857="Congé spécial",D857="Congé spécial"),AND(F857="Férié",D857="Férié"),AND(F857="OFF",D857="Congé"),AND(F857="OFF",D857="Congé sans solde"),AND(F857="OFF",D857="Congé spécial"),AND(F857="OFF",D857="Férié"),AND(F857="Congé",D857="OFF"),AND(F857="Congé",D857="Congé sans solde"),AND(F857="Congé",D857="Congé spécial"),AND(F857="Congé",D857="Férié"),AND(F857="Congé sans solde",D857="OFF"),AND(F857="Congé sans solde",D857="Congé"),AND(F857="Congé sans solde",D857="Congé spécial"),AND(F857="Congé sans solde",D857="Férié"),AND(F857="Congé spécial",D857="OFF"),AND(F857="Congé spécial",D857="Congé"),AND(F857="Congé spécial",D857="Congé sans solde"),AND(F857="Congé spécial",D857="Férié"),AND(F857="Férié",D857="OFF"),AND(F857="Férié",D857="Congé"),AND(F857="Férié",D857="Congé sans solde"),AND(F857="Férié",D857="Congé spécial")),0,IF(OR(F857="OFF",F857="Congé",F857="Congé spécial",F857="Congé sans solde",D857="OFF",D857="Congé",D857="Congé spécial",D857="Congé sans solde"),0.208333333333334,IF(AND(AG857="",F857-D857&lt;0),("24:00:00"-D857)+("00:00:00"+F857)-0.0416666666666667,IF(AND(OR(AG857="Allaitement",AG857="Sans déjeuner"),F857-D857&lt;0),("24:00:00"-D857)+("00:00:00"+F857),IF(AND(AG857="",F857-D857&gt;0.166666666666667),F857-D857-0.0416666666666667,IF(AND(OR(AG857="Allaitement",AG857="Sans déjeuner"),F857-D857&gt;0.166666666666667),F857-D857,F857-D857)))))))</f>
        <v>0.375</v>
      </c>
      <c r="P857" s="6" t="str">
        <f aca="false">IFERROR(VLOOKUP($B857,Agents!$A:$D,2,0),"-")</f>
        <v>Accessibilité</v>
      </c>
      <c r="Q857" s="21" t="n">
        <v>46216</v>
      </c>
      <c r="R857" s="8" t="n">
        <f aca="false">IF(M857="Abs",O857,0)</f>
        <v>0</v>
      </c>
      <c r="S857" s="8" t="n">
        <f aca="false">SUM(R857,L857,I857,J857,W857,H857)</f>
        <v>0</v>
      </c>
      <c r="T857" s="6" t="str">
        <f aca="false">"Sem - "&amp;WEEKNUM(Q857,21)</f>
        <v>Sem - 29</v>
      </c>
      <c r="U857" s="6" t="str">
        <f aca="false">CHOOSE(MONTH(Q857),"Janvier","Février","Mars","Avril","Mai","Juin","Juillet","Août","Septembre","Octobre","Novembre","Décembre")</f>
        <v>Juillet</v>
      </c>
      <c r="V857" s="22" t="n">
        <f aca="false">YEAR(Q857)</f>
        <v>2026</v>
      </c>
      <c r="W857" s="20"/>
      <c r="X857" s="8" t="n">
        <f aca="false">IFERROR(IF(M857="Abs",0,IF(ROUND((D857-C857+E857-F857)*1440,0)&lt;=1,0,D857-C857+E857-F857)),0)</f>
        <v>0.00138888888888889</v>
      </c>
      <c r="Y857" s="6" t="str">
        <f aca="false">IFERROR(VLOOKUP($B857,Agents!$A:$D,3,0),"-")</f>
        <v>OUBRAHIM Mohammed</v>
      </c>
      <c r="Z857" s="6" t="str">
        <f aca="false">IFERROR(VLOOKUP($B857,Agents!$A:$D,4,0),"-")</f>
        <v>Credit Mutuel</v>
      </c>
      <c r="AA857" s="18" t="s">
        <v>111</v>
      </c>
      <c r="AB857" s="8" t="str">
        <f aca="false">IF(AND(D857="Congé",F857="Congé"),0.333333333333333,IF(OR(AND(D857="Congé",F857&lt;&gt;"Congé"),(AND(F857="Congé",D857&lt;&gt;"Congé"))),0.166666666666667,""))</f>
        <v/>
      </c>
      <c r="AC857" s="8" t="str">
        <f aca="false">IF(AND(D857="Congé sans solde",F857="Congé sans solde"),0.333333333333333,IF(OR(AND(D857="Congé sans solde",F857&lt;&gt;"Congé sans solde"),(AND(F857="Congé sans solde",D857&lt;&gt;"Congé sans solde"))),0.166666666666667,""))</f>
        <v/>
      </c>
      <c r="AD857" s="8" t="str">
        <f aca="false">IF(AND(D857="Congé spécial",F857="Congé spécial"),0.333333333333333,IF(OR(AND(D857="Congé spécial",F857&lt;&gt;"Congé spécial"),AND(F857="Congé spécial",D857&lt;&gt;"Congé spécial")),0.166666666666667,""))</f>
        <v/>
      </c>
      <c r="AE857" s="8" t="str">
        <f aca="false">IF(AND(D857="Férié",F857="Férié"),0.333333333333333,IF(OR(AND(D857="Férié",F857&lt;&gt;"Férié"),(AND(F857="Férié",D857&lt;&gt;"Férié"))),0.166666666666667,""))</f>
        <v/>
      </c>
      <c r="AF857" s="18"/>
      <c r="AG857" s="18"/>
    </row>
    <row r="858" customFormat="false" ht="15" hidden="false" customHeight="false" outlineLevel="0" collapsed="false">
      <c r="A858" s="6" t="str">
        <f aca="false">YEAR(Q858-WEEKDAY(Q858,2)+4)&amp;"-S"&amp;TEXT(WEEKNUM(Q858,21),"00")</f>
        <v>2026-S29</v>
      </c>
      <c r="B858" s="18" t="s">
        <v>73</v>
      </c>
      <c r="C858" s="19" t="n">
        <v>0.33125</v>
      </c>
      <c r="D858" s="19" t="n">
        <v>0.333333333333333</v>
      </c>
      <c r="E858" s="19" t="n">
        <v>0.75</v>
      </c>
      <c r="F858" s="19" t="n">
        <v>0.75</v>
      </c>
      <c r="G858" s="20"/>
      <c r="H858" s="20"/>
      <c r="I858" s="8" t="str">
        <f aca="false">IF(IF(OR(C858="",D858="Congé",D858="OFF",D858="Congé spécial"),"",IF(D858&gt;F858,D858-C858,IF(C858-D858&lt;0,0,C858-D858)))&lt;0.00068287037037037,"",IF(OR(D858="Congé",D858="OFF",C858="",D858="Congé spécial"),"",IF(D858&gt;F858,D858-C858,IF(C858-D858&lt;0,0,C858-D858))))</f>
        <v/>
      </c>
      <c r="J858" s="20"/>
      <c r="K858" s="8" t="n">
        <f aca="false">IF(SUM(H858:J858)&lt;0.00068287037037037,0,SUM(H858:J858))</f>
        <v>0</v>
      </c>
      <c r="L858" s="8" t="n">
        <f aca="false">IF(OR(F858="Congé",F858="OFF",M858="Abs",F858="Congé sans solde",F858="Férié",F858="Congé spécial",D858="Congé spécial"),0,IF(F858-E858&lt;0,0,IF(F858-E858&lt;=0.00068287037037037,0,F858-E858)))</f>
        <v>0</v>
      </c>
      <c r="M858" s="6" t="n">
        <f aca="false">IF(AND(O858&lt;&gt;0,C858=""),"Abs",0)</f>
        <v>0</v>
      </c>
      <c r="N858" s="8" t="n">
        <f aca="false">IFERROR(IF(OR(D858="OFF",D858="Congé",M858="Abs",D858="Congé sans solde",D858="Férié"),"",IF(O858-K858-L858&gt;O858,O858,IF(O858-K858-L858&lt;0,"",O858-K858-L858))),"")</f>
        <v>0.375</v>
      </c>
      <c r="O858" s="8" t="n">
        <f aca="false">IF(AG858="2H Pause déjeuner",IF(F858-D858-0.0833333333333333&lt;0,F858-D858-0.0833333333333333+1,F858-D858-0.0833333333333333),IF(OR(AND(F858="OFF",D858="OFF"),AND(F858="Congé",D858="Congé"),AND(F858="Congé sans solde",D858="Congé sans solde"),AND(F858="Congé spécial",D858="Congé spécial"),AND(F858="Férié",D858="Férié"),AND(F858="OFF",D858="Congé"),AND(F858="OFF",D858="Congé sans solde"),AND(F858="OFF",D858="Congé spécial"),AND(F858="OFF",D858="Férié"),AND(F858="Congé",D858="OFF"),AND(F858="Congé",D858="Congé sans solde"),AND(F858="Congé",D858="Congé spécial"),AND(F858="Congé",D858="Férié"),AND(F858="Congé sans solde",D858="OFF"),AND(F858="Congé sans solde",D858="Congé"),AND(F858="Congé sans solde",D858="Congé spécial"),AND(F858="Congé sans solde",D858="Férié"),AND(F858="Congé spécial",D858="OFF"),AND(F858="Congé spécial",D858="Congé"),AND(F858="Congé spécial",D858="Congé sans solde"),AND(F858="Congé spécial",D858="Férié"),AND(F858="Férié",D858="OFF"),AND(F858="Férié",D858="Congé"),AND(F858="Férié",D858="Congé sans solde"),AND(F858="Férié",D858="Congé spécial")),0,IF(OR(F858="OFF",F858="Congé",F858="Congé spécial",F858="Congé sans solde",D858="OFF",D858="Congé",D858="Congé spécial",D858="Congé sans solde"),0.208333333333334,IF(AND(AG858="",F858-D858&lt;0),("24:00:00"-D858)+("00:00:00"+F858)-0.0416666666666667,IF(AND(OR(AG858="Allaitement",AG858="Sans déjeuner"),F858-D858&lt;0),("24:00:00"-D858)+("00:00:00"+F858),IF(AND(AG858="",F858-D858&gt;0.166666666666667),F858-D858-0.0416666666666667,IF(AND(OR(AG858="Allaitement",AG858="Sans déjeuner"),F858-D858&gt;0.166666666666667),F858-D858,F858-D858)))))))</f>
        <v>0.375</v>
      </c>
      <c r="P858" s="6" t="str">
        <f aca="false">IFERROR(VLOOKUP($B858,Agents!$A:$D,2,0),"-")</f>
        <v>Accessibilité</v>
      </c>
      <c r="Q858" s="21" t="n">
        <v>46216</v>
      </c>
      <c r="R858" s="8" t="n">
        <f aca="false">IF(M858="Abs",O858,0)</f>
        <v>0</v>
      </c>
      <c r="S858" s="8" t="n">
        <f aca="false">SUM(R858,L858,I858,J858,W858,H858)</f>
        <v>0</v>
      </c>
      <c r="T858" s="6" t="str">
        <f aca="false">"Sem - "&amp;WEEKNUM(Q858,21)</f>
        <v>Sem - 29</v>
      </c>
      <c r="U858" s="6" t="str">
        <f aca="false">CHOOSE(MONTH(Q858),"Janvier","Février","Mars","Avril","Mai","Juin","Juillet","Août","Septembre","Octobre","Novembre","Décembre")</f>
        <v>Juillet</v>
      </c>
      <c r="V858" s="22" t="n">
        <f aca="false">YEAR(Q858)</f>
        <v>2026</v>
      </c>
      <c r="W858" s="20"/>
      <c r="X858" s="8" t="n">
        <f aca="false">IFERROR(IF(M858="Abs",0,IF(ROUND((D858-C858+E858-F858)*1440,0)&lt;=1,0,D858-C858+E858-F858)),0)</f>
        <v>0.00208333333333333</v>
      </c>
      <c r="Y858" s="6" t="str">
        <f aca="false">IFERROR(VLOOKUP($B858,Agents!$A:$D,3,0),"-")</f>
        <v>OUBRAHIM Mohammed</v>
      </c>
      <c r="Z858" s="6" t="str">
        <f aca="false">IFERROR(VLOOKUP($B858,Agents!$A:$D,4,0),"-")</f>
        <v>Credit Mutuel</v>
      </c>
      <c r="AA858" s="18" t="s">
        <v>111</v>
      </c>
      <c r="AB858" s="8" t="str">
        <f aca="false">IF(AND(D858="Congé",F858="Congé"),0.333333333333333,IF(OR(AND(D858="Congé",F858&lt;&gt;"Congé"),(AND(F858="Congé",D858&lt;&gt;"Congé"))),0.166666666666667,""))</f>
        <v/>
      </c>
      <c r="AC858" s="8" t="str">
        <f aca="false">IF(AND(D858="Congé sans solde",F858="Congé sans solde"),0.333333333333333,IF(OR(AND(D858="Congé sans solde",F858&lt;&gt;"Congé sans solde"),(AND(F858="Congé sans solde",D858&lt;&gt;"Congé sans solde"))),0.166666666666667,""))</f>
        <v/>
      </c>
      <c r="AD858" s="8" t="str">
        <f aca="false">IF(AND(D858="Congé spécial",F858="Congé spécial"),0.333333333333333,IF(OR(AND(D858="Congé spécial",F858&lt;&gt;"Congé spécial"),AND(F858="Congé spécial",D858&lt;&gt;"Congé spécial")),0.166666666666667,""))</f>
        <v/>
      </c>
      <c r="AE858" s="8" t="str">
        <f aca="false">IF(AND(D858="Férié",F858="Férié"),0.333333333333333,IF(OR(AND(D858="Férié",F858&lt;&gt;"Férié"),(AND(F858="Férié",D858&lt;&gt;"Férié"))),0.166666666666667,""))</f>
        <v/>
      </c>
      <c r="AF858" s="18"/>
      <c r="AG858" s="18"/>
    </row>
    <row r="859" customFormat="false" ht="15" hidden="false" customHeight="false" outlineLevel="0" collapsed="false">
      <c r="A859" s="6" t="str">
        <f aca="false">YEAR(Q859-WEEKDAY(Q859,2)+4)&amp;"-S"&amp;TEXT(WEEKNUM(Q859,21),"00")</f>
        <v>2026-S29</v>
      </c>
      <c r="B859" s="18" t="s">
        <v>71</v>
      </c>
      <c r="C859" s="19"/>
      <c r="D859" s="19" t="s">
        <v>74</v>
      </c>
      <c r="E859" s="19"/>
      <c r="F859" s="19" t="s">
        <v>74</v>
      </c>
      <c r="G859" s="20"/>
      <c r="H859" s="20"/>
      <c r="I859" s="8" t="str">
        <f aca="false">IF(IF(OR(C859="",D859="Congé",D859="OFF",D859="Congé spécial"),"",IF(D859&gt;F859,D859-C859,IF(C859-D859&lt;0,0,C859-D859)))&lt;0.00068287037037037,"",IF(OR(D859="Congé",D859="OFF",C859="",D859="Congé spécial"),"",IF(D859&gt;F859,D859-C859,IF(C859-D859&lt;0,0,C859-D859))))</f>
        <v/>
      </c>
      <c r="J859" s="20"/>
      <c r="K859" s="8" t="n">
        <f aca="false">IF(SUM(H859:J859)&lt;0.00068287037037037,0,SUM(H859:J859))</f>
        <v>0</v>
      </c>
      <c r="L859" s="8" t="n">
        <f aca="false">IF(OR(F859="Congé",F859="OFF",M859="Abs",F859="Congé sans solde",F859="Férié",F859="Congé spécial",D859="Congé spécial"),0,IF(F859-E859&lt;0,0,IF(F859-E859&lt;=0.00068287037037037,0,F859-E859)))</f>
        <v>0</v>
      </c>
      <c r="M859" s="6" t="n">
        <f aca="false">IF(AND(O859&lt;&gt;0,C859=""),"Abs",0)</f>
        <v>0</v>
      </c>
      <c r="N859" s="8" t="str">
        <f aca="false">IFERROR(IF(OR(D859="OFF",D859="Congé",M859="Abs",D859="Congé sans solde",D859="Férié"),"",IF(O859-K859-L859&gt;O859,O859,IF(O859-K859-L859&lt;0,"",O859-K859-L859))),"")</f>
        <v/>
      </c>
      <c r="O859" s="8" t="n">
        <f aca="false">IF(AG859="2H Pause déjeuner",IF(F859-D859-0.0833333333333333&lt;0,F859-D859-0.0833333333333333+1,F859-D859-0.0833333333333333),IF(OR(AND(F859="OFF",D859="OFF"),AND(F859="Congé",D859="Congé"),AND(F859="Congé sans solde",D859="Congé sans solde"),AND(F859="Congé spécial",D859="Congé spécial"),AND(F859="Férié",D859="Férié"),AND(F859="OFF",D859="Congé"),AND(F859="OFF",D859="Congé sans solde"),AND(F859="OFF",D859="Congé spécial"),AND(F859="OFF",D859="Férié"),AND(F859="Congé",D859="OFF"),AND(F859="Congé",D859="Congé sans solde"),AND(F859="Congé",D859="Congé spécial"),AND(F859="Congé",D859="Férié"),AND(F859="Congé sans solde",D859="OFF"),AND(F859="Congé sans solde",D859="Congé"),AND(F859="Congé sans solde",D859="Congé spécial"),AND(F859="Congé sans solde",D859="Férié"),AND(F859="Congé spécial",D859="OFF"),AND(F859="Congé spécial",D859="Congé"),AND(F859="Congé spécial",D859="Congé sans solde"),AND(F859="Congé spécial",D859="Férié"),AND(F859="Férié",D859="OFF"),AND(F859="Férié",D859="Congé"),AND(F859="Férié",D859="Congé sans solde"),AND(F859="Férié",D859="Congé spécial")),0,IF(OR(F859="OFF",F859="Congé",F859="Congé spécial",F859="Congé sans solde",D859="OFF",D859="Congé",D859="Congé spécial",D859="Congé sans solde"),0.208333333333334,IF(AND(AG859="",F859-D859&lt;0),("24:00:00"-D859)+("00:00:00"+F859)-0.0416666666666667,IF(AND(OR(AG859="Allaitement",AG859="Sans déjeuner"),F859-D859&lt;0),("24:00:00"-D859)+("00:00:00"+F859),IF(AND(AG859="",F859-D859&gt;0.166666666666667),F859-D859-0.0416666666666667,IF(AND(OR(AG859="Allaitement",AG859="Sans déjeuner"),F859-D859&gt;0.166666666666667),F859-D859,F859-D859)))))))</f>
        <v>0</v>
      </c>
      <c r="P859" s="6" t="str">
        <f aca="false">IFERROR(VLOOKUP($B859,Agents!$A:$D,2,0),"-")</f>
        <v>Accessibilité</v>
      </c>
      <c r="Q859" s="21" t="n">
        <v>46217</v>
      </c>
      <c r="R859" s="8" t="n">
        <f aca="false">IF(M859="Abs",O859,0)</f>
        <v>0</v>
      </c>
      <c r="S859" s="8" t="n">
        <f aca="false">SUM(R859,L859,I859,J859,W859,H859)</f>
        <v>0</v>
      </c>
      <c r="T859" s="6" t="str">
        <f aca="false">"Sem - "&amp;WEEKNUM(Q859,21)</f>
        <v>Sem - 29</v>
      </c>
      <c r="U859" s="6" t="str">
        <f aca="false">CHOOSE(MONTH(Q859),"Janvier","Février","Mars","Avril","Mai","Juin","Juillet","Août","Septembre","Octobre","Novembre","Décembre")</f>
        <v>Juillet</v>
      </c>
      <c r="V859" s="22" t="n">
        <f aca="false">YEAR(Q859)</f>
        <v>2026</v>
      </c>
      <c r="W859" s="20"/>
      <c r="X859" s="8" t="n">
        <f aca="false">IFERROR(IF(M859="Abs",0,IF(ROUND((D859-C859+E859-F859)*1440,0)&lt;=1,0,D859-C859+E859-F859)),0)</f>
        <v>0</v>
      </c>
      <c r="Y859" s="6" t="str">
        <f aca="false">IFERROR(VLOOKUP($B859,Agents!$A:$D,3,0),"-")</f>
        <v>OUBRAHIM Mohammed</v>
      </c>
      <c r="Z859" s="6" t="str">
        <f aca="false">IFERROR(VLOOKUP($B859,Agents!$A:$D,4,0),"-")</f>
        <v>Credit Mutuel</v>
      </c>
      <c r="AA859" s="18" t="s">
        <v>111</v>
      </c>
      <c r="AB859" s="8" t="str">
        <f aca="false">IF(AND(D859="Congé",F859="Congé"),0.333333333333333,IF(OR(AND(D859="Congé",F859&lt;&gt;"Congé"),(AND(F859="Congé",D859&lt;&gt;"Congé"))),0.166666666666667,""))</f>
        <v/>
      </c>
      <c r="AC859" s="8" t="str">
        <f aca="false">IF(AND(D859="Congé sans solde",F859="Congé sans solde"),0.333333333333333,IF(OR(AND(D859="Congé sans solde",F859&lt;&gt;"Congé sans solde"),(AND(F859="Congé sans solde",D859&lt;&gt;"Congé sans solde"))),0.166666666666667,""))</f>
        <v/>
      </c>
      <c r="AD859" s="8" t="str">
        <f aca="false">IF(AND(D859="Congé spécial",F859="Congé spécial"),0.333333333333333,IF(OR(AND(D859="Congé spécial",F859&lt;&gt;"Congé spécial"),AND(F859="Congé spécial",D859&lt;&gt;"Congé spécial")),0.166666666666667,""))</f>
        <v/>
      </c>
      <c r="AE859" s="8" t="str">
        <f aca="false">IF(AND(D859="Férié",F859="Férié"),0.333333333333333,IF(OR(AND(D859="Férié",F859&lt;&gt;"Férié"),(AND(F859="Férié",D859&lt;&gt;"Férié"))),0.166666666666667,""))</f>
        <v/>
      </c>
      <c r="AF859" s="18"/>
      <c r="AG859" s="18"/>
    </row>
    <row r="860" customFormat="false" ht="15" hidden="false" customHeight="false" outlineLevel="0" collapsed="false">
      <c r="A860" s="6" t="str">
        <f aca="false">YEAR(Q860-WEEKDAY(Q860,2)+4)&amp;"-S"&amp;TEXT(WEEKNUM(Q860,21),"00")</f>
        <v>2026-S29</v>
      </c>
      <c r="B860" s="18" t="s">
        <v>72</v>
      </c>
      <c r="C860" s="19"/>
      <c r="D860" s="19" t="s">
        <v>74</v>
      </c>
      <c r="E860" s="19"/>
      <c r="F860" s="19" t="s">
        <v>74</v>
      </c>
      <c r="G860" s="20"/>
      <c r="H860" s="20"/>
      <c r="I860" s="8" t="str">
        <f aca="false">IF(IF(OR(C860="",D860="Congé",D860="OFF",D860="Congé spécial"),"",IF(D860&gt;F860,D860-C860,IF(C860-D860&lt;0,0,C860-D860)))&lt;0.00068287037037037,"",IF(OR(D860="Congé",D860="OFF",C860="",D860="Congé spécial"),"",IF(D860&gt;F860,D860-C860,IF(C860-D860&lt;0,0,C860-D860))))</f>
        <v/>
      </c>
      <c r="J860" s="20"/>
      <c r="K860" s="8" t="n">
        <f aca="false">IF(SUM(H860:J860)&lt;0.00068287037037037,0,SUM(H860:J860))</f>
        <v>0</v>
      </c>
      <c r="L860" s="8" t="n">
        <f aca="false">IF(OR(F860="Congé",F860="OFF",M860="Abs",F860="Congé sans solde",F860="Férié",F860="Congé spécial",D860="Congé spécial"),0,IF(F860-E860&lt;0,0,IF(F860-E860&lt;=0.00068287037037037,0,F860-E860)))</f>
        <v>0</v>
      </c>
      <c r="M860" s="6" t="n">
        <f aca="false">IF(AND(O860&lt;&gt;0,C860=""),"Abs",0)</f>
        <v>0</v>
      </c>
      <c r="N860" s="8" t="str">
        <f aca="false">IFERROR(IF(OR(D860="OFF",D860="Congé",M860="Abs",D860="Congé sans solde",D860="Férié"),"",IF(O860-K860-L860&gt;O860,O860,IF(O860-K860-L860&lt;0,"",O860-K860-L860))),"")</f>
        <v/>
      </c>
      <c r="O860" s="8" t="n">
        <f aca="false">IF(AG860="2H Pause déjeuner",IF(F860-D860-0.0833333333333333&lt;0,F860-D860-0.0833333333333333+1,F860-D860-0.0833333333333333),IF(OR(AND(F860="OFF",D860="OFF"),AND(F860="Congé",D860="Congé"),AND(F860="Congé sans solde",D860="Congé sans solde"),AND(F860="Congé spécial",D860="Congé spécial"),AND(F860="Férié",D860="Férié"),AND(F860="OFF",D860="Congé"),AND(F860="OFF",D860="Congé sans solde"),AND(F860="OFF",D860="Congé spécial"),AND(F860="OFF",D860="Férié"),AND(F860="Congé",D860="OFF"),AND(F860="Congé",D860="Congé sans solde"),AND(F860="Congé",D860="Congé spécial"),AND(F860="Congé",D860="Férié"),AND(F860="Congé sans solde",D860="OFF"),AND(F860="Congé sans solde",D860="Congé"),AND(F860="Congé sans solde",D860="Congé spécial"),AND(F860="Congé sans solde",D860="Férié"),AND(F860="Congé spécial",D860="OFF"),AND(F860="Congé spécial",D860="Congé"),AND(F860="Congé spécial",D860="Congé sans solde"),AND(F860="Congé spécial",D860="Férié"),AND(F860="Férié",D860="OFF"),AND(F860="Férié",D860="Congé"),AND(F860="Férié",D860="Congé sans solde"),AND(F860="Férié",D860="Congé spécial")),0,IF(OR(F860="OFF",F860="Congé",F860="Congé spécial",F860="Congé sans solde",D860="OFF",D860="Congé",D860="Congé spécial",D860="Congé sans solde"),0.208333333333334,IF(AND(AG860="",F860-D860&lt;0),("24:00:00"-D860)+("00:00:00"+F860)-0.0416666666666667,IF(AND(OR(AG860="Allaitement",AG860="Sans déjeuner"),F860-D860&lt;0),("24:00:00"-D860)+("00:00:00"+F860),IF(AND(AG860="",F860-D860&gt;0.166666666666667),F860-D860-0.0416666666666667,IF(AND(OR(AG860="Allaitement",AG860="Sans déjeuner"),F860-D860&gt;0.166666666666667),F860-D860,F860-D860)))))))</f>
        <v>0</v>
      </c>
      <c r="P860" s="6" t="str">
        <f aca="false">IFERROR(VLOOKUP($B860,Agents!$A:$D,2,0),"-")</f>
        <v>Accessibilité</v>
      </c>
      <c r="Q860" s="21" t="n">
        <v>46217</v>
      </c>
      <c r="R860" s="8" t="n">
        <f aca="false">IF(M860="Abs",O860,0)</f>
        <v>0</v>
      </c>
      <c r="S860" s="8" t="n">
        <f aca="false">SUM(R860,L860,I860,J860,W860,H860)</f>
        <v>0</v>
      </c>
      <c r="T860" s="6" t="str">
        <f aca="false">"Sem - "&amp;WEEKNUM(Q860,21)</f>
        <v>Sem - 29</v>
      </c>
      <c r="U860" s="6" t="str">
        <f aca="false">CHOOSE(MONTH(Q860),"Janvier","Février","Mars","Avril","Mai","Juin","Juillet","Août","Septembre","Octobre","Novembre","Décembre")</f>
        <v>Juillet</v>
      </c>
      <c r="V860" s="22" t="n">
        <f aca="false">YEAR(Q860)</f>
        <v>2026</v>
      </c>
      <c r="W860" s="20"/>
      <c r="X860" s="8" t="n">
        <f aca="false">IFERROR(IF(M860="Abs",0,IF(ROUND((D860-C860+E860-F860)*1440,0)&lt;=1,0,D860-C860+E860-F860)),0)</f>
        <v>0</v>
      </c>
      <c r="Y860" s="6" t="str">
        <f aca="false">IFERROR(VLOOKUP($B860,Agents!$A:$D,3,0),"-")</f>
        <v>OUBRAHIM Mohammed</v>
      </c>
      <c r="Z860" s="6" t="str">
        <f aca="false">IFERROR(VLOOKUP($B860,Agents!$A:$D,4,0),"-")</f>
        <v>Credit Mutuel</v>
      </c>
      <c r="AA860" s="18" t="s">
        <v>111</v>
      </c>
      <c r="AB860" s="8" t="str">
        <f aca="false">IF(AND(D860="Congé",F860="Congé"),0.333333333333333,IF(OR(AND(D860="Congé",F860&lt;&gt;"Congé"),(AND(F860="Congé",D860&lt;&gt;"Congé"))),0.166666666666667,""))</f>
        <v/>
      </c>
      <c r="AC860" s="8" t="str">
        <f aca="false">IF(AND(D860="Congé sans solde",F860="Congé sans solde"),0.333333333333333,IF(OR(AND(D860="Congé sans solde",F860&lt;&gt;"Congé sans solde"),(AND(F860="Congé sans solde",D860&lt;&gt;"Congé sans solde"))),0.166666666666667,""))</f>
        <v/>
      </c>
      <c r="AD860" s="8" t="str">
        <f aca="false">IF(AND(D860="Congé spécial",F860="Congé spécial"),0.333333333333333,IF(OR(AND(D860="Congé spécial",F860&lt;&gt;"Congé spécial"),AND(F860="Congé spécial",D860&lt;&gt;"Congé spécial")),0.166666666666667,""))</f>
        <v/>
      </c>
      <c r="AE860" s="8" t="str">
        <f aca="false">IF(AND(D860="Férié",F860="Férié"),0.333333333333333,IF(OR(AND(D860="Férié",F860&lt;&gt;"Férié"),(AND(F860="Férié",D860&lt;&gt;"Férié"))),0.166666666666667,""))</f>
        <v/>
      </c>
      <c r="AF860" s="18"/>
      <c r="AG860" s="18"/>
    </row>
    <row r="861" customFormat="false" ht="15" hidden="false" customHeight="false" outlineLevel="0" collapsed="false">
      <c r="A861" s="6" t="str">
        <f aca="false">YEAR(Q861-WEEKDAY(Q861,2)+4)&amp;"-S"&amp;TEXT(WEEKNUM(Q861,21),"00")</f>
        <v>2026-S29</v>
      </c>
      <c r="B861" s="18" t="s">
        <v>73</v>
      </c>
      <c r="C861" s="19"/>
      <c r="D861" s="19" t="s">
        <v>74</v>
      </c>
      <c r="E861" s="19"/>
      <c r="F861" s="19" t="s">
        <v>74</v>
      </c>
      <c r="G861" s="20"/>
      <c r="H861" s="20"/>
      <c r="I861" s="8" t="str">
        <f aca="false">IF(IF(OR(C861="",D861="Congé",D861="OFF",D861="Congé spécial"),"",IF(D861&gt;F861,D861-C861,IF(C861-D861&lt;0,0,C861-D861)))&lt;0.00068287037037037,"",IF(OR(D861="Congé",D861="OFF",C861="",D861="Congé spécial"),"",IF(D861&gt;F861,D861-C861,IF(C861-D861&lt;0,0,C861-D861))))</f>
        <v/>
      </c>
      <c r="J861" s="20"/>
      <c r="K861" s="8" t="n">
        <f aca="false">IF(SUM(H861:J861)&lt;0.00068287037037037,0,SUM(H861:J861))</f>
        <v>0</v>
      </c>
      <c r="L861" s="8" t="n">
        <f aca="false">IF(OR(F861="Congé",F861="OFF",M861="Abs",F861="Congé sans solde",F861="Férié",F861="Congé spécial",D861="Congé spécial"),0,IF(F861-E861&lt;0,0,IF(F861-E861&lt;=0.00068287037037037,0,F861-E861)))</f>
        <v>0</v>
      </c>
      <c r="M861" s="6" t="n">
        <f aca="false">IF(AND(O861&lt;&gt;0,C861=""),"Abs",0)</f>
        <v>0</v>
      </c>
      <c r="N861" s="8" t="str">
        <f aca="false">IFERROR(IF(OR(D861="OFF",D861="Congé",M861="Abs",D861="Congé sans solde",D861="Férié"),"",IF(O861-K861-L861&gt;O861,O861,IF(O861-K861-L861&lt;0,"",O861-K861-L861))),"")</f>
        <v/>
      </c>
      <c r="O861" s="8" t="n">
        <f aca="false">IF(AG861="2H Pause déjeuner",IF(F861-D861-0.0833333333333333&lt;0,F861-D861-0.0833333333333333+1,F861-D861-0.0833333333333333),IF(OR(AND(F861="OFF",D861="OFF"),AND(F861="Congé",D861="Congé"),AND(F861="Congé sans solde",D861="Congé sans solde"),AND(F861="Congé spécial",D861="Congé spécial"),AND(F861="Férié",D861="Férié"),AND(F861="OFF",D861="Congé"),AND(F861="OFF",D861="Congé sans solde"),AND(F861="OFF",D861="Congé spécial"),AND(F861="OFF",D861="Férié"),AND(F861="Congé",D861="OFF"),AND(F861="Congé",D861="Congé sans solde"),AND(F861="Congé",D861="Congé spécial"),AND(F861="Congé",D861="Férié"),AND(F861="Congé sans solde",D861="OFF"),AND(F861="Congé sans solde",D861="Congé"),AND(F861="Congé sans solde",D861="Congé spécial"),AND(F861="Congé sans solde",D861="Férié"),AND(F861="Congé spécial",D861="OFF"),AND(F861="Congé spécial",D861="Congé"),AND(F861="Congé spécial",D861="Congé sans solde"),AND(F861="Congé spécial",D861="Férié"),AND(F861="Férié",D861="OFF"),AND(F861="Férié",D861="Congé"),AND(F861="Férié",D861="Congé sans solde"),AND(F861="Férié",D861="Congé spécial")),0,IF(OR(F861="OFF",F861="Congé",F861="Congé spécial",F861="Congé sans solde",D861="OFF",D861="Congé",D861="Congé spécial",D861="Congé sans solde"),0.208333333333334,IF(AND(AG861="",F861-D861&lt;0),("24:00:00"-D861)+("00:00:00"+F861)-0.0416666666666667,IF(AND(OR(AG861="Allaitement",AG861="Sans déjeuner"),F861-D861&lt;0),("24:00:00"-D861)+("00:00:00"+F861),IF(AND(AG861="",F861-D861&gt;0.166666666666667),F861-D861-0.0416666666666667,IF(AND(OR(AG861="Allaitement",AG861="Sans déjeuner"),F861-D861&gt;0.166666666666667),F861-D861,F861-D861)))))))</f>
        <v>0</v>
      </c>
      <c r="P861" s="6" t="str">
        <f aca="false">IFERROR(VLOOKUP($B861,Agents!$A:$D,2,0),"-")</f>
        <v>Accessibilité</v>
      </c>
      <c r="Q861" s="21" t="n">
        <v>46217</v>
      </c>
      <c r="R861" s="8" t="n">
        <f aca="false">IF(M861="Abs",O861,0)</f>
        <v>0</v>
      </c>
      <c r="S861" s="8" t="n">
        <f aca="false">SUM(R861,L861,I861,J861,W861,H861)</f>
        <v>0</v>
      </c>
      <c r="T861" s="6" t="str">
        <f aca="false">"Sem - "&amp;WEEKNUM(Q861,21)</f>
        <v>Sem - 29</v>
      </c>
      <c r="U861" s="6" t="str">
        <f aca="false">CHOOSE(MONTH(Q861),"Janvier","Février","Mars","Avril","Mai","Juin","Juillet","Août","Septembre","Octobre","Novembre","Décembre")</f>
        <v>Juillet</v>
      </c>
      <c r="V861" s="22" t="n">
        <f aca="false">YEAR(Q861)</f>
        <v>2026</v>
      </c>
      <c r="W861" s="20"/>
      <c r="X861" s="8" t="n">
        <f aca="false">IFERROR(IF(M861="Abs",0,IF(ROUND((D861-C861+E861-F861)*1440,0)&lt;=1,0,D861-C861+E861-F861)),0)</f>
        <v>0</v>
      </c>
      <c r="Y861" s="6" t="str">
        <f aca="false">IFERROR(VLOOKUP($B861,Agents!$A:$D,3,0),"-")</f>
        <v>OUBRAHIM Mohammed</v>
      </c>
      <c r="Z861" s="6" t="str">
        <f aca="false">IFERROR(VLOOKUP($B861,Agents!$A:$D,4,0),"-")</f>
        <v>Credit Mutuel</v>
      </c>
      <c r="AA861" s="18" t="s">
        <v>111</v>
      </c>
      <c r="AB861" s="8" t="str">
        <f aca="false">IF(AND(D861="Congé",F861="Congé"),0.333333333333333,IF(OR(AND(D861="Congé",F861&lt;&gt;"Congé"),(AND(F861="Congé",D861&lt;&gt;"Congé"))),0.166666666666667,""))</f>
        <v/>
      </c>
      <c r="AC861" s="8" t="str">
        <f aca="false">IF(AND(D861="Congé sans solde",F861="Congé sans solde"),0.333333333333333,IF(OR(AND(D861="Congé sans solde",F861&lt;&gt;"Congé sans solde"),(AND(F861="Congé sans solde",D861&lt;&gt;"Congé sans solde"))),0.166666666666667,""))</f>
        <v/>
      </c>
      <c r="AD861" s="8" t="str">
        <f aca="false">IF(AND(D861="Congé spécial",F861="Congé spécial"),0.333333333333333,IF(OR(AND(D861="Congé spécial",F861&lt;&gt;"Congé spécial"),AND(F861="Congé spécial",D861&lt;&gt;"Congé spécial")),0.166666666666667,""))</f>
        <v/>
      </c>
      <c r="AE861" s="8" t="str">
        <f aca="false">IF(AND(D861="Férié",F861="Férié"),0.333333333333333,IF(OR(AND(D861="Férié",F861&lt;&gt;"Férié"),(AND(F861="Férié",D861&lt;&gt;"Férié"))),0.166666666666667,""))</f>
        <v/>
      </c>
      <c r="AF861" s="18"/>
      <c r="AG861" s="18"/>
    </row>
    <row r="862" customFormat="false" ht="15" hidden="false" customHeight="false" outlineLevel="0" collapsed="false">
      <c r="A862" s="6" t="str">
        <f aca="false">YEAR(Q862-WEEKDAY(Q862,2)+4)&amp;"-S"&amp;TEXT(WEEKNUM(Q862,21),"00")</f>
        <v>2026-S29</v>
      </c>
      <c r="B862" s="18" t="s">
        <v>71</v>
      </c>
      <c r="C862" s="19" t="n">
        <v>0.331944444444444</v>
      </c>
      <c r="D862" s="19" t="n">
        <v>0.333333333333333</v>
      </c>
      <c r="E862" s="19" t="n">
        <v>0.75</v>
      </c>
      <c r="F862" s="19" t="n">
        <v>0.75</v>
      </c>
      <c r="G862" s="20"/>
      <c r="H862" s="20"/>
      <c r="I862" s="8" t="str">
        <f aca="false">IF(IF(OR(C862="",D862="Congé",D862="OFF",D862="Congé spécial"),"",IF(D862&gt;F862,D862-C862,IF(C862-D862&lt;0,0,C862-D862)))&lt;0.00068287037037037,"",IF(OR(D862="Congé",D862="OFF",C862="",D862="Congé spécial"),"",IF(D862&gt;F862,D862-C862,IF(C862-D862&lt;0,0,C862-D862))))</f>
        <v/>
      </c>
      <c r="J862" s="20"/>
      <c r="K862" s="8" t="n">
        <f aca="false">IF(SUM(H862:J862)&lt;0.00068287037037037,0,SUM(H862:J862))</f>
        <v>0</v>
      </c>
      <c r="L862" s="8" t="n">
        <f aca="false">IF(OR(F862="Congé",F862="OFF",M862="Abs",F862="Congé sans solde",F862="Férié",F862="Congé spécial",D862="Congé spécial"),0,IF(F862-E862&lt;0,0,IF(F862-E862&lt;=0.00068287037037037,0,F862-E862)))</f>
        <v>0</v>
      </c>
      <c r="M862" s="6" t="n">
        <f aca="false">IF(AND(O862&lt;&gt;0,C862=""),"Abs",0)</f>
        <v>0</v>
      </c>
      <c r="N862" s="8" t="n">
        <f aca="false">IFERROR(IF(OR(D862="OFF",D862="Congé",M862="Abs",D862="Congé sans solde",D862="Férié"),"",IF(O862-K862-L862&gt;O862,O862,IF(O862-K862-L862&lt;0,"",O862-K862-L862))),"")</f>
        <v>0.375</v>
      </c>
      <c r="O862" s="8" t="n">
        <f aca="false">IF(AG862="2H Pause déjeuner",IF(F862-D862-0.0833333333333333&lt;0,F862-D862-0.0833333333333333+1,F862-D862-0.0833333333333333),IF(OR(AND(F862="OFF",D862="OFF"),AND(F862="Congé",D862="Congé"),AND(F862="Congé sans solde",D862="Congé sans solde"),AND(F862="Congé spécial",D862="Congé spécial"),AND(F862="Férié",D862="Férié"),AND(F862="OFF",D862="Congé"),AND(F862="OFF",D862="Congé sans solde"),AND(F862="OFF",D862="Congé spécial"),AND(F862="OFF",D862="Férié"),AND(F862="Congé",D862="OFF"),AND(F862="Congé",D862="Congé sans solde"),AND(F862="Congé",D862="Congé spécial"),AND(F862="Congé",D862="Férié"),AND(F862="Congé sans solde",D862="OFF"),AND(F862="Congé sans solde",D862="Congé"),AND(F862="Congé sans solde",D862="Congé spécial"),AND(F862="Congé sans solde",D862="Férié"),AND(F862="Congé spécial",D862="OFF"),AND(F862="Congé spécial",D862="Congé"),AND(F862="Congé spécial",D862="Congé sans solde"),AND(F862="Congé spécial",D862="Férié"),AND(F862="Férié",D862="OFF"),AND(F862="Férié",D862="Congé"),AND(F862="Férié",D862="Congé sans solde"),AND(F862="Férié",D862="Congé spécial")),0,IF(OR(F862="OFF",F862="Congé",F862="Congé spécial",F862="Congé sans solde",D862="OFF",D862="Congé",D862="Congé spécial",D862="Congé sans solde"),0.208333333333334,IF(AND(AG862="",F862-D862&lt;0),("24:00:00"-D862)+("00:00:00"+F862)-0.0416666666666667,IF(AND(OR(AG862="Allaitement",AG862="Sans déjeuner"),F862-D862&lt;0),("24:00:00"-D862)+("00:00:00"+F862),IF(AND(AG862="",F862-D862&gt;0.166666666666667),F862-D862-0.0416666666666667,IF(AND(OR(AG862="Allaitement",AG862="Sans déjeuner"),F862-D862&gt;0.166666666666667),F862-D862,F862-D862)))))))</f>
        <v>0.375</v>
      </c>
      <c r="P862" s="6" t="str">
        <f aca="false">IFERROR(VLOOKUP($B862,Agents!$A:$D,2,0),"-")</f>
        <v>Accessibilité</v>
      </c>
      <c r="Q862" s="21" t="n">
        <v>46218</v>
      </c>
      <c r="R862" s="8" t="n">
        <f aca="false">IF(M862="Abs",O862,0)</f>
        <v>0</v>
      </c>
      <c r="S862" s="8" t="n">
        <f aca="false">SUM(R862,L862,I862,J862,W862,H862)</f>
        <v>0</v>
      </c>
      <c r="T862" s="6" t="str">
        <f aca="false">"Sem - "&amp;WEEKNUM(Q862,21)</f>
        <v>Sem - 29</v>
      </c>
      <c r="U862" s="6" t="str">
        <f aca="false">CHOOSE(MONTH(Q862),"Janvier","Février","Mars","Avril","Mai","Juin","Juillet","Août","Septembre","Octobre","Novembre","Décembre")</f>
        <v>Juillet</v>
      </c>
      <c r="V862" s="22" t="n">
        <f aca="false">YEAR(Q862)</f>
        <v>2026</v>
      </c>
      <c r="W862" s="20"/>
      <c r="X862" s="8" t="n">
        <f aca="false">IFERROR(IF(M862="Abs",0,IF(ROUND((D862-C862+E862-F862)*1440,0)&lt;=1,0,D862-C862+E862-F862)),0)</f>
        <v>0.00138888888888889</v>
      </c>
      <c r="Y862" s="6" t="str">
        <f aca="false">IFERROR(VLOOKUP($B862,Agents!$A:$D,3,0),"-")</f>
        <v>OUBRAHIM Mohammed</v>
      </c>
      <c r="Z862" s="6" t="str">
        <f aca="false">IFERROR(VLOOKUP($B862,Agents!$A:$D,4,0),"-")</f>
        <v>Credit Mutuel</v>
      </c>
      <c r="AA862" s="18" t="s">
        <v>111</v>
      </c>
      <c r="AB862" s="8" t="str">
        <f aca="false">IF(AND(D862="Congé",F862="Congé"),0.333333333333333,IF(OR(AND(D862="Congé",F862&lt;&gt;"Congé"),(AND(F862="Congé",D862&lt;&gt;"Congé"))),0.166666666666667,""))</f>
        <v/>
      </c>
      <c r="AC862" s="8" t="str">
        <f aca="false">IF(AND(D862="Congé sans solde",F862="Congé sans solde"),0.333333333333333,IF(OR(AND(D862="Congé sans solde",F862&lt;&gt;"Congé sans solde"),(AND(F862="Congé sans solde",D862&lt;&gt;"Congé sans solde"))),0.166666666666667,""))</f>
        <v/>
      </c>
      <c r="AD862" s="8" t="str">
        <f aca="false">IF(AND(D862="Congé spécial",F862="Congé spécial"),0.333333333333333,IF(OR(AND(D862="Congé spécial",F862&lt;&gt;"Congé spécial"),AND(F862="Congé spécial",D862&lt;&gt;"Congé spécial")),0.166666666666667,""))</f>
        <v/>
      </c>
      <c r="AE862" s="8" t="str">
        <f aca="false">IF(AND(D862="Férié",F862="Férié"),0.333333333333333,IF(OR(AND(D862="Férié",F862&lt;&gt;"Férié"),(AND(F862="Férié",D862&lt;&gt;"Férié"))),0.166666666666667,""))</f>
        <v/>
      </c>
      <c r="AF862" s="18"/>
      <c r="AG862" s="18"/>
    </row>
    <row r="863" customFormat="false" ht="15" hidden="false" customHeight="false" outlineLevel="0" collapsed="false">
      <c r="A863" s="6" t="str">
        <f aca="false">YEAR(Q863-WEEKDAY(Q863,2)+4)&amp;"-S"&amp;TEXT(WEEKNUM(Q863,21),"00")</f>
        <v>2026-S29</v>
      </c>
      <c r="B863" s="18" t="s">
        <v>72</v>
      </c>
      <c r="C863" s="19" t="n">
        <v>0.333333333333333</v>
      </c>
      <c r="D863" s="19" t="n">
        <v>0.333333333333333</v>
      </c>
      <c r="E863" s="19" t="n">
        <v>0.75</v>
      </c>
      <c r="F863" s="19" t="n">
        <v>0.75</v>
      </c>
      <c r="G863" s="20"/>
      <c r="H863" s="20"/>
      <c r="I863" s="8" t="str">
        <f aca="false">IF(IF(OR(C863="",D863="Congé",D863="OFF",D863="Congé spécial"),"",IF(D863&gt;F863,D863-C863,IF(C863-D863&lt;0,0,C863-D863)))&lt;0.00068287037037037,"",IF(OR(D863="Congé",D863="OFF",C863="",D863="Congé spécial"),"",IF(D863&gt;F863,D863-C863,IF(C863-D863&lt;0,0,C863-D863))))</f>
        <v/>
      </c>
      <c r="J863" s="20"/>
      <c r="K863" s="8" t="n">
        <f aca="false">IF(SUM(H863:J863)&lt;0.00068287037037037,0,SUM(H863:J863))</f>
        <v>0</v>
      </c>
      <c r="L863" s="8" t="n">
        <f aca="false">IF(OR(F863="Congé",F863="OFF",M863="Abs",F863="Congé sans solde",F863="Férié",F863="Congé spécial",D863="Congé spécial"),0,IF(F863-E863&lt;0,0,IF(F863-E863&lt;=0.00068287037037037,0,F863-E863)))</f>
        <v>0</v>
      </c>
      <c r="M863" s="6" t="n">
        <f aca="false">IF(AND(O863&lt;&gt;0,C863=""),"Abs",0)</f>
        <v>0</v>
      </c>
      <c r="N863" s="8" t="n">
        <f aca="false">IFERROR(IF(OR(D863="OFF",D863="Congé",M863="Abs",D863="Congé sans solde",D863="Férié"),"",IF(O863-K863-L863&gt;O863,O863,IF(O863-K863-L863&lt;0,"",O863-K863-L863))),"")</f>
        <v>0.375</v>
      </c>
      <c r="O863" s="8" t="n">
        <f aca="false">IF(AG863="2H Pause déjeuner",IF(F863-D863-0.0833333333333333&lt;0,F863-D863-0.0833333333333333+1,F863-D863-0.0833333333333333),IF(OR(AND(F863="OFF",D863="OFF"),AND(F863="Congé",D863="Congé"),AND(F863="Congé sans solde",D863="Congé sans solde"),AND(F863="Congé spécial",D863="Congé spécial"),AND(F863="Férié",D863="Férié"),AND(F863="OFF",D863="Congé"),AND(F863="OFF",D863="Congé sans solde"),AND(F863="OFF",D863="Congé spécial"),AND(F863="OFF",D863="Férié"),AND(F863="Congé",D863="OFF"),AND(F863="Congé",D863="Congé sans solde"),AND(F863="Congé",D863="Congé spécial"),AND(F863="Congé",D863="Férié"),AND(F863="Congé sans solde",D863="OFF"),AND(F863="Congé sans solde",D863="Congé"),AND(F863="Congé sans solde",D863="Congé spécial"),AND(F863="Congé sans solde",D863="Férié"),AND(F863="Congé spécial",D863="OFF"),AND(F863="Congé spécial",D863="Congé"),AND(F863="Congé spécial",D863="Congé sans solde"),AND(F863="Congé spécial",D863="Férié"),AND(F863="Férié",D863="OFF"),AND(F863="Férié",D863="Congé"),AND(F863="Férié",D863="Congé sans solde"),AND(F863="Férié",D863="Congé spécial")),0,IF(OR(F863="OFF",F863="Congé",F863="Congé spécial",F863="Congé sans solde",D863="OFF",D863="Congé",D863="Congé spécial",D863="Congé sans solde"),0.208333333333334,IF(AND(AG863="",F863-D863&lt;0),("24:00:00"-D863)+("00:00:00"+F863)-0.0416666666666667,IF(AND(OR(AG863="Allaitement",AG863="Sans déjeuner"),F863-D863&lt;0),("24:00:00"-D863)+("00:00:00"+F863),IF(AND(AG863="",F863-D863&gt;0.166666666666667),F863-D863-0.0416666666666667,IF(AND(OR(AG863="Allaitement",AG863="Sans déjeuner"),F863-D863&gt;0.166666666666667),F863-D863,F863-D863)))))))</f>
        <v>0.375</v>
      </c>
      <c r="P863" s="6" t="str">
        <f aca="false">IFERROR(VLOOKUP($B863,Agents!$A:$D,2,0),"-")</f>
        <v>Accessibilité</v>
      </c>
      <c r="Q863" s="21" t="n">
        <v>46218</v>
      </c>
      <c r="R863" s="8" t="n">
        <f aca="false">IF(M863="Abs",O863,0)</f>
        <v>0</v>
      </c>
      <c r="S863" s="8" t="n">
        <f aca="false">SUM(R863,L863,I863,J863,W863,H863)</f>
        <v>0</v>
      </c>
      <c r="T863" s="6" t="str">
        <f aca="false">"Sem - "&amp;WEEKNUM(Q863,21)</f>
        <v>Sem - 29</v>
      </c>
      <c r="U863" s="6" t="str">
        <f aca="false">CHOOSE(MONTH(Q863),"Janvier","Février","Mars","Avril","Mai","Juin","Juillet","Août","Septembre","Octobre","Novembre","Décembre")</f>
        <v>Juillet</v>
      </c>
      <c r="V863" s="22" t="n">
        <f aca="false">YEAR(Q863)</f>
        <v>2026</v>
      </c>
      <c r="W863" s="20"/>
      <c r="X863" s="8" t="n">
        <f aca="false">IFERROR(IF(M863="Abs",0,IF(ROUND((D863-C863+E863-F863)*1440,0)&lt;=1,0,D863-C863+E863-F863)),0)</f>
        <v>0</v>
      </c>
      <c r="Y863" s="6" t="str">
        <f aca="false">IFERROR(VLOOKUP($B863,Agents!$A:$D,3,0),"-")</f>
        <v>OUBRAHIM Mohammed</v>
      </c>
      <c r="Z863" s="6" t="str">
        <f aca="false">IFERROR(VLOOKUP($B863,Agents!$A:$D,4,0),"-")</f>
        <v>Credit Mutuel</v>
      </c>
      <c r="AA863" s="18" t="s">
        <v>111</v>
      </c>
      <c r="AB863" s="8" t="str">
        <f aca="false">IF(AND(D863="Congé",F863="Congé"),0.333333333333333,IF(OR(AND(D863="Congé",F863&lt;&gt;"Congé"),(AND(F863="Congé",D863&lt;&gt;"Congé"))),0.166666666666667,""))</f>
        <v/>
      </c>
      <c r="AC863" s="8" t="str">
        <f aca="false">IF(AND(D863="Congé sans solde",F863="Congé sans solde"),0.333333333333333,IF(OR(AND(D863="Congé sans solde",F863&lt;&gt;"Congé sans solde"),(AND(F863="Congé sans solde",D863&lt;&gt;"Congé sans solde"))),0.166666666666667,""))</f>
        <v/>
      </c>
      <c r="AD863" s="8" t="str">
        <f aca="false">IF(AND(D863="Congé spécial",F863="Congé spécial"),0.333333333333333,IF(OR(AND(D863="Congé spécial",F863&lt;&gt;"Congé spécial"),AND(F863="Congé spécial",D863&lt;&gt;"Congé spécial")),0.166666666666667,""))</f>
        <v/>
      </c>
      <c r="AE863" s="8" t="str">
        <f aca="false">IF(AND(D863="Férié",F863="Férié"),0.333333333333333,IF(OR(AND(D863="Férié",F863&lt;&gt;"Férié"),(AND(F863="Férié",D863&lt;&gt;"Férié"))),0.166666666666667,""))</f>
        <v/>
      </c>
      <c r="AF863" s="18"/>
      <c r="AG863" s="18"/>
    </row>
    <row r="864" customFormat="false" ht="15" hidden="false" customHeight="false" outlineLevel="0" collapsed="false">
      <c r="A864" s="6" t="str">
        <f aca="false">YEAR(Q864-WEEKDAY(Q864,2)+4)&amp;"-S"&amp;TEXT(WEEKNUM(Q864,21),"00")</f>
        <v>2026-S29</v>
      </c>
      <c r="B864" s="18" t="s">
        <v>73</v>
      </c>
      <c r="C864" s="19" t="n">
        <v>0.333333333333333</v>
      </c>
      <c r="D864" s="19" t="n">
        <v>0.333333333333333</v>
      </c>
      <c r="E864" s="19" t="n">
        <v>0.75</v>
      </c>
      <c r="F864" s="19" t="n">
        <v>0.75</v>
      </c>
      <c r="G864" s="20"/>
      <c r="H864" s="20"/>
      <c r="I864" s="8" t="str">
        <f aca="false">IF(IF(OR(C864="",D864="Congé",D864="OFF",D864="Congé spécial"),"",IF(D864&gt;F864,D864-C864,IF(C864-D864&lt;0,0,C864-D864)))&lt;0.00068287037037037,"",IF(OR(D864="Congé",D864="OFF",C864="",D864="Congé spécial"),"",IF(D864&gt;F864,D864-C864,IF(C864-D864&lt;0,0,C864-D864))))</f>
        <v/>
      </c>
      <c r="J864" s="20"/>
      <c r="K864" s="8" t="n">
        <f aca="false">IF(SUM(H864:J864)&lt;0.00068287037037037,0,SUM(H864:J864))</f>
        <v>0</v>
      </c>
      <c r="L864" s="8" t="n">
        <f aca="false">IF(OR(F864="Congé",F864="OFF",M864="Abs",F864="Congé sans solde",F864="Férié",F864="Congé spécial",D864="Congé spécial"),0,IF(F864-E864&lt;0,0,IF(F864-E864&lt;=0.00068287037037037,0,F864-E864)))</f>
        <v>0</v>
      </c>
      <c r="M864" s="6" t="n">
        <f aca="false">IF(AND(O864&lt;&gt;0,C864=""),"Abs",0)</f>
        <v>0</v>
      </c>
      <c r="N864" s="8" t="n">
        <f aca="false">IFERROR(IF(OR(D864="OFF",D864="Congé",M864="Abs",D864="Congé sans solde",D864="Férié"),"",IF(O864-K864-L864&gt;O864,O864,IF(O864-K864-L864&lt;0,"",O864-K864-L864))),"")</f>
        <v>0.375</v>
      </c>
      <c r="O864" s="8" t="n">
        <f aca="false">IF(AG864="2H Pause déjeuner",IF(F864-D864-0.0833333333333333&lt;0,F864-D864-0.0833333333333333+1,F864-D864-0.0833333333333333),IF(OR(AND(F864="OFF",D864="OFF"),AND(F864="Congé",D864="Congé"),AND(F864="Congé sans solde",D864="Congé sans solde"),AND(F864="Congé spécial",D864="Congé spécial"),AND(F864="Férié",D864="Férié"),AND(F864="OFF",D864="Congé"),AND(F864="OFF",D864="Congé sans solde"),AND(F864="OFF",D864="Congé spécial"),AND(F864="OFF",D864="Férié"),AND(F864="Congé",D864="OFF"),AND(F864="Congé",D864="Congé sans solde"),AND(F864="Congé",D864="Congé spécial"),AND(F864="Congé",D864="Férié"),AND(F864="Congé sans solde",D864="OFF"),AND(F864="Congé sans solde",D864="Congé"),AND(F864="Congé sans solde",D864="Congé spécial"),AND(F864="Congé sans solde",D864="Férié"),AND(F864="Congé spécial",D864="OFF"),AND(F864="Congé spécial",D864="Congé"),AND(F864="Congé spécial",D864="Congé sans solde"),AND(F864="Congé spécial",D864="Férié"),AND(F864="Férié",D864="OFF"),AND(F864="Férié",D864="Congé"),AND(F864="Férié",D864="Congé sans solde"),AND(F864="Férié",D864="Congé spécial")),0,IF(OR(F864="OFF",F864="Congé",F864="Congé spécial",F864="Congé sans solde",D864="OFF",D864="Congé",D864="Congé spécial",D864="Congé sans solde"),0.208333333333334,IF(AND(AG864="",F864-D864&lt;0),("24:00:00"-D864)+("00:00:00"+F864)-0.0416666666666667,IF(AND(OR(AG864="Allaitement",AG864="Sans déjeuner"),F864-D864&lt;0),("24:00:00"-D864)+("00:00:00"+F864),IF(AND(AG864="",F864-D864&gt;0.166666666666667),F864-D864-0.0416666666666667,IF(AND(OR(AG864="Allaitement",AG864="Sans déjeuner"),F864-D864&gt;0.166666666666667),F864-D864,F864-D864)))))))</f>
        <v>0.375</v>
      </c>
      <c r="P864" s="6" t="str">
        <f aca="false">IFERROR(VLOOKUP($B864,Agents!$A:$D,2,0),"-")</f>
        <v>Accessibilité</v>
      </c>
      <c r="Q864" s="21" t="n">
        <v>46218</v>
      </c>
      <c r="R864" s="8" t="n">
        <f aca="false">IF(M864="Abs",O864,0)</f>
        <v>0</v>
      </c>
      <c r="S864" s="8" t="n">
        <f aca="false">SUM(R864,L864,I864,J864,W864,H864)</f>
        <v>0</v>
      </c>
      <c r="T864" s="6" t="str">
        <f aca="false">"Sem - "&amp;WEEKNUM(Q864,21)</f>
        <v>Sem - 29</v>
      </c>
      <c r="U864" s="6" t="str">
        <f aca="false">CHOOSE(MONTH(Q864),"Janvier","Février","Mars","Avril","Mai","Juin","Juillet","Août","Septembre","Octobre","Novembre","Décembre")</f>
        <v>Juillet</v>
      </c>
      <c r="V864" s="22" t="n">
        <f aca="false">YEAR(Q864)</f>
        <v>2026</v>
      </c>
      <c r="W864" s="20"/>
      <c r="X864" s="8" t="n">
        <f aca="false">IFERROR(IF(M864="Abs",0,IF(ROUND((D864-C864+E864-F864)*1440,0)&lt;=1,0,D864-C864+E864-F864)),0)</f>
        <v>0</v>
      </c>
      <c r="Y864" s="6" t="str">
        <f aca="false">IFERROR(VLOOKUP($B864,Agents!$A:$D,3,0),"-")</f>
        <v>OUBRAHIM Mohammed</v>
      </c>
      <c r="Z864" s="6" t="str">
        <f aca="false">IFERROR(VLOOKUP($B864,Agents!$A:$D,4,0),"-")</f>
        <v>Credit Mutuel</v>
      </c>
      <c r="AA864" s="18" t="s">
        <v>111</v>
      </c>
      <c r="AB864" s="8" t="str">
        <f aca="false">IF(AND(D864="Congé",F864="Congé"),0.333333333333333,IF(OR(AND(D864="Congé",F864&lt;&gt;"Congé"),(AND(F864="Congé",D864&lt;&gt;"Congé"))),0.166666666666667,""))</f>
        <v/>
      </c>
      <c r="AC864" s="8" t="str">
        <f aca="false">IF(AND(D864="Congé sans solde",F864="Congé sans solde"),0.333333333333333,IF(OR(AND(D864="Congé sans solde",F864&lt;&gt;"Congé sans solde"),(AND(F864="Congé sans solde",D864&lt;&gt;"Congé sans solde"))),0.166666666666667,""))</f>
        <v/>
      </c>
      <c r="AD864" s="8" t="str">
        <f aca="false">IF(AND(D864="Congé spécial",F864="Congé spécial"),0.333333333333333,IF(OR(AND(D864="Congé spécial",F864&lt;&gt;"Congé spécial"),AND(F864="Congé spécial",D864&lt;&gt;"Congé spécial")),0.166666666666667,""))</f>
        <v/>
      </c>
      <c r="AE864" s="8" t="str">
        <f aca="false">IF(AND(D864="Férié",F864="Férié"),0.333333333333333,IF(OR(AND(D864="Férié",F864&lt;&gt;"Férié"),(AND(F864="Férié",D864&lt;&gt;"Férié"))),0.166666666666667,""))</f>
        <v/>
      </c>
      <c r="AF864" s="18"/>
      <c r="AG864" s="18"/>
    </row>
    <row r="865" customFormat="false" ht="15" hidden="false" customHeight="false" outlineLevel="0" collapsed="false">
      <c r="A865" s="6" t="str">
        <f aca="false">YEAR(Q865-WEEKDAY(Q865,2)+4)&amp;"-S"&amp;TEXT(WEEKNUM(Q865,21),"00")</f>
        <v>2026-S29</v>
      </c>
      <c r="B865" s="18" t="s">
        <v>71</v>
      </c>
      <c r="C865" s="19" t="n">
        <v>0.333333333333333</v>
      </c>
      <c r="D865" s="19" t="n">
        <v>0.333333333333333</v>
      </c>
      <c r="E865" s="19" t="n">
        <v>0.75</v>
      </c>
      <c r="F865" s="19" t="n">
        <v>0.75</v>
      </c>
      <c r="G865" s="20"/>
      <c r="H865" s="20"/>
      <c r="I865" s="8" t="str">
        <f aca="false">IF(IF(OR(C865="",D865="Congé",D865="OFF",D865="Congé spécial"),"",IF(D865&gt;F865,D865-C865,IF(C865-D865&lt;0,0,C865-D865)))&lt;0.00068287037037037,"",IF(OR(D865="Congé",D865="OFF",C865="",D865="Congé spécial"),"",IF(D865&gt;F865,D865-C865,IF(C865-D865&lt;0,0,C865-D865))))</f>
        <v/>
      </c>
      <c r="J865" s="20"/>
      <c r="K865" s="8" t="n">
        <f aca="false">IF(SUM(H865:J865)&lt;0.00068287037037037,0,SUM(H865:J865))</f>
        <v>0</v>
      </c>
      <c r="L865" s="8" t="n">
        <f aca="false">IF(OR(F865="Congé",F865="OFF",M865="Abs",F865="Congé sans solde",F865="Férié",F865="Congé spécial",D865="Congé spécial"),0,IF(F865-E865&lt;0,0,IF(F865-E865&lt;=0.00068287037037037,0,F865-E865)))</f>
        <v>0</v>
      </c>
      <c r="M865" s="6" t="n">
        <f aca="false">IF(AND(O865&lt;&gt;0,C865=""),"Abs",0)</f>
        <v>0</v>
      </c>
      <c r="N865" s="8" t="n">
        <f aca="false">IFERROR(IF(OR(D865="OFF",D865="Congé",M865="Abs",D865="Congé sans solde",D865="Férié"),"",IF(O865-K865-L865&gt;O865,O865,IF(O865-K865-L865&lt;0,"",O865-K865-L865))),"")</f>
        <v>0.375</v>
      </c>
      <c r="O865" s="8" t="n">
        <f aca="false">IF(AG865="2H Pause déjeuner",IF(F865-D865-0.0833333333333333&lt;0,F865-D865-0.0833333333333333+1,F865-D865-0.0833333333333333),IF(OR(AND(F865="OFF",D865="OFF"),AND(F865="Congé",D865="Congé"),AND(F865="Congé sans solde",D865="Congé sans solde"),AND(F865="Congé spécial",D865="Congé spécial"),AND(F865="Férié",D865="Férié"),AND(F865="OFF",D865="Congé"),AND(F865="OFF",D865="Congé sans solde"),AND(F865="OFF",D865="Congé spécial"),AND(F865="OFF",D865="Férié"),AND(F865="Congé",D865="OFF"),AND(F865="Congé",D865="Congé sans solde"),AND(F865="Congé",D865="Congé spécial"),AND(F865="Congé",D865="Férié"),AND(F865="Congé sans solde",D865="OFF"),AND(F865="Congé sans solde",D865="Congé"),AND(F865="Congé sans solde",D865="Congé spécial"),AND(F865="Congé sans solde",D865="Férié"),AND(F865="Congé spécial",D865="OFF"),AND(F865="Congé spécial",D865="Congé"),AND(F865="Congé spécial",D865="Congé sans solde"),AND(F865="Congé spécial",D865="Férié"),AND(F865="Férié",D865="OFF"),AND(F865="Férié",D865="Congé"),AND(F865="Férié",D865="Congé sans solde"),AND(F865="Férié",D865="Congé spécial")),0,IF(OR(F865="OFF",F865="Congé",F865="Congé spécial",F865="Congé sans solde",D865="OFF",D865="Congé",D865="Congé spécial",D865="Congé sans solde"),0.208333333333334,IF(AND(AG865="",F865-D865&lt;0),("24:00:00"-D865)+("00:00:00"+F865)-0.0416666666666667,IF(AND(OR(AG865="Allaitement",AG865="Sans déjeuner"),F865-D865&lt;0),("24:00:00"-D865)+("00:00:00"+F865),IF(AND(AG865="",F865-D865&gt;0.166666666666667),F865-D865-0.0416666666666667,IF(AND(OR(AG865="Allaitement",AG865="Sans déjeuner"),F865-D865&gt;0.166666666666667),F865-D865,F865-D865)))))))</f>
        <v>0.375</v>
      </c>
      <c r="P865" s="6" t="str">
        <f aca="false">IFERROR(VLOOKUP($B865,Agents!$A:$D,2,0),"-")</f>
        <v>Accessibilité</v>
      </c>
      <c r="Q865" s="21" t="n">
        <v>46219</v>
      </c>
      <c r="R865" s="8" t="n">
        <f aca="false">IF(M865="Abs",O865,0)</f>
        <v>0</v>
      </c>
      <c r="S865" s="8" t="n">
        <f aca="false">SUM(R865,L865,I865,J865,W865,H865)</f>
        <v>0</v>
      </c>
      <c r="T865" s="6" t="str">
        <f aca="false">"Sem - "&amp;WEEKNUM(Q865,21)</f>
        <v>Sem - 29</v>
      </c>
      <c r="U865" s="6" t="str">
        <f aca="false">CHOOSE(MONTH(Q865),"Janvier","Février","Mars","Avril","Mai","Juin","Juillet","Août","Septembre","Octobre","Novembre","Décembre")</f>
        <v>Juillet</v>
      </c>
      <c r="V865" s="22" t="n">
        <f aca="false">YEAR(Q865)</f>
        <v>2026</v>
      </c>
      <c r="W865" s="20"/>
      <c r="X865" s="8" t="n">
        <f aca="false">IFERROR(IF(M865="Abs",0,IF(ROUND((D865-C865+E865-F865)*1440,0)&lt;=1,0,D865-C865+E865-F865)),0)</f>
        <v>0</v>
      </c>
      <c r="Y865" s="6" t="str">
        <f aca="false">IFERROR(VLOOKUP($B865,Agents!$A:$D,3,0),"-")</f>
        <v>OUBRAHIM Mohammed</v>
      </c>
      <c r="Z865" s="6" t="str">
        <f aca="false">IFERROR(VLOOKUP($B865,Agents!$A:$D,4,0),"-")</f>
        <v>Credit Mutuel</v>
      </c>
      <c r="AA865" s="18" t="s">
        <v>111</v>
      </c>
      <c r="AB865" s="8" t="str">
        <f aca="false">IF(AND(D865="Congé",F865="Congé"),0.333333333333333,IF(OR(AND(D865="Congé",F865&lt;&gt;"Congé"),(AND(F865="Congé",D865&lt;&gt;"Congé"))),0.166666666666667,""))</f>
        <v/>
      </c>
      <c r="AC865" s="8" t="str">
        <f aca="false">IF(AND(D865="Congé sans solde",F865="Congé sans solde"),0.333333333333333,IF(OR(AND(D865="Congé sans solde",F865&lt;&gt;"Congé sans solde"),(AND(F865="Congé sans solde",D865&lt;&gt;"Congé sans solde"))),0.166666666666667,""))</f>
        <v/>
      </c>
      <c r="AD865" s="8" t="str">
        <f aca="false">IF(AND(D865="Congé spécial",F865="Congé spécial"),0.333333333333333,IF(OR(AND(D865="Congé spécial",F865&lt;&gt;"Congé spécial"),AND(F865="Congé spécial",D865&lt;&gt;"Congé spécial")),0.166666666666667,""))</f>
        <v/>
      </c>
      <c r="AE865" s="8" t="str">
        <f aca="false">IF(AND(D865="Férié",F865="Férié"),0.333333333333333,IF(OR(AND(D865="Férié",F865&lt;&gt;"Férié"),(AND(F865="Férié",D865&lt;&gt;"Férié"))),0.166666666666667,""))</f>
        <v/>
      </c>
      <c r="AF865" s="18"/>
      <c r="AG865" s="18"/>
    </row>
    <row r="866" customFormat="false" ht="15" hidden="false" customHeight="false" outlineLevel="0" collapsed="false">
      <c r="A866" s="6" t="str">
        <f aca="false">YEAR(Q866-WEEKDAY(Q866,2)+4)&amp;"-S"&amp;TEXT(WEEKNUM(Q866,21),"00")</f>
        <v>2026-S29</v>
      </c>
      <c r="B866" s="18" t="s">
        <v>72</v>
      </c>
      <c r="C866" s="19" t="n">
        <v>0.329166666666667</v>
      </c>
      <c r="D866" s="19" t="n">
        <v>0.333333333333333</v>
      </c>
      <c r="E866" s="19" t="n">
        <v>0.75</v>
      </c>
      <c r="F866" s="19" t="n">
        <v>0.75</v>
      </c>
      <c r="G866" s="20"/>
      <c r="H866" s="20"/>
      <c r="I866" s="8" t="str">
        <f aca="false">IF(IF(OR(C866="",D866="Congé",D866="OFF",D866="Congé spécial"),"",IF(D866&gt;F866,D866-C866,IF(C866-D866&lt;0,0,C866-D866)))&lt;0.00068287037037037,"",IF(OR(D866="Congé",D866="OFF",C866="",D866="Congé spécial"),"",IF(D866&gt;F866,D866-C866,IF(C866-D866&lt;0,0,C866-D866))))</f>
        <v/>
      </c>
      <c r="J866" s="20"/>
      <c r="K866" s="8" t="n">
        <f aca="false">IF(SUM(H866:J866)&lt;0.00068287037037037,0,SUM(H866:J866))</f>
        <v>0</v>
      </c>
      <c r="L866" s="8" t="n">
        <f aca="false">IF(OR(F866="Congé",F866="OFF",M866="Abs",F866="Congé sans solde",F866="Férié",F866="Congé spécial",D866="Congé spécial"),0,IF(F866-E866&lt;0,0,IF(F866-E866&lt;=0.00068287037037037,0,F866-E866)))</f>
        <v>0</v>
      </c>
      <c r="M866" s="6" t="n">
        <f aca="false">IF(AND(O866&lt;&gt;0,C866=""),"Abs",0)</f>
        <v>0</v>
      </c>
      <c r="N866" s="8" t="n">
        <f aca="false">IFERROR(IF(OR(D866="OFF",D866="Congé",M866="Abs",D866="Congé sans solde",D866="Férié"),"",IF(O866-K866-L866&gt;O866,O866,IF(O866-K866-L866&lt;0,"",O866-K866-L866))),"")</f>
        <v>0.375</v>
      </c>
      <c r="O866" s="8" t="n">
        <f aca="false">IF(AG866="2H Pause déjeuner",IF(F866-D866-0.0833333333333333&lt;0,F866-D866-0.0833333333333333+1,F866-D866-0.0833333333333333),IF(OR(AND(F866="OFF",D866="OFF"),AND(F866="Congé",D866="Congé"),AND(F866="Congé sans solde",D866="Congé sans solde"),AND(F866="Congé spécial",D866="Congé spécial"),AND(F866="Férié",D866="Férié"),AND(F866="OFF",D866="Congé"),AND(F866="OFF",D866="Congé sans solde"),AND(F866="OFF",D866="Congé spécial"),AND(F866="OFF",D866="Férié"),AND(F866="Congé",D866="OFF"),AND(F866="Congé",D866="Congé sans solde"),AND(F866="Congé",D866="Congé spécial"),AND(F866="Congé",D866="Férié"),AND(F866="Congé sans solde",D866="OFF"),AND(F866="Congé sans solde",D866="Congé"),AND(F866="Congé sans solde",D866="Congé spécial"),AND(F866="Congé sans solde",D866="Férié"),AND(F866="Congé spécial",D866="OFF"),AND(F866="Congé spécial",D866="Congé"),AND(F866="Congé spécial",D866="Congé sans solde"),AND(F866="Congé spécial",D866="Férié"),AND(F866="Férié",D866="OFF"),AND(F866="Férié",D866="Congé"),AND(F866="Férié",D866="Congé sans solde"),AND(F866="Férié",D866="Congé spécial")),0,IF(OR(F866="OFF",F866="Congé",F866="Congé spécial",F866="Congé sans solde",D866="OFF",D866="Congé",D866="Congé spécial",D866="Congé sans solde"),0.208333333333334,IF(AND(AG866="",F866-D866&lt;0),("24:00:00"-D866)+("00:00:00"+F866)-0.0416666666666667,IF(AND(OR(AG866="Allaitement",AG866="Sans déjeuner"),F866-D866&lt;0),("24:00:00"-D866)+("00:00:00"+F866),IF(AND(AG866="",F866-D866&gt;0.166666666666667),F866-D866-0.0416666666666667,IF(AND(OR(AG866="Allaitement",AG866="Sans déjeuner"),F866-D866&gt;0.166666666666667),F866-D866,F866-D866)))))))</f>
        <v>0.375</v>
      </c>
      <c r="P866" s="6" t="str">
        <f aca="false">IFERROR(VLOOKUP($B866,Agents!$A:$D,2,0),"-")</f>
        <v>Accessibilité</v>
      </c>
      <c r="Q866" s="21" t="n">
        <v>46219</v>
      </c>
      <c r="R866" s="8" t="n">
        <f aca="false">IF(M866="Abs",O866,0)</f>
        <v>0</v>
      </c>
      <c r="S866" s="8" t="n">
        <f aca="false">SUM(R866,L866,I866,J866,W866,H866)</f>
        <v>0</v>
      </c>
      <c r="T866" s="6" t="str">
        <f aca="false">"Sem - "&amp;WEEKNUM(Q866,21)</f>
        <v>Sem - 29</v>
      </c>
      <c r="U866" s="6" t="str">
        <f aca="false">CHOOSE(MONTH(Q866),"Janvier","Février","Mars","Avril","Mai","Juin","Juillet","Août","Septembre","Octobre","Novembre","Décembre")</f>
        <v>Juillet</v>
      </c>
      <c r="V866" s="22" t="n">
        <f aca="false">YEAR(Q866)</f>
        <v>2026</v>
      </c>
      <c r="W866" s="20"/>
      <c r="X866" s="8" t="n">
        <f aca="false">IFERROR(IF(M866="Abs",0,IF(ROUND((D866-C866+E866-F866)*1440,0)&lt;=1,0,D866-C866+E866-F866)),0)</f>
        <v>0.00416666666666667</v>
      </c>
      <c r="Y866" s="6" t="str">
        <f aca="false">IFERROR(VLOOKUP($B866,Agents!$A:$D,3,0),"-")</f>
        <v>OUBRAHIM Mohammed</v>
      </c>
      <c r="Z866" s="6" t="str">
        <f aca="false">IFERROR(VLOOKUP($B866,Agents!$A:$D,4,0),"-")</f>
        <v>Credit Mutuel</v>
      </c>
      <c r="AA866" s="18" t="s">
        <v>111</v>
      </c>
      <c r="AB866" s="8" t="str">
        <f aca="false">IF(AND(D866="Congé",F866="Congé"),0.333333333333333,IF(OR(AND(D866="Congé",F866&lt;&gt;"Congé"),(AND(F866="Congé",D866&lt;&gt;"Congé"))),0.166666666666667,""))</f>
        <v/>
      </c>
      <c r="AC866" s="8" t="str">
        <f aca="false">IF(AND(D866="Congé sans solde",F866="Congé sans solde"),0.333333333333333,IF(OR(AND(D866="Congé sans solde",F866&lt;&gt;"Congé sans solde"),(AND(F866="Congé sans solde",D866&lt;&gt;"Congé sans solde"))),0.166666666666667,""))</f>
        <v/>
      </c>
      <c r="AD866" s="8" t="str">
        <f aca="false">IF(AND(D866="Congé spécial",F866="Congé spécial"),0.333333333333333,IF(OR(AND(D866="Congé spécial",F866&lt;&gt;"Congé spécial"),AND(F866="Congé spécial",D866&lt;&gt;"Congé spécial")),0.166666666666667,""))</f>
        <v/>
      </c>
      <c r="AE866" s="8" t="str">
        <f aca="false">IF(AND(D866="Férié",F866="Férié"),0.333333333333333,IF(OR(AND(D866="Férié",F866&lt;&gt;"Férié"),(AND(F866="Férié",D866&lt;&gt;"Férié"))),0.166666666666667,""))</f>
        <v/>
      </c>
      <c r="AF866" s="18"/>
      <c r="AG866" s="18"/>
    </row>
    <row r="867" customFormat="false" ht="15" hidden="false" customHeight="false" outlineLevel="0" collapsed="false">
      <c r="A867" s="6" t="str">
        <f aca="false">YEAR(Q867-WEEKDAY(Q867,2)+4)&amp;"-S"&amp;TEXT(WEEKNUM(Q867,21),"00")</f>
        <v>2026-S29</v>
      </c>
      <c r="B867" s="18" t="s">
        <v>73</v>
      </c>
      <c r="C867" s="19" t="n">
        <v>0.333333333333333</v>
      </c>
      <c r="D867" s="19" t="n">
        <v>0.333333333333333</v>
      </c>
      <c r="E867" s="19" t="n">
        <v>0.75</v>
      </c>
      <c r="F867" s="19" t="n">
        <v>0.75</v>
      </c>
      <c r="G867" s="20"/>
      <c r="H867" s="20"/>
      <c r="I867" s="8" t="str">
        <f aca="false">IF(IF(OR(C867="",D867="Congé",D867="OFF",D867="Congé spécial"),"",IF(D867&gt;F867,D867-C867,IF(C867-D867&lt;0,0,C867-D867)))&lt;0.00068287037037037,"",IF(OR(D867="Congé",D867="OFF",C867="",D867="Congé spécial"),"",IF(D867&gt;F867,D867-C867,IF(C867-D867&lt;0,0,C867-D867))))</f>
        <v/>
      </c>
      <c r="J867" s="20"/>
      <c r="K867" s="8" t="n">
        <f aca="false">IF(SUM(H867:J867)&lt;0.00068287037037037,0,SUM(H867:J867))</f>
        <v>0</v>
      </c>
      <c r="L867" s="8" t="n">
        <f aca="false">IF(OR(F867="Congé",F867="OFF",M867="Abs",F867="Congé sans solde",F867="Férié",F867="Congé spécial",D867="Congé spécial"),0,IF(F867-E867&lt;0,0,IF(F867-E867&lt;=0.00068287037037037,0,F867-E867)))</f>
        <v>0</v>
      </c>
      <c r="M867" s="6" t="n">
        <f aca="false">IF(AND(O867&lt;&gt;0,C867=""),"Abs",0)</f>
        <v>0</v>
      </c>
      <c r="N867" s="8" t="n">
        <f aca="false">IFERROR(IF(OR(D867="OFF",D867="Congé",M867="Abs",D867="Congé sans solde",D867="Férié"),"",IF(O867-K867-L867&gt;O867,O867,IF(O867-K867-L867&lt;0,"",O867-K867-L867))),"")</f>
        <v>0.375</v>
      </c>
      <c r="O867" s="8" t="n">
        <f aca="false">IF(AG867="2H Pause déjeuner",IF(F867-D867-0.0833333333333333&lt;0,F867-D867-0.0833333333333333+1,F867-D867-0.0833333333333333),IF(OR(AND(F867="OFF",D867="OFF"),AND(F867="Congé",D867="Congé"),AND(F867="Congé sans solde",D867="Congé sans solde"),AND(F867="Congé spécial",D867="Congé spécial"),AND(F867="Férié",D867="Férié"),AND(F867="OFF",D867="Congé"),AND(F867="OFF",D867="Congé sans solde"),AND(F867="OFF",D867="Congé spécial"),AND(F867="OFF",D867="Férié"),AND(F867="Congé",D867="OFF"),AND(F867="Congé",D867="Congé sans solde"),AND(F867="Congé",D867="Congé spécial"),AND(F867="Congé",D867="Férié"),AND(F867="Congé sans solde",D867="OFF"),AND(F867="Congé sans solde",D867="Congé"),AND(F867="Congé sans solde",D867="Congé spécial"),AND(F867="Congé sans solde",D867="Férié"),AND(F867="Congé spécial",D867="OFF"),AND(F867="Congé spécial",D867="Congé"),AND(F867="Congé spécial",D867="Congé sans solde"),AND(F867="Congé spécial",D867="Férié"),AND(F867="Férié",D867="OFF"),AND(F867="Férié",D867="Congé"),AND(F867="Férié",D867="Congé sans solde"),AND(F867="Férié",D867="Congé spécial")),0,IF(OR(F867="OFF",F867="Congé",F867="Congé spécial",F867="Congé sans solde",D867="OFF",D867="Congé",D867="Congé spécial",D867="Congé sans solde"),0.208333333333334,IF(AND(AG867="",F867-D867&lt;0),("24:00:00"-D867)+("00:00:00"+F867)-0.0416666666666667,IF(AND(OR(AG867="Allaitement",AG867="Sans déjeuner"),F867-D867&lt;0),("24:00:00"-D867)+("00:00:00"+F867),IF(AND(AG867="",F867-D867&gt;0.166666666666667),F867-D867-0.0416666666666667,IF(AND(OR(AG867="Allaitement",AG867="Sans déjeuner"),F867-D867&gt;0.166666666666667),F867-D867,F867-D867)))))))</f>
        <v>0.375</v>
      </c>
      <c r="P867" s="6" t="str">
        <f aca="false">IFERROR(VLOOKUP($B867,Agents!$A:$D,2,0),"-")</f>
        <v>Accessibilité</v>
      </c>
      <c r="Q867" s="21" t="n">
        <v>46219</v>
      </c>
      <c r="R867" s="8" t="n">
        <f aca="false">IF(M867="Abs",O867,0)</f>
        <v>0</v>
      </c>
      <c r="S867" s="8" t="n">
        <f aca="false">SUM(R867,L867,I867,J867,W867,H867)</f>
        <v>0</v>
      </c>
      <c r="T867" s="6" t="str">
        <f aca="false">"Sem - "&amp;WEEKNUM(Q867,21)</f>
        <v>Sem - 29</v>
      </c>
      <c r="U867" s="6" t="str">
        <f aca="false">CHOOSE(MONTH(Q867),"Janvier","Février","Mars","Avril","Mai","Juin","Juillet","Août","Septembre","Octobre","Novembre","Décembre")</f>
        <v>Juillet</v>
      </c>
      <c r="V867" s="22" t="n">
        <f aca="false">YEAR(Q867)</f>
        <v>2026</v>
      </c>
      <c r="W867" s="20"/>
      <c r="X867" s="8" t="n">
        <f aca="false">IFERROR(IF(M867="Abs",0,IF(ROUND((D867-C867+E867-F867)*1440,0)&lt;=1,0,D867-C867+E867-F867)),0)</f>
        <v>0</v>
      </c>
      <c r="Y867" s="6" t="str">
        <f aca="false">IFERROR(VLOOKUP($B867,Agents!$A:$D,3,0),"-")</f>
        <v>OUBRAHIM Mohammed</v>
      </c>
      <c r="Z867" s="6" t="str">
        <f aca="false">IFERROR(VLOOKUP($B867,Agents!$A:$D,4,0),"-")</f>
        <v>Credit Mutuel</v>
      </c>
      <c r="AA867" s="18" t="s">
        <v>111</v>
      </c>
      <c r="AB867" s="8" t="str">
        <f aca="false">IF(AND(D867="Congé",F867="Congé"),0.333333333333333,IF(OR(AND(D867="Congé",F867&lt;&gt;"Congé"),(AND(F867="Congé",D867&lt;&gt;"Congé"))),0.166666666666667,""))</f>
        <v/>
      </c>
      <c r="AC867" s="8" t="str">
        <f aca="false">IF(AND(D867="Congé sans solde",F867="Congé sans solde"),0.333333333333333,IF(OR(AND(D867="Congé sans solde",F867&lt;&gt;"Congé sans solde"),(AND(F867="Congé sans solde",D867&lt;&gt;"Congé sans solde"))),0.166666666666667,""))</f>
        <v/>
      </c>
      <c r="AD867" s="8" t="str">
        <f aca="false">IF(AND(D867="Congé spécial",F867="Congé spécial"),0.333333333333333,IF(OR(AND(D867="Congé spécial",F867&lt;&gt;"Congé spécial"),AND(F867="Congé spécial",D867&lt;&gt;"Congé spécial")),0.166666666666667,""))</f>
        <v/>
      </c>
      <c r="AE867" s="8" t="str">
        <f aca="false">IF(AND(D867="Férié",F867="Férié"),0.333333333333333,IF(OR(AND(D867="Férié",F867&lt;&gt;"Férié"),(AND(F867="Férié",D867&lt;&gt;"Férié"))),0.166666666666667,""))</f>
        <v/>
      </c>
      <c r="AF867" s="18"/>
      <c r="AG867" s="18"/>
    </row>
    <row r="868" customFormat="false" ht="15" hidden="false" customHeight="false" outlineLevel="0" collapsed="false">
      <c r="A868" s="6" t="str">
        <f aca="false">YEAR(Q868-WEEKDAY(Q868,2)+4)&amp;"-S"&amp;TEXT(WEEKNUM(Q868,21),"00")</f>
        <v>2026-S29</v>
      </c>
      <c r="B868" s="18" t="s">
        <v>71</v>
      </c>
      <c r="C868" s="19" t="n">
        <v>0.291666666666667</v>
      </c>
      <c r="D868" s="19" t="n">
        <v>0.333333333333333</v>
      </c>
      <c r="E868" s="19" t="n">
        <v>0.708333333333333</v>
      </c>
      <c r="F868" s="19" t="n">
        <v>0.708333333333333</v>
      </c>
      <c r="G868" s="20"/>
      <c r="H868" s="20"/>
      <c r="I868" s="8" t="str">
        <f aca="false">IF(IF(OR(C868="",D868="Congé",D868="OFF",D868="Congé spécial"),"",IF(D868&gt;F868,D868-C868,IF(C868-D868&lt;0,0,C868-D868)))&lt;0.00068287037037037,"",IF(OR(D868="Congé",D868="OFF",C868="",D868="Congé spécial"),"",IF(D868&gt;F868,D868-C868,IF(C868-D868&lt;0,0,C868-D868))))</f>
        <v/>
      </c>
      <c r="J868" s="20"/>
      <c r="K868" s="8" t="n">
        <f aca="false">IF(SUM(H868:J868)&lt;0.00068287037037037,0,SUM(H868:J868))</f>
        <v>0</v>
      </c>
      <c r="L868" s="8" t="n">
        <f aca="false">IF(OR(F868="Congé",F868="OFF",M868="Abs",F868="Congé sans solde",F868="Férié",F868="Congé spécial",D868="Congé spécial"),0,IF(F868-E868&lt;0,0,IF(F868-E868&lt;=0.00068287037037037,0,F868-E868)))</f>
        <v>0</v>
      </c>
      <c r="M868" s="6" t="n">
        <f aca="false">IF(AND(O868&lt;&gt;0,C868=""),"Abs",0)</f>
        <v>0</v>
      </c>
      <c r="N868" s="8" t="n">
        <f aca="false">IFERROR(IF(OR(D868="OFF",D868="Congé",M868="Abs",D868="Congé sans solde",D868="Férié"),"",IF(O868-K868-L868&gt;O868,O868,IF(O868-K868-L868&lt;0,"",O868-K868-L868))),"")</f>
        <v>0.333333333333333</v>
      </c>
      <c r="O868" s="8" t="n">
        <f aca="false">IF(AG868="2H Pause déjeuner",IF(F868-D868-0.0833333333333333&lt;0,F868-D868-0.0833333333333333+1,F868-D868-0.0833333333333333),IF(OR(AND(F868="OFF",D868="OFF"),AND(F868="Congé",D868="Congé"),AND(F868="Congé sans solde",D868="Congé sans solde"),AND(F868="Congé spécial",D868="Congé spécial"),AND(F868="Férié",D868="Férié"),AND(F868="OFF",D868="Congé"),AND(F868="OFF",D868="Congé sans solde"),AND(F868="OFF",D868="Congé spécial"),AND(F868="OFF",D868="Férié"),AND(F868="Congé",D868="OFF"),AND(F868="Congé",D868="Congé sans solde"),AND(F868="Congé",D868="Congé spécial"),AND(F868="Congé",D868="Férié"),AND(F868="Congé sans solde",D868="OFF"),AND(F868="Congé sans solde",D868="Congé"),AND(F868="Congé sans solde",D868="Congé spécial"),AND(F868="Congé sans solde",D868="Férié"),AND(F868="Congé spécial",D868="OFF"),AND(F868="Congé spécial",D868="Congé"),AND(F868="Congé spécial",D868="Congé sans solde"),AND(F868="Congé spécial",D868="Férié"),AND(F868="Férié",D868="OFF"),AND(F868="Férié",D868="Congé"),AND(F868="Férié",D868="Congé sans solde"),AND(F868="Férié",D868="Congé spécial")),0,IF(OR(F868="OFF",F868="Congé",F868="Congé spécial",F868="Congé sans solde",D868="OFF",D868="Congé",D868="Congé spécial",D868="Congé sans solde"),0.208333333333334,IF(AND(AG868="",F868-D868&lt;0),("24:00:00"-D868)+("00:00:00"+F868)-0.0416666666666667,IF(AND(OR(AG868="Allaitement",AG868="Sans déjeuner"),F868-D868&lt;0),("24:00:00"-D868)+("00:00:00"+F868),IF(AND(AG868="",F868-D868&gt;0.166666666666667),F868-D868-0.0416666666666667,IF(AND(OR(AG868="Allaitement",AG868="Sans déjeuner"),F868-D868&gt;0.166666666666667),F868-D868,F868-D868)))))))</f>
        <v>0.333333333333333</v>
      </c>
      <c r="P868" s="6" t="str">
        <f aca="false">IFERROR(VLOOKUP($B868,Agents!$A:$D,2,0),"-")</f>
        <v>Accessibilité</v>
      </c>
      <c r="Q868" s="21" t="n">
        <v>46220</v>
      </c>
      <c r="R868" s="8" t="n">
        <f aca="false">IF(M868="Abs",O868,0)</f>
        <v>0</v>
      </c>
      <c r="S868" s="8" t="n">
        <f aca="false">SUM(R868,L868,I868,J868,W868,H868)</f>
        <v>0</v>
      </c>
      <c r="T868" s="6" t="str">
        <f aca="false">"Sem - "&amp;WEEKNUM(Q868,21)</f>
        <v>Sem - 29</v>
      </c>
      <c r="U868" s="6" t="str">
        <f aca="false">CHOOSE(MONTH(Q868),"Janvier","Février","Mars","Avril","Mai","Juin","Juillet","Août","Septembre","Octobre","Novembre","Décembre")</f>
        <v>Juillet</v>
      </c>
      <c r="V868" s="22" t="n">
        <f aca="false">YEAR(Q868)</f>
        <v>2026</v>
      </c>
      <c r="W868" s="20"/>
      <c r="X868" s="8" t="n">
        <f aca="false">IFERROR(IF(M868="Abs",0,IF(ROUND((D868-C868+E868-F868)*1440,0)&lt;=1,0,D868-C868+E868-F868)),0)</f>
        <v>0.0416666666666667</v>
      </c>
      <c r="Y868" s="6" t="str">
        <f aca="false">IFERROR(VLOOKUP($B868,Agents!$A:$D,3,0),"-")</f>
        <v>OUBRAHIM Mohammed</v>
      </c>
      <c r="Z868" s="6" t="str">
        <f aca="false">IFERROR(VLOOKUP($B868,Agents!$A:$D,4,0),"-")</f>
        <v>Credit Mutuel</v>
      </c>
      <c r="AA868" s="18" t="s">
        <v>111</v>
      </c>
      <c r="AB868" s="8" t="str">
        <f aca="false">IF(AND(D868="Congé",F868="Congé"),0.333333333333333,IF(OR(AND(D868="Congé",F868&lt;&gt;"Congé"),(AND(F868="Congé",D868&lt;&gt;"Congé"))),0.166666666666667,""))</f>
        <v/>
      </c>
      <c r="AC868" s="8" t="str">
        <f aca="false">IF(AND(D868="Congé sans solde",F868="Congé sans solde"),0.333333333333333,IF(OR(AND(D868="Congé sans solde",F868&lt;&gt;"Congé sans solde"),(AND(F868="Congé sans solde",D868&lt;&gt;"Congé sans solde"))),0.166666666666667,""))</f>
        <v/>
      </c>
      <c r="AD868" s="8" t="str">
        <f aca="false">IF(AND(D868="Congé spécial",F868="Congé spécial"),0.333333333333333,IF(OR(AND(D868="Congé spécial",F868&lt;&gt;"Congé spécial"),AND(F868="Congé spécial",D868&lt;&gt;"Congé spécial")),0.166666666666667,""))</f>
        <v/>
      </c>
      <c r="AE868" s="8" t="str">
        <f aca="false">IF(AND(D868="Férié",F868="Férié"),0.333333333333333,IF(OR(AND(D868="Férié",F868&lt;&gt;"Férié"),(AND(F868="Férié",D868&lt;&gt;"Férié"))),0.166666666666667,""))</f>
        <v/>
      </c>
      <c r="AF868" s="18"/>
      <c r="AG868" s="18"/>
    </row>
    <row r="869" customFormat="false" ht="15" hidden="false" customHeight="false" outlineLevel="0" collapsed="false">
      <c r="A869" s="6" t="str">
        <f aca="false">YEAR(Q869-WEEKDAY(Q869,2)+4)&amp;"-S"&amp;TEXT(WEEKNUM(Q869,21),"00")</f>
        <v>2026-S29</v>
      </c>
      <c r="B869" s="18" t="s">
        <v>72</v>
      </c>
      <c r="C869" s="19" t="n">
        <v>0.331944444444444</v>
      </c>
      <c r="D869" s="19" t="n">
        <v>0.333333333333333</v>
      </c>
      <c r="E869" s="19" t="n">
        <v>0.708333333333333</v>
      </c>
      <c r="F869" s="19" t="n">
        <v>0.708333333333333</v>
      </c>
      <c r="G869" s="20"/>
      <c r="H869" s="20"/>
      <c r="I869" s="8" t="str">
        <f aca="false">IF(IF(OR(C869="",D869="Congé",D869="OFF",D869="Congé spécial"),"",IF(D869&gt;F869,D869-C869,IF(C869-D869&lt;0,0,C869-D869)))&lt;0.00068287037037037,"",IF(OR(D869="Congé",D869="OFF",C869="",D869="Congé spécial"),"",IF(D869&gt;F869,D869-C869,IF(C869-D869&lt;0,0,C869-D869))))</f>
        <v/>
      </c>
      <c r="J869" s="20"/>
      <c r="K869" s="8" t="n">
        <f aca="false">IF(SUM(H869:J869)&lt;0.00068287037037037,0,SUM(H869:J869))</f>
        <v>0</v>
      </c>
      <c r="L869" s="8" t="n">
        <f aca="false">IF(OR(F869="Congé",F869="OFF",M869="Abs",F869="Congé sans solde",F869="Férié",F869="Congé spécial",D869="Congé spécial"),0,IF(F869-E869&lt;0,0,IF(F869-E869&lt;=0.00068287037037037,0,F869-E869)))</f>
        <v>0</v>
      </c>
      <c r="M869" s="6" t="n">
        <f aca="false">IF(AND(O869&lt;&gt;0,C869=""),"Abs",0)</f>
        <v>0</v>
      </c>
      <c r="N869" s="8" t="n">
        <f aca="false">IFERROR(IF(OR(D869="OFF",D869="Congé",M869="Abs",D869="Congé sans solde",D869="Férié"),"",IF(O869-K869-L869&gt;O869,O869,IF(O869-K869-L869&lt;0,"",O869-K869-L869))),"")</f>
        <v>0.333333333333333</v>
      </c>
      <c r="O869" s="8" t="n">
        <f aca="false">IF(AG869="2H Pause déjeuner",IF(F869-D869-0.0833333333333333&lt;0,F869-D869-0.0833333333333333+1,F869-D869-0.0833333333333333),IF(OR(AND(F869="OFF",D869="OFF"),AND(F869="Congé",D869="Congé"),AND(F869="Congé sans solde",D869="Congé sans solde"),AND(F869="Congé spécial",D869="Congé spécial"),AND(F869="Férié",D869="Férié"),AND(F869="OFF",D869="Congé"),AND(F869="OFF",D869="Congé sans solde"),AND(F869="OFF",D869="Congé spécial"),AND(F869="OFF",D869="Férié"),AND(F869="Congé",D869="OFF"),AND(F869="Congé",D869="Congé sans solde"),AND(F869="Congé",D869="Congé spécial"),AND(F869="Congé",D869="Férié"),AND(F869="Congé sans solde",D869="OFF"),AND(F869="Congé sans solde",D869="Congé"),AND(F869="Congé sans solde",D869="Congé spécial"),AND(F869="Congé sans solde",D869="Férié"),AND(F869="Congé spécial",D869="OFF"),AND(F869="Congé spécial",D869="Congé"),AND(F869="Congé spécial",D869="Congé sans solde"),AND(F869="Congé spécial",D869="Férié"),AND(F869="Férié",D869="OFF"),AND(F869="Férié",D869="Congé"),AND(F869="Férié",D869="Congé sans solde"),AND(F869="Férié",D869="Congé spécial")),0,IF(OR(F869="OFF",F869="Congé",F869="Congé spécial",F869="Congé sans solde",D869="OFF",D869="Congé",D869="Congé spécial",D869="Congé sans solde"),0.208333333333334,IF(AND(AG869="",F869-D869&lt;0),("24:00:00"-D869)+("00:00:00"+F869)-0.0416666666666667,IF(AND(OR(AG869="Allaitement",AG869="Sans déjeuner"),F869-D869&lt;0),("24:00:00"-D869)+("00:00:00"+F869),IF(AND(AG869="",F869-D869&gt;0.166666666666667),F869-D869-0.0416666666666667,IF(AND(OR(AG869="Allaitement",AG869="Sans déjeuner"),F869-D869&gt;0.166666666666667),F869-D869,F869-D869)))))))</f>
        <v>0.333333333333333</v>
      </c>
      <c r="P869" s="6" t="str">
        <f aca="false">IFERROR(VLOOKUP($B869,Agents!$A:$D,2,0),"-")</f>
        <v>Accessibilité</v>
      </c>
      <c r="Q869" s="21" t="n">
        <v>46220</v>
      </c>
      <c r="R869" s="8" t="n">
        <f aca="false">IF(M869="Abs",O869,0)</f>
        <v>0</v>
      </c>
      <c r="S869" s="8" t="n">
        <f aca="false">SUM(R869,L869,I869,J869,W869,H869)</f>
        <v>0</v>
      </c>
      <c r="T869" s="6" t="str">
        <f aca="false">"Sem - "&amp;WEEKNUM(Q869,21)</f>
        <v>Sem - 29</v>
      </c>
      <c r="U869" s="6" t="str">
        <f aca="false">CHOOSE(MONTH(Q869),"Janvier","Février","Mars","Avril","Mai","Juin","Juillet","Août","Septembre","Octobre","Novembre","Décembre")</f>
        <v>Juillet</v>
      </c>
      <c r="V869" s="22" t="n">
        <f aca="false">YEAR(Q869)</f>
        <v>2026</v>
      </c>
      <c r="W869" s="20"/>
      <c r="X869" s="8" t="n">
        <f aca="false">IFERROR(IF(M869="Abs",0,IF(ROUND((D869-C869+E869-F869)*1440,0)&lt;=1,0,D869-C869+E869-F869)),0)</f>
        <v>0.00138888888888889</v>
      </c>
      <c r="Y869" s="6" t="str">
        <f aca="false">IFERROR(VLOOKUP($B869,Agents!$A:$D,3,0),"-")</f>
        <v>OUBRAHIM Mohammed</v>
      </c>
      <c r="Z869" s="6" t="str">
        <f aca="false">IFERROR(VLOOKUP($B869,Agents!$A:$D,4,0),"-")</f>
        <v>Credit Mutuel</v>
      </c>
      <c r="AA869" s="18" t="s">
        <v>111</v>
      </c>
      <c r="AB869" s="8" t="str">
        <f aca="false">IF(AND(D869="Congé",F869="Congé"),0.333333333333333,IF(OR(AND(D869="Congé",F869&lt;&gt;"Congé"),(AND(F869="Congé",D869&lt;&gt;"Congé"))),0.166666666666667,""))</f>
        <v/>
      </c>
      <c r="AC869" s="8" t="str">
        <f aca="false">IF(AND(D869="Congé sans solde",F869="Congé sans solde"),0.333333333333333,IF(OR(AND(D869="Congé sans solde",F869&lt;&gt;"Congé sans solde"),(AND(F869="Congé sans solde",D869&lt;&gt;"Congé sans solde"))),0.166666666666667,""))</f>
        <v/>
      </c>
      <c r="AD869" s="8" t="str">
        <f aca="false">IF(AND(D869="Congé spécial",F869="Congé spécial"),0.333333333333333,IF(OR(AND(D869="Congé spécial",F869&lt;&gt;"Congé spécial"),AND(F869="Congé spécial",D869&lt;&gt;"Congé spécial")),0.166666666666667,""))</f>
        <v/>
      </c>
      <c r="AE869" s="8" t="str">
        <f aca="false">IF(AND(D869="Férié",F869="Férié"),0.333333333333333,IF(OR(AND(D869="Férié",F869&lt;&gt;"Férié"),(AND(F869="Férié",D869&lt;&gt;"Férié"))),0.166666666666667,""))</f>
        <v/>
      </c>
      <c r="AF869" s="18"/>
      <c r="AG869" s="18"/>
    </row>
    <row r="870" customFormat="false" ht="15" hidden="false" customHeight="false" outlineLevel="0" collapsed="false">
      <c r="A870" s="6" t="str">
        <f aca="false">YEAR(Q870-WEEKDAY(Q870,2)+4)&amp;"-S"&amp;TEXT(WEEKNUM(Q870,21),"00")</f>
        <v>2026-S29</v>
      </c>
      <c r="B870" s="18" t="s">
        <v>73</v>
      </c>
      <c r="C870" s="19" t="n">
        <v>0.333333333333333</v>
      </c>
      <c r="D870" s="19" t="n">
        <v>0.333333333333333</v>
      </c>
      <c r="E870" s="19" t="n">
        <v>0.708333333333333</v>
      </c>
      <c r="F870" s="19" t="n">
        <v>0.708333333333333</v>
      </c>
      <c r="G870" s="20"/>
      <c r="H870" s="20"/>
      <c r="I870" s="8" t="str">
        <f aca="false">IF(IF(OR(C870="",D870="Congé",D870="OFF",D870="Congé spécial"),"",IF(D870&gt;F870,D870-C870,IF(C870-D870&lt;0,0,C870-D870)))&lt;0.00068287037037037,"",IF(OR(D870="Congé",D870="OFF",C870="",D870="Congé spécial"),"",IF(D870&gt;F870,D870-C870,IF(C870-D870&lt;0,0,C870-D870))))</f>
        <v/>
      </c>
      <c r="J870" s="20"/>
      <c r="K870" s="8" t="n">
        <f aca="false">IF(SUM(H870:J870)&lt;0.00068287037037037,0,SUM(H870:J870))</f>
        <v>0</v>
      </c>
      <c r="L870" s="8" t="n">
        <f aca="false">IF(OR(F870="Congé",F870="OFF",M870="Abs",F870="Congé sans solde",F870="Férié",F870="Congé spécial",D870="Congé spécial"),0,IF(F870-E870&lt;0,0,IF(F870-E870&lt;=0.00068287037037037,0,F870-E870)))</f>
        <v>0</v>
      </c>
      <c r="M870" s="6" t="n">
        <f aca="false">IF(AND(O870&lt;&gt;0,C870=""),"Abs",0)</f>
        <v>0</v>
      </c>
      <c r="N870" s="8" t="n">
        <f aca="false">IFERROR(IF(OR(D870="OFF",D870="Congé",M870="Abs",D870="Congé sans solde",D870="Férié"),"",IF(O870-K870-L870&gt;O870,O870,IF(O870-K870-L870&lt;0,"",O870-K870-L870))),"")</f>
        <v>0.333333333333333</v>
      </c>
      <c r="O870" s="8" t="n">
        <f aca="false">IF(AG870="2H Pause déjeuner",IF(F870-D870-0.0833333333333333&lt;0,F870-D870-0.0833333333333333+1,F870-D870-0.0833333333333333),IF(OR(AND(F870="OFF",D870="OFF"),AND(F870="Congé",D870="Congé"),AND(F870="Congé sans solde",D870="Congé sans solde"),AND(F870="Congé spécial",D870="Congé spécial"),AND(F870="Férié",D870="Férié"),AND(F870="OFF",D870="Congé"),AND(F870="OFF",D870="Congé sans solde"),AND(F870="OFF",D870="Congé spécial"),AND(F870="OFF",D870="Férié"),AND(F870="Congé",D870="OFF"),AND(F870="Congé",D870="Congé sans solde"),AND(F870="Congé",D870="Congé spécial"),AND(F870="Congé",D870="Férié"),AND(F870="Congé sans solde",D870="OFF"),AND(F870="Congé sans solde",D870="Congé"),AND(F870="Congé sans solde",D870="Congé spécial"),AND(F870="Congé sans solde",D870="Férié"),AND(F870="Congé spécial",D870="OFF"),AND(F870="Congé spécial",D870="Congé"),AND(F870="Congé spécial",D870="Congé sans solde"),AND(F870="Congé spécial",D870="Férié"),AND(F870="Férié",D870="OFF"),AND(F870="Férié",D870="Congé"),AND(F870="Férié",D870="Congé sans solde"),AND(F870="Férié",D870="Congé spécial")),0,IF(OR(F870="OFF",F870="Congé",F870="Congé spécial",F870="Congé sans solde",D870="OFF",D870="Congé",D870="Congé spécial",D870="Congé sans solde"),0.208333333333334,IF(AND(AG870="",F870-D870&lt;0),("24:00:00"-D870)+("00:00:00"+F870)-0.0416666666666667,IF(AND(OR(AG870="Allaitement",AG870="Sans déjeuner"),F870-D870&lt;0),("24:00:00"-D870)+("00:00:00"+F870),IF(AND(AG870="",F870-D870&gt;0.166666666666667),F870-D870-0.0416666666666667,IF(AND(OR(AG870="Allaitement",AG870="Sans déjeuner"),F870-D870&gt;0.166666666666667),F870-D870,F870-D870)))))))</f>
        <v>0.333333333333333</v>
      </c>
      <c r="P870" s="6" t="str">
        <f aca="false">IFERROR(VLOOKUP($B870,Agents!$A:$D,2,0),"-")</f>
        <v>Accessibilité</v>
      </c>
      <c r="Q870" s="21" t="n">
        <v>46220</v>
      </c>
      <c r="R870" s="8" t="n">
        <f aca="false">IF(M870="Abs",O870,0)</f>
        <v>0</v>
      </c>
      <c r="S870" s="8" t="n">
        <f aca="false">SUM(R870,L870,I870,J870,W870,H870)</f>
        <v>0</v>
      </c>
      <c r="T870" s="6" t="str">
        <f aca="false">"Sem - "&amp;WEEKNUM(Q870,21)</f>
        <v>Sem - 29</v>
      </c>
      <c r="U870" s="6" t="str">
        <f aca="false">CHOOSE(MONTH(Q870),"Janvier","Février","Mars","Avril","Mai","Juin","Juillet","Août","Septembre","Octobre","Novembre","Décembre")</f>
        <v>Juillet</v>
      </c>
      <c r="V870" s="22" t="n">
        <f aca="false">YEAR(Q870)</f>
        <v>2026</v>
      </c>
      <c r="W870" s="20"/>
      <c r="X870" s="8" t="n">
        <f aca="false">IFERROR(IF(M870="Abs",0,IF(ROUND((D870-C870+E870-F870)*1440,0)&lt;=1,0,D870-C870+E870-F870)),0)</f>
        <v>0</v>
      </c>
      <c r="Y870" s="6" t="str">
        <f aca="false">IFERROR(VLOOKUP($B870,Agents!$A:$D,3,0),"-")</f>
        <v>OUBRAHIM Mohammed</v>
      </c>
      <c r="Z870" s="6" t="str">
        <f aca="false">IFERROR(VLOOKUP($B870,Agents!$A:$D,4,0),"-")</f>
        <v>Credit Mutuel</v>
      </c>
      <c r="AA870" s="18" t="s">
        <v>111</v>
      </c>
      <c r="AB870" s="8" t="str">
        <f aca="false">IF(AND(D870="Congé",F870="Congé"),0.333333333333333,IF(OR(AND(D870="Congé",F870&lt;&gt;"Congé"),(AND(F870="Congé",D870&lt;&gt;"Congé"))),0.166666666666667,""))</f>
        <v/>
      </c>
      <c r="AC870" s="8" t="str">
        <f aca="false">IF(AND(D870="Congé sans solde",F870="Congé sans solde"),0.333333333333333,IF(OR(AND(D870="Congé sans solde",F870&lt;&gt;"Congé sans solde"),(AND(F870="Congé sans solde",D870&lt;&gt;"Congé sans solde"))),0.166666666666667,""))</f>
        <v/>
      </c>
      <c r="AD870" s="8" t="str">
        <f aca="false">IF(AND(D870="Congé spécial",F870="Congé spécial"),0.333333333333333,IF(OR(AND(D870="Congé spécial",F870&lt;&gt;"Congé spécial"),AND(F870="Congé spécial",D870&lt;&gt;"Congé spécial")),0.166666666666667,""))</f>
        <v/>
      </c>
      <c r="AE870" s="8" t="str">
        <f aca="false">IF(AND(D870="Férié",F870="Férié"),0.333333333333333,IF(OR(AND(D870="Férié",F870&lt;&gt;"Férié"),(AND(F870="Férié",D870&lt;&gt;"Férié"))),0.166666666666667,""))</f>
        <v/>
      </c>
      <c r="AF870" s="18"/>
      <c r="AG870" s="18"/>
    </row>
    <row r="871" customFormat="false" ht="15" hidden="false" customHeight="false" outlineLevel="0" collapsed="false">
      <c r="A871" s="6" t="str">
        <f aca="false">YEAR(Q871-WEEKDAY(Q871,2)+4)&amp;"-S"&amp;TEXT(WEEKNUM(Q871,21),"00")</f>
        <v>2026-S29</v>
      </c>
      <c r="B871" s="18" t="s">
        <v>71</v>
      </c>
      <c r="C871" s="19"/>
      <c r="D871" s="19" t="s">
        <v>74</v>
      </c>
      <c r="E871" s="19"/>
      <c r="F871" s="19" t="s">
        <v>74</v>
      </c>
      <c r="G871" s="20"/>
      <c r="H871" s="20"/>
      <c r="I871" s="8" t="str">
        <f aca="false">IF(IF(OR(C871="",D871="Congé",D871="OFF",D871="Congé spécial"),"",IF(D871&gt;F871,D871-C871,IF(C871-D871&lt;0,0,C871-D871)))&lt;0.00068287037037037,"",IF(OR(D871="Congé",D871="OFF",C871="",D871="Congé spécial"),"",IF(D871&gt;F871,D871-C871,IF(C871-D871&lt;0,0,C871-D871))))</f>
        <v/>
      </c>
      <c r="J871" s="20"/>
      <c r="K871" s="8" t="n">
        <f aca="false">IF(SUM(H871:J871)&lt;0.00068287037037037,0,SUM(H871:J871))</f>
        <v>0</v>
      </c>
      <c r="L871" s="8" t="n">
        <f aca="false">IF(OR(F871="Congé",F871="OFF",M871="Abs",F871="Congé sans solde",F871="Férié",F871="Congé spécial",D871="Congé spécial"),0,IF(F871-E871&lt;0,0,IF(F871-E871&lt;=0.00068287037037037,0,F871-E871)))</f>
        <v>0</v>
      </c>
      <c r="M871" s="6" t="n">
        <f aca="false">IF(AND(O871&lt;&gt;0,C871=""),"Abs",0)</f>
        <v>0</v>
      </c>
      <c r="N871" s="8" t="str">
        <f aca="false">IFERROR(IF(OR(D871="OFF",D871="Congé",M871="Abs",D871="Congé sans solde",D871="Férié"),"",IF(O871-K871-L871&gt;O871,O871,IF(O871-K871-L871&lt;0,"",O871-K871-L871))),"")</f>
        <v/>
      </c>
      <c r="O871" s="8" t="n">
        <f aca="false">IF(AG871="2H Pause déjeuner",IF(F871-D871-0.0833333333333333&lt;0,F871-D871-0.0833333333333333+1,F871-D871-0.0833333333333333),IF(OR(AND(F871="OFF",D871="OFF"),AND(F871="Congé",D871="Congé"),AND(F871="Congé sans solde",D871="Congé sans solde"),AND(F871="Congé spécial",D871="Congé spécial"),AND(F871="Férié",D871="Férié"),AND(F871="OFF",D871="Congé"),AND(F871="OFF",D871="Congé sans solde"),AND(F871="OFF",D871="Congé spécial"),AND(F871="OFF",D871="Férié"),AND(F871="Congé",D871="OFF"),AND(F871="Congé",D871="Congé sans solde"),AND(F871="Congé",D871="Congé spécial"),AND(F871="Congé",D871="Férié"),AND(F871="Congé sans solde",D871="OFF"),AND(F871="Congé sans solde",D871="Congé"),AND(F871="Congé sans solde",D871="Congé spécial"),AND(F871="Congé sans solde",D871="Férié"),AND(F871="Congé spécial",D871="OFF"),AND(F871="Congé spécial",D871="Congé"),AND(F871="Congé spécial",D871="Congé sans solde"),AND(F871="Congé spécial",D871="Férié"),AND(F871="Férié",D871="OFF"),AND(F871="Férié",D871="Congé"),AND(F871="Férié",D871="Congé sans solde"),AND(F871="Férié",D871="Congé spécial")),0,IF(OR(F871="OFF",F871="Congé",F871="Congé spécial",F871="Congé sans solde",D871="OFF",D871="Congé",D871="Congé spécial",D871="Congé sans solde"),0.208333333333334,IF(AND(AG871="",F871-D871&lt;0),("24:00:00"-D871)+("00:00:00"+F871)-0.0416666666666667,IF(AND(OR(AG871="Allaitement",AG871="Sans déjeuner"),F871-D871&lt;0),("24:00:00"-D871)+("00:00:00"+F871),IF(AND(AG871="",F871-D871&gt;0.166666666666667),F871-D871-0.0416666666666667,IF(AND(OR(AG871="Allaitement",AG871="Sans déjeuner"),F871-D871&gt;0.166666666666667),F871-D871,F871-D871)))))))</f>
        <v>0</v>
      </c>
      <c r="P871" s="6" t="str">
        <f aca="false">IFERROR(VLOOKUP($B871,Agents!$A:$D,2,0),"-")</f>
        <v>Accessibilité</v>
      </c>
      <c r="Q871" s="21" t="n">
        <v>46221</v>
      </c>
      <c r="R871" s="8" t="n">
        <f aca="false">IF(M871="Abs",O871,0)</f>
        <v>0</v>
      </c>
      <c r="S871" s="8" t="n">
        <f aca="false">SUM(R871,L871,I871,J871,W871,H871)</f>
        <v>0</v>
      </c>
      <c r="T871" s="6" t="str">
        <f aca="false">"Sem - "&amp;WEEKNUM(Q871,21)</f>
        <v>Sem - 29</v>
      </c>
      <c r="U871" s="6" t="str">
        <f aca="false">CHOOSE(MONTH(Q871),"Janvier","Février","Mars","Avril","Mai","Juin","Juillet","Août","Septembre","Octobre","Novembre","Décembre")</f>
        <v>Juillet</v>
      </c>
      <c r="V871" s="22" t="n">
        <f aca="false">YEAR(Q871)</f>
        <v>2026</v>
      </c>
      <c r="W871" s="20"/>
      <c r="X871" s="8" t="n">
        <f aca="false">IFERROR(IF(M871="Abs",0,IF(ROUND((D871-C871+E871-F871)*1440,0)&lt;=1,0,D871-C871+E871-F871)),0)</f>
        <v>0</v>
      </c>
      <c r="Y871" s="6" t="str">
        <f aca="false">IFERROR(VLOOKUP($B871,Agents!$A:$D,3,0),"-")</f>
        <v>OUBRAHIM Mohammed</v>
      </c>
      <c r="Z871" s="6" t="str">
        <f aca="false">IFERROR(VLOOKUP($B871,Agents!$A:$D,4,0),"-")</f>
        <v>Credit Mutuel</v>
      </c>
      <c r="AA871" s="18" t="s">
        <v>111</v>
      </c>
      <c r="AB871" s="8" t="str">
        <f aca="false">IF(AND(D871="Congé",F871="Congé"),0.333333333333333,IF(OR(AND(D871="Congé",F871&lt;&gt;"Congé"),(AND(F871="Congé",D871&lt;&gt;"Congé"))),0.166666666666667,""))</f>
        <v/>
      </c>
      <c r="AC871" s="8" t="str">
        <f aca="false">IF(AND(D871="Congé sans solde",F871="Congé sans solde"),0.333333333333333,IF(OR(AND(D871="Congé sans solde",F871&lt;&gt;"Congé sans solde"),(AND(F871="Congé sans solde",D871&lt;&gt;"Congé sans solde"))),0.166666666666667,""))</f>
        <v/>
      </c>
      <c r="AD871" s="8" t="str">
        <f aca="false">IF(AND(D871="Congé spécial",F871="Congé spécial"),0.333333333333333,IF(OR(AND(D871="Congé spécial",F871&lt;&gt;"Congé spécial"),AND(F871="Congé spécial",D871&lt;&gt;"Congé spécial")),0.166666666666667,""))</f>
        <v/>
      </c>
      <c r="AE871" s="8" t="str">
        <f aca="false">IF(AND(D871="Férié",F871="Férié"),0.333333333333333,IF(OR(AND(D871="Férié",F871&lt;&gt;"Férié"),(AND(F871="Férié",D871&lt;&gt;"Férié"))),0.166666666666667,""))</f>
        <v/>
      </c>
      <c r="AF871" s="18"/>
      <c r="AG871" s="18"/>
    </row>
    <row r="872" customFormat="false" ht="15" hidden="false" customHeight="false" outlineLevel="0" collapsed="false">
      <c r="A872" s="6" t="str">
        <f aca="false">YEAR(Q872-WEEKDAY(Q872,2)+4)&amp;"-S"&amp;TEXT(WEEKNUM(Q872,21),"00")</f>
        <v>2026-S29</v>
      </c>
      <c r="B872" s="18" t="s">
        <v>72</v>
      </c>
      <c r="C872" s="19"/>
      <c r="D872" s="19" t="s">
        <v>74</v>
      </c>
      <c r="E872" s="19"/>
      <c r="F872" s="19" t="s">
        <v>74</v>
      </c>
      <c r="G872" s="20"/>
      <c r="H872" s="20"/>
      <c r="I872" s="8" t="str">
        <f aca="false">IF(IF(OR(C872="",D872="Congé",D872="OFF",D872="Congé spécial"),"",IF(D872&gt;F872,D872-C872,IF(C872-D872&lt;0,0,C872-D872)))&lt;0.00068287037037037,"",IF(OR(D872="Congé",D872="OFF",C872="",D872="Congé spécial"),"",IF(D872&gt;F872,D872-C872,IF(C872-D872&lt;0,0,C872-D872))))</f>
        <v/>
      </c>
      <c r="J872" s="20"/>
      <c r="K872" s="8" t="n">
        <f aca="false">IF(SUM(H872:J872)&lt;0.00068287037037037,0,SUM(H872:J872))</f>
        <v>0</v>
      </c>
      <c r="L872" s="8" t="n">
        <f aca="false">IF(OR(F872="Congé",F872="OFF",M872="Abs",F872="Congé sans solde",F872="Férié",F872="Congé spécial",D872="Congé spécial"),0,IF(F872-E872&lt;0,0,IF(F872-E872&lt;=0.00068287037037037,0,F872-E872)))</f>
        <v>0</v>
      </c>
      <c r="M872" s="6" t="n">
        <f aca="false">IF(AND(O872&lt;&gt;0,C872=""),"Abs",0)</f>
        <v>0</v>
      </c>
      <c r="N872" s="8" t="str">
        <f aca="false">IFERROR(IF(OR(D872="OFF",D872="Congé",M872="Abs",D872="Congé sans solde",D872="Férié"),"",IF(O872-K872-L872&gt;O872,O872,IF(O872-K872-L872&lt;0,"",O872-K872-L872))),"")</f>
        <v/>
      </c>
      <c r="O872" s="8" t="n">
        <f aca="false">IF(AG872="2H Pause déjeuner",IF(F872-D872-0.0833333333333333&lt;0,F872-D872-0.0833333333333333+1,F872-D872-0.0833333333333333),IF(OR(AND(F872="OFF",D872="OFF"),AND(F872="Congé",D872="Congé"),AND(F872="Congé sans solde",D872="Congé sans solde"),AND(F872="Congé spécial",D872="Congé spécial"),AND(F872="Férié",D872="Férié"),AND(F872="OFF",D872="Congé"),AND(F872="OFF",D872="Congé sans solde"),AND(F872="OFF",D872="Congé spécial"),AND(F872="OFF",D872="Férié"),AND(F872="Congé",D872="OFF"),AND(F872="Congé",D872="Congé sans solde"),AND(F872="Congé",D872="Congé spécial"),AND(F872="Congé",D872="Férié"),AND(F872="Congé sans solde",D872="OFF"),AND(F872="Congé sans solde",D872="Congé"),AND(F872="Congé sans solde",D872="Congé spécial"),AND(F872="Congé sans solde",D872="Férié"),AND(F872="Congé spécial",D872="OFF"),AND(F872="Congé spécial",D872="Congé"),AND(F872="Congé spécial",D872="Congé sans solde"),AND(F872="Congé spécial",D872="Férié"),AND(F872="Férié",D872="OFF"),AND(F872="Férié",D872="Congé"),AND(F872="Férié",D872="Congé sans solde"),AND(F872="Férié",D872="Congé spécial")),0,IF(OR(F872="OFF",F872="Congé",F872="Congé spécial",F872="Congé sans solde",D872="OFF",D872="Congé",D872="Congé spécial",D872="Congé sans solde"),0.208333333333334,IF(AND(AG872="",F872-D872&lt;0),("24:00:00"-D872)+("00:00:00"+F872)-0.0416666666666667,IF(AND(OR(AG872="Allaitement",AG872="Sans déjeuner"),F872-D872&lt;0),("24:00:00"-D872)+("00:00:00"+F872),IF(AND(AG872="",F872-D872&gt;0.166666666666667),F872-D872-0.0416666666666667,IF(AND(OR(AG872="Allaitement",AG872="Sans déjeuner"),F872-D872&gt;0.166666666666667),F872-D872,F872-D872)))))))</f>
        <v>0</v>
      </c>
      <c r="P872" s="6" t="str">
        <f aca="false">IFERROR(VLOOKUP($B872,Agents!$A:$D,2,0),"-")</f>
        <v>Accessibilité</v>
      </c>
      <c r="Q872" s="21" t="n">
        <v>46221</v>
      </c>
      <c r="R872" s="8" t="n">
        <f aca="false">IF(M872="Abs",O872,0)</f>
        <v>0</v>
      </c>
      <c r="S872" s="8" t="n">
        <f aca="false">SUM(R872,L872,I872,J872,W872,H872)</f>
        <v>0</v>
      </c>
      <c r="T872" s="6" t="str">
        <f aca="false">"Sem - "&amp;WEEKNUM(Q872,21)</f>
        <v>Sem - 29</v>
      </c>
      <c r="U872" s="6" t="str">
        <f aca="false">CHOOSE(MONTH(Q872),"Janvier","Février","Mars","Avril","Mai","Juin","Juillet","Août","Septembre","Octobre","Novembre","Décembre")</f>
        <v>Juillet</v>
      </c>
      <c r="V872" s="22" t="n">
        <f aca="false">YEAR(Q872)</f>
        <v>2026</v>
      </c>
      <c r="W872" s="20"/>
      <c r="X872" s="8" t="n">
        <f aca="false">IFERROR(IF(M872="Abs",0,IF(ROUND((D872-C872+E872-F872)*1440,0)&lt;=1,0,D872-C872+E872-F872)),0)</f>
        <v>0</v>
      </c>
      <c r="Y872" s="6" t="str">
        <f aca="false">IFERROR(VLOOKUP($B872,Agents!$A:$D,3,0),"-")</f>
        <v>OUBRAHIM Mohammed</v>
      </c>
      <c r="Z872" s="6" t="str">
        <f aca="false">IFERROR(VLOOKUP($B872,Agents!$A:$D,4,0),"-")</f>
        <v>Credit Mutuel</v>
      </c>
      <c r="AA872" s="18" t="s">
        <v>111</v>
      </c>
      <c r="AB872" s="8" t="str">
        <f aca="false">IF(AND(D872="Congé",F872="Congé"),0.333333333333333,IF(OR(AND(D872="Congé",F872&lt;&gt;"Congé"),(AND(F872="Congé",D872&lt;&gt;"Congé"))),0.166666666666667,""))</f>
        <v/>
      </c>
      <c r="AC872" s="8" t="str">
        <f aca="false">IF(AND(D872="Congé sans solde",F872="Congé sans solde"),0.333333333333333,IF(OR(AND(D872="Congé sans solde",F872&lt;&gt;"Congé sans solde"),(AND(F872="Congé sans solde",D872&lt;&gt;"Congé sans solde"))),0.166666666666667,""))</f>
        <v/>
      </c>
      <c r="AD872" s="8" t="str">
        <f aca="false">IF(AND(D872="Congé spécial",F872="Congé spécial"),0.333333333333333,IF(OR(AND(D872="Congé spécial",F872&lt;&gt;"Congé spécial"),AND(F872="Congé spécial",D872&lt;&gt;"Congé spécial")),0.166666666666667,""))</f>
        <v/>
      </c>
      <c r="AE872" s="8" t="str">
        <f aca="false">IF(AND(D872="Férié",F872="Férié"),0.333333333333333,IF(OR(AND(D872="Férié",F872&lt;&gt;"Férié"),(AND(F872="Férié",D872&lt;&gt;"Férié"))),0.166666666666667,""))</f>
        <v/>
      </c>
      <c r="AF872" s="18"/>
      <c r="AG872" s="18"/>
    </row>
    <row r="873" customFormat="false" ht="15" hidden="false" customHeight="false" outlineLevel="0" collapsed="false">
      <c r="A873" s="6" t="str">
        <f aca="false">YEAR(Q873-WEEKDAY(Q873,2)+4)&amp;"-S"&amp;TEXT(WEEKNUM(Q873,21),"00")</f>
        <v>2026-S29</v>
      </c>
      <c r="B873" s="18" t="s">
        <v>73</v>
      </c>
      <c r="C873" s="19"/>
      <c r="D873" s="19" t="s">
        <v>74</v>
      </c>
      <c r="E873" s="19"/>
      <c r="F873" s="19" t="s">
        <v>74</v>
      </c>
      <c r="G873" s="20"/>
      <c r="H873" s="20"/>
      <c r="I873" s="8" t="str">
        <f aca="false">IF(IF(OR(C873="",D873="Congé",D873="OFF",D873="Congé spécial"),"",IF(D873&gt;F873,D873-C873,IF(C873-D873&lt;0,0,C873-D873)))&lt;0.00068287037037037,"",IF(OR(D873="Congé",D873="OFF",C873="",D873="Congé spécial"),"",IF(D873&gt;F873,D873-C873,IF(C873-D873&lt;0,0,C873-D873))))</f>
        <v/>
      </c>
      <c r="J873" s="20"/>
      <c r="K873" s="8" t="n">
        <f aca="false">IF(SUM(H873:J873)&lt;0.00068287037037037,0,SUM(H873:J873))</f>
        <v>0</v>
      </c>
      <c r="L873" s="8" t="n">
        <f aca="false">IF(OR(F873="Congé",F873="OFF",M873="Abs",F873="Congé sans solde",F873="Férié",F873="Congé spécial",D873="Congé spécial"),0,IF(F873-E873&lt;0,0,IF(F873-E873&lt;=0.00068287037037037,0,F873-E873)))</f>
        <v>0</v>
      </c>
      <c r="M873" s="6" t="n">
        <f aca="false">IF(AND(O873&lt;&gt;0,C873=""),"Abs",0)</f>
        <v>0</v>
      </c>
      <c r="N873" s="8" t="str">
        <f aca="false">IFERROR(IF(OR(D873="OFF",D873="Congé",M873="Abs",D873="Congé sans solde",D873="Férié"),"",IF(O873-K873-L873&gt;O873,O873,IF(O873-K873-L873&lt;0,"",O873-K873-L873))),"")</f>
        <v/>
      </c>
      <c r="O873" s="8" t="n">
        <f aca="false">IF(AG873="2H Pause déjeuner",IF(F873-D873-0.0833333333333333&lt;0,F873-D873-0.0833333333333333+1,F873-D873-0.0833333333333333),IF(OR(AND(F873="OFF",D873="OFF"),AND(F873="Congé",D873="Congé"),AND(F873="Congé sans solde",D873="Congé sans solde"),AND(F873="Congé spécial",D873="Congé spécial"),AND(F873="Férié",D873="Férié"),AND(F873="OFF",D873="Congé"),AND(F873="OFF",D873="Congé sans solde"),AND(F873="OFF",D873="Congé spécial"),AND(F873="OFF",D873="Férié"),AND(F873="Congé",D873="OFF"),AND(F873="Congé",D873="Congé sans solde"),AND(F873="Congé",D873="Congé spécial"),AND(F873="Congé",D873="Férié"),AND(F873="Congé sans solde",D873="OFF"),AND(F873="Congé sans solde",D873="Congé"),AND(F873="Congé sans solde",D873="Congé spécial"),AND(F873="Congé sans solde",D873="Férié"),AND(F873="Congé spécial",D873="OFF"),AND(F873="Congé spécial",D873="Congé"),AND(F873="Congé spécial",D873="Congé sans solde"),AND(F873="Congé spécial",D873="Férié"),AND(F873="Férié",D873="OFF"),AND(F873="Férié",D873="Congé"),AND(F873="Férié",D873="Congé sans solde"),AND(F873="Férié",D873="Congé spécial")),0,IF(OR(F873="OFF",F873="Congé",F873="Congé spécial",F873="Congé sans solde",D873="OFF",D873="Congé",D873="Congé spécial",D873="Congé sans solde"),0.208333333333334,IF(AND(AG873="",F873-D873&lt;0),("24:00:00"-D873)+("00:00:00"+F873)-0.0416666666666667,IF(AND(OR(AG873="Allaitement",AG873="Sans déjeuner"),F873-D873&lt;0),("24:00:00"-D873)+("00:00:00"+F873),IF(AND(AG873="",F873-D873&gt;0.166666666666667),F873-D873-0.0416666666666667,IF(AND(OR(AG873="Allaitement",AG873="Sans déjeuner"),F873-D873&gt;0.166666666666667),F873-D873,F873-D873)))))))</f>
        <v>0</v>
      </c>
      <c r="P873" s="6" t="str">
        <f aca="false">IFERROR(VLOOKUP($B873,Agents!$A:$D,2,0),"-")</f>
        <v>Accessibilité</v>
      </c>
      <c r="Q873" s="21" t="n">
        <v>46221</v>
      </c>
      <c r="R873" s="8" t="n">
        <f aca="false">IF(M873="Abs",O873,0)</f>
        <v>0</v>
      </c>
      <c r="S873" s="8" t="n">
        <f aca="false">SUM(R873,L873,I873,J873,W873,H873)</f>
        <v>0</v>
      </c>
      <c r="T873" s="6" t="str">
        <f aca="false">"Sem - "&amp;WEEKNUM(Q873,21)</f>
        <v>Sem - 29</v>
      </c>
      <c r="U873" s="6" t="str">
        <f aca="false">CHOOSE(MONTH(Q873),"Janvier","Février","Mars","Avril","Mai","Juin","Juillet","Août","Septembre","Octobre","Novembre","Décembre")</f>
        <v>Juillet</v>
      </c>
      <c r="V873" s="22" t="n">
        <f aca="false">YEAR(Q873)</f>
        <v>2026</v>
      </c>
      <c r="W873" s="20"/>
      <c r="X873" s="8" t="n">
        <f aca="false">IFERROR(IF(M873="Abs",0,IF(ROUND((D873-C873+E873-F873)*1440,0)&lt;=1,0,D873-C873+E873-F873)),0)</f>
        <v>0</v>
      </c>
      <c r="Y873" s="6" t="str">
        <f aca="false">IFERROR(VLOOKUP($B873,Agents!$A:$D,3,0),"-")</f>
        <v>OUBRAHIM Mohammed</v>
      </c>
      <c r="Z873" s="6" t="str">
        <f aca="false">IFERROR(VLOOKUP($B873,Agents!$A:$D,4,0),"-")</f>
        <v>Credit Mutuel</v>
      </c>
      <c r="AA873" s="18" t="s">
        <v>111</v>
      </c>
      <c r="AB873" s="8" t="str">
        <f aca="false">IF(AND(D873="Congé",F873="Congé"),0.333333333333333,IF(OR(AND(D873="Congé",F873&lt;&gt;"Congé"),(AND(F873="Congé",D873&lt;&gt;"Congé"))),0.166666666666667,""))</f>
        <v/>
      </c>
      <c r="AC873" s="8" t="str">
        <f aca="false">IF(AND(D873="Congé sans solde",F873="Congé sans solde"),0.333333333333333,IF(OR(AND(D873="Congé sans solde",F873&lt;&gt;"Congé sans solde"),(AND(F873="Congé sans solde",D873&lt;&gt;"Congé sans solde"))),0.166666666666667,""))</f>
        <v/>
      </c>
      <c r="AD873" s="8" t="str">
        <f aca="false">IF(AND(D873="Congé spécial",F873="Congé spécial"),0.333333333333333,IF(OR(AND(D873="Congé spécial",F873&lt;&gt;"Congé spécial"),AND(F873="Congé spécial",D873&lt;&gt;"Congé spécial")),0.166666666666667,""))</f>
        <v/>
      </c>
      <c r="AE873" s="8" t="str">
        <f aca="false">IF(AND(D873="Férié",F873="Férié"),0.333333333333333,IF(OR(AND(D873="Férié",F873&lt;&gt;"Férié"),(AND(F873="Férié",D873&lt;&gt;"Férié"))),0.166666666666667,""))</f>
        <v/>
      </c>
      <c r="AF873" s="18"/>
      <c r="AG873" s="18"/>
    </row>
    <row r="874" customFormat="false" ht="15" hidden="false" customHeight="false" outlineLevel="0" collapsed="false">
      <c r="A874" s="6" t="str">
        <f aca="false">YEAR(Q874-WEEKDAY(Q874,2)+4)&amp;"-S"&amp;TEXT(WEEKNUM(Q874,21),"00")</f>
        <v>2026-S29</v>
      </c>
      <c r="B874" s="18" t="s">
        <v>71</v>
      </c>
      <c r="C874" s="19"/>
      <c r="D874" s="19" t="s">
        <v>74</v>
      </c>
      <c r="E874" s="19"/>
      <c r="F874" s="19" t="s">
        <v>74</v>
      </c>
      <c r="G874" s="20"/>
      <c r="H874" s="20"/>
      <c r="I874" s="8" t="str">
        <f aca="false">IF(IF(OR(C874="",D874="Congé",D874="OFF",D874="Congé spécial"),"",IF(D874&gt;F874,D874-C874,IF(C874-D874&lt;0,0,C874-D874)))&lt;0.00068287037037037,"",IF(OR(D874="Congé",D874="OFF",C874="",D874="Congé spécial"),"",IF(D874&gt;F874,D874-C874,IF(C874-D874&lt;0,0,C874-D874))))</f>
        <v/>
      </c>
      <c r="J874" s="20"/>
      <c r="K874" s="8" t="n">
        <f aca="false">IF(SUM(H874:J874)&lt;0.00068287037037037,0,SUM(H874:J874))</f>
        <v>0</v>
      </c>
      <c r="L874" s="8" t="n">
        <f aca="false">IF(OR(F874="Congé",F874="OFF",M874="Abs",F874="Congé sans solde",F874="Férié",F874="Congé spécial",D874="Congé spécial"),0,IF(F874-E874&lt;0,0,IF(F874-E874&lt;=0.00068287037037037,0,F874-E874)))</f>
        <v>0</v>
      </c>
      <c r="M874" s="6" t="n">
        <f aca="false">IF(AND(O874&lt;&gt;0,C874=""),"Abs",0)</f>
        <v>0</v>
      </c>
      <c r="N874" s="8" t="str">
        <f aca="false">IFERROR(IF(OR(D874="OFF",D874="Congé",M874="Abs",D874="Congé sans solde",D874="Férié"),"",IF(O874-K874-L874&gt;O874,O874,IF(O874-K874-L874&lt;0,"",O874-K874-L874))),"")</f>
        <v/>
      </c>
      <c r="O874" s="8" t="n">
        <f aca="false">IF(AG874="2H Pause déjeuner",IF(F874-D874-0.0833333333333333&lt;0,F874-D874-0.0833333333333333+1,F874-D874-0.0833333333333333),IF(OR(AND(F874="OFF",D874="OFF"),AND(F874="Congé",D874="Congé"),AND(F874="Congé sans solde",D874="Congé sans solde"),AND(F874="Congé spécial",D874="Congé spécial"),AND(F874="Férié",D874="Férié"),AND(F874="OFF",D874="Congé"),AND(F874="OFF",D874="Congé sans solde"),AND(F874="OFF",D874="Congé spécial"),AND(F874="OFF",D874="Férié"),AND(F874="Congé",D874="OFF"),AND(F874="Congé",D874="Congé sans solde"),AND(F874="Congé",D874="Congé spécial"),AND(F874="Congé",D874="Férié"),AND(F874="Congé sans solde",D874="OFF"),AND(F874="Congé sans solde",D874="Congé"),AND(F874="Congé sans solde",D874="Congé spécial"),AND(F874="Congé sans solde",D874="Férié"),AND(F874="Congé spécial",D874="OFF"),AND(F874="Congé spécial",D874="Congé"),AND(F874="Congé spécial",D874="Congé sans solde"),AND(F874="Congé spécial",D874="Férié"),AND(F874="Férié",D874="OFF"),AND(F874="Férié",D874="Congé"),AND(F874="Férié",D874="Congé sans solde"),AND(F874="Férié",D874="Congé spécial")),0,IF(OR(F874="OFF",F874="Congé",F874="Congé spécial",F874="Congé sans solde",D874="OFF",D874="Congé",D874="Congé spécial",D874="Congé sans solde"),0.208333333333334,IF(AND(AG874="",F874-D874&lt;0),("24:00:00"-D874)+("00:00:00"+F874)-0.0416666666666667,IF(AND(OR(AG874="Allaitement",AG874="Sans déjeuner"),F874-D874&lt;0),("24:00:00"-D874)+("00:00:00"+F874),IF(AND(AG874="",F874-D874&gt;0.166666666666667),F874-D874-0.0416666666666667,IF(AND(OR(AG874="Allaitement",AG874="Sans déjeuner"),F874-D874&gt;0.166666666666667),F874-D874,F874-D874)))))))</f>
        <v>0</v>
      </c>
      <c r="P874" s="6" t="str">
        <f aca="false">IFERROR(VLOOKUP($B874,Agents!$A:$D,2,0),"-")</f>
        <v>Accessibilité</v>
      </c>
      <c r="Q874" s="21" t="n">
        <v>46222</v>
      </c>
      <c r="R874" s="8" t="n">
        <f aca="false">IF(M874="Abs",O874,0)</f>
        <v>0</v>
      </c>
      <c r="S874" s="8" t="n">
        <f aca="false">SUM(R874,L874,I874,J874,W874,H874)</f>
        <v>0</v>
      </c>
      <c r="T874" s="6" t="str">
        <f aca="false">"Sem - "&amp;WEEKNUM(Q874,21)</f>
        <v>Sem - 29</v>
      </c>
      <c r="U874" s="6" t="str">
        <f aca="false">CHOOSE(MONTH(Q874),"Janvier","Février","Mars","Avril","Mai","Juin","Juillet","Août","Septembre","Octobre","Novembre","Décembre")</f>
        <v>Juillet</v>
      </c>
      <c r="V874" s="22" t="n">
        <f aca="false">YEAR(Q874)</f>
        <v>2026</v>
      </c>
      <c r="W874" s="20"/>
      <c r="X874" s="8" t="n">
        <f aca="false">IFERROR(IF(M874="Abs",0,IF(ROUND((D874-C874+E874-F874)*1440,0)&lt;=1,0,D874-C874+E874-F874)),0)</f>
        <v>0</v>
      </c>
      <c r="Y874" s="6" t="str">
        <f aca="false">IFERROR(VLOOKUP($B874,Agents!$A:$D,3,0),"-")</f>
        <v>OUBRAHIM Mohammed</v>
      </c>
      <c r="Z874" s="6" t="str">
        <f aca="false">IFERROR(VLOOKUP($B874,Agents!$A:$D,4,0),"-")</f>
        <v>Credit Mutuel</v>
      </c>
      <c r="AA874" s="18" t="s">
        <v>111</v>
      </c>
      <c r="AB874" s="8" t="str">
        <f aca="false">IF(AND(D874="Congé",F874="Congé"),0.333333333333333,IF(OR(AND(D874="Congé",F874&lt;&gt;"Congé"),(AND(F874="Congé",D874&lt;&gt;"Congé"))),0.166666666666667,""))</f>
        <v/>
      </c>
      <c r="AC874" s="8" t="str">
        <f aca="false">IF(AND(D874="Congé sans solde",F874="Congé sans solde"),0.333333333333333,IF(OR(AND(D874="Congé sans solde",F874&lt;&gt;"Congé sans solde"),(AND(F874="Congé sans solde",D874&lt;&gt;"Congé sans solde"))),0.166666666666667,""))</f>
        <v/>
      </c>
      <c r="AD874" s="8" t="str">
        <f aca="false">IF(AND(D874="Congé spécial",F874="Congé spécial"),0.333333333333333,IF(OR(AND(D874="Congé spécial",F874&lt;&gt;"Congé spécial"),AND(F874="Congé spécial",D874&lt;&gt;"Congé spécial")),0.166666666666667,""))</f>
        <v/>
      </c>
      <c r="AE874" s="8" t="str">
        <f aca="false">IF(AND(D874="Férié",F874="Férié"),0.333333333333333,IF(OR(AND(D874="Férié",F874&lt;&gt;"Férié"),(AND(F874="Férié",D874&lt;&gt;"Férié"))),0.166666666666667,""))</f>
        <v/>
      </c>
      <c r="AF874" s="18"/>
      <c r="AG874" s="18"/>
    </row>
    <row r="875" customFormat="false" ht="15" hidden="false" customHeight="false" outlineLevel="0" collapsed="false">
      <c r="A875" s="6" t="str">
        <f aca="false">YEAR(Q875-WEEKDAY(Q875,2)+4)&amp;"-S"&amp;TEXT(WEEKNUM(Q875,21),"00")</f>
        <v>2026-S29</v>
      </c>
      <c r="B875" s="18" t="s">
        <v>72</v>
      </c>
      <c r="C875" s="19"/>
      <c r="D875" s="19" t="s">
        <v>74</v>
      </c>
      <c r="E875" s="19"/>
      <c r="F875" s="19" t="s">
        <v>74</v>
      </c>
      <c r="G875" s="20"/>
      <c r="H875" s="20"/>
      <c r="I875" s="8" t="str">
        <f aca="false">IF(IF(OR(C875="",D875="Congé",D875="OFF",D875="Congé spécial"),"",IF(D875&gt;F875,D875-C875,IF(C875-D875&lt;0,0,C875-D875)))&lt;0.00068287037037037,"",IF(OR(D875="Congé",D875="OFF",C875="",D875="Congé spécial"),"",IF(D875&gt;F875,D875-C875,IF(C875-D875&lt;0,0,C875-D875))))</f>
        <v/>
      </c>
      <c r="J875" s="20"/>
      <c r="K875" s="8" t="n">
        <f aca="false">IF(SUM(H875:J875)&lt;0.00068287037037037,0,SUM(H875:J875))</f>
        <v>0</v>
      </c>
      <c r="L875" s="8" t="n">
        <f aca="false">IF(OR(F875="Congé",F875="OFF",M875="Abs",F875="Congé sans solde",F875="Férié",F875="Congé spécial",D875="Congé spécial"),0,IF(F875-E875&lt;0,0,IF(F875-E875&lt;=0.00068287037037037,0,F875-E875)))</f>
        <v>0</v>
      </c>
      <c r="M875" s="6" t="n">
        <f aca="false">IF(AND(O875&lt;&gt;0,C875=""),"Abs",0)</f>
        <v>0</v>
      </c>
      <c r="N875" s="8" t="str">
        <f aca="false">IFERROR(IF(OR(D875="OFF",D875="Congé",M875="Abs",D875="Congé sans solde",D875="Férié"),"",IF(O875-K875-L875&gt;O875,O875,IF(O875-K875-L875&lt;0,"",O875-K875-L875))),"")</f>
        <v/>
      </c>
      <c r="O875" s="8" t="n">
        <f aca="false">IF(AG875="2H Pause déjeuner",IF(F875-D875-0.0833333333333333&lt;0,F875-D875-0.0833333333333333+1,F875-D875-0.0833333333333333),IF(OR(AND(F875="OFF",D875="OFF"),AND(F875="Congé",D875="Congé"),AND(F875="Congé sans solde",D875="Congé sans solde"),AND(F875="Congé spécial",D875="Congé spécial"),AND(F875="Férié",D875="Férié"),AND(F875="OFF",D875="Congé"),AND(F875="OFF",D875="Congé sans solde"),AND(F875="OFF",D875="Congé spécial"),AND(F875="OFF",D875="Férié"),AND(F875="Congé",D875="OFF"),AND(F875="Congé",D875="Congé sans solde"),AND(F875="Congé",D875="Congé spécial"),AND(F875="Congé",D875="Férié"),AND(F875="Congé sans solde",D875="OFF"),AND(F875="Congé sans solde",D875="Congé"),AND(F875="Congé sans solde",D875="Congé spécial"),AND(F875="Congé sans solde",D875="Férié"),AND(F875="Congé spécial",D875="OFF"),AND(F875="Congé spécial",D875="Congé"),AND(F875="Congé spécial",D875="Congé sans solde"),AND(F875="Congé spécial",D875="Férié"),AND(F875="Férié",D875="OFF"),AND(F875="Férié",D875="Congé"),AND(F875="Férié",D875="Congé sans solde"),AND(F875="Férié",D875="Congé spécial")),0,IF(OR(F875="OFF",F875="Congé",F875="Congé spécial",F875="Congé sans solde",D875="OFF",D875="Congé",D875="Congé spécial",D875="Congé sans solde"),0.208333333333334,IF(AND(AG875="",F875-D875&lt;0),("24:00:00"-D875)+("00:00:00"+F875)-0.0416666666666667,IF(AND(OR(AG875="Allaitement",AG875="Sans déjeuner"),F875-D875&lt;0),("24:00:00"-D875)+("00:00:00"+F875),IF(AND(AG875="",F875-D875&gt;0.166666666666667),F875-D875-0.0416666666666667,IF(AND(OR(AG875="Allaitement",AG875="Sans déjeuner"),F875-D875&gt;0.166666666666667),F875-D875,F875-D875)))))))</f>
        <v>0</v>
      </c>
      <c r="P875" s="6" t="str">
        <f aca="false">IFERROR(VLOOKUP($B875,Agents!$A:$D,2,0),"-")</f>
        <v>Accessibilité</v>
      </c>
      <c r="Q875" s="21" t="n">
        <v>46222</v>
      </c>
      <c r="R875" s="8" t="n">
        <f aca="false">IF(M875="Abs",O875,0)</f>
        <v>0</v>
      </c>
      <c r="S875" s="8" t="n">
        <f aca="false">SUM(R875,L875,I875,J875,W875,H875)</f>
        <v>0</v>
      </c>
      <c r="T875" s="6" t="str">
        <f aca="false">"Sem - "&amp;WEEKNUM(Q875,21)</f>
        <v>Sem - 29</v>
      </c>
      <c r="U875" s="6" t="str">
        <f aca="false">CHOOSE(MONTH(Q875),"Janvier","Février","Mars","Avril","Mai","Juin","Juillet","Août","Septembre","Octobre","Novembre","Décembre")</f>
        <v>Juillet</v>
      </c>
      <c r="V875" s="22" t="n">
        <f aca="false">YEAR(Q875)</f>
        <v>2026</v>
      </c>
      <c r="W875" s="20"/>
      <c r="X875" s="8" t="n">
        <f aca="false">IFERROR(IF(M875="Abs",0,IF(ROUND((D875-C875+E875-F875)*1440,0)&lt;=1,0,D875-C875+E875-F875)),0)</f>
        <v>0</v>
      </c>
      <c r="Y875" s="6" t="str">
        <f aca="false">IFERROR(VLOOKUP($B875,Agents!$A:$D,3,0),"-")</f>
        <v>OUBRAHIM Mohammed</v>
      </c>
      <c r="Z875" s="6" t="str">
        <f aca="false">IFERROR(VLOOKUP($B875,Agents!$A:$D,4,0),"-")</f>
        <v>Credit Mutuel</v>
      </c>
      <c r="AA875" s="18" t="s">
        <v>111</v>
      </c>
      <c r="AB875" s="8" t="str">
        <f aca="false">IF(AND(D875="Congé",F875="Congé"),0.333333333333333,IF(OR(AND(D875="Congé",F875&lt;&gt;"Congé"),(AND(F875="Congé",D875&lt;&gt;"Congé"))),0.166666666666667,""))</f>
        <v/>
      </c>
      <c r="AC875" s="8" t="str">
        <f aca="false">IF(AND(D875="Congé sans solde",F875="Congé sans solde"),0.333333333333333,IF(OR(AND(D875="Congé sans solde",F875&lt;&gt;"Congé sans solde"),(AND(F875="Congé sans solde",D875&lt;&gt;"Congé sans solde"))),0.166666666666667,""))</f>
        <v/>
      </c>
      <c r="AD875" s="8" t="str">
        <f aca="false">IF(AND(D875="Congé spécial",F875="Congé spécial"),0.333333333333333,IF(OR(AND(D875="Congé spécial",F875&lt;&gt;"Congé spécial"),AND(F875="Congé spécial",D875&lt;&gt;"Congé spécial")),0.166666666666667,""))</f>
        <v/>
      </c>
      <c r="AE875" s="8" t="str">
        <f aca="false">IF(AND(D875="Férié",F875="Férié"),0.333333333333333,IF(OR(AND(D875="Férié",F875&lt;&gt;"Férié"),(AND(F875="Férié",D875&lt;&gt;"Férié"))),0.166666666666667,""))</f>
        <v/>
      </c>
      <c r="AF875" s="18"/>
      <c r="AG875" s="18"/>
    </row>
    <row r="876" customFormat="false" ht="15" hidden="false" customHeight="false" outlineLevel="0" collapsed="false">
      <c r="A876" s="6" t="str">
        <f aca="false">YEAR(Q876-WEEKDAY(Q876,2)+4)&amp;"-S"&amp;TEXT(WEEKNUM(Q876,21),"00")</f>
        <v>2026-S29</v>
      </c>
      <c r="B876" s="18" t="s">
        <v>73</v>
      </c>
      <c r="C876" s="19"/>
      <c r="D876" s="19" t="s">
        <v>74</v>
      </c>
      <c r="E876" s="19"/>
      <c r="F876" s="19" t="s">
        <v>74</v>
      </c>
      <c r="G876" s="20"/>
      <c r="H876" s="20"/>
      <c r="I876" s="8" t="str">
        <f aca="false">IF(IF(OR(C876="",D876="Congé",D876="OFF",D876="Congé spécial"),"",IF(D876&gt;F876,D876-C876,IF(C876-D876&lt;0,0,C876-D876)))&lt;0.00068287037037037,"",IF(OR(D876="Congé",D876="OFF",C876="",D876="Congé spécial"),"",IF(D876&gt;F876,D876-C876,IF(C876-D876&lt;0,0,C876-D876))))</f>
        <v/>
      </c>
      <c r="J876" s="20"/>
      <c r="K876" s="8" t="n">
        <f aca="false">IF(SUM(H876:J876)&lt;0.00068287037037037,0,SUM(H876:J876))</f>
        <v>0</v>
      </c>
      <c r="L876" s="8" t="n">
        <f aca="false">IF(OR(F876="Congé",F876="OFF",M876="Abs",F876="Congé sans solde",F876="Férié",F876="Congé spécial",D876="Congé spécial"),0,IF(F876-E876&lt;0,0,IF(F876-E876&lt;=0.00068287037037037,0,F876-E876)))</f>
        <v>0</v>
      </c>
      <c r="M876" s="6" t="n">
        <f aca="false">IF(AND(O876&lt;&gt;0,C876=""),"Abs",0)</f>
        <v>0</v>
      </c>
      <c r="N876" s="8" t="str">
        <f aca="false">IFERROR(IF(OR(D876="OFF",D876="Congé",M876="Abs",D876="Congé sans solde",D876="Férié"),"",IF(O876-K876-L876&gt;O876,O876,IF(O876-K876-L876&lt;0,"",O876-K876-L876))),"")</f>
        <v/>
      </c>
      <c r="O876" s="8" t="n">
        <f aca="false">IF(AG876="2H Pause déjeuner",IF(F876-D876-0.0833333333333333&lt;0,F876-D876-0.0833333333333333+1,F876-D876-0.0833333333333333),IF(OR(AND(F876="OFF",D876="OFF"),AND(F876="Congé",D876="Congé"),AND(F876="Congé sans solde",D876="Congé sans solde"),AND(F876="Congé spécial",D876="Congé spécial"),AND(F876="Férié",D876="Férié"),AND(F876="OFF",D876="Congé"),AND(F876="OFF",D876="Congé sans solde"),AND(F876="OFF",D876="Congé spécial"),AND(F876="OFF",D876="Férié"),AND(F876="Congé",D876="OFF"),AND(F876="Congé",D876="Congé sans solde"),AND(F876="Congé",D876="Congé spécial"),AND(F876="Congé",D876="Férié"),AND(F876="Congé sans solde",D876="OFF"),AND(F876="Congé sans solde",D876="Congé"),AND(F876="Congé sans solde",D876="Congé spécial"),AND(F876="Congé sans solde",D876="Férié"),AND(F876="Congé spécial",D876="OFF"),AND(F876="Congé spécial",D876="Congé"),AND(F876="Congé spécial",D876="Congé sans solde"),AND(F876="Congé spécial",D876="Férié"),AND(F876="Férié",D876="OFF"),AND(F876="Férié",D876="Congé"),AND(F876="Férié",D876="Congé sans solde"),AND(F876="Férié",D876="Congé spécial")),0,IF(OR(F876="OFF",F876="Congé",F876="Congé spécial",F876="Congé sans solde",D876="OFF",D876="Congé",D876="Congé spécial",D876="Congé sans solde"),0.208333333333334,IF(AND(AG876="",F876-D876&lt;0),("24:00:00"-D876)+("00:00:00"+F876)-0.0416666666666667,IF(AND(OR(AG876="Allaitement",AG876="Sans déjeuner"),F876-D876&lt;0),("24:00:00"-D876)+("00:00:00"+F876),IF(AND(AG876="",F876-D876&gt;0.166666666666667),F876-D876-0.0416666666666667,IF(AND(OR(AG876="Allaitement",AG876="Sans déjeuner"),F876-D876&gt;0.166666666666667),F876-D876,F876-D876)))))))</f>
        <v>0</v>
      </c>
      <c r="P876" s="6" t="str">
        <f aca="false">IFERROR(VLOOKUP($B876,Agents!$A:$D,2,0),"-")</f>
        <v>Accessibilité</v>
      </c>
      <c r="Q876" s="21" t="n">
        <v>46222</v>
      </c>
      <c r="R876" s="8" t="n">
        <f aca="false">IF(M876="Abs",O876,0)</f>
        <v>0</v>
      </c>
      <c r="S876" s="8" t="n">
        <f aca="false">SUM(R876,L876,I876,J876,W876,H876)</f>
        <v>0</v>
      </c>
      <c r="T876" s="6" t="str">
        <f aca="false">"Sem - "&amp;WEEKNUM(Q876,21)</f>
        <v>Sem - 29</v>
      </c>
      <c r="U876" s="6" t="str">
        <f aca="false">CHOOSE(MONTH(Q876),"Janvier","Février","Mars","Avril","Mai","Juin","Juillet","Août","Septembre","Octobre","Novembre","Décembre")</f>
        <v>Juillet</v>
      </c>
      <c r="V876" s="22" t="n">
        <f aca="false">YEAR(Q876)</f>
        <v>2026</v>
      </c>
      <c r="W876" s="20"/>
      <c r="X876" s="8" t="n">
        <f aca="false">IFERROR(IF(M876="Abs",0,IF(ROUND((D876-C876+E876-F876)*1440,0)&lt;=1,0,D876-C876+E876-F876)),0)</f>
        <v>0</v>
      </c>
      <c r="Y876" s="6" t="str">
        <f aca="false">IFERROR(VLOOKUP($B876,Agents!$A:$D,3,0),"-")</f>
        <v>OUBRAHIM Mohammed</v>
      </c>
      <c r="Z876" s="6" t="str">
        <f aca="false">IFERROR(VLOOKUP($B876,Agents!$A:$D,4,0),"-")</f>
        <v>Credit Mutuel</v>
      </c>
      <c r="AA876" s="18" t="s">
        <v>111</v>
      </c>
      <c r="AB876" s="8" t="str">
        <f aca="false">IF(AND(D876="Congé",F876="Congé"),0.333333333333333,IF(OR(AND(D876="Congé",F876&lt;&gt;"Congé"),(AND(F876="Congé",D876&lt;&gt;"Congé"))),0.166666666666667,""))</f>
        <v/>
      </c>
      <c r="AC876" s="8" t="str">
        <f aca="false">IF(AND(D876="Congé sans solde",F876="Congé sans solde"),0.333333333333333,IF(OR(AND(D876="Congé sans solde",F876&lt;&gt;"Congé sans solde"),(AND(F876="Congé sans solde",D876&lt;&gt;"Congé sans solde"))),0.166666666666667,""))</f>
        <v/>
      </c>
      <c r="AD876" s="8" t="str">
        <f aca="false">IF(AND(D876="Congé spécial",F876="Congé spécial"),0.333333333333333,IF(OR(AND(D876="Congé spécial",F876&lt;&gt;"Congé spécial"),AND(F876="Congé spécial",D876&lt;&gt;"Congé spécial")),0.166666666666667,""))</f>
        <v/>
      </c>
      <c r="AE876" s="8" t="str">
        <f aca="false">IF(AND(D876="Férié",F876="Férié"),0.333333333333333,IF(OR(AND(D876="Férié",F876&lt;&gt;"Férié"),(AND(F876="Férié",D876&lt;&gt;"Férié"))),0.166666666666667,""))</f>
        <v/>
      </c>
      <c r="AF876" s="18"/>
      <c r="AG876" s="18"/>
    </row>
    <row r="877" customFormat="false" ht="15" hidden="false" customHeight="false" outlineLevel="0" collapsed="false">
      <c r="A877" s="6" t="str">
        <f aca="false">YEAR(Q877-WEEKDAY(Q877,2)+4)&amp;"-S"&amp;TEXT(WEEKNUM(Q877,21),"00")</f>
        <v>2026-S30</v>
      </c>
      <c r="B877" s="18" t="s">
        <v>71</v>
      </c>
      <c r="C877" s="19" t="n">
        <v>0.330555555555556</v>
      </c>
      <c r="D877" s="19" t="n">
        <v>0.333333333333333</v>
      </c>
      <c r="E877" s="19" t="n">
        <v>0.75</v>
      </c>
      <c r="F877" s="19" t="n">
        <v>0.75</v>
      </c>
      <c r="G877" s="20"/>
      <c r="H877" s="20"/>
      <c r="I877" s="8" t="str">
        <f aca="false">IF(IF(OR(C877="",D877="Congé",D877="OFF",D877="Congé spécial"),"",IF(D877&gt;F877,D877-C877,IF(C877-D877&lt;0,0,C877-D877)))&lt;0.00068287037037037,"",IF(OR(D877="Congé",D877="OFF",C877="",D877="Congé spécial"),"",IF(D877&gt;F877,D877-C877,IF(C877-D877&lt;0,0,C877-D877))))</f>
        <v/>
      </c>
      <c r="J877" s="20"/>
      <c r="K877" s="8" t="n">
        <f aca="false">IF(SUM(H877:J877)&lt;0.00068287037037037,0,SUM(H877:J877))</f>
        <v>0</v>
      </c>
      <c r="L877" s="8" t="n">
        <f aca="false">IF(OR(F877="Congé",F877="OFF",M877="Abs",F877="Congé sans solde",F877="Férié",F877="Congé spécial",D877="Congé spécial"),0,IF(F877-E877&lt;0,0,IF(F877-E877&lt;=0.00068287037037037,0,F877-E877)))</f>
        <v>0</v>
      </c>
      <c r="M877" s="6" t="n">
        <f aca="false">IF(AND(O877&lt;&gt;0,C877=""),"Abs",0)</f>
        <v>0</v>
      </c>
      <c r="N877" s="8" t="n">
        <f aca="false">IFERROR(IF(OR(D877="OFF",D877="Congé",M877="Abs",D877="Congé sans solde",D877="Férié"),"",IF(O877-K877-L877&gt;O877,O877,IF(O877-K877-L877&lt;0,"",O877-K877-L877))),"")</f>
        <v>0.375</v>
      </c>
      <c r="O877" s="8" t="n">
        <f aca="false">IF(AG877="2H Pause déjeuner",IF(F877-D877-0.0833333333333333&lt;0,F877-D877-0.0833333333333333+1,F877-D877-0.0833333333333333),IF(OR(AND(F877="OFF",D877="OFF"),AND(F877="Congé",D877="Congé"),AND(F877="Congé sans solde",D877="Congé sans solde"),AND(F877="Congé spécial",D877="Congé spécial"),AND(F877="Férié",D877="Férié"),AND(F877="OFF",D877="Congé"),AND(F877="OFF",D877="Congé sans solde"),AND(F877="OFF",D877="Congé spécial"),AND(F877="OFF",D877="Férié"),AND(F877="Congé",D877="OFF"),AND(F877="Congé",D877="Congé sans solde"),AND(F877="Congé",D877="Congé spécial"),AND(F877="Congé",D877="Férié"),AND(F877="Congé sans solde",D877="OFF"),AND(F877="Congé sans solde",D877="Congé"),AND(F877="Congé sans solde",D877="Congé spécial"),AND(F877="Congé sans solde",D877="Férié"),AND(F877="Congé spécial",D877="OFF"),AND(F877="Congé spécial",D877="Congé"),AND(F877="Congé spécial",D877="Congé sans solde"),AND(F877="Congé spécial",D877="Férié"),AND(F877="Férié",D877="OFF"),AND(F877="Férié",D877="Congé"),AND(F877="Férié",D877="Congé sans solde"),AND(F877="Férié",D877="Congé spécial")),0,IF(OR(F877="OFF",F877="Congé",F877="Congé spécial",F877="Congé sans solde",D877="OFF",D877="Congé",D877="Congé spécial",D877="Congé sans solde"),0.208333333333334,IF(AND(AG877="",F877-D877&lt;0),("24:00:00"-D877)+("00:00:00"+F877)-0.0416666666666667,IF(AND(OR(AG877="Allaitement",AG877="Sans déjeuner"),F877-D877&lt;0),("24:00:00"-D877)+("00:00:00"+F877),IF(AND(AG877="",F877-D877&gt;0.166666666666667),F877-D877-0.0416666666666667,IF(AND(OR(AG877="Allaitement",AG877="Sans déjeuner"),F877-D877&gt;0.166666666666667),F877-D877,F877-D877)))))))</f>
        <v>0.375</v>
      </c>
      <c r="P877" s="6" t="str">
        <f aca="false">IFERROR(VLOOKUP($B877,Agents!$A:$D,2,0),"-")</f>
        <v>Accessibilité</v>
      </c>
      <c r="Q877" s="21" t="n">
        <v>46223</v>
      </c>
      <c r="R877" s="8" t="n">
        <f aca="false">IF(M877="Abs",O877,0)</f>
        <v>0</v>
      </c>
      <c r="S877" s="8" t="n">
        <f aca="false">SUM(R877,L877,I877,J877,W877,H877)</f>
        <v>0</v>
      </c>
      <c r="T877" s="6" t="str">
        <f aca="false">"Sem - "&amp;WEEKNUM(Q877,21)</f>
        <v>Sem - 30</v>
      </c>
      <c r="U877" s="6" t="str">
        <f aca="false">CHOOSE(MONTH(Q877),"Janvier","Février","Mars","Avril","Mai","Juin","Juillet","Août","Septembre","Octobre","Novembre","Décembre")</f>
        <v>Juillet</v>
      </c>
      <c r="V877" s="22" t="n">
        <f aca="false">YEAR(Q877)</f>
        <v>2026</v>
      </c>
      <c r="W877" s="20"/>
      <c r="X877" s="8" t="n">
        <f aca="false">IFERROR(IF(M877="Abs",0,IF(ROUND((D877-C877+E877-F877)*1440,0)&lt;=1,0,D877-C877+E877-F877)),0)</f>
        <v>0.00277777777777778</v>
      </c>
      <c r="Y877" s="6" t="str">
        <f aca="false">IFERROR(VLOOKUP($B877,Agents!$A:$D,3,0),"-")</f>
        <v>OUBRAHIM Mohammed</v>
      </c>
      <c r="Z877" s="6" t="str">
        <f aca="false">IFERROR(VLOOKUP($B877,Agents!$A:$D,4,0),"-")</f>
        <v>Credit Mutuel</v>
      </c>
      <c r="AA877" s="18" t="s">
        <v>112</v>
      </c>
      <c r="AB877" s="8" t="str">
        <f aca="false">IF(AND(D877="Congé",F877="Congé"),0.333333333333333,IF(OR(AND(D877="Congé",F877&lt;&gt;"Congé"),(AND(F877="Congé",D877&lt;&gt;"Congé"))),0.166666666666667,""))</f>
        <v/>
      </c>
      <c r="AC877" s="8" t="str">
        <f aca="false">IF(AND(D877="Congé sans solde",F877="Congé sans solde"),0.333333333333333,IF(OR(AND(D877="Congé sans solde",F877&lt;&gt;"Congé sans solde"),(AND(F877="Congé sans solde",D877&lt;&gt;"Congé sans solde"))),0.166666666666667,""))</f>
        <v/>
      </c>
      <c r="AD877" s="8" t="str">
        <f aca="false">IF(AND(D877="Congé spécial",F877="Congé spécial"),0.333333333333333,IF(OR(AND(D877="Congé spécial",F877&lt;&gt;"Congé spécial"),AND(F877="Congé spécial",D877&lt;&gt;"Congé spécial")),0.166666666666667,""))</f>
        <v/>
      </c>
      <c r="AE877" s="8" t="str">
        <f aca="false">IF(AND(D877="Férié",F877="Férié"),0.333333333333333,IF(OR(AND(D877="Férié",F877&lt;&gt;"Férié"),(AND(F877="Férié",D877&lt;&gt;"Férié"))),0.166666666666667,""))</f>
        <v/>
      </c>
      <c r="AF877" s="18"/>
      <c r="AG877" s="18"/>
    </row>
    <row r="878" customFormat="false" ht="15" hidden="false" customHeight="false" outlineLevel="0" collapsed="false">
      <c r="A878" s="6" t="str">
        <f aca="false">YEAR(Q878-WEEKDAY(Q878,2)+4)&amp;"-S"&amp;TEXT(WEEKNUM(Q878,21),"00")</f>
        <v>2026-S30</v>
      </c>
      <c r="B878" s="18" t="s">
        <v>72</v>
      </c>
      <c r="C878" s="19" t="n">
        <v>0.33125</v>
      </c>
      <c r="D878" s="19" t="n">
        <v>0.333333333333333</v>
      </c>
      <c r="E878" s="19" t="n">
        <v>0.75</v>
      </c>
      <c r="F878" s="19" t="n">
        <v>0.75</v>
      </c>
      <c r="G878" s="20"/>
      <c r="H878" s="20"/>
      <c r="I878" s="8" t="str">
        <f aca="false">IF(IF(OR(C878="",D878="Congé",D878="OFF",D878="Congé spécial"),"",IF(D878&gt;F878,D878-C878,IF(C878-D878&lt;0,0,C878-D878)))&lt;0.00068287037037037,"",IF(OR(D878="Congé",D878="OFF",C878="",D878="Congé spécial"),"",IF(D878&gt;F878,D878-C878,IF(C878-D878&lt;0,0,C878-D878))))</f>
        <v/>
      </c>
      <c r="J878" s="20"/>
      <c r="K878" s="8" t="n">
        <f aca="false">IF(SUM(H878:J878)&lt;0.00068287037037037,0,SUM(H878:J878))</f>
        <v>0</v>
      </c>
      <c r="L878" s="8" t="n">
        <f aca="false">IF(OR(F878="Congé",F878="OFF",M878="Abs",F878="Congé sans solde",F878="Férié",F878="Congé spécial",D878="Congé spécial"),0,IF(F878-E878&lt;0,0,IF(F878-E878&lt;=0.00068287037037037,0,F878-E878)))</f>
        <v>0</v>
      </c>
      <c r="M878" s="6" t="n">
        <f aca="false">IF(AND(O878&lt;&gt;0,C878=""),"Abs",0)</f>
        <v>0</v>
      </c>
      <c r="N878" s="8" t="n">
        <f aca="false">IFERROR(IF(OR(D878="OFF",D878="Congé",M878="Abs",D878="Congé sans solde",D878="Férié"),"",IF(O878-K878-L878&gt;O878,O878,IF(O878-K878-L878&lt;0,"",O878-K878-L878))),"")</f>
        <v>0.375</v>
      </c>
      <c r="O878" s="8" t="n">
        <f aca="false">IF(AG878="2H Pause déjeuner",IF(F878-D878-0.0833333333333333&lt;0,F878-D878-0.0833333333333333+1,F878-D878-0.0833333333333333),IF(OR(AND(F878="OFF",D878="OFF"),AND(F878="Congé",D878="Congé"),AND(F878="Congé sans solde",D878="Congé sans solde"),AND(F878="Congé spécial",D878="Congé spécial"),AND(F878="Férié",D878="Férié"),AND(F878="OFF",D878="Congé"),AND(F878="OFF",D878="Congé sans solde"),AND(F878="OFF",D878="Congé spécial"),AND(F878="OFF",D878="Férié"),AND(F878="Congé",D878="OFF"),AND(F878="Congé",D878="Congé sans solde"),AND(F878="Congé",D878="Congé spécial"),AND(F878="Congé",D878="Férié"),AND(F878="Congé sans solde",D878="OFF"),AND(F878="Congé sans solde",D878="Congé"),AND(F878="Congé sans solde",D878="Congé spécial"),AND(F878="Congé sans solde",D878="Férié"),AND(F878="Congé spécial",D878="OFF"),AND(F878="Congé spécial",D878="Congé"),AND(F878="Congé spécial",D878="Congé sans solde"),AND(F878="Congé spécial",D878="Férié"),AND(F878="Férié",D878="OFF"),AND(F878="Férié",D878="Congé"),AND(F878="Férié",D878="Congé sans solde"),AND(F878="Férié",D878="Congé spécial")),0,IF(OR(F878="OFF",F878="Congé",F878="Congé spécial",F878="Congé sans solde",D878="OFF",D878="Congé",D878="Congé spécial",D878="Congé sans solde"),0.208333333333334,IF(AND(AG878="",F878-D878&lt;0),("24:00:00"-D878)+("00:00:00"+F878)-0.0416666666666667,IF(AND(OR(AG878="Allaitement",AG878="Sans déjeuner"),F878-D878&lt;0),("24:00:00"-D878)+("00:00:00"+F878),IF(AND(AG878="",F878-D878&gt;0.166666666666667),F878-D878-0.0416666666666667,IF(AND(OR(AG878="Allaitement",AG878="Sans déjeuner"),F878-D878&gt;0.166666666666667),F878-D878,F878-D878)))))))</f>
        <v>0.375</v>
      </c>
      <c r="P878" s="6" t="str">
        <f aca="false">IFERROR(VLOOKUP($B878,Agents!$A:$D,2,0),"-")</f>
        <v>Accessibilité</v>
      </c>
      <c r="Q878" s="21" t="n">
        <v>46223</v>
      </c>
      <c r="R878" s="8" t="n">
        <f aca="false">IF(M878="Abs",O878,0)</f>
        <v>0</v>
      </c>
      <c r="S878" s="8" t="n">
        <f aca="false">SUM(R878,L878,I878,J878,W878,H878)</f>
        <v>0</v>
      </c>
      <c r="T878" s="6" t="str">
        <f aca="false">"Sem - "&amp;WEEKNUM(Q878,21)</f>
        <v>Sem - 30</v>
      </c>
      <c r="U878" s="6" t="str">
        <f aca="false">CHOOSE(MONTH(Q878),"Janvier","Février","Mars","Avril","Mai","Juin","Juillet","Août","Septembre","Octobre","Novembre","Décembre")</f>
        <v>Juillet</v>
      </c>
      <c r="V878" s="22" t="n">
        <f aca="false">YEAR(Q878)</f>
        <v>2026</v>
      </c>
      <c r="W878" s="20"/>
      <c r="X878" s="8" t="n">
        <f aca="false">IFERROR(IF(M878="Abs",0,IF(ROUND((D878-C878+E878-F878)*1440,0)&lt;=1,0,D878-C878+E878-F878)),0)</f>
        <v>0.00208333333333333</v>
      </c>
      <c r="Y878" s="6" t="str">
        <f aca="false">IFERROR(VLOOKUP($B878,Agents!$A:$D,3,0),"-")</f>
        <v>OUBRAHIM Mohammed</v>
      </c>
      <c r="Z878" s="6" t="str">
        <f aca="false">IFERROR(VLOOKUP($B878,Agents!$A:$D,4,0),"-")</f>
        <v>Credit Mutuel</v>
      </c>
      <c r="AA878" s="18" t="s">
        <v>112</v>
      </c>
      <c r="AB878" s="8" t="str">
        <f aca="false">IF(AND(D878="Congé",F878="Congé"),0.333333333333333,IF(OR(AND(D878="Congé",F878&lt;&gt;"Congé"),(AND(F878="Congé",D878&lt;&gt;"Congé"))),0.166666666666667,""))</f>
        <v/>
      </c>
      <c r="AC878" s="8" t="str">
        <f aca="false">IF(AND(D878="Congé sans solde",F878="Congé sans solde"),0.333333333333333,IF(OR(AND(D878="Congé sans solde",F878&lt;&gt;"Congé sans solde"),(AND(F878="Congé sans solde",D878&lt;&gt;"Congé sans solde"))),0.166666666666667,""))</f>
        <v/>
      </c>
      <c r="AD878" s="8" t="str">
        <f aca="false">IF(AND(D878="Congé spécial",F878="Congé spécial"),0.333333333333333,IF(OR(AND(D878="Congé spécial",F878&lt;&gt;"Congé spécial"),AND(F878="Congé spécial",D878&lt;&gt;"Congé spécial")),0.166666666666667,""))</f>
        <v/>
      </c>
      <c r="AE878" s="8" t="str">
        <f aca="false">IF(AND(D878="Férié",F878="Férié"),0.333333333333333,IF(OR(AND(D878="Férié",F878&lt;&gt;"Férié"),(AND(F878="Férié",D878&lt;&gt;"Férié"))),0.166666666666667,""))</f>
        <v/>
      </c>
      <c r="AF878" s="18"/>
      <c r="AG878" s="18"/>
    </row>
    <row r="879" customFormat="false" ht="15" hidden="false" customHeight="false" outlineLevel="0" collapsed="false">
      <c r="A879" s="6" t="str">
        <f aca="false">YEAR(Q879-WEEKDAY(Q879,2)+4)&amp;"-S"&amp;TEXT(WEEKNUM(Q879,21),"00")</f>
        <v>2026-S30</v>
      </c>
      <c r="B879" s="18" t="s">
        <v>73</v>
      </c>
      <c r="C879" s="19" t="n">
        <v>0.330555555555556</v>
      </c>
      <c r="D879" s="19" t="n">
        <v>0.333333333333333</v>
      </c>
      <c r="E879" s="19" t="n">
        <v>0.75</v>
      </c>
      <c r="F879" s="19" t="n">
        <v>0.75</v>
      </c>
      <c r="G879" s="20"/>
      <c r="H879" s="20"/>
      <c r="I879" s="8" t="str">
        <f aca="false">IF(IF(OR(C879="",D879="Congé",D879="OFF",D879="Congé spécial"),"",IF(D879&gt;F879,D879-C879,IF(C879-D879&lt;0,0,C879-D879)))&lt;0.00068287037037037,"",IF(OR(D879="Congé",D879="OFF",C879="",D879="Congé spécial"),"",IF(D879&gt;F879,D879-C879,IF(C879-D879&lt;0,0,C879-D879))))</f>
        <v/>
      </c>
      <c r="J879" s="20"/>
      <c r="K879" s="8" t="n">
        <f aca="false">IF(SUM(H879:J879)&lt;0.00068287037037037,0,SUM(H879:J879))</f>
        <v>0</v>
      </c>
      <c r="L879" s="8" t="n">
        <f aca="false">IF(OR(F879="Congé",F879="OFF",M879="Abs",F879="Congé sans solde",F879="Férié",F879="Congé spécial",D879="Congé spécial"),0,IF(F879-E879&lt;0,0,IF(F879-E879&lt;=0.00068287037037037,0,F879-E879)))</f>
        <v>0</v>
      </c>
      <c r="M879" s="6" t="n">
        <f aca="false">IF(AND(O879&lt;&gt;0,C879=""),"Abs",0)</f>
        <v>0</v>
      </c>
      <c r="N879" s="8" t="n">
        <f aca="false">IFERROR(IF(OR(D879="OFF",D879="Congé",M879="Abs",D879="Congé sans solde",D879="Férié"),"",IF(O879-K879-L879&gt;O879,O879,IF(O879-K879-L879&lt;0,"",O879-K879-L879))),"")</f>
        <v>0.375</v>
      </c>
      <c r="O879" s="8" t="n">
        <f aca="false">IF(AG879="2H Pause déjeuner",IF(F879-D879-0.0833333333333333&lt;0,F879-D879-0.0833333333333333+1,F879-D879-0.0833333333333333),IF(OR(AND(F879="OFF",D879="OFF"),AND(F879="Congé",D879="Congé"),AND(F879="Congé sans solde",D879="Congé sans solde"),AND(F879="Congé spécial",D879="Congé spécial"),AND(F879="Férié",D879="Férié"),AND(F879="OFF",D879="Congé"),AND(F879="OFF",D879="Congé sans solde"),AND(F879="OFF",D879="Congé spécial"),AND(F879="OFF",D879="Férié"),AND(F879="Congé",D879="OFF"),AND(F879="Congé",D879="Congé sans solde"),AND(F879="Congé",D879="Congé spécial"),AND(F879="Congé",D879="Férié"),AND(F879="Congé sans solde",D879="OFF"),AND(F879="Congé sans solde",D879="Congé"),AND(F879="Congé sans solde",D879="Congé spécial"),AND(F879="Congé sans solde",D879="Férié"),AND(F879="Congé spécial",D879="OFF"),AND(F879="Congé spécial",D879="Congé"),AND(F879="Congé spécial",D879="Congé sans solde"),AND(F879="Congé spécial",D879="Férié"),AND(F879="Férié",D879="OFF"),AND(F879="Férié",D879="Congé"),AND(F879="Férié",D879="Congé sans solde"),AND(F879="Férié",D879="Congé spécial")),0,IF(OR(F879="OFF",F879="Congé",F879="Congé spécial",F879="Congé sans solde",D879="OFF",D879="Congé",D879="Congé spécial",D879="Congé sans solde"),0.208333333333334,IF(AND(AG879="",F879-D879&lt;0),("24:00:00"-D879)+("00:00:00"+F879)-0.0416666666666667,IF(AND(OR(AG879="Allaitement",AG879="Sans déjeuner"),F879-D879&lt;0),("24:00:00"-D879)+("00:00:00"+F879),IF(AND(AG879="",F879-D879&gt;0.166666666666667),F879-D879-0.0416666666666667,IF(AND(OR(AG879="Allaitement",AG879="Sans déjeuner"),F879-D879&gt;0.166666666666667),F879-D879,F879-D879)))))))</f>
        <v>0.375</v>
      </c>
      <c r="P879" s="6" t="str">
        <f aca="false">IFERROR(VLOOKUP($B879,Agents!$A:$D,2,0),"-")</f>
        <v>Accessibilité</v>
      </c>
      <c r="Q879" s="21" t="n">
        <v>46223</v>
      </c>
      <c r="R879" s="8" t="n">
        <f aca="false">IF(M879="Abs",O879,0)</f>
        <v>0</v>
      </c>
      <c r="S879" s="8" t="n">
        <f aca="false">SUM(R879,L879,I879,J879,W879,H879)</f>
        <v>0</v>
      </c>
      <c r="T879" s="6" t="str">
        <f aca="false">"Sem - "&amp;WEEKNUM(Q879,21)</f>
        <v>Sem - 30</v>
      </c>
      <c r="U879" s="6" t="str">
        <f aca="false">CHOOSE(MONTH(Q879),"Janvier","Février","Mars","Avril","Mai","Juin","Juillet","Août","Septembre","Octobre","Novembre","Décembre")</f>
        <v>Juillet</v>
      </c>
      <c r="V879" s="22" t="n">
        <f aca="false">YEAR(Q879)</f>
        <v>2026</v>
      </c>
      <c r="W879" s="20"/>
      <c r="X879" s="8" t="n">
        <f aca="false">IFERROR(IF(M879="Abs",0,IF(ROUND((D879-C879+E879-F879)*1440,0)&lt;=1,0,D879-C879+E879-F879)),0)</f>
        <v>0.00277777777777778</v>
      </c>
      <c r="Y879" s="6" t="str">
        <f aca="false">IFERROR(VLOOKUP($B879,Agents!$A:$D,3,0),"-")</f>
        <v>OUBRAHIM Mohammed</v>
      </c>
      <c r="Z879" s="6" t="str">
        <f aca="false">IFERROR(VLOOKUP($B879,Agents!$A:$D,4,0),"-")</f>
        <v>Credit Mutuel</v>
      </c>
      <c r="AA879" s="18" t="s">
        <v>112</v>
      </c>
      <c r="AB879" s="8" t="str">
        <f aca="false">IF(AND(D879="Congé",F879="Congé"),0.333333333333333,IF(OR(AND(D879="Congé",F879&lt;&gt;"Congé"),(AND(F879="Congé",D879&lt;&gt;"Congé"))),0.166666666666667,""))</f>
        <v/>
      </c>
      <c r="AC879" s="8" t="str">
        <f aca="false">IF(AND(D879="Congé sans solde",F879="Congé sans solde"),0.333333333333333,IF(OR(AND(D879="Congé sans solde",F879&lt;&gt;"Congé sans solde"),(AND(F879="Congé sans solde",D879&lt;&gt;"Congé sans solde"))),0.166666666666667,""))</f>
        <v/>
      </c>
      <c r="AD879" s="8" t="str">
        <f aca="false">IF(AND(D879="Congé spécial",F879="Congé spécial"),0.333333333333333,IF(OR(AND(D879="Congé spécial",F879&lt;&gt;"Congé spécial"),AND(F879="Congé spécial",D879&lt;&gt;"Congé spécial")),0.166666666666667,""))</f>
        <v/>
      </c>
      <c r="AE879" s="8" t="str">
        <f aca="false">IF(AND(D879="Férié",F879="Férié"),0.333333333333333,IF(OR(AND(D879="Férié",F879&lt;&gt;"Férié"),(AND(F879="Férié",D879&lt;&gt;"Férié"))),0.166666666666667,""))</f>
        <v/>
      </c>
      <c r="AF879" s="18"/>
      <c r="AG879" s="18"/>
    </row>
    <row r="880" customFormat="false" ht="15" hidden="false" customHeight="false" outlineLevel="0" collapsed="false">
      <c r="A880" s="6" t="str">
        <f aca="false">YEAR(Q880-WEEKDAY(Q880,2)+4)&amp;"-S"&amp;TEXT(WEEKNUM(Q880,21),"00")</f>
        <v>2026-S30</v>
      </c>
      <c r="B880" s="18" t="s">
        <v>71</v>
      </c>
      <c r="C880" s="19" t="n">
        <v>0.33125</v>
      </c>
      <c r="D880" s="19" t="n">
        <v>0.333333333333333</v>
      </c>
      <c r="E880" s="19" t="n">
        <v>0.75</v>
      </c>
      <c r="F880" s="19" t="n">
        <v>0.75</v>
      </c>
      <c r="G880" s="20"/>
      <c r="H880" s="20"/>
      <c r="I880" s="8" t="str">
        <f aca="false">IF(IF(OR(C880="",D880="Congé",D880="OFF",D880="Congé spécial"),"",IF(D880&gt;F880,D880-C880,IF(C880-D880&lt;0,0,C880-D880)))&lt;0.00068287037037037,"",IF(OR(D880="Congé",D880="OFF",C880="",D880="Congé spécial"),"",IF(D880&gt;F880,D880-C880,IF(C880-D880&lt;0,0,C880-D880))))</f>
        <v/>
      </c>
      <c r="J880" s="20"/>
      <c r="K880" s="8" t="n">
        <f aca="false">IF(SUM(H880:J880)&lt;0.00068287037037037,0,SUM(H880:J880))</f>
        <v>0</v>
      </c>
      <c r="L880" s="8" t="n">
        <f aca="false">IF(OR(F880="Congé",F880="OFF",M880="Abs",F880="Congé sans solde",F880="Férié",F880="Congé spécial",D880="Congé spécial"),0,IF(F880-E880&lt;0,0,IF(F880-E880&lt;=0.00068287037037037,0,F880-E880)))</f>
        <v>0</v>
      </c>
      <c r="M880" s="6" t="n">
        <f aca="false">IF(AND(O880&lt;&gt;0,C880=""),"Abs",0)</f>
        <v>0</v>
      </c>
      <c r="N880" s="8" t="n">
        <f aca="false">IFERROR(IF(OR(D880="OFF",D880="Congé",M880="Abs",D880="Congé sans solde",D880="Férié"),"",IF(O880-K880-L880&gt;O880,O880,IF(O880-K880-L880&lt;0,"",O880-K880-L880))),"")</f>
        <v>0.375</v>
      </c>
      <c r="O880" s="8" t="n">
        <f aca="false">IF(AG880="2H Pause déjeuner",IF(F880-D880-0.0833333333333333&lt;0,F880-D880-0.0833333333333333+1,F880-D880-0.0833333333333333),IF(OR(AND(F880="OFF",D880="OFF"),AND(F880="Congé",D880="Congé"),AND(F880="Congé sans solde",D880="Congé sans solde"),AND(F880="Congé spécial",D880="Congé spécial"),AND(F880="Férié",D880="Férié"),AND(F880="OFF",D880="Congé"),AND(F880="OFF",D880="Congé sans solde"),AND(F880="OFF",D880="Congé spécial"),AND(F880="OFF",D880="Férié"),AND(F880="Congé",D880="OFF"),AND(F880="Congé",D880="Congé sans solde"),AND(F880="Congé",D880="Congé spécial"),AND(F880="Congé",D880="Férié"),AND(F880="Congé sans solde",D880="OFF"),AND(F880="Congé sans solde",D880="Congé"),AND(F880="Congé sans solde",D880="Congé spécial"),AND(F880="Congé sans solde",D880="Férié"),AND(F880="Congé spécial",D880="OFF"),AND(F880="Congé spécial",D880="Congé"),AND(F880="Congé spécial",D880="Congé sans solde"),AND(F880="Congé spécial",D880="Férié"),AND(F880="Férié",D880="OFF"),AND(F880="Férié",D880="Congé"),AND(F880="Férié",D880="Congé sans solde"),AND(F880="Férié",D880="Congé spécial")),0,IF(OR(F880="OFF",F880="Congé",F880="Congé spécial",F880="Congé sans solde",D880="OFF",D880="Congé",D880="Congé spécial",D880="Congé sans solde"),0.208333333333334,IF(AND(AG880="",F880-D880&lt;0),("24:00:00"-D880)+("00:00:00"+F880)-0.0416666666666667,IF(AND(OR(AG880="Allaitement",AG880="Sans déjeuner"),F880-D880&lt;0),("24:00:00"-D880)+("00:00:00"+F880),IF(AND(AG880="",F880-D880&gt;0.166666666666667),F880-D880-0.0416666666666667,IF(AND(OR(AG880="Allaitement",AG880="Sans déjeuner"),F880-D880&gt;0.166666666666667),F880-D880,F880-D880)))))))</f>
        <v>0.375</v>
      </c>
      <c r="P880" s="6" t="str">
        <f aca="false">IFERROR(VLOOKUP($B880,Agents!$A:$D,2,0),"-")</f>
        <v>Accessibilité</v>
      </c>
      <c r="Q880" s="21" t="n">
        <v>46224</v>
      </c>
      <c r="R880" s="8" t="n">
        <f aca="false">IF(M880="Abs",O880,0)</f>
        <v>0</v>
      </c>
      <c r="S880" s="8" t="n">
        <f aca="false">SUM(R880,L880,I880,J880,W880,H880)</f>
        <v>0</v>
      </c>
      <c r="T880" s="6" t="str">
        <f aca="false">"Sem - "&amp;WEEKNUM(Q880,21)</f>
        <v>Sem - 30</v>
      </c>
      <c r="U880" s="6" t="str">
        <f aca="false">CHOOSE(MONTH(Q880),"Janvier","Février","Mars","Avril","Mai","Juin","Juillet","Août","Septembre","Octobre","Novembre","Décembre")</f>
        <v>Juillet</v>
      </c>
      <c r="V880" s="22" t="n">
        <f aca="false">YEAR(Q880)</f>
        <v>2026</v>
      </c>
      <c r="W880" s="20"/>
      <c r="X880" s="8" t="n">
        <f aca="false">IFERROR(IF(M880="Abs",0,IF(ROUND((D880-C880+E880-F880)*1440,0)&lt;=1,0,D880-C880+E880-F880)),0)</f>
        <v>0.00208333333333333</v>
      </c>
      <c r="Y880" s="6" t="str">
        <f aca="false">IFERROR(VLOOKUP($B880,Agents!$A:$D,3,0),"-")</f>
        <v>OUBRAHIM Mohammed</v>
      </c>
      <c r="Z880" s="6" t="str">
        <f aca="false">IFERROR(VLOOKUP($B880,Agents!$A:$D,4,0),"-")</f>
        <v>Credit Mutuel</v>
      </c>
      <c r="AA880" s="18" t="s">
        <v>112</v>
      </c>
      <c r="AB880" s="8" t="str">
        <f aca="false">IF(AND(D880="Congé",F880="Congé"),0.333333333333333,IF(OR(AND(D880="Congé",F880&lt;&gt;"Congé"),(AND(F880="Congé",D880&lt;&gt;"Congé"))),0.166666666666667,""))</f>
        <v/>
      </c>
      <c r="AC880" s="8" t="str">
        <f aca="false">IF(AND(D880="Congé sans solde",F880="Congé sans solde"),0.333333333333333,IF(OR(AND(D880="Congé sans solde",F880&lt;&gt;"Congé sans solde"),(AND(F880="Congé sans solde",D880&lt;&gt;"Congé sans solde"))),0.166666666666667,""))</f>
        <v/>
      </c>
      <c r="AD880" s="8" t="str">
        <f aca="false">IF(AND(D880="Congé spécial",F880="Congé spécial"),0.333333333333333,IF(OR(AND(D880="Congé spécial",F880&lt;&gt;"Congé spécial"),AND(F880="Congé spécial",D880&lt;&gt;"Congé spécial")),0.166666666666667,""))</f>
        <v/>
      </c>
      <c r="AE880" s="8" t="str">
        <f aca="false">IF(AND(D880="Férié",F880="Férié"),0.333333333333333,IF(OR(AND(D880="Férié",F880&lt;&gt;"Férié"),(AND(F880="Férié",D880&lt;&gt;"Férié"))),0.166666666666667,""))</f>
        <v/>
      </c>
      <c r="AF880" s="18"/>
      <c r="AG880" s="18"/>
    </row>
    <row r="881" customFormat="false" ht="15" hidden="false" customHeight="false" outlineLevel="0" collapsed="false">
      <c r="A881" s="6" t="str">
        <f aca="false">YEAR(Q881-WEEKDAY(Q881,2)+4)&amp;"-S"&amp;TEXT(WEEKNUM(Q881,21),"00")</f>
        <v>2026-S30</v>
      </c>
      <c r="B881" s="18" t="s">
        <v>72</v>
      </c>
      <c r="C881" s="19" t="n">
        <v>0.33125</v>
      </c>
      <c r="D881" s="19" t="n">
        <v>0.333333333333333</v>
      </c>
      <c r="E881" s="19" t="n">
        <v>0.75</v>
      </c>
      <c r="F881" s="19" t="n">
        <v>0.75</v>
      </c>
      <c r="G881" s="20"/>
      <c r="H881" s="20"/>
      <c r="I881" s="8" t="str">
        <f aca="false">IF(IF(OR(C881="",D881="Congé",D881="OFF",D881="Congé spécial"),"",IF(D881&gt;F881,D881-C881,IF(C881-D881&lt;0,0,C881-D881)))&lt;0.00068287037037037,"",IF(OR(D881="Congé",D881="OFF",C881="",D881="Congé spécial"),"",IF(D881&gt;F881,D881-C881,IF(C881-D881&lt;0,0,C881-D881))))</f>
        <v/>
      </c>
      <c r="J881" s="20"/>
      <c r="K881" s="8" t="n">
        <f aca="false">IF(SUM(H881:J881)&lt;0.00068287037037037,0,SUM(H881:J881))</f>
        <v>0</v>
      </c>
      <c r="L881" s="8" t="n">
        <f aca="false">IF(OR(F881="Congé",F881="OFF",M881="Abs",F881="Congé sans solde",F881="Férié",F881="Congé spécial",D881="Congé spécial"),0,IF(F881-E881&lt;0,0,IF(F881-E881&lt;=0.00068287037037037,0,F881-E881)))</f>
        <v>0</v>
      </c>
      <c r="M881" s="6" t="n">
        <f aca="false">IF(AND(O881&lt;&gt;0,C881=""),"Abs",0)</f>
        <v>0</v>
      </c>
      <c r="N881" s="8" t="n">
        <f aca="false">IFERROR(IF(OR(D881="OFF",D881="Congé",M881="Abs",D881="Congé sans solde",D881="Férié"),"",IF(O881-K881-L881&gt;O881,O881,IF(O881-K881-L881&lt;0,"",O881-K881-L881))),"")</f>
        <v>0.375</v>
      </c>
      <c r="O881" s="8" t="n">
        <f aca="false">IF(AG881="2H Pause déjeuner",IF(F881-D881-0.0833333333333333&lt;0,F881-D881-0.0833333333333333+1,F881-D881-0.0833333333333333),IF(OR(AND(F881="OFF",D881="OFF"),AND(F881="Congé",D881="Congé"),AND(F881="Congé sans solde",D881="Congé sans solde"),AND(F881="Congé spécial",D881="Congé spécial"),AND(F881="Férié",D881="Férié"),AND(F881="OFF",D881="Congé"),AND(F881="OFF",D881="Congé sans solde"),AND(F881="OFF",D881="Congé spécial"),AND(F881="OFF",D881="Férié"),AND(F881="Congé",D881="OFF"),AND(F881="Congé",D881="Congé sans solde"),AND(F881="Congé",D881="Congé spécial"),AND(F881="Congé",D881="Férié"),AND(F881="Congé sans solde",D881="OFF"),AND(F881="Congé sans solde",D881="Congé"),AND(F881="Congé sans solde",D881="Congé spécial"),AND(F881="Congé sans solde",D881="Férié"),AND(F881="Congé spécial",D881="OFF"),AND(F881="Congé spécial",D881="Congé"),AND(F881="Congé spécial",D881="Congé sans solde"),AND(F881="Congé spécial",D881="Férié"),AND(F881="Férié",D881="OFF"),AND(F881="Férié",D881="Congé"),AND(F881="Férié",D881="Congé sans solde"),AND(F881="Férié",D881="Congé spécial")),0,IF(OR(F881="OFF",F881="Congé",F881="Congé spécial",F881="Congé sans solde",D881="OFF",D881="Congé",D881="Congé spécial",D881="Congé sans solde"),0.208333333333334,IF(AND(AG881="",F881-D881&lt;0),("24:00:00"-D881)+("00:00:00"+F881)-0.0416666666666667,IF(AND(OR(AG881="Allaitement",AG881="Sans déjeuner"),F881-D881&lt;0),("24:00:00"-D881)+("00:00:00"+F881),IF(AND(AG881="",F881-D881&gt;0.166666666666667),F881-D881-0.0416666666666667,IF(AND(OR(AG881="Allaitement",AG881="Sans déjeuner"),F881-D881&gt;0.166666666666667),F881-D881,F881-D881)))))))</f>
        <v>0.375</v>
      </c>
      <c r="P881" s="6" t="str">
        <f aca="false">IFERROR(VLOOKUP($B881,Agents!$A:$D,2,0),"-")</f>
        <v>Accessibilité</v>
      </c>
      <c r="Q881" s="21" t="n">
        <v>46224</v>
      </c>
      <c r="R881" s="8" t="n">
        <f aca="false">IF(M881="Abs",O881,0)</f>
        <v>0</v>
      </c>
      <c r="S881" s="8" t="n">
        <f aca="false">SUM(R881,L881,I881,J881,W881,H881)</f>
        <v>0</v>
      </c>
      <c r="T881" s="6" t="str">
        <f aca="false">"Sem - "&amp;WEEKNUM(Q881,21)</f>
        <v>Sem - 30</v>
      </c>
      <c r="U881" s="6" t="str">
        <f aca="false">CHOOSE(MONTH(Q881),"Janvier","Février","Mars","Avril","Mai","Juin","Juillet","Août","Septembre","Octobre","Novembre","Décembre")</f>
        <v>Juillet</v>
      </c>
      <c r="V881" s="22" t="n">
        <f aca="false">YEAR(Q881)</f>
        <v>2026</v>
      </c>
      <c r="W881" s="20"/>
      <c r="X881" s="8" t="n">
        <f aca="false">IFERROR(IF(M881="Abs",0,IF(ROUND((D881-C881+E881-F881)*1440,0)&lt;=1,0,D881-C881+E881-F881)),0)</f>
        <v>0.00208333333333333</v>
      </c>
      <c r="Y881" s="6" t="str">
        <f aca="false">IFERROR(VLOOKUP($B881,Agents!$A:$D,3,0),"-")</f>
        <v>OUBRAHIM Mohammed</v>
      </c>
      <c r="Z881" s="6" t="str">
        <f aca="false">IFERROR(VLOOKUP($B881,Agents!$A:$D,4,0),"-")</f>
        <v>Credit Mutuel</v>
      </c>
      <c r="AA881" s="18" t="s">
        <v>112</v>
      </c>
      <c r="AB881" s="8" t="str">
        <f aca="false">IF(AND(D881="Congé",F881="Congé"),0.333333333333333,IF(OR(AND(D881="Congé",F881&lt;&gt;"Congé"),(AND(F881="Congé",D881&lt;&gt;"Congé"))),0.166666666666667,""))</f>
        <v/>
      </c>
      <c r="AC881" s="8" t="str">
        <f aca="false">IF(AND(D881="Congé sans solde",F881="Congé sans solde"),0.333333333333333,IF(OR(AND(D881="Congé sans solde",F881&lt;&gt;"Congé sans solde"),(AND(F881="Congé sans solde",D881&lt;&gt;"Congé sans solde"))),0.166666666666667,""))</f>
        <v/>
      </c>
      <c r="AD881" s="8" t="str">
        <f aca="false">IF(AND(D881="Congé spécial",F881="Congé spécial"),0.333333333333333,IF(OR(AND(D881="Congé spécial",F881&lt;&gt;"Congé spécial"),AND(F881="Congé spécial",D881&lt;&gt;"Congé spécial")),0.166666666666667,""))</f>
        <v/>
      </c>
      <c r="AE881" s="8" t="str">
        <f aca="false">IF(AND(D881="Férié",F881="Férié"),0.333333333333333,IF(OR(AND(D881="Férié",F881&lt;&gt;"Férié"),(AND(F881="Férié",D881&lt;&gt;"Férié"))),0.166666666666667,""))</f>
        <v/>
      </c>
      <c r="AF881" s="18"/>
      <c r="AG881" s="18"/>
    </row>
    <row r="882" customFormat="false" ht="15" hidden="false" customHeight="false" outlineLevel="0" collapsed="false">
      <c r="A882" s="6" t="str">
        <f aca="false">YEAR(Q882-WEEKDAY(Q882,2)+4)&amp;"-S"&amp;TEXT(WEEKNUM(Q882,21),"00")</f>
        <v>2026-S30</v>
      </c>
      <c r="B882" s="18" t="s">
        <v>73</v>
      </c>
      <c r="C882" s="19" t="n">
        <v>0.33125</v>
      </c>
      <c r="D882" s="19" t="n">
        <v>0.333333333333333</v>
      </c>
      <c r="E882" s="19" t="n">
        <v>0.75</v>
      </c>
      <c r="F882" s="19" t="n">
        <v>0.75</v>
      </c>
      <c r="G882" s="20"/>
      <c r="H882" s="20"/>
      <c r="I882" s="8" t="str">
        <f aca="false">IF(IF(OR(C882="",D882="Congé",D882="OFF",D882="Congé spécial"),"",IF(D882&gt;F882,D882-C882,IF(C882-D882&lt;0,0,C882-D882)))&lt;0.00068287037037037,"",IF(OR(D882="Congé",D882="OFF",C882="",D882="Congé spécial"),"",IF(D882&gt;F882,D882-C882,IF(C882-D882&lt;0,0,C882-D882))))</f>
        <v/>
      </c>
      <c r="J882" s="20"/>
      <c r="K882" s="8" t="n">
        <f aca="false">IF(SUM(H882:J882)&lt;0.00068287037037037,0,SUM(H882:J882))</f>
        <v>0</v>
      </c>
      <c r="L882" s="8" t="n">
        <f aca="false">IF(OR(F882="Congé",F882="OFF",M882="Abs",F882="Congé sans solde",F882="Férié",F882="Congé spécial",D882="Congé spécial"),0,IF(F882-E882&lt;0,0,IF(F882-E882&lt;=0.00068287037037037,0,F882-E882)))</f>
        <v>0</v>
      </c>
      <c r="M882" s="6" t="n">
        <f aca="false">IF(AND(O882&lt;&gt;0,C882=""),"Abs",0)</f>
        <v>0</v>
      </c>
      <c r="N882" s="8" t="n">
        <f aca="false">IFERROR(IF(OR(D882="OFF",D882="Congé",M882="Abs",D882="Congé sans solde",D882="Férié"),"",IF(O882-K882-L882&gt;O882,O882,IF(O882-K882-L882&lt;0,"",O882-K882-L882))),"")</f>
        <v>0.375</v>
      </c>
      <c r="O882" s="8" t="n">
        <f aca="false">IF(AG882="2H Pause déjeuner",IF(F882-D882-0.0833333333333333&lt;0,F882-D882-0.0833333333333333+1,F882-D882-0.0833333333333333),IF(OR(AND(F882="OFF",D882="OFF"),AND(F882="Congé",D882="Congé"),AND(F882="Congé sans solde",D882="Congé sans solde"),AND(F882="Congé spécial",D882="Congé spécial"),AND(F882="Férié",D882="Férié"),AND(F882="OFF",D882="Congé"),AND(F882="OFF",D882="Congé sans solde"),AND(F882="OFF",D882="Congé spécial"),AND(F882="OFF",D882="Férié"),AND(F882="Congé",D882="OFF"),AND(F882="Congé",D882="Congé sans solde"),AND(F882="Congé",D882="Congé spécial"),AND(F882="Congé",D882="Férié"),AND(F882="Congé sans solde",D882="OFF"),AND(F882="Congé sans solde",D882="Congé"),AND(F882="Congé sans solde",D882="Congé spécial"),AND(F882="Congé sans solde",D882="Férié"),AND(F882="Congé spécial",D882="OFF"),AND(F882="Congé spécial",D882="Congé"),AND(F882="Congé spécial",D882="Congé sans solde"),AND(F882="Congé spécial",D882="Férié"),AND(F882="Férié",D882="OFF"),AND(F882="Férié",D882="Congé"),AND(F882="Férié",D882="Congé sans solde"),AND(F882="Férié",D882="Congé spécial")),0,IF(OR(F882="OFF",F882="Congé",F882="Congé spécial",F882="Congé sans solde",D882="OFF",D882="Congé",D882="Congé spécial",D882="Congé sans solde"),0.208333333333334,IF(AND(AG882="",F882-D882&lt;0),("24:00:00"-D882)+("00:00:00"+F882)-0.0416666666666667,IF(AND(OR(AG882="Allaitement",AG882="Sans déjeuner"),F882-D882&lt;0),("24:00:00"-D882)+("00:00:00"+F882),IF(AND(AG882="",F882-D882&gt;0.166666666666667),F882-D882-0.0416666666666667,IF(AND(OR(AG882="Allaitement",AG882="Sans déjeuner"),F882-D882&gt;0.166666666666667),F882-D882,F882-D882)))))))</f>
        <v>0.375</v>
      </c>
      <c r="P882" s="6" t="str">
        <f aca="false">IFERROR(VLOOKUP($B882,Agents!$A:$D,2,0),"-")</f>
        <v>Accessibilité</v>
      </c>
      <c r="Q882" s="21" t="n">
        <v>46224</v>
      </c>
      <c r="R882" s="8" t="n">
        <f aca="false">IF(M882="Abs",O882,0)</f>
        <v>0</v>
      </c>
      <c r="S882" s="8" t="n">
        <f aca="false">SUM(R882,L882,I882,J882,W882,H882)</f>
        <v>0</v>
      </c>
      <c r="T882" s="6" t="str">
        <f aca="false">"Sem - "&amp;WEEKNUM(Q882,21)</f>
        <v>Sem - 30</v>
      </c>
      <c r="U882" s="6" t="str">
        <f aca="false">CHOOSE(MONTH(Q882),"Janvier","Février","Mars","Avril","Mai","Juin","Juillet","Août","Septembre","Octobre","Novembre","Décembre")</f>
        <v>Juillet</v>
      </c>
      <c r="V882" s="22" t="n">
        <f aca="false">YEAR(Q882)</f>
        <v>2026</v>
      </c>
      <c r="W882" s="20"/>
      <c r="X882" s="8" t="n">
        <f aca="false">IFERROR(IF(M882="Abs",0,IF(ROUND((D882-C882+E882-F882)*1440,0)&lt;=1,0,D882-C882+E882-F882)),0)</f>
        <v>0.00208333333333333</v>
      </c>
      <c r="Y882" s="6" t="str">
        <f aca="false">IFERROR(VLOOKUP($B882,Agents!$A:$D,3,0),"-")</f>
        <v>OUBRAHIM Mohammed</v>
      </c>
      <c r="Z882" s="6" t="str">
        <f aca="false">IFERROR(VLOOKUP($B882,Agents!$A:$D,4,0),"-")</f>
        <v>Credit Mutuel</v>
      </c>
      <c r="AA882" s="18" t="s">
        <v>112</v>
      </c>
      <c r="AB882" s="8" t="str">
        <f aca="false">IF(AND(D882="Congé",F882="Congé"),0.333333333333333,IF(OR(AND(D882="Congé",F882&lt;&gt;"Congé"),(AND(F882="Congé",D882&lt;&gt;"Congé"))),0.166666666666667,""))</f>
        <v/>
      </c>
      <c r="AC882" s="8" t="str">
        <f aca="false">IF(AND(D882="Congé sans solde",F882="Congé sans solde"),0.333333333333333,IF(OR(AND(D882="Congé sans solde",F882&lt;&gt;"Congé sans solde"),(AND(F882="Congé sans solde",D882&lt;&gt;"Congé sans solde"))),0.166666666666667,""))</f>
        <v/>
      </c>
      <c r="AD882" s="8" t="str">
        <f aca="false">IF(AND(D882="Congé spécial",F882="Congé spécial"),0.333333333333333,IF(OR(AND(D882="Congé spécial",F882&lt;&gt;"Congé spécial"),AND(F882="Congé spécial",D882&lt;&gt;"Congé spécial")),0.166666666666667,""))</f>
        <v/>
      </c>
      <c r="AE882" s="8" t="str">
        <f aca="false">IF(AND(D882="Férié",F882="Férié"),0.333333333333333,IF(OR(AND(D882="Férié",F882&lt;&gt;"Férié"),(AND(F882="Férié",D882&lt;&gt;"Férié"))),0.166666666666667,""))</f>
        <v/>
      </c>
      <c r="AF882" s="18"/>
      <c r="AG882" s="18"/>
    </row>
    <row r="883" customFormat="false" ht="15" hidden="false" customHeight="false" outlineLevel="0" collapsed="false">
      <c r="A883" s="6" t="str">
        <f aca="false">YEAR(Q883-WEEKDAY(Q883,2)+4)&amp;"-S"&amp;TEXT(WEEKNUM(Q883,21),"00")</f>
        <v>2026-S30</v>
      </c>
      <c r="B883" s="18" t="s">
        <v>71</v>
      </c>
      <c r="C883" s="19" t="n">
        <v>0.33125</v>
      </c>
      <c r="D883" s="19" t="n">
        <v>0.333333333333333</v>
      </c>
      <c r="E883" s="19" t="n">
        <v>0.75</v>
      </c>
      <c r="F883" s="19" t="n">
        <v>0.75</v>
      </c>
      <c r="G883" s="20"/>
      <c r="H883" s="20"/>
      <c r="I883" s="8" t="str">
        <f aca="false">IF(IF(OR(C883="",D883="Congé",D883="OFF",D883="Congé spécial"),"",IF(D883&gt;F883,D883-C883,IF(C883-D883&lt;0,0,C883-D883)))&lt;0.00068287037037037,"",IF(OR(D883="Congé",D883="OFF",C883="",D883="Congé spécial"),"",IF(D883&gt;F883,D883-C883,IF(C883-D883&lt;0,0,C883-D883))))</f>
        <v/>
      </c>
      <c r="J883" s="20"/>
      <c r="K883" s="8" t="n">
        <f aca="false">IF(SUM(H883:J883)&lt;0.00068287037037037,0,SUM(H883:J883))</f>
        <v>0</v>
      </c>
      <c r="L883" s="8" t="n">
        <f aca="false">IF(OR(F883="Congé",F883="OFF",M883="Abs",F883="Congé sans solde",F883="Férié",F883="Congé spécial",D883="Congé spécial"),0,IF(F883-E883&lt;0,0,IF(F883-E883&lt;=0.00068287037037037,0,F883-E883)))</f>
        <v>0</v>
      </c>
      <c r="M883" s="6" t="n">
        <f aca="false">IF(AND(O883&lt;&gt;0,C883=""),"Abs",0)</f>
        <v>0</v>
      </c>
      <c r="N883" s="8" t="n">
        <f aca="false">IFERROR(IF(OR(D883="OFF",D883="Congé",M883="Abs",D883="Congé sans solde",D883="Férié"),"",IF(O883-K883-L883&gt;O883,O883,IF(O883-K883-L883&lt;0,"",O883-K883-L883))),"")</f>
        <v>0.375</v>
      </c>
      <c r="O883" s="8" t="n">
        <f aca="false">IF(AG883="2H Pause déjeuner",IF(F883-D883-0.0833333333333333&lt;0,F883-D883-0.0833333333333333+1,F883-D883-0.0833333333333333),IF(OR(AND(F883="OFF",D883="OFF"),AND(F883="Congé",D883="Congé"),AND(F883="Congé sans solde",D883="Congé sans solde"),AND(F883="Congé spécial",D883="Congé spécial"),AND(F883="Férié",D883="Férié"),AND(F883="OFF",D883="Congé"),AND(F883="OFF",D883="Congé sans solde"),AND(F883="OFF",D883="Congé spécial"),AND(F883="OFF",D883="Férié"),AND(F883="Congé",D883="OFF"),AND(F883="Congé",D883="Congé sans solde"),AND(F883="Congé",D883="Congé spécial"),AND(F883="Congé",D883="Férié"),AND(F883="Congé sans solde",D883="OFF"),AND(F883="Congé sans solde",D883="Congé"),AND(F883="Congé sans solde",D883="Congé spécial"),AND(F883="Congé sans solde",D883="Férié"),AND(F883="Congé spécial",D883="OFF"),AND(F883="Congé spécial",D883="Congé"),AND(F883="Congé spécial",D883="Congé sans solde"),AND(F883="Congé spécial",D883="Férié"),AND(F883="Férié",D883="OFF"),AND(F883="Férié",D883="Congé"),AND(F883="Férié",D883="Congé sans solde"),AND(F883="Férié",D883="Congé spécial")),0,IF(OR(F883="OFF",F883="Congé",F883="Congé spécial",F883="Congé sans solde",D883="OFF",D883="Congé",D883="Congé spécial",D883="Congé sans solde"),0.208333333333334,IF(AND(AG883="",F883-D883&lt;0),("24:00:00"-D883)+("00:00:00"+F883)-0.0416666666666667,IF(AND(OR(AG883="Allaitement",AG883="Sans déjeuner"),F883-D883&lt;0),("24:00:00"-D883)+("00:00:00"+F883),IF(AND(AG883="",F883-D883&gt;0.166666666666667),F883-D883-0.0416666666666667,IF(AND(OR(AG883="Allaitement",AG883="Sans déjeuner"),F883-D883&gt;0.166666666666667),F883-D883,F883-D883)))))))</f>
        <v>0.375</v>
      </c>
      <c r="P883" s="6" t="str">
        <f aca="false">IFERROR(VLOOKUP($B883,Agents!$A:$D,2,0),"-")</f>
        <v>Accessibilité</v>
      </c>
      <c r="Q883" s="21" t="n">
        <v>46225</v>
      </c>
      <c r="R883" s="8" t="n">
        <f aca="false">IF(M883="Abs",O883,0)</f>
        <v>0</v>
      </c>
      <c r="S883" s="8" t="n">
        <f aca="false">SUM(R883,L883,I883,J883,W883,H883)</f>
        <v>0</v>
      </c>
      <c r="T883" s="6" t="str">
        <f aca="false">"Sem - "&amp;WEEKNUM(Q883,21)</f>
        <v>Sem - 30</v>
      </c>
      <c r="U883" s="6" t="str">
        <f aca="false">CHOOSE(MONTH(Q883),"Janvier","Février","Mars","Avril","Mai","Juin","Juillet","Août","Septembre","Octobre","Novembre","Décembre")</f>
        <v>Juillet</v>
      </c>
      <c r="V883" s="22" t="n">
        <f aca="false">YEAR(Q883)</f>
        <v>2026</v>
      </c>
      <c r="W883" s="20"/>
      <c r="X883" s="8" t="n">
        <f aca="false">IFERROR(IF(M883="Abs",0,IF(ROUND((D883-C883+E883-F883)*1440,0)&lt;=1,0,D883-C883+E883-F883)),0)</f>
        <v>0.00208333333333333</v>
      </c>
      <c r="Y883" s="6" t="str">
        <f aca="false">IFERROR(VLOOKUP($B883,Agents!$A:$D,3,0),"-")</f>
        <v>OUBRAHIM Mohammed</v>
      </c>
      <c r="Z883" s="6" t="str">
        <f aca="false">IFERROR(VLOOKUP($B883,Agents!$A:$D,4,0),"-")</f>
        <v>Credit Mutuel</v>
      </c>
      <c r="AA883" s="18" t="s">
        <v>112</v>
      </c>
      <c r="AB883" s="8" t="str">
        <f aca="false">IF(AND(D883="Congé",F883="Congé"),0.333333333333333,IF(OR(AND(D883="Congé",F883&lt;&gt;"Congé"),(AND(F883="Congé",D883&lt;&gt;"Congé"))),0.166666666666667,""))</f>
        <v/>
      </c>
      <c r="AC883" s="8" t="str">
        <f aca="false">IF(AND(D883="Congé sans solde",F883="Congé sans solde"),0.333333333333333,IF(OR(AND(D883="Congé sans solde",F883&lt;&gt;"Congé sans solde"),(AND(F883="Congé sans solde",D883&lt;&gt;"Congé sans solde"))),0.166666666666667,""))</f>
        <v/>
      </c>
      <c r="AD883" s="8" t="str">
        <f aca="false">IF(AND(D883="Congé spécial",F883="Congé spécial"),0.333333333333333,IF(OR(AND(D883="Congé spécial",F883&lt;&gt;"Congé spécial"),AND(F883="Congé spécial",D883&lt;&gt;"Congé spécial")),0.166666666666667,""))</f>
        <v/>
      </c>
      <c r="AE883" s="8" t="str">
        <f aca="false">IF(AND(D883="Férié",F883="Férié"),0.333333333333333,IF(OR(AND(D883="Férié",F883&lt;&gt;"Férié"),(AND(F883="Férié",D883&lt;&gt;"Férié"))),0.166666666666667,""))</f>
        <v/>
      </c>
      <c r="AF883" s="18"/>
      <c r="AG883" s="18"/>
    </row>
    <row r="884" customFormat="false" ht="15" hidden="false" customHeight="false" outlineLevel="0" collapsed="false">
      <c r="A884" s="6" t="str">
        <f aca="false">YEAR(Q884-WEEKDAY(Q884,2)+4)&amp;"-S"&amp;TEXT(WEEKNUM(Q884,21),"00")</f>
        <v>2026-S30</v>
      </c>
      <c r="B884" s="18" t="s">
        <v>72</v>
      </c>
      <c r="C884" s="19" t="n">
        <v>0.331944444444444</v>
      </c>
      <c r="D884" s="19" t="n">
        <v>0.333333333333333</v>
      </c>
      <c r="E884" s="19" t="n">
        <v>0.75</v>
      </c>
      <c r="F884" s="19" t="n">
        <v>0.75</v>
      </c>
      <c r="G884" s="20"/>
      <c r="H884" s="20"/>
      <c r="I884" s="8" t="str">
        <f aca="false">IF(IF(OR(C884="",D884="Congé",D884="OFF",D884="Congé spécial"),"",IF(D884&gt;F884,D884-C884,IF(C884-D884&lt;0,0,C884-D884)))&lt;0.00068287037037037,"",IF(OR(D884="Congé",D884="OFF",C884="",D884="Congé spécial"),"",IF(D884&gt;F884,D884-C884,IF(C884-D884&lt;0,0,C884-D884))))</f>
        <v/>
      </c>
      <c r="J884" s="20"/>
      <c r="K884" s="8" t="n">
        <f aca="false">IF(SUM(H884:J884)&lt;0.00068287037037037,0,SUM(H884:J884))</f>
        <v>0</v>
      </c>
      <c r="L884" s="8" t="n">
        <f aca="false">IF(OR(F884="Congé",F884="OFF",M884="Abs",F884="Congé sans solde",F884="Férié",F884="Congé spécial",D884="Congé spécial"),0,IF(F884-E884&lt;0,0,IF(F884-E884&lt;=0.00068287037037037,0,F884-E884)))</f>
        <v>0</v>
      </c>
      <c r="M884" s="6" t="n">
        <f aca="false">IF(AND(O884&lt;&gt;0,C884=""),"Abs",0)</f>
        <v>0</v>
      </c>
      <c r="N884" s="8" t="n">
        <f aca="false">IFERROR(IF(OR(D884="OFF",D884="Congé",M884="Abs",D884="Congé sans solde",D884="Férié"),"",IF(O884-K884-L884&gt;O884,O884,IF(O884-K884-L884&lt;0,"",O884-K884-L884))),"")</f>
        <v>0.375</v>
      </c>
      <c r="O884" s="8" t="n">
        <f aca="false">IF(AG884="2H Pause déjeuner",IF(F884-D884-0.0833333333333333&lt;0,F884-D884-0.0833333333333333+1,F884-D884-0.0833333333333333),IF(OR(AND(F884="OFF",D884="OFF"),AND(F884="Congé",D884="Congé"),AND(F884="Congé sans solde",D884="Congé sans solde"),AND(F884="Congé spécial",D884="Congé spécial"),AND(F884="Férié",D884="Férié"),AND(F884="OFF",D884="Congé"),AND(F884="OFF",D884="Congé sans solde"),AND(F884="OFF",D884="Congé spécial"),AND(F884="OFF",D884="Férié"),AND(F884="Congé",D884="OFF"),AND(F884="Congé",D884="Congé sans solde"),AND(F884="Congé",D884="Congé spécial"),AND(F884="Congé",D884="Férié"),AND(F884="Congé sans solde",D884="OFF"),AND(F884="Congé sans solde",D884="Congé"),AND(F884="Congé sans solde",D884="Congé spécial"),AND(F884="Congé sans solde",D884="Férié"),AND(F884="Congé spécial",D884="OFF"),AND(F884="Congé spécial",D884="Congé"),AND(F884="Congé spécial",D884="Congé sans solde"),AND(F884="Congé spécial",D884="Férié"),AND(F884="Férié",D884="OFF"),AND(F884="Férié",D884="Congé"),AND(F884="Férié",D884="Congé sans solde"),AND(F884="Férié",D884="Congé spécial")),0,IF(OR(F884="OFF",F884="Congé",F884="Congé spécial",F884="Congé sans solde",D884="OFF",D884="Congé",D884="Congé spécial",D884="Congé sans solde"),0.208333333333334,IF(AND(AG884="",F884-D884&lt;0),("24:00:00"-D884)+("00:00:00"+F884)-0.0416666666666667,IF(AND(OR(AG884="Allaitement",AG884="Sans déjeuner"),F884-D884&lt;0),("24:00:00"-D884)+("00:00:00"+F884),IF(AND(AG884="",F884-D884&gt;0.166666666666667),F884-D884-0.0416666666666667,IF(AND(OR(AG884="Allaitement",AG884="Sans déjeuner"),F884-D884&gt;0.166666666666667),F884-D884,F884-D884)))))))</f>
        <v>0.375</v>
      </c>
      <c r="P884" s="6" t="str">
        <f aca="false">IFERROR(VLOOKUP($B884,Agents!$A:$D,2,0),"-")</f>
        <v>Accessibilité</v>
      </c>
      <c r="Q884" s="21" t="n">
        <v>46225</v>
      </c>
      <c r="R884" s="8" t="n">
        <f aca="false">IF(M884="Abs",O884,0)</f>
        <v>0</v>
      </c>
      <c r="S884" s="8" t="n">
        <f aca="false">SUM(R884,L884,I884,J884,W884,H884)</f>
        <v>0</v>
      </c>
      <c r="T884" s="6" t="str">
        <f aca="false">"Sem - "&amp;WEEKNUM(Q884,21)</f>
        <v>Sem - 30</v>
      </c>
      <c r="U884" s="6" t="str">
        <f aca="false">CHOOSE(MONTH(Q884),"Janvier","Février","Mars","Avril","Mai","Juin","Juillet","Août","Septembre","Octobre","Novembre","Décembre")</f>
        <v>Juillet</v>
      </c>
      <c r="V884" s="22" t="n">
        <f aca="false">YEAR(Q884)</f>
        <v>2026</v>
      </c>
      <c r="W884" s="20"/>
      <c r="X884" s="8" t="n">
        <f aca="false">IFERROR(IF(M884="Abs",0,IF(ROUND((D884-C884+E884-F884)*1440,0)&lt;=1,0,D884-C884+E884-F884)),0)</f>
        <v>0.00138888888888889</v>
      </c>
      <c r="Y884" s="6" t="str">
        <f aca="false">IFERROR(VLOOKUP($B884,Agents!$A:$D,3,0),"-")</f>
        <v>OUBRAHIM Mohammed</v>
      </c>
      <c r="Z884" s="6" t="str">
        <f aca="false">IFERROR(VLOOKUP($B884,Agents!$A:$D,4,0),"-")</f>
        <v>Credit Mutuel</v>
      </c>
      <c r="AA884" s="18" t="s">
        <v>112</v>
      </c>
      <c r="AB884" s="8" t="str">
        <f aca="false">IF(AND(D884="Congé",F884="Congé"),0.333333333333333,IF(OR(AND(D884="Congé",F884&lt;&gt;"Congé"),(AND(F884="Congé",D884&lt;&gt;"Congé"))),0.166666666666667,""))</f>
        <v/>
      </c>
      <c r="AC884" s="8" t="str">
        <f aca="false">IF(AND(D884="Congé sans solde",F884="Congé sans solde"),0.333333333333333,IF(OR(AND(D884="Congé sans solde",F884&lt;&gt;"Congé sans solde"),(AND(F884="Congé sans solde",D884&lt;&gt;"Congé sans solde"))),0.166666666666667,""))</f>
        <v/>
      </c>
      <c r="AD884" s="8" t="str">
        <f aca="false">IF(AND(D884="Congé spécial",F884="Congé spécial"),0.333333333333333,IF(OR(AND(D884="Congé spécial",F884&lt;&gt;"Congé spécial"),AND(F884="Congé spécial",D884&lt;&gt;"Congé spécial")),0.166666666666667,""))</f>
        <v/>
      </c>
      <c r="AE884" s="8" t="str">
        <f aca="false">IF(AND(D884="Férié",F884="Férié"),0.333333333333333,IF(OR(AND(D884="Férié",F884&lt;&gt;"Férié"),(AND(F884="Férié",D884&lt;&gt;"Férié"))),0.166666666666667,""))</f>
        <v/>
      </c>
      <c r="AF884" s="18"/>
      <c r="AG884" s="18"/>
    </row>
    <row r="885" customFormat="false" ht="15" hidden="false" customHeight="false" outlineLevel="0" collapsed="false">
      <c r="A885" s="6" t="str">
        <f aca="false">YEAR(Q885-WEEKDAY(Q885,2)+4)&amp;"-S"&amp;TEXT(WEEKNUM(Q885,21),"00")</f>
        <v>2026-S30</v>
      </c>
      <c r="B885" s="18" t="s">
        <v>73</v>
      </c>
      <c r="C885" s="19" t="n">
        <v>0.330555555555556</v>
      </c>
      <c r="D885" s="19" t="n">
        <v>0.333333333333333</v>
      </c>
      <c r="E885" s="19" t="n">
        <v>0.75</v>
      </c>
      <c r="F885" s="19" t="n">
        <v>0.75</v>
      </c>
      <c r="G885" s="20"/>
      <c r="H885" s="20"/>
      <c r="I885" s="8" t="str">
        <f aca="false">IF(IF(OR(C885="",D885="Congé",D885="OFF",D885="Congé spécial"),"",IF(D885&gt;F885,D885-C885,IF(C885-D885&lt;0,0,C885-D885)))&lt;0.00068287037037037,"",IF(OR(D885="Congé",D885="OFF",C885="",D885="Congé spécial"),"",IF(D885&gt;F885,D885-C885,IF(C885-D885&lt;0,0,C885-D885))))</f>
        <v/>
      </c>
      <c r="J885" s="20"/>
      <c r="K885" s="8" t="n">
        <f aca="false">IF(SUM(H885:J885)&lt;0.00068287037037037,0,SUM(H885:J885))</f>
        <v>0</v>
      </c>
      <c r="L885" s="8" t="n">
        <f aca="false">IF(OR(F885="Congé",F885="OFF",M885="Abs",F885="Congé sans solde",F885="Férié",F885="Congé spécial",D885="Congé spécial"),0,IF(F885-E885&lt;0,0,IF(F885-E885&lt;=0.00068287037037037,0,F885-E885)))</f>
        <v>0</v>
      </c>
      <c r="M885" s="6" t="n">
        <f aca="false">IF(AND(O885&lt;&gt;0,C885=""),"Abs",0)</f>
        <v>0</v>
      </c>
      <c r="N885" s="8" t="n">
        <f aca="false">IFERROR(IF(OR(D885="OFF",D885="Congé",M885="Abs",D885="Congé sans solde",D885="Férié"),"",IF(O885-K885-L885&gt;O885,O885,IF(O885-K885-L885&lt;0,"",O885-K885-L885))),"")</f>
        <v>0.375</v>
      </c>
      <c r="O885" s="8" t="n">
        <f aca="false">IF(AG885="2H Pause déjeuner",IF(F885-D885-0.0833333333333333&lt;0,F885-D885-0.0833333333333333+1,F885-D885-0.0833333333333333),IF(OR(AND(F885="OFF",D885="OFF"),AND(F885="Congé",D885="Congé"),AND(F885="Congé sans solde",D885="Congé sans solde"),AND(F885="Congé spécial",D885="Congé spécial"),AND(F885="Férié",D885="Férié"),AND(F885="OFF",D885="Congé"),AND(F885="OFF",D885="Congé sans solde"),AND(F885="OFF",D885="Congé spécial"),AND(F885="OFF",D885="Férié"),AND(F885="Congé",D885="OFF"),AND(F885="Congé",D885="Congé sans solde"),AND(F885="Congé",D885="Congé spécial"),AND(F885="Congé",D885="Férié"),AND(F885="Congé sans solde",D885="OFF"),AND(F885="Congé sans solde",D885="Congé"),AND(F885="Congé sans solde",D885="Congé spécial"),AND(F885="Congé sans solde",D885="Férié"),AND(F885="Congé spécial",D885="OFF"),AND(F885="Congé spécial",D885="Congé"),AND(F885="Congé spécial",D885="Congé sans solde"),AND(F885="Congé spécial",D885="Férié"),AND(F885="Férié",D885="OFF"),AND(F885="Férié",D885="Congé"),AND(F885="Férié",D885="Congé sans solde"),AND(F885="Férié",D885="Congé spécial")),0,IF(OR(F885="OFF",F885="Congé",F885="Congé spécial",F885="Congé sans solde",D885="OFF",D885="Congé",D885="Congé spécial",D885="Congé sans solde"),0.208333333333334,IF(AND(AG885="",F885-D885&lt;0),("24:00:00"-D885)+("00:00:00"+F885)-0.0416666666666667,IF(AND(OR(AG885="Allaitement",AG885="Sans déjeuner"),F885-D885&lt;0),("24:00:00"-D885)+("00:00:00"+F885),IF(AND(AG885="",F885-D885&gt;0.166666666666667),F885-D885-0.0416666666666667,IF(AND(OR(AG885="Allaitement",AG885="Sans déjeuner"),F885-D885&gt;0.166666666666667),F885-D885,F885-D885)))))))</f>
        <v>0.375</v>
      </c>
      <c r="P885" s="6" t="str">
        <f aca="false">IFERROR(VLOOKUP($B885,Agents!$A:$D,2,0),"-")</f>
        <v>Accessibilité</v>
      </c>
      <c r="Q885" s="21" t="n">
        <v>46225</v>
      </c>
      <c r="R885" s="8" t="n">
        <f aca="false">IF(M885="Abs",O885,0)</f>
        <v>0</v>
      </c>
      <c r="S885" s="8" t="n">
        <f aca="false">SUM(R885,L885,I885,J885,W885,H885)</f>
        <v>0</v>
      </c>
      <c r="T885" s="6" t="str">
        <f aca="false">"Sem - "&amp;WEEKNUM(Q885,21)</f>
        <v>Sem - 30</v>
      </c>
      <c r="U885" s="6" t="str">
        <f aca="false">CHOOSE(MONTH(Q885),"Janvier","Février","Mars","Avril","Mai","Juin","Juillet","Août","Septembre","Octobre","Novembre","Décembre")</f>
        <v>Juillet</v>
      </c>
      <c r="V885" s="22" t="n">
        <f aca="false">YEAR(Q885)</f>
        <v>2026</v>
      </c>
      <c r="W885" s="20"/>
      <c r="X885" s="8" t="n">
        <f aca="false">IFERROR(IF(M885="Abs",0,IF(ROUND((D885-C885+E885-F885)*1440,0)&lt;=1,0,D885-C885+E885-F885)),0)</f>
        <v>0.00277777777777778</v>
      </c>
      <c r="Y885" s="6" t="str">
        <f aca="false">IFERROR(VLOOKUP($B885,Agents!$A:$D,3,0),"-")</f>
        <v>OUBRAHIM Mohammed</v>
      </c>
      <c r="Z885" s="6" t="str">
        <f aca="false">IFERROR(VLOOKUP($B885,Agents!$A:$D,4,0),"-")</f>
        <v>Credit Mutuel</v>
      </c>
      <c r="AA885" s="18" t="s">
        <v>112</v>
      </c>
      <c r="AB885" s="8" t="str">
        <f aca="false">IF(AND(D885="Congé",F885="Congé"),0.333333333333333,IF(OR(AND(D885="Congé",F885&lt;&gt;"Congé"),(AND(F885="Congé",D885&lt;&gt;"Congé"))),0.166666666666667,""))</f>
        <v/>
      </c>
      <c r="AC885" s="8" t="str">
        <f aca="false">IF(AND(D885="Congé sans solde",F885="Congé sans solde"),0.333333333333333,IF(OR(AND(D885="Congé sans solde",F885&lt;&gt;"Congé sans solde"),(AND(F885="Congé sans solde",D885&lt;&gt;"Congé sans solde"))),0.166666666666667,""))</f>
        <v/>
      </c>
      <c r="AD885" s="8" t="str">
        <f aca="false">IF(AND(D885="Congé spécial",F885="Congé spécial"),0.333333333333333,IF(OR(AND(D885="Congé spécial",F885&lt;&gt;"Congé spécial"),AND(F885="Congé spécial",D885&lt;&gt;"Congé spécial")),0.166666666666667,""))</f>
        <v/>
      </c>
      <c r="AE885" s="8" t="str">
        <f aca="false">IF(AND(D885="Férié",F885="Férié"),0.333333333333333,IF(OR(AND(D885="Férié",F885&lt;&gt;"Férié"),(AND(F885="Férié",D885&lt;&gt;"Férié"))),0.166666666666667,""))</f>
        <v/>
      </c>
      <c r="AF885" s="18"/>
      <c r="AG885" s="18"/>
    </row>
    <row r="886" customFormat="false" ht="15" hidden="false" customHeight="false" outlineLevel="0" collapsed="false">
      <c r="A886" s="6" t="str">
        <f aca="false">YEAR(Q886-WEEKDAY(Q886,2)+4)&amp;"-S"&amp;TEXT(WEEKNUM(Q886,21),"00")</f>
        <v>2026-S30</v>
      </c>
      <c r="B886" s="18" t="s">
        <v>71</v>
      </c>
      <c r="C886" s="19" t="n">
        <v>0.331944444444444</v>
      </c>
      <c r="D886" s="19" t="n">
        <v>0.333333333333333</v>
      </c>
      <c r="E886" s="19" t="n">
        <v>0.75</v>
      </c>
      <c r="F886" s="19" t="n">
        <v>0.75</v>
      </c>
      <c r="G886" s="20"/>
      <c r="H886" s="20"/>
      <c r="I886" s="8" t="str">
        <f aca="false">IF(IF(OR(C886="",D886="Congé",D886="OFF",D886="Congé spécial"),"",IF(D886&gt;F886,D886-C886,IF(C886-D886&lt;0,0,C886-D886)))&lt;0.00068287037037037,"",IF(OR(D886="Congé",D886="OFF",C886="",D886="Congé spécial"),"",IF(D886&gt;F886,D886-C886,IF(C886-D886&lt;0,0,C886-D886))))</f>
        <v/>
      </c>
      <c r="J886" s="20"/>
      <c r="K886" s="8" t="n">
        <f aca="false">IF(SUM(H886:J886)&lt;0.00068287037037037,0,SUM(H886:J886))</f>
        <v>0</v>
      </c>
      <c r="L886" s="8" t="n">
        <f aca="false">IF(OR(F886="Congé",F886="OFF",M886="Abs",F886="Congé sans solde",F886="Férié",F886="Congé spécial",D886="Congé spécial"),0,IF(F886-E886&lt;0,0,IF(F886-E886&lt;=0.00068287037037037,0,F886-E886)))</f>
        <v>0</v>
      </c>
      <c r="M886" s="6" t="n">
        <f aca="false">IF(AND(O886&lt;&gt;0,C886=""),"Abs",0)</f>
        <v>0</v>
      </c>
      <c r="N886" s="8" t="n">
        <f aca="false">IFERROR(IF(OR(D886="OFF",D886="Congé",M886="Abs",D886="Congé sans solde",D886="Férié"),"",IF(O886-K886-L886&gt;O886,O886,IF(O886-K886-L886&lt;0,"",O886-K886-L886))),"")</f>
        <v>0.375</v>
      </c>
      <c r="O886" s="8" t="n">
        <f aca="false">IF(AG886="2H Pause déjeuner",IF(F886-D886-0.0833333333333333&lt;0,F886-D886-0.0833333333333333+1,F886-D886-0.0833333333333333),IF(OR(AND(F886="OFF",D886="OFF"),AND(F886="Congé",D886="Congé"),AND(F886="Congé sans solde",D886="Congé sans solde"),AND(F886="Congé spécial",D886="Congé spécial"),AND(F886="Férié",D886="Férié"),AND(F886="OFF",D886="Congé"),AND(F886="OFF",D886="Congé sans solde"),AND(F886="OFF",D886="Congé spécial"),AND(F886="OFF",D886="Férié"),AND(F886="Congé",D886="OFF"),AND(F886="Congé",D886="Congé sans solde"),AND(F886="Congé",D886="Congé spécial"),AND(F886="Congé",D886="Férié"),AND(F886="Congé sans solde",D886="OFF"),AND(F886="Congé sans solde",D886="Congé"),AND(F886="Congé sans solde",D886="Congé spécial"),AND(F886="Congé sans solde",D886="Férié"),AND(F886="Congé spécial",D886="OFF"),AND(F886="Congé spécial",D886="Congé"),AND(F886="Congé spécial",D886="Congé sans solde"),AND(F886="Congé spécial",D886="Férié"),AND(F886="Férié",D886="OFF"),AND(F886="Férié",D886="Congé"),AND(F886="Férié",D886="Congé sans solde"),AND(F886="Férié",D886="Congé spécial")),0,IF(OR(F886="OFF",F886="Congé",F886="Congé spécial",F886="Congé sans solde",D886="OFF",D886="Congé",D886="Congé spécial",D886="Congé sans solde"),0.208333333333334,IF(AND(AG886="",F886-D886&lt;0),("24:00:00"-D886)+("00:00:00"+F886)-0.0416666666666667,IF(AND(OR(AG886="Allaitement",AG886="Sans déjeuner"),F886-D886&lt;0),("24:00:00"-D886)+("00:00:00"+F886),IF(AND(AG886="",F886-D886&gt;0.166666666666667),F886-D886-0.0416666666666667,IF(AND(OR(AG886="Allaitement",AG886="Sans déjeuner"),F886-D886&gt;0.166666666666667),F886-D886,F886-D886)))))))</f>
        <v>0.375</v>
      </c>
      <c r="P886" s="6" t="str">
        <f aca="false">IFERROR(VLOOKUP($B886,Agents!$A:$D,2,0),"-")</f>
        <v>Accessibilité</v>
      </c>
      <c r="Q886" s="21" t="n">
        <v>46226</v>
      </c>
      <c r="R886" s="8" t="n">
        <f aca="false">IF(M886="Abs",O886,0)</f>
        <v>0</v>
      </c>
      <c r="S886" s="8" t="n">
        <f aca="false">SUM(R886,L886,I886,J886,W886,H886)</f>
        <v>0</v>
      </c>
      <c r="T886" s="6" t="str">
        <f aca="false">"Sem - "&amp;WEEKNUM(Q886,21)</f>
        <v>Sem - 30</v>
      </c>
      <c r="U886" s="6" t="str">
        <f aca="false">CHOOSE(MONTH(Q886),"Janvier","Février","Mars","Avril","Mai","Juin","Juillet","Août","Septembre","Octobre","Novembre","Décembre")</f>
        <v>Juillet</v>
      </c>
      <c r="V886" s="22" t="n">
        <f aca="false">YEAR(Q886)</f>
        <v>2026</v>
      </c>
      <c r="W886" s="20"/>
      <c r="X886" s="8" t="n">
        <f aca="false">IFERROR(IF(M886="Abs",0,IF(ROUND((D886-C886+E886-F886)*1440,0)&lt;=1,0,D886-C886+E886-F886)),0)</f>
        <v>0.00138888888888889</v>
      </c>
      <c r="Y886" s="6" t="str">
        <f aca="false">IFERROR(VLOOKUP($B886,Agents!$A:$D,3,0),"-")</f>
        <v>OUBRAHIM Mohammed</v>
      </c>
      <c r="Z886" s="6" t="str">
        <f aca="false">IFERROR(VLOOKUP($B886,Agents!$A:$D,4,0),"-")</f>
        <v>Credit Mutuel</v>
      </c>
      <c r="AA886" s="18" t="s">
        <v>112</v>
      </c>
      <c r="AB886" s="8" t="str">
        <f aca="false">IF(AND(D886="Congé",F886="Congé"),0.333333333333333,IF(OR(AND(D886="Congé",F886&lt;&gt;"Congé"),(AND(F886="Congé",D886&lt;&gt;"Congé"))),0.166666666666667,""))</f>
        <v/>
      </c>
      <c r="AC886" s="8" t="str">
        <f aca="false">IF(AND(D886="Congé sans solde",F886="Congé sans solde"),0.333333333333333,IF(OR(AND(D886="Congé sans solde",F886&lt;&gt;"Congé sans solde"),(AND(F886="Congé sans solde",D886&lt;&gt;"Congé sans solde"))),0.166666666666667,""))</f>
        <v/>
      </c>
      <c r="AD886" s="8" t="str">
        <f aca="false">IF(AND(D886="Congé spécial",F886="Congé spécial"),0.333333333333333,IF(OR(AND(D886="Congé spécial",F886&lt;&gt;"Congé spécial"),AND(F886="Congé spécial",D886&lt;&gt;"Congé spécial")),0.166666666666667,""))</f>
        <v/>
      </c>
      <c r="AE886" s="8" t="str">
        <f aca="false">IF(AND(D886="Férié",F886="Férié"),0.333333333333333,IF(OR(AND(D886="Férié",F886&lt;&gt;"Férié"),(AND(F886="Férié",D886&lt;&gt;"Férié"))),0.166666666666667,""))</f>
        <v/>
      </c>
      <c r="AF886" s="18"/>
      <c r="AG886" s="18"/>
    </row>
    <row r="887" customFormat="false" ht="15" hidden="false" customHeight="false" outlineLevel="0" collapsed="false">
      <c r="A887" s="6" t="str">
        <f aca="false">YEAR(Q887-WEEKDAY(Q887,2)+4)&amp;"-S"&amp;TEXT(WEEKNUM(Q887,21),"00")</f>
        <v>2026-S30</v>
      </c>
      <c r="B887" s="18" t="s">
        <v>72</v>
      </c>
      <c r="C887" s="19" t="n">
        <v>0.331944444444444</v>
      </c>
      <c r="D887" s="19" t="n">
        <v>0.333333333333333</v>
      </c>
      <c r="E887" s="19" t="n">
        <v>0.75</v>
      </c>
      <c r="F887" s="19" t="n">
        <v>0.75</v>
      </c>
      <c r="G887" s="20"/>
      <c r="H887" s="20"/>
      <c r="I887" s="8" t="str">
        <f aca="false">IF(IF(OR(C887="",D887="Congé",D887="OFF",D887="Congé spécial"),"",IF(D887&gt;F887,D887-C887,IF(C887-D887&lt;0,0,C887-D887)))&lt;0.00068287037037037,"",IF(OR(D887="Congé",D887="OFF",C887="",D887="Congé spécial"),"",IF(D887&gt;F887,D887-C887,IF(C887-D887&lt;0,0,C887-D887))))</f>
        <v/>
      </c>
      <c r="J887" s="20"/>
      <c r="K887" s="8" t="n">
        <f aca="false">IF(SUM(H887:J887)&lt;0.00068287037037037,0,SUM(H887:J887))</f>
        <v>0</v>
      </c>
      <c r="L887" s="8" t="n">
        <f aca="false">IF(OR(F887="Congé",F887="OFF",M887="Abs",F887="Congé sans solde",F887="Férié",F887="Congé spécial",D887="Congé spécial"),0,IF(F887-E887&lt;0,0,IF(F887-E887&lt;=0.00068287037037037,0,F887-E887)))</f>
        <v>0</v>
      </c>
      <c r="M887" s="6" t="n">
        <f aca="false">IF(AND(O887&lt;&gt;0,C887=""),"Abs",0)</f>
        <v>0</v>
      </c>
      <c r="N887" s="8" t="n">
        <f aca="false">IFERROR(IF(OR(D887="OFF",D887="Congé",M887="Abs",D887="Congé sans solde",D887="Férié"),"",IF(O887-K887-L887&gt;O887,O887,IF(O887-K887-L887&lt;0,"",O887-K887-L887))),"")</f>
        <v>0.375</v>
      </c>
      <c r="O887" s="8" t="n">
        <f aca="false">IF(AG887="2H Pause déjeuner",IF(F887-D887-0.0833333333333333&lt;0,F887-D887-0.0833333333333333+1,F887-D887-0.0833333333333333),IF(OR(AND(F887="OFF",D887="OFF"),AND(F887="Congé",D887="Congé"),AND(F887="Congé sans solde",D887="Congé sans solde"),AND(F887="Congé spécial",D887="Congé spécial"),AND(F887="Férié",D887="Férié"),AND(F887="OFF",D887="Congé"),AND(F887="OFF",D887="Congé sans solde"),AND(F887="OFF",D887="Congé spécial"),AND(F887="OFF",D887="Férié"),AND(F887="Congé",D887="OFF"),AND(F887="Congé",D887="Congé sans solde"),AND(F887="Congé",D887="Congé spécial"),AND(F887="Congé",D887="Férié"),AND(F887="Congé sans solde",D887="OFF"),AND(F887="Congé sans solde",D887="Congé"),AND(F887="Congé sans solde",D887="Congé spécial"),AND(F887="Congé sans solde",D887="Férié"),AND(F887="Congé spécial",D887="OFF"),AND(F887="Congé spécial",D887="Congé"),AND(F887="Congé spécial",D887="Congé sans solde"),AND(F887="Congé spécial",D887="Férié"),AND(F887="Férié",D887="OFF"),AND(F887="Férié",D887="Congé"),AND(F887="Férié",D887="Congé sans solde"),AND(F887="Férié",D887="Congé spécial")),0,IF(OR(F887="OFF",F887="Congé",F887="Congé spécial",F887="Congé sans solde",D887="OFF",D887="Congé",D887="Congé spécial",D887="Congé sans solde"),0.208333333333334,IF(AND(AG887="",F887-D887&lt;0),("24:00:00"-D887)+("00:00:00"+F887)-0.0416666666666667,IF(AND(OR(AG887="Allaitement",AG887="Sans déjeuner"),F887-D887&lt;0),("24:00:00"-D887)+("00:00:00"+F887),IF(AND(AG887="",F887-D887&gt;0.166666666666667),F887-D887-0.0416666666666667,IF(AND(OR(AG887="Allaitement",AG887="Sans déjeuner"),F887-D887&gt;0.166666666666667),F887-D887,F887-D887)))))))</f>
        <v>0.375</v>
      </c>
      <c r="P887" s="6" t="str">
        <f aca="false">IFERROR(VLOOKUP($B887,Agents!$A:$D,2,0),"-")</f>
        <v>Accessibilité</v>
      </c>
      <c r="Q887" s="21" t="n">
        <v>46226</v>
      </c>
      <c r="R887" s="8" t="n">
        <f aca="false">IF(M887="Abs",O887,0)</f>
        <v>0</v>
      </c>
      <c r="S887" s="8" t="n">
        <f aca="false">SUM(R887,L887,I887,J887,W887,H887)</f>
        <v>0</v>
      </c>
      <c r="T887" s="6" t="str">
        <f aca="false">"Sem - "&amp;WEEKNUM(Q887,21)</f>
        <v>Sem - 30</v>
      </c>
      <c r="U887" s="6" t="str">
        <f aca="false">CHOOSE(MONTH(Q887),"Janvier","Février","Mars","Avril","Mai","Juin","Juillet","Août","Septembre","Octobre","Novembre","Décembre")</f>
        <v>Juillet</v>
      </c>
      <c r="V887" s="22" t="n">
        <f aca="false">YEAR(Q887)</f>
        <v>2026</v>
      </c>
      <c r="W887" s="20"/>
      <c r="X887" s="8" t="n">
        <f aca="false">IFERROR(IF(M887="Abs",0,IF(ROUND((D887-C887+E887-F887)*1440,0)&lt;=1,0,D887-C887+E887-F887)),0)</f>
        <v>0.00138888888888889</v>
      </c>
      <c r="Y887" s="6" t="str">
        <f aca="false">IFERROR(VLOOKUP($B887,Agents!$A:$D,3,0),"-")</f>
        <v>OUBRAHIM Mohammed</v>
      </c>
      <c r="Z887" s="6" t="str">
        <f aca="false">IFERROR(VLOOKUP($B887,Agents!$A:$D,4,0),"-")</f>
        <v>Credit Mutuel</v>
      </c>
      <c r="AA887" s="18" t="s">
        <v>112</v>
      </c>
      <c r="AB887" s="8" t="str">
        <f aca="false">IF(AND(D887="Congé",F887="Congé"),0.333333333333333,IF(OR(AND(D887="Congé",F887&lt;&gt;"Congé"),(AND(F887="Congé",D887&lt;&gt;"Congé"))),0.166666666666667,""))</f>
        <v/>
      </c>
      <c r="AC887" s="8" t="str">
        <f aca="false">IF(AND(D887="Congé sans solde",F887="Congé sans solde"),0.333333333333333,IF(OR(AND(D887="Congé sans solde",F887&lt;&gt;"Congé sans solde"),(AND(F887="Congé sans solde",D887&lt;&gt;"Congé sans solde"))),0.166666666666667,""))</f>
        <v/>
      </c>
      <c r="AD887" s="8" t="str">
        <f aca="false">IF(AND(D887="Congé spécial",F887="Congé spécial"),0.333333333333333,IF(OR(AND(D887="Congé spécial",F887&lt;&gt;"Congé spécial"),AND(F887="Congé spécial",D887&lt;&gt;"Congé spécial")),0.166666666666667,""))</f>
        <v/>
      </c>
      <c r="AE887" s="8" t="str">
        <f aca="false">IF(AND(D887="Férié",F887="Férié"),0.333333333333333,IF(OR(AND(D887="Férié",F887&lt;&gt;"Férié"),(AND(F887="Férié",D887&lt;&gt;"Férié"))),0.166666666666667,""))</f>
        <v/>
      </c>
      <c r="AF887" s="18"/>
      <c r="AG887" s="18"/>
    </row>
    <row r="888" customFormat="false" ht="15" hidden="false" customHeight="false" outlineLevel="0" collapsed="false">
      <c r="A888" s="6" t="str">
        <f aca="false">YEAR(Q888-WEEKDAY(Q888,2)+4)&amp;"-S"&amp;TEXT(WEEKNUM(Q888,21),"00")</f>
        <v>2026-S30</v>
      </c>
      <c r="B888" s="18" t="s">
        <v>73</v>
      </c>
      <c r="C888" s="19" t="n">
        <v>0.333333333333333</v>
      </c>
      <c r="D888" s="19" t="n">
        <v>0.333333333333333</v>
      </c>
      <c r="E888" s="19" t="n">
        <v>0.75</v>
      </c>
      <c r="F888" s="19" t="n">
        <v>0.75</v>
      </c>
      <c r="G888" s="20"/>
      <c r="H888" s="20"/>
      <c r="I888" s="8" t="str">
        <f aca="false">IF(IF(OR(C888="",D888="Congé",D888="OFF",D888="Congé spécial"),"",IF(D888&gt;F888,D888-C888,IF(C888-D888&lt;0,0,C888-D888)))&lt;0.00068287037037037,"",IF(OR(D888="Congé",D888="OFF",C888="",D888="Congé spécial"),"",IF(D888&gt;F888,D888-C888,IF(C888-D888&lt;0,0,C888-D888))))</f>
        <v/>
      </c>
      <c r="J888" s="20"/>
      <c r="K888" s="8" t="n">
        <f aca="false">IF(SUM(H888:J888)&lt;0.00068287037037037,0,SUM(H888:J888))</f>
        <v>0</v>
      </c>
      <c r="L888" s="8" t="n">
        <f aca="false">IF(OR(F888="Congé",F888="OFF",M888="Abs",F888="Congé sans solde",F888="Férié",F888="Congé spécial",D888="Congé spécial"),0,IF(F888-E888&lt;0,0,IF(F888-E888&lt;=0.00068287037037037,0,F888-E888)))</f>
        <v>0</v>
      </c>
      <c r="M888" s="6" t="n">
        <f aca="false">IF(AND(O888&lt;&gt;0,C888=""),"Abs",0)</f>
        <v>0</v>
      </c>
      <c r="N888" s="8" t="n">
        <f aca="false">IFERROR(IF(OR(D888="OFF",D888="Congé",M888="Abs",D888="Congé sans solde",D888="Férié"),"",IF(O888-K888-L888&gt;O888,O888,IF(O888-K888-L888&lt;0,"",O888-K888-L888))),"")</f>
        <v>0.375</v>
      </c>
      <c r="O888" s="8" t="n">
        <f aca="false">IF(AG888="2H Pause déjeuner",IF(F888-D888-0.0833333333333333&lt;0,F888-D888-0.0833333333333333+1,F888-D888-0.0833333333333333),IF(OR(AND(F888="OFF",D888="OFF"),AND(F888="Congé",D888="Congé"),AND(F888="Congé sans solde",D888="Congé sans solde"),AND(F888="Congé spécial",D888="Congé spécial"),AND(F888="Férié",D888="Férié"),AND(F888="OFF",D888="Congé"),AND(F888="OFF",D888="Congé sans solde"),AND(F888="OFF",D888="Congé spécial"),AND(F888="OFF",D888="Férié"),AND(F888="Congé",D888="OFF"),AND(F888="Congé",D888="Congé sans solde"),AND(F888="Congé",D888="Congé spécial"),AND(F888="Congé",D888="Férié"),AND(F888="Congé sans solde",D888="OFF"),AND(F888="Congé sans solde",D888="Congé"),AND(F888="Congé sans solde",D888="Congé spécial"),AND(F888="Congé sans solde",D888="Férié"),AND(F888="Congé spécial",D888="OFF"),AND(F888="Congé spécial",D888="Congé"),AND(F888="Congé spécial",D888="Congé sans solde"),AND(F888="Congé spécial",D888="Férié"),AND(F888="Férié",D888="OFF"),AND(F888="Férié",D888="Congé"),AND(F888="Férié",D888="Congé sans solde"),AND(F888="Férié",D888="Congé spécial")),0,IF(OR(F888="OFF",F888="Congé",F888="Congé spécial",F888="Congé sans solde",D888="OFF",D888="Congé",D888="Congé spécial",D888="Congé sans solde"),0.208333333333334,IF(AND(AG888="",F888-D888&lt;0),("24:00:00"-D888)+("00:00:00"+F888)-0.0416666666666667,IF(AND(OR(AG888="Allaitement",AG888="Sans déjeuner"),F888-D888&lt;0),("24:00:00"-D888)+("00:00:00"+F888),IF(AND(AG888="",F888-D888&gt;0.166666666666667),F888-D888-0.0416666666666667,IF(AND(OR(AG888="Allaitement",AG888="Sans déjeuner"),F888-D888&gt;0.166666666666667),F888-D888,F888-D888)))))))</f>
        <v>0.375</v>
      </c>
      <c r="P888" s="6" t="str">
        <f aca="false">IFERROR(VLOOKUP($B888,Agents!$A:$D,2,0),"-")</f>
        <v>Accessibilité</v>
      </c>
      <c r="Q888" s="21" t="n">
        <v>46226</v>
      </c>
      <c r="R888" s="8" t="n">
        <f aca="false">IF(M888="Abs",O888,0)</f>
        <v>0</v>
      </c>
      <c r="S888" s="8" t="n">
        <f aca="false">SUM(R888,L888,I888,J888,W888,H888)</f>
        <v>0</v>
      </c>
      <c r="T888" s="6" t="str">
        <f aca="false">"Sem - "&amp;WEEKNUM(Q888,21)</f>
        <v>Sem - 30</v>
      </c>
      <c r="U888" s="6" t="str">
        <f aca="false">CHOOSE(MONTH(Q888),"Janvier","Février","Mars","Avril","Mai","Juin","Juillet","Août","Septembre","Octobre","Novembre","Décembre")</f>
        <v>Juillet</v>
      </c>
      <c r="V888" s="22" t="n">
        <f aca="false">YEAR(Q888)</f>
        <v>2026</v>
      </c>
      <c r="W888" s="20"/>
      <c r="X888" s="8" t="n">
        <f aca="false">IFERROR(IF(M888="Abs",0,IF(ROUND((D888-C888+E888-F888)*1440,0)&lt;=1,0,D888-C888+E888-F888)),0)</f>
        <v>0</v>
      </c>
      <c r="Y888" s="6" t="str">
        <f aca="false">IFERROR(VLOOKUP($B888,Agents!$A:$D,3,0),"-")</f>
        <v>OUBRAHIM Mohammed</v>
      </c>
      <c r="Z888" s="6" t="str">
        <f aca="false">IFERROR(VLOOKUP($B888,Agents!$A:$D,4,0),"-")</f>
        <v>Credit Mutuel</v>
      </c>
      <c r="AA888" s="18" t="s">
        <v>112</v>
      </c>
      <c r="AB888" s="8" t="str">
        <f aca="false">IF(AND(D888="Congé",F888="Congé"),0.333333333333333,IF(OR(AND(D888="Congé",F888&lt;&gt;"Congé"),(AND(F888="Congé",D888&lt;&gt;"Congé"))),0.166666666666667,""))</f>
        <v/>
      </c>
      <c r="AC888" s="8" t="str">
        <f aca="false">IF(AND(D888="Congé sans solde",F888="Congé sans solde"),0.333333333333333,IF(OR(AND(D888="Congé sans solde",F888&lt;&gt;"Congé sans solde"),(AND(F888="Congé sans solde",D888&lt;&gt;"Congé sans solde"))),0.166666666666667,""))</f>
        <v/>
      </c>
      <c r="AD888" s="8" t="str">
        <f aca="false">IF(AND(D888="Congé spécial",F888="Congé spécial"),0.333333333333333,IF(OR(AND(D888="Congé spécial",F888&lt;&gt;"Congé spécial"),AND(F888="Congé spécial",D888&lt;&gt;"Congé spécial")),0.166666666666667,""))</f>
        <v/>
      </c>
      <c r="AE888" s="8" t="str">
        <f aca="false">IF(AND(D888="Férié",F888="Férié"),0.333333333333333,IF(OR(AND(D888="Férié",F888&lt;&gt;"Férié"),(AND(F888="Férié",D888&lt;&gt;"Férié"))),0.166666666666667,""))</f>
        <v/>
      </c>
      <c r="AF888" s="18"/>
      <c r="AG888" s="18"/>
    </row>
    <row r="889" customFormat="false" ht="15" hidden="false" customHeight="false" outlineLevel="0" collapsed="false">
      <c r="A889" s="6" t="str">
        <f aca="false">YEAR(Q889-WEEKDAY(Q889,2)+4)&amp;"-S"&amp;TEXT(WEEKNUM(Q889,21),"00")</f>
        <v>2026-S30</v>
      </c>
      <c r="B889" s="18" t="s">
        <v>71</v>
      </c>
      <c r="C889" s="19" t="n">
        <v>0.333333333333333</v>
      </c>
      <c r="D889" s="19" t="n">
        <v>0.333333333333333</v>
      </c>
      <c r="E889" s="19" t="n">
        <v>0.708333333333333</v>
      </c>
      <c r="F889" s="19" t="n">
        <v>0.708333333333333</v>
      </c>
      <c r="G889" s="20"/>
      <c r="H889" s="20"/>
      <c r="I889" s="8" t="str">
        <f aca="false">IF(IF(OR(C889="",D889="Congé",D889="OFF",D889="Congé spécial"),"",IF(D889&gt;F889,D889-C889,IF(C889-D889&lt;0,0,C889-D889)))&lt;0.00068287037037037,"",IF(OR(D889="Congé",D889="OFF",C889="",D889="Congé spécial"),"",IF(D889&gt;F889,D889-C889,IF(C889-D889&lt;0,0,C889-D889))))</f>
        <v/>
      </c>
      <c r="J889" s="20"/>
      <c r="K889" s="8" t="n">
        <f aca="false">IF(SUM(H889:J889)&lt;0.00068287037037037,0,SUM(H889:J889))</f>
        <v>0</v>
      </c>
      <c r="L889" s="8" t="n">
        <f aca="false">IF(OR(F889="Congé",F889="OFF",M889="Abs",F889="Congé sans solde",F889="Férié",F889="Congé spécial",D889="Congé spécial"),0,IF(F889-E889&lt;0,0,IF(F889-E889&lt;=0.00068287037037037,0,F889-E889)))</f>
        <v>0</v>
      </c>
      <c r="M889" s="6" t="n">
        <f aca="false">IF(AND(O889&lt;&gt;0,C889=""),"Abs",0)</f>
        <v>0</v>
      </c>
      <c r="N889" s="8" t="n">
        <f aca="false">IFERROR(IF(OR(D889="OFF",D889="Congé",M889="Abs",D889="Congé sans solde",D889="Férié"),"",IF(O889-K889-L889&gt;O889,O889,IF(O889-K889-L889&lt;0,"",O889-K889-L889))),"")</f>
        <v>0.333333333333333</v>
      </c>
      <c r="O889" s="8" t="n">
        <f aca="false">IF(AG889="2H Pause déjeuner",IF(F889-D889-0.0833333333333333&lt;0,F889-D889-0.0833333333333333+1,F889-D889-0.0833333333333333),IF(OR(AND(F889="OFF",D889="OFF"),AND(F889="Congé",D889="Congé"),AND(F889="Congé sans solde",D889="Congé sans solde"),AND(F889="Congé spécial",D889="Congé spécial"),AND(F889="Férié",D889="Férié"),AND(F889="OFF",D889="Congé"),AND(F889="OFF",D889="Congé sans solde"),AND(F889="OFF",D889="Congé spécial"),AND(F889="OFF",D889="Férié"),AND(F889="Congé",D889="OFF"),AND(F889="Congé",D889="Congé sans solde"),AND(F889="Congé",D889="Congé spécial"),AND(F889="Congé",D889="Férié"),AND(F889="Congé sans solde",D889="OFF"),AND(F889="Congé sans solde",D889="Congé"),AND(F889="Congé sans solde",D889="Congé spécial"),AND(F889="Congé sans solde",D889="Férié"),AND(F889="Congé spécial",D889="OFF"),AND(F889="Congé spécial",D889="Congé"),AND(F889="Congé spécial",D889="Congé sans solde"),AND(F889="Congé spécial",D889="Férié"),AND(F889="Férié",D889="OFF"),AND(F889="Férié",D889="Congé"),AND(F889="Férié",D889="Congé sans solde"),AND(F889="Férié",D889="Congé spécial")),0,IF(OR(F889="OFF",F889="Congé",F889="Congé spécial",F889="Congé sans solde",D889="OFF",D889="Congé",D889="Congé spécial",D889="Congé sans solde"),0.208333333333334,IF(AND(AG889="",F889-D889&lt;0),("24:00:00"-D889)+("00:00:00"+F889)-0.0416666666666667,IF(AND(OR(AG889="Allaitement",AG889="Sans déjeuner"),F889-D889&lt;0),("24:00:00"-D889)+("00:00:00"+F889),IF(AND(AG889="",F889-D889&gt;0.166666666666667),F889-D889-0.0416666666666667,IF(AND(OR(AG889="Allaitement",AG889="Sans déjeuner"),F889-D889&gt;0.166666666666667),F889-D889,F889-D889)))))))</f>
        <v>0.333333333333333</v>
      </c>
      <c r="P889" s="6" t="str">
        <f aca="false">IFERROR(VLOOKUP($B889,Agents!$A:$D,2,0),"-")</f>
        <v>Accessibilité</v>
      </c>
      <c r="Q889" s="21" t="n">
        <v>46227</v>
      </c>
      <c r="R889" s="8" t="n">
        <f aca="false">IF(M889="Abs",O889,0)</f>
        <v>0</v>
      </c>
      <c r="S889" s="8" t="n">
        <f aca="false">SUM(R889,L889,I889,J889,W889,H889)</f>
        <v>0</v>
      </c>
      <c r="T889" s="6" t="str">
        <f aca="false">"Sem - "&amp;WEEKNUM(Q889,21)</f>
        <v>Sem - 30</v>
      </c>
      <c r="U889" s="6" t="str">
        <f aca="false">CHOOSE(MONTH(Q889),"Janvier","Février","Mars","Avril","Mai","Juin","Juillet","Août","Septembre","Octobre","Novembre","Décembre")</f>
        <v>Juillet</v>
      </c>
      <c r="V889" s="22" t="n">
        <f aca="false">YEAR(Q889)</f>
        <v>2026</v>
      </c>
      <c r="W889" s="20"/>
      <c r="X889" s="8" t="n">
        <f aca="false">IFERROR(IF(M889="Abs",0,IF(ROUND((D889-C889+E889-F889)*1440,0)&lt;=1,0,D889-C889+E889-F889)),0)</f>
        <v>0</v>
      </c>
      <c r="Y889" s="6" t="str">
        <f aca="false">IFERROR(VLOOKUP($B889,Agents!$A:$D,3,0),"-")</f>
        <v>OUBRAHIM Mohammed</v>
      </c>
      <c r="Z889" s="6" t="str">
        <f aca="false">IFERROR(VLOOKUP($B889,Agents!$A:$D,4,0),"-")</f>
        <v>Credit Mutuel</v>
      </c>
      <c r="AA889" s="18" t="s">
        <v>112</v>
      </c>
      <c r="AB889" s="8" t="str">
        <f aca="false">IF(AND(D889="Congé",F889="Congé"),0.333333333333333,IF(OR(AND(D889="Congé",F889&lt;&gt;"Congé"),(AND(F889="Congé",D889&lt;&gt;"Congé"))),0.166666666666667,""))</f>
        <v/>
      </c>
      <c r="AC889" s="8" t="str">
        <f aca="false">IF(AND(D889="Congé sans solde",F889="Congé sans solde"),0.333333333333333,IF(OR(AND(D889="Congé sans solde",F889&lt;&gt;"Congé sans solde"),(AND(F889="Congé sans solde",D889&lt;&gt;"Congé sans solde"))),0.166666666666667,""))</f>
        <v/>
      </c>
      <c r="AD889" s="8" t="str">
        <f aca="false">IF(AND(D889="Congé spécial",F889="Congé spécial"),0.333333333333333,IF(OR(AND(D889="Congé spécial",F889&lt;&gt;"Congé spécial"),AND(F889="Congé spécial",D889&lt;&gt;"Congé spécial")),0.166666666666667,""))</f>
        <v/>
      </c>
      <c r="AE889" s="8" t="str">
        <f aca="false">IF(AND(D889="Férié",F889="Férié"),0.333333333333333,IF(OR(AND(D889="Férié",F889&lt;&gt;"Férié"),(AND(F889="Férié",D889&lt;&gt;"Férié"))),0.166666666666667,""))</f>
        <v/>
      </c>
      <c r="AF889" s="18"/>
      <c r="AG889" s="18"/>
    </row>
    <row r="890" customFormat="false" ht="15" hidden="false" customHeight="false" outlineLevel="0" collapsed="false">
      <c r="A890" s="6" t="str">
        <f aca="false">YEAR(Q890-WEEKDAY(Q890,2)+4)&amp;"-S"&amp;TEXT(WEEKNUM(Q890,21),"00")</f>
        <v>2026-S30</v>
      </c>
      <c r="B890" s="18" t="s">
        <v>72</v>
      </c>
      <c r="C890" s="19" t="n">
        <v>0.333333333333333</v>
      </c>
      <c r="D890" s="19" t="n">
        <v>0.333333333333333</v>
      </c>
      <c r="E890" s="19" t="n">
        <v>0.708333333333333</v>
      </c>
      <c r="F890" s="19" t="n">
        <v>0.708333333333333</v>
      </c>
      <c r="G890" s="20"/>
      <c r="H890" s="20"/>
      <c r="I890" s="8" t="str">
        <f aca="false">IF(IF(OR(C890="",D890="Congé",D890="OFF",D890="Congé spécial"),"",IF(D890&gt;F890,D890-C890,IF(C890-D890&lt;0,0,C890-D890)))&lt;0.00068287037037037,"",IF(OR(D890="Congé",D890="OFF",C890="",D890="Congé spécial"),"",IF(D890&gt;F890,D890-C890,IF(C890-D890&lt;0,0,C890-D890))))</f>
        <v/>
      </c>
      <c r="J890" s="20"/>
      <c r="K890" s="8" t="n">
        <f aca="false">IF(SUM(H890:J890)&lt;0.00068287037037037,0,SUM(H890:J890))</f>
        <v>0</v>
      </c>
      <c r="L890" s="8" t="n">
        <f aca="false">IF(OR(F890="Congé",F890="OFF",M890="Abs",F890="Congé sans solde",F890="Férié",F890="Congé spécial",D890="Congé spécial"),0,IF(F890-E890&lt;0,0,IF(F890-E890&lt;=0.00068287037037037,0,F890-E890)))</f>
        <v>0</v>
      </c>
      <c r="M890" s="6" t="n">
        <f aca="false">IF(AND(O890&lt;&gt;0,C890=""),"Abs",0)</f>
        <v>0</v>
      </c>
      <c r="N890" s="8" t="n">
        <f aca="false">IFERROR(IF(OR(D890="OFF",D890="Congé",M890="Abs",D890="Congé sans solde",D890="Férié"),"",IF(O890-K890-L890&gt;O890,O890,IF(O890-K890-L890&lt;0,"",O890-K890-L890))),"")</f>
        <v>0.333333333333333</v>
      </c>
      <c r="O890" s="8" t="n">
        <f aca="false">IF(AG890="2H Pause déjeuner",IF(F890-D890-0.0833333333333333&lt;0,F890-D890-0.0833333333333333+1,F890-D890-0.0833333333333333),IF(OR(AND(F890="OFF",D890="OFF"),AND(F890="Congé",D890="Congé"),AND(F890="Congé sans solde",D890="Congé sans solde"),AND(F890="Congé spécial",D890="Congé spécial"),AND(F890="Férié",D890="Férié"),AND(F890="OFF",D890="Congé"),AND(F890="OFF",D890="Congé sans solde"),AND(F890="OFF",D890="Congé spécial"),AND(F890="OFF",D890="Férié"),AND(F890="Congé",D890="OFF"),AND(F890="Congé",D890="Congé sans solde"),AND(F890="Congé",D890="Congé spécial"),AND(F890="Congé",D890="Férié"),AND(F890="Congé sans solde",D890="OFF"),AND(F890="Congé sans solde",D890="Congé"),AND(F890="Congé sans solde",D890="Congé spécial"),AND(F890="Congé sans solde",D890="Férié"),AND(F890="Congé spécial",D890="OFF"),AND(F890="Congé spécial",D890="Congé"),AND(F890="Congé spécial",D890="Congé sans solde"),AND(F890="Congé spécial",D890="Férié"),AND(F890="Férié",D890="OFF"),AND(F890="Férié",D890="Congé"),AND(F890="Férié",D890="Congé sans solde"),AND(F890="Férié",D890="Congé spécial")),0,IF(OR(F890="OFF",F890="Congé",F890="Congé spécial",F890="Congé sans solde",D890="OFF",D890="Congé",D890="Congé spécial",D890="Congé sans solde"),0.208333333333334,IF(AND(AG890="",F890-D890&lt;0),("24:00:00"-D890)+("00:00:00"+F890)-0.0416666666666667,IF(AND(OR(AG890="Allaitement",AG890="Sans déjeuner"),F890-D890&lt;0),("24:00:00"-D890)+("00:00:00"+F890),IF(AND(AG890="",F890-D890&gt;0.166666666666667),F890-D890-0.0416666666666667,IF(AND(OR(AG890="Allaitement",AG890="Sans déjeuner"),F890-D890&gt;0.166666666666667),F890-D890,F890-D890)))))))</f>
        <v>0.333333333333333</v>
      </c>
      <c r="P890" s="6" t="str">
        <f aca="false">IFERROR(VLOOKUP($B890,Agents!$A:$D,2,0),"-")</f>
        <v>Accessibilité</v>
      </c>
      <c r="Q890" s="21" t="n">
        <v>46227</v>
      </c>
      <c r="R890" s="8" t="n">
        <f aca="false">IF(M890="Abs",O890,0)</f>
        <v>0</v>
      </c>
      <c r="S890" s="8" t="n">
        <f aca="false">SUM(R890,L890,I890,J890,W890,H890)</f>
        <v>0</v>
      </c>
      <c r="T890" s="6" t="str">
        <f aca="false">"Sem - "&amp;WEEKNUM(Q890,21)</f>
        <v>Sem - 30</v>
      </c>
      <c r="U890" s="6" t="str">
        <f aca="false">CHOOSE(MONTH(Q890),"Janvier","Février","Mars","Avril","Mai","Juin","Juillet","Août","Septembre","Octobre","Novembre","Décembre")</f>
        <v>Juillet</v>
      </c>
      <c r="V890" s="22" t="n">
        <f aca="false">YEAR(Q890)</f>
        <v>2026</v>
      </c>
      <c r="W890" s="20"/>
      <c r="X890" s="8" t="n">
        <f aca="false">IFERROR(IF(M890="Abs",0,IF(ROUND((D890-C890+E890-F890)*1440,0)&lt;=1,0,D890-C890+E890-F890)),0)</f>
        <v>0</v>
      </c>
      <c r="Y890" s="6" t="str">
        <f aca="false">IFERROR(VLOOKUP($B890,Agents!$A:$D,3,0),"-")</f>
        <v>OUBRAHIM Mohammed</v>
      </c>
      <c r="Z890" s="6" t="str">
        <f aca="false">IFERROR(VLOOKUP($B890,Agents!$A:$D,4,0),"-")</f>
        <v>Credit Mutuel</v>
      </c>
      <c r="AA890" s="18" t="s">
        <v>112</v>
      </c>
      <c r="AB890" s="8" t="str">
        <f aca="false">IF(AND(D890="Congé",F890="Congé"),0.333333333333333,IF(OR(AND(D890="Congé",F890&lt;&gt;"Congé"),(AND(F890="Congé",D890&lt;&gt;"Congé"))),0.166666666666667,""))</f>
        <v/>
      </c>
      <c r="AC890" s="8" t="str">
        <f aca="false">IF(AND(D890="Congé sans solde",F890="Congé sans solde"),0.333333333333333,IF(OR(AND(D890="Congé sans solde",F890&lt;&gt;"Congé sans solde"),(AND(F890="Congé sans solde",D890&lt;&gt;"Congé sans solde"))),0.166666666666667,""))</f>
        <v/>
      </c>
      <c r="AD890" s="8" t="str">
        <f aca="false">IF(AND(D890="Congé spécial",F890="Congé spécial"),0.333333333333333,IF(OR(AND(D890="Congé spécial",F890&lt;&gt;"Congé spécial"),AND(F890="Congé spécial",D890&lt;&gt;"Congé spécial")),0.166666666666667,""))</f>
        <v/>
      </c>
      <c r="AE890" s="8" t="str">
        <f aca="false">IF(AND(D890="Férié",F890="Férié"),0.333333333333333,IF(OR(AND(D890="Férié",F890&lt;&gt;"Férié"),(AND(F890="Férié",D890&lt;&gt;"Férié"))),0.166666666666667,""))</f>
        <v/>
      </c>
      <c r="AF890" s="18"/>
      <c r="AG890" s="18"/>
    </row>
    <row r="891" customFormat="false" ht="15" hidden="false" customHeight="false" outlineLevel="0" collapsed="false">
      <c r="A891" s="6" t="str">
        <f aca="false">YEAR(Q891-WEEKDAY(Q891,2)+4)&amp;"-S"&amp;TEXT(WEEKNUM(Q891,21),"00")</f>
        <v>2026-S30</v>
      </c>
      <c r="B891" s="18" t="s">
        <v>73</v>
      </c>
      <c r="C891" s="19"/>
      <c r="D891" s="19" t="s">
        <v>83</v>
      </c>
      <c r="E891" s="19"/>
      <c r="F891" s="19" t="s">
        <v>83</v>
      </c>
      <c r="G891" s="20"/>
      <c r="H891" s="20"/>
      <c r="I891" s="8" t="str">
        <f aca="false">IF(IF(OR(C891="",D891="Congé",D891="OFF",D891="Congé spécial"),"",IF(D891&gt;F891,D891-C891,IF(C891-D891&lt;0,0,C891-D891)))&lt;0.00068287037037037,"",IF(OR(D891="Congé",D891="OFF",C891="",D891="Congé spécial"),"",IF(D891&gt;F891,D891-C891,IF(C891-D891&lt;0,0,C891-D891))))</f>
        <v/>
      </c>
      <c r="J891" s="20"/>
      <c r="K891" s="8" t="n">
        <f aca="false">IF(SUM(H891:J891)&lt;0.00068287037037037,0,SUM(H891:J891))</f>
        <v>0</v>
      </c>
      <c r="L891" s="8" t="n">
        <f aca="false">IF(OR(F891="Congé",F891="OFF",M891="Abs",F891="Congé sans solde",F891="Férié",F891="Congé spécial",D891="Congé spécial"),0,IF(F891-E891&lt;0,0,IF(F891-E891&lt;=0.00068287037037037,0,F891-E891)))</f>
        <v>0</v>
      </c>
      <c r="M891" s="6" t="n">
        <f aca="false">IF(AND(O891&lt;&gt;0,C891=""),"Abs",0)</f>
        <v>0</v>
      </c>
      <c r="N891" s="8" t="str">
        <f aca="false">IFERROR(IF(OR(D891="OFF",D891="Congé",M891="Abs",D891="Congé sans solde",D891="Férié"),"",IF(O891-K891-L891&gt;O891,O891,IF(O891-K891-L891&lt;0,"",O891-K891-L891))),"")</f>
        <v/>
      </c>
      <c r="O891" s="8" t="n">
        <f aca="false">IF(AG891="2H Pause déjeuner",IF(F891-D891-0.0833333333333333&lt;0,F891-D891-0.0833333333333333+1,F891-D891-0.0833333333333333),IF(OR(AND(F891="OFF",D891="OFF"),AND(F891="Congé",D891="Congé"),AND(F891="Congé sans solde",D891="Congé sans solde"),AND(F891="Congé spécial",D891="Congé spécial"),AND(F891="Férié",D891="Férié"),AND(F891="OFF",D891="Congé"),AND(F891="OFF",D891="Congé sans solde"),AND(F891="OFF",D891="Congé spécial"),AND(F891="OFF",D891="Férié"),AND(F891="Congé",D891="OFF"),AND(F891="Congé",D891="Congé sans solde"),AND(F891="Congé",D891="Congé spécial"),AND(F891="Congé",D891="Férié"),AND(F891="Congé sans solde",D891="OFF"),AND(F891="Congé sans solde",D891="Congé"),AND(F891="Congé sans solde",D891="Congé spécial"),AND(F891="Congé sans solde",D891="Férié"),AND(F891="Congé spécial",D891="OFF"),AND(F891="Congé spécial",D891="Congé"),AND(F891="Congé spécial",D891="Congé sans solde"),AND(F891="Congé spécial",D891="Férié"),AND(F891="Férié",D891="OFF"),AND(F891="Férié",D891="Congé"),AND(F891="Férié",D891="Congé sans solde"),AND(F891="Férié",D891="Congé spécial")),0,IF(OR(F891="OFF",F891="Congé",F891="Congé spécial",F891="Congé sans solde",D891="OFF",D891="Congé",D891="Congé spécial",D891="Congé sans solde"),0.208333333333334,IF(AND(AG891="",F891-D891&lt;0),("24:00:00"-D891)+("00:00:00"+F891)-0.0416666666666667,IF(AND(OR(AG891="Allaitement",AG891="Sans déjeuner"),F891-D891&lt;0),("24:00:00"-D891)+("00:00:00"+F891),IF(AND(AG891="",F891-D891&gt;0.166666666666667),F891-D891-0.0416666666666667,IF(AND(OR(AG891="Allaitement",AG891="Sans déjeuner"),F891-D891&gt;0.166666666666667),F891-D891,F891-D891)))))))</f>
        <v>0</v>
      </c>
      <c r="P891" s="6" t="str">
        <f aca="false">IFERROR(VLOOKUP($B891,Agents!$A:$D,2,0),"-")</f>
        <v>Accessibilité</v>
      </c>
      <c r="Q891" s="21" t="n">
        <v>46227</v>
      </c>
      <c r="R891" s="8" t="n">
        <f aca="false">IF(M891="Abs",O891,0)</f>
        <v>0</v>
      </c>
      <c r="S891" s="8" t="n">
        <f aca="false">SUM(R891,L891,I891,J891,W891,H891)</f>
        <v>0</v>
      </c>
      <c r="T891" s="6" t="str">
        <f aca="false">"Sem - "&amp;WEEKNUM(Q891,21)</f>
        <v>Sem - 30</v>
      </c>
      <c r="U891" s="6" t="str">
        <f aca="false">CHOOSE(MONTH(Q891),"Janvier","Février","Mars","Avril","Mai","Juin","Juillet","Août","Septembre","Octobre","Novembre","Décembre")</f>
        <v>Juillet</v>
      </c>
      <c r="V891" s="22" t="n">
        <f aca="false">YEAR(Q891)</f>
        <v>2026</v>
      </c>
      <c r="W891" s="20"/>
      <c r="X891" s="8" t="n">
        <f aca="false">IFERROR(IF(M891="Abs",0,IF(ROUND((D891-C891+E891-F891)*1440,0)&lt;=1,0,D891-C891+E891-F891)),0)</f>
        <v>0</v>
      </c>
      <c r="Y891" s="6" t="str">
        <f aca="false">IFERROR(VLOOKUP($B891,Agents!$A:$D,3,0),"-")</f>
        <v>OUBRAHIM Mohammed</v>
      </c>
      <c r="Z891" s="6" t="str">
        <f aca="false">IFERROR(VLOOKUP($B891,Agents!$A:$D,4,0),"-")</f>
        <v>Credit Mutuel</v>
      </c>
      <c r="AA891" s="18" t="s">
        <v>112</v>
      </c>
      <c r="AB891" s="8" t="n">
        <f aca="false">IF(AND(D891="Congé",F891="Congé"),0.333333333333333,IF(OR(AND(D891="Congé",F891&lt;&gt;"Congé"),(AND(F891="Congé",D891&lt;&gt;"Congé"))),0.166666666666667,""))</f>
        <v>0.333333333333333</v>
      </c>
      <c r="AC891" s="8" t="str">
        <f aca="false">IF(AND(D891="Congé sans solde",F891="Congé sans solde"),0.333333333333333,IF(OR(AND(D891="Congé sans solde",F891&lt;&gt;"Congé sans solde"),(AND(F891="Congé sans solde",D891&lt;&gt;"Congé sans solde"))),0.166666666666667,""))</f>
        <v/>
      </c>
      <c r="AD891" s="8" t="str">
        <f aca="false">IF(AND(D891="Congé spécial",F891="Congé spécial"),0.333333333333333,IF(OR(AND(D891="Congé spécial",F891&lt;&gt;"Congé spécial"),AND(F891="Congé spécial",D891&lt;&gt;"Congé spécial")),0.166666666666667,""))</f>
        <v/>
      </c>
      <c r="AE891" s="8" t="str">
        <f aca="false">IF(AND(D891="Férié",F891="Férié"),0.333333333333333,IF(OR(AND(D891="Férié",F891&lt;&gt;"Férié"),(AND(F891="Férié",D891&lt;&gt;"Férié"))),0.166666666666667,""))</f>
        <v/>
      </c>
      <c r="AF891" s="18"/>
      <c r="AG891" s="18"/>
    </row>
    <row r="892" customFormat="false" ht="15" hidden="false" customHeight="false" outlineLevel="0" collapsed="false">
      <c r="A892" s="6" t="str">
        <f aca="false">YEAR(Q892-WEEKDAY(Q892,2)+4)&amp;"-S"&amp;TEXT(WEEKNUM(Q892,21),"00")</f>
        <v>2026-S30</v>
      </c>
      <c r="B892" s="18" t="s">
        <v>71</v>
      </c>
      <c r="C892" s="19"/>
      <c r="D892" s="19" t="s">
        <v>74</v>
      </c>
      <c r="E892" s="19"/>
      <c r="F892" s="19" t="s">
        <v>74</v>
      </c>
      <c r="G892" s="20"/>
      <c r="H892" s="20"/>
      <c r="I892" s="8" t="str">
        <f aca="false">IF(IF(OR(C892="",D892="Congé",D892="OFF",D892="Congé spécial"),"",IF(D892&gt;F892,D892-C892,IF(C892-D892&lt;0,0,C892-D892)))&lt;0.00068287037037037,"",IF(OR(D892="Congé",D892="OFF",C892="",D892="Congé spécial"),"",IF(D892&gt;F892,D892-C892,IF(C892-D892&lt;0,0,C892-D892))))</f>
        <v/>
      </c>
      <c r="J892" s="20"/>
      <c r="K892" s="8" t="n">
        <f aca="false">IF(SUM(H892:J892)&lt;0.00068287037037037,0,SUM(H892:J892))</f>
        <v>0</v>
      </c>
      <c r="L892" s="8" t="n">
        <f aca="false">IF(OR(F892="Congé",F892="OFF",M892="Abs",F892="Congé sans solde",F892="Férié",F892="Congé spécial",D892="Congé spécial"),0,IF(F892-E892&lt;0,0,IF(F892-E892&lt;=0.00068287037037037,0,F892-E892)))</f>
        <v>0</v>
      </c>
      <c r="M892" s="6" t="n">
        <f aca="false">IF(AND(O892&lt;&gt;0,C892=""),"Abs",0)</f>
        <v>0</v>
      </c>
      <c r="N892" s="8" t="str">
        <f aca="false">IFERROR(IF(OR(D892="OFF",D892="Congé",M892="Abs",D892="Congé sans solde",D892="Férié"),"",IF(O892-K892-L892&gt;O892,O892,IF(O892-K892-L892&lt;0,"",O892-K892-L892))),"")</f>
        <v/>
      </c>
      <c r="O892" s="8" t="n">
        <f aca="false">IF(AG892="2H Pause déjeuner",IF(F892-D892-0.0833333333333333&lt;0,F892-D892-0.0833333333333333+1,F892-D892-0.0833333333333333),IF(OR(AND(F892="OFF",D892="OFF"),AND(F892="Congé",D892="Congé"),AND(F892="Congé sans solde",D892="Congé sans solde"),AND(F892="Congé spécial",D892="Congé spécial"),AND(F892="Férié",D892="Férié"),AND(F892="OFF",D892="Congé"),AND(F892="OFF",D892="Congé sans solde"),AND(F892="OFF",D892="Congé spécial"),AND(F892="OFF",D892="Férié"),AND(F892="Congé",D892="OFF"),AND(F892="Congé",D892="Congé sans solde"),AND(F892="Congé",D892="Congé spécial"),AND(F892="Congé",D892="Férié"),AND(F892="Congé sans solde",D892="OFF"),AND(F892="Congé sans solde",D892="Congé"),AND(F892="Congé sans solde",D892="Congé spécial"),AND(F892="Congé sans solde",D892="Férié"),AND(F892="Congé spécial",D892="OFF"),AND(F892="Congé spécial",D892="Congé"),AND(F892="Congé spécial",D892="Congé sans solde"),AND(F892="Congé spécial",D892="Férié"),AND(F892="Férié",D892="OFF"),AND(F892="Férié",D892="Congé"),AND(F892="Férié",D892="Congé sans solde"),AND(F892="Férié",D892="Congé spécial")),0,IF(OR(F892="OFF",F892="Congé",F892="Congé spécial",F892="Congé sans solde",D892="OFF",D892="Congé",D892="Congé spécial",D892="Congé sans solde"),0.208333333333334,IF(AND(AG892="",F892-D892&lt;0),("24:00:00"-D892)+("00:00:00"+F892)-0.0416666666666667,IF(AND(OR(AG892="Allaitement",AG892="Sans déjeuner"),F892-D892&lt;0),("24:00:00"-D892)+("00:00:00"+F892),IF(AND(AG892="",F892-D892&gt;0.166666666666667),F892-D892-0.0416666666666667,IF(AND(OR(AG892="Allaitement",AG892="Sans déjeuner"),F892-D892&gt;0.166666666666667),F892-D892,F892-D892)))))))</f>
        <v>0</v>
      </c>
      <c r="P892" s="6" t="str">
        <f aca="false">IFERROR(VLOOKUP($B892,Agents!$A:$D,2,0),"-")</f>
        <v>Accessibilité</v>
      </c>
      <c r="Q892" s="21" t="n">
        <v>46228</v>
      </c>
      <c r="R892" s="8" t="n">
        <f aca="false">IF(M892="Abs",O892,0)</f>
        <v>0</v>
      </c>
      <c r="S892" s="8" t="n">
        <f aca="false">SUM(R892,L892,I892,J892,W892,H892)</f>
        <v>0</v>
      </c>
      <c r="T892" s="6" t="str">
        <f aca="false">"Sem - "&amp;WEEKNUM(Q892,21)</f>
        <v>Sem - 30</v>
      </c>
      <c r="U892" s="6" t="str">
        <f aca="false">CHOOSE(MONTH(Q892),"Janvier","Février","Mars","Avril","Mai","Juin","Juillet","Août","Septembre","Octobre","Novembre","Décembre")</f>
        <v>Juillet</v>
      </c>
      <c r="V892" s="22" t="n">
        <f aca="false">YEAR(Q892)</f>
        <v>2026</v>
      </c>
      <c r="W892" s="20"/>
      <c r="X892" s="8" t="n">
        <f aca="false">IFERROR(IF(M892="Abs",0,IF(ROUND((D892-C892+E892-F892)*1440,0)&lt;=1,0,D892-C892+E892-F892)),0)</f>
        <v>0</v>
      </c>
      <c r="Y892" s="6" t="str">
        <f aca="false">IFERROR(VLOOKUP($B892,Agents!$A:$D,3,0),"-")</f>
        <v>OUBRAHIM Mohammed</v>
      </c>
      <c r="Z892" s="6" t="str">
        <f aca="false">IFERROR(VLOOKUP($B892,Agents!$A:$D,4,0),"-")</f>
        <v>Credit Mutuel</v>
      </c>
      <c r="AA892" s="18" t="s">
        <v>112</v>
      </c>
      <c r="AB892" s="8" t="str">
        <f aca="false">IF(AND(D892="Congé",F892="Congé"),0.333333333333333,IF(OR(AND(D892="Congé",F892&lt;&gt;"Congé"),(AND(F892="Congé",D892&lt;&gt;"Congé"))),0.166666666666667,""))</f>
        <v/>
      </c>
      <c r="AC892" s="8" t="str">
        <f aca="false">IF(AND(D892="Congé sans solde",F892="Congé sans solde"),0.333333333333333,IF(OR(AND(D892="Congé sans solde",F892&lt;&gt;"Congé sans solde"),(AND(F892="Congé sans solde",D892&lt;&gt;"Congé sans solde"))),0.166666666666667,""))</f>
        <v/>
      </c>
      <c r="AD892" s="8" t="str">
        <f aca="false">IF(AND(D892="Congé spécial",F892="Congé spécial"),0.333333333333333,IF(OR(AND(D892="Congé spécial",F892&lt;&gt;"Congé spécial"),AND(F892="Congé spécial",D892&lt;&gt;"Congé spécial")),0.166666666666667,""))</f>
        <v/>
      </c>
      <c r="AE892" s="8" t="str">
        <f aca="false">IF(AND(D892="Férié",F892="Férié"),0.333333333333333,IF(OR(AND(D892="Férié",F892&lt;&gt;"Férié"),(AND(F892="Férié",D892&lt;&gt;"Férié"))),0.166666666666667,""))</f>
        <v/>
      </c>
      <c r="AF892" s="18"/>
      <c r="AG892" s="18"/>
    </row>
    <row r="893" customFormat="false" ht="15" hidden="false" customHeight="false" outlineLevel="0" collapsed="false">
      <c r="A893" s="6" t="str">
        <f aca="false">YEAR(Q893-WEEKDAY(Q893,2)+4)&amp;"-S"&amp;TEXT(WEEKNUM(Q893,21),"00")</f>
        <v>2026-S30</v>
      </c>
      <c r="B893" s="18" t="s">
        <v>72</v>
      </c>
      <c r="C893" s="19"/>
      <c r="D893" s="19" t="s">
        <v>74</v>
      </c>
      <c r="E893" s="19"/>
      <c r="F893" s="19" t="s">
        <v>74</v>
      </c>
      <c r="G893" s="20"/>
      <c r="H893" s="20"/>
      <c r="I893" s="8" t="str">
        <f aca="false">IF(IF(OR(C893="",D893="Congé",D893="OFF",D893="Congé spécial"),"",IF(D893&gt;F893,D893-C893,IF(C893-D893&lt;0,0,C893-D893)))&lt;0.00068287037037037,"",IF(OR(D893="Congé",D893="OFF",C893="",D893="Congé spécial"),"",IF(D893&gt;F893,D893-C893,IF(C893-D893&lt;0,0,C893-D893))))</f>
        <v/>
      </c>
      <c r="J893" s="20"/>
      <c r="K893" s="8" t="n">
        <f aca="false">IF(SUM(H893:J893)&lt;0.00068287037037037,0,SUM(H893:J893))</f>
        <v>0</v>
      </c>
      <c r="L893" s="8" t="n">
        <f aca="false">IF(OR(F893="Congé",F893="OFF",M893="Abs",F893="Congé sans solde",F893="Férié",F893="Congé spécial",D893="Congé spécial"),0,IF(F893-E893&lt;0,0,IF(F893-E893&lt;=0.00068287037037037,0,F893-E893)))</f>
        <v>0</v>
      </c>
      <c r="M893" s="6" t="n">
        <f aca="false">IF(AND(O893&lt;&gt;0,C893=""),"Abs",0)</f>
        <v>0</v>
      </c>
      <c r="N893" s="8" t="str">
        <f aca="false">IFERROR(IF(OR(D893="OFF",D893="Congé",M893="Abs",D893="Congé sans solde",D893="Férié"),"",IF(O893-K893-L893&gt;O893,O893,IF(O893-K893-L893&lt;0,"",O893-K893-L893))),"")</f>
        <v/>
      </c>
      <c r="O893" s="8" t="n">
        <f aca="false">IF(AG893="2H Pause déjeuner",IF(F893-D893-0.0833333333333333&lt;0,F893-D893-0.0833333333333333+1,F893-D893-0.0833333333333333),IF(OR(AND(F893="OFF",D893="OFF"),AND(F893="Congé",D893="Congé"),AND(F893="Congé sans solde",D893="Congé sans solde"),AND(F893="Congé spécial",D893="Congé spécial"),AND(F893="Férié",D893="Férié"),AND(F893="OFF",D893="Congé"),AND(F893="OFF",D893="Congé sans solde"),AND(F893="OFF",D893="Congé spécial"),AND(F893="OFF",D893="Férié"),AND(F893="Congé",D893="OFF"),AND(F893="Congé",D893="Congé sans solde"),AND(F893="Congé",D893="Congé spécial"),AND(F893="Congé",D893="Férié"),AND(F893="Congé sans solde",D893="OFF"),AND(F893="Congé sans solde",D893="Congé"),AND(F893="Congé sans solde",D893="Congé spécial"),AND(F893="Congé sans solde",D893="Férié"),AND(F893="Congé spécial",D893="OFF"),AND(F893="Congé spécial",D893="Congé"),AND(F893="Congé spécial",D893="Congé sans solde"),AND(F893="Congé spécial",D893="Férié"),AND(F893="Férié",D893="OFF"),AND(F893="Férié",D893="Congé"),AND(F893="Férié",D893="Congé sans solde"),AND(F893="Férié",D893="Congé spécial")),0,IF(OR(F893="OFF",F893="Congé",F893="Congé spécial",F893="Congé sans solde",D893="OFF",D893="Congé",D893="Congé spécial",D893="Congé sans solde"),0.208333333333334,IF(AND(AG893="",F893-D893&lt;0),("24:00:00"-D893)+("00:00:00"+F893)-0.0416666666666667,IF(AND(OR(AG893="Allaitement",AG893="Sans déjeuner"),F893-D893&lt;0),("24:00:00"-D893)+("00:00:00"+F893),IF(AND(AG893="",F893-D893&gt;0.166666666666667),F893-D893-0.0416666666666667,IF(AND(OR(AG893="Allaitement",AG893="Sans déjeuner"),F893-D893&gt;0.166666666666667),F893-D893,F893-D893)))))))</f>
        <v>0</v>
      </c>
      <c r="P893" s="6" t="str">
        <f aca="false">IFERROR(VLOOKUP($B893,Agents!$A:$D,2,0),"-")</f>
        <v>Accessibilité</v>
      </c>
      <c r="Q893" s="21" t="n">
        <v>46228</v>
      </c>
      <c r="R893" s="8" t="n">
        <f aca="false">IF(M893="Abs",O893,0)</f>
        <v>0</v>
      </c>
      <c r="S893" s="8" t="n">
        <f aca="false">SUM(R893,L893,I893,J893,W893,H893)</f>
        <v>0</v>
      </c>
      <c r="T893" s="6" t="str">
        <f aca="false">"Sem - "&amp;WEEKNUM(Q893,21)</f>
        <v>Sem - 30</v>
      </c>
      <c r="U893" s="6" t="str">
        <f aca="false">CHOOSE(MONTH(Q893),"Janvier","Février","Mars","Avril","Mai","Juin","Juillet","Août","Septembre","Octobre","Novembre","Décembre")</f>
        <v>Juillet</v>
      </c>
      <c r="V893" s="22" t="n">
        <f aca="false">YEAR(Q893)</f>
        <v>2026</v>
      </c>
      <c r="W893" s="20"/>
      <c r="X893" s="8" t="n">
        <f aca="false">IFERROR(IF(M893="Abs",0,IF(ROUND((D893-C893+E893-F893)*1440,0)&lt;=1,0,D893-C893+E893-F893)),0)</f>
        <v>0</v>
      </c>
      <c r="Y893" s="6" t="str">
        <f aca="false">IFERROR(VLOOKUP($B893,Agents!$A:$D,3,0),"-")</f>
        <v>OUBRAHIM Mohammed</v>
      </c>
      <c r="Z893" s="6" t="str">
        <f aca="false">IFERROR(VLOOKUP($B893,Agents!$A:$D,4,0),"-")</f>
        <v>Credit Mutuel</v>
      </c>
      <c r="AA893" s="18" t="s">
        <v>112</v>
      </c>
      <c r="AB893" s="8" t="str">
        <f aca="false">IF(AND(D893="Congé",F893="Congé"),0.333333333333333,IF(OR(AND(D893="Congé",F893&lt;&gt;"Congé"),(AND(F893="Congé",D893&lt;&gt;"Congé"))),0.166666666666667,""))</f>
        <v/>
      </c>
      <c r="AC893" s="8" t="str">
        <f aca="false">IF(AND(D893="Congé sans solde",F893="Congé sans solde"),0.333333333333333,IF(OR(AND(D893="Congé sans solde",F893&lt;&gt;"Congé sans solde"),(AND(F893="Congé sans solde",D893&lt;&gt;"Congé sans solde"))),0.166666666666667,""))</f>
        <v/>
      </c>
      <c r="AD893" s="8" t="str">
        <f aca="false">IF(AND(D893="Congé spécial",F893="Congé spécial"),0.333333333333333,IF(OR(AND(D893="Congé spécial",F893&lt;&gt;"Congé spécial"),AND(F893="Congé spécial",D893&lt;&gt;"Congé spécial")),0.166666666666667,""))</f>
        <v/>
      </c>
      <c r="AE893" s="8" t="str">
        <f aca="false">IF(AND(D893="Férié",F893="Férié"),0.333333333333333,IF(OR(AND(D893="Férié",F893&lt;&gt;"Férié"),(AND(F893="Férié",D893&lt;&gt;"Férié"))),0.166666666666667,""))</f>
        <v/>
      </c>
      <c r="AF893" s="18"/>
      <c r="AG893" s="18"/>
    </row>
    <row r="894" customFormat="false" ht="15" hidden="false" customHeight="false" outlineLevel="0" collapsed="false">
      <c r="A894" s="6" t="str">
        <f aca="false">YEAR(Q894-WEEKDAY(Q894,2)+4)&amp;"-S"&amp;TEXT(WEEKNUM(Q894,21),"00")</f>
        <v>2026-S30</v>
      </c>
      <c r="B894" s="18" t="s">
        <v>73</v>
      </c>
      <c r="C894" s="19"/>
      <c r="D894" s="19" t="s">
        <v>74</v>
      </c>
      <c r="E894" s="19"/>
      <c r="F894" s="19" t="s">
        <v>74</v>
      </c>
      <c r="G894" s="20"/>
      <c r="H894" s="20"/>
      <c r="I894" s="8" t="str">
        <f aca="false">IF(IF(OR(C894="",D894="Congé",D894="OFF",D894="Congé spécial"),"",IF(D894&gt;F894,D894-C894,IF(C894-D894&lt;0,0,C894-D894)))&lt;0.00068287037037037,"",IF(OR(D894="Congé",D894="OFF",C894="",D894="Congé spécial"),"",IF(D894&gt;F894,D894-C894,IF(C894-D894&lt;0,0,C894-D894))))</f>
        <v/>
      </c>
      <c r="J894" s="20"/>
      <c r="K894" s="8" t="n">
        <f aca="false">IF(SUM(H894:J894)&lt;0.00068287037037037,0,SUM(H894:J894))</f>
        <v>0</v>
      </c>
      <c r="L894" s="8" t="n">
        <f aca="false">IF(OR(F894="Congé",F894="OFF",M894="Abs",F894="Congé sans solde",F894="Férié",F894="Congé spécial",D894="Congé spécial"),0,IF(F894-E894&lt;0,0,IF(F894-E894&lt;=0.00068287037037037,0,F894-E894)))</f>
        <v>0</v>
      </c>
      <c r="M894" s="6" t="n">
        <f aca="false">IF(AND(O894&lt;&gt;0,C894=""),"Abs",0)</f>
        <v>0</v>
      </c>
      <c r="N894" s="8" t="str">
        <f aca="false">IFERROR(IF(OR(D894="OFF",D894="Congé",M894="Abs",D894="Congé sans solde",D894="Férié"),"",IF(O894-K894-L894&gt;O894,O894,IF(O894-K894-L894&lt;0,"",O894-K894-L894))),"")</f>
        <v/>
      </c>
      <c r="O894" s="8" t="n">
        <f aca="false">IF(AG894="2H Pause déjeuner",IF(F894-D894-0.0833333333333333&lt;0,F894-D894-0.0833333333333333+1,F894-D894-0.0833333333333333),IF(OR(AND(F894="OFF",D894="OFF"),AND(F894="Congé",D894="Congé"),AND(F894="Congé sans solde",D894="Congé sans solde"),AND(F894="Congé spécial",D894="Congé spécial"),AND(F894="Férié",D894="Férié"),AND(F894="OFF",D894="Congé"),AND(F894="OFF",D894="Congé sans solde"),AND(F894="OFF",D894="Congé spécial"),AND(F894="OFF",D894="Férié"),AND(F894="Congé",D894="OFF"),AND(F894="Congé",D894="Congé sans solde"),AND(F894="Congé",D894="Congé spécial"),AND(F894="Congé",D894="Férié"),AND(F894="Congé sans solde",D894="OFF"),AND(F894="Congé sans solde",D894="Congé"),AND(F894="Congé sans solde",D894="Congé spécial"),AND(F894="Congé sans solde",D894="Férié"),AND(F894="Congé spécial",D894="OFF"),AND(F894="Congé spécial",D894="Congé"),AND(F894="Congé spécial",D894="Congé sans solde"),AND(F894="Congé spécial",D894="Férié"),AND(F894="Férié",D894="OFF"),AND(F894="Férié",D894="Congé"),AND(F894="Férié",D894="Congé sans solde"),AND(F894="Férié",D894="Congé spécial")),0,IF(OR(F894="OFF",F894="Congé",F894="Congé spécial",F894="Congé sans solde",D894="OFF",D894="Congé",D894="Congé spécial",D894="Congé sans solde"),0.208333333333334,IF(AND(AG894="",F894-D894&lt;0),("24:00:00"-D894)+("00:00:00"+F894)-0.0416666666666667,IF(AND(OR(AG894="Allaitement",AG894="Sans déjeuner"),F894-D894&lt;0),("24:00:00"-D894)+("00:00:00"+F894),IF(AND(AG894="",F894-D894&gt;0.166666666666667),F894-D894-0.0416666666666667,IF(AND(OR(AG894="Allaitement",AG894="Sans déjeuner"),F894-D894&gt;0.166666666666667),F894-D894,F894-D894)))))))</f>
        <v>0</v>
      </c>
      <c r="P894" s="6" t="str">
        <f aca="false">IFERROR(VLOOKUP($B894,Agents!$A:$D,2,0),"-")</f>
        <v>Accessibilité</v>
      </c>
      <c r="Q894" s="21" t="n">
        <v>46228</v>
      </c>
      <c r="R894" s="8" t="n">
        <f aca="false">IF(M894="Abs",O894,0)</f>
        <v>0</v>
      </c>
      <c r="S894" s="8" t="n">
        <f aca="false">SUM(R894,L894,I894,J894,W894,H894)</f>
        <v>0</v>
      </c>
      <c r="T894" s="6" t="str">
        <f aca="false">"Sem - "&amp;WEEKNUM(Q894,21)</f>
        <v>Sem - 30</v>
      </c>
      <c r="U894" s="6" t="str">
        <f aca="false">CHOOSE(MONTH(Q894),"Janvier","Février","Mars","Avril","Mai","Juin","Juillet","Août","Septembre","Octobre","Novembre","Décembre")</f>
        <v>Juillet</v>
      </c>
      <c r="V894" s="22" t="n">
        <f aca="false">YEAR(Q894)</f>
        <v>2026</v>
      </c>
      <c r="W894" s="20"/>
      <c r="X894" s="8" t="n">
        <f aca="false">IFERROR(IF(M894="Abs",0,IF(ROUND((D894-C894+E894-F894)*1440,0)&lt;=1,0,D894-C894+E894-F894)),0)</f>
        <v>0</v>
      </c>
      <c r="Y894" s="6" t="str">
        <f aca="false">IFERROR(VLOOKUP($B894,Agents!$A:$D,3,0),"-")</f>
        <v>OUBRAHIM Mohammed</v>
      </c>
      <c r="Z894" s="6" t="str">
        <f aca="false">IFERROR(VLOOKUP($B894,Agents!$A:$D,4,0),"-")</f>
        <v>Credit Mutuel</v>
      </c>
      <c r="AA894" s="18" t="s">
        <v>112</v>
      </c>
      <c r="AB894" s="8" t="str">
        <f aca="false">IF(AND(D894="Congé",F894="Congé"),0.333333333333333,IF(OR(AND(D894="Congé",F894&lt;&gt;"Congé"),(AND(F894="Congé",D894&lt;&gt;"Congé"))),0.166666666666667,""))</f>
        <v/>
      </c>
      <c r="AC894" s="8" t="str">
        <f aca="false">IF(AND(D894="Congé sans solde",F894="Congé sans solde"),0.333333333333333,IF(OR(AND(D894="Congé sans solde",F894&lt;&gt;"Congé sans solde"),(AND(F894="Congé sans solde",D894&lt;&gt;"Congé sans solde"))),0.166666666666667,""))</f>
        <v/>
      </c>
      <c r="AD894" s="8" t="str">
        <f aca="false">IF(AND(D894="Congé spécial",F894="Congé spécial"),0.333333333333333,IF(OR(AND(D894="Congé spécial",F894&lt;&gt;"Congé spécial"),AND(F894="Congé spécial",D894&lt;&gt;"Congé spécial")),0.166666666666667,""))</f>
        <v/>
      </c>
      <c r="AE894" s="8" t="str">
        <f aca="false">IF(AND(D894="Férié",F894="Férié"),0.333333333333333,IF(OR(AND(D894="Férié",F894&lt;&gt;"Férié"),(AND(F894="Férié",D894&lt;&gt;"Férié"))),0.166666666666667,""))</f>
        <v/>
      </c>
      <c r="AF894" s="18"/>
      <c r="AG894" s="18"/>
    </row>
    <row r="895" customFormat="false" ht="15" hidden="false" customHeight="false" outlineLevel="0" collapsed="false">
      <c r="A895" s="6" t="str">
        <f aca="false">YEAR(Q895-WEEKDAY(Q895,2)+4)&amp;"-S"&amp;TEXT(WEEKNUM(Q895,21),"00")</f>
        <v>2026-S30</v>
      </c>
      <c r="B895" s="18" t="s">
        <v>71</v>
      </c>
      <c r="C895" s="19"/>
      <c r="D895" s="19" t="s">
        <v>74</v>
      </c>
      <c r="E895" s="19"/>
      <c r="F895" s="19" t="s">
        <v>74</v>
      </c>
      <c r="G895" s="20"/>
      <c r="H895" s="20"/>
      <c r="I895" s="8" t="str">
        <f aca="false">IF(IF(OR(C895="",D895="Congé",D895="OFF",D895="Congé spécial"),"",IF(D895&gt;F895,D895-C895,IF(C895-D895&lt;0,0,C895-D895)))&lt;0.00068287037037037,"",IF(OR(D895="Congé",D895="OFF",C895="",D895="Congé spécial"),"",IF(D895&gt;F895,D895-C895,IF(C895-D895&lt;0,0,C895-D895))))</f>
        <v/>
      </c>
      <c r="J895" s="20"/>
      <c r="K895" s="8" t="n">
        <f aca="false">IF(SUM(H895:J895)&lt;0.00068287037037037,0,SUM(H895:J895))</f>
        <v>0</v>
      </c>
      <c r="L895" s="8" t="n">
        <f aca="false">IF(OR(F895="Congé",F895="OFF",M895="Abs",F895="Congé sans solde",F895="Férié",F895="Congé spécial",D895="Congé spécial"),0,IF(F895-E895&lt;0,0,IF(F895-E895&lt;=0.00068287037037037,0,F895-E895)))</f>
        <v>0</v>
      </c>
      <c r="M895" s="6" t="n">
        <f aca="false">IF(AND(O895&lt;&gt;0,C895=""),"Abs",0)</f>
        <v>0</v>
      </c>
      <c r="N895" s="8" t="str">
        <f aca="false">IFERROR(IF(OR(D895="OFF",D895="Congé",M895="Abs",D895="Congé sans solde",D895="Férié"),"",IF(O895-K895-L895&gt;O895,O895,IF(O895-K895-L895&lt;0,"",O895-K895-L895))),"")</f>
        <v/>
      </c>
      <c r="O895" s="8" t="n">
        <f aca="false">IF(AG895="2H Pause déjeuner",IF(F895-D895-0.0833333333333333&lt;0,F895-D895-0.0833333333333333+1,F895-D895-0.0833333333333333),IF(OR(AND(F895="OFF",D895="OFF"),AND(F895="Congé",D895="Congé"),AND(F895="Congé sans solde",D895="Congé sans solde"),AND(F895="Congé spécial",D895="Congé spécial"),AND(F895="Férié",D895="Férié"),AND(F895="OFF",D895="Congé"),AND(F895="OFF",D895="Congé sans solde"),AND(F895="OFF",D895="Congé spécial"),AND(F895="OFF",D895="Férié"),AND(F895="Congé",D895="OFF"),AND(F895="Congé",D895="Congé sans solde"),AND(F895="Congé",D895="Congé spécial"),AND(F895="Congé",D895="Férié"),AND(F895="Congé sans solde",D895="OFF"),AND(F895="Congé sans solde",D895="Congé"),AND(F895="Congé sans solde",D895="Congé spécial"),AND(F895="Congé sans solde",D895="Férié"),AND(F895="Congé spécial",D895="OFF"),AND(F895="Congé spécial",D895="Congé"),AND(F895="Congé spécial",D895="Congé sans solde"),AND(F895="Congé spécial",D895="Férié"),AND(F895="Férié",D895="OFF"),AND(F895="Férié",D895="Congé"),AND(F895="Férié",D895="Congé sans solde"),AND(F895="Férié",D895="Congé spécial")),0,IF(OR(F895="OFF",F895="Congé",F895="Congé spécial",F895="Congé sans solde",D895="OFF",D895="Congé",D895="Congé spécial",D895="Congé sans solde"),0.208333333333334,IF(AND(AG895="",F895-D895&lt;0),("24:00:00"-D895)+("00:00:00"+F895)-0.0416666666666667,IF(AND(OR(AG895="Allaitement",AG895="Sans déjeuner"),F895-D895&lt;0),("24:00:00"-D895)+("00:00:00"+F895),IF(AND(AG895="",F895-D895&gt;0.166666666666667),F895-D895-0.0416666666666667,IF(AND(OR(AG895="Allaitement",AG895="Sans déjeuner"),F895-D895&gt;0.166666666666667),F895-D895,F895-D895)))))))</f>
        <v>0</v>
      </c>
      <c r="P895" s="6" t="str">
        <f aca="false">IFERROR(VLOOKUP($B895,Agents!$A:$D,2,0),"-")</f>
        <v>Accessibilité</v>
      </c>
      <c r="Q895" s="21" t="n">
        <v>46229</v>
      </c>
      <c r="R895" s="8" t="n">
        <f aca="false">IF(M895="Abs",O895,0)</f>
        <v>0</v>
      </c>
      <c r="S895" s="8" t="n">
        <f aca="false">SUM(R895,L895,I895,J895,W895,H895)</f>
        <v>0</v>
      </c>
      <c r="T895" s="6" t="str">
        <f aca="false">"Sem - "&amp;WEEKNUM(Q895,21)</f>
        <v>Sem - 30</v>
      </c>
      <c r="U895" s="6" t="str">
        <f aca="false">CHOOSE(MONTH(Q895),"Janvier","Février","Mars","Avril","Mai","Juin","Juillet","Août","Septembre","Octobre","Novembre","Décembre")</f>
        <v>Juillet</v>
      </c>
      <c r="V895" s="22" t="n">
        <f aca="false">YEAR(Q895)</f>
        <v>2026</v>
      </c>
      <c r="W895" s="20"/>
      <c r="X895" s="8" t="n">
        <f aca="false">IFERROR(IF(M895="Abs",0,IF(ROUND((D895-C895+E895-F895)*1440,0)&lt;=1,0,D895-C895+E895-F895)),0)</f>
        <v>0</v>
      </c>
      <c r="Y895" s="6" t="str">
        <f aca="false">IFERROR(VLOOKUP($B895,Agents!$A:$D,3,0),"-")</f>
        <v>OUBRAHIM Mohammed</v>
      </c>
      <c r="Z895" s="6" t="str">
        <f aca="false">IFERROR(VLOOKUP($B895,Agents!$A:$D,4,0),"-")</f>
        <v>Credit Mutuel</v>
      </c>
      <c r="AA895" s="18" t="s">
        <v>112</v>
      </c>
      <c r="AB895" s="8" t="str">
        <f aca="false">IF(AND(D895="Congé",F895="Congé"),0.333333333333333,IF(OR(AND(D895="Congé",F895&lt;&gt;"Congé"),(AND(F895="Congé",D895&lt;&gt;"Congé"))),0.166666666666667,""))</f>
        <v/>
      </c>
      <c r="AC895" s="8" t="str">
        <f aca="false">IF(AND(D895="Congé sans solde",F895="Congé sans solde"),0.333333333333333,IF(OR(AND(D895="Congé sans solde",F895&lt;&gt;"Congé sans solde"),(AND(F895="Congé sans solde",D895&lt;&gt;"Congé sans solde"))),0.166666666666667,""))</f>
        <v/>
      </c>
      <c r="AD895" s="8" t="str">
        <f aca="false">IF(AND(D895="Congé spécial",F895="Congé spécial"),0.333333333333333,IF(OR(AND(D895="Congé spécial",F895&lt;&gt;"Congé spécial"),AND(F895="Congé spécial",D895&lt;&gt;"Congé spécial")),0.166666666666667,""))</f>
        <v/>
      </c>
      <c r="AE895" s="8" t="str">
        <f aca="false">IF(AND(D895="Férié",F895="Férié"),0.333333333333333,IF(OR(AND(D895="Férié",F895&lt;&gt;"Férié"),(AND(F895="Férié",D895&lt;&gt;"Férié"))),0.166666666666667,""))</f>
        <v/>
      </c>
      <c r="AF895" s="18"/>
      <c r="AG895" s="18"/>
    </row>
    <row r="896" customFormat="false" ht="15" hidden="false" customHeight="false" outlineLevel="0" collapsed="false">
      <c r="A896" s="6" t="str">
        <f aca="false">YEAR(Q896-WEEKDAY(Q896,2)+4)&amp;"-S"&amp;TEXT(WEEKNUM(Q896,21),"00")</f>
        <v>2026-S30</v>
      </c>
      <c r="B896" s="18" t="s">
        <v>72</v>
      </c>
      <c r="C896" s="19"/>
      <c r="D896" s="19" t="s">
        <v>74</v>
      </c>
      <c r="E896" s="19"/>
      <c r="F896" s="19" t="s">
        <v>74</v>
      </c>
      <c r="G896" s="20"/>
      <c r="H896" s="20"/>
      <c r="I896" s="8" t="str">
        <f aca="false">IF(IF(OR(C896="",D896="Congé",D896="OFF",D896="Congé spécial"),"",IF(D896&gt;F896,D896-C896,IF(C896-D896&lt;0,0,C896-D896)))&lt;0.00068287037037037,"",IF(OR(D896="Congé",D896="OFF",C896="",D896="Congé spécial"),"",IF(D896&gt;F896,D896-C896,IF(C896-D896&lt;0,0,C896-D896))))</f>
        <v/>
      </c>
      <c r="J896" s="20"/>
      <c r="K896" s="8" t="n">
        <f aca="false">IF(SUM(H896:J896)&lt;0.00068287037037037,0,SUM(H896:J896))</f>
        <v>0</v>
      </c>
      <c r="L896" s="8" t="n">
        <f aca="false">IF(OR(F896="Congé",F896="OFF",M896="Abs",F896="Congé sans solde",F896="Férié",F896="Congé spécial",D896="Congé spécial"),0,IF(F896-E896&lt;0,0,IF(F896-E896&lt;=0.00068287037037037,0,F896-E896)))</f>
        <v>0</v>
      </c>
      <c r="M896" s="6" t="n">
        <f aca="false">IF(AND(O896&lt;&gt;0,C896=""),"Abs",0)</f>
        <v>0</v>
      </c>
      <c r="N896" s="8" t="str">
        <f aca="false">IFERROR(IF(OR(D896="OFF",D896="Congé",M896="Abs",D896="Congé sans solde",D896="Férié"),"",IF(O896-K896-L896&gt;O896,O896,IF(O896-K896-L896&lt;0,"",O896-K896-L896))),"")</f>
        <v/>
      </c>
      <c r="O896" s="8" t="n">
        <f aca="false">IF(AG896="2H Pause déjeuner",IF(F896-D896-0.0833333333333333&lt;0,F896-D896-0.0833333333333333+1,F896-D896-0.0833333333333333),IF(OR(AND(F896="OFF",D896="OFF"),AND(F896="Congé",D896="Congé"),AND(F896="Congé sans solde",D896="Congé sans solde"),AND(F896="Congé spécial",D896="Congé spécial"),AND(F896="Férié",D896="Férié"),AND(F896="OFF",D896="Congé"),AND(F896="OFF",D896="Congé sans solde"),AND(F896="OFF",D896="Congé spécial"),AND(F896="OFF",D896="Férié"),AND(F896="Congé",D896="OFF"),AND(F896="Congé",D896="Congé sans solde"),AND(F896="Congé",D896="Congé spécial"),AND(F896="Congé",D896="Férié"),AND(F896="Congé sans solde",D896="OFF"),AND(F896="Congé sans solde",D896="Congé"),AND(F896="Congé sans solde",D896="Congé spécial"),AND(F896="Congé sans solde",D896="Férié"),AND(F896="Congé spécial",D896="OFF"),AND(F896="Congé spécial",D896="Congé"),AND(F896="Congé spécial",D896="Congé sans solde"),AND(F896="Congé spécial",D896="Férié"),AND(F896="Férié",D896="OFF"),AND(F896="Férié",D896="Congé"),AND(F896="Férié",D896="Congé sans solde"),AND(F896="Férié",D896="Congé spécial")),0,IF(OR(F896="OFF",F896="Congé",F896="Congé spécial",F896="Congé sans solde",D896="OFF",D896="Congé",D896="Congé spécial",D896="Congé sans solde"),0.208333333333334,IF(AND(AG896="",F896-D896&lt;0),("24:00:00"-D896)+("00:00:00"+F896)-0.0416666666666667,IF(AND(OR(AG896="Allaitement",AG896="Sans déjeuner"),F896-D896&lt;0),("24:00:00"-D896)+("00:00:00"+F896),IF(AND(AG896="",F896-D896&gt;0.166666666666667),F896-D896-0.0416666666666667,IF(AND(OR(AG896="Allaitement",AG896="Sans déjeuner"),F896-D896&gt;0.166666666666667),F896-D896,F896-D896)))))))</f>
        <v>0</v>
      </c>
      <c r="P896" s="6" t="str">
        <f aca="false">IFERROR(VLOOKUP($B896,Agents!$A:$D,2,0),"-")</f>
        <v>Accessibilité</v>
      </c>
      <c r="Q896" s="21" t="n">
        <v>46229</v>
      </c>
      <c r="R896" s="8" t="n">
        <f aca="false">IF(M896="Abs",O896,0)</f>
        <v>0</v>
      </c>
      <c r="S896" s="8" t="n">
        <f aca="false">SUM(R896,L896,I896,J896,W896,H896)</f>
        <v>0</v>
      </c>
      <c r="T896" s="6" t="str">
        <f aca="false">"Sem - "&amp;WEEKNUM(Q896,21)</f>
        <v>Sem - 30</v>
      </c>
      <c r="U896" s="6" t="str">
        <f aca="false">CHOOSE(MONTH(Q896),"Janvier","Février","Mars","Avril","Mai","Juin","Juillet","Août","Septembre","Octobre","Novembre","Décembre")</f>
        <v>Juillet</v>
      </c>
      <c r="V896" s="22" t="n">
        <f aca="false">YEAR(Q896)</f>
        <v>2026</v>
      </c>
      <c r="W896" s="20"/>
      <c r="X896" s="8" t="n">
        <f aca="false">IFERROR(IF(M896="Abs",0,IF(ROUND((D896-C896+E896-F896)*1440,0)&lt;=1,0,D896-C896+E896-F896)),0)</f>
        <v>0</v>
      </c>
      <c r="Y896" s="6" t="str">
        <f aca="false">IFERROR(VLOOKUP($B896,Agents!$A:$D,3,0),"-")</f>
        <v>OUBRAHIM Mohammed</v>
      </c>
      <c r="Z896" s="6" t="str">
        <f aca="false">IFERROR(VLOOKUP($B896,Agents!$A:$D,4,0),"-")</f>
        <v>Credit Mutuel</v>
      </c>
      <c r="AA896" s="18" t="s">
        <v>112</v>
      </c>
      <c r="AB896" s="8" t="str">
        <f aca="false">IF(AND(D896="Congé",F896="Congé"),0.333333333333333,IF(OR(AND(D896="Congé",F896&lt;&gt;"Congé"),(AND(F896="Congé",D896&lt;&gt;"Congé"))),0.166666666666667,""))</f>
        <v/>
      </c>
      <c r="AC896" s="8" t="str">
        <f aca="false">IF(AND(D896="Congé sans solde",F896="Congé sans solde"),0.333333333333333,IF(OR(AND(D896="Congé sans solde",F896&lt;&gt;"Congé sans solde"),(AND(F896="Congé sans solde",D896&lt;&gt;"Congé sans solde"))),0.166666666666667,""))</f>
        <v/>
      </c>
      <c r="AD896" s="8" t="str">
        <f aca="false">IF(AND(D896="Congé spécial",F896="Congé spécial"),0.333333333333333,IF(OR(AND(D896="Congé spécial",F896&lt;&gt;"Congé spécial"),AND(F896="Congé spécial",D896&lt;&gt;"Congé spécial")),0.166666666666667,""))</f>
        <v/>
      </c>
      <c r="AE896" s="8" t="str">
        <f aca="false">IF(AND(D896="Férié",F896="Férié"),0.333333333333333,IF(OR(AND(D896="Férié",F896&lt;&gt;"Férié"),(AND(F896="Férié",D896&lt;&gt;"Férié"))),0.166666666666667,""))</f>
        <v/>
      </c>
      <c r="AF896" s="18"/>
      <c r="AG896" s="18"/>
    </row>
    <row r="897" customFormat="false" ht="15" hidden="false" customHeight="false" outlineLevel="0" collapsed="false">
      <c r="A897" s="6" t="str">
        <f aca="false">YEAR(Q897-WEEKDAY(Q897,2)+4)&amp;"-S"&amp;TEXT(WEEKNUM(Q897,21),"00")</f>
        <v>2026-S30</v>
      </c>
      <c r="B897" s="18" t="s">
        <v>73</v>
      </c>
      <c r="C897" s="19"/>
      <c r="D897" s="19" t="s">
        <v>74</v>
      </c>
      <c r="E897" s="19"/>
      <c r="F897" s="19" t="s">
        <v>74</v>
      </c>
      <c r="G897" s="20"/>
      <c r="H897" s="20"/>
      <c r="I897" s="8" t="str">
        <f aca="false">IF(IF(OR(C897="",D897="Congé",D897="OFF",D897="Congé spécial"),"",IF(D897&gt;F897,D897-C897,IF(C897-D897&lt;0,0,C897-D897)))&lt;0.00068287037037037,"",IF(OR(D897="Congé",D897="OFF",C897="",D897="Congé spécial"),"",IF(D897&gt;F897,D897-C897,IF(C897-D897&lt;0,0,C897-D897))))</f>
        <v/>
      </c>
      <c r="J897" s="20"/>
      <c r="K897" s="8" t="n">
        <f aca="false">IF(SUM(H897:J897)&lt;0.00068287037037037,0,SUM(H897:J897))</f>
        <v>0</v>
      </c>
      <c r="L897" s="8" t="n">
        <f aca="false">IF(OR(F897="Congé",F897="OFF",M897="Abs",F897="Congé sans solde",F897="Férié",F897="Congé spécial",D897="Congé spécial"),0,IF(F897-E897&lt;0,0,IF(F897-E897&lt;=0.00068287037037037,0,F897-E897)))</f>
        <v>0</v>
      </c>
      <c r="M897" s="6" t="n">
        <f aca="false">IF(AND(O897&lt;&gt;0,C897=""),"Abs",0)</f>
        <v>0</v>
      </c>
      <c r="N897" s="8" t="str">
        <f aca="false">IFERROR(IF(OR(D897="OFF",D897="Congé",M897="Abs",D897="Congé sans solde",D897="Férié"),"",IF(O897-K897-L897&gt;O897,O897,IF(O897-K897-L897&lt;0,"",O897-K897-L897))),"")</f>
        <v/>
      </c>
      <c r="O897" s="8" t="n">
        <f aca="false">IF(AG897="2H Pause déjeuner",IF(F897-D897-0.0833333333333333&lt;0,F897-D897-0.0833333333333333+1,F897-D897-0.0833333333333333),IF(OR(AND(F897="OFF",D897="OFF"),AND(F897="Congé",D897="Congé"),AND(F897="Congé sans solde",D897="Congé sans solde"),AND(F897="Congé spécial",D897="Congé spécial"),AND(F897="Férié",D897="Férié"),AND(F897="OFF",D897="Congé"),AND(F897="OFF",D897="Congé sans solde"),AND(F897="OFF",D897="Congé spécial"),AND(F897="OFF",D897="Férié"),AND(F897="Congé",D897="OFF"),AND(F897="Congé",D897="Congé sans solde"),AND(F897="Congé",D897="Congé spécial"),AND(F897="Congé",D897="Férié"),AND(F897="Congé sans solde",D897="OFF"),AND(F897="Congé sans solde",D897="Congé"),AND(F897="Congé sans solde",D897="Congé spécial"),AND(F897="Congé sans solde",D897="Férié"),AND(F897="Congé spécial",D897="OFF"),AND(F897="Congé spécial",D897="Congé"),AND(F897="Congé spécial",D897="Congé sans solde"),AND(F897="Congé spécial",D897="Férié"),AND(F897="Férié",D897="OFF"),AND(F897="Férié",D897="Congé"),AND(F897="Férié",D897="Congé sans solde"),AND(F897="Férié",D897="Congé spécial")),0,IF(OR(F897="OFF",F897="Congé",F897="Congé spécial",F897="Congé sans solde",D897="OFF",D897="Congé",D897="Congé spécial",D897="Congé sans solde"),0.208333333333334,IF(AND(AG897="",F897-D897&lt;0),("24:00:00"-D897)+("00:00:00"+F897)-0.0416666666666667,IF(AND(OR(AG897="Allaitement",AG897="Sans déjeuner"),F897-D897&lt;0),("24:00:00"-D897)+("00:00:00"+F897),IF(AND(AG897="",F897-D897&gt;0.166666666666667),F897-D897-0.0416666666666667,IF(AND(OR(AG897="Allaitement",AG897="Sans déjeuner"),F897-D897&gt;0.166666666666667),F897-D897,F897-D897)))))))</f>
        <v>0</v>
      </c>
      <c r="P897" s="6" t="str">
        <f aca="false">IFERROR(VLOOKUP($B897,Agents!$A:$D,2,0),"-")</f>
        <v>Accessibilité</v>
      </c>
      <c r="Q897" s="21" t="n">
        <v>46229</v>
      </c>
      <c r="R897" s="8" t="n">
        <f aca="false">IF(M897="Abs",O897,0)</f>
        <v>0</v>
      </c>
      <c r="S897" s="8" t="n">
        <f aca="false">SUM(R897,L897,I897,J897,W897,H897)</f>
        <v>0</v>
      </c>
      <c r="T897" s="6" t="str">
        <f aca="false">"Sem - "&amp;WEEKNUM(Q897,21)</f>
        <v>Sem - 30</v>
      </c>
      <c r="U897" s="6" t="str">
        <f aca="false">CHOOSE(MONTH(Q897),"Janvier","Février","Mars","Avril","Mai","Juin","Juillet","Août","Septembre","Octobre","Novembre","Décembre")</f>
        <v>Juillet</v>
      </c>
      <c r="V897" s="22" t="n">
        <f aca="false">YEAR(Q897)</f>
        <v>2026</v>
      </c>
      <c r="W897" s="20"/>
      <c r="X897" s="8" t="n">
        <f aca="false">IFERROR(IF(M897="Abs",0,IF(ROUND((D897-C897+E897-F897)*1440,0)&lt;=1,0,D897-C897+E897-F897)),0)</f>
        <v>0</v>
      </c>
      <c r="Y897" s="6" t="str">
        <f aca="false">IFERROR(VLOOKUP($B897,Agents!$A:$D,3,0),"-")</f>
        <v>OUBRAHIM Mohammed</v>
      </c>
      <c r="Z897" s="6" t="str">
        <f aca="false">IFERROR(VLOOKUP($B897,Agents!$A:$D,4,0),"-")</f>
        <v>Credit Mutuel</v>
      </c>
      <c r="AA897" s="18" t="s">
        <v>112</v>
      </c>
      <c r="AB897" s="8" t="str">
        <f aca="false">IF(AND(D897="Congé",F897="Congé"),0.333333333333333,IF(OR(AND(D897="Congé",F897&lt;&gt;"Congé"),(AND(F897="Congé",D897&lt;&gt;"Congé"))),0.166666666666667,""))</f>
        <v/>
      </c>
      <c r="AC897" s="8" t="str">
        <f aca="false">IF(AND(D897="Congé sans solde",F897="Congé sans solde"),0.333333333333333,IF(OR(AND(D897="Congé sans solde",F897&lt;&gt;"Congé sans solde"),(AND(F897="Congé sans solde",D897&lt;&gt;"Congé sans solde"))),0.166666666666667,""))</f>
        <v/>
      </c>
      <c r="AD897" s="8" t="str">
        <f aca="false">IF(AND(D897="Congé spécial",F897="Congé spécial"),0.333333333333333,IF(OR(AND(D897="Congé spécial",F897&lt;&gt;"Congé spécial"),AND(F897="Congé spécial",D897&lt;&gt;"Congé spécial")),0.166666666666667,""))</f>
        <v/>
      </c>
      <c r="AE897" s="8" t="str">
        <f aca="false">IF(AND(D897="Férié",F897="Férié"),0.333333333333333,IF(OR(AND(D897="Férié",F897&lt;&gt;"Férié"),(AND(F897="Férié",D897&lt;&gt;"Férié"))),0.166666666666667,""))</f>
        <v/>
      </c>
      <c r="AF897" s="18"/>
      <c r="AG897" s="18"/>
    </row>
    <row r="898" customFormat="false" ht="15" hidden="false" customHeight="false" outlineLevel="0" collapsed="false">
      <c r="A898" s="6" t="str">
        <f aca="false">YEAR(Q898-WEEKDAY(Q898,2)+4)&amp;"-S"&amp;TEXT(WEEKNUM(Q898,21),"00")</f>
        <v>2026-S31</v>
      </c>
      <c r="B898" s="18" t="s">
        <v>71</v>
      </c>
      <c r="C898" s="19" t="n">
        <v>0.333333333333333</v>
      </c>
      <c r="D898" s="19" t="n">
        <v>0.333333333333333</v>
      </c>
      <c r="E898" s="19" t="n">
        <v>0.75</v>
      </c>
      <c r="F898" s="19" t="n">
        <v>0.75</v>
      </c>
      <c r="G898" s="20"/>
      <c r="H898" s="20"/>
      <c r="I898" s="8" t="str">
        <f aca="false">IF(IF(OR(C898="",D898="Congé",D898="OFF",D898="Congé spécial"),"",IF(D898&gt;F898,D898-C898,IF(C898-D898&lt;0,0,C898-D898)))&lt;0.00068287037037037,"",IF(OR(D898="Congé",D898="OFF",C898="",D898="Congé spécial"),"",IF(D898&gt;F898,D898-C898,IF(C898-D898&lt;0,0,C898-D898))))</f>
        <v/>
      </c>
      <c r="J898" s="20"/>
      <c r="K898" s="8" t="n">
        <f aca="false">IF(SUM(H898:J898)&lt;0.00068287037037037,0,SUM(H898:J898))</f>
        <v>0</v>
      </c>
      <c r="L898" s="8" t="n">
        <f aca="false">IF(OR(F898="Congé",F898="OFF",M898="Abs",F898="Congé sans solde",F898="Férié",F898="Congé spécial",D898="Congé spécial"),0,IF(F898-E898&lt;0,0,IF(F898-E898&lt;=0.00068287037037037,0,F898-E898)))</f>
        <v>0</v>
      </c>
      <c r="M898" s="6" t="n">
        <f aca="false">IF(AND(O898&lt;&gt;0,C898=""),"Abs",0)</f>
        <v>0</v>
      </c>
      <c r="N898" s="8" t="n">
        <f aca="false">IFERROR(IF(OR(D898="OFF",D898="Congé",M898="Abs",D898="Congé sans solde",D898="Férié"),"",IF(O898-K898-L898&gt;O898,O898,IF(O898-K898-L898&lt;0,"",O898-K898-L898))),"")</f>
        <v>0.375</v>
      </c>
      <c r="O898" s="8" t="n">
        <f aca="false">IF(AG898="2H Pause déjeuner",IF(F898-D898-0.0833333333333333&lt;0,F898-D898-0.0833333333333333+1,F898-D898-0.0833333333333333),IF(OR(AND(F898="OFF",D898="OFF"),AND(F898="Congé",D898="Congé"),AND(F898="Congé sans solde",D898="Congé sans solde"),AND(F898="Congé spécial",D898="Congé spécial"),AND(F898="Férié",D898="Férié"),AND(F898="OFF",D898="Congé"),AND(F898="OFF",D898="Congé sans solde"),AND(F898="OFF",D898="Congé spécial"),AND(F898="OFF",D898="Férié"),AND(F898="Congé",D898="OFF"),AND(F898="Congé",D898="Congé sans solde"),AND(F898="Congé",D898="Congé spécial"),AND(F898="Congé",D898="Férié"),AND(F898="Congé sans solde",D898="OFF"),AND(F898="Congé sans solde",D898="Congé"),AND(F898="Congé sans solde",D898="Congé spécial"),AND(F898="Congé sans solde",D898="Férié"),AND(F898="Congé spécial",D898="OFF"),AND(F898="Congé spécial",D898="Congé"),AND(F898="Congé spécial",D898="Congé sans solde"),AND(F898="Congé spécial",D898="Férié"),AND(F898="Férié",D898="OFF"),AND(F898="Férié",D898="Congé"),AND(F898="Férié",D898="Congé sans solde"),AND(F898="Férié",D898="Congé spécial")),0,IF(OR(F898="OFF",F898="Congé",F898="Congé spécial",F898="Congé sans solde",D898="OFF",D898="Congé",D898="Congé spécial",D898="Congé sans solde"),0.208333333333334,IF(AND(AG898="",F898-D898&lt;0),("24:00:00"-D898)+("00:00:00"+F898)-0.0416666666666667,IF(AND(OR(AG898="Allaitement",AG898="Sans déjeuner"),F898-D898&lt;0),("24:00:00"-D898)+("00:00:00"+F898),IF(AND(AG898="",F898-D898&gt;0.166666666666667),F898-D898-0.0416666666666667,IF(AND(OR(AG898="Allaitement",AG898="Sans déjeuner"),F898-D898&gt;0.166666666666667),F898-D898,F898-D898)))))))</f>
        <v>0.375</v>
      </c>
      <c r="P898" s="6" t="str">
        <f aca="false">IFERROR(VLOOKUP($B898,Agents!$A:$D,2,0),"-")</f>
        <v>Accessibilité</v>
      </c>
      <c r="Q898" s="21" t="n">
        <v>46230</v>
      </c>
      <c r="R898" s="8" t="n">
        <f aca="false">IF(M898="Abs",O898,0)</f>
        <v>0</v>
      </c>
      <c r="S898" s="8" t="n">
        <f aca="false">SUM(R898,L898,I898,J898,W898,H898)</f>
        <v>0</v>
      </c>
      <c r="T898" s="6" t="str">
        <f aca="false">"Sem - "&amp;WEEKNUM(Q898,21)</f>
        <v>Sem - 31</v>
      </c>
      <c r="U898" s="6" t="str">
        <f aca="false">CHOOSE(MONTH(Q898),"Janvier","Février","Mars","Avril","Mai","Juin","Juillet","Août","Septembre","Octobre","Novembre","Décembre")</f>
        <v>Juillet</v>
      </c>
      <c r="V898" s="22" t="n">
        <f aca="false">YEAR(Q898)</f>
        <v>2026</v>
      </c>
      <c r="W898" s="20"/>
      <c r="X898" s="8" t="n">
        <f aca="false">IFERROR(IF(M898="Abs",0,IF(ROUND((D898-C898+E898-F898)*1440,0)&lt;=1,0,D898-C898+E898-F898)),0)</f>
        <v>0</v>
      </c>
      <c r="Y898" s="6" t="str">
        <f aca="false">IFERROR(VLOOKUP($B898,Agents!$A:$D,3,0),"-")</f>
        <v>OUBRAHIM Mohammed</v>
      </c>
      <c r="Z898" s="6" t="str">
        <f aca="false">IFERROR(VLOOKUP($B898,Agents!$A:$D,4,0),"-")</f>
        <v>Credit Mutuel</v>
      </c>
      <c r="AA898" s="18" t="s">
        <v>113</v>
      </c>
      <c r="AB898" s="8" t="str">
        <f aca="false">IF(AND(D898="Congé",F898="Congé"),0.333333333333333,IF(OR(AND(D898="Congé",F898&lt;&gt;"Congé"),(AND(F898="Congé",D898&lt;&gt;"Congé"))),0.166666666666667,""))</f>
        <v/>
      </c>
      <c r="AC898" s="8" t="str">
        <f aca="false">IF(AND(D898="Congé sans solde",F898="Congé sans solde"),0.333333333333333,IF(OR(AND(D898="Congé sans solde",F898&lt;&gt;"Congé sans solde"),(AND(F898="Congé sans solde",D898&lt;&gt;"Congé sans solde"))),0.166666666666667,""))</f>
        <v/>
      </c>
      <c r="AD898" s="8" t="str">
        <f aca="false">IF(AND(D898="Congé spécial",F898="Congé spécial"),0.333333333333333,IF(OR(AND(D898="Congé spécial",F898&lt;&gt;"Congé spécial"),AND(F898="Congé spécial",D898&lt;&gt;"Congé spécial")),0.166666666666667,""))</f>
        <v/>
      </c>
      <c r="AE898" s="8" t="str">
        <f aca="false">IF(AND(D898="Férié",F898="Férié"),0.333333333333333,IF(OR(AND(D898="Férié",F898&lt;&gt;"Férié"),(AND(F898="Férié",D898&lt;&gt;"Férié"))),0.166666666666667,""))</f>
        <v/>
      </c>
      <c r="AF898" s="18"/>
      <c r="AG898" s="18"/>
    </row>
    <row r="899" customFormat="false" ht="15" hidden="false" customHeight="false" outlineLevel="0" collapsed="false">
      <c r="A899" s="6" t="str">
        <f aca="false">YEAR(Q899-WEEKDAY(Q899,2)+4)&amp;"-S"&amp;TEXT(WEEKNUM(Q899,21),"00")</f>
        <v>2026-S31</v>
      </c>
      <c r="B899" s="18" t="s">
        <v>72</v>
      </c>
      <c r="C899" s="19" t="n">
        <v>0.333333333333333</v>
      </c>
      <c r="D899" s="19" t="n">
        <v>0.333333333333333</v>
      </c>
      <c r="E899" s="19" t="n">
        <v>0.75</v>
      </c>
      <c r="F899" s="19" t="n">
        <v>0.75</v>
      </c>
      <c r="G899" s="20"/>
      <c r="H899" s="20"/>
      <c r="I899" s="8" t="str">
        <f aca="false">IF(IF(OR(C899="",D899="Congé",D899="OFF",D899="Congé spécial"),"",IF(D899&gt;F899,D899-C899,IF(C899-D899&lt;0,0,C899-D899)))&lt;0.00068287037037037,"",IF(OR(D899="Congé",D899="OFF",C899="",D899="Congé spécial"),"",IF(D899&gt;F899,D899-C899,IF(C899-D899&lt;0,0,C899-D899))))</f>
        <v/>
      </c>
      <c r="J899" s="20"/>
      <c r="K899" s="8" t="n">
        <f aca="false">IF(SUM(H899:J899)&lt;0.00068287037037037,0,SUM(H899:J899))</f>
        <v>0</v>
      </c>
      <c r="L899" s="8" t="n">
        <f aca="false">IF(OR(F899="Congé",F899="OFF",M899="Abs",F899="Congé sans solde",F899="Férié",F899="Congé spécial",D899="Congé spécial"),0,IF(F899-E899&lt;0,0,IF(F899-E899&lt;=0.00068287037037037,0,F899-E899)))</f>
        <v>0</v>
      </c>
      <c r="M899" s="6" t="n">
        <f aca="false">IF(AND(O899&lt;&gt;0,C899=""),"Abs",0)</f>
        <v>0</v>
      </c>
      <c r="N899" s="8" t="n">
        <f aca="false">IFERROR(IF(OR(D899="OFF",D899="Congé",M899="Abs",D899="Congé sans solde",D899="Férié"),"",IF(O899-K899-L899&gt;O899,O899,IF(O899-K899-L899&lt;0,"",O899-K899-L899))),"")</f>
        <v>0.375</v>
      </c>
      <c r="O899" s="8" t="n">
        <f aca="false">IF(AG899="2H Pause déjeuner",IF(F899-D899-0.0833333333333333&lt;0,F899-D899-0.0833333333333333+1,F899-D899-0.0833333333333333),IF(OR(AND(F899="OFF",D899="OFF"),AND(F899="Congé",D899="Congé"),AND(F899="Congé sans solde",D899="Congé sans solde"),AND(F899="Congé spécial",D899="Congé spécial"),AND(F899="Férié",D899="Férié"),AND(F899="OFF",D899="Congé"),AND(F899="OFF",D899="Congé sans solde"),AND(F899="OFF",D899="Congé spécial"),AND(F899="OFF",D899="Férié"),AND(F899="Congé",D899="OFF"),AND(F899="Congé",D899="Congé sans solde"),AND(F899="Congé",D899="Congé spécial"),AND(F899="Congé",D899="Férié"),AND(F899="Congé sans solde",D899="OFF"),AND(F899="Congé sans solde",D899="Congé"),AND(F899="Congé sans solde",D899="Congé spécial"),AND(F899="Congé sans solde",D899="Férié"),AND(F899="Congé spécial",D899="OFF"),AND(F899="Congé spécial",D899="Congé"),AND(F899="Congé spécial",D899="Congé sans solde"),AND(F899="Congé spécial",D899="Férié"),AND(F899="Férié",D899="OFF"),AND(F899="Férié",D899="Congé"),AND(F899="Férié",D899="Congé sans solde"),AND(F899="Férié",D899="Congé spécial")),0,IF(OR(F899="OFF",F899="Congé",F899="Congé spécial",F899="Congé sans solde",D899="OFF",D899="Congé",D899="Congé spécial",D899="Congé sans solde"),0.208333333333334,IF(AND(AG899="",F899-D899&lt;0),("24:00:00"-D899)+("00:00:00"+F899)-0.0416666666666667,IF(AND(OR(AG899="Allaitement",AG899="Sans déjeuner"),F899-D899&lt;0),("24:00:00"-D899)+("00:00:00"+F899),IF(AND(AG899="",F899-D899&gt;0.166666666666667),F899-D899-0.0416666666666667,IF(AND(OR(AG899="Allaitement",AG899="Sans déjeuner"),F899-D899&gt;0.166666666666667),F899-D899,F899-D899)))))))</f>
        <v>0.375</v>
      </c>
      <c r="P899" s="6" t="str">
        <f aca="false">IFERROR(VLOOKUP($B899,Agents!$A:$D,2,0),"-")</f>
        <v>Accessibilité</v>
      </c>
      <c r="Q899" s="21" t="n">
        <v>46230</v>
      </c>
      <c r="R899" s="8" t="n">
        <f aca="false">IF(M899="Abs",O899,0)</f>
        <v>0</v>
      </c>
      <c r="S899" s="8" t="n">
        <f aca="false">SUM(R899,L899,I899,J899,W899,H899)</f>
        <v>0</v>
      </c>
      <c r="T899" s="6" t="str">
        <f aca="false">"Sem - "&amp;WEEKNUM(Q899,21)</f>
        <v>Sem - 31</v>
      </c>
      <c r="U899" s="6" t="str">
        <f aca="false">CHOOSE(MONTH(Q899),"Janvier","Février","Mars","Avril","Mai","Juin","Juillet","Août","Septembre","Octobre","Novembre","Décembre")</f>
        <v>Juillet</v>
      </c>
      <c r="V899" s="22" t="n">
        <f aca="false">YEAR(Q899)</f>
        <v>2026</v>
      </c>
      <c r="W899" s="20"/>
      <c r="X899" s="8" t="n">
        <f aca="false">IFERROR(IF(M899="Abs",0,IF(ROUND((D899-C899+E899-F899)*1440,0)&lt;=1,0,D899-C899+E899-F899)),0)</f>
        <v>0</v>
      </c>
      <c r="Y899" s="6" t="str">
        <f aca="false">IFERROR(VLOOKUP($B899,Agents!$A:$D,3,0),"-")</f>
        <v>OUBRAHIM Mohammed</v>
      </c>
      <c r="Z899" s="6" t="str">
        <f aca="false">IFERROR(VLOOKUP($B899,Agents!$A:$D,4,0),"-")</f>
        <v>Credit Mutuel</v>
      </c>
      <c r="AA899" s="18" t="s">
        <v>113</v>
      </c>
      <c r="AB899" s="8" t="str">
        <f aca="false">IF(AND(D899="Congé",F899="Congé"),0.333333333333333,IF(OR(AND(D899="Congé",F899&lt;&gt;"Congé"),(AND(F899="Congé",D899&lt;&gt;"Congé"))),0.166666666666667,""))</f>
        <v/>
      </c>
      <c r="AC899" s="8" t="str">
        <f aca="false">IF(AND(D899="Congé sans solde",F899="Congé sans solde"),0.333333333333333,IF(OR(AND(D899="Congé sans solde",F899&lt;&gt;"Congé sans solde"),(AND(F899="Congé sans solde",D899&lt;&gt;"Congé sans solde"))),0.166666666666667,""))</f>
        <v/>
      </c>
      <c r="AD899" s="8" t="str">
        <f aca="false">IF(AND(D899="Congé spécial",F899="Congé spécial"),0.333333333333333,IF(OR(AND(D899="Congé spécial",F899&lt;&gt;"Congé spécial"),AND(F899="Congé spécial",D899&lt;&gt;"Congé spécial")),0.166666666666667,""))</f>
        <v/>
      </c>
      <c r="AE899" s="8" t="str">
        <f aca="false">IF(AND(D899="Férié",F899="Férié"),0.333333333333333,IF(OR(AND(D899="Férié",F899&lt;&gt;"Férié"),(AND(F899="Férié",D899&lt;&gt;"Férié"))),0.166666666666667,""))</f>
        <v/>
      </c>
      <c r="AF899" s="18"/>
      <c r="AG899" s="18"/>
    </row>
    <row r="900" customFormat="false" ht="15" hidden="false" customHeight="false" outlineLevel="0" collapsed="false">
      <c r="A900" s="6" t="str">
        <f aca="false">YEAR(Q900-WEEKDAY(Q900,2)+4)&amp;"-S"&amp;TEXT(WEEKNUM(Q900,21),"00")</f>
        <v>2026-S31</v>
      </c>
      <c r="B900" s="18" t="s">
        <v>73</v>
      </c>
      <c r="C900" s="19" t="n">
        <v>0.333333333333333</v>
      </c>
      <c r="D900" s="19" t="n">
        <v>0.333333333333333</v>
      </c>
      <c r="E900" s="19" t="n">
        <v>0.75</v>
      </c>
      <c r="F900" s="19" t="n">
        <v>0.75</v>
      </c>
      <c r="G900" s="20"/>
      <c r="H900" s="20"/>
      <c r="I900" s="8" t="str">
        <f aca="false">IF(IF(OR(C900="",D900="Congé",D900="OFF",D900="Congé spécial"),"",IF(D900&gt;F900,D900-C900,IF(C900-D900&lt;0,0,C900-D900)))&lt;0.00068287037037037,"",IF(OR(D900="Congé",D900="OFF",C900="",D900="Congé spécial"),"",IF(D900&gt;F900,D900-C900,IF(C900-D900&lt;0,0,C900-D900))))</f>
        <v/>
      </c>
      <c r="J900" s="20"/>
      <c r="K900" s="8" t="n">
        <f aca="false">IF(SUM(H900:J900)&lt;0.00068287037037037,0,SUM(H900:J900))</f>
        <v>0</v>
      </c>
      <c r="L900" s="8" t="n">
        <f aca="false">IF(OR(F900="Congé",F900="OFF",M900="Abs",F900="Congé sans solde",F900="Férié",F900="Congé spécial",D900="Congé spécial"),0,IF(F900-E900&lt;0,0,IF(F900-E900&lt;=0.00068287037037037,0,F900-E900)))</f>
        <v>0</v>
      </c>
      <c r="M900" s="6" t="n">
        <f aca="false">IF(AND(O900&lt;&gt;0,C900=""),"Abs",0)</f>
        <v>0</v>
      </c>
      <c r="N900" s="8" t="n">
        <f aca="false">IFERROR(IF(OR(D900="OFF",D900="Congé",M900="Abs",D900="Congé sans solde",D900="Férié"),"",IF(O900-K900-L900&gt;O900,O900,IF(O900-K900-L900&lt;0,"",O900-K900-L900))),"")</f>
        <v>0.375</v>
      </c>
      <c r="O900" s="8" t="n">
        <f aca="false">IF(AG900="2H Pause déjeuner",IF(F900-D900-0.0833333333333333&lt;0,F900-D900-0.0833333333333333+1,F900-D900-0.0833333333333333),IF(OR(AND(F900="OFF",D900="OFF"),AND(F900="Congé",D900="Congé"),AND(F900="Congé sans solde",D900="Congé sans solde"),AND(F900="Congé spécial",D900="Congé spécial"),AND(F900="Férié",D900="Férié"),AND(F900="OFF",D900="Congé"),AND(F900="OFF",D900="Congé sans solde"),AND(F900="OFF",D900="Congé spécial"),AND(F900="OFF",D900="Férié"),AND(F900="Congé",D900="OFF"),AND(F900="Congé",D900="Congé sans solde"),AND(F900="Congé",D900="Congé spécial"),AND(F900="Congé",D900="Férié"),AND(F900="Congé sans solde",D900="OFF"),AND(F900="Congé sans solde",D900="Congé"),AND(F900="Congé sans solde",D900="Congé spécial"),AND(F900="Congé sans solde",D900="Férié"),AND(F900="Congé spécial",D900="OFF"),AND(F900="Congé spécial",D900="Congé"),AND(F900="Congé spécial",D900="Congé sans solde"),AND(F900="Congé spécial",D900="Férié"),AND(F900="Férié",D900="OFF"),AND(F900="Férié",D900="Congé"),AND(F900="Férié",D900="Congé sans solde"),AND(F900="Férié",D900="Congé spécial")),0,IF(OR(F900="OFF",F900="Congé",F900="Congé spécial",F900="Congé sans solde",D900="OFF",D900="Congé",D900="Congé spécial",D900="Congé sans solde"),0.208333333333334,IF(AND(AG900="",F900-D900&lt;0),("24:00:00"-D900)+("00:00:00"+F900)-0.0416666666666667,IF(AND(OR(AG900="Allaitement",AG900="Sans déjeuner"),F900-D900&lt;0),("24:00:00"-D900)+("00:00:00"+F900),IF(AND(AG900="",F900-D900&gt;0.166666666666667),F900-D900-0.0416666666666667,IF(AND(OR(AG900="Allaitement",AG900="Sans déjeuner"),F900-D900&gt;0.166666666666667),F900-D900,F900-D900)))))))</f>
        <v>0.375</v>
      </c>
      <c r="P900" s="6" t="str">
        <f aca="false">IFERROR(VLOOKUP($B900,Agents!$A:$D,2,0),"-")</f>
        <v>Accessibilité</v>
      </c>
      <c r="Q900" s="21" t="n">
        <v>46230</v>
      </c>
      <c r="R900" s="8" t="n">
        <f aca="false">IF(M900="Abs",O900,0)</f>
        <v>0</v>
      </c>
      <c r="S900" s="8" t="n">
        <f aca="false">SUM(R900,L900,I900,J900,W900,H900)</f>
        <v>0</v>
      </c>
      <c r="T900" s="6" t="str">
        <f aca="false">"Sem - "&amp;WEEKNUM(Q900,21)</f>
        <v>Sem - 31</v>
      </c>
      <c r="U900" s="6" t="str">
        <f aca="false">CHOOSE(MONTH(Q900),"Janvier","Février","Mars","Avril","Mai","Juin","Juillet","Août","Septembre","Octobre","Novembre","Décembre")</f>
        <v>Juillet</v>
      </c>
      <c r="V900" s="22" t="n">
        <f aca="false">YEAR(Q900)</f>
        <v>2026</v>
      </c>
      <c r="W900" s="20"/>
      <c r="X900" s="8" t="n">
        <f aca="false">IFERROR(IF(M900="Abs",0,IF(ROUND((D900-C900+E900-F900)*1440,0)&lt;=1,0,D900-C900+E900-F900)),0)</f>
        <v>0</v>
      </c>
      <c r="Y900" s="6" t="str">
        <f aca="false">IFERROR(VLOOKUP($B900,Agents!$A:$D,3,0),"-")</f>
        <v>OUBRAHIM Mohammed</v>
      </c>
      <c r="Z900" s="6" t="str">
        <f aca="false">IFERROR(VLOOKUP($B900,Agents!$A:$D,4,0),"-")</f>
        <v>Credit Mutuel</v>
      </c>
      <c r="AA900" s="18" t="s">
        <v>113</v>
      </c>
      <c r="AB900" s="8" t="str">
        <f aca="false">IF(AND(D900="Congé",F900="Congé"),0.333333333333333,IF(OR(AND(D900="Congé",F900&lt;&gt;"Congé"),(AND(F900="Congé",D900&lt;&gt;"Congé"))),0.166666666666667,""))</f>
        <v/>
      </c>
      <c r="AC900" s="8" t="str">
        <f aca="false">IF(AND(D900="Congé sans solde",F900="Congé sans solde"),0.333333333333333,IF(OR(AND(D900="Congé sans solde",F900&lt;&gt;"Congé sans solde"),(AND(F900="Congé sans solde",D900&lt;&gt;"Congé sans solde"))),0.166666666666667,""))</f>
        <v/>
      </c>
      <c r="AD900" s="8" t="str">
        <f aca="false">IF(AND(D900="Congé spécial",F900="Congé spécial"),0.333333333333333,IF(OR(AND(D900="Congé spécial",F900&lt;&gt;"Congé spécial"),AND(F900="Congé spécial",D900&lt;&gt;"Congé spécial")),0.166666666666667,""))</f>
        <v/>
      </c>
      <c r="AE900" s="8" t="str">
        <f aca="false">IF(AND(D900="Férié",F900="Férié"),0.333333333333333,IF(OR(AND(D900="Férié",F900&lt;&gt;"Férié"),(AND(F900="Férié",D900&lt;&gt;"Férié"))),0.166666666666667,""))</f>
        <v/>
      </c>
      <c r="AF900" s="18"/>
      <c r="AG900" s="18"/>
    </row>
    <row r="901" customFormat="false" ht="15" hidden="false" customHeight="false" outlineLevel="0" collapsed="false">
      <c r="A901" s="6" t="str">
        <f aca="false">YEAR(Q901-WEEKDAY(Q901,2)+4)&amp;"-S"&amp;TEXT(WEEKNUM(Q901,21),"00")</f>
        <v>2026-S31</v>
      </c>
      <c r="B901" s="18" t="s">
        <v>71</v>
      </c>
      <c r="C901" s="19" t="n">
        <v>0.331944444444444</v>
      </c>
      <c r="D901" s="19" t="n">
        <v>0.333333333333333</v>
      </c>
      <c r="E901" s="19" t="n">
        <v>0.75</v>
      </c>
      <c r="F901" s="19" t="n">
        <v>0.75</v>
      </c>
      <c r="G901" s="20"/>
      <c r="H901" s="20"/>
      <c r="I901" s="8" t="str">
        <f aca="false">IF(IF(OR(C901="",D901="Congé",D901="OFF",D901="Congé spécial"),"",IF(D901&gt;F901,D901-C901,IF(C901-D901&lt;0,0,C901-D901)))&lt;0.00068287037037037,"",IF(OR(D901="Congé",D901="OFF",C901="",D901="Congé spécial"),"",IF(D901&gt;F901,D901-C901,IF(C901-D901&lt;0,0,C901-D901))))</f>
        <v/>
      </c>
      <c r="J901" s="20"/>
      <c r="K901" s="8" t="n">
        <f aca="false">IF(SUM(H901:J901)&lt;0.00068287037037037,0,SUM(H901:J901))</f>
        <v>0</v>
      </c>
      <c r="L901" s="8" t="n">
        <f aca="false">IF(OR(F901="Congé",F901="OFF",M901="Abs",F901="Congé sans solde",F901="Férié",F901="Congé spécial",D901="Congé spécial"),0,IF(F901-E901&lt;0,0,IF(F901-E901&lt;=0.00068287037037037,0,F901-E901)))</f>
        <v>0</v>
      </c>
      <c r="M901" s="6" t="n">
        <f aca="false">IF(AND(O901&lt;&gt;0,C901=""),"Abs",0)</f>
        <v>0</v>
      </c>
      <c r="N901" s="8" t="n">
        <f aca="false">IFERROR(IF(OR(D901="OFF",D901="Congé",M901="Abs",D901="Congé sans solde",D901="Férié"),"",IF(O901-K901-L901&gt;O901,O901,IF(O901-K901-L901&lt;0,"",O901-K901-L901))),"")</f>
        <v>0.375</v>
      </c>
      <c r="O901" s="8" t="n">
        <f aca="false">IF(AG901="2H Pause déjeuner",IF(F901-D901-0.0833333333333333&lt;0,F901-D901-0.0833333333333333+1,F901-D901-0.0833333333333333),IF(OR(AND(F901="OFF",D901="OFF"),AND(F901="Congé",D901="Congé"),AND(F901="Congé sans solde",D901="Congé sans solde"),AND(F901="Congé spécial",D901="Congé spécial"),AND(F901="Férié",D901="Férié"),AND(F901="OFF",D901="Congé"),AND(F901="OFF",D901="Congé sans solde"),AND(F901="OFF",D901="Congé spécial"),AND(F901="OFF",D901="Férié"),AND(F901="Congé",D901="OFF"),AND(F901="Congé",D901="Congé sans solde"),AND(F901="Congé",D901="Congé spécial"),AND(F901="Congé",D901="Férié"),AND(F901="Congé sans solde",D901="OFF"),AND(F901="Congé sans solde",D901="Congé"),AND(F901="Congé sans solde",D901="Congé spécial"),AND(F901="Congé sans solde",D901="Férié"),AND(F901="Congé spécial",D901="OFF"),AND(F901="Congé spécial",D901="Congé"),AND(F901="Congé spécial",D901="Congé sans solde"),AND(F901="Congé spécial",D901="Férié"),AND(F901="Férié",D901="OFF"),AND(F901="Férié",D901="Congé"),AND(F901="Férié",D901="Congé sans solde"),AND(F901="Férié",D901="Congé spécial")),0,IF(OR(F901="OFF",F901="Congé",F901="Congé spécial",F901="Congé sans solde",D901="OFF",D901="Congé",D901="Congé spécial",D901="Congé sans solde"),0.208333333333334,IF(AND(AG901="",F901-D901&lt;0),("24:00:00"-D901)+("00:00:00"+F901)-0.0416666666666667,IF(AND(OR(AG901="Allaitement",AG901="Sans déjeuner"),F901-D901&lt;0),("24:00:00"-D901)+("00:00:00"+F901),IF(AND(AG901="",F901-D901&gt;0.166666666666667),F901-D901-0.0416666666666667,IF(AND(OR(AG901="Allaitement",AG901="Sans déjeuner"),F901-D901&gt;0.166666666666667),F901-D901,F901-D901)))))))</f>
        <v>0.375</v>
      </c>
      <c r="P901" s="6" t="str">
        <f aca="false">IFERROR(VLOOKUP($B901,Agents!$A:$D,2,0),"-")</f>
        <v>Accessibilité</v>
      </c>
      <c r="Q901" s="21" t="n">
        <v>46231</v>
      </c>
      <c r="R901" s="8" t="n">
        <f aca="false">IF(M901="Abs",O901,0)</f>
        <v>0</v>
      </c>
      <c r="S901" s="8" t="n">
        <f aca="false">SUM(R901,L901,I901,J901,W901,H901)</f>
        <v>0</v>
      </c>
      <c r="T901" s="6" t="str">
        <f aca="false">"Sem - "&amp;WEEKNUM(Q901,21)</f>
        <v>Sem - 31</v>
      </c>
      <c r="U901" s="6" t="str">
        <f aca="false">CHOOSE(MONTH(Q901),"Janvier","Février","Mars","Avril","Mai","Juin","Juillet","Août","Septembre","Octobre","Novembre","Décembre")</f>
        <v>Juillet</v>
      </c>
      <c r="V901" s="22" t="n">
        <f aca="false">YEAR(Q901)</f>
        <v>2026</v>
      </c>
      <c r="W901" s="20"/>
      <c r="X901" s="8" t="n">
        <f aca="false">IFERROR(IF(M901="Abs",0,IF(ROUND((D901-C901+E901-F901)*1440,0)&lt;=1,0,D901-C901+E901-F901)),0)</f>
        <v>0.00138888888888889</v>
      </c>
      <c r="Y901" s="6" t="str">
        <f aca="false">IFERROR(VLOOKUP($B901,Agents!$A:$D,3,0),"-")</f>
        <v>OUBRAHIM Mohammed</v>
      </c>
      <c r="Z901" s="6" t="str">
        <f aca="false">IFERROR(VLOOKUP($B901,Agents!$A:$D,4,0),"-")</f>
        <v>Credit Mutuel</v>
      </c>
      <c r="AA901" s="18" t="s">
        <v>113</v>
      </c>
      <c r="AB901" s="8" t="str">
        <f aca="false">IF(AND(D901="Congé",F901="Congé"),0.333333333333333,IF(OR(AND(D901="Congé",F901&lt;&gt;"Congé"),(AND(F901="Congé",D901&lt;&gt;"Congé"))),0.166666666666667,""))</f>
        <v/>
      </c>
      <c r="AC901" s="8" t="str">
        <f aca="false">IF(AND(D901="Congé sans solde",F901="Congé sans solde"),0.333333333333333,IF(OR(AND(D901="Congé sans solde",F901&lt;&gt;"Congé sans solde"),(AND(F901="Congé sans solde",D901&lt;&gt;"Congé sans solde"))),0.166666666666667,""))</f>
        <v/>
      </c>
      <c r="AD901" s="8" t="str">
        <f aca="false">IF(AND(D901="Congé spécial",F901="Congé spécial"),0.333333333333333,IF(OR(AND(D901="Congé spécial",F901&lt;&gt;"Congé spécial"),AND(F901="Congé spécial",D901&lt;&gt;"Congé spécial")),0.166666666666667,""))</f>
        <v/>
      </c>
      <c r="AE901" s="8" t="str">
        <f aca="false">IF(AND(D901="Férié",F901="Férié"),0.333333333333333,IF(OR(AND(D901="Férié",F901&lt;&gt;"Férié"),(AND(F901="Férié",D901&lt;&gt;"Férié"))),0.166666666666667,""))</f>
        <v/>
      </c>
      <c r="AF901" s="18"/>
      <c r="AG901" s="18"/>
    </row>
    <row r="902" customFormat="false" ht="15" hidden="false" customHeight="false" outlineLevel="0" collapsed="false">
      <c r="A902" s="6" t="str">
        <f aca="false">YEAR(Q902-WEEKDAY(Q902,2)+4)&amp;"-S"&amp;TEXT(WEEKNUM(Q902,21),"00")</f>
        <v>2026-S31</v>
      </c>
      <c r="B902" s="18" t="s">
        <v>72</v>
      </c>
      <c r="C902" s="19" t="n">
        <v>0.33125</v>
      </c>
      <c r="D902" s="19" t="n">
        <v>0.333333333333333</v>
      </c>
      <c r="E902" s="19" t="n">
        <v>0.75</v>
      </c>
      <c r="F902" s="19" t="n">
        <v>0.75</v>
      </c>
      <c r="G902" s="20"/>
      <c r="H902" s="20"/>
      <c r="I902" s="8" t="str">
        <f aca="false">IF(IF(OR(C902="",D902="Congé",D902="OFF",D902="Congé spécial"),"",IF(D902&gt;F902,D902-C902,IF(C902-D902&lt;0,0,C902-D902)))&lt;0.00068287037037037,"",IF(OR(D902="Congé",D902="OFF",C902="",D902="Congé spécial"),"",IF(D902&gt;F902,D902-C902,IF(C902-D902&lt;0,0,C902-D902))))</f>
        <v/>
      </c>
      <c r="J902" s="20"/>
      <c r="K902" s="8" t="n">
        <f aca="false">IF(SUM(H902:J902)&lt;0.00068287037037037,0,SUM(H902:J902))</f>
        <v>0</v>
      </c>
      <c r="L902" s="8" t="n">
        <f aca="false">IF(OR(F902="Congé",F902="OFF",M902="Abs",F902="Congé sans solde",F902="Férié",F902="Congé spécial",D902="Congé spécial"),0,IF(F902-E902&lt;0,0,IF(F902-E902&lt;=0.00068287037037037,0,F902-E902)))</f>
        <v>0</v>
      </c>
      <c r="M902" s="6" t="n">
        <f aca="false">IF(AND(O902&lt;&gt;0,C902=""),"Abs",0)</f>
        <v>0</v>
      </c>
      <c r="N902" s="8" t="n">
        <f aca="false">IFERROR(IF(OR(D902="OFF",D902="Congé",M902="Abs",D902="Congé sans solde",D902="Férié"),"",IF(O902-K902-L902&gt;O902,O902,IF(O902-K902-L902&lt;0,"",O902-K902-L902))),"")</f>
        <v>0.375</v>
      </c>
      <c r="O902" s="8" t="n">
        <f aca="false">IF(AG902="2H Pause déjeuner",IF(F902-D902-0.0833333333333333&lt;0,F902-D902-0.0833333333333333+1,F902-D902-0.0833333333333333),IF(OR(AND(F902="OFF",D902="OFF"),AND(F902="Congé",D902="Congé"),AND(F902="Congé sans solde",D902="Congé sans solde"),AND(F902="Congé spécial",D902="Congé spécial"),AND(F902="Férié",D902="Férié"),AND(F902="OFF",D902="Congé"),AND(F902="OFF",D902="Congé sans solde"),AND(F902="OFF",D902="Congé spécial"),AND(F902="OFF",D902="Férié"),AND(F902="Congé",D902="OFF"),AND(F902="Congé",D902="Congé sans solde"),AND(F902="Congé",D902="Congé spécial"),AND(F902="Congé",D902="Férié"),AND(F902="Congé sans solde",D902="OFF"),AND(F902="Congé sans solde",D902="Congé"),AND(F902="Congé sans solde",D902="Congé spécial"),AND(F902="Congé sans solde",D902="Férié"),AND(F902="Congé spécial",D902="OFF"),AND(F902="Congé spécial",D902="Congé"),AND(F902="Congé spécial",D902="Congé sans solde"),AND(F902="Congé spécial",D902="Férié"),AND(F902="Férié",D902="OFF"),AND(F902="Férié",D902="Congé"),AND(F902="Férié",D902="Congé sans solde"),AND(F902="Férié",D902="Congé spécial")),0,IF(OR(F902="OFF",F902="Congé",F902="Congé spécial",F902="Congé sans solde",D902="OFF",D902="Congé",D902="Congé spécial",D902="Congé sans solde"),0.208333333333334,IF(AND(AG902="",F902-D902&lt;0),("24:00:00"-D902)+("00:00:00"+F902)-0.0416666666666667,IF(AND(OR(AG902="Allaitement",AG902="Sans déjeuner"),F902-D902&lt;0),("24:00:00"-D902)+("00:00:00"+F902),IF(AND(AG902="",F902-D902&gt;0.166666666666667),F902-D902-0.0416666666666667,IF(AND(OR(AG902="Allaitement",AG902="Sans déjeuner"),F902-D902&gt;0.166666666666667),F902-D902,F902-D902)))))))</f>
        <v>0.375</v>
      </c>
      <c r="P902" s="6" t="str">
        <f aca="false">IFERROR(VLOOKUP($B902,Agents!$A:$D,2,0),"-")</f>
        <v>Accessibilité</v>
      </c>
      <c r="Q902" s="21" t="n">
        <v>46231</v>
      </c>
      <c r="R902" s="8" t="n">
        <f aca="false">IF(M902="Abs",O902,0)</f>
        <v>0</v>
      </c>
      <c r="S902" s="8" t="n">
        <f aca="false">SUM(R902,L902,I902,J902,W902,H902)</f>
        <v>0</v>
      </c>
      <c r="T902" s="6" t="str">
        <f aca="false">"Sem - "&amp;WEEKNUM(Q902,21)</f>
        <v>Sem - 31</v>
      </c>
      <c r="U902" s="6" t="str">
        <f aca="false">CHOOSE(MONTH(Q902),"Janvier","Février","Mars","Avril","Mai","Juin","Juillet","Août","Septembre","Octobre","Novembre","Décembre")</f>
        <v>Juillet</v>
      </c>
      <c r="V902" s="22" t="n">
        <f aca="false">YEAR(Q902)</f>
        <v>2026</v>
      </c>
      <c r="W902" s="20"/>
      <c r="X902" s="8" t="n">
        <f aca="false">IFERROR(IF(M902="Abs",0,IF(ROUND((D902-C902+E902-F902)*1440,0)&lt;=1,0,D902-C902+E902-F902)),0)</f>
        <v>0.00208333333333333</v>
      </c>
      <c r="Y902" s="6" t="str">
        <f aca="false">IFERROR(VLOOKUP($B902,Agents!$A:$D,3,0),"-")</f>
        <v>OUBRAHIM Mohammed</v>
      </c>
      <c r="Z902" s="6" t="str">
        <f aca="false">IFERROR(VLOOKUP($B902,Agents!$A:$D,4,0),"-")</f>
        <v>Credit Mutuel</v>
      </c>
      <c r="AA902" s="18" t="s">
        <v>113</v>
      </c>
      <c r="AB902" s="8" t="str">
        <f aca="false">IF(AND(D902="Congé",F902="Congé"),0.333333333333333,IF(OR(AND(D902="Congé",F902&lt;&gt;"Congé"),(AND(F902="Congé",D902&lt;&gt;"Congé"))),0.166666666666667,""))</f>
        <v/>
      </c>
      <c r="AC902" s="8" t="str">
        <f aca="false">IF(AND(D902="Congé sans solde",F902="Congé sans solde"),0.333333333333333,IF(OR(AND(D902="Congé sans solde",F902&lt;&gt;"Congé sans solde"),(AND(F902="Congé sans solde",D902&lt;&gt;"Congé sans solde"))),0.166666666666667,""))</f>
        <v/>
      </c>
      <c r="AD902" s="8" t="str">
        <f aca="false">IF(AND(D902="Congé spécial",F902="Congé spécial"),0.333333333333333,IF(OR(AND(D902="Congé spécial",F902&lt;&gt;"Congé spécial"),AND(F902="Congé spécial",D902&lt;&gt;"Congé spécial")),0.166666666666667,""))</f>
        <v/>
      </c>
      <c r="AE902" s="8" t="str">
        <f aca="false">IF(AND(D902="Férié",F902="Férié"),0.333333333333333,IF(OR(AND(D902="Férié",F902&lt;&gt;"Férié"),(AND(F902="Férié",D902&lt;&gt;"Férié"))),0.166666666666667,""))</f>
        <v/>
      </c>
      <c r="AF902" s="18"/>
      <c r="AG902" s="18"/>
    </row>
    <row r="903" customFormat="false" ht="15" hidden="false" customHeight="false" outlineLevel="0" collapsed="false">
      <c r="A903" s="6" t="str">
        <f aca="false">YEAR(Q903-WEEKDAY(Q903,2)+4)&amp;"-S"&amp;TEXT(WEEKNUM(Q903,21),"00")</f>
        <v>2026-S31</v>
      </c>
      <c r="B903" s="18" t="s">
        <v>73</v>
      </c>
      <c r="C903" s="19" t="n">
        <v>0.33125</v>
      </c>
      <c r="D903" s="19" t="n">
        <v>0.333333333333333</v>
      </c>
      <c r="E903" s="19" t="n">
        <v>0.75</v>
      </c>
      <c r="F903" s="19" t="n">
        <v>0.75</v>
      </c>
      <c r="G903" s="20"/>
      <c r="H903" s="20"/>
      <c r="I903" s="8" t="str">
        <f aca="false">IF(IF(OR(C903="",D903="Congé",D903="OFF",D903="Congé spécial"),"",IF(D903&gt;F903,D903-C903,IF(C903-D903&lt;0,0,C903-D903)))&lt;0.00068287037037037,"",IF(OR(D903="Congé",D903="OFF",C903="",D903="Congé spécial"),"",IF(D903&gt;F903,D903-C903,IF(C903-D903&lt;0,0,C903-D903))))</f>
        <v/>
      </c>
      <c r="J903" s="20"/>
      <c r="K903" s="8" t="n">
        <f aca="false">IF(SUM(H903:J903)&lt;0.00068287037037037,0,SUM(H903:J903))</f>
        <v>0</v>
      </c>
      <c r="L903" s="8" t="n">
        <f aca="false">IF(OR(F903="Congé",F903="OFF",M903="Abs",F903="Congé sans solde",F903="Férié",F903="Congé spécial",D903="Congé spécial"),0,IF(F903-E903&lt;0,0,IF(F903-E903&lt;=0.00068287037037037,0,F903-E903)))</f>
        <v>0</v>
      </c>
      <c r="M903" s="6" t="n">
        <f aca="false">IF(AND(O903&lt;&gt;0,C903=""),"Abs",0)</f>
        <v>0</v>
      </c>
      <c r="N903" s="8" t="n">
        <f aca="false">IFERROR(IF(OR(D903="OFF",D903="Congé",M903="Abs",D903="Congé sans solde",D903="Férié"),"",IF(O903-K903-L903&gt;O903,O903,IF(O903-K903-L903&lt;0,"",O903-K903-L903))),"")</f>
        <v>0.375</v>
      </c>
      <c r="O903" s="8" t="n">
        <f aca="false">IF(AG903="2H Pause déjeuner",IF(F903-D903-0.0833333333333333&lt;0,F903-D903-0.0833333333333333+1,F903-D903-0.0833333333333333),IF(OR(AND(F903="OFF",D903="OFF"),AND(F903="Congé",D903="Congé"),AND(F903="Congé sans solde",D903="Congé sans solde"),AND(F903="Congé spécial",D903="Congé spécial"),AND(F903="Férié",D903="Férié"),AND(F903="OFF",D903="Congé"),AND(F903="OFF",D903="Congé sans solde"),AND(F903="OFF",D903="Congé spécial"),AND(F903="OFF",D903="Férié"),AND(F903="Congé",D903="OFF"),AND(F903="Congé",D903="Congé sans solde"),AND(F903="Congé",D903="Congé spécial"),AND(F903="Congé",D903="Férié"),AND(F903="Congé sans solde",D903="OFF"),AND(F903="Congé sans solde",D903="Congé"),AND(F903="Congé sans solde",D903="Congé spécial"),AND(F903="Congé sans solde",D903="Férié"),AND(F903="Congé spécial",D903="OFF"),AND(F903="Congé spécial",D903="Congé"),AND(F903="Congé spécial",D903="Congé sans solde"),AND(F903="Congé spécial",D903="Férié"),AND(F903="Férié",D903="OFF"),AND(F903="Férié",D903="Congé"),AND(F903="Férié",D903="Congé sans solde"),AND(F903="Férié",D903="Congé spécial")),0,IF(OR(F903="OFF",F903="Congé",F903="Congé spécial",F903="Congé sans solde",D903="OFF",D903="Congé",D903="Congé spécial",D903="Congé sans solde"),0.208333333333334,IF(AND(AG903="",F903-D903&lt;0),("24:00:00"-D903)+("00:00:00"+F903)-0.0416666666666667,IF(AND(OR(AG903="Allaitement",AG903="Sans déjeuner"),F903-D903&lt;0),("24:00:00"-D903)+("00:00:00"+F903),IF(AND(AG903="",F903-D903&gt;0.166666666666667),F903-D903-0.0416666666666667,IF(AND(OR(AG903="Allaitement",AG903="Sans déjeuner"),F903-D903&gt;0.166666666666667),F903-D903,F903-D903)))))))</f>
        <v>0.375</v>
      </c>
      <c r="P903" s="6" t="str">
        <f aca="false">IFERROR(VLOOKUP($B903,Agents!$A:$D,2,0),"-")</f>
        <v>Accessibilité</v>
      </c>
      <c r="Q903" s="21" t="n">
        <v>46231</v>
      </c>
      <c r="R903" s="8" t="n">
        <f aca="false">IF(M903="Abs",O903,0)</f>
        <v>0</v>
      </c>
      <c r="S903" s="8" t="n">
        <f aca="false">SUM(R903,L903,I903,J903,W903,H903)</f>
        <v>0</v>
      </c>
      <c r="T903" s="6" t="str">
        <f aca="false">"Sem - "&amp;WEEKNUM(Q903,21)</f>
        <v>Sem - 31</v>
      </c>
      <c r="U903" s="6" t="str">
        <f aca="false">CHOOSE(MONTH(Q903),"Janvier","Février","Mars","Avril","Mai","Juin","Juillet","Août","Septembre","Octobre","Novembre","Décembre")</f>
        <v>Juillet</v>
      </c>
      <c r="V903" s="22" t="n">
        <f aca="false">YEAR(Q903)</f>
        <v>2026</v>
      </c>
      <c r="W903" s="20"/>
      <c r="X903" s="8" t="n">
        <f aca="false">IFERROR(IF(M903="Abs",0,IF(ROUND((D903-C903+E903-F903)*1440,0)&lt;=1,0,D903-C903+E903-F903)),0)</f>
        <v>0.00208333333333333</v>
      </c>
      <c r="Y903" s="6" t="str">
        <f aca="false">IFERROR(VLOOKUP($B903,Agents!$A:$D,3,0),"-")</f>
        <v>OUBRAHIM Mohammed</v>
      </c>
      <c r="Z903" s="6" t="str">
        <f aca="false">IFERROR(VLOOKUP($B903,Agents!$A:$D,4,0),"-")</f>
        <v>Credit Mutuel</v>
      </c>
      <c r="AA903" s="18" t="s">
        <v>113</v>
      </c>
      <c r="AB903" s="8" t="str">
        <f aca="false">IF(AND(D903="Congé",F903="Congé"),0.333333333333333,IF(OR(AND(D903="Congé",F903&lt;&gt;"Congé"),(AND(F903="Congé",D903&lt;&gt;"Congé"))),0.166666666666667,""))</f>
        <v/>
      </c>
      <c r="AC903" s="8" t="str">
        <f aca="false">IF(AND(D903="Congé sans solde",F903="Congé sans solde"),0.333333333333333,IF(OR(AND(D903="Congé sans solde",F903&lt;&gt;"Congé sans solde"),(AND(F903="Congé sans solde",D903&lt;&gt;"Congé sans solde"))),0.166666666666667,""))</f>
        <v/>
      </c>
      <c r="AD903" s="8" t="str">
        <f aca="false">IF(AND(D903="Congé spécial",F903="Congé spécial"),0.333333333333333,IF(OR(AND(D903="Congé spécial",F903&lt;&gt;"Congé spécial"),AND(F903="Congé spécial",D903&lt;&gt;"Congé spécial")),0.166666666666667,""))</f>
        <v/>
      </c>
      <c r="AE903" s="8" t="str">
        <f aca="false">IF(AND(D903="Férié",F903="Férié"),0.333333333333333,IF(OR(AND(D903="Férié",F903&lt;&gt;"Férié"),(AND(F903="Férié",D903&lt;&gt;"Férié"))),0.166666666666667,""))</f>
        <v/>
      </c>
      <c r="AF903" s="18"/>
      <c r="AG903" s="18"/>
    </row>
    <row r="904" customFormat="false" ht="15" hidden="false" customHeight="false" outlineLevel="0" collapsed="false">
      <c r="A904" s="6" t="str">
        <f aca="false">YEAR(Q904-WEEKDAY(Q904,2)+4)&amp;"-S"&amp;TEXT(WEEKNUM(Q904,21),"00")</f>
        <v>2026-S31</v>
      </c>
      <c r="B904" s="18" t="s">
        <v>71</v>
      </c>
      <c r="C904" s="19"/>
      <c r="D904" s="19" t="s">
        <v>83</v>
      </c>
      <c r="E904" s="19"/>
      <c r="F904" s="19" t="s">
        <v>83</v>
      </c>
      <c r="G904" s="20"/>
      <c r="H904" s="20"/>
      <c r="I904" s="8" t="str">
        <f aca="false">IF(IF(OR(C904="",D904="Congé",D904="OFF",D904="Congé spécial"),"",IF(D904&gt;F904,D904-C904,IF(C904-D904&lt;0,0,C904-D904)))&lt;0.00068287037037037,"",IF(OR(D904="Congé",D904="OFF",C904="",D904="Congé spécial"),"",IF(D904&gt;F904,D904-C904,IF(C904-D904&lt;0,0,C904-D904))))</f>
        <v/>
      </c>
      <c r="J904" s="20"/>
      <c r="K904" s="8" t="n">
        <f aca="false">IF(SUM(H904:J904)&lt;0.00068287037037037,0,SUM(H904:J904))</f>
        <v>0</v>
      </c>
      <c r="L904" s="8" t="n">
        <f aca="false">IF(OR(F904="Congé",F904="OFF",M904="Abs",F904="Congé sans solde",F904="Férié",F904="Congé spécial",D904="Congé spécial"),0,IF(F904-E904&lt;0,0,IF(F904-E904&lt;=0.00068287037037037,0,F904-E904)))</f>
        <v>0</v>
      </c>
      <c r="M904" s="6" t="n">
        <f aca="false">IF(AND(O904&lt;&gt;0,C904=""),"Abs",0)</f>
        <v>0</v>
      </c>
      <c r="N904" s="8" t="str">
        <f aca="false">IFERROR(IF(OR(D904="OFF",D904="Congé",M904="Abs",D904="Congé sans solde",D904="Férié"),"",IF(O904-K904-L904&gt;O904,O904,IF(O904-K904-L904&lt;0,"",O904-K904-L904))),"")</f>
        <v/>
      </c>
      <c r="O904" s="8" t="n">
        <f aca="false">IF(AG904="2H Pause déjeuner",IF(F904-D904-0.0833333333333333&lt;0,F904-D904-0.0833333333333333+1,F904-D904-0.0833333333333333),IF(OR(AND(F904="OFF",D904="OFF"),AND(F904="Congé",D904="Congé"),AND(F904="Congé sans solde",D904="Congé sans solde"),AND(F904="Congé spécial",D904="Congé spécial"),AND(F904="Férié",D904="Férié"),AND(F904="OFF",D904="Congé"),AND(F904="OFF",D904="Congé sans solde"),AND(F904="OFF",D904="Congé spécial"),AND(F904="OFF",D904="Férié"),AND(F904="Congé",D904="OFF"),AND(F904="Congé",D904="Congé sans solde"),AND(F904="Congé",D904="Congé spécial"),AND(F904="Congé",D904="Férié"),AND(F904="Congé sans solde",D904="OFF"),AND(F904="Congé sans solde",D904="Congé"),AND(F904="Congé sans solde",D904="Congé spécial"),AND(F904="Congé sans solde",D904="Férié"),AND(F904="Congé spécial",D904="OFF"),AND(F904="Congé spécial",D904="Congé"),AND(F904="Congé spécial",D904="Congé sans solde"),AND(F904="Congé spécial",D904="Férié"),AND(F904="Férié",D904="OFF"),AND(F904="Férié",D904="Congé"),AND(F904="Férié",D904="Congé sans solde"),AND(F904="Férié",D904="Congé spécial")),0,IF(OR(F904="OFF",F904="Congé",F904="Congé spécial",F904="Congé sans solde",D904="OFF",D904="Congé",D904="Congé spécial",D904="Congé sans solde"),0.208333333333334,IF(AND(AG904="",F904-D904&lt;0),("24:00:00"-D904)+("00:00:00"+F904)-0.0416666666666667,IF(AND(OR(AG904="Allaitement",AG904="Sans déjeuner"),F904-D904&lt;0),("24:00:00"-D904)+("00:00:00"+F904),IF(AND(AG904="",F904-D904&gt;0.166666666666667),F904-D904-0.0416666666666667,IF(AND(OR(AG904="Allaitement",AG904="Sans déjeuner"),F904-D904&gt;0.166666666666667),F904-D904,F904-D904)))))))</f>
        <v>0</v>
      </c>
      <c r="P904" s="6" t="str">
        <f aca="false">IFERROR(VLOOKUP($B904,Agents!$A:$D,2,0),"-")</f>
        <v>Accessibilité</v>
      </c>
      <c r="Q904" s="21" t="n">
        <v>46232</v>
      </c>
      <c r="R904" s="8" t="n">
        <f aca="false">IF(M904="Abs",O904,0)</f>
        <v>0</v>
      </c>
      <c r="S904" s="8" t="n">
        <f aca="false">SUM(R904,L904,I904,J904,W904,H904)</f>
        <v>0</v>
      </c>
      <c r="T904" s="6" t="str">
        <f aca="false">"Sem - "&amp;WEEKNUM(Q904,21)</f>
        <v>Sem - 31</v>
      </c>
      <c r="U904" s="6" t="str">
        <f aca="false">CHOOSE(MONTH(Q904),"Janvier","Février","Mars","Avril","Mai","Juin","Juillet","Août","Septembre","Octobre","Novembre","Décembre")</f>
        <v>Juillet</v>
      </c>
      <c r="V904" s="22" t="n">
        <f aca="false">YEAR(Q904)</f>
        <v>2026</v>
      </c>
      <c r="W904" s="20"/>
      <c r="X904" s="8" t="n">
        <f aca="false">IFERROR(IF(M904="Abs",0,IF(ROUND((D904-C904+E904-F904)*1440,0)&lt;=1,0,D904-C904+E904-F904)),0)</f>
        <v>0</v>
      </c>
      <c r="Y904" s="6" t="str">
        <f aca="false">IFERROR(VLOOKUP($B904,Agents!$A:$D,3,0),"-")</f>
        <v>OUBRAHIM Mohammed</v>
      </c>
      <c r="Z904" s="6" t="str">
        <f aca="false">IFERROR(VLOOKUP($B904,Agents!$A:$D,4,0),"-")</f>
        <v>Credit Mutuel</v>
      </c>
      <c r="AA904" s="18" t="s">
        <v>113</v>
      </c>
      <c r="AB904" s="8" t="n">
        <f aca="false">IF(AND(D904="Congé",F904="Congé"),0.333333333333333,IF(OR(AND(D904="Congé",F904&lt;&gt;"Congé"),(AND(F904="Congé",D904&lt;&gt;"Congé"))),0.166666666666667,""))</f>
        <v>0.333333333333333</v>
      </c>
      <c r="AC904" s="8" t="str">
        <f aca="false">IF(AND(D904="Congé sans solde",F904="Congé sans solde"),0.333333333333333,IF(OR(AND(D904="Congé sans solde",F904&lt;&gt;"Congé sans solde"),(AND(F904="Congé sans solde",D904&lt;&gt;"Congé sans solde"))),0.166666666666667,""))</f>
        <v/>
      </c>
      <c r="AD904" s="8" t="str">
        <f aca="false">IF(AND(D904="Congé spécial",F904="Congé spécial"),0.333333333333333,IF(OR(AND(D904="Congé spécial",F904&lt;&gt;"Congé spécial"),AND(F904="Congé spécial",D904&lt;&gt;"Congé spécial")),0.166666666666667,""))</f>
        <v/>
      </c>
      <c r="AE904" s="8" t="str">
        <f aca="false">IF(AND(D904="Férié",F904="Férié"),0.333333333333333,IF(OR(AND(D904="Férié",F904&lt;&gt;"Férié"),(AND(F904="Férié",D904&lt;&gt;"Férié"))),0.166666666666667,""))</f>
        <v/>
      </c>
      <c r="AF904" s="18"/>
      <c r="AG904" s="18"/>
    </row>
    <row r="905" customFormat="false" ht="15" hidden="false" customHeight="false" outlineLevel="0" collapsed="false">
      <c r="A905" s="6" t="str">
        <f aca="false">YEAR(Q905-WEEKDAY(Q905,2)+4)&amp;"-S"&amp;TEXT(WEEKNUM(Q905,21),"00")</f>
        <v>2026-S31</v>
      </c>
      <c r="B905" s="18" t="s">
        <v>72</v>
      </c>
      <c r="C905" s="19" t="n">
        <v>0.331944444444444</v>
      </c>
      <c r="D905" s="19" t="n">
        <v>0.333333333333333</v>
      </c>
      <c r="E905" s="19" t="n">
        <v>0.75</v>
      </c>
      <c r="F905" s="19" t="n">
        <v>0.75</v>
      </c>
      <c r="G905" s="20"/>
      <c r="H905" s="20"/>
      <c r="I905" s="8" t="str">
        <f aca="false">IF(IF(OR(C905="",D905="Congé",D905="OFF",D905="Congé spécial"),"",IF(D905&gt;F905,D905-C905,IF(C905-D905&lt;0,0,C905-D905)))&lt;0.00068287037037037,"",IF(OR(D905="Congé",D905="OFF",C905="",D905="Congé spécial"),"",IF(D905&gt;F905,D905-C905,IF(C905-D905&lt;0,0,C905-D905))))</f>
        <v/>
      </c>
      <c r="J905" s="20"/>
      <c r="K905" s="8" t="n">
        <f aca="false">IF(SUM(H905:J905)&lt;0.00068287037037037,0,SUM(H905:J905))</f>
        <v>0</v>
      </c>
      <c r="L905" s="8" t="n">
        <f aca="false">IF(OR(F905="Congé",F905="OFF",M905="Abs",F905="Congé sans solde",F905="Férié",F905="Congé spécial",D905="Congé spécial"),0,IF(F905-E905&lt;0,0,IF(F905-E905&lt;=0.00068287037037037,0,F905-E905)))</f>
        <v>0</v>
      </c>
      <c r="M905" s="6" t="n">
        <f aca="false">IF(AND(O905&lt;&gt;0,C905=""),"Abs",0)</f>
        <v>0</v>
      </c>
      <c r="N905" s="8" t="n">
        <f aca="false">IFERROR(IF(OR(D905="OFF",D905="Congé",M905="Abs",D905="Congé sans solde",D905="Férié"),"",IF(O905-K905-L905&gt;O905,O905,IF(O905-K905-L905&lt;0,"",O905-K905-L905))),"")</f>
        <v>0.375</v>
      </c>
      <c r="O905" s="8" t="n">
        <f aca="false">IF(AG905="2H Pause déjeuner",IF(F905-D905-0.0833333333333333&lt;0,F905-D905-0.0833333333333333+1,F905-D905-0.0833333333333333),IF(OR(AND(F905="OFF",D905="OFF"),AND(F905="Congé",D905="Congé"),AND(F905="Congé sans solde",D905="Congé sans solde"),AND(F905="Congé spécial",D905="Congé spécial"),AND(F905="Férié",D905="Férié"),AND(F905="OFF",D905="Congé"),AND(F905="OFF",D905="Congé sans solde"),AND(F905="OFF",D905="Congé spécial"),AND(F905="OFF",D905="Férié"),AND(F905="Congé",D905="OFF"),AND(F905="Congé",D905="Congé sans solde"),AND(F905="Congé",D905="Congé spécial"),AND(F905="Congé",D905="Férié"),AND(F905="Congé sans solde",D905="OFF"),AND(F905="Congé sans solde",D905="Congé"),AND(F905="Congé sans solde",D905="Congé spécial"),AND(F905="Congé sans solde",D905="Férié"),AND(F905="Congé spécial",D905="OFF"),AND(F905="Congé spécial",D905="Congé"),AND(F905="Congé spécial",D905="Congé sans solde"),AND(F905="Congé spécial",D905="Férié"),AND(F905="Férié",D905="OFF"),AND(F905="Férié",D905="Congé"),AND(F905="Férié",D905="Congé sans solde"),AND(F905="Férié",D905="Congé spécial")),0,IF(OR(F905="OFF",F905="Congé",F905="Congé spécial",F905="Congé sans solde",D905="OFF",D905="Congé",D905="Congé spécial",D905="Congé sans solde"),0.208333333333334,IF(AND(AG905="",F905-D905&lt;0),("24:00:00"-D905)+("00:00:00"+F905)-0.0416666666666667,IF(AND(OR(AG905="Allaitement",AG905="Sans déjeuner"),F905-D905&lt;0),("24:00:00"-D905)+("00:00:00"+F905),IF(AND(AG905="",F905-D905&gt;0.166666666666667),F905-D905-0.0416666666666667,IF(AND(OR(AG905="Allaitement",AG905="Sans déjeuner"),F905-D905&gt;0.166666666666667),F905-D905,F905-D905)))))))</f>
        <v>0.375</v>
      </c>
      <c r="P905" s="6" t="str">
        <f aca="false">IFERROR(VLOOKUP($B905,Agents!$A:$D,2,0),"-")</f>
        <v>Accessibilité</v>
      </c>
      <c r="Q905" s="21" t="n">
        <v>46232</v>
      </c>
      <c r="R905" s="8" t="n">
        <f aca="false">IF(M905="Abs",O905,0)</f>
        <v>0</v>
      </c>
      <c r="S905" s="8" t="n">
        <f aca="false">SUM(R905,L905,I905,J905,W905,H905)</f>
        <v>0</v>
      </c>
      <c r="T905" s="6" t="str">
        <f aca="false">"Sem - "&amp;WEEKNUM(Q905,21)</f>
        <v>Sem - 31</v>
      </c>
      <c r="U905" s="6" t="str">
        <f aca="false">CHOOSE(MONTH(Q905),"Janvier","Février","Mars","Avril","Mai","Juin","Juillet","Août","Septembre","Octobre","Novembre","Décembre")</f>
        <v>Juillet</v>
      </c>
      <c r="V905" s="22" t="n">
        <f aca="false">YEAR(Q905)</f>
        <v>2026</v>
      </c>
      <c r="W905" s="20"/>
      <c r="X905" s="8" t="n">
        <f aca="false">IFERROR(IF(M905="Abs",0,IF(ROUND((D905-C905+E905-F905)*1440,0)&lt;=1,0,D905-C905+E905-F905)),0)</f>
        <v>0.00138888888888889</v>
      </c>
      <c r="Y905" s="6" t="str">
        <f aca="false">IFERROR(VLOOKUP($B905,Agents!$A:$D,3,0),"-")</f>
        <v>OUBRAHIM Mohammed</v>
      </c>
      <c r="Z905" s="6" t="str">
        <f aca="false">IFERROR(VLOOKUP($B905,Agents!$A:$D,4,0),"-")</f>
        <v>Credit Mutuel</v>
      </c>
      <c r="AA905" s="18" t="s">
        <v>113</v>
      </c>
      <c r="AB905" s="8" t="str">
        <f aca="false">IF(AND(D905="Congé",F905="Congé"),0.333333333333333,IF(OR(AND(D905="Congé",F905&lt;&gt;"Congé"),(AND(F905="Congé",D905&lt;&gt;"Congé"))),0.166666666666667,""))</f>
        <v/>
      </c>
      <c r="AC905" s="8" t="str">
        <f aca="false">IF(AND(D905="Congé sans solde",F905="Congé sans solde"),0.333333333333333,IF(OR(AND(D905="Congé sans solde",F905&lt;&gt;"Congé sans solde"),(AND(F905="Congé sans solde",D905&lt;&gt;"Congé sans solde"))),0.166666666666667,""))</f>
        <v/>
      </c>
      <c r="AD905" s="8" t="str">
        <f aca="false">IF(AND(D905="Congé spécial",F905="Congé spécial"),0.333333333333333,IF(OR(AND(D905="Congé spécial",F905&lt;&gt;"Congé spécial"),AND(F905="Congé spécial",D905&lt;&gt;"Congé spécial")),0.166666666666667,""))</f>
        <v/>
      </c>
      <c r="AE905" s="8" t="str">
        <f aca="false">IF(AND(D905="Férié",F905="Férié"),0.333333333333333,IF(OR(AND(D905="Férié",F905&lt;&gt;"Férié"),(AND(F905="Férié",D905&lt;&gt;"Férié"))),0.166666666666667,""))</f>
        <v/>
      </c>
      <c r="AF905" s="18"/>
      <c r="AG905" s="18"/>
    </row>
    <row r="906" customFormat="false" ht="15" hidden="false" customHeight="false" outlineLevel="0" collapsed="false">
      <c r="A906" s="6" t="str">
        <f aca="false">YEAR(Q906-WEEKDAY(Q906,2)+4)&amp;"-S"&amp;TEXT(WEEKNUM(Q906,21),"00")</f>
        <v>2026-S31</v>
      </c>
      <c r="B906" s="18" t="s">
        <v>73</v>
      </c>
      <c r="C906" s="19" t="n">
        <v>0.332638888888889</v>
      </c>
      <c r="D906" s="19" t="n">
        <v>0.333333333333333</v>
      </c>
      <c r="E906" s="19" t="n">
        <v>0.75</v>
      </c>
      <c r="F906" s="19" t="n">
        <v>0.75</v>
      </c>
      <c r="G906" s="20"/>
      <c r="H906" s="20"/>
      <c r="I906" s="8" t="str">
        <f aca="false">IF(IF(OR(C906="",D906="Congé",D906="OFF",D906="Congé spécial"),"",IF(D906&gt;F906,D906-C906,IF(C906-D906&lt;0,0,C906-D906)))&lt;0.00068287037037037,"",IF(OR(D906="Congé",D906="OFF",C906="",D906="Congé spécial"),"",IF(D906&gt;F906,D906-C906,IF(C906-D906&lt;0,0,C906-D906))))</f>
        <v/>
      </c>
      <c r="J906" s="20"/>
      <c r="K906" s="8" t="n">
        <f aca="false">IF(SUM(H906:J906)&lt;0.00068287037037037,0,SUM(H906:J906))</f>
        <v>0</v>
      </c>
      <c r="L906" s="8" t="n">
        <f aca="false">IF(OR(F906="Congé",F906="OFF",M906="Abs",F906="Congé sans solde",F906="Férié",F906="Congé spécial",D906="Congé spécial"),0,IF(F906-E906&lt;0,0,IF(F906-E906&lt;=0.00068287037037037,0,F906-E906)))</f>
        <v>0</v>
      </c>
      <c r="M906" s="6" t="n">
        <f aca="false">IF(AND(O906&lt;&gt;0,C906=""),"Abs",0)</f>
        <v>0</v>
      </c>
      <c r="N906" s="8" t="n">
        <f aca="false">IFERROR(IF(OR(D906="OFF",D906="Congé",M906="Abs",D906="Congé sans solde",D906="Férié"),"",IF(O906-K906-L906&gt;O906,O906,IF(O906-K906-L906&lt;0,"",O906-K906-L906))),"")</f>
        <v>0.375</v>
      </c>
      <c r="O906" s="8" t="n">
        <f aca="false">IF(AG906="2H Pause déjeuner",IF(F906-D906-0.0833333333333333&lt;0,F906-D906-0.0833333333333333+1,F906-D906-0.0833333333333333),IF(OR(AND(F906="OFF",D906="OFF"),AND(F906="Congé",D906="Congé"),AND(F906="Congé sans solde",D906="Congé sans solde"),AND(F906="Congé spécial",D906="Congé spécial"),AND(F906="Férié",D906="Férié"),AND(F906="OFF",D906="Congé"),AND(F906="OFF",D906="Congé sans solde"),AND(F906="OFF",D906="Congé spécial"),AND(F906="OFF",D906="Férié"),AND(F906="Congé",D906="OFF"),AND(F906="Congé",D906="Congé sans solde"),AND(F906="Congé",D906="Congé spécial"),AND(F906="Congé",D906="Férié"),AND(F906="Congé sans solde",D906="OFF"),AND(F906="Congé sans solde",D906="Congé"),AND(F906="Congé sans solde",D906="Congé spécial"),AND(F906="Congé sans solde",D906="Férié"),AND(F906="Congé spécial",D906="OFF"),AND(F906="Congé spécial",D906="Congé"),AND(F906="Congé spécial",D906="Congé sans solde"),AND(F906="Congé spécial",D906="Férié"),AND(F906="Férié",D906="OFF"),AND(F906="Férié",D906="Congé"),AND(F906="Férié",D906="Congé sans solde"),AND(F906="Férié",D906="Congé spécial")),0,IF(OR(F906="OFF",F906="Congé",F906="Congé spécial",F906="Congé sans solde",D906="OFF",D906="Congé",D906="Congé spécial",D906="Congé sans solde"),0.208333333333334,IF(AND(AG906="",F906-D906&lt;0),("24:00:00"-D906)+("00:00:00"+F906)-0.0416666666666667,IF(AND(OR(AG906="Allaitement",AG906="Sans déjeuner"),F906-D906&lt;0),("24:00:00"-D906)+("00:00:00"+F906),IF(AND(AG906="",F906-D906&gt;0.166666666666667),F906-D906-0.0416666666666667,IF(AND(OR(AG906="Allaitement",AG906="Sans déjeuner"),F906-D906&gt;0.166666666666667),F906-D906,F906-D906)))))))</f>
        <v>0.375</v>
      </c>
      <c r="P906" s="6" t="str">
        <f aca="false">IFERROR(VLOOKUP($B906,Agents!$A:$D,2,0),"-")</f>
        <v>Accessibilité</v>
      </c>
      <c r="Q906" s="21" t="n">
        <v>46232</v>
      </c>
      <c r="R906" s="8" t="n">
        <f aca="false">IF(M906="Abs",O906,0)</f>
        <v>0</v>
      </c>
      <c r="S906" s="8" t="n">
        <f aca="false">SUM(R906,L906,I906,J906,W906,H906)</f>
        <v>0</v>
      </c>
      <c r="T906" s="6" t="str">
        <f aca="false">"Sem - "&amp;WEEKNUM(Q906,21)</f>
        <v>Sem - 31</v>
      </c>
      <c r="U906" s="6" t="str">
        <f aca="false">CHOOSE(MONTH(Q906),"Janvier","Février","Mars","Avril","Mai","Juin","Juillet","Août","Septembre","Octobre","Novembre","Décembre")</f>
        <v>Juillet</v>
      </c>
      <c r="V906" s="22" t="n">
        <f aca="false">YEAR(Q906)</f>
        <v>2026</v>
      </c>
      <c r="W906" s="20"/>
      <c r="X906" s="8" t="n">
        <f aca="false">IFERROR(IF(M906="Abs",0,IF(ROUND((D906-C906+E906-F906)*1440,0)&lt;=1,0,D906-C906+E906-F906)),0)</f>
        <v>0</v>
      </c>
      <c r="Y906" s="6" t="str">
        <f aca="false">IFERROR(VLOOKUP($B906,Agents!$A:$D,3,0),"-")</f>
        <v>OUBRAHIM Mohammed</v>
      </c>
      <c r="Z906" s="6" t="str">
        <f aca="false">IFERROR(VLOOKUP($B906,Agents!$A:$D,4,0),"-")</f>
        <v>Credit Mutuel</v>
      </c>
      <c r="AA906" s="18" t="s">
        <v>113</v>
      </c>
      <c r="AB906" s="8" t="str">
        <f aca="false">IF(AND(D906="Congé",F906="Congé"),0.333333333333333,IF(OR(AND(D906="Congé",F906&lt;&gt;"Congé"),(AND(F906="Congé",D906&lt;&gt;"Congé"))),0.166666666666667,""))</f>
        <v/>
      </c>
      <c r="AC906" s="8" t="str">
        <f aca="false">IF(AND(D906="Congé sans solde",F906="Congé sans solde"),0.333333333333333,IF(OR(AND(D906="Congé sans solde",F906&lt;&gt;"Congé sans solde"),(AND(F906="Congé sans solde",D906&lt;&gt;"Congé sans solde"))),0.166666666666667,""))</f>
        <v/>
      </c>
      <c r="AD906" s="8" t="str">
        <f aca="false">IF(AND(D906="Congé spécial",F906="Congé spécial"),0.333333333333333,IF(OR(AND(D906="Congé spécial",F906&lt;&gt;"Congé spécial"),AND(F906="Congé spécial",D906&lt;&gt;"Congé spécial")),0.166666666666667,""))</f>
        <v/>
      </c>
      <c r="AE906" s="8" t="str">
        <f aca="false">IF(AND(D906="Férié",F906="Férié"),0.333333333333333,IF(OR(AND(D906="Férié",F906&lt;&gt;"Férié"),(AND(F906="Férié",D906&lt;&gt;"Férié"))),0.166666666666667,""))</f>
        <v/>
      </c>
      <c r="AF906" s="18"/>
      <c r="AG906" s="18"/>
    </row>
    <row r="907" customFormat="false" ht="15" hidden="false" customHeight="false" outlineLevel="0" collapsed="false">
      <c r="A907" s="6" t="str">
        <f aca="false">YEAR(Q907-WEEKDAY(Q907,2)+4)&amp;"-S"&amp;TEXT(WEEKNUM(Q907,21),"00")</f>
        <v>2026-S31</v>
      </c>
      <c r="B907" s="18" t="s">
        <v>71</v>
      </c>
      <c r="C907" s="19" t="n">
        <v>0.33125</v>
      </c>
      <c r="D907" s="19" t="n">
        <v>0.333333333333333</v>
      </c>
      <c r="E907" s="19" t="n">
        <v>0.75</v>
      </c>
      <c r="F907" s="19" t="n">
        <v>0.75</v>
      </c>
      <c r="G907" s="20"/>
      <c r="H907" s="20"/>
      <c r="I907" s="8" t="str">
        <f aca="false">IF(IF(OR(C907="",D907="Congé",D907="OFF",D907="Congé spécial"),"",IF(D907&gt;F907,D907-C907,IF(C907-D907&lt;0,0,C907-D907)))&lt;0.00068287037037037,"",IF(OR(D907="Congé",D907="OFF",C907="",D907="Congé spécial"),"",IF(D907&gt;F907,D907-C907,IF(C907-D907&lt;0,0,C907-D907))))</f>
        <v/>
      </c>
      <c r="J907" s="20"/>
      <c r="K907" s="8" t="n">
        <f aca="false">IF(SUM(H907:J907)&lt;0.00068287037037037,0,SUM(H907:J907))</f>
        <v>0</v>
      </c>
      <c r="L907" s="8" t="n">
        <f aca="false">IF(OR(F907="Congé",F907="OFF",M907="Abs",F907="Congé sans solde",F907="Férié",F907="Congé spécial",D907="Congé spécial"),0,IF(F907-E907&lt;0,0,IF(F907-E907&lt;=0.00068287037037037,0,F907-E907)))</f>
        <v>0</v>
      </c>
      <c r="M907" s="6" t="n">
        <f aca="false">IF(AND(O907&lt;&gt;0,C907=""),"Abs",0)</f>
        <v>0</v>
      </c>
      <c r="N907" s="8" t="n">
        <f aca="false">IFERROR(IF(OR(D907="OFF",D907="Congé",M907="Abs",D907="Congé sans solde",D907="Férié"),"",IF(O907-K907-L907&gt;O907,O907,IF(O907-K907-L907&lt;0,"",O907-K907-L907))),"")</f>
        <v>0.375</v>
      </c>
      <c r="O907" s="8" t="n">
        <f aca="false">IF(AG907="2H Pause déjeuner",IF(F907-D907-0.0833333333333333&lt;0,F907-D907-0.0833333333333333+1,F907-D907-0.0833333333333333),IF(OR(AND(F907="OFF",D907="OFF"),AND(F907="Congé",D907="Congé"),AND(F907="Congé sans solde",D907="Congé sans solde"),AND(F907="Congé spécial",D907="Congé spécial"),AND(F907="Férié",D907="Férié"),AND(F907="OFF",D907="Congé"),AND(F907="OFF",D907="Congé sans solde"),AND(F907="OFF",D907="Congé spécial"),AND(F907="OFF",D907="Férié"),AND(F907="Congé",D907="OFF"),AND(F907="Congé",D907="Congé sans solde"),AND(F907="Congé",D907="Congé spécial"),AND(F907="Congé",D907="Férié"),AND(F907="Congé sans solde",D907="OFF"),AND(F907="Congé sans solde",D907="Congé"),AND(F907="Congé sans solde",D907="Congé spécial"),AND(F907="Congé sans solde",D907="Férié"),AND(F907="Congé spécial",D907="OFF"),AND(F907="Congé spécial",D907="Congé"),AND(F907="Congé spécial",D907="Congé sans solde"),AND(F907="Congé spécial",D907="Férié"),AND(F907="Férié",D907="OFF"),AND(F907="Férié",D907="Congé"),AND(F907="Férié",D907="Congé sans solde"),AND(F907="Férié",D907="Congé spécial")),0,IF(OR(F907="OFF",F907="Congé",F907="Congé spécial",F907="Congé sans solde",D907="OFF",D907="Congé",D907="Congé spécial",D907="Congé sans solde"),0.208333333333334,IF(AND(AG907="",F907-D907&lt;0),("24:00:00"-D907)+("00:00:00"+F907)-0.0416666666666667,IF(AND(OR(AG907="Allaitement",AG907="Sans déjeuner"),F907-D907&lt;0),("24:00:00"-D907)+("00:00:00"+F907),IF(AND(AG907="",F907-D907&gt;0.166666666666667),F907-D907-0.0416666666666667,IF(AND(OR(AG907="Allaitement",AG907="Sans déjeuner"),F907-D907&gt;0.166666666666667),F907-D907,F907-D907)))))))</f>
        <v>0.375</v>
      </c>
      <c r="P907" s="6" t="str">
        <f aca="false">IFERROR(VLOOKUP($B907,Agents!$A:$D,2,0),"-")</f>
        <v>Accessibilité</v>
      </c>
      <c r="Q907" s="21" t="n">
        <v>46233</v>
      </c>
      <c r="R907" s="8" t="n">
        <f aca="false">IF(M907="Abs",O907,0)</f>
        <v>0</v>
      </c>
      <c r="S907" s="8" t="n">
        <f aca="false">SUM(R907,L907,I907,J907,W907,H907)</f>
        <v>0</v>
      </c>
      <c r="T907" s="6" t="str">
        <f aca="false">"Sem - "&amp;WEEKNUM(Q907,21)</f>
        <v>Sem - 31</v>
      </c>
      <c r="U907" s="6" t="str">
        <f aca="false">CHOOSE(MONTH(Q907),"Janvier","Février","Mars","Avril","Mai","Juin","Juillet","Août","Septembre","Octobre","Novembre","Décembre")</f>
        <v>Juillet</v>
      </c>
      <c r="V907" s="22" t="n">
        <f aca="false">YEAR(Q907)</f>
        <v>2026</v>
      </c>
      <c r="W907" s="20"/>
      <c r="X907" s="8" t="n">
        <f aca="false">IFERROR(IF(M907="Abs",0,IF(ROUND((D907-C907+E907-F907)*1440,0)&lt;=1,0,D907-C907+E907-F907)),0)</f>
        <v>0.00208333333333333</v>
      </c>
      <c r="Y907" s="6" t="str">
        <f aca="false">IFERROR(VLOOKUP($B907,Agents!$A:$D,3,0),"-")</f>
        <v>OUBRAHIM Mohammed</v>
      </c>
      <c r="Z907" s="6" t="str">
        <f aca="false">IFERROR(VLOOKUP($B907,Agents!$A:$D,4,0),"-")</f>
        <v>Credit Mutuel</v>
      </c>
      <c r="AA907" s="18" t="s">
        <v>113</v>
      </c>
      <c r="AB907" s="8" t="str">
        <f aca="false">IF(AND(D907="Congé",F907="Congé"),0.333333333333333,IF(OR(AND(D907="Congé",F907&lt;&gt;"Congé"),(AND(F907="Congé",D907&lt;&gt;"Congé"))),0.166666666666667,""))</f>
        <v/>
      </c>
      <c r="AC907" s="8" t="str">
        <f aca="false">IF(AND(D907="Congé sans solde",F907="Congé sans solde"),0.333333333333333,IF(OR(AND(D907="Congé sans solde",F907&lt;&gt;"Congé sans solde"),(AND(F907="Congé sans solde",D907&lt;&gt;"Congé sans solde"))),0.166666666666667,""))</f>
        <v/>
      </c>
      <c r="AD907" s="8" t="str">
        <f aca="false">IF(AND(D907="Congé spécial",F907="Congé spécial"),0.333333333333333,IF(OR(AND(D907="Congé spécial",F907&lt;&gt;"Congé spécial"),AND(F907="Congé spécial",D907&lt;&gt;"Congé spécial")),0.166666666666667,""))</f>
        <v/>
      </c>
      <c r="AE907" s="8" t="str">
        <f aca="false">IF(AND(D907="Férié",F907="Férié"),0.333333333333333,IF(OR(AND(D907="Férié",F907&lt;&gt;"Férié"),(AND(F907="Férié",D907&lt;&gt;"Férié"))),0.166666666666667,""))</f>
        <v/>
      </c>
      <c r="AF907" s="18"/>
      <c r="AG907" s="18"/>
    </row>
    <row r="908" customFormat="false" ht="15" hidden="false" customHeight="false" outlineLevel="0" collapsed="false">
      <c r="A908" s="6" t="str">
        <f aca="false">YEAR(Q908-WEEKDAY(Q908,2)+4)&amp;"-S"&amp;TEXT(WEEKNUM(Q908,21),"00")</f>
        <v>2026-S31</v>
      </c>
      <c r="B908" s="18" t="s">
        <v>72</v>
      </c>
      <c r="C908" s="19" t="n">
        <v>0.331944444444444</v>
      </c>
      <c r="D908" s="19" t="n">
        <v>0.333333333333333</v>
      </c>
      <c r="E908" s="19" t="n">
        <v>0.75</v>
      </c>
      <c r="F908" s="19" t="n">
        <v>0.75</v>
      </c>
      <c r="G908" s="20"/>
      <c r="H908" s="20"/>
      <c r="I908" s="8" t="str">
        <f aca="false">IF(IF(OR(C908="",D908="Congé",D908="OFF",D908="Congé spécial"),"",IF(D908&gt;F908,D908-C908,IF(C908-D908&lt;0,0,C908-D908)))&lt;0.00068287037037037,"",IF(OR(D908="Congé",D908="OFF",C908="",D908="Congé spécial"),"",IF(D908&gt;F908,D908-C908,IF(C908-D908&lt;0,0,C908-D908))))</f>
        <v/>
      </c>
      <c r="J908" s="20"/>
      <c r="K908" s="8" t="n">
        <f aca="false">IF(SUM(H908:J908)&lt;0.00068287037037037,0,SUM(H908:J908))</f>
        <v>0</v>
      </c>
      <c r="L908" s="8" t="n">
        <f aca="false">IF(OR(F908="Congé",F908="OFF",M908="Abs",F908="Congé sans solde",F908="Férié",F908="Congé spécial",D908="Congé spécial"),0,IF(F908-E908&lt;0,0,IF(F908-E908&lt;=0.00068287037037037,0,F908-E908)))</f>
        <v>0</v>
      </c>
      <c r="M908" s="6" t="n">
        <f aca="false">IF(AND(O908&lt;&gt;0,C908=""),"Abs",0)</f>
        <v>0</v>
      </c>
      <c r="N908" s="8" t="n">
        <f aca="false">IFERROR(IF(OR(D908="OFF",D908="Congé",M908="Abs",D908="Congé sans solde",D908="Férié"),"",IF(O908-K908-L908&gt;O908,O908,IF(O908-K908-L908&lt;0,"",O908-K908-L908))),"")</f>
        <v>0.375</v>
      </c>
      <c r="O908" s="8" t="n">
        <f aca="false">IF(AG908="2H Pause déjeuner",IF(F908-D908-0.0833333333333333&lt;0,F908-D908-0.0833333333333333+1,F908-D908-0.0833333333333333),IF(OR(AND(F908="OFF",D908="OFF"),AND(F908="Congé",D908="Congé"),AND(F908="Congé sans solde",D908="Congé sans solde"),AND(F908="Congé spécial",D908="Congé spécial"),AND(F908="Férié",D908="Férié"),AND(F908="OFF",D908="Congé"),AND(F908="OFF",D908="Congé sans solde"),AND(F908="OFF",D908="Congé spécial"),AND(F908="OFF",D908="Férié"),AND(F908="Congé",D908="OFF"),AND(F908="Congé",D908="Congé sans solde"),AND(F908="Congé",D908="Congé spécial"),AND(F908="Congé",D908="Férié"),AND(F908="Congé sans solde",D908="OFF"),AND(F908="Congé sans solde",D908="Congé"),AND(F908="Congé sans solde",D908="Congé spécial"),AND(F908="Congé sans solde",D908="Férié"),AND(F908="Congé spécial",D908="OFF"),AND(F908="Congé spécial",D908="Congé"),AND(F908="Congé spécial",D908="Congé sans solde"),AND(F908="Congé spécial",D908="Férié"),AND(F908="Férié",D908="OFF"),AND(F908="Férié",D908="Congé"),AND(F908="Férié",D908="Congé sans solde"),AND(F908="Férié",D908="Congé spécial")),0,IF(OR(F908="OFF",F908="Congé",F908="Congé spécial",F908="Congé sans solde",D908="OFF",D908="Congé",D908="Congé spécial",D908="Congé sans solde"),0.208333333333334,IF(AND(AG908="",F908-D908&lt;0),("24:00:00"-D908)+("00:00:00"+F908)-0.0416666666666667,IF(AND(OR(AG908="Allaitement",AG908="Sans déjeuner"),F908-D908&lt;0),("24:00:00"-D908)+("00:00:00"+F908),IF(AND(AG908="",F908-D908&gt;0.166666666666667),F908-D908-0.0416666666666667,IF(AND(OR(AG908="Allaitement",AG908="Sans déjeuner"),F908-D908&gt;0.166666666666667),F908-D908,F908-D908)))))))</f>
        <v>0.375</v>
      </c>
      <c r="P908" s="6" t="str">
        <f aca="false">IFERROR(VLOOKUP($B908,Agents!$A:$D,2,0),"-")</f>
        <v>Accessibilité</v>
      </c>
      <c r="Q908" s="21" t="n">
        <v>46233</v>
      </c>
      <c r="R908" s="8" t="n">
        <f aca="false">IF(M908="Abs",O908,0)</f>
        <v>0</v>
      </c>
      <c r="S908" s="8" t="n">
        <f aca="false">SUM(R908,L908,I908,J908,W908,H908)</f>
        <v>0</v>
      </c>
      <c r="T908" s="6" t="str">
        <f aca="false">"Sem - "&amp;WEEKNUM(Q908,21)</f>
        <v>Sem - 31</v>
      </c>
      <c r="U908" s="6" t="str">
        <f aca="false">CHOOSE(MONTH(Q908),"Janvier","Février","Mars","Avril","Mai","Juin","Juillet","Août","Septembre","Octobre","Novembre","Décembre")</f>
        <v>Juillet</v>
      </c>
      <c r="V908" s="22" t="n">
        <f aca="false">YEAR(Q908)</f>
        <v>2026</v>
      </c>
      <c r="W908" s="20"/>
      <c r="X908" s="8" t="n">
        <f aca="false">IFERROR(IF(M908="Abs",0,IF(ROUND((D908-C908+E908-F908)*1440,0)&lt;=1,0,D908-C908+E908-F908)),0)</f>
        <v>0.00138888888888889</v>
      </c>
      <c r="Y908" s="6" t="str">
        <f aca="false">IFERROR(VLOOKUP($B908,Agents!$A:$D,3,0),"-")</f>
        <v>OUBRAHIM Mohammed</v>
      </c>
      <c r="Z908" s="6" t="str">
        <f aca="false">IFERROR(VLOOKUP($B908,Agents!$A:$D,4,0),"-")</f>
        <v>Credit Mutuel</v>
      </c>
      <c r="AA908" s="18" t="s">
        <v>113</v>
      </c>
      <c r="AB908" s="8" t="str">
        <f aca="false">IF(AND(D908="Congé",F908="Congé"),0.333333333333333,IF(OR(AND(D908="Congé",F908&lt;&gt;"Congé"),(AND(F908="Congé",D908&lt;&gt;"Congé"))),0.166666666666667,""))</f>
        <v/>
      </c>
      <c r="AC908" s="8" t="str">
        <f aca="false">IF(AND(D908="Congé sans solde",F908="Congé sans solde"),0.333333333333333,IF(OR(AND(D908="Congé sans solde",F908&lt;&gt;"Congé sans solde"),(AND(F908="Congé sans solde",D908&lt;&gt;"Congé sans solde"))),0.166666666666667,""))</f>
        <v/>
      </c>
      <c r="AD908" s="8" t="str">
        <f aca="false">IF(AND(D908="Congé spécial",F908="Congé spécial"),0.333333333333333,IF(OR(AND(D908="Congé spécial",F908&lt;&gt;"Congé spécial"),AND(F908="Congé spécial",D908&lt;&gt;"Congé spécial")),0.166666666666667,""))</f>
        <v/>
      </c>
      <c r="AE908" s="8" t="str">
        <f aca="false">IF(AND(D908="Férié",F908="Férié"),0.333333333333333,IF(OR(AND(D908="Férié",F908&lt;&gt;"Férié"),(AND(F908="Férié",D908&lt;&gt;"Férié"))),0.166666666666667,""))</f>
        <v/>
      </c>
      <c r="AF908" s="18"/>
      <c r="AG908" s="18"/>
    </row>
    <row r="909" customFormat="false" ht="15" hidden="false" customHeight="false" outlineLevel="0" collapsed="false">
      <c r="A909" s="6" t="str">
        <f aca="false">YEAR(Q909-WEEKDAY(Q909,2)+4)&amp;"-S"&amp;TEXT(WEEKNUM(Q909,21),"00")</f>
        <v>2026-S31</v>
      </c>
      <c r="B909" s="18" t="s">
        <v>73</v>
      </c>
      <c r="C909" s="19" t="n">
        <v>0.331944444444444</v>
      </c>
      <c r="D909" s="19" t="n">
        <v>0.333333333333333</v>
      </c>
      <c r="E909" s="19" t="n">
        <v>0.75</v>
      </c>
      <c r="F909" s="19" t="n">
        <v>0.75</v>
      </c>
      <c r="G909" s="20"/>
      <c r="H909" s="20"/>
      <c r="I909" s="8" t="str">
        <f aca="false">IF(IF(OR(C909="",D909="Congé",D909="OFF",D909="Congé spécial"),"",IF(D909&gt;F909,D909-C909,IF(C909-D909&lt;0,0,C909-D909)))&lt;0.00068287037037037,"",IF(OR(D909="Congé",D909="OFF",C909="",D909="Congé spécial"),"",IF(D909&gt;F909,D909-C909,IF(C909-D909&lt;0,0,C909-D909))))</f>
        <v/>
      </c>
      <c r="J909" s="20"/>
      <c r="K909" s="8" t="n">
        <f aca="false">IF(SUM(H909:J909)&lt;0.00068287037037037,0,SUM(H909:J909))</f>
        <v>0</v>
      </c>
      <c r="L909" s="8" t="n">
        <f aca="false">IF(OR(F909="Congé",F909="OFF",M909="Abs",F909="Congé sans solde",F909="Férié",F909="Congé spécial",D909="Congé spécial"),0,IF(F909-E909&lt;0,0,IF(F909-E909&lt;=0.00068287037037037,0,F909-E909)))</f>
        <v>0</v>
      </c>
      <c r="M909" s="6" t="n">
        <f aca="false">IF(AND(O909&lt;&gt;0,C909=""),"Abs",0)</f>
        <v>0</v>
      </c>
      <c r="N909" s="8" t="n">
        <f aca="false">IFERROR(IF(OR(D909="OFF",D909="Congé",M909="Abs",D909="Congé sans solde",D909="Férié"),"",IF(O909-K909-L909&gt;O909,O909,IF(O909-K909-L909&lt;0,"",O909-K909-L909))),"")</f>
        <v>0.375</v>
      </c>
      <c r="O909" s="8" t="n">
        <f aca="false">IF(AG909="2H Pause déjeuner",IF(F909-D909-0.0833333333333333&lt;0,F909-D909-0.0833333333333333+1,F909-D909-0.0833333333333333),IF(OR(AND(F909="OFF",D909="OFF"),AND(F909="Congé",D909="Congé"),AND(F909="Congé sans solde",D909="Congé sans solde"),AND(F909="Congé spécial",D909="Congé spécial"),AND(F909="Férié",D909="Férié"),AND(F909="OFF",D909="Congé"),AND(F909="OFF",D909="Congé sans solde"),AND(F909="OFF",D909="Congé spécial"),AND(F909="OFF",D909="Férié"),AND(F909="Congé",D909="OFF"),AND(F909="Congé",D909="Congé sans solde"),AND(F909="Congé",D909="Congé spécial"),AND(F909="Congé",D909="Férié"),AND(F909="Congé sans solde",D909="OFF"),AND(F909="Congé sans solde",D909="Congé"),AND(F909="Congé sans solde",D909="Congé spécial"),AND(F909="Congé sans solde",D909="Férié"),AND(F909="Congé spécial",D909="OFF"),AND(F909="Congé spécial",D909="Congé"),AND(F909="Congé spécial",D909="Congé sans solde"),AND(F909="Congé spécial",D909="Férié"),AND(F909="Férié",D909="OFF"),AND(F909="Férié",D909="Congé"),AND(F909="Férié",D909="Congé sans solde"),AND(F909="Férié",D909="Congé spécial")),0,IF(OR(F909="OFF",F909="Congé",F909="Congé spécial",F909="Congé sans solde",D909="OFF",D909="Congé",D909="Congé spécial",D909="Congé sans solde"),0.208333333333334,IF(AND(AG909="",F909-D909&lt;0),("24:00:00"-D909)+("00:00:00"+F909)-0.0416666666666667,IF(AND(OR(AG909="Allaitement",AG909="Sans déjeuner"),F909-D909&lt;0),("24:00:00"-D909)+("00:00:00"+F909),IF(AND(AG909="",F909-D909&gt;0.166666666666667),F909-D909-0.0416666666666667,IF(AND(OR(AG909="Allaitement",AG909="Sans déjeuner"),F909-D909&gt;0.166666666666667),F909-D909,F909-D909)))))))</f>
        <v>0.375</v>
      </c>
      <c r="P909" s="6" t="str">
        <f aca="false">IFERROR(VLOOKUP($B909,Agents!$A:$D,2,0),"-")</f>
        <v>Accessibilité</v>
      </c>
      <c r="Q909" s="21" t="n">
        <v>46233</v>
      </c>
      <c r="R909" s="8" t="n">
        <f aca="false">IF(M909="Abs",O909,0)</f>
        <v>0</v>
      </c>
      <c r="S909" s="8" t="n">
        <f aca="false">SUM(R909,L909,I909,J909,W909,H909)</f>
        <v>0</v>
      </c>
      <c r="T909" s="6" t="str">
        <f aca="false">"Sem - "&amp;WEEKNUM(Q909,21)</f>
        <v>Sem - 31</v>
      </c>
      <c r="U909" s="6" t="str">
        <f aca="false">CHOOSE(MONTH(Q909),"Janvier","Février","Mars","Avril","Mai","Juin","Juillet","Août","Septembre","Octobre","Novembre","Décembre")</f>
        <v>Juillet</v>
      </c>
      <c r="V909" s="22" t="n">
        <f aca="false">YEAR(Q909)</f>
        <v>2026</v>
      </c>
      <c r="W909" s="20"/>
      <c r="X909" s="8" t="n">
        <f aca="false">IFERROR(IF(M909="Abs",0,IF(ROUND((D909-C909+E909-F909)*1440,0)&lt;=1,0,D909-C909+E909-F909)),0)</f>
        <v>0.00138888888888889</v>
      </c>
      <c r="Y909" s="6" t="str">
        <f aca="false">IFERROR(VLOOKUP($B909,Agents!$A:$D,3,0),"-")</f>
        <v>OUBRAHIM Mohammed</v>
      </c>
      <c r="Z909" s="6" t="str">
        <f aca="false">IFERROR(VLOOKUP($B909,Agents!$A:$D,4,0),"-")</f>
        <v>Credit Mutuel</v>
      </c>
      <c r="AA909" s="18" t="s">
        <v>113</v>
      </c>
      <c r="AB909" s="8" t="str">
        <f aca="false">IF(AND(D909="Congé",F909="Congé"),0.333333333333333,IF(OR(AND(D909="Congé",F909&lt;&gt;"Congé"),(AND(F909="Congé",D909&lt;&gt;"Congé"))),0.166666666666667,""))</f>
        <v/>
      </c>
      <c r="AC909" s="8" t="str">
        <f aca="false">IF(AND(D909="Congé sans solde",F909="Congé sans solde"),0.333333333333333,IF(OR(AND(D909="Congé sans solde",F909&lt;&gt;"Congé sans solde"),(AND(F909="Congé sans solde",D909&lt;&gt;"Congé sans solde"))),0.166666666666667,""))</f>
        <v/>
      </c>
      <c r="AD909" s="8" t="str">
        <f aca="false">IF(AND(D909="Congé spécial",F909="Congé spécial"),0.333333333333333,IF(OR(AND(D909="Congé spécial",F909&lt;&gt;"Congé spécial"),AND(F909="Congé spécial",D909&lt;&gt;"Congé spécial")),0.166666666666667,""))</f>
        <v/>
      </c>
      <c r="AE909" s="8" t="str">
        <f aca="false">IF(AND(D909="Férié",F909="Férié"),0.333333333333333,IF(OR(AND(D909="Férié",F909&lt;&gt;"Férié"),(AND(F909="Férié",D909&lt;&gt;"Férié"))),0.166666666666667,""))</f>
        <v/>
      </c>
      <c r="AF909" s="18"/>
      <c r="AG909" s="18"/>
    </row>
    <row r="910" customFormat="false" ht="15" hidden="false" customHeight="false" outlineLevel="0" collapsed="false">
      <c r="A910" s="6" t="str">
        <f aca="false">YEAR(Q910-WEEKDAY(Q910,2)+4)&amp;"-S"&amp;TEXT(WEEKNUM(Q910,21),"00")</f>
        <v>2026-S31</v>
      </c>
      <c r="B910" s="18" t="s">
        <v>71</v>
      </c>
      <c r="C910" s="19" t="n">
        <v>0.33125</v>
      </c>
      <c r="D910" s="19" t="n">
        <v>0.333333333333333</v>
      </c>
      <c r="E910" s="19" t="n">
        <v>0.708333333333333</v>
      </c>
      <c r="F910" s="19" t="n">
        <v>0.708333333333333</v>
      </c>
      <c r="G910" s="20"/>
      <c r="H910" s="20"/>
      <c r="I910" s="8" t="str">
        <f aca="false">IF(IF(OR(C910="",D910="Congé",D910="OFF",D910="Congé spécial"),"",IF(D910&gt;F910,D910-C910,IF(C910-D910&lt;0,0,C910-D910)))&lt;0.00068287037037037,"",IF(OR(D910="Congé",D910="OFF",C910="",D910="Congé spécial"),"",IF(D910&gt;F910,D910-C910,IF(C910-D910&lt;0,0,C910-D910))))</f>
        <v/>
      </c>
      <c r="J910" s="20"/>
      <c r="K910" s="8" t="n">
        <f aca="false">IF(SUM(H910:J910)&lt;0.00068287037037037,0,SUM(H910:J910))</f>
        <v>0</v>
      </c>
      <c r="L910" s="8" t="n">
        <f aca="false">IF(OR(F910="Congé",F910="OFF",M910="Abs",F910="Congé sans solde",F910="Férié",F910="Congé spécial",D910="Congé spécial"),0,IF(F910-E910&lt;0,0,IF(F910-E910&lt;=0.00068287037037037,0,F910-E910)))</f>
        <v>0</v>
      </c>
      <c r="M910" s="6" t="n">
        <f aca="false">IF(AND(O910&lt;&gt;0,C910=""),"Abs",0)</f>
        <v>0</v>
      </c>
      <c r="N910" s="8" t="n">
        <f aca="false">IFERROR(IF(OR(D910="OFF",D910="Congé",M910="Abs",D910="Congé sans solde",D910="Férié"),"",IF(O910-K910-L910&gt;O910,O910,IF(O910-K910-L910&lt;0,"",O910-K910-L910))),"")</f>
        <v>0.333333333333333</v>
      </c>
      <c r="O910" s="8" t="n">
        <f aca="false">IF(AG910="2H Pause déjeuner",IF(F910-D910-0.0833333333333333&lt;0,F910-D910-0.0833333333333333+1,F910-D910-0.0833333333333333),IF(OR(AND(F910="OFF",D910="OFF"),AND(F910="Congé",D910="Congé"),AND(F910="Congé sans solde",D910="Congé sans solde"),AND(F910="Congé spécial",D910="Congé spécial"),AND(F910="Férié",D910="Férié"),AND(F910="OFF",D910="Congé"),AND(F910="OFF",D910="Congé sans solde"),AND(F910="OFF",D910="Congé spécial"),AND(F910="OFF",D910="Férié"),AND(F910="Congé",D910="OFF"),AND(F910="Congé",D910="Congé sans solde"),AND(F910="Congé",D910="Congé spécial"),AND(F910="Congé",D910="Férié"),AND(F910="Congé sans solde",D910="OFF"),AND(F910="Congé sans solde",D910="Congé"),AND(F910="Congé sans solde",D910="Congé spécial"),AND(F910="Congé sans solde",D910="Férié"),AND(F910="Congé spécial",D910="OFF"),AND(F910="Congé spécial",D910="Congé"),AND(F910="Congé spécial",D910="Congé sans solde"),AND(F910="Congé spécial",D910="Férié"),AND(F910="Férié",D910="OFF"),AND(F910="Férié",D910="Congé"),AND(F910="Férié",D910="Congé sans solde"),AND(F910="Férié",D910="Congé spécial")),0,IF(OR(F910="OFF",F910="Congé",F910="Congé spécial",F910="Congé sans solde",D910="OFF",D910="Congé",D910="Congé spécial",D910="Congé sans solde"),0.208333333333334,IF(AND(AG910="",F910-D910&lt;0),("24:00:00"-D910)+("00:00:00"+F910)-0.0416666666666667,IF(AND(OR(AG910="Allaitement",AG910="Sans déjeuner"),F910-D910&lt;0),("24:00:00"-D910)+("00:00:00"+F910),IF(AND(AG910="",F910-D910&gt;0.166666666666667),F910-D910-0.0416666666666667,IF(AND(OR(AG910="Allaitement",AG910="Sans déjeuner"),F910-D910&gt;0.166666666666667),F910-D910,F910-D910)))))))</f>
        <v>0.333333333333333</v>
      </c>
      <c r="P910" s="6" t="str">
        <f aca="false">IFERROR(VLOOKUP($B910,Agents!$A:$D,2,0),"-")</f>
        <v>Accessibilité</v>
      </c>
      <c r="Q910" s="21" t="n">
        <v>46234</v>
      </c>
      <c r="R910" s="8" t="n">
        <f aca="false">IF(M910="Abs",O910,0)</f>
        <v>0</v>
      </c>
      <c r="S910" s="8" t="n">
        <f aca="false">SUM(R910,L910,I910,J910,W910,H910)</f>
        <v>0</v>
      </c>
      <c r="T910" s="6" t="str">
        <f aca="false">"Sem - "&amp;WEEKNUM(Q910,21)</f>
        <v>Sem - 31</v>
      </c>
      <c r="U910" s="6" t="str">
        <f aca="false">CHOOSE(MONTH(Q910),"Janvier","Février","Mars","Avril","Mai","Juin","Juillet","Août","Septembre","Octobre","Novembre","Décembre")</f>
        <v>Juillet</v>
      </c>
      <c r="V910" s="22" t="n">
        <f aca="false">YEAR(Q910)</f>
        <v>2026</v>
      </c>
      <c r="W910" s="20"/>
      <c r="X910" s="8" t="n">
        <f aca="false">IFERROR(IF(M910="Abs",0,IF(ROUND((D910-C910+E910-F910)*1440,0)&lt;=1,0,D910-C910+E910-F910)),0)</f>
        <v>0.00208333333333333</v>
      </c>
      <c r="Y910" s="6" t="str">
        <f aca="false">IFERROR(VLOOKUP($B910,Agents!$A:$D,3,0),"-")</f>
        <v>OUBRAHIM Mohammed</v>
      </c>
      <c r="Z910" s="6" t="str">
        <f aca="false">IFERROR(VLOOKUP($B910,Agents!$A:$D,4,0),"-")</f>
        <v>Credit Mutuel</v>
      </c>
      <c r="AA910" s="18" t="s">
        <v>113</v>
      </c>
      <c r="AB910" s="8" t="str">
        <f aca="false">IF(AND(D910="Congé",F910="Congé"),0.333333333333333,IF(OR(AND(D910="Congé",F910&lt;&gt;"Congé"),(AND(F910="Congé",D910&lt;&gt;"Congé"))),0.166666666666667,""))</f>
        <v/>
      </c>
      <c r="AC910" s="8" t="str">
        <f aca="false">IF(AND(D910="Congé sans solde",F910="Congé sans solde"),0.333333333333333,IF(OR(AND(D910="Congé sans solde",F910&lt;&gt;"Congé sans solde"),(AND(F910="Congé sans solde",D910&lt;&gt;"Congé sans solde"))),0.166666666666667,""))</f>
        <v/>
      </c>
      <c r="AD910" s="8" t="str">
        <f aca="false">IF(AND(D910="Congé spécial",F910="Congé spécial"),0.333333333333333,IF(OR(AND(D910="Congé spécial",F910&lt;&gt;"Congé spécial"),AND(F910="Congé spécial",D910&lt;&gt;"Congé spécial")),0.166666666666667,""))</f>
        <v/>
      </c>
      <c r="AE910" s="8" t="str">
        <f aca="false">IF(AND(D910="Férié",F910="Férié"),0.333333333333333,IF(OR(AND(D910="Férié",F910&lt;&gt;"Férié"),(AND(F910="Férié",D910&lt;&gt;"Férié"))),0.166666666666667,""))</f>
        <v/>
      </c>
      <c r="AF910" s="18"/>
      <c r="AG910" s="18"/>
    </row>
    <row r="911" customFormat="false" ht="15" hidden="false" customHeight="false" outlineLevel="0" collapsed="false">
      <c r="A911" s="6" t="str">
        <f aca="false">YEAR(Q911-WEEKDAY(Q911,2)+4)&amp;"-S"&amp;TEXT(WEEKNUM(Q911,21),"00")</f>
        <v>2026-S31</v>
      </c>
      <c r="B911" s="18" t="s">
        <v>72</v>
      </c>
      <c r="C911" s="19" t="n">
        <v>0.330555555555556</v>
      </c>
      <c r="D911" s="19" t="n">
        <v>0.333333333333333</v>
      </c>
      <c r="E911" s="19" t="n">
        <v>0.708333333333333</v>
      </c>
      <c r="F911" s="19" t="n">
        <v>0.708333333333333</v>
      </c>
      <c r="G911" s="20"/>
      <c r="H911" s="20"/>
      <c r="I911" s="8" t="str">
        <f aca="false">IF(IF(OR(C911="",D911="Congé",D911="OFF",D911="Congé spécial"),"",IF(D911&gt;F911,D911-C911,IF(C911-D911&lt;0,0,C911-D911)))&lt;0.00068287037037037,"",IF(OR(D911="Congé",D911="OFF",C911="",D911="Congé spécial"),"",IF(D911&gt;F911,D911-C911,IF(C911-D911&lt;0,0,C911-D911))))</f>
        <v/>
      </c>
      <c r="J911" s="20"/>
      <c r="K911" s="8" t="n">
        <f aca="false">IF(SUM(H911:J911)&lt;0.00068287037037037,0,SUM(H911:J911))</f>
        <v>0</v>
      </c>
      <c r="L911" s="8" t="n">
        <f aca="false">IF(OR(F911="Congé",F911="OFF",M911="Abs",F911="Congé sans solde",F911="Férié",F911="Congé spécial",D911="Congé spécial"),0,IF(F911-E911&lt;0,0,IF(F911-E911&lt;=0.00068287037037037,0,F911-E911)))</f>
        <v>0</v>
      </c>
      <c r="M911" s="6" t="n">
        <f aca="false">IF(AND(O911&lt;&gt;0,C911=""),"Abs",0)</f>
        <v>0</v>
      </c>
      <c r="N911" s="8" t="n">
        <f aca="false">IFERROR(IF(OR(D911="OFF",D911="Congé",M911="Abs",D911="Congé sans solde",D911="Férié"),"",IF(O911-K911-L911&gt;O911,O911,IF(O911-K911-L911&lt;0,"",O911-K911-L911))),"")</f>
        <v>0.333333333333333</v>
      </c>
      <c r="O911" s="8" t="n">
        <f aca="false">IF(AG911="2H Pause déjeuner",IF(F911-D911-0.0833333333333333&lt;0,F911-D911-0.0833333333333333+1,F911-D911-0.0833333333333333),IF(OR(AND(F911="OFF",D911="OFF"),AND(F911="Congé",D911="Congé"),AND(F911="Congé sans solde",D911="Congé sans solde"),AND(F911="Congé spécial",D911="Congé spécial"),AND(F911="Férié",D911="Férié"),AND(F911="OFF",D911="Congé"),AND(F911="OFF",D911="Congé sans solde"),AND(F911="OFF",D911="Congé spécial"),AND(F911="OFF",D911="Férié"),AND(F911="Congé",D911="OFF"),AND(F911="Congé",D911="Congé sans solde"),AND(F911="Congé",D911="Congé spécial"),AND(F911="Congé",D911="Férié"),AND(F911="Congé sans solde",D911="OFF"),AND(F911="Congé sans solde",D911="Congé"),AND(F911="Congé sans solde",D911="Congé spécial"),AND(F911="Congé sans solde",D911="Férié"),AND(F911="Congé spécial",D911="OFF"),AND(F911="Congé spécial",D911="Congé"),AND(F911="Congé spécial",D911="Congé sans solde"),AND(F911="Congé spécial",D911="Férié"),AND(F911="Férié",D911="OFF"),AND(F911="Férié",D911="Congé"),AND(F911="Férié",D911="Congé sans solde"),AND(F911="Férié",D911="Congé spécial")),0,IF(OR(F911="OFF",F911="Congé",F911="Congé spécial",F911="Congé sans solde",D911="OFF",D911="Congé",D911="Congé spécial",D911="Congé sans solde"),0.208333333333334,IF(AND(AG911="",F911-D911&lt;0),("24:00:00"-D911)+("00:00:00"+F911)-0.0416666666666667,IF(AND(OR(AG911="Allaitement",AG911="Sans déjeuner"),F911-D911&lt;0),("24:00:00"-D911)+("00:00:00"+F911),IF(AND(AG911="",F911-D911&gt;0.166666666666667),F911-D911-0.0416666666666667,IF(AND(OR(AG911="Allaitement",AG911="Sans déjeuner"),F911-D911&gt;0.166666666666667),F911-D911,F911-D911)))))))</f>
        <v>0.333333333333333</v>
      </c>
      <c r="P911" s="6" t="str">
        <f aca="false">IFERROR(VLOOKUP($B911,Agents!$A:$D,2,0),"-")</f>
        <v>Accessibilité</v>
      </c>
      <c r="Q911" s="21" t="n">
        <v>46234</v>
      </c>
      <c r="R911" s="8" t="n">
        <f aca="false">IF(M911="Abs",O911,0)</f>
        <v>0</v>
      </c>
      <c r="S911" s="8" t="n">
        <f aca="false">SUM(R911,L911,I911,J911,W911,H911)</f>
        <v>0</v>
      </c>
      <c r="T911" s="6" t="str">
        <f aca="false">"Sem - "&amp;WEEKNUM(Q911,21)</f>
        <v>Sem - 31</v>
      </c>
      <c r="U911" s="6" t="str">
        <f aca="false">CHOOSE(MONTH(Q911),"Janvier","Février","Mars","Avril","Mai","Juin","Juillet","Août","Septembre","Octobre","Novembre","Décembre")</f>
        <v>Juillet</v>
      </c>
      <c r="V911" s="22" t="n">
        <f aca="false">YEAR(Q911)</f>
        <v>2026</v>
      </c>
      <c r="W911" s="20"/>
      <c r="X911" s="8" t="n">
        <f aca="false">IFERROR(IF(M911="Abs",0,IF(ROUND((D911-C911+E911-F911)*1440,0)&lt;=1,0,D911-C911+E911-F911)),0)</f>
        <v>0.00277777777777778</v>
      </c>
      <c r="Y911" s="6" t="str">
        <f aca="false">IFERROR(VLOOKUP($B911,Agents!$A:$D,3,0),"-")</f>
        <v>OUBRAHIM Mohammed</v>
      </c>
      <c r="Z911" s="6" t="str">
        <f aca="false">IFERROR(VLOOKUP($B911,Agents!$A:$D,4,0),"-")</f>
        <v>Credit Mutuel</v>
      </c>
      <c r="AA911" s="18" t="s">
        <v>113</v>
      </c>
      <c r="AB911" s="8" t="str">
        <f aca="false">IF(AND(D911="Congé",F911="Congé"),0.333333333333333,IF(OR(AND(D911="Congé",F911&lt;&gt;"Congé"),(AND(F911="Congé",D911&lt;&gt;"Congé"))),0.166666666666667,""))</f>
        <v/>
      </c>
      <c r="AC911" s="8" t="str">
        <f aca="false">IF(AND(D911="Congé sans solde",F911="Congé sans solde"),0.333333333333333,IF(OR(AND(D911="Congé sans solde",F911&lt;&gt;"Congé sans solde"),(AND(F911="Congé sans solde",D911&lt;&gt;"Congé sans solde"))),0.166666666666667,""))</f>
        <v/>
      </c>
      <c r="AD911" s="8" t="str">
        <f aca="false">IF(AND(D911="Congé spécial",F911="Congé spécial"),0.333333333333333,IF(OR(AND(D911="Congé spécial",F911&lt;&gt;"Congé spécial"),AND(F911="Congé spécial",D911&lt;&gt;"Congé spécial")),0.166666666666667,""))</f>
        <v/>
      </c>
      <c r="AE911" s="8" t="str">
        <f aca="false">IF(AND(D911="Férié",F911="Férié"),0.333333333333333,IF(OR(AND(D911="Férié",F911&lt;&gt;"Férié"),(AND(F911="Férié",D911&lt;&gt;"Férié"))),0.166666666666667,""))</f>
        <v/>
      </c>
      <c r="AF911" s="18"/>
      <c r="AG911" s="18"/>
    </row>
    <row r="912" customFormat="false" ht="15" hidden="false" customHeight="false" outlineLevel="0" collapsed="false">
      <c r="A912" s="6" t="str">
        <f aca="false">YEAR(Q912-WEEKDAY(Q912,2)+4)&amp;"-S"&amp;TEXT(WEEKNUM(Q912,21),"00")</f>
        <v>2026-S31</v>
      </c>
      <c r="B912" s="18" t="s">
        <v>73</v>
      </c>
      <c r="C912" s="19" t="n">
        <v>0.33125</v>
      </c>
      <c r="D912" s="19" t="n">
        <v>0.333333333333333</v>
      </c>
      <c r="E912" s="19" t="n">
        <v>0.708333333333333</v>
      </c>
      <c r="F912" s="19" t="n">
        <v>0.708333333333333</v>
      </c>
      <c r="G912" s="20"/>
      <c r="H912" s="20"/>
      <c r="I912" s="8" t="str">
        <f aca="false">IF(IF(OR(C912="",D912="Congé",D912="OFF",D912="Congé spécial"),"",IF(D912&gt;F912,D912-C912,IF(C912-D912&lt;0,0,C912-D912)))&lt;0.00068287037037037,"",IF(OR(D912="Congé",D912="OFF",C912="",D912="Congé spécial"),"",IF(D912&gt;F912,D912-C912,IF(C912-D912&lt;0,0,C912-D912))))</f>
        <v/>
      </c>
      <c r="J912" s="20"/>
      <c r="K912" s="8" t="n">
        <f aca="false">IF(SUM(H912:J912)&lt;0.00068287037037037,0,SUM(H912:J912))</f>
        <v>0</v>
      </c>
      <c r="L912" s="8" t="n">
        <f aca="false">IF(OR(F912="Congé",F912="OFF",M912="Abs",F912="Congé sans solde",F912="Férié",F912="Congé spécial",D912="Congé spécial"),0,IF(F912-E912&lt;0,0,IF(F912-E912&lt;=0.00068287037037037,0,F912-E912)))</f>
        <v>0</v>
      </c>
      <c r="M912" s="6" t="n">
        <f aca="false">IF(AND(O912&lt;&gt;0,C912=""),"Abs",0)</f>
        <v>0</v>
      </c>
      <c r="N912" s="8" t="n">
        <f aca="false">IFERROR(IF(OR(D912="OFF",D912="Congé",M912="Abs",D912="Congé sans solde",D912="Férié"),"",IF(O912-K912-L912&gt;O912,O912,IF(O912-K912-L912&lt;0,"",O912-K912-L912))),"")</f>
        <v>0.333333333333333</v>
      </c>
      <c r="O912" s="8" t="n">
        <f aca="false">IF(AG912="2H Pause déjeuner",IF(F912-D912-0.0833333333333333&lt;0,F912-D912-0.0833333333333333+1,F912-D912-0.0833333333333333),IF(OR(AND(F912="OFF",D912="OFF"),AND(F912="Congé",D912="Congé"),AND(F912="Congé sans solde",D912="Congé sans solde"),AND(F912="Congé spécial",D912="Congé spécial"),AND(F912="Férié",D912="Férié"),AND(F912="OFF",D912="Congé"),AND(F912="OFF",D912="Congé sans solde"),AND(F912="OFF",D912="Congé spécial"),AND(F912="OFF",D912="Férié"),AND(F912="Congé",D912="OFF"),AND(F912="Congé",D912="Congé sans solde"),AND(F912="Congé",D912="Congé spécial"),AND(F912="Congé",D912="Férié"),AND(F912="Congé sans solde",D912="OFF"),AND(F912="Congé sans solde",D912="Congé"),AND(F912="Congé sans solde",D912="Congé spécial"),AND(F912="Congé sans solde",D912="Férié"),AND(F912="Congé spécial",D912="OFF"),AND(F912="Congé spécial",D912="Congé"),AND(F912="Congé spécial",D912="Congé sans solde"),AND(F912="Congé spécial",D912="Férié"),AND(F912="Férié",D912="OFF"),AND(F912="Férié",D912="Congé"),AND(F912="Férié",D912="Congé sans solde"),AND(F912="Férié",D912="Congé spécial")),0,IF(OR(F912="OFF",F912="Congé",F912="Congé spécial",F912="Congé sans solde",D912="OFF",D912="Congé",D912="Congé spécial",D912="Congé sans solde"),0.208333333333334,IF(AND(AG912="",F912-D912&lt;0),("24:00:00"-D912)+("00:00:00"+F912)-0.0416666666666667,IF(AND(OR(AG912="Allaitement",AG912="Sans déjeuner"),F912-D912&lt;0),("24:00:00"-D912)+("00:00:00"+F912),IF(AND(AG912="",F912-D912&gt;0.166666666666667),F912-D912-0.0416666666666667,IF(AND(OR(AG912="Allaitement",AG912="Sans déjeuner"),F912-D912&gt;0.166666666666667),F912-D912,F912-D912)))))))</f>
        <v>0.333333333333333</v>
      </c>
      <c r="P912" s="6" t="str">
        <f aca="false">IFERROR(VLOOKUP($B912,Agents!$A:$D,2,0),"-")</f>
        <v>Accessibilité</v>
      </c>
      <c r="Q912" s="21" t="n">
        <v>46234</v>
      </c>
      <c r="R912" s="8" t="n">
        <f aca="false">IF(M912="Abs",O912,0)</f>
        <v>0</v>
      </c>
      <c r="S912" s="8" t="n">
        <f aca="false">SUM(R912,L912,I912,J912,W912,H912)</f>
        <v>0</v>
      </c>
      <c r="T912" s="6" t="str">
        <f aca="false">"Sem - "&amp;WEEKNUM(Q912,21)</f>
        <v>Sem - 31</v>
      </c>
      <c r="U912" s="6" t="str">
        <f aca="false">CHOOSE(MONTH(Q912),"Janvier","Février","Mars","Avril","Mai","Juin","Juillet","Août","Septembre","Octobre","Novembre","Décembre")</f>
        <v>Juillet</v>
      </c>
      <c r="V912" s="22" t="n">
        <f aca="false">YEAR(Q912)</f>
        <v>2026</v>
      </c>
      <c r="W912" s="20"/>
      <c r="X912" s="8" t="n">
        <f aca="false">IFERROR(IF(M912="Abs",0,IF(ROUND((D912-C912+E912-F912)*1440,0)&lt;=1,0,D912-C912+E912-F912)),0)</f>
        <v>0.00208333333333333</v>
      </c>
      <c r="Y912" s="6" t="str">
        <f aca="false">IFERROR(VLOOKUP($B912,Agents!$A:$D,3,0),"-")</f>
        <v>OUBRAHIM Mohammed</v>
      </c>
      <c r="Z912" s="6" t="str">
        <f aca="false">IFERROR(VLOOKUP($B912,Agents!$A:$D,4,0),"-")</f>
        <v>Credit Mutuel</v>
      </c>
      <c r="AA912" s="18" t="s">
        <v>113</v>
      </c>
      <c r="AB912" s="8" t="str">
        <f aca="false">IF(AND(D912="Congé",F912="Congé"),0.333333333333333,IF(OR(AND(D912="Congé",F912&lt;&gt;"Congé"),(AND(F912="Congé",D912&lt;&gt;"Congé"))),0.166666666666667,""))</f>
        <v/>
      </c>
      <c r="AC912" s="8" t="str">
        <f aca="false">IF(AND(D912="Congé sans solde",F912="Congé sans solde"),0.333333333333333,IF(OR(AND(D912="Congé sans solde",F912&lt;&gt;"Congé sans solde"),(AND(F912="Congé sans solde",D912&lt;&gt;"Congé sans solde"))),0.166666666666667,""))</f>
        <v/>
      </c>
      <c r="AD912" s="8" t="str">
        <f aca="false">IF(AND(D912="Congé spécial",F912="Congé spécial"),0.333333333333333,IF(OR(AND(D912="Congé spécial",F912&lt;&gt;"Congé spécial"),AND(F912="Congé spécial",D912&lt;&gt;"Congé spécial")),0.166666666666667,""))</f>
        <v/>
      </c>
      <c r="AE912" s="8" t="str">
        <f aca="false">IF(AND(D912="Férié",F912="Férié"),0.333333333333333,IF(OR(AND(D912="Férié",F912&lt;&gt;"Férié"),(AND(F912="Férié",D912&lt;&gt;"Férié"))),0.166666666666667,""))</f>
        <v/>
      </c>
      <c r="AF912" s="18"/>
      <c r="AG912" s="18"/>
    </row>
    <row r="913" customFormat="false" ht="15" hidden="false" customHeight="false" outlineLevel="0" collapsed="false">
      <c r="A913" s="6" t="str">
        <f aca="false">YEAR(Q913-WEEKDAY(Q913,2)+4)&amp;"-S"&amp;TEXT(WEEKNUM(Q913,21),"00")</f>
        <v>2026-S31</v>
      </c>
      <c r="B913" s="18" t="s">
        <v>71</v>
      </c>
      <c r="C913" s="19"/>
      <c r="D913" s="19" t="s">
        <v>74</v>
      </c>
      <c r="E913" s="19"/>
      <c r="F913" s="19" t="s">
        <v>74</v>
      </c>
      <c r="G913" s="20"/>
      <c r="H913" s="20"/>
      <c r="I913" s="8" t="str">
        <f aca="false">IF(IF(OR(C913="",D913="Congé",D913="OFF",D913="Congé spécial"),"",IF(D913&gt;F913,D913-C913,IF(C913-D913&lt;0,0,C913-D913)))&lt;0.00068287037037037,"",IF(OR(D913="Congé",D913="OFF",C913="",D913="Congé spécial"),"",IF(D913&gt;F913,D913-C913,IF(C913-D913&lt;0,0,C913-D913))))</f>
        <v/>
      </c>
      <c r="J913" s="20"/>
      <c r="K913" s="8" t="n">
        <f aca="false">IF(SUM(H913:J913)&lt;0.00068287037037037,0,SUM(H913:J913))</f>
        <v>0</v>
      </c>
      <c r="L913" s="8" t="n">
        <f aca="false">IF(OR(F913="Congé",F913="OFF",M913="Abs",F913="Congé sans solde",F913="Férié",F913="Congé spécial",D913="Congé spécial"),0,IF(F913-E913&lt;0,0,IF(F913-E913&lt;=0.00068287037037037,0,F913-E913)))</f>
        <v>0</v>
      </c>
      <c r="M913" s="6" t="n">
        <f aca="false">IF(AND(O913&lt;&gt;0,C913=""),"Abs",0)</f>
        <v>0</v>
      </c>
      <c r="N913" s="8" t="str">
        <f aca="false">IFERROR(IF(OR(D913="OFF",D913="Congé",M913="Abs",D913="Congé sans solde",D913="Férié"),"",IF(O913-K913-L913&gt;O913,O913,IF(O913-K913-L913&lt;0,"",O913-K913-L913))),"")</f>
        <v/>
      </c>
      <c r="O913" s="8" t="n">
        <f aca="false">IF(AG913="2H Pause déjeuner",IF(F913-D913-0.0833333333333333&lt;0,F913-D913-0.0833333333333333+1,F913-D913-0.0833333333333333),IF(OR(AND(F913="OFF",D913="OFF"),AND(F913="Congé",D913="Congé"),AND(F913="Congé sans solde",D913="Congé sans solde"),AND(F913="Congé spécial",D913="Congé spécial"),AND(F913="Férié",D913="Férié"),AND(F913="OFF",D913="Congé"),AND(F913="OFF",D913="Congé sans solde"),AND(F913="OFF",D913="Congé spécial"),AND(F913="OFF",D913="Férié"),AND(F913="Congé",D913="OFF"),AND(F913="Congé",D913="Congé sans solde"),AND(F913="Congé",D913="Congé spécial"),AND(F913="Congé",D913="Férié"),AND(F913="Congé sans solde",D913="OFF"),AND(F913="Congé sans solde",D913="Congé"),AND(F913="Congé sans solde",D913="Congé spécial"),AND(F913="Congé sans solde",D913="Férié"),AND(F913="Congé spécial",D913="OFF"),AND(F913="Congé spécial",D913="Congé"),AND(F913="Congé spécial",D913="Congé sans solde"),AND(F913="Congé spécial",D913="Férié"),AND(F913="Férié",D913="OFF"),AND(F913="Férié",D913="Congé"),AND(F913="Férié",D913="Congé sans solde"),AND(F913="Férié",D913="Congé spécial")),0,IF(OR(F913="OFF",F913="Congé",F913="Congé spécial",F913="Congé sans solde",D913="OFF",D913="Congé",D913="Congé spécial",D913="Congé sans solde"),0.208333333333334,IF(AND(AG913="",F913-D913&lt;0),("24:00:00"-D913)+("00:00:00"+F913)-0.0416666666666667,IF(AND(OR(AG913="Allaitement",AG913="Sans déjeuner"),F913-D913&lt;0),("24:00:00"-D913)+("00:00:00"+F913),IF(AND(AG913="",F913-D913&gt;0.166666666666667),F913-D913-0.0416666666666667,IF(AND(OR(AG913="Allaitement",AG913="Sans déjeuner"),F913-D913&gt;0.166666666666667),F913-D913,F913-D913)))))))</f>
        <v>0</v>
      </c>
      <c r="P913" s="6" t="str">
        <f aca="false">IFERROR(VLOOKUP($B913,Agents!$A:$D,2,0),"-")</f>
        <v>Accessibilité</v>
      </c>
      <c r="Q913" s="21" t="n">
        <v>46235</v>
      </c>
      <c r="R913" s="8" t="n">
        <f aca="false">IF(M913="Abs",O913,0)</f>
        <v>0</v>
      </c>
      <c r="S913" s="8" t="n">
        <f aca="false">SUM(R913,L913,I913,J913,W913,H913)</f>
        <v>0</v>
      </c>
      <c r="T913" s="6" t="str">
        <f aca="false">"Sem - "&amp;WEEKNUM(Q913,21)</f>
        <v>Sem - 31</v>
      </c>
      <c r="U913" s="6" t="str">
        <f aca="false">CHOOSE(MONTH(Q913),"Janvier","Février","Mars","Avril","Mai","Juin","Juillet","Août","Septembre","Octobre","Novembre","Décembre")</f>
        <v>Août</v>
      </c>
      <c r="V913" s="22" t="n">
        <f aca="false">YEAR(Q913)</f>
        <v>2026</v>
      </c>
      <c r="W913" s="20"/>
      <c r="X913" s="8" t="n">
        <f aca="false">IFERROR(IF(M913="Abs",0,IF(ROUND((D913-C913+E913-F913)*1440,0)&lt;=1,0,D913-C913+E913-F913)),0)</f>
        <v>0</v>
      </c>
      <c r="Y913" s="6" t="str">
        <f aca="false">IFERROR(VLOOKUP($B913,Agents!$A:$D,3,0),"-")</f>
        <v>OUBRAHIM Mohammed</v>
      </c>
      <c r="Z913" s="6" t="str">
        <f aca="false">IFERROR(VLOOKUP($B913,Agents!$A:$D,4,0),"-")</f>
        <v>Credit Mutuel</v>
      </c>
      <c r="AA913" s="18" t="s">
        <v>113</v>
      </c>
      <c r="AB913" s="8" t="str">
        <f aca="false">IF(AND(D913="Congé",F913="Congé"),0.333333333333333,IF(OR(AND(D913="Congé",F913&lt;&gt;"Congé"),(AND(F913="Congé",D913&lt;&gt;"Congé"))),0.166666666666667,""))</f>
        <v/>
      </c>
      <c r="AC913" s="8" t="str">
        <f aca="false">IF(AND(D913="Congé sans solde",F913="Congé sans solde"),0.333333333333333,IF(OR(AND(D913="Congé sans solde",F913&lt;&gt;"Congé sans solde"),(AND(F913="Congé sans solde",D913&lt;&gt;"Congé sans solde"))),0.166666666666667,""))</f>
        <v/>
      </c>
      <c r="AD913" s="8" t="str">
        <f aca="false">IF(AND(D913="Congé spécial",F913="Congé spécial"),0.333333333333333,IF(OR(AND(D913="Congé spécial",F913&lt;&gt;"Congé spécial"),AND(F913="Congé spécial",D913&lt;&gt;"Congé spécial")),0.166666666666667,""))</f>
        <v/>
      </c>
      <c r="AE913" s="8" t="str">
        <f aca="false">IF(AND(D913="Férié",F913="Férié"),0.333333333333333,IF(OR(AND(D913="Férié",F913&lt;&gt;"Férié"),(AND(F913="Férié",D913&lt;&gt;"Férié"))),0.166666666666667,""))</f>
        <v/>
      </c>
      <c r="AF913" s="18"/>
      <c r="AG913" s="18"/>
    </row>
    <row r="914" customFormat="false" ht="15" hidden="false" customHeight="false" outlineLevel="0" collapsed="false">
      <c r="A914" s="6" t="str">
        <f aca="false">YEAR(Q914-WEEKDAY(Q914,2)+4)&amp;"-S"&amp;TEXT(WEEKNUM(Q914,21),"00")</f>
        <v>2026-S31</v>
      </c>
      <c r="B914" s="18" t="s">
        <v>72</v>
      </c>
      <c r="C914" s="19"/>
      <c r="D914" s="19" t="s">
        <v>74</v>
      </c>
      <c r="E914" s="19"/>
      <c r="F914" s="19" t="s">
        <v>74</v>
      </c>
      <c r="G914" s="20"/>
      <c r="H914" s="20"/>
      <c r="I914" s="8" t="str">
        <f aca="false">IF(IF(OR(C914="",D914="Congé",D914="OFF",D914="Congé spécial"),"",IF(D914&gt;F914,D914-C914,IF(C914-D914&lt;0,0,C914-D914)))&lt;0.00068287037037037,"",IF(OR(D914="Congé",D914="OFF",C914="",D914="Congé spécial"),"",IF(D914&gt;F914,D914-C914,IF(C914-D914&lt;0,0,C914-D914))))</f>
        <v/>
      </c>
      <c r="J914" s="20"/>
      <c r="K914" s="8" t="n">
        <f aca="false">IF(SUM(H914:J914)&lt;0.00068287037037037,0,SUM(H914:J914))</f>
        <v>0</v>
      </c>
      <c r="L914" s="8" t="n">
        <f aca="false">IF(OR(F914="Congé",F914="OFF",M914="Abs",F914="Congé sans solde",F914="Férié",F914="Congé spécial",D914="Congé spécial"),0,IF(F914-E914&lt;0,0,IF(F914-E914&lt;=0.00068287037037037,0,F914-E914)))</f>
        <v>0</v>
      </c>
      <c r="M914" s="6" t="n">
        <f aca="false">IF(AND(O914&lt;&gt;0,C914=""),"Abs",0)</f>
        <v>0</v>
      </c>
      <c r="N914" s="8" t="str">
        <f aca="false">IFERROR(IF(OR(D914="OFF",D914="Congé",M914="Abs",D914="Congé sans solde",D914="Férié"),"",IF(O914-K914-L914&gt;O914,O914,IF(O914-K914-L914&lt;0,"",O914-K914-L914))),"")</f>
        <v/>
      </c>
      <c r="O914" s="8" t="n">
        <f aca="false">IF(AG914="2H Pause déjeuner",IF(F914-D914-0.0833333333333333&lt;0,F914-D914-0.0833333333333333+1,F914-D914-0.0833333333333333),IF(OR(AND(F914="OFF",D914="OFF"),AND(F914="Congé",D914="Congé"),AND(F914="Congé sans solde",D914="Congé sans solde"),AND(F914="Congé spécial",D914="Congé spécial"),AND(F914="Férié",D914="Férié"),AND(F914="OFF",D914="Congé"),AND(F914="OFF",D914="Congé sans solde"),AND(F914="OFF",D914="Congé spécial"),AND(F914="OFF",D914="Férié"),AND(F914="Congé",D914="OFF"),AND(F914="Congé",D914="Congé sans solde"),AND(F914="Congé",D914="Congé spécial"),AND(F914="Congé",D914="Férié"),AND(F914="Congé sans solde",D914="OFF"),AND(F914="Congé sans solde",D914="Congé"),AND(F914="Congé sans solde",D914="Congé spécial"),AND(F914="Congé sans solde",D914="Férié"),AND(F914="Congé spécial",D914="OFF"),AND(F914="Congé spécial",D914="Congé"),AND(F914="Congé spécial",D914="Congé sans solde"),AND(F914="Congé spécial",D914="Férié"),AND(F914="Férié",D914="OFF"),AND(F914="Férié",D914="Congé"),AND(F914="Férié",D914="Congé sans solde"),AND(F914="Férié",D914="Congé spécial")),0,IF(OR(F914="OFF",F914="Congé",F914="Congé spécial",F914="Congé sans solde",D914="OFF",D914="Congé",D914="Congé spécial",D914="Congé sans solde"),0.208333333333334,IF(AND(AG914="",F914-D914&lt;0),("24:00:00"-D914)+("00:00:00"+F914)-0.0416666666666667,IF(AND(OR(AG914="Allaitement",AG914="Sans déjeuner"),F914-D914&lt;0),("24:00:00"-D914)+("00:00:00"+F914),IF(AND(AG914="",F914-D914&gt;0.166666666666667),F914-D914-0.0416666666666667,IF(AND(OR(AG914="Allaitement",AG914="Sans déjeuner"),F914-D914&gt;0.166666666666667),F914-D914,F914-D914)))))))</f>
        <v>0</v>
      </c>
      <c r="P914" s="6" t="str">
        <f aca="false">IFERROR(VLOOKUP($B914,Agents!$A:$D,2,0),"-")</f>
        <v>Accessibilité</v>
      </c>
      <c r="Q914" s="21" t="n">
        <v>46235</v>
      </c>
      <c r="R914" s="8" t="n">
        <f aca="false">IF(M914="Abs",O914,0)</f>
        <v>0</v>
      </c>
      <c r="S914" s="8" t="n">
        <f aca="false">SUM(R914,L914,I914,J914,W914,H914)</f>
        <v>0</v>
      </c>
      <c r="T914" s="6" t="str">
        <f aca="false">"Sem - "&amp;WEEKNUM(Q914,21)</f>
        <v>Sem - 31</v>
      </c>
      <c r="U914" s="6" t="str">
        <f aca="false">CHOOSE(MONTH(Q914),"Janvier","Février","Mars","Avril","Mai","Juin","Juillet","Août","Septembre","Octobre","Novembre","Décembre")</f>
        <v>Août</v>
      </c>
      <c r="V914" s="22" t="n">
        <f aca="false">YEAR(Q914)</f>
        <v>2026</v>
      </c>
      <c r="W914" s="20"/>
      <c r="X914" s="8" t="n">
        <f aca="false">IFERROR(IF(M914="Abs",0,IF(ROUND((D914-C914+E914-F914)*1440,0)&lt;=1,0,D914-C914+E914-F914)),0)</f>
        <v>0</v>
      </c>
      <c r="Y914" s="6" t="str">
        <f aca="false">IFERROR(VLOOKUP($B914,Agents!$A:$D,3,0),"-")</f>
        <v>OUBRAHIM Mohammed</v>
      </c>
      <c r="Z914" s="6" t="str">
        <f aca="false">IFERROR(VLOOKUP($B914,Agents!$A:$D,4,0),"-")</f>
        <v>Credit Mutuel</v>
      </c>
      <c r="AA914" s="18" t="s">
        <v>113</v>
      </c>
      <c r="AB914" s="8" t="str">
        <f aca="false">IF(AND(D914="Congé",F914="Congé"),0.333333333333333,IF(OR(AND(D914="Congé",F914&lt;&gt;"Congé"),(AND(F914="Congé",D914&lt;&gt;"Congé"))),0.166666666666667,""))</f>
        <v/>
      </c>
      <c r="AC914" s="8" t="str">
        <f aca="false">IF(AND(D914="Congé sans solde",F914="Congé sans solde"),0.333333333333333,IF(OR(AND(D914="Congé sans solde",F914&lt;&gt;"Congé sans solde"),(AND(F914="Congé sans solde",D914&lt;&gt;"Congé sans solde"))),0.166666666666667,""))</f>
        <v/>
      </c>
      <c r="AD914" s="8" t="str">
        <f aca="false">IF(AND(D914="Congé spécial",F914="Congé spécial"),0.333333333333333,IF(OR(AND(D914="Congé spécial",F914&lt;&gt;"Congé spécial"),AND(F914="Congé spécial",D914&lt;&gt;"Congé spécial")),0.166666666666667,""))</f>
        <v/>
      </c>
      <c r="AE914" s="8" t="str">
        <f aca="false">IF(AND(D914="Férié",F914="Férié"),0.333333333333333,IF(OR(AND(D914="Férié",F914&lt;&gt;"Férié"),(AND(F914="Férié",D914&lt;&gt;"Férié"))),0.166666666666667,""))</f>
        <v/>
      </c>
      <c r="AF914" s="18"/>
      <c r="AG914" s="18"/>
    </row>
    <row r="915" customFormat="false" ht="15" hidden="false" customHeight="false" outlineLevel="0" collapsed="false">
      <c r="A915" s="6" t="str">
        <f aca="false">YEAR(Q915-WEEKDAY(Q915,2)+4)&amp;"-S"&amp;TEXT(WEEKNUM(Q915,21),"00")</f>
        <v>2026-S31</v>
      </c>
      <c r="B915" s="18" t="s">
        <v>73</v>
      </c>
      <c r="C915" s="19"/>
      <c r="D915" s="19" t="s">
        <v>74</v>
      </c>
      <c r="E915" s="19"/>
      <c r="F915" s="19" t="s">
        <v>74</v>
      </c>
      <c r="G915" s="20"/>
      <c r="H915" s="20"/>
      <c r="I915" s="8" t="str">
        <f aca="false">IF(IF(OR(C915="",D915="Congé",D915="OFF",D915="Congé spécial"),"",IF(D915&gt;F915,D915-C915,IF(C915-D915&lt;0,0,C915-D915)))&lt;0.00068287037037037,"",IF(OR(D915="Congé",D915="OFF",C915="",D915="Congé spécial"),"",IF(D915&gt;F915,D915-C915,IF(C915-D915&lt;0,0,C915-D915))))</f>
        <v/>
      </c>
      <c r="J915" s="20"/>
      <c r="K915" s="8" t="n">
        <f aca="false">IF(SUM(H915:J915)&lt;0.00068287037037037,0,SUM(H915:J915))</f>
        <v>0</v>
      </c>
      <c r="L915" s="8" t="n">
        <f aca="false">IF(OR(F915="Congé",F915="OFF",M915="Abs",F915="Congé sans solde",F915="Férié",F915="Congé spécial",D915="Congé spécial"),0,IF(F915-E915&lt;0,0,IF(F915-E915&lt;=0.00068287037037037,0,F915-E915)))</f>
        <v>0</v>
      </c>
      <c r="M915" s="6" t="n">
        <f aca="false">IF(AND(O915&lt;&gt;0,C915=""),"Abs",0)</f>
        <v>0</v>
      </c>
      <c r="N915" s="8" t="str">
        <f aca="false">IFERROR(IF(OR(D915="OFF",D915="Congé",M915="Abs",D915="Congé sans solde",D915="Férié"),"",IF(O915-K915-L915&gt;O915,O915,IF(O915-K915-L915&lt;0,"",O915-K915-L915))),"")</f>
        <v/>
      </c>
      <c r="O915" s="8" t="n">
        <f aca="false">IF(AG915="2H Pause déjeuner",IF(F915-D915-0.0833333333333333&lt;0,F915-D915-0.0833333333333333+1,F915-D915-0.0833333333333333),IF(OR(AND(F915="OFF",D915="OFF"),AND(F915="Congé",D915="Congé"),AND(F915="Congé sans solde",D915="Congé sans solde"),AND(F915="Congé spécial",D915="Congé spécial"),AND(F915="Férié",D915="Férié"),AND(F915="OFF",D915="Congé"),AND(F915="OFF",D915="Congé sans solde"),AND(F915="OFF",D915="Congé spécial"),AND(F915="OFF",D915="Férié"),AND(F915="Congé",D915="OFF"),AND(F915="Congé",D915="Congé sans solde"),AND(F915="Congé",D915="Congé spécial"),AND(F915="Congé",D915="Férié"),AND(F915="Congé sans solde",D915="OFF"),AND(F915="Congé sans solde",D915="Congé"),AND(F915="Congé sans solde",D915="Congé spécial"),AND(F915="Congé sans solde",D915="Férié"),AND(F915="Congé spécial",D915="OFF"),AND(F915="Congé spécial",D915="Congé"),AND(F915="Congé spécial",D915="Congé sans solde"),AND(F915="Congé spécial",D915="Férié"),AND(F915="Férié",D915="OFF"),AND(F915="Férié",D915="Congé"),AND(F915="Férié",D915="Congé sans solde"),AND(F915="Férié",D915="Congé spécial")),0,IF(OR(F915="OFF",F915="Congé",F915="Congé spécial",F915="Congé sans solde",D915="OFF",D915="Congé",D915="Congé spécial",D915="Congé sans solde"),0.208333333333334,IF(AND(AG915="",F915-D915&lt;0),("24:00:00"-D915)+("00:00:00"+F915)-0.0416666666666667,IF(AND(OR(AG915="Allaitement",AG915="Sans déjeuner"),F915-D915&lt;0),("24:00:00"-D915)+("00:00:00"+F915),IF(AND(AG915="",F915-D915&gt;0.166666666666667),F915-D915-0.0416666666666667,IF(AND(OR(AG915="Allaitement",AG915="Sans déjeuner"),F915-D915&gt;0.166666666666667),F915-D915,F915-D915)))))))</f>
        <v>0</v>
      </c>
      <c r="P915" s="6" t="str">
        <f aca="false">IFERROR(VLOOKUP($B915,Agents!$A:$D,2,0),"-")</f>
        <v>Accessibilité</v>
      </c>
      <c r="Q915" s="21" t="n">
        <v>46235</v>
      </c>
      <c r="R915" s="8" t="n">
        <f aca="false">IF(M915="Abs",O915,0)</f>
        <v>0</v>
      </c>
      <c r="S915" s="8" t="n">
        <f aca="false">SUM(R915,L915,I915,J915,W915,H915)</f>
        <v>0</v>
      </c>
      <c r="T915" s="6" t="str">
        <f aca="false">"Sem - "&amp;WEEKNUM(Q915,21)</f>
        <v>Sem - 31</v>
      </c>
      <c r="U915" s="6" t="str">
        <f aca="false">CHOOSE(MONTH(Q915),"Janvier","Février","Mars","Avril","Mai","Juin","Juillet","Août","Septembre","Octobre","Novembre","Décembre")</f>
        <v>Août</v>
      </c>
      <c r="V915" s="22" t="n">
        <f aca="false">YEAR(Q915)</f>
        <v>2026</v>
      </c>
      <c r="W915" s="20"/>
      <c r="X915" s="8" t="n">
        <f aca="false">IFERROR(IF(M915="Abs",0,IF(ROUND((D915-C915+E915-F915)*1440,0)&lt;=1,0,D915-C915+E915-F915)),0)</f>
        <v>0</v>
      </c>
      <c r="Y915" s="6" t="str">
        <f aca="false">IFERROR(VLOOKUP($B915,Agents!$A:$D,3,0),"-")</f>
        <v>OUBRAHIM Mohammed</v>
      </c>
      <c r="Z915" s="6" t="str">
        <f aca="false">IFERROR(VLOOKUP($B915,Agents!$A:$D,4,0),"-")</f>
        <v>Credit Mutuel</v>
      </c>
      <c r="AA915" s="18" t="s">
        <v>113</v>
      </c>
      <c r="AB915" s="8" t="str">
        <f aca="false">IF(AND(D915="Congé",F915="Congé"),0.333333333333333,IF(OR(AND(D915="Congé",F915&lt;&gt;"Congé"),(AND(F915="Congé",D915&lt;&gt;"Congé"))),0.166666666666667,""))</f>
        <v/>
      </c>
      <c r="AC915" s="8" t="str">
        <f aca="false">IF(AND(D915="Congé sans solde",F915="Congé sans solde"),0.333333333333333,IF(OR(AND(D915="Congé sans solde",F915&lt;&gt;"Congé sans solde"),(AND(F915="Congé sans solde",D915&lt;&gt;"Congé sans solde"))),0.166666666666667,""))</f>
        <v/>
      </c>
      <c r="AD915" s="8" t="str">
        <f aca="false">IF(AND(D915="Congé spécial",F915="Congé spécial"),0.333333333333333,IF(OR(AND(D915="Congé spécial",F915&lt;&gt;"Congé spécial"),AND(F915="Congé spécial",D915&lt;&gt;"Congé spécial")),0.166666666666667,""))</f>
        <v/>
      </c>
      <c r="AE915" s="8" t="str">
        <f aca="false">IF(AND(D915="Férié",F915="Férié"),0.333333333333333,IF(OR(AND(D915="Férié",F915&lt;&gt;"Férié"),(AND(F915="Férié",D915&lt;&gt;"Férié"))),0.166666666666667,""))</f>
        <v/>
      </c>
      <c r="AF915" s="18"/>
      <c r="AG915" s="18"/>
    </row>
    <row r="916" customFormat="false" ht="15" hidden="false" customHeight="false" outlineLevel="0" collapsed="false">
      <c r="A916" s="6" t="str">
        <f aca="false">YEAR(Q916-WEEKDAY(Q916,2)+4)&amp;"-S"&amp;TEXT(WEEKNUM(Q916,21),"00")</f>
        <v>2026-S31</v>
      </c>
      <c r="B916" s="18" t="s">
        <v>71</v>
      </c>
      <c r="C916" s="19"/>
      <c r="D916" s="19" t="s">
        <v>74</v>
      </c>
      <c r="E916" s="19"/>
      <c r="F916" s="19" t="s">
        <v>74</v>
      </c>
      <c r="G916" s="20"/>
      <c r="H916" s="20"/>
      <c r="I916" s="8" t="str">
        <f aca="false">IF(IF(OR(C916="",D916="Congé",D916="OFF",D916="Congé spécial"),"",IF(D916&gt;F916,D916-C916,IF(C916-D916&lt;0,0,C916-D916)))&lt;0.00068287037037037,"",IF(OR(D916="Congé",D916="OFF",C916="",D916="Congé spécial"),"",IF(D916&gt;F916,D916-C916,IF(C916-D916&lt;0,0,C916-D916))))</f>
        <v/>
      </c>
      <c r="J916" s="20"/>
      <c r="K916" s="8" t="n">
        <f aca="false">IF(SUM(H916:J916)&lt;0.00068287037037037,0,SUM(H916:J916))</f>
        <v>0</v>
      </c>
      <c r="L916" s="8" t="n">
        <f aca="false">IF(OR(F916="Congé",F916="OFF",M916="Abs",F916="Congé sans solde",F916="Férié",F916="Congé spécial",D916="Congé spécial"),0,IF(F916-E916&lt;0,0,IF(F916-E916&lt;=0.00068287037037037,0,F916-E916)))</f>
        <v>0</v>
      </c>
      <c r="M916" s="6" t="n">
        <f aca="false">IF(AND(O916&lt;&gt;0,C916=""),"Abs",0)</f>
        <v>0</v>
      </c>
      <c r="N916" s="8" t="str">
        <f aca="false">IFERROR(IF(OR(D916="OFF",D916="Congé",M916="Abs",D916="Congé sans solde",D916="Férié"),"",IF(O916-K916-L916&gt;O916,O916,IF(O916-K916-L916&lt;0,"",O916-K916-L916))),"")</f>
        <v/>
      </c>
      <c r="O916" s="8" t="n">
        <f aca="false">IF(AG916="2H Pause déjeuner",IF(F916-D916-0.0833333333333333&lt;0,F916-D916-0.0833333333333333+1,F916-D916-0.0833333333333333),IF(OR(AND(F916="OFF",D916="OFF"),AND(F916="Congé",D916="Congé"),AND(F916="Congé sans solde",D916="Congé sans solde"),AND(F916="Congé spécial",D916="Congé spécial"),AND(F916="Férié",D916="Férié"),AND(F916="OFF",D916="Congé"),AND(F916="OFF",D916="Congé sans solde"),AND(F916="OFF",D916="Congé spécial"),AND(F916="OFF",D916="Férié"),AND(F916="Congé",D916="OFF"),AND(F916="Congé",D916="Congé sans solde"),AND(F916="Congé",D916="Congé spécial"),AND(F916="Congé",D916="Férié"),AND(F916="Congé sans solde",D916="OFF"),AND(F916="Congé sans solde",D916="Congé"),AND(F916="Congé sans solde",D916="Congé spécial"),AND(F916="Congé sans solde",D916="Férié"),AND(F916="Congé spécial",D916="OFF"),AND(F916="Congé spécial",D916="Congé"),AND(F916="Congé spécial",D916="Congé sans solde"),AND(F916="Congé spécial",D916="Férié"),AND(F916="Férié",D916="OFF"),AND(F916="Férié",D916="Congé"),AND(F916="Férié",D916="Congé sans solde"),AND(F916="Férié",D916="Congé spécial")),0,IF(OR(F916="OFF",F916="Congé",F916="Congé spécial",F916="Congé sans solde",D916="OFF",D916="Congé",D916="Congé spécial",D916="Congé sans solde"),0.208333333333334,IF(AND(AG916="",F916-D916&lt;0),("24:00:00"-D916)+("00:00:00"+F916)-0.0416666666666667,IF(AND(OR(AG916="Allaitement",AG916="Sans déjeuner"),F916-D916&lt;0),("24:00:00"-D916)+("00:00:00"+F916),IF(AND(AG916="",F916-D916&gt;0.166666666666667),F916-D916-0.0416666666666667,IF(AND(OR(AG916="Allaitement",AG916="Sans déjeuner"),F916-D916&gt;0.166666666666667),F916-D916,F916-D916)))))))</f>
        <v>0</v>
      </c>
      <c r="P916" s="6" t="str">
        <f aca="false">IFERROR(VLOOKUP($B916,Agents!$A:$D,2,0),"-")</f>
        <v>Accessibilité</v>
      </c>
      <c r="Q916" s="21" t="n">
        <v>46236</v>
      </c>
      <c r="R916" s="8" t="n">
        <f aca="false">IF(M916="Abs",O916,0)</f>
        <v>0</v>
      </c>
      <c r="S916" s="8" t="n">
        <f aca="false">SUM(R916,L916,I916,J916,W916,H916)</f>
        <v>0</v>
      </c>
      <c r="T916" s="6" t="str">
        <f aca="false">"Sem - "&amp;WEEKNUM(Q916,21)</f>
        <v>Sem - 31</v>
      </c>
      <c r="U916" s="6" t="str">
        <f aca="false">CHOOSE(MONTH(Q916),"Janvier","Février","Mars","Avril","Mai","Juin","Juillet","Août","Septembre","Octobre","Novembre","Décembre")</f>
        <v>Août</v>
      </c>
      <c r="V916" s="22" t="n">
        <f aca="false">YEAR(Q916)</f>
        <v>2026</v>
      </c>
      <c r="W916" s="20"/>
      <c r="X916" s="8" t="n">
        <f aca="false">IFERROR(IF(M916="Abs",0,IF(ROUND((D916-C916+E916-F916)*1440,0)&lt;=1,0,D916-C916+E916-F916)),0)</f>
        <v>0</v>
      </c>
      <c r="Y916" s="6" t="str">
        <f aca="false">IFERROR(VLOOKUP($B916,Agents!$A:$D,3,0),"-")</f>
        <v>OUBRAHIM Mohammed</v>
      </c>
      <c r="Z916" s="6" t="str">
        <f aca="false">IFERROR(VLOOKUP($B916,Agents!$A:$D,4,0),"-")</f>
        <v>Credit Mutuel</v>
      </c>
      <c r="AA916" s="18" t="s">
        <v>113</v>
      </c>
      <c r="AB916" s="8" t="str">
        <f aca="false">IF(AND(D916="Congé",F916="Congé"),0.333333333333333,IF(OR(AND(D916="Congé",F916&lt;&gt;"Congé"),(AND(F916="Congé",D916&lt;&gt;"Congé"))),0.166666666666667,""))</f>
        <v/>
      </c>
      <c r="AC916" s="8" t="str">
        <f aca="false">IF(AND(D916="Congé sans solde",F916="Congé sans solde"),0.333333333333333,IF(OR(AND(D916="Congé sans solde",F916&lt;&gt;"Congé sans solde"),(AND(F916="Congé sans solde",D916&lt;&gt;"Congé sans solde"))),0.166666666666667,""))</f>
        <v/>
      </c>
      <c r="AD916" s="8" t="str">
        <f aca="false">IF(AND(D916="Congé spécial",F916="Congé spécial"),0.333333333333333,IF(OR(AND(D916="Congé spécial",F916&lt;&gt;"Congé spécial"),AND(F916="Congé spécial",D916&lt;&gt;"Congé spécial")),0.166666666666667,""))</f>
        <v/>
      </c>
      <c r="AE916" s="8" t="str">
        <f aca="false">IF(AND(D916="Férié",F916="Férié"),0.333333333333333,IF(OR(AND(D916="Férié",F916&lt;&gt;"Férié"),(AND(F916="Férié",D916&lt;&gt;"Férié"))),0.166666666666667,""))</f>
        <v/>
      </c>
      <c r="AF916" s="18"/>
      <c r="AG916" s="18"/>
    </row>
    <row r="917" customFormat="false" ht="15" hidden="false" customHeight="false" outlineLevel="0" collapsed="false">
      <c r="A917" s="6" t="str">
        <f aca="false">YEAR(Q917-WEEKDAY(Q917,2)+4)&amp;"-S"&amp;TEXT(WEEKNUM(Q917,21),"00")</f>
        <v>2026-S31</v>
      </c>
      <c r="B917" s="18" t="s">
        <v>72</v>
      </c>
      <c r="C917" s="19"/>
      <c r="D917" s="19" t="s">
        <v>74</v>
      </c>
      <c r="E917" s="19"/>
      <c r="F917" s="19" t="s">
        <v>74</v>
      </c>
      <c r="G917" s="20"/>
      <c r="H917" s="20"/>
      <c r="I917" s="8" t="str">
        <f aca="false">IF(IF(OR(C917="",D917="Congé",D917="OFF",D917="Congé spécial"),"",IF(D917&gt;F917,D917-C917,IF(C917-D917&lt;0,0,C917-D917)))&lt;0.00068287037037037,"",IF(OR(D917="Congé",D917="OFF",C917="",D917="Congé spécial"),"",IF(D917&gt;F917,D917-C917,IF(C917-D917&lt;0,0,C917-D917))))</f>
        <v/>
      </c>
      <c r="J917" s="20"/>
      <c r="K917" s="8" t="n">
        <f aca="false">IF(SUM(H917:J917)&lt;0.00068287037037037,0,SUM(H917:J917))</f>
        <v>0</v>
      </c>
      <c r="L917" s="8" t="n">
        <f aca="false">IF(OR(F917="Congé",F917="OFF",M917="Abs",F917="Congé sans solde",F917="Férié",F917="Congé spécial",D917="Congé spécial"),0,IF(F917-E917&lt;0,0,IF(F917-E917&lt;=0.00068287037037037,0,F917-E917)))</f>
        <v>0</v>
      </c>
      <c r="M917" s="6" t="n">
        <f aca="false">IF(AND(O917&lt;&gt;0,C917=""),"Abs",0)</f>
        <v>0</v>
      </c>
      <c r="N917" s="8" t="str">
        <f aca="false">IFERROR(IF(OR(D917="OFF",D917="Congé",M917="Abs",D917="Congé sans solde",D917="Férié"),"",IF(O917-K917-L917&gt;O917,O917,IF(O917-K917-L917&lt;0,"",O917-K917-L917))),"")</f>
        <v/>
      </c>
      <c r="O917" s="8" t="n">
        <f aca="false">IF(AG917="2H Pause déjeuner",IF(F917-D917-0.0833333333333333&lt;0,F917-D917-0.0833333333333333+1,F917-D917-0.0833333333333333),IF(OR(AND(F917="OFF",D917="OFF"),AND(F917="Congé",D917="Congé"),AND(F917="Congé sans solde",D917="Congé sans solde"),AND(F917="Congé spécial",D917="Congé spécial"),AND(F917="Férié",D917="Férié"),AND(F917="OFF",D917="Congé"),AND(F917="OFF",D917="Congé sans solde"),AND(F917="OFF",D917="Congé spécial"),AND(F917="OFF",D917="Férié"),AND(F917="Congé",D917="OFF"),AND(F917="Congé",D917="Congé sans solde"),AND(F917="Congé",D917="Congé spécial"),AND(F917="Congé",D917="Férié"),AND(F917="Congé sans solde",D917="OFF"),AND(F917="Congé sans solde",D917="Congé"),AND(F917="Congé sans solde",D917="Congé spécial"),AND(F917="Congé sans solde",D917="Férié"),AND(F917="Congé spécial",D917="OFF"),AND(F917="Congé spécial",D917="Congé"),AND(F917="Congé spécial",D917="Congé sans solde"),AND(F917="Congé spécial",D917="Férié"),AND(F917="Férié",D917="OFF"),AND(F917="Férié",D917="Congé"),AND(F917="Férié",D917="Congé sans solde"),AND(F917="Férié",D917="Congé spécial")),0,IF(OR(F917="OFF",F917="Congé",F917="Congé spécial",F917="Congé sans solde",D917="OFF",D917="Congé",D917="Congé spécial",D917="Congé sans solde"),0.208333333333334,IF(AND(AG917="",F917-D917&lt;0),("24:00:00"-D917)+("00:00:00"+F917)-0.0416666666666667,IF(AND(OR(AG917="Allaitement",AG917="Sans déjeuner"),F917-D917&lt;0),("24:00:00"-D917)+("00:00:00"+F917),IF(AND(AG917="",F917-D917&gt;0.166666666666667),F917-D917-0.0416666666666667,IF(AND(OR(AG917="Allaitement",AG917="Sans déjeuner"),F917-D917&gt;0.166666666666667),F917-D917,F917-D917)))))))</f>
        <v>0</v>
      </c>
      <c r="P917" s="6" t="str">
        <f aca="false">IFERROR(VLOOKUP($B917,Agents!$A:$D,2,0),"-")</f>
        <v>Accessibilité</v>
      </c>
      <c r="Q917" s="21" t="n">
        <v>46236</v>
      </c>
      <c r="R917" s="8" t="n">
        <f aca="false">IF(M917="Abs",O917,0)</f>
        <v>0</v>
      </c>
      <c r="S917" s="8" t="n">
        <f aca="false">SUM(R917,L917,I917,J917,W917,H917)</f>
        <v>0</v>
      </c>
      <c r="T917" s="6" t="str">
        <f aca="false">"Sem - "&amp;WEEKNUM(Q917,21)</f>
        <v>Sem - 31</v>
      </c>
      <c r="U917" s="6" t="str">
        <f aca="false">CHOOSE(MONTH(Q917),"Janvier","Février","Mars","Avril","Mai","Juin","Juillet","Août","Septembre","Octobre","Novembre","Décembre")</f>
        <v>Août</v>
      </c>
      <c r="V917" s="22" t="n">
        <f aca="false">YEAR(Q917)</f>
        <v>2026</v>
      </c>
      <c r="W917" s="20"/>
      <c r="X917" s="8" t="n">
        <f aca="false">IFERROR(IF(M917="Abs",0,IF(ROUND((D917-C917+E917-F917)*1440,0)&lt;=1,0,D917-C917+E917-F917)),0)</f>
        <v>0</v>
      </c>
      <c r="Y917" s="6" t="str">
        <f aca="false">IFERROR(VLOOKUP($B917,Agents!$A:$D,3,0),"-")</f>
        <v>OUBRAHIM Mohammed</v>
      </c>
      <c r="Z917" s="6" t="str">
        <f aca="false">IFERROR(VLOOKUP($B917,Agents!$A:$D,4,0),"-")</f>
        <v>Credit Mutuel</v>
      </c>
      <c r="AA917" s="18" t="s">
        <v>113</v>
      </c>
      <c r="AB917" s="8" t="str">
        <f aca="false">IF(AND(D917="Congé",F917="Congé"),0.333333333333333,IF(OR(AND(D917="Congé",F917&lt;&gt;"Congé"),(AND(F917="Congé",D917&lt;&gt;"Congé"))),0.166666666666667,""))</f>
        <v/>
      </c>
      <c r="AC917" s="8" t="str">
        <f aca="false">IF(AND(D917="Congé sans solde",F917="Congé sans solde"),0.333333333333333,IF(OR(AND(D917="Congé sans solde",F917&lt;&gt;"Congé sans solde"),(AND(F917="Congé sans solde",D917&lt;&gt;"Congé sans solde"))),0.166666666666667,""))</f>
        <v/>
      </c>
      <c r="AD917" s="8" t="str">
        <f aca="false">IF(AND(D917="Congé spécial",F917="Congé spécial"),0.333333333333333,IF(OR(AND(D917="Congé spécial",F917&lt;&gt;"Congé spécial"),AND(F917="Congé spécial",D917&lt;&gt;"Congé spécial")),0.166666666666667,""))</f>
        <v/>
      </c>
      <c r="AE917" s="8" t="str">
        <f aca="false">IF(AND(D917="Férié",F917="Férié"),0.333333333333333,IF(OR(AND(D917="Férié",F917&lt;&gt;"Férié"),(AND(F917="Férié",D917&lt;&gt;"Férié"))),0.166666666666667,""))</f>
        <v/>
      </c>
      <c r="AF917" s="18"/>
      <c r="AG917" s="18"/>
    </row>
    <row r="918" customFormat="false" ht="15" hidden="false" customHeight="false" outlineLevel="0" collapsed="false">
      <c r="A918" s="6" t="str">
        <f aca="false">YEAR(Q918-WEEKDAY(Q918,2)+4)&amp;"-S"&amp;TEXT(WEEKNUM(Q918,21),"00")</f>
        <v>2026-S31</v>
      </c>
      <c r="B918" s="18" t="s">
        <v>73</v>
      </c>
      <c r="C918" s="19"/>
      <c r="D918" s="19" t="s">
        <v>74</v>
      </c>
      <c r="E918" s="19"/>
      <c r="F918" s="19" t="s">
        <v>74</v>
      </c>
      <c r="G918" s="20"/>
      <c r="H918" s="20"/>
      <c r="I918" s="8" t="str">
        <f aca="false">IF(IF(OR(C918="",D918="Congé",D918="OFF",D918="Congé spécial"),"",IF(D918&gt;F918,D918-C918,IF(C918-D918&lt;0,0,C918-D918)))&lt;0.00068287037037037,"",IF(OR(D918="Congé",D918="OFF",C918="",D918="Congé spécial"),"",IF(D918&gt;F918,D918-C918,IF(C918-D918&lt;0,0,C918-D918))))</f>
        <v/>
      </c>
      <c r="J918" s="20"/>
      <c r="K918" s="8" t="n">
        <f aca="false">IF(SUM(H918:J918)&lt;0.00068287037037037,0,SUM(H918:J918))</f>
        <v>0</v>
      </c>
      <c r="L918" s="8" t="n">
        <f aca="false">IF(OR(F918="Congé",F918="OFF",M918="Abs",F918="Congé sans solde",F918="Férié",F918="Congé spécial",D918="Congé spécial"),0,IF(F918-E918&lt;0,0,IF(F918-E918&lt;=0.00068287037037037,0,F918-E918)))</f>
        <v>0</v>
      </c>
      <c r="M918" s="6" t="n">
        <f aca="false">IF(AND(O918&lt;&gt;0,C918=""),"Abs",0)</f>
        <v>0</v>
      </c>
      <c r="N918" s="8" t="str">
        <f aca="false">IFERROR(IF(OR(D918="OFF",D918="Congé",M918="Abs",D918="Congé sans solde",D918="Férié"),"",IF(O918-K918-L918&gt;O918,O918,IF(O918-K918-L918&lt;0,"",O918-K918-L918))),"")</f>
        <v/>
      </c>
      <c r="O918" s="8" t="n">
        <f aca="false">IF(AG918="2H Pause déjeuner",IF(F918-D918-0.0833333333333333&lt;0,F918-D918-0.0833333333333333+1,F918-D918-0.0833333333333333),IF(OR(AND(F918="OFF",D918="OFF"),AND(F918="Congé",D918="Congé"),AND(F918="Congé sans solde",D918="Congé sans solde"),AND(F918="Congé spécial",D918="Congé spécial"),AND(F918="Férié",D918="Férié"),AND(F918="OFF",D918="Congé"),AND(F918="OFF",D918="Congé sans solde"),AND(F918="OFF",D918="Congé spécial"),AND(F918="OFF",D918="Férié"),AND(F918="Congé",D918="OFF"),AND(F918="Congé",D918="Congé sans solde"),AND(F918="Congé",D918="Congé spécial"),AND(F918="Congé",D918="Férié"),AND(F918="Congé sans solde",D918="OFF"),AND(F918="Congé sans solde",D918="Congé"),AND(F918="Congé sans solde",D918="Congé spécial"),AND(F918="Congé sans solde",D918="Férié"),AND(F918="Congé spécial",D918="OFF"),AND(F918="Congé spécial",D918="Congé"),AND(F918="Congé spécial",D918="Congé sans solde"),AND(F918="Congé spécial",D918="Férié"),AND(F918="Férié",D918="OFF"),AND(F918="Férié",D918="Congé"),AND(F918="Férié",D918="Congé sans solde"),AND(F918="Férié",D918="Congé spécial")),0,IF(OR(F918="OFF",F918="Congé",F918="Congé spécial",F918="Congé sans solde",D918="OFF",D918="Congé",D918="Congé spécial",D918="Congé sans solde"),0.208333333333334,IF(AND(AG918="",F918-D918&lt;0),("24:00:00"-D918)+("00:00:00"+F918)-0.0416666666666667,IF(AND(OR(AG918="Allaitement",AG918="Sans déjeuner"),F918-D918&lt;0),("24:00:00"-D918)+("00:00:00"+F918),IF(AND(AG918="",F918-D918&gt;0.166666666666667),F918-D918-0.0416666666666667,IF(AND(OR(AG918="Allaitement",AG918="Sans déjeuner"),F918-D918&gt;0.166666666666667),F918-D918,F918-D918)))))))</f>
        <v>0</v>
      </c>
      <c r="P918" s="6" t="str">
        <f aca="false">IFERROR(VLOOKUP($B918,Agents!$A:$D,2,0),"-")</f>
        <v>Accessibilité</v>
      </c>
      <c r="Q918" s="21" t="n">
        <v>46236</v>
      </c>
      <c r="R918" s="8" t="n">
        <f aca="false">IF(M918="Abs",O918,0)</f>
        <v>0</v>
      </c>
      <c r="S918" s="8" t="n">
        <f aca="false">SUM(R918,L918,I918,J918,W918,H918)</f>
        <v>0</v>
      </c>
      <c r="T918" s="6" t="str">
        <f aca="false">"Sem - "&amp;WEEKNUM(Q918,21)</f>
        <v>Sem - 31</v>
      </c>
      <c r="U918" s="6" t="str">
        <f aca="false">CHOOSE(MONTH(Q918),"Janvier","Février","Mars","Avril","Mai","Juin","Juillet","Août","Septembre","Octobre","Novembre","Décembre")</f>
        <v>Août</v>
      </c>
      <c r="V918" s="22" t="n">
        <f aca="false">YEAR(Q918)</f>
        <v>2026</v>
      </c>
      <c r="W918" s="20"/>
      <c r="X918" s="8" t="n">
        <f aca="false">IFERROR(IF(M918="Abs",0,IF(ROUND((D918-C918+E918-F918)*1440,0)&lt;=1,0,D918-C918+E918-F918)),0)</f>
        <v>0</v>
      </c>
      <c r="Y918" s="6" t="str">
        <f aca="false">IFERROR(VLOOKUP($B918,Agents!$A:$D,3,0),"-")</f>
        <v>OUBRAHIM Mohammed</v>
      </c>
      <c r="Z918" s="6" t="str">
        <f aca="false">IFERROR(VLOOKUP($B918,Agents!$A:$D,4,0),"-")</f>
        <v>Credit Mutuel</v>
      </c>
      <c r="AA918" s="18" t="s">
        <v>113</v>
      </c>
      <c r="AB918" s="8" t="str">
        <f aca="false">IF(AND(D918="Congé",F918="Congé"),0.333333333333333,IF(OR(AND(D918="Congé",F918&lt;&gt;"Congé"),(AND(F918="Congé",D918&lt;&gt;"Congé"))),0.166666666666667,""))</f>
        <v/>
      </c>
      <c r="AC918" s="8" t="str">
        <f aca="false">IF(AND(D918="Congé sans solde",F918="Congé sans solde"),0.333333333333333,IF(OR(AND(D918="Congé sans solde",F918&lt;&gt;"Congé sans solde"),(AND(F918="Congé sans solde",D918&lt;&gt;"Congé sans solde"))),0.166666666666667,""))</f>
        <v/>
      </c>
      <c r="AD918" s="8" t="str">
        <f aca="false">IF(AND(D918="Congé spécial",F918="Congé spécial"),0.333333333333333,IF(OR(AND(D918="Congé spécial",F918&lt;&gt;"Congé spécial"),AND(F918="Congé spécial",D918&lt;&gt;"Congé spécial")),0.166666666666667,""))</f>
        <v/>
      </c>
      <c r="AE918" s="8" t="str">
        <f aca="false">IF(AND(D918="Férié",F918="Férié"),0.333333333333333,IF(OR(AND(D918="Férié",F918&lt;&gt;"Férié"),(AND(F918="Férié",D918&lt;&gt;"Férié"))),0.166666666666667,""))</f>
        <v/>
      </c>
      <c r="AF918" s="18"/>
      <c r="AG918" s="18"/>
    </row>
    <row r="919" customFormat="false" ht="15" hidden="false" customHeight="false" outlineLevel="0" collapsed="false">
      <c r="A919" s="6" t="str">
        <f aca="false">YEAR(Q919-WEEKDAY(Q919,2)+4)&amp;"-S"&amp;TEXT(WEEKNUM(Q919,21),"00")</f>
        <v>2026-S32</v>
      </c>
      <c r="B919" s="18" t="s">
        <v>71</v>
      </c>
      <c r="C919" s="19" t="n">
        <v>0.33125</v>
      </c>
      <c r="D919" s="19" t="n">
        <v>0.333333333333333</v>
      </c>
      <c r="E919" s="19" t="n">
        <v>0.75</v>
      </c>
      <c r="F919" s="19" t="n">
        <v>0.75</v>
      </c>
      <c r="G919" s="20"/>
      <c r="H919" s="20"/>
      <c r="I919" s="8" t="str">
        <f aca="false">IF(IF(OR(C919="",D919="Congé",D919="OFF",D919="Congé spécial"),"",IF(D919&gt;F919,D919-C919,IF(C919-D919&lt;0,0,C919-D919)))&lt;0.00068287037037037,"",IF(OR(D919="Congé",D919="OFF",C919="",D919="Congé spécial"),"",IF(D919&gt;F919,D919-C919,IF(C919-D919&lt;0,0,C919-D919))))</f>
        <v/>
      </c>
      <c r="J919" s="20"/>
      <c r="K919" s="8" t="n">
        <f aca="false">IF(SUM(H919:J919)&lt;0.00068287037037037,0,SUM(H919:J919))</f>
        <v>0</v>
      </c>
      <c r="L919" s="8" t="n">
        <f aca="false">IF(OR(F919="Congé",F919="OFF",M919="Abs",F919="Congé sans solde",F919="Férié",F919="Congé spécial",D919="Congé spécial"),0,IF(F919-E919&lt;0,0,IF(F919-E919&lt;=0.00068287037037037,0,F919-E919)))</f>
        <v>0</v>
      </c>
      <c r="M919" s="6" t="n">
        <f aca="false">IF(AND(O919&lt;&gt;0,C919=""),"Abs",0)</f>
        <v>0</v>
      </c>
      <c r="N919" s="8" t="n">
        <f aca="false">IFERROR(IF(OR(D919="OFF",D919="Congé",M919="Abs",D919="Congé sans solde",D919="Férié"),"",IF(O919-K919-L919&gt;O919,O919,IF(O919-K919-L919&lt;0,"",O919-K919-L919))),"")</f>
        <v>0.375</v>
      </c>
      <c r="O919" s="8" t="n">
        <f aca="false">IF(AG919="2H Pause déjeuner",IF(F919-D919-0.0833333333333333&lt;0,F919-D919-0.0833333333333333+1,F919-D919-0.0833333333333333),IF(OR(AND(F919="OFF",D919="OFF"),AND(F919="Congé",D919="Congé"),AND(F919="Congé sans solde",D919="Congé sans solde"),AND(F919="Congé spécial",D919="Congé spécial"),AND(F919="Férié",D919="Férié"),AND(F919="OFF",D919="Congé"),AND(F919="OFF",D919="Congé sans solde"),AND(F919="OFF",D919="Congé spécial"),AND(F919="OFF",D919="Férié"),AND(F919="Congé",D919="OFF"),AND(F919="Congé",D919="Congé sans solde"),AND(F919="Congé",D919="Congé spécial"),AND(F919="Congé",D919="Férié"),AND(F919="Congé sans solde",D919="OFF"),AND(F919="Congé sans solde",D919="Congé"),AND(F919="Congé sans solde",D919="Congé spécial"),AND(F919="Congé sans solde",D919="Férié"),AND(F919="Congé spécial",D919="OFF"),AND(F919="Congé spécial",D919="Congé"),AND(F919="Congé spécial",D919="Congé sans solde"),AND(F919="Congé spécial",D919="Férié"),AND(F919="Férié",D919="OFF"),AND(F919="Férié",D919="Congé"),AND(F919="Férié",D919="Congé sans solde"),AND(F919="Férié",D919="Congé spécial")),0,IF(OR(F919="OFF",F919="Congé",F919="Congé spécial",F919="Congé sans solde",D919="OFF",D919="Congé",D919="Congé spécial",D919="Congé sans solde"),0.208333333333334,IF(AND(AG919="",F919-D919&lt;0),("24:00:00"-D919)+("00:00:00"+F919)-0.0416666666666667,IF(AND(OR(AG919="Allaitement",AG919="Sans déjeuner"),F919-D919&lt;0),("24:00:00"-D919)+("00:00:00"+F919),IF(AND(AG919="",F919-D919&gt;0.166666666666667),F919-D919-0.0416666666666667,IF(AND(OR(AG919="Allaitement",AG919="Sans déjeuner"),F919-D919&gt;0.166666666666667),F919-D919,F919-D919)))))))</f>
        <v>0.375</v>
      </c>
      <c r="P919" s="6" t="str">
        <f aca="false">IFERROR(VLOOKUP($B919,Agents!$A:$D,2,0),"-")</f>
        <v>Accessibilité</v>
      </c>
      <c r="Q919" s="21" t="n">
        <v>46237</v>
      </c>
      <c r="R919" s="8" t="n">
        <f aca="false">IF(M919="Abs",O919,0)</f>
        <v>0</v>
      </c>
      <c r="S919" s="8" t="n">
        <f aca="false">SUM(R919,L919,I919,J919,W919,H919)</f>
        <v>0</v>
      </c>
      <c r="T919" s="6" t="str">
        <f aca="false">"Sem - "&amp;WEEKNUM(Q919,21)</f>
        <v>Sem - 32</v>
      </c>
      <c r="U919" s="6" t="str">
        <f aca="false">CHOOSE(MONTH(Q919),"Janvier","Février","Mars","Avril","Mai","Juin","Juillet","Août","Septembre","Octobre","Novembre","Décembre")</f>
        <v>Août</v>
      </c>
      <c r="V919" s="22" t="n">
        <f aca="false">YEAR(Q919)</f>
        <v>2026</v>
      </c>
      <c r="W919" s="20"/>
      <c r="X919" s="8" t="n">
        <f aca="false">IFERROR(IF(M919="Abs",0,IF(ROUND((D919-C919+E919-F919)*1440,0)&lt;=1,0,D919-C919+E919-F919)),0)</f>
        <v>0.00208333333333333</v>
      </c>
      <c r="Y919" s="6" t="str">
        <f aca="false">IFERROR(VLOOKUP($B919,Agents!$A:$D,3,0),"-")</f>
        <v>OUBRAHIM Mohammed</v>
      </c>
      <c r="Z919" s="6" t="str">
        <f aca="false">IFERROR(VLOOKUP($B919,Agents!$A:$D,4,0),"-")</f>
        <v>Credit Mutuel</v>
      </c>
      <c r="AA919" s="18" t="s">
        <v>114</v>
      </c>
      <c r="AB919" s="8" t="str">
        <f aca="false">IF(AND(D919="Congé",F919="Congé"),0.333333333333333,IF(OR(AND(D919="Congé",F919&lt;&gt;"Congé"),(AND(F919="Congé",D919&lt;&gt;"Congé"))),0.166666666666667,""))</f>
        <v/>
      </c>
      <c r="AC919" s="8" t="str">
        <f aca="false">IF(AND(D919="Congé sans solde",F919="Congé sans solde"),0.333333333333333,IF(OR(AND(D919="Congé sans solde",F919&lt;&gt;"Congé sans solde"),(AND(F919="Congé sans solde",D919&lt;&gt;"Congé sans solde"))),0.166666666666667,""))</f>
        <v/>
      </c>
      <c r="AD919" s="8" t="str">
        <f aca="false">IF(AND(D919="Congé spécial",F919="Congé spécial"),0.333333333333333,IF(OR(AND(D919="Congé spécial",F919&lt;&gt;"Congé spécial"),AND(F919="Congé spécial",D919&lt;&gt;"Congé spécial")),0.166666666666667,""))</f>
        <v/>
      </c>
      <c r="AE919" s="8" t="str">
        <f aca="false">IF(AND(D919="Férié",F919="Férié"),0.333333333333333,IF(OR(AND(D919="Férié",F919&lt;&gt;"Férié"),(AND(F919="Férié",D919&lt;&gt;"Férié"))),0.166666666666667,""))</f>
        <v/>
      </c>
      <c r="AF919" s="18"/>
      <c r="AG919" s="18"/>
    </row>
    <row r="920" customFormat="false" ht="15" hidden="false" customHeight="false" outlineLevel="0" collapsed="false">
      <c r="A920" s="6" t="str">
        <f aca="false">YEAR(Q920-WEEKDAY(Q920,2)+4)&amp;"-S"&amp;TEXT(WEEKNUM(Q920,21),"00")</f>
        <v>2026-S32</v>
      </c>
      <c r="B920" s="18" t="s">
        <v>72</v>
      </c>
      <c r="C920" s="19" t="n">
        <v>0.330555555555556</v>
      </c>
      <c r="D920" s="19" t="n">
        <v>0.333333333333333</v>
      </c>
      <c r="E920" s="19" t="n">
        <v>0.75</v>
      </c>
      <c r="F920" s="19" t="n">
        <v>0.75</v>
      </c>
      <c r="G920" s="20"/>
      <c r="H920" s="20"/>
      <c r="I920" s="8" t="str">
        <f aca="false">IF(IF(OR(C920="",D920="Congé",D920="OFF",D920="Congé spécial"),"",IF(D920&gt;F920,D920-C920,IF(C920-D920&lt;0,0,C920-D920)))&lt;0.00068287037037037,"",IF(OR(D920="Congé",D920="OFF",C920="",D920="Congé spécial"),"",IF(D920&gt;F920,D920-C920,IF(C920-D920&lt;0,0,C920-D920))))</f>
        <v/>
      </c>
      <c r="J920" s="20"/>
      <c r="K920" s="8" t="n">
        <f aca="false">IF(SUM(H920:J920)&lt;0.00068287037037037,0,SUM(H920:J920))</f>
        <v>0</v>
      </c>
      <c r="L920" s="8" t="n">
        <f aca="false">IF(OR(F920="Congé",F920="OFF",M920="Abs",F920="Congé sans solde",F920="Férié",F920="Congé spécial",D920="Congé spécial"),0,IF(F920-E920&lt;0,0,IF(F920-E920&lt;=0.00068287037037037,0,F920-E920)))</f>
        <v>0</v>
      </c>
      <c r="M920" s="6" t="n">
        <f aca="false">IF(AND(O920&lt;&gt;0,C920=""),"Abs",0)</f>
        <v>0</v>
      </c>
      <c r="N920" s="8" t="n">
        <f aca="false">IFERROR(IF(OR(D920="OFF",D920="Congé",M920="Abs",D920="Congé sans solde",D920="Férié"),"",IF(O920-K920-L920&gt;O920,O920,IF(O920-K920-L920&lt;0,"",O920-K920-L920))),"")</f>
        <v>0.375</v>
      </c>
      <c r="O920" s="8" t="n">
        <f aca="false">IF(AG920="2H Pause déjeuner",IF(F920-D920-0.0833333333333333&lt;0,F920-D920-0.0833333333333333+1,F920-D920-0.0833333333333333),IF(OR(AND(F920="OFF",D920="OFF"),AND(F920="Congé",D920="Congé"),AND(F920="Congé sans solde",D920="Congé sans solde"),AND(F920="Congé spécial",D920="Congé spécial"),AND(F920="Férié",D920="Férié"),AND(F920="OFF",D920="Congé"),AND(F920="OFF",D920="Congé sans solde"),AND(F920="OFF",D920="Congé spécial"),AND(F920="OFF",D920="Férié"),AND(F920="Congé",D920="OFF"),AND(F920="Congé",D920="Congé sans solde"),AND(F920="Congé",D920="Congé spécial"),AND(F920="Congé",D920="Férié"),AND(F920="Congé sans solde",D920="OFF"),AND(F920="Congé sans solde",D920="Congé"),AND(F920="Congé sans solde",D920="Congé spécial"),AND(F920="Congé sans solde",D920="Férié"),AND(F920="Congé spécial",D920="OFF"),AND(F920="Congé spécial",D920="Congé"),AND(F920="Congé spécial",D920="Congé sans solde"),AND(F920="Congé spécial",D920="Férié"),AND(F920="Férié",D920="OFF"),AND(F920="Férié",D920="Congé"),AND(F920="Férié",D920="Congé sans solde"),AND(F920="Férié",D920="Congé spécial")),0,IF(OR(F920="OFF",F920="Congé",F920="Congé spécial",F920="Congé sans solde",D920="OFF",D920="Congé",D920="Congé spécial",D920="Congé sans solde"),0.208333333333334,IF(AND(AG920="",F920-D920&lt;0),("24:00:00"-D920)+("00:00:00"+F920)-0.0416666666666667,IF(AND(OR(AG920="Allaitement",AG920="Sans déjeuner"),F920-D920&lt;0),("24:00:00"-D920)+("00:00:00"+F920),IF(AND(AG920="",F920-D920&gt;0.166666666666667),F920-D920-0.0416666666666667,IF(AND(OR(AG920="Allaitement",AG920="Sans déjeuner"),F920-D920&gt;0.166666666666667),F920-D920,F920-D920)))))))</f>
        <v>0.375</v>
      </c>
      <c r="P920" s="6" t="str">
        <f aca="false">IFERROR(VLOOKUP($B920,Agents!$A:$D,2,0),"-")</f>
        <v>Accessibilité</v>
      </c>
      <c r="Q920" s="21" t="n">
        <v>46237</v>
      </c>
      <c r="R920" s="8" t="n">
        <f aca="false">IF(M920="Abs",O920,0)</f>
        <v>0</v>
      </c>
      <c r="S920" s="8" t="n">
        <f aca="false">SUM(R920,L920,I920,J920,W920,H920)</f>
        <v>0</v>
      </c>
      <c r="T920" s="6" t="str">
        <f aca="false">"Sem - "&amp;WEEKNUM(Q920,21)</f>
        <v>Sem - 32</v>
      </c>
      <c r="U920" s="6" t="str">
        <f aca="false">CHOOSE(MONTH(Q920),"Janvier","Février","Mars","Avril","Mai","Juin","Juillet","Août","Septembre","Octobre","Novembre","Décembre")</f>
        <v>Août</v>
      </c>
      <c r="V920" s="22" t="n">
        <f aca="false">YEAR(Q920)</f>
        <v>2026</v>
      </c>
      <c r="W920" s="20"/>
      <c r="X920" s="8" t="n">
        <f aca="false">IFERROR(IF(M920="Abs",0,IF(ROUND((D920-C920+E920-F920)*1440,0)&lt;=1,0,D920-C920+E920-F920)),0)</f>
        <v>0.00277777777777778</v>
      </c>
      <c r="Y920" s="6" t="str">
        <f aca="false">IFERROR(VLOOKUP($B920,Agents!$A:$D,3,0),"-")</f>
        <v>OUBRAHIM Mohammed</v>
      </c>
      <c r="Z920" s="6" t="str">
        <f aca="false">IFERROR(VLOOKUP($B920,Agents!$A:$D,4,0),"-")</f>
        <v>Credit Mutuel</v>
      </c>
      <c r="AA920" s="18" t="s">
        <v>114</v>
      </c>
      <c r="AB920" s="8" t="str">
        <f aca="false">IF(AND(D920="Congé",F920="Congé"),0.333333333333333,IF(OR(AND(D920="Congé",F920&lt;&gt;"Congé"),(AND(F920="Congé",D920&lt;&gt;"Congé"))),0.166666666666667,""))</f>
        <v/>
      </c>
      <c r="AC920" s="8" t="str">
        <f aca="false">IF(AND(D920="Congé sans solde",F920="Congé sans solde"),0.333333333333333,IF(OR(AND(D920="Congé sans solde",F920&lt;&gt;"Congé sans solde"),(AND(F920="Congé sans solde",D920&lt;&gt;"Congé sans solde"))),0.166666666666667,""))</f>
        <v/>
      </c>
      <c r="AD920" s="8" t="str">
        <f aca="false">IF(AND(D920="Congé spécial",F920="Congé spécial"),0.333333333333333,IF(OR(AND(D920="Congé spécial",F920&lt;&gt;"Congé spécial"),AND(F920="Congé spécial",D920&lt;&gt;"Congé spécial")),0.166666666666667,""))</f>
        <v/>
      </c>
      <c r="AE920" s="8" t="str">
        <f aca="false">IF(AND(D920="Férié",F920="Férié"),0.333333333333333,IF(OR(AND(D920="Férié",F920&lt;&gt;"Férié"),(AND(F920="Férié",D920&lt;&gt;"Férié"))),0.166666666666667,""))</f>
        <v/>
      </c>
      <c r="AF920" s="18"/>
      <c r="AG920" s="18"/>
    </row>
    <row r="921" customFormat="false" ht="15" hidden="false" customHeight="false" outlineLevel="0" collapsed="false">
      <c r="A921" s="6" t="str">
        <f aca="false">YEAR(Q921-WEEKDAY(Q921,2)+4)&amp;"-S"&amp;TEXT(WEEKNUM(Q921,21),"00")</f>
        <v>2026-S32</v>
      </c>
      <c r="B921" s="18" t="s">
        <v>73</v>
      </c>
      <c r="C921" s="19" t="n">
        <v>0.347916666666667</v>
      </c>
      <c r="D921" s="19" t="n">
        <v>0.333333333333333</v>
      </c>
      <c r="E921" s="19" t="n">
        <v>0.75</v>
      </c>
      <c r="F921" s="19" t="n">
        <v>0.75</v>
      </c>
      <c r="G921" s="20"/>
      <c r="H921" s="20"/>
      <c r="I921" s="8" t="n">
        <f aca="false">IF(IF(OR(C921="",D921="Congé",D921="OFF",D921="Congé spécial"),"",IF(D921&gt;F921,D921-C921,IF(C921-D921&lt;0,0,C921-D921)))&lt;0.00068287037037037,"",IF(OR(D921="Congé",D921="OFF",C921="",D921="Congé spécial"),"",IF(D921&gt;F921,D921-C921,IF(C921-D921&lt;0,0,C921-D921))))</f>
        <v>0.0145833333333333</v>
      </c>
      <c r="J921" s="20"/>
      <c r="K921" s="8" t="n">
        <f aca="false">IF(SUM(H921:J921)&lt;0.00068287037037037,0,SUM(H921:J921))</f>
        <v>0.0145833333333333</v>
      </c>
      <c r="L921" s="8" t="n">
        <f aca="false">IF(OR(F921="Congé",F921="OFF",M921="Abs",F921="Congé sans solde",F921="Férié",F921="Congé spécial",D921="Congé spécial"),0,IF(F921-E921&lt;0,0,IF(F921-E921&lt;=0.00068287037037037,0,F921-E921)))</f>
        <v>0</v>
      </c>
      <c r="M921" s="6" t="n">
        <f aca="false">IF(AND(O921&lt;&gt;0,C921=""),"Abs",0)</f>
        <v>0</v>
      </c>
      <c r="N921" s="8" t="n">
        <f aca="false">IFERROR(IF(OR(D921="OFF",D921="Congé",M921="Abs",D921="Congé sans solde",D921="Férié"),"",IF(O921-K921-L921&gt;O921,O921,IF(O921-K921-L921&lt;0,"",O921-K921-L921))),"")</f>
        <v>0.360416666666667</v>
      </c>
      <c r="O921" s="8" t="n">
        <f aca="false">IF(AG921="2H Pause déjeuner",IF(F921-D921-0.0833333333333333&lt;0,F921-D921-0.0833333333333333+1,F921-D921-0.0833333333333333),IF(OR(AND(F921="OFF",D921="OFF"),AND(F921="Congé",D921="Congé"),AND(F921="Congé sans solde",D921="Congé sans solde"),AND(F921="Congé spécial",D921="Congé spécial"),AND(F921="Férié",D921="Férié"),AND(F921="OFF",D921="Congé"),AND(F921="OFF",D921="Congé sans solde"),AND(F921="OFF",D921="Congé spécial"),AND(F921="OFF",D921="Férié"),AND(F921="Congé",D921="OFF"),AND(F921="Congé",D921="Congé sans solde"),AND(F921="Congé",D921="Congé spécial"),AND(F921="Congé",D921="Férié"),AND(F921="Congé sans solde",D921="OFF"),AND(F921="Congé sans solde",D921="Congé"),AND(F921="Congé sans solde",D921="Congé spécial"),AND(F921="Congé sans solde",D921="Férié"),AND(F921="Congé spécial",D921="OFF"),AND(F921="Congé spécial",D921="Congé"),AND(F921="Congé spécial",D921="Congé sans solde"),AND(F921="Congé spécial",D921="Férié"),AND(F921="Férié",D921="OFF"),AND(F921="Férié",D921="Congé"),AND(F921="Férié",D921="Congé sans solde"),AND(F921="Férié",D921="Congé spécial")),0,IF(OR(F921="OFF",F921="Congé",F921="Congé spécial",F921="Congé sans solde",D921="OFF",D921="Congé",D921="Congé spécial",D921="Congé sans solde"),0.208333333333334,IF(AND(AG921="",F921-D921&lt;0),("24:00:00"-D921)+("00:00:00"+F921)-0.0416666666666667,IF(AND(OR(AG921="Allaitement",AG921="Sans déjeuner"),F921-D921&lt;0),("24:00:00"-D921)+("00:00:00"+F921),IF(AND(AG921="",F921-D921&gt;0.166666666666667),F921-D921-0.0416666666666667,IF(AND(OR(AG921="Allaitement",AG921="Sans déjeuner"),F921-D921&gt;0.166666666666667),F921-D921,F921-D921)))))))</f>
        <v>0.375</v>
      </c>
      <c r="P921" s="6" t="str">
        <f aca="false">IFERROR(VLOOKUP($B921,Agents!$A:$D,2,0),"-")</f>
        <v>Accessibilité</v>
      </c>
      <c r="Q921" s="21" t="n">
        <v>46237</v>
      </c>
      <c r="R921" s="8" t="n">
        <f aca="false">IF(M921="Abs",O921,0)</f>
        <v>0</v>
      </c>
      <c r="S921" s="8" t="n">
        <f aca="false">SUM(R921,L921,I921,J921,W921,H921)</f>
        <v>0.0145833333333333</v>
      </c>
      <c r="T921" s="6" t="str">
        <f aca="false">"Sem - "&amp;WEEKNUM(Q921,21)</f>
        <v>Sem - 32</v>
      </c>
      <c r="U921" s="6" t="str">
        <f aca="false">CHOOSE(MONTH(Q921),"Janvier","Février","Mars","Avril","Mai","Juin","Juillet","Août","Septembre","Octobre","Novembre","Décembre")</f>
        <v>Août</v>
      </c>
      <c r="V921" s="22" t="n">
        <f aca="false">YEAR(Q921)</f>
        <v>2026</v>
      </c>
      <c r="W921" s="20"/>
      <c r="X921" s="8" t="n">
        <f aca="false">IFERROR(IF(M921="Abs",0,IF(ROUND((D921-C921+E921-F921)*1440,0)&lt;=1,0,D921-C921+E921-F921)),0)</f>
        <v>0</v>
      </c>
      <c r="Y921" s="6" t="str">
        <f aca="false">IFERROR(VLOOKUP($B921,Agents!$A:$D,3,0),"-")</f>
        <v>OUBRAHIM Mohammed</v>
      </c>
      <c r="Z921" s="6" t="str">
        <f aca="false">IFERROR(VLOOKUP($B921,Agents!$A:$D,4,0),"-")</f>
        <v>Credit Mutuel</v>
      </c>
      <c r="AA921" s="18" t="s">
        <v>114</v>
      </c>
      <c r="AB921" s="8" t="str">
        <f aca="false">IF(AND(D921="Congé",F921="Congé"),0.333333333333333,IF(OR(AND(D921="Congé",F921&lt;&gt;"Congé"),(AND(F921="Congé",D921&lt;&gt;"Congé"))),0.166666666666667,""))</f>
        <v/>
      </c>
      <c r="AC921" s="8" t="str">
        <f aca="false">IF(AND(D921="Congé sans solde",F921="Congé sans solde"),0.333333333333333,IF(OR(AND(D921="Congé sans solde",F921&lt;&gt;"Congé sans solde"),(AND(F921="Congé sans solde",D921&lt;&gt;"Congé sans solde"))),0.166666666666667,""))</f>
        <v/>
      </c>
      <c r="AD921" s="8" t="str">
        <f aca="false">IF(AND(D921="Congé spécial",F921="Congé spécial"),0.333333333333333,IF(OR(AND(D921="Congé spécial",F921&lt;&gt;"Congé spécial"),AND(F921="Congé spécial",D921&lt;&gt;"Congé spécial")),0.166666666666667,""))</f>
        <v/>
      </c>
      <c r="AE921" s="8" t="str">
        <f aca="false">IF(AND(D921="Férié",F921="Férié"),0.333333333333333,IF(OR(AND(D921="Férié",F921&lt;&gt;"Férié"),(AND(F921="Férié",D921&lt;&gt;"Férié"))),0.166666666666667,""))</f>
        <v/>
      </c>
      <c r="AF921" s="18"/>
      <c r="AG921" s="18"/>
    </row>
    <row r="922" customFormat="false" ht="15" hidden="false" customHeight="false" outlineLevel="0" collapsed="false">
      <c r="A922" s="6" t="str">
        <f aca="false">YEAR(Q922-WEEKDAY(Q922,2)+4)&amp;"-S"&amp;TEXT(WEEKNUM(Q922,21),"00")</f>
        <v>2026-S32</v>
      </c>
      <c r="B922" s="18" t="s">
        <v>71</v>
      </c>
      <c r="C922" s="19" t="n">
        <v>0.330555555555556</v>
      </c>
      <c r="D922" s="19" t="n">
        <v>0.333333333333333</v>
      </c>
      <c r="E922" s="19" t="n">
        <v>0.75</v>
      </c>
      <c r="F922" s="19" t="n">
        <v>0.75</v>
      </c>
      <c r="G922" s="20"/>
      <c r="H922" s="20"/>
      <c r="I922" s="8" t="str">
        <f aca="false">IF(IF(OR(C922="",D922="Congé",D922="OFF",D922="Congé spécial"),"",IF(D922&gt;F922,D922-C922,IF(C922-D922&lt;0,0,C922-D922)))&lt;0.00068287037037037,"",IF(OR(D922="Congé",D922="OFF",C922="",D922="Congé spécial"),"",IF(D922&gt;F922,D922-C922,IF(C922-D922&lt;0,0,C922-D922))))</f>
        <v/>
      </c>
      <c r="J922" s="20"/>
      <c r="K922" s="8" t="n">
        <f aca="false">IF(SUM(H922:J922)&lt;0.00068287037037037,0,SUM(H922:J922))</f>
        <v>0</v>
      </c>
      <c r="L922" s="8" t="n">
        <f aca="false">IF(OR(F922="Congé",F922="OFF",M922="Abs",F922="Congé sans solde",F922="Férié",F922="Congé spécial",D922="Congé spécial"),0,IF(F922-E922&lt;0,0,IF(F922-E922&lt;=0.00068287037037037,0,F922-E922)))</f>
        <v>0</v>
      </c>
      <c r="M922" s="6" t="n">
        <f aca="false">IF(AND(O922&lt;&gt;0,C922=""),"Abs",0)</f>
        <v>0</v>
      </c>
      <c r="N922" s="8" t="n">
        <f aca="false">IFERROR(IF(OR(D922="OFF",D922="Congé",M922="Abs",D922="Congé sans solde",D922="Férié"),"",IF(O922-K922-L922&gt;O922,O922,IF(O922-K922-L922&lt;0,"",O922-K922-L922))),"")</f>
        <v>0.375</v>
      </c>
      <c r="O922" s="8" t="n">
        <f aca="false">IF(AG922="2H Pause déjeuner",IF(F922-D922-0.0833333333333333&lt;0,F922-D922-0.0833333333333333+1,F922-D922-0.0833333333333333),IF(OR(AND(F922="OFF",D922="OFF"),AND(F922="Congé",D922="Congé"),AND(F922="Congé sans solde",D922="Congé sans solde"),AND(F922="Congé spécial",D922="Congé spécial"),AND(F922="Férié",D922="Férié"),AND(F922="OFF",D922="Congé"),AND(F922="OFF",D922="Congé sans solde"),AND(F922="OFF",D922="Congé spécial"),AND(F922="OFF",D922="Férié"),AND(F922="Congé",D922="OFF"),AND(F922="Congé",D922="Congé sans solde"),AND(F922="Congé",D922="Congé spécial"),AND(F922="Congé",D922="Férié"),AND(F922="Congé sans solde",D922="OFF"),AND(F922="Congé sans solde",D922="Congé"),AND(F922="Congé sans solde",D922="Congé spécial"),AND(F922="Congé sans solde",D922="Férié"),AND(F922="Congé spécial",D922="OFF"),AND(F922="Congé spécial",D922="Congé"),AND(F922="Congé spécial",D922="Congé sans solde"),AND(F922="Congé spécial",D922="Férié"),AND(F922="Férié",D922="OFF"),AND(F922="Férié",D922="Congé"),AND(F922="Férié",D922="Congé sans solde"),AND(F922="Férié",D922="Congé spécial")),0,IF(OR(F922="OFF",F922="Congé",F922="Congé spécial",F922="Congé sans solde",D922="OFF",D922="Congé",D922="Congé spécial",D922="Congé sans solde"),0.208333333333334,IF(AND(AG922="",F922-D922&lt;0),("24:00:00"-D922)+("00:00:00"+F922)-0.0416666666666667,IF(AND(OR(AG922="Allaitement",AG922="Sans déjeuner"),F922-D922&lt;0),("24:00:00"-D922)+("00:00:00"+F922),IF(AND(AG922="",F922-D922&gt;0.166666666666667),F922-D922-0.0416666666666667,IF(AND(OR(AG922="Allaitement",AG922="Sans déjeuner"),F922-D922&gt;0.166666666666667),F922-D922,F922-D922)))))))</f>
        <v>0.375</v>
      </c>
      <c r="P922" s="6" t="str">
        <f aca="false">IFERROR(VLOOKUP($B922,Agents!$A:$D,2,0),"-")</f>
        <v>Accessibilité</v>
      </c>
      <c r="Q922" s="21" t="n">
        <v>46238</v>
      </c>
      <c r="R922" s="8" t="n">
        <f aca="false">IF(M922="Abs",O922,0)</f>
        <v>0</v>
      </c>
      <c r="S922" s="8" t="n">
        <f aca="false">SUM(R922,L922,I922,J922,W922,H922)</f>
        <v>0</v>
      </c>
      <c r="T922" s="6" t="str">
        <f aca="false">"Sem - "&amp;WEEKNUM(Q922,21)</f>
        <v>Sem - 32</v>
      </c>
      <c r="U922" s="6" t="str">
        <f aca="false">CHOOSE(MONTH(Q922),"Janvier","Février","Mars","Avril","Mai","Juin","Juillet","Août","Septembre","Octobre","Novembre","Décembre")</f>
        <v>Août</v>
      </c>
      <c r="V922" s="22" t="n">
        <f aca="false">YEAR(Q922)</f>
        <v>2026</v>
      </c>
      <c r="W922" s="20"/>
      <c r="X922" s="8" t="n">
        <f aca="false">IFERROR(IF(M922="Abs",0,IF(ROUND((D922-C922+E922-F922)*1440,0)&lt;=1,0,D922-C922+E922-F922)),0)</f>
        <v>0.00277777777777778</v>
      </c>
      <c r="Y922" s="6" t="str">
        <f aca="false">IFERROR(VLOOKUP($B922,Agents!$A:$D,3,0),"-")</f>
        <v>OUBRAHIM Mohammed</v>
      </c>
      <c r="Z922" s="6" t="str">
        <f aca="false">IFERROR(VLOOKUP($B922,Agents!$A:$D,4,0),"-")</f>
        <v>Credit Mutuel</v>
      </c>
      <c r="AA922" s="18" t="s">
        <v>114</v>
      </c>
      <c r="AB922" s="8" t="str">
        <f aca="false">IF(AND(D922="Congé",F922="Congé"),0.333333333333333,IF(OR(AND(D922="Congé",F922&lt;&gt;"Congé"),(AND(F922="Congé",D922&lt;&gt;"Congé"))),0.166666666666667,""))</f>
        <v/>
      </c>
      <c r="AC922" s="8" t="str">
        <f aca="false">IF(AND(D922="Congé sans solde",F922="Congé sans solde"),0.333333333333333,IF(OR(AND(D922="Congé sans solde",F922&lt;&gt;"Congé sans solde"),(AND(F922="Congé sans solde",D922&lt;&gt;"Congé sans solde"))),0.166666666666667,""))</f>
        <v/>
      </c>
      <c r="AD922" s="8" t="str">
        <f aca="false">IF(AND(D922="Congé spécial",F922="Congé spécial"),0.333333333333333,IF(OR(AND(D922="Congé spécial",F922&lt;&gt;"Congé spécial"),AND(F922="Congé spécial",D922&lt;&gt;"Congé spécial")),0.166666666666667,""))</f>
        <v/>
      </c>
      <c r="AE922" s="8" t="str">
        <f aca="false">IF(AND(D922="Férié",F922="Férié"),0.333333333333333,IF(OR(AND(D922="Férié",F922&lt;&gt;"Férié"),(AND(F922="Férié",D922&lt;&gt;"Férié"))),0.166666666666667,""))</f>
        <v/>
      </c>
      <c r="AF922" s="18"/>
      <c r="AG922" s="18"/>
    </row>
    <row r="923" customFormat="false" ht="15" hidden="false" customHeight="false" outlineLevel="0" collapsed="false">
      <c r="A923" s="6" t="str">
        <f aca="false">YEAR(Q923-WEEKDAY(Q923,2)+4)&amp;"-S"&amp;TEXT(WEEKNUM(Q923,21),"00")</f>
        <v>2026-S32</v>
      </c>
      <c r="B923" s="18" t="s">
        <v>72</v>
      </c>
      <c r="C923" s="19" t="n">
        <v>0.331944444444444</v>
      </c>
      <c r="D923" s="19" t="n">
        <v>0.333333333333333</v>
      </c>
      <c r="E923" s="19" t="n">
        <v>0.75</v>
      </c>
      <c r="F923" s="19" t="n">
        <v>0.75</v>
      </c>
      <c r="G923" s="20"/>
      <c r="H923" s="20"/>
      <c r="I923" s="8" t="str">
        <f aca="false">IF(IF(OR(C923="",D923="Congé",D923="OFF",D923="Congé spécial"),"",IF(D923&gt;F923,D923-C923,IF(C923-D923&lt;0,0,C923-D923)))&lt;0.00068287037037037,"",IF(OR(D923="Congé",D923="OFF",C923="",D923="Congé spécial"),"",IF(D923&gt;F923,D923-C923,IF(C923-D923&lt;0,0,C923-D923))))</f>
        <v/>
      </c>
      <c r="J923" s="20"/>
      <c r="K923" s="8" t="n">
        <f aca="false">IF(SUM(H923:J923)&lt;0.00068287037037037,0,SUM(H923:J923))</f>
        <v>0</v>
      </c>
      <c r="L923" s="8" t="n">
        <f aca="false">IF(OR(F923="Congé",F923="OFF",M923="Abs",F923="Congé sans solde",F923="Férié",F923="Congé spécial",D923="Congé spécial"),0,IF(F923-E923&lt;0,0,IF(F923-E923&lt;=0.00068287037037037,0,F923-E923)))</f>
        <v>0</v>
      </c>
      <c r="M923" s="6" t="n">
        <f aca="false">IF(AND(O923&lt;&gt;0,C923=""),"Abs",0)</f>
        <v>0</v>
      </c>
      <c r="N923" s="8" t="n">
        <f aca="false">IFERROR(IF(OR(D923="OFF",D923="Congé",M923="Abs",D923="Congé sans solde",D923="Férié"),"",IF(O923-K923-L923&gt;O923,O923,IF(O923-K923-L923&lt;0,"",O923-K923-L923))),"")</f>
        <v>0.375</v>
      </c>
      <c r="O923" s="8" t="n">
        <f aca="false">IF(AG923="2H Pause déjeuner",IF(F923-D923-0.0833333333333333&lt;0,F923-D923-0.0833333333333333+1,F923-D923-0.0833333333333333),IF(OR(AND(F923="OFF",D923="OFF"),AND(F923="Congé",D923="Congé"),AND(F923="Congé sans solde",D923="Congé sans solde"),AND(F923="Congé spécial",D923="Congé spécial"),AND(F923="Férié",D923="Férié"),AND(F923="OFF",D923="Congé"),AND(F923="OFF",D923="Congé sans solde"),AND(F923="OFF",D923="Congé spécial"),AND(F923="OFF",D923="Férié"),AND(F923="Congé",D923="OFF"),AND(F923="Congé",D923="Congé sans solde"),AND(F923="Congé",D923="Congé spécial"),AND(F923="Congé",D923="Férié"),AND(F923="Congé sans solde",D923="OFF"),AND(F923="Congé sans solde",D923="Congé"),AND(F923="Congé sans solde",D923="Congé spécial"),AND(F923="Congé sans solde",D923="Férié"),AND(F923="Congé spécial",D923="OFF"),AND(F923="Congé spécial",D923="Congé"),AND(F923="Congé spécial",D923="Congé sans solde"),AND(F923="Congé spécial",D923="Férié"),AND(F923="Férié",D923="OFF"),AND(F923="Férié",D923="Congé"),AND(F923="Férié",D923="Congé sans solde"),AND(F923="Férié",D923="Congé spécial")),0,IF(OR(F923="OFF",F923="Congé",F923="Congé spécial",F923="Congé sans solde",D923="OFF",D923="Congé",D923="Congé spécial",D923="Congé sans solde"),0.208333333333334,IF(AND(AG923="",F923-D923&lt;0),("24:00:00"-D923)+("00:00:00"+F923)-0.0416666666666667,IF(AND(OR(AG923="Allaitement",AG923="Sans déjeuner"),F923-D923&lt;0),("24:00:00"-D923)+("00:00:00"+F923),IF(AND(AG923="",F923-D923&gt;0.166666666666667),F923-D923-0.0416666666666667,IF(AND(OR(AG923="Allaitement",AG923="Sans déjeuner"),F923-D923&gt;0.166666666666667),F923-D923,F923-D923)))))))</f>
        <v>0.375</v>
      </c>
      <c r="P923" s="6" t="str">
        <f aca="false">IFERROR(VLOOKUP($B923,Agents!$A:$D,2,0),"-")</f>
        <v>Accessibilité</v>
      </c>
      <c r="Q923" s="21" t="n">
        <v>46238</v>
      </c>
      <c r="R923" s="8" t="n">
        <f aca="false">IF(M923="Abs",O923,0)</f>
        <v>0</v>
      </c>
      <c r="S923" s="8" t="n">
        <f aca="false">SUM(R923,L923,I923,J923,W923,H923)</f>
        <v>0</v>
      </c>
      <c r="T923" s="6" t="str">
        <f aca="false">"Sem - "&amp;WEEKNUM(Q923,21)</f>
        <v>Sem - 32</v>
      </c>
      <c r="U923" s="6" t="str">
        <f aca="false">CHOOSE(MONTH(Q923),"Janvier","Février","Mars","Avril","Mai","Juin","Juillet","Août","Septembre","Octobre","Novembre","Décembre")</f>
        <v>Août</v>
      </c>
      <c r="V923" s="22" t="n">
        <f aca="false">YEAR(Q923)</f>
        <v>2026</v>
      </c>
      <c r="W923" s="20"/>
      <c r="X923" s="8" t="n">
        <f aca="false">IFERROR(IF(M923="Abs",0,IF(ROUND((D923-C923+E923-F923)*1440,0)&lt;=1,0,D923-C923+E923-F923)),0)</f>
        <v>0.00138888888888889</v>
      </c>
      <c r="Y923" s="6" t="str">
        <f aca="false">IFERROR(VLOOKUP($B923,Agents!$A:$D,3,0),"-")</f>
        <v>OUBRAHIM Mohammed</v>
      </c>
      <c r="Z923" s="6" t="str">
        <f aca="false">IFERROR(VLOOKUP($B923,Agents!$A:$D,4,0),"-")</f>
        <v>Credit Mutuel</v>
      </c>
      <c r="AA923" s="18" t="s">
        <v>114</v>
      </c>
      <c r="AB923" s="8" t="str">
        <f aca="false">IF(AND(D923="Congé",F923="Congé"),0.333333333333333,IF(OR(AND(D923="Congé",F923&lt;&gt;"Congé"),(AND(F923="Congé",D923&lt;&gt;"Congé"))),0.166666666666667,""))</f>
        <v/>
      </c>
      <c r="AC923" s="8" t="str">
        <f aca="false">IF(AND(D923="Congé sans solde",F923="Congé sans solde"),0.333333333333333,IF(OR(AND(D923="Congé sans solde",F923&lt;&gt;"Congé sans solde"),(AND(F923="Congé sans solde",D923&lt;&gt;"Congé sans solde"))),0.166666666666667,""))</f>
        <v/>
      </c>
      <c r="AD923" s="8" t="str">
        <f aca="false">IF(AND(D923="Congé spécial",F923="Congé spécial"),0.333333333333333,IF(OR(AND(D923="Congé spécial",F923&lt;&gt;"Congé spécial"),AND(F923="Congé spécial",D923&lt;&gt;"Congé spécial")),0.166666666666667,""))</f>
        <v/>
      </c>
      <c r="AE923" s="8" t="str">
        <f aca="false">IF(AND(D923="Férié",F923="Férié"),0.333333333333333,IF(OR(AND(D923="Férié",F923&lt;&gt;"Férié"),(AND(F923="Férié",D923&lt;&gt;"Férié"))),0.166666666666667,""))</f>
        <v/>
      </c>
      <c r="AF923" s="18"/>
      <c r="AG923" s="18"/>
    </row>
    <row r="924" customFormat="false" ht="15" hidden="false" customHeight="false" outlineLevel="0" collapsed="false">
      <c r="A924" s="6" t="str">
        <f aca="false">YEAR(Q924-WEEKDAY(Q924,2)+4)&amp;"-S"&amp;TEXT(WEEKNUM(Q924,21),"00")</f>
        <v>2026-S32</v>
      </c>
      <c r="B924" s="18" t="s">
        <v>73</v>
      </c>
      <c r="C924" s="19" t="n">
        <v>0.333333333333333</v>
      </c>
      <c r="D924" s="19" t="n">
        <v>0.333333333333333</v>
      </c>
      <c r="E924" s="19" t="n">
        <v>0.75</v>
      </c>
      <c r="F924" s="19" t="n">
        <v>0.75</v>
      </c>
      <c r="G924" s="20"/>
      <c r="H924" s="20"/>
      <c r="I924" s="8" t="str">
        <f aca="false">IF(IF(OR(C924="",D924="Congé",D924="OFF",D924="Congé spécial"),"",IF(D924&gt;F924,D924-C924,IF(C924-D924&lt;0,0,C924-D924)))&lt;0.00068287037037037,"",IF(OR(D924="Congé",D924="OFF",C924="",D924="Congé spécial"),"",IF(D924&gt;F924,D924-C924,IF(C924-D924&lt;0,0,C924-D924))))</f>
        <v/>
      </c>
      <c r="J924" s="20"/>
      <c r="K924" s="8" t="n">
        <f aca="false">IF(SUM(H924:J924)&lt;0.00068287037037037,0,SUM(H924:J924))</f>
        <v>0</v>
      </c>
      <c r="L924" s="8" t="n">
        <f aca="false">IF(OR(F924="Congé",F924="OFF",M924="Abs",F924="Congé sans solde",F924="Férié",F924="Congé spécial",D924="Congé spécial"),0,IF(F924-E924&lt;0,0,IF(F924-E924&lt;=0.00068287037037037,0,F924-E924)))</f>
        <v>0</v>
      </c>
      <c r="M924" s="6" t="n">
        <f aca="false">IF(AND(O924&lt;&gt;0,C924=""),"Abs",0)</f>
        <v>0</v>
      </c>
      <c r="N924" s="8" t="n">
        <f aca="false">IFERROR(IF(OR(D924="OFF",D924="Congé",M924="Abs",D924="Congé sans solde",D924="Férié"),"",IF(O924-K924-L924&gt;O924,O924,IF(O924-K924-L924&lt;0,"",O924-K924-L924))),"")</f>
        <v>0.375</v>
      </c>
      <c r="O924" s="8" t="n">
        <f aca="false">IF(AG924="2H Pause déjeuner",IF(F924-D924-0.0833333333333333&lt;0,F924-D924-0.0833333333333333+1,F924-D924-0.0833333333333333),IF(OR(AND(F924="OFF",D924="OFF"),AND(F924="Congé",D924="Congé"),AND(F924="Congé sans solde",D924="Congé sans solde"),AND(F924="Congé spécial",D924="Congé spécial"),AND(F924="Férié",D924="Férié"),AND(F924="OFF",D924="Congé"),AND(F924="OFF",D924="Congé sans solde"),AND(F924="OFF",D924="Congé spécial"),AND(F924="OFF",D924="Férié"),AND(F924="Congé",D924="OFF"),AND(F924="Congé",D924="Congé sans solde"),AND(F924="Congé",D924="Congé spécial"),AND(F924="Congé",D924="Férié"),AND(F924="Congé sans solde",D924="OFF"),AND(F924="Congé sans solde",D924="Congé"),AND(F924="Congé sans solde",D924="Congé spécial"),AND(F924="Congé sans solde",D924="Férié"),AND(F924="Congé spécial",D924="OFF"),AND(F924="Congé spécial",D924="Congé"),AND(F924="Congé spécial",D924="Congé sans solde"),AND(F924="Congé spécial",D924="Férié"),AND(F924="Férié",D924="OFF"),AND(F924="Férié",D924="Congé"),AND(F924="Férié",D924="Congé sans solde"),AND(F924="Férié",D924="Congé spécial")),0,IF(OR(F924="OFF",F924="Congé",F924="Congé spécial",F924="Congé sans solde",D924="OFF",D924="Congé",D924="Congé spécial",D924="Congé sans solde"),0.208333333333334,IF(AND(AG924="",F924-D924&lt;0),("24:00:00"-D924)+("00:00:00"+F924)-0.0416666666666667,IF(AND(OR(AG924="Allaitement",AG924="Sans déjeuner"),F924-D924&lt;0),("24:00:00"-D924)+("00:00:00"+F924),IF(AND(AG924="",F924-D924&gt;0.166666666666667),F924-D924-0.0416666666666667,IF(AND(OR(AG924="Allaitement",AG924="Sans déjeuner"),F924-D924&gt;0.166666666666667),F924-D924,F924-D924)))))))</f>
        <v>0.375</v>
      </c>
      <c r="P924" s="6" t="str">
        <f aca="false">IFERROR(VLOOKUP($B924,Agents!$A:$D,2,0),"-")</f>
        <v>Accessibilité</v>
      </c>
      <c r="Q924" s="21" t="n">
        <v>46238</v>
      </c>
      <c r="R924" s="8" t="n">
        <f aca="false">IF(M924="Abs",O924,0)</f>
        <v>0</v>
      </c>
      <c r="S924" s="8" t="n">
        <f aca="false">SUM(R924,L924,I924,J924,W924,H924)</f>
        <v>0</v>
      </c>
      <c r="T924" s="6" t="str">
        <f aca="false">"Sem - "&amp;WEEKNUM(Q924,21)</f>
        <v>Sem - 32</v>
      </c>
      <c r="U924" s="6" t="str">
        <f aca="false">CHOOSE(MONTH(Q924),"Janvier","Février","Mars","Avril","Mai","Juin","Juillet","Août","Septembre","Octobre","Novembre","Décembre")</f>
        <v>Août</v>
      </c>
      <c r="V924" s="22" t="n">
        <f aca="false">YEAR(Q924)</f>
        <v>2026</v>
      </c>
      <c r="W924" s="20"/>
      <c r="X924" s="8" t="n">
        <f aca="false">IFERROR(IF(M924="Abs",0,IF(ROUND((D924-C924+E924-F924)*1440,0)&lt;=1,0,D924-C924+E924-F924)),0)</f>
        <v>0</v>
      </c>
      <c r="Y924" s="6" t="str">
        <f aca="false">IFERROR(VLOOKUP($B924,Agents!$A:$D,3,0),"-")</f>
        <v>OUBRAHIM Mohammed</v>
      </c>
      <c r="Z924" s="6" t="str">
        <f aca="false">IFERROR(VLOOKUP($B924,Agents!$A:$D,4,0),"-")</f>
        <v>Credit Mutuel</v>
      </c>
      <c r="AA924" s="18" t="s">
        <v>114</v>
      </c>
      <c r="AB924" s="8" t="str">
        <f aca="false">IF(AND(D924="Congé",F924="Congé"),0.333333333333333,IF(OR(AND(D924="Congé",F924&lt;&gt;"Congé"),(AND(F924="Congé",D924&lt;&gt;"Congé"))),0.166666666666667,""))</f>
        <v/>
      </c>
      <c r="AC924" s="8" t="str">
        <f aca="false">IF(AND(D924="Congé sans solde",F924="Congé sans solde"),0.333333333333333,IF(OR(AND(D924="Congé sans solde",F924&lt;&gt;"Congé sans solde"),(AND(F924="Congé sans solde",D924&lt;&gt;"Congé sans solde"))),0.166666666666667,""))</f>
        <v/>
      </c>
      <c r="AD924" s="8" t="str">
        <f aca="false">IF(AND(D924="Congé spécial",F924="Congé spécial"),0.333333333333333,IF(OR(AND(D924="Congé spécial",F924&lt;&gt;"Congé spécial"),AND(F924="Congé spécial",D924&lt;&gt;"Congé spécial")),0.166666666666667,""))</f>
        <v/>
      </c>
      <c r="AE924" s="8" t="str">
        <f aca="false">IF(AND(D924="Férié",F924="Férié"),0.333333333333333,IF(OR(AND(D924="Férié",F924&lt;&gt;"Férié"),(AND(F924="Férié",D924&lt;&gt;"Férié"))),0.166666666666667,""))</f>
        <v/>
      </c>
      <c r="AF924" s="18"/>
      <c r="AG924" s="18"/>
    </row>
    <row r="925" customFormat="false" ht="15" hidden="false" customHeight="false" outlineLevel="0" collapsed="false">
      <c r="A925" s="6" t="str">
        <f aca="false">YEAR(Q925-WEEKDAY(Q925,2)+4)&amp;"-S"&amp;TEXT(WEEKNUM(Q925,21),"00")</f>
        <v>2026-S32</v>
      </c>
      <c r="B925" s="18" t="s">
        <v>71</v>
      </c>
      <c r="C925" s="19" t="n">
        <v>0.33125</v>
      </c>
      <c r="D925" s="19" t="n">
        <v>0.333333333333333</v>
      </c>
      <c r="E925" s="19" t="n">
        <v>0.75</v>
      </c>
      <c r="F925" s="19" t="n">
        <v>0.75</v>
      </c>
      <c r="G925" s="20"/>
      <c r="H925" s="20"/>
      <c r="I925" s="8" t="str">
        <f aca="false">IF(IF(OR(C925="",D925="Congé",D925="OFF",D925="Congé spécial"),"",IF(D925&gt;F925,D925-C925,IF(C925-D925&lt;0,0,C925-D925)))&lt;0.00068287037037037,"",IF(OR(D925="Congé",D925="OFF",C925="",D925="Congé spécial"),"",IF(D925&gt;F925,D925-C925,IF(C925-D925&lt;0,0,C925-D925))))</f>
        <v/>
      </c>
      <c r="J925" s="20"/>
      <c r="K925" s="8" t="n">
        <f aca="false">IF(SUM(H925:J925)&lt;0.00068287037037037,0,SUM(H925:J925))</f>
        <v>0</v>
      </c>
      <c r="L925" s="8" t="n">
        <f aca="false">IF(OR(F925="Congé",F925="OFF",M925="Abs",F925="Congé sans solde",F925="Férié",F925="Congé spécial",D925="Congé spécial"),0,IF(F925-E925&lt;0,0,IF(F925-E925&lt;=0.00068287037037037,0,F925-E925)))</f>
        <v>0</v>
      </c>
      <c r="M925" s="6" t="n">
        <f aca="false">IF(AND(O925&lt;&gt;0,C925=""),"Abs",0)</f>
        <v>0</v>
      </c>
      <c r="N925" s="8" t="n">
        <f aca="false">IFERROR(IF(OR(D925="OFF",D925="Congé",M925="Abs",D925="Congé sans solde",D925="Férié"),"",IF(O925-K925-L925&gt;O925,O925,IF(O925-K925-L925&lt;0,"",O925-K925-L925))),"")</f>
        <v>0.375</v>
      </c>
      <c r="O925" s="8" t="n">
        <f aca="false">IF(AG925="2H Pause déjeuner",IF(F925-D925-0.0833333333333333&lt;0,F925-D925-0.0833333333333333+1,F925-D925-0.0833333333333333),IF(OR(AND(F925="OFF",D925="OFF"),AND(F925="Congé",D925="Congé"),AND(F925="Congé sans solde",D925="Congé sans solde"),AND(F925="Congé spécial",D925="Congé spécial"),AND(F925="Férié",D925="Férié"),AND(F925="OFF",D925="Congé"),AND(F925="OFF",D925="Congé sans solde"),AND(F925="OFF",D925="Congé spécial"),AND(F925="OFF",D925="Férié"),AND(F925="Congé",D925="OFF"),AND(F925="Congé",D925="Congé sans solde"),AND(F925="Congé",D925="Congé spécial"),AND(F925="Congé",D925="Férié"),AND(F925="Congé sans solde",D925="OFF"),AND(F925="Congé sans solde",D925="Congé"),AND(F925="Congé sans solde",D925="Congé spécial"),AND(F925="Congé sans solde",D925="Férié"),AND(F925="Congé spécial",D925="OFF"),AND(F925="Congé spécial",D925="Congé"),AND(F925="Congé spécial",D925="Congé sans solde"),AND(F925="Congé spécial",D925="Férié"),AND(F925="Férié",D925="OFF"),AND(F925="Férié",D925="Congé"),AND(F925="Férié",D925="Congé sans solde"),AND(F925="Férié",D925="Congé spécial")),0,IF(OR(F925="OFF",F925="Congé",F925="Congé spécial",F925="Congé sans solde",D925="OFF",D925="Congé",D925="Congé spécial",D925="Congé sans solde"),0.208333333333334,IF(AND(AG925="",F925-D925&lt;0),("24:00:00"-D925)+("00:00:00"+F925)-0.0416666666666667,IF(AND(OR(AG925="Allaitement",AG925="Sans déjeuner"),F925-D925&lt;0),("24:00:00"-D925)+("00:00:00"+F925),IF(AND(AG925="",F925-D925&gt;0.166666666666667),F925-D925-0.0416666666666667,IF(AND(OR(AG925="Allaitement",AG925="Sans déjeuner"),F925-D925&gt;0.166666666666667),F925-D925,F925-D925)))))))</f>
        <v>0.375</v>
      </c>
      <c r="P925" s="6" t="str">
        <f aca="false">IFERROR(VLOOKUP($B925,Agents!$A:$D,2,0),"-")</f>
        <v>Accessibilité</v>
      </c>
      <c r="Q925" s="21" t="n">
        <v>46239</v>
      </c>
      <c r="R925" s="8" t="n">
        <f aca="false">IF(M925="Abs",O925,0)</f>
        <v>0</v>
      </c>
      <c r="S925" s="8" t="n">
        <f aca="false">SUM(R925,L925,I925,J925,W925,H925)</f>
        <v>0</v>
      </c>
      <c r="T925" s="6" t="str">
        <f aca="false">"Sem - "&amp;WEEKNUM(Q925,21)</f>
        <v>Sem - 32</v>
      </c>
      <c r="U925" s="6" t="str">
        <f aca="false">CHOOSE(MONTH(Q925),"Janvier","Février","Mars","Avril","Mai","Juin","Juillet","Août","Septembre","Octobre","Novembre","Décembre")</f>
        <v>Août</v>
      </c>
      <c r="V925" s="22" t="n">
        <f aca="false">YEAR(Q925)</f>
        <v>2026</v>
      </c>
      <c r="W925" s="20"/>
      <c r="X925" s="8" t="n">
        <f aca="false">IFERROR(IF(M925="Abs",0,IF(ROUND((D925-C925+E925-F925)*1440,0)&lt;=1,0,D925-C925+E925-F925)),0)</f>
        <v>0.00208333333333333</v>
      </c>
      <c r="Y925" s="6" t="str">
        <f aca="false">IFERROR(VLOOKUP($B925,Agents!$A:$D,3,0),"-")</f>
        <v>OUBRAHIM Mohammed</v>
      </c>
      <c r="Z925" s="6" t="str">
        <f aca="false">IFERROR(VLOOKUP($B925,Agents!$A:$D,4,0),"-")</f>
        <v>Credit Mutuel</v>
      </c>
      <c r="AA925" s="18" t="s">
        <v>114</v>
      </c>
      <c r="AB925" s="8" t="str">
        <f aca="false">IF(AND(D925="Congé",F925="Congé"),0.333333333333333,IF(OR(AND(D925="Congé",F925&lt;&gt;"Congé"),(AND(F925="Congé",D925&lt;&gt;"Congé"))),0.166666666666667,""))</f>
        <v/>
      </c>
      <c r="AC925" s="8" t="str">
        <f aca="false">IF(AND(D925="Congé sans solde",F925="Congé sans solde"),0.333333333333333,IF(OR(AND(D925="Congé sans solde",F925&lt;&gt;"Congé sans solde"),(AND(F925="Congé sans solde",D925&lt;&gt;"Congé sans solde"))),0.166666666666667,""))</f>
        <v/>
      </c>
      <c r="AD925" s="8" t="str">
        <f aca="false">IF(AND(D925="Congé spécial",F925="Congé spécial"),0.333333333333333,IF(OR(AND(D925="Congé spécial",F925&lt;&gt;"Congé spécial"),AND(F925="Congé spécial",D925&lt;&gt;"Congé spécial")),0.166666666666667,""))</f>
        <v/>
      </c>
      <c r="AE925" s="8" t="str">
        <f aca="false">IF(AND(D925="Férié",F925="Férié"),0.333333333333333,IF(OR(AND(D925="Férié",F925&lt;&gt;"Férié"),(AND(F925="Férié",D925&lt;&gt;"Férié"))),0.166666666666667,""))</f>
        <v/>
      </c>
      <c r="AF925" s="18"/>
      <c r="AG925" s="18"/>
    </row>
    <row r="926" customFormat="false" ht="15" hidden="false" customHeight="false" outlineLevel="0" collapsed="false">
      <c r="A926" s="6" t="str">
        <f aca="false">YEAR(Q926-WEEKDAY(Q926,2)+4)&amp;"-S"&amp;TEXT(WEEKNUM(Q926,21),"00")</f>
        <v>2026-S32</v>
      </c>
      <c r="B926" s="18" t="s">
        <v>72</v>
      </c>
      <c r="C926" s="19" t="n">
        <v>0.332638888888889</v>
      </c>
      <c r="D926" s="19" t="n">
        <v>0.333333333333333</v>
      </c>
      <c r="E926" s="19" t="n">
        <v>0.75</v>
      </c>
      <c r="F926" s="19" t="n">
        <v>0.75</v>
      </c>
      <c r="G926" s="20"/>
      <c r="H926" s="20"/>
      <c r="I926" s="8" t="str">
        <f aca="false">IF(IF(OR(C926="",D926="Congé",D926="OFF",D926="Congé spécial"),"",IF(D926&gt;F926,D926-C926,IF(C926-D926&lt;0,0,C926-D926)))&lt;0.00068287037037037,"",IF(OR(D926="Congé",D926="OFF",C926="",D926="Congé spécial"),"",IF(D926&gt;F926,D926-C926,IF(C926-D926&lt;0,0,C926-D926))))</f>
        <v/>
      </c>
      <c r="J926" s="20"/>
      <c r="K926" s="8" t="n">
        <f aca="false">IF(SUM(H926:J926)&lt;0.00068287037037037,0,SUM(H926:J926))</f>
        <v>0</v>
      </c>
      <c r="L926" s="8" t="n">
        <f aca="false">IF(OR(F926="Congé",F926="OFF",M926="Abs",F926="Congé sans solde",F926="Férié",F926="Congé spécial",D926="Congé spécial"),0,IF(F926-E926&lt;0,0,IF(F926-E926&lt;=0.00068287037037037,0,F926-E926)))</f>
        <v>0</v>
      </c>
      <c r="M926" s="6" t="n">
        <f aca="false">IF(AND(O926&lt;&gt;0,C926=""),"Abs",0)</f>
        <v>0</v>
      </c>
      <c r="N926" s="8" t="n">
        <f aca="false">IFERROR(IF(OR(D926="OFF",D926="Congé",M926="Abs",D926="Congé sans solde",D926="Férié"),"",IF(O926-K926-L926&gt;O926,O926,IF(O926-K926-L926&lt;0,"",O926-K926-L926))),"")</f>
        <v>0.375</v>
      </c>
      <c r="O926" s="8" t="n">
        <f aca="false">IF(AG926="2H Pause déjeuner",IF(F926-D926-0.0833333333333333&lt;0,F926-D926-0.0833333333333333+1,F926-D926-0.0833333333333333),IF(OR(AND(F926="OFF",D926="OFF"),AND(F926="Congé",D926="Congé"),AND(F926="Congé sans solde",D926="Congé sans solde"),AND(F926="Congé spécial",D926="Congé spécial"),AND(F926="Férié",D926="Férié"),AND(F926="OFF",D926="Congé"),AND(F926="OFF",D926="Congé sans solde"),AND(F926="OFF",D926="Congé spécial"),AND(F926="OFF",D926="Férié"),AND(F926="Congé",D926="OFF"),AND(F926="Congé",D926="Congé sans solde"),AND(F926="Congé",D926="Congé spécial"),AND(F926="Congé",D926="Férié"),AND(F926="Congé sans solde",D926="OFF"),AND(F926="Congé sans solde",D926="Congé"),AND(F926="Congé sans solde",D926="Congé spécial"),AND(F926="Congé sans solde",D926="Férié"),AND(F926="Congé spécial",D926="OFF"),AND(F926="Congé spécial",D926="Congé"),AND(F926="Congé spécial",D926="Congé sans solde"),AND(F926="Congé spécial",D926="Férié"),AND(F926="Férié",D926="OFF"),AND(F926="Férié",D926="Congé"),AND(F926="Férié",D926="Congé sans solde"),AND(F926="Férié",D926="Congé spécial")),0,IF(OR(F926="OFF",F926="Congé",F926="Congé spécial",F926="Congé sans solde",D926="OFF",D926="Congé",D926="Congé spécial",D926="Congé sans solde"),0.208333333333334,IF(AND(AG926="",F926-D926&lt;0),("24:00:00"-D926)+("00:00:00"+F926)-0.0416666666666667,IF(AND(OR(AG926="Allaitement",AG926="Sans déjeuner"),F926-D926&lt;0),("24:00:00"-D926)+("00:00:00"+F926),IF(AND(AG926="",F926-D926&gt;0.166666666666667),F926-D926-0.0416666666666667,IF(AND(OR(AG926="Allaitement",AG926="Sans déjeuner"),F926-D926&gt;0.166666666666667),F926-D926,F926-D926)))))))</f>
        <v>0.375</v>
      </c>
      <c r="P926" s="6" t="str">
        <f aca="false">IFERROR(VLOOKUP($B926,Agents!$A:$D,2,0),"-")</f>
        <v>Accessibilité</v>
      </c>
      <c r="Q926" s="21" t="n">
        <v>46239</v>
      </c>
      <c r="R926" s="8" t="n">
        <f aca="false">IF(M926="Abs",O926,0)</f>
        <v>0</v>
      </c>
      <c r="S926" s="8" t="n">
        <f aca="false">SUM(R926,L926,I926,J926,W926,H926)</f>
        <v>0</v>
      </c>
      <c r="T926" s="6" t="str">
        <f aca="false">"Sem - "&amp;WEEKNUM(Q926,21)</f>
        <v>Sem - 32</v>
      </c>
      <c r="U926" s="6" t="str">
        <f aca="false">CHOOSE(MONTH(Q926),"Janvier","Février","Mars","Avril","Mai","Juin","Juillet","Août","Septembre","Octobre","Novembre","Décembre")</f>
        <v>Août</v>
      </c>
      <c r="V926" s="22" t="n">
        <f aca="false">YEAR(Q926)</f>
        <v>2026</v>
      </c>
      <c r="W926" s="20"/>
      <c r="X926" s="8" t="n">
        <f aca="false">IFERROR(IF(M926="Abs",0,IF(ROUND((D926-C926+E926-F926)*1440,0)&lt;=1,0,D926-C926+E926-F926)),0)</f>
        <v>0</v>
      </c>
      <c r="Y926" s="6" t="str">
        <f aca="false">IFERROR(VLOOKUP($B926,Agents!$A:$D,3,0),"-")</f>
        <v>OUBRAHIM Mohammed</v>
      </c>
      <c r="Z926" s="6" t="str">
        <f aca="false">IFERROR(VLOOKUP($B926,Agents!$A:$D,4,0),"-")</f>
        <v>Credit Mutuel</v>
      </c>
      <c r="AA926" s="18" t="s">
        <v>114</v>
      </c>
      <c r="AB926" s="8" t="str">
        <f aca="false">IF(AND(D926="Congé",F926="Congé"),0.333333333333333,IF(OR(AND(D926="Congé",F926&lt;&gt;"Congé"),(AND(F926="Congé",D926&lt;&gt;"Congé"))),0.166666666666667,""))</f>
        <v/>
      </c>
      <c r="AC926" s="8" t="str">
        <f aca="false">IF(AND(D926="Congé sans solde",F926="Congé sans solde"),0.333333333333333,IF(OR(AND(D926="Congé sans solde",F926&lt;&gt;"Congé sans solde"),(AND(F926="Congé sans solde",D926&lt;&gt;"Congé sans solde"))),0.166666666666667,""))</f>
        <v/>
      </c>
      <c r="AD926" s="8" t="str">
        <f aca="false">IF(AND(D926="Congé spécial",F926="Congé spécial"),0.333333333333333,IF(OR(AND(D926="Congé spécial",F926&lt;&gt;"Congé spécial"),AND(F926="Congé spécial",D926&lt;&gt;"Congé spécial")),0.166666666666667,""))</f>
        <v/>
      </c>
      <c r="AE926" s="8" t="str">
        <f aca="false">IF(AND(D926="Férié",F926="Férié"),0.333333333333333,IF(OR(AND(D926="Férié",F926&lt;&gt;"Férié"),(AND(F926="Férié",D926&lt;&gt;"Férié"))),0.166666666666667,""))</f>
        <v/>
      </c>
      <c r="AF926" s="18"/>
      <c r="AG926" s="18"/>
    </row>
    <row r="927" customFormat="false" ht="15" hidden="false" customHeight="false" outlineLevel="0" collapsed="false">
      <c r="A927" s="6" t="str">
        <f aca="false">YEAR(Q927-WEEKDAY(Q927,2)+4)&amp;"-S"&amp;TEXT(WEEKNUM(Q927,21),"00")</f>
        <v>2026-S32</v>
      </c>
      <c r="B927" s="18" t="s">
        <v>73</v>
      </c>
      <c r="C927" s="19" t="n">
        <v>0.333333333333333</v>
      </c>
      <c r="D927" s="19" t="n">
        <v>0.333333333333333</v>
      </c>
      <c r="E927" s="19" t="n">
        <v>0.75</v>
      </c>
      <c r="F927" s="19" t="n">
        <v>0.75</v>
      </c>
      <c r="G927" s="20"/>
      <c r="H927" s="20"/>
      <c r="I927" s="8" t="str">
        <f aca="false">IF(IF(OR(C927="",D927="Congé",D927="OFF",D927="Congé spécial"),"",IF(D927&gt;F927,D927-C927,IF(C927-D927&lt;0,0,C927-D927)))&lt;0.00068287037037037,"",IF(OR(D927="Congé",D927="OFF",C927="",D927="Congé spécial"),"",IF(D927&gt;F927,D927-C927,IF(C927-D927&lt;0,0,C927-D927))))</f>
        <v/>
      </c>
      <c r="J927" s="20"/>
      <c r="K927" s="8" t="n">
        <f aca="false">IF(SUM(H927:J927)&lt;0.00068287037037037,0,SUM(H927:J927))</f>
        <v>0</v>
      </c>
      <c r="L927" s="8" t="n">
        <f aca="false">IF(OR(F927="Congé",F927="OFF",M927="Abs",F927="Congé sans solde",F927="Férié",F927="Congé spécial",D927="Congé spécial"),0,IF(F927-E927&lt;0,0,IF(F927-E927&lt;=0.00068287037037037,0,F927-E927)))</f>
        <v>0</v>
      </c>
      <c r="M927" s="6" t="n">
        <f aca="false">IF(AND(O927&lt;&gt;0,C927=""),"Abs",0)</f>
        <v>0</v>
      </c>
      <c r="N927" s="8" t="n">
        <f aca="false">IFERROR(IF(OR(D927="OFF",D927="Congé",M927="Abs",D927="Congé sans solde",D927="Férié"),"",IF(O927-K927-L927&gt;O927,O927,IF(O927-K927-L927&lt;0,"",O927-K927-L927))),"")</f>
        <v>0.375</v>
      </c>
      <c r="O927" s="8" t="n">
        <f aca="false">IF(AG927="2H Pause déjeuner",IF(F927-D927-0.0833333333333333&lt;0,F927-D927-0.0833333333333333+1,F927-D927-0.0833333333333333),IF(OR(AND(F927="OFF",D927="OFF"),AND(F927="Congé",D927="Congé"),AND(F927="Congé sans solde",D927="Congé sans solde"),AND(F927="Congé spécial",D927="Congé spécial"),AND(F927="Férié",D927="Férié"),AND(F927="OFF",D927="Congé"),AND(F927="OFF",D927="Congé sans solde"),AND(F927="OFF",D927="Congé spécial"),AND(F927="OFF",D927="Férié"),AND(F927="Congé",D927="OFF"),AND(F927="Congé",D927="Congé sans solde"),AND(F927="Congé",D927="Congé spécial"),AND(F927="Congé",D927="Férié"),AND(F927="Congé sans solde",D927="OFF"),AND(F927="Congé sans solde",D927="Congé"),AND(F927="Congé sans solde",D927="Congé spécial"),AND(F927="Congé sans solde",D927="Férié"),AND(F927="Congé spécial",D927="OFF"),AND(F927="Congé spécial",D927="Congé"),AND(F927="Congé spécial",D927="Congé sans solde"),AND(F927="Congé spécial",D927="Férié"),AND(F927="Férié",D927="OFF"),AND(F927="Férié",D927="Congé"),AND(F927="Férié",D927="Congé sans solde"),AND(F927="Férié",D927="Congé spécial")),0,IF(OR(F927="OFF",F927="Congé",F927="Congé spécial",F927="Congé sans solde",D927="OFF",D927="Congé",D927="Congé spécial",D927="Congé sans solde"),0.208333333333334,IF(AND(AG927="",F927-D927&lt;0),("24:00:00"-D927)+("00:00:00"+F927)-0.0416666666666667,IF(AND(OR(AG927="Allaitement",AG927="Sans déjeuner"),F927-D927&lt;0),("24:00:00"-D927)+("00:00:00"+F927),IF(AND(AG927="",F927-D927&gt;0.166666666666667),F927-D927-0.0416666666666667,IF(AND(OR(AG927="Allaitement",AG927="Sans déjeuner"),F927-D927&gt;0.166666666666667),F927-D927,F927-D927)))))))</f>
        <v>0.375</v>
      </c>
      <c r="P927" s="6" t="str">
        <f aca="false">IFERROR(VLOOKUP($B927,Agents!$A:$D,2,0),"-")</f>
        <v>Accessibilité</v>
      </c>
      <c r="Q927" s="21" t="n">
        <v>46239</v>
      </c>
      <c r="R927" s="8" t="n">
        <f aca="false">IF(M927="Abs",O927,0)</f>
        <v>0</v>
      </c>
      <c r="S927" s="8" t="n">
        <f aca="false">SUM(R927,L927,I927,J927,W927,H927)</f>
        <v>0</v>
      </c>
      <c r="T927" s="6" t="str">
        <f aca="false">"Sem - "&amp;WEEKNUM(Q927,21)</f>
        <v>Sem - 32</v>
      </c>
      <c r="U927" s="6" t="str">
        <f aca="false">CHOOSE(MONTH(Q927),"Janvier","Février","Mars","Avril","Mai","Juin","Juillet","Août","Septembre","Octobre","Novembre","Décembre")</f>
        <v>Août</v>
      </c>
      <c r="V927" s="22" t="n">
        <f aca="false">YEAR(Q927)</f>
        <v>2026</v>
      </c>
      <c r="W927" s="20"/>
      <c r="X927" s="8" t="n">
        <f aca="false">IFERROR(IF(M927="Abs",0,IF(ROUND((D927-C927+E927-F927)*1440,0)&lt;=1,0,D927-C927+E927-F927)),0)</f>
        <v>0</v>
      </c>
      <c r="Y927" s="6" t="str">
        <f aca="false">IFERROR(VLOOKUP($B927,Agents!$A:$D,3,0),"-")</f>
        <v>OUBRAHIM Mohammed</v>
      </c>
      <c r="Z927" s="6" t="str">
        <f aca="false">IFERROR(VLOOKUP($B927,Agents!$A:$D,4,0),"-")</f>
        <v>Credit Mutuel</v>
      </c>
      <c r="AA927" s="18" t="s">
        <v>114</v>
      </c>
      <c r="AB927" s="8" t="str">
        <f aca="false">IF(AND(D927="Congé",F927="Congé"),0.333333333333333,IF(OR(AND(D927="Congé",F927&lt;&gt;"Congé"),(AND(F927="Congé",D927&lt;&gt;"Congé"))),0.166666666666667,""))</f>
        <v/>
      </c>
      <c r="AC927" s="8" t="str">
        <f aca="false">IF(AND(D927="Congé sans solde",F927="Congé sans solde"),0.333333333333333,IF(OR(AND(D927="Congé sans solde",F927&lt;&gt;"Congé sans solde"),(AND(F927="Congé sans solde",D927&lt;&gt;"Congé sans solde"))),0.166666666666667,""))</f>
        <v/>
      </c>
      <c r="AD927" s="8" t="str">
        <f aca="false">IF(AND(D927="Congé spécial",F927="Congé spécial"),0.333333333333333,IF(OR(AND(D927="Congé spécial",F927&lt;&gt;"Congé spécial"),AND(F927="Congé spécial",D927&lt;&gt;"Congé spécial")),0.166666666666667,""))</f>
        <v/>
      </c>
      <c r="AE927" s="8" t="str">
        <f aca="false">IF(AND(D927="Férié",F927="Férié"),0.333333333333333,IF(OR(AND(D927="Férié",F927&lt;&gt;"Férié"),(AND(F927="Férié",D927&lt;&gt;"Férié"))),0.166666666666667,""))</f>
        <v/>
      </c>
      <c r="AF927" s="18"/>
      <c r="AG927" s="18"/>
    </row>
    <row r="928" customFormat="false" ht="15" hidden="false" customHeight="false" outlineLevel="0" collapsed="false">
      <c r="A928" s="6" t="str">
        <f aca="false">YEAR(Q928-WEEKDAY(Q928,2)+4)&amp;"-S"&amp;TEXT(WEEKNUM(Q928,21),"00")</f>
        <v>2026-S32</v>
      </c>
      <c r="B928" s="18" t="s">
        <v>71</v>
      </c>
      <c r="C928" s="19" t="n">
        <v>0.33125</v>
      </c>
      <c r="D928" s="19" t="n">
        <v>0.333333333333333</v>
      </c>
      <c r="E928" s="19" t="n">
        <v>0.75</v>
      </c>
      <c r="F928" s="19" t="n">
        <v>0.75</v>
      </c>
      <c r="G928" s="20"/>
      <c r="H928" s="20"/>
      <c r="I928" s="8" t="str">
        <f aca="false">IF(IF(OR(C928="",D928="Congé",D928="OFF",D928="Congé spécial"),"",IF(D928&gt;F928,D928-C928,IF(C928-D928&lt;0,0,C928-D928)))&lt;0.00068287037037037,"",IF(OR(D928="Congé",D928="OFF",C928="",D928="Congé spécial"),"",IF(D928&gt;F928,D928-C928,IF(C928-D928&lt;0,0,C928-D928))))</f>
        <v/>
      </c>
      <c r="J928" s="20"/>
      <c r="K928" s="8" t="n">
        <f aca="false">IF(SUM(H928:J928)&lt;0.00068287037037037,0,SUM(H928:J928))</f>
        <v>0</v>
      </c>
      <c r="L928" s="8" t="n">
        <f aca="false">IF(OR(F928="Congé",F928="OFF",M928="Abs",F928="Congé sans solde",F928="Férié",F928="Congé spécial",D928="Congé spécial"),0,IF(F928-E928&lt;0,0,IF(F928-E928&lt;=0.00068287037037037,0,F928-E928)))</f>
        <v>0</v>
      </c>
      <c r="M928" s="6" t="n">
        <f aca="false">IF(AND(O928&lt;&gt;0,C928=""),"Abs",0)</f>
        <v>0</v>
      </c>
      <c r="N928" s="8" t="n">
        <f aca="false">IFERROR(IF(OR(D928="OFF",D928="Congé",M928="Abs",D928="Congé sans solde",D928="Férié"),"",IF(O928-K928-L928&gt;O928,O928,IF(O928-K928-L928&lt;0,"",O928-K928-L928))),"")</f>
        <v>0.375</v>
      </c>
      <c r="O928" s="8" t="n">
        <f aca="false">IF(AG928="2H Pause déjeuner",IF(F928-D928-0.0833333333333333&lt;0,F928-D928-0.0833333333333333+1,F928-D928-0.0833333333333333),IF(OR(AND(F928="OFF",D928="OFF"),AND(F928="Congé",D928="Congé"),AND(F928="Congé sans solde",D928="Congé sans solde"),AND(F928="Congé spécial",D928="Congé spécial"),AND(F928="Férié",D928="Férié"),AND(F928="OFF",D928="Congé"),AND(F928="OFF",D928="Congé sans solde"),AND(F928="OFF",D928="Congé spécial"),AND(F928="OFF",D928="Férié"),AND(F928="Congé",D928="OFF"),AND(F928="Congé",D928="Congé sans solde"),AND(F928="Congé",D928="Congé spécial"),AND(F928="Congé",D928="Férié"),AND(F928="Congé sans solde",D928="OFF"),AND(F928="Congé sans solde",D928="Congé"),AND(F928="Congé sans solde",D928="Congé spécial"),AND(F928="Congé sans solde",D928="Férié"),AND(F928="Congé spécial",D928="OFF"),AND(F928="Congé spécial",D928="Congé"),AND(F928="Congé spécial",D928="Congé sans solde"),AND(F928="Congé spécial",D928="Férié"),AND(F928="Férié",D928="OFF"),AND(F928="Férié",D928="Congé"),AND(F928="Férié",D928="Congé sans solde"),AND(F928="Férié",D928="Congé spécial")),0,IF(OR(F928="OFF",F928="Congé",F928="Congé spécial",F928="Congé sans solde",D928="OFF",D928="Congé",D928="Congé spécial",D928="Congé sans solde"),0.208333333333334,IF(AND(AG928="",F928-D928&lt;0),("24:00:00"-D928)+("00:00:00"+F928)-0.0416666666666667,IF(AND(OR(AG928="Allaitement",AG928="Sans déjeuner"),F928-D928&lt;0),("24:00:00"-D928)+("00:00:00"+F928),IF(AND(AG928="",F928-D928&gt;0.166666666666667),F928-D928-0.0416666666666667,IF(AND(OR(AG928="Allaitement",AG928="Sans déjeuner"),F928-D928&gt;0.166666666666667),F928-D928,F928-D928)))))))</f>
        <v>0.375</v>
      </c>
      <c r="P928" s="6" t="str">
        <f aca="false">IFERROR(VLOOKUP($B928,Agents!$A:$D,2,0),"-")</f>
        <v>Accessibilité</v>
      </c>
      <c r="Q928" s="21" t="n">
        <v>46240</v>
      </c>
      <c r="R928" s="8" t="n">
        <f aca="false">IF(M928="Abs",O928,0)</f>
        <v>0</v>
      </c>
      <c r="S928" s="8" t="n">
        <f aca="false">SUM(R928,L928,I928,J928,W928,H928)</f>
        <v>0</v>
      </c>
      <c r="T928" s="6" t="str">
        <f aca="false">"Sem - "&amp;WEEKNUM(Q928,21)</f>
        <v>Sem - 32</v>
      </c>
      <c r="U928" s="6" t="str">
        <f aca="false">CHOOSE(MONTH(Q928),"Janvier","Février","Mars","Avril","Mai","Juin","Juillet","Août","Septembre","Octobre","Novembre","Décembre")</f>
        <v>Août</v>
      </c>
      <c r="V928" s="22" t="n">
        <f aca="false">YEAR(Q928)</f>
        <v>2026</v>
      </c>
      <c r="W928" s="20"/>
      <c r="X928" s="8" t="n">
        <f aca="false">IFERROR(IF(M928="Abs",0,IF(ROUND((D928-C928+E928-F928)*1440,0)&lt;=1,0,D928-C928+E928-F928)),0)</f>
        <v>0.00208333333333333</v>
      </c>
      <c r="Y928" s="6" t="str">
        <f aca="false">IFERROR(VLOOKUP($B928,Agents!$A:$D,3,0),"-")</f>
        <v>OUBRAHIM Mohammed</v>
      </c>
      <c r="Z928" s="6" t="str">
        <f aca="false">IFERROR(VLOOKUP($B928,Agents!$A:$D,4,0),"-")</f>
        <v>Credit Mutuel</v>
      </c>
      <c r="AA928" s="18" t="s">
        <v>114</v>
      </c>
      <c r="AB928" s="8" t="str">
        <f aca="false">IF(AND(D928="Congé",F928="Congé"),0.333333333333333,IF(OR(AND(D928="Congé",F928&lt;&gt;"Congé"),(AND(F928="Congé",D928&lt;&gt;"Congé"))),0.166666666666667,""))</f>
        <v/>
      </c>
      <c r="AC928" s="8" t="str">
        <f aca="false">IF(AND(D928="Congé sans solde",F928="Congé sans solde"),0.333333333333333,IF(OR(AND(D928="Congé sans solde",F928&lt;&gt;"Congé sans solde"),(AND(F928="Congé sans solde",D928&lt;&gt;"Congé sans solde"))),0.166666666666667,""))</f>
        <v/>
      </c>
      <c r="AD928" s="8" t="str">
        <f aca="false">IF(AND(D928="Congé spécial",F928="Congé spécial"),0.333333333333333,IF(OR(AND(D928="Congé spécial",F928&lt;&gt;"Congé spécial"),AND(F928="Congé spécial",D928&lt;&gt;"Congé spécial")),0.166666666666667,""))</f>
        <v/>
      </c>
      <c r="AE928" s="8" t="str">
        <f aca="false">IF(AND(D928="Férié",F928="Férié"),0.333333333333333,IF(OR(AND(D928="Férié",F928&lt;&gt;"Férié"),(AND(F928="Férié",D928&lt;&gt;"Férié"))),0.166666666666667,""))</f>
        <v/>
      </c>
      <c r="AF928" s="18"/>
      <c r="AG928" s="18"/>
    </row>
    <row r="929" customFormat="false" ht="15" hidden="false" customHeight="false" outlineLevel="0" collapsed="false">
      <c r="A929" s="6" t="str">
        <f aca="false">YEAR(Q929-WEEKDAY(Q929,2)+4)&amp;"-S"&amp;TEXT(WEEKNUM(Q929,21),"00")</f>
        <v>2026-S32</v>
      </c>
      <c r="B929" s="18" t="s">
        <v>72</v>
      </c>
      <c r="C929" s="19" t="n">
        <v>0.331944444444444</v>
      </c>
      <c r="D929" s="19" t="n">
        <v>0.333333333333333</v>
      </c>
      <c r="E929" s="19" t="n">
        <v>0.75</v>
      </c>
      <c r="F929" s="19" t="n">
        <v>0.75</v>
      </c>
      <c r="G929" s="20"/>
      <c r="H929" s="20"/>
      <c r="I929" s="8" t="str">
        <f aca="false">IF(IF(OR(C929="",D929="Congé",D929="OFF",D929="Congé spécial"),"",IF(D929&gt;F929,D929-C929,IF(C929-D929&lt;0,0,C929-D929)))&lt;0.00068287037037037,"",IF(OR(D929="Congé",D929="OFF",C929="",D929="Congé spécial"),"",IF(D929&gt;F929,D929-C929,IF(C929-D929&lt;0,0,C929-D929))))</f>
        <v/>
      </c>
      <c r="J929" s="20"/>
      <c r="K929" s="8" t="n">
        <f aca="false">IF(SUM(H929:J929)&lt;0.00068287037037037,0,SUM(H929:J929))</f>
        <v>0</v>
      </c>
      <c r="L929" s="8" t="n">
        <f aca="false">IF(OR(F929="Congé",F929="OFF",M929="Abs",F929="Congé sans solde",F929="Férié",F929="Congé spécial",D929="Congé spécial"),0,IF(F929-E929&lt;0,0,IF(F929-E929&lt;=0.00068287037037037,0,F929-E929)))</f>
        <v>0</v>
      </c>
      <c r="M929" s="6" t="n">
        <f aca="false">IF(AND(O929&lt;&gt;0,C929=""),"Abs",0)</f>
        <v>0</v>
      </c>
      <c r="N929" s="8" t="n">
        <f aca="false">IFERROR(IF(OR(D929="OFF",D929="Congé",M929="Abs",D929="Congé sans solde",D929="Férié"),"",IF(O929-K929-L929&gt;O929,O929,IF(O929-K929-L929&lt;0,"",O929-K929-L929))),"")</f>
        <v>0.375</v>
      </c>
      <c r="O929" s="8" t="n">
        <f aca="false">IF(AG929="2H Pause déjeuner",IF(F929-D929-0.0833333333333333&lt;0,F929-D929-0.0833333333333333+1,F929-D929-0.0833333333333333),IF(OR(AND(F929="OFF",D929="OFF"),AND(F929="Congé",D929="Congé"),AND(F929="Congé sans solde",D929="Congé sans solde"),AND(F929="Congé spécial",D929="Congé spécial"),AND(F929="Férié",D929="Férié"),AND(F929="OFF",D929="Congé"),AND(F929="OFF",D929="Congé sans solde"),AND(F929="OFF",D929="Congé spécial"),AND(F929="OFF",D929="Férié"),AND(F929="Congé",D929="OFF"),AND(F929="Congé",D929="Congé sans solde"),AND(F929="Congé",D929="Congé spécial"),AND(F929="Congé",D929="Férié"),AND(F929="Congé sans solde",D929="OFF"),AND(F929="Congé sans solde",D929="Congé"),AND(F929="Congé sans solde",D929="Congé spécial"),AND(F929="Congé sans solde",D929="Férié"),AND(F929="Congé spécial",D929="OFF"),AND(F929="Congé spécial",D929="Congé"),AND(F929="Congé spécial",D929="Congé sans solde"),AND(F929="Congé spécial",D929="Férié"),AND(F929="Férié",D929="OFF"),AND(F929="Férié",D929="Congé"),AND(F929="Férié",D929="Congé sans solde"),AND(F929="Férié",D929="Congé spécial")),0,IF(OR(F929="OFF",F929="Congé",F929="Congé spécial",F929="Congé sans solde",D929="OFF",D929="Congé",D929="Congé spécial",D929="Congé sans solde"),0.208333333333334,IF(AND(AG929="",F929-D929&lt;0),("24:00:00"-D929)+("00:00:00"+F929)-0.0416666666666667,IF(AND(OR(AG929="Allaitement",AG929="Sans déjeuner"),F929-D929&lt;0),("24:00:00"-D929)+("00:00:00"+F929),IF(AND(AG929="",F929-D929&gt;0.166666666666667),F929-D929-0.0416666666666667,IF(AND(OR(AG929="Allaitement",AG929="Sans déjeuner"),F929-D929&gt;0.166666666666667),F929-D929,F929-D929)))))))</f>
        <v>0.375</v>
      </c>
      <c r="P929" s="6" t="str">
        <f aca="false">IFERROR(VLOOKUP($B929,Agents!$A:$D,2,0),"-")</f>
        <v>Accessibilité</v>
      </c>
      <c r="Q929" s="21" t="n">
        <v>46240</v>
      </c>
      <c r="R929" s="8" t="n">
        <f aca="false">IF(M929="Abs",O929,0)</f>
        <v>0</v>
      </c>
      <c r="S929" s="8" t="n">
        <f aca="false">SUM(R929,L929,I929,J929,W929,H929)</f>
        <v>0</v>
      </c>
      <c r="T929" s="6" t="str">
        <f aca="false">"Sem - "&amp;WEEKNUM(Q929,21)</f>
        <v>Sem - 32</v>
      </c>
      <c r="U929" s="6" t="str">
        <f aca="false">CHOOSE(MONTH(Q929),"Janvier","Février","Mars","Avril","Mai","Juin","Juillet","Août","Septembre","Octobre","Novembre","Décembre")</f>
        <v>Août</v>
      </c>
      <c r="V929" s="22" t="n">
        <f aca="false">YEAR(Q929)</f>
        <v>2026</v>
      </c>
      <c r="W929" s="20"/>
      <c r="X929" s="8" t="n">
        <f aca="false">IFERROR(IF(M929="Abs",0,IF(ROUND((D929-C929+E929-F929)*1440,0)&lt;=1,0,D929-C929+E929-F929)),0)</f>
        <v>0.00138888888888889</v>
      </c>
      <c r="Y929" s="6" t="str">
        <f aca="false">IFERROR(VLOOKUP($B929,Agents!$A:$D,3,0),"-")</f>
        <v>OUBRAHIM Mohammed</v>
      </c>
      <c r="Z929" s="6" t="str">
        <f aca="false">IFERROR(VLOOKUP($B929,Agents!$A:$D,4,0),"-")</f>
        <v>Credit Mutuel</v>
      </c>
      <c r="AA929" s="18" t="s">
        <v>114</v>
      </c>
      <c r="AB929" s="8" t="str">
        <f aca="false">IF(AND(D929="Congé",F929="Congé"),0.333333333333333,IF(OR(AND(D929="Congé",F929&lt;&gt;"Congé"),(AND(F929="Congé",D929&lt;&gt;"Congé"))),0.166666666666667,""))</f>
        <v/>
      </c>
      <c r="AC929" s="8" t="str">
        <f aca="false">IF(AND(D929="Congé sans solde",F929="Congé sans solde"),0.333333333333333,IF(OR(AND(D929="Congé sans solde",F929&lt;&gt;"Congé sans solde"),(AND(F929="Congé sans solde",D929&lt;&gt;"Congé sans solde"))),0.166666666666667,""))</f>
        <v/>
      </c>
      <c r="AD929" s="8" t="str">
        <f aca="false">IF(AND(D929="Congé spécial",F929="Congé spécial"),0.333333333333333,IF(OR(AND(D929="Congé spécial",F929&lt;&gt;"Congé spécial"),AND(F929="Congé spécial",D929&lt;&gt;"Congé spécial")),0.166666666666667,""))</f>
        <v/>
      </c>
      <c r="AE929" s="8" t="str">
        <f aca="false">IF(AND(D929="Férié",F929="Férié"),0.333333333333333,IF(OR(AND(D929="Férié",F929&lt;&gt;"Férié"),(AND(F929="Férié",D929&lt;&gt;"Férié"))),0.166666666666667,""))</f>
        <v/>
      </c>
      <c r="AF929" s="18"/>
      <c r="AG929" s="18"/>
    </row>
    <row r="930" customFormat="false" ht="15" hidden="false" customHeight="false" outlineLevel="0" collapsed="false">
      <c r="A930" s="6" t="str">
        <f aca="false">YEAR(Q930-WEEKDAY(Q930,2)+4)&amp;"-S"&amp;TEXT(WEEKNUM(Q930,21),"00")</f>
        <v>2026-S32</v>
      </c>
      <c r="B930" s="18" t="s">
        <v>73</v>
      </c>
      <c r="C930" s="19" t="n">
        <v>0.331944444444444</v>
      </c>
      <c r="D930" s="19" t="n">
        <v>0.333333333333333</v>
      </c>
      <c r="E930" s="19" t="n">
        <v>0.75</v>
      </c>
      <c r="F930" s="19" t="n">
        <v>0.75</v>
      </c>
      <c r="G930" s="20"/>
      <c r="H930" s="20"/>
      <c r="I930" s="8" t="str">
        <f aca="false">IF(IF(OR(C930="",D930="Congé",D930="OFF",D930="Congé spécial"),"",IF(D930&gt;F930,D930-C930,IF(C930-D930&lt;0,0,C930-D930)))&lt;0.00068287037037037,"",IF(OR(D930="Congé",D930="OFF",C930="",D930="Congé spécial"),"",IF(D930&gt;F930,D930-C930,IF(C930-D930&lt;0,0,C930-D930))))</f>
        <v/>
      </c>
      <c r="J930" s="20"/>
      <c r="K930" s="8" t="n">
        <f aca="false">IF(SUM(H930:J930)&lt;0.00068287037037037,0,SUM(H930:J930))</f>
        <v>0</v>
      </c>
      <c r="L930" s="8" t="n">
        <f aca="false">IF(OR(F930="Congé",F930="OFF",M930="Abs",F930="Congé sans solde",F930="Férié",F930="Congé spécial",D930="Congé spécial"),0,IF(F930-E930&lt;0,0,IF(F930-E930&lt;=0.00068287037037037,0,F930-E930)))</f>
        <v>0</v>
      </c>
      <c r="M930" s="6" t="n">
        <f aca="false">IF(AND(O930&lt;&gt;0,C930=""),"Abs",0)</f>
        <v>0</v>
      </c>
      <c r="N930" s="8" t="n">
        <f aca="false">IFERROR(IF(OR(D930="OFF",D930="Congé",M930="Abs",D930="Congé sans solde",D930="Férié"),"",IF(O930-K930-L930&gt;O930,O930,IF(O930-K930-L930&lt;0,"",O930-K930-L930))),"")</f>
        <v>0.375</v>
      </c>
      <c r="O930" s="8" t="n">
        <f aca="false">IF(AG930="2H Pause déjeuner",IF(F930-D930-0.0833333333333333&lt;0,F930-D930-0.0833333333333333+1,F930-D930-0.0833333333333333),IF(OR(AND(F930="OFF",D930="OFF"),AND(F930="Congé",D930="Congé"),AND(F930="Congé sans solde",D930="Congé sans solde"),AND(F930="Congé spécial",D930="Congé spécial"),AND(F930="Férié",D930="Férié"),AND(F930="OFF",D930="Congé"),AND(F930="OFF",D930="Congé sans solde"),AND(F930="OFF",D930="Congé spécial"),AND(F930="OFF",D930="Férié"),AND(F930="Congé",D930="OFF"),AND(F930="Congé",D930="Congé sans solde"),AND(F930="Congé",D930="Congé spécial"),AND(F930="Congé",D930="Férié"),AND(F930="Congé sans solde",D930="OFF"),AND(F930="Congé sans solde",D930="Congé"),AND(F930="Congé sans solde",D930="Congé spécial"),AND(F930="Congé sans solde",D930="Férié"),AND(F930="Congé spécial",D930="OFF"),AND(F930="Congé spécial",D930="Congé"),AND(F930="Congé spécial",D930="Congé sans solde"),AND(F930="Congé spécial",D930="Férié"),AND(F930="Férié",D930="OFF"),AND(F930="Férié",D930="Congé"),AND(F930="Férié",D930="Congé sans solde"),AND(F930="Férié",D930="Congé spécial")),0,IF(OR(F930="OFF",F930="Congé",F930="Congé spécial",F930="Congé sans solde",D930="OFF",D930="Congé",D930="Congé spécial",D930="Congé sans solde"),0.208333333333334,IF(AND(AG930="",F930-D930&lt;0),("24:00:00"-D930)+("00:00:00"+F930)-0.0416666666666667,IF(AND(OR(AG930="Allaitement",AG930="Sans déjeuner"),F930-D930&lt;0),("24:00:00"-D930)+("00:00:00"+F930),IF(AND(AG930="",F930-D930&gt;0.166666666666667),F930-D930-0.0416666666666667,IF(AND(OR(AG930="Allaitement",AG930="Sans déjeuner"),F930-D930&gt;0.166666666666667),F930-D930,F930-D930)))))))</f>
        <v>0.375</v>
      </c>
      <c r="P930" s="6" t="str">
        <f aca="false">IFERROR(VLOOKUP($B930,Agents!$A:$D,2,0),"-")</f>
        <v>Accessibilité</v>
      </c>
      <c r="Q930" s="21" t="n">
        <v>46240</v>
      </c>
      <c r="R930" s="8" t="n">
        <f aca="false">IF(M930="Abs",O930,0)</f>
        <v>0</v>
      </c>
      <c r="S930" s="8" t="n">
        <f aca="false">SUM(R930,L930,I930,J930,W930,H930)</f>
        <v>0</v>
      </c>
      <c r="T930" s="6" t="str">
        <f aca="false">"Sem - "&amp;WEEKNUM(Q930,21)</f>
        <v>Sem - 32</v>
      </c>
      <c r="U930" s="6" t="str">
        <f aca="false">CHOOSE(MONTH(Q930),"Janvier","Février","Mars","Avril","Mai","Juin","Juillet","Août","Septembre","Octobre","Novembre","Décembre")</f>
        <v>Août</v>
      </c>
      <c r="V930" s="22" t="n">
        <f aca="false">YEAR(Q930)</f>
        <v>2026</v>
      </c>
      <c r="W930" s="20"/>
      <c r="X930" s="8" t="n">
        <f aca="false">IFERROR(IF(M930="Abs",0,IF(ROUND((D930-C930+E930-F930)*1440,0)&lt;=1,0,D930-C930+E930-F930)),0)</f>
        <v>0.00138888888888889</v>
      </c>
      <c r="Y930" s="6" t="str">
        <f aca="false">IFERROR(VLOOKUP($B930,Agents!$A:$D,3,0),"-")</f>
        <v>OUBRAHIM Mohammed</v>
      </c>
      <c r="Z930" s="6" t="str">
        <f aca="false">IFERROR(VLOOKUP($B930,Agents!$A:$D,4,0),"-")</f>
        <v>Credit Mutuel</v>
      </c>
      <c r="AA930" s="18" t="s">
        <v>114</v>
      </c>
      <c r="AB930" s="8" t="str">
        <f aca="false">IF(AND(D930="Congé",F930="Congé"),0.333333333333333,IF(OR(AND(D930="Congé",F930&lt;&gt;"Congé"),(AND(F930="Congé",D930&lt;&gt;"Congé"))),0.166666666666667,""))</f>
        <v/>
      </c>
      <c r="AC930" s="8" t="str">
        <f aca="false">IF(AND(D930="Congé sans solde",F930="Congé sans solde"),0.333333333333333,IF(OR(AND(D930="Congé sans solde",F930&lt;&gt;"Congé sans solde"),(AND(F930="Congé sans solde",D930&lt;&gt;"Congé sans solde"))),0.166666666666667,""))</f>
        <v/>
      </c>
      <c r="AD930" s="8" t="str">
        <f aca="false">IF(AND(D930="Congé spécial",F930="Congé spécial"),0.333333333333333,IF(OR(AND(D930="Congé spécial",F930&lt;&gt;"Congé spécial"),AND(F930="Congé spécial",D930&lt;&gt;"Congé spécial")),0.166666666666667,""))</f>
        <v/>
      </c>
      <c r="AE930" s="8" t="str">
        <f aca="false">IF(AND(D930="Férié",F930="Férié"),0.333333333333333,IF(OR(AND(D930="Férié",F930&lt;&gt;"Férié"),(AND(F930="Férié",D930&lt;&gt;"Férié"))),0.166666666666667,""))</f>
        <v/>
      </c>
      <c r="AF930" s="18"/>
      <c r="AG930" s="18"/>
    </row>
    <row r="931" customFormat="false" ht="15" hidden="false" customHeight="false" outlineLevel="0" collapsed="false">
      <c r="A931" s="6" t="str">
        <f aca="false">YEAR(Q931-WEEKDAY(Q931,2)+4)&amp;"-S"&amp;TEXT(WEEKNUM(Q931,21),"00")</f>
        <v>2026-S32</v>
      </c>
      <c r="B931" s="18" t="s">
        <v>71</v>
      </c>
      <c r="C931" s="19" t="n">
        <v>0.333333333333333</v>
      </c>
      <c r="D931" s="19" t="n">
        <v>0.333333333333333</v>
      </c>
      <c r="E931" s="19" t="n">
        <v>0.708333333333333</v>
      </c>
      <c r="F931" s="19" t="n">
        <v>0.708333333333333</v>
      </c>
      <c r="G931" s="20"/>
      <c r="H931" s="20"/>
      <c r="I931" s="8" t="str">
        <f aca="false">IF(IF(OR(C931="",D931="Congé",D931="OFF",D931="Congé spécial"),"",IF(D931&gt;F931,D931-C931,IF(C931-D931&lt;0,0,C931-D931)))&lt;0.00068287037037037,"",IF(OR(D931="Congé",D931="OFF",C931="",D931="Congé spécial"),"",IF(D931&gt;F931,D931-C931,IF(C931-D931&lt;0,0,C931-D931))))</f>
        <v/>
      </c>
      <c r="J931" s="20"/>
      <c r="K931" s="8" t="n">
        <f aca="false">IF(SUM(H931:J931)&lt;0.00068287037037037,0,SUM(H931:J931))</f>
        <v>0</v>
      </c>
      <c r="L931" s="8" t="n">
        <f aca="false">IF(OR(F931="Congé",F931="OFF",M931="Abs",F931="Congé sans solde",F931="Férié",F931="Congé spécial",D931="Congé spécial"),0,IF(F931-E931&lt;0,0,IF(F931-E931&lt;=0.00068287037037037,0,F931-E931)))</f>
        <v>0</v>
      </c>
      <c r="M931" s="6" t="n">
        <f aca="false">IF(AND(O931&lt;&gt;0,C931=""),"Abs",0)</f>
        <v>0</v>
      </c>
      <c r="N931" s="8" t="n">
        <f aca="false">IFERROR(IF(OR(D931="OFF",D931="Congé",M931="Abs",D931="Congé sans solde",D931="Férié"),"",IF(O931-K931-L931&gt;O931,O931,IF(O931-K931-L931&lt;0,"",O931-K931-L931))),"")</f>
        <v>0.333333333333333</v>
      </c>
      <c r="O931" s="8" t="n">
        <f aca="false">IF(AG931="2H Pause déjeuner",IF(F931-D931-0.0833333333333333&lt;0,F931-D931-0.0833333333333333+1,F931-D931-0.0833333333333333),IF(OR(AND(F931="OFF",D931="OFF"),AND(F931="Congé",D931="Congé"),AND(F931="Congé sans solde",D931="Congé sans solde"),AND(F931="Congé spécial",D931="Congé spécial"),AND(F931="Férié",D931="Férié"),AND(F931="OFF",D931="Congé"),AND(F931="OFF",D931="Congé sans solde"),AND(F931="OFF",D931="Congé spécial"),AND(F931="OFF",D931="Férié"),AND(F931="Congé",D931="OFF"),AND(F931="Congé",D931="Congé sans solde"),AND(F931="Congé",D931="Congé spécial"),AND(F931="Congé",D931="Férié"),AND(F931="Congé sans solde",D931="OFF"),AND(F931="Congé sans solde",D931="Congé"),AND(F931="Congé sans solde",D931="Congé spécial"),AND(F931="Congé sans solde",D931="Férié"),AND(F931="Congé spécial",D931="OFF"),AND(F931="Congé spécial",D931="Congé"),AND(F931="Congé spécial",D931="Congé sans solde"),AND(F931="Congé spécial",D931="Férié"),AND(F931="Férié",D931="OFF"),AND(F931="Férié",D931="Congé"),AND(F931="Férié",D931="Congé sans solde"),AND(F931="Férié",D931="Congé spécial")),0,IF(OR(F931="OFF",F931="Congé",F931="Congé spécial",F931="Congé sans solde",D931="OFF",D931="Congé",D931="Congé spécial",D931="Congé sans solde"),0.208333333333334,IF(AND(AG931="",F931-D931&lt;0),("24:00:00"-D931)+("00:00:00"+F931)-0.0416666666666667,IF(AND(OR(AG931="Allaitement",AG931="Sans déjeuner"),F931-D931&lt;0),("24:00:00"-D931)+("00:00:00"+F931),IF(AND(AG931="",F931-D931&gt;0.166666666666667),F931-D931-0.0416666666666667,IF(AND(OR(AG931="Allaitement",AG931="Sans déjeuner"),F931-D931&gt;0.166666666666667),F931-D931,F931-D931)))))))</f>
        <v>0.333333333333333</v>
      </c>
      <c r="P931" s="6" t="str">
        <f aca="false">IFERROR(VLOOKUP($B931,Agents!$A:$D,2,0),"-")</f>
        <v>Accessibilité</v>
      </c>
      <c r="Q931" s="21" t="n">
        <v>46241</v>
      </c>
      <c r="R931" s="8" t="n">
        <f aca="false">IF(M931="Abs",O931,0)</f>
        <v>0</v>
      </c>
      <c r="S931" s="8" t="n">
        <f aca="false">SUM(R931,L931,I931,J931,W931,H931)</f>
        <v>0</v>
      </c>
      <c r="T931" s="6" t="str">
        <f aca="false">"Sem - "&amp;WEEKNUM(Q931,21)</f>
        <v>Sem - 32</v>
      </c>
      <c r="U931" s="6" t="str">
        <f aca="false">CHOOSE(MONTH(Q931),"Janvier","Février","Mars","Avril","Mai","Juin","Juillet","Août","Septembre","Octobre","Novembre","Décembre")</f>
        <v>Août</v>
      </c>
      <c r="V931" s="22" t="n">
        <f aca="false">YEAR(Q931)</f>
        <v>2026</v>
      </c>
      <c r="W931" s="20"/>
      <c r="X931" s="8" t="n">
        <f aca="false">IFERROR(IF(M931="Abs",0,IF(ROUND((D931-C931+E931-F931)*1440,0)&lt;=1,0,D931-C931+E931-F931)),0)</f>
        <v>0</v>
      </c>
      <c r="Y931" s="6" t="str">
        <f aca="false">IFERROR(VLOOKUP($B931,Agents!$A:$D,3,0),"-")</f>
        <v>OUBRAHIM Mohammed</v>
      </c>
      <c r="Z931" s="6" t="str">
        <f aca="false">IFERROR(VLOOKUP($B931,Agents!$A:$D,4,0),"-")</f>
        <v>Credit Mutuel</v>
      </c>
      <c r="AA931" s="18" t="s">
        <v>114</v>
      </c>
      <c r="AB931" s="8" t="str">
        <f aca="false">IF(AND(D931="Congé",F931="Congé"),0.333333333333333,IF(OR(AND(D931="Congé",F931&lt;&gt;"Congé"),(AND(F931="Congé",D931&lt;&gt;"Congé"))),0.166666666666667,""))</f>
        <v/>
      </c>
      <c r="AC931" s="8" t="str">
        <f aca="false">IF(AND(D931="Congé sans solde",F931="Congé sans solde"),0.333333333333333,IF(OR(AND(D931="Congé sans solde",F931&lt;&gt;"Congé sans solde"),(AND(F931="Congé sans solde",D931&lt;&gt;"Congé sans solde"))),0.166666666666667,""))</f>
        <v/>
      </c>
      <c r="AD931" s="8" t="str">
        <f aca="false">IF(AND(D931="Congé spécial",F931="Congé spécial"),0.333333333333333,IF(OR(AND(D931="Congé spécial",F931&lt;&gt;"Congé spécial"),AND(F931="Congé spécial",D931&lt;&gt;"Congé spécial")),0.166666666666667,""))</f>
        <v/>
      </c>
      <c r="AE931" s="8" t="str">
        <f aca="false">IF(AND(D931="Férié",F931="Férié"),0.333333333333333,IF(OR(AND(D931="Férié",F931&lt;&gt;"Férié"),(AND(F931="Férié",D931&lt;&gt;"Férié"))),0.166666666666667,""))</f>
        <v/>
      </c>
      <c r="AF931" s="18"/>
      <c r="AG931" s="18"/>
    </row>
    <row r="932" customFormat="false" ht="15" hidden="false" customHeight="false" outlineLevel="0" collapsed="false">
      <c r="A932" s="6" t="str">
        <f aca="false">YEAR(Q932-WEEKDAY(Q932,2)+4)&amp;"-S"&amp;TEXT(WEEKNUM(Q932,21),"00")</f>
        <v>2026-S32</v>
      </c>
      <c r="B932" s="18" t="s">
        <v>72</v>
      </c>
      <c r="C932" s="19" t="n">
        <v>0.333333333333333</v>
      </c>
      <c r="D932" s="19" t="n">
        <v>0.333333333333333</v>
      </c>
      <c r="E932" s="19" t="n">
        <v>0.708333333333333</v>
      </c>
      <c r="F932" s="19" t="n">
        <v>0.708333333333333</v>
      </c>
      <c r="G932" s="20"/>
      <c r="H932" s="20"/>
      <c r="I932" s="8" t="str">
        <f aca="false">IF(IF(OR(C932="",D932="Congé",D932="OFF",D932="Congé spécial"),"",IF(D932&gt;F932,D932-C932,IF(C932-D932&lt;0,0,C932-D932)))&lt;0.00068287037037037,"",IF(OR(D932="Congé",D932="OFF",C932="",D932="Congé spécial"),"",IF(D932&gt;F932,D932-C932,IF(C932-D932&lt;0,0,C932-D932))))</f>
        <v/>
      </c>
      <c r="J932" s="20"/>
      <c r="K932" s="8" t="n">
        <f aca="false">IF(SUM(H932:J932)&lt;0.00068287037037037,0,SUM(H932:J932))</f>
        <v>0</v>
      </c>
      <c r="L932" s="8" t="n">
        <f aca="false">IF(OR(F932="Congé",F932="OFF",M932="Abs",F932="Congé sans solde",F932="Férié",F932="Congé spécial",D932="Congé spécial"),0,IF(F932-E932&lt;0,0,IF(F932-E932&lt;=0.00068287037037037,0,F932-E932)))</f>
        <v>0</v>
      </c>
      <c r="M932" s="6" t="n">
        <f aca="false">IF(AND(O932&lt;&gt;0,C932=""),"Abs",0)</f>
        <v>0</v>
      </c>
      <c r="N932" s="8" t="n">
        <f aca="false">IFERROR(IF(OR(D932="OFF",D932="Congé",M932="Abs",D932="Congé sans solde",D932="Férié"),"",IF(O932-K932-L932&gt;O932,O932,IF(O932-K932-L932&lt;0,"",O932-K932-L932))),"")</f>
        <v>0.333333333333333</v>
      </c>
      <c r="O932" s="8" t="n">
        <f aca="false">IF(AG932="2H Pause déjeuner",IF(F932-D932-0.0833333333333333&lt;0,F932-D932-0.0833333333333333+1,F932-D932-0.0833333333333333),IF(OR(AND(F932="OFF",D932="OFF"),AND(F932="Congé",D932="Congé"),AND(F932="Congé sans solde",D932="Congé sans solde"),AND(F932="Congé spécial",D932="Congé spécial"),AND(F932="Férié",D932="Férié"),AND(F932="OFF",D932="Congé"),AND(F932="OFF",D932="Congé sans solde"),AND(F932="OFF",D932="Congé spécial"),AND(F932="OFF",D932="Férié"),AND(F932="Congé",D932="OFF"),AND(F932="Congé",D932="Congé sans solde"),AND(F932="Congé",D932="Congé spécial"),AND(F932="Congé",D932="Férié"),AND(F932="Congé sans solde",D932="OFF"),AND(F932="Congé sans solde",D932="Congé"),AND(F932="Congé sans solde",D932="Congé spécial"),AND(F932="Congé sans solde",D932="Férié"),AND(F932="Congé spécial",D932="OFF"),AND(F932="Congé spécial",D932="Congé"),AND(F932="Congé spécial",D932="Congé sans solde"),AND(F932="Congé spécial",D932="Férié"),AND(F932="Férié",D932="OFF"),AND(F932="Férié",D932="Congé"),AND(F932="Férié",D932="Congé sans solde"),AND(F932="Férié",D932="Congé spécial")),0,IF(OR(F932="OFF",F932="Congé",F932="Congé spécial",F932="Congé sans solde",D932="OFF",D932="Congé",D932="Congé spécial",D932="Congé sans solde"),0.208333333333334,IF(AND(AG932="",F932-D932&lt;0),("24:00:00"-D932)+("00:00:00"+F932)-0.0416666666666667,IF(AND(OR(AG932="Allaitement",AG932="Sans déjeuner"),F932-D932&lt;0),("24:00:00"-D932)+("00:00:00"+F932),IF(AND(AG932="",F932-D932&gt;0.166666666666667),F932-D932-0.0416666666666667,IF(AND(OR(AG932="Allaitement",AG932="Sans déjeuner"),F932-D932&gt;0.166666666666667),F932-D932,F932-D932)))))))</f>
        <v>0.333333333333333</v>
      </c>
      <c r="P932" s="6" t="str">
        <f aca="false">IFERROR(VLOOKUP($B932,Agents!$A:$D,2,0),"-")</f>
        <v>Accessibilité</v>
      </c>
      <c r="Q932" s="21" t="n">
        <v>46241</v>
      </c>
      <c r="R932" s="8" t="n">
        <f aca="false">IF(M932="Abs",O932,0)</f>
        <v>0</v>
      </c>
      <c r="S932" s="8" t="n">
        <f aca="false">SUM(R932,L932,I932,J932,W932,H932)</f>
        <v>0</v>
      </c>
      <c r="T932" s="6" t="str">
        <f aca="false">"Sem - "&amp;WEEKNUM(Q932,21)</f>
        <v>Sem - 32</v>
      </c>
      <c r="U932" s="6" t="str">
        <f aca="false">CHOOSE(MONTH(Q932),"Janvier","Février","Mars","Avril","Mai","Juin","Juillet","Août","Septembre","Octobre","Novembre","Décembre")</f>
        <v>Août</v>
      </c>
      <c r="V932" s="22" t="n">
        <f aca="false">YEAR(Q932)</f>
        <v>2026</v>
      </c>
      <c r="W932" s="20"/>
      <c r="X932" s="8" t="n">
        <f aca="false">IFERROR(IF(M932="Abs",0,IF(ROUND((D932-C932+E932-F932)*1440,0)&lt;=1,0,D932-C932+E932-F932)),0)</f>
        <v>0</v>
      </c>
      <c r="Y932" s="6" t="str">
        <f aca="false">IFERROR(VLOOKUP($B932,Agents!$A:$D,3,0),"-")</f>
        <v>OUBRAHIM Mohammed</v>
      </c>
      <c r="Z932" s="6" t="str">
        <f aca="false">IFERROR(VLOOKUP($B932,Agents!$A:$D,4,0),"-")</f>
        <v>Credit Mutuel</v>
      </c>
      <c r="AA932" s="18" t="s">
        <v>114</v>
      </c>
      <c r="AB932" s="8" t="str">
        <f aca="false">IF(AND(D932="Congé",F932="Congé"),0.333333333333333,IF(OR(AND(D932="Congé",F932&lt;&gt;"Congé"),(AND(F932="Congé",D932&lt;&gt;"Congé"))),0.166666666666667,""))</f>
        <v/>
      </c>
      <c r="AC932" s="8" t="str">
        <f aca="false">IF(AND(D932="Congé sans solde",F932="Congé sans solde"),0.333333333333333,IF(OR(AND(D932="Congé sans solde",F932&lt;&gt;"Congé sans solde"),(AND(F932="Congé sans solde",D932&lt;&gt;"Congé sans solde"))),0.166666666666667,""))</f>
        <v/>
      </c>
      <c r="AD932" s="8" t="str">
        <f aca="false">IF(AND(D932="Congé spécial",F932="Congé spécial"),0.333333333333333,IF(OR(AND(D932="Congé spécial",F932&lt;&gt;"Congé spécial"),AND(F932="Congé spécial",D932&lt;&gt;"Congé spécial")),0.166666666666667,""))</f>
        <v/>
      </c>
      <c r="AE932" s="8" t="str">
        <f aca="false">IF(AND(D932="Férié",F932="Férié"),0.333333333333333,IF(OR(AND(D932="Férié",F932&lt;&gt;"Férié"),(AND(F932="Férié",D932&lt;&gt;"Férié"))),0.166666666666667,""))</f>
        <v/>
      </c>
      <c r="AF932" s="18"/>
      <c r="AG932" s="18"/>
    </row>
    <row r="933" customFormat="false" ht="15" hidden="false" customHeight="false" outlineLevel="0" collapsed="false">
      <c r="A933" s="6" t="str">
        <f aca="false">YEAR(Q933-WEEKDAY(Q933,2)+4)&amp;"-S"&amp;TEXT(WEEKNUM(Q933,21),"00")</f>
        <v>2026-S32</v>
      </c>
      <c r="B933" s="18" t="s">
        <v>73</v>
      </c>
      <c r="C933" s="19" t="n">
        <v>0.333333333333333</v>
      </c>
      <c r="D933" s="19" t="n">
        <v>0.333333333333333</v>
      </c>
      <c r="E933" s="19" t="n">
        <v>0.708333333333333</v>
      </c>
      <c r="F933" s="19" t="n">
        <v>0.708333333333333</v>
      </c>
      <c r="G933" s="20"/>
      <c r="H933" s="20"/>
      <c r="I933" s="8" t="str">
        <f aca="false">IF(IF(OR(C933="",D933="Congé",D933="OFF",D933="Congé spécial"),"",IF(D933&gt;F933,D933-C933,IF(C933-D933&lt;0,0,C933-D933)))&lt;0.00068287037037037,"",IF(OR(D933="Congé",D933="OFF",C933="",D933="Congé spécial"),"",IF(D933&gt;F933,D933-C933,IF(C933-D933&lt;0,0,C933-D933))))</f>
        <v/>
      </c>
      <c r="J933" s="20"/>
      <c r="K933" s="8" t="n">
        <f aca="false">IF(SUM(H933:J933)&lt;0.00068287037037037,0,SUM(H933:J933))</f>
        <v>0</v>
      </c>
      <c r="L933" s="8" t="n">
        <f aca="false">IF(OR(F933="Congé",F933="OFF",M933="Abs",F933="Congé sans solde",F933="Férié",F933="Congé spécial",D933="Congé spécial"),0,IF(F933-E933&lt;0,0,IF(F933-E933&lt;=0.00068287037037037,0,F933-E933)))</f>
        <v>0</v>
      </c>
      <c r="M933" s="6" t="n">
        <f aca="false">IF(AND(O933&lt;&gt;0,C933=""),"Abs",0)</f>
        <v>0</v>
      </c>
      <c r="N933" s="8" t="n">
        <f aca="false">IFERROR(IF(OR(D933="OFF",D933="Congé",M933="Abs",D933="Congé sans solde",D933="Férié"),"",IF(O933-K933-L933&gt;O933,O933,IF(O933-K933-L933&lt;0,"",O933-K933-L933))),"")</f>
        <v>0.333333333333333</v>
      </c>
      <c r="O933" s="8" t="n">
        <f aca="false">IF(AG933="2H Pause déjeuner",IF(F933-D933-0.0833333333333333&lt;0,F933-D933-0.0833333333333333+1,F933-D933-0.0833333333333333),IF(OR(AND(F933="OFF",D933="OFF"),AND(F933="Congé",D933="Congé"),AND(F933="Congé sans solde",D933="Congé sans solde"),AND(F933="Congé spécial",D933="Congé spécial"),AND(F933="Férié",D933="Férié"),AND(F933="OFF",D933="Congé"),AND(F933="OFF",D933="Congé sans solde"),AND(F933="OFF",D933="Congé spécial"),AND(F933="OFF",D933="Férié"),AND(F933="Congé",D933="OFF"),AND(F933="Congé",D933="Congé sans solde"),AND(F933="Congé",D933="Congé spécial"),AND(F933="Congé",D933="Férié"),AND(F933="Congé sans solde",D933="OFF"),AND(F933="Congé sans solde",D933="Congé"),AND(F933="Congé sans solde",D933="Congé spécial"),AND(F933="Congé sans solde",D933="Férié"),AND(F933="Congé spécial",D933="OFF"),AND(F933="Congé spécial",D933="Congé"),AND(F933="Congé spécial",D933="Congé sans solde"),AND(F933="Congé spécial",D933="Férié"),AND(F933="Férié",D933="OFF"),AND(F933="Férié",D933="Congé"),AND(F933="Férié",D933="Congé sans solde"),AND(F933="Férié",D933="Congé spécial")),0,IF(OR(F933="OFF",F933="Congé",F933="Congé spécial",F933="Congé sans solde",D933="OFF",D933="Congé",D933="Congé spécial",D933="Congé sans solde"),0.208333333333334,IF(AND(AG933="",F933-D933&lt;0),("24:00:00"-D933)+("00:00:00"+F933)-0.0416666666666667,IF(AND(OR(AG933="Allaitement",AG933="Sans déjeuner"),F933-D933&lt;0),("24:00:00"-D933)+("00:00:00"+F933),IF(AND(AG933="",F933-D933&gt;0.166666666666667),F933-D933-0.0416666666666667,IF(AND(OR(AG933="Allaitement",AG933="Sans déjeuner"),F933-D933&gt;0.166666666666667),F933-D933,F933-D933)))))))</f>
        <v>0.333333333333333</v>
      </c>
      <c r="P933" s="6" t="str">
        <f aca="false">IFERROR(VLOOKUP($B933,Agents!$A:$D,2,0),"-")</f>
        <v>Accessibilité</v>
      </c>
      <c r="Q933" s="21" t="n">
        <v>46241</v>
      </c>
      <c r="R933" s="8" t="n">
        <f aca="false">IF(M933="Abs",O933,0)</f>
        <v>0</v>
      </c>
      <c r="S933" s="8" t="n">
        <f aca="false">SUM(R933,L933,I933,J933,W933,H933)</f>
        <v>0</v>
      </c>
      <c r="T933" s="6" t="str">
        <f aca="false">"Sem - "&amp;WEEKNUM(Q933,21)</f>
        <v>Sem - 32</v>
      </c>
      <c r="U933" s="6" t="str">
        <f aca="false">CHOOSE(MONTH(Q933),"Janvier","Février","Mars","Avril","Mai","Juin","Juillet","Août","Septembre","Octobre","Novembre","Décembre")</f>
        <v>Août</v>
      </c>
      <c r="V933" s="22" t="n">
        <f aca="false">YEAR(Q933)</f>
        <v>2026</v>
      </c>
      <c r="W933" s="20"/>
      <c r="X933" s="8" t="n">
        <f aca="false">IFERROR(IF(M933="Abs",0,IF(ROUND((D933-C933+E933-F933)*1440,0)&lt;=1,0,D933-C933+E933-F933)),0)</f>
        <v>0</v>
      </c>
      <c r="Y933" s="6" t="str">
        <f aca="false">IFERROR(VLOOKUP($B933,Agents!$A:$D,3,0),"-")</f>
        <v>OUBRAHIM Mohammed</v>
      </c>
      <c r="Z933" s="6" t="str">
        <f aca="false">IFERROR(VLOOKUP($B933,Agents!$A:$D,4,0),"-")</f>
        <v>Credit Mutuel</v>
      </c>
      <c r="AA933" s="18" t="s">
        <v>114</v>
      </c>
      <c r="AB933" s="8" t="str">
        <f aca="false">IF(AND(D933="Congé",F933="Congé"),0.333333333333333,IF(OR(AND(D933="Congé",F933&lt;&gt;"Congé"),(AND(F933="Congé",D933&lt;&gt;"Congé"))),0.166666666666667,""))</f>
        <v/>
      </c>
      <c r="AC933" s="8" t="str">
        <f aca="false">IF(AND(D933="Congé sans solde",F933="Congé sans solde"),0.333333333333333,IF(OR(AND(D933="Congé sans solde",F933&lt;&gt;"Congé sans solde"),(AND(F933="Congé sans solde",D933&lt;&gt;"Congé sans solde"))),0.166666666666667,""))</f>
        <v/>
      </c>
      <c r="AD933" s="8" t="str">
        <f aca="false">IF(AND(D933="Congé spécial",F933="Congé spécial"),0.333333333333333,IF(OR(AND(D933="Congé spécial",F933&lt;&gt;"Congé spécial"),AND(F933="Congé spécial",D933&lt;&gt;"Congé spécial")),0.166666666666667,""))</f>
        <v/>
      </c>
      <c r="AE933" s="8" t="str">
        <f aca="false">IF(AND(D933="Férié",F933="Férié"),0.333333333333333,IF(OR(AND(D933="Férié",F933&lt;&gt;"Férié"),(AND(F933="Férié",D933&lt;&gt;"Férié"))),0.166666666666667,""))</f>
        <v/>
      </c>
      <c r="AF933" s="18"/>
      <c r="AG933" s="18"/>
    </row>
    <row r="934" customFormat="false" ht="15" hidden="false" customHeight="false" outlineLevel="0" collapsed="false">
      <c r="A934" s="6" t="str">
        <f aca="false">YEAR(Q934-WEEKDAY(Q934,2)+4)&amp;"-S"&amp;TEXT(WEEKNUM(Q934,21),"00")</f>
        <v>2026-S32</v>
      </c>
      <c r="B934" s="18" t="s">
        <v>71</v>
      </c>
      <c r="C934" s="19"/>
      <c r="D934" s="19" t="s">
        <v>74</v>
      </c>
      <c r="E934" s="19"/>
      <c r="F934" s="19" t="s">
        <v>74</v>
      </c>
      <c r="G934" s="20"/>
      <c r="H934" s="20"/>
      <c r="I934" s="8" t="str">
        <f aca="false">IF(IF(OR(C934="",D934="Congé",D934="OFF",D934="Congé spécial"),"",IF(D934&gt;F934,D934-C934,IF(C934-D934&lt;0,0,C934-D934)))&lt;0.00068287037037037,"",IF(OR(D934="Congé",D934="OFF",C934="",D934="Congé spécial"),"",IF(D934&gt;F934,D934-C934,IF(C934-D934&lt;0,0,C934-D934))))</f>
        <v/>
      </c>
      <c r="J934" s="20"/>
      <c r="K934" s="8" t="n">
        <f aca="false">IF(SUM(H934:J934)&lt;0.00068287037037037,0,SUM(H934:J934))</f>
        <v>0</v>
      </c>
      <c r="L934" s="8" t="n">
        <f aca="false">IF(OR(F934="Congé",F934="OFF",M934="Abs",F934="Congé sans solde",F934="Férié",F934="Congé spécial",D934="Congé spécial"),0,IF(F934-E934&lt;0,0,IF(F934-E934&lt;=0.00068287037037037,0,F934-E934)))</f>
        <v>0</v>
      </c>
      <c r="M934" s="6" t="n">
        <f aca="false">IF(AND(O934&lt;&gt;0,C934=""),"Abs",0)</f>
        <v>0</v>
      </c>
      <c r="N934" s="8" t="str">
        <f aca="false">IFERROR(IF(OR(D934="OFF",D934="Congé",M934="Abs",D934="Congé sans solde",D934="Férié"),"",IF(O934-K934-L934&gt;O934,O934,IF(O934-K934-L934&lt;0,"",O934-K934-L934))),"")</f>
        <v/>
      </c>
      <c r="O934" s="8" t="n">
        <f aca="false">IF(AG934="2H Pause déjeuner",IF(F934-D934-0.0833333333333333&lt;0,F934-D934-0.0833333333333333+1,F934-D934-0.0833333333333333),IF(OR(AND(F934="OFF",D934="OFF"),AND(F934="Congé",D934="Congé"),AND(F934="Congé sans solde",D934="Congé sans solde"),AND(F934="Congé spécial",D934="Congé spécial"),AND(F934="Férié",D934="Férié"),AND(F934="OFF",D934="Congé"),AND(F934="OFF",D934="Congé sans solde"),AND(F934="OFF",D934="Congé spécial"),AND(F934="OFF",D934="Férié"),AND(F934="Congé",D934="OFF"),AND(F934="Congé",D934="Congé sans solde"),AND(F934="Congé",D934="Congé spécial"),AND(F934="Congé",D934="Férié"),AND(F934="Congé sans solde",D934="OFF"),AND(F934="Congé sans solde",D934="Congé"),AND(F934="Congé sans solde",D934="Congé spécial"),AND(F934="Congé sans solde",D934="Férié"),AND(F934="Congé spécial",D934="OFF"),AND(F934="Congé spécial",D934="Congé"),AND(F934="Congé spécial",D934="Congé sans solde"),AND(F934="Congé spécial",D934="Férié"),AND(F934="Férié",D934="OFF"),AND(F934="Férié",D934="Congé"),AND(F934="Férié",D934="Congé sans solde"),AND(F934="Férié",D934="Congé spécial")),0,IF(OR(F934="OFF",F934="Congé",F934="Congé spécial",F934="Congé sans solde",D934="OFF",D934="Congé",D934="Congé spécial",D934="Congé sans solde"),0.208333333333334,IF(AND(AG934="",F934-D934&lt;0),("24:00:00"-D934)+("00:00:00"+F934)-0.0416666666666667,IF(AND(OR(AG934="Allaitement",AG934="Sans déjeuner"),F934-D934&lt;0),("24:00:00"-D934)+("00:00:00"+F934),IF(AND(AG934="",F934-D934&gt;0.166666666666667),F934-D934-0.0416666666666667,IF(AND(OR(AG934="Allaitement",AG934="Sans déjeuner"),F934-D934&gt;0.166666666666667),F934-D934,F934-D934)))))))</f>
        <v>0</v>
      </c>
      <c r="P934" s="6" t="str">
        <f aca="false">IFERROR(VLOOKUP($B934,Agents!$A:$D,2,0),"-")</f>
        <v>Accessibilité</v>
      </c>
      <c r="Q934" s="21" t="n">
        <v>46242</v>
      </c>
      <c r="R934" s="8" t="n">
        <f aca="false">IF(M934="Abs",O934,0)</f>
        <v>0</v>
      </c>
      <c r="S934" s="8" t="n">
        <f aca="false">SUM(R934,L934,I934,J934,W934,H934)</f>
        <v>0</v>
      </c>
      <c r="T934" s="6" t="str">
        <f aca="false">"Sem - "&amp;WEEKNUM(Q934,21)</f>
        <v>Sem - 32</v>
      </c>
      <c r="U934" s="6" t="str">
        <f aca="false">CHOOSE(MONTH(Q934),"Janvier","Février","Mars","Avril","Mai","Juin","Juillet","Août","Septembre","Octobre","Novembre","Décembre")</f>
        <v>Août</v>
      </c>
      <c r="V934" s="22" t="n">
        <f aca="false">YEAR(Q934)</f>
        <v>2026</v>
      </c>
      <c r="W934" s="20"/>
      <c r="X934" s="8" t="n">
        <f aca="false">IFERROR(IF(M934="Abs",0,IF(ROUND((D934-C934+E934-F934)*1440,0)&lt;=1,0,D934-C934+E934-F934)),0)</f>
        <v>0</v>
      </c>
      <c r="Y934" s="6" t="str">
        <f aca="false">IFERROR(VLOOKUP($B934,Agents!$A:$D,3,0),"-")</f>
        <v>OUBRAHIM Mohammed</v>
      </c>
      <c r="Z934" s="6" t="str">
        <f aca="false">IFERROR(VLOOKUP($B934,Agents!$A:$D,4,0),"-")</f>
        <v>Credit Mutuel</v>
      </c>
      <c r="AA934" s="18" t="s">
        <v>114</v>
      </c>
      <c r="AB934" s="8" t="str">
        <f aca="false">IF(AND(D934="Congé",F934="Congé"),0.333333333333333,IF(OR(AND(D934="Congé",F934&lt;&gt;"Congé"),(AND(F934="Congé",D934&lt;&gt;"Congé"))),0.166666666666667,""))</f>
        <v/>
      </c>
      <c r="AC934" s="8" t="str">
        <f aca="false">IF(AND(D934="Congé sans solde",F934="Congé sans solde"),0.333333333333333,IF(OR(AND(D934="Congé sans solde",F934&lt;&gt;"Congé sans solde"),(AND(F934="Congé sans solde",D934&lt;&gt;"Congé sans solde"))),0.166666666666667,""))</f>
        <v/>
      </c>
      <c r="AD934" s="8" t="str">
        <f aca="false">IF(AND(D934="Congé spécial",F934="Congé spécial"),0.333333333333333,IF(OR(AND(D934="Congé spécial",F934&lt;&gt;"Congé spécial"),AND(F934="Congé spécial",D934&lt;&gt;"Congé spécial")),0.166666666666667,""))</f>
        <v/>
      </c>
      <c r="AE934" s="8" t="str">
        <f aca="false">IF(AND(D934="Férié",F934="Férié"),0.333333333333333,IF(OR(AND(D934="Férié",F934&lt;&gt;"Férié"),(AND(F934="Férié",D934&lt;&gt;"Férié"))),0.166666666666667,""))</f>
        <v/>
      </c>
      <c r="AF934" s="18"/>
      <c r="AG934" s="18"/>
    </row>
    <row r="935" customFormat="false" ht="15" hidden="false" customHeight="false" outlineLevel="0" collapsed="false">
      <c r="A935" s="6" t="str">
        <f aca="false">YEAR(Q935-WEEKDAY(Q935,2)+4)&amp;"-S"&amp;TEXT(WEEKNUM(Q935,21),"00")</f>
        <v>2026-S32</v>
      </c>
      <c r="B935" s="18" t="s">
        <v>72</v>
      </c>
      <c r="C935" s="19"/>
      <c r="D935" s="19" t="s">
        <v>74</v>
      </c>
      <c r="E935" s="19"/>
      <c r="F935" s="19" t="s">
        <v>74</v>
      </c>
      <c r="G935" s="20"/>
      <c r="H935" s="20"/>
      <c r="I935" s="8" t="str">
        <f aca="false">IF(IF(OR(C935="",D935="Congé",D935="OFF",D935="Congé spécial"),"",IF(D935&gt;F935,D935-C935,IF(C935-D935&lt;0,0,C935-D935)))&lt;0.00068287037037037,"",IF(OR(D935="Congé",D935="OFF",C935="",D935="Congé spécial"),"",IF(D935&gt;F935,D935-C935,IF(C935-D935&lt;0,0,C935-D935))))</f>
        <v/>
      </c>
      <c r="J935" s="20"/>
      <c r="K935" s="8" t="n">
        <f aca="false">IF(SUM(H935:J935)&lt;0.00068287037037037,0,SUM(H935:J935))</f>
        <v>0</v>
      </c>
      <c r="L935" s="8" t="n">
        <f aca="false">IF(OR(F935="Congé",F935="OFF",M935="Abs",F935="Congé sans solde",F935="Férié",F935="Congé spécial",D935="Congé spécial"),0,IF(F935-E935&lt;0,0,IF(F935-E935&lt;=0.00068287037037037,0,F935-E935)))</f>
        <v>0</v>
      </c>
      <c r="M935" s="6" t="n">
        <f aca="false">IF(AND(O935&lt;&gt;0,C935=""),"Abs",0)</f>
        <v>0</v>
      </c>
      <c r="N935" s="8" t="str">
        <f aca="false">IFERROR(IF(OR(D935="OFF",D935="Congé",M935="Abs",D935="Congé sans solde",D935="Férié"),"",IF(O935-K935-L935&gt;O935,O935,IF(O935-K935-L935&lt;0,"",O935-K935-L935))),"")</f>
        <v/>
      </c>
      <c r="O935" s="8" t="n">
        <f aca="false">IF(AG935="2H Pause déjeuner",IF(F935-D935-0.0833333333333333&lt;0,F935-D935-0.0833333333333333+1,F935-D935-0.0833333333333333),IF(OR(AND(F935="OFF",D935="OFF"),AND(F935="Congé",D935="Congé"),AND(F935="Congé sans solde",D935="Congé sans solde"),AND(F935="Congé spécial",D935="Congé spécial"),AND(F935="Férié",D935="Férié"),AND(F935="OFF",D935="Congé"),AND(F935="OFF",D935="Congé sans solde"),AND(F935="OFF",D935="Congé spécial"),AND(F935="OFF",D935="Férié"),AND(F935="Congé",D935="OFF"),AND(F935="Congé",D935="Congé sans solde"),AND(F935="Congé",D935="Congé spécial"),AND(F935="Congé",D935="Férié"),AND(F935="Congé sans solde",D935="OFF"),AND(F935="Congé sans solde",D935="Congé"),AND(F935="Congé sans solde",D935="Congé spécial"),AND(F935="Congé sans solde",D935="Férié"),AND(F935="Congé spécial",D935="OFF"),AND(F935="Congé spécial",D935="Congé"),AND(F935="Congé spécial",D935="Congé sans solde"),AND(F935="Congé spécial",D935="Férié"),AND(F935="Férié",D935="OFF"),AND(F935="Férié",D935="Congé"),AND(F935="Férié",D935="Congé sans solde"),AND(F935="Férié",D935="Congé spécial")),0,IF(OR(F935="OFF",F935="Congé",F935="Congé spécial",F935="Congé sans solde",D935="OFF",D935="Congé",D935="Congé spécial",D935="Congé sans solde"),0.208333333333334,IF(AND(AG935="",F935-D935&lt;0),("24:00:00"-D935)+("00:00:00"+F935)-0.0416666666666667,IF(AND(OR(AG935="Allaitement",AG935="Sans déjeuner"),F935-D935&lt;0),("24:00:00"-D935)+("00:00:00"+F935),IF(AND(AG935="",F935-D935&gt;0.166666666666667),F935-D935-0.0416666666666667,IF(AND(OR(AG935="Allaitement",AG935="Sans déjeuner"),F935-D935&gt;0.166666666666667),F935-D935,F935-D935)))))))</f>
        <v>0</v>
      </c>
      <c r="P935" s="6" t="str">
        <f aca="false">IFERROR(VLOOKUP($B935,Agents!$A:$D,2,0),"-")</f>
        <v>Accessibilité</v>
      </c>
      <c r="Q935" s="21" t="n">
        <v>46242</v>
      </c>
      <c r="R935" s="8" t="n">
        <f aca="false">IF(M935="Abs",O935,0)</f>
        <v>0</v>
      </c>
      <c r="S935" s="8" t="n">
        <f aca="false">SUM(R935,L935,I935,J935,W935,H935)</f>
        <v>0</v>
      </c>
      <c r="T935" s="6" t="str">
        <f aca="false">"Sem - "&amp;WEEKNUM(Q935,21)</f>
        <v>Sem - 32</v>
      </c>
      <c r="U935" s="6" t="str">
        <f aca="false">CHOOSE(MONTH(Q935),"Janvier","Février","Mars","Avril","Mai","Juin","Juillet","Août","Septembre","Octobre","Novembre","Décembre")</f>
        <v>Août</v>
      </c>
      <c r="V935" s="22" t="n">
        <f aca="false">YEAR(Q935)</f>
        <v>2026</v>
      </c>
      <c r="W935" s="20"/>
      <c r="X935" s="8" t="n">
        <f aca="false">IFERROR(IF(M935="Abs",0,IF(ROUND((D935-C935+E935-F935)*1440,0)&lt;=1,0,D935-C935+E935-F935)),0)</f>
        <v>0</v>
      </c>
      <c r="Y935" s="6" t="str">
        <f aca="false">IFERROR(VLOOKUP($B935,Agents!$A:$D,3,0),"-")</f>
        <v>OUBRAHIM Mohammed</v>
      </c>
      <c r="Z935" s="6" t="str">
        <f aca="false">IFERROR(VLOOKUP($B935,Agents!$A:$D,4,0),"-")</f>
        <v>Credit Mutuel</v>
      </c>
      <c r="AA935" s="18" t="s">
        <v>114</v>
      </c>
      <c r="AB935" s="8" t="str">
        <f aca="false">IF(AND(D935="Congé",F935="Congé"),0.333333333333333,IF(OR(AND(D935="Congé",F935&lt;&gt;"Congé"),(AND(F935="Congé",D935&lt;&gt;"Congé"))),0.166666666666667,""))</f>
        <v/>
      </c>
      <c r="AC935" s="8" t="str">
        <f aca="false">IF(AND(D935="Congé sans solde",F935="Congé sans solde"),0.333333333333333,IF(OR(AND(D935="Congé sans solde",F935&lt;&gt;"Congé sans solde"),(AND(F935="Congé sans solde",D935&lt;&gt;"Congé sans solde"))),0.166666666666667,""))</f>
        <v/>
      </c>
      <c r="AD935" s="8" t="str">
        <f aca="false">IF(AND(D935="Congé spécial",F935="Congé spécial"),0.333333333333333,IF(OR(AND(D935="Congé spécial",F935&lt;&gt;"Congé spécial"),AND(F935="Congé spécial",D935&lt;&gt;"Congé spécial")),0.166666666666667,""))</f>
        <v/>
      </c>
      <c r="AE935" s="8" t="str">
        <f aca="false">IF(AND(D935="Férié",F935="Férié"),0.333333333333333,IF(OR(AND(D935="Férié",F935&lt;&gt;"Férié"),(AND(F935="Férié",D935&lt;&gt;"Férié"))),0.166666666666667,""))</f>
        <v/>
      </c>
      <c r="AF935" s="18"/>
      <c r="AG935" s="18"/>
    </row>
    <row r="936" customFormat="false" ht="15" hidden="false" customHeight="false" outlineLevel="0" collapsed="false">
      <c r="A936" s="6" t="str">
        <f aca="false">YEAR(Q936-WEEKDAY(Q936,2)+4)&amp;"-S"&amp;TEXT(WEEKNUM(Q936,21),"00")</f>
        <v>2026-S32</v>
      </c>
      <c r="B936" s="18" t="s">
        <v>73</v>
      </c>
      <c r="C936" s="19"/>
      <c r="D936" s="19" t="s">
        <v>74</v>
      </c>
      <c r="E936" s="19"/>
      <c r="F936" s="19" t="s">
        <v>74</v>
      </c>
      <c r="G936" s="20"/>
      <c r="H936" s="20"/>
      <c r="I936" s="8" t="str">
        <f aca="false">IF(IF(OR(C936="",D936="Congé",D936="OFF",D936="Congé spécial"),"",IF(D936&gt;F936,D936-C936,IF(C936-D936&lt;0,0,C936-D936)))&lt;0.00068287037037037,"",IF(OR(D936="Congé",D936="OFF",C936="",D936="Congé spécial"),"",IF(D936&gt;F936,D936-C936,IF(C936-D936&lt;0,0,C936-D936))))</f>
        <v/>
      </c>
      <c r="J936" s="20"/>
      <c r="K936" s="8" t="n">
        <f aca="false">IF(SUM(H936:J936)&lt;0.00068287037037037,0,SUM(H936:J936))</f>
        <v>0</v>
      </c>
      <c r="L936" s="8" t="n">
        <f aca="false">IF(OR(F936="Congé",F936="OFF",M936="Abs",F936="Congé sans solde",F936="Férié",F936="Congé spécial",D936="Congé spécial"),0,IF(F936-E936&lt;0,0,IF(F936-E936&lt;=0.00068287037037037,0,F936-E936)))</f>
        <v>0</v>
      </c>
      <c r="M936" s="6" t="n">
        <f aca="false">IF(AND(O936&lt;&gt;0,C936=""),"Abs",0)</f>
        <v>0</v>
      </c>
      <c r="N936" s="8" t="str">
        <f aca="false">IFERROR(IF(OR(D936="OFF",D936="Congé",M936="Abs",D936="Congé sans solde",D936="Férié"),"",IF(O936-K936-L936&gt;O936,O936,IF(O936-K936-L936&lt;0,"",O936-K936-L936))),"")</f>
        <v/>
      </c>
      <c r="O936" s="8" t="n">
        <f aca="false">IF(AG936="2H Pause déjeuner",IF(F936-D936-0.0833333333333333&lt;0,F936-D936-0.0833333333333333+1,F936-D936-0.0833333333333333),IF(OR(AND(F936="OFF",D936="OFF"),AND(F936="Congé",D936="Congé"),AND(F936="Congé sans solde",D936="Congé sans solde"),AND(F936="Congé spécial",D936="Congé spécial"),AND(F936="Férié",D936="Férié"),AND(F936="OFF",D936="Congé"),AND(F936="OFF",D936="Congé sans solde"),AND(F936="OFF",D936="Congé spécial"),AND(F936="OFF",D936="Férié"),AND(F936="Congé",D936="OFF"),AND(F936="Congé",D936="Congé sans solde"),AND(F936="Congé",D936="Congé spécial"),AND(F936="Congé",D936="Férié"),AND(F936="Congé sans solde",D936="OFF"),AND(F936="Congé sans solde",D936="Congé"),AND(F936="Congé sans solde",D936="Congé spécial"),AND(F936="Congé sans solde",D936="Férié"),AND(F936="Congé spécial",D936="OFF"),AND(F936="Congé spécial",D936="Congé"),AND(F936="Congé spécial",D936="Congé sans solde"),AND(F936="Congé spécial",D936="Férié"),AND(F936="Férié",D936="OFF"),AND(F936="Férié",D936="Congé"),AND(F936="Férié",D936="Congé sans solde"),AND(F936="Férié",D936="Congé spécial")),0,IF(OR(F936="OFF",F936="Congé",F936="Congé spécial",F936="Congé sans solde",D936="OFF",D936="Congé",D936="Congé spécial",D936="Congé sans solde"),0.208333333333334,IF(AND(AG936="",F936-D936&lt;0),("24:00:00"-D936)+("00:00:00"+F936)-0.0416666666666667,IF(AND(OR(AG936="Allaitement",AG936="Sans déjeuner"),F936-D936&lt;0),("24:00:00"-D936)+("00:00:00"+F936),IF(AND(AG936="",F936-D936&gt;0.166666666666667),F936-D936-0.0416666666666667,IF(AND(OR(AG936="Allaitement",AG936="Sans déjeuner"),F936-D936&gt;0.166666666666667),F936-D936,F936-D936)))))))</f>
        <v>0</v>
      </c>
      <c r="P936" s="6" t="str">
        <f aca="false">IFERROR(VLOOKUP($B936,Agents!$A:$D,2,0),"-")</f>
        <v>Accessibilité</v>
      </c>
      <c r="Q936" s="21" t="n">
        <v>46242</v>
      </c>
      <c r="R936" s="8" t="n">
        <f aca="false">IF(M936="Abs",O936,0)</f>
        <v>0</v>
      </c>
      <c r="S936" s="8" t="n">
        <f aca="false">SUM(R936,L936,I936,J936,W936,H936)</f>
        <v>0</v>
      </c>
      <c r="T936" s="6" t="str">
        <f aca="false">"Sem - "&amp;WEEKNUM(Q936,21)</f>
        <v>Sem - 32</v>
      </c>
      <c r="U936" s="6" t="str">
        <f aca="false">CHOOSE(MONTH(Q936),"Janvier","Février","Mars","Avril","Mai","Juin","Juillet","Août","Septembre","Octobre","Novembre","Décembre")</f>
        <v>Août</v>
      </c>
      <c r="V936" s="22" t="n">
        <f aca="false">YEAR(Q936)</f>
        <v>2026</v>
      </c>
      <c r="W936" s="20"/>
      <c r="X936" s="8" t="n">
        <f aca="false">IFERROR(IF(M936="Abs",0,IF(ROUND((D936-C936+E936-F936)*1440,0)&lt;=1,0,D936-C936+E936-F936)),0)</f>
        <v>0</v>
      </c>
      <c r="Y936" s="6" t="str">
        <f aca="false">IFERROR(VLOOKUP($B936,Agents!$A:$D,3,0),"-")</f>
        <v>OUBRAHIM Mohammed</v>
      </c>
      <c r="Z936" s="6" t="str">
        <f aca="false">IFERROR(VLOOKUP($B936,Agents!$A:$D,4,0),"-")</f>
        <v>Credit Mutuel</v>
      </c>
      <c r="AA936" s="18" t="s">
        <v>114</v>
      </c>
      <c r="AB936" s="8" t="str">
        <f aca="false">IF(AND(D936="Congé",F936="Congé"),0.333333333333333,IF(OR(AND(D936="Congé",F936&lt;&gt;"Congé"),(AND(F936="Congé",D936&lt;&gt;"Congé"))),0.166666666666667,""))</f>
        <v/>
      </c>
      <c r="AC936" s="8" t="str">
        <f aca="false">IF(AND(D936="Congé sans solde",F936="Congé sans solde"),0.333333333333333,IF(OR(AND(D936="Congé sans solde",F936&lt;&gt;"Congé sans solde"),(AND(F936="Congé sans solde",D936&lt;&gt;"Congé sans solde"))),0.166666666666667,""))</f>
        <v/>
      </c>
      <c r="AD936" s="8" t="str">
        <f aca="false">IF(AND(D936="Congé spécial",F936="Congé spécial"),0.333333333333333,IF(OR(AND(D936="Congé spécial",F936&lt;&gt;"Congé spécial"),AND(F936="Congé spécial",D936&lt;&gt;"Congé spécial")),0.166666666666667,""))</f>
        <v/>
      </c>
      <c r="AE936" s="8" t="str">
        <f aca="false">IF(AND(D936="Férié",F936="Férié"),0.333333333333333,IF(OR(AND(D936="Férié",F936&lt;&gt;"Férié"),(AND(F936="Férié",D936&lt;&gt;"Férié"))),0.166666666666667,""))</f>
        <v/>
      </c>
      <c r="AF936" s="18"/>
      <c r="AG936" s="18"/>
    </row>
    <row r="937" customFormat="false" ht="15" hidden="false" customHeight="false" outlineLevel="0" collapsed="false">
      <c r="A937" s="6" t="str">
        <f aca="false">YEAR(Q937-WEEKDAY(Q937,2)+4)&amp;"-S"&amp;TEXT(WEEKNUM(Q937,21),"00")</f>
        <v>2026-S32</v>
      </c>
      <c r="B937" s="18" t="s">
        <v>71</v>
      </c>
      <c r="C937" s="19"/>
      <c r="D937" s="19" t="s">
        <v>74</v>
      </c>
      <c r="E937" s="19"/>
      <c r="F937" s="19" t="s">
        <v>74</v>
      </c>
      <c r="G937" s="20"/>
      <c r="H937" s="20"/>
      <c r="I937" s="8" t="str">
        <f aca="false">IF(IF(OR(C937="",D937="Congé",D937="OFF",D937="Congé spécial"),"",IF(D937&gt;F937,D937-C937,IF(C937-D937&lt;0,0,C937-D937)))&lt;0.00068287037037037,"",IF(OR(D937="Congé",D937="OFF",C937="",D937="Congé spécial"),"",IF(D937&gt;F937,D937-C937,IF(C937-D937&lt;0,0,C937-D937))))</f>
        <v/>
      </c>
      <c r="J937" s="20"/>
      <c r="K937" s="8" t="n">
        <f aca="false">IF(SUM(H937:J937)&lt;0.00068287037037037,0,SUM(H937:J937))</f>
        <v>0</v>
      </c>
      <c r="L937" s="8" t="n">
        <f aca="false">IF(OR(F937="Congé",F937="OFF",M937="Abs",F937="Congé sans solde",F937="Férié",F937="Congé spécial",D937="Congé spécial"),0,IF(F937-E937&lt;0,0,IF(F937-E937&lt;=0.00068287037037037,0,F937-E937)))</f>
        <v>0</v>
      </c>
      <c r="M937" s="6" t="n">
        <f aca="false">IF(AND(O937&lt;&gt;0,C937=""),"Abs",0)</f>
        <v>0</v>
      </c>
      <c r="N937" s="8" t="str">
        <f aca="false">IFERROR(IF(OR(D937="OFF",D937="Congé",M937="Abs",D937="Congé sans solde",D937="Férié"),"",IF(O937-K937-L937&gt;O937,O937,IF(O937-K937-L937&lt;0,"",O937-K937-L937))),"")</f>
        <v/>
      </c>
      <c r="O937" s="8" t="n">
        <f aca="false">IF(AG937="2H Pause déjeuner",IF(F937-D937-0.0833333333333333&lt;0,F937-D937-0.0833333333333333+1,F937-D937-0.0833333333333333),IF(OR(AND(F937="OFF",D937="OFF"),AND(F937="Congé",D937="Congé"),AND(F937="Congé sans solde",D937="Congé sans solde"),AND(F937="Congé spécial",D937="Congé spécial"),AND(F937="Férié",D937="Férié"),AND(F937="OFF",D937="Congé"),AND(F937="OFF",D937="Congé sans solde"),AND(F937="OFF",D937="Congé spécial"),AND(F937="OFF",D937="Férié"),AND(F937="Congé",D937="OFF"),AND(F937="Congé",D937="Congé sans solde"),AND(F937="Congé",D937="Congé spécial"),AND(F937="Congé",D937="Férié"),AND(F937="Congé sans solde",D937="OFF"),AND(F937="Congé sans solde",D937="Congé"),AND(F937="Congé sans solde",D937="Congé spécial"),AND(F937="Congé sans solde",D937="Férié"),AND(F937="Congé spécial",D937="OFF"),AND(F937="Congé spécial",D937="Congé"),AND(F937="Congé spécial",D937="Congé sans solde"),AND(F937="Congé spécial",D937="Férié"),AND(F937="Férié",D937="OFF"),AND(F937="Férié",D937="Congé"),AND(F937="Férié",D937="Congé sans solde"),AND(F937="Férié",D937="Congé spécial")),0,IF(OR(F937="OFF",F937="Congé",F937="Congé spécial",F937="Congé sans solde",D937="OFF",D937="Congé",D937="Congé spécial",D937="Congé sans solde"),0.208333333333334,IF(AND(AG937="",F937-D937&lt;0),("24:00:00"-D937)+("00:00:00"+F937)-0.0416666666666667,IF(AND(OR(AG937="Allaitement",AG937="Sans déjeuner"),F937-D937&lt;0),("24:00:00"-D937)+("00:00:00"+F937),IF(AND(AG937="",F937-D937&gt;0.166666666666667),F937-D937-0.0416666666666667,IF(AND(OR(AG937="Allaitement",AG937="Sans déjeuner"),F937-D937&gt;0.166666666666667),F937-D937,F937-D937)))))))</f>
        <v>0</v>
      </c>
      <c r="P937" s="6" t="str">
        <f aca="false">IFERROR(VLOOKUP($B937,Agents!$A:$D,2,0),"-")</f>
        <v>Accessibilité</v>
      </c>
      <c r="Q937" s="21" t="n">
        <v>46243</v>
      </c>
      <c r="R937" s="8" t="n">
        <f aca="false">IF(M937="Abs",O937,0)</f>
        <v>0</v>
      </c>
      <c r="S937" s="8" t="n">
        <f aca="false">SUM(R937,L937,I937,J937,W937,H937)</f>
        <v>0</v>
      </c>
      <c r="T937" s="6" t="str">
        <f aca="false">"Sem - "&amp;WEEKNUM(Q937,21)</f>
        <v>Sem - 32</v>
      </c>
      <c r="U937" s="6" t="str">
        <f aca="false">CHOOSE(MONTH(Q937),"Janvier","Février","Mars","Avril","Mai","Juin","Juillet","Août","Septembre","Octobre","Novembre","Décembre")</f>
        <v>Août</v>
      </c>
      <c r="V937" s="22" t="n">
        <f aca="false">YEAR(Q937)</f>
        <v>2026</v>
      </c>
      <c r="W937" s="20"/>
      <c r="X937" s="8" t="n">
        <f aca="false">IFERROR(IF(M937="Abs",0,IF(ROUND((D937-C937+E937-F937)*1440,0)&lt;=1,0,D937-C937+E937-F937)),0)</f>
        <v>0</v>
      </c>
      <c r="Y937" s="6" t="str">
        <f aca="false">IFERROR(VLOOKUP($B937,Agents!$A:$D,3,0),"-")</f>
        <v>OUBRAHIM Mohammed</v>
      </c>
      <c r="Z937" s="6" t="str">
        <f aca="false">IFERROR(VLOOKUP($B937,Agents!$A:$D,4,0),"-")</f>
        <v>Credit Mutuel</v>
      </c>
      <c r="AA937" s="18" t="s">
        <v>114</v>
      </c>
      <c r="AB937" s="8" t="str">
        <f aca="false">IF(AND(D937="Congé",F937="Congé"),0.333333333333333,IF(OR(AND(D937="Congé",F937&lt;&gt;"Congé"),(AND(F937="Congé",D937&lt;&gt;"Congé"))),0.166666666666667,""))</f>
        <v/>
      </c>
      <c r="AC937" s="8" t="str">
        <f aca="false">IF(AND(D937="Congé sans solde",F937="Congé sans solde"),0.333333333333333,IF(OR(AND(D937="Congé sans solde",F937&lt;&gt;"Congé sans solde"),(AND(F937="Congé sans solde",D937&lt;&gt;"Congé sans solde"))),0.166666666666667,""))</f>
        <v/>
      </c>
      <c r="AD937" s="8" t="str">
        <f aca="false">IF(AND(D937="Congé spécial",F937="Congé spécial"),0.333333333333333,IF(OR(AND(D937="Congé spécial",F937&lt;&gt;"Congé spécial"),AND(F937="Congé spécial",D937&lt;&gt;"Congé spécial")),0.166666666666667,""))</f>
        <v/>
      </c>
      <c r="AE937" s="8" t="str">
        <f aca="false">IF(AND(D937="Férié",F937="Férié"),0.333333333333333,IF(OR(AND(D937="Férié",F937&lt;&gt;"Férié"),(AND(F937="Férié",D937&lt;&gt;"Férié"))),0.166666666666667,""))</f>
        <v/>
      </c>
      <c r="AF937" s="18"/>
      <c r="AG937" s="18"/>
    </row>
    <row r="938" customFormat="false" ht="15" hidden="false" customHeight="false" outlineLevel="0" collapsed="false">
      <c r="A938" s="6" t="str">
        <f aca="false">YEAR(Q938-WEEKDAY(Q938,2)+4)&amp;"-S"&amp;TEXT(WEEKNUM(Q938,21),"00")</f>
        <v>2026-S32</v>
      </c>
      <c r="B938" s="18" t="s">
        <v>72</v>
      </c>
      <c r="C938" s="19"/>
      <c r="D938" s="19" t="s">
        <v>74</v>
      </c>
      <c r="E938" s="19"/>
      <c r="F938" s="19" t="s">
        <v>74</v>
      </c>
      <c r="G938" s="20"/>
      <c r="H938" s="20"/>
      <c r="I938" s="8" t="str">
        <f aca="false">IF(IF(OR(C938="",D938="Congé",D938="OFF",D938="Congé spécial"),"",IF(D938&gt;F938,D938-C938,IF(C938-D938&lt;0,0,C938-D938)))&lt;0.00068287037037037,"",IF(OR(D938="Congé",D938="OFF",C938="",D938="Congé spécial"),"",IF(D938&gt;F938,D938-C938,IF(C938-D938&lt;0,0,C938-D938))))</f>
        <v/>
      </c>
      <c r="J938" s="20"/>
      <c r="K938" s="8" t="n">
        <f aca="false">IF(SUM(H938:J938)&lt;0.00068287037037037,0,SUM(H938:J938))</f>
        <v>0</v>
      </c>
      <c r="L938" s="8" t="n">
        <f aca="false">IF(OR(F938="Congé",F938="OFF",M938="Abs",F938="Congé sans solde",F938="Férié",F938="Congé spécial",D938="Congé spécial"),0,IF(F938-E938&lt;0,0,IF(F938-E938&lt;=0.00068287037037037,0,F938-E938)))</f>
        <v>0</v>
      </c>
      <c r="M938" s="6" t="n">
        <f aca="false">IF(AND(O938&lt;&gt;0,C938=""),"Abs",0)</f>
        <v>0</v>
      </c>
      <c r="N938" s="8" t="str">
        <f aca="false">IFERROR(IF(OR(D938="OFF",D938="Congé",M938="Abs",D938="Congé sans solde",D938="Férié"),"",IF(O938-K938-L938&gt;O938,O938,IF(O938-K938-L938&lt;0,"",O938-K938-L938))),"")</f>
        <v/>
      </c>
      <c r="O938" s="8" t="n">
        <f aca="false">IF(AG938="2H Pause déjeuner",IF(F938-D938-0.0833333333333333&lt;0,F938-D938-0.0833333333333333+1,F938-D938-0.0833333333333333),IF(OR(AND(F938="OFF",D938="OFF"),AND(F938="Congé",D938="Congé"),AND(F938="Congé sans solde",D938="Congé sans solde"),AND(F938="Congé spécial",D938="Congé spécial"),AND(F938="Férié",D938="Férié"),AND(F938="OFF",D938="Congé"),AND(F938="OFF",D938="Congé sans solde"),AND(F938="OFF",D938="Congé spécial"),AND(F938="OFF",D938="Férié"),AND(F938="Congé",D938="OFF"),AND(F938="Congé",D938="Congé sans solde"),AND(F938="Congé",D938="Congé spécial"),AND(F938="Congé",D938="Férié"),AND(F938="Congé sans solde",D938="OFF"),AND(F938="Congé sans solde",D938="Congé"),AND(F938="Congé sans solde",D938="Congé spécial"),AND(F938="Congé sans solde",D938="Férié"),AND(F938="Congé spécial",D938="OFF"),AND(F938="Congé spécial",D938="Congé"),AND(F938="Congé spécial",D938="Congé sans solde"),AND(F938="Congé spécial",D938="Férié"),AND(F938="Férié",D938="OFF"),AND(F938="Férié",D938="Congé"),AND(F938="Férié",D938="Congé sans solde"),AND(F938="Férié",D938="Congé spécial")),0,IF(OR(F938="OFF",F938="Congé",F938="Congé spécial",F938="Congé sans solde",D938="OFF",D938="Congé",D938="Congé spécial",D938="Congé sans solde"),0.208333333333334,IF(AND(AG938="",F938-D938&lt;0),("24:00:00"-D938)+("00:00:00"+F938)-0.0416666666666667,IF(AND(OR(AG938="Allaitement",AG938="Sans déjeuner"),F938-D938&lt;0),("24:00:00"-D938)+("00:00:00"+F938),IF(AND(AG938="",F938-D938&gt;0.166666666666667),F938-D938-0.0416666666666667,IF(AND(OR(AG938="Allaitement",AG938="Sans déjeuner"),F938-D938&gt;0.166666666666667),F938-D938,F938-D938)))))))</f>
        <v>0</v>
      </c>
      <c r="P938" s="6" t="str">
        <f aca="false">IFERROR(VLOOKUP($B938,Agents!$A:$D,2,0),"-")</f>
        <v>Accessibilité</v>
      </c>
      <c r="Q938" s="21" t="n">
        <v>46243</v>
      </c>
      <c r="R938" s="8" t="n">
        <f aca="false">IF(M938="Abs",O938,0)</f>
        <v>0</v>
      </c>
      <c r="S938" s="8" t="n">
        <f aca="false">SUM(R938,L938,I938,J938,W938,H938)</f>
        <v>0</v>
      </c>
      <c r="T938" s="6" t="str">
        <f aca="false">"Sem - "&amp;WEEKNUM(Q938,21)</f>
        <v>Sem - 32</v>
      </c>
      <c r="U938" s="6" t="str">
        <f aca="false">CHOOSE(MONTH(Q938),"Janvier","Février","Mars","Avril","Mai","Juin","Juillet","Août","Septembre","Octobre","Novembre","Décembre")</f>
        <v>Août</v>
      </c>
      <c r="V938" s="22" t="n">
        <f aca="false">YEAR(Q938)</f>
        <v>2026</v>
      </c>
      <c r="W938" s="20"/>
      <c r="X938" s="8" t="n">
        <f aca="false">IFERROR(IF(M938="Abs",0,IF(ROUND((D938-C938+E938-F938)*1440,0)&lt;=1,0,D938-C938+E938-F938)),0)</f>
        <v>0</v>
      </c>
      <c r="Y938" s="6" t="str">
        <f aca="false">IFERROR(VLOOKUP($B938,Agents!$A:$D,3,0),"-")</f>
        <v>OUBRAHIM Mohammed</v>
      </c>
      <c r="Z938" s="6" t="str">
        <f aca="false">IFERROR(VLOOKUP($B938,Agents!$A:$D,4,0),"-")</f>
        <v>Credit Mutuel</v>
      </c>
      <c r="AA938" s="18" t="s">
        <v>114</v>
      </c>
      <c r="AB938" s="8" t="str">
        <f aca="false">IF(AND(D938="Congé",F938="Congé"),0.333333333333333,IF(OR(AND(D938="Congé",F938&lt;&gt;"Congé"),(AND(F938="Congé",D938&lt;&gt;"Congé"))),0.166666666666667,""))</f>
        <v/>
      </c>
      <c r="AC938" s="8" t="str">
        <f aca="false">IF(AND(D938="Congé sans solde",F938="Congé sans solde"),0.333333333333333,IF(OR(AND(D938="Congé sans solde",F938&lt;&gt;"Congé sans solde"),(AND(F938="Congé sans solde",D938&lt;&gt;"Congé sans solde"))),0.166666666666667,""))</f>
        <v/>
      </c>
      <c r="AD938" s="8" t="str">
        <f aca="false">IF(AND(D938="Congé spécial",F938="Congé spécial"),0.333333333333333,IF(OR(AND(D938="Congé spécial",F938&lt;&gt;"Congé spécial"),AND(F938="Congé spécial",D938&lt;&gt;"Congé spécial")),0.166666666666667,""))</f>
        <v/>
      </c>
      <c r="AE938" s="8" t="str">
        <f aca="false">IF(AND(D938="Férié",F938="Férié"),0.333333333333333,IF(OR(AND(D938="Férié",F938&lt;&gt;"Férié"),(AND(F938="Férié",D938&lt;&gt;"Férié"))),0.166666666666667,""))</f>
        <v/>
      </c>
      <c r="AF938" s="18"/>
      <c r="AG938" s="18"/>
    </row>
    <row r="939" customFormat="false" ht="15" hidden="false" customHeight="false" outlineLevel="0" collapsed="false">
      <c r="A939" s="6" t="str">
        <f aca="false">YEAR(Q939-WEEKDAY(Q939,2)+4)&amp;"-S"&amp;TEXT(WEEKNUM(Q939,21),"00")</f>
        <v>2026-S32</v>
      </c>
      <c r="B939" s="18" t="s">
        <v>73</v>
      </c>
      <c r="C939" s="19"/>
      <c r="D939" s="19" t="s">
        <v>74</v>
      </c>
      <c r="E939" s="19"/>
      <c r="F939" s="19" t="s">
        <v>74</v>
      </c>
      <c r="G939" s="20"/>
      <c r="H939" s="20"/>
      <c r="I939" s="8" t="str">
        <f aca="false">IF(IF(OR(C939="",D939="Congé",D939="OFF",D939="Congé spécial"),"",IF(D939&gt;F939,D939-C939,IF(C939-D939&lt;0,0,C939-D939)))&lt;0.00068287037037037,"",IF(OR(D939="Congé",D939="OFF",C939="",D939="Congé spécial"),"",IF(D939&gt;F939,D939-C939,IF(C939-D939&lt;0,0,C939-D939))))</f>
        <v/>
      </c>
      <c r="J939" s="20"/>
      <c r="K939" s="8" t="n">
        <f aca="false">IF(SUM(H939:J939)&lt;0.00068287037037037,0,SUM(H939:J939))</f>
        <v>0</v>
      </c>
      <c r="L939" s="8" t="n">
        <f aca="false">IF(OR(F939="Congé",F939="OFF",M939="Abs",F939="Congé sans solde",F939="Férié",F939="Congé spécial",D939="Congé spécial"),0,IF(F939-E939&lt;0,0,IF(F939-E939&lt;=0.00068287037037037,0,F939-E939)))</f>
        <v>0</v>
      </c>
      <c r="M939" s="6" t="n">
        <f aca="false">IF(AND(O939&lt;&gt;0,C939=""),"Abs",0)</f>
        <v>0</v>
      </c>
      <c r="N939" s="8" t="str">
        <f aca="false">IFERROR(IF(OR(D939="OFF",D939="Congé",M939="Abs",D939="Congé sans solde",D939="Férié"),"",IF(O939-K939-L939&gt;O939,O939,IF(O939-K939-L939&lt;0,"",O939-K939-L939))),"")</f>
        <v/>
      </c>
      <c r="O939" s="8" t="n">
        <f aca="false">IF(AG939="2H Pause déjeuner",IF(F939-D939-0.0833333333333333&lt;0,F939-D939-0.0833333333333333+1,F939-D939-0.0833333333333333),IF(OR(AND(F939="OFF",D939="OFF"),AND(F939="Congé",D939="Congé"),AND(F939="Congé sans solde",D939="Congé sans solde"),AND(F939="Congé spécial",D939="Congé spécial"),AND(F939="Férié",D939="Férié"),AND(F939="OFF",D939="Congé"),AND(F939="OFF",D939="Congé sans solde"),AND(F939="OFF",D939="Congé spécial"),AND(F939="OFF",D939="Férié"),AND(F939="Congé",D939="OFF"),AND(F939="Congé",D939="Congé sans solde"),AND(F939="Congé",D939="Congé spécial"),AND(F939="Congé",D939="Férié"),AND(F939="Congé sans solde",D939="OFF"),AND(F939="Congé sans solde",D939="Congé"),AND(F939="Congé sans solde",D939="Congé spécial"),AND(F939="Congé sans solde",D939="Férié"),AND(F939="Congé spécial",D939="OFF"),AND(F939="Congé spécial",D939="Congé"),AND(F939="Congé spécial",D939="Congé sans solde"),AND(F939="Congé spécial",D939="Férié"),AND(F939="Férié",D939="OFF"),AND(F939="Férié",D939="Congé"),AND(F939="Férié",D939="Congé sans solde"),AND(F939="Férié",D939="Congé spécial")),0,IF(OR(F939="OFF",F939="Congé",F939="Congé spécial",F939="Congé sans solde",D939="OFF",D939="Congé",D939="Congé spécial",D939="Congé sans solde"),0.208333333333334,IF(AND(AG939="",F939-D939&lt;0),("24:00:00"-D939)+("00:00:00"+F939)-0.0416666666666667,IF(AND(OR(AG939="Allaitement",AG939="Sans déjeuner"),F939-D939&lt;0),("24:00:00"-D939)+("00:00:00"+F939),IF(AND(AG939="",F939-D939&gt;0.166666666666667),F939-D939-0.0416666666666667,IF(AND(OR(AG939="Allaitement",AG939="Sans déjeuner"),F939-D939&gt;0.166666666666667),F939-D939,F939-D939)))))))</f>
        <v>0</v>
      </c>
      <c r="P939" s="6" t="str">
        <f aca="false">IFERROR(VLOOKUP($B939,Agents!$A:$D,2,0),"-")</f>
        <v>Accessibilité</v>
      </c>
      <c r="Q939" s="21" t="n">
        <v>46243</v>
      </c>
      <c r="R939" s="8" t="n">
        <f aca="false">IF(M939="Abs",O939,0)</f>
        <v>0</v>
      </c>
      <c r="S939" s="8" t="n">
        <f aca="false">SUM(R939,L939,I939,J939,W939,H939)</f>
        <v>0</v>
      </c>
      <c r="T939" s="6" t="str">
        <f aca="false">"Sem - "&amp;WEEKNUM(Q939,21)</f>
        <v>Sem - 32</v>
      </c>
      <c r="U939" s="6" t="str">
        <f aca="false">CHOOSE(MONTH(Q939),"Janvier","Février","Mars","Avril","Mai","Juin","Juillet","Août","Septembre","Octobre","Novembre","Décembre")</f>
        <v>Août</v>
      </c>
      <c r="V939" s="22" t="n">
        <f aca="false">YEAR(Q939)</f>
        <v>2026</v>
      </c>
      <c r="W939" s="20"/>
      <c r="X939" s="8" t="n">
        <f aca="false">IFERROR(IF(M939="Abs",0,IF(ROUND((D939-C939+E939-F939)*1440,0)&lt;=1,0,D939-C939+E939-F939)),0)</f>
        <v>0</v>
      </c>
      <c r="Y939" s="6" t="str">
        <f aca="false">IFERROR(VLOOKUP($B939,Agents!$A:$D,3,0),"-")</f>
        <v>OUBRAHIM Mohammed</v>
      </c>
      <c r="Z939" s="6" t="str">
        <f aca="false">IFERROR(VLOOKUP($B939,Agents!$A:$D,4,0),"-")</f>
        <v>Credit Mutuel</v>
      </c>
      <c r="AA939" s="18" t="s">
        <v>114</v>
      </c>
      <c r="AB939" s="8" t="str">
        <f aca="false">IF(AND(D939="Congé",F939="Congé"),0.333333333333333,IF(OR(AND(D939="Congé",F939&lt;&gt;"Congé"),(AND(F939="Congé",D939&lt;&gt;"Congé"))),0.166666666666667,""))</f>
        <v/>
      </c>
      <c r="AC939" s="8" t="str">
        <f aca="false">IF(AND(D939="Congé sans solde",F939="Congé sans solde"),0.333333333333333,IF(OR(AND(D939="Congé sans solde",F939&lt;&gt;"Congé sans solde"),(AND(F939="Congé sans solde",D939&lt;&gt;"Congé sans solde"))),0.166666666666667,""))</f>
        <v/>
      </c>
      <c r="AD939" s="8" t="str">
        <f aca="false">IF(AND(D939="Congé spécial",F939="Congé spécial"),0.333333333333333,IF(OR(AND(D939="Congé spécial",F939&lt;&gt;"Congé spécial"),AND(F939="Congé spécial",D939&lt;&gt;"Congé spécial")),0.166666666666667,""))</f>
        <v/>
      </c>
      <c r="AE939" s="8" t="str">
        <f aca="false">IF(AND(D939="Férié",F939="Férié"),0.333333333333333,IF(OR(AND(D939="Férié",F939&lt;&gt;"Férié"),(AND(F939="Férié",D939&lt;&gt;"Férié"))),0.166666666666667,""))</f>
        <v/>
      </c>
      <c r="AF939" s="18"/>
      <c r="AG939" s="18"/>
    </row>
    <row r="940" customFormat="false" ht="15" hidden="false" customHeight="false" outlineLevel="0" collapsed="false">
      <c r="A940" s="6" t="str">
        <f aca="false">YEAR(Q940-WEEKDAY(Q940,2)+4)&amp;"-S"&amp;TEXT(WEEKNUM(Q940,21),"00")</f>
        <v>2026-S33</v>
      </c>
      <c r="B940" s="18" t="s">
        <v>71</v>
      </c>
      <c r="C940" s="19" t="n">
        <v>0.33125</v>
      </c>
      <c r="D940" s="19" t="n">
        <v>0.333333333333333</v>
      </c>
      <c r="E940" s="19" t="n">
        <v>0.75</v>
      </c>
      <c r="F940" s="19" t="n">
        <v>0.75</v>
      </c>
      <c r="G940" s="20"/>
      <c r="H940" s="20"/>
      <c r="I940" s="8" t="str">
        <f aca="false">IF(IF(OR(C940="",D940="Congé",D940="OFF",D940="Congé spécial"),"",IF(D940&gt;F940,D940-C940,IF(C940-D940&lt;0,0,C940-D940)))&lt;0.00068287037037037,"",IF(OR(D940="Congé",D940="OFF",C940="",D940="Congé spécial"),"",IF(D940&gt;F940,D940-C940,IF(C940-D940&lt;0,0,C940-D940))))</f>
        <v/>
      </c>
      <c r="J940" s="20"/>
      <c r="K940" s="8" t="n">
        <f aca="false">IF(SUM(H940:J940)&lt;0.00068287037037037,0,SUM(H940:J940))</f>
        <v>0</v>
      </c>
      <c r="L940" s="8" t="n">
        <f aca="false">IF(OR(F940="Congé",F940="OFF",M940="Abs",F940="Congé sans solde",F940="Férié",F940="Congé spécial",D940="Congé spécial"),0,IF(F940-E940&lt;0,0,IF(F940-E940&lt;=0.00068287037037037,0,F940-E940)))</f>
        <v>0</v>
      </c>
      <c r="M940" s="6" t="n">
        <f aca="false">IF(AND(O940&lt;&gt;0,C940=""),"Abs",0)</f>
        <v>0</v>
      </c>
      <c r="N940" s="8" t="n">
        <f aca="false">IFERROR(IF(OR(D940="OFF",D940="Congé",M940="Abs",D940="Congé sans solde",D940="Férié"),"",IF(O940-K940-L940&gt;O940,O940,IF(O940-K940-L940&lt;0,"",O940-K940-L940))),"")</f>
        <v>0.375</v>
      </c>
      <c r="O940" s="8" t="n">
        <f aca="false">IF(AG940="2H Pause déjeuner",IF(F940-D940-0.0833333333333333&lt;0,F940-D940-0.0833333333333333+1,F940-D940-0.0833333333333333),IF(OR(AND(F940="OFF",D940="OFF"),AND(F940="Congé",D940="Congé"),AND(F940="Congé sans solde",D940="Congé sans solde"),AND(F940="Congé spécial",D940="Congé spécial"),AND(F940="Férié",D940="Férié"),AND(F940="OFF",D940="Congé"),AND(F940="OFF",D940="Congé sans solde"),AND(F940="OFF",D940="Congé spécial"),AND(F940="OFF",D940="Férié"),AND(F940="Congé",D940="OFF"),AND(F940="Congé",D940="Congé sans solde"),AND(F940="Congé",D940="Congé spécial"),AND(F940="Congé",D940="Férié"),AND(F940="Congé sans solde",D940="OFF"),AND(F940="Congé sans solde",D940="Congé"),AND(F940="Congé sans solde",D940="Congé spécial"),AND(F940="Congé sans solde",D940="Férié"),AND(F940="Congé spécial",D940="OFF"),AND(F940="Congé spécial",D940="Congé"),AND(F940="Congé spécial",D940="Congé sans solde"),AND(F940="Congé spécial",D940="Férié"),AND(F940="Férié",D940="OFF"),AND(F940="Férié",D940="Congé"),AND(F940="Férié",D940="Congé sans solde"),AND(F940="Férié",D940="Congé spécial")),0,IF(OR(F940="OFF",F940="Congé",F940="Congé spécial",F940="Congé sans solde",D940="OFF",D940="Congé",D940="Congé spécial",D940="Congé sans solde"),0.208333333333334,IF(AND(AG940="",F940-D940&lt;0),("24:00:00"-D940)+("00:00:00"+F940)-0.0416666666666667,IF(AND(OR(AG940="Allaitement",AG940="Sans déjeuner"),F940-D940&lt;0),("24:00:00"-D940)+("00:00:00"+F940),IF(AND(AG940="",F940-D940&gt;0.166666666666667),F940-D940-0.0416666666666667,IF(AND(OR(AG940="Allaitement",AG940="Sans déjeuner"),F940-D940&gt;0.166666666666667),F940-D940,F940-D940)))))))</f>
        <v>0.375</v>
      </c>
      <c r="P940" s="6" t="str">
        <f aca="false">IFERROR(VLOOKUP($B940,Agents!$A:$D,2,0),"-")</f>
        <v>Accessibilité</v>
      </c>
      <c r="Q940" s="21" t="n">
        <v>46244</v>
      </c>
      <c r="R940" s="8" t="n">
        <f aca="false">IF(M940="Abs",O940,0)</f>
        <v>0</v>
      </c>
      <c r="S940" s="8" t="n">
        <f aca="false">SUM(R940,L940,I940,J940,W940,H940)</f>
        <v>0</v>
      </c>
      <c r="T940" s="6" t="str">
        <f aca="false">"Sem - "&amp;WEEKNUM(Q940,21)</f>
        <v>Sem - 33</v>
      </c>
      <c r="U940" s="6" t="str">
        <f aca="false">CHOOSE(MONTH(Q940),"Janvier","Février","Mars","Avril","Mai","Juin","Juillet","Août","Septembre","Octobre","Novembre","Décembre")</f>
        <v>Août</v>
      </c>
      <c r="V940" s="22" t="n">
        <f aca="false">YEAR(Q940)</f>
        <v>2026</v>
      </c>
      <c r="W940" s="20"/>
      <c r="X940" s="8" t="n">
        <f aca="false">IFERROR(IF(M940="Abs",0,IF(ROUND((D940-C940+E940-F940)*1440,0)&lt;=1,0,D940-C940+E940-F940)),0)</f>
        <v>0.00208333333333333</v>
      </c>
      <c r="Y940" s="6" t="str">
        <f aca="false">IFERROR(VLOOKUP($B940,Agents!$A:$D,3,0),"-")</f>
        <v>OUBRAHIM Mohammed</v>
      </c>
      <c r="Z940" s="6" t="str">
        <f aca="false">IFERROR(VLOOKUP($B940,Agents!$A:$D,4,0),"-")</f>
        <v>Credit Mutuel</v>
      </c>
      <c r="AA940" s="18" t="s">
        <v>115</v>
      </c>
      <c r="AB940" s="8" t="str">
        <f aca="false">IF(AND(D940="Congé",F940="Congé"),0.333333333333333,IF(OR(AND(D940="Congé",F940&lt;&gt;"Congé"),(AND(F940="Congé",D940&lt;&gt;"Congé"))),0.166666666666667,""))</f>
        <v/>
      </c>
      <c r="AC940" s="8" t="str">
        <f aca="false">IF(AND(D940="Congé sans solde",F940="Congé sans solde"),0.333333333333333,IF(OR(AND(D940="Congé sans solde",F940&lt;&gt;"Congé sans solde"),(AND(F940="Congé sans solde",D940&lt;&gt;"Congé sans solde"))),0.166666666666667,""))</f>
        <v/>
      </c>
      <c r="AD940" s="8" t="str">
        <f aca="false">IF(AND(D940="Congé spécial",F940="Congé spécial"),0.333333333333333,IF(OR(AND(D940="Congé spécial",F940&lt;&gt;"Congé spécial"),AND(F940="Congé spécial",D940&lt;&gt;"Congé spécial")),0.166666666666667,""))</f>
        <v/>
      </c>
      <c r="AE940" s="8" t="str">
        <f aca="false">IF(AND(D940="Férié",F940="Férié"),0.333333333333333,IF(OR(AND(D940="Férié",F940&lt;&gt;"Férié"),(AND(F940="Férié",D940&lt;&gt;"Férié"))),0.166666666666667,""))</f>
        <v/>
      </c>
      <c r="AF940" s="18"/>
      <c r="AG940" s="18"/>
    </row>
    <row r="941" customFormat="false" ht="15" hidden="false" customHeight="false" outlineLevel="0" collapsed="false">
      <c r="A941" s="6" t="str">
        <f aca="false">YEAR(Q941-WEEKDAY(Q941,2)+4)&amp;"-S"&amp;TEXT(WEEKNUM(Q941,21),"00")</f>
        <v>2026-S33</v>
      </c>
      <c r="B941" s="18" t="s">
        <v>72</v>
      </c>
      <c r="C941" s="19" t="n">
        <v>0.331944444444444</v>
      </c>
      <c r="D941" s="19" t="n">
        <v>0.333333333333333</v>
      </c>
      <c r="E941" s="19" t="n">
        <v>0.75</v>
      </c>
      <c r="F941" s="19" t="n">
        <v>0.75</v>
      </c>
      <c r="G941" s="20"/>
      <c r="H941" s="20"/>
      <c r="I941" s="8" t="str">
        <f aca="false">IF(IF(OR(C941="",D941="Congé",D941="OFF",D941="Congé spécial"),"",IF(D941&gt;F941,D941-C941,IF(C941-D941&lt;0,0,C941-D941)))&lt;0.00068287037037037,"",IF(OR(D941="Congé",D941="OFF",C941="",D941="Congé spécial"),"",IF(D941&gt;F941,D941-C941,IF(C941-D941&lt;0,0,C941-D941))))</f>
        <v/>
      </c>
      <c r="J941" s="20"/>
      <c r="K941" s="8" t="n">
        <f aca="false">IF(SUM(H941:J941)&lt;0.00068287037037037,0,SUM(H941:J941))</f>
        <v>0</v>
      </c>
      <c r="L941" s="8" t="n">
        <f aca="false">IF(OR(F941="Congé",F941="OFF",M941="Abs",F941="Congé sans solde",F941="Férié",F941="Congé spécial",D941="Congé spécial"),0,IF(F941-E941&lt;0,0,IF(F941-E941&lt;=0.00068287037037037,0,F941-E941)))</f>
        <v>0</v>
      </c>
      <c r="M941" s="6" t="n">
        <f aca="false">IF(AND(O941&lt;&gt;0,C941=""),"Abs",0)</f>
        <v>0</v>
      </c>
      <c r="N941" s="8" t="n">
        <f aca="false">IFERROR(IF(OR(D941="OFF",D941="Congé",M941="Abs",D941="Congé sans solde",D941="Férié"),"",IF(O941-K941-L941&gt;O941,O941,IF(O941-K941-L941&lt;0,"",O941-K941-L941))),"")</f>
        <v>0.375</v>
      </c>
      <c r="O941" s="8" t="n">
        <f aca="false">IF(AG941="2H Pause déjeuner",IF(F941-D941-0.0833333333333333&lt;0,F941-D941-0.0833333333333333+1,F941-D941-0.0833333333333333),IF(OR(AND(F941="OFF",D941="OFF"),AND(F941="Congé",D941="Congé"),AND(F941="Congé sans solde",D941="Congé sans solde"),AND(F941="Congé spécial",D941="Congé spécial"),AND(F941="Férié",D941="Férié"),AND(F941="OFF",D941="Congé"),AND(F941="OFF",D941="Congé sans solde"),AND(F941="OFF",D941="Congé spécial"),AND(F941="OFF",D941="Férié"),AND(F941="Congé",D941="OFF"),AND(F941="Congé",D941="Congé sans solde"),AND(F941="Congé",D941="Congé spécial"),AND(F941="Congé",D941="Férié"),AND(F941="Congé sans solde",D941="OFF"),AND(F941="Congé sans solde",D941="Congé"),AND(F941="Congé sans solde",D941="Congé spécial"),AND(F941="Congé sans solde",D941="Férié"),AND(F941="Congé spécial",D941="OFF"),AND(F941="Congé spécial",D941="Congé"),AND(F941="Congé spécial",D941="Congé sans solde"),AND(F941="Congé spécial",D941="Férié"),AND(F941="Férié",D941="OFF"),AND(F941="Férié",D941="Congé"),AND(F941="Férié",D941="Congé sans solde"),AND(F941="Férié",D941="Congé spécial")),0,IF(OR(F941="OFF",F941="Congé",F941="Congé spécial",F941="Congé sans solde",D941="OFF",D941="Congé",D941="Congé spécial",D941="Congé sans solde"),0.208333333333334,IF(AND(AG941="",F941-D941&lt;0),("24:00:00"-D941)+("00:00:00"+F941)-0.0416666666666667,IF(AND(OR(AG941="Allaitement",AG941="Sans déjeuner"),F941-D941&lt;0),("24:00:00"-D941)+("00:00:00"+F941),IF(AND(AG941="",F941-D941&gt;0.166666666666667),F941-D941-0.0416666666666667,IF(AND(OR(AG941="Allaitement",AG941="Sans déjeuner"),F941-D941&gt;0.166666666666667),F941-D941,F941-D941)))))))</f>
        <v>0.375</v>
      </c>
      <c r="P941" s="6" t="str">
        <f aca="false">IFERROR(VLOOKUP($B941,Agents!$A:$D,2,0),"-")</f>
        <v>Accessibilité</v>
      </c>
      <c r="Q941" s="21" t="n">
        <v>46244</v>
      </c>
      <c r="R941" s="8" t="n">
        <f aca="false">IF(M941="Abs",O941,0)</f>
        <v>0</v>
      </c>
      <c r="S941" s="8" t="n">
        <f aca="false">SUM(R941,L941,I941,J941,W941,H941)</f>
        <v>0</v>
      </c>
      <c r="T941" s="6" t="str">
        <f aca="false">"Sem - "&amp;WEEKNUM(Q941,21)</f>
        <v>Sem - 33</v>
      </c>
      <c r="U941" s="6" t="str">
        <f aca="false">CHOOSE(MONTH(Q941),"Janvier","Février","Mars","Avril","Mai","Juin","Juillet","Août","Septembre","Octobre","Novembre","Décembre")</f>
        <v>Août</v>
      </c>
      <c r="V941" s="22" t="n">
        <f aca="false">YEAR(Q941)</f>
        <v>2026</v>
      </c>
      <c r="W941" s="20"/>
      <c r="X941" s="8" t="n">
        <f aca="false">IFERROR(IF(M941="Abs",0,IF(ROUND((D941-C941+E941-F941)*1440,0)&lt;=1,0,D941-C941+E941-F941)),0)</f>
        <v>0.00138888888888889</v>
      </c>
      <c r="Y941" s="6" t="str">
        <f aca="false">IFERROR(VLOOKUP($B941,Agents!$A:$D,3,0),"-")</f>
        <v>OUBRAHIM Mohammed</v>
      </c>
      <c r="Z941" s="6" t="str">
        <f aca="false">IFERROR(VLOOKUP($B941,Agents!$A:$D,4,0),"-")</f>
        <v>Credit Mutuel</v>
      </c>
      <c r="AA941" s="18" t="s">
        <v>115</v>
      </c>
      <c r="AB941" s="8" t="str">
        <f aca="false">IF(AND(D941="Congé",F941="Congé"),0.333333333333333,IF(OR(AND(D941="Congé",F941&lt;&gt;"Congé"),(AND(F941="Congé",D941&lt;&gt;"Congé"))),0.166666666666667,""))</f>
        <v/>
      </c>
      <c r="AC941" s="8" t="str">
        <f aca="false">IF(AND(D941="Congé sans solde",F941="Congé sans solde"),0.333333333333333,IF(OR(AND(D941="Congé sans solde",F941&lt;&gt;"Congé sans solde"),(AND(F941="Congé sans solde",D941&lt;&gt;"Congé sans solde"))),0.166666666666667,""))</f>
        <v/>
      </c>
      <c r="AD941" s="8" t="str">
        <f aca="false">IF(AND(D941="Congé spécial",F941="Congé spécial"),0.333333333333333,IF(OR(AND(D941="Congé spécial",F941&lt;&gt;"Congé spécial"),AND(F941="Congé spécial",D941&lt;&gt;"Congé spécial")),0.166666666666667,""))</f>
        <v/>
      </c>
      <c r="AE941" s="8" t="str">
        <f aca="false">IF(AND(D941="Férié",F941="Férié"),0.333333333333333,IF(OR(AND(D941="Férié",F941&lt;&gt;"Férié"),(AND(F941="Férié",D941&lt;&gt;"Férié"))),0.166666666666667,""))</f>
        <v/>
      </c>
      <c r="AF941" s="18"/>
      <c r="AG941" s="18"/>
    </row>
    <row r="942" customFormat="false" ht="15" hidden="false" customHeight="false" outlineLevel="0" collapsed="false">
      <c r="A942" s="6" t="str">
        <f aca="false">YEAR(Q942-WEEKDAY(Q942,2)+4)&amp;"-S"&amp;TEXT(WEEKNUM(Q942,21),"00")</f>
        <v>2026-S33</v>
      </c>
      <c r="B942" s="18" t="s">
        <v>73</v>
      </c>
      <c r="C942" s="19" t="n">
        <v>0.332638888888889</v>
      </c>
      <c r="D942" s="19" t="n">
        <v>0.333333333333333</v>
      </c>
      <c r="E942" s="19" t="n">
        <v>0.75</v>
      </c>
      <c r="F942" s="19" t="n">
        <v>0.75</v>
      </c>
      <c r="G942" s="20"/>
      <c r="H942" s="20"/>
      <c r="I942" s="8" t="str">
        <f aca="false">IF(IF(OR(C942="",D942="Congé",D942="OFF",D942="Congé spécial"),"",IF(D942&gt;F942,D942-C942,IF(C942-D942&lt;0,0,C942-D942)))&lt;0.00068287037037037,"",IF(OR(D942="Congé",D942="OFF",C942="",D942="Congé spécial"),"",IF(D942&gt;F942,D942-C942,IF(C942-D942&lt;0,0,C942-D942))))</f>
        <v/>
      </c>
      <c r="J942" s="20"/>
      <c r="K942" s="8" t="n">
        <f aca="false">IF(SUM(H942:J942)&lt;0.00068287037037037,0,SUM(H942:J942))</f>
        <v>0</v>
      </c>
      <c r="L942" s="8" t="n">
        <f aca="false">IF(OR(F942="Congé",F942="OFF",M942="Abs",F942="Congé sans solde",F942="Férié",F942="Congé spécial",D942="Congé spécial"),0,IF(F942-E942&lt;0,0,IF(F942-E942&lt;=0.00068287037037037,0,F942-E942)))</f>
        <v>0</v>
      </c>
      <c r="M942" s="6" t="n">
        <f aca="false">IF(AND(O942&lt;&gt;0,C942=""),"Abs",0)</f>
        <v>0</v>
      </c>
      <c r="N942" s="8" t="n">
        <f aca="false">IFERROR(IF(OR(D942="OFF",D942="Congé",M942="Abs",D942="Congé sans solde",D942="Férié"),"",IF(O942-K942-L942&gt;O942,O942,IF(O942-K942-L942&lt;0,"",O942-K942-L942))),"")</f>
        <v>0.375</v>
      </c>
      <c r="O942" s="8" t="n">
        <f aca="false">IF(AG942="2H Pause déjeuner",IF(F942-D942-0.0833333333333333&lt;0,F942-D942-0.0833333333333333+1,F942-D942-0.0833333333333333),IF(OR(AND(F942="OFF",D942="OFF"),AND(F942="Congé",D942="Congé"),AND(F942="Congé sans solde",D942="Congé sans solde"),AND(F942="Congé spécial",D942="Congé spécial"),AND(F942="Férié",D942="Férié"),AND(F942="OFF",D942="Congé"),AND(F942="OFF",D942="Congé sans solde"),AND(F942="OFF",D942="Congé spécial"),AND(F942="OFF",D942="Férié"),AND(F942="Congé",D942="OFF"),AND(F942="Congé",D942="Congé sans solde"),AND(F942="Congé",D942="Congé spécial"),AND(F942="Congé",D942="Férié"),AND(F942="Congé sans solde",D942="OFF"),AND(F942="Congé sans solde",D942="Congé"),AND(F942="Congé sans solde",D942="Congé spécial"),AND(F942="Congé sans solde",D942="Férié"),AND(F942="Congé spécial",D942="OFF"),AND(F942="Congé spécial",D942="Congé"),AND(F942="Congé spécial",D942="Congé sans solde"),AND(F942="Congé spécial",D942="Férié"),AND(F942="Férié",D942="OFF"),AND(F942="Férié",D942="Congé"),AND(F942="Férié",D942="Congé sans solde"),AND(F942="Férié",D942="Congé spécial")),0,IF(OR(F942="OFF",F942="Congé",F942="Congé spécial",F942="Congé sans solde",D942="OFF",D942="Congé",D942="Congé spécial",D942="Congé sans solde"),0.208333333333334,IF(AND(AG942="",F942-D942&lt;0),("24:00:00"-D942)+("00:00:00"+F942)-0.0416666666666667,IF(AND(OR(AG942="Allaitement",AG942="Sans déjeuner"),F942-D942&lt;0),("24:00:00"-D942)+("00:00:00"+F942),IF(AND(AG942="",F942-D942&gt;0.166666666666667),F942-D942-0.0416666666666667,IF(AND(OR(AG942="Allaitement",AG942="Sans déjeuner"),F942-D942&gt;0.166666666666667),F942-D942,F942-D942)))))))</f>
        <v>0.375</v>
      </c>
      <c r="P942" s="6" t="str">
        <f aca="false">IFERROR(VLOOKUP($B942,Agents!$A:$D,2,0),"-")</f>
        <v>Accessibilité</v>
      </c>
      <c r="Q942" s="21" t="n">
        <v>46244</v>
      </c>
      <c r="R942" s="8" t="n">
        <f aca="false">IF(M942="Abs",O942,0)</f>
        <v>0</v>
      </c>
      <c r="S942" s="8" t="n">
        <f aca="false">SUM(R942,L942,I942,J942,W942,H942)</f>
        <v>0</v>
      </c>
      <c r="T942" s="6" t="str">
        <f aca="false">"Sem - "&amp;WEEKNUM(Q942,21)</f>
        <v>Sem - 33</v>
      </c>
      <c r="U942" s="6" t="str">
        <f aca="false">CHOOSE(MONTH(Q942),"Janvier","Février","Mars","Avril","Mai","Juin","Juillet","Août","Septembre","Octobre","Novembre","Décembre")</f>
        <v>Août</v>
      </c>
      <c r="V942" s="22" t="n">
        <f aca="false">YEAR(Q942)</f>
        <v>2026</v>
      </c>
      <c r="W942" s="20"/>
      <c r="X942" s="8" t="n">
        <f aca="false">IFERROR(IF(M942="Abs",0,IF(ROUND((D942-C942+E942-F942)*1440,0)&lt;=1,0,D942-C942+E942-F942)),0)</f>
        <v>0</v>
      </c>
      <c r="Y942" s="6" t="str">
        <f aca="false">IFERROR(VLOOKUP($B942,Agents!$A:$D,3,0),"-")</f>
        <v>OUBRAHIM Mohammed</v>
      </c>
      <c r="Z942" s="6" t="str">
        <f aca="false">IFERROR(VLOOKUP($B942,Agents!$A:$D,4,0),"-")</f>
        <v>Credit Mutuel</v>
      </c>
      <c r="AA942" s="18" t="s">
        <v>115</v>
      </c>
      <c r="AB942" s="8" t="str">
        <f aca="false">IF(AND(D942="Congé",F942="Congé"),0.333333333333333,IF(OR(AND(D942="Congé",F942&lt;&gt;"Congé"),(AND(F942="Congé",D942&lt;&gt;"Congé"))),0.166666666666667,""))</f>
        <v/>
      </c>
      <c r="AC942" s="8" t="str">
        <f aca="false">IF(AND(D942="Congé sans solde",F942="Congé sans solde"),0.333333333333333,IF(OR(AND(D942="Congé sans solde",F942&lt;&gt;"Congé sans solde"),(AND(F942="Congé sans solde",D942&lt;&gt;"Congé sans solde"))),0.166666666666667,""))</f>
        <v/>
      </c>
      <c r="AD942" s="8" t="str">
        <f aca="false">IF(AND(D942="Congé spécial",F942="Congé spécial"),0.333333333333333,IF(OR(AND(D942="Congé spécial",F942&lt;&gt;"Congé spécial"),AND(F942="Congé spécial",D942&lt;&gt;"Congé spécial")),0.166666666666667,""))</f>
        <v/>
      </c>
      <c r="AE942" s="8" t="str">
        <f aca="false">IF(AND(D942="Férié",F942="Férié"),0.333333333333333,IF(OR(AND(D942="Férié",F942&lt;&gt;"Férié"),(AND(F942="Férié",D942&lt;&gt;"Férié"))),0.166666666666667,""))</f>
        <v/>
      </c>
      <c r="AF942" s="18"/>
      <c r="AG942" s="18"/>
    </row>
    <row r="943" customFormat="false" ht="15" hidden="false" customHeight="false" outlineLevel="0" collapsed="false">
      <c r="A943" s="6" t="str">
        <f aca="false">YEAR(Q943-WEEKDAY(Q943,2)+4)&amp;"-S"&amp;TEXT(WEEKNUM(Q943,21),"00")</f>
        <v>2026-S33</v>
      </c>
      <c r="B943" s="18" t="s">
        <v>71</v>
      </c>
      <c r="C943" s="19" t="n">
        <v>0.331944444444444</v>
      </c>
      <c r="D943" s="19" t="n">
        <v>0.333333333333333</v>
      </c>
      <c r="E943" s="19" t="n">
        <v>0.75</v>
      </c>
      <c r="F943" s="19" t="n">
        <v>0.75</v>
      </c>
      <c r="G943" s="20"/>
      <c r="H943" s="20"/>
      <c r="I943" s="8" t="str">
        <f aca="false">IF(IF(OR(C943="",D943="Congé",D943="OFF",D943="Congé spécial"),"",IF(D943&gt;F943,D943-C943,IF(C943-D943&lt;0,0,C943-D943)))&lt;0.00068287037037037,"",IF(OR(D943="Congé",D943="OFF",C943="",D943="Congé spécial"),"",IF(D943&gt;F943,D943-C943,IF(C943-D943&lt;0,0,C943-D943))))</f>
        <v/>
      </c>
      <c r="J943" s="20"/>
      <c r="K943" s="8" t="n">
        <f aca="false">IF(SUM(H943:J943)&lt;0.00068287037037037,0,SUM(H943:J943))</f>
        <v>0</v>
      </c>
      <c r="L943" s="8" t="n">
        <f aca="false">IF(OR(F943="Congé",F943="OFF",M943="Abs",F943="Congé sans solde",F943="Férié",F943="Congé spécial",D943="Congé spécial"),0,IF(F943-E943&lt;0,0,IF(F943-E943&lt;=0.00068287037037037,0,F943-E943)))</f>
        <v>0</v>
      </c>
      <c r="M943" s="6" t="n">
        <f aca="false">IF(AND(O943&lt;&gt;0,C943=""),"Abs",0)</f>
        <v>0</v>
      </c>
      <c r="N943" s="8" t="n">
        <f aca="false">IFERROR(IF(OR(D943="OFF",D943="Congé",M943="Abs",D943="Congé sans solde",D943="Férié"),"",IF(O943-K943-L943&gt;O943,O943,IF(O943-K943-L943&lt;0,"",O943-K943-L943))),"")</f>
        <v>0.375</v>
      </c>
      <c r="O943" s="8" t="n">
        <f aca="false">IF(AG943="2H Pause déjeuner",IF(F943-D943-0.0833333333333333&lt;0,F943-D943-0.0833333333333333+1,F943-D943-0.0833333333333333),IF(OR(AND(F943="OFF",D943="OFF"),AND(F943="Congé",D943="Congé"),AND(F943="Congé sans solde",D943="Congé sans solde"),AND(F943="Congé spécial",D943="Congé spécial"),AND(F943="Férié",D943="Férié"),AND(F943="OFF",D943="Congé"),AND(F943="OFF",D943="Congé sans solde"),AND(F943="OFF",D943="Congé spécial"),AND(F943="OFF",D943="Férié"),AND(F943="Congé",D943="OFF"),AND(F943="Congé",D943="Congé sans solde"),AND(F943="Congé",D943="Congé spécial"),AND(F943="Congé",D943="Férié"),AND(F943="Congé sans solde",D943="OFF"),AND(F943="Congé sans solde",D943="Congé"),AND(F943="Congé sans solde",D943="Congé spécial"),AND(F943="Congé sans solde",D943="Férié"),AND(F943="Congé spécial",D943="OFF"),AND(F943="Congé spécial",D943="Congé"),AND(F943="Congé spécial",D943="Congé sans solde"),AND(F943="Congé spécial",D943="Férié"),AND(F943="Férié",D943="OFF"),AND(F943="Férié",D943="Congé"),AND(F943="Férié",D943="Congé sans solde"),AND(F943="Férié",D943="Congé spécial")),0,IF(OR(F943="OFF",F943="Congé",F943="Congé spécial",F943="Congé sans solde",D943="OFF",D943="Congé",D943="Congé spécial",D943="Congé sans solde"),0.208333333333334,IF(AND(AG943="",F943-D943&lt;0),("24:00:00"-D943)+("00:00:00"+F943)-0.0416666666666667,IF(AND(OR(AG943="Allaitement",AG943="Sans déjeuner"),F943-D943&lt;0),("24:00:00"-D943)+("00:00:00"+F943),IF(AND(AG943="",F943-D943&gt;0.166666666666667),F943-D943-0.0416666666666667,IF(AND(OR(AG943="Allaitement",AG943="Sans déjeuner"),F943-D943&gt;0.166666666666667),F943-D943,F943-D943)))))))</f>
        <v>0.375</v>
      </c>
      <c r="P943" s="6" t="str">
        <f aca="false">IFERROR(VLOOKUP($B943,Agents!$A:$D,2,0),"-")</f>
        <v>Accessibilité</v>
      </c>
      <c r="Q943" s="21" t="n">
        <v>46245</v>
      </c>
      <c r="R943" s="8" t="n">
        <f aca="false">IF(M943="Abs",O943,0)</f>
        <v>0</v>
      </c>
      <c r="S943" s="8" t="n">
        <f aca="false">SUM(R943,L943,I943,J943,W943,H943)</f>
        <v>0</v>
      </c>
      <c r="T943" s="6" t="str">
        <f aca="false">"Sem - "&amp;WEEKNUM(Q943,21)</f>
        <v>Sem - 33</v>
      </c>
      <c r="U943" s="6" t="str">
        <f aca="false">CHOOSE(MONTH(Q943),"Janvier","Février","Mars","Avril","Mai","Juin","Juillet","Août","Septembre","Octobre","Novembre","Décembre")</f>
        <v>Août</v>
      </c>
      <c r="V943" s="22" t="n">
        <f aca="false">YEAR(Q943)</f>
        <v>2026</v>
      </c>
      <c r="W943" s="20"/>
      <c r="X943" s="8" t="n">
        <f aca="false">IFERROR(IF(M943="Abs",0,IF(ROUND((D943-C943+E943-F943)*1440,0)&lt;=1,0,D943-C943+E943-F943)),0)</f>
        <v>0.00138888888888889</v>
      </c>
      <c r="Y943" s="6" t="str">
        <f aca="false">IFERROR(VLOOKUP($B943,Agents!$A:$D,3,0),"-")</f>
        <v>OUBRAHIM Mohammed</v>
      </c>
      <c r="Z943" s="6" t="str">
        <f aca="false">IFERROR(VLOOKUP($B943,Agents!$A:$D,4,0),"-")</f>
        <v>Credit Mutuel</v>
      </c>
      <c r="AA943" s="18" t="s">
        <v>115</v>
      </c>
      <c r="AB943" s="8" t="str">
        <f aca="false">IF(AND(D943="Congé",F943="Congé"),0.333333333333333,IF(OR(AND(D943="Congé",F943&lt;&gt;"Congé"),(AND(F943="Congé",D943&lt;&gt;"Congé"))),0.166666666666667,""))</f>
        <v/>
      </c>
      <c r="AC943" s="8" t="str">
        <f aca="false">IF(AND(D943="Congé sans solde",F943="Congé sans solde"),0.333333333333333,IF(OR(AND(D943="Congé sans solde",F943&lt;&gt;"Congé sans solde"),(AND(F943="Congé sans solde",D943&lt;&gt;"Congé sans solde"))),0.166666666666667,""))</f>
        <v/>
      </c>
      <c r="AD943" s="8" t="str">
        <f aca="false">IF(AND(D943="Congé spécial",F943="Congé spécial"),0.333333333333333,IF(OR(AND(D943="Congé spécial",F943&lt;&gt;"Congé spécial"),AND(F943="Congé spécial",D943&lt;&gt;"Congé spécial")),0.166666666666667,""))</f>
        <v/>
      </c>
      <c r="AE943" s="8" t="str">
        <f aca="false">IF(AND(D943="Férié",F943="Férié"),0.333333333333333,IF(OR(AND(D943="Férié",F943&lt;&gt;"Férié"),(AND(F943="Férié",D943&lt;&gt;"Férié"))),0.166666666666667,""))</f>
        <v/>
      </c>
      <c r="AF943" s="18"/>
      <c r="AG943" s="18"/>
    </row>
    <row r="944" customFormat="false" ht="15" hidden="false" customHeight="false" outlineLevel="0" collapsed="false">
      <c r="A944" s="6" t="str">
        <f aca="false">YEAR(Q944-WEEKDAY(Q944,2)+4)&amp;"-S"&amp;TEXT(WEEKNUM(Q944,21),"00")</f>
        <v>2026-S33</v>
      </c>
      <c r="B944" s="18" t="s">
        <v>72</v>
      </c>
      <c r="C944" s="19" t="n">
        <v>0.332638888888889</v>
      </c>
      <c r="D944" s="19" t="n">
        <v>0.333333333333333</v>
      </c>
      <c r="E944" s="19" t="n">
        <v>0.75</v>
      </c>
      <c r="F944" s="19" t="n">
        <v>0.75</v>
      </c>
      <c r="G944" s="20"/>
      <c r="H944" s="20"/>
      <c r="I944" s="8" t="str">
        <f aca="false">IF(IF(OR(C944="",D944="Congé",D944="OFF",D944="Congé spécial"),"",IF(D944&gt;F944,D944-C944,IF(C944-D944&lt;0,0,C944-D944)))&lt;0.00068287037037037,"",IF(OR(D944="Congé",D944="OFF",C944="",D944="Congé spécial"),"",IF(D944&gt;F944,D944-C944,IF(C944-D944&lt;0,0,C944-D944))))</f>
        <v/>
      </c>
      <c r="J944" s="20"/>
      <c r="K944" s="8" t="n">
        <f aca="false">IF(SUM(H944:J944)&lt;0.00068287037037037,0,SUM(H944:J944))</f>
        <v>0</v>
      </c>
      <c r="L944" s="8" t="n">
        <f aca="false">IF(OR(F944="Congé",F944="OFF",M944="Abs",F944="Congé sans solde",F944="Férié",F944="Congé spécial",D944="Congé spécial"),0,IF(F944-E944&lt;0,0,IF(F944-E944&lt;=0.00068287037037037,0,F944-E944)))</f>
        <v>0</v>
      </c>
      <c r="M944" s="6" t="n">
        <f aca="false">IF(AND(O944&lt;&gt;0,C944=""),"Abs",0)</f>
        <v>0</v>
      </c>
      <c r="N944" s="8" t="n">
        <f aca="false">IFERROR(IF(OR(D944="OFF",D944="Congé",M944="Abs",D944="Congé sans solde",D944="Férié"),"",IF(O944-K944-L944&gt;O944,O944,IF(O944-K944-L944&lt;0,"",O944-K944-L944))),"")</f>
        <v>0.375</v>
      </c>
      <c r="O944" s="8" t="n">
        <f aca="false">IF(AG944="2H Pause déjeuner",IF(F944-D944-0.0833333333333333&lt;0,F944-D944-0.0833333333333333+1,F944-D944-0.0833333333333333),IF(OR(AND(F944="OFF",D944="OFF"),AND(F944="Congé",D944="Congé"),AND(F944="Congé sans solde",D944="Congé sans solde"),AND(F944="Congé spécial",D944="Congé spécial"),AND(F944="Férié",D944="Férié"),AND(F944="OFF",D944="Congé"),AND(F944="OFF",D944="Congé sans solde"),AND(F944="OFF",D944="Congé spécial"),AND(F944="OFF",D944="Férié"),AND(F944="Congé",D944="OFF"),AND(F944="Congé",D944="Congé sans solde"),AND(F944="Congé",D944="Congé spécial"),AND(F944="Congé",D944="Férié"),AND(F944="Congé sans solde",D944="OFF"),AND(F944="Congé sans solde",D944="Congé"),AND(F944="Congé sans solde",D944="Congé spécial"),AND(F944="Congé sans solde",D944="Férié"),AND(F944="Congé spécial",D944="OFF"),AND(F944="Congé spécial",D944="Congé"),AND(F944="Congé spécial",D944="Congé sans solde"),AND(F944="Congé spécial",D944="Férié"),AND(F944="Férié",D944="OFF"),AND(F944="Férié",D944="Congé"),AND(F944="Férié",D944="Congé sans solde"),AND(F944="Férié",D944="Congé spécial")),0,IF(OR(F944="OFF",F944="Congé",F944="Congé spécial",F944="Congé sans solde",D944="OFF",D944="Congé",D944="Congé spécial",D944="Congé sans solde"),0.208333333333334,IF(AND(AG944="",F944-D944&lt;0),("24:00:00"-D944)+("00:00:00"+F944)-0.0416666666666667,IF(AND(OR(AG944="Allaitement",AG944="Sans déjeuner"),F944-D944&lt;0),("24:00:00"-D944)+("00:00:00"+F944),IF(AND(AG944="",F944-D944&gt;0.166666666666667),F944-D944-0.0416666666666667,IF(AND(OR(AG944="Allaitement",AG944="Sans déjeuner"),F944-D944&gt;0.166666666666667),F944-D944,F944-D944)))))))</f>
        <v>0.375</v>
      </c>
      <c r="P944" s="6" t="str">
        <f aca="false">IFERROR(VLOOKUP($B944,Agents!$A:$D,2,0),"-")</f>
        <v>Accessibilité</v>
      </c>
      <c r="Q944" s="21" t="n">
        <v>46245</v>
      </c>
      <c r="R944" s="8" t="n">
        <f aca="false">IF(M944="Abs",O944,0)</f>
        <v>0</v>
      </c>
      <c r="S944" s="8" t="n">
        <f aca="false">SUM(R944,L944,I944,J944,W944,H944)</f>
        <v>0</v>
      </c>
      <c r="T944" s="6" t="str">
        <f aca="false">"Sem - "&amp;WEEKNUM(Q944,21)</f>
        <v>Sem - 33</v>
      </c>
      <c r="U944" s="6" t="str">
        <f aca="false">CHOOSE(MONTH(Q944),"Janvier","Février","Mars","Avril","Mai","Juin","Juillet","Août","Septembre","Octobre","Novembre","Décembre")</f>
        <v>Août</v>
      </c>
      <c r="V944" s="22" t="n">
        <f aca="false">YEAR(Q944)</f>
        <v>2026</v>
      </c>
      <c r="W944" s="20"/>
      <c r="X944" s="8" t="n">
        <f aca="false">IFERROR(IF(M944="Abs",0,IF(ROUND((D944-C944+E944-F944)*1440,0)&lt;=1,0,D944-C944+E944-F944)),0)</f>
        <v>0</v>
      </c>
      <c r="Y944" s="6" t="str">
        <f aca="false">IFERROR(VLOOKUP($B944,Agents!$A:$D,3,0),"-")</f>
        <v>OUBRAHIM Mohammed</v>
      </c>
      <c r="Z944" s="6" t="str">
        <f aca="false">IFERROR(VLOOKUP($B944,Agents!$A:$D,4,0),"-")</f>
        <v>Credit Mutuel</v>
      </c>
      <c r="AA944" s="18" t="s">
        <v>115</v>
      </c>
      <c r="AB944" s="8" t="str">
        <f aca="false">IF(AND(D944="Congé",F944="Congé"),0.333333333333333,IF(OR(AND(D944="Congé",F944&lt;&gt;"Congé"),(AND(F944="Congé",D944&lt;&gt;"Congé"))),0.166666666666667,""))</f>
        <v/>
      </c>
      <c r="AC944" s="8" t="str">
        <f aca="false">IF(AND(D944="Congé sans solde",F944="Congé sans solde"),0.333333333333333,IF(OR(AND(D944="Congé sans solde",F944&lt;&gt;"Congé sans solde"),(AND(F944="Congé sans solde",D944&lt;&gt;"Congé sans solde"))),0.166666666666667,""))</f>
        <v/>
      </c>
      <c r="AD944" s="8" t="str">
        <f aca="false">IF(AND(D944="Congé spécial",F944="Congé spécial"),0.333333333333333,IF(OR(AND(D944="Congé spécial",F944&lt;&gt;"Congé spécial"),AND(F944="Congé spécial",D944&lt;&gt;"Congé spécial")),0.166666666666667,""))</f>
        <v/>
      </c>
      <c r="AE944" s="8" t="str">
        <f aca="false">IF(AND(D944="Férié",F944="Férié"),0.333333333333333,IF(OR(AND(D944="Férié",F944&lt;&gt;"Férié"),(AND(F944="Férié",D944&lt;&gt;"Férié"))),0.166666666666667,""))</f>
        <v/>
      </c>
      <c r="AF944" s="18"/>
      <c r="AG944" s="18"/>
    </row>
    <row r="945" customFormat="false" ht="15" hidden="false" customHeight="false" outlineLevel="0" collapsed="false">
      <c r="A945" s="6" t="str">
        <f aca="false">YEAR(Q945-WEEKDAY(Q945,2)+4)&amp;"-S"&amp;TEXT(WEEKNUM(Q945,21),"00")</f>
        <v>2026-S33</v>
      </c>
      <c r="B945" s="18" t="s">
        <v>73</v>
      </c>
      <c r="C945" s="19" t="n">
        <v>0.331944444444444</v>
      </c>
      <c r="D945" s="19" t="n">
        <v>0.333333333333333</v>
      </c>
      <c r="E945" s="19" t="n">
        <v>0.75</v>
      </c>
      <c r="F945" s="19" t="n">
        <v>0.75</v>
      </c>
      <c r="G945" s="20"/>
      <c r="H945" s="20"/>
      <c r="I945" s="8" t="str">
        <f aca="false">IF(IF(OR(C945="",D945="Congé",D945="OFF",D945="Congé spécial"),"",IF(D945&gt;F945,D945-C945,IF(C945-D945&lt;0,0,C945-D945)))&lt;0.00068287037037037,"",IF(OR(D945="Congé",D945="OFF",C945="",D945="Congé spécial"),"",IF(D945&gt;F945,D945-C945,IF(C945-D945&lt;0,0,C945-D945))))</f>
        <v/>
      </c>
      <c r="J945" s="20"/>
      <c r="K945" s="8" t="n">
        <f aca="false">IF(SUM(H945:J945)&lt;0.00068287037037037,0,SUM(H945:J945))</f>
        <v>0</v>
      </c>
      <c r="L945" s="8" t="n">
        <f aca="false">IF(OR(F945="Congé",F945="OFF",M945="Abs",F945="Congé sans solde",F945="Férié",F945="Congé spécial",D945="Congé spécial"),0,IF(F945-E945&lt;0,0,IF(F945-E945&lt;=0.00068287037037037,0,F945-E945)))</f>
        <v>0</v>
      </c>
      <c r="M945" s="6" t="n">
        <f aca="false">IF(AND(O945&lt;&gt;0,C945=""),"Abs",0)</f>
        <v>0</v>
      </c>
      <c r="N945" s="8" t="n">
        <f aca="false">IFERROR(IF(OR(D945="OFF",D945="Congé",M945="Abs",D945="Congé sans solde",D945="Férié"),"",IF(O945-K945-L945&gt;O945,O945,IF(O945-K945-L945&lt;0,"",O945-K945-L945))),"")</f>
        <v>0.375</v>
      </c>
      <c r="O945" s="8" t="n">
        <f aca="false">IF(AG945="2H Pause déjeuner",IF(F945-D945-0.0833333333333333&lt;0,F945-D945-0.0833333333333333+1,F945-D945-0.0833333333333333),IF(OR(AND(F945="OFF",D945="OFF"),AND(F945="Congé",D945="Congé"),AND(F945="Congé sans solde",D945="Congé sans solde"),AND(F945="Congé spécial",D945="Congé spécial"),AND(F945="Férié",D945="Férié"),AND(F945="OFF",D945="Congé"),AND(F945="OFF",D945="Congé sans solde"),AND(F945="OFF",D945="Congé spécial"),AND(F945="OFF",D945="Férié"),AND(F945="Congé",D945="OFF"),AND(F945="Congé",D945="Congé sans solde"),AND(F945="Congé",D945="Congé spécial"),AND(F945="Congé",D945="Férié"),AND(F945="Congé sans solde",D945="OFF"),AND(F945="Congé sans solde",D945="Congé"),AND(F945="Congé sans solde",D945="Congé spécial"),AND(F945="Congé sans solde",D945="Férié"),AND(F945="Congé spécial",D945="OFF"),AND(F945="Congé spécial",D945="Congé"),AND(F945="Congé spécial",D945="Congé sans solde"),AND(F945="Congé spécial",D945="Férié"),AND(F945="Férié",D945="OFF"),AND(F945="Férié",D945="Congé"),AND(F945="Férié",D945="Congé sans solde"),AND(F945="Férié",D945="Congé spécial")),0,IF(OR(F945="OFF",F945="Congé",F945="Congé spécial",F945="Congé sans solde",D945="OFF",D945="Congé",D945="Congé spécial",D945="Congé sans solde"),0.208333333333334,IF(AND(AG945="",F945-D945&lt;0),("24:00:00"-D945)+("00:00:00"+F945)-0.0416666666666667,IF(AND(OR(AG945="Allaitement",AG945="Sans déjeuner"),F945-D945&lt;0),("24:00:00"-D945)+("00:00:00"+F945),IF(AND(AG945="",F945-D945&gt;0.166666666666667),F945-D945-0.0416666666666667,IF(AND(OR(AG945="Allaitement",AG945="Sans déjeuner"),F945-D945&gt;0.166666666666667),F945-D945,F945-D945)))))))</f>
        <v>0.375</v>
      </c>
      <c r="P945" s="6" t="str">
        <f aca="false">IFERROR(VLOOKUP($B945,Agents!$A:$D,2,0),"-")</f>
        <v>Accessibilité</v>
      </c>
      <c r="Q945" s="21" t="n">
        <v>46245</v>
      </c>
      <c r="R945" s="8" t="n">
        <f aca="false">IF(M945="Abs",O945,0)</f>
        <v>0</v>
      </c>
      <c r="S945" s="8" t="n">
        <f aca="false">SUM(R945,L945,I945,J945,W945,H945)</f>
        <v>0</v>
      </c>
      <c r="T945" s="6" t="str">
        <f aca="false">"Sem - "&amp;WEEKNUM(Q945,21)</f>
        <v>Sem - 33</v>
      </c>
      <c r="U945" s="6" t="str">
        <f aca="false">CHOOSE(MONTH(Q945),"Janvier","Février","Mars","Avril","Mai","Juin","Juillet","Août","Septembre","Octobre","Novembre","Décembre")</f>
        <v>Août</v>
      </c>
      <c r="V945" s="22" t="n">
        <f aca="false">YEAR(Q945)</f>
        <v>2026</v>
      </c>
      <c r="W945" s="20"/>
      <c r="X945" s="8" t="n">
        <f aca="false">IFERROR(IF(M945="Abs",0,IF(ROUND((D945-C945+E945-F945)*1440,0)&lt;=1,0,D945-C945+E945-F945)),0)</f>
        <v>0.00138888888888889</v>
      </c>
      <c r="Y945" s="6" t="str">
        <f aca="false">IFERROR(VLOOKUP($B945,Agents!$A:$D,3,0),"-")</f>
        <v>OUBRAHIM Mohammed</v>
      </c>
      <c r="Z945" s="6" t="str">
        <f aca="false">IFERROR(VLOOKUP($B945,Agents!$A:$D,4,0),"-")</f>
        <v>Credit Mutuel</v>
      </c>
      <c r="AA945" s="18" t="s">
        <v>115</v>
      </c>
      <c r="AB945" s="8" t="str">
        <f aca="false">IF(AND(D945="Congé",F945="Congé"),0.333333333333333,IF(OR(AND(D945="Congé",F945&lt;&gt;"Congé"),(AND(F945="Congé",D945&lt;&gt;"Congé"))),0.166666666666667,""))</f>
        <v/>
      </c>
      <c r="AC945" s="8" t="str">
        <f aca="false">IF(AND(D945="Congé sans solde",F945="Congé sans solde"),0.333333333333333,IF(OR(AND(D945="Congé sans solde",F945&lt;&gt;"Congé sans solde"),(AND(F945="Congé sans solde",D945&lt;&gt;"Congé sans solde"))),0.166666666666667,""))</f>
        <v/>
      </c>
      <c r="AD945" s="8" t="str">
        <f aca="false">IF(AND(D945="Congé spécial",F945="Congé spécial"),0.333333333333333,IF(OR(AND(D945="Congé spécial",F945&lt;&gt;"Congé spécial"),AND(F945="Congé spécial",D945&lt;&gt;"Congé spécial")),0.166666666666667,""))</f>
        <v/>
      </c>
      <c r="AE945" s="8" t="str">
        <f aca="false">IF(AND(D945="Férié",F945="Férié"),0.333333333333333,IF(OR(AND(D945="Férié",F945&lt;&gt;"Férié"),(AND(F945="Férié",D945&lt;&gt;"Férié"))),0.166666666666667,""))</f>
        <v/>
      </c>
      <c r="AF945" s="18"/>
      <c r="AG945" s="18"/>
    </row>
    <row r="946" customFormat="false" ht="15" hidden="false" customHeight="false" outlineLevel="0" collapsed="false">
      <c r="A946" s="6" t="str">
        <f aca="false">YEAR(Q946-WEEKDAY(Q946,2)+4)&amp;"-S"&amp;TEXT(WEEKNUM(Q946,21),"00")</f>
        <v>2026-S33</v>
      </c>
      <c r="B946" s="18" t="s">
        <v>71</v>
      </c>
      <c r="C946" s="19" t="n">
        <v>0.330555555555556</v>
      </c>
      <c r="D946" s="19" t="n">
        <v>0.333333333333333</v>
      </c>
      <c r="E946" s="19" t="n">
        <v>0.75</v>
      </c>
      <c r="F946" s="19" t="n">
        <v>0.75</v>
      </c>
      <c r="G946" s="20"/>
      <c r="H946" s="20"/>
      <c r="I946" s="8" t="str">
        <f aca="false">IF(IF(OR(C946="",D946="Congé",D946="OFF",D946="Congé spécial"),"",IF(D946&gt;F946,D946-C946,IF(C946-D946&lt;0,0,C946-D946)))&lt;0.00068287037037037,"",IF(OR(D946="Congé",D946="OFF",C946="",D946="Congé spécial"),"",IF(D946&gt;F946,D946-C946,IF(C946-D946&lt;0,0,C946-D946))))</f>
        <v/>
      </c>
      <c r="J946" s="20"/>
      <c r="K946" s="8" t="n">
        <f aca="false">IF(SUM(H946:J946)&lt;0.00068287037037037,0,SUM(H946:J946))</f>
        <v>0</v>
      </c>
      <c r="L946" s="8" t="n">
        <f aca="false">IF(OR(F946="Congé",F946="OFF",M946="Abs",F946="Congé sans solde",F946="Férié",F946="Congé spécial",D946="Congé spécial"),0,IF(F946-E946&lt;0,0,IF(F946-E946&lt;=0.00068287037037037,0,F946-E946)))</f>
        <v>0</v>
      </c>
      <c r="M946" s="6" t="n">
        <f aca="false">IF(AND(O946&lt;&gt;0,C946=""),"Abs",0)</f>
        <v>0</v>
      </c>
      <c r="N946" s="8" t="n">
        <f aca="false">IFERROR(IF(OR(D946="OFF",D946="Congé",M946="Abs",D946="Congé sans solde",D946="Férié"),"",IF(O946-K946-L946&gt;O946,O946,IF(O946-K946-L946&lt;0,"",O946-K946-L946))),"")</f>
        <v>0.375</v>
      </c>
      <c r="O946" s="8" t="n">
        <f aca="false">IF(AG946="2H Pause déjeuner",IF(F946-D946-0.0833333333333333&lt;0,F946-D946-0.0833333333333333+1,F946-D946-0.0833333333333333),IF(OR(AND(F946="OFF",D946="OFF"),AND(F946="Congé",D946="Congé"),AND(F946="Congé sans solde",D946="Congé sans solde"),AND(F946="Congé spécial",D946="Congé spécial"),AND(F946="Férié",D946="Férié"),AND(F946="OFF",D946="Congé"),AND(F946="OFF",D946="Congé sans solde"),AND(F946="OFF",D946="Congé spécial"),AND(F946="OFF",D946="Férié"),AND(F946="Congé",D946="OFF"),AND(F946="Congé",D946="Congé sans solde"),AND(F946="Congé",D946="Congé spécial"),AND(F946="Congé",D946="Férié"),AND(F946="Congé sans solde",D946="OFF"),AND(F946="Congé sans solde",D946="Congé"),AND(F946="Congé sans solde",D946="Congé spécial"),AND(F946="Congé sans solde",D946="Férié"),AND(F946="Congé spécial",D946="OFF"),AND(F946="Congé spécial",D946="Congé"),AND(F946="Congé spécial",D946="Congé sans solde"),AND(F946="Congé spécial",D946="Férié"),AND(F946="Férié",D946="OFF"),AND(F946="Férié",D946="Congé"),AND(F946="Férié",D946="Congé sans solde"),AND(F946="Férié",D946="Congé spécial")),0,IF(OR(F946="OFF",F946="Congé",F946="Congé spécial",F946="Congé sans solde",D946="OFF",D946="Congé",D946="Congé spécial",D946="Congé sans solde"),0.208333333333334,IF(AND(AG946="",F946-D946&lt;0),("24:00:00"-D946)+("00:00:00"+F946)-0.0416666666666667,IF(AND(OR(AG946="Allaitement",AG946="Sans déjeuner"),F946-D946&lt;0),("24:00:00"-D946)+("00:00:00"+F946),IF(AND(AG946="",F946-D946&gt;0.166666666666667),F946-D946-0.0416666666666667,IF(AND(OR(AG946="Allaitement",AG946="Sans déjeuner"),F946-D946&gt;0.166666666666667),F946-D946,F946-D946)))))))</f>
        <v>0.375</v>
      </c>
      <c r="P946" s="6" t="str">
        <f aca="false">IFERROR(VLOOKUP($B946,Agents!$A:$D,2,0),"-")</f>
        <v>Accessibilité</v>
      </c>
      <c r="Q946" s="21" t="n">
        <v>46246</v>
      </c>
      <c r="R946" s="8" t="n">
        <f aca="false">IF(M946="Abs",O946,0)</f>
        <v>0</v>
      </c>
      <c r="S946" s="8" t="n">
        <f aca="false">SUM(R946,L946,I946,J946,W946,H946)</f>
        <v>0</v>
      </c>
      <c r="T946" s="6" t="str">
        <f aca="false">"Sem - "&amp;WEEKNUM(Q946,21)</f>
        <v>Sem - 33</v>
      </c>
      <c r="U946" s="6" t="str">
        <f aca="false">CHOOSE(MONTH(Q946),"Janvier","Février","Mars","Avril","Mai","Juin","Juillet","Août","Septembre","Octobre","Novembre","Décembre")</f>
        <v>Août</v>
      </c>
      <c r="V946" s="22" t="n">
        <f aca="false">YEAR(Q946)</f>
        <v>2026</v>
      </c>
      <c r="W946" s="20"/>
      <c r="X946" s="8" t="n">
        <f aca="false">IFERROR(IF(M946="Abs",0,IF(ROUND((D946-C946+E946-F946)*1440,0)&lt;=1,0,D946-C946+E946-F946)),0)</f>
        <v>0.00277777777777778</v>
      </c>
      <c r="Y946" s="6" t="str">
        <f aca="false">IFERROR(VLOOKUP($B946,Agents!$A:$D,3,0),"-")</f>
        <v>OUBRAHIM Mohammed</v>
      </c>
      <c r="Z946" s="6" t="str">
        <f aca="false">IFERROR(VLOOKUP($B946,Agents!$A:$D,4,0),"-")</f>
        <v>Credit Mutuel</v>
      </c>
      <c r="AA946" s="18" t="s">
        <v>115</v>
      </c>
      <c r="AB946" s="8" t="str">
        <f aca="false">IF(AND(D946="Congé",F946="Congé"),0.333333333333333,IF(OR(AND(D946="Congé",F946&lt;&gt;"Congé"),(AND(F946="Congé",D946&lt;&gt;"Congé"))),0.166666666666667,""))</f>
        <v/>
      </c>
      <c r="AC946" s="8" t="str">
        <f aca="false">IF(AND(D946="Congé sans solde",F946="Congé sans solde"),0.333333333333333,IF(OR(AND(D946="Congé sans solde",F946&lt;&gt;"Congé sans solde"),(AND(F946="Congé sans solde",D946&lt;&gt;"Congé sans solde"))),0.166666666666667,""))</f>
        <v/>
      </c>
      <c r="AD946" s="8" t="str">
        <f aca="false">IF(AND(D946="Congé spécial",F946="Congé spécial"),0.333333333333333,IF(OR(AND(D946="Congé spécial",F946&lt;&gt;"Congé spécial"),AND(F946="Congé spécial",D946&lt;&gt;"Congé spécial")),0.166666666666667,""))</f>
        <v/>
      </c>
      <c r="AE946" s="8" t="str">
        <f aca="false">IF(AND(D946="Férié",F946="Férié"),0.333333333333333,IF(OR(AND(D946="Férié",F946&lt;&gt;"Férié"),(AND(F946="Férié",D946&lt;&gt;"Férié"))),0.166666666666667,""))</f>
        <v/>
      </c>
      <c r="AF946" s="18"/>
      <c r="AG946" s="18"/>
    </row>
    <row r="947" customFormat="false" ht="15" hidden="false" customHeight="false" outlineLevel="0" collapsed="false">
      <c r="A947" s="6" t="str">
        <f aca="false">YEAR(Q947-WEEKDAY(Q947,2)+4)&amp;"-S"&amp;TEXT(WEEKNUM(Q947,21),"00")</f>
        <v>2026-S33</v>
      </c>
      <c r="B947" s="18" t="s">
        <v>72</v>
      </c>
      <c r="C947" s="19" t="n">
        <v>0.330555555555556</v>
      </c>
      <c r="D947" s="19" t="n">
        <v>0.333333333333333</v>
      </c>
      <c r="E947" s="19" t="n">
        <v>0.75</v>
      </c>
      <c r="F947" s="19" t="n">
        <v>0.75</v>
      </c>
      <c r="G947" s="20"/>
      <c r="H947" s="20"/>
      <c r="I947" s="8" t="str">
        <f aca="false">IF(IF(OR(C947="",D947="Congé",D947="OFF",D947="Congé spécial"),"",IF(D947&gt;F947,D947-C947,IF(C947-D947&lt;0,0,C947-D947)))&lt;0.00068287037037037,"",IF(OR(D947="Congé",D947="OFF",C947="",D947="Congé spécial"),"",IF(D947&gt;F947,D947-C947,IF(C947-D947&lt;0,0,C947-D947))))</f>
        <v/>
      </c>
      <c r="J947" s="20"/>
      <c r="K947" s="8" t="n">
        <f aca="false">IF(SUM(H947:J947)&lt;0.00068287037037037,0,SUM(H947:J947))</f>
        <v>0</v>
      </c>
      <c r="L947" s="8" t="n">
        <f aca="false">IF(OR(F947="Congé",F947="OFF",M947="Abs",F947="Congé sans solde",F947="Férié",F947="Congé spécial",D947="Congé spécial"),0,IF(F947-E947&lt;0,0,IF(F947-E947&lt;=0.00068287037037037,0,F947-E947)))</f>
        <v>0</v>
      </c>
      <c r="M947" s="6" t="n">
        <f aca="false">IF(AND(O947&lt;&gt;0,C947=""),"Abs",0)</f>
        <v>0</v>
      </c>
      <c r="N947" s="8" t="n">
        <f aca="false">IFERROR(IF(OR(D947="OFF",D947="Congé",M947="Abs",D947="Congé sans solde",D947="Férié"),"",IF(O947-K947-L947&gt;O947,O947,IF(O947-K947-L947&lt;0,"",O947-K947-L947))),"")</f>
        <v>0.375</v>
      </c>
      <c r="O947" s="8" t="n">
        <f aca="false">IF(AG947="2H Pause déjeuner",IF(F947-D947-0.0833333333333333&lt;0,F947-D947-0.0833333333333333+1,F947-D947-0.0833333333333333),IF(OR(AND(F947="OFF",D947="OFF"),AND(F947="Congé",D947="Congé"),AND(F947="Congé sans solde",D947="Congé sans solde"),AND(F947="Congé spécial",D947="Congé spécial"),AND(F947="Férié",D947="Férié"),AND(F947="OFF",D947="Congé"),AND(F947="OFF",D947="Congé sans solde"),AND(F947="OFF",D947="Congé spécial"),AND(F947="OFF",D947="Férié"),AND(F947="Congé",D947="OFF"),AND(F947="Congé",D947="Congé sans solde"),AND(F947="Congé",D947="Congé spécial"),AND(F947="Congé",D947="Férié"),AND(F947="Congé sans solde",D947="OFF"),AND(F947="Congé sans solde",D947="Congé"),AND(F947="Congé sans solde",D947="Congé spécial"),AND(F947="Congé sans solde",D947="Férié"),AND(F947="Congé spécial",D947="OFF"),AND(F947="Congé spécial",D947="Congé"),AND(F947="Congé spécial",D947="Congé sans solde"),AND(F947="Congé spécial",D947="Férié"),AND(F947="Férié",D947="OFF"),AND(F947="Férié",D947="Congé"),AND(F947="Férié",D947="Congé sans solde"),AND(F947="Férié",D947="Congé spécial")),0,IF(OR(F947="OFF",F947="Congé",F947="Congé spécial",F947="Congé sans solde",D947="OFF",D947="Congé",D947="Congé spécial",D947="Congé sans solde"),0.208333333333334,IF(AND(AG947="",F947-D947&lt;0),("24:00:00"-D947)+("00:00:00"+F947)-0.0416666666666667,IF(AND(OR(AG947="Allaitement",AG947="Sans déjeuner"),F947-D947&lt;0),("24:00:00"-D947)+("00:00:00"+F947),IF(AND(AG947="",F947-D947&gt;0.166666666666667),F947-D947-0.0416666666666667,IF(AND(OR(AG947="Allaitement",AG947="Sans déjeuner"),F947-D947&gt;0.166666666666667),F947-D947,F947-D947)))))))</f>
        <v>0.375</v>
      </c>
      <c r="P947" s="6" t="str">
        <f aca="false">IFERROR(VLOOKUP($B947,Agents!$A:$D,2,0),"-")</f>
        <v>Accessibilité</v>
      </c>
      <c r="Q947" s="21" t="n">
        <v>46246</v>
      </c>
      <c r="R947" s="8" t="n">
        <f aca="false">IF(M947="Abs",O947,0)</f>
        <v>0</v>
      </c>
      <c r="S947" s="8" t="n">
        <f aca="false">SUM(R947,L947,I947,J947,W947,H947)</f>
        <v>0</v>
      </c>
      <c r="T947" s="6" t="str">
        <f aca="false">"Sem - "&amp;WEEKNUM(Q947,21)</f>
        <v>Sem - 33</v>
      </c>
      <c r="U947" s="6" t="str">
        <f aca="false">CHOOSE(MONTH(Q947),"Janvier","Février","Mars","Avril","Mai","Juin","Juillet","Août","Septembre","Octobre","Novembre","Décembre")</f>
        <v>Août</v>
      </c>
      <c r="V947" s="22" t="n">
        <f aca="false">YEAR(Q947)</f>
        <v>2026</v>
      </c>
      <c r="W947" s="20"/>
      <c r="X947" s="8" t="n">
        <f aca="false">IFERROR(IF(M947="Abs",0,IF(ROUND((D947-C947+E947-F947)*1440,0)&lt;=1,0,D947-C947+E947-F947)),0)</f>
        <v>0.00277777777777778</v>
      </c>
      <c r="Y947" s="6" t="str">
        <f aca="false">IFERROR(VLOOKUP($B947,Agents!$A:$D,3,0),"-")</f>
        <v>OUBRAHIM Mohammed</v>
      </c>
      <c r="Z947" s="6" t="str">
        <f aca="false">IFERROR(VLOOKUP($B947,Agents!$A:$D,4,0),"-")</f>
        <v>Credit Mutuel</v>
      </c>
      <c r="AA947" s="18" t="s">
        <v>115</v>
      </c>
      <c r="AB947" s="8" t="str">
        <f aca="false">IF(AND(D947="Congé",F947="Congé"),0.333333333333333,IF(OR(AND(D947="Congé",F947&lt;&gt;"Congé"),(AND(F947="Congé",D947&lt;&gt;"Congé"))),0.166666666666667,""))</f>
        <v/>
      </c>
      <c r="AC947" s="8" t="str">
        <f aca="false">IF(AND(D947="Congé sans solde",F947="Congé sans solde"),0.333333333333333,IF(OR(AND(D947="Congé sans solde",F947&lt;&gt;"Congé sans solde"),(AND(F947="Congé sans solde",D947&lt;&gt;"Congé sans solde"))),0.166666666666667,""))</f>
        <v/>
      </c>
      <c r="AD947" s="8" t="str">
        <f aca="false">IF(AND(D947="Congé spécial",F947="Congé spécial"),0.333333333333333,IF(OR(AND(D947="Congé spécial",F947&lt;&gt;"Congé spécial"),AND(F947="Congé spécial",D947&lt;&gt;"Congé spécial")),0.166666666666667,""))</f>
        <v/>
      </c>
      <c r="AE947" s="8" t="str">
        <f aca="false">IF(AND(D947="Férié",F947="Férié"),0.333333333333333,IF(OR(AND(D947="Férié",F947&lt;&gt;"Férié"),(AND(F947="Férié",D947&lt;&gt;"Férié"))),0.166666666666667,""))</f>
        <v/>
      </c>
      <c r="AF947" s="18"/>
      <c r="AG947" s="18"/>
    </row>
    <row r="948" customFormat="false" ht="15" hidden="false" customHeight="false" outlineLevel="0" collapsed="false">
      <c r="A948" s="6" t="str">
        <f aca="false">YEAR(Q948-WEEKDAY(Q948,2)+4)&amp;"-S"&amp;TEXT(WEEKNUM(Q948,21),"00")</f>
        <v>2026-S33</v>
      </c>
      <c r="B948" s="18" t="s">
        <v>73</v>
      </c>
      <c r="C948" s="19" t="n">
        <v>0.330555555555556</v>
      </c>
      <c r="D948" s="19" t="n">
        <v>0.333333333333333</v>
      </c>
      <c r="E948" s="19" t="n">
        <v>0.75</v>
      </c>
      <c r="F948" s="19" t="n">
        <v>0.75</v>
      </c>
      <c r="G948" s="20"/>
      <c r="H948" s="20"/>
      <c r="I948" s="8" t="str">
        <f aca="false">IF(IF(OR(C948="",D948="Congé",D948="OFF",D948="Congé spécial"),"",IF(D948&gt;F948,D948-C948,IF(C948-D948&lt;0,0,C948-D948)))&lt;0.00068287037037037,"",IF(OR(D948="Congé",D948="OFF",C948="",D948="Congé spécial"),"",IF(D948&gt;F948,D948-C948,IF(C948-D948&lt;0,0,C948-D948))))</f>
        <v/>
      </c>
      <c r="J948" s="20"/>
      <c r="K948" s="8" t="n">
        <f aca="false">IF(SUM(H948:J948)&lt;0.00068287037037037,0,SUM(H948:J948))</f>
        <v>0</v>
      </c>
      <c r="L948" s="8" t="n">
        <f aca="false">IF(OR(F948="Congé",F948="OFF",M948="Abs",F948="Congé sans solde",F948="Férié",F948="Congé spécial",D948="Congé spécial"),0,IF(F948-E948&lt;0,0,IF(F948-E948&lt;=0.00068287037037037,0,F948-E948)))</f>
        <v>0</v>
      </c>
      <c r="M948" s="6" t="n">
        <f aca="false">IF(AND(O948&lt;&gt;0,C948=""),"Abs",0)</f>
        <v>0</v>
      </c>
      <c r="N948" s="8" t="n">
        <f aca="false">IFERROR(IF(OR(D948="OFF",D948="Congé",M948="Abs",D948="Congé sans solde",D948="Férié"),"",IF(O948-K948-L948&gt;O948,O948,IF(O948-K948-L948&lt;0,"",O948-K948-L948))),"")</f>
        <v>0.375</v>
      </c>
      <c r="O948" s="8" t="n">
        <f aca="false">IF(AG948="2H Pause déjeuner",IF(F948-D948-0.0833333333333333&lt;0,F948-D948-0.0833333333333333+1,F948-D948-0.0833333333333333),IF(OR(AND(F948="OFF",D948="OFF"),AND(F948="Congé",D948="Congé"),AND(F948="Congé sans solde",D948="Congé sans solde"),AND(F948="Congé spécial",D948="Congé spécial"),AND(F948="Férié",D948="Férié"),AND(F948="OFF",D948="Congé"),AND(F948="OFF",D948="Congé sans solde"),AND(F948="OFF",D948="Congé spécial"),AND(F948="OFF",D948="Férié"),AND(F948="Congé",D948="OFF"),AND(F948="Congé",D948="Congé sans solde"),AND(F948="Congé",D948="Congé spécial"),AND(F948="Congé",D948="Férié"),AND(F948="Congé sans solde",D948="OFF"),AND(F948="Congé sans solde",D948="Congé"),AND(F948="Congé sans solde",D948="Congé spécial"),AND(F948="Congé sans solde",D948="Férié"),AND(F948="Congé spécial",D948="OFF"),AND(F948="Congé spécial",D948="Congé"),AND(F948="Congé spécial",D948="Congé sans solde"),AND(F948="Congé spécial",D948="Férié"),AND(F948="Férié",D948="OFF"),AND(F948="Férié",D948="Congé"),AND(F948="Férié",D948="Congé sans solde"),AND(F948="Férié",D948="Congé spécial")),0,IF(OR(F948="OFF",F948="Congé",F948="Congé spécial",F948="Congé sans solde",D948="OFF",D948="Congé",D948="Congé spécial",D948="Congé sans solde"),0.208333333333334,IF(AND(AG948="",F948-D948&lt;0),("24:00:00"-D948)+("00:00:00"+F948)-0.0416666666666667,IF(AND(OR(AG948="Allaitement",AG948="Sans déjeuner"),F948-D948&lt;0),("24:00:00"-D948)+("00:00:00"+F948),IF(AND(AG948="",F948-D948&gt;0.166666666666667),F948-D948-0.0416666666666667,IF(AND(OR(AG948="Allaitement",AG948="Sans déjeuner"),F948-D948&gt;0.166666666666667),F948-D948,F948-D948)))))))</f>
        <v>0.375</v>
      </c>
      <c r="P948" s="6" t="str">
        <f aca="false">IFERROR(VLOOKUP($B948,Agents!$A:$D,2,0),"-")</f>
        <v>Accessibilité</v>
      </c>
      <c r="Q948" s="21" t="n">
        <v>46246</v>
      </c>
      <c r="R948" s="8" t="n">
        <f aca="false">IF(M948="Abs",O948,0)</f>
        <v>0</v>
      </c>
      <c r="S948" s="8" t="n">
        <f aca="false">SUM(R948,L948,I948,J948,W948,H948)</f>
        <v>0</v>
      </c>
      <c r="T948" s="6" t="str">
        <f aca="false">"Sem - "&amp;WEEKNUM(Q948,21)</f>
        <v>Sem - 33</v>
      </c>
      <c r="U948" s="6" t="str">
        <f aca="false">CHOOSE(MONTH(Q948),"Janvier","Février","Mars","Avril","Mai","Juin","Juillet","Août","Septembre","Octobre","Novembre","Décembre")</f>
        <v>Août</v>
      </c>
      <c r="V948" s="22" t="n">
        <f aca="false">YEAR(Q948)</f>
        <v>2026</v>
      </c>
      <c r="W948" s="20"/>
      <c r="X948" s="8" t="n">
        <f aca="false">IFERROR(IF(M948="Abs",0,IF(ROUND((D948-C948+E948-F948)*1440,0)&lt;=1,0,D948-C948+E948-F948)),0)</f>
        <v>0.00277777777777778</v>
      </c>
      <c r="Y948" s="6" t="str">
        <f aca="false">IFERROR(VLOOKUP($B948,Agents!$A:$D,3,0),"-")</f>
        <v>OUBRAHIM Mohammed</v>
      </c>
      <c r="Z948" s="6" t="str">
        <f aca="false">IFERROR(VLOOKUP($B948,Agents!$A:$D,4,0),"-")</f>
        <v>Credit Mutuel</v>
      </c>
      <c r="AA948" s="18" t="s">
        <v>115</v>
      </c>
      <c r="AB948" s="8" t="str">
        <f aca="false">IF(AND(D948="Congé",F948="Congé"),0.333333333333333,IF(OR(AND(D948="Congé",F948&lt;&gt;"Congé"),(AND(F948="Congé",D948&lt;&gt;"Congé"))),0.166666666666667,""))</f>
        <v/>
      </c>
      <c r="AC948" s="8" t="str">
        <f aca="false">IF(AND(D948="Congé sans solde",F948="Congé sans solde"),0.333333333333333,IF(OR(AND(D948="Congé sans solde",F948&lt;&gt;"Congé sans solde"),(AND(F948="Congé sans solde",D948&lt;&gt;"Congé sans solde"))),0.166666666666667,""))</f>
        <v/>
      </c>
      <c r="AD948" s="8" t="str">
        <f aca="false">IF(AND(D948="Congé spécial",F948="Congé spécial"),0.333333333333333,IF(OR(AND(D948="Congé spécial",F948&lt;&gt;"Congé spécial"),AND(F948="Congé spécial",D948&lt;&gt;"Congé spécial")),0.166666666666667,""))</f>
        <v/>
      </c>
      <c r="AE948" s="8" t="str">
        <f aca="false">IF(AND(D948="Férié",F948="Férié"),0.333333333333333,IF(OR(AND(D948="Férié",F948&lt;&gt;"Férié"),(AND(F948="Férié",D948&lt;&gt;"Férié"))),0.166666666666667,""))</f>
        <v/>
      </c>
      <c r="AF948" s="18"/>
      <c r="AG948" s="18"/>
    </row>
    <row r="949" customFormat="false" ht="15" hidden="false" customHeight="false" outlineLevel="0" collapsed="false">
      <c r="A949" s="6" t="str">
        <f aca="false">YEAR(Q949-WEEKDAY(Q949,2)+4)&amp;"-S"&amp;TEXT(WEEKNUM(Q949,21),"00")</f>
        <v>2026-S33</v>
      </c>
      <c r="B949" s="18" t="s">
        <v>71</v>
      </c>
      <c r="C949" s="19" t="n">
        <v>0.33125</v>
      </c>
      <c r="D949" s="19" t="n">
        <v>0.333333333333333</v>
      </c>
      <c r="E949" s="19" t="n">
        <v>0.75</v>
      </c>
      <c r="F949" s="19" t="n">
        <v>0.75</v>
      </c>
      <c r="G949" s="20"/>
      <c r="H949" s="20"/>
      <c r="I949" s="8" t="str">
        <f aca="false">IF(IF(OR(C949="",D949="Congé",D949="OFF",D949="Congé spécial"),"",IF(D949&gt;F949,D949-C949,IF(C949-D949&lt;0,0,C949-D949)))&lt;0.00068287037037037,"",IF(OR(D949="Congé",D949="OFF",C949="",D949="Congé spécial"),"",IF(D949&gt;F949,D949-C949,IF(C949-D949&lt;0,0,C949-D949))))</f>
        <v/>
      </c>
      <c r="J949" s="20"/>
      <c r="K949" s="8" t="n">
        <f aca="false">IF(SUM(H949:J949)&lt;0.00068287037037037,0,SUM(H949:J949))</f>
        <v>0</v>
      </c>
      <c r="L949" s="8" t="n">
        <f aca="false">IF(OR(F949="Congé",F949="OFF",M949="Abs",F949="Congé sans solde",F949="Férié",F949="Congé spécial",D949="Congé spécial"),0,IF(F949-E949&lt;0,0,IF(F949-E949&lt;=0.00068287037037037,0,F949-E949)))</f>
        <v>0</v>
      </c>
      <c r="M949" s="6" t="n">
        <f aca="false">IF(AND(O949&lt;&gt;0,C949=""),"Abs",0)</f>
        <v>0</v>
      </c>
      <c r="N949" s="8" t="n">
        <f aca="false">IFERROR(IF(OR(D949="OFF",D949="Congé",M949="Abs",D949="Congé sans solde",D949="Férié"),"",IF(O949-K949-L949&gt;O949,O949,IF(O949-K949-L949&lt;0,"",O949-K949-L949))),"")</f>
        <v>0.375</v>
      </c>
      <c r="O949" s="8" t="n">
        <f aca="false">IF(AG949="2H Pause déjeuner",IF(F949-D949-0.0833333333333333&lt;0,F949-D949-0.0833333333333333+1,F949-D949-0.0833333333333333),IF(OR(AND(F949="OFF",D949="OFF"),AND(F949="Congé",D949="Congé"),AND(F949="Congé sans solde",D949="Congé sans solde"),AND(F949="Congé spécial",D949="Congé spécial"),AND(F949="Férié",D949="Férié"),AND(F949="OFF",D949="Congé"),AND(F949="OFF",D949="Congé sans solde"),AND(F949="OFF",D949="Congé spécial"),AND(F949="OFF",D949="Férié"),AND(F949="Congé",D949="OFF"),AND(F949="Congé",D949="Congé sans solde"),AND(F949="Congé",D949="Congé spécial"),AND(F949="Congé",D949="Férié"),AND(F949="Congé sans solde",D949="OFF"),AND(F949="Congé sans solde",D949="Congé"),AND(F949="Congé sans solde",D949="Congé spécial"),AND(F949="Congé sans solde",D949="Férié"),AND(F949="Congé spécial",D949="OFF"),AND(F949="Congé spécial",D949="Congé"),AND(F949="Congé spécial",D949="Congé sans solde"),AND(F949="Congé spécial",D949="Férié"),AND(F949="Férié",D949="OFF"),AND(F949="Férié",D949="Congé"),AND(F949="Férié",D949="Congé sans solde"),AND(F949="Férié",D949="Congé spécial")),0,IF(OR(F949="OFF",F949="Congé",F949="Congé spécial",F949="Congé sans solde",D949="OFF",D949="Congé",D949="Congé spécial",D949="Congé sans solde"),0.208333333333334,IF(AND(AG949="",F949-D949&lt;0),("24:00:00"-D949)+("00:00:00"+F949)-0.0416666666666667,IF(AND(OR(AG949="Allaitement",AG949="Sans déjeuner"),F949-D949&lt;0),("24:00:00"-D949)+("00:00:00"+F949),IF(AND(AG949="",F949-D949&gt;0.166666666666667),F949-D949-0.0416666666666667,IF(AND(OR(AG949="Allaitement",AG949="Sans déjeuner"),F949-D949&gt;0.166666666666667),F949-D949,F949-D949)))))))</f>
        <v>0.375</v>
      </c>
      <c r="P949" s="6" t="str">
        <f aca="false">IFERROR(VLOOKUP($B949,Agents!$A:$D,2,0),"-")</f>
        <v>Accessibilité</v>
      </c>
      <c r="Q949" s="21" t="n">
        <v>46247</v>
      </c>
      <c r="R949" s="8" t="n">
        <f aca="false">IF(M949="Abs",O949,0)</f>
        <v>0</v>
      </c>
      <c r="S949" s="8" t="n">
        <f aca="false">SUM(R949,L949,I949,J949,W949,H949)</f>
        <v>0</v>
      </c>
      <c r="T949" s="6" t="str">
        <f aca="false">"Sem - "&amp;WEEKNUM(Q949,21)</f>
        <v>Sem - 33</v>
      </c>
      <c r="U949" s="6" t="str">
        <f aca="false">CHOOSE(MONTH(Q949),"Janvier","Février","Mars","Avril","Mai","Juin","Juillet","Août","Septembre","Octobre","Novembre","Décembre")</f>
        <v>Août</v>
      </c>
      <c r="V949" s="22" t="n">
        <f aca="false">YEAR(Q949)</f>
        <v>2026</v>
      </c>
      <c r="W949" s="20"/>
      <c r="X949" s="8" t="n">
        <f aca="false">IFERROR(IF(M949="Abs",0,IF(ROUND((D949-C949+E949-F949)*1440,0)&lt;=1,0,D949-C949+E949-F949)),0)</f>
        <v>0.00208333333333333</v>
      </c>
      <c r="Y949" s="6" t="str">
        <f aca="false">IFERROR(VLOOKUP($B949,Agents!$A:$D,3,0),"-")</f>
        <v>OUBRAHIM Mohammed</v>
      </c>
      <c r="Z949" s="6" t="str">
        <f aca="false">IFERROR(VLOOKUP($B949,Agents!$A:$D,4,0),"-")</f>
        <v>Credit Mutuel</v>
      </c>
      <c r="AA949" s="18" t="s">
        <v>115</v>
      </c>
      <c r="AB949" s="8" t="str">
        <f aca="false">IF(AND(D949="Congé",F949="Congé"),0.333333333333333,IF(OR(AND(D949="Congé",F949&lt;&gt;"Congé"),(AND(F949="Congé",D949&lt;&gt;"Congé"))),0.166666666666667,""))</f>
        <v/>
      </c>
      <c r="AC949" s="8" t="str">
        <f aca="false">IF(AND(D949="Congé sans solde",F949="Congé sans solde"),0.333333333333333,IF(OR(AND(D949="Congé sans solde",F949&lt;&gt;"Congé sans solde"),(AND(F949="Congé sans solde",D949&lt;&gt;"Congé sans solde"))),0.166666666666667,""))</f>
        <v/>
      </c>
      <c r="AD949" s="8" t="str">
        <f aca="false">IF(AND(D949="Congé spécial",F949="Congé spécial"),0.333333333333333,IF(OR(AND(D949="Congé spécial",F949&lt;&gt;"Congé spécial"),AND(F949="Congé spécial",D949&lt;&gt;"Congé spécial")),0.166666666666667,""))</f>
        <v/>
      </c>
      <c r="AE949" s="8" t="str">
        <f aca="false">IF(AND(D949="Férié",F949="Férié"),0.333333333333333,IF(OR(AND(D949="Férié",F949&lt;&gt;"Férié"),(AND(F949="Férié",D949&lt;&gt;"Férié"))),0.166666666666667,""))</f>
        <v/>
      </c>
      <c r="AF949" s="18"/>
      <c r="AG949" s="18"/>
    </row>
    <row r="950" customFormat="false" ht="15" hidden="false" customHeight="false" outlineLevel="0" collapsed="false">
      <c r="A950" s="6" t="str">
        <f aca="false">YEAR(Q950-WEEKDAY(Q950,2)+4)&amp;"-S"&amp;TEXT(WEEKNUM(Q950,21),"00")</f>
        <v>2026-S33</v>
      </c>
      <c r="B950" s="18" t="s">
        <v>72</v>
      </c>
      <c r="C950" s="19" t="n">
        <v>0.332638888888889</v>
      </c>
      <c r="D950" s="19" t="n">
        <v>0.333333333333333</v>
      </c>
      <c r="E950" s="19" t="n">
        <v>0.75</v>
      </c>
      <c r="F950" s="19" t="n">
        <v>0.75</v>
      </c>
      <c r="G950" s="20"/>
      <c r="H950" s="20"/>
      <c r="I950" s="8" t="str">
        <f aca="false">IF(IF(OR(C950="",D950="Congé",D950="OFF",D950="Congé spécial"),"",IF(D950&gt;F950,D950-C950,IF(C950-D950&lt;0,0,C950-D950)))&lt;0.00068287037037037,"",IF(OR(D950="Congé",D950="OFF",C950="",D950="Congé spécial"),"",IF(D950&gt;F950,D950-C950,IF(C950-D950&lt;0,0,C950-D950))))</f>
        <v/>
      </c>
      <c r="J950" s="20"/>
      <c r="K950" s="8" t="n">
        <f aca="false">IF(SUM(H950:J950)&lt;0.00068287037037037,0,SUM(H950:J950))</f>
        <v>0</v>
      </c>
      <c r="L950" s="8" t="n">
        <f aca="false">IF(OR(F950="Congé",F950="OFF",M950="Abs",F950="Congé sans solde",F950="Férié",F950="Congé spécial",D950="Congé spécial"),0,IF(F950-E950&lt;0,0,IF(F950-E950&lt;=0.00068287037037037,0,F950-E950)))</f>
        <v>0</v>
      </c>
      <c r="M950" s="6" t="n">
        <f aca="false">IF(AND(O950&lt;&gt;0,C950=""),"Abs",0)</f>
        <v>0</v>
      </c>
      <c r="N950" s="8" t="n">
        <f aca="false">IFERROR(IF(OR(D950="OFF",D950="Congé",M950="Abs",D950="Congé sans solde",D950="Férié"),"",IF(O950-K950-L950&gt;O950,O950,IF(O950-K950-L950&lt;0,"",O950-K950-L950))),"")</f>
        <v>0.375</v>
      </c>
      <c r="O950" s="8" t="n">
        <f aca="false">IF(AG950="2H Pause déjeuner",IF(F950-D950-0.0833333333333333&lt;0,F950-D950-0.0833333333333333+1,F950-D950-0.0833333333333333),IF(OR(AND(F950="OFF",D950="OFF"),AND(F950="Congé",D950="Congé"),AND(F950="Congé sans solde",D950="Congé sans solde"),AND(F950="Congé spécial",D950="Congé spécial"),AND(F950="Férié",D950="Férié"),AND(F950="OFF",D950="Congé"),AND(F950="OFF",D950="Congé sans solde"),AND(F950="OFF",D950="Congé spécial"),AND(F950="OFF",D950="Férié"),AND(F950="Congé",D950="OFF"),AND(F950="Congé",D950="Congé sans solde"),AND(F950="Congé",D950="Congé spécial"),AND(F950="Congé",D950="Férié"),AND(F950="Congé sans solde",D950="OFF"),AND(F950="Congé sans solde",D950="Congé"),AND(F950="Congé sans solde",D950="Congé spécial"),AND(F950="Congé sans solde",D950="Férié"),AND(F950="Congé spécial",D950="OFF"),AND(F950="Congé spécial",D950="Congé"),AND(F950="Congé spécial",D950="Congé sans solde"),AND(F950="Congé spécial",D950="Férié"),AND(F950="Férié",D950="OFF"),AND(F950="Férié",D950="Congé"),AND(F950="Férié",D950="Congé sans solde"),AND(F950="Férié",D950="Congé spécial")),0,IF(OR(F950="OFF",F950="Congé",F950="Congé spécial",F950="Congé sans solde",D950="OFF",D950="Congé",D950="Congé spécial",D950="Congé sans solde"),0.208333333333334,IF(AND(AG950="",F950-D950&lt;0),("24:00:00"-D950)+("00:00:00"+F950)-0.0416666666666667,IF(AND(OR(AG950="Allaitement",AG950="Sans déjeuner"),F950-D950&lt;0),("24:00:00"-D950)+("00:00:00"+F950),IF(AND(AG950="",F950-D950&gt;0.166666666666667),F950-D950-0.0416666666666667,IF(AND(OR(AG950="Allaitement",AG950="Sans déjeuner"),F950-D950&gt;0.166666666666667),F950-D950,F950-D950)))))))</f>
        <v>0.375</v>
      </c>
      <c r="P950" s="6" t="str">
        <f aca="false">IFERROR(VLOOKUP($B950,Agents!$A:$D,2,0),"-")</f>
        <v>Accessibilité</v>
      </c>
      <c r="Q950" s="21" t="n">
        <v>46247</v>
      </c>
      <c r="R950" s="8" t="n">
        <f aca="false">IF(M950="Abs",O950,0)</f>
        <v>0</v>
      </c>
      <c r="S950" s="8" t="n">
        <f aca="false">SUM(R950,L950,I950,J950,W950,H950)</f>
        <v>0</v>
      </c>
      <c r="T950" s="6" t="str">
        <f aca="false">"Sem - "&amp;WEEKNUM(Q950,21)</f>
        <v>Sem - 33</v>
      </c>
      <c r="U950" s="6" t="str">
        <f aca="false">CHOOSE(MONTH(Q950),"Janvier","Février","Mars","Avril","Mai","Juin","Juillet","Août","Septembre","Octobre","Novembre","Décembre")</f>
        <v>Août</v>
      </c>
      <c r="V950" s="22" t="n">
        <f aca="false">YEAR(Q950)</f>
        <v>2026</v>
      </c>
      <c r="W950" s="20"/>
      <c r="X950" s="8" t="n">
        <f aca="false">IFERROR(IF(M950="Abs",0,IF(ROUND((D950-C950+E950-F950)*1440,0)&lt;=1,0,D950-C950+E950-F950)),0)</f>
        <v>0</v>
      </c>
      <c r="Y950" s="6" t="str">
        <f aca="false">IFERROR(VLOOKUP($B950,Agents!$A:$D,3,0),"-")</f>
        <v>OUBRAHIM Mohammed</v>
      </c>
      <c r="Z950" s="6" t="str">
        <f aca="false">IFERROR(VLOOKUP($B950,Agents!$A:$D,4,0),"-")</f>
        <v>Credit Mutuel</v>
      </c>
      <c r="AA950" s="18" t="s">
        <v>115</v>
      </c>
      <c r="AB950" s="8" t="str">
        <f aca="false">IF(AND(D950="Congé",F950="Congé"),0.333333333333333,IF(OR(AND(D950="Congé",F950&lt;&gt;"Congé"),(AND(F950="Congé",D950&lt;&gt;"Congé"))),0.166666666666667,""))</f>
        <v/>
      </c>
      <c r="AC950" s="8" t="str">
        <f aca="false">IF(AND(D950="Congé sans solde",F950="Congé sans solde"),0.333333333333333,IF(OR(AND(D950="Congé sans solde",F950&lt;&gt;"Congé sans solde"),(AND(F950="Congé sans solde",D950&lt;&gt;"Congé sans solde"))),0.166666666666667,""))</f>
        <v/>
      </c>
      <c r="AD950" s="8" t="str">
        <f aca="false">IF(AND(D950="Congé spécial",F950="Congé spécial"),0.333333333333333,IF(OR(AND(D950="Congé spécial",F950&lt;&gt;"Congé spécial"),AND(F950="Congé spécial",D950&lt;&gt;"Congé spécial")),0.166666666666667,""))</f>
        <v/>
      </c>
      <c r="AE950" s="8" t="str">
        <f aca="false">IF(AND(D950="Férié",F950="Férié"),0.333333333333333,IF(OR(AND(D950="Férié",F950&lt;&gt;"Férié"),(AND(F950="Férié",D950&lt;&gt;"Férié"))),0.166666666666667,""))</f>
        <v/>
      </c>
      <c r="AF950" s="18"/>
      <c r="AG950" s="18"/>
    </row>
    <row r="951" customFormat="false" ht="15" hidden="false" customHeight="false" outlineLevel="0" collapsed="false">
      <c r="A951" s="6" t="str">
        <f aca="false">YEAR(Q951-WEEKDAY(Q951,2)+4)&amp;"-S"&amp;TEXT(WEEKNUM(Q951,21),"00")</f>
        <v>2026-S33</v>
      </c>
      <c r="B951" s="18" t="s">
        <v>73</v>
      </c>
      <c r="C951" s="19" t="n">
        <v>0.33125</v>
      </c>
      <c r="D951" s="19" t="n">
        <v>0.333333333333333</v>
      </c>
      <c r="E951" s="19" t="n">
        <v>0.75</v>
      </c>
      <c r="F951" s="19" t="n">
        <v>0.75</v>
      </c>
      <c r="G951" s="20"/>
      <c r="H951" s="20"/>
      <c r="I951" s="8" t="str">
        <f aca="false">IF(IF(OR(C951="",D951="Congé",D951="OFF",D951="Congé spécial"),"",IF(D951&gt;F951,D951-C951,IF(C951-D951&lt;0,0,C951-D951)))&lt;0.00068287037037037,"",IF(OR(D951="Congé",D951="OFF",C951="",D951="Congé spécial"),"",IF(D951&gt;F951,D951-C951,IF(C951-D951&lt;0,0,C951-D951))))</f>
        <v/>
      </c>
      <c r="J951" s="20"/>
      <c r="K951" s="8" t="n">
        <f aca="false">IF(SUM(H951:J951)&lt;0.00068287037037037,0,SUM(H951:J951))</f>
        <v>0</v>
      </c>
      <c r="L951" s="8" t="n">
        <f aca="false">IF(OR(F951="Congé",F951="OFF",M951="Abs",F951="Congé sans solde",F951="Férié",F951="Congé spécial",D951="Congé spécial"),0,IF(F951-E951&lt;0,0,IF(F951-E951&lt;=0.00068287037037037,0,F951-E951)))</f>
        <v>0</v>
      </c>
      <c r="M951" s="6" t="n">
        <f aca="false">IF(AND(O951&lt;&gt;0,C951=""),"Abs",0)</f>
        <v>0</v>
      </c>
      <c r="N951" s="8" t="n">
        <f aca="false">IFERROR(IF(OR(D951="OFF",D951="Congé",M951="Abs",D951="Congé sans solde",D951="Férié"),"",IF(O951-K951-L951&gt;O951,O951,IF(O951-K951-L951&lt;0,"",O951-K951-L951))),"")</f>
        <v>0.375</v>
      </c>
      <c r="O951" s="8" t="n">
        <f aca="false">IF(AG951="2H Pause déjeuner",IF(F951-D951-0.0833333333333333&lt;0,F951-D951-0.0833333333333333+1,F951-D951-0.0833333333333333),IF(OR(AND(F951="OFF",D951="OFF"),AND(F951="Congé",D951="Congé"),AND(F951="Congé sans solde",D951="Congé sans solde"),AND(F951="Congé spécial",D951="Congé spécial"),AND(F951="Férié",D951="Férié"),AND(F951="OFF",D951="Congé"),AND(F951="OFF",D951="Congé sans solde"),AND(F951="OFF",D951="Congé spécial"),AND(F951="OFF",D951="Férié"),AND(F951="Congé",D951="OFF"),AND(F951="Congé",D951="Congé sans solde"),AND(F951="Congé",D951="Congé spécial"),AND(F951="Congé",D951="Férié"),AND(F951="Congé sans solde",D951="OFF"),AND(F951="Congé sans solde",D951="Congé"),AND(F951="Congé sans solde",D951="Congé spécial"),AND(F951="Congé sans solde",D951="Férié"),AND(F951="Congé spécial",D951="OFF"),AND(F951="Congé spécial",D951="Congé"),AND(F951="Congé spécial",D951="Congé sans solde"),AND(F951="Congé spécial",D951="Férié"),AND(F951="Férié",D951="OFF"),AND(F951="Férié",D951="Congé"),AND(F951="Férié",D951="Congé sans solde"),AND(F951="Férié",D951="Congé spécial")),0,IF(OR(F951="OFF",F951="Congé",F951="Congé spécial",F951="Congé sans solde",D951="OFF",D951="Congé",D951="Congé spécial",D951="Congé sans solde"),0.208333333333334,IF(AND(AG951="",F951-D951&lt;0),("24:00:00"-D951)+("00:00:00"+F951)-0.0416666666666667,IF(AND(OR(AG951="Allaitement",AG951="Sans déjeuner"),F951-D951&lt;0),("24:00:00"-D951)+("00:00:00"+F951),IF(AND(AG951="",F951-D951&gt;0.166666666666667),F951-D951-0.0416666666666667,IF(AND(OR(AG951="Allaitement",AG951="Sans déjeuner"),F951-D951&gt;0.166666666666667),F951-D951,F951-D951)))))))</f>
        <v>0.375</v>
      </c>
      <c r="P951" s="6" t="str">
        <f aca="false">IFERROR(VLOOKUP($B951,Agents!$A:$D,2,0),"-")</f>
        <v>Accessibilité</v>
      </c>
      <c r="Q951" s="21" t="n">
        <v>46247</v>
      </c>
      <c r="R951" s="8" t="n">
        <f aca="false">IF(M951="Abs",O951,0)</f>
        <v>0</v>
      </c>
      <c r="S951" s="8" t="n">
        <f aca="false">SUM(R951,L951,I951,J951,W951,H951)</f>
        <v>0</v>
      </c>
      <c r="T951" s="6" t="str">
        <f aca="false">"Sem - "&amp;WEEKNUM(Q951,21)</f>
        <v>Sem - 33</v>
      </c>
      <c r="U951" s="6" t="str">
        <f aca="false">CHOOSE(MONTH(Q951),"Janvier","Février","Mars","Avril","Mai","Juin","Juillet","Août","Septembre","Octobre","Novembre","Décembre")</f>
        <v>Août</v>
      </c>
      <c r="V951" s="22" t="n">
        <f aca="false">YEAR(Q951)</f>
        <v>2026</v>
      </c>
      <c r="W951" s="20"/>
      <c r="X951" s="8" t="n">
        <f aca="false">IFERROR(IF(M951="Abs",0,IF(ROUND((D951-C951+E951-F951)*1440,0)&lt;=1,0,D951-C951+E951-F951)),0)</f>
        <v>0.00208333333333333</v>
      </c>
      <c r="Y951" s="6" t="str">
        <f aca="false">IFERROR(VLOOKUP($B951,Agents!$A:$D,3,0),"-")</f>
        <v>OUBRAHIM Mohammed</v>
      </c>
      <c r="Z951" s="6" t="str">
        <f aca="false">IFERROR(VLOOKUP($B951,Agents!$A:$D,4,0),"-")</f>
        <v>Credit Mutuel</v>
      </c>
      <c r="AA951" s="18" t="s">
        <v>115</v>
      </c>
      <c r="AB951" s="8" t="str">
        <f aca="false">IF(AND(D951="Congé",F951="Congé"),0.333333333333333,IF(OR(AND(D951="Congé",F951&lt;&gt;"Congé"),(AND(F951="Congé",D951&lt;&gt;"Congé"))),0.166666666666667,""))</f>
        <v/>
      </c>
      <c r="AC951" s="8" t="str">
        <f aca="false">IF(AND(D951="Congé sans solde",F951="Congé sans solde"),0.333333333333333,IF(OR(AND(D951="Congé sans solde",F951&lt;&gt;"Congé sans solde"),(AND(F951="Congé sans solde",D951&lt;&gt;"Congé sans solde"))),0.166666666666667,""))</f>
        <v/>
      </c>
      <c r="AD951" s="8" t="str">
        <f aca="false">IF(AND(D951="Congé spécial",F951="Congé spécial"),0.333333333333333,IF(OR(AND(D951="Congé spécial",F951&lt;&gt;"Congé spécial"),AND(F951="Congé spécial",D951&lt;&gt;"Congé spécial")),0.166666666666667,""))</f>
        <v/>
      </c>
      <c r="AE951" s="8" t="str">
        <f aca="false">IF(AND(D951="Férié",F951="Férié"),0.333333333333333,IF(OR(AND(D951="Férié",F951&lt;&gt;"Férié"),(AND(F951="Férié",D951&lt;&gt;"Férié"))),0.166666666666667,""))</f>
        <v/>
      </c>
      <c r="AF951" s="18"/>
      <c r="AG951" s="18"/>
    </row>
    <row r="952" customFormat="false" ht="15" hidden="false" customHeight="false" outlineLevel="0" collapsed="false">
      <c r="A952" s="6" t="str">
        <f aca="false">YEAR(Q952-WEEKDAY(Q952,2)+4)&amp;"-S"&amp;TEXT(WEEKNUM(Q952,21),"00")</f>
        <v>2026-S33</v>
      </c>
      <c r="B952" s="18" t="s">
        <v>71</v>
      </c>
      <c r="C952" s="19" t="n">
        <v>0.331944444444444</v>
      </c>
      <c r="D952" s="19" t="n">
        <v>0.333333333333333</v>
      </c>
      <c r="E952" s="19" t="n">
        <v>0.708333333333333</v>
      </c>
      <c r="F952" s="19" t="n">
        <v>0.708333333333333</v>
      </c>
      <c r="G952" s="20"/>
      <c r="H952" s="20"/>
      <c r="I952" s="8" t="str">
        <f aca="false">IF(IF(OR(C952="",D952="Congé",D952="OFF",D952="Congé spécial"),"",IF(D952&gt;F952,D952-C952,IF(C952-D952&lt;0,0,C952-D952)))&lt;0.00068287037037037,"",IF(OR(D952="Congé",D952="OFF",C952="",D952="Congé spécial"),"",IF(D952&gt;F952,D952-C952,IF(C952-D952&lt;0,0,C952-D952))))</f>
        <v/>
      </c>
      <c r="J952" s="20"/>
      <c r="K952" s="8" t="n">
        <f aca="false">IF(SUM(H952:J952)&lt;0.00068287037037037,0,SUM(H952:J952))</f>
        <v>0</v>
      </c>
      <c r="L952" s="8" t="n">
        <f aca="false">IF(OR(F952="Congé",F952="OFF",M952="Abs",F952="Congé sans solde",F952="Férié",F952="Congé spécial",D952="Congé spécial"),0,IF(F952-E952&lt;0,0,IF(F952-E952&lt;=0.00068287037037037,0,F952-E952)))</f>
        <v>0</v>
      </c>
      <c r="M952" s="6" t="n">
        <f aca="false">IF(AND(O952&lt;&gt;0,C952=""),"Abs",0)</f>
        <v>0</v>
      </c>
      <c r="N952" s="8" t="n">
        <f aca="false">IFERROR(IF(OR(D952="OFF",D952="Congé",M952="Abs",D952="Congé sans solde",D952="Férié"),"",IF(O952-K952-L952&gt;O952,O952,IF(O952-K952-L952&lt;0,"",O952-K952-L952))),"")</f>
        <v>0.333333333333333</v>
      </c>
      <c r="O952" s="8" t="n">
        <f aca="false">IF(AG952="2H Pause déjeuner",IF(F952-D952-0.0833333333333333&lt;0,F952-D952-0.0833333333333333+1,F952-D952-0.0833333333333333),IF(OR(AND(F952="OFF",D952="OFF"),AND(F952="Congé",D952="Congé"),AND(F952="Congé sans solde",D952="Congé sans solde"),AND(F952="Congé spécial",D952="Congé spécial"),AND(F952="Férié",D952="Férié"),AND(F952="OFF",D952="Congé"),AND(F952="OFF",D952="Congé sans solde"),AND(F952="OFF",D952="Congé spécial"),AND(F952="OFF",D952="Férié"),AND(F952="Congé",D952="OFF"),AND(F952="Congé",D952="Congé sans solde"),AND(F952="Congé",D952="Congé spécial"),AND(F952="Congé",D952="Férié"),AND(F952="Congé sans solde",D952="OFF"),AND(F952="Congé sans solde",D952="Congé"),AND(F952="Congé sans solde",D952="Congé spécial"),AND(F952="Congé sans solde",D952="Férié"),AND(F952="Congé spécial",D952="OFF"),AND(F952="Congé spécial",D952="Congé"),AND(F952="Congé spécial",D952="Congé sans solde"),AND(F952="Congé spécial",D952="Férié"),AND(F952="Férié",D952="OFF"),AND(F952="Férié",D952="Congé"),AND(F952="Férié",D952="Congé sans solde"),AND(F952="Férié",D952="Congé spécial")),0,IF(OR(F952="OFF",F952="Congé",F952="Congé spécial",F952="Congé sans solde",D952="OFF",D952="Congé",D952="Congé spécial",D952="Congé sans solde"),0.208333333333334,IF(AND(AG952="",F952-D952&lt;0),("24:00:00"-D952)+("00:00:00"+F952)-0.0416666666666667,IF(AND(OR(AG952="Allaitement",AG952="Sans déjeuner"),F952-D952&lt;0),("24:00:00"-D952)+("00:00:00"+F952),IF(AND(AG952="",F952-D952&gt;0.166666666666667),F952-D952-0.0416666666666667,IF(AND(OR(AG952="Allaitement",AG952="Sans déjeuner"),F952-D952&gt;0.166666666666667),F952-D952,F952-D952)))))))</f>
        <v>0.333333333333333</v>
      </c>
      <c r="P952" s="6" t="str">
        <f aca="false">IFERROR(VLOOKUP($B952,Agents!$A:$D,2,0),"-")</f>
        <v>Accessibilité</v>
      </c>
      <c r="Q952" s="21" t="n">
        <v>46248</v>
      </c>
      <c r="R952" s="8" t="n">
        <f aca="false">IF(M952="Abs",O952,0)</f>
        <v>0</v>
      </c>
      <c r="S952" s="8" t="n">
        <f aca="false">SUM(R952,L952,I952,J952,W952,H952)</f>
        <v>0</v>
      </c>
      <c r="T952" s="6" t="str">
        <f aca="false">"Sem - "&amp;WEEKNUM(Q952,21)</f>
        <v>Sem - 33</v>
      </c>
      <c r="U952" s="6" t="str">
        <f aca="false">CHOOSE(MONTH(Q952),"Janvier","Février","Mars","Avril","Mai","Juin","Juillet","Août","Septembre","Octobre","Novembre","Décembre")</f>
        <v>Août</v>
      </c>
      <c r="V952" s="22" t="n">
        <f aca="false">YEAR(Q952)</f>
        <v>2026</v>
      </c>
      <c r="W952" s="20"/>
      <c r="X952" s="8" t="n">
        <f aca="false">IFERROR(IF(M952="Abs",0,IF(ROUND((D952-C952+E952-F952)*1440,0)&lt;=1,0,D952-C952+E952-F952)),0)</f>
        <v>0.00138888888888889</v>
      </c>
      <c r="Y952" s="6" t="str">
        <f aca="false">IFERROR(VLOOKUP($B952,Agents!$A:$D,3,0),"-")</f>
        <v>OUBRAHIM Mohammed</v>
      </c>
      <c r="Z952" s="6" t="str">
        <f aca="false">IFERROR(VLOOKUP($B952,Agents!$A:$D,4,0),"-")</f>
        <v>Credit Mutuel</v>
      </c>
      <c r="AA952" s="18" t="s">
        <v>115</v>
      </c>
      <c r="AB952" s="8" t="str">
        <f aca="false">IF(AND(D952="Congé",F952="Congé"),0.333333333333333,IF(OR(AND(D952="Congé",F952&lt;&gt;"Congé"),(AND(F952="Congé",D952&lt;&gt;"Congé"))),0.166666666666667,""))</f>
        <v/>
      </c>
      <c r="AC952" s="8" t="str">
        <f aca="false">IF(AND(D952="Congé sans solde",F952="Congé sans solde"),0.333333333333333,IF(OR(AND(D952="Congé sans solde",F952&lt;&gt;"Congé sans solde"),(AND(F952="Congé sans solde",D952&lt;&gt;"Congé sans solde"))),0.166666666666667,""))</f>
        <v/>
      </c>
      <c r="AD952" s="8" t="str">
        <f aca="false">IF(AND(D952="Congé spécial",F952="Congé spécial"),0.333333333333333,IF(OR(AND(D952="Congé spécial",F952&lt;&gt;"Congé spécial"),AND(F952="Congé spécial",D952&lt;&gt;"Congé spécial")),0.166666666666667,""))</f>
        <v/>
      </c>
      <c r="AE952" s="8" t="str">
        <f aca="false">IF(AND(D952="Férié",F952="Férié"),0.333333333333333,IF(OR(AND(D952="Férié",F952&lt;&gt;"Férié"),(AND(F952="Férié",D952&lt;&gt;"Férié"))),0.166666666666667,""))</f>
        <v/>
      </c>
      <c r="AF952" s="18"/>
      <c r="AG952" s="18"/>
    </row>
    <row r="953" customFormat="false" ht="15" hidden="false" customHeight="false" outlineLevel="0" collapsed="false">
      <c r="A953" s="6" t="str">
        <f aca="false">YEAR(Q953-WEEKDAY(Q953,2)+4)&amp;"-S"&amp;TEXT(WEEKNUM(Q953,21),"00")</f>
        <v>2026-S33</v>
      </c>
      <c r="B953" s="18" t="s">
        <v>72</v>
      </c>
      <c r="C953" s="19" t="n">
        <v>0.331944444444444</v>
      </c>
      <c r="D953" s="19" t="n">
        <v>0.333333333333333</v>
      </c>
      <c r="E953" s="19" t="n">
        <v>0.708333333333333</v>
      </c>
      <c r="F953" s="19" t="n">
        <v>0.708333333333333</v>
      </c>
      <c r="G953" s="20"/>
      <c r="H953" s="20"/>
      <c r="I953" s="8" t="str">
        <f aca="false">IF(IF(OR(C953="",D953="Congé",D953="OFF",D953="Congé spécial"),"",IF(D953&gt;F953,D953-C953,IF(C953-D953&lt;0,0,C953-D953)))&lt;0.00068287037037037,"",IF(OR(D953="Congé",D953="OFF",C953="",D953="Congé spécial"),"",IF(D953&gt;F953,D953-C953,IF(C953-D953&lt;0,0,C953-D953))))</f>
        <v/>
      </c>
      <c r="J953" s="20"/>
      <c r="K953" s="8" t="n">
        <f aca="false">IF(SUM(H953:J953)&lt;0.00068287037037037,0,SUM(H953:J953))</f>
        <v>0</v>
      </c>
      <c r="L953" s="8" t="n">
        <f aca="false">IF(OR(F953="Congé",F953="OFF",M953="Abs",F953="Congé sans solde",F953="Férié",F953="Congé spécial",D953="Congé spécial"),0,IF(F953-E953&lt;0,0,IF(F953-E953&lt;=0.00068287037037037,0,F953-E953)))</f>
        <v>0</v>
      </c>
      <c r="M953" s="6" t="n">
        <f aca="false">IF(AND(O953&lt;&gt;0,C953=""),"Abs",0)</f>
        <v>0</v>
      </c>
      <c r="N953" s="8" t="n">
        <f aca="false">IFERROR(IF(OR(D953="OFF",D953="Congé",M953="Abs",D953="Congé sans solde",D953="Férié"),"",IF(O953-K953-L953&gt;O953,O953,IF(O953-K953-L953&lt;0,"",O953-K953-L953))),"")</f>
        <v>0.333333333333333</v>
      </c>
      <c r="O953" s="8" t="n">
        <f aca="false">IF(AG953="2H Pause déjeuner",IF(F953-D953-0.0833333333333333&lt;0,F953-D953-0.0833333333333333+1,F953-D953-0.0833333333333333),IF(OR(AND(F953="OFF",D953="OFF"),AND(F953="Congé",D953="Congé"),AND(F953="Congé sans solde",D953="Congé sans solde"),AND(F953="Congé spécial",D953="Congé spécial"),AND(F953="Férié",D953="Férié"),AND(F953="OFF",D953="Congé"),AND(F953="OFF",D953="Congé sans solde"),AND(F953="OFF",D953="Congé spécial"),AND(F953="OFF",D953="Férié"),AND(F953="Congé",D953="OFF"),AND(F953="Congé",D953="Congé sans solde"),AND(F953="Congé",D953="Congé spécial"),AND(F953="Congé",D953="Férié"),AND(F953="Congé sans solde",D953="OFF"),AND(F953="Congé sans solde",D953="Congé"),AND(F953="Congé sans solde",D953="Congé spécial"),AND(F953="Congé sans solde",D953="Férié"),AND(F953="Congé spécial",D953="OFF"),AND(F953="Congé spécial",D953="Congé"),AND(F953="Congé spécial",D953="Congé sans solde"),AND(F953="Congé spécial",D953="Férié"),AND(F953="Férié",D953="OFF"),AND(F953="Férié",D953="Congé"),AND(F953="Férié",D953="Congé sans solde"),AND(F953="Férié",D953="Congé spécial")),0,IF(OR(F953="OFF",F953="Congé",F953="Congé spécial",F953="Congé sans solde",D953="OFF",D953="Congé",D953="Congé spécial",D953="Congé sans solde"),0.208333333333334,IF(AND(AG953="",F953-D953&lt;0),("24:00:00"-D953)+("00:00:00"+F953)-0.0416666666666667,IF(AND(OR(AG953="Allaitement",AG953="Sans déjeuner"),F953-D953&lt;0),("24:00:00"-D953)+("00:00:00"+F953),IF(AND(AG953="",F953-D953&gt;0.166666666666667),F953-D953-0.0416666666666667,IF(AND(OR(AG953="Allaitement",AG953="Sans déjeuner"),F953-D953&gt;0.166666666666667),F953-D953,F953-D953)))))))</f>
        <v>0.333333333333333</v>
      </c>
      <c r="P953" s="6" t="str">
        <f aca="false">IFERROR(VLOOKUP($B953,Agents!$A:$D,2,0),"-")</f>
        <v>Accessibilité</v>
      </c>
      <c r="Q953" s="21" t="n">
        <v>46248</v>
      </c>
      <c r="R953" s="8" t="n">
        <f aca="false">IF(M953="Abs",O953,0)</f>
        <v>0</v>
      </c>
      <c r="S953" s="8" t="n">
        <f aca="false">SUM(R953,L953,I953,J953,W953,H953)</f>
        <v>0</v>
      </c>
      <c r="T953" s="6" t="str">
        <f aca="false">"Sem - "&amp;WEEKNUM(Q953,21)</f>
        <v>Sem - 33</v>
      </c>
      <c r="U953" s="6" t="str">
        <f aca="false">CHOOSE(MONTH(Q953),"Janvier","Février","Mars","Avril","Mai","Juin","Juillet","Août","Septembre","Octobre","Novembre","Décembre")</f>
        <v>Août</v>
      </c>
      <c r="V953" s="22" t="n">
        <f aca="false">YEAR(Q953)</f>
        <v>2026</v>
      </c>
      <c r="W953" s="20"/>
      <c r="X953" s="8" t="n">
        <f aca="false">IFERROR(IF(M953="Abs",0,IF(ROUND((D953-C953+E953-F953)*1440,0)&lt;=1,0,D953-C953+E953-F953)),0)</f>
        <v>0.00138888888888889</v>
      </c>
      <c r="Y953" s="6" t="str">
        <f aca="false">IFERROR(VLOOKUP($B953,Agents!$A:$D,3,0),"-")</f>
        <v>OUBRAHIM Mohammed</v>
      </c>
      <c r="Z953" s="6" t="str">
        <f aca="false">IFERROR(VLOOKUP($B953,Agents!$A:$D,4,0),"-")</f>
        <v>Credit Mutuel</v>
      </c>
      <c r="AA953" s="18" t="s">
        <v>115</v>
      </c>
      <c r="AB953" s="8" t="str">
        <f aca="false">IF(AND(D953="Congé",F953="Congé"),0.333333333333333,IF(OR(AND(D953="Congé",F953&lt;&gt;"Congé"),(AND(F953="Congé",D953&lt;&gt;"Congé"))),0.166666666666667,""))</f>
        <v/>
      </c>
      <c r="AC953" s="8" t="str">
        <f aca="false">IF(AND(D953="Congé sans solde",F953="Congé sans solde"),0.333333333333333,IF(OR(AND(D953="Congé sans solde",F953&lt;&gt;"Congé sans solde"),(AND(F953="Congé sans solde",D953&lt;&gt;"Congé sans solde"))),0.166666666666667,""))</f>
        <v/>
      </c>
      <c r="AD953" s="8" t="str">
        <f aca="false">IF(AND(D953="Congé spécial",F953="Congé spécial"),0.333333333333333,IF(OR(AND(D953="Congé spécial",F953&lt;&gt;"Congé spécial"),AND(F953="Congé spécial",D953&lt;&gt;"Congé spécial")),0.166666666666667,""))</f>
        <v/>
      </c>
      <c r="AE953" s="8" t="str">
        <f aca="false">IF(AND(D953="Férié",F953="Férié"),0.333333333333333,IF(OR(AND(D953="Férié",F953&lt;&gt;"Férié"),(AND(F953="Férié",D953&lt;&gt;"Férié"))),0.166666666666667,""))</f>
        <v/>
      </c>
      <c r="AF953" s="18"/>
      <c r="AG953" s="18"/>
    </row>
    <row r="954" customFormat="false" ht="15" hidden="false" customHeight="false" outlineLevel="0" collapsed="false">
      <c r="A954" s="6" t="str">
        <f aca="false">YEAR(Q954-WEEKDAY(Q954,2)+4)&amp;"-S"&amp;TEXT(WEEKNUM(Q954,21),"00")</f>
        <v>2026-S33</v>
      </c>
      <c r="B954" s="18" t="s">
        <v>73</v>
      </c>
      <c r="C954" s="19" t="n">
        <v>0.333333333333333</v>
      </c>
      <c r="D954" s="19" t="n">
        <v>0.333333333333333</v>
      </c>
      <c r="E954" s="19" t="n">
        <v>0.708333333333333</v>
      </c>
      <c r="F954" s="19" t="n">
        <v>0.708333333333333</v>
      </c>
      <c r="G954" s="20"/>
      <c r="H954" s="20"/>
      <c r="I954" s="8" t="str">
        <f aca="false">IF(IF(OR(C954="",D954="Congé",D954="OFF",D954="Congé spécial"),"",IF(D954&gt;F954,D954-C954,IF(C954-D954&lt;0,0,C954-D954)))&lt;0.00068287037037037,"",IF(OR(D954="Congé",D954="OFF",C954="",D954="Congé spécial"),"",IF(D954&gt;F954,D954-C954,IF(C954-D954&lt;0,0,C954-D954))))</f>
        <v/>
      </c>
      <c r="J954" s="20"/>
      <c r="K954" s="8" t="n">
        <f aca="false">IF(SUM(H954:J954)&lt;0.00068287037037037,0,SUM(H954:J954))</f>
        <v>0</v>
      </c>
      <c r="L954" s="8" t="n">
        <f aca="false">IF(OR(F954="Congé",F954="OFF",M954="Abs",F954="Congé sans solde",F954="Férié",F954="Congé spécial",D954="Congé spécial"),0,IF(F954-E954&lt;0,0,IF(F954-E954&lt;=0.00068287037037037,0,F954-E954)))</f>
        <v>0</v>
      </c>
      <c r="M954" s="6" t="n">
        <f aca="false">IF(AND(O954&lt;&gt;0,C954=""),"Abs",0)</f>
        <v>0</v>
      </c>
      <c r="N954" s="8" t="n">
        <f aca="false">IFERROR(IF(OR(D954="OFF",D954="Congé",M954="Abs",D954="Congé sans solde",D954="Férié"),"",IF(O954-K954-L954&gt;O954,O954,IF(O954-K954-L954&lt;0,"",O954-K954-L954))),"")</f>
        <v>0.333333333333333</v>
      </c>
      <c r="O954" s="8" t="n">
        <f aca="false">IF(AG954="2H Pause déjeuner",IF(F954-D954-0.0833333333333333&lt;0,F954-D954-0.0833333333333333+1,F954-D954-0.0833333333333333),IF(OR(AND(F954="OFF",D954="OFF"),AND(F954="Congé",D954="Congé"),AND(F954="Congé sans solde",D954="Congé sans solde"),AND(F954="Congé spécial",D954="Congé spécial"),AND(F954="Férié",D954="Férié"),AND(F954="OFF",D954="Congé"),AND(F954="OFF",D954="Congé sans solde"),AND(F954="OFF",D954="Congé spécial"),AND(F954="OFF",D954="Férié"),AND(F954="Congé",D954="OFF"),AND(F954="Congé",D954="Congé sans solde"),AND(F954="Congé",D954="Congé spécial"),AND(F954="Congé",D954="Férié"),AND(F954="Congé sans solde",D954="OFF"),AND(F954="Congé sans solde",D954="Congé"),AND(F954="Congé sans solde",D954="Congé spécial"),AND(F954="Congé sans solde",D954="Férié"),AND(F954="Congé spécial",D954="OFF"),AND(F954="Congé spécial",D954="Congé"),AND(F954="Congé spécial",D954="Congé sans solde"),AND(F954="Congé spécial",D954="Férié"),AND(F954="Férié",D954="OFF"),AND(F954="Férié",D954="Congé"),AND(F954="Férié",D954="Congé sans solde"),AND(F954="Férié",D954="Congé spécial")),0,IF(OR(F954="OFF",F954="Congé",F954="Congé spécial",F954="Congé sans solde",D954="OFF",D954="Congé",D954="Congé spécial",D954="Congé sans solde"),0.208333333333334,IF(AND(AG954="",F954-D954&lt;0),("24:00:00"-D954)+("00:00:00"+F954)-0.0416666666666667,IF(AND(OR(AG954="Allaitement",AG954="Sans déjeuner"),F954-D954&lt;0),("24:00:00"-D954)+("00:00:00"+F954),IF(AND(AG954="",F954-D954&gt;0.166666666666667),F954-D954-0.0416666666666667,IF(AND(OR(AG954="Allaitement",AG954="Sans déjeuner"),F954-D954&gt;0.166666666666667),F954-D954,F954-D954)))))))</f>
        <v>0.333333333333333</v>
      </c>
      <c r="P954" s="6" t="str">
        <f aca="false">IFERROR(VLOOKUP($B954,Agents!$A:$D,2,0),"-")</f>
        <v>Accessibilité</v>
      </c>
      <c r="Q954" s="21" t="n">
        <v>46248</v>
      </c>
      <c r="R954" s="8" t="n">
        <f aca="false">IF(M954="Abs",O954,0)</f>
        <v>0</v>
      </c>
      <c r="S954" s="8" t="n">
        <f aca="false">SUM(R954,L954,I954,J954,W954,H954)</f>
        <v>0</v>
      </c>
      <c r="T954" s="6" t="str">
        <f aca="false">"Sem - "&amp;WEEKNUM(Q954,21)</f>
        <v>Sem - 33</v>
      </c>
      <c r="U954" s="6" t="str">
        <f aca="false">CHOOSE(MONTH(Q954),"Janvier","Février","Mars","Avril","Mai","Juin","Juillet","Août","Septembre","Octobre","Novembre","Décembre")</f>
        <v>Août</v>
      </c>
      <c r="V954" s="22" t="n">
        <f aca="false">YEAR(Q954)</f>
        <v>2026</v>
      </c>
      <c r="W954" s="20"/>
      <c r="X954" s="8" t="n">
        <f aca="false">IFERROR(IF(M954="Abs",0,IF(ROUND((D954-C954+E954-F954)*1440,0)&lt;=1,0,D954-C954+E954-F954)),0)</f>
        <v>0</v>
      </c>
      <c r="Y954" s="6" t="str">
        <f aca="false">IFERROR(VLOOKUP($B954,Agents!$A:$D,3,0),"-")</f>
        <v>OUBRAHIM Mohammed</v>
      </c>
      <c r="Z954" s="6" t="str">
        <f aca="false">IFERROR(VLOOKUP($B954,Agents!$A:$D,4,0),"-")</f>
        <v>Credit Mutuel</v>
      </c>
      <c r="AA954" s="18" t="s">
        <v>115</v>
      </c>
      <c r="AB954" s="8" t="str">
        <f aca="false">IF(AND(D954="Congé",F954="Congé"),0.333333333333333,IF(OR(AND(D954="Congé",F954&lt;&gt;"Congé"),(AND(F954="Congé",D954&lt;&gt;"Congé"))),0.166666666666667,""))</f>
        <v/>
      </c>
      <c r="AC954" s="8" t="str">
        <f aca="false">IF(AND(D954="Congé sans solde",F954="Congé sans solde"),0.333333333333333,IF(OR(AND(D954="Congé sans solde",F954&lt;&gt;"Congé sans solde"),(AND(F954="Congé sans solde",D954&lt;&gt;"Congé sans solde"))),0.166666666666667,""))</f>
        <v/>
      </c>
      <c r="AD954" s="8" t="str">
        <f aca="false">IF(AND(D954="Congé spécial",F954="Congé spécial"),0.333333333333333,IF(OR(AND(D954="Congé spécial",F954&lt;&gt;"Congé spécial"),AND(F954="Congé spécial",D954&lt;&gt;"Congé spécial")),0.166666666666667,""))</f>
        <v/>
      </c>
      <c r="AE954" s="8" t="str">
        <f aca="false">IF(AND(D954="Férié",F954="Férié"),0.333333333333333,IF(OR(AND(D954="Férié",F954&lt;&gt;"Férié"),(AND(F954="Férié",D954&lt;&gt;"Férié"))),0.166666666666667,""))</f>
        <v/>
      </c>
      <c r="AF954" s="18"/>
      <c r="AG954" s="18"/>
    </row>
    <row r="955" customFormat="false" ht="15" hidden="false" customHeight="false" outlineLevel="0" collapsed="false">
      <c r="A955" s="6" t="str">
        <f aca="false">YEAR(Q955-WEEKDAY(Q955,2)+4)&amp;"-S"&amp;TEXT(WEEKNUM(Q955,21),"00")</f>
        <v>2026-S33</v>
      </c>
      <c r="B955" s="18" t="s">
        <v>71</v>
      </c>
      <c r="C955" s="19"/>
      <c r="D955" s="19" t="s">
        <v>74</v>
      </c>
      <c r="E955" s="19"/>
      <c r="F955" s="19" t="s">
        <v>74</v>
      </c>
      <c r="G955" s="20"/>
      <c r="H955" s="20"/>
      <c r="I955" s="8" t="str">
        <f aca="false">IF(IF(OR(C955="",D955="Congé",D955="OFF",D955="Congé spécial"),"",IF(D955&gt;F955,D955-C955,IF(C955-D955&lt;0,0,C955-D955)))&lt;0.00068287037037037,"",IF(OR(D955="Congé",D955="OFF",C955="",D955="Congé spécial"),"",IF(D955&gt;F955,D955-C955,IF(C955-D955&lt;0,0,C955-D955))))</f>
        <v/>
      </c>
      <c r="J955" s="20"/>
      <c r="K955" s="8" t="n">
        <f aca="false">IF(SUM(H955:J955)&lt;0.00068287037037037,0,SUM(H955:J955))</f>
        <v>0</v>
      </c>
      <c r="L955" s="8" t="n">
        <f aca="false">IF(OR(F955="Congé",F955="OFF",M955="Abs",F955="Congé sans solde",F955="Férié",F955="Congé spécial",D955="Congé spécial"),0,IF(F955-E955&lt;0,0,IF(F955-E955&lt;=0.00068287037037037,0,F955-E955)))</f>
        <v>0</v>
      </c>
      <c r="M955" s="6" t="n">
        <f aca="false">IF(AND(O955&lt;&gt;0,C955=""),"Abs",0)</f>
        <v>0</v>
      </c>
      <c r="N955" s="8" t="str">
        <f aca="false">IFERROR(IF(OR(D955="OFF",D955="Congé",M955="Abs",D955="Congé sans solde",D955="Férié"),"",IF(O955-K955-L955&gt;O955,O955,IF(O955-K955-L955&lt;0,"",O955-K955-L955))),"")</f>
        <v/>
      </c>
      <c r="O955" s="8" t="n">
        <f aca="false">IF(AG955="2H Pause déjeuner",IF(F955-D955-0.0833333333333333&lt;0,F955-D955-0.0833333333333333+1,F955-D955-0.0833333333333333),IF(OR(AND(F955="OFF",D955="OFF"),AND(F955="Congé",D955="Congé"),AND(F955="Congé sans solde",D955="Congé sans solde"),AND(F955="Congé spécial",D955="Congé spécial"),AND(F955="Férié",D955="Férié"),AND(F955="OFF",D955="Congé"),AND(F955="OFF",D955="Congé sans solde"),AND(F955="OFF",D955="Congé spécial"),AND(F955="OFF",D955="Férié"),AND(F955="Congé",D955="OFF"),AND(F955="Congé",D955="Congé sans solde"),AND(F955="Congé",D955="Congé spécial"),AND(F955="Congé",D955="Férié"),AND(F955="Congé sans solde",D955="OFF"),AND(F955="Congé sans solde",D955="Congé"),AND(F955="Congé sans solde",D955="Congé spécial"),AND(F955="Congé sans solde",D955="Férié"),AND(F955="Congé spécial",D955="OFF"),AND(F955="Congé spécial",D955="Congé"),AND(F955="Congé spécial",D955="Congé sans solde"),AND(F955="Congé spécial",D955="Férié"),AND(F955="Férié",D955="OFF"),AND(F955="Férié",D955="Congé"),AND(F955="Férié",D955="Congé sans solde"),AND(F955="Férié",D955="Congé spécial")),0,IF(OR(F955="OFF",F955="Congé",F955="Congé spécial",F955="Congé sans solde",D955="OFF",D955="Congé",D955="Congé spécial",D955="Congé sans solde"),0.208333333333334,IF(AND(AG955="",F955-D955&lt;0),("24:00:00"-D955)+("00:00:00"+F955)-0.0416666666666667,IF(AND(OR(AG955="Allaitement",AG955="Sans déjeuner"),F955-D955&lt;0),("24:00:00"-D955)+("00:00:00"+F955),IF(AND(AG955="",F955-D955&gt;0.166666666666667),F955-D955-0.0416666666666667,IF(AND(OR(AG955="Allaitement",AG955="Sans déjeuner"),F955-D955&gt;0.166666666666667),F955-D955,F955-D955)))))))</f>
        <v>0</v>
      </c>
      <c r="P955" s="6" t="str">
        <f aca="false">IFERROR(VLOOKUP($B955,Agents!$A:$D,2,0),"-")</f>
        <v>Accessibilité</v>
      </c>
      <c r="Q955" s="21" t="n">
        <v>46249</v>
      </c>
      <c r="R955" s="8" t="n">
        <f aca="false">IF(M955="Abs",O955,0)</f>
        <v>0</v>
      </c>
      <c r="S955" s="8" t="n">
        <f aca="false">SUM(R955,L955,I955,J955,W955,H955)</f>
        <v>0</v>
      </c>
      <c r="T955" s="6" t="str">
        <f aca="false">"Sem - "&amp;WEEKNUM(Q955,21)</f>
        <v>Sem - 33</v>
      </c>
      <c r="U955" s="6" t="str">
        <f aca="false">CHOOSE(MONTH(Q955),"Janvier","Février","Mars","Avril","Mai","Juin","Juillet","Août","Septembre","Octobre","Novembre","Décembre")</f>
        <v>Août</v>
      </c>
      <c r="V955" s="22" t="n">
        <f aca="false">YEAR(Q955)</f>
        <v>2026</v>
      </c>
      <c r="W955" s="20"/>
      <c r="X955" s="8" t="n">
        <f aca="false">IFERROR(IF(M955="Abs",0,IF(ROUND((D955-C955+E955-F955)*1440,0)&lt;=1,0,D955-C955+E955-F955)),0)</f>
        <v>0</v>
      </c>
      <c r="Y955" s="6" t="str">
        <f aca="false">IFERROR(VLOOKUP($B955,Agents!$A:$D,3,0),"-")</f>
        <v>OUBRAHIM Mohammed</v>
      </c>
      <c r="Z955" s="6" t="str">
        <f aca="false">IFERROR(VLOOKUP($B955,Agents!$A:$D,4,0),"-")</f>
        <v>Credit Mutuel</v>
      </c>
      <c r="AA955" s="18" t="s">
        <v>115</v>
      </c>
      <c r="AB955" s="8" t="str">
        <f aca="false">IF(AND(D955="Congé",F955="Congé"),0.333333333333333,IF(OR(AND(D955="Congé",F955&lt;&gt;"Congé"),(AND(F955="Congé",D955&lt;&gt;"Congé"))),0.166666666666667,""))</f>
        <v/>
      </c>
      <c r="AC955" s="8" t="str">
        <f aca="false">IF(AND(D955="Congé sans solde",F955="Congé sans solde"),0.333333333333333,IF(OR(AND(D955="Congé sans solde",F955&lt;&gt;"Congé sans solde"),(AND(F955="Congé sans solde",D955&lt;&gt;"Congé sans solde"))),0.166666666666667,""))</f>
        <v/>
      </c>
      <c r="AD955" s="8" t="str">
        <f aca="false">IF(AND(D955="Congé spécial",F955="Congé spécial"),0.333333333333333,IF(OR(AND(D955="Congé spécial",F955&lt;&gt;"Congé spécial"),AND(F955="Congé spécial",D955&lt;&gt;"Congé spécial")),0.166666666666667,""))</f>
        <v/>
      </c>
      <c r="AE955" s="8" t="str">
        <f aca="false">IF(AND(D955="Férié",F955="Férié"),0.333333333333333,IF(OR(AND(D955="Férié",F955&lt;&gt;"Férié"),(AND(F955="Férié",D955&lt;&gt;"Férié"))),0.166666666666667,""))</f>
        <v/>
      </c>
      <c r="AF955" s="18"/>
      <c r="AG955" s="18"/>
    </row>
    <row r="956" customFormat="false" ht="15" hidden="false" customHeight="false" outlineLevel="0" collapsed="false">
      <c r="A956" s="6" t="str">
        <f aca="false">YEAR(Q956-WEEKDAY(Q956,2)+4)&amp;"-S"&amp;TEXT(WEEKNUM(Q956,21),"00")</f>
        <v>2026-S33</v>
      </c>
      <c r="B956" s="18" t="s">
        <v>72</v>
      </c>
      <c r="C956" s="19"/>
      <c r="D956" s="19" t="s">
        <v>74</v>
      </c>
      <c r="E956" s="19"/>
      <c r="F956" s="19" t="s">
        <v>74</v>
      </c>
      <c r="G956" s="20"/>
      <c r="H956" s="20"/>
      <c r="I956" s="8" t="str">
        <f aca="false">IF(IF(OR(C956="",D956="Congé",D956="OFF",D956="Congé spécial"),"",IF(D956&gt;F956,D956-C956,IF(C956-D956&lt;0,0,C956-D956)))&lt;0.00068287037037037,"",IF(OR(D956="Congé",D956="OFF",C956="",D956="Congé spécial"),"",IF(D956&gt;F956,D956-C956,IF(C956-D956&lt;0,0,C956-D956))))</f>
        <v/>
      </c>
      <c r="J956" s="20"/>
      <c r="K956" s="8" t="n">
        <f aca="false">IF(SUM(H956:J956)&lt;0.00068287037037037,0,SUM(H956:J956))</f>
        <v>0</v>
      </c>
      <c r="L956" s="8" t="n">
        <f aca="false">IF(OR(F956="Congé",F956="OFF",M956="Abs",F956="Congé sans solde",F956="Férié",F956="Congé spécial",D956="Congé spécial"),0,IF(F956-E956&lt;0,0,IF(F956-E956&lt;=0.00068287037037037,0,F956-E956)))</f>
        <v>0</v>
      </c>
      <c r="M956" s="6" t="n">
        <f aca="false">IF(AND(O956&lt;&gt;0,C956=""),"Abs",0)</f>
        <v>0</v>
      </c>
      <c r="N956" s="8" t="str">
        <f aca="false">IFERROR(IF(OR(D956="OFF",D956="Congé",M956="Abs",D956="Congé sans solde",D956="Férié"),"",IF(O956-K956-L956&gt;O956,O956,IF(O956-K956-L956&lt;0,"",O956-K956-L956))),"")</f>
        <v/>
      </c>
      <c r="O956" s="8" t="n">
        <f aca="false">IF(AG956="2H Pause déjeuner",IF(F956-D956-0.0833333333333333&lt;0,F956-D956-0.0833333333333333+1,F956-D956-0.0833333333333333),IF(OR(AND(F956="OFF",D956="OFF"),AND(F956="Congé",D956="Congé"),AND(F956="Congé sans solde",D956="Congé sans solde"),AND(F956="Congé spécial",D956="Congé spécial"),AND(F956="Férié",D956="Férié"),AND(F956="OFF",D956="Congé"),AND(F956="OFF",D956="Congé sans solde"),AND(F956="OFF",D956="Congé spécial"),AND(F956="OFF",D956="Férié"),AND(F956="Congé",D956="OFF"),AND(F956="Congé",D956="Congé sans solde"),AND(F956="Congé",D956="Congé spécial"),AND(F956="Congé",D956="Férié"),AND(F956="Congé sans solde",D956="OFF"),AND(F956="Congé sans solde",D956="Congé"),AND(F956="Congé sans solde",D956="Congé spécial"),AND(F956="Congé sans solde",D956="Férié"),AND(F956="Congé spécial",D956="OFF"),AND(F956="Congé spécial",D956="Congé"),AND(F956="Congé spécial",D956="Congé sans solde"),AND(F956="Congé spécial",D956="Férié"),AND(F956="Férié",D956="OFF"),AND(F956="Férié",D956="Congé"),AND(F956="Férié",D956="Congé sans solde"),AND(F956="Férié",D956="Congé spécial")),0,IF(OR(F956="OFF",F956="Congé",F956="Congé spécial",F956="Congé sans solde",D956="OFF",D956="Congé",D956="Congé spécial",D956="Congé sans solde"),0.208333333333334,IF(AND(AG956="",F956-D956&lt;0),("24:00:00"-D956)+("00:00:00"+F956)-0.0416666666666667,IF(AND(OR(AG956="Allaitement",AG956="Sans déjeuner"),F956-D956&lt;0),("24:00:00"-D956)+("00:00:00"+F956),IF(AND(AG956="",F956-D956&gt;0.166666666666667),F956-D956-0.0416666666666667,IF(AND(OR(AG956="Allaitement",AG956="Sans déjeuner"),F956-D956&gt;0.166666666666667),F956-D956,F956-D956)))))))</f>
        <v>0</v>
      </c>
      <c r="P956" s="6" t="str">
        <f aca="false">IFERROR(VLOOKUP($B956,Agents!$A:$D,2,0),"-")</f>
        <v>Accessibilité</v>
      </c>
      <c r="Q956" s="21" t="n">
        <v>46249</v>
      </c>
      <c r="R956" s="8" t="n">
        <f aca="false">IF(M956="Abs",O956,0)</f>
        <v>0</v>
      </c>
      <c r="S956" s="8" t="n">
        <f aca="false">SUM(R956,L956,I956,J956,W956,H956)</f>
        <v>0</v>
      </c>
      <c r="T956" s="6" t="str">
        <f aca="false">"Sem - "&amp;WEEKNUM(Q956,21)</f>
        <v>Sem - 33</v>
      </c>
      <c r="U956" s="6" t="str">
        <f aca="false">CHOOSE(MONTH(Q956),"Janvier","Février","Mars","Avril","Mai","Juin","Juillet","Août","Septembre","Octobre","Novembre","Décembre")</f>
        <v>Août</v>
      </c>
      <c r="V956" s="22" t="n">
        <f aca="false">YEAR(Q956)</f>
        <v>2026</v>
      </c>
      <c r="W956" s="20"/>
      <c r="X956" s="8" t="n">
        <f aca="false">IFERROR(IF(M956="Abs",0,IF(ROUND((D956-C956+E956-F956)*1440,0)&lt;=1,0,D956-C956+E956-F956)),0)</f>
        <v>0</v>
      </c>
      <c r="Y956" s="6" t="str">
        <f aca="false">IFERROR(VLOOKUP($B956,Agents!$A:$D,3,0),"-")</f>
        <v>OUBRAHIM Mohammed</v>
      </c>
      <c r="Z956" s="6" t="str">
        <f aca="false">IFERROR(VLOOKUP($B956,Agents!$A:$D,4,0),"-")</f>
        <v>Credit Mutuel</v>
      </c>
      <c r="AA956" s="18" t="s">
        <v>115</v>
      </c>
      <c r="AB956" s="8" t="str">
        <f aca="false">IF(AND(D956="Congé",F956="Congé"),0.333333333333333,IF(OR(AND(D956="Congé",F956&lt;&gt;"Congé"),(AND(F956="Congé",D956&lt;&gt;"Congé"))),0.166666666666667,""))</f>
        <v/>
      </c>
      <c r="AC956" s="8" t="str">
        <f aca="false">IF(AND(D956="Congé sans solde",F956="Congé sans solde"),0.333333333333333,IF(OR(AND(D956="Congé sans solde",F956&lt;&gt;"Congé sans solde"),(AND(F956="Congé sans solde",D956&lt;&gt;"Congé sans solde"))),0.166666666666667,""))</f>
        <v/>
      </c>
      <c r="AD956" s="8" t="str">
        <f aca="false">IF(AND(D956="Congé spécial",F956="Congé spécial"),0.333333333333333,IF(OR(AND(D956="Congé spécial",F956&lt;&gt;"Congé spécial"),AND(F956="Congé spécial",D956&lt;&gt;"Congé spécial")),0.166666666666667,""))</f>
        <v/>
      </c>
      <c r="AE956" s="8" t="str">
        <f aca="false">IF(AND(D956="Férié",F956="Férié"),0.333333333333333,IF(OR(AND(D956="Férié",F956&lt;&gt;"Férié"),(AND(F956="Férié",D956&lt;&gt;"Férié"))),0.166666666666667,""))</f>
        <v/>
      </c>
      <c r="AF956" s="18"/>
      <c r="AG956" s="18"/>
    </row>
    <row r="957" customFormat="false" ht="15" hidden="false" customHeight="false" outlineLevel="0" collapsed="false">
      <c r="A957" s="6" t="str">
        <f aca="false">YEAR(Q957-WEEKDAY(Q957,2)+4)&amp;"-S"&amp;TEXT(WEEKNUM(Q957,21),"00")</f>
        <v>2026-S33</v>
      </c>
      <c r="B957" s="18" t="s">
        <v>73</v>
      </c>
      <c r="C957" s="19"/>
      <c r="D957" s="19" t="s">
        <v>74</v>
      </c>
      <c r="E957" s="19"/>
      <c r="F957" s="19" t="s">
        <v>74</v>
      </c>
      <c r="G957" s="20"/>
      <c r="H957" s="20"/>
      <c r="I957" s="8" t="str">
        <f aca="false">IF(IF(OR(C957="",D957="Congé",D957="OFF",D957="Congé spécial"),"",IF(D957&gt;F957,D957-C957,IF(C957-D957&lt;0,0,C957-D957)))&lt;0.00068287037037037,"",IF(OR(D957="Congé",D957="OFF",C957="",D957="Congé spécial"),"",IF(D957&gt;F957,D957-C957,IF(C957-D957&lt;0,0,C957-D957))))</f>
        <v/>
      </c>
      <c r="J957" s="20"/>
      <c r="K957" s="8" t="n">
        <f aca="false">IF(SUM(H957:J957)&lt;0.00068287037037037,0,SUM(H957:J957))</f>
        <v>0</v>
      </c>
      <c r="L957" s="8" t="n">
        <f aca="false">IF(OR(F957="Congé",F957="OFF",M957="Abs",F957="Congé sans solde",F957="Férié",F957="Congé spécial",D957="Congé spécial"),0,IF(F957-E957&lt;0,0,IF(F957-E957&lt;=0.00068287037037037,0,F957-E957)))</f>
        <v>0</v>
      </c>
      <c r="M957" s="6" t="n">
        <f aca="false">IF(AND(O957&lt;&gt;0,C957=""),"Abs",0)</f>
        <v>0</v>
      </c>
      <c r="N957" s="8" t="str">
        <f aca="false">IFERROR(IF(OR(D957="OFF",D957="Congé",M957="Abs",D957="Congé sans solde",D957="Férié"),"",IF(O957-K957-L957&gt;O957,O957,IF(O957-K957-L957&lt;0,"",O957-K957-L957))),"")</f>
        <v/>
      </c>
      <c r="O957" s="8" t="n">
        <f aca="false">IF(AG957="2H Pause déjeuner",IF(F957-D957-0.0833333333333333&lt;0,F957-D957-0.0833333333333333+1,F957-D957-0.0833333333333333),IF(OR(AND(F957="OFF",D957="OFF"),AND(F957="Congé",D957="Congé"),AND(F957="Congé sans solde",D957="Congé sans solde"),AND(F957="Congé spécial",D957="Congé spécial"),AND(F957="Férié",D957="Férié"),AND(F957="OFF",D957="Congé"),AND(F957="OFF",D957="Congé sans solde"),AND(F957="OFF",D957="Congé spécial"),AND(F957="OFF",D957="Férié"),AND(F957="Congé",D957="OFF"),AND(F957="Congé",D957="Congé sans solde"),AND(F957="Congé",D957="Congé spécial"),AND(F957="Congé",D957="Férié"),AND(F957="Congé sans solde",D957="OFF"),AND(F957="Congé sans solde",D957="Congé"),AND(F957="Congé sans solde",D957="Congé spécial"),AND(F957="Congé sans solde",D957="Férié"),AND(F957="Congé spécial",D957="OFF"),AND(F957="Congé spécial",D957="Congé"),AND(F957="Congé spécial",D957="Congé sans solde"),AND(F957="Congé spécial",D957="Férié"),AND(F957="Férié",D957="OFF"),AND(F957="Férié",D957="Congé"),AND(F957="Férié",D957="Congé sans solde"),AND(F957="Férié",D957="Congé spécial")),0,IF(OR(F957="OFF",F957="Congé",F957="Congé spécial",F957="Congé sans solde",D957="OFF",D957="Congé",D957="Congé spécial",D957="Congé sans solde"),0.208333333333334,IF(AND(AG957="",F957-D957&lt;0),("24:00:00"-D957)+("00:00:00"+F957)-0.0416666666666667,IF(AND(OR(AG957="Allaitement",AG957="Sans déjeuner"),F957-D957&lt;0),("24:00:00"-D957)+("00:00:00"+F957),IF(AND(AG957="",F957-D957&gt;0.166666666666667),F957-D957-0.0416666666666667,IF(AND(OR(AG957="Allaitement",AG957="Sans déjeuner"),F957-D957&gt;0.166666666666667),F957-D957,F957-D957)))))))</f>
        <v>0</v>
      </c>
      <c r="P957" s="6" t="str">
        <f aca="false">IFERROR(VLOOKUP($B957,Agents!$A:$D,2,0),"-")</f>
        <v>Accessibilité</v>
      </c>
      <c r="Q957" s="21" t="n">
        <v>46249</v>
      </c>
      <c r="R957" s="8" t="n">
        <f aca="false">IF(M957="Abs",O957,0)</f>
        <v>0</v>
      </c>
      <c r="S957" s="8" t="n">
        <f aca="false">SUM(R957,L957,I957,J957,W957,H957)</f>
        <v>0</v>
      </c>
      <c r="T957" s="6" t="str">
        <f aca="false">"Sem - "&amp;WEEKNUM(Q957,21)</f>
        <v>Sem - 33</v>
      </c>
      <c r="U957" s="6" t="str">
        <f aca="false">CHOOSE(MONTH(Q957),"Janvier","Février","Mars","Avril","Mai","Juin","Juillet","Août","Septembre","Octobre","Novembre","Décembre")</f>
        <v>Août</v>
      </c>
      <c r="V957" s="22" t="n">
        <f aca="false">YEAR(Q957)</f>
        <v>2026</v>
      </c>
      <c r="W957" s="20"/>
      <c r="X957" s="8" t="n">
        <f aca="false">IFERROR(IF(M957="Abs",0,IF(ROUND((D957-C957+E957-F957)*1440,0)&lt;=1,0,D957-C957+E957-F957)),0)</f>
        <v>0</v>
      </c>
      <c r="Y957" s="6" t="str">
        <f aca="false">IFERROR(VLOOKUP($B957,Agents!$A:$D,3,0),"-")</f>
        <v>OUBRAHIM Mohammed</v>
      </c>
      <c r="Z957" s="6" t="str">
        <f aca="false">IFERROR(VLOOKUP($B957,Agents!$A:$D,4,0),"-")</f>
        <v>Credit Mutuel</v>
      </c>
      <c r="AA957" s="18" t="s">
        <v>115</v>
      </c>
      <c r="AB957" s="8" t="str">
        <f aca="false">IF(AND(D957="Congé",F957="Congé"),0.333333333333333,IF(OR(AND(D957="Congé",F957&lt;&gt;"Congé"),(AND(F957="Congé",D957&lt;&gt;"Congé"))),0.166666666666667,""))</f>
        <v/>
      </c>
      <c r="AC957" s="8" t="str">
        <f aca="false">IF(AND(D957="Congé sans solde",F957="Congé sans solde"),0.333333333333333,IF(OR(AND(D957="Congé sans solde",F957&lt;&gt;"Congé sans solde"),(AND(F957="Congé sans solde",D957&lt;&gt;"Congé sans solde"))),0.166666666666667,""))</f>
        <v/>
      </c>
      <c r="AD957" s="8" t="str">
        <f aca="false">IF(AND(D957="Congé spécial",F957="Congé spécial"),0.333333333333333,IF(OR(AND(D957="Congé spécial",F957&lt;&gt;"Congé spécial"),AND(F957="Congé spécial",D957&lt;&gt;"Congé spécial")),0.166666666666667,""))</f>
        <v/>
      </c>
      <c r="AE957" s="8" t="str">
        <f aca="false">IF(AND(D957="Férié",F957="Férié"),0.333333333333333,IF(OR(AND(D957="Férié",F957&lt;&gt;"Férié"),(AND(F957="Férié",D957&lt;&gt;"Férié"))),0.166666666666667,""))</f>
        <v/>
      </c>
      <c r="AF957" s="18"/>
      <c r="AG957" s="18"/>
    </row>
    <row r="958" customFormat="false" ht="15" hidden="false" customHeight="false" outlineLevel="0" collapsed="false">
      <c r="A958" s="6" t="str">
        <f aca="false">YEAR(Q958-WEEKDAY(Q958,2)+4)&amp;"-S"&amp;TEXT(WEEKNUM(Q958,21),"00")</f>
        <v>2026-S33</v>
      </c>
      <c r="B958" s="18" t="s">
        <v>71</v>
      </c>
      <c r="C958" s="19"/>
      <c r="D958" s="19" t="s">
        <v>74</v>
      </c>
      <c r="E958" s="19"/>
      <c r="F958" s="19" t="s">
        <v>74</v>
      </c>
      <c r="G958" s="20"/>
      <c r="H958" s="20"/>
      <c r="I958" s="8" t="str">
        <f aca="false">IF(IF(OR(C958="",D958="Congé",D958="OFF",D958="Congé spécial"),"",IF(D958&gt;F958,D958-C958,IF(C958-D958&lt;0,0,C958-D958)))&lt;0.00068287037037037,"",IF(OR(D958="Congé",D958="OFF",C958="",D958="Congé spécial"),"",IF(D958&gt;F958,D958-C958,IF(C958-D958&lt;0,0,C958-D958))))</f>
        <v/>
      </c>
      <c r="J958" s="20"/>
      <c r="K958" s="8" t="n">
        <f aca="false">IF(SUM(H958:J958)&lt;0.00068287037037037,0,SUM(H958:J958))</f>
        <v>0</v>
      </c>
      <c r="L958" s="8" t="n">
        <f aca="false">IF(OR(F958="Congé",F958="OFF",M958="Abs",F958="Congé sans solde",F958="Férié",F958="Congé spécial",D958="Congé spécial"),0,IF(F958-E958&lt;0,0,IF(F958-E958&lt;=0.00068287037037037,0,F958-E958)))</f>
        <v>0</v>
      </c>
      <c r="M958" s="6" t="n">
        <f aca="false">IF(AND(O958&lt;&gt;0,C958=""),"Abs",0)</f>
        <v>0</v>
      </c>
      <c r="N958" s="8" t="str">
        <f aca="false">IFERROR(IF(OR(D958="OFF",D958="Congé",M958="Abs",D958="Congé sans solde",D958="Férié"),"",IF(O958-K958-L958&gt;O958,O958,IF(O958-K958-L958&lt;0,"",O958-K958-L958))),"")</f>
        <v/>
      </c>
      <c r="O958" s="8" t="n">
        <f aca="false">IF(AG958="2H Pause déjeuner",IF(F958-D958-0.0833333333333333&lt;0,F958-D958-0.0833333333333333+1,F958-D958-0.0833333333333333),IF(OR(AND(F958="OFF",D958="OFF"),AND(F958="Congé",D958="Congé"),AND(F958="Congé sans solde",D958="Congé sans solde"),AND(F958="Congé spécial",D958="Congé spécial"),AND(F958="Férié",D958="Férié"),AND(F958="OFF",D958="Congé"),AND(F958="OFF",D958="Congé sans solde"),AND(F958="OFF",D958="Congé spécial"),AND(F958="OFF",D958="Férié"),AND(F958="Congé",D958="OFF"),AND(F958="Congé",D958="Congé sans solde"),AND(F958="Congé",D958="Congé spécial"),AND(F958="Congé",D958="Férié"),AND(F958="Congé sans solde",D958="OFF"),AND(F958="Congé sans solde",D958="Congé"),AND(F958="Congé sans solde",D958="Congé spécial"),AND(F958="Congé sans solde",D958="Férié"),AND(F958="Congé spécial",D958="OFF"),AND(F958="Congé spécial",D958="Congé"),AND(F958="Congé spécial",D958="Congé sans solde"),AND(F958="Congé spécial",D958="Férié"),AND(F958="Férié",D958="OFF"),AND(F958="Férié",D958="Congé"),AND(F958="Férié",D958="Congé sans solde"),AND(F958="Férié",D958="Congé spécial")),0,IF(OR(F958="OFF",F958="Congé",F958="Congé spécial",F958="Congé sans solde",D958="OFF",D958="Congé",D958="Congé spécial",D958="Congé sans solde"),0.208333333333334,IF(AND(AG958="",F958-D958&lt;0),("24:00:00"-D958)+("00:00:00"+F958)-0.0416666666666667,IF(AND(OR(AG958="Allaitement",AG958="Sans déjeuner"),F958-D958&lt;0),("24:00:00"-D958)+("00:00:00"+F958),IF(AND(AG958="",F958-D958&gt;0.166666666666667),F958-D958-0.0416666666666667,IF(AND(OR(AG958="Allaitement",AG958="Sans déjeuner"),F958-D958&gt;0.166666666666667),F958-D958,F958-D958)))))))</f>
        <v>0</v>
      </c>
      <c r="P958" s="6" t="str">
        <f aca="false">IFERROR(VLOOKUP($B958,Agents!$A:$D,2,0),"-")</f>
        <v>Accessibilité</v>
      </c>
      <c r="Q958" s="21" t="n">
        <v>46250</v>
      </c>
      <c r="R958" s="8" t="n">
        <f aca="false">IF(M958="Abs",O958,0)</f>
        <v>0</v>
      </c>
      <c r="S958" s="8" t="n">
        <f aca="false">SUM(R958,L958,I958,J958,W958,H958)</f>
        <v>0</v>
      </c>
      <c r="T958" s="6" t="str">
        <f aca="false">"Sem - "&amp;WEEKNUM(Q958,21)</f>
        <v>Sem - 33</v>
      </c>
      <c r="U958" s="6" t="str">
        <f aca="false">CHOOSE(MONTH(Q958),"Janvier","Février","Mars","Avril","Mai","Juin","Juillet","Août","Septembre","Octobre","Novembre","Décembre")</f>
        <v>Août</v>
      </c>
      <c r="V958" s="22" t="n">
        <f aca="false">YEAR(Q958)</f>
        <v>2026</v>
      </c>
      <c r="W958" s="20"/>
      <c r="X958" s="8" t="n">
        <f aca="false">IFERROR(IF(M958="Abs",0,IF(ROUND((D958-C958+E958-F958)*1440,0)&lt;=1,0,D958-C958+E958-F958)),0)</f>
        <v>0</v>
      </c>
      <c r="Y958" s="6" t="str">
        <f aca="false">IFERROR(VLOOKUP($B958,Agents!$A:$D,3,0),"-")</f>
        <v>OUBRAHIM Mohammed</v>
      </c>
      <c r="Z958" s="6" t="str">
        <f aca="false">IFERROR(VLOOKUP($B958,Agents!$A:$D,4,0),"-")</f>
        <v>Credit Mutuel</v>
      </c>
      <c r="AA958" s="18" t="s">
        <v>115</v>
      </c>
      <c r="AB958" s="8" t="str">
        <f aca="false">IF(AND(D958="Congé",F958="Congé"),0.333333333333333,IF(OR(AND(D958="Congé",F958&lt;&gt;"Congé"),(AND(F958="Congé",D958&lt;&gt;"Congé"))),0.166666666666667,""))</f>
        <v/>
      </c>
      <c r="AC958" s="8" t="str">
        <f aca="false">IF(AND(D958="Congé sans solde",F958="Congé sans solde"),0.333333333333333,IF(OR(AND(D958="Congé sans solde",F958&lt;&gt;"Congé sans solde"),(AND(F958="Congé sans solde",D958&lt;&gt;"Congé sans solde"))),0.166666666666667,""))</f>
        <v/>
      </c>
      <c r="AD958" s="8" t="str">
        <f aca="false">IF(AND(D958="Congé spécial",F958="Congé spécial"),0.333333333333333,IF(OR(AND(D958="Congé spécial",F958&lt;&gt;"Congé spécial"),AND(F958="Congé spécial",D958&lt;&gt;"Congé spécial")),0.166666666666667,""))</f>
        <v/>
      </c>
      <c r="AE958" s="8" t="str">
        <f aca="false">IF(AND(D958="Férié",F958="Férié"),0.333333333333333,IF(OR(AND(D958="Férié",F958&lt;&gt;"Férié"),(AND(F958="Férié",D958&lt;&gt;"Férié"))),0.166666666666667,""))</f>
        <v/>
      </c>
      <c r="AF958" s="18"/>
      <c r="AG958" s="18"/>
    </row>
    <row r="959" customFormat="false" ht="15" hidden="false" customHeight="false" outlineLevel="0" collapsed="false">
      <c r="A959" s="6" t="str">
        <f aca="false">YEAR(Q959-WEEKDAY(Q959,2)+4)&amp;"-S"&amp;TEXT(WEEKNUM(Q959,21),"00")</f>
        <v>2026-S33</v>
      </c>
      <c r="B959" s="18" t="s">
        <v>72</v>
      </c>
      <c r="C959" s="19"/>
      <c r="D959" s="19" t="s">
        <v>74</v>
      </c>
      <c r="E959" s="19"/>
      <c r="F959" s="19" t="s">
        <v>74</v>
      </c>
      <c r="G959" s="20"/>
      <c r="H959" s="20"/>
      <c r="I959" s="8" t="str">
        <f aca="false">IF(IF(OR(C959="",D959="Congé",D959="OFF",D959="Congé spécial"),"",IF(D959&gt;F959,D959-C959,IF(C959-D959&lt;0,0,C959-D959)))&lt;0.00068287037037037,"",IF(OR(D959="Congé",D959="OFF",C959="",D959="Congé spécial"),"",IF(D959&gt;F959,D959-C959,IF(C959-D959&lt;0,0,C959-D959))))</f>
        <v/>
      </c>
      <c r="J959" s="20"/>
      <c r="K959" s="8" t="n">
        <f aca="false">IF(SUM(H959:J959)&lt;0.00068287037037037,0,SUM(H959:J959))</f>
        <v>0</v>
      </c>
      <c r="L959" s="8" t="n">
        <f aca="false">IF(OR(F959="Congé",F959="OFF",M959="Abs",F959="Congé sans solde",F959="Férié",F959="Congé spécial",D959="Congé spécial"),0,IF(F959-E959&lt;0,0,IF(F959-E959&lt;=0.00068287037037037,0,F959-E959)))</f>
        <v>0</v>
      </c>
      <c r="M959" s="6" t="n">
        <f aca="false">IF(AND(O959&lt;&gt;0,C959=""),"Abs",0)</f>
        <v>0</v>
      </c>
      <c r="N959" s="8" t="str">
        <f aca="false">IFERROR(IF(OR(D959="OFF",D959="Congé",M959="Abs",D959="Congé sans solde",D959="Férié"),"",IF(O959-K959-L959&gt;O959,O959,IF(O959-K959-L959&lt;0,"",O959-K959-L959))),"")</f>
        <v/>
      </c>
      <c r="O959" s="8" t="n">
        <f aca="false">IF(AG959="2H Pause déjeuner",IF(F959-D959-0.0833333333333333&lt;0,F959-D959-0.0833333333333333+1,F959-D959-0.0833333333333333),IF(OR(AND(F959="OFF",D959="OFF"),AND(F959="Congé",D959="Congé"),AND(F959="Congé sans solde",D959="Congé sans solde"),AND(F959="Congé spécial",D959="Congé spécial"),AND(F959="Férié",D959="Férié"),AND(F959="OFF",D959="Congé"),AND(F959="OFF",D959="Congé sans solde"),AND(F959="OFF",D959="Congé spécial"),AND(F959="OFF",D959="Férié"),AND(F959="Congé",D959="OFF"),AND(F959="Congé",D959="Congé sans solde"),AND(F959="Congé",D959="Congé spécial"),AND(F959="Congé",D959="Férié"),AND(F959="Congé sans solde",D959="OFF"),AND(F959="Congé sans solde",D959="Congé"),AND(F959="Congé sans solde",D959="Congé spécial"),AND(F959="Congé sans solde",D959="Férié"),AND(F959="Congé spécial",D959="OFF"),AND(F959="Congé spécial",D959="Congé"),AND(F959="Congé spécial",D959="Congé sans solde"),AND(F959="Congé spécial",D959="Férié"),AND(F959="Férié",D959="OFF"),AND(F959="Férié",D959="Congé"),AND(F959="Férié",D959="Congé sans solde"),AND(F959="Férié",D959="Congé spécial")),0,IF(OR(F959="OFF",F959="Congé",F959="Congé spécial",F959="Congé sans solde",D959="OFF",D959="Congé",D959="Congé spécial",D959="Congé sans solde"),0.208333333333334,IF(AND(AG959="",F959-D959&lt;0),("24:00:00"-D959)+("00:00:00"+F959)-0.0416666666666667,IF(AND(OR(AG959="Allaitement",AG959="Sans déjeuner"),F959-D959&lt;0),("24:00:00"-D959)+("00:00:00"+F959),IF(AND(AG959="",F959-D959&gt;0.166666666666667),F959-D959-0.0416666666666667,IF(AND(OR(AG959="Allaitement",AG959="Sans déjeuner"),F959-D959&gt;0.166666666666667),F959-D959,F959-D959)))))))</f>
        <v>0</v>
      </c>
      <c r="P959" s="6" t="str">
        <f aca="false">IFERROR(VLOOKUP($B959,Agents!$A:$D,2,0),"-")</f>
        <v>Accessibilité</v>
      </c>
      <c r="Q959" s="21" t="n">
        <v>46250</v>
      </c>
      <c r="R959" s="8" t="n">
        <f aca="false">IF(M959="Abs",O959,0)</f>
        <v>0</v>
      </c>
      <c r="S959" s="8" t="n">
        <f aca="false">SUM(R959,L959,I959,J959,W959,H959)</f>
        <v>0</v>
      </c>
      <c r="T959" s="6" t="str">
        <f aca="false">"Sem - "&amp;WEEKNUM(Q959,21)</f>
        <v>Sem - 33</v>
      </c>
      <c r="U959" s="6" t="str">
        <f aca="false">CHOOSE(MONTH(Q959),"Janvier","Février","Mars","Avril","Mai","Juin","Juillet","Août","Septembre","Octobre","Novembre","Décembre")</f>
        <v>Août</v>
      </c>
      <c r="V959" s="22" t="n">
        <f aca="false">YEAR(Q959)</f>
        <v>2026</v>
      </c>
      <c r="W959" s="20"/>
      <c r="X959" s="8" t="n">
        <f aca="false">IFERROR(IF(M959="Abs",0,IF(ROUND((D959-C959+E959-F959)*1440,0)&lt;=1,0,D959-C959+E959-F959)),0)</f>
        <v>0</v>
      </c>
      <c r="Y959" s="6" t="str">
        <f aca="false">IFERROR(VLOOKUP($B959,Agents!$A:$D,3,0),"-")</f>
        <v>OUBRAHIM Mohammed</v>
      </c>
      <c r="Z959" s="6" t="str">
        <f aca="false">IFERROR(VLOOKUP($B959,Agents!$A:$D,4,0),"-")</f>
        <v>Credit Mutuel</v>
      </c>
      <c r="AA959" s="18" t="s">
        <v>115</v>
      </c>
      <c r="AB959" s="8" t="str">
        <f aca="false">IF(AND(D959="Congé",F959="Congé"),0.333333333333333,IF(OR(AND(D959="Congé",F959&lt;&gt;"Congé"),(AND(F959="Congé",D959&lt;&gt;"Congé"))),0.166666666666667,""))</f>
        <v/>
      </c>
      <c r="AC959" s="8" t="str">
        <f aca="false">IF(AND(D959="Congé sans solde",F959="Congé sans solde"),0.333333333333333,IF(OR(AND(D959="Congé sans solde",F959&lt;&gt;"Congé sans solde"),(AND(F959="Congé sans solde",D959&lt;&gt;"Congé sans solde"))),0.166666666666667,""))</f>
        <v/>
      </c>
      <c r="AD959" s="8" t="str">
        <f aca="false">IF(AND(D959="Congé spécial",F959="Congé spécial"),0.333333333333333,IF(OR(AND(D959="Congé spécial",F959&lt;&gt;"Congé spécial"),AND(F959="Congé spécial",D959&lt;&gt;"Congé spécial")),0.166666666666667,""))</f>
        <v/>
      </c>
      <c r="AE959" s="8" t="str">
        <f aca="false">IF(AND(D959="Férié",F959="Férié"),0.333333333333333,IF(OR(AND(D959="Férié",F959&lt;&gt;"Férié"),(AND(F959="Férié",D959&lt;&gt;"Férié"))),0.166666666666667,""))</f>
        <v/>
      </c>
      <c r="AF959" s="18"/>
      <c r="AG959" s="18"/>
    </row>
    <row r="960" customFormat="false" ht="15" hidden="false" customHeight="false" outlineLevel="0" collapsed="false">
      <c r="A960" s="6" t="str">
        <f aca="false">YEAR(Q960-WEEKDAY(Q960,2)+4)&amp;"-S"&amp;TEXT(WEEKNUM(Q960,21),"00")</f>
        <v>2026-S33</v>
      </c>
      <c r="B960" s="18" t="s">
        <v>73</v>
      </c>
      <c r="C960" s="19"/>
      <c r="D960" s="19" t="s">
        <v>74</v>
      </c>
      <c r="E960" s="19"/>
      <c r="F960" s="19" t="s">
        <v>74</v>
      </c>
      <c r="G960" s="20"/>
      <c r="H960" s="20"/>
      <c r="I960" s="8" t="str">
        <f aca="false">IF(IF(OR(C960="",D960="Congé",D960="OFF",D960="Congé spécial"),"",IF(D960&gt;F960,D960-C960,IF(C960-D960&lt;0,0,C960-D960)))&lt;0.00068287037037037,"",IF(OR(D960="Congé",D960="OFF",C960="",D960="Congé spécial"),"",IF(D960&gt;F960,D960-C960,IF(C960-D960&lt;0,0,C960-D960))))</f>
        <v/>
      </c>
      <c r="J960" s="20"/>
      <c r="K960" s="8" t="n">
        <f aca="false">IF(SUM(H960:J960)&lt;0.00068287037037037,0,SUM(H960:J960))</f>
        <v>0</v>
      </c>
      <c r="L960" s="8" t="n">
        <f aca="false">IF(OR(F960="Congé",F960="OFF",M960="Abs",F960="Congé sans solde",F960="Férié",F960="Congé spécial",D960="Congé spécial"),0,IF(F960-E960&lt;0,0,IF(F960-E960&lt;=0.00068287037037037,0,F960-E960)))</f>
        <v>0</v>
      </c>
      <c r="M960" s="6" t="n">
        <f aca="false">IF(AND(O960&lt;&gt;0,C960=""),"Abs",0)</f>
        <v>0</v>
      </c>
      <c r="N960" s="8" t="str">
        <f aca="false">IFERROR(IF(OR(D960="OFF",D960="Congé",M960="Abs",D960="Congé sans solde",D960="Férié"),"",IF(O960-K960-L960&gt;O960,O960,IF(O960-K960-L960&lt;0,"",O960-K960-L960))),"")</f>
        <v/>
      </c>
      <c r="O960" s="8" t="n">
        <f aca="false">IF(AG960="2H Pause déjeuner",IF(F960-D960-0.0833333333333333&lt;0,F960-D960-0.0833333333333333+1,F960-D960-0.0833333333333333),IF(OR(AND(F960="OFF",D960="OFF"),AND(F960="Congé",D960="Congé"),AND(F960="Congé sans solde",D960="Congé sans solde"),AND(F960="Congé spécial",D960="Congé spécial"),AND(F960="Férié",D960="Férié"),AND(F960="OFF",D960="Congé"),AND(F960="OFF",D960="Congé sans solde"),AND(F960="OFF",D960="Congé spécial"),AND(F960="OFF",D960="Férié"),AND(F960="Congé",D960="OFF"),AND(F960="Congé",D960="Congé sans solde"),AND(F960="Congé",D960="Congé spécial"),AND(F960="Congé",D960="Férié"),AND(F960="Congé sans solde",D960="OFF"),AND(F960="Congé sans solde",D960="Congé"),AND(F960="Congé sans solde",D960="Congé spécial"),AND(F960="Congé sans solde",D960="Férié"),AND(F960="Congé spécial",D960="OFF"),AND(F960="Congé spécial",D960="Congé"),AND(F960="Congé spécial",D960="Congé sans solde"),AND(F960="Congé spécial",D960="Férié"),AND(F960="Férié",D960="OFF"),AND(F960="Férié",D960="Congé"),AND(F960="Férié",D960="Congé sans solde"),AND(F960="Férié",D960="Congé spécial")),0,IF(OR(F960="OFF",F960="Congé",F960="Congé spécial",F960="Congé sans solde",D960="OFF",D960="Congé",D960="Congé spécial",D960="Congé sans solde"),0.208333333333334,IF(AND(AG960="",F960-D960&lt;0),("24:00:00"-D960)+("00:00:00"+F960)-0.0416666666666667,IF(AND(OR(AG960="Allaitement",AG960="Sans déjeuner"),F960-D960&lt;0),("24:00:00"-D960)+("00:00:00"+F960),IF(AND(AG960="",F960-D960&gt;0.166666666666667),F960-D960-0.0416666666666667,IF(AND(OR(AG960="Allaitement",AG960="Sans déjeuner"),F960-D960&gt;0.166666666666667),F960-D960,F960-D960)))))))</f>
        <v>0</v>
      </c>
      <c r="P960" s="6" t="str">
        <f aca="false">IFERROR(VLOOKUP($B960,Agents!$A:$D,2,0),"-")</f>
        <v>Accessibilité</v>
      </c>
      <c r="Q960" s="21" t="n">
        <v>46250</v>
      </c>
      <c r="R960" s="8" t="n">
        <f aca="false">IF(M960="Abs",O960,0)</f>
        <v>0</v>
      </c>
      <c r="S960" s="8" t="n">
        <f aca="false">SUM(R960,L960,I960,J960,W960,H960)</f>
        <v>0</v>
      </c>
      <c r="T960" s="6" t="str">
        <f aca="false">"Sem - "&amp;WEEKNUM(Q960,21)</f>
        <v>Sem - 33</v>
      </c>
      <c r="U960" s="6" t="str">
        <f aca="false">CHOOSE(MONTH(Q960),"Janvier","Février","Mars","Avril","Mai","Juin","Juillet","Août","Septembre","Octobre","Novembre","Décembre")</f>
        <v>Août</v>
      </c>
      <c r="V960" s="22" t="n">
        <f aca="false">YEAR(Q960)</f>
        <v>2026</v>
      </c>
      <c r="W960" s="20"/>
      <c r="X960" s="8" t="n">
        <f aca="false">IFERROR(IF(M960="Abs",0,IF(ROUND((D960-C960+E960-F960)*1440,0)&lt;=1,0,D960-C960+E960-F960)),0)</f>
        <v>0</v>
      </c>
      <c r="Y960" s="6" t="str">
        <f aca="false">IFERROR(VLOOKUP($B960,Agents!$A:$D,3,0),"-")</f>
        <v>OUBRAHIM Mohammed</v>
      </c>
      <c r="Z960" s="6" t="str">
        <f aca="false">IFERROR(VLOOKUP($B960,Agents!$A:$D,4,0),"-")</f>
        <v>Credit Mutuel</v>
      </c>
      <c r="AA960" s="18" t="s">
        <v>115</v>
      </c>
      <c r="AB960" s="8" t="str">
        <f aca="false">IF(AND(D960="Congé",F960="Congé"),0.333333333333333,IF(OR(AND(D960="Congé",F960&lt;&gt;"Congé"),(AND(F960="Congé",D960&lt;&gt;"Congé"))),0.166666666666667,""))</f>
        <v/>
      </c>
      <c r="AC960" s="8" t="str">
        <f aca="false">IF(AND(D960="Congé sans solde",F960="Congé sans solde"),0.333333333333333,IF(OR(AND(D960="Congé sans solde",F960&lt;&gt;"Congé sans solde"),(AND(F960="Congé sans solde",D960&lt;&gt;"Congé sans solde"))),0.166666666666667,""))</f>
        <v/>
      </c>
      <c r="AD960" s="8" t="str">
        <f aca="false">IF(AND(D960="Congé spécial",F960="Congé spécial"),0.333333333333333,IF(OR(AND(D960="Congé spécial",F960&lt;&gt;"Congé spécial"),AND(F960="Congé spécial",D960&lt;&gt;"Congé spécial")),0.166666666666667,""))</f>
        <v/>
      </c>
      <c r="AE960" s="8" t="str">
        <f aca="false">IF(AND(D960="Férié",F960="Férié"),0.333333333333333,IF(OR(AND(D960="Férié",F960&lt;&gt;"Férié"),(AND(F960="Férié",D960&lt;&gt;"Férié"))),0.166666666666667,""))</f>
        <v/>
      </c>
      <c r="AF960" s="18"/>
      <c r="AG960" s="18"/>
    </row>
    <row r="961" customFormat="false" ht="15" hidden="false" customHeight="false" outlineLevel="0" collapsed="false">
      <c r="A961" s="6" t="str">
        <f aca="false">YEAR(Q961-WEEKDAY(Q961,2)+4)&amp;"-S"&amp;TEXT(WEEKNUM(Q961,21),"00")</f>
        <v>2026-S34</v>
      </c>
      <c r="B961" s="18" t="s">
        <v>71</v>
      </c>
      <c r="C961" s="19" t="n">
        <v>0.331944444444444</v>
      </c>
      <c r="D961" s="19" t="n">
        <v>0.333333333333333</v>
      </c>
      <c r="E961" s="19" t="n">
        <v>0.75</v>
      </c>
      <c r="F961" s="19" t="n">
        <v>0.75</v>
      </c>
      <c r="G961" s="20"/>
      <c r="H961" s="20"/>
      <c r="I961" s="8" t="str">
        <f aca="false">IF(IF(OR(C961="",D961="Congé",D961="OFF",D961="Congé spécial"),"",IF(D961&gt;F961,D961-C961,IF(C961-D961&lt;0,0,C961-D961)))&lt;0.00068287037037037,"",IF(OR(D961="Congé",D961="OFF",C961="",D961="Congé spécial"),"",IF(D961&gt;F961,D961-C961,IF(C961-D961&lt;0,0,C961-D961))))</f>
        <v/>
      </c>
      <c r="J961" s="20"/>
      <c r="K961" s="8" t="n">
        <f aca="false">IF(SUM(H961:J961)&lt;0.00068287037037037,0,SUM(H961:J961))</f>
        <v>0</v>
      </c>
      <c r="L961" s="8" t="n">
        <f aca="false">IF(OR(F961="Congé",F961="OFF",M961="Abs",F961="Congé sans solde",F961="Férié",F961="Congé spécial",D961="Congé spécial"),0,IF(F961-E961&lt;0,0,IF(F961-E961&lt;=0.00068287037037037,0,F961-E961)))</f>
        <v>0</v>
      </c>
      <c r="M961" s="6" t="n">
        <f aca="false">IF(AND(O961&lt;&gt;0,C961=""),"Abs",0)</f>
        <v>0</v>
      </c>
      <c r="N961" s="8" t="n">
        <f aca="false">IFERROR(IF(OR(D961="OFF",D961="Congé",M961="Abs",D961="Congé sans solde",D961="Férié"),"",IF(O961-K961-L961&gt;O961,O961,IF(O961-K961-L961&lt;0,"",O961-K961-L961))),"")</f>
        <v>0.375</v>
      </c>
      <c r="O961" s="8" t="n">
        <f aca="false">IF(AG961="2H Pause déjeuner",IF(F961-D961-0.0833333333333333&lt;0,F961-D961-0.0833333333333333+1,F961-D961-0.0833333333333333),IF(OR(AND(F961="OFF",D961="OFF"),AND(F961="Congé",D961="Congé"),AND(F961="Congé sans solde",D961="Congé sans solde"),AND(F961="Congé spécial",D961="Congé spécial"),AND(F961="Férié",D961="Férié"),AND(F961="OFF",D961="Congé"),AND(F961="OFF",D961="Congé sans solde"),AND(F961="OFF",D961="Congé spécial"),AND(F961="OFF",D961="Férié"),AND(F961="Congé",D961="OFF"),AND(F961="Congé",D961="Congé sans solde"),AND(F961="Congé",D961="Congé spécial"),AND(F961="Congé",D961="Férié"),AND(F961="Congé sans solde",D961="OFF"),AND(F961="Congé sans solde",D961="Congé"),AND(F961="Congé sans solde",D961="Congé spécial"),AND(F961="Congé sans solde",D961="Férié"),AND(F961="Congé spécial",D961="OFF"),AND(F961="Congé spécial",D961="Congé"),AND(F961="Congé spécial",D961="Congé sans solde"),AND(F961="Congé spécial",D961="Férié"),AND(F961="Férié",D961="OFF"),AND(F961="Férié",D961="Congé"),AND(F961="Férié",D961="Congé sans solde"),AND(F961="Férié",D961="Congé spécial")),0,IF(OR(F961="OFF",F961="Congé",F961="Congé spécial",F961="Congé sans solde",D961="OFF",D961="Congé",D961="Congé spécial",D961="Congé sans solde"),0.208333333333334,IF(AND(AG961="",F961-D961&lt;0),("24:00:00"-D961)+("00:00:00"+F961)-0.0416666666666667,IF(AND(OR(AG961="Allaitement",AG961="Sans déjeuner"),F961-D961&lt;0),("24:00:00"-D961)+("00:00:00"+F961),IF(AND(AG961="",F961-D961&gt;0.166666666666667),F961-D961-0.0416666666666667,IF(AND(OR(AG961="Allaitement",AG961="Sans déjeuner"),F961-D961&gt;0.166666666666667),F961-D961,F961-D961)))))))</f>
        <v>0.375</v>
      </c>
      <c r="P961" s="6" t="str">
        <f aca="false">IFERROR(VLOOKUP($B961,Agents!$A:$D,2,0),"-")</f>
        <v>Accessibilité</v>
      </c>
      <c r="Q961" s="21" t="n">
        <v>46251</v>
      </c>
      <c r="R961" s="8" t="n">
        <f aca="false">IF(M961="Abs",O961,0)</f>
        <v>0</v>
      </c>
      <c r="S961" s="8" t="n">
        <f aca="false">SUM(R961,L961,I961,J961,W961,H961)</f>
        <v>0</v>
      </c>
      <c r="T961" s="6" t="str">
        <f aca="false">"Sem - "&amp;WEEKNUM(Q961,21)</f>
        <v>Sem - 34</v>
      </c>
      <c r="U961" s="6" t="str">
        <f aca="false">CHOOSE(MONTH(Q961),"Janvier","Février","Mars","Avril","Mai","Juin","Juillet","Août","Septembre","Octobre","Novembre","Décembre")</f>
        <v>Août</v>
      </c>
      <c r="V961" s="22" t="n">
        <f aca="false">YEAR(Q961)</f>
        <v>2026</v>
      </c>
      <c r="W961" s="20"/>
      <c r="X961" s="8" t="n">
        <f aca="false">IFERROR(IF(M961="Abs",0,IF(ROUND((D961-C961+E961-F961)*1440,0)&lt;=1,0,D961-C961+E961-F961)),0)</f>
        <v>0.00138888888888889</v>
      </c>
      <c r="Y961" s="6" t="str">
        <f aca="false">IFERROR(VLOOKUP($B961,Agents!$A:$D,3,0),"-")</f>
        <v>OUBRAHIM Mohammed</v>
      </c>
      <c r="Z961" s="6" t="str">
        <f aca="false">IFERROR(VLOOKUP($B961,Agents!$A:$D,4,0),"-")</f>
        <v>Credit Mutuel</v>
      </c>
      <c r="AA961" s="18" t="s">
        <v>116</v>
      </c>
      <c r="AB961" s="8" t="str">
        <f aca="false">IF(AND(D961="Congé",F961="Congé"),0.333333333333333,IF(OR(AND(D961="Congé",F961&lt;&gt;"Congé"),(AND(F961="Congé",D961&lt;&gt;"Congé"))),0.166666666666667,""))</f>
        <v/>
      </c>
      <c r="AC961" s="8" t="str">
        <f aca="false">IF(AND(D961="Congé sans solde",F961="Congé sans solde"),0.333333333333333,IF(OR(AND(D961="Congé sans solde",F961&lt;&gt;"Congé sans solde"),(AND(F961="Congé sans solde",D961&lt;&gt;"Congé sans solde"))),0.166666666666667,""))</f>
        <v/>
      </c>
      <c r="AD961" s="8" t="str">
        <f aca="false">IF(AND(D961="Congé spécial",F961="Congé spécial"),0.333333333333333,IF(OR(AND(D961="Congé spécial",F961&lt;&gt;"Congé spécial"),AND(F961="Congé spécial",D961&lt;&gt;"Congé spécial")),0.166666666666667,""))</f>
        <v/>
      </c>
      <c r="AE961" s="8" t="str">
        <f aca="false">IF(AND(D961="Férié",F961="Férié"),0.333333333333333,IF(OR(AND(D961="Férié",F961&lt;&gt;"Férié"),(AND(F961="Férié",D961&lt;&gt;"Férié"))),0.166666666666667,""))</f>
        <v/>
      </c>
      <c r="AF961" s="18"/>
      <c r="AG961" s="18"/>
    </row>
    <row r="962" customFormat="false" ht="15" hidden="false" customHeight="false" outlineLevel="0" collapsed="false">
      <c r="A962" s="6" t="str">
        <f aca="false">YEAR(Q962-WEEKDAY(Q962,2)+4)&amp;"-S"&amp;TEXT(WEEKNUM(Q962,21),"00")</f>
        <v>2026-S34</v>
      </c>
      <c r="B962" s="18" t="s">
        <v>72</v>
      </c>
      <c r="C962" s="19" t="n">
        <v>0.332638888888889</v>
      </c>
      <c r="D962" s="19" t="n">
        <v>0.333333333333333</v>
      </c>
      <c r="E962" s="19" t="n">
        <v>0.75</v>
      </c>
      <c r="F962" s="19" t="n">
        <v>0.75</v>
      </c>
      <c r="G962" s="20"/>
      <c r="H962" s="20"/>
      <c r="I962" s="8" t="str">
        <f aca="false">IF(IF(OR(C962="",D962="Congé",D962="OFF",D962="Congé spécial"),"",IF(D962&gt;F962,D962-C962,IF(C962-D962&lt;0,0,C962-D962)))&lt;0.00068287037037037,"",IF(OR(D962="Congé",D962="OFF",C962="",D962="Congé spécial"),"",IF(D962&gt;F962,D962-C962,IF(C962-D962&lt;0,0,C962-D962))))</f>
        <v/>
      </c>
      <c r="J962" s="20"/>
      <c r="K962" s="8" t="n">
        <f aca="false">IF(SUM(H962:J962)&lt;0.00068287037037037,0,SUM(H962:J962))</f>
        <v>0</v>
      </c>
      <c r="L962" s="8" t="n">
        <f aca="false">IF(OR(F962="Congé",F962="OFF",M962="Abs",F962="Congé sans solde",F962="Férié",F962="Congé spécial",D962="Congé spécial"),0,IF(F962-E962&lt;0,0,IF(F962-E962&lt;=0.00068287037037037,0,F962-E962)))</f>
        <v>0</v>
      </c>
      <c r="M962" s="6" t="n">
        <f aca="false">IF(AND(O962&lt;&gt;0,C962=""),"Abs",0)</f>
        <v>0</v>
      </c>
      <c r="N962" s="8" t="n">
        <f aca="false">IFERROR(IF(OR(D962="OFF",D962="Congé",M962="Abs",D962="Congé sans solde",D962="Férié"),"",IF(O962-K962-L962&gt;O962,O962,IF(O962-K962-L962&lt;0,"",O962-K962-L962))),"")</f>
        <v>0.375</v>
      </c>
      <c r="O962" s="8" t="n">
        <f aca="false">IF(AG962="2H Pause déjeuner",IF(F962-D962-0.0833333333333333&lt;0,F962-D962-0.0833333333333333+1,F962-D962-0.0833333333333333),IF(OR(AND(F962="OFF",D962="OFF"),AND(F962="Congé",D962="Congé"),AND(F962="Congé sans solde",D962="Congé sans solde"),AND(F962="Congé spécial",D962="Congé spécial"),AND(F962="Férié",D962="Férié"),AND(F962="OFF",D962="Congé"),AND(F962="OFF",D962="Congé sans solde"),AND(F962="OFF",D962="Congé spécial"),AND(F962="OFF",D962="Férié"),AND(F962="Congé",D962="OFF"),AND(F962="Congé",D962="Congé sans solde"),AND(F962="Congé",D962="Congé spécial"),AND(F962="Congé",D962="Férié"),AND(F962="Congé sans solde",D962="OFF"),AND(F962="Congé sans solde",D962="Congé"),AND(F962="Congé sans solde",D962="Congé spécial"),AND(F962="Congé sans solde",D962="Férié"),AND(F962="Congé spécial",D962="OFF"),AND(F962="Congé spécial",D962="Congé"),AND(F962="Congé spécial",D962="Congé sans solde"),AND(F962="Congé spécial",D962="Férié"),AND(F962="Férié",D962="OFF"),AND(F962="Férié",D962="Congé"),AND(F962="Férié",D962="Congé sans solde"),AND(F962="Férié",D962="Congé spécial")),0,IF(OR(F962="OFF",F962="Congé",F962="Congé spécial",F962="Congé sans solde",D962="OFF",D962="Congé",D962="Congé spécial",D962="Congé sans solde"),0.208333333333334,IF(AND(AG962="",F962-D962&lt;0),("24:00:00"-D962)+("00:00:00"+F962)-0.0416666666666667,IF(AND(OR(AG962="Allaitement",AG962="Sans déjeuner"),F962-D962&lt;0),("24:00:00"-D962)+("00:00:00"+F962),IF(AND(AG962="",F962-D962&gt;0.166666666666667),F962-D962-0.0416666666666667,IF(AND(OR(AG962="Allaitement",AG962="Sans déjeuner"),F962-D962&gt;0.166666666666667),F962-D962,F962-D962)))))))</f>
        <v>0.375</v>
      </c>
      <c r="P962" s="6" t="str">
        <f aca="false">IFERROR(VLOOKUP($B962,Agents!$A:$D,2,0),"-")</f>
        <v>Accessibilité</v>
      </c>
      <c r="Q962" s="21" t="n">
        <v>46251</v>
      </c>
      <c r="R962" s="8" t="n">
        <f aca="false">IF(M962="Abs",O962,0)</f>
        <v>0</v>
      </c>
      <c r="S962" s="8" t="n">
        <f aca="false">SUM(R962,L962,I962,J962,W962,H962)</f>
        <v>0</v>
      </c>
      <c r="T962" s="6" t="str">
        <f aca="false">"Sem - "&amp;WEEKNUM(Q962,21)</f>
        <v>Sem - 34</v>
      </c>
      <c r="U962" s="6" t="str">
        <f aca="false">CHOOSE(MONTH(Q962),"Janvier","Février","Mars","Avril","Mai","Juin","Juillet","Août","Septembre","Octobre","Novembre","Décembre")</f>
        <v>Août</v>
      </c>
      <c r="V962" s="22" t="n">
        <f aca="false">YEAR(Q962)</f>
        <v>2026</v>
      </c>
      <c r="W962" s="20"/>
      <c r="X962" s="8" t="n">
        <f aca="false">IFERROR(IF(M962="Abs",0,IF(ROUND((D962-C962+E962-F962)*1440,0)&lt;=1,0,D962-C962+E962-F962)),0)</f>
        <v>0</v>
      </c>
      <c r="Y962" s="6" t="str">
        <f aca="false">IFERROR(VLOOKUP($B962,Agents!$A:$D,3,0),"-")</f>
        <v>OUBRAHIM Mohammed</v>
      </c>
      <c r="Z962" s="6" t="str">
        <f aca="false">IFERROR(VLOOKUP($B962,Agents!$A:$D,4,0),"-")</f>
        <v>Credit Mutuel</v>
      </c>
      <c r="AA962" s="18" t="s">
        <v>116</v>
      </c>
      <c r="AB962" s="8" t="str">
        <f aca="false">IF(AND(D962="Congé",F962="Congé"),0.333333333333333,IF(OR(AND(D962="Congé",F962&lt;&gt;"Congé"),(AND(F962="Congé",D962&lt;&gt;"Congé"))),0.166666666666667,""))</f>
        <v/>
      </c>
      <c r="AC962" s="8" t="str">
        <f aca="false">IF(AND(D962="Congé sans solde",F962="Congé sans solde"),0.333333333333333,IF(OR(AND(D962="Congé sans solde",F962&lt;&gt;"Congé sans solde"),(AND(F962="Congé sans solde",D962&lt;&gt;"Congé sans solde"))),0.166666666666667,""))</f>
        <v/>
      </c>
      <c r="AD962" s="8" t="str">
        <f aca="false">IF(AND(D962="Congé spécial",F962="Congé spécial"),0.333333333333333,IF(OR(AND(D962="Congé spécial",F962&lt;&gt;"Congé spécial"),AND(F962="Congé spécial",D962&lt;&gt;"Congé spécial")),0.166666666666667,""))</f>
        <v/>
      </c>
      <c r="AE962" s="8" t="str">
        <f aca="false">IF(AND(D962="Férié",F962="Férié"),0.333333333333333,IF(OR(AND(D962="Férié",F962&lt;&gt;"Férié"),(AND(F962="Férié",D962&lt;&gt;"Férié"))),0.166666666666667,""))</f>
        <v/>
      </c>
      <c r="AF962" s="18"/>
      <c r="AG962" s="18"/>
    </row>
    <row r="963" customFormat="false" ht="15" hidden="false" customHeight="false" outlineLevel="0" collapsed="false">
      <c r="A963" s="6" t="str">
        <f aca="false">YEAR(Q963-WEEKDAY(Q963,2)+4)&amp;"-S"&amp;TEXT(WEEKNUM(Q963,21),"00")</f>
        <v>2026-S34</v>
      </c>
      <c r="B963" s="18" t="s">
        <v>73</v>
      </c>
      <c r="C963" s="19" t="n">
        <v>0.331944444444444</v>
      </c>
      <c r="D963" s="19" t="n">
        <v>0.333333333333333</v>
      </c>
      <c r="E963" s="19" t="n">
        <v>0.75</v>
      </c>
      <c r="F963" s="19" t="n">
        <v>0.75</v>
      </c>
      <c r="G963" s="20"/>
      <c r="H963" s="20"/>
      <c r="I963" s="8" t="str">
        <f aca="false">IF(IF(OR(C963="",D963="Congé",D963="OFF",D963="Congé spécial"),"",IF(D963&gt;F963,D963-C963,IF(C963-D963&lt;0,0,C963-D963)))&lt;0.00068287037037037,"",IF(OR(D963="Congé",D963="OFF",C963="",D963="Congé spécial"),"",IF(D963&gt;F963,D963-C963,IF(C963-D963&lt;0,0,C963-D963))))</f>
        <v/>
      </c>
      <c r="J963" s="20"/>
      <c r="K963" s="8" t="n">
        <f aca="false">IF(SUM(H963:J963)&lt;0.00068287037037037,0,SUM(H963:J963))</f>
        <v>0</v>
      </c>
      <c r="L963" s="8" t="n">
        <f aca="false">IF(OR(F963="Congé",F963="OFF",M963="Abs",F963="Congé sans solde",F963="Férié",F963="Congé spécial",D963="Congé spécial"),0,IF(F963-E963&lt;0,0,IF(F963-E963&lt;=0.00068287037037037,0,F963-E963)))</f>
        <v>0</v>
      </c>
      <c r="M963" s="6" t="n">
        <f aca="false">IF(AND(O963&lt;&gt;0,C963=""),"Abs",0)</f>
        <v>0</v>
      </c>
      <c r="N963" s="8" t="n">
        <f aca="false">IFERROR(IF(OR(D963="OFF",D963="Congé",M963="Abs",D963="Congé sans solde",D963="Férié"),"",IF(O963-K963-L963&gt;O963,O963,IF(O963-K963-L963&lt;0,"",O963-K963-L963))),"")</f>
        <v>0.375</v>
      </c>
      <c r="O963" s="8" t="n">
        <f aca="false">IF(AG963="2H Pause déjeuner",IF(F963-D963-0.0833333333333333&lt;0,F963-D963-0.0833333333333333+1,F963-D963-0.0833333333333333),IF(OR(AND(F963="OFF",D963="OFF"),AND(F963="Congé",D963="Congé"),AND(F963="Congé sans solde",D963="Congé sans solde"),AND(F963="Congé spécial",D963="Congé spécial"),AND(F963="Férié",D963="Férié"),AND(F963="OFF",D963="Congé"),AND(F963="OFF",D963="Congé sans solde"),AND(F963="OFF",D963="Congé spécial"),AND(F963="OFF",D963="Férié"),AND(F963="Congé",D963="OFF"),AND(F963="Congé",D963="Congé sans solde"),AND(F963="Congé",D963="Congé spécial"),AND(F963="Congé",D963="Férié"),AND(F963="Congé sans solde",D963="OFF"),AND(F963="Congé sans solde",D963="Congé"),AND(F963="Congé sans solde",D963="Congé spécial"),AND(F963="Congé sans solde",D963="Férié"),AND(F963="Congé spécial",D963="OFF"),AND(F963="Congé spécial",D963="Congé"),AND(F963="Congé spécial",D963="Congé sans solde"),AND(F963="Congé spécial",D963="Férié"),AND(F963="Férié",D963="OFF"),AND(F963="Férié",D963="Congé"),AND(F963="Férié",D963="Congé sans solde"),AND(F963="Férié",D963="Congé spécial")),0,IF(OR(F963="OFF",F963="Congé",F963="Congé spécial",F963="Congé sans solde",D963="OFF",D963="Congé",D963="Congé spécial",D963="Congé sans solde"),0.208333333333334,IF(AND(AG963="",F963-D963&lt;0),("24:00:00"-D963)+("00:00:00"+F963)-0.0416666666666667,IF(AND(OR(AG963="Allaitement",AG963="Sans déjeuner"),F963-D963&lt;0),("24:00:00"-D963)+("00:00:00"+F963),IF(AND(AG963="",F963-D963&gt;0.166666666666667),F963-D963-0.0416666666666667,IF(AND(OR(AG963="Allaitement",AG963="Sans déjeuner"),F963-D963&gt;0.166666666666667),F963-D963,F963-D963)))))))</f>
        <v>0.375</v>
      </c>
      <c r="P963" s="6" t="str">
        <f aca="false">IFERROR(VLOOKUP($B963,Agents!$A:$D,2,0),"-")</f>
        <v>Accessibilité</v>
      </c>
      <c r="Q963" s="21" t="n">
        <v>46251</v>
      </c>
      <c r="R963" s="8" t="n">
        <f aca="false">IF(M963="Abs",O963,0)</f>
        <v>0</v>
      </c>
      <c r="S963" s="8" t="n">
        <f aca="false">SUM(R963,L963,I963,J963,W963,H963)</f>
        <v>0</v>
      </c>
      <c r="T963" s="6" t="str">
        <f aca="false">"Sem - "&amp;WEEKNUM(Q963,21)</f>
        <v>Sem - 34</v>
      </c>
      <c r="U963" s="6" t="str">
        <f aca="false">CHOOSE(MONTH(Q963),"Janvier","Février","Mars","Avril","Mai","Juin","Juillet","Août","Septembre","Octobre","Novembre","Décembre")</f>
        <v>Août</v>
      </c>
      <c r="V963" s="22" t="n">
        <f aca="false">YEAR(Q963)</f>
        <v>2026</v>
      </c>
      <c r="W963" s="20"/>
      <c r="X963" s="8" t="n">
        <f aca="false">IFERROR(IF(M963="Abs",0,IF(ROUND((D963-C963+E963-F963)*1440,0)&lt;=1,0,D963-C963+E963-F963)),0)</f>
        <v>0.00138888888888889</v>
      </c>
      <c r="Y963" s="6" t="str">
        <f aca="false">IFERROR(VLOOKUP($B963,Agents!$A:$D,3,0),"-")</f>
        <v>OUBRAHIM Mohammed</v>
      </c>
      <c r="Z963" s="6" t="str">
        <f aca="false">IFERROR(VLOOKUP($B963,Agents!$A:$D,4,0),"-")</f>
        <v>Credit Mutuel</v>
      </c>
      <c r="AA963" s="18" t="s">
        <v>116</v>
      </c>
      <c r="AB963" s="8" t="str">
        <f aca="false">IF(AND(D963="Congé",F963="Congé"),0.333333333333333,IF(OR(AND(D963="Congé",F963&lt;&gt;"Congé"),(AND(F963="Congé",D963&lt;&gt;"Congé"))),0.166666666666667,""))</f>
        <v/>
      </c>
      <c r="AC963" s="8" t="str">
        <f aca="false">IF(AND(D963="Congé sans solde",F963="Congé sans solde"),0.333333333333333,IF(OR(AND(D963="Congé sans solde",F963&lt;&gt;"Congé sans solde"),(AND(F963="Congé sans solde",D963&lt;&gt;"Congé sans solde"))),0.166666666666667,""))</f>
        <v/>
      </c>
      <c r="AD963" s="8" t="str">
        <f aca="false">IF(AND(D963="Congé spécial",F963="Congé spécial"),0.333333333333333,IF(OR(AND(D963="Congé spécial",F963&lt;&gt;"Congé spécial"),AND(F963="Congé spécial",D963&lt;&gt;"Congé spécial")),0.166666666666667,""))</f>
        <v/>
      </c>
      <c r="AE963" s="8" t="str">
        <f aca="false">IF(AND(D963="Férié",F963="Férié"),0.333333333333333,IF(OR(AND(D963="Férié",F963&lt;&gt;"Férié"),(AND(F963="Férié",D963&lt;&gt;"Férié"))),0.166666666666667,""))</f>
        <v/>
      </c>
      <c r="AF963" s="18"/>
      <c r="AG963" s="18"/>
    </row>
    <row r="964" customFormat="false" ht="15" hidden="false" customHeight="false" outlineLevel="0" collapsed="false">
      <c r="A964" s="6" t="str">
        <f aca="false">YEAR(Q964-WEEKDAY(Q964,2)+4)&amp;"-S"&amp;TEXT(WEEKNUM(Q964,21),"00")</f>
        <v>2026-S34</v>
      </c>
      <c r="B964" s="18" t="s">
        <v>71</v>
      </c>
      <c r="C964" s="19" t="n">
        <v>0.33125</v>
      </c>
      <c r="D964" s="19" t="n">
        <v>0.333333333333333</v>
      </c>
      <c r="E964" s="19" t="n">
        <v>0.75</v>
      </c>
      <c r="F964" s="19" t="n">
        <v>0.75</v>
      </c>
      <c r="G964" s="20"/>
      <c r="H964" s="20"/>
      <c r="I964" s="8" t="str">
        <f aca="false">IF(IF(OR(C964="",D964="Congé",D964="OFF",D964="Congé spécial"),"",IF(D964&gt;F964,D964-C964,IF(C964-D964&lt;0,0,C964-D964)))&lt;0.00068287037037037,"",IF(OR(D964="Congé",D964="OFF",C964="",D964="Congé spécial"),"",IF(D964&gt;F964,D964-C964,IF(C964-D964&lt;0,0,C964-D964))))</f>
        <v/>
      </c>
      <c r="J964" s="20"/>
      <c r="K964" s="8" t="n">
        <f aca="false">IF(SUM(H964:J964)&lt;0.00068287037037037,0,SUM(H964:J964))</f>
        <v>0</v>
      </c>
      <c r="L964" s="8" t="n">
        <f aca="false">IF(OR(F964="Congé",F964="OFF",M964="Abs",F964="Congé sans solde",F964="Férié",F964="Congé spécial",D964="Congé spécial"),0,IF(F964-E964&lt;0,0,IF(F964-E964&lt;=0.00068287037037037,0,F964-E964)))</f>
        <v>0</v>
      </c>
      <c r="M964" s="6" t="n">
        <f aca="false">IF(AND(O964&lt;&gt;0,C964=""),"Abs",0)</f>
        <v>0</v>
      </c>
      <c r="N964" s="8" t="n">
        <f aca="false">IFERROR(IF(OR(D964="OFF",D964="Congé",M964="Abs",D964="Congé sans solde",D964="Férié"),"",IF(O964-K964-L964&gt;O964,O964,IF(O964-K964-L964&lt;0,"",O964-K964-L964))),"")</f>
        <v>0.375</v>
      </c>
      <c r="O964" s="8" t="n">
        <f aca="false">IF(AG964="2H Pause déjeuner",IF(F964-D964-0.0833333333333333&lt;0,F964-D964-0.0833333333333333+1,F964-D964-0.0833333333333333),IF(OR(AND(F964="OFF",D964="OFF"),AND(F964="Congé",D964="Congé"),AND(F964="Congé sans solde",D964="Congé sans solde"),AND(F964="Congé spécial",D964="Congé spécial"),AND(F964="Férié",D964="Férié"),AND(F964="OFF",D964="Congé"),AND(F964="OFF",D964="Congé sans solde"),AND(F964="OFF",D964="Congé spécial"),AND(F964="OFF",D964="Férié"),AND(F964="Congé",D964="OFF"),AND(F964="Congé",D964="Congé sans solde"),AND(F964="Congé",D964="Congé spécial"),AND(F964="Congé",D964="Férié"),AND(F964="Congé sans solde",D964="OFF"),AND(F964="Congé sans solde",D964="Congé"),AND(F964="Congé sans solde",D964="Congé spécial"),AND(F964="Congé sans solde",D964="Férié"),AND(F964="Congé spécial",D964="OFF"),AND(F964="Congé spécial",D964="Congé"),AND(F964="Congé spécial",D964="Congé sans solde"),AND(F964="Congé spécial",D964="Férié"),AND(F964="Férié",D964="OFF"),AND(F964="Férié",D964="Congé"),AND(F964="Férié",D964="Congé sans solde"),AND(F964="Férié",D964="Congé spécial")),0,IF(OR(F964="OFF",F964="Congé",F964="Congé spécial",F964="Congé sans solde",D964="OFF",D964="Congé",D964="Congé spécial",D964="Congé sans solde"),0.208333333333334,IF(AND(AG964="",F964-D964&lt;0),("24:00:00"-D964)+("00:00:00"+F964)-0.0416666666666667,IF(AND(OR(AG964="Allaitement",AG964="Sans déjeuner"),F964-D964&lt;0),("24:00:00"-D964)+("00:00:00"+F964),IF(AND(AG964="",F964-D964&gt;0.166666666666667),F964-D964-0.0416666666666667,IF(AND(OR(AG964="Allaitement",AG964="Sans déjeuner"),F964-D964&gt;0.166666666666667),F964-D964,F964-D964)))))))</f>
        <v>0.375</v>
      </c>
      <c r="P964" s="6" t="str">
        <f aca="false">IFERROR(VLOOKUP($B964,Agents!$A:$D,2,0),"-")</f>
        <v>Accessibilité</v>
      </c>
      <c r="Q964" s="21" t="n">
        <v>46252</v>
      </c>
      <c r="R964" s="8" t="n">
        <f aca="false">IF(M964="Abs",O964,0)</f>
        <v>0</v>
      </c>
      <c r="S964" s="8" t="n">
        <f aca="false">SUM(R964,L964,I964,J964,W964,H964)</f>
        <v>0</v>
      </c>
      <c r="T964" s="6" t="str">
        <f aca="false">"Sem - "&amp;WEEKNUM(Q964,21)</f>
        <v>Sem - 34</v>
      </c>
      <c r="U964" s="6" t="str">
        <f aca="false">CHOOSE(MONTH(Q964),"Janvier","Février","Mars","Avril","Mai","Juin","Juillet","Août","Septembre","Octobre","Novembre","Décembre")</f>
        <v>Août</v>
      </c>
      <c r="V964" s="22" t="n">
        <f aca="false">YEAR(Q964)</f>
        <v>2026</v>
      </c>
      <c r="W964" s="20"/>
      <c r="X964" s="8" t="n">
        <f aca="false">IFERROR(IF(M964="Abs",0,IF(ROUND((D964-C964+E964-F964)*1440,0)&lt;=1,0,D964-C964+E964-F964)),0)</f>
        <v>0.00208333333333333</v>
      </c>
      <c r="Y964" s="6" t="str">
        <f aca="false">IFERROR(VLOOKUP($B964,Agents!$A:$D,3,0),"-")</f>
        <v>OUBRAHIM Mohammed</v>
      </c>
      <c r="Z964" s="6" t="str">
        <f aca="false">IFERROR(VLOOKUP($B964,Agents!$A:$D,4,0),"-")</f>
        <v>Credit Mutuel</v>
      </c>
      <c r="AA964" s="18" t="s">
        <v>116</v>
      </c>
      <c r="AB964" s="8" t="str">
        <f aca="false">IF(AND(D964="Congé",F964="Congé"),0.333333333333333,IF(OR(AND(D964="Congé",F964&lt;&gt;"Congé"),(AND(F964="Congé",D964&lt;&gt;"Congé"))),0.166666666666667,""))</f>
        <v/>
      </c>
      <c r="AC964" s="8" t="str">
        <f aca="false">IF(AND(D964="Congé sans solde",F964="Congé sans solde"),0.333333333333333,IF(OR(AND(D964="Congé sans solde",F964&lt;&gt;"Congé sans solde"),(AND(F964="Congé sans solde",D964&lt;&gt;"Congé sans solde"))),0.166666666666667,""))</f>
        <v/>
      </c>
      <c r="AD964" s="8" t="str">
        <f aca="false">IF(AND(D964="Congé spécial",F964="Congé spécial"),0.333333333333333,IF(OR(AND(D964="Congé spécial",F964&lt;&gt;"Congé spécial"),AND(F964="Congé spécial",D964&lt;&gt;"Congé spécial")),0.166666666666667,""))</f>
        <v/>
      </c>
      <c r="AE964" s="8" t="str">
        <f aca="false">IF(AND(D964="Férié",F964="Férié"),0.333333333333333,IF(OR(AND(D964="Férié",F964&lt;&gt;"Férié"),(AND(F964="Férié",D964&lt;&gt;"Férié"))),0.166666666666667,""))</f>
        <v/>
      </c>
      <c r="AF964" s="18"/>
      <c r="AG964" s="18"/>
    </row>
    <row r="965" customFormat="false" ht="15" hidden="false" customHeight="false" outlineLevel="0" collapsed="false">
      <c r="A965" s="6" t="str">
        <f aca="false">YEAR(Q965-WEEKDAY(Q965,2)+4)&amp;"-S"&amp;TEXT(WEEKNUM(Q965,21),"00")</f>
        <v>2026-S34</v>
      </c>
      <c r="B965" s="18" t="s">
        <v>72</v>
      </c>
      <c r="C965" s="19" t="n">
        <v>0.33125</v>
      </c>
      <c r="D965" s="19" t="n">
        <v>0.333333333333333</v>
      </c>
      <c r="E965" s="19" t="n">
        <v>0.75</v>
      </c>
      <c r="F965" s="19" t="n">
        <v>0.75</v>
      </c>
      <c r="G965" s="20"/>
      <c r="H965" s="20"/>
      <c r="I965" s="8" t="str">
        <f aca="false">IF(IF(OR(C965="",D965="Congé",D965="OFF",D965="Congé spécial"),"",IF(D965&gt;F965,D965-C965,IF(C965-D965&lt;0,0,C965-D965)))&lt;0.00068287037037037,"",IF(OR(D965="Congé",D965="OFF",C965="",D965="Congé spécial"),"",IF(D965&gt;F965,D965-C965,IF(C965-D965&lt;0,0,C965-D965))))</f>
        <v/>
      </c>
      <c r="J965" s="20"/>
      <c r="K965" s="8" t="n">
        <f aca="false">IF(SUM(H965:J965)&lt;0.00068287037037037,0,SUM(H965:J965))</f>
        <v>0</v>
      </c>
      <c r="L965" s="8" t="n">
        <f aca="false">IF(OR(F965="Congé",F965="OFF",M965="Abs",F965="Congé sans solde",F965="Férié",F965="Congé spécial",D965="Congé spécial"),0,IF(F965-E965&lt;0,0,IF(F965-E965&lt;=0.00068287037037037,0,F965-E965)))</f>
        <v>0</v>
      </c>
      <c r="M965" s="6" t="n">
        <f aca="false">IF(AND(O965&lt;&gt;0,C965=""),"Abs",0)</f>
        <v>0</v>
      </c>
      <c r="N965" s="8" t="n">
        <f aca="false">IFERROR(IF(OR(D965="OFF",D965="Congé",M965="Abs",D965="Congé sans solde",D965="Férié"),"",IF(O965-K965-L965&gt;O965,O965,IF(O965-K965-L965&lt;0,"",O965-K965-L965))),"")</f>
        <v>0.375</v>
      </c>
      <c r="O965" s="8" t="n">
        <f aca="false">IF(AG965="2H Pause déjeuner",IF(F965-D965-0.0833333333333333&lt;0,F965-D965-0.0833333333333333+1,F965-D965-0.0833333333333333),IF(OR(AND(F965="OFF",D965="OFF"),AND(F965="Congé",D965="Congé"),AND(F965="Congé sans solde",D965="Congé sans solde"),AND(F965="Congé spécial",D965="Congé spécial"),AND(F965="Férié",D965="Férié"),AND(F965="OFF",D965="Congé"),AND(F965="OFF",D965="Congé sans solde"),AND(F965="OFF",D965="Congé spécial"),AND(F965="OFF",D965="Férié"),AND(F965="Congé",D965="OFF"),AND(F965="Congé",D965="Congé sans solde"),AND(F965="Congé",D965="Congé spécial"),AND(F965="Congé",D965="Férié"),AND(F965="Congé sans solde",D965="OFF"),AND(F965="Congé sans solde",D965="Congé"),AND(F965="Congé sans solde",D965="Congé spécial"),AND(F965="Congé sans solde",D965="Férié"),AND(F965="Congé spécial",D965="OFF"),AND(F965="Congé spécial",D965="Congé"),AND(F965="Congé spécial",D965="Congé sans solde"),AND(F965="Congé spécial",D965="Férié"),AND(F965="Férié",D965="OFF"),AND(F965="Férié",D965="Congé"),AND(F965="Férié",D965="Congé sans solde"),AND(F965="Férié",D965="Congé spécial")),0,IF(OR(F965="OFF",F965="Congé",F965="Congé spécial",F965="Congé sans solde",D965="OFF",D965="Congé",D965="Congé spécial",D965="Congé sans solde"),0.208333333333334,IF(AND(AG965="",F965-D965&lt;0),("24:00:00"-D965)+("00:00:00"+F965)-0.0416666666666667,IF(AND(OR(AG965="Allaitement",AG965="Sans déjeuner"),F965-D965&lt;0),("24:00:00"-D965)+("00:00:00"+F965),IF(AND(AG965="",F965-D965&gt;0.166666666666667),F965-D965-0.0416666666666667,IF(AND(OR(AG965="Allaitement",AG965="Sans déjeuner"),F965-D965&gt;0.166666666666667),F965-D965,F965-D965)))))))</f>
        <v>0.375</v>
      </c>
      <c r="P965" s="6" t="str">
        <f aca="false">IFERROR(VLOOKUP($B965,Agents!$A:$D,2,0),"-")</f>
        <v>Accessibilité</v>
      </c>
      <c r="Q965" s="21" t="n">
        <v>46252</v>
      </c>
      <c r="R965" s="8" t="n">
        <f aca="false">IF(M965="Abs",O965,0)</f>
        <v>0</v>
      </c>
      <c r="S965" s="8" t="n">
        <f aca="false">SUM(R965,L965,I965,J965,W965,H965)</f>
        <v>0</v>
      </c>
      <c r="T965" s="6" t="str">
        <f aca="false">"Sem - "&amp;WEEKNUM(Q965,21)</f>
        <v>Sem - 34</v>
      </c>
      <c r="U965" s="6" t="str">
        <f aca="false">CHOOSE(MONTH(Q965),"Janvier","Février","Mars","Avril","Mai","Juin","Juillet","Août","Septembre","Octobre","Novembre","Décembre")</f>
        <v>Août</v>
      </c>
      <c r="V965" s="22" t="n">
        <f aca="false">YEAR(Q965)</f>
        <v>2026</v>
      </c>
      <c r="W965" s="20"/>
      <c r="X965" s="8" t="n">
        <f aca="false">IFERROR(IF(M965="Abs",0,IF(ROUND((D965-C965+E965-F965)*1440,0)&lt;=1,0,D965-C965+E965-F965)),0)</f>
        <v>0.00208333333333333</v>
      </c>
      <c r="Y965" s="6" t="str">
        <f aca="false">IFERROR(VLOOKUP($B965,Agents!$A:$D,3,0),"-")</f>
        <v>OUBRAHIM Mohammed</v>
      </c>
      <c r="Z965" s="6" t="str">
        <f aca="false">IFERROR(VLOOKUP($B965,Agents!$A:$D,4,0),"-")</f>
        <v>Credit Mutuel</v>
      </c>
      <c r="AA965" s="18" t="s">
        <v>116</v>
      </c>
      <c r="AB965" s="8" t="str">
        <f aca="false">IF(AND(D965="Congé",F965="Congé"),0.333333333333333,IF(OR(AND(D965="Congé",F965&lt;&gt;"Congé"),(AND(F965="Congé",D965&lt;&gt;"Congé"))),0.166666666666667,""))</f>
        <v/>
      </c>
      <c r="AC965" s="8" t="str">
        <f aca="false">IF(AND(D965="Congé sans solde",F965="Congé sans solde"),0.333333333333333,IF(OR(AND(D965="Congé sans solde",F965&lt;&gt;"Congé sans solde"),(AND(F965="Congé sans solde",D965&lt;&gt;"Congé sans solde"))),0.166666666666667,""))</f>
        <v/>
      </c>
      <c r="AD965" s="8" t="str">
        <f aca="false">IF(AND(D965="Congé spécial",F965="Congé spécial"),0.333333333333333,IF(OR(AND(D965="Congé spécial",F965&lt;&gt;"Congé spécial"),AND(F965="Congé spécial",D965&lt;&gt;"Congé spécial")),0.166666666666667,""))</f>
        <v/>
      </c>
      <c r="AE965" s="8" t="str">
        <f aca="false">IF(AND(D965="Férié",F965="Férié"),0.333333333333333,IF(OR(AND(D965="Férié",F965&lt;&gt;"Férié"),(AND(F965="Férié",D965&lt;&gt;"Férié"))),0.166666666666667,""))</f>
        <v/>
      </c>
      <c r="AF965" s="18"/>
      <c r="AG965" s="18"/>
    </row>
    <row r="966" customFormat="false" ht="15" hidden="false" customHeight="false" outlineLevel="0" collapsed="false">
      <c r="A966" s="6" t="str">
        <f aca="false">YEAR(Q966-WEEKDAY(Q966,2)+4)&amp;"-S"&amp;TEXT(WEEKNUM(Q966,21),"00")</f>
        <v>2026-S34</v>
      </c>
      <c r="B966" s="18" t="s">
        <v>73</v>
      </c>
      <c r="C966" s="19" t="n">
        <v>0.33125</v>
      </c>
      <c r="D966" s="19" t="n">
        <v>0.333333333333333</v>
      </c>
      <c r="E966" s="19" t="n">
        <v>0.75</v>
      </c>
      <c r="F966" s="19" t="n">
        <v>0.75</v>
      </c>
      <c r="G966" s="20"/>
      <c r="H966" s="20"/>
      <c r="I966" s="8" t="str">
        <f aca="false">IF(IF(OR(C966="",D966="Congé",D966="OFF",D966="Congé spécial"),"",IF(D966&gt;F966,D966-C966,IF(C966-D966&lt;0,0,C966-D966)))&lt;0.00068287037037037,"",IF(OR(D966="Congé",D966="OFF",C966="",D966="Congé spécial"),"",IF(D966&gt;F966,D966-C966,IF(C966-D966&lt;0,0,C966-D966))))</f>
        <v/>
      </c>
      <c r="J966" s="20"/>
      <c r="K966" s="8" t="n">
        <f aca="false">IF(SUM(H966:J966)&lt;0.00068287037037037,0,SUM(H966:J966))</f>
        <v>0</v>
      </c>
      <c r="L966" s="8" t="n">
        <f aca="false">IF(OR(F966="Congé",F966="OFF",M966="Abs",F966="Congé sans solde",F966="Férié",F966="Congé spécial",D966="Congé spécial"),0,IF(F966-E966&lt;0,0,IF(F966-E966&lt;=0.00068287037037037,0,F966-E966)))</f>
        <v>0</v>
      </c>
      <c r="M966" s="6" t="n">
        <f aca="false">IF(AND(O966&lt;&gt;0,C966=""),"Abs",0)</f>
        <v>0</v>
      </c>
      <c r="N966" s="8" t="n">
        <f aca="false">IFERROR(IF(OR(D966="OFF",D966="Congé",M966="Abs",D966="Congé sans solde",D966="Férié"),"",IF(O966-K966-L966&gt;O966,O966,IF(O966-K966-L966&lt;0,"",O966-K966-L966))),"")</f>
        <v>0.375</v>
      </c>
      <c r="O966" s="8" t="n">
        <f aca="false">IF(AG966="2H Pause déjeuner",IF(F966-D966-0.0833333333333333&lt;0,F966-D966-0.0833333333333333+1,F966-D966-0.0833333333333333),IF(OR(AND(F966="OFF",D966="OFF"),AND(F966="Congé",D966="Congé"),AND(F966="Congé sans solde",D966="Congé sans solde"),AND(F966="Congé spécial",D966="Congé spécial"),AND(F966="Férié",D966="Férié"),AND(F966="OFF",D966="Congé"),AND(F966="OFF",D966="Congé sans solde"),AND(F966="OFF",D966="Congé spécial"),AND(F966="OFF",D966="Férié"),AND(F966="Congé",D966="OFF"),AND(F966="Congé",D966="Congé sans solde"),AND(F966="Congé",D966="Congé spécial"),AND(F966="Congé",D966="Férié"),AND(F966="Congé sans solde",D966="OFF"),AND(F966="Congé sans solde",D966="Congé"),AND(F966="Congé sans solde",D966="Congé spécial"),AND(F966="Congé sans solde",D966="Férié"),AND(F966="Congé spécial",D966="OFF"),AND(F966="Congé spécial",D966="Congé"),AND(F966="Congé spécial",D966="Congé sans solde"),AND(F966="Congé spécial",D966="Férié"),AND(F966="Férié",D966="OFF"),AND(F966="Férié",D966="Congé"),AND(F966="Férié",D966="Congé sans solde"),AND(F966="Férié",D966="Congé spécial")),0,IF(OR(F966="OFF",F966="Congé",F966="Congé spécial",F966="Congé sans solde",D966="OFF",D966="Congé",D966="Congé spécial",D966="Congé sans solde"),0.208333333333334,IF(AND(AG966="",F966-D966&lt;0),("24:00:00"-D966)+("00:00:00"+F966)-0.0416666666666667,IF(AND(OR(AG966="Allaitement",AG966="Sans déjeuner"),F966-D966&lt;0),("24:00:00"-D966)+("00:00:00"+F966),IF(AND(AG966="",F966-D966&gt;0.166666666666667),F966-D966-0.0416666666666667,IF(AND(OR(AG966="Allaitement",AG966="Sans déjeuner"),F966-D966&gt;0.166666666666667),F966-D966,F966-D966)))))))</f>
        <v>0.375</v>
      </c>
      <c r="P966" s="6" t="str">
        <f aca="false">IFERROR(VLOOKUP($B966,Agents!$A:$D,2,0),"-")</f>
        <v>Accessibilité</v>
      </c>
      <c r="Q966" s="21" t="n">
        <v>46252</v>
      </c>
      <c r="R966" s="8" t="n">
        <f aca="false">IF(M966="Abs",O966,0)</f>
        <v>0</v>
      </c>
      <c r="S966" s="8" t="n">
        <f aca="false">SUM(R966,L966,I966,J966,W966,H966)</f>
        <v>0</v>
      </c>
      <c r="T966" s="6" t="str">
        <f aca="false">"Sem - "&amp;WEEKNUM(Q966,21)</f>
        <v>Sem - 34</v>
      </c>
      <c r="U966" s="6" t="str">
        <f aca="false">CHOOSE(MONTH(Q966),"Janvier","Février","Mars","Avril","Mai","Juin","Juillet","Août","Septembre","Octobre","Novembre","Décembre")</f>
        <v>Août</v>
      </c>
      <c r="V966" s="22" t="n">
        <f aca="false">YEAR(Q966)</f>
        <v>2026</v>
      </c>
      <c r="W966" s="20"/>
      <c r="X966" s="8" t="n">
        <f aca="false">IFERROR(IF(M966="Abs",0,IF(ROUND((D966-C966+E966-F966)*1440,0)&lt;=1,0,D966-C966+E966-F966)),0)</f>
        <v>0.00208333333333333</v>
      </c>
      <c r="Y966" s="6" t="str">
        <f aca="false">IFERROR(VLOOKUP($B966,Agents!$A:$D,3,0),"-")</f>
        <v>OUBRAHIM Mohammed</v>
      </c>
      <c r="Z966" s="6" t="str">
        <f aca="false">IFERROR(VLOOKUP($B966,Agents!$A:$D,4,0),"-")</f>
        <v>Credit Mutuel</v>
      </c>
      <c r="AA966" s="18" t="s">
        <v>116</v>
      </c>
      <c r="AB966" s="8" t="str">
        <f aca="false">IF(AND(D966="Congé",F966="Congé"),0.333333333333333,IF(OR(AND(D966="Congé",F966&lt;&gt;"Congé"),(AND(F966="Congé",D966&lt;&gt;"Congé"))),0.166666666666667,""))</f>
        <v/>
      </c>
      <c r="AC966" s="8" t="str">
        <f aca="false">IF(AND(D966="Congé sans solde",F966="Congé sans solde"),0.333333333333333,IF(OR(AND(D966="Congé sans solde",F966&lt;&gt;"Congé sans solde"),(AND(F966="Congé sans solde",D966&lt;&gt;"Congé sans solde"))),0.166666666666667,""))</f>
        <v/>
      </c>
      <c r="AD966" s="8" t="str">
        <f aca="false">IF(AND(D966="Congé spécial",F966="Congé spécial"),0.333333333333333,IF(OR(AND(D966="Congé spécial",F966&lt;&gt;"Congé spécial"),AND(F966="Congé spécial",D966&lt;&gt;"Congé spécial")),0.166666666666667,""))</f>
        <v/>
      </c>
      <c r="AE966" s="8" t="str">
        <f aca="false">IF(AND(D966="Férié",F966="Férié"),0.333333333333333,IF(OR(AND(D966="Férié",F966&lt;&gt;"Férié"),(AND(F966="Férié",D966&lt;&gt;"Férié"))),0.166666666666667,""))</f>
        <v/>
      </c>
      <c r="AF966" s="18"/>
      <c r="AG966" s="18"/>
    </row>
    <row r="967" customFormat="false" ht="15" hidden="false" customHeight="false" outlineLevel="0" collapsed="false">
      <c r="A967" s="6" t="str">
        <f aca="false">YEAR(Q967-WEEKDAY(Q967,2)+4)&amp;"-S"&amp;TEXT(WEEKNUM(Q967,21),"00")</f>
        <v>2026-S34</v>
      </c>
      <c r="B967" s="18" t="s">
        <v>71</v>
      </c>
      <c r="C967" s="19" t="n">
        <v>0.333333333333333</v>
      </c>
      <c r="D967" s="19" t="n">
        <v>0.333333333333333</v>
      </c>
      <c r="E967" s="19" t="n">
        <v>0.75</v>
      </c>
      <c r="F967" s="19" t="n">
        <v>0.75</v>
      </c>
      <c r="G967" s="20"/>
      <c r="H967" s="20"/>
      <c r="I967" s="8" t="str">
        <f aca="false">IF(IF(OR(C967="",D967="Congé",D967="OFF",D967="Congé spécial"),"",IF(D967&gt;F967,D967-C967,IF(C967-D967&lt;0,0,C967-D967)))&lt;0.00068287037037037,"",IF(OR(D967="Congé",D967="OFF",C967="",D967="Congé spécial"),"",IF(D967&gt;F967,D967-C967,IF(C967-D967&lt;0,0,C967-D967))))</f>
        <v/>
      </c>
      <c r="J967" s="20"/>
      <c r="K967" s="8" t="n">
        <f aca="false">IF(SUM(H967:J967)&lt;0.00068287037037037,0,SUM(H967:J967))</f>
        <v>0</v>
      </c>
      <c r="L967" s="8" t="n">
        <f aca="false">IF(OR(F967="Congé",F967="OFF",M967="Abs",F967="Congé sans solde",F967="Férié",F967="Congé spécial",D967="Congé spécial"),0,IF(F967-E967&lt;0,0,IF(F967-E967&lt;=0.00068287037037037,0,F967-E967)))</f>
        <v>0</v>
      </c>
      <c r="M967" s="6" t="n">
        <f aca="false">IF(AND(O967&lt;&gt;0,C967=""),"Abs",0)</f>
        <v>0</v>
      </c>
      <c r="N967" s="8" t="n">
        <f aca="false">IFERROR(IF(OR(D967="OFF",D967="Congé",M967="Abs",D967="Congé sans solde",D967="Férié"),"",IF(O967-K967-L967&gt;O967,O967,IF(O967-K967-L967&lt;0,"",O967-K967-L967))),"")</f>
        <v>0.375</v>
      </c>
      <c r="O967" s="8" t="n">
        <f aca="false">IF(AG967="2H Pause déjeuner",IF(F967-D967-0.0833333333333333&lt;0,F967-D967-0.0833333333333333+1,F967-D967-0.0833333333333333),IF(OR(AND(F967="OFF",D967="OFF"),AND(F967="Congé",D967="Congé"),AND(F967="Congé sans solde",D967="Congé sans solde"),AND(F967="Congé spécial",D967="Congé spécial"),AND(F967="Férié",D967="Férié"),AND(F967="OFF",D967="Congé"),AND(F967="OFF",D967="Congé sans solde"),AND(F967="OFF",D967="Congé spécial"),AND(F967="OFF",D967="Férié"),AND(F967="Congé",D967="OFF"),AND(F967="Congé",D967="Congé sans solde"),AND(F967="Congé",D967="Congé spécial"),AND(F967="Congé",D967="Férié"),AND(F967="Congé sans solde",D967="OFF"),AND(F967="Congé sans solde",D967="Congé"),AND(F967="Congé sans solde",D967="Congé spécial"),AND(F967="Congé sans solde",D967="Férié"),AND(F967="Congé spécial",D967="OFF"),AND(F967="Congé spécial",D967="Congé"),AND(F967="Congé spécial",D967="Congé sans solde"),AND(F967="Congé spécial",D967="Férié"),AND(F967="Férié",D967="OFF"),AND(F967="Férié",D967="Congé"),AND(F967="Férié",D967="Congé sans solde"),AND(F967="Férié",D967="Congé spécial")),0,IF(OR(F967="OFF",F967="Congé",F967="Congé spécial",F967="Congé sans solde",D967="OFF",D967="Congé",D967="Congé spécial",D967="Congé sans solde"),0.208333333333334,IF(AND(AG967="",F967-D967&lt;0),("24:00:00"-D967)+("00:00:00"+F967)-0.0416666666666667,IF(AND(OR(AG967="Allaitement",AG967="Sans déjeuner"),F967-D967&lt;0),("24:00:00"-D967)+("00:00:00"+F967),IF(AND(AG967="",F967-D967&gt;0.166666666666667),F967-D967-0.0416666666666667,IF(AND(OR(AG967="Allaitement",AG967="Sans déjeuner"),F967-D967&gt;0.166666666666667),F967-D967,F967-D967)))))))</f>
        <v>0.375</v>
      </c>
      <c r="P967" s="6" t="str">
        <f aca="false">IFERROR(VLOOKUP($B967,Agents!$A:$D,2,0),"-")</f>
        <v>Accessibilité</v>
      </c>
      <c r="Q967" s="21" t="n">
        <v>46253</v>
      </c>
      <c r="R967" s="8" t="n">
        <f aca="false">IF(M967="Abs",O967,0)</f>
        <v>0</v>
      </c>
      <c r="S967" s="8" t="n">
        <f aca="false">SUM(R967,L967,I967,J967,W967,H967)</f>
        <v>0</v>
      </c>
      <c r="T967" s="6" t="str">
        <f aca="false">"Sem - "&amp;WEEKNUM(Q967,21)</f>
        <v>Sem - 34</v>
      </c>
      <c r="U967" s="6" t="str">
        <f aca="false">CHOOSE(MONTH(Q967),"Janvier","Février","Mars","Avril","Mai","Juin","Juillet","Août","Septembre","Octobre","Novembre","Décembre")</f>
        <v>Août</v>
      </c>
      <c r="V967" s="22" t="n">
        <f aca="false">YEAR(Q967)</f>
        <v>2026</v>
      </c>
      <c r="W967" s="20"/>
      <c r="X967" s="8" t="n">
        <f aca="false">IFERROR(IF(M967="Abs",0,IF(ROUND((D967-C967+E967-F967)*1440,0)&lt;=1,0,D967-C967+E967-F967)),0)</f>
        <v>0</v>
      </c>
      <c r="Y967" s="6" t="str">
        <f aca="false">IFERROR(VLOOKUP($B967,Agents!$A:$D,3,0),"-")</f>
        <v>OUBRAHIM Mohammed</v>
      </c>
      <c r="Z967" s="6" t="str">
        <f aca="false">IFERROR(VLOOKUP($B967,Agents!$A:$D,4,0),"-")</f>
        <v>Credit Mutuel</v>
      </c>
      <c r="AA967" s="18" t="s">
        <v>116</v>
      </c>
      <c r="AB967" s="8" t="str">
        <f aca="false">IF(AND(D967="Congé",F967="Congé"),0.333333333333333,IF(OR(AND(D967="Congé",F967&lt;&gt;"Congé"),(AND(F967="Congé",D967&lt;&gt;"Congé"))),0.166666666666667,""))</f>
        <v/>
      </c>
      <c r="AC967" s="8" t="str">
        <f aca="false">IF(AND(D967="Congé sans solde",F967="Congé sans solde"),0.333333333333333,IF(OR(AND(D967="Congé sans solde",F967&lt;&gt;"Congé sans solde"),(AND(F967="Congé sans solde",D967&lt;&gt;"Congé sans solde"))),0.166666666666667,""))</f>
        <v/>
      </c>
      <c r="AD967" s="8" t="str">
        <f aca="false">IF(AND(D967="Congé spécial",F967="Congé spécial"),0.333333333333333,IF(OR(AND(D967="Congé spécial",F967&lt;&gt;"Congé spécial"),AND(F967="Congé spécial",D967&lt;&gt;"Congé spécial")),0.166666666666667,""))</f>
        <v/>
      </c>
      <c r="AE967" s="8" t="str">
        <f aca="false">IF(AND(D967="Férié",F967="Férié"),0.333333333333333,IF(OR(AND(D967="Férié",F967&lt;&gt;"Férié"),(AND(F967="Férié",D967&lt;&gt;"Férié"))),0.166666666666667,""))</f>
        <v/>
      </c>
      <c r="AF967" s="18"/>
      <c r="AG967" s="18"/>
    </row>
    <row r="968" customFormat="false" ht="15" hidden="false" customHeight="false" outlineLevel="0" collapsed="false">
      <c r="A968" s="6" t="str">
        <f aca="false">YEAR(Q968-WEEKDAY(Q968,2)+4)&amp;"-S"&amp;TEXT(WEEKNUM(Q968,21),"00")</f>
        <v>2026-S34</v>
      </c>
      <c r="B968" s="18" t="s">
        <v>72</v>
      </c>
      <c r="C968" s="19" t="n">
        <v>0.333333333333333</v>
      </c>
      <c r="D968" s="19" t="n">
        <v>0.333333333333333</v>
      </c>
      <c r="E968" s="19" t="n">
        <v>0.75</v>
      </c>
      <c r="F968" s="19" t="n">
        <v>0.75</v>
      </c>
      <c r="G968" s="20"/>
      <c r="H968" s="20"/>
      <c r="I968" s="8" t="str">
        <f aca="false">IF(IF(OR(C968="",D968="Congé",D968="OFF",D968="Congé spécial"),"",IF(D968&gt;F968,D968-C968,IF(C968-D968&lt;0,0,C968-D968)))&lt;0.00068287037037037,"",IF(OR(D968="Congé",D968="OFF",C968="",D968="Congé spécial"),"",IF(D968&gt;F968,D968-C968,IF(C968-D968&lt;0,0,C968-D968))))</f>
        <v/>
      </c>
      <c r="J968" s="20"/>
      <c r="K968" s="8" t="n">
        <f aca="false">IF(SUM(H968:J968)&lt;0.00068287037037037,0,SUM(H968:J968))</f>
        <v>0</v>
      </c>
      <c r="L968" s="8" t="n">
        <f aca="false">IF(OR(F968="Congé",F968="OFF",M968="Abs",F968="Congé sans solde",F968="Férié",F968="Congé spécial",D968="Congé spécial"),0,IF(F968-E968&lt;0,0,IF(F968-E968&lt;=0.00068287037037037,0,F968-E968)))</f>
        <v>0</v>
      </c>
      <c r="M968" s="6" t="n">
        <f aca="false">IF(AND(O968&lt;&gt;0,C968=""),"Abs",0)</f>
        <v>0</v>
      </c>
      <c r="N968" s="8" t="n">
        <f aca="false">IFERROR(IF(OR(D968="OFF",D968="Congé",M968="Abs",D968="Congé sans solde",D968="Férié"),"",IF(O968-K968-L968&gt;O968,O968,IF(O968-K968-L968&lt;0,"",O968-K968-L968))),"")</f>
        <v>0.375</v>
      </c>
      <c r="O968" s="8" t="n">
        <f aca="false">IF(AG968="2H Pause déjeuner",IF(F968-D968-0.0833333333333333&lt;0,F968-D968-0.0833333333333333+1,F968-D968-0.0833333333333333),IF(OR(AND(F968="OFF",D968="OFF"),AND(F968="Congé",D968="Congé"),AND(F968="Congé sans solde",D968="Congé sans solde"),AND(F968="Congé spécial",D968="Congé spécial"),AND(F968="Férié",D968="Férié"),AND(F968="OFF",D968="Congé"),AND(F968="OFF",D968="Congé sans solde"),AND(F968="OFF",D968="Congé spécial"),AND(F968="OFF",D968="Férié"),AND(F968="Congé",D968="OFF"),AND(F968="Congé",D968="Congé sans solde"),AND(F968="Congé",D968="Congé spécial"),AND(F968="Congé",D968="Férié"),AND(F968="Congé sans solde",D968="OFF"),AND(F968="Congé sans solde",D968="Congé"),AND(F968="Congé sans solde",D968="Congé spécial"),AND(F968="Congé sans solde",D968="Férié"),AND(F968="Congé spécial",D968="OFF"),AND(F968="Congé spécial",D968="Congé"),AND(F968="Congé spécial",D968="Congé sans solde"),AND(F968="Congé spécial",D968="Férié"),AND(F968="Férié",D968="OFF"),AND(F968="Férié",D968="Congé"),AND(F968="Férié",D968="Congé sans solde"),AND(F968="Férié",D968="Congé spécial")),0,IF(OR(F968="OFF",F968="Congé",F968="Congé spécial",F968="Congé sans solde",D968="OFF",D968="Congé",D968="Congé spécial",D968="Congé sans solde"),0.208333333333334,IF(AND(AG968="",F968-D968&lt;0),("24:00:00"-D968)+("00:00:00"+F968)-0.0416666666666667,IF(AND(OR(AG968="Allaitement",AG968="Sans déjeuner"),F968-D968&lt;0),("24:00:00"-D968)+("00:00:00"+F968),IF(AND(AG968="",F968-D968&gt;0.166666666666667),F968-D968-0.0416666666666667,IF(AND(OR(AG968="Allaitement",AG968="Sans déjeuner"),F968-D968&gt;0.166666666666667),F968-D968,F968-D968)))))))</f>
        <v>0.375</v>
      </c>
      <c r="P968" s="6" t="str">
        <f aca="false">IFERROR(VLOOKUP($B968,Agents!$A:$D,2,0),"-")</f>
        <v>Accessibilité</v>
      </c>
      <c r="Q968" s="21" t="n">
        <v>46253</v>
      </c>
      <c r="R968" s="8" t="n">
        <f aca="false">IF(M968="Abs",O968,0)</f>
        <v>0</v>
      </c>
      <c r="S968" s="8" t="n">
        <f aca="false">SUM(R968,L968,I968,J968,W968,H968)</f>
        <v>0</v>
      </c>
      <c r="T968" s="6" t="str">
        <f aca="false">"Sem - "&amp;WEEKNUM(Q968,21)</f>
        <v>Sem - 34</v>
      </c>
      <c r="U968" s="6" t="str">
        <f aca="false">CHOOSE(MONTH(Q968),"Janvier","Février","Mars","Avril","Mai","Juin","Juillet","Août","Septembre","Octobre","Novembre","Décembre")</f>
        <v>Août</v>
      </c>
      <c r="V968" s="22" t="n">
        <f aca="false">YEAR(Q968)</f>
        <v>2026</v>
      </c>
      <c r="W968" s="20"/>
      <c r="X968" s="8" t="n">
        <f aca="false">IFERROR(IF(M968="Abs",0,IF(ROUND((D968-C968+E968-F968)*1440,0)&lt;=1,0,D968-C968+E968-F968)),0)</f>
        <v>0</v>
      </c>
      <c r="Y968" s="6" t="str">
        <f aca="false">IFERROR(VLOOKUP($B968,Agents!$A:$D,3,0),"-")</f>
        <v>OUBRAHIM Mohammed</v>
      </c>
      <c r="Z968" s="6" t="str">
        <f aca="false">IFERROR(VLOOKUP($B968,Agents!$A:$D,4,0),"-")</f>
        <v>Credit Mutuel</v>
      </c>
      <c r="AA968" s="18" t="s">
        <v>116</v>
      </c>
      <c r="AB968" s="8" t="str">
        <f aca="false">IF(AND(D968="Congé",F968="Congé"),0.333333333333333,IF(OR(AND(D968="Congé",F968&lt;&gt;"Congé"),(AND(F968="Congé",D968&lt;&gt;"Congé"))),0.166666666666667,""))</f>
        <v/>
      </c>
      <c r="AC968" s="8" t="str">
        <f aca="false">IF(AND(D968="Congé sans solde",F968="Congé sans solde"),0.333333333333333,IF(OR(AND(D968="Congé sans solde",F968&lt;&gt;"Congé sans solde"),(AND(F968="Congé sans solde",D968&lt;&gt;"Congé sans solde"))),0.166666666666667,""))</f>
        <v/>
      </c>
      <c r="AD968" s="8" t="str">
        <f aca="false">IF(AND(D968="Congé spécial",F968="Congé spécial"),0.333333333333333,IF(OR(AND(D968="Congé spécial",F968&lt;&gt;"Congé spécial"),AND(F968="Congé spécial",D968&lt;&gt;"Congé spécial")),0.166666666666667,""))</f>
        <v/>
      </c>
      <c r="AE968" s="8" t="str">
        <f aca="false">IF(AND(D968="Férié",F968="Férié"),0.333333333333333,IF(OR(AND(D968="Férié",F968&lt;&gt;"Férié"),(AND(F968="Férié",D968&lt;&gt;"Férié"))),0.166666666666667,""))</f>
        <v/>
      </c>
      <c r="AF968" s="18"/>
      <c r="AG968" s="18"/>
    </row>
    <row r="969" customFormat="false" ht="15" hidden="false" customHeight="false" outlineLevel="0" collapsed="false">
      <c r="A969" s="6" t="str">
        <f aca="false">YEAR(Q969-WEEKDAY(Q969,2)+4)&amp;"-S"&amp;TEXT(WEEKNUM(Q969,21),"00")</f>
        <v>2026-S34</v>
      </c>
      <c r="B969" s="18" t="s">
        <v>73</v>
      </c>
      <c r="C969" s="19" t="n">
        <v>0.333333333333333</v>
      </c>
      <c r="D969" s="19" t="n">
        <v>0.333333333333333</v>
      </c>
      <c r="E969" s="19" t="n">
        <v>0.75</v>
      </c>
      <c r="F969" s="19" t="n">
        <v>0.75</v>
      </c>
      <c r="G969" s="20"/>
      <c r="H969" s="20"/>
      <c r="I969" s="8" t="str">
        <f aca="false">IF(IF(OR(C969="",D969="Congé",D969="OFF",D969="Congé spécial"),"",IF(D969&gt;F969,D969-C969,IF(C969-D969&lt;0,0,C969-D969)))&lt;0.00068287037037037,"",IF(OR(D969="Congé",D969="OFF",C969="",D969="Congé spécial"),"",IF(D969&gt;F969,D969-C969,IF(C969-D969&lt;0,0,C969-D969))))</f>
        <v/>
      </c>
      <c r="J969" s="20"/>
      <c r="K969" s="8" t="n">
        <f aca="false">IF(SUM(H969:J969)&lt;0.00068287037037037,0,SUM(H969:J969))</f>
        <v>0</v>
      </c>
      <c r="L969" s="8" t="n">
        <f aca="false">IF(OR(F969="Congé",F969="OFF",M969="Abs",F969="Congé sans solde",F969="Férié",F969="Congé spécial",D969="Congé spécial"),0,IF(F969-E969&lt;0,0,IF(F969-E969&lt;=0.00068287037037037,0,F969-E969)))</f>
        <v>0</v>
      </c>
      <c r="M969" s="6" t="n">
        <f aca="false">IF(AND(O969&lt;&gt;0,C969=""),"Abs",0)</f>
        <v>0</v>
      </c>
      <c r="N969" s="8" t="n">
        <f aca="false">IFERROR(IF(OR(D969="OFF",D969="Congé",M969="Abs",D969="Congé sans solde",D969="Férié"),"",IF(O969-K969-L969&gt;O969,O969,IF(O969-K969-L969&lt;0,"",O969-K969-L969))),"")</f>
        <v>0.375</v>
      </c>
      <c r="O969" s="8" t="n">
        <f aca="false">IF(AG969="2H Pause déjeuner",IF(F969-D969-0.0833333333333333&lt;0,F969-D969-0.0833333333333333+1,F969-D969-0.0833333333333333),IF(OR(AND(F969="OFF",D969="OFF"),AND(F969="Congé",D969="Congé"),AND(F969="Congé sans solde",D969="Congé sans solde"),AND(F969="Congé spécial",D969="Congé spécial"),AND(F969="Férié",D969="Férié"),AND(F969="OFF",D969="Congé"),AND(F969="OFF",D969="Congé sans solde"),AND(F969="OFF",D969="Congé spécial"),AND(F969="OFF",D969="Férié"),AND(F969="Congé",D969="OFF"),AND(F969="Congé",D969="Congé sans solde"),AND(F969="Congé",D969="Congé spécial"),AND(F969="Congé",D969="Férié"),AND(F969="Congé sans solde",D969="OFF"),AND(F969="Congé sans solde",D969="Congé"),AND(F969="Congé sans solde",D969="Congé spécial"),AND(F969="Congé sans solde",D969="Férié"),AND(F969="Congé spécial",D969="OFF"),AND(F969="Congé spécial",D969="Congé"),AND(F969="Congé spécial",D969="Congé sans solde"),AND(F969="Congé spécial",D969="Férié"),AND(F969="Férié",D969="OFF"),AND(F969="Férié",D969="Congé"),AND(F969="Férié",D969="Congé sans solde"),AND(F969="Férié",D969="Congé spécial")),0,IF(OR(F969="OFF",F969="Congé",F969="Congé spécial",F969="Congé sans solde",D969="OFF",D969="Congé",D969="Congé spécial",D969="Congé sans solde"),0.208333333333334,IF(AND(AG969="",F969-D969&lt;0),("24:00:00"-D969)+("00:00:00"+F969)-0.0416666666666667,IF(AND(OR(AG969="Allaitement",AG969="Sans déjeuner"),F969-D969&lt;0),("24:00:00"-D969)+("00:00:00"+F969),IF(AND(AG969="",F969-D969&gt;0.166666666666667),F969-D969-0.0416666666666667,IF(AND(OR(AG969="Allaitement",AG969="Sans déjeuner"),F969-D969&gt;0.166666666666667),F969-D969,F969-D969)))))))</f>
        <v>0.375</v>
      </c>
      <c r="P969" s="6" t="str">
        <f aca="false">IFERROR(VLOOKUP($B969,Agents!$A:$D,2,0),"-")</f>
        <v>Accessibilité</v>
      </c>
      <c r="Q969" s="21" t="n">
        <v>46253</v>
      </c>
      <c r="R969" s="8" t="n">
        <f aca="false">IF(M969="Abs",O969,0)</f>
        <v>0</v>
      </c>
      <c r="S969" s="8" t="n">
        <f aca="false">SUM(R969,L969,I969,J969,W969,H969)</f>
        <v>0</v>
      </c>
      <c r="T969" s="6" t="str">
        <f aca="false">"Sem - "&amp;WEEKNUM(Q969,21)</f>
        <v>Sem - 34</v>
      </c>
      <c r="U969" s="6" t="str">
        <f aca="false">CHOOSE(MONTH(Q969),"Janvier","Février","Mars","Avril","Mai","Juin","Juillet","Août","Septembre","Octobre","Novembre","Décembre")</f>
        <v>Août</v>
      </c>
      <c r="V969" s="22" t="n">
        <f aca="false">YEAR(Q969)</f>
        <v>2026</v>
      </c>
      <c r="W969" s="20"/>
      <c r="X969" s="8" t="n">
        <f aca="false">IFERROR(IF(M969="Abs",0,IF(ROUND((D969-C969+E969-F969)*1440,0)&lt;=1,0,D969-C969+E969-F969)),0)</f>
        <v>0</v>
      </c>
      <c r="Y969" s="6" t="str">
        <f aca="false">IFERROR(VLOOKUP($B969,Agents!$A:$D,3,0),"-")</f>
        <v>OUBRAHIM Mohammed</v>
      </c>
      <c r="Z969" s="6" t="str">
        <f aca="false">IFERROR(VLOOKUP($B969,Agents!$A:$D,4,0),"-")</f>
        <v>Credit Mutuel</v>
      </c>
      <c r="AA969" s="18" t="s">
        <v>116</v>
      </c>
      <c r="AB969" s="8" t="str">
        <f aca="false">IF(AND(D969="Congé",F969="Congé"),0.333333333333333,IF(OR(AND(D969="Congé",F969&lt;&gt;"Congé"),(AND(F969="Congé",D969&lt;&gt;"Congé"))),0.166666666666667,""))</f>
        <v/>
      </c>
      <c r="AC969" s="8" t="str">
        <f aca="false">IF(AND(D969="Congé sans solde",F969="Congé sans solde"),0.333333333333333,IF(OR(AND(D969="Congé sans solde",F969&lt;&gt;"Congé sans solde"),(AND(F969="Congé sans solde",D969&lt;&gt;"Congé sans solde"))),0.166666666666667,""))</f>
        <v/>
      </c>
      <c r="AD969" s="8" t="str">
        <f aca="false">IF(AND(D969="Congé spécial",F969="Congé spécial"),0.333333333333333,IF(OR(AND(D969="Congé spécial",F969&lt;&gt;"Congé spécial"),AND(F969="Congé spécial",D969&lt;&gt;"Congé spécial")),0.166666666666667,""))</f>
        <v/>
      </c>
      <c r="AE969" s="8" t="str">
        <f aca="false">IF(AND(D969="Férié",F969="Férié"),0.333333333333333,IF(OR(AND(D969="Férié",F969&lt;&gt;"Férié"),(AND(F969="Férié",D969&lt;&gt;"Férié"))),0.166666666666667,""))</f>
        <v/>
      </c>
      <c r="AF969" s="18"/>
      <c r="AG969" s="18"/>
    </row>
    <row r="970" customFormat="false" ht="15" hidden="false" customHeight="false" outlineLevel="0" collapsed="false">
      <c r="A970" s="6" t="str">
        <f aca="false">YEAR(Q970-WEEKDAY(Q970,2)+4)&amp;"-S"&amp;TEXT(WEEKNUM(Q970,21),"00")</f>
        <v>2026-S34</v>
      </c>
      <c r="B970" s="18" t="s">
        <v>71</v>
      </c>
      <c r="C970" s="19" t="n">
        <v>0.333333333333333</v>
      </c>
      <c r="D970" s="19" t="n">
        <v>0.333333333333333</v>
      </c>
      <c r="E970" s="19" t="n">
        <v>0.75</v>
      </c>
      <c r="F970" s="19" t="n">
        <v>0.75</v>
      </c>
      <c r="G970" s="20"/>
      <c r="H970" s="20"/>
      <c r="I970" s="8" t="str">
        <f aca="false">IF(IF(OR(C970="",D970="Congé",D970="OFF",D970="Congé spécial"),"",IF(D970&gt;F970,D970-C970,IF(C970-D970&lt;0,0,C970-D970)))&lt;0.00068287037037037,"",IF(OR(D970="Congé",D970="OFF",C970="",D970="Congé spécial"),"",IF(D970&gt;F970,D970-C970,IF(C970-D970&lt;0,0,C970-D970))))</f>
        <v/>
      </c>
      <c r="J970" s="20"/>
      <c r="K970" s="8" t="n">
        <f aca="false">IF(SUM(H970:J970)&lt;0.00068287037037037,0,SUM(H970:J970))</f>
        <v>0</v>
      </c>
      <c r="L970" s="8" t="n">
        <f aca="false">IF(OR(F970="Congé",F970="OFF",M970="Abs",F970="Congé sans solde",F970="Férié",F970="Congé spécial",D970="Congé spécial"),0,IF(F970-E970&lt;0,0,IF(F970-E970&lt;=0.00068287037037037,0,F970-E970)))</f>
        <v>0</v>
      </c>
      <c r="M970" s="6" t="n">
        <f aca="false">IF(AND(O970&lt;&gt;0,C970=""),"Abs",0)</f>
        <v>0</v>
      </c>
      <c r="N970" s="8" t="n">
        <f aca="false">IFERROR(IF(OR(D970="OFF",D970="Congé",M970="Abs",D970="Congé sans solde",D970="Férié"),"",IF(O970-K970-L970&gt;O970,O970,IF(O970-K970-L970&lt;0,"",O970-K970-L970))),"")</f>
        <v>0.375</v>
      </c>
      <c r="O970" s="8" t="n">
        <f aca="false">IF(AG970="2H Pause déjeuner",IF(F970-D970-0.0833333333333333&lt;0,F970-D970-0.0833333333333333+1,F970-D970-0.0833333333333333),IF(OR(AND(F970="OFF",D970="OFF"),AND(F970="Congé",D970="Congé"),AND(F970="Congé sans solde",D970="Congé sans solde"),AND(F970="Congé spécial",D970="Congé spécial"),AND(F970="Férié",D970="Férié"),AND(F970="OFF",D970="Congé"),AND(F970="OFF",D970="Congé sans solde"),AND(F970="OFF",D970="Congé spécial"),AND(F970="OFF",D970="Férié"),AND(F970="Congé",D970="OFF"),AND(F970="Congé",D970="Congé sans solde"),AND(F970="Congé",D970="Congé spécial"),AND(F970="Congé",D970="Férié"),AND(F970="Congé sans solde",D970="OFF"),AND(F970="Congé sans solde",D970="Congé"),AND(F970="Congé sans solde",D970="Congé spécial"),AND(F970="Congé sans solde",D970="Férié"),AND(F970="Congé spécial",D970="OFF"),AND(F970="Congé spécial",D970="Congé"),AND(F970="Congé spécial",D970="Congé sans solde"),AND(F970="Congé spécial",D970="Férié"),AND(F970="Férié",D970="OFF"),AND(F970="Férié",D970="Congé"),AND(F970="Férié",D970="Congé sans solde"),AND(F970="Férié",D970="Congé spécial")),0,IF(OR(F970="OFF",F970="Congé",F970="Congé spécial",F970="Congé sans solde",D970="OFF",D970="Congé",D970="Congé spécial",D970="Congé sans solde"),0.208333333333334,IF(AND(AG970="",F970-D970&lt;0),("24:00:00"-D970)+("00:00:00"+F970)-0.0416666666666667,IF(AND(OR(AG970="Allaitement",AG970="Sans déjeuner"),F970-D970&lt;0),("24:00:00"-D970)+("00:00:00"+F970),IF(AND(AG970="",F970-D970&gt;0.166666666666667),F970-D970-0.0416666666666667,IF(AND(OR(AG970="Allaitement",AG970="Sans déjeuner"),F970-D970&gt;0.166666666666667),F970-D970,F970-D970)))))))</f>
        <v>0.375</v>
      </c>
      <c r="P970" s="6" t="str">
        <f aca="false">IFERROR(VLOOKUP($B970,Agents!$A:$D,2,0),"-")</f>
        <v>Accessibilité</v>
      </c>
      <c r="Q970" s="21" t="n">
        <v>46254</v>
      </c>
      <c r="R970" s="8" t="n">
        <f aca="false">IF(M970="Abs",O970,0)</f>
        <v>0</v>
      </c>
      <c r="S970" s="8" t="n">
        <f aca="false">SUM(R970,L970,I970,J970,W970,H970)</f>
        <v>0</v>
      </c>
      <c r="T970" s="6" t="str">
        <f aca="false">"Sem - "&amp;WEEKNUM(Q970,21)</f>
        <v>Sem - 34</v>
      </c>
      <c r="U970" s="6" t="str">
        <f aca="false">CHOOSE(MONTH(Q970),"Janvier","Février","Mars","Avril","Mai","Juin","Juillet","Août","Septembre","Octobre","Novembre","Décembre")</f>
        <v>Août</v>
      </c>
      <c r="V970" s="22" t="n">
        <f aca="false">YEAR(Q970)</f>
        <v>2026</v>
      </c>
      <c r="W970" s="20"/>
      <c r="X970" s="8" t="n">
        <f aca="false">IFERROR(IF(M970="Abs",0,IF(ROUND((D970-C970+E970-F970)*1440,0)&lt;=1,0,D970-C970+E970-F970)),0)</f>
        <v>0</v>
      </c>
      <c r="Y970" s="6" t="str">
        <f aca="false">IFERROR(VLOOKUP($B970,Agents!$A:$D,3,0),"-")</f>
        <v>OUBRAHIM Mohammed</v>
      </c>
      <c r="Z970" s="6" t="str">
        <f aca="false">IFERROR(VLOOKUP($B970,Agents!$A:$D,4,0),"-")</f>
        <v>Credit Mutuel</v>
      </c>
      <c r="AA970" s="18" t="s">
        <v>116</v>
      </c>
      <c r="AB970" s="8" t="str">
        <f aca="false">IF(AND(D970="Congé",F970="Congé"),0.333333333333333,IF(OR(AND(D970="Congé",F970&lt;&gt;"Congé"),(AND(F970="Congé",D970&lt;&gt;"Congé"))),0.166666666666667,""))</f>
        <v/>
      </c>
      <c r="AC970" s="8" t="str">
        <f aca="false">IF(AND(D970="Congé sans solde",F970="Congé sans solde"),0.333333333333333,IF(OR(AND(D970="Congé sans solde",F970&lt;&gt;"Congé sans solde"),(AND(F970="Congé sans solde",D970&lt;&gt;"Congé sans solde"))),0.166666666666667,""))</f>
        <v/>
      </c>
      <c r="AD970" s="8" t="str">
        <f aca="false">IF(AND(D970="Congé spécial",F970="Congé spécial"),0.333333333333333,IF(OR(AND(D970="Congé spécial",F970&lt;&gt;"Congé spécial"),AND(F970="Congé spécial",D970&lt;&gt;"Congé spécial")),0.166666666666667,""))</f>
        <v/>
      </c>
      <c r="AE970" s="8" t="str">
        <f aca="false">IF(AND(D970="Férié",F970="Férié"),0.333333333333333,IF(OR(AND(D970="Férié",F970&lt;&gt;"Férié"),(AND(F970="Férié",D970&lt;&gt;"Férié"))),0.166666666666667,""))</f>
        <v/>
      </c>
      <c r="AF970" s="18"/>
      <c r="AG970" s="18"/>
    </row>
    <row r="971" customFormat="false" ht="15" hidden="false" customHeight="false" outlineLevel="0" collapsed="false">
      <c r="A971" s="6" t="str">
        <f aca="false">YEAR(Q971-WEEKDAY(Q971,2)+4)&amp;"-S"&amp;TEXT(WEEKNUM(Q971,21),"00")</f>
        <v>2026-S34</v>
      </c>
      <c r="B971" s="18" t="s">
        <v>72</v>
      </c>
      <c r="C971" s="19" t="n">
        <v>0.330555555555556</v>
      </c>
      <c r="D971" s="19" t="n">
        <v>0.333333333333333</v>
      </c>
      <c r="E971" s="19" t="n">
        <v>0.75</v>
      </c>
      <c r="F971" s="19" t="n">
        <v>0.75</v>
      </c>
      <c r="G971" s="20"/>
      <c r="H971" s="20"/>
      <c r="I971" s="8" t="str">
        <f aca="false">IF(IF(OR(C971="",D971="Congé",D971="OFF",D971="Congé spécial"),"",IF(D971&gt;F971,D971-C971,IF(C971-D971&lt;0,0,C971-D971)))&lt;0.00068287037037037,"",IF(OR(D971="Congé",D971="OFF",C971="",D971="Congé spécial"),"",IF(D971&gt;F971,D971-C971,IF(C971-D971&lt;0,0,C971-D971))))</f>
        <v/>
      </c>
      <c r="J971" s="20"/>
      <c r="K971" s="8" t="n">
        <f aca="false">IF(SUM(H971:J971)&lt;0.00068287037037037,0,SUM(H971:J971))</f>
        <v>0</v>
      </c>
      <c r="L971" s="8" t="n">
        <f aca="false">IF(OR(F971="Congé",F971="OFF",M971="Abs",F971="Congé sans solde",F971="Férié",F971="Congé spécial",D971="Congé spécial"),0,IF(F971-E971&lt;0,0,IF(F971-E971&lt;=0.00068287037037037,0,F971-E971)))</f>
        <v>0</v>
      </c>
      <c r="M971" s="6" t="n">
        <f aca="false">IF(AND(O971&lt;&gt;0,C971=""),"Abs",0)</f>
        <v>0</v>
      </c>
      <c r="N971" s="8" t="n">
        <f aca="false">IFERROR(IF(OR(D971="OFF",D971="Congé",M971="Abs",D971="Congé sans solde",D971="Férié"),"",IF(O971-K971-L971&gt;O971,O971,IF(O971-K971-L971&lt;0,"",O971-K971-L971))),"")</f>
        <v>0.375</v>
      </c>
      <c r="O971" s="8" t="n">
        <f aca="false">IF(AG971="2H Pause déjeuner",IF(F971-D971-0.0833333333333333&lt;0,F971-D971-0.0833333333333333+1,F971-D971-0.0833333333333333),IF(OR(AND(F971="OFF",D971="OFF"),AND(F971="Congé",D971="Congé"),AND(F971="Congé sans solde",D971="Congé sans solde"),AND(F971="Congé spécial",D971="Congé spécial"),AND(F971="Férié",D971="Férié"),AND(F971="OFF",D971="Congé"),AND(F971="OFF",D971="Congé sans solde"),AND(F971="OFF",D971="Congé spécial"),AND(F971="OFF",D971="Férié"),AND(F971="Congé",D971="OFF"),AND(F971="Congé",D971="Congé sans solde"),AND(F971="Congé",D971="Congé spécial"),AND(F971="Congé",D971="Férié"),AND(F971="Congé sans solde",D971="OFF"),AND(F971="Congé sans solde",D971="Congé"),AND(F971="Congé sans solde",D971="Congé spécial"),AND(F971="Congé sans solde",D971="Férié"),AND(F971="Congé spécial",D971="OFF"),AND(F971="Congé spécial",D971="Congé"),AND(F971="Congé spécial",D971="Congé sans solde"),AND(F971="Congé spécial",D971="Férié"),AND(F971="Férié",D971="OFF"),AND(F971="Férié",D971="Congé"),AND(F971="Férié",D971="Congé sans solde"),AND(F971="Férié",D971="Congé spécial")),0,IF(OR(F971="OFF",F971="Congé",F971="Congé spécial",F971="Congé sans solde",D971="OFF",D971="Congé",D971="Congé spécial",D971="Congé sans solde"),0.208333333333334,IF(AND(AG971="",F971-D971&lt;0),("24:00:00"-D971)+("00:00:00"+F971)-0.0416666666666667,IF(AND(OR(AG971="Allaitement",AG971="Sans déjeuner"),F971-D971&lt;0),("24:00:00"-D971)+("00:00:00"+F971),IF(AND(AG971="",F971-D971&gt;0.166666666666667),F971-D971-0.0416666666666667,IF(AND(OR(AG971="Allaitement",AG971="Sans déjeuner"),F971-D971&gt;0.166666666666667),F971-D971,F971-D971)))))))</f>
        <v>0.375</v>
      </c>
      <c r="P971" s="6" t="str">
        <f aca="false">IFERROR(VLOOKUP($B971,Agents!$A:$D,2,0),"-")</f>
        <v>Accessibilité</v>
      </c>
      <c r="Q971" s="21" t="n">
        <v>46254</v>
      </c>
      <c r="R971" s="8" t="n">
        <f aca="false">IF(M971="Abs",O971,0)</f>
        <v>0</v>
      </c>
      <c r="S971" s="8" t="n">
        <f aca="false">SUM(R971,L971,I971,J971,W971,H971)</f>
        <v>0</v>
      </c>
      <c r="T971" s="6" t="str">
        <f aca="false">"Sem - "&amp;WEEKNUM(Q971,21)</f>
        <v>Sem - 34</v>
      </c>
      <c r="U971" s="6" t="str">
        <f aca="false">CHOOSE(MONTH(Q971),"Janvier","Février","Mars","Avril","Mai","Juin","Juillet","Août","Septembre","Octobre","Novembre","Décembre")</f>
        <v>Août</v>
      </c>
      <c r="V971" s="22" t="n">
        <f aca="false">YEAR(Q971)</f>
        <v>2026</v>
      </c>
      <c r="W971" s="20"/>
      <c r="X971" s="8" t="n">
        <f aca="false">IFERROR(IF(M971="Abs",0,IF(ROUND((D971-C971+E971-F971)*1440,0)&lt;=1,0,D971-C971+E971-F971)),0)</f>
        <v>0.00277777777777778</v>
      </c>
      <c r="Y971" s="6" t="str">
        <f aca="false">IFERROR(VLOOKUP($B971,Agents!$A:$D,3,0),"-")</f>
        <v>OUBRAHIM Mohammed</v>
      </c>
      <c r="Z971" s="6" t="str">
        <f aca="false">IFERROR(VLOOKUP($B971,Agents!$A:$D,4,0),"-")</f>
        <v>Credit Mutuel</v>
      </c>
      <c r="AA971" s="18" t="s">
        <v>116</v>
      </c>
      <c r="AB971" s="8" t="str">
        <f aca="false">IF(AND(D971="Congé",F971="Congé"),0.333333333333333,IF(OR(AND(D971="Congé",F971&lt;&gt;"Congé"),(AND(F971="Congé",D971&lt;&gt;"Congé"))),0.166666666666667,""))</f>
        <v/>
      </c>
      <c r="AC971" s="8" t="str">
        <f aca="false">IF(AND(D971="Congé sans solde",F971="Congé sans solde"),0.333333333333333,IF(OR(AND(D971="Congé sans solde",F971&lt;&gt;"Congé sans solde"),(AND(F971="Congé sans solde",D971&lt;&gt;"Congé sans solde"))),0.166666666666667,""))</f>
        <v/>
      </c>
      <c r="AD971" s="8" t="str">
        <f aca="false">IF(AND(D971="Congé spécial",F971="Congé spécial"),0.333333333333333,IF(OR(AND(D971="Congé spécial",F971&lt;&gt;"Congé spécial"),AND(F971="Congé spécial",D971&lt;&gt;"Congé spécial")),0.166666666666667,""))</f>
        <v/>
      </c>
      <c r="AE971" s="8" t="str">
        <f aca="false">IF(AND(D971="Férié",F971="Férié"),0.333333333333333,IF(OR(AND(D971="Férié",F971&lt;&gt;"Férié"),(AND(F971="Férié",D971&lt;&gt;"Férié"))),0.166666666666667,""))</f>
        <v/>
      </c>
      <c r="AF971" s="18"/>
      <c r="AG971" s="18"/>
    </row>
    <row r="972" customFormat="false" ht="15" hidden="false" customHeight="false" outlineLevel="0" collapsed="false">
      <c r="A972" s="6" t="str">
        <f aca="false">YEAR(Q972-WEEKDAY(Q972,2)+4)&amp;"-S"&amp;TEXT(WEEKNUM(Q972,21),"00")</f>
        <v>2026-S34</v>
      </c>
      <c r="B972" s="18" t="s">
        <v>73</v>
      </c>
      <c r="C972" s="19" t="n">
        <v>0.333333333333333</v>
      </c>
      <c r="D972" s="19" t="n">
        <v>0.333333333333333</v>
      </c>
      <c r="E972" s="19" t="n">
        <v>0.75</v>
      </c>
      <c r="F972" s="19" t="n">
        <v>0.75</v>
      </c>
      <c r="G972" s="20"/>
      <c r="H972" s="20"/>
      <c r="I972" s="8" t="str">
        <f aca="false">IF(IF(OR(C972="",D972="Congé",D972="OFF",D972="Congé spécial"),"",IF(D972&gt;F972,D972-C972,IF(C972-D972&lt;0,0,C972-D972)))&lt;0.00068287037037037,"",IF(OR(D972="Congé",D972="OFF",C972="",D972="Congé spécial"),"",IF(D972&gt;F972,D972-C972,IF(C972-D972&lt;0,0,C972-D972))))</f>
        <v/>
      </c>
      <c r="J972" s="20"/>
      <c r="K972" s="8" t="n">
        <f aca="false">IF(SUM(H972:J972)&lt;0.00068287037037037,0,SUM(H972:J972))</f>
        <v>0</v>
      </c>
      <c r="L972" s="8" t="n">
        <f aca="false">IF(OR(F972="Congé",F972="OFF",M972="Abs",F972="Congé sans solde",F972="Férié",F972="Congé spécial",D972="Congé spécial"),0,IF(F972-E972&lt;0,0,IF(F972-E972&lt;=0.00068287037037037,0,F972-E972)))</f>
        <v>0</v>
      </c>
      <c r="M972" s="6" t="n">
        <f aca="false">IF(AND(O972&lt;&gt;0,C972=""),"Abs",0)</f>
        <v>0</v>
      </c>
      <c r="N972" s="8" t="n">
        <f aca="false">IFERROR(IF(OR(D972="OFF",D972="Congé",M972="Abs",D972="Congé sans solde",D972="Férié"),"",IF(O972-K972-L972&gt;O972,O972,IF(O972-K972-L972&lt;0,"",O972-K972-L972))),"")</f>
        <v>0.375</v>
      </c>
      <c r="O972" s="8" t="n">
        <f aca="false">IF(AG972="2H Pause déjeuner",IF(F972-D972-0.0833333333333333&lt;0,F972-D972-0.0833333333333333+1,F972-D972-0.0833333333333333),IF(OR(AND(F972="OFF",D972="OFF"),AND(F972="Congé",D972="Congé"),AND(F972="Congé sans solde",D972="Congé sans solde"),AND(F972="Congé spécial",D972="Congé spécial"),AND(F972="Férié",D972="Férié"),AND(F972="OFF",D972="Congé"),AND(F972="OFF",D972="Congé sans solde"),AND(F972="OFF",D972="Congé spécial"),AND(F972="OFF",D972="Férié"),AND(F972="Congé",D972="OFF"),AND(F972="Congé",D972="Congé sans solde"),AND(F972="Congé",D972="Congé spécial"),AND(F972="Congé",D972="Férié"),AND(F972="Congé sans solde",D972="OFF"),AND(F972="Congé sans solde",D972="Congé"),AND(F972="Congé sans solde",D972="Congé spécial"),AND(F972="Congé sans solde",D972="Férié"),AND(F972="Congé spécial",D972="OFF"),AND(F972="Congé spécial",D972="Congé"),AND(F972="Congé spécial",D972="Congé sans solde"),AND(F972="Congé spécial",D972="Férié"),AND(F972="Férié",D972="OFF"),AND(F972="Férié",D972="Congé"),AND(F972="Férié",D972="Congé sans solde"),AND(F972="Férié",D972="Congé spécial")),0,IF(OR(F972="OFF",F972="Congé",F972="Congé spécial",F972="Congé sans solde",D972="OFF",D972="Congé",D972="Congé spécial",D972="Congé sans solde"),0.208333333333334,IF(AND(AG972="",F972-D972&lt;0),("24:00:00"-D972)+("00:00:00"+F972)-0.0416666666666667,IF(AND(OR(AG972="Allaitement",AG972="Sans déjeuner"),F972-D972&lt;0),("24:00:00"-D972)+("00:00:00"+F972),IF(AND(AG972="",F972-D972&gt;0.166666666666667),F972-D972-0.0416666666666667,IF(AND(OR(AG972="Allaitement",AG972="Sans déjeuner"),F972-D972&gt;0.166666666666667),F972-D972,F972-D972)))))))</f>
        <v>0.375</v>
      </c>
      <c r="P972" s="6" t="str">
        <f aca="false">IFERROR(VLOOKUP($B972,Agents!$A:$D,2,0),"-")</f>
        <v>Accessibilité</v>
      </c>
      <c r="Q972" s="21" t="n">
        <v>46254</v>
      </c>
      <c r="R972" s="8" t="n">
        <f aca="false">IF(M972="Abs",O972,0)</f>
        <v>0</v>
      </c>
      <c r="S972" s="8" t="n">
        <f aca="false">SUM(R972,L972,I972,J972,W972,H972)</f>
        <v>0</v>
      </c>
      <c r="T972" s="6" t="str">
        <f aca="false">"Sem - "&amp;WEEKNUM(Q972,21)</f>
        <v>Sem - 34</v>
      </c>
      <c r="U972" s="6" t="str">
        <f aca="false">CHOOSE(MONTH(Q972),"Janvier","Février","Mars","Avril","Mai","Juin","Juillet","Août","Septembre","Octobre","Novembre","Décembre")</f>
        <v>Août</v>
      </c>
      <c r="V972" s="22" t="n">
        <f aca="false">YEAR(Q972)</f>
        <v>2026</v>
      </c>
      <c r="W972" s="20"/>
      <c r="X972" s="8" t="n">
        <f aca="false">IFERROR(IF(M972="Abs",0,IF(ROUND((D972-C972+E972-F972)*1440,0)&lt;=1,0,D972-C972+E972-F972)),0)</f>
        <v>0</v>
      </c>
      <c r="Y972" s="6" t="str">
        <f aca="false">IFERROR(VLOOKUP($B972,Agents!$A:$D,3,0),"-")</f>
        <v>OUBRAHIM Mohammed</v>
      </c>
      <c r="Z972" s="6" t="str">
        <f aca="false">IFERROR(VLOOKUP($B972,Agents!$A:$D,4,0),"-")</f>
        <v>Credit Mutuel</v>
      </c>
      <c r="AA972" s="18" t="s">
        <v>116</v>
      </c>
      <c r="AB972" s="8" t="str">
        <f aca="false">IF(AND(D972="Congé",F972="Congé"),0.333333333333333,IF(OR(AND(D972="Congé",F972&lt;&gt;"Congé"),(AND(F972="Congé",D972&lt;&gt;"Congé"))),0.166666666666667,""))</f>
        <v/>
      </c>
      <c r="AC972" s="8" t="str">
        <f aca="false">IF(AND(D972="Congé sans solde",F972="Congé sans solde"),0.333333333333333,IF(OR(AND(D972="Congé sans solde",F972&lt;&gt;"Congé sans solde"),(AND(F972="Congé sans solde",D972&lt;&gt;"Congé sans solde"))),0.166666666666667,""))</f>
        <v/>
      </c>
      <c r="AD972" s="8" t="str">
        <f aca="false">IF(AND(D972="Congé spécial",F972="Congé spécial"),0.333333333333333,IF(OR(AND(D972="Congé spécial",F972&lt;&gt;"Congé spécial"),AND(F972="Congé spécial",D972&lt;&gt;"Congé spécial")),0.166666666666667,""))</f>
        <v/>
      </c>
      <c r="AE972" s="8" t="str">
        <f aca="false">IF(AND(D972="Férié",F972="Férié"),0.333333333333333,IF(OR(AND(D972="Férié",F972&lt;&gt;"Férié"),(AND(F972="Férié",D972&lt;&gt;"Férié"))),0.166666666666667,""))</f>
        <v/>
      </c>
      <c r="AF972" s="18"/>
      <c r="AG972" s="18"/>
    </row>
    <row r="973" customFormat="false" ht="15" hidden="false" customHeight="false" outlineLevel="0" collapsed="false">
      <c r="A973" s="6" t="str">
        <f aca="false">YEAR(Q973-WEEKDAY(Q973,2)+4)&amp;"-S"&amp;TEXT(WEEKNUM(Q973,21),"00")</f>
        <v>2026-S34</v>
      </c>
      <c r="B973" s="18" t="s">
        <v>71</v>
      </c>
      <c r="C973" s="19" t="n">
        <v>0.330555555555556</v>
      </c>
      <c r="D973" s="19" t="n">
        <v>0.333333333333333</v>
      </c>
      <c r="E973" s="19" t="n">
        <v>0.708333333333333</v>
      </c>
      <c r="F973" s="19" t="n">
        <v>0.708333333333333</v>
      </c>
      <c r="G973" s="20"/>
      <c r="H973" s="20"/>
      <c r="I973" s="8" t="str">
        <f aca="false">IF(IF(OR(C973="",D973="Congé",D973="OFF",D973="Congé spécial"),"",IF(D973&gt;F973,D973-C973,IF(C973-D973&lt;0,0,C973-D973)))&lt;0.00068287037037037,"",IF(OR(D973="Congé",D973="OFF",C973="",D973="Congé spécial"),"",IF(D973&gt;F973,D973-C973,IF(C973-D973&lt;0,0,C973-D973))))</f>
        <v/>
      </c>
      <c r="J973" s="20"/>
      <c r="K973" s="8" t="n">
        <f aca="false">IF(SUM(H973:J973)&lt;0.00068287037037037,0,SUM(H973:J973))</f>
        <v>0</v>
      </c>
      <c r="L973" s="8" t="n">
        <f aca="false">IF(OR(F973="Congé",F973="OFF",M973="Abs",F973="Congé sans solde",F973="Férié",F973="Congé spécial",D973="Congé spécial"),0,IF(F973-E973&lt;0,0,IF(F973-E973&lt;=0.00068287037037037,0,F973-E973)))</f>
        <v>0</v>
      </c>
      <c r="M973" s="6" t="n">
        <f aca="false">IF(AND(O973&lt;&gt;0,C973=""),"Abs",0)</f>
        <v>0</v>
      </c>
      <c r="N973" s="8" t="n">
        <f aca="false">IFERROR(IF(OR(D973="OFF",D973="Congé",M973="Abs",D973="Congé sans solde",D973="Férié"),"",IF(O973-K973-L973&gt;O973,O973,IF(O973-K973-L973&lt;0,"",O973-K973-L973))),"")</f>
        <v>0.333333333333333</v>
      </c>
      <c r="O973" s="8" t="n">
        <f aca="false">IF(AG973="2H Pause déjeuner",IF(F973-D973-0.0833333333333333&lt;0,F973-D973-0.0833333333333333+1,F973-D973-0.0833333333333333),IF(OR(AND(F973="OFF",D973="OFF"),AND(F973="Congé",D973="Congé"),AND(F973="Congé sans solde",D973="Congé sans solde"),AND(F973="Congé spécial",D973="Congé spécial"),AND(F973="Férié",D973="Férié"),AND(F973="OFF",D973="Congé"),AND(F973="OFF",D973="Congé sans solde"),AND(F973="OFF",D973="Congé spécial"),AND(F973="OFF",D973="Férié"),AND(F973="Congé",D973="OFF"),AND(F973="Congé",D973="Congé sans solde"),AND(F973="Congé",D973="Congé spécial"),AND(F973="Congé",D973="Férié"),AND(F973="Congé sans solde",D973="OFF"),AND(F973="Congé sans solde",D973="Congé"),AND(F973="Congé sans solde",D973="Congé spécial"),AND(F973="Congé sans solde",D973="Férié"),AND(F973="Congé spécial",D973="OFF"),AND(F973="Congé spécial",D973="Congé"),AND(F973="Congé spécial",D973="Congé sans solde"),AND(F973="Congé spécial",D973="Férié"),AND(F973="Férié",D973="OFF"),AND(F973="Férié",D973="Congé"),AND(F973="Férié",D973="Congé sans solde"),AND(F973="Férié",D973="Congé spécial")),0,IF(OR(F973="OFF",F973="Congé",F973="Congé spécial",F973="Congé sans solde",D973="OFF",D973="Congé",D973="Congé spécial",D973="Congé sans solde"),0.208333333333334,IF(AND(AG973="",F973-D973&lt;0),("24:00:00"-D973)+("00:00:00"+F973)-0.0416666666666667,IF(AND(OR(AG973="Allaitement",AG973="Sans déjeuner"),F973-D973&lt;0),("24:00:00"-D973)+("00:00:00"+F973),IF(AND(AG973="",F973-D973&gt;0.166666666666667),F973-D973-0.0416666666666667,IF(AND(OR(AG973="Allaitement",AG973="Sans déjeuner"),F973-D973&gt;0.166666666666667),F973-D973,F973-D973)))))))</f>
        <v>0.333333333333333</v>
      </c>
      <c r="P973" s="6" t="str">
        <f aca="false">IFERROR(VLOOKUP($B973,Agents!$A:$D,2,0),"-")</f>
        <v>Accessibilité</v>
      </c>
      <c r="Q973" s="21" t="n">
        <v>46255</v>
      </c>
      <c r="R973" s="8" t="n">
        <f aca="false">IF(M973="Abs",O973,0)</f>
        <v>0</v>
      </c>
      <c r="S973" s="8" t="n">
        <f aca="false">SUM(R973,L973,I973,J973,W973,H973)</f>
        <v>0</v>
      </c>
      <c r="T973" s="6" t="str">
        <f aca="false">"Sem - "&amp;WEEKNUM(Q973,21)</f>
        <v>Sem - 34</v>
      </c>
      <c r="U973" s="6" t="str">
        <f aca="false">CHOOSE(MONTH(Q973),"Janvier","Février","Mars","Avril","Mai","Juin","Juillet","Août","Septembre","Octobre","Novembre","Décembre")</f>
        <v>Août</v>
      </c>
      <c r="V973" s="22" t="n">
        <f aca="false">YEAR(Q973)</f>
        <v>2026</v>
      </c>
      <c r="W973" s="20"/>
      <c r="X973" s="8" t="n">
        <f aca="false">IFERROR(IF(M973="Abs",0,IF(ROUND((D973-C973+E973-F973)*1440,0)&lt;=1,0,D973-C973+E973-F973)),0)</f>
        <v>0.00277777777777778</v>
      </c>
      <c r="Y973" s="6" t="str">
        <f aca="false">IFERROR(VLOOKUP($B973,Agents!$A:$D,3,0),"-")</f>
        <v>OUBRAHIM Mohammed</v>
      </c>
      <c r="Z973" s="6" t="str">
        <f aca="false">IFERROR(VLOOKUP($B973,Agents!$A:$D,4,0),"-")</f>
        <v>Credit Mutuel</v>
      </c>
      <c r="AA973" s="18" t="s">
        <v>116</v>
      </c>
      <c r="AB973" s="8" t="str">
        <f aca="false">IF(AND(D973="Congé",F973="Congé"),0.333333333333333,IF(OR(AND(D973="Congé",F973&lt;&gt;"Congé"),(AND(F973="Congé",D973&lt;&gt;"Congé"))),0.166666666666667,""))</f>
        <v/>
      </c>
      <c r="AC973" s="8" t="str">
        <f aca="false">IF(AND(D973="Congé sans solde",F973="Congé sans solde"),0.333333333333333,IF(OR(AND(D973="Congé sans solde",F973&lt;&gt;"Congé sans solde"),(AND(F973="Congé sans solde",D973&lt;&gt;"Congé sans solde"))),0.166666666666667,""))</f>
        <v/>
      </c>
      <c r="AD973" s="8" t="str">
        <f aca="false">IF(AND(D973="Congé spécial",F973="Congé spécial"),0.333333333333333,IF(OR(AND(D973="Congé spécial",F973&lt;&gt;"Congé spécial"),AND(F973="Congé spécial",D973&lt;&gt;"Congé spécial")),0.166666666666667,""))</f>
        <v/>
      </c>
      <c r="AE973" s="8" t="str">
        <f aca="false">IF(AND(D973="Férié",F973="Férié"),0.333333333333333,IF(OR(AND(D973="Férié",F973&lt;&gt;"Férié"),(AND(F973="Férié",D973&lt;&gt;"Férié"))),0.166666666666667,""))</f>
        <v/>
      </c>
      <c r="AF973" s="18"/>
      <c r="AG973" s="18"/>
    </row>
    <row r="974" customFormat="false" ht="15" hidden="false" customHeight="false" outlineLevel="0" collapsed="false">
      <c r="A974" s="6" t="str">
        <f aca="false">YEAR(Q974-WEEKDAY(Q974,2)+4)&amp;"-S"&amp;TEXT(WEEKNUM(Q974,21),"00")</f>
        <v>2026-S34</v>
      </c>
      <c r="B974" s="18" t="s">
        <v>72</v>
      </c>
      <c r="C974" s="19" t="n">
        <v>0.332638888888889</v>
      </c>
      <c r="D974" s="19" t="n">
        <v>0.333333333333333</v>
      </c>
      <c r="E974" s="19" t="n">
        <v>0.708333333333333</v>
      </c>
      <c r="F974" s="19" t="n">
        <v>0.708333333333333</v>
      </c>
      <c r="G974" s="20"/>
      <c r="H974" s="20"/>
      <c r="I974" s="8" t="str">
        <f aca="false">IF(IF(OR(C974="",D974="Congé",D974="OFF",D974="Congé spécial"),"",IF(D974&gt;F974,D974-C974,IF(C974-D974&lt;0,0,C974-D974)))&lt;0.00068287037037037,"",IF(OR(D974="Congé",D974="OFF",C974="",D974="Congé spécial"),"",IF(D974&gt;F974,D974-C974,IF(C974-D974&lt;0,0,C974-D974))))</f>
        <v/>
      </c>
      <c r="J974" s="20"/>
      <c r="K974" s="8" t="n">
        <f aca="false">IF(SUM(H974:J974)&lt;0.00068287037037037,0,SUM(H974:J974))</f>
        <v>0</v>
      </c>
      <c r="L974" s="8" t="n">
        <f aca="false">IF(OR(F974="Congé",F974="OFF",M974="Abs",F974="Congé sans solde",F974="Férié",F974="Congé spécial",D974="Congé spécial"),0,IF(F974-E974&lt;0,0,IF(F974-E974&lt;=0.00068287037037037,0,F974-E974)))</f>
        <v>0</v>
      </c>
      <c r="M974" s="6" t="n">
        <f aca="false">IF(AND(O974&lt;&gt;0,C974=""),"Abs",0)</f>
        <v>0</v>
      </c>
      <c r="N974" s="8" t="n">
        <f aca="false">IFERROR(IF(OR(D974="OFF",D974="Congé",M974="Abs",D974="Congé sans solde",D974="Férié"),"",IF(O974-K974-L974&gt;O974,O974,IF(O974-K974-L974&lt;0,"",O974-K974-L974))),"")</f>
        <v>0.333333333333333</v>
      </c>
      <c r="O974" s="8" t="n">
        <f aca="false">IF(AG974="2H Pause déjeuner",IF(F974-D974-0.0833333333333333&lt;0,F974-D974-0.0833333333333333+1,F974-D974-0.0833333333333333),IF(OR(AND(F974="OFF",D974="OFF"),AND(F974="Congé",D974="Congé"),AND(F974="Congé sans solde",D974="Congé sans solde"),AND(F974="Congé spécial",D974="Congé spécial"),AND(F974="Férié",D974="Férié"),AND(F974="OFF",D974="Congé"),AND(F974="OFF",D974="Congé sans solde"),AND(F974="OFF",D974="Congé spécial"),AND(F974="OFF",D974="Férié"),AND(F974="Congé",D974="OFF"),AND(F974="Congé",D974="Congé sans solde"),AND(F974="Congé",D974="Congé spécial"),AND(F974="Congé",D974="Férié"),AND(F974="Congé sans solde",D974="OFF"),AND(F974="Congé sans solde",D974="Congé"),AND(F974="Congé sans solde",D974="Congé spécial"),AND(F974="Congé sans solde",D974="Férié"),AND(F974="Congé spécial",D974="OFF"),AND(F974="Congé spécial",D974="Congé"),AND(F974="Congé spécial",D974="Congé sans solde"),AND(F974="Congé spécial",D974="Férié"),AND(F974="Férié",D974="OFF"),AND(F974="Férié",D974="Congé"),AND(F974="Férié",D974="Congé sans solde"),AND(F974="Férié",D974="Congé spécial")),0,IF(OR(F974="OFF",F974="Congé",F974="Congé spécial",F974="Congé sans solde",D974="OFF",D974="Congé",D974="Congé spécial",D974="Congé sans solde"),0.208333333333334,IF(AND(AG974="",F974-D974&lt;0),("24:00:00"-D974)+("00:00:00"+F974)-0.0416666666666667,IF(AND(OR(AG974="Allaitement",AG974="Sans déjeuner"),F974-D974&lt;0),("24:00:00"-D974)+("00:00:00"+F974),IF(AND(AG974="",F974-D974&gt;0.166666666666667),F974-D974-0.0416666666666667,IF(AND(OR(AG974="Allaitement",AG974="Sans déjeuner"),F974-D974&gt;0.166666666666667),F974-D974,F974-D974)))))))</f>
        <v>0.333333333333333</v>
      </c>
      <c r="P974" s="6" t="str">
        <f aca="false">IFERROR(VLOOKUP($B974,Agents!$A:$D,2,0),"-")</f>
        <v>Accessibilité</v>
      </c>
      <c r="Q974" s="21" t="n">
        <v>46255</v>
      </c>
      <c r="R974" s="8" t="n">
        <f aca="false">IF(M974="Abs",O974,0)</f>
        <v>0</v>
      </c>
      <c r="S974" s="8" t="n">
        <f aca="false">SUM(R974,L974,I974,J974,W974,H974)</f>
        <v>0</v>
      </c>
      <c r="T974" s="6" t="str">
        <f aca="false">"Sem - "&amp;WEEKNUM(Q974,21)</f>
        <v>Sem - 34</v>
      </c>
      <c r="U974" s="6" t="str">
        <f aca="false">CHOOSE(MONTH(Q974),"Janvier","Février","Mars","Avril","Mai","Juin","Juillet","Août","Septembre","Octobre","Novembre","Décembre")</f>
        <v>Août</v>
      </c>
      <c r="V974" s="22" t="n">
        <f aca="false">YEAR(Q974)</f>
        <v>2026</v>
      </c>
      <c r="W974" s="20"/>
      <c r="X974" s="8" t="n">
        <f aca="false">IFERROR(IF(M974="Abs",0,IF(ROUND((D974-C974+E974-F974)*1440,0)&lt;=1,0,D974-C974+E974-F974)),0)</f>
        <v>0</v>
      </c>
      <c r="Y974" s="6" t="str">
        <f aca="false">IFERROR(VLOOKUP($B974,Agents!$A:$D,3,0),"-")</f>
        <v>OUBRAHIM Mohammed</v>
      </c>
      <c r="Z974" s="6" t="str">
        <f aca="false">IFERROR(VLOOKUP($B974,Agents!$A:$D,4,0),"-")</f>
        <v>Credit Mutuel</v>
      </c>
      <c r="AA974" s="18" t="s">
        <v>116</v>
      </c>
      <c r="AB974" s="8" t="str">
        <f aca="false">IF(AND(D974="Congé",F974="Congé"),0.333333333333333,IF(OR(AND(D974="Congé",F974&lt;&gt;"Congé"),(AND(F974="Congé",D974&lt;&gt;"Congé"))),0.166666666666667,""))</f>
        <v/>
      </c>
      <c r="AC974" s="8" t="str">
        <f aca="false">IF(AND(D974="Congé sans solde",F974="Congé sans solde"),0.333333333333333,IF(OR(AND(D974="Congé sans solde",F974&lt;&gt;"Congé sans solde"),(AND(F974="Congé sans solde",D974&lt;&gt;"Congé sans solde"))),0.166666666666667,""))</f>
        <v/>
      </c>
      <c r="AD974" s="8" t="str">
        <f aca="false">IF(AND(D974="Congé spécial",F974="Congé spécial"),0.333333333333333,IF(OR(AND(D974="Congé spécial",F974&lt;&gt;"Congé spécial"),AND(F974="Congé spécial",D974&lt;&gt;"Congé spécial")),0.166666666666667,""))</f>
        <v/>
      </c>
      <c r="AE974" s="8" t="str">
        <f aca="false">IF(AND(D974="Férié",F974="Férié"),0.333333333333333,IF(OR(AND(D974="Férié",F974&lt;&gt;"Férié"),(AND(F974="Férié",D974&lt;&gt;"Férié"))),0.166666666666667,""))</f>
        <v/>
      </c>
      <c r="AF974" s="18"/>
      <c r="AG974" s="18"/>
    </row>
    <row r="975" customFormat="false" ht="15" hidden="false" customHeight="false" outlineLevel="0" collapsed="false">
      <c r="A975" s="6" t="str">
        <f aca="false">YEAR(Q975-WEEKDAY(Q975,2)+4)&amp;"-S"&amp;TEXT(WEEKNUM(Q975,21),"00")</f>
        <v>2026-S34</v>
      </c>
      <c r="B975" s="18" t="s">
        <v>73</v>
      </c>
      <c r="C975" s="19" t="n">
        <v>0.332638888888889</v>
      </c>
      <c r="D975" s="19" t="n">
        <v>0.333333333333333</v>
      </c>
      <c r="E975" s="19" t="n">
        <v>0.708333333333333</v>
      </c>
      <c r="F975" s="19" t="n">
        <v>0.708333333333333</v>
      </c>
      <c r="G975" s="20"/>
      <c r="H975" s="20"/>
      <c r="I975" s="8" t="str">
        <f aca="false">IF(IF(OR(C975="",D975="Congé",D975="OFF",D975="Congé spécial"),"",IF(D975&gt;F975,D975-C975,IF(C975-D975&lt;0,0,C975-D975)))&lt;0.00068287037037037,"",IF(OR(D975="Congé",D975="OFF",C975="",D975="Congé spécial"),"",IF(D975&gt;F975,D975-C975,IF(C975-D975&lt;0,0,C975-D975))))</f>
        <v/>
      </c>
      <c r="J975" s="20"/>
      <c r="K975" s="8" t="n">
        <f aca="false">IF(SUM(H975:J975)&lt;0.00068287037037037,0,SUM(H975:J975))</f>
        <v>0</v>
      </c>
      <c r="L975" s="8" t="n">
        <f aca="false">IF(OR(F975="Congé",F975="OFF",M975="Abs",F975="Congé sans solde",F975="Férié",F975="Congé spécial",D975="Congé spécial"),0,IF(F975-E975&lt;0,0,IF(F975-E975&lt;=0.00068287037037037,0,F975-E975)))</f>
        <v>0</v>
      </c>
      <c r="M975" s="6" t="n">
        <f aca="false">IF(AND(O975&lt;&gt;0,C975=""),"Abs",0)</f>
        <v>0</v>
      </c>
      <c r="N975" s="8" t="n">
        <f aca="false">IFERROR(IF(OR(D975="OFF",D975="Congé",M975="Abs",D975="Congé sans solde",D975="Férié"),"",IF(O975-K975-L975&gt;O975,O975,IF(O975-K975-L975&lt;0,"",O975-K975-L975))),"")</f>
        <v>0.333333333333333</v>
      </c>
      <c r="O975" s="8" t="n">
        <f aca="false">IF(AG975="2H Pause déjeuner",IF(F975-D975-0.0833333333333333&lt;0,F975-D975-0.0833333333333333+1,F975-D975-0.0833333333333333),IF(OR(AND(F975="OFF",D975="OFF"),AND(F975="Congé",D975="Congé"),AND(F975="Congé sans solde",D975="Congé sans solde"),AND(F975="Congé spécial",D975="Congé spécial"),AND(F975="Férié",D975="Férié"),AND(F975="OFF",D975="Congé"),AND(F975="OFF",D975="Congé sans solde"),AND(F975="OFF",D975="Congé spécial"),AND(F975="OFF",D975="Férié"),AND(F975="Congé",D975="OFF"),AND(F975="Congé",D975="Congé sans solde"),AND(F975="Congé",D975="Congé spécial"),AND(F975="Congé",D975="Férié"),AND(F975="Congé sans solde",D975="OFF"),AND(F975="Congé sans solde",D975="Congé"),AND(F975="Congé sans solde",D975="Congé spécial"),AND(F975="Congé sans solde",D975="Férié"),AND(F975="Congé spécial",D975="OFF"),AND(F975="Congé spécial",D975="Congé"),AND(F975="Congé spécial",D975="Congé sans solde"),AND(F975="Congé spécial",D975="Férié"),AND(F975="Férié",D975="OFF"),AND(F975="Férié",D975="Congé"),AND(F975="Férié",D975="Congé sans solde"),AND(F975="Férié",D975="Congé spécial")),0,IF(OR(F975="OFF",F975="Congé",F975="Congé spécial",F975="Congé sans solde",D975="OFF",D975="Congé",D975="Congé spécial",D975="Congé sans solde"),0.208333333333334,IF(AND(AG975="",F975-D975&lt;0),("24:00:00"-D975)+("00:00:00"+F975)-0.0416666666666667,IF(AND(OR(AG975="Allaitement",AG975="Sans déjeuner"),F975-D975&lt;0),("24:00:00"-D975)+("00:00:00"+F975),IF(AND(AG975="",F975-D975&gt;0.166666666666667),F975-D975-0.0416666666666667,IF(AND(OR(AG975="Allaitement",AG975="Sans déjeuner"),F975-D975&gt;0.166666666666667),F975-D975,F975-D975)))))))</f>
        <v>0.333333333333333</v>
      </c>
      <c r="P975" s="6" t="str">
        <f aca="false">IFERROR(VLOOKUP($B975,Agents!$A:$D,2,0),"-")</f>
        <v>Accessibilité</v>
      </c>
      <c r="Q975" s="21" t="n">
        <v>46255</v>
      </c>
      <c r="R975" s="8" t="n">
        <f aca="false">IF(M975="Abs",O975,0)</f>
        <v>0</v>
      </c>
      <c r="S975" s="8" t="n">
        <f aca="false">SUM(R975,L975,I975,J975,W975,H975)</f>
        <v>0</v>
      </c>
      <c r="T975" s="6" t="str">
        <f aca="false">"Sem - "&amp;WEEKNUM(Q975,21)</f>
        <v>Sem - 34</v>
      </c>
      <c r="U975" s="6" t="str">
        <f aca="false">CHOOSE(MONTH(Q975),"Janvier","Février","Mars","Avril","Mai","Juin","Juillet","Août","Septembre","Octobre","Novembre","Décembre")</f>
        <v>Août</v>
      </c>
      <c r="V975" s="22" t="n">
        <f aca="false">YEAR(Q975)</f>
        <v>2026</v>
      </c>
      <c r="W975" s="20"/>
      <c r="X975" s="8" t="n">
        <f aca="false">IFERROR(IF(M975="Abs",0,IF(ROUND((D975-C975+E975-F975)*1440,0)&lt;=1,0,D975-C975+E975-F975)),0)</f>
        <v>0</v>
      </c>
      <c r="Y975" s="6" t="str">
        <f aca="false">IFERROR(VLOOKUP($B975,Agents!$A:$D,3,0),"-")</f>
        <v>OUBRAHIM Mohammed</v>
      </c>
      <c r="Z975" s="6" t="str">
        <f aca="false">IFERROR(VLOOKUP($B975,Agents!$A:$D,4,0),"-")</f>
        <v>Credit Mutuel</v>
      </c>
      <c r="AA975" s="18" t="s">
        <v>116</v>
      </c>
      <c r="AB975" s="8" t="str">
        <f aca="false">IF(AND(D975="Congé",F975="Congé"),0.333333333333333,IF(OR(AND(D975="Congé",F975&lt;&gt;"Congé"),(AND(F975="Congé",D975&lt;&gt;"Congé"))),0.166666666666667,""))</f>
        <v/>
      </c>
      <c r="AC975" s="8" t="str">
        <f aca="false">IF(AND(D975="Congé sans solde",F975="Congé sans solde"),0.333333333333333,IF(OR(AND(D975="Congé sans solde",F975&lt;&gt;"Congé sans solde"),(AND(F975="Congé sans solde",D975&lt;&gt;"Congé sans solde"))),0.166666666666667,""))</f>
        <v/>
      </c>
      <c r="AD975" s="8" t="str">
        <f aca="false">IF(AND(D975="Congé spécial",F975="Congé spécial"),0.333333333333333,IF(OR(AND(D975="Congé spécial",F975&lt;&gt;"Congé spécial"),AND(F975="Congé spécial",D975&lt;&gt;"Congé spécial")),0.166666666666667,""))</f>
        <v/>
      </c>
      <c r="AE975" s="8" t="str">
        <f aca="false">IF(AND(D975="Férié",F975="Férié"),0.333333333333333,IF(OR(AND(D975="Férié",F975&lt;&gt;"Férié"),(AND(F975="Férié",D975&lt;&gt;"Férié"))),0.166666666666667,""))</f>
        <v/>
      </c>
      <c r="AF975" s="18"/>
      <c r="AG975" s="18"/>
    </row>
    <row r="976" customFormat="false" ht="15" hidden="false" customHeight="false" outlineLevel="0" collapsed="false">
      <c r="A976" s="6" t="str">
        <f aca="false">YEAR(Q976-WEEKDAY(Q976,2)+4)&amp;"-S"&amp;TEXT(WEEKNUM(Q976,21),"00")</f>
        <v>2026-S34</v>
      </c>
      <c r="B976" s="18" t="s">
        <v>71</v>
      </c>
      <c r="C976" s="19"/>
      <c r="D976" s="19" t="s">
        <v>74</v>
      </c>
      <c r="E976" s="19"/>
      <c r="F976" s="19" t="s">
        <v>74</v>
      </c>
      <c r="G976" s="20"/>
      <c r="H976" s="20"/>
      <c r="I976" s="8" t="str">
        <f aca="false">IF(IF(OR(C976="",D976="Congé",D976="OFF",D976="Congé spécial"),"",IF(D976&gt;F976,D976-C976,IF(C976-D976&lt;0,0,C976-D976)))&lt;0.00068287037037037,"",IF(OR(D976="Congé",D976="OFF",C976="",D976="Congé spécial"),"",IF(D976&gt;F976,D976-C976,IF(C976-D976&lt;0,0,C976-D976))))</f>
        <v/>
      </c>
      <c r="J976" s="20"/>
      <c r="K976" s="8" t="n">
        <f aca="false">IF(SUM(H976:J976)&lt;0.00068287037037037,0,SUM(H976:J976))</f>
        <v>0</v>
      </c>
      <c r="L976" s="8" t="n">
        <f aca="false">IF(OR(F976="Congé",F976="OFF",M976="Abs",F976="Congé sans solde",F976="Férié",F976="Congé spécial",D976="Congé spécial"),0,IF(F976-E976&lt;0,0,IF(F976-E976&lt;=0.00068287037037037,0,F976-E976)))</f>
        <v>0</v>
      </c>
      <c r="M976" s="6" t="n">
        <f aca="false">IF(AND(O976&lt;&gt;0,C976=""),"Abs",0)</f>
        <v>0</v>
      </c>
      <c r="N976" s="8" t="str">
        <f aca="false">IFERROR(IF(OR(D976="OFF",D976="Congé",M976="Abs",D976="Congé sans solde",D976="Férié"),"",IF(O976-K976-L976&gt;O976,O976,IF(O976-K976-L976&lt;0,"",O976-K976-L976))),"")</f>
        <v/>
      </c>
      <c r="O976" s="8" t="n">
        <f aca="false">IF(AG976="2H Pause déjeuner",IF(F976-D976-0.0833333333333333&lt;0,F976-D976-0.0833333333333333+1,F976-D976-0.0833333333333333),IF(OR(AND(F976="OFF",D976="OFF"),AND(F976="Congé",D976="Congé"),AND(F976="Congé sans solde",D976="Congé sans solde"),AND(F976="Congé spécial",D976="Congé spécial"),AND(F976="Férié",D976="Férié"),AND(F976="OFF",D976="Congé"),AND(F976="OFF",D976="Congé sans solde"),AND(F976="OFF",D976="Congé spécial"),AND(F976="OFF",D976="Férié"),AND(F976="Congé",D976="OFF"),AND(F976="Congé",D976="Congé sans solde"),AND(F976="Congé",D976="Congé spécial"),AND(F976="Congé",D976="Férié"),AND(F976="Congé sans solde",D976="OFF"),AND(F976="Congé sans solde",D976="Congé"),AND(F976="Congé sans solde",D976="Congé spécial"),AND(F976="Congé sans solde",D976="Férié"),AND(F976="Congé spécial",D976="OFF"),AND(F976="Congé spécial",D976="Congé"),AND(F976="Congé spécial",D976="Congé sans solde"),AND(F976="Congé spécial",D976="Férié"),AND(F976="Férié",D976="OFF"),AND(F976="Férié",D976="Congé"),AND(F976="Férié",D976="Congé sans solde"),AND(F976="Férié",D976="Congé spécial")),0,IF(OR(F976="OFF",F976="Congé",F976="Congé spécial",F976="Congé sans solde",D976="OFF",D976="Congé",D976="Congé spécial",D976="Congé sans solde"),0.208333333333334,IF(AND(AG976="",F976-D976&lt;0),("24:00:00"-D976)+("00:00:00"+F976)-0.0416666666666667,IF(AND(OR(AG976="Allaitement",AG976="Sans déjeuner"),F976-D976&lt;0),("24:00:00"-D976)+("00:00:00"+F976),IF(AND(AG976="",F976-D976&gt;0.166666666666667),F976-D976-0.0416666666666667,IF(AND(OR(AG976="Allaitement",AG976="Sans déjeuner"),F976-D976&gt;0.166666666666667),F976-D976,F976-D976)))))))</f>
        <v>0</v>
      </c>
      <c r="P976" s="6" t="str">
        <f aca="false">IFERROR(VLOOKUP($B976,Agents!$A:$D,2,0),"-")</f>
        <v>Accessibilité</v>
      </c>
      <c r="Q976" s="21" t="n">
        <v>46256</v>
      </c>
      <c r="R976" s="8" t="n">
        <f aca="false">IF(M976="Abs",O976,0)</f>
        <v>0</v>
      </c>
      <c r="S976" s="8" t="n">
        <f aca="false">SUM(R976,L976,I976,J976,W976,H976)</f>
        <v>0</v>
      </c>
      <c r="T976" s="6" t="str">
        <f aca="false">"Sem - "&amp;WEEKNUM(Q976,21)</f>
        <v>Sem - 34</v>
      </c>
      <c r="U976" s="6" t="str">
        <f aca="false">CHOOSE(MONTH(Q976),"Janvier","Février","Mars","Avril","Mai","Juin","Juillet","Août","Septembre","Octobre","Novembre","Décembre")</f>
        <v>Août</v>
      </c>
      <c r="V976" s="22" t="n">
        <f aca="false">YEAR(Q976)</f>
        <v>2026</v>
      </c>
      <c r="W976" s="20"/>
      <c r="X976" s="8" t="n">
        <f aca="false">IFERROR(IF(M976="Abs",0,IF(ROUND((D976-C976+E976-F976)*1440,0)&lt;=1,0,D976-C976+E976-F976)),0)</f>
        <v>0</v>
      </c>
      <c r="Y976" s="6" t="str">
        <f aca="false">IFERROR(VLOOKUP($B976,Agents!$A:$D,3,0),"-")</f>
        <v>OUBRAHIM Mohammed</v>
      </c>
      <c r="Z976" s="6" t="str">
        <f aca="false">IFERROR(VLOOKUP($B976,Agents!$A:$D,4,0),"-")</f>
        <v>Credit Mutuel</v>
      </c>
      <c r="AA976" s="18" t="s">
        <v>116</v>
      </c>
      <c r="AB976" s="8" t="str">
        <f aca="false">IF(AND(D976="Congé",F976="Congé"),0.333333333333333,IF(OR(AND(D976="Congé",F976&lt;&gt;"Congé"),(AND(F976="Congé",D976&lt;&gt;"Congé"))),0.166666666666667,""))</f>
        <v/>
      </c>
      <c r="AC976" s="8" t="str">
        <f aca="false">IF(AND(D976="Congé sans solde",F976="Congé sans solde"),0.333333333333333,IF(OR(AND(D976="Congé sans solde",F976&lt;&gt;"Congé sans solde"),(AND(F976="Congé sans solde",D976&lt;&gt;"Congé sans solde"))),0.166666666666667,""))</f>
        <v/>
      </c>
      <c r="AD976" s="8" t="str">
        <f aca="false">IF(AND(D976="Congé spécial",F976="Congé spécial"),0.333333333333333,IF(OR(AND(D976="Congé spécial",F976&lt;&gt;"Congé spécial"),AND(F976="Congé spécial",D976&lt;&gt;"Congé spécial")),0.166666666666667,""))</f>
        <v/>
      </c>
      <c r="AE976" s="8" t="str">
        <f aca="false">IF(AND(D976="Férié",F976="Férié"),0.333333333333333,IF(OR(AND(D976="Férié",F976&lt;&gt;"Férié"),(AND(F976="Férié",D976&lt;&gt;"Férié"))),0.166666666666667,""))</f>
        <v/>
      </c>
      <c r="AF976" s="18"/>
      <c r="AG976" s="18"/>
    </row>
    <row r="977" customFormat="false" ht="15" hidden="false" customHeight="false" outlineLevel="0" collapsed="false">
      <c r="A977" s="6" t="str">
        <f aca="false">YEAR(Q977-WEEKDAY(Q977,2)+4)&amp;"-S"&amp;TEXT(WEEKNUM(Q977,21),"00")</f>
        <v>2026-S34</v>
      </c>
      <c r="B977" s="18" t="s">
        <v>72</v>
      </c>
      <c r="C977" s="19"/>
      <c r="D977" s="19" t="s">
        <v>74</v>
      </c>
      <c r="E977" s="19"/>
      <c r="F977" s="19" t="s">
        <v>74</v>
      </c>
      <c r="G977" s="20"/>
      <c r="H977" s="20"/>
      <c r="I977" s="8" t="str">
        <f aca="false">IF(IF(OR(C977="",D977="Congé",D977="OFF",D977="Congé spécial"),"",IF(D977&gt;F977,D977-C977,IF(C977-D977&lt;0,0,C977-D977)))&lt;0.00068287037037037,"",IF(OR(D977="Congé",D977="OFF",C977="",D977="Congé spécial"),"",IF(D977&gt;F977,D977-C977,IF(C977-D977&lt;0,0,C977-D977))))</f>
        <v/>
      </c>
      <c r="J977" s="20"/>
      <c r="K977" s="8" t="n">
        <f aca="false">IF(SUM(H977:J977)&lt;0.00068287037037037,0,SUM(H977:J977))</f>
        <v>0</v>
      </c>
      <c r="L977" s="8" t="n">
        <f aca="false">IF(OR(F977="Congé",F977="OFF",M977="Abs",F977="Congé sans solde",F977="Férié",F977="Congé spécial",D977="Congé spécial"),0,IF(F977-E977&lt;0,0,IF(F977-E977&lt;=0.00068287037037037,0,F977-E977)))</f>
        <v>0</v>
      </c>
      <c r="M977" s="6" t="n">
        <f aca="false">IF(AND(O977&lt;&gt;0,C977=""),"Abs",0)</f>
        <v>0</v>
      </c>
      <c r="N977" s="8" t="str">
        <f aca="false">IFERROR(IF(OR(D977="OFF",D977="Congé",M977="Abs",D977="Congé sans solde",D977="Férié"),"",IF(O977-K977-L977&gt;O977,O977,IF(O977-K977-L977&lt;0,"",O977-K977-L977))),"")</f>
        <v/>
      </c>
      <c r="O977" s="8" t="n">
        <f aca="false">IF(AG977="2H Pause déjeuner",IF(F977-D977-0.0833333333333333&lt;0,F977-D977-0.0833333333333333+1,F977-D977-0.0833333333333333),IF(OR(AND(F977="OFF",D977="OFF"),AND(F977="Congé",D977="Congé"),AND(F977="Congé sans solde",D977="Congé sans solde"),AND(F977="Congé spécial",D977="Congé spécial"),AND(F977="Férié",D977="Férié"),AND(F977="OFF",D977="Congé"),AND(F977="OFF",D977="Congé sans solde"),AND(F977="OFF",D977="Congé spécial"),AND(F977="OFF",D977="Férié"),AND(F977="Congé",D977="OFF"),AND(F977="Congé",D977="Congé sans solde"),AND(F977="Congé",D977="Congé spécial"),AND(F977="Congé",D977="Férié"),AND(F977="Congé sans solde",D977="OFF"),AND(F977="Congé sans solde",D977="Congé"),AND(F977="Congé sans solde",D977="Congé spécial"),AND(F977="Congé sans solde",D977="Férié"),AND(F977="Congé spécial",D977="OFF"),AND(F977="Congé spécial",D977="Congé"),AND(F977="Congé spécial",D977="Congé sans solde"),AND(F977="Congé spécial",D977="Férié"),AND(F977="Férié",D977="OFF"),AND(F977="Férié",D977="Congé"),AND(F977="Férié",D977="Congé sans solde"),AND(F977="Férié",D977="Congé spécial")),0,IF(OR(F977="OFF",F977="Congé",F977="Congé spécial",F977="Congé sans solde",D977="OFF",D977="Congé",D977="Congé spécial",D977="Congé sans solde"),0.208333333333334,IF(AND(AG977="",F977-D977&lt;0),("24:00:00"-D977)+("00:00:00"+F977)-0.0416666666666667,IF(AND(OR(AG977="Allaitement",AG977="Sans déjeuner"),F977-D977&lt;0),("24:00:00"-D977)+("00:00:00"+F977),IF(AND(AG977="",F977-D977&gt;0.166666666666667),F977-D977-0.0416666666666667,IF(AND(OR(AG977="Allaitement",AG977="Sans déjeuner"),F977-D977&gt;0.166666666666667),F977-D977,F977-D977)))))))</f>
        <v>0</v>
      </c>
      <c r="P977" s="6" t="str">
        <f aca="false">IFERROR(VLOOKUP($B977,Agents!$A:$D,2,0),"-")</f>
        <v>Accessibilité</v>
      </c>
      <c r="Q977" s="21" t="n">
        <v>46256</v>
      </c>
      <c r="R977" s="8" t="n">
        <f aca="false">IF(M977="Abs",O977,0)</f>
        <v>0</v>
      </c>
      <c r="S977" s="8" t="n">
        <f aca="false">SUM(R977,L977,I977,J977,W977,H977)</f>
        <v>0</v>
      </c>
      <c r="T977" s="6" t="str">
        <f aca="false">"Sem - "&amp;WEEKNUM(Q977,21)</f>
        <v>Sem - 34</v>
      </c>
      <c r="U977" s="6" t="str">
        <f aca="false">CHOOSE(MONTH(Q977),"Janvier","Février","Mars","Avril","Mai","Juin","Juillet","Août","Septembre","Octobre","Novembre","Décembre")</f>
        <v>Août</v>
      </c>
      <c r="V977" s="22" t="n">
        <f aca="false">YEAR(Q977)</f>
        <v>2026</v>
      </c>
      <c r="W977" s="20"/>
      <c r="X977" s="8" t="n">
        <f aca="false">IFERROR(IF(M977="Abs",0,IF(ROUND((D977-C977+E977-F977)*1440,0)&lt;=1,0,D977-C977+E977-F977)),0)</f>
        <v>0</v>
      </c>
      <c r="Y977" s="6" t="str">
        <f aca="false">IFERROR(VLOOKUP($B977,Agents!$A:$D,3,0),"-")</f>
        <v>OUBRAHIM Mohammed</v>
      </c>
      <c r="Z977" s="6" t="str">
        <f aca="false">IFERROR(VLOOKUP($B977,Agents!$A:$D,4,0),"-")</f>
        <v>Credit Mutuel</v>
      </c>
      <c r="AA977" s="18" t="s">
        <v>116</v>
      </c>
      <c r="AB977" s="8" t="str">
        <f aca="false">IF(AND(D977="Congé",F977="Congé"),0.333333333333333,IF(OR(AND(D977="Congé",F977&lt;&gt;"Congé"),(AND(F977="Congé",D977&lt;&gt;"Congé"))),0.166666666666667,""))</f>
        <v/>
      </c>
      <c r="AC977" s="8" t="str">
        <f aca="false">IF(AND(D977="Congé sans solde",F977="Congé sans solde"),0.333333333333333,IF(OR(AND(D977="Congé sans solde",F977&lt;&gt;"Congé sans solde"),(AND(F977="Congé sans solde",D977&lt;&gt;"Congé sans solde"))),0.166666666666667,""))</f>
        <v/>
      </c>
      <c r="AD977" s="8" t="str">
        <f aca="false">IF(AND(D977="Congé spécial",F977="Congé spécial"),0.333333333333333,IF(OR(AND(D977="Congé spécial",F977&lt;&gt;"Congé spécial"),AND(F977="Congé spécial",D977&lt;&gt;"Congé spécial")),0.166666666666667,""))</f>
        <v/>
      </c>
      <c r="AE977" s="8" t="str">
        <f aca="false">IF(AND(D977="Férié",F977="Férié"),0.333333333333333,IF(OR(AND(D977="Férié",F977&lt;&gt;"Férié"),(AND(F977="Férié",D977&lt;&gt;"Férié"))),0.166666666666667,""))</f>
        <v/>
      </c>
      <c r="AF977" s="18"/>
      <c r="AG977" s="18"/>
    </row>
    <row r="978" customFormat="false" ht="15" hidden="false" customHeight="false" outlineLevel="0" collapsed="false">
      <c r="A978" s="6" t="str">
        <f aca="false">YEAR(Q978-WEEKDAY(Q978,2)+4)&amp;"-S"&amp;TEXT(WEEKNUM(Q978,21),"00")</f>
        <v>2026-S34</v>
      </c>
      <c r="B978" s="18" t="s">
        <v>73</v>
      </c>
      <c r="C978" s="19"/>
      <c r="D978" s="19" t="s">
        <v>74</v>
      </c>
      <c r="E978" s="19"/>
      <c r="F978" s="19" t="s">
        <v>74</v>
      </c>
      <c r="G978" s="20"/>
      <c r="H978" s="20"/>
      <c r="I978" s="8" t="str">
        <f aca="false">IF(IF(OR(C978="",D978="Congé",D978="OFF",D978="Congé spécial"),"",IF(D978&gt;F978,D978-C978,IF(C978-D978&lt;0,0,C978-D978)))&lt;0.00068287037037037,"",IF(OR(D978="Congé",D978="OFF",C978="",D978="Congé spécial"),"",IF(D978&gt;F978,D978-C978,IF(C978-D978&lt;0,0,C978-D978))))</f>
        <v/>
      </c>
      <c r="J978" s="20"/>
      <c r="K978" s="8" t="n">
        <f aca="false">IF(SUM(H978:J978)&lt;0.00068287037037037,0,SUM(H978:J978))</f>
        <v>0</v>
      </c>
      <c r="L978" s="8" t="n">
        <f aca="false">IF(OR(F978="Congé",F978="OFF",M978="Abs",F978="Congé sans solde",F978="Férié",F978="Congé spécial",D978="Congé spécial"),0,IF(F978-E978&lt;0,0,IF(F978-E978&lt;=0.00068287037037037,0,F978-E978)))</f>
        <v>0</v>
      </c>
      <c r="M978" s="6" t="n">
        <f aca="false">IF(AND(O978&lt;&gt;0,C978=""),"Abs",0)</f>
        <v>0</v>
      </c>
      <c r="N978" s="8" t="str">
        <f aca="false">IFERROR(IF(OR(D978="OFF",D978="Congé",M978="Abs",D978="Congé sans solde",D978="Férié"),"",IF(O978-K978-L978&gt;O978,O978,IF(O978-K978-L978&lt;0,"",O978-K978-L978))),"")</f>
        <v/>
      </c>
      <c r="O978" s="8" t="n">
        <f aca="false">IF(AG978="2H Pause déjeuner",IF(F978-D978-0.0833333333333333&lt;0,F978-D978-0.0833333333333333+1,F978-D978-0.0833333333333333),IF(OR(AND(F978="OFF",D978="OFF"),AND(F978="Congé",D978="Congé"),AND(F978="Congé sans solde",D978="Congé sans solde"),AND(F978="Congé spécial",D978="Congé spécial"),AND(F978="Férié",D978="Férié"),AND(F978="OFF",D978="Congé"),AND(F978="OFF",D978="Congé sans solde"),AND(F978="OFF",D978="Congé spécial"),AND(F978="OFF",D978="Férié"),AND(F978="Congé",D978="OFF"),AND(F978="Congé",D978="Congé sans solde"),AND(F978="Congé",D978="Congé spécial"),AND(F978="Congé",D978="Férié"),AND(F978="Congé sans solde",D978="OFF"),AND(F978="Congé sans solde",D978="Congé"),AND(F978="Congé sans solde",D978="Congé spécial"),AND(F978="Congé sans solde",D978="Férié"),AND(F978="Congé spécial",D978="OFF"),AND(F978="Congé spécial",D978="Congé"),AND(F978="Congé spécial",D978="Congé sans solde"),AND(F978="Congé spécial",D978="Férié"),AND(F978="Férié",D978="OFF"),AND(F978="Férié",D978="Congé"),AND(F978="Férié",D978="Congé sans solde"),AND(F978="Férié",D978="Congé spécial")),0,IF(OR(F978="OFF",F978="Congé",F978="Congé spécial",F978="Congé sans solde",D978="OFF",D978="Congé",D978="Congé spécial",D978="Congé sans solde"),0.208333333333334,IF(AND(AG978="",F978-D978&lt;0),("24:00:00"-D978)+("00:00:00"+F978)-0.0416666666666667,IF(AND(OR(AG978="Allaitement",AG978="Sans déjeuner"),F978-D978&lt;0),("24:00:00"-D978)+("00:00:00"+F978),IF(AND(AG978="",F978-D978&gt;0.166666666666667),F978-D978-0.0416666666666667,IF(AND(OR(AG978="Allaitement",AG978="Sans déjeuner"),F978-D978&gt;0.166666666666667),F978-D978,F978-D978)))))))</f>
        <v>0</v>
      </c>
      <c r="P978" s="6" t="str">
        <f aca="false">IFERROR(VLOOKUP($B978,Agents!$A:$D,2,0),"-")</f>
        <v>Accessibilité</v>
      </c>
      <c r="Q978" s="21" t="n">
        <v>46256</v>
      </c>
      <c r="R978" s="8" t="n">
        <f aca="false">IF(M978="Abs",O978,0)</f>
        <v>0</v>
      </c>
      <c r="S978" s="8" t="n">
        <f aca="false">SUM(R978,L978,I978,J978,W978,H978)</f>
        <v>0</v>
      </c>
      <c r="T978" s="6" t="str">
        <f aca="false">"Sem - "&amp;WEEKNUM(Q978,21)</f>
        <v>Sem - 34</v>
      </c>
      <c r="U978" s="6" t="str">
        <f aca="false">CHOOSE(MONTH(Q978),"Janvier","Février","Mars","Avril","Mai","Juin","Juillet","Août","Septembre","Octobre","Novembre","Décembre")</f>
        <v>Août</v>
      </c>
      <c r="V978" s="22" t="n">
        <f aca="false">YEAR(Q978)</f>
        <v>2026</v>
      </c>
      <c r="W978" s="20"/>
      <c r="X978" s="8" t="n">
        <f aca="false">IFERROR(IF(M978="Abs",0,IF(ROUND((D978-C978+E978-F978)*1440,0)&lt;=1,0,D978-C978+E978-F978)),0)</f>
        <v>0</v>
      </c>
      <c r="Y978" s="6" t="str">
        <f aca="false">IFERROR(VLOOKUP($B978,Agents!$A:$D,3,0),"-")</f>
        <v>OUBRAHIM Mohammed</v>
      </c>
      <c r="Z978" s="6" t="str">
        <f aca="false">IFERROR(VLOOKUP($B978,Agents!$A:$D,4,0),"-")</f>
        <v>Credit Mutuel</v>
      </c>
      <c r="AA978" s="18" t="s">
        <v>116</v>
      </c>
      <c r="AB978" s="8" t="str">
        <f aca="false">IF(AND(D978="Congé",F978="Congé"),0.333333333333333,IF(OR(AND(D978="Congé",F978&lt;&gt;"Congé"),(AND(F978="Congé",D978&lt;&gt;"Congé"))),0.166666666666667,""))</f>
        <v/>
      </c>
      <c r="AC978" s="8" t="str">
        <f aca="false">IF(AND(D978="Congé sans solde",F978="Congé sans solde"),0.333333333333333,IF(OR(AND(D978="Congé sans solde",F978&lt;&gt;"Congé sans solde"),(AND(F978="Congé sans solde",D978&lt;&gt;"Congé sans solde"))),0.166666666666667,""))</f>
        <v/>
      </c>
      <c r="AD978" s="8" t="str">
        <f aca="false">IF(AND(D978="Congé spécial",F978="Congé spécial"),0.333333333333333,IF(OR(AND(D978="Congé spécial",F978&lt;&gt;"Congé spécial"),AND(F978="Congé spécial",D978&lt;&gt;"Congé spécial")),0.166666666666667,""))</f>
        <v/>
      </c>
      <c r="AE978" s="8" t="str">
        <f aca="false">IF(AND(D978="Férié",F978="Férié"),0.333333333333333,IF(OR(AND(D978="Férié",F978&lt;&gt;"Férié"),(AND(F978="Férié",D978&lt;&gt;"Férié"))),0.166666666666667,""))</f>
        <v/>
      </c>
      <c r="AF978" s="18"/>
      <c r="AG978" s="18"/>
    </row>
    <row r="979" customFormat="false" ht="15" hidden="false" customHeight="false" outlineLevel="0" collapsed="false">
      <c r="A979" s="6" t="str">
        <f aca="false">YEAR(Q979-WEEKDAY(Q979,2)+4)&amp;"-S"&amp;TEXT(WEEKNUM(Q979,21),"00")</f>
        <v>2026-S34</v>
      </c>
      <c r="B979" s="18" t="s">
        <v>71</v>
      </c>
      <c r="C979" s="19"/>
      <c r="D979" s="19" t="s">
        <v>74</v>
      </c>
      <c r="E979" s="19"/>
      <c r="F979" s="19" t="s">
        <v>74</v>
      </c>
      <c r="G979" s="20"/>
      <c r="H979" s="20"/>
      <c r="I979" s="8" t="str">
        <f aca="false">IF(IF(OR(C979="",D979="Congé",D979="OFF",D979="Congé spécial"),"",IF(D979&gt;F979,D979-C979,IF(C979-D979&lt;0,0,C979-D979)))&lt;0.00068287037037037,"",IF(OR(D979="Congé",D979="OFF",C979="",D979="Congé spécial"),"",IF(D979&gt;F979,D979-C979,IF(C979-D979&lt;0,0,C979-D979))))</f>
        <v/>
      </c>
      <c r="J979" s="20"/>
      <c r="K979" s="8" t="n">
        <f aca="false">IF(SUM(H979:J979)&lt;0.00068287037037037,0,SUM(H979:J979))</f>
        <v>0</v>
      </c>
      <c r="L979" s="8" t="n">
        <f aca="false">IF(OR(F979="Congé",F979="OFF",M979="Abs",F979="Congé sans solde",F979="Férié",F979="Congé spécial",D979="Congé spécial"),0,IF(F979-E979&lt;0,0,IF(F979-E979&lt;=0.00068287037037037,0,F979-E979)))</f>
        <v>0</v>
      </c>
      <c r="M979" s="6" t="n">
        <f aca="false">IF(AND(O979&lt;&gt;0,C979=""),"Abs",0)</f>
        <v>0</v>
      </c>
      <c r="N979" s="8" t="str">
        <f aca="false">IFERROR(IF(OR(D979="OFF",D979="Congé",M979="Abs",D979="Congé sans solde",D979="Férié"),"",IF(O979-K979-L979&gt;O979,O979,IF(O979-K979-L979&lt;0,"",O979-K979-L979))),"")</f>
        <v/>
      </c>
      <c r="O979" s="8" t="n">
        <f aca="false">IF(AG979="2H Pause déjeuner",IF(F979-D979-0.0833333333333333&lt;0,F979-D979-0.0833333333333333+1,F979-D979-0.0833333333333333),IF(OR(AND(F979="OFF",D979="OFF"),AND(F979="Congé",D979="Congé"),AND(F979="Congé sans solde",D979="Congé sans solde"),AND(F979="Congé spécial",D979="Congé spécial"),AND(F979="Férié",D979="Férié"),AND(F979="OFF",D979="Congé"),AND(F979="OFF",D979="Congé sans solde"),AND(F979="OFF",D979="Congé spécial"),AND(F979="OFF",D979="Férié"),AND(F979="Congé",D979="OFF"),AND(F979="Congé",D979="Congé sans solde"),AND(F979="Congé",D979="Congé spécial"),AND(F979="Congé",D979="Férié"),AND(F979="Congé sans solde",D979="OFF"),AND(F979="Congé sans solde",D979="Congé"),AND(F979="Congé sans solde",D979="Congé spécial"),AND(F979="Congé sans solde",D979="Férié"),AND(F979="Congé spécial",D979="OFF"),AND(F979="Congé spécial",D979="Congé"),AND(F979="Congé spécial",D979="Congé sans solde"),AND(F979="Congé spécial",D979="Férié"),AND(F979="Férié",D979="OFF"),AND(F979="Férié",D979="Congé"),AND(F979="Férié",D979="Congé sans solde"),AND(F979="Férié",D979="Congé spécial")),0,IF(OR(F979="OFF",F979="Congé",F979="Congé spécial",F979="Congé sans solde",D979="OFF",D979="Congé",D979="Congé spécial",D979="Congé sans solde"),0.208333333333334,IF(AND(AG979="",F979-D979&lt;0),("24:00:00"-D979)+("00:00:00"+F979)-0.0416666666666667,IF(AND(OR(AG979="Allaitement",AG979="Sans déjeuner"),F979-D979&lt;0),("24:00:00"-D979)+("00:00:00"+F979),IF(AND(AG979="",F979-D979&gt;0.166666666666667),F979-D979-0.0416666666666667,IF(AND(OR(AG979="Allaitement",AG979="Sans déjeuner"),F979-D979&gt;0.166666666666667),F979-D979,F979-D979)))))))</f>
        <v>0</v>
      </c>
      <c r="P979" s="6" t="str">
        <f aca="false">IFERROR(VLOOKUP($B979,Agents!$A:$D,2,0),"-")</f>
        <v>Accessibilité</v>
      </c>
      <c r="Q979" s="21" t="n">
        <v>46257</v>
      </c>
      <c r="R979" s="8" t="n">
        <f aca="false">IF(M979="Abs",O979,0)</f>
        <v>0</v>
      </c>
      <c r="S979" s="8" t="n">
        <f aca="false">SUM(R979,L979,I979,J979,W979,H979)</f>
        <v>0</v>
      </c>
      <c r="T979" s="6" t="str">
        <f aca="false">"Sem - "&amp;WEEKNUM(Q979,21)</f>
        <v>Sem - 34</v>
      </c>
      <c r="U979" s="6" t="str">
        <f aca="false">CHOOSE(MONTH(Q979),"Janvier","Février","Mars","Avril","Mai","Juin","Juillet","Août","Septembre","Octobre","Novembre","Décembre")</f>
        <v>Août</v>
      </c>
      <c r="V979" s="22" t="n">
        <f aca="false">YEAR(Q979)</f>
        <v>2026</v>
      </c>
      <c r="W979" s="20"/>
      <c r="X979" s="8" t="n">
        <f aca="false">IFERROR(IF(M979="Abs",0,IF(ROUND((D979-C979+E979-F979)*1440,0)&lt;=1,0,D979-C979+E979-F979)),0)</f>
        <v>0</v>
      </c>
      <c r="Y979" s="6" t="str">
        <f aca="false">IFERROR(VLOOKUP($B979,Agents!$A:$D,3,0),"-")</f>
        <v>OUBRAHIM Mohammed</v>
      </c>
      <c r="Z979" s="6" t="str">
        <f aca="false">IFERROR(VLOOKUP($B979,Agents!$A:$D,4,0),"-")</f>
        <v>Credit Mutuel</v>
      </c>
      <c r="AA979" s="18" t="s">
        <v>116</v>
      </c>
      <c r="AB979" s="8" t="str">
        <f aca="false">IF(AND(D979="Congé",F979="Congé"),0.333333333333333,IF(OR(AND(D979="Congé",F979&lt;&gt;"Congé"),(AND(F979="Congé",D979&lt;&gt;"Congé"))),0.166666666666667,""))</f>
        <v/>
      </c>
      <c r="AC979" s="8" t="str">
        <f aca="false">IF(AND(D979="Congé sans solde",F979="Congé sans solde"),0.333333333333333,IF(OR(AND(D979="Congé sans solde",F979&lt;&gt;"Congé sans solde"),(AND(F979="Congé sans solde",D979&lt;&gt;"Congé sans solde"))),0.166666666666667,""))</f>
        <v/>
      </c>
      <c r="AD979" s="8" t="str">
        <f aca="false">IF(AND(D979="Congé spécial",F979="Congé spécial"),0.333333333333333,IF(OR(AND(D979="Congé spécial",F979&lt;&gt;"Congé spécial"),AND(F979="Congé spécial",D979&lt;&gt;"Congé spécial")),0.166666666666667,""))</f>
        <v/>
      </c>
      <c r="AE979" s="8" t="str">
        <f aca="false">IF(AND(D979="Férié",F979="Férié"),0.333333333333333,IF(OR(AND(D979="Férié",F979&lt;&gt;"Férié"),(AND(F979="Férié",D979&lt;&gt;"Férié"))),0.166666666666667,""))</f>
        <v/>
      </c>
      <c r="AF979" s="18"/>
      <c r="AG979" s="18"/>
    </row>
    <row r="980" customFormat="false" ht="15" hidden="false" customHeight="false" outlineLevel="0" collapsed="false">
      <c r="A980" s="6" t="str">
        <f aca="false">YEAR(Q980-WEEKDAY(Q980,2)+4)&amp;"-S"&amp;TEXT(WEEKNUM(Q980,21),"00")</f>
        <v>2026-S34</v>
      </c>
      <c r="B980" s="18" t="s">
        <v>72</v>
      </c>
      <c r="C980" s="19"/>
      <c r="D980" s="19" t="s">
        <v>74</v>
      </c>
      <c r="E980" s="19"/>
      <c r="F980" s="19" t="s">
        <v>74</v>
      </c>
      <c r="G980" s="20"/>
      <c r="H980" s="20"/>
      <c r="I980" s="8" t="str">
        <f aca="false">IF(IF(OR(C980="",D980="Congé",D980="OFF",D980="Congé spécial"),"",IF(D980&gt;F980,D980-C980,IF(C980-D980&lt;0,0,C980-D980)))&lt;0.00068287037037037,"",IF(OR(D980="Congé",D980="OFF",C980="",D980="Congé spécial"),"",IF(D980&gt;F980,D980-C980,IF(C980-D980&lt;0,0,C980-D980))))</f>
        <v/>
      </c>
      <c r="J980" s="20"/>
      <c r="K980" s="8" t="n">
        <f aca="false">IF(SUM(H980:J980)&lt;0.00068287037037037,0,SUM(H980:J980))</f>
        <v>0</v>
      </c>
      <c r="L980" s="8" t="n">
        <f aca="false">IF(OR(F980="Congé",F980="OFF",M980="Abs",F980="Congé sans solde",F980="Férié",F980="Congé spécial",D980="Congé spécial"),0,IF(F980-E980&lt;0,0,IF(F980-E980&lt;=0.00068287037037037,0,F980-E980)))</f>
        <v>0</v>
      </c>
      <c r="M980" s="6" t="n">
        <f aca="false">IF(AND(O980&lt;&gt;0,C980=""),"Abs",0)</f>
        <v>0</v>
      </c>
      <c r="N980" s="8" t="str">
        <f aca="false">IFERROR(IF(OR(D980="OFF",D980="Congé",M980="Abs",D980="Congé sans solde",D980="Férié"),"",IF(O980-K980-L980&gt;O980,O980,IF(O980-K980-L980&lt;0,"",O980-K980-L980))),"")</f>
        <v/>
      </c>
      <c r="O980" s="8" t="n">
        <f aca="false">IF(AG980="2H Pause déjeuner",IF(F980-D980-0.0833333333333333&lt;0,F980-D980-0.0833333333333333+1,F980-D980-0.0833333333333333),IF(OR(AND(F980="OFF",D980="OFF"),AND(F980="Congé",D980="Congé"),AND(F980="Congé sans solde",D980="Congé sans solde"),AND(F980="Congé spécial",D980="Congé spécial"),AND(F980="Férié",D980="Férié"),AND(F980="OFF",D980="Congé"),AND(F980="OFF",D980="Congé sans solde"),AND(F980="OFF",D980="Congé spécial"),AND(F980="OFF",D980="Férié"),AND(F980="Congé",D980="OFF"),AND(F980="Congé",D980="Congé sans solde"),AND(F980="Congé",D980="Congé spécial"),AND(F980="Congé",D980="Férié"),AND(F980="Congé sans solde",D980="OFF"),AND(F980="Congé sans solde",D980="Congé"),AND(F980="Congé sans solde",D980="Congé spécial"),AND(F980="Congé sans solde",D980="Férié"),AND(F980="Congé spécial",D980="OFF"),AND(F980="Congé spécial",D980="Congé"),AND(F980="Congé spécial",D980="Congé sans solde"),AND(F980="Congé spécial",D980="Férié"),AND(F980="Férié",D980="OFF"),AND(F980="Férié",D980="Congé"),AND(F980="Férié",D980="Congé sans solde"),AND(F980="Férié",D980="Congé spécial")),0,IF(OR(F980="OFF",F980="Congé",F980="Congé spécial",F980="Congé sans solde",D980="OFF",D980="Congé",D980="Congé spécial",D980="Congé sans solde"),0.208333333333334,IF(AND(AG980="",F980-D980&lt;0),("24:00:00"-D980)+("00:00:00"+F980)-0.0416666666666667,IF(AND(OR(AG980="Allaitement",AG980="Sans déjeuner"),F980-D980&lt;0),("24:00:00"-D980)+("00:00:00"+F980),IF(AND(AG980="",F980-D980&gt;0.166666666666667),F980-D980-0.0416666666666667,IF(AND(OR(AG980="Allaitement",AG980="Sans déjeuner"),F980-D980&gt;0.166666666666667),F980-D980,F980-D980)))))))</f>
        <v>0</v>
      </c>
      <c r="P980" s="6" t="str">
        <f aca="false">IFERROR(VLOOKUP($B980,Agents!$A:$D,2,0),"-")</f>
        <v>Accessibilité</v>
      </c>
      <c r="Q980" s="21" t="n">
        <v>46257</v>
      </c>
      <c r="R980" s="8" t="n">
        <f aca="false">IF(M980="Abs",O980,0)</f>
        <v>0</v>
      </c>
      <c r="S980" s="8" t="n">
        <f aca="false">SUM(R980,L980,I980,J980,W980,H980)</f>
        <v>0</v>
      </c>
      <c r="T980" s="6" t="str">
        <f aca="false">"Sem - "&amp;WEEKNUM(Q980,21)</f>
        <v>Sem - 34</v>
      </c>
      <c r="U980" s="6" t="str">
        <f aca="false">CHOOSE(MONTH(Q980),"Janvier","Février","Mars","Avril","Mai","Juin","Juillet","Août","Septembre","Octobre","Novembre","Décembre")</f>
        <v>Août</v>
      </c>
      <c r="V980" s="22" t="n">
        <f aca="false">YEAR(Q980)</f>
        <v>2026</v>
      </c>
      <c r="W980" s="20"/>
      <c r="X980" s="8" t="n">
        <f aca="false">IFERROR(IF(M980="Abs",0,IF(ROUND((D980-C980+E980-F980)*1440,0)&lt;=1,0,D980-C980+E980-F980)),0)</f>
        <v>0</v>
      </c>
      <c r="Y980" s="6" t="str">
        <f aca="false">IFERROR(VLOOKUP($B980,Agents!$A:$D,3,0),"-")</f>
        <v>OUBRAHIM Mohammed</v>
      </c>
      <c r="Z980" s="6" t="str">
        <f aca="false">IFERROR(VLOOKUP($B980,Agents!$A:$D,4,0),"-")</f>
        <v>Credit Mutuel</v>
      </c>
      <c r="AA980" s="18" t="s">
        <v>116</v>
      </c>
      <c r="AB980" s="8" t="str">
        <f aca="false">IF(AND(D980="Congé",F980="Congé"),0.333333333333333,IF(OR(AND(D980="Congé",F980&lt;&gt;"Congé"),(AND(F980="Congé",D980&lt;&gt;"Congé"))),0.166666666666667,""))</f>
        <v/>
      </c>
      <c r="AC980" s="8" t="str">
        <f aca="false">IF(AND(D980="Congé sans solde",F980="Congé sans solde"),0.333333333333333,IF(OR(AND(D980="Congé sans solde",F980&lt;&gt;"Congé sans solde"),(AND(F980="Congé sans solde",D980&lt;&gt;"Congé sans solde"))),0.166666666666667,""))</f>
        <v/>
      </c>
      <c r="AD980" s="8" t="str">
        <f aca="false">IF(AND(D980="Congé spécial",F980="Congé spécial"),0.333333333333333,IF(OR(AND(D980="Congé spécial",F980&lt;&gt;"Congé spécial"),AND(F980="Congé spécial",D980&lt;&gt;"Congé spécial")),0.166666666666667,""))</f>
        <v/>
      </c>
      <c r="AE980" s="8" t="str">
        <f aca="false">IF(AND(D980="Férié",F980="Férié"),0.333333333333333,IF(OR(AND(D980="Férié",F980&lt;&gt;"Férié"),(AND(F980="Férié",D980&lt;&gt;"Férié"))),0.166666666666667,""))</f>
        <v/>
      </c>
      <c r="AF980" s="18"/>
      <c r="AG980" s="18"/>
    </row>
    <row r="981" customFormat="false" ht="15" hidden="false" customHeight="false" outlineLevel="0" collapsed="false">
      <c r="A981" s="6" t="str">
        <f aca="false">YEAR(Q981-WEEKDAY(Q981,2)+4)&amp;"-S"&amp;TEXT(WEEKNUM(Q981,21),"00")</f>
        <v>2026-S34</v>
      </c>
      <c r="B981" s="18" t="s">
        <v>73</v>
      </c>
      <c r="C981" s="19"/>
      <c r="D981" s="19" t="s">
        <v>74</v>
      </c>
      <c r="E981" s="19"/>
      <c r="F981" s="19" t="s">
        <v>74</v>
      </c>
      <c r="G981" s="20"/>
      <c r="H981" s="20"/>
      <c r="I981" s="8" t="str">
        <f aca="false">IF(IF(OR(C981="",D981="Congé",D981="OFF",D981="Congé spécial"),"",IF(D981&gt;F981,D981-C981,IF(C981-D981&lt;0,0,C981-D981)))&lt;0.00068287037037037,"",IF(OR(D981="Congé",D981="OFF",C981="",D981="Congé spécial"),"",IF(D981&gt;F981,D981-C981,IF(C981-D981&lt;0,0,C981-D981))))</f>
        <v/>
      </c>
      <c r="J981" s="20"/>
      <c r="K981" s="8" t="n">
        <f aca="false">IF(SUM(H981:J981)&lt;0.00068287037037037,0,SUM(H981:J981))</f>
        <v>0</v>
      </c>
      <c r="L981" s="8" t="n">
        <f aca="false">IF(OR(F981="Congé",F981="OFF",M981="Abs",F981="Congé sans solde",F981="Férié",F981="Congé spécial",D981="Congé spécial"),0,IF(F981-E981&lt;0,0,IF(F981-E981&lt;=0.00068287037037037,0,F981-E981)))</f>
        <v>0</v>
      </c>
      <c r="M981" s="6" t="n">
        <f aca="false">IF(AND(O981&lt;&gt;0,C981=""),"Abs",0)</f>
        <v>0</v>
      </c>
      <c r="N981" s="8" t="str">
        <f aca="false">IFERROR(IF(OR(D981="OFF",D981="Congé",M981="Abs",D981="Congé sans solde",D981="Férié"),"",IF(O981-K981-L981&gt;O981,O981,IF(O981-K981-L981&lt;0,"",O981-K981-L981))),"")</f>
        <v/>
      </c>
      <c r="O981" s="8" t="n">
        <f aca="false">IF(AG981="2H Pause déjeuner",IF(F981-D981-0.0833333333333333&lt;0,F981-D981-0.0833333333333333+1,F981-D981-0.0833333333333333),IF(OR(AND(F981="OFF",D981="OFF"),AND(F981="Congé",D981="Congé"),AND(F981="Congé sans solde",D981="Congé sans solde"),AND(F981="Congé spécial",D981="Congé spécial"),AND(F981="Férié",D981="Férié"),AND(F981="OFF",D981="Congé"),AND(F981="OFF",D981="Congé sans solde"),AND(F981="OFF",D981="Congé spécial"),AND(F981="OFF",D981="Férié"),AND(F981="Congé",D981="OFF"),AND(F981="Congé",D981="Congé sans solde"),AND(F981="Congé",D981="Congé spécial"),AND(F981="Congé",D981="Férié"),AND(F981="Congé sans solde",D981="OFF"),AND(F981="Congé sans solde",D981="Congé"),AND(F981="Congé sans solde",D981="Congé spécial"),AND(F981="Congé sans solde",D981="Férié"),AND(F981="Congé spécial",D981="OFF"),AND(F981="Congé spécial",D981="Congé"),AND(F981="Congé spécial",D981="Congé sans solde"),AND(F981="Congé spécial",D981="Férié"),AND(F981="Férié",D981="OFF"),AND(F981="Férié",D981="Congé"),AND(F981="Férié",D981="Congé sans solde"),AND(F981="Férié",D981="Congé spécial")),0,IF(OR(F981="OFF",F981="Congé",F981="Congé spécial",F981="Congé sans solde",D981="OFF",D981="Congé",D981="Congé spécial",D981="Congé sans solde"),0.208333333333334,IF(AND(AG981="",F981-D981&lt;0),("24:00:00"-D981)+("00:00:00"+F981)-0.0416666666666667,IF(AND(OR(AG981="Allaitement",AG981="Sans déjeuner"),F981-D981&lt;0),("24:00:00"-D981)+("00:00:00"+F981),IF(AND(AG981="",F981-D981&gt;0.166666666666667),F981-D981-0.0416666666666667,IF(AND(OR(AG981="Allaitement",AG981="Sans déjeuner"),F981-D981&gt;0.166666666666667),F981-D981,F981-D981)))))))</f>
        <v>0</v>
      </c>
      <c r="P981" s="6" t="str">
        <f aca="false">IFERROR(VLOOKUP($B981,Agents!$A:$D,2,0),"-")</f>
        <v>Accessibilité</v>
      </c>
      <c r="Q981" s="21" t="n">
        <v>46257</v>
      </c>
      <c r="R981" s="8" t="n">
        <f aca="false">IF(M981="Abs",O981,0)</f>
        <v>0</v>
      </c>
      <c r="S981" s="8" t="n">
        <f aca="false">SUM(R981,L981,I981,J981,W981,H981)</f>
        <v>0</v>
      </c>
      <c r="T981" s="6" t="str">
        <f aca="false">"Sem - "&amp;WEEKNUM(Q981,21)</f>
        <v>Sem - 34</v>
      </c>
      <c r="U981" s="6" t="str">
        <f aca="false">CHOOSE(MONTH(Q981),"Janvier","Février","Mars","Avril","Mai","Juin","Juillet","Août","Septembre","Octobre","Novembre","Décembre")</f>
        <v>Août</v>
      </c>
      <c r="V981" s="22" t="n">
        <f aca="false">YEAR(Q981)</f>
        <v>2026</v>
      </c>
      <c r="W981" s="20"/>
      <c r="X981" s="8" t="n">
        <f aca="false">IFERROR(IF(M981="Abs",0,IF(ROUND((D981-C981+E981-F981)*1440,0)&lt;=1,0,D981-C981+E981-F981)),0)</f>
        <v>0</v>
      </c>
      <c r="Y981" s="6" t="str">
        <f aca="false">IFERROR(VLOOKUP($B981,Agents!$A:$D,3,0),"-")</f>
        <v>OUBRAHIM Mohammed</v>
      </c>
      <c r="Z981" s="6" t="str">
        <f aca="false">IFERROR(VLOOKUP($B981,Agents!$A:$D,4,0),"-")</f>
        <v>Credit Mutuel</v>
      </c>
      <c r="AA981" s="18" t="s">
        <v>116</v>
      </c>
      <c r="AB981" s="8" t="str">
        <f aca="false">IF(AND(D981="Congé",F981="Congé"),0.333333333333333,IF(OR(AND(D981="Congé",F981&lt;&gt;"Congé"),(AND(F981="Congé",D981&lt;&gt;"Congé"))),0.166666666666667,""))</f>
        <v/>
      </c>
      <c r="AC981" s="8" t="str">
        <f aca="false">IF(AND(D981="Congé sans solde",F981="Congé sans solde"),0.333333333333333,IF(OR(AND(D981="Congé sans solde",F981&lt;&gt;"Congé sans solde"),(AND(F981="Congé sans solde",D981&lt;&gt;"Congé sans solde"))),0.166666666666667,""))</f>
        <v/>
      </c>
      <c r="AD981" s="8" t="str">
        <f aca="false">IF(AND(D981="Congé spécial",F981="Congé spécial"),0.333333333333333,IF(OR(AND(D981="Congé spécial",F981&lt;&gt;"Congé spécial"),AND(F981="Congé spécial",D981&lt;&gt;"Congé spécial")),0.166666666666667,""))</f>
        <v/>
      </c>
      <c r="AE981" s="8" t="str">
        <f aca="false">IF(AND(D981="Férié",F981="Férié"),0.333333333333333,IF(OR(AND(D981="Férié",F981&lt;&gt;"Férié"),(AND(F981="Férié",D981&lt;&gt;"Férié"))),0.166666666666667,""))</f>
        <v/>
      </c>
      <c r="AF981" s="18"/>
      <c r="AG981" s="18"/>
    </row>
    <row r="982" customFormat="false" ht="15" hidden="false" customHeight="false" outlineLevel="0" collapsed="false">
      <c r="A982" s="6" t="str">
        <f aca="false">YEAR(Q982-WEEKDAY(Q982,2)+4)&amp;"-S"&amp;TEXT(WEEKNUM(Q982,21),"00")</f>
        <v>2026-S35</v>
      </c>
      <c r="B982" s="18" t="s">
        <v>71</v>
      </c>
      <c r="C982" s="19"/>
      <c r="D982" s="19" t="s">
        <v>83</v>
      </c>
      <c r="E982" s="19"/>
      <c r="F982" s="19" t="s">
        <v>83</v>
      </c>
      <c r="G982" s="20"/>
      <c r="H982" s="20"/>
      <c r="I982" s="8" t="str">
        <f aca="false">IF(IF(OR(C982="",D982="Congé",D982="OFF",D982="Congé spécial"),"",IF(D982&gt;F982,D982-C982,IF(C982-D982&lt;0,0,C982-D982)))&lt;0.00068287037037037,"",IF(OR(D982="Congé",D982="OFF",C982="",D982="Congé spécial"),"",IF(D982&gt;F982,D982-C982,IF(C982-D982&lt;0,0,C982-D982))))</f>
        <v/>
      </c>
      <c r="J982" s="20"/>
      <c r="K982" s="8" t="n">
        <f aca="false">IF(SUM(H982:J982)&lt;0.00068287037037037,0,SUM(H982:J982))</f>
        <v>0</v>
      </c>
      <c r="L982" s="8" t="n">
        <f aca="false">IF(OR(F982="Congé",F982="OFF",M982="Abs",F982="Congé sans solde",F982="Férié",F982="Congé spécial",D982="Congé spécial"),0,IF(F982-E982&lt;0,0,IF(F982-E982&lt;=0.00068287037037037,0,F982-E982)))</f>
        <v>0</v>
      </c>
      <c r="M982" s="6" t="n">
        <f aca="false">IF(AND(O982&lt;&gt;0,C982=""),"Abs",0)</f>
        <v>0</v>
      </c>
      <c r="N982" s="8" t="str">
        <f aca="false">IFERROR(IF(OR(D982="OFF",D982="Congé",M982="Abs",D982="Congé sans solde",D982="Férié"),"",IF(O982-K982-L982&gt;O982,O982,IF(O982-K982-L982&lt;0,"",O982-K982-L982))),"")</f>
        <v/>
      </c>
      <c r="O982" s="8" t="n">
        <f aca="false">IF(AG982="2H Pause déjeuner",IF(F982-D982-0.0833333333333333&lt;0,F982-D982-0.0833333333333333+1,F982-D982-0.0833333333333333),IF(OR(AND(F982="OFF",D982="OFF"),AND(F982="Congé",D982="Congé"),AND(F982="Congé sans solde",D982="Congé sans solde"),AND(F982="Congé spécial",D982="Congé spécial"),AND(F982="Férié",D982="Férié"),AND(F982="OFF",D982="Congé"),AND(F982="OFF",D982="Congé sans solde"),AND(F982="OFF",D982="Congé spécial"),AND(F982="OFF",D982="Férié"),AND(F982="Congé",D982="OFF"),AND(F982="Congé",D982="Congé sans solde"),AND(F982="Congé",D982="Congé spécial"),AND(F982="Congé",D982="Férié"),AND(F982="Congé sans solde",D982="OFF"),AND(F982="Congé sans solde",D982="Congé"),AND(F982="Congé sans solde",D982="Congé spécial"),AND(F982="Congé sans solde",D982="Férié"),AND(F982="Congé spécial",D982="OFF"),AND(F982="Congé spécial",D982="Congé"),AND(F982="Congé spécial",D982="Congé sans solde"),AND(F982="Congé spécial",D982="Férié"),AND(F982="Férié",D982="OFF"),AND(F982="Férié",D982="Congé"),AND(F982="Férié",D982="Congé sans solde"),AND(F982="Férié",D982="Congé spécial")),0,IF(OR(F982="OFF",F982="Congé",F982="Congé spécial",F982="Congé sans solde",D982="OFF",D982="Congé",D982="Congé spécial",D982="Congé sans solde"),0.208333333333334,IF(AND(AG982="",F982-D982&lt;0),("24:00:00"-D982)+("00:00:00"+F982)-0.0416666666666667,IF(AND(OR(AG982="Allaitement",AG982="Sans déjeuner"),F982-D982&lt;0),("24:00:00"-D982)+("00:00:00"+F982),IF(AND(AG982="",F982-D982&gt;0.166666666666667),F982-D982-0.0416666666666667,IF(AND(OR(AG982="Allaitement",AG982="Sans déjeuner"),F982-D982&gt;0.166666666666667),F982-D982,F982-D982)))))))</f>
        <v>0</v>
      </c>
      <c r="P982" s="6" t="str">
        <f aca="false">IFERROR(VLOOKUP($B982,Agents!$A:$D,2,0),"-")</f>
        <v>Accessibilité</v>
      </c>
      <c r="Q982" s="21" t="n">
        <v>46258</v>
      </c>
      <c r="R982" s="8" t="n">
        <f aca="false">IF(M982="Abs",O982,0)</f>
        <v>0</v>
      </c>
      <c r="S982" s="8" t="n">
        <f aca="false">SUM(R982,L982,I982,J982,W982,H982)</f>
        <v>0</v>
      </c>
      <c r="T982" s="6" t="str">
        <f aca="false">"Sem - "&amp;WEEKNUM(Q982,21)</f>
        <v>Sem - 35</v>
      </c>
      <c r="U982" s="6" t="str">
        <f aca="false">CHOOSE(MONTH(Q982),"Janvier","Février","Mars","Avril","Mai","Juin","Juillet","Août","Septembre","Octobre","Novembre","Décembre")</f>
        <v>Août</v>
      </c>
      <c r="V982" s="22" t="n">
        <f aca="false">YEAR(Q982)</f>
        <v>2026</v>
      </c>
      <c r="W982" s="20"/>
      <c r="X982" s="8" t="n">
        <f aca="false">IFERROR(IF(M982="Abs",0,IF(ROUND((D982-C982+E982-F982)*1440,0)&lt;=1,0,D982-C982+E982-F982)),0)</f>
        <v>0</v>
      </c>
      <c r="Y982" s="6" t="str">
        <f aca="false">IFERROR(VLOOKUP($B982,Agents!$A:$D,3,0),"-")</f>
        <v>OUBRAHIM Mohammed</v>
      </c>
      <c r="Z982" s="6" t="str">
        <f aca="false">IFERROR(VLOOKUP($B982,Agents!$A:$D,4,0),"-")</f>
        <v>Credit Mutuel</v>
      </c>
      <c r="AA982" s="18" t="s">
        <v>117</v>
      </c>
      <c r="AB982" s="8" t="n">
        <f aca="false">IF(AND(D982="Congé",F982="Congé"),0.333333333333333,IF(OR(AND(D982="Congé",F982&lt;&gt;"Congé"),(AND(F982="Congé",D982&lt;&gt;"Congé"))),0.166666666666667,""))</f>
        <v>0.333333333333333</v>
      </c>
      <c r="AC982" s="8" t="str">
        <f aca="false">IF(AND(D982="Congé sans solde",F982="Congé sans solde"),0.333333333333333,IF(OR(AND(D982="Congé sans solde",F982&lt;&gt;"Congé sans solde"),(AND(F982="Congé sans solde",D982&lt;&gt;"Congé sans solde"))),0.166666666666667,""))</f>
        <v/>
      </c>
      <c r="AD982" s="8" t="str">
        <f aca="false">IF(AND(D982="Congé spécial",F982="Congé spécial"),0.333333333333333,IF(OR(AND(D982="Congé spécial",F982&lt;&gt;"Congé spécial"),AND(F982="Congé spécial",D982&lt;&gt;"Congé spécial")),0.166666666666667,""))</f>
        <v/>
      </c>
      <c r="AE982" s="8" t="str">
        <f aca="false">IF(AND(D982="Férié",F982="Férié"),0.333333333333333,IF(OR(AND(D982="Férié",F982&lt;&gt;"Férié"),(AND(F982="Férié",D982&lt;&gt;"Férié"))),0.166666666666667,""))</f>
        <v/>
      </c>
      <c r="AF982" s="18"/>
      <c r="AG982" s="18"/>
    </row>
    <row r="983" customFormat="false" ht="15" hidden="false" customHeight="false" outlineLevel="0" collapsed="false">
      <c r="A983" s="6" t="str">
        <f aca="false">YEAR(Q983-WEEKDAY(Q983,2)+4)&amp;"-S"&amp;TEXT(WEEKNUM(Q983,21),"00")</f>
        <v>2026-S35</v>
      </c>
      <c r="B983" s="18" t="s">
        <v>72</v>
      </c>
      <c r="C983" s="19" t="n">
        <v>0.331944444444444</v>
      </c>
      <c r="D983" s="19" t="n">
        <v>0.333333333333333</v>
      </c>
      <c r="E983" s="19" t="n">
        <v>0.75</v>
      </c>
      <c r="F983" s="19" t="n">
        <v>0.75</v>
      </c>
      <c r="G983" s="20"/>
      <c r="H983" s="20"/>
      <c r="I983" s="8" t="str">
        <f aca="false">IF(IF(OR(C983="",D983="Congé",D983="OFF",D983="Congé spécial"),"",IF(D983&gt;F983,D983-C983,IF(C983-D983&lt;0,0,C983-D983)))&lt;0.00068287037037037,"",IF(OR(D983="Congé",D983="OFF",C983="",D983="Congé spécial"),"",IF(D983&gt;F983,D983-C983,IF(C983-D983&lt;0,0,C983-D983))))</f>
        <v/>
      </c>
      <c r="J983" s="20"/>
      <c r="K983" s="8" t="n">
        <f aca="false">IF(SUM(H983:J983)&lt;0.00068287037037037,0,SUM(H983:J983))</f>
        <v>0</v>
      </c>
      <c r="L983" s="8" t="n">
        <f aca="false">IF(OR(F983="Congé",F983="OFF",M983="Abs",F983="Congé sans solde",F983="Férié",F983="Congé spécial",D983="Congé spécial"),0,IF(F983-E983&lt;0,0,IF(F983-E983&lt;=0.00068287037037037,0,F983-E983)))</f>
        <v>0</v>
      </c>
      <c r="M983" s="6" t="n">
        <f aca="false">IF(AND(O983&lt;&gt;0,C983=""),"Abs",0)</f>
        <v>0</v>
      </c>
      <c r="N983" s="8" t="n">
        <f aca="false">IFERROR(IF(OR(D983="OFF",D983="Congé",M983="Abs",D983="Congé sans solde",D983="Férié"),"",IF(O983-K983-L983&gt;O983,O983,IF(O983-K983-L983&lt;0,"",O983-K983-L983))),"")</f>
        <v>0.375</v>
      </c>
      <c r="O983" s="8" t="n">
        <f aca="false">IF(AG983="2H Pause déjeuner",IF(F983-D983-0.0833333333333333&lt;0,F983-D983-0.0833333333333333+1,F983-D983-0.0833333333333333),IF(OR(AND(F983="OFF",D983="OFF"),AND(F983="Congé",D983="Congé"),AND(F983="Congé sans solde",D983="Congé sans solde"),AND(F983="Congé spécial",D983="Congé spécial"),AND(F983="Férié",D983="Férié"),AND(F983="OFF",D983="Congé"),AND(F983="OFF",D983="Congé sans solde"),AND(F983="OFF",D983="Congé spécial"),AND(F983="OFF",D983="Férié"),AND(F983="Congé",D983="OFF"),AND(F983="Congé",D983="Congé sans solde"),AND(F983="Congé",D983="Congé spécial"),AND(F983="Congé",D983="Férié"),AND(F983="Congé sans solde",D983="OFF"),AND(F983="Congé sans solde",D983="Congé"),AND(F983="Congé sans solde",D983="Congé spécial"),AND(F983="Congé sans solde",D983="Férié"),AND(F983="Congé spécial",D983="OFF"),AND(F983="Congé spécial",D983="Congé"),AND(F983="Congé spécial",D983="Congé sans solde"),AND(F983="Congé spécial",D983="Férié"),AND(F983="Férié",D983="OFF"),AND(F983="Férié",D983="Congé"),AND(F983="Férié",D983="Congé sans solde"),AND(F983="Férié",D983="Congé spécial")),0,IF(OR(F983="OFF",F983="Congé",F983="Congé spécial",F983="Congé sans solde",D983="OFF",D983="Congé",D983="Congé spécial",D983="Congé sans solde"),0.208333333333334,IF(AND(AG983="",F983-D983&lt;0),("24:00:00"-D983)+("00:00:00"+F983)-0.0416666666666667,IF(AND(OR(AG983="Allaitement",AG983="Sans déjeuner"),F983-D983&lt;0),("24:00:00"-D983)+("00:00:00"+F983),IF(AND(AG983="",F983-D983&gt;0.166666666666667),F983-D983-0.0416666666666667,IF(AND(OR(AG983="Allaitement",AG983="Sans déjeuner"),F983-D983&gt;0.166666666666667),F983-D983,F983-D983)))))))</f>
        <v>0.375</v>
      </c>
      <c r="P983" s="6" t="str">
        <f aca="false">IFERROR(VLOOKUP($B983,Agents!$A:$D,2,0),"-")</f>
        <v>Accessibilité</v>
      </c>
      <c r="Q983" s="21" t="n">
        <v>46258</v>
      </c>
      <c r="R983" s="8" t="n">
        <f aca="false">IF(M983="Abs",O983,0)</f>
        <v>0</v>
      </c>
      <c r="S983" s="8" t="n">
        <f aca="false">SUM(R983,L983,I983,J983,W983,H983)</f>
        <v>0</v>
      </c>
      <c r="T983" s="6" t="str">
        <f aca="false">"Sem - "&amp;WEEKNUM(Q983,21)</f>
        <v>Sem - 35</v>
      </c>
      <c r="U983" s="6" t="str">
        <f aca="false">CHOOSE(MONTH(Q983),"Janvier","Février","Mars","Avril","Mai","Juin","Juillet","Août","Septembre","Octobre","Novembre","Décembre")</f>
        <v>Août</v>
      </c>
      <c r="V983" s="22" t="n">
        <f aca="false">YEAR(Q983)</f>
        <v>2026</v>
      </c>
      <c r="W983" s="20"/>
      <c r="X983" s="8" t="n">
        <f aca="false">IFERROR(IF(M983="Abs",0,IF(ROUND((D983-C983+E983-F983)*1440,0)&lt;=1,0,D983-C983+E983-F983)),0)</f>
        <v>0.00138888888888889</v>
      </c>
      <c r="Y983" s="6" t="str">
        <f aca="false">IFERROR(VLOOKUP($B983,Agents!$A:$D,3,0),"-")</f>
        <v>OUBRAHIM Mohammed</v>
      </c>
      <c r="Z983" s="6" t="str">
        <f aca="false">IFERROR(VLOOKUP($B983,Agents!$A:$D,4,0),"-")</f>
        <v>Credit Mutuel</v>
      </c>
      <c r="AA983" s="18" t="s">
        <v>117</v>
      </c>
      <c r="AB983" s="8" t="str">
        <f aca="false">IF(AND(D983="Congé",F983="Congé"),0.333333333333333,IF(OR(AND(D983="Congé",F983&lt;&gt;"Congé"),(AND(F983="Congé",D983&lt;&gt;"Congé"))),0.166666666666667,""))</f>
        <v/>
      </c>
      <c r="AC983" s="8" t="str">
        <f aca="false">IF(AND(D983="Congé sans solde",F983="Congé sans solde"),0.333333333333333,IF(OR(AND(D983="Congé sans solde",F983&lt;&gt;"Congé sans solde"),(AND(F983="Congé sans solde",D983&lt;&gt;"Congé sans solde"))),0.166666666666667,""))</f>
        <v/>
      </c>
      <c r="AD983" s="8" t="str">
        <f aca="false">IF(AND(D983="Congé spécial",F983="Congé spécial"),0.333333333333333,IF(OR(AND(D983="Congé spécial",F983&lt;&gt;"Congé spécial"),AND(F983="Congé spécial",D983&lt;&gt;"Congé spécial")),0.166666666666667,""))</f>
        <v/>
      </c>
      <c r="AE983" s="8" t="str">
        <f aca="false">IF(AND(D983="Férié",F983="Férié"),0.333333333333333,IF(OR(AND(D983="Férié",F983&lt;&gt;"Férié"),(AND(F983="Férié",D983&lt;&gt;"Férié"))),0.166666666666667,""))</f>
        <v/>
      </c>
      <c r="AF983" s="18"/>
      <c r="AG983" s="18"/>
    </row>
    <row r="984" customFormat="false" ht="15" hidden="false" customHeight="false" outlineLevel="0" collapsed="false">
      <c r="A984" s="6" t="str">
        <f aca="false">YEAR(Q984-WEEKDAY(Q984,2)+4)&amp;"-S"&amp;TEXT(WEEKNUM(Q984,21),"00")</f>
        <v>2026-S35</v>
      </c>
      <c r="B984" s="18" t="s">
        <v>73</v>
      </c>
      <c r="C984" s="19" t="n">
        <v>0.332638888888889</v>
      </c>
      <c r="D984" s="19" t="n">
        <v>0.333333333333333</v>
      </c>
      <c r="E984" s="19" t="n">
        <v>0.75</v>
      </c>
      <c r="F984" s="19" t="n">
        <v>0.75</v>
      </c>
      <c r="G984" s="20"/>
      <c r="H984" s="20"/>
      <c r="I984" s="8" t="str">
        <f aca="false">IF(IF(OR(C984="",D984="Congé",D984="OFF",D984="Congé spécial"),"",IF(D984&gt;F984,D984-C984,IF(C984-D984&lt;0,0,C984-D984)))&lt;0.00068287037037037,"",IF(OR(D984="Congé",D984="OFF",C984="",D984="Congé spécial"),"",IF(D984&gt;F984,D984-C984,IF(C984-D984&lt;0,0,C984-D984))))</f>
        <v/>
      </c>
      <c r="J984" s="20"/>
      <c r="K984" s="8" t="n">
        <f aca="false">IF(SUM(H984:J984)&lt;0.00068287037037037,0,SUM(H984:J984))</f>
        <v>0</v>
      </c>
      <c r="L984" s="8" t="n">
        <f aca="false">IF(OR(F984="Congé",F984="OFF",M984="Abs",F984="Congé sans solde",F984="Férié",F984="Congé spécial",D984="Congé spécial"),0,IF(F984-E984&lt;0,0,IF(F984-E984&lt;=0.00068287037037037,0,F984-E984)))</f>
        <v>0</v>
      </c>
      <c r="M984" s="6" t="n">
        <f aca="false">IF(AND(O984&lt;&gt;0,C984=""),"Abs",0)</f>
        <v>0</v>
      </c>
      <c r="N984" s="8" t="n">
        <f aca="false">IFERROR(IF(OR(D984="OFF",D984="Congé",M984="Abs",D984="Congé sans solde",D984="Férié"),"",IF(O984-K984-L984&gt;O984,O984,IF(O984-K984-L984&lt;0,"",O984-K984-L984))),"")</f>
        <v>0.375</v>
      </c>
      <c r="O984" s="8" t="n">
        <f aca="false">IF(AG984="2H Pause déjeuner",IF(F984-D984-0.0833333333333333&lt;0,F984-D984-0.0833333333333333+1,F984-D984-0.0833333333333333),IF(OR(AND(F984="OFF",D984="OFF"),AND(F984="Congé",D984="Congé"),AND(F984="Congé sans solde",D984="Congé sans solde"),AND(F984="Congé spécial",D984="Congé spécial"),AND(F984="Férié",D984="Férié"),AND(F984="OFF",D984="Congé"),AND(F984="OFF",D984="Congé sans solde"),AND(F984="OFF",D984="Congé spécial"),AND(F984="OFF",D984="Férié"),AND(F984="Congé",D984="OFF"),AND(F984="Congé",D984="Congé sans solde"),AND(F984="Congé",D984="Congé spécial"),AND(F984="Congé",D984="Férié"),AND(F984="Congé sans solde",D984="OFF"),AND(F984="Congé sans solde",D984="Congé"),AND(F984="Congé sans solde",D984="Congé spécial"),AND(F984="Congé sans solde",D984="Férié"),AND(F984="Congé spécial",D984="OFF"),AND(F984="Congé spécial",D984="Congé"),AND(F984="Congé spécial",D984="Congé sans solde"),AND(F984="Congé spécial",D984="Férié"),AND(F984="Férié",D984="OFF"),AND(F984="Férié",D984="Congé"),AND(F984="Férié",D984="Congé sans solde"),AND(F984="Férié",D984="Congé spécial")),0,IF(OR(F984="OFF",F984="Congé",F984="Congé spécial",F984="Congé sans solde",D984="OFF",D984="Congé",D984="Congé spécial",D984="Congé sans solde"),0.208333333333334,IF(AND(AG984="",F984-D984&lt;0),("24:00:00"-D984)+("00:00:00"+F984)-0.0416666666666667,IF(AND(OR(AG984="Allaitement",AG984="Sans déjeuner"),F984-D984&lt;0),("24:00:00"-D984)+("00:00:00"+F984),IF(AND(AG984="",F984-D984&gt;0.166666666666667),F984-D984-0.0416666666666667,IF(AND(OR(AG984="Allaitement",AG984="Sans déjeuner"),F984-D984&gt;0.166666666666667),F984-D984,F984-D984)))))))</f>
        <v>0.375</v>
      </c>
      <c r="P984" s="6" t="str">
        <f aca="false">IFERROR(VLOOKUP($B984,Agents!$A:$D,2,0),"-")</f>
        <v>Accessibilité</v>
      </c>
      <c r="Q984" s="21" t="n">
        <v>46258</v>
      </c>
      <c r="R984" s="8" t="n">
        <f aca="false">IF(M984="Abs",O984,0)</f>
        <v>0</v>
      </c>
      <c r="S984" s="8" t="n">
        <f aca="false">SUM(R984,L984,I984,J984,W984,H984)</f>
        <v>0</v>
      </c>
      <c r="T984" s="6" t="str">
        <f aca="false">"Sem - "&amp;WEEKNUM(Q984,21)</f>
        <v>Sem - 35</v>
      </c>
      <c r="U984" s="6" t="str">
        <f aca="false">CHOOSE(MONTH(Q984),"Janvier","Février","Mars","Avril","Mai","Juin","Juillet","Août","Septembre","Octobre","Novembre","Décembre")</f>
        <v>Août</v>
      </c>
      <c r="V984" s="22" t="n">
        <f aca="false">YEAR(Q984)</f>
        <v>2026</v>
      </c>
      <c r="W984" s="20"/>
      <c r="X984" s="8" t="n">
        <f aca="false">IFERROR(IF(M984="Abs",0,IF(ROUND((D984-C984+E984-F984)*1440,0)&lt;=1,0,D984-C984+E984-F984)),0)</f>
        <v>0</v>
      </c>
      <c r="Y984" s="6" t="str">
        <f aca="false">IFERROR(VLOOKUP($B984,Agents!$A:$D,3,0),"-")</f>
        <v>OUBRAHIM Mohammed</v>
      </c>
      <c r="Z984" s="6" t="str">
        <f aca="false">IFERROR(VLOOKUP($B984,Agents!$A:$D,4,0),"-")</f>
        <v>Credit Mutuel</v>
      </c>
      <c r="AA984" s="18" t="s">
        <v>117</v>
      </c>
      <c r="AB984" s="8" t="str">
        <f aca="false">IF(AND(D984="Congé",F984="Congé"),0.333333333333333,IF(OR(AND(D984="Congé",F984&lt;&gt;"Congé"),(AND(F984="Congé",D984&lt;&gt;"Congé"))),0.166666666666667,""))</f>
        <v/>
      </c>
      <c r="AC984" s="8" t="str">
        <f aca="false">IF(AND(D984="Congé sans solde",F984="Congé sans solde"),0.333333333333333,IF(OR(AND(D984="Congé sans solde",F984&lt;&gt;"Congé sans solde"),(AND(F984="Congé sans solde",D984&lt;&gt;"Congé sans solde"))),0.166666666666667,""))</f>
        <v/>
      </c>
      <c r="AD984" s="8" t="str">
        <f aca="false">IF(AND(D984="Congé spécial",F984="Congé spécial"),0.333333333333333,IF(OR(AND(D984="Congé spécial",F984&lt;&gt;"Congé spécial"),AND(F984="Congé spécial",D984&lt;&gt;"Congé spécial")),0.166666666666667,""))</f>
        <v/>
      </c>
      <c r="AE984" s="8" t="str">
        <f aca="false">IF(AND(D984="Férié",F984="Férié"),0.333333333333333,IF(OR(AND(D984="Férié",F984&lt;&gt;"Férié"),(AND(F984="Férié",D984&lt;&gt;"Férié"))),0.166666666666667,""))</f>
        <v/>
      </c>
      <c r="AF984" s="18"/>
      <c r="AG984" s="18"/>
    </row>
    <row r="985" customFormat="false" ht="15" hidden="false" customHeight="false" outlineLevel="0" collapsed="false">
      <c r="A985" s="6" t="str">
        <f aca="false">YEAR(Q985-WEEKDAY(Q985,2)+4)&amp;"-S"&amp;TEXT(WEEKNUM(Q985,21),"00")</f>
        <v>2026-S35</v>
      </c>
      <c r="B985" s="18" t="s">
        <v>71</v>
      </c>
      <c r="C985" s="19"/>
      <c r="D985" s="19" t="s">
        <v>81</v>
      </c>
      <c r="E985" s="19"/>
      <c r="F985" s="19" t="s">
        <v>81</v>
      </c>
      <c r="G985" s="20"/>
      <c r="H985" s="20"/>
      <c r="I985" s="8" t="str">
        <f aca="false">IF(IF(OR(C985="",D985="Congé",D985="OFF",D985="Congé spécial"),"",IF(D985&gt;F985,D985-C985,IF(C985-D985&lt;0,0,C985-D985)))&lt;0.00068287037037037,"",IF(OR(D985="Congé",D985="OFF",C985="",D985="Congé spécial"),"",IF(D985&gt;F985,D985-C985,IF(C985-D985&lt;0,0,C985-D985))))</f>
        <v/>
      </c>
      <c r="J985" s="20"/>
      <c r="K985" s="8" t="n">
        <f aca="false">IF(SUM(H985:J985)&lt;0.00068287037037037,0,SUM(H985:J985))</f>
        <v>0</v>
      </c>
      <c r="L985" s="8" t="n">
        <f aca="false">IF(OR(F985="Congé",F985="OFF",M985="Abs",F985="Congé sans solde",F985="Férié",F985="Congé spécial",D985="Congé spécial"),0,IF(F985-E985&lt;0,0,IF(F985-E985&lt;=0.00068287037037037,0,F985-E985)))</f>
        <v>0</v>
      </c>
      <c r="M985" s="6" t="n">
        <f aca="false">IF(AND(O985&lt;&gt;0,C985=""),"Abs",0)</f>
        <v>0</v>
      </c>
      <c r="N985" s="8" t="str">
        <f aca="false">IFERROR(IF(OR(D985="OFF",D985="Congé",M985="Abs",D985="Congé sans solde",D985="Férié"),"",IF(O985-K985-L985&gt;O985,O985,IF(O985-K985-L985&lt;0,"",O985-K985-L985))),"")</f>
        <v/>
      </c>
      <c r="O985" s="8" t="n">
        <f aca="false">IF(AG985="2H Pause déjeuner",IF(F985-D985-0.0833333333333333&lt;0,F985-D985-0.0833333333333333+1,F985-D985-0.0833333333333333),IF(OR(AND(F985="OFF",D985="OFF"),AND(F985="Congé",D985="Congé"),AND(F985="Congé sans solde",D985="Congé sans solde"),AND(F985="Congé spécial",D985="Congé spécial"),AND(F985="Férié",D985="Férié"),AND(F985="OFF",D985="Congé"),AND(F985="OFF",D985="Congé sans solde"),AND(F985="OFF",D985="Congé spécial"),AND(F985="OFF",D985="Férié"),AND(F985="Congé",D985="OFF"),AND(F985="Congé",D985="Congé sans solde"),AND(F985="Congé",D985="Congé spécial"),AND(F985="Congé",D985="Férié"),AND(F985="Congé sans solde",D985="OFF"),AND(F985="Congé sans solde",D985="Congé"),AND(F985="Congé sans solde",D985="Congé spécial"),AND(F985="Congé sans solde",D985="Férié"),AND(F985="Congé spécial",D985="OFF"),AND(F985="Congé spécial",D985="Congé"),AND(F985="Congé spécial",D985="Congé sans solde"),AND(F985="Congé spécial",D985="Férié"),AND(F985="Férié",D985="OFF"),AND(F985="Férié",D985="Congé"),AND(F985="Férié",D985="Congé sans solde"),AND(F985="Férié",D985="Congé spécial")),0,IF(OR(F985="OFF",F985="Congé",F985="Congé spécial",F985="Congé sans solde",D985="OFF",D985="Congé",D985="Congé spécial",D985="Congé sans solde"),0.208333333333334,IF(AND(AG985="",F985-D985&lt;0),("24:00:00"-D985)+("00:00:00"+F985)-0.0416666666666667,IF(AND(OR(AG985="Allaitement",AG985="Sans déjeuner"),F985-D985&lt;0),("24:00:00"-D985)+("00:00:00"+F985),IF(AND(AG985="",F985-D985&gt;0.166666666666667),F985-D985-0.0416666666666667,IF(AND(OR(AG985="Allaitement",AG985="Sans déjeuner"),F985-D985&gt;0.166666666666667),F985-D985,F985-D985)))))))</f>
        <v>0</v>
      </c>
      <c r="P985" s="6" t="str">
        <f aca="false">IFERROR(VLOOKUP($B985,Agents!$A:$D,2,0),"-")</f>
        <v>Accessibilité</v>
      </c>
      <c r="Q985" s="21" t="n">
        <v>46259</v>
      </c>
      <c r="R985" s="8" t="n">
        <f aca="false">IF(M985="Abs",O985,0)</f>
        <v>0</v>
      </c>
      <c r="S985" s="8" t="n">
        <f aca="false">SUM(R985,L985,I985,J985,W985,H985)</f>
        <v>0</v>
      </c>
      <c r="T985" s="6" t="str">
        <f aca="false">"Sem - "&amp;WEEKNUM(Q985,21)</f>
        <v>Sem - 35</v>
      </c>
      <c r="U985" s="6" t="str">
        <f aca="false">CHOOSE(MONTH(Q985),"Janvier","Février","Mars","Avril","Mai","Juin","Juillet","Août","Septembre","Octobre","Novembre","Décembre")</f>
        <v>Août</v>
      </c>
      <c r="V985" s="22" t="n">
        <f aca="false">YEAR(Q985)</f>
        <v>2026</v>
      </c>
      <c r="W985" s="20"/>
      <c r="X985" s="8" t="n">
        <f aca="false">IFERROR(IF(M985="Abs",0,IF(ROUND((D985-C985+E985-F985)*1440,0)&lt;=1,0,D985-C985+E985-F985)),0)</f>
        <v>0</v>
      </c>
      <c r="Y985" s="6" t="str">
        <f aca="false">IFERROR(VLOOKUP($B985,Agents!$A:$D,3,0),"-")</f>
        <v>OUBRAHIM Mohammed</v>
      </c>
      <c r="Z985" s="6" t="str">
        <f aca="false">IFERROR(VLOOKUP($B985,Agents!$A:$D,4,0),"-")</f>
        <v>Credit Mutuel</v>
      </c>
      <c r="AA985" s="18" t="s">
        <v>117</v>
      </c>
      <c r="AB985" s="8" t="str">
        <f aca="false">IF(AND(D985="Congé",F985="Congé"),0.333333333333333,IF(OR(AND(D985="Congé",F985&lt;&gt;"Congé"),(AND(F985="Congé",D985&lt;&gt;"Congé"))),0.166666666666667,""))</f>
        <v/>
      </c>
      <c r="AC985" s="8" t="str">
        <f aca="false">IF(AND(D985="Congé sans solde",F985="Congé sans solde"),0.333333333333333,IF(OR(AND(D985="Congé sans solde",F985&lt;&gt;"Congé sans solde"),(AND(F985="Congé sans solde",D985&lt;&gt;"Congé sans solde"))),0.166666666666667,""))</f>
        <v/>
      </c>
      <c r="AD985" s="8" t="str">
        <f aca="false">IF(AND(D985="Congé spécial",F985="Congé spécial"),0.333333333333333,IF(OR(AND(D985="Congé spécial",F985&lt;&gt;"Congé spécial"),AND(F985="Congé spécial",D985&lt;&gt;"Congé spécial")),0.166666666666667,""))</f>
        <v/>
      </c>
      <c r="AE985" s="8" t="n">
        <f aca="false">IF(AND(D985="Férié",F985="Férié"),0.333333333333333,IF(OR(AND(D985="Férié",F985&lt;&gt;"Férié"),(AND(F985="Férié",D985&lt;&gt;"Férié"))),0.166666666666667,""))</f>
        <v>0.333333333333333</v>
      </c>
      <c r="AF985" s="18"/>
      <c r="AG985" s="18"/>
    </row>
    <row r="986" customFormat="false" ht="15" hidden="false" customHeight="false" outlineLevel="0" collapsed="false">
      <c r="A986" s="6" t="str">
        <f aca="false">YEAR(Q986-WEEKDAY(Q986,2)+4)&amp;"-S"&amp;TEXT(WEEKNUM(Q986,21),"00")</f>
        <v>2026-S35</v>
      </c>
      <c r="B986" s="18" t="s">
        <v>72</v>
      </c>
      <c r="C986" s="19" t="n">
        <v>0.333333333333333</v>
      </c>
      <c r="D986" s="19" t="n">
        <v>0.333333333333333</v>
      </c>
      <c r="E986" s="19" t="n">
        <v>0.75</v>
      </c>
      <c r="F986" s="19" t="n">
        <v>0.75</v>
      </c>
      <c r="G986" s="20"/>
      <c r="H986" s="20"/>
      <c r="I986" s="8" t="str">
        <f aca="false">IF(IF(OR(C986="",D986="Congé",D986="OFF",D986="Congé spécial"),"",IF(D986&gt;F986,D986-C986,IF(C986-D986&lt;0,0,C986-D986)))&lt;0.00068287037037037,"",IF(OR(D986="Congé",D986="OFF",C986="",D986="Congé spécial"),"",IF(D986&gt;F986,D986-C986,IF(C986-D986&lt;0,0,C986-D986))))</f>
        <v/>
      </c>
      <c r="J986" s="20"/>
      <c r="K986" s="8" t="n">
        <f aca="false">IF(SUM(H986:J986)&lt;0.00068287037037037,0,SUM(H986:J986))</f>
        <v>0</v>
      </c>
      <c r="L986" s="8" t="n">
        <f aca="false">IF(OR(F986="Congé",F986="OFF",M986="Abs",F986="Congé sans solde",F986="Férié",F986="Congé spécial",D986="Congé spécial"),0,IF(F986-E986&lt;0,0,IF(F986-E986&lt;=0.00068287037037037,0,F986-E986)))</f>
        <v>0</v>
      </c>
      <c r="M986" s="6" t="n">
        <f aca="false">IF(AND(O986&lt;&gt;0,C986=""),"Abs",0)</f>
        <v>0</v>
      </c>
      <c r="N986" s="8" t="n">
        <f aca="false">IFERROR(IF(OR(D986="OFF",D986="Congé",M986="Abs",D986="Congé sans solde",D986="Férié"),"",IF(O986-K986-L986&gt;O986,O986,IF(O986-K986-L986&lt;0,"",O986-K986-L986))),"")</f>
        <v>0.375</v>
      </c>
      <c r="O986" s="8" t="n">
        <f aca="false">IF(AG986="2H Pause déjeuner",IF(F986-D986-0.0833333333333333&lt;0,F986-D986-0.0833333333333333+1,F986-D986-0.0833333333333333),IF(OR(AND(F986="OFF",D986="OFF"),AND(F986="Congé",D986="Congé"),AND(F986="Congé sans solde",D986="Congé sans solde"),AND(F986="Congé spécial",D986="Congé spécial"),AND(F986="Férié",D986="Férié"),AND(F986="OFF",D986="Congé"),AND(F986="OFF",D986="Congé sans solde"),AND(F986="OFF",D986="Congé spécial"),AND(F986="OFF",D986="Férié"),AND(F986="Congé",D986="OFF"),AND(F986="Congé",D986="Congé sans solde"),AND(F986="Congé",D986="Congé spécial"),AND(F986="Congé",D986="Férié"),AND(F986="Congé sans solde",D986="OFF"),AND(F986="Congé sans solde",D986="Congé"),AND(F986="Congé sans solde",D986="Congé spécial"),AND(F986="Congé sans solde",D986="Férié"),AND(F986="Congé spécial",D986="OFF"),AND(F986="Congé spécial",D986="Congé"),AND(F986="Congé spécial",D986="Congé sans solde"),AND(F986="Congé spécial",D986="Férié"),AND(F986="Férié",D986="OFF"),AND(F986="Férié",D986="Congé"),AND(F986="Férié",D986="Congé sans solde"),AND(F986="Férié",D986="Congé spécial")),0,IF(OR(F986="OFF",F986="Congé",F986="Congé spécial",F986="Congé sans solde",D986="OFF",D986="Congé",D986="Congé spécial",D986="Congé sans solde"),0.208333333333334,IF(AND(AG986="",F986-D986&lt;0),("24:00:00"-D986)+("00:00:00"+F986)-0.0416666666666667,IF(AND(OR(AG986="Allaitement",AG986="Sans déjeuner"),F986-D986&lt;0),("24:00:00"-D986)+("00:00:00"+F986),IF(AND(AG986="",F986-D986&gt;0.166666666666667),F986-D986-0.0416666666666667,IF(AND(OR(AG986="Allaitement",AG986="Sans déjeuner"),F986-D986&gt;0.166666666666667),F986-D986,F986-D986)))))))</f>
        <v>0.375</v>
      </c>
      <c r="P986" s="6" t="str">
        <f aca="false">IFERROR(VLOOKUP($B986,Agents!$A:$D,2,0),"-")</f>
        <v>Accessibilité</v>
      </c>
      <c r="Q986" s="21" t="n">
        <v>46259</v>
      </c>
      <c r="R986" s="8" t="n">
        <f aca="false">IF(M986="Abs",O986,0)</f>
        <v>0</v>
      </c>
      <c r="S986" s="8" t="n">
        <f aca="false">SUM(R986,L986,I986,J986,W986,H986)</f>
        <v>0</v>
      </c>
      <c r="T986" s="6" t="str">
        <f aca="false">"Sem - "&amp;WEEKNUM(Q986,21)</f>
        <v>Sem - 35</v>
      </c>
      <c r="U986" s="6" t="str">
        <f aca="false">CHOOSE(MONTH(Q986),"Janvier","Février","Mars","Avril","Mai","Juin","Juillet","Août","Septembre","Octobre","Novembre","Décembre")</f>
        <v>Août</v>
      </c>
      <c r="V986" s="22" t="n">
        <f aca="false">YEAR(Q986)</f>
        <v>2026</v>
      </c>
      <c r="W986" s="20"/>
      <c r="X986" s="8" t="n">
        <f aca="false">IFERROR(IF(M986="Abs",0,IF(ROUND((D986-C986+E986-F986)*1440,0)&lt;=1,0,D986-C986+E986-F986)),0)</f>
        <v>0</v>
      </c>
      <c r="Y986" s="6" t="str">
        <f aca="false">IFERROR(VLOOKUP($B986,Agents!$A:$D,3,0),"-")</f>
        <v>OUBRAHIM Mohammed</v>
      </c>
      <c r="Z986" s="6" t="str">
        <f aca="false">IFERROR(VLOOKUP($B986,Agents!$A:$D,4,0),"-")</f>
        <v>Credit Mutuel</v>
      </c>
      <c r="AA986" s="18" t="s">
        <v>117</v>
      </c>
      <c r="AB986" s="8" t="str">
        <f aca="false">IF(AND(D986="Congé",F986="Congé"),0.333333333333333,IF(OR(AND(D986="Congé",F986&lt;&gt;"Congé"),(AND(F986="Congé",D986&lt;&gt;"Congé"))),0.166666666666667,""))</f>
        <v/>
      </c>
      <c r="AC986" s="8" t="str">
        <f aca="false">IF(AND(D986="Congé sans solde",F986="Congé sans solde"),0.333333333333333,IF(OR(AND(D986="Congé sans solde",F986&lt;&gt;"Congé sans solde"),(AND(F986="Congé sans solde",D986&lt;&gt;"Congé sans solde"))),0.166666666666667,""))</f>
        <v/>
      </c>
      <c r="AD986" s="8" t="str">
        <f aca="false">IF(AND(D986="Congé spécial",F986="Congé spécial"),0.333333333333333,IF(OR(AND(D986="Congé spécial",F986&lt;&gt;"Congé spécial"),AND(F986="Congé spécial",D986&lt;&gt;"Congé spécial")),0.166666666666667,""))</f>
        <v/>
      </c>
      <c r="AE986" s="8" t="str">
        <f aca="false">IF(AND(D986="Férié",F986="Férié"),0.333333333333333,IF(OR(AND(D986="Férié",F986&lt;&gt;"Férié"),(AND(F986="Férié",D986&lt;&gt;"Férié"))),0.166666666666667,""))</f>
        <v/>
      </c>
      <c r="AF986" s="18"/>
      <c r="AG986" s="18"/>
    </row>
    <row r="987" customFormat="false" ht="15" hidden="false" customHeight="false" outlineLevel="0" collapsed="false">
      <c r="A987" s="6" t="str">
        <f aca="false">YEAR(Q987-WEEKDAY(Q987,2)+4)&amp;"-S"&amp;TEXT(WEEKNUM(Q987,21),"00")</f>
        <v>2026-S35</v>
      </c>
      <c r="B987" s="18" t="s">
        <v>73</v>
      </c>
      <c r="C987" s="19" t="n">
        <v>0.333333333333333</v>
      </c>
      <c r="D987" s="19" t="n">
        <v>0.333333333333333</v>
      </c>
      <c r="E987" s="19" t="n">
        <v>0.75</v>
      </c>
      <c r="F987" s="19" t="n">
        <v>0.75</v>
      </c>
      <c r="G987" s="20"/>
      <c r="H987" s="20"/>
      <c r="I987" s="8" t="str">
        <f aca="false">IF(IF(OR(C987="",D987="Congé",D987="OFF",D987="Congé spécial"),"",IF(D987&gt;F987,D987-C987,IF(C987-D987&lt;0,0,C987-D987)))&lt;0.00068287037037037,"",IF(OR(D987="Congé",D987="OFF",C987="",D987="Congé spécial"),"",IF(D987&gt;F987,D987-C987,IF(C987-D987&lt;0,0,C987-D987))))</f>
        <v/>
      </c>
      <c r="J987" s="20"/>
      <c r="K987" s="8" t="n">
        <f aca="false">IF(SUM(H987:J987)&lt;0.00068287037037037,0,SUM(H987:J987))</f>
        <v>0</v>
      </c>
      <c r="L987" s="8" t="n">
        <f aca="false">IF(OR(F987="Congé",F987="OFF",M987="Abs",F987="Congé sans solde",F987="Férié",F987="Congé spécial",D987="Congé spécial"),0,IF(F987-E987&lt;0,0,IF(F987-E987&lt;=0.00068287037037037,0,F987-E987)))</f>
        <v>0</v>
      </c>
      <c r="M987" s="6" t="n">
        <f aca="false">IF(AND(O987&lt;&gt;0,C987=""),"Abs",0)</f>
        <v>0</v>
      </c>
      <c r="N987" s="8" t="n">
        <f aca="false">IFERROR(IF(OR(D987="OFF",D987="Congé",M987="Abs",D987="Congé sans solde",D987="Férié"),"",IF(O987-K987-L987&gt;O987,O987,IF(O987-K987-L987&lt;0,"",O987-K987-L987))),"")</f>
        <v>0.375</v>
      </c>
      <c r="O987" s="8" t="n">
        <f aca="false">IF(AG987="2H Pause déjeuner",IF(F987-D987-0.0833333333333333&lt;0,F987-D987-0.0833333333333333+1,F987-D987-0.0833333333333333),IF(OR(AND(F987="OFF",D987="OFF"),AND(F987="Congé",D987="Congé"),AND(F987="Congé sans solde",D987="Congé sans solde"),AND(F987="Congé spécial",D987="Congé spécial"),AND(F987="Férié",D987="Férié"),AND(F987="OFF",D987="Congé"),AND(F987="OFF",D987="Congé sans solde"),AND(F987="OFF",D987="Congé spécial"),AND(F987="OFF",D987="Férié"),AND(F987="Congé",D987="OFF"),AND(F987="Congé",D987="Congé sans solde"),AND(F987="Congé",D987="Congé spécial"),AND(F987="Congé",D987="Férié"),AND(F987="Congé sans solde",D987="OFF"),AND(F987="Congé sans solde",D987="Congé"),AND(F987="Congé sans solde",D987="Congé spécial"),AND(F987="Congé sans solde",D987="Férié"),AND(F987="Congé spécial",D987="OFF"),AND(F987="Congé spécial",D987="Congé"),AND(F987="Congé spécial",D987="Congé sans solde"),AND(F987="Congé spécial",D987="Férié"),AND(F987="Férié",D987="OFF"),AND(F987="Férié",D987="Congé"),AND(F987="Férié",D987="Congé sans solde"),AND(F987="Férié",D987="Congé spécial")),0,IF(OR(F987="OFF",F987="Congé",F987="Congé spécial",F987="Congé sans solde",D987="OFF",D987="Congé",D987="Congé spécial",D987="Congé sans solde"),0.208333333333334,IF(AND(AG987="",F987-D987&lt;0),("24:00:00"-D987)+("00:00:00"+F987)-0.0416666666666667,IF(AND(OR(AG987="Allaitement",AG987="Sans déjeuner"),F987-D987&lt;0),("24:00:00"-D987)+("00:00:00"+F987),IF(AND(AG987="",F987-D987&gt;0.166666666666667),F987-D987-0.0416666666666667,IF(AND(OR(AG987="Allaitement",AG987="Sans déjeuner"),F987-D987&gt;0.166666666666667),F987-D987,F987-D987)))))))</f>
        <v>0.375</v>
      </c>
      <c r="P987" s="6" t="str">
        <f aca="false">IFERROR(VLOOKUP($B987,Agents!$A:$D,2,0),"-")</f>
        <v>Accessibilité</v>
      </c>
      <c r="Q987" s="21" t="n">
        <v>46259</v>
      </c>
      <c r="R987" s="8" t="n">
        <f aca="false">IF(M987="Abs",O987,0)</f>
        <v>0</v>
      </c>
      <c r="S987" s="8" t="n">
        <f aca="false">SUM(R987,L987,I987,J987,W987,H987)</f>
        <v>0</v>
      </c>
      <c r="T987" s="6" t="str">
        <f aca="false">"Sem - "&amp;WEEKNUM(Q987,21)</f>
        <v>Sem - 35</v>
      </c>
      <c r="U987" s="6" t="str">
        <f aca="false">CHOOSE(MONTH(Q987),"Janvier","Février","Mars","Avril","Mai","Juin","Juillet","Août","Septembre","Octobre","Novembre","Décembre")</f>
        <v>Août</v>
      </c>
      <c r="V987" s="22" t="n">
        <f aca="false">YEAR(Q987)</f>
        <v>2026</v>
      </c>
      <c r="W987" s="20"/>
      <c r="X987" s="8" t="n">
        <f aca="false">IFERROR(IF(M987="Abs",0,IF(ROUND((D987-C987+E987-F987)*1440,0)&lt;=1,0,D987-C987+E987-F987)),0)</f>
        <v>0</v>
      </c>
      <c r="Y987" s="6" t="str">
        <f aca="false">IFERROR(VLOOKUP($B987,Agents!$A:$D,3,0),"-")</f>
        <v>OUBRAHIM Mohammed</v>
      </c>
      <c r="Z987" s="6" t="str">
        <f aca="false">IFERROR(VLOOKUP($B987,Agents!$A:$D,4,0),"-")</f>
        <v>Credit Mutuel</v>
      </c>
      <c r="AA987" s="18" t="s">
        <v>117</v>
      </c>
      <c r="AB987" s="8" t="str">
        <f aca="false">IF(AND(D987="Congé",F987="Congé"),0.333333333333333,IF(OR(AND(D987="Congé",F987&lt;&gt;"Congé"),(AND(F987="Congé",D987&lt;&gt;"Congé"))),0.166666666666667,""))</f>
        <v/>
      </c>
      <c r="AC987" s="8" t="str">
        <f aca="false">IF(AND(D987="Congé sans solde",F987="Congé sans solde"),0.333333333333333,IF(OR(AND(D987="Congé sans solde",F987&lt;&gt;"Congé sans solde"),(AND(F987="Congé sans solde",D987&lt;&gt;"Congé sans solde"))),0.166666666666667,""))</f>
        <v/>
      </c>
      <c r="AD987" s="8" t="str">
        <f aca="false">IF(AND(D987="Congé spécial",F987="Congé spécial"),0.333333333333333,IF(OR(AND(D987="Congé spécial",F987&lt;&gt;"Congé spécial"),AND(F987="Congé spécial",D987&lt;&gt;"Congé spécial")),0.166666666666667,""))</f>
        <v/>
      </c>
      <c r="AE987" s="8" t="str">
        <f aca="false">IF(AND(D987="Férié",F987="Férié"),0.333333333333333,IF(OR(AND(D987="Férié",F987&lt;&gt;"Férié"),(AND(F987="Férié",D987&lt;&gt;"Férié"))),0.166666666666667,""))</f>
        <v/>
      </c>
      <c r="AF987" s="18"/>
      <c r="AG987" s="18"/>
    </row>
    <row r="988" customFormat="false" ht="15" hidden="false" customHeight="false" outlineLevel="0" collapsed="false">
      <c r="A988" s="6" t="str">
        <f aca="false">YEAR(Q988-WEEKDAY(Q988,2)+4)&amp;"-S"&amp;TEXT(WEEKNUM(Q988,21),"00")</f>
        <v>2026-S35</v>
      </c>
      <c r="B988" s="18" t="s">
        <v>71</v>
      </c>
      <c r="C988" s="19"/>
      <c r="D988" s="19" t="s">
        <v>83</v>
      </c>
      <c r="E988" s="19"/>
      <c r="F988" s="19" t="s">
        <v>83</v>
      </c>
      <c r="G988" s="20"/>
      <c r="H988" s="20"/>
      <c r="I988" s="8" t="str">
        <f aca="false">IF(IF(OR(C988="",D988="Congé",D988="OFF",D988="Congé spécial"),"",IF(D988&gt;F988,D988-C988,IF(C988-D988&lt;0,0,C988-D988)))&lt;0.00068287037037037,"",IF(OR(D988="Congé",D988="OFF",C988="",D988="Congé spécial"),"",IF(D988&gt;F988,D988-C988,IF(C988-D988&lt;0,0,C988-D988))))</f>
        <v/>
      </c>
      <c r="J988" s="20"/>
      <c r="K988" s="8" t="n">
        <f aca="false">IF(SUM(H988:J988)&lt;0.00068287037037037,0,SUM(H988:J988))</f>
        <v>0</v>
      </c>
      <c r="L988" s="8" t="n">
        <f aca="false">IF(OR(F988="Congé",F988="OFF",M988="Abs",F988="Congé sans solde",F988="Férié",F988="Congé spécial",D988="Congé spécial"),0,IF(F988-E988&lt;0,0,IF(F988-E988&lt;=0.00068287037037037,0,F988-E988)))</f>
        <v>0</v>
      </c>
      <c r="M988" s="6" t="n">
        <f aca="false">IF(AND(O988&lt;&gt;0,C988=""),"Abs",0)</f>
        <v>0</v>
      </c>
      <c r="N988" s="8" t="str">
        <f aca="false">IFERROR(IF(OR(D988="OFF",D988="Congé",M988="Abs",D988="Congé sans solde",D988="Férié"),"",IF(O988-K988-L988&gt;O988,O988,IF(O988-K988-L988&lt;0,"",O988-K988-L988))),"")</f>
        <v/>
      </c>
      <c r="O988" s="8" t="n">
        <f aca="false">IF(AG988="2H Pause déjeuner",IF(F988-D988-0.0833333333333333&lt;0,F988-D988-0.0833333333333333+1,F988-D988-0.0833333333333333),IF(OR(AND(F988="OFF",D988="OFF"),AND(F988="Congé",D988="Congé"),AND(F988="Congé sans solde",D988="Congé sans solde"),AND(F988="Congé spécial",D988="Congé spécial"),AND(F988="Férié",D988="Férié"),AND(F988="OFF",D988="Congé"),AND(F988="OFF",D988="Congé sans solde"),AND(F988="OFF",D988="Congé spécial"),AND(F988="OFF",D988="Férié"),AND(F988="Congé",D988="OFF"),AND(F988="Congé",D988="Congé sans solde"),AND(F988="Congé",D988="Congé spécial"),AND(F988="Congé",D988="Férié"),AND(F988="Congé sans solde",D988="OFF"),AND(F988="Congé sans solde",D988="Congé"),AND(F988="Congé sans solde",D988="Congé spécial"),AND(F988="Congé sans solde",D988="Férié"),AND(F988="Congé spécial",D988="OFF"),AND(F988="Congé spécial",D988="Congé"),AND(F988="Congé spécial",D988="Congé sans solde"),AND(F988="Congé spécial",D988="Férié"),AND(F988="Férié",D988="OFF"),AND(F988="Férié",D988="Congé"),AND(F988="Férié",D988="Congé sans solde"),AND(F988="Férié",D988="Congé spécial")),0,IF(OR(F988="OFF",F988="Congé",F988="Congé spécial",F988="Congé sans solde",D988="OFF",D988="Congé",D988="Congé spécial",D988="Congé sans solde"),0.208333333333334,IF(AND(AG988="",F988-D988&lt;0),("24:00:00"-D988)+("00:00:00"+F988)-0.0416666666666667,IF(AND(OR(AG988="Allaitement",AG988="Sans déjeuner"),F988-D988&lt;0),("24:00:00"-D988)+("00:00:00"+F988),IF(AND(AG988="",F988-D988&gt;0.166666666666667),F988-D988-0.0416666666666667,IF(AND(OR(AG988="Allaitement",AG988="Sans déjeuner"),F988-D988&gt;0.166666666666667),F988-D988,F988-D988)))))))</f>
        <v>0</v>
      </c>
      <c r="P988" s="6" t="str">
        <f aca="false">IFERROR(VLOOKUP($B988,Agents!$A:$D,2,0),"-")</f>
        <v>Accessibilité</v>
      </c>
      <c r="Q988" s="21" t="n">
        <v>46260</v>
      </c>
      <c r="R988" s="8" t="n">
        <f aca="false">IF(M988="Abs",O988,0)</f>
        <v>0</v>
      </c>
      <c r="S988" s="8" t="n">
        <f aca="false">SUM(R988,L988,I988,J988,W988,H988)</f>
        <v>0</v>
      </c>
      <c r="T988" s="6" t="str">
        <f aca="false">"Sem - "&amp;WEEKNUM(Q988,21)</f>
        <v>Sem - 35</v>
      </c>
      <c r="U988" s="6" t="str">
        <f aca="false">CHOOSE(MONTH(Q988),"Janvier","Février","Mars","Avril","Mai","Juin","Juillet","Août","Septembre","Octobre","Novembre","Décembre")</f>
        <v>Août</v>
      </c>
      <c r="V988" s="22" t="n">
        <f aca="false">YEAR(Q988)</f>
        <v>2026</v>
      </c>
      <c r="W988" s="20"/>
      <c r="X988" s="8" t="n">
        <f aca="false">IFERROR(IF(M988="Abs",0,IF(ROUND((D988-C988+E988-F988)*1440,0)&lt;=1,0,D988-C988+E988-F988)),0)</f>
        <v>0</v>
      </c>
      <c r="Y988" s="6" t="str">
        <f aca="false">IFERROR(VLOOKUP($B988,Agents!$A:$D,3,0),"-")</f>
        <v>OUBRAHIM Mohammed</v>
      </c>
      <c r="Z988" s="6" t="str">
        <f aca="false">IFERROR(VLOOKUP($B988,Agents!$A:$D,4,0),"-")</f>
        <v>Credit Mutuel</v>
      </c>
      <c r="AA988" s="18" t="s">
        <v>117</v>
      </c>
      <c r="AB988" s="8" t="n">
        <f aca="false">IF(AND(D988="Congé",F988="Congé"),0.333333333333333,IF(OR(AND(D988="Congé",F988&lt;&gt;"Congé"),(AND(F988="Congé",D988&lt;&gt;"Congé"))),0.166666666666667,""))</f>
        <v>0.333333333333333</v>
      </c>
      <c r="AC988" s="8" t="str">
        <f aca="false">IF(AND(D988="Congé sans solde",F988="Congé sans solde"),0.333333333333333,IF(OR(AND(D988="Congé sans solde",F988&lt;&gt;"Congé sans solde"),(AND(F988="Congé sans solde",D988&lt;&gt;"Congé sans solde"))),0.166666666666667,""))</f>
        <v/>
      </c>
      <c r="AD988" s="8" t="str">
        <f aca="false">IF(AND(D988="Congé spécial",F988="Congé spécial"),0.333333333333333,IF(OR(AND(D988="Congé spécial",F988&lt;&gt;"Congé spécial"),AND(F988="Congé spécial",D988&lt;&gt;"Congé spécial")),0.166666666666667,""))</f>
        <v/>
      </c>
      <c r="AE988" s="8" t="str">
        <f aca="false">IF(AND(D988="Férié",F988="Férié"),0.333333333333333,IF(OR(AND(D988="Férié",F988&lt;&gt;"Férié"),(AND(F988="Férié",D988&lt;&gt;"Férié"))),0.166666666666667,""))</f>
        <v/>
      </c>
      <c r="AF988" s="18"/>
      <c r="AG988" s="18"/>
    </row>
    <row r="989" customFormat="false" ht="15" hidden="false" customHeight="false" outlineLevel="0" collapsed="false">
      <c r="A989" s="6" t="str">
        <f aca="false">YEAR(Q989-WEEKDAY(Q989,2)+4)&amp;"-S"&amp;TEXT(WEEKNUM(Q989,21),"00")</f>
        <v>2026-S35</v>
      </c>
      <c r="B989" s="18" t="s">
        <v>72</v>
      </c>
      <c r="C989" s="19" t="n">
        <v>0.329861111111111</v>
      </c>
      <c r="D989" s="19" t="n">
        <v>0.333333333333333</v>
      </c>
      <c r="E989" s="19" t="n">
        <v>0.75</v>
      </c>
      <c r="F989" s="19" t="n">
        <v>0.75</v>
      </c>
      <c r="G989" s="20"/>
      <c r="H989" s="20"/>
      <c r="I989" s="8" t="str">
        <f aca="false">IF(IF(OR(C989="",D989="Congé",D989="OFF",D989="Congé spécial"),"",IF(D989&gt;F989,D989-C989,IF(C989-D989&lt;0,0,C989-D989)))&lt;0.00068287037037037,"",IF(OR(D989="Congé",D989="OFF",C989="",D989="Congé spécial"),"",IF(D989&gt;F989,D989-C989,IF(C989-D989&lt;0,0,C989-D989))))</f>
        <v/>
      </c>
      <c r="J989" s="20"/>
      <c r="K989" s="8" t="n">
        <f aca="false">IF(SUM(H989:J989)&lt;0.00068287037037037,0,SUM(H989:J989))</f>
        <v>0</v>
      </c>
      <c r="L989" s="8" t="n">
        <f aca="false">IF(OR(F989="Congé",F989="OFF",M989="Abs",F989="Congé sans solde",F989="Férié",F989="Congé spécial",D989="Congé spécial"),0,IF(F989-E989&lt;0,0,IF(F989-E989&lt;=0.00068287037037037,0,F989-E989)))</f>
        <v>0</v>
      </c>
      <c r="M989" s="6" t="n">
        <f aca="false">IF(AND(O989&lt;&gt;0,C989=""),"Abs",0)</f>
        <v>0</v>
      </c>
      <c r="N989" s="8" t="n">
        <f aca="false">IFERROR(IF(OR(D989="OFF",D989="Congé",M989="Abs",D989="Congé sans solde",D989="Férié"),"",IF(O989-K989-L989&gt;O989,O989,IF(O989-K989-L989&lt;0,"",O989-K989-L989))),"")</f>
        <v>0.375</v>
      </c>
      <c r="O989" s="8" t="n">
        <f aca="false">IF(AG989="2H Pause déjeuner",IF(F989-D989-0.0833333333333333&lt;0,F989-D989-0.0833333333333333+1,F989-D989-0.0833333333333333),IF(OR(AND(F989="OFF",D989="OFF"),AND(F989="Congé",D989="Congé"),AND(F989="Congé sans solde",D989="Congé sans solde"),AND(F989="Congé spécial",D989="Congé spécial"),AND(F989="Férié",D989="Férié"),AND(F989="OFF",D989="Congé"),AND(F989="OFF",D989="Congé sans solde"),AND(F989="OFF",D989="Congé spécial"),AND(F989="OFF",D989="Férié"),AND(F989="Congé",D989="OFF"),AND(F989="Congé",D989="Congé sans solde"),AND(F989="Congé",D989="Congé spécial"),AND(F989="Congé",D989="Férié"),AND(F989="Congé sans solde",D989="OFF"),AND(F989="Congé sans solde",D989="Congé"),AND(F989="Congé sans solde",D989="Congé spécial"),AND(F989="Congé sans solde",D989="Férié"),AND(F989="Congé spécial",D989="OFF"),AND(F989="Congé spécial",D989="Congé"),AND(F989="Congé spécial",D989="Congé sans solde"),AND(F989="Congé spécial",D989="Férié"),AND(F989="Férié",D989="OFF"),AND(F989="Férié",D989="Congé"),AND(F989="Férié",D989="Congé sans solde"),AND(F989="Férié",D989="Congé spécial")),0,IF(OR(F989="OFF",F989="Congé",F989="Congé spécial",F989="Congé sans solde",D989="OFF",D989="Congé",D989="Congé spécial",D989="Congé sans solde"),0.208333333333334,IF(AND(AG989="",F989-D989&lt;0),("24:00:00"-D989)+("00:00:00"+F989)-0.0416666666666667,IF(AND(OR(AG989="Allaitement",AG989="Sans déjeuner"),F989-D989&lt;0),("24:00:00"-D989)+("00:00:00"+F989),IF(AND(AG989="",F989-D989&gt;0.166666666666667),F989-D989-0.0416666666666667,IF(AND(OR(AG989="Allaitement",AG989="Sans déjeuner"),F989-D989&gt;0.166666666666667),F989-D989,F989-D989)))))))</f>
        <v>0.375</v>
      </c>
      <c r="P989" s="6" t="str">
        <f aca="false">IFERROR(VLOOKUP($B989,Agents!$A:$D,2,0),"-")</f>
        <v>Accessibilité</v>
      </c>
      <c r="Q989" s="21" t="n">
        <v>46260</v>
      </c>
      <c r="R989" s="8" t="n">
        <f aca="false">IF(M989="Abs",O989,0)</f>
        <v>0</v>
      </c>
      <c r="S989" s="8" t="n">
        <f aca="false">SUM(R989,L989,I989,J989,W989,H989)</f>
        <v>0</v>
      </c>
      <c r="T989" s="6" t="str">
        <f aca="false">"Sem - "&amp;WEEKNUM(Q989,21)</f>
        <v>Sem - 35</v>
      </c>
      <c r="U989" s="6" t="str">
        <f aca="false">CHOOSE(MONTH(Q989),"Janvier","Février","Mars","Avril","Mai","Juin","Juillet","Août","Septembre","Octobre","Novembre","Décembre")</f>
        <v>Août</v>
      </c>
      <c r="V989" s="22" t="n">
        <f aca="false">YEAR(Q989)</f>
        <v>2026</v>
      </c>
      <c r="W989" s="20"/>
      <c r="X989" s="8" t="n">
        <f aca="false">IFERROR(IF(M989="Abs",0,IF(ROUND((D989-C989+E989-F989)*1440,0)&lt;=1,0,D989-C989+E989-F989)),0)</f>
        <v>0.00347222222222222</v>
      </c>
      <c r="Y989" s="6" t="str">
        <f aca="false">IFERROR(VLOOKUP($B989,Agents!$A:$D,3,0),"-")</f>
        <v>OUBRAHIM Mohammed</v>
      </c>
      <c r="Z989" s="6" t="str">
        <f aca="false">IFERROR(VLOOKUP($B989,Agents!$A:$D,4,0),"-")</f>
        <v>Credit Mutuel</v>
      </c>
      <c r="AA989" s="18" t="s">
        <v>117</v>
      </c>
      <c r="AB989" s="8" t="str">
        <f aca="false">IF(AND(D989="Congé",F989="Congé"),0.333333333333333,IF(OR(AND(D989="Congé",F989&lt;&gt;"Congé"),(AND(F989="Congé",D989&lt;&gt;"Congé"))),0.166666666666667,""))</f>
        <v/>
      </c>
      <c r="AC989" s="8" t="str">
        <f aca="false">IF(AND(D989="Congé sans solde",F989="Congé sans solde"),0.333333333333333,IF(OR(AND(D989="Congé sans solde",F989&lt;&gt;"Congé sans solde"),(AND(F989="Congé sans solde",D989&lt;&gt;"Congé sans solde"))),0.166666666666667,""))</f>
        <v/>
      </c>
      <c r="AD989" s="8" t="str">
        <f aca="false">IF(AND(D989="Congé spécial",F989="Congé spécial"),0.333333333333333,IF(OR(AND(D989="Congé spécial",F989&lt;&gt;"Congé spécial"),AND(F989="Congé spécial",D989&lt;&gt;"Congé spécial")),0.166666666666667,""))</f>
        <v/>
      </c>
      <c r="AE989" s="8" t="str">
        <f aca="false">IF(AND(D989="Férié",F989="Férié"),0.333333333333333,IF(OR(AND(D989="Férié",F989&lt;&gt;"Férié"),(AND(F989="Férié",D989&lt;&gt;"Férié"))),0.166666666666667,""))</f>
        <v/>
      </c>
      <c r="AF989" s="18"/>
      <c r="AG989" s="18"/>
    </row>
    <row r="990" customFormat="false" ht="15" hidden="false" customHeight="false" outlineLevel="0" collapsed="false">
      <c r="A990" s="6" t="str">
        <f aca="false">YEAR(Q990-WEEKDAY(Q990,2)+4)&amp;"-S"&amp;TEXT(WEEKNUM(Q990,21),"00")</f>
        <v>2026-S35</v>
      </c>
      <c r="B990" s="18" t="s">
        <v>73</v>
      </c>
      <c r="C990" s="19" t="n">
        <v>0.333333333333333</v>
      </c>
      <c r="D990" s="19" t="n">
        <v>0.333333333333333</v>
      </c>
      <c r="E990" s="19" t="n">
        <v>0.75</v>
      </c>
      <c r="F990" s="19" t="n">
        <v>0.75</v>
      </c>
      <c r="G990" s="20"/>
      <c r="H990" s="20"/>
      <c r="I990" s="8" t="str">
        <f aca="false">IF(IF(OR(C990="",D990="Congé",D990="OFF",D990="Congé spécial"),"",IF(D990&gt;F990,D990-C990,IF(C990-D990&lt;0,0,C990-D990)))&lt;0.00068287037037037,"",IF(OR(D990="Congé",D990="OFF",C990="",D990="Congé spécial"),"",IF(D990&gt;F990,D990-C990,IF(C990-D990&lt;0,0,C990-D990))))</f>
        <v/>
      </c>
      <c r="J990" s="20"/>
      <c r="K990" s="8" t="n">
        <f aca="false">IF(SUM(H990:J990)&lt;0.00068287037037037,0,SUM(H990:J990))</f>
        <v>0</v>
      </c>
      <c r="L990" s="8" t="n">
        <f aca="false">IF(OR(F990="Congé",F990="OFF",M990="Abs",F990="Congé sans solde",F990="Férié",F990="Congé spécial",D990="Congé spécial"),0,IF(F990-E990&lt;0,0,IF(F990-E990&lt;=0.00068287037037037,0,F990-E990)))</f>
        <v>0</v>
      </c>
      <c r="M990" s="6" t="n">
        <f aca="false">IF(AND(O990&lt;&gt;0,C990=""),"Abs",0)</f>
        <v>0</v>
      </c>
      <c r="N990" s="8" t="n">
        <f aca="false">IFERROR(IF(OR(D990="OFF",D990="Congé",M990="Abs",D990="Congé sans solde",D990="Férié"),"",IF(O990-K990-L990&gt;O990,O990,IF(O990-K990-L990&lt;0,"",O990-K990-L990))),"")</f>
        <v>0.375</v>
      </c>
      <c r="O990" s="8" t="n">
        <f aca="false">IF(AG990="2H Pause déjeuner",IF(F990-D990-0.0833333333333333&lt;0,F990-D990-0.0833333333333333+1,F990-D990-0.0833333333333333),IF(OR(AND(F990="OFF",D990="OFF"),AND(F990="Congé",D990="Congé"),AND(F990="Congé sans solde",D990="Congé sans solde"),AND(F990="Congé spécial",D990="Congé spécial"),AND(F990="Férié",D990="Férié"),AND(F990="OFF",D990="Congé"),AND(F990="OFF",D990="Congé sans solde"),AND(F990="OFF",D990="Congé spécial"),AND(F990="OFF",D990="Férié"),AND(F990="Congé",D990="OFF"),AND(F990="Congé",D990="Congé sans solde"),AND(F990="Congé",D990="Congé spécial"),AND(F990="Congé",D990="Férié"),AND(F990="Congé sans solde",D990="OFF"),AND(F990="Congé sans solde",D990="Congé"),AND(F990="Congé sans solde",D990="Congé spécial"),AND(F990="Congé sans solde",D990="Férié"),AND(F990="Congé spécial",D990="OFF"),AND(F990="Congé spécial",D990="Congé"),AND(F990="Congé spécial",D990="Congé sans solde"),AND(F990="Congé spécial",D990="Férié"),AND(F990="Férié",D990="OFF"),AND(F990="Férié",D990="Congé"),AND(F990="Férié",D990="Congé sans solde"),AND(F990="Férié",D990="Congé spécial")),0,IF(OR(F990="OFF",F990="Congé",F990="Congé spécial",F990="Congé sans solde",D990="OFF",D990="Congé",D990="Congé spécial",D990="Congé sans solde"),0.208333333333334,IF(AND(AG990="",F990-D990&lt;0),("24:00:00"-D990)+("00:00:00"+F990)-0.0416666666666667,IF(AND(OR(AG990="Allaitement",AG990="Sans déjeuner"),F990-D990&lt;0),("24:00:00"-D990)+("00:00:00"+F990),IF(AND(AG990="",F990-D990&gt;0.166666666666667),F990-D990-0.0416666666666667,IF(AND(OR(AG990="Allaitement",AG990="Sans déjeuner"),F990-D990&gt;0.166666666666667),F990-D990,F990-D990)))))))</f>
        <v>0.375</v>
      </c>
      <c r="P990" s="6" t="str">
        <f aca="false">IFERROR(VLOOKUP($B990,Agents!$A:$D,2,0),"-")</f>
        <v>Accessibilité</v>
      </c>
      <c r="Q990" s="21" t="n">
        <v>46260</v>
      </c>
      <c r="R990" s="8" t="n">
        <f aca="false">IF(M990="Abs",O990,0)</f>
        <v>0</v>
      </c>
      <c r="S990" s="8" t="n">
        <f aca="false">SUM(R990,L990,I990,J990,W990,H990)</f>
        <v>0</v>
      </c>
      <c r="T990" s="6" t="str">
        <f aca="false">"Sem - "&amp;WEEKNUM(Q990,21)</f>
        <v>Sem - 35</v>
      </c>
      <c r="U990" s="6" t="str">
        <f aca="false">CHOOSE(MONTH(Q990),"Janvier","Février","Mars","Avril","Mai","Juin","Juillet","Août","Septembre","Octobre","Novembre","Décembre")</f>
        <v>Août</v>
      </c>
      <c r="V990" s="22" t="n">
        <f aca="false">YEAR(Q990)</f>
        <v>2026</v>
      </c>
      <c r="W990" s="20"/>
      <c r="X990" s="8" t="n">
        <f aca="false">IFERROR(IF(M990="Abs",0,IF(ROUND((D990-C990+E990-F990)*1440,0)&lt;=1,0,D990-C990+E990-F990)),0)</f>
        <v>0</v>
      </c>
      <c r="Y990" s="6" t="str">
        <f aca="false">IFERROR(VLOOKUP($B990,Agents!$A:$D,3,0),"-")</f>
        <v>OUBRAHIM Mohammed</v>
      </c>
      <c r="Z990" s="6" t="str">
        <f aca="false">IFERROR(VLOOKUP($B990,Agents!$A:$D,4,0),"-")</f>
        <v>Credit Mutuel</v>
      </c>
      <c r="AA990" s="18" t="s">
        <v>117</v>
      </c>
      <c r="AB990" s="8" t="str">
        <f aca="false">IF(AND(D990="Congé",F990="Congé"),0.333333333333333,IF(OR(AND(D990="Congé",F990&lt;&gt;"Congé"),(AND(F990="Congé",D990&lt;&gt;"Congé"))),0.166666666666667,""))</f>
        <v/>
      </c>
      <c r="AC990" s="8" t="str">
        <f aca="false">IF(AND(D990="Congé sans solde",F990="Congé sans solde"),0.333333333333333,IF(OR(AND(D990="Congé sans solde",F990&lt;&gt;"Congé sans solde"),(AND(F990="Congé sans solde",D990&lt;&gt;"Congé sans solde"))),0.166666666666667,""))</f>
        <v/>
      </c>
      <c r="AD990" s="8" t="str">
        <f aca="false">IF(AND(D990="Congé spécial",F990="Congé spécial"),0.333333333333333,IF(OR(AND(D990="Congé spécial",F990&lt;&gt;"Congé spécial"),AND(F990="Congé spécial",D990&lt;&gt;"Congé spécial")),0.166666666666667,""))</f>
        <v/>
      </c>
      <c r="AE990" s="8" t="str">
        <f aca="false">IF(AND(D990="Férié",F990="Férié"),0.333333333333333,IF(OR(AND(D990="Férié",F990&lt;&gt;"Férié"),(AND(F990="Férié",D990&lt;&gt;"Férié"))),0.166666666666667,""))</f>
        <v/>
      </c>
      <c r="AF990" s="18"/>
      <c r="AG990" s="18"/>
    </row>
    <row r="991" customFormat="false" ht="15" hidden="false" customHeight="false" outlineLevel="0" collapsed="false">
      <c r="A991" s="6" t="str">
        <f aca="false">YEAR(Q991-WEEKDAY(Q991,2)+4)&amp;"-S"&amp;TEXT(WEEKNUM(Q991,21),"00")</f>
        <v>2026-S35</v>
      </c>
      <c r="B991" s="18" t="s">
        <v>71</v>
      </c>
      <c r="C991" s="19"/>
      <c r="D991" s="19" t="s">
        <v>83</v>
      </c>
      <c r="E991" s="19"/>
      <c r="F991" s="19" t="s">
        <v>83</v>
      </c>
      <c r="G991" s="20"/>
      <c r="H991" s="20"/>
      <c r="I991" s="8" t="str">
        <f aca="false">IF(IF(OR(C991="",D991="Congé",D991="OFF",D991="Congé spécial"),"",IF(D991&gt;F991,D991-C991,IF(C991-D991&lt;0,0,C991-D991)))&lt;0.00068287037037037,"",IF(OR(D991="Congé",D991="OFF",C991="",D991="Congé spécial"),"",IF(D991&gt;F991,D991-C991,IF(C991-D991&lt;0,0,C991-D991))))</f>
        <v/>
      </c>
      <c r="J991" s="20"/>
      <c r="K991" s="8" t="n">
        <f aca="false">IF(SUM(H991:J991)&lt;0.00068287037037037,0,SUM(H991:J991))</f>
        <v>0</v>
      </c>
      <c r="L991" s="8" t="n">
        <f aca="false">IF(OR(F991="Congé",F991="OFF",M991="Abs",F991="Congé sans solde",F991="Férié",F991="Congé spécial",D991="Congé spécial"),0,IF(F991-E991&lt;0,0,IF(F991-E991&lt;=0.00068287037037037,0,F991-E991)))</f>
        <v>0</v>
      </c>
      <c r="M991" s="6" t="n">
        <f aca="false">IF(AND(O991&lt;&gt;0,C991=""),"Abs",0)</f>
        <v>0</v>
      </c>
      <c r="N991" s="8" t="str">
        <f aca="false">IFERROR(IF(OR(D991="OFF",D991="Congé",M991="Abs",D991="Congé sans solde",D991="Férié"),"",IF(O991-K991-L991&gt;O991,O991,IF(O991-K991-L991&lt;0,"",O991-K991-L991))),"")</f>
        <v/>
      </c>
      <c r="O991" s="8" t="n">
        <f aca="false">IF(AG991="2H Pause déjeuner",IF(F991-D991-0.0833333333333333&lt;0,F991-D991-0.0833333333333333+1,F991-D991-0.0833333333333333),IF(OR(AND(F991="OFF",D991="OFF"),AND(F991="Congé",D991="Congé"),AND(F991="Congé sans solde",D991="Congé sans solde"),AND(F991="Congé spécial",D991="Congé spécial"),AND(F991="Férié",D991="Férié"),AND(F991="OFF",D991="Congé"),AND(F991="OFF",D991="Congé sans solde"),AND(F991="OFF",D991="Congé spécial"),AND(F991="OFF",D991="Férié"),AND(F991="Congé",D991="OFF"),AND(F991="Congé",D991="Congé sans solde"),AND(F991="Congé",D991="Congé spécial"),AND(F991="Congé",D991="Férié"),AND(F991="Congé sans solde",D991="OFF"),AND(F991="Congé sans solde",D991="Congé"),AND(F991="Congé sans solde",D991="Congé spécial"),AND(F991="Congé sans solde",D991="Férié"),AND(F991="Congé spécial",D991="OFF"),AND(F991="Congé spécial",D991="Congé"),AND(F991="Congé spécial",D991="Congé sans solde"),AND(F991="Congé spécial",D991="Férié"),AND(F991="Férié",D991="OFF"),AND(F991="Férié",D991="Congé"),AND(F991="Férié",D991="Congé sans solde"),AND(F991="Férié",D991="Congé spécial")),0,IF(OR(F991="OFF",F991="Congé",F991="Congé spécial",F991="Congé sans solde",D991="OFF",D991="Congé",D991="Congé spécial",D991="Congé sans solde"),0.208333333333334,IF(AND(AG991="",F991-D991&lt;0),("24:00:00"-D991)+("00:00:00"+F991)-0.0416666666666667,IF(AND(OR(AG991="Allaitement",AG991="Sans déjeuner"),F991-D991&lt;0),("24:00:00"-D991)+("00:00:00"+F991),IF(AND(AG991="",F991-D991&gt;0.166666666666667),F991-D991-0.0416666666666667,IF(AND(OR(AG991="Allaitement",AG991="Sans déjeuner"),F991-D991&gt;0.166666666666667),F991-D991,F991-D991)))))))</f>
        <v>0</v>
      </c>
      <c r="P991" s="6" t="str">
        <f aca="false">IFERROR(VLOOKUP($B991,Agents!$A:$D,2,0),"-")</f>
        <v>Accessibilité</v>
      </c>
      <c r="Q991" s="21" t="n">
        <v>46261</v>
      </c>
      <c r="R991" s="8" t="n">
        <f aca="false">IF(M991="Abs",O991,0)</f>
        <v>0</v>
      </c>
      <c r="S991" s="8" t="n">
        <f aca="false">SUM(R991,L991,I991,J991,W991,H991)</f>
        <v>0</v>
      </c>
      <c r="T991" s="6" t="str">
        <f aca="false">"Sem - "&amp;WEEKNUM(Q991,21)</f>
        <v>Sem - 35</v>
      </c>
      <c r="U991" s="6" t="str">
        <f aca="false">CHOOSE(MONTH(Q991),"Janvier","Février","Mars","Avril","Mai","Juin","Juillet","Août","Septembre","Octobre","Novembre","Décembre")</f>
        <v>Août</v>
      </c>
      <c r="V991" s="22" t="n">
        <f aca="false">YEAR(Q991)</f>
        <v>2026</v>
      </c>
      <c r="W991" s="20"/>
      <c r="X991" s="8" t="n">
        <f aca="false">IFERROR(IF(M991="Abs",0,IF(ROUND((D991-C991+E991-F991)*1440,0)&lt;=1,0,D991-C991+E991-F991)),0)</f>
        <v>0</v>
      </c>
      <c r="Y991" s="6" t="str">
        <f aca="false">IFERROR(VLOOKUP($B991,Agents!$A:$D,3,0),"-")</f>
        <v>OUBRAHIM Mohammed</v>
      </c>
      <c r="Z991" s="6" t="str">
        <f aca="false">IFERROR(VLOOKUP($B991,Agents!$A:$D,4,0),"-")</f>
        <v>Credit Mutuel</v>
      </c>
      <c r="AA991" s="18" t="s">
        <v>117</v>
      </c>
      <c r="AB991" s="8" t="n">
        <f aca="false">IF(AND(D991="Congé",F991="Congé"),0.333333333333333,IF(OR(AND(D991="Congé",F991&lt;&gt;"Congé"),(AND(F991="Congé",D991&lt;&gt;"Congé"))),0.166666666666667,""))</f>
        <v>0.333333333333333</v>
      </c>
      <c r="AC991" s="8" t="str">
        <f aca="false">IF(AND(D991="Congé sans solde",F991="Congé sans solde"),0.333333333333333,IF(OR(AND(D991="Congé sans solde",F991&lt;&gt;"Congé sans solde"),(AND(F991="Congé sans solde",D991&lt;&gt;"Congé sans solde"))),0.166666666666667,""))</f>
        <v/>
      </c>
      <c r="AD991" s="8" t="str">
        <f aca="false">IF(AND(D991="Congé spécial",F991="Congé spécial"),0.333333333333333,IF(OR(AND(D991="Congé spécial",F991&lt;&gt;"Congé spécial"),AND(F991="Congé spécial",D991&lt;&gt;"Congé spécial")),0.166666666666667,""))</f>
        <v/>
      </c>
      <c r="AE991" s="8" t="str">
        <f aca="false">IF(AND(D991="Férié",F991="Férié"),0.333333333333333,IF(OR(AND(D991="Férié",F991&lt;&gt;"Férié"),(AND(F991="Férié",D991&lt;&gt;"Férié"))),0.166666666666667,""))</f>
        <v/>
      </c>
      <c r="AF991" s="18"/>
      <c r="AG991" s="18"/>
    </row>
    <row r="992" customFormat="false" ht="15" hidden="false" customHeight="false" outlineLevel="0" collapsed="false">
      <c r="A992" s="6" t="str">
        <f aca="false">YEAR(Q992-WEEKDAY(Q992,2)+4)&amp;"-S"&amp;TEXT(WEEKNUM(Q992,21),"00")</f>
        <v>2026-S35</v>
      </c>
      <c r="B992" s="18" t="s">
        <v>72</v>
      </c>
      <c r="C992" s="19" t="n">
        <v>0.33125</v>
      </c>
      <c r="D992" s="19" t="n">
        <v>0.333333333333333</v>
      </c>
      <c r="E992" s="19" t="n">
        <v>0.75</v>
      </c>
      <c r="F992" s="19" t="n">
        <v>0.75</v>
      </c>
      <c r="G992" s="20"/>
      <c r="H992" s="20"/>
      <c r="I992" s="8" t="str">
        <f aca="false">IF(IF(OR(C992="",D992="Congé",D992="OFF",D992="Congé spécial"),"",IF(D992&gt;F992,D992-C992,IF(C992-D992&lt;0,0,C992-D992)))&lt;0.00068287037037037,"",IF(OR(D992="Congé",D992="OFF",C992="",D992="Congé spécial"),"",IF(D992&gt;F992,D992-C992,IF(C992-D992&lt;0,0,C992-D992))))</f>
        <v/>
      </c>
      <c r="J992" s="20"/>
      <c r="K992" s="8" t="n">
        <f aca="false">IF(SUM(H992:J992)&lt;0.00068287037037037,0,SUM(H992:J992))</f>
        <v>0</v>
      </c>
      <c r="L992" s="8" t="n">
        <f aca="false">IF(OR(F992="Congé",F992="OFF",M992="Abs",F992="Congé sans solde",F992="Férié",F992="Congé spécial",D992="Congé spécial"),0,IF(F992-E992&lt;0,0,IF(F992-E992&lt;=0.00068287037037037,0,F992-E992)))</f>
        <v>0</v>
      </c>
      <c r="M992" s="6" t="n">
        <f aca="false">IF(AND(O992&lt;&gt;0,C992=""),"Abs",0)</f>
        <v>0</v>
      </c>
      <c r="N992" s="8" t="n">
        <f aca="false">IFERROR(IF(OR(D992="OFF",D992="Congé",M992="Abs",D992="Congé sans solde",D992="Férié"),"",IF(O992-K992-L992&gt;O992,O992,IF(O992-K992-L992&lt;0,"",O992-K992-L992))),"")</f>
        <v>0.375</v>
      </c>
      <c r="O992" s="8" t="n">
        <f aca="false">IF(AG992="2H Pause déjeuner",IF(F992-D992-0.0833333333333333&lt;0,F992-D992-0.0833333333333333+1,F992-D992-0.0833333333333333),IF(OR(AND(F992="OFF",D992="OFF"),AND(F992="Congé",D992="Congé"),AND(F992="Congé sans solde",D992="Congé sans solde"),AND(F992="Congé spécial",D992="Congé spécial"),AND(F992="Férié",D992="Férié"),AND(F992="OFF",D992="Congé"),AND(F992="OFF",D992="Congé sans solde"),AND(F992="OFF",D992="Congé spécial"),AND(F992="OFF",D992="Férié"),AND(F992="Congé",D992="OFF"),AND(F992="Congé",D992="Congé sans solde"),AND(F992="Congé",D992="Congé spécial"),AND(F992="Congé",D992="Férié"),AND(F992="Congé sans solde",D992="OFF"),AND(F992="Congé sans solde",D992="Congé"),AND(F992="Congé sans solde",D992="Congé spécial"),AND(F992="Congé sans solde",D992="Férié"),AND(F992="Congé spécial",D992="OFF"),AND(F992="Congé spécial",D992="Congé"),AND(F992="Congé spécial",D992="Congé sans solde"),AND(F992="Congé spécial",D992="Férié"),AND(F992="Férié",D992="OFF"),AND(F992="Férié",D992="Congé"),AND(F992="Férié",D992="Congé sans solde"),AND(F992="Férié",D992="Congé spécial")),0,IF(OR(F992="OFF",F992="Congé",F992="Congé spécial",F992="Congé sans solde",D992="OFF",D992="Congé",D992="Congé spécial",D992="Congé sans solde"),0.208333333333334,IF(AND(AG992="",F992-D992&lt;0),("24:00:00"-D992)+("00:00:00"+F992)-0.0416666666666667,IF(AND(OR(AG992="Allaitement",AG992="Sans déjeuner"),F992-D992&lt;0),("24:00:00"-D992)+("00:00:00"+F992),IF(AND(AG992="",F992-D992&gt;0.166666666666667),F992-D992-0.0416666666666667,IF(AND(OR(AG992="Allaitement",AG992="Sans déjeuner"),F992-D992&gt;0.166666666666667),F992-D992,F992-D992)))))))</f>
        <v>0.375</v>
      </c>
      <c r="P992" s="6" t="str">
        <f aca="false">IFERROR(VLOOKUP($B992,Agents!$A:$D,2,0),"-")</f>
        <v>Accessibilité</v>
      </c>
      <c r="Q992" s="21" t="n">
        <v>46261</v>
      </c>
      <c r="R992" s="8" t="n">
        <f aca="false">IF(M992="Abs",O992,0)</f>
        <v>0</v>
      </c>
      <c r="S992" s="8" t="n">
        <f aca="false">SUM(R992,L992,I992,J992,W992,H992)</f>
        <v>0</v>
      </c>
      <c r="T992" s="6" t="str">
        <f aca="false">"Sem - "&amp;WEEKNUM(Q992,21)</f>
        <v>Sem - 35</v>
      </c>
      <c r="U992" s="6" t="str">
        <f aca="false">CHOOSE(MONTH(Q992),"Janvier","Février","Mars","Avril","Mai","Juin","Juillet","Août","Septembre","Octobre","Novembre","Décembre")</f>
        <v>Août</v>
      </c>
      <c r="V992" s="22" t="n">
        <f aca="false">YEAR(Q992)</f>
        <v>2026</v>
      </c>
      <c r="W992" s="20"/>
      <c r="X992" s="8" t="n">
        <f aca="false">IFERROR(IF(M992="Abs",0,IF(ROUND((D992-C992+E992-F992)*1440,0)&lt;=1,0,D992-C992+E992-F992)),0)</f>
        <v>0.00208333333333333</v>
      </c>
      <c r="Y992" s="6" t="str">
        <f aca="false">IFERROR(VLOOKUP($B992,Agents!$A:$D,3,0),"-")</f>
        <v>OUBRAHIM Mohammed</v>
      </c>
      <c r="Z992" s="6" t="str">
        <f aca="false">IFERROR(VLOOKUP($B992,Agents!$A:$D,4,0),"-")</f>
        <v>Credit Mutuel</v>
      </c>
      <c r="AA992" s="18" t="s">
        <v>117</v>
      </c>
      <c r="AB992" s="8" t="str">
        <f aca="false">IF(AND(D992="Congé",F992="Congé"),0.333333333333333,IF(OR(AND(D992="Congé",F992&lt;&gt;"Congé"),(AND(F992="Congé",D992&lt;&gt;"Congé"))),0.166666666666667,""))</f>
        <v/>
      </c>
      <c r="AC992" s="8" t="str">
        <f aca="false">IF(AND(D992="Congé sans solde",F992="Congé sans solde"),0.333333333333333,IF(OR(AND(D992="Congé sans solde",F992&lt;&gt;"Congé sans solde"),(AND(F992="Congé sans solde",D992&lt;&gt;"Congé sans solde"))),0.166666666666667,""))</f>
        <v/>
      </c>
      <c r="AD992" s="8" t="str">
        <f aca="false">IF(AND(D992="Congé spécial",F992="Congé spécial"),0.333333333333333,IF(OR(AND(D992="Congé spécial",F992&lt;&gt;"Congé spécial"),AND(F992="Congé spécial",D992&lt;&gt;"Congé spécial")),0.166666666666667,""))</f>
        <v/>
      </c>
      <c r="AE992" s="8" t="str">
        <f aca="false">IF(AND(D992="Férié",F992="Férié"),0.333333333333333,IF(OR(AND(D992="Férié",F992&lt;&gt;"Férié"),(AND(F992="Férié",D992&lt;&gt;"Férié"))),0.166666666666667,""))</f>
        <v/>
      </c>
      <c r="AF992" s="18"/>
      <c r="AG992" s="18"/>
    </row>
    <row r="993" customFormat="false" ht="15" hidden="false" customHeight="false" outlineLevel="0" collapsed="false">
      <c r="A993" s="6" t="str">
        <f aca="false">YEAR(Q993-WEEKDAY(Q993,2)+4)&amp;"-S"&amp;TEXT(WEEKNUM(Q993,21),"00")</f>
        <v>2026-S35</v>
      </c>
      <c r="B993" s="18" t="s">
        <v>73</v>
      </c>
      <c r="C993" s="19" t="n">
        <v>0.332638888888889</v>
      </c>
      <c r="D993" s="19" t="n">
        <v>0.333333333333333</v>
      </c>
      <c r="E993" s="19" t="n">
        <v>0.75</v>
      </c>
      <c r="F993" s="19" t="n">
        <v>0.75</v>
      </c>
      <c r="G993" s="20"/>
      <c r="H993" s="20"/>
      <c r="I993" s="8" t="str">
        <f aca="false">IF(IF(OR(C993="",D993="Congé",D993="OFF",D993="Congé spécial"),"",IF(D993&gt;F993,D993-C993,IF(C993-D993&lt;0,0,C993-D993)))&lt;0.00068287037037037,"",IF(OR(D993="Congé",D993="OFF",C993="",D993="Congé spécial"),"",IF(D993&gt;F993,D993-C993,IF(C993-D993&lt;0,0,C993-D993))))</f>
        <v/>
      </c>
      <c r="J993" s="20"/>
      <c r="K993" s="8" t="n">
        <f aca="false">IF(SUM(H993:J993)&lt;0.00068287037037037,0,SUM(H993:J993))</f>
        <v>0</v>
      </c>
      <c r="L993" s="8" t="n">
        <f aca="false">IF(OR(F993="Congé",F993="OFF",M993="Abs",F993="Congé sans solde",F993="Férié",F993="Congé spécial",D993="Congé spécial"),0,IF(F993-E993&lt;0,0,IF(F993-E993&lt;=0.00068287037037037,0,F993-E993)))</f>
        <v>0</v>
      </c>
      <c r="M993" s="6" t="n">
        <f aca="false">IF(AND(O993&lt;&gt;0,C993=""),"Abs",0)</f>
        <v>0</v>
      </c>
      <c r="N993" s="8" t="n">
        <f aca="false">IFERROR(IF(OR(D993="OFF",D993="Congé",M993="Abs",D993="Congé sans solde",D993="Férié"),"",IF(O993-K993-L993&gt;O993,O993,IF(O993-K993-L993&lt;0,"",O993-K993-L993))),"")</f>
        <v>0.375</v>
      </c>
      <c r="O993" s="8" t="n">
        <f aca="false">IF(AG993="2H Pause déjeuner",IF(F993-D993-0.0833333333333333&lt;0,F993-D993-0.0833333333333333+1,F993-D993-0.0833333333333333),IF(OR(AND(F993="OFF",D993="OFF"),AND(F993="Congé",D993="Congé"),AND(F993="Congé sans solde",D993="Congé sans solde"),AND(F993="Congé spécial",D993="Congé spécial"),AND(F993="Férié",D993="Férié"),AND(F993="OFF",D993="Congé"),AND(F993="OFF",D993="Congé sans solde"),AND(F993="OFF",D993="Congé spécial"),AND(F993="OFF",D993="Férié"),AND(F993="Congé",D993="OFF"),AND(F993="Congé",D993="Congé sans solde"),AND(F993="Congé",D993="Congé spécial"),AND(F993="Congé",D993="Férié"),AND(F993="Congé sans solde",D993="OFF"),AND(F993="Congé sans solde",D993="Congé"),AND(F993="Congé sans solde",D993="Congé spécial"),AND(F993="Congé sans solde",D993="Férié"),AND(F993="Congé spécial",D993="OFF"),AND(F993="Congé spécial",D993="Congé"),AND(F993="Congé spécial",D993="Congé sans solde"),AND(F993="Congé spécial",D993="Férié"),AND(F993="Férié",D993="OFF"),AND(F993="Férié",D993="Congé"),AND(F993="Férié",D993="Congé sans solde"),AND(F993="Férié",D993="Congé spécial")),0,IF(OR(F993="OFF",F993="Congé",F993="Congé spécial",F993="Congé sans solde",D993="OFF",D993="Congé",D993="Congé spécial",D993="Congé sans solde"),0.208333333333334,IF(AND(AG993="",F993-D993&lt;0),("24:00:00"-D993)+("00:00:00"+F993)-0.0416666666666667,IF(AND(OR(AG993="Allaitement",AG993="Sans déjeuner"),F993-D993&lt;0),("24:00:00"-D993)+("00:00:00"+F993),IF(AND(AG993="",F993-D993&gt;0.166666666666667),F993-D993-0.0416666666666667,IF(AND(OR(AG993="Allaitement",AG993="Sans déjeuner"),F993-D993&gt;0.166666666666667),F993-D993,F993-D993)))))))</f>
        <v>0.375</v>
      </c>
      <c r="P993" s="6" t="str">
        <f aca="false">IFERROR(VLOOKUP($B993,Agents!$A:$D,2,0),"-")</f>
        <v>Accessibilité</v>
      </c>
      <c r="Q993" s="21" t="n">
        <v>46261</v>
      </c>
      <c r="R993" s="8" t="n">
        <f aca="false">IF(M993="Abs",O993,0)</f>
        <v>0</v>
      </c>
      <c r="S993" s="8" t="n">
        <f aca="false">SUM(R993,L993,I993,J993,W993,H993)</f>
        <v>0</v>
      </c>
      <c r="T993" s="6" t="str">
        <f aca="false">"Sem - "&amp;WEEKNUM(Q993,21)</f>
        <v>Sem - 35</v>
      </c>
      <c r="U993" s="6" t="str">
        <f aca="false">CHOOSE(MONTH(Q993),"Janvier","Février","Mars","Avril","Mai","Juin","Juillet","Août","Septembre","Octobre","Novembre","Décembre")</f>
        <v>Août</v>
      </c>
      <c r="V993" s="22" t="n">
        <f aca="false">YEAR(Q993)</f>
        <v>2026</v>
      </c>
      <c r="W993" s="20"/>
      <c r="X993" s="8" t="n">
        <f aca="false">IFERROR(IF(M993="Abs",0,IF(ROUND((D993-C993+E993-F993)*1440,0)&lt;=1,0,D993-C993+E993-F993)),0)</f>
        <v>0</v>
      </c>
      <c r="Y993" s="6" t="str">
        <f aca="false">IFERROR(VLOOKUP($B993,Agents!$A:$D,3,0),"-")</f>
        <v>OUBRAHIM Mohammed</v>
      </c>
      <c r="Z993" s="6" t="str">
        <f aca="false">IFERROR(VLOOKUP($B993,Agents!$A:$D,4,0),"-")</f>
        <v>Credit Mutuel</v>
      </c>
      <c r="AA993" s="18" t="s">
        <v>117</v>
      </c>
      <c r="AB993" s="8" t="str">
        <f aca="false">IF(AND(D993="Congé",F993="Congé"),0.333333333333333,IF(OR(AND(D993="Congé",F993&lt;&gt;"Congé"),(AND(F993="Congé",D993&lt;&gt;"Congé"))),0.166666666666667,""))</f>
        <v/>
      </c>
      <c r="AC993" s="8" t="str">
        <f aca="false">IF(AND(D993="Congé sans solde",F993="Congé sans solde"),0.333333333333333,IF(OR(AND(D993="Congé sans solde",F993&lt;&gt;"Congé sans solde"),(AND(F993="Congé sans solde",D993&lt;&gt;"Congé sans solde"))),0.166666666666667,""))</f>
        <v/>
      </c>
      <c r="AD993" s="8" t="str">
        <f aca="false">IF(AND(D993="Congé spécial",F993="Congé spécial"),0.333333333333333,IF(OR(AND(D993="Congé spécial",F993&lt;&gt;"Congé spécial"),AND(F993="Congé spécial",D993&lt;&gt;"Congé spécial")),0.166666666666667,""))</f>
        <v/>
      </c>
      <c r="AE993" s="8" t="str">
        <f aca="false">IF(AND(D993="Férié",F993="Férié"),0.333333333333333,IF(OR(AND(D993="Férié",F993&lt;&gt;"Férié"),(AND(F993="Férié",D993&lt;&gt;"Férié"))),0.166666666666667,""))</f>
        <v/>
      </c>
      <c r="AF993" s="18"/>
      <c r="AG993" s="18"/>
    </row>
    <row r="994" customFormat="false" ht="15" hidden="false" customHeight="false" outlineLevel="0" collapsed="false">
      <c r="A994" s="6" t="str">
        <f aca="false">YEAR(Q994-WEEKDAY(Q994,2)+4)&amp;"-S"&amp;TEXT(WEEKNUM(Q994,21),"00")</f>
        <v>2026-S35</v>
      </c>
      <c r="B994" s="18" t="s">
        <v>71</v>
      </c>
      <c r="C994" s="19"/>
      <c r="D994" s="19" t="s">
        <v>83</v>
      </c>
      <c r="E994" s="19"/>
      <c r="F994" s="19" t="s">
        <v>83</v>
      </c>
      <c r="G994" s="20"/>
      <c r="H994" s="20"/>
      <c r="I994" s="8" t="str">
        <f aca="false">IF(IF(OR(C994="",D994="Congé",D994="OFF",D994="Congé spécial"),"",IF(D994&gt;F994,D994-C994,IF(C994-D994&lt;0,0,C994-D994)))&lt;0.00068287037037037,"",IF(OR(D994="Congé",D994="OFF",C994="",D994="Congé spécial"),"",IF(D994&gt;F994,D994-C994,IF(C994-D994&lt;0,0,C994-D994))))</f>
        <v/>
      </c>
      <c r="J994" s="20"/>
      <c r="K994" s="8" t="n">
        <f aca="false">IF(SUM(H994:J994)&lt;0.00068287037037037,0,SUM(H994:J994))</f>
        <v>0</v>
      </c>
      <c r="L994" s="8" t="n">
        <f aca="false">IF(OR(F994="Congé",F994="OFF",M994="Abs",F994="Congé sans solde",F994="Férié",F994="Congé spécial",D994="Congé spécial"),0,IF(F994-E994&lt;0,0,IF(F994-E994&lt;=0.00068287037037037,0,F994-E994)))</f>
        <v>0</v>
      </c>
      <c r="M994" s="6" t="n">
        <f aca="false">IF(AND(O994&lt;&gt;0,C994=""),"Abs",0)</f>
        <v>0</v>
      </c>
      <c r="N994" s="8" t="str">
        <f aca="false">IFERROR(IF(OR(D994="OFF",D994="Congé",M994="Abs",D994="Congé sans solde",D994="Férié"),"",IF(O994-K994-L994&gt;O994,O994,IF(O994-K994-L994&lt;0,"",O994-K994-L994))),"")</f>
        <v/>
      </c>
      <c r="O994" s="8" t="n">
        <f aca="false">IF(AG994="2H Pause déjeuner",IF(F994-D994-0.0833333333333333&lt;0,F994-D994-0.0833333333333333+1,F994-D994-0.0833333333333333),IF(OR(AND(F994="OFF",D994="OFF"),AND(F994="Congé",D994="Congé"),AND(F994="Congé sans solde",D994="Congé sans solde"),AND(F994="Congé spécial",D994="Congé spécial"),AND(F994="Férié",D994="Férié"),AND(F994="OFF",D994="Congé"),AND(F994="OFF",D994="Congé sans solde"),AND(F994="OFF",D994="Congé spécial"),AND(F994="OFF",D994="Férié"),AND(F994="Congé",D994="OFF"),AND(F994="Congé",D994="Congé sans solde"),AND(F994="Congé",D994="Congé spécial"),AND(F994="Congé",D994="Férié"),AND(F994="Congé sans solde",D994="OFF"),AND(F994="Congé sans solde",D994="Congé"),AND(F994="Congé sans solde",D994="Congé spécial"),AND(F994="Congé sans solde",D994="Férié"),AND(F994="Congé spécial",D994="OFF"),AND(F994="Congé spécial",D994="Congé"),AND(F994="Congé spécial",D994="Congé sans solde"),AND(F994="Congé spécial",D994="Férié"),AND(F994="Férié",D994="OFF"),AND(F994="Férié",D994="Congé"),AND(F994="Férié",D994="Congé sans solde"),AND(F994="Férié",D994="Congé spécial")),0,IF(OR(F994="OFF",F994="Congé",F994="Congé spécial",F994="Congé sans solde",D994="OFF",D994="Congé",D994="Congé spécial",D994="Congé sans solde"),0.208333333333334,IF(AND(AG994="",F994-D994&lt;0),("24:00:00"-D994)+("00:00:00"+F994)-0.0416666666666667,IF(AND(OR(AG994="Allaitement",AG994="Sans déjeuner"),F994-D994&lt;0),("24:00:00"-D994)+("00:00:00"+F994),IF(AND(AG994="",F994-D994&gt;0.166666666666667),F994-D994-0.0416666666666667,IF(AND(OR(AG994="Allaitement",AG994="Sans déjeuner"),F994-D994&gt;0.166666666666667),F994-D994,F994-D994)))))))</f>
        <v>0</v>
      </c>
      <c r="P994" s="6" t="str">
        <f aca="false">IFERROR(VLOOKUP($B994,Agents!$A:$D,2,0),"-")</f>
        <v>Accessibilité</v>
      </c>
      <c r="Q994" s="21" t="n">
        <v>46262</v>
      </c>
      <c r="R994" s="8" t="n">
        <f aca="false">IF(M994="Abs",O994,0)</f>
        <v>0</v>
      </c>
      <c r="S994" s="8" t="n">
        <f aca="false">SUM(R994,L994,I994,J994,W994,H994)</f>
        <v>0</v>
      </c>
      <c r="T994" s="6" t="str">
        <f aca="false">"Sem - "&amp;WEEKNUM(Q994,21)</f>
        <v>Sem - 35</v>
      </c>
      <c r="U994" s="6" t="str">
        <f aca="false">CHOOSE(MONTH(Q994),"Janvier","Février","Mars","Avril","Mai","Juin","Juillet","Août","Septembre","Octobre","Novembre","Décembre")</f>
        <v>Août</v>
      </c>
      <c r="V994" s="22" t="n">
        <f aca="false">YEAR(Q994)</f>
        <v>2026</v>
      </c>
      <c r="W994" s="20"/>
      <c r="X994" s="8" t="n">
        <f aca="false">IFERROR(IF(M994="Abs",0,IF(ROUND((D994-C994+E994-F994)*1440,0)&lt;=1,0,D994-C994+E994-F994)),0)</f>
        <v>0</v>
      </c>
      <c r="Y994" s="6" t="str">
        <f aca="false">IFERROR(VLOOKUP($B994,Agents!$A:$D,3,0),"-")</f>
        <v>OUBRAHIM Mohammed</v>
      </c>
      <c r="Z994" s="6" t="str">
        <f aca="false">IFERROR(VLOOKUP($B994,Agents!$A:$D,4,0),"-")</f>
        <v>Credit Mutuel</v>
      </c>
      <c r="AA994" s="18" t="s">
        <v>117</v>
      </c>
      <c r="AB994" s="8" t="n">
        <f aca="false">IF(AND(D994="Congé",F994="Congé"),0.333333333333333,IF(OR(AND(D994="Congé",F994&lt;&gt;"Congé"),(AND(F994="Congé",D994&lt;&gt;"Congé"))),0.166666666666667,""))</f>
        <v>0.333333333333333</v>
      </c>
      <c r="AC994" s="8" t="str">
        <f aca="false">IF(AND(D994="Congé sans solde",F994="Congé sans solde"),0.333333333333333,IF(OR(AND(D994="Congé sans solde",F994&lt;&gt;"Congé sans solde"),(AND(F994="Congé sans solde",D994&lt;&gt;"Congé sans solde"))),0.166666666666667,""))</f>
        <v/>
      </c>
      <c r="AD994" s="8" t="str">
        <f aca="false">IF(AND(D994="Congé spécial",F994="Congé spécial"),0.333333333333333,IF(OR(AND(D994="Congé spécial",F994&lt;&gt;"Congé spécial"),AND(F994="Congé spécial",D994&lt;&gt;"Congé spécial")),0.166666666666667,""))</f>
        <v/>
      </c>
      <c r="AE994" s="8" t="str">
        <f aca="false">IF(AND(D994="Férié",F994="Férié"),0.333333333333333,IF(OR(AND(D994="Férié",F994&lt;&gt;"Férié"),(AND(F994="Férié",D994&lt;&gt;"Férié"))),0.166666666666667,""))</f>
        <v/>
      </c>
      <c r="AF994" s="18"/>
      <c r="AG994" s="18"/>
    </row>
    <row r="995" customFormat="false" ht="15" hidden="false" customHeight="false" outlineLevel="0" collapsed="false">
      <c r="A995" s="6" t="str">
        <f aca="false">YEAR(Q995-WEEKDAY(Q995,2)+4)&amp;"-S"&amp;TEXT(WEEKNUM(Q995,21),"00")</f>
        <v>2026-S35</v>
      </c>
      <c r="B995" s="18" t="s">
        <v>72</v>
      </c>
      <c r="C995" s="19" t="n">
        <v>0.333333333333333</v>
      </c>
      <c r="D995" s="19" t="n">
        <v>0.333333333333333</v>
      </c>
      <c r="E995" s="19" t="n">
        <v>0.708333333333333</v>
      </c>
      <c r="F995" s="19" t="n">
        <v>0.708333333333333</v>
      </c>
      <c r="G995" s="20"/>
      <c r="H995" s="20"/>
      <c r="I995" s="8" t="str">
        <f aca="false">IF(IF(OR(C995="",D995="Congé",D995="OFF",D995="Congé spécial"),"",IF(D995&gt;F995,D995-C995,IF(C995-D995&lt;0,0,C995-D995)))&lt;0.00068287037037037,"",IF(OR(D995="Congé",D995="OFF",C995="",D995="Congé spécial"),"",IF(D995&gt;F995,D995-C995,IF(C995-D995&lt;0,0,C995-D995))))</f>
        <v/>
      </c>
      <c r="J995" s="20"/>
      <c r="K995" s="8" t="n">
        <f aca="false">IF(SUM(H995:J995)&lt;0.00068287037037037,0,SUM(H995:J995))</f>
        <v>0</v>
      </c>
      <c r="L995" s="8" t="n">
        <f aca="false">IF(OR(F995="Congé",F995="OFF",M995="Abs",F995="Congé sans solde",F995="Férié",F995="Congé spécial",D995="Congé spécial"),0,IF(F995-E995&lt;0,0,IF(F995-E995&lt;=0.00068287037037037,0,F995-E995)))</f>
        <v>0</v>
      </c>
      <c r="M995" s="6" t="n">
        <f aca="false">IF(AND(O995&lt;&gt;0,C995=""),"Abs",0)</f>
        <v>0</v>
      </c>
      <c r="N995" s="8" t="n">
        <f aca="false">IFERROR(IF(OR(D995="OFF",D995="Congé",M995="Abs",D995="Congé sans solde",D995="Férié"),"",IF(O995-K995-L995&gt;O995,O995,IF(O995-K995-L995&lt;0,"",O995-K995-L995))),"")</f>
        <v>0.333333333333333</v>
      </c>
      <c r="O995" s="8" t="n">
        <f aca="false">IF(AG995="2H Pause déjeuner",IF(F995-D995-0.0833333333333333&lt;0,F995-D995-0.0833333333333333+1,F995-D995-0.0833333333333333),IF(OR(AND(F995="OFF",D995="OFF"),AND(F995="Congé",D995="Congé"),AND(F995="Congé sans solde",D995="Congé sans solde"),AND(F995="Congé spécial",D995="Congé spécial"),AND(F995="Férié",D995="Férié"),AND(F995="OFF",D995="Congé"),AND(F995="OFF",D995="Congé sans solde"),AND(F995="OFF",D995="Congé spécial"),AND(F995="OFF",D995="Férié"),AND(F995="Congé",D995="OFF"),AND(F995="Congé",D995="Congé sans solde"),AND(F995="Congé",D995="Congé spécial"),AND(F995="Congé",D995="Férié"),AND(F995="Congé sans solde",D995="OFF"),AND(F995="Congé sans solde",D995="Congé"),AND(F995="Congé sans solde",D995="Congé spécial"),AND(F995="Congé sans solde",D995="Férié"),AND(F995="Congé spécial",D995="OFF"),AND(F995="Congé spécial",D995="Congé"),AND(F995="Congé spécial",D995="Congé sans solde"),AND(F995="Congé spécial",D995="Férié"),AND(F995="Férié",D995="OFF"),AND(F995="Férié",D995="Congé"),AND(F995="Férié",D995="Congé sans solde"),AND(F995="Férié",D995="Congé spécial")),0,IF(OR(F995="OFF",F995="Congé",F995="Congé spécial",F995="Congé sans solde",D995="OFF",D995="Congé",D995="Congé spécial",D995="Congé sans solde"),0.208333333333334,IF(AND(AG995="",F995-D995&lt;0),("24:00:00"-D995)+("00:00:00"+F995)-0.0416666666666667,IF(AND(OR(AG995="Allaitement",AG995="Sans déjeuner"),F995-D995&lt;0),("24:00:00"-D995)+("00:00:00"+F995),IF(AND(AG995="",F995-D995&gt;0.166666666666667),F995-D995-0.0416666666666667,IF(AND(OR(AG995="Allaitement",AG995="Sans déjeuner"),F995-D995&gt;0.166666666666667),F995-D995,F995-D995)))))))</f>
        <v>0.333333333333333</v>
      </c>
      <c r="P995" s="6" t="str">
        <f aca="false">IFERROR(VLOOKUP($B995,Agents!$A:$D,2,0),"-")</f>
        <v>Accessibilité</v>
      </c>
      <c r="Q995" s="21" t="n">
        <v>46262</v>
      </c>
      <c r="R995" s="8" t="n">
        <f aca="false">IF(M995="Abs",O995,0)</f>
        <v>0</v>
      </c>
      <c r="S995" s="8" t="n">
        <f aca="false">SUM(R995,L995,I995,J995,W995,H995)</f>
        <v>0</v>
      </c>
      <c r="T995" s="6" t="str">
        <f aca="false">"Sem - "&amp;WEEKNUM(Q995,21)</f>
        <v>Sem - 35</v>
      </c>
      <c r="U995" s="6" t="str">
        <f aca="false">CHOOSE(MONTH(Q995),"Janvier","Février","Mars","Avril","Mai","Juin","Juillet","Août","Septembre","Octobre","Novembre","Décembre")</f>
        <v>Août</v>
      </c>
      <c r="V995" s="22" t="n">
        <f aca="false">YEAR(Q995)</f>
        <v>2026</v>
      </c>
      <c r="W995" s="20"/>
      <c r="X995" s="8" t="n">
        <f aca="false">IFERROR(IF(M995="Abs",0,IF(ROUND((D995-C995+E995-F995)*1440,0)&lt;=1,0,D995-C995+E995-F995)),0)</f>
        <v>0</v>
      </c>
      <c r="Y995" s="6" t="str">
        <f aca="false">IFERROR(VLOOKUP($B995,Agents!$A:$D,3,0),"-")</f>
        <v>OUBRAHIM Mohammed</v>
      </c>
      <c r="Z995" s="6" t="str">
        <f aca="false">IFERROR(VLOOKUP($B995,Agents!$A:$D,4,0),"-")</f>
        <v>Credit Mutuel</v>
      </c>
      <c r="AA995" s="18" t="s">
        <v>117</v>
      </c>
      <c r="AB995" s="8" t="str">
        <f aca="false">IF(AND(D995="Congé",F995="Congé"),0.333333333333333,IF(OR(AND(D995="Congé",F995&lt;&gt;"Congé"),(AND(F995="Congé",D995&lt;&gt;"Congé"))),0.166666666666667,""))</f>
        <v/>
      </c>
      <c r="AC995" s="8" t="str">
        <f aca="false">IF(AND(D995="Congé sans solde",F995="Congé sans solde"),0.333333333333333,IF(OR(AND(D995="Congé sans solde",F995&lt;&gt;"Congé sans solde"),(AND(F995="Congé sans solde",D995&lt;&gt;"Congé sans solde"))),0.166666666666667,""))</f>
        <v/>
      </c>
      <c r="AD995" s="8" t="str">
        <f aca="false">IF(AND(D995="Congé spécial",F995="Congé spécial"),0.333333333333333,IF(OR(AND(D995="Congé spécial",F995&lt;&gt;"Congé spécial"),AND(F995="Congé spécial",D995&lt;&gt;"Congé spécial")),0.166666666666667,""))</f>
        <v/>
      </c>
      <c r="AE995" s="8" t="str">
        <f aca="false">IF(AND(D995="Férié",F995="Férié"),0.333333333333333,IF(OR(AND(D995="Férié",F995&lt;&gt;"Férié"),(AND(F995="Férié",D995&lt;&gt;"Férié"))),0.166666666666667,""))</f>
        <v/>
      </c>
      <c r="AF995" s="18"/>
      <c r="AG995" s="18"/>
    </row>
    <row r="996" customFormat="false" ht="15" hidden="false" customHeight="false" outlineLevel="0" collapsed="false">
      <c r="A996" s="6" t="str">
        <f aca="false">YEAR(Q996-WEEKDAY(Q996,2)+4)&amp;"-S"&amp;TEXT(WEEKNUM(Q996,21),"00")</f>
        <v>2026-S35</v>
      </c>
      <c r="B996" s="18" t="s">
        <v>73</v>
      </c>
      <c r="C996" s="19" t="n">
        <v>0.333333333333333</v>
      </c>
      <c r="D996" s="19" t="n">
        <v>0.333333333333333</v>
      </c>
      <c r="E996" s="19" t="n">
        <v>0.708333333333333</v>
      </c>
      <c r="F996" s="19" t="n">
        <v>0.708333333333333</v>
      </c>
      <c r="G996" s="20"/>
      <c r="H996" s="20"/>
      <c r="I996" s="8" t="str">
        <f aca="false">IF(IF(OR(C996="",D996="Congé",D996="OFF",D996="Congé spécial"),"",IF(D996&gt;F996,D996-C996,IF(C996-D996&lt;0,0,C996-D996)))&lt;0.00068287037037037,"",IF(OR(D996="Congé",D996="OFF",C996="",D996="Congé spécial"),"",IF(D996&gt;F996,D996-C996,IF(C996-D996&lt;0,0,C996-D996))))</f>
        <v/>
      </c>
      <c r="J996" s="20"/>
      <c r="K996" s="8" t="n">
        <f aca="false">IF(SUM(H996:J996)&lt;0.00068287037037037,0,SUM(H996:J996))</f>
        <v>0</v>
      </c>
      <c r="L996" s="8" t="n">
        <f aca="false">IF(OR(F996="Congé",F996="OFF",M996="Abs",F996="Congé sans solde",F996="Férié",F996="Congé spécial",D996="Congé spécial"),0,IF(F996-E996&lt;0,0,IF(F996-E996&lt;=0.00068287037037037,0,F996-E996)))</f>
        <v>0</v>
      </c>
      <c r="M996" s="6" t="n">
        <f aca="false">IF(AND(O996&lt;&gt;0,C996=""),"Abs",0)</f>
        <v>0</v>
      </c>
      <c r="N996" s="8" t="n">
        <f aca="false">IFERROR(IF(OR(D996="OFF",D996="Congé",M996="Abs",D996="Congé sans solde",D996="Férié"),"",IF(O996-K996-L996&gt;O996,O996,IF(O996-K996-L996&lt;0,"",O996-K996-L996))),"")</f>
        <v>0.333333333333333</v>
      </c>
      <c r="O996" s="8" t="n">
        <f aca="false">IF(AG996="2H Pause déjeuner",IF(F996-D996-0.0833333333333333&lt;0,F996-D996-0.0833333333333333+1,F996-D996-0.0833333333333333),IF(OR(AND(F996="OFF",D996="OFF"),AND(F996="Congé",D996="Congé"),AND(F996="Congé sans solde",D996="Congé sans solde"),AND(F996="Congé spécial",D996="Congé spécial"),AND(F996="Férié",D996="Férié"),AND(F996="OFF",D996="Congé"),AND(F996="OFF",D996="Congé sans solde"),AND(F996="OFF",D996="Congé spécial"),AND(F996="OFF",D996="Férié"),AND(F996="Congé",D996="OFF"),AND(F996="Congé",D996="Congé sans solde"),AND(F996="Congé",D996="Congé spécial"),AND(F996="Congé",D996="Férié"),AND(F996="Congé sans solde",D996="OFF"),AND(F996="Congé sans solde",D996="Congé"),AND(F996="Congé sans solde",D996="Congé spécial"),AND(F996="Congé sans solde",D996="Férié"),AND(F996="Congé spécial",D996="OFF"),AND(F996="Congé spécial",D996="Congé"),AND(F996="Congé spécial",D996="Congé sans solde"),AND(F996="Congé spécial",D996="Férié"),AND(F996="Férié",D996="OFF"),AND(F996="Férié",D996="Congé"),AND(F996="Férié",D996="Congé sans solde"),AND(F996="Férié",D996="Congé spécial")),0,IF(OR(F996="OFF",F996="Congé",F996="Congé spécial",F996="Congé sans solde",D996="OFF",D996="Congé",D996="Congé spécial",D996="Congé sans solde"),0.208333333333334,IF(AND(AG996="",F996-D996&lt;0),("24:00:00"-D996)+("00:00:00"+F996)-0.0416666666666667,IF(AND(OR(AG996="Allaitement",AG996="Sans déjeuner"),F996-D996&lt;0),("24:00:00"-D996)+("00:00:00"+F996),IF(AND(AG996="",F996-D996&gt;0.166666666666667),F996-D996-0.0416666666666667,IF(AND(OR(AG996="Allaitement",AG996="Sans déjeuner"),F996-D996&gt;0.166666666666667),F996-D996,F996-D996)))))))</f>
        <v>0.333333333333333</v>
      </c>
      <c r="P996" s="6" t="str">
        <f aca="false">IFERROR(VLOOKUP($B996,Agents!$A:$D,2,0),"-")</f>
        <v>Accessibilité</v>
      </c>
      <c r="Q996" s="21" t="n">
        <v>46262</v>
      </c>
      <c r="R996" s="8" t="n">
        <f aca="false">IF(M996="Abs",O996,0)</f>
        <v>0</v>
      </c>
      <c r="S996" s="8" t="n">
        <f aca="false">SUM(R996,L996,I996,J996,W996,H996)</f>
        <v>0</v>
      </c>
      <c r="T996" s="6" t="str">
        <f aca="false">"Sem - "&amp;WEEKNUM(Q996,21)</f>
        <v>Sem - 35</v>
      </c>
      <c r="U996" s="6" t="str">
        <f aca="false">CHOOSE(MONTH(Q996),"Janvier","Février","Mars","Avril","Mai","Juin","Juillet","Août","Septembre","Octobre","Novembre","Décembre")</f>
        <v>Août</v>
      </c>
      <c r="V996" s="22" t="n">
        <f aca="false">YEAR(Q996)</f>
        <v>2026</v>
      </c>
      <c r="W996" s="20"/>
      <c r="X996" s="8" t="n">
        <f aca="false">IFERROR(IF(M996="Abs",0,IF(ROUND((D996-C996+E996-F996)*1440,0)&lt;=1,0,D996-C996+E996-F996)),0)</f>
        <v>0</v>
      </c>
      <c r="Y996" s="6" t="str">
        <f aca="false">IFERROR(VLOOKUP($B996,Agents!$A:$D,3,0),"-")</f>
        <v>OUBRAHIM Mohammed</v>
      </c>
      <c r="Z996" s="6" t="str">
        <f aca="false">IFERROR(VLOOKUP($B996,Agents!$A:$D,4,0),"-")</f>
        <v>Credit Mutuel</v>
      </c>
      <c r="AA996" s="18" t="s">
        <v>117</v>
      </c>
      <c r="AB996" s="8" t="str">
        <f aca="false">IF(AND(D996="Congé",F996="Congé"),0.333333333333333,IF(OR(AND(D996="Congé",F996&lt;&gt;"Congé"),(AND(F996="Congé",D996&lt;&gt;"Congé"))),0.166666666666667,""))</f>
        <v/>
      </c>
      <c r="AC996" s="8" t="str">
        <f aca="false">IF(AND(D996="Congé sans solde",F996="Congé sans solde"),0.333333333333333,IF(OR(AND(D996="Congé sans solde",F996&lt;&gt;"Congé sans solde"),(AND(F996="Congé sans solde",D996&lt;&gt;"Congé sans solde"))),0.166666666666667,""))</f>
        <v/>
      </c>
      <c r="AD996" s="8" t="str">
        <f aca="false">IF(AND(D996="Congé spécial",F996="Congé spécial"),0.333333333333333,IF(OR(AND(D996="Congé spécial",F996&lt;&gt;"Congé spécial"),AND(F996="Congé spécial",D996&lt;&gt;"Congé spécial")),0.166666666666667,""))</f>
        <v/>
      </c>
      <c r="AE996" s="8" t="str">
        <f aca="false">IF(AND(D996="Férié",F996="Férié"),0.333333333333333,IF(OR(AND(D996="Férié",F996&lt;&gt;"Férié"),(AND(F996="Férié",D996&lt;&gt;"Férié"))),0.166666666666667,""))</f>
        <v/>
      </c>
      <c r="AF996" s="18"/>
      <c r="AG996" s="18"/>
    </row>
    <row r="997" customFormat="false" ht="15" hidden="false" customHeight="false" outlineLevel="0" collapsed="false">
      <c r="A997" s="6" t="str">
        <f aca="false">YEAR(Q997-WEEKDAY(Q997,2)+4)&amp;"-S"&amp;TEXT(WEEKNUM(Q997,21),"00")</f>
        <v>2026-S35</v>
      </c>
      <c r="B997" s="18" t="s">
        <v>71</v>
      </c>
      <c r="C997" s="19"/>
      <c r="D997" s="19" t="s">
        <v>74</v>
      </c>
      <c r="E997" s="19"/>
      <c r="F997" s="19" t="s">
        <v>74</v>
      </c>
      <c r="G997" s="20"/>
      <c r="H997" s="20"/>
      <c r="I997" s="8" t="str">
        <f aca="false">IF(IF(OR(C997="",D997="Congé",D997="OFF",D997="Congé spécial"),"",IF(D997&gt;F997,D997-C997,IF(C997-D997&lt;0,0,C997-D997)))&lt;0.00068287037037037,"",IF(OR(D997="Congé",D997="OFF",C997="",D997="Congé spécial"),"",IF(D997&gt;F997,D997-C997,IF(C997-D997&lt;0,0,C997-D997))))</f>
        <v/>
      </c>
      <c r="J997" s="20"/>
      <c r="K997" s="8" t="n">
        <f aca="false">IF(SUM(H997:J997)&lt;0.00068287037037037,0,SUM(H997:J997))</f>
        <v>0</v>
      </c>
      <c r="L997" s="8" t="n">
        <f aca="false">IF(OR(F997="Congé",F997="OFF",M997="Abs",F997="Congé sans solde",F997="Férié",F997="Congé spécial",D997="Congé spécial"),0,IF(F997-E997&lt;0,0,IF(F997-E997&lt;=0.00068287037037037,0,F997-E997)))</f>
        <v>0</v>
      </c>
      <c r="M997" s="6" t="n">
        <f aca="false">IF(AND(O997&lt;&gt;0,C997=""),"Abs",0)</f>
        <v>0</v>
      </c>
      <c r="N997" s="8" t="str">
        <f aca="false">IFERROR(IF(OR(D997="OFF",D997="Congé",M997="Abs",D997="Congé sans solde",D997="Férié"),"",IF(O997-K997-L997&gt;O997,O997,IF(O997-K997-L997&lt;0,"",O997-K997-L997))),"")</f>
        <v/>
      </c>
      <c r="O997" s="8" t="n">
        <f aca="false">IF(AG997="2H Pause déjeuner",IF(F997-D997-0.0833333333333333&lt;0,F997-D997-0.0833333333333333+1,F997-D997-0.0833333333333333),IF(OR(AND(F997="OFF",D997="OFF"),AND(F997="Congé",D997="Congé"),AND(F997="Congé sans solde",D997="Congé sans solde"),AND(F997="Congé spécial",D997="Congé spécial"),AND(F997="Férié",D997="Férié"),AND(F997="OFF",D997="Congé"),AND(F997="OFF",D997="Congé sans solde"),AND(F997="OFF",D997="Congé spécial"),AND(F997="OFF",D997="Férié"),AND(F997="Congé",D997="OFF"),AND(F997="Congé",D997="Congé sans solde"),AND(F997="Congé",D997="Congé spécial"),AND(F997="Congé",D997="Férié"),AND(F997="Congé sans solde",D997="OFF"),AND(F997="Congé sans solde",D997="Congé"),AND(F997="Congé sans solde",D997="Congé spécial"),AND(F997="Congé sans solde",D997="Férié"),AND(F997="Congé spécial",D997="OFF"),AND(F997="Congé spécial",D997="Congé"),AND(F997="Congé spécial",D997="Congé sans solde"),AND(F997="Congé spécial",D997="Férié"),AND(F997="Férié",D997="OFF"),AND(F997="Férié",D997="Congé"),AND(F997="Férié",D997="Congé sans solde"),AND(F997="Férié",D997="Congé spécial")),0,IF(OR(F997="OFF",F997="Congé",F997="Congé spécial",F997="Congé sans solde",D997="OFF",D997="Congé",D997="Congé spécial",D997="Congé sans solde"),0.208333333333334,IF(AND(AG997="",F997-D997&lt;0),("24:00:00"-D997)+("00:00:00"+F997)-0.0416666666666667,IF(AND(OR(AG997="Allaitement",AG997="Sans déjeuner"),F997-D997&lt;0),("24:00:00"-D997)+("00:00:00"+F997),IF(AND(AG997="",F997-D997&gt;0.166666666666667),F997-D997-0.0416666666666667,IF(AND(OR(AG997="Allaitement",AG997="Sans déjeuner"),F997-D997&gt;0.166666666666667),F997-D997,F997-D997)))))))</f>
        <v>0</v>
      </c>
      <c r="P997" s="6" t="str">
        <f aca="false">IFERROR(VLOOKUP($B997,Agents!$A:$D,2,0),"-")</f>
        <v>Accessibilité</v>
      </c>
      <c r="Q997" s="21" t="n">
        <v>46263</v>
      </c>
      <c r="R997" s="8" t="n">
        <f aca="false">IF(M997="Abs",O997,0)</f>
        <v>0</v>
      </c>
      <c r="S997" s="8" t="n">
        <f aca="false">SUM(R997,L997,I997,J997,W997,H997)</f>
        <v>0</v>
      </c>
      <c r="T997" s="6" t="str">
        <f aca="false">"Sem - "&amp;WEEKNUM(Q997,21)</f>
        <v>Sem - 35</v>
      </c>
      <c r="U997" s="6" t="str">
        <f aca="false">CHOOSE(MONTH(Q997),"Janvier","Février","Mars","Avril","Mai","Juin","Juillet","Août","Septembre","Octobre","Novembre","Décembre")</f>
        <v>Août</v>
      </c>
      <c r="V997" s="22" t="n">
        <f aca="false">YEAR(Q997)</f>
        <v>2026</v>
      </c>
      <c r="W997" s="20"/>
      <c r="X997" s="8" t="n">
        <f aca="false">IFERROR(IF(M997="Abs",0,IF(ROUND((D997-C997+E997-F997)*1440,0)&lt;=1,0,D997-C997+E997-F997)),0)</f>
        <v>0</v>
      </c>
      <c r="Y997" s="6" t="str">
        <f aca="false">IFERROR(VLOOKUP($B997,Agents!$A:$D,3,0),"-")</f>
        <v>OUBRAHIM Mohammed</v>
      </c>
      <c r="Z997" s="6" t="str">
        <f aca="false">IFERROR(VLOOKUP($B997,Agents!$A:$D,4,0),"-")</f>
        <v>Credit Mutuel</v>
      </c>
      <c r="AA997" s="18" t="s">
        <v>117</v>
      </c>
      <c r="AB997" s="8" t="str">
        <f aca="false">IF(AND(D997="Congé",F997="Congé"),0.333333333333333,IF(OR(AND(D997="Congé",F997&lt;&gt;"Congé"),(AND(F997="Congé",D997&lt;&gt;"Congé"))),0.166666666666667,""))</f>
        <v/>
      </c>
      <c r="AC997" s="8" t="str">
        <f aca="false">IF(AND(D997="Congé sans solde",F997="Congé sans solde"),0.333333333333333,IF(OR(AND(D997="Congé sans solde",F997&lt;&gt;"Congé sans solde"),(AND(F997="Congé sans solde",D997&lt;&gt;"Congé sans solde"))),0.166666666666667,""))</f>
        <v/>
      </c>
      <c r="AD997" s="8" t="str">
        <f aca="false">IF(AND(D997="Congé spécial",F997="Congé spécial"),0.333333333333333,IF(OR(AND(D997="Congé spécial",F997&lt;&gt;"Congé spécial"),AND(F997="Congé spécial",D997&lt;&gt;"Congé spécial")),0.166666666666667,""))</f>
        <v/>
      </c>
      <c r="AE997" s="8" t="str">
        <f aca="false">IF(AND(D997="Férié",F997="Férié"),0.333333333333333,IF(OR(AND(D997="Férié",F997&lt;&gt;"Férié"),(AND(F997="Férié",D997&lt;&gt;"Férié"))),0.166666666666667,""))</f>
        <v/>
      </c>
      <c r="AF997" s="18"/>
      <c r="AG997" s="18"/>
    </row>
    <row r="998" customFormat="false" ht="15" hidden="false" customHeight="false" outlineLevel="0" collapsed="false">
      <c r="A998" s="6" t="str">
        <f aca="false">YEAR(Q998-WEEKDAY(Q998,2)+4)&amp;"-S"&amp;TEXT(WEEKNUM(Q998,21),"00")</f>
        <v>2026-S35</v>
      </c>
      <c r="B998" s="18" t="s">
        <v>72</v>
      </c>
      <c r="C998" s="19"/>
      <c r="D998" s="19" t="s">
        <v>74</v>
      </c>
      <c r="E998" s="19"/>
      <c r="F998" s="19" t="s">
        <v>74</v>
      </c>
      <c r="G998" s="20"/>
      <c r="H998" s="20"/>
      <c r="I998" s="8" t="str">
        <f aca="false">IF(IF(OR(C998="",D998="Congé",D998="OFF",D998="Congé spécial"),"",IF(D998&gt;F998,D998-C998,IF(C998-D998&lt;0,0,C998-D998)))&lt;0.00068287037037037,"",IF(OR(D998="Congé",D998="OFF",C998="",D998="Congé spécial"),"",IF(D998&gt;F998,D998-C998,IF(C998-D998&lt;0,0,C998-D998))))</f>
        <v/>
      </c>
      <c r="J998" s="20"/>
      <c r="K998" s="8" t="n">
        <f aca="false">IF(SUM(H998:J998)&lt;0.00068287037037037,0,SUM(H998:J998))</f>
        <v>0</v>
      </c>
      <c r="L998" s="8" t="n">
        <f aca="false">IF(OR(F998="Congé",F998="OFF",M998="Abs",F998="Congé sans solde",F998="Férié",F998="Congé spécial",D998="Congé spécial"),0,IF(F998-E998&lt;0,0,IF(F998-E998&lt;=0.00068287037037037,0,F998-E998)))</f>
        <v>0</v>
      </c>
      <c r="M998" s="6" t="n">
        <f aca="false">IF(AND(O998&lt;&gt;0,C998=""),"Abs",0)</f>
        <v>0</v>
      </c>
      <c r="N998" s="8" t="str">
        <f aca="false">IFERROR(IF(OR(D998="OFF",D998="Congé",M998="Abs",D998="Congé sans solde",D998="Férié"),"",IF(O998-K998-L998&gt;O998,O998,IF(O998-K998-L998&lt;0,"",O998-K998-L998))),"")</f>
        <v/>
      </c>
      <c r="O998" s="8" t="n">
        <f aca="false">IF(AG998="2H Pause déjeuner",IF(F998-D998-0.0833333333333333&lt;0,F998-D998-0.0833333333333333+1,F998-D998-0.0833333333333333),IF(OR(AND(F998="OFF",D998="OFF"),AND(F998="Congé",D998="Congé"),AND(F998="Congé sans solde",D998="Congé sans solde"),AND(F998="Congé spécial",D998="Congé spécial"),AND(F998="Férié",D998="Férié"),AND(F998="OFF",D998="Congé"),AND(F998="OFF",D998="Congé sans solde"),AND(F998="OFF",D998="Congé spécial"),AND(F998="OFF",D998="Férié"),AND(F998="Congé",D998="OFF"),AND(F998="Congé",D998="Congé sans solde"),AND(F998="Congé",D998="Congé spécial"),AND(F998="Congé",D998="Férié"),AND(F998="Congé sans solde",D998="OFF"),AND(F998="Congé sans solde",D998="Congé"),AND(F998="Congé sans solde",D998="Congé spécial"),AND(F998="Congé sans solde",D998="Férié"),AND(F998="Congé spécial",D998="OFF"),AND(F998="Congé spécial",D998="Congé"),AND(F998="Congé spécial",D998="Congé sans solde"),AND(F998="Congé spécial",D998="Férié"),AND(F998="Férié",D998="OFF"),AND(F998="Férié",D998="Congé"),AND(F998="Férié",D998="Congé sans solde"),AND(F998="Férié",D998="Congé spécial")),0,IF(OR(F998="OFF",F998="Congé",F998="Congé spécial",F998="Congé sans solde",D998="OFF",D998="Congé",D998="Congé spécial",D998="Congé sans solde"),0.208333333333334,IF(AND(AG998="",F998-D998&lt;0),("24:00:00"-D998)+("00:00:00"+F998)-0.0416666666666667,IF(AND(OR(AG998="Allaitement",AG998="Sans déjeuner"),F998-D998&lt;0),("24:00:00"-D998)+("00:00:00"+F998),IF(AND(AG998="",F998-D998&gt;0.166666666666667),F998-D998-0.0416666666666667,IF(AND(OR(AG998="Allaitement",AG998="Sans déjeuner"),F998-D998&gt;0.166666666666667),F998-D998,F998-D998)))))))</f>
        <v>0</v>
      </c>
      <c r="P998" s="6" t="str">
        <f aca="false">IFERROR(VLOOKUP($B998,Agents!$A:$D,2,0),"-")</f>
        <v>Accessibilité</v>
      </c>
      <c r="Q998" s="21" t="n">
        <v>46263</v>
      </c>
      <c r="R998" s="8" t="n">
        <f aca="false">IF(M998="Abs",O998,0)</f>
        <v>0</v>
      </c>
      <c r="S998" s="8" t="n">
        <f aca="false">SUM(R998,L998,I998,J998,W998,H998)</f>
        <v>0</v>
      </c>
      <c r="T998" s="6" t="str">
        <f aca="false">"Sem - "&amp;WEEKNUM(Q998,21)</f>
        <v>Sem - 35</v>
      </c>
      <c r="U998" s="6" t="str">
        <f aca="false">CHOOSE(MONTH(Q998),"Janvier","Février","Mars","Avril","Mai","Juin","Juillet","Août","Septembre","Octobre","Novembre","Décembre")</f>
        <v>Août</v>
      </c>
      <c r="V998" s="22" t="n">
        <f aca="false">YEAR(Q998)</f>
        <v>2026</v>
      </c>
      <c r="W998" s="20"/>
      <c r="X998" s="8" t="n">
        <f aca="false">IFERROR(IF(M998="Abs",0,IF(ROUND((D998-C998+E998-F998)*1440,0)&lt;=1,0,D998-C998+E998-F998)),0)</f>
        <v>0</v>
      </c>
      <c r="Y998" s="6" t="str">
        <f aca="false">IFERROR(VLOOKUP($B998,Agents!$A:$D,3,0),"-")</f>
        <v>OUBRAHIM Mohammed</v>
      </c>
      <c r="Z998" s="6" t="str">
        <f aca="false">IFERROR(VLOOKUP($B998,Agents!$A:$D,4,0),"-")</f>
        <v>Credit Mutuel</v>
      </c>
      <c r="AA998" s="18" t="s">
        <v>117</v>
      </c>
      <c r="AB998" s="8" t="str">
        <f aca="false">IF(AND(D998="Congé",F998="Congé"),0.333333333333333,IF(OR(AND(D998="Congé",F998&lt;&gt;"Congé"),(AND(F998="Congé",D998&lt;&gt;"Congé"))),0.166666666666667,""))</f>
        <v/>
      </c>
      <c r="AC998" s="8" t="str">
        <f aca="false">IF(AND(D998="Congé sans solde",F998="Congé sans solde"),0.333333333333333,IF(OR(AND(D998="Congé sans solde",F998&lt;&gt;"Congé sans solde"),(AND(F998="Congé sans solde",D998&lt;&gt;"Congé sans solde"))),0.166666666666667,""))</f>
        <v/>
      </c>
      <c r="AD998" s="8" t="str">
        <f aca="false">IF(AND(D998="Congé spécial",F998="Congé spécial"),0.333333333333333,IF(OR(AND(D998="Congé spécial",F998&lt;&gt;"Congé spécial"),AND(F998="Congé spécial",D998&lt;&gt;"Congé spécial")),0.166666666666667,""))</f>
        <v/>
      </c>
      <c r="AE998" s="8" t="str">
        <f aca="false">IF(AND(D998="Férié",F998="Férié"),0.333333333333333,IF(OR(AND(D998="Férié",F998&lt;&gt;"Férié"),(AND(F998="Férié",D998&lt;&gt;"Férié"))),0.166666666666667,""))</f>
        <v/>
      </c>
      <c r="AF998" s="18"/>
      <c r="AG998" s="18"/>
    </row>
    <row r="999" customFormat="false" ht="15" hidden="false" customHeight="false" outlineLevel="0" collapsed="false">
      <c r="A999" s="6" t="str">
        <f aca="false">YEAR(Q999-WEEKDAY(Q999,2)+4)&amp;"-S"&amp;TEXT(WEEKNUM(Q999,21),"00")</f>
        <v>2026-S35</v>
      </c>
      <c r="B999" s="18" t="s">
        <v>73</v>
      </c>
      <c r="C999" s="19"/>
      <c r="D999" s="19" t="s">
        <v>74</v>
      </c>
      <c r="E999" s="19"/>
      <c r="F999" s="19" t="s">
        <v>74</v>
      </c>
      <c r="G999" s="20"/>
      <c r="H999" s="20"/>
      <c r="I999" s="8" t="str">
        <f aca="false">IF(IF(OR(C999="",D999="Congé",D999="OFF",D999="Congé spécial"),"",IF(D999&gt;F999,D999-C999,IF(C999-D999&lt;0,0,C999-D999)))&lt;0.00068287037037037,"",IF(OR(D999="Congé",D999="OFF",C999="",D999="Congé spécial"),"",IF(D999&gt;F999,D999-C999,IF(C999-D999&lt;0,0,C999-D999))))</f>
        <v/>
      </c>
      <c r="J999" s="20"/>
      <c r="K999" s="8" t="n">
        <f aca="false">IF(SUM(H999:J999)&lt;0.00068287037037037,0,SUM(H999:J999))</f>
        <v>0</v>
      </c>
      <c r="L999" s="8" t="n">
        <f aca="false">IF(OR(F999="Congé",F999="OFF",M999="Abs",F999="Congé sans solde",F999="Férié",F999="Congé spécial",D999="Congé spécial"),0,IF(F999-E999&lt;0,0,IF(F999-E999&lt;=0.00068287037037037,0,F999-E999)))</f>
        <v>0</v>
      </c>
      <c r="M999" s="6" t="n">
        <f aca="false">IF(AND(O999&lt;&gt;0,C999=""),"Abs",0)</f>
        <v>0</v>
      </c>
      <c r="N999" s="8" t="str">
        <f aca="false">IFERROR(IF(OR(D999="OFF",D999="Congé",M999="Abs",D999="Congé sans solde",D999="Férié"),"",IF(O999-K999-L999&gt;O999,O999,IF(O999-K999-L999&lt;0,"",O999-K999-L999))),"")</f>
        <v/>
      </c>
      <c r="O999" s="8" t="n">
        <f aca="false">IF(AG999="2H Pause déjeuner",IF(F999-D999-0.0833333333333333&lt;0,F999-D999-0.0833333333333333+1,F999-D999-0.0833333333333333),IF(OR(AND(F999="OFF",D999="OFF"),AND(F999="Congé",D999="Congé"),AND(F999="Congé sans solde",D999="Congé sans solde"),AND(F999="Congé spécial",D999="Congé spécial"),AND(F999="Férié",D999="Férié"),AND(F999="OFF",D999="Congé"),AND(F999="OFF",D999="Congé sans solde"),AND(F999="OFF",D999="Congé spécial"),AND(F999="OFF",D999="Férié"),AND(F999="Congé",D999="OFF"),AND(F999="Congé",D999="Congé sans solde"),AND(F999="Congé",D999="Congé spécial"),AND(F999="Congé",D999="Férié"),AND(F999="Congé sans solde",D999="OFF"),AND(F999="Congé sans solde",D999="Congé"),AND(F999="Congé sans solde",D999="Congé spécial"),AND(F999="Congé sans solde",D999="Férié"),AND(F999="Congé spécial",D999="OFF"),AND(F999="Congé spécial",D999="Congé"),AND(F999="Congé spécial",D999="Congé sans solde"),AND(F999="Congé spécial",D999="Férié"),AND(F999="Férié",D999="OFF"),AND(F999="Férié",D999="Congé"),AND(F999="Férié",D999="Congé sans solde"),AND(F999="Férié",D999="Congé spécial")),0,IF(OR(F999="OFF",F999="Congé",F999="Congé spécial",F999="Congé sans solde",D999="OFF",D999="Congé",D999="Congé spécial",D999="Congé sans solde"),0.208333333333334,IF(AND(AG999="",F999-D999&lt;0),("24:00:00"-D999)+("00:00:00"+F999)-0.0416666666666667,IF(AND(OR(AG999="Allaitement",AG999="Sans déjeuner"),F999-D999&lt;0),("24:00:00"-D999)+("00:00:00"+F999),IF(AND(AG999="",F999-D999&gt;0.166666666666667),F999-D999-0.0416666666666667,IF(AND(OR(AG999="Allaitement",AG999="Sans déjeuner"),F999-D999&gt;0.166666666666667),F999-D999,F999-D999)))))))</f>
        <v>0</v>
      </c>
      <c r="P999" s="6" t="str">
        <f aca="false">IFERROR(VLOOKUP($B999,Agents!$A:$D,2,0),"-")</f>
        <v>Accessibilité</v>
      </c>
      <c r="Q999" s="21" t="n">
        <v>46263</v>
      </c>
      <c r="R999" s="8" t="n">
        <f aca="false">IF(M999="Abs",O999,0)</f>
        <v>0</v>
      </c>
      <c r="S999" s="8" t="n">
        <f aca="false">SUM(R999,L999,I999,J999,W999,H999)</f>
        <v>0</v>
      </c>
      <c r="T999" s="6" t="str">
        <f aca="false">"Sem - "&amp;WEEKNUM(Q999,21)</f>
        <v>Sem - 35</v>
      </c>
      <c r="U999" s="6" t="str">
        <f aca="false">CHOOSE(MONTH(Q999),"Janvier","Février","Mars","Avril","Mai","Juin","Juillet","Août","Septembre","Octobre","Novembre","Décembre")</f>
        <v>Août</v>
      </c>
      <c r="V999" s="22" t="n">
        <f aca="false">YEAR(Q999)</f>
        <v>2026</v>
      </c>
      <c r="W999" s="20"/>
      <c r="X999" s="8" t="n">
        <f aca="false">IFERROR(IF(M999="Abs",0,IF(ROUND((D999-C999+E999-F999)*1440,0)&lt;=1,0,D999-C999+E999-F999)),0)</f>
        <v>0</v>
      </c>
      <c r="Y999" s="6" t="str">
        <f aca="false">IFERROR(VLOOKUP($B999,Agents!$A:$D,3,0),"-")</f>
        <v>OUBRAHIM Mohammed</v>
      </c>
      <c r="Z999" s="6" t="str">
        <f aca="false">IFERROR(VLOOKUP($B999,Agents!$A:$D,4,0),"-")</f>
        <v>Credit Mutuel</v>
      </c>
      <c r="AA999" s="18" t="s">
        <v>117</v>
      </c>
      <c r="AB999" s="8" t="str">
        <f aca="false">IF(AND(D999="Congé",F999="Congé"),0.333333333333333,IF(OR(AND(D999="Congé",F999&lt;&gt;"Congé"),(AND(F999="Congé",D999&lt;&gt;"Congé"))),0.166666666666667,""))</f>
        <v/>
      </c>
      <c r="AC999" s="8" t="str">
        <f aca="false">IF(AND(D999="Congé sans solde",F999="Congé sans solde"),0.333333333333333,IF(OR(AND(D999="Congé sans solde",F999&lt;&gt;"Congé sans solde"),(AND(F999="Congé sans solde",D999&lt;&gt;"Congé sans solde"))),0.166666666666667,""))</f>
        <v/>
      </c>
      <c r="AD999" s="8" t="str">
        <f aca="false">IF(AND(D999="Congé spécial",F999="Congé spécial"),0.333333333333333,IF(OR(AND(D999="Congé spécial",F999&lt;&gt;"Congé spécial"),AND(F999="Congé spécial",D999&lt;&gt;"Congé spécial")),0.166666666666667,""))</f>
        <v/>
      </c>
      <c r="AE999" s="8" t="str">
        <f aca="false">IF(AND(D999="Férié",F999="Férié"),0.333333333333333,IF(OR(AND(D999="Férié",F999&lt;&gt;"Férié"),(AND(F999="Férié",D999&lt;&gt;"Férié"))),0.166666666666667,""))</f>
        <v/>
      </c>
      <c r="AF999" s="18"/>
      <c r="AG999" s="18"/>
    </row>
    <row r="1000" customFormat="false" ht="15" hidden="false" customHeight="false" outlineLevel="0" collapsed="false">
      <c r="A1000" s="6" t="str">
        <f aca="false">YEAR(Q1000-WEEKDAY(Q1000,2)+4)&amp;"-S"&amp;TEXT(WEEKNUM(Q1000,21),"00")</f>
        <v>2026-S35</v>
      </c>
      <c r="B1000" s="18" t="s">
        <v>71</v>
      </c>
      <c r="C1000" s="19"/>
      <c r="D1000" s="19" t="s">
        <v>74</v>
      </c>
      <c r="E1000" s="19"/>
      <c r="F1000" s="19" t="s">
        <v>74</v>
      </c>
      <c r="G1000" s="20"/>
      <c r="H1000" s="20"/>
      <c r="I1000" s="8" t="str">
        <f aca="false">IF(IF(OR(C1000="",D1000="Congé",D1000="OFF",D1000="Congé spécial"),"",IF(D1000&gt;F1000,D1000-C1000,IF(C1000-D1000&lt;0,0,C1000-D1000)))&lt;0.00068287037037037,"",IF(OR(D1000="Congé",D1000="OFF",C1000="",D1000="Congé spécial"),"",IF(D1000&gt;F1000,D1000-C1000,IF(C1000-D1000&lt;0,0,C1000-D1000))))</f>
        <v/>
      </c>
      <c r="J1000" s="20"/>
      <c r="K1000" s="8" t="n">
        <f aca="false">IF(SUM(H1000:J1000)&lt;0.00068287037037037,0,SUM(H1000:J1000))</f>
        <v>0</v>
      </c>
      <c r="L1000" s="8" t="n">
        <f aca="false">IF(OR(F1000="Congé",F1000="OFF",M1000="Abs",F1000="Congé sans solde",F1000="Férié",F1000="Congé spécial",D1000="Congé spécial"),0,IF(F1000-E1000&lt;0,0,IF(F1000-E1000&lt;=0.00068287037037037,0,F1000-E1000)))</f>
        <v>0</v>
      </c>
      <c r="M1000" s="6" t="n">
        <f aca="false">IF(AND(O1000&lt;&gt;0,C1000=""),"Abs",0)</f>
        <v>0</v>
      </c>
      <c r="N1000" s="8" t="str">
        <f aca="false">IFERROR(IF(OR(D1000="OFF",D1000="Congé",M1000="Abs",D1000="Congé sans solde",D1000="Férié"),"",IF(O1000-K1000-L1000&gt;O1000,O1000,IF(O1000-K1000-L1000&lt;0,"",O1000-K1000-L1000))),"")</f>
        <v/>
      </c>
      <c r="O1000" s="8" t="n">
        <f aca="false">IF(AG1000="2H Pause déjeuner",IF(F1000-D1000-0.0833333333333333&lt;0,F1000-D1000-0.0833333333333333+1,F1000-D1000-0.0833333333333333),IF(OR(AND(F1000="OFF",D1000="OFF"),AND(F1000="Congé",D1000="Congé"),AND(F1000="Congé sans solde",D1000="Congé sans solde"),AND(F1000="Congé spécial",D1000="Congé spécial"),AND(F1000="Férié",D1000="Férié"),AND(F1000="OFF",D1000="Congé"),AND(F1000="OFF",D1000="Congé sans solde"),AND(F1000="OFF",D1000="Congé spécial"),AND(F1000="OFF",D1000="Férié"),AND(F1000="Congé",D1000="OFF"),AND(F1000="Congé",D1000="Congé sans solde"),AND(F1000="Congé",D1000="Congé spécial"),AND(F1000="Congé",D1000="Férié"),AND(F1000="Congé sans solde",D1000="OFF"),AND(F1000="Congé sans solde",D1000="Congé"),AND(F1000="Congé sans solde",D1000="Congé spécial"),AND(F1000="Congé sans solde",D1000="Férié"),AND(F1000="Congé spécial",D1000="OFF"),AND(F1000="Congé spécial",D1000="Congé"),AND(F1000="Congé spécial",D1000="Congé sans solde"),AND(F1000="Congé spécial",D1000="Férié"),AND(F1000="Férié",D1000="OFF"),AND(F1000="Férié",D1000="Congé"),AND(F1000="Férié",D1000="Congé sans solde"),AND(F1000="Férié",D1000="Congé spécial")),0,IF(OR(F1000="OFF",F1000="Congé",F1000="Congé spécial",F1000="Congé sans solde",D1000="OFF",D1000="Congé",D1000="Congé spécial",D1000="Congé sans solde"),0.208333333333334,IF(AND(AG1000="",F1000-D1000&lt;0),("24:00:00"-D1000)+("00:00:00"+F1000)-0.0416666666666667,IF(AND(OR(AG1000="Allaitement",AG1000="Sans déjeuner"),F1000-D1000&lt;0),("24:00:00"-D1000)+("00:00:00"+F1000),IF(AND(AG1000="",F1000-D1000&gt;0.166666666666667),F1000-D1000-0.0416666666666667,IF(AND(OR(AG1000="Allaitement",AG1000="Sans déjeuner"),F1000-D1000&gt;0.166666666666667),F1000-D1000,F1000-D1000)))))))</f>
        <v>0</v>
      </c>
      <c r="P1000" s="6" t="str">
        <f aca="false">IFERROR(VLOOKUP($B1000,Agents!$A:$D,2,0),"-")</f>
        <v>Accessibilité</v>
      </c>
      <c r="Q1000" s="21" t="n">
        <v>46264</v>
      </c>
      <c r="R1000" s="8" t="n">
        <f aca="false">IF(M1000="Abs",O1000,0)</f>
        <v>0</v>
      </c>
      <c r="S1000" s="8" t="n">
        <f aca="false">SUM(R1000,L1000,I1000,J1000,W1000,H1000)</f>
        <v>0</v>
      </c>
      <c r="T1000" s="6" t="str">
        <f aca="false">"Sem - "&amp;WEEKNUM(Q1000,21)</f>
        <v>Sem - 35</v>
      </c>
      <c r="U1000" s="6" t="str">
        <f aca="false">CHOOSE(MONTH(Q1000),"Janvier","Février","Mars","Avril","Mai","Juin","Juillet","Août","Septembre","Octobre","Novembre","Décembre")</f>
        <v>Août</v>
      </c>
      <c r="V1000" s="22" t="n">
        <f aca="false">YEAR(Q1000)</f>
        <v>2026</v>
      </c>
      <c r="W1000" s="20"/>
      <c r="X1000" s="8" t="n">
        <f aca="false">IFERROR(IF(M1000="Abs",0,IF(ROUND((D1000-C1000+E1000-F1000)*1440,0)&lt;=1,0,D1000-C1000+E1000-F1000)),0)</f>
        <v>0</v>
      </c>
      <c r="Y1000" s="6" t="str">
        <f aca="false">IFERROR(VLOOKUP($B1000,Agents!$A:$D,3,0),"-")</f>
        <v>OUBRAHIM Mohammed</v>
      </c>
      <c r="Z1000" s="6" t="str">
        <f aca="false">IFERROR(VLOOKUP($B1000,Agents!$A:$D,4,0),"-")</f>
        <v>Credit Mutuel</v>
      </c>
      <c r="AA1000" s="18" t="s">
        <v>117</v>
      </c>
      <c r="AB1000" s="8" t="str">
        <f aca="false">IF(AND(D1000="Congé",F1000="Congé"),0.333333333333333,IF(OR(AND(D1000="Congé",F1000&lt;&gt;"Congé"),(AND(F1000="Congé",D1000&lt;&gt;"Congé"))),0.166666666666667,""))</f>
        <v/>
      </c>
      <c r="AC1000" s="8" t="str">
        <f aca="false">IF(AND(D1000="Congé sans solde",F1000="Congé sans solde"),0.333333333333333,IF(OR(AND(D1000="Congé sans solde",F1000&lt;&gt;"Congé sans solde"),(AND(F1000="Congé sans solde",D1000&lt;&gt;"Congé sans solde"))),0.166666666666667,""))</f>
        <v/>
      </c>
      <c r="AD1000" s="8" t="str">
        <f aca="false">IF(AND(D1000="Congé spécial",F1000="Congé spécial"),0.333333333333333,IF(OR(AND(D1000="Congé spécial",F1000&lt;&gt;"Congé spécial"),AND(F1000="Congé spécial",D1000&lt;&gt;"Congé spécial")),0.166666666666667,""))</f>
        <v/>
      </c>
      <c r="AE1000" s="8" t="str">
        <f aca="false">IF(AND(D1000="Férié",F1000="Férié"),0.333333333333333,IF(OR(AND(D1000="Férié",F1000&lt;&gt;"Férié"),(AND(F1000="Férié",D1000&lt;&gt;"Férié"))),0.166666666666667,""))</f>
        <v/>
      </c>
      <c r="AF1000" s="18"/>
      <c r="AG1000" s="18"/>
    </row>
    <row r="1001" customFormat="false" ht="15" hidden="false" customHeight="false" outlineLevel="0" collapsed="false">
      <c r="A1001" s="6" t="str">
        <f aca="false">YEAR(Q1001-WEEKDAY(Q1001,2)+4)&amp;"-S"&amp;TEXT(WEEKNUM(Q1001,21),"00")</f>
        <v>2026-S35</v>
      </c>
      <c r="B1001" s="18" t="s">
        <v>72</v>
      </c>
      <c r="C1001" s="19"/>
      <c r="D1001" s="19" t="s">
        <v>74</v>
      </c>
      <c r="E1001" s="19"/>
      <c r="F1001" s="19" t="s">
        <v>74</v>
      </c>
      <c r="G1001" s="20"/>
      <c r="H1001" s="20"/>
      <c r="I1001" s="8" t="str">
        <f aca="false">IF(IF(OR(C1001="",D1001="Congé",D1001="OFF",D1001="Congé spécial"),"",IF(D1001&gt;F1001,D1001-C1001,IF(C1001-D1001&lt;0,0,C1001-D1001)))&lt;0.00068287037037037,"",IF(OR(D1001="Congé",D1001="OFF",C1001="",D1001="Congé spécial"),"",IF(D1001&gt;F1001,D1001-C1001,IF(C1001-D1001&lt;0,0,C1001-D1001))))</f>
        <v/>
      </c>
      <c r="J1001" s="20"/>
      <c r="K1001" s="8" t="n">
        <f aca="false">IF(SUM(H1001:J1001)&lt;0.00068287037037037,0,SUM(H1001:J1001))</f>
        <v>0</v>
      </c>
      <c r="L1001" s="8" t="n">
        <f aca="false">IF(OR(F1001="Congé",F1001="OFF",M1001="Abs",F1001="Congé sans solde",F1001="Férié",F1001="Congé spécial",D1001="Congé spécial"),0,IF(F1001-E1001&lt;0,0,IF(F1001-E1001&lt;=0.00068287037037037,0,F1001-E1001)))</f>
        <v>0</v>
      </c>
      <c r="M1001" s="6" t="n">
        <f aca="false">IF(AND(O1001&lt;&gt;0,C1001=""),"Abs",0)</f>
        <v>0</v>
      </c>
      <c r="N1001" s="8" t="str">
        <f aca="false">IFERROR(IF(OR(D1001="OFF",D1001="Congé",M1001="Abs",D1001="Congé sans solde",D1001="Férié"),"",IF(O1001-K1001-L1001&gt;O1001,O1001,IF(O1001-K1001-L1001&lt;0,"",O1001-K1001-L1001))),"")</f>
        <v/>
      </c>
      <c r="O1001" s="8" t="n">
        <f aca="false">IF(AG1001="2H Pause déjeuner",IF(F1001-D1001-0.0833333333333333&lt;0,F1001-D1001-0.0833333333333333+1,F1001-D1001-0.0833333333333333),IF(OR(AND(F1001="OFF",D1001="OFF"),AND(F1001="Congé",D1001="Congé"),AND(F1001="Congé sans solde",D1001="Congé sans solde"),AND(F1001="Congé spécial",D1001="Congé spécial"),AND(F1001="Férié",D1001="Férié"),AND(F1001="OFF",D1001="Congé"),AND(F1001="OFF",D1001="Congé sans solde"),AND(F1001="OFF",D1001="Congé spécial"),AND(F1001="OFF",D1001="Férié"),AND(F1001="Congé",D1001="OFF"),AND(F1001="Congé",D1001="Congé sans solde"),AND(F1001="Congé",D1001="Congé spécial"),AND(F1001="Congé",D1001="Férié"),AND(F1001="Congé sans solde",D1001="OFF"),AND(F1001="Congé sans solde",D1001="Congé"),AND(F1001="Congé sans solde",D1001="Congé spécial"),AND(F1001="Congé sans solde",D1001="Férié"),AND(F1001="Congé spécial",D1001="OFF"),AND(F1001="Congé spécial",D1001="Congé"),AND(F1001="Congé spécial",D1001="Congé sans solde"),AND(F1001="Congé spécial",D1001="Férié"),AND(F1001="Férié",D1001="OFF"),AND(F1001="Férié",D1001="Congé"),AND(F1001="Férié",D1001="Congé sans solde"),AND(F1001="Férié",D1001="Congé spécial")),0,IF(OR(F1001="OFF",F1001="Congé",F1001="Congé spécial",F1001="Congé sans solde",D1001="OFF",D1001="Congé",D1001="Congé spécial",D1001="Congé sans solde"),0.208333333333334,IF(AND(AG1001="",F1001-D1001&lt;0),("24:00:00"-D1001)+("00:00:00"+F1001)-0.0416666666666667,IF(AND(OR(AG1001="Allaitement",AG1001="Sans déjeuner"),F1001-D1001&lt;0),("24:00:00"-D1001)+("00:00:00"+F1001),IF(AND(AG1001="",F1001-D1001&gt;0.166666666666667),F1001-D1001-0.0416666666666667,IF(AND(OR(AG1001="Allaitement",AG1001="Sans déjeuner"),F1001-D1001&gt;0.166666666666667),F1001-D1001,F1001-D1001)))))))</f>
        <v>0</v>
      </c>
      <c r="P1001" s="6" t="str">
        <f aca="false">IFERROR(VLOOKUP($B1001,Agents!$A:$D,2,0),"-")</f>
        <v>Accessibilité</v>
      </c>
      <c r="Q1001" s="21" t="n">
        <v>46264</v>
      </c>
      <c r="R1001" s="8" t="n">
        <f aca="false">IF(M1001="Abs",O1001,0)</f>
        <v>0</v>
      </c>
      <c r="S1001" s="8" t="n">
        <f aca="false">SUM(R1001,L1001,I1001,J1001,W1001,H1001)</f>
        <v>0</v>
      </c>
      <c r="T1001" s="6" t="str">
        <f aca="false">"Sem - "&amp;WEEKNUM(Q1001,21)</f>
        <v>Sem - 35</v>
      </c>
      <c r="U1001" s="6" t="str">
        <f aca="false">CHOOSE(MONTH(Q1001),"Janvier","Février","Mars","Avril","Mai","Juin","Juillet","Août","Septembre","Octobre","Novembre","Décembre")</f>
        <v>Août</v>
      </c>
      <c r="V1001" s="22" t="n">
        <f aca="false">YEAR(Q1001)</f>
        <v>2026</v>
      </c>
      <c r="W1001" s="20"/>
      <c r="X1001" s="8" t="n">
        <f aca="false">IFERROR(IF(M1001="Abs",0,IF(ROUND((D1001-C1001+E1001-F1001)*1440,0)&lt;=1,0,D1001-C1001+E1001-F1001)),0)</f>
        <v>0</v>
      </c>
      <c r="Y1001" s="6" t="str">
        <f aca="false">IFERROR(VLOOKUP($B1001,Agents!$A:$D,3,0),"-")</f>
        <v>OUBRAHIM Mohammed</v>
      </c>
      <c r="Z1001" s="6" t="str">
        <f aca="false">IFERROR(VLOOKUP($B1001,Agents!$A:$D,4,0),"-")</f>
        <v>Credit Mutuel</v>
      </c>
      <c r="AA1001" s="18" t="s">
        <v>117</v>
      </c>
      <c r="AB1001" s="8" t="str">
        <f aca="false">IF(AND(D1001="Congé",F1001="Congé"),0.333333333333333,IF(OR(AND(D1001="Congé",F1001&lt;&gt;"Congé"),(AND(F1001="Congé",D1001&lt;&gt;"Congé"))),0.166666666666667,""))</f>
        <v/>
      </c>
      <c r="AC1001" s="8" t="str">
        <f aca="false">IF(AND(D1001="Congé sans solde",F1001="Congé sans solde"),0.333333333333333,IF(OR(AND(D1001="Congé sans solde",F1001&lt;&gt;"Congé sans solde"),(AND(F1001="Congé sans solde",D1001&lt;&gt;"Congé sans solde"))),0.166666666666667,""))</f>
        <v/>
      </c>
      <c r="AD1001" s="8" t="str">
        <f aca="false">IF(AND(D1001="Congé spécial",F1001="Congé spécial"),0.333333333333333,IF(OR(AND(D1001="Congé spécial",F1001&lt;&gt;"Congé spécial"),AND(F1001="Congé spécial",D1001&lt;&gt;"Congé spécial")),0.166666666666667,""))</f>
        <v/>
      </c>
      <c r="AE1001" s="8" t="str">
        <f aca="false">IF(AND(D1001="Férié",F1001="Férié"),0.333333333333333,IF(OR(AND(D1001="Férié",F1001&lt;&gt;"Férié"),(AND(F1001="Férié",D1001&lt;&gt;"Férié"))),0.166666666666667,""))</f>
        <v/>
      </c>
      <c r="AF1001" s="18"/>
      <c r="AG1001" s="18"/>
    </row>
    <row r="1002" customFormat="false" ht="15" hidden="false" customHeight="false" outlineLevel="0" collapsed="false">
      <c r="A1002" s="6" t="str">
        <f aca="false">YEAR(Q1002-WEEKDAY(Q1002,2)+4)&amp;"-S"&amp;TEXT(WEEKNUM(Q1002,21),"00")</f>
        <v>2026-S35</v>
      </c>
      <c r="B1002" s="18" t="s">
        <v>73</v>
      </c>
      <c r="C1002" s="19"/>
      <c r="D1002" s="19" t="s">
        <v>74</v>
      </c>
      <c r="E1002" s="19"/>
      <c r="F1002" s="19" t="s">
        <v>74</v>
      </c>
      <c r="G1002" s="20"/>
      <c r="H1002" s="20"/>
      <c r="I1002" s="8" t="str">
        <f aca="false">IF(IF(OR(C1002="",D1002="Congé",D1002="OFF",D1002="Congé spécial"),"",IF(D1002&gt;F1002,D1002-C1002,IF(C1002-D1002&lt;0,0,C1002-D1002)))&lt;0.00068287037037037,"",IF(OR(D1002="Congé",D1002="OFF",C1002="",D1002="Congé spécial"),"",IF(D1002&gt;F1002,D1002-C1002,IF(C1002-D1002&lt;0,0,C1002-D1002))))</f>
        <v/>
      </c>
      <c r="J1002" s="20"/>
      <c r="K1002" s="8" t="n">
        <f aca="false">IF(SUM(H1002:J1002)&lt;0.00068287037037037,0,SUM(H1002:J1002))</f>
        <v>0</v>
      </c>
      <c r="L1002" s="8" t="n">
        <f aca="false">IF(OR(F1002="Congé",F1002="OFF",M1002="Abs",F1002="Congé sans solde",F1002="Férié",F1002="Congé spécial",D1002="Congé spécial"),0,IF(F1002-E1002&lt;0,0,IF(F1002-E1002&lt;=0.00068287037037037,0,F1002-E1002)))</f>
        <v>0</v>
      </c>
      <c r="M1002" s="6" t="n">
        <f aca="false">IF(AND(O1002&lt;&gt;0,C1002=""),"Abs",0)</f>
        <v>0</v>
      </c>
      <c r="N1002" s="8" t="str">
        <f aca="false">IFERROR(IF(OR(D1002="OFF",D1002="Congé",M1002="Abs",D1002="Congé sans solde",D1002="Férié"),"",IF(O1002-K1002-L1002&gt;O1002,O1002,IF(O1002-K1002-L1002&lt;0,"",O1002-K1002-L1002))),"")</f>
        <v/>
      </c>
      <c r="O1002" s="8" t="n">
        <f aca="false">IF(AG1002="2H Pause déjeuner",IF(F1002-D1002-0.0833333333333333&lt;0,F1002-D1002-0.0833333333333333+1,F1002-D1002-0.0833333333333333),IF(OR(AND(F1002="OFF",D1002="OFF"),AND(F1002="Congé",D1002="Congé"),AND(F1002="Congé sans solde",D1002="Congé sans solde"),AND(F1002="Congé spécial",D1002="Congé spécial"),AND(F1002="Férié",D1002="Férié"),AND(F1002="OFF",D1002="Congé"),AND(F1002="OFF",D1002="Congé sans solde"),AND(F1002="OFF",D1002="Congé spécial"),AND(F1002="OFF",D1002="Férié"),AND(F1002="Congé",D1002="OFF"),AND(F1002="Congé",D1002="Congé sans solde"),AND(F1002="Congé",D1002="Congé spécial"),AND(F1002="Congé",D1002="Férié"),AND(F1002="Congé sans solde",D1002="OFF"),AND(F1002="Congé sans solde",D1002="Congé"),AND(F1002="Congé sans solde",D1002="Congé spécial"),AND(F1002="Congé sans solde",D1002="Férié"),AND(F1002="Congé spécial",D1002="OFF"),AND(F1002="Congé spécial",D1002="Congé"),AND(F1002="Congé spécial",D1002="Congé sans solde"),AND(F1002="Congé spécial",D1002="Férié"),AND(F1002="Férié",D1002="OFF"),AND(F1002="Férié",D1002="Congé"),AND(F1002="Férié",D1002="Congé sans solde"),AND(F1002="Férié",D1002="Congé spécial")),0,IF(OR(F1002="OFF",F1002="Congé",F1002="Congé spécial",F1002="Congé sans solde",D1002="OFF",D1002="Congé",D1002="Congé spécial",D1002="Congé sans solde"),0.208333333333334,IF(AND(AG1002="",F1002-D1002&lt;0),("24:00:00"-D1002)+("00:00:00"+F1002)-0.0416666666666667,IF(AND(OR(AG1002="Allaitement",AG1002="Sans déjeuner"),F1002-D1002&lt;0),("24:00:00"-D1002)+("00:00:00"+F1002),IF(AND(AG1002="",F1002-D1002&gt;0.166666666666667),F1002-D1002-0.0416666666666667,IF(AND(OR(AG1002="Allaitement",AG1002="Sans déjeuner"),F1002-D1002&gt;0.166666666666667),F1002-D1002,F1002-D1002)))))))</f>
        <v>0</v>
      </c>
      <c r="P1002" s="6" t="str">
        <f aca="false">IFERROR(VLOOKUP($B1002,Agents!$A:$D,2,0),"-")</f>
        <v>Accessibilité</v>
      </c>
      <c r="Q1002" s="21" t="n">
        <v>46264</v>
      </c>
      <c r="R1002" s="8" t="n">
        <f aca="false">IF(M1002="Abs",O1002,0)</f>
        <v>0</v>
      </c>
      <c r="S1002" s="8" t="n">
        <f aca="false">SUM(R1002,L1002,I1002,J1002,W1002,H1002)</f>
        <v>0</v>
      </c>
      <c r="T1002" s="6" t="str">
        <f aca="false">"Sem - "&amp;WEEKNUM(Q1002,21)</f>
        <v>Sem - 35</v>
      </c>
      <c r="U1002" s="6" t="str">
        <f aca="false">CHOOSE(MONTH(Q1002),"Janvier","Février","Mars","Avril","Mai","Juin","Juillet","Août","Septembre","Octobre","Novembre","Décembre")</f>
        <v>Août</v>
      </c>
      <c r="V1002" s="22" t="n">
        <f aca="false">YEAR(Q1002)</f>
        <v>2026</v>
      </c>
      <c r="W1002" s="20"/>
      <c r="X1002" s="8" t="n">
        <f aca="false">IFERROR(IF(M1002="Abs",0,IF(ROUND((D1002-C1002+E1002-F1002)*1440,0)&lt;=1,0,D1002-C1002+E1002-F1002)),0)</f>
        <v>0</v>
      </c>
      <c r="Y1002" s="6" t="str">
        <f aca="false">IFERROR(VLOOKUP($B1002,Agents!$A:$D,3,0),"-")</f>
        <v>OUBRAHIM Mohammed</v>
      </c>
      <c r="Z1002" s="6" t="str">
        <f aca="false">IFERROR(VLOOKUP($B1002,Agents!$A:$D,4,0),"-")</f>
        <v>Credit Mutuel</v>
      </c>
      <c r="AA1002" s="18" t="s">
        <v>117</v>
      </c>
      <c r="AB1002" s="8" t="str">
        <f aca="false">IF(AND(D1002="Congé",F1002="Congé"),0.333333333333333,IF(OR(AND(D1002="Congé",F1002&lt;&gt;"Congé"),(AND(F1002="Congé",D1002&lt;&gt;"Congé"))),0.166666666666667,""))</f>
        <v/>
      </c>
      <c r="AC1002" s="8" t="str">
        <f aca="false">IF(AND(D1002="Congé sans solde",F1002="Congé sans solde"),0.333333333333333,IF(OR(AND(D1002="Congé sans solde",F1002&lt;&gt;"Congé sans solde"),(AND(F1002="Congé sans solde",D1002&lt;&gt;"Congé sans solde"))),0.166666666666667,""))</f>
        <v/>
      </c>
      <c r="AD1002" s="8" t="str">
        <f aca="false">IF(AND(D1002="Congé spécial",F1002="Congé spécial"),0.333333333333333,IF(OR(AND(D1002="Congé spécial",F1002&lt;&gt;"Congé spécial"),AND(F1002="Congé spécial",D1002&lt;&gt;"Congé spécial")),0.166666666666667,""))</f>
        <v/>
      </c>
      <c r="AE1002" s="8" t="str">
        <f aca="false">IF(AND(D1002="Férié",F1002="Férié"),0.333333333333333,IF(OR(AND(D1002="Férié",F1002&lt;&gt;"Férié"),(AND(F1002="Férié",D1002&lt;&gt;"Férié"))),0.166666666666667,""))</f>
        <v/>
      </c>
      <c r="AF1002" s="18"/>
      <c r="AG1002" s="18"/>
    </row>
    <row r="1003" customFormat="false" ht="15" hidden="false" customHeight="false" outlineLevel="0" collapsed="false">
      <c r="A1003" s="6" t="str">
        <f aca="false">YEAR(Q1003-WEEKDAY(Q1003,2)+4)&amp;"-S"&amp;TEXT(WEEKNUM(Q1003,21),"00")</f>
        <v>2026-S36</v>
      </c>
      <c r="B1003" s="18" t="s">
        <v>71</v>
      </c>
      <c r="C1003" s="19"/>
      <c r="D1003" s="19" t="n">
        <v>0.333333333333333</v>
      </c>
      <c r="E1003" s="19"/>
      <c r="F1003" s="19" t="n">
        <v>0.75</v>
      </c>
      <c r="G1003" s="20"/>
      <c r="H1003" s="20"/>
      <c r="I1003" s="8" t="str">
        <f aca="false">IF(IF(OR(C1003="",D1003="Congé",D1003="OFF",D1003="Congé spécial"),"",IF(D1003&gt;F1003,D1003-C1003,IF(C1003-D1003&lt;0,0,C1003-D1003)))&lt;0.00068287037037037,"",IF(OR(D1003="Congé",D1003="OFF",C1003="",D1003="Congé spécial"),"",IF(D1003&gt;F1003,D1003-C1003,IF(C1003-D1003&lt;0,0,C1003-D1003))))</f>
        <v/>
      </c>
      <c r="J1003" s="20"/>
      <c r="K1003" s="8" t="n">
        <f aca="false">IF(SUM(H1003:J1003)&lt;0.00068287037037037,0,SUM(H1003:J1003))</f>
        <v>0</v>
      </c>
      <c r="L1003" s="8" t="n">
        <f aca="false">IF(OR(F1003="Congé",F1003="OFF",M1003="Abs",F1003="Congé sans solde",F1003="Férié",F1003="Congé spécial",D1003="Congé spécial"),0,IF(F1003-E1003&lt;0,0,IF(F1003-E1003&lt;=0.00068287037037037,0,F1003-E1003)))</f>
        <v>0</v>
      </c>
      <c r="M1003" s="6" t="str">
        <f aca="false">IF(AND(O1003&lt;&gt;0,C1003=""),"Abs",0)</f>
        <v>Abs</v>
      </c>
      <c r="N1003" s="8" t="str">
        <f aca="false">IFERROR(IF(OR(D1003="OFF",D1003="Congé",M1003="Abs",D1003="Congé sans solde",D1003="Férié"),"",IF(O1003-K1003-L1003&gt;O1003,O1003,IF(O1003-K1003-L1003&lt;0,"",O1003-K1003-L1003))),"")</f>
        <v/>
      </c>
      <c r="O1003" s="8" t="n">
        <f aca="false">IF(AG1003="2H Pause déjeuner",IF(F1003-D1003-0.0833333333333333&lt;0,F1003-D1003-0.0833333333333333+1,F1003-D1003-0.0833333333333333),IF(OR(AND(F1003="OFF",D1003="OFF"),AND(F1003="Congé",D1003="Congé"),AND(F1003="Congé sans solde",D1003="Congé sans solde"),AND(F1003="Congé spécial",D1003="Congé spécial"),AND(F1003="Férié",D1003="Férié"),AND(F1003="OFF",D1003="Congé"),AND(F1003="OFF",D1003="Congé sans solde"),AND(F1003="OFF",D1003="Congé spécial"),AND(F1003="OFF",D1003="Férié"),AND(F1003="Congé",D1003="OFF"),AND(F1003="Congé",D1003="Congé sans solde"),AND(F1003="Congé",D1003="Congé spécial"),AND(F1003="Congé",D1003="Férié"),AND(F1003="Congé sans solde",D1003="OFF"),AND(F1003="Congé sans solde",D1003="Congé"),AND(F1003="Congé sans solde",D1003="Congé spécial"),AND(F1003="Congé sans solde",D1003="Férié"),AND(F1003="Congé spécial",D1003="OFF"),AND(F1003="Congé spécial",D1003="Congé"),AND(F1003="Congé spécial",D1003="Congé sans solde"),AND(F1003="Congé spécial",D1003="Férié"),AND(F1003="Férié",D1003="OFF"),AND(F1003="Férié",D1003="Congé"),AND(F1003="Férié",D1003="Congé sans solde"),AND(F1003="Férié",D1003="Congé spécial")),0,IF(OR(F1003="OFF",F1003="Congé",F1003="Congé spécial",F1003="Congé sans solde",D1003="OFF",D1003="Congé",D1003="Congé spécial",D1003="Congé sans solde"),0.208333333333334,IF(AND(AG1003="",F1003-D1003&lt;0),("24:00:00"-D1003)+("00:00:00"+F1003)-0.0416666666666667,IF(AND(OR(AG1003="Allaitement",AG1003="Sans déjeuner"),F1003-D1003&lt;0),("24:00:00"-D1003)+("00:00:00"+F1003),IF(AND(AG1003="",F1003-D1003&gt;0.166666666666667),F1003-D1003-0.0416666666666667,IF(AND(OR(AG1003="Allaitement",AG1003="Sans déjeuner"),F1003-D1003&gt;0.166666666666667),F1003-D1003,F1003-D1003)))))))</f>
        <v>0.375</v>
      </c>
      <c r="P1003" s="6" t="str">
        <f aca="false">IFERROR(VLOOKUP($B1003,Agents!$A:$D,2,0),"-")</f>
        <v>Accessibilité</v>
      </c>
      <c r="Q1003" s="21" t="n">
        <v>46265</v>
      </c>
      <c r="R1003" s="8" t="n">
        <f aca="false">IF(M1003="Abs",O1003,0)</f>
        <v>0.375</v>
      </c>
      <c r="S1003" s="8" t="n">
        <f aca="false">SUM(R1003,L1003,I1003,J1003,W1003,H1003)</f>
        <v>0.375</v>
      </c>
      <c r="T1003" s="6" t="str">
        <f aca="false">"Sem - "&amp;WEEKNUM(Q1003,21)</f>
        <v>Sem - 36</v>
      </c>
      <c r="U1003" s="6" t="str">
        <f aca="false">CHOOSE(MONTH(Q1003),"Janvier","Février","Mars","Avril","Mai","Juin","Juillet","Août","Septembre","Octobre","Novembre","Décembre")</f>
        <v>Août</v>
      </c>
      <c r="V1003" s="22" t="n">
        <f aca="false">YEAR(Q1003)</f>
        <v>2026</v>
      </c>
      <c r="W1003" s="20"/>
      <c r="X1003" s="8" t="n">
        <f aca="false">IFERROR(IF(M1003="Abs",0,IF(ROUND((D1003-C1003+E1003-F1003)*1440,0)&lt;=1,0,D1003-C1003+E1003-F1003)),0)</f>
        <v>0</v>
      </c>
      <c r="Y1003" s="6" t="str">
        <f aca="false">IFERROR(VLOOKUP($B1003,Agents!$A:$D,3,0),"-")</f>
        <v>OUBRAHIM Mohammed</v>
      </c>
      <c r="Z1003" s="6" t="str">
        <f aca="false">IFERROR(VLOOKUP($B1003,Agents!$A:$D,4,0),"-")</f>
        <v>Credit Mutuel</v>
      </c>
      <c r="AA1003" s="18" t="s">
        <v>118</v>
      </c>
      <c r="AB1003" s="8" t="str">
        <f aca="false">IF(AND(D1003="Congé",F1003="Congé"),0.333333333333333,IF(OR(AND(D1003="Congé",F1003&lt;&gt;"Congé"),(AND(F1003="Congé",D1003&lt;&gt;"Congé"))),0.166666666666667,""))</f>
        <v/>
      </c>
      <c r="AC1003" s="8" t="str">
        <f aca="false">IF(AND(D1003="Congé sans solde",F1003="Congé sans solde"),0.333333333333333,IF(OR(AND(D1003="Congé sans solde",F1003&lt;&gt;"Congé sans solde"),(AND(F1003="Congé sans solde",D1003&lt;&gt;"Congé sans solde"))),0.166666666666667,""))</f>
        <v/>
      </c>
      <c r="AD1003" s="8" t="str">
        <f aca="false">IF(AND(D1003="Congé spécial",F1003="Congé spécial"),0.333333333333333,IF(OR(AND(D1003="Congé spécial",F1003&lt;&gt;"Congé spécial"),AND(F1003="Congé spécial",D1003&lt;&gt;"Congé spécial")),0.166666666666667,""))</f>
        <v/>
      </c>
      <c r="AE1003" s="8" t="str">
        <f aca="false">IF(AND(D1003="Férié",F1003="Férié"),0.333333333333333,IF(OR(AND(D1003="Férié",F1003&lt;&gt;"Férié"),(AND(F1003="Férié",D1003&lt;&gt;"Férié"))),0.166666666666667,""))</f>
        <v/>
      </c>
      <c r="AF1003" s="18"/>
      <c r="AG1003" s="18"/>
    </row>
    <row r="1004" customFormat="false" ht="15" hidden="false" customHeight="false" outlineLevel="0" collapsed="false">
      <c r="A1004" s="6" t="str">
        <f aca="false">YEAR(Q1004-WEEKDAY(Q1004,2)+4)&amp;"-S"&amp;TEXT(WEEKNUM(Q1004,21),"00")</f>
        <v>2026-S36</v>
      </c>
      <c r="B1004" s="18" t="s">
        <v>72</v>
      </c>
      <c r="C1004" s="19"/>
      <c r="D1004" s="19" t="s">
        <v>83</v>
      </c>
      <c r="E1004" s="19"/>
      <c r="F1004" s="19" t="s">
        <v>83</v>
      </c>
      <c r="G1004" s="20"/>
      <c r="H1004" s="20"/>
      <c r="I1004" s="8" t="str">
        <f aca="false">IF(IF(OR(C1004="",D1004="Congé",D1004="OFF",D1004="Congé spécial"),"",IF(D1004&gt;F1004,D1004-C1004,IF(C1004-D1004&lt;0,0,C1004-D1004)))&lt;0.00068287037037037,"",IF(OR(D1004="Congé",D1004="OFF",C1004="",D1004="Congé spécial"),"",IF(D1004&gt;F1004,D1004-C1004,IF(C1004-D1004&lt;0,0,C1004-D1004))))</f>
        <v/>
      </c>
      <c r="J1004" s="20"/>
      <c r="K1004" s="8" t="n">
        <f aca="false">IF(SUM(H1004:J1004)&lt;0.00068287037037037,0,SUM(H1004:J1004))</f>
        <v>0</v>
      </c>
      <c r="L1004" s="8" t="n">
        <f aca="false">IF(OR(F1004="Congé",F1004="OFF",M1004="Abs",F1004="Congé sans solde",F1004="Férié",F1004="Congé spécial",D1004="Congé spécial"),0,IF(F1004-E1004&lt;0,0,IF(F1004-E1004&lt;=0.00068287037037037,0,F1004-E1004)))</f>
        <v>0</v>
      </c>
      <c r="M1004" s="6" t="n">
        <f aca="false">IF(AND(O1004&lt;&gt;0,C1004=""),"Abs",0)</f>
        <v>0</v>
      </c>
      <c r="N1004" s="8" t="str">
        <f aca="false">IFERROR(IF(OR(D1004="OFF",D1004="Congé",M1004="Abs",D1004="Congé sans solde",D1004="Férié"),"",IF(O1004-K1004-L1004&gt;O1004,O1004,IF(O1004-K1004-L1004&lt;0,"",O1004-K1004-L1004))),"")</f>
        <v/>
      </c>
      <c r="O1004" s="8" t="n">
        <f aca="false">IF(AG1004="2H Pause déjeuner",IF(F1004-D1004-0.0833333333333333&lt;0,F1004-D1004-0.0833333333333333+1,F1004-D1004-0.0833333333333333),IF(OR(AND(F1004="OFF",D1004="OFF"),AND(F1004="Congé",D1004="Congé"),AND(F1004="Congé sans solde",D1004="Congé sans solde"),AND(F1004="Congé spécial",D1004="Congé spécial"),AND(F1004="Férié",D1004="Férié"),AND(F1004="OFF",D1004="Congé"),AND(F1004="OFF",D1004="Congé sans solde"),AND(F1004="OFF",D1004="Congé spécial"),AND(F1004="OFF",D1004="Férié"),AND(F1004="Congé",D1004="OFF"),AND(F1004="Congé",D1004="Congé sans solde"),AND(F1004="Congé",D1004="Congé spécial"),AND(F1004="Congé",D1004="Férié"),AND(F1004="Congé sans solde",D1004="OFF"),AND(F1004="Congé sans solde",D1004="Congé"),AND(F1004="Congé sans solde",D1004="Congé spécial"),AND(F1004="Congé sans solde",D1004="Férié"),AND(F1004="Congé spécial",D1004="OFF"),AND(F1004="Congé spécial",D1004="Congé"),AND(F1004="Congé spécial",D1004="Congé sans solde"),AND(F1004="Congé spécial",D1004="Férié"),AND(F1004="Férié",D1004="OFF"),AND(F1004="Férié",D1004="Congé"),AND(F1004="Férié",D1004="Congé sans solde"),AND(F1004="Férié",D1004="Congé spécial")),0,IF(OR(F1004="OFF",F1004="Congé",F1004="Congé spécial",F1004="Congé sans solde",D1004="OFF",D1004="Congé",D1004="Congé spécial",D1004="Congé sans solde"),0.208333333333334,IF(AND(AG1004="",F1004-D1004&lt;0),("24:00:00"-D1004)+("00:00:00"+F1004)-0.0416666666666667,IF(AND(OR(AG1004="Allaitement",AG1004="Sans déjeuner"),F1004-D1004&lt;0),("24:00:00"-D1004)+("00:00:00"+F1004),IF(AND(AG1004="",F1004-D1004&gt;0.166666666666667),F1004-D1004-0.0416666666666667,IF(AND(OR(AG1004="Allaitement",AG1004="Sans déjeuner"),F1004-D1004&gt;0.166666666666667),F1004-D1004,F1004-D1004)))))))</f>
        <v>0</v>
      </c>
      <c r="P1004" s="6" t="str">
        <f aca="false">IFERROR(VLOOKUP($B1004,Agents!$A:$D,2,0),"-")</f>
        <v>Accessibilité</v>
      </c>
      <c r="Q1004" s="21" t="n">
        <v>46265</v>
      </c>
      <c r="R1004" s="8" t="n">
        <f aca="false">IF(M1004="Abs",O1004,0)</f>
        <v>0</v>
      </c>
      <c r="S1004" s="8" t="n">
        <f aca="false">SUM(R1004,L1004,I1004,J1004,W1004,H1004)</f>
        <v>0</v>
      </c>
      <c r="T1004" s="6" t="str">
        <f aca="false">"Sem - "&amp;WEEKNUM(Q1004,21)</f>
        <v>Sem - 36</v>
      </c>
      <c r="U1004" s="6" t="str">
        <f aca="false">CHOOSE(MONTH(Q1004),"Janvier","Février","Mars","Avril","Mai","Juin","Juillet","Août","Septembre","Octobre","Novembre","Décembre")</f>
        <v>Août</v>
      </c>
      <c r="V1004" s="22" t="n">
        <f aca="false">YEAR(Q1004)</f>
        <v>2026</v>
      </c>
      <c r="W1004" s="20"/>
      <c r="X1004" s="8" t="n">
        <f aca="false">IFERROR(IF(M1004="Abs",0,IF(ROUND((D1004-C1004+E1004-F1004)*1440,0)&lt;=1,0,D1004-C1004+E1004-F1004)),0)</f>
        <v>0</v>
      </c>
      <c r="Y1004" s="6" t="str">
        <f aca="false">IFERROR(VLOOKUP($B1004,Agents!$A:$D,3,0),"-")</f>
        <v>OUBRAHIM Mohammed</v>
      </c>
      <c r="Z1004" s="6" t="str">
        <f aca="false">IFERROR(VLOOKUP($B1004,Agents!$A:$D,4,0),"-")</f>
        <v>Credit Mutuel</v>
      </c>
      <c r="AA1004" s="18" t="s">
        <v>118</v>
      </c>
      <c r="AB1004" s="8" t="n">
        <f aca="false">IF(AND(D1004="Congé",F1004="Congé"),0.333333333333333,IF(OR(AND(D1004="Congé",F1004&lt;&gt;"Congé"),(AND(F1004="Congé",D1004&lt;&gt;"Congé"))),0.166666666666667,""))</f>
        <v>0.333333333333333</v>
      </c>
      <c r="AC1004" s="8" t="str">
        <f aca="false">IF(AND(D1004="Congé sans solde",F1004="Congé sans solde"),0.333333333333333,IF(OR(AND(D1004="Congé sans solde",F1004&lt;&gt;"Congé sans solde"),(AND(F1004="Congé sans solde",D1004&lt;&gt;"Congé sans solde"))),0.166666666666667,""))</f>
        <v/>
      </c>
      <c r="AD1004" s="8" t="str">
        <f aca="false">IF(AND(D1004="Congé spécial",F1004="Congé spécial"),0.333333333333333,IF(OR(AND(D1004="Congé spécial",F1004&lt;&gt;"Congé spécial"),AND(F1004="Congé spécial",D1004&lt;&gt;"Congé spécial")),0.166666666666667,""))</f>
        <v/>
      </c>
      <c r="AE1004" s="8" t="str">
        <f aca="false">IF(AND(D1004="Férié",F1004="Férié"),0.333333333333333,IF(OR(AND(D1004="Férié",F1004&lt;&gt;"Férié"),(AND(F1004="Férié",D1004&lt;&gt;"Férié"))),0.166666666666667,""))</f>
        <v/>
      </c>
      <c r="AF1004" s="18"/>
      <c r="AG1004" s="18"/>
    </row>
    <row r="1005" customFormat="false" ht="15" hidden="false" customHeight="false" outlineLevel="0" collapsed="false">
      <c r="A1005" s="6" t="str">
        <f aca="false">YEAR(Q1005-WEEKDAY(Q1005,2)+4)&amp;"-S"&amp;TEXT(WEEKNUM(Q1005,21),"00")</f>
        <v>2026-S36</v>
      </c>
      <c r="B1005" s="18" t="s">
        <v>73</v>
      </c>
      <c r="C1005" s="19"/>
      <c r="D1005" s="19" t="n">
        <v>0.333333333333333</v>
      </c>
      <c r="E1005" s="19"/>
      <c r="F1005" s="19" t="n">
        <v>0.75</v>
      </c>
      <c r="G1005" s="20"/>
      <c r="H1005" s="20"/>
      <c r="I1005" s="8" t="str">
        <f aca="false">IF(IF(OR(C1005="",D1005="Congé",D1005="OFF",D1005="Congé spécial"),"",IF(D1005&gt;F1005,D1005-C1005,IF(C1005-D1005&lt;0,0,C1005-D1005)))&lt;0.00068287037037037,"",IF(OR(D1005="Congé",D1005="OFF",C1005="",D1005="Congé spécial"),"",IF(D1005&gt;F1005,D1005-C1005,IF(C1005-D1005&lt;0,0,C1005-D1005))))</f>
        <v/>
      </c>
      <c r="J1005" s="20"/>
      <c r="K1005" s="8" t="n">
        <f aca="false">IF(SUM(H1005:J1005)&lt;0.00068287037037037,0,SUM(H1005:J1005))</f>
        <v>0</v>
      </c>
      <c r="L1005" s="8" t="n">
        <f aca="false">IF(OR(F1005="Congé",F1005="OFF",M1005="Abs",F1005="Congé sans solde",F1005="Férié",F1005="Congé spécial",D1005="Congé spécial"),0,IF(F1005-E1005&lt;0,0,IF(F1005-E1005&lt;=0.00068287037037037,0,F1005-E1005)))</f>
        <v>0</v>
      </c>
      <c r="M1005" s="6" t="str">
        <f aca="false">IF(AND(O1005&lt;&gt;0,C1005=""),"Abs",0)</f>
        <v>Abs</v>
      </c>
      <c r="N1005" s="8" t="str">
        <f aca="false">IFERROR(IF(OR(D1005="OFF",D1005="Congé",M1005="Abs",D1005="Congé sans solde",D1005="Férié"),"",IF(O1005-K1005-L1005&gt;O1005,O1005,IF(O1005-K1005-L1005&lt;0,"",O1005-K1005-L1005))),"")</f>
        <v/>
      </c>
      <c r="O1005" s="8" t="n">
        <f aca="false">IF(AG1005="2H Pause déjeuner",IF(F1005-D1005-0.0833333333333333&lt;0,F1005-D1005-0.0833333333333333+1,F1005-D1005-0.0833333333333333),IF(OR(AND(F1005="OFF",D1005="OFF"),AND(F1005="Congé",D1005="Congé"),AND(F1005="Congé sans solde",D1005="Congé sans solde"),AND(F1005="Congé spécial",D1005="Congé spécial"),AND(F1005="Férié",D1005="Férié"),AND(F1005="OFF",D1005="Congé"),AND(F1005="OFF",D1005="Congé sans solde"),AND(F1005="OFF",D1005="Congé spécial"),AND(F1005="OFF",D1005="Férié"),AND(F1005="Congé",D1005="OFF"),AND(F1005="Congé",D1005="Congé sans solde"),AND(F1005="Congé",D1005="Congé spécial"),AND(F1005="Congé",D1005="Férié"),AND(F1005="Congé sans solde",D1005="OFF"),AND(F1005="Congé sans solde",D1005="Congé"),AND(F1005="Congé sans solde",D1005="Congé spécial"),AND(F1005="Congé sans solde",D1005="Férié"),AND(F1005="Congé spécial",D1005="OFF"),AND(F1005="Congé spécial",D1005="Congé"),AND(F1005="Congé spécial",D1005="Congé sans solde"),AND(F1005="Congé spécial",D1005="Férié"),AND(F1005="Férié",D1005="OFF"),AND(F1005="Férié",D1005="Congé"),AND(F1005="Férié",D1005="Congé sans solde"),AND(F1005="Férié",D1005="Congé spécial")),0,IF(OR(F1005="OFF",F1005="Congé",F1005="Congé spécial",F1005="Congé sans solde",D1005="OFF",D1005="Congé",D1005="Congé spécial",D1005="Congé sans solde"),0.208333333333334,IF(AND(AG1005="",F1005-D1005&lt;0),("24:00:00"-D1005)+("00:00:00"+F1005)-0.0416666666666667,IF(AND(OR(AG1005="Allaitement",AG1005="Sans déjeuner"),F1005-D1005&lt;0),("24:00:00"-D1005)+("00:00:00"+F1005),IF(AND(AG1005="",F1005-D1005&gt;0.166666666666667),F1005-D1005-0.0416666666666667,IF(AND(OR(AG1005="Allaitement",AG1005="Sans déjeuner"),F1005-D1005&gt;0.166666666666667),F1005-D1005,F1005-D1005)))))))</f>
        <v>0.375</v>
      </c>
      <c r="P1005" s="6" t="str">
        <f aca="false">IFERROR(VLOOKUP($B1005,Agents!$A:$D,2,0),"-")</f>
        <v>Accessibilité</v>
      </c>
      <c r="Q1005" s="21" t="n">
        <v>46265</v>
      </c>
      <c r="R1005" s="8" t="n">
        <f aca="false">IF(M1005="Abs",O1005,0)</f>
        <v>0.375</v>
      </c>
      <c r="S1005" s="8" t="n">
        <f aca="false">SUM(R1005,L1005,I1005,J1005,W1005,H1005)</f>
        <v>0.375</v>
      </c>
      <c r="T1005" s="6" t="str">
        <f aca="false">"Sem - "&amp;WEEKNUM(Q1005,21)</f>
        <v>Sem - 36</v>
      </c>
      <c r="U1005" s="6" t="str">
        <f aca="false">CHOOSE(MONTH(Q1005),"Janvier","Février","Mars","Avril","Mai","Juin","Juillet","Août","Septembre","Octobre","Novembre","Décembre")</f>
        <v>Août</v>
      </c>
      <c r="V1005" s="22" t="n">
        <f aca="false">YEAR(Q1005)</f>
        <v>2026</v>
      </c>
      <c r="W1005" s="20"/>
      <c r="X1005" s="8" t="n">
        <f aca="false">IFERROR(IF(M1005="Abs",0,IF(ROUND((D1005-C1005+E1005-F1005)*1440,0)&lt;=1,0,D1005-C1005+E1005-F1005)),0)</f>
        <v>0</v>
      </c>
      <c r="Y1005" s="6" t="str">
        <f aca="false">IFERROR(VLOOKUP($B1005,Agents!$A:$D,3,0),"-")</f>
        <v>OUBRAHIM Mohammed</v>
      </c>
      <c r="Z1005" s="6" t="str">
        <f aca="false">IFERROR(VLOOKUP($B1005,Agents!$A:$D,4,0),"-")</f>
        <v>Credit Mutuel</v>
      </c>
      <c r="AA1005" s="18" t="s">
        <v>118</v>
      </c>
      <c r="AB1005" s="8" t="str">
        <f aca="false">IF(AND(D1005="Congé",F1005="Congé"),0.333333333333333,IF(OR(AND(D1005="Congé",F1005&lt;&gt;"Congé"),(AND(F1005="Congé",D1005&lt;&gt;"Congé"))),0.166666666666667,""))</f>
        <v/>
      </c>
      <c r="AC1005" s="8" t="str">
        <f aca="false">IF(AND(D1005="Congé sans solde",F1005="Congé sans solde"),0.333333333333333,IF(OR(AND(D1005="Congé sans solde",F1005&lt;&gt;"Congé sans solde"),(AND(F1005="Congé sans solde",D1005&lt;&gt;"Congé sans solde"))),0.166666666666667,""))</f>
        <v/>
      </c>
      <c r="AD1005" s="8" t="str">
        <f aca="false">IF(AND(D1005="Congé spécial",F1005="Congé spécial"),0.333333333333333,IF(OR(AND(D1005="Congé spécial",F1005&lt;&gt;"Congé spécial"),AND(F1005="Congé spécial",D1005&lt;&gt;"Congé spécial")),0.166666666666667,""))</f>
        <v/>
      </c>
      <c r="AE1005" s="8" t="str">
        <f aca="false">IF(AND(D1005="Férié",F1005="Férié"),0.333333333333333,IF(OR(AND(D1005="Férié",F1005&lt;&gt;"Férié"),(AND(F1005="Férié",D1005&lt;&gt;"Férié"))),0.166666666666667,""))</f>
        <v/>
      </c>
      <c r="AF1005" s="18"/>
      <c r="AG1005" s="18"/>
    </row>
    <row r="1006" customFormat="false" ht="15" hidden="false" customHeight="false" outlineLevel="0" collapsed="false">
      <c r="A1006" s="6" t="str">
        <f aca="false">YEAR(Q1006-WEEKDAY(Q1006,2)+4)&amp;"-S"&amp;TEXT(WEEKNUM(Q1006,21),"00")</f>
        <v>2026-S36</v>
      </c>
      <c r="B1006" s="18" t="s">
        <v>71</v>
      </c>
      <c r="C1006" s="19"/>
      <c r="D1006" s="19" t="n">
        <v>0.333333333333333</v>
      </c>
      <c r="E1006" s="19"/>
      <c r="F1006" s="19" t="n">
        <v>0.75</v>
      </c>
      <c r="G1006" s="20"/>
      <c r="H1006" s="20"/>
      <c r="I1006" s="8" t="str">
        <f aca="false">IF(IF(OR(C1006="",D1006="Congé",D1006="OFF",D1006="Congé spécial"),"",IF(D1006&gt;F1006,D1006-C1006,IF(C1006-D1006&lt;0,0,C1006-D1006)))&lt;0.00068287037037037,"",IF(OR(D1006="Congé",D1006="OFF",C1006="",D1006="Congé spécial"),"",IF(D1006&gt;F1006,D1006-C1006,IF(C1006-D1006&lt;0,0,C1006-D1006))))</f>
        <v/>
      </c>
      <c r="J1006" s="20"/>
      <c r="K1006" s="8" t="n">
        <f aca="false">IF(SUM(H1006:J1006)&lt;0.00068287037037037,0,SUM(H1006:J1006))</f>
        <v>0</v>
      </c>
      <c r="L1006" s="8" t="n">
        <f aca="false">IF(OR(F1006="Congé",F1006="OFF",M1006="Abs",F1006="Congé sans solde",F1006="Férié",F1006="Congé spécial",D1006="Congé spécial"),0,IF(F1006-E1006&lt;0,0,IF(F1006-E1006&lt;=0.00068287037037037,0,F1006-E1006)))</f>
        <v>0</v>
      </c>
      <c r="M1006" s="6" t="str">
        <f aca="false">IF(AND(O1006&lt;&gt;0,C1006=""),"Abs",0)</f>
        <v>Abs</v>
      </c>
      <c r="N1006" s="8" t="str">
        <f aca="false">IFERROR(IF(OR(D1006="OFF",D1006="Congé",M1006="Abs",D1006="Congé sans solde",D1006="Férié"),"",IF(O1006-K1006-L1006&gt;O1006,O1006,IF(O1006-K1006-L1006&lt;0,"",O1006-K1006-L1006))),"")</f>
        <v/>
      </c>
      <c r="O1006" s="8" t="n">
        <f aca="false">IF(AG1006="2H Pause déjeuner",IF(F1006-D1006-0.0833333333333333&lt;0,F1006-D1006-0.0833333333333333+1,F1006-D1006-0.0833333333333333),IF(OR(AND(F1006="OFF",D1006="OFF"),AND(F1006="Congé",D1006="Congé"),AND(F1006="Congé sans solde",D1006="Congé sans solde"),AND(F1006="Congé spécial",D1006="Congé spécial"),AND(F1006="Férié",D1006="Férié"),AND(F1006="OFF",D1006="Congé"),AND(F1006="OFF",D1006="Congé sans solde"),AND(F1006="OFF",D1006="Congé spécial"),AND(F1006="OFF",D1006="Férié"),AND(F1006="Congé",D1006="OFF"),AND(F1006="Congé",D1006="Congé sans solde"),AND(F1006="Congé",D1006="Congé spécial"),AND(F1006="Congé",D1006="Férié"),AND(F1006="Congé sans solde",D1006="OFF"),AND(F1006="Congé sans solde",D1006="Congé"),AND(F1006="Congé sans solde",D1006="Congé spécial"),AND(F1006="Congé sans solde",D1006="Férié"),AND(F1006="Congé spécial",D1006="OFF"),AND(F1006="Congé spécial",D1006="Congé"),AND(F1006="Congé spécial",D1006="Congé sans solde"),AND(F1006="Congé spécial",D1006="Férié"),AND(F1006="Férié",D1006="OFF"),AND(F1006="Férié",D1006="Congé"),AND(F1006="Férié",D1006="Congé sans solde"),AND(F1006="Férié",D1006="Congé spécial")),0,IF(OR(F1006="OFF",F1006="Congé",F1006="Congé spécial",F1006="Congé sans solde",D1006="OFF",D1006="Congé",D1006="Congé spécial",D1006="Congé sans solde"),0.208333333333334,IF(AND(AG1006="",F1006-D1006&lt;0),("24:00:00"-D1006)+("00:00:00"+F1006)-0.0416666666666667,IF(AND(OR(AG1006="Allaitement",AG1006="Sans déjeuner"),F1006-D1006&lt;0),("24:00:00"-D1006)+("00:00:00"+F1006),IF(AND(AG1006="",F1006-D1006&gt;0.166666666666667),F1006-D1006-0.0416666666666667,IF(AND(OR(AG1006="Allaitement",AG1006="Sans déjeuner"),F1006-D1006&gt;0.166666666666667),F1006-D1006,F1006-D1006)))))))</f>
        <v>0.375</v>
      </c>
      <c r="P1006" s="6" t="str">
        <f aca="false">IFERROR(VLOOKUP($B1006,Agents!$A:$D,2,0),"-")</f>
        <v>Accessibilité</v>
      </c>
      <c r="Q1006" s="21" t="n">
        <v>46266</v>
      </c>
      <c r="R1006" s="8" t="n">
        <f aca="false">IF(M1006="Abs",O1006,0)</f>
        <v>0.375</v>
      </c>
      <c r="S1006" s="8" t="n">
        <f aca="false">SUM(R1006,L1006,I1006,J1006,W1006,H1006)</f>
        <v>0.375</v>
      </c>
      <c r="T1006" s="6" t="str">
        <f aca="false">"Sem - "&amp;WEEKNUM(Q1006,21)</f>
        <v>Sem - 36</v>
      </c>
      <c r="U1006" s="6" t="str">
        <f aca="false">CHOOSE(MONTH(Q1006),"Janvier","Février","Mars","Avril","Mai","Juin","Juillet","Août","Septembre","Octobre","Novembre","Décembre")</f>
        <v>Septembre</v>
      </c>
      <c r="V1006" s="22" t="n">
        <f aca="false">YEAR(Q1006)</f>
        <v>2026</v>
      </c>
      <c r="W1006" s="20"/>
      <c r="X1006" s="8" t="n">
        <f aca="false">IFERROR(IF(M1006="Abs",0,IF(ROUND((D1006-C1006+E1006-F1006)*1440,0)&lt;=1,0,D1006-C1006+E1006-F1006)),0)</f>
        <v>0</v>
      </c>
      <c r="Y1006" s="6" t="str">
        <f aca="false">IFERROR(VLOOKUP($B1006,Agents!$A:$D,3,0),"-")</f>
        <v>OUBRAHIM Mohammed</v>
      </c>
      <c r="Z1006" s="6" t="str">
        <f aca="false">IFERROR(VLOOKUP($B1006,Agents!$A:$D,4,0),"-")</f>
        <v>Credit Mutuel</v>
      </c>
      <c r="AA1006" s="18" t="s">
        <v>118</v>
      </c>
      <c r="AB1006" s="8" t="str">
        <f aca="false">IF(AND(D1006="Congé",F1006="Congé"),0.333333333333333,IF(OR(AND(D1006="Congé",F1006&lt;&gt;"Congé"),(AND(F1006="Congé",D1006&lt;&gt;"Congé"))),0.166666666666667,""))</f>
        <v/>
      </c>
      <c r="AC1006" s="8" t="str">
        <f aca="false">IF(AND(D1006="Congé sans solde",F1006="Congé sans solde"),0.333333333333333,IF(OR(AND(D1006="Congé sans solde",F1006&lt;&gt;"Congé sans solde"),(AND(F1006="Congé sans solde",D1006&lt;&gt;"Congé sans solde"))),0.166666666666667,""))</f>
        <v/>
      </c>
      <c r="AD1006" s="8" t="str">
        <f aca="false">IF(AND(D1006="Congé spécial",F1006="Congé spécial"),0.333333333333333,IF(OR(AND(D1006="Congé spécial",F1006&lt;&gt;"Congé spécial"),AND(F1006="Congé spécial",D1006&lt;&gt;"Congé spécial")),0.166666666666667,""))</f>
        <v/>
      </c>
      <c r="AE1006" s="8" t="str">
        <f aca="false">IF(AND(D1006="Férié",F1006="Férié"),0.333333333333333,IF(OR(AND(D1006="Férié",F1006&lt;&gt;"Férié"),(AND(F1006="Férié",D1006&lt;&gt;"Férié"))),0.166666666666667,""))</f>
        <v/>
      </c>
      <c r="AF1006" s="18"/>
      <c r="AG1006" s="18"/>
    </row>
    <row r="1007" customFormat="false" ht="15" hidden="false" customHeight="false" outlineLevel="0" collapsed="false">
      <c r="A1007" s="6" t="str">
        <f aca="false">YEAR(Q1007-WEEKDAY(Q1007,2)+4)&amp;"-S"&amp;TEXT(WEEKNUM(Q1007,21),"00")</f>
        <v>2026-S36</v>
      </c>
      <c r="B1007" s="18" t="s">
        <v>72</v>
      </c>
      <c r="C1007" s="19"/>
      <c r="D1007" s="19" t="s">
        <v>83</v>
      </c>
      <c r="E1007" s="19"/>
      <c r="F1007" s="19" t="s">
        <v>83</v>
      </c>
      <c r="G1007" s="20"/>
      <c r="H1007" s="20"/>
      <c r="I1007" s="8" t="str">
        <f aca="false">IF(IF(OR(C1007="",D1007="Congé",D1007="OFF",D1007="Congé spécial"),"",IF(D1007&gt;F1007,D1007-C1007,IF(C1007-D1007&lt;0,0,C1007-D1007)))&lt;0.00068287037037037,"",IF(OR(D1007="Congé",D1007="OFF",C1007="",D1007="Congé spécial"),"",IF(D1007&gt;F1007,D1007-C1007,IF(C1007-D1007&lt;0,0,C1007-D1007))))</f>
        <v/>
      </c>
      <c r="J1007" s="20"/>
      <c r="K1007" s="8" t="n">
        <f aca="false">IF(SUM(H1007:J1007)&lt;0.00068287037037037,0,SUM(H1007:J1007))</f>
        <v>0</v>
      </c>
      <c r="L1007" s="8" t="n">
        <f aca="false">IF(OR(F1007="Congé",F1007="OFF",M1007="Abs",F1007="Congé sans solde",F1007="Férié",F1007="Congé spécial",D1007="Congé spécial"),0,IF(F1007-E1007&lt;0,0,IF(F1007-E1007&lt;=0.00068287037037037,0,F1007-E1007)))</f>
        <v>0</v>
      </c>
      <c r="M1007" s="6" t="n">
        <f aca="false">IF(AND(O1007&lt;&gt;0,C1007=""),"Abs",0)</f>
        <v>0</v>
      </c>
      <c r="N1007" s="8" t="str">
        <f aca="false">IFERROR(IF(OR(D1007="OFF",D1007="Congé",M1007="Abs",D1007="Congé sans solde",D1007="Férié"),"",IF(O1007-K1007-L1007&gt;O1007,O1007,IF(O1007-K1007-L1007&lt;0,"",O1007-K1007-L1007))),"")</f>
        <v/>
      </c>
      <c r="O1007" s="8" t="n">
        <f aca="false">IF(AG1007="2H Pause déjeuner",IF(F1007-D1007-0.0833333333333333&lt;0,F1007-D1007-0.0833333333333333+1,F1007-D1007-0.0833333333333333),IF(OR(AND(F1007="OFF",D1007="OFF"),AND(F1007="Congé",D1007="Congé"),AND(F1007="Congé sans solde",D1007="Congé sans solde"),AND(F1007="Congé spécial",D1007="Congé spécial"),AND(F1007="Férié",D1007="Férié"),AND(F1007="OFF",D1007="Congé"),AND(F1007="OFF",D1007="Congé sans solde"),AND(F1007="OFF",D1007="Congé spécial"),AND(F1007="OFF",D1007="Férié"),AND(F1007="Congé",D1007="OFF"),AND(F1007="Congé",D1007="Congé sans solde"),AND(F1007="Congé",D1007="Congé spécial"),AND(F1007="Congé",D1007="Férié"),AND(F1007="Congé sans solde",D1007="OFF"),AND(F1007="Congé sans solde",D1007="Congé"),AND(F1007="Congé sans solde",D1007="Congé spécial"),AND(F1007="Congé sans solde",D1007="Férié"),AND(F1007="Congé spécial",D1007="OFF"),AND(F1007="Congé spécial",D1007="Congé"),AND(F1007="Congé spécial",D1007="Congé sans solde"),AND(F1007="Congé spécial",D1007="Férié"),AND(F1007="Férié",D1007="OFF"),AND(F1007="Férié",D1007="Congé"),AND(F1007="Férié",D1007="Congé sans solde"),AND(F1007="Férié",D1007="Congé spécial")),0,IF(OR(F1007="OFF",F1007="Congé",F1007="Congé spécial",F1007="Congé sans solde",D1007="OFF",D1007="Congé",D1007="Congé spécial",D1007="Congé sans solde"),0.208333333333334,IF(AND(AG1007="",F1007-D1007&lt;0),("24:00:00"-D1007)+("00:00:00"+F1007)-0.0416666666666667,IF(AND(OR(AG1007="Allaitement",AG1007="Sans déjeuner"),F1007-D1007&lt;0),("24:00:00"-D1007)+("00:00:00"+F1007),IF(AND(AG1007="",F1007-D1007&gt;0.166666666666667),F1007-D1007-0.0416666666666667,IF(AND(OR(AG1007="Allaitement",AG1007="Sans déjeuner"),F1007-D1007&gt;0.166666666666667),F1007-D1007,F1007-D1007)))))))</f>
        <v>0</v>
      </c>
      <c r="P1007" s="6" t="str">
        <f aca="false">IFERROR(VLOOKUP($B1007,Agents!$A:$D,2,0),"-")</f>
        <v>Accessibilité</v>
      </c>
      <c r="Q1007" s="21" t="n">
        <v>46266</v>
      </c>
      <c r="R1007" s="8" t="n">
        <f aca="false">IF(M1007="Abs",O1007,0)</f>
        <v>0</v>
      </c>
      <c r="S1007" s="8" t="n">
        <f aca="false">SUM(R1007,L1007,I1007,J1007,W1007,H1007)</f>
        <v>0</v>
      </c>
      <c r="T1007" s="6" t="str">
        <f aca="false">"Sem - "&amp;WEEKNUM(Q1007,21)</f>
        <v>Sem - 36</v>
      </c>
      <c r="U1007" s="6" t="str">
        <f aca="false">CHOOSE(MONTH(Q1007),"Janvier","Février","Mars","Avril","Mai","Juin","Juillet","Août","Septembre","Octobre","Novembre","Décembre")</f>
        <v>Septembre</v>
      </c>
      <c r="V1007" s="22" t="n">
        <f aca="false">YEAR(Q1007)</f>
        <v>2026</v>
      </c>
      <c r="W1007" s="20"/>
      <c r="X1007" s="8" t="n">
        <f aca="false">IFERROR(IF(M1007="Abs",0,IF(ROUND((D1007-C1007+E1007-F1007)*1440,0)&lt;=1,0,D1007-C1007+E1007-F1007)),0)</f>
        <v>0</v>
      </c>
      <c r="Y1007" s="6" t="str">
        <f aca="false">IFERROR(VLOOKUP($B1007,Agents!$A:$D,3,0),"-")</f>
        <v>OUBRAHIM Mohammed</v>
      </c>
      <c r="Z1007" s="6" t="str">
        <f aca="false">IFERROR(VLOOKUP($B1007,Agents!$A:$D,4,0),"-")</f>
        <v>Credit Mutuel</v>
      </c>
      <c r="AA1007" s="18" t="s">
        <v>118</v>
      </c>
      <c r="AB1007" s="8" t="n">
        <f aca="false">IF(AND(D1007="Congé",F1007="Congé"),0.333333333333333,IF(OR(AND(D1007="Congé",F1007&lt;&gt;"Congé"),(AND(F1007="Congé",D1007&lt;&gt;"Congé"))),0.166666666666667,""))</f>
        <v>0.333333333333333</v>
      </c>
      <c r="AC1007" s="8" t="str">
        <f aca="false">IF(AND(D1007="Congé sans solde",F1007="Congé sans solde"),0.333333333333333,IF(OR(AND(D1007="Congé sans solde",F1007&lt;&gt;"Congé sans solde"),(AND(F1007="Congé sans solde",D1007&lt;&gt;"Congé sans solde"))),0.166666666666667,""))</f>
        <v/>
      </c>
      <c r="AD1007" s="8" t="str">
        <f aca="false">IF(AND(D1007="Congé spécial",F1007="Congé spécial"),0.333333333333333,IF(OR(AND(D1007="Congé spécial",F1007&lt;&gt;"Congé spécial"),AND(F1007="Congé spécial",D1007&lt;&gt;"Congé spécial")),0.166666666666667,""))</f>
        <v/>
      </c>
      <c r="AE1007" s="8" t="str">
        <f aca="false">IF(AND(D1007="Férié",F1007="Férié"),0.333333333333333,IF(OR(AND(D1007="Férié",F1007&lt;&gt;"Férié"),(AND(F1007="Férié",D1007&lt;&gt;"Férié"))),0.166666666666667,""))</f>
        <v/>
      </c>
      <c r="AF1007" s="18"/>
      <c r="AG1007" s="18"/>
    </row>
    <row r="1008" customFormat="false" ht="15" hidden="false" customHeight="false" outlineLevel="0" collapsed="false">
      <c r="A1008" s="6" t="str">
        <f aca="false">YEAR(Q1008-WEEKDAY(Q1008,2)+4)&amp;"-S"&amp;TEXT(WEEKNUM(Q1008,21),"00")</f>
        <v>2026-S36</v>
      </c>
      <c r="B1008" s="18" t="s">
        <v>73</v>
      </c>
      <c r="C1008" s="19"/>
      <c r="D1008" s="19" t="n">
        <v>0.333333333333333</v>
      </c>
      <c r="E1008" s="19"/>
      <c r="F1008" s="19" t="n">
        <v>0.75</v>
      </c>
      <c r="G1008" s="20"/>
      <c r="H1008" s="20"/>
      <c r="I1008" s="8" t="str">
        <f aca="false">IF(IF(OR(C1008="",D1008="Congé",D1008="OFF",D1008="Congé spécial"),"",IF(D1008&gt;F1008,D1008-C1008,IF(C1008-D1008&lt;0,0,C1008-D1008)))&lt;0.00068287037037037,"",IF(OR(D1008="Congé",D1008="OFF",C1008="",D1008="Congé spécial"),"",IF(D1008&gt;F1008,D1008-C1008,IF(C1008-D1008&lt;0,0,C1008-D1008))))</f>
        <v/>
      </c>
      <c r="J1008" s="20"/>
      <c r="K1008" s="8" t="n">
        <f aca="false">IF(SUM(H1008:J1008)&lt;0.00068287037037037,0,SUM(H1008:J1008))</f>
        <v>0</v>
      </c>
      <c r="L1008" s="8" t="n">
        <f aca="false">IF(OR(F1008="Congé",F1008="OFF",M1008="Abs",F1008="Congé sans solde",F1008="Férié",F1008="Congé spécial",D1008="Congé spécial"),0,IF(F1008-E1008&lt;0,0,IF(F1008-E1008&lt;=0.00068287037037037,0,F1008-E1008)))</f>
        <v>0</v>
      </c>
      <c r="M1008" s="6" t="str">
        <f aca="false">IF(AND(O1008&lt;&gt;0,C1008=""),"Abs",0)</f>
        <v>Abs</v>
      </c>
      <c r="N1008" s="8" t="str">
        <f aca="false">IFERROR(IF(OR(D1008="OFF",D1008="Congé",M1008="Abs",D1008="Congé sans solde",D1008="Férié"),"",IF(O1008-K1008-L1008&gt;O1008,O1008,IF(O1008-K1008-L1008&lt;0,"",O1008-K1008-L1008))),"")</f>
        <v/>
      </c>
      <c r="O1008" s="8" t="n">
        <f aca="false">IF(AG1008="2H Pause déjeuner",IF(F1008-D1008-0.0833333333333333&lt;0,F1008-D1008-0.0833333333333333+1,F1008-D1008-0.0833333333333333),IF(OR(AND(F1008="OFF",D1008="OFF"),AND(F1008="Congé",D1008="Congé"),AND(F1008="Congé sans solde",D1008="Congé sans solde"),AND(F1008="Congé spécial",D1008="Congé spécial"),AND(F1008="Férié",D1008="Férié"),AND(F1008="OFF",D1008="Congé"),AND(F1008="OFF",D1008="Congé sans solde"),AND(F1008="OFF",D1008="Congé spécial"),AND(F1008="OFF",D1008="Férié"),AND(F1008="Congé",D1008="OFF"),AND(F1008="Congé",D1008="Congé sans solde"),AND(F1008="Congé",D1008="Congé spécial"),AND(F1008="Congé",D1008="Férié"),AND(F1008="Congé sans solde",D1008="OFF"),AND(F1008="Congé sans solde",D1008="Congé"),AND(F1008="Congé sans solde",D1008="Congé spécial"),AND(F1008="Congé sans solde",D1008="Férié"),AND(F1008="Congé spécial",D1008="OFF"),AND(F1008="Congé spécial",D1008="Congé"),AND(F1008="Congé spécial",D1008="Congé sans solde"),AND(F1008="Congé spécial",D1008="Férié"),AND(F1008="Férié",D1008="OFF"),AND(F1008="Férié",D1008="Congé"),AND(F1008="Férié",D1008="Congé sans solde"),AND(F1008="Férié",D1008="Congé spécial")),0,IF(OR(F1008="OFF",F1008="Congé",F1008="Congé spécial",F1008="Congé sans solde",D1008="OFF",D1008="Congé",D1008="Congé spécial",D1008="Congé sans solde"),0.208333333333334,IF(AND(AG1008="",F1008-D1008&lt;0),("24:00:00"-D1008)+("00:00:00"+F1008)-0.0416666666666667,IF(AND(OR(AG1008="Allaitement",AG1008="Sans déjeuner"),F1008-D1008&lt;0),("24:00:00"-D1008)+("00:00:00"+F1008),IF(AND(AG1008="",F1008-D1008&gt;0.166666666666667),F1008-D1008-0.0416666666666667,IF(AND(OR(AG1008="Allaitement",AG1008="Sans déjeuner"),F1008-D1008&gt;0.166666666666667),F1008-D1008,F1008-D1008)))))))</f>
        <v>0.375</v>
      </c>
      <c r="P1008" s="6" t="str">
        <f aca="false">IFERROR(VLOOKUP($B1008,Agents!$A:$D,2,0),"-")</f>
        <v>Accessibilité</v>
      </c>
      <c r="Q1008" s="21" t="n">
        <v>46266</v>
      </c>
      <c r="R1008" s="8" t="n">
        <f aca="false">IF(M1008="Abs",O1008,0)</f>
        <v>0.375</v>
      </c>
      <c r="S1008" s="8" t="n">
        <f aca="false">SUM(R1008,L1008,I1008,J1008,W1008,H1008)</f>
        <v>0.375</v>
      </c>
      <c r="T1008" s="6" t="str">
        <f aca="false">"Sem - "&amp;WEEKNUM(Q1008,21)</f>
        <v>Sem - 36</v>
      </c>
      <c r="U1008" s="6" t="str">
        <f aca="false">CHOOSE(MONTH(Q1008),"Janvier","Février","Mars","Avril","Mai","Juin","Juillet","Août","Septembre","Octobre","Novembre","Décembre")</f>
        <v>Septembre</v>
      </c>
      <c r="V1008" s="22" t="n">
        <f aca="false">YEAR(Q1008)</f>
        <v>2026</v>
      </c>
      <c r="W1008" s="20"/>
      <c r="X1008" s="8" t="n">
        <f aca="false">IFERROR(IF(M1008="Abs",0,IF(ROUND((D1008-C1008+E1008-F1008)*1440,0)&lt;=1,0,D1008-C1008+E1008-F1008)),0)</f>
        <v>0</v>
      </c>
      <c r="Y1008" s="6" t="str">
        <f aca="false">IFERROR(VLOOKUP($B1008,Agents!$A:$D,3,0),"-")</f>
        <v>OUBRAHIM Mohammed</v>
      </c>
      <c r="Z1008" s="6" t="str">
        <f aca="false">IFERROR(VLOOKUP($B1008,Agents!$A:$D,4,0),"-")</f>
        <v>Credit Mutuel</v>
      </c>
      <c r="AA1008" s="18" t="s">
        <v>118</v>
      </c>
      <c r="AB1008" s="8" t="str">
        <f aca="false">IF(AND(D1008="Congé",F1008="Congé"),0.333333333333333,IF(OR(AND(D1008="Congé",F1008&lt;&gt;"Congé"),(AND(F1008="Congé",D1008&lt;&gt;"Congé"))),0.166666666666667,""))</f>
        <v/>
      </c>
      <c r="AC1008" s="8" t="str">
        <f aca="false">IF(AND(D1008="Congé sans solde",F1008="Congé sans solde"),0.333333333333333,IF(OR(AND(D1008="Congé sans solde",F1008&lt;&gt;"Congé sans solde"),(AND(F1008="Congé sans solde",D1008&lt;&gt;"Congé sans solde"))),0.166666666666667,""))</f>
        <v/>
      </c>
      <c r="AD1008" s="8" t="str">
        <f aca="false">IF(AND(D1008="Congé spécial",F1008="Congé spécial"),0.333333333333333,IF(OR(AND(D1008="Congé spécial",F1008&lt;&gt;"Congé spécial"),AND(F1008="Congé spécial",D1008&lt;&gt;"Congé spécial")),0.166666666666667,""))</f>
        <v/>
      </c>
      <c r="AE1008" s="8" t="str">
        <f aca="false">IF(AND(D1008="Férié",F1008="Férié"),0.333333333333333,IF(OR(AND(D1008="Férié",F1008&lt;&gt;"Férié"),(AND(F1008="Férié",D1008&lt;&gt;"Férié"))),0.166666666666667,""))</f>
        <v/>
      </c>
      <c r="AF1008" s="18"/>
      <c r="AG1008" s="18"/>
    </row>
    <row r="1009" customFormat="false" ht="15" hidden="false" customHeight="false" outlineLevel="0" collapsed="false">
      <c r="A1009" s="6" t="str">
        <f aca="false">YEAR(Q1009-WEEKDAY(Q1009,2)+4)&amp;"-S"&amp;TEXT(WEEKNUM(Q1009,21),"00")</f>
        <v>2026-S36</v>
      </c>
      <c r="B1009" s="18" t="s">
        <v>71</v>
      </c>
      <c r="C1009" s="19"/>
      <c r="D1009" s="19" t="n">
        <v>0.333333333333333</v>
      </c>
      <c r="E1009" s="19"/>
      <c r="F1009" s="19" t="n">
        <v>0.75</v>
      </c>
      <c r="G1009" s="20"/>
      <c r="H1009" s="20"/>
      <c r="I1009" s="8" t="str">
        <f aca="false">IF(IF(OR(C1009="",D1009="Congé",D1009="OFF",D1009="Congé spécial"),"",IF(D1009&gt;F1009,D1009-C1009,IF(C1009-D1009&lt;0,0,C1009-D1009)))&lt;0.00068287037037037,"",IF(OR(D1009="Congé",D1009="OFF",C1009="",D1009="Congé spécial"),"",IF(D1009&gt;F1009,D1009-C1009,IF(C1009-D1009&lt;0,0,C1009-D1009))))</f>
        <v/>
      </c>
      <c r="J1009" s="20"/>
      <c r="K1009" s="8" t="n">
        <f aca="false">IF(SUM(H1009:J1009)&lt;0.00068287037037037,0,SUM(H1009:J1009))</f>
        <v>0</v>
      </c>
      <c r="L1009" s="8" t="n">
        <f aca="false">IF(OR(F1009="Congé",F1009="OFF",M1009="Abs",F1009="Congé sans solde",F1009="Férié",F1009="Congé spécial",D1009="Congé spécial"),0,IF(F1009-E1009&lt;0,0,IF(F1009-E1009&lt;=0.00068287037037037,0,F1009-E1009)))</f>
        <v>0</v>
      </c>
      <c r="M1009" s="6" t="str">
        <f aca="false">IF(AND(O1009&lt;&gt;0,C1009=""),"Abs",0)</f>
        <v>Abs</v>
      </c>
      <c r="N1009" s="8" t="str">
        <f aca="false">IFERROR(IF(OR(D1009="OFF",D1009="Congé",M1009="Abs",D1009="Congé sans solde",D1009="Férié"),"",IF(O1009-K1009-L1009&gt;O1009,O1009,IF(O1009-K1009-L1009&lt;0,"",O1009-K1009-L1009))),"")</f>
        <v/>
      </c>
      <c r="O1009" s="8" t="n">
        <f aca="false">IF(AG1009="2H Pause déjeuner",IF(F1009-D1009-0.0833333333333333&lt;0,F1009-D1009-0.0833333333333333+1,F1009-D1009-0.0833333333333333),IF(OR(AND(F1009="OFF",D1009="OFF"),AND(F1009="Congé",D1009="Congé"),AND(F1009="Congé sans solde",D1009="Congé sans solde"),AND(F1009="Congé spécial",D1009="Congé spécial"),AND(F1009="Férié",D1009="Férié"),AND(F1009="OFF",D1009="Congé"),AND(F1009="OFF",D1009="Congé sans solde"),AND(F1009="OFF",D1009="Congé spécial"),AND(F1009="OFF",D1009="Férié"),AND(F1009="Congé",D1009="OFF"),AND(F1009="Congé",D1009="Congé sans solde"),AND(F1009="Congé",D1009="Congé spécial"),AND(F1009="Congé",D1009="Férié"),AND(F1009="Congé sans solde",D1009="OFF"),AND(F1009="Congé sans solde",D1009="Congé"),AND(F1009="Congé sans solde",D1009="Congé spécial"),AND(F1009="Congé sans solde",D1009="Férié"),AND(F1009="Congé spécial",D1009="OFF"),AND(F1009="Congé spécial",D1009="Congé"),AND(F1009="Congé spécial",D1009="Congé sans solde"),AND(F1009="Congé spécial",D1009="Férié"),AND(F1009="Férié",D1009="OFF"),AND(F1009="Férié",D1009="Congé"),AND(F1009="Férié",D1009="Congé sans solde"),AND(F1009="Férié",D1009="Congé spécial")),0,IF(OR(F1009="OFF",F1009="Congé",F1009="Congé spécial",F1009="Congé sans solde",D1009="OFF",D1009="Congé",D1009="Congé spécial",D1009="Congé sans solde"),0.208333333333334,IF(AND(AG1009="",F1009-D1009&lt;0),("24:00:00"-D1009)+("00:00:00"+F1009)-0.0416666666666667,IF(AND(OR(AG1009="Allaitement",AG1009="Sans déjeuner"),F1009-D1009&lt;0),("24:00:00"-D1009)+("00:00:00"+F1009),IF(AND(AG1009="",F1009-D1009&gt;0.166666666666667),F1009-D1009-0.0416666666666667,IF(AND(OR(AG1009="Allaitement",AG1009="Sans déjeuner"),F1009-D1009&gt;0.166666666666667),F1009-D1009,F1009-D1009)))))))</f>
        <v>0.375</v>
      </c>
      <c r="P1009" s="6" t="str">
        <f aca="false">IFERROR(VLOOKUP($B1009,Agents!$A:$D,2,0),"-")</f>
        <v>Accessibilité</v>
      </c>
      <c r="Q1009" s="21" t="n">
        <v>46267</v>
      </c>
      <c r="R1009" s="8" t="n">
        <f aca="false">IF(M1009="Abs",O1009,0)</f>
        <v>0.375</v>
      </c>
      <c r="S1009" s="8" t="n">
        <f aca="false">SUM(R1009,L1009,I1009,J1009,W1009,H1009)</f>
        <v>0.375</v>
      </c>
      <c r="T1009" s="6" t="str">
        <f aca="false">"Sem - "&amp;WEEKNUM(Q1009,21)</f>
        <v>Sem - 36</v>
      </c>
      <c r="U1009" s="6" t="str">
        <f aca="false">CHOOSE(MONTH(Q1009),"Janvier","Février","Mars","Avril","Mai","Juin","Juillet","Août","Septembre","Octobre","Novembre","Décembre")</f>
        <v>Septembre</v>
      </c>
      <c r="V1009" s="22" t="n">
        <f aca="false">YEAR(Q1009)</f>
        <v>2026</v>
      </c>
      <c r="W1009" s="20"/>
      <c r="X1009" s="8" t="n">
        <f aca="false">IFERROR(IF(M1009="Abs",0,IF(ROUND((D1009-C1009+E1009-F1009)*1440,0)&lt;=1,0,D1009-C1009+E1009-F1009)),0)</f>
        <v>0</v>
      </c>
      <c r="Y1009" s="6" t="str">
        <f aca="false">IFERROR(VLOOKUP($B1009,Agents!$A:$D,3,0),"-")</f>
        <v>OUBRAHIM Mohammed</v>
      </c>
      <c r="Z1009" s="6" t="str">
        <f aca="false">IFERROR(VLOOKUP($B1009,Agents!$A:$D,4,0),"-")</f>
        <v>Credit Mutuel</v>
      </c>
      <c r="AA1009" s="18" t="s">
        <v>118</v>
      </c>
      <c r="AB1009" s="8" t="str">
        <f aca="false">IF(AND(D1009="Congé",F1009="Congé"),0.333333333333333,IF(OR(AND(D1009="Congé",F1009&lt;&gt;"Congé"),(AND(F1009="Congé",D1009&lt;&gt;"Congé"))),0.166666666666667,""))</f>
        <v/>
      </c>
      <c r="AC1009" s="8" t="str">
        <f aca="false">IF(AND(D1009="Congé sans solde",F1009="Congé sans solde"),0.333333333333333,IF(OR(AND(D1009="Congé sans solde",F1009&lt;&gt;"Congé sans solde"),(AND(F1009="Congé sans solde",D1009&lt;&gt;"Congé sans solde"))),0.166666666666667,""))</f>
        <v/>
      </c>
      <c r="AD1009" s="8" t="str">
        <f aca="false">IF(AND(D1009="Congé spécial",F1009="Congé spécial"),0.333333333333333,IF(OR(AND(D1009="Congé spécial",F1009&lt;&gt;"Congé spécial"),AND(F1009="Congé spécial",D1009&lt;&gt;"Congé spécial")),0.166666666666667,""))</f>
        <v/>
      </c>
      <c r="AE1009" s="8" t="str">
        <f aca="false">IF(AND(D1009="Férié",F1009="Férié"),0.333333333333333,IF(OR(AND(D1009="Férié",F1009&lt;&gt;"Férié"),(AND(F1009="Férié",D1009&lt;&gt;"Férié"))),0.166666666666667,""))</f>
        <v/>
      </c>
      <c r="AF1009" s="18"/>
      <c r="AG1009" s="18"/>
    </row>
    <row r="1010" customFormat="false" ht="15" hidden="false" customHeight="false" outlineLevel="0" collapsed="false">
      <c r="A1010" s="6" t="str">
        <f aca="false">YEAR(Q1010-WEEKDAY(Q1010,2)+4)&amp;"-S"&amp;TEXT(WEEKNUM(Q1010,21),"00")</f>
        <v>2026-S36</v>
      </c>
      <c r="B1010" s="18" t="s">
        <v>72</v>
      </c>
      <c r="C1010" s="19"/>
      <c r="D1010" s="19" t="s">
        <v>83</v>
      </c>
      <c r="E1010" s="19"/>
      <c r="F1010" s="19" t="s">
        <v>83</v>
      </c>
      <c r="G1010" s="20"/>
      <c r="H1010" s="20"/>
      <c r="I1010" s="8" t="str">
        <f aca="false">IF(IF(OR(C1010="",D1010="Congé",D1010="OFF",D1010="Congé spécial"),"",IF(D1010&gt;F1010,D1010-C1010,IF(C1010-D1010&lt;0,0,C1010-D1010)))&lt;0.00068287037037037,"",IF(OR(D1010="Congé",D1010="OFF",C1010="",D1010="Congé spécial"),"",IF(D1010&gt;F1010,D1010-C1010,IF(C1010-D1010&lt;0,0,C1010-D1010))))</f>
        <v/>
      </c>
      <c r="J1010" s="20"/>
      <c r="K1010" s="8" t="n">
        <f aca="false">IF(SUM(H1010:J1010)&lt;0.00068287037037037,0,SUM(H1010:J1010))</f>
        <v>0</v>
      </c>
      <c r="L1010" s="8" t="n">
        <f aca="false">IF(OR(F1010="Congé",F1010="OFF",M1010="Abs",F1010="Congé sans solde",F1010="Férié",F1010="Congé spécial",D1010="Congé spécial"),0,IF(F1010-E1010&lt;0,0,IF(F1010-E1010&lt;=0.00068287037037037,0,F1010-E1010)))</f>
        <v>0</v>
      </c>
      <c r="M1010" s="6" t="n">
        <f aca="false">IF(AND(O1010&lt;&gt;0,C1010=""),"Abs",0)</f>
        <v>0</v>
      </c>
      <c r="N1010" s="8" t="str">
        <f aca="false">IFERROR(IF(OR(D1010="OFF",D1010="Congé",M1010="Abs",D1010="Congé sans solde",D1010="Férié"),"",IF(O1010-K1010-L1010&gt;O1010,O1010,IF(O1010-K1010-L1010&lt;0,"",O1010-K1010-L1010))),"")</f>
        <v/>
      </c>
      <c r="O1010" s="8" t="n">
        <f aca="false">IF(AG1010="2H Pause déjeuner",IF(F1010-D1010-0.0833333333333333&lt;0,F1010-D1010-0.0833333333333333+1,F1010-D1010-0.0833333333333333),IF(OR(AND(F1010="OFF",D1010="OFF"),AND(F1010="Congé",D1010="Congé"),AND(F1010="Congé sans solde",D1010="Congé sans solde"),AND(F1010="Congé spécial",D1010="Congé spécial"),AND(F1010="Férié",D1010="Férié"),AND(F1010="OFF",D1010="Congé"),AND(F1010="OFF",D1010="Congé sans solde"),AND(F1010="OFF",D1010="Congé spécial"),AND(F1010="OFF",D1010="Férié"),AND(F1010="Congé",D1010="OFF"),AND(F1010="Congé",D1010="Congé sans solde"),AND(F1010="Congé",D1010="Congé spécial"),AND(F1010="Congé",D1010="Férié"),AND(F1010="Congé sans solde",D1010="OFF"),AND(F1010="Congé sans solde",D1010="Congé"),AND(F1010="Congé sans solde",D1010="Congé spécial"),AND(F1010="Congé sans solde",D1010="Férié"),AND(F1010="Congé spécial",D1010="OFF"),AND(F1010="Congé spécial",D1010="Congé"),AND(F1010="Congé spécial",D1010="Congé sans solde"),AND(F1010="Congé spécial",D1010="Férié"),AND(F1010="Férié",D1010="OFF"),AND(F1010="Férié",D1010="Congé"),AND(F1010="Férié",D1010="Congé sans solde"),AND(F1010="Férié",D1010="Congé spécial")),0,IF(OR(F1010="OFF",F1010="Congé",F1010="Congé spécial",F1010="Congé sans solde",D1010="OFF",D1010="Congé",D1010="Congé spécial",D1010="Congé sans solde"),0.208333333333334,IF(AND(AG1010="",F1010-D1010&lt;0),("24:00:00"-D1010)+("00:00:00"+F1010)-0.0416666666666667,IF(AND(OR(AG1010="Allaitement",AG1010="Sans déjeuner"),F1010-D1010&lt;0),("24:00:00"-D1010)+("00:00:00"+F1010),IF(AND(AG1010="",F1010-D1010&gt;0.166666666666667),F1010-D1010-0.0416666666666667,IF(AND(OR(AG1010="Allaitement",AG1010="Sans déjeuner"),F1010-D1010&gt;0.166666666666667),F1010-D1010,F1010-D1010)))))))</f>
        <v>0</v>
      </c>
      <c r="P1010" s="6" t="str">
        <f aca="false">IFERROR(VLOOKUP($B1010,Agents!$A:$D,2,0),"-")</f>
        <v>Accessibilité</v>
      </c>
      <c r="Q1010" s="21" t="n">
        <v>46267</v>
      </c>
      <c r="R1010" s="8" t="n">
        <f aca="false">IF(M1010="Abs",O1010,0)</f>
        <v>0</v>
      </c>
      <c r="S1010" s="8" t="n">
        <f aca="false">SUM(R1010,L1010,I1010,J1010,W1010,H1010)</f>
        <v>0</v>
      </c>
      <c r="T1010" s="6" t="str">
        <f aca="false">"Sem - "&amp;WEEKNUM(Q1010,21)</f>
        <v>Sem - 36</v>
      </c>
      <c r="U1010" s="6" t="str">
        <f aca="false">CHOOSE(MONTH(Q1010),"Janvier","Février","Mars","Avril","Mai","Juin","Juillet","Août","Septembre","Octobre","Novembre","Décembre")</f>
        <v>Septembre</v>
      </c>
      <c r="V1010" s="22" t="n">
        <f aca="false">YEAR(Q1010)</f>
        <v>2026</v>
      </c>
      <c r="W1010" s="20"/>
      <c r="X1010" s="8" t="n">
        <f aca="false">IFERROR(IF(M1010="Abs",0,IF(ROUND((D1010-C1010+E1010-F1010)*1440,0)&lt;=1,0,D1010-C1010+E1010-F1010)),0)</f>
        <v>0</v>
      </c>
      <c r="Y1010" s="6" t="str">
        <f aca="false">IFERROR(VLOOKUP($B1010,Agents!$A:$D,3,0),"-")</f>
        <v>OUBRAHIM Mohammed</v>
      </c>
      <c r="Z1010" s="6" t="str">
        <f aca="false">IFERROR(VLOOKUP($B1010,Agents!$A:$D,4,0),"-")</f>
        <v>Credit Mutuel</v>
      </c>
      <c r="AA1010" s="18" t="s">
        <v>118</v>
      </c>
      <c r="AB1010" s="8" t="n">
        <f aca="false">IF(AND(D1010="Congé",F1010="Congé"),0.333333333333333,IF(OR(AND(D1010="Congé",F1010&lt;&gt;"Congé"),(AND(F1010="Congé",D1010&lt;&gt;"Congé"))),0.166666666666667,""))</f>
        <v>0.333333333333333</v>
      </c>
      <c r="AC1010" s="8" t="str">
        <f aca="false">IF(AND(D1010="Congé sans solde",F1010="Congé sans solde"),0.333333333333333,IF(OR(AND(D1010="Congé sans solde",F1010&lt;&gt;"Congé sans solde"),(AND(F1010="Congé sans solde",D1010&lt;&gt;"Congé sans solde"))),0.166666666666667,""))</f>
        <v/>
      </c>
      <c r="AD1010" s="8" t="str">
        <f aca="false">IF(AND(D1010="Congé spécial",F1010="Congé spécial"),0.333333333333333,IF(OR(AND(D1010="Congé spécial",F1010&lt;&gt;"Congé spécial"),AND(F1010="Congé spécial",D1010&lt;&gt;"Congé spécial")),0.166666666666667,""))</f>
        <v/>
      </c>
      <c r="AE1010" s="8" t="str">
        <f aca="false">IF(AND(D1010="Férié",F1010="Férié"),0.333333333333333,IF(OR(AND(D1010="Férié",F1010&lt;&gt;"Férié"),(AND(F1010="Férié",D1010&lt;&gt;"Férié"))),0.166666666666667,""))</f>
        <v/>
      </c>
      <c r="AF1010" s="18"/>
      <c r="AG1010" s="18"/>
    </row>
    <row r="1011" customFormat="false" ht="15" hidden="false" customHeight="false" outlineLevel="0" collapsed="false">
      <c r="A1011" s="6" t="str">
        <f aca="false">YEAR(Q1011-WEEKDAY(Q1011,2)+4)&amp;"-S"&amp;TEXT(WEEKNUM(Q1011,21),"00")</f>
        <v>2026-S36</v>
      </c>
      <c r="B1011" s="18" t="s">
        <v>73</v>
      </c>
      <c r="C1011" s="19"/>
      <c r="D1011" s="19" t="n">
        <v>0.333333333333333</v>
      </c>
      <c r="E1011" s="19"/>
      <c r="F1011" s="19" t="n">
        <v>0.75</v>
      </c>
      <c r="G1011" s="20"/>
      <c r="H1011" s="20"/>
      <c r="I1011" s="8" t="str">
        <f aca="false">IF(IF(OR(C1011="",D1011="Congé",D1011="OFF",D1011="Congé spécial"),"",IF(D1011&gt;F1011,D1011-C1011,IF(C1011-D1011&lt;0,0,C1011-D1011)))&lt;0.00068287037037037,"",IF(OR(D1011="Congé",D1011="OFF",C1011="",D1011="Congé spécial"),"",IF(D1011&gt;F1011,D1011-C1011,IF(C1011-D1011&lt;0,0,C1011-D1011))))</f>
        <v/>
      </c>
      <c r="J1011" s="20"/>
      <c r="K1011" s="8" t="n">
        <f aca="false">IF(SUM(H1011:J1011)&lt;0.00068287037037037,0,SUM(H1011:J1011))</f>
        <v>0</v>
      </c>
      <c r="L1011" s="8" t="n">
        <f aca="false">IF(OR(F1011="Congé",F1011="OFF",M1011="Abs",F1011="Congé sans solde",F1011="Férié",F1011="Congé spécial",D1011="Congé spécial"),0,IF(F1011-E1011&lt;0,0,IF(F1011-E1011&lt;=0.00068287037037037,0,F1011-E1011)))</f>
        <v>0</v>
      </c>
      <c r="M1011" s="6" t="str">
        <f aca="false">IF(AND(O1011&lt;&gt;0,C1011=""),"Abs",0)</f>
        <v>Abs</v>
      </c>
      <c r="N1011" s="8" t="str">
        <f aca="false">IFERROR(IF(OR(D1011="OFF",D1011="Congé",M1011="Abs",D1011="Congé sans solde",D1011="Férié"),"",IF(O1011-K1011-L1011&gt;O1011,O1011,IF(O1011-K1011-L1011&lt;0,"",O1011-K1011-L1011))),"")</f>
        <v/>
      </c>
      <c r="O1011" s="8" t="n">
        <f aca="false">IF(AG1011="2H Pause déjeuner",IF(F1011-D1011-0.0833333333333333&lt;0,F1011-D1011-0.0833333333333333+1,F1011-D1011-0.0833333333333333),IF(OR(AND(F1011="OFF",D1011="OFF"),AND(F1011="Congé",D1011="Congé"),AND(F1011="Congé sans solde",D1011="Congé sans solde"),AND(F1011="Congé spécial",D1011="Congé spécial"),AND(F1011="Férié",D1011="Férié"),AND(F1011="OFF",D1011="Congé"),AND(F1011="OFF",D1011="Congé sans solde"),AND(F1011="OFF",D1011="Congé spécial"),AND(F1011="OFF",D1011="Férié"),AND(F1011="Congé",D1011="OFF"),AND(F1011="Congé",D1011="Congé sans solde"),AND(F1011="Congé",D1011="Congé spécial"),AND(F1011="Congé",D1011="Férié"),AND(F1011="Congé sans solde",D1011="OFF"),AND(F1011="Congé sans solde",D1011="Congé"),AND(F1011="Congé sans solde",D1011="Congé spécial"),AND(F1011="Congé sans solde",D1011="Férié"),AND(F1011="Congé spécial",D1011="OFF"),AND(F1011="Congé spécial",D1011="Congé"),AND(F1011="Congé spécial",D1011="Congé sans solde"),AND(F1011="Congé spécial",D1011="Férié"),AND(F1011="Férié",D1011="OFF"),AND(F1011="Férié",D1011="Congé"),AND(F1011="Férié",D1011="Congé sans solde"),AND(F1011="Férié",D1011="Congé spécial")),0,IF(OR(F1011="OFF",F1011="Congé",F1011="Congé spécial",F1011="Congé sans solde",D1011="OFF",D1011="Congé",D1011="Congé spécial",D1011="Congé sans solde"),0.208333333333334,IF(AND(AG1011="",F1011-D1011&lt;0),("24:00:00"-D1011)+("00:00:00"+F1011)-0.0416666666666667,IF(AND(OR(AG1011="Allaitement",AG1011="Sans déjeuner"),F1011-D1011&lt;0),("24:00:00"-D1011)+("00:00:00"+F1011),IF(AND(AG1011="",F1011-D1011&gt;0.166666666666667),F1011-D1011-0.0416666666666667,IF(AND(OR(AG1011="Allaitement",AG1011="Sans déjeuner"),F1011-D1011&gt;0.166666666666667),F1011-D1011,F1011-D1011)))))))</f>
        <v>0.375</v>
      </c>
      <c r="P1011" s="6" t="str">
        <f aca="false">IFERROR(VLOOKUP($B1011,Agents!$A:$D,2,0),"-")</f>
        <v>Accessibilité</v>
      </c>
      <c r="Q1011" s="21" t="n">
        <v>46267</v>
      </c>
      <c r="R1011" s="8" t="n">
        <f aca="false">IF(M1011="Abs",O1011,0)</f>
        <v>0.375</v>
      </c>
      <c r="S1011" s="8" t="n">
        <f aca="false">SUM(R1011,L1011,I1011,J1011,W1011,H1011)</f>
        <v>0.375</v>
      </c>
      <c r="T1011" s="6" t="str">
        <f aca="false">"Sem - "&amp;WEEKNUM(Q1011,21)</f>
        <v>Sem - 36</v>
      </c>
      <c r="U1011" s="6" t="str">
        <f aca="false">CHOOSE(MONTH(Q1011),"Janvier","Février","Mars","Avril","Mai","Juin","Juillet","Août","Septembre","Octobre","Novembre","Décembre")</f>
        <v>Septembre</v>
      </c>
      <c r="V1011" s="22" t="n">
        <f aca="false">YEAR(Q1011)</f>
        <v>2026</v>
      </c>
      <c r="W1011" s="20"/>
      <c r="X1011" s="8" t="n">
        <f aca="false">IFERROR(IF(M1011="Abs",0,IF(ROUND((D1011-C1011+E1011-F1011)*1440,0)&lt;=1,0,D1011-C1011+E1011-F1011)),0)</f>
        <v>0</v>
      </c>
      <c r="Y1011" s="6" t="str">
        <f aca="false">IFERROR(VLOOKUP($B1011,Agents!$A:$D,3,0),"-")</f>
        <v>OUBRAHIM Mohammed</v>
      </c>
      <c r="Z1011" s="6" t="str">
        <f aca="false">IFERROR(VLOOKUP($B1011,Agents!$A:$D,4,0),"-")</f>
        <v>Credit Mutuel</v>
      </c>
      <c r="AA1011" s="18" t="s">
        <v>118</v>
      </c>
      <c r="AB1011" s="8" t="str">
        <f aca="false">IF(AND(D1011="Congé",F1011="Congé"),0.333333333333333,IF(OR(AND(D1011="Congé",F1011&lt;&gt;"Congé"),(AND(F1011="Congé",D1011&lt;&gt;"Congé"))),0.166666666666667,""))</f>
        <v/>
      </c>
      <c r="AC1011" s="8" t="str">
        <f aca="false">IF(AND(D1011="Congé sans solde",F1011="Congé sans solde"),0.333333333333333,IF(OR(AND(D1011="Congé sans solde",F1011&lt;&gt;"Congé sans solde"),(AND(F1011="Congé sans solde",D1011&lt;&gt;"Congé sans solde"))),0.166666666666667,""))</f>
        <v/>
      </c>
      <c r="AD1011" s="8" t="str">
        <f aca="false">IF(AND(D1011="Congé spécial",F1011="Congé spécial"),0.333333333333333,IF(OR(AND(D1011="Congé spécial",F1011&lt;&gt;"Congé spécial"),AND(F1011="Congé spécial",D1011&lt;&gt;"Congé spécial")),0.166666666666667,""))</f>
        <v/>
      </c>
      <c r="AE1011" s="8" t="str">
        <f aca="false">IF(AND(D1011="Férié",F1011="Férié"),0.333333333333333,IF(OR(AND(D1011="Férié",F1011&lt;&gt;"Férié"),(AND(F1011="Férié",D1011&lt;&gt;"Férié"))),0.166666666666667,""))</f>
        <v/>
      </c>
      <c r="AF1011" s="18"/>
      <c r="AG1011" s="18"/>
    </row>
    <row r="1012" customFormat="false" ht="15" hidden="false" customHeight="false" outlineLevel="0" collapsed="false">
      <c r="A1012" s="6" t="str">
        <f aca="false">YEAR(Q1012-WEEKDAY(Q1012,2)+4)&amp;"-S"&amp;TEXT(WEEKNUM(Q1012,21),"00")</f>
        <v>2026-S36</v>
      </c>
      <c r="B1012" s="18" t="s">
        <v>71</v>
      </c>
      <c r="C1012" s="19"/>
      <c r="D1012" s="19" t="n">
        <v>0.333333333333333</v>
      </c>
      <c r="E1012" s="19"/>
      <c r="F1012" s="19" t="n">
        <v>0.75</v>
      </c>
      <c r="G1012" s="20"/>
      <c r="H1012" s="20"/>
      <c r="I1012" s="8" t="str">
        <f aca="false">IF(IF(OR(C1012="",D1012="Congé",D1012="OFF",D1012="Congé spécial"),"",IF(D1012&gt;F1012,D1012-C1012,IF(C1012-D1012&lt;0,0,C1012-D1012)))&lt;0.00068287037037037,"",IF(OR(D1012="Congé",D1012="OFF",C1012="",D1012="Congé spécial"),"",IF(D1012&gt;F1012,D1012-C1012,IF(C1012-D1012&lt;0,0,C1012-D1012))))</f>
        <v/>
      </c>
      <c r="J1012" s="20"/>
      <c r="K1012" s="8" t="n">
        <f aca="false">IF(SUM(H1012:J1012)&lt;0.00068287037037037,0,SUM(H1012:J1012))</f>
        <v>0</v>
      </c>
      <c r="L1012" s="8" t="n">
        <f aca="false">IF(OR(F1012="Congé",F1012="OFF",M1012="Abs",F1012="Congé sans solde",F1012="Férié",F1012="Congé spécial",D1012="Congé spécial"),0,IF(F1012-E1012&lt;0,0,IF(F1012-E1012&lt;=0.00068287037037037,0,F1012-E1012)))</f>
        <v>0</v>
      </c>
      <c r="M1012" s="6" t="str">
        <f aca="false">IF(AND(O1012&lt;&gt;0,C1012=""),"Abs",0)</f>
        <v>Abs</v>
      </c>
      <c r="N1012" s="8" t="str">
        <f aca="false">IFERROR(IF(OR(D1012="OFF",D1012="Congé",M1012="Abs",D1012="Congé sans solde",D1012="Férié"),"",IF(O1012-K1012-L1012&gt;O1012,O1012,IF(O1012-K1012-L1012&lt;0,"",O1012-K1012-L1012))),"")</f>
        <v/>
      </c>
      <c r="O1012" s="8" t="n">
        <f aca="false">IF(AG1012="2H Pause déjeuner",IF(F1012-D1012-0.0833333333333333&lt;0,F1012-D1012-0.0833333333333333+1,F1012-D1012-0.0833333333333333),IF(OR(AND(F1012="OFF",D1012="OFF"),AND(F1012="Congé",D1012="Congé"),AND(F1012="Congé sans solde",D1012="Congé sans solde"),AND(F1012="Congé spécial",D1012="Congé spécial"),AND(F1012="Férié",D1012="Férié"),AND(F1012="OFF",D1012="Congé"),AND(F1012="OFF",D1012="Congé sans solde"),AND(F1012="OFF",D1012="Congé spécial"),AND(F1012="OFF",D1012="Férié"),AND(F1012="Congé",D1012="OFF"),AND(F1012="Congé",D1012="Congé sans solde"),AND(F1012="Congé",D1012="Congé spécial"),AND(F1012="Congé",D1012="Férié"),AND(F1012="Congé sans solde",D1012="OFF"),AND(F1012="Congé sans solde",D1012="Congé"),AND(F1012="Congé sans solde",D1012="Congé spécial"),AND(F1012="Congé sans solde",D1012="Férié"),AND(F1012="Congé spécial",D1012="OFF"),AND(F1012="Congé spécial",D1012="Congé"),AND(F1012="Congé spécial",D1012="Congé sans solde"),AND(F1012="Congé spécial",D1012="Férié"),AND(F1012="Férié",D1012="OFF"),AND(F1012="Férié",D1012="Congé"),AND(F1012="Férié",D1012="Congé sans solde"),AND(F1012="Férié",D1012="Congé spécial")),0,IF(OR(F1012="OFF",F1012="Congé",F1012="Congé spécial",F1012="Congé sans solde",D1012="OFF",D1012="Congé",D1012="Congé spécial",D1012="Congé sans solde"),0.208333333333334,IF(AND(AG1012="",F1012-D1012&lt;0),("24:00:00"-D1012)+("00:00:00"+F1012)-0.0416666666666667,IF(AND(OR(AG1012="Allaitement",AG1012="Sans déjeuner"),F1012-D1012&lt;0),("24:00:00"-D1012)+("00:00:00"+F1012),IF(AND(AG1012="",F1012-D1012&gt;0.166666666666667),F1012-D1012-0.0416666666666667,IF(AND(OR(AG1012="Allaitement",AG1012="Sans déjeuner"),F1012-D1012&gt;0.166666666666667),F1012-D1012,F1012-D1012)))))))</f>
        <v>0.375</v>
      </c>
      <c r="P1012" s="6" t="str">
        <f aca="false">IFERROR(VLOOKUP($B1012,Agents!$A:$D,2,0),"-")</f>
        <v>Accessibilité</v>
      </c>
      <c r="Q1012" s="21" t="n">
        <v>46268</v>
      </c>
      <c r="R1012" s="8" t="n">
        <f aca="false">IF(M1012="Abs",O1012,0)</f>
        <v>0.375</v>
      </c>
      <c r="S1012" s="8" t="n">
        <f aca="false">SUM(R1012,L1012,I1012,J1012,W1012,H1012)</f>
        <v>0.375</v>
      </c>
      <c r="T1012" s="6" t="str">
        <f aca="false">"Sem - "&amp;WEEKNUM(Q1012,21)</f>
        <v>Sem - 36</v>
      </c>
      <c r="U1012" s="6" t="str">
        <f aca="false">CHOOSE(MONTH(Q1012),"Janvier","Février","Mars","Avril","Mai","Juin","Juillet","Août","Septembre","Octobre","Novembre","Décembre")</f>
        <v>Septembre</v>
      </c>
      <c r="V1012" s="22" t="n">
        <f aca="false">YEAR(Q1012)</f>
        <v>2026</v>
      </c>
      <c r="W1012" s="20"/>
      <c r="X1012" s="8" t="n">
        <f aca="false">IFERROR(IF(M1012="Abs",0,IF(ROUND((D1012-C1012+E1012-F1012)*1440,0)&lt;=1,0,D1012-C1012+E1012-F1012)),0)</f>
        <v>0</v>
      </c>
      <c r="Y1012" s="6" t="str">
        <f aca="false">IFERROR(VLOOKUP($B1012,Agents!$A:$D,3,0),"-")</f>
        <v>OUBRAHIM Mohammed</v>
      </c>
      <c r="Z1012" s="6" t="str">
        <f aca="false">IFERROR(VLOOKUP($B1012,Agents!$A:$D,4,0),"-")</f>
        <v>Credit Mutuel</v>
      </c>
      <c r="AA1012" s="18" t="s">
        <v>118</v>
      </c>
      <c r="AB1012" s="8" t="str">
        <f aca="false">IF(AND(D1012="Congé",F1012="Congé"),0.333333333333333,IF(OR(AND(D1012="Congé",F1012&lt;&gt;"Congé"),(AND(F1012="Congé",D1012&lt;&gt;"Congé"))),0.166666666666667,""))</f>
        <v/>
      </c>
      <c r="AC1012" s="8" t="str">
        <f aca="false">IF(AND(D1012="Congé sans solde",F1012="Congé sans solde"),0.333333333333333,IF(OR(AND(D1012="Congé sans solde",F1012&lt;&gt;"Congé sans solde"),(AND(F1012="Congé sans solde",D1012&lt;&gt;"Congé sans solde"))),0.166666666666667,""))</f>
        <v/>
      </c>
      <c r="AD1012" s="8" t="str">
        <f aca="false">IF(AND(D1012="Congé spécial",F1012="Congé spécial"),0.333333333333333,IF(OR(AND(D1012="Congé spécial",F1012&lt;&gt;"Congé spécial"),AND(F1012="Congé spécial",D1012&lt;&gt;"Congé spécial")),0.166666666666667,""))</f>
        <v/>
      </c>
      <c r="AE1012" s="8" t="str">
        <f aca="false">IF(AND(D1012="Férié",F1012="Férié"),0.333333333333333,IF(OR(AND(D1012="Férié",F1012&lt;&gt;"Férié"),(AND(F1012="Férié",D1012&lt;&gt;"Férié"))),0.166666666666667,""))</f>
        <v/>
      </c>
      <c r="AF1012" s="18"/>
      <c r="AG1012" s="18"/>
    </row>
    <row r="1013" customFormat="false" ht="15" hidden="false" customHeight="false" outlineLevel="0" collapsed="false">
      <c r="A1013" s="6" t="str">
        <f aca="false">YEAR(Q1013-WEEKDAY(Q1013,2)+4)&amp;"-S"&amp;TEXT(WEEKNUM(Q1013,21),"00")</f>
        <v>2026-S36</v>
      </c>
      <c r="B1013" s="18" t="s">
        <v>72</v>
      </c>
      <c r="C1013" s="19"/>
      <c r="D1013" s="19" t="s">
        <v>83</v>
      </c>
      <c r="E1013" s="19"/>
      <c r="F1013" s="19" t="s">
        <v>83</v>
      </c>
      <c r="G1013" s="20"/>
      <c r="H1013" s="20"/>
      <c r="I1013" s="8" t="str">
        <f aca="false">IF(IF(OR(C1013="",D1013="Congé",D1013="OFF",D1013="Congé spécial"),"",IF(D1013&gt;F1013,D1013-C1013,IF(C1013-D1013&lt;0,0,C1013-D1013)))&lt;0.00068287037037037,"",IF(OR(D1013="Congé",D1013="OFF",C1013="",D1013="Congé spécial"),"",IF(D1013&gt;F1013,D1013-C1013,IF(C1013-D1013&lt;0,0,C1013-D1013))))</f>
        <v/>
      </c>
      <c r="J1013" s="20"/>
      <c r="K1013" s="8" t="n">
        <f aca="false">IF(SUM(H1013:J1013)&lt;0.00068287037037037,0,SUM(H1013:J1013))</f>
        <v>0</v>
      </c>
      <c r="L1013" s="8" t="n">
        <f aca="false">IF(OR(F1013="Congé",F1013="OFF",M1013="Abs",F1013="Congé sans solde",F1013="Férié",F1013="Congé spécial",D1013="Congé spécial"),0,IF(F1013-E1013&lt;0,0,IF(F1013-E1013&lt;=0.00068287037037037,0,F1013-E1013)))</f>
        <v>0</v>
      </c>
      <c r="M1013" s="6" t="n">
        <f aca="false">IF(AND(O1013&lt;&gt;0,C1013=""),"Abs",0)</f>
        <v>0</v>
      </c>
      <c r="N1013" s="8" t="str">
        <f aca="false">IFERROR(IF(OR(D1013="OFF",D1013="Congé",M1013="Abs",D1013="Congé sans solde",D1013="Férié"),"",IF(O1013-K1013-L1013&gt;O1013,O1013,IF(O1013-K1013-L1013&lt;0,"",O1013-K1013-L1013))),"")</f>
        <v/>
      </c>
      <c r="O1013" s="8" t="n">
        <f aca="false">IF(AG1013="2H Pause déjeuner",IF(F1013-D1013-0.0833333333333333&lt;0,F1013-D1013-0.0833333333333333+1,F1013-D1013-0.0833333333333333),IF(OR(AND(F1013="OFF",D1013="OFF"),AND(F1013="Congé",D1013="Congé"),AND(F1013="Congé sans solde",D1013="Congé sans solde"),AND(F1013="Congé spécial",D1013="Congé spécial"),AND(F1013="Férié",D1013="Férié"),AND(F1013="OFF",D1013="Congé"),AND(F1013="OFF",D1013="Congé sans solde"),AND(F1013="OFF",D1013="Congé spécial"),AND(F1013="OFF",D1013="Férié"),AND(F1013="Congé",D1013="OFF"),AND(F1013="Congé",D1013="Congé sans solde"),AND(F1013="Congé",D1013="Congé spécial"),AND(F1013="Congé",D1013="Férié"),AND(F1013="Congé sans solde",D1013="OFF"),AND(F1013="Congé sans solde",D1013="Congé"),AND(F1013="Congé sans solde",D1013="Congé spécial"),AND(F1013="Congé sans solde",D1013="Férié"),AND(F1013="Congé spécial",D1013="OFF"),AND(F1013="Congé spécial",D1013="Congé"),AND(F1013="Congé spécial",D1013="Congé sans solde"),AND(F1013="Congé spécial",D1013="Férié"),AND(F1013="Férié",D1013="OFF"),AND(F1013="Férié",D1013="Congé"),AND(F1013="Férié",D1013="Congé sans solde"),AND(F1013="Férié",D1013="Congé spécial")),0,IF(OR(F1013="OFF",F1013="Congé",F1013="Congé spécial",F1013="Congé sans solde",D1013="OFF",D1013="Congé",D1013="Congé spécial",D1013="Congé sans solde"),0.208333333333334,IF(AND(AG1013="",F1013-D1013&lt;0),("24:00:00"-D1013)+("00:00:00"+F1013)-0.0416666666666667,IF(AND(OR(AG1013="Allaitement",AG1013="Sans déjeuner"),F1013-D1013&lt;0),("24:00:00"-D1013)+("00:00:00"+F1013),IF(AND(AG1013="",F1013-D1013&gt;0.166666666666667),F1013-D1013-0.0416666666666667,IF(AND(OR(AG1013="Allaitement",AG1013="Sans déjeuner"),F1013-D1013&gt;0.166666666666667),F1013-D1013,F1013-D1013)))))))</f>
        <v>0</v>
      </c>
      <c r="P1013" s="6" t="str">
        <f aca="false">IFERROR(VLOOKUP($B1013,Agents!$A:$D,2,0),"-")</f>
        <v>Accessibilité</v>
      </c>
      <c r="Q1013" s="21" t="n">
        <v>46268</v>
      </c>
      <c r="R1013" s="8" t="n">
        <f aca="false">IF(M1013="Abs",O1013,0)</f>
        <v>0</v>
      </c>
      <c r="S1013" s="8" t="n">
        <f aca="false">SUM(R1013,L1013,I1013,J1013,W1013,H1013)</f>
        <v>0</v>
      </c>
      <c r="T1013" s="6" t="str">
        <f aca="false">"Sem - "&amp;WEEKNUM(Q1013,21)</f>
        <v>Sem - 36</v>
      </c>
      <c r="U1013" s="6" t="str">
        <f aca="false">CHOOSE(MONTH(Q1013),"Janvier","Février","Mars","Avril","Mai","Juin","Juillet","Août","Septembre","Octobre","Novembre","Décembre")</f>
        <v>Septembre</v>
      </c>
      <c r="V1013" s="22" t="n">
        <f aca="false">YEAR(Q1013)</f>
        <v>2026</v>
      </c>
      <c r="W1013" s="20"/>
      <c r="X1013" s="8" t="n">
        <f aca="false">IFERROR(IF(M1013="Abs",0,IF(ROUND((D1013-C1013+E1013-F1013)*1440,0)&lt;=1,0,D1013-C1013+E1013-F1013)),0)</f>
        <v>0</v>
      </c>
      <c r="Y1013" s="6" t="str">
        <f aca="false">IFERROR(VLOOKUP($B1013,Agents!$A:$D,3,0),"-")</f>
        <v>OUBRAHIM Mohammed</v>
      </c>
      <c r="Z1013" s="6" t="str">
        <f aca="false">IFERROR(VLOOKUP($B1013,Agents!$A:$D,4,0),"-")</f>
        <v>Credit Mutuel</v>
      </c>
      <c r="AA1013" s="18" t="s">
        <v>118</v>
      </c>
      <c r="AB1013" s="8" t="n">
        <f aca="false">IF(AND(D1013="Congé",F1013="Congé"),0.333333333333333,IF(OR(AND(D1013="Congé",F1013&lt;&gt;"Congé"),(AND(F1013="Congé",D1013&lt;&gt;"Congé"))),0.166666666666667,""))</f>
        <v>0.333333333333333</v>
      </c>
      <c r="AC1013" s="8" t="str">
        <f aca="false">IF(AND(D1013="Congé sans solde",F1013="Congé sans solde"),0.333333333333333,IF(OR(AND(D1013="Congé sans solde",F1013&lt;&gt;"Congé sans solde"),(AND(F1013="Congé sans solde",D1013&lt;&gt;"Congé sans solde"))),0.166666666666667,""))</f>
        <v/>
      </c>
      <c r="AD1013" s="8" t="str">
        <f aca="false">IF(AND(D1013="Congé spécial",F1013="Congé spécial"),0.333333333333333,IF(OR(AND(D1013="Congé spécial",F1013&lt;&gt;"Congé spécial"),AND(F1013="Congé spécial",D1013&lt;&gt;"Congé spécial")),0.166666666666667,""))</f>
        <v/>
      </c>
      <c r="AE1013" s="8" t="str">
        <f aca="false">IF(AND(D1013="Férié",F1013="Férié"),0.333333333333333,IF(OR(AND(D1013="Férié",F1013&lt;&gt;"Férié"),(AND(F1013="Férié",D1013&lt;&gt;"Férié"))),0.166666666666667,""))</f>
        <v/>
      </c>
      <c r="AF1013" s="18"/>
      <c r="AG1013" s="18"/>
    </row>
    <row r="1014" customFormat="false" ht="15" hidden="false" customHeight="false" outlineLevel="0" collapsed="false">
      <c r="A1014" s="6" t="str">
        <f aca="false">YEAR(Q1014-WEEKDAY(Q1014,2)+4)&amp;"-S"&amp;TEXT(WEEKNUM(Q1014,21),"00")</f>
        <v>2026-S36</v>
      </c>
      <c r="B1014" s="18" t="s">
        <v>73</v>
      </c>
      <c r="C1014" s="19"/>
      <c r="D1014" s="19" t="n">
        <v>0.333333333333333</v>
      </c>
      <c r="E1014" s="19"/>
      <c r="F1014" s="19" t="n">
        <v>0.75</v>
      </c>
      <c r="G1014" s="20"/>
      <c r="H1014" s="20"/>
      <c r="I1014" s="8" t="str">
        <f aca="false">IF(IF(OR(C1014="",D1014="Congé",D1014="OFF",D1014="Congé spécial"),"",IF(D1014&gt;F1014,D1014-C1014,IF(C1014-D1014&lt;0,0,C1014-D1014)))&lt;0.00068287037037037,"",IF(OR(D1014="Congé",D1014="OFF",C1014="",D1014="Congé spécial"),"",IF(D1014&gt;F1014,D1014-C1014,IF(C1014-D1014&lt;0,0,C1014-D1014))))</f>
        <v/>
      </c>
      <c r="J1014" s="20"/>
      <c r="K1014" s="8" t="n">
        <f aca="false">IF(SUM(H1014:J1014)&lt;0.00068287037037037,0,SUM(H1014:J1014))</f>
        <v>0</v>
      </c>
      <c r="L1014" s="8" t="n">
        <f aca="false">IF(OR(F1014="Congé",F1014="OFF",M1014="Abs",F1014="Congé sans solde",F1014="Férié",F1014="Congé spécial",D1014="Congé spécial"),0,IF(F1014-E1014&lt;0,0,IF(F1014-E1014&lt;=0.00068287037037037,0,F1014-E1014)))</f>
        <v>0</v>
      </c>
      <c r="M1014" s="6" t="str">
        <f aca="false">IF(AND(O1014&lt;&gt;0,C1014=""),"Abs",0)</f>
        <v>Abs</v>
      </c>
      <c r="N1014" s="8" t="str">
        <f aca="false">IFERROR(IF(OR(D1014="OFF",D1014="Congé",M1014="Abs",D1014="Congé sans solde",D1014="Férié"),"",IF(O1014-K1014-L1014&gt;O1014,O1014,IF(O1014-K1014-L1014&lt;0,"",O1014-K1014-L1014))),"")</f>
        <v/>
      </c>
      <c r="O1014" s="8" t="n">
        <f aca="false">IF(AG1014="2H Pause déjeuner",IF(F1014-D1014-0.0833333333333333&lt;0,F1014-D1014-0.0833333333333333+1,F1014-D1014-0.0833333333333333),IF(OR(AND(F1014="OFF",D1014="OFF"),AND(F1014="Congé",D1014="Congé"),AND(F1014="Congé sans solde",D1014="Congé sans solde"),AND(F1014="Congé spécial",D1014="Congé spécial"),AND(F1014="Férié",D1014="Férié"),AND(F1014="OFF",D1014="Congé"),AND(F1014="OFF",D1014="Congé sans solde"),AND(F1014="OFF",D1014="Congé spécial"),AND(F1014="OFF",D1014="Férié"),AND(F1014="Congé",D1014="OFF"),AND(F1014="Congé",D1014="Congé sans solde"),AND(F1014="Congé",D1014="Congé spécial"),AND(F1014="Congé",D1014="Férié"),AND(F1014="Congé sans solde",D1014="OFF"),AND(F1014="Congé sans solde",D1014="Congé"),AND(F1014="Congé sans solde",D1014="Congé spécial"),AND(F1014="Congé sans solde",D1014="Férié"),AND(F1014="Congé spécial",D1014="OFF"),AND(F1014="Congé spécial",D1014="Congé"),AND(F1014="Congé spécial",D1014="Congé sans solde"),AND(F1014="Congé spécial",D1014="Férié"),AND(F1014="Férié",D1014="OFF"),AND(F1014="Férié",D1014="Congé"),AND(F1014="Férié",D1014="Congé sans solde"),AND(F1014="Férié",D1014="Congé spécial")),0,IF(OR(F1014="OFF",F1014="Congé",F1014="Congé spécial",F1014="Congé sans solde",D1014="OFF",D1014="Congé",D1014="Congé spécial",D1014="Congé sans solde"),0.208333333333334,IF(AND(AG1014="",F1014-D1014&lt;0),("24:00:00"-D1014)+("00:00:00"+F1014)-0.0416666666666667,IF(AND(OR(AG1014="Allaitement",AG1014="Sans déjeuner"),F1014-D1014&lt;0),("24:00:00"-D1014)+("00:00:00"+F1014),IF(AND(AG1014="",F1014-D1014&gt;0.166666666666667),F1014-D1014-0.0416666666666667,IF(AND(OR(AG1014="Allaitement",AG1014="Sans déjeuner"),F1014-D1014&gt;0.166666666666667),F1014-D1014,F1014-D1014)))))))</f>
        <v>0.375</v>
      </c>
      <c r="P1014" s="6" t="str">
        <f aca="false">IFERROR(VLOOKUP($B1014,Agents!$A:$D,2,0),"-")</f>
        <v>Accessibilité</v>
      </c>
      <c r="Q1014" s="21" t="n">
        <v>46268</v>
      </c>
      <c r="R1014" s="8" t="n">
        <f aca="false">IF(M1014="Abs",O1014,0)</f>
        <v>0.375</v>
      </c>
      <c r="S1014" s="8" t="n">
        <f aca="false">SUM(R1014,L1014,I1014,J1014,W1014,H1014)</f>
        <v>0.375</v>
      </c>
      <c r="T1014" s="6" t="str">
        <f aca="false">"Sem - "&amp;WEEKNUM(Q1014,21)</f>
        <v>Sem - 36</v>
      </c>
      <c r="U1014" s="6" t="str">
        <f aca="false">CHOOSE(MONTH(Q1014),"Janvier","Février","Mars","Avril","Mai","Juin","Juillet","Août","Septembre","Octobre","Novembre","Décembre")</f>
        <v>Septembre</v>
      </c>
      <c r="V1014" s="22" t="n">
        <f aca="false">YEAR(Q1014)</f>
        <v>2026</v>
      </c>
      <c r="W1014" s="20"/>
      <c r="X1014" s="8" t="n">
        <f aca="false">IFERROR(IF(M1014="Abs",0,IF(ROUND((D1014-C1014+E1014-F1014)*1440,0)&lt;=1,0,D1014-C1014+E1014-F1014)),0)</f>
        <v>0</v>
      </c>
      <c r="Y1014" s="6" t="str">
        <f aca="false">IFERROR(VLOOKUP($B1014,Agents!$A:$D,3,0),"-")</f>
        <v>OUBRAHIM Mohammed</v>
      </c>
      <c r="Z1014" s="6" t="str">
        <f aca="false">IFERROR(VLOOKUP($B1014,Agents!$A:$D,4,0),"-")</f>
        <v>Credit Mutuel</v>
      </c>
      <c r="AA1014" s="18" t="s">
        <v>118</v>
      </c>
      <c r="AB1014" s="8" t="str">
        <f aca="false">IF(AND(D1014="Congé",F1014="Congé"),0.333333333333333,IF(OR(AND(D1014="Congé",F1014&lt;&gt;"Congé"),(AND(F1014="Congé",D1014&lt;&gt;"Congé"))),0.166666666666667,""))</f>
        <v/>
      </c>
      <c r="AC1014" s="8" t="str">
        <f aca="false">IF(AND(D1014="Congé sans solde",F1014="Congé sans solde"),0.333333333333333,IF(OR(AND(D1014="Congé sans solde",F1014&lt;&gt;"Congé sans solde"),(AND(F1014="Congé sans solde",D1014&lt;&gt;"Congé sans solde"))),0.166666666666667,""))</f>
        <v/>
      </c>
      <c r="AD1014" s="8" t="str">
        <f aca="false">IF(AND(D1014="Congé spécial",F1014="Congé spécial"),0.333333333333333,IF(OR(AND(D1014="Congé spécial",F1014&lt;&gt;"Congé spécial"),AND(F1014="Congé spécial",D1014&lt;&gt;"Congé spécial")),0.166666666666667,""))</f>
        <v/>
      </c>
      <c r="AE1014" s="8" t="str">
        <f aca="false">IF(AND(D1014="Férié",F1014="Férié"),0.333333333333333,IF(OR(AND(D1014="Férié",F1014&lt;&gt;"Férié"),(AND(F1014="Férié",D1014&lt;&gt;"Férié"))),0.166666666666667,""))</f>
        <v/>
      </c>
      <c r="AF1014" s="18"/>
      <c r="AG1014" s="18"/>
    </row>
    <row r="1015" customFormat="false" ht="15" hidden="false" customHeight="false" outlineLevel="0" collapsed="false">
      <c r="A1015" s="6" t="str">
        <f aca="false">YEAR(Q1015-WEEKDAY(Q1015,2)+4)&amp;"-S"&amp;TEXT(WEEKNUM(Q1015,21),"00")</f>
        <v>2026-S36</v>
      </c>
      <c r="B1015" s="18" t="s">
        <v>71</v>
      </c>
      <c r="C1015" s="19"/>
      <c r="D1015" s="19" t="n">
        <v>0.333333333333333</v>
      </c>
      <c r="E1015" s="19"/>
      <c r="F1015" s="19" t="n">
        <v>0.708333333333333</v>
      </c>
      <c r="G1015" s="20"/>
      <c r="H1015" s="20"/>
      <c r="I1015" s="8" t="str">
        <f aca="false">IF(IF(OR(C1015="",D1015="Congé",D1015="OFF",D1015="Congé spécial"),"",IF(D1015&gt;F1015,D1015-C1015,IF(C1015-D1015&lt;0,0,C1015-D1015)))&lt;0.00068287037037037,"",IF(OR(D1015="Congé",D1015="OFF",C1015="",D1015="Congé spécial"),"",IF(D1015&gt;F1015,D1015-C1015,IF(C1015-D1015&lt;0,0,C1015-D1015))))</f>
        <v/>
      </c>
      <c r="J1015" s="20"/>
      <c r="K1015" s="8" t="n">
        <f aca="false">IF(SUM(H1015:J1015)&lt;0.00068287037037037,0,SUM(H1015:J1015))</f>
        <v>0</v>
      </c>
      <c r="L1015" s="8" t="n">
        <f aca="false">IF(OR(F1015="Congé",F1015="OFF",M1015="Abs",F1015="Congé sans solde",F1015="Férié",F1015="Congé spécial",D1015="Congé spécial"),0,IF(F1015-E1015&lt;0,0,IF(F1015-E1015&lt;=0.00068287037037037,0,F1015-E1015)))</f>
        <v>0</v>
      </c>
      <c r="M1015" s="6" t="str">
        <f aca="false">IF(AND(O1015&lt;&gt;0,C1015=""),"Abs",0)</f>
        <v>Abs</v>
      </c>
      <c r="N1015" s="8" t="str">
        <f aca="false">IFERROR(IF(OR(D1015="OFF",D1015="Congé",M1015="Abs",D1015="Congé sans solde",D1015="Férié"),"",IF(O1015-K1015-L1015&gt;O1015,O1015,IF(O1015-K1015-L1015&lt;0,"",O1015-K1015-L1015))),"")</f>
        <v/>
      </c>
      <c r="O1015" s="8" t="n">
        <f aca="false">IF(AG1015="2H Pause déjeuner",IF(F1015-D1015-0.0833333333333333&lt;0,F1015-D1015-0.0833333333333333+1,F1015-D1015-0.0833333333333333),IF(OR(AND(F1015="OFF",D1015="OFF"),AND(F1015="Congé",D1015="Congé"),AND(F1015="Congé sans solde",D1015="Congé sans solde"),AND(F1015="Congé spécial",D1015="Congé spécial"),AND(F1015="Férié",D1015="Férié"),AND(F1015="OFF",D1015="Congé"),AND(F1015="OFF",D1015="Congé sans solde"),AND(F1015="OFF",D1015="Congé spécial"),AND(F1015="OFF",D1015="Férié"),AND(F1015="Congé",D1015="OFF"),AND(F1015="Congé",D1015="Congé sans solde"),AND(F1015="Congé",D1015="Congé spécial"),AND(F1015="Congé",D1015="Férié"),AND(F1015="Congé sans solde",D1015="OFF"),AND(F1015="Congé sans solde",D1015="Congé"),AND(F1015="Congé sans solde",D1015="Congé spécial"),AND(F1015="Congé sans solde",D1015="Férié"),AND(F1015="Congé spécial",D1015="OFF"),AND(F1015="Congé spécial",D1015="Congé"),AND(F1015="Congé spécial",D1015="Congé sans solde"),AND(F1015="Congé spécial",D1015="Férié"),AND(F1015="Férié",D1015="OFF"),AND(F1015="Férié",D1015="Congé"),AND(F1015="Férié",D1015="Congé sans solde"),AND(F1015="Férié",D1015="Congé spécial")),0,IF(OR(F1015="OFF",F1015="Congé",F1015="Congé spécial",F1015="Congé sans solde",D1015="OFF",D1015="Congé",D1015="Congé spécial",D1015="Congé sans solde"),0.208333333333334,IF(AND(AG1015="",F1015-D1015&lt;0),("24:00:00"-D1015)+("00:00:00"+F1015)-0.0416666666666667,IF(AND(OR(AG1015="Allaitement",AG1015="Sans déjeuner"),F1015-D1015&lt;0),("24:00:00"-D1015)+("00:00:00"+F1015),IF(AND(AG1015="",F1015-D1015&gt;0.166666666666667),F1015-D1015-0.0416666666666667,IF(AND(OR(AG1015="Allaitement",AG1015="Sans déjeuner"),F1015-D1015&gt;0.166666666666667),F1015-D1015,F1015-D1015)))))))</f>
        <v>0.333333333333333</v>
      </c>
      <c r="P1015" s="6" t="str">
        <f aca="false">IFERROR(VLOOKUP($B1015,Agents!$A:$D,2,0),"-")</f>
        <v>Accessibilité</v>
      </c>
      <c r="Q1015" s="21" t="n">
        <v>46269</v>
      </c>
      <c r="R1015" s="8" t="n">
        <f aca="false">IF(M1015="Abs",O1015,0)</f>
        <v>0.333333333333333</v>
      </c>
      <c r="S1015" s="8" t="n">
        <f aca="false">SUM(R1015,L1015,I1015,J1015,W1015,H1015)</f>
        <v>0.333333333333333</v>
      </c>
      <c r="T1015" s="6" t="str">
        <f aca="false">"Sem - "&amp;WEEKNUM(Q1015,21)</f>
        <v>Sem - 36</v>
      </c>
      <c r="U1015" s="6" t="str">
        <f aca="false">CHOOSE(MONTH(Q1015),"Janvier","Février","Mars","Avril","Mai","Juin","Juillet","Août","Septembre","Octobre","Novembre","Décembre")</f>
        <v>Septembre</v>
      </c>
      <c r="V1015" s="22" t="n">
        <f aca="false">YEAR(Q1015)</f>
        <v>2026</v>
      </c>
      <c r="W1015" s="20"/>
      <c r="X1015" s="8" t="n">
        <f aca="false">IFERROR(IF(M1015="Abs",0,IF(ROUND((D1015-C1015+E1015-F1015)*1440,0)&lt;=1,0,D1015-C1015+E1015-F1015)),0)</f>
        <v>0</v>
      </c>
      <c r="Y1015" s="6" t="str">
        <f aca="false">IFERROR(VLOOKUP($B1015,Agents!$A:$D,3,0),"-")</f>
        <v>OUBRAHIM Mohammed</v>
      </c>
      <c r="Z1015" s="6" t="str">
        <f aca="false">IFERROR(VLOOKUP($B1015,Agents!$A:$D,4,0),"-")</f>
        <v>Credit Mutuel</v>
      </c>
      <c r="AA1015" s="18" t="s">
        <v>118</v>
      </c>
      <c r="AB1015" s="8" t="str">
        <f aca="false">IF(AND(D1015="Congé",F1015="Congé"),0.333333333333333,IF(OR(AND(D1015="Congé",F1015&lt;&gt;"Congé"),(AND(F1015="Congé",D1015&lt;&gt;"Congé"))),0.166666666666667,""))</f>
        <v/>
      </c>
      <c r="AC1015" s="8" t="str">
        <f aca="false">IF(AND(D1015="Congé sans solde",F1015="Congé sans solde"),0.333333333333333,IF(OR(AND(D1015="Congé sans solde",F1015&lt;&gt;"Congé sans solde"),(AND(F1015="Congé sans solde",D1015&lt;&gt;"Congé sans solde"))),0.166666666666667,""))</f>
        <v/>
      </c>
      <c r="AD1015" s="8" t="str">
        <f aca="false">IF(AND(D1015="Congé spécial",F1015="Congé spécial"),0.333333333333333,IF(OR(AND(D1015="Congé spécial",F1015&lt;&gt;"Congé spécial"),AND(F1015="Congé spécial",D1015&lt;&gt;"Congé spécial")),0.166666666666667,""))</f>
        <v/>
      </c>
      <c r="AE1015" s="8" t="str">
        <f aca="false">IF(AND(D1015="Férié",F1015="Férié"),0.333333333333333,IF(OR(AND(D1015="Férié",F1015&lt;&gt;"Férié"),(AND(F1015="Férié",D1015&lt;&gt;"Férié"))),0.166666666666667,""))</f>
        <v/>
      </c>
      <c r="AF1015" s="18"/>
      <c r="AG1015" s="18"/>
    </row>
    <row r="1016" customFormat="false" ht="15" hidden="false" customHeight="false" outlineLevel="0" collapsed="false">
      <c r="A1016" s="6" t="str">
        <f aca="false">YEAR(Q1016-WEEKDAY(Q1016,2)+4)&amp;"-S"&amp;TEXT(WEEKNUM(Q1016,21),"00")</f>
        <v>2026-S36</v>
      </c>
      <c r="B1016" s="18" t="s">
        <v>72</v>
      </c>
      <c r="C1016" s="19"/>
      <c r="D1016" s="19" t="s">
        <v>83</v>
      </c>
      <c r="E1016" s="19"/>
      <c r="F1016" s="19" t="s">
        <v>83</v>
      </c>
      <c r="G1016" s="20"/>
      <c r="H1016" s="20"/>
      <c r="I1016" s="8" t="str">
        <f aca="false">IF(IF(OR(C1016="",D1016="Congé",D1016="OFF",D1016="Congé spécial"),"",IF(D1016&gt;F1016,D1016-C1016,IF(C1016-D1016&lt;0,0,C1016-D1016)))&lt;0.00068287037037037,"",IF(OR(D1016="Congé",D1016="OFF",C1016="",D1016="Congé spécial"),"",IF(D1016&gt;F1016,D1016-C1016,IF(C1016-D1016&lt;0,0,C1016-D1016))))</f>
        <v/>
      </c>
      <c r="J1016" s="20"/>
      <c r="K1016" s="8" t="n">
        <f aca="false">IF(SUM(H1016:J1016)&lt;0.00068287037037037,0,SUM(H1016:J1016))</f>
        <v>0</v>
      </c>
      <c r="L1016" s="8" t="n">
        <f aca="false">IF(OR(F1016="Congé",F1016="OFF",M1016="Abs",F1016="Congé sans solde",F1016="Férié",F1016="Congé spécial",D1016="Congé spécial"),0,IF(F1016-E1016&lt;0,0,IF(F1016-E1016&lt;=0.00068287037037037,0,F1016-E1016)))</f>
        <v>0</v>
      </c>
      <c r="M1016" s="6" t="n">
        <f aca="false">IF(AND(O1016&lt;&gt;0,C1016=""),"Abs",0)</f>
        <v>0</v>
      </c>
      <c r="N1016" s="8" t="str">
        <f aca="false">IFERROR(IF(OR(D1016="OFF",D1016="Congé",M1016="Abs",D1016="Congé sans solde",D1016="Férié"),"",IF(O1016-K1016-L1016&gt;O1016,O1016,IF(O1016-K1016-L1016&lt;0,"",O1016-K1016-L1016))),"")</f>
        <v/>
      </c>
      <c r="O1016" s="8" t="n">
        <f aca="false">IF(AG1016="2H Pause déjeuner",IF(F1016-D1016-0.0833333333333333&lt;0,F1016-D1016-0.0833333333333333+1,F1016-D1016-0.0833333333333333),IF(OR(AND(F1016="OFF",D1016="OFF"),AND(F1016="Congé",D1016="Congé"),AND(F1016="Congé sans solde",D1016="Congé sans solde"),AND(F1016="Congé spécial",D1016="Congé spécial"),AND(F1016="Férié",D1016="Férié"),AND(F1016="OFF",D1016="Congé"),AND(F1016="OFF",D1016="Congé sans solde"),AND(F1016="OFF",D1016="Congé spécial"),AND(F1016="OFF",D1016="Férié"),AND(F1016="Congé",D1016="OFF"),AND(F1016="Congé",D1016="Congé sans solde"),AND(F1016="Congé",D1016="Congé spécial"),AND(F1016="Congé",D1016="Férié"),AND(F1016="Congé sans solde",D1016="OFF"),AND(F1016="Congé sans solde",D1016="Congé"),AND(F1016="Congé sans solde",D1016="Congé spécial"),AND(F1016="Congé sans solde",D1016="Férié"),AND(F1016="Congé spécial",D1016="OFF"),AND(F1016="Congé spécial",D1016="Congé"),AND(F1016="Congé spécial",D1016="Congé sans solde"),AND(F1016="Congé spécial",D1016="Férié"),AND(F1016="Férié",D1016="OFF"),AND(F1016="Férié",D1016="Congé"),AND(F1016="Férié",D1016="Congé sans solde"),AND(F1016="Férié",D1016="Congé spécial")),0,IF(OR(F1016="OFF",F1016="Congé",F1016="Congé spécial",F1016="Congé sans solde",D1016="OFF",D1016="Congé",D1016="Congé spécial",D1016="Congé sans solde"),0.208333333333334,IF(AND(AG1016="",F1016-D1016&lt;0),("24:00:00"-D1016)+("00:00:00"+F1016)-0.0416666666666667,IF(AND(OR(AG1016="Allaitement",AG1016="Sans déjeuner"),F1016-D1016&lt;0),("24:00:00"-D1016)+("00:00:00"+F1016),IF(AND(AG1016="",F1016-D1016&gt;0.166666666666667),F1016-D1016-0.0416666666666667,IF(AND(OR(AG1016="Allaitement",AG1016="Sans déjeuner"),F1016-D1016&gt;0.166666666666667),F1016-D1016,F1016-D1016)))))))</f>
        <v>0</v>
      </c>
      <c r="P1016" s="6" t="str">
        <f aca="false">IFERROR(VLOOKUP($B1016,Agents!$A:$D,2,0),"-")</f>
        <v>Accessibilité</v>
      </c>
      <c r="Q1016" s="21" t="n">
        <v>46269</v>
      </c>
      <c r="R1016" s="8" t="n">
        <f aca="false">IF(M1016="Abs",O1016,0)</f>
        <v>0</v>
      </c>
      <c r="S1016" s="8" t="n">
        <f aca="false">SUM(R1016,L1016,I1016,J1016,W1016,H1016)</f>
        <v>0</v>
      </c>
      <c r="T1016" s="6" t="str">
        <f aca="false">"Sem - "&amp;WEEKNUM(Q1016,21)</f>
        <v>Sem - 36</v>
      </c>
      <c r="U1016" s="6" t="str">
        <f aca="false">CHOOSE(MONTH(Q1016),"Janvier","Février","Mars","Avril","Mai","Juin","Juillet","Août","Septembre","Octobre","Novembre","Décembre")</f>
        <v>Septembre</v>
      </c>
      <c r="V1016" s="22" t="n">
        <f aca="false">YEAR(Q1016)</f>
        <v>2026</v>
      </c>
      <c r="W1016" s="20"/>
      <c r="X1016" s="8" t="n">
        <f aca="false">IFERROR(IF(M1016="Abs",0,IF(ROUND((D1016-C1016+E1016-F1016)*1440,0)&lt;=1,0,D1016-C1016+E1016-F1016)),0)</f>
        <v>0</v>
      </c>
      <c r="Y1016" s="6" t="str">
        <f aca="false">IFERROR(VLOOKUP($B1016,Agents!$A:$D,3,0),"-")</f>
        <v>OUBRAHIM Mohammed</v>
      </c>
      <c r="Z1016" s="6" t="str">
        <f aca="false">IFERROR(VLOOKUP($B1016,Agents!$A:$D,4,0),"-")</f>
        <v>Credit Mutuel</v>
      </c>
      <c r="AA1016" s="18" t="s">
        <v>118</v>
      </c>
      <c r="AB1016" s="8" t="n">
        <f aca="false">IF(AND(D1016="Congé",F1016="Congé"),0.333333333333333,IF(OR(AND(D1016="Congé",F1016&lt;&gt;"Congé"),(AND(F1016="Congé",D1016&lt;&gt;"Congé"))),0.166666666666667,""))</f>
        <v>0.333333333333333</v>
      </c>
      <c r="AC1016" s="8" t="str">
        <f aca="false">IF(AND(D1016="Congé sans solde",F1016="Congé sans solde"),0.333333333333333,IF(OR(AND(D1016="Congé sans solde",F1016&lt;&gt;"Congé sans solde"),(AND(F1016="Congé sans solde",D1016&lt;&gt;"Congé sans solde"))),0.166666666666667,""))</f>
        <v/>
      </c>
      <c r="AD1016" s="8" t="str">
        <f aca="false">IF(AND(D1016="Congé spécial",F1016="Congé spécial"),0.333333333333333,IF(OR(AND(D1016="Congé spécial",F1016&lt;&gt;"Congé spécial"),AND(F1016="Congé spécial",D1016&lt;&gt;"Congé spécial")),0.166666666666667,""))</f>
        <v/>
      </c>
      <c r="AE1016" s="8" t="str">
        <f aca="false">IF(AND(D1016="Férié",F1016="Férié"),0.333333333333333,IF(OR(AND(D1016="Férié",F1016&lt;&gt;"Férié"),(AND(F1016="Férié",D1016&lt;&gt;"Férié"))),0.166666666666667,""))</f>
        <v/>
      </c>
      <c r="AF1016" s="18"/>
      <c r="AG1016" s="18"/>
    </row>
    <row r="1017" customFormat="false" ht="15" hidden="false" customHeight="false" outlineLevel="0" collapsed="false">
      <c r="A1017" s="6" t="str">
        <f aca="false">YEAR(Q1017-WEEKDAY(Q1017,2)+4)&amp;"-S"&amp;TEXT(WEEKNUM(Q1017,21),"00")</f>
        <v>2026-S36</v>
      </c>
      <c r="B1017" s="18" t="s">
        <v>73</v>
      </c>
      <c r="C1017" s="19"/>
      <c r="D1017" s="19" t="n">
        <v>0.333333333333333</v>
      </c>
      <c r="E1017" s="19"/>
      <c r="F1017" s="19" t="n">
        <v>0.708333333333333</v>
      </c>
      <c r="G1017" s="20"/>
      <c r="H1017" s="20"/>
      <c r="I1017" s="8" t="str">
        <f aca="false">IF(IF(OR(C1017="",D1017="Congé",D1017="OFF",D1017="Congé spécial"),"",IF(D1017&gt;F1017,D1017-C1017,IF(C1017-D1017&lt;0,0,C1017-D1017)))&lt;0.00068287037037037,"",IF(OR(D1017="Congé",D1017="OFF",C1017="",D1017="Congé spécial"),"",IF(D1017&gt;F1017,D1017-C1017,IF(C1017-D1017&lt;0,0,C1017-D1017))))</f>
        <v/>
      </c>
      <c r="J1017" s="20"/>
      <c r="K1017" s="8" t="n">
        <f aca="false">IF(SUM(H1017:J1017)&lt;0.00068287037037037,0,SUM(H1017:J1017))</f>
        <v>0</v>
      </c>
      <c r="L1017" s="8" t="n">
        <f aca="false">IF(OR(F1017="Congé",F1017="OFF",M1017="Abs",F1017="Congé sans solde",F1017="Férié",F1017="Congé spécial",D1017="Congé spécial"),0,IF(F1017-E1017&lt;0,0,IF(F1017-E1017&lt;=0.00068287037037037,0,F1017-E1017)))</f>
        <v>0</v>
      </c>
      <c r="M1017" s="6" t="str">
        <f aca="false">IF(AND(O1017&lt;&gt;0,C1017=""),"Abs",0)</f>
        <v>Abs</v>
      </c>
      <c r="N1017" s="8" t="str">
        <f aca="false">IFERROR(IF(OR(D1017="OFF",D1017="Congé",M1017="Abs",D1017="Congé sans solde",D1017="Férié"),"",IF(O1017-K1017-L1017&gt;O1017,O1017,IF(O1017-K1017-L1017&lt;0,"",O1017-K1017-L1017))),"")</f>
        <v/>
      </c>
      <c r="O1017" s="8" t="n">
        <f aca="false">IF(AG1017="2H Pause déjeuner",IF(F1017-D1017-0.0833333333333333&lt;0,F1017-D1017-0.0833333333333333+1,F1017-D1017-0.0833333333333333),IF(OR(AND(F1017="OFF",D1017="OFF"),AND(F1017="Congé",D1017="Congé"),AND(F1017="Congé sans solde",D1017="Congé sans solde"),AND(F1017="Congé spécial",D1017="Congé spécial"),AND(F1017="Férié",D1017="Férié"),AND(F1017="OFF",D1017="Congé"),AND(F1017="OFF",D1017="Congé sans solde"),AND(F1017="OFF",D1017="Congé spécial"),AND(F1017="OFF",D1017="Férié"),AND(F1017="Congé",D1017="OFF"),AND(F1017="Congé",D1017="Congé sans solde"),AND(F1017="Congé",D1017="Congé spécial"),AND(F1017="Congé",D1017="Férié"),AND(F1017="Congé sans solde",D1017="OFF"),AND(F1017="Congé sans solde",D1017="Congé"),AND(F1017="Congé sans solde",D1017="Congé spécial"),AND(F1017="Congé sans solde",D1017="Férié"),AND(F1017="Congé spécial",D1017="OFF"),AND(F1017="Congé spécial",D1017="Congé"),AND(F1017="Congé spécial",D1017="Congé sans solde"),AND(F1017="Congé spécial",D1017="Férié"),AND(F1017="Férié",D1017="OFF"),AND(F1017="Férié",D1017="Congé"),AND(F1017="Férié",D1017="Congé sans solde"),AND(F1017="Férié",D1017="Congé spécial")),0,IF(OR(F1017="OFF",F1017="Congé",F1017="Congé spécial",F1017="Congé sans solde",D1017="OFF",D1017="Congé",D1017="Congé spécial",D1017="Congé sans solde"),0.208333333333334,IF(AND(AG1017="",F1017-D1017&lt;0),("24:00:00"-D1017)+("00:00:00"+F1017)-0.0416666666666667,IF(AND(OR(AG1017="Allaitement",AG1017="Sans déjeuner"),F1017-D1017&lt;0),("24:00:00"-D1017)+("00:00:00"+F1017),IF(AND(AG1017="",F1017-D1017&gt;0.166666666666667),F1017-D1017-0.0416666666666667,IF(AND(OR(AG1017="Allaitement",AG1017="Sans déjeuner"),F1017-D1017&gt;0.166666666666667),F1017-D1017,F1017-D1017)))))))</f>
        <v>0.333333333333333</v>
      </c>
      <c r="P1017" s="6" t="str">
        <f aca="false">IFERROR(VLOOKUP($B1017,Agents!$A:$D,2,0),"-")</f>
        <v>Accessibilité</v>
      </c>
      <c r="Q1017" s="21" t="n">
        <v>46269</v>
      </c>
      <c r="R1017" s="8" t="n">
        <f aca="false">IF(M1017="Abs",O1017,0)</f>
        <v>0.333333333333333</v>
      </c>
      <c r="S1017" s="8" t="n">
        <f aca="false">SUM(R1017,L1017,I1017,J1017,W1017,H1017)</f>
        <v>0.333333333333333</v>
      </c>
      <c r="T1017" s="6" t="str">
        <f aca="false">"Sem - "&amp;WEEKNUM(Q1017,21)</f>
        <v>Sem - 36</v>
      </c>
      <c r="U1017" s="6" t="str">
        <f aca="false">CHOOSE(MONTH(Q1017),"Janvier","Février","Mars","Avril","Mai","Juin","Juillet","Août","Septembre","Octobre","Novembre","Décembre")</f>
        <v>Septembre</v>
      </c>
      <c r="V1017" s="22" t="n">
        <f aca="false">YEAR(Q1017)</f>
        <v>2026</v>
      </c>
      <c r="W1017" s="20"/>
      <c r="X1017" s="8" t="n">
        <f aca="false">IFERROR(IF(M1017="Abs",0,IF(ROUND((D1017-C1017+E1017-F1017)*1440,0)&lt;=1,0,D1017-C1017+E1017-F1017)),0)</f>
        <v>0</v>
      </c>
      <c r="Y1017" s="6" t="str">
        <f aca="false">IFERROR(VLOOKUP($B1017,Agents!$A:$D,3,0),"-")</f>
        <v>OUBRAHIM Mohammed</v>
      </c>
      <c r="Z1017" s="6" t="str">
        <f aca="false">IFERROR(VLOOKUP($B1017,Agents!$A:$D,4,0),"-")</f>
        <v>Credit Mutuel</v>
      </c>
      <c r="AA1017" s="18" t="s">
        <v>118</v>
      </c>
      <c r="AB1017" s="8" t="str">
        <f aca="false">IF(AND(D1017="Congé",F1017="Congé"),0.333333333333333,IF(OR(AND(D1017="Congé",F1017&lt;&gt;"Congé"),(AND(F1017="Congé",D1017&lt;&gt;"Congé"))),0.166666666666667,""))</f>
        <v/>
      </c>
      <c r="AC1017" s="8" t="str">
        <f aca="false">IF(AND(D1017="Congé sans solde",F1017="Congé sans solde"),0.333333333333333,IF(OR(AND(D1017="Congé sans solde",F1017&lt;&gt;"Congé sans solde"),(AND(F1017="Congé sans solde",D1017&lt;&gt;"Congé sans solde"))),0.166666666666667,""))</f>
        <v/>
      </c>
      <c r="AD1017" s="8" t="str">
        <f aca="false">IF(AND(D1017="Congé spécial",F1017="Congé spécial"),0.333333333333333,IF(OR(AND(D1017="Congé spécial",F1017&lt;&gt;"Congé spécial"),AND(F1017="Congé spécial",D1017&lt;&gt;"Congé spécial")),0.166666666666667,""))</f>
        <v/>
      </c>
      <c r="AE1017" s="8" t="str">
        <f aca="false">IF(AND(D1017="Férié",F1017="Férié"),0.333333333333333,IF(OR(AND(D1017="Férié",F1017&lt;&gt;"Férié"),(AND(F1017="Férié",D1017&lt;&gt;"Férié"))),0.166666666666667,""))</f>
        <v/>
      </c>
      <c r="AF1017" s="18"/>
      <c r="AG1017" s="18"/>
    </row>
    <row r="1018" customFormat="false" ht="15" hidden="false" customHeight="false" outlineLevel="0" collapsed="false">
      <c r="A1018" s="6" t="str">
        <f aca="false">YEAR(Q1018-WEEKDAY(Q1018,2)+4)&amp;"-S"&amp;TEXT(WEEKNUM(Q1018,21),"00")</f>
        <v>2026-S36</v>
      </c>
      <c r="B1018" s="18" t="s">
        <v>71</v>
      </c>
      <c r="C1018" s="19"/>
      <c r="D1018" s="19" t="s">
        <v>74</v>
      </c>
      <c r="E1018" s="19"/>
      <c r="F1018" s="19" t="s">
        <v>74</v>
      </c>
      <c r="G1018" s="20"/>
      <c r="H1018" s="20"/>
      <c r="I1018" s="8" t="str">
        <f aca="false">IF(IF(OR(C1018="",D1018="Congé",D1018="OFF",D1018="Congé spécial"),"",IF(D1018&gt;F1018,D1018-C1018,IF(C1018-D1018&lt;0,0,C1018-D1018)))&lt;0.00068287037037037,"",IF(OR(D1018="Congé",D1018="OFF",C1018="",D1018="Congé spécial"),"",IF(D1018&gt;F1018,D1018-C1018,IF(C1018-D1018&lt;0,0,C1018-D1018))))</f>
        <v/>
      </c>
      <c r="J1018" s="20"/>
      <c r="K1018" s="8" t="n">
        <f aca="false">IF(SUM(H1018:J1018)&lt;0.00068287037037037,0,SUM(H1018:J1018))</f>
        <v>0</v>
      </c>
      <c r="L1018" s="8" t="n">
        <f aca="false">IF(OR(F1018="Congé",F1018="OFF",M1018="Abs",F1018="Congé sans solde",F1018="Férié",F1018="Congé spécial",D1018="Congé spécial"),0,IF(F1018-E1018&lt;0,0,IF(F1018-E1018&lt;=0.00068287037037037,0,F1018-E1018)))</f>
        <v>0</v>
      </c>
      <c r="M1018" s="6" t="n">
        <f aca="false">IF(AND(O1018&lt;&gt;0,C1018=""),"Abs",0)</f>
        <v>0</v>
      </c>
      <c r="N1018" s="8" t="str">
        <f aca="false">IFERROR(IF(OR(D1018="OFF",D1018="Congé",M1018="Abs",D1018="Congé sans solde",D1018="Férié"),"",IF(O1018-K1018-L1018&gt;O1018,O1018,IF(O1018-K1018-L1018&lt;0,"",O1018-K1018-L1018))),"")</f>
        <v/>
      </c>
      <c r="O1018" s="8" t="n">
        <f aca="false">IF(AG1018="2H Pause déjeuner",IF(F1018-D1018-0.0833333333333333&lt;0,F1018-D1018-0.0833333333333333+1,F1018-D1018-0.0833333333333333),IF(OR(AND(F1018="OFF",D1018="OFF"),AND(F1018="Congé",D1018="Congé"),AND(F1018="Congé sans solde",D1018="Congé sans solde"),AND(F1018="Congé spécial",D1018="Congé spécial"),AND(F1018="Férié",D1018="Férié"),AND(F1018="OFF",D1018="Congé"),AND(F1018="OFF",D1018="Congé sans solde"),AND(F1018="OFF",D1018="Congé spécial"),AND(F1018="OFF",D1018="Férié"),AND(F1018="Congé",D1018="OFF"),AND(F1018="Congé",D1018="Congé sans solde"),AND(F1018="Congé",D1018="Congé spécial"),AND(F1018="Congé",D1018="Férié"),AND(F1018="Congé sans solde",D1018="OFF"),AND(F1018="Congé sans solde",D1018="Congé"),AND(F1018="Congé sans solde",D1018="Congé spécial"),AND(F1018="Congé sans solde",D1018="Férié"),AND(F1018="Congé spécial",D1018="OFF"),AND(F1018="Congé spécial",D1018="Congé"),AND(F1018="Congé spécial",D1018="Congé sans solde"),AND(F1018="Congé spécial",D1018="Férié"),AND(F1018="Férié",D1018="OFF"),AND(F1018="Férié",D1018="Congé"),AND(F1018="Férié",D1018="Congé sans solde"),AND(F1018="Férié",D1018="Congé spécial")),0,IF(OR(F1018="OFF",F1018="Congé",F1018="Congé spécial",F1018="Congé sans solde",D1018="OFF",D1018="Congé",D1018="Congé spécial",D1018="Congé sans solde"),0.208333333333334,IF(AND(AG1018="",F1018-D1018&lt;0),("24:00:00"-D1018)+("00:00:00"+F1018)-0.0416666666666667,IF(AND(OR(AG1018="Allaitement",AG1018="Sans déjeuner"),F1018-D1018&lt;0),("24:00:00"-D1018)+("00:00:00"+F1018),IF(AND(AG1018="",F1018-D1018&gt;0.166666666666667),F1018-D1018-0.0416666666666667,IF(AND(OR(AG1018="Allaitement",AG1018="Sans déjeuner"),F1018-D1018&gt;0.166666666666667),F1018-D1018,F1018-D1018)))))))</f>
        <v>0</v>
      </c>
      <c r="P1018" s="6" t="str">
        <f aca="false">IFERROR(VLOOKUP($B1018,Agents!$A:$D,2,0),"-")</f>
        <v>Accessibilité</v>
      </c>
      <c r="Q1018" s="21" t="n">
        <v>46270</v>
      </c>
      <c r="R1018" s="8" t="n">
        <f aca="false">IF(M1018="Abs",O1018,0)</f>
        <v>0</v>
      </c>
      <c r="S1018" s="8" t="n">
        <f aca="false">SUM(R1018,L1018,I1018,J1018,W1018,H1018)</f>
        <v>0</v>
      </c>
      <c r="T1018" s="6" t="str">
        <f aca="false">"Sem - "&amp;WEEKNUM(Q1018,21)</f>
        <v>Sem - 36</v>
      </c>
      <c r="U1018" s="6" t="str">
        <f aca="false">CHOOSE(MONTH(Q1018),"Janvier","Février","Mars","Avril","Mai","Juin","Juillet","Août","Septembre","Octobre","Novembre","Décembre")</f>
        <v>Septembre</v>
      </c>
      <c r="V1018" s="22" t="n">
        <f aca="false">YEAR(Q1018)</f>
        <v>2026</v>
      </c>
      <c r="W1018" s="20"/>
      <c r="X1018" s="8" t="n">
        <f aca="false">IFERROR(IF(M1018="Abs",0,IF(ROUND((D1018-C1018+E1018-F1018)*1440,0)&lt;=1,0,D1018-C1018+E1018-F1018)),0)</f>
        <v>0</v>
      </c>
      <c r="Y1018" s="6" t="str">
        <f aca="false">IFERROR(VLOOKUP($B1018,Agents!$A:$D,3,0),"-")</f>
        <v>OUBRAHIM Mohammed</v>
      </c>
      <c r="Z1018" s="6" t="str">
        <f aca="false">IFERROR(VLOOKUP($B1018,Agents!$A:$D,4,0),"-")</f>
        <v>Credit Mutuel</v>
      </c>
      <c r="AA1018" s="18" t="s">
        <v>118</v>
      </c>
      <c r="AB1018" s="8" t="str">
        <f aca="false">IF(AND(D1018="Congé",F1018="Congé"),0.333333333333333,IF(OR(AND(D1018="Congé",F1018&lt;&gt;"Congé"),(AND(F1018="Congé",D1018&lt;&gt;"Congé"))),0.166666666666667,""))</f>
        <v/>
      </c>
      <c r="AC1018" s="8" t="str">
        <f aca="false">IF(AND(D1018="Congé sans solde",F1018="Congé sans solde"),0.333333333333333,IF(OR(AND(D1018="Congé sans solde",F1018&lt;&gt;"Congé sans solde"),(AND(F1018="Congé sans solde",D1018&lt;&gt;"Congé sans solde"))),0.166666666666667,""))</f>
        <v/>
      </c>
      <c r="AD1018" s="8" t="str">
        <f aca="false">IF(AND(D1018="Congé spécial",F1018="Congé spécial"),0.333333333333333,IF(OR(AND(D1018="Congé spécial",F1018&lt;&gt;"Congé spécial"),AND(F1018="Congé spécial",D1018&lt;&gt;"Congé spécial")),0.166666666666667,""))</f>
        <v/>
      </c>
      <c r="AE1018" s="8" t="str">
        <f aca="false">IF(AND(D1018="Férié",F1018="Férié"),0.333333333333333,IF(OR(AND(D1018="Férié",F1018&lt;&gt;"Férié"),(AND(F1018="Férié",D1018&lt;&gt;"Férié"))),0.166666666666667,""))</f>
        <v/>
      </c>
      <c r="AF1018" s="18"/>
      <c r="AG1018" s="18"/>
    </row>
    <row r="1019" customFormat="false" ht="15" hidden="false" customHeight="false" outlineLevel="0" collapsed="false">
      <c r="A1019" s="6" t="str">
        <f aca="false">YEAR(Q1019-WEEKDAY(Q1019,2)+4)&amp;"-S"&amp;TEXT(WEEKNUM(Q1019,21),"00")</f>
        <v>2026-S36</v>
      </c>
      <c r="B1019" s="18" t="s">
        <v>72</v>
      </c>
      <c r="C1019" s="19"/>
      <c r="D1019" s="19" t="s">
        <v>74</v>
      </c>
      <c r="E1019" s="19"/>
      <c r="F1019" s="19" t="s">
        <v>74</v>
      </c>
      <c r="G1019" s="20"/>
      <c r="H1019" s="20"/>
      <c r="I1019" s="8" t="str">
        <f aca="false">IF(IF(OR(C1019="",D1019="Congé",D1019="OFF",D1019="Congé spécial"),"",IF(D1019&gt;F1019,D1019-C1019,IF(C1019-D1019&lt;0,0,C1019-D1019)))&lt;0.00068287037037037,"",IF(OR(D1019="Congé",D1019="OFF",C1019="",D1019="Congé spécial"),"",IF(D1019&gt;F1019,D1019-C1019,IF(C1019-D1019&lt;0,0,C1019-D1019))))</f>
        <v/>
      </c>
      <c r="J1019" s="20"/>
      <c r="K1019" s="8" t="n">
        <f aca="false">IF(SUM(H1019:J1019)&lt;0.00068287037037037,0,SUM(H1019:J1019))</f>
        <v>0</v>
      </c>
      <c r="L1019" s="8" t="n">
        <f aca="false">IF(OR(F1019="Congé",F1019="OFF",M1019="Abs",F1019="Congé sans solde",F1019="Férié",F1019="Congé spécial",D1019="Congé spécial"),0,IF(F1019-E1019&lt;0,0,IF(F1019-E1019&lt;=0.00068287037037037,0,F1019-E1019)))</f>
        <v>0</v>
      </c>
      <c r="M1019" s="6" t="n">
        <f aca="false">IF(AND(O1019&lt;&gt;0,C1019=""),"Abs",0)</f>
        <v>0</v>
      </c>
      <c r="N1019" s="8" t="str">
        <f aca="false">IFERROR(IF(OR(D1019="OFF",D1019="Congé",M1019="Abs",D1019="Congé sans solde",D1019="Férié"),"",IF(O1019-K1019-L1019&gt;O1019,O1019,IF(O1019-K1019-L1019&lt;0,"",O1019-K1019-L1019))),"")</f>
        <v/>
      </c>
      <c r="O1019" s="8" t="n">
        <f aca="false">IF(AG1019="2H Pause déjeuner",IF(F1019-D1019-0.0833333333333333&lt;0,F1019-D1019-0.0833333333333333+1,F1019-D1019-0.0833333333333333),IF(OR(AND(F1019="OFF",D1019="OFF"),AND(F1019="Congé",D1019="Congé"),AND(F1019="Congé sans solde",D1019="Congé sans solde"),AND(F1019="Congé spécial",D1019="Congé spécial"),AND(F1019="Férié",D1019="Férié"),AND(F1019="OFF",D1019="Congé"),AND(F1019="OFF",D1019="Congé sans solde"),AND(F1019="OFF",D1019="Congé spécial"),AND(F1019="OFF",D1019="Férié"),AND(F1019="Congé",D1019="OFF"),AND(F1019="Congé",D1019="Congé sans solde"),AND(F1019="Congé",D1019="Congé spécial"),AND(F1019="Congé",D1019="Férié"),AND(F1019="Congé sans solde",D1019="OFF"),AND(F1019="Congé sans solde",D1019="Congé"),AND(F1019="Congé sans solde",D1019="Congé spécial"),AND(F1019="Congé sans solde",D1019="Férié"),AND(F1019="Congé spécial",D1019="OFF"),AND(F1019="Congé spécial",D1019="Congé"),AND(F1019="Congé spécial",D1019="Congé sans solde"),AND(F1019="Congé spécial",D1019="Férié"),AND(F1019="Férié",D1019="OFF"),AND(F1019="Férié",D1019="Congé"),AND(F1019="Férié",D1019="Congé sans solde"),AND(F1019="Férié",D1019="Congé spécial")),0,IF(OR(F1019="OFF",F1019="Congé",F1019="Congé spécial",F1019="Congé sans solde",D1019="OFF",D1019="Congé",D1019="Congé spécial",D1019="Congé sans solde"),0.208333333333334,IF(AND(AG1019="",F1019-D1019&lt;0),("24:00:00"-D1019)+("00:00:00"+F1019)-0.0416666666666667,IF(AND(OR(AG1019="Allaitement",AG1019="Sans déjeuner"),F1019-D1019&lt;0),("24:00:00"-D1019)+("00:00:00"+F1019),IF(AND(AG1019="",F1019-D1019&gt;0.166666666666667),F1019-D1019-0.0416666666666667,IF(AND(OR(AG1019="Allaitement",AG1019="Sans déjeuner"),F1019-D1019&gt;0.166666666666667),F1019-D1019,F1019-D1019)))))))</f>
        <v>0</v>
      </c>
      <c r="P1019" s="6" t="str">
        <f aca="false">IFERROR(VLOOKUP($B1019,Agents!$A:$D,2,0),"-")</f>
        <v>Accessibilité</v>
      </c>
      <c r="Q1019" s="21" t="n">
        <v>46270</v>
      </c>
      <c r="R1019" s="8" t="n">
        <f aca="false">IF(M1019="Abs",O1019,0)</f>
        <v>0</v>
      </c>
      <c r="S1019" s="8" t="n">
        <f aca="false">SUM(R1019,L1019,I1019,J1019,W1019,H1019)</f>
        <v>0</v>
      </c>
      <c r="T1019" s="6" t="str">
        <f aca="false">"Sem - "&amp;WEEKNUM(Q1019,21)</f>
        <v>Sem - 36</v>
      </c>
      <c r="U1019" s="6" t="str">
        <f aca="false">CHOOSE(MONTH(Q1019),"Janvier","Février","Mars","Avril","Mai","Juin","Juillet","Août","Septembre","Octobre","Novembre","Décembre")</f>
        <v>Septembre</v>
      </c>
      <c r="V1019" s="22" t="n">
        <f aca="false">YEAR(Q1019)</f>
        <v>2026</v>
      </c>
      <c r="W1019" s="20"/>
      <c r="X1019" s="8" t="n">
        <f aca="false">IFERROR(IF(M1019="Abs",0,IF(ROUND((D1019-C1019+E1019-F1019)*1440,0)&lt;=1,0,D1019-C1019+E1019-F1019)),0)</f>
        <v>0</v>
      </c>
      <c r="Y1019" s="6" t="str">
        <f aca="false">IFERROR(VLOOKUP($B1019,Agents!$A:$D,3,0),"-")</f>
        <v>OUBRAHIM Mohammed</v>
      </c>
      <c r="Z1019" s="6" t="str">
        <f aca="false">IFERROR(VLOOKUP($B1019,Agents!$A:$D,4,0),"-")</f>
        <v>Credit Mutuel</v>
      </c>
      <c r="AA1019" s="18" t="s">
        <v>118</v>
      </c>
      <c r="AB1019" s="8" t="str">
        <f aca="false">IF(AND(D1019="Congé",F1019="Congé"),0.333333333333333,IF(OR(AND(D1019="Congé",F1019&lt;&gt;"Congé"),(AND(F1019="Congé",D1019&lt;&gt;"Congé"))),0.166666666666667,""))</f>
        <v/>
      </c>
      <c r="AC1019" s="8" t="str">
        <f aca="false">IF(AND(D1019="Congé sans solde",F1019="Congé sans solde"),0.333333333333333,IF(OR(AND(D1019="Congé sans solde",F1019&lt;&gt;"Congé sans solde"),(AND(F1019="Congé sans solde",D1019&lt;&gt;"Congé sans solde"))),0.166666666666667,""))</f>
        <v/>
      </c>
      <c r="AD1019" s="8" t="str">
        <f aca="false">IF(AND(D1019="Congé spécial",F1019="Congé spécial"),0.333333333333333,IF(OR(AND(D1019="Congé spécial",F1019&lt;&gt;"Congé spécial"),AND(F1019="Congé spécial",D1019&lt;&gt;"Congé spécial")),0.166666666666667,""))</f>
        <v/>
      </c>
      <c r="AE1019" s="8" t="str">
        <f aca="false">IF(AND(D1019="Férié",F1019="Férié"),0.333333333333333,IF(OR(AND(D1019="Férié",F1019&lt;&gt;"Férié"),(AND(F1019="Férié",D1019&lt;&gt;"Férié"))),0.166666666666667,""))</f>
        <v/>
      </c>
      <c r="AF1019" s="18"/>
      <c r="AG1019" s="18"/>
    </row>
    <row r="1020" customFormat="false" ht="15" hidden="false" customHeight="false" outlineLevel="0" collapsed="false">
      <c r="A1020" s="6" t="str">
        <f aca="false">YEAR(Q1020-WEEKDAY(Q1020,2)+4)&amp;"-S"&amp;TEXT(WEEKNUM(Q1020,21),"00")</f>
        <v>2026-S36</v>
      </c>
      <c r="B1020" s="18" t="s">
        <v>73</v>
      </c>
      <c r="C1020" s="19"/>
      <c r="D1020" s="19" t="s">
        <v>74</v>
      </c>
      <c r="E1020" s="19"/>
      <c r="F1020" s="19" t="s">
        <v>74</v>
      </c>
      <c r="G1020" s="20"/>
      <c r="H1020" s="20"/>
      <c r="I1020" s="8" t="str">
        <f aca="false">IF(IF(OR(C1020="",D1020="Congé",D1020="OFF",D1020="Congé spécial"),"",IF(D1020&gt;F1020,D1020-C1020,IF(C1020-D1020&lt;0,0,C1020-D1020)))&lt;0.00068287037037037,"",IF(OR(D1020="Congé",D1020="OFF",C1020="",D1020="Congé spécial"),"",IF(D1020&gt;F1020,D1020-C1020,IF(C1020-D1020&lt;0,0,C1020-D1020))))</f>
        <v/>
      </c>
      <c r="J1020" s="20"/>
      <c r="K1020" s="8" t="n">
        <f aca="false">IF(SUM(H1020:J1020)&lt;0.00068287037037037,0,SUM(H1020:J1020))</f>
        <v>0</v>
      </c>
      <c r="L1020" s="8" t="n">
        <f aca="false">IF(OR(F1020="Congé",F1020="OFF",M1020="Abs",F1020="Congé sans solde",F1020="Férié",F1020="Congé spécial",D1020="Congé spécial"),0,IF(F1020-E1020&lt;0,0,IF(F1020-E1020&lt;=0.00068287037037037,0,F1020-E1020)))</f>
        <v>0</v>
      </c>
      <c r="M1020" s="6" t="n">
        <f aca="false">IF(AND(O1020&lt;&gt;0,C1020=""),"Abs",0)</f>
        <v>0</v>
      </c>
      <c r="N1020" s="8" t="str">
        <f aca="false">IFERROR(IF(OR(D1020="OFF",D1020="Congé",M1020="Abs",D1020="Congé sans solde",D1020="Férié"),"",IF(O1020-K1020-L1020&gt;O1020,O1020,IF(O1020-K1020-L1020&lt;0,"",O1020-K1020-L1020))),"")</f>
        <v/>
      </c>
      <c r="O1020" s="8" t="n">
        <f aca="false">IF(AG1020="2H Pause déjeuner",IF(F1020-D1020-0.0833333333333333&lt;0,F1020-D1020-0.0833333333333333+1,F1020-D1020-0.0833333333333333),IF(OR(AND(F1020="OFF",D1020="OFF"),AND(F1020="Congé",D1020="Congé"),AND(F1020="Congé sans solde",D1020="Congé sans solde"),AND(F1020="Congé spécial",D1020="Congé spécial"),AND(F1020="Férié",D1020="Férié"),AND(F1020="OFF",D1020="Congé"),AND(F1020="OFF",D1020="Congé sans solde"),AND(F1020="OFF",D1020="Congé spécial"),AND(F1020="OFF",D1020="Férié"),AND(F1020="Congé",D1020="OFF"),AND(F1020="Congé",D1020="Congé sans solde"),AND(F1020="Congé",D1020="Congé spécial"),AND(F1020="Congé",D1020="Férié"),AND(F1020="Congé sans solde",D1020="OFF"),AND(F1020="Congé sans solde",D1020="Congé"),AND(F1020="Congé sans solde",D1020="Congé spécial"),AND(F1020="Congé sans solde",D1020="Férié"),AND(F1020="Congé spécial",D1020="OFF"),AND(F1020="Congé spécial",D1020="Congé"),AND(F1020="Congé spécial",D1020="Congé sans solde"),AND(F1020="Congé spécial",D1020="Férié"),AND(F1020="Férié",D1020="OFF"),AND(F1020="Férié",D1020="Congé"),AND(F1020="Férié",D1020="Congé sans solde"),AND(F1020="Férié",D1020="Congé spécial")),0,IF(OR(F1020="OFF",F1020="Congé",F1020="Congé spécial",F1020="Congé sans solde",D1020="OFF",D1020="Congé",D1020="Congé spécial",D1020="Congé sans solde"),0.208333333333334,IF(AND(AG1020="",F1020-D1020&lt;0),("24:00:00"-D1020)+("00:00:00"+F1020)-0.0416666666666667,IF(AND(OR(AG1020="Allaitement",AG1020="Sans déjeuner"),F1020-D1020&lt;0),("24:00:00"-D1020)+("00:00:00"+F1020),IF(AND(AG1020="",F1020-D1020&gt;0.166666666666667),F1020-D1020-0.0416666666666667,IF(AND(OR(AG1020="Allaitement",AG1020="Sans déjeuner"),F1020-D1020&gt;0.166666666666667),F1020-D1020,F1020-D1020)))))))</f>
        <v>0</v>
      </c>
      <c r="P1020" s="6" t="str">
        <f aca="false">IFERROR(VLOOKUP($B1020,Agents!$A:$D,2,0),"-")</f>
        <v>Accessibilité</v>
      </c>
      <c r="Q1020" s="21" t="n">
        <v>46270</v>
      </c>
      <c r="R1020" s="8" t="n">
        <f aca="false">IF(M1020="Abs",O1020,0)</f>
        <v>0</v>
      </c>
      <c r="S1020" s="8" t="n">
        <f aca="false">SUM(R1020,L1020,I1020,J1020,W1020,H1020)</f>
        <v>0</v>
      </c>
      <c r="T1020" s="6" t="str">
        <f aca="false">"Sem - "&amp;WEEKNUM(Q1020,21)</f>
        <v>Sem - 36</v>
      </c>
      <c r="U1020" s="6" t="str">
        <f aca="false">CHOOSE(MONTH(Q1020),"Janvier","Février","Mars","Avril","Mai","Juin","Juillet","Août","Septembre","Octobre","Novembre","Décembre")</f>
        <v>Septembre</v>
      </c>
      <c r="V1020" s="22" t="n">
        <f aca="false">YEAR(Q1020)</f>
        <v>2026</v>
      </c>
      <c r="W1020" s="20"/>
      <c r="X1020" s="8" t="n">
        <f aca="false">IFERROR(IF(M1020="Abs",0,IF(ROUND((D1020-C1020+E1020-F1020)*1440,0)&lt;=1,0,D1020-C1020+E1020-F1020)),0)</f>
        <v>0</v>
      </c>
      <c r="Y1020" s="6" t="str">
        <f aca="false">IFERROR(VLOOKUP($B1020,Agents!$A:$D,3,0),"-")</f>
        <v>OUBRAHIM Mohammed</v>
      </c>
      <c r="Z1020" s="6" t="str">
        <f aca="false">IFERROR(VLOOKUP($B1020,Agents!$A:$D,4,0),"-")</f>
        <v>Credit Mutuel</v>
      </c>
      <c r="AA1020" s="18" t="s">
        <v>118</v>
      </c>
      <c r="AB1020" s="8" t="str">
        <f aca="false">IF(AND(D1020="Congé",F1020="Congé"),0.333333333333333,IF(OR(AND(D1020="Congé",F1020&lt;&gt;"Congé"),(AND(F1020="Congé",D1020&lt;&gt;"Congé"))),0.166666666666667,""))</f>
        <v/>
      </c>
      <c r="AC1020" s="8" t="str">
        <f aca="false">IF(AND(D1020="Congé sans solde",F1020="Congé sans solde"),0.333333333333333,IF(OR(AND(D1020="Congé sans solde",F1020&lt;&gt;"Congé sans solde"),(AND(F1020="Congé sans solde",D1020&lt;&gt;"Congé sans solde"))),0.166666666666667,""))</f>
        <v/>
      </c>
      <c r="AD1020" s="8" t="str">
        <f aca="false">IF(AND(D1020="Congé spécial",F1020="Congé spécial"),0.333333333333333,IF(OR(AND(D1020="Congé spécial",F1020&lt;&gt;"Congé spécial"),AND(F1020="Congé spécial",D1020&lt;&gt;"Congé spécial")),0.166666666666667,""))</f>
        <v/>
      </c>
      <c r="AE1020" s="8" t="str">
        <f aca="false">IF(AND(D1020="Férié",F1020="Férié"),0.333333333333333,IF(OR(AND(D1020="Férié",F1020&lt;&gt;"Férié"),(AND(F1020="Férié",D1020&lt;&gt;"Férié"))),0.166666666666667,""))</f>
        <v/>
      </c>
      <c r="AF1020" s="18"/>
      <c r="AG1020" s="18"/>
    </row>
    <row r="1021" customFormat="false" ht="15" hidden="false" customHeight="false" outlineLevel="0" collapsed="false">
      <c r="A1021" s="6" t="str">
        <f aca="false">YEAR(Q1021-WEEKDAY(Q1021,2)+4)&amp;"-S"&amp;TEXT(WEEKNUM(Q1021,21),"00")</f>
        <v>2026-S36</v>
      </c>
      <c r="B1021" s="18" t="s">
        <v>71</v>
      </c>
      <c r="C1021" s="19"/>
      <c r="D1021" s="19" t="s">
        <v>74</v>
      </c>
      <c r="E1021" s="19"/>
      <c r="F1021" s="19" t="s">
        <v>74</v>
      </c>
      <c r="G1021" s="20"/>
      <c r="H1021" s="20"/>
      <c r="I1021" s="8" t="str">
        <f aca="false">IF(IF(OR(C1021="",D1021="Congé",D1021="OFF",D1021="Congé spécial"),"",IF(D1021&gt;F1021,D1021-C1021,IF(C1021-D1021&lt;0,0,C1021-D1021)))&lt;0.00068287037037037,"",IF(OR(D1021="Congé",D1021="OFF",C1021="",D1021="Congé spécial"),"",IF(D1021&gt;F1021,D1021-C1021,IF(C1021-D1021&lt;0,0,C1021-D1021))))</f>
        <v/>
      </c>
      <c r="J1021" s="20"/>
      <c r="K1021" s="8" t="n">
        <f aca="false">IF(SUM(H1021:J1021)&lt;0.00068287037037037,0,SUM(H1021:J1021))</f>
        <v>0</v>
      </c>
      <c r="L1021" s="8" t="n">
        <f aca="false">IF(OR(F1021="Congé",F1021="OFF",M1021="Abs",F1021="Congé sans solde",F1021="Férié",F1021="Congé spécial",D1021="Congé spécial"),0,IF(F1021-E1021&lt;0,0,IF(F1021-E1021&lt;=0.00068287037037037,0,F1021-E1021)))</f>
        <v>0</v>
      </c>
      <c r="M1021" s="6" t="n">
        <f aca="false">IF(AND(O1021&lt;&gt;0,C1021=""),"Abs",0)</f>
        <v>0</v>
      </c>
      <c r="N1021" s="8" t="str">
        <f aca="false">IFERROR(IF(OR(D1021="OFF",D1021="Congé",M1021="Abs",D1021="Congé sans solde",D1021="Férié"),"",IF(O1021-K1021-L1021&gt;O1021,O1021,IF(O1021-K1021-L1021&lt;0,"",O1021-K1021-L1021))),"")</f>
        <v/>
      </c>
      <c r="O1021" s="8" t="n">
        <f aca="false">IF(AG1021="2H Pause déjeuner",IF(F1021-D1021-0.0833333333333333&lt;0,F1021-D1021-0.0833333333333333+1,F1021-D1021-0.0833333333333333),IF(OR(AND(F1021="OFF",D1021="OFF"),AND(F1021="Congé",D1021="Congé"),AND(F1021="Congé sans solde",D1021="Congé sans solde"),AND(F1021="Congé spécial",D1021="Congé spécial"),AND(F1021="Férié",D1021="Férié"),AND(F1021="OFF",D1021="Congé"),AND(F1021="OFF",D1021="Congé sans solde"),AND(F1021="OFF",D1021="Congé spécial"),AND(F1021="OFF",D1021="Férié"),AND(F1021="Congé",D1021="OFF"),AND(F1021="Congé",D1021="Congé sans solde"),AND(F1021="Congé",D1021="Congé spécial"),AND(F1021="Congé",D1021="Férié"),AND(F1021="Congé sans solde",D1021="OFF"),AND(F1021="Congé sans solde",D1021="Congé"),AND(F1021="Congé sans solde",D1021="Congé spécial"),AND(F1021="Congé sans solde",D1021="Férié"),AND(F1021="Congé spécial",D1021="OFF"),AND(F1021="Congé spécial",D1021="Congé"),AND(F1021="Congé spécial",D1021="Congé sans solde"),AND(F1021="Congé spécial",D1021="Férié"),AND(F1021="Férié",D1021="OFF"),AND(F1021="Férié",D1021="Congé"),AND(F1021="Férié",D1021="Congé sans solde"),AND(F1021="Férié",D1021="Congé spécial")),0,IF(OR(F1021="OFF",F1021="Congé",F1021="Congé spécial",F1021="Congé sans solde",D1021="OFF",D1021="Congé",D1021="Congé spécial",D1021="Congé sans solde"),0.208333333333334,IF(AND(AG1021="",F1021-D1021&lt;0),("24:00:00"-D1021)+("00:00:00"+F1021)-0.0416666666666667,IF(AND(OR(AG1021="Allaitement",AG1021="Sans déjeuner"),F1021-D1021&lt;0),("24:00:00"-D1021)+("00:00:00"+F1021),IF(AND(AG1021="",F1021-D1021&gt;0.166666666666667),F1021-D1021-0.0416666666666667,IF(AND(OR(AG1021="Allaitement",AG1021="Sans déjeuner"),F1021-D1021&gt;0.166666666666667),F1021-D1021,F1021-D1021)))))))</f>
        <v>0</v>
      </c>
      <c r="P1021" s="6" t="str">
        <f aca="false">IFERROR(VLOOKUP($B1021,Agents!$A:$D,2,0),"-")</f>
        <v>Accessibilité</v>
      </c>
      <c r="Q1021" s="21" t="n">
        <v>46271</v>
      </c>
      <c r="R1021" s="8" t="n">
        <f aca="false">IF(M1021="Abs",O1021,0)</f>
        <v>0</v>
      </c>
      <c r="S1021" s="8" t="n">
        <f aca="false">SUM(R1021,L1021,I1021,J1021,W1021,H1021)</f>
        <v>0</v>
      </c>
      <c r="T1021" s="6" t="str">
        <f aca="false">"Sem - "&amp;WEEKNUM(Q1021,21)</f>
        <v>Sem - 36</v>
      </c>
      <c r="U1021" s="6" t="str">
        <f aca="false">CHOOSE(MONTH(Q1021),"Janvier","Février","Mars","Avril","Mai","Juin","Juillet","Août","Septembre","Octobre","Novembre","Décembre")</f>
        <v>Septembre</v>
      </c>
      <c r="V1021" s="22" t="n">
        <f aca="false">YEAR(Q1021)</f>
        <v>2026</v>
      </c>
      <c r="W1021" s="20"/>
      <c r="X1021" s="8" t="n">
        <f aca="false">IFERROR(IF(M1021="Abs",0,IF(ROUND((D1021-C1021+E1021-F1021)*1440,0)&lt;=1,0,D1021-C1021+E1021-F1021)),0)</f>
        <v>0</v>
      </c>
      <c r="Y1021" s="6" t="str">
        <f aca="false">IFERROR(VLOOKUP($B1021,Agents!$A:$D,3,0),"-")</f>
        <v>OUBRAHIM Mohammed</v>
      </c>
      <c r="Z1021" s="6" t="str">
        <f aca="false">IFERROR(VLOOKUP($B1021,Agents!$A:$D,4,0),"-")</f>
        <v>Credit Mutuel</v>
      </c>
      <c r="AA1021" s="18" t="s">
        <v>118</v>
      </c>
      <c r="AB1021" s="8" t="str">
        <f aca="false">IF(AND(D1021="Congé",F1021="Congé"),0.333333333333333,IF(OR(AND(D1021="Congé",F1021&lt;&gt;"Congé"),(AND(F1021="Congé",D1021&lt;&gt;"Congé"))),0.166666666666667,""))</f>
        <v/>
      </c>
      <c r="AC1021" s="8" t="str">
        <f aca="false">IF(AND(D1021="Congé sans solde",F1021="Congé sans solde"),0.333333333333333,IF(OR(AND(D1021="Congé sans solde",F1021&lt;&gt;"Congé sans solde"),(AND(F1021="Congé sans solde",D1021&lt;&gt;"Congé sans solde"))),0.166666666666667,""))</f>
        <v/>
      </c>
      <c r="AD1021" s="8" t="str">
        <f aca="false">IF(AND(D1021="Congé spécial",F1021="Congé spécial"),0.333333333333333,IF(OR(AND(D1021="Congé spécial",F1021&lt;&gt;"Congé spécial"),AND(F1021="Congé spécial",D1021&lt;&gt;"Congé spécial")),0.166666666666667,""))</f>
        <v/>
      </c>
      <c r="AE1021" s="8" t="str">
        <f aca="false">IF(AND(D1021="Férié",F1021="Férié"),0.333333333333333,IF(OR(AND(D1021="Férié",F1021&lt;&gt;"Férié"),(AND(F1021="Férié",D1021&lt;&gt;"Férié"))),0.166666666666667,""))</f>
        <v/>
      </c>
      <c r="AF1021" s="18"/>
      <c r="AG1021" s="18"/>
    </row>
    <row r="1022" customFormat="false" ht="15" hidden="false" customHeight="false" outlineLevel="0" collapsed="false">
      <c r="A1022" s="6" t="str">
        <f aca="false">YEAR(Q1022-WEEKDAY(Q1022,2)+4)&amp;"-S"&amp;TEXT(WEEKNUM(Q1022,21),"00")</f>
        <v>2026-S36</v>
      </c>
      <c r="B1022" s="18" t="s">
        <v>72</v>
      </c>
      <c r="C1022" s="19"/>
      <c r="D1022" s="19" t="s">
        <v>74</v>
      </c>
      <c r="E1022" s="19"/>
      <c r="F1022" s="19" t="s">
        <v>74</v>
      </c>
      <c r="G1022" s="20"/>
      <c r="H1022" s="20"/>
      <c r="I1022" s="8" t="str">
        <f aca="false">IF(IF(OR(C1022="",D1022="Congé",D1022="OFF",D1022="Congé spécial"),"",IF(D1022&gt;F1022,D1022-C1022,IF(C1022-D1022&lt;0,0,C1022-D1022)))&lt;0.00068287037037037,"",IF(OR(D1022="Congé",D1022="OFF",C1022="",D1022="Congé spécial"),"",IF(D1022&gt;F1022,D1022-C1022,IF(C1022-D1022&lt;0,0,C1022-D1022))))</f>
        <v/>
      </c>
      <c r="J1022" s="20"/>
      <c r="K1022" s="8" t="n">
        <f aca="false">IF(SUM(H1022:J1022)&lt;0.00068287037037037,0,SUM(H1022:J1022))</f>
        <v>0</v>
      </c>
      <c r="L1022" s="8" t="n">
        <f aca="false">IF(OR(F1022="Congé",F1022="OFF",M1022="Abs",F1022="Congé sans solde",F1022="Férié",F1022="Congé spécial",D1022="Congé spécial"),0,IF(F1022-E1022&lt;0,0,IF(F1022-E1022&lt;=0.00068287037037037,0,F1022-E1022)))</f>
        <v>0</v>
      </c>
      <c r="M1022" s="6" t="n">
        <f aca="false">IF(AND(O1022&lt;&gt;0,C1022=""),"Abs",0)</f>
        <v>0</v>
      </c>
      <c r="N1022" s="8" t="str">
        <f aca="false">IFERROR(IF(OR(D1022="OFF",D1022="Congé",M1022="Abs",D1022="Congé sans solde",D1022="Férié"),"",IF(O1022-K1022-L1022&gt;O1022,O1022,IF(O1022-K1022-L1022&lt;0,"",O1022-K1022-L1022))),"")</f>
        <v/>
      </c>
      <c r="O1022" s="8" t="n">
        <f aca="false">IF(AG1022="2H Pause déjeuner",IF(F1022-D1022-0.0833333333333333&lt;0,F1022-D1022-0.0833333333333333+1,F1022-D1022-0.0833333333333333),IF(OR(AND(F1022="OFF",D1022="OFF"),AND(F1022="Congé",D1022="Congé"),AND(F1022="Congé sans solde",D1022="Congé sans solde"),AND(F1022="Congé spécial",D1022="Congé spécial"),AND(F1022="Férié",D1022="Férié"),AND(F1022="OFF",D1022="Congé"),AND(F1022="OFF",D1022="Congé sans solde"),AND(F1022="OFF",D1022="Congé spécial"),AND(F1022="OFF",D1022="Férié"),AND(F1022="Congé",D1022="OFF"),AND(F1022="Congé",D1022="Congé sans solde"),AND(F1022="Congé",D1022="Congé spécial"),AND(F1022="Congé",D1022="Férié"),AND(F1022="Congé sans solde",D1022="OFF"),AND(F1022="Congé sans solde",D1022="Congé"),AND(F1022="Congé sans solde",D1022="Congé spécial"),AND(F1022="Congé sans solde",D1022="Férié"),AND(F1022="Congé spécial",D1022="OFF"),AND(F1022="Congé spécial",D1022="Congé"),AND(F1022="Congé spécial",D1022="Congé sans solde"),AND(F1022="Congé spécial",D1022="Férié"),AND(F1022="Férié",D1022="OFF"),AND(F1022="Férié",D1022="Congé"),AND(F1022="Férié",D1022="Congé sans solde"),AND(F1022="Férié",D1022="Congé spécial")),0,IF(OR(F1022="OFF",F1022="Congé",F1022="Congé spécial",F1022="Congé sans solde",D1022="OFF",D1022="Congé",D1022="Congé spécial",D1022="Congé sans solde"),0.208333333333334,IF(AND(AG1022="",F1022-D1022&lt;0),("24:00:00"-D1022)+("00:00:00"+F1022)-0.0416666666666667,IF(AND(OR(AG1022="Allaitement",AG1022="Sans déjeuner"),F1022-D1022&lt;0),("24:00:00"-D1022)+("00:00:00"+F1022),IF(AND(AG1022="",F1022-D1022&gt;0.166666666666667),F1022-D1022-0.0416666666666667,IF(AND(OR(AG1022="Allaitement",AG1022="Sans déjeuner"),F1022-D1022&gt;0.166666666666667),F1022-D1022,F1022-D1022)))))))</f>
        <v>0</v>
      </c>
      <c r="P1022" s="6" t="str">
        <f aca="false">IFERROR(VLOOKUP($B1022,Agents!$A:$D,2,0),"-")</f>
        <v>Accessibilité</v>
      </c>
      <c r="Q1022" s="21" t="n">
        <v>46271</v>
      </c>
      <c r="R1022" s="8" t="n">
        <f aca="false">IF(M1022="Abs",O1022,0)</f>
        <v>0</v>
      </c>
      <c r="S1022" s="8" t="n">
        <f aca="false">SUM(R1022,L1022,I1022,J1022,W1022,H1022)</f>
        <v>0</v>
      </c>
      <c r="T1022" s="6" t="str">
        <f aca="false">"Sem - "&amp;WEEKNUM(Q1022,21)</f>
        <v>Sem - 36</v>
      </c>
      <c r="U1022" s="6" t="str">
        <f aca="false">CHOOSE(MONTH(Q1022),"Janvier","Février","Mars","Avril","Mai","Juin","Juillet","Août","Septembre","Octobre","Novembre","Décembre")</f>
        <v>Septembre</v>
      </c>
      <c r="V1022" s="22" t="n">
        <f aca="false">YEAR(Q1022)</f>
        <v>2026</v>
      </c>
      <c r="W1022" s="20"/>
      <c r="X1022" s="8" t="n">
        <f aca="false">IFERROR(IF(M1022="Abs",0,IF(ROUND((D1022-C1022+E1022-F1022)*1440,0)&lt;=1,0,D1022-C1022+E1022-F1022)),0)</f>
        <v>0</v>
      </c>
      <c r="Y1022" s="6" t="str">
        <f aca="false">IFERROR(VLOOKUP($B1022,Agents!$A:$D,3,0),"-")</f>
        <v>OUBRAHIM Mohammed</v>
      </c>
      <c r="Z1022" s="6" t="str">
        <f aca="false">IFERROR(VLOOKUP($B1022,Agents!$A:$D,4,0),"-")</f>
        <v>Credit Mutuel</v>
      </c>
      <c r="AA1022" s="18" t="s">
        <v>118</v>
      </c>
      <c r="AB1022" s="8" t="str">
        <f aca="false">IF(AND(D1022="Congé",F1022="Congé"),0.333333333333333,IF(OR(AND(D1022="Congé",F1022&lt;&gt;"Congé"),(AND(F1022="Congé",D1022&lt;&gt;"Congé"))),0.166666666666667,""))</f>
        <v/>
      </c>
      <c r="AC1022" s="8" t="str">
        <f aca="false">IF(AND(D1022="Congé sans solde",F1022="Congé sans solde"),0.333333333333333,IF(OR(AND(D1022="Congé sans solde",F1022&lt;&gt;"Congé sans solde"),(AND(F1022="Congé sans solde",D1022&lt;&gt;"Congé sans solde"))),0.166666666666667,""))</f>
        <v/>
      </c>
      <c r="AD1022" s="8" t="str">
        <f aca="false">IF(AND(D1022="Congé spécial",F1022="Congé spécial"),0.333333333333333,IF(OR(AND(D1022="Congé spécial",F1022&lt;&gt;"Congé spécial"),AND(F1022="Congé spécial",D1022&lt;&gt;"Congé spécial")),0.166666666666667,""))</f>
        <v/>
      </c>
      <c r="AE1022" s="8" t="str">
        <f aca="false">IF(AND(D1022="Férié",F1022="Férié"),0.333333333333333,IF(OR(AND(D1022="Férié",F1022&lt;&gt;"Férié"),(AND(F1022="Férié",D1022&lt;&gt;"Férié"))),0.166666666666667,""))</f>
        <v/>
      </c>
      <c r="AF1022" s="18"/>
      <c r="AG1022" s="18"/>
    </row>
    <row r="1023" customFormat="false" ht="15" hidden="false" customHeight="false" outlineLevel="0" collapsed="false">
      <c r="A1023" s="6" t="str">
        <f aca="false">YEAR(Q1023-WEEKDAY(Q1023,2)+4)&amp;"-S"&amp;TEXT(WEEKNUM(Q1023,21),"00")</f>
        <v>2026-S36</v>
      </c>
      <c r="B1023" s="18" t="s">
        <v>73</v>
      </c>
      <c r="C1023" s="19"/>
      <c r="D1023" s="19" t="s">
        <v>74</v>
      </c>
      <c r="E1023" s="19"/>
      <c r="F1023" s="19" t="s">
        <v>74</v>
      </c>
      <c r="G1023" s="20"/>
      <c r="H1023" s="20"/>
      <c r="I1023" s="8" t="str">
        <f aca="false">IF(IF(OR(C1023="",D1023="Congé",D1023="OFF",D1023="Congé spécial"),"",IF(D1023&gt;F1023,D1023-C1023,IF(C1023-D1023&lt;0,0,C1023-D1023)))&lt;0.00068287037037037,"",IF(OR(D1023="Congé",D1023="OFF",C1023="",D1023="Congé spécial"),"",IF(D1023&gt;F1023,D1023-C1023,IF(C1023-D1023&lt;0,0,C1023-D1023))))</f>
        <v/>
      </c>
      <c r="J1023" s="20"/>
      <c r="K1023" s="8" t="n">
        <f aca="false">IF(SUM(H1023:J1023)&lt;0.00068287037037037,0,SUM(H1023:J1023))</f>
        <v>0</v>
      </c>
      <c r="L1023" s="8" t="n">
        <f aca="false">IF(OR(F1023="Congé",F1023="OFF",M1023="Abs",F1023="Congé sans solde",F1023="Férié",F1023="Congé spécial",D1023="Congé spécial"),0,IF(F1023-E1023&lt;0,0,IF(F1023-E1023&lt;=0.00068287037037037,0,F1023-E1023)))</f>
        <v>0</v>
      </c>
      <c r="M1023" s="6" t="n">
        <f aca="false">IF(AND(O1023&lt;&gt;0,C1023=""),"Abs",0)</f>
        <v>0</v>
      </c>
      <c r="N1023" s="8" t="str">
        <f aca="false">IFERROR(IF(OR(D1023="OFF",D1023="Congé",M1023="Abs",D1023="Congé sans solde",D1023="Férié"),"",IF(O1023-K1023-L1023&gt;O1023,O1023,IF(O1023-K1023-L1023&lt;0,"",O1023-K1023-L1023))),"")</f>
        <v/>
      </c>
      <c r="O1023" s="8" t="n">
        <f aca="false">IF(AG1023="2H Pause déjeuner",IF(F1023-D1023-0.0833333333333333&lt;0,F1023-D1023-0.0833333333333333+1,F1023-D1023-0.0833333333333333),IF(OR(AND(F1023="OFF",D1023="OFF"),AND(F1023="Congé",D1023="Congé"),AND(F1023="Congé sans solde",D1023="Congé sans solde"),AND(F1023="Congé spécial",D1023="Congé spécial"),AND(F1023="Férié",D1023="Férié"),AND(F1023="OFF",D1023="Congé"),AND(F1023="OFF",D1023="Congé sans solde"),AND(F1023="OFF",D1023="Congé spécial"),AND(F1023="OFF",D1023="Férié"),AND(F1023="Congé",D1023="OFF"),AND(F1023="Congé",D1023="Congé sans solde"),AND(F1023="Congé",D1023="Congé spécial"),AND(F1023="Congé",D1023="Férié"),AND(F1023="Congé sans solde",D1023="OFF"),AND(F1023="Congé sans solde",D1023="Congé"),AND(F1023="Congé sans solde",D1023="Congé spécial"),AND(F1023="Congé sans solde",D1023="Férié"),AND(F1023="Congé spécial",D1023="OFF"),AND(F1023="Congé spécial",D1023="Congé"),AND(F1023="Congé spécial",D1023="Congé sans solde"),AND(F1023="Congé spécial",D1023="Férié"),AND(F1023="Férié",D1023="OFF"),AND(F1023="Férié",D1023="Congé"),AND(F1023="Férié",D1023="Congé sans solde"),AND(F1023="Férié",D1023="Congé spécial")),0,IF(OR(F1023="OFF",F1023="Congé",F1023="Congé spécial",F1023="Congé sans solde",D1023="OFF",D1023="Congé",D1023="Congé spécial",D1023="Congé sans solde"),0.208333333333334,IF(AND(AG1023="",F1023-D1023&lt;0),("24:00:00"-D1023)+("00:00:00"+F1023)-0.0416666666666667,IF(AND(OR(AG1023="Allaitement",AG1023="Sans déjeuner"),F1023-D1023&lt;0),("24:00:00"-D1023)+("00:00:00"+F1023),IF(AND(AG1023="",F1023-D1023&gt;0.166666666666667),F1023-D1023-0.0416666666666667,IF(AND(OR(AG1023="Allaitement",AG1023="Sans déjeuner"),F1023-D1023&gt;0.166666666666667),F1023-D1023,F1023-D1023)))))))</f>
        <v>0</v>
      </c>
      <c r="P1023" s="6" t="str">
        <f aca="false">IFERROR(VLOOKUP($B1023,Agents!$A:$D,2,0),"-")</f>
        <v>Accessibilité</v>
      </c>
      <c r="Q1023" s="21" t="n">
        <v>46271</v>
      </c>
      <c r="R1023" s="8" t="n">
        <f aca="false">IF(M1023="Abs",O1023,0)</f>
        <v>0</v>
      </c>
      <c r="S1023" s="8" t="n">
        <f aca="false">SUM(R1023,L1023,I1023,J1023,W1023,H1023)</f>
        <v>0</v>
      </c>
      <c r="T1023" s="6" t="str">
        <f aca="false">"Sem - "&amp;WEEKNUM(Q1023,21)</f>
        <v>Sem - 36</v>
      </c>
      <c r="U1023" s="6" t="str">
        <f aca="false">CHOOSE(MONTH(Q1023),"Janvier","Février","Mars","Avril","Mai","Juin","Juillet","Août","Septembre","Octobre","Novembre","Décembre")</f>
        <v>Septembre</v>
      </c>
      <c r="V1023" s="22" t="n">
        <f aca="false">YEAR(Q1023)</f>
        <v>2026</v>
      </c>
      <c r="W1023" s="20"/>
      <c r="X1023" s="8" t="n">
        <f aca="false">IFERROR(IF(M1023="Abs",0,IF(ROUND((D1023-C1023+E1023-F1023)*1440,0)&lt;=1,0,D1023-C1023+E1023-F1023)),0)</f>
        <v>0</v>
      </c>
      <c r="Y1023" s="6" t="str">
        <f aca="false">IFERROR(VLOOKUP($B1023,Agents!$A:$D,3,0),"-")</f>
        <v>OUBRAHIM Mohammed</v>
      </c>
      <c r="Z1023" s="6" t="str">
        <f aca="false">IFERROR(VLOOKUP($B1023,Agents!$A:$D,4,0),"-")</f>
        <v>Credit Mutuel</v>
      </c>
      <c r="AA1023" s="18" t="s">
        <v>118</v>
      </c>
      <c r="AB1023" s="8" t="str">
        <f aca="false">IF(AND(D1023="Congé",F1023="Congé"),0.333333333333333,IF(OR(AND(D1023="Congé",F1023&lt;&gt;"Congé"),(AND(F1023="Congé",D1023&lt;&gt;"Congé"))),0.166666666666667,""))</f>
        <v/>
      </c>
      <c r="AC1023" s="8" t="str">
        <f aca="false">IF(AND(D1023="Congé sans solde",F1023="Congé sans solde"),0.333333333333333,IF(OR(AND(D1023="Congé sans solde",F1023&lt;&gt;"Congé sans solde"),(AND(F1023="Congé sans solde",D1023&lt;&gt;"Congé sans solde"))),0.166666666666667,""))</f>
        <v/>
      </c>
      <c r="AD1023" s="8" t="str">
        <f aca="false">IF(AND(D1023="Congé spécial",F1023="Congé spécial"),0.333333333333333,IF(OR(AND(D1023="Congé spécial",F1023&lt;&gt;"Congé spécial"),AND(F1023="Congé spécial",D1023&lt;&gt;"Congé spécial")),0.166666666666667,""))</f>
        <v/>
      </c>
      <c r="AE1023" s="8" t="str">
        <f aca="false">IF(AND(D1023="Férié",F1023="Férié"),0.333333333333333,IF(OR(AND(D1023="Férié",F1023&lt;&gt;"Férié"),(AND(F1023="Férié",D1023&lt;&gt;"Férié"))),0.166666666666667,""))</f>
        <v/>
      </c>
      <c r="AF1023" s="18"/>
      <c r="AG1023" s="18"/>
    </row>
    <row r="1024" customFormat="false" ht="15" hidden="false" customHeight="false" outlineLevel="0" collapsed="false">
      <c r="A1024" s="6" t="str">
        <f aca="false">YEAR(Q1024-WEEKDAY(Q1024,2)+4)&amp;"-S"&amp;TEXT(WEEKNUM(Q1024,21),"00")</f>
        <v>2026-S37</v>
      </c>
      <c r="B1024" s="18" t="s">
        <v>71</v>
      </c>
      <c r="C1024" s="19" t="n">
        <v>0.333333333333333</v>
      </c>
      <c r="D1024" s="19" t="n">
        <v>0.333333333333333</v>
      </c>
      <c r="E1024" s="19" t="n">
        <v>0.75</v>
      </c>
      <c r="F1024" s="19" t="n">
        <v>0.75</v>
      </c>
      <c r="G1024" s="20"/>
      <c r="H1024" s="20"/>
      <c r="I1024" s="8" t="str">
        <f aca="false">IF(IF(OR(C1024="",D1024="Congé",D1024="OFF",D1024="Congé spécial"),"",IF(D1024&gt;F1024,D1024-C1024,IF(C1024-D1024&lt;0,0,C1024-D1024)))&lt;0.00068287037037037,"",IF(OR(D1024="Congé",D1024="OFF",C1024="",D1024="Congé spécial"),"",IF(D1024&gt;F1024,D1024-C1024,IF(C1024-D1024&lt;0,0,C1024-D1024))))</f>
        <v/>
      </c>
      <c r="J1024" s="20"/>
      <c r="K1024" s="8" t="n">
        <f aca="false">IF(SUM(H1024:J1024)&lt;0.00068287037037037,0,SUM(H1024:J1024))</f>
        <v>0</v>
      </c>
      <c r="L1024" s="8" t="n">
        <f aca="false">IF(OR(F1024="Congé",F1024="OFF",M1024="Abs",F1024="Congé sans solde",F1024="Férié",F1024="Congé spécial",D1024="Congé spécial"),0,IF(F1024-E1024&lt;0,0,IF(F1024-E1024&lt;=0.00068287037037037,0,F1024-E1024)))</f>
        <v>0</v>
      </c>
      <c r="M1024" s="6" t="n">
        <f aca="false">IF(AND(O1024&lt;&gt;0,C1024=""),"Abs",0)</f>
        <v>0</v>
      </c>
      <c r="N1024" s="8" t="n">
        <f aca="false">IFERROR(IF(OR(D1024="OFF",D1024="Congé",M1024="Abs",D1024="Congé sans solde",D1024="Férié"),"",IF(O1024-K1024-L1024&gt;O1024,O1024,IF(O1024-K1024-L1024&lt;0,"",O1024-K1024-L1024))),"")</f>
        <v>0.375</v>
      </c>
      <c r="O1024" s="8" t="n">
        <f aca="false">IF(AG1024="2H Pause déjeuner",IF(F1024-D1024-0.0833333333333333&lt;0,F1024-D1024-0.0833333333333333+1,F1024-D1024-0.0833333333333333),IF(OR(AND(F1024="OFF",D1024="OFF"),AND(F1024="Congé",D1024="Congé"),AND(F1024="Congé sans solde",D1024="Congé sans solde"),AND(F1024="Congé spécial",D1024="Congé spécial"),AND(F1024="Férié",D1024="Férié"),AND(F1024="OFF",D1024="Congé"),AND(F1024="OFF",D1024="Congé sans solde"),AND(F1024="OFF",D1024="Congé spécial"),AND(F1024="OFF",D1024="Férié"),AND(F1024="Congé",D1024="OFF"),AND(F1024="Congé",D1024="Congé sans solde"),AND(F1024="Congé",D1024="Congé spécial"),AND(F1024="Congé",D1024="Férié"),AND(F1024="Congé sans solde",D1024="OFF"),AND(F1024="Congé sans solde",D1024="Congé"),AND(F1024="Congé sans solde",D1024="Congé spécial"),AND(F1024="Congé sans solde",D1024="Férié"),AND(F1024="Congé spécial",D1024="OFF"),AND(F1024="Congé spécial",D1024="Congé"),AND(F1024="Congé spécial",D1024="Congé sans solde"),AND(F1024="Congé spécial",D1024="Férié"),AND(F1024="Férié",D1024="OFF"),AND(F1024="Férié",D1024="Congé"),AND(F1024="Férié",D1024="Congé sans solde"),AND(F1024="Férié",D1024="Congé spécial")),0,IF(OR(F1024="OFF",F1024="Congé",F1024="Congé spécial",F1024="Congé sans solde",D1024="OFF",D1024="Congé",D1024="Congé spécial",D1024="Congé sans solde"),0.208333333333334,IF(AND(AG1024="",F1024-D1024&lt;0),("24:00:00"-D1024)+("00:00:00"+F1024)-0.0416666666666667,IF(AND(OR(AG1024="Allaitement",AG1024="Sans déjeuner"),F1024-D1024&lt;0),("24:00:00"-D1024)+("00:00:00"+F1024),IF(AND(AG1024="",F1024-D1024&gt;0.166666666666667),F1024-D1024-0.0416666666666667,IF(AND(OR(AG1024="Allaitement",AG1024="Sans déjeuner"),F1024-D1024&gt;0.166666666666667),F1024-D1024,F1024-D1024)))))))</f>
        <v>0.375</v>
      </c>
      <c r="P1024" s="6" t="str">
        <f aca="false">IFERROR(VLOOKUP($B1024,Agents!$A:$D,2,0),"-")</f>
        <v>Accessibilité</v>
      </c>
      <c r="Q1024" s="21" t="n">
        <v>46272</v>
      </c>
      <c r="R1024" s="8" t="n">
        <f aca="false">IF(M1024="Abs",O1024,0)</f>
        <v>0</v>
      </c>
      <c r="S1024" s="8" t="n">
        <f aca="false">SUM(R1024,L1024,I1024,J1024,W1024,H1024)</f>
        <v>0</v>
      </c>
      <c r="T1024" s="6" t="str">
        <f aca="false">"Sem - "&amp;WEEKNUM(Q1024,21)</f>
        <v>Sem - 37</v>
      </c>
      <c r="U1024" s="6" t="str">
        <f aca="false">CHOOSE(MONTH(Q1024),"Janvier","Février","Mars","Avril","Mai","Juin","Juillet","Août","Septembre","Octobre","Novembre","Décembre")</f>
        <v>Septembre</v>
      </c>
      <c r="V1024" s="22" t="n">
        <f aca="false">YEAR(Q1024)</f>
        <v>2026</v>
      </c>
      <c r="W1024" s="20"/>
      <c r="X1024" s="8" t="n">
        <f aca="false">IFERROR(IF(M1024="Abs",0,IF(ROUND((D1024-C1024+E1024-F1024)*1440,0)&lt;=1,0,D1024-C1024+E1024-F1024)),0)</f>
        <v>0</v>
      </c>
      <c r="Y1024" s="6" t="str">
        <f aca="false">IFERROR(VLOOKUP($B1024,Agents!$A:$D,3,0),"-")</f>
        <v>OUBRAHIM Mohammed</v>
      </c>
      <c r="Z1024" s="6" t="str">
        <f aca="false">IFERROR(VLOOKUP($B1024,Agents!$A:$D,4,0),"-")</f>
        <v>Credit Mutuel</v>
      </c>
      <c r="AA1024" s="18" t="s">
        <v>119</v>
      </c>
      <c r="AB1024" s="8" t="str">
        <f aca="false">IF(AND(D1024="Congé",F1024="Congé"),0.333333333333333,IF(OR(AND(D1024="Congé",F1024&lt;&gt;"Congé"),(AND(F1024="Congé",D1024&lt;&gt;"Congé"))),0.166666666666667,""))</f>
        <v/>
      </c>
      <c r="AC1024" s="8" t="str">
        <f aca="false">IF(AND(D1024="Congé sans solde",F1024="Congé sans solde"),0.333333333333333,IF(OR(AND(D1024="Congé sans solde",F1024&lt;&gt;"Congé sans solde"),(AND(F1024="Congé sans solde",D1024&lt;&gt;"Congé sans solde"))),0.166666666666667,""))</f>
        <v/>
      </c>
      <c r="AD1024" s="8" t="str">
        <f aca="false">IF(AND(D1024="Congé spécial",F1024="Congé spécial"),0.333333333333333,IF(OR(AND(D1024="Congé spécial",F1024&lt;&gt;"Congé spécial"),AND(F1024="Congé spécial",D1024&lt;&gt;"Congé spécial")),0.166666666666667,""))</f>
        <v/>
      </c>
      <c r="AE1024" s="8" t="str">
        <f aca="false">IF(AND(D1024="Férié",F1024="Férié"),0.333333333333333,IF(OR(AND(D1024="Férié",F1024&lt;&gt;"Férié"),(AND(F1024="Férié",D1024&lt;&gt;"Férié"))),0.166666666666667,""))</f>
        <v/>
      </c>
      <c r="AF1024" s="18"/>
      <c r="AG1024" s="18"/>
    </row>
    <row r="1025" customFormat="false" ht="15" hidden="false" customHeight="false" outlineLevel="0" collapsed="false">
      <c r="A1025" s="6" t="str">
        <f aca="false">YEAR(Q1025-WEEKDAY(Q1025,2)+4)&amp;"-S"&amp;TEXT(WEEKNUM(Q1025,21),"00")</f>
        <v>2026-S37</v>
      </c>
      <c r="B1025" s="18" t="s">
        <v>72</v>
      </c>
      <c r="C1025" s="19" t="n">
        <v>0.333333333333333</v>
      </c>
      <c r="D1025" s="19" t="n">
        <v>0.333333333333333</v>
      </c>
      <c r="E1025" s="19" t="n">
        <v>0.75</v>
      </c>
      <c r="F1025" s="19" t="n">
        <v>0.75</v>
      </c>
      <c r="G1025" s="20"/>
      <c r="H1025" s="20"/>
      <c r="I1025" s="8" t="str">
        <f aca="false">IF(IF(OR(C1025="",D1025="Congé",D1025="OFF",D1025="Congé spécial"),"",IF(D1025&gt;F1025,D1025-C1025,IF(C1025-D1025&lt;0,0,C1025-D1025)))&lt;0.00068287037037037,"",IF(OR(D1025="Congé",D1025="OFF",C1025="",D1025="Congé spécial"),"",IF(D1025&gt;F1025,D1025-C1025,IF(C1025-D1025&lt;0,0,C1025-D1025))))</f>
        <v/>
      </c>
      <c r="J1025" s="20"/>
      <c r="K1025" s="8" t="n">
        <f aca="false">IF(SUM(H1025:J1025)&lt;0.00068287037037037,0,SUM(H1025:J1025))</f>
        <v>0</v>
      </c>
      <c r="L1025" s="8" t="n">
        <f aca="false">IF(OR(F1025="Congé",F1025="OFF",M1025="Abs",F1025="Congé sans solde",F1025="Férié",F1025="Congé spécial",D1025="Congé spécial"),0,IF(F1025-E1025&lt;0,0,IF(F1025-E1025&lt;=0.00068287037037037,0,F1025-E1025)))</f>
        <v>0</v>
      </c>
      <c r="M1025" s="6" t="n">
        <f aca="false">IF(AND(O1025&lt;&gt;0,C1025=""),"Abs",0)</f>
        <v>0</v>
      </c>
      <c r="N1025" s="8" t="n">
        <f aca="false">IFERROR(IF(OR(D1025="OFF",D1025="Congé",M1025="Abs",D1025="Congé sans solde",D1025="Férié"),"",IF(O1025-K1025-L1025&gt;O1025,O1025,IF(O1025-K1025-L1025&lt;0,"",O1025-K1025-L1025))),"")</f>
        <v>0.375</v>
      </c>
      <c r="O1025" s="8" t="n">
        <f aca="false">IF(AG1025="2H Pause déjeuner",IF(F1025-D1025-0.0833333333333333&lt;0,F1025-D1025-0.0833333333333333+1,F1025-D1025-0.0833333333333333),IF(OR(AND(F1025="OFF",D1025="OFF"),AND(F1025="Congé",D1025="Congé"),AND(F1025="Congé sans solde",D1025="Congé sans solde"),AND(F1025="Congé spécial",D1025="Congé spécial"),AND(F1025="Férié",D1025="Férié"),AND(F1025="OFF",D1025="Congé"),AND(F1025="OFF",D1025="Congé sans solde"),AND(F1025="OFF",D1025="Congé spécial"),AND(F1025="OFF",D1025="Férié"),AND(F1025="Congé",D1025="OFF"),AND(F1025="Congé",D1025="Congé sans solde"),AND(F1025="Congé",D1025="Congé spécial"),AND(F1025="Congé",D1025="Férié"),AND(F1025="Congé sans solde",D1025="OFF"),AND(F1025="Congé sans solde",D1025="Congé"),AND(F1025="Congé sans solde",D1025="Congé spécial"),AND(F1025="Congé sans solde",D1025="Férié"),AND(F1025="Congé spécial",D1025="OFF"),AND(F1025="Congé spécial",D1025="Congé"),AND(F1025="Congé spécial",D1025="Congé sans solde"),AND(F1025="Congé spécial",D1025="Férié"),AND(F1025="Férié",D1025="OFF"),AND(F1025="Férié",D1025="Congé"),AND(F1025="Férié",D1025="Congé sans solde"),AND(F1025="Férié",D1025="Congé spécial")),0,IF(OR(F1025="OFF",F1025="Congé",F1025="Congé spécial",F1025="Congé sans solde",D1025="OFF",D1025="Congé",D1025="Congé spécial",D1025="Congé sans solde"),0.208333333333334,IF(AND(AG1025="",F1025-D1025&lt;0),("24:00:00"-D1025)+("00:00:00"+F1025)-0.0416666666666667,IF(AND(OR(AG1025="Allaitement",AG1025="Sans déjeuner"),F1025-D1025&lt;0),("24:00:00"-D1025)+("00:00:00"+F1025),IF(AND(AG1025="",F1025-D1025&gt;0.166666666666667),F1025-D1025-0.0416666666666667,IF(AND(OR(AG1025="Allaitement",AG1025="Sans déjeuner"),F1025-D1025&gt;0.166666666666667),F1025-D1025,F1025-D1025)))))))</f>
        <v>0.375</v>
      </c>
      <c r="P1025" s="6" t="str">
        <f aca="false">IFERROR(VLOOKUP($B1025,Agents!$A:$D,2,0),"-")</f>
        <v>Accessibilité</v>
      </c>
      <c r="Q1025" s="21" t="n">
        <v>46272</v>
      </c>
      <c r="R1025" s="8" t="n">
        <f aca="false">IF(M1025="Abs",O1025,0)</f>
        <v>0</v>
      </c>
      <c r="S1025" s="8" t="n">
        <f aca="false">SUM(R1025,L1025,I1025,J1025,W1025,H1025)</f>
        <v>0</v>
      </c>
      <c r="T1025" s="6" t="str">
        <f aca="false">"Sem - "&amp;WEEKNUM(Q1025,21)</f>
        <v>Sem - 37</v>
      </c>
      <c r="U1025" s="6" t="str">
        <f aca="false">CHOOSE(MONTH(Q1025),"Janvier","Février","Mars","Avril","Mai","Juin","Juillet","Août","Septembre","Octobre","Novembre","Décembre")</f>
        <v>Septembre</v>
      </c>
      <c r="V1025" s="22" t="n">
        <f aca="false">YEAR(Q1025)</f>
        <v>2026</v>
      </c>
      <c r="W1025" s="20"/>
      <c r="X1025" s="8" t="n">
        <f aca="false">IFERROR(IF(M1025="Abs",0,IF(ROUND((D1025-C1025+E1025-F1025)*1440,0)&lt;=1,0,D1025-C1025+E1025-F1025)),0)</f>
        <v>0</v>
      </c>
      <c r="Y1025" s="6" t="str">
        <f aca="false">IFERROR(VLOOKUP($B1025,Agents!$A:$D,3,0),"-")</f>
        <v>OUBRAHIM Mohammed</v>
      </c>
      <c r="Z1025" s="6" t="str">
        <f aca="false">IFERROR(VLOOKUP($B1025,Agents!$A:$D,4,0),"-")</f>
        <v>Credit Mutuel</v>
      </c>
      <c r="AA1025" s="18" t="s">
        <v>119</v>
      </c>
      <c r="AB1025" s="8" t="str">
        <f aca="false">IF(AND(D1025="Congé",F1025="Congé"),0.333333333333333,IF(OR(AND(D1025="Congé",F1025&lt;&gt;"Congé"),(AND(F1025="Congé",D1025&lt;&gt;"Congé"))),0.166666666666667,""))</f>
        <v/>
      </c>
      <c r="AC1025" s="8" t="str">
        <f aca="false">IF(AND(D1025="Congé sans solde",F1025="Congé sans solde"),0.333333333333333,IF(OR(AND(D1025="Congé sans solde",F1025&lt;&gt;"Congé sans solde"),(AND(F1025="Congé sans solde",D1025&lt;&gt;"Congé sans solde"))),0.166666666666667,""))</f>
        <v/>
      </c>
      <c r="AD1025" s="8" t="str">
        <f aca="false">IF(AND(D1025="Congé spécial",F1025="Congé spécial"),0.333333333333333,IF(OR(AND(D1025="Congé spécial",F1025&lt;&gt;"Congé spécial"),AND(F1025="Congé spécial",D1025&lt;&gt;"Congé spécial")),0.166666666666667,""))</f>
        <v/>
      </c>
      <c r="AE1025" s="8" t="str">
        <f aca="false">IF(AND(D1025="Férié",F1025="Férié"),0.333333333333333,IF(OR(AND(D1025="Férié",F1025&lt;&gt;"Férié"),(AND(F1025="Férié",D1025&lt;&gt;"Férié"))),0.166666666666667,""))</f>
        <v/>
      </c>
      <c r="AF1025" s="18"/>
      <c r="AG1025" s="18"/>
    </row>
    <row r="1026" customFormat="false" ht="15" hidden="false" customHeight="false" outlineLevel="0" collapsed="false">
      <c r="A1026" s="6" t="str">
        <f aca="false">YEAR(Q1026-WEEKDAY(Q1026,2)+4)&amp;"-S"&amp;TEXT(WEEKNUM(Q1026,21),"00")</f>
        <v>2026-S37</v>
      </c>
      <c r="B1026" s="18" t="s">
        <v>73</v>
      </c>
      <c r="C1026" s="19" t="n">
        <v>0.333333333333333</v>
      </c>
      <c r="D1026" s="19" t="n">
        <v>0.333333333333333</v>
      </c>
      <c r="E1026" s="19" t="n">
        <v>0.75</v>
      </c>
      <c r="F1026" s="19" t="n">
        <v>0.75</v>
      </c>
      <c r="G1026" s="20"/>
      <c r="H1026" s="20"/>
      <c r="I1026" s="8" t="str">
        <f aca="false">IF(IF(OR(C1026="",D1026="Congé",D1026="OFF",D1026="Congé spécial"),"",IF(D1026&gt;F1026,D1026-C1026,IF(C1026-D1026&lt;0,0,C1026-D1026)))&lt;0.00068287037037037,"",IF(OR(D1026="Congé",D1026="OFF",C1026="",D1026="Congé spécial"),"",IF(D1026&gt;F1026,D1026-C1026,IF(C1026-D1026&lt;0,0,C1026-D1026))))</f>
        <v/>
      </c>
      <c r="J1026" s="20"/>
      <c r="K1026" s="8" t="n">
        <f aca="false">IF(SUM(H1026:J1026)&lt;0.00068287037037037,0,SUM(H1026:J1026))</f>
        <v>0</v>
      </c>
      <c r="L1026" s="8" t="n">
        <f aca="false">IF(OR(F1026="Congé",F1026="OFF",M1026="Abs",F1026="Congé sans solde",F1026="Férié",F1026="Congé spécial",D1026="Congé spécial"),0,IF(F1026-E1026&lt;0,0,IF(F1026-E1026&lt;=0.00068287037037037,0,F1026-E1026)))</f>
        <v>0</v>
      </c>
      <c r="M1026" s="6" t="n">
        <f aca="false">IF(AND(O1026&lt;&gt;0,C1026=""),"Abs",0)</f>
        <v>0</v>
      </c>
      <c r="N1026" s="8" t="n">
        <f aca="false">IFERROR(IF(OR(D1026="OFF",D1026="Congé",M1026="Abs",D1026="Congé sans solde",D1026="Férié"),"",IF(O1026-K1026-L1026&gt;O1026,O1026,IF(O1026-K1026-L1026&lt;0,"",O1026-K1026-L1026))),"")</f>
        <v>0.375</v>
      </c>
      <c r="O1026" s="8" t="n">
        <f aca="false">IF(AG1026="2H Pause déjeuner",IF(F1026-D1026-0.0833333333333333&lt;0,F1026-D1026-0.0833333333333333+1,F1026-D1026-0.0833333333333333),IF(OR(AND(F1026="OFF",D1026="OFF"),AND(F1026="Congé",D1026="Congé"),AND(F1026="Congé sans solde",D1026="Congé sans solde"),AND(F1026="Congé spécial",D1026="Congé spécial"),AND(F1026="Férié",D1026="Férié"),AND(F1026="OFF",D1026="Congé"),AND(F1026="OFF",D1026="Congé sans solde"),AND(F1026="OFF",D1026="Congé spécial"),AND(F1026="OFF",D1026="Férié"),AND(F1026="Congé",D1026="OFF"),AND(F1026="Congé",D1026="Congé sans solde"),AND(F1026="Congé",D1026="Congé spécial"),AND(F1026="Congé",D1026="Férié"),AND(F1026="Congé sans solde",D1026="OFF"),AND(F1026="Congé sans solde",D1026="Congé"),AND(F1026="Congé sans solde",D1026="Congé spécial"),AND(F1026="Congé sans solde",D1026="Férié"),AND(F1026="Congé spécial",D1026="OFF"),AND(F1026="Congé spécial",D1026="Congé"),AND(F1026="Congé spécial",D1026="Congé sans solde"),AND(F1026="Congé spécial",D1026="Férié"),AND(F1026="Férié",D1026="OFF"),AND(F1026="Férié",D1026="Congé"),AND(F1026="Férié",D1026="Congé sans solde"),AND(F1026="Férié",D1026="Congé spécial")),0,IF(OR(F1026="OFF",F1026="Congé",F1026="Congé spécial",F1026="Congé sans solde",D1026="OFF",D1026="Congé",D1026="Congé spécial",D1026="Congé sans solde"),0.208333333333334,IF(AND(AG1026="",F1026-D1026&lt;0),("24:00:00"-D1026)+("00:00:00"+F1026)-0.0416666666666667,IF(AND(OR(AG1026="Allaitement",AG1026="Sans déjeuner"),F1026-D1026&lt;0),("24:00:00"-D1026)+("00:00:00"+F1026),IF(AND(AG1026="",F1026-D1026&gt;0.166666666666667),F1026-D1026-0.0416666666666667,IF(AND(OR(AG1026="Allaitement",AG1026="Sans déjeuner"),F1026-D1026&gt;0.166666666666667),F1026-D1026,F1026-D1026)))))))</f>
        <v>0.375</v>
      </c>
      <c r="P1026" s="6" t="str">
        <f aca="false">IFERROR(VLOOKUP($B1026,Agents!$A:$D,2,0),"-")</f>
        <v>Accessibilité</v>
      </c>
      <c r="Q1026" s="21" t="n">
        <v>46272</v>
      </c>
      <c r="R1026" s="8" t="n">
        <f aca="false">IF(M1026="Abs",O1026,0)</f>
        <v>0</v>
      </c>
      <c r="S1026" s="8" t="n">
        <f aca="false">SUM(R1026,L1026,I1026,J1026,W1026,H1026)</f>
        <v>0</v>
      </c>
      <c r="T1026" s="6" t="str">
        <f aca="false">"Sem - "&amp;WEEKNUM(Q1026,21)</f>
        <v>Sem - 37</v>
      </c>
      <c r="U1026" s="6" t="str">
        <f aca="false">CHOOSE(MONTH(Q1026),"Janvier","Février","Mars","Avril","Mai","Juin","Juillet","Août","Septembre","Octobre","Novembre","Décembre")</f>
        <v>Septembre</v>
      </c>
      <c r="V1026" s="22" t="n">
        <f aca="false">YEAR(Q1026)</f>
        <v>2026</v>
      </c>
      <c r="W1026" s="20"/>
      <c r="X1026" s="8" t="n">
        <f aca="false">IFERROR(IF(M1026="Abs",0,IF(ROUND((D1026-C1026+E1026-F1026)*1440,0)&lt;=1,0,D1026-C1026+E1026-F1026)),0)</f>
        <v>0</v>
      </c>
      <c r="Y1026" s="6" t="str">
        <f aca="false">IFERROR(VLOOKUP($B1026,Agents!$A:$D,3,0),"-")</f>
        <v>OUBRAHIM Mohammed</v>
      </c>
      <c r="Z1026" s="6" t="str">
        <f aca="false">IFERROR(VLOOKUP($B1026,Agents!$A:$D,4,0),"-")</f>
        <v>Credit Mutuel</v>
      </c>
      <c r="AA1026" s="18" t="s">
        <v>119</v>
      </c>
      <c r="AB1026" s="8" t="str">
        <f aca="false">IF(AND(D1026="Congé",F1026="Congé"),0.333333333333333,IF(OR(AND(D1026="Congé",F1026&lt;&gt;"Congé"),(AND(F1026="Congé",D1026&lt;&gt;"Congé"))),0.166666666666667,""))</f>
        <v/>
      </c>
      <c r="AC1026" s="8" t="str">
        <f aca="false">IF(AND(D1026="Congé sans solde",F1026="Congé sans solde"),0.333333333333333,IF(OR(AND(D1026="Congé sans solde",F1026&lt;&gt;"Congé sans solde"),(AND(F1026="Congé sans solde",D1026&lt;&gt;"Congé sans solde"))),0.166666666666667,""))</f>
        <v/>
      </c>
      <c r="AD1026" s="8" t="str">
        <f aca="false">IF(AND(D1026="Congé spécial",F1026="Congé spécial"),0.333333333333333,IF(OR(AND(D1026="Congé spécial",F1026&lt;&gt;"Congé spécial"),AND(F1026="Congé spécial",D1026&lt;&gt;"Congé spécial")),0.166666666666667,""))</f>
        <v/>
      </c>
      <c r="AE1026" s="8" t="str">
        <f aca="false">IF(AND(D1026="Férié",F1026="Férié"),0.333333333333333,IF(OR(AND(D1026="Férié",F1026&lt;&gt;"Férié"),(AND(F1026="Férié",D1026&lt;&gt;"Férié"))),0.166666666666667,""))</f>
        <v/>
      </c>
      <c r="AF1026" s="18"/>
      <c r="AG1026" s="18"/>
    </row>
    <row r="1027" customFormat="false" ht="15" hidden="false" customHeight="false" outlineLevel="0" collapsed="false">
      <c r="A1027" s="6" t="str">
        <f aca="false">YEAR(Q1027-WEEKDAY(Q1027,2)+4)&amp;"-S"&amp;TEXT(WEEKNUM(Q1027,21),"00")</f>
        <v>2026-S37</v>
      </c>
      <c r="B1027" s="18" t="s">
        <v>71</v>
      </c>
      <c r="C1027" s="19" t="n">
        <v>0.333333333333333</v>
      </c>
      <c r="D1027" s="19" t="n">
        <v>0.333333333333333</v>
      </c>
      <c r="E1027" s="19" t="n">
        <v>0.75</v>
      </c>
      <c r="F1027" s="19" t="n">
        <v>0.75</v>
      </c>
      <c r="G1027" s="20"/>
      <c r="H1027" s="20"/>
      <c r="I1027" s="8" t="str">
        <f aca="false">IF(IF(OR(C1027="",D1027="Congé",D1027="OFF",D1027="Congé spécial"),"",IF(D1027&gt;F1027,D1027-C1027,IF(C1027-D1027&lt;0,0,C1027-D1027)))&lt;0.00068287037037037,"",IF(OR(D1027="Congé",D1027="OFF",C1027="",D1027="Congé spécial"),"",IF(D1027&gt;F1027,D1027-C1027,IF(C1027-D1027&lt;0,0,C1027-D1027))))</f>
        <v/>
      </c>
      <c r="J1027" s="20"/>
      <c r="K1027" s="8" t="n">
        <f aca="false">IF(SUM(H1027:J1027)&lt;0.00068287037037037,0,SUM(H1027:J1027))</f>
        <v>0</v>
      </c>
      <c r="L1027" s="8" t="n">
        <f aca="false">IF(OR(F1027="Congé",F1027="OFF",M1027="Abs",F1027="Congé sans solde",F1027="Férié",F1027="Congé spécial",D1027="Congé spécial"),0,IF(F1027-E1027&lt;0,0,IF(F1027-E1027&lt;=0.00068287037037037,0,F1027-E1027)))</f>
        <v>0</v>
      </c>
      <c r="M1027" s="6" t="n">
        <f aca="false">IF(AND(O1027&lt;&gt;0,C1027=""),"Abs",0)</f>
        <v>0</v>
      </c>
      <c r="N1027" s="8" t="n">
        <f aca="false">IFERROR(IF(OR(D1027="OFF",D1027="Congé",M1027="Abs",D1027="Congé sans solde",D1027="Férié"),"",IF(O1027-K1027-L1027&gt;O1027,O1027,IF(O1027-K1027-L1027&lt;0,"",O1027-K1027-L1027))),"")</f>
        <v>0.375</v>
      </c>
      <c r="O1027" s="8" t="n">
        <f aca="false">IF(AG1027="2H Pause déjeuner",IF(F1027-D1027-0.0833333333333333&lt;0,F1027-D1027-0.0833333333333333+1,F1027-D1027-0.0833333333333333),IF(OR(AND(F1027="OFF",D1027="OFF"),AND(F1027="Congé",D1027="Congé"),AND(F1027="Congé sans solde",D1027="Congé sans solde"),AND(F1027="Congé spécial",D1027="Congé spécial"),AND(F1027="Férié",D1027="Férié"),AND(F1027="OFF",D1027="Congé"),AND(F1027="OFF",D1027="Congé sans solde"),AND(F1027="OFF",D1027="Congé spécial"),AND(F1027="OFF",D1027="Férié"),AND(F1027="Congé",D1027="OFF"),AND(F1027="Congé",D1027="Congé sans solde"),AND(F1027="Congé",D1027="Congé spécial"),AND(F1027="Congé",D1027="Férié"),AND(F1027="Congé sans solde",D1027="OFF"),AND(F1027="Congé sans solde",D1027="Congé"),AND(F1027="Congé sans solde",D1027="Congé spécial"),AND(F1027="Congé sans solde",D1027="Férié"),AND(F1027="Congé spécial",D1027="OFF"),AND(F1027="Congé spécial",D1027="Congé"),AND(F1027="Congé spécial",D1027="Congé sans solde"),AND(F1027="Congé spécial",D1027="Férié"),AND(F1027="Férié",D1027="OFF"),AND(F1027="Férié",D1027="Congé"),AND(F1027="Férié",D1027="Congé sans solde"),AND(F1027="Férié",D1027="Congé spécial")),0,IF(OR(F1027="OFF",F1027="Congé",F1027="Congé spécial",F1027="Congé sans solde",D1027="OFF",D1027="Congé",D1027="Congé spécial",D1027="Congé sans solde"),0.208333333333334,IF(AND(AG1027="",F1027-D1027&lt;0),("24:00:00"-D1027)+("00:00:00"+F1027)-0.0416666666666667,IF(AND(OR(AG1027="Allaitement",AG1027="Sans déjeuner"),F1027-D1027&lt;0),("24:00:00"-D1027)+("00:00:00"+F1027),IF(AND(AG1027="",F1027-D1027&gt;0.166666666666667),F1027-D1027-0.0416666666666667,IF(AND(OR(AG1027="Allaitement",AG1027="Sans déjeuner"),F1027-D1027&gt;0.166666666666667),F1027-D1027,F1027-D1027)))))))</f>
        <v>0.375</v>
      </c>
      <c r="P1027" s="6" t="str">
        <f aca="false">IFERROR(VLOOKUP($B1027,Agents!$A:$D,2,0),"-")</f>
        <v>Accessibilité</v>
      </c>
      <c r="Q1027" s="21" t="n">
        <v>46273</v>
      </c>
      <c r="R1027" s="8" t="n">
        <f aca="false">IF(M1027="Abs",O1027,0)</f>
        <v>0</v>
      </c>
      <c r="S1027" s="8" t="n">
        <f aca="false">SUM(R1027,L1027,I1027,J1027,W1027,H1027)</f>
        <v>0</v>
      </c>
      <c r="T1027" s="6" t="str">
        <f aca="false">"Sem - "&amp;WEEKNUM(Q1027,21)</f>
        <v>Sem - 37</v>
      </c>
      <c r="U1027" s="6" t="str">
        <f aca="false">CHOOSE(MONTH(Q1027),"Janvier","Février","Mars","Avril","Mai","Juin","Juillet","Août","Septembre","Octobre","Novembre","Décembre")</f>
        <v>Septembre</v>
      </c>
      <c r="V1027" s="22" t="n">
        <f aca="false">YEAR(Q1027)</f>
        <v>2026</v>
      </c>
      <c r="W1027" s="20"/>
      <c r="X1027" s="8" t="n">
        <f aca="false">IFERROR(IF(M1027="Abs",0,IF(ROUND((D1027-C1027+E1027-F1027)*1440,0)&lt;=1,0,D1027-C1027+E1027-F1027)),0)</f>
        <v>0</v>
      </c>
      <c r="Y1027" s="6" t="str">
        <f aca="false">IFERROR(VLOOKUP($B1027,Agents!$A:$D,3,0),"-")</f>
        <v>OUBRAHIM Mohammed</v>
      </c>
      <c r="Z1027" s="6" t="str">
        <f aca="false">IFERROR(VLOOKUP($B1027,Agents!$A:$D,4,0),"-")</f>
        <v>Credit Mutuel</v>
      </c>
      <c r="AA1027" s="18" t="s">
        <v>119</v>
      </c>
      <c r="AB1027" s="8" t="str">
        <f aca="false">IF(AND(D1027="Congé",F1027="Congé"),0.333333333333333,IF(OR(AND(D1027="Congé",F1027&lt;&gt;"Congé"),(AND(F1027="Congé",D1027&lt;&gt;"Congé"))),0.166666666666667,""))</f>
        <v/>
      </c>
      <c r="AC1027" s="8" t="str">
        <f aca="false">IF(AND(D1027="Congé sans solde",F1027="Congé sans solde"),0.333333333333333,IF(OR(AND(D1027="Congé sans solde",F1027&lt;&gt;"Congé sans solde"),(AND(F1027="Congé sans solde",D1027&lt;&gt;"Congé sans solde"))),0.166666666666667,""))</f>
        <v/>
      </c>
      <c r="AD1027" s="8" t="str">
        <f aca="false">IF(AND(D1027="Congé spécial",F1027="Congé spécial"),0.333333333333333,IF(OR(AND(D1027="Congé spécial",F1027&lt;&gt;"Congé spécial"),AND(F1027="Congé spécial",D1027&lt;&gt;"Congé spécial")),0.166666666666667,""))</f>
        <v/>
      </c>
      <c r="AE1027" s="8" t="str">
        <f aca="false">IF(AND(D1027="Férié",F1027="Férié"),0.333333333333333,IF(OR(AND(D1027="Férié",F1027&lt;&gt;"Férié"),(AND(F1027="Férié",D1027&lt;&gt;"Férié"))),0.166666666666667,""))</f>
        <v/>
      </c>
      <c r="AF1027" s="18"/>
      <c r="AG1027" s="18"/>
    </row>
    <row r="1028" customFormat="false" ht="15" hidden="false" customHeight="false" outlineLevel="0" collapsed="false">
      <c r="A1028" s="6" t="str">
        <f aca="false">YEAR(Q1028-WEEKDAY(Q1028,2)+4)&amp;"-S"&amp;TEXT(WEEKNUM(Q1028,21),"00")</f>
        <v>2026-S37</v>
      </c>
      <c r="B1028" s="18" t="s">
        <v>72</v>
      </c>
      <c r="C1028" s="19" t="n">
        <v>0.333333333333333</v>
      </c>
      <c r="D1028" s="19" t="n">
        <v>0.333333333333333</v>
      </c>
      <c r="E1028" s="19" t="n">
        <v>0.75</v>
      </c>
      <c r="F1028" s="19" t="n">
        <v>0.75</v>
      </c>
      <c r="G1028" s="20"/>
      <c r="H1028" s="20"/>
      <c r="I1028" s="8" t="str">
        <f aca="false">IF(IF(OR(C1028="",D1028="Congé",D1028="OFF",D1028="Congé spécial"),"",IF(D1028&gt;F1028,D1028-C1028,IF(C1028-D1028&lt;0,0,C1028-D1028)))&lt;0.00068287037037037,"",IF(OR(D1028="Congé",D1028="OFF",C1028="",D1028="Congé spécial"),"",IF(D1028&gt;F1028,D1028-C1028,IF(C1028-D1028&lt;0,0,C1028-D1028))))</f>
        <v/>
      </c>
      <c r="J1028" s="20"/>
      <c r="K1028" s="8" t="n">
        <f aca="false">IF(SUM(H1028:J1028)&lt;0.00068287037037037,0,SUM(H1028:J1028))</f>
        <v>0</v>
      </c>
      <c r="L1028" s="8" t="n">
        <f aca="false">IF(OR(F1028="Congé",F1028="OFF",M1028="Abs",F1028="Congé sans solde",F1028="Férié",F1028="Congé spécial",D1028="Congé spécial"),0,IF(F1028-E1028&lt;0,0,IF(F1028-E1028&lt;=0.00068287037037037,0,F1028-E1028)))</f>
        <v>0</v>
      </c>
      <c r="M1028" s="6" t="n">
        <f aca="false">IF(AND(O1028&lt;&gt;0,C1028=""),"Abs",0)</f>
        <v>0</v>
      </c>
      <c r="N1028" s="8" t="n">
        <f aca="false">IFERROR(IF(OR(D1028="OFF",D1028="Congé",M1028="Abs",D1028="Congé sans solde",D1028="Férié"),"",IF(O1028-K1028-L1028&gt;O1028,O1028,IF(O1028-K1028-L1028&lt;0,"",O1028-K1028-L1028))),"")</f>
        <v>0.375</v>
      </c>
      <c r="O1028" s="8" t="n">
        <f aca="false">IF(AG1028="2H Pause déjeuner",IF(F1028-D1028-0.0833333333333333&lt;0,F1028-D1028-0.0833333333333333+1,F1028-D1028-0.0833333333333333),IF(OR(AND(F1028="OFF",D1028="OFF"),AND(F1028="Congé",D1028="Congé"),AND(F1028="Congé sans solde",D1028="Congé sans solde"),AND(F1028="Congé spécial",D1028="Congé spécial"),AND(F1028="Férié",D1028="Férié"),AND(F1028="OFF",D1028="Congé"),AND(F1028="OFF",D1028="Congé sans solde"),AND(F1028="OFF",D1028="Congé spécial"),AND(F1028="OFF",D1028="Férié"),AND(F1028="Congé",D1028="OFF"),AND(F1028="Congé",D1028="Congé sans solde"),AND(F1028="Congé",D1028="Congé spécial"),AND(F1028="Congé",D1028="Férié"),AND(F1028="Congé sans solde",D1028="OFF"),AND(F1028="Congé sans solde",D1028="Congé"),AND(F1028="Congé sans solde",D1028="Congé spécial"),AND(F1028="Congé sans solde",D1028="Férié"),AND(F1028="Congé spécial",D1028="OFF"),AND(F1028="Congé spécial",D1028="Congé"),AND(F1028="Congé spécial",D1028="Congé sans solde"),AND(F1028="Congé spécial",D1028="Férié"),AND(F1028="Férié",D1028="OFF"),AND(F1028="Férié",D1028="Congé"),AND(F1028="Férié",D1028="Congé sans solde"),AND(F1028="Férié",D1028="Congé spécial")),0,IF(OR(F1028="OFF",F1028="Congé",F1028="Congé spécial",F1028="Congé sans solde",D1028="OFF",D1028="Congé",D1028="Congé spécial",D1028="Congé sans solde"),0.208333333333334,IF(AND(AG1028="",F1028-D1028&lt;0),("24:00:00"-D1028)+("00:00:00"+F1028)-0.0416666666666667,IF(AND(OR(AG1028="Allaitement",AG1028="Sans déjeuner"),F1028-D1028&lt;0),("24:00:00"-D1028)+("00:00:00"+F1028),IF(AND(AG1028="",F1028-D1028&gt;0.166666666666667),F1028-D1028-0.0416666666666667,IF(AND(OR(AG1028="Allaitement",AG1028="Sans déjeuner"),F1028-D1028&gt;0.166666666666667),F1028-D1028,F1028-D1028)))))))</f>
        <v>0.375</v>
      </c>
      <c r="P1028" s="6" t="str">
        <f aca="false">IFERROR(VLOOKUP($B1028,Agents!$A:$D,2,0),"-")</f>
        <v>Accessibilité</v>
      </c>
      <c r="Q1028" s="21" t="n">
        <v>46273</v>
      </c>
      <c r="R1028" s="8" t="n">
        <f aca="false">IF(M1028="Abs",O1028,0)</f>
        <v>0</v>
      </c>
      <c r="S1028" s="8" t="n">
        <f aca="false">SUM(R1028,L1028,I1028,J1028,W1028,H1028)</f>
        <v>0</v>
      </c>
      <c r="T1028" s="6" t="str">
        <f aca="false">"Sem - "&amp;WEEKNUM(Q1028,21)</f>
        <v>Sem - 37</v>
      </c>
      <c r="U1028" s="6" t="str">
        <f aca="false">CHOOSE(MONTH(Q1028),"Janvier","Février","Mars","Avril","Mai","Juin","Juillet","Août","Septembre","Octobre","Novembre","Décembre")</f>
        <v>Septembre</v>
      </c>
      <c r="V1028" s="22" t="n">
        <f aca="false">YEAR(Q1028)</f>
        <v>2026</v>
      </c>
      <c r="W1028" s="20"/>
      <c r="X1028" s="8" t="n">
        <f aca="false">IFERROR(IF(M1028="Abs",0,IF(ROUND((D1028-C1028+E1028-F1028)*1440,0)&lt;=1,0,D1028-C1028+E1028-F1028)),0)</f>
        <v>0</v>
      </c>
      <c r="Y1028" s="6" t="str">
        <f aca="false">IFERROR(VLOOKUP($B1028,Agents!$A:$D,3,0),"-")</f>
        <v>OUBRAHIM Mohammed</v>
      </c>
      <c r="Z1028" s="6" t="str">
        <f aca="false">IFERROR(VLOOKUP($B1028,Agents!$A:$D,4,0),"-")</f>
        <v>Credit Mutuel</v>
      </c>
      <c r="AA1028" s="18" t="s">
        <v>119</v>
      </c>
      <c r="AB1028" s="8" t="str">
        <f aca="false">IF(AND(D1028="Congé",F1028="Congé"),0.333333333333333,IF(OR(AND(D1028="Congé",F1028&lt;&gt;"Congé"),(AND(F1028="Congé",D1028&lt;&gt;"Congé"))),0.166666666666667,""))</f>
        <v/>
      </c>
      <c r="AC1028" s="8" t="str">
        <f aca="false">IF(AND(D1028="Congé sans solde",F1028="Congé sans solde"),0.333333333333333,IF(OR(AND(D1028="Congé sans solde",F1028&lt;&gt;"Congé sans solde"),(AND(F1028="Congé sans solde",D1028&lt;&gt;"Congé sans solde"))),0.166666666666667,""))</f>
        <v/>
      </c>
      <c r="AD1028" s="8" t="str">
        <f aca="false">IF(AND(D1028="Congé spécial",F1028="Congé spécial"),0.333333333333333,IF(OR(AND(D1028="Congé spécial",F1028&lt;&gt;"Congé spécial"),AND(F1028="Congé spécial",D1028&lt;&gt;"Congé spécial")),0.166666666666667,""))</f>
        <v/>
      </c>
      <c r="AE1028" s="8" t="str">
        <f aca="false">IF(AND(D1028="Férié",F1028="Férié"),0.333333333333333,IF(OR(AND(D1028="Férié",F1028&lt;&gt;"Férié"),(AND(F1028="Férié",D1028&lt;&gt;"Férié"))),0.166666666666667,""))</f>
        <v/>
      </c>
      <c r="AF1028" s="18"/>
      <c r="AG1028" s="18"/>
    </row>
    <row r="1029" customFormat="false" ht="15" hidden="false" customHeight="false" outlineLevel="0" collapsed="false">
      <c r="A1029" s="6" t="str">
        <f aca="false">YEAR(Q1029-WEEKDAY(Q1029,2)+4)&amp;"-S"&amp;TEXT(WEEKNUM(Q1029,21),"00")</f>
        <v>2026-S37</v>
      </c>
      <c r="B1029" s="18" t="s">
        <v>73</v>
      </c>
      <c r="C1029" s="19" t="n">
        <v>0.333333333333333</v>
      </c>
      <c r="D1029" s="19" t="n">
        <v>0.333333333333333</v>
      </c>
      <c r="E1029" s="19" t="n">
        <v>0.75</v>
      </c>
      <c r="F1029" s="19" t="n">
        <v>0.75</v>
      </c>
      <c r="G1029" s="20"/>
      <c r="H1029" s="20"/>
      <c r="I1029" s="8" t="str">
        <f aca="false">IF(IF(OR(C1029="",D1029="Congé",D1029="OFF",D1029="Congé spécial"),"",IF(D1029&gt;F1029,D1029-C1029,IF(C1029-D1029&lt;0,0,C1029-D1029)))&lt;0.00068287037037037,"",IF(OR(D1029="Congé",D1029="OFF",C1029="",D1029="Congé spécial"),"",IF(D1029&gt;F1029,D1029-C1029,IF(C1029-D1029&lt;0,0,C1029-D1029))))</f>
        <v/>
      </c>
      <c r="J1029" s="20"/>
      <c r="K1029" s="8" t="n">
        <f aca="false">IF(SUM(H1029:J1029)&lt;0.00068287037037037,0,SUM(H1029:J1029))</f>
        <v>0</v>
      </c>
      <c r="L1029" s="8" t="n">
        <f aca="false">IF(OR(F1029="Congé",F1029="OFF",M1029="Abs",F1029="Congé sans solde",F1029="Férié",F1029="Congé spécial",D1029="Congé spécial"),0,IF(F1029-E1029&lt;0,0,IF(F1029-E1029&lt;=0.00068287037037037,0,F1029-E1029)))</f>
        <v>0</v>
      </c>
      <c r="M1029" s="6" t="n">
        <f aca="false">IF(AND(O1029&lt;&gt;0,C1029=""),"Abs",0)</f>
        <v>0</v>
      </c>
      <c r="N1029" s="8" t="n">
        <f aca="false">IFERROR(IF(OR(D1029="OFF",D1029="Congé",M1029="Abs",D1029="Congé sans solde",D1029="Férié"),"",IF(O1029-K1029-L1029&gt;O1029,O1029,IF(O1029-K1029-L1029&lt;0,"",O1029-K1029-L1029))),"")</f>
        <v>0.375</v>
      </c>
      <c r="O1029" s="8" t="n">
        <f aca="false">IF(AG1029="2H Pause déjeuner",IF(F1029-D1029-0.0833333333333333&lt;0,F1029-D1029-0.0833333333333333+1,F1029-D1029-0.0833333333333333),IF(OR(AND(F1029="OFF",D1029="OFF"),AND(F1029="Congé",D1029="Congé"),AND(F1029="Congé sans solde",D1029="Congé sans solde"),AND(F1029="Congé spécial",D1029="Congé spécial"),AND(F1029="Férié",D1029="Férié"),AND(F1029="OFF",D1029="Congé"),AND(F1029="OFF",D1029="Congé sans solde"),AND(F1029="OFF",D1029="Congé spécial"),AND(F1029="OFF",D1029="Férié"),AND(F1029="Congé",D1029="OFF"),AND(F1029="Congé",D1029="Congé sans solde"),AND(F1029="Congé",D1029="Congé spécial"),AND(F1029="Congé",D1029="Férié"),AND(F1029="Congé sans solde",D1029="OFF"),AND(F1029="Congé sans solde",D1029="Congé"),AND(F1029="Congé sans solde",D1029="Congé spécial"),AND(F1029="Congé sans solde",D1029="Férié"),AND(F1029="Congé spécial",D1029="OFF"),AND(F1029="Congé spécial",D1029="Congé"),AND(F1029="Congé spécial",D1029="Congé sans solde"),AND(F1029="Congé spécial",D1029="Férié"),AND(F1029="Férié",D1029="OFF"),AND(F1029="Férié",D1029="Congé"),AND(F1029="Férié",D1029="Congé sans solde"),AND(F1029="Férié",D1029="Congé spécial")),0,IF(OR(F1029="OFF",F1029="Congé",F1029="Congé spécial",F1029="Congé sans solde",D1029="OFF",D1029="Congé",D1029="Congé spécial",D1029="Congé sans solde"),0.208333333333334,IF(AND(AG1029="",F1029-D1029&lt;0),("24:00:00"-D1029)+("00:00:00"+F1029)-0.0416666666666667,IF(AND(OR(AG1029="Allaitement",AG1029="Sans déjeuner"),F1029-D1029&lt;0),("24:00:00"-D1029)+("00:00:00"+F1029),IF(AND(AG1029="",F1029-D1029&gt;0.166666666666667),F1029-D1029-0.0416666666666667,IF(AND(OR(AG1029="Allaitement",AG1029="Sans déjeuner"),F1029-D1029&gt;0.166666666666667),F1029-D1029,F1029-D1029)))))))</f>
        <v>0.375</v>
      </c>
      <c r="P1029" s="6" t="str">
        <f aca="false">IFERROR(VLOOKUP($B1029,Agents!$A:$D,2,0),"-")</f>
        <v>Accessibilité</v>
      </c>
      <c r="Q1029" s="21" t="n">
        <v>46273</v>
      </c>
      <c r="R1029" s="8" t="n">
        <f aca="false">IF(M1029="Abs",O1029,0)</f>
        <v>0</v>
      </c>
      <c r="S1029" s="8" t="n">
        <f aca="false">SUM(R1029,L1029,I1029,J1029,W1029,H1029)</f>
        <v>0</v>
      </c>
      <c r="T1029" s="6" t="str">
        <f aca="false">"Sem - "&amp;WEEKNUM(Q1029,21)</f>
        <v>Sem - 37</v>
      </c>
      <c r="U1029" s="6" t="str">
        <f aca="false">CHOOSE(MONTH(Q1029),"Janvier","Février","Mars","Avril","Mai","Juin","Juillet","Août","Septembre","Octobre","Novembre","Décembre")</f>
        <v>Septembre</v>
      </c>
      <c r="V1029" s="22" t="n">
        <f aca="false">YEAR(Q1029)</f>
        <v>2026</v>
      </c>
      <c r="W1029" s="20"/>
      <c r="X1029" s="8" t="n">
        <f aca="false">IFERROR(IF(M1029="Abs",0,IF(ROUND((D1029-C1029+E1029-F1029)*1440,0)&lt;=1,0,D1029-C1029+E1029-F1029)),0)</f>
        <v>0</v>
      </c>
      <c r="Y1029" s="6" t="str">
        <f aca="false">IFERROR(VLOOKUP($B1029,Agents!$A:$D,3,0),"-")</f>
        <v>OUBRAHIM Mohammed</v>
      </c>
      <c r="Z1029" s="6" t="str">
        <f aca="false">IFERROR(VLOOKUP($B1029,Agents!$A:$D,4,0),"-")</f>
        <v>Credit Mutuel</v>
      </c>
      <c r="AA1029" s="18" t="s">
        <v>119</v>
      </c>
      <c r="AB1029" s="8" t="str">
        <f aca="false">IF(AND(D1029="Congé",F1029="Congé"),0.333333333333333,IF(OR(AND(D1029="Congé",F1029&lt;&gt;"Congé"),(AND(F1029="Congé",D1029&lt;&gt;"Congé"))),0.166666666666667,""))</f>
        <v/>
      </c>
      <c r="AC1029" s="8" t="str">
        <f aca="false">IF(AND(D1029="Congé sans solde",F1029="Congé sans solde"),0.333333333333333,IF(OR(AND(D1029="Congé sans solde",F1029&lt;&gt;"Congé sans solde"),(AND(F1029="Congé sans solde",D1029&lt;&gt;"Congé sans solde"))),0.166666666666667,""))</f>
        <v/>
      </c>
      <c r="AD1029" s="8" t="str">
        <f aca="false">IF(AND(D1029="Congé spécial",F1029="Congé spécial"),0.333333333333333,IF(OR(AND(D1029="Congé spécial",F1029&lt;&gt;"Congé spécial"),AND(F1029="Congé spécial",D1029&lt;&gt;"Congé spécial")),0.166666666666667,""))</f>
        <v/>
      </c>
      <c r="AE1029" s="8" t="str">
        <f aca="false">IF(AND(D1029="Férié",F1029="Férié"),0.333333333333333,IF(OR(AND(D1029="Férié",F1029&lt;&gt;"Férié"),(AND(F1029="Férié",D1029&lt;&gt;"Férié"))),0.166666666666667,""))</f>
        <v/>
      </c>
      <c r="AF1029" s="18"/>
      <c r="AG1029" s="18"/>
    </row>
    <row r="1030" customFormat="false" ht="15" hidden="false" customHeight="false" outlineLevel="0" collapsed="false">
      <c r="A1030" s="6" t="str">
        <f aca="false">YEAR(Q1030-WEEKDAY(Q1030,2)+4)&amp;"-S"&amp;TEXT(WEEKNUM(Q1030,21),"00")</f>
        <v>2026-S37</v>
      </c>
      <c r="B1030" s="18" t="s">
        <v>71</v>
      </c>
      <c r="C1030" s="19" t="n">
        <v>0.333333333333333</v>
      </c>
      <c r="D1030" s="19" t="n">
        <v>0.333333333333333</v>
      </c>
      <c r="E1030" s="19" t="n">
        <v>0.75</v>
      </c>
      <c r="F1030" s="19" t="n">
        <v>0.75</v>
      </c>
      <c r="G1030" s="20"/>
      <c r="H1030" s="20"/>
      <c r="I1030" s="8" t="str">
        <f aca="false">IF(IF(OR(C1030="",D1030="Congé",D1030="OFF",D1030="Congé spécial"),"",IF(D1030&gt;F1030,D1030-C1030,IF(C1030-D1030&lt;0,0,C1030-D1030)))&lt;0.00068287037037037,"",IF(OR(D1030="Congé",D1030="OFF",C1030="",D1030="Congé spécial"),"",IF(D1030&gt;F1030,D1030-C1030,IF(C1030-D1030&lt;0,0,C1030-D1030))))</f>
        <v/>
      </c>
      <c r="J1030" s="20"/>
      <c r="K1030" s="8" t="n">
        <f aca="false">IF(SUM(H1030:J1030)&lt;0.00068287037037037,0,SUM(H1030:J1030))</f>
        <v>0</v>
      </c>
      <c r="L1030" s="8" t="n">
        <f aca="false">IF(OR(F1030="Congé",F1030="OFF",M1030="Abs",F1030="Congé sans solde",F1030="Férié",F1030="Congé spécial",D1030="Congé spécial"),0,IF(F1030-E1030&lt;0,0,IF(F1030-E1030&lt;=0.00068287037037037,0,F1030-E1030)))</f>
        <v>0</v>
      </c>
      <c r="M1030" s="6" t="n">
        <f aca="false">IF(AND(O1030&lt;&gt;0,C1030=""),"Abs",0)</f>
        <v>0</v>
      </c>
      <c r="N1030" s="8" t="n">
        <f aca="false">IFERROR(IF(OR(D1030="OFF",D1030="Congé",M1030="Abs",D1030="Congé sans solde",D1030="Férié"),"",IF(O1030-K1030-L1030&gt;O1030,O1030,IF(O1030-K1030-L1030&lt;0,"",O1030-K1030-L1030))),"")</f>
        <v>0.375</v>
      </c>
      <c r="O1030" s="8" t="n">
        <f aca="false">IF(AG1030="2H Pause déjeuner",IF(F1030-D1030-0.0833333333333333&lt;0,F1030-D1030-0.0833333333333333+1,F1030-D1030-0.0833333333333333),IF(OR(AND(F1030="OFF",D1030="OFF"),AND(F1030="Congé",D1030="Congé"),AND(F1030="Congé sans solde",D1030="Congé sans solde"),AND(F1030="Congé spécial",D1030="Congé spécial"),AND(F1030="Férié",D1030="Férié"),AND(F1030="OFF",D1030="Congé"),AND(F1030="OFF",D1030="Congé sans solde"),AND(F1030="OFF",D1030="Congé spécial"),AND(F1030="OFF",D1030="Férié"),AND(F1030="Congé",D1030="OFF"),AND(F1030="Congé",D1030="Congé sans solde"),AND(F1030="Congé",D1030="Congé spécial"),AND(F1030="Congé",D1030="Férié"),AND(F1030="Congé sans solde",D1030="OFF"),AND(F1030="Congé sans solde",D1030="Congé"),AND(F1030="Congé sans solde",D1030="Congé spécial"),AND(F1030="Congé sans solde",D1030="Férié"),AND(F1030="Congé spécial",D1030="OFF"),AND(F1030="Congé spécial",D1030="Congé"),AND(F1030="Congé spécial",D1030="Congé sans solde"),AND(F1030="Congé spécial",D1030="Férié"),AND(F1030="Férié",D1030="OFF"),AND(F1030="Férié",D1030="Congé"),AND(F1030="Férié",D1030="Congé sans solde"),AND(F1030="Férié",D1030="Congé spécial")),0,IF(OR(F1030="OFF",F1030="Congé",F1030="Congé spécial",F1030="Congé sans solde",D1030="OFF",D1030="Congé",D1030="Congé spécial",D1030="Congé sans solde"),0.208333333333334,IF(AND(AG1030="",F1030-D1030&lt;0),("24:00:00"-D1030)+("00:00:00"+F1030)-0.0416666666666667,IF(AND(OR(AG1030="Allaitement",AG1030="Sans déjeuner"),F1030-D1030&lt;0),("24:00:00"-D1030)+("00:00:00"+F1030),IF(AND(AG1030="",F1030-D1030&gt;0.166666666666667),F1030-D1030-0.0416666666666667,IF(AND(OR(AG1030="Allaitement",AG1030="Sans déjeuner"),F1030-D1030&gt;0.166666666666667),F1030-D1030,F1030-D1030)))))))</f>
        <v>0.375</v>
      </c>
      <c r="P1030" s="6" t="str">
        <f aca="false">IFERROR(VLOOKUP($B1030,Agents!$A:$D,2,0),"-")</f>
        <v>Accessibilité</v>
      </c>
      <c r="Q1030" s="21" t="n">
        <v>46274</v>
      </c>
      <c r="R1030" s="8" t="n">
        <f aca="false">IF(M1030="Abs",O1030,0)</f>
        <v>0</v>
      </c>
      <c r="S1030" s="8" t="n">
        <f aca="false">SUM(R1030,L1030,I1030,J1030,W1030,H1030)</f>
        <v>0</v>
      </c>
      <c r="T1030" s="6" t="str">
        <f aca="false">"Sem - "&amp;WEEKNUM(Q1030,21)</f>
        <v>Sem - 37</v>
      </c>
      <c r="U1030" s="6" t="str">
        <f aca="false">CHOOSE(MONTH(Q1030),"Janvier","Février","Mars","Avril","Mai","Juin","Juillet","Août","Septembre","Octobre","Novembre","Décembre")</f>
        <v>Septembre</v>
      </c>
      <c r="V1030" s="22" t="n">
        <f aca="false">YEAR(Q1030)</f>
        <v>2026</v>
      </c>
      <c r="W1030" s="20"/>
      <c r="X1030" s="8" t="n">
        <f aca="false">IFERROR(IF(M1030="Abs",0,IF(ROUND((D1030-C1030+E1030-F1030)*1440,0)&lt;=1,0,D1030-C1030+E1030-F1030)),0)</f>
        <v>0</v>
      </c>
      <c r="Y1030" s="6" t="str">
        <f aca="false">IFERROR(VLOOKUP($B1030,Agents!$A:$D,3,0),"-")</f>
        <v>OUBRAHIM Mohammed</v>
      </c>
      <c r="Z1030" s="6" t="str">
        <f aca="false">IFERROR(VLOOKUP($B1030,Agents!$A:$D,4,0),"-")</f>
        <v>Credit Mutuel</v>
      </c>
      <c r="AA1030" s="18" t="s">
        <v>119</v>
      </c>
      <c r="AB1030" s="8" t="str">
        <f aca="false">IF(AND(D1030="Congé",F1030="Congé"),0.333333333333333,IF(OR(AND(D1030="Congé",F1030&lt;&gt;"Congé"),(AND(F1030="Congé",D1030&lt;&gt;"Congé"))),0.166666666666667,""))</f>
        <v/>
      </c>
      <c r="AC1030" s="8" t="str">
        <f aca="false">IF(AND(D1030="Congé sans solde",F1030="Congé sans solde"),0.333333333333333,IF(OR(AND(D1030="Congé sans solde",F1030&lt;&gt;"Congé sans solde"),(AND(F1030="Congé sans solde",D1030&lt;&gt;"Congé sans solde"))),0.166666666666667,""))</f>
        <v/>
      </c>
      <c r="AD1030" s="8" t="str">
        <f aca="false">IF(AND(D1030="Congé spécial",F1030="Congé spécial"),0.333333333333333,IF(OR(AND(D1030="Congé spécial",F1030&lt;&gt;"Congé spécial"),AND(F1030="Congé spécial",D1030&lt;&gt;"Congé spécial")),0.166666666666667,""))</f>
        <v/>
      </c>
      <c r="AE1030" s="8" t="str">
        <f aca="false">IF(AND(D1030="Férié",F1030="Férié"),0.333333333333333,IF(OR(AND(D1030="Férié",F1030&lt;&gt;"Férié"),(AND(F1030="Férié",D1030&lt;&gt;"Férié"))),0.166666666666667,""))</f>
        <v/>
      </c>
      <c r="AF1030" s="18"/>
      <c r="AG1030" s="18"/>
    </row>
    <row r="1031" customFormat="false" ht="15" hidden="false" customHeight="false" outlineLevel="0" collapsed="false">
      <c r="A1031" s="6" t="str">
        <f aca="false">YEAR(Q1031-WEEKDAY(Q1031,2)+4)&amp;"-S"&amp;TEXT(WEEKNUM(Q1031,21),"00")</f>
        <v>2026-S37</v>
      </c>
      <c r="B1031" s="18" t="s">
        <v>72</v>
      </c>
      <c r="C1031" s="19" t="n">
        <v>0.333333333333333</v>
      </c>
      <c r="D1031" s="19" t="n">
        <v>0.333333333333333</v>
      </c>
      <c r="E1031" s="19" t="n">
        <v>0.75</v>
      </c>
      <c r="F1031" s="19" t="n">
        <v>0.75</v>
      </c>
      <c r="G1031" s="20"/>
      <c r="H1031" s="20"/>
      <c r="I1031" s="8" t="str">
        <f aca="false">IF(IF(OR(C1031="",D1031="Congé",D1031="OFF",D1031="Congé spécial"),"",IF(D1031&gt;F1031,D1031-C1031,IF(C1031-D1031&lt;0,0,C1031-D1031)))&lt;0.00068287037037037,"",IF(OR(D1031="Congé",D1031="OFF",C1031="",D1031="Congé spécial"),"",IF(D1031&gt;F1031,D1031-C1031,IF(C1031-D1031&lt;0,0,C1031-D1031))))</f>
        <v/>
      </c>
      <c r="J1031" s="20"/>
      <c r="K1031" s="8" t="n">
        <f aca="false">IF(SUM(H1031:J1031)&lt;0.00068287037037037,0,SUM(H1031:J1031))</f>
        <v>0</v>
      </c>
      <c r="L1031" s="8" t="n">
        <f aca="false">IF(OR(F1031="Congé",F1031="OFF",M1031="Abs",F1031="Congé sans solde",F1031="Férié",F1031="Congé spécial",D1031="Congé spécial"),0,IF(F1031-E1031&lt;0,0,IF(F1031-E1031&lt;=0.00068287037037037,0,F1031-E1031)))</f>
        <v>0</v>
      </c>
      <c r="M1031" s="6" t="n">
        <f aca="false">IF(AND(O1031&lt;&gt;0,C1031=""),"Abs",0)</f>
        <v>0</v>
      </c>
      <c r="N1031" s="8" t="n">
        <f aca="false">IFERROR(IF(OR(D1031="OFF",D1031="Congé",M1031="Abs",D1031="Congé sans solde",D1031="Férié"),"",IF(O1031-K1031-L1031&gt;O1031,O1031,IF(O1031-K1031-L1031&lt;0,"",O1031-K1031-L1031))),"")</f>
        <v>0.375</v>
      </c>
      <c r="O1031" s="8" t="n">
        <f aca="false">IF(AG1031="2H Pause déjeuner",IF(F1031-D1031-0.0833333333333333&lt;0,F1031-D1031-0.0833333333333333+1,F1031-D1031-0.0833333333333333),IF(OR(AND(F1031="OFF",D1031="OFF"),AND(F1031="Congé",D1031="Congé"),AND(F1031="Congé sans solde",D1031="Congé sans solde"),AND(F1031="Congé spécial",D1031="Congé spécial"),AND(F1031="Férié",D1031="Férié"),AND(F1031="OFF",D1031="Congé"),AND(F1031="OFF",D1031="Congé sans solde"),AND(F1031="OFF",D1031="Congé spécial"),AND(F1031="OFF",D1031="Férié"),AND(F1031="Congé",D1031="OFF"),AND(F1031="Congé",D1031="Congé sans solde"),AND(F1031="Congé",D1031="Congé spécial"),AND(F1031="Congé",D1031="Férié"),AND(F1031="Congé sans solde",D1031="OFF"),AND(F1031="Congé sans solde",D1031="Congé"),AND(F1031="Congé sans solde",D1031="Congé spécial"),AND(F1031="Congé sans solde",D1031="Férié"),AND(F1031="Congé spécial",D1031="OFF"),AND(F1031="Congé spécial",D1031="Congé"),AND(F1031="Congé spécial",D1031="Congé sans solde"),AND(F1031="Congé spécial",D1031="Férié"),AND(F1031="Férié",D1031="OFF"),AND(F1031="Férié",D1031="Congé"),AND(F1031="Férié",D1031="Congé sans solde"),AND(F1031="Férié",D1031="Congé spécial")),0,IF(OR(F1031="OFF",F1031="Congé",F1031="Congé spécial",F1031="Congé sans solde",D1031="OFF",D1031="Congé",D1031="Congé spécial",D1031="Congé sans solde"),0.208333333333334,IF(AND(AG1031="",F1031-D1031&lt;0),("24:00:00"-D1031)+("00:00:00"+F1031)-0.0416666666666667,IF(AND(OR(AG1031="Allaitement",AG1031="Sans déjeuner"),F1031-D1031&lt;0),("24:00:00"-D1031)+("00:00:00"+F1031),IF(AND(AG1031="",F1031-D1031&gt;0.166666666666667),F1031-D1031-0.0416666666666667,IF(AND(OR(AG1031="Allaitement",AG1031="Sans déjeuner"),F1031-D1031&gt;0.166666666666667),F1031-D1031,F1031-D1031)))))))</f>
        <v>0.375</v>
      </c>
      <c r="P1031" s="6" t="str">
        <f aca="false">IFERROR(VLOOKUP($B1031,Agents!$A:$D,2,0),"-")</f>
        <v>Accessibilité</v>
      </c>
      <c r="Q1031" s="21" t="n">
        <v>46274</v>
      </c>
      <c r="R1031" s="8" t="n">
        <f aca="false">IF(M1031="Abs",O1031,0)</f>
        <v>0</v>
      </c>
      <c r="S1031" s="8" t="n">
        <f aca="false">SUM(R1031,L1031,I1031,J1031,W1031,H1031)</f>
        <v>0</v>
      </c>
      <c r="T1031" s="6" t="str">
        <f aca="false">"Sem - "&amp;WEEKNUM(Q1031,21)</f>
        <v>Sem - 37</v>
      </c>
      <c r="U1031" s="6" t="str">
        <f aca="false">CHOOSE(MONTH(Q1031),"Janvier","Février","Mars","Avril","Mai","Juin","Juillet","Août","Septembre","Octobre","Novembre","Décembre")</f>
        <v>Septembre</v>
      </c>
      <c r="V1031" s="22" t="n">
        <f aca="false">YEAR(Q1031)</f>
        <v>2026</v>
      </c>
      <c r="W1031" s="20"/>
      <c r="X1031" s="8" t="n">
        <f aca="false">IFERROR(IF(M1031="Abs",0,IF(ROUND((D1031-C1031+E1031-F1031)*1440,0)&lt;=1,0,D1031-C1031+E1031-F1031)),0)</f>
        <v>0</v>
      </c>
      <c r="Y1031" s="6" t="str">
        <f aca="false">IFERROR(VLOOKUP($B1031,Agents!$A:$D,3,0),"-")</f>
        <v>OUBRAHIM Mohammed</v>
      </c>
      <c r="Z1031" s="6" t="str">
        <f aca="false">IFERROR(VLOOKUP($B1031,Agents!$A:$D,4,0),"-")</f>
        <v>Credit Mutuel</v>
      </c>
      <c r="AA1031" s="18" t="s">
        <v>119</v>
      </c>
      <c r="AB1031" s="8" t="str">
        <f aca="false">IF(AND(D1031="Congé",F1031="Congé"),0.333333333333333,IF(OR(AND(D1031="Congé",F1031&lt;&gt;"Congé"),(AND(F1031="Congé",D1031&lt;&gt;"Congé"))),0.166666666666667,""))</f>
        <v/>
      </c>
      <c r="AC1031" s="8" t="str">
        <f aca="false">IF(AND(D1031="Congé sans solde",F1031="Congé sans solde"),0.333333333333333,IF(OR(AND(D1031="Congé sans solde",F1031&lt;&gt;"Congé sans solde"),(AND(F1031="Congé sans solde",D1031&lt;&gt;"Congé sans solde"))),0.166666666666667,""))</f>
        <v/>
      </c>
      <c r="AD1031" s="8" t="str">
        <f aca="false">IF(AND(D1031="Congé spécial",F1031="Congé spécial"),0.333333333333333,IF(OR(AND(D1031="Congé spécial",F1031&lt;&gt;"Congé spécial"),AND(F1031="Congé spécial",D1031&lt;&gt;"Congé spécial")),0.166666666666667,""))</f>
        <v/>
      </c>
      <c r="AE1031" s="8" t="str">
        <f aca="false">IF(AND(D1031="Férié",F1031="Férié"),0.333333333333333,IF(OR(AND(D1031="Férié",F1031&lt;&gt;"Férié"),(AND(F1031="Férié",D1031&lt;&gt;"Férié"))),0.166666666666667,""))</f>
        <v/>
      </c>
      <c r="AF1031" s="18"/>
      <c r="AG1031" s="18"/>
    </row>
    <row r="1032" customFormat="false" ht="15" hidden="false" customHeight="false" outlineLevel="0" collapsed="false">
      <c r="A1032" s="6" t="str">
        <f aca="false">YEAR(Q1032-WEEKDAY(Q1032,2)+4)&amp;"-S"&amp;TEXT(WEEKNUM(Q1032,21),"00")</f>
        <v>2026-S37</v>
      </c>
      <c r="B1032" s="18" t="s">
        <v>73</v>
      </c>
      <c r="C1032" s="19" t="n">
        <v>0.333333333333333</v>
      </c>
      <c r="D1032" s="19" t="n">
        <v>0.333333333333333</v>
      </c>
      <c r="E1032" s="19" t="n">
        <v>0.75</v>
      </c>
      <c r="F1032" s="19" t="n">
        <v>0.75</v>
      </c>
      <c r="G1032" s="20"/>
      <c r="H1032" s="20"/>
      <c r="I1032" s="8" t="str">
        <f aca="false">IF(IF(OR(C1032="",D1032="Congé",D1032="OFF",D1032="Congé spécial"),"",IF(D1032&gt;F1032,D1032-C1032,IF(C1032-D1032&lt;0,0,C1032-D1032)))&lt;0.00068287037037037,"",IF(OR(D1032="Congé",D1032="OFF",C1032="",D1032="Congé spécial"),"",IF(D1032&gt;F1032,D1032-C1032,IF(C1032-D1032&lt;0,0,C1032-D1032))))</f>
        <v/>
      </c>
      <c r="J1032" s="20"/>
      <c r="K1032" s="8" t="n">
        <f aca="false">IF(SUM(H1032:J1032)&lt;0.00068287037037037,0,SUM(H1032:J1032))</f>
        <v>0</v>
      </c>
      <c r="L1032" s="8" t="n">
        <f aca="false">IF(OR(F1032="Congé",F1032="OFF",M1032="Abs",F1032="Congé sans solde",F1032="Férié",F1032="Congé spécial",D1032="Congé spécial"),0,IF(F1032-E1032&lt;0,0,IF(F1032-E1032&lt;=0.00068287037037037,0,F1032-E1032)))</f>
        <v>0</v>
      </c>
      <c r="M1032" s="6" t="n">
        <f aca="false">IF(AND(O1032&lt;&gt;0,C1032=""),"Abs",0)</f>
        <v>0</v>
      </c>
      <c r="N1032" s="8" t="n">
        <f aca="false">IFERROR(IF(OR(D1032="OFF",D1032="Congé",M1032="Abs",D1032="Congé sans solde",D1032="Férié"),"",IF(O1032-K1032-L1032&gt;O1032,O1032,IF(O1032-K1032-L1032&lt;0,"",O1032-K1032-L1032))),"")</f>
        <v>0.375</v>
      </c>
      <c r="O1032" s="8" t="n">
        <f aca="false">IF(AG1032="2H Pause déjeuner",IF(F1032-D1032-0.0833333333333333&lt;0,F1032-D1032-0.0833333333333333+1,F1032-D1032-0.0833333333333333),IF(OR(AND(F1032="OFF",D1032="OFF"),AND(F1032="Congé",D1032="Congé"),AND(F1032="Congé sans solde",D1032="Congé sans solde"),AND(F1032="Congé spécial",D1032="Congé spécial"),AND(F1032="Férié",D1032="Férié"),AND(F1032="OFF",D1032="Congé"),AND(F1032="OFF",D1032="Congé sans solde"),AND(F1032="OFF",D1032="Congé spécial"),AND(F1032="OFF",D1032="Férié"),AND(F1032="Congé",D1032="OFF"),AND(F1032="Congé",D1032="Congé sans solde"),AND(F1032="Congé",D1032="Congé spécial"),AND(F1032="Congé",D1032="Férié"),AND(F1032="Congé sans solde",D1032="OFF"),AND(F1032="Congé sans solde",D1032="Congé"),AND(F1032="Congé sans solde",D1032="Congé spécial"),AND(F1032="Congé sans solde",D1032="Férié"),AND(F1032="Congé spécial",D1032="OFF"),AND(F1032="Congé spécial",D1032="Congé"),AND(F1032="Congé spécial",D1032="Congé sans solde"),AND(F1032="Congé spécial",D1032="Férié"),AND(F1032="Férié",D1032="OFF"),AND(F1032="Férié",D1032="Congé"),AND(F1032="Férié",D1032="Congé sans solde"),AND(F1032="Férié",D1032="Congé spécial")),0,IF(OR(F1032="OFF",F1032="Congé",F1032="Congé spécial",F1032="Congé sans solde",D1032="OFF",D1032="Congé",D1032="Congé spécial",D1032="Congé sans solde"),0.208333333333334,IF(AND(AG1032="",F1032-D1032&lt;0),("24:00:00"-D1032)+("00:00:00"+F1032)-0.0416666666666667,IF(AND(OR(AG1032="Allaitement",AG1032="Sans déjeuner"),F1032-D1032&lt;0),("24:00:00"-D1032)+("00:00:00"+F1032),IF(AND(AG1032="",F1032-D1032&gt;0.166666666666667),F1032-D1032-0.0416666666666667,IF(AND(OR(AG1032="Allaitement",AG1032="Sans déjeuner"),F1032-D1032&gt;0.166666666666667),F1032-D1032,F1032-D1032)))))))</f>
        <v>0.375</v>
      </c>
      <c r="P1032" s="6" t="str">
        <f aca="false">IFERROR(VLOOKUP($B1032,Agents!$A:$D,2,0),"-")</f>
        <v>Accessibilité</v>
      </c>
      <c r="Q1032" s="21" t="n">
        <v>46274</v>
      </c>
      <c r="R1032" s="8" t="n">
        <f aca="false">IF(M1032="Abs",O1032,0)</f>
        <v>0</v>
      </c>
      <c r="S1032" s="8" t="n">
        <f aca="false">SUM(R1032,L1032,I1032,J1032,W1032,H1032)</f>
        <v>0</v>
      </c>
      <c r="T1032" s="6" t="str">
        <f aca="false">"Sem - "&amp;WEEKNUM(Q1032,21)</f>
        <v>Sem - 37</v>
      </c>
      <c r="U1032" s="6" t="str">
        <f aca="false">CHOOSE(MONTH(Q1032),"Janvier","Février","Mars","Avril","Mai","Juin","Juillet","Août","Septembre","Octobre","Novembre","Décembre")</f>
        <v>Septembre</v>
      </c>
      <c r="V1032" s="22" t="n">
        <f aca="false">YEAR(Q1032)</f>
        <v>2026</v>
      </c>
      <c r="W1032" s="20"/>
      <c r="X1032" s="8" t="n">
        <f aca="false">IFERROR(IF(M1032="Abs",0,IF(ROUND((D1032-C1032+E1032-F1032)*1440,0)&lt;=1,0,D1032-C1032+E1032-F1032)),0)</f>
        <v>0</v>
      </c>
      <c r="Y1032" s="6" t="str">
        <f aca="false">IFERROR(VLOOKUP($B1032,Agents!$A:$D,3,0),"-")</f>
        <v>OUBRAHIM Mohammed</v>
      </c>
      <c r="Z1032" s="6" t="str">
        <f aca="false">IFERROR(VLOOKUP($B1032,Agents!$A:$D,4,0),"-")</f>
        <v>Credit Mutuel</v>
      </c>
      <c r="AA1032" s="18" t="s">
        <v>119</v>
      </c>
      <c r="AB1032" s="8" t="str">
        <f aca="false">IF(AND(D1032="Congé",F1032="Congé"),0.333333333333333,IF(OR(AND(D1032="Congé",F1032&lt;&gt;"Congé"),(AND(F1032="Congé",D1032&lt;&gt;"Congé"))),0.166666666666667,""))</f>
        <v/>
      </c>
      <c r="AC1032" s="8" t="str">
        <f aca="false">IF(AND(D1032="Congé sans solde",F1032="Congé sans solde"),0.333333333333333,IF(OR(AND(D1032="Congé sans solde",F1032&lt;&gt;"Congé sans solde"),(AND(F1032="Congé sans solde",D1032&lt;&gt;"Congé sans solde"))),0.166666666666667,""))</f>
        <v/>
      </c>
      <c r="AD1032" s="8" t="str">
        <f aca="false">IF(AND(D1032="Congé spécial",F1032="Congé spécial"),0.333333333333333,IF(OR(AND(D1032="Congé spécial",F1032&lt;&gt;"Congé spécial"),AND(F1032="Congé spécial",D1032&lt;&gt;"Congé spécial")),0.166666666666667,""))</f>
        <v/>
      </c>
      <c r="AE1032" s="8" t="str">
        <f aca="false">IF(AND(D1032="Férié",F1032="Férié"),0.333333333333333,IF(OR(AND(D1032="Férié",F1032&lt;&gt;"Férié"),(AND(F1032="Férié",D1032&lt;&gt;"Férié"))),0.166666666666667,""))</f>
        <v/>
      </c>
      <c r="AF1032" s="18"/>
      <c r="AG1032" s="18"/>
    </row>
    <row r="1033" customFormat="false" ht="15" hidden="false" customHeight="false" outlineLevel="0" collapsed="false">
      <c r="A1033" s="6" t="str">
        <f aca="false">YEAR(Q1033-WEEKDAY(Q1033,2)+4)&amp;"-S"&amp;TEXT(WEEKNUM(Q1033,21),"00")</f>
        <v>2026-S37</v>
      </c>
      <c r="B1033" s="18" t="s">
        <v>71</v>
      </c>
      <c r="C1033" s="19" t="n">
        <v>0.333333333333333</v>
      </c>
      <c r="D1033" s="19" t="n">
        <v>0.333333333333333</v>
      </c>
      <c r="E1033" s="19" t="n">
        <v>0.75</v>
      </c>
      <c r="F1033" s="19" t="n">
        <v>0.75</v>
      </c>
      <c r="G1033" s="20"/>
      <c r="H1033" s="20"/>
      <c r="I1033" s="8" t="str">
        <f aca="false">IF(IF(OR(C1033="",D1033="Congé",D1033="OFF",D1033="Congé spécial"),"",IF(D1033&gt;F1033,D1033-C1033,IF(C1033-D1033&lt;0,0,C1033-D1033)))&lt;0.00068287037037037,"",IF(OR(D1033="Congé",D1033="OFF",C1033="",D1033="Congé spécial"),"",IF(D1033&gt;F1033,D1033-C1033,IF(C1033-D1033&lt;0,0,C1033-D1033))))</f>
        <v/>
      </c>
      <c r="J1033" s="20"/>
      <c r="K1033" s="8" t="n">
        <f aca="false">IF(SUM(H1033:J1033)&lt;0.00068287037037037,0,SUM(H1033:J1033))</f>
        <v>0</v>
      </c>
      <c r="L1033" s="8" t="n">
        <f aca="false">IF(OR(F1033="Congé",F1033="OFF",M1033="Abs",F1033="Congé sans solde",F1033="Férié",F1033="Congé spécial",D1033="Congé spécial"),0,IF(F1033-E1033&lt;0,0,IF(F1033-E1033&lt;=0.00068287037037037,0,F1033-E1033)))</f>
        <v>0</v>
      </c>
      <c r="M1033" s="6" t="n">
        <f aca="false">IF(AND(O1033&lt;&gt;0,C1033=""),"Abs",0)</f>
        <v>0</v>
      </c>
      <c r="N1033" s="8" t="n">
        <f aca="false">IFERROR(IF(OR(D1033="OFF",D1033="Congé",M1033="Abs",D1033="Congé sans solde",D1033="Férié"),"",IF(O1033-K1033-L1033&gt;O1033,O1033,IF(O1033-K1033-L1033&lt;0,"",O1033-K1033-L1033))),"")</f>
        <v>0.375</v>
      </c>
      <c r="O1033" s="8" t="n">
        <f aca="false">IF(AG1033="2H Pause déjeuner",IF(F1033-D1033-0.0833333333333333&lt;0,F1033-D1033-0.0833333333333333+1,F1033-D1033-0.0833333333333333),IF(OR(AND(F1033="OFF",D1033="OFF"),AND(F1033="Congé",D1033="Congé"),AND(F1033="Congé sans solde",D1033="Congé sans solde"),AND(F1033="Congé spécial",D1033="Congé spécial"),AND(F1033="Férié",D1033="Férié"),AND(F1033="OFF",D1033="Congé"),AND(F1033="OFF",D1033="Congé sans solde"),AND(F1033="OFF",D1033="Congé spécial"),AND(F1033="OFF",D1033="Férié"),AND(F1033="Congé",D1033="OFF"),AND(F1033="Congé",D1033="Congé sans solde"),AND(F1033="Congé",D1033="Congé spécial"),AND(F1033="Congé",D1033="Férié"),AND(F1033="Congé sans solde",D1033="OFF"),AND(F1033="Congé sans solde",D1033="Congé"),AND(F1033="Congé sans solde",D1033="Congé spécial"),AND(F1033="Congé sans solde",D1033="Férié"),AND(F1033="Congé spécial",D1033="OFF"),AND(F1033="Congé spécial",D1033="Congé"),AND(F1033="Congé spécial",D1033="Congé sans solde"),AND(F1033="Congé spécial",D1033="Férié"),AND(F1033="Férié",D1033="OFF"),AND(F1033="Férié",D1033="Congé"),AND(F1033="Férié",D1033="Congé sans solde"),AND(F1033="Férié",D1033="Congé spécial")),0,IF(OR(F1033="OFF",F1033="Congé",F1033="Congé spécial",F1033="Congé sans solde",D1033="OFF",D1033="Congé",D1033="Congé spécial",D1033="Congé sans solde"),0.208333333333334,IF(AND(AG1033="",F1033-D1033&lt;0),("24:00:00"-D1033)+("00:00:00"+F1033)-0.0416666666666667,IF(AND(OR(AG1033="Allaitement",AG1033="Sans déjeuner"),F1033-D1033&lt;0),("24:00:00"-D1033)+("00:00:00"+F1033),IF(AND(AG1033="",F1033-D1033&gt;0.166666666666667),F1033-D1033-0.0416666666666667,IF(AND(OR(AG1033="Allaitement",AG1033="Sans déjeuner"),F1033-D1033&gt;0.166666666666667),F1033-D1033,F1033-D1033)))))))</f>
        <v>0.375</v>
      </c>
      <c r="P1033" s="6" t="str">
        <f aca="false">IFERROR(VLOOKUP($B1033,Agents!$A:$D,2,0),"-")</f>
        <v>Accessibilité</v>
      </c>
      <c r="Q1033" s="21" t="n">
        <v>46275</v>
      </c>
      <c r="R1033" s="8" t="n">
        <f aca="false">IF(M1033="Abs",O1033,0)</f>
        <v>0</v>
      </c>
      <c r="S1033" s="8" t="n">
        <f aca="false">SUM(R1033,L1033,I1033,J1033,W1033,H1033)</f>
        <v>0</v>
      </c>
      <c r="T1033" s="6" t="str">
        <f aca="false">"Sem - "&amp;WEEKNUM(Q1033,21)</f>
        <v>Sem - 37</v>
      </c>
      <c r="U1033" s="6" t="str">
        <f aca="false">CHOOSE(MONTH(Q1033),"Janvier","Février","Mars","Avril","Mai","Juin","Juillet","Août","Septembre","Octobre","Novembre","Décembre")</f>
        <v>Septembre</v>
      </c>
      <c r="V1033" s="22" t="n">
        <f aca="false">YEAR(Q1033)</f>
        <v>2026</v>
      </c>
      <c r="W1033" s="20"/>
      <c r="X1033" s="8" t="n">
        <f aca="false">IFERROR(IF(M1033="Abs",0,IF(ROUND((D1033-C1033+E1033-F1033)*1440,0)&lt;=1,0,D1033-C1033+E1033-F1033)),0)</f>
        <v>0</v>
      </c>
      <c r="Y1033" s="6" t="str">
        <f aca="false">IFERROR(VLOOKUP($B1033,Agents!$A:$D,3,0),"-")</f>
        <v>OUBRAHIM Mohammed</v>
      </c>
      <c r="Z1033" s="6" t="str">
        <f aca="false">IFERROR(VLOOKUP($B1033,Agents!$A:$D,4,0),"-")</f>
        <v>Credit Mutuel</v>
      </c>
      <c r="AA1033" s="18" t="s">
        <v>119</v>
      </c>
      <c r="AB1033" s="8" t="str">
        <f aca="false">IF(AND(D1033="Congé",F1033="Congé"),0.333333333333333,IF(OR(AND(D1033="Congé",F1033&lt;&gt;"Congé"),(AND(F1033="Congé",D1033&lt;&gt;"Congé"))),0.166666666666667,""))</f>
        <v/>
      </c>
      <c r="AC1033" s="8" t="str">
        <f aca="false">IF(AND(D1033="Congé sans solde",F1033="Congé sans solde"),0.333333333333333,IF(OR(AND(D1033="Congé sans solde",F1033&lt;&gt;"Congé sans solde"),(AND(F1033="Congé sans solde",D1033&lt;&gt;"Congé sans solde"))),0.166666666666667,""))</f>
        <v/>
      </c>
      <c r="AD1033" s="8" t="str">
        <f aca="false">IF(AND(D1033="Congé spécial",F1033="Congé spécial"),0.333333333333333,IF(OR(AND(D1033="Congé spécial",F1033&lt;&gt;"Congé spécial"),AND(F1033="Congé spécial",D1033&lt;&gt;"Congé spécial")),0.166666666666667,""))</f>
        <v/>
      </c>
      <c r="AE1033" s="8" t="str">
        <f aca="false">IF(AND(D1033="Férié",F1033="Férié"),0.333333333333333,IF(OR(AND(D1033="Férié",F1033&lt;&gt;"Férié"),(AND(F1033="Férié",D1033&lt;&gt;"Férié"))),0.166666666666667,""))</f>
        <v/>
      </c>
      <c r="AF1033" s="18"/>
      <c r="AG1033" s="18"/>
    </row>
    <row r="1034" customFormat="false" ht="15" hidden="false" customHeight="false" outlineLevel="0" collapsed="false">
      <c r="A1034" s="6" t="str">
        <f aca="false">YEAR(Q1034-WEEKDAY(Q1034,2)+4)&amp;"-S"&amp;TEXT(WEEKNUM(Q1034,21),"00")</f>
        <v>2026-S37</v>
      </c>
      <c r="B1034" s="18" t="s">
        <v>72</v>
      </c>
      <c r="C1034" s="19" t="n">
        <v>0.333333333333333</v>
      </c>
      <c r="D1034" s="19" t="n">
        <v>0.333333333333333</v>
      </c>
      <c r="E1034" s="19" t="n">
        <v>0.75</v>
      </c>
      <c r="F1034" s="19" t="n">
        <v>0.75</v>
      </c>
      <c r="G1034" s="20"/>
      <c r="H1034" s="20"/>
      <c r="I1034" s="8" t="str">
        <f aca="false">IF(IF(OR(C1034="",D1034="Congé",D1034="OFF",D1034="Congé spécial"),"",IF(D1034&gt;F1034,D1034-C1034,IF(C1034-D1034&lt;0,0,C1034-D1034)))&lt;0.00068287037037037,"",IF(OR(D1034="Congé",D1034="OFF",C1034="",D1034="Congé spécial"),"",IF(D1034&gt;F1034,D1034-C1034,IF(C1034-D1034&lt;0,0,C1034-D1034))))</f>
        <v/>
      </c>
      <c r="J1034" s="20"/>
      <c r="K1034" s="8" t="n">
        <f aca="false">IF(SUM(H1034:J1034)&lt;0.00068287037037037,0,SUM(H1034:J1034))</f>
        <v>0</v>
      </c>
      <c r="L1034" s="8" t="n">
        <f aca="false">IF(OR(F1034="Congé",F1034="OFF",M1034="Abs",F1034="Congé sans solde",F1034="Férié",F1034="Congé spécial",D1034="Congé spécial"),0,IF(F1034-E1034&lt;0,0,IF(F1034-E1034&lt;=0.00068287037037037,0,F1034-E1034)))</f>
        <v>0</v>
      </c>
      <c r="M1034" s="6" t="n">
        <f aca="false">IF(AND(O1034&lt;&gt;0,C1034=""),"Abs",0)</f>
        <v>0</v>
      </c>
      <c r="N1034" s="8" t="n">
        <f aca="false">IFERROR(IF(OR(D1034="OFF",D1034="Congé",M1034="Abs",D1034="Congé sans solde",D1034="Férié"),"",IF(O1034-K1034-L1034&gt;O1034,O1034,IF(O1034-K1034-L1034&lt;0,"",O1034-K1034-L1034))),"")</f>
        <v>0.375</v>
      </c>
      <c r="O1034" s="8" t="n">
        <f aca="false">IF(AG1034="2H Pause déjeuner",IF(F1034-D1034-0.0833333333333333&lt;0,F1034-D1034-0.0833333333333333+1,F1034-D1034-0.0833333333333333),IF(OR(AND(F1034="OFF",D1034="OFF"),AND(F1034="Congé",D1034="Congé"),AND(F1034="Congé sans solde",D1034="Congé sans solde"),AND(F1034="Congé spécial",D1034="Congé spécial"),AND(F1034="Férié",D1034="Férié"),AND(F1034="OFF",D1034="Congé"),AND(F1034="OFF",D1034="Congé sans solde"),AND(F1034="OFF",D1034="Congé spécial"),AND(F1034="OFF",D1034="Férié"),AND(F1034="Congé",D1034="OFF"),AND(F1034="Congé",D1034="Congé sans solde"),AND(F1034="Congé",D1034="Congé spécial"),AND(F1034="Congé",D1034="Férié"),AND(F1034="Congé sans solde",D1034="OFF"),AND(F1034="Congé sans solde",D1034="Congé"),AND(F1034="Congé sans solde",D1034="Congé spécial"),AND(F1034="Congé sans solde",D1034="Férié"),AND(F1034="Congé spécial",D1034="OFF"),AND(F1034="Congé spécial",D1034="Congé"),AND(F1034="Congé spécial",D1034="Congé sans solde"),AND(F1034="Congé spécial",D1034="Férié"),AND(F1034="Férié",D1034="OFF"),AND(F1034="Férié",D1034="Congé"),AND(F1034="Férié",D1034="Congé sans solde"),AND(F1034="Férié",D1034="Congé spécial")),0,IF(OR(F1034="OFF",F1034="Congé",F1034="Congé spécial",F1034="Congé sans solde",D1034="OFF",D1034="Congé",D1034="Congé spécial",D1034="Congé sans solde"),0.208333333333334,IF(AND(AG1034="",F1034-D1034&lt;0),("24:00:00"-D1034)+("00:00:00"+F1034)-0.0416666666666667,IF(AND(OR(AG1034="Allaitement",AG1034="Sans déjeuner"),F1034-D1034&lt;0),("24:00:00"-D1034)+("00:00:00"+F1034),IF(AND(AG1034="",F1034-D1034&gt;0.166666666666667),F1034-D1034-0.0416666666666667,IF(AND(OR(AG1034="Allaitement",AG1034="Sans déjeuner"),F1034-D1034&gt;0.166666666666667),F1034-D1034,F1034-D1034)))))))</f>
        <v>0.375</v>
      </c>
      <c r="P1034" s="6" t="str">
        <f aca="false">IFERROR(VLOOKUP($B1034,Agents!$A:$D,2,0),"-")</f>
        <v>Accessibilité</v>
      </c>
      <c r="Q1034" s="21" t="n">
        <v>46275</v>
      </c>
      <c r="R1034" s="8" t="n">
        <f aca="false">IF(M1034="Abs",O1034,0)</f>
        <v>0</v>
      </c>
      <c r="S1034" s="8" t="n">
        <f aca="false">SUM(R1034,L1034,I1034,J1034,W1034,H1034)</f>
        <v>0</v>
      </c>
      <c r="T1034" s="6" t="str">
        <f aca="false">"Sem - "&amp;WEEKNUM(Q1034,21)</f>
        <v>Sem - 37</v>
      </c>
      <c r="U1034" s="6" t="str">
        <f aca="false">CHOOSE(MONTH(Q1034),"Janvier","Février","Mars","Avril","Mai","Juin","Juillet","Août","Septembre","Octobre","Novembre","Décembre")</f>
        <v>Septembre</v>
      </c>
      <c r="V1034" s="22" t="n">
        <f aca="false">YEAR(Q1034)</f>
        <v>2026</v>
      </c>
      <c r="W1034" s="20"/>
      <c r="X1034" s="8" t="n">
        <f aca="false">IFERROR(IF(M1034="Abs",0,IF(ROUND((D1034-C1034+E1034-F1034)*1440,0)&lt;=1,0,D1034-C1034+E1034-F1034)),0)</f>
        <v>0</v>
      </c>
      <c r="Y1034" s="6" t="str">
        <f aca="false">IFERROR(VLOOKUP($B1034,Agents!$A:$D,3,0),"-")</f>
        <v>OUBRAHIM Mohammed</v>
      </c>
      <c r="Z1034" s="6" t="str">
        <f aca="false">IFERROR(VLOOKUP($B1034,Agents!$A:$D,4,0),"-")</f>
        <v>Credit Mutuel</v>
      </c>
      <c r="AA1034" s="18" t="s">
        <v>119</v>
      </c>
      <c r="AB1034" s="8" t="str">
        <f aca="false">IF(AND(D1034="Congé",F1034="Congé"),0.333333333333333,IF(OR(AND(D1034="Congé",F1034&lt;&gt;"Congé"),(AND(F1034="Congé",D1034&lt;&gt;"Congé"))),0.166666666666667,""))</f>
        <v/>
      </c>
      <c r="AC1034" s="8" t="str">
        <f aca="false">IF(AND(D1034="Congé sans solde",F1034="Congé sans solde"),0.333333333333333,IF(OR(AND(D1034="Congé sans solde",F1034&lt;&gt;"Congé sans solde"),(AND(F1034="Congé sans solde",D1034&lt;&gt;"Congé sans solde"))),0.166666666666667,""))</f>
        <v/>
      </c>
      <c r="AD1034" s="8" t="str">
        <f aca="false">IF(AND(D1034="Congé spécial",F1034="Congé spécial"),0.333333333333333,IF(OR(AND(D1034="Congé spécial",F1034&lt;&gt;"Congé spécial"),AND(F1034="Congé spécial",D1034&lt;&gt;"Congé spécial")),0.166666666666667,""))</f>
        <v/>
      </c>
      <c r="AE1034" s="8" t="str">
        <f aca="false">IF(AND(D1034="Férié",F1034="Férié"),0.333333333333333,IF(OR(AND(D1034="Férié",F1034&lt;&gt;"Férié"),(AND(F1034="Férié",D1034&lt;&gt;"Férié"))),0.166666666666667,""))</f>
        <v/>
      </c>
      <c r="AF1034" s="18"/>
      <c r="AG1034" s="18"/>
    </row>
    <row r="1035" customFormat="false" ht="15" hidden="false" customHeight="false" outlineLevel="0" collapsed="false">
      <c r="A1035" s="6" t="str">
        <f aca="false">YEAR(Q1035-WEEKDAY(Q1035,2)+4)&amp;"-S"&amp;TEXT(WEEKNUM(Q1035,21),"00")</f>
        <v>2026-S37</v>
      </c>
      <c r="B1035" s="18" t="s">
        <v>73</v>
      </c>
      <c r="C1035" s="19" t="n">
        <v>0.333333333333333</v>
      </c>
      <c r="D1035" s="19" t="n">
        <v>0.333333333333333</v>
      </c>
      <c r="E1035" s="19" t="n">
        <v>0.75</v>
      </c>
      <c r="F1035" s="19" t="n">
        <v>0.75</v>
      </c>
      <c r="G1035" s="20"/>
      <c r="H1035" s="20"/>
      <c r="I1035" s="8" t="str">
        <f aca="false">IF(IF(OR(C1035="",D1035="Congé",D1035="OFF",D1035="Congé spécial"),"",IF(D1035&gt;F1035,D1035-C1035,IF(C1035-D1035&lt;0,0,C1035-D1035)))&lt;0.00068287037037037,"",IF(OR(D1035="Congé",D1035="OFF",C1035="",D1035="Congé spécial"),"",IF(D1035&gt;F1035,D1035-C1035,IF(C1035-D1035&lt;0,0,C1035-D1035))))</f>
        <v/>
      </c>
      <c r="J1035" s="20"/>
      <c r="K1035" s="8" t="n">
        <f aca="false">IF(SUM(H1035:J1035)&lt;0.00068287037037037,0,SUM(H1035:J1035))</f>
        <v>0</v>
      </c>
      <c r="L1035" s="8" t="n">
        <f aca="false">IF(OR(F1035="Congé",F1035="OFF",M1035="Abs",F1035="Congé sans solde",F1035="Férié",F1035="Congé spécial",D1035="Congé spécial"),0,IF(F1035-E1035&lt;0,0,IF(F1035-E1035&lt;=0.00068287037037037,0,F1035-E1035)))</f>
        <v>0</v>
      </c>
      <c r="M1035" s="6" t="n">
        <f aca="false">IF(AND(O1035&lt;&gt;0,C1035=""),"Abs",0)</f>
        <v>0</v>
      </c>
      <c r="N1035" s="8" t="n">
        <f aca="false">IFERROR(IF(OR(D1035="OFF",D1035="Congé",M1035="Abs",D1035="Congé sans solde",D1035="Férié"),"",IF(O1035-K1035-L1035&gt;O1035,O1035,IF(O1035-K1035-L1035&lt;0,"",O1035-K1035-L1035))),"")</f>
        <v>0.375</v>
      </c>
      <c r="O1035" s="8" t="n">
        <f aca="false">IF(AG1035="2H Pause déjeuner",IF(F1035-D1035-0.0833333333333333&lt;0,F1035-D1035-0.0833333333333333+1,F1035-D1035-0.0833333333333333),IF(OR(AND(F1035="OFF",D1035="OFF"),AND(F1035="Congé",D1035="Congé"),AND(F1035="Congé sans solde",D1035="Congé sans solde"),AND(F1035="Congé spécial",D1035="Congé spécial"),AND(F1035="Férié",D1035="Férié"),AND(F1035="OFF",D1035="Congé"),AND(F1035="OFF",D1035="Congé sans solde"),AND(F1035="OFF",D1035="Congé spécial"),AND(F1035="OFF",D1035="Férié"),AND(F1035="Congé",D1035="OFF"),AND(F1035="Congé",D1035="Congé sans solde"),AND(F1035="Congé",D1035="Congé spécial"),AND(F1035="Congé",D1035="Férié"),AND(F1035="Congé sans solde",D1035="OFF"),AND(F1035="Congé sans solde",D1035="Congé"),AND(F1035="Congé sans solde",D1035="Congé spécial"),AND(F1035="Congé sans solde",D1035="Férié"),AND(F1035="Congé spécial",D1035="OFF"),AND(F1035="Congé spécial",D1035="Congé"),AND(F1035="Congé spécial",D1035="Congé sans solde"),AND(F1035="Congé spécial",D1035="Férié"),AND(F1035="Férié",D1035="OFF"),AND(F1035="Férié",D1035="Congé"),AND(F1035="Férié",D1035="Congé sans solde"),AND(F1035="Férié",D1035="Congé spécial")),0,IF(OR(F1035="OFF",F1035="Congé",F1035="Congé spécial",F1035="Congé sans solde",D1035="OFF",D1035="Congé",D1035="Congé spécial",D1035="Congé sans solde"),0.208333333333334,IF(AND(AG1035="",F1035-D1035&lt;0),("24:00:00"-D1035)+("00:00:00"+F1035)-0.0416666666666667,IF(AND(OR(AG1035="Allaitement",AG1035="Sans déjeuner"),F1035-D1035&lt;0),("24:00:00"-D1035)+("00:00:00"+F1035),IF(AND(AG1035="",F1035-D1035&gt;0.166666666666667),F1035-D1035-0.0416666666666667,IF(AND(OR(AG1035="Allaitement",AG1035="Sans déjeuner"),F1035-D1035&gt;0.166666666666667),F1035-D1035,F1035-D1035)))))))</f>
        <v>0.375</v>
      </c>
      <c r="P1035" s="6" t="str">
        <f aca="false">IFERROR(VLOOKUP($B1035,Agents!$A:$D,2,0),"-")</f>
        <v>Accessibilité</v>
      </c>
      <c r="Q1035" s="21" t="n">
        <v>46275</v>
      </c>
      <c r="R1035" s="8" t="n">
        <f aca="false">IF(M1035="Abs",O1035,0)</f>
        <v>0</v>
      </c>
      <c r="S1035" s="8" t="n">
        <f aca="false">SUM(R1035,L1035,I1035,J1035,W1035,H1035)</f>
        <v>0</v>
      </c>
      <c r="T1035" s="6" t="str">
        <f aca="false">"Sem - "&amp;WEEKNUM(Q1035,21)</f>
        <v>Sem - 37</v>
      </c>
      <c r="U1035" s="6" t="str">
        <f aca="false">CHOOSE(MONTH(Q1035),"Janvier","Février","Mars","Avril","Mai","Juin","Juillet","Août","Septembre","Octobre","Novembre","Décembre")</f>
        <v>Septembre</v>
      </c>
      <c r="V1035" s="22" t="n">
        <f aca="false">YEAR(Q1035)</f>
        <v>2026</v>
      </c>
      <c r="W1035" s="20"/>
      <c r="X1035" s="8" t="n">
        <f aca="false">IFERROR(IF(M1035="Abs",0,IF(ROUND((D1035-C1035+E1035-F1035)*1440,0)&lt;=1,0,D1035-C1035+E1035-F1035)),0)</f>
        <v>0</v>
      </c>
      <c r="Y1035" s="6" t="str">
        <f aca="false">IFERROR(VLOOKUP($B1035,Agents!$A:$D,3,0),"-")</f>
        <v>OUBRAHIM Mohammed</v>
      </c>
      <c r="Z1035" s="6" t="str">
        <f aca="false">IFERROR(VLOOKUP($B1035,Agents!$A:$D,4,0),"-")</f>
        <v>Credit Mutuel</v>
      </c>
      <c r="AA1035" s="18" t="s">
        <v>119</v>
      </c>
      <c r="AB1035" s="8" t="str">
        <f aca="false">IF(AND(D1035="Congé",F1035="Congé"),0.333333333333333,IF(OR(AND(D1035="Congé",F1035&lt;&gt;"Congé"),(AND(F1035="Congé",D1035&lt;&gt;"Congé"))),0.166666666666667,""))</f>
        <v/>
      </c>
      <c r="AC1035" s="8" t="str">
        <f aca="false">IF(AND(D1035="Congé sans solde",F1035="Congé sans solde"),0.333333333333333,IF(OR(AND(D1035="Congé sans solde",F1035&lt;&gt;"Congé sans solde"),(AND(F1035="Congé sans solde",D1035&lt;&gt;"Congé sans solde"))),0.166666666666667,""))</f>
        <v/>
      </c>
      <c r="AD1035" s="8" t="str">
        <f aca="false">IF(AND(D1035="Congé spécial",F1035="Congé spécial"),0.333333333333333,IF(OR(AND(D1035="Congé spécial",F1035&lt;&gt;"Congé spécial"),AND(F1035="Congé spécial",D1035&lt;&gt;"Congé spécial")),0.166666666666667,""))</f>
        <v/>
      </c>
      <c r="AE1035" s="8" t="str">
        <f aca="false">IF(AND(D1035="Férié",F1035="Férié"),0.333333333333333,IF(OR(AND(D1035="Férié",F1035&lt;&gt;"Férié"),(AND(F1035="Férié",D1035&lt;&gt;"Férié"))),0.166666666666667,""))</f>
        <v/>
      </c>
      <c r="AF1035" s="18"/>
      <c r="AG1035" s="18"/>
    </row>
    <row r="1036" customFormat="false" ht="15" hidden="false" customHeight="false" outlineLevel="0" collapsed="false">
      <c r="A1036" s="6" t="str">
        <f aca="false">YEAR(Q1036-WEEKDAY(Q1036,2)+4)&amp;"-S"&amp;TEXT(WEEKNUM(Q1036,21),"00")</f>
        <v>2026-S37</v>
      </c>
      <c r="B1036" s="18" t="s">
        <v>71</v>
      </c>
      <c r="C1036" s="19" t="n">
        <v>0.333333333333333</v>
      </c>
      <c r="D1036" s="19" t="n">
        <v>0.333333333333333</v>
      </c>
      <c r="E1036" s="19" t="n">
        <v>0.708333333333333</v>
      </c>
      <c r="F1036" s="19" t="n">
        <v>0.708333333333333</v>
      </c>
      <c r="G1036" s="20"/>
      <c r="H1036" s="20"/>
      <c r="I1036" s="8" t="str">
        <f aca="false">IF(IF(OR(C1036="",D1036="Congé",D1036="OFF",D1036="Congé spécial"),"",IF(D1036&gt;F1036,D1036-C1036,IF(C1036-D1036&lt;0,0,C1036-D1036)))&lt;0.00068287037037037,"",IF(OR(D1036="Congé",D1036="OFF",C1036="",D1036="Congé spécial"),"",IF(D1036&gt;F1036,D1036-C1036,IF(C1036-D1036&lt;0,0,C1036-D1036))))</f>
        <v/>
      </c>
      <c r="J1036" s="20"/>
      <c r="K1036" s="8" t="n">
        <f aca="false">IF(SUM(H1036:J1036)&lt;0.00068287037037037,0,SUM(H1036:J1036))</f>
        <v>0</v>
      </c>
      <c r="L1036" s="8" t="n">
        <f aca="false">IF(OR(F1036="Congé",F1036="OFF",M1036="Abs",F1036="Congé sans solde",F1036="Férié",F1036="Congé spécial",D1036="Congé spécial"),0,IF(F1036-E1036&lt;0,0,IF(F1036-E1036&lt;=0.00068287037037037,0,F1036-E1036)))</f>
        <v>0</v>
      </c>
      <c r="M1036" s="6" t="n">
        <f aca="false">IF(AND(O1036&lt;&gt;0,C1036=""),"Abs",0)</f>
        <v>0</v>
      </c>
      <c r="N1036" s="8" t="n">
        <f aca="false">IFERROR(IF(OR(D1036="OFF",D1036="Congé",M1036="Abs",D1036="Congé sans solde",D1036="Férié"),"",IF(O1036-K1036-L1036&gt;O1036,O1036,IF(O1036-K1036-L1036&lt;0,"",O1036-K1036-L1036))),"")</f>
        <v>0.333333333333333</v>
      </c>
      <c r="O1036" s="8" t="n">
        <f aca="false">IF(AG1036="2H Pause déjeuner",IF(F1036-D1036-0.0833333333333333&lt;0,F1036-D1036-0.0833333333333333+1,F1036-D1036-0.0833333333333333),IF(OR(AND(F1036="OFF",D1036="OFF"),AND(F1036="Congé",D1036="Congé"),AND(F1036="Congé sans solde",D1036="Congé sans solde"),AND(F1036="Congé spécial",D1036="Congé spécial"),AND(F1036="Férié",D1036="Férié"),AND(F1036="OFF",D1036="Congé"),AND(F1036="OFF",D1036="Congé sans solde"),AND(F1036="OFF",D1036="Congé spécial"),AND(F1036="OFF",D1036="Férié"),AND(F1036="Congé",D1036="OFF"),AND(F1036="Congé",D1036="Congé sans solde"),AND(F1036="Congé",D1036="Congé spécial"),AND(F1036="Congé",D1036="Férié"),AND(F1036="Congé sans solde",D1036="OFF"),AND(F1036="Congé sans solde",D1036="Congé"),AND(F1036="Congé sans solde",D1036="Congé spécial"),AND(F1036="Congé sans solde",D1036="Férié"),AND(F1036="Congé spécial",D1036="OFF"),AND(F1036="Congé spécial",D1036="Congé"),AND(F1036="Congé spécial",D1036="Congé sans solde"),AND(F1036="Congé spécial",D1036="Férié"),AND(F1036="Férié",D1036="OFF"),AND(F1036="Férié",D1036="Congé"),AND(F1036="Férié",D1036="Congé sans solde"),AND(F1036="Férié",D1036="Congé spécial")),0,IF(OR(F1036="OFF",F1036="Congé",F1036="Congé spécial",F1036="Congé sans solde",D1036="OFF",D1036="Congé",D1036="Congé spécial",D1036="Congé sans solde"),0.208333333333334,IF(AND(AG1036="",F1036-D1036&lt;0),("24:00:00"-D1036)+("00:00:00"+F1036)-0.0416666666666667,IF(AND(OR(AG1036="Allaitement",AG1036="Sans déjeuner"),F1036-D1036&lt;0),("24:00:00"-D1036)+("00:00:00"+F1036),IF(AND(AG1036="",F1036-D1036&gt;0.166666666666667),F1036-D1036-0.0416666666666667,IF(AND(OR(AG1036="Allaitement",AG1036="Sans déjeuner"),F1036-D1036&gt;0.166666666666667),F1036-D1036,F1036-D1036)))))))</f>
        <v>0.333333333333333</v>
      </c>
      <c r="P1036" s="6" t="str">
        <f aca="false">IFERROR(VLOOKUP($B1036,Agents!$A:$D,2,0),"-")</f>
        <v>Accessibilité</v>
      </c>
      <c r="Q1036" s="21" t="n">
        <v>46276</v>
      </c>
      <c r="R1036" s="8" t="n">
        <f aca="false">IF(M1036="Abs",O1036,0)</f>
        <v>0</v>
      </c>
      <c r="S1036" s="8" t="n">
        <f aca="false">SUM(R1036,L1036,I1036,J1036,W1036,H1036)</f>
        <v>0</v>
      </c>
      <c r="T1036" s="6" t="str">
        <f aca="false">"Sem - "&amp;WEEKNUM(Q1036,21)</f>
        <v>Sem - 37</v>
      </c>
      <c r="U1036" s="6" t="str">
        <f aca="false">CHOOSE(MONTH(Q1036),"Janvier","Février","Mars","Avril","Mai","Juin","Juillet","Août","Septembre","Octobre","Novembre","Décembre")</f>
        <v>Septembre</v>
      </c>
      <c r="V1036" s="22" t="n">
        <f aca="false">YEAR(Q1036)</f>
        <v>2026</v>
      </c>
      <c r="W1036" s="20"/>
      <c r="X1036" s="8" t="n">
        <f aca="false">IFERROR(IF(M1036="Abs",0,IF(ROUND((D1036-C1036+E1036-F1036)*1440,0)&lt;=1,0,D1036-C1036+E1036-F1036)),0)</f>
        <v>0</v>
      </c>
      <c r="Y1036" s="6" t="str">
        <f aca="false">IFERROR(VLOOKUP($B1036,Agents!$A:$D,3,0),"-")</f>
        <v>OUBRAHIM Mohammed</v>
      </c>
      <c r="Z1036" s="6" t="str">
        <f aca="false">IFERROR(VLOOKUP($B1036,Agents!$A:$D,4,0),"-")</f>
        <v>Credit Mutuel</v>
      </c>
      <c r="AA1036" s="18" t="s">
        <v>119</v>
      </c>
      <c r="AB1036" s="8" t="str">
        <f aca="false">IF(AND(D1036="Congé",F1036="Congé"),0.333333333333333,IF(OR(AND(D1036="Congé",F1036&lt;&gt;"Congé"),(AND(F1036="Congé",D1036&lt;&gt;"Congé"))),0.166666666666667,""))</f>
        <v/>
      </c>
      <c r="AC1036" s="8" t="str">
        <f aca="false">IF(AND(D1036="Congé sans solde",F1036="Congé sans solde"),0.333333333333333,IF(OR(AND(D1036="Congé sans solde",F1036&lt;&gt;"Congé sans solde"),(AND(F1036="Congé sans solde",D1036&lt;&gt;"Congé sans solde"))),0.166666666666667,""))</f>
        <v/>
      </c>
      <c r="AD1036" s="8" t="str">
        <f aca="false">IF(AND(D1036="Congé spécial",F1036="Congé spécial"),0.333333333333333,IF(OR(AND(D1036="Congé spécial",F1036&lt;&gt;"Congé spécial"),AND(F1036="Congé spécial",D1036&lt;&gt;"Congé spécial")),0.166666666666667,""))</f>
        <v/>
      </c>
      <c r="AE1036" s="8" t="str">
        <f aca="false">IF(AND(D1036="Férié",F1036="Férié"),0.333333333333333,IF(OR(AND(D1036="Férié",F1036&lt;&gt;"Férié"),(AND(F1036="Férié",D1036&lt;&gt;"Férié"))),0.166666666666667,""))</f>
        <v/>
      </c>
      <c r="AF1036" s="18"/>
      <c r="AG1036" s="18"/>
    </row>
    <row r="1037" customFormat="false" ht="15" hidden="false" customHeight="false" outlineLevel="0" collapsed="false">
      <c r="A1037" s="6" t="str">
        <f aca="false">YEAR(Q1037-WEEKDAY(Q1037,2)+4)&amp;"-S"&amp;TEXT(WEEKNUM(Q1037,21),"00")</f>
        <v>2026-S37</v>
      </c>
      <c r="B1037" s="18" t="s">
        <v>72</v>
      </c>
      <c r="C1037" s="19" t="n">
        <v>0.333333333333333</v>
      </c>
      <c r="D1037" s="19" t="n">
        <v>0.333333333333333</v>
      </c>
      <c r="E1037" s="19" t="n">
        <v>0.708333333333333</v>
      </c>
      <c r="F1037" s="19" t="n">
        <v>0.708333333333333</v>
      </c>
      <c r="G1037" s="20"/>
      <c r="H1037" s="20"/>
      <c r="I1037" s="8" t="str">
        <f aca="false">IF(IF(OR(C1037="",D1037="Congé",D1037="OFF",D1037="Congé spécial"),"",IF(D1037&gt;F1037,D1037-C1037,IF(C1037-D1037&lt;0,0,C1037-D1037)))&lt;0.00068287037037037,"",IF(OR(D1037="Congé",D1037="OFF",C1037="",D1037="Congé spécial"),"",IF(D1037&gt;F1037,D1037-C1037,IF(C1037-D1037&lt;0,0,C1037-D1037))))</f>
        <v/>
      </c>
      <c r="J1037" s="20"/>
      <c r="K1037" s="8" t="n">
        <f aca="false">IF(SUM(H1037:J1037)&lt;0.00068287037037037,0,SUM(H1037:J1037))</f>
        <v>0</v>
      </c>
      <c r="L1037" s="8" t="n">
        <f aca="false">IF(OR(F1037="Congé",F1037="OFF",M1037="Abs",F1037="Congé sans solde",F1037="Férié",F1037="Congé spécial",D1037="Congé spécial"),0,IF(F1037-E1037&lt;0,0,IF(F1037-E1037&lt;=0.00068287037037037,0,F1037-E1037)))</f>
        <v>0</v>
      </c>
      <c r="M1037" s="6" t="n">
        <f aca="false">IF(AND(O1037&lt;&gt;0,C1037=""),"Abs",0)</f>
        <v>0</v>
      </c>
      <c r="N1037" s="8" t="n">
        <f aca="false">IFERROR(IF(OR(D1037="OFF",D1037="Congé",M1037="Abs",D1037="Congé sans solde",D1037="Férié"),"",IF(O1037-K1037-L1037&gt;O1037,O1037,IF(O1037-K1037-L1037&lt;0,"",O1037-K1037-L1037))),"")</f>
        <v>0.333333333333333</v>
      </c>
      <c r="O1037" s="8" t="n">
        <f aca="false">IF(AG1037="2H Pause déjeuner",IF(F1037-D1037-0.0833333333333333&lt;0,F1037-D1037-0.0833333333333333+1,F1037-D1037-0.0833333333333333),IF(OR(AND(F1037="OFF",D1037="OFF"),AND(F1037="Congé",D1037="Congé"),AND(F1037="Congé sans solde",D1037="Congé sans solde"),AND(F1037="Congé spécial",D1037="Congé spécial"),AND(F1037="Férié",D1037="Férié"),AND(F1037="OFF",D1037="Congé"),AND(F1037="OFF",D1037="Congé sans solde"),AND(F1037="OFF",D1037="Congé spécial"),AND(F1037="OFF",D1037="Férié"),AND(F1037="Congé",D1037="OFF"),AND(F1037="Congé",D1037="Congé sans solde"),AND(F1037="Congé",D1037="Congé spécial"),AND(F1037="Congé",D1037="Férié"),AND(F1037="Congé sans solde",D1037="OFF"),AND(F1037="Congé sans solde",D1037="Congé"),AND(F1037="Congé sans solde",D1037="Congé spécial"),AND(F1037="Congé sans solde",D1037="Férié"),AND(F1037="Congé spécial",D1037="OFF"),AND(F1037="Congé spécial",D1037="Congé"),AND(F1037="Congé spécial",D1037="Congé sans solde"),AND(F1037="Congé spécial",D1037="Férié"),AND(F1037="Férié",D1037="OFF"),AND(F1037="Férié",D1037="Congé"),AND(F1037="Férié",D1037="Congé sans solde"),AND(F1037="Férié",D1037="Congé spécial")),0,IF(OR(F1037="OFF",F1037="Congé",F1037="Congé spécial",F1037="Congé sans solde",D1037="OFF",D1037="Congé",D1037="Congé spécial",D1037="Congé sans solde"),0.208333333333334,IF(AND(AG1037="",F1037-D1037&lt;0),("24:00:00"-D1037)+("00:00:00"+F1037)-0.0416666666666667,IF(AND(OR(AG1037="Allaitement",AG1037="Sans déjeuner"),F1037-D1037&lt;0),("24:00:00"-D1037)+("00:00:00"+F1037),IF(AND(AG1037="",F1037-D1037&gt;0.166666666666667),F1037-D1037-0.0416666666666667,IF(AND(OR(AG1037="Allaitement",AG1037="Sans déjeuner"),F1037-D1037&gt;0.166666666666667),F1037-D1037,F1037-D1037)))))))</f>
        <v>0.333333333333333</v>
      </c>
      <c r="P1037" s="6" t="str">
        <f aca="false">IFERROR(VLOOKUP($B1037,Agents!$A:$D,2,0),"-")</f>
        <v>Accessibilité</v>
      </c>
      <c r="Q1037" s="21" t="n">
        <v>46276</v>
      </c>
      <c r="R1037" s="8" t="n">
        <f aca="false">IF(M1037="Abs",O1037,0)</f>
        <v>0</v>
      </c>
      <c r="S1037" s="8" t="n">
        <f aca="false">SUM(R1037,L1037,I1037,J1037,W1037,H1037)</f>
        <v>0</v>
      </c>
      <c r="T1037" s="6" t="str">
        <f aca="false">"Sem - "&amp;WEEKNUM(Q1037,21)</f>
        <v>Sem - 37</v>
      </c>
      <c r="U1037" s="6" t="str">
        <f aca="false">CHOOSE(MONTH(Q1037),"Janvier","Février","Mars","Avril","Mai","Juin","Juillet","Août","Septembre","Octobre","Novembre","Décembre")</f>
        <v>Septembre</v>
      </c>
      <c r="V1037" s="22" t="n">
        <f aca="false">YEAR(Q1037)</f>
        <v>2026</v>
      </c>
      <c r="W1037" s="20"/>
      <c r="X1037" s="8" t="n">
        <f aca="false">IFERROR(IF(M1037="Abs",0,IF(ROUND((D1037-C1037+E1037-F1037)*1440,0)&lt;=1,0,D1037-C1037+E1037-F1037)),0)</f>
        <v>0</v>
      </c>
      <c r="Y1037" s="6" t="str">
        <f aca="false">IFERROR(VLOOKUP($B1037,Agents!$A:$D,3,0),"-")</f>
        <v>OUBRAHIM Mohammed</v>
      </c>
      <c r="Z1037" s="6" t="str">
        <f aca="false">IFERROR(VLOOKUP($B1037,Agents!$A:$D,4,0),"-")</f>
        <v>Credit Mutuel</v>
      </c>
      <c r="AA1037" s="18" t="s">
        <v>119</v>
      </c>
      <c r="AB1037" s="8" t="str">
        <f aca="false">IF(AND(D1037="Congé",F1037="Congé"),0.333333333333333,IF(OR(AND(D1037="Congé",F1037&lt;&gt;"Congé"),(AND(F1037="Congé",D1037&lt;&gt;"Congé"))),0.166666666666667,""))</f>
        <v/>
      </c>
      <c r="AC1037" s="8" t="str">
        <f aca="false">IF(AND(D1037="Congé sans solde",F1037="Congé sans solde"),0.333333333333333,IF(OR(AND(D1037="Congé sans solde",F1037&lt;&gt;"Congé sans solde"),(AND(F1037="Congé sans solde",D1037&lt;&gt;"Congé sans solde"))),0.166666666666667,""))</f>
        <v/>
      </c>
      <c r="AD1037" s="8" t="str">
        <f aca="false">IF(AND(D1037="Congé spécial",F1037="Congé spécial"),0.333333333333333,IF(OR(AND(D1037="Congé spécial",F1037&lt;&gt;"Congé spécial"),AND(F1037="Congé spécial",D1037&lt;&gt;"Congé spécial")),0.166666666666667,""))</f>
        <v/>
      </c>
      <c r="AE1037" s="8" t="str">
        <f aca="false">IF(AND(D1037="Férié",F1037="Férié"),0.333333333333333,IF(OR(AND(D1037="Férié",F1037&lt;&gt;"Férié"),(AND(F1037="Férié",D1037&lt;&gt;"Férié"))),0.166666666666667,""))</f>
        <v/>
      </c>
      <c r="AF1037" s="18"/>
      <c r="AG1037" s="18"/>
    </row>
    <row r="1038" customFormat="false" ht="15" hidden="false" customHeight="false" outlineLevel="0" collapsed="false">
      <c r="A1038" s="6" t="str">
        <f aca="false">YEAR(Q1038-WEEKDAY(Q1038,2)+4)&amp;"-S"&amp;TEXT(WEEKNUM(Q1038,21),"00")</f>
        <v>2026-S37</v>
      </c>
      <c r="B1038" s="18" t="s">
        <v>73</v>
      </c>
      <c r="C1038" s="19" t="n">
        <v>0.333333333333333</v>
      </c>
      <c r="D1038" s="19" t="n">
        <v>0.333333333333333</v>
      </c>
      <c r="E1038" s="19" t="n">
        <v>0.708333333333333</v>
      </c>
      <c r="F1038" s="19" t="n">
        <v>0.708333333333333</v>
      </c>
      <c r="G1038" s="20"/>
      <c r="H1038" s="20"/>
      <c r="I1038" s="8" t="str">
        <f aca="false">IF(IF(OR(C1038="",D1038="Congé",D1038="OFF",D1038="Congé spécial"),"",IF(D1038&gt;F1038,D1038-C1038,IF(C1038-D1038&lt;0,0,C1038-D1038)))&lt;0.00068287037037037,"",IF(OR(D1038="Congé",D1038="OFF",C1038="",D1038="Congé spécial"),"",IF(D1038&gt;F1038,D1038-C1038,IF(C1038-D1038&lt;0,0,C1038-D1038))))</f>
        <v/>
      </c>
      <c r="J1038" s="20"/>
      <c r="K1038" s="8" t="n">
        <f aca="false">IF(SUM(H1038:J1038)&lt;0.00068287037037037,0,SUM(H1038:J1038))</f>
        <v>0</v>
      </c>
      <c r="L1038" s="8" t="n">
        <f aca="false">IF(OR(F1038="Congé",F1038="OFF",M1038="Abs",F1038="Congé sans solde",F1038="Férié",F1038="Congé spécial",D1038="Congé spécial"),0,IF(F1038-E1038&lt;0,0,IF(F1038-E1038&lt;=0.00068287037037037,0,F1038-E1038)))</f>
        <v>0</v>
      </c>
      <c r="M1038" s="6" t="n">
        <f aca="false">IF(AND(O1038&lt;&gt;0,C1038=""),"Abs",0)</f>
        <v>0</v>
      </c>
      <c r="N1038" s="8" t="n">
        <f aca="false">IFERROR(IF(OR(D1038="OFF",D1038="Congé",M1038="Abs",D1038="Congé sans solde",D1038="Férié"),"",IF(O1038-K1038-L1038&gt;O1038,O1038,IF(O1038-K1038-L1038&lt;0,"",O1038-K1038-L1038))),"")</f>
        <v>0.333333333333333</v>
      </c>
      <c r="O1038" s="8" t="n">
        <f aca="false">IF(AG1038="2H Pause déjeuner",IF(F1038-D1038-0.0833333333333333&lt;0,F1038-D1038-0.0833333333333333+1,F1038-D1038-0.0833333333333333),IF(OR(AND(F1038="OFF",D1038="OFF"),AND(F1038="Congé",D1038="Congé"),AND(F1038="Congé sans solde",D1038="Congé sans solde"),AND(F1038="Congé spécial",D1038="Congé spécial"),AND(F1038="Férié",D1038="Férié"),AND(F1038="OFF",D1038="Congé"),AND(F1038="OFF",D1038="Congé sans solde"),AND(F1038="OFF",D1038="Congé spécial"),AND(F1038="OFF",D1038="Férié"),AND(F1038="Congé",D1038="OFF"),AND(F1038="Congé",D1038="Congé sans solde"),AND(F1038="Congé",D1038="Congé spécial"),AND(F1038="Congé",D1038="Férié"),AND(F1038="Congé sans solde",D1038="OFF"),AND(F1038="Congé sans solde",D1038="Congé"),AND(F1038="Congé sans solde",D1038="Congé spécial"),AND(F1038="Congé sans solde",D1038="Férié"),AND(F1038="Congé spécial",D1038="OFF"),AND(F1038="Congé spécial",D1038="Congé"),AND(F1038="Congé spécial",D1038="Congé sans solde"),AND(F1038="Congé spécial",D1038="Férié"),AND(F1038="Férié",D1038="OFF"),AND(F1038="Férié",D1038="Congé"),AND(F1038="Férié",D1038="Congé sans solde"),AND(F1038="Férié",D1038="Congé spécial")),0,IF(OR(F1038="OFF",F1038="Congé",F1038="Congé spécial",F1038="Congé sans solde",D1038="OFF",D1038="Congé",D1038="Congé spécial",D1038="Congé sans solde"),0.208333333333334,IF(AND(AG1038="",F1038-D1038&lt;0),("24:00:00"-D1038)+("00:00:00"+F1038)-0.0416666666666667,IF(AND(OR(AG1038="Allaitement",AG1038="Sans déjeuner"),F1038-D1038&lt;0),("24:00:00"-D1038)+("00:00:00"+F1038),IF(AND(AG1038="",F1038-D1038&gt;0.166666666666667),F1038-D1038-0.0416666666666667,IF(AND(OR(AG1038="Allaitement",AG1038="Sans déjeuner"),F1038-D1038&gt;0.166666666666667),F1038-D1038,F1038-D1038)))))))</f>
        <v>0.333333333333333</v>
      </c>
      <c r="P1038" s="6" t="str">
        <f aca="false">IFERROR(VLOOKUP($B1038,Agents!$A:$D,2,0),"-")</f>
        <v>Accessibilité</v>
      </c>
      <c r="Q1038" s="21" t="n">
        <v>46276</v>
      </c>
      <c r="R1038" s="8" t="n">
        <f aca="false">IF(M1038="Abs",O1038,0)</f>
        <v>0</v>
      </c>
      <c r="S1038" s="8" t="n">
        <f aca="false">SUM(R1038,L1038,I1038,J1038,W1038,H1038)</f>
        <v>0</v>
      </c>
      <c r="T1038" s="6" t="str">
        <f aca="false">"Sem - "&amp;WEEKNUM(Q1038,21)</f>
        <v>Sem - 37</v>
      </c>
      <c r="U1038" s="6" t="str">
        <f aca="false">CHOOSE(MONTH(Q1038),"Janvier","Février","Mars","Avril","Mai","Juin","Juillet","Août","Septembre","Octobre","Novembre","Décembre")</f>
        <v>Septembre</v>
      </c>
      <c r="V1038" s="22" t="n">
        <f aca="false">YEAR(Q1038)</f>
        <v>2026</v>
      </c>
      <c r="W1038" s="20"/>
      <c r="X1038" s="8" t="n">
        <f aca="false">IFERROR(IF(M1038="Abs",0,IF(ROUND((D1038-C1038+E1038-F1038)*1440,0)&lt;=1,0,D1038-C1038+E1038-F1038)),0)</f>
        <v>0</v>
      </c>
      <c r="Y1038" s="6" t="str">
        <f aca="false">IFERROR(VLOOKUP($B1038,Agents!$A:$D,3,0),"-")</f>
        <v>OUBRAHIM Mohammed</v>
      </c>
      <c r="Z1038" s="6" t="str">
        <f aca="false">IFERROR(VLOOKUP($B1038,Agents!$A:$D,4,0),"-")</f>
        <v>Credit Mutuel</v>
      </c>
      <c r="AA1038" s="18" t="s">
        <v>119</v>
      </c>
      <c r="AB1038" s="8" t="str">
        <f aca="false">IF(AND(D1038="Congé",F1038="Congé"),0.333333333333333,IF(OR(AND(D1038="Congé",F1038&lt;&gt;"Congé"),(AND(F1038="Congé",D1038&lt;&gt;"Congé"))),0.166666666666667,""))</f>
        <v/>
      </c>
      <c r="AC1038" s="8" t="str">
        <f aca="false">IF(AND(D1038="Congé sans solde",F1038="Congé sans solde"),0.333333333333333,IF(OR(AND(D1038="Congé sans solde",F1038&lt;&gt;"Congé sans solde"),(AND(F1038="Congé sans solde",D1038&lt;&gt;"Congé sans solde"))),0.166666666666667,""))</f>
        <v/>
      </c>
      <c r="AD1038" s="8" t="str">
        <f aca="false">IF(AND(D1038="Congé spécial",F1038="Congé spécial"),0.333333333333333,IF(OR(AND(D1038="Congé spécial",F1038&lt;&gt;"Congé spécial"),AND(F1038="Congé spécial",D1038&lt;&gt;"Congé spécial")),0.166666666666667,""))</f>
        <v/>
      </c>
      <c r="AE1038" s="8" t="str">
        <f aca="false">IF(AND(D1038="Férié",F1038="Férié"),0.333333333333333,IF(OR(AND(D1038="Férié",F1038&lt;&gt;"Férié"),(AND(F1038="Férié",D1038&lt;&gt;"Férié"))),0.166666666666667,""))</f>
        <v/>
      </c>
      <c r="AF1038" s="18"/>
      <c r="AG1038" s="18"/>
    </row>
    <row r="1039" customFormat="false" ht="15" hidden="false" customHeight="false" outlineLevel="0" collapsed="false">
      <c r="A1039" s="6" t="str">
        <f aca="false">YEAR(Q1039-WEEKDAY(Q1039,2)+4)&amp;"-S"&amp;TEXT(WEEKNUM(Q1039,21),"00")</f>
        <v>2026-S37</v>
      </c>
      <c r="B1039" s="18" t="s">
        <v>71</v>
      </c>
      <c r="C1039" s="19"/>
      <c r="D1039" s="19" t="s">
        <v>74</v>
      </c>
      <c r="E1039" s="19"/>
      <c r="F1039" s="19" t="s">
        <v>74</v>
      </c>
      <c r="G1039" s="20"/>
      <c r="H1039" s="20"/>
      <c r="I1039" s="8" t="str">
        <f aca="false">IF(IF(OR(C1039="",D1039="Congé",D1039="OFF",D1039="Congé spécial"),"",IF(D1039&gt;F1039,D1039-C1039,IF(C1039-D1039&lt;0,0,C1039-D1039)))&lt;0.00068287037037037,"",IF(OR(D1039="Congé",D1039="OFF",C1039="",D1039="Congé spécial"),"",IF(D1039&gt;F1039,D1039-C1039,IF(C1039-D1039&lt;0,0,C1039-D1039))))</f>
        <v/>
      </c>
      <c r="J1039" s="20"/>
      <c r="K1039" s="8" t="n">
        <f aca="false">IF(SUM(H1039:J1039)&lt;0.00068287037037037,0,SUM(H1039:J1039))</f>
        <v>0</v>
      </c>
      <c r="L1039" s="8" t="n">
        <f aca="false">IF(OR(F1039="Congé",F1039="OFF",M1039="Abs",F1039="Congé sans solde",F1039="Férié",F1039="Congé spécial",D1039="Congé spécial"),0,IF(F1039-E1039&lt;0,0,IF(F1039-E1039&lt;=0.00068287037037037,0,F1039-E1039)))</f>
        <v>0</v>
      </c>
      <c r="M1039" s="6" t="n">
        <f aca="false">IF(AND(O1039&lt;&gt;0,C1039=""),"Abs",0)</f>
        <v>0</v>
      </c>
      <c r="N1039" s="8" t="str">
        <f aca="false">IFERROR(IF(OR(D1039="OFF",D1039="Congé",M1039="Abs",D1039="Congé sans solde",D1039="Férié"),"",IF(O1039-K1039-L1039&gt;O1039,O1039,IF(O1039-K1039-L1039&lt;0,"",O1039-K1039-L1039))),"")</f>
        <v/>
      </c>
      <c r="O1039" s="8" t="n">
        <f aca="false">IF(AG1039="2H Pause déjeuner",IF(F1039-D1039-0.0833333333333333&lt;0,F1039-D1039-0.0833333333333333+1,F1039-D1039-0.0833333333333333),IF(OR(AND(F1039="OFF",D1039="OFF"),AND(F1039="Congé",D1039="Congé"),AND(F1039="Congé sans solde",D1039="Congé sans solde"),AND(F1039="Congé spécial",D1039="Congé spécial"),AND(F1039="Férié",D1039="Férié"),AND(F1039="OFF",D1039="Congé"),AND(F1039="OFF",D1039="Congé sans solde"),AND(F1039="OFF",D1039="Congé spécial"),AND(F1039="OFF",D1039="Férié"),AND(F1039="Congé",D1039="OFF"),AND(F1039="Congé",D1039="Congé sans solde"),AND(F1039="Congé",D1039="Congé spécial"),AND(F1039="Congé",D1039="Férié"),AND(F1039="Congé sans solde",D1039="OFF"),AND(F1039="Congé sans solde",D1039="Congé"),AND(F1039="Congé sans solde",D1039="Congé spécial"),AND(F1039="Congé sans solde",D1039="Férié"),AND(F1039="Congé spécial",D1039="OFF"),AND(F1039="Congé spécial",D1039="Congé"),AND(F1039="Congé spécial",D1039="Congé sans solde"),AND(F1039="Congé spécial",D1039="Férié"),AND(F1039="Férié",D1039="OFF"),AND(F1039="Férié",D1039="Congé"),AND(F1039="Férié",D1039="Congé sans solde"),AND(F1039="Férié",D1039="Congé spécial")),0,IF(OR(F1039="OFF",F1039="Congé",F1039="Congé spécial",F1039="Congé sans solde",D1039="OFF",D1039="Congé",D1039="Congé spécial",D1039="Congé sans solde"),0.208333333333334,IF(AND(AG1039="",F1039-D1039&lt;0),("24:00:00"-D1039)+("00:00:00"+F1039)-0.0416666666666667,IF(AND(OR(AG1039="Allaitement",AG1039="Sans déjeuner"),F1039-D1039&lt;0),("24:00:00"-D1039)+("00:00:00"+F1039),IF(AND(AG1039="",F1039-D1039&gt;0.166666666666667),F1039-D1039-0.0416666666666667,IF(AND(OR(AG1039="Allaitement",AG1039="Sans déjeuner"),F1039-D1039&gt;0.166666666666667),F1039-D1039,F1039-D1039)))))))</f>
        <v>0</v>
      </c>
      <c r="P1039" s="6" t="str">
        <f aca="false">IFERROR(VLOOKUP($B1039,Agents!$A:$D,2,0),"-")</f>
        <v>Accessibilité</v>
      </c>
      <c r="Q1039" s="21" t="n">
        <v>46277</v>
      </c>
      <c r="R1039" s="8" t="n">
        <f aca="false">IF(M1039="Abs",O1039,0)</f>
        <v>0</v>
      </c>
      <c r="S1039" s="8" t="n">
        <f aca="false">SUM(R1039,L1039,I1039,J1039,W1039,H1039)</f>
        <v>0</v>
      </c>
      <c r="T1039" s="6" t="str">
        <f aca="false">"Sem - "&amp;WEEKNUM(Q1039,21)</f>
        <v>Sem - 37</v>
      </c>
      <c r="U1039" s="6" t="str">
        <f aca="false">CHOOSE(MONTH(Q1039),"Janvier","Février","Mars","Avril","Mai","Juin","Juillet","Août","Septembre","Octobre","Novembre","Décembre")</f>
        <v>Septembre</v>
      </c>
      <c r="V1039" s="22" t="n">
        <f aca="false">YEAR(Q1039)</f>
        <v>2026</v>
      </c>
      <c r="W1039" s="20"/>
      <c r="X1039" s="8" t="n">
        <f aca="false">IFERROR(IF(M1039="Abs",0,IF(ROUND((D1039-C1039+E1039-F1039)*1440,0)&lt;=1,0,D1039-C1039+E1039-F1039)),0)</f>
        <v>0</v>
      </c>
      <c r="Y1039" s="6" t="str">
        <f aca="false">IFERROR(VLOOKUP($B1039,Agents!$A:$D,3,0),"-")</f>
        <v>OUBRAHIM Mohammed</v>
      </c>
      <c r="Z1039" s="6" t="str">
        <f aca="false">IFERROR(VLOOKUP($B1039,Agents!$A:$D,4,0),"-")</f>
        <v>Credit Mutuel</v>
      </c>
      <c r="AA1039" s="18" t="s">
        <v>119</v>
      </c>
      <c r="AB1039" s="8" t="str">
        <f aca="false">IF(AND(D1039="Congé",F1039="Congé"),0.333333333333333,IF(OR(AND(D1039="Congé",F1039&lt;&gt;"Congé"),(AND(F1039="Congé",D1039&lt;&gt;"Congé"))),0.166666666666667,""))</f>
        <v/>
      </c>
      <c r="AC1039" s="8" t="str">
        <f aca="false">IF(AND(D1039="Congé sans solde",F1039="Congé sans solde"),0.333333333333333,IF(OR(AND(D1039="Congé sans solde",F1039&lt;&gt;"Congé sans solde"),(AND(F1039="Congé sans solde",D1039&lt;&gt;"Congé sans solde"))),0.166666666666667,""))</f>
        <v/>
      </c>
      <c r="AD1039" s="8" t="str">
        <f aca="false">IF(AND(D1039="Congé spécial",F1039="Congé spécial"),0.333333333333333,IF(OR(AND(D1039="Congé spécial",F1039&lt;&gt;"Congé spécial"),AND(F1039="Congé spécial",D1039&lt;&gt;"Congé spécial")),0.166666666666667,""))</f>
        <v/>
      </c>
      <c r="AE1039" s="8" t="str">
        <f aca="false">IF(AND(D1039="Férié",F1039="Férié"),0.333333333333333,IF(OR(AND(D1039="Férié",F1039&lt;&gt;"Férié"),(AND(F1039="Férié",D1039&lt;&gt;"Férié"))),0.166666666666667,""))</f>
        <v/>
      </c>
      <c r="AF1039" s="18"/>
      <c r="AG1039" s="18"/>
    </row>
    <row r="1040" customFormat="false" ht="15" hidden="false" customHeight="false" outlineLevel="0" collapsed="false">
      <c r="A1040" s="6" t="str">
        <f aca="false">YEAR(Q1040-WEEKDAY(Q1040,2)+4)&amp;"-S"&amp;TEXT(WEEKNUM(Q1040,21),"00")</f>
        <v>2026-S37</v>
      </c>
      <c r="B1040" s="18" t="s">
        <v>72</v>
      </c>
      <c r="C1040" s="19"/>
      <c r="D1040" s="19" t="s">
        <v>74</v>
      </c>
      <c r="E1040" s="19"/>
      <c r="F1040" s="19" t="s">
        <v>74</v>
      </c>
      <c r="G1040" s="20"/>
      <c r="H1040" s="20"/>
      <c r="I1040" s="8" t="str">
        <f aca="false">IF(IF(OR(C1040="",D1040="Congé",D1040="OFF",D1040="Congé spécial"),"",IF(D1040&gt;F1040,D1040-C1040,IF(C1040-D1040&lt;0,0,C1040-D1040)))&lt;0.00068287037037037,"",IF(OR(D1040="Congé",D1040="OFF",C1040="",D1040="Congé spécial"),"",IF(D1040&gt;F1040,D1040-C1040,IF(C1040-D1040&lt;0,0,C1040-D1040))))</f>
        <v/>
      </c>
      <c r="J1040" s="20"/>
      <c r="K1040" s="8" t="n">
        <f aca="false">IF(SUM(H1040:J1040)&lt;0.00068287037037037,0,SUM(H1040:J1040))</f>
        <v>0</v>
      </c>
      <c r="L1040" s="8" t="n">
        <f aca="false">IF(OR(F1040="Congé",F1040="OFF",M1040="Abs",F1040="Congé sans solde",F1040="Férié",F1040="Congé spécial",D1040="Congé spécial"),0,IF(F1040-E1040&lt;0,0,IF(F1040-E1040&lt;=0.00068287037037037,0,F1040-E1040)))</f>
        <v>0</v>
      </c>
      <c r="M1040" s="6" t="n">
        <f aca="false">IF(AND(O1040&lt;&gt;0,C1040=""),"Abs",0)</f>
        <v>0</v>
      </c>
      <c r="N1040" s="8" t="str">
        <f aca="false">IFERROR(IF(OR(D1040="OFF",D1040="Congé",M1040="Abs",D1040="Congé sans solde",D1040="Férié"),"",IF(O1040-K1040-L1040&gt;O1040,O1040,IF(O1040-K1040-L1040&lt;0,"",O1040-K1040-L1040))),"")</f>
        <v/>
      </c>
      <c r="O1040" s="8" t="n">
        <f aca="false">IF(AG1040="2H Pause déjeuner",IF(F1040-D1040-0.0833333333333333&lt;0,F1040-D1040-0.0833333333333333+1,F1040-D1040-0.0833333333333333),IF(OR(AND(F1040="OFF",D1040="OFF"),AND(F1040="Congé",D1040="Congé"),AND(F1040="Congé sans solde",D1040="Congé sans solde"),AND(F1040="Congé spécial",D1040="Congé spécial"),AND(F1040="Férié",D1040="Férié"),AND(F1040="OFF",D1040="Congé"),AND(F1040="OFF",D1040="Congé sans solde"),AND(F1040="OFF",D1040="Congé spécial"),AND(F1040="OFF",D1040="Férié"),AND(F1040="Congé",D1040="OFF"),AND(F1040="Congé",D1040="Congé sans solde"),AND(F1040="Congé",D1040="Congé spécial"),AND(F1040="Congé",D1040="Férié"),AND(F1040="Congé sans solde",D1040="OFF"),AND(F1040="Congé sans solde",D1040="Congé"),AND(F1040="Congé sans solde",D1040="Congé spécial"),AND(F1040="Congé sans solde",D1040="Férié"),AND(F1040="Congé spécial",D1040="OFF"),AND(F1040="Congé spécial",D1040="Congé"),AND(F1040="Congé spécial",D1040="Congé sans solde"),AND(F1040="Congé spécial",D1040="Férié"),AND(F1040="Férié",D1040="OFF"),AND(F1040="Férié",D1040="Congé"),AND(F1040="Férié",D1040="Congé sans solde"),AND(F1040="Férié",D1040="Congé spécial")),0,IF(OR(F1040="OFF",F1040="Congé",F1040="Congé spécial",F1040="Congé sans solde",D1040="OFF",D1040="Congé",D1040="Congé spécial",D1040="Congé sans solde"),0.208333333333334,IF(AND(AG1040="",F1040-D1040&lt;0),("24:00:00"-D1040)+("00:00:00"+F1040)-0.0416666666666667,IF(AND(OR(AG1040="Allaitement",AG1040="Sans déjeuner"),F1040-D1040&lt;0),("24:00:00"-D1040)+("00:00:00"+F1040),IF(AND(AG1040="",F1040-D1040&gt;0.166666666666667),F1040-D1040-0.0416666666666667,IF(AND(OR(AG1040="Allaitement",AG1040="Sans déjeuner"),F1040-D1040&gt;0.166666666666667),F1040-D1040,F1040-D1040)))))))</f>
        <v>0</v>
      </c>
      <c r="P1040" s="6" t="str">
        <f aca="false">IFERROR(VLOOKUP($B1040,Agents!$A:$D,2,0),"-")</f>
        <v>Accessibilité</v>
      </c>
      <c r="Q1040" s="21" t="n">
        <v>46277</v>
      </c>
      <c r="R1040" s="8" t="n">
        <f aca="false">IF(M1040="Abs",O1040,0)</f>
        <v>0</v>
      </c>
      <c r="S1040" s="8" t="n">
        <f aca="false">SUM(R1040,L1040,I1040,J1040,W1040,H1040)</f>
        <v>0</v>
      </c>
      <c r="T1040" s="6" t="str">
        <f aca="false">"Sem - "&amp;WEEKNUM(Q1040,21)</f>
        <v>Sem - 37</v>
      </c>
      <c r="U1040" s="6" t="str">
        <f aca="false">CHOOSE(MONTH(Q1040),"Janvier","Février","Mars","Avril","Mai","Juin","Juillet","Août","Septembre","Octobre","Novembre","Décembre")</f>
        <v>Septembre</v>
      </c>
      <c r="V1040" s="22" t="n">
        <f aca="false">YEAR(Q1040)</f>
        <v>2026</v>
      </c>
      <c r="W1040" s="20"/>
      <c r="X1040" s="8" t="n">
        <f aca="false">IFERROR(IF(M1040="Abs",0,IF(ROUND((D1040-C1040+E1040-F1040)*1440,0)&lt;=1,0,D1040-C1040+E1040-F1040)),0)</f>
        <v>0</v>
      </c>
      <c r="Y1040" s="6" t="str">
        <f aca="false">IFERROR(VLOOKUP($B1040,Agents!$A:$D,3,0),"-")</f>
        <v>OUBRAHIM Mohammed</v>
      </c>
      <c r="Z1040" s="6" t="str">
        <f aca="false">IFERROR(VLOOKUP($B1040,Agents!$A:$D,4,0),"-")</f>
        <v>Credit Mutuel</v>
      </c>
      <c r="AA1040" s="18" t="s">
        <v>119</v>
      </c>
      <c r="AB1040" s="8" t="str">
        <f aca="false">IF(AND(D1040="Congé",F1040="Congé"),0.333333333333333,IF(OR(AND(D1040="Congé",F1040&lt;&gt;"Congé"),(AND(F1040="Congé",D1040&lt;&gt;"Congé"))),0.166666666666667,""))</f>
        <v/>
      </c>
      <c r="AC1040" s="8" t="str">
        <f aca="false">IF(AND(D1040="Congé sans solde",F1040="Congé sans solde"),0.333333333333333,IF(OR(AND(D1040="Congé sans solde",F1040&lt;&gt;"Congé sans solde"),(AND(F1040="Congé sans solde",D1040&lt;&gt;"Congé sans solde"))),0.166666666666667,""))</f>
        <v/>
      </c>
      <c r="AD1040" s="8" t="str">
        <f aca="false">IF(AND(D1040="Congé spécial",F1040="Congé spécial"),0.333333333333333,IF(OR(AND(D1040="Congé spécial",F1040&lt;&gt;"Congé spécial"),AND(F1040="Congé spécial",D1040&lt;&gt;"Congé spécial")),0.166666666666667,""))</f>
        <v/>
      </c>
      <c r="AE1040" s="8" t="str">
        <f aca="false">IF(AND(D1040="Férié",F1040="Férié"),0.333333333333333,IF(OR(AND(D1040="Férié",F1040&lt;&gt;"Férié"),(AND(F1040="Férié",D1040&lt;&gt;"Férié"))),0.166666666666667,""))</f>
        <v/>
      </c>
      <c r="AF1040" s="18"/>
      <c r="AG1040" s="18"/>
    </row>
    <row r="1041" customFormat="false" ht="15" hidden="false" customHeight="false" outlineLevel="0" collapsed="false">
      <c r="A1041" s="6" t="str">
        <f aca="false">YEAR(Q1041-WEEKDAY(Q1041,2)+4)&amp;"-S"&amp;TEXT(WEEKNUM(Q1041,21),"00")</f>
        <v>2026-S37</v>
      </c>
      <c r="B1041" s="18" t="s">
        <v>73</v>
      </c>
      <c r="C1041" s="19"/>
      <c r="D1041" s="19" t="s">
        <v>74</v>
      </c>
      <c r="E1041" s="19"/>
      <c r="F1041" s="19" t="s">
        <v>74</v>
      </c>
      <c r="G1041" s="20"/>
      <c r="H1041" s="20"/>
      <c r="I1041" s="8" t="str">
        <f aca="false">IF(IF(OR(C1041="",D1041="Congé",D1041="OFF",D1041="Congé spécial"),"",IF(D1041&gt;F1041,D1041-C1041,IF(C1041-D1041&lt;0,0,C1041-D1041)))&lt;0.00068287037037037,"",IF(OR(D1041="Congé",D1041="OFF",C1041="",D1041="Congé spécial"),"",IF(D1041&gt;F1041,D1041-C1041,IF(C1041-D1041&lt;0,0,C1041-D1041))))</f>
        <v/>
      </c>
      <c r="J1041" s="20"/>
      <c r="K1041" s="8" t="n">
        <f aca="false">IF(SUM(H1041:J1041)&lt;0.00068287037037037,0,SUM(H1041:J1041))</f>
        <v>0</v>
      </c>
      <c r="L1041" s="8" t="n">
        <f aca="false">IF(OR(F1041="Congé",F1041="OFF",M1041="Abs",F1041="Congé sans solde",F1041="Férié",F1041="Congé spécial",D1041="Congé spécial"),0,IF(F1041-E1041&lt;0,0,IF(F1041-E1041&lt;=0.00068287037037037,0,F1041-E1041)))</f>
        <v>0</v>
      </c>
      <c r="M1041" s="6" t="n">
        <f aca="false">IF(AND(O1041&lt;&gt;0,C1041=""),"Abs",0)</f>
        <v>0</v>
      </c>
      <c r="N1041" s="8" t="str">
        <f aca="false">IFERROR(IF(OR(D1041="OFF",D1041="Congé",M1041="Abs",D1041="Congé sans solde",D1041="Férié"),"",IF(O1041-K1041-L1041&gt;O1041,O1041,IF(O1041-K1041-L1041&lt;0,"",O1041-K1041-L1041))),"")</f>
        <v/>
      </c>
      <c r="O1041" s="8" t="n">
        <f aca="false">IF(AG1041="2H Pause déjeuner",IF(F1041-D1041-0.0833333333333333&lt;0,F1041-D1041-0.0833333333333333+1,F1041-D1041-0.0833333333333333),IF(OR(AND(F1041="OFF",D1041="OFF"),AND(F1041="Congé",D1041="Congé"),AND(F1041="Congé sans solde",D1041="Congé sans solde"),AND(F1041="Congé spécial",D1041="Congé spécial"),AND(F1041="Férié",D1041="Férié"),AND(F1041="OFF",D1041="Congé"),AND(F1041="OFF",D1041="Congé sans solde"),AND(F1041="OFF",D1041="Congé spécial"),AND(F1041="OFF",D1041="Férié"),AND(F1041="Congé",D1041="OFF"),AND(F1041="Congé",D1041="Congé sans solde"),AND(F1041="Congé",D1041="Congé spécial"),AND(F1041="Congé",D1041="Férié"),AND(F1041="Congé sans solde",D1041="OFF"),AND(F1041="Congé sans solde",D1041="Congé"),AND(F1041="Congé sans solde",D1041="Congé spécial"),AND(F1041="Congé sans solde",D1041="Férié"),AND(F1041="Congé spécial",D1041="OFF"),AND(F1041="Congé spécial",D1041="Congé"),AND(F1041="Congé spécial",D1041="Congé sans solde"),AND(F1041="Congé spécial",D1041="Férié"),AND(F1041="Férié",D1041="OFF"),AND(F1041="Férié",D1041="Congé"),AND(F1041="Férié",D1041="Congé sans solde"),AND(F1041="Férié",D1041="Congé spécial")),0,IF(OR(F1041="OFF",F1041="Congé",F1041="Congé spécial",F1041="Congé sans solde",D1041="OFF",D1041="Congé",D1041="Congé spécial",D1041="Congé sans solde"),0.208333333333334,IF(AND(AG1041="",F1041-D1041&lt;0),("24:00:00"-D1041)+("00:00:00"+F1041)-0.0416666666666667,IF(AND(OR(AG1041="Allaitement",AG1041="Sans déjeuner"),F1041-D1041&lt;0),("24:00:00"-D1041)+("00:00:00"+F1041),IF(AND(AG1041="",F1041-D1041&gt;0.166666666666667),F1041-D1041-0.0416666666666667,IF(AND(OR(AG1041="Allaitement",AG1041="Sans déjeuner"),F1041-D1041&gt;0.166666666666667),F1041-D1041,F1041-D1041)))))))</f>
        <v>0</v>
      </c>
      <c r="P1041" s="6" t="str">
        <f aca="false">IFERROR(VLOOKUP($B1041,Agents!$A:$D,2,0),"-")</f>
        <v>Accessibilité</v>
      </c>
      <c r="Q1041" s="21" t="n">
        <v>46277</v>
      </c>
      <c r="R1041" s="8" t="n">
        <f aca="false">IF(M1041="Abs",O1041,0)</f>
        <v>0</v>
      </c>
      <c r="S1041" s="8" t="n">
        <f aca="false">SUM(R1041,L1041,I1041,J1041,W1041,H1041)</f>
        <v>0</v>
      </c>
      <c r="T1041" s="6" t="str">
        <f aca="false">"Sem - "&amp;WEEKNUM(Q1041,21)</f>
        <v>Sem - 37</v>
      </c>
      <c r="U1041" s="6" t="str">
        <f aca="false">CHOOSE(MONTH(Q1041),"Janvier","Février","Mars","Avril","Mai","Juin","Juillet","Août","Septembre","Octobre","Novembre","Décembre")</f>
        <v>Septembre</v>
      </c>
      <c r="V1041" s="22" t="n">
        <f aca="false">YEAR(Q1041)</f>
        <v>2026</v>
      </c>
      <c r="W1041" s="20"/>
      <c r="X1041" s="8" t="n">
        <f aca="false">IFERROR(IF(M1041="Abs",0,IF(ROUND((D1041-C1041+E1041-F1041)*1440,0)&lt;=1,0,D1041-C1041+E1041-F1041)),0)</f>
        <v>0</v>
      </c>
      <c r="Y1041" s="6" t="str">
        <f aca="false">IFERROR(VLOOKUP($B1041,Agents!$A:$D,3,0),"-")</f>
        <v>OUBRAHIM Mohammed</v>
      </c>
      <c r="Z1041" s="6" t="str">
        <f aca="false">IFERROR(VLOOKUP($B1041,Agents!$A:$D,4,0),"-")</f>
        <v>Credit Mutuel</v>
      </c>
      <c r="AA1041" s="18" t="s">
        <v>119</v>
      </c>
      <c r="AB1041" s="8" t="str">
        <f aca="false">IF(AND(D1041="Congé",F1041="Congé"),0.333333333333333,IF(OR(AND(D1041="Congé",F1041&lt;&gt;"Congé"),(AND(F1041="Congé",D1041&lt;&gt;"Congé"))),0.166666666666667,""))</f>
        <v/>
      </c>
      <c r="AC1041" s="8" t="str">
        <f aca="false">IF(AND(D1041="Congé sans solde",F1041="Congé sans solde"),0.333333333333333,IF(OR(AND(D1041="Congé sans solde",F1041&lt;&gt;"Congé sans solde"),(AND(F1041="Congé sans solde",D1041&lt;&gt;"Congé sans solde"))),0.166666666666667,""))</f>
        <v/>
      </c>
      <c r="AD1041" s="8" t="str">
        <f aca="false">IF(AND(D1041="Congé spécial",F1041="Congé spécial"),0.333333333333333,IF(OR(AND(D1041="Congé spécial",F1041&lt;&gt;"Congé spécial"),AND(F1041="Congé spécial",D1041&lt;&gt;"Congé spécial")),0.166666666666667,""))</f>
        <v/>
      </c>
      <c r="AE1041" s="8" t="str">
        <f aca="false">IF(AND(D1041="Férié",F1041="Férié"),0.333333333333333,IF(OR(AND(D1041="Férié",F1041&lt;&gt;"Férié"),(AND(F1041="Férié",D1041&lt;&gt;"Férié"))),0.166666666666667,""))</f>
        <v/>
      </c>
      <c r="AF1041" s="18"/>
      <c r="AG1041" s="18"/>
    </row>
    <row r="1042" customFormat="false" ht="15" hidden="false" customHeight="false" outlineLevel="0" collapsed="false">
      <c r="A1042" s="6" t="str">
        <f aca="false">YEAR(Q1042-WEEKDAY(Q1042,2)+4)&amp;"-S"&amp;TEXT(WEEKNUM(Q1042,21),"00")</f>
        <v>2026-S37</v>
      </c>
      <c r="B1042" s="18" t="s">
        <v>71</v>
      </c>
      <c r="C1042" s="19"/>
      <c r="D1042" s="19" t="s">
        <v>74</v>
      </c>
      <c r="E1042" s="19"/>
      <c r="F1042" s="19" t="s">
        <v>74</v>
      </c>
      <c r="G1042" s="20"/>
      <c r="H1042" s="20"/>
      <c r="I1042" s="8" t="str">
        <f aca="false">IF(IF(OR(C1042="",D1042="Congé",D1042="OFF",D1042="Congé spécial"),"",IF(D1042&gt;F1042,D1042-C1042,IF(C1042-D1042&lt;0,0,C1042-D1042)))&lt;0.00068287037037037,"",IF(OR(D1042="Congé",D1042="OFF",C1042="",D1042="Congé spécial"),"",IF(D1042&gt;F1042,D1042-C1042,IF(C1042-D1042&lt;0,0,C1042-D1042))))</f>
        <v/>
      </c>
      <c r="J1042" s="20"/>
      <c r="K1042" s="8" t="n">
        <f aca="false">IF(SUM(H1042:J1042)&lt;0.00068287037037037,0,SUM(H1042:J1042))</f>
        <v>0</v>
      </c>
      <c r="L1042" s="8" t="n">
        <f aca="false">IF(OR(F1042="Congé",F1042="OFF",M1042="Abs",F1042="Congé sans solde",F1042="Férié",F1042="Congé spécial",D1042="Congé spécial"),0,IF(F1042-E1042&lt;0,0,IF(F1042-E1042&lt;=0.00068287037037037,0,F1042-E1042)))</f>
        <v>0</v>
      </c>
      <c r="M1042" s="6" t="n">
        <f aca="false">IF(AND(O1042&lt;&gt;0,C1042=""),"Abs",0)</f>
        <v>0</v>
      </c>
      <c r="N1042" s="8" t="str">
        <f aca="false">IFERROR(IF(OR(D1042="OFF",D1042="Congé",M1042="Abs",D1042="Congé sans solde",D1042="Férié"),"",IF(O1042-K1042-L1042&gt;O1042,O1042,IF(O1042-K1042-L1042&lt;0,"",O1042-K1042-L1042))),"")</f>
        <v/>
      </c>
      <c r="O1042" s="8" t="n">
        <f aca="false">IF(AG1042="2H Pause déjeuner",IF(F1042-D1042-0.0833333333333333&lt;0,F1042-D1042-0.0833333333333333+1,F1042-D1042-0.0833333333333333),IF(OR(AND(F1042="OFF",D1042="OFF"),AND(F1042="Congé",D1042="Congé"),AND(F1042="Congé sans solde",D1042="Congé sans solde"),AND(F1042="Congé spécial",D1042="Congé spécial"),AND(F1042="Férié",D1042="Férié"),AND(F1042="OFF",D1042="Congé"),AND(F1042="OFF",D1042="Congé sans solde"),AND(F1042="OFF",D1042="Congé spécial"),AND(F1042="OFF",D1042="Férié"),AND(F1042="Congé",D1042="OFF"),AND(F1042="Congé",D1042="Congé sans solde"),AND(F1042="Congé",D1042="Congé spécial"),AND(F1042="Congé",D1042="Férié"),AND(F1042="Congé sans solde",D1042="OFF"),AND(F1042="Congé sans solde",D1042="Congé"),AND(F1042="Congé sans solde",D1042="Congé spécial"),AND(F1042="Congé sans solde",D1042="Férié"),AND(F1042="Congé spécial",D1042="OFF"),AND(F1042="Congé spécial",D1042="Congé"),AND(F1042="Congé spécial",D1042="Congé sans solde"),AND(F1042="Congé spécial",D1042="Férié"),AND(F1042="Férié",D1042="OFF"),AND(F1042="Férié",D1042="Congé"),AND(F1042="Férié",D1042="Congé sans solde"),AND(F1042="Férié",D1042="Congé spécial")),0,IF(OR(F1042="OFF",F1042="Congé",F1042="Congé spécial",F1042="Congé sans solde",D1042="OFF",D1042="Congé",D1042="Congé spécial",D1042="Congé sans solde"),0.208333333333334,IF(AND(AG1042="",F1042-D1042&lt;0),("24:00:00"-D1042)+("00:00:00"+F1042)-0.0416666666666667,IF(AND(OR(AG1042="Allaitement",AG1042="Sans déjeuner"),F1042-D1042&lt;0),("24:00:00"-D1042)+("00:00:00"+F1042),IF(AND(AG1042="",F1042-D1042&gt;0.166666666666667),F1042-D1042-0.0416666666666667,IF(AND(OR(AG1042="Allaitement",AG1042="Sans déjeuner"),F1042-D1042&gt;0.166666666666667),F1042-D1042,F1042-D1042)))))))</f>
        <v>0</v>
      </c>
      <c r="P1042" s="6" t="str">
        <f aca="false">IFERROR(VLOOKUP($B1042,Agents!$A:$D,2,0),"-")</f>
        <v>Accessibilité</v>
      </c>
      <c r="Q1042" s="21" t="n">
        <v>46278</v>
      </c>
      <c r="R1042" s="8" t="n">
        <f aca="false">IF(M1042="Abs",O1042,0)</f>
        <v>0</v>
      </c>
      <c r="S1042" s="8" t="n">
        <f aca="false">SUM(R1042,L1042,I1042,J1042,W1042,H1042)</f>
        <v>0</v>
      </c>
      <c r="T1042" s="6" t="str">
        <f aca="false">"Sem - "&amp;WEEKNUM(Q1042,21)</f>
        <v>Sem - 37</v>
      </c>
      <c r="U1042" s="6" t="str">
        <f aca="false">CHOOSE(MONTH(Q1042),"Janvier","Février","Mars","Avril","Mai","Juin","Juillet","Août","Septembre","Octobre","Novembre","Décembre")</f>
        <v>Septembre</v>
      </c>
      <c r="V1042" s="22" t="n">
        <f aca="false">YEAR(Q1042)</f>
        <v>2026</v>
      </c>
      <c r="W1042" s="20"/>
      <c r="X1042" s="8" t="n">
        <f aca="false">IFERROR(IF(M1042="Abs",0,IF(ROUND((D1042-C1042+E1042-F1042)*1440,0)&lt;=1,0,D1042-C1042+E1042-F1042)),0)</f>
        <v>0</v>
      </c>
      <c r="Y1042" s="6" t="str">
        <f aca="false">IFERROR(VLOOKUP($B1042,Agents!$A:$D,3,0),"-")</f>
        <v>OUBRAHIM Mohammed</v>
      </c>
      <c r="Z1042" s="6" t="str">
        <f aca="false">IFERROR(VLOOKUP($B1042,Agents!$A:$D,4,0),"-")</f>
        <v>Credit Mutuel</v>
      </c>
      <c r="AA1042" s="18" t="s">
        <v>119</v>
      </c>
      <c r="AB1042" s="8" t="str">
        <f aca="false">IF(AND(D1042="Congé",F1042="Congé"),0.333333333333333,IF(OR(AND(D1042="Congé",F1042&lt;&gt;"Congé"),(AND(F1042="Congé",D1042&lt;&gt;"Congé"))),0.166666666666667,""))</f>
        <v/>
      </c>
      <c r="AC1042" s="8" t="str">
        <f aca="false">IF(AND(D1042="Congé sans solde",F1042="Congé sans solde"),0.333333333333333,IF(OR(AND(D1042="Congé sans solde",F1042&lt;&gt;"Congé sans solde"),(AND(F1042="Congé sans solde",D1042&lt;&gt;"Congé sans solde"))),0.166666666666667,""))</f>
        <v/>
      </c>
      <c r="AD1042" s="8" t="str">
        <f aca="false">IF(AND(D1042="Congé spécial",F1042="Congé spécial"),0.333333333333333,IF(OR(AND(D1042="Congé spécial",F1042&lt;&gt;"Congé spécial"),AND(F1042="Congé spécial",D1042&lt;&gt;"Congé spécial")),0.166666666666667,""))</f>
        <v/>
      </c>
      <c r="AE1042" s="8" t="str">
        <f aca="false">IF(AND(D1042="Férié",F1042="Férié"),0.333333333333333,IF(OR(AND(D1042="Férié",F1042&lt;&gt;"Férié"),(AND(F1042="Férié",D1042&lt;&gt;"Férié"))),0.166666666666667,""))</f>
        <v/>
      </c>
      <c r="AF1042" s="18"/>
      <c r="AG1042" s="18"/>
    </row>
    <row r="1043" customFormat="false" ht="15" hidden="false" customHeight="false" outlineLevel="0" collapsed="false">
      <c r="A1043" s="6" t="str">
        <f aca="false">YEAR(Q1043-WEEKDAY(Q1043,2)+4)&amp;"-S"&amp;TEXT(WEEKNUM(Q1043,21),"00")</f>
        <v>2026-S37</v>
      </c>
      <c r="B1043" s="18" t="s">
        <v>72</v>
      </c>
      <c r="C1043" s="19"/>
      <c r="D1043" s="19" t="s">
        <v>74</v>
      </c>
      <c r="E1043" s="19"/>
      <c r="F1043" s="19" t="s">
        <v>74</v>
      </c>
      <c r="G1043" s="20"/>
      <c r="H1043" s="20"/>
      <c r="I1043" s="8" t="str">
        <f aca="false">IF(IF(OR(C1043="",D1043="Congé",D1043="OFF",D1043="Congé spécial"),"",IF(D1043&gt;F1043,D1043-C1043,IF(C1043-D1043&lt;0,0,C1043-D1043)))&lt;0.00068287037037037,"",IF(OR(D1043="Congé",D1043="OFF",C1043="",D1043="Congé spécial"),"",IF(D1043&gt;F1043,D1043-C1043,IF(C1043-D1043&lt;0,0,C1043-D1043))))</f>
        <v/>
      </c>
      <c r="J1043" s="20"/>
      <c r="K1043" s="8" t="n">
        <f aca="false">IF(SUM(H1043:J1043)&lt;0.00068287037037037,0,SUM(H1043:J1043))</f>
        <v>0</v>
      </c>
      <c r="L1043" s="8" t="n">
        <f aca="false">IF(OR(F1043="Congé",F1043="OFF",M1043="Abs",F1043="Congé sans solde",F1043="Férié",F1043="Congé spécial",D1043="Congé spécial"),0,IF(F1043-E1043&lt;0,0,IF(F1043-E1043&lt;=0.00068287037037037,0,F1043-E1043)))</f>
        <v>0</v>
      </c>
      <c r="M1043" s="6" t="n">
        <f aca="false">IF(AND(O1043&lt;&gt;0,C1043=""),"Abs",0)</f>
        <v>0</v>
      </c>
      <c r="N1043" s="8" t="str">
        <f aca="false">IFERROR(IF(OR(D1043="OFF",D1043="Congé",M1043="Abs",D1043="Congé sans solde",D1043="Férié"),"",IF(O1043-K1043-L1043&gt;O1043,O1043,IF(O1043-K1043-L1043&lt;0,"",O1043-K1043-L1043))),"")</f>
        <v/>
      </c>
      <c r="O1043" s="8" t="n">
        <f aca="false">IF(AG1043="2H Pause déjeuner",IF(F1043-D1043-0.0833333333333333&lt;0,F1043-D1043-0.0833333333333333+1,F1043-D1043-0.0833333333333333),IF(OR(AND(F1043="OFF",D1043="OFF"),AND(F1043="Congé",D1043="Congé"),AND(F1043="Congé sans solde",D1043="Congé sans solde"),AND(F1043="Congé spécial",D1043="Congé spécial"),AND(F1043="Férié",D1043="Férié"),AND(F1043="OFF",D1043="Congé"),AND(F1043="OFF",D1043="Congé sans solde"),AND(F1043="OFF",D1043="Congé spécial"),AND(F1043="OFF",D1043="Férié"),AND(F1043="Congé",D1043="OFF"),AND(F1043="Congé",D1043="Congé sans solde"),AND(F1043="Congé",D1043="Congé spécial"),AND(F1043="Congé",D1043="Férié"),AND(F1043="Congé sans solde",D1043="OFF"),AND(F1043="Congé sans solde",D1043="Congé"),AND(F1043="Congé sans solde",D1043="Congé spécial"),AND(F1043="Congé sans solde",D1043="Férié"),AND(F1043="Congé spécial",D1043="OFF"),AND(F1043="Congé spécial",D1043="Congé"),AND(F1043="Congé spécial",D1043="Congé sans solde"),AND(F1043="Congé spécial",D1043="Férié"),AND(F1043="Férié",D1043="OFF"),AND(F1043="Férié",D1043="Congé"),AND(F1043="Férié",D1043="Congé sans solde"),AND(F1043="Férié",D1043="Congé spécial")),0,IF(OR(F1043="OFF",F1043="Congé",F1043="Congé spécial",F1043="Congé sans solde",D1043="OFF",D1043="Congé",D1043="Congé spécial",D1043="Congé sans solde"),0.208333333333334,IF(AND(AG1043="",F1043-D1043&lt;0),("24:00:00"-D1043)+("00:00:00"+F1043)-0.0416666666666667,IF(AND(OR(AG1043="Allaitement",AG1043="Sans déjeuner"),F1043-D1043&lt;0),("24:00:00"-D1043)+("00:00:00"+F1043),IF(AND(AG1043="",F1043-D1043&gt;0.166666666666667),F1043-D1043-0.0416666666666667,IF(AND(OR(AG1043="Allaitement",AG1043="Sans déjeuner"),F1043-D1043&gt;0.166666666666667),F1043-D1043,F1043-D1043)))))))</f>
        <v>0</v>
      </c>
      <c r="P1043" s="6" t="str">
        <f aca="false">IFERROR(VLOOKUP($B1043,Agents!$A:$D,2,0),"-")</f>
        <v>Accessibilité</v>
      </c>
      <c r="Q1043" s="21" t="n">
        <v>46278</v>
      </c>
      <c r="R1043" s="8" t="n">
        <f aca="false">IF(M1043="Abs",O1043,0)</f>
        <v>0</v>
      </c>
      <c r="S1043" s="8" t="n">
        <f aca="false">SUM(R1043,L1043,I1043,J1043,W1043,H1043)</f>
        <v>0</v>
      </c>
      <c r="T1043" s="6" t="str">
        <f aca="false">"Sem - "&amp;WEEKNUM(Q1043,21)</f>
        <v>Sem - 37</v>
      </c>
      <c r="U1043" s="6" t="str">
        <f aca="false">CHOOSE(MONTH(Q1043),"Janvier","Février","Mars","Avril","Mai","Juin","Juillet","Août","Septembre","Octobre","Novembre","Décembre")</f>
        <v>Septembre</v>
      </c>
      <c r="V1043" s="22" t="n">
        <f aca="false">YEAR(Q1043)</f>
        <v>2026</v>
      </c>
      <c r="W1043" s="20"/>
      <c r="X1043" s="8" t="n">
        <f aca="false">IFERROR(IF(M1043="Abs",0,IF(ROUND((D1043-C1043+E1043-F1043)*1440,0)&lt;=1,0,D1043-C1043+E1043-F1043)),0)</f>
        <v>0</v>
      </c>
      <c r="Y1043" s="6" t="str">
        <f aca="false">IFERROR(VLOOKUP($B1043,Agents!$A:$D,3,0),"-")</f>
        <v>OUBRAHIM Mohammed</v>
      </c>
      <c r="Z1043" s="6" t="str">
        <f aca="false">IFERROR(VLOOKUP($B1043,Agents!$A:$D,4,0),"-")</f>
        <v>Credit Mutuel</v>
      </c>
      <c r="AA1043" s="18" t="s">
        <v>119</v>
      </c>
      <c r="AB1043" s="8" t="str">
        <f aca="false">IF(AND(D1043="Congé",F1043="Congé"),0.333333333333333,IF(OR(AND(D1043="Congé",F1043&lt;&gt;"Congé"),(AND(F1043="Congé",D1043&lt;&gt;"Congé"))),0.166666666666667,""))</f>
        <v/>
      </c>
      <c r="AC1043" s="8" t="str">
        <f aca="false">IF(AND(D1043="Congé sans solde",F1043="Congé sans solde"),0.333333333333333,IF(OR(AND(D1043="Congé sans solde",F1043&lt;&gt;"Congé sans solde"),(AND(F1043="Congé sans solde",D1043&lt;&gt;"Congé sans solde"))),0.166666666666667,""))</f>
        <v/>
      </c>
      <c r="AD1043" s="8" t="str">
        <f aca="false">IF(AND(D1043="Congé spécial",F1043="Congé spécial"),0.333333333333333,IF(OR(AND(D1043="Congé spécial",F1043&lt;&gt;"Congé spécial"),AND(F1043="Congé spécial",D1043&lt;&gt;"Congé spécial")),0.166666666666667,""))</f>
        <v/>
      </c>
      <c r="AE1043" s="8" t="str">
        <f aca="false">IF(AND(D1043="Férié",F1043="Férié"),0.333333333333333,IF(OR(AND(D1043="Férié",F1043&lt;&gt;"Férié"),(AND(F1043="Férié",D1043&lt;&gt;"Férié"))),0.166666666666667,""))</f>
        <v/>
      </c>
      <c r="AF1043" s="18"/>
      <c r="AG1043" s="18"/>
    </row>
    <row r="1044" customFormat="false" ht="15" hidden="false" customHeight="false" outlineLevel="0" collapsed="false">
      <c r="A1044" s="6" t="str">
        <f aca="false">YEAR(Q1044-WEEKDAY(Q1044,2)+4)&amp;"-S"&amp;TEXT(WEEKNUM(Q1044,21),"00")</f>
        <v>2026-S37</v>
      </c>
      <c r="B1044" s="18" t="s">
        <v>73</v>
      </c>
      <c r="C1044" s="19"/>
      <c r="D1044" s="19" t="s">
        <v>74</v>
      </c>
      <c r="E1044" s="19"/>
      <c r="F1044" s="19" t="s">
        <v>74</v>
      </c>
      <c r="G1044" s="20"/>
      <c r="H1044" s="20"/>
      <c r="I1044" s="8" t="str">
        <f aca="false">IF(IF(OR(C1044="",D1044="Congé",D1044="OFF",D1044="Congé spécial"),"",IF(D1044&gt;F1044,D1044-C1044,IF(C1044-D1044&lt;0,0,C1044-D1044)))&lt;0.00068287037037037,"",IF(OR(D1044="Congé",D1044="OFF",C1044="",D1044="Congé spécial"),"",IF(D1044&gt;F1044,D1044-C1044,IF(C1044-D1044&lt;0,0,C1044-D1044))))</f>
        <v/>
      </c>
      <c r="J1044" s="20"/>
      <c r="K1044" s="8" t="n">
        <f aca="false">IF(SUM(H1044:J1044)&lt;0.00068287037037037,0,SUM(H1044:J1044))</f>
        <v>0</v>
      </c>
      <c r="L1044" s="8" t="n">
        <f aca="false">IF(OR(F1044="Congé",F1044="OFF",M1044="Abs",F1044="Congé sans solde",F1044="Férié",F1044="Congé spécial",D1044="Congé spécial"),0,IF(F1044-E1044&lt;0,0,IF(F1044-E1044&lt;=0.00068287037037037,0,F1044-E1044)))</f>
        <v>0</v>
      </c>
      <c r="M1044" s="6" t="n">
        <f aca="false">IF(AND(O1044&lt;&gt;0,C1044=""),"Abs",0)</f>
        <v>0</v>
      </c>
      <c r="N1044" s="8" t="str">
        <f aca="false">IFERROR(IF(OR(D1044="OFF",D1044="Congé",M1044="Abs",D1044="Congé sans solde",D1044="Férié"),"",IF(O1044-K1044-L1044&gt;O1044,O1044,IF(O1044-K1044-L1044&lt;0,"",O1044-K1044-L1044))),"")</f>
        <v/>
      </c>
      <c r="O1044" s="8" t="n">
        <f aca="false">IF(AG1044="2H Pause déjeuner",IF(F1044-D1044-0.0833333333333333&lt;0,F1044-D1044-0.0833333333333333+1,F1044-D1044-0.0833333333333333),IF(OR(AND(F1044="OFF",D1044="OFF"),AND(F1044="Congé",D1044="Congé"),AND(F1044="Congé sans solde",D1044="Congé sans solde"),AND(F1044="Congé spécial",D1044="Congé spécial"),AND(F1044="Férié",D1044="Férié"),AND(F1044="OFF",D1044="Congé"),AND(F1044="OFF",D1044="Congé sans solde"),AND(F1044="OFF",D1044="Congé spécial"),AND(F1044="OFF",D1044="Férié"),AND(F1044="Congé",D1044="OFF"),AND(F1044="Congé",D1044="Congé sans solde"),AND(F1044="Congé",D1044="Congé spécial"),AND(F1044="Congé",D1044="Férié"),AND(F1044="Congé sans solde",D1044="OFF"),AND(F1044="Congé sans solde",D1044="Congé"),AND(F1044="Congé sans solde",D1044="Congé spécial"),AND(F1044="Congé sans solde",D1044="Férié"),AND(F1044="Congé spécial",D1044="OFF"),AND(F1044="Congé spécial",D1044="Congé"),AND(F1044="Congé spécial",D1044="Congé sans solde"),AND(F1044="Congé spécial",D1044="Férié"),AND(F1044="Férié",D1044="OFF"),AND(F1044="Férié",D1044="Congé"),AND(F1044="Férié",D1044="Congé sans solde"),AND(F1044="Férié",D1044="Congé spécial")),0,IF(OR(F1044="OFF",F1044="Congé",F1044="Congé spécial",F1044="Congé sans solde",D1044="OFF",D1044="Congé",D1044="Congé spécial",D1044="Congé sans solde"),0.208333333333334,IF(AND(AG1044="",F1044-D1044&lt;0),("24:00:00"-D1044)+("00:00:00"+F1044)-0.0416666666666667,IF(AND(OR(AG1044="Allaitement",AG1044="Sans déjeuner"),F1044-D1044&lt;0),("24:00:00"-D1044)+("00:00:00"+F1044),IF(AND(AG1044="",F1044-D1044&gt;0.166666666666667),F1044-D1044-0.0416666666666667,IF(AND(OR(AG1044="Allaitement",AG1044="Sans déjeuner"),F1044-D1044&gt;0.166666666666667),F1044-D1044,F1044-D1044)))))))</f>
        <v>0</v>
      </c>
      <c r="P1044" s="6" t="str">
        <f aca="false">IFERROR(VLOOKUP($B1044,Agents!$A:$D,2,0),"-")</f>
        <v>Accessibilité</v>
      </c>
      <c r="Q1044" s="21" t="n">
        <v>46278</v>
      </c>
      <c r="R1044" s="8" t="n">
        <f aca="false">IF(M1044="Abs",O1044,0)</f>
        <v>0</v>
      </c>
      <c r="S1044" s="8" t="n">
        <f aca="false">SUM(R1044,L1044,I1044,J1044,W1044,H1044)</f>
        <v>0</v>
      </c>
      <c r="T1044" s="6" t="str">
        <f aca="false">"Sem - "&amp;WEEKNUM(Q1044,21)</f>
        <v>Sem - 37</v>
      </c>
      <c r="U1044" s="6" t="str">
        <f aca="false">CHOOSE(MONTH(Q1044),"Janvier","Février","Mars","Avril","Mai","Juin","Juillet","Août","Septembre","Octobre","Novembre","Décembre")</f>
        <v>Septembre</v>
      </c>
      <c r="V1044" s="22" t="n">
        <f aca="false">YEAR(Q1044)</f>
        <v>2026</v>
      </c>
      <c r="W1044" s="20"/>
      <c r="X1044" s="8" t="n">
        <f aca="false">IFERROR(IF(M1044="Abs",0,IF(ROUND((D1044-C1044+E1044-F1044)*1440,0)&lt;=1,0,D1044-C1044+E1044-F1044)),0)</f>
        <v>0</v>
      </c>
      <c r="Y1044" s="6" t="str">
        <f aca="false">IFERROR(VLOOKUP($B1044,Agents!$A:$D,3,0),"-")</f>
        <v>OUBRAHIM Mohammed</v>
      </c>
      <c r="Z1044" s="6" t="str">
        <f aca="false">IFERROR(VLOOKUP($B1044,Agents!$A:$D,4,0),"-")</f>
        <v>Credit Mutuel</v>
      </c>
      <c r="AA1044" s="18" t="s">
        <v>119</v>
      </c>
      <c r="AB1044" s="8" t="str">
        <f aca="false">IF(AND(D1044="Congé",F1044="Congé"),0.333333333333333,IF(OR(AND(D1044="Congé",F1044&lt;&gt;"Congé"),(AND(F1044="Congé",D1044&lt;&gt;"Congé"))),0.166666666666667,""))</f>
        <v/>
      </c>
      <c r="AC1044" s="8" t="str">
        <f aca="false">IF(AND(D1044="Congé sans solde",F1044="Congé sans solde"),0.333333333333333,IF(OR(AND(D1044="Congé sans solde",F1044&lt;&gt;"Congé sans solde"),(AND(F1044="Congé sans solde",D1044&lt;&gt;"Congé sans solde"))),0.166666666666667,""))</f>
        <v/>
      </c>
      <c r="AD1044" s="8" t="str">
        <f aca="false">IF(AND(D1044="Congé spécial",F1044="Congé spécial"),0.333333333333333,IF(OR(AND(D1044="Congé spécial",F1044&lt;&gt;"Congé spécial"),AND(F1044="Congé spécial",D1044&lt;&gt;"Congé spécial")),0.166666666666667,""))</f>
        <v/>
      </c>
      <c r="AE1044" s="8" t="str">
        <f aca="false">IF(AND(D1044="Férié",F1044="Férié"),0.333333333333333,IF(OR(AND(D1044="Férié",F1044&lt;&gt;"Férié"),(AND(F1044="Férié",D1044&lt;&gt;"Férié"))),0.166666666666667,""))</f>
        <v/>
      </c>
      <c r="AF1044" s="18"/>
      <c r="AG1044" s="18"/>
    </row>
    <row r="1045" customFormat="false" ht="15" hidden="false" customHeight="false" outlineLevel="0" collapsed="false">
      <c r="A1045" s="6" t="str">
        <f aca="false">YEAR(Q1045-WEEKDAY(Q1045,2)+4)&amp;"-S"&amp;TEXT(WEEKNUM(Q1045,21),"00")</f>
        <v>2026-S38</v>
      </c>
      <c r="B1045" s="18" t="s">
        <v>71</v>
      </c>
      <c r="C1045" s="19" t="n">
        <v>0.329166666666667</v>
      </c>
      <c r="D1045" s="19" t="n">
        <v>0.333333333333333</v>
      </c>
      <c r="E1045" s="19" t="n">
        <v>0.75</v>
      </c>
      <c r="F1045" s="19" t="n">
        <v>0.75</v>
      </c>
      <c r="G1045" s="20"/>
      <c r="H1045" s="20"/>
      <c r="I1045" s="8" t="str">
        <f aca="false">IF(IF(OR(C1045="",D1045="Congé",D1045="OFF",D1045="Congé spécial"),"",IF(D1045&gt;F1045,D1045-C1045,IF(C1045-D1045&lt;0,0,C1045-D1045)))&lt;0.00068287037037037,"",IF(OR(D1045="Congé",D1045="OFF",C1045="",D1045="Congé spécial"),"",IF(D1045&gt;F1045,D1045-C1045,IF(C1045-D1045&lt;0,0,C1045-D1045))))</f>
        <v/>
      </c>
      <c r="J1045" s="20"/>
      <c r="K1045" s="8" t="n">
        <f aca="false">IF(SUM(H1045:J1045)&lt;0.00068287037037037,0,SUM(H1045:J1045))</f>
        <v>0</v>
      </c>
      <c r="L1045" s="8" t="n">
        <f aca="false">IF(OR(F1045="Congé",F1045="OFF",M1045="Abs",F1045="Congé sans solde",F1045="Férié",F1045="Congé spécial",D1045="Congé spécial"),0,IF(F1045-E1045&lt;0,0,IF(F1045-E1045&lt;=0.00068287037037037,0,F1045-E1045)))</f>
        <v>0</v>
      </c>
      <c r="M1045" s="6" t="n">
        <f aca="false">IF(AND(O1045&lt;&gt;0,C1045=""),"Abs",0)</f>
        <v>0</v>
      </c>
      <c r="N1045" s="8" t="n">
        <f aca="false">IFERROR(IF(OR(D1045="OFF",D1045="Congé",M1045="Abs",D1045="Congé sans solde",D1045="Férié"),"",IF(O1045-K1045-L1045&gt;O1045,O1045,IF(O1045-K1045-L1045&lt;0,"",O1045-K1045-L1045))),"")</f>
        <v>0.375</v>
      </c>
      <c r="O1045" s="8" t="n">
        <f aca="false">IF(AG1045="2H Pause déjeuner",IF(F1045-D1045-0.0833333333333333&lt;0,F1045-D1045-0.0833333333333333+1,F1045-D1045-0.0833333333333333),IF(OR(AND(F1045="OFF",D1045="OFF"),AND(F1045="Congé",D1045="Congé"),AND(F1045="Congé sans solde",D1045="Congé sans solde"),AND(F1045="Congé spécial",D1045="Congé spécial"),AND(F1045="Férié",D1045="Férié"),AND(F1045="OFF",D1045="Congé"),AND(F1045="OFF",D1045="Congé sans solde"),AND(F1045="OFF",D1045="Congé spécial"),AND(F1045="OFF",D1045="Férié"),AND(F1045="Congé",D1045="OFF"),AND(F1045="Congé",D1045="Congé sans solde"),AND(F1045="Congé",D1045="Congé spécial"),AND(F1045="Congé",D1045="Férié"),AND(F1045="Congé sans solde",D1045="OFF"),AND(F1045="Congé sans solde",D1045="Congé"),AND(F1045="Congé sans solde",D1045="Congé spécial"),AND(F1045="Congé sans solde",D1045="Férié"),AND(F1045="Congé spécial",D1045="OFF"),AND(F1045="Congé spécial",D1045="Congé"),AND(F1045="Congé spécial",D1045="Congé sans solde"),AND(F1045="Congé spécial",D1045="Férié"),AND(F1045="Férié",D1045="OFF"),AND(F1045="Férié",D1045="Congé"),AND(F1045="Férié",D1045="Congé sans solde"),AND(F1045="Férié",D1045="Congé spécial")),0,IF(OR(F1045="OFF",F1045="Congé",F1045="Congé spécial",F1045="Congé sans solde",D1045="OFF",D1045="Congé",D1045="Congé spécial",D1045="Congé sans solde"),0.208333333333334,IF(AND(AG1045="",F1045-D1045&lt;0),("24:00:00"-D1045)+("00:00:00"+F1045)-0.0416666666666667,IF(AND(OR(AG1045="Allaitement",AG1045="Sans déjeuner"),F1045-D1045&lt;0),("24:00:00"-D1045)+("00:00:00"+F1045),IF(AND(AG1045="",F1045-D1045&gt;0.166666666666667),F1045-D1045-0.0416666666666667,IF(AND(OR(AG1045="Allaitement",AG1045="Sans déjeuner"),F1045-D1045&gt;0.166666666666667),F1045-D1045,F1045-D1045)))))))</f>
        <v>0.375</v>
      </c>
      <c r="P1045" s="6" t="str">
        <f aca="false">IFERROR(VLOOKUP($B1045,Agents!$A:$D,2,0),"-")</f>
        <v>Accessibilité</v>
      </c>
      <c r="Q1045" s="21" t="n">
        <v>46279</v>
      </c>
      <c r="R1045" s="8" t="n">
        <f aca="false">IF(M1045="Abs",O1045,0)</f>
        <v>0</v>
      </c>
      <c r="S1045" s="8" t="n">
        <f aca="false">SUM(R1045,L1045,I1045,J1045,W1045,H1045)</f>
        <v>0</v>
      </c>
      <c r="T1045" s="6" t="str">
        <f aca="false">"Sem - "&amp;WEEKNUM(Q1045,21)</f>
        <v>Sem - 38</v>
      </c>
      <c r="U1045" s="6" t="str">
        <f aca="false">CHOOSE(MONTH(Q1045),"Janvier","Février","Mars","Avril","Mai","Juin","Juillet","Août","Septembre","Octobre","Novembre","Décembre")</f>
        <v>Septembre</v>
      </c>
      <c r="V1045" s="22" t="n">
        <f aca="false">YEAR(Q1045)</f>
        <v>2026</v>
      </c>
      <c r="W1045" s="20"/>
      <c r="X1045" s="8" t="n">
        <f aca="false">IFERROR(IF(M1045="Abs",0,IF(ROUND((D1045-C1045+E1045-F1045)*1440,0)&lt;=1,0,D1045-C1045+E1045-F1045)),0)</f>
        <v>0.00416666666666667</v>
      </c>
      <c r="Y1045" s="6" t="str">
        <f aca="false">IFERROR(VLOOKUP($B1045,Agents!$A:$D,3,0),"-")</f>
        <v>OUBRAHIM Mohammed</v>
      </c>
      <c r="Z1045" s="6" t="str">
        <f aca="false">IFERROR(VLOOKUP($B1045,Agents!$A:$D,4,0),"-")</f>
        <v>Credit Mutuel</v>
      </c>
      <c r="AA1045" s="18" t="s">
        <v>120</v>
      </c>
      <c r="AB1045" s="8" t="str">
        <f aca="false">IF(AND(D1045="Congé",F1045="Congé"),0.333333333333333,IF(OR(AND(D1045="Congé",F1045&lt;&gt;"Congé"),(AND(F1045="Congé",D1045&lt;&gt;"Congé"))),0.166666666666667,""))</f>
        <v/>
      </c>
      <c r="AC1045" s="8" t="str">
        <f aca="false">IF(AND(D1045="Congé sans solde",F1045="Congé sans solde"),0.333333333333333,IF(OR(AND(D1045="Congé sans solde",F1045&lt;&gt;"Congé sans solde"),(AND(F1045="Congé sans solde",D1045&lt;&gt;"Congé sans solde"))),0.166666666666667,""))</f>
        <v/>
      </c>
      <c r="AD1045" s="8" t="str">
        <f aca="false">IF(AND(D1045="Congé spécial",F1045="Congé spécial"),0.333333333333333,IF(OR(AND(D1045="Congé spécial",F1045&lt;&gt;"Congé spécial"),AND(F1045="Congé spécial",D1045&lt;&gt;"Congé spécial")),0.166666666666667,""))</f>
        <v/>
      </c>
      <c r="AE1045" s="8" t="str">
        <f aca="false">IF(AND(D1045="Férié",F1045="Férié"),0.333333333333333,IF(OR(AND(D1045="Férié",F1045&lt;&gt;"Férié"),(AND(F1045="Férié",D1045&lt;&gt;"Férié"))),0.166666666666667,""))</f>
        <v/>
      </c>
      <c r="AF1045" s="18"/>
      <c r="AG1045" s="18"/>
    </row>
    <row r="1046" customFormat="false" ht="15" hidden="false" customHeight="false" outlineLevel="0" collapsed="false">
      <c r="A1046" s="6" t="str">
        <f aca="false">YEAR(Q1046-WEEKDAY(Q1046,2)+4)&amp;"-S"&amp;TEXT(WEEKNUM(Q1046,21),"00")</f>
        <v>2026-S38</v>
      </c>
      <c r="B1046" s="18" t="s">
        <v>72</v>
      </c>
      <c r="C1046" s="19" t="n">
        <v>0.332638888888889</v>
      </c>
      <c r="D1046" s="19" t="n">
        <v>0.333333333333333</v>
      </c>
      <c r="E1046" s="19" t="n">
        <v>0.75</v>
      </c>
      <c r="F1046" s="19" t="n">
        <v>0.75</v>
      </c>
      <c r="G1046" s="20"/>
      <c r="H1046" s="20"/>
      <c r="I1046" s="8" t="str">
        <f aca="false">IF(IF(OR(C1046="",D1046="Congé",D1046="OFF",D1046="Congé spécial"),"",IF(D1046&gt;F1046,D1046-C1046,IF(C1046-D1046&lt;0,0,C1046-D1046)))&lt;0.00068287037037037,"",IF(OR(D1046="Congé",D1046="OFF",C1046="",D1046="Congé spécial"),"",IF(D1046&gt;F1046,D1046-C1046,IF(C1046-D1046&lt;0,0,C1046-D1046))))</f>
        <v/>
      </c>
      <c r="J1046" s="20"/>
      <c r="K1046" s="8" t="n">
        <f aca="false">IF(SUM(H1046:J1046)&lt;0.00068287037037037,0,SUM(H1046:J1046))</f>
        <v>0</v>
      </c>
      <c r="L1046" s="8" t="n">
        <f aca="false">IF(OR(F1046="Congé",F1046="OFF",M1046="Abs",F1046="Congé sans solde",F1046="Férié",F1046="Congé spécial",D1046="Congé spécial"),0,IF(F1046-E1046&lt;0,0,IF(F1046-E1046&lt;=0.00068287037037037,0,F1046-E1046)))</f>
        <v>0</v>
      </c>
      <c r="M1046" s="6" t="n">
        <f aca="false">IF(AND(O1046&lt;&gt;0,C1046=""),"Abs",0)</f>
        <v>0</v>
      </c>
      <c r="N1046" s="8" t="n">
        <f aca="false">IFERROR(IF(OR(D1046="OFF",D1046="Congé",M1046="Abs",D1046="Congé sans solde",D1046="Férié"),"",IF(O1046-K1046-L1046&gt;O1046,O1046,IF(O1046-K1046-L1046&lt;0,"",O1046-K1046-L1046))),"")</f>
        <v>0.375</v>
      </c>
      <c r="O1046" s="8" t="n">
        <f aca="false">IF(AG1046="2H Pause déjeuner",IF(F1046-D1046-0.0833333333333333&lt;0,F1046-D1046-0.0833333333333333+1,F1046-D1046-0.0833333333333333),IF(OR(AND(F1046="OFF",D1046="OFF"),AND(F1046="Congé",D1046="Congé"),AND(F1046="Congé sans solde",D1046="Congé sans solde"),AND(F1046="Congé spécial",D1046="Congé spécial"),AND(F1046="Férié",D1046="Férié"),AND(F1046="OFF",D1046="Congé"),AND(F1046="OFF",D1046="Congé sans solde"),AND(F1046="OFF",D1046="Congé spécial"),AND(F1046="OFF",D1046="Férié"),AND(F1046="Congé",D1046="OFF"),AND(F1046="Congé",D1046="Congé sans solde"),AND(F1046="Congé",D1046="Congé spécial"),AND(F1046="Congé",D1046="Férié"),AND(F1046="Congé sans solde",D1046="OFF"),AND(F1046="Congé sans solde",D1046="Congé"),AND(F1046="Congé sans solde",D1046="Congé spécial"),AND(F1046="Congé sans solde",D1046="Férié"),AND(F1046="Congé spécial",D1046="OFF"),AND(F1046="Congé spécial",D1046="Congé"),AND(F1046="Congé spécial",D1046="Congé sans solde"),AND(F1046="Congé spécial",D1046="Férié"),AND(F1046="Férié",D1046="OFF"),AND(F1046="Férié",D1046="Congé"),AND(F1046="Férié",D1046="Congé sans solde"),AND(F1046="Férié",D1046="Congé spécial")),0,IF(OR(F1046="OFF",F1046="Congé",F1046="Congé spécial",F1046="Congé sans solde",D1046="OFF",D1046="Congé",D1046="Congé spécial",D1046="Congé sans solde"),0.208333333333334,IF(AND(AG1046="",F1046-D1046&lt;0),("24:00:00"-D1046)+("00:00:00"+F1046)-0.0416666666666667,IF(AND(OR(AG1046="Allaitement",AG1046="Sans déjeuner"),F1046-D1046&lt;0),("24:00:00"-D1046)+("00:00:00"+F1046),IF(AND(AG1046="",F1046-D1046&gt;0.166666666666667),F1046-D1046-0.0416666666666667,IF(AND(OR(AG1046="Allaitement",AG1046="Sans déjeuner"),F1046-D1046&gt;0.166666666666667),F1046-D1046,F1046-D1046)))))))</f>
        <v>0.375</v>
      </c>
      <c r="P1046" s="6" t="str">
        <f aca="false">IFERROR(VLOOKUP($B1046,Agents!$A:$D,2,0),"-")</f>
        <v>Accessibilité</v>
      </c>
      <c r="Q1046" s="21" t="n">
        <v>46279</v>
      </c>
      <c r="R1046" s="8" t="n">
        <f aca="false">IF(M1046="Abs",O1046,0)</f>
        <v>0</v>
      </c>
      <c r="S1046" s="8" t="n">
        <f aca="false">SUM(R1046,L1046,I1046,J1046,W1046,H1046)</f>
        <v>0</v>
      </c>
      <c r="T1046" s="6" t="str">
        <f aca="false">"Sem - "&amp;WEEKNUM(Q1046,21)</f>
        <v>Sem - 38</v>
      </c>
      <c r="U1046" s="6" t="str">
        <f aca="false">CHOOSE(MONTH(Q1046),"Janvier","Février","Mars","Avril","Mai","Juin","Juillet","Août","Septembre","Octobre","Novembre","Décembre")</f>
        <v>Septembre</v>
      </c>
      <c r="V1046" s="22" t="n">
        <f aca="false">YEAR(Q1046)</f>
        <v>2026</v>
      </c>
      <c r="W1046" s="20"/>
      <c r="X1046" s="8" t="n">
        <f aca="false">IFERROR(IF(M1046="Abs",0,IF(ROUND((D1046-C1046+E1046-F1046)*1440,0)&lt;=1,0,D1046-C1046+E1046-F1046)),0)</f>
        <v>0</v>
      </c>
      <c r="Y1046" s="6" t="str">
        <f aca="false">IFERROR(VLOOKUP($B1046,Agents!$A:$D,3,0),"-")</f>
        <v>OUBRAHIM Mohammed</v>
      </c>
      <c r="Z1046" s="6" t="str">
        <f aca="false">IFERROR(VLOOKUP($B1046,Agents!$A:$D,4,0),"-")</f>
        <v>Credit Mutuel</v>
      </c>
      <c r="AA1046" s="18" t="s">
        <v>120</v>
      </c>
      <c r="AB1046" s="8" t="str">
        <f aca="false">IF(AND(D1046="Congé",F1046="Congé"),0.333333333333333,IF(OR(AND(D1046="Congé",F1046&lt;&gt;"Congé"),(AND(F1046="Congé",D1046&lt;&gt;"Congé"))),0.166666666666667,""))</f>
        <v/>
      </c>
      <c r="AC1046" s="8" t="str">
        <f aca="false">IF(AND(D1046="Congé sans solde",F1046="Congé sans solde"),0.333333333333333,IF(OR(AND(D1046="Congé sans solde",F1046&lt;&gt;"Congé sans solde"),(AND(F1046="Congé sans solde",D1046&lt;&gt;"Congé sans solde"))),0.166666666666667,""))</f>
        <v/>
      </c>
      <c r="AD1046" s="8" t="str">
        <f aca="false">IF(AND(D1046="Congé spécial",F1046="Congé spécial"),0.333333333333333,IF(OR(AND(D1046="Congé spécial",F1046&lt;&gt;"Congé spécial"),AND(F1046="Congé spécial",D1046&lt;&gt;"Congé spécial")),0.166666666666667,""))</f>
        <v/>
      </c>
      <c r="AE1046" s="8" t="str">
        <f aca="false">IF(AND(D1046="Férié",F1046="Férié"),0.333333333333333,IF(OR(AND(D1046="Férié",F1046&lt;&gt;"Férié"),(AND(F1046="Férié",D1046&lt;&gt;"Férié"))),0.166666666666667,""))</f>
        <v/>
      </c>
      <c r="AF1046" s="18"/>
      <c r="AG1046" s="18"/>
    </row>
    <row r="1047" customFormat="false" ht="15" hidden="false" customHeight="false" outlineLevel="0" collapsed="false">
      <c r="A1047" s="6" t="str">
        <f aca="false">YEAR(Q1047-WEEKDAY(Q1047,2)+4)&amp;"-S"&amp;TEXT(WEEKNUM(Q1047,21),"00")</f>
        <v>2026-S38</v>
      </c>
      <c r="B1047" s="18" t="s">
        <v>73</v>
      </c>
      <c r="C1047" s="19" t="n">
        <v>0.345138888888889</v>
      </c>
      <c r="D1047" s="19" t="n">
        <v>0.333333333333333</v>
      </c>
      <c r="E1047" s="19" t="n">
        <v>0.75</v>
      </c>
      <c r="F1047" s="19" t="n">
        <v>0.75</v>
      </c>
      <c r="G1047" s="20"/>
      <c r="H1047" s="20"/>
      <c r="I1047" s="8" t="n">
        <f aca="false">IF(IF(OR(C1047="",D1047="Congé",D1047="OFF",D1047="Congé spécial"),"",IF(D1047&gt;F1047,D1047-C1047,IF(C1047-D1047&lt;0,0,C1047-D1047)))&lt;0.00068287037037037,"",IF(OR(D1047="Congé",D1047="OFF",C1047="",D1047="Congé spécial"),"",IF(D1047&gt;F1047,D1047-C1047,IF(C1047-D1047&lt;0,0,C1047-D1047))))</f>
        <v>0.0118055555555556</v>
      </c>
      <c r="J1047" s="20"/>
      <c r="K1047" s="8" t="n">
        <f aca="false">IF(SUM(H1047:J1047)&lt;0.00068287037037037,0,SUM(H1047:J1047))</f>
        <v>0.0118055555555556</v>
      </c>
      <c r="L1047" s="8" t="n">
        <f aca="false">IF(OR(F1047="Congé",F1047="OFF",M1047="Abs",F1047="Congé sans solde",F1047="Férié",F1047="Congé spécial",D1047="Congé spécial"),0,IF(F1047-E1047&lt;0,0,IF(F1047-E1047&lt;=0.00068287037037037,0,F1047-E1047)))</f>
        <v>0</v>
      </c>
      <c r="M1047" s="6" t="n">
        <f aca="false">IF(AND(O1047&lt;&gt;0,C1047=""),"Abs",0)</f>
        <v>0</v>
      </c>
      <c r="N1047" s="8" t="n">
        <f aca="false">IFERROR(IF(OR(D1047="OFF",D1047="Congé",M1047="Abs",D1047="Congé sans solde",D1047="Férié"),"",IF(O1047-K1047-L1047&gt;O1047,O1047,IF(O1047-K1047-L1047&lt;0,"",O1047-K1047-L1047))),"")</f>
        <v>0.363194444444444</v>
      </c>
      <c r="O1047" s="8" t="n">
        <f aca="false">IF(AG1047="2H Pause déjeuner",IF(F1047-D1047-0.0833333333333333&lt;0,F1047-D1047-0.0833333333333333+1,F1047-D1047-0.0833333333333333),IF(OR(AND(F1047="OFF",D1047="OFF"),AND(F1047="Congé",D1047="Congé"),AND(F1047="Congé sans solde",D1047="Congé sans solde"),AND(F1047="Congé spécial",D1047="Congé spécial"),AND(F1047="Férié",D1047="Férié"),AND(F1047="OFF",D1047="Congé"),AND(F1047="OFF",D1047="Congé sans solde"),AND(F1047="OFF",D1047="Congé spécial"),AND(F1047="OFF",D1047="Férié"),AND(F1047="Congé",D1047="OFF"),AND(F1047="Congé",D1047="Congé sans solde"),AND(F1047="Congé",D1047="Congé spécial"),AND(F1047="Congé",D1047="Férié"),AND(F1047="Congé sans solde",D1047="OFF"),AND(F1047="Congé sans solde",D1047="Congé"),AND(F1047="Congé sans solde",D1047="Congé spécial"),AND(F1047="Congé sans solde",D1047="Férié"),AND(F1047="Congé spécial",D1047="OFF"),AND(F1047="Congé spécial",D1047="Congé"),AND(F1047="Congé spécial",D1047="Congé sans solde"),AND(F1047="Congé spécial",D1047="Férié"),AND(F1047="Férié",D1047="OFF"),AND(F1047="Férié",D1047="Congé"),AND(F1047="Férié",D1047="Congé sans solde"),AND(F1047="Férié",D1047="Congé spécial")),0,IF(OR(F1047="OFF",F1047="Congé",F1047="Congé spécial",F1047="Congé sans solde",D1047="OFF",D1047="Congé",D1047="Congé spécial",D1047="Congé sans solde"),0.208333333333334,IF(AND(AG1047="",F1047-D1047&lt;0),("24:00:00"-D1047)+("00:00:00"+F1047)-0.0416666666666667,IF(AND(OR(AG1047="Allaitement",AG1047="Sans déjeuner"),F1047-D1047&lt;0),("24:00:00"-D1047)+("00:00:00"+F1047),IF(AND(AG1047="",F1047-D1047&gt;0.166666666666667),F1047-D1047-0.0416666666666667,IF(AND(OR(AG1047="Allaitement",AG1047="Sans déjeuner"),F1047-D1047&gt;0.166666666666667),F1047-D1047,F1047-D1047)))))))</f>
        <v>0.375</v>
      </c>
      <c r="P1047" s="6" t="str">
        <f aca="false">IFERROR(VLOOKUP($B1047,Agents!$A:$D,2,0),"-")</f>
        <v>Accessibilité</v>
      </c>
      <c r="Q1047" s="21" t="n">
        <v>46279</v>
      </c>
      <c r="R1047" s="8" t="n">
        <f aca="false">IF(M1047="Abs",O1047,0)</f>
        <v>0</v>
      </c>
      <c r="S1047" s="8" t="n">
        <f aca="false">SUM(R1047,L1047,I1047,J1047,W1047,H1047)</f>
        <v>0.0118055555555556</v>
      </c>
      <c r="T1047" s="6" t="str">
        <f aca="false">"Sem - "&amp;WEEKNUM(Q1047,21)</f>
        <v>Sem - 38</v>
      </c>
      <c r="U1047" s="6" t="str">
        <f aca="false">CHOOSE(MONTH(Q1047),"Janvier","Février","Mars","Avril","Mai","Juin","Juillet","Août","Septembre","Octobre","Novembre","Décembre")</f>
        <v>Septembre</v>
      </c>
      <c r="V1047" s="22" t="n">
        <f aca="false">YEAR(Q1047)</f>
        <v>2026</v>
      </c>
      <c r="W1047" s="20"/>
      <c r="X1047" s="8" t="n">
        <f aca="false">IFERROR(IF(M1047="Abs",0,IF(ROUND((D1047-C1047+E1047-F1047)*1440,0)&lt;=1,0,D1047-C1047+E1047-F1047)),0)</f>
        <v>0</v>
      </c>
      <c r="Y1047" s="6" t="str">
        <f aca="false">IFERROR(VLOOKUP($B1047,Agents!$A:$D,3,0),"-")</f>
        <v>OUBRAHIM Mohammed</v>
      </c>
      <c r="Z1047" s="6" t="str">
        <f aca="false">IFERROR(VLOOKUP($B1047,Agents!$A:$D,4,0),"-")</f>
        <v>Credit Mutuel</v>
      </c>
      <c r="AA1047" s="18" t="s">
        <v>120</v>
      </c>
      <c r="AB1047" s="8" t="str">
        <f aca="false">IF(AND(D1047="Congé",F1047="Congé"),0.333333333333333,IF(OR(AND(D1047="Congé",F1047&lt;&gt;"Congé"),(AND(F1047="Congé",D1047&lt;&gt;"Congé"))),0.166666666666667,""))</f>
        <v/>
      </c>
      <c r="AC1047" s="8" t="str">
        <f aca="false">IF(AND(D1047="Congé sans solde",F1047="Congé sans solde"),0.333333333333333,IF(OR(AND(D1047="Congé sans solde",F1047&lt;&gt;"Congé sans solde"),(AND(F1047="Congé sans solde",D1047&lt;&gt;"Congé sans solde"))),0.166666666666667,""))</f>
        <v/>
      </c>
      <c r="AD1047" s="8" t="str">
        <f aca="false">IF(AND(D1047="Congé spécial",F1047="Congé spécial"),0.333333333333333,IF(OR(AND(D1047="Congé spécial",F1047&lt;&gt;"Congé spécial"),AND(F1047="Congé spécial",D1047&lt;&gt;"Congé spécial")),0.166666666666667,""))</f>
        <v/>
      </c>
      <c r="AE1047" s="8" t="str">
        <f aca="false">IF(AND(D1047="Férié",F1047="Férié"),0.333333333333333,IF(OR(AND(D1047="Férié",F1047&lt;&gt;"Férié"),(AND(F1047="Férié",D1047&lt;&gt;"Férié"))),0.166666666666667,""))</f>
        <v/>
      </c>
      <c r="AF1047" s="18"/>
      <c r="AG1047" s="18"/>
    </row>
    <row r="1048" customFormat="false" ht="15" hidden="false" customHeight="false" outlineLevel="0" collapsed="false">
      <c r="A1048" s="6" t="str">
        <f aca="false">YEAR(Q1048-WEEKDAY(Q1048,2)+4)&amp;"-S"&amp;TEXT(WEEKNUM(Q1048,21),"00")</f>
        <v>2026-S38</v>
      </c>
      <c r="B1048" s="18" t="s">
        <v>71</v>
      </c>
      <c r="C1048" s="19" t="n">
        <v>0.329861111111111</v>
      </c>
      <c r="D1048" s="19" t="n">
        <v>0.333333333333333</v>
      </c>
      <c r="E1048" s="19" t="n">
        <v>0.75</v>
      </c>
      <c r="F1048" s="19" t="n">
        <v>0.75</v>
      </c>
      <c r="G1048" s="20"/>
      <c r="H1048" s="20"/>
      <c r="I1048" s="8" t="str">
        <f aca="false">IF(IF(OR(C1048="",D1048="Congé",D1048="OFF",D1048="Congé spécial"),"",IF(D1048&gt;F1048,D1048-C1048,IF(C1048-D1048&lt;0,0,C1048-D1048)))&lt;0.00068287037037037,"",IF(OR(D1048="Congé",D1048="OFF",C1048="",D1048="Congé spécial"),"",IF(D1048&gt;F1048,D1048-C1048,IF(C1048-D1048&lt;0,0,C1048-D1048))))</f>
        <v/>
      </c>
      <c r="J1048" s="20"/>
      <c r="K1048" s="8" t="n">
        <f aca="false">IF(SUM(H1048:J1048)&lt;0.00068287037037037,0,SUM(H1048:J1048))</f>
        <v>0</v>
      </c>
      <c r="L1048" s="8" t="n">
        <f aca="false">IF(OR(F1048="Congé",F1048="OFF",M1048="Abs",F1048="Congé sans solde",F1048="Férié",F1048="Congé spécial",D1048="Congé spécial"),0,IF(F1048-E1048&lt;0,0,IF(F1048-E1048&lt;=0.00068287037037037,0,F1048-E1048)))</f>
        <v>0</v>
      </c>
      <c r="M1048" s="6" t="n">
        <f aca="false">IF(AND(O1048&lt;&gt;0,C1048=""),"Abs",0)</f>
        <v>0</v>
      </c>
      <c r="N1048" s="8" t="n">
        <f aca="false">IFERROR(IF(OR(D1048="OFF",D1048="Congé",M1048="Abs",D1048="Congé sans solde",D1048="Férié"),"",IF(O1048-K1048-L1048&gt;O1048,O1048,IF(O1048-K1048-L1048&lt;0,"",O1048-K1048-L1048))),"")</f>
        <v>0.375</v>
      </c>
      <c r="O1048" s="8" t="n">
        <f aca="false">IF(AG1048="2H Pause déjeuner",IF(F1048-D1048-0.0833333333333333&lt;0,F1048-D1048-0.0833333333333333+1,F1048-D1048-0.0833333333333333),IF(OR(AND(F1048="OFF",D1048="OFF"),AND(F1048="Congé",D1048="Congé"),AND(F1048="Congé sans solde",D1048="Congé sans solde"),AND(F1048="Congé spécial",D1048="Congé spécial"),AND(F1048="Férié",D1048="Férié"),AND(F1048="OFF",D1048="Congé"),AND(F1048="OFF",D1048="Congé sans solde"),AND(F1048="OFF",D1048="Congé spécial"),AND(F1048="OFF",D1048="Férié"),AND(F1048="Congé",D1048="OFF"),AND(F1048="Congé",D1048="Congé sans solde"),AND(F1048="Congé",D1048="Congé spécial"),AND(F1048="Congé",D1048="Férié"),AND(F1048="Congé sans solde",D1048="OFF"),AND(F1048="Congé sans solde",D1048="Congé"),AND(F1048="Congé sans solde",D1048="Congé spécial"),AND(F1048="Congé sans solde",D1048="Férié"),AND(F1048="Congé spécial",D1048="OFF"),AND(F1048="Congé spécial",D1048="Congé"),AND(F1048="Congé spécial",D1048="Congé sans solde"),AND(F1048="Congé spécial",D1048="Férié"),AND(F1048="Férié",D1048="OFF"),AND(F1048="Férié",D1048="Congé"),AND(F1048="Férié",D1048="Congé sans solde"),AND(F1048="Férié",D1048="Congé spécial")),0,IF(OR(F1048="OFF",F1048="Congé",F1048="Congé spécial",F1048="Congé sans solde",D1048="OFF",D1048="Congé",D1048="Congé spécial",D1048="Congé sans solde"),0.208333333333334,IF(AND(AG1048="",F1048-D1048&lt;0),("24:00:00"-D1048)+("00:00:00"+F1048)-0.0416666666666667,IF(AND(OR(AG1048="Allaitement",AG1048="Sans déjeuner"),F1048-D1048&lt;0),("24:00:00"-D1048)+("00:00:00"+F1048),IF(AND(AG1048="",F1048-D1048&gt;0.166666666666667),F1048-D1048-0.0416666666666667,IF(AND(OR(AG1048="Allaitement",AG1048="Sans déjeuner"),F1048-D1048&gt;0.166666666666667),F1048-D1048,F1048-D1048)))))))</f>
        <v>0.375</v>
      </c>
      <c r="P1048" s="6" t="str">
        <f aca="false">IFERROR(VLOOKUP($B1048,Agents!$A:$D,2,0),"-")</f>
        <v>Accessibilité</v>
      </c>
      <c r="Q1048" s="21" t="n">
        <v>46280</v>
      </c>
      <c r="R1048" s="8" t="n">
        <f aca="false">IF(M1048="Abs",O1048,0)</f>
        <v>0</v>
      </c>
      <c r="S1048" s="8" t="n">
        <f aca="false">SUM(R1048,L1048,I1048,J1048,W1048,H1048)</f>
        <v>0</v>
      </c>
      <c r="T1048" s="6" t="str">
        <f aca="false">"Sem - "&amp;WEEKNUM(Q1048,21)</f>
        <v>Sem - 38</v>
      </c>
      <c r="U1048" s="6" t="str">
        <f aca="false">CHOOSE(MONTH(Q1048),"Janvier","Février","Mars","Avril","Mai","Juin","Juillet","Août","Septembre","Octobre","Novembre","Décembre")</f>
        <v>Septembre</v>
      </c>
      <c r="V1048" s="22" t="n">
        <f aca="false">YEAR(Q1048)</f>
        <v>2026</v>
      </c>
      <c r="W1048" s="20"/>
      <c r="X1048" s="8" t="n">
        <f aca="false">IFERROR(IF(M1048="Abs",0,IF(ROUND((D1048-C1048+E1048-F1048)*1440,0)&lt;=1,0,D1048-C1048+E1048-F1048)),0)</f>
        <v>0.00347222222222222</v>
      </c>
      <c r="Y1048" s="6" t="str">
        <f aca="false">IFERROR(VLOOKUP($B1048,Agents!$A:$D,3,0),"-")</f>
        <v>OUBRAHIM Mohammed</v>
      </c>
      <c r="Z1048" s="6" t="str">
        <f aca="false">IFERROR(VLOOKUP($B1048,Agents!$A:$D,4,0),"-")</f>
        <v>Credit Mutuel</v>
      </c>
      <c r="AA1048" s="18" t="s">
        <v>120</v>
      </c>
      <c r="AB1048" s="8" t="str">
        <f aca="false">IF(AND(D1048="Congé",F1048="Congé"),0.333333333333333,IF(OR(AND(D1048="Congé",F1048&lt;&gt;"Congé"),(AND(F1048="Congé",D1048&lt;&gt;"Congé"))),0.166666666666667,""))</f>
        <v/>
      </c>
      <c r="AC1048" s="8" t="str">
        <f aca="false">IF(AND(D1048="Congé sans solde",F1048="Congé sans solde"),0.333333333333333,IF(OR(AND(D1048="Congé sans solde",F1048&lt;&gt;"Congé sans solde"),(AND(F1048="Congé sans solde",D1048&lt;&gt;"Congé sans solde"))),0.166666666666667,""))</f>
        <v/>
      </c>
      <c r="AD1048" s="8" t="str">
        <f aca="false">IF(AND(D1048="Congé spécial",F1048="Congé spécial"),0.333333333333333,IF(OR(AND(D1048="Congé spécial",F1048&lt;&gt;"Congé spécial"),AND(F1048="Congé spécial",D1048&lt;&gt;"Congé spécial")),0.166666666666667,""))</f>
        <v/>
      </c>
      <c r="AE1048" s="8" t="str">
        <f aca="false">IF(AND(D1048="Férié",F1048="Férié"),0.333333333333333,IF(OR(AND(D1048="Férié",F1048&lt;&gt;"Férié"),(AND(F1048="Férié",D1048&lt;&gt;"Férié"))),0.166666666666667,""))</f>
        <v/>
      </c>
      <c r="AF1048" s="18"/>
      <c r="AG1048" s="18"/>
    </row>
    <row r="1049" customFormat="false" ht="15" hidden="false" customHeight="false" outlineLevel="0" collapsed="false">
      <c r="A1049" s="6" t="str">
        <f aca="false">YEAR(Q1049-WEEKDAY(Q1049,2)+4)&amp;"-S"&amp;TEXT(WEEKNUM(Q1049,21),"00")</f>
        <v>2026-S38</v>
      </c>
      <c r="B1049" s="18" t="s">
        <v>72</v>
      </c>
      <c r="C1049" s="19" t="n">
        <v>0.329861111111111</v>
      </c>
      <c r="D1049" s="19" t="n">
        <v>0.333333333333333</v>
      </c>
      <c r="E1049" s="19" t="n">
        <v>0.75</v>
      </c>
      <c r="F1049" s="19" t="n">
        <v>0.75</v>
      </c>
      <c r="G1049" s="20"/>
      <c r="H1049" s="20"/>
      <c r="I1049" s="8" t="str">
        <f aca="false">IF(IF(OR(C1049="",D1049="Congé",D1049="OFF",D1049="Congé spécial"),"",IF(D1049&gt;F1049,D1049-C1049,IF(C1049-D1049&lt;0,0,C1049-D1049)))&lt;0.00068287037037037,"",IF(OR(D1049="Congé",D1049="OFF",C1049="",D1049="Congé spécial"),"",IF(D1049&gt;F1049,D1049-C1049,IF(C1049-D1049&lt;0,0,C1049-D1049))))</f>
        <v/>
      </c>
      <c r="J1049" s="20"/>
      <c r="K1049" s="8" t="n">
        <f aca="false">IF(SUM(H1049:J1049)&lt;0.00068287037037037,0,SUM(H1049:J1049))</f>
        <v>0</v>
      </c>
      <c r="L1049" s="8" t="n">
        <f aca="false">IF(OR(F1049="Congé",F1049="OFF",M1049="Abs",F1049="Congé sans solde",F1049="Férié",F1049="Congé spécial",D1049="Congé spécial"),0,IF(F1049-E1049&lt;0,0,IF(F1049-E1049&lt;=0.00068287037037037,0,F1049-E1049)))</f>
        <v>0</v>
      </c>
      <c r="M1049" s="6" t="n">
        <f aca="false">IF(AND(O1049&lt;&gt;0,C1049=""),"Abs",0)</f>
        <v>0</v>
      </c>
      <c r="N1049" s="8" t="n">
        <f aca="false">IFERROR(IF(OR(D1049="OFF",D1049="Congé",M1049="Abs",D1049="Congé sans solde",D1049="Férié"),"",IF(O1049-K1049-L1049&gt;O1049,O1049,IF(O1049-K1049-L1049&lt;0,"",O1049-K1049-L1049))),"")</f>
        <v>0.375</v>
      </c>
      <c r="O1049" s="8" t="n">
        <f aca="false">IF(AG1049="2H Pause déjeuner",IF(F1049-D1049-0.0833333333333333&lt;0,F1049-D1049-0.0833333333333333+1,F1049-D1049-0.0833333333333333),IF(OR(AND(F1049="OFF",D1049="OFF"),AND(F1049="Congé",D1049="Congé"),AND(F1049="Congé sans solde",D1049="Congé sans solde"),AND(F1049="Congé spécial",D1049="Congé spécial"),AND(F1049="Férié",D1049="Férié"),AND(F1049="OFF",D1049="Congé"),AND(F1049="OFF",D1049="Congé sans solde"),AND(F1049="OFF",D1049="Congé spécial"),AND(F1049="OFF",D1049="Férié"),AND(F1049="Congé",D1049="OFF"),AND(F1049="Congé",D1049="Congé sans solde"),AND(F1049="Congé",D1049="Congé spécial"),AND(F1049="Congé",D1049="Férié"),AND(F1049="Congé sans solde",D1049="OFF"),AND(F1049="Congé sans solde",D1049="Congé"),AND(F1049="Congé sans solde",D1049="Congé spécial"),AND(F1049="Congé sans solde",D1049="Férié"),AND(F1049="Congé spécial",D1049="OFF"),AND(F1049="Congé spécial",D1049="Congé"),AND(F1049="Congé spécial",D1049="Congé sans solde"),AND(F1049="Congé spécial",D1049="Férié"),AND(F1049="Férié",D1049="OFF"),AND(F1049="Férié",D1049="Congé"),AND(F1049="Férié",D1049="Congé sans solde"),AND(F1049="Férié",D1049="Congé spécial")),0,IF(OR(F1049="OFF",F1049="Congé",F1049="Congé spécial",F1049="Congé sans solde",D1049="OFF",D1049="Congé",D1049="Congé spécial",D1049="Congé sans solde"),0.208333333333334,IF(AND(AG1049="",F1049-D1049&lt;0),("24:00:00"-D1049)+("00:00:00"+F1049)-0.0416666666666667,IF(AND(OR(AG1049="Allaitement",AG1049="Sans déjeuner"),F1049-D1049&lt;0),("24:00:00"-D1049)+("00:00:00"+F1049),IF(AND(AG1049="",F1049-D1049&gt;0.166666666666667),F1049-D1049-0.0416666666666667,IF(AND(OR(AG1049="Allaitement",AG1049="Sans déjeuner"),F1049-D1049&gt;0.166666666666667),F1049-D1049,F1049-D1049)))))))</f>
        <v>0.375</v>
      </c>
      <c r="P1049" s="6" t="str">
        <f aca="false">IFERROR(VLOOKUP($B1049,Agents!$A:$D,2,0),"-")</f>
        <v>Accessibilité</v>
      </c>
      <c r="Q1049" s="21" t="n">
        <v>46280</v>
      </c>
      <c r="R1049" s="8" t="n">
        <f aca="false">IF(M1049="Abs",O1049,0)</f>
        <v>0</v>
      </c>
      <c r="S1049" s="8" t="n">
        <f aca="false">SUM(R1049,L1049,I1049,J1049,W1049,H1049)</f>
        <v>0</v>
      </c>
      <c r="T1049" s="6" t="str">
        <f aca="false">"Sem - "&amp;WEEKNUM(Q1049,21)</f>
        <v>Sem - 38</v>
      </c>
      <c r="U1049" s="6" t="str">
        <f aca="false">CHOOSE(MONTH(Q1049),"Janvier","Février","Mars","Avril","Mai","Juin","Juillet","Août","Septembre","Octobre","Novembre","Décembre")</f>
        <v>Septembre</v>
      </c>
      <c r="V1049" s="22" t="n">
        <f aca="false">YEAR(Q1049)</f>
        <v>2026</v>
      </c>
      <c r="W1049" s="20"/>
      <c r="X1049" s="8" t="n">
        <f aca="false">IFERROR(IF(M1049="Abs",0,IF(ROUND((D1049-C1049+E1049-F1049)*1440,0)&lt;=1,0,D1049-C1049+E1049-F1049)),0)</f>
        <v>0.00347222222222222</v>
      </c>
      <c r="Y1049" s="6" t="str">
        <f aca="false">IFERROR(VLOOKUP($B1049,Agents!$A:$D,3,0),"-")</f>
        <v>OUBRAHIM Mohammed</v>
      </c>
      <c r="Z1049" s="6" t="str">
        <f aca="false">IFERROR(VLOOKUP($B1049,Agents!$A:$D,4,0),"-")</f>
        <v>Credit Mutuel</v>
      </c>
      <c r="AA1049" s="18" t="s">
        <v>120</v>
      </c>
      <c r="AB1049" s="8" t="str">
        <f aca="false">IF(AND(D1049="Congé",F1049="Congé"),0.333333333333333,IF(OR(AND(D1049="Congé",F1049&lt;&gt;"Congé"),(AND(F1049="Congé",D1049&lt;&gt;"Congé"))),0.166666666666667,""))</f>
        <v/>
      </c>
      <c r="AC1049" s="8" t="str">
        <f aca="false">IF(AND(D1049="Congé sans solde",F1049="Congé sans solde"),0.333333333333333,IF(OR(AND(D1049="Congé sans solde",F1049&lt;&gt;"Congé sans solde"),(AND(F1049="Congé sans solde",D1049&lt;&gt;"Congé sans solde"))),0.166666666666667,""))</f>
        <v/>
      </c>
      <c r="AD1049" s="8" t="str">
        <f aca="false">IF(AND(D1049="Congé spécial",F1049="Congé spécial"),0.333333333333333,IF(OR(AND(D1049="Congé spécial",F1049&lt;&gt;"Congé spécial"),AND(F1049="Congé spécial",D1049&lt;&gt;"Congé spécial")),0.166666666666667,""))</f>
        <v/>
      </c>
      <c r="AE1049" s="8" t="str">
        <f aca="false">IF(AND(D1049="Férié",F1049="Férié"),0.333333333333333,IF(OR(AND(D1049="Férié",F1049&lt;&gt;"Férié"),(AND(F1049="Férié",D1049&lt;&gt;"Férié"))),0.166666666666667,""))</f>
        <v/>
      </c>
      <c r="AF1049" s="18"/>
      <c r="AG1049" s="18"/>
    </row>
    <row r="1050" customFormat="false" ht="15" hidden="false" customHeight="false" outlineLevel="0" collapsed="false">
      <c r="A1050" s="6" t="str">
        <f aca="false">YEAR(Q1050-WEEKDAY(Q1050,2)+4)&amp;"-S"&amp;TEXT(WEEKNUM(Q1050,21),"00")</f>
        <v>2026-S38</v>
      </c>
      <c r="B1050" s="18" t="s">
        <v>73</v>
      </c>
      <c r="C1050" s="19" t="n">
        <v>0.330555555555556</v>
      </c>
      <c r="D1050" s="19" t="n">
        <v>0.333333333333333</v>
      </c>
      <c r="E1050" s="19" t="n">
        <v>0.75</v>
      </c>
      <c r="F1050" s="19" t="n">
        <v>0.75</v>
      </c>
      <c r="G1050" s="20"/>
      <c r="H1050" s="20"/>
      <c r="I1050" s="8" t="str">
        <f aca="false">IF(IF(OR(C1050="",D1050="Congé",D1050="OFF",D1050="Congé spécial"),"",IF(D1050&gt;F1050,D1050-C1050,IF(C1050-D1050&lt;0,0,C1050-D1050)))&lt;0.00068287037037037,"",IF(OR(D1050="Congé",D1050="OFF",C1050="",D1050="Congé spécial"),"",IF(D1050&gt;F1050,D1050-C1050,IF(C1050-D1050&lt;0,0,C1050-D1050))))</f>
        <v/>
      </c>
      <c r="J1050" s="20"/>
      <c r="K1050" s="8" t="n">
        <f aca="false">IF(SUM(H1050:J1050)&lt;0.00068287037037037,0,SUM(H1050:J1050))</f>
        <v>0</v>
      </c>
      <c r="L1050" s="8" t="n">
        <f aca="false">IF(OR(F1050="Congé",F1050="OFF",M1050="Abs",F1050="Congé sans solde",F1050="Férié",F1050="Congé spécial",D1050="Congé spécial"),0,IF(F1050-E1050&lt;0,0,IF(F1050-E1050&lt;=0.00068287037037037,0,F1050-E1050)))</f>
        <v>0</v>
      </c>
      <c r="M1050" s="6" t="n">
        <f aca="false">IF(AND(O1050&lt;&gt;0,C1050=""),"Abs",0)</f>
        <v>0</v>
      </c>
      <c r="N1050" s="8" t="n">
        <f aca="false">IFERROR(IF(OR(D1050="OFF",D1050="Congé",M1050="Abs",D1050="Congé sans solde",D1050="Férié"),"",IF(O1050-K1050-L1050&gt;O1050,O1050,IF(O1050-K1050-L1050&lt;0,"",O1050-K1050-L1050))),"")</f>
        <v>0.375</v>
      </c>
      <c r="O1050" s="8" t="n">
        <f aca="false">IF(AG1050="2H Pause déjeuner",IF(F1050-D1050-0.0833333333333333&lt;0,F1050-D1050-0.0833333333333333+1,F1050-D1050-0.0833333333333333),IF(OR(AND(F1050="OFF",D1050="OFF"),AND(F1050="Congé",D1050="Congé"),AND(F1050="Congé sans solde",D1050="Congé sans solde"),AND(F1050="Congé spécial",D1050="Congé spécial"),AND(F1050="Férié",D1050="Férié"),AND(F1050="OFF",D1050="Congé"),AND(F1050="OFF",D1050="Congé sans solde"),AND(F1050="OFF",D1050="Congé spécial"),AND(F1050="OFF",D1050="Férié"),AND(F1050="Congé",D1050="OFF"),AND(F1050="Congé",D1050="Congé sans solde"),AND(F1050="Congé",D1050="Congé spécial"),AND(F1050="Congé",D1050="Férié"),AND(F1050="Congé sans solde",D1050="OFF"),AND(F1050="Congé sans solde",D1050="Congé"),AND(F1050="Congé sans solde",D1050="Congé spécial"),AND(F1050="Congé sans solde",D1050="Férié"),AND(F1050="Congé spécial",D1050="OFF"),AND(F1050="Congé spécial",D1050="Congé"),AND(F1050="Congé spécial",D1050="Congé sans solde"),AND(F1050="Congé spécial",D1050="Férié"),AND(F1050="Férié",D1050="OFF"),AND(F1050="Férié",D1050="Congé"),AND(F1050="Férié",D1050="Congé sans solde"),AND(F1050="Férié",D1050="Congé spécial")),0,IF(OR(F1050="OFF",F1050="Congé",F1050="Congé spécial",F1050="Congé sans solde",D1050="OFF",D1050="Congé",D1050="Congé spécial",D1050="Congé sans solde"),0.208333333333334,IF(AND(AG1050="",F1050-D1050&lt;0),("24:00:00"-D1050)+("00:00:00"+F1050)-0.0416666666666667,IF(AND(OR(AG1050="Allaitement",AG1050="Sans déjeuner"),F1050-D1050&lt;0),("24:00:00"-D1050)+("00:00:00"+F1050),IF(AND(AG1050="",F1050-D1050&gt;0.166666666666667),F1050-D1050-0.0416666666666667,IF(AND(OR(AG1050="Allaitement",AG1050="Sans déjeuner"),F1050-D1050&gt;0.166666666666667),F1050-D1050,F1050-D1050)))))))</f>
        <v>0.375</v>
      </c>
      <c r="P1050" s="6" t="str">
        <f aca="false">IFERROR(VLOOKUP($B1050,Agents!$A:$D,2,0),"-")</f>
        <v>Accessibilité</v>
      </c>
      <c r="Q1050" s="21" t="n">
        <v>46280</v>
      </c>
      <c r="R1050" s="8" t="n">
        <f aca="false">IF(M1050="Abs",O1050,0)</f>
        <v>0</v>
      </c>
      <c r="S1050" s="8" t="n">
        <f aca="false">SUM(R1050,L1050,I1050,J1050,W1050,H1050)</f>
        <v>0</v>
      </c>
      <c r="T1050" s="6" t="str">
        <f aca="false">"Sem - "&amp;WEEKNUM(Q1050,21)</f>
        <v>Sem - 38</v>
      </c>
      <c r="U1050" s="6" t="str">
        <f aca="false">CHOOSE(MONTH(Q1050),"Janvier","Février","Mars","Avril","Mai","Juin","Juillet","Août","Septembre","Octobre","Novembre","Décembre")</f>
        <v>Septembre</v>
      </c>
      <c r="V1050" s="22" t="n">
        <f aca="false">YEAR(Q1050)</f>
        <v>2026</v>
      </c>
      <c r="W1050" s="20"/>
      <c r="X1050" s="8" t="n">
        <f aca="false">IFERROR(IF(M1050="Abs",0,IF(ROUND((D1050-C1050+E1050-F1050)*1440,0)&lt;=1,0,D1050-C1050+E1050-F1050)),0)</f>
        <v>0.00277777777777778</v>
      </c>
      <c r="Y1050" s="6" t="str">
        <f aca="false">IFERROR(VLOOKUP($B1050,Agents!$A:$D,3,0),"-")</f>
        <v>OUBRAHIM Mohammed</v>
      </c>
      <c r="Z1050" s="6" t="str">
        <f aca="false">IFERROR(VLOOKUP($B1050,Agents!$A:$D,4,0),"-")</f>
        <v>Credit Mutuel</v>
      </c>
      <c r="AA1050" s="18" t="s">
        <v>120</v>
      </c>
      <c r="AB1050" s="8" t="str">
        <f aca="false">IF(AND(D1050="Congé",F1050="Congé"),0.333333333333333,IF(OR(AND(D1050="Congé",F1050&lt;&gt;"Congé"),(AND(F1050="Congé",D1050&lt;&gt;"Congé"))),0.166666666666667,""))</f>
        <v/>
      </c>
      <c r="AC1050" s="8" t="str">
        <f aca="false">IF(AND(D1050="Congé sans solde",F1050="Congé sans solde"),0.333333333333333,IF(OR(AND(D1050="Congé sans solde",F1050&lt;&gt;"Congé sans solde"),(AND(F1050="Congé sans solde",D1050&lt;&gt;"Congé sans solde"))),0.166666666666667,""))</f>
        <v/>
      </c>
      <c r="AD1050" s="8" t="str">
        <f aca="false">IF(AND(D1050="Congé spécial",F1050="Congé spécial"),0.333333333333333,IF(OR(AND(D1050="Congé spécial",F1050&lt;&gt;"Congé spécial"),AND(F1050="Congé spécial",D1050&lt;&gt;"Congé spécial")),0.166666666666667,""))</f>
        <v/>
      </c>
      <c r="AE1050" s="8" t="str">
        <f aca="false">IF(AND(D1050="Férié",F1050="Férié"),0.333333333333333,IF(OR(AND(D1050="Férié",F1050&lt;&gt;"Férié"),(AND(F1050="Férié",D1050&lt;&gt;"Férié"))),0.166666666666667,""))</f>
        <v/>
      </c>
      <c r="AF1050" s="18"/>
      <c r="AG1050" s="18"/>
    </row>
    <row r="1051" customFormat="false" ht="15" hidden="false" customHeight="false" outlineLevel="0" collapsed="false">
      <c r="A1051" s="6" t="str">
        <f aca="false">YEAR(Q1051-WEEKDAY(Q1051,2)+4)&amp;"-S"&amp;TEXT(WEEKNUM(Q1051,21),"00")</f>
        <v>2026-S38</v>
      </c>
      <c r="B1051" s="18" t="s">
        <v>71</v>
      </c>
      <c r="C1051" s="19" t="n">
        <v>0.332638888888889</v>
      </c>
      <c r="D1051" s="19" t="n">
        <v>0.333333333333333</v>
      </c>
      <c r="E1051" s="19" t="n">
        <v>0.75</v>
      </c>
      <c r="F1051" s="19" t="n">
        <v>0.75</v>
      </c>
      <c r="G1051" s="20"/>
      <c r="H1051" s="20"/>
      <c r="I1051" s="8" t="str">
        <f aca="false">IF(IF(OR(C1051="",D1051="Congé",D1051="OFF",D1051="Congé spécial"),"",IF(D1051&gt;F1051,D1051-C1051,IF(C1051-D1051&lt;0,0,C1051-D1051)))&lt;0.00068287037037037,"",IF(OR(D1051="Congé",D1051="OFF",C1051="",D1051="Congé spécial"),"",IF(D1051&gt;F1051,D1051-C1051,IF(C1051-D1051&lt;0,0,C1051-D1051))))</f>
        <v/>
      </c>
      <c r="J1051" s="20"/>
      <c r="K1051" s="8" t="n">
        <f aca="false">IF(SUM(H1051:J1051)&lt;0.00068287037037037,0,SUM(H1051:J1051))</f>
        <v>0</v>
      </c>
      <c r="L1051" s="8" t="n">
        <f aca="false">IF(OR(F1051="Congé",F1051="OFF",M1051="Abs",F1051="Congé sans solde",F1051="Férié",F1051="Congé spécial",D1051="Congé spécial"),0,IF(F1051-E1051&lt;0,0,IF(F1051-E1051&lt;=0.00068287037037037,0,F1051-E1051)))</f>
        <v>0</v>
      </c>
      <c r="M1051" s="6" t="n">
        <f aca="false">IF(AND(O1051&lt;&gt;0,C1051=""),"Abs",0)</f>
        <v>0</v>
      </c>
      <c r="N1051" s="8" t="n">
        <f aca="false">IFERROR(IF(OR(D1051="OFF",D1051="Congé",M1051="Abs",D1051="Congé sans solde",D1051="Férié"),"",IF(O1051-K1051-L1051&gt;O1051,O1051,IF(O1051-K1051-L1051&lt;0,"",O1051-K1051-L1051))),"")</f>
        <v>0.375</v>
      </c>
      <c r="O1051" s="8" t="n">
        <f aca="false">IF(AG1051="2H Pause déjeuner",IF(F1051-D1051-0.0833333333333333&lt;0,F1051-D1051-0.0833333333333333+1,F1051-D1051-0.0833333333333333),IF(OR(AND(F1051="OFF",D1051="OFF"),AND(F1051="Congé",D1051="Congé"),AND(F1051="Congé sans solde",D1051="Congé sans solde"),AND(F1051="Congé spécial",D1051="Congé spécial"),AND(F1051="Férié",D1051="Férié"),AND(F1051="OFF",D1051="Congé"),AND(F1051="OFF",D1051="Congé sans solde"),AND(F1051="OFF",D1051="Congé spécial"),AND(F1051="OFF",D1051="Férié"),AND(F1051="Congé",D1051="OFF"),AND(F1051="Congé",D1051="Congé sans solde"),AND(F1051="Congé",D1051="Congé spécial"),AND(F1051="Congé",D1051="Férié"),AND(F1051="Congé sans solde",D1051="OFF"),AND(F1051="Congé sans solde",D1051="Congé"),AND(F1051="Congé sans solde",D1051="Congé spécial"),AND(F1051="Congé sans solde",D1051="Férié"),AND(F1051="Congé spécial",D1051="OFF"),AND(F1051="Congé spécial",D1051="Congé"),AND(F1051="Congé spécial",D1051="Congé sans solde"),AND(F1051="Congé spécial",D1051="Férié"),AND(F1051="Férié",D1051="OFF"),AND(F1051="Férié",D1051="Congé"),AND(F1051="Férié",D1051="Congé sans solde"),AND(F1051="Férié",D1051="Congé spécial")),0,IF(OR(F1051="OFF",F1051="Congé",F1051="Congé spécial",F1051="Congé sans solde",D1051="OFF",D1051="Congé",D1051="Congé spécial",D1051="Congé sans solde"),0.208333333333334,IF(AND(AG1051="",F1051-D1051&lt;0),("24:00:00"-D1051)+("00:00:00"+F1051)-0.0416666666666667,IF(AND(OR(AG1051="Allaitement",AG1051="Sans déjeuner"),F1051-D1051&lt;0),("24:00:00"-D1051)+("00:00:00"+F1051),IF(AND(AG1051="",F1051-D1051&gt;0.166666666666667),F1051-D1051-0.0416666666666667,IF(AND(OR(AG1051="Allaitement",AG1051="Sans déjeuner"),F1051-D1051&gt;0.166666666666667),F1051-D1051,F1051-D1051)))))))</f>
        <v>0.375</v>
      </c>
      <c r="P1051" s="6" t="str">
        <f aca="false">IFERROR(VLOOKUP($B1051,Agents!$A:$D,2,0),"-")</f>
        <v>Accessibilité</v>
      </c>
      <c r="Q1051" s="21" t="n">
        <v>46281</v>
      </c>
      <c r="R1051" s="8" t="n">
        <f aca="false">IF(M1051="Abs",O1051,0)</f>
        <v>0</v>
      </c>
      <c r="S1051" s="8" t="n">
        <f aca="false">SUM(R1051,L1051,I1051,J1051,W1051,H1051)</f>
        <v>0</v>
      </c>
      <c r="T1051" s="6" t="str">
        <f aca="false">"Sem - "&amp;WEEKNUM(Q1051,21)</f>
        <v>Sem - 38</v>
      </c>
      <c r="U1051" s="6" t="str">
        <f aca="false">CHOOSE(MONTH(Q1051),"Janvier","Février","Mars","Avril","Mai","Juin","Juillet","Août","Septembre","Octobre","Novembre","Décembre")</f>
        <v>Septembre</v>
      </c>
      <c r="V1051" s="22" t="n">
        <f aca="false">YEAR(Q1051)</f>
        <v>2026</v>
      </c>
      <c r="W1051" s="20"/>
      <c r="X1051" s="8" t="n">
        <f aca="false">IFERROR(IF(M1051="Abs",0,IF(ROUND((D1051-C1051+E1051-F1051)*1440,0)&lt;=1,0,D1051-C1051+E1051-F1051)),0)</f>
        <v>0</v>
      </c>
      <c r="Y1051" s="6" t="str">
        <f aca="false">IFERROR(VLOOKUP($B1051,Agents!$A:$D,3,0),"-")</f>
        <v>OUBRAHIM Mohammed</v>
      </c>
      <c r="Z1051" s="6" t="str">
        <f aca="false">IFERROR(VLOOKUP($B1051,Agents!$A:$D,4,0),"-")</f>
        <v>Credit Mutuel</v>
      </c>
      <c r="AA1051" s="18" t="s">
        <v>120</v>
      </c>
      <c r="AB1051" s="8" t="str">
        <f aca="false">IF(AND(D1051="Congé",F1051="Congé"),0.333333333333333,IF(OR(AND(D1051="Congé",F1051&lt;&gt;"Congé"),(AND(F1051="Congé",D1051&lt;&gt;"Congé"))),0.166666666666667,""))</f>
        <v/>
      </c>
      <c r="AC1051" s="8" t="str">
        <f aca="false">IF(AND(D1051="Congé sans solde",F1051="Congé sans solde"),0.333333333333333,IF(OR(AND(D1051="Congé sans solde",F1051&lt;&gt;"Congé sans solde"),(AND(F1051="Congé sans solde",D1051&lt;&gt;"Congé sans solde"))),0.166666666666667,""))</f>
        <v/>
      </c>
      <c r="AD1051" s="8" t="str">
        <f aca="false">IF(AND(D1051="Congé spécial",F1051="Congé spécial"),0.333333333333333,IF(OR(AND(D1051="Congé spécial",F1051&lt;&gt;"Congé spécial"),AND(F1051="Congé spécial",D1051&lt;&gt;"Congé spécial")),0.166666666666667,""))</f>
        <v/>
      </c>
      <c r="AE1051" s="8" t="str">
        <f aca="false">IF(AND(D1051="Férié",F1051="Férié"),0.333333333333333,IF(OR(AND(D1051="Férié",F1051&lt;&gt;"Férié"),(AND(F1051="Férié",D1051&lt;&gt;"Férié"))),0.166666666666667,""))</f>
        <v/>
      </c>
      <c r="AF1051" s="18"/>
      <c r="AG1051" s="18"/>
    </row>
    <row r="1052" customFormat="false" ht="15" hidden="false" customHeight="false" outlineLevel="0" collapsed="false">
      <c r="A1052" s="6" t="str">
        <f aca="false">YEAR(Q1052-WEEKDAY(Q1052,2)+4)&amp;"-S"&amp;TEXT(WEEKNUM(Q1052,21),"00")</f>
        <v>2026-S38</v>
      </c>
      <c r="B1052" s="18" t="s">
        <v>72</v>
      </c>
      <c r="C1052" s="19" t="n">
        <v>0.330555555555556</v>
      </c>
      <c r="D1052" s="19" t="n">
        <v>0.333333333333333</v>
      </c>
      <c r="E1052" s="19" t="n">
        <v>0.75</v>
      </c>
      <c r="F1052" s="19" t="n">
        <v>0.75</v>
      </c>
      <c r="G1052" s="20"/>
      <c r="H1052" s="20"/>
      <c r="I1052" s="8" t="str">
        <f aca="false">IF(IF(OR(C1052="",D1052="Congé",D1052="OFF",D1052="Congé spécial"),"",IF(D1052&gt;F1052,D1052-C1052,IF(C1052-D1052&lt;0,0,C1052-D1052)))&lt;0.00068287037037037,"",IF(OR(D1052="Congé",D1052="OFF",C1052="",D1052="Congé spécial"),"",IF(D1052&gt;F1052,D1052-C1052,IF(C1052-D1052&lt;0,0,C1052-D1052))))</f>
        <v/>
      </c>
      <c r="J1052" s="20"/>
      <c r="K1052" s="8" t="n">
        <f aca="false">IF(SUM(H1052:J1052)&lt;0.00068287037037037,0,SUM(H1052:J1052))</f>
        <v>0</v>
      </c>
      <c r="L1052" s="8" t="n">
        <f aca="false">IF(OR(F1052="Congé",F1052="OFF",M1052="Abs",F1052="Congé sans solde",F1052="Férié",F1052="Congé spécial",D1052="Congé spécial"),0,IF(F1052-E1052&lt;0,0,IF(F1052-E1052&lt;=0.00068287037037037,0,F1052-E1052)))</f>
        <v>0</v>
      </c>
      <c r="M1052" s="6" t="n">
        <f aca="false">IF(AND(O1052&lt;&gt;0,C1052=""),"Abs",0)</f>
        <v>0</v>
      </c>
      <c r="N1052" s="8" t="n">
        <f aca="false">IFERROR(IF(OR(D1052="OFF",D1052="Congé",M1052="Abs",D1052="Congé sans solde",D1052="Férié"),"",IF(O1052-K1052-L1052&gt;O1052,O1052,IF(O1052-K1052-L1052&lt;0,"",O1052-K1052-L1052))),"")</f>
        <v>0.375</v>
      </c>
      <c r="O1052" s="8" t="n">
        <f aca="false">IF(AG1052="2H Pause déjeuner",IF(F1052-D1052-0.0833333333333333&lt;0,F1052-D1052-0.0833333333333333+1,F1052-D1052-0.0833333333333333),IF(OR(AND(F1052="OFF",D1052="OFF"),AND(F1052="Congé",D1052="Congé"),AND(F1052="Congé sans solde",D1052="Congé sans solde"),AND(F1052="Congé spécial",D1052="Congé spécial"),AND(F1052="Férié",D1052="Férié"),AND(F1052="OFF",D1052="Congé"),AND(F1052="OFF",D1052="Congé sans solde"),AND(F1052="OFF",D1052="Congé spécial"),AND(F1052="OFF",D1052="Férié"),AND(F1052="Congé",D1052="OFF"),AND(F1052="Congé",D1052="Congé sans solde"),AND(F1052="Congé",D1052="Congé spécial"),AND(F1052="Congé",D1052="Férié"),AND(F1052="Congé sans solde",D1052="OFF"),AND(F1052="Congé sans solde",D1052="Congé"),AND(F1052="Congé sans solde",D1052="Congé spécial"),AND(F1052="Congé sans solde",D1052="Férié"),AND(F1052="Congé spécial",D1052="OFF"),AND(F1052="Congé spécial",D1052="Congé"),AND(F1052="Congé spécial",D1052="Congé sans solde"),AND(F1052="Congé spécial",D1052="Férié"),AND(F1052="Férié",D1052="OFF"),AND(F1052="Férié",D1052="Congé"),AND(F1052="Férié",D1052="Congé sans solde"),AND(F1052="Férié",D1052="Congé spécial")),0,IF(OR(F1052="OFF",F1052="Congé",F1052="Congé spécial",F1052="Congé sans solde",D1052="OFF",D1052="Congé",D1052="Congé spécial",D1052="Congé sans solde"),0.208333333333334,IF(AND(AG1052="",F1052-D1052&lt;0),("24:00:00"-D1052)+("00:00:00"+F1052)-0.0416666666666667,IF(AND(OR(AG1052="Allaitement",AG1052="Sans déjeuner"),F1052-D1052&lt;0),("24:00:00"-D1052)+("00:00:00"+F1052),IF(AND(AG1052="",F1052-D1052&gt;0.166666666666667),F1052-D1052-0.0416666666666667,IF(AND(OR(AG1052="Allaitement",AG1052="Sans déjeuner"),F1052-D1052&gt;0.166666666666667),F1052-D1052,F1052-D1052)))))))</f>
        <v>0.375</v>
      </c>
      <c r="P1052" s="6" t="str">
        <f aca="false">IFERROR(VLOOKUP($B1052,Agents!$A:$D,2,0),"-")</f>
        <v>Accessibilité</v>
      </c>
      <c r="Q1052" s="21" t="n">
        <v>46281</v>
      </c>
      <c r="R1052" s="8" t="n">
        <f aca="false">IF(M1052="Abs",O1052,0)</f>
        <v>0</v>
      </c>
      <c r="S1052" s="8" t="n">
        <f aca="false">SUM(R1052,L1052,I1052,J1052,W1052,H1052)</f>
        <v>0</v>
      </c>
      <c r="T1052" s="6" t="str">
        <f aca="false">"Sem - "&amp;WEEKNUM(Q1052,21)</f>
        <v>Sem - 38</v>
      </c>
      <c r="U1052" s="6" t="str">
        <f aca="false">CHOOSE(MONTH(Q1052),"Janvier","Février","Mars","Avril","Mai","Juin","Juillet","Août","Septembre","Octobre","Novembre","Décembre")</f>
        <v>Septembre</v>
      </c>
      <c r="V1052" s="22" t="n">
        <f aca="false">YEAR(Q1052)</f>
        <v>2026</v>
      </c>
      <c r="W1052" s="20"/>
      <c r="X1052" s="8" t="n">
        <f aca="false">IFERROR(IF(M1052="Abs",0,IF(ROUND((D1052-C1052+E1052-F1052)*1440,0)&lt;=1,0,D1052-C1052+E1052-F1052)),0)</f>
        <v>0.00277777777777778</v>
      </c>
      <c r="Y1052" s="6" t="str">
        <f aca="false">IFERROR(VLOOKUP($B1052,Agents!$A:$D,3,0),"-")</f>
        <v>OUBRAHIM Mohammed</v>
      </c>
      <c r="Z1052" s="6" t="str">
        <f aca="false">IFERROR(VLOOKUP($B1052,Agents!$A:$D,4,0),"-")</f>
        <v>Credit Mutuel</v>
      </c>
      <c r="AA1052" s="18" t="s">
        <v>120</v>
      </c>
      <c r="AB1052" s="8" t="str">
        <f aca="false">IF(AND(D1052="Congé",F1052="Congé"),0.333333333333333,IF(OR(AND(D1052="Congé",F1052&lt;&gt;"Congé"),(AND(F1052="Congé",D1052&lt;&gt;"Congé"))),0.166666666666667,""))</f>
        <v/>
      </c>
      <c r="AC1052" s="8" t="str">
        <f aca="false">IF(AND(D1052="Congé sans solde",F1052="Congé sans solde"),0.333333333333333,IF(OR(AND(D1052="Congé sans solde",F1052&lt;&gt;"Congé sans solde"),(AND(F1052="Congé sans solde",D1052&lt;&gt;"Congé sans solde"))),0.166666666666667,""))</f>
        <v/>
      </c>
      <c r="AD1052" s="8" t="str">
        <f aca="false">IF(AND(D1052="Congé spécial",F1052="Congé spécial"),0.333333333333333,IF(OR(AND(D1052="Congé spécial",F1052&lt;&gt;"Congé spécial"),AND(F1052="Congé spécial",D1052&lt;&gt;"Congé spécial")),0.166666666666667,""))</f>
        <v/>
      </c>
      <c r="AE1052" s="8" t="str">
        <f aca="false">IF(AND(D1052="Férié",F1052="Férié"),0.333333333333333,IF(OR(AND(D1052="Férié",F1052&lt;&gt;"Férié"),(AND(F1052="Férié",D1052&lt;&gt;"Férié"))),0.166666666666667,""))</f>
        <v/>
      </c>
      <c r="AF1052" s="18"/>
      <c r="AG1052" s="18"/>
    </row>
    <row r="1053" customFormat="false" ht="15" hidden="false" customHeight="false" outlineLevel="0" collapsed="false">
      <c r="A1053" s="6" t="str">
        <f aca="false">YEAR(Q1053-WEEKDAY(Q1053,2)+4)&amp;"-S"&amp;TEXT(WEEKNUM(Q1053,21),"00")</f>
        <v>2026-S38</v>
      </c>
      <c r="B1053" s="18" t="s">
        <v>73</v>
      </c>
      <c r="C1053" s="19" t="n">
        <v>0.330555555555556</v>
      </c>
      <c r="D1053" s="19" t="n">
        <v>0.333333333333333</v>
      </c>
      <c r="E1053" s="19" t="n">
        <v>0.75</v>
      </c>
      <c r="F1053" s="19" t="n">
        <v>0.75</v>
      </c>
      <c r="G1053" s="20"/>
      <c r="H1053" s="20"/>
      <c r="I1053" s="8" t="str">
        <f aca="false">IF(IF(OR(C1053="",D1053="Congé",D1053="OFF",D1053="Congé spécial"),"",IF(D1053&gt;F1053,D1053-C1053,IF(C1053-D1053&lt;0,0,C1053-D1053)))&lt;0.00068287037037037,"",IF(OR(D1053="Congé",D1053="OFF",C1053="",D1053="Congé spécial"),"",IF(D1053&gt;F1053,D1053-C1053,IF(C1053-D1053&lt;0,0,C1053-D1053))))</f>
        <v/>
      </c>
      <c r="J1053" s="20"/>
      <c r="K1053" s="8" t="n">
        <f aca="false">IF(SUM(H1053:J1053)&lt;0.00068287037037037,0,SUM(H1053:J1053))</f>
        <v>0</v>
      </c>
      <c r="L1053" s="8" t="n">
        <f aca="false">IF(OR(F1053="Congé",F1053="OFF",M1053="Abs",F1053="Congé sans solde",F1053="Férié",F1053="Congé spécial",D1053="Congé spécial"),0,IF(F1053-E1053&lt;0,0,IF(F1053-E1053&lt;=0.00068287037037037,0,F1053-E1053)))</f>
        <v>0</v>
      </c>
      <c r="M1053" s="6" t="n">
        <f aca="false">IF(AND(O1053&lt;&gt;0,C1053=""),"Abs",0)</f>
        <v>0</v>
      </c>
      <c r="N1053" s="8" t="n">
        <f aca="false">IFERROR(IF(OR(D1053="OFF",D1053="Congé",M1053="Abs",D1053="Congé sans solde",D1053="Férié"),"",IF(O1053-K1053-L1053&gt;O1053,O1053,IF(O1053-K1053-L1053&lt;0,"",O1053-K1053-L1053))),"")</f>
        <v>0.375</v>
      </c>
      <c r="O1053" s="8" t="n">
        <f aca="false">IF(AG1053="2H Pause déjeuner",IF(F1053-D1053-0.0833333333333333&lt;0,F1053-D1053-0.0833333333333333+1,F1053-D1053-0.0833333333333333),IF(OR(AND(F1053="OFF",D1053="OFF"),AND(F1053="Congé",D1053="Congé"),AND(F1053="Congé sans solde",D1053="Congé sans solde"),AND(F1053="Congé spécial",D1053="Congé spécial"),AND(F1053="Férié",D1053="Férié"),AND(F1053="OFF",D1053="Congé"),AND(F1053="OFF",D1053="Congé sans solde"),AND(F1053="OFF",D1053="Congé spécial"),AND(F1053="OFF",D1053="Férié"),AND(F1053="Congé",D1053="OFF"),AND(F1053="Congé",D1053="Congé sans solde"),AND(F1053="Congé",D1053="Congé spécial"),AND(F1053="Congé",D1053="Férié"),AND(F1053="Congé sans solde",D1053="OFF"),AND(F1053="Congé sans solde",D1053="Congé"),AND(F1053="Congé sans solde",D1053="Congé spécial"),AND(F1053="Congé sans solde",D1053="Férié"),AND(F1053="Congé spécial",D1053="OFF"),AND(F1053="Congé spécial",D1053="Congé"),AND(F1053="Congé spécial",D1053="Congé sans solde"),AND(F1053="Congé spécial",D1053="Férié"),AND(F1053="Férié",D1053="OFF"),AND(F1053="Férié",D1053="Congé"),AND(F1053="Férié",D1053="Congé sans solde"),AND(F1053="Férié",D1053="Congé spécial")),0,IF(OR(F1053="OFF",F1053="Congé",F1053="Congé spécial",F1053="Congé sans solde",D1053="OFF",D1053="Congé",D1053="Congé spécial",D1053="Congé sans solde"),0.208333333333334,IF(AND(AG1053="",F1053-D1053&lt;0),("24:00:00"-D1053)+("00:00:00"+F1053)-0.0416666666666667,IF(AND(OR(AG1053="Allaitement",AG1053="Sans déjeuner"),F1053-D1053&lt;0),("24:00:00"-D1053)+("00:00:00"+F1053),IF(AND(AG1053="",F1053-D1053&gt;0.166666666666667),F1053-D1053-0.0416666666666667,IF(AND(OR(AG1053="Allaitement",AG1053="Sans déjeuner"),F1053-D1053&gt;0.166666666666667),F1053-D1053,F1053-D1053)))))))</f>
        <v>0.375</v>
      </c>
      <c r="P1053" s="6" t="str">
        <f aca="false">IFERROR(VLOOKUP($B1053,Agents!$A:$D,2,0),"-")</f>
        <v>Accessibilité</v>
      </c>
      <c r="Q1053" s="21" t="n">
        <v>46281</v>
      </c>
      <c r="R1053" s="8" t="n">
        <f aca="false">IF(M1053="Abs",O1053,0)</f>
        <v>0</v>
      </c>
      <c r="S1053" s="8" t="n">
        <f aca="false">SUM(R1053,L1053,I1053,J1053,W1053,H1053)</f>
        <v>0</v>
      </c>
      <c r="T1053" s="6" t="str">
        <f aca="false">"Sem - "&amp;WEEKNUM(Q1053,21)</f>
        <v>Sem - 38</v>
      </c>
      <c r="U1053" s="6" t="str">
        <f aca="false">CHOOSE(MONTH(Q1053),"Janvier","Février","Mars","Avril","Mai","Juin","Juillet","Août","Septembre","Octobre","Novembre","Décembre")</f>
        <v>Septembre</v>
      </c>
      <c r="V1053" s="22" t="n">
        <f aca="false">YEAR(Q1053)</f>
        <v>2026</v>
      </c>
      <c r="W1053" s="20"/>
      <c r="X1053" s="8" t="n">
        <f aca="false">IFERROR(IF(M1053="Abs",0,IF(ROUND((D1053-C1053+E1053-F1053)*1440,0)&lt;=1,0,D1053-C1053+E1053-F1053)),0)</f>
        <v>0.00277777777777778</v>
      </c>
      <c r="Y1053" s="6" t="str">
        <f aca="false">IFERROR(VLOOKUP($B1053,Agents!$A:$D,3,0),"-")</f>
        <v>OUBRAHIM Mohammed</v>
      </c>
      <c r="Z1053" s="6" t="str">
        <f aca="false">IFERROR(VLOOKUP($B1053,Agents!$A:$D,4,0),"-")</f>
        <v>Credit Mutuel</v>
      </c>
      <c r="AA1053" s="18" t="s">
        <v>120</v>
      </c>
      <c r="AB1053" s="8" t="str">
        <f aca="false">IF(AND(D1053="Congé",F1053="Congé"),0.333333333333333,IF(OR(AND(D1053="Congé",F1053&lt;&gt;"Congé"),(AND(F1053="Congé",D1053&lt;&gt;"Congé"))),0.166666666666667,""))</f>
        <v/>
      </c>
      <c r="AC1053" s="8" t="str">
        <f aca="false">IF(AND(D1053="Congé sans solde",F1053="Congé sans solde"),0.333333333333333,IF(OR(AND(D1053="Congé sans solde",F1053&lt;&gt;"Congé sans solde"),(AND(F1053="Congé sans solde",D1053&lt;&gt;"Congé sans solde"))),0.166666666666667,""))</f>
        <v/>
      </c>
      <c r="AD1053" s="8" t="str">
        <f aca="false">IF(AND(D1053="Congé spécial",F1053="Congé spécial"),0.333333333333333,IF(OR(AND(D1053="Congé spécial",F1053&lt;&gt;"Congé spécial"),AND(F1053="Congé spécial",D1053&lt;&gt;"Congé spécial")),0.166666666666667,""))</f>
        <v/>
      </c>
      <c r="AE1053" s="8" t="str">
        <f aca="false">IF(AND(D1053="Férié",F1053="Férié"),0.333333333333333,IF(OR(AND(D1053="Férié",F1053&lt;&gt;"Férié"),(AND(F1053="Férié",D1053&lt;&gt;"Férié"))),0.166666666666667,""))</f>
        <v/>
      </c>
      <c r="AF1053" s="18"/>
      <c r="AG1053" s="18"/>
    </row>
    <row r="1054" customFormat="false" ht="15" hidden="false" customHeight="false" outlineLevel="0" collapsed="false">
      <c r="A1054" s="6" t="str">
        <f aca="false">YEAR(Q1054-WEEKDAY(Q1054,2)+4)&amp;"-S"&amp;TEXT(WEEKNUM(Q1054,21),"00")</f>
        <v>2026-S38</v>
      </c>
      <c r="B1054" s="18" t="s">
        <v>71</v>
      </c>
      <c r="C1054" s="19" t="n">
        <v>0.330555555555556</v>
      </c>
      <c r="D1054" s="19" t="n">
        <v>0.333333333333333</v>
      </c>
      <c r="E1054" s="19" t="n">
        <v>0.75</v>
      </c>
      <c r="F1054" s="19" t="n">
        <v>0.75</v>
      </c>
      <c r="G1054" s="20"/>
      <c r="H1054" s="20"/>
      <c r="I1054" s="8" t="str">
        <f aca="false">IF(IF(OR(C1054="",D1054="Congé",D1054="OFF",D1054="Congé spécial"),"",IF(D1054&gt;F1054,D1054-C1054,IF(C1054-D1054&lt;0,0,C1054-D1054)))&lt;0.00068287037037037,"",IF(OR(D1054="Congé",D1054="OFF",C1054="",D1054="Congé spécial"),"",IF(D1054&gt;F1054,D1054-C1054,IF(C1054-D1054&lt;0,0,C1054-D1054))))</f>
        <v/>
      </c>
      <c r="J1054" s="20"/>
      <c r="K1054" s="8" t="n">
        <f aca="false">IF(SUM(H1054:J1054)&lt;0.00068287037037037,0,SUM(H1054:J1054))</f>
        <v>0</v>
      </c>
      <c r="L1054" s="8" t="n">
        <f aca="false">IF(OR(F1054="Congé",F1054="OFF",M1054="Abs",F1054="Congé sans solde",F1054="Férié",F1054="Congé spécial",D1054="Congé spécial"),0,IF(F1054-E1054&lt;0,0,IF(F1054-E1054&lt;=0.00068287037037037,0,F1054-E1054)))</f>
        <v>0</v>
      </c>
      <c r="M1054" s="6" t="n">
        <f aca="false">IF(AND(O1054&lt;&gt;0,C1054=""),"Abs",0)</f>
        <v>0</v>
      </c>
      <c r="N1054" s="8" t="n">
        <f aca="false">IFERROR(IF(OR(D1054="OFF",D1054="Congé",M1054="Abs",D1054="Congé sans solde",D1054="Férié"),"",IF(O1054-K1054-L1054&gt;O1054,O1054,IF(O1054-K1054-L1054&lt;0,"",O1054-K1054-L1054))),"")</f>
        <v>0.375</v>
      </c>
      <c r="O1054" s="8" t="n">
        <f aca="false">IF(AG1054="2H Pause déjeuner",IF(F1054-D1054-0.0833333333333333&lt;0,F1054-D1054-0.0833333333333333+1,F1054-D1054-0.0833333333333333),IF(OR(AND(F1054="OFF",D1054="OFF"),AND(F1054="Congé",D1054="Congé"),AND(F1054="Congé sans solde",D1054="Congé sans solde"),AND(F1054="Congé spécial",D1054="Congé spécial"),AND(F1054="Férié",D1054="Férié"),AND(F1054="OFF",D1054="Congé"),AND(F1054="OFF",D1054="Congé sans solde"),AND(F1054="OFF",D1054="Congé spécial"),AND(F1054="OFF",D1054="Férié"),AND(F1054="Congé",D1054="OFF"),AND(F1054="Congé",D1054="Congé sans solde"),AND(F1054="Congé",D1054="Congé spécial"),AND(F1054="Congé",D1054="Férié"),AND(F1054="Congé sans solde",D1054="OFF"),AND(F1054="Congé sans solde",D1054="Congé"),AND(F1054="Congé sans solde",D1054="Congé spécial"),AND(F1054="Congé sans solde",D1054="Férié"),AND(F1054="Congé spécial",D1054="OFF"),AND(F1054="Congé spécial",D1054="Congé"),AND(F1054="Congé spécial",D1054="Congé sans solde"),AND(F1054="Congé spécial",D1054="Férié"),AND(F1054="Férié",D1054="OFF"),AND(F1054="Férié",D1054="Congé"),AND(F1054="Férié",D1054="Congé sans solde"),AND(F1054="Férié",D1054="Congé spécial")),0,IF(OR(F1054="OFF",F1054="Congé",F1054="Congé spécial",F1054="Congé sans solde",D1054="OFF",D1054="Congé",D1054="Congé spécial",D1054="Congé sans solde"),0.208333333333334,IF(AND(AG1054="",F1054-D1054&lt;0),("24:00:00"-D1054)+("00:00:00"+F1054)-0.0416666666666667,IF(AND(OR(AG1054="Allaitement",AG1054="Sans déjeuner"),F1054-D1054&lt;0),("24:00:00"-D1054)+("00:00:00"+F1054),IF(AND(AG1054="",F1054-D1054&gt;0.166666666666667),F1054-D1054-0.0416666666666667,IF(AND(OR(AG1054="Allaitement",AG1054="Sans déjeuner"),F1054-D1054&gt;0.166666666666667),F1054-D1054,F1054-D1054)))))))</f>
        <v>0.375</v>
      </c>
      <c r="P1054" s="6" t="str">
        <f aca="false">IFERROR(VLOOKUP($B1054,Agents!$A:$D,2,0),"-")</f>
        <v>Accessibilité</v>
      </c>
      <c r="Q1054" s="21" t="n">
        <v>46282</v>
      </c>
      <c r="R1054" s="8" t="n">
        <f aca="false">IF(M1054="Abs",O1054,0)</f>
        <v>0</v>
      </c>
      <c r="S1054" s="8" t="n">
        <f aca="false">SUM(R1054,L1054,I1054,J1054,W1054,H1054)</f>
        <v>0</v>
      </c>
      <c r="T1054" s="6" t="str">
        <f aca="false">"Sem - "&amp;WEEKNUM(Q1054,21)</f>
        <v>Sem - 38</v>
      </c>
      <c r="U1054" s="6" t="str">
        <f aca="false">CHOOSE(MONTH(Q1054),"Janvier","Février","Mars","Avril","Mai","Juin","Juillet","Août","Septembre","Octobre","Novembre","Décembre")</f>
        <v>Septembre</v>
      </c>
      <c r="V1054" s="22" t="n">
        <f aca="false">YEAR(Q1054)</f>
        <v>2026</v>
      </c>
      <c r="W1054" s="20"/>
      <c r="X1054" s="8" t="n">
        <f aca="false">IFERROR(IF(M1054="Abs",0,IF(ROUND((D1054-C1054+E1054-F1054)*1440,0)&lt;=1,0,D1054-C1054+E1054-F1054)),0)</f>
        <v>0.00277777777777778</v>
      </c>
      <c r="Y1054" s="6" t="str">
        <f aca="false">IFERROR(VLOOKUP($B1054,Agents!$A:$D,3,0),"-")</f>
        <v>OUBRAHIM Mohammed</v>
      </c>
      <c r="Z1054" s="6" t="str">
        <f aca="false">IFERROR(VLOOKUP($B1054,Agents!$A:$D,4,0),"-")</f>
        <v>Credit Mutuel</v>
      </c>
      <c r="AA1054" s="18" t="s">
        <v>120</v>
      </c>
      <c r="AB1054" s="8" t="str">
        <f aca="false">IF(AND(D1054="Congé",F1054="Congé"),0.333333333333333,IF(OR(AND(D1054="Congé",F1054&lt;&gt;"Congé"),(AND(F1054="Congé",D1054&lt;&gt;"Congé"))),0.166666666666667,""))</f>
        <v/>
      </c>
      <c r="AC1054" s="8" t="str">
        <f aca="false">IF(AND(D1054="Congé sans solde",F1054="Congé sans solde"),0.333333333333333,IF(OR(AND(D1054="Congé sans solde",F1054&lt;&gt;"Congé sans solde"),(AND(F1054="Congé sans solde",D1054&lt;&gt;"Congé sans solde"))),0.166666666666667,""))</f>
        <v/>
      </c>
      <c r="AD1054" s="8" t="str">
        <f aca="false">IF(AND(D1054="Congé spécial",F1054="Congé spécial"),0.333333333333333,IF(OR(AND(D1054="Congé spécial",F1054&lt;&gt;"Congé spécial"),AND(F1054="Congé spécial",D1054&lt;&gt;"Congé spécial")),0.166666666666667,""))</f>
        <v/>
      </c>
      <c r="AE1054" s="8" t="str">
        <f aca="false">IF(AND(D1054="Férié",F1054="Férié"),0.333333333333333,IF(OR(AND(D1054="Férié",F1054&lt;&gt;"Férié"),(AND(F1054="Férié",D1054&lt;&gt;"Férié"))),0.166666666666667,""))</f>
        <v/>
      </c>
      <c r="AF1054" s="18"/>
      <c r="AG1054" s="18"/>
    </row>
    <row r="1055" customFormat="false" ht="15" hidden="false" customHeight="false" outlineLevel="0" collapsed="false">
      <c r="A1055" s="6" t="str">
        <f aca="false">YEAR(Q1055-WEEKDAY(Q1055,2)+4)&amp;"-S"&amp;TEXT(WEEKNUM(Q1055,21),"00")</f>
        <v>2026-S38</v>
      </c>
      <c r="B1055" s="18" t="s">
        <v>72</v>
      </c>
      <c r="C1055" s="19" t="n">
        <v>0.329861111111111</v>
      </c>
      <c r="D1055" s="19" t="n">
        <v>0.333333333333333</v>
      </c>
      <c r="E1055" s="19" t="n">
        <v>0.75</v>
      </c>
      <c r="F1055" s="19" t="n">
        <v>0.75</v>
      </c>
      <c r="G1055" s="20"/>
      <c r="H1055" s="20"/>
      <c r="I1055" s="8" t="str">
        <f aca="false">IF(IF(OR(C1055="",D1055="Congé",D1055="OFF",D1055="Congé spécial"),"",IF(D1055&gt;F1055,D1055-C1055,IF(C1055-D1055&lt;0,0,C1055-D1055)))&lt;0.00068287037037037,"",IF(OR(D1055="Congé",D1055="OFF",C1055="",D1055="Congé spécial"),"",IF(D1055&gt;F1055,D1055-C1055,IF(C1055-D1055&lt;0,0,C1055-D1055))))</f>
        <v/>
      </c>
      <c r="J1055" s="20"/>
      <c r="K1055" s="8" t="n">
        <f aca="false">IF(SUM(H1055:J1055)&lt;0.00068287037037037,0,SUM(H1055:J1055))</f>
        <v>0</v>
      </c>
      <c r="L1055" s="8" t="n">
        <f aca="false">IF(OR(F1055="Congé",F1055="OFF",M1055="Abs",F1055="Congé sans solde",F1055="Férié",F1055="Congé spécial",D1055="Congé spécial"),0,IF(F1055-E1055&lt;0,0,IF(F1055-E1055&lt;=0.00068287037037037,0,F1055-E1055)))</f>
        <v>0</v>
      </c>
      <c r="M1055" s="6" t="n">
        <f aca="false">IF(AND(O1055&lt;&gt;0,C1055=""),"Abs",0)</f>
        <v>0</v>
      </c>
      <c r="N1055" s="8" t="n">
        <f aca="false">IFERROR(IF(OR(D1055="OFF",D1055="Congé",M1055="Abs",D1055="Congé sans solde",D1055="Férié"),"",IF(O1055-K1055-L1055&gt;O1055,O1055,IF(O1055-K1055-L1055&lt;0,"",O1055-K1055-L1055))),"")</f>
        <v>0.375</v>
      </c>
      <c r="O1055" s="8" t="n">
        <f aca="false">IF(AG1055="2H Pause déjeuner",IF(F1055-D1055-0.0833333333333333&lt;0,F1055-D1055-0.0833333333333333+1,F1055-D1055-0.0833333333333333),IF(OR(AND(F1055="OFF",D1055="OFF"),AND(F1055="Congé",D1055="Congé"),AND(F1055="Congé sans solde",D1055="Congé sans solde"),AND(F1055="Congé spécial",D1055="Congé spécial"),AND(F1055="Férié",D1055="Férié"),AND(F1055="OFF",D1055="Congé"),AND(F1055="OFF",D1055="Congé sans solde"),AND(F1055="OFF",D1055="Congé spécial"),AND(F1055="OFF",D1055="Férié"),AND(F1055="Congé",D1055="OFF"),AND(F1055="Congé",D1055="Congé sans solde"),AND(F1055="Congé",D1055="Congé spécial"),AND(F1055="Congé",D1055="Férié"),AND(F1055="Congé sans solde",D1055="OFF"),AND(F1055="Congé sans solde",D1055="Congé"),AND(F1055="Congé sans solde",D1055="Congé spécial"),AND(F1055="Congé sans solde",D1055="Férié"),AND(F1055="Congé spécial",D1055="OFF"),AND(F1055="Congé spécial",D1055="Congé"),AND(F1055="Congé spécial",D1055="Congé sans solde"),AND(F1055="Congé spécial",D1055="Férié"),AND(F1055="Férié",D1055="OFF"),AND(F1055="Férié",D1055="Congé"),AND(F1055="Férié",D1055="Congé sans solde"),AND(F1055="Férié",D1055="Congé spécial")),0,IF(OR(F1055="OFF",F1055="Congé",F1055="Congé spécial",F1055="Congé sans solde",D1055="OFF",D1055="Congé",D1055="Congé spécial",D1055="Congé sans solde"),0.208333333333334,IF(AND(AG1055="",F1055-D1055&lt;0),("24:00:00"-D1055)+("00:00:00"+F1055)-0.0416666666666667,IF(AND(OR(AG1055="Allaitement",AG1055="Sans déjeuner"),F1055-D1055&lt;0),("24:00:00"-D1055)+("00:00:00"+F1055),IF(AND(AG1055="",F1055-D1055&gt;0.166666666666667),F1055-D1055-0.0416666666666667,IF(AND(OR(AG1055="Allaitement",AG1055="Sans déjeuner"),F1055-D1055&gt;0.166666666666667),F1055-D1055,F1055-D1055)))))))</f>
        <v>0.375</v>
      </c>
      <c r="P1055" s="6" t="str">
        <f aca="false">IFERROR(VLOOKUP($B1055,Agents!$A:$D,2,0),"-")</f>
        <v>Accessibilité</v>
      </c>
      <c r="Q1055" s="21" t="n">
        <v>46282</v>
      </c>
      <c r="R1055" s="8" t="n">
        <f aca="false">IF(M1055="Abs",O1055,0)</f>
        <v>0</v>
      </c>
      <c r="S1055" s="8" t="n">
        <f aca="false">SUM(R1055,L1055,I1055,J1055,W1055,H1055)</f>
        <v>0</v>
      </c>
      <c r="T1055" s="6" t="str">
        <f aca="false">"Sem - "&amp;WEEKNUM(Q1055,21)</f>
        <v>Sem - 38</v>
      </c>
      <c r="U1055" s="6" t="str">
        <f aca="false">CHOOSE(MONTH(Q1055),"Janvier","Février","Mars","Avril","Mai","Juin","Juillet","Août","Septembre","Octobre","Novembre","Décembre")</f>
        <v>Septembre</v>
      </c>
      <c r="V1055" s="22" t="n">
        <f aca="false">YEAR(Q1055)</f>
        <v>2026</v>
      </c>
      <c r="W1055" s="20"/>
      <c r="X1055" s="8" t="n">
        <f aca="false">IFERROR(IF(M1055="Abs",0,IF(ROUND((D1055-C1055+E1055-F1055)*1440,0)&lt;=1,0,D1055-C1055+E1055-F1055)),0)</f>
        <v>0.00347222222222222</v>
      </c>
      <c r="Y1055" s="6" t="str">
        <f aca="false">IFERROR(VLOOKUP($B1055,Agents!$A:$D,3,0),"-")</f>
        <v>OUBRAHIM Mohammed</v>
      </c>
      <c r="Z1055" s="6" t="str">
        <f aca="false">IFERROR(VLOOKUP($B1055,Agents!$A:$D,4,0),"-")</f>
        <v>Credit Mutuel</v>
      </c>
      <c r="AA1055" s="18" t="s">
        <v>120</v>
      </c>
      <c r="AB1055" s="8" t="str">
        <f aca="false">IF(AND(D1055="Congé",F1055="Congé"),0.333333333333333,IF(OR(AND(D1055="Congé",F1055&lt;&gt;"Congé"),(AND(F1055="Congé",D1055&lt;&gt;"Congé"))),0.166666666666667,""))</f>
        <v/>
      </c>
      <c r="AC1055" s="8" t="str">
        <f aca="false">IF(AND(D1055="Congé sans solde",F1055="Congé sans solde"),0.333333333333333,IF(OR(AND(D1055="Congé sans solde",F1055&lt;&gt;"Congé sans solde"),(AND(F1055="Congé sans solde",D1055&lt;&gt;"Congé sans solde"))),0.166666666666667,""))</f>
        <v/>
      </c>
      <c r="AD1055" s="8" t="str">
        <f aca="false">IF(AND(D1055="Congé spécial",F1055="Congé spécial"),0.333333333333333,IF(OR(AND(D1055="Congé spécial",F1055&lt;&gt;"Congé spécial"),AND(F1055="Congé spécial",D1055&lt;&gt;"Congé spécial")),0.166666666666667,""))</f>
        <v/>
      </c>
      <c r="AE1055" s="8" t="str">
        <f aca="false">IF(AND(D1055="Férié",F1055="Férié"),0.333333333333333,IF(OR(AND(D1055="Férié",F1055&lt;&gt;"Férié"),(AND(F1055="Férié",D1055&lt;&gt;"Férié"))),0.166666666666667,""))</f>
        <v/>
      </c>
      <c r="AF1055" s="18"/>
      <c r="AG1055" s="18"/>
    </row>
    <row r="1056" customFormat="false" ht="15" hidden="false" customHeight="false" outlineLevel="0" collapsed="false">
      <c r="A1056" s="6" t="str">
        <f aca="false">YEAR(Q1056-WEEKDAY(Q1056,2)+4)&amp;"-S"&amp;TEXT(WEEKNUM(Q1056,21),"00")</f>
        <v>2026-S38</v>
      </c>
      <c r="B1056" s="18" t="s">
        <v>73</v>
      </c>
      <c r="C1056" s="19" t="n">
        <v>0.331944444444444</v>
      </c>
      <c r="D1056" s="19" t="n">
        <v>0.333333333333333</v>
      </c>
      <c r="E1056" s="19" t="n">
        <v>0.75</v>
      </c>
      <c r="F1056" s="19" t="n">
        <v>0.75</v>
      </c>
      <c r="G1056" s="20"/>
      <c r="H1056" s="20"/>
      <c r="I1056" s="8" t="str">
        <f aca="false">IF(IF(OR(C1056="",D1056="Congé",D1056="OFF",D1056="Congé spécial"),"",IF(D1056&gt;F1056,D1056-C1056,IF(C1056-D1056&lt;0,0,C1056-D1056)))&lt;0.00068287037037037,"",IF(OR(D1056="Congé",D1056="OFF",C1056="",D1056="Congé spécial"),"",IF(D1056&gt;F1056,D1056-C1056,IF(C1056-D1056&lt;0,0,C1056-D1056))))</f>
        <v/>
      </c>
      <c r="J1056" s="20"/>
      <c r="K1056" s="8" t="n">
        <f aca="false">IF(SUM(H1056:J1056)&lt;0.00068287037037037,0,SUM(H1056:J1056))</f>
        <v>0</v>
      </c>
      <c r="L1056" s="8" t="n">
        <f aca="false">IF(OR(F1056="Congé",F1056="OFF",M1056="Abs",F1056="Congé sans solde",F1056="Férié",F1056="Congé spécial",D1056="Congé spécial"),0,IF(F1056-E1056&lt;0,0,IF(F1056-E1056&lt;=0.00068287037037037,0,F1056-E1056)))</f>
        <v>0</v>
      </c>
      <c r="M1056" s="6" t="n">
        <f aca="false">IF(AND(O1056&lt;&gt;0,C1056=""),"Abs",0)</f>
        <v>0</v>
      </c>
      <c r="N1056" s="8" t="n">
        <f aca="false">IFERROR(IF(OR(D1056="OFF",D1056="Congé",M1056="Abs",D1056="Congé sans solde",D1056="Férié"),"",IF(O1056-K1056-L1056&gt;O1056,O1056,IF(O1056-K1056-L1056&lt;0,"",O1056-K1056-L1056))),"")</f>
        <v>0.375</v>
      </c>
      <c r="O1056" s="8" t="n">
        <f aca="false">IF(AG1056="2H Pause déjeuner",IF(F1056-D1056-0.0833333333333333&lt;0,F1056-D1056-0.0833333333333333+1,F1056-D1056-0.0833333333333333),IF(OR(AND(F1056="OFF",D1056="OFF"),AND(F1056="Congé",D1056="Congé"),AND(F1056="Congé sans solde",D1056="Congé sans solde"),AND(F1056="Congé spécial",D1056="Congé spécial"),AND(F1056="Férié",D1056="Férié"),AND(F1056="OFF",D1056="Congé"),AND(F1056="OFF",D1056="Congé sans solde"),AND(F1056="OFF",D1056="Congé spécial"),AND(F1056="OFF",D1056="Férié"),AND(F1056="Congé",D1056="OFF"),AND(F1056="Congé",D1056="Congé sans solde"),AND(F1056="Congé",D1056="Congé spécial"),AND(F1056="Congé",D1056="Férié"),AND(F1056="Congé sans solde",D1056="OFF"),AND(F1056="Congé sans solde",D1056="Congé"),AND(F1056="Congé sans solde",D1056="Congé spécial"),AND(F1056="Congé sans solde",D1056="Férié"),AND(F1056="Congé spécial",D1056="OFF"),AND(F1056="Congé spécial",D1056="Congé"),AND(F1056="Congé spécial",D1056="Congé sans solde"),AND(F1056="Congé spécial",D1056="Férié"),AND(F1056="Férié",D1056="OFF"),AND(F1056="Férié",D1056="Congé"),AND(F1056="Férié",D1056="Congé sans solde"),AND(F1056="Férié",D1056="Congé spécial")),0,IF(OR(F1056="OFF",F1056="Congé",F1056="Congé spécial",F1056="Congé sans solde",D1056="OFF",D1056="Congé",D1056="Congé spécial",D1056="Congé sans solde"),0.208333333333334,IF(AND(AG1056="",F1056-D1056&lt;0),("24:00:00"-D1056)+("00:00:00"+F1056)-0.0416666666666667,IF(AND(OR(AG1056="Allaitement",AG1056="Sans déjeuner"),F1056-D1056&lt;0),("24:00:00"-D1056)+("00:00:00"+F1056),IF(AND(AG1056="",F1056-D1056&gt;0.166666666666667),F1056-D1056-0.0416666666666667,IF(AND(OR(AG1056="Allaitement",AG1056="Sans déjeuner"),F1056-D1056&gt;0.166666666666667),F1056-D1056,F1056-D1056)))))))</f>
        <v>0.375</v>
      </c>
      <c r="P1056" s="6" t="str">
        <f aca="false">IFERROR(VLOOKUP($B1056,Agents!$A:$D,2,0),"-")</f>
        <v>Accessibilité</v>
      </c>
      <c r="Q1056" s="21" t="n">
        <v>46282</v>
      </c>
      <c r="R1056" s="8" t="n">
        <f aca="false">IF(M1056="Abs",O1056,0)</f>
        <v>0</v>
      </c>
      <c r="S1056" s="8" t="n">
        <f aca="false">SUM(R1056,L1056,I1056,J1056,W1056,H1056)</f>
        <v>0</v>
      </c>
      <c r="T1056" s="6" t="str">
        <f aca="false">"Sem - "&amp;WEEKNUM(Q1056,21)</f>
        <v>Sem - 38</v>
      </c>
      <c r="U1056" s="6" t="str">
        <f aca="false">CHOOSE(MONTH(Q1056),"Janvier","Février","Mars","Avril","Mai","Juin","Juillet","Août","Septembre","Octobre","Novembre","Décembre")</f>
        <v>Septembre</v>
      </c>
      <c r="V1056" s="22" t="n">
        <f aca="false">YEAR(Q1056)</f>
        <v>2026</v>
      </c>
      <c r="W1056" s="20"/>
      <c r="X1056" s="8" t="n">
        <f aca="false">IFERROR(IF(M1056="Abs",0,IF(ROUND((D1056-C1056+E1056-F1056)*1440,0)&lt;=1,0,D1056-C1056+E1056-F1056)),0)</f>
        <v>0.00138888888888889</v>
      </c>
      <c r="Y1056" s="6" t="str">
        <f aca="false">IFERROR(VLOOKUP($B1056,Agents!$A:$D,3,0),"-")</f>
        <v>OUBRAHIM Mohammed</v>
      </c>
      <c r="Z1056" s="6" t="str">
        <f aca="false">IFERROR(VLOOKUP($B1056,Agents!$A:$D,4,0),"-")</f>
        <v>Credit Mutuel</v>
      </c>
      <c r="AA1056" s="18" t="s">
        <v>120</v>
      </c>
      <c r="AB1056" s="8" t="str">
        <f aca="false">IF(AND(D1056="Congé",F1056="Congé"),0.333333333333333,IF(OR(AND(D1056="Congé",F1056&lt;&gt;"Congé"),(AND(F1056="Congé",D1056&lt;&gt;"Congé"))),0.166666666666667,""))</f>
        <v/>
      </c>
      <c r="AC1056" s="8" t="str">
        <f aca="false">IF(AND(D1056="Congé sans solde",F1056="Congé sans solde"),0.333333333333333,IF(OR(AND(D1056="Congé sans solde",F1056&lt;&gt;"Congé sans solde"),(AND(F1056="Congé sans solde",D1056&lt;&gt;"Congé sans solde"))),0.166666666666667,""))</f>
        <v/>
      </c>
      <c r="AD1056" s="8" t="str">
        <f aca="false">IF(AND(D1056="Congé spécial",F1056="Congé spécial"),0.333333333333333,IF(OR(AND(D1056="Congé spécial",F1056&lt;&gt;"Congé spécial"),AND(F1056="Congé spécial",D1056&lt;&gt;"Congé spécial")),0.166666666666667,""))</f>
        <v/>
      </c>
      <c r="AE1056" s="8" t="str">
        <f aca="false">IF(AND(D1056="Férié",F1056="Férié"),0.333333333333333,IF(OR(AND(D1056="Férié",F1056&lt;&gt;"Férié"),(AND(F1056="Férié",D1056&lt;&gt;"Férié"))),0.166666666666667,""))</f>
        <v/>
      </c>
      <c r="AF1056" s="18"/>
      <c r="AG1056" s="18"/>
    </row>
    <row r="1057" customFormat="false" ht="15" hidden="false" customHeight="false" outlineLevel="0" collapsed="false">
      <c r="A1057" s="6" t="str">
        <f aca="false">YEAR(Q1057-WEEKDAY(Q1057,2)+4)&amp;"-S"&amp;TEXT(WEEKNUM(Q1057,21),"00")</f>
        <v>2026-S38</v>
      </c>
      <c r="B1057" s="18" t="s">
        <v>71</v>
      </c>
      <c r="C1057" s="19" t="n">
        <v>0.333333333333333</v>
      </c>
      <c r="D1057" s="19" t="n">
        <v>0.333333333333333</v>
      </c>
      <c r="E1057" s="19" t="n">
        <v>0.708333333333333</v>
      </c>
      <c r="F1057" s="19" t="n">
        <v>0.708333333333333</v>
      </c>
      <c r="G1057" s="20"/>
      <c r="H1057" s="20"/>
      <c r="I1057" s="8" t="str">
        <f aca="false">IF(IF(OR(C1057="",D1057="Congé",D1057="OFF",D1057="Congé spécial"),"",IF(D1057&gt;F1057,D1057-C1057,IF(C1057-D1057&lt;0,0,C1057-D1057)))&lt;0.00068287037037037,"",IF(OR(D1057="Congé",D1057="OFF",C1057="",D1057="Congé spécial"),"",IF(D1057&gt;F1057,D1057-C1057,IF(C1057-D1057&lt;0,0,C1057-D1057))))</f>
        <v/>
      </c>
      <c r="J1057" s="20"/>
      <c r="K1057" s="8" t="n">
        <f aca="false">IF(SUM(H1057:J1057)&lt;0.00068287037037037,0,SUM(H1057:J1057))</f>
        <v>0</v>
      </c>
      <c r="L1057" s="8" t="n">
        <f aca="false">IF(OR(F1057="Congé",F1057="OFF",M1057="Abs",F1057="Congé sans solde",F1057="Férié",F1057="Congé spécial",D1057="Congé spécial"),0,IF(F1057-E1057&lt;0,0,IF(F1057-E1057&lt;=0.00068287037037037,0,F1057-E1057)))</f>
        <v>0</v>
      </c>
      <c r="M1057" s="6" t="n">
        <f aca="false">IF(AND(O1057&lt;&gt;0,C1057=""),"Abs",0)</f>
        <v>0</v>
      </c>
      <c r="N1057" s="8" t="n">
        <f aca="false">IFERROR(IF(OR(D1057="OFF",D1057="Congé",M1057="Abs",D1057="Congé sans solde",D1057="Férié"),"",IF(O1057-K1057-L1057&gt;O1057,O1057,IF(O1057-K1057-L1057&lt;0,"",O1057-K1057-L1057))),"")</f>
        <v>0.333333333333333</v>
      </c>
      <c r="O1057" s="8" t="n">
        <f aca="false">IF(AG1057="2H Pause déjeuner",IF(F1057-D1057-0.0833333333333333&lt;0,F1057-D1057-0.0833333333333333+1,F1057-D1057-0.0833333333333333),IF(OR(AND(F1057="OFF",D1057="OFF"),AND(F1057="Congé",D1057="Congé"),AND(F1057="Congé sans solde",D1057="Congé sans solde"),AND(F1057="Congé spécial",D1057="Congé spécial"),AND(F1057="Férié",D1057="Férié"),AND(F1057="OFF",D1057="Congé"),AND(F1057="OFF",D1057="Congé sans solde"),AND(F1057="OFF",D1057="Congé spécial"),AND(F1057="OFF",D1057="Férié"),AND(F1057="Congé",D1057="OFF"),AND(F1057="Congé",D1057="Congé sans solde"),AND(F1057="Congé",D1057="Congé spécial"),AND(F1057="Congé",D1057="Férié"),AND(F1057="Congé sans solde",D1057="OFF"),AND(F1057="Congé sans solde",D1057="Congé"),AND(F1057="Congé sans solde",D1057="Congé spécial"),AND(F1057="Congé sans solde",D1057="Férié"),AND(F1057="Congé spécial",D1057="OFF"),AND(F1057="Congé spécial",D1057="Congé"),AND(F1057="Congé spécial",D1057="Congé sans solde"),AND(F1057="Congé spécial",D1057="Férié"),AND(F1057="Férié",D1057="OFF"),AND(F1057="Férié",D1057="Congé"),AND(F1057="Férié",D1057="Congé sans solde"),AND(F1057="Férié",D1057="Congé spécial")),0,IF(OR(F1057="OFF",F1057="Congé",F1057="Congé spécial",F1057="Congé sans solde",D1057="OFF",D1057="Congé",D1057="Congé spécial",D1057="Congé sans solde"),0.208333333333334,IF(AND(AG1057="",F1057-D1057&lt;0),("24:00:00"-D1057)+("00:00:00"+F1057)-0.0416666666666667,IF(AND(OR(AG1057="Allaitement",AG1057="Sans déjeuner"),F1057-D1057&lt;0),("24:00:00"-D1057)+("00:00:00"+F1057),IF(AND(AG1057="",F1057-D1057&gt;0.166666666666667),F1057-D1057-0.0416666666666667,IF(AND(OR(AG1057="Allaitement",AG1057="Sans déjeuner"),F1057-D1057&gt;0.166666666666667),F1057-D1057,F1057-D1057)))))))</f>
        <v>0.333333333333333</v>
      </c>
      <c r="P1057" s="6" t="str">
        <f aca="false">IFERROR(VLOOKUP($B1057,Agents!$A:$D,2,0),"-")</f>
        <v>Accessibilité</v>
      </c>
      <c r="Q1057" s="21" t="n">
        <v>46283</v>
      </c>
      <c r="R1057" s="8" t="n">
        <f aca="false">IF(M1057="Abs",O1057,0)</f>
        <v>0</v>
      </c>
      <c r="S1057" s="8" t="n">
        <f aca="false">SUM(R1057,L1057,I1057,J1057,W1057,H1057)</f>
        <v>0</v>
      </c>
      <c r="T1057" s="6" t="str">
        <f aca="false">"Sem - "&amp;WEEKNUM(Q1057,21)</f>
        <v>Sem - 38</v>
      </c>
      <c r="U1057" s="6" t="str">
        <f aca="false">CHOOSE(MONTH(Q1057),"Janvier","Février","Mars","Avril","Mai","Juin","Juillet","Août","Septembre","Octobre","Novembre","Décembre")</f>
        <v>Septembre</v>
      </c>
      <c r="V1057" s="22" t="n">
        <f aca="false">YEAR(Q1057)</f>
        <v>2026</v>
      </c>
      <c r="W1057" s="20"/>
      <c r="X1057" s="8" t="n">
        <f aca="false">IFERROR(IF(M1057="Abs",0,IF(ROUND((D1057-C1057+E1057-F1057)*1440,0)&lt;=1,0,D1057-C1057+E1057-F1057)),0)</f>
        <v>0</v>
      </c>
      <c r="Y1057" s="6" t="str">
        <f aca="false">IFERROR(VLOOKUP($B1057,Agents!$A:$D,3,0),"-")</f>
        <v>OUBRAHIM Mohammed</v>
      </c>
      <c r="Z1057" s="6" t="str">
        <f aca="false">IFERROR(VLOOKUP($B1057,Agents!$A:$D,4,0),"-")</f>
        <v>Credit Mutuel</v>
      </c>
      <c r="AA1057" s="18" t="s">
        <v>120</v>
      </c>
      <c r="AB1057" s="8" t="str">
        <f aca="false">IF(AND(D1057="Congé",F1057="Congé"),0.333333333333333,IF(OR(AND(D1057="Congé",F1057&lt;&gt;"Congé"),(AND(F1057="Congé",D1057&lt;&gt;"Congé"))),0.166666666666667,""))</f>
        <v/>
      </c>
      <c r="AC1057" s="8" t="str">
        <f aca="false">IF(AND(D1057="Congé sans solde",F1057="Congé sans solde"),0.333333333333333,IF(OR(AND(D1057="Congé sans solde",F1057&lt;&gt;"Congé sans solde"),(AND(F1057="Congé sans solde",D1057&lt;&gt;"Congé sans solde"))),0.166666666666667,""))</f>
        <v/>
      </c>
      <c r="AD1057" s="8" t="str">
        <f aca="false">IF(AND(D1057="Congé spécial",F1057="Congé spécial"),0.333333333333333,IF(OR(AND(D1057="Congé spécial",F1057&lt;&gt;"Congé spécial"),AND(F1057="Congé spécial",D1057&lt;&gt;"Congé spécial")),0.166666666666667,""))</f>
        <v/>
      </c>
      <c r="AE1057" s="8" t="str">
        <f aca="false">IF(AND(D1057="Férié",F1057="Férié"),0.333333333333333,IF(OR(AND(D1057="Férié",F1057&lt;&gt;"Férié"),(AND(F1057="Férié",D1057&lt;&gt;"Férié"))),0.166666666666667,""))</f>
        <v/>
      </c>
      <c r="AF1057" s="18"/>
      <c r="AG1057" s="18"/>
    </row>
    <row r="1058" customFormat="false" ht="15" hidden="false" customHeight="false" outlineLevel="0" collapsed="false">
      <c r="A1058" s="6" t="str">
        <f aca="false">YEAR(Q1058-WEEKDAY(Q1058,2)+4)&amp;"-S"&amp;TEXT(WEEKNUM(Q1058,21),"00")</f>
        <v>2026-S38</v>
      </c>
      <c r="B1058" s="18" t="s">
        <v>72</v>
      </c>
      <c r="C1058" s="19" t="n">
        <v>0.333333333333333</v>
      </c>
      <c r="D1058" s="19" t="n">
        <v>0.333333333333333</v>
      </c>
      <c r="E1058" s="19" t="n">
        <v>0.708333333333333</v>
      </c>
      <c r="F1058" s="19" t="n">
        <v>0.708333333333333</v>
      </c>
      <c r="G1058" s="20"/>
      <c r="H1058" s="20"/>
      <c r="I1058" s="8" t="str">
        <f aca="false">IF(IF(OR(C1058="",D1058="Congé",D1058="OFF",D1058="Congé spécial"),"",IF(D1058&gt;F1058,D1058-C1058,IF(C1058-D1058&lt;0,0,C1058-D1058)))&lt;0.00068287037037037,"",IF(OR(D1058="Congé",D1058="OFF",C1058="",D1058="Congé spécial"),"",IF(D1058&gt;F1058,D1058-C1058,IF(C1058-D1058&lt;0,0,C1058-D1058))))</f>
        <v/>
      </c>
      <c r="J1058" s="20"/>
      <c r="K1058" s="8" t="n">
        <f aca="false">IF(SUM(H1058:J1058)&lt;0.00068287037037037,0,SUM(H1058:J1058))</f>
        <v>0</v>
      </c>
      <c r="L1058" s="8" t="n">
        <f aca="false">IF(OR(F1058="Congé",F1058="OFF",M1058="Abs",F1058="Congé sans solde",F1058="Férié",F1058="Congé spécial",D1058="Congé spécial"),0,IF(F1058-E1058&lt;0,0,IF(F1058-E1058&lt;=0.00068287037037037,0,F1058-E1058)))</f>
        <v>0</v>
      </c>
      <c r="M1058" s="6" t="n">
        <f aca="false">IF(AND(O1058&lt;&gt;0,C1058=""),"Abs",0)</f>
        <v>0</v>
      </c>
      <c r="N1058" s="8" t="n">
        <f aca="false">IFERROR(IF(OR(D1058="OFF",D1058="Congé",M1058="Abs",D1058="Congé sans solde",D1058="Férié"),"",IF(O1058-K1058-L1058&gt;O1058,O1058,IF(O1058-K1058-L1058&lt;0,"",O1058-K1058-L1058))),"")</f>
        <v>0.333333333333333</v>
      </c>
      <c r="O1058" s="8" t="n">
        <f aca="false">IF(AG1058="2H Pause déjeuner",IF(F1058-D1058-0.0833333333333333&lt;0,F1058-D1058-0.0833333333333333+1,F1058-D1058-0.0833333333333333),IF(OR(AND(F1058="OFF",D1058="OFF"),AND(F1058="Congé",D1058="Congé"),AND(F1058="Congé sans solde",D1058="Congé sans solde"),AND(F1058="Congé spécial",D1058="Congé spécial"),AND(F1058="Férié",D1058="Férié"),AND(F1058="OFF",D1058="Congé"),AND(F1058="OFF",D1058="Congé sans solde"),AND(F1058="OFF",D1058="Congé spécial"),AND(F1058="OFF",D1058="Férié"),AND(F1058="Congé",D1058="OFF"),AND(F1058="Congé",D1058="Congé sans solde"),AND(F1058="Congé",D1058="Congé spécial"),AND(F1058="Congé",D1058="Férié"),AND(F1058="Congé sans solde",D1058="OFF"),AND(F1058="Congé sans solde",D1058="Congé"),AND(F1058="Congé sans solde",D1058="Congé spécial"),AND(F1058="Congé sans solde",D1058="Férié"),AND(F1058="Congé spécial",D1058="OFF"),AND(F1058="Congé spécial",D1058="Congé"),AND(F1058="Congé spécial",D1058="Congé sans solde"),AND(F1058="Congé spécial",D1058="Férié"),AND(F1058="Férié",D1058="OFF"),AND(F1058="Férié",D1058="Congé"),AND(F1058="Férié",D1058="Congé sans solde"),AND(F1058="Férié",D1058="Congé spécial")),0,IF(OR(F1058="OFF",F1058="Congé",F1058="Congé spécial",F1058="Congé sans solde",D1058="OFF",D1058="Congé",D1058="Congé spécial",D1058="Congé sans solde"),0.208333333333334,IF(AND(AG1058="",F1058-D1058&lt;0),("24:00:00"-D1058)+("00:00:00"+F1058)-0.0416666666666667,IF(AND(OR(AG1058="Allaitement",AG1058="Sans déjeuner"),F1058-D1058&lt;0),("24:00:00"-D1058)+("00:00:00"+F1058),IF(AND(AG1058="",F1058-D1058&gt;0.166666666666667),F1058-D1058-0.0416666666666667,IF(AND(OR(AG1058="Allaitement",AG1058="Sans déjeuner"),F1058-D1058&gt;0.166666666666667),F1058-D1058,F1058-D1058)))))))</f>
        <v>0.333333333333333</v>
      </c>
      <c r="P1058" s="6" t="str">
        <f aca="false">IFERROR(VLOOKUP($B1058,Agents!$A:$D,2,0),"-")</f>
        <v>Accessibilité</v>
      </c>
      <c r="Q1058" s="21" t="n">
        <v>46283</v>
      </c>
      <c r="R1058" s="8" t="n">
        <f aca="false">IF(M1058="Abs",O1058,0)</f>
        <v>0</v>
      </c>
      <c r="S1058" s="8" t="n">
        <f aca="false">SUM(R1058,L1058,I1058,J1058,W1058,H1058)</f>
        <v>0</v>
      </c>
      <c r="T1058" s="6" t="str">
        <f aca="false">"Sem - "&amp;WEEKNUM(Q1058,21)</f>
        <v>Sem - 38</v>
      </c>
      <c r="U1058" s="6" t="str">
        <f aca="false">CHOOSE(MONTH(Q1058),"Janvier","Février","Mars","Avril","Mai","Juin","Juillet","Août","Septembre","Octobre","Novembre","Décembre")</f>
        <v>Septembre</v>
      </c>
      <c r="V1058" s="22" t="n">
        <f aca="false">YEAR(Q1058)</f>
        <v>2026</v>
      </c>
      <c r="W1058" s="20"/>
      <c r="X1058" s="8" t="n">
        <f aca="false">IFERROR(IF(M1058="Abs",0,IF(ROUND((D1058-C1058+E1058-F1058)*1440,0)&lt;=1,0,D1058-C1058+E1058-F1058)),0)</f>
        <v>0</v>
      </c>
      <c r="Y1058" s="6" t="str">
        <f aca="false">IFERROR(VLOOKUP($B1058,Agents!$A:$D,3,0),"-")</f>
        <v>OUBRAHIM Mohammed</v>
      </c>
      <c r="Z1058" s="6" t="str">
        <f aca="false">IFERROR(VLOOKUP($B1058,Agents!$A:$D,4,0),"-")</f>
        <v>Credit Mutuel</v>
      </c>
      <c r="AA1058" s="18" t="s">
        <v>120</v>
      </c>
      <c r="AB1058" s="8" t="str">
        <f aca="false">IF(AND(D1058="Congé",F1058="Congé"),0.333333333333333,IF(OR(AND(D1058="Congé",F1058&lt;&gt;"Congé"),(AND(F1058="Congé",D1058&lt;&gt;"Congé"))),0.166666666666667,""))</f>
        <v/>
      </c>
      <c r="AC1058" s="8" t="str">
        <f aca="false">IF(AND(D1058="Congé sans solde",F1058="Congé sans solde"),0.333333333333333,IF(OR(AND(D1058="Congé sans solde",F1058&lt;&gt;"Congé sans solde"),(AND(F1058="Congé sans solde",D1058&lt;&gt;"Congé sans solde"))),0.166666666666667,""))</f>
        <v/>
      </c>
      <c r="AD1058" s="8" t="str">
        <f aca="false">IF(AND(D1058="Congé spécial",F1058="Congé spécial"),0.333333333333333,IF(OR(AND(D1058="Congé spécial",F1058&lt;&gt;"Congé spécial"),AND(F1058="Congé spécial",D1058&lt;&gt;"Congé spécial")),0.166666666666667,""))</f>
        <v/>
      </c>
      <c r="AE1058" s="8" t="str">
        <f aca="false">IF(AND(D1058="Férié",F1058="Férié"),0.333333333333333,IF(OR(AND(D1058="Férié",F1058&lt;&gt;"Férié"),(AND(F1058="Férié",D1058&lt;&gt;"Férié"))),0.166666666666667,""))</f>
        <v/>
      </c>
      <c r="AF1058" s="18"/>
      <c r="AG1058" s="18"/>
    </row>
    <row r="1059" customFormat="false" ht="15" hidden="false" customHeight="false" outlineLevel="0" collapsed="false">
      <c r="A1059" s="6" t="str">
        <f aca="false">YEAR(Q1059-WEEKDAY(Q1059,2)+4)&amp;"-S"&amp;TEXT(WEEKNUM(Q1059,21),"00")</f>
        <v>2026-S38</v>
      </c>
      <c r="B1059" s="18" t="s">
        <v>73</v>
      </c>
      <c r="C1059" s="19" t="n">
        <v>0.333333333333333</v>
      </c>
      <c r="D1059" s="19" t="n">
        <v>0.333333333333333</v>
      </c>
      <c r="E1059" s="19" t="n">
        <v>0.708333333333333</v>
      </c>
      <c r="F1059" s="19" t="n">
        <v>0.708333333333333</v>
      </c>
      <c r="G1059" s="20"/>
      <c r="H1059" s="20"/>
      <c r="I1059" s="8" t="str">
        <f aca="false">IF(IF(OR(C1059="",D1059="Congé",D1059="OFF",D1059="Congé spécial"),"",IF(D1059&gt;F1059,D1059-C1059,IF(C1059-D1059&lt;0,0,C1059-D1059)))&lt;0.00068287037037037,"",IF(OR(D1059="Congé",D1059="OFF",C1059="",D1059="Congé spécial"),"",IF(D1059&gt;F1059,D1059-C1059,IF(C1059-D1059&lt;0,0,C1059-D1059))))</f>
        <v/>
      </c>
      <c r="J1059" s="20"/>
      <c r="K1059" s="8" t="n">
        <f aca="false">IF(SUM(H1059:J1059)&lt;0.00068287037037037,0,SUM(H1059:J1059))</f>
        <v>0</v>
      </c>
      <c r="L1059" s="8" t="n">
        <f aca="false">IF(OR(F1059="Congé",F1059="OFF",M1059="Abs",F1059="Congé sans solde",F1059="Férié",F1059="Congé spécial",D1059="Congé spécial"),0,IF(F1059-E1059&lt;0,0,IF(F1059-E1059&lt;=0.00068287037037037,0,F1059-E1059)))</f>
        <v>0</v>
      </c>
      <c r="M1059" s="6" t="n">
        <f aca="false">IF(AND(O1059&lt;&gt;0,C1059=""),"Abs",0)</f>
        <v>0</v>
      </c>
      <c r="N1059" s="8" t="n">
        <f aca="false">IFERROR(IF(OR(D1059="OFF",D1059="Congé",M1059="Abs",D1059="Congé sans solde",D1059="Férié"),"",IF(O1059-K1059-L1059&gt;O1059,O1059,IF(O1059-K1059-L1059&lt;0,"",O1059-K1059-L1059))),"")</f>
        <v>0.333333333333333</v>
      </c>
      <c r="O1059" s="8" t="n">
        <f aca="false">IF(AG1059="2H Pause déjeuner",IF(F1059-D1059-0.0833333333333333&lt;0,F1059-D1059-0.0833333333333333+1,F1059-D1059-0.0833333333333333),IF(OR(AND(F1059="OFF",D1059="OFF"),AND(F1059="Congé",D1059="Congé"),AND(F1059="Congé sans solde",D1059="Congé sans solde"),AND(F1059="Congé spécial",D1059="Congé spécial"),AND(F1059="Férié",D1059="Férié"),AND(F1059="OFF",D1059="Congé"),AND(F1059="OFF",D1059="Congé sans solde"),AND(F1059="OFF",D1059="Congé spécial"),AND(F1059="OFF",D1059="Férié"),AND(F1059="Congé",D1059="OFF"),AND(F1059="Congé",D1059="Congé sans solde"),AND(F1059="Congé",D1059="Congé spécial"),AND(F1059="Congé",D1059="Férié"),AND(F1059="Congé sans solde",D1059="OFF"),AND(F1059="Congé sans solde",D1059="Congé"),AND(F1059="Congé sans solde",D1059="Congé spécial"),AND(F1059="Congé sans solde",D1059="Férié"),AND(F1059="Congé spécial",D1059="OFF"),AND(F1059="Congé spécial",D1059="Congé"),AND(F1059="Congé spécial",D1059="Congé sans solde"),AND(F1059="Congé spécial",D1059="Férié"),AND(F1059="Férié",D1059="OFF"),AND(F1059="Férié",D1059="Congé"),AND(F1059="Férié",D1059="Congé sans solde"),AND(F1059="Férié",D1059="Congé spécial")),0,IF(OR(F1059="OFF",F1059="Congé",F1059="Congé spécial",F1059="Congé sans solde",D1059="OFF",D1059="Congé",D1059="Congé spécial",D1059="Congé sans solde"),0.208333333333334,IF(AND(AG1059="",F1059-D1059&lt;0),("24:00:00"-D1059)+("00:00:00"+F1059)-0.0416666666666667,IF(AND(OR(AG1059="Allaitement",AG1059="Sans déjeuner"),F1059-D1059&lt;0),("24:00:00"-D1059)+("00:00:00"+F1059),IF(AND(AG1059="",F1059-D1059&gt;0.166666666666667),F1059-D1059-0.0416666666666667,IF(AND(OR(AG1059="Allaitement",AG1059="Sans déjeuner"),F1059-D1059&gt;0.166666666666667),F1059-D1059,F1059-D1059)))))))</f>
        <v>0.333333333333333</v>
      </c>
      <c r="P1059" s="6" t="str">
        <f aca="false">IFERROR(VLOOKUP($B1059,Agents!$A:$D,2,0),"-")</f>
        <v>Accessibilité</v>
      </c>
      <c r="Q1059" s="21" t="n">
        <v>46283</v>
      </c>
      <c r="R1059" s="8" t="n">
        <f aca="false">IF(M1059="Abs",O1059,0)</f>
        <v>0</v>
      </c>
      <c r="S1059" s="8" t="n">
        <f aca="false">SUM(R1059,L1059,I1059,J1059,W1059,H1059)</f>
        <v>0</v>
      </c>
      <c r="T1059" s="6" t="str">
        <f aca="false">"Sem - "&amp;WEEKNUM(Q1059,21)</f>
        <v>Sem - 38</v>
      </c>
      <c r="U1059" s="6" t="str">
        <f aca="false">CHOOSE(MONTH(Q1059),"Janvier","Février","Mars","Avril","Mai","Juin","Juillet","Août","Septembre","Octobre","Novembre","Décembre")</f>
        <v>Septembre</v>
      </c>
      <c r="V1059" s="22" t="n">
        <f aca="false">YEAR(Q1059)</f>
        <v>2026</v>
      </c>
      <c r="W1059" s="20"/>
      <c r="X1059" s="8" t="n">
        <f aca="false">IFERROR(IF(M1059="Abs",0,IF(ROUND((D1059-C1059+E1059-F1059)*1440,0)&lt;=1,0,D1059-C1059+E1059-F1059)),0)</f>
        <v>0</v>
      </c>
      <c r="Y1059" s="6" t="str">
        <f aca="false">IFERROR(VLOOKUP($B1059,Agents!$A:$D,3,0),"-")</f>
        <v>OUBRAHIM Mohammed</v>
      </c>
      <c r="Z1059" s="6" t="str">
        <f aca="false">IFERROR(VLOOKUP($B1059,Agents!$A:$D,4,0),"-")</f>
        <v>Credit Mutuel</v>
      </c>
      <c r="AA1059" s="18" t="s">
        <v>120</v>
      </c>
      <c r="AB1059" s="8" t="str">
        <f aca="false">IF(AND(D1059="Congé",F1059="Congé"),0.333333333333333,IF(OR(AND(D1059="Congé",F1059&lt;&gt;"Congé"),(AND(F1059="Congé",D1059&lt;&gt;"Congé"))),0.166666666666667,""))</f>
        <v/>
      </c>
      <c r="AC1059" s="8" t="str">
        <f aca="false">IF(AND(D1059="Congé sans solde",F1059="Congé sans solde"),0.333333333333333,IF(OR(AND(D1059="Congé sans solde",F1059&lt;&gt;"Congé sans solde"),(AND(F1059="Congé sans solde",D1059&lt;&gt;"Congé sans solde"))),0.166666666666667,""))</f>
        <v/>
      </c>
      <c r="AD1059" s="8" t="str">
        <f aca="false">IF(AND(D1059="Congé spécial",F1059="Congé spécial"),0.333333333333333,IF(OR(AND(D1059="Congé spécial",F1059&lt;&gt;"Congé spécial"),AND(F1059="Congé spécial",D1059&lt;&gt;"Congé spécial")),0.166666666666667,""))</f>
        <v/>
      </c>
      <c r="AE1059" s="8" t="str">
        <f aca="false">IF(AND(D1059="Férié",F1059="Férié"),0.333333333333333,IF(OR(AND(D1059="Férié",F1059&lt;&gt;"Férié"),(AND(F1059="Férié",D1059&lt;&gt;"Férié"))),0.166666666666667,""))</f>
        <v/>
      </c>
      <c r="AF1059" s="18"/>
      <c r="AG1059" s="18"/>
    </row>
    <row r="1060" customFormat="false" ht="15" hidden="false" customHeight="false" outlineLevel="0" collapsed="false">
      <c r="A1060" s="6" t="str">
        <f aca="false">YEAR(Q1060-WEEKDAY(Q1060,2)+4)&amp;"-S"&amp;TEXT(WEEKNUM(Q1060,21),"00")</f>
        <v>2026-S38</v>
      </c>
      <c r="B1060" s="18" t="s">
        <v>71</v>
      </c>
      <c r="C1060" s="19"/>
      <c r="D1060" s="19" t="s">
        <v>74</v>
      </c>
      <c r="E1060" s="19"/>
      <c r="F1060" s="19" t="s">
        <v>74</v>
      </c>
      <c r="G1060" s="20"/>
      <c r="H1060" s="20"/>
      <c r="I1060" s="8" t="str">
        <f aca="false">IF(IF(OR(C1060="",D1060="Congé",D1060="OFF",D1060="Congé spécial"),"",IF(D1060&gt;F1060,D1060-C1060,IF(C1060-D1060&lt;0,0,C1060-D1060)))&lt;0.00068287037037037,"",IF(OR(D1060="Congé",D1060="OFF",C1060="",D1060="Congé spécial"),"",IF(D1060&gt;F1060,D1060-C1060,IF(C1060-D1060&lt;0,0,C1060-D1060))))</f>
        <v/>
      </c>
      <c r="J1060" s="20"/>
      <c r="K1060" s="8" t="n">
        <f aca="false">IF(SUM(H1060:J1060)&lt;0.00068287037037037,0,SUM(H1060:J1060))</f>
        <v>0</v>
      </c>
      <c r="L1060" s="8" t="n">
        <f aca="false">IF(OR(F1060="Congé",F1060="OFF",M1060="Abs",F1060="Congé sans solde",F1060="Férié",F1060="Congé spécial",D1060="Congé spécial"),0,IF(F1060-E1060&lt;0,0,IF(F1060-E1060&lt;=0.00068287037037037,0,F1060-E1060)))</f>
        <v>0</v>
      </c>
      <c r="M1060" s="6" t="n">
        <f aca="false">IF(AND(O1060&lt;&gt;0,C1060=""),"Abs",0)</f>
        <v>0</v>
      </c>
      <c r="N1060" s="8" t="str">
        <f aca="false">IFERROR(IF(OR(D1060="OFF",D1060="Congé",M1060="Abs",D1060="Congé sans solde",D1060="Férié"),"",IF(O1060-K1060-L1060&gt;O1060,O1060,IF(O1060-K1060-L1060&lt;0,"",O1060-K1060-L1060))),"")</f>
        <v/>
      </c>
      <c r="O1060" s="8" t="n">
        <f aca="false">IF(AG1060="2H Pause déjeuner",IF(F1060-D1060-0.0833333333333333&lt;0,F1060-D1060-0.0833333333333333+1,F1060-D1060-0.0833333333333333),IF(OR(AND(F1060="OFF",D1060="OFF"),AND(F1060="Congé",D1060="Congé"),AND(F1060="Congé sans solde",D1060="Congé sans solde"),AND(F1060="Congé spécial",D1060="Congé spécial"),AND(F1060="Férié",D1060="Férié"),AND(F1060="OFF",D1060="Congé"),AND(F1060="OFF",D1060="Congé sans solde"),AND(F1060="OFF",D1060="Congé spécial"),AND(F1060="OFF",D1060="Férié"),AND(F1060="Congé",D1060="OFF"),AND(F1060="Congé",D1060="Congé sans solde"),AND(F1060="Congé",D1060="Congé spécial"),AND(F1060="Congé",D1060="Férié"),AND(F1060="Congé sans solde",D1060="OFF"),AND(F1060="Congé sans solde",D1060="Congé"),AND(F1060="Congé sans solde",D1060="Congé spécial"),AND(F1060="Congé sans solde",D1060="Férié"),AND(F1060="Congé spécial",D1060="OFF"),AND(F1060="Congé spécial",D1060="Congé"),AND(F1060="Congé spécial",D1060="Congé sans solde"),AND(F1060="Congé spécial",D1060="Férié"),AND(F1060="Férié",D1060="OFF"),AND(F1060="Férié",D1060="Congé"),AND(F1060="Férié",D1060="Congé sans solde"),AND(F1060="Férié",D1060="Congé spécial")),0,IF(OR(F1060="OFF",F1060="Congé",F1060="Congé spécial",F1060="Congé sans solde",D1060="OFF",D1060="Congé",D1060="Congé spécial",D1060="Congé sans solde"),0.208333333333334,IF(AND(AG1060="",F1060-D1060&lt;0),("24:00:00"-D1060)+("00:00:00"+F1060)-0.0416666666666667,IF(AND(OR(AG1060="Allaitement",AG1060="Sans déjeuner"),F1060-D1060&lt;0),("24:00:00"-D1060)+("00:00:00"+F1060),IF(AND(AG1060="",F1060-D1060&gt;0.166666666666667),F1060-D1060-0.0416666666666667,IF(AND(OR(AG1060="Allaitement",AG1060="Sans déjeuner"),F1060-D1060&gt;0.166666666666667),F1060-D1060,F1060-D1060)))))))</f>
        <v>0</v>
      </c>
      <c r="P1060" s="6" t="str">
        <f aca="false">IFERROR(VLOOKUP($B1060,Agents!$A:$D,2,0),"-")</f>
        <v>Accessibilité</v>
      </c>
      <c r="Q1060" s="21" t="n">
        <v>46284</v>
      </c>
      <c r="R1060" s="8" t="n">
        <f aca="false">IF(M1060="Abs",O1060,0)</f>
        <v>0</v>
      </c>
      <c r="S1060" s="8" t="n">
        <f aca="false">SUM(R1060,L1060,I1060,J1060,W1060,H1060)</f>
        <v>0</v>
      </c>
      <c r="T1060" s="6" t="str">
        <f aca="false">"Sem - "&amp;WEEKNUM(Q1060,21)</f>
        <v>Sem - 38</v>
      </c>
      <c r="U1060" s="6" t="str">
        <f aca="false">CHOOSE(MONTH(Q1060),"Janvier","Février","Mars","Avril","Mai","Juin","Juillet","Août","Septembre","Octobre","Novembre","Décembre")</f>
        <v>Septembre</v>
      </c>
      <c r="V1060" s="22" t="n">
        <f aca="false">YEAR(Q1060)</f>
        <v>2026</v>
      </c>
      <c r="W1060" s="20"/>
      <c r="X1060" s="8" t="n">
        <f aca="false">IFERROR(IF(M1060="Abs",0,IF(ROUND((D1060-C1060+E1060-F1060)*1440,0)&lt;=1,0,D1060-C1060+E1060-F1060)),0)</f>
        <v>0</v>
      </c>
      <c r="Y1060" s="6" t="str">
        <f aca="false">IFERROR(VLOOKUP($B1060,Agents!$A:$D,3,0),"-")</f>
        <v>OUBRAHIM Mohammed</v>
      </c>
      <c r="Z1060" s="6" t="str">
        <f aca="false">IFERROR(VLOOKUP($B1060,Agents!$A:$D,4,0),"-")</f>
        <v>Credit Mutuel</v>
      </c>
      <c r="AA1060" s="18" t="s">
        <v>120</v>
      </c>
      <c r="AB1060" s="8" t="str">
        <f aca="false">IF(AND(D1060="Congé",F1060="Congé"),0.333333333333333,IF(OR(AND(D1060="Congé",F1060&lt;&gt;"Congé"),(AND(F1060="Congé",D1060&lt;&gt;"Congé"))),0.166666666666667,""))</f>
        <v/>
      </c>
      <c r="AC1060" s="8" t="str">
        <f aca="false">IF(AND(D1060="Congé sans solde",F1060="Congé sans solde"),0.333333333333333,IF(OR(AND(D1060="Congé sans solde",F1060&lt;&gt;"Congé sans solde"),(AND(F1060="Congé sans solde",D1060&lt;&gt;"Congé sans solde"))),0.166666666666667,""))</f>
        <v/>
      </c>
      <c r="AD1060" s="8" t="str">
        <f aca="false">IF(AND(D1060="Congé spécial",F1060="Congé spécial"),0.333333333333333,IF(OR(AND(D1060="Congé spécial",F1060&lt;&gt;"Congé spécial"),AND(F1060="Congé spécial",D1060&lt;&gt;"Congé spécial")),0.166666666666667,""))</f>
        <v/>
      </c>
      <c r="AE1060" s="8" t="str">
        <f aca="false">IF(AND(D1060="Férié",F1060="Férié"),0.333333333333333,IF(OR(AND(D1060="Férié",F1060&lt;&gt;"Férié"),(AND(F1060="Férié",D1060&lt;&gt;"Férié"))),0.166666666666667,""))</f>
        <v/>
      </c>
      <c r="AF1060" s="18"/>
      <c r="AG1060" s="18"/>
    </row>
    <row r="1061" customFormat="false" ht="15" hidden="false" customHeight="false" outlineLevel="0" collapsed="false">
      <c r="A1061" s="6" t="str">
        <f aca="false">YEAR(Q1061-WEEKDAY(Q1061,2)+4)&amp;"-S"&amp;TEXT(WEEKNUM(Q1061,21),"00")</f>
        <v>2026-S38</v>
      </c>
      <c r="B1061" s="18" t="s">
        <v>72</v>
      </c>
      <c r="C1061" s="19"/>
      <c r="D1061" s="19" t="s">
        <v>74</v>
      </c>
      <c r="E1061" s="19"/>
      <c r="F1061" s="19" t="s">
        <v>74</v>
      </c>
      <c r="G1061" s="20"/>
      <c r="H1061" s="20"/>
      <c r="I1061" s="8" t="str">
        <f aca="false">IF(IF(OR(C1061="",D1061="Congé",D1061="OFF",D1061="Congé spécial"),"",IF(D1061&gt;F1061,D1061-C1061,IF(C1061-D1061&lt;0,0,C1061-D1061)))&lt;0.00068287037037037,"",IF(OR(D1061="Congé",D1061="OFF",C1061="",D1061="Congé spécial"),"",IF(D1061&gt;F1061,D1061-C1061,IF(C1061-D1061&lt;0,0,C1061-D1061))))</f>
        <v/>
      </c>
      <c r="J1061" s="20"/>
      <c r="K1061" s="8" t="n">
        <f aca="false">IF(SUM(H1061:J1061)&lt;0.00068287037037037,0,SUM(H1061:J1061))</f>
        <v>0</v>
      </c>
      <c r="L1061" s="8" t="n">
        <f aca="false">IF(OR(F1061="Congé",F1061="OFF",M1061="Abs",F1061="Congé sans solde",F1061="Férié",F1061="Congé spécial",D1061="Congé spécial"),0,IF(F1061-E1061&lt;0,0,IF(F1061-E1061&lt;=0.00068287037037037,0,F1061-E1061)))</f>
        <v>0</v>
      </c>
      <c r="M1061" s="6" t="n">
        <f aca="false">IF(AND(O1061&lt;&gt;0,C1061=""),"Abs",0)</f>
        <v>0</v>
      </c>
      <c r="N1061" s="8" t="str">
        <f aca="false">IFERROR(IF(OR(D1061="OFF",D1061="Congé",M1061="Abs",D1061="Congé sans solde",D1061="Férié"),"",IF(O1061-K1061-L1061&gt;O1061,O1061,IF(O1061-K1061-L1061&lt;0,"",O1061-K1061-L1061))),"")</f>
        <v/>
      </c>
      <c r="O1061" s="8" t="n">
        <f aca="false">IF(AG1061="2H Pause déjeuner",IF(F1061-D1061-0.0833333333333333&lt;0,F1061-D1061-0.0833333333333333+1,F1061-D1061-0.0833333333333333),IF(OR(AND(F1061="OFF",D1061="OFF"),AND(F1061="Congé",D1061="Congé"),AND(F1061="Congé sans solde",D1061="Congé sans solde"),AND(F1061="Congé spécial",D1061="Congé spécial"),AND(F1061="Férié",D1061="Férié"),AND(F1061="OFF",D1061="Congé"),AND(F1061="OFF",D1061="Congé sans solde"),AND(F1061="OFF",D1061="Congé spécial"),AND(F1061="OFF",D1061="Férié"),AND(F1061="Congé",D1061="OFF"),AND(F1061="Congé",D1061="Congé sans solde"),AND(F1061="Congé",D1061="Congé spécial"),AND(F1061="Congé",D1061="Férié"),AND(F1061="Congé sans solde",D1061="OFF"),AND(F1061="Congé sans solde",D1061="Congé"),AND(F1061="Congé sans solde",D1061="Congé spécial"),AND(F1061="Congé sans solde",D1061="Férié"),AND(F1061="Congé spécial",D1061="OFF"),AND(F1061="Congé spécial",D1061="Congé"),AND(F1061="Congé spécial",D1061="Congé sans solde"),AND(F1061="Congé spécial",D1061="Férié"),AND(F1061="Férié",D1061="OFF"),AND(F1061="Férié",D1061="Congé"),AND(F1061="Férié",D1061="Congé sans solde"),AND(F1061="Férié",D1061="Congé spécial")),0,IF(OR(F1061="OFF",F1061="Congé",F1061="Congé spécial",F1061="Congé sans solde",D1061="OFF",D1061="Congé",D1061="Congé spécial",D1061="Congé sans solde"),0.208333333333334,IF(AND(AG1061="",F1061-D1061&lt;0),("24:00:00"-D1061)+("00:00:00"+F1061)-0.0416666666666667,IF(AND(OR(AG1061="Allaitement",AG1061="Sans déjeuner"),F1061-D1061&lt;0),("24:00:00"-D1061)+("00:00:00"+F1061),IF(AND(AG1061="",F1061-D1061&gt;0.166666666666667),F1061-D1061-0.0416666666666667,IF(AND(OR(AG1061="Allaitement",AG1061="Sans déjeuner"),F1061-D1061&gt;0.166666666666667),F1061-D1061,F1061-D1061)))))))</f>
        <v>0</v>
      </c>
      <c r="P1061" s="6" t="str">
        <f aca="false">IFERROR(VLOOKUP($B1061,Agents!$A:$D,2,0),"-")</f>
        <v>Accessibilité</v>
      </c>
      <c r="Q1061" s="21" t="n">
        <v>46284</v>
      </c>
      <c r="R1061" s="8" t="n">
        <f aca="false">IF(M1061="Abs",O1061,0)</f>
        <v>0</v>
      </c>
      <c r="S1061" s="8" t="n">
        <f aca="false">SUM(R1061,L1061,I1061,J1061,W1061,H1061)</f>
        <v>0</v>
      </c>
      <c r="T1061" s="6" t="str">
        <f aca="false">"Sem - "&amp;WEEKNUM(Q1061,21)</f>
        <v>Sem - 38</v>
      </c>
      <c r="U1061" s="6" t="str">
        <f aca="false">CHOOSE(MONTH(Q1061),"Janvier","Février","Mars","Avril","Mai","Juin","Juillet","Août","Septembre","Octobre","Novembre","Décembre")</f>
        <v>Septembre</v>
      </c>
      <c r="V1061" s="22" t="n">
        <f aca="false">YEAR(Q1061)</f>
        <v>2026</v>
      </c>
      <c r="W1061" s="20"/>
      <c r="X1061" s="8" t="n">
        <f aca="false">IFERROR(IF(M1061="Abs",0,IF(ROUND((D1061-C1061+E1061-F1061)*1440,0)&lt;=1,0,D1061-C1061+E1061-F1061)),0)</f>
        <v>0</v>
      </c>
      <c r="Y1061" s="6" t="str">
        <f aca="false">IFERROR(VLOOKUP($B1061,Agents!$A:$D,3,0),"-")</f>
        <v>OUBRAHIM Mohammed</v>
      </c>
      <c r="Z1061" s="6" t="str">
        <f aca="false">IFERROR(VLOOKUP($B1061,Agents!$A:$D,4,0),"-")</f>
        <v>Credit Mutuel</v>
      </c>
      <c r="AA1061" s="18" t="s">
        <v>120</v>
      </c>
      <c r="AB1061" s="8" t="str">
        <f aca="false">IF(AND(D1061="Congé",F1061="Congé"),0.333333333333333,IF(OR(AND(D1061="Congé",F1061&lt;&gt;"Congé"),(AND(F1061="Congé",D1061&lt;&gt;"Congé"))),0.166666666666667,""))</f>
        <v/>
      </c>
      <c r="AC1061" s="8" t="str">
        <f aca="false">IF(AND(D1061="Congé sans solde",F1061="Congé sans solde"),0.333333333333333,IF(OR(AND(D1061="Congé sans solde",F1061&lt;&gt;"Congé sans solde"),(AND(F1061="Congé sans solde",D1061&lt;&gt;"Congé sans solde"))),0.166666666666667,""))</f>
        <v/>
      </c>
      <c r="AD1061" s="8" t="str">
        <f aca="false">IF(AND(D1061="Congé spécial",F1061="Congé spécial"),0.333333333333333,IF(OR(AND(D1061="Congé spécial",F1061&lt;&gt;"Congé spécial"),AND(F1061="Congé spécial",D1061&lt;&gt;"Congé spécial")),0.166666666666667,""))</f>
        <v/>
      </c>
      <c r="AE1061" s="8" t="str">
        <f aca="false">IF(AND(D1061="Férié",F1061="Férié"),0.333333333333333,IF(OR(AND(D1061="Férié",F1061&lt;&gt;"Férié"),(AND(F1061="Férié",D1061&lt;&gt;"Férié"))),0.166666666666667,""))</f>
        <v/>
      </c>
      <c r="AF1061" s="18"/>
      <c r="AG1061" s="18"/>
    </row>
    <row r="1062" customFormat="false" ht="15" hidden="false" customHeight="false" outlineLevel="0" collapsed="false">
      <c r="A1062" s="6" t="str">
        <f aca="false">YEAR(Q1062-WEEKDAY(Q1062,2)+4)&amp;"-S"&amp;TEXT(WEEKNUM(Q1062,21),"00")</f>
        <v>2026-S38</v>
      </c>
      <c r="B1062" s="18" t="s">
        <v>73</v>
      </c>
      <c r="C1062" s="19"/>
      <c r="D1062" s="19" t="s">
        <v>74</v>
      </c>
      <c r="E1062" s="19"/>
      <c r="F1062" s="19" t="s">
        <v>74</v>
      </c>
      <c r="G1062" s="20"/>
      <c r="H1062" s="20"/>
      <c r="I1062" s="8" t="str">
        <f aca="false">IF(IF(OR(C1062="",D1062="Congé",D1062="OFF",D1062="Congé spécial"),"",IF(D1062&gt;F1062,D1062-C1062,IF(C1062-D1062&lt;0,0,C1062-D1062)))&lt;0.00068287037037037,"",IF(OR(D1062="Congé",D1062="OFF",C1062="",D1062="Congé spécial"),"",IF(D1062&gt;F1062,D1062-C1062,IF(C1062-D1062&lt;0,0,C1062-D1062))))</f>
        <v/>
      </c>
      <c r="J1062" s="20"/>
      <c r="K1062" s="8" t="n">
        <f aca="false">IF(SUM(H1062:J1062)&lt;0.00068287037037037,0,SUM(H1062:J1062))</f>
        <v>0</v>
      </c>
      <c r="L1062" s="8" t="n">
        <f aca="false">IF(OR(F1062="Congé",F1062="OFF",M1062="Abs",F1062="Congé sans solde",F1062="Férié",F1062="Congé spécial",D1062="Congé spécial"),0,IF(F1062-E1062&lt;0,0,IF(F1062-E1062&lt;=0.00068287037037037,0,F1062-E1062)))</f>
        <v>0</v>
      </c>
      <c r="M1062" s="6" t="n">
        <f aca="false">IF(AND(O1062&lt;&gt;0,C1062=""),"Abs",0)</f>
        <v>0</v>
      </c>
      <c r="N1062" s="8" t="str">
        <f aca="false">IFERROR(IF(OR(D1062="OFF",D1062="Congé",M1062="Abs",D1062="Congé sans solde",D1062="Férié"),"",IF(O1062-K1062-L1062&gt;O1062,O1062,IF(O1062-K1062-L1062&lt;0,"",O1062-K1062-L1062))),"")</f>
        <v/>
      </c>
      <c r="O1062" s="8" t="n">
        <f aca="false">IF(AG1062="2H Pause déjeuner",IF(F1062-D1062-0.0833333333333333&lt;0,F1062-D1062-0.0833333333333333+1,F1062-D1062-0.0833333333333333),IF(OR(AND(F1062="OFF",D1062="OFF"),AND(F1062="Congé",D1062="Congé"),AND(F1062="Congé sans solde",D1062="Congé sans solde"),AND(F1062="Congé spécial",D1062="Congé spécial"),AND(F1062="Férié",D1062="Férié"),AND(F1062="OFF",D1062="Congé"),AND(F1062="OFF",D1062="Congé sans solde"),AND(F1062="OFF",D1062="Congé spécial"),AND(F1062="OFF",D1062="Férié"),AND(F1062="Congé",D1062="OFF"),AND(F1062="Congé",D1062="Congé sans solde"),AND(F1062="Congé",D1062="Congé spécial"),AND(F1062="Congé",D1062="Férié"),AND(F1062="Congé sans solde",D1062="OFF"),AND(F1062="Congé sans solde",D1062="Congé"),AND(F1062="Congé sans solde",D1062="Congé spécial"),AND(F1062="Congé sans solde",D1062="Férié"),AND(F1062="Congé spécial",D1062="OFF"),AND(F1062="Congé spécial",D1062="Congé"),AND(F1062="Congé spécial",D1062="Congé sans solde"),AND(F1062="Congé spécial",D1062="Férié"),AND(F1062="Férié",D1062="OFF"),AND(F1062="Férié",D1062="Congé"),AND(F1062="Férié",D1062="Congé sans solde"),AND(F1062="Férié",D1062="Congé spécial")),0,IF(OR(F1062="OFF",F1062="Congé",F1062="Congé spécial",F1062="Congé sans solde",D1062="OFF",D1062="Congé",D1062="Congé spécial",D1062="Congé sans solde"),0.208333333333334,IF(AND(AG1062="",F1062-D1062&lt;0),("24:00:00"-D1062)+("00:00:00"+F1062)-0.0416666666666667,IF(AND(OR(AG1062="Allaitement",AG1062="Sans déjeuner"),F1062-D1062&lt;0),("24:00:00"-D1062)+("00:00:00"+F1062),IF(AND(AG1062="",F1062-D1062&gt;0.166666666666667),F1062-D1062-0.0416666666666667,IF(AND(OR(AG1062="Allaitement",AG1062="Sans déjeuner"),F1062-D1062&gt;0.166666666666667),F1062-D1062,F1062-D1062)))))))</f>
        <v>0</v>
      </c>
      <c r="P1062" s="6" t="str">
        <f aca="false">IFERROR(VLOOKUP($B1062,Agents!$A:$D,2,0),"-")</f>
        <v>Accessibilité</v>
      </c>
      <c r="Q1062" s="21" t="n">
        <v>46284</v>
      </c>
      <c r="R1062" s="8" t="n">
        <f aca="false">IF(M1062="Abs",O1062,0)</f>
        <v>0</v>
      </c>
      <c r="S1062" s="8" t="n">
        <f aca="false">SUM(R1062,L1062,I1062,J1062,W1062,H1062)</f>
        <v>0</v>
      </c>
      <c r="T1062" s="6" t="str">
        <f aca="false">"Sem - "&amp;WEEKNUM(Q1062,21)</f>
        <v>Sem - 38</v>
      </c>
      <c r="U1062" s="6" t="str">
        <f aca="false">CHOOSE(MONTH(Q1062),"Janvier","Février","Mars","Avril","Mai","Juin","Juillet","Août","Septembre","Octobre","Novembre","Décembre")</f>
        <v>Septembre</v>
      </c>
      <c r="V1062" s="22" t="n">
        <f aca="false">YEAR(Q1062)</f>
        <v>2026</v>
      </c>
      <c r="W1062" s="20"/>
      <c r="X1062" s="8" t="n">
        <f aca="false">IFERROR(IF(M1062="Abs",0,IF(ROUND((D1062-C1062+E1062-F1062)*1440,0)&lt;=1,0,D1062-C1062+E1062-F1062)),0)</f>
        <v>0</v>
      </c>
      <c r="Y1062" s="6" t="str">
        <f aca="false">IFERROR(VLOOKUP($B1062,Agents!$A:$D,3,0),"-")</f>
        <v>OUBRAHIM Mohammed</v>
      </c>
      <c r="Z1062" s="6" t="str">
        <f aca="false">IFERROR(VLOOKUP($B1062,Agents!$A:$D,4,0),"-")</f>
        <v>Credit Mutuel</v>
      </c>
      <c r="AA1062" s="18" t="s">
        <v>120</v>
      </c>
      <c r="AB1062" s="8" t="str">
        <f aca="false">IF(AND(D1062="Congé",F1062="Congé"),0.333333333333333,IF(OR(AND(D1062="Congé",F1062&lt;&gt;"Congé"),(AND(F1062="Congé",D1062&lt;&gt;"Congé"))),0.166666666666667,""))</f>
        <v/>
      </c>
      <c r="AC1062" s="8" t="str">
        <f aca="false">IF(AND(D1062="Congé sans solde",F1062="Congé sans solde"),0.333333333333333,IF(OR(AND(D1062="Congé sans solde",F1062&lt;&gt;"Congé sans solde"),(AND(F1062="Congé sans solde",D1062&lt;&gt;"Congé sans solde"))),0.166666666666667,""))</f>
        <v/>
      </c>
      <c r="AD1062" s="8" t="str">
        <f aca="false">IF(AND(D1062="Congé spécial",F1062="Congé spécial"),0.333333333333333,IF(OR(AND(D1062="Congé spécial",F1062&lt;&gt;"Congé spécial"),AND(F1062="Congé spécial",D1062&lt;&gt;"Congé spécial")),0.166666666666667,""))</f>
        <v/>
      </c>
      <c r="AE1062" s="8" t="str">
        <f aca="false">IF(AND(D1062="Férié",F1062="Férié"),0.333333333333333,IF(OR(AND(D1062="Férié",F1062&lt;&gt;"Férié"),(AND(F1062="Férié",D1062&lt;&gt;"Férié"))),0.166666666666667,""))</f>
        <v/>
      </c>
      <c r="AF1062" s="18"/>
      <c r="AG1062" s="18"/>
    </row>
    <row r="1063" customFormat="false" ht="15" hidden="false" customHeight="false" outlineLevel="0" collapsed="false">
      <c r="A1063" s="6" t="str">
        <f aca="false">YEAR(Q1063-WEEKDAY(Q1063,2)+4)&amp;"-S"&amp;TEXT(WEEKNUM(Q1063,21),"00")</f>
        <v>2026-S38</v>
      </c>
      <c r="B1063" s="18" t="s">
        <v>71</v>
      </c>
      <c r="C1063" s="19"/>
      <c r="D1063" s="19" t="s">
        <v>74</v>
      </c>
      <c r="E1063" s="19"/>
      <c r="F1063" s="19" t="s">
        <v>74</v>
      </c>
      <c r="G1063" s="20"/>
      <c r="H1063" s="20"/>
      <c r="I1063" s="8" t="str">
        <f aca="false">IF(IF(OR(C1063="",D1063="Congé",D1063="OFF",D1063="Congé spécial"),"",IF(D1063&gt;F1063,D1063-C1063,IF(C1063-D1063&lt;0,0,C1063-D1063)))&lt;0.00068287037037037,"",IF(OR(D1063="Congé",D1063="OFF",C1063="",D1063="Congé spécial"),"",IF(D1063&gt;F1063,D1063-C1063,IF(C1063-D1063&lt;0,0,C1063-D1063))))</f>
        <v/>
      </c>
      <c r="J1063" s="20"/>
      <c r="K1063" s="8" t="n">
        <f aca="false">IF(SUM(H1063:J1063)&lt;0.00068287037037037,0,SUM(H1063:J1063))</f>
        <v>0</v>
      </c>
      <c r="L1063" s="8" t="n">
        <f aca="false">IF(OR(F1063="Congé",F1063="OFF",M1063="Abs",F1063="Congé sans solde",F1063="Férié",F1063="Congé spécial",D1063="Congé spécial"),0,IF(F1063-E1063&lt;0,0,IF(F1063-E1063&lt;=0.00068287037037037,0,F1063-E1063)))</f>
        <v>0</v>
      </c>
      <c r="M1063" s="6" t="n">
        <f aca="false">IF(AND(O1063&lt;&gt;0,C1063=""),"Abs",0)</f>
        <v>0</v>
      </c>
      <c r="N1063" s="8" t="str">
        <f aca="false">IFERROR(IF(OR(D1063="OFF",D1063="Congé",M1063="Abs",D1063="Congé sans solde",D1063="Férié"),"",IF(O1063-K1063-L1063&gt;O1063,O1063,IF(O1063-K1063-L1063&lt;0,"",O1063-K1063-L1063))),"")</f>
        <v/>
      </c>
      <c r="O1063" s="8" t="n">
        <f aca="false">IF(AG1063="2H Pause déjeuner",IF(F1063-D1063-0.0833333333333333&lt;0,F1063-D1063-0.0833333333333333+1,F1063-D1063-0.0833333333333333),IF(OR(AND(F1063="OFF",D1063="OFF"),AND(F1063="Congé",D1063="Congé"),AND(F1063="Congé sans solde",D1063="Congé sans solde"),AND(F1063="Congé spécial",D1063="Congé spécial"),AND(F1063="Férié",D1063="Férié"),AND(F1063="OFF",D1063="Congé"),AND(F1063="OFF",D1063="Congé sans solde"),AND(F1063="OFF",D1063="Congé spécial"),AND(F1063="OFF",D1063="Férié"),AND(F1063="Congé",D1063="OFF"),AND(F1063="Congé",D1063="Congé sans solde"),AND(F1063="Congé",D1063="Congé spécial"),AND(F1063="Congé",D1063="Férié"),AND(F1063="Congé sans solde",D1063="OFF"),AND(F1063="Congé sans solde",D1063="Congé"),AND(F1063="Congé sans solde",D1063="Congé spécial"),AND(F1063="Congé sans solde",D1063="Férié"),AND(F1063="Congé spécial",D1063="OFF"),AND(F1063="Congé spécial",D1063="Congé"),AND(F1063="Congé spécial",D1063="Congé sans solde"),AND(F1063="Congé spécial",D1063="Férié"),AND(F1063="Férié",D1063="OFF"),AND(F1063="Férié",D1063="Congé"),AND(F1063="Férié",D1063="Congé sans solde"),AND(F1063="Férié",D1063="Congé spécial")),0,IF(OR(F1063="OFF",F1063="Congé",F1063="Congé spécial",F1063="Congé sans solde",D1063="OFF",D1063="Congé",D1063="Congé spécial",D1063="Congé sans solde"),0.208333333333334,IF(AND(AG1063="",F1063-D1063&lt;0),("24:00:00"-D1063)+("00:00:00"+F1063)-0.0416666666666667,IF(AND(OR(AG1063="Allaitement",AG1063="Sans déjeuner"),F1063-D1063&lt;0),("24:00:00"-D1063)+("00:00:00"+F1063),IF(AND(AG1063="",F1063-D1063&gt;0.166666666666667),F1063-D1063-0.0416666666666667,IF(AND(OR(AG1063="Allaitement",AG1063="Sans déjeuner"),F1063-D1063&gt;0.166666666666667),F1063-D1063,F1063-D1063)))))))</f>
        <v>0</v>
      </c>
      <c r="P1063" s="6" t="str">
        <f aca="false">IFERROR(VLOOKUP($B1063,Agents!$A:$D,2,0),"-")</f>
        <v>Accessibilité</v>
      </c>
      <c r="Q1063" s="21" t="n">
        <v>46285</v>
      </c>
      <c r="R1063" s="8" t="n">
        <f aca="false">IF(M1063="Abs",O1063,0)</f>
        <v>0</v>
      </c>
      <c r="S1063" s="8" t="n">
        <f aca="false">SUM(R1063,L1063,I1063,J1063,W1063,H1063)</f>
        <v>0</v>
      </c>
      <c r="T1063" s="6" t="str">
        <f aca="false">"Sem - "&amp;WEEKNUM(Q1063,21)</f>
        <v>Sem - 38</v>
      </c>
      <c r="U1063" s="6" t="str">
        <f aca="false">CHOOSE(MONTH(Q1063),"Janvier","Février","Mars","Avril","Mai","Juin","Juillet","Août","Septembre","Octobre","Novembre","Décembre")</f>
        <v>Septembre</v>
      </c>
      <c r="V1063" s="22" t="n">
        <f aca="false">YEAR(Q1063)</f>
        <v>2026</v>
      </c>
      <c r="W1063" s="20"/>
      <c r="X1063" s="8" t="n">
        <f aca="false">IFERROR(IF(M1063="Abs",0,IF(ROUND((D1063-C1063+E1063-F1063)*1440,0)&lt;=1,0,D1063-C1063+E1063-F1063)),0)</f>
        <v>0</v>
      </c>
      <c r="Y1063" s="6" t="str">
        <f aca="false">IFERROR(VLOOKUP($B1063,Agents!$A:$D,3,0),"-")</f>
        <v>OUBRAHIM Mohammed</v>
      </c>
      <c r="Z1063" s="6" t="str">
        <f aca="false">IFERROR(VLOOKUP($B1063,Agents!$A:$D,4,0),"-")</f>
        <v>Credit Mutuel</v>
      </c>
      <c r="AA1063" s="18" t="s">
        <v>120</v>
      </c>
      <c r="AB1063" s="8" t="str">
        <f aca="false">IF(AND(D1063="Congé",F1063="Congé"),0.333333333333333,IF(OR(AND(D1063="Congé",F1063&lt;&gt;"Congé"),(AND(F1063="Congé",D1063&lt;&gt;"Congé"))),0.166666666666667,""))</f>
        <v/>
      </c>
      <c r="AC1063" s="8" t="str">
        <f aca="false">IF(AND(D1063="Congé sans solde",F1063="Congé sans solde"),0.333333333333333,IF(OR(AND(D1063="Congé sans solde",F1063&lt;&gt;"Congé sans solde"),(AND(F1063="Congé sans solde",D1063&lt;&gt;"Congé sans solde"))),0.166666666666667,""))</f>
        <v/>
      </c>
      <c r="AD1063" s="8" t="str">
        <f aca="false">IF(AND(D1063="Congé spécial",F1063="Congé spécial"),0.333333333333333,IF(OR(AND(D1063="Congé spécial",F1063&lt;&gt;"Congé spécial"),AND(F1063="Congé spécial",D1063&lt;&gt;"Congé spécial")),0.166666666666667,""))</f>
        <v/>
      </c>
      <c r="AE1063" s="8" t="str">
        <f aca="false">IF(AND(D1063="Férié",F1063="Férié"),0.333333333333333,IF(OR(AND(D1063="Férié",F1063&lt;&gt;"Férié"),(AND(F1063="Férié",D1063&lt;&gt;"Férié"))),0.166666666666667,""))</f>
        <v/>
      </c>
      <c r="AF1063" s="18"/>
      <c r="AG1063" s="18"/>
    </row>
    <row r="1064" customFormat="false" ht="15" hidden="false" customHeight="false" outlineLevel="0" collapsed="false">
      <c r="A1064" s="6" t="str">
        <f aca="false">YEAR(Q1064-WEEKDAY(Q1064,2)+4)&amp;"-S"&amp;TEXT(WEEKNUM(Q1064,21),"00")</f>
        <v>2026-S38</v>
      </c>
      <c r="B1064" s="18" t="s">
        <v>72</v>
      </c>
      <c r="C1064" s="19"/>
      <c r="D1064" s="19" t="s">
        <v>74</v>
      </c>
      <c r="E1064" s="19"/>
      <c r="F1064" s="19" t="s">
        <v>74</v>
      </c>
      <c r="G1064" s="20"/>
      <c r="H1064" s="20"/>
      <c r="I1064" s="8" t="str">
        <f aca="false">IF(IF(OR(C1064="",D1064="Congé",D1064="OFF",D1064="Congé spécial"),"",IF(D1064&gt;F1064,D1064-C1064,IF(C1064-D1064&lt;0,0,C1064-D1064)))&lt;0.00068287037037037,"",IF(OR(D1064="Congé",D1064="OFF",C1064="",D1064="Congé spécial"),"",IF(D1064&gt;F1064,D1064-C1064,IF(C1064-D1064&lt;0,0,C1064-D1064))))</f>
        <v/>
      </c>
      <c r="J1064" s="20"/>
      <c r="K1064" s="8" t="n">
        <f aca="false">IF(SUM(H1064:J1064)&lt;0.00068287037037037,0,SUM(H1064:J1064))</f>
        <v>0</v>
      </c>
      <c r="L1064" s="8" t="n">
        <f aca="false">IF(OR(F1064="Congé",F1064="OFF",M1064="Abs",F1064="Congé sans solde",F1064="Férié",F1064="Congé spécial",D1064="Congé spécial"),0,IF(F1064-E1064&lt;0,0,IF(F1064-E1064&lt;=0.00068287037037037,0,F1064-E1064)))</f>
        <v>0</v>
      </c>
      <c r="M1064" s="6" t="n">
        <f aca="false">IF(AND(O1064&lt;&gt;0,C1064=""),"Abs",0)</f>
        <v>0</v>
      </c>
      <c r="N1064" s="8" t="str">
        <f aca="false">IFERROR(IF(OR(D1064="OFF",D1064="Congé",M1064="Abs",D1064="Congé sans solde",D1064="Férié"),"",IF(O1064-K1064-L1064&gt;O1064,O1064,IF(O1064-K1064-L1064&lt;0,"",O1064-K1064-L1064))),"")</f>
        <v/>
      </c>
      <c r="O1064" s="8" t="n">
        <f aca="false">IF(AG1064="2H Pause déjeuner",IF(F1064-D1064-0.0833333333333333&lt;0,F1064-D1064-0.0833333333333333+1,F1064-D1064-0.0833333333333333),IF(OR(AND(F1064="OFF",D1064="OFF"),AND(F1064="Congé",D1064="Congé"),AND(F1064="Congé sans solde",D1064="Congé sans solde"),AND(F1064="Congé spécial",D1064="Congé spécial"),AND(F1064="Férié",D1064="Férié"),AND(F1064="OFF",D1064="Congé"),AND(F1064="OFF",D1064="Congé sans solde"),AND(F1064="OFF",D1064="Congé spécial"),AND(F1064="OFF",D1064="Férié"),AND(F1064="Congé",D1064="OFF"),AND(F1064="Congé",D1064="Congé sans solde"),AND(F1064="Congé",D1064="Congé spécial"),AND(F1064="Congé",D1064="Férié"),AND(F1064="Congé sans solde",D1064="OFF"),AND(F1064="Congé sans solde",D1064="Congé"),AND(F1064="Congé sans solde",D1064="Congé spécial"),AND(F1064="Congé sans solde",D1064="Férié"),AND(F1064="Congé spécial",D1064="OFF"),AND(F1064="Congé spécial",D1064="Congé"),AND(F1064="Congé spécial",D1064="Congé sans solde"),AND(F1064="Congé spécial",D1064="Férié"),AND(F1064="Férié",D1064="OFF"),AND(F1064="Férié",D1064="Congé"),AND(F1064="Férié",D1064="Congé sans solde"),AND(F1064="Férié",D1064="Congé spécial")),0,IF(OR(F1064="OFF",F1064="Congé",F1064="Congé spécial",F1064="Congé sans solde",D1064="OFF",D1064="Congé",D1064="Congé spécial",D1064="Congé sans solde"),0.208333333333334,IF(AND(AG1064="",F1064-D1064&lt;0),("24:00:00"-D1064)+("00:00:00"+F1064)-0.0416666666666667,IF(AND(OR(AG1064="Allaitement",AG1064="Sans déjeuner"),F1064-D1064&lt;0),("24:00:00"-D1064)+("00:00:00"+F1064),IF(AND(AG1064="",F1064-D1064&gt;0.166666666666667),F1064-D1064-0.0416666666666667,IF(AND(OR(AG1064="Allaitement",AG1064="Sans déjeuner"),F1064-D1064&gt;0.166666666666667),F1064-D1064,F1064-D1064)))))))</f>
        <v>0</v>
      </c>
      <c r="P1064" s="6" t="str">
        <f aca="false">IFERROR(VLOOKUP($B1064,Agents!$A:$D,2,0),"-")</f>
        <v>Accessibilité</v>
      </c>
      <c r="Q1064" s="21" t="n">
        <v>46285</v>
      </c>
      <c r="R1064" s="8" t="n">
        <f aca="false">IF(M1064="Abs",O1064,0)</f>
        <v>0</v>
      </c>
      <c r="S1064" s="8" t="n">
        <f aca="false">SUM(R1064,L1064,I1064,J1064,W1064,H1064)</f>
        <v>0</v>
      </c>
      <c r="T1064" s="6" t="str">
        <f aca="false">"Sem - "&amp;WEEKNUM(Q1064,21)</f>
        <v>Sem - 38</v>
      </c>
      <c r="U1064" s="6" t="str">
        <f aca="false">CHOOSE(MONTH(Q1064),"Janvier","Février","Mars","Avril","Mai","Juin","Juillet","Août","Septembre","Octobre","Novembre","Décembre")</f>
        <v>Septembre</v>
      </c>
      <c r="V1064" s="22" t="n">
        <f aca="false">YEAR(Q1064)</f>
        <v>2026</v>
      </c>
      <c r="W1064" s="20"/>
      <c r="X1064" s="8" t="n">
        <f aca="false">IFERROR(IF(M1064="Abs",0,IF(ROUND((D1064-C1064+E1064-F1064)*1440,0)&lt;=1,0,D1064-C1064+E1064-F1064)),0)</f>
        <v>0</v>
      </c>
      <c r="Y1064" s="6" t="str">
        <f aca="false">IFERROR(VLOOKUP($B1064,Agents!$A:$D,3,0),"-")</f>
        <v>OUBRAHIM Mohammed</v>
      </c>
      <c r="Z1064" s="6" t="str">
        <f aca="false">IFERROR(VLOOKUP($B1064,Agents!$A:$D,4,0),"-")</f>
        <v>Credit Mutuel</v>
      </c>
      <c r="AA1064" s="18" t="s">
        <v>120</v>
      </c>
      <c r="AB1064" s="8" t="str">
        <f aca="false">IF(AND(D1064="Congé",F1064="Congé"),0.333333333333333,IF(OR(AND(D1064="Congé",F1064&lt;&gt;"Congé"),(AND(F1064="Congé",D1064&lt;&gt;"Congé"))),0.166666666666667,""))</f>
        <v/>
      </c>
      <c r="AC1064" s="8" t="str">
        <f aca="false">IF(AND(D1064="Congé sans solde",F1064="Congé sans solde"),0.333333333333333,IF(OR(AND(D1064="Congé sans solde",F1064&lt;&gt;"Congé sans solde"),(AND(F1064="Congé sans solde",D1064&lt;&gt;"Congé sans solde"))),0.166666666666667,""))</f>
        <v/>
      </c>
      <c r="AD1064" s="8" t="str">
        <f aca="false">IF(AND(D1064="Congé spécial",F1064="Congé spécial"),0.333333333333333,IF(OR(AND(D1064="Congé spécial",F1064&lt;&gt;"Congé spécial"),AND(F1064="Congé spécial",D1064&lt;&gt;"Congé spécial")),0.166666666666667,""))</f>
        <v/>
      </c>
      <c r="AE1064" s="8" t="str">
        <f aca="false">IF(AND(D1064="Férié",F1064="Férié"),0.333333333333333,IF(OR(AND(D1064="Férié",F1064&lt;&gt;"Férié"),(AND(F1064="Férié",D1064&lt;&gt;"Férié"))),0.166666666666667,""))</f>
        <v/>
      </c>
      <c r="AF1064" s="18"/>
      <c r="AG1064" s="18"/>
    </row>
    <row r="1065" customFormat="false" ht="15" hidden="false" customHeight="false" outlineLevel="0" collapsed="false">
      <c r="A1065" s="6" t="str">
        <f aca="false">YEAR(Q1065-WEEKDAY(Q1065,2)+4)&amp;"-S"&amp;TEXT(WEEKNUM(Q1065,21),"00")</f>
        <v>2026-S38</v>
      </c>
      <c r="B1065" s="18" t="s">
        <v>73</v>
      </c>
      <c r="C1065" s="19"/>
      <c r="D1065" s="19" t="s">
        <v>74</v>
      </c>
      <c r="E1065" s="19"/>
      <c r="F1065" s="19" t="s">
        <v>74</v>
      </c>
      <c r="G1065" s="20"/>
      <c r="H1065" s="20"/>
      <c r="I1065" s="8" t="str">
        <f aca="false">IF(IF(OR(C1065="",D1065="Congé",D1065="OFF",D1065="Congé spécial"),"",IF(D1065&gt;F1065,D1065-C1065,IF(C1065-D1065&lt;0,0,C1065-D1065)))&lt;0.00068287037037037,"",IF(OR(D1065="Congé",D1065="OFF",C1065="",D1065="Congé spécial"),"",IF(D1065&gt;F1065,D1065-C1065,IF(C1065-D1065&lt;0,0,C1065-D1065))))</f>
        <v/>
      </c>
      <c r="J1065" s="20"/>
      <c r="K1065" s="8" t="n">
        <f aca="false">IF(SUM(H1065:J1065)&lt;0.00068287037037037,0,SUM(H1065:J1065))</f>
        <v>0</v>
      </c>
      <c r="L1065" s="8" t="n">
        <f aca="false">IF(OR(F1065="Congé",F1065="OFF",M1065="Abs",F1065="Congé sans solde",F1065="Férié",F1065="Congé spécial",D1065="Congé spécial"),0,IF(F1065-E1065&lt;0,0,IF(F1065-E1065&lt;=0.00068287037037037,0,F1065-E1065)))</f>
        <v>0</v>
      </c>
      <c r="M1065" s="6" t="n">
        <f aca="false">IF(AND(O1065&lt;&gt;0,C1065=""),"Abs",0)</f>
        <v>0</v>
      </c>
      <c r="N1065" s="8" t="str">
        <f aca="false">IFERROR(IF(OR(D1065="OFF",D1065="Congé",M1065="Abs",D1065="Congé sans solde",D1065="Férié"),"",IF(O1065-K1065-L1065&gt;O1065,O1065,IF(O1065-K1065-L1065&lt;0,"",O1065-K1065-L1065))),"")</f>
        <v/>
      </c>
      <c r="O1065" s="8" t="n">
        <f aca="false">IF(AG1065="2H Pause déjeuner",IF(F1065-D1065-0.0833333333333333&lt;0,F1065-D1065-0.0833333333333333+1,F1065-D1065-0.0833333333333333),IF(OR(AND(F1065="OFF",D1065="OFF"),AND(F1065="Congé",D1065="Congé"),AND(F1065="Congé sans solde",D1065="Congé sans solde"),AND(F1065="Congé spécial",D1065="Congé spécial"),AND(F1065="Férié",D1065="Férié"),AND(F1065="OFF",D1065="Congé"),AND(F1065="OFF",D1065="Congé sans solde"),AND(F1065="OFF",D1065="Congé spécial"),AND(F1065="OFF",D1065="Férié"),AND(F1065="Congé",D1065="OFF"),AND(F1065="Congé",D1065="Congé sans solde"),AND(F1065="Congé",D1065="Congé spécial"),AND(F1065="Congé",D1065="Férié"),AND(F1065="Congé sans solde",D1065="OFF"),AND(F1065="Congé sans solde",D1065="Congé"),AND(F1065="Congé sans solde",D1065="Congé spécial"),AND(F1065="Congé sans solde",D1065="Férié"),AND(F1065="Congé spécial",D1065="OFF"),AND(F1065="Congé spécial",D1065="Congé"),AND(F1065="Congé spécial",D1065="Congé sans solde"),AND(F1065="Congé spécial",D1065="Férié"),AND(F1065="Férié",D1065="OFF"),AND(F1065="Férié",D1065="Congé"),AND(F1065="Férié",D1065="Congé sans solde"),AND(F1065="Férié",D1065="Congé spécial")),0,IF(OR(F1065="OFF",F1065="Congé",F1065="Congé spécial",F1065="Congé sans solde",D1065="OFF",D1065="Congé",D1065="Congé spécial",D1065="Congé sans solde"),0.208333333333334,IF(AND(AG1065="",F1065-D1065&lt;0),("24:00:00"-D1065)+("00:00:00"+F1065)-0.0416666666666667,IF(AND(OR(AG1065="Allaitement",AG1065="Sans déjeuner"),F1065-D1065&lt;0),("24:00:00"-D1065)+("00:00:00"+F1065),IF(AND(AG1065="",F1065-D1065&gt;0.166666666666667),F1065-D1065-0.0416666666666667,IF(AND(OR(AG1065="Allaitement",AG1065="Sans déjeuner"),F1065-D1065&gt;0.166666666666667),F1065-D1065,F1065-D1065)))))))</f>
        <v>0</v>
      </c>
      <c r="P1065" s="6" t="str">
        <f aca="false">IFERROR(VLOOKUP($B1065,Agents!$A:$D,2,0),"-")</f>
        <v>Accessibilité</v>
      </c>
      <c r="Q1065" s="21" t="n">
        <v>46285</v>
      </c>
      <c r="R1065" s="8" t="n">
        <f aca="false">IF(M1065="Abs",O1065,0)</f>
        <v>0</v>
      </c>
      <c r="S1065" s="8" t="n">
        <f aca="false">SUM(R1065,L1065,I1065,J1065,W1065,H1065)</f>
        <v>0</v>
      </c>
      <c r="T1065" s="6" t="str">
        <f aca="false">"Sem - "&amp;WEEKNUM(Q1065,21)</f>
        <v>Sem - 38</v>
      </c>
      <c r="U1065" s="6" t="str">
        <f aca="false">CHOOSE(MONTH(Q1065),"Janvier","Février","Mars","Avril","Mai","Juin","Juillet","Août","Septembre","Octobre","Novembre","Décembre")</f>
        <v>Septembre</v>
      </c>
      <c r="V1065" s="22" t="n">
        <f aca="false">YEAR(Q1065)</f>
        <v>2026</v>
      </c>
      <c r="W1065" s="20"/>
      <c r="X1065" s="8" t="n">
        <f aca="false">IFERROR(IF(M1065="Abs",0,IF(ROUND((D1065-C1065+E1065-F1065)*1440,0)&lt;=1,0,D1065-C1065+E1065-F1065)),0)</f>
        <v>0</v>
      </c>
      <c r="Y1065" s="6" t="str">
        <f aca="false">IFERROR(VLOOKUP($B1065,Agents!$A:$D,3,0),"-")</f>
        <v>OUBRAHIM Mohammed</v>
      </c>
      <c r="Z1065" s="6" t="str">
        <f aca="false">IFERROR(VLOOKUP($B1065,Agents!$A:$D,4,0),"-")</f>
        <v>Credit Mutuel</v>
      </c>
      <c r="AA1065" s="18" t="s">
        <v>120</v>
      </c>
      <c r="AB1065" s="8" t="str">
        <f aca="false">IF(AND(D1065="Congé",F1065="Congé"),0.333333333333333,IF(OR(AND(D1065="Congé",F1065&lt;&gt;"Congé"),(AND(F1065="Congé",D1065&lt;&gt;"Congé"))),0.166666666666667,""))</f>
        <v/>
      </c>
      <c r="AC1065" s="8" t="str">
        <f aca="false">IF(AND(D1065="Congé sans solde",F1065="Congé sans solde"),0.333333333333333,IF(OR(AND(D1065="Congé sans solde",F1065&lt;&gt;"Congé sans solde"),(AND(F1065="Congé sans solde",D1065&lt;&gt;"Congé sans solde"))),0.166666666666667,""))</f>
        <v/>
      </c>
      <c r="AD1065" s="8" t="str">
        <f aca="false">IF(AND(D1065="Congé spécial",F1065="Congé spécial"),0.333333333333333,IF(OR(AND(D1065="Congé spécial",F1065&lt;&gt;"Congé spécial"),AND(F1065="Congé spécial",D1065&lt;&gt;"Congé spécial")),0.166666666666667,""))</f>
        <v/>
      </c>
      <c r="AE1065" s="8" t="str">
        <f aca="false">IF(AND(D1065="Férié",F1065="Férié"),0.333333333333333,IF(OR(AND(D1065="Férié",F1065&lt;&gt;"Férié"),(AND(F1065="Férié",D1065&lt;&gt;"Férié"))),0.166666666666667,""))</f>
        <v/>
      </c>
      <c r="AF1065" s="18"/>
      <c r="AG1065" s="18"/>
    </row>
    <row r="1066" customFormat="false" ht="15" hidden="false" customHeight="false" outlineLevel="0" collapsed="false">
      <c r="A1066" s="6" t="str">
        <f aca="false">YEAR(Q1066-WEEKDAY(Q1066,2)+4)&amp;"-S"&amp;TEXT(WEEKNUM(Q1066,21),"00")</f>
        <v>2026-S39</v>
      </c>
      <c r="B1066" s="18" t="s">
        <v>71</v>
      </c>
      <c r="C1066" s="19" t="n">
        <v>0.333333333333333</v>
      </c>
      <c r="D1066" s="19" t="n">
        <v>0.333333333333333</v>
      </c>
      <c r="E1066" s="19" t="n">
        <v>0.75</v>
      </c>
      <c r="F1066" s="19" t="n">
        <v>0.75</v>
      </c>
      <c r="G1066" s="20"/>
      <c r="H1066" s="20"/>
      <c r="I1066" s="8" t="str">
        <f aca="false">IF(IF(OR(C1066="",D1066="Congé",D1066="OFF",D1066="Congé spécial"),"",IF(D1066&gt;F1066,D1066-C1066,IF(C1066-D1066&lt;0,0,C1066-D1066)))&lt;0.00068287037037037,"",IF(OR(D1066="Congé",D1066="OFF",C1066="",D1066="Congé spécial"),"",IF(D1066&gt;F1066,D1066-C1066,IF(C1066-D1066&lt;0,0,C1066-D1066))))</f>
        <v/>
      </c>
      <c r="J1066" s="20"/>
      <c r="K1066" s="8" t="n">
        <f aca="false">IF(SUM(H1066:J1066)&lt;0.00068287037037037,0,SUM(H1066:J1066))</f>
        <v>0</v>
      </c>
      <c r="L1066" s="8" t="n">
        <f aca="false">IF(OR(F1066="Congé",F1066="OFF",M1066="Abs",F1066="Congé sans solde",F1066="Férié",F1066="Congé spécial",D1066="Congé spécial"),0,IF(F1066-E1066&lt;0,0,IF(F1066-E1066&lt;=0.00068287037037037,0,F1066-E1066)))</f>
        <v>0</v>
      </c>
      <c r="M1066" s="6" t="n">
        <f aca="false">IF(AND(O1066&lt;&gt;0,C1066=""),"Abs",0)</f>
        <v>0</v>
      </c>
      <c r="N1066" s="8" t="n">
        <f aca="false">IFERROR(IF(OR(D1066="OFF",D1066="Congé",M1066="Abs",D1066="Congé sans solde",D1066="Férié"),"",IF(O1066-K1066-L1066&gt;O1066,O1066,IF(O1066-K1066-L1066&lt;0,"",O1066-K1066-L1066))),"")</f>
        <v>0.375</v>
      </c>
      <c r="O1066" s="8" t="n">
        <f aca="false">IF(AG1066="2H Pause déjeuner",IF(F1066-D1066-0.0833333333333333&lt;0,F1066-D1066-0.0833333333333333+1,F1066-D1066-0.0833333333333333),IF(OR(AND(F1066="OFF",D1066="OFF"),AND(F1066="Congé",D1066="Congé"),AND(F1066="Congé sans solde",D1066="Congé sans solde"),AND(F1066="Congé spécial",D1066="Congé spécial"),AND(F1066="Férié",D1066="Férié"),AND(F1066="OFF",D1066="Congé"),AND(F1066="OFF",D1066="Congé sans solde"),AND(F1066="OFF",D1066="Congé spécial"),AND(F1066="OFF",D1066="Férié"),AND(F1066="Congé",D1066="OFF"),AND(F1066="Congé",D1066="Congé sans solde"),AND(F1066="Congé",D1066="Congé spécial"),AND(F1066="Congé",D1066="Férié"),AND(F1066="Congé sans solde",D1066="OFF"),AND(F1066="Congé sans solde",D1066="Congé"),AND(F1066="Congé sans solde",D1066="Congé spécial"),AND(F1066="Congé sans solde",D1066="Férié"),AND(F1066="Congé spécial",D1066="OFF"),AND(F1066="Congé spécial",D1066="Congé"),AND(F1066="Congé spécial",D1066="Congé sans solde"),AND(F1066="Congé spécial",D1066="Férié"),AND(F1066="Férié",D1066="OFF"),AND(F1066="Férié",D1066="Congé"),AND(F1066="Férié",D1066="Congé sans solde"),AND(F1066="Férié",D1066="Congé spécial")),0,IF(OR(F1066="OFF",F1066="Congé",F1066="Congé spécial",F1066="Congé sans solde",D1066="OFF",D1066="Congé",D1066="Congé spécial",D1066="Congé sans solde"),0.208333333333334,IF(AND(AG1066="",F1066-D1066&lt;0),("24:00:00"-D1066)+("00:00:00"+F1066)-0.0416666666666667,IF(AND(OR(AG1066="Allaitement",AG1066="Sans déjeuner"),F1066-D1066&lt;0),("24:00:00"-D1066)+("00:00:00"+F1066),IF(AND(AG1066="",F1066-D1066&gt;0.166666666666667),F1066-D1066-0.0416666666666667,IF(AND(OR(AG1066="Allaitement",AG1066="Sans déjeuner"),F1066-D1066&gt;0.166666666666667),F1066-D1066,F1066-D1066)))))))</f>
        <v>0.375</v>
      </c>
      <c r="P1066" s="6" t="str">
        <f aca="false">IFERROR(VLOOKUP($B1066,Agents!$A:$D,2,0),"-")</f>
        <v>Accessibilité</v>
      </c>
      <c r="Q1066" s="21" t="n">
        <v>46286</v>
      </c>
      <c r="R1066" s="8" t="n">
        <f aca="false">IF(M1066="Abs",O1066,0)</f>
        <v>0</v>
      </c>
      <c r="S1066" s="8" t="n">
        <f aca="false">SUM(R1066,L1066,I1066,J1066,W1066,H1066)</f>
        <v>0</v>
      </c>
      <c r="T1066" s="6" t="str">
        <f aca="false">"Sem - "&amp;WEEKNUM(Q1066,21)</f>
        <v>Sem - 39</v>
      </c>
      <c r="U1066" s="6" t="str">
        <f aca="false">CHOOSE(MONTH(Q1066),"Janvier","Février","Mars","Avril","Mai","Juin","Juillet","Août","Septembre","Octobre","Novembre","Décembre")</f>
        <v>Septembre</v>
      </c>
      <c r="V1066" s="22" t="n">
        <f aca="false">YEAR(Q1066)</f>
        <v>2026</v>
      </c>
      <c r="W1066" s="20"/>
      <c r="X1066" s="8" t="n">
        <f aca="false">IFERROR(IF(M1066="Abs",0,IF(ROUND((D1066-C1066+E1066-F1066)*1440,0)&lt;=1,0,D1066-C1066+E1066-F1066)),0)</f>
        <v>0</v>
      </c>
      <c r="Y1066" s="6" t="str">
        <f aca="false">IFERROR(VLOOKUP($B1066,Agents!$A:$D,3,0),"-")</f>
        <v>OUBRAHIM Mohammed</v>
      </c>
      <c r="Z1066" s="6" t="str">
        <f aca="false">IFERROR(VLOOKUP($B1066,Agents!$A:$D,4,0),"-")</f>
        <v>Credit Mutuel</v>
      </c>
      <c r="AA1066" s="18" t="s">
        <v>121</v>
      </c>
      <c r="AB1066" s="8" t="str">
        <f aca="false">IF(AND(D1066="Congé",F1066="Congé"),0.333333333333333,IF(OR(AND(D1066="Congé",F1066&lt;&gt;"Congé"),(AND(F1066="Congé",D1066&lt;&gt;"Congé"))),0.166666666666667,""))</f>
        <v/>
      </c>
      <c r="AC1066" s="8" t="str">
        <f aca="false">IF(AND(D1066="Congé sans solde",F1066="Congé sans solde"),0.333333333333333,IF(OR(AND(D1066="Congé sans solde",F1066&lt;&gt;"Congé sans solde"),(AND(F1066="Congé sans solde",D1066&lt;&gt;"Congé sans solde"))),0.166666666666667,""))</f>
        <v/>
      </c>
      <c r="AD1066" s="8" t="str">
        <f aca="false">IF(AND(D1066="Congé spécial",F1066="Congé spécial"),0.333333333333333,IF(OR(AND(D1066="Congé spécial",F1066&lt;&gt;"Congé spécial"),AND(F1066="Congé spécial",D1066&lt;&gt;"Congé spécial")),0.166666666666667,""))</f>
        <v/>
      </c>
      <c r="AE1066" s="8" t="str">
        <f aca="false">IF(AND(D1066="Férié",F1066="Férié"),0.333333333333333,IF(OR(AND(D1066="Férié",F1066&lt;&gt;"Férié"),(AND(F1066="Férié",D1066&lt;&gt;"Férié"))),0.166666666666667,""))</f>
        <v/>
      </c>
      <c r="AF1066" s="18"/>
      <c r="AG1066" s="18"/>
    </row>
    <row r="1067" customFormat="false" ht="15" hidden="false" customHeight="false" outlineLevel="0" collapsed="false">
      <c r="A1067" s="6" t="str">
        <f aca="false">YEAR(Q1067-WEEKDAY(Q1067,2)+4)&amp;"-S"&amp;TEXT(WEEKNUM(Q1067,21),"00")</f>
        <v>2026-S39</v>
      </c>
      <c r="B1067" s="18" t="s">
        <v>72</v>
      </c>
      <c r="C1067" s="19" t="n">
        <v>0.333333333333333</v>
      </c>
      <c r="D1067" s="19" t="n">
        <v>0.333333333333333</v>
      </c>
      <c r="E1067" s="19" t="n">
        <v>0.75</v>
      </c>
      <c r="F1067" s="19" t="n">
        <v>0.75</v>
      </c>
      <c r="G1067" s="20"/>
      <c r="H1067" s="20"/>
      <c r="I1067" s="8" t="str">
        <f aca="false">IF(IF(OR(C1067="",D1067="Congé",D1067="OFF",D1067="Congé spécial"),"",IF(D1067&gt;F1067,D1067-C1067,IF(C1067-D1067&lt;0,0,C1067-D1067)))&lt;0.00068287037037037,"",IF(OR(D1067="Congé",D1067="OFF",C1067="",D1067="Congé spécial"),"",IF(D1067&gt;F1067,D1067-C1067,IF(C1067-D1067&lt;0,0,C1067-D1067))))</f>
        <v/>
      </c>
      <c r="J1067" s="20"/>
      <c r="K1067" s="8" t="n">
        <f aca="false">IF(SUM(H1067:J1067)&lt;0.00068287037037037,0,SUM(H1067:J1067))</f>
        <v>0</v>
      </c>
      <c r="L1067" s="8" t="n">
        <f aca="false">IF(OR(F1067="Congé",F1067="OFF",M1067="Abs",F1067="Congé sans solde",F1067="Férié",F1067="Congé spécial",D1067="Congé spécial"),0,IF(F1067-E1067&lt;0,0,IF(F1067-E1067&lt;=0.00068287037037037,0,F1067-E1067)))</f>
        <v>0</v>
      </c>
      <c r="M1067" s="6" t="n">
        <f aca="false">IF(AND(O1067&lt;&gt;0,C1067=""),"Abs",0)</f>
        <v>0</v>
      </c>
      <c r="N1067" s="8" t="n">
        <f aca="false">IFERROR(IF(OR(D1067="OFF",D1067="Congé",M1067="Abs",D1067="Congé sans solde",D1067="Férié"),"",IF(O1067-K1067-L1067&gt;O1067,O1067,IF(O1067-K1067-L1067&lt;0,"",O1067-K1067-L1067))),"")</f>
        <v>0.375</v>
      </c>
      <c r="O1067" s="8" t="n">
        <f aca="false">IF(AG1067="2H Pause déjeuner",IF(F1067-D1067-0.0833333333333333&lt;0,F1067-D1067-0.0833333333333333+1,F1067-D1067-0.0833333333333333),IF(OR(AND(F1067="OFF",D1067="OFF"),AND(F1067="Congé",D1067="Congé"),AND(F1067="Congé sans solde",D1067="Congé sans solde"),AND(F1067="Congé spécial",D1067="Congé spécial"),AND(F1067="Férié",D1067="Férié"),AND(F1067="OFF",D1067="Congé"),AND(F1067="OFF",D1067="Congé sans solde"),AND(F1067="OFF",D1067="Congé spécial"),AND(F1067="OFF",D1067="Férié"),AND(F1067="Congé",D1067="OFF"),AND(F1067="Congé",D1067="Congé sans solde"),AND(F1067="Congé",D1067="Congé spécial"),AND(F1067="Congé",D1067="Férié"),AND(F1067="Congé sans solde",D1067="OFF"),AND(F1067="Congé sans solde",D1067="Congé"),AND(F1067="Congé sans solde",D1067="Congé spécial"),AND(F1067="Congé sans solde",D1067="Férié"),AND(F1067="Congé spécial",D1067="OFF"),AND(F1067="Congé spécial",D1067="Congé"),AND(F1067="Congé spécial",D1067="Congé sans solde"),AND(F1067="Congé spécial",D1067="Férié"),AND(F1067="Férié",D1067="OFF"),AND(F1067="Férié",D1067="Congé"),AND(F1067="Férié",D1067="Congé sans solde"),AND(F1067="Férié",D1067="Congé spécial")),0,IF(OR(F1067="OFF",F1067="Congé",F1067="Congé spécial",F1067="Congé sans solde",D1067="OFF",D1067="Congé",D1067="Congé spécial",D1067="Congé sans solde"),0.208333333333334,IF(AND(AG1067="",F1067-D1067&lt;0),("24:00:00"-D1067)+("00:00:00"+F1067)-0.0416666666666667,IF(AND(OR(AG1067="Allaitement",AG1067="Sans déjeuner"),F1067-D1067&lt;0),("24:00:00"-D1067)+("00:00:00"+F1067),IF(AND(AG1067="",F1067-D1067&gt;0.166666666666667),F1067-D1067-0.0416666666666667,IF(AND(OR(AG1067="Allaitement",AG1067="Sans déjeuner"),F1067-D1067&gt;0.166666666666667),F1067-D1067,F1067-D1067)))))))</f>
        <v>0.375</v>
      </c>
      <c r="P1067" s="6" t="str">
        <f aca="false">IFERROR(VLOOKUP($B1067,Agents!$A:$D,2,0),"-")</f>
        <v>Accessibilité</v>
      </c>
      <c r="Q1067" s="21" t="n">
        <v>46286</v>
      </c>
      <c r="R1067" s="8" t="n">
        <f aca="false">IF(M1067="Abs",O1067,0)</f>
        <v>0</v>
      </c>
      <c r="S1067" s="8" t="n">
        <f aca="false">SUM(R1067,L1067,I1067,J1067,W1067,H1067)</f>
        <v>0</v>
      </c>
      <c r="T1067" s="6" t="str">
        <f aca="false">"Sem - "&amp;WEEKNUM(Q1067,21)</f>
        <v>Sem - 39</v>
      </c>
      <c r="U1067" s="6" t="str">
        <f aca="false">CHOOSE(MONTH(Q1067),"Janvier","Février","Mars","Avril","Mai","Juin","Juillet","Août","Septembre","Octobre","Novembre","Décembre")</f>
        <v>Septembre</v>
      </c>
      <c r="V1067" s="22" t="n">
        <f aca="false">YEAR(Q1067)</f>
        <v>2026</v>
      </c>
      <c r="W1067" s="20"/>
      <c r="X1067" s="8" t="n">
        <f aca="false">IFERROR(IF(M1067="Abs",0,IF(ROUND((D1067-C1067+E1067-F1067)*1440,0)&lt;=1,0,D1067-C1067+E1067-F1067)),0)</f>
        <v>0</v>
      </c>
      <c r="Y1067" s="6" t="str">
        <f aca="false">IFERROR(VLOOKUP($B1067,Agents!$A:$D,3,0),"-")</f>
        <v>OUBRAHIM Mohammed</v>
      </c>
      <c r="Z1067" s="6" t="str">
        <f aca="false">IFERROR(VLOOKUP($B1067,Agents!$A:$D,4,0),"-")</f>
        <v>Credit Mutuel</v>
      </c>
      <c r="AA1067" s="18" t="s">
        <v>121</v>
      </c>
      <c r="AB1067" s="8" t="str">
        <f aca="false">IF(AND(D1067="Congé",F1067="Congé"),0.333333333333333,IF(OR(AND(D1067="Congé",F1067&lt;&gt;"Congé"),(AND(F1067="Congé",D1067&lt;&gt;"Congé"))),0.166666666666667,""))</f>
        <v/>
      </c>
      <c r="AC1067" s="8" t="str">
        <f aca="false">IF(AND(D1067="Congé sans solde",F1067="Congé sans solde"),0.333333333333333,IF(OR(AND(D1067="Congé sans solde",F1067&lt;&gt;"Congé sans solde"),(AND(F1067="Congé sans solde",D1067&lt;&gt;"Congé sans solde"))),0.166666666666667,""))</f>
        <v/>
      </c>
      <c r="AD1067" s="8" t="str">
        <f aca="false">IF(AND(D1067="Congé spécial",F1067="Congé spécial"),0.333333333333333,IF(OR(AND(D1067="Congé spécial",F1067&lt;&gt;"Congé spécial"),AND(F1067="Congé spécial",D1067&lt;&gt;"Congé spécial")),0.166666666666667,""))</f>
        <v/>
      </c>
      <c r="AE1067" s="8" t="str">
        <f aca="false">IF(AND(D1067="Férié",F1067="Férié"),0.333333333333333,IF(OR(AND(D1067="Férié",F1067&lt;&gt;"Férié"),(AND(F1067="Férié",D1067&lt;&gt;"Férié"))),0.166666666666667,""))</f>
        <v/>
      </c>
      <c r="AF1067" s="18"/>
      <c r="AG1067" s="18"/>
    </row>
    <row r="1068" customFormat="false" ht="15" hidden="false" customHeight="false" outlineLevel="0" collapsed="false">
      <c r="A1068" s="6" t="str">
        <f aca="false">YEAR(Q1068-WEEKDAY(Q1068,2)+4)&amp;"-S"&amp;TEXT(WEEKNUM(Q1068,21),"00")</f>
        <v>2026-S39</v>
      </c>
      <c r="B1068" s="18" t="s">
        <v>73</v>
      </c>
      <c r="C1068" s="19" t="n">
        <v>0.333333333333333</v>
      </c>
      <c r="D1068" s="19" t="n">
        <v>0.333333333333333</v>
      </c>
      <c r="E1068" s="19" t="n">
        <v>0.75</v>
      </c>
      <c r="F1068" s="19" t="n">
        <v>0.75</v>
      </c>
      <c r="G1068" s="20"/>
      <c r="H1068" s="20"/>
      <c r="I1068" s="8" t="str">
        <f aca="false">IF(IF(OR(C1068="",D1068="Congé",D1068="OFF",D1068="Congé spécial"),"",IF(D1068&gt;F1068,D1068-C1068,IF(C1068-D1068&lt;0,0,C1068-D1068)))&lt;0.00068287037037037,"",IF(OR(D1068="Congé",D1068="OFF",C1068="",D1068="Congé spécial"),"",IF(D1068&gt;F1068,D1068-C1068,IF(C1068-D1068&lt;0,0,C1068-D1068))))</f>
        <v/>
      </c>
      <c r="J1068" s="20"/>
      <c r="K1068" s="8" t="n">
        <f aca="false">IF(SUM(H1068:J1068)&lt;0.00068287037037037,0,SUM(H1068:J1068))</f>
        <v>0</v>
      </c>
      <c r="L1068" s="8" t="n">
        <f aca="false">IF(OR(F1068="Congé",F1068="OFF",M1068="Abs",F1068="Congé sans solde",F1068="Férié",F1068="Congé spécial",D1068="Congé spécial"),0,IF(F1068-E1068&lt;0,0,IF(F1068-E1068&lt;=0.00068287037037037,0,F1068-E1068)))</f>
        <v>0</v>
      </c>
      <c r="M1068" s="6" t="n">
        <f aca="false">IF(AND(O1068&lt;&gt;0,C1068=""),"Abs",0)</f>
        <v>0</v>
      </c>
      <c r="N1068" s="8" t="n">
        <f aca="false">IFERROR(IF(OR(D1068="OFF",D1068="Congé",M1068="Abs",D1068="Congé sans solde",D1068="Férié"),"",IF(O1068-K1068-L1068&gt;O1068,O1068,IF(O1068-K1068-L1068&lt;0,"",O1068-K1068-L1068))),"")</f>
        <v>0.375</v>
      </c>
      <c r="O1068" s="8" t="n">
        <f aca="false">IF(AG1068="2H Pause déjeuner",IF(F1068-D1068-0.0833333333333333&lt;0,F1068-D1068-0.0833333333333333+1,F1068-D1068-0.0833333333333333),IF(OR(AND(F1068="OFF",D1068="OFF"),AND(F1068="Congé",D1068="Congé"),AND(F1068="Congé sans solde",D1068="Congé sans solde"),AND(F1068="Congé spécial",D1068="Congé spécial"),AND(F1068="Férié",D1068="Férié"),AND(F1068="OFF",D1068="Congé"),AND(F1068="OFF",D1068="Congé sans solde"),AND(F1068="OFF",D1068="Congé spécial"),AND(F1068="OFF",D1068="Férié"),AND(F1068="Congé",D1068="OFF"),AND(F1068="Congé",D1068="Congé sans solde"),AND(F1068="Congé",D1068="Congé spécial"),AND(F1068="Congé",D1068="Férié"),AND(F1068="Congé sans solde",D1068="OFF"),AND(F1068="Congé sans solde",D1068="Congé"),AND(F1068="Congé sans solde",D1068="Congé spécial"),AND(F1068="Congé sans solde",D1068="Férié"),AND(F1068="Congé spécial",D1068="OFF"),AND(F1068="Congé spécial",D1068="Congé"),AND(F1068="Congé spécial",D1068="Congé sans solde"),AND(F1068="Congé spécial",D1068="Férié"),AND(F1068="Férié",D1068="OFF"),AND(F1068="Férié",D1068="Congé"),AND(F1068="Férié",D1068="Congé sans solde"),AND(F1068="Férié",D1068="Congé spécial")),0,IF(OR(F1068="OFF",F1068="Congé",F1068="Congé spécial",F1068="Congé sans solde",D1068="OFF",D1068="Congé",D1068="Congé spécial",D1068="Congé sans solde"),0.208333333333334,IF(AND(AG1068="",F1068-D1068&lt;0),("24:00:00"-D1068)+("00:00:00"+F1068)-0.0416666666666667,IF(AND(OR(AG1068="Allaitement",AG1068="Sans déjeuner"),F1068-D1068&lt;0),("24:00:00"-D1068)+("00:00:00"+F1068),IF(AND(AG1068="",F1068-D1068&gt;0.166666666666667),F1068-D1068-0.0416666666666667,IF(AND(OR(AG1068="Allaitement",AG1068="Sans déjeuner"),F1068-D1068&gt;0.166666666666667),F1068-D1068,F1068-D1068)))))))</f>
        <v>0.375</v>
      </c>
      <c r="P1068" s="6" t="str">
        <f aca="false">IFERROR(VLOOKUP($B1068,Agents!$A:$D,2,0),"-")</f>
        <v>Accessibilité</v>
      </c>
      <c r="Q1068" s="21" t="n">
        <v>46286</v>
      </c>
      <c r="R1068" s="8" t="n">
        <f aca="false">IF(M1068="Abs",O1068,0)</f>
        <v>0</v>
      </c>
      <c r="S1068" s="8" t="n">
        <f aca="false">SUM(R1068,L1068,I1068,J1068,W1068,H1068)</f>
        <v>0</v>
      </c>
      <c r="T1068" s="6" t="str">
        <f aca="false">"Sem - "&amp;WEEKNUM(Q1068,21)</f>
        <v>Sem - 39</v>
      </c>
      <c r="U1068" s="6" t="str">
        <f aca="false">CHOOSE(MONTH(Q1068),"Janvier","Février","Mars","Avril","Mai","Juin","Juillet","Août","Septembre","Octobre","Novembre","Décembre")</f>
        <v>Septembre</v>
      </c>
      <c r="V1068" s="22" t="n">
        <f aca="false">YEAR(Q1068)</f>
        <v>2026</v>
      </c>
      <c r="W1068" s="20"/>
      <c r="X1068" s="8" t="n">
        <f aca="false">IFERROR(IF(M1068="Abs",0,IF(ROUND((D1068-C1068+E1068-F1068)*1440,0)&lt;=1,0,D1068-C1068+E1068-F1068)),0)</f>
        <v>0</v>
      </c>
      <c r="Y1068" s="6" t="str">
        <f aca="false">IFERROR(VLOOKUP($B1068,Agents!$A:$D,3,0),"-")</f>
        <v>OUBRAHIM Mohammed</v>
      </c>
      <c r="Z1068" s="6" t="str">
        <f aca="false">IFERROR(VLOOKUP($B1068,Agents!$A:$D,4,0),"-")</f>
        <v>Credit Mutuel</v>
      </c>
      <c r="AA1068" s="18" t="s">
        <v>121</v>
      </c>
      <c r="AB1068" s="8" t="str">
        <f aca="false">IF(AND(D1068="Congé",F1068="Congé"),0.333333333333333,IF(OR(AND(D1068="Congé",F1068&lt;&gt;"Congé"),(AND(F1068="Congé",D1068&lt;&gt;"Congé"))),0.166666666666667,""))</f>
        <v/>
      </c>
      <c r="AC1068" s="8" t="str">
        <f aca="false">IF(AND(D1068="Congé sans solde",F1068="Congé sans solde"),0.333333333333333,IF(OR(AND(D1068="Congé sans solde",F1068&lt;&gt;"Congé sans solde"),(AND(F1068="Congé sans solde",D1068&lt;&gt;"Congé sans solde"))),0.166666666666667,""))</f>
        <v/>
      </c>
      <c r="AD1068" s="8" t="str">
        <f aca="false">IF(AND(D1068="Congé spécial",F1068="Congé spécial"),0.333333333333333,IF(OR(AND(D1068="Congé spécial",F1068&lt;&gt;"Congé spécial"),AND(F1068="Congé spécial",D1068&lt;&gt;"Congé spécial")),0.166666666666667,""))</f>
        <v/>
      </c>
      <c r="AE1068" s="8" t="str">
        <f aca="false">IF(AND(D1068="Férié",F1068="Férié"),0.333333333333333,IF(OR(AND(D1068="Férié",F1068&lt;&gt;"Férié"),(AND(F1068="Férié",D1068&lt;&gt;"Férié"))),0.166666666666667,""))</f>
        <v/>
      </c>
      <c r="AF1068" s="18"/>
      <c r="AG1068" s="18"/>
    </row>
    <row r="1069" customFormat="false" ht="15" hidden="false" customHeight="false" outlineLevel="0" collapsed="false">
      <c r="A1069" s="6" t="str">
        <f aca="false">YEAR(Q1069-WEEKDAY(Q1069,2)+4)&amp;"-S"&amp;TEXT(WEEKNUM(Q1069,21),"00")</f>
        <v>2026-S39</v>
      </c>
      <c r="B1069" s="18" t="s">
        <v>71</v>
      </c>
      <c r="C1069" s="19"/>
      <c r="D1069" s="19" t="s">
        <v>83</v>
      </c>
      <c r="E1069" s="19"/>
      <c r="F1069" s="19" t="s">
        <v>83</v>
      </c>
      <c r="G1069" s="20"/>
      <c r="H1069" s="20"/>
      <c r="I1069" s="8" t="str">
        <f aca="false">IF(IF(OR(C1069="",D1069="Congé",D1069="OFF",D1069="Congé spécial"),"",IF(D1069&gt;F1069,D1069-C1069,IF(C1069-D1069&lt;0,0,C1069-D1069)))&lt;0.00068287037037037,"",IF(OR(D1069="Congé",D1069="OFF",C1069="",D1069="Congé spécial"),"",IF(D1069&gt;F1069,D1069-C1069,IF(C1069-D1069&lt;0,0,C1069-D1069))))</f>
        <v/>
      </c>
      <c r="J1069" s="20"/>
      <c r="K1069" s="8" t="n">
        <f aca="false">IF(SUM(H1069:J1069)&lt;0.00068287037037037,0,SUM(H1069:J1069))</f>
        <v>0</v>
      </c>
      <c r="L1069" s="8" t="n">
        <f aca="false">IF(OR(F1069="Congé",F1069="OFF",M1069="Abs",F1069="Congé sans solde",F1069="Férié",F1069="Congé spécial",D1069="Congé spécial"),0,IF(F1069-E1069&lt;0,0,IF(F1069-E1069&lt;=0.00068287037037037,0,F1069-E1069)))</f>
        <v>0</v>
      </c>
      <c r="M1069" s="6" t="n">
        <f aca="false">IF(AND(O1069&lt;&gt;0,C1069=""),"Abs",0)</f>
        <v>0</v>
      </c>
      <c r="N1069" s="8" t="str">
        <f aca="false">IFERROR(IF(OR(D1069="OFF",D1069="Congé",M1069="Abs",D1069="Congé sans solde",D1069="Férié"),"",IF(O1069-K1069-L1069&gt;O1069,O1069,IF(O1069-K1069-L1069&lt;0,"",O1069-K1069-L1069))),"")</f>
        <v/>
      </c>
      <c r="O1069" s="8" t="n">
        <f aca="false">IF(AG1069="2H Pause déjeuner",IF(F1069-D1069-0.0833333333333333&lt;0,F1069-D1069-0.0833333333333333+1,F1069-D1069-0.0833333333333333),IF(OR(AND(F1069="OFF",D1069="OFF"),AND(F1069="Congé",D1069="Congé"),AND(F1069="Congé sans solde",D1069="Congé sans solde"),AND(F1069="Congé spécial",D1069="Congé spécial"),AND(F1069="Férié",D1069="Férié"),AND(F1069="OFF",D1069="Congé"),AND(F1069="OFF",D1069="Congé sans solde"),AND(F1069="OFF",D1069="Congé spécial"),AND(F1069="OFF",D1069="Férié"),AND(F1069="Congé",D1069="OFF"),AND(F1069="Congé",D1069="Congé sans solde"),AND(F1069="Congé",D1069="Congé spécial"),AND(F1069="Congé",D1069="Férié"),AND(F1069="Congé sans solde",D1069="OFF"),AND(F1069="Congé sans solde",D1069="Congé"),AND(F1069="Congé sans solde",D1069="Congé spécial"),AND(F1069="Congé sans solde",D1069="Férié"),AND(F1069="Congé spécial",D1069="OFF"),AND(F1069="Congé spécial",D1069="Congé"),AND(F1069="Congé spécial",D1069="Congé sans solde"),AND(F1069="Congé spécial",D1069="Férié"),AND(F1069="Férié",D1069="OFF"),AND(F1069="Férié",D1069="Congé"),AND(F1069="Férié",D1069="Congé sans solde"),AND(F1069="Férié",D1069="Congé spécial")),0,IF(OR(F1069="OFF",F1069="Congé",F1069="Congé spécial",F1069="Congé sans solde",D1069="OFF",D1069="Congé",D1069="Congé spécial",D1069="Congé sans solde"),0.208333333333334,IF(AND(AG1069="",F1069-D1069&lt;0),("24:00:00"-D1069)+("00:00:00"+F1069)-0.0416666666666667,IF(AND(OR(AG1069="Allaitement",AG1069="Sans déjeuner"),F1069-D1069&lt;0),("24:00:00"-D1069)+("00:00:00"+F1069),IF(AND(AG1069="",F1069-D1069&gt;0.166666666666667),F1069-D1069-0.0416666666666667,IF(AND(OR(AG1069="Allaitement",AG1069="Sans déjeuner"),F1069-D1069&gt;0.166666666666667),F1069-D1069,F1069-D1069)))))))</f>
        <v>0</v>
      </c>
      <c r="P1069" s="6" t="str">
        <f aca="false">IFERROR(VLOOKUP($B1069,Agents!$A:$D,2,0),"-")</f>
        <v>Accessibilité</v>
      </c>
      <c r="Q1069" s="21" t="n">
        <v>46287</v>
      </c>
      <c r="R1069" s="8" t="n">
        <f aca="false">IF(M1069="Abs",O1069,0)</f>
        <v>0</v>
      </c>
      <c r="S1069" s="8" t="n">
        <f aca="false">SUM(R1069,L1069,I1069,J1069,W1069,H1069)</f>
        <v>0</v>
      </c>
      <c r="T1069" s="6" t="str">
        <f aca="false">"Sem - "&amp;WEEKNUM(Q1069,21)</f>
        <v>Sem - 39</v>
      </c>
      <c r="U1069" s="6" t="str">
        <f aca="false">CHOOSE(MONTH(Q1069),"Janvier","Février","Mars","Avril","Mai","Juin","Juillet","Août","Septembre","Octobre","Novembre","Décembre")</f>
        <v>Septembre</v>
      </c>
      <c r="V1069" s="22" t="n">
        <f aca="false">YEAR(Q1069)</f>
        <v>2026</v>
      </c>
      <c r="W1069" s="20"/>
      <c r="X1069" s="8" t="n">
        <f aca="false">IFERROR(IF(M1069="Abs",0,IF(ROUND((D1069-C1069+E1069-F1069)*1440,0)&lt;=1,0,D1069-C1069+E1069-F1069)),0)</f>
        <v>0</v>
      </c>
      <c r="Y1069" s="6" t="str">
        <f aca="false">IFERROR(VLOOKUP($B1069,Agents!$A:$D,3,0),"-")</f>
        <v>OUBRAHIM Mohammed</v>
      </c>
      <c r="Z1069" s="6" t="str">
        <f aca="false">IFERROR(VLOOKUP($B1069,Agents!$A:$D,4,0),"-")</f>
        <v>Credit Mutuel</v>
      </c>
      <c r="AA1069" s="18" t="s">
        <v>121</v>
      </c>
      <c r="AB1069" s="8" t="n">
        <f aca="false">IF(AND(D1069="Congé",F1069="Congé"),0.333333333333333,IF(OR(AND(D1069="Congé",F1069&lt;&gt;"Congé"),(AND(F1069="Congé",D1069&lt;&gt;"Congé"))),0.166666666666667,""))</f>
        <v>0.333333333333333</v>
      </c>
      <c r="AC1069" s="8" t="str">
        <f aca="false">IF(AND(D1069="Congé sans solde",F1069="Congé sans solde"),0.333333333333333,IF(OR(AND(D1069="Congé sans solde",F1069&lt;&gt;"Congé sans solde"),(AND(F1069="Congé sans solde",D1069&lt;&gt;"Congé sans solde"))),0.166666666666667,""))</f>
        <v/>
      </c>
      <c r="AD1069" s="8" t="str">
        <f aca="false">IF(AND(D1069="Congé spécial",F1069="Congé spécial"),0.333333333333333,IF(OR(AND(D1069="Congé spécial",F1069&lt;&gt;"Congé spécial"),AND(F1069="Congé spécial",D1069&lt;&gt;"Congé spécial")),0.166666666666667,""))</f>
        <v/>
      </c>
      <c r="AE1069" s="8" t="str">
        <f aca="false">IF(AND(D1069="Férié",F1069="Férié"),0.333333333333333,IF(OR(AND(D1069="Férié",F1069&lt;&gt;"Férié"),(AND(F1069="Férié",D1069&lt;&gt;"Férié"))),0.166666666666667,""))</f>
        <v/>
      </c>
      <c r="AF1069" s="18"/>
      <c r="AG1069" s="18"/>
    </row>
    <row r="1070" customFormat="false" ht="15" hidden="false" customHeight="false" outlineLevel="0" collapsed="false">
      <c r="A1070" s="6" t="str">
        <f aca="false">YEAR(Q1070-WEEKDAY(Q1070,2)+4)&amp;"-S"&amp;TEXT(WEEKNUM(Q1070,21),"00")</f>
        <v>2026-S39</v>
      </c>
      <c r="B1070" s="18" t="s">
        <v>72</v>
      </c>
      <c r="C1070" s="19" t="n">
        <v>0.333333333333333</v>
      </c>
      <c r="D1070" s="19" t="n">
        <v>0.333333333333333</v>
      </c>
      <c r="E1070" s="19" t="n">
        <v>0.75</v>
      </c>
      <c r="F1070" s="19" t="n">
        <v>0.75</v>
      </c>
      <c r="G1070" s="20"/>
      <c r="H1070" s="20"/>
      <c r="I1070" s="8" t="str">
        <f aca="false">IF(IF(OR(C1070="",D1070="Congé",D1070="OFF",D1070="Congé spécial"),"",IF(D1070&gt;F1070,D1070-C1070,IF(C1070-D1070&lt;0,0,C1070-D1070)))&lt;0.00068287037037037,"",IF(OR(D1070="Congé",D1070="OFF",C1070="",D1070="Congé spécial"),"",IF(D1070&gt;F1070,D1070-C1070,IF(C1070-D1070&lt;0,0,C1070-D1070))))</f>
        <v/>
      </c>
      <c r="J1070" s="20"/>
      <c r="K1070" s="8" t="n">
        <f aca="false">IF(SUM(H1070:J1070)&lt;0.00068287037037037,0,SUM(H1070:J1070))</f>
        <v>0</v>
      </c>
      <c r="L1070" s="8" t="n">
        <f aca="false">IF(OR(F1070="Congé",F1070="OFF",M1070="Abs",F1070="Congé sans solde",F1070="Férié",F1070="Congé spécial",D1070="Congé spécial"),0,IF(F1070-E1070&lt;0,0,IF(F1070-E1070&lt;=0.00068287037037037,0,F1070-E1070)))</f>
        <v>0</v>
      </c>
      <c r="M1070" s="6" t="n">
        <f aca="false">IF(AND(O1070&lt;&gt;0,C1070=""),"Abs",0)</f>
        <v>0</v>
      </c>
      <c r="N1070" s="8" t="n">
        <f aca="false">IFERROR(IF(OR(D1070="OFF",D1070="Congé",M1070="Abs",D1070="Congé sans solde",D1070="Férié"),"",IF(O1070-K1070-L1070&gt;O1070,O1070,IF(O1070-K1070-L1070&lt;0,"",O1070-K1070-L1070))),"")</f>
        <v>0.375</v>
      </c>
      <c r="O1070" s="8" t="n">
        <f aca="false">IF(AG1070="2H Pause déjeuner",IF(F1070-D1070-0.0833333333333333&lt;0,F1070-D1070-0.0833333333333333+1,F1070-D1070-0.0833333333333333),IF(OR(AND(F1070="OFF",D1070="OFF"),AND(F1070="Congé",D1070="Congé"),AND(F1070="Congé sans solde",D1070="Congé sans solde"),AND(F1070="Congé spécial",D1070="Congé spécial"),AND(F1070="Férié",D1070="Férié"),AND(F1070="OFF",D1070="Congé"),AND(F1070="OFF",D1070="Congé sans solde"),AND(F1070="OFF",D1070="Congé spécial"),AND(F1070="OFF",D1070="Férié"),AND(F1070="Congé",D1070="OFF"),AND(F1070="Congé",D1070="Congé sans solde"),AND(F1070="Congé",D1070="Congé spécial"),AND(F1070="Congé",D1070="Férié"),AND(F1070="Congé sans solde",D1070="OFF"),AND(F1070="Congé sans solde",D1070="Congé"),AND(F1070="Congé sans solde",D1070="Congé spécial"),AND(F1070="Congé sans solde",D1070="Férié"),AND(F1070="Congé spécial",D1070="OFF"),AND(F1070="Congé spécial",D1070="Congé"),AND(F1070="Congé spécial",D1070="Congé sans solde"),AND(F1070="Congé spécial",D1070="Férié"),AND(F1070="Férié",D1070="OFF"),AND(F1070="Férié",D1070="Congé"),AND(F1070="Férié",D1070="Congé sans solde"),AND(F1070="Férié",D1070="Congé spécial")),0,IF(OR(F1070="OFF",F1070="Congé",F1070="Congé spécial",F1070="Congé sans solde",D1070="OFF",D1070="Congé",D1070="Congé spécial",D1070="Congé sans solde"),0.208333333333334,IF(AND(AG1070="",F1070-D1070&lt;0),("24:00:00"-D1070)+("00:00:00"+F1070)-0.0416666666666667,IF(AND(OR(AG1070="Allaitement",AG1070="Sans déjeuner"),F1070-D1070&lt;0),("24:00:00"-D1070)+("00:00:00"+F1070),IF(AND(AG1070="",F1070-D1070&gt;0.166666666666667),F1070-D1070-0.0416666666666667,IF(AND(OR(AG1070="Allaitement",AG1070="Sans déjeuner"),F1070-D1070&gt;0.166666666666667),F1070-D1070,F1070-D1070)))))))</f>
        <v>0.375</v>
      </c>
      <c r="P1070" s="6" t="str">
        <f aca="false">IFERROR(VLOOKUP($B1070,Agents!$A:$D,2,0),"-")</f>
        <v>Accessibilité</v>
      </c>
      <c r="Q1070" s="21" t="n">
        <v>46287</v>
      </c>
      <c r="R1070" s="8" t="n">
        <f aca="false">IF(M1070="Abs",O1070,0)</f>
        <v>0</v>
      </c>
      <c r="S1070" s="8" t="n">
        <f aca="false">SUM(R1070,L1070,I1070,J1070,W1070,H1070)</f>
        <v>0</v>
      </c>
      <c r="T1070" s="6" t="str">
        <f aca="false">"Sem - "&amp;WEEKNUM(Q1070,21)</f>
        <v>Sem - 39</v>
      </c>
      <c r="U1070" s="6" t="str">
        <f aca="false">CHOOSE(MONTH(Q1070),"Janvier","Février","Mars","Avril","Mai","Juin","Juillet","Août","Septembre","Octobre","Novembre","Décembre")</f>
        <v>Septembre</v>
      </c>
      <c r="V1070" s="22" t="n">
        <f aca="false">YEAR(Q1070)</f>
        <v>2026</v>
      </c>
      <c r="W1070" s="20"/>
      <c r="X1070" s="8" t="n">
        <f aca="false">IFERROR(IF(M1070="Abs",0,IF(ROUND((D1070-C1070+E1070-F1070)*1440,0)&lt;=1,0,D1070-C1070+E1070-F1070)),0)</f>
        <v>0</v>
      </c>
      <c r="Y1070" s="6" t="str">
        <f aca="false">IFERROR(VLOOKUP($B1070,Agents!$A:$D,3,0),"-")</f>
        <v>OUBRAHIM Mohammed</v>
      </c>
      <c r="Z1070" s="6" t="str">
        <f aca="false">IFERROR(VLOOKUP($B1070,Agents!$A:$D,4,0),"-")</f>
        <v>Credit Mutuel</v>
      </c>
      <c r="AA1070" s="18" t="s">
        <v>121</v>
      </c>
      <c r="AB1070" s="8" t="str">
        <f aca="false">IF(AND(D1070="Congé",F1070="Congé"),0.333333333333333,IF(OR(AND(D1070="Congé",F1070&lt;&gt;"Congé"),(AND(F1070="Congé",D1070&lt;&gt;"Congé"))),0.166666666666667,""))</f>
        <v/>
      </c>
      <c r="AC1070" s="8" t="str">
        <f aca="false">IF(AND(D1070="Congé sans solde",F1070="Congé sans solde"),0.333333333333333,IF(OR(AND(D1070="Congé sans solde",F1070&lt;&gt;"Congé sans solde"),(AND(F1070="Congé sans solde",D1070&lt;&gt;"Congé sans solde"))),0.166666666666667,""))</f>
        <v/>
      </c>
      <c r="AD1070" s="8" t="str">
        <f aca="false">IF(AND(D1070="Congé spécial",F1070="Congé spécial"),0.333333333333333,IF(OR(AND(D1070="Congé spécial",F1070&lt;&gt;"Congé spécial"),AND(F1070="Congé spécial",D1070&lt;&gt;"Congé spécial")),0.166666666666667,""))</f>
        <v/>
      </c>
      <c r="AE1070" s="8" t="str">
        <f aca="false">IF(AND(D1070="Férié",F1070="Férié"),0.333333333333333,IF(OR(AND(D1070="Férié",F1070&lt;&gt;"Férié"),(AND(F1070="Férié",D1070&lt;&gt;"Férié"))),0.166666666666667,""))</f>
        <v/>
      </c>
      <c r="AF1070" s="18"/>
      <c r="AG1070" s="18"/>
    </row>
    <row r="1071" customFormat="false" ht="15" hidden="false" customHeight="false" outlineLevel="0" collapsed="false">
      <c r="A1071" s="6" t="str">
        <f aca="false">YEAR(Q1071-WEEKDAY(Q1071,2)+4)&amp;"-S"&amp;TEXT(WEEKNUM(Q1071,21),"00")</f>
        <v>2026-S39</v>
      </c>
      <c r="B1071" s="18" t="s">
        <v>73</v>
      </c>
      <c r="C1071" s="19" t="n">
        <v>0.333333333333333</v>
      </c>
      <c r="D1071" s="19" t="n">
        <v>0.333333333333333</v>
      </c>
      <c r="E1071" s="19" t="n">
        <v>0.75</v>
      </c>
      <c r="F1071" s="19" t="n">
        <v>0.75</v>
      </c>
      <c r="G1071" s="20"/>
      <c r="H1071" s="20"/>
      <c r="I1071" s="8" t="str">
        <f aca="false">IF(IF(OR(C1071="",D1071="Congé",D1071="OFF",D1071="Congé spécial"),"",IF(D1071&gt;F1071,D1071-C1071,IF(C1071-D1071&lt;0,0,C1071-D1071)))&lt;0.00068287037037037,"",IF(OR(D1071="Congé",D1071="OFF",C1071="",D1071="Congé spécial"),"",IF(D1071&gt;F1071,D1071-C1071,IF(C1071-D1071&lt;0,0,C1071-D1071))))</f>
        <v/>
      </c>
      <c r="J1071" s="20"/>
      <c r="K1071" s="8" t="n">
        <f aca="false">IF(SUM(H1071:J1071)&lt;0.00068287037037037,0,SUM(H1071:J1071))</f>
        <v>0</v>
      </c>
      <c r="L1071" s="8" t="n">
        <f aca="false">IF(OR(F1071="Congé",F1071="OFF",M1071="Abs",F1071="Congé sans solde",F1071="Férié",F1071="Congé spécial",D1071="Congé spécial"),0,IF(F1071-E1071&lt;0,0,IF(F1071-E1071&lt;=0.00068287037037037,0,F1071-E1071)))</f>
        <v>0</v>
      </c>
      <c r="M1071" s="6" t="n">
        <f aca="false">IF(AND(O1071&lt;&gt;0,C1071=""),"Abs",0)</f>
        <v>0</v>
      </c>
      <c r="N1071" s="8" t="n">
        <f aca="false">IFERROR(IF(OR(D1071="OFF",D1071="Congé",M1071="Abs",D1071="Congé sans solde",D1071="Férié"),"",IF(O1071-K1071-L1071&gt;O1071,O1071,IF(O1071-K1071-L1071&lt;0,"",O1071-K1071-L1071))),"")</f>
        <v>0.375</v>
      </c>
      <c r="O1071" s="8" t="n">
        <f aca="false">IF(AG1071="2H Pause déjeuner",IF(F1071-D1071-0.0833333333333333&lt;0,F1071-D1071-0.0833333333333333+1,F1071-D1071-0.0833333333333333),IF(OR(AND(F1071="OFF",D1071="OFF"),AND(F1071="Congé",D1071="Congé"),AND(F1071="Congé sans solde",D1071="Congé sans solde"),AND(F1071="Congé spécial",D1071="Congé spécial"),AND(F1071="Férié",D1071="Férié"),AND(F1071="OFF",D1071="Congé"),AND(F1071="OFF",D1071="Congé sans solde"),AND(F1071="OFF",D1071="Congé spécial"),AND(F1071="OFF",D1071="Férié"),AND(F1071="Congé",D1071="OFF"),AND(F1071="Congé",D1071="Congé sans solde"),AND(F1071="Congé",D1071="Congé spécial"),AND(F1071="Congé",D1071="Férié"),AND(F1071="Congé sans solde",D1071="OFF"),AND(F1071="Congé sans solde",D1071="Congé"),AND(F1071="Congé sans solde",D1071="Congé spécial"),AND(F1071="Congé sans solde",D1071="Férié"),AND(F1071="Congé spécial",D1071="OFF"),AND(F1071="Congé spécial",D1071="Congé"),AND(F1071="Congé spécial",D1071="Congé sans solde"),AND(F1071="Congé spécial",D1071="Férié"),AND(F1071="Férié",D1071="OFF"),AND(F1071="Férié",D1071="Congé"),AND(F1071="Férié",D1071="Congé sans solde"),AND(F1071="Férié",D1071="Congé spécial")),0,IF(OR(F1071="OFF",F1071="Congé",F1071="Congé spécial",F1071="Congé sans solde",D1071="OFF",D1071="Congé",D1071="Congé spécial",D1071="Congé sans solde"),0.208333333333334,IF(AND(AG1071="",F1071-D1071&lt;0),("24:00:00"-D1071)+("00:00:00"+F1071)-0.0416666666666667,IF(AND(OR(AG1071="Allaitement",AG1071="Sans déjeuner"),F1071-D1071&lt;0),("24:00:00"-D1071)+("00:00:00"+F1071),IF(AND(AG1071="",F1071-D1071&gt;0.166666666666667),F1071-D1071-0.0416666666666667,IF(AND(OR(AG1071="Allaitement",AG1071="Sans déjeuner"),F1071-D1071&gt;0.166666666666667),F1071-D1071,F1071-D1071)))))))</f>
        <v>0.375</v>
      </c>
      <c r="P1071" s="6" t="str">
        <f aca="false">IFERROR(VLOOKUP($B1071,Agents!$A:$D,2,0),"-")</f>
        <v>Accessibilité</v>
      </c>
      <c r="Q1071" s="21" t="n">
        <v>46287</v>
      </c>
      <c r="R1071" s="8" t="n">
        <f aca="false">IF(M1071="Abs",O1071,0)</f>
        <v>0</v>
      </c>
      <c r="S1071" s="8" t="n">
        <f aca="false">SUM(R1071,L1071,I1071,J1071,W1071,H1071)</f>
        <v>0</v>
      </c>
      <c r="T1071" s="6" t="str">
        <f aca="false">"Sem - "&amp;WEEKNUM(Q1071,21)</f>
        <v>Sem - 39</v>
      </c>
      <c r="U1071" s="6" t="str">
        <f aca="false">CHOOSE(MONTH(Q1071),"Janvier","Février","Mars","Avril","Mai","Juin","Juillet","Août","Septembre","Octobre","Novembre","Décembre")</f>
        <v>Septembre</v>
      </c>
      <c r="V1071" s="22" t="n">
        <f aca="false">YEAR(Q1071)</f>
        <v>2026</v>
      </c>
      <c r="W1071" s="20"/>
      <c r="X1071" s="8" t="n">
        <f aca="false">IFERROR(IF(M1071="Abs",0,IF(ROUND((D1071-C1071+E1071-F1071)*1440,0)&lt;=1,0,D1071-C1071+E1071-F1071)),0)</f>
        <v>0</v>
      </c>
      <c r="Y1071" s="6" t="str">
        <f aca="false">IFERROR(VLOOKUP($B1071,Agents!$A:$D,3,0),"-")</f>
        <v>OUBRAHIM Mohammed</v>
      </c>
      <c r="Z1071" s="6" t="str">
        <f aca="false">IFERROR(VLOOKUP($B1071,Agents!$A:$D,4,0),"-")</f>
        <v>Credit Mutuel</v>
      </c>
      <c r="AA1071" s="18" t="s">
        <v>121</v>
      </c>
      <c r="AB1071" s="8" t="str">
        <f aca="false">IF(AND(D1071="Congé",F1071="Congé"),0.333333333333333,IF(OR(AND(D1071="Congé",F1071&lt;&gt;"Congé"),(AND(F1071="Congé",D1071&lt;&gt;"Congé"))),0.166666666666667,""))</f>
        <v/>
      </c>
      <c r="AC1071" s="8" t="str">
        <f aca="false">IF(AND(D1071="Congé sans solde",F1071="Congé sans solde"),0.333333333333333,IF(OR(AND(D1071="Congé sans solde",F1071&lt;&gt;"Congé sans solde"),(AND(F1071="Congé sans solde",D1071&lt;&gt;"Congé sans solde"))),0.166666666666667,""))</f>
        <v/>
      </c>
      <c r="AD1071" s="8" t="str">
        <f aca="false">IF(AND(D1071="Congé spécial",F1071="Congé spécial"),0.333333333333333,IF(OR(AND(D1071="Congé spécial",F1071&lt;&gt;"Congé spécial"),AND(F1071="Congé spécial",D1071&lt;&gt;"Congé spécial")),0.166666666666667,""))</f>
        <v/>
      </c>
      <c r="AE1071" s="8" t="str">
        <f aca="false">IF(AND(D1071="Férié",F1071="Férié"),0.333333333333333,IF(OR(AND(D1071="Férié",F1071&lt;&gt;"Férié"),(AND(F1071="Férié",D1071&lt;&gt;"Férié"))),0.166666666666667,""))</f>
        <v/>
      </c>
      <c r="AF1071" s="18"/>
      <c r="AG1071" s="18"/>
    </row>
    <row r="1072" customFormat="false" ht="15" hidden="false" customHeight="false" outlineLevel="0" collapsed="false">
      <c r="A1072" s="6" t="str">
        <f aca="false">YEAR(Q1072-WEEKDAY(Q1072,2)+4)&amp;"-S"&amp;TEXT(WEEKNUM(Q1072,21),"00")</f>
        <v>2026-S39</v>
      </c>
      <c r="B1072" s="18" t="s">
        <v>71</v>
      </c>
      <c r="C1072" s="19" t="n">
        <v>0.333333333333333</v>
      </c>
      <c r="D1072" s="19" t="n">
        <v>0.333333333333333</v>
      </c>
      <c r="E1072" s="19" t="n">
        <v>0.75</v>
      </c>
      <c r="F1072" s="19" t="n">
        <v>0.75</v>
      </c>
      <c r="G1072" s="20"/>
      <c r="H1072" s="20"/>
      <c r="I1072" s="8" t="str">
        <f aca="false">IF(IF(OR(C1072="",D1072="Congé",D1072="OFF",D1072="Congé spécial"),"",IF(D1072&gt;F1072,D1072-C1072,IF(C1072-D1072&lt;0,0,C1072-D1072)))&lt;0.00068287037037037,"",IF(OR(D1072="Congé",D1072="OFF",C1072="",D1072="Congé spécial"),"",IF(D1072&gt;F1072,D1072-C1072,IF(C1072-D1072&lt;0,0,C1072-D1072))))</f>
        <v/>
      </c>
      <c r="J1072" s="20"/>
      <c r="K1072" s="8" t="n">
        <f aca="false">IF(SUM(H1072:J1072)&lt;0.00068287037037037,0,SUM(H1072:J1072))</f>
        <v>0</v>
      </c>
      <c r="L1072" s="8" t="n">
        <f aca="false">IF(OR(F1072="Congé",F1072="OFF",M1072="Abs",F1072="Congé sans solde",F1072="Férié",F1072="Congé spécial",D1072="Congé spécial"),0,IF(F1072-E1072&lt;0,0,IF(F1072-E1072&lt;=0.00068287037037037,0,F1072-E1072)))</f>
        <v>0</v>
      </c>
      <c r="M1072" s="6" t="n">
        <f aca="false">IF(AND(O1072&lt;&gt;0,C1072=""),"Abs",0)</f>
        <v>0</v>
      </c>
      <c r="N1072" s="8" t="n">
        <f aca="false">IFERROR(IF(OR(D1072="OFF",D1072="Congé",M1072="Abs",D1072="Congé sans solde",D1072="Férié"),"",IF(O1072-K1072-L1072&gt;O1072,O1072,IF(O1072-K1072-L1072&lt;0,"",O1072-K1072-L1072))),"")</f>
        <v>0.375</v>
      </c>
      <c r="O1072" s="8" t="n">
        <f aca="false">IF(AG1072="2H Pause déjeuner",IF(F1072-D1072-0.0833333333333333&lt;0,F1072-D1072-0.0833333333333333+1,F1072-D1072-0.0833333333333333),IF(OR(AND(F1072="OFF",D1072="OFF"),AND(F1072="Congé",D1072="Congé"),AND(F1072="Congé sans solde",D1072="Congé sans solde"),AND(F1072="Congé spécial",D1072="Congé spécial"),AND(F1072="Férié",D1072="Férié"),AND(F1072="OFF",D1072="Congé"),AND(F1072="OFF",D1072="Congé sans solde"),AND(F1072="OFF",D1072="Congé spécial"),AND(F1072="OFF",D1072="Férié"),AND(F1072="Congé",D1072="OFF"),AND(F1072="Congé",D1072="Congé sans solde"),AND(F1072="Congé",D1072="Congé spécial"),AND(F1072="Congé",D1072="Férié"),AND(F1072="Congé sans solde",D1072="OFF"),AND(F1072="Congé sans solde",D1072="Congé"),AND(F1072="Congé sans solde",D1072="Congé spécial"),AND(F1072="Congé sans solde",D1072="Férié"),AND(F1072="Congé spécial",D1072="OFF"),AND(F1072="Congé spécial",D1072="Congé"),AND(F1072="Congé spécial",D1072="Congé sans solde"),AND(F1072="Congé spécial",D1072="Férié"),AND(F1072="Férié",D1072="OFF"),AND(F1072="Férié",D1072="Congé"),AND(F1072="Férié",D1072="Congé sans solde"),AND(F1072="Férié",D1072="Congé spécial")),0,IF(OR(F1072="OFF",F1072="Congé",F1072="Congé spécial",F1072="Congé sans solde",D1072="OFF",D1072="Congé",D1072="Congé spécial",D1072="Congé sans solde"),0.208333333333334,IF(AND(AG1072="",F1072-D1072&lt;0),("24:00:00"-D1072)+("00:00:00"+F1072)-0.0416666666666667,IF(AND(OR(AG1072="Allaitement",AG1072="Sans déjeuner"),F1072-D1072&lt;0),("24:00:00"-D1072)+("00:00:00"+F1072),IF(AND(AG1072="",F1072-D1072&gt;0.166666666666667),F1072-D1072-0.0416666666666667,IF(AND(OR(AG1072="Allaitement",AG1072="Sans déjeuner"),F1072-D1072&gt;0.166666666666667),F1072-D1072,F1072-D1072)))))))</f>
        <v>0.375</v>
      </c>
      <c r="P1072" s="6" t="str">
        <f aca="false">IFERROR(VLOOKUP($B1072,Agents!$A:$D,2,0),"-")</f>
        <v>Accessibilité</v>
      </c>
      <c r="Q1072" s="21" t="n">
        <v>46288</v>
      </c>
      <c r="R1072" s="8" t="n">
        <f aca="false">IF(M1072="Abs",O1072,0)</f>
        <v>0</v>
      </c>
      <c r="S1072" s="8" t="n">
        <f aca="false">SUM(R1072,L1072,I1072,J1072,W1072,H1072)</f>
        <v>0</v>
      </c>
      <c r="T1072" s="6" t="str">
        <f aca="false">"Sem - "&amp;WEEKNUM(Q1072,21)</f>
        <v>Sem - 39</v>
      </c>
      <c r="U1072" s="6" t="str">
        <f aca="false">CHOOSE(MONTH(Q1072),"Janvier","Février","Mars","Avril","Mai","Juin","Juillet","Août","Septembre","Octobre","Novembre","Décembre")</f>
        <v>Septembre</v>
      </c>
      <c r="V1072" s="22" t="n">
        <f aca="false">YEAR(Q1072)</f>
        <v>2026</v>
      </c>
      <c r="W1072" s="20"/>
      <c r="X1072" s="8" t="n">
        <f aca="false">IFERROR(IF(M1072="Abs",0,IF(ROUND((D1072-C1072+E1072-F1072)*1440,0)&lt;=1,0,D1072-C1072+E1072-F1072)),0)</f>
        <v>0</v>
      </c>
      <c r="Y1072" s="6" t="str">
        <f aca="false">IFERROR(VLOOKUP($B1072,Agents!$A:$D,3,0),"-")</f>
        <v>OUBRAHIM Mohammed</v>
      </c>
      <c r="Z1072" s="6" t="str">
        <f aca="false">IFERROR(VLOOKUP($B1072,Agents!$A:$D,4,0),"-")</f>
        <v>Credit Mutuel</v>
      </c>
      <c r="AA1072" s="18" t="s">
        <v>121</v>
      </c>
      <c r="AB1072" s="8" t="str">
        <f aca="false">IF(AND(D1072="Congé",F1072="Congé"),0.333333333333333,IF(OR(AND(D1072="Congé",F1072&lt;&gt;"Congé"),(AND(F1072="Congé",D1072&lt;&gt;"Congé"))),0.166666666666667,""))</f>
        <v/>
      </c>
      <c r="AC1072" s="8" t="str">
        <f aca="false">IF(AND(D1072="Congé sans solde",F1072="Congé sans solde"),0.333333333333333,IF(OR(AND(D1072="Congé sans solde",F1072&lt;&gt;"Congé sans solde"),(AND(F1072="Congé sans solde",D1072&lt;&gt;"Congé sans solde"))),0.166666666666667,""))</f>
        <v/>
      </c>
      <c r="AD1072" s="8" t="str">
        <f aca="false">IF(AND(D1072="Congé spécial",F1072="Congé spécial"),0.333333333333333,IF(OR(AND(D1072="Congé spécial",F1072&lt;&gt;"Congé spécial"),AND(F1072="Congé spécial",D1072&lt;&gt;"Congé spécial")),0.166666666666667,""))</f>
        <v/>
      </c>
      <c r="AE1072" s="8" t="str">
        <f aca="false">IF(AND(D1072="Férié",F1072="Férié"),0.333333333333333,IF(OR(AND(D1072="Férié",F1072&lt;&gt;"Férié"),(AND(F1072="Férié",D1072&lt;&gt;"Férié"))),0.166666666666667,""))</f>
        <v/>
      </c>
      <c r="AF1072" s="18"/>
      <c r="AG1072" s="18"/>
    </row>
    <row r="1073" customFormat="false" ht="15" hidden="false" customHeight="false" outlineLevel="0" collapsed="false">
      <c r="A1073" s="6" t="str">
        <f aca="false">YEAR(Q1073-WEEKDAY(Q1073,2)+4)&amp;"-S"&amp;TEXT(WEEKNUM(Q1073,21),"00")</f>
        <v>2026-S39</v>
      </c>
      <c r="B1073" s="18" t="s">
        <v>72</v>
      </c>
      <c r="C1073" s="19" t="n">
        <v>0.333333333333333</v>
      </c>
      <c r="D1073" s="19" t="n">
        <v>0.333333333333333</v>
      </c>
      <c r="E1073" s="19" t="n">
        <v>0.75</v>
      </c>
      <c r="F1073" s="19" t="n">
        <v>0.75</v>
      </c>
      <c r="G1073" s="20"/>
      <c r="H1073" s="20"/>
      <c r="I1073" s="8" t="str">
        <f aca="false">IF(IF(OR(C1073="",D1073="Congé",D1073="OFF",D1073="Congé spécial"),"",IF(D1073&gt;F1073,D1073-C1073,IF(C1073-D1073&lt;0,0,C1073-D1073)))&lt;0.00068287037037037,"",IF(OR(D1073="Congé",D1073="OFF",C1073="",D1073="Congé spécial"),"",IF(D1073&gt;F1073,D1073-C1073,IF(C1073-D1073&lt;0,0,C1073-D1073))))</f>
        <v/>
      </c>
      <c r="J1073" s="20"/>
      <c r="K1073" s="8" t="n">
        <f aca="false">IF(SUM(H1073:J1073)&lt;0.00068287037037037,0,SUM(H1073:J1073))</f>
        <v>0</v>
      </c>
      <c r="L1073" s="8" t="n">
        <f aca="false">IF(OR(F1073="Congé",F1073="OFF",M1073="Abs",F1073="Congé sans solde",F1073="Férié",F1073="Congé spécial",D1073="Congé spécial"),0,IF(F1073-E1073&lt;0,0,IF(F1073-E1073&lt;=0.00068287037037037,0,F1073-E1073)))</f>
        <v>0</v>
      </c>
      <c r="M1073" s="6" t="n">
        <f aca="false">IF(AND(O1073&lt;&gt;0,C1073=""),"Abs",0)</f>
        <v>0</v>
      </c>
      <c r="N1073" s="8" t="n">
        <f aca="false">IFERROR(IF(OR(D1073="OFF",D1073="Congé",M1073="Abs",D1073="Congé sans solde",D1073="Férié"),"",IF(O1073-K1073-L1073&gt;O1073,O1073,IF(O1073-K1073-L1073&lt;0,"",O1073-K1073-L1073))),"")</f>
        <v>0.375</v>
      </c>
      <c r="O1073" s="8" t="n">
        <f aca="false">IF(AG1073="2H Pause déjeuner",IF(F1073-D1073-0.0833333333333333&lt;0,F1073-D1073-0.0833333333333333+1,F1073-D1073-0.0833333333333333),IF(OR(AND(F1073="OFF",D1073="OFF"),AND(F1073="Congé",D1073="Congé"),AND(F1073="Congé sans solde",D1073="Congé sans solde"),AND(F1073="Congé spécial",D1073="Congé spécial"),AND(F1073="Férié",D1073="Férié"),AND(F1073="OFF",D1073="Congé"),AND(F1073="OFF",D1073="Congé sans solde"),AND(F1073="OFF",D1073="Congé spécial"),AND(F1073="OFF",D1073="Férié"),AND(F1073="Congé",D1073="OFF"),AND(F1073="Congé",D1073="Congé sans solde"),AND(F1073="Congé",D1073="Congé spécial"),AND(F1073="Congé",D1073="Férié"),AND(F1073="Congé sans solde",D1073="OFF"),AND(F1073="Congé sans solde",D1073="Congé"),AND(F1073="Congé sans solde",D1073="Congé spécial"),AND(F1073="Congé sans solde",D1073="Férié"),AND(F1073="Congé spécial",D1073="OFF"),AND(F1073="Congé spécial",D1073="Congé"),AND(F1073="Congé spécial",D1073="Congé sans solde"),AND(F1073="Congé spécial",D1073="Férié"),AND(F1073="Férié",D1073="OFF"),AND(F1073="Férié",D1073="Congé"),AND(F1073="Férié",D1073="Congé sans solde"),AND(F1073="Férié",D1073="Congé spécial")),0,IF(OR(F1073="OFF",F1073="Congé",F1073="Congé spécial",F1073="Congé sans solde",D1073="OFF",D1073="Congé",D1073="Congé spécial",D1073="Congé sans solde"),0.208333333333334,IF(AND(AG1073="",F1073-D1073&lt;0),("24:00:00"-D1073)+("00:00:00"+F1073)-0.0416666666666667,IF(AND(OR(AG1073="Allaitement",AG1073="Sans déjeuner"),F1073-D1073&lt;0),("24:00:00"-D1073)+("00:00:00"+F1073),IF(AND(AG1073="",F1073-D1073&gt;0.166666666666667),F1073-D1073-0.0416666666666667,IF(AND(OR(AG1073="Allaitement",AG1073="Sans déjeuner"),F1073-D1073&gt;0.166666666666667),F1073-D1073,F1073-D1073)))))))</f>
        <v>0.375</v>
      </c>
      <c r="P1073" s="6" t="str">
        <f aca="false">IFERROR(VLOOKUP($B1073,Agents!$A:$D,2,0),"-")</f>
        <v>Accessibilité</v>
      </c>
      <c r="Q1073" s="21" t="n">
        <v>46288</v>
      </c>
      <c r="R1073" s="8" t="n">
        <f aca="false">IF(M1073="Abs",O1073,0)</f>
        <v>0</v>
      </c>
      <c r="S1073" s="8" t="n">
        <f aca="false">SUM(R1073,L1073,I1073,J1073,W1073,H1073)</f>
        <v>0</v>
      </c>
      <c r="T1073" s="6" t="str">
        <f aca="false">"Sem - "&amp;WEEKNUM(Q1073,21)</f>
        <v>Sem - 39</v>
      </c>
      <c r="U1073" s="6" t="str">
        <f aca="false">CHOOSE(MONTH(Q1073),"Janvier","Février","Mars","Avril","Mai","Juin","Juillet","Août","Septembre","Octobre","Novembre","Décembre")</f>
        <v>Septembre</v>
      </c>
      <c r="V1073" s="22" t="n">
        <f aca="false">YEAR(Q1073)</f>
        <v>2026</v>
      </c>
      <c r="W1073" s="20"/>
      <c r="X1073" s="8" t="n">
        <f aca="false">IFERROR(IF(M1073="Abs",0,IF(ROUND((D1073-C1073+E1073-F1073)*1440,0)&lt;=1,0,D1073-C1073+E1073-F1073)),0)</f>
        <v>0</v>
      </c>
      <c r="Y1073" s="6" t="str">
        <f aca="false">IFERROR(VLOOKUP($B1073,Agents!$A:$D,3,0),"-")</f>
        <v>OUBRAHIM Mohammed</v>
      </c>
      <c r="Z1073" s="6" t="str">
        <f aca="false">IFERROR(VLOOKUP($B1073,Agents!$A:$D,4,0),"-")</f>
        <v>Credit Mutuel</v>
      </c>
      <c r="AA1073" s="18" t="s">
        <v>121</v>
      </c>
      <c r="AB1073" s="8" t="str">
        <f aca="false">IF(AND(D1073="Congé",F1073="Congé"),0.333333333333333,IF(OR(AND(D1073="Congé",F1073&lt;&gt;"Congé"),(AND(F1073="Congé",D1073&lt;&gt;"Congé"))),0.166666666666667,""))</f>
        <v/>
      </c>
      <c r="AC1073" s="8" t="str">
        <f aca="false">IF(AND(D1073="Congé sans solde",F1073="Congé sans solde"),0.333333333333333,IF(OR(AND(D1073="Congé sans solde",F1073&lt;&gt;"Congé sans solde"),(AND(F1073="Congé sans solde",D1073&lt;&gt;"Congé sans solde"))),0.166666666666667,""))</f>
        <v/>
      </c>
      <c r="AD1073" s="8" t="str">
        <f aca="false">IF(AND(D1073="Congé spécial",F1073="Congé spécial"),0.333333333333333,IF(OR(AND(D1073="Congé spécial",F1073&lt;&gt;"Congé spécial"),AND(F1073="Congé spécial",D1073&lt;&gt;"Congé spécial")),0.166666666666667,""))</f>
        <v/>
      </c>
      <c r="AE1073" s="8" t="str">
        <f aca="false">IF(AND(D1073="Férié",F1073="Férié"),0.333333333333333,IF(OR(AND(D1073="Férié",F1073&lt;&gt;"Férié"),(AND(F1073="Férié",D1073&lt;&gt;"Férié"))),0.166666666666667,""))</f>
        <v/>
      </c>
      <c r="AF1073" s="18"/>
      <c r="AG1073" s="18"/>
    </row>
    <row r="1074" customFormat="false" ht="15" hidden="false" customHeight="false" outlineLevel="0" collapsed="false">
      <c r="A1074" s="6" t="str">
        <f aca="false">YEAR(Q1074-WEEKDAY(Q1074,2)+4)&amp;"-S"&amp;TEXT(WEEKNUM(Q1074,21),"00")</f>
        <v>2026-S39</v>
      </c>
      <c r="B1074" s="18" t="s">
        <v>73</v>
      </c>
      <c r="C1074" s="19" t="n">
        <v>0.333333333333333</v>
      </c>
      <c r="D1074" s="19" t="n">
        <v>0.333333333333333</v>
      </c>
      <c r="E1074" s="19" t="n">
        <v>0.75</v>
      </c>
      <c r="F1074" s="19" t="n">
        <v>0.75</v>
      </c>
      <c r="G1074" s="20"/>
      <c r="H1074" s="20"/>
      <c r="I1074" s="8" t="str">
        <f aca="false">IF(IF(OR(C1074="",D1074="Congé",D1074="OFF",D1074="Congé spécial"),"",IF(D1074&gt;F1074,D1074-C1074,IF(C1074-D1074&lt;0,0,C1074-D1074)))&lt;0.00068287037037037,"",IF(OR(D1074="Congé",D1074="OFF",C1074="",D1074="Congé spécial"),"",IF(D1074&gt;F1074,D1074-C1074,IF(C1074-D1074&lt;0,0,C1074-D1074))))</f>
        <v/>
      </c>
      <c r="J1074" s="20"/>
      <c r="K1074" s="8" t="n">
        <f aca="false">IF(SUM(H1074:J1074)&lt;0.00068287037037037,0,SUM(H1074:J1074))</f>
        <v>0</v>
      </c>
      <c r="L1074" s="8" t="n">
        <f aca="false">IF(OR(F1074="Congé",F1074="OFF",M1074="Abs",F1074="Congé sans solde",F1074="Férié",F1074="Congé spécial",D1074="Congé spécial"),0,IF(F1074-E1074&lt;0,0,IF(F1074-E1074&lt;=0.00068287037037037,0,F1074-E1074)))</f>
        <v>0</v>
      </c>
      <c r="M1074" s="6" t="n">
        <f aca="false">IF(AND(O1074&lt;&gt;0,C1074=""),"Abs",0)</f>
        <v>0</v>
      </c>
      <c r="N1074" s="8" t="n">
        <f aca="false">IFERROR(IF(OR(D1074="OFF",D1074="Congé",M1074="Abs",D1074="Congé sans solde",D1074="Férié"),"",IF(O1074-K1074-L1074&gt;O1074,O1074,IF(O1074-K1074-L1074&lt;0,"",O1074-K1074-L1074))),"")</f>
        <v>0.375</v>
      </c>
      <c r="O1074" s="8" t="n">
        <f aca="false">IF(AG1074="2H Pause déjeuner",IF(F1074-D1074-0.0833333333333333&lt;0,F1074-D1074-0.0833333333333333+1,F1074-D1074-0.0833333333333333),IF(OR(AND(F1074="OFF",D1074="OFF"),AND(F1074="Congé",D1074="Congé"),AND(F1074="Congé sans solde",D1074="Congé sans solde"),AND(F1074="Congé spécial",D1074="Congé spécial"),AND(F1074="Férié",D1074="Férié"),AND(F1074="OFF",D1074="Congé"),AND(F1074="OFF",D1074="Congé sans solde"),AND(F1074="OFF",D1074="Congé spécial"),AND(F1074="OFF",D1074="Férié"),AND(F1074="Congé",D1074="OFF"),AND(F1074="Congé",D1074="Congé sans solde"),AND(F1074="Congé",D1074="Congé spécial"),AND(F1074="Congé",D1074="Férié"),AND(F1074="Congé sans solde",D1074="OFF"),AND(F1074="Congé sans solde",D1074="Congé"),AND(F1074="Congé sans solde",D1074="Congé spécial"),AND(F1074="Congé sans solde",D1074="Férié"),AND(F1074="Congé spécial",D1074="OFF"),AND(F1074="Congé spécial",D1074="Congé"),AND(F1074="Congé spécial",D1074="Congé sans solde"),AND(F1074="Congé spécial",D1074="Férié"),AND(F1074="Férié",D1074="OFF"),AND(F1074="Férié",D1074="Congé"),AND(F1074="Férié",D1074="Congé sans solde"),AND(F1074="Férié",D1074="Congé spécial")),0,IF(OR(F1074="OFF",F1074="Congé",F1074="Congé spécial",F1074="Congé sans solde",D1074="OFF",D1074="Congé",D1074="Congé spécial",D1074="Congé sans solde"),0.208333333333334,IF(AND(AG1074="",F1074-D1074&lt;0),("24:00:00"-D1074)+("00:00:00"+F1074)-0.0416666666666667,IF(AND(OR(AG1074="Allaitement",AG1074="Sans déjeuner"),F1074-D1074&lt;0),("24:00:00"-D1074)+("00:00:00"+F1074),IF(AND(AG1074="",F1074-D1074&gt;0.166666666666667),F1074-D1074-0.0416666666666667,IF(AND(OR(AG1074="Allaitement",AG1074="Sans déjeuner"),F1074-D1074&gt;0.166666666666667),F1074-D1074,F1074-D1074)))))))</f>
        <v>0.375</v>
      </c>
      <c r="P1074" s="6" t="str">
        <f aca="false">IFERROR(VLOOKUP($B1074,Agents!$A:$D,2,0),"-")</f>
        <v>Accessibilité</v>
      </c>
      <c r="Q1074" s="21" t="n">
        <v>46288</v>
      </c>
      <c r="R1074" s="8" t="n">
        <f aca="false">IF(M1074="Abs",O1074,0)</f>
        <v>0</v>
      </c>
      <c r="S1074" s="8" t="n">
        <f aca="false">SUM(R1074,L1074,I1074,J1074,W1074,H1074)</f>
        <v>0</v>
      </c>
      <c r="T1074" s="6" t="str">
        <f aca="false">"Sem - "&amp;WEEKNUM(Q1074,21)</f>
        <v>Sem - 39</v>
      </c>
      <c r="U1074" s="6" t="str">
        <f aca="false">CHOOSE(MONTH(Q1074),"Janvier","Février","Mars","Avril","Mai","Juin","Juillet","Août","Septembre","Octobre","Novembre","Décembre")</f>
        <v>Septembre</v>
      </c>
      <c r="V1074" s="22" t="n">
        <f aca="false">YEAR(Q1074)</f>
        <v>2026</v>
      </c>
      <c r="W1074" s="20"/>
      <c r="X1074" s="8" t="n">
        <f aca="false">IFERROR(IF(M1074="Abs",0,IF(ROUND((D1074-C1074+E1074-F1074)*1440,0)&lt;=1,0,D1074-C1074+E1074-F1074)),0)</f>
        <v>0</v>
      </c>
      <c r="Y1074" s="6" t="str">
        <f aca="false">IFERROR(VLOOKUP($B1074,Agents!$A:$D,3,0),"-")</f>
        <v>OUBRAHIM Mohammed</v>
      </c>
      <c r="Z1074" s="6" t="str">
        <f aca="false">IFERROR(VLOOKUP($B1074,Agents!$A:$D,4,0),"-")</f>
        <v>Credit Mutuel</v>
      </c>
      <c r="AA1074" s="18" t="s">
        <v>121</v>
      </c>
      <c r="AB1074" s="8" t="str">
        <f aca="false">IF(AND(D1074="Congé",F1074="Congé"),0.333333333333333,IF(OR(AND(D1074="Congé",F1074&lt;&gt;"Congé"),(AND(F1074="Congé",D1074&lt;&gt;"Congé"))),0.166666666666667,""))</f>
        <v/>
      </c>
      <c r="AC1074" s="8" t="str">
        <f aca="false">IF(AND(D1074="Congé sans solde",F1074="Congé sans solde"),0.333333333333333,IF(OR(AND(D1074="Congé sans solde",F1074&lt;&gt;"Congé sans solde"),(AND(F1074="Congé sans solde",D1074&lt;&gt;"Congé sans solde"))),0.166666666666667,""))</f>
        <v/>
      </c>
      <c r="AD1074" s="8" t="str">
        <f aca="false">IF(AND(D1074="Congé spécial",F1074="Congé spécial"),0.333333333333333,IF(OR(AND(D1074="Congé spécial",F1074&lt;&gt;"Congé spécial"),AND(F1074="Congé spécial",D1074&lt;&gt;"Congé spécial")),0.166666666666667,""))</f>
        <v/>
      </c>
      <c r="AE1074" s="8" t="str">
        <f aca="false">IF(AND(D1074="Férié",F1074="Férié"),0.333333333333333,IF(OR(AND(D1074="Férié",F1074&lt;&gt;"Férié"),(AND(F1074="Férié",D1074&lt;&gt;"Férié"))),0.166666666666667,""))</f>
        <v/>
      </c>
      <c r="AF1074" s="18"/>
      <c r="AG1074" s="18"/>
    </row>
    <row r="1075" customFormat="false" ht="15" hidden="false" customHeight="false" outlineLevel="0" collapsed="false">
      <c r="A1075" s="6" t="str">
        <f aca="false">YEAR(Q1075-WEEKDAY(Q1075,2)+4)&amp;"-S"&amp;TEXT(WEEKNUM(Q1075,21),"00")</f>
        <v>2026-S39</v>
      </c>
      <c r="B1075" s="18" t="s">
        <v>71</v>
      </c>
      <c r="C1075" s="19" t="n">
        <v>0.331944444444444</v>
      </c>
      <c r="D1075" s="19" t="n">
        <v>0.333333333333333</v>
      </c>
      <c r="E1075" s="19" t="n">
        <v>0.75</v>
      </c>
      <c r="F1075" s="19" t="n">
        <v>0.75</v>
      </c>
      <c r="G1075" s="20"/>
      <c r="H1075" s="20"/>
      <c r="I1075" s="8" t="str">
        <f aca="false">IF(IF(OR(C1075="",D1075="Congé",D1075="OFF",D1075="Congé spécial"),"",IF(D1075&gt;F1075,D1075-C1075,IF(C1075-D1075&lt;0,0,C1075-D1075)))&lt;0.00068287037037037,"",IF(OR(D1075="Congé",D1075="OFF",C1075="",D1075="Congé spécial"),"",IF(D1075&gt;F1075,D1075-C1075,IF(C1075-D1075&lt;0,0,C1075-D1075))))</f>
        <v/>
      </c>
      <c r="J1075" s="20"/>
      <c r="K1075" s="8" t="n">
        <f aca="false">IF(SUM(H1075:J1075)&lt;0.00068287037037037,0,SUM(H1075:J1075))</f>
        <v>0</v>
      </c>
      <c r="L1075" s="8" t="n">
        <f aca="false">IF(OR(F1075="Congé",F1075="OFF",M1075="Abs",F1075="Congé sans solde",F1075="Férié",F1075="Congé spécial",D1075="Congé spécial"),0,IF(F1075-E1075&lt;0,0,IF(F1075-E1075&lt;=0.00068287037037037,0,F1075-E1075)))</f>
        <v>0</v>
      </c>
      <c r="M1075" s="6" t="n">
        <f aca="false">IF(AND(O1075&lt;&gt;0,C1075=""),"Abs",0)</f>
        <v>0</v>
      </c>
      <c r="N1075" s="8" t="n">
        <f aca="false">IFERROR(IF(OR(D1075="OFF",D1075="Congé",M1075="Abs",D1075="Congé sans solde",D1075="Férié"),"",IF(O1075-K1075-L1075&gt;O1075,O1075,IF(O1075-K1075-L1075&lt;0,"",O1075-K1075-L1075))),"")</f>
        <v>0.375</v>
      </c>
      <c r="O1075" s="8" t="n">
        <f aca="false">IF(AG1075="2H Pause déjeuner",IF(F1075-D1075-0.0833333333333333&lt;0,F1075-D1075-0.0833333333333333+1,F1075-D1075-0.0833333333333333),IF(OR(AND(F1075="OFF",D1075="OFF"),AND(F1075="Congé",D1075="Congé"),AND(F1075="Congé sans solde",D1075="Congé sans solde"),AND(F1075="Congé spécial",D1075="Congé spécial"),AND(F1075="Férié",D1075="Férié"),AND(F1075="OFF",D1075="Congé"),AND(F1075="OFF",D1075="Congé sans solde"),AND(F1075="OFF",D1075="Congé spécial"),AND(F1075="OFF",D1075="Férié"),AND(F1075="Congé",D1075="OFF"),AND(F1075="Congé",D1075="Congé sans solde"),AND(F1075="Congé",D1075="Congé spécial"),AND(F1075="Congé",D1075="Férié"),AND(F1075="Congé sans solde",D1075="OFF"),AND(F1075="Congé sans solde",D1075="Congé"),AND(F1075="Congé sans solde",D1075="Congé spécial"),AND(F1075="Congé sans solde",D1075="Férié"),AND(F1075="Congé spécial",D1075="OFF"),AND(F1075="Congé spécial",D1075="Congé"),AND(F1075="Congé spécial",D1075="Congé sans solde"),AND(F1075="Congé spécial",D1075="Férié"),AND(F1075="Férié",D1075="OFF"),AND(F1075="Férié",D1075="Congé"),AND(F1075="Férié",D1075="Congé sans solde"),AND(F1075="Férié",D1075="Congé spécial")),0,IF(OR(F1075="OFF",F1075="Congé",F1075="Congé spécial",F1075="Congé sans solde",D1075="OFF",D1075="Congé",D1075="Congé spécial",D1075="Congé sans solde"),0.208333333333334,IF(AND(AG1075="",F1075-D1075&lt;0),("24:00:00"-D1075)+("00:00:00"+F1075)-0.0416666666666667,IF(AND(OR(AG1075="Allaitement",AG1075="Sans déjeuner"),F1075-D1075&lt;0),("24:00:00"-D1075)+("00:00:00"+F1075),IF(AND(AG1075="",F1075-D1075&gt;0.166666666666667),F1075-D1075-0.0416666666666667,IF(AND(OR(AG1075="Allaitement",AG1075="Sans déjeuner"),F1075-D1075&gt;0.166666666666667),F1075-D1075,F1075-D1075)))))))</f>
        <v>0.375</v>
      </c>
      <c r="P1075" s="6" t="str">
        <f aca="false">IFERROR(VLOOKUP($B1075,Agents!$A:$D,2,0),"-")</f>
        <v>Accessibilité</v>
      </c>
      <c r="Q1075" s="21" t="n">
        <v>46289</v>
      </c>
      <c r="R1075" s="8" t="n">
        <f aca="false">IF(M1075="Abs",O1075,0)</f>
        <v>0</v>
      </c>
      <c r="S1075" s="8" t="n">
        <f aca="false">SUM(R1075,L1075,I1075,J1075,W1075,H1075)</f>
        <v>0</v>
      </c>
      <c r="T1075" s="6" t="str">
        <f aca="false">"Sem - "&amp;WEEKNUM(Q1075,21)</f>
        <v>Sem - 39</v>
      </c>
      <c r="U1075" s="6" t="str">
        <f aca="false">CHOOSE(MONTH(Q1075),"Janvier","Février","Mars","Avril","Mai","Juin","Juillet","Août","Septembre","Octobre","Novembre","Décembre")</f>
        <v>Septembre</v>
      </c>
      <c r="V1075" s="22" t="n">
        <f aca="false">YEAR(Q1075)</f>
        <v>2026</v>
      </c>
      <c r="W1075" s="20"/>
      <c r="X1075" s="8" t="n">
        <f aca="false">IFERROR(IF(M1075="Abs",0,IF(ROUND((D1075-C1075+E1075-F1075)*1440,0)&lt;=1,0,D1075-C1075+E1075-F1075)),0)</f>
        <v>0.00138888888888889</v>
      </c>
      <c r="Y1075" s="6" t="str">
        <f aca="false">IFERROR(VLOOKUP($B1075,Agents!$A:$D,3,0),"-")</f>
        <v>OUBRAHIM Mohammed</v>
      </c>
      <c r="Z1075" s="6" t="str">
        <f aca="false">IFERROR(VLOOKUP($B1075,Agents!$A:$D,4,0),"-")</f>
        <v>Credit Mutuel</v>
      </c>
      <c r="AA1075" s="18" t="s">
        <v>121</v>
      </c>
      <c r="AB1075" s="8" t="str">
        <f aca="false">IF(AND(D1075="Congé",F1075="Congé"),0.333333333333333,IF(OR(AND(D1075="Congé",F1075&lt;&gt;"Congé"),(AND(F1075="Congé",D1075&lt;&gt;"Congé"))),0.166666666666667,""))</f>
        <v/>
      </c>
      <c r="AC1075" s="8" t="str">
        <f aca="false">IF(AND(D1075="Congé sans solde",F1075="Congé sans solde"),0.333333333333333,IF(OR(AND(D1075="Congé sans solde",F1075&lt;&gt;"Congé sans solde"),(AND(F1075="Congé sans solde",D1075&lt;&gt;"Congé sans solde"))),0.166666666666667,""))</f>
        <v/>
      </c>
      <c r="AD1075" s="8" t="str">
        <f aca="false">IF(AND(D1075="Congé spécial",F1075="Congé spécial"),0.333333333333333,IF(OR(AND(D1075="Congé spécial",F1075&lt;&gt;"Congé spécial"),AND(F1075="Congé spécial",D1075&lt;&gt;"Congé spécial")),0.166666666666667,""))</f>
        <v/>
      </c>
      <c r="AE1075" s="8" t="str">
        <f aca="false">IF(AND(D1075="Férié",F1075="Férié"),0.333333333333333,IF(OR(AND(D1075="Férié",F1075&lt;&gt;"Férié"),(AND(F1075="Férié",D1075&lt;&gt;"Férié"))),0.166666666666667,""))</f>
        <v/>
      </c>
      <c r="AF1075" s="18"/>
      <c r="AG1075" s="18"/>
    </row>
    <row r="1076" customFormat="false" ht="15" hidden="false" customHeight="false" outlineLevel="0" collapsed="false">
      <c r="A1076" s="6" t="str">
        <f aca="false">YEAR(Q1076-WEEKDAY(Q1076,2)+4)&amp;"-S"&amp;TEXT(WEEKNUM(Q1076,21),"00")</f>
        <v>2026-S39</v>
      </c>
      <c r="B1076" s="18" t="s">
        <v>72</v>
      </c>
      <c r="C1076" s="19" t="n">
        <v>0.330555555555556</v>
      </c>
      <c r="D1076" s="19" t="n">
        <v>0.333333333333333</v>
      </c>
      <c r="E1076" s="19" t="n">
        <v>0.75</v>
      </c>
      <c r="F1076" s="19" t="n">
        <v>0.75</v>
      </c>
      <c r="G1076" s="20"/>
      <c r="H1076" s="20"/>
      <c r="I1076" s="8" t="str">
        <f aca="false">IF(IF(OR(C1076="",D1076="Congé",D1076="OFF",D1076="Congé spécial"),"",IF(D1076&gt;F1076,D1076-C1076,IF(C1076-D1076&lt;0,0,C1076-D1076)))&lt;0.00068287037037037,"",IF(OR(D1076="Congé",D1076="OFF",C1076="",D1076="Congé spécial"),"",IF(D1076&gt;F1076,D1076-C1076,IF(C1076-D1076&lt;0,0,C1076-D1076))))</f>
        <v/>
      </c>
      <c r="J1076" s="20"/>
      <c r="K1076" s="8" t="n">
        <f aca="false">IF(SUM(H1076:J1076)&lt;0.00068287037037037,0,SUM(H1076:J1076))</f>
        <v>0</v>
      </c>
      <c r="L1076" s="8" t="n">
        <f aca="false">IF(OR(F1076="Congé",F1076="OFF",M1076="Abs",F1076="Congé sans solde",F1076="Férié",F1076="Congé spécial",D1076="Congé spécial"),0,IF(F1076-E1076&lt;0,0,IF(F1076-E1076&lt;=0.00068287037037037,0,F1076-E1076)))</f>
        <v>0</v>
      </c>
      <c r="M1076" s="6" t="n">
        <f aca="false">IF(AND(O1076&lt;&gt;0,C1076=""),"Abs",0)</f>
        <v>0</v>
      </c>
      <c r="N1076" s="8" t="n">
        <f aca="false">IFERROR(IF(OR(D1076="OFF",D1076="Congé",M1076="Abs",D1076="Congé sans solde",D1076="Férié"),"",IF(O1076-K1076-L1076&gt;O1076,O1076,IF(O1076-K1076-L1076&lt;0,"",O1076-K1076-L1076))),"")</f>
        <v>0.375</v>
      </c>
      <c r="O1076" s="8" t="n">
        <f aca="false">IF(AG1076="2H Pause déjeuner",IF(F1076-D1076-0.0833333333333333&lt;0,F1076-D1076-0.0833333333333333+1,F1076-D1076-0.0833333333333333),IF(OR(AND(F1076="OFF",D1076="OFF"),AND(F1076="Congé",D1076="Congé"),AND(F1076="Congé sans solde",D1076="Congé sans solde"),AND(F1076="Congé spécial",D1076="Congé spécial"),AND(F1076="Férié",D1076="Férié"),AND(F1076="OFF",D1076="Congé"),AND(F1076="OFF",D1076="Congé sans solde"),AND(F1076="OFF",D1076="Congé spécial"),AND(F1076="OFF",D1076="Férié"),AND(F1076="Congé",D1076="OFF"),AND(F1076="Congé",D1076="Congé sans solde"),AND(F1076="Congé",D1076="Congé spécial"),AND(F1076="Congé",D1076="Férié"),AND(F1076="Congé sans solde",D1076="OFF"),AND(F1076="Congé sans solde",D1076="Congé"),AND(F1076="Congé sans solde",D1076="Congé spécial"),AND(F1076="Congé sans solde",D1076="Férié"),AND(F1076="Congé spécial",D1076="OFF"),AND(F1076="Congé spécial",D1076="Congé"),AND(F1076="Congé spécial",D1076="Congé sans solde"),AND(F1076="Congé spécial",D1076="Férié"),AND(F1076="Férié",D1076="OFF"),AND(F1076="Férié",D1076="Congé"),AND(F1076="Férié",D1076="Congé sans solde"),AND(F1076="Férié",D1076="Congé spécial")),0,IF(OR(F1076="OFF",F1076="Congé",F1076="Congé spécial",F1076="Congé sans solde",D1076="OFF",D1076="Congé",D1076="Congé spécial",D1076="Congé sans solde"),0.208333333333334,IF(AND(AG1076="",F1076-D1076&lt;0),("24:00:00"-D1076)+("00:00:00"+F1076)-0.0416666666666667,IF(AND(OR(AG1076="Allaitement",AG1076="Sans déjeuner"),F1076-D1076&lt;0),("24:00:00"-D1076)+("00:00:00"+F1076),IF(AND(AG1076="",F1076-D1076&gt;0.166666666666667),F1076-D1076-0.0416666666666667,IF(AND(OR(AG1076="Allaitement",AG1076="Sans déjeuner"),F1076-D1076&gt;0.166666666666667),F1076-D1076,F1076-D1076)))))))</f>
        <v>0.375</v>
      </c>
      <c r="P1076" s="6" t="str">
        <f aca="false">IFERROR(VLOOKUP($B1076,Agents!$A:$D,2,0),"-")</f>
        <v>Accessibilité</v>
      </c>
      <c r="Q1076" s="21" t="n">
        <v>46289</v>
      </c>
      <c r="R1076" s="8" t="n">
        <f aca="false">IF(M1076="Abs",O1076,0)</f>
        <v>0</v>
      </c>
      <c r="S1076" s="8" t="n">
        <f aca="false">SUM(R1076,L1076,I1076,J1076,W1076,H1076)</f>
        <v>0</v>
      </c>
      <c r="T1076" s="6" t="str">
        <f aca="false">"Sem - "&amp;WEEKNUM(Q1076,21)</f>
        <v>Sem - 39</v>
      </c>
      <c r="U1076" s="6" t="str">
        <f aca="false">CHOOSE(MONTH(Q1076),"Janvier","Février","Mars","Avril","Mai","Juin","Juillet","Août","Septembre","Octobre","Novembre","Décembre")</f>
        <v>Septembre</v>
      </c>
      <c r="V1076" s="22" t="n">
        <f aca="false">YEAR(Q1076)</f>
        <v>2026</v>
      </c>
      <c r="W1076" s="20"/>
      <c r="X1076" s="8" t="n">
        <f aca="false">IFERROR(IF(M1076="Abs",0,IF(ROUND((D1076-C1076+E1076-F1076)*1440,0)&lt;=1,0,D1076-C1076+E1076-F1076)),0)</f>
        <v>0.00277777777777778</v>
      </c>
      <c r="Y1076" s="6" t="str">
        <f aca="false">IFERROR(VLOOKUP($B1076,Agents!$A:$D,3,0),"-")</f>
        <v>OUBRAHIM Mohammed</v>
      </c>
      <c r="Z1076" s="6" t="str">
        <f aca="false">IFERROR(VLOOKUP($B1076,Agents!$A:$D,4,0),"-")</f>
        <v>Credit Mutuel</v>
      </c>
      <c r="AA1076" s="18" t="s">
        <v>121</v>
      </c>
      <c r="AB1076" s="8" t="str">
        <f aca="false">IF(AND(D1076="Congé",F1076="Congé"),0.333333333333333,IF(OR(AND(D1076="Congé",F1076&lt;&gt;"Congé"),(AND(F1076="Congé",D1076&lt;&gt;"Congé"))),0.166666666666667,""))</f>
        <v/>
      </c>
      <c r="AC1076" s="8" t="str">
        <f aca="false">IF(AND(D1076="Congé sans solde",F1076="Congé sans solde"),0.333333333333333,IF(OR(AND(D1076="Congé sans solde",F1076&lt;&gt;"Congé sans solde"),(AND(F1076="Congé sans solde",D1076&lt;&gt;"Congé sans solde"))),0.166666666666667,""))</f>
        <v/>
      </c>
      <c r="AD1076" s="8" t="str">
        <f aca="false">IF(AND(D1076="Congé spécial",F1076="Congé spécial"),0.333333333333333,IF(OR(AND(D1076="Congé spécial",F1076&lt;&gt;"Congé spécial"),AND(F1076="Congé spécial",D1076&lt;&gt;"Congé spécial")),0.166666666666667,""))</f>
        <v/>
      </c>
      <c r="AE1076" s="8" t="str">
        <f aca="false">IF(AND(D1076="Férié",F1076="Férié"),0.333333333333333,IF(OR(AND(D1076="Férié",F1076&lt;&gt;"Férié"),(AND(F1076="Férié",D1076&lt;&gt;"Férié"))),0.166666666666667,""))</f>
        <v/>
      </c>
      <c r="AF1076" s="18"/>
      <c r="AG1076" s="18"/>
    </row>
    <row r="1077" customFormat="false" ht="15" hidden="false" customHeight="false" outlineLevel="0" collapsed="false">
      <c r="A1077" s="6" t="str">
        <f aca="false">YEAR(Q1077-WEEKDAY(Q1077,2)+4)&amp;"-S"&amp;TEXT(WEEKNUM(Q1077,21),"00")</f>
        <v>2026-S39</v>
      </c>
      <c r="B1077" s="18" t="s">
        <v>73</v>
      </c>
      <c r="C1077" s="19" t="n">
        <v>0.326388888888889</v>
      </c>
      <c r="D1077" s="19" t="n">
        <v>0.333333333333333</v>
      </c>
      <c r="E1077" s="19" t="n">
        <v>0.75</v>
      </c>
      <c r="F1077" s="19" t="n">
        <v>0.75</v>
      </c>
      <c r="G1077" s="20"/>
      <c r="H1077" s="20"/>
      <c r="I1077" s="8" t="str">
        <f aca="false">IF(IF(OR(C1077="",D1077="Congé",D1077="OFF",D1077="Congé spécial"),"",IF(D1077&gt;F1077,D1077-C1077,IF(C1077-D1077&lt;0,0,C1077-D1077)))&lt;0.00068287037037037,"",IF(OR(D1077="Congé",D1077="OFF",C1077="",D1077="Congé spécial"),"",IF(D1077&gt;F1077,D1077-C1077,IF(C1077-D1077&lt;0,0,C1077-D1077))))</f>
        <v/>
      </c>
      <c r="J1077" s="20"/>
      <c r="K1077" s="8" t="n">
        <f aca="false">IF(SUM(H1077:J1077)&lt;0.00068287037037037,0,SUM(H1077:J1077))</f>
        <v>0</v>
      </c>
      <c r="L1077" s="8" t="n">
        <f aca="false">IF(OR(F1077="Congé",F1077="OFF",M1077="Abs",F1077="Congé sans solde",F1077="Férié",F1077="Congé spécial",D1077="Congé spécial"),0,IF(F1077-E1077&lt;0,0,IF(F1077-E1077&lt;=0.00068287037037037,0,F1077-E1077)))</f>
        <v>0</v>
      </c>
      <c r="M1077" s="6" t="n">
        <f aca="false">IF(AND(O1077&lt;&gt;0,C1077=""),"Abs",0)</f>
        <v>0</v>
      </c>
      <c r="N1077" s="8" t="n">
        <f aca="false">IFERROR(IF(OR(D1077="OFF",D1077="Congé",M1077="Abs",D1077="Congé sans solde",D1077="Férié"),"",IF(O1077-K1077-L1077&gt;O1077,O1077,IF(O1077-K1077-L1077&lt;0,"",O1077-K1077-L1077))),"")</f>
        <v>0.375</v>
      </c>
      <c r="O1077" s="8" t="n">
        <f aca="false">IF(AG1077="2H Pause déjeuner",IF(F1077-D1077-0.0833333333333333&lt;0,F1077-D1077-0.0833333333333333+1,F1077-D1077-0.0833333333333333),IF(OR(AND(F1077="OFF",D1077="OFF"),AND(F1077="Congé",D1077="Congé"),AND(F1077="Congé sans solde",D1077="Congé sans solde"),AND(F1077="Congé spécial",D1077="Congé spécial"),AND(F1077="Férié",D1077="Férié"),AND(F1077="OFF",D1077="Congé"),AND(F1077="OFF",D1077="Congé sans solde"),AND(F1077="OFF",D1077="Congé spécial"),AND(F1077="OFF",D1077="Férié"),AND(F1077="Congé",D1077="OFF"),AND(F1077="Congé",D1077="Congé sans solde"),AND(F1077="Congé",D1077="Congé spécial"),AND(F1077="Congé",D1077="Férié"),AND(F1077="Congé sans solde",D1077="OFF"),AND(F1077="Congé sans solde",D1077="Congé"),AND(F1077="Congé sans solde",D1077="Congé spécial"),AND(F1077="Congé sans solde",D1077="Férié"),AND(F1077="Congé spécial",D1077="OFF"),AND(F1077="Congé spécial",D1077="Congé"),AND(F1077="Congé spécial",D1077="Congé sans solde"),AND(F1077="Congé spécial",D1077="Férié"),AND(F1077="Férié",D1077="OFF"),AND(F1077="Férié",D1077="Congé"),AND(F1077="Férié",D1077="Congé sans solde"),AND(F1077="Férié",D1077="Congé spécial")),0,IF(OR(F1077="OFF",F1077="Congé",F1077="Congé spécial",F1077="Congé sans solde",D1077="OFF",D1077="Congé",D1077="Congé spécial",D1077="Congé sans solde"),0.208333333333334,IF(AND(AG1077="",F1077-D1077&lt;0),("24:00:00"-D1077)+("00:00:00"+F1077)-0.0416666666666667,IF(AND(OR(AG1077="Allaitement",AG1077="Sans déjeuner"),F1077-D1077&lt;0),("24:00:00"-D1077)+("00:00:00"+F1077),IF(AND(AG1077="",F1077-D1077&gt;0.166666666666667),F1077-D1077-0.0416666666666667,IF(AND(OR(AG1077="Allaitement",AG1077="Sans déjeuner"),F1077-D1077&gt;0.166666666666667),F1077-D1077,F1077-D1077)))))))</f>
        <v>0.375</v>
      </c>
      <c r="P1077" s="6" t="str">
        <f aca="false">IFERROR(VLOOKUP($B1077,Agents!$A:$D,2,0),"-")</f>
        <v>Accessibilité</v>
      </c>
      <c r="Q1077" s="21" t="n">
        <v>46289</v>
      </c>
      <c r="R1077" s="8" t="n">
        <f aca="false">IF(M1077="Abs",O1077,0)</f>
        <v>0</v>
      </c>
      <c r="S1077" s="8" t="n">
        <f aca="false">SUM(R1077,L1077,I1077,J1077,W1077,H1077)</f>
        <v>0</v>
      </c>
      <c r="T1077" s="6" t="str">
        <f aca="false">"Sem - "&amp;WEEKNUM(Q1077,21)</f>
        <v>Sem - 39</v>
      </c>
      <c r="U1077" s="6" t="str">
        <f aca="false">CHOOSE(MONTH(Q1077),"Janvier","Février","Mars","Avril","Mai","Juin","Juillet","Août","Septembre","Octobre","Novembre","Décembre")</f>
        <v>Septembre</v>
      </c>
      <c r="V1077" s="22" t="n">
        <f aca="false">YEAR(Q1077)</f>
        <v>2026</v>
      </c>
      <c r="W1077" s="20"/>
      <c r="X1077" s="8" t="n">
        <f aca="false">IFERROR(IF(M1077="Abs",0,IF(ROUND((D1077-C1077+E1077-F1077)*1440,0)&lt;=1,0,D1077-C1077+E1077-F1077)),0)</f>
        <v>0.00694444444444444</v>
      </c>
      <c r="Y1077" s="6" t="str">
        <f aca="false">IFERROR(VLOOKUP($B1077,Agents!$A:$D,3,0),"-")</f>
        <v>OUBRAHIM Mohammed</v>
      </c>
      <c r="Z1077" s="6" t="str">
        <f aca="false">IFERROR(VLOOKUP($B1077,Agents!$A:$D,4,0),"-")</f>
        <v>Credit Mutuel</v>
      </c>
      <c r="AA1077" s="18" t="s">
        <v>121</v>
      </c>
      <c r="AB1077" s="8" t="str">
        <f aca="false">IF(AND(D1077="Congé",F1077="Congé"),0.333333333333333,IF(OR(AND(D1077="Congé",F1077&lt;&gt;"Congé"),(AND(F1077="Congé",D1077&lt;&gt;"Congé"))),0.166666666666667,""))</f>
        <v/>
      </c>
      <c r="AC1077" s="8" t="str">
        <f aca="false">IF(AND(D1077="Congé sans solde",F1077="Congé sans solde"),0.333333333333333,IF(OR(AND(D1077="Congé sans solde",F1077&lt;&gt;"Congé sans solde"),(AND(F1077="Congé sans solde",D1077&lt;&gt;"Congé sans solde"))),0.166666666666667,""))</f>
        <v/>
      </c>
      <c r="AD1077" s="8" t="str">
        <f aca="false">IF(AND(D1077="Congé spécial",F1077="Congé spécial"),0.333333333333333,IF(OR(AND(D1077="Congé spécial",F1077&lt;&gt;"Congé spécial"),AND(F1077="Congé spécial",D1077&lt;&gt;"Congé spécial")),0.166666666666667,""))</f>
        <v/>
      </c>
      <c r="AE1077" s="8" t="str">
        <f aca="false">IF(AND(D1077="Férié",F1077="Férié"),0.333333333333333,IF(OR(AND(D1077="Férié",F1077&lt;&gt;"Férié"),(AND(F1077="Férié",D1077&lt;&gt;"Férié"))),0.166666666666667,""))</f>
        <v/>
      </c>
      <c r="AF1077" s="18"/>
      <c r="AG1077" s="18"/>
    </row>
    <row r="1078" customFormat="false" ht="15" hidden="false" customHeight="false" outlineLevel="0" collapsed="false">
      <c r="A1078" s="6" t="str">
        <f aca="false">YEAR(Q1078-WEEKDAY(Q1078,2)+4)&amp;"-S"&amp;TEXT(WEEKNUM(Q1078,21),"00")</f>
        <v>2026-S39</v>
      </c>
      <c r="B1078" s="18" t="s">
        <v>71</v>
      </c>
      <c r="C1078" s="19" t="n">
        <v>0.332638888888889</v>
      </c>
      <c r="D1078" s="19" t="n">
        <v>0.333333333333333</v>
      </c>
      <c r="E1078" s="19" t="n">
        <v>0.708333333333333</v>
      </c>
      <c r="F1078" s="19" t="n">
        <v>0.708333333333333</v>
      </c>
      <c r="G1078" s="20"/>
      <c r="H1078" s="20"/>
      <c r="I1078" s="8" t="str">
        <f aca="false">IF(IF(OR(C1078="",D1078="Congé",D1078="OFF",D1078="Congé spécial"),"",IF(D1078&gt;F1078,D1078-C1078,IF(C1078-D1078&lt;0,0,C1078-D1078)))&lt;0.00068287037037037,"",IF(OR(D1078="Congé",D1078="OFF",C1078="",D1078="Congé spécial"),"",IF(D1078&gt;F1078,D1078-C1078,IF(C1078-D1078&lt;0,0,C1078-D1078))))</f>
        <v/>
      </c>
      <c r="J1078" s="20"/>
      <c r="K1078" s="8" t="n">
        <f aca="false">IF(SUM(H1078:J1078)&lt;0.00068287037037037,0,SUM(H1078:J1078))</f>
        <v>0</v>
      </c>
      <c r="L1078" s="8" t="n">
        <f aca="false">IF(OR(F1078="Congé",F1078="OFF",M1078="Abs",F1078="Congé sans solde",F1078="Férié",F1078="Congé spécial",D1078="Congé spécial"),0,IF(F1078-E1078&lt;0,0,IF(F1078-E1078&lt;=0.00068287037037037,0,F1078-E1078)))</f>
        <v>0</v>
      </c>
      <c r="M1078" s="6" t="n">
        <f aca="false">IF(AND(O1078&lt;&gt;0,C1078=""),"Abs",0)</f>
        <v>0</v>
      </c>
      <c r="N1078" s="8" t="n">
        <f aca="false">IFERROR(IF(OR(D1078="OFF",D1078="Congé",M1078="Abs",D1078="Congé sans solde",D1078="Férié"),"",IF(O1078-K1078-L1078&gt;O1078,O1078,IF(O1078-K1078-L1078&lt;0,"",O1078-K1078-L1078))),"")</f>
        <v>0.333333333333333</v>
      </c>
      <c r="O1078" s="8" t="n">
        <f aca="false">IF(AG1078="2H Pause déjeuner",IF(F1078-D1078-0.0833333333333333&lt;0,F1078-D1078-0.0833333333333333+1,F1078-D1078-0.0833333333333333),IF(OR(AND(F1078="OFF",D1078="OFF"),AND(F1078="Congé",D1078="Congé"),AND(F1078="Congé sans solde",D1078="Congé sans solde"),AND(F1078="Congé spécial",D1078="Congé spécial"),AND(F1078="Férié",D1078="Férié"),AND(F1078="OFF",D1078="Congé"),AND(F1078="OFF",D1078="Congé sans solde"),AND(F1078="OFF",D1078="Congé spécial"),AND(F1078="OFF",D1078="Férié"),AND(F1078="Congé",D1078="OFF"),AND(F1078="Congé",D1078="Congé sans solde"),AND(F1078="Congé",D1078="Congé spécial"),AND(F1078="Congé",D1078="Férié"),AND(F1078="Congé sans solde",D1078="OFF"),AND(F1078="Congé sans solde",D1078="Congé"),AND(F1078="Congé sans solde",D1078="Congé spécial"),AND(F1078="Congé sans solde",D1078="Férié"),AND(F1078="Congé spécial",D1078="OFF"),AND(F1078="Congé spécial",D1078="Congé"),AND(F1078="Congé spécial",D1078="Congé sans solde"),AND(F1078="Congé spécial",D1078="Férié"),AND(F1078="Férié",D1078="OFF"),AND(F1078="Férié",D1078="Congé"),AND(F1078="Férié",D1078="Congé sans solde"),AND(F1078="Férié",D1078="Congé spécial")),0,IF(OR(F1078="OFF",F1078="Congé",F1078="Congé spécial",F1078="Congé sans solde",D1078="OFF",D1078="Congé",D1078="Congé spécial",D1078="Congé sans solde"),0.208333333333334,IF(AND(AG1078="",F1078-D1078&lt;0),("24:00:00"-D1078)+("00:00:00"+F1078)-0.0416666666666667,IF(AND(OR(AG1078="Allaitement",AG1078="Sans déjeuner"),F1078-D1078&lt;0),("24:00:00"-D1078)+("00:00:00"+F1078),IF(AND(AG1078="",F1078-D1078&gt;0.166666666666667),F1078-D1078-0.0416666666666667,IF(AND(OR(AG1078="Allaitement",AG1078="Sans déjeuner"),F1078-D1078&gt;0.166666666666667),F1078-D1078,F1078-D1078)))))))</f>
        <v>0.333333333333333</v>
      </c>
      <c r="P1078" s="6" t="str">
        <f aca="false">IFERROR(VLOOKUP($B1078,Agents!$A:$D,2,0),"-")</f>
        <v>Accessibilité</v>
      </c>
      <c r="Q1078" s="21" t="n">
        <v>46290</v>
      </c>
      <c r="R1078" s="8" t="n">
        <f aca="false">IF(M1078="Abs",O1078,0)</f>
        <v>0</v>
      </c>
      <c r="S1078" s="8" t="n">
        <f aca="false">SUM(R1078,L1078,I1078,J1078,W1078,H1078)</f>
        <v>0</v>
      </c>
      <c r="T1078" s="6" t="str">
        <f aca="false">"Sem - "&amp;WEEKNUM(Q1078,21)</f>
        <v>Sem - 39</v>
      </c>
      <c r="U1078" s="6" t="str">
        <f aca="false">CHOOSE(MONTH(Q1078),"Janvier","Février","Mars","Avril","Mai","Juin","Juillet","Août","Septembre","Octobre","Novembre","Décembre")</f>
        <v>Septembre</v>
      </c>
      <c r="V1078" s="22" t="n">
        <f aca="false">YEAR(Q1078)</f>
        <v>2026</v>
      </c>
      <c r="W1078" s="20"/>
      <c r="X1078" s="8" t="n">
        <f aca="false">IFERROR(IF(M1078="Abs",0,IF(ROUND((D1078-C1078+E1078-F1078)*1440,0)&lt;=1,0,D1078-C1078+E1078-F1078)),0)</f>
        <v>0</v>
      </c>
      <c r="Y1078" s="6" t="str">
        <f aca="false">IFERROR(VLOOKUP($B1078,Agents!$A:$D,3,0),"-")</f>
        <v>OUBRAHIM Mohammed</v>
      </c>
      <c r="Z1078" s="6" t="str">
        <f aca="false">IFERROR(VLOOKUP($B1078,Agents!$A:$D,4,0),"-")</f>
        <v>Credit Mutuel</v>
      </c>
      <c r="AA1078" s="18" t="s">
        <v>121</v>
      </c>
      <c r="AB1078" s="8" t="str">
        <f aca="false">IF(AND(D1078="Congé",F1078="Congé"),0.333333333333333,IF(OR(AND(D1078="Congé",F1078&lt;&gt;"Congé"),(AND(F1078="Congé",D1078&lt;&gt;"Congé"))),0.166666666666667,""))</f>
        <v/>
      </c>
      <c r="AC1078" s="8" t="str">
        <f aca="false">IF(AND(D1078="Congé sans solde",F1078="Congé sans solde"),0.333333333333333,IF(OR(AND(D1078="Congé sans solde",F1078&lt;&gt;"Congé sans solde"),(AND(F1078="Congé sans solde",D1078&lt;&gt;"Congé sans solde"))),0.166666666666667,""))</f>
        <v/>
      </c>
      <c r="AD1078" s="8" t="str">
        <f aca="false">IF(AND(D1078="Congé spécial",F1078="Congé spécial"),0.333333333333333,IF(OR(AND(D1078="Congé spécial",F1078&lt;&gt;"Congé spécial"),AND(F1078="Congé spécial",D1078&lt;&gt;"Congé spécial")),0.166666666666667,""))</f>
        <v/>
      </c>
      <c r="AE1078" s="8" t="str">
        <f aca="false">IF(AND(D1078="Férié",F1078="Férié"),0.333333333333333,IF(OR(AND(D1078="Férié",F1078&lt;&gt;"Férié"),(AND(F1078="Férié",D1078&lt;&gt;"Férié"))),0.166666666666667,""))</f>
        <v/>
      </c>
      <c r="AF1078" s="18"/>
      <c r="AG1078" s="18"/>
    </row>
    <row r="1079" customFormat="false" ht="15" hidden="false" customHeight="false" outlineLevel="0" collapsed="false">
      <c r="A1079" s="6" t="str">
        <f aca="false">YEAR(Q1079-WEEKDAY(Q1079,2)+4)&amp;"-S"&amp;TEXT(WEEKNUM(Q1079,21),"00")</f>
        <v>2026-S39</v>
      </c>
      <c r="B1079" s="18" t="s">
        <v>72</v>
      </c>
      <c r="C1079" s="19" t="n">
        <v>0.329861111111111</v>
      </c>
      <c r="D1079" s="19" t="n">
        <v>0.333333333333333</v>
      </c>
      <c r="E1079" s="19" t="n">
        <v>0.708333333333333</v>
      </c>
      <c r="F1079" s="19" t="n">
        <v>0.708333333333333</v>
      </c>
      <c r="G1079" s="20"/>
      <c r="H1079" s="20"/>
      <c r="I1079" s="8" t="str">
        <f aca="false">IF(IF(OR(C1079="",D1079="Congé",D1079="OFF",D1079="Congé spécial"),"",IF(D1079&gt;F1079,D1079-C1079,IF(C1079-D1079&lt;0,0,C1079-D1079)))&lt;0.00068287037037037,"",IF(OR(D1079="Congé",D1079="OFF",C1079="",D1079="Congé spécial"),"",IF(D1079&gt;F1079,D1079-C1079,IF(C1079-D1079&lt;0,0,C1079-D1079))))</f>
        <v/>
      </c>
      <c r="J1079" s="20"/>
      <c r="K1079" s="8" t="n">
        <f aca="false">IF(SUM(H1079:J1079)&lt;0.00068287037037037,0,SUM(H1079:J1079))</f>
        <v>0</v>
      </c>
      <c r="L1079" s="8" t="n">
        <f aca="false">IF(OR(F1079="Congé",F1079="OFF",M1079="Abs",F1079="Congé sans solde",F1079="Férié",F1079="Congé spécial",D1079="Congé spécial"),0,IF(F1079-E1079&lt;0,0,IF(F1079-E1079&lt;=0.00068287037037037,0,F1079-E1079)))</f>
        <v>0</v>
      </c>
      <c r="M1079" s="6" t="n">
        <f aca="false">IF(AND(O1079&lt;&gt;0,C1079=""),"Abs",0)</f>
        <v>0</v>
      </c>
      <c r="N1079" s="8" t="n">
        <f aca="false">IFERROR(IF(OR(D1079="OFF",D1079="Congé",M1079="Abs",D1079="Congé sans solde",D1079="Férié"),"",IF(O1079-K1079-L1079&gt;O1079,O1079,IF(O1079-K1079-L1079&lt;0,"",O1079-K1079-L1079))),"")</f>
        <v>0.333333333333333</v>
      </c>
      <c r="O1079" s="8" t="n">
        <f aca="false">IF(AG1079="2H Pause déjeuner",IF(F1079-D1079-0.0833333333333333&lt;0,F1079-D1079-0.0833333333333333+1,F1079-D1079-0.0833333333333333),IF(OR(AND(F1079="OFF",D1079="OFF"),AND(F1079="Congé",D1079="Congé"),AND(F1079="Congé sans solde",D1079="Congé sans solde"),AND(F1079="Congé spécial",D1079="Congé spécial"),AND(F1079="Férié",D1079="Férié"),AND(F1079="OFF",D1079="Congé"),AND(F1079="OFF",D1079="Congé sans solde"),AND(F1079="OFF",D1079="Congé spécial"),AND(F1079="OFF",D1079="Férié"),AND(F1079="Congé",D1079="OFF"),AND(F1079="Congé",D1079="Congé sans solde"),AND(F1079="Congé",D1079="Congé spécial"),AND(F1079="Congé",D1079="Férié"),AND(F1079="Congé sans solde",D1079="OFF"),AND(F1079="Congé sans solde",D1079="Congé"),AND(F1079="Congé sans solde",D1079="Congé spécial"),AND(F1079="Congé sans solde",D1079="Férié"),AND(F1079="Congé spécial",D1079="OFF"),AND(F1079="Congé spécial",D1079="Congé"),AND(F1079="Congé spécial",D1079="Congé sans solde"),AND(F1079="Congé spécial",D1079="Férié"),AND(F1079="Férié",D1079="OFF"),AND(F1079="Férié",D1079="Congé"),AND(F1079="Férié",D1079="Congé sans solde"),AND(F1079="Férié",D1079="Congé spécial")),0,IF(OR(F1079="OFF",F1079="Congé",F1079="Congé spécial",F1079="Congé sans solde",D1079="OFF",D1079="Congé",D1079="Congé spécial",D1079="Congé sans solde"),0.208333333333334,IF(AND(AG1079="",F1079-D1079&lt;0),("24:00:00"-D1079)+("00:00:00"+F1079)-0.0416666666666667,IF(AND(OR(AG1079="Allaitement",AG1079="Sans déjeuner"),F1079-D1079&lt;0),("24:00:00"-D1079)+("00:00:00"+F1079),IF(AND(AG1079="",F1079-D1079&gt;0.166666666666667),F1079-D1079-0.0416666666666667,IF(AND(OR(AG1079="Allaitement",AG1079="Sans déjeuner"),F1079-D1079&gt;0.166666666666667),F1079-D1079,F1079-D1079)))))))</f>
        <v>0.333333333333333</v>
      </c>
      <c r="P1079" s="6" t="str">
        <f aca="false">IFERROR(VLOOKUP($B1079,Agents!$A:$D,2,0),"-")</f>
        <v>Accessibilité</v>
      </c>
      <c r="Q1079" s="21" t="n">
        <v>46290</v>
      </c>
      <c r="R1079" s="8" t="n">
        <f aca="false">IF(M1079="Abs",O1079,0)</f>
        <v>0</v>
      </c>
      <c r="S1079" s="8" t="n">
        <f aca="false">SUM(R1079,L1079,I1079,J1079,W1079,H1079)</f>
        <v>0</v>
      </c>
      <c r="T1079" s="6" t="str">
        <f aca="false">"Sem - "&amp;WEEKNUM(Q1079,21)</f>
        <v>Sem - 39</v>
      </c>
      <c r="U1079" s="6" t="str">
        <f aca="false">CHOOSE(MONTH(Q1079),"Janvier","Février","Mars","Avril","Mai","Juin","Juillet","Août","Septembre","Octobre","Novembre","Décembre")</f>
        <v>Septembre</v>
      </c>
      <c r="V1079" s="22" t="n">
        <f aca="false">YEAR(Q1079)</f>
        <v>2026</v>
      </c>
      <c r="W1079" s="20"/>
      <c r="X1079" s="8" t="n">
        <f aca="false">IFERROR(IF(M1079="Abs",0,IF(ROUND((D1079-C1079+E1079-F1079)*1440,0)&lt;=1,0,D1079-C1079+E1079-F1079)),0)</f>
        <v>0.00347222222222222</v>
      </c>
      <c r="Y1079" s="6" t="str">
        <f aca="false">IFERROR(VLOOKUP($B1079,Agents!$A:$D,3,0),"-")</f>
        <v>OUBRAHIM Mohammed</v>
      </c>
      <c r="Z1079" s="6" t="str">
        <f aca="false">IFERROR(VLOOKUP($B1079,Agents!$A:$D,4,0),"-")</f>
        <v>Credit Mutuel</v>
      </c>
      <c r="AA1079" s="18" t="s">
        <v>121</v>
      </c>
      <c r="AB1079" s="8" t="str">
        <f aca="false">IF(AND(D1079="Congé",F1079="Congé"),0.333333333333333,IF(OR(AND(D1079="Congé",F1079&lt;&gt;"Congé"),(AND(F1079="Congé",D1079&lt;&gt;"Congé"))),0.166666666666667,""))</f>
        <v/>
      </c>
      <c r="AC1079" s="8" t="str">
        <f aca="false">IF(AND(D1079="Congé sans solde",F1079="Congé sans solde"),0.333333333333333,IF(OR(AND(D1079="Congé sans solde",F1079&lt;&gt;"Congé sans solde"),(AND(F1079="Congé sans solde",D1079&lt;&gt;"Congé sans solde"))),0.166666666666667,""))</f>
        <v/>
      </c>
      <c r="AD1079" s="8" t="str">
        <f aca="false">IF(AND(D1079="Congé spécial",F1079="Congé spécial"),0.333333333333333,IF(OR(AND(D1079="Congé spécial",F1079&lt;&gt;"Congé spécial"),AND(F1079="Congé spécial",D1079&lt;&gt;"Congé spécial")),0.166666666666667,""))</f>
        <v/>
      </c>
      <c r="AE1079" s="8" t="str">
        <f aca="false">IF(AND(D1079="Férié",F1079="Férié"),0.333333333333333,IF(OR(AND(D1079="Férié",F1079&lt;&gt;"Férié"),(AND(F1079="Férié",D1079&lt;&gt;"Férié"))),0.166666666666667,""))</f>
        <v/>
      </c>
      <c r="AF1079" s="18"/>
      <c r="AG1079" s="18"/>
    </row>
    <row r="1080" customFormat="false" ht="15" hidden="false" customHeight="false" outlineLevel="0" collapsed="false">
      <c r="A1080" s="6" t="str">
        <f aca="false">YEAR(Q1080-WEEKDAY(Q1080,2)+4)&amp;"-S"&amp;TEXT(WEEKNUM(Q1080,21),"00")</f>
        <v>2026-S39</v>
      </c>
      <c r="B1080" s="18" t="s">
        <v>73</v>
      </c>
      <c r="C1080" s="19" t="n">
        <v>0.333333333333333</v>
      </c>
      <c r="D1080" s="19" t="n">
        <v>0.333333333333333</v>
      </c>
      <c r="E1080" s="19" t="n">
        <v>0.708333333333333</v>
      </c>
      <c r="F1080" s="19" t="n">
        <v>0.708333333333333</v>
      </c>
      <c r="G1080" s="20"/>
      <c r="H1080" s="20"/>
      <c r="I1080" s="8" t="str">
        <f aca="false">IF(IF(OR(C1080="",D1080="Congé",D1080="OFF",D1080="Congé spécial"),"",IF(D1080&gt;F1080,D1080-C1080,IF(C1080-D1080&lt;0,0,C1080-D1080)))&lt;0.00068287037037037,"",IF(OR(D1080="Congé",D1080="OFF",C1080="",D1080="Congé spécial"),"",IF(D1080&gt;F1080,D1080-C1080,IF(C1080-D1080&lt;0,0,C1080-D1080))))</f>
        <v/>
      </c>
      <c r="J1080" s="20"/>
      <c r="K1080" s="8" t="n">
        <f aca="false">IF(SUM(H1080:J1080)&lt;0.00068287037037037,0,SUM(H1080:J1080))</f>
        <v>0</v>
      </c>
      <c r="L1080" s="8" t="n">
        <f aca="false">IF(OR(F1080="Congé",F1080="OFF",M1080="Abs",F1080="Congé sans solde",F1080="Férié",F1080="Congé spécial",D1080="Congé spécial"),0,IF(F1080-E1080&lt;0,0,IF(F1080-E1080&lt;=0.00068287037037037,0,F1080-E1080)))</f>
        <v>0</v>
      </c>
      <c r="M1080" s="6" t="n">
        <f aca="false">IF(AND(O1080&lt;&gt;0,C1080=""),"Abs",0)</f>
        <v>0</v>
      </c>
      <c r="N1080" s="8" t="n">
        <f aca="false">IFERROR(IF(OR(D1080="OFF",D1080="Congé",M1080="Abs",D1080="Congé sans solde",D1080="Férié"),"",IF(O1080-K1080-L1080&gt;O1080,O1080,IF(O1080-K1080-L1080&lt;0,"",O1080-K1080-L1080))),"")</f>
        <v>0.333333333333333</v>
      </c>
      <c r="O1080" s="8" t="n">
        <f aca="false">IF(AG1080="2H Pause déjeuner",IF(F1080-D1080-0.0833333333333333&lt;0,F1080-D1080-0.0833333333333333+1,F1080-D1080-0.0833333333333333),IF(OR(AND(F1080="OFF",D1080="OFF"),AND(F1080="Congé",D1080="Congé"),AND(F1080="Congé sans solde",D1080="Congé sans solde"),AND(F1080="Congé spécial",D1080="Congé spécial"),AND(F1080="Férié",D1080="Férié"),AND(F1080="OFF",D1080="Congé"),AND(F1080="OFF",D1080="Congé sans solde"),AND(F1080="OFF",D1080="Congé spécial"),AND(F1080="OFF",D1080="Férié"),AND(F1080="Congé",D1080="OFF"),AND(F1080="Congé",D1080="Congé sans solde"),AND(F1080="Congé",D1080="Congé spécial"),AND(F1080="Congé",D1080="Férié"),AND(F1080="Congé sans solde",D1080="OFF"),AND(F1080="Congé sans solde",D1080="Congé"),AND(F1080="Congé sans solde",D1080="Congé spécial"),AND(F1080="Congé sans solde",D1080="Férié"),AND(F1080="Congé spécial",D1080="OFF"),AND(F1080="Congé spécial",D1080="Congé"),AND(F1080="Congé spécial",D1080="Congé sans solde"),AND(F1080="Congé spécial",D1080="Férié"),AND(F1080="Férié",D1080="OFF"),AND(F1080="Férié",D1080="Congé"),AND(F1080="Férié",D1080="Congé sans solde"),AND(F1080="Férié",D1080="Congé spécial")),0,IF(OR(F1080="OFF",F1080="Congé",F1080="Congé spécial",F1080="Congé sans solde",D1080="OFF",D1080="Congé",D1080="Congé spécial",D1080="Congé sans solde"),0.208333333333334,IF(AND(AG1080="",F1080-D1080&lt;0),("24:00:00"-D1080)+("00:00:00"+F1080)-0.0416666666666667,IF(AND(OR(AG1080="Allaitement",AG1080="Sans déjeuner"),F1080-D1080&lt;0),("24:00:00"-D1080)+("00:00:00"+F1080),IF(AND(AG1080="",F1080-D1080&gt;0.166666666666667),F1080-D1080-0.0416666666666667,IF(AND(OR(AG1080="Allaitement",AG1080="Sans déjeuner"),F1080-D1080&gt;0.166666666666667),F1080-D1080,F1080-D1080)))))))</f>
        <v>0.333333333333333</v>
      </c>
      <c r="P1080" s="6" t="str">
        <f aca="false">IFERROR(VLOOKUP($B1080,Agents!$A:$D,2,0),"-")</f>
        <v>Accessibilité</v>
      </c>
      <c r="Q1080" s="21" t="n">
        <v>46290</v>
      </c>
      <c r="R1080" s="8" t="n">
        <f aca="false">IF(M1080="Abs",O1080,0)</f>
        <v>0</v>
      </c>
      <c r="S1080" s="8" t="n">
        <f aca="false">SUM(R1080,L1080,I1080,J1080,W1080,H1080)</f>
        <v>0</v>
      </c>
      <c r="T1080" s="6" t="str">
        <f aca="false">"Sem - "&amp;WEEKNUM(Q1080,21)</f>
        <v>Sem - 39</v>
      </c>
      <c r="U1080" s="6" t="str">
        <f aca="false">CHOOSE(MONTH(Q1080),"Janvier","Février","Mars","Avril","Mai","Juin","Juillet","Août","Septembre","Octobre","Novembre","Décembre")</f>
        <v>Septembre</v>
      </c>
      <c r="V1080" s="22" t="n">
        <f aca="false">YEAR(Q1080)</f>
        <v>2026</v>
      </c>
      <c r="W1080" s="20"/>
      <c r="X1080" s="8" t="n">
        <f aca="false">IFERROR(IF(M1080="Abs",0,IF(ROUND((D1080-C1080+E1080-F1080)*1440,0)&lt;=1,0,D1080-C1080+E1080-F1080)),0)</f>
        <v>0</v>
      </c>
      <c r="Y1080" s="6" t="str">
        <f aca="false">IFERROR(VLOOKUP($B1080,Agents!$A:$D,3,0),"-")</f>
        <v>OUBRAHIM Mohammed</v>
      </c>
      <c r="Z1080" s="6" t="str">
        <f aca="false">IFERROR(VLOOKUP($B1080,Agents!$A:$D,4,0),"-")</f>
        <v>Credit Mutuel</v>
      </c>
      <c r="AA1080" s="18" t="s">
        <v>121</v>
      </c>
      <c r="AB1080" s="8" t="str">
        <f aca="false">IF(AND(D1080="Congé",F1080="Congé"),0.333333333333333,IF(OR(AND(D1080="Congé",F1080&lt;&gt;"Congé"),(AND(F1080="Congé",D1080&lt;&gt;"Congé"))),0.166666666666667,""))</f>
        <v/>
      </c>
      <c r="AC1080" s="8" t="str">
        <f aca="false">IF(AND(D1080="Congé sans solde",F1080="Congé sans solde"),0.333333333333333,IF(OR(AND(D1080="Congé sans solde",F1080&lt;&gt;"Congé sans solde"),(AND(F1080="Congé sans solde",D1080&lt;&gt;"Congé sans solde"))),0.166666666666667,""))</f>
        <v/>
      </c>
      <c r="AD1080" s="8" t="str">
        <f aca="false">IF(AND(D1080="Congé spécial",F1080="Congé spécial"),0.333333333333333,IF(OR(AND(D1080="Congé spécial",F1080&lt;&gt;"Congé spécial"),AND(F1080="Congé spécial",D1080&lt;&gt;"Congé spécial")),0.166666666666667,""))</f>
        <v/>
      </c>
      <c r="AE1080" s="8" t="str">
        <f aca="false">IF(AND(D1080="Férié",F1080="Férié"),0.333333333333333,IF(OR(AND(D1080="Férié",F1080&lt;&gt;"Férié"),(AND(F1080="Férié",D1080&lt;&gt;"Férié"))),0.166666666666667,""))</f>
        <v/>
      </c>
      <c r="AF1080" s="18"/>
      <c r="AG1080" s="18"/>
    </row>
    <row r="1081" customFormat="false" ht="15" hidden="false" customHeight="false" outlineLevel="0" collapsed="false">
      <c r="A1081" s="6" t="str">
        <f aca="false">YEAR(Q1081-WEEKDAY(Q1081,2)+4)&amp;"-S"&amp;TEXT(WEEKNUM(Q1081,21),"00")</f>
        <v>2026-S39</v>
      </c>
      <c r="B1081" s="18" t="s">
        <v>71</v>
      </c>
      <c r="C1081" s="19"/>
      <c r="D1081" s="19" t="s">
        <v>74</v>
      </c>
      <c r="E1081" s="19"/>
      <c r="F1081" s="19" t="s">
        <v>74</v>
      </c>
      <c r="G1081" s="20"/>
      <c r="H1081" s="20"/>
      <c r="I1081" s="8" t="str">
        <f aca="false">IF(IF(OR(C1081="",D1081="Congé",D1081="OFF",D1081="Congé spécial"),"",IF(D1081&gt;F1081,D1081-C1081,IF(C1081-D1081&lt;0,0,C1081-D1081)))&lt;0.00068287037037037,"",IF(OR(D1081="Congé",D1081="OFF",C1081="",D1081="Congé spécial"),"",IF(D1081&gt;F1081,D1081-C1081,IF(C1081-D1081&lt;0,0,C1081-D1081))))</f>
        <v/>
      </c>
      <c r="J1081" s="20"/>
      <c r="K1081" s="8" t="n">
        <f aca="false">IF(SUM(H1081:J1081)&lt;0.00068287037037037,0,SUM(H1081:J1081))</f>
        <v>0</v>
      </c>
      <c r="L1081" s="8" t="n">
        <f aca="false">IF(OR(F1081="Congé",F1081="OFF",M1081="Abs",F1081="Congé sans solde",F1081="Férié",F1081="Congé spécial",D1081="Congé spécial"),0,IF(F1081-E1081&lt;0,0,IF(F1081-E1081&lt;=0.00068287037037037,0,F1081-E1081)))</f>
        <v>0</v>
      </c>
      <c r="M1081" s="6" t="n">
        <f aca="false">IF(AND(O1081&lt;&gt;0,C1081=""),"Abs",0)</f>
        <v>0</v>
      </c>
      <c r="N1081" s="8" t="str">
        <f aca="false">IFERROR(IF(OR(D1081="OFF",D1081="Congé",M1081="Abs",D1081="Congé sans solde",D1081="Férié"),"",IF(O1081-K1081-L1081&gt;O1081,O1081,IF(O1081-K1081-L1081&lt;0,"",O1081-K1081-L1081))),"")</f>
        <v/>
      </c>
      <c r="O1081" s="8" t="n">
        <f aca="false">IF(AG1081="2H Pause déjeuner",IF(F1081-D1081-0.0833333333333333&lt;0,F1081-D1081-0.0833333333333333+1,F1081-D1081-0.0833333333333333),IF(OR(AND(F1081="OFF",D1081="OFF"),AND(F1081="Congé",D1081="Congé"),AND(F1081="Congé sans solde",D1081="Congé sans solde"),AND(F1081="Congé spécial",D1081="Congé spécial"),AND(F1081="Férié",D1081="Férié"),AND(F1081="OFF",D1081="Congé"),AND(F1081="OFF",D1081="Congé sans solde"),AND(F1081="OFF",D1081="Congé spécial"),AND(F1081="OFF",D1081="Férié"),AND(F1081="Congé",D1081="OFF"),AND(F1081="Congé",D1081="Congé sans solde"),AND(F1081="Congé",D1081="Congé spécial"),AND(F1081="Congé",D1081="Férié"),AND(F1081="Congé sans solde",D1081="OFF"),AND(F1081="Congé sans solde",D1081="Congé"),AND(F1081="Congé sans solde",D1081="Congé spécial"),AND(F1081="Congé sans solde",D1081="Férié"),AND(F1081="Congé spécial",D1081="OFF"),AND(F1081="Congé spécial",D1081="Congé"),AND(F1081="Congé spécial",D1081="Congé sans solde"),AND(F1081="Congé spécial",D1081="Férié"),AND(F1081="Férié",D1081="OFF"),AND(F1081="Férié",D1081="Congé"),AND(F1081="Férié",D1081="Congé sans solde"),AND(F1081="Férié",D1081="Congé spécial")),0,IF(OR(F1081="OFF",F1081="Congé",F1081="Congé spécial",F1081="Congé sans solde",D1081="OFF",D1081="Congé",D1081="Congé spécial",D1081="Congé sans solde"),0.208333333333334,IF(AND(AG1081="",F1081-D1081&lt;0),("24:00:00"-D1081)+("00:00:00"+F1081)-0.0416666666666667,IF(AND(OR(AG1081="Allaitement",AG1081="Sans déjeuner"),F1081-D1081&lt;0),("24:00:00"-D1081)+("00:00:00"+F1081),IF(AND(AG1081="",F1081-D1081&gt;0.166666666666667),F1081-D1081-0.0416666666666667,IF(AND(OR(AG1081="Allaitement",AG1081="Sans déjeuner"),F1081-D1081&gt;0.166666666666667),F1081-D1081,F1081-D1081)))))))</f>
        <v>0</v>
      </c>
      <c r="P1081" s="6" t="str">
        <f aca="false">IFERROR(VLOOKUP($B1081,Agents!$A:$D,2,0),"-")</f>
        <v>Accessibilité</v>
      </c>
      <c r="Q1081" s="21" t="n">
        <v>46291</v>
      </c>
      <c r="R1081" s="8" t="n">
        <f aca="false">IF(M1081="Abs",O1081,0)</f>
        <v>0</v>
      </c>
      <c r="S1081" s="8" t="n">
        <f aca="false">SUM(R1081,L1081,I1081,J1081,W1081,H1081)</f>
        <v>0</v>
      </c>
      <c r="T1081" s="6" t="str">
        <f aca="false">"Sem - "&amp;WEEKNUM(Q1081,21)</f>
        <v>Sem - 39</v>
      </c>
      <c r="U1081" s="6" t="str">
        <f aca="false">CHOOSE(MONTH(Q1081),"Janvier","Février","Mars","Avril","Mai","Juin","Juillet","Août","Septembre","Octobre","Novembre","Décembre")</f>
        <v>Septembre</v>
      </c>
      <c r="V1081" s="22" t="n">
        <f aca="false">YEAR(Q1081)</f>
        <v>2026</v>
      </c>
      <c r="W1081" s="20"/>
      <c r="X1081" s="8" t="n">
        <f aca="false">IFERROR(IF(M1081="Abs",0,IF(ROUND((D1081-C1081+E1081-F1081)*1440,0)&lt;=1,0,D1081-C1081+E1081-F1081)),0)</f>
        <v>0</v>
      </c>
      <c r="Y1081" s="6" t="str">
        <f aca="false">IFERROR(VLOOKUP($B1081,Agents!$A:$D,3,0),"-")</f>
        <v>OUBRAHIM Mohammed</v>
      </c>
      <c r="Z1081" s="6" t="str">
        <f aca="false">IFERROR(VLOOKUP($B1081,Agents!$A:$D,4,0),"-")</f>
        <v>Credit Mutuel</v>
      </c>
      <c r="AA1081" s="18" t="s">
        <v>121</v>
      </c>
      <c r="AB1081" s="8" t="str">
        <f aca="false">IF(AND(D1081="Congé",F1081="Congé"),0.333333333333333,IF(OR(AND(D1081="Congé",F1081&lt;&gt;"Congé"),(AND(F1081="Congé",D1081&lt;&gt;"Congé"))),0.166666666666667,""))</f>
        <v/>
      </c>
      <c r="AC1081" s="8" t="str">
        <f aca="false">IF(AND(D1081="Congé sans solde",F1081="Congé sans solde"),0.333333333333333,IF(OR(AND(D1081="Congé sans solde",F1081&lt;&gt;"Congé sans solde"),(AND(F1081="Congé sans solde",D1081&lt;&gt;"Congé sans solde"))),0.166666666666667,""))</f>
        <v/>
      </c>
      <c r="AD1081" s="8" t="str">
        <f aca="false">IF(AND(D1081="Congé spécial",F1081="Congé spécial"),0.333333333333333,IF(OR(AND(D1081="Congé spécial",F1081&lt;&gt;"Congé spécial"),AND(F1081="Congé spécial",D1081&lt;&gt;"Congé spécial")),0.166666666666667,""))</f>
        <v/>
      </c>
      <c r="AE1081" s="8" t="str">
        <f aca="false">IF(AND(D1081="Férié",F1081="Férié"),0.333333333333333,IF(OR(AND(D1081="Férié",F1081&lt;&gt;"Férié"),(AND(F1081="Férié",D1081&lt;&gt;"Férié"))),0.166666666666667,""))</f>
        <v/>
      </c>
      <c r="AF1081" s="18"/>
      <c r="AG1081" s="18"/>
    </row>
    <row r="1082" customFormat="false" ht="15" hidden="false" customHeight="false" outlineLevel="0" collapsed="false">
      <c r="A1082" s="6" t="str">
        <f aca="false">YEAR(Q1082-WEEKDAY(Q1082,2)+4)&amp;"-S"&amp;TEXT(WEEKNUM(Q1082,21),"00")</f>
        <v>2026-S39</v>
      </c>
      <c r="B1082" s="18" t="s">
        <v>72</v>
      </c>
      <c r="C1082" s="19"/>
      <c r="D1082" s="19" t="s">
        <v>74</v>
      </c>
      <c r="E1082" s="19"/>
      <c r="F1082" s="19" t="s">
        <v>74</v>
      </c>
      <c r="G1082" s="20"/>
      <c r="H1082" s="20"/>
      <c r="I1082" s="8" t="str">
        <f aca="false">IF(IF(OR(C1082="",D1082="Congé",D1082="OFF",D1082="Congé spécial"),"",IF(D1082&gt;F1082,D1082-C1082,IF(C1082-D1082&lt;0,0,C1082-D1082)))&lt;0.00068287037037037,"",IF(OR(D1082="Congé",D1082="OFF",C1082="",D1082="Congé spécial"),"",IF(D1082&gt;F1082,D1082-C1082,IF(C1082-D1082&lt;0,0,C1082-D1082))))</f>
        <v/>
      </c>
      <c r="J1082" s="20"/>
      <c r="K1082" s="8" t="n">
        <f aca="false">IF(SUM(H1082:J1082)&lt;0.00068287037037037,0,SUM(H1082:J1082))</f>
        <v>0</v>
      </c>
      <c r="L1082" s="8" t="n">
        <f aca="false">IF(OR(F1082="Congé",F1082="OFF",M1082="Abs",F1082="Congé sans solde",F1082="Férié",F1082="Congé spécial",D1082="Congé spécial"),0,IF(F1082-E1082&lt;0,0,IF(F1082-E1082&lt;=0.00068287037037037,0,F1082-E1082)))</f>
        <v>0</v>
      </c>
      <c r="M1082" s="6" t="n">
        <f aca="false">IF(AND(O1082&lt;&gt;0,C1082=""),"Abs",0)</f>
        <v>0</v>
      </c>
      <c r="N1082" s="8" t="str">
        <f aca="false">IFERROR(IF(OR(D1082="OFF",D1082="Congé",M1082="Abs",D1082="Congé sans solde",D1082="Férié"),"",IF(O1082-K1082-L1082&gt;O1082,O1082,IF(O1082-K1082-L1082&lt;0,"",O1082-K1082-L1082))),"")</f>
        <v/>
      </c>
      <c r="O1082" s="8" t="n">
        <f aca="false">IF(AG1082="2H Pause déjeuner",IF(F1082-D1082-0.0833333333333333&lt;0,F1082-D1082-0.0833333333333333+1,F1082-D1082-0.0833333333333333),IF(OR(AND(F1082="OFF",D1082="OFF"),AND(F1082="Congé",D1082="Congé"),AND(F1082="Congé sans solde",D1082="Congé sans solde"),AND(F1082="Congé spécial",D1082="Congé spécial"),AND(F1082="Férié",D1082="Férié"),AND(F1082="OFF",D1082="Congé"),AND(F1082="OFF",D1082="Congé sans solde"),AND(F1082="OFF",D1082="Congé spécial"),AND(F1082="OFF",D1082="Férié"),AND(F1082="Congé",D1082="OFF"),AND(F1082="Congé",D1082="Congé sans solde"),AND(F1082="Congé",D1082="Congé spécial"),AND(F1082="Congé",D1082="Férié"),AND(F1082="Congé sans solde",D1082="OFF"),AND(F1082="Congé sans solde",D1082="Congé"),AND(F1082="Congé sans solde",D1082="Congé spécial"),AND(F1082="Congé sans solde",D1082="Férié"),AND(F1082="Congé spécial",D1082="OFF"),AND(F1082="Congé spécial",D1082="Congé"),AND(F1082="Congé spécial",D1082="Congé sans solde"),AND(F1082="Congé spécial",D1082="Férié"),AND(F1082="Férié",D1082="OFF"),AND(F1082="Férié",D1082="Congé"),AND(F1082="Férié",D1082="Congé sans solde"),AND(F1082="Férié",D1082="Congé spécial")),0,IF(OR(F1082="OFF",F1082="Congé",F1082="Congé spécial",F1082="Congé sans solde",D1082="OFF",D1082="Congé",D1082="Congé spécial",D1082="Congé sans solde"),0.208333333333334,IF(AND(AG1082="",F1082-D1082&lt;0),("24:00:00"-D1082)+("00:00:00"+F1082)-0.0416666666666667,IF(AND(OR(AG1082="Allaitement",AG1082="Sans déjeuner"),F1082-D1082&lt;0),("24:00:00"-D1082)+("00:00:00"+F1082),IF(AND(AG1082="",F1082-D1082&gt;0.166666666666667),F1082-D1082-0.0416666666666667,IF(AND(OR(AG1082="Allaitement",AG1082="Sans déjeuner"),F1082-D1082&gt;0.166666666666667),F1082-D1082,F1082-D1082)))))))</f>
        <v>0</v>
      </c>
      <c r="P1082" s="6" t="str">
        <f aca="false">IFERROR(VLOOKUP($B1082,Agents!$A:$D,2,0),"-")</f>
        <v>Accessibilité</v>
      </c>
      <c r="Q1082" s="21" t="n">
        <v>46291</v>
      </c>
      <c r="R1082" s="8" t="n">
        <f aca="false">IF(M1082="Abs",O1082,0)</f>
        <v>0</v>
      </c>
      <c r="S1082" s="8" t="n">
        <f aca="false">SUM(R1082,L1082,I1082,J1082,W1082,H1082)</f>
        <v>0</v>
      </c>
      <c r="T1082" s="6" t="str">
        <f aca="false">"Sem - "&amp;WEEKNUM(Q1082,21)</f>
        <v>Sem - 39</v>
      </c>
      <c r="U1082" s="6" t="str">
        <f aca="false">CHOOSE(MONTH(Q1082),"Janvier","Février","Mars","Avril","Mai","Juin","Juillet","Août","Septembre","Octobre","Novembre","Décembre")</f>
        <v>Septembre</v>
      </c>
      <c r="V1082" s="22" t="n">
        <f aca="false">YEAR(Q1082)</f>
        <v>2026</v>
      </c>
      <c r="W1082" s="20"/>
      <c r="X1082" s="8" t="n">
        <f aca="false">IFERROR(IF(M1082="Abs",0,IF(ROUND((D1082-C1082+E1082-F1082)*1440,0)&lt;=1,0,D1082-C1082+E1082-F1082)),0)</f>
        <v>0</v>
      </c>
      <c r="Y1082" s="6" t="str">
        <f aca="false">IFERROR(VLOOKUP($B1082,Agents!$A:$D,3,0),"-")</f>
        <v>OUBRAHIM Mohammed</v>
      </c>
      <c r="Z1082" s="6" t="str">
        <f aca="false">IFERROR(VLOOKUP($B1082,Agents!$A:$D,4,0),"-")</f>
        <v>Credit Mutuel</v>
      </c>
      <c r="AA1082" s="18" t="s">
        <v>121</v>
      </c>
      <c r="AB1082" s="8" t="str">
        <f aca="false">IF(AND(D1082="Congé",F1082="Congé"),0.333333333333333,IF(OR(AND(D1082="Congé",F1082&lt;&gt;"Congé"),(AND(F1082="Congé",D1082&lt;&gt;"Congé"))),0.166666666666667,""))</f>
        <v/>
      </c>
      <c r="AC1082" s="8" t="str">
        <f aca="false">IF(AND(D1082="Congé sans solde",F1082="Congé sans solde"),0.333333333333333,IF(OR(AND(D1082="Congé sans solde",F1082&lt;&gt;"Congé sans solde"),(AND(F1082="Congé sans solde",D1082&lt;&gt;"Congé sans solde"))),0.166666666666667,""))</f>
        <v/>
      </c>
      <c r="AD1082" s="8" t="str">
        <f aca="false">IF(AND(D1082="Congé spécial",F1082="Congé spécial"),0.333333333333333,IF(OR(AND(D1082="Congé spécial",F1082&lt;&gt;"Congé spécial"),AND(F1082="Congé spécial",D1082&lt;&gt;"Congé spécial")),0.166666666666667,""))</f>
        <v/>
      </c>
      <c r="AE1082" s="8" t="str">
        <f aca="false">IF(AND(D1082="Férié",F1082="Férié"),0.333333333333333,IF(OR(AND(D1082="Férié",F1082&lt;&gt;"Férié"),(AND(F1082="Férié",D1082&lt;&gt;"Férié"))),0.166666666666667,""))</f>
        <v/>
      </c>
      <c r="AF1082" s="18"/>
      <c r="AG1082" s="18"/>
    </row>
    <row r="1083" customFormat="false" ht="15" hidden="false" customHeight="false" outlineLevel="0" collapsed="false">
      <c r="A1083" s="6" t="str">
        <f aca="false">YEAR(Q1083-WEEKDAY(Q1083,2)+4)&amp;"-S"&amp;TEXT(WEEKNUM(Q1083,21),"00")</f>
        <v>2026-S39</v>
      </c>
      <c r="B1083" s="18" t="s">
        <v>73</v>
      </c>
      <c r="C1083" s="19"/>
      <c r="D1083" s="19" t="s">
        <v>74</v>
      </c>
      <c r="E1083" s="19"/>
      <c r="F1083" s="19" t="s">
        <v>74</v>
      </c>
      <c r="G1083" s="20"/>
      <c r="H1083" s="20"/>
      <c r="I1083" s="8" t="str">
        <f aca="false">IF(IF(OR(C1083="",D1083="Congé",D1083="OFF",D1083="Congé spécial"),"",IF(D1083&gt;F1083,D1083-C1083,IF(C1083-D1083&lt;0,0,C1083-D1083)))&lt;0.00068287037037037,"",IF(OR(D1083="Congé",D1083="OFF",C1083="",D1083="Congé spécial"),"",IF(D1083&gt;F1083,D1083-C1083,IF(C1083-D1083&lt;0,0,C1083-D1083))))</f>
        <v/>
      </c>
      <c r="J1083" s="20"/>
      <c r="K1083" s="8" t="n">
        <f aca="false">IF(SUM(H1083:J1083)&lt;0.00068287037037037,0,SUM(H1083:J1083))</f>
        <v>0</v>
      </c>
      <c r="L1083" s="8" t="n">
        <f aca="false">IF(OR(F1083="Congé",F1083="OFF",M1083="Abs",F1083="Congé sans solde",F1083="Férié",F1083="Congé spécial",D1083="Congé spécial"),0,IF(F1083-E1083&lt;0,0,IF(F1083-E1083&lt;=0.00068287037037037,0,F1083-E1083)))</f>
        <v>0</v>
      </c>
      <c r="M1083" s="6" t="n">
        <f aca="false">IF(AND(O1083&lt;&gt;0,C1083=""),"Abs",0)</f>
        <v>0</v>
      </c>
      <c r="N1083" s="8" t="str">
        <f aca="false">IFERROR(IF(OR(D1083="OFF",D1083="Congé",M1083="Abs",D1083="Congé sans solde",D1083="Férié"),"",IF(O1083-K1083-L1083&gt;O1083,O1083,IF(O1083-K1083-L1083&lt;0,"",O1083-K1083-L1083))),"")</f>
        <v/>
      </c>
      <c r="O1083" s="8" t="n">
        <f aca="false">IF(AG1083="2H Pause déjeuner",IF(F1083-D1083-0.0833333333333333&lt;0,F1083-D1083-0.0833333333333333+1,F1083-D1083-0.0833333333333333),IF(OR(AND(F1083="OFF",D1083="OFF"),AND(F1083="Congé",D1083="Congé"),AND(F1083="Congé sans solde",D1083="Congé sans solde"),AND(F1083="Congé spécial",D1083="Congé spécial"),AND(F1083="Férié",D1083="Férié"),AND(F1083="OFF",D1083="Congé"),AND(F1083="OFF",D1083="Congé sans solde"),AND(F1083="OFF",D1083="Congé spécial"),AND(F1083="OFF",D1083="Férié"),AND(F1083="Congé",D1083="OFF"),AND(F1083="Congé",D1083="Congé sans solde"),AND(F1083="Congé",D1083="Congé spécial"),AND(F1083="Congé",D1083="Férié"),AND(F1083="Congé sans solde",D1083="OFF"),AND(F1083="Congé sans solde",D1083="Congé"),AND(F1083="Congé sans solde",D1083="Congé spécial"),AND(F1083="Congé sans solde",D1083="Férié"),AND(F1083="Congé spécial",D1083="OFF"),AND(F1083="Congé spécial",D1083="Congé"),AND(F1083="Congé spécial",D1083="Congé sans solde"),AND(F1083="Congé spécial",D1083="Férié"),AND(F1083="Férié",D1083="OFF"),AND(F1083="Férié",D1083="Congé"),AND(F1083="Férié",D1083="Congé sans solde"),AND(F1083="Férié",D1083="Congé spécial")),0,IF(OR(F1083="OFF",F1083="Congé",F1083="Congé spécial",F1083="Congé sans solde",D1083="OFF",D1083="Congé",D1083="Congé spécial",D1083="Congé sans solde"),0.208333333333334,IF(AND(AG1083="",F1083-D1083&lt;0),("24:00:00"-D1083)+("00:00:00"+F1083)-0.0416666666666667,IF(AND(OR(AG1083="Allaitement",AG1083="Sans déjeuner"),F1083-D1083&lt;0),("24:00:00"-D1083)+("00:00:00"+F1083),IF(AND(AG1083="",F1083-D1083&gt;0.166666666666667),F1083-D1083-0.0416666666666667,IF(AND(OR(AG1083="Allaitement",AG1083="Sans déjeuner"),F1083-D1083&gt;0.166666666666667),F1083-D1083,F1083-D1083)))))))</f>
        <v>0</v>
      </c>
      <c r="P1083" s="6" t="str">
        <f aca="false">IFERROR(VLOOKUP($B1083,Agents!$A:$D,2,0),"-")</f>
        <v>Accessibilité</v>
      </c>
      <c r="Q1083" s="21" t="n">
        <v>46291</v>
      </c>
      <c r="R1083" s="8" t="n">
        <f aca="false">IF(M1083="Abs",O1083,0)</f>
        <v>0</v>
      </c>
      <c r="S1083" s="8" t="n">
        <f aca="false">SUM(R1083,L1083,I1083,J1083,W1083,H1083)</f>
        <v>0</v>
      </c>
      <c r="T1083" s="6" t="str">
        <f aca="false">"Sem - "&amp;WEEKNUM(Q1083,21)</f>
        <v>Sem - 39</v>
      </c>
      <c r="U1083" s="6" t="str">
        <f aca="false">CHOOSE(MONTH(Q1083),"Janvier","Février","Mars","Avril","Mai","Juin","Juillet","Août","Septembre","Octobre","Novembre","Décembre")</f>
        <v>Septembre</v>
      </c>
      <c r="V1083" s="22" t="n">
        <f aca="false">YEAR(Q1083)</f>
        <v>2026</v>
      </c>
      <c r="W1083" s="20"/>
      <c r="X1083" s="8" t="n">
        <f aca="false">IFERROR(IF(M1083="Abs",0,IF(ROUND((D1083-C1083+E1083-F1083)*1440,0)&lt;=1,0,D1083-C1083+E1083-F1083)),0)</f>
        <v>0</v>
      </c>
      <c r="Y1083" s="6" t="str">
        <f aca="false">IFERROR(VLOOKUP($B1083,Agents!$A:$D,3,0),"-")</f>
        <v>OUBRAHIM Mohammed</v>
      </c>
      <c r="Z1083" s="6" t="str">
        <f aca="false">IFERROR(VLOOKUP($B1083,Agents!$A:$D,4,0),"-")</f>
        <v>Credit Mutuel</v>
      </c>
      <c r="AA1083" s="18" t="s">
        <v>121</v>
      </c>
      <c r="AB1083" s="8" t="str">
        <f aca="false">IF(AND(D1083="Congé",F1083="Congé"),0.333333333333333,IF(OR(AND(D1083="Congé",F1083&lt;&gt;"Congé"),(AND(F1083="Congé",D1083&lt;&gt;"Congé"))),0.166666666666667,""))</f>
        <v/>
      </c>
      <c r="AC1083" s="8" t="str">
        <f aca="false">IF(AND(D1083="Congé sans solde",F1083="Congé sans solde"),0.333333333333333,IF(OR(AND(D1083="Congé sans solde",F1083&lt;&gt;"Congé sans solde"),(AND(F1083="Congé sans solde",D1083&lt;&gt;"Congé sans solde"))),0.166666666666667,""))</f>
        <v/>
      </c>
      <c r="AD1083" s="8" t="str">
        <f aca="false">IF(AND(D1083="Congé spécial",F1083="Congé spécial"),0.333333333333333,IF(OR(AND(D1083="Congé spécial",F1083&lt;&gt;"Congé spécial"),AND(F1083="Congé spécial",D1083&lt;&gt;"Congé spécial")),0.166666666666667,""))</f>
        <v/>
      </c>
      <c r="AE1083" s="8" t="str">
        <f aca="false">IF(AND(D1083="Férié",F1083="Férié"),0.333333333333333,IF(OR(AND(D1083="Férié",F1083&lt;&gt;"Férié"),(AND(F1083="Férié",D1083&lt;&gt;"Férié"))),0.166666666666667,""))</f>
        <v/>
      </c>
      <c r="AF1083" s="18"/>
      <c r="AG1083" s="18"/>
    </row>
    <row r="1084" customFormat="false" ht="15" hidden="false" customHeight="false" outlineLevel="0" collapsed="false">
      <c r="A1084" s="6" t="str">
        <f aca="false">YEAR(Q1084-WEEKDAY(Q1084,2)+4)&amp;"-S"&amp;TEXT(WEEKNUM(Q1084,21),"00")</f>
        <v>2026-S39</v>
      </c>
      <c r="B1084" s="18" t="s">
        <v>71</v>
      </c>
      <c r="C1084" s="19"/>
      <c r="D1084" s="19" t="s">
        <v>74</v>
      </c>
      <c r="E1084" s="19"/>
      <c r="F1084" s="19" t="s">
        <v>74</v>
      </c>
      <c r="G1084" s="20"/>
      <c r="H1084" s="20"/>
      <c r="I1084" s="8" t="str">
        <f aca="false">IF(IF(OR(C1084="",D1084="Congé",D1084="OFF",D1084="Congé spécial"),"",IF(D1084&gt;F1084,D1084-C1084,IF(C1084-D1084&lt;0,0,C1084-D1084)))&lt;0.00068287037037037,"",IF(OR(D1084="Congé",D1084="OFF",C1084="",D1084="Congé spécial"),"",IF(D1084&gt;F1084,D1084-C1084,IF(C1084-D1084&lt;0,0,C1084-D1084))))</f>
        <v/>
      </c>
      <c r="J1084" s="20"/>
      <c r="K1084" s="8" t="n">
        <f aca="false">IF(SUM(H1084:J1084)&lt;0.00068287037037037,0,SUM(H1084:J1084))</f>
        <v>0</v>
      </c>
      <c r="L1084" s="8" t="n">
        <f aca="false">IF(OR(F1084="Congé",F1084="OFF",M1084="Abs",F1084="Congé sans solde",F1084="Férié",F1084="Congé spécial",D1084="Congé spécial"),0,IF(F1084-E1084&lt;0,0,IF(F1084-E1084&lt;=0.00068287037037037,0,F1084-E1084)))</f>
        <v>0</v>
      </c>
      <c r="M1084" s="6" t="n">
        <f aca="false">IF(AND(O1084&lt;&gt;0,C1084=""),"Abs",0)</f>
        <v>0</v>
      </c>
      <c r="N1084" s="8" t="str">
        <f aca="false">IFERROR(IF(OR(D1084="OFF",D1084="Congé",M1084="Abs",D1084="Congé sans solde",D1084="Férié"),"",IF(O1084-K1084-L1084&gt;O1084,O1084,IF(O1084-K1084-L1084&lt;0,"",O1084-K1084-L1084))),"")</f>
        <v/>
      </c>
      <c r="O1084" s="8" t="n">
        <f aca="false">IF(AG1084="2H Pause déjeuner",IF(F1084-D1084-0.0833333333333333&lt;0,F1084-D1084-0.0833333333333333+1,F1084-D1084-0.0833333333333333),IF(OR(AND(F1084="OFF",D1084="OFF"),AND(F1084="Congé",D1084="Congé"),AND(F1084="Congé sans solde",D1084="Congé sans solde"),AND(F1084="Congé spécial",D1084="Congé spécial"),AND(F1084="Férié",D1084="Férié"),AND(F1084="OFF",D1084="Congé"),AND(F1084="OFF",D1084="Congé sans solde"),AND(F1084="OFF",D1084="Congé spécial"),AND(F1084="OFF",D1084="Férié"),AND(F1084="Congé",D1084="OFF"),AND(F1084="Congé",D1084="Congé sans solde"),AND(F1084="Congé",D1084="Congé spécial"),AND(F1084="Congé",D1084="Férié"),AND(F1084="Congé sans solde",D1084="OFF"),AND(F1084="Congé sans solde",D1084="Congé"),AND(F1084="Congé sans solde",D1084="Congé spécial"),AND(F1084="Congé sans solde",D1084="Férié"),AND(F1084="Congé spécial",D1084="OFF"),AND(F1084="Congé spécial",D1084="Congé"),AND(F1084="Congé spécial",D1084="Congé sans solde"),AND(F1084="Congé spécial",D1084="Férié"),AND(F1084="Férié",D1084="OFF"),AND(F1084="Férié",D1084="Congé"),AND(F1084="Férié",D1084="Congé sans solde"),AND(F1084="Férié",D1084="Congé spécial")),0,IF(OR(F1084="OFF",F1084="Congé",F1084="Congé spécial",F1084="Congé sans solde",D1084="OFF",D1084="Congé",D1084="Congé spécial",D1084="Congé sans solde"),0.208333333333334,IF(AND(AG1084="",F1084-D1084&lt;0),("24:00:00"-D1084)+("00:00:00"+F1084)-0.0416666666666667,IF(AND(OR(AG1084="Allaitement",AG1084="Sans déjeuner"),F1084-D1084&lt;0),("24:00:00"-D1084)+("00:00:00"+F1084),IF(AND(AG1084="",F1084-D1084&gt;0.166666666666667),F1084-D1084-0.0416666666666667,IF(AND(OR(AG1084="Allaitement",AG1084="Sans déjeuner"),F1084-D1084&gt;0.166666666666667),F1084-D1084,F1084-D1084)))))))</f>
        <v>0</v>
      </c>
      <c r="P1084" s="6" t="str">
        <f aca="false">IFERROR(VLOOKUP($B1084,Agents!$A:$D,2,0),"-")</f>
        <v>Accessibilité</v>
      </c>
      <c r="Q1084" s="21" t="n">
        <v>46292</v>
      </c>
      <c r="R1084" s="8" t="n">
        <f aca="false">IF(M1084="Abs",O1084,0)</f>
        <v>0</v>
      </c>
      <c r="S1084" s="8" t="n">
        <f aca="false">SUM(R1084,L1084,I1084,J1084,W1084,H1084)</f>
        <v>0</v>
      </c>
      <c r="T1084" s="6" t="str">
        <f aca="false">"Sem - "&amp;WEEKNUM(Q1084,21)</f>
        <v>Sem - 39</v>
      </c>
      <c r="U1084" s="6" t="str">
        <f aca="false">CHOOSE(MONTH(Q1084),"Janvier","Février","Mars","Avril","Mai","Juin","Juillet","Août","Septembre","Octobre","Novembre","Décembre")</f>
        <v>Septembre</v>
      </c>
      <c r="V1084" s="22" t="n">
        <f aca="false">YEAR(Q1084)</f>
        <v>2026</v>
      </c>
      <c r="W1084" s="20"/>
      <c r="X1084" s="8" t="n">
        <f aca="false">IFERROR(IF(M1084="Abs",0,IF(ROUND((D1084-C1084+E1084-F1084)*1440,0)&lt;=1,0,D1084-C1084+E1084-F1084)),0)</f>
        <v>0</v>
      </c>
      <c r="Y1084" s="6" t="str">
        <f aca="false">IFERROR(VLOOKUP($B1084,Agents!$A:$D,3,0),"-")</f>
        <v>OUBRAHIM Mohammed</v>
      </c>
      <c r="Z1084" s="6" t="str">
        <f aca="false">IFERROR(VLOOKUP($B1084,Agents!$A:$D,4,0),"-")</f>
        <v>Credit Mutuel</v>
      </c>
      <c r="AA1084" s="18" t="s">
        <v>121</v>
      </c>
      <c r="AB1084" s="8" t="str">
        <f aca="false">IF(AND(D1084="Congé",F1084="Congé"),0.333333333333333,IF(OR(AND(D1084="Congé",F1084&lt;&gt;"Congé"),(AND(F1084="Congé",D1084&lt;&gt;"Congé"))),0.166666666666667,""))</f>
        <v/>
      </c>
      <c r="AC1084" s="8" t="str">
        <f aca="false">IF(AND(D1084="Congé sans solde",F1084="Congé sans solde"),0.333333333333333,IF(OR(AND(D1084="Congé sans solde",F1084&lt;&gt;"Congé sans solde"),(AND(F1084="Congé sans solde",D1084&lt;&gt;"Congé sans solde"))),0.166666666666667,""))</f>
        <v/>
      </c>
      <c r="AD1084" s="8" t="str">
        <f aca="false">IF(AND(D1084="Congé spécial",F1084="Congé spécial"),0.333333333333333,IF(OR(AND(D1084="Congé spécial",F1084&lt;&gt;"Congé spécial"),AND(F1084="Congé spécial",D1084&lt;&gt;"Congé spécial")),0.166666666666667,""))</f>
        <v/>
      </c>
      <c r="AE1084" s="8" t="str">
        <f aca="false">IF(AND(D1084="Férié",F1084="Férié"),0.333333333333333,IF(OR(AND(D1084="Férié",F1084&lt;&gt;"Férié"),(AND(F1084="Férié",D1084&lt;&gt;"Férié"))),0.166666666666667,""))</f>
        <v/>
      </c>
      <c r="AF1084" s="18"/>
      <c r="AG1084" s="18"/>
    </row>
    <row r="1085" customFormat="false" ht="15" hidden="false" customHeight="false" outlineLevel="0" collapsed="false">
      <c r="A1085" s="6" t="str">
        <f aca="false">YEAR(Q1085-WEEKDAY(Q1085,2)+4)&amp;"-S"&amp;TEXT(WEEKNUM(Q1085,21),"00")</f>
        <v>2026-S39</v>
      </c>
      <c r="B1085" s="18" t="s">
        <v>72</v>
      </c>
      <c r="C1085" s="19"/>
      <c r="D1085" s="19" t="s">
        <v>74</v>
      </c>
      <c r="E1085" s="19"/>
      <c r="F1085" s="19" t="s">
        <v>74</v>
      </c>
      <c r="G1085" s="20"/>
      <c r="H1085" s="20"/>
      <c r="I1085" s="8" t="str">
        <f aca="false">IF(IF(OR(C1085="",D1085="Congé",D1085="OFF",D1085="Congé spécial"),"",IF(D1085&gt;F1085,D1085-C1085,IF(C1085-D1085&lt;0,0,C1085-D1085)))&lt;0.00068287037037037,"",IF(OR(D1085="Congé",D1085="OFF",C1085="",D1085="Congé spécial"),"",IF(D1085&gt;F1085,D1085-C1085,IF(C1085-D1085&lt;0,0,C1085-D1085))))</f>
        <v/>
      </c>
      <c r="J1085" s="20"/>
      <c r="K1085" s="8" t="n">
        <f aca="false">IF(SUM(H1085:J1085)&lt;0.00068287037037037,0,SUM(H1085:J1085))</f>
        <v>0</v>
      </c>
      <c r="L1085" s="8" t="n">
        <f aca="false">IF(OR(F1085="Congé",F1085="OFF",M1085="Abs",F1085="Congé sans solde",F1085="Férié",F1085="Congé spécial",D1085="Congé spécial"),0,IF(F1085-E1085&lt;0,0,IF(F1085-E1085&lt;=0.00068287037037037,0,F1085-E1085)))</f>
        <v>0</v>
      </c>
      <c r="M1085" s="6" t="n">
        <f aca="false">IF(AND(O1085&lt;&gt;0,C1085=""),"Abs",0)</f>
        <v>0</v>
      </c>
      <c r="N1085" s="8" t="str">
        <f aca="false">IFERROR(IF(OR(D1085="OFF",D1085="Congé",M1085="Abs",D1085="Congé sans solde",D1085="Férié"),"",IF(O1085-K1085-L1085&gt;O1085,O1085,IF(O1085-K1085-L1085&lt;0,"",O1085-K1085-L1085))),"")</f>
        <v/>
      </c>
      <c r="O1085" s="8" t="n">
        <f aca="false">IF(AG1085="2H Pause déjeuner",IF(F1085-D1085-0.0833333333333333&lt;0,F1085-D1085-0.0833333333333333+1,F1085-D1085-0.0833333333333333),IF(OR(AND(F1085="OFF",D1085="OFF"),AND(F1085="Congé",D1085="Congé"),AND(F1085="Congé sans solde",D1085="Congé sans solde"),AND(F1085="Congé spécial",D1085="Congé spécial"),AND(F1085="Férié",D1085="Férié"),AND(F1085="OFF",D1085="Congé"),AND(F1085="OFF",D1085="Congé sans solde"),AND(F1085="OFF",D1085="Congé spécial"),AND(F1085="OFF",D1085="Férié"),AND(F1085="Congé",D1085="OFF"),AND(F1085="Congé",D1085="Congé sans solde"),AND(F1085="Congé",D1085="Congé spécial"),AND(F1085="Congé",D1085="Férié"),AND(F1085="Congé sans solde",D1085="OFF"),AND(F1085="Congé sans solde",D1085="Congé"),AND(F1085="Congé sans solde",D1085="Congé spécial"),AND(F1085="Congé sans solde",D1085="Férié"),AND(F1085="Congé spécial",D1085="OFF"),AND(F1085="Congé spécial",D1085="Congé"),AND(F1085="Congé spécial",D1085="Congé sans solde"),AND(F1085="Congé spécial",D1085="Férié"),AND(F1085="Férié",D1085="OFF"),AND(F1085="Férié",D1085="Congé"),AND(F1085="Férié",D1085="Congé sans solde"),AND(F1085="Férié",D1085="Congé spécial")),0,IF(OR(F1085="OFF",F1085="Congé",F1085="Congé spécial",F1085="Congé sans solde",D1085="OFF",D1085="Congé",D1085="Congé spécial",D1085="Congé sans solde"),0.208333333333334,IF(AND(AG1085="",F1085-D1085&lt;0),("24:00:00"-D1085)+("00:00:00"+F1085)-0.0416666666666667,IF(AND(OR(AG1085="Allaitement",AG1085="Sans déjeuner"),F1085-D1085&lt;0),("24:00:00"-D1085)+("00:00:00"+F1085),IF(AND(AG1085="",F1085-D1085&gt;0.166666666666667),F1085-D1085-0.0416666666666667,IF(AND(OR(AG1085="Allaitement",AG1085="Sans déjeuner"),F1085-D1085&gt;0.166666666666667),F1085-D1085,F1085-D1085)))))))</f>
        <v>0</v>
      </c>
      <c r="P1085" s="6" t="str">
        <f aca="false">IFERROR(VLOOKUP($B1085,Agents!$A:$D,2,0),"-")</f>
        <v>Accessibilité</v>
      </c>
      <c r="Q1085" s="21" t="n">
        <v>46292</v>
      </c>
      <c r="R1085" s="8" t="n">
        <f aca="false">IF(M1085="Abs",O1085,0)</f>
        <v>0</v>
      </c>
      <c r="S1085" s="8" t="n">
        <f aca="false">SUM(R1085,L1085,I1085,J1085,W1085,H1085)</f>
        <v>0</v>
      </c>
      <c r="T1085" s="6" t="str">
        <f aca="false">"Sem - "&amp;WEEKNUM(Q1085,21)</f>
        <v>Sem - 39</v>
      </c>
      <c r="U1085" s="6" t="str">
        <f aca="false">CHOOSE(MONTH(Q1085),"Janvier","Février","Mars","Avril","Mai","Juin","Juillet","Août","Septembre","Octobre","Novembre","Décembre")</f>
        <v>Septembre</v>
      </c>
      <c r="V1085" s="22" t="n">
        <f aca="false">YEAR(Q1085)</f>
        <v>2026</v>
      </c>
      <c r="W1085" s="20"/>
      <c r="X1085" s="8" t="n">
        <f aca="false">IFERROR(IF(M1085="Abs",0,IF(ROUND((D1085-C1085+E1085-F1085)*1440,0)&lt;=1,0,D1085-C1085+E1085-F1085)),0)</f>
        <v>0</v>
      </c>
      <c r="Y1085" s="6" t="str">
        <f aca="false">IFERROR(VLOOKUP($B1085,Agents!$A:$D,3,0),"-")</f>
        <v>OUBRAHIM Mohammed</v>
      </c>
      <c r="Z1085" s="6" t="str">
        <f aca="false">IFERROR(VLOOKUP($B1085,Agents!$A:$D,4,0),"-")</f>
        <v>Credit Mutuel</v>
      </c>
      <c r="AA1085" s="18" t="s">
        <v>121</v>
      </c>
      <c r="AB1085" s="8" t="str">
        <f aca="false">IF(AND(D1085="Congé",F1085="Congé"),0.333333333333333,IF(OR(AND(D1085="Congé",F1085&lt;&gt;"Congé"),(AND(F1085="Congé",D1085&lt;&gt;"Congé"))),0.166666666666667,""))</f>
        <v/>
      </c>
      <c r="AC1085" s="8" t="str">
        <f aca="false">IF(AND(D1085="Congé sans solde",F1085="Congé sans solde"),0.333333333333333,IF(OR(AND(D1085="Congé sans solde",F1085&lt;&gt;"Congé sans solde"),(AND(F1085="Congé sans solde",D1085&lt;&gt;"Congé sans solde"))),0.166666666666667,""))</f>
        <v/>
      </c>
      <c r="AD1085" s="8" t="str">
        <f aca="false">IF(AND(D1085="Congé spécial",F1085="Congé spécial"),0.333333333333333,IF(OR(AND(D1085="Congé spécial",F1085&lt;&gt;"Congé spécial"),AND(F1085="Congé spécial",D1085&lt;&gt;"Congé spécial")),0.166666666666667,""))</f>
        <v/>
      </c>
      <c r="AE1085" s="8" t="str">
        <f aca="false">IF(AND(D1085="Férié",F1085="Férié"),0.333333333333333,IF(OR(AND(D1085="Férié",F1085&lt;&gt;"Férié"),(AND(F1085="Férié",D1085&lt;&gt;"Férié"))),0.166666666666667,""))</f>
        <v/>
      </c>
      <c r="AF1085" s="18"/>
      <c r="AG1085" s="18"/>
    </row>
    <row r="1086" customFormat="false" ht="15" hidden="false" customHeight="false" outlineLevel="0" collapsed="false">
      <c r="A1086" s="6" t="str">
        <f aca="false">YEAR(Q1086-WEEKDAY(Q1086,2)+4)&amp;"-S"&amp;TEXT(WEEKNUM(Q1086,21),"00")</f>
        <v>2026-S39</v>
      </c>
      <c r="B1086" s="18" t="s">
        <v>73</v>
      </c>
      <c r="C1086" s="19"/>
      <c r="D1086" s="19" t="s">
        <v>74</v>
      </c>
      <c r="E1086" s="19"/>
      <c r="F1086" s="19" t="s">
        <v>74</v>
      </c>
      <c r="G1086" s="20"/>
      <c r="H1086" s="20"/>
      <c r="I1086" s="8" t="str">
        <f aca="false">IF(IF(OR(C1086="",D1086="Congé",D1086="OFF",D1086="Congé spécial"),"",IF(D1086&gt;F1086,D1086-C1086,IF(C1086-D1086&lt;0,0,C1086-D1086)))&lt;0.00068287037037037,"",IF(OR(D1086="Congé",D1086="OFF",C1086="",D1086="Congé spécial"),"",IF(D1086&gt;F1086,D1086-C1086,IF(C1086-D1086&lt;0,0,C1086-D1086))))</f>
        <v/>
      </c>
      <c r="J1086" s="20"/>
      <c r="K1086" s="8" t="n">
        <f aca="false">IF(SUM(H1086:J1086)&lt;0.00068287037037037,0,SUM(H1086:J1086))</f>
        <v>0</v>
      </c>
      <c r="L1086" s="8" t="n">
        <f aca="false">IF(OR(F1086="Congé",F1086="OFF",M1086="Abs",F1086="Congé sans solde",F1086="Férié",F1086="Congé spécial",D1086="Congé spécial"),0,IF(F1086-E1086&lt;0,0,IF(F1086-E1086&lt;=0.00068287037037037,0,F1086-E1086)))</f>
        <v>0</v>
      </c>
      <c r="M1086" s="6" t="n">
        <f aca="false">IF(AND(O1086&lt;&gt;0,C1086=""),"Abs",0)</f>
        <v>0</v>
      </c>
      <c r="N1086" s="8" t="str">
        <f aca="false">IFERROR(IF(OR(D1086="OFF",D1086="Congé",M1086="Abs",D1086="Congé sans solde",D1086="Férié"),"",IF(O1086-K1086-L1086&gt;O1086,O1086,IF(O1086-K1086-L1086&lt;0,"",O1086-K1086-L1086))),"")</f>
        <v/>
      </c>
      <c r="O1086" s="8" t="n">
        <f aca="false">IF(AG1086="2H Pause déjeuner",IF(F1086-D1086-0.0833333333333333&lt;0,F1086-D1086-0.0833333333333333+1,F1086-D1086-0.0833333333333333),IF(OR(AND(F1086="OFF",D1086="OFF"),AND(F1086="Congé",D1086="Congé"),AND(F1086="Congé sans solde",D1086="Congé sans solde"),AND(F1086="Congé spécial",D1086="Congé spécial"),AND(F1086="Férié",D1086="Férié"),AND(F1086="OFF",D1086="Congé"),AND(F1086="OFF",D1086="Congé sans solde"),AND(F1086="OFF",D1086="Congé spécial"),AND(F1086="OFF",D1086="Férié"),AND(F1086="Congé",D1086="OFF"),AND(F1086="Congé",D1086="Congé sans solde"),AND(F1086="Congé",D1086="Congé spécial"),AND(F1086="Congé",D1086="Férié"),AND(F1086="Congé sans solde",D1086="OFF"),AND(F1086="Congé sans solde",D1086="Congé"),AND(F1086="Congé sans solde",D1086="Congé spécial"),AND(F1086="Congé sans solde",D1086="Férié"),AND(F1086="Congé spécial",D1086="OFF"),AND(F1086="Congé spécial",D1086="Congé"),AND(F1086="Congé spécial",D1086="Congé sans solde"),AND(F1086="Congé spécial",D1086="Férié"),AND(F1086="Férié",D1086="OFF"),AND(F1086="Férié",D1086="Congé"),AND(F1086="Férié",D1086="Congé sans solde"),AND(F1086="Férié",D1086="Congé spécial")),0,IF(OR(F1086="OFF",F1086="Congé",F1086="Congé spécial",F1086="Congé sans solde",D1086="OFF",D1086="Congé",D1086="Congé spécial",D1086="Congé sans solde"),0.208333333333334,IF(AND(AG1086="",F1086-D1086&lt;0),("24:00:00"-D1086)+("00:00:00"+F1086)-0.0416666666666667,IF(AND(OR(AG1086="Allaitement",AG1086="Sans déjeuner"),F1086-D1086&lt;0),("24:00:00"-D1086)+("00:00:00"+F1086),IF(AND(AG1086="",F1086-D1086&gt;0.166666666666667),F1086-D1086-0.0416666666666667,IF(AND(OR(AG1086="Allaitement",AG1086="Sans déjeuner"),F1086-D1086&gt;0.166666666666667),F1086-D1086,F1086-D1086)))))))</f>
        <v>0</v>
      </c>
      <c r="P1086" s="6" t="str">
        <f aca="false">IFERROR(VLOOKUP($B1086,Agents!$A:$D,2,0),"-")</f>
        <v>Accessibilité</v>
      </c>
      <c r="Q1086" s="21" t="n">
        <v>46292</v>
      </c>
      <c r="R1086" s="8" t="n">
        <f aca="false">IF(M1086="Abs",O1086,0)</f>
        <v>0</v>
      </c>
      <c r="S1086" s="8" t="n">
        <f aca="false">SUM(R1086,L1086,I1086,J1086,W1086,H1086)</f>
        <v>0</v>
      </c>
      <c r="T1086" s="6" t="str">
        <f aca="false">"Sem - "&amp;WEEKNUM(Q1086,21)</f>
        <v>Sem - 39</v>
      </c>
      <c r="U1086" s="6" t="str">
        <f aca="false">CHOOSE(MONTH(Q1086),"Janvier","Février","Mars","Avril","Mai","Juin","Juillet","Août","Septembre","Octobre","Novembre","Décembre")</f>
        <v>Septembre</v>
      </c>
      <c r="V1086" s="22" t="n">
        <f aca="false">YEAR(Q1086)</f>
        <v>2026</v>
      </c>
      <c r="W1086" s="20"/>
      <c r="X1086" s="8" t="n">
        <f aca="false">IFERROR(IF(M1086="Abs",0,IF(ROUND((D1086-C1086+E1086-F1086)*1440,0)&lt;=1,0,D1086-C1086+E1086-F1086)),0)</f>
        <v>0</v>
      </c>
      <c r="Y1086" s="6" t="str">
        <f aca="false">IFERROR(VLOOKUP($B1086,Agents!$A:$D,3,0),"-")</f>
        <v>OUBRAHIM Mohammed</v>
      </c>
      <c r="Z1086" s="6" t="str">
        <f aca="false">IFERROR(VLOOKUP($B1086,Agents!$A:$D,4,0),"-")</f>
        <v>Credit Mutuel</v>
      </c>
      <c r="AA1086" s="18" t="s">
        <v>121</v>
      </c>
      <c r="AB1086" s="8" t="str">
        <f aca="false">IF(AND(D1086="Congé",F1086="Congé"),0.333333333333333,IF(OR(AND(D1086="Congé",F1086&lt;&gt;"Congé"),(AND(F1086="Congé",D1086&lt;&gt;"Congé"))),0.166666666666667,""))</f>
        <v/>
      </c>
      <c r="AC1086" s="8" t="str">
        <f aca="false">IF(AND(D1086="Congé sans solde",F1086="Congé sans solde"),0.333333333333333,IF(OR(AND(D1086="Congé sans solde",F1086&lt;&gt;"Congé sans solde"),(AND(F1086="Congé sans solde",D1086&lt;&gt;"Congé sans solde"))),0.166666666666667,""))</f>
        <v/>
      </c>
      <c r="AD1086" s="8" t="str">
        <f aca="false">IF(AND(D1086="Congé spécial",F1086="Congé spécial"),0.333333333333333,IF(OR(AND(D1086="Congé spécial",F1086&lt;&gt;"Congé spécial"),AND(F1086="Congé spécial",D1086&lt;&gt;"Congé spécial")),0.166666666666667,""))</f>
        <v/>
      </c>
      <c r="AE1086" s="8" t="str">
        <f aca="false">IF(AND(D1086="Férié",F1086="Férié"),0.333333333333333,IF(OR(AND(D1086="Férié",F1086&lt;&gt;"Férié"),(AND(F1086="Férié",D1086&lt;&gt;"Férié"))),0.166666666666667,""))</f>
        <v/>
      </c>
      <c r="AF1086" s="18"/>
      <c r="AG1086" s="18"/>
    </row>
    <row r="1087" customFormat="false" ht="15" hidden="false" customHeight="false" outlineLevel="0" collapsed="false">
      <c r="A1087" s="6" t="str">
        <f aca="false">YEAR(Q1087-WEEKDAY(Q1087,2)+4)&amp;"-S"&amp;TEXT(WEEKNUM(Q1087,21),"00")</f>
        <v>2026-S40</v>
      </c>
      <c r="B1087" s="18" t="s">
        <v>71</v>
      </c>
      <c r="C1087" s="19" t="n">
        <v>0.331944444444444</v>
      </c>
      <c r="D1087" s="19" t="n">
        <v>0.333333333333333</v>
      </c>
      <c r="E1087" s="19" t="n">
        <v>0.75</v>
      </c>
      <c r="F1087" s="19" t="n">
        <v>0.75</v>
      </c>
      <c r="G1087" s="20"/>
      <c r="H1087" s="20"/>
      <c r="I1087" s="8" t="str">
        <f aca="false">IF(IF(OR(C1087="",D1087="Congé",D1087="OFF",D1087="Congé spécial"),"",IF(D1087&gt;F1087,D1087-C1087,IF(C1087-D1087&lt;0,0,C1087-D1087)))&lt;0.00068287037037037,"",IF(OR(D1087="Congé",D1087="OFF",C1087="",D1087="Congé spécial"),"",IF(D1087&gt;F1087,D1087-C1087,IF(C1087-D1087&lt;0,0,C1087-D1087))))</f>
        <v/>
      </c>
      <c r="J1087" s="20"/>
      <c r="K1087" s="8" t="n">
        <f aca="false">IF(SUM(H1087:J1087)&lt;0.00068287037037037,0,SUM(H1087:J1087))</f>
        <v>0</v>
      </c>
      <c r="L1087" s="8" t="n">
        <f aca="false">IF(OR(F1087="Congé",F1087="OFF",M1087="Abs",F1087="Congé sans solde",F1087="Férié",F1087="Congé spécial",D1087="Congé spécial"),0,IF(F1087-E1087&lt;0,0,IF(F1087-E1087&lt;=0.00068287037037037,0,F1087-E1087)))</f>
        <v>0</v>
      </c>
      <c r="M1087" s="6" t="n">
        <f aca="false">IF(AND(O1087&lt;&gt;0,C1087=""),"Abs",0)</f>
        <v>0</v>
      </c>
      <c r="N1087" s="8" t="n">
        <f aca="false">IFERROR(IF(OR(D1087="OFF",D1087="Congé",M1087="Abs",D1087="Congé sans solde",D1087="Férié"),"",IF(O1087-K1087-L1087&gt;O1087,O1087,IF(O1087-K1087-L1087&lt;0,"",O1087-K1087-L1087))),"")</f>
        <v>0.375</v>
      </c>
      <c r="O1087" s="8" t="n">
        <f aca="false">IF(AG1087="2H Pause déjeuner",IF(F1087-D1087-0.0833333333333333&lt;0,F1087-D1087-0.0833333333333333+1,F1087-D1087-0.0833333333333333),IF(OR(AND(F1087="OFF",D1087="OFF"),AND(F1087="Congé",D1087="Congé"),AND(F1087="Congé sans solde",D1087="Congé sans solde"),AND(F1087="Congé spécial",D1087="Congé spécial"),AND(F1087="Férié",D1087="Férié"),AND(F1087="OFF",D1087="Congé"),AND(F1087="OFF",D1087="Congé sans solde"),AND(F1087="OFF",D1087="Congé spécial"),AND(F1087="OFF",D1087="Férié"),AND(F1087="Congé",D1087="OFF"),AND(F1087="Congé",D1087="Congé sans solde"),AND(F1087="Congé",D1087="Congé spécial"),AND(F1087="Congé",D1087="Férié"),AND(F1087="Congé sans solde",D1087="OFF"),AND(F1087="Congé sans solde",D1087="Congé"),AND(F1087="Congé sans solde",D1087="Congé spécial"),AND(F1087="Congé sans solde",D1087="Férié"),AND(F1087="Congé spécial",D1087="OFF"),AND(F1087="Congé spécial",D1087="Congé"),AND(F1087="Congé spécial",D1087="Congé sans solde"),AND(F1087="Congé spécial",D1087="Férié"),AND(F1087="Férié",D1087="OFF"),AND(F1087="Férié",D1087="Congé"),AND(F1087="Férié",D1087="Congé sans solde"),AND(F1087="Férié",D1087="Congé spécial")),0,IF(OR(F1087="OFF",F1087="Congé",F1087="Congé spécial",F1087="Congé sans solde",D1087="OFF",D1087="Congé",D1087="Congé spécial",D1087="Congé sans solde"),0.208333333333334,IF(AND(AG1087="",F1087-D1087&lt;0),("24:00:00"-D1087)+("00:00:00"+F1087)-0.0416666666666667,IF(AND(OR(AG1087="Allaitement",AG1087="Sans déjeuner"),F1087-D1087&lt;0),("24:00:00"-D1087)+("00:00:00"+F1087),IF(AND(AG1087="",F1087-D1087&gt;0.166666666666667),F1087-D1087-0.0416666666666667,IF(AND(OR(AG1087="Allaitement",AG1087="Sans déjeuner"),F1087-D1087&gt;0.166666666666667),F1087-D1087,F1087-D1087)))))))</f>
        <v>0.375</v>
      </c>
      <c r="P1087" s="6" t="str">
        <f aca="false">IFERROR(VLOOKUP($B1087,Agents!$A:$D,2,0),"-")</f>
        <v>Accessibilité</v>
      </c>
      <c r="Q1087" s="21" t="n">
        <v>46293</v>
      </c>
      <c r="R1087" s="8" t="n">
        <f aca="false">IF(M1087="Abs",O1087,0)</f>
        <v>0</v>
      </c>
      <c r="S1087" s="8" t="n">
        <f aca="false">SUM(R1087,L1087,I1087,J1087,W1087,H1087)</f>
        <v>0</v>
      </c>
      <c r="T1087" s="6" t="str">
        <f aca="false">"Sem - "&amp;WEEKNUM(Q1087,21)</f>
        <v>Sem - 40</v>
      </c>
      <c r="U1087" s="6" t="str">
        <f aca="false">CHOOSE(MONTH(Q1087),"Janvier","Février","Mars","Avril","Mai","Juin","Juillet","Août","Septembre","Octobre","Novembre","Décembre")</f>
        <v>Septembre</v>
      </c>
      <c r="V1087" s="22" t="n">
        <f aca="false">YEAR(Q1087)</f>
        <v>2026</v>
      </c>
      <c r="W1087" s="20"/>
      <c r="X1087" s="8" t="n">
        <f aca="false">IFERROR(IF(M1087="Abs",0,IF(ROUND((D1087-C1087+E1087-F1087)*1440,0)&lt;=1,0,D1087-C1087+E1087-F1087)),0)</f>
        <v>0.00138888888888889</v>
      </c>
      <c r="Y1087" s="6" t="str">
        <f aca="false">IFERROR(VLOOKUP($B1087,Agents!$A:$D,3,0),"-")</f>
        <v>OUBRAHIM Mohammed</v>
      </c>
      <c r="Z1087" s="6" t="str">
        <f aca="false">IFERROR(VLOOKUP($B1087,Agents!$A:$D,4,0),"-")</f>
        <v>Credit Mutuel</v>
      </c>
      <c r="AA1087" s="18" t="s">
        <v>122</v>
      </c>
      <c r="AB1087" s="8" t="str">
        <f aca="false">IF(AND(D1087="Congé",F1087="Congé"),0.333333333333333,IF(OR(AND(D1087="Congé",F1087&lt;&gt;"Congé"),(AND(F1087="Congé",D1087&lt;&gt;"Congé"))),0.166666666666667,""))</f>
        <v/>
      </c>
      <c r="AC1087" s="8" t="str">
        <f aca="false">IF(AND(D1087="Congé sans solde",F1087="Congé sans solde"),0.333333333333333,IF(OR(AND(D1087="Congé sans solde",F1087&lt;&gt;"Congé sans solde"),(AND(F1087="Congé sans solde",D1087&lt;&gt;"Congé sans solde"))),0.166666666666667,""))</f>
        <v/>
      </c>
      <c r="AD1087" s="8" t="str">
        <f aca="false">IF(AND(D1087="Congé spécial",F1087="Congé spécial"),0.333333333333333,IF(OR(AND(D1087="Congé spécial",F1087&lt;&gt;"Congé spécial"),AND(F1087="Congé spécial",D1087&lt;&gt;"Congé spécial")),0.166666666666667,""))</f>
        <v/>
      </c>
      <c r="AE1087" s="8" t="str">
        <f aca="false">IF(AND(D1087="Férié",F1087="Férié"),0.333333333333333,IF(OR(AND(D1087="Férié",F1087&lt;&gt;"Férié"),(AND(F1087="Férié",D1087&lt;&gt;"Férié"))),0.166666666666667,""))</f>
        <v/>
      </c>
      <c r="AF1087" s="18"/>
      <c r="AG1087" s="18"/>
    </row>
    <row r="1088" customFormat="false" ht="15" hidden="false" customHeight="false" outlineLevel="0" collapsed="false">
      <c r="A1088" s="6" t="str">
        <f aca="false">YEAR(Q1088-WEEKDAY(Q1088,2)+4)&amp;"-S"&amp;TEXT(WEEKNUM(Q1088,21),"00")</f>
        <v>2026-S40</v>
      </c>
      <c r="B1088" s="18" t="s">
        <v>72</v>
      </c>
      <c r="C1088" s="19" t="n">
        <v>0.33125</v>
      </c>
      <c r="D1088" s="19" t="n">
        <v>0.333333333333333</v>
      </c>
      <c r="E1088" s="19" t="n">
        <v>0.75</v>
      </c>
      <c r="F1088" s="19" t="n">
        <v>0.75</v>
      </c>
      <c r="G1088" s="20"/>
      <c r="H1088" s="20"/>
      <c r="I1088" s="8" t="str">
        <f aca="false">IF(IF(OR(C1088="",D1088="Congé",D1088="OFF",D1088="Congé spécial"),"",IF(D1088&gt;F1088,D1088-C1088,IF(C1088-D1088&lt;0,0,C1088-D1088)))&lt;0.00068287037037037,"",IF(OR(D1088="Congé",D1088="OFF",C1088="",D1088="Congé spécial"),"",IF(D1088&gt;F1088,D1088-C1088,IF(C1088-D1088&lt;0,0,C1088-D1088))))</f>
        <v/>
      </c>
      <c r="J1088" s="20"/>
      <c r="K1088" s="8" t="n">
        <f aca="false">IF(SUM(H1088:J1088)&lt;0.00068287037037037,0,SUM(H1088:J1088))</f>
        <v>0</v>
      </c>
      <c r="L1088" s="8" t="n">
        <f aca="false">IF(OR(F1088="Congé",F1088="OFF",M1088="Abs",F1088="Congé sans solde",F1088="Férié",F1088="Congé spécial",D1088="Congé spécial"),0,IF(F1088-E1088&lt;0,0,IF(F1088-E1088&lt;=0.00068287037037037,0,F1088-E1088)))</f>
        <v>0</v>
      </c>
      <c r="M1088" s="6" t="n">
        <f aca="false">IF(AND(O1088&lt;&gt;0,C1088=""),"Abs",0)</f>
        <v>0</v>
      </c>
      <c r="N1088" s="8" t="n">
        <f aca="false">IFERROR(IF(OR(D1088="OFF",D1088="Congé",M1088="Abs",D1088="Congé sans solde",D1088="Férié"),"",IF(O1088-K1088-L1088&gt;O1088,O1088,IF(O1088-K1088-L1088&lt;0,"",O1088-K1088-L1088))),"")</f>
        <v>0.375</v>
      </c>
      <c r="O1088" s="8" t="n">
        <f aca="false">IF(AG1088="2H Pause déjeuner",IF(F1088-D1088-0.0833333333333333&lt;0,F1088-D1088-0.0833333333333333+1,F1088-D1088-0.0833333333333333),IF(OR(AND(F1088="OFF",D1088="OFF"),AND(F1088="Congé",D1088="Congé"),AND(F1088="Congé sans solde",D1088="Congé sans solde"),AND(F1088="Congé spécial",D1088="Congé spécial"),AND(F1088="Férié",D1088="Férié"),AND(F1088="OFF",D1088="Congé"),AND(F1088="OFF",D1088="Congé sans solde"),AND(F1088="OFF",D1088="Congé spécial"),AND(F1088="OFF",D1088="Férié"),AND(F1088="Congé",D1088="OFF"),AND(F1088="Congé",D1088="Congé sans solde"),AND(F1088="Congé",D1088="Congé spécial"),AND(F1088="Congé",D1088="Férié"),AND(F1088="Congé sans solde",D1088="OFF"),AND(F1088="Congé sans solde",D1088="Congé"),AND(F1088="Congé sans solde",D1088="Congé spécial"),AND(F1088="Congé sans solde",D1088="Férié"),AND(F1088="Congé spécial",D1088="OFF"),AND(F1088="Congé spécial",D1088="Congé"),AND(F1088="Congé spécial",D1088="Congé sans solde"),AND(F1088="Congé spécial",D1088="Férié"),AND(F1088="Férié",D1088="OFF"),AND(F1088="Férié",D1088="Congé"),AND(F1088="Férié",D1088="Congé sans solde"),AND(F1088="Férié",D1088="Congé spécial")),0,IF(OR(F1088="OFF",F1088="Congé",F1088="Congé spécial",F1088="Congé sans solde",D1088="OFF",D1088="Congé",D1088="Congé spécial",D1088="Congé sans solde"),0.208333333333334,IF(AND(AG1088="",F1088-D1088&lt;0),("24:00:00"-D1088)+("00:00:00"+F1088)-0.0416666666666667,IF(AND(OR(AG1088="Allaitement",AG1088="Sans déjeuner"),F1088-D1088&lt;0),("24:00:00"-D1088)+("00:00:00"+F1088),IF(AND(AG1088="",F1088-D1088&gt;0.166666666666667),F1088-D1088-0.0416666666666667,IF(AND(OR(AG1088="Allaitement",AG1088="Sans déjeuner"),F1088-D1088&gt;0.166666666666667),F1088-D1088,F1088-D1088)))))))</f>
        <v>0.375</v>
      </c>
      <c r="P1088" s="6" t="str">
        <f aca="false">IFERROR(VLOOKUP($B1088,Agents!$A:$D,2,0),"-")</f>
        <v>Accessibilité</v>
      </c>
      <c r="Q1088" s="21" t="n">
        <v>46293</v>
      </c>
      <c r="R1088" s="8" t="n">
        <f aca="false">IF(M1088="Abs",O1088,0)</f>
        <v>0</v>
      </c>
      <c r="S1088" s="8" t="n">
        <f aca="false">SUM(R1088,L1088,I1088,J1088,W1088,H1088)</f>
        <v>0</v>
      </c>
      <c r="T1088" s="6" t="str">
        <f aca="false">"Sem - "&amp;WEEKNUM(Q1088,21)</f>
        <v>Sem - 40</v>
      </c>
      <c r="U1088" s="6" t="str">
        <f aca="false">CHOOSE(MONTH(Q1088),"Janvier","Février","Mars","Avril","Mai","Juin","Juillet","Août","Septembre","Octobre","Novembre","Décembre")</f>
        <v>Septembre</v>
      </c>
      <c r="V1088" s="22" t="n">
        <f aca="false">YEAR(Q1088)</f>
        <v>2026</v>
      </c>
      <c r="W1088" s="20"/>
      <c r="X1088" s="8" t="n">
        <f aca="false">IFERROR(IF(M1088="Abs",0,IF(ROUND((D1088-C1088+E1088-F1088)*1440,0)&lt;=1,0,D1088-C1088+E1088-F1088)),0)</f>
        <v>0.00208333333333333</v>
      </c>
      <c r="Y1088" s="6" t="str">
        <f aca="false">IFERROR(VLOOKUP($B1088,Agents!$A:$D,3,0),"-")</f>
        <v>OUBRAHIM Mohammed</v>
      </c>
      <c r="Z1088" s="6" t="str">
        <f aca="false">IFERROR(VLOOKUP($B1088,Agents!$A:$D,4,0),"-")</f>
        <v>Credit Mutuel</v>
      </c>
      <c r="AA1088" s="18" t="s">
        <v>122</v>
      </c>
      <c r="AB1088" s="8" t="str">
        <f aca="false">IF(AND(D1088="Congé",F1088="Congé"),0.333333333333333,IF(OR(AND(D1088="Congé",F1088&lt;&gt;"Congé"),(AND(F1088="Congé",D1088&lt;&gt;"Congé"))),0.166666666666667,""))</f>
        <v/>
      </c>
      <c r="AC1088" s="8" t="str">
        <f aca="false">IF(AND(D1088="Congé sans solde",F1088="Congé sans solde"),0.333333333333333,IF(OR(AND(D1088="Congé sans solde",F1088&lt;&gt;"Congé sans solde"),(AND(F1088="Congé sans solde",D1088&lt;&gt;"Congé sans solde"))),0.166666666666667,""))</f>
        <v/>
      </c>
      <c r="AD1088" s="8" t="str">
        <f aca="false">IF(AND(D1088="Congé spécial",F1088="Congé spécial"),0.333333333333333,IF(OR(AND(D1088="Congé spécial",F1088&lt;&gt;"Congé spécial"),AND(F1088="Congé spécial",D1088&lt;&gt;"Congé spécial")),0.166666666666667,""))</f>
        <v/>
      </c>
      <c r="AE1088" s="8" t="str">
        <f aca="false">IF(AND(D1088="Férié",F1088="Férié"),0.333333333333333,IF(OR(AND(D1088="Férié",F1088&lt;&gt;"Férié"),(AND(F1088="Férié",D1088&lt;&gt;"Férié"))),0.166666666666667,""))</f>
        <v/>
      </c>
      <c r="AF1088" s="18"/>
      <c r="AG1088" s="18"/>
    </row>
    <row r="1089" customFormat="false" ht="15" hidden="false" customHeight="false" outlineLevel="0" collapsed="false">
      <c r="A1089" s="6" t="str">
        <f aca="false">YEAR(Q1089-WEEKDAY(Q1089,2)+4)&amp;"-S"&amp;TEXT(WEEKNUM(Q1089,21),"00")</f>
        <v>2026-S40</v>
      </c>
      <c r="B1089" s="18" t="s">
        <v>73</v>
      </c>
      <c r="C1089" s="19" t="n">
        <v>0.333333333333333</v>
      </c>
      <c r="D1089" s="19" t="n">
        <v>0.333333333333333</v>
      </c>
      <c r="E1089" s="19" t="n">
        <v>0.75</v>
      </c>
      <c r="F1089" s="19" t="n">
        <v>0.75</v>
      </c>
      <c r="G1089" s="20"/>
      <c r="H1089" s="20"/>
      <c r="I1089" s="8" t="str">
        <f aca="false">IF(IF(OR(C1089="",D1089="Congé",D1089="OFF",D1089="Congé spécial"),"",IF(D1089&gt;F1089,D1089-C1089,IF(C1089-D1089&lt;0,0,C1089-D1089)))&lt;0.00068287037037037,"",IF(OR(D1089="Congé",D1089="OFF",C1089="",D1089="Congé spécial"),"",IF(D1089&gt;F1089,D1089-C1089,IF(C1089-D1089&lt;0,0,C1089-D1089))))</f>
        <v/>
      </c>
      <c r="J1089" s="20"/>
      <c r="K1089" s="8" t="n">
        <f aca="false">IF(SUM(H1089:J1089)&lt;0.00068287037037037,0,SUM(H1089:J1089))</f>
        <v>0</v>
      </c>
      <c r="L1089" s="8" t="n">
        <f aca="false">IF(OR(F1089="Congé",F1089="OFF",M1089="Abs",F1089="Congé sans solde",F1089="Férié",F1089="Congé spécial",D1089="Congé spécial"),0,IF(F1089-E1089&lt;0,0,IF(F1089-E1089&lt;=0.00068287037037037,0,F1089-E1089)))</f>
        <v>0</v>
      </c>
      <c r="M1089" s="6" t="n">
        <f aca="false">IF(AND(O1089&lt;&gt;0,C1089=""),"Abs",0)</f>
        <v>0</v>
      </c>
      <c r="N1089" s="8" t="n">
        <f aca="false">IFERROR(IF(OR(D1089="OFF",D1089="Congé",M1089="Abs",D1089="Congé sans solde",D1089="Férié"),"",IF(O1089-K1089-L1089&gt;O1089,O1089,IF(O1089-K1089-L1089&lt;0,"",O1089-K1089-L1089))),"")</f>
        <v>0.375</v>
      </c>
      <c r="O1089" s="8" t="n">
        <f aca="false">IF(AG1089="2H Pause déjeuner",IF(F1089-D1089-0.0833333333333333&lt;0,F1089-D1089-0.0833333333333333+1,F1089-D1089-0.0833333333333333),IF(OR(AND(F1089="OFF",D1089="OFF"),AND(F1089="Congé",D1089="Congé"),AND(F1089="Congé sans solde",D1089="Congé sans solde"),AND(F1089="Congé spécial",D1089="Congé spécial"),AND(F1089="Férié",D1089="Férié"),AND(F1089="OFF",D1089="Congé"),AND(F1089="OFF",D1089="Congé sans solde"),AND(F1089="OFF",D1089="Congé spécial"),AND(F1089="OFF",D1089="Férié"),AND(F1089="Congé",D1089="OFF"),AND(F1089="Congé",D1089="Congé sans solde"),AND(F1089="Congé",D1089="Congé spécial"),AND(F1089="Congé",D1089="Férié"),AND(F1089="Congé sans solde",D1089="OFF"),AND(F1089="Congé sans solde",D1089="Congé"),AND(F1089="Congé sans solde",D1089="Congé spécial"),AND(F1089="Congé sans solde",D1089="Férié"),AND(F1089="Congé spécial",D1089="OFF"),AND(F1089="Congé spécial",D1089="Congé"),AND(F1089="Congé spécial",D1089="Congé sans solde"),AND(F1089="Congé spécial",D1089="Férié"),AND(F1089="Férié",D1089="OFF"),AND(F1089="Férié",D1089="Congé"),AND(F1089="Férié",D1089="Congé sans solde"),AND(F1089="Férié",D1089="Congé spécial")),0,IF(OR(F1089="OFF",F1089="Congé",F1089="Congé spécial",F1089="Congé sans solde",D1089="OFF",D1089="Congé",D1089="Congé spécial",D1089="Congé sans solde"),0.208333333333334,IF(AND(AG1089="",F1089-D1089&lt;0),("24:00:00"-D1089)+("00:00:00"+F1089)-0.0416666666666667,IF(AND(OR(AG1089="Allaitement",AG1089="Sans déjeuner"),F1089-D1089&lt;0),("24:00:00"-D1089)+("00:00:00"+F1089),IF(AND(AG1089="",F1089-D1089&gt;0.166666666666667),F1089-D1089-0.0416666666666667,IF(AND(OR(AG1089="Allaitement",AG1089="Sans déjeuner"),F1089-D1089&gt;0.166666666666667),F1089-D1089,F1089-D1089)))))))</f>
        <v>0.375</v>
      </c>
      <c r="P1089" s="6" t="str">
        <f aca="false">IFERROR(VLOOKUP($B1089,Agents!$A:$D,2,0),"-")</f>
        <v>Accessibilité</v>
      </c>
      <c r="Q1089" s="21" t="n">
        <v>46293</v>
      </c>
      <c r="R1089" s="8" t="n">
        <f aca="false">IF(M1089="Abs",O1089,0)</f>
        <v>0</v>
      </c>
      <c r="S1089" s="8" t="n">
        <f aca="false">SUM(R1089,L1089,I1089,J1089,W1089,H1089)</f>
        <v>0</v>
      </c>
      <c r="T1089" s="6" t="str">
        <f aca="false">"Sem - "&amp;WEEKNUM(Q1089,21)</f>
        <v>Sem - 40</v>
      </c>
      <c r="U1089" s="6" t="str">
        <f aca="false">CHOOSE(MONTH(Q1089),"Janvier","Février","Mars","Avril","Mai","Juin","Juillet","Août","Septembre","Octobre","Novembre","Décembre")</f>
        <v>Septembre</v>
      </c>
      <c r="V1089" s="22" t="n">
        <f aca="false">YEAR(Q1089)</f>
        <v>2026</v>
      </c>
      <c r="W1089" s="20"/>
      <c r="X1089" s="8" t="n">
        <f aca="false">IFERROR(IF(M1089="Abs",0,IF(ROUND((D1089-C1089+E1089-F1089)*1440,0)&lt;=1,0,D1089-C1089+E1089-F1089)),0)</f>
        <v>0</v>
      </c>
      <c r="Y1089" s="6" t="str">
        <f aca="false">IFERROR(VLOOKUP($B1089,Agents!$A:$D,3,0),"-")</f>
        <v>OUBRAHIM Mohammed</v>
      </c>
      <c r="Z1089" s="6" t="str">
        <f aca="false">IFERROR(VLOOKUP($B1089,Agents!$A:$D,4,0),"-")</f>
        <v>Credit Mutuel</v>
      </c>
      <c r="AA1089" s="18" t="s">
        <v>122</v>
      </c>
      <c r="AB1089" s="8" t="str">
        <f aca="false">IF(AND(D1089="Congé",F1089="Congé"),0.333333333333333,IF(OR(AND(D1089="Congé",F1089&lt;&gt;"Congé"),(AND(F1089="Congé",D1089&lt;&gt;"Congé"))),0.166666666666667,""))</f>
        <v/>
      </c>
      <c r="AC1089" s="8" t="str">
        <f aca="false">IF(AND(D1089="Congé sans solde",F1089="Congé sans solde"),0.333333333333333,IF(OR(AND(D1089="Congé sans solde",F1089&lt;&gt;"Congé sans solde"),(AND(F1089="Congé sans solde",D1089&lt;&gt;"Congé sans solde"))),0.166666666666667,""))</f>
        <v/>
      </c>
      <c r="AD1089" s="8" t="str">
        <f aca="false">IF(AND(D1089="Congé spécial",F1089="Congé spécial"),0.333333333333333,IF(OR(AND(D1089="Congé spécial",F1089&lt;&gt;"Congé spécial"),AND(F1089="Congé spécial",D1089&lt;&gt;"Congé spécial")),0.166666666666667,""))</f>
        <v/>
      </c>
      <c r="AE1089" s="8" t="str">
        <f aca="false">IF(AND(D1089="Férié",F1089="Férié"),0.333333333333333,IF(OR(AND(D1089="Férié",F1089&lt;&gt;"Férié"),(AND(F1089="Férié",D1089&lt;&gt;"Férié"))),0.166666666666667,""))</f>
        <v/>
      </c>
      <c r="AF1089" s="18"/>
      <c r="AG1089" s="18"/>
    </row>
    <row r="1090" customFormat="false" ht="15" hidden="false" customHeight="false" outlineLevel="0" collapsed="false">
      <c r="A1090" s="6" t="str">
        <f aca="false">YEAR(Q1090-WEEKDAY(Q1090,2)+4)&amp;"-S"&amp;TEXT(WEEKNUM(Q1090,21),"00")</f>
        <v>2026-S40</v>
      </c>
      <c r="B1090" s="18" t="s">
        <v>71</v>
      </c>
      <c r="C1090" s="19" t="n">
        <v>0.33125</v>
      </c>
      <c r="D1090" s="19" t="n">
        <v>0.333333333333333</v>
      </c>
      <c r="E1090" s="19" t="n">
        <v>0.75</v>
      </c>
      <c r="F1090" s="19" t="n">
        <v>0.75</v>
      </c>
      <c r="G1090" s="20"/>
      <c r="H1090" s="20"/>
      <c r="I1090" s="8" t="str">
        <f aca="false">IF(IF(OR(C1090="",D1090="Congé",D1090="OFF",D1090="Congé spécial"),"",IF(D1090&gt;F1090,D1090-C1090,IF(C1090-D1090&lt;0,0,C1090-D1090)))&lt;0.00068287037037037,"",IF(OR(D1090="Congé",D1090="OFF",C1090="",D1090="Congé spécial"),"",IF(D1090&gt;F1090,D1090-C1090,IF(C1090-D1090&lt;0,0,C1090-D1090))))</f>
        <v/>
      </c>
      <c r="J1090" s="20"/>
      <c r="K1090" s="8" t="n">
        <f aca="false">IF(SUM(H1090:J1090)&lt;0.00068287037037037,0,SUM(H1090:J1090))</f>
        <v>0</v>
      </c>
      <c r="L1090" s="8" t="n">
        <f aca="false">IF(OR(F1090="Congé",F1090="OFF",M1090="Abs",F1090="Congé sans solde",F1090="Férié",F1090="Congé spécial",D1090="Congé spécial"),0,IF(F1090-E1090&lt;0,0,IF(F1090-E1090&lt;=0.00068287037037037,0,F1090-E1090)))</f>
        <v>0</v>
      </c>
      <c r="M1090" s="6" t="n">
        <f aca="false">IF(AND(O1090&lt;&gt;0,C1090=""),"Abs",0)</f>
        <v>0</v>
      </c>
      <c r="N1090" s="8" t="n">
        <f aca="false">IFERROR(IF(OR(D1090="OFF",D1090="Congé",M1090="Abs",D1090="Congé sans solde",D1090="Férié"),"",IF(O1090-K1090-L1090&gt;O1090,O1090,IF(O1090-K1090-L1090&lt;0,"",O1090-K1090-L1090))),"")</f>
        <v>0.375</v>
      </c>
      <c r="O1090" s="8" t="n">
        <f aca="false">IF(AG1090="2H Pause déjeuner",IF(F1090-D1090-0.0833333333333333&lt;0,F1090-D1090-0.0833333333333333+1,F1090-D1090-0.0833333333333333),IF(OR(AND(F1090="OFF",D1090="OFF"),AND(F1090="Congé",D1090="Congé"),AND(F1090="Congé sans solde",D1090="Congé sans solde"),AND(F1090="Congé spécial",D1090="Congé spécial"),AND(F1090="Férié",D1090="Férié"),AND(F1090="OFF",D1090="Congé"),AND(F1090="OFF",D1090="Congé sans solde"),AND(F1090="OFF",D1090="Congé spécial"),AND(F1090="OFF",D1090="Férié"),AND(F1090="Congé",D1090="OFF"),AND(F1090="Congé",D1090="Congé sans solde"),AND(F1090="Congé",D1090="Congé spécial"),AND(F1090="Congé",D1090="Férié"),AND(F1090="Congé sans solde",D1090="OFF"),AND(F1090="Congé sans solde",D1090="Congé"),AND(F1090="Congé sans solde",D1090="Congé spécial"),AND(F1090="Congé sans solde",D1090="Férié"),AND(F1090="Congé spécial",D1090="OFF"),AND(F1090="Congé spécial",D1090="Congé"),AND(F1090="Congé spécial",D1090="Congé sans solde"),AND(F1090="Congé spécial",D1090="Férié"),AND(F1090="Férié",D1090="OFF"),AND(F1090="Férié",D1090="Congé"),AND(F1090="Férié",D1090="Congé sans solde"),AND(F1090="Férié",D1090="Congé spécial")),0,IF(OR(F1090="OFF",F1090="Congé",F1090="Congé spécial",F1090="Congé sans solde",D1090="OFF",D1090="Congé",D1090="Congé spécial",D1090="Congé sans solde"),0.208333333333334,IF(AND(AG1090="",F1090-D1090&lt;0),("24:00:00"-D1090)+("00:00:00"+F1090)-0.0416666666666667,IF(AND(OR(AG1090="Allaitement",AG1090="Sans déjeuner"),F1090-D1090&lt;0),("24:00:00"-D1090)+("00:00:00"+F1090),IF(AND(AG1090="",F1090-D1090&gt;0.166666666666667),F1090-D1090-0.0416666666666667,IF(AND(OR(AG1090="Allaitement",AG1090="Sans déjeuner"),F1090-D1090&gt;0.166666666666667),F1090-D1090,F1090-D1090)))))))</f>
        <v>0.375</v>
      </c>
      <c r="P1090" s="6" t="str">
        <f aca="false">IFERROR(VLOOKUP($B1090,Agents!$A:$D,2,0),"-")</f>
        <v>Accessibilité</v>
      </c>
      <c r="Q1090" s="21" t="n">
        <v>46294</v>
      </c>
      <c r="R1090" s="8" t="n">
        <f aca="false">IF(M1090="Abs",O1090,0)</f>
        <v>0</v>
      </c>
      <c r="S1090" s="8" t="n">
        <f aca="false">SUM(R1090,L1090,I1090,J1090,W1090,H1090)</f>
        <v>0</v>
      </c>
      <c r="T1090" s="6" t="str">
        <f aca="false">"Sem - "&amp;WEEKNUM(Q1090,21)</f>
        <v>Sem - 40</v>
      </c>
      <c r="U1090" s="6" t="str">
        <f aca="false">CHOOSE(MONTH(Q1090),"Janvier","Février","Mars","Avril","Mai","Juin","Juillet","Août","Septembre","Octobre","Novembre","Décembre")</f>
        <v>Septembre</v>
      </c>
      <c r="V1090" s="22" t="n">
        <f aca="false">YEAR(Q1090)</f>
        <v>2026</v>
      </c>
      <c r="W1090" s="20"/>
      <c r="X1090" s="8" t="n">
        <f aca="false">IFERROR(IF(M1090="Abs",0,IF(ROUND((D1090-C1090+E1090-F1090)*1440,0)&lt;=1,0,D1090-C1090+E1090-F1090)),0)</f>
        <v>0.00208333333333333</v>
      </c>
      <c r="Y1090" s="6" t="str">
        <f aca="false">IFERROR(VLOOKUP($B1090,Agents!$A:$D,3,0),"-")</f>
        <v>OUBRAHIM Mohammed</v>
      </c>
      <c r="Z1090" s="6" t="str">
        <f aca="false">IFERROR(VLOOKUP($B1090,Agents!$A:$D,4,0),"-")</f>
        <v>Credit Mutuel</v>
      </c>
      <c r="AA1090" s="18" t="s">
        <v>122</v>
      </c>
      <c r="AB1090" s="8" t="str">
        <f aca="false">IF(AND(D1090="Congé",F1090="Congé"),0.333333333333333,IF(OR(AND(D1090="Congé",F1090&lt;&gt;"Congé"),(AND(F1090="Congé",D1090&lt;&gt;"Congé"))),0.166666666666667,""))</f>
        <v/>
      </c>
      <c r="AC1090" s="8" t="str">
        <f aca="false">IF(AND(D1090="Congé sans solde",F1090="Congé sans solde"),0.333333333333333,IF(OR(AND(D1090="Congé sans solde",F1090&lt;&gt;"Congé sans solde"),(AND(F1090="Congé sans solde",D1090&lt;&gt;"Congé sans solde"))),0.166666666666667,""))</f>
        <v/>
      </c>
      <c r="AD1090" s="8" t="str">
        <f aca="false">IF(AND(D1090="Congé spécial",F1090="Congé spécial"),0.333333333333333,IF(OR(AND(D1090="Congé spécial",F1090&lt;&gt;"Congé spécial"),AND(F1090="Congé spécial",D1090&lt;&gt;"Congé spécial")),0.166666666666667,""))</f>
        <v/>
      </c>
      <c r="AE1090" s="8" t="str">
        <f aca="false">IF(AND(D1090="Férié",F1090="Férié"),0.333333333333333,IF(OR(AND(D1090="Férié",F1090&lt;&gt;"Férié"),(AND(F1090="Férié",D1090&lt;&gt;"Férié"))),0.166666666666667,""))</f>
        <v/>
      </c>
      <c r="AF1090" s="18"/>
      <c r="AG1090" s="18"/>
    </row>
    <row r="1091" customFormat="false" ht="15" hidden="false" customHeight="false" outlineLevel="0" collapsed="false">
      <c r="A1091" s="6" t="str">
        <f aca="false">YEAR(Q1091-WEEKDAY(Q1091,2)+4)&amp;"-S"&amp;TEXT(WEEKNUM(Q1091,21),"00")</f>
        <v>2026-S40</v>
      </c>
      <c r="B1091" s="18" t="s">
        <v>72</v>
      </c>
      <c r="C1091" s="19" t="n">
        <v>0.329861111111111</v>
      </c>
      <c r="D1091" s="19" t="n">
        <v>0.333333333333333</v>
      </c>
      <c r="E1091" s="19" t="n">
        <v>0.75</v>
      </c>
      <c r="F1091" s="19" t="n">
        <v>0.75</v>
      </c>
      <c r="G1091" s="20"/>
      <c r="H1091" s="20"/>
      <c r="I1091" s="8" t="str">
        <f aca="false">IF(IF(OR(C1091="",D1091="Congé",D1091="OFF",D1091="Congé spécial"),"",IF(D1091&gt;F1091,D1091-C1091,IF(C1091-D1091&lt;0,0,C1091-D1091)))&lt;0.00068287037037037,"",IF(OR(D1091="Congé",D1091="OFF",C1091="",D1091="Congé spécial"),"",IF(D1091&gt;F1091,D1091-C1091,IF(C1091-D1091&lt;0,0,C1091-D1091))))</f>
        <v/>
      </c>
      <c r="J1091" s="20"/>
      <c r="K1091" s="8" t="n">
        <f aca="false">IF(SUM(H1091:J1091)&lt;0.00068287037037037,0,SUM(H1091:J1091))</f>
        <v>0</v>
      </c>
      <c r="L1091" s="8" t="n">
        <f aca="false">IF(OR(F1091="Congé",F1091="OFF",M1091="Abs",F1091="Congé sans solde",F1091="Férié",F1091="Congé spécial",D1091="Congé spécial"),0,IF(F1091-E1091&lt;0,0,IF(F1091-E1091&lt;=0.00068287037037037,0,F1091-E1091)))</f>
        <v>0</v>
      </c>
      <c r="M1091" s="6" t="n">
        <f aca="false">IF(AND(O1091&lt;&gt;0,C1091=""),"Abs",0)</f>
        <v>0</v>
      </c>
      <c r="N1091" s="8" t="n">
        <f aca="false">IFERROR(IF(OR(D1091="OFF",D1091="Congé",M1091="Abs",D1091="Congé sans solde",D1091="Férié"),"",IF(O1091-K1091-L1091&gt;O1091,O1091,IF(O1091-K1091-L1091&lt;0,"",O1091-K1091-L1091))),"")</f>
        <v>0.375</v>
      </c>
      <c r="O1091" s="8" t="n">
        <f aca="false">IF(AG1091="2H Pause déjeuner",IF(F1091-D1091-0.0833333333333333&lt;0,F1091-D1091-0.0833333333333333+1,F1091-D1091-0.0833333333333333),IF(OR(AND(F1091="OFF",D1091="OFF"),AND(F1091="Congé",D1091="Congé"),AND(F1091="Congé sans solde",D1091="Congé sans solde"),AND(F1091="Congé spécial",D1091="Congé spécial"),AND(F1091="Férié",D1091="Férié"),AND(F1091="OFF",D1091="Congé"),AND(F1091="OFF",D1091="Congé sans solde"),AND(F1091="OFF",D1091="Congé spécial"),AND(F1091="OFF",D1091="Férié"),AND(F1091="Congé",D1091="OFF"),AND(F1091="Congé",D1091="Congé sans solde"),AND(F1091="Congé",D1091="Congé spécial"),AND(F1091="Congé",D1091="Férié"),AND(F1091="Congé sans solde",D1091="OFF"),AND(F1091="Congé sans solde",D1091="Congé"),AND(F1091="Congé sans solde",D1091="Congé spécial"),AND(F1091="Congé sans solde",D1091="Férié"),AND(F1091="Congé spécial",D1091="OFF"),AND(F1091="Congé spécial",D1091="Congé"),AND(F1091="Congé spécial",D1091="Congé sans solde"),AND(F1091="Congé spécial",D1091="Férié"),AND(F1091="Férié",D1091="OFF"),AND(F1091="Férié",D1091="Congé"),AND(F1091="Férié",D1091="Congé sans solde"),AND(F1091="Férié",D1091="Congé spécial")),0,IF(OR(F1091="OFF",F1091="Congé",F1091="Congé spécial",F1091="Congé sans solde",D1091="OFF",D1091="Congé",D1091="Congé spécial",D1091="Congé sans solde"),0.208333333333334,IF(AND(AG1091="",F1091-D1091&lt;0),("24:00:00"-D1091)+("00:00:00"+F1091)-0.0416666666666667,IF(AND(OR(AG1091="Allaitement",AG1091="Sans déjeuner"),F1091-D1091&lt;0),("24:00:00"-D1091)+("00:00:00"+F1091),IF(AND(AG1091="",F1091-D1091&gt;0.166666666666667),F1091-D1091-0.0416666666666667,IF(AND(OR(AG1091="Allaitement",AG1091="Sans déjeuner"),F1091-D1091&gt;0.166666666666667),F1091-D1091,F1091-D1091)))))))</f>
        <v>0.375</v>
      </c>
      <c r="P1091" s="6" t="str">
        <f aca="false">IFERROR(VLOOKUP($B1091,Agents!$A:$D,2,0),"-")</f>
        <v>Accessibilité</v>
      </c>
      <c r="Q1091" s="21" t="n">
        <v>46294</v>
      </c>
      <c r="R1091" s="8" t="n">
        <f aca="false">IF(M1091="Abs",O1091,0)</f>
        <v>0</v>
      </c>
      <c r="S1091" s="8" t="n">
        <f aca="false">SUM(R1091,L1091,I1091,J1091,W1091,H1091)</f>
        <v>0</v>
      </c>
      <c r="T1091" s="6" t="str">
        <f aca="false">"Sem - "&amp;WEEKNUM(Q1091,21)</f>
        <v>Sem - 40</v>
      </c>
      <c r="U1091" s="6" t="str">
        <f aca="false">CHOOSE(MONTH(Q1091),"Janvier","Février","Mars","Avril","Mai","Juin","Juillet","Août","Septembre","Octobre","Novembre","Décembre")</f>
        <v>Septembre</v>
      </c>
      <c r="V1091" s="22" t="n">
        <f aca="false">YEAR(Q1091)</f>
        <v>2026</v>
      </c>
      <c r="W1091" s="20"/>
      <c r="X1091" s="8" t="n">
        <f aca="false">IFERROR(IF(M1091="Abs",0,IF(ROUND((D1091-C1091+E1091-F1091)*1440,0)&lt;=1,0,D1091-C1091+E1091-F1091)),0)</f>
        <v>0.00347222222222222</v>
      </c>
      <c r="Y1091" s="6" t="str">
        <f aca="false">IFERROR(VLOOKUP($B1091,Agents!$A:$D,3,0),"-")</f>
        <v>OUBRAHIM Mohammed</v>
      </c>
      <c r="Z1091" s="6" t="str">
        <f aca="false">IFERROR(VLOOKUP($B1091,Agents!$A:$D,4,0),"-")</f>
        <v>Credit Mutuel</v>
      </c>
      <c r="AA1091" s="18" t="s">
        <v>122</v>
      </c>
      <c r="AB1091" s="8" t="str">
        <f aca="false">IF(AND(D1091="Congé",F1091="Congé"),0.333333333333333,IF(OR(AND(D1091="Congé",F1091&lt;&gt;"Congé"),(AND(F1091="Congé",D1091&lt;&gt;"Congé"))),0.166666666666667,""))</f>
        <v/>
      </c>
      <c r="AC1091" s="8" t="str">
        <f aca="false">IF(AND(D1091="Congé sans solde",F1091="Congé sans solde"),0.333333333333333,IF(OR(AND(D1091="Congé sans solde",F1091&lt;&gt;"Congé sans solde"),(AND(F1091="Congé sans solde",D1091&lt;&gt;"Congé sans solde"))),0.166666666666667,""))</f>
        <v/>
      </c>
      <c r="AD1091" s="8" t="str">
        <f aca="false">IF(AND(D1091="Congé spécial",F1091="Congé spécial"),0.333333333333333,IF(OR(AND(D1091="Congé spécial",F1091&lt;&gt;"Congé spécial"),AND(F1091="Congé spécial",D1091&lt;&gt;"Congé spécial")),0.166666666666667,""))</f>
        <v/>
      </c>
      <c r="AE1091" s="8" t="str">
        <f aca="false">IF(AND(D1091="Férié",F1091="Férié"),0.333333333333333,IF(OR(AND(D1091="Férié",F1091&lt;&gt;"Férié"),(AND(F1091="Férié",D1091&lt;&gt;"Férié"))),0.166666666666667,""))</f>
        <v/>
      </c>
      <c r="AF1091" s="18"/>
      <c r="AG1091" s="18"/>
    </row>
    <row r="1092" customFormat="false" ht="15" hidden="false" customHeight="false" outlineLevel="0" collapsed="false">
      <c r="A1092" s="6" t="str">
        <f aca="false">YEAR(Q1092-WEEKDAY(Q1092,2)+4)&amp;"-S"&amp;TEXT(WEEKNUM(Q1092,21),"00")</f>
        <v>2026-S40</v>
      </c>
      <c r="B1092" s="18" t="s">
        <v>73</v>
      </c>
      <c r="C1092" s="19" t="n">
        <v>0.352083333333333</v>
      </c>
      <c r="D1092" s="19" t="n">
        <v>0.333333333333333</v>
      </c>
      <c r="E1092" s="19" t="n">
        <v>0.75</v>
      </c>
      <c r="F1092" s="19" t="n">
        <v>0.75</v>
      </c>
      <c r="G1092" s="20"/>
      <c r="H1092" s="20"/>
      <c r="I1092" s="8" t="n">
        <f aca="false">IF(IF(OR(C1092="",D1092="Congé",D1092="OFF",D1092="Congé spécial"),"",IF(D1092&gt;F1092,D1092-C1092,IF(C1092-D1092&lt;0,0,C1092-D1092)))&lt;0.00068287037037037,"",IF(OR(D1092="Congé",D1092="OFF",C1092="",D1092="Congé spécial"),"",IF(D1092&gt;F1092,D1092-C1092,IF(C1092-D1092&lt;0,0,C1092-D1092))))</f>
        <v>0.01875</v>
      </c>
      <c r="J1092" s="20"/>
      <c r="K1092" s="8" t="n">
        <f aca="false">IF(SUM(H1092:J1092)&lt;0.00068287037037037,0,SUM(H1092:J1092))</f>
        <v>0.01875</v>
      </c>
      <c r="L1092" s="8" t="n">
        <f aca="false">IF(OR(F1092="Congé",F1092="OFF",M1092="Abs",F1092="Congé sans solde",F1092="Férié",F1092="Congé spécial",D1092="Congé spécial"),0,IF(F1092-E1092&lt;0,0,IF(F1092-E1092&lt;=0.00068287037037037,0,F1092-E1092)))</f>
        <v>0</v>
      </c>
      <c r="M1092" s="6" t="n">
        <f aca="false">IF(AND(O1092&lt;&gt;0,C1092=""),"Abs",0)</f>
        <v>0</v>
      </c>
      <c r="N1092" s="8" t="n">
        <f aca="false">IFERROR(IF(OR(D1092="OFF",D1092="Congé",M1092="Abs",D1092="Congé sans solde",D1092="Férié"),"",IF(O1092-K1092-L1092&gt;O1092,O1092,IF(O1092-K1092-L1092&lt;0,"",O1092-K1092-L1092))),"")</f>
        <v>0.35625</v>
      </c>
      <c r="O1092" s="8" t="n">
        <f aca="false">IF(AG1092="2H Pause déjeuner",IF(F1092-D1092-0.0833333333333333&lt;0,F1092-D1092-0.0833333333333333+1,F1092-D1092-0.0833333333333333),IF(OR(AND(F1092="OFF",D1092="OFF"),AND(F1092="Congé",D1092="Congé"),AND(F1092="Congé sans solde",D1092="Congé sans solde"),AND(F1092="Congé spécial",D1092="Congé spécial"),AND(F1092="Férié",D1092="Férié"),AND(F1092="OFF",D1092="Congé"),AND(F1092="OFF",D1092="Congé sans solde"),AND(F1092="OFF",D1092="Congé spécial"),AND(F1092="OFF",D1092="Férié"),AND(F1092="Congé",D1092="OFF"),AND(F1092="Congé",D1092="Congé sans solde"),AND(F1092="Congé",D1092="Congé spécial"),AND(F1092="Congé",D1092="Férié"),AND(F1092="Congé sans solde",D1092="OFF"),AND(F1092="Congé sans solde",D1092="Congé"),AND(F1092="Congé sans solde",D1092="Congé spécial"),AND(F1092="Congé sans solde",D1092="Férié"),AND(F1092="Congé spécial",D1092="OFF"),AND(F1092="Congé spécial",D1092="Congé"),AND(F1092="Congé spécial",D1092="Congé sans solde"),AND(F1092="Congé spécial",D1092="Férié"),AND(F1092="Férié",D1092="OFF"),AND(F1092="Férié",D1092="Congé"),AND(F1092="Férié",D1092="Congé sans solde"),AND(F1092="Férié",D1092="Congé spécial")),0,IF(OR(F1092="OFF",F1092="Congé",F1092="Congé spécial",F1092="Congé sans solde",D1092="OFF",D1092="Congé",D1092="Congé spécial",D1092="Congé sans solde"),0.208333333333334,IF(AND(AG1092="",F1092-D1092&lt;0),("24:00:00"-D1092)+("00:00:00"+F1092)-0.0416666666666667,IF(AND(OR(AG1092="Allaitement",AG1092="Sans déjeuner"),F1092-D1092&lt;0),("24:00:00"-D1092)+("00:00:00"+F1092),IF(AND(AG1092="",F1092-D1092&gt;0.166666666666667),F1092-D1092-0.0416666666666667,IF(AND(OR(AG1092="Allaitement",AG1092="Sans déjeuner"),F1092-D1092&gt;0.166666666666667),F1092-D1092,F1092-D1092)))))))</f>
        <v>0.375</v>
      </c>
      <c r="P1092" s="6" t="str">
        <f aca="false">IFERROR(VLOOKUP($B1092,Agents!$A:$D,2,0),"-")</f>
        <v>Accessibilité</v>
      </c>
      <c r="Q1092" s="21" t="n">
        <v>46294</v>
      </c>
      <c r="R1092" s="8" t="n">
        <f aca="false">IF(M1092="Abs",O1092,0)</f>
        <v>0</v>
      </c>
      <c r="S1092" s="8" t="n">
        <f aca="false">SUM(R1092,L1092,I1092,J1092,W1092,H1092)</f>
        <v>0.01875</v>
      </c>
      <c r="T1092" s="6" t="str">
        <f aca="false">"Sem - "&amp;WEEKNUM(Q1092,21)</f>
        <v>Sem - 40</v>
      </c>
      <c r="U1092" s="6" t="str">
        <f aca="false">CHOOSE(MONTH(Q1092),"Janvier","Février","Mars","Avril","Mai","Juin","Juillet","Août","Septembre","Octobre","Novembre","Décembre")</f>
        <v>Septembre</v>
      </c>
      <c r="V1092" s="22" t="n">
        <f aca="false">YEAR(Q1092)</f>
        <v>2026</v>
      </c>
      <c r="W1092" s="20"/>
      <c r="X1092" s="8" t="n">
        <f aca="false">IFERROR(IF(M1092="Abs",0,IF(ROUND((D1092-C1092+E1092-F1092)*1440,0)&lt;=1,0,D1092-C1092+E1092-F1092)),0)</f>
        <v>0</v>
      </c>
      <c r="Y1092" s="6" t="str">
        <f aca="false">IFERROR(VLOOKUP($B1092,Agents!$A:$D,3,0),"-")</f>
        <v>OUBRAHIM Mohammed</v>
      </c>
      <c r="Z1092" s="6" t="str">
        <f aca="false">IFERROR(VLOOKUP($B1092,Agents!$A:$D,4,0),"-")</f>
        <v>Credit Mutuel</v>
      </c>
      <c r="AA1092" s="18" t="s">
        <v>122</v>
      </c>
      <c r="AB1092" s="8" t="str">
        <f aca="false">IF(AND(D1092="Congé",F1092="Congé"),0.333333333333333,IF(OR(AND(D1092="Congé",F1092&lt;&gt;"Congé"),(AND(F1092="Congé",D1092&lt;&gt;"Congé"))),0.166666666666667,""))</f>
        <v/>
      </c>
      <c r="AC1092" s="8" t="str">
        <f aca="false">IF(AND(D1092="Congé sans solde",F1092="Congé sans solde"),0.333333333333333,IF(OR(AND(D1092="Congé sans solde",F1092&lt;&gt;"Congé sans solde"),(AND(F1092="Congé sans solde",D1092&lt;&gt;"Congé sans solde"))),0.166666666666667,""))</f>
        <v/>
      </c>
      <c r="AD1092" s="8" t="str">
        <f aca="false">IF(AND(D1092="Congé spécial",F1092="Congé spécial"),0.333333333333333,IF(OR(AND(D1092="Congé spécial",F1092&lt;&gt;"Congé spécial"),AND(F1092="Congé spécial",D1092&lt;&gt;"Congé spécial")),0.166666666666667,""))</f>
        <v/>
      </c>
      <c r="AE1092" s="8" t="str">
        <f aca="false">IF(AND(D1092="Férié",F1092="Férié"),0.333333333333333,IF(OR(AND(D1092="Férié",F1092&lt;&gt;"Férié"),(AND(F1092="Férié",D1092&lt;&gt;"Férié"))),0.166666666666667,""))</f>
        <v/>
      </c>
      <c r="AF1092" s="18"/>
      <c r="AG1092" s="18"/>
    </row>
    <row r="1093" customFormat="false" ht="15" hidden="false" customHeight="false" outlineLevel="0" collapsed="false">
      <c r="A1093" s="6" t="str">
        <f aca="false">YEAR(Q1093-WEEKDAY(Q1093,2)+4)&amp;"-S"&amp;TEXT(WEEKNUM(Q1093,21),"00")</f>
        <v>2026-S40</v>
      </c>
      <c r="B1093" s="18" t="s">
        <v>71</v>
      </c>
      <c r="C1093" s="19" t="n">
        <v>0.331944444444444</v>
      </c>
      <c r="D1093" s="19" t="n">
        <v>0.333333333333333</v>
      </c>
      <c r="E1093" s="19" t="n">
        <v>0.75</v>
      </c>
      <c r="F1093" s="19" t="n">
        <v>0.75</v>
      </c>
      <c r="G1093" s="20"/>
      <c r="H1093" s="20"/>
      <c r="I1093" s="8" t="str">
        <f aca="false">IF(IF(OR(C1093="",D1093="Congé",D1093="OFF",D1093="Congé spécial"),"",IF(D1093&gt;F1093,D1093-C1093,IF(C1093-D1093&lt;0,0,C1093-D1093)))&lt;0.00068287037037037,"",IF(OR(D1093="Congé",D1093="OFF",C1093="",D1093="Congé spécial"),"",IF(D1093&gt;F1093,D1093-C1093,IF(C1093-D1093&lt;0,0,C1093-D1093))))</f>
        <v/>
      </c>
      <c r="J1093" s="20"/>
      <c r="K1093" s="8" t="n">
        <f aca="false">IF(SUM(H1093:J1093)&lt;0.00068287037037037,0,SUM(H1093:J1093))</f>
        <v>0</v>
      </c>
      <c r="L1093" s="8" t="n">
        <f aca="false">IF(OR(F1093="Congé",F1093="OFF",M1093="Abs",F1093="Congé sans solde",F1093="Férié",F1093="Congé spécial",D1093="Congé spécial"),0,IF(F1093-E1093&lt;0,0,IF(F1093-E1093&lt;=0.00068287037037037,0,F1093-E1093)))</f>
        <v>0</v>
      </c>
      <c r="M1093" s="6" t="n">
        <f aca="false">IF(AND(O1093&lt;&gt;0,C1093=""),"Abs",0)</f>
        <v>0</v>
      </c>
      <c r="N1093" s="8" t="n">
        <f aca="false">IFERROR(IF(OR(D1093="OFF",D1093="Congé",M1093="Abs",D1093="Congé sans solde",D1093="Férié"),"",IF(O1093-K1093-L1093&gt;O1093,O1093,IF(O1093-K1093-L1093&lt;0,"",O1093-K1093-L1093))),"")</f>
        <v>0.375</v>
      </c>
      <c r="O1093" s="8" t="n">
        <f aca="false">IF(AG1093="2H Pause déjeuner",IF(F1093-D1093-0.0833333333333333&lt;0,F1093-D1093-0.0833333333333333+1,F1093-D1093-0.0833333333333333),IF(OR(AND(F1093="OFF",D1093="OFF"),AND(F1093="Congé",D1093="Congé"),AND(F1093="Congé sans solde",D1093="Congé sans solde"),AND(F1093="Congé spécial",D1093="Congé spécial"),AND(F1093="Férié",D1093="Férié"),AND(F1093="OFF",D1093="Congé"),AND(F1093="OFF",D1093="Congé sans solde"),AND(F1093="OFF",D1093="Congé spécial"),AND(F1093="OFF",D1093="Férié"),AND(F1093="Congé",D1093="OFF"),AND(F1093="Congé",D1093="Congé sans solde"),AND(F1093="Congé",D1093="Congé spécial"),AND(F1093="Congé",D1093="Férié"),AND(F1093="Congé sans solde",D1093="OFF"),AND(F1093="Congé sans solde",D1093="Congé"),AND(F1093="Congé sans solde",D1093="Congé spécial"),AND(F1093="Congé sans solde",D1093="Férié"),AND(F1093="Congé spécial",D1093="OFF"),AND(F1093="Congé spécial",D1093="Congé"),AND(F1093="Congé spécial",D1093="Congé sans solde"),AND(F1093="Congé spécial",D1093="Férié"),AND(F1093="Férié",D1093="OFF"),AND(F1093="Férié",D1093="Congé"),AND(F1093="Férié",D1093="Congé sans solde"),AND(F1093="Férié",D1093="Congé spécial")),0,IF(OR(F1093="OFF",F1093="Congé",F1093="Congé spécial",F1093="Congé sans solde",D1093="OFF",D1093="Congé",D1093="Congé spécial",D1093="Congé sans solde"),0.208333333333334,IF(AND(AG1093="",F1093-D1093&lt;0),("24:00:00"-D1093)+("00:00:00"+F1093)-0.0416666666666667,IF(AND(OR(AG1093="Allaitement",AG1093="Sans déjeuner"),F1093-D1093&lt;0),("24:00:00"-D1093)+("00:00:00"+F1093),IF(AND(AG1093="",F1093-D1093&gt;0.166666666666667),F1093-D1093-0.0416666666666667,IF(AND(OR(AG1093="Allaitement",AG1093="Sans déjeuner"),F1093-D1093&gt;0.166666666666667),F1093-D1093,F1093-D1093)))))))</f>
        <v>0.375</v>
      </c>
      <c r="P1093" s="6" t="str">
        <f aca="false">IFERROR(VLOOKUP($B1093,Agents!$A:$D,2,0),"-")</f>
        <v>Accessibilité</v>
      </c>
      <c r="Q1093" s="21" t="n">
        <v>46295</v>
      </c>
      <c r="R1093" s="8" t="n">
        <f aca="false">IF(M1093="Abs",O1093,0)</f>
        <v>0</v>
      </c>
      <c r="S1093" s="8" t="n">
        <f aca="false">SUM(R1093,L1093,I1093,J1093,W1093,H1093)</f>
        <v>0</v>
      </c>
      <c r="T1093" s="6" t="str">
        <f aca="false">"Sem - "&amp;WEEKNUM(Q1093,21)</f>
        <v>Sem - 40</v>
      </c>
      <c r="U1093" s="6" t="str">
        <f aca="false">CHOOSE(MONTH(Q1093),"Janvier","Février","Mars","Avril","Mai","Juin","Juillet","Août","Septembre","Octobre","Novembre","Décembre")</f>
        <v>Septembre</v>
      </c>
      <c r="V1093" s="22" t="n">
        <f aca="false">YEAR(Q1093)</f>
        <v>2026</v>
      </c>
      <c r="W1093" s="20"/>
      <c r="X1093" s="8" t="n">
        <f aca="false">IFERROR(IF(M1093="Abs",0,IF(ROUND((D1093-C1093+E1093-F1093)*1440,0)&lt;=1,0,D1093-C1093+E1093-F1093)),0)</f>
        <v>0.00138888888888889</v>
      </c>
      <c r="Y1093" s="6" t="str">
        <f aca="false">IFERROR(VLOOKUP($B1093,Agents!$A:$D,3,0),"-")</f>
        <v>OUBRAHIM Mohammed</v>
      </c>
      <c r="Z1093" s="6" t="str">
        <f aca="false">IFERROR(VLOOKUP($B1093,Agents!$A:$D,4,0),"-")</f>
        <v>Credit Mutuel</v>
      </c>
      <c r="AA1093" s="18" t="s">
        <v>122</v>
      </c>
      <c r="AB1093" s="8" t="str">
        <f aca="false">IF(AND(D1093="Congé",F1093="Congé"),0.333333333333333,IF(OR(AND(D1093="Congé",F1093&lt;&gt;"Congé"),(AND(F1093="Congé",D1093&lt;&gt;"Congé"))),0.166666666666667,""))</f>
        <v/>
      </c>
      <c r="AC1093" s="8" t="str">
        <f aca="false">IF(AND(D1093="Congé sans solde",F1093="Congé sans solde"),0.333333333333333,IF(OR(AND(D1093="Congé sans solde",F1093&lt;&gt;"Congé sans solde"),(AND(F1093="Congé sans solde",D1093&lt;&gt;"Congé sans solde"))),0.166666666666667,""))</f>
        <v/>
      </c>
      <c r="AD1093" s="8" t="str">
        <f aca="false">IF(AND(D1093="Congé spécial",F1093="Congé spécial"),0.333333333333333,IF(OR(AND(D1093="Congé spécial",F1093&lt;&gt;"Congé spécial"),AND(F1093="Congé spécial",D1093&lt;&gt;"Congé spécial")),0.166666666666667,""))</f>
        <v/>
      </c>
      <c r="AE1093" s="8" t="str">
        <f aca="false">IF(AND(D1093="Férié",F1093="Férié"),0.333333333333333,IF(OR(AND(D1093="Férié",F1093&lt;&gt;"Férié"),(AND(F1093="Férié",D1093&lt;&gt;"Férié"))),0.166666666666667,""))</f>
        <v/>
      </c>
      <c r="AF1093" s="18"/>
      <c r="AG1093" s="18"/>
    </row>
    <row r="1094" customFormat="false" ht="15" hidden="false" customHeight="false" outlineLevel="0" collapsed="false">
      <c r="A1094" s="6" t="str">
        <f aca="false">YEAR(Q1094-WEEKDAY(Q1094,2)+4)&amp;"-S"&amp;TEXT(WEEKNUM(Q1094,21),"00")</f>
        <v>2026-S40</v>
      </c>
      <c r="B1094" s="18" t="s">
        <v>72</v>
      </c>
      <c r="C1094" s="19" t="n">
        <v>0.332638888888889</v>
      </c>
      <c r="D1094" s="19" t="n">
        <v>0.333333333333333</v>
      </c>
      <c r="E1094" s="19" t="n">
        <v>0.75</v>
      </c>
      <c r="F1094" s="19" t="n">
        <v>0.75</v>
      </c>
      <c r="G1094" s="20"/>
      <c r="H1094" s="20"/>
      <c r="I1094" s="8" t="str">
        <f aca="false">IF(IF(OR(C1094="",D1094="Congé",D1094="OFF",D1094="Congé spécial"),"",IF(D1094&gt;F1094,D1094-C1094,IF(C1094-D1094&lt;0,0,C1094-D1094)))&lt;0.00068287037037037,"",IF(OR(D1094="Congé",D1094="OFF",C1094="",D1094="Congé spécial"),"",IF(D1094&gt;F1094,D1094-C1094,IF(C1094-D1094&lt;0,0,C1094-D1094))))</f>
        <v/>
      </c>
      <c r="J1094" s="20"/>
      <c r="K1094" s="8" t="n">
        <f aca="false">IF(SUM(H1094:J1094)&lt;0.00068287037037037,0,SUM(H1094:J1094))</f>
        <v>0</v>
      </c>
      <c r="L1094" s="8" t="n">
        <f aca="false">IF(OR(F1094="Congé",F1094="OFF",M1094="Abs",F1094="Congé sans solde",F1094="Férié",F1094="Congé spécial",D1094="Congé spécial"),0,IF(F1094-E1094&lt;0,0,IF(F1094-E1094&lt;=0.00068287037037037,0,F1094-E1094)))</f>
        <v>0</v>
      </c>
      <c r="M1094" s="6" t="n">
        <f aca="false">IF(AND(O1094&lt;&gt;0,C1094=""),"Abs",0)</f>
        <v>0</v>
      </c>
      <c r="N1094" s="8" t="n">
        <f aca="false">IFERROR(IF(OR(D1094="OFF",D1094="Congé",M1094="Abs",D1094="Congé sans solde",D1094="Férié"),"",IF(O1094-K1094-L1094&gt;O1094,O1094,IF(O1094-K1094-L1094&lt;0,"",O1094-K1094-L1094))),"")</f>
        <v>0.375</v>
      </c>
      <c r="O1094" s="8" t="n">
        <f aca="false">IF(AG1094="2H Pause déjeuner",IF(F1094-D1094-0.0833333333333333&lt;0,F1094-D1094-0.0833333333333333+1,F1094-D1094-0.0833333333333333),IF(OR(AND(F1094="OFF",D1094="OFF"),AND(F1094="Congé",D1094="Congé"),AND(F1094="Congé sans solde",D1094="Congé sans solde"),AND(F1094="Congé spécial",D1094="Congé spécial"),AND(F1094="Férié",D1094="Férié"),AND(F1094="OFF",D1094="Congé"),AND(F1094="OFF",D1094="Congé sans solde"),AND(F1094="OFF",D1094="Congé spécial"),AND(F1094="OFF",D1094="Férié"),AND(F1094="Congé",D1094="OFF"),AND(F1094="Congé",D1094="Congé sans solde"),AND(F1094="Congé",D1094="Congé spécial"),AND(F1094="Congé",D1094="Férié"),AND(F1094="Congé sans solde",D1094="OFF"),AND(F1094="Congé sans solde",D1094="Congé"),AND(F1094="Congé sans solde",D1094="Congé spécial"),AND(F1094="Congé sans solde",D1094="Férié"),AND(F1094="Congé spécial",D1094="OFF"),AND(F1094="Congé spécial",D1094="Congé"),AND(F1094="Congé spécial",D1094="Congé sans solde"),AND(F1094="Congé spécial",D1094="Férié"),AND(F1094="Férié",D1094="OFF"),AND(F1094="Férié",D1094="Congé"),AND(F1094="Férié",D1094="Congé sans solde"),AND(F1094="Férié",D1094="Congé spécial")),0,IF(OR(F1094="OFF",F1094="Congé",F1094="Congé spécial",F1094="Congé sans solde",D1094="OFF",D1094="Congé",D1094="Congé spécial",D1094="Congé sans solde"),0.208333333333334,IF(AND(AG1094="",F1094-D1094&lt;0),("24:00:00"-D1094)+("00:00:00"+F1094)-0.0416666666666667,IF(AND(OR(AG1094="Allaitement",AG1094="Sans déjeuner"),F1094-D1094&lt;0),("24:00:00"-D1094)+("00:00:00"+F1094),IF(AND(AG1094="",F1094-D1094&gt;0.166666666666667),F1094-D1094-0.0416666666666667,IF(AND(OR(AG1094="Allaitement",AG1094="Sans déjeuner"),F1094-D1094&gt;0.166666666666667),F1094-D1094,F1094-D1094)))))))</f>
        <v>0.375</v>
      </c>
      <c r="P1094" s="6" t="str">
        <f aca="false">IFERROR(VLOOKUP($B1094,Agents!$A:$D,2,0),"-")</f>
        <v>Accessibilité</v>
      </c>
      <c r="Q1094" s="21" t="n">
        <v>46295</v>
      </c>
      <c r="R1094" s="8" t="n">
        <f aca="false">IF(M1094="Abs",O1094,0)</f>
        <v>0</v>
      </c>
      <c r="S1094" s="8" t="n">
        <f aca="false">SUM(R1094,L1094,I1094,J1094,W1094,H1094)</f>
        <v>0</v>
      </c>
      <c r="T1094" s="6" t="str">
        <f aca="false">"Sem - "&amp;WEEKNUM(Q1094,21)</f>
        <v>Sem - 40</v>
      </c>
      <c r="U1094" s="6" t="str">
        <f aca="false">CHOOSE(MONTH(Q1094),"Janvier","Février","Mars","Avril","Mai","Juin","Juillet","Août","Septembre","Octobre","Novembre","Décembre")</f>
        <v>Septembre</v>
      </c>
      <c r="V1094" s="22" t="n">
        <f aca="false">YEAR(Q1094)</f>
        <v>2026</v>
      </c>
      <c r="W1094" s="20"/>
      <c r="X1094" s="8" t="n">
        <f aca="false">IFERROR(IF(M1094="Abs",0,IF(ROUND((D1094-C1094+E1094-F1094)*1440,0)&lt;=1,0,D1094-C1094+E1094-F1094)),0)</f>
        <v>0</v>
      </c>
      <c r="Y1094" s="6" t="str">
        <f aca="false">IFERROR(VLOOKUP($B1094,Agents!$A:$D,3,0),"-")</f>
        <v>OUBRAHIM Mohammed</v>
      </c>
      <c r="Z1094" s="6" t="str">
        <f aca="false">IFERROR(VLOOKUP($B1094,Agents!$A:$D,4,0),"-")</f>
        <v>Credit Mutuel</v>
      </c>
      <c r="AA1094" s="18" t="s">
        <v>122</v>
      </c>
      <c r="AB1094" s="8" t="str">
        <f aca="false">IF(AND(D1094="Congé",F1094="Congé"),0.333333333333333,IF(OR(AND(D1094="Congé",F1094&lt;&gt;"Congé"),(AND(F1094="Congé",D1094&lt;&gt;"Congé"))),0.166666666666667,""))</f>
        <v/>
      </c>
      <c r="AC1094" s="8" t="str">
        <f aca="false">IF(AND(D1094="Congé sans solde",F1094="Congé sans solde"),0.333333333333333,IF(OR(AND(D1094="Congé sans solde",F1094&lt;&gt;"Congé sans solde"),(AND(F1094="Congé sans solde",D1094&lt;&gt;"Congé sans solde"))),0.166666666666667,""))</f>
        <v/>
      </c>
      <c r="AD1094" s="8" t="str">
        <f aca="false">IF(AND(D1094="Congé spécial",F1094="Congé spécial"),0.333333333333333,IF(OR(AND(D1094="Congé spécial",F1094&lt;&gt;"Congé spécial"),AND(F1094="Congé spécial",D1094&lt;&gt;"Congé spécial")),0.166666666666667,""))</f>
        <v/>
      </c>
      <c r="AE1094" s="8" t="str">
        <f aca="false">IF(AND(D1094="Férié",F1094="Férié"),0.333333333333333,IF(OR(AND(D1094="Férié",F1094&lt;&gt;"Férié"),(AND(F1094="Férié",D1094&lt;&gt;"Férié"))),0.166666666666667,""))</f>
        <v/>
      </c>
      <c r="AF1094" s="18"/>
      <c r="AG1094" s="18"/>
    </row>
    <row r="1095" customFormat="false" ht="15" hidden="false" customHeight="false" outlineLevel="0" collapsed="false">
      <c r="A1095" s="6" t="str">
        <f aca="false">YEAR(Q1095-WEEKDAY(Q1095,2)+4)&amp;"-S"&amp;TEXT(WEEKNUM(Q1095,21),"00")</f>
        <v>2026-S40</v>
      </c>
      <c r="B1095" s="18" t="s">
        <v>73</v>
      </c>
      <c r="C1095" s="19" t="n">
        <v>0.328472222222222</v>
      </c>
      <c r="D1095" s="19" t="n">
        <v>0.333333333333333</v>
      </c>
      <c r="E1095" s="19" t="n">
        <v>0.75</v>
      </c>
      <c r="F1095" s="19" t="n">
        <v>0.75</v>
      </c>
      <c r="G1095" s="20"/>
      <c r="H1095" s="20"/>
      <c r="I1095" s="8" t="str">
        <f aca="false">IF(IF(OR(C1095="",D1095="Congé",D1095="OFF",D1095="Congé spécial"),"",IF(D1095&gt;F1095,D1095-C1095,IF(C1095-D1095&lt;0,0,C1095-D1095)))&lt;0.00068287037037037,"",IF(OR(D1095="Congé",D1095="OFF",C1095="",D1095="Congé spécial"),"",IF(D1095&gt;F1095,D1095-C1095,IF(C1095-D1095&lt;0,0,C1095-D1095))))</f>
        <v/>
      </c>
      <c r="J1095" s="20"/>
      <c r="K1095" s="8" t="n">
        <f aca="false">IF(SUM(H1095:J1095)&lt;0.00068287037037037,0,SUM(H1095:J1095))</f>
        <v>0</v>
      </c>
      <c r="L1095" s="8" t="n">
        <f aca="false">IF(OR(F1095="Congé",F1095="OFF",M1095="Abs",F1095="Congé sans solde",F1095="Férié",F1095="Congé spécial",D1095="Congé spécial"),0,IF(F1095-E1095&lt;0,0,IF(F1095-E1095&lt;=0.00068287037037037,0,F1095-E1095)))</f>
        <v>0</v>
      </c>
      <c r="M1095" s="6" t="n">
        <f aca="false">IF(AND(O1095&lt;&gt;0,C1095=""),"Abs",0)</f>
        <v>0</v>
      </c>
      <c r="N1095" s="8" t="n">
        <f aca="false">IFERROR(IF(OR(D1095="OFF",D1095="Congé",M1095="Abs",D1095="Congé sans solde",D1095="Férié"),"",IF(O1095-K1095-L1095&gt;O1095,O1095,IF(O1095-K1095-L1095&lt;0,"",O1095-K1095-L1095))),"")</f>
        <v>0.375</v>
      </c>
      <c r="O1095" s="8" t="n">
        <f aca="false">IF(AG1095="2H Pause déjeuner",IF(F1095-D1095-0.0833333333333333&lt;0,F1095-D1095-0.0833333333333333+1,F1095-D1095-0.0833333333333333),IF(OR(AND(F1095="OFF",D1095="OFF"),AND(F1095="Congé",D1095="Congé"),AND(F1095="Congé sans solde",D1095="Congé sans solde"),AND(F1095="Congé spécial",D1095="Congé spécial"),AND(F1095="Férié",D1095="Férié"),AND(F1095="OFF",D1095="Congé"),AND(F1095="OFF",D1095="Congé sans solde"),AND(F1095="OFF",D1095="Congé spécial"),AND(F1095="OFF",D1095="Férié"),AND(F1095="Congé",D1095="OFF"),AND(F1095="Congé",D1095="Congé sans solde"),AND(F1095="Congé",D1095="Congé spécial"),AND(F1095="Congé",D1095="Férié"),AND(F1095="Congé sans solde",D1095="OFF"),AND(F1095="Congé sans solde",D1095="Congé"),AND(F1095="Congé sans solde",D1095="Congé spécial"),AND(F1095="Congé sans solde",D1095="Férié"),AND(F1095="Congé spécial",D1095="OFF"),AND(F1095="Congé spécial",D1095="Congé"),AND(F1095="Congé spécial",D1095="Congé sans solde"),AND(F1095="Congé spécial",D1095="Férié"),AND(F1095="Férié",D1095="OFF"),AND(F1095="Férié",D1095="Congé"),AND(F1095="Férié",D1095="Congé sans solde"),AND(F1095="Férié",D1095="Congé spécial")),0,IF(OR(F1095="OFF",F1095="Congé",F1095="Congé spécial",F1095="Congé sans solde",D1095="OFF",D1095="Congé",D1095="Congé spécial",D1095="Congé sans solde"),0.208333333333334,IF(AND(AG1095="",F1095-D1095&lt;0),("24:00:00"-D1095)+("00:00:00"+F1095)-0.0416666666666667,IF(AND(OR(AG1095="Allaitement",AG1095="Sans déjeuner"),F1095-D1095&lt;0),("24:00:00"-D1095)+("00:00:00"+F1095),IF(AND(AG1095="",F1095-D1095&gt;0.166666666666667),F1095-D1095-0.0416666666666667,IF(AND(OR(AG1095="Allaitement",AG1095="Sans déjeuner"),F1095-D1095&gt;0.166666666666667),F1095-D1095,F1095-D1095)))))))</f>
        <v>0.375</v>
      </c>
      <c r="P1095" s="6" t="str">
        <f aca="false">IFERROR(VLOOKUP($B1095,Agents!$A:$D,2,0),"-")</f>
        <v>Accessibilité</v>
      </c>
      <c r="Q1095" s="21" t="n">
        <v>46295</v>
      </c>
      <c r="R1095" s="8" t="n">
        <f aca="false">IF(M1095="Abs",O1095,0)</f>
        <v>0</v>
      </c>
      <c r="S1095" s="8" t="n">
        <f aca="false">SUM(R1095,L1095,I1095,J1095,W1095,H1095)</f>
        <v>0</v>
      </c>
      <c r="T1095" s="6" t="str">
        <f aca="false">"Sem - "&amp;WEEKNUM(Q1095,21)</f>
        <v>Sem - 40</v>
      </c>
      <c r="U1095" s="6" t="str">
        <f aca="false">CHOOSE(MONTH(Q1095),"Janvier","Février","Mars","Avril","Mai","Juin","Juillet","Août","Septembre","Octobre","Novembre","Décembre")</f>
        <v>Septembre</v>
      </c>
      <c r="V1095" s="22" t="n">
        <f aca="false">YEAR(Q1095)</f>
        <v>2026</v>
      </c>
      <c r="W1095" s="20"/>
      <c r="X1095" s="8" t="n">
        <f aca="false">IFERROR(IF(M1095="Abs",0,IF(ROUND((D1095-C1095+E1095-F1095)*1440,0)&lt;=1,0,D1095-C1095+E1095-F1095)),0)</f>
        <v>0.00486111111111111</v>
      </c>
      <c r="Y1095" s="6" t="str">
        <f aca="false">IFERROR(VLOOKUP($B1095,Agents!$A:$D,3,0),"-")</f>
        <v>OUBRAHIM Mohammed</v>
      </c>
      <c r="Z1095" s="6" t="str">
        <f aca="false">IFERROR(VLOOKUP($B1095,Agents!$A:$D,4,0),"-")</f>
        <v>Credit Mutuel</v>
      </c>
      <c r="AA1095" s="18" t="s">
        <v>122</v>
      </c>
      <c r="AB1095" s="8" t="str">
        <f aca="false">IF(AND(D1095="Congé",F1095="Congé"),0.333333333333333,IF(OR(AND(D1095="Congé",F1095&lt;&gt;"Congé"),(AND(F1095="Congé",D1095&lt;&gt;"Congé"))),0.166666666666667,""))</f>
        <v/>
      </c>
      <c r="AC1095" s="8" t="str">
        <f aca="false">IF(AND(D1095="Congé sans solde",F1095="Congé sans solde"),0.333333333333333,IF(OR(AND(D1095="Congé sans solde",F1095&lt;&gt;"Congé sans solde"),(AND(F1095="Congé sans solde",D1095&lt;&gt;"Congé sans solde"))),0.166666666666667,""))</f>
        <v/>
      </c>
      <c r="AD1095" s="8" t="str">
        <f aca="false">IF(AND(D1095="Congé spécial",F1095="Congé spécial"),0.333333333333333,IF(OR(AND(D1095="Congé spécial",F1095&lt;&gt;"Congé spécial"),AND(F1095="Congé spécial",D1095&lt;&gt;"Congé spécial")),0.166666666666667,""))</f>
        <v/>
      </c>
      <c r="AE1095" s="8" t="str">
        <f aca="false">IF(AND(D1095="Férié",F1095="Férié"),0.333333333333333,IF(OR(AND(D1095="Férié",F1095&lt;&gt;"Férié"),(AND(F1095="Férié",D1095&lt;&gt;"Férié"))),0.166666666666667,""))</f>
        <v/>
      </c>
      <c r="AF1095" s="18"/>
      <c r="AG1095" s="18"/>
    </row>
    <row r="1096" customFormat="false" ht="15" hidden="false" customHeight="false" outlineLevel="0" collapsed="false">
      <c r="A1096" s="6" t="str">
        <f aca="false">YEAR(Q1096-WEEKDAY(Q1096,2)+4)&amp;"-S"&amp;TEXT(WEEKNUM(Q1096,21),"00")</f>
        <v>2026-S40</v>
      </c>
      <c r="B1096" s="18" t="s">
        <v>71</v>
      </c>
      <c r="C1096" s="19" t="n">
        <v>0.333333333333333</v>
      </c>
      <c r="D1096" s="19" t="n">
        <v>0.333333333333333</v>
      </c>
      <c r="E1096" s="19" t="n">
        <v>0.75</v>
      </c>
      <c r="F1096" s="19" t="n">
        <v>0.75</v>
      </c>
      <c r="G1096" s="20"/>
      <c r="H1096" s="20"/>
      <c r="I1096" s="8" t="str">
        <f aca="false">IF(IF(OR(C1096="",D1096="Congé",D1096="OFF",D1096="Congé spécial"),"",IF(D1096&gt;F1096,D1096-C1096,IF(C1096-D1096&lt;0,0,C1096-D1096)))&lt;0.00068287037037037,"",IF(OR(D1096="Congé",D1096="OFF",C1096="",D1096="Congé spécial"),"",IF(D1096&gt;F1096,D1096-C1096,IF(C1096-D1096&lt;0,0,C1096-D1096))))</f>
        <v/>
      </c>
      <c r="J1096" s="20"/>
      <c r="K1096" s="8" t="n">
        <f aca="false">IF(SUM(H1096:J1096)&lt;0.00068287037037037,0,SUM(H1096:J1096))</f>
        <v>0</v>
      </c>
      <c r="L1096" s="8" t="n">
        <f aca="false">IF(OR(F1096="Congé",F1096="OFF",M1096="Abs",F1096="Congé sans solde",F1096="Férié",F1096="Congé spécial",D1096="Congé spécial"),0,IF(F1096-E1096&lt;0,0,IF(F1096-E1096&lt;=0.00068287037037037,0,F1096-E1096)))</f>
        <v>0</v>
      </c>
      <c r="M1096" s="6" t="n">
        <f aca="false">IF(AND(O1096&lt;&gt;0,C1096=""),"Abs",0)</f>
        <v>0</v>
      </c>
      <c r="N1096" s="8" t="n">
        <f aca="false">IFERROR(IF(OR(D1096="OFF",D1096="Congé",M1096="Abs",D1096="Congé sans solde",D1096="Férié"),"",IF(O1096-K1096-L1096&gt;O1096,O1096,IF(O1096-K1096-L1096&lt;0,"",O1096-K1096-L1096))),"")</f>
        <v>0.375</v>
      </c>
      <c r="O1096" s="8" t="n">
        <f aca="false">IF(AG1096="2H Pause déjeuner",IF(F1096-D1096-0.0833333333333333&lt;0,F1096-D1096-0.0833333333333333+1,F1096-D1096-0.0833333333333333),IF(OR(AND(F1096="OFF",D1096="OFF"),AND(F1096="Congé",D1096="Congé"),AND(F1096="Congé sans solde",D1096="Congé sans solde"),AND(F1096="Congé spécial",D1096="Congé spécial"),AND(F1096="Férié",D1096="Férié"),AND(F1096="OFF",D1096="Congé"),AND(F1096="OFF",D1096="Congé sans solde"),AND(F1096="OFF",D1096="Congé spécial"),AND(F1096="OFF",D1096="Férié"),AND(F1096="Congé",D1096="OFF"),AND(F1096="Congé",D1096="Congé sans solde"),AND(F1096="Congé",D1096="Congé spécial"),AND(F1096="Congé",D1096="Férié"),AND(F1096="Congé sans solde",D1096="OFF"),AND(F1096="Congé sans solde",D1096="Congé"),AND(F1096="Congé sans solde",D1096="Congé spécial"),AND(F1096="Congé sans solde",D1096="Férié"),AND(F1096="Congé spécial",D1096="OFF"),AND(F1096="Congé spécial",D1096="Congé"),AND(F1096="Congé spécial",D1096="Congé sans solde"),AND(F1096="Congé spécial",D1096="Férié"),AND(F1096="Férié",D1096="OFF"),AND(F1096="Férié",D1096="Congé"),AND(F1096="Férié",D1096="Congé sans solde"),AND(F1096="Férié",D1096="Congé spécial")),0,IF(OR(F1096="OFF",F1096="Congé",F1096="Congé spécial",F1096="Congé sans solde",D1096="OFF",D1096="Congé",D1096="Congé spécial",D1096="Congé sans solde"),0.208333333333334,IF(AND(AG1096="",F1096-D1096&lt;0),("24:00:00"-D1096)+("00:00:00"+F1096)-0.0416666666666667,IF(AND(OR(AG1096="Allaitement",AG1096="Sans déjeuner"),F1096-D1096&lt;0),("24:00:00"-D1096)+("00:00:00"+F1096),IF(AND(AG1096="",F1096-D1096&gt;0.166666666666667),F1096-D1096-0.0416666666666667,IF(AND(OR(AG1096="Allaitement",AG1096="Sans déjeuner"),F1096-D1096&gt;0.166666666666667),F1096-D1096,F1096-D1096)))))))</f>
        <v>0.375</v>
      </c>
      <c r="P1096" s="6" t="str">
        <f aca="false">IFERROR(VLOOKUP($B1096,Agents!$A:$D,2,0),"-")</f>
        <v>Accessibilité</v>
      </c>
      <c r="Q1096" s="21" t="n">
        <v>46296</v>
      </c>
      <c r="R1096" s="8" t="n">
        <f aca="false">IF(M1096="Abs",O1096,0)</f>
        <v>0</v>
      </c>
      <c r="S1096" s="8" t="n">
        <f aca="false">SUM(R1096,L1096,I1096,J1096,W1096,H1096)</f>
        <v>0</v>
      </c>
      <c r="T1096" s="6" t="str">
        <f aca="false">"Sem - "&amp;WEEKNUM(Q1096,21)</f>
        <v>Sem - 40</v>
      </c>
      <c r="U1096" s="6" t="str">
        <f aca="false">CHOOSE(MONTH(Q1096),"Janvier","Février","Mars","Avril","Mai","Juin","Juillet","Août","Septembre","Octobre","Novembre","Décembre")</f>
        <v>Octobre</v>
      </c>
      <c r="V1096" s="22" t="n">
        <f aca="false">YEAR(Q1096)</f>
        <v>2026</v>
      </c>
      <c r="W1096" s="20"/>
      <c r="X1096" s="8" t="n">
        <f aca="false">IFERROR(IF(M1096="Abs",0,IF(ROUND((D1096-C1096+E1096-F1096)*1440,0)&lt;=1,0,D1096-C1096+E1096-F1096)),0)</f>
        <v>0</v>
      </c>
      <c r="Y1096" s="6" t="str">
        <f aca="false">IFERROR(VLOOKUP($B1096,Agents!$A:$D,3,0),"-")</f>
        <v>OUBRAHIM Mohammed</v>
      </c>
      <c r="Z1096" s="6" t="str">
        <f aca="false">IFERROR(VLOOKUP($B1096,Agents!$A:$D,4,0),"-")</f>
        <v>Credit Mutuel</v>
      </c>
      <c r="AA1096" s="18" t="s">
        <v>122</v>
      </c>
      <c r="AB1096" s="8" t="str">
        <f aca="false">IF(AND(D1096="Congé",F1096="Congé"),0.333333333333333,IF(OR(AND(D1096="Congé",F1096&lt;&gt;"Congé"),(AND(F1096="Congé",D1096&lt;&gt;"Congé"))),0.166666666666667,""))</f>
        <v/>
      </c>
      <c r="AC1096" s="8" t="str">
        <f aca="false">IF(AND(D1096="Congé sans solde",F1096="Congé sans solde"),0.333333333333333,IF(OR(AND(D1096="Congé sans solde",F1096&lt;&gt;"Congé sans solde"),(AND(F1096="Congé sans solde",D1096&lt;&gt;"Congé sans solde"))),0.166666666666667,""))</f>
        <v/>
      </c>
      <c r="AD1096" s="8" t="str">
        <f aca="false">IF(AND(D1096="Congé spécial",F1096="Congé spécial"),0.333333333333333,IF(OR(AND(D1096="Congé spécial",F1096&lt;&gt;"Congé spécial"),AND(F1096="Congé spécial",D1096&lt;&gt;"Congé spécial")),0.166666666666667,""))</f>
        <v/>
      </c>
      <c r="AE1096" s="8" t="str">
        <f aca="false">IF(AND(D1096="Férié",F1096="Férié"),0.333333333333333,IF(OR(AND(D1096="Férié",F1096&lt;&gt;"Férié"),(AND(F1096="Férié",D1096&lt;&gt;"Férié"))),0.166666666666667,""))</f>
        <v/>
      </c>
      <c r="AF1096" s="18"/>
      <c r="AG1096" s="18"/>
    </row>
    <row r="1097" customFormat="false" ht="15" hidden="false" customHeight="false" outlineLevel="0" collapsed="false">
      <c r="A1097" s="6" t="str">
        <f aca="false">YEAR(Q1097-WEEKDAY(Q1097,2)+4)&amp;"-S"&amp;TEXT(WEEKNUM(Q1097,21),"00")</f>
        <v>2026-S40</v>
      </c>
      <c r="B1097" s="18" t="s">
        <v>72</v>
      </c>
      <c r="C1097" s="19" t="n">
        <v>0.330555555555556</v>
      </c>
      <c r="D1097" s="19" t="n">
        <v>0.333333333333333</v>
      </c>
      <c r="E1097" s="19" t="n">
        <v>0.75</v>
      </c>
      <c r="F1097" s="19" t="n">
        <v>0.75</v>
      </c>
      <c r="G1097" s="20"/>
      <c r="H1097" s="20"/>
      <c r="I1097" s="8" t="str">
        <f aca="false">IF(IF(OR(C1097="",D1097="Congé",D1097="OFF",D1097="Congé spécial"),"",IF(D1097&gt;F1097,D1097-C1097,IF(C1097-D1097&lt;0,0,C1097-D1097)))&lt;0.00068287037037037,"",IF(OR(D1097="Congé",D1097="OFF",C1097="",D1097="Congé spécial"),"",IF(D1097&gt;F1097,D1097-C1097,IF(C1097-D1097&lt;0,0,C1097-D1097))))</f>
        <v/>
      </c>
      <c r="J1097" s="20"/>
      <c r="K1097" s="8" t="n">
        <f aca="false">IF(SUM(H1097:J1097)&lt;0.00068287037037037,0,SUM(H1097:J1097))</f>
        <v>0</v>
      </c>
      <c r="L1097" s="8" t="n">
        <f aca="false">IF(OR(F1097="Congé",F1097="OFF",M1097="Abs",F1097="Congé sans solde",F1097="Férié",F1097="Congé spécial",D1097="Congé spécial"),0,IF(F1097-E1097&lt;0,0,IF(F1097-E1097&lt;=0.00068287037037037,0,F1097-E1097)))</f>
        <v>0</v>
      </c>
      <c r="M1097" s="6" t="n">
        <f aca="false">IF(AND(O1097&lt;&gt;0,C1097=""),"Abs",0)</f>
        <v>0</v>
      </c>
      <c r="N1097" s="8" t="n">
        <f aca="false">IFERROR(IF(OR(D1097="OFF",D1097="Congé",M1097="Abs",D1097="Congé sans solde",D1097="Férié"),"",IF(O1097-K1097-L1097&gt;O1097,O1097,IF(O1097-K1097-L1097&lt;0,"",O1097-K1097-L1097))),"")</f>
        <v>0.375</v>
      </c>
      <c r="O1097" s="8" t="n">
        <f aca="false">IF(AG1097="2H Pause déjeuner",IF(F1097-D1097-0.0833333333333333&lt;0,F1097-D1097-0.0833333333333333+1,F1097-D1097-0.0833333333333333),IF(OR(AND(F1097="OFF",D1097="OFF"),AND(F1097="Congé",D1097="Congé"),AND(F1097="Congé sans solde",D1097="Congé sans solde"),AND(F1097="Congé spécial",D1097="Congé spécial"),AND(F1097="Férié",D1097="Férié"),AND(F1097="OFF",D1097="Congé"),AND(F1097="OFF",D1097="Congé sans solde"),AND(F1097="OFF",D1097="Congé spécial"),AND(F1097="OFF",D1097="Férié"),AND(F1097="Congé",D1097="OFF"),AND(F1097="Congé",D1097="Congé sans solde"),AND(F1097="Congé",D1097="Congé spécial"),AND(F1097="Congé",D1097="Férié"),AND(F1097="Congé sans solde",D1097="OFF"),AND(F1097="Congé sans solde",D1097="Congé"),AND(F1097="Congé sans solde",D1097="Congé spécial"),AND(F1097="Congé sans solde",D1097="Férié"),AND(F1097="Congé spécial",D1097="OFF"),AND(F1097="Congé spécial",D1097="Congé"),AND(F1097="Congé spécial",D1097="Congé sans solde"),AND(F1097="Congé spécial",D1097="Férié"),AND(F1097="Férié",D1097="OFF"),AND(F1097="Férié",D1097="Congé"),AND(F1097="Férié",D1097="Congé sans solde"),AND(F1097="Férié",D1097="Congé spécial")),0,IF(OR(F1097="OFF",F1097="Congé",F1097="Congé spécial",F1097="Congé sans solde",D1097="OFF",D1097="Congé",D1097="Congé spécial",D1097="Congé sans solde"),0.208333333333334,IF(AND(AG1097="",F1097-D1097&lt;0),("24:00:00"-D1097)+("00:00:00"+F1097)-0.0416666666666667,IF(AND(OR(AG1097="Allaitement",AG1097="Sans déjeuner"),F1097-D1097&lt;0),("24:00:00"-D1097)+("00:00:00"+F1097),IF(AND(AG1097="",F1097-D1097&gt;0.166666666666667),F1097-D1097-0.0416666666666667,IF(AND(OR(AG1097="Allaitement",AG1097="Sans déjeuner"),F1097-D1097&gt;0.166666666666667),F1097-D1097,F1097-D1097)))))))</f>
        <v>0.375</v>
      </c>
      <c r="P1097" s="6" t="str">
        <f aca="false">IFERROR(VLOOKUP($B1097,Agents!$A:$D,2,0),"-")</f>
        <v>Accessibilité</v>
      </c>
      <c r="Q1097" s="21" t="n">
        <v>46296</v>
      </c>
      <c r="R1097" s="8" t="n">
        <f aca="false">IF(M1097="Abs",O1097,0)</f>
        <v>0</v>
      </c>
      <c r="S1097" s="8" t="n">
        <f aca="false">SUM(R1097,L1097,I1097,J1097,W1097,H1097)</f>
        <v>0</v>
      </c>
      <c r="T1097" s="6" t="str">
        <f aca="false">"Sem - "&amp;WEEKNUM(Q1097,21)</f>
        <v>Sem - 40</v>
      </c>
      <c r="U1097" s="6" t="str">
        <f aca="false">CHOOSE(MONTH(Q1097),"Janvier","Février","Mars","Avril","Mai","Juin","Juillet","Août","Septembre","Octobre","Novembre","Décembre")</f>
        <v>Octobre</v>
      </c>
      <c r="V1097" s="22" t="n">
        <f aca="false">YEAR(Q1097)</f>
        <v>2026</v>
      </c>
      <c r="W1097" s="20"/>
      <c r="X1097" s="8" t="n">
        <f aca="false">IFERROR(IF(M1097="Abs",0,IF(ROUND((D1097-C1097+E1097-F1097)*1440,0)&lt;=1,0,D1097-C1097+E1097-F1097)),0)</f>
        <v>0.00277777777777778</v>
      </c>
      <c r="Y1097" s="6" t="str">
        <f aca="false">IFERROR(VLOOKUP($B1097,Agents!$A:$D,3,0),"-")</f>
        <v>OUBRAHIM Mohammed</v>
      </c>
      <c r="Z1097" s="6" t="str">
        <f aca="false">IFERROR(VLOOKUP($B1097,Agents!$A:$D,4,0),"-")</f>
        <v>Credit Mutuel</v>
      </c>
      <c r="AA1097" s="18" t="s">
        <v>122</v>
      </c>
      <c r="AB1097" s="8" t="str">
        <f aca="false">IF(AND(D1097="Congé",F1097="Congé"),0.333333333333333,IF(OR(AND(D1097="Congé",F1097&lt;&gt;"Congé"),(AND(F1097="Congé",D1097&lt;&gt;"Congé"))),0.166666666666667,""))</f>
        <v/>
      </c>
      <c r="AC1097" s="8" t="str">
        <f aca="false">IF(AND(D1097="Congé sans solde",F1097="Congé sans solde"),0.333333333333333,IF(OR(AND(D1097="Congé sans solde",F1097&lt;&gt;"Congé sans solde"),(AND(F1097="Congé sans solde",D1097&lt;&gt;"Congé sans solde"))),0.166666666666667,""))</f>
        <v/>
      </c>
      <c r="AD1097" s="8" t="str">
        <f aca="false">IF(AND(D1097="Congé spécial",F1097="Congé spécial"),0.333333333333333,IF(OR(AND(D1097="Congé spécial",F1097&lt;&gt;"Congé spécial"),AND(F1097="Congé spécial",D1097&lt;&gt;"Congé spécial")),0.166666666666667,""))</f>
        <v/>
      </c>
      <c r="AE1097" s="8" t="str">
        <f aca="false">IF(AND(D1097="Férié",F1097="Férié"),0.333333333333333,IF(OR(AND(D1097="Férié",F1097&lt;&gt;"Férié"),(AND(F1097="Férié",D1097&lt;&gt;"Férié"))),0.166666666666667,""))</f>
        <v/>
      </c>
      <c r="AF1097" s="18"/>
      <c r="AG1097" s="18"/>
    </row>
    <row r="1098" customFormat="false" ht="15" hidden="false" customHeight="false" outlineLevel="0" collapsed="false">
      <c r="A1098" s="6" t="str">
        <f aca="false">YEAR(Q1098-WEEKDAY(Q1098,2)+4)&amp;"-S"&amp;TEXT(WEEKNUM(Q1098,21),"00")</f>
        <v>2026-S40</v>
      </c>
      <c r="B1098" s="18" t="s">
        <v>73</v>
      </c>
      <c r="C1098" s="19" t="n">
        <v>0.333333333333333</v>
      </c>
      <c r="D1098" s="19" t="n">
        <v>0.333333333333333</v>
      </c>
      <c r="E1098" s="19" t="n">
        <v>0.75</v>
      </c>
      <c r="F1098" s="19" t="n">
        <v>0.75</v>
      </c>
      <c r="G1098" s="20"/>
      <c r="H1098" s="20"/>
      <c r="I1098" s="8" t="str">
        <f aca="false">IF(IF(OR(C1098="",D1098="Congé",D1098="OFF",D1098="Congé spécial"),"",IF(D1098&gt;F1098,D1098-C1098,IF(C1098-D1098&lt;0,0,C1098-D1098)))&lt;0.00068287037037037,"",IF(OR(D1098="Congé",D1098="OFF",C1098="",D1098="Congé spécial"),"",IF(D1098&gt;F1098,D1098-C1098,IF(C1098-D1098&lt;0,0,C1098-D1098))))</f>
        <v/>
      </c>
      <c r="J1098" s="20"/>
      <c r="K1098" s="8" t="n">
        <f aca="false">IF(SUM(H1098:J1098)&lt;0.00068287037037037,0,SUM(H1098:J1098))</f>
        <v>0</v>
      </c>
      <c r="L1098" s="8" t="n">
        <f aca="false">IF(OR(F1098="Congé",F1098="OFF",M1098="Abs",F1098="Congé sans solde",F1098="Férié",F1098="Congé spécial",D1098="Congé spécial"),0,IF(F1098-E1098&lt;0,0,IF(F1098-E1098&lt;=0.00068287037037037,0,F1098-E1098)))</f>
        <v>0</v>
      </c>
      <c r="M1098" s="6" t="n">
        <f aca="false">IF(AND(O1098&lt;&gt;0,C1098=""),"Abs",0)</f>
        <v>0</v>
      </c>
      <c r="N1098" s="8" t="n">
        <f aca="false">IFERROR(IF(OR(D1098="OFF",D1098="Congé",M1098="Abs",D1098="Congé sans solde",D1098="Férié"),"",IF(O1098-K1098-L1098&gt;O1098,O1098,IF(O1098-K1098-L1098&lt;0,"",O1098-K1098-L1098))),"")</f>
        <v>0.375</v>
      </c>
      <c r="O1098" s="8" t="n">
        <f aca="false">IF(AG1098="2H Pause déjeuner",IF(F1098-D1098-0.0833333333333333&lt;0,F1098-D1098-0.0833333333333333+1,F1098-D1098-0.0833333333333333),IF(OR(AND(F1098="OFF",D1098="OFF"),AND(F1098="Congé",D1098="Congé"),AND(F1098="Congé sans solde",D1098="Congé sans solde"),AND(F1098="Congé spécial",D1098="Congé spécial"),AND(F1098="Férié",D1098="Férié"),AND(F1098="OFF",D1098="Congé"),AND(F1098="OFF",D1098="Congé sans solde"),AND(F1098="OFF",D1098="Congé spécial"),AND(F1098="OFF",D1098="Férié"),AND(F1098="Congé",D1098="OFF"),AND(F1098="Congé",D1098="Congé sans solde"),AND(F1098="Congé",D1098="Congé spécial"),AND(F1098="Congé",D1098="Férié"),AND(F1098="Congé sans solde",D1098="OFF"),AND(F1098="Congé sans solde",D1098="Congé"),AND(F1098="Congé sans solde",D1098="Congé spécial"),AND(F1098="Congé sans solde",D1098="Férié"),AND(F1098="Congé spécial",D1098="OFF"),AND(F1098="Congé spécial",D1098="Congé"),AND(F1098="Congé spécial",D1098="Congé sans solde"),AND(F1098="Congé spécial",D1098="Férié"),AND(F1098="Férié",D1098="OFF"),AND(F1098="Férié",D1098="Congé"),AND(F1098="Férié",D1098="Congé sans solde"),AND(F1098="Férié",D1098="Congé spécial")),0,IF(OR(F1098="OFF",F1098="Congé",F1098="Congé spécial",F1098="Congé sans solde",D1098="OFF",D1098="Congé",D1098="Congé spécial",D1098="Congé sans solde"),0.208333333333334,IF(AND(AG1098="",F1098-D1098&lt;0),("24:00:00"-D1098)+("00:00:00"+F1098)-0.0416666666666667,IF(AND(OR(AG1098="Allaitement",AG1098="Sans déjeuner"),F1098-D1098&lt;0),("24:00:00"-D1098)+("00:00:00"+F1098),IF(AND(AG1098="",F1098-D1098&gt;0.166666666666667),F1098-D1098-0.0416666666666667,IF(AND(OR(AG1098="Allaitement",AG1098="Sans déjeuner"),F1098-D1098&gt;0.166666666666667),F1098-D1098,F1098-D1098)))))))</f>
        <v>0.375</v>
      </c>
      <c r="P1098" s="6" t="str">
        <f aca="false">IFERROR(VLOOKUP($B1098,Agents!$A:$D,2,0),"-")</f>
        <v>Accessibilité</v>
      </c>
      <c r="Q1098" s="21" t="n">
        <v>46296</v>
      </c>
      <c r="R1098" s="8" t="n">
        <f aca="false">IF(M1098="Abs",O1098,0)</f>
        <v>0</v>
      </c>
      <c r="S1098" s="8" t="n">
        <f aca="false">SUM(R1098,L1098,I1098,J1098,W1098,H1098)</f>
        <v>0</v>
      </c>
      <c r="T1098" s="6" t="str">
        <f aca="false">"Sem - "&amp;WEEKNUM(Q1098,21)</f>
        <v>Sem - 40</v>
      </c>
      <c r="U1098" s="6" t="str">
        <f aca="false">CHOOSE(MONTH(Q1098),"Janvier","Février","Mars","Avril","Mai","Juin","Juillet","Août","Septembre","Octobre","Novembre","Décembre")</f>
        <v>Octobre</v>
      </c>
      <c r="V1098" s="22" t="n">
        <f aca="false">YEAR(Q1098)</f>
        <v>2026</v>
      </c>
      <c r="W1098" s="20"/>
      <c r="X1098" s="8" t="n">
        <f aca="false">IFERROR(IF(M1098="Abs",0,IF(ROUND((D1098-C1098+E1098-F1098)*1440,0)&lt;=1,0,D1098-C1098+E1098-F1098)),0)</f>
        <v>0</v>
      </c>
      <c r="Y1098" s="6" t="str">
        <f aca="false">IFERROR(VLOOKUP($B1098,Agents!$A:$D,3,0),"-")</f>
        <v>OUBRAHIM Mohammed</v>
      </c>
      <c r="Z1098" s="6" t="str">
        <f aca="false">IFERROR(VLOOKUP($B1098,Agents!$A:$D,4,0),"-")</f>
        <v>Credit Mutuel</v>
      </c>
      <c r="AA1098" s="18" t="s">
        <v>122</v>
      </c>
      <c r="AB1098" s="8" t="str">
        <f aca="false">IF(AND(D1098="Congé",F1098="Congé"),0.333333333333333,IF(OR(AND(D1098="Congé",F1098&lt;&gt;"Congé"),(AND(F1098="Congé",D1098&lt;&gt;"Congé"))),0.166666666666667,""))</f>
        <v/>
      </c>
      <c r="AC1098" s="8" t="str">
        <f aca="false">IF(AND(D1098="Congé sans solde",F1098="Congé sans solde"),0.333333333333333,IF(OR(AND(D1098="Congé sans solde",F1098&lt;&gt;"Congé sans solde"),(AND(F1098="Congé sans solde",D1098&lt;&gt;"Congé sans solde"))),0.166666666666667,""))</f>
        <v/>
      </c>
      <c r="AD1098" s="8" t="str">
        <f aca="false">IF(AND(D1098="Congé spécial",F1098="Congé spécial"),0.333333333333333,IF(OR(AND(D1098="Congé spécial",F1098&lt;&gt;"Congé spécial"),AND(F1098="Congé spécial",D1098&lt;&gt;"Congé spécial")),0.166666666666667,""))</f>
        <v/>
      </c>
      <c r="AE1098" s="8" t="str">
        <f aca="false">IF(AND(D1098="Férié",F1098="Férié"),0.333333333333333,IF(OR(AND(D1098="Férié",F1098&lt;&gt;"Férié"),(AND(F1098="Férié",D1098&lt;&gt;"Férié"))),0.166666666666667,""))</f>
        <v/>
      </c>
      <c r="AF1098" s="18"/>
      <c r="AG1098" s="18"/>
    </row>
    <row r="1099" customFormat="false" ht="15" hidden="false" customHeight="false" outlineLevel="0" collapsed="false">
      <c r="A1099" s="6" t="str">
        <f aca="false">YEAR(Q1099-WEEKDAY(Q1099,2)+4)&amp;"-S"&amp;TEXT(WEEKNUM(Q1099,21),"00")</f>
        <v>2026-S40</v>
      </c>
      <c r="B1099" s="18" t="s">
        <v>71</v>
      </c>
      <c r="C1099" s="19" t="n">
        <v>0.333333333333333</v>
      </c>
      <c r="D1099" s="19" t="n">
        <v>0.333333333333333</v>
      </c>
      <c r="E1099" s="19" t="n">
        <v>0.708333333333333</v>
      </c>
      <c r="F1099" s="19" t="n">
        <v>0.708333333333333</v>
      </c>
      <c r="G1099" s="20"/>
      <c r="H1099" s="20"/>
      <c r="I1099" s="8" t="str">
        <f aca="false">IF(IF(OR(C1099="",D1099="Congé",D1099="OFF",D1099="Congé spécial"),"",IF(D1099&gt;F1099,D1099-C1099,IF(C1099-D1099&lt;0,0,C1099-D1099)))&lt;0.00068287037037037,"",IF(OR(D1099="Congé",D1099="OFF",C1099="",D1099="Congé spécial"),"",IF(D1099&gt;F1099,D1099-C1099,IF(C1099-D1099&lt;0,0,C1099-D1099))))</f>
        <v/>
      </c>
      <c r="J1099" s="20"/>
      <c r="K1099" s="8" t="n">
        <f aca="false">IF(SUM(H1099:J1099)&lt;0.00068287037037037,0,SUM(H1099:J1099))</f>
        <v>0</v>
      </c>
      <c r="L1099" s="8" t="n">
        <f aca="false">IF(OR(F1099="Congé",F1099="OFF",M1099="Abs",F1099="Congé sans solde",F1099="Férié",F1099="Congé spécial",D1099="Congé spécial"),0,IF(F1099-E1099&lt;0,0,IF(F1099-E1099&lt;=0.00068287037037037,0,F1099-E1099)))</f>
        <v>0</v>
      </c>
      <c r="M1099" s="6" t="n">
        <f aca="false">IF(AND(O1099&lt;&gt;0,C1099=""),"Abs",0)</f>
        <v>0</v>
      </c>
      <c r="N1099" s="8" t="n">
        <f aca="false">IFERROR(IF(OR(D1099="OFF",D1099="Congé",M1099="Abs",D1099="Congé sans solde",D1099="Férié"),"",IF(O1099-K1099-L1099&gt;O1099,O1099,IF(O1099-K1099-L1099&lt;0,"",O1099-K1099-L1099))),"")</f>
        <v>0.333333333333333</v>
      </c>
      <c r="O1099" s="8" t="n">
        <f aca="false">IF(AG1099="2H Pause déjeuner",IF(F1099-D1099-0.0833333333333333&lt;0,F1099-D1099-0.0833333333333333+1,F1099-D1099-0.0833333333333333),IF(OR(AND(F1099="OFF",D1099="OFF"),AND(F1099="Congé",D1099="Congé"),AND(F1099="Congé sans solde",D1099="Congé sans solde"),AND(F1099="Congé spécial",D1099="Congé spécial"),AND(F1099="Férié",D1099="Férié"),AND(F1099="OFF",D1099="Congé"),AND(F1099="OFF",D1099="Congé sans solde"),AND(F1099="OFF",D1099="Congé spécial"),AND(F1099="OFF",D1099="Férié"),AND(F1099="Congé",D1099="OFF"),AND(F1099="Congé",D1099="Congé sans solde"),AND(F1099="Congé",D1099="Congé spécial"),AND(F1099="Congé",D1099="Férié"),AND(F1099="Congé sans solde",D1099="OFF"),AND(F1099="Congé sans solde",D1099="Congé"),AND(F1099="Congé sans solde",D1099="Congé spécial"),AND(F1099="Congé sans solde",D1099="Férié"),AND(F1099="Congé spécial",D1099="OFF"),AND(F1099="Congé spécial",D1099="Congé"),AND(F1099="Congé spécial",D1099="Congé sans solde"),AND(F1099="Congé spécial",D1099="Férié"),AND(F1099="Férié",D1099="OFF"),AND(F1099="Férié",D1099="Congé"),AND(F1099="Férié",D1099="Congé sans solde"),AND(F1099="Férié",D1099="Congé spécial")),0,IF(OR(F1099="OFF",F1099="Congé",F1099="Congé spécial",F1099="Congé sans solde",D1099="OFF",D1099="Congé",D1099="Congé spécial",D1099="Congé sans solde"),0.208333333333334,IF(AND(AG1099="",F1099-D1099&lt;0),("24:00:00"-D1099)+("00:00:00"+F1099)-0.0416666666666667,IF(AND(OR(AG1099="Allaitement",AG1099="Sans déjeuner"),F1099-D1099&lt;0),("24:00:00"-D1099)+("00:00:00"+F1099),IF(AND(AG1099="",F1099-D1099&gt;0.166666666666667),F1099-D1099-0.0416666666666667,IF(AND(OR(AG1099="Allaitement",AG1099="Sans déjeuner"),F1099-D1099&gt;0.166666666666667),F1099-D1099,F1099-D1099)))))))</f>
        <v>0.333333333333333</v>
      </c>
      <c r="P1099" s="6" t="str">
        <f aca="false">IFERROR(VLOOKUP($B1099,Agents!$A:$D,2,0),"-")</f>
        <v>Accessibilité</v>
      </c>
      <c r="Q1099" s="21" t="n">
        <v>46297</v>
      </c>
      <c r="R1099" s="8" t="n">
        <f aca="false">IF(M1099="Abs",O1099,0)</f>
        <v>0</v>
      </c>
      <c r="S1099" s="8" t="n">
        <f aca="false">SUM(R1099,L1099,I1099,J1099,W1099,H1099)</f>
        <v>0</v>
      </c>
      <c r="T1099" s="6" t="str">
        <f aca="false">"Sem - "&amp;WEEKNUM(Q1099,21)</f>
        <v>Sem - 40</v>
      </c>
      <c r="U1099" s="6" t="str">
        <f aca="false">CHOOSE(MONTH(Q1099),"Janvier","Février","Mars","Avril","Mai","Juin","Juillet","Août","Septembre","Octobre","Novembre","Décembre")</f>
        <v>Octobre</v>
      </c>
      <c r="V1099" s="22" t="n">
        <f aca="false">YEAR(Q1099)</f>
        <v>2026</v>
      </c>
      <c r="W1099" s="20"/>
      <c r="X1099" s="8" t="n">
        <f aca="false">IFERROR(IF(M1099="Abs",0,IF(ROUND((D1099-C1099+E1099-F1099)*1440,0)&lt;=1,0,D1099-C1099+E1099-F1099)),0)</f>
        <v>0</v>
      </c>
      <c r="Y1099" s="6" t="str">
        <f aca="false">IFERROR(VLOOKUP($B1099,Agents!$A:$D,3,0),"-")</f>
        <v>OUBRAHIM Mohammed</v>
      </c>
      <c r="Z1099" s="6" t="str">
        <f aca="false">IFERROR(VLOOKUP($B1099,Agents!$A:$D,4,0),"-")</f>
        <v>Credit Mutuel</v>
      </c>
      <c r="AA1099" s="18" t="s">
        <v>122</v>
      </c>
      <c r="AB1099" s="8" t="str">
        <f aca="false">IF(AND(D1099="Congé",F1099="Congé"),0.333333333333333,IF(OR(AND(D1099="Congé",F1099&lt;&gt;"Congé"),(AND(F1099="Congé",D1099&lt;&gt;"Congé"))),0.166666666666667,""))</f>
        <v/>
      </c>
      <c r="AC1099" s="8" t="str">
        <f aca="false">IF(AND(D1099="Congé sans solde",F1099="Congé sans solde"),0.333333333333333,IF(OR(AND(D1099="Congé sans solde",F1099&lt;&gt;"Congé sans solde"),(AND(F1099="Congé sans solde",D1099&lt;&gt;"Congé sans solde"))),0.166666666666667,""))</f>
        <v/>
      </c>
      <c r="AD1099" s="8" t="str">
        <f aca="false">IF(AND(D1099="Congé spécial",F1099="Congé spécial"),0.333333333333333,IF(OR(AND(D1099="Congé spécial",F1099&lt;&gt;"Congé spécial"),AND(F1099="Congé spécial",D1099&lt;&gt;"Congé spécial")),0.166666666666667,""))</f>
        <v/>
      </c>
      <c r="AE1099" s="8" t="str">
        <f aca="false">IF(AND(D1099="Férié",F1099="Férié"),0.333333333333333,IF(OR(AND(D1099="Férié",F1099&lt;&gt;"Férié"),(AND(F1099="Férié",D1099&lt;&gt;"Férié"))),0.166666666666667,""))</f>
        <v/>
      </c>
      <c r="AF1099" s="18"/>
      <c r="AG1099" s="18"/>
    </row>
    <row r="1100" customFormat="false" ht="15" hidden="false" customHeight="false" outlineLevel="0" collapsed="false">
      <c r="A1100" s="6" t="str">
        <f aca="false">YEAR(Q1100-WEEKDAY(Q1100,2)+4)&amp;"-S"&amp;TEXT(WEEKNUM(Q1100,21),"00")</f>
        <v>2026-S40</v>
      </c>
      <c r="B1100" s="18" t="s">
        <v>72</v>
      </c>
      <c r="C1100" s="19" t="n">
        <v>0.333333333333333</v>
      </c>
      <c r="D1100" s="19" t="n">
        <v>0.333333333333333</v>
      </c>
      <c r="E1100" s="19" t="n">
        <v>0.708333333333333</v>
      </c>
      <c r="F1100" s="19" t="n">
        <v>0.708333333333333</v>
      </c>
      <c r="G1100" s="20"/>
      <c r="H1100" s="20"/>
      <c r="I1100" s="8" t="str">
        <f aca="false">IF(IF(OR(C1100="",D1100="Congé",D1100="OFF",D1100="Congé spécial"),"",IF(D1100&gt;F1100,D1100-C1100,IF(C1100-D1100&lt;0,0,C1100-D1100)))&lt;0.00068287037037037,"",IF(OR(D1100="Congé",D1100="OFF",C1100="",D1100="Congé spécial"),"",IF(D1100&gt;F1100,D1100-C1100,IF(C1100-D1100&lt;0,0,C1100-D1100))))</f>
        <v/>
      </c>
      <c r="J1100" s="20"/>
      <c r="K1100" s="8" t="n">
        <f aca="false">IF(SUM(H1100:J1100)&lt;0.00068287037037037,0,SUM(H1100:J1100))</f>
        <v>0</v>
      </c>
      <c r="L1100" s="8" t="n">
        <f aca="false">IF(OR(F1100="Congé",F1100="OFF",M1100="Abs",F1100="Congé sans solde",F1100="Férié",F1100="Congé spécial",D1100="Congé spécial"),0,IF(F1100-E1100&lt;0,0,IF(F1100-E1100&lt;=0.00068287037037037,0,F1100-E1100)))</f>
        <v>0</v>
      </c>
      <c r="M1100" s="6" t="n">
        <f aca="false">IF(AND(O1100&lt;&gt;0,C1100=""),"Abs",0)</f>
        <v>0</v>
      </c>
      <c r="N1100" s="8" t="n">
        <f aca="false">IFERROR(IF(OR(D1100="OFF",D1100="Congé",M1100="Abs",D1100="Congé sans solde",D1100="Férié"),"",IF(O1100-K1100-L1100&gt;O1100,O1100,IF(O1100-K1100-L1100&lt;0,"",O1100-K1100-L1100))),"")</f>
        <v>0.333333333333333</v>
      </c>
      <c r="O1100" s="8" t="n">
        <f aca="false">IF(AG1100="2H Pause déjeuner",IF(F1100-D1100-0.0833333333333333&lt;0,F1100-D1100-0.0833333333333333+1,F1100-D1100-0.0833333333333333),IF(OR(AND(F1100="OFF",D1100="OFF"),AND(F1100="Congé",D1100="Congé"),AND(F1100="Congé sans solde",D1100="Congé sans solde"),AND(F1100="Congé spécial",D1100="Congé spécial"),AND(F1100="Férié",D1100="Férié"),AND(F1100="OFF",D1100="Congé"),AND(F1100="OFF",D1100="Congé sans solde"),AND(F1100="OFF",D1100="Congé spécial"),AND(F1100="OFF",D1100="Férié"),AND(F1100="Congé",D1100="OFF"),AND(F1100="Congé",D1100="Congé sans solde"),AND(F1100="Congé",D1100="Congé spécial"),AND(F1100="Congé",D1100="Férié"),AND(F1100="Congé sans solde",D1100="OFF"),AND(F1100="Congé sans solde",D1100="Congé"),AND(F1100="Congé sans solde",D1100="Congé spécial"),AND(F1100="Congé sans solde",D1100="Férié"),AND(F1100="Congé spécial",D1100="OFF"),AND(F1100="Congé spécial",D1100="Congé"),AND(F1100="Congé spécial",D1100="Congé sans solde"),AND(F1100="Congé spécial",D1100="Férié"),AND(F1100="Férié",D1100="OFF"),AND(F1100="Férié",D1100="Congé"),AND(F1100="Férié",D1100="Congé sans solde"),AND(F1100="Férié",D1100="Congé spécial")),0,IF(OR(F1100="OFF",F1100="Congé",F1100="Congé spécial",F1100="Congé sans solde",D1100="OFF",D1100="Congé",D1100="Congé spécial",D1100="Congé sans solde"),0.208333333333334,IF(AND(AG1100="",F1100-D1100&lt;0),("24:00:00"-D1100)+("00:00:00"+F1100)-0.0416666666666667,IF(AND(OR(AG1100="Allaitement",AG1100="Sans déjeuner"),F1100-D1100&lt;0),("24:00:00"-D1100)+("00:00:00"+F1100),IF(AND(AG1100="",F1100-D1100&gt;0.166666666666667),F1100-D1100-0.0416666666666667,IF(AND(OR(AG1100="Allaitement",AG1100="Sans déjeuner"),F1100-D1100&gt;0.166666666666667),F1100-D1100,F1100-D1100)))))))</f>
        <v>0.333333333333333</v>
      </c>
      <c r="P1100" s="6" t="str">
        <f aca="false">IFERROR(VLOOKUP($B1100,Agents!$A:$D,2,0),"-")</f>
        <v>Accessibilité</v>
      </c>
      <c r="Q1100" s="21" t="n">
        <v>46297</v>
      </c>
      <c r="R1100" s="8" t="n">
        <f aca="false">IF(M1100="Abs",O1100,0)</f>
        <v>0</v>
      </c>
      <c r="S1100" s="8" t="n">
        <f aca="false">SUM(R1100,L1100,I1100,J1100,W1100,H1100)</f>
        <v>0</v>
      </c>
      <c r="T1100" s="6" t="str">
        <f aca="false">"Sem - "&amp;WEEKNUM(Q1100,21)</f>
        <v>Sem - 40</v>
      </c>
      <c r="U1100" s="6" t="str">
        <f aca="false">CHOOSE(MONTH(Q1100),"Janvier","Février","Mars","Avril","Mai","Juin","Juillet","Août","Septembre","Octobre","Novembre","Décembre")</f>
        <v>Octobre</v>
      </c>
      <c r="V1100" s="22" t="n">
        <f aca="false">YEAR(Q1100)</f>
        <v>2026</v>
      </c>
      <c r="W1100" s="20"/>
      <c r="X1100" s="8" t="n">
        <f aca="false">IFERROR(IF(M1100="Abs",0,IF(ROUND((D1100-C1100+E1100-F1100)*1440,0)&lt;=1,0,D1100-C1100+E1100-F1100)),0)</f>
        <v>0</v>
      </c>
      <c r="Y1100" s="6" t="str">
        <f aca="false">IFERROR(VLOOKUP($B1100,Agents!$A:$D,3,0),"-")</f>
        <v>OUBRAHIM Mohammed</v>
      </c>
      <c r="Z1100" s="6" t="str">
        <f aca="false">IFERROR(VLOOKUP($B1100,Agents!$A:$D,4,0),"-")</f>
        <v>Credit Mutuel</v>
      </c>
      <c r="AA1100" s="18" t="s">
        <v>122</v>
      </c>
      <c r="AB1100" s="8" t="str">
        <f aca="false">IF(AND(D1100="Congé",F1100="Congé"),0.333333333333333,IF(OR(AND(D1100="Congé",F1100&lt;&gt;"Congé"),(AND(F1100="Congé",D1100&lt;&gt;"Congé"))),0.166666666666667,""))</f>
        <v/>
      </c>
      <c r="AC1100" s="8" t="str">
        <f aca="false">IF(AND(D1100="Congé sans solde",F1100="Congé sans solde"),0.333333333333333,IF(OR(AND(D1100="Congé sans solde",F1100&lt;&gt;"Congé sans solde"),(AND(F1100="Congé sans solde",D1100&lt;&gt;"Congé sans solde"))),0.166666666666667,""))</f>
        <v/>
      </c>
      <c r="AD1100" s="8" t="str">
        <f aca="false">IF(AND(D1100="Congé spécial",F1100="Congé spécial"),0.333333333333333,IF(OR(AND(D1100="Congé spécial",F1100&lt;&gt;"Congé spécial"),AND(F1100="Congé spécial",D1100&lt;&gt;"Congé spécial")),0.166666666666667,""))</f>
        <v/>
      </c>
      <c r="AE1100" s="8" t="str">
        <f aca="false">IF(AND(D1100="Férié",F1100="Férié"),0.333333333333333,IF(OR(AND(D1100="Férié",F1100&lt;&gt;"Férié"),(AND(F1100="Férié",D1100&lt;&gt;"Férié"))),0.166666666666667,""))</f>
        <v/>
      </c>
      <c r="AF1100" s="18"/>
      <c r="AG1100" s="18"/>
    </row>
    <row r="1101" customFormat="false" ht="15" hidden="false" customHeight="false" outlineLevel="0" collapsed="false">
      <c r="A1101" s="6" t="str">
        <f aca="false">YEAR(Q1101-WEEKDAY(Q1101,2)+4)&amp;"-S"&amp;TEXT(WEEKNUM(Q1101,21),"00")</f>
        <v>2026-S40</v>
      </c>
      <c r="B1101" s="18" t="s">
        <v>73</v>
      </c>
      <c r="C1101" s="19" t="n">
        <v>0.333333333333333</v>
      </c>
      <c r="D1101" s="19" t="n">
        <v>0.333333333333333</v>
      </c>
      <c r="E1101" s="19" t="n">
        <v>0.708333333333333</v>
      </c>
      <c r="F1101" s="19" t="n">
        <v>0.708333333333333</v>
      </c>
      <c r="G1101" s="20"/>
      <c r="H1101" s="20"/>
      <c r="I1101" s="8" t="str">
        <f aca="false">IF(IF(OR(C1101="",D1101="Congé",D1101="OFF",D1101="Congé spécial"),"",IF(D1101&gt;F1101,D1101-C1101,IF(C1101-D1101&lt;0,0,C1101-D1101)))&lt;0.00068287037037037,"",IF(OR(D1101="Congé",D1101="OFF",C1101="",D1101="Congé spécial"),"",IF(D1101&gt;F1101,D1101-C1101,IF(C1101-D1101&lt;0,0,C1101-D1101))))</f>
        <v/>
      </c>
      <c r="J1101" s="20"/>
      <c r="K1101" s="8" t="n">
        <f aca="false">IF(SUM(H1101:J1101)&lt;0.00068287037037037,0,SUM(H1101:J1101))</f>
        <v>0</v>
      </c>
      <c r="L1101" s="8" t="n">
        <f aca="false">IF(OR(F1101="Congé",F1101="OFF",M1101="Abs",F1101="Congé sans solde",F1101="Férié",F1101="Congé spécial",D1101="Congé spécial"),0,IF(F1101-E1101&lt;0,0,IF(F1101-E1101&lt;=0.00068287037037037,0,F1101-E1101)))</f>
        <v>0</v>
      </c>
      <c r="M1101" s="6" t="n">
        <f aca="false">IF(AND(O1101&lt;&gt;0,C1101=""),"Abs",0)</f>
        <v>0</v>
      </c>
      <c r="N1101" s="8" t="n">
        <f aca="false">IFERROR(IF(OR(D1101="OFF",D1101="Congé",M1101="Abs",D1101="Congé sans solde",D1101="Férié"),"",IF(O1101-K1101-L1101&gt;O1101,O1101,IF(O1101-K1101-L1101&lt;0,"",O1101-K1101-L1101))),"")</f>
        <v>0.333333333333333</v>
      </c>
      <c r="O1101" s="8" t="n">
        <f aca="false">IF(AG1101="2H Pause déjeuner",IF(F1101-D1101-0.0833333333333333&lt;0,F1101-D1101-0.0833333333333333+1,F1101-D1101-0.0833333333333333),IF(OR(AND(F1101="OFF",D1101="OFF"),AND(F1101="Congé",D1101="Congé"),AND(F1101="Congé sans solde",D1101="Congé sans solde"),AND(F1101="Congé spécial",D1101="Congé spécial"),AND(F1101="Férié",D1101="Férié"),AND(F1101="OFF",D1101="Congé"),AND(F1101="OFF",D1101="Congé sans solde"),AND(F1101="OFF",D1101="Congé spécial"),AND(F1101="OFF",D1101="Férié"),AND(F1101="Congé",D1101="OFF"),AND(F1101="Congé",D1101="Congé sans solde"),AND(F1101="Congé",D1101="Congé spécial"),AND(F1101="Congé",D1101="Férié"),AND(F1101="Congé sans solde",D1101="OFF"),AND(F1101="Congé sans solde",D1101="Congé"),AND(F1101="Congé sans solde",D1101="Congé spécial"),AND(F1101="Congé sans solde",D1101="Férié"),AND(F1101="Congé spécial",D1101="OFF"),AND(F1101="Congé spécial",D1101="Congé"),AND(F1101="Congé spécial",D1101="Congé sans solde"),AND(F1101="Congé spécial",D1101="Férié"),AND(F1101="Férié",D1101="OFF"),AND(F1101="Férié",D1101="Congé"),AND(F1101="Férié",D1101="Congé sans solde"),AND(F1101="Férié",D1101="Congé spécial")),0,IF(OR(F1101="OFF",F1101="Congé",F1101="Congé spécial",F1101="Congé sans solde",D1101="OFF",D1101="Congé",D1101="Congé spécial",D1101="Congé sans solde"),0.208333333333334,IF(AND(AG1101="",F1101-D1101&lt;0),("24:00:00"-D1101)+("00:00:00"+F1101)-0.0416666666666667,IF(AND(OR(AG1101="Allaitement",AG1101="Sans déjeuner"),F1101-D1101&lt;0),("24:00:00"-D1101)+("00:00:00"+F1101),IF(AND(AG1101="",F1101-D1101&gt;0.166666666666667),F1101-D1101-0.0416666666666667,IF(AND(OR(AG1101="Allaitement",AG1101="Sans déjeuner"),F1101-D1101&gt;0.166666666666667),F1101-D1101,F1101-D1101)))))))</f>
        <v>0.333333333333333</v>
      </c>
      <c r="P1101" s="6" t="str">
        <f aca="false">IFERROR(VLOOKUP($B1101,Agents!$A:$D,2,0),"-")</f>
        <v>Accessibilité</v>
      </c>
      <c r="Q1101" s="21" t="n">
        <v>46297</v>
      </c>
      <c r="R1101" s="8" t="n">
        <f aca="false">IF(M1101="Abs",O1101,0)</f>
        <v>0</v>
      </c>
      <c r="S1101" s="8" t="n">
        <f aca="false">SUM(R1101,L1101,I1101,J1101,W1101,H1101)</f>
        <v>0</v>
      </c>
      <c r="T1101" s="6" t="str">
        <f aca="false">"Sem - "&amp;WEEKNUM(Q1101,21)</f>
        <v>Sem - 40</v>
      </c>
      <c r="U1101" s="6" t="str">
        <f aca="false">CHOOSE(MONTH(Q1101),"Janvier","Février","Mars","Avril","Mai","Juin","Juillet","Août","Septembre","Octobre","Novembre","Décembre")</f>
        <v>Octobre</v>
      </c>
      <c r="V1101" s="22" t="n">
        <f aca="false">YEAR(Q1101)</f>
        <v>2026</v>
      </c>
      <c r="W1101" s="20"/>
      <c r="X1101" s="8" t="n">
        <f aca="false">IFERROR(IF(M1101="Abs",0,IF(ROUND((D1101-C1101+E1101-F1101)*1440,0)&lt;=1,0,D1101-C1101+E1101-F1101)),0)</f>
        <v>0</v>
      </c>
      <c r="Y1101" s="6" t="str">
        <f aca="false">IFERROR(VLOOKUP($B1101,Agents!$A:$D,3,0),"-")</f>
        <v>OUBRAHIM Mohammed</v>
      </c>
      <c r="Z1101" s="6" t="str">
        <f aca="false">IFERROR(VLOOKUP($B1101,Agents!$A:$D,4,0),"-")</f>
        <v>Credit Mutuel</v>
      </c>
      <c r="AA1101" s="18" t="s">
        <v>122</v>
      </c>
      <c r="AB1101" s="8" t="str">
        <f aca="false">IF(AND(D1101="Congé",F1101="Congé"),0.333333333333333,IF(OR(AND(D1101="Congé",F1101&lt;&gt;"Congé"),(AND(F1101="Congé",D1101&lt;&gt;"Congé"))),0.166666666666667,""))</f>
        <v/>
      </c>
      <c r="AC1101" s="8" t="str">
        <f aca="false">IF(AND(D1101="Congé sans solde",F1101="Congé sans solde"),0.333333333333333,IF(OR(AND(D1101="Congé sans solde",F1101&lt;&gt;"Congé sans solde"),(AND(F1101="Congé sans solde",D1101&lt;&gt;"Congé sans solde"))),0.166666666666667,""))</f>
        <v/>
      </c>
      <c r="AD1101" s="8" t="str">
        <f aca="false">IF(AND(D1101="Congé spécial",F1101="Congé spécial"),0.333333333333333,IF(OR(AND(D1101="Congé spécial",F1101&lt;&gt;"Congé spécial"),AND(F1101="Congé spécial",D1101&lt;&gt;"Congé spécial")),0.166666666666667,""))</f>
        <v/>
      </c>
      <c r="AE1101" s="8" t="str">
        <f aca="false">IF(AND(D1101="Férié",F1101="Férié"),0.333333333333333,IF(OR(AND(D1101="Férié",F1101&lt;&gt;"Férié"),(AND(F1101="Férié",D1101&lt;&gt;"Férié"))),0.166666666666667,""))</f>
        <v/>
      </c>
      <c r="AF1101" s="18"/>
      <c r="AG1101" s="18"/>
    </row>
    <row r="1102" customFormat="false" ht="15" hidden="false" customHeight="false" outlineLevel="0" collapsed="false">
      <c r="A1102" s="6" t="str">
        <f aca="false">YEAR(Q1102-WEEKDAY(Q1102,2)+4)&amp;"-S"&amp;TEXT(WEEKNUM(Q1102,21),"00")</f>
        <v>2026-S40</v>
      </c>
      <c r="B1102" s="18" t="s">
        <v>71</v>
      </c>
      <c r="C1102" s="19"/>
      <c r="D1102" s="19" t="s">
        <v>74</v>
      </c>
      <c r="E1102" s="19"/>
      <c r="F1102" s="19" t="s">
        <v>74</v>
      </c>
      <c r="G1102" s="20"/>
      <c r="H1102" s="20"/>
      <c r="I1102" s="8" t="str">
        <f aca="false">IF(IF(OR(C1102="",D1102="Congé",D1102="OFF",D1102="Congé spécial"),"",IF(D1102&gt;F1102,D1102-C1102,IF(C1102-D1102&lt;0,0,C1102-D1102)))&lt;0.00068287037037037,"",IF(OR(D1102="Congé",D1102="OFF",C1102="",D1102="Congé spécial"),"",IF(D1102&gt;F1102,D1102-C1102,IF(C1102-D1102&lt;0,0,C1102-D1102))))</f>
        <v/>
      </c>
      <c r="J1102" s="20"/>
      <c r="K1102" s="8" t="n">
        <f aca="false">IF(SUM(H1102:J1102)&lt;0.00068287037037037,0,SUM(H1102:J1102))</f>
        <v>0</v>
      </c>
      <c r="L1102" s="8" t="n">
        <f aca="false">IF(OR(F1102="Congé",F1102="OFF",M1102="Abs",F1102="Congé sans solde",F1102="Férié",F1102="Congé spécial",D1102="Congé spécial"),0,IF(F1102-E1102&lt;0,0,IF(F1102-E1102&lt;=0.00068287037037037,0,F1102-E1102)))</f>
        <v>0</v>
      </c>
      <c r="M1102" s="6" t="n">
        <f aca="false">IF(AND(O1102&lt;&gt;0,C1102=""),"Abs",0)</f>
        <v>0</v>
      </c>
      <c r="N1102" s="8" t="str">
        <f aca="false">IFERROR(IF(OR(D1102="OFF",D1102="Congé",M1102="Abs",D1102="Congé sans solde",D1102="Férié"),"",IF(O1102-K1102-L1102&gt;O1102,O1102,IF(O1102-K1102-L1102&lt;0,"",O1102-K1102-L1102))),"")</f>
        <v/>
      </c>
      <c r="O1102" s="8" t="n">
        <f aca="false">IF(AG1102="2H Pause déjeuner",IF(F1102-D1102-0.0833333333333333&lt;0,F1102-D1102-0.0833333333333333+1,F1102-D1102-0.0833333333333333),IF(OR(AND(F1102="OFF",D1102="OFF"),AND(F1102="Congé",D1102="Congé"),AND(F1102="Congé sans solde",D1102="Congé sans solde"),AND(F1102="Congé spécial",D1102="Congé spécial"),AND(F1102="Férié",D1102="Férié"),AND(F1102="OFF",D1102="Congé"),AND(F1102="OFF",D1102="Congé sans solde"),AND(F1102="OFF",D1102="Congé spécial"),AND(F1102="OFF",D1102="Férié"),AND(F1102="Congé",D1102="OFF"),AND(F1102="Congé",D1102="Congé sans solde"),AND(F1102="Congé",D1102="Congé spécial"),AND(F1102="Congé",D1102="Férié"),AND(F1102="Congé sans solde",D1102="OFF"),AND(F1102="Congé sans solde",D1102="Congé"),AND(F1102="Congé sans solde",D1102="Congé spécial"),AND(F1102="Congé sans solde",D1102="Férié"),AND(F1102="Congé spécial",D1102="OFF"),AND(F1102="Congé spécial",D1102="Congé"),AND(F1102="Congé spécial",D1102="Congé sans solde"),AND(F1102="Congé spécial",D1102="Férié"),AND(F1102="Férié",D1102="OFF"),AND(F1102="Férié",D1102="Congé"),AND(F1102="Férié",D1102="Congé sans solde"),AND(F1102="Férié",D1102="Congé spécial")),0,IF(OR(F1102="OFF",F1102="Congé",F1102="Congé spécial",F1102="Congé sans solde",D1102="OFF",D1102="Congé",D1102="Congé spécial",D1102="Congé sans solde"),0.208333333333334,IF(AND(AG1102="",F1102-D1102&lt;0),("24:00:00"-D1102)+("00:00:00"+F1102)-0.0416666666666667,IF(AND(OR(AG1102="Allaitement",AG1102="Sans déjeuner"),F1102-D1102&lt;0),("24:00:00"-D1102)+("00:00:00"+F1102),IF(AND(AG1102="",F1102-D1102&gt;0.166666666666667),F1102-D1102-0.0416666666666667,IF(AND(OR(AG1102="Allaitement",AG1102="Sans déjeuner"),F1102-D1102&gt;0.166666666666667),F1102-D1102,F1102-D1102)))))))</f>
        <v>0</v>
      </c>
      <c r="P1102" s="6" t="str">
        <f aca="false">IFERROR(VLOOKUP($B1102,Agents!$A:$D,2,0),"-")</f>
        <v>Accessibilité</v>
      </c>
      <c r="Q1102" s="21" t="n">
        <v>46298</v>
      </c>
      <c r="R1102" s="8" t="n">
        <f aca="false">IF(M1102="Abs",O1102,0)</f>
        <v>0</v>
      </c>
      <c r="S1102" s="8" t="n">
        <f aca="false">SUM(R1102,L1102,I1102,J1102,W1102,H1102)</f>
        <v>0</v>
      </c>
      <c r="T1102" s="6" t="str">
        <f aca="false">"Sem - "&amp;WEEKNUM(Q1102,21)</f>
        <v>Sem - 40</v>
      </c>
      <c r="U1102" s="6" t="str">
        <f aca="false">CHOOSE(MONTH(Q1102),"Janvier","Février","Mars","Avril","Mai","Juin","Juillet","Août","Septembre","Octobre","Novembre","Décembre")</f>
        <v>Octobre</v>
      </c>
      <c r="V1102" s="22" t="n">
        <f aca="false">YEAR(Q1102)</f>
        <v>2026</v>
      </c>
      <c r="W1102" s="20"/>
      <c r="X1102" s="8" t="n">
        <f aca="false">IFERROR(IF(M1102="Abs",0,IF(ROUND((D1102-C1102+E1102-F1102)*1440,0)&lt;=1,0,D1102-C1102+E1102-F1102)),0)</f>
        <v>0</v>
      </c>
      <c r="Y1102" s="6" t="str">
        <f aca="false">IFERROR(VLOOKUP($B1102,Agents!$A:$D,3,0),"-")</f>
        <v>OUBRAHIM Mohammed</v>
      </c>
      <c r="Z1102" s="6" t="str">
        <f aca="false">IFERROR(VLOOKUP($B1102,Agents!$A:$D,4,0),"-")</f>
        <v>Credit Mutuel</v>
      </c>
      <c r="AA1102" s="18" t="s">
        <v>122</v>
      </c>
      <c r="AB1102" s="8" t="str">
        <f aca="false">IF(AND(D1102="Congé",F1102="Congé"),0.333333333333333,IF(OR(AND(D1102="Congé",F1102&lt;&gt;"Congé"),(AND(F1102="Congé",D1102&lt;&gt;"Congé"))),0.166666666666667,""))</f>
        <v/>
      </c>
      <c r="AC1102" s="8" t="str">
        <f aca="false">IF(AND(D1102="Congé sans solde",F1102="Congé sans solde"),0.333333333333333,IF(OR(AND(D1102="Congé sans solde",F1102&lt;&gt;"Congé sans solde"),(AND(F1102="Congé sans solde",D1102&lt;&gt;"Congé sans solde"))),0.166666666666667,""))</f>
        <v/>
      </c>
      <c r="AD1102" s="8" t="str">
        <f aca="false">IF(AND(D1102="Congé spécial",F1102="Congé spécial"),0.333333333333333,IF(OR(AND(D1102="Congé spécial",F1102&lt;&gt;"Congé spécial"),AND(F1102="Congé spécial",D1102&lt;&gt;"Congé spécial")),0.166666666666667,""))</f>
        <v/>
      </c>
      <c r="AE1102" s="8" t="str">
        <f aca="false">IF(AND(D1102="Férié",F1102="Férié"),0.333333333333333,IF(OR(AND(D1102="Férié",F1102&lt;&gt;"Férié"),(AND(F1102="Férié",D1102&lt;&gt;"Férié"))),0.166666666666667,""))</f>
        <v/>
      </c>
      <c r="AF1102" s="18"/>
      <c r="AG1102" s="18"/>
    </row>
    <row r="1103" customFormat="false" ht="15" hidden="false" customHeight="false" outlineLevel="0" collapsed="false">
      <c r="A1103" s="6" t="str">
        <f aca="false">YEAR(Q1103-WEEKDAY(Q1103,2)+4)&amp;"-S"&amp;TEXT(WEEKNUM(Q1103,21),"00")</f>
        <v>2026-S40</v>
      </c>
      <c r="B1103" s="18" t="s">
        <v>72</v>
      </c>
      <c r="C1103" s="19"/>
      <c r="D1103" s="19" t="s">
        <v>74</v>
      </c>
      <c r="E1103" s="19"/>
      <c r="F1103" s="19" t="s">
        <v>74</v>
      </c>
      <c r="G1103" s="20"/>
      <c r="H1103" s="20"/>
      <c r="I1103" s="8" t="str">
        <f aca="false">IF(IF(OR(C1103="",D1103="Congé",D1103="OFF",D1103="Congé spécial"),"",IF(D1103&gt;F1103,D1103-C1103,IF(C1103-D1103&lt;0,0,C1103-D1103)))&lt;0.00068287037037037,"",IF(OR(D1103="Congé",D1103="OFF",C1103="",D1103="Congé spécial"),"",IF(D1103&gt;F1103,D1103-C1103,IF(C1103-D1103&lt;0,0,C1103-D1103))))</f>
        <v/>
      </c>
      <c r="J1103" s="20"/>
      <c r="K1103" s="8" t="n">
        <f aca="false">IF(SUM(H1103:J1103)&lt;0.00068287037037037,0,SUM(H1103:J1103))</f>
        <v>0</v>
      </c>
      <c r="L1103" s="8" t="n">
        <f aca="false">IF(OR(F1103="Congé",F1103="OFF",M1103="Abs",F1103="Congé sans solde",F1103="Férié",F1103="Congé spécial",D1103="Congé spécial"),0,IF(F1103-E1103&lt;0,0,IF(F1103-E1103&lt;=0.00068287037037037,0,F1103-E1103)))</f>
        <v>0</v>
      </c>
      <c r="M1103" s="6" t="n">
        <f aca="false">IF(AND(O1103&lt;&gt;0,C1103=""),"Abs",0)</f>
        <v>0</v>
      </c>
      <c r="N1103" s="8" t="str">
        <f aca="false">IFERROR(IF(OR(D1103="OFF",D1103="Congé",M1103="Abs",D1103="Congé sans solde",D1103="Férié"),"",IF(O1103-K1103-L1103&gt;O1103,O1103,IF(O1103-K1103-L1103&lt;0,"",O1103-K1103-L1103))),"")</f>
        <v/>
      </c>
      <c r="O1103" s="8" t="n">
        <f aca="false">IF(AG1103="2H Pause déjeuner",IF(F1103-D1103-0.0833333333333333&lt;0,F1103-D1103-0.0833333333333333+1,F1103-D1103-0.0833333333333333),IF(OR(AND(F1103="OFF",D1103="OFF"),AND(F1103="Congé",D1103="Congé"),AND(F1103="Congé sans solde",D1103="Congé sans solde"),AND(F1103="Congé spécial",D1103="Congé spécial"),AND(F1103="Férié",D1103="Férié"),AND(F1103="OFF",D1103="Congé"),AND(F1103="OFF",D1103="Congé sans solde"),AND(F1103="OFF",D1103="Congé spécial"),AND(F1103="OFF",D1103="Férié"),AND(F1103="Congé",D1103="OFF"),AND(F1103="Congé",D1103="Congé sans solde"),AND(F1103="Congé",D1103="Congé spécial"),AND(F1103="Congé",D1103="Férié"),AND(F1103="Congé sans solde",D1103="OFF"),AND(F1103="Congé sans solde",D1103="Congé"),AND(F1103="Congé sans solde",D1103="Congé spécial"),AND(F1103="Congé sans solde",D1103="Férié"),AND(F1103="Congé spécial",D1103="OFF"),AND(F1103="Congé spécial",D1103="Congé"),AND(F1103="Congé spécial",D1103="Congé sans solde"),AND(F1103="Congé spécial",D1103="Férié"),AND(F1103="Férié",D1103="OFF"),AND(F1103="Férié",D1103="Congé"),AND(F1103="Férié",D1103="Congé sans solde"),AND(F1103="Férié",D1103="Congé spécial")),0,IF(OR(F1103="OFF",F1103="Congé",F1103="Congé spécial",F1103="Congé sans solde",D1103="OFF",D1103="Congé",D1103="Congé spécial",D1103="Congé sans solde"),0.208333333333334,IF(AND(AG1103="",F1103-D1103&lt;0),("24:00:00"-D1103)+("00:00:00"+F1103)-0.0416666666666667,IF(AND(OR(AG1103="Allaitement",AG1103="Sans déjeuner"),F1103-D1103&lt;0),("24:00:00"-D1103)+("00:00:00"+F1103),IF(AND(AG1103="",F1103-D1103&gt;0.166666666666667),F1103-D1103-0.0416666666666667,IF(AND(OR(AG1103="Allaitement",AG1103="Sans déjeuner"),F1103-D1103&gt;0.166666666666667),F1103-D1103,F1103-D1103)))))))</f>
        <v>0</v>
      </c>
      <c r="P1103" s="6" t="str">
        <f aca="false">IFERROR(VLOOKUP($B1103,Agents!$A:$D,2,0),"-")</f>
        <v>Accessibilité</v>
      </c>
      <c r="Q1103" s="21" t="n">
        <v>46298</v>
      </c>
      <c r="R1103" s="8" t="n">
        <f aca="false">IF(M1103="Abs",O1103,0)</f>
        <v>0</v>
      </c>
      <c r="S1103" s="8" t="n">
        <f aca="false">SUM(R1103,L1103,I1103,J1103,W1103,H1103)</f>
        <v>0</v>
      </c>
      <c r="T1103" s="6" t="str">
        <f aca="false">"Sem - "&amp;WEEKNUM(Q1103,21)</f>
        <v>Sem - 40</v>
      </c>
      <c r="U1103" s="6" t="str">
        <f aca="false">CHOOSE(MONTH(Q1103),"Janvier","Février","Mars","Avril","Mai","Juin","Juillet","Août","Septembre","Octobre","Novembre","Décembre")</f>
        <v>Octobre</v>
      </c>
      <c r="V1103" s="22" t="n">
        <f aca="false">YEAR(Q1103)</f>
        <v>2026</v>
      </c>
      <c r="W1103" s="20"/>
      <c r="X1103" s="8" t="n">
        <f aca="false">IFERROR(IF(M1103="Abs",0,IF(ROUND((D1103-C1103+E1103-F1103)*1440,0)&lt;=1,0,D1103-C1103+E1103-F1103)),0)</f>
        <v>0</v>
      </c>
      <c r="Y1103" s="6" t="str">
        <f aca="false">IFERROR(VLOOKUP($B1103,Agents!$A:$D,3,0),"-")</f>
        <v>OUBRAHIM Mohammed</v>
      </c>
      <c r="Z1103" s="6" t="str">
        <f aca="false">IFERROR(VLOOKUP($B1103,Agents!$A:$D,4,0),"-")</f>
        <v>Credit Mutuel</v>
      </c>
      <c r="AA1103" s="18" t="s">
        <v>122</v>
      </c>
      <c r="AB1103" s="8" t="str">
        <f aca="false">IF(AND(D1103="Congé",F1103="Congé"),0.333333333333333,IF(OR(AND(D1103="Congé",F1103&lt;&gt;"Congé"),(AND(F1103="Congé",D1103&lt;&gt;"Congé"))),0.166666666666667,""))</f>
        <v/>
      </c>
      <c r="AC1103" s="8" t="str">
        <f aca="false">IF(AND(D1103="Congé sans solde",F1103="Congé sans solde"),0.333333333333333,IF(OR(AND(D1103="Congé sans solde",F1103&lt;&gt;"Congé sans solde"),(AND(F1103="Congé sans solde",D1103&lt;&gt;"Congé sans solde"))),0.166666666666667,""))</f>
        <v/>
      </c>
      <c r="AD1103" s="8" t="str">
        <f aca="false">IF(AND(D1103="Congé spécial",F1103="Congé spécial"),0.333333333333333,IF(OR(AND(D1103="Congé spécial",F1103&lt;&gt;"Congé spécial"),AND(F1103="Congé spécial",D1103&lt;&gt;"Congé spécial")),0.166666666666667,""))</f>
        <v/>
      </c>
      <c r="AE1103" s="8" t="str">
        <f aca="false">IF(AND(D1103="Férié",F1103="Férié"),0.333333333333333,IF(OR(AND(D1103="Férié",F1103&lt;&gt;"Férié"),(AND(F1103="Férié",D1103&lt;&gt;"Férié"))),0.166666666666667,""))</f>
        <v/>
      </c>
      <c r="AF1103" s="18"/>
      <c r="AG1103" s="18"/>
    </row>
    <row r="1104" customFormat="false" ht="15" hidden="false" customHeight="false" outlineLevel="0" collapsed="false">
      <c r="A1104" s="6" t="str">
        <f aca="false">YEAR(Q1104-WEEKDAY(Q1104,2)+4)&amp;"-S"&amp;TEXT(WEEKNUM(Q1104,21),"00")</f>
        <v>2026-S40</v>
      </c>
      <c r="B1104" s="18" t="s">
        <v>73</v>
      </c>
      <c r="C1104" s="19"/>
      <c r="D1104" s="19" t="s">
        <v>74</v>
      </c>
      <c r="E1104" s="19"/>
      <c r="F1104" s="19" t="s">
        <v>74</v>
      </c>
      <c r="G1104" s="20"/>
      <c r="H1104" s="20"/>
      <c r="I1104" s="8" t="str">
        <f aca="false">IF(IF(OR(C1104="",D1104="Congé",D1104="OFF",D1104="Congé spécial"),"",IF(D1104&gt;F1104,D1104-C1104,IF(C1104-D1104&lt;0,0,C1104-D1104)))&lt;0.00068287037037037,"",IF(OR(D1104="Congé",D1104="OFF",C1104="",D1104="Congé spécial"),"",IF(D1104&gt;F1104,D1104-C1104,IF(C1104-D1104&lt;0,0,C1104-D1104))))</f>
        <v/>
      </c>
      <c r="J1104" s="20"/>
      <c r="K1104" s="8" t="n">
        <f aca="false">IF(SUM(H1104:J1104)&lt;0.00068287037037037,0,SUM(H1104:J1104))</f>
        <v>0</v>
      </c>
      <c r="L1104" s="8" t="n">
        <f aca="false">IF(OR(F1104="Congé",F1104="OFF",M1104="Abs",F1104="Congé sans solde",F1104="Férié",F1104="Congé spécial",D1104="Congé spécial"),0,IF(F1104-E1104&lt;0,0,IF(F1104-E1104&lt;=0.00068287037037037,0,F1104-E1104)))</f>
        <v>0</v>
      </c>
      <c r="M1104" s="6" t="n">
        <f aca="false">IF(AND(O1104&lt;&gt;0,C1104=""),"Abs",0)</f>
        <v>0</v>
      </c>
      <c r="N1104" s="8" t="str">
        <f aca="false">IFERROR(IF(OR(D1104="OFF",D1104="Congé",M1104="Abs",D1104="Congé sans solde",D1104="Férié"),"",IF(O1104-K1104-L1104&gt;O1104,O1104,IF(O1104-K1104-L1104&lt;0,"",O1104-K1104-L1104))),"")</f>
        <v/>
      </c>
      <c r="O1104" s="8" t="n">
        <f aca="false">IF(AG1104="2H Pause déjeuner",IF(F1104-D1104-0.0833333333333333&lt;0,F1104-D1104-0.0833333333333333+1,F1104-D1104-0.0833333333333333),IF(OR(AND(F1104="OFF",D1104="OFF"),AND(F1104="Congé",D1104="Congé"),AND(F1104="Congé sans solde",D1104="Congé sans solde"),AND(F1104="Congé spécial",D1104="Congé spécial"),AND(F1104="Férié",D1104="Férié"),AND(F1104="OFF",D1104="Congé"),AND(F1104="OFF",D1104="Congé sans solde"),AND(F1104="OFF",D1104="Congé spécial"),AND(F1104="OFF",D1104="Férié"),AND(F1104="Congé",D1104="OFF"),AND(F1104="Congé",D1104="Congé sans solde"),AND(F1104="Congé",D1104="Congé spécial"),AND(F1104="Congé",D1104="Férié"),AND(F1104="Congé sans solde",D1104="OFF"),AND(F1104="Congé sans solde",D1104="Congé"),AND(F1104="Congé sans solde",D1104="Congé spécial"),AND(F1104="Congé sans solde",D1104="Férié"),AND(F1104="Congé spécial",D1104="OFF"),AND(F1104="Congé spécial",D1104="Congé"),AND(F1104="Congé spécial",D1104="Congé sans solde"),AND(F1104="Congé spécial",D1104="Férié"),AND(F1104="Férié",D1104="OFF"),AND(F1104="Férié",D1104="Congé"),AND(F1104="Férié",D1104="Congé sans solde"),AND(F1104="Férié",D1104="Congé spécial")),0,IF(OR(F1104="OFF",F1104="Congé",F1104="Congé spécial",F1104="Congé sans solde",D1104="OFF",D1104="Congé",D1104="Congé spécial",D1104="Congé sans solde"),0.208333333333334,IF(AND(AG1104="",F1104-D1104&lt;0),("24:00:00"-D1104)+("00:00:00"+F1104)-0.0416666666666667,IF(AND(OR(AG1104="Allaitement",AG1104="Sans déjeuner"),F1104-D1104&lt;0),("24:00:00"-D1104)+("00:00:00"+F1104),IF(AND(AG1104="",F1104-D1104&gt;0.166666666666667),F1104-D1104-0.0416666666666667,IF(AND(OR(AG1104="Allaitement",AG1104="Sans déjeuner"),F1104-D1104&gt;0.166666666666667),F1104-D1104,F1104-D1104)))))))</f>
        <v>0</v>
      </c>
      <c r="P1104" s="6" t="str">
        <f aca="false">IFERROR(VLOOKUP($B1104,Agents!$A:$D,2,0),"-")</f>
        <v>Accessibilité</v>
      </c>
      <c r="Q1104" s="21" t="n">
        <v>46298</v>
      </c>
      <c r="R1104" s="8" t="n">
        <f aca="false">IF(M1104="Abs",O1104,0)</f>
        <v>0</v>
      </c>
      <c r="S1104" s="8" t="n">
        <f aca="false">SUM(R1104,L1104,I1104,J1104,W1104,H1104)</f>
        <v>0</v>
      </c>
      <c r="T1104" s="6" t="str">
        <f aca="false">"Sem - "&amp;WEEKNUM(Q1104,21)</f>
        <v>Sem - 40</v>
      </c>
      <c r="U1104" s="6" t="str">
        <f aca="false">CHOOSE(MONTH(Q1104),"Janvier","Février","Mars","Avril","Mai","Juin","Juillet","Août","Septembre","Octobre","Novembre","Décembre")</f>
        <v>Octobre</v>
      </c>
      <c r="V1104" s="22" t="n">
        <f aca="false">YEAR(Q1104)</f>
        <v>2026</v>
      </c>
      <c r="W1104" s="20"/>
      <c r="X1104" s="8" t="n">
        <f aca="false">IFERROR(IF(M1104="Abs",0,IF(ROUND((D1104-C1104+E1104-F1104)*1440,0)&lt;=1,0,D1104-C1104+E1104-F1104)),0)</f>
        <v>0</v>
      </c>
      <c r="Y1104" s="6" t="str">
        <f aca="false">IFERROR(VLOOKUP($B1104,Agents!$A:$D,3,0),"-")</f>
        <v>OUBRAHIM Mohammed</v>
      </c>
      <c r="Z1104" s="6" t="str">
        <f aca="false">IFERROR(VLOOKUP($B1104,Agents!$A:$D,4,0),"-")</f>
        <v>Credit Mutuel</v>
      </c>
      <c r="AA1104" s="18" t="s">
        <v>122</v>
      </c>
      <c r="AB1104" s="8" t="str">
        <f aca="false">IF(AND(D1104="Congé",F1104="Congé"),0.333333333333333,IF(OR(AND(D1104="Congé",F1104&lt;&gt;"Congé"),(AND(F1104="Congé",D1104&lt;&gt;"Congé"))),0.166666666666667,""))</f>
        <v/>
      </c>
      <c r="AC1104" s="8" t="str">
        <f aca="false">IF(AND(D1104="Congé sans solde",F1104="Congé sans solde"),0.333333333333333,IF(OR(AND(D1104="Congé sans solde",F1104&lt;&gt;"Congé sans solde"),(AND(F1104="Congé sans solde",D1104&lt;&gt;"Congé sans solde"))),0.166666666666667,""))</f>
        <v/>
      </c>
      <c r="AD1104" s="8" t="str">
        <f aca="false">IF(AND(D1104="Congé spécial",F1104="Congé spécial"),0.333333333333333,IF(OR(AND(D1104="Congé spécial",F1104&lt;&gt;"Congé spécial"),AND(F1104="Congé spécial",D1104&lt;&gt;"Congé spécial")),0.166666666666667,""))</f>
        <v/>
      </c>
      <c r="AE1104" s="8" t="str">
        <f aca="false">IF(AND(D1104="Férié",F1104="Férié"),0.333333333333333,IF(OR(AND(D1104="Férié",F1104&lt;&gt;"Férié"),(AND(F1104="Férié",D1104&lt;&gt;"Férié"))),0.166666666666667,""))</f>
        <v/>
      </c>
      <c r="AF1104" s="18"/>
      <c r="AG1104" s="18"/>
    </row>
    <row r="1105" customFormat="false" ht="15" hidden="false" customHeight="false" outlineLevel="0" collapsed="false">
      <c r="A1105" s="6" t="str">
        <f aca="false">YEAR(Q1105-WEEKDAY(Q1105,2)+4)&amp;"-S"&amp;TEXT(WEEKNUM(Q1105,21),"00")</f>
        <v>2026-S40</v>
      </c>
      <c r="B1105" s="18" t="s">
        <v>71</v>
      </c>
      <c r="C1105" s="19"/>
      <c r="D1105" s="19" t="s">
        <v>74</v>
      </c>
      <c r="E1105" s="19"/>
      <c r="F1105" s="19" t="s">
        <v>74</v>
      </c>
      <c r="G1105" s="20"/>
      <c r="H1105" s="20"/>
      <c r="I1105" s="8" t="str">
        <f aca="false">IF(IF(OR(C1105="",D1105="Congé",D1105="OFF",D1105="Congé spécial"),"",IF(D1105&gt;F1105,D1105-C1105,IF(C1105-D1105&lt;0,0,C1105-D1105)))&lt;0.00068287037037037,"",IF(OR(D1105="Congé",D1105="OFF",C1105="",D1105="Congé spécial"),"",IF(D1105&gt;F1105,D1105-C1105,IF(C1105-D1105&lt;0,0,C1105-D1105))))</f>
        <v/>
      </c>
      <c r="J1105" s="20"/>
      <c r="K1105" s="8" t="n">
        <f aca="false">IF(SUM(H1105:J1105)&lt;0.00068287037037037,0,SUM(H1105:J1105))</f>
        <v>0</v>
      </c>
      <c r="L1105" s="8" t="n">
        <f aca="false">IF(OR(F1105="Congé",F1105="OFF",M1105="Abs",F1105="Congé sans solde",F1105="Férié",F1105="Congé spécial",D1105="Congé spécial"),0,IF(F1105-E1105&lt;0,0,IF(F1105-E1105&lt;=0.00068287037037037,0,F1105-E1105)))</f>
        <v>0</v>
      </c>
      <c r="M1105" s="6" t="n">
        <f aca="false">IF(AND(O1105&lt;&gt;0,C1105=""),"Abs",0)</f>
        <v>0</v>
      </c>
      <c r="N1105" s="8" t="str">
        <f aca="false">IFERROR(IF(OR(D1105="OFF",D1105="Congé",M1105="Abs",D1105="Congé sans solde",D1105="Férié"),"",IF(O1105-K1105-L1105&gt;O1105,O1105,IF(O1105-K1105-L1105&lt;0,"",O1105-K1105-L1105))),"")</f>
        <v/>
      </c>
      <c r="O1105" s="8" t="n">
        <f aca="false">IF(AG1105="2H Pause déjeuner",IF(F1105-D1105-0.0833333333333333&lt;0,F1105-D1105-0.0833333333333333+1,F1105-D1105-0.0833333333333333),IF(OR(AND(F1105="OFF",D1105="OFF"),AND(F1105="Congé",D1105="Congé"),AND(F1105="Congé sans solde",D1105="Congé sans solde"),AND(F1105="Congé spécial",D1105="Congé spécial"),AND(F1105="Férié",D1105="Férié"),AND(F1105="OFF",D1105="Congé"),AND(F1105="OFF",D1105="Congé sans solde"),AND(F1105="OFF",D1105="Congé spécial"),AND(F1105="OFF",D1105="Férié"),AND(F1105="Congé",D1105="OFF"),AND(F1105="Congé",D1105="Congé sans solde"),AND(F1105="Congé",D1105="Congé spécial"),AND(F1105="Congé",D1105="Férié"),AND(F1105="Congé sans solde",D1105="OFF"),AND(F1105="Congé sans solde",D1105="Congé"),AND(F1105="Congé sans solde",D1105="Congé spécial"),AND(F1105="Congé sans solde",D1105="Férié"),AND(F1105="Congé spécial",D1105="OFF"),AND(F1105="Congé spécial",D1105="Congé"),AND(F1105="Congé spécial",D1105="Congé sans solde"),AND(F1105="Congé spécial",D1105="Férié"),AND(F1105="Férié",D1105="OFF"),AND(F1105="Férié",D1105="Congé"),AND(F1105="Férié",D1105="Congé sans solde"),AND(F1105="Férié",D1105="Congé spécial")),0,IF(OR(F1105="OFF",F1105="Congé",F1105="Congé spécial",F1105="Congé sans solde",D1105="OFF",D1105="Congé",D1105="Congé spécial",D1105="Congé sans solde"),0.208333333333334,IF(AND(AG1105="",F1105-D1105&lt;0),("24:00:00"-D1105)+("00:00:00"+F1105)-0.0416666666666667,IF(AND(OR(AG1105="Allaitement",AG1105="Sans déjeuner"),F1105-D1105&lt;0),("24:00:00"-D1105)+("00:00:00"+F1105),IF(AND(AG1105="",F1105-D1105&gt;0.166666666666667),F1105-D1105-0.0416666666666667,IF(AND(OR(AG1105="Allaitement",AG1105="Sans déjeuner"),F1105-D1105&gt;0.166666666666667),F1105-D1105,F1105-D1105)))))))</f>
        <v>0</v>
      </c>
      <c r="P1105" s="6" t="str">
        <f aca="false">IFERROR(VLOOKUP($B1105,Agents!$A:$D,2,0),"-")</f>
        <v>Accessibilité</v>
      </c>
      <c r="Q1105" s="21" t="n">
        <v>46299</v>
      </c>
      <c r="R1105" s="8" t="n">
        <f aca="false">IF(M1105="Abs",O1105,0)</f>
        <v>0</v>
      </c>
      <c r="S1105" s="8" t="n">
        <f aca="false">SUM(R1105,L1105,I1105,J1105,W1105,H1105)</f>
        <v>0</v>
      </c>
      <c r="T1105" s="6" t="str">
        <f aca="false">"Sem - "&amp;WEEKNUM(Q1105,21)</f>
        <v>Sem - 40</v>
      </c>
      <c r="U1105" s="6" t="str">
        <f aca="false">CHOOSE(MONTH(Q1105),"Janvier","Février","Mars","Avril","Mai","Juin","Juillet","Août","Septembre","Octobre","Novembre","Décembre")</f>
        <v>Octobre</v>
      </c>
      <c r="V1105" s="22" t="n">
        <f aca="false">YEAR(Q1105)</f>
        <v>2026</v>
      </c>
      <c r="W1105" s="20"/>
      <c r="X1105" s="8" t="n">
        <f aca="false">IFERROR(IF(M1105="Abs",0,IF(ROUND((D1105-C1105+E1105-F1105)*1440,0)&lt;=1,0,D1105-C1105+E1105-F1105)),0)</f>
        <v>0</v>
      </c>
      <c r="Y1105" s="6" t="str">
        <f aca="false">IFERROR(VLOOKUP($B1105,Agents!$A:$D,3,0),"-")</f>
        <v>OUBRAHIM Mohammed</v>
      </c>
      <c r="Z1105" s="6" t="str">
        <f aca="false">IFERROR(VLOOKUP($B1105,Agents!$A:$D,4,0),"-")</f>
        <v>Credit Mutuel</v>
      </c>
      <c r="AA1105" s="18" t="s">
        <v>122</v>
      </c>
      <c r="AB1105" s="8" t="str">
        <f aca="false">IF(AND(D1105="Congé",F1105="Congé"),0.333333333333333,IF(OR(AND(D1105="Congé",F1105&lt;&gt;"Congé"),(AND(F1105="Congé",D1105&lt;&gt;"Congé"))),0.166666666666667,""))</f>
        <v/>
      </c>
      <c r="AC1105" s="8" t="str">
        <f aca="false">IF(AND(D1105="Congé sans solde",F1105="Congé sans solde"),0.333333333333333,IF(OR(AND(D1105="Congé sans solde",F1105&lt;&gt;"Congé sans solde"),(AND(F1105="Congé sans solde",D1105&lt;&gt;"Congé sans solde"))),0.166666666666667,""))</f>
        <v/>
      </c>
      <c r="AD1105" s="8" t="str">
        <f aca="false">IF(AND(D1105="Congé spécial",F1105="Congé spécial"),0.333333333333333,IF(OR(AND(D1105="Congé spécial",F1105&lt;&gt;"Congé spécial"),AND(F1105="Congé spécial",D1105&lt;&gt;"Congé spécial")),0.166666666666667,""))</f>
        <v/>
      </c>
      <c r="AE1105" s="8" t="str">
        <f aca="false">IF(AND(D1105="Férié",F1105="Férié"),0.333333333333333,IF(OR(AND(D1105="Férié",F1105&lt;&gt;"Férié"),(AND(F1105="Férié",D1105&lt;&gt;"Férié"))),0.166666666666667,""))</f>
        <v/>
      </c>
      <c r="AF1105" s="18"/>
      <c r="AG1105" s="18"/>
    </row>
    <row r="1106" customFormat="false" ht="15" hidden="false" customHeight="false" outlineLevel="0" collapsed="false">
      <c r="A1106" s="6" t="str">
        <f aca="false">YEAR(Q1106-WEEKDAY(Q1106,2)+4)&amp;"-S"&amp;TEXT(WEEKNUM(Q1106,21),"00")</f>
        <v>2026-S40</v>
      </c>
      <c r="B1106" s="18" t="s">
        <v>72</v>
      </c>
      <c r="C1106" s="19"/>
      <c r="D1106" s="19" t="s">
        <v>74</v>
      </c>
      <c r="E1106" s="19"/>
      <c r="F1106" s="19" t="s">
        <v>74</v>
      </c>
      <c r="G1106" s="20"/>
      <c r="H1106" s="20"/>
      <c r="I1106" s="8" t="str">
        <f aca="false">IF(IF(OR(C1106="",D1106="Congé",D1106="OFF",D1106="Congé spécial"),"",IF(D1106&gt;F1106,D1106-C1106,IF(C1106-D1106&lt;0,0,C1106-D1106)))&lt;0.00068287037037037,"",IF(OR(D1106="Congé",D1106="OFF",C1106="",D1106="Congé spécial"),"",IF(D1106&gt;F1106,D1106-C1106,IF(C1106-D1106&lt;0,0,C1106-D1106))))</f>
        <v/>
      </c>
      <c r="J1106" s="20"/>
      <c r="K1106" s="8" t="n">
        <f aca="false">IF(SUM(H1106:J1106)&lt;0.00068287037037037,0,SUM(H1106:J1106))</f>
        <v>0</v>
      </c>
      <c r="L1106" s="8" t="n">
        <f aca="false">IF(OR(F1106="Congé",F1106="OFF",M1106="Abs",F1106="Congé sans solde",F1106="Férié",F1106="Congé spécial",D1106="Congé spécial"),0,IF(F1106-E1106&lt;0,0,IF(F1106-E1106&lt;=0.00068287037037037,0,F1106-E1106)))</f>
        <v>0</v>
      </c>
      <c r="M1106" s="6" t="n">
        <f aca="false">IF(AND(O1106&lt;&gt;0,C1106=""),"Abs",0)</f>
        <v>0</v>
      </c>
      <c r="N1106" s="8" t="str">
        <f aca="false">IFERROR(IF(OR(D1106="OFF",D1106="Congé",M1106="Abs",D1106="Congé sans solde",D1106="Férié"),"",IF(O1106-K1106-L1106&gt;O1106,O1106,IF(O1106-K1106-L1106&lt;0,"",O1106-K1106-L1106))),"")</f>
        <v/>
      </c>
      <c r="O1106" s="8" t="n">
        <f aca="false">IF(AG1106="2H Pause déjeuner",IF(F1106-D1106-0.0833333333333333&lt;0,F1106-D1106-0.0833333333333333+1,F1106-D1106-0.0833333333333333),IF(OR(AND(F1106="OFF",D1106="OFF"),AND(F1106="Congé",D1106="Congé"),AND(F1106="Congé sans solde",D1106="Congé sans solde"),AND(F1106="Congé spécial",D1106="Congé spécial"),AND(F1106="Férié",D1106="Férié"),AND(F1106="OFF",D1106="Congé"),AND(F1106="OFF",D1106="Congé sans solde"),AND(F1106="OFF",D1106="Congé spécial"),AND(F1106="OFF",D1106="Férié"),AND(F1106="Congé",D1106="OFF"),AND(F1106="Congé",D1106="Congé sans solde"),AND(F1106="Congé",D1106="Congé spécial"),AND(F1106="Congé",D1106="Férié"),AND(F1106="Congé sans solde",D1106="OFF"),AND(F1106="Congé sans solde",D1106="Congé"),AND(F1106="Congé sans solde",D1106="Congé spécial"),AND(F1106="Congé sans solde",D1106="Férié"),AND(F1106="Congé spécial",D1106="OFF"),AND(F1106="Congé spécial",D1106="Congé"),AND(F1106="Congé spécial",D1106="Congé sans solde"),AND(F1106="Congé spécial",D1106="Férié"),AND(F1106="Férié",D1106="OFF"),AND(F1106="Férié",D1106="Congé"),AND(F1106="Férié",D1106="Congé sans solde"),AND(F1106="Férié",D1106="Congé spécial")),0,IF(OR(F1106="OFF",F1106="Congé",F1106="Congé spécial",F1106="Congé sans solde",D1106="OFF",D1106="Congé",D1106="Congé spécial",D1106="Congé sans solde"),0.208333333333334,IF(AND(AG1106="",F1106-D1106&lt;0),("24:00:00"-D1106)+("00:00:00"+F1106)-0.0416666666666667,IF(AND(OR(AG1106="Allaitement",AG1106="Sans déjeuner"),F1106-D1106&lt;0),("24:00:00"-D1106)+("00:00:00"+F1106),IF(AND(AG1106="",F1106-D1106&gt;0.166666666666667),F1106-D1106-0.0416666666666667,IF(AND(OR(AG1106="Allaitement",AG1106="Sans déjeuner"),F1106-D1106&gt;0.166666666666667),F1106-D1106,F1106-D1106)))))))</f>
        <v>0</v>
      </c>
      <c r="P1106" s="6" t="str">
        <f aca="false">IFERROR(VLOOKUP($B1106,Agents!$A:$D,2,0),"-")</f>
        <v>Accessibilité</v>
      </c>
      <c r="Q1106" s="21" t="n">
        <v>46299</v>
      </c>
      <c r="R1106" s="8" t="n">
        <f aca="false">IF(M1106="Abs",O1106,0)</f>
        <v>0</v>
      </c>
      <c r="S1106" s="8" t="n">
        <f aca="false">SUM(R1106,L1106,I1106,J1106,W1106,H1106)</f>
        <v>0</v>
      </c>
      <c r="T1106" s="6" t="str">
        <f aca="false">"Sem - "&amp;WEEKNUM(Q1106,21)</f>
        <v>Sem - 40</v>
      </c>
      <c r="U1106" s="6" t="str">
        <f aca="false">CHOOSE(MONTH(Q1106),"Janvier","Février","Mars","Avril","Mai","Juin","Juillet","Août","Septembre","Octobre","Novembre","Décembre")</f>
        <v>Octobre</v>
      </c>
      <c r="V1106" s="22" t="n">
        <f aca="false">YEAR(Q1106)</f>
        <v>2026</v>
      </c>
      <c r="W1106" s="20"/>
      <c r="X1106" s="8" t="n">
        <f aca="false">IFERROR(IF(M1106="Abs",0,IF(ROUND((D1106-C1106+E1106-F1106)*1440,0)&lt;=1,0,D1106-C1106+E1106-F1106)),0)</f>
        <v>0</v>
      </c>
      <c r="Y1106" s="6" t="str">
        <f aca="false">IFERROR(VLOOKUP($B1106,Agents!$A:$D,3,0),"-")</f>
        <v>OUBRAHIM Mohammed</v>
      </c>
      <c r="Z1106" s="6" t="str">
        <f aca="false">IFERROR(VLOOKUP($B1106,Agents!$A:$D,4,0),"-")</f>
        <v>Credit Mutuel</v>
      </c>
      <c r="AA1106" s="18" t="s">
        <v>122</v>
      </c>
      <c r="AB1106" s="8" t="str">
        <f aca="false">IF(AND(D1106="Congé",F1106="Congé"),0.333333333333333,IF(OR(AND(D1106="Congé",F1106&lt;&gt;"Congé"),(AND(F1106="Congé",D1106&lt;&gt;"Congé"))),0.166666666666667,""))</f>
        <v/>
      </c>
      <c r="AC1106" s="8" t="str">
        <f aca="false">IF(AND(D1106="Congé sans solde",F1106="Congé sans solde"),0.333333333333333,IF(OR(AND(D1106="Congé sans solde",F1106&lt;&gt;"Congé sans solde"),(AND(F1106="Congé sans solde",D1106&lt;&gt;"Congé sans solde"))),0.166666666666667,""))</f>
        <v/>
      </c>
      <c r="AD1106" s="8" t="str">
        <f aca="false">IF(AND(D1106="Congé spécial",F1106="Congé spécial"),0.333333333333333,IF(OR(AND(D1106="Congé spécial",F1106&lt;&gt;"Congé spécial"),AND(F1106="Congé spécial",D1106&lt;&gt;"Congé spécial")),0.166666666666667,""))</f>
        <v/>
      </c>
      <c r="AE1106" s="8" t="str">
        <f aca="false">IF(AND(D1106="Férié",F1106="Férié"),0.333333333333333,IF(OR(AND(D1106="Férié",F1106&lt;&gt;"Férié"),(AND(F1106="Férié",D1106&lt;&gt;"Férié"))),0.166666666666667,""))</f>
        <v/>
      </c>
      <c r="AF1106" s="18"/>
      <c r="AG1106" s="18"/>
    </row>
    <row r="1107" customFormat="false" ht="15" hidden="false" customHeight="false" outlineLevel="0" collapsed="false">
      <c r="A1107" s="6" t="str">
        <f aca="false">YEAR(Q1107-WEEKDAY(Q1107,2)+4)&amp;"-S"&amp;TEXT(WEEKNUM(Q1107,21),"00")</f>
        <v>2026-S40</v>
      </c>
      <c r="B1107" s="18" t="s">
        <v>73</v>
      </c>
      <c r="C1107" s="19"/>
      <c r="D1107" s="19" t="s">
        <v>74</v>
      </c>
      <c r="E1107" s="19"/>
      <c r="F1107" s="19" t="s">
        <v>74</v>
      </c>
      <c r="G1107" s="20"/>
      <c r="H1107" s="20"/>
      <c r="I1107" s="8" t="str">
        <f aca="false">IF(IF(OR(C1107="",D1107="Congé",D1107="OFF",D1107="Congé spécial"),"",IF(D1107&gt;F1107,D1107-C1107,IF(C1107-D1107&lt;0,0,C1107-D1107)))&lt;0.00068287037037037,"",IF(OR(D1107="Congé",D1107="OFF",C1107="",D1107="Congé spécial"),"",IF(D1107&gt;F1107,D1107-C1107,IF(C1107-D1107&lt;0,0,C1107-D1107))))</f>
        <v/>
      </c>
      <c r="J1107" s="20"/>
      <c r="K1107" s="8" t="n">
        <f aca="false">IF(SUM(H1107:J1107)&lt;0.00068287037037037,0,SUM(H1107:J1107))</f>
        <v>0</v>
      </c>
      <c r="L1107" s="8" t="n">
        <f aca="false">IF(OR(F1107="Congé",F1107="OFF",M1107="Abs",F1107="Congé sans solde",F1107="Férié",F1107="Congé spécial",D1107="Congé spécial"),0,IF(F1107-E1107&lt;0,0,IF(F1107-E1107&lt;=0.00068287037037037,0,F1107-E1107)))</f>
        <v>0</v>
      </c>
      <c r="M1107" s="6" t="n">
        <f aca="false">IF(AND(O1107&lt;&gt;0,C1107=""),"Abs",0)</f>
        <v>0</v>
      </c>
      <c r="N1107" s="8" t="str">
        <f aca="false">IFERROR(IF(OR(D1107="OFF",D1107="Congé",M1107="Abs",D1107="Congé sans solde",D1107="Férié"),"",IF(O1107-K1107-L1107&gt;O1107,O1107,IF(O1107-K1107-L1107&lt;0,"",O1107-K1107-L1107))),"")</f>
        <v/>
      </c>
      <c r="O1107" s="8" t="n">
        <f aca="false">IF(AG1107="2H Pause déjeuner",IF(F1107-D1107-0.0833333333333333&lt;0,F1107-D1107-0.0833333333333333+1,F1107-D1107-0.0833333333333333),IF(OR(AND(F1107="OFF",D1107="OFF"),AND(F1107="Congé",D1107="Congé"),AND(F1107="Congé sans solde",D1107="Congé sans solde"),AND(F1107="Congé spécial",D1107="Congé spécial"),AND(F1107="Férié",D1107="Férié"),AND(F1107="OFF",D1107="Congé"),AND(F1107="OFF",D1107="Congé sans solde"),AND(F1107="OFF",D1107="Congé spécial"),AND(F1107="OFF",D1107="Férié"),AND(F1107="Congé",D1107="OFF"),AND(F1107="Congé",D1107="Congé sans solde"),AND(F1107="Congé",D1107="Congé spécial"),AND(F1107="Congé",D1107="Férié"),AND(F1107="Congé sans solde",D1107="OFF"),AND(F1107="Congé sans solde",D1107="Congé"),AND(F1107="Congé sans solde",D1107="Congé spécial"),AND(F1107="Congé sans solde",D1107="Férié"),AND(F1107="Congé spécial",D1107="OFF"),AND(F1107="Congé spécial",D1107="Congé"),AND(F1107="Congé spécial",D1107="Congé sans solde"),AND(F1107="Congé spécial",D1107="Férié"),AND(F1107="Férié",D1107="OFF"),AND(F1107="Férié",D1107="Congé"),AND(F1107="Férié",D1107="Congé sans solde"),AND(F1107="Férié",D1107="Congé spécial")),0,IF(OR(F1107="OFF",F1107="Congé",F1107="Congé spécial",F1107="Congé sans solde",D1107="OFF",D1107="Congé",D1107="Congé spécial",D1107="Congé sans solde"),0.208333333333334,IF(AND(AG1107="",F1107-D1107&lt;0),("24:00:00"-D1107)+("00:00:00"+F1107)-0.0416666666666667,IF(AND(OR(AG1107="Allaitement",AG1107="Sans déjeuner"),F1107-D1107&lt;0),("24:00:00"-D1107)+("00:00:00"+F1107),IF(AND(AG1107="",F1107-D1107&gt;0.166666666666667),F1107-D1107-0.0416666666666667,IF(AND(OR(AG1107="Allaitement",AG1107="Sans déjeuner"),F1107-D1107&gt;0.166666666666667),F1107-D1107,F1107-D1107)))))))</f>
        <v>0</v>
      </c>
      <c r="P1107" s="6" t="str">
        <f aca="false">IFERROR(VLOOKUP($B1107,Agents!$A:$D,2,0),"-")</f>
        <v>Accessibilité</v>
      </c>
      <c r="Q1107" s="21" t="n">
        <v>46299</v>
      </c>
      <c r="R1107" s="8" t="n">
        <f aca="false">IF(M1107="Abs",O1107,0)</f>
        <v>0</v>
      </c>
      <c r="S1107" s="8" t="n">
        <f aca="false">SUM(R1107,L1107,I1107,J1107,W1107,H1107)</f>
        <v>0</v>
      </c>
      <c r="T1107" s="6" t="str">
        <f aca="false">"Sem - "&amp;WEEKNUM(Q1107,21)</f>
        <v>Sem - 40</v>
      </c>
      <c r="U1107" s="6" t="str">
        <f aca="false">CHOOSE(MONTH(Q1107),"Janvier","Février","Mars","Avril","Mai","Juin","Juillet","Août","Septembre","Octobre","Novembre","Décembre")</f>
        <v>Octobre</v>
      </c>
      <c r="V1107" s="22" t="n">
        <f aca="false">YEAR(Q1107)</f>
        <v>2026</v>
      </c>
      <c r="W1107" s="20"/>
      <c r="X1107" s="8" t="n">
        <f aca="false">IFERROR(IF(M1107="Abs",0,IF(ROUND((D1107-C1107+E1107-F1107)*1440,0)&lt;=1,0,D1107-C1107+E1107-F1107)),0)</f>
        <v>0</v>
      </c>
      <c r="Y1107" s="6" t="str">
        <f aca="false">IFERROR(VLOOKUP($B1107,Agents!$A:$D,3,0),"-")</f>
        <v>OUBRAHIM Mohammed</v>
      </c>
      <c r="Z1107" s="6" t="str">
        <f aca="false">IFERROR(VLOOKUP($B1107,Agents!$A:$D,4,0),"-")</f>
        <v>Credit Mutuel</v>
      </c>
      <c r="AA1107" s="18" t="s">
        <v>122</v>
      </c>
      <c r="AB1107" s="8" t="str">
        <f aca="false">IF(AND(D1107="Congé",F1107="Congé"),0.333333333333333,IF(OR(AND(D1107="Congé",F1107&lt;&gt;"Congé"),(AND(F1107="Congé",D1107&lt;&gt;"Congé"))),0.166666666666667,""))</f>
        <v/>
      </c>
      <c r="AC1107" s="8" t="str">
        <f aca="false">IF(AND(D1107="Congé sans solde",F1107="Congé sans solde"),0.333333333333333,IF(OR(AND(D1107="Congé sans solde",F1107&lt;&gt;"Congé sans solde"),(AND(F1107="Congé sans solde",D1107&lt;&gt;"Congé sans solde"))),0.166666666666667,""))</f>
        <v/>
      </c>
      <c r="AD1107" s="8" t="str">
        <f aca="false">IF(AND(D1107="Congé spécial",F1107="Congé spécial"),0.333333333333333,IF(OR(AND(D1107="Congé spécial",F1107&lt;&gt;"Congé spécial"),AND(F1107="Congé spécial",D1107&lt;&gt;"Congé spécial")),0.166666666666667,""))</f>
        <v/>
      </c>
      <c r="AE1107" s="8" t="str">
        <f aca="false">IF(AND(D1107="Férié",F1107="Férié"),0.333333333333333,IF(OR(AND(D1107="Férié",F1107&lt;&gt;"Férié"),(AND(F1107="Férié",D1107&lt;&gt;"Férié"))),0.166666666666667,""))</f>
        <v/>
      </c>
      <c r="AF1107" s="18"/>
      <c r="AG1107" s="18"/>
    </row>
    <row r="1108" customFormat="false" ht="15" hidden="false" customHeight="false" outlineLevel="0" collapsed="false">
      <c r="A1108" s="6" t="str">
        <f aca="false">YEAR(Q1108-WEEKDAY(Q1108,2)+4)&amp;"-S"&amp;TEXT(WEEKNUM(Q1108,21),"00")</f>
        <v>2026-S41</v>
      </c>
      <c r="B1108" s="18" t="s">
        <v>71</v>
      </c>
      <c r="C1108" s="19" t="n">
        <v>0.333333333333333</v>
      </c>
      <c r="D1108" s="19" t="n">
        <v>0.333333333333333</v>
      </c>
      <c r="E1108" s="19" t="n">
        <v>0.75</v>
      </c>
      <c r="F1108" s="19" t="n">
        <v>0.75</v>
      </c>
      <c r="G1108" s="20"/>
      <c r="H1108" s="20"/>
      <c r="I1108" s="8" t="str">
        <f aca="false">IF(IF(OR(C1108="",D1108="Congé",D1108="OFF",D1108="Congé spécial"),"",IF(D1108&gt;F1108,D1108-C1108,IF(C1108-D1108&lt;0,0,C1108-D1108)))&lt;0.00068287037037037,"",IF(OR(D1108="Congé",D1108="OFF",C1108="",D1108="Congé spécial"),"",IF(D1108&gt;F1108,D1108-C1108,IF(C1108-D1108&lt;0,0,C1108-D1108))))</f>
        <v/>
      </c>
      <c r="J1108" s="20"/>
      <c r="K1108" s="8" t="n">
        <f aca="false">IF(SUM(H1108:J1108)&lt;0.00068287037037037,0,SUM(H1108:J1108))</f>
        <v>0</v>
      </c>
      <c r="L1108" s="8" t="n">
        <f aca="false">IF(OR(F1108="Congé",F1108="OFF",M1108="Abs",F1108="Congé sans solde",F1108="Férié",F1108="Congé spécial",D1108="Congé spécial"),0,IF(F1108-E1108&lt;0,0,IF(F1108-E1108&lt;=0.00068287037037037,0,F1108-E1108)))</f>
        <v>0</v>
      </c>
      <c r="M1108" s="6" t="n">
        <f aca="false">IF(AND(O1108&lt;&gt;0,C1108=""),"Abs",0)</f>
        <v>0</v>
      </c>
      <c r="N1108" s="8" t="n">
        <f aca="false">IFERROR(IF(OR(D1108="OFF",D1108="Congé",M1108="Abs",D1108="Congé sans solde",D1108="Férié"),"",IF(O1108-K1108-L1108&gt;O1108,O1108,IF(O1108-K1108-L1108&lt;0,"",O1108-K1108-L1108))),"")</f>
        <v>0.375</v>
      </c>
      <c r="O1108" s="8" t="n">
        <f aca="false">IF(AG1108="2H Pause déjeuner",IF(F1108-D1108-0.0833333333333333&lt;0,F1108-D1108-0.0833333333333333+1,F1108-D1108-0.0833333333333333),IF(OR(AND(F1108="OFF",D1108="OFF"),AND(F1108="Congé",D1108="Congé"),AND(F1108="Congé sans solde",D1108="Congé sans solde"),AND(F1108="Congé spécial",D1108="Congé spécial"),AND(F1108="Férié",D1108="Férié"),AND(F1108="OFF",D1108="Congé"),AND(F1108="OFF",D1108="Congé sans solde"),AND(F1108="OFF",D1108="Congé spécial"),AND(F1108="OFF",D1108="Férié"),AND(F1108="Congé",D1108="OFF"),AND(F1108="Congé",D1108="Congé sans solde"),AND(F1108="Congé",D1108="Congé spécial"),AND(F1108="Congé",D1108="Férié"),AND(F1108="Congé sans solde",D1108="OFF"),AND(F1108="Congé sans solde",D1108="Congé"),AND(F1108="Congé sans solde",D1108="Congé spécial"),AND(F1108="Congé sans solde",D1108="Férié"),AND(F1108="Congé spécial",D1108="OFF"),AND(F1108="Congé spécial",D1108="Congé"),AND(F1108="Congé spécial",D1108="Congé sans solde"),AND(F1108="Congé spécial",D1108="Férié"),AND(F1108="Férié",D1108="OFF"),AND(F1108="Férié",D1108="Congé"),AND(F1108="Férié",D1108="Congé sans solde"),AND(F1108="Férié",D1108="Congé spécial")),0,IF(OR(F1108="OFF",F1108="Congé",F1108="Congé spécial",F1108="Congé sans solde",D1108="OFF",D1108="Congé",D1108="Congé spécial",D1108="Congé sans solde"),0.208333333333334,IF(AND(AG1108="",F1108-D1108&lt;0),("24:00:00"-D1108)+("00:00:00"+F1108)-0.0416666666666667,IF(AND(OR(AG1108="Allaitement",AG1108="Sans déjeuner"),F1108-D1108&lt;0),("24:00:00"-D1108)+("00:00:00"+F1108),IF(AND(AG1108="",F1108-D1108&gt;0.166666666666667),F1108-D1108-0.0416666666666667,IF(AND(OR(AG1108="Allaitement",AG1108="Sans déjeuner"),F1108-D1108&gt;0.166666666666667),F1108-D1108,F1108-D1108)))))))</f>
        <v>0.375</v>
      </c>
      <c r="P1108" s="6" t="str">
        <f aca="false">IFERROR(VLOOKUP($B1108,Agents!$A:$D,2,0),"-")</f>
        <v>Accessibilité</v>
      </c>
      <c r="Q1108" s="21" t="n">
        <v>46300</v>
      </c>
      <c r="R1108" s="8" t="n">
        <f aca="false">IF(M1108="Abs",O1108,0)</f>
        <v>0</v>
      </c>
      <c r="S1108" s="8" t="n">
        <f aca="false">SUM(R1108,L1108,I1108,J1108,W1108,H1108)</f>
        <v>0</v>
      </c>
      <c r="T1108" s="6" t="str">
        <f aca="false">"Sem - "&amp;WEEKNUM(Q1108,21)</f>
        <v>Sem - 41</v>
      </c>
      <c r="U1108" s="6" t="str">
        <f aca="false">CHOOSE(MONTH(Q1108),"Janvier","Février","Mars","Avril","Mai","Juin","Juillet","Août","Septembre","Octobre","Novembre","Décembre")</f>
        <v>Octobre</v>
      </c>
      <c r="V1108" s="22" t="n">
        <f aca="false">YEAR(Q1108)</f>
        <v>2026</v>
      </c>
      <c r="W1108" s="20"/>
      <c r="X1108" s="8" t="n">
        <f aca="false">IFERROR(IF(M1108="Abs",0,IF(ROUND((D1108-C1108+E1108-F1108)*1440,0)&lt;=1,0,D1108-C1108+E1108-F1108)),0)</f>
        <v>0</v>
      </c>
      <c r="Y1108" s="6" t="str">
        <f aca="false">IFERROR(VLOOKUP($B1108,Agents!$A:$D,3,0),"-")</f>
        <v>OUBRAHIM Mohammed</v>
      </c>
      <c r="Z1108" s="6" t="str">
        <f aca="false">IFERROR(VLOOKUP($B1108,Agents!$A:$D,4,0),"-")</f>
        <v>Credit Mutuel</v>
      </c>
      <c r="AA1108" s="18" t="s">
        <v>123</v>
      </c>
      <c r="AB1108" s="8" t="str">
        <f aca="false">IF(AND(D1108="Congé",F1108="Congé"),0.333333333333333,IF(OR(AND(D1108="Congé",F1108&lt;&gt;"Congé"),(AND(F1108="Congé",D1108&lt;&gt;"Congé"))),0.166666666666667,""))</f>
        <v/>
      </c>
      <c r="AC1108" s="8" t="str">
        <f aca="false">IF(AND(D1108="Congé sans solde",F1108="Congé sans solde"),0.333333333333333,IF(OR(AND(D1108="Congé sans solde",F1108&lt;&gt;"Congé sans solde"),(AND(F1108="Congé sans solde",D1108&lt;&gt;"Congé sans solde"))),0.166666666666667,""))</f>
        <v/>
      </c>
      <c r="AD1108" s="8" t="str">
        <f aca="false">IF(AND(D1108="Congé spécial",F1108="Congé spécial"),0.333333333333333,IF(OR(AND(D1108="Congé spécial",F1108&lt;&gt;"Congé spécial"),AND(F1108="Congé spécial",D1108&lt;&gt;"Congé spécial")),0.166666666666667,""))</f>
        <v/>
      </c>
      <c r="AE1108" s="8" t="str">
        <f aca="false">IF(AND(D1108="Férié",F1108="Férié"),0.333333333333333,IF(OR(AND(D1108="Férié",F1108&lt;&gt;"Férié"),(AND(F1108="Férié",D1108&lt;&gt;"Férié"))),0.166666666666667,""))</f>
        <v/>
      </c>
      <c r="AF1108" s="18"/>
      <c r="AG1108" s="18"/>
    </row>
    <row r="1109" customFormat="false" ht="15" hidden="false" customHeight="false" outlineLevel="0" collapsed="false">
      <c r="A1109" s="6" t="str">
        <f aca="false">YEAR(Q1109-WEEKDAY(Q1109,2)+4)&amp;"-S"&amp;TEXT(WEEKNUM(Q1109,21),"00")</f>
        <v>2026-S41</v>
      </c>
      <c r="B1109" s="18" t="s">
        <v>72</v>
      </c>
      <c r="C1109" s="19" t="n">
        <v>0.333333333333333</v>
      </c>
      <c r="D1109" s="19" t="n">
        <v>0.333333333333333</v>
      </c>
      <c r="E1109" s="19" t="n">
        <v>0.75</v>
      </c>
      <c r="F1109" s="19" t="n">
        <v>0.75</v>
      </c>
      <c r="G1109" s="20"/>
      <c r="H1109" s="20"/>
      <c r="I1109" s="8" t="str">
        <f aca="false">IF(IF(OR(C1109="",D1109="Congé",D1109="OFF",D1109="Congé spécial"),"",IF(D1109&gt;F1109,D1109-C1109,IF(C1109-D1109&lt;0,0,C1109-D1109)))&lt;0.00068287037037037,"",IF(OR(D1109="Congé",D1109="OFF",C1109="",D1109="Congé spécial"),"",IF(D1109&gt;F1109,D1109-C1109,IF(C1109-D1109&lt;0,0,C1109-D1109))))</f>
        <v/>
      </c>
      <c r="J1109" s="20"/>
      <c r="K1109" s="8" t="n">
        <f aca="false">IF(SUM(H1109:J1109)&lt;0.00068287037037037,0,SUM(H1109:J1109))</f>
        <v>0</v>
      </c>
      <c r="L1109" s="8" t="n">
        <f aca="false">IF(OR(F1109="Congé",F1109="OFF",M1109="Abs",F1109="Congé sans solde",F1109="Férié",F1109="Congé spécial",D1109="Congé spécial"),0,IF(F1109-E1109&lt;0,0,IF(F1109-E1109&lt;=0.00068287037037037,0,F1109-E1109)))</f>
        <v>0</v>
      </c>
      <c r="M1109" s="6" t="n">
        <f aca="false">IF(AND(O1109&lt;&gt;0,C1109=""),"Abs",0)</f>
        <v>0</v>
      </c>
      <c r="N1109" s="8" t="n">
        <f aca="false">IFERROR(IF(OR(D1109="OFF",D1109="Congé",M1109="Abs",D1109="Congé sans solde",D1109="Férié"),"",IF(O1109-K1109-L1109&gt;O1109,O1109,IF(O1109-K1109-L1109&lt;0,"",O1109-K1109-L1109))),"")</f>
        <v>0.375</v>
      </c>
      <c r="O1109" s="8" t="n">
        <f aca="false">IF(AG1109="2H Pause déjeuner",IF(F1109-D1109-0.0833333333333333&lt;0,F1109-D1109-0.0833333333333333+1,F1109-D1109-0.0833333333333333),IF(OR(AND(F1109="OFF",D1109="OFF"),AND(F1109="Congé",D1109="Congé"),AND(F1109="Congé sans solde",D1109="Congé sans solde"),AND(F1109="Congé spécial",D1109="Congé spécial"),AND(F1109="Férié",D1109="Férié"),AND(F1109="OFF",D1109="Congé"),AND(F1109="OFF",D1109="Congé sans solde"),AND(F1109="OFF",D1109="Congé spécial"),AND(F1109="OFF",D1109="Férié"),AND(F1109="Congé",D1109="OFF"),AND(F1109="Congé",D1109="Congé sans solde"),AND(F1109="Congé",D1109="Congé spécial"),AND(F1109="Congé",D1109="Férié"),AND(F1109="Congé sans solde",D1109="OFF"),AND(F1109="Congé sans solde",D1109="Congé"),AND(F1109="Congé sans solde",D1109="Congé spécial"),AND(F1109="Congé sans solde",D1109="Férié"),AND(F1109="Congé spécial",D1109="OFF"),AND(F1109="Congé spécial",D1109="Congé"),AND(F1109="Congé spécial",D1109="Congé sans solde"),AND(F1109="Congé spécial",D1109="Férié"),AND(F1109="Férié",D1109="OFF"),AND(F1109="Férié",D1109="Congé"),AND(F1109="Férié",D1109="Congé sans solde"),AND(F1109="Férié",D1109="Congé spécial")),0,IF(OR(F1109="OFF",F1109="Congé",F1109="Congé spécial",F1109="Congé sans solde",D1109="OFF",D1109="Congé",D1109="Congé spécial",D1109="Congé sans solde"),0.208333333333334,IF(AND(AG1109="",F1109-D1109&lt;0),("24:00:00"-D1109)+("00:00:00"+F1109)-0.0416666666666667,IF(AND(OR(AG1109="Allaitement",AG1109="Sans déjeuner"),F1109-D1109&lt;0),("24:00:00"-D1109)+("00:00:00"+F1109),IF(AND(AG1109="",F1109-D1109&gt;0.166666666666667),F1109-D1109-0.0416666666666667,IF(AND(OR(AG1109="Allaitement",AG1109="Sans déjeuner"),F1109-D1109&gt;0.166666666666667),F1109-D1109,F1109-D1109)))))))</f>
        <v>0.375</v>
      </c>
      <c r="P1109" s="6" t="str">
        <f aca="false">IFERROR(VLOOKUP($B1109,Agents!$A:$D,2,0),"-")</f>
        <v>Accessibilité</v>
      </c>
      <c r="Q1109" s="21" t="n">
        <v>46300</v>
      </c>
      <c r="R1109" s="8" t="n">
        <f aca="false">IF(M1109="Abs",O1109,0)</f>
        <v>0</v>
      </c>
      <c r="S1109" s="8" t="n">
        <f aca="false">SUM(R1109,L1109,I1109,J1109,W1109,H1109)</f>
        <v>0</v>
      </c>
      <c r="T1109" s="6" t="str">
        <f aca="false">"Sem - "&amp;WEEKNUM(Q1109,21)</f>
        <v>Sem - 41</v>
      </c>
      <c r="U1109" s="6" t="str">
        <f aca="false">CHOOSE(MONTH(Q1109),"Janvier","Février","Mars","Avril","Mai","Juin","Juillet","Août","Septembre","Octobre","Novembre","Décembre")</f>
        <v>Octobre</v>
      </c>
      <c r="V1109" s="22" t="n">
        <f aca="false">YEAR(Q1109)</f>
        <v>2026</v>
      </c>
      <c r="W1109" s="20"/>
      <c r="X1109" s="8" t="n">
        <f aca="false">IFERROR(IF(M1109="Abs",0,IF(ROUND((D1109-C1109+E1109-F1109)*1440,0)&lt;=1,0,D1109-C1109+E1109-F1109)),0)</f>
        <v>0</v>
      </c>
      <c r="Y1109" s="6" t="str">
        <f aca="false">IFERROR(VLOOKUP($B1109,Agents!$A:$D,3,0),"-")</f>
        <v>OUBRAHIM Mohammed</v>
      </c>
      <c r="Z1109" s="6" t="str">
        <f aca="false">IFERROR(VLOOKUP($B1109,Agents!$A:$D,4,0),"-")</f>
        <v>Credit Mutuel</v>
      </c>
      <c r="AA1109" s="18" t="s">
        <v>123</v>
      </c>
      <c r="AB1109" s="8" t="str">
        <f aca="false">IF(AND(D1109="Congé",F1109="Congé"),0.333333333333333,IF(OR(AND(D1109="Congé",F1109&lt;&gt;"Congé"),(AND(F1109="Congé",D1109&lt;&gt;"Congé"))),0.166666666666667,""))</f>
        <v/>
      </c>
      <c r="AC1109" s="8" t="str">
        <f aca="false">IF(AND(D1109="Congé sans solde",F1109="Congé sans solde"),0.333333333333333,IF(OR(AND(D1109="Congé sans solde",F1109&lt;&gt;"Congé sans solde"),(AND(F1109="Congé sans solde",D1109&lt;&gt;"Congé sans solde"))),0.166666666666667,""))</f>
        <v/>
      </c>
      <c r="AD1109" s="8" t="str">
        <f aca="false">IF(AND(D1109="Congé spécial",F1109="Congé spécial"),0.333333333333333,IF(OR(AND(D1109="Congé spécial",F1109&lt;&gt;"Congé spécial"),AND(F1109="Congé spécial",D1109&lt;&gt;"Congé spécial")),0.166666666666667,""))</f>
        <v/>
      </c>
      <c r="AE1109" s="8" t="str">
        <f aca="false">IF(AND(D1109="Férié",F1109="Férié"),0.333333333333333,IF(OR(AND(D1109="Férié",F1109&lt;&gt;"Férié"),(AND(F1109="Férié",D1109&lt;&gt;"Férié"))),0.166666666666667,""))</f>
        <v/>
      </c>
      <c r="AF1109" s="18"/>
      <c r="AG1109" s="18"/>
    </row>
    <row r="1110" customFormat="false" ht="15" hidden="false" customHeight="false" outlineLevel="0" collapsed="false">
      <c r="A1110" s="6" t="str">
        <f aca="false">YEAR(Q1110-WEEKDAY(Q1110,2)+4)&amp;"-S"&amp;TEXT(WEEKNUM(Q1110,21),"00")</f>
        <v>2026-S41</v>
      </c>
      <c r="B1110" s="18" t="s">
        <v>73</v>
      </c>
      <c r="C1110" s="19" t="n">
        <v>0.333333333333333</v>
      </c>
      <c r="D1110" s="19" t="n">
        <v>0.333333333333333</v>
      </c>
      <c r="E1110" s="19" t="n">
        <v>0.75</v>
      </c>
      <c r="F1110" s="19" t="n">
        <v>0.75</v>
      </c>
      <c r="G1110" s="20"/>
      <c r="H1110" s="20"/>
      <c r="I1110" s="8" t="str">
        <f aca="false">IF(IF(OR(C1110="",D1110="Congé",D1110="OFF",D1110="Congé spécial"),"",IF(D1110&gt;F1110,D1110-C1110,IF(C1110-D1110&lt;0,0,C1110-D1110)))&lt;0.00068287037037037,"",IF(OR(D1110="Congé",D1110="OFF",C1110="",D1110="Congé spécial"),"",IF(D1110&gt;F1110,D1110-C1110,IF(C1110-D1110&lt;0,0,C1110-D1110))))</f>
        <v/>
      </c>
      <c r="J1110" s="20"/>
      <c r="K1110" s="8" t="n">
        <f aca="false">IF(SUM(H1110:J1110)&lt;0.00068287037037037,0,SUM(H1110:J1110))</f>
        <v>0</v>
      </c>
      <c r="L1110" s="8" t="n">
        <f aca="false">IF(OR(F1110="Congé",F1110="OFF",M1110="Abs",F1110="Congé sans solde",F1110="Férié",F1110="Congé spécial",D1110="Congé spécial"),0,IF(F1110-E1110&lt;0,0,IF(F1110-E1110&lt;=0.00068287037037037,0,F1110-E1110)))</f>
        <v>0</v>
      </c>
      <c r="M1110" s="6" t="n">
        <f aca="false">IF(AND(O1110&lt;&gt;0,C1110=""),"Abs",0)</f>
        <v>0</v>
      </c>
      <c r="N1110" s="8" t="n">
        <f aca="false">IFERROR(IF(OR(D1110="OFF",D1110="Congé",M1110="Abs",D1110="Congé sans solde",D1110="Férié"),"",IF(O1110-K1110-L1110&gt;O1110,O1110,IF(O1110-K1110-L1110&lt;0,"",O1110-K1110-L1110))),"")</f>
        <v>0.375</v>
      </c>
      <c r="O1110" s="8" t="n">
        <f aca="false">IF(AG1110="2H Pause déjeuner",IF(F1110-D1110-0.0833333333333333&lt;0,F1110-D1110-0.0833333333333333+1,F1110-D1110-0.0833333333333333),IF(OR(AND(F1110="OFF",D1110="OFF"),AND(F1110="Congé",D1110="Congé"),AND(F1110="Congé sans solde",D1110="Congé sans solde"),AND(F1110="Congé spécial",D1110="Congé spécial"),AND(F1110="Férié",D1110="Férié"),AND(F1110="OFF",D1110="Congé"),AND(F1110="OFF",D1110="Congé sans solde"),AND(F1110="OFF",D1110="Congé spécial"),AND(F1110="OFF",D1110="Férié"),AND(F1110="Congé",D1110="OFF"),AND(F1110="Congé",D1110="Congé sans solde"),AND(F1110="Congé",D1110="Congé spécial"),AND(F1110="Congé",D1110="Férié"),AND(F1110="Congé sans solde",D1110="OFF"),AND(F1110="Congé sans solde",D1110="Congé"),AND(F1110="Congé sans solde",D1110="Congé spécial"),AND(F1110="Congé sans solde",D1110="Férié"),AND(F1110="Congé spécial",D1110="OFF"),AND(F1110="Congé spécial",D1110="Congé"),AND(F1110="Congé spécial",D1110="Congé sans solde"),AND(F1110="Congé spécial",D1110="Férié"),AND(F1110="Férié",D1110="OFF"),AND(F1110="Férié",D1110="Congé"),AND(F1110="Férié",D1110="Congé sans solde"),AND(F1110="Férié",D1110="Congé spécial")),0,IF(OR(F1110="OFF",F1110="Congé",F1110="Congé spécial",F1110="Congé sans solde",D1110="OFF",D1110="Congé",D1110="Congé spécial",D1110="Congé sans solde"),0.208333333333334,IF(AND(AG1110="",F1110-D1110&lt;0),("24:00:00"-D1110)+("00:00:00"+F1110)-0.0416666666666667,IF(AND(OR(AG1110="Allaitement",AG1110="Sans déjeuner"),F1110-D1110&lt;0),("24:00:00"-D1110)+("00:00:00"+F1110),IF(AND(AG1110="",F1110-D1110&gt;0.166666666666667),F1110-D1110-0.0416666666666667,IF(AND(OR(AG1110="Allaitement",AG1110="Sans déjeuner"),F1110-D1110&gt;0.166666666666667),F1110-D1110,F1110-D1110)))))))</f>
        <v>0.375</v>
      </c>
      <c r="P1110" s="6" t="str">
        <f aca="false">IFERROR(VLOOKUP($B1110,Agents!$A:$D,2,0),"-")</f>
        <v>Accessibilité</v>
      </c>
      <c r="Q1110" s="21" t="n">
        <v>46300</v>
      </c>
      <c r="R1110" s="8" t="n">
        <f aca="false">IF(M1110="Abs",O1110,0)</f>
        <v>0</v>
      </c>
      <c r="S1110" s="8" t="n">
        <f aca="false">SUM(R1110,L1110,I1110,J1110,W1110,H1110)</f>
        <v>0</v>
      </c>
      <c r="T1110" s="6" t="str">
        <f aca="false">"Sem - "&amp;WEEKNUM(Q1110,21)</f>
        <v>Sem - 41</v>
      </c>
      <c r="U1110" s="6" t="str">
        <f aca="false">CHOOSE(MONTH(Q1110),"Janvier","Février","Mars","Avril","Mai","Juin","Juillet","Août","Septembre","Octobre","Novembre","Décembre")</f>
        <v>Octobre</v>
      </c>
      <c r="V1110" s="22" t="n">
        <f aca="false">YEAR(Q1110)</f>
        <v>2026</v>
      </c>
      <c r="W1110" s="20"/>
      <c r="X1110" s="8" t="n">
        <f aca="false">IFERROR(IF(M1110="Abs",0,IF(ROUND((D1110-C1110+E1110-F1110)*1440,0)&lt;=1,0,D1110-C1110+E1110-F1110)),0)</f>
        <v>0</v>
      </c>
      <c r="Y1110" s="6" t="str">
        <f aca="false">IFERROR(VLOOKUP($B1110,Agents!$A:$D,3,0),"-")</f>
        <v>OUBRAHIM Mohammed</v>
      </c>
      <c r="Z1110" s="6" t="str">
        <f aca="false">IFERROR(VLOOKUP($B1110,Agents!$A:$D,4,0),"-")</f>
        <v>Credit Mutuel</v>
      </c>
      <c r="AA1110" s="18" t="s">
        <v>123</v>
      </c>
      <c r="AB1110" s="8" t="str">
        <f aca="false">IF(AND(D1110="Congé",F1110="Congé"),0.333333333333333,IF(OR(AND(D1110="Congé",F1110&lt;&gt;"Congé"),(AND(F1110="Congé",D1110&lt;&gt;"Congé"))),0.166666666666667,""))</f>
        <v/>
      </c>
      <c r="AC1110" s="8" t="str">
        <f aca="false">IF(AND(D1110="Congé sans solde",F1110="Congé sans solde"),0.333333333333333,IF(OR(AND(D1110="Congé sans solde",F1110&lt;&gt;"Congé sans solde"),(AND(F1110="Congé sans solde",D1110&lt;&gt;"Congé sans solde"))),0.166666666666667,""))</f>
        <v/>
      </c>
      <c r="AD1110" s="8" t="str">
        <f aca="false">IF(AND(D1110="Congé spécial",F1110="Congé spécial"),0.333333333333333,IF(OR(AND(D1110="Congé spécial",F1110&lt;&gt;"Congé spécial"),AND(F1110="Congé spécial",D1110&lt;&gt;"Congé spécial")),0.166666666666667,""))</f>
        <v/>
      </c>
      <c r="AE1110" s="8" t="str">
        <f aca="false">IF(AND(D1110="Férié",F1110="Férié"),0.333333333333333,IF(OR(AND(D1110="Férié",F1110&lt;&gt;"Férié"),(AND(F1110="Férié",D1110&lt;&gt;"Férié"))),0.166666666666667,""))</f>
        <v/>
      </c>
      <c r="AF1110" s="18"/>
      <c r="AG1110" s="18"/>
    </row>
    <row r="1111" customFormat="false" ht="15" hidden="false" customHeight="false" outlineLevel="0" collapsed="false">
      <c r="A1111" s="6" t="str">
        <f aca="false">YEAR(Q1111-WEEKDAY(Q1111,2)+4)&amp;"-S"&amp;TEXT(WEEKNUM(Q1111,21),"00")</f>
        <v>2026-S41</v>
      </c>
      <c r="B1111" s="18" t="s">
        <v>71</v>
      </c>
      <c r="C1111" s="19" t="n">
        <v>0.333333333333333</v>
      </c>
      <c r="D1111" s="19" t="n">
        <v>0.333333333333333</v>
      </c>
      <c r="E1111" s="19" t="n">
        <v>0.75</v>
      </c>
      <c r="F1111" s="19" t="n">
        <v>0.75</v>
      </c>
      <c r="G1111" s="20"/>
      <c r="H1111" s="20"/>
      <c r="I1111" s="8" t="str">
        <f aca="false">IF(IF(OR(C1111="",D1111="Congé",D1111="OFF",D1111="Congé spécial"),"",IF(D1111&gt;F1111,D1111-C1111,IF(C1111-D1111&lt;0,0,C1111-D1111)))&lt;0.00068287037037037,"",IF(OR(D1111="Congé",D1111="OFF",C1111="",D1111="Congé spécial"),"",IF(D1111&gt;F1111,D1111-C1111,IF(C1111-D1111&lt;0,0,C1111-D1111))))</f>
        <v/>
      </c>
      <c r="J1111" s="20"/>
      <c r="K1111" s="8" t="n">
        <f aca="false">IF(SUM(H1111:J1111)&lt;0.00068287037037037,0,SUM(H1111:J1111))</f>
        <v>0</v>
      </c>
      <c r="L1111" s="8" t="n">
        <f aca="false">IF(OR(F1111="Congé",F1111="OFF",M1111="Abs",F1111="Congé sans solde",F1111="Férié",F1111="Congé spécial",D1111="Congé spécial"),0,IF(F1111-E1111&lt;0,0,IF(F1111-E1111&lt;=0.00068287037037037,0,F1111-E1111)))</f>
        <v>0</v>
      </c>
      <c r="M1111" s="6" t="n">
        <f aca="false">IF(AND(O1111&lt;&gt;0,C1111=""),"Abs",0)</f>
        <v>0</v>
      </c>
      <c r="N1111" s="8" t="n">
        <f aca="false">IFERROR(IF(OR(D1111="OFF",D1111="Congé",M1111="Abs",D1111="Congé sans solde",D1111="Férié"),"",IF(O1111-K1111-L1111&gt;O1111,O1111,IF(O1111-K1111-L1111&lt;0,"",O1111-K1111-L1111))),"")</f>
        <v>0.375</v>
      </c>
      <c r="O1111" s="8" t="n">
        <f aca="false">IF(AG1111="2H Pause déjeuner",IF(F1111-D1111-0.0833333333333333&lt;0,F1111-D1111-0.0833333333333333+1,F1111-D1111-0.0833333333333333),IF(OR(AND(F1111="OFF",D1111="OFF"),AND(F1111="Congé",D1111="Congé"),AND(F1111="Congé sans solde",D1111="Congé sans solde"),AND(F1111="Congé spécial",D1111="Congé spécial"),AND(F1111="Férié",D1111="Férié"),AND(F1111="OFF",D1111="Congé"),AND(F1111="OFF",D1111="Congé sans solde"),AND(F1111="OFF",D1111="Congé spécial"),AND(F1111="OFF",D1111="Férié"),AND(F1111="Congé",D1111="OFF"),AND(F1111="Congé",D1111="Congé sans solde"),AND(F1111="Congé",D1111="Congé spécial"),AND(F1111="Congé",D1111="Férié"),AND(F1111="Congé sans solde",D1111="OFF"),AND(F1111="Congé sans solde",D1111="Congé"),AND(F1111="Congé sans solde",D1111="Congé spécial"),AND(F1111="Congé sans solde",D1111="Férié"),AND(F1111="Congé spécial",D1111="OFF"),AND(F1111="Congé spécial",D1111="Congé"),AND(F1111="Congé spécial",D1111="Congé sans solde"),AND(F1111="Congé spécial",D1111="Férié"),AND(F1111="Férié",D1111="OFF"),AND(F1111="Férié",D1111="Congé"),AND(F1111="Férié",D1111="Congé sans solde"),AND(F1111="Férié",D1111="Congé spécial")),0,IF(OR(F1111="OFF",F1111="Congé",F1111="Congé spécial",F1111="Congé sans solde",D1111="OFF",D1111="Congé",D1111="Congé spécial",D1111="Congé sans solde"),0.208333333333334,IF(AND(AG1111="",F1111-D1111&lt;0),("24:00:00"-D1111)+("00:00:00"+F1111)-0.0416666666666667,IF(AND(OR(AG1111="Allaitement",AG1111="Sans déjeuner"),F1111-D1111&lt;0),("24:00:00"-D1111)+("00:00:00"+F1111),IF(AND(AG1111="",F1111-D1111&gt;0.166666666666667),F1111-D1111-0.0416666666666667,IF(AND(OR(AG1111="Allaitement",AG1111="Sans déjeuner"),F1111-D1111&gt;0.166666666666667),F1111-D1111,F1111-D1111)))))))</f>
        <v>0.375</v>
      </c>
      <c r="P1111" s="6" t="str">
        <f aca="false">IFERROR(VLOOKUP($B1111,Agents!$A:$D,2,0),"-")</f>
        <v>Accessibilité</v>
      </c>
      <c r="Q1111" s="21" t="n">
        <v>46301</v>
      </c>
      <c r="R1111" s="8" t="n">
        <f aca="false">IF(M1111="Abs",O1111,0)</f>
        <v>0</v>
      </c>
      <c r="S1111" s="8" t="n">
        <f aca="false">SUM(R1111,L1111,I1111,J1111,W1111,H1111)</f>
        <v>0</v>
      </c>
      <c r="T1111" s="6" t="str">
        <f aca="false">"Sem - "&amp;WEEKNUM(Q1111,21)</f>
        <v>Sem - 41</v>
      </c>
      <c r="U1111" s="6" t="str">
        <f aca="false">CHOOSE(MONTH(Q1111),"Janvier","Février","Mars","Avril","Mai","Juin","Juillet","Août","Septembre","Octobre","Novembre","Décembre")</f>
        <v>Octobre</v>
      </c>
      <c r="V1111" s="22" t="n">
        <f aca="false">YEAR(Q1111)</f>
        <v>2026</v>
      </c>
      <c r="W1111" s="20"/>
      <c r="X1111" s="8" t="n">
        <f aca="false">IFERROR(IF(M1111="Abs",0,IF(ROUND((D1111-C1111+E1111-F1111)*1440,0)&lt;=1,0,D1111-C1111+E1111-F1111)),0)</f>
        <v>0</v>
      </c>
      <c r="Y1111" s="6" t="str">
        <f aca="false">IFERROR(VLOOKUP($B1111,Agents!$A:$D,3,0),"-")</f>
        <v>OUBRAHIM Mohammed</v>
      </c>
      <c r="Z1111" s="6" t="str">
        <f aca="false">IFERROR(VLOOKUP($B1111,Agents!$A:$D,4,0),"-")</f>
        <v>Credit Mutuel</v>
      </c>
      <c r="AA1111" s="18" t="s">
        <v>123</v>
      </c>
      <c r="AB1111" s="8" t="str">
        <f aca="false">IF(AND(D1111="Congé",F1111="Congé"),0.333333333333333,IF(OR(AND(D1111="Congé",F1111&lt;&gt;"Congé"),(AND(F1111="Congé",D1111&lt;&gt;"Congé"))),0.166666666666667,""))</f>
        <v/>
      </c>
      <c r="AC1111" s="8" t="str">
        <f aca="false">IF(AND(D1111="Congé sans solde",F1111="Congé sans solde"),0.333333333333333,IF(OR(AND(D1111="Congé sans solde",F1111&lt;&gt;"Congé sans solde"),(AND(F1111="Congé sans solde",D1111&lt;&gt;"Congé sans solde"))),0.166666666666667,""))</f>
        <v/>
      </c>
      <c r="AD1111" s="8" t="str">
        <f aca="false">IF(AND(D1111="Congé spécial",F1111="Congé spécial"),0.333333333333333,IF(OR(AND(D1111="Congé spécial",F1111&lt;&gt;"Congé spécial"),AND(F1111="Congé spécial",D1111&lt;&gt;"Congé spécial")),0.166666666666667,""))</f>
        <v/>
      </c>
      <c r="AE1111" s="8" t="str">
        <f aca="false">IF(AND(D1111="Férié",F1111="Férié"),0.333333333333333,IF(OR(AND(D1111="Férié",F1111&lt;&gt;"Férié"),(AND(F1111="Férié",D1111&lt;&gt;"Férié"))),0.166666666666667,""))</f>
        <v/>
      </c>
      <c r="AF1111" s="18"/>
      <c r="AG1111" s="18"/>
    </row>
    <row r="1112" customFormat="false" ht="15" hidden="false" customHeight="false" outlineLevel="0" collapsed="false">
      <c r="A1112" s="6" t="str">
        <f aca="false">YEAR(Q1112-WEEKDAY(Q1112,2)+4)&amp;"-S"&amp;TEXT(WEEKNUM(Q1112,21),"00")</f>
        <v>2026-S41</v>
      </c>
      <c r="B1112" s="18" t="s">
        <v>72</v>
      </c>
      <c r="C1112" s="19" t="n">
        <v>0.333333333333333</v>
      </c>
      <c r="D1112" s="19" t="n">
        <v>0.333333333333333</v>
      </c>
      <c r="E1112" s="19" t="n">
        <v>0.75</v>
      </c>
      <c r="F1112" s="19" t="n">
        <v>0.75</v>
      </c>
      <c r="G1112" s="20"/>
      <c r="H1112" s="20"/>
      <c r="I1112" s="8" t="str">
        <f aca="false">IF(IF(OR(C1112="",D1112="Congé",D1112="OFF",D1112="Congé spécial"),"",IF(D1112&gt;F1112,D1112-C1112,IF(C1112-D1112&lt;0,0,C1112-D1112)))&lt;0.00068287037037037,"",IF(OR(D1112="Congé",D1112="OFF",C1112="",D1112="Congé spécial"),"",IF(D1112&gt;F1112,D1112-C1112,IF(C1112-D1112&lt;0,0,C1112-D1112))))</f>
        <v/>
      </c>
      <c r="J1112" s="20"/>
      <c r="K1112" s="8" t="n">
        <f aca="false">IF(SUM(H1112:J1112)&lt;0.00068287037037037,0,SUM(H1112:J1112))</f>
        <v>0</v>
      </c>
      <c r="L1112" s="8" t="n">
        <f aca="false">IF(OR(F1112="Congé",F1112="OFF",M1112="Abs",F1112="Congé sans solde",F1112="Férié",F1112="Congé spécial",D1112="Congé spécial"),0,IF(F1112-E1112&lt;0,0,IF(F1112-E1112&lt;=0.00068287037037037,0,F1112-E1112)))</f>
        <v>0</v>
      </c>
      <c r="M1112" s="6" t="n">
        <f aca="false">IF(AND(O1112&lt;&gt;0,C1112=""),"Abs",0)</f>
        <v>0</v>
      </c>
      <c r="N1112" s="8" t="n">
        <f aca="false">IFERROR(IF(OR(D1112="OFF",D1112="Congé",M1112="Abs",D1112="Congé sans solde",D1112="Férié"),"",IF(O1112-K1112-L1112&gt;O1112,O1112,IF(O1112-K1112-L1112&lt;0,"",O1112-K1112-L1112))),"")</f>
        <v>0.375</v>
      </c>
      <c r="O1112" s="8" t="n">
        <f aca="false">IF(AG1112="2H Pause déjeuner",IF(F1112-D1112-0.0833333333333333&lt;0,F1112-D1112-0.0833333333333333+1,F1112-D1112-0.0833333333333333),IF(OR(AND(F1112="OFF",D1112="OFF"),AND(F1112="Congé",D1112="Congé"),AND(F1112="Congé sans solde",D1112="Congé sans solde"),AND(F1112="Congé spécial",D1112="Congé spécial"),AND(F1112="Férié",D1112="Férié"),AND(F1112="OFF",D1112="Congé"),AND(F1112="OFF",D1112="Congé sans solde"),AND(F1112="OFF",D1112="Congé spécial"),AND(F1112="OFF",D1112="Férié"),AND(F1112="Congé",D1112="OFF"),AND(F1112="Congé",D1112="Congé sans solde"),AND(F1112="Congé",D1112="Congé spécial"),AND(F1112="Congé",D1112="Férié"),AND(F1112="Congé sans solde",D1112="OFF"),AND(F1112="Congé sans solde",D1112="Congé"),AND(F1112="Congé sans solde",D1112="Congé spécial"),AND(F1112="Congé sans solde",D1112="Férié"),AND(F1112="Congé spécial",D1112="OFF"),AND(F1112="Congé spécial",D1112="Congé"),AND(F1112="Congé spécial",D1112="Congé sans solde"),AND(F1112="Congé spécial",D1112="Férié"),AND(F1112="Férié",D1112="OFF"),AND(F1112="Férié",D1112="Congé"),AND(F1112="Férié",D1112="Congé sans solde"),AND(F1112="Férié",D1112="Congé spécial")),0,IF(OR(F1112="OFF",F1112="Congé",F1112="Congé spécial",F1112="Congé sans solde",D1112="OFF",D1112="Congé",D1112="Congé spécial",D1112="Congé sans solde"),0.208333333333334,IF(AND(AG1112="",F1112-D1112&lt;0),("24:00:00"-D1112)+("00:00:00"+F1112)-0.0416666666666667,IF(AND(OR(AG1112="Allaitement",AG1112="Sans déjeuner"),F1112-D1112&lt;0),("24:00:00"-D1112)+("00:00:00"+F1112),IF(AND(AG1112="",F1112-D1112&gt;0.166666666666667),F1112-D1112-0.0416666666666667,IF(AND(OR(AG1112="Allaitement",AG1112="Sans déjeuner"),F1112-D1112&gt;0.166666666666667),F1112-D1112,F1112-D1112)))))))</f>
        <v>0.375</v>
      </c>
      <c r="P1112" s="6" t="str">
        <f aca="false">IFERROR(VLOOKUP($B1112,Agents!$A:$D,2,0),"-")</f>
        <v>Accessibilité</v>
      </c>
      <c r="Q1112" s="21" t="n">
        <v>46301</v>
      </c>
      <c r="R1112" s="8" t="n">
        <f aca="false">IF(M1112="Abs",O1112,0)</f>
        <v>0</v>
      </c>
      <c r="S1112" s="8" t="n">
        <f aca="false">SUM(R1112,L1112,I1112,J1112,W1112,H1112)</f>
        <v>0</v>
      </c>
      <c r="T1112" s="6" t="str">
        <f aca="false">"Sem - "&amp;WEEKNUM(Q1112,21)</f>
        <v>Sem - 41</v>
      </c>
      <c r="U1112" s="6" t="str">
        <f aca="false">CHOOSE(MONTH(Q1112),"Janvier","Février","Mars","Avril","Mai","Juin","Juillet","Août","Septembre","Octobre","Novembre","Décembre")</f>
        <v>Octobre</v>
      </c>
      <c r="V1112" s="22" t="n">
        <f aca="false">YEAR(Q1112)</f>
        <v>2026</v>
      </c>
      <c r="W1112" s="20"/>
      <c r="X1112" s="8" t="n">
        <f aca="false">IFERROR(IF(M1112="Abs",0,IF(ROUND((D1112-C1112+E1112-F1112)*1440,0)&lt;=1,0,D1112-C1112+E1112-F1112)),0)</f>
        <v>0</v>
      </c>
      <c r="Y1112" s="6" t="str">
        <f aca="false">IFERROR(VLOOKUP($B1112,Agents!$A:$D,3,0),"-")</f>
        <v>OUBRAHIM Mohammed</v>
      </c>
      <c r="Z1112" s="6" t="str">
        <f aca="false">IFERROR(VLOOKUP($B1112,Agents!$A:$D,4,0),"-")</f>
        <v>Credit Mutuel</v>
      </c>
      <c r="AA1112" s="18" t="s">
        <v>123</v>
      </c>
      <c r="AB1112" s="8" t="str">
        <f aca="false">IF(AND(D1112="Congé",F1112="Congé"),0.333333333333333,IF(OR(AND(D1112="Congé",F1112&lt;&gt;"Congé"),(AND(F1112="Congé",D1112&lt;&gt;"Congé"))),0.166666666666667,""))</f>
        <v/>
      </c>
      <c r="AC1112" s="8" t="str">
        <f aca="false">IF(AND(D1112="Congé sans solde",F1112="Congé sans solde"),0.333333333333333,IF(OR(AND(D1112="Congé sans solde",F1112&lt;&gt;"Congé sans solde"),(AND(F1112="Congé sans solde",D1112&lt;&gt;"Congé sans solde"))),0.166666666666667,""))</f>
        <v/>
      </c>
      <c r="AD1112" s="8" t="str">
        <f aca="false">IF(AND(D1112="Congé spécial",F1112="Congé spécial"),0.333333333333333,IF(OR(AND(D1112="Congé spécial",F1112&lt;&gt;"Congé spécial"),AND(F1112="Congé spécial",D1112&lt;&gt;"Congé spécial")),0.166666666666667,""))</f>
        <v/>
      </c>
      <c r="AE1112" s="8" t="str">
        <f aca="false">IF(AND(D1112="Férié",F1112="Férié"),0.333333333333333,IF(OR(AND(D1112="Férié",F1112&lt;&gt;"Férié"),(AND(F1112="Férié",D1112&lt;&gt;"Férié"))),0.166666666666667,""))</f>
        <v/>
      </c>
      <c r="AF1112" s="18"/>
      <c r="AG1112" s="18"/>
    </row>
    <row r="1113" customFormat="false" ht="15" hidden="false" customHeight="false" outlineLevel="0" collapsed="false">
      <c r="A1113" s="6" t="str">
        <f aca="false">YEAR(Q1113-WEEKDAY(Q1113,2)+4)&amp;"-S"&amp;TEXT(WEEKNUM(Q1113,21),"00")</f>
        <v>2026-S41</v>
      </c>
      <c r="B1113" s="18" t="s">
        <v>73</v>
      </c>
      <c r="C1113" s="19" t="n">
        <v>0.333333333333333</v>
      </c>
      <c r="D1113" s="19" t="n">
        <v>0.333333333333333</v>
      </c>
      <c r="E1113" s="19" t="n">
        <v>0.75</v>
      </c>
      <c r="F1113" s="19" t="n">
        <v>0.75</v>
      </c>
      <c r="G1113" s="20"/>
      <c r="H1113" s="20"/>
      <c r="I1113" s="8" t="str">
        <f aca="false">IF(IF(OR(C1113="",D1113="Congé",D1113="OFF",D1113="Congé spécial"),"",IF(D1113&gt;F1113,D1113-C1113,IF(C1113-D1113&lt;0,0,C1113-D1113)))&lt;0.00068287037037037,"",IF(OR(D1113="Congé",D1113="OFF",C1113="",D1113="Congé spécial"),"",IF(D1113&gt;F1113,D1113-C1113,IF(C1113-D1113&lt;0,0,C1113-D1113))))</f>
        <v/>
      </c>
      <c r="J1113" s="20"/>
      <c r="K1113" s="8" t="n">
        <f aca="false">IF(SUM(H1113:J1113)&lt;0.00068287037037037,0,SUM(H1113:J1113))</f>
        <v>0</v>
      </c>
      <c r="L1113" s="8" t="n">
        <f aca="false">IF(OR(F1113="Congé",F1113="OFF",M1113="Abs",F1113="Congé sans solde",F1113="Férié",F1113="Congé spécial",D1113="Congé spécial"),0,IF(F1113-E1113&lt;0,0,IF(F1113-E1113&lt;=0.00068287037037037,0,F1113-E1113)))</f>
        <v>0</v>
      </c>
      <c r="M1113" s="6" t="n">
        <f aca="false">IF(AND(O1113&lt;&gt;0,C1113=""),"Abs",0)</f>
        <v>0</v>
      </c>
      <c r="N1113" s="8" t="n">
        <f aca="false">IFERROR(IF(OR(D1113="OFF",D1113="Congé",M1113="Abs",D1113="Congé sans solde",D1113="Férié"),"",IF(O1113-K1113-L1113&gt;O1113,O1113,IF(O1113-K1113-L1113&lt;0,"",O1113-K1113-L1113))),"")</f>
        <v>0.375</v>
      </c>
      <c r="O1113" s="8" t="n">
        <f aca="false">IF(AG1113="2H Pause déjeuner",IF(F1113-D1113-0.0833333333333333&lt;0,F1113-D1113-0.0833333333333333+1,F1113-D1113-0.0833333333333333),IF(OR(AND(F1113="OFF",D1113="OFF"),AND(F1113="Congé",D1113="Congé"),AND(F1113="Congé sans solde",D1113="Congé sans solde"),AND(F1113="Congé spécial",D1113="Congé spécial"),AND(F1113="Férié",D1113="Férié"),AND(F1113="OFF",D1113="Congé"),AND(F1113="OFF",D1113="Congé sans solde"),AND(F1113="OFF",D1113="Congé spécial"),AND(F1113="OFF",D1113="Férié"),AND(F1113="Congé",D1113="OFF"),AND(F1113="Congé",D1113="Congé sans solde"),AND(F1113="Congé",D1113="Congé spécial"),AND(F1113="Congé",D1113="Férié"),AND(F1113="Congé sans solde",D1113="OFF"),AND(F1113="Congé sans solde",D1113="Congé"),AND(F1113="Congé sans solde",D1113="Congé spécial"),AND(F1113="Congé sans solde",D1113="Férié"),AND(F1113="Congé spécial",D1113="OFF"),AND(F1113="Congé spécial",D1113="Congé"),AND(F1113="Congé spécial",D1113="Congé sans solde"),AND(F1113="Congé spécial",D1113="Férié"),AND(F1113="Férié",D1113="OFF"),AND(F1113="Férié",D1113="Congé"),AND(F1113="Férié",D1113="Congé sans solde"),AND(F1113="Férié",D1113="Congé spécial")),0,IF(OR(F1113="OFF",F1113="Congé",F1113="Congé spécial",F1113="Congé sans solde",D1113="OFF",D1113="Congé",D1113="Congé spécial",D1113="Congé sans solde"),0.208333333333334,IF(AND(AG1113="",F1113-D1113&lt;0),("24:00:00"-D1113)+("00:00:00"+F1113)-0.0416666666666667,IF(AND(OR(AG1113="Allaitement",AG1113="Sans déjeuner"),F1113-D1113&lt;0),("24:00:00"-D1113)+("00:00:00"+F1113),IF(AND(AG1113="",F1113-D1113&gt;0.166666666666667),F1113-D1113-0.0416666666666667,IF(AND(OR(AG1113="Allaitement",AG1113="Sans déjeuner"),F1113-D1113&gt;0.166666666666667),F1113-D1113,F1113-D1113)))))))</f>
        <v>0.375</v>
      </c>
      <c r="P1113" s="6" t="str">
        <f aca="false">IFERROR(VLOOKUP($B1113,Agents!$A:$D,2,0),"-")</f>
        <v>Accessibilité</v>
      </c>
      <c r="Q1113" s="21" t="n">
        <v>46301</v>
      </c>
      <c r="R1113" s="8" t="n">
        <f aca="false">IF(M1113="Abs",O1113,0)</f>
        <v>0</v>
      </c>
      <c r="S1113" s="8" t="n">
        <f aca="false">SUM(R1113,L1113,I1113,J1113,W1113,H1113)</f>
        <v>0</v>
      </c>
      <c r="T1113" s="6" t="str">
        <f aca="false">"Sem - "&amp;WEEKNUM(Q1113,21)</f>
        <v>Sem - 41</v>
      </c>
      <c r="U1113" s="6" t="str">
        <f aca="false">CHOOSE(MONTH(Q1113),"Janvier","Février","Mars","Avril","Mai","Juin","Juillet","Août","Septembre","Octobre","Novembre","Décembre")</f>
        <v>Octobre</v>
      </c>
      <c r="V1113" s="22" t="n">
        <f aca="false">YEAR(Q1113)</f>
        <v>2026</v>
      </c>
      <c r="W1113" s="20"/>
      <c r="X1113" s="8" t="n">
        <f aca="false">IFERROR(IF(M1113="Abs",0,IF(ROUND((D1113-C1113+E1113-F1113)*1440,0)&lt;=1,0,D1113-C1113+E1113-F1113)),0)</f>
        <v>0</v>
      </c>
      <c r="Y1113" s="6" t="str">
        <f aca="false">IFERROR(VLOOKUP($B1113,Agents!$A:$D,3,0),"-")</f>
        <v>OUBRAHIM Mohammed</v>
      </c>
      <c r="Z1113" s="6" t="str">
        <f aca="false">IFERROR(VLOOKUP($B1113,Agents!$A:$D,4,0),"-")</f>
        <v>Credit Mutuel</v>
      </c>
      <c r="AA1113" s="18" t="s">
        <v>123</v>
      </c>
      <c r="AB1113" s="8" t="str">
        <f aca="false">IF(AND(D1113="Congé",F1113="Congé"),0.333333333333333,IF(OR(AND(D1113="Congé",F1113&lt;&gt;"Congé"),(AND(F1113="Congé",D1113&lt;&gt;"Congé"))),0.166666666666667,""))</f>
        <v/>
      </c>
      <c r="AC1113" s="8" t="str">
        <f aca="false">IF(AND(D1113="Congé sans solde",F1113="Congé sans solde"),0.333333333333333,IF(OR(AND(D1113="Congé sans solde",F1113&lt;&gt;"Congé sans solde"),(AND(F1113="Congé sans solde",D1113&lt;&gt;"Congé sans solde"))),0.166666666666667,""))</f>
        <v/>
      </c>
      <c r="AD1113" s="8" t="str">
        <f aca="false">IF(AND(D1113="Congé spécial",F1113="Congé spécial"),0.333333333333333,IF(OR(AND(D1113="Congé spécial",F1113&lt;&gt;"Congé spécial"),AND(F1113="Congé spécial",D1113&lt;&gt;"Congé spécial")),0.166666666666667,""))</f>
        <v/>
      </c>
      <c r="AE1113" s="8" t="str">
        <f aca="false">IF(AND(D1113="Férié",F1113="Férié"),0.333333333333333,IF(OR(AND(D1113="Férié",F1113&lt;&gt;"Férié"),(AND(F1113="Férié",D1113&lt;&gt;"Férié"))),0.166666666666667,""))</f>
        <v/>
      </c>
      <c r="AF1113" s="18"/>
      <c r="AG1113" s="18"/>
    </row>
    <row r="1114" customFormat="false" ht="15" hidden="false" customHeight="false" outlineLevel="0" collapsed="false">
      <c r="A1114" s="6" t="str">
        <f aca="false">YEAR(Q1114-WEEKDAY(Q1114,2)+4)&amp;"-S"&amp;TEXT(WEEKNUM(Q1114,21),"00")</f>
        <v>2026-S41</v>
      </c>
      <c r="B1114" s="18" t="s">
        <v>71</v>
      </c>
      <c r="C1114" s="19" t="n">
        <v>0.333333333333333</v>
      </c>
      <c r="D1114" s="19" t="n">
        <v>0.333333333333333</v>
      </c>
      <c r="E1114" s="19" t="n">
        <v>0.75</v>
      </c>
      <c r="F1114" s="19" t="n">
        <v>0.75</v>
      </c>
      <c r="G1114" s="20"/>
      <c r="H1114" s="20"/>
      <c r="I1114" s="8" t="str">
        <f aca="false">IF(IF(OR(C1114="",D1114="Congé",D1114="OFF",D1114="Congé spécial"),"",IF(D1114&gt;F1114,D1114-C1114,IF(C1114-D1114&lt;0,0,C1114-D1114)))&lt;0.00068287037037037,"",IF(OR(D1114="Congé",D1114="OFF",C1114="",D1114="Congé spécial"),"",IF(D1114&gt;F1114,D1114-C1114,IF(C1114-D1114&lt;0,0,C1114-D1114))))</f>
        <v/>
      </c>
      <c r="J1114" s="20"/>
      <c r="K1114" s="8" t="n">
        <f aca="false">IF(SUM(H1114:J1114)&lt;0.00068287037037037,0,SUM(H1114:J1114))</f>
        <v>0</v>
      </c>
      <c r="L1114" s="8" t="n">
        <f aca="false">IF(OR(F1114="Congé",F1114="OFF",M1114="Abs",F1114="Congé sans solde",F1114="Férié",F1114="Congé spécial",D1114="Congé spécial"),0,IF(F1114-E1114&lt;0,0,IF(F1114-E1114&lt;=0.00068287037037037,0,F1114-E1114)))</f>
        <v>0</v>
      </c>
      <c r="M1114" s="6" t="n">
        <f aca="false">IF(AND(O1114&lt;&gt;0,C1114=""),"Abs",0)</f>
        <v>0</v>
      </c>
      <c r="N1114" s="8" t="n">
        <f aca="false">IFERROR(IF(OR(D1114="OFF",D1114="Congé",M1114="Abs",D1114="Congé sans solde",D1114="Férié"),"",IF(O1114-K1114-L1114&gt;O1114,O1114,IF(O1114-K1114-L1114&lt;0,"",O1114-K1114-L1114))),"")</f>
        <v>0.375</v>
      </c>
      <c r="O1114" s="8" t="n">
        <f aca="false">IF(AG1114="2H Pause déjeuner",IF(F1114-D1114-0.0833333333333333&lt;0,F1114-D1114-0.0833333333333333+1,F1114-D1114-0.0833333333333333),IF(OR(AND(F1114="OFF",D1114="OFF"),AND(F1114="Congé",D1114="Congé"),AND(F1114="Congé sans solde",D1114="Congé sans solde"),AND(F1114="Congé spécial",D1114="Congé spécial"),AND(F1114="Férié",D1114="Férié"),AND(F1114="OFF",D1114="Congé"),AND(F1114="OFF",D1114="Congé sans solde"),AND(F1114="OFF",D1114="Congé spécial"),AND(F1114="OFF",D1114="Férié"),AND(F1114="Congé",D1114="OFF"),AND(F1114="Congé",D1114="Congé sans solde"),AND(F1114="Congé",D1114="Congé spécial"),AND(F1114="Congé",D1114="Férié"),AND(F1114="Congé sans solde",D1114="OFF"),AND(F1114="Congé sans solde",D1114="Congé"),AND(F1114="Congé sans solde",D1114="Congé spécial"),AND(F1114="Congé sans solde",D1114="Férié"),AND(F1114="Congé spécial",D1114="OFF"),AND(F1114="Congé spécial",D1114="Congé"),AND(F1114="Congé spécial",D1114="Congé sans solde"),AND(F1114="Congé spécial",D1114="Férié"),AND(F1114="Férié",D1114="OFF"),AND(F1114="Férié",D1114="Congé"),AND(F1114="Férié",D1114="Congé sans solde"),AND(F1114="Férié",D1114="Congé spécial")),0,IF(OR(F1114="OFF",F1114="Congé",F1114="Congé spécial",F1114="Congé sans solde",D1114="OFF",D1114="Congé",D1114="Congé spécial",D1114="Congé sans solde"),0.208333333333334,IF(AND(AG1114="",F1114-D1114&lt;0),("24:00:00"-D1114)+("00:00:00"+F1114)-0.0416666666666667,IF(AND(OR(AG1114="Allaitement",AG1114="Sans déjeuner"),F1114-D1114&lt;0),("24:00:00"-D1114)+("00:00:00"+F1114),IF(AND(AG1114="",F1114-D1114&gt;0.166666666666667),F1114-D1114-0.0416666666666667,IF(AND(OR(AG1114="Allaitement",AG1114="Sans déjeuner"),F1114-D1114&gt;0.166666666666667),F1114-D1114,F1114-D1114)))))))</f>
        <v>0.375</v>
      </c>
      <c r="P1114" s="6" t="str">
        <f aca="false">IFERROR(VLOOKUP($B1114,Agents!$A:$D,2,0),"-")</f>
        <v>Accessibilité</v>
      </c>
      <c r="Q1114" s="21" t="n">
        <v>46302</v>
      </c>
      <c r="R1114" s="8" t="n">
        <f aca="false">IF(M1114="Abs",O1114,0)</f>
        <v>0</v>
      </c>
      <c r="S1114" s="8" t="n">
        <f aca="false">SUM(R1114,L1114,I1114,J1114,W1114,H1114)</f>
        <v>0</v>
      </c>
      <c r="T1114" s="6" t="str">
        <f aca="false">"Sem - "&amp;WEEKNUM(Q1114,21)</f>
        <v>Sem - 41</v>
      </c>
      <c r="U1114" s="6" t="str">
        <f aca="false">CHOOSE(MONTH(Q1114),"Janvier","Février","Mars","Avril","Mai","Juin","Juillet","Août","Septembre","Octobre","Novembre","Décembre")</f>
        <v>Octobre</v>
      </c>
      <c r="V1114" s="22" t="n">
        <f aca="false">YEAR(Q1114)</f>
        <v>2026</v>
      </c>
      <c r="W1114" s="20"/>
      <c r="X1114" s="8" t="n">
        <f aca="false">IFERROR(IF(M1114="Abs",0,IF(ROUND((D1114-C1114+E1114-F1114)*1440,0)&lt;=1,0,D1114-C1114+E1114-F1114)),0)</f>
        <v>0</v>
      </c>
      <c r="Y1114" s="6" t="str">
        <f aca="false">IFERROR(VLOOKUP($B1114,Agents!$A:$D,3,0),"-")</f>
        <v>OUBRAHIM Mohammed</v>
      </c>
      <c r="Z1114" s="6" t="str">
        <f aca="false">IFERROR(VLOOKUP($B1114,Agents!$A:$D,4,0),"-")</f>
        <v>Credit Mutuel</v>
      </c>
      <c r="AA1114" s="18" t="s">
        <v>123</v>
      </c>
      <c r="AB1114" s="8" t="str">
        <f aca="false">IF(AND(D1114="Congé",F1114="Congé"),0.333333333333333,IF(OR(AND(D1114="Congé",F1114&lt;&gt;"Congé"),(AND(F1114="Congé",D1114&lt;&gt;"Congé"))),0.166666666666667,""))</f>
        <v/>
      </c>
      <c r="AC1114" s="8" t="str">
        <f aca="false">IF(AND(D1114="Congé sans solde",F1114="Congé sans solde"),0.333333333333333,IF(OR(AND(D1114="Congé sans solde",F1114&lt;&gt;"Congé sans solde"),(AND(F1114="Congé sans solde",D1114&lt;&gt;"Congé sans solde"))),0.166666666666667,""))</f>
        <v/>
      </c>
      <c r="AD1114" s="8" t="str">
        <f aca="false">IF(AND(D1114="Congé spécial",F1114="Congé spécial"),0.333333333333333,IF(OR(AND(D1114="Congé spécial",F1114&lt;&gt;"Congé spécial"),AND(F1114="Congé spécial",D1114&lt;&gt;"Congé spécial")),0.166666666666667,""))</f>
        <v/>
      </c>
      <c r="AE1114" s="8" t="str">
        <f aca="false">IF(AND(D1114="Férié",F1114="Férié"),0.333333333333333,IF(OR(AND(D1114="Férié",F1114&lt;&gt;"Férié"),(AND(F1114="Férié",D1114&lt;&gt;"Férié"))),0.166666666666667,""))</f>
        <v/>
      </c>
      <c r="AF1114" s="18"/>
      <c r="AG1114" s="18"/>
    </row>
    <row r="1115" customFormat="false" ht="15" hidden="false" customHeight="false" outlineLevel="0" collapsed="false">
      <c r="A1115" s="6" t="str">
        <f aca="false">YEAR(Q1115-WEEKDAY(Q1115,2)+4)&amp;"-S"&amp;TEXT(WEEKNUM(Q1115,21),"00")</f>
        <v>2026-S41</v>
      </c>
      <c r="B1115" s="18" t="s">
        <v>72</v>
      </c>
      <c r="C1115" s="19" t="n">
        <v>0.333333333333333</v>
      </c>
      <c r="D1115" s="19" t="n">
        <v>0.333333333333333</v>
      </c>
      <c r="E1115" s="19" t="n">
        <v>0.75</v>
      </c>
      <c r="F1115" s="19" t="n">
        <v>0.75</v>
      </c>
      <c r="G1115" s="20"/>
      <c r="H1115" s="20"/>
      <c r="I1115" s="8" t="str">
        <f aca="false">IF(IF(OR(C1115="",D1115="Congé",D1115="OFF",D1115="Congé spécial"),"",IF(D1115&gt;F1115,D1115-C1115,IF(C1115-D1115&lt;0,0,C1115-D1115)))&lt;0.00068287037037037,"",IF(OR(D1115="Congé",D1115="OFF",C1115="",D1115="Congé spécial"),"",IF(D1115&gt;F1115,D1115-C1115,IF(C1115-D1115&lt;0,0,C1115-D1115))))</f>
        <v/>
      </c>
      <c r="J1115" s="20"/>
      <c r="K1115" s="8" t="n">
        <f aca="false">IF(SUM(H1115:J1115)&lt;0.00068287037037037,0,SUM(H1115:J1115))</f>
        <v>0</v>
      </c>
      <c r="L1115" s="8" t="n">
        <f aca="false">IF(OR(F1115="Congé",F1115="OFF",M1115="Abs",F1115="Congé sans solde",F1115="Férié",F1115="Congé spécial",D1115="Congé spécial"),0,IF(F1115-E1115&lt;0,0,IF(F1115-E1115&lt;=0.00068287037037037,0,F1115-E1115)))</f>
        <v>0</v>
      </c>
      <c r="M1115" s="6" t="n">
        <f aca="false">IF(AND(O1115&lt;&gt;0,C1115=""),"Abs",0)</f>
        <v>0</v>
      </c>
      <c r="N1115" s="8" t="n">
        <f aca="false">IFERROR(IF(OR(D1115="OFF",D1115="Congé",M1115="Abs",D1115="Congé sans solde",D1115="Férié"),"",IF(O1115-K1115-L1115&gt;O1115,O1115,IF(O1115-K1115-L1115&lt;0,"",O1115-K1115-L1115))),"")</f>
        <v>0.375</v>
      </c>
      <c r="O1115" s="8" t="n">
        <f aca="false">IF(AG1115="2H Pause déjeuner",IF(F1115-D1115-0.0833333333333333&lt;0,F1115-D1115-0.0833333333333333+1,F1115-D1115-0.0833333333333333),IF(OR(AND(F1115="OFF",D1115="OFF"),AND(F1115="Congé",D1115="Congé"),AND(F1115="Congé sans solde",D1115="Congé sans solde"),AND(F1115="Congé spécial",D1115="Congé spécial"),AND(F1115="Férié",D1115="Férié"),AND(F1115="OFF",D1115="Congé"),AND(F1115="OFF",D1115="Congé sans solde"),AND(F1115="OFF",D1115="Congé spécial"),AND(F1115="OFF",D1115="Férié"),AND(F1115="Congé",D1115="OFF"),AND(F1115="Congé",D1115="Congé sans solde"),AND(F1115="Congé",D1115="Congé spécial"),AND(F1115="Congé",D1115="Férié"),AND(F1115="Congé sans solde",D1115="OFF"),AND(F1115="Congé sans solde",D1115="Congé"),AND(F1115="Congé sans solde",D1115="Congé spécial"),AND(F1115="Congé sans solde",D1115="Férié"),AND(F1115="Congé spécial",D1115="OFF"),AND(F1115="Congé spécial",D1115="Congé"),AND(F1115="Congé spécial",D1115="Congé sans solde"),AND(F1115="Congé spécial",D1115="Férié"),AND(F1115="Férié",D1115="OFF"),AND(F1115="Férié",D1115="Congé"),AND(F1115="Férié",D1115="Congé sans solde"),AND(F1115="Férié",D1115="Congé spécial")),0,IF(OR(F1115="OFF",F1115="Congé",F1115="Congé spécial",F1115="Congé sans solde",D1115="OFF",D1115="Congé",D1115="Congé spécial",D1115="Congé sans solde"),0.208333333333334,IF(AND(AG1115="",F1115-D1115&lt;0),("24:00:00"-D1115)+("00:00:00"+F1115)-0.0416666666666667,IF(AND(OR(AG1115="Allaitement",AG1115="Sans déjeuner"),F1115-D1115&lt;0),("24:00:00"-D1115)+("00:00:00"+F1115),IF(AND(AG1115="",F1115-D1115&gt;0.166666666666667),F1115-D1115-0.0416666666666667,IF(AND(OR(AG1115="Allaitement",AG1115="Sans déjeuner"),F1115-D1115&gt;0.166666666666667),F1115-D1115,F1115-D1115)))))))</f>
        <v>0.375</v>
      </c>
      <c r="P1115" s="6" t="str">
        <f aca="false">IFERROR(VLOOKUP($B1115,Agents!$A:$D,2,0),"-")</f>
        <v>Accessibilité</v>
      </c>
      <c r="Q1115" s="21" t="n">
        <v>46302</v>
      </c>
      <c r="R1115" s="8" t="n">
        <f aca="false">IF(M1115="Abs",O1115,0)</f>
        <v>0</v>
      </c>
      <c r="S1115" s="8" t="n">
        <f aca="false">SUM(R1115,L1115,I1115,J1115,W1115,H1115)</f>
        <v>0</v>
      </c>
      <c r="T1115" s="6" t="str">
        <f aca="false">"Sem - "&amp;WEEKNUM(Q1115,21)</f>
        <v>Sem - 41</v>
      </c>
      <c r="U1115" s="6" t="str">
        <f aca="false">CHOOSE(MONTH(Q1115),"Janvier","Février","Mars","Avril","Mai","Juin","Juillet","Août","Septembre","Octobre","Novembre","Décembre")</f>
        <v>Octobre</v>
      </c>
      <c r="V1115" s="22" t="n">
        <f aca="false">YEAR(Q1115)</f>
        <v>2026</v>
      </c>
      <c r="W1115" s="20"/>
      <c r="X1115" s="8" t="n">
        <f aca="false">IFERROR(IF(M1115="Abs",0,IF(ROUND((D1115-C1115+E1115-F1115)*1440,0)&lt;=1,0,D1115-C1115+E1115-F1115)),0)</f>
        <v>0</v>
      </c>
      <c r="Y1115" s="6" t="str">
        <f aca="false">IFERROR(VLOOKUP($B1115,Agents!$A:$D,3,0),"-")</f>
        <v>OUBRAHIM Mohammed</v>
      </c>
      <c r="Z1115" s="6" t="str">
        <f aca="false">IFERROR(VLOOKUP($B1115,Agents!$A:$D,4,0),"-")</f>
        <v>Credit Mutuel</v>
      </c>
      <c r="AA1115" s="18" t="s">
        <v>123</v>
      </c>
      <c r="AB1115" s="8" t="str">
        <f aca="false">IF(AND(D1115="Congé",F1115="Congé"),0.333333333333333,IF(OR(AND(D1115="Congé",F1115&lt;&gt;"Congé"),(AND(F1115="Congé",D1115&lt;&gt;"Congé"))),0.166666666666667,""))</f>
        <v/>
      </c>
      <c r="AC1115" s="8" t="str">
        <f aca="false">IF(AND(D1115="Congé sans solde",F1115="Congé sans solde"),0.333333333333333,IF(OR(AND(D1115="Congé sans solde",F1115&lt;&gt;"Congé sans solde"),(AND(F1115="Congé sans solde",D1115&lt;&gt;"Congé sans solde"))),0.166666666666667,""))</f>
        <v/>
      </c>
      <c r="AD1115" s="8" t="str">
        <f aca="false">IF(AND(D1115="Congé spécial",F1115="Congé spécial"),0.333333333333333,IF(OR(AND(D1115="Congé spécial",F1115&lt;&gt;"Congé spécial"),AND(F1115="Congé spécial",D1115&lt;&gt;"Congé spécial")),0.166666666666667,""))</f>
        <v/>
      </c>
      <c r="AE1115" s="8" t="str">
        <f aca="false">IF(AND(D1115="Férié",F1115="Férié"),0.333333333333333,IF(OR(AND(D1115="Férié",F1115&lt;&gt;"Férié"),(AND(F1115="Férié",D1115&lt;&gt;"Férié"))),0.166666666666667,""))</f>
        <v/>
      </c>
      <c r="AF1115" s="18"/>
      <c r="AG1115" s="18"/>
    </row>
    <row r="1116" customFormat="false" ht="15" hidden="false" customHeight="false" outlineLevel="0" collapsed="false">
      <c r="A1116" s="6" t="str">
        <f aca="false">YEAR(Q1116-WEEKDAY(Q1116,2)+4)&amp;"-S"&amp;TEXT(WEEKNUM(Q1116,21),"00")</f>
        <v>2026-S41</v>
      </c>
      <c r="B1116" s="18" t="s">
        <v>73</v>
      </c>
      <c r="C1116" s="19" t="n">
        <v>0.333333333333333</v>
      </c>
      <c r="D1116" s="19" t="n">
        <v>0.333333333333333</v>
      </c>
      <c r="E1116" s="19" t="n">
        <v>0.75</v>
      </c>
      <c r="F1116" s="19" t="n">
        <v>0.75</v>
      </c>
      <c r="G1116" s="20"/>
      <c r="H1116" s="20"/>
      <c r="I1116" s="8" t="str">
        <f aca="false">IF(IF(OR(C1116="",D1116="Congé",D1116="OFF",D1116="Congé spécial"),"",IF(D1116&gt;F1116,D1116-C1116,IF(C1116-D1116&lt;0,0,C1116-D1116)))&lt;0.00068287037037037,"",IF(OR(D1116="Congé",D1116="OFF",C1116="",D1116="Congé spécial"),"",IF(D1116&gt;F1116,D1116-C1116,IF(C1116-D1116&lt;0,0,C1116-D1116))))</f>
        <v/>
      </c>
      <c r="J1116" s="20"/>
      <c r="K1116" s="8" t="n">
        <f aca="false">IF(SUM(H1116:J1116)&lt;0.00068287037037037,0,SUM(H1116:J1116))</f>
        <v>0</v>
      </c>
      <c r="L1116" s="8" t="n">
        <f aca="false">IF(OR(F1116="Congé",F1116="OFF",M1116="Abs",F1116="Congé sans solde",F1116="Férié",F1116="Congé spécial",D1116="Congé spécial"),0,IF(F1116-E1116&lt;0,0,IF(F1116-E1116&lt;=0.00068287037037037,0,F1116-E1116)))</f>
        <v>0</v>
      </c>
      <c r="M1116" s="6" t="n">
        <f aca="false">IF(AND(O1116&lt;&gt;0,C1116=""),"Abs",0)</f>
        <v>0</v>
      </c>
      <c r="N1116" s="8" t="n">
        <f aca="false">IFERROR(IF(OR(D1116="OFF",D1116="Congé",M1116="Abs",D1116="Congé sans solde",D1116="Férié"),"",IF(O1116-K1116-L1116&gt;O1116,O1116,IF(O1116-K1116-L1116&lt;0,"",O1116-K1116-L1116))),"")</f>
        <v>0.375</v>
      </c>
      <c r="O1116" s="8" t="n">
        <f aca="false">IF(AG1116="2H Pause déjeuner",IF(F1116-D1116-0.0833333333333333&lt;0,F1116-D1116-0.0833333333333333+1,F1116-D1116-0.0833333333333333),IF(OR(AND(F1116="OFF",D1116="OFF"),AND(F1116="Congé",D1116="Congé"),AND(F1116="Congé sans solde",D1116="Congé sans solde"),AND(F1116="Congé spécial",D1116="Congé spécial"),AND(F1116="Férié",D1116="Férié"),AND(F1116="OFF",D1116="Congé"),AND(F1116="OFF",D1116="Congé sans solde"),AND(F1116="OFF",D1116="Congé spécial"),AND(F1116="OFF",D1116="Férié"),AND(F1116="Congé",D1116="OFF"),AND(F1116="Congé",D1116="Congé sans solde"),AND(F1116="Congé",D1116="Congé spécial"),AND(F1116="Congé",D1116="Férié"),AND(F1116="Congé sans solde",D1116="OFF"),AND(F1116="Congé sans solde",D1116="Congé"),AND(F1116="Congé sans solde",D1116="Congé spécial"),AND(F1116="Congé sans solde",D1116="Férié"),AND(F1116="Congé spécial",D1116="OFF"),AND(F1116="Congé spécial",D1116="Congé"),AND(F1116="Congé spécial",D1116="Congé sans solde"),AND(F1116="Congé spécial",D1116="Férié"),AND(F1116="Férié",D1116="OFF"),AND(F1116="Férié",D1116="Congé"),AND(F1116="Férié",D1116="Congé sans solde"),AND(F1116="Férié",D1116="Congé spécial")),0,IF(OR(F1116="OFF",F1116="Congé",F1116="Congé spécial",F1116="Congé sans solde",D1116="OFF",D1116="Congé",D1116="Congé spécial",D1116="Congé sans solde"),0.208333333333334,IF(AND(AG1116="",F1116-D1116&lt;0),("24:00:00"-D1116)+("00:00:00"+F1116)-0.0416666666666667,IF(AND(OR(AG1116="Allaitement",AG1116="Sans déjeuner"),F1116-D1116&lt;0),("24:00:00"-D1116)+("00:00:00"+F1116),IF(AND(AG1116="",F1116-D1116&gt;0.166666666666667),F1116-D1116-0.0416666666666667,IF(AND(OR(AG1116="Allaitement",AG1116="Sans déjeuner"),F1116-D1116&gt;0.166666666666667),F1116-D1116,F1116-D1116)))))))</f>
        <v>0.375</v>
      </c>
      <c r="P1116" s="6" t="str">
        <f aca="false">IFERROR(VLOOKUP($B1116,Agents!$A:$D,2,0),"-")</f>
        <v>Accessibilité</v>
      </c>
      <c r="Q1116" s="21" t="n">
        <v>46302</v>
      </c>
      <c r="R1116" s="8" t="n">
        <f aca="false">IF(M1116="Abs",O1116,0)</f>
        <v>0</v>
      </c>
      <c r="S1116" s="8" t="n">
        <f aca="false">SUM(R1116,L1116,I1116,J1116,W1116,H1116)</f>
        <v>0</v>
      </c>
      <c r="T1116" s="6" t="str">
        <f aca="false">"Sem - "&amp;WEEKNUM(Q1116,21)</f>
        <v>Sem - 41</v>
      </c>
      <c r="U1116" s="6" t="str">
        <f aca="false">CHOOSE(MONTH(Q1116),"Janvier","Février","Mars","Avril","Mai","Juin","Juillet","Août","Septembre","Octobre","Novembre","Décembre")</f>
        <v>Octobre</v>
      </c>
      <c r="V1116" s="22" t="n">
        <f aca="false">YEAR(Q1116)</f>
        <v>2026</v>
      </c>
      <c r="W1116" s="20"/>
      <c r="X1116" s="8" t="n">
        <f aca="false">IFERROR(IF(M1116="Abs",0,IF(ROUND((D1116-C1116+E1116-F1116)*1440,0)&lt;=1,0,D1116-C1116+E1116-F1116)),0)</f>
        <v>0</v>
      </c>
      <c r="Y1116" s="6" t="str">
        <f aca="false">IFERROR(VLOOKUP($B1116,Agents!$A:$D,3,0),"-")</f>
        <v>OUBRAHIM Mohammed</v>
      </c>
      <c r="Z1116" s="6" t="str">
        <f aca="false">IFERROR(VLOOKUP($B1116,Agents!$A:$D,4,0),"-")</f>
        <v>Credit Mutuel</v>
      </c>
      <c r="AA1116" s="18" t="s">
        <v>123</v>
      </c>
      <c r="AB1116" s="8" t="str">
        <f aca="false">IF(AND(D1116="Congé",F1116="Congé"),0.333333333333333,IF(OR(AND(D1116="Congé",F1116&lt;&gt;"Congé"),(AND(F1116="Congé",D1116&lt;&gt;"Congé"))),0.166666666666667,""))</f>
        <v/>
      </c>
      <c r="AC1116" s="8" t="str">
        <f aca="false">IF(AND(D1116="Congé sans solde",F1116="Congé sans solde"),0.333333333333333,IF(OR(AND(D1116="Congé sans solde",F1116&lt;&gt;"Congé sans solde"),(AND(F1116="Congé sans solde",D1116&lt;&gt;"Congé sans solde"))),0.166666666666667,""))</f>
        <v/>
      </c>
      <c r="AD1116" s="8" t="str">
        <f aca="false">IF(AND(D1116="Congé spécial",F1116="Congé spécial"),0.333333333333333,IF(OR(AND(D1116="Congé spécial",F1116&lt;&gt;"Congé spécial"),AND(F1116="Congé spécial",D1116&lt;&gt;"Congé spécial")),0.166666666666667,""))</f>
        <v/>
      </c>
      <c r="AE1116" s="8" t="str">
        <f aca="false">IF(AND(D1116="Férié",F1116="Férié"),0.333333333333333,IF(OR(AND(D1116="Férié",F1116&lt;&gt;"Férié"),(AND(F1116="Férié",D1116&lt;&gt;"Férié"))),0.166666666666667,""))</f>
        <v/>
      </c>
      <c r="AF1116" s="18"/>
      <c r="AG1116" s="18"/>
    </row>
    <row r="1117" customFormat="false" ht="15" hidden="false" customHeight="false" outlineLevel="0" collapsed="false">
      <c r="A1117" s="6" t="str">
        <f aca="false">YEAR(Q1117-WEEKDAY(Q1117,2)+4)&amp;"-S"&amp;TEXT(WEEKNUM(Q1117,21),"00")</f>
        <v>2026-S41</v>
      </c>
      <c r="B1117" s="18" t="s">
        <v>71</v>
      </c>
      <c r="C1117" s="19" t="n">
        <v>0.332638888888889</v>
      </c>
      <c r="D1117" s="19" t="n">
        <v>0.333333333333333</v>
      </c>
      <c r="E1117" s="19" t="n">
        <v>0.75</v>
      </c>
      <c r="F1117" s="19" t="n">
        <v>0.75</v>
      </c>
      <c r="G1117" s="20"/>
      <c r="H1117" s="20"/>
      <c r="I1117" s="8" t="str">
        <f aca="false">IF(IF(OR(C1117="",D1117="Congé",D1117="OFF",D1117="Congé spécial"),"",IF(D1117&gt;F1117,D1117-C1117,IF(C1117-D1117&lt;0,0,C1117-D1117)))&lt;0.00068287037037037,"",IF(OR(D1117="Congé",D1117="OFF",C1117="",D1117="Congé spécial"),"",IF(D1117&gt;F1117,D1117-C1117,IF(C1117-D1117&lt;0,0,C1117-D1117))))</f>
        <v/>
      </c>
      <c r="J1117" s="20"/>
      <c r="K1117" s="8" t="n">
        <f aca="false">IF(SUM(H1117:J1117)&lt;0.00068287037037037,0,SUM(H1117:J1117))</f>
        <v>0</v>
      </c>
      <c r="L1117" s="8" t="n">
        <f aca="false">IF(OR(F1117="Congé",F1117="OFF",M1117="Abs",F1117="Congé sans solde",F1117="Férié",F1117="Congé spécial",D1117="Congé spécial"),0,IF(F1117-E1117&lt;0,0,IF(F1117-E1117&lt;=0.00068287037037037,0,F1117-E1117)))</f>
        <v>0</v>
      </c>
      <c r="M1117" s="6" t="n">
        <f aca="false">IF(AND(O1117&lt;&gt;0,C1117=""),"Abs",0)</f>
        <v>0</v>
      </c>
      <c r="N1117" s="8" t="n">
        <f aca="false">IFERROR(IF(OR(D1117="OFF",D1117="Congé",M1117="Abs",D1117="Congé sans solde",D1117="Férié"),"",IF(O1117-K1117-L1117&gt;O1117,O1117,IF(O1117-K1117-L1117&lt;0,"",O1117-K1117-L1117))),"")</f>
        <v>0.375</v>
      </c>
      <c r="O1117" s="8" t="n">
        <f aca="false">IF(AG1117="2H Pause déjeuner",IF(F1117-D1117-0.0833333333333333&lt;0,F1117-D1117-0.0833333333333333+1,F1117-D1117-0.0833333333333333),IF(OR(AND(F1117="OFF",D1117="OFF"),AND(F1117="Congé",D1117="Congé"),AND(F1117="Congé sans solde",D1117="Congé sans solde"),AND(F1117="Congé spécial",D1117="Congé spécial"),AND(F1117="Férié",D1117="Férié"),AND(F1117="OFF",D1117="Congé"),AND(F1117="OFF",D1117="Congé sans solde"),AND(F1117="OFF",D1117="Congé spécial"),AND(F1117="OFF",D1117="Férié"),AND(F1117="Congé",D1117="OFF"),AND(F1117="Congé",D1117="Congé sans solde"),AND(F1117="Congé",D1117="Congé spécial"),AND(F1117="Congé",D1117="Férié"),AND(F1117="Congé sans solde",D1117="OFF"),AND(F1117="Congé sans solde",D1117="Congé"),AND(F1117="Congé sans solde",D1117="Congé spécial"),AND(F1117="Congé sans solde",D1117="Férié"),AND(F1117="Congé spécial",D1117="OFF"),AND(F1117="Congé spécial",D1117="Congé"),AND(F1117="Congé spécial",D1117="Congé sans solde"),AND(F1117="Congé spécial",D1117="Férié"),AND(F1117="Férié",D1117="OFF"),AND(F1117="Férié",D1117="Congé"),AND(F1117="Férié",D1117="Congé sans solde"),AND(F1117="Férié",D1117="Congé spécial")),0,IF(OR(F1117="OFF",F1117="Congé",F1117="Congé spécial",F1117="Congé sans solde",D1117="OFF",D1117="Congé",D1117="Congé spécial",D1117="Congé sans solde"),0.208333333333334,IF(AND(AG1117="",F1117-D1117&lt;0),("24:00:00"-D1117)+("00:00:00"+F1117)-0.0416666666666667,IF(AND(OR(AG1117="Allaitement",AG1117="Sans déjeuner"),F1117-D1117&lt;0),("24:00:00"-D1117)+("00:00:00"+F1117),IF(AND(AG1117="",F1117-D1117&gt;0.166666666666667),F1117-D1117-0.0416666666666667,IF(AND(OR(AG1117="Allaitement",AG1117="Sans déjeuner"),F1117-D1117&gt;0.166666666666667),F1117-D1117,F1117-D1117)))))))</f>
        <v>0.375</v>
      </c>
      <c r="P1117" s="6" t="str">
        <f aca="false">IFERROR(VLOOKUP($B1117,Agents!$A:$D,2,0),"-")</f>
        <v>Accessibilité</v>
      </c>
      <c r="Q1117" s="21" t="n">
        <v>46303</v>
      </c>
      <c r="R1117" s="8" t="n">
        <f aca="false">IF(M1117="Abs",O1117,0)</f>
        <v>0</v>
      </c>
      <c r="S1117" s="8" t="n">
        <f aca="false">SUM(R1117,L1117,I1117,J1117,W1117,H1117)</f>
        <v>0</v>
      </c>
      <c r="T1117" s="6" t="str">
        <f aca="false">"Sem - "&amp;WEEKNUM(Q1117,21)</f>
        <v>Sem - 41</v>
      </c>
      <c r="U1117" s="6" t="str">
        <f aca="false">CHOOSE(MONTH(Q1117),"Janvier","Février","Mars","Avril","Mai","Juin","Juillet","Août","Septembre","Octobre","Novembre","Décembre")</f>
        <v>Octobre</v>
      </c>
      <c r="V1117" s="22" t="n">
        <f aca="false">YEAR(Q1117)</f>
        <v>2026</v>
      </c>
      <c r="W1117" s="20"/>
      <c r="X1117" s="8" t="n">
        <f aca="false">IFERROR(IF(M1117="Abs",0,IF(ROUND((D1117-C1117+E1117-F1117)*1440,0)&lt;=1,0,D1117-C1117+E1117-F1117)),0)</f>
        <v>0</v>
      </c>
      <c r="Y1117" s="6" t="str">
        <f aca="false">IFERROR(VLOOKUP($B1117,Agents!$A:$D,3,0),"-")</f>
        <v>OUBRAHIM Mohammed</v>
      </c>
      <c r="Z1117" s="6" t="str">
        <f aca="false">IFERROR(VLOOKUP($B1117,Agents!$A:$D,4,0),"-")</f>
        <v>Credit Mutuel</v>
      </c>
      <c r="AA1117" s="18" t="s">
        <v>123</v>
      </c>
      <c r="AB1117" s="8" t="str">
        <f aca="false">IF(AND(D1117="Congé",F1117="Congé"),0.333333333333333,IF(OR(AND(D1117="Congé",F1117&lt;&gt;"Congé"),(AND(F1117="Congé",D1117&lt;&gt;"Congé"))),0.166666666666667,""))</f>
        <v/>
      </c>
      <c r="AC1117" s="8" t="str">
        <f aca="false">IF(AND(D1117="Congé sans solde",F1117="Congé sans solde"),0.333333333333333,IF(OR(AND(D1117="Congé sans solde",F1117&lt;&gt;"Congé sans solde"),(AND(F1117="Congé sans solde",D1117&lt;&gt;"Congé sans solde"))),0.166666666666667,""))</f>
        <v/>
      </c>
      <c r="AD1117" s="8" t="str">
        <f aca="false">IF(AND(D1117="Congé spécial",F1117="Congé spécial"),0.333333333333333,IF(OR(AND(D1117="Congé spécial",F1117&lt;&gt;"Congé spécial"),AND(F1117="Congé spécial",D1117&lt;&gt;"Congé spécial")),0.166666666666667,""))</f>
        <v/>
      </c>
      <c r="AE1117" s="8" t="str">
        <f aca="false">IF(AND(D1117="Férié",F1117="Férié"),0.333333333333333,IF(OR(AND(D1117="Férié",F1117&lt;&gt;"Férié"),(AND(F1117="Férié",D1117&lt;&gt;"Férié"))),0.166666666666667,""))</f>
        <v/>
      </c>
      <c r="AF1117" s="18"/>
      <c r="AG1117" s="18"/>
    </row>
    <row r="1118" customFormat="false" ht="15" hidden="false" customHeight="false" outlineLevel="0" collapsed="false">
      <c r="A1118" s="6" t="str">
        <f aca="false">YEAR(Q1118-WEEKDAY(Q1118,2)+4)&amp;"-S"&amp;TEXT(WEEKNUM(Q1118,21),"00")</f>
        <v>2026-S41</v>
      </c>
      <c r="B1118" s="18" t="s">
        <v>72</v>
      </c>
      <c r="C1118" s="19" t="n">
        <v>0.331944444444444</v>
      </c>
      <c r="D1118" s="19" t="n">
        <v>0.333333333333333</v>
      </c>
      <c r="E1118" s="19" t="n">
        <v>0.75</v>
      </c>
      <c r="F1118" s="19" t="n">
        <v>0.75</v>
      </c>
      <c r="G1118" s="20"/>
      <c r="H1118" s="20"/>
      <c r="I1118" s="8" t="str">
        <f aca="false">IF(IF(OR(C1118="",D1118="Congé",D1118="OFF",D1118="Congé spécial"),"",IF(D1118&gt;F1118,D1118-C1118,IF(C1118-D1118&lt;0,0,C1118-D1118)))&lt;0.00068287037037037,"",IF(OR(D1118="Congé",D1118="OFF",C1118="",D1118="Congé spécial"),"",IF(D1118&gt;F1118,D1118-C1118,IF(C1118-D1118&lt;0,0,C1118-D1118))))</f>
        <v/>
      </c>
      <c r="J1118" s="20"/>
      <c r="K1118" s="8" t="n">
        <f aca="false">IF(SUM(H1118:J1118)&lt;0.00068287037037037,0,SUM(H1118:J1118))</f>
        <v>0</v>
      </c>
      <c r="L1118" s="8" t="n">
        <f aca="false">IF(OR(F1118="Congé",F1118="OFF",M1118="Abs",F1118="Congé sans solde",F1118="Férié",F1118="Congé spécial",D1118="Congé spécial"),0,IF(F1118-E1118&lt;0,0,IF(F1118-E1118&lt;=0.00068287037037037,0,F1118-E1118)))</f>
        <v>0</v>
      </c>
      <c r="M1118" s="6" t="n">
        <f aca="false">IF(AND(O1118&lt;&gt;0,C1118=""),"Abs",0)</f>
        <v>0</v>
      </c>
      <c r="N1118" s="8" t="n">
        <f aca="false">IFERROR(IF(OR(D1118="OFF",D1118="Congé",M1118="Abs",D1118="Congé sans solde",D1118="Férié"),"",IF(O1118-K1118-L1118&gt;O1118,O1118,IF(O1118-K1118-L1118&lt;0,"",O1118-K1118-L1118))),"")</f>
        <v>0.375</v>
      </c>
      <c r="O1118" s="8" t="n">
        <f aca="false">IF(AG1118="2H Pause déjeuner",IF(F1118-D1118-0.0833333333333333&lt;0,F1118-D1118-0.0833333333333333+1,F1118-D1118-0.0833333333333333),IF(OR(AND(F1118="OFF",D1118="OFF"),AND(F1118="Congé",D1118="Congé"),AND(F1118="Congé sans solde",D1118="Congé sans solde"),AND(F1118="Congé spécial",D1118="Congé spécial"),AND(F1118="Férié",D1118="Férié"),AND(F1118="OFF",D1118="Congé"),AND(F1118="OFF",D1118="Congé sans solde"),AND(F1118="OFF",D1118="Congé spécial"),AND(F1118="OFF",D1118="Férié"),AND(F1118="Congé",D1118="OFF"),AND(F1118="Congé",D1118="Congé sans solde"),AND(F1118="Congé",D1118="Congé spécial"),AND(F1118="Congé",D1118="Férié"),AND(F1118="Congé sans solde",D1118="OFF"),AND(F1118="Congé sans solde",D1118="Congé"),AND(F1118="Congé sans solde",D1118="Congé spécial"),AND(F1118="Congé sans solde",D1118="Férié"),AND(F1118="Congé spécial",D1118="OFF"),AND(F1118="Congé spécial",D1118="Congé"),AND(F1118="Congé spécial",D1118="Congé sans solde"),AND(F1118="Congé spécial",D1118="Férié"),AND(F1118="Férié",D1118="OFF"),AND(F1118="Férié",D1118="Congé"),AND(F1118="Férié",D1118="Congé sans solde"),AND(F1118="Férié",D1118="Congé spécial")),0,IF(OR(F1118="OFF",F1118="Congé",F1118="Congé spécial",F1118="Congé sans solde",D1118="OFF",D1118="Congé",D1118="Congé spécial",D1118="Congé sans solde"),0.208333333333334,IF(AND(AG1118="",F1118-D1118&lt;0),("24:00:00"-D1118)+("00:00:00"+F1118)-0.0416666666666667,IF(AND(OR(AG1118="Allaitement",AG1118="Sans déjeuner"),F1118-D1118&lt;0),("24:00:00"-D1118)+("00:00:00"+F1118),IF(AND(AG1118="",F1118-D1118&gt;0.166666666666667),F1118-D1118-0.0416666666666667,IF(AND(OR(AG1118="Allaitement",AG1118="Sans déjeuner"),F1118-D1118&gt;0.166666666666667),F1118-D1118,F1118-D1118)))))))</f>
        <v>0.375</v>
      </c>
      <c r="P1118" s="6" t="str">
        <f aca="false">IFERROR(VLOOKUP($B1118,Agents!$A:$D,2,0),"-")</f>
        <v>Accessibilité</v>
      </c>
      <c r="Q1118" s="21" t="n">
        <v>46303</v>
      </c>
      <c r="R1118" s="8" t="n">
        <f aca="false">IF(M1118="Abs",O1118,0)</f>
        <v>0</v>
      </c>
      <c r="S1118" s="8" t="n">
        <f aca="false">SUM(R1118,L1118,I1118,J1118,W1118,H1118)</f>
        <v>0</v>
      </c>
      <c r="T1118" s="6" t="str">
        <f aca="false">"Sem - "&amp;WEEKNUM(Q1118,21)</f>
        <v>Sem - 41</v>
      </c>
      <c r="U1118" s="6" t="str">
        <f aca="false">CHOOSE(MONTH(Q1118),"Janvier","Février","Mars","Avril","Mai","Juin","Juillet","Août","Septembre","Octobre","Novembre","Décembre")</f>
        <v>Octobre</v>
      </c>
      <c r="V1118" s="22" t="n">
        <f aca="false">YEAR(Q1118)</f>
        <v>2026</v>
      </c>
      <c r="W1118" s="20"/>
      <c r="X1118" s="8" t="n">
        <f aca="false">IFERROR(IF(M1118="Abs",0,IF(ROUND((D1118-C1118+E1118-F1118)*1440,0)&lt;=1,0,D1118-C1118+E1118-F1118)),0)</f>
        <v>0.00138888888888889</v>
      </c>
      <c r="Y1118" s="6" t="str">
        <f aca="false">IFERROR(VLOOKUP($B1118,Agents!$A:$D,3,0),"-")</f>
        <v>OUBRAHIM Mohammed</v>
      </c>
      <c r="Z1118" s="6" t="str">
        <f aca="false">IFERROR(VLOOKUP($B1118,Agents!$A:$D,4,0),"-")</f>
        <v>Credit Mutuel</v>
      </c>
      <c r="AA1118" s="18" t="s">
        <v>123</v>
      </c>
      <c r="AB1118" s="8" t="str">
        <f aca="false">IF(AND(D1118="Congé",F1118="Congé"),0.333333333333333,IF(OR(AND(D1118="Congé",F1118&lt;&gt;"Congé"),(AND(F1118="Congé",D1118&lt;&gt;"Congé"))),0.166666666666667,""))</f>
        <v/>
      </c>
      <c r="AC1118" s="8" t="str">
        <f aca="false">IF(AND(D1118="Congé sans solde",F1118="Congé sans solde"),0.333333333333333,IF(OR(AND(D1118="Congé sans solde",F1118&lt;&gt;"Congé sans solde"),(AND(F1118="Congé sans solde",D1118&lt;&gt;"Congé sans solde"))),0.166666666666667,""))</f>
        <v/>
      </c>
      <c r="AD1118" s="8" t="str">
        <f aca="false">IF(AND(D1118="Congé spécial",F1118="Congé spécial"),0.333333333333333,IF(OR(AND(D1118="Congé spécial",F1118&lt;&gt;"Congé spécial"),AND(F1118="Congé spécial",D1118&lt;&gt;"Congé spécial")),0.166666666666667,""))</f>
        <v/>
      </c>
      <c r="AE1118" s="8" t="str">
        <f aca="false">IF(AND(D1118="Férié",F1118="Férié"),0.333333333333333,IF(OR(AND(D1118="Férié",F1118&lt;&gt;"Férié"),(AND(F1118="Férié",D1118&lt;&gt;"Férié"))),0.166666666666667,""))</f>
        <v/>
      </c>
      <c r="AF1118" s="18"/>
      <c r="AG1118" s="18"/>
    </row>
    <row r="1119" customFormat="false" ht="15" hidden="false" customHeight="false" outlineLevel="0" collapsed="false">
      <c r="A1119" s="6" t="str">
        <f aca="false">YEAR(Q1119-WEEKDAY(Q1119,2)+4)&amp;"-S"&amp;TEXT(WEEKNUM(Q1119,21),"00")</f>
        <v>2026-S41</v>
      </c>
      <c r="B1119" s="18" t="s">
        <v>73</v>
      </c>
      <c r="C1119" s="19" t="n">
        <v>0.330555555555556</v>
      </c>
      <c r="D1119" s="19" t="n">
        <v>0.333333333333333</v>
      </c>
      <c r="E1119" s="19" t="n">
        <v>0.75</v>
      </c>
      <c r="F1119" s="19" t="n">
        <v>0.75</v>
      </c>
      <c r="G1119" s="20"/>
      <c r="H1119" s="20"/>
      <c r="I1119" s="8" t="str">
        <f aca="false">IF(IF(OR(C1119="",D1119="Congé",D1119="OFF",D1119="Congé spécial"),"",IF(D1119&gt;F1119,D1119-C1119,IF(C1119-D1119&lt;0,0,C1119-D1119)))&lt;0.00068287037037037,"",IF(OR(D1119="Congé",D1119="OFF",C1119="",D1119="Congé spécial"),"",IF(D1119&gt;F1119,D1119-C1119,IF(C1119-D1119&lt;0,0,C1119-D1119))))</f>
        <v/>
      </c>
      <c r="J1119" s="20"/>
      <c r="K1119" s="8" t="n">
        <f aca="false">IF(SUM(H1119:J1119)&lt;0.00068287037037037,0,SUM(H1119:J1119))</f>
        <v>0</v>
      </c>
      <c r="L1119" s="8" t="n">
        <f aca="false">IF(OR(F1119="Congé",F1119="OFF",M1119="Abs",F1119="Congé sans solde",F1119="Férié",F1119="Congé spécial",D1119="Congé spécial"),0,IF(F1119-E1119&lt;0,0,IF(F1119-E1119&lt;=0.00068287037037037,0,F1119-E1119)))</f>
        <v>0</v>
      </c>
      <c r="M1119" s="6" t="n">
        <f aca="false">IF(AND(O1119&lt;&gt;0,C1119=""),"Abs",0)</f>
        <v>0</v>
      </c>
      <c r="N1119" s="8" t="n">
        <f aca="false">IFERROR(IF(OR(D1119="OFF",D1119="Congé",M1119="Abs",D1119="Congé sans solde",D1119="Férié"),"",IF(O1119-K1119-L1119&gt;O1119,O1119,IF(O1119-K1119-L1119&lt;0,"",O1119-K1119-L1119))),"")</f>
        <v>0.375</v>
      </c>
      <c r="O1119" s="8" t="n">
        <f aca="false">IF(AG1119="2H Pause déjeuner",IF(F1119-D1119-0.0833333333333333&lt;0,F1119-D1119-0.0833333333333333+1,F1119-D1119-0.0833333333333333),IF(OR(AND(F1119="OFF",D1119="OFF"),AND(F1119="Congé",D1119="Congé"),AND(F1119="Congé sans solde",D1119="Congé sans solde"),AND(F1119="Congé spécial",D1119="Congé spécial"),AND(F1119="Férié",D1119="Férié"),AND(F1119="OFF",D1119="Congé"),AND(F1119="OFF",D1119="Congé sans solde"),AND(F1119="OFF",D1119="Congé spécial"),AND(F1119="OFF",D1119="Férié"),AND(F1119="Congé",D1119="OFF"),AND(F1119="Congé",D1119="Congé sans solde"),AND(F1119="Congé",D1119="Congé spécial"),AND(F1119="Congé",D1119="Férié"),AND(F1119="Congé sans solde",D1119="OFF"),AND(F1119="Congé sans solde",D1119="Congé"),AND(F1119="Congé sans solde",D1119="Congé spécial"),AND(F1119="Congé sans solde",D1119="Férié"),AND(F1119="Congé spécial",D1119="OFF"),AND(F1119="Congé spécial",D1119="Congé"),AND(F1119="Congé spécial",D1119="Congé sans solde"),AND(F1119="Congé spécial",D1119="Férié"),AND(F1119="Férié",D1119="OFF"),AND(F1119="Férié",D1119="Congé"),AND(F1119="Férié",D1119="Congé sans solde"),AND(F1119="Férié",D1119="Congé spécial")),0,IF(OR(F1119="OFF",F1119="Congé",F1119="Congé spécial",F1119="Congé sans solde",D1119="OFF",D1119="Congé",D1119="Congé spécial",D1119="Congé sans solde"),0.208333333333334,IF(AND(AG1119="",F1119-D1119&lt;0),("24:00:00"-D1119)+("00:00:00"+F1119)-0.0416666666666667,IF(AND(OR(AG1119="Allaitement",AG1119="Sans déjeuner"),F1119-D1119&lt;0),("24:00:00"-D1119)+("00:00:00"+F1119),IF(AND(AG1119="",F1119-D1119&gt;0.166666666666667),F1119-D1119-0.0416666666666667,IF(AND(OR(AG1119="Allaitement",AG1119="Sans déjeuner"),F1119-D1119&gt;0.166666666666667),F1119-D1119,F1119-D1119)))))))</f>
        <v>0.375</v>
      </c>
      <c r="P1119" s="6" t="str">
        <f aca="false">IFERROR(VLOOKUP($B1119,Agents!$A:$D,2,0),"-")</f>
        <v>Accessibilité</v>
      </c>
      <c r="Q1119" s="21" t="n">
        <v>46303</v>
      </c>
      <c r="R1119" s="8" t="n">
        <f aca="false">IF(M1119="Abs",O1119,0)</f>
        <v>0</v>
      </c>
      <c r="S1119" s="8" t="n">
        <f aca="false">SUM(R1119,L1119,I1119,J1119,W1119,H1119)</f>
        <v>0</v>
      </c>
      <c r="T1119" s="6" t="str">
        <f aca="false">"Sem - "&amp;WEEKNUM(Q1119,21)</f>
        <v>Sem - 41</v>
      </c>
      <c r="U1119" s="6" t="str">
        <f aca="false">CHOOSE(MONTH(Q1119),"Janvier","Février","Mars","Avril","Mai","Juin","Juillet","Août","Septembre","Octobre","Novembre","Décembre")</f>
        <v>Octobre</v>
      </c>
      <c r="V1119" s="22" t="n">
        <f aca="false">YEAR(Q1119)</f>
        <v>2026</v>
      </c>
      <c r="W1119" s="20"/>
      <c r="X1119" s="8" t="n">
        <f aca="false">IFERROR(IF(M1119="Abs",0,IF(ROUND((D1119-C1119+E1119-F1119)*1440,0)&lt;=1,0,D1119-C1119+E1119-F1119)),0)</f>
        <v>0.00277777777777778</v>
      </c>
      <c r="Y1119" s="6" t="str">
        <f aca="false">IFERROR(VLOOKUP($B1119,Agents!$A:$D,3,0),"-")</f>
        <v>OUBRAHIM Mohammed</v>
      </c>
      <c r="Z1119" s="6" t="str">
        <f aca="false">IFERROR(VLOOKUP($B1119,Agents!$A:$D,4,0),"-")</f>
        <v>Credit Mutuel</v>
      </c>
      <c r="AA1119" s="18" t="s">
        <v>123</v>
      </c>
      <c r="AB1119" s="8" t="str">
        <f aca="false">IF(AND(D1119="Congé",F1119="Congé"),0.333333333333333,IF(OR(AND(D1119="Congé",F1119&lt;&gt;"Congé"),(AND(F1119="Congé",D1119&lt;&gt;"Congé"))),0.166666666666667,""))</f>
        <v/>
      </c>
      <c r="AC1119" s="8" t="str">
        <f aca="false">IF(AND(D1119="Congé sans solde",F1119="Congé sans solde"),0.333333333333333,IF(OR(AND(D1119="Congé sans solde",F1119&lt;&gt;"Congé sans solde"),(AND(F1119="Congé sans solde",D1119&lt;&gt;"Congé sans solde"))),0.166666666666667,""))</f>
        <v/>
      </c>
      <c r="AD1119" s="8" t="str">
        <f aca="false">IF(AND(D1119="Congé spécial",F1119="Congé spécial"),0.333333333333333,IF(OR(AND(D1119="Congé spécial",F1119&lt;&gt;"Congé spécial"),AND(F1119="Congé spécial",D1119&lt;&gt;"Congé spécial")),0.166666666666667,""))</f>
        <v/>
      </c>
      <c r="AE1119" s="8" t="str">
        <f aca="false">IF(AND(D1119="Férié",F1119="Férié"),0.333333333333333,IF(OR(AND(D1119="Férié",F1119&lt;&gt;"Férié"),(AND(F1119="Férié",D1119&lt;&gt;"Férié"))),0.166666666666667,""))</f>
        <v/>
      </c>
      <c r="AF1119" s="18"/>
      <c r="AG1119" s="18"/>
    </row>
    <row r="1120" customFormat="false" ht="15" hidden="false" customHeight="false" outlineLevel="0" collapsed="false">
      <c r="A1120" s="6" t="str">
        <f aca="false">YEAR(Q1120-WEEKDAY(Q1120,2)+4)&amp;"-S"&amp;TEXT(WEEKNUM(Q1120,21),"00")</f>
        <v>2026-S41</v>
      </c>
      <c r="B1120" s="18" t="s">
        <v>71</v>
      </c>
      <c r="C1120" s="19" t="n">
        <v>0.333333333333333</v>
      </c>
      <c r="D1120" s="19" t="n">
        <v>0.333333333333333</v>
      </c>
      <c r="E1120" s="19" t="n">
        <v>0.708333333333333</v>
      </c>
      <c r="F1120" s="19" t="n">
        <v>0.708333333333333</v>
      </c>
      <c r="G1120" s="20"/>
      <c r="H1120" s="20"/>
      <c r="I1120" s="8" t="str">
        <f aca="false">IF(IF(OR(C1120="",D1120="Congé",D1120="OFF",D1120="Congé spécial"),"",IF(D1120&gt;F1120,D1120-C1120,IF(C1120-D1120&lt;0,0,C1120-D1120)))&lt;0.00068287037037037,"",IF(OR(D1120="Congé",D1120="OFF",C1120="",D1120="Congé spécial"),"",IF(D1120&gt;F1120,D1120-C1120,IF(C1120-D1120&lt;0,0,C1120-D1120))))</f>
        <v/>
      </c>
      <c r="J1120" s="20"/>
      <c r="K1120" s="8" t="n">
        <f aca="false">IF(SUM(H1120:J1120)&lt;0.00068287037037037,0,SUM(H1120:J1120))</f>
        <v>0</v>
      </c>
      <c r="L1120" s="8" t="n">
        <f aca="false">IF(OR(F1120="Congé",F1120="OFF",M1120="Abs",F1120="Congé sans solde",F1120="Férié",F1120="Congé spécial",D1120="Congé spécial"),0,IF(F1120-E1120&lt;0,0,IF(F1120-E1120&lt;=0.00068287037037037,0,F1120-E1120)))</f>
        <v>0</v>
      </c>
      <c r="M1120" s="6" t="n">
        <f aca="false">IF(AND(O1120&lt;&gt;0,C1120=""),"Abs",0)</f>
        <v>0</v>
      </c>
      <c r="N1120" s="8" t="n">
        <f aca="false">IFERROR(IF(OR(D1120="OFF",D1120="Congé",M1120="Abs",D1120="Congé sans solde",D1120="Férié"),"",IF(O1120-K1120-L1120&gt;O1120,O1120,IF(O1120-K1120-L1120&lt;0,"",O1120-K1120-L1120))),"")</f>
        <v>0.333333333333333</v>
      </c>
      <c r="O1120" s="8" t="n">
        <f aca="false">IF(AG1120="2H Pause déjeuner",IF(F1120-D1120-0.0833333333333333&lt;0,F1120-D1120-0.0833333333333333+1,F1120-D1120-0.0833333333333333),IF(OR(AND(F1120="OFF",D1120="OFF"),AND(F1120="Congé",D1120="Congé"),AND(F1120="Congé sans solde",D1120="Congé sans solde"),AND(F1120="Congé spécial",D1120="Congé spécial"),AND(F1120="Férié",D1120="Férié"),AND(F1120="OFF",D1120="Congé"),AND(F1120="OFF",D1120="Congé sans solde"),AND(F1120="OFF",D1120="Congé spécial"),AND(F1120="OFF",D1120="Férié"),AND(F1120="Congé",D1120="OFF"),AND(F1120="Congé",D1120="Congé sans solde"),AND(F1120="Congé",D1120="Congé spécial"),AND(F1120="Congé",D1120="Férié"),AND(F1120="Congé sans solde",D1120="OFF"),AND(F1120="Congé sans solde",D1120="Congé"),AND(F1120="Congé sans solde",D1120="Congé spécial"),AND(F1120="Congé sans solde",D1120="Férié"),AND(F1120="Congé spécial",D1120="OFF"),AND(F1120="Congé spécial",D1120="Congé"),AND(F1120="Congé spécial",D1120="Congé sans solde"),AND(F1120="Congé spécial",D1120="Férié"),AND(F1120="Férié",D1120="OFF"),AND(F1120="Férié",D1120="Congé"),AND(F1120="Férié",D1120="Congé sans solde"),AND(F1120="Férié",D1120="Congé spécial")),0,IF(OR(F1120="OFF",F1120="Congé",F1120="Congé spécial",F1120="Congé sans solde",D1120="OFF",D1120="Congé",D1120="Congé spécial",D1120="Congé sans solde"),0.208333333333334,IF(AND(AG1120="",F1120-D1120&lt;0),("24:00:00"-D1120)+("00:00:00"+F1120)-0.0416666666666667,IF(AND(OR(AG1120="Allaitement",AG1120="Sans déjeuner"),F1120-D1120&lt;0),("24:00:00"-D1120)+("00:00:00"+F1120),IF(AND(AG1120="",F1120-D1120&gt;0.166666666666667),F1120-D1120-0.0416666666666667,IF(AND(OR(AG1120="Allaitement",AG1120="Sans déjeuner"),F1120-D1120&gt;0.166666666666667),F1120-D1120,F1120-D1120)))))))</f>
        <v>0.333333333333333</v>
      </c>
      <c r="P1120" s="6" t="str">
        <f aca="false">IFERROR(VLOOKUP($B1120,Agents!$A:$D,2,0),"-")</f>
        <v>Accessibilité</v>
      </c>
      <c r="Q1120" s="21" t="n">
        <v>46304</v>
      </c>
      <c r="R1120" s="8" t="n">
        <f aca="false">IF(M1120="Abs",O1120,0)</f>
        <v>0</v>
      </c>
      <c r="S1120" s="8" t="n">
        <f aca="false">SUM(R1120,L1120,I1120,J1120,W1120,H1120)</f>
        <v>0</v>
      </c>
      <c r="T1120" s="6" t="str">
        <f aca="false">"Sem - "&amp;WEEKNUM(Q1120,21)</f>
        <v>Sem - 41</v>
      </c>
      <c r="U1120" s="6" t="str">
        <f aca="false">CHOOSE(MONTH(Q1120),"Janvier","Février","Mars","Avril","Mai","Juin","Juillet","Août","Septembre","Octobre","Novembre","Décembre")</f>
        <v>Octobre</v>
      </c>
      <c r="V1120" s="22" t="n">
        <f aca="false">YEAR(Q1120)</f>
        <v>2026</v>
      </c>
      <c r="W1120" s="20"/>
      <c r="X1120" s="8" t="n">
        <f aca="false">IFERROR(IF(M1120="Abs",0,IF(ROUND((D1120-C1120+E1120-F1120)*1440,0)&lt;=1,0,D1120-C1120+E1120-F1120)),0)</f>
        <v>0</v>
      </c>
      <c r="Y1120" s="6" t="str">
        <f aca="false">IFERROR(VLOOKUP($B1120,Agents!$A:$D,3,0),"-")</f>
        <v>OUBRAHIM Mohammed</v>
      </c>
      <c r="Z1120" s="6" t="str">
        <f aca="false">IFERROR(VLOOKUP($B1120,Agents!$A:$D,4,0),"-")</f>
        <v>Credit Mutuel</v>
      </c>
      <c r="AA1120" s="18" t="s">
        <v>123</v>
      </c>
      <c r="AB1120" s="8" t="str">
        <f aca="false">IF(AND(D1120="Congé",F1120="Congé"),0.333333333333333,IF(OR(AND(D1120="Congé",F1120&lt;&gt;"Congé"),(AND(F1120="Congé",D1120&lt;&gt;"Congé"))),0.166666666666667,""))</f>
        <v/>
      </c>
      <c r="AC1120" s="8" t="str">
        <f aca="false">IF(AND(D1120="Congé sans solde",F1120="Congé sans solde"),0.333333333333333,IF(OR(AND(D1120="Congé sans solde",F1120&lt;&gt;"Congé sans solde"),(AND(F1120="Congé sans solde",D1120&lt;&gt;"Congé sans solde"))),0.166666666666667,""))</f>
        <v/>
      </c>
      <c r="AD1120" s="8" t="str">
        <f aca="false">IF(AND(D1120="Congé spécial",F1120="Congé spécial"),0.333333333333333,IF(OR(AND(D1120="Congé spécial",F1120&lt;&gt;"Congé spécial"),AND(F1120="Congé spécial",D1120&lt;&gt;"Congé spécial")),0.166666666666667,""))</f>
        <v/>
      </c>
      <c r="AE1120" s="8" t="str">
        <f aca="false">IF(AND(D1120="Férié",F1120="Férié"),0.333333333333333,IF(OR(AND(D1120="Férié",F1120&lt;&gt;"Férié"),(AND(F1120="Férié",D1120&lt;&gt;"Férié"))),0.166666666666667,""))</f>
        <v/>
      </c>
      <c r="AF1120" s="18"/>
      <c r="AG1120" s="18"/>
    </row>
    <row r="1121" customFormat="false" ht="15" hidden="false" customHeight="false" outlineLevel="0" collapsed="false">
      <c r="A1121" s="6" t="str">
        <f aca="false">YEAR(Q1121-WEEKDAY(Q1121,2)+4)&amp;"-S"&amp;TEXT(WEEKNUM(Q1121,21),"00")</f>
        <v>2026-S41</v>
      </c>
      <c r="B1121" s="18" t="s">
        <v>72</v>
      </c>
      <c r="C1121" s="19" t="n">
        <v>0.332638888888889</v>
      </c>
      <c r="D1121" s="19" t="n">
        <v>0.333333333333333</v>
      </c>
      <c r="E1121" s="19" t="n">
        <v>0.708333333333333</v>
      </c>
      <c r="F1121" s="19" t="n">
        <v>0.708333333333333</v>
      </c>
      <c r="G1121" s="20"/>
      <c r="H1121" s="20"/>
      <c r="I1121" s="8" t="str">
        <f aca="false">IF(IF(OR(C1121="",D1121="Congé",D1121="OFF",D1121="Congé spécial"),"",IF(D1121&gt;F1121,D1121-C1121,IF(C1121-D1121&lt;0,0,C1121-D1121)))&lt;0.00068287037037037,"",IF(OR(D1121="Congé",D1121="OFF",C1121="",D1121="Congé spécial"),"",IF(D1121&gt;F1121,D1121-C1121,IF(C1121-D1121&lt;0,0,C1121-D1121))))</f>
        <v/>
      </c>
      <c r="J1121" s="20"/>
      <c r="K1121" s="8" t="n">
        <f aca="false">IF(SUM(H1121:J1121)&lt;0.00068287037037037,0,SUM(H1121:J1121))</f>
        <v>0</v>
      </c>
      <c r="L1121" s="8" t="n">
        <f aca="false">IF(OR(F1121="Congé",F1121="OFF",M1121="Abs",F1121="Congé sans solde",F1121="Férié",F1121="Congé spécial",D1121="Congé spécial"),0,IF(F1121-E1121&lt;0,0,IF(F1121-E1121&lt;=0.00068287037037037,0,F1121-E1121)))</f>
        <v>0</v>
      </c>
      <c r="M1121" s="6" t="n">
        <f aca="false">IF(AND(O1121&lt;&gt;0,C1121=""),"Abs",0)</f>
        <v>0</v>
      </c>
      <c r="N1121" s="8" t="n">
        <f aca="false">IFERROR(IF(OR(D1121="OFF",D1121="Congé",M1121="Abs",D1121="Congé sans solde",D1121="Férié"),"",IF(O1121-K1121-L1121&gt;O1121,O1121,IF(O1121-K1121-L1121&lt;0,"",O1121-K1121-L1121))),"")</f>
        <v>0.333333333333333</v>
      </c>
      <c r="O1121" s="8" t="n">
        <f aca="false">IF(AG1121="2H Pause déjeuner",IF(F1121-D1121-0.0833333333333333&lt;0,F1121-D1121-0.0833333333333333+1,F1121-D1121-0.0833333333333333),IF(OR(AND(F1121="OFF",D1121="OFF"),AND(F1121="Congé",D1121="Congé"),AND(F1121="Congé sans solde",D1121="Congé sans solde"),AND(F1121="Congé spécial",D1121="Congé spécial"),AND(F1121="Férié",D1121="Férié"),AND(F1121="OFF",D1121="Congé"),AND(F1121="OFF",D1121="Congé sans solde"),AND(F1121="OFF",D1121="Congé spécial"),AND(F1121="OFF",D1121="Férié"),AND(F1121="Congé",D1121="OFF"),AND(F1121="Congé",D1121="Congé sans solde"),AND(F1121="Congé",D1121="Congé spécial"),AND(F1121="Congé",D1121="Férié"),AND(F1121="Congé sans solde",D1121="OFF"),AND(F1121="Congé sans solde",D1121="Congé"),AND(F1121="Congé sans solde",D1121="Congé spécial"),AND(F1121="Congé sans solde",D1121="Férié"),AND(F1121="Congé spécial",D1121="OFF"),AND(F1121="Congé spécial",D1121="Congé"),AND(F1121="Congé spécial",D1121="Congé sans solde"),AND(F1121="Congé spécial",D1121="Férié"),AND(F1121="Férié",D1121="OFF"),AND(F1121="Férié",D1121="Congé"),AND(F1121="Férié",D1121="Congé sans solde"),AND(F1121="Férié",D1121="Congé spécial")),0,IF(OR(F1121="OFF",F1121="Congé",F1121="Congé spécial",F1121="Congé sans solde",D1121="OFF",D1121="Congé",D1121="Congé spécial",D1121="Congé sans solde"),0.208333333333334,IF(AND(AG1121="",F1121-D1121&lt;0),("24:00:00"-D1121)+("00:00:00"+F1121)-0.0416666666666667,IF(AND(OR(AG1121="Allaitement",AG1121="Sans déjeuner"),F1121-D1121&lt;0),("24:00:00"-D1121)+("00:00:00"+F1121),IF(AND(AG1121="",F1121-D1121&gt;0.166666666666667),F1121-D1121-0.0416666666666667,IF(AND(OR(AG1121="Allaitement",AG1121="Sans déjeuner"),F1121-D1121&gt;0.166666666666667),F1121-D1121,F1121-D1121)))))))</f>
        <v>0.333333333333333</v>
      </c>
      <c r="P1121" s="6" t="str">
        <f aca="false">IFERROR(VLOOKUP($B1121,Agents!$A:$D,2,0),"-")</f>
        <v>Accessibilité</v>
      </c>
      <c r="Q1121" s="21" t="n">
        <v>46304</v>
      </c>
      <c r="R1121" s="8" t="n">
        <f aca="false">IF(M1121="Abs",O1121,0)</f>
        <v>0</v>
      </c>
      <c r="S1121" s="8" t="n">
        <f aca="false">SUM(R1121,L1121,I1121,J1121,W1121,H1121)</f>
        <v>0</v>
      </c>
      <c r="T1121" s="6" t="str">
        <f aca="false">"Sem - "&amp;WEEKNUM(Q1121,21)</f>
        <v>Sem - 41</v>
      </c>
      <c r="U1121" s="6" t="str">
        <f aca="false">CHOOSE(MONTH(Q1121),"Janvier","Février","Mars","Avril","Mai","Juin","Juillet","Août","Septembre","Octobre","Novembre","Décembre")</f>
        <v>Octobre</v>
      </c>
      <c r="V1121" s="22" t="n">
        <f aca="false">YEAR(Q1121)</f>
        <v>2026</v>
      </c>
      <c r="W1121" s="20"/>
      <c r="X1121" s="8" t="n">
        <f aca="false">IFERROR(IF(M1121="Abs",0,IF(ROUND((D1121-C1121+E1121-F1121)*1440,0)&lt;=1,0,D1121-C1121+E1121-F1121)),0)</f>
        <v>0</v>
      </c>
      <c r="Y1121" s="6" t="str">
        <f aca="false">IFERROR(VLOOKUP($B1121,Agents!$A:$D,3,0),"-")</f>
        <v>OUBRAHIM Mohammed</v>
      </c>
      <c r="Z1121" s="6" t="str">
        <f aca="false">IFERROR(VLOOKUP($B1121,Agents!$A:$D,4,0),"-")</f>
        <v>Credit Mutuel</v>
      </c>
      <c r="AA1121" s="18" t="s">
        <v>123</v>
      </c>
      <c r="AB1121" s="8" t="str">
        <f aca="false">IF(AND(D1121="Congé",F1121="Congé"),0.333333333333333,IF(OR(AND(D1121="Congé",F1121&lt;&gt;"Congé"),(AND(F1121="Congé",D1121&lt;&gt;"Congé"))),0.166666666666667,""))</f>
        <v/>
      </c>
      <c r="AC1121" s="8" t="str">
        <f aca="false">IF(AND(D1121="Congé sans solde",F1121="Congé sans solde"),0.333333333333333,IF(OR(AND(D1121="Congé sans solde",F1121&lt;&gt;"Congé sans solde"),(AND(F1121="Congé sans solde",D1121&lt;&gt;"Congé sans solde"))),0.166666666666667,""))</f>
        <v/>
      </c>
      <c r="AD1121" s="8" t="str">
        <f aca="false">IF(AND(D1121="Congé spécial",F1121="Congé spécial"),0.333333333333333,IF(OR(AND(D1121="Congé spécial",F1121&lt;&gt;"Congé spécial"),AND(F1121="Congé spécial",D1121&lt;&gt;"Congé spécial")),0.166666666666667,""))</f>
        <v/>
      </c>
      <c r="AE1121" s="8" t="str">
        <f aca="false">IF(AND(D1121="Férié",F1121="Férié"),0.333333333333333,IF(OR(AND(D1121="Férié",F1121&lt;&gt;"Férié"),(AND(F1121="Férié",D1121&lt;&gt;"Férié"))),0.166666666666667,""))</f>
        <v/>
      </c>
      <c r="AF1121" s="18"/>
      <c r="AG1121" s="18"/>
    </row>
    <row r="1122" customFormat="false" ht="15" hidden="false" customHeight="false" outlineLevel="0" collapsed="false">
      <c r="A1122" s="6" t="str">
        <f aca="false">YEAR(Q1122-WEEKDAY(Q1122,2)+4)&amp;"-S"&amp;TEXT(WEEKNUM(Q1122,21),"00")</f>
        <v>2026-S41</v>
      </c>
      <c r="B1122" s="18" t="s">
        <v>73</v>
      </c>
      <c r="C1122" s="19" t="n">
        <v>0.333333333333333</v>
      </c>
      <c r="D1122" s="19" t="n">
        <v>0.333333333333333</v>
      </c>
      <c r="E1122" s="19" t="n">
        <v>0.708333333333333</v>
      </c>
      <c r="F1122" s="19" t="n">
        <v>0.708333333333333</v>
      </c>
      <c r="G1122" s="20"/>
      <c r="H1122" s="20"/>
      <c r="I1122" s="8" t="str">
        <f aca="false">IF(IF(OR(C1122="",D1122="Congé",D1122="OFF",D1122="Congé spécial"),"",IF(D1122&gt;F1122,D1122-C1122,IF(C1122-D1122&lt;0,0,C1122-D1122)))&lt;0.00068287037037037,"",IF(OR(D1122="Congé",D1122="OFF",C1122="",D1122="Congé spécial"),"",IF(D1122&gt;F1122,D1122-C1122,IF(C1122-D1122&lt;0,0,C1122-D1122))))</f>
        <v/>
      </c>
      <c r="J1122" s="20"/>
      <c r="K1122" s="8" t="n">
        <f aca="false">IF(SUM(H1122:J1122)&lt;0.00068287037037037,0,SUM(H1122:J1122))</f>
        <v>0</v>
      </c>
      <c r="L1122" s="8" t="n">
        <f aca="false">IF(OR(F1122="Congé",F1122="OFF",M1122="Abs",F1122="Congé sans solde",F1122="Férié",F1122="Congé spécial",D1122="Congé spécial"),0,IF(F1122-E1122&lt;0,0,IF(F1122-E1122&lt;=0.00068287037037037,0,F1122-E1122)))</f>
        <v>0</v>
      </c>
      <c r="M1122" s="6" t="n">
        <f aca="false">IF(AND(O1122&lt;&gt;0,C1122=""),"Abs",0)</f>
        <v>0</v>
      </c>
      <c r="N1122" s="8" t="n">
        <f aca="false">IFERROR(IF(OR(D1122="OFF",D1122="Congé",M1122="Abs",D1122="Congé sans solde",D1122="Férié"),"",IF(O1122-K1122-L1122&gt;O1122,O1122,IF(O1122-K1122-L1122&lt;0,"",O1122-K1122-L1122))),"")</f>
        <v>0.333333333333333</v>
      </c>
      <c r="O1122" s="8" t="n">
        <f aca="false">IF(AG1122="2H Pause déjeuner",IF(F1122-D1122-0.0833333333333333&lt;0,F1122-D1122-0.0833333333333333+1,F1122-D1122-0.0833333333333333),IF(OR(AND(F1122="OFF",D1122="OFF"),AND(F1122="Congé",D1122="Congé"),AND(F1122="Congé sans solde",D1122="Congé sans solde"),AND(F1122="Congé spécial",D1122="Congé spécial"),AND(F1122="Férié",D1122="Férié"),AND(F1122="OFF",D1122="Congé"),AND(F1122="OFF",D1122="Congé sans solde"),AND(F1122="OFF",D1122="Congé spécial"),AND(F1122="OFF",D1122="Férié"),AND(F1122="Congé",D1122="OFF"),AND(F1122="Congé",D1122="Congé sans solde"),AND(F1122="Congé",D1122="Congé spécial"),AND(F1122="Congé",D1122="Férié"),AND(F1122="Congé sans solde",D1122="OFF"),AND(F1122="Congé sans solde",D1122="Congé"),AND(F1122="Congé sans solde",D1122="Congé spécial"),AND(F1122="Congé sans solde",D1122="Férié"),AND(F1122="Congé spécial",D1122="OFF"),AND(F1122="Congé spécial",D1122="Congé"),AND(F1122="Congé spécial",D1122="Congé sans solde"),AND(F1122="Congé spécial",D1122="Férié"),AND(F1122="Férié",D1122="OFF"),AND(F1122="Férié",D1122="Congé"),AND(F1122="Férié",D1122="Congé sans solde"),AND(F1122="Férié",D1122="Congé spécial")),0,IF(OR(F1122="OFF",F1122="Congé",F1122="Congé spécial",F1122="Congé sans solde",D1122="OFF",D1122="Congé",D1122="Congé spécial",D1122="Congé sans solde"),0.208333333333334,IF(AND(AG1122="",F1122-D1122&lt;0),("24:00:00"-D1122)+("00:00:00"+F1122)-0.0416666666666667,IF(AND(OR(AG1122="Allaitement",AG1122="Sans déjeuner"),F1122-D1122&lt;0),("24:00:00"-D1122)+("00:00:00"+F1122),IF(AND(AG1122="",F1122-D1122&gt;0.166666666666667),F1122-D1122-0.0416666666666667,IF(AND(OR(AG1122="Allaitement",AG1122="Sans déjeuner"),F1122-D1122&gt;0.166666666666667),F1122-D1122,F1122-D1122)))))))</f>
        <v>0.333333333333333</v>
      </c>
      <c r="P1122" s="6" t="str">
        <f aca="false">IFERROR(VLOOKUP($B1122,Agents!$A:$D,2,0),"-")</f>
        <v>Accessibilité</v>
      </c>
      <c r="Q1122" s="21" t="n">
        <v>46304</v>
      </c>
      <c r="R1122" s="8" t="n">
        <f aca="false">IF(M1122="Abs",O1122,0)</f>
        <v>0</v>
      </c>
      <c r="S1122" s="8" t="n">
        <f aca="false">SUM(R1122,L1122,I1122,J1122,W1122,H1122)</f>
        <v>0</v>
      </c>
      <c r="T1122" s="6" t="str">
        <f aca="false">"Sem - "&amp;WEEKNUM(Q1122,21)</f>
        <v>Sem - 41</v>
      </c>
      <c r="U1122" s="6" t="str">
        <f aca="false">CHOOSE(MONTH(Q1122),"Janvier","Février","Mars","Avril","Mai","Juin","Juillet","Août","Septembre","Octobre","Novembre","Décembre")</f>
        <v>Octobre</v>
      </c>
      <c r="V1122" s="22" t="n">
        <f aca="false">YEAR(Q1122)</f>
        <v>2026</v>
      </c>
      <c r="W1122" s="20"/>
      <c r="X1122" s="8" t="n">
        <f aca="false">IFERROR(IF(M1122="Abs",0,IF(ROUND((D1122-C1122+E1122-F1122)*1440,0)&lt;=1,0,D1122-C1122+E1122-F1122)),0)</f>
        <v>0</v>
      </c>
      <c r="Y1122" s="6" t="str">
        <f aca="false">IFERROR(VLOOKUP($B1122,Agents!$A:$D,3,0),"-")</f>
        <v>OUBRAHIM Mohammed</v>
      </c>
      <c r="Z1122" s="6" t="str">
        <f aca="false">IFERROR(VLOOKUP($B1122,Agents!$A:$D,4,0),"-")</f>
        <v>Credit Mutuel</v>
      </c>
      <c r="AA1122" s="18" t="s">
        <v>123</v>
      </c>
      <c r="AB1122" s="8" t="str">
        <f aca="false">IF(AND(D1122="Congé",F1122="Congé"),0.333333333333333,IF(OR(AND(D1122="Congé",F1122&lt;&gt;"Congé"),(AND(F1122="Congé",D1122&lt;&gt;"Congé"))),0.166666666666667,""))</f>
        <v/>
      </c>
      <c r="AC1122" s="8" t="str">
        <f aca="false">IF(AND(D1122="Congé sans solde",F1122="Congé sans solde"),0.333333333333333,IF(OR(AND(D1122="Congé sans solde",F1122&lt;&gt;"Congé sans solde"),(AND(F1122="Congé sans solde",D1122&lt;&gt;"Congé sans solde"))),0.166666666666667,""))</f>
        <v/>
      </c>
      <c r="AD1122" s="8" t="str">
        <f aca="false">IF(AND(D1122="Congé spécial",F1122="Congé spécial"),0.333333333333333,IF(OR(AND(D1122="Congé spécial",F1122&lt;&gt;"Congé spécial"),AND(F1122="Congé spécial",D1122&lt;&gt;"Congé spécial")),0.166666666666667,""))</f>
        <v/>
      </c>
      <c r="AE1122" s="8" t="str">
        <f aca="false">IF(AND(D1122="Férié",F1122="Férié"),0.333333333333333,IF(OR(AND(D1122="Férié",F1122&lt;&gt;"Férié"),(AND(F1122="Férié",D1122&lt;&gt;"Férié"))),0.166666666666667,""))</f>
        <v/>
      </c>
      <c r="AF1122" s="18"/>
      <c r="AG1122" s="18"/>
    </row>
    <row r="1123" customFormat="false" ht="15" hidden="false" customHeight="false" outlineLevel="0" collapsed="false">
      <c r="A1123" s="6" t="str">
        <f aca="false">YEAR(Q1123-WEEKDAY(Q1123,2)+4)&amp;"-S"&amp;TEXT(WEEKNUM(Q1123,21),"00")</f>
        <v>2026-S41</v>
      </c>
      <c r="B1123" s="18" t="s">
        <v>71</v>
      </c>
      <c r="C1123" s="19"/>
      <c r="D1123" s="19" t="s">
        <v>74</v>
      </c>
      <c r="E1123" s="19"/>
      <c r="F1123" s="19" t="s">
        <v>74</v>
      </c>
      <c r="G1123" s="20"/>
      <c r="H1123" s="20"/>
      <c r="I1123" s="8" t="str">
        <f aca="false">IF(IF(OR(C1123="",D1123="Congé",D1123="OFF",D1123="Congé spécial"),"",IF(D1123&gt;F1123,D1123-C1123,IF(C1123-D1123&lt;0,0,C1123-D1123)))&lt;0.00068287037037037,"",IF(OR(D1123="Congé",D1123="OFF",C1123="",D1123="Congé spécial"),"",IF(D1123&gt;F1123,D1123-C1123,IF(C1123-D1123&lt;0,0,C1123-D1123))))</f>
        <v/>
      </c>
      <c r="J1123" s="20"/>
      <c r="K1123" s="8" t="n">
        <f aca="false">IF(SUM(H1123:J1123)&lt;0.00068287037037037,0,SUM(H1123:J1123))</f>
        <v>0</v>
      </c>
      <c r="L1123" s="8" t="n">
        <f aca="false">IF(OR(F1123="Congé",F1123="OFF",M1123="Abs",F1123="Congé sans solde",F1123="Férié",F1123="Congé spécial",D1123="Congé spécial"),0,IF(F1123-E1123&lt;0,0,IF(F1123-E1123&lt;=0.00068287037037037,0,F1123-E1123)))</f>
        <v>0</v>
      </c>
      <c r="M1123" s="6" t="n">
        <f aca="false">IF(AND(O1123&lt;&gt;0,C1123=""),"Abs",0)</f>
        <v>0</v>
      </c>
      <c r="N1123" s="8" t="str">
        <f aca="false">IFERROR(IF(OR(D1123="OFF",D1123="Congé",M1123="Abs",D1123="Congé sans solde",D1123="Férié"),"",IF(O1123-K1123-L1123&gt;O1123,O1123,IF(O1123-K1123-L1123&lt;0,"",O1123-K1123-L1123))),"")</f>
        <v/>
      </c>
      <c r="O1123" s="8" t="n">
        <f aca="false">IF(AG1123="2H Pause déjeuner",IF(F1123-D1123-0.0833333333333333&lt;0,F1123-D1123-0.0833333333333333+1,F1123-D1123-0.0833333333333333),IF(OR(AND(F1123="OFF",D1123="OFF"),AND(F1123="Congé",D1123="Congé"),AND(F1123="Congé sans solde",D1123="Congé sans solde"),AND(F1123="Congé spécial",D1123="Congé spécial"),AND(F1123="Férié",D1123="Férié"),AND(F1123="OFF",D1123="Congé"),AND(F1123="OFF",D1123="Congé sans solde"),AND(F1123="OFF",D1123="Congé spécial"),AND(F1123="OFF",D1123="Férié"),AND(F1123="Congé",D1123="OFF"),AND(F1123="Congé",D1123="Congé sans solde"),AND(F1123="Congé",D1123="Congé spécial"),AND(F1123="Congé",D1123="Férié"),AND(F1123="Congé sans solde",D1123="OFF"),AND(F1123="Congé sans solde",D1123="Congé"),AND(F1123="Congé sans solde",D1123="Congé spécial"),AND(F1123="Congé sans solde",D1123="Férié"),AND(F1123="Congé spécial",D1123="OFF"),AND(F1123="Congé spécial",D1123="Congé"),AND(F1123="Congé spécial",D1123="Congé sans solde"),AND(F1123="Congé spécial",D1123="Férié"),AND(F1123="Férié",D1123="OFF"),AND(F1123="Férié",D1123="Congé"),AND(F1123="Férié",D1123="Congé sans solde"),AND(F1123="Férié",D1123="Congé spécial")),0,IF(OR(F1123="OFF",F1123="Congé",F1123="Congé spécial",F1123="Congé sans solde",D1123="OFF",D1123="Congé",D1123="Congé spécial",D1123="Congé sans solde"),0.208333333333334,IF(AND(AG1123="",F1123-D1123&lt;0),("24:00:00"-D1123)+("00:00:00"+F1123)-0.0416666666666667,IF(AND(OR(AG1123="Allaitement",AG1123="Sans déjeuner"),F1123-D1123&lt;0),("24:00:00"-D1123)+("00:00:00"+F1123),IF(AND(AG1123="",F1123-D1123&gt;0.166666666666667),F1123-D1123-0.0416666666666667,IF(AND(OR(AG1123="Allaitement",AG1123="Sans déjeuner"),F1123-D1123&gt;0.166666666666667),F1123-D1123,F1123-D1123)))))))</f>
        <v>0</v>
      </c>
      <c r="P1123" s="6" t="str">
        <f aca="false">IFERROR(VLOOKUP($B1123,Agents!$A:$D,2,0),"-")</f>
        <v>Accessibilité</v>
      </c>
      <c r="Q1123" s="21" t="n">
        <v>46305</v>
      </c>
      <c r="R1123" s="8" t="n">
        <f aca="false">IF(M1123="Abs",O1123,0)</f>
        <v>0</v>
      </c>
      <c r="S1123" s="8" t="n">
        <f aca="false">SUM(R1123,L1123,I1123,J1123,W1123,H1123)</f>
        <v>0</v>
      </c>
      <c r="T1123" s="6" t="str">
        <f aca="false">"Sem - "&amp;WEEKNUM(Q1123,21)</f>
        <v>Sem - 41</v>
      </c>
      <c r="U1123" s="6" t="str">
        <f aca="false">CHOOSE(MONTH(Q1123),"Janvier","Février","Mars","Avril","Mai","Juin","Juillet","Août","Septembre","Octobre","Novembre","Décembre")</f>
        <v>Octobre</v>
      </c>
      <c r="V1123" s="22" t="n">
        <f aca="false">YEAR(Q1123)</f>
        <v>2026</v>
      </c>
      <c r="W1123" s="20"/>
      <c r="X1123" s="8" t="n">
        <f aca="false">IFERROR(IF(M1123="Abs",0,IF(ROUND((D1123-C1123+E1123-F1123)*1440,0)&lt;=1,0,D1123-C1123+E1123-F1123)),0)</f>
        <v>0</v>
      </c>
      <c r="Y1123" s="6" t="str">
        <f aca="false">IFERROR(VLOOKUP($B1123,Agents!$A:$D,3,0),"-")</f>
        <v>OUBRAHIM Mohammed</v>
      </c>
      <c r="Z1123" s="6" t="str">
        <f aca="false">IFERROR(VLOOKUP($B1123,Agents!$A:$D,4,0),"-")</f>
        <v>Credit Mutuel</v>
      </c>
      <c r="AA1123" s="18" t="s">
        <v>123</v>
      </c>
      <c r="AB1123" s="8" t="str">
        <f aca="false">IF(AND(D1123="Congé",F1123="Congé"),0.333333333333333,IF(OR(AND(D1123="Congé",F1123&lt;&gt;"Congé"),(AND(F1123="Congé",D1123&lt;&gt;"Congé"))),0.166666666666667,""))</f>
        <v/>
      </c>
      <c r="AC1123" s="8" t="str">
        <f aca="false">IF(AND(D1123="Congé sans solde",F1123="Congé sans solde"),0.333333333333333,IF(OR(AND(D1123="Congé sans solde",F1123&lt;&gt;"Congé sans solde"),(AND(F1123="Congé sans solde",D1123&lt;&gt;"Congé sans solde"))),0.166666666666667,""))</f>
        <v/>
      </c>
      <c r="AD1123" s="8" t="str">
        <f aca="false">IF(AND(D1123="Congé spécial",F1123="Congé spécial"),0.333333333333333,IF(OR(AND(D1123="Congé spécial",F1123&lt;&gt;"Congé spécial"),AND(F1123="Congé spécial",D1123&lt;&gt;"Congé spécial")),0.166666666666667,""))</f>
        <v/>
      </c>
      <c r="AE1123" s="8" t="str">
        <f aca="false">IF(AND(D1123="Férié",F1123="Férié"),0.333333333333333,IF(OR(AND(D1123="Férié",F1123&lt;&gt;"Férié"),(AND(F1123="Férié",D1123&lt;&gt;"Férié"))),0.166666666666667,""))</f>
        <v/>
      </c>
      <c r="AF1123" s="18"/>
      <c r="AG1123" s="18"/>
    </row>
    <row r="1124" customFormat="false" ht="15" hidden="false" customHeight="false" outlineLevel="0" collapsed="false">
      <c r="A1124" s="6" t="str">
        <f aca="false">YEAR(Q1124-WEEKDAY(Q1124,2)+4)&amp;"-S"&amp;TEXT(WEEKNUM(Q1124,21),"00")</f>
        <v>2026-S41</v>
      </c>
      <c r="B1124" s="18" t="s">
        <v>72</v>
      </c>
      <c r="C1124" s="19"/>
      <c r="D1124" s="19" t="s">
        <v>74</v>
      </c>
      <c r="E1124" s="19"/>
      <c r="F1124" s="19" t="s">
        <v>74</v>
      </c>
      <c r="G1124" s="20"/>
      <c r="H1124" s="20"/>
      <c r="I1124" s="8" t="str">
        <f aca="false">IF(IF(OR(C1124="",D1124="Congé",D1124="OFF",D1124="Congé spécial"),"",IF(D1124&gt;F1124,D1124-C1124,IF(C1124-D1124&lt;0,0,C1124-D1124)))&lt;0.00068287037037037,"",IF(OR(D1124="Congé",D1124="OFF",C1124="",D1124="Congé spécial"),"",IF(D1124&gt;F1124,D1124-C1124,IF(C1124-D1124&lt;0,0,C1124-D1124))))</f>
        <v/>
      </c>
      <c r="J1124" s="20"/>
      <c r="K1124" s="8" t="n">
        <f aca="false">IF(SUM(H1124:J1124)&lt;0.00068287037037037,0,SUM(H1124:J1124))</f>
        <v>0</v>
      </c>
      <c r="L1124" s="8" t="n">
        <f aca="false">IF(OR(F1124="Congé",F1124="OFF",M1124="Abs",F1124="Congé sans solde",F1124="Férié",F1124="Congé spécial",D1124="Congé spécial"),0,IF(F1124-E1124&lt;0,0,IF(F1124-E1124&lt;=0.00068287037037037,0,F1124-E1124)))</f>
        <v>0</v>
      </c>
      <c r="M1124" s="6" t="n">
        <f aca="false">IF(AND(O1124&lt;&gt;0,C1124=""),"Abs",0)</f>
        <v>0</v>
      </c>
      <c r="N1124" s="8" t="str">
        <f aca="false">IFERROR(IF(OR(D1124="OFF",D1124="Congé",M1124="Abs",D1124="Congé sans solde",D1124="Férié"),"",IF(O1124-K1124-L1124&gt;O1124,O1124,IF(O1124-K1124-L1124&lt;0,"",O1124-K1124-L1124))),"")</f>
        <v/>
      </c>
      <c r="O1124" s="8" t="n">
        <f aca="false">IF(AG1124="2H Pause déjeuner",IF(F1124-D1124-0.0833333333333333&lt;0,F1124-D1124-0.0833333333333333+1,F1124-D1124-0.0833333333333333),IF(OR(AND(F1124="OFF",D1124="OFF"),AND(F1124="Congé",D1124="Congé"),AND(F1124="Congé sans solde",D1124="Congé sans solde"),AND(F1124="Congé spécial",D1124="Congé spécial"),AND(F1124="Férié",D1124="Férié"),AND(F1124="OFF",D1124="Congé"),AND(F1124="OFF",D1124="Congé sans solde"),AND(F1124="OFF",D1124="Congé spécial"),AND(F1124="OFF",D1124="Férié"),AND(F1124="Congé",D1124="OFF"),AND(F1124="Congé",D1124="Congé sans solde"),AND(F1124="Congé",D1124="Congé spécial"),AND(F1124="Congé",D1124="Férié"),AND(F1124="Congé sans solde",D1124="OFF"),AND(F1124="Congé sans solde",D1124="Congé"),AND(F1124="Congé sans solde",D1124="Congé spécial"),AND(F1124="Congé sans solde",D1124="Férié"),AND(F1124="Congé spécial",D1124="OFF"),AND(F1124="Congé spécial",D1124="Congé"),AND(F1124="Congé spécial",D1124="Congé sans solde"),AND(F1124="Congé spécial",D1124="Férié"),AND(F1124="Férié",D1124="OFF"),AND(F1124="Férié",D1124="Congé"),AND(F1124="Férié",D1124="Congé sans solde"),AND(F1124="Férié",D1124="Congé spécial")),0,IF(OR(F1124="OFF",F1124="Congé",F1124="Congé spécial",F1124="Congé sans solde",D1124="OFF",D1124="Congé",D1124="Congé spécial",D1124="Congé sans solde"),0.208333333333334,IF(AND(AG1124="",F1124-D1124&lt;0),("24:00:00"-D1124)+("00:00:00"+F1124)-0.0416666666666667,IF(AND(OR(AG1124="Allaitement",AG1124="Sans déjeuner"),F1124-D1124&lt;0),("24:00:00"-D1124)+("00:00:00"+F1124),IF(AND(AG1124="",F1124-D1124&gt;0.166666666666667),F1124-D1124-0.0416666666666667,IF(AND(OR(AG1124="Allaitement",AG1124="Sans déjeuner"),F1124-D1124&gt;0.166666666666667),F1124-D1124,F1124-D1124)))))))</f>
        <v>0</v>
      </c>
      <c r="P1124" s="6" t="str">
        <f aca="false">IFERROR(VLOOKUP($B1124,Agents!$A:$D,2,0),"-")</f>
        <v>Accessibilité</v>
      </c>
      <c r="Q1124" s="21" t="n">
        <v>46305</v>
      </c>
      <c r="R1124" s="8" t="n">
        <f aca="false">IF(M1124="Abs",O1124,0)</f>
        <v>0</v>
      </c>
      <c r="S1124" s="8" t="n">
        <f aca="false">SUM(R1124,L1124,I1124,J1124,W1124,H1124)</f>
        <v>0</v>
      </c>
      <c r="T1124" s="6" t="str">
        <f aca="false">"Sem - "&amp;WEEKNUM(Q1124,21)</f>
        <v>Sem - 41</v>
      </c>
      <c r="U1124" s="6" t="str">
        <f aca="false">CHOOSE(MONTH(Q1124),"Janvier","Février","Mars","Avril","Mai","Juin","Juillet","Août","Septembre","Octobre","Novembre","Décembre")</f>
        <v>Octobre</v>
      </c>
      <c r="V1124" s="22" t="n">
        <f aca="false">YEAR(Q1124)</f>
        <v>2026</v>
      </c>
      <c r="W1124" s="20"/>
      <c r="X1124" s="8" t="n">
        <f aca="false">IFERROR(IF(M1124="Abs",0,IF(ROUND((D1124-C1124+E1124-F1124)*1440,0)&lt;=1,0,D1124-C1124+E1124-F1124)),0)</f>
        <v>0</v>
      </c>
      <c r="Y1124" s="6" t="str">
        <f aca="false">IFERROR(VLOOKUP($B1124,Agents!$A:$D,3,0),"-")</f>
        <v>OUBRAHIM Mohammed</v>
      </c>
      <c r="Z1124" s="6" t="str">
        <f aca="false">IFERROR(VLOOKUP($B1124,Agents!$A:$D,4,0),"-")</f>
        <v>Credit Mutuel</v>
      </c>
      <c r="AA1124" s="18" t="s">
        <v>123</v>
      </c>
      <c r="AB1124" s="8" t="str">
        <f aca="false">IF(AND(D1124="Congé",F1124="Congé"),0.333333333333333,IF(OR(AND(D1124="Congé",F1124&lt;&gt;"Congé"),(AND(F1124="Congé",D1124&lt;&gt;"Congé"))),0.166666666666667,""))</f>
        <v/>
      </c>
      <c r="AC1124" s="8" t="str">
        <f aca="false">IF(AND(D1124="Congé sans solde",F1124="Congé sans solde"),0.333333333333333,IF(OR(AND(D1124="Congé sans solde",F1124&lt;&gt;"Congé sans solde"),(AND(F1124="Congé sans solde",D1124&lt;&gt;"Congé sans solde"))),0.166666666666667,""))</f>
        <v/>
      </c>
      <c r="AD1124" s="8" t="str">
        <f aca="false">IF(AND(D1124="Congé spécial",F1124="Congé spécial"),0.333333333333333,IF(OR(AND(D1124="Congé spécial",F1124&lt;&gt;"Congé spécial"),AND(F1124="Congé spécial",D1124&lt;&gt;"Congé spécial")),0.166666666666667,""))</f>
        <v/>
      </c>
      <c r="AE1124" s="8" t="str">
        <f aca="false">IF(AND(D1124="Férié",F1124="Férié"),0.333333333333333,IF(OR(AND(D1124="Férié",F1124&lt;&gt;"Férié"),(AND(F1124="Férié",D1124&lt;&gt;"Férié"))),0.166666666666667,""))</f>
        <v/>
      </c>
      <c r="AF1124" s="18"/>
      <c r="AG1124" s="18"/>
    </row>
    <row r="1125" customFormat="false" ht="15" hidden="false" customHeight="false" outlineLevel="0" collapsed="false">
      <c r="A1125" s="6" t="str">
        <f aca="false">YEAR(Q1125-WEEKDAY(Q1125,2)+4)&amp;"-S"&amp;TEXT(WEEKNUM(Q1125,21),"00")</f>
        <v>2026-S41</v>
      </c>
      <c r="B1125" s="18" t="s">
        <v>73</v>
      </c>
      <c r="C1125" s="19"/>
      <c r="D1125" s="19" t="s">
        <v>74</v>
      </c>
      <c r="E1125" s="19"/>
      <c r="F1125" s="19" t="s">
        <v>74</v>
      </c>
      <c r="G1125" s="20"/>
      <c r="H1125" s="20"/>
      <c r="I1125" s="8" t="str">
        <f aca="false">IF(IF(OR(C1125="",D1125="Congé",D1125="OFF",D1125="Congé spécial"),"",IF(D1125&gt;F1125,D1125-C1125,IF(C1125-D1125&lt;0,0,C1125-D1125)))&lt;0.00068287037037037,"",IF(OR(D1125="Congé",D1125="OFF",C1125="",D1125="Congé spécial"),"",IF(D1125&gt;F1125,D1125-C1125,IF(C1125-D1125&lt;0,0,C1125-D1125))))</f>
        <v/>
      </c>
      <c r="J1125" s="20"/>
      <c r="K1125" s="8" t="n">
        <f aca="false">IF(SUM(H1125:J1125)&lt;0.00068287037037037,0,SUM(H1125:J1125))</f>
        <v>0</v>
      </c>
      <c r="L1125" s="8" t="n">
        <f aca="false">IF(OR(F1125="Congé",F1125="OFF",M1125="Abs",F1125="Congé sans solde",F1125="Férié",F1125="Congé spécial",D1125="Congé spécial"),0,IF(F1125-E1125&lt;0,0,IF(F1125-E1125&lt;=0.00068287037037037,0,F1125-E1125)))</f>
        <v>0</v>
      </c>
      <c r="M1125" s="6" t="n">
        <f aca="false">IF(AND(O1125&lt;&gt;0,C1125=""),"Abs",0)</f>
        <v>0</v>
      </c>
      <c r="N1125" s="8" t="str">
        <f aca="false">IFERROR(IF(OR(D1125="OFF",D1125="Congé",M1125="Abs",D1125="Congé sans solde",D1125="Férié"),"",IF(O1125-K1125-L1125&gt;O1125,O1125,IF(O1125-K1125-L1125&lt;0,"",O1125-K1125-L1125))),"")</f>
        <v/>
      </c>
      <c r="O1125" s="8" t="n">
        <f aca="false">IF(AG1125="2H Pause déjeuner",IF(F1125-D1125-0.0833333333333333&lt;0,F1125-D1125-0.0833333333333333+1,F1125-D1125-0.0833333333333333),IF(OR(AND(F1125="OFF",D1125="OFF"),AND(F1125="Congé",D1125="Congé"),AND(F1125="Congé sans solde",D1125="Congé sans solde"),AND(F1125="Congé spécial",D1125="Congé spécial"),AND(F1125="Férié",D1125="Férié"),AND(F1125="OFF",D1125="Congé"),AND(F1125="OFF",D1125="Congé sans solde"),AND(F1125="OFF",D1125="Congé spécial"),AND(F1125="OFF",D1125="Férié"),AND(F1125="Congé",D1125="OFF"),AND(F1125="Congé",D1125="Congé sans solde"),AND(F1125="Congé",D1125="Congé spécial"),AND(F1125="Congé",D1125="Férié"),AND(F1125="Congé sans solde",D1125="OFF"),AND(F1125="Congé sans solde",D1125="Congé"),AND(F1125="Congé sans solde",D1125="Congé spécial"),AND(F1125="Congé sans solde",D1125="Férié"),AND(F1125="Congé spécial",D1125="OFF"),AND(F1125="Congé spécial",D1125="Congé"),AND(F1125="Congé spécial",D1125="Congé sans solde"),AND(F1125="Congé spécial",D1125="Férié"),AND(F1125="Férié",D1125="OFF"),AND(F1125="Férié",D1125="Congé"),AND(F1125="Férié",D1125="Congé sans solde"),AND(F1125="Férié",D1125="Congé spécial")),0,IF(OR(F1125="OFF",F1125="Congé",F1125="Congé spécial",F1125="Congé sans solde",D1125="OFF",D1125="Congé",D1125="Congé spécial",D1125="Congé sans solde"),0.208333333333334,IF(AND(AG1125="",F1125-D1125&lt;0),("24:00:00"-D1125)+("00:00:00"+F1125)-0.0416666666666667,IF(AND(OR(AG1125="Allaitement",AG1125="Sans déjeuner"),F1125-D1125&lt;0),("24:00:00"-D1125)+("00:00:00"+F1125),IF(AND(AG1125="",F1125-D1125&gt;0.166666666666667),F1125-D1125-0.0416666666666667,IF(AND(OR(AG1125="Allaitement",AG1125="Sans déjeuner"),F1125-D1125&gt;0.166666666666667),F1125-D1125,F1125-D1125)))))))</f>
        <v>0</v>
      </c>
      <c r="P1125" s="6" t="str">
        <f aca="false">IFERROR(VLOOKUP($B1125,Agents!$A:$D,2,0),"-")</f>
        <v>Accessibilité</v>
      </c>
      <c r="Q1125" s="21" t="n">
        <v>46305</v>
      </c>
      <c r="R1125" s="8" t="n">
        <f aca="false">IF(M1125="Abs",O1125,0)</f>
        <v>0</v>
      </c>
      <c r="S1125" s="8" t="n">
        <f aca="false">SUM(R1125,L1125,I1125,J1125,W1125,H1125)</f>
        <v>0</v>
      </c>
      <c r="T1125" s="6" t="str">
        <f aca="false">"Sem - "&amp;WEEKNUM(Q1125,21)</f>
        <v>Sem - 41</v>
      </c>
      <c r="U1125" s="6" t="str">
        <f aca="false">CHOOSE(MONTH(Q1125),"Janvier","Février","Mars","Avril","Mai","Juin","Juillet","Août","Septembre","Octobre","Novembre","Décembre")</f>
        <v>Octobre</v>
      </c>
      <c r="V1125" s="22" t="n">
        <f aca="false">YEAR(Q1125)</f>
        <v>2026</v>
      </c>
      <c r="W1125" s="20"/>
      <c r="X1125" s="8" t="n">
        <f aca="false">IFERROR(IF(M1125="Abs",0,IF(ROUND((D1125-C1125+E1125-F1125)*1440,0)&lt;=1,0,D1125-C1125+E1125-F1125)),0)</f>
        <v>0</v>
      </c>
      <c r="Y1125" s="6" t="str">
        <f aca="false">IFERROR(VLOOKUP($B1125,Agents!$A:$D,3,0),"-")</f>
        <v>OUBRAHIM Mohammed</v>
      </c>
      <c r="Z1125" s="6" t="str">
        <f aca="false">IFERROR(VLOOKUP($B1125,Agents!$A:$D,4,0),"-")</f>
        <v>Credit Mutuel</v>
      </c>
      <c r="AA1125" s="18" t="s">
        <v>123</v>
      </c>
      <c r="AB1125" s="8" t="str">
        <f aca="false">IF(AND(D1125="Congé",F1125="Congé"),0.333333333333333,IF(OR(AND(D1125="Congé",F1125&lt;&gt;"Congé"),(AND(F1125="Congé",D1125&lt;&gt;"Congé"))),0.166666666666667,""))</f>
        <v/>
      </c>
      <c r="AC1125" s="8" t="str">
        <f aca="false">IF(AND(D1125="Congé sans solde",F1125="Congé sans solde"),0.333333333333333,IF(OR(AND(D1125="Congé sans solde",F1125&lt;&gt;"Congé sans solde"),(AND(F1125="Congé sans solde",D1125&lt;&gt;"Congé sans solde"))),0.166666666666667,""))</f>
        <v/>
      </c>
      <c r="AD1125" s="8" t="str">
        <f aca="false">IF(AND(D1125="Congé spécial",F1125="Congé spécial"),0.333333333333333,IF(OR(AND(D1125="Congé spécial",F1125&lt;&gt;"Congé spécial"),AND(F1125="Congé spécial",D1125&lt;&gt;"Congé spécial")),0.166666666666667,""))</f>
        <v/>
      </c>
      <c r="AE1125" s="8" t="str">
        <f aca="false">IF(AND(D1125="Férié",F1125="Férié"),0.333333333333333,IF(OR(AND(D1125="Férié",F1125&lt;&gt;"Férié"),(AND(F1125="Férié",D1125&lt;&gt;"Férié"))),0.166666666666667,""))</f>
        <v/>
      </c>
      <c r="AF1125" s="18"/>
      <c r="AG1125" s="18"/>
    </row>
    <row r="1126" customFormat="false" ht="15" hidden="false" customHeight="false" outlineLevel="0" collapsed="false">
      <c r="A1126" s="6" t="str">
        <f aca="false">YEAR(Q1126-WEEKDAY(Q1126,2)+4)&amp;"-S"&amp;TEXT(WEEKNUM(Q1126,21),"00")</f>
        <v>2026-S41</v>
      </c>
      <c r="B1126" s="18" t="s">
        <v>71</v>
      </c>
      <c r="C1126" s="19"/>
      <c r="D1126" s="19" t="s">
        <v>74</v>
      </c>
      <c r="E1126" s="19"/>
      <c r="F1126" s="19" t="s">
        <v>74</v>
      </c>
      <c r="G1126" s="20"/>
      <c r="H1126" s="20"/>
      <c r="I1126" s="8" t="str">
        <f aca="false">IF(IF(OR(C1126="",D1126="Congé",D1126="OFF",D1126="Congé spécial"),"",IF(D1126&gt;F1126,D1126-C1126,IF(C1126-D1126&lt;0,0,C1126-D1126)))&lt;0.00068287037037037,"",IF(OR(D1126="Congé",D1126="OFF",C1126="",D1126="Congé spécial"),"",IF(D1126&gt;F1126,D1126-C1126,IF(C1126-D1126&lt;0,0,C1126-D1126))))</f>
        <v/>
      </c>
      <c r="J1126" s="20"/>
      <c r="K1126" s="8" t="n">
        <f aca="false">IF(SUM(H1126:J1126)&lt;0.00068287037037037,0,SUM(H1126:J1126))</f>
        <v>0</v>
      </c>
      <c r="L1126" s="8" t="n">
        <f aca="false">IF(OR(F1126="Congé",F1126="OFF",M1126="Abs",F1126="Congé sans solde",F1126="Férié",F1126="Congé spécial",D1126="Congé spécial"),0,IF(F1126-E1126&lt;0,0,IF(F1126-E1126&lt;=0.00068287037037037,0,F1126-E1126)))</f>
        <v>0</v>
      </c>
      <c r="M1126" s="6" t="n">
        <f aca="false">IF(AND(O1126&lt;&gt;0,C1126=""),"Abs",0)</f>
        <v>0</v>
      </c>
      <c r="N1126" s="8" t="str">
        <f aca="false">IFERROR(IF(OR(D1126="OFF",D1126="Congé",M1126="Abs",D1126="Congé sans solde",D1126="Férié"),"",IF(O1126-K1126-L1126&gt;O1126,O1126,IF(O1126-K1126-L1126&lt;0,"",O1126-K1126-L1126))),"")</f>
        <v/>
      </c>
      <c r="O1126" s="8" t="n">
        <f aca="false">IF(AG1126="2H Pause déjeuner",IF(F1126-D1126-0.0833333333333333&lt;0,F1126-D1126-0.0833333333333333+1,F1126-D1126-0.0833333333333333),IF(OR(AND(F1126="OFF",D1126="OFF"),AND(F1126="Congé",D1126="Congé"),AND(F1126="Congé sans solde",D1126="Congé sans solde"),AND(F1126="Congé spécial",D1126="Congé spécial"),AND(F1126="Férié",D1126="Férié"),AND(F1126="OFF",D1126="Congé"),AND(F1126="OFF",D1126="Congé sans solde"),AND(F1126="OFF",D1126="Congé spécial"),AND(F1126="OFF",D1126="Férié"),AND(F1126="Congé",D1126="OFF"),AND(F1126="Congé",D1126="Congé sans solde"),AND(F1126="Congé",D1126="Congé spécial"),AND(F1126="Congé",D1126="Férié"),AND(F1126="Congé sans solde",D1126="OFF"),AND(F1126="Congé sans solde",D1126="Congé"),AND(F1126="Congé sans solde",D1126="Congé spécial"),AND(F1126="Congé sans solde",D1126="Férié"),AND(F1126="Congé spécial",D1126="OFF"),AND(F1126="Congé spécial",D1126="Congé"),AND(F1126="Congé spécial",D1126="Congé sans solde"),AND(F1126="Congé spécial",D1126="Férié"),AND(F1126="Férié",D1126="OFF"),AND(F1126="Férié",D1126="Congé"),AND(F1126="Férié",D1126="Congé sans solde"),AND(F1126="Férié",D1126="Congé spécial")),0,IF(OR(F1126="OFF",F1126="Congé",F1126="Congé spécial",F1126="Congé sans solde",D1126="OFF",D1126="Congé",D1126="Congé spécial",D1126="Congé sans solde"),0.208333333333334,IF(AND(AG1126="",F1126-D1126&lt;0),("24:00:00"-D1126)+("00:00:00"+F1126)-0.0416666666666667,IF(AND(OR(AG1126="Allaitement",AG1126="Sans déjeuner"),F1126-D1126&lt;0),("24:00:00"-D1126)+("00:00:00"+F1126),IF(AND(AG1126="",F1126-D1126&gt;0.166666666666667),F1126-D1126-0.0416666666666667,IF(AND(OR(AG1126="Allaitement",AG1126="Sans déjeuner"),F1126-D1126&gt;0.166666666666667),F1126-D1126,F1126-D1126)))))))</f>
        <v>0</v>
      </c>
      <c r="P1126" s="6" t="str">
        <f aca="false">IFERROR(VLOOKUP($B1126,Agents!$A:$D,2,0),"-")</f>
        <v>Accessibilité</v>
      </c>
      <c r="Q1126" s="21" t="n">
        <v>46306</v>
      </c>
      <c r="R1126" s="8" t="n">
        <f aca="false">IF(M1126="Abs",O1126,0)</f>
        <v>0</v>
      </c>
      <c r="S1126" s="8" t="n">
        <f aca="false">SUM(R1126,L1126,I1126,J1126,W1126,H1126)</f>
        <v>0</v>
      </c>
      <c r="T1126" s="6" t="str">
        <f aca="false">"Sem - "&amp;WEEKNUM(Q1126,21)</f>
        <v>Sem - 41</v>
      </c>
      <c r="U1126" s="6" t="str">
        <f aca="false">CHOOSE(MONTH(Q1126),"Janvier","Février","Mars","Avril","Mai","Juin","Juillet","Août","Septembre","Octobre","Novembre","Décembre")</f>
        <v>Octobre</v>
      </c>
      <c r="V1126" s="22" t="n">
        <f aca="false">YEAR(Q1126)</f>
        <v>2026</v>
      </c>
      <c r="W1126" s="20"/>
      <c r="X1126" s="8" t="n">
        <f aca="false">IFERROR(IF(M1126="Abs",0,IF(ROUND((D1126-C1126+E1126-F1126)*1440,0)&lt;=1,0,D1126-C1126+E1126-F1126)),0)</f>
        <v>0</v>
      </c>
      <c r="Y1126" s="6" t="str">
        <f aca="false">IFERROR(VLOOKUP($B1126,Agents!$A:$D,3,0),"-")</f>
        <v>OUBRAHIM Mohammed</v>
      </c>
      <c r="Z1126" s="6" t="str">
        <f aca="false">IFERROR(VLOOKUP($B1126,Agents!$A:$D,4,0),"-")</f>
        <v>Credit Mutuel</v>
      </c>
      <c r="AA1126" s="18" t="s">
        <v>123</v>
      </c>
      <c r="AB1126" s="8" t="str">
        <f aca="false">IF(AND(D1126="Congé",F1126="Congé"),0.333333333333333,IF(OR(AND(D1126="Congé",F1126&lt;&gt;"Congé"),(AND(F1126="Congé",D1126&lt;&gt;"Congé"))),0.166666666666667,""))</f>
        <v/>
      </c>
      <c r="AC1126" s="8" t="str">
        <f aca="false">IF(AND(D1126="Congé sans solde",F1126="Congé sans solde"),0.333333333333333,IF(OR(AND(D1126="Congé sans solde",F1126&lt;&gt;"Congé sans solde"),(AND(F1126="Congé sans solde",D1126&lt;&gt;"Congé sans solde"))),0.166666666666667,""))</f>
        <v/>
      </c>
      <c r="AD1126" s="8" t="str">
        <f aca="false">IF(AND(D1126="Congé spécial",F1126="Congé spécial"),0.333333333333333,IF(OR(AND(D1126="Congé spécial",F1126&lt;&gt;"Congé spécial"),AND(F1126="Congé spécial",D1126&lt;&gt;"Congé spécial")),0.166666666666667,""))</f>
        <v/>
      </c>
      <c r="AE1126" s="8" t="str">
        <f aca="false">IF(AND(D1126="Férié",F1126="Férié"),0.333333333333333,IF(OR(AND(D1126="Férié",F1126&lt;&gt;"Férié"),(AND(F1126="Férié",D1126&lt;&gt;"Férié"))),0.166666666666667,""))</f>
        <v/>
      </c>
      <c r="AF1126" s="18"/>
      <c r="AG1126" s="18"/>
    </row>
    <row r="1127" customFormat="false" ht="15" hidden="false" customHeight="false" outlineLevel="0" collapsed="false">
      <c r="A1127" s="6" t="str">
        <f aca="false">YEAR(Q1127-WEEKDAY(Q1127,2)+4)&amp;"-S"&amp;TEXT(WEEKNUM(Q1127,21),"00")</f>
        <v>2026-S41</v>
      </c>
      <c r="B1127" s="18" t="s">
        <v>72</v>
      </c>
      <c r="C1127" s="19"/>
      <c r="D1127" s="19" t="s">
        <v>74</v>
      </c>
      <c r="E1127" s="19"/>
      <c r="F1127" s="19" t="s">
        <v>74</v>
      </c>
      <c r="G1127" s="20"/>
      <c r="H1127" s="20"/>
      <c r="I1127" s="8" t="str">
        <f aca="false">IF(IF(OR(C1127="",D1127="Congé",D1127="OFF",D1127="Congé spécial"),"",IF(D1127&gt;F1127,D1127-C1127,IF(C1127-D1127&lt;0,0,C1127-D1127)))&lt;0.00068287037037037,"",IF(OR(D1127="Congé",D1127="OFF",C1127="",D1127="Congé spécial"),"",IF(D1127&gt;F1127,D1127-C1127,IF(C1127-D1127&lt;0,0,C1127-D1127))))</f>
        <v/>
      </c>
      <c r="J1127" s="20"/>
      <c r="K1127" s="8" t="n">
        <f aca="false">IF(SUM(H1127:J1127)&lt;0.00068287037037037,0,SUM(H1127:J1127))</f>
        <v>0</v>
      </c>
      <c r="L1127" s="8" t="n">
        <f aca="false">IF(OR(F1127="Congé",F1127="OFF",M1127="Abs",F1127="Congé sans solde",F1127="Férié",F1127="Congé spécial",D1127="Congé spécial"),0,IF(F1127-E1127&lt;0,0,IF(F1127-E1127&lt;=0.00068287037037037,0,F1127-E1127)))</f>
        <v>0</v>
      </c>
      <c r="M1127" s="6" t="n">
        <f aca="false">IF(AND(O1127&lt;&gt;0,C1127=""),"Abs",0)</f>
        <v>0</v>
      </c>
      <c r="N1127" s="8" t="str">
        <f aca="false">IFERROR(IF(OR(D1127="OFF",D1127="Congé",M1127="Abs",D1127="Congé sans solde",D1127="Férié"),"",IF(O1127-K1127-L1127&gt;O1127,O1127,IF(O1127-K1127-L1127&lt;0,"",O1127-K1127-L1127))),"")</f>
        <v/>
      </c>
      <c r="O1127" s="8" t="n">
        <f aca="false">IF(AG1127="2H Pause déjeuner",IF(F1127-D1127-0.0833333333333333&lt;0,F1127-D1127-0.0833333333333333+1,F1127-D1127-0.0833333333333333),IF(OR(AND(F1127="OFF",D1127="OFF"),AND(F1127="Congé",D1127="Congé"),AND(F1127="Congé sans solde",D1127="Congé sans solde"),AND(F1127="Congé spécial",D1127="Congé spécial"),AND(F1127="Férié",D1127="Férié"),AND(F1127="OFF",D1127="Congé"),AND(F1127="OFF",D1127="Congé sans solde"),AND(F1127="OFF",D1127="Congé spécial"),AND(F1127="OFF",D1127="Férié"),AND(F1127="Congé",D1127="OFF"),AND(F1127="Congé",D1127="Congé sans solde"),AND(F1127="Congé",D1127="Congé spécial"),AND(F1127="Congé",D1127="Férié"),AND(F1127="Congé sans solde",D1127="OFF"),AND(F1127="Congé sans solde",D1127="Congé"),AND(F1127="Congé sans solde",D1127="Congé spécial"),AND(F1127="Congé sans solde",D1127="Férié"),AND(F1127="Congé spécial",D1127="OFF"),AND(F1127="Congé spécial",D1127="Congé"),AND(F1127="Congé spécial",D1127="Congé sans solde"),AND(F1127="Congé spécial",D1127="Férié"),AND(F1127="Férié",D1127="OFF"),AND(F1127="Férié",D1127="Congé"),AND(F1127="Férié",D1127="Congé sans solde"),AND(F1127="Férié",D1127="Congé spécial")),0,IF(OR(F1127="OFF",F1127="Congé",F1127="Congé spécial",F1127="Congé sans solde",D1127="OFF",D1127="Congé",D1127="Congé spécial",D1127="Congé sans solde"),0.208333333333334,IF(AND(AG1127="",F1127-D1127&lt;0),("24:00:00"-D1127)+("00:00:00"+F1127)-0.0416666666666667,IF(AND(OR(AG1127="Allaitement",AG1127="Sans déjeuner"),F1127-D1127&lt;0),("24:00:00"-D1127)+("00:00:00"+F1127),IF(AND(AG1127="",F1127-D1127&gt;0.166666666666667),F1127-D1127-0.0416666666666667,IF(AND(OR(AG1127="Allaitement",AG1127="Sans déjeuner"),F1127-D1127&gt;0.166666666666667),F1127-D1127,F1127-D1127)))))))</f>
        <v>0</v>
      </c>
      <c r="P1127" s="6" t="str">
        <f aca="false">IFERROR(VLOOKUP($B1127,Agents!$A:$D,2,0),"-")</f>
        <v>Accessibilité</v>
      </c>
      <c r="Q1127" s="21" t="n">
        <v>46306</v>
      </c>
      <c r="R1127" s="8" t="n">
        <f aca="false">IF(M1127="Abs",O1127,0)</f>
        <v>0</v>
      </c>
      <c r="S1127" s="8" t="n">
        <f aca="false">SUM(R1127,L1127,I1127,J1127,W1127,H1127)</f>
        <v>0</v>
      </c>
      <c r="T1127" s="6" t="str">
        <f aca="false">"Sem - "&amp;WEEKNUM(Q1127,21)</f>
        <v>Sem - 41</v>
      </c>
      <c r="U1127" s="6" t="str">
        <f aca="false">CHOOSE(MONTH(Q1127),"Janvier","Février","Mars","Avril","Mai","Juin","Juillet","Août","Septembre","Octobre","Novembre","Décembre")</f>
        <v>Octobre</v>
      </c>
      <c r="V1127" s="22" t="n">
        <f aca="false">YEAR(Q1127)</f>
        <v>2026</v>
      </c>
      <c r="W1127" s="20"/>
      <c r="X1127" s="8" t="n">
        <f aca="false">IFERROR(IF(M1127="Abs",0,IF(ROUND((D1127-C1127+E1127-F1127)*1440,0)&lt;=1,0,D1127-C1127+E1127-F1127)),0)</f>
        <v>0</v>
      </c>
      <c r="Y1127" s="6" t="str">
        <f aca="false">IFERROR(VLOOKUP($B1127,Agents!$A:$D,3,0),"-")</f>
        <v>OUBRAHIM Mohammed</v>
      </c>
      <c r="Z1127" s="6" t="str">
        <f aca="false">IFERROR(VLOOKUP($B1127,Agents!$A:$D,4,0),"-")</f>
        <v>Credit Mutuel</v>
      </c>
      <c r="AA1127" s="18" t="s">
        <v>123</v>
      </c>
      <c r="AB1127" s="8" t="str">
        <f aca="false">IF(AND(D1127="Congé",F1127="Congé"),0.333333333333333,IF(OR(AND(D1127="Congé",F1127&lt;&gt;"Congé"),(AND(F1127="Congé",D1127&lt;&gt;"Congé"))),0.166666666666667,""))</f>
        <v/>
      </c>
      <c r="AC1127" s="8" t="str">
        <f aca="false">IF(AND(D1127="Congé sans solde",F1127="Congé sans solde"),0.333333333333333,IF(OR(AND(D1127="Congé sans solde",F1127&lt;&gt;"Congé sans solde"),(AND(F1127="Congé sans solde",D1127&lt;&gt;"Congé sans solde"))),0.166666666666667,""))</f>
        <v/>
      </c>
      <c r="AD1127" s="8" t="str">
        <f aca="false">IF(AND(D1127="Congé spécial",F1127="Congé spécial"),0.333333333333333,IF(OR(AND(D1127="Congé spécial",F1127&lt;&gt;"Congé spécial"),AND(F1127="Congé spécial",D1127&lt;&gt;"Congé spécial")),0.166666666666667,""))</f>
        <v/>
      </c>
      <c r="AE1127" s="8" t="str">
        <f aca="false">IF(AND(D1127="Férié",F1127="Férié"),0.333333333333333,IF(OR(AND(D1127="Férié",F1127&lt;&gt;"Férié"),(AND(F1127="Férié",D1127&lt;&gt;"Férié"))),0.166666666666667,""))</f>
        <v/>
      </c>
      <c r="AF1127" s="18"/>
      <c r="AG1127" s="18"/>
    </row>
    <row r="1128" customFormat="false" ht="15" hidden="false" customHeight="false" outlineLevel="0" collapsed="false">
      <c r="A1128" s="6" t="str">
        <f aca="false">YEAR(Q1128-WEEKDAY(Q1128,2)+4)&amp;"-S"&amp;TEXT(WEEKNUM(Q1128,21),"00")</f>
        <v>2026-S41</v>
      </c>
      <c r="B1128" s="18" t="s">
        <v>73</v>
      </c>
      <c r="C1128" s="19"/>
      <c r="D1128" s="19" t="s">
        <v>74</v>
      </c>
      <c r="E1128" s="19"/>
      <c r="F1128" s="19" t="s">
        <v>74</v>
      </c>
      <c r="G1128" s="20"/>
      <c r="H1128" s="20"/>
      <c r="I1128" s="8" t="str">
        <f aca="false">IF(IF(OR(C1128="",D1128="Congé",D1128="OFF",D1128="Congé spécial"),"",IF(D1128&gt;F1128,D1128-C1128,IF(C1128-D1128&lt;0,0,C1128-D1128)))&lt;0.00068287037037037,"",IF(OR(D1128="Congé",D1128="OFF",C1128="",D1128="Congé spécial"),"",IF(D1128&gt;F1128,D1128-C1128,IF(C1128-D1128&lt;0,0,C1128-D1128))))</f>
        <v/>
      </c>
      <c r="J1128" s="20"/>
      <c r="K1128" s="8" t="n">
        <f aca="false">IF(SUM(H1128:J1128)&lt;0.00068287037037037,0,SUM(H1128:J1128))</f>
        <v>0</v>
      </c>
      <c r="L1128" s="8" t="n">
        <f aca="false">IF(OR(F1128="Congé",F1128="OFF",M1128="Abs",F1128="Congé sans solde",F1128="Férié",F1128="Congé spécial",D1128="Congé spécial"),0,IF(F1128-E1128&lt;0,0,IF(F1128-E1128&lt;=0.00068287037037037,0,F1128-E1128)))</f>
        <v>0</v>
      </c>
      <c r="M1128" s="6" t="n">
        <f aca="false">IF(AND(O1128&lt;&gt;0,C1128=""),"Abs",0)</f>
        <v>0</v>
      </c>
      <c r="N1128" s="8" t="str">
        <f aca="false">IFERROR(IF(OR(D1128="OFF",D1128="Congé",M1128="Abs",D1128="Congé sans solde",D1128="Férié"),"",IF(O1128-K1128-L1128&gt;O1128,O1128,IF(O1128-K1128-L1128&lt;0,"",O1128-K1128-L1128))),"")</f>
        <v/>
      </c>
      <c r="O1128" s="8" t="n">
        <f aca="false">IF(AG1128="2H Pause déjeuner",IF(F1128-D1128-0.0833333333333333&lt;0,F1128-D1128-0.0833333333333333+1,F1128-D1128-0.0833333333333333),IF(OR(AND(F1128="OFF",D1128="OFF"),AND(F1128="Congé",D1128="Congé"),AND(F1128="Congé sans solde",D1128="Congé sans solde"),AND(F1128="Congé spécial",D1128="Congé spécial"),AND(F1128="Férié",D1128="Férié"),AND(F1128="OFF",D1128="Congé"),AND(F1128="OFF",D1128="Congé sans solde"),AND(F1128="OFF",D1128="Congé spécial"),AND(F1128="OFF",D1128="Férié"),AND(F1128="Congé",D1128="OFF"),AND(F1128="Congé",D1128="Congé sans solde"),AND(F1128="Congé",D1128="Congé spécial"),AND(F1128="Congé",D1128="Férié"),AND(F1128="Congé sans solde",D1128="OFF"),AND(F1128="Congé sans solde",D1128="Congé"),AND(F1128="Congé sans solde",D1128="Congé spécial"),AND(F1128="Congé sans solde",D1128="Férié"),AND(F1128="Congé spécial",D1128="OFF"),AND(F1128="Congé spécial",D1128="Congé"),AND(F1128="Congé spécial",D1128="Congé sans solde"),AND(F1128="Congé spécial",D1128="Férié"),AND(F1128="Férié",D1128="OFF"),AND(F1128="Férié",D1128="Congé"),AND(F1128="Férié",D1128="Congé sans solde"),AND(F1128="Férié",D1128="Congé spécial")),0,IF(OR(F1128="OFF",F1128="Congé",F1128="Congé spécial",F1128="Congé sans solde",D1128="OFF",D1128="Congé",D1128="Congé spécial",D1128="Congé sans solde"),0.208333333333334,IF(AND(AG1128="",F1128-D1128&lt;0),("24:00:00"-D1128)+("00:00:00"+F1128)-0.0416666666666667,IF(AND(OR(AG1128="Allaitement",AG1128="Sans déjeuner"),F1128-D1128&lt;0),("24:00:00"-D1128)+("00:00:00"+F1128),IF(AND(AG1128="",F1128-D1128&gt;0.166666666666667),F1128-D1128-0.0416666666666667,IF(AND(OR(AG1128="Allaitement",AG1128="Sans déjeuner"),F1128-D1128&gt;0.166666666666667),F1128-D1128,F1128-D1128)))))))</f>
        <v>0</v>
      </c>
      <c r="P1128" s="6" t="str">
        <f aca="false">IFERROR(VLOOKUP($B1128,Agents!$A:$D,2,0),"-")</f>
        <v>Accessibilité</v>
      </c>
      <c r="Q1128" s="21" t="n">
        <v>46306</v>
      </c>
      <c r="R1128" s="8" t="n">
        <f aca="false">IF(M1128="Abs",O1128,0)</f>
        <v>0</v>
      </c>
      <c r="S1128" s="8" t="n">
        <f aca="false">SUM(R1128,L1128,I1128,J1128,W1128,H1128)</f>
        <v>0</v>
      </c>
      <c r="T1128" s="6" t="str">
        <f aca="false">"Sem - "&amp;WEEKNUM(Q1128,21)</f>
        <v>Sem - 41</v>
      </c>
      <c r="U1128" s="6" t="str">
        <f aca="false">CHOOSE(MONTH(Q1128),"Janvier","Février","Mars","Avril","Mai","Juin","Juillet","Août","Septembre","Octobre","Novembre","Décembre")</f>
        <v>Octobre</v>
      </c>
      <c r="V1128" s="22" t="n">
        <f aca="false">YEAR(Q1128)</f>
        <v>2026</v>
      </c>
      <c r="W1128" s="20"/>
      <c r="X1128" s="8" t="n">
        <f aca="false">IFERROR(IF(M1128="Abs",0,IF(ROUND((D1128-C1128+E1128-F1128)*1440,0)&lt;=1,0,D1128-C1128+E1128-F1128)),0)</f>
        <v>0</v>
      </c>
      <c r="Y1128" s="6" t="str">
        <f aca="false">IFERROR(VLOOKUP($B1128,Agents!$A:$D,3,0),"-")</f>
        <v>OUBRAHIM Mohammed</v>
      </c>
      <c r="Z1128" s="6" t="str">
        <f aca="false">IFERROR(VLOOKUP($B1128,Agents!$A:$D,4,0),"-")</f>
        <v>Credit Mutuel</v>
      </c>
      <c r="AA1128" s="18" t="s">
        <v>123</v>
      </c>
      <c r="AB1128" s="8" t="str">
        <f aca="false">IF(AND(D1128="Congé",F1128="Congé"),0.333333333333333,IF(OR(AND(D1128="Congé",F1128&lt;&gt;"Congé"),(AND(F1128="Congé",D1128&lt;&gt;"Congé"))),0.166666666666667,""))</f>
        <v/>
      </c>
      <c r="AC1128" s="8" t="str">
        <f aca="false">IF(AND(D1128="Congé sans solde",F1128="Congé sans solde"),0.333333333333333,IF(OR(AND(D1128="Congé sans solde",F1128&lt;&gt;"Congé sans solde"),(AND(F1128="Congé sans solde",D1128&lt;&gt;"Congé sans solde"))),0.166666666666667,""))</f>
        <v/>
      </c>
      <c r="AD1128" s="8" t="str">
        <f aca="false">IF(AND(D1128="Congé spécial",F1128="Congé spécial"),0.333333333333333,IF(OR(AND(D1128="Congé spécial",F1128&lt;&gt;"Congé spécial"),AND(F1128="Congé spécial",D1128&lt;&gt;"Congé spécial")),0.166666666666667,""))</f>
        <v/>
      </c>
      <c r="AE1128" s="8" t="str">
        <f aca="false">IF(AND(D1128="Férié",F1128="Férié"),0.333333333333333,IF(OR(AND(D1128="Férié",F1128&lt;&gt;"Férié"),(AND(F1128="Férié",D1128&lt;&gt;"Férié"))),0.166666666666667,""))</f>
        <v/>
      </c>
      <c r="AF1128" s="18"/>
      <c r="AG1128" s="18"/>
    </row>
    <row r="1129" customFormat="false" ht="15" hidden="false" customHeight="false" outlineLevel="0" collapsed="false">
      <c r="A1129" s="6" t="str">
        <f aca="false">YEAR(Q1129-WEEKDAY(Q1129,2)+4)&amp;"-S"&amp;TEXT(WEEKNUM(Q1129,21),"00")</f>
        <v>2026-S41</v>
      </c>
      <c r="B1129" s="18" t="s">
        <v>124</v>
      </c>
      <c r="C1129" s="19" t="n">
        <v>0.333333333333333</v>
      </c>
      <c r="D1129" s="19" t="n">
        <v>0.333333333333333</v>
      </c>
      <c r="E1129" s="19" t="n">
        <v>0.75</v>
      </c>
      <c r="F1129" s="19" t="n">
        <v>0.75</v>
      </c>
      <c r="G1129" s="20"/>
      <c r="H1129" s="20"/>
      <c r="I1129" s="8" t="str">
        <f aca="false">IF(IF(OR(C1129="",D1129="Congé",D1129="OFF",D1129="Congé spécial"),"",IF(D1129&gt;F1129,D1129-C1129,IF(C1129-D1129&lt;0,0,C1129-D1129)))&lt;0.00068287037037037,"",IF(OR(D1129="Congé",D1129="OFF",C1129="",D1129="Congé spécial"),"",IF(D1129&gt;F1129,D1129-C1129,IF(C1129-D1129&lt;0,0,C1129-D1129))))</f>
        <v/>
      </c>
      <c r="J1129" s="20"/>
      <c r="K1129" s="8" t="n">
        <f aca="false">IF(SUM(H1129:J1129)&lt;0.00068287037037037,0,SUM(H1129:J1129))</f>
        <v>0</v>
      </c>
      <c r="L1129" s="8" t="n">
        <f aca="false">IF(OR(F1129="Congé",F1129="OFF",M1129="Abs",F1129="Congé sans solde",F1129="Férié",F1129="Congé spécial",D1129="Congé spécial"),0,IF(F1129-E1129&lt;0,0,IF(F1129-E1129&lt;=0.00068287037037037,0,F1129-E1129)))</f>
        <v>0</v>
      </c>
      <c r="M1129" s="6" t="n">
        <f aca="false">IF(AND(O1129&lt;&gt;0,C1129=""),"Abs",0)</f>
        <v>0</v>
      </c>
      <c r="N1129" s="8" t="n">
        <f aca="false">IFERROR(IF(OR(D1129="OFF",D1129="Congé",M1129="Abs",D1129="Congé sans solde",D1129="Férié"),"",IF(O1129-K1129-L1129&gt;O1129,O1129,IF(O1129-K1129-L1129&lt;0,"",O1129-K1129-L1129))),"")</f>
        <v>0.375</v>
      </c>
      <c r="O1129" s="8" t="n">
        <f aca="false">IF(AG1129="2H Pause déjeuner",IF(F1129-D1129-0.0833333333333333&lt;0,F1129-D1129-0.0833333333333333+1,F1129-D1129-0.0833333333333333),IF(OR(AND(F1129="OFF",D1129="OFF"),AND(F1129="Congé",D1129="Congé"),AND(F1129="Congé sans solde",D1129="Congé sans solde"),AND(F1129="Congé spécial",D1129="Congé spécial"),AND(F1129="Férié",D1129="Férié"),AND(F1129="OFF",D1129="Congé"),AND(F1129="OFF",D1129="Congé sans solde"),AND(F1129="OFF",D1129="Congé spécial"),AND(F1129="OFF",D1129="Férié"),AND(F1129="Congé",D1129="OFF"),AND(F1129="Congé",D1129="Congé sans solde"),AND(F1129="Congé",D1129="Congé spécial"),AND(F1129="Congé",D1129="Férié"),AND(F1129="Congé sans solde",D1129="OFF"),AND(F1129="Congé sans solde",D1129="Congé"),AND(F1129="Congé sans solde",D1129="Congé spécial"),AND(F1129="Congé sans solde",D1129="Férié"),AND(F1129="Congé spécial",D1129="OFF"),AND(F1129="Congé spécial",D1129="Congé"),AND(F1129="Congé spécial",D1129="Congé sans solde"),AND(F1129="Congé spécial",D1129="Férié"),AND(F1129="Férié",D1129="OFF"),AND(F1129="Férié",D1129="Congé"),AND(F1129="Férié",D1129="Congé sans solde"),AND(F1129="Férié",D1129="Congé spécial")),0,IF(OR(F1129="OFF",F1129="Congé",F1129="Congé spécial",F1129="Congé sans solde",D1129="OFF",D1129="Congé",D1129="Congé spécial",D1129="Congé sans solde"),0.208333333333334,IF(AND(AG1129="",F1129-D1129&lt;0),("24:00:00"-D1129)+("00:00:00"+F1129)-0.0416666666666667,IF(AND(OR(AG1129="Allaitement",AG1129="Sans déjeuner"),F1129-D1129&lt;0),("24:00:00"-D1129)+("00:00:00"+F1129),IF(AND(AG1129="",F1129-D1129&gt;0.166666666666667),F1129-D1129-0.0416666666666667,IF(AND(OR(AG1129="Allaitement",AG1129="Sans déjeuner"),F1129-D1129&gt;0.166666666666667),F1129-D1129,F1129-D1129)))))))</f>
        <v>0.375</v>
      </c>
      <c r="P1129" s="6" t="str">
        <f aca="false">IFERROR(VLOOKUP($B1129,Agents!$A:$D,2,0),"-")</f>
        <v>Accessibilité</v>
      </c>
      <c r="Q1129" s="21" t="n">
        <v>46300</v>
      </c>
      <c r="R1129" s="8" t="n">
        <f aca="false">IF(M1129="Abs",O1129,0)</f>
        <v>0</v>
      </c>
      <c r="S1129" s="8" t="n">
        <f aca="false">SUM(R1129,L1129,I1129,J1129,W1129,H1129)</f>
        <v>0</v>
      </c>
      <c r="T1129" s="6" t="str">
        <f aca="false">"Sem - "&amp;WEEKNUM(Q1129,21)</f>
        <v>Sem - 41</v>
      </c>
      <c r="U1129" s="6" t="str">
        <f aca="false">CHOOSE(MONTH(Q1129),"Janvier","Février","Mars","Avril","Mai","Juin","Juillet","Août","Septembre","Octobre","Novembre","Décembre")</f>
        <v>Octobre</v>
      </c>
      <c r="V1129" s="22" t="n">
        <f aca="false">YEAR(Q1129)</f>
        <v>2026</v>
      </c>
      <c r="W1129" s="20"/>
      <c r="X1129" s="8" t="n">
        <f aca="false">IFERROR(IF(M1129="Abs",0,IF(ROUND((D1129-C1129+E1129-F1129)*1440,0)&lt;=1,0,D1129-C1129+E1129-F1129)),0)</f>
        <v>0</v>
      </c>
      <c r="Y1129" s="6" t="str">
        <f aca="false">IFERROR(VLOOKUP($B1129,Agents!$A:$D,3,0),"-")</f>
        <v>OUBRAHIM Mohammed</v>
      </c>
      <c r="Z1129" s="6" t="str">
        <f aca="false">IFERROR(VLOOKUP($B1129,Agents!$A:$D,4,0),"-")</f>
        <v>Credit Mutuel</v>
      </c>
      <c r="AA1129" s="18" t="s">
        <v>123</v>
      </c>
      <c r="AB1129" s="8" t="str">
        <f aca="false">IF(AND(D1129="Congé",F1129="Congé"),0.333333333333333,IF(OR(AND(D1129="Congé",F1129&lt;&gt;"Congé"),(AND(F1129="Congé",D1129&lt;&gt;"Congé"))),0.166666666666667,""))</f>
        <v/>
      </c>
      <c r="AC1129" s="8" t="str">
        <f aca="false">IF(AND(D1129="Congé sans solde",F1129="Congé sans solde"),0.333333333333333,IF(OR(AND(D1129="Congé sans solde",F1129&lt;&gt;"Congé sans solde"),(AND(F1129="Congé sans solde",D1129&lt;&gt;"Congé sans solde"))),0.166666666666667,""))</f>
        <v/>
      </c>
      <c r="AD1129" s="8" t="str">
        <f aca="false">IF(AND(D1129="Congé spécial",F1129="Congé spécial"),0.333333333333333,IF(OR(AND(D1129="Congé spécial",F1129&lt;&gt;"Congé spécial"),AND(F1129="Congé spécial",D1129&lt;&gt;"Congé spécial")),0.166666666666667,""))</f>
        <v/>
      </c>
      <c r="AE1129" s="8" t="str">
        <f aca="false">IF(AND(D1129="Férié",F1129="Férié"),0.333333333333333,IF(OR(AND(D1129="Férié",F1129&lt;&gt;"Férié"),(AND(F1129="Férié",D1129&lt;&gt;"Férié"))),0.166666666666667,""))</f>
        <v/>
      </c>
      <c r="AF1129" s="18"/>
      <c r="AG1129" s="18"/>
    </row>
    <row r="1130" customFormat="false" ht="15" hidden="false" customHeight="false" outlineLevel="0" collapsed="false">
      <c r="A1130" s="6" t="str">
        <f aca="false">YEAR(Q1130-WEEKDAY(Q1130,2)+4)&amp;"-S"&amp;TEXT(WEEKNUM(Q1130,21),"00")</f>
        <v>2026-S41</v>
      </c>
      <c r="B1130" s="18" t="s">
        <v>124</v>
      </c>
      <c r="C1130" s="19" t="n">
        <v>0.333333333333333</v>
      </c>
      <c r="D1130" s="19" t="n">
        <v>0.333333333333333</v>
      </c>
      <c r="E1130" s="19" t="n">
        <v>0.75</v>
      </c>
      <c r="F1130" s="19" t="n">
        <v>0.75</v>
      </c>
      <c r="G1130" s="20"/>
      <c r="H1130" s="20"/>
      <c r="I1130" s="8" t="str">
        <f aca="false">IF(IF(OR(C1130="",D1130="Congé",D1130="OFF",D1130="Congé spécial"),"",IF(D1130&gt;F1130,D1130-C1130,IF(C1130-D1130&lt;0,0,C1130-D1130)))&lt;0.00068287037037037,"",IF(OR(D1130="Congé",D1130="OFF",C1130="",D1130="Congé spécial"),"",IF(D1130&gt;F1130,D1130-C1130,IF(C1130-D1130&lt;0,0,C1130-D1130))))</f>
        <v/>
      </c>
      <c r="J1130" s="20"/>
      <c r="K1130" s="8" t="n">
        <f aca="false">IF(SUM(H1130:J1130)&lt;0.00068287037037037,0,SUM(H1130:J1130))</f>
        <v>0</v>
      </c>
      <c r="L1130" s="8" t="n">
        <f aca="false">IF(OR(F1130="Congé",F1130="OFF",M1130="Abs",F1130="Congé sans solde",F1130="Férié",F1130="Congé spécial",D1130="Congé spécial"),0,IF(F1130-E1130&lt;0,0,IF(F1130-E1130&lt;=0.00068287037037037,0,F1130-E1130)))</f>
        <v>0</v>
      </c>
      <c r="M1130" s="6" t="n">
        <f aca="false">IF(AND(O1130&lt;&gt;0,C1130=""),"Abs",0)</f>
        <v>0</v>
      </c>
      <c r="N1130" s="8" t="n">
        <f aca="false">IFERROR(IF(OR(D1130="OFF",D1130="Congé",M1130="Abs",D1130="Congé sans solde",D1130="Férié"),"",IF(O1130-K1130-L1130&gt;O1130,O1130,IF(O1130-K1130-L1130&lt;0,"",O1130-K1130-L1130))),"")</f>
        <v>0.375</v>
      </c>
      <c r="O1130" s="8" t="n">
        <f aca="false">IF(AG1130="2H Pause déjeuner",IF(F1130-D1130-0.0833333333333333&lt;0,F1130-D1130-0.0833333333333333+1,F1130-D1130-0.0833333333333333),IF(OR(AND(F1130="OFF",D1130="OFF"),AND(F1130="Congé",D1130="Congé"),AND(F1130="Congé sans solde",D1130="Congé sans solde"),AND(F1130="Congé spécial",D1130="Congé spécial"),AND(F1130="Férié",D1130="Férié"),AND(F1130="OFF",D1130="Congé"),AND(F1130="OFF",D1130="Congé sans solde"),AND(F1130="OFF",D1130="Congé spécial"),AND(F1130="OFF",D1130="Férié"),AND(F1130="Congé",D1130="OFF"),AND(F1130="Congé",D1130="Congé sans solde"),AND(F1130="Congé",D1130="Congé spécial"),AND(F1130="Congé",D1130="Férié"),AND(F1130="Congé sans solde",D1130="OFF"),AND(F1130="Congé sans solde",D1130="Congé"),AND(F1130="Congé sans solde",D1130="Congé spécial"),AND(F1130="Congé sans solde",D1130="Férié"),AND(F1130="Congé spécial",D1130="OFF"),AND(F1130="Congé spécial",D1130="Congé"),AND(F1130="Congé spécial",D1130="Congé sans solde"),AND(F1130="Congé spécial",D1130="Férié"),AND(F1130="Férié",D1130="OFF"),AND(F1130="Férié",D1130="Congé"),AND(F1130="Férié",D1130="Congé sans solde"),AND(F1130="Férié",D1130="Congé spécial")),0,IF(OR(F1130="OFF",F1130="Congé",F1130="Congé spécial",F1130="Congé sans solde",D1130="OFF",D1130="Congé",D1130="Congé spécial",D1130="Congé sans solde"),0.208333333333334,IF(AND(AG1130="",F1130-D1130&lt;0),("24:00:00"-D1130)+("00:00:00"+F1130)-0.0416666666666667,IF(AND(OR(AG1130="Allaitement",AG1130="Sans déjeuner"),F1130-D1130&lt;0),("24:00:00"-D1130)+("00:00:00"+F1130),IF(AND(AG1130="",F1130-D1130&gt;0.166666666666667),F1130-D1130-0.0416666666666667,IF(AND(OR(AG1130="Allaitement",AG1130="Sans déjeuner"),F1130-D1130&gt;0.166666666666667),F1130-D1130,F1130-D1130)))))))</f>
        <v>0.375</v>
      </c>
      <c r="P1130" s="6" t="str">
        <f aca="false">IFERROR(VLOOKUP($B1130,Agents!$A:$D,2,0),"-")</f>
        <v>Accessibilité</v>
      </c>
      <c r="Q1130" s="21" t="n">
        <v>46301</v>
      </c>
      <c r="R1130" s="8" t="n">
        <f aca="false">IF(M1130="Abs",O1130,0)</f>
        <v>0</v>
      </c>
      <c r="S1130" s="8" t="n">
        <f aca="false">SUM(R1130,L1130,I1130,J1130,W1130,H1130)</f>
        <v>0</v>
      </c>
      <c r="T1130" s="6" t="str">
        <f aca="false">"Sem - "&amp;WEEKNUM(Q1130,21)</f>
        <v>Sem - 41</v>
      </c>
      <c r="U1130" s="6" t="str">
        <f aca="false">CHOOSE(MONTH(Q1130),"Janvier","Février","Mars","Avril","Mai","Juin","Juillet","Août","Septembre","Octobre","Novembre","Décembre")</f>
        <v>Octobre</v>
      </c>
      <c r="V1130" s="22" t="n">
        <f aca="false">YEAR(Q1130)</f>
        <v>2026</v>
      </c>
      <c r="W1130" s="20"/>
      <c r="X1130" s="8" t="n">
        <f aca="false">IFERROR(IF(M1130="Abs",0,IF(ROUND((D1130-C1130+E1130-F1130)*1440,0)&lt;=1,0,D1130-C1130+E1130-F1130)),0)</f>
        <v>0</v>
      </c>
      <c r="Y1130" s="6" t="str">
        <f aca="false">IFERROR(VLOOKUP($B1130,Agents!$A:$D,3,0),"-")</f>
        <v>OUBRAHIM Mohammed</v>
      </c>
      <c r="Z1130" s="6" t="str">
        <f aca="false">IFERROR(VLOOKUP($B1130,Agents!$A:$D,4,0),"-")</f>
        <v>Credit Mutuel</v>
      </c>
      <c r="AA1130" s="18" t="s">
        <v>123</v>
      </c>
      <c r="AB1130" s="8" t="str">
        <f aca="false">IF(AND(D1130="Congé",F1130="Congé"),0.333333333333333,IF(OR(AND(D1130="Congé",F1130&lt;&gt;"Congé"),(AND(F1130="Congé",D1130&lt;&gt;"Congé"))),0.166666666666667,""))</f>
        <v/>
      </c>
      <c r="AC1130" s="8" t="str">
        <f aca="false">IF(AND(D1130="Congé sans solde",F1130="Congé sans solde"),0.333333333333333,IF(OR(AND(D1130="Congé sans solde",F1130&lt;&gt;"Congé sans solde"),(AND(F1130="Congé sans solde",D1130&lt;&gt;"Congé sans solde"))),0.166666666666667,""))</f>
        <v/>
      </c>
      <c r="AD1130" s="8" t="str">
        <f aca="false">IF(AND(D1130="Congé spécial",F1130="Congé spécial"),0.333333333333333,IF(OR(AND(D1130="Congé spécial",F1130&lt;&gt;"Congé spécial"),AND(F1130="Congé spécial",D1130&lt;&gt;"Congé spécial")),0.166666666666667,""))</f>
        <v/>
      </c>
      <c r="AE1130" s="8" t="str">
        <f aca="false">IF(AND(D1130="Férié",F1130="Férié"),0.333333333333333,IF(OR(AND(D1130="Férié",F1130&lt;&gt;"Férié"),(AND(F1130="Férié",D1130&lt;&gt;"Férié"))),0.166666666666667,""))</f>
        <v/>
      </c>
      <c r="AF1130" s="18"/>
      <c r="AG1130" s="18"/>
    </row>
    <row r="1131" customFormat="false" ht="15" hidden="false" customHeight="false" outlineLevel="0" collapsed="false">
      <c r="A1131" s="6" t="str">
        <f aca="false">YEAR(Q1131-WEEKDAY(Q1131,2)+4)&amp;"-S"&amp;TEXT(WEEKNUM(Q1131,21),"00")</f>
        <v>2026-S41</v>
      </c>
      <c r="B1131" s="18" t="s">
        <v>124</v>
      </c>
      <c r="C1131" s="19" t="n">
        <v>0.333333333333333</v>
      </c>
      <c r="D1131" s="19" t="n">
        <v>0.333333333333333</v>
      </c>
      <c r="E1131" s="19" t="n">
        <v>0.75</v>
      </c>
      <c r="F1131" s="19" t="n">
        <v>0.75</v>
      </c>
      <c r="G1131" s="20"/>
      <c r="H1131" s="20"/>
      <c r="I1131" s="8" t="str">
        <f aca="false">IF(IF(OR(C1131="",D1131="Congé",D1131="OFF",D1131="Congé spécial"),"",IF(D1131&gt;F1131,D1131-C1131,IF(C1131-D1131&lt;0,0,C1131-D1131)))&lt;0.00068287037037037,"",IF(OR(D1131="Congé",D1131="OFF",C1131="",D1131="Congé spécial"),"",IF(D1131&gt;F1131,D1131-C1131,IF(C1131-D1131&lt;0,0,C1131-D1131))))</f>
        <v/>
      </c>
      <c r="J1131" s="20"/>
      <c r="K1131" s="8" t="n">
        <f aca="false">IF(SUM(H1131:J1131)&lt;0.00068287037037037,0,SUM(H1131:J1131))</f>
        <v>0</v>
      </c>
      <c r="L1131" s="8" t="n">
        <f aca="false">IF(OR(F1131="Congé",F1131="OFF",M1131="Abs",F1131="Congé sans solde",F1131="Férié",F1131="Congé spécial",D1131="Congé spécial"),0,IF(F1131-E1131&lt;0,0,IF(F1131-E1131&lt;=0.00068287037037037,0,F1131-E1131)))</f>
        <v>0</v>
      </c>
      <c r="M1131" s="6" t="n">
        <f aca="false">IF(AND(O1131&lt;&gt;0,C1131=""),"Abs",0)</f>
        <v>0</v>
      </c>
      <c r="N1131" s="8" t="n">
        <f aca="false">IFERROR(IF(OR(D1131="OFF",D1131="Congé",M1131="Abs",D1131="Congé sans solde",D1131="Férié"),"",IF(O1131-K1131-L1131&gt;O1131,O1131,IF(O1131-K1131-L1131&lt;0,"",O1131-K1131-L1131))),"")</f>
        <v>0.375</v>
      </c>
      <c r="O1131" s="8" t="n">
        <f aca="false">IF(AG1131="2H Pause déjeuner",IF(F1131-D1131-0.0833333333333333&lt;0,F1131-D1131-0.0833333333333333+1,F1131-D1131-0.0833333333333333),IF(OR(AND(F1131="OFF",D1131="OFF"),AND(F1131="Congé",D1131="Congé"),AND(F1131="Congé sans solde",D1131="Congé sans solde"),AND(F1131="Congé spécial",D1131="Congé spécial"),AND(F1131="Férié",D1131="Férié"),AND(F1131="OFF",D1131="Congé"),AND(F1131="OFF",D1131="Congé sans solde"),AND(F1131="OFF",D1131="Congé spécial"),AND(F1131="OFF",D1131="Férié"),AND(F1131="Congé",D1131="OFF"),AND(F1131="Congé",D1131="Congé sans solde"),AND(F1131="Congé",D1131="Congé spécial"),AND(F1131="Congé",D1131="Férié"),AND(F1131="Congé sans solde",D1131="OFF"),AND(F1131="Congé sans solde",D1131="Congé"),AND(F1131="Congé sans solde",D1131="Congé spécial"),AND(F1131="Congé sans solde",D1131="Férié"),AND(F1131="Congé spécial",D1131="OFF"),AND(F1131="Congé spécial",D1131="Congé"),AND(F1131="Congé spécial",D1131="Congé sans solde"),AND(F1131="Congé spécial",D1131="Férié"),AND(F1131="Férié",D1131="OFF"),AND(F1131="Férié",D1131="Congé"),AND(F1131="Férié",D1131="Congé sans solde"),AND(F1131="Férié",D1131="Congé spécial")),0,IF(OR(F1131="OFF",F1131="Congé",F1131="Congé spécial",F1131="Congé sans solde",D1131="OFF",D1131="Congé",D1131="Congé spécial",D1131="Congé sans solde"),0.208333333333334,IF(AND(AG1131="",F1131-D1131&lt;0),("24:00:00"-D1131)+("00:00:00"+F1131)-0.0416666666666667,IF(AND(OR(AG1131="Allaitement",AG1131="Sans déjeuner"),F1131-D1131&lt;0),("24:00:00"-D1131)+("00:00:00"+F1131),IF(AND(AG1131="",F1131-D1131&gt;0.166666666666667),F1131-D1131-0.0416666666666667,IF(AND(OR(AG1131="Allaitement",AG1131="Sans déjeuner"),F1131-D1131&gt;0.166666666666667),F1131-D1131,F1131-D1131)))))))</f>
        <v>0.375</v>
      </c>
      <c r="P1131" s="6" t="str">
        <f aca="false">IFERROR(VLOOKUP($B1131,Agents!$A:$D,2,0),"-")</f>
        <v>Accessibilité</v>
      </c>
      <c r="Q1131" s="21" t="n">
        <v>46302</v>
      </c>
      <c r="R1131" s="8" t="n">
        <f aca="false">IF(M1131="Abs",O1131,0)</f>
        <v>0</v>
      </c>
      <c r="S1131" s="8" t="n">
        <f aca="false">SUM(R1131,L1131,I1131,J1131,W1131,H1131)</f>
        <v>0</v>
      </c>
      <c r="T1131" s="6" t="str">
        <f aca="false">"Sem - "&amp;WEEKNUM(Q1131,21)</f>
        <v>Sem - 41</v>
      </c>
      <c r="U1131" s="6" t="str">
        <f aca="false">CHOOSE(MONTH(Q1131),"Janvier","Février","Mars","Avril","Mai","Juin","Juillet","Août","Septembre","Octobre","Novembre","Décembre")</f>
        <v>Octobre</v>
      </c>
      <c r="V1131" s="22" t="n">
        <f aca="false">YEAR(Q1131)</f>
        <v>2026</v>
      </c>
      <c r="W1131" s="20"/>
      <c r="X1131" s="8" t="n">
        <f aca="false">IFERROR(IF(M1131="Abs",0,IF(ROUND((D1131-C1131+E1131-F1131)*1440,0)&lt;=1,0,D1131-C1131+E1131-F1131)),0)</f>
        <v>0</v>
      </c>
      <c r="Y1131" s="6" t="str">
        <f aca="false">IFERROR(VLOOKUP($B1131,Agents!$A:$D,3,0),"-")</f>
        <v>OUBRAHIM Mohammed</v>
      </c>
      <c r="Z1131" s="6" t="str">
        <f aca="false">IFERROR(VLOOKUP($B1131,Agents!$A:$D,4,0),"-")</f>
        <v>Credit Mutuel</v>
      </c>
      <c r="AA1131" s="18" t="s">
        <v>123</v>
      </c>
      <c r="AB1131" s="8" t="str">
        <f aca="false">IF(AND(D1131="Congé",F1131="Congé"),0.333333333333333,IF(OR(AND(D1131="Congé",F1131&lt;&gt;"Congé"),(AND(F1131="Congé",D1131&lt;&gt;"Congé"))),0.166666666666667,""))</f>
        <v/>
      </c>
      <c r="AC1131" s="8" t="str">
        <f aca="false">IF(AND(D1131="Congé sans solde",F1131="Congé sans solde"),0.333333333333333,IF(OR(AND(D1131="Congé sans solde",F1131&lt;&gt;"Congé sans solde"),(AND(F1131="Congé sans solde",D1131&lt;&gt;"Congé sans solde"))),0.166666666666667,""))</f>
        <v/>
      </c>
      <c r="AD1131" s="8" t="str">
        <f aca="false">IF(AND(D1131="Congé spécial",F1131="Congé spécial"),0.333333333333333,IF(OR(AND(D1131="Congé spécial",F1131&lt;&gt;"Congé spécial"),AND(F1131="Congé spécial",D1131&lt;&gt;"Congé spécial")),0.166666666666667,""))</f>
        <v/>
      </c>
      <c r="AE1131" s="8" t="str">
        <f aca="false">IF(AND(D1131="Férié",F1131="Férié"),0.333333333333333,IF(OR(AND(D1131="Férié",F1131&lt;&gt;"Férié"),(AND(F1131="Férié",D1131&lt;&gt;"Férié"))),0.166666666666667,""))</f>
        <v/>
      </c>
      <c r="AF1131" s="18"/>
      <c r="AG1131" s="18"/>
    </row>
    <row r="1132" customFormat="false" ht="15" hidden="false" customHeight="false" outlineLevel="0" collapsed="false">
      <c r="A1132" s="6" t="str">
        <f aca="false">YEAR(Q1132-WEEKDAY(Q1132,2)+4)&amp;"-S"&amp;TEXT(WEEKNUM(Q1132,21),"00")</f>
        <v>2026-S41</v>
      </c>
      <c r="B1132" s="18" t="s">
        <v>124</v>
      </c>
      <c r="C1132" s="19" t="n">
        <v>0.333333333333333</v>
      </c>
      <c r="D1132" s="19" t="n">
        <v>0.333333333333333</v>
      </c>
      <c r="E1132" s="19" t="n">
        <v>0.75</v>
      </c>
      <c r="F1132" s="19" t="n">
        <v>0.75</v>
      </c>
      <c r="G1132" s="20"/>
      <c r="H1132" s="20"/>
      <c r="I1132" s="8" t="str">
        <f aca="false">IF(IF(OR(C1132="",D1132="Congé",D1132="OFF",D1132="Congé spécial"),"",IF(D1132&gt;F1132,D1132-C1132,IF(C1132-D1132&lt;0,0,C1132-D1132)))&lt;0.00068287037037037,"",IF(OR(D1132="Congé",D1132="OFF",C1132="",D1132="Congé spécial"),"",IF(D1132&gt;F1132,D1132-C1132,IF(C1132-D1132&lt;0,0,C1132-D1132))))</f>
        <v/>
      </c>
      <c r="J1132" s="20"/>
      <c r="K1132" s="8" t="n">
        <f aca="false">IF(SUM(H1132:J1132)&lt;0.00068287037037037,0,SUM(H1132:J1132))</f>
        <v>0</v>
      </c>
      <c r="L1132" s="8" t="n">
        <f aca="false">IF(OR(F1132="Congé",F1132="OFF",M1132="Abs",F1132="Congé sans solde",F1132="Férié",F1132="Congé spécial",D1132="Congé spécial"),0,IF(F1132-E1132&lt;0,0,IF(F1132-E1132&lt;=0.00068287037037037,0,F1132-E1132)))</f>
        <v>0</v>
      </c>
      <c r="M1132" s="6" t="n">
        <f aca="false">IF(AND(O1132&lt;&gt;0,C1132=""),"Abs",0)</f>
        <v>0</v>
      </c>
      <c r="N1132" s="8" t="n">
        <f aca="false">IFERROR(IF(OR(D1132="OFF",D1132="Congé",M1132="Abs",D1132="Congé sans solde",D1132="Férié"),"",IF(O1132-K1132-L1132&gt;O1132,O1132,IF(O1132-K1132-L1132&lt;0,"",O1132-K1132-L1132))),"")</f>
        <v>0.375</v>
      </c>
      <c r="O1132" s="8" t="n">
        <f aca="false">IF(AG1132="2H Pause déjeuner",IF(F1132-D1132-0.0833333333333333&lt;0,F1132-D1132-0.0833333333333333+1,F1132-D1132-0.0833333333333333),IF(OR(AND(F1132="OFF",D1132="OFF"),AND(F1132="Congé",D1132="Congé"),AND(F1132="Congé sans solde",D1132="Congé sans solde"),AND(F1132="Congé spécial",D1132="Congé spécial"),AND(F1132="Férié",D1132="Férié"),AND(F1132="OFF",D1132="Congé"),AND(F1132="OFF",D1132="Congé sans solde"),AND(F1132="OFF",D1132="Congé spécial"),AND(F1132="OFF",D1132="Férié"),AND(F1132="Congé",D1132="OFF"),AND(F1132="Congé",D1132="Congé sans solde"),AND(F1132="Congé",D1132="Congé spécial"),AND(F1132="Congé",D1132="Férié"),AND(F1132="Congé sans solde",D1132="OFF"),AND(F1132="Congé sans solde",D1132="Congé"),AND(F1132="Congé sans solde",D1132="Congé spécial"),AND(F1132="Congé sans solde",D1132="Férié"),AND(F1132="Congé spécial",D1132="OFF"),AND(F1132="Congé spécial",D1132="Congé"),AND(F1132="Congé spécial",D1132="Congé sans solde"),AND(F1132="Congé spécial",D1132="Férié"),AND(F1132="Férié",D1132="OFF"),AND(F1132="Férié",D1132="Congé"),AND(F1132="Férié",D1132="Congé sans solde"),AND(F1132="Férié",D1132="Congé spécial")),0,IF(OR(F1132="OFF",F1132="Congé",F1132="Congé spécial",F1132="Congé sans solde",D1132="OFF",D1132="Congé",D1132="Congé spécial",D1132="Congé sans solde"),0.208333333333334,IF(AND(AG1132="",F1132-D1132&lt;0),("24:00:00"-D1132)+("00:00:00"+F1132)-0.0416666666666667,IF(AND(OR(AG1132="Allaitement",AG1132="Sans déjeuner"),F1132-D1132&lt;0),("24:00:00"-D1132)+("00:00:00"+F1132),IF(AND(AG1132="",F1132-D1132&gt;0.166666666666667),F1132-D1132-0.0416666666666667,IF(AND(OR(AG1132="Allaitement",AG1132="Sans déjeuner"),F1132-D1132&gt;0.166666666666667),F1132-D1132,F1132-D1132)))))))</f>
        <v>0.375</v>
      </c>
      <c r="P1132" s="6" t="str">
        <f aca="false">IFERROR(VLOOKUP($B1132,Agents!$A:$D,2,0),"-")</f>
        <v>Accessibilité</v>
      </c>
      <c r="Q1132" s="21" t="n">
        <v>46303</v>
      </c>
      <c r="R1132" s="8" t="n">
        <f aca="false">IF(M1132="Abs",O1132,0)</f>
        <v>0</v>
      </c>
      <c r="S1132" s="8" t="n">
        <f aca="false">SUM(R1132,L1132,I1132,J1132,W1132,H1132)</f>
        <v>0</v>
      </c>
      <c r="T1132" s="6" t="str">
        <f aca="false">"Sem - "&amp;WEEKNUM(Q1132,21)</f>
        <v>Sem - 41</v>
      </c>
      <c r="U1132" s="6" t="str">
        <f aca="false">CHOOSE(MONTH(Q1132),"Janvier","Février","Mars","Avril","Mai","Juin","Juillet","Août","Septembre","Octobre","Novembre","Décembre")</f>
        <v>Octobre</v>
      </c>
      <c r="V1132" s="22" t="n">
        <f aca="false">YEAR(Q1132)</f>
        <v>2026</v>
      </c>
      <c r="W1132" s="20"/>
      <c r="X1132" s="8" t="n">
        <f aca="false">IFERROR(IF(M1132="Abs",0,IF(ROUND((D1132-C1132+E1132-F1132)*1440,0)&lt;=1,0,D1132-C1132+E1132-F1132)),0)</f>
        <v>0</v>
      </c>
      <c r="Y1132" s="6" t="str">
        <f aca="false">IFERROR(VLOOKUP($B1132,Agents!$A:$D,3,0),"-")</f>
        <v>OUBRAHIM Mohammed</v>
      </c>
      <c r="Z1132" s="6" t="str">
        <f aca="false">IFERROR(VLOOKUP($B1132,Agents!$A:$D,4,0),"-")</f>
        <v>Credit Mutuel</v>
      </c>
      <c r="AA1132" s="18" t="s">
        <v>123</v>
      </c>
      <c r="AB1132" s="8" t="str">
        <f aca="false">IF(AND(D1132="Congé",F1132="Congé"),0.333333333333333,IF(OR(AND(D1132="Congé",F1132&lt;&gt;"Congé"),(AND(F1132="Congé",D1132&lt;&gt;"Congé"))),0.166666666666667,""))</f>
        <v/>
      </c>
      <c r="AC1132" s="8" t="str">
        <f aca="false">IF(AND(D1132="Congé sans solde",F1132="Congé sans solde"),0.333333333333333,IF(OR(AND(D1132="Congé sans solde",F1132&lt;&gt;"Congé sans solde"),(AND(F1132="Congé sans solde",D1132&lt;&gt;"Congé sans solde"))),0.166666666666667,""))</f>
        <v/>
      </c>
      <c r="AD1132" s="8" t="str">
        <f aca="false">IF(AND(D1132="Congé spécial",F1132="Congé spécial"),0.333333333333333,IF(OR(AND(D1132="Congé spécial",F1132&lt;&gt;"Congé spécial"),AND(F1132="Congé spécial",D1132&lt;&gt;"Congé spécial")),0.166666666666667,""))</f>
        <v/>
      </c>
      <c r="AE1132" s="8" t="str">
        <f aca="false">IF(AND(D1132="Férié",F1132="Férié"),0.333333333333333,IF(OR(AND(D1132="Férié",F1132&lt;&gt;"Férié"),(AND(F1132="Férié",D1132&lt;&gt;"Férié"))),0.166666666666667,""))</f>
        <v/>
      </c>
      <c r="AF1132" s="18"/>
      <c r="AG1132" s="18"/>
    </row>
    <row r="1133" customFormat="false" ht="15" hidden="false" customHeight="false" outlineLevel="0" collapsed="false">
      <c r="A1133" s="6" t="str">
        <f aca="false">YEAR(Q1133-WEEKDAY(Q1133,2)+4)&amp;"-S"&amp;TEXT(WEEKNUM(Q1133,21),"00")</f>
        <v>2026-S41</v>
      </c>
      <c r="B1133" s="18" t="s">
        <v>124</v>
      </c>
      <c r="C1133" s="19" t="n">
        <v>0.333333333333333</v>
      </c>
      <c r="D1133" s="19" t="n">
        <v>0.333333333333333</v>
      </c>
      <c r="E1133" s="19" t="n">
        <v>0.708333333333333</v>
      </c>
      <c r="F1133" s="19" t="n">
        <v>0.708333333333333</v>
      </c>
      <c r="G1133" s="20"/>
      <c r="H1133" s="20"/>
      <c r="I1133" s="8" t="str">
        <f aca="false">IF(IF(OR(C1133="",D1133="Congé",D1133="OFF",D1133="Congé spécial"),"",IF(D1133&gt;F1133,D1133-C1133,IF(C1133-D1133&lt;0,0,C1133-D1133)))&lt;0.00068287037037037,"",IF(OR(D1133="Congé",D1133="OFF",C1133="",D1133="Congé spécial"),"",IF(D1133&gt;F1133,D1133-C1133,IF(C1133-D1133&lt;0,0,C1133-D1133))))</f>
        <v/>
      </c>
      <c r="J1133" s="20"/>
      <c r="K1133" s="8" t="n">
        <f aca="false">IF(SUM(H1133:J1133)&lt;0.00068287037037037,0,SUM(H1133:J1133))</f>
        <v>0</v>
      </c>
      <c r="L1133" s="8" t="n">
        <f aca="false">IF(OR(F1133="Congé",F1133="OFF",M1133="Abs",F1133="Congé sans solde",F1133="Férié",F1133="Congé spécial",D1133="Congé spécial"),0,IF(F1133-E1133&lt;0,0,IF(F1133-E1133&lt;=0.00068287037037037,0,F1133-E1133)))</f>
        <v>0</v>
      </c>
      <c r="M1133" s="6" t="n">
        <f aca="false">IF(AND(O1133&lt;&gt;0,C1133=""),"Abs",0)</f>
        <v>0</v>
      </c>
      <c r="N1133" s="8" t="n">
        <f aca="false">IFERROR(IF(OR(D1133="OFF",D1133="Congé",M1133="Abs",D1133="Congé sans solde",D1133="Férié"),"",IF(O1133-K1133-L1133&gt;O1133,O1133,IF(O1133-K1133-L1133&lt;0,"",O1133-K1133-L1133))),"")</f>
        <v>0.333333333333333</v>
      </c>
      <c r="O1133" s="8" t="n">
        <f aca="false">IF(AG1133="2H Pause déjeuner",IF(F1133-D1133-0.0833333333333333&lt;0,F1133-D1133-0.0833333333333333+1,F1133-D1133-0.0833333333333333),IF(OR(AND(F1133="OFF",D1133="OFF"),AND(F1133="Congé",D1133="Congé"),AND(F1133="Congé sans solde",D1133="Congé sans solde"),AND(F1133="Congé spécial",D1133="Congé spécial"),AND(F1133="Férié",D1133="Férié"),AND(F1133="OFF",D1133="Congé"),AND(F1133="OFF",D1133="Congé sans solde"),AND(F1133="OFF",D1133="Congé spécial"),AND(F1133="OFF",D1133="Férié"),AND(F1133="Congé",D1133="OFF"),AND(F1133="Congé",D1133="Congé sans solde"),AND(F1133="Congé",D1133="Congé spécial"),AND(F1133="Congé",D1133="Férié"),AND(F1133="Congé sans solde",D1133="OFF"),AND(F1133="Congé sans solde",D1133="Congé"),AND(F1133="Congé sans solde",D1133="Congé spécial"),AND(F1133="Congé sans solde",D1133="Férié"),AND(F1133="Congé spécial",D1133="OFF"),AND(F1133="Congé spécial",D1133="Congé"),AND(F1133="Congé spécial",D1133="Congé sans solde"),AND(F1133="Congé spécial",D1133="Férié"),AND(F1133="Férié",D1133="OFF"),AND(F1133="Férié",D1133="Congé"),AND(F1133="Férié",D1133="Congé sans solde"),AND(F1133="Férié",D1133="Congé spécial")),0,IF(OR(F1133="OFF",F1133="Congé",F1133="Congé spécial",F1133="Congé sans solde",D1133="OFF",D1133="Congé",D1133="Congé spécial",D1133="Congé sans solde"),0.208333333333334,IF(AND(AG1133="",F1133-D1133&lt;0),("24:00:00"-D1133)+("00:00:00"+F1133)-0.0416666666666667,IF(AND(OR(AG1133="Allaitement",AG1133="Sans déjeuner"),F1133-D1133&lt;0),("24:00:00"-D1133)+("00:00:00"+F1133),IF(AND(AG1133="",F1133-D1133&gt;0.166666666666667),F1133-D1133-0.0416666666666667,IF(AND(OR(AG1133="Allaitement",AG1133="Sans déjeuner"),F1133-D1133&gt;0.166666666666667),F1133-D1133,F1133-D1133)))))))</f>
        <v>0.333333333333333</v>
      </c>
      <c r="P1133" s="6" t="str">
        <f aca="false">IFERROR(VLOOKUP($B1133,Agents!$A:$D,2,0),"-")</f>
        <v>Accessibilité</v>
      </c>
      <c r="Q1133" s="21" t="n">
        <v>46304</v>
      </c>
      <c r="R1133" s="8" t="n">
        <f aca="false">IF(M1133="Abs",O1133,0)</f>
        <v>0</v>
      </c>
      <c r="S1133" s="8" t="n">
        <f aca="false">SUM(R1133,L1133,I1133,J1133,W1133,H1133)</f>
        <v>0</v>
      </c>
      <c r="T1133" s="6" t="str">
        <f aca="false">"Sem - "&amp;WEEKNUM(Q1133,21)</f>
        <v>Sem - 41</v>
      </c>
      <c r="U1133" s="6" t="str">
        <f aca="false">CHOOSE(MONTH(Q1133),"Janvier","Février","Mars","Avril","Mai","Juin","Juillet","Août","Septembre","Octobre","Novembre","Décembre")</f>
        <v>Octobre</v>
      </c>
      <c r="V1133" s="22" t="n">
        <f aca="false">YEAR(Q1133)</f>
        <v>2026</v>
      </c>
      <c r="W1133" s="20"/>
      <c r="X1133" s="8" t="n">
        <f aca="false">IFERROR(IF(M1133="Abs",0,IF(ROUND((D1133-C1133+E1133-F1133)*1440,0)&lt;=1,0,D1133-C1133+E1133-F1133)),0)</f>
        <v>0</v>
      </c>
      <c r="Y1133" s="6" t="str">
        <f aca="false">IFERROR(VLOOKUP($B1133,Agents!$A:$D,3,0),"-")</f>
        <v>OUBRAHIM Mohammed</v>
      </c>
      <c r="Z1133" s="6" t="str">
        <f aca="false">IFERROR(VLOOKUP($B1133,Agents!$A:$D,4,0),"-")</f>
        <v>Credit Mutuel</v>
      </c>
      <c r="AA1133" s="18" t="s">
        <v>123</v>
      </c>
      <c r="AB1133" s="8" t="str">
        <f aca="false">IF(AND(D1133="Congé",F1133="Congé"),0.333333333333333,IF(OR(AND(D1133="Congé",F1133&lt;&gt;"Congé"),(AND(F1133="Congé",D1133&lt;&gt;"Congé"))),0.166666666666667,""))</f>
        <v/>
      </c>
      <c r="AC1133" s="8" t="str">
        <f aca="false">IF(AND(D1133="Congé sans solde",F1133="Congé sans solde"),0.333333333333333,IF(OR(AND(D1133="Congé sans solde",F1133&lt;&gt;"Congé sans solde"),(AND(F1133="Congé sans solde",D1133&lt;&gt;"Congé sans solde"))),0.166666666666667,""))</f>
        <v/>
      </c>
      <c r="AD1133" s="8" t="str">
        <f aca="false">IF(AND(D1133="Congé spécial",F1133="Congé spécial"),0.333333333333333,IF(OR(AND(D1133="Congé spécial",F1133&lt;&gt;"Congé spécial"),AND(F1133="Congé spécial",D1133&lt;&gt;"Congé spécial")),0.166666666666667,""))</f>
        <v/>
      </c>
      <c r="AE1133" s="8" t="str">
        <f aca="false">IF(AND(D1133="Férié",F1133="Férié"),0.333333333333333,IF(OR(AND(D1133="Férié",F1133&lt;&gt;"Férié"),(AND(F1133="Férié",D1133&lt;&gt;"Férié"))),0.166666666666667,""))</f>
        <v/>
      </c>
      <c r="AF1133" s="18"/>
      <c r="AG1133" s="18"/>
    </row>
    <row r="1134" customFormat="false" ht="15" hidden="false" customHeight="false" outlineLevel="0" collapsed="false">
      <c r="A1134" s="6" t="str">
        <f aca="false">YEAR(Q1134-WEEKDAY(Q1134,2)+4)&amp;"-S"&amp;TEXT(WEEKNUM(Q1134,21),"00")</f>
        <v>2026-S41</v>
      </c>
      <c r="B1134" s="18" t="s">
        <v>124</v>
      </c>
      <c r="C1134" s="19"/>
      <c r="D1134" s="19" t="s">
        <v>74</v>
      </c>
      <c r="E1134" s="19"/>
      <c r="F1134" s="19" t="s">
        <v>74</v>
      </c>
      <c r="G1134" s="20"/>
      <c r="H1134" s="20"/>
      <c r="I1134" s="8" t="str">
        <f aca="false">IF(IF(OR(C1134="",D1134="Congé",D1134="OFF",D1134="Congé spécial"),"",IF(D1134&gt;F1134,D1134-C1134,IF(C1134-D1134&lt;0,0,C1134-D1134)))&lt;0.00068287037037037,"",IF(OR(D1134="Congé",D1134="OFF",C1134="",D1134="Congé spécial"),"",IF(D1134&gt;F1134,D1134-C1134,IF(C1134-D1134&lt;0,0,C1134-D1134))))</f>
        <v/>
      </c>
      <c r="J1134" s="20"/>
      <c r="K1134" s="8" t="n">
        <f aca="false">IF(SUM(H1134:J1134)&lt;0.00068287037037037,0,SUM(H1134:J1134))</f>
        <v>0</v>
      </c>
      <c r="L1134" s="8" t="n">
        <f aca="false">IF(OR(F1134="Congé",F1134="OFF",M1134="Abs",F1134="Congé sans solde",F1134="Férié",F1134="Congé spécial",D1134="Congé spécial"),0,IF(F1134-E1134&lt;0,0,IF(F1134-E1134&lt;=0.00068287037037037,0,F1134-E1134)))</f>
        <v>0</v>
      </c>
      <c r="M1134" s="6" t="n">
        <f aca="false">IF(AND(O1134&lt;&gt;0,C1134=""),"Abs",0)</f>
        <v>0</v>
      </c>
      <c r="N1134" s="8" t="str">
        <f aca="false">IFERROR(IF(OR(D1134="OFF",D1134="Congé",M1134="Abs",D1134="Congé sans solde",D1134="Férié"),"",IF(O1134-K1134-L1134&gt;O1134,O1134,IF(O1134-K1134-L1134&lt;0,"",O1134-K1134-L1134))),"")</f>
        <v/>
      </c>
      <c r="O1134" s="8" t="n">
        <f aca="false">IF(AG1134="2H Pause déjeuner",IF(F1134-D1134-0.0833333333333333&lt;0,F1134-D1134-0.0833333333333333+1,F1134-D1134-0.0833333333333333),IF(OR(AND(F1134="OFF",D1134="OFF"),AND(F1134="Congé",D1134="Congé"),AND(F1134="Congé sans solde",D1134="Congé sans solde"),AND(F1134="Congé spécial",D1134="Congé spécial"),AND(F1134="Férié",D1134="Férié"),AND(F1134="OFF",D1134="Congé"),AND(F1134="OFF",D1134="Congé sans solde"),AND(F1134="OFF",D1134="Congé spécial"),AND(F1134="OFF",D1134="Férié"),AND(F1134="Congé",D1134="OFF"),AND(F1134="Congé",D1134="Congé sans solde"),AND(F1134="Congé",D1134="Congé spécial"),AND(F1134="Congé",D1134="Férié"),AND(F1134="Congé sans solde",D1134="OFF"),AND(F1134="Congé sans solde",D1134="Congé"),AND(F1134="Congé sans solde",D1134="Congé spécial"),AND(F1134="Congé sans solde",D1134="Férié"),AND(F1134="Congé spécial",D1134="OFF"),AND(F1134="Congé spécial",D1134="Congé"),AND(F1134="Congé spécial",D1134="Congé sans solde"),AND(F1134="Congé spécial",D1134="Férié"),AND(F1134="Férié",D1134="OFF"),AND(F1134="Férié",D1134="Congé"),AND(F1134="Férié",D1134="Congé sans solde"),AND(F1134="Férié",D1134="Congé spécial")),0,IF(OR(F1134="OFF",F1134="Congé",F1134="Congé spécial",F1134="Congé sans solde",D1134="OFF",D1134="Congé",D1134="Congé spécial",D1134="Congé sans solde"),0.208333333333334,IF(AND(AG1134="",F1134-D1134&lt;0),("24:00:00"-D1134)+("00:00:00"+F1134)-0.0416666666666667,IF(AND(OR(AG1134="Allaitement",AG1134="Sans déjeuner"),F1134-D1134&lt;0),("24:00:00"-D1134)+("00:00:00"+F1134),IF(AND(AG1134="",F1134-D1134&gt;0.166666666666667),F1134-D1134-0.0416666666666667,IF(AND(OR(AG1134="Allaitement",AG1134="Sans déjeuner"),F1134-D1134&gt;0.166666666666667),F1134-D1134,F1134-D1134)))))))</f>
        <v>0</v>
      </c>
      <c r="P1134" s="6" t="str">
        <f aca="false">IFERROR(VLOOKUP($B1134,Agents!$A:$D,2,0),"-")</f>
        <v>Accessibilité</v>
      </c>
      <c r="Q1134" s="21" t="n">
        <v>46305</v>
      </c>
      <c r="R1134" s="8" t="n">
        <f aca="false">IF(M1134="Abs",O1134,0)</f>
        <v>0</v>
      </c>
      <c r="S1134" s="8" t="n">
        <f aca="false">SUM(R1134,L1134,I1134,J1134,W1134,H1134)</f>
        <v>0</v>
      </c>
      <c r="T1134" s="6" t="str">
        <f aca="false">"Sem - "&amp;WEEKNUM(Q1134,21)</f>
        <v>Sem - 41</v>
      </c>
      <c r="U1134" s="6" t="str">
        <f aca="false">CHOOSE(MONTH(Q1134),"Janvier","Février","Mars","Avril","Mai","Juin","Juillet","Août","Septembre","Octobre","Novembre","Décembre")</f>
        <v>Octobre</v>
      </c>
      <c r="V1134" s="22" t="n">
        <f aca="false">YEAR(Q1134)</f>
        <v>2026</v>
      </c>
      <c r="W1134" s="20"/>
      <c r="X1134" s="8" t="n">
        <f aca="false">IFERROR(IF(M1134="Abs",0,IF(ROUND((D1134-C1134+E1134-F1134)*1440,0)&lt;=1,0,D1134-C1134+E1134-F1134)),0)</f>
        <v>0</v>
      </c>
      <c r="Y1134" s="6" t="str">
        <f aca="false">IFERROR(VLOOKUP($B1134,Agents!$A:$D,3,0),"-")</f>
        <v>OUBRAHIM Mohammed</v>
      </c>
      <c r="Z1134" s="6" t="str">
        <f aca="false">IFERROR(VLOOKUP($B1134,Agents!$A:$D,4,0),"-")</f>
        <v>Credit Mutuel</v>
      </c>
      <c r="AA1134" s="18" t="s">
        <v>123</v>
      </c>
      <c r="AB1134" s="8" t="str">
        <f aca="false">IF(AND(D1134="Congé",F1134="Congé"),0.333333333333333,IF(OR(AND(D1134="Congé",F1134&lt;&gt;"Congé"),(AND(F1134="Congé",D1134&lt;&gt;"Congé"))),0.166666666666667,""))</f>
        <v/>
      </c>
      <c r="AC1134" s="8" t="str">
        <f aca="false">IF(AND(D1134="Congé sans solde",F1134="Congé sans solde"),0.333333333333333,IF(OR(AND(D1134="Congé sans solde",F1134&lt;&gt;"Congé sans solde"),(AND(F1134="Congé sans solde",D1134&lt;&gt;"Congé sans solde"))),0.166666666666667,""))</f>
        <v/>
      </c>
      <c r="AD1134" s="8" t="str">
        <f aca="false">IF(AND(D1134="Congé spécial",F1134="Congé spécial"),0.333333333333333,IF(OR(AND(D1134="Congé spécial",F1134&lt;&gt;"Congé spécial"),AND(F1134="Congé spécial",D1134&lt;&gt;"Congé spécial")),0.166666666666667,""))</f>
        <v/>
      </c>
      <c r="AE1134" s="8" t="str">
        <f aca="false">IF(AND(D1134="Férié",F1134="Férié"),0.333333333333333,IF(OR(AND(D1134="Férié",F1134&lt;&gt;"Férié"),(AND(F1134="Férié",D1134&lt;&gt;"Férié"))),0.166666666666667,""))</f>
        <v/>
      </c>
      <c r="AF1134" s="18"/>
      <c r="AG1134" s="18"/>
    </row>
    <row r="1135" customFormat="false" ht="15" hidden="false" customHeight="false" outlineLevel="0" collapsed="false">
      <c r="A1135" s="6" t="str">
        <f aca="false">YEAR(Q1135-WEEKDAY(Q1135,2)+4)&amp;"-S"&amp;TEXT(WEEKNUM(Q1135,21),"00")</f>
        <v>2026-S41</v>
      </c>
      <c r="B1135" s="18" t="s">
        <v>124</v>
      </c>
      <c r="C1135" s="19"/>
      <c r="D1135" s="19" t="s">
        <v>74</v>
      </c>
      <c r="E1135" s="19"/>
      <c r="F1135" s="19" t="s">
        <v>74</v>
      </c>
      <c r="G1135" s="20"/>
      <c r="H1135" s="20"/>
      <c r="I1135" s="8" t="str">
        <f aca="false">IF(IF(OR(C1135="",D1135="Congé",D1135="OFF",D1135="Congé spécial"),"",IF(D1135&gt;F1135,D1135-C1135,IF(C1135-D1135&lt;0,0,C1135-D1135)))&lt;0.00068287037037037,"",IF(OR(D1135="Congé",D1135="OFF",C1135="",D1135="Congé spécial"),"",IF(D1135&gt;F1135,D1135-C1135,IF(C1135-D1135&lt;0,0,C1135-D1135))))</f>
        <v/>
      </c>
      <c r="J1135" s="20"/>
      <c r="K1135" s="8" t="n">
        <f aca="false">IF(SUM(H1135:J1135)&lt;0.00068287037037037,0,SUM(H1135:J1135))</f>
        <v>0</v>
      </c>
      <c r="L1135" s="8" t="n">
        <f aca="false">IF(OR(F1135="Congé",F1135="OFF",M1135="Abs",F1135="Congé sans solde",F1135="Férié",F1135="Congé spécial",D1135="Congé spécial"),0,IF(F1135-E1135&lt;0,0,IF(F1135-E1135&lt;=0.00068287037037037,0,F1135-E1135)))</f>
        <v>0</v>
      </c>
      <c r="M1135" s="6" t="n">
        <f aca="false">IF(AND(O1135&lt;&gt;0,C1135=""),"Abs",0)</f>
        <v>0</v>
      </c>
      <c r="N1135" s="8" t="str">
        <f aca="false">IFERROR(IF(OR(D1135="OFF",D1135="Congé",M1135="Abs",D1135="Congé sans solde",D1135="Férié"),"",IF(O1135-K1135-L1135&gt;O1135,O1135,IF(O1135-K1135-L1135&lt;0,"",O1135-K1135-L1135))),"")</f>
        <v/>
      </c>
      <c r="O1135" s="8" t="n">
        <f aca="false">IF(AG1135="2H Pause déjeuner",IF(F1135-D1135-0.0833333333333333&lt;0,F1135-D1135-0.0833333333333333+1,F1135-D1135-0.0833333333333333),IF(OR(AND(F1135="OFF",D1135="OFF"),AND(F1135="Congé",D1135="Congé"),AND(F1135="Congé sans solde",D1135="Congé sans solde"),AND(F1135="Congé spécial",D1135="Congé spécial"),AND(F1135="Férié",D1135="Férié"),AND(F1135="OFF",D1135="Congé"),AND(F1135="OFF",D1135="Congé sans solde"),AND(F1135="OFF",D1135="Congé spécial"),AND(F1135="OFF",D1135="Férié"),AND(F1135="Congé",D1135="OFF"),AND(F1135="Congé",D1135="Congé sans solde"),AND(F1135="Congé",D1135="Congé spécial"),AND(F1135="Congé",D1135="Férié"),AND(F1135="Congé sans solde",D1135="OFF"),AND(F1135="Congé sans solde",D1135="Congé"),AND(F1135="Congé sans solde",D1135="Congé spécial"),AND(F1135="Congé sans solde",D1135="Férié"),AND(F1135="Congé spécial",D1135="OFF"),AND(F1135="Congé spécial",D1135="Congé"),AND(F1135="Congé spécial",D1135="Congé sans solde"),AND(F1135="Congé spécial",D1135="Férié"),AND(F1135="Férié",D1135="OFF"),AND(F1135="Férié",D1135="Congé"),AND(F1135="Férié",D1135="Congé sans solde"),AND(F1135="Férié",D1135="Congé spécial")),0,IF(OR(F1135="OFF",F1135="Congé",F1135="Congé spécial",F1135="Congé sans solde",D1135="OFF",D1135="Congé",D1135="Congé spécial",D1135="Congé sans solde"),0.208333333333334,IF(AND(AG1135="",F1135-D1135&lt;0),("24:00:00"-D1135)+("00:00:00"+F1135)-0.0416666666666667,IF(AND(OR(AG1135="Allaitement",AG1135="Sans déjeuner"),F1135-D1135&lt;0),("24:00:00"-D1135)+("00:00:00"+F1135),IF(AND(AG1135="",F1135-D1135&gt;0.166666666666667),F1135-D1135-0.0416666666666667,IF(AND(OR(AG1135="Allaitement",AG1135="Sans déjeuner"),F1135-D1135&gt;0.166666666666667),F1135-D1135,F1135-D1135)))))))</f>
        <v>0</v>
      </c>
      <c r="P1135" s="6" t="str">
        <f aca="false">IFERROR(VLOOKUP($B1135,Agents!$A:$D,2,0),"-")</f>
        <v>Accessibilité</v>
      </c>
      <c r="Q1135" s="21" t="n">
        <v>46306</v>
      </c>
      <c r="R1135" s="8" t="n">
        <f aca="false">IF(M1135="Abs",O1135,0)</f>
        <v>0</v>
      </c>
      <c r="S1135" s="8" t="n">
        <f aca="false">SUM(R1135,L1135,I1135,J1135,W1135,H1135)</f>
        <v>0</v>
      </c>
      <c r="T1135" s="6" t="str">
        <f aca="false">"Sem - "&amp;WEEKNUM(Q1135,21)</f>
        <v>Sem - 41</v>
      </c>
      <c r="U1135" s="6" t="str">
        <f aca="false">CHOOSE(MONTH(Q1135),"Janvier","Février","Mars","Avril","Mai","Juin","Juillet","Août","Septembre","Octobre","Novembre","Décembre")</f>
        <v>Octobre</v>
      </c>
      <c r="V1135" s="22" t="n">
        <f aca="false">YEAR(Q1135)</f>
        <v>2026</v>
      </c>
      <c r="W1135" s="20"/>
      <c r="X1135" s="8" t="n">
        <f aca="false">IFERROR(IF(M1135="Abs",0,IF(ROUND((D1135-C1135+E1135-F1135)*1440,0)&lt;=1,0,D1135-C1135+E1135-F1135)),0)</f>
        <v>0</v>
      </c>
      <c r="Y1135" s="6" t="str">
        <f aca="false">IFERROR(VLOOKUP($B1135,Agents!$A:$D,3,0),"-")</f>
        <v>OUBRAHIM Mohammed</v>
      </c>
      <c r="Z1135" s="6" t="str">
        <f aca="false">IFERROR(VLOOKUP($B1135,Agents!$A:$D,4,0),"-")</f>
        <v>Credit Mutuel</v>
      </c>
      <c r="AA1135" s="18" t="s">
        <v>123</v>
      </c>
      <c r="AB1135" s="8" t="str">
        <f aca="false">IF(AND(D1135="Congé",F1135="Congé"),0.333333333333333,IF(OR(AND(D1135="Congé",F1135&lt;&gt;"Congé"),(AND(F1135="Congé",D1135&lt;&gt;"Congé"))),0.166666666666667,""))</f>
        <v/>
      </c>
      <c r="AC1135" s="8" t="str">
        <f aca="false">IF(AND(D1135="Congé sans solde",F1135="Congé sans solde"),0.333333333333333,IF(OR(AND(D1135="Congé sans solde",F1135&lt;&gt;"Congé sans solde"),(AND(F1135="Congé sans solde",D1135&lt;&gt;"Congé sans solde"))),0.166666666666667,""))</f>
        <v/>
      </c>
      <c r="AD1135" s="8" t="str">
        <f aca="false">IF(AND(D1135="Congé spécial",F1135="Congé spécial"),0.333333333333333,IF(OR(AND(D1135="Congé spécial",F1135&lt;&gt;"Congé spécial"),AND(F1135="Congé spécial",D1135&lt;&gt;"Congé spécial")),0.166666666666667,""))</f>
        <v/>
      </c>
      <c r="AE1135" s="8" t="str">
        <f aca="false">IF(AND(D1135="Férié",F1135="Férié"),0.333333333333333,IF(OR(AND(D1135="Férié",F1135&lt;&gt;"Férié"),(AND(F1135="Férié",D1135&lt;&gt;"Férié"))),0.166666666666667,""))</f>
        <v/>
      </c>
      <c r="AF1135" s="18"/>
      <c r="AG1135" s="18"/>
    </row>
    <row r="1136" customFormat="false" ht="15" hidden="false" customHeight="false" outlineLevel="0" collapsed="false">
      <c r="A1136" s="6" t="str">
        <f aca="false">YEAR(Q1136-WEEKDAY(Q1136,2)+4)&amp;"-S"&amp;TEXT(WEEKNUM(Q1136,21),"00")</f>
        <v>2026-S42</v>
      </c>
      <c r="B1136" s="18" t="s">
        <v>71</v>
      </c>
      <c r="C1136" s="19" t="n">
        <v>0.333333333333333</v>
      </c>
      <c r="D1136" s="19" t="n">
        <v>0.333333333333333</v>
      </c>
      <c r="E1136" s="19" t="n">
        <v>0.75</v>
      </c>
      <c r="F1136" s="19" t="n">
        <v>0.75</v>
      </c>
      <c r="G1136" s="20"/>
      <c r="H1136" s="20"/>
      <c r="I1136" s="8" t="str">
        <f aca="false">IF(IF(OR(C1136="",D1136="Congé",D1136="OFF",D1136="Congé spécial"),"",IF(D1136&gt;F1136,D1136-C1136,IF(C1136-D1136&lt;0,0,C1136-D1136)))&lt;0.00068287037037037,"",IF(OR(D1136="Congé",D1136="OFF",C1136="",D1136="Congé spécial"),"",IF(D1136&gt;F1136,D1136-C1136,IF(C1136-D1136&lt;0,0,C1136-D1136))))</f>
        <v/>
      </c>
      <c r="J1136" s="20"/>
      <c r="K1136" s="8" t="n">
        <f aca="false">IF(SUM(H1136:J1136)&lt;0.00068287037037037,0,SUM(H1136:J1136))</f>
        <v>0</v>
      </c>
      <c r="L1136" s="8" t="n">
        <f aca="false">IF(OR(F1136="Congé",F1136="OFF",M1136="Abs",F1136="Congé sans solde",F1136="Férié",F1136="Congé spécial",D1136="Congé spécial"),0,IF(F1136-E1136&lt;0,0,IF(F1136-E1136&lt;=0.00068287037037037,0,F1136-E1136)))</f>
        <v>0</v>
      </c>
      <c r="M1136" s="6" t="n">
        <f aca="false">IF(AND(O1136&lt;&gt;0,C1136=""),"Abs",0)</f>
        <v>0</v>
      </c>
      <c r="N1136" s="8" t="n">
        <f aca="false">IFERROR(IF(OR(D1136="OFF",D1136="Congé",M1136="Abs",D1136="Congé sans solde",D1136="Férié"),"",IF(O1136-K1136-L1136&gt;O1136,O1136,IF(O1136-K1136-L1136&lt;0,"",O1136-K1136-L1136))),"")</f>
        <v>0.375</v>
      </c>
      <c r="O1136" s="8" t="n">
        <f aca="false">IF(AG1136="2H Pause déjeuner",IF(F1136-D1136-0.0833333333333333&lt;0,F1136-D1136-0.0833333333333333+1,F1136-D1136-0.0833333333333333),IF(OR(AND(F1136="OFF",D1136="OFF"),AND(F1136="Congé",D1136="Congé"),AND(F1136="Congé sans solde",D1136="Congé sans solde"),AND(F1136="Congé spécial",D1136="Congé spécial"),AND(F1136="Férié",D1136="Férié"),AND(F1136="OFF",D1136="Congé"),AND(F1136="OFF",D1136="Congé sans solde"),AND(F1136="OFF",D1136="Congé spécial"),AND(F1136="OFF",D1136="Férié"),AND(F1136="Congé",D1136="OFF"),AND(F1136="Congé",D1136="Congé sans solde"),AND(F1136="Congé",D1136="Congé spécial"),AND(F1136="Congé",D1136="Férié"),AND(F1136="Congé sans solde",D1136="OFF"),AND(F1136="Congé sans solde",D1136="Congé"),AND(F1136="Congé sans solde",D1136="Congé spécial"),AND(F1136="Congé sans solde",D1136="Férié"),AND(F1136="Congé spécial",D1136="OFF"),AND(F1136="Congé spécial",D1136="Congé"),AND(F1136="Congé spécial",D1136="Congé sans solde"),AND(F1136="Congé spécial",D1136="Férié"),AND(F1136="Férié",D1136="OFF"),AND(F1136="Férié",D1136="Congé"),AND(F1136="Férié",D1136="Congé sans solde"),AND(F1136="Férié",D1136="Congé spécial")),0,IF(OR(F1136="OFF",F1136="Congé",F1136="Congé spécial",F1136="Congé sans solde",D1136="OFF",D1136="Congé",D1136="Congé spécial",D1136="Congé sans solde"),0.208333333333334,IF(AND(AG1136="",F1136-D1136&lt;0),("24:00:00"-D1136)+("00:00:00"+F1136)-0.0416666666666667,IF(AND(OR(AG1136="Allaitement",AG1136="Sans déjeuner"),F1136-D1136&lt;0),("24:00:00"-D1136)+("00:00:00"+F1136),IF(AND(AG1136="",F1136-D1136&gt;0.166666666666667),F1136-D1136-0.0416666666666667,IF(AND(OR(AG1136="Allaitement",AG1136="Sans déjeuner"),F1136-D1136&gt;0.166666666666667),F1136-D1136,F1136-D1136)))))))</f>
        <v>0.375</v>
      </c>
      <c r="P1136" s="6" t="str">
        <f aca="false">IFERROR(VLOOKUP($B1136,Agents!$A:$D,2,0),"-")</f>
        <v>Accessibilité</v>
      </c>
      <c r="Q1136" s="21" t="n">
        <v>46307</v>
      </c>
      <c r="R1136" s="8" t="n">
        <f aca="false">IF(M1136="Abs",O1136,0)</f>
        <v>0</v>
      </c>
      <c r="S1136" s="8" t="n">
        <f aca="false">SUM(R1136,L1136,I1136,J1136,W1136,H1136)</f>
        <v>0</v>
      </c>
      <c r="T1136" s="6" t="str">
        <f aca="false">"Sem - "&amp;WEEKNUM(Q1136,21)</f>
        <v>Sem - 42</v>
      </c>
      <c r="U1136" s="6" t="str">
        <f aca="false">CHOOSE(MONTH(Q1136),"Janvier","Février","Mars","Avril","Mai","Juin","Juillet","Août","Septembre","Octobre","Novembre","Décembre")</f>
        <v>Octobre</v>
      </c>
      <c r="V1136" s="22" t="n">
        <f aca="false">YEAR(Q1136)</f>
        <v>2026</v>
      </c>
      <c r="W1136" s="20"/>
      <c r="X1136" s="8" t="n">
        <f aca="false">IFERROR(IF(M1136="Abs",0,IF(ROUND((D1136-C1136+E1136-F1136)*1440,0)&lt;=1,0,D1136-C1136+E1136-F1136)),0)</f>
        <v>0</v>
      </c>
      <c r="Y1136" s="6" t="str">
        <f aca="false">IFERROR(VLOOKUP($B1136,Agents!$A:$D,3,0),"-")</f>
        <v>OUBRAHIM Mohammed</v>
      </c>
      <c r="Z1136" s="6" t="str">
        <f aca="false">IFERROR(VLOOKUP($B1136,Agents!$A:$D,4,0),"-")</f>
        <v>Credit Mutuel</v>
      </c>
      <c r="AA1136" s="18" t="s">
        <v>125</v>
      </c>
      <c r="AB1136" s="8" t="str">
        <f aca="false">IF(AND(D1136="Congé",F1136="Congé"),0.333333333333333,IF(OR(AND(D1136="Congé",F1136&lt;&gt;"Congé"),(AND(F1136="Congé",D1136&lt;&gt;"Congé"))),0.166666666666667,""))</f>
        <v/>
      </c>
      <c r="AC1136" s="8" t="str">
        <f aca="false">IF(AND(D1136="Congé sans solde",F1136="Congé sans solde"),0.333333333333333,IF(OR(AND(D1136="Congé sans solde",F1136&lt;&gt;"Congé sans solde"),(AND(F1136="Congé sans solde",D1136&lt;&gt;"Congé sans solde"))),0.166666666666667,""))</f>
        <v/>
      </c>
      <c r="AD1136" s="8" t="str">
        <f aca="false">IF(AND(D1136="Congé spécial",F1136="Congé spécial"),0.333333333333333,IF(OR(AND(D1136="Congé spécial",F1136&lt;&gt;"Congé spécial"),AND(F1136="Congé spécial",D1136&lt;&gt;"Congé spécial")),0.166666666666667,""))</f>
        <v/>
      </c>
      <c r="AE1136" s="8" t="str">
        <f aca="false">IF(AND(D1136="Férié",F1136="Férié"),0.333333333333333,IF(OR(AND(D1136="Férié",F1136&lt;&gt;"Férié"),(AND(F1136="Férié",D1136&lt;&gt;"Férié"))),0.166666666666667,""))</f>
        <v/>
      </c>
      <c r="AF1136" s="18"/>
      <c r="AG1136" s="18"/>
    </row>
    <row r="1137" customFormat="false" ht="15" hidden="false" customHeight="false" outlineLevel="0" collapsed="false">
      <c r="A1137" s="6" t="str">
        <f aca="false">YEAR(Q1137-WEEKDAY(Q1137,2)+4)&amp;"-S"&amp;TEXT(WEEKNUM(Q1137,21),"00")</f>
        <v>2026-S42</v>
      </c>
      <c r="B1137" s="18" t="s">
        <v>72</v>
      </c>
      <c r="C1137" s="19" t="n">
        <v>0.333333333333333</v>
      </c>
      <c r="D1137" s="19" t="n">
        <v>0.333333333333333</v>
      </c>
      <c r="E1137" s="19" t="n">
        <v>0.75</v>
      </c>
      <c r="F1137" s="19" t="n">
        <v>0.75</v>
      </c>
      <c r="G1137" s="20"/>
      <c r="H1137" s="20"/>
      <c r="I1137" s="8" t="str">
        <f aca="false">IF(IF(OR(C1137="",D1137="Congé",D1137="OFF",D1137="Congé spécial"),"",IF(D1137&gt;F1137,D1137-C1137,IF(C1137-D1137&lt;0,0,C1137-D1137)))&lt;0.00068287037037037,"",IF(OR(D1137="Congé",D1137="OFF",C1137="",D1137="Congé spécial"),"",IF(D1137&gt;F1137,D1137-C1137,IF(C1137-D1137&lt;0,0,C1137-D1137))))</f>
        <v/>
      </c>
      <c r="J1137" s="20"/>
      <c r="K1137" s="8" t="n">
        <f aca="false">IF(SUM(H1137:J1137)&lt;0.00068287037037037,0,SUM(H1137:J1137))</f>
        <v>0</v>
      </c>
      <c r="L1137" s="8" t="n">
        <f aca="false">IF(OR(F1137="Congé",F1137="OFF",M1137="Abs",F1137="Congé sans solde",F1137="Férié",F1137="Congé spécial",D1137="Congé spécial"),0,IF(F1137-E1137&lt;0,0,IF(F1137-E1137&lt;=0.00068287037037037,0,F1137-E1137)))</f>
        <v>0</v>
      </c>
      <c r="M1137" s="6" t="n">
        <f aca="false">IF(AND(O1137&lt;&gt;0,C1137=""),"Abs",0)</f>
        <v>0</v>
      </c>
      <c r="N1137" s="8" t="n">
        <f aca="false">IFERROR(IF(OR(D1137="OFF",D1137="Congé",M1137="Abs",D1137="Congé sans solde",D1137="Férié"),"",IF(O1137-K1137-L1137&gt;O1137,O1137,IF(O1137-K1137-L1137&lt;0,"",O1137-K1137-L1137))),"")</f>
        <v>0.375</v>
      </c>
      <c r="O1137" s="8" t="n">
        <f aca="false">IF(AG1137="2H Pause déjeuner",IF(F1137-D1137-0.0833333333333333&lt;0,F1137-D1137-0.0833333333333333+1,F1137-D1137-0.0833333333333333),IF(OR(AND(F1137="OFF",D1137="OFF"),AND(F1137="Congé",D1137="Congé"),AND(F1137="Congé sans solde",D1137="Congé sans solde"),AND(F1137="Congé spécial",D1137="Congé spécial"),AND(F1137="Férié",D1137="Férié"),AND(F1137="OFF",D1137="Congé"),AND(F1137="OFF",D1137="Congé sans solde"),AND(F1137="OFF",D1137="Congé spécial"),AND(F1137="OFF",D1137="Férié"),AND(F1137="Congé",D1137="OFF"),AND(F1137="Congé",D1137="Congé sans solde"),AND(F1137="Congé",D1137="Congé spécial"),AND(F1137="Congé",D1137="Férié"),AND(F1137="Congé sans solde",D1137="OFF"),AND(F1137="Congé sans solde",D1137="Congé"),AND(F1137="Congé sans solde",D1137="Congé spécial"),AND(F1137="Congé sans solde",D1137="Férié"),AND(F1137="Congé spécial",D1137="OFF"),AND(F1137="Congé spécial",D1137="Congé"),AND(F1137="Congé spécial",D1137="Congé sans solde"),AND(F1137="Congé spécial",D1137="Férié"),AND(F1137="Férié",D1137="OFF"),AND(F1137="Férié",D1137="Congé"),AND(F1137="Férié",D1137="Congé sans solde"),AND(F1137="Férié",D1137="Congé spécial")),0,IF(OR(F1137="OFF",F1137="Congé",F1137="Congé spécial",F1137="Congé sans solde",D1137="OFF",D1137="Congé",D1137="Congé spécial",D1137="Congé sans solde"),0.208333333333334,IF(AND(AG1137="",F1137-D1137&lt;0),("24:00:00"-D1137)+("00:00:00"+F1137)-0.0416666666666667,IF(AND(OR(AG1137="Allaitement",AG1137="Sans déjeuner"),F1137-D1137&lt;0),("24:00:00"-D1137)+("00:00:00"+F1137),IF(AND(AG1137="",F1137-D1137&gt;0.166666666666667),F1137-D1137-0.0416666666666667,IF(AND(OR(AG1137="Allaitement",AG1137="Sans déjeuner"),F1137-D1137&gt;0.166666666666667),F1137-D1137,F1137-D1137)))))))</f>
        <v>0.375</v>
      </c>
      <c r="P1137" s="6" t="str">
        <f aca="false">IFERROR(VLOOKUP($B1137,Agents!$A:$D,2,0),"-")</f>
        <v>Accessibilité</v>
      </c>
      <c r="Q1137" s="21" t="n">
        <v>46307</v>
      </c>
      <c r="R1137" s="8" t="n">
        <f aca="false">IF(M1137="Abs",O1137,0)</f>
        <v>0</v>
      </c>
      <c r="S1137" s="8" t="n">
        <f aca="false">SUM(R1137,L1137,I1137,J1137,W1137,H1137)</f>
        <v>0</v>
      </c>
      <c r="T1137" s="6" t="str">
        <f aca="false">"Sem - "&amp;WEEKNUM(Q1137,21)</f>
        <v>Sem - 42</v>
      </c>
      <c r="U1137" s="6" t="str">
        <f aca="false">CHOOSE(MONTH(Q1137),"Janvier","Février","Mars","Avril","Mai","Juin","Juillet","Août","Septembre","Octobre","Novembre","Décembre")</f>
        <v>Octobre</v>
      </c>
      <c r="V1137" s="22" t="n">
        <f aca="false">YEAR(Q1137)</f>
        <v>2026</v>
      </c>
      <c r="W1137" s="20"/>
      <c r="X1137" s="8" t="n">
        <f aca="false">IFERROR(IF(M1137="Abs",0,IF(ROUND((D1137-C1137+E1137-F1137)*1440,0)&lt;=1,0,D1137-C1137+E1137-F1137)),0)</f>
        <v>0</v>
      </c>
      <c r="Y1137" s="6" t="str">
        <f aca="false">IFERROR(VLOOKUP($B1137,Agents!$A:$D,3,0),"-")</f>
        <v>OUBRAHIM Mohammed</v>
      </c>
      <c r="Z1137" s="6" t="str">
        <f aca="false">IFERROR(VLOOKUP($B1137,Agents!$A:$D,4,0),"-")</f>
        <v>Credit Mutuel</v>
      </c>
      <c r="AA1137" s="18" t="s">
        <v>125</v>
      </c>
      <c r="AB1137" s="8" t="str">
        <f aca="false">IF(AND(D1137="Congé",F1137="Congé"),0.333333333333333,IF(OR(AND(D1137="Congé",F1137&lt;&gt;"Congé"),(AND(F1137="Congé",D1137&lt;&gt;"Congé"))),0.166666666666667,""))</f>
        <v/>
      </c>
      <c r="AC1137" s="8" t="str">
        <f aca="false">IF(AND(D1137="Congé sans solde",F1137="Congé sans solde"),0.333333333333333,IF(OR(AND(D1137="Congé sans solde",F1137&lt;&gt;"Congé sans solde"),(AND(F1137="Congé sans solde",D1137&lt;&gt;"Congé sans solde"))),0.166666666666667,""))</f>
        <v/>
      </c>
      <c r="AD1137" s="8" t="str">
        <f aca="false">IF(AND(D1137="Congé spécial",F1137="Congé spécial"),0.333333333333333,IF(OR(AND(D1137="Congé spécial",F1137&lt;&gt;"Congé spécial"),AND(F1137="Congé spécial",D1137&lt;&gt;"Congé spécial")),0.166666666666667,""))</f>
        <v/>
      </c>
      <c r="AE1137" s="8" t="str">
        <f aca="false">IF(AND(D1137="Férié",F1137="Férié"),0.333333333333333,IF(OR(AND(D1137="Férié",F1137&lt;&gt;"Férié"),(AND(F1137="Férié",D1137&lt;&gt;"Férié"))),0.166666666666667,""))</f>
        <v/>
      </c>
      <c r="AF1137" s="18"/>
      <c r="AG1137" s="18"/>
    </row>
    <row r="1138" customFormat="false" ht="15" hidden="false" customHeight="false" outlineLevel="0" collapsed="false">
      <c r="A1138" s="6" t="str">
        <f aca="false">YEAR(Q1138-WEEKDAY(Q1138,2)+4)&amp;"-S"&amp;TEXT(WEEKNUM(Q1138,21),"00")</f>
        <v>2026-S42</v>
      </c>
      <c r="B1138" s="18" t="s">
        <v>73</v>
      </c>
      <c r="C1138" s="19" t="n">
        <v>0.333333333333333</v>
      </c>
      <c r="D1138" s="19" t="n">
        <v>0.333333333333333</v>
      </c>
      <c r="E1138" s="19" t="n">
        <v>0.75</v>
      </c>
      <c r="F1138" s="19" t="n">
        <v>0.75</v>
      </c>
      <c r="G1138" s="20"/>
      <c r="H1138" s="20"/>
      <c r="I1138" s="8" t="str">
        <f aca="false">IF(IF(OR(C1138="",D1138="Congé",D1138="OFF",D1138="Congé spécial"),"",IF(D1138&gt;F1138,D1138-C1138,IF(C1138-D1138&lt;0,0,C1138-D1138)))&lt;0.00068287037037037,"",IF(OR(D1138="Congé",D1138="OFF",C1138="",D1138="Congé spécial"),"",IF(D1138&gt;F1138,D1138-C1138,IF(C1138-D1138&lt;0,0,C1138-D1138))))</f>
        <v/>
      </c>
      <c r="J1138" s="20"/>
      <c r="K1138" s="8" t="n">
        <f aca="false">IF(SUM(H1138:J1138)&lt;0.00068287037037037,0,SUM(H1138:J1138))</f>
        <v>0</v>
      </c>
      <c r="L1138" s="8" t="n">
        <f aca="false">IF(OR(F1138="Congé",F1138="OFF",M1138="Abs",F1138="Congé sans solde",F1138="Férié",F1138="Congé spécial",D1138="Congé spécial"),0,IF(F1138-E1138&lt;0,0,IF(F1138-E1138&lt;=0.00068287037037037,0,F1138-E1138)))</f>
        <v>0</v>
      </c>
      <c r="M1138" s="6" t="n">
        <f aca="false">IF(AND(O1138&lt;&gt;0,C1138=""),"Abs",0)</f>
        <v>0</v>
      </c>
      <c r="N1138" s="8" t="n">
        <f aca="false">IFERROR(IF(OR(D1138="OFF",D1138="Congé",M1138="Abs",D1138="Congé sans solde",D1138="Férié"),"",IF(O1138-K1138-L1138&gt;O1138,O1138,IF(O1138-K1138-L1138&lt;0,"",O1138-K1138-L1138))),"")</f>
        <v>0.375</v>
      </c>
      <c r="O1138" s="8" t="n">
        <f aca="false">IF(AG1138="2H Pause déjeuner",IF(F1138-D1138-0.0833333333333333&lt;0,F1138-D1138-0.0833333333333333+1,F1138-D1138-0.0833333333333333),IF(OR(AND(F1138="OFF",D1138="OFF"),AND(F1138="Congé",D1138="Congé"),AND(F1138="Congé sans solde",D1138="Congé sans solde"),AND(F1138="Congé spécial",D1138="Congé spécial"),AND(F1138="Férié",D1138="Férié"),AND(F1138="OFF",D1138="Congé"),AND(F1138="OFF",D1138="Congé sans solde"),AND(F1138="OFF",D1138="Congé spécial"),AND(F1138="OFF",D1138="Férié"),AND(F1138="Congé",D1138="OFF"),AND(F1138="Congé",D1138="Congé sans solde"),AND(F1138="Congé",D1138="Congé spécial"),AND(F1138="Congé",D1138="Férié"),AND(F1138="Congé sans solde",D1138="OFF"),AND(F1138="Congé sans solde",D1138="Congé"),AND(F1138="Congé sans solde",D1138="Congé spécial"),AND(F1138="Congé sans solde",D1138="Férié"),AND(F1138="Congé spécial",D1138="OFF"),AND(F1138="Congé spécial",D1138="Congé"),AND(F1138="Congé spécial",D1138="Congé sans solde"),AND(F1138="Congé spécial",D1138="Férié"),AND(F1138="Férié",D1138="OFF"),AND(F1138="Férié",D1138="Congé"),AND(F1138="Férié",D1138="Congé sans solde"),AND(F1138="Férié",D1138="Congé spécial")),0,IF(OR(F1138="OFF",F1138="Congé",F1138="Congé spécial",F1138="Congé sans solde",D1138="OFF",D1138="Congé",D1138="Congé spécial",D1138="Congé sans solde"),0.208333333333334,IF(AND(AG1138="",F1138-D1138&lt;0),("24:00:00"-D1138)+("00:00:00"+F1138)-0.0416666666666667,IF(AND(OR(AG1138="Allaitement",AG1138="Sans déjeuner"),F1138-D1138&lt;0),("24:00:00"-D1138)+("00:00:00"+F1138),IF(AND(AG1138="",F1138-D1138&gt;0.166666666666667),F1138-D1138-0.0416666666666667,IF(AND(OR(AG1138="Allaitement",AG1138="Sans déjeuner"),F1138-D1138&gt;0.166666666666667),F1138-D1138,F1138-D1138)))))))</f>
        <v>0.375</v>
      </c>
      <c r="P1138" s="6" t="str">
        <f aca="false">IFERROR(VLOOKUP($B1138,Agents!$A:$D,2,0),"-")</f>
        <v>Accessibilité</v>
      </c>
      <c r="Q1138" s="21" t="n">
        <v>46307</v>
      </c>
      <c r="R1138" s="8" t="n">
        <f aca="false">IF(M1138="Abs",O1138,0)</f>
        <v>0</v>
      </c>
      <c r="S1138" s="8" t="n">
        <f aca="false">SUM(R1138,L1138,I1138,J1138,W1138,H1138)</f>
        <v>0</v>
      </c>
      <c r="T1138" s="6" t="str">
        <f aca="false">"Sem - "&amp;WEEKNUM(Q1138,21)</f>
        <v>Sem - 42</v>
      </c>
      <c r="U1138" s="6" t="str">
        <f aca="false">CHOOSE(MONTH(Q1138),"Janvier","Février","Mars","Avril","Mai","Juin","Juillet","Août","Septembre","Octobre","Novembre","Décembre")</f>
        <v>Octobre</v>
      </c>
      <c r="V1138" s="22" t="n">
        <f aca="false">YEAR(Q1138)</f>
        <v>2026</v>
      </c>
      <c r="W1138" s="20"/>
      <c r="X1138" s="8" t="n">
        <f aca="false">IFERROR(IF(M1138="Abs",0,IF(ROUND((D1138-C1138+E1138-F1138)*1440,0)&lt;=1,0,D1138-C1138+E1138-F1138)),0)</f>
        <v>0</v>
      </c>
      <c r="Y1138" s="6" t="str">
        <f aca="false">IFERROR(VLOOKUP($B1138,Agents!$A:$D,3,0),"-")</f>
        <v>OUBRAHIM Mohammed</v>
      </c>
      <c r="Z1138" s="6" t="str">
        <f aca="false">IFERROR(VLOOKUP($B1138,Agents!$A:$D,4,0),"-")</f>
        <v>Credit Mutuel</v>
      </c>
      <c r="AA1138" s="18" t="s">
        <v>125</v>
      </c>
      <c r="AB1138" s="8" t="str">
        <f aca="false">IF(AND(D1138="Congé",F1138="Congé"),0.333333333333333,IF(OR(AND(D1138="Congé",F1138&lt;&gt;"Congé"),(AND(F1138="Congé",D1138&lt;&gt;"Congé"))),0.166666666666667,""))</f>
        <v/>
      </c>
      <c r="AC1138" s="8" t="str">
        <f aca="false">IF(AND(D1138="Congé sans solde",F1138="Congé sans solde"),0.333333333333333,IF(OR(AND(D1138="Congé sans solde",F1138&lt;&gt;"Congé sans solde"),(AND(F1138="Congé sans solde",D1138&lt;&gt;"Congé sans solde"))),0.166666666666667,""))</f>
        <v/>
      </c>
      <c r="AD1138" s="8" t="str">
        <f aca="false">IF(AND(D1138="Congé spécial",F1138="Congé spécial"),0.333333333333333,IF(OR(AND(D1138="Congé spécial",F1138&lt;&gt;"Congé spécial"),AND(F1138="Congé spécial",D1138&lt;&gt;"Congé spécial")),0.166666666666667,""))</f>
        <v/>
      </c>
      <c r="AE1138" s="8" t="str">
        <f aca="false">IF(AND(D1138="Férié",F1138="Férié"),0.333333333333333,IF(OR(AND(D1138="Férié",F1138&lt;&gt;"Férié"),(AND(F1138="Férié",D1138&lt;&gt;"Férié"))),0.166666666666667,""))</f>
        <v/>
      </c>
      <c r="AF1138" s="18"/>
      <c r="AG1138" s="18"/>
    </row>
    <row r="1139" customFormat="false" ht="15" hidden="false" customHeight="false" outlineLevel="0" collapsed="false">
      <c r="A1139" s="6" t="str">
        <f aca="false">YEAR(Q1139-WEEKDAY(Q1139,2)+4)&amp;"-S"&amp;TEXT(WEEKNUM(Q1139,21),"00")</f>
        <v>2026-S42</v>
      </c>
      <c r="B1139" s="18" t="s">
        <v>124</v>
      </c>
      <c r="C1139" s="19" t="n">
        <v>0.333333333333333</v>
      </c>
      <c r="D1139" s="19" t="n">
        <v>0.333333333333333</v>
      </c>
      <c r="E1139" s="19" t="n">
        <v>0.75</v>
      </c>
      <c r="F1139" s="19" t="n">
        <v>0.75</v>
      </c>
      <c r="G1139" s="20"/>
      <c r="H1139" s="20"/>
      <c r="I1139" s="8" t="str">
        <f aca="false">IF(IF(OR(C1139="",D1139="Congé",D1139="OFF",D1139="Congé spécial"),"",IF(D1139&gt;F1139,D1139-C1139,IF(C1139-D1139&lt;0,0,C1139-D1139)))&lt;0.00068287037037037,"",IF(OR(D1139="Congé",D1139="OFF",C1139="",D1139="Congé spécial"),"",IF(D1139&gt;F1139,D1139-C1139,IF(C1139-D1139&lt;0,0,C1139-D1139))))</f>
        <v/>
      </c>
      <c r="J1139" s="20"/>
      <c r="K1139" s="8" t="n">
        <f aca="false">IF(SUM(H1139:J1139)&lt;0.00068287037037037,0,SUM(H1139:J1139))</f>
        <v>0</v>
      </c>
      <c r="L1139" s="8" t="n">
        <f aca="false">IF(OR(F1139="Congé",F1139="OFF",M1139="Abs",F1139="Congé sans solde",F1139="Férié",F1139="Congé spécial",D1139="Congé spécial"),0,IF(F1139-E1139&lt;0,0,IF(F1139-E1139&lt;=0.00068287037037037,0,F1139-E1139)))</f>
        <v>0</v>
      </c>
      <c r="M1139" s="6" t="n">
        <f aca="false">IF(AND(O1139&lt;&gt;0,C1139=""),"Abs",0)</f>
        <v>0</v>
      </c>
      <c r="N1139" s="8" t="n">
        <f aca="false">IFERROR(IF(OR(D1139="OFF",D1139="Congé",M1139="Abs",D1139="Congé sans solde",D1139="Férié"),"",IF(O1139-K1139-L1139&gt;O1139,O1139,IF(O1139-K1139-L1139&lt;0,"",O1139-K1139-L1139))),"")</f>
        <v>0.375</v>
      </c>
      <c r="O1139" s="8" t="n">
        <f aca="false">IF(AG1139="2H Pause déjeuner",IF(F1139-D1139-0.0833333333333333&lt;0,F1139-D1139-0.0833333333333333+1,F1139-D1139-0.0833333333333333),IF(OR(AND(F1139="OFF",D1139="OFF"),AND(F1139="Congé",D1139="Congé"),AND(F1139="Congé sans solde",D1139="Congé sans solde"),AND(F1139="Congé spécial",D1139="Congé spécial"),AND(F1139="Férié",D1139="Férié"),AND(F1139="OFF",D1139="Congé"),AND(F1139="OFF",D1139="Congé sans solde"),AND(F1139="OFF",D1139="Congé spécial"),AND(F1139="OFF",D1139="Férié"),AND(F1139="Congé",D1139="OFF"),AND(F1139="Congé",D1139="Congé sans solde"),AND(F1139="Congé",D1139="Congé spécial"),AND(F1139="Congé",D1139="Férié"),AND(F1139="Congé sans solde",D1139="OFF"),AND(F1139="Congé sans solde",D1139="Congé"),AND(F1139="Congé sans solde",D1139="Congé spécial"),AND(F1139="Congé sans solde",D1139="Férié"),AND(F1139="Congé spécial",D1139="OFF"),AND(F1139="Congé spécial",D1139="Congé"),AND(F1139="Congé spécial",D1139="Congé sans solde"),AND(F1139="Congé spécial",D1139="Férié"),AND(F1139="Férié",D1139="OFF"),AND(F1139="Férié",D1139="Congé"),AND(F1139="Férié",D1139="Congé sans solde"),AND(F1139="Férié",D1139="Congé spécial")),0,IF(OR(F1139="OFF",F1139="Congé",F1139="Congé spécial",F1139="Congé sans solde",D1139="OFF",D1139="Congé",D1139="Congé spécial",D1139="Congé sans solde"),0.208333333333334,IF(AND(AG1139="",F1139-D1139&lt;0),("24:00:00"-D1139)+("00:00:00"+F1139)-0.0416666666666667,IF(AND(OR(AG1139="Allaitement",AG1139="Sans déjeuner"),F1139-D1139&lt;0),("24:00:00"-D1139)+("00:00:00"+F1139),IF(AND(AG1139="",F1139-D1139&gt;0.166666666666667),F1139-D1139-0.0416666666666667,IF(AND(OR(AG1139="Allaitement",AG1139="Sans déjeuner"),F1139-D1139&gt;0.166666666666667),F1139-D1139,F1139-D1139)))))))</f>
        <v>0.375</v>
      </c>
      <c r="P1139" s="6" t="str">
        <f aca="false">IFERROR(VLOOKUP($B1139,Agents!$A:$D,2,0),"-")</f>
        <v>Accessibilité</v>
      </c>
      <c r="Q1139" s="21" t="n">
        <v>46307</v>
      </c>
      <c r="R1139" s="8" t="n">
        <f aca="false">IF(M1139="Abs",O1139,0)</f>
        <v>0</v>
      </c>
      <c r="S1139" s="8" t="n">
        <f aca="false">SUM(R1139,L1139,I1139,J1139,W1139,H1139)</f>
        <v>0</v>
      </c>
      <c r="T1139" s="6" t="str">
        <f aca="false">"Sem - "&amp;WEEKNUM(Q1139,21)</f>
        <v>Sem - 42</v>
      </c>
      <c r="U1139" s="6" t="str">
        <f aca="false">CHOOSE(MONTH(Q1139),"Janvier","Février","Mars","Avril","Mai","Juin","Juillet","Août","Septembre","Octobre","Novembre","Décembre")</f>
        <v>Octobre</v>
      </c>
      <c r="V1139" s="22" t="n">
        <f aca="false">YEAR(Q1139)</f>
        <v>2026</v>
      </c>
      <c r="W1139" s="20"/>
      <c r="X1139" s="8" t="n">
        <f aca="false">IFERROR(IF(M1139="Abs",0,IF(ROUND((D1139-C1139+E1139-F1139)*1440,0)&lt;=1,0,D1139-C1139+E1139-F1139)),0)</f>
        <v>0</v>
      </c>
      <c r="Y1139" s="6" t="str">
        <f aca="false">IFERROR(VLOOKUP($B1139,Agents!$A:$D,3,0),"-")</f>
        <v>OUBRAHIM Mohammed</v>
      </c>
      <c r="Z1139" s="6" t="str">
        <f aca="false">IFERROR(VLOOKUP($B1139,Agents!$A:$D,4,0),"-")</f>
        <v>Credit Mutuel</v>
      </c>
      <c r="AA1139" s="18" t="s">
        <v>125</v>
      </c>
      <c r="AB1139" s="8" t="str">
        <f aca="false">IF(AND(D1139="Congé",F1139="Congé"),0.333333333333333,IF(OR(AND(D1139="Congé",F1139&lt;&gt;"Congé"),(AND(F1139="Congé",D1139&lt;&gt;"Congé"))),0.166666666666667,""))</f>
        <v/>
      </c>
      <c r="AC1139" s="8" t="str">
        <f aca="false">IF(AND(D1139="Congé sans solde",F1139="Congé sans solde"),0.333333333333333,IF(OR(AND(D1139="Congé sans solde",F1139&lt;&gt;"Congé sans solde"),(AND(F1139="Congé sans solde",D1139&lt;&gt;"Congé sans solde"))),0.166666666666667,""))</f>
        <v/>
      </c>
      <c r="AD1139" s="8" t="str">
        <f aca="false">IF(AND(D1139="Congé spécial",F1139="Congé spécial"),0.333333333333333,IF(OR(AND(D1139="Congé spécial",F1139&lt;&gt;"Congé spécial"),AND(F1139="Congé spécial",D1139&lt;&gt;"Congé spécial")),0.166666666666667,""))</f>
        <v/>
      </c>
      <c r="AE1139" s="8" t="str">
        <f aca="false">IF(AND(D1139="Férié",F1139="Férié"),0.333333333333333,IF(OR(AND(D1139="Férié",F1139&lt;&gt;"Férié"),(AND(F1139="Férié",D1139&lt;&gt;"Férié"))),0.166666666666667,""))</f>
        <v/>
      </c>
      <c r="AF1139" s="18"/>
      <c r="AG1139" s="18"/>
    </row>
    <row r="1140" customFormat="false" ht="15" hidden="false" customHeight="false" outlineLevel="0" collapsed="false">
      <c r="A1140" s="6" t="str">
        <f aca="false">YEAR(Q1140-WEEKDAY(Q1140,2)+4)&amp;"-S"&amp;TEXT(WEEKNUM(Q1140,21),"00")</f>
        <v>2026-S42</v>
      </c>
      <c r="B1140" s="18" t="s">
        <v>71</v>
      </c>
      <c r="C1140" s="19" t="n">
        <v>0.333333333333333</v>
      </c>
      <c r="D1140" s="19" t="n">
        <v>0.333333333333333</v>
      </c>
      <c r="E1140" s="19" t="n">
        <v>0.75</v>
      </c>
      <c r="F1140" s="19" t="n">
        <v>0.75</v>
      </c>
      <c r="G1140" s="20"/>
      <c r="H1140" s="20"/>
      <c r="I1140" s="8" t="str">
        <f aca="false">IF(IF(OR(C1140="",D1140="Congé",D1140="OFF",D1140="Congé spécial"),"",IF(D1140&gt;F1140,D1140-C1140,IF(C1140-D1140&lt;0,0,C1140-D1140)))&lt;0.00068287037037037,"",IF(OR(D1140="Congé",D1140="OFF",C1140="",D1140="Congé spécial"),"",IF(D1140&gt;F1140,D1140-C1140,IF(C1140-D1140&lt;0,0,C1140-D1140))))</f>
        <v/>
      </c>
      <c r="J1140" s="20"/>
      <c r="K1140" s="8" t="n">
        <f aca="false">IF(SUM(H1140:J1140)&lt;0.00068287037037037,0,SUM(H1140:J1140))</f>
        <v>0</v>
      </c>
      <c r="L1140" s="8" t="n">
        <f aca="false">IF(OR(F1140="Congé",F1140="OFF",M1140="Abs",F1140="Congé sans solde",F1140="Férié",F1140="Congé spécial",D1140="Congé spécial"),0,IF(F1140-E1140&lt;0,0,IF(F1140-E1140&lt;=0.00068287037037037,0,F1140-E1140)))</f>
        <v>0</v>
      </c>
      <c r="M1140" s="6" t="n">
        <f aca="false">IF(AND(O1140&lt;&gt;0,C1140=""),"Abs",0)</f>
        <v>0</v>
      </c>
      <c r="N1140" s="8" t="n">
        <f aca="false">IFERROR(IF(OR(D1140="OFF",D1140="Congé",M1140="Abs",D1140="Congé sans solde",D1140="Férié"),"",IF(O1140-K1140-L1140&gt;O1140,O1140,IF(O1140-K1140-L1140&lt;0,"",O1140-K1140-L1140))),"")</f>
        <v>0.375</v>
      </c>
      <c r="O1140" s="8" t="n">
        <f aca="false">IF(AG1140="2H Pause déjeuner",IF(F1140-D1140-0.0833333333333333&lt;0,F1140-D1140-0.0833333333333333+1,F1140-D1140-0.0833333333333333),IF(OR(AND(F1140="OFF",D1140="OFF"),AND(F1140="Congé",D1140="Congé"),AND(F1140="Congé sans solde",D1140="Congé sans solde"),AND(F1140="Congé spécial",D1140="Congé spécial"),AND(F1140="Férié",D1140="Férié"),AND(F1140="OFF",D1140="Congé"),AND(F1140="OFF",D1140="Congé sans solde"),AND(F1140="OFF",D1140="Congé spécial"),AND(F1140="OFF",D1140="Férié"),AND(F1140="Congé",D1140="OFF"),AND(F1140="Congé",D1140="Congé sans solde"),AND(F1140="Congé",D1140="Congé spécial"),AND(F1140="Congé",D1140="Férié"),AND(F1140="Congé sans solde",D1140="OFF"),AND(F1140="Congé sans solde",D1140="Congé"),AND(F1140="Congé sans solde",D1140="Congé spécial"),AND(F1140="Congé sans solde",D1140="Férié"),AND(F1140="Congé spécial",D1140="OFF"),AND(F1140="Congé spécial",D1140="Congé"),AND(F1140="Congé spécial",D1140="Congé sans solde"),AND(F1140="Congé spécial",D1140="Férié"),AND(F1140="Férié",D1140="OFF"),AND(F1140="Férié",D1140="Congé"),AND(F1140="Férié",D1140="Congé sans solde"),AND(F1140="Férié",D1140="Congé spécial")),0,IF(OR(F1140="OFF",F1140="Congé",F1140="Congé spécial",F1140="Congé sans solde",D1140="OFF",D1140="Congé",D1140="Congé spécial",D1140="Congé sans solde"),0.208333333333334,IF(AND(AG1140="",F1140-D1140&lt;0),("24:00:00"-D1140)+("00:00:00"+F1140)-0.0416666666666667,IF(AND(OR(AG1140="Allaitement",AG1140="Sans déjeuner"),F1140-D1140&lt;0),("24:00:00"-D1140)+("00:00:00"+F1140),IF(AND(AG1140="",F1140-D1140&gt;0.166666666666667),F1140-D1140-0.0416666666666667,IF(AND(OR(AG1140="Allaitement",AG1140="Sans déjeuner"),F1140-D1140&gt;0.166666666666667),F1140-D1140,F1140-D1140)))))))</f>
        <v>0.375</v>
      </c>
      <c r="P1140" s="6" t="str">
        <f aca="false">IFERROR(VLOOKUP($B1140,Agents!$A:$D,2,0),"-")</f>
        <v>Accessibilité</v>
      </c>
      <c r="Q1140" s="21" t="n">
        <v>46308</v>
      </c>
      <c r="R1140" s="8" t="n">
        <f aca="false">IF(M1140="Abs",O1140,0)</f>
        <v>0</v>
      </c>
      <c r="S1140" s="8" t="n">
        <f aca="false">SUM(R1140,L1140,I1140,J1140,W1140,H1140)</f>
        <v>0</v>
      </c>
      <c r="T1140" s="6" t="str">
        <f aca="false">"Sem - "&amp;WEEKNUM(Q1140,21)</f>
        <v>Sem - 42</v>
      </c>
      <c r="U1140" s="6" t="str">
        <f aca="false">CHOOSE(MONTH(Q1140),"Janvier","Février","Mars","Avril","Mai","Juin","Juillet","Août","Septembre","Octobre","Novembre","Décembre")</f>
        <v>Octobre</v>
      </c>
      <c r="V1140" s="22" t="n">
        <f aca="false">YEAR(Q1140)</f>
        <v>2026</v>
      </c>
      <c r="W1140" s="20"/>
      <c r="X1140" s="8" t="n">
        <f aca="false">IFERROR(IF(M1140="Abs",0,IF(ROUND((D1140-C1140+E1140-F1140)*1440,0)&lt;=1,0,D1140-C1140+E1140-F1140)),0)</f>
        <v>0</v>
      </c>
      <c r="Y1140" s="6" t="str">
        <f aca="false">IFERROR(VLOOKUP($B1140,Agents!$A:$D,3,0),"-")</f>
        <v>OUBRAHIM Mohammed</v>
      </c>
      <c r="Z1140" s="6" t="str">
        <f aca="false">IFERROR(VLOOKUP($B1140,Agents!$A:$D,4,0),"-")</f>
        <v>Credit Mutuel</v>
      </c>
      <c r="AA1140" s="18" t="s">
        <v>125</v>
      </c>
      <c r="AB1140" s="8" t="str">
        <f aca="false">IF(AND(D1140="Congé",F1140="Congé"),0.333333333333333,IF(OR(AND(D1140="Congé",F1140&lt;&gt;"Congé"),(AND(F1140="Congé",D1140&lt;&gt;"Congé"))),0.166666666666667,""))</f>
        <v/>
      </c>
      <c r="AC1140" s="8" t="str">
        <f aca="false">IF(AND(D1140="Congé sans solde",F1140="Congé sans solde"),0.333333333333333,IF(OR(AND(D1140="Congé sans solde",F1140&lt;&gt;"Congé sans solde"),(AND(F1140="Congé sans solde",D1140&lt;&gt;"Congé sans solde"))),0.166666666666667,""))</f>
        <v/>
      </c>
      <c r="AD1140" s="8" t="str">
        <f aca="false">IF(AND(D1140="Congé spécial",F1140="Congé spécial"),0.333333333333333,IF(OR(AND(D1140="Congé spécial",F1140&lt;&gt;"Congé spécial"),AND(F1140="Congé spécial",D1140&lt;&gt;"Congé spécial")),0.166666666666667,""))</f>
        <v/>
      </c>
      <c r="AE1140" s="8" t="str">
        <f aca="false">IF(AND(D1140="Férié",F1140="Férié"),0.333333333333333,IF(OR(AND(D1140="Férié",F1140&lt;&gt;"Férié"),(AND(F1140="Férié",D1140&lt;&gt;"Férié"))),0.166666666666667,""))</f>
        <v/>
      </c>
      <c r="AF1140" s="18"/>
      <c r="AG1140" s="18"/>
    </row>
    <row r="1141" customFormat="false" ht="15" hidden="false" customHeight="false" outlineLevel="0" collapsed="false">
      <c r="A1141" s="6" t="str">
        <f aca="false">YEAR(Q1141-WEEKDAY(Q1141,2)+4)&amp;"-S"&amp;TEXT(WEEKNUM(Q1141,21),"00")</f>
        <v>2026-S42</v>
      </c>
      <c r="B1141" s="18" t="s">
        <v>72</v>
      </c>
      <c r="C1141" s="19" t="n">
        <v>0.333333333333333</v>
      </c>
      <c r="D1141" s="19" t="n">
        <v>0.333333333333333</v>
      </c>
      <c r="E1141" s="19" t="n">
        <v>0.75</v>
      </c>
      <c r="F1141" s="19" t="n">
        <v>0.75</v>
      </c>
      <c r="G1141" s="20"/>
      <c r="H1141" s="20"/>
      <c r="I1141" s="8" t="str">
        <f aca="false">IF(IF(OR(C1141="",D1141="Congé",D1141="OFF",D1141="Congé spécial"),"",IF(D1141&gt;F1141,D1141-C1141,IF(C1141-D1141&lt;0,0,C1141-D1141)))&lt;0.00068287037037037,"",IF(OR(D1141="Congé",D1141="OFF",C1141="",D1141="Congé spécial"),"",IF(D1141&gt;F1141,D1141-C1141,IF(C1141-D1141&lt;0,0,C1141-D1141))))</f>
        <v/>
      </c>
      <c r="J1141" s="20"/>
      <c r="K1141" s="8" t="n">
        <f aca="false">IF(SUM(H1141:J1141)&lt;0.00068287037037037,0,SUM(H1141:J1141))</f>
        <v>0</v>
      </c>
      <c r="L1141" s="8" t="n">
        <f aca="false">IF(OR(F1141="Congé",F1141="OFF",M1141="Abs",F1141="Congé sans solde",F1141="Férié",F1141="Congé spécial",D1141="Congé spécial"),0,IF(F1141-E1141&lt;0,0,IF(F1141-E1141&lt;=0.00068287037037037,0,F1141-E1141)))</f>
        <v>0</v>
      </c>
      <c r="M1141" s="6" t="n">
        <f aca="false">IF(AND(O1141&lt;&gt;0,C1141=""),"Abs",0)</f>
        <v>0</v>
      </c>
      <c r="N1141" s="8" t="n">
        <f aca="false">IFERROR(IF(OR(D1141="OFF",D1141="Congé",M1141="Abs",D1141="Congé sans solde",D1141="Férié"),"",IF(O1141-K1141-L1141&gt;O1141,O1141,IF(O1141-K1141-L1141&lt;0,"",O1141-K1141-L1141))),"")</f>
        <v>0.375</v>
      </c>
      <c r="O1141" s="8" t="n">
        <f aca="false">IF(AG1141="2H Pause déjeuner",IF(F1141-D1141-0.0833333333333333&lt;0,F1141-D1141-0.0833333333333333+1,F1141-D1141-0.0833333333333333),IF(OR(AND(F1141="OFF",D1141="OFF"),AND(F1141="Congé",D1141="Congé"),AND(F1141="Congé sans solde",D1141="Congé sans solde"),AND(F1141="Congé spécial",D1141="Congé spécial"),AND(F1141="Férié",D1141="Férié"),AND(F1141="OFF",D1141="Congé"),AND(F1141="OFF",D1141="Congé sans solde"),AND(F1141="OFF",D1141="Congé spécial"),AND(F1141="OFF",D1141="Férié"),AND(F1141="Congé",D1141="OFF"),AND(F1141="Congé",D1141="Congé sans solde"),AND(F1141="Congé",D1141="Congé spécial"),AND(F1141="Congé",D1141="Férié"),AND(F1141="Congé sans solde",D1141="OFF"),AND(F1141="Congé sans solde",D1141="Congé"),AND(F1141="Congé sans solde",D1141="Congé spécial"),AND(F1141="Congé sans solde",D1141="Férié"),AND(F1141="Congé spécial",D1141="OFF"),AND(F1141="Congé spécial",D1141="Congé"),AND(F1141="Congé spécial",D1141="Congé sans solde"),AND(F1141="Congé spécial",D1141="Férié"),AND(F1141="Férié",D1141="OFF"),AND(F1141="Férié",D1141="Congé"),AND(F1141="Férié",D1141="Congé sans solde"),AND(F1141="Férié",D1141="Congé spécial")),0,IF(OR(F1141="OFF",F1141="Congé",F1141="Congé spécial",F1141="Congé sans solde",D1141="OFF",D1141="Congé",D1141="Congé spécial",D1141="Congé sans solde"),0.208333333333334,IF(AND(AG1141="",F1141-D1141&lt;0),("24:00:00"-D1141)+("00:00:00"+F1141)-0.0416666666666667,IF(AND(OR(AG1141="Allaitement",AG1141="Sans déjeuner"),F1141-D1141&lt;0),("24:00:00"-D1141)+("00:00:00"+F1141),IF(AND(AG1141="",F1141-D1141&gt;0.166666666666667),F1141-D1141-0.0416666666666667,IF(AND(OR(AG1141="Allaitement",AG1141="Sans déjeuner"),F1141-D1141&gt;0.166666666666667),F1141-D1141,F1141-D1141)))))))</f>
        <v>0.375</v>
      </c>
      <c r="P1141" s="6" t="str">
        <f aca="false">IFERROR(VLOOKUP($B1141,Agents!$A:$D,2,0),"-")</f>
        <v>Accessibilité</v>
      </c>
      <c r="Q1141" s="21" t="n">
        <v>46308</v>
      </c>
      <c r="R1141" s="8" t="n">
        <f aca="false">IF(M1141="Abs",O1141,0)</f>
        <v>0</v>
      </c>
      <c r="S1141" s="8" t="n">
        <f aca="false">SUM(R1141,L1141,I1141,J1141,W1141,H1141)</f>
        <v>0</v>
      </c>
      <c r="T1141" s="6" t="str">
        <f aca="false">"Sem - "&amp;WEEKNUM(Q1141,21)</f>
        <v>Sem - 42</v>
      </c>
      <c r="U1141" s="6" t="str">
        <f aca="false">CHOOSE(MONTH(Q1141),"Janvier","Février","Mars","Avril","Mai","Juin","Juillet","Août","Septembre","Octobre","Novembre","Décembre")</f>
        <v>Octobre</v>
      </c>
      <c r="V1141" s="22" t="n">
        <f aca="false">YEAR(Q1141)</f>
        <v>2026</v>
      </c>
      <c r="W1141" s="20"/>
      <c r="X1141" s="8" t="n">
        <f aca="false">IFERROR(IF(M1141="Abs",0,IF(ROUND((D1141-C1141+E1141-F1141)*1440,0)&lt;=1,0,D1141-C1141+E1141-F1141)),0)</f>
        <v>0</v>
      </c>
      <c r="Y1141" s="6" t="str">
        <f aca="false">IFERROR(VLOOKUP($B1141,Agents!$A:$D,3,0),"-")</f>
        <v>OUBRAHIM Mohammed</v>
      </c>
      <c r="Z1141" s="6" t="str">
        <f aca="false">IFERROR(VLOOKUP($B1141,Agents!$A:$D,4,0),"-")</f>
        <v>Credit Mutuel</v>
      </c>
      <c r="AA1141" s="18" t="s">
        <v>125</v>
      </c>
      <c r="AB1141" s="8" t="str">
        <f aca="false">IF(AND(D1141="Congé",F1141="Congé"),0.333333333333333,IF(OR(AND(D1141="Congé",F1141&lt;&gt;"Congé"),(AND(F1141="Congé",D1141&lt;&gt;"Congé"))),0.166666666666667,""))</f>
        <v/>
      </c>
      <c r="AC1141" s="8" t="str">
        <f aca="false">IF(AND(D1141="Congé sans solde",F1141="Congé sans solde"),0.333333333333333,IF(OR(AND(D1141="Congé sans solde",F1141&lt;&gt;"Congé sans solde"),(AND(F1141="Congé sans solde",D1141&lt;&gt;"Congé sans solde"))),0.166666666666667,""))</f>
        <v/>
      </c>
      <c r="AD1141" s="8" t="str">
        <f aca="false">IF(AND(D1141="Congé spécial",F1141="Congé spécial"),0.333333333333333,IF(OR(AND(D1141="Congé spécial",F1141&lt;&gt;"Congé spécial"),AND(F1141="Congé spécial",D1141&lt;&gt;"Congé spécial")),0.166666666666667,""))</f>
        <v/>
      </c>
      <c r="AE1141" s="8" t="str">
        <f aca="false">IF(AND(D1141="Férié",F1141="Férié"),0.333333333333333,IF(OR(AND(D1141="Férié",F1141&lt;&gt;"Férié"),(AND(F1141="Férié",D1141&lt;&gt;"Férié"))),0.166666666666667,""))</f>
        <v/>
      </c>
      <c r="AF1141" s="18"/>
      <c r="AG1141" s="18"/>
    </row>
    <row r="1142" customFormat="false" ht="15" hidden="false" customHeight="false" outlineLevel="0" collapsed="false">
      <c r="A1142" s="6" t="str">
        <f aca="false">YEAR(Q1142-WEEKDAY(Q1142,2)+4)&amp;"-S"&amp;TEXT(WEEKNUM(Q1142,21),"00")</f>
        <v>2026-S42</v>
      </c>
      <c r="B1142" s="18" t="s">
        <v>73</v>
      </c>
      <c r="C1142" s="19" t="n">
        <v>0.333333333333333</v>
      </c>
      <c r="D1142" s="19" t="n">
        <v>0.333333333333333</v>
      </c>
      <c r="E1142" s="19" t="n">
        <v>0.75</v>
      </c>
      <c r="F1142" s="19" t="n">
        <v>0.75</v>
      </c>
      <c r="G1142" s="20"/>
      <c r="H1142" s="20"/>
      <c r="I1142" s="8" t="str">
        <f aca="false">IF(IF(OR(C1142="",D1142="Congé",D1142="OFF",D1142="Congé spécial"),"",IF(D1142&gt;F1142,D1142-C1142,IF(C1142-D1142&lt;0,0,C1142-D1142)))&lt;0.00068287037037037,"",IF(OR(D1142="Congé",D1142="OFF",C1142="",D1142="Congé spécial"),"",IF(D1142&gt;F1142,D1142-C1142,IF(C1142-D1142&lt;0,0,C1142-D1142))))</f>
        <v/>
      </c>
      <c r="J1142" s="20"/>
      <c r="K1142" s="8" t="n">
        <f aca="false">IF(SUM(H1142:J1142)&lt;0.00068287037037037,0,SUM(H1142:J1142))</f>
        <v>0</v>
      </c>
      <c r="L1142" s="8" t="n">
        <f aca="false">IF(OR(F1142="Congé",F1142="OFF",M1142="Abs",F1142="Congé sans solde",F1142="Férié",F1142="Congé spécial",D1142="Congé spécial"),0,IF(F1142-E1142&lt;0,0,IF(F1142-E1142&lt;=0.00068287037037037,0,F1142-E1142)))</f>
        <v>0</v>
      </c>
      <c r="M1142" s="6" t="n">
        <f aca="false">IF(AND(O1142&lt;&gt;0,C1142=""),"Abs",0)</f>
        <v>0</v>
      </c>
      <c r="N1142" s="8" t="n">
        <f aca="false">IFERROR(IF(OR(D1142="OFF",D1142="Congé",M1142="Abs",D1142="Congé sans solde",D1142="Férié"),"",IF(O1142-K1142-L1142&gt;O1142,O1142,IF(O1142-K1142-L1142&lt;0,"",O1142-K1142-L1142))),"")</f>
        <v>0.375</v>
      </c>
      <c r="O1142" s="8" t="n">
        <f aca="false">IF(AG1142="2H Pause déjeuner",IF(F1142-D1142-0.0833333333333333&lt;0,F1142-D1142-0.0833333333333333+1,F1142-D1142-0.0833333333333333),IF(OR(AND(F1142="OFF",D1142="OFF"),AND(F1142="Congé",D1142="Congé"),AND(F1142="Congé sans solde",D1142="Congé sans solde"),AND(F1142="Congé spécial",D1142="Congé spécial"),AND(F1142="Férié",D1142="Férié"),AND(F1142="OFF",D1142="Congé"),AND(F1142="OFF",D1142="Congé sans solde"),AND(F1142="OFF",D1142="Congé spécial"),AND(F1142="OFF",D1142="Férié"),AND(F1142="Congé",D1142="OFF"),AND(F1142="Congé",D1142="Congé sans solde"),AND(F1142="Congé",D1142="Congé spécial"),AND(F1142="Congé",D1142="Férié"),AND(F1142="Congé sans solde",D1142="OFF"),AND(F1142="Congé sans solde",D1142="Congé"),AND(F1142="Congé sans solde",D1142="Congé spécial"),AND(F1142="Congé sans solde",D1142="Férié"),AND(F1142="Congé spécial",D1142="OFF"),AND(F1142="Congé spécial",D1142="Congé"),AND(F1142="Congé spécial",D1142="Congé sans solde"),AND(F1142="Congé spécial",D1142="Férié"),AND(F1142="Férié",D1142="OFF"),AND(F1142="Férié",D1142="Congé"),AND(F1142="Férié",D1142="Congé sans solde"),AND(F1142="Férié",D1142="Congé spécial")),0,IF(OR(F1142="OFF",F1142="Congé",F1142="Congé spécial",F1142="Congé sans solde",D1142="OFF",D1142="Congé",D1142="Congé spécial",D1142="Congé sans solde"),0.208333333333334,IF(AND(AG1142="",F1142-D1142&lt;0),("24:00:00"-D1142)+("00:00:00"+F1142)-0.0416666666666667,IF(AND(OR(AG1142="Allaitement",AG1142="Sans déjeuner"),F1142-D1142&lt;0),("24:00:00"-D1142)+("00:00:00"+F1142),IF(AND(AG1142="",F1142-D1142&gt;0.166666666666667),F1142-D1142-0.0416666666666667,IF(AND(OR(AG1142="Allaitement",AG1142="Sans déjeuner"),F1142-D1142&gt;0.166666666666667),F1142-D1142,F1142-D1142)))))))</f>
        <v>0.375</v>
      </c>
      <c r="P1142" s="6" t="str">
        <f aca="false">IFERROR(VLOOKUP($B1142,Agents!$A:$D,2,0),"-")</f>
        <v>Accessibilité</v>
      </c>
      <c r="Q1142" s="21" t="n">
        <v>46308</v>
      </c>
      <c r="R1142" s="8" t="n">
        <f aca="false">IF(M1142="Abs",O1142,0)</f>
        <v>0</v>
      </c>
      <c r="S1142" s="8" t="n">
        <f aca="false">SUM(R1142,L1142,I1142,J1142,W1142,H1142)</f>
        <v>0</v>
      </c>
      <c r="T1142" s="6" t="str">
        <f aca="false">"Sem - "&amp;WEEKNUM(Q1142,21)</f>
        <v>Sem - 42</v>
      </c>
      <c r="U1142" s="6" t="str">
        <f aca="false">CHOOSE(MONTH(Q1142),"Janvier","Février","Mars","Avril","Mai","Juin","Juillet","Août","Septembre","Octobre","Novembre","Décembre")</f>
        <v>Octobre</v>
      </c>
      <c r="V1142" s="22" t="n">
        <f aca="false">YEAR(Q1142)</f>
        <v>2026</v>
      </c>
      <c r="W1142" s="20"/>
      <c r="X1142" s="8" t="n">
        <f aca="false">IFERROR(IF(M1142="Abs",0,IF(ROUND((D1142-C1142+E1142-F1142)*1440,0)&lt;=1,0,D1142-C1142+E1142-F1142)),0)</f>
        <v>0</v>
      </c>
      <c r="Y1142" s="6" t="str">
        <f aca="false">IFERROR(VLOOKUP($B1142,Agents!$A:$D,3,0),"-")</f>
        <v>OUBRAHIM Mohammed</v>
      </c>
      <c r="Z1142" s="6" t="str">
        <f aca="false">IFERROR(VLOOKUP($B1142,Agents!$A:$D,4,0),"-")</f>
        <v>Credit Mutuel</v>
      </c>
      <c r="AA1142" s="18" t="s">
        <v>125</v>
      </c>
      <c r="AB1142" s="8" t="str">
        <f aca="false">IF(AND(D1142="Congé",F1142="Congé"),0.333333333333333,IF(OR(AND(D1142="Congé",F1142&lt;&gt;"Congé"),(AND(F1142="Congé",D1142&lt;&gt;"Congé"))),0.166666666666667,""))</f>
        <v/>
      </c>
      <c r="AC1142" s="8" t="str">
        <f aca="false">IF(AND(D1142="Congé sans solde",F1142="Congé sans solde"),0.333333333333333,IF(OR(AND(D1142="Congé sans solde",F1142&lt;&gt;"Congé sans solde"),(AND(F1142="Congé sans solde",D1142&lt;&gt;"Congé sans solde"))),0.166666666666667,""))</f>
        <v/>
      </c>
      <c r="AD1142" s="8" t="str">
        <f aca="false">IF(AND(D1142="Congé spécial",F1142="Congé spécial"),0.333333333333333,IF(OR(AND(D1142="Congé spécial",F1142&lt;&gt;"Congé spécial"),AND(F1142="Congé spécial",D1142&lt;&gt;"Congé spécial")),0.166666666666667,""))</f>
        <v/>
      </c>
      <c r="AE1142" s="8" t="str">
        <f aca="false">IF(AND(D1142="Férié",F1142="Férié"),0.333333333333333,IF(OR(AND(D1142="Férié",F1142&lt;&gt;"Férié"),(AND(F1142="Férié",D1142&lt;&gt;"Férié"))),0.166666666666667,""))</f>
        <v/>
      </c>
      <c r="AF1142" s="18"/>
      <c r="AG1142" s="18"/>
    </row>
    <row r="1143" customFormat="false" ht="15" hidden="false" customHeight="false" outlineLevel="0" collapsed="false">
      <c r="A1143" s="6" t="str">
        <f aca="false">YEAR(Q1143-WEEKDAY(Q1143,2)+4)&amp;"-S"&amp;TEXT(WEEKNUM(Q1143,21),"00")</f>
        <v>2026-S42</v>
      </c>
      <c r="B1143" s="18" t="s">
        <v>124</v>
      </c>
      <c r="C1143" s="19" t="n">
        <v>0.333333333333333</v>
      </c>
      <c r="D1143" s="19" t="n">
        <v>0.333333333333333</v>
      </c>
      <c r="E1143" s="19" t="n">
        <v>0.75</v>
      </c>
      <c r="F1143" s="19" t="n">
        <v>0.75</v>
      </c>
      <c r="G1143" s="20"/>
      <c r="H1143" s="20"/>
      <c r="I1143" s="8" t="str">
        <f aca="false">IF(IF(OR(C1143="",D1143="Congé",D1143="OFF",D1143="Congé spécial"),"",IF(D1143&gt;F1143,D1143-C1143,IF(C1143-D1143&lt;0,0,C1143-D1143)))&lt;0.00068287037037037,"",IF(OR(D1143="Congé",D1143="OFF",C1143="",D1143="Congé spécial"),"",IF(D1143&gt;F1143,D1143-C1143,IF(C1143-D1143&lt;0,0,C1143-D1143))))</f>
        <v/>
      </c>
      <c r="J1143" s="20"/>
      <c r="K1143" s="8" t="n">
        <f aca="false">IF(SUM(H1143:J1143)&lt;0.00068287037037037,0,SUM(H1143:J1143))</f>
        <v>0</v>
      </c>
      <c r="L1143" s="8" t="n">
        <f aca="false">IF(OR(F1143="Congé",F1143="OFF",M1143="Abs",F1143="Congé sans solde",F1143="Férié",F1143="Congé spécial",D1143="Congé spécial"),0,IF(F1143-E1143&lt;0,0,IF(F1143-E1143&lt;=0.00068287037037037,0,F1143-E1143)))</f>
        <v>0</v>
      </c>
      <c r="M1143" s="6" t="n">
        <f aca="false">IF(AND(O1143&lt;&gt;0,C1143=""),"Abs",0)</f>
        <v>0</v>
      </c>
      <c r="N1143" s="8" t="n">
        <f aca="false">IFERROR(IF(OR(D1143="OFF",D1143="Congé",M1143="Abs",D1143="Congé sans solde",D1143="Férié"),"",IF(O1143-K1143-L1143&gt;O1143,O1143,IF(O1143-K1143-L1143&lt;0,"",O1143-K1143-L1143))),"")</f>
        <v>0.375</v>
      </c>
      <c r="O1143" s="8" t="n">
        <f aca="false">IF(AG1143="2H Pause déjeuner",IF(F1143-D1143-0.0833333333333333&lt;0,F1143-D1143-0.0833333333333333+1,F1143-D1143-0.0833333333333333),IF(OR(AND(F1143="OFF",D1143="OFF"),AND(F1143="Congé",D1143="Congé"),AND(F1143="Congé sans solde",D1143="Congé sans solde"),AND(F1143="Congé spécial",D1143="Congé spécial"),AND(F1143="Férié",D1143="Férié"),AND(F1143="OFF",D1143="Congé"),AND(F1143="OFF",D1143="Congé sans solde"),AND(F1143="OFF",D1143="Congé spécial"),AND(F1143="OFF",D1143="Férié"),AND(F1143="Congé",D1143="OFF"),AND(F1143="Congé",D1143="Congé sans solde"),AND(F1143="Congé",D1143="Congé spécial"),AND(F1143="Congé",D1143="Férié"),AND(F1143="Congé sans solde",D1143="OFF"),AND(F1143="Congé sans solde",D1143="Congé"),AND(F1143="Congé sans solde",D1143="Congé spécial"),AND(F1143="Congé sans solde",D1143="Férié"),AND(F1143="Congé spécial",D1143="OFF"),AND(F1143="Congé spécial",D1143="Congé"),AND(F1143="Congé spécial",D1143="Congé sans solde"),AND(F1143="Congé spécial",D1143="Férié"),AND(F1143="Férié",D1143="OFF"),AND(F1143="Férié",D1143="Congé"),AND(F1143="Férié",D1143="Congé sans solde"),AND(F1143="Férié",D1143="Congé spécial")),0,IF(OR(F1143="OFF",F1143="Congé",F1143="Congé spécial",F1143="Congé sans solde",D1143="OFF",D1143="Congé",D1143="Congé spécial",D1143="Congé sans solde"),0.208333333333334,IF(AND(AG1143="",F1143-D1143&lt;0),("24:00:00"-D1143)+("00:00:00"+F1143)-0.0416666666666667,IF(AND(OR(AG1143="Allaitement",AG1143="Sans déjeuner"),F1143-D1143&lt;0),("24:00:00"-D1143)+("00:00:00"+F1143),IF(AND(AG1143="",F1143-D1143&gt;0.166666666666667),F1143-D1143-0.0416666666666667,IF(AND(OR(AG1143="Allaitement",AG1143="Sans déjeuner"),F1143-D1143&gt;0.166666666666667),F1143-D1143,F1143-D1143)))))))</f>
        <v>0.375</v>
      </c>
      <c r="P1143" s="6" t="str">
        <f aca="false">IFERROR(VLOOKUP($B1143,Agents!$A:$D,2,0),"-")</f>
        <v>Accessibilité</v>
      </c>
      <c r="Q1143" s="21" t="n">
        <v>46308</v>
      </c>
      <c r="R1143" s="8" t="n">
        <f aca="false">IF(M1143="Abs",O1143,0)</f>
        <v>0</v>
      </c>
      <c r="S1143" s="8" t="n">
        <f aca="false">SUM(R1143,L1143,I1143,J1143,W1143,H1143)</f>
        <v>0</v>
      </c>
      <c r="T1143" s="6" t="str">
        <f aca="false">"Sem - "&amp;WEEKNUM(Q1143,21)</f>
        <v>Sem - 42</v>
      </c>
      <c r="U1143" s="6" t="str">
        <f aca="false">CHOOSE(MONTH(Q1143),"Janvier","Février","Mars","Avril","Mai","Juin","Juillet","Août","Septembre","Octobre","Novembre","Décembre")</f>
        <v>Octobre</v>
      </c>
      <c r="V1143" s="22" t="n">
        <f aca="false">YEAR(Q1143)</f>
        <v>2026</v>
      </c>
      <c r="W1143" s="20"/>
      <c r="X1143" s="8" t="n">
        <f aca="false">IFERROR(IF(M1143="Abs",0,IF(ROUND((D1143-C1143+E1143-F1143)*1440,0)&lt;=1,0,D1143-C1143+E1143-F1143)),0)</f>
        <v>0</v>
      </c>
      <c r="Y1143" s="6" t="str">
        <f aca="false">IFERROR(VLOOKUP($B1143,Agents!$A:$D,3,0),"-")</f>
        <v>OUBRAHIM Mohammed</v>
      </c>
      <c r="Z1143" s="6" t="str">
        <f aca="false">IFERROR(VLOOKUP($B1143,Agents!$A:$D,4,0),"-")</f>
        <v>Credit Mutuel</v>
      </c>
      <c r="AA1143" s="18" t="s">
        <v>125</v>
      </c>
      <c r="AB1143" s="8" t="str">
        <f aca="false">IF(AND(D1143="Congé",F1143="Congé"),0.333333333333333,IF(OR(AND(D1143="Congé",F1143&lt;&gt;"Congé"),(AND(F1143="Congé",D1143&lt;&gt;"Congé"))),0.166666666666667,""))</f>
        <v/>
      </c>
      <c r="AC1143" s="8" t="str">
        <f aca="false">IF(AND(D1143="Congé sans solde",F1143="Congé sans solde"),0.333333333333333,IF(OR(AND(D1143="Congé sans solde",F1143&lt;&gt;"Congé sans solde"),(AND(F1143="Congé sans solde",D1143&lt;&gt;"Congé sans solde"))),0.166666666666667,""))</f>
        <v/>
      </c>
      <c r="AD1143" s="8" t="str">
        <f aca="false">IF(AND(D1143="Congé spécial",F1143="Congé spécial"),0.333333333333333,IF(OR(AND(D1143="Congé spécial",F1143&lt;&gt;"Congé spécial"),AND(F1143="Congé spécial",D1143&lt;&gt;"Congé spécial")),0.166666666666667,""))</f>
        <v/>
      </c>
      <c r="AE1143" s="8" t="str">
        <f aca="false">IF(AND(D1143="Férié",F1143="Férié"),0.333333333333333,IF(OR(AND(D1143="Férié",F1143&lt;&gt;"Férié"),(AND(F1143="Férié",D1143&lt;&gt;"Férié"))),0.166666666666667,""))</f>
        <v/>
      </c>
      <c r="AF1143" s="18"/>
      <c r="AG1143" s="18"/>
    </row>
    <row r="1144" customFormat="false" ht="15" hidden="false" customHeight="false" outlineLevel="0" collapsed="false">
      <c r="A1144" s="6" t="str">
        <f aca="false">YEAR(Q1144-WEEKDAY(Q1144,2)+4)&amp;"-S"&amp;TEXT(WEEKNUM(Q1144,21),"00")</f>
        <v>2026-S42</v>
      </c>
      <c r="B1144" s="18" t="s">
        <v>71</v>
      </c>
      <c r="C1144" s="19" t="n">
        <v>0.333333333333333</v>
      </c>
      <c r="D1144" s="19" t="n">
        <v>0.333333333333333</v>
      </c>
      <c r="E1144" s="19" t="n">
        <v>0.75</v>
      </c>
      <c r="F1144" s="19" t="n">
        <v>0.75</v>
      </c>
      <c r="G1144" s="20"/>
      <c r="H1144" s="20"/>
      <c r="I1144" s="8" t="str">
        <f aca="false">IF(IF(OR(C1144="",D1144="Congé",D1144="OFF",D1144="Congé spécial"),"",IF(D1144&gt;F1144,D1144-C1144,IF(C1144-D1144&lt;0,0,C1144-D1144)))&lt;0.00068287037037037,"",IF(OR(D1144="Congé",D1144="OFF",C1144="",D1144="Congé spécial"),"",IF(D1144&gt;F1144,D1144-C1144,IF(C1144-D1144&lt;0,0,C1144-D1144))))</f>
        <v/>
      </c>
      <c r="J1144" s="20"/>
      <c r="K1144" s="8" t="n">
        <f aca="false">IF(SUM(H1144:J1144)&lt;0.00068287037037037,0,SUM(H1144:J1144))</f>
        <v>0</v>
      </c>
      <c r="L1144" s="8" t="n">
        <f aca="false">IF(OR(F1144="Congé",F1144="OFF",M1144="Abs",F1144="Congé sans solde",F1144="Férié",F1144="Congé spécial",D1144="Congé spécial"),0,IF(F1144-E1144&lt;0,0,IF(F1144-E1144&lt;=0.00068287037037037,0,F1144-E1144)))</f>
        <v>0</v>
      </c>
      <c r="M1144" s="6" t="n">
        <f aca="false">IF(AND(O1144&lt;&gt;0,C1144=""),"Abs",0)</f>
        <v>0</v>
      </c>
      <c r="N1144" s="8" t="n">
        <f aca="false">IFERROR(IF(OR(D1144="OFF",D1144="Congé",M1144="Abs",D1144="Congé sans solde",D1144="Férié"),"",IF(O1144-K1144-L1144&gt;O1144,O1144,IF(O1144-K1144-L1144&lt;0,"",O1144-K1144-L1144))),"")</f>
        <v>0.375</v>
      </c>
      <c r="O1144" s="8" t="n">
        <f aca="false">IF(AG1144="2H Pause déjeuner",IF(F1144-D1144-0.0833333333333333&lt;0,F1144-D1144-0.0833333333333333+1,F1144-D1144-0.0833333333333333),IF(OR(AND(F1144="OFF",D1144="OFF"),AND(F1144="Congé",D1144="Congé"),AND(F1144="Congé sans solde",D1144="Congé sans solde"),AND(F1144="Congé spécial",D1144="Congé spécial"),AND(F1144="Férié",D1144="Férié"),AND(F1144="OFF",D1144="Congé"),AND(F1144="OFF",D1144="Congé sans solde"),AND(F1144="OFF",D1144="Congé spécial"),AND(F1144="OFF",D1144="Férié"),AND(F1144="Congé",D1144="OFF"),AND(F1144="Congé",D1144="Congé sans solde"),AND(F1144="Congé",D1144="Congé spécial"),AND(F1144="Congé",D1144="Férié"),AND(F1144="Congé sans solde",D1144="OFF"),AND(F1144="Congé sans solde",D1144="Congé"),AND(F1144="Congé sans solde",D1144="Congé spécial"),AND(F1144="Congé sans solde",D1144="Férié"),AND(F1144="Congé spécial",D1144="OFF"),AND(F1144="Congé spécial",D1144="Congé"),AND(F1144="Congé spécial",D1144="Congé sans solde"),AND(F1144="Congé spécial",D1144="Férié"),AND(F1144="Férié",D1144="OFF"),AND(F1144="Férié",D1144="Congé"),AND(F1144="Férié",D1144="Congé sans solde"),AND(F1144="Férié",D1144="Congé spécial")),0,IF(OR(F1144="OFF",F1144="Congé",F1144="Congé spécial",F1144="Congé sans solde",D1144="OFF",D1144="Congé",D1144="Congé spécial",D1144="Congé sans solde"),0.208333333333334,IF(AND(AG1144="",F1144-D1144&lt;0),("24:00:00"-D1144)+("00:00:00"+F1144)-0.0416666666666667,IF(AND(OR(AG1144="Allaitement",AG1144="Sans déjeuner"),F1144-D1144&lt;0),("24:00:00"-D1144)+("00:00:00"+F1144),IF(AND(AG1144="",F1144-D1144&gt;0.166666666666667),F1144-D1144-0.0416666666666667,IF(AND(OR(AG1144="Allaitement",AG1144="Sans déjeuner"),F1144-D1144&gt;0.166666666666667),F1144-D1144,F1144-D1144)))))))</f>
        <v>0.375</v>
      </c>
      <c r="P1144" s="6" t="str">
        <f aca="false">IFERROR(VLOOKUP($B1144,Agents!$A:$D,2,0),"-")</f>
        <v>Accessibilité</v>
      </c>
      <c r="Q1144" s="21" t="n">
        <v>46309</v>
      </c>
      <c r="R1144" s="8" t="n">
        <f aca="false">IF(M1144="Abs",O1144,0)</f>
        <v>0</v>
      </c>
      <c r="S1144" s="8" t="n">
        <f aca="false">SUM(R1144,L1144,I1144,J1144,W1144,H1144)</f>
        <v>0</v>
      </c>
      <c r="T1144" s="6" t="str">
        <f aca="false">"Sem - "&amp;WEEKNUM(Q1144,21)</f>
        <v>Sem - 42</v>
      </c>
      <c r="U1144" s="6" t="str">
        <f aca="false">CHOOSE(MONTH(Q1144),"Janvier","Février","Mars","Avril","Mai","Juin","Juillet","Août","Septembre","Octobre","Novembre","Décembre")</f>
        <v>Octobre</v>
      </c>
      <c r="V1144" s="22" t="n">
        <f aca="false">YEAR(Q1144)</f>
        <v>2026</v>
      </c>
      <c r="W1144" s="20"/>
      <c r="X1144" s="8" t="n">
        <f aca="false">IFERROR(IF(M1144="Abs",0,IF(ROUND((D1144-C1144+E1144-F1144)*1440,0)&lt;=1,0,D1144-C1144+E1144-F1144)),0)</f>
        <v>0</v>
      </c>
      <c r="Y1144" s="6" t="str">
        <f aca="false">IFERROR(VLOOKUP($B1144,Agents!$A:$D,3,0),"-")</f>
        <v>OUBRAHIM Mohammed</v>
      </c>
      <c r="Z1144" s="6" t="str">
        <f aca="false">IFERROR(VLOOKUP($B1144,Agents!$A:$D,4,0),"-")</f>
        <v>Credit Mutuel</v>
      </c>
      <c r="AA1144" s="18" t="s">
        <v>125</v>
      </c>
      <c r="AB1144" s="8" t="str">
        <f aca="false">IF(AND(D1144="Congé",F1144="Congé"),0.333333333333333,IF(OR(AND(D1144="Congé",F1144&lt;&gt;"Congé"),(AND(F1144="Congé",D1144&lt;&gt;"Congé"))),0.166666666666667,""))</f>
        <v/>
      </c>
      <c r="AC1144" s="8" t="str">
        <f aca="false">IF(AND(D1144="Congé sans solde",F1144="Congé sans solde"),0.333333333333333,IF(OR(AND(D1144="Congé sans solde",F1144&lt;&gt;"Congé sans solde"),(AND(F1144="Congé sans solde",D1144&lt;&gt;"Congé sans solde"))),0.166666666666667,""))</f>
        <v/>
      </c>
      <c r="AD1144" s="8" t="str">
        <f aca="false">IF(AND(D1144="Congé spécial",F1144="Congé spécial"),0.333333333333333,IF(OR(AND(D1144="Congé spécial",F1144&lt;&gt;"Congé spécial"),AND(F1144="Congé spécial",D1144&lt;&gt;"Congé spécial")),0.166666666666667,""))</f>
        <v/>
      </c>
      <c r="AE1144" s="8" t="str">
        <f aca="false">IF(AND(D1144="Férié",F1144="Férié"),0.333333333333333,IF(OR(AND(D1144="Férié",F1144&lt;&gt;"Férié"),(AND(F1144="Férié",D1144&lt;&gt;"Férié"))),0.166666666666667,""))</f>
        <v/>
      </c>
      <c r="AF1144" s="18"/>
      <c r="AG1144" s="18"/>
    </row>
    <row r="1145" customFormat="false" ht="15" hidden="false" customHeight="false" outlineLevel="0" collapsed="false">
      <c r="A1145" s="6" t="str">
        <f aca="false">YEAR(Q1145-WEEKDAY(Q1145,2)+4)&amp;"-S"&amp;TEXT(WEEKNUM(Q1145,21),"00")</f>
        <v>2026-S42</v>
      </c>
      <c r="B1145" s="18" t="s">
        <v>72</v>
      </c>
      <c r="C1145" s="19" t="n">
        <v>0.333333333333333</v>
      </c>
      <c r="D1145" s="19" t="n">
        <v>0.333333333333333</v>
      </c>
      <c r="E1145" s="19" t="n">
        <v>0.75</v>
      </c>
      <c r="F1145" s="19" t="n">
        <v>0.75</v>
      </c>
      <c r="G1145" s="20"/>
      <c r="H1145" s="20"/>
      <c r="I1145" s="8" t="str">
        <f aca="false">IF(IF(OR(C1145="",D1145="Congé",D1145="OFF",D1145="Congé spécial"),"",IF(D1145&gt;F1145,D1145-C1145,IF(C1145-D1145&lt;0,0,C1145-D1145)))&lt;0.00068287037037037,"",IF(OR(D1145="Congé",D1145="OFF",C1145="",D1145="Congé spécial"),"",IF(D1145&gt;F1145,D1145-C1145,IF(C1145-D1145&lt;0,0,C1145-D1145))))</f>
        <v/>
      </c>
      <c r="J1145" s="20"/>
      <c r="K1145" s="8" t="n">
        <f aca="false">IF(SUM(H1145:J1145)&lt;0.00068287037037037,0,SUM(H1145:J1145))</f>
        <v>0</v>
      </c>
      <c r="L1145" s="8" t="n">
        <f aca="false">IF(OR(F1145="Congé",F1145="OFF",M1145="Abs",F1145="Congé sans solde",F1145="Férié",F1145="Congé spécial",D1145="Congé spécial"),0,IF(F1145-E1145&lt;0,0,IF(F1145-E1145&lt;=0.00068287037037037,0,F1145-E1145)))</f>
        <v>0</v>
      </c>
      <c r="M1145" s="6" t="n">
        <f aca="false">IF(AND(O1145&lt;&gt;0,C1145=""),"Abs",0)</f>
        <v>0</v>
      </c>
      <c r="N1145" s="8" t="n">
        <f aca="false">IFERROR(IF(OR(D1145="OFF",D1145="Congé",M1145="Abs",D1145="Congé sans solde",D1145="Férié"),"",IF(O1145-K1145-L1145&gt;O1145,O1145,IF(O1145-K1145-L1145&lt;0,"",O1145-K1145-L1145))),"")</f>
        <v>0.375</v>
      </c>
      <c r="O1145" s="8" t="n">
        <f aca="false">IF(AG1145="2H Pause déjeuner",IF(F1145-D1145-0.0833333333333333&lt;0,F1145-D1145-0.0833333333333333+1,F1145-D1145-0.0833333333333333),IF(OR(AND(F1145="OFF",D1145="OFF"),AND(F1145="Congé",D1145="Congé"),AND(F1145="Congé sans solde",D1145="Congé sans solde"),AND(F1145="Congé spécial",D1145="Congé spécial"),AND(F1145="Férié",D1145="Férié"),AND(F1145="OFF",D1145="Congé"),AND(F1145="OFF",D1145="Congé sans solde"),AND(F1145="OFF",D1145="Congé spécial"),AND(F1145="OFF",D1145="Férié"),AND(F1145="Congé",D1145="OFF"),AND(F1145="Congé",D1145="Congé sans solde"),AND(F1145="Congé",D1145="Congé spécial"),AND(F1145="Congé",D1145="Férié"),AND(F1145="Congé sans solde",D1145="OFF"),AND(F1145="Congé sans solde",D1145="Congé"),AND(F1145="Congé sans solde",D1145="Congé spécial"),AND(F1145="Congé sans solde",D1145="Férié"),AND(F1145="Congé spécial",D1145="OFF"),AND(F1145="Congé spécial",D1145="Congé"),AND(F1145="Congé spécial",D1145="Congé sans solde"),AND(F1145="Congé spécial",D1145="Férié"),AND(F1145="Férié",D1145="OFF"),AND(F1145="Férié",D1145="Congé"),AND(F1145="Férié",D1145="Congé sans solde"),AND(F1145="Férié",D1145="Congé spécial")),0,IF(OR(F1145="OFF",F1145="Congé",F1145="Congé spécial",F1145="Congé sans solde",D1145="OFF",D1145="Congé",D1145="Congé spécial",D1145="Congé sans solde"),0.208333333333334,IF(AND(AG1145="",F1145-D1145&lt;0),("24:00:00"-D1145)+("00:00:00"+F1145)-0.0416666666666667,IF(AND(OR(AG1145="Allaitement",AG1145="Sans déjeuner"),F1145-D1145&lt;0),("24:00:00"-D1145)+("00:00:00"+F1145),IF(AND(AG1145="",F1145-D1145&gt;0.166666666666667),F1145-D1145-0.0416666666666667,IF(AND(OR(AG1145="Allaitement",AG1145="Sans déjeuner"),F1145-D1145&gt;0.166666666666667),F1145-D1145,F1145-D1145)))))))</f>
        <v>0.375</v>
      </c>
      <c r="P1145" s="6" t="str">
        <f aca="false">IFERROR(VLOOKUP($B1145,Agents!$A:$D,2,0),"-")</f>
        <v>Accessibilité</v>
      </c>
      <c r="Q1145" s="21" t="n">
        <v>46309</v>
      </c>
      <c r="R1145" s="8" t="n">
        <f aca="false">IF(M1145="Abs",O1145,0)</f>
        <v>0</v>
      </c>
      <c r="S1145" s="8" t="n">
        <f aca="false">SUM(R1145,L1145,I1145,J1145,W1145,H1145)</f>
        <v>0</v>
      </c>
      <c r="T1145" s="6" t="str">
        <f aca="false">"Sem - "&amp;WEEKNUM(Q1145,21)</f>
        <v>Sem - 42</v>
      </c>
      <c r="U1145" s="6" t="str">
        <f aca="false">CHOOSE(MONTH(Q1145),"Janvier","Février","Mars","Avril","Mai","Juin","Juillet","Août","Septembre","Octobre","Novembre","Décembre")</f>
        <v>Octobre</v>
      </c>
      <c r="V1145" s="22" t="n">
        <f aca="false">YEAR(Q1145)</f>
        <v>2026</v>
      </c>
      <c r="W1145" s="20"/>
      <c r="X1145" s="8" t="n">
        <f aca="false">IFERROR(IF(M1145="Abs",0,IF(ROUND((D1145-C1145+E1145-F1145)*1440,0)&lt;=1,0,D1145-C1145+E1145-F1145)),0)</f>
        <v>0</v>
      </c>
      <c r="Y1145" s="6" t="str">
        <f aca="false">IFERROR(VLOOKUP($B1145,Agents!$A:$D,3,0),"-")</f>
        <v>OUBRAHIM Mohammed</v>
      </c>
      <c r="Z1145" s="6" t="str">
        <f aca="false">IFERROR(VLOOKUP($B1145,Agents!$A:$D,4,0),"-")</f>
        <v>Credit Mutuel</v>
      </c>
      <c r="AA1145" s="18" t="s">
        <v>125</v>
      </c>
      <c r="AB1145" s="8" t="str">
        <f aca="false">IF(AND(D1145="Congé",F1145="Congé"),0.333333333333333,IF(OR(AND(D1145="Congé",F1145&lt;&gt;"Congé"),(AND(F1145="Congé",D1145&lt;&gt;"Congé"))),0.166666666666667,""))</f>
        <v/>
      </c>
      <c r="AC1145" s="8" t="str">
        <f aca="false">IF(AND(D1145="Congé sans solde",F1145="Congé sans solde"),0.333333333333333,IF(OR(AND(D1145="Congé sans solde",F1145&lt;&gt;"Congé sans solde"),(AND(F1145="Congé sans solde",D1145&lt;&gt;"Congé sans solde"))),0.166666666666667,""))</f>
        <v/>
      </c>
      <c r="AD1145" s="8" t="str">
        <f aca="false">IF(AND(D1145="Congé spécial",F1145="Congé spécial"),0.333333333333333,IF(OR(AND(D1145="Congé spécial",F1145&lt;&gt;"Congé spécial"),AND(F1145="Congé spécial",D1145&lt;&gt;"Congé spécial")),0.166666666666667,""))</f>
        <v/>
      </c>
      <c r="AE1145" s="8" t="str">
        <f aca="false">IF(AND(D1145="Férié",F1145="Férié"),0.333333333333333,IF(OR(AND(D1145="Férié",F1145&lt;&gt;"Férié"),(AND(F1145="Férié",D1145&lt;&gt;"Férié"))),0.166666666666667,""))</f>
        <v/>
      </c>
      <c r="AF1145" s="18"/>
      <c r="AG1145" s="18"/>
    </row>
    <row r="1146" customFormat="false" ht="15" hidden="false" customHeight="false" outlineLevel="0" collapsed="false">
      <c r="A1146" s="6" t="str">
        <f aca="false">YEAR(Q1146-WEEKDAY(Q1146,2)+4)&amp;"-S"&amp;TEXT(WEEKNUM(Q1146,21),"00")</f>
        <v>2026-S42</v>
      </c>
      <c r="B1146" s="18" t="s">
        <v>73</v>
      </c>
      <c r="C1146" s="19" t="n">
        <v>0.333333333333333</v>
      </c>
      <c r="D1146" s="19" t="n">
        <v>0.333333333333333</v>
      </c>
      <c r="E1146" s="19" t="n">
        <v>0.75</v>
      </c>
      <c r="F1146" s="19" t="n">
        <v>0.75</v>
      </c>
      <c r="G1146" s="20"/>
      <c r="H1146" s="20"/>
      <c r="I1146" s="8" t="str">
        <f aca="false">IF(IF(OR(C1146="",D1146="Congé",D1146="OFF",D1146="Congé spécial"),"",IF(D1146&gt;F1146,D1146-C1146,IF(C1146-D1146&lt;0,0,C1146-D1146)))&lt;0.00068287037037037,"",IF(OR(D1146="Congé",D1146="OFF",C1146="",D1146="Congé spécial"),"",IF(D1146&gt;F1146,D1146-C1146,IF(C1146-D1146&lt;0,0,C1146-D1146))))</f>
        <v/>
      </c>
      <c r="J1146" s="20"/>
      <c r="K1146" s="8" t="n">
        <f aca="false">IF(SUM(H1146:J1146)&lt;0.00068287037037037,0,SUM(H1146:J1146))</f>
        <v>0</v>
      </c>
      <c r="L1146" s="8" t="n">
        <f aca="false">IF(OR(F1146="Congé",F1146="OFF",M1146="Abs",F1146="Congé sans solde",F1146="Férié",F1146="Congé spécial",D1146="Congé spécial"),0,IF(F1146-E1146&lt;0,0,IF(F1146-E1146&lt;=0.00068287037037037,0,F1146-E1146)))</f>
        <v>0</v>
      </c>
      <c r="M1146" s="6" t="n">
        <f aca="false">IF(AND(O1146&lt;&gt;0,C1146=""),"Abs",0)</f>
        <v>0</v>
      </c>
      <c r="N1146" s="8" t="n">
        <f aca="false">IFERROR(IF(OR(D1146="OFF",D1146="Congé",M1146="Abs",D1146="Congé sans solde",D1146="Férié"),"",IF(O1146-K1146-L1146&gt;O1146,O1146,IF(O1146-K1146-L1146&lt;0,"",O1146-K1146-L1146))),"")</f>
        <v>0.375</v>
      </c>
      <c r="O1146" s="8" t="n">
        <f aca="false">IF(AG1146="2H Pause déjeuner",IF(F1146-D1146-0.0833333333333333&lt;0,F1146-D1146-0.0833333333333333+1,F1146-D1146-0.0833333333333333),IF(OR(AND(F1146="OFF",D1146="OFF"),AND(F1146="Congé",D1146="Congé"),AND(F1146="Congé sans solde",D1146="Congé sans solde"),AND(F1146="Congé spécial",D1146="Congé spécial"),AND(F1146="Férié",D1146="Férié"),AND(F1146="OFF",D1146="Congé"),AND(F1146="OFF",D1146="Congé sans solde"),AND(F1146="OFF",D1146="Congé spécial"),AND(F1146="OFF",D1146="Férié"),AND(F1146="Congé",D1146="OFF"),AND(F1146="Congé",D1146="Congé sans solde"),AND(F1146="Congé",D1146="Congé spécial"),AND(F1146="Congé",D1146="Férié"),AND(F1146="Congé sans solde",D1146="OFF"),AND(F1146="Congé sans solde",D1146="Congé"),AND(F1146="Congé sans solde",D1146="Congé spécial"),AND(F1146="Congé sans solde",D1146="Férié"),AND(F1146="Congé spécial",D1146="OFF"),AND(F1146="Congé spécial",D1146="Congé"),AND(F1146="Congé spécial",D1146="Congé sans solde"),AND(F1146="Congé spécial",D1146="Férié"),AND(F1146="Férié",D1146="OFF"),AND(F1146="Férié",D1146="Congé"),AND(F1146="Férié",D1146="Congé sans solde"),AND(F1146="Férié",D1146="Congé spécial")),0,IF(OR(F1146="OFF",F1146="Congé",F1146="Congé spécial",F1146="Congé sans solde",D1146="OFF",D1146="Congé",D1146="Congé spécial",D1146="Congé sans solde"),0.208333333333334,IF(AND(AG1146="",F1146-D1146&lt;0),("24:00:00"-D1146)+("00:00:00"+F1146)-0.0416666666666667,IF(AND(OR(AG1146="Allaitement",AG1146="Sans déjeuner"),F1146-D1146&lt;0),("24:00:00"-D1146)+("00:00:00"+F1146),IF(AND(AG1146="",F1146-D1146&gt;0.166666666666667),F1146-D1146-0.0416666666666667,IF(AND(OR(AG1146="Allaitement",AG1146="Sans déjeuner"),F1146-D1146&gt;0.166666666666667),F1146-D1146,F1146-D1146)))))))</f>
        <v>0.375</v>
      </c>
      <c r="P1146" s="6" t="str">
        <f aca="false">IFERROR(VLOOKUP($B1146,Agents!$A:$D,2,0),"-")</f>
        <v>Accessibilité</v>
      </c>
      <c r="Q1146" s="21" t="n">
        <v>46309</v>
      </c>
      <c r="R1146" s="8" t="n">
        <f aca="false">IF(M1146="Abs",O1146,0)</f>
        <v>0</v>
      </c>
      <c r="S1146" s="8" t="n">
        <f aca="false">SUM(R1146,L1146,I1146,J1146,W1146,H1146)</f>
        <v>0</v>
      </c>
      <c r="T1146" s="6" t="str">
        <f aca="false">"Sem - "&amp;WEEKNUM(Q1146,21)</f>
        <v>Sem - 42</v>
      </c>
      <c r="U1146" s="6" t="str">
        <f aca="false">CHOOSE(MONTH(Q1146),"Janvier","Février","Mars","Avril","Mai","Juin","Juillet","Août","Septembre","Octobre","Novembre","Décembre")</f>
        <v>Octobre</v>
      </c>
      <c r="V1146" s="22" t="n">
        <f aca="false">YEAR(Q1146)</f>
        <v>2026</v>
      </c>
      <c r="W1146" s="20"/>
      <c r="X1146" s="8" t="n">
        <f aca="false">IFERROR(IF(M1146="Abs",0,IF(ROUND((D1146-C1146+E1146-F1146)*1440,0)&lt;=1,0,D1146-C1146+E1146-F1146)),0)</f>
        <v>0</v>
      </c>
      <c r="Y1146" s="6" t="str">
        <f aca="false">IFERROR(VLOOKUP($B1146,Agents!$A:$D,3,0),"-")</f>
        <v>OUBRAHIM Mohammed</v>
      </c>
      <c r="Z1146" s="6" t="str">
        <f aca="false">IFERROR(VLOOKUP($B1146,Agents!$A:$D,4,0),"-")</f>
        <v>Credit Mutuel</v>
      </c>
      <c r="AA1146" s="18" t="s">
        <v>125</v>
      </c>
      <c r="AB1146" s="8" t="str">
        <f aca="false">IF(AND(D1146="Congé",F1146="Congé"),0.333333333333333,IF(OR(AND(D1146="Congé",F1146&lt;&gt;"Congé"),(AND(F1146="Congé",D1146&lt;&gt;"Congé"))),0.166666666666667,""))</f>
        <v/>
      </c>
      <c r="AC1146" s="8" t="str">
        <f aca="false">IF(AND(D1146="Congé sans solde",F1146="Congé sans solde"),0.333333333333333,IF(OR(AND(D1146="Congé sans solde",F1146&lt;&gt;"Congé sans solde"),(AND(F1146="Congé sans solde",D1146&lt;&gt;"Congé sans solde"))),0.166666666666667,""))</f>
        <v/>
      </c>
      <c r="AD1146" s="8" t="str">
        <f aca="false">IF(AND(D1146="Congé spécial",F1146="Congé spécial"),0.333333333333333,IF(OR(AND(D1146="Congé spécial",F1146&lt;&gt;"Congé spécial"),AND(F1146="Congé spécial",D1146&lt;&gt;"Congé spécial")),0.166666666666667,""))</f>
        <v/>
      </c>
      <c r="AE1146" s="8" t="str">
        <f aca="false">IF(AND(D1146="Férié",F1146="Férié"),0.333333333333333,IF(OR(AND(D1146="Férié",F1146&lt;&gt;"Férié"),(AND(F1146="Férié",D1146&lt;&gt;"Férié"))),0.166666666666667,""))</f>
        <v/>
      </c>
      <c r="AF1146" s="18"/>
      <c r="AG1146" s="18"/>
    </row>
    <row r="1147" customFormat="false" ht="15" hidden="false" customHeight="false" outlineLevel="0" collapsed="false">
      <c r="A1147" s="6" t="str">
        <f aca="false">YEAR(Q1147-WEEKDAY(Q1147,2)+4)&amp;"-S"&amp;TEXT(WEEKNUM(Q1147,21),"00")</f>
        <v>2026-S42</v>
      </c>
      <c r="B1147" s="18" t="s">
        <v>124</v>
      </c>
      <c r="C1147" s="19" t="n">
        <v>0.333333333333333</v>
      </c>
      <c r="D1147" s="19" t="n">
        <v>0.333333333333333</v>
      </c>
      <c r="E1147" s="19" t="n">
        <v>0.75</v>
      </c>
      <c r="F1147" s="19" t="n">
        <v>0.75</v>
      </c>
      <c r="G1147" s="20"/>
      <c r="H1147" s="20"/>
      <c r="I1147" s="8" t="str">
        <f aca="false">IF(IF(OR(C1147="",D1147="Congé",D1147="OFF",D1147="Congé spécial"),"",IF(D1147&gt;F1147,D1147-C1147,IF(C1147-D1147&lt;0,0,C1147-D1147)))&lt;0.00068287037037037,"",IF(OR(D1147="Congé",D1147="OFF",C1147="",D1147="Congé spécial"),"",IF(D1147&gt;F1147,D1147-C1147,IF(C1147-D1147&lt;0,0,C1147-D1147))))</f>
        <v/>
      </c>
      <c r="J1147" s="20"/>
      <c r="K1147" s="8" t="n">
        <f aca="false">IF(SUM(H1147:J1147)&lt;0.00068287037037037,0,SUM(H1147:J1147))</f>
        <v>0</v>
      </c>
      <c r="L1147" s="8" t="n">
        <f aca="false">IF(OR(F1147="Congé",F1147="OFF",M1147="Abs",F1147="Congé sans solde",F1147="Férié",F1147="Congé spécial",D1147="Congé spécial"),0,IF(F1147-E1147&lt;0,0,IF(F1147-E1147&lt;=0.00068287037037037,0,F1147-E1147)))</f>
        <v>0</v>
      </c>
      <c r="M1147" s="6" t="n">
        <f aca="false">IF(AND(O1147&lt;&gt;0,C1147=""),"Abs",0)</f>
        <v>0</v>
      </c>
      <c r="N1147" s="8" t="n">
        <f aca="false">IFERROR(IF(OR(D1147="OFF",D1147="Congé",M1147="Abs",D1147="Congé sans solde",D1147="Férié"),"",IF(O1147-K1147-L1147&gt;O1147,O1147,IF(O1147-K1147-L1147&lt;0,"",O1147-K1147-L1147))),"")</f>
        <v>0.375</v>
      </c>
      <c r="O1147" s="8" t="n">
        <f aca="false">IF(AG1147="2H Pause déjeuner",IF(F1147-D1147-0.0833333333333333&lt;0,F1147-D1147-0.0833333333333333+1,F1147-D1147-0.0833333333333333),IF(OR(AND(F1147="OFF",D1147="OFF"),AND(F1147="Congé",D1147="Congé"),AND(F1147="Congé sans solde",D1147="Congé sans solde"),AND(F1147="Congé spécial",D1147="Congé spécial"),AND(F1147="Férié",D1147="Férié"),AND(F1147="OFF",D1147="Congé"),AND(F1147="OFF",D1147="Congé sans solde"),AND(F1147="OFF",D1147="Congé spécial"),AND(F1147="OFF",D1147="Férié"),AND(F1147="Congé",D1147="OFF"),AND(F1147="Congé",D1147="Congé sans solde"),AND(F1147="Congé",D1147="Congé spécial"),AND(F1147="Congé",D1147="Férié"),AND(F1147="Congé sans solde",D1147="OFF"),AND(F1147="Congé sans solde",D1147="Congé"),AND(F1147="Congé sans solde",D1147="Congé spécial"),AND(F1147="Congé sans solde",D1147="Férié"),AND(F1147="Congé spécial",D1147="OFF"),AND(F1147="Congé spécial",D1147="Congé"),AND(F1147="Congé spécial",D1147="Congé sans solde"),AND(F1147="Congé spécial",D1147="Férié"),AND(F1147="Férié",D1147="OFF"),AND(F1147="Férié",D1147="Congé"),AND(F1147="Férié",D1147="Congé sans solde"),AND(F1147="Férié",D1147="Congé spécial")),0,IF(OR(F1147="OFF",F1147="Congé",F1147="Congé spécial",F1147="Congé sans solde",D1147="OFF",D1147="Congé",D1147="Congé spécial",D1147="Congé sans solde"),0.208333333333334,IF(AND(AG1147="",F1147-D1147&lt;0),("24:00:00"-D1147)+("00:00:00"+F1147)-0.0416666666666667,IF(AND(OR(AG1147="Allaitement",AG1147="Sans déjeuner"),F1147-D1147&lt;0),("24:00:00"-D1147)+("00:00:00"+F1147),IF(AND(AG1147="",F1147-D1147&gt;0.166666666666667),F1147-D1147-0.0416666666666667,IF(AND(OR(AG1147="Allaitement",AG1147="Sans déjeuner"),F1147-D1147&gt;0.166666666666667),F1147-D1147,F1147-D1147)))))))</f>
        <v>0.375</v>
      </c>
      <c r="P1147" s="6" t="str">
        <f aca="false">IFERROR(VLOOKUP($B1147,Agents!$A:$D,2,0),"-")</f>
        <v>Accessibilité</v>
      </c>
      <c r="Q1147" s="21" t="n">
        <v>46309</v>
      </c>
      <c r="R1147" s="8" t="n">
        <f aca="false">IF(M1147="Abs",O1147,0)</f>
        <v>0</v>
      </c>
      <c r="S1147" s="8" t="n">
        <f aca="false">SUM(R1147,L1147,I1147,J1147,W1147,H1147)</f>
        <v>0</v>
      </c>
      <c r="T1147" s="6" t="str">
        <f aca="false">"Sem - "&amp;WEEKNUM(Q1147,21)</f>
        <v>Sem - 42</v>
      </c>
      <c r="U1147" s="6" t="str">
        <f aca="false">CHOOSE(MONTH(Q1147),"Janvier","Février","Mars","Avril","Mai","Juin","Juillet","Août","Septembre","Octobre","Novembre","Décembre")</f>
        <v>Octobre</v>
      </c>
      <c r="V1147" s="22" t="n">
        <f aca="false">YEAR(Q1147)</f>
        <v>2026</v>
      </c>
      <c r="W1147" s="20"/>
      <c r="X1147" s="8" t="n">
        <f aca="false">IFERROR(IF(M1147="Abs",0,IF(ROUND((D1147-C1147+E1147-F1147)*1440,0)&lt;=1,0,D1147-C1147+E1147-F1147)),0)</f>
        <v>0</v>
      </c>
      <c r="Y1147" s="6" t="str">
        <f aca="false">IFERROR(VLOOKUP($B1147,Agents!$A:$D,3,0),"-")</f>
        <v>OUBRAHIM Mohammed</v>
      </c>
      <c r="Z1147" s="6" t="str">
        <f aca="false">IFERROR(VLOOKUP($B1147,Agents!$A:$D,4,0),"-")</f>
        <v>Credit Mutuel</v>
      </c>
      <c r="AA1147" s="18" t="s">
        <v>125</v>
      </c>
      <c r="AB1147" s="8" t="str">
        <f aca="false">IF(AND(D1147="Congé",F1147="Congé"),0.333333333333333,IF(OR(AND(D1147="Congé",F1147&lt;&gt;"Congé"),(AND(F1147="Congé",D1147&lt;&gt;"Congé"))),0.166666666666667,""))</f>
        <v/>
      </c>
      <c r="AC1147" s="8" t="str">
        <f aca="false">IF(AND(D1147="Congé sans solde",F1147="Congé sans solde"),0.333333333333333,IF(OR(AND(D1147="Congé sans solde",F1147&lt;&gt;"Congé sans solde"),(AND(F1147="Congé sans solde",D1147&lt;&gt;"Congé sans solde"))),0.166666666666667,""))</f>
        <v/>
      </c>
      <c r="AD1147" s="8" t="str">
        <f aca="false">IF(AND(D1147="Congé spécial",F1147="Congé spécial"),0.333333333333333,IF(OR(AND(D1147="Congé spécial",F1147&lt;&gt;"Congé spécial"),AND(F1147="Congé spécial",D1147&lt;&gt;"Congé spécial")),0.166666666666667,""))</f>
        <v/>
      </c>
      <c r="AE1147" s="8" t="str">
        <f aca="false">IF(AND(D1147="Férié",F1147="Férié"),0.333333333333333,IF(OR(AND(D1147="Férié",F1147&lt;&gt;"Férié"),(AND(F1147="Férié",D1147&lt;&gt;"Férié"))),0.166666666666667,""))</f>
        <v/>
      </c>
      <c r="AF1147" s="18"/>
      <c r="AG1147" s="18"/>
    </row>
    <row r="1148" customFormat="false" ht="15" hidden="false" customHeight="false" outlineLevel="0" collapsed="false">
      <c r="A1148" s="6" t="str">
        <f aca="false">YEAR(Q1148-WEEKDAY(Q1148,2)+4)&amp;"-S"&amp;TEXT(WEEKNUM(Q1148,21),"00")</f>
        <v>2026-S42</v>
      </c>
      <c r="B1148" s="18" t="s">
        <v>71</v>
      </c>
      <c r="C1148" s="19" t="n">
        <v>0.330555555555556</v>
      </c>
      <c r="D1148" s="19" t="n">
        <v>0.333333333333333</v>
      </c>
      <c r="E1148" s="19" t="n">
        <v>0.75</v>
      </c>
      <c r="F1148" s="19" t="n">
        <v>0.75</v>
      </c>
      <c r="G1148" s="20"/>
      <c r="H1148" s="20"/>
      <c r="I1148" s="8" t="str">
        <f aca="false">IF(IF(OR(C1148="",D1148="Congé",D1148="OFF",D1148="Congé spécial"),"",IF(D1148&gt;F1148,D1148-C1148,IF(C1148-D1148&lt;0,0,C1148-D1148)))&lt;0.00068287037037037,"",IF(OR(D1148="Congé",D1148="OFF",C1148="",D1148="Congé spécial"),"",IF(D1148&gt;F1148,D1148-C1148,IF(C1148-D1148&lt;0,0,C1148-D1148))))</f>
        <v/>
      </c>
      <c r="J1148" s="20"/>
      <c r="K1148" s="8" t="n">
        <f aca="false">IF(SUM(H1148:J1148)&lt;0.00068287037037037,0,SUM(H1148:J1148))</f>
        <v>0</v>
      </c>
      <c r="L1148" s="8" t="n">
        <f aca="false">IF(OR(F1148="Congé",F1148="OFF",M1148="Abs",F1148="Congé sans solde",F1148="Férié",F1148="Congé spécial",D1148="Congé spécial"),0,IF(F1148-E1148&lt;0,0,IF(F1148-E1148&lt;=0.00068287037037037,0,F1148-E1148)))</f>
        <v>0</v>
      </c>
      <c r="M1148" s="6" t="n">
        <f aca="false">IF(AND(O1148&lt;&gt;0,C1148=""),"Abs",0)</f>
        <v>0</v>
      </c>
      <c r="N1148" s="8" t="n">
        <f aca="false">IFERROR(IF(OR(D1148="OFF",D1148="Congé",M1148="Abs",D1148="Congé sans solde",D1148="Férié"),"",IF(O1148-K1148-L1148&gt;O1148,O1148,IF(O1148-K1148-L1148&lt;0,"",O1148-K1148-L1148))),"")</f>
        <v>0.375</v>
      </c>
      <c r="O1148" s="8" t="n">
        <f aca="false">IF(AG1148="2H Pause déjeuner",IF(F1148-D1148-0.0833333333333333&lt;0,F1148-D1148-0.0833333333333333+1,F1148-D1148-0.0833333333333333),IF(OR(AND(F1148="OFF",D1148="OFF"),AND(F1148="Congé",D1148="Congé"),AND(F1148="Congé sans solde",D1148="Congé sans solde"),AND(F1148="Congé spécial",D1148="Congé spécial"),AND(F1148="Férié",D1148="Férié"),AND(F1148="OFF",D1148="Congé"),AND(F1148="OFF",D1148="Congé sans solde"),AND(F1148="OFF",D1148="Congé spécial"),AND(F1148="OFF",D1148="Férié"),AND(F1148="Congé",D1148="OFF"),AND(F1148="Congé",D1148="Congé sans solde"),AND(F1148="Congé",D1148="Congé spécial"),AND(F1148="Congé",D1148="Férié"),AND(F1148="Congé sans solde",D1148="OFF"),AND(F1148="Congé sans solde",D1148="Congé"),AND(F1148="Congé sans solde",D1148="Congé spécial"),AND(F1148="Congé sans solde",D1148="Férié"),AND(F1148="Congé spécial",D1148="OFF"),AND(F1148="Congé spécial",D1148="Congé"),AND(F1148="Congé spécial",D1148="Congé sans solde"),AND(F1148="Congé spécial",D1148="Férié"),AND(F1148="Férié",D1148="OFF"),AND(F1148="Férié",D1148="Congé"),AND(F1148="Férié",D1148="Congé sans solde"),AND(F1148="Férié",D1148="Congé spécial")),0,IF(OR(F1148="OFF",F1148="Congé",F1148="Congé spécial",F1148="Congé sans solde",D1148="OFF",D1148="Congé",D1148="Congé spécial",D1148="Congé sans solde"),0.208333333333334,IF(AND(AG1148="",F1148-D1148&lt;0),("24:00:00"-D1148)+("00:00:00"+F1148)-0.0416666666666667,IF(AND(OR(AG1148="Allaitement",AG1148="Sans déjeuner"),F1148-D1148&lt;0),("24:00:00"-D1148)+("00:00:00"+F1148),IF(AND(AG1148="",F1148-D1148&gt;0.166666666666667),F1148-D1148-0.0416666666666667,IF(AND(OR(AG1148="Allaitement",AG1148="Sans déjeuner"),F1148-D1148&gt;0.166666666666667),F1148-D1148,F1148-D1148)))))))</f>
        <v>0.375</v>
      </c>
      <c r="P1148" s="6" t="str">
        <f aca="false">IFERROR(VLOOKUP($B1148,Agents!$A:$D,2,0),"-")</f>
        <v>Accessibilité</v>
      </c>
      <c r="Q1148" s="21" t="n">
        <v>46310</v>
      </c>
      <c r="R1148" s="8" t="n">
        <f aca="false">IF(M1148="Abs",O1148,0)</f>
        <v>0</v>
      </c>
      <c r="S1148" s="8" t="n">
        <f aca="false">SUM(R1148,L1148,I1148,J1148,W1148,H1148)</f>
        <v>0</v>
      </c>
      <c r="T1148" s="6" t="str">
        <f aca="false">"Sem - "&amp;WEEKNUM(Q1148,21)</f>
        <v>Sem - 42</v>
      </c>
      <c r="U1148" s="6" t="str">
        <f aca="false">CHOOSE(MONTH(Q1148),"Janvier","Février","Mars","Avril","Mai","Juin","Juillet","Août","Septembre","Octobre","Novembre","Décembre")</f>
        <v>Octobre</v>
      </c>
      <c r="V1148" s="22" t="n">
        <f aca="false">YEAR(Q1148)</f>
        <v>2026</v>
      </c>
      <c r="W1148" s="20"/>
      <c r="X1148" s="8" t="n">
        <f aca="false">IFERROR(IF(M1148="Abs",0,IF(ROUND((D1148-C1148+E1148-F1148)*1440,0)&lt;=1,0,D1148-C1148+E1148-F1148)),0)</f>
        <v>0.00277777777777778</v>
      </c>
      <c r="Y1148" s="6" t="str">
        <f aca="false">IFERROR(VLOOKUP($B1148,Agents!$A:$D,3,0),"-")</f>
        <v>OUBRAHIM Mohammed</v>
      </c>
      <c r="Z1148" s="6" t="str">
        <f aca="false">IFERROR(VLOOKUP($B1148,Agents!$A:$D,4,0),"-")</f>
        <v>Credit Mutuel</v>
      </c>
      <c r="AA1148" s="18" t="s">
        <v>125</v>
      </c>
      <c r="AB1148" s="8" t="str">
        <f aca="false">IF(AND(D1148="Congé",F1148="Congé"),0.333333333333333,IF(OR(AND(D1148="Congé",F1148&lt;&gt;"Congé"),(AND(F1148="Congé",D1148&lt;&gt;"Congé"))),0.166666666666667,""))</f>
        <v/>
      </c>
      <c r="AC1148" s="8" t="str">
        <f aca="false">IF(AND(D1148="Congé sans solde",F1148="Congé sans solde"),0.333333333333333,IF(OR(AND(D1148="Congé sans solde",F1148&lt;&gt;"Congé sans solde"),(AND(F1148="Congé sans solde",D1148&lt;&gt;"Congé sans solde"))),0.166666666666667,""))</f>
        <v/>
      </c>
      <c r="AD1148" s="8" t="str">
        <f aca="false">IF(AND(D1148="Congé spécial",F1148="Congé spécial"),0.333333333333333,IF(OR(AND(D1148="Congé spécial",F1148&lt;&gt;"Congé spécial"),AND(F1148="Congé spécial",D1148&lt;&gt;"Congé spécial")),0.166666666666667,""))</f>
        <v/>
      </c>
      <c r="AE1148" s="8" t="str">
        <f aca="false">IF(AND(D1148="Férié",F1148="Férié"),0.333333333333333,IF(OR(AND(D1148="Férié",F1148&lt;&gt;"Férié"),(AND(F1148="Férié",D1148&lt;&gt;"Férié"))),0.166666666666667,""))</f>
        <v/>
      </c>
      <c r="AF1148" s="18"/>
      <c r="AG1148" s="18"/>
    </row>
    <row r="1149" customFormat="false" ht="15" hidden="false" customHeight="false" outlineLevel="0" collapsed="false">
      <c r="A1149" s="6" t="str">
        <f aca="false">YEAR(Q1149-WEEKDAY(Q1149,2)+4)&amp;"-S"&amp;TEXT(WEEKNUM(Q1149,21),"00")</f>
        <v>2026-S42</v>
      </c>
      <c r="B1149" s="18" t="s">
        <v>72</v>
      </c>
      <c r="C1149" s="19" t="n">
        <v>0.330555555555556</v>
      </c>
      <c r="D1149" s="19" t="n">
        <v>0.333333333333333</v>
      </c>
      <c r="E1149" s="19" t="n">
        <v>0.75</v>
      </c>
      <c r="F1149" s="19" t="n">
        <v>0.75</v>
      </c>
      <c r="G1149" s="20"/>
      <c r="H1149" s="20"/>
      <c r="I1149" s="8" t="str">
        <f aca="false">IF(IF(OR(C1149="",D1149="Congé",D1149="OFF",D1149="Congé spécial"),"",IF(D1149&gt;F1149,D1149-C1149,IF(C1149-D1149&lt;0,0,C1149-D1149)))&lt;0.00068287037037037,"",IF(OR(D1149="Congé",D1149="OFF",C1149="",D1149="Congé spécial"),"",IF(D1149&gt;F1149,D1149-C1149,IF(C1149-D1149&lt;0,0,C1149-D1149))))</f>
        <v/>
      </c>
      <c r="J1149" s="20"/>
      <c r="K1149" s="8" t="n">
        <f aca="false">IF(SUM(H1149:J1149)&lt;0.00068287037037037,0,SUM(H1149:J1149))</f>
        <v>0</v>
      </c>
      <c r="L1149" s="8" t="n">
        <f aca="false">IF(OR(F1149="Congé",F1149="OFF",M1149="Abs",F1149="Congé sans solde",F1149="Férié",F1149="Congé spécial",D1149="Congé spécial"),0,IF(F1149-E1149&lt;0,0,IF(F1149-E1149&lt;=0.00068287037037037,0,F1149-E1149)))</f>
        <v>0</v>
      </c>
      <c r="M1149" s="6" t="n">
        <f aca="false">IF(AND(O1149&lt;&gt;0,C1149=""),"Abs",0)</f>
        <v>0</v>
      </c>
      <c r="N1149" s="8" t="n">
        <f aca="false">IFERROR(IF(OR(D1149="OFF",D1149="Congé",M1149="Abs",D1149="Congé sans solde",D1149="Férié"),"",IF(O1149-K1149-L1149&gt;O1149,O1149,IF(O1149-K1149-L1149&lt;0,"",O1149-K1149-L1149))),"")</f>
        <v>0.375</v>
      </c>
      <c r="O1149" s="8" t="n">
        <f aca="false">IF(AG1149="2H Pause déjeuner",IF(F1149-D1149-0.0833333333333333&lt;0,F1149-D1149-0.0833333333333333+1,F1149-D1149-0.0833333333333333),IF(OR(AND(F1149="OFF",D1149="OFF"),AND(F1149="Congé",D1149="Congé"),AND(F1149="Congé sans solde",D1149="Congé sans solde"),AND(F1149="Congé spécial",D1149="Congé spécial"),AND(F1149="Férié",D1149="Férié"),AND(F1149="OFF",D1149="Congé"),AND(F1149="OFF",D1149="Congé sans solde"),AND(F1149="OFF",D1149="Congé spécial"),AND(F1149="OFF",D1149="Férié"),AND(F1149="Congé",D1149="OFF"),AND(F1149="Congé",D1149="Congé sans solde"),AND(F1149="Congé",D1149="Congé spécial"),AND(F1149="Congé",D1149="Férié"),AND(F1149="Congé sans solde",D1149="OFF"),AND(F1149="Congé sans solde",D1149="Congé"),AND(F1149="Congé sans solde",D1149="Congé spécial"),AND(F1149="Congé sans solde",D1149="Férié"),AND(F1149="Congé spécial",D1149="OFF"),AND(F1149="Congé spécial",D1149="Congé"),AND(F1149="Congé spécial",D1149="Congé sans solde"),AND(F1149="Congé spécial",D1149="Férié"),AND(F1149="Férié",D1149="OFF"),AND(F1149="Férié",D1149="Congé"),AND(F1149="Férié",D1149="Congé sans solde"),AND(F1149="Férié",D1149="Congé spécial")),0,IF(OR(F1149="OFF",F1149="Congé",F1149="Congé spécial",F1149="Congé sans solde",D1149="OFF",D1149="Congé",D1149="Congé spécial",D1149="Congé sans solde"),0.208333333333334,IF(AND(AG1149="",F1149-D1149&lt;0),("24:00:00"-D1149)+("00:00:00"+F1149)-0.0416666666666667,IF(AND(OR(AG1149="Allaitement",AG1149="Sans déjeuner"),F1149-D1149&lt;0),("24:00:00"-D1149)+("00:00:00"+F1149),IF(AND(AG1149="",F1149-D1149&gt;0.166666666666667),F1149-D1149-0.0416666666666667,IF(AND(OR(AG1149="Allaitement",AG1149="Sans déjeuner"),F1149-D1149&gt;0.166666666666667),F1149-D1149,F1149-D1149)))))))</f>
        <v>0.375</v>
      </c>
      <c r="P1149" s="6" t="str">
        <f aca="false">IFERROR(VLOOKUP($B1149,Agents!$A:$D,2,0),"-")</f>
        <v>Accessibilité</v>
      </c>
      <c r="Q1149" s="21" t="n">
        <v>46310</v>
      </c>
      <c r="R1149" s="8" t="n">
        <f aca="false">IF(M1149="Abs",O1149,0)</f>
        <v>0</v>
      </c>
      <c r="S1149" s="8" t="n">
        <f aca="false">SUM(R1149,L1149,I1149,J1149,W1149,H1149)</f>
        <v>0</v>
      </c>
      <c r="T1149" s="6" t="str">
        <f aca="false">"Sem - "&amp;WEEKNUM(Q1149,21)</f>
        <v>Sem - 42</v>
      </c>
      <c r="U1149" s="6" t="str">
        <f aca="false">CHOOSE(MONTH(Q1149),"Janvier","Février","Mars","Avril","Mai","Juin","Juillet","Août","Septembre","Octobre","Novembre","Décembre")</f>
        <v>Octobre</v>
      </c>
      <c r="V1149" s="22" t="n">
        <f aca="false">YEAR(Q1149)</f>
        <v>2026</v>
      </c>
      <c r="W1149" s="20"/>
      <c r="X1149" s="8" t="n">
        <f aca="false">IFERROR(IF(M1149="Abs",0,IF(ROUND((D1149-C1149+E1149-F1149)*1440,0)&lt;=1,0,D1149-C1149+E1149-F1149)),0)</f>
        <v>0.00277777777777778</v>
      </c>
      <c r="Y1149" s="6" t="str">
        <f aca="false">IFERROR(VLOOKUP($B1149,Agents!$A:$D,3,0),"-")</f>
        <v>OUBRAHIM Mohammed</v>
      </c>
      <c r="Z1149" s="6" t="str">
        <f aca="false">IFERROR(VLOOKUP($B1149,Agents!$A:$D,4,0),"-")</f>
        <v>Credit Mutuel</v>
      </c>
      <c r="AA1149" s="18" t="s">
        <v>125</v>
      </c>
      <c r="AB1149" s="8" t="str">
        <f aca="false">IF(AND(D1149="Congé",F1149="Congé"),0.333333333333333,IF(OR(AND(D1149="Congé",F1149&lt;&gt;"Congé"),(AND(F1149="Congé",D1149&lt;&gt;"Congé"))),0.166666666666667,""))</f>
        <v/>
      </c>
      <c r="AC1149" s="8" t="str">
        <f aca="false">IF(AND(D1149="Congé sans solde",F1149="Congé sans solde"),0.333333333333333,IF(OR(AND(D1149="Congé sans solde",F1149&lt;&gt;"Congé sans solde"),(AND(F1149="Congé sans solde",D1149&lt;&gt;"Congé sans solde"))),0.166666666666667,""))</f>
        <v/>
      </c>
      <c r="AD1149" s="8" t="str">
        <f aca="false">IF(AND(D1149="Congé spécial",F1149="Congé spécial"),0.333333333333333,IF(OR(AND(D1149="Congé spécial",F1149&lt;&gt;"Congé spécial"),AND(F1149="Congé spécial",D1149&lt;&gt;"Congé spécial")),0.166666666666667,""))</f>
        <v/>
      </c>
      <c r="AE1149" s="8" t="str">
        <f aca="false">IF(AND(D1149="Férié",F1149="Férié"),0.333333333333333,IF(OR(AND(D1149="Férié",F1149&lt;&gt;"Férié"),(AND(F1149="Férié",D1149&lt;&gt;"Férié"))),0.166666666666667,""))</f>
        <v/>
      </c>
      <c r="AF1149" s="18"/>
      <c r="AG1149" s="18"/>
    </row>
    <row r="1150" customFormat="false" ht="15" hidden="false" customHeight="false" outlineLevel="0" collapsed="false">
      <c r="A1150" s="6" t="str">
        <f aca="false">YEAR(Q1150-WEEKDAY(Q1150,2)+4)&amp;"-S"&amp;TEXT(WEEKNUM(Q1150,21),"00")</f>
        <v>2026-S42</v>
      </c>
      <c r="B1150" s="18" t="s">
        <v>73</v>
      </c>
      <c r="C1150" s="19" t="n">
        <v>0.333333333333333</v>
      </c>
      <c r="D1150" s="19" t="n">
        <v>0.333333333333333</v>
      </c>
      <c r="E1150" s="19" t="n">
        <v>0.75</v>
      </c>
      <c r="F1150" s="19" t="n">
        <v>0.75</v>
      </c>
      <c r="G1150" s="20"/>
      <c r="H1150" s="20"/>
      <c r="I1150" s="8" t="str">
        <f aca="false">IF(IF(OR(C1150="",D1150="Congé",D1150="OFF",D1150="Congé spécial"),"",IF(D1150&gt;F1150,D1150-C1150,IF(C1150-D1150&lt;0,0,C1150-D1150)))&lt;0.00068287037037037,"",IF(OR(D1150="Congé",D1150="OFF",C1150="",D1150="Congé spécial"),"",IF(D1150&gt;F1150,D1150-C1150,IF(C1150-D1150&lt;0,0,C1150-D1150))))</f>
        <v/>
      </c>
      <c r="J1150" s="20"/>
      <c r="K1150" s="8" t="n">
        <f aca="false">IF(SUM(H1150:J1150)&lt;0.00068287037037037,0,SUM(H1150:J1150))</f>
        <v>0</v>
      </c>
      <c r="L1150" s="8" t="n">
        <f aca="false">IF(OR(F1150="Congé",F1150="OFF",M1150="Abs",F1150="Congé sans solde",F1150="Férié",F1150="Congé spécial",D1150="Congé spécial"),0,IF(F1150-E1150&lt;0,0,IF(F1150-E1150&lt;=0.00068287037037037,0,F1150-E1150)))</f>
        <v>0</v>
      </c>
      <c r="M1150" s="6" t="n">
        <f aca="false">IF(AND(O1150&lt;&gt;0,C1150=""),"Abs",0)</f>
        <v>0</v>
      </c>
      <c r="N1150" s="8" t="n">
        <f aca="false">IFERROR(IF(OR(D1150="OFF",D1150="Congé",M1150="Abs",D1150="Congé sans solde",D1150="Férié"),"",IF(O1150-K1150-L1150&gt;O1150,O1150,IF(O1150-K1150-L1150&lt;0,"",O1150-K1150-L1150))),"")</f>
        <v>0.375</v>
      </c>
      <c r="O1150" s="8" t="n">
        <f aca="false">IF(AG1150="2H Pause déjeuner",IF(F1150-D1150-0.0833333333333333&lt;0,F1150-D1150-0.0833333333333333+1,F1150-D1150-0.0833333333333333),IF(OR(AND(F1150="OFF",D1150="OFF"),AND(F1150="Congé",D1150="Congé"),AND(F1150="Congé sans solde",D1150="Congé sans solde"),AND(F1150="Congé spécial",D1150="Congé spécial"),AND(F1150="Férié",D1150="Férié"),AND(F1150="OFF",D1150="Congé"),AND(F1150="OFF",D1150="Congé sans solde"),AND(F1150="OFF",D1150="Congé spécial"),AND(F1150="OFF",D1150="Férié"),AND(F1150="Congé",D1150="OFF"),AND(F1150="Congé",D1150="Congé sans solde"),AND(F1150="Congé",D1150="Congé spécial"),AND(F1150="Congé",D1150="Férié"),AND(F1150="Congé sans solde",D1150="OFF"),AND(F1150="Congé sans solde",D1150="Congé"),AND(F1150="Congé sans solde",D1150="Congé spécial"),AND(F1150="Congé sans solde",D1150="Férié"),AND(F1150="Congé spécial",D1150="OFF"),AND(F1150="Congé spécial",D1150="Congé"),AND(F1150="Congé spécial",D1150="Congé sans solde"),AND(F1150="Congé spécial",D1150="Férié"),AND(F1150="Férié",D1150="OFF"),AND(F1150="Férié",D1150="Congé"),AND(F1150="Férié",D1150="Congé sans solde"),AND(F1150="Férié",D1150="Congé spécial")),0,IF(OR(F1150="OFF",F1150="Congé",F1150="Congé spécial",F1150="Congé sans solde",D1150="OFF",D1150="Congé",D1150="Congé spécial",D1150="Congé sans solde"),0.208333333333334,IF(AND(AG1150="",F1150-D1150&lt;0),("24:00:00"-D1150)+("00:00:00"+F1150)-0.0416666666666667,IF(AND(OR(AG1150="Allaitement",AG1150="Sans déjeuner"),F1150-D1150&lt;0),("24:00:00"-D1150)+("00:00:00"+F1150),IF(AND(AG1150="",F1150-D1150&gt;0.166666666666667),F1150-D1150-0.0416666666666667,IF(AND(OR(AG1150="Allaitement",AG1150="Sans déjeuner"),F1150-D1150&gt;0.166666666666667),F1150-D1150,F1150-D1150)))))))</f>
        <v>0.375</v>
      </c>
      <c r="P1150" s="6" t="str">
        <f aca="false">IFERROR(VLOOKUP($B1150,Agents!$A:$D,2,0),"-")</f>
        <v>Accessibilité</v>
      </c>
      <c r="Q1150" s="21" t="n">
        <v>46310</v>
      </c>
      <c r="R1150" s="8" t="n">
        <f aca="false">IF(M1150="Abs",O1150,0)</f>
        <v>0</v>
      </c>
      <c r="S1150" s="8" t="n">
        <f aca="false">SUM(R1150,L1150,I1150,J1150,W1150,H1150)</f>
        <v>0</v>
      </c>
      <c r="T1150" s="6" t="str">
        <f aca="false">"Sem - "&amp;WEEKNUM(Q1150,21)</f>
        <v>Sem - 42</v>
      </c>
      <c r="U1150" s="6" t="str">
        <f aca="false">CHOOSE(MONTH(Q1150),"Janvier","Février","Mars","Avril","Mai","Juin","Juillet","Août","Septembre","Octobre","Novembre","Décembre")</f>
        <v>Octobre</v>
      </c>
      <c r="V1150" s="22" t="n">
        <f aca="false">YEAR(Q1150)</f>
        <v>2026</v>
      </c>
      <c r="W1150" s="20"/>
      <c r="X1150" s="8" t="n">
        <f aca="false">IFERROR(IF(M1150="Abs",0,IF(ROUND((D1150-C1150+E1150-F1150)*1440,0)&lt;=1,0,D1150-C1150+E1150-F1150)),0)</f>
        <v>0</v>
      </c>
      <c r="Y1150" s="6" t="str">
        <f aca="false">IFERROR(VLOOKUP($B1150,Agents!$A:$D,3,0),"-")</f>
        <v>OUBRAHIM Mohammed</v>
      </c>
      <c r="Z1150" s="6" t="str">
        <f aca="false">IFERROR(VLOOKUP($B1150,Agents!$A:$D,4,0),"-")</f>
        <v>Credit Mutuel</v>
      </c>
      <c r="AA1150" s="18" t="s">
        <v>125</v>
      </c>
      <c r="AB1150" s="8" t="str">
        <f aca="false">IF(AND(D1150="Congé",F1150="Congé"),0.333333333333333,IF(OR(AND(D1150="Congé",F1150&lt;&gt;"Congé"),(AND(F1150="Congé",D1150&lt;&gt;"Congé"))),0.166666666666667,""))</f>
        <v/>
      </c>
      <c r="AC1150" s="8" t="str">
        <f aca="false">IF(AND(D1150="Congé sans solde",F1150="Congé sans solde"),0.333333333333333,IF(OR(AND(D1150="Congé sans solde",F1150&lt;&gt;"Congé sans solde"),(AND(F1150="Congé sans solde",D1150&lt;&gt;"Congé sans solde"))),0.166666666666667,""))</f>
        <v/>
      </c>
      <c r="AD1150" s="8" t="str">
        <f aca="false">IF(AND(D1150="Congé spécial",F1150="Congé spécial"),0.333333333333333,IF(OR(AND(D1150="Congé spécial",F1150&lt;&gt;"Congé spécial"),AND(F1150="Congé spécial",D1150&lt;&gt;"Congé spécial")),0.166666666666667,""))</f>
        <v/>
      </c>
      <c r="AE1150" s="8" t="str">
        <f aca="false">IF(AND(D1150="Férié",F1150="Férié"),0.333333333333333,IF(OR(AND(D1150="Férié",F1150&lt;&gt;"Férié"),(AND(F1150="Férié",D1150&lt;&gt;"Férié"))),0.166666666666667,""))</f>
        <v/>
      </c>
      <c r="AF1150" s="18"/>
      <c r="AG1150" s="18"/>
    </row>
    <row r="1151" customFormat="false" ht="15" hidden="false" customHeight="false" outlineLevel="0" collapsed="false">
      <c r="A1151" s="6" t="str">
        <f aca="false">YEAR(Q1151-WEEKDAY(Q1151,2)+4)&amp;"-S"&amp;TEXT(WEEKNUM(Q1151,21),"00")</f>
        <v>2026-S42</v>
      </c>
      <c r="B1151" s="18" t="s">
        <v>124</v>
      </c>
      <c r="C1151" s="19" t="n">
        <v>0.333333333333333</v>
      </c>
      <c r="D1151" s="19" t="n">
        <v>0.333333333333333</v>
      </c>
      <c r="E1151" s="19" t="n">
        <v>0.75</v>
      </c>
      <c r="F1151" s="19" t="n">
        <v>0.75</v>
      </c>
      <c r="G1151" s="20"/>
      <c r="H1151" s="20"/>
      <c r="I1151" s="8" t="str">
        <f aca="false">IF(IF(OR(C1151="",D1151="Congé",D1151="OFF",D1151="Congé spécial"),"",IF(D1151&gt;F1151,D1151-C1151,IF(C1151-D1151&lt;0,0,C1151-D1151)))&lt;0.00068287037037037,"",IF(OR(D1151="Congé",D1151="OFF",C1151="",D1151="Congé spécial"),"",IF(D1151&gt;F1151,D1151-C1151,IF(C1151-D1151&lt;0,0,C1151-D1151))))</f>
        <v/>
      </c>
      <c r="J1151" s="20"/>
      <c r="K1151" s="8" t="n">
        <f aca="false">IF(SUM(H1151:J1151)&lt;0.00068287037037037,0,SUM(H1151:J1151))</f>
        <v>0</v>
      </c>
      <c r="L1151" s="8" t="n">
        <f aca="false">IF(OR(F1151="Congé",F1151="OFF",M1151="Abs",F1151="Congé sans solde",F1151="Férié",F1151="Congé spécial",D1151="Congé spécial"),0,IF(F1151-E1151&lt;0,0,IF(F1151-E1151&lt;=0.00068287037037037,0,F1151-E1151)))</f>
        <v>0</v>
      </c>
      <c r="M1151" s="6" t="n">
        <f aca="false">IF(AND(O1151&lt;&gt;0,C1151=""),"Abs",0)</f>
        <v>0</v>
      </c>
      <c r="N1151" s="8" t="n">
        <f aca="false">IFERROR(IF(OR(D1151="OFF",D1151="Congé",M1151="Abs",D1151="Congé sans solde",D1151="Férié"),"",IF(O1151-K1151-L1151&gt;O1151,O1151,IF(O1151-K1151-L1151&lt;0,"",O1151-K1151-L1151))),"")</f>
        <v>0.375</v>
      </c>
      <c r="O1151" s="8" t="n">
        <f aca="false">IF(AG1151="2H Pause déjeuner",IF(F1151-D1151-0.0833333333333333&lt;0,F1151-D1151-0.0833333333333333+1,F1151-D1151-0.0833333333333333),IF(OR(AND(F1151="OFF",D1151="OFF"),AND(F1151="Congé",D1151="Congé"),AND(F1151="Congé sans solde",D1151="Congé sans solde"),AND(F1151="Congé spécial",D1151="Congé spécial"),AND(F1151="Férié",D1151="Férié"),AND(F1151="OFF",D1151="Congé"),AND(F1151="OFF",D1151="Congé sans solde"),AND(F1151="OFF",D1151="Congé spécial"),AND(F1151="OFF",D1151="Férié"),AND(F1151="Congé",D1151="OFF"),AND(F1151="Congé",D1151="Congé sans solde"),AND(F1151="Congé",D1151="Congé spécial"),AND(F1151="Congé",D1151="Férié"),AND(F1151="Congé sans solde",D1151="OFF"),AND(F1151="Congé sans solde",D1151="Congé"),AND(F1151="Congé sans solde",D1151="Congé spécial"),AND(F1151="Congé sans solde",D1151="Férié"),AND(F1151="Congé spécial",D1151="OFF"),AND(F1151="Congé spécial",D1151="Congé"),AND(F1151="Congé spécial",D1151="Congé sans solde"),AND(F1151="Congé spécial",D1151="Férié"),AND(F1151="Férié",D1151="OFF"),AND(F1151="Férié",D1151="Congé"),AND(F1151="Férié",D1151="Congé sans solde"),AND(F1151="Férié",D1151="Congé spécial")),0,IF(OR(F1151="OFF",F1151="Congé",F1151="Congé spécial",F1151="Congé sans solde",D1151="OFF",D1151="Congé",D1151="Congé spécial",D1151="Congé sans solde"),0.208333333333334,IF(AND(AG1151="",F1151-D1151&lt;0),("24:00:00"-D1151)+("00:00:00"+F1151)-0.0416666666666667,IF(AND(OR(AG1151="Allaitement",AG1151="Sans déjeuner"),F1151-D1151&lt;0),("24:00:00"-D1151)+("00:00:00"+F1151),IF(AND(AG1151="",F1151-D1151&gt;0.166666666666667),F1151-D1151-0.0416666666666667,IF(AND(OR(AG1151="Allaitement",AG1151="Sans déjeuner"),F1151-D1151&gt;0.166666666666667),F1151-D1151,F1151-D1151)))))))</f>
        <v>0.375</v>
      </c>
      <c r="P1151" s="6" t="str">
        <f aca="false">IFERROR(VLOOKUP($B1151,Agents!$A:$D,2,0),"-")</f>
        <v>Accessibilité</v>
      </c>
      <c r="Q1151" s="21" t="n">
        <v>46310</v>
      </c>
      <c r="R1151" s="8" t="n">
        <f aca="false">IF(M1151="Abs",O1151,0)</f>
        <v>0</v>
      </c>
      <c r="S1151" s="8" t="n">
        <f aca="false">SUM(R1151,L1151,I1151,J1151,W1151,H1151)</f>
        <v>0</v>
      </c>
      <c r="T1151" s="6" t="str">
        <f aca="false">"Sem - "&amp;WEEKNUM(Q1151,21)</f>
        <v>Sem - 42</v>
      </c>
      <c r="U1151" s="6" t="str">
        <f aca="false">CHOOSE(MONTH(Q1151),"Janvier","Février","Mars","Avril","Mai","Juin","Juillet","Août","Septembre","Octobre","Novembre","Décembre")</f>
        <v>Octobre</v>
      </c>
      <c r="V1151" s="22" t="n">
        <f aca="false">YEAR(Q1151)</f>
        <v>2026</v>
      </c>
      <c r="W1151" s="20"/>
      <c r="X1151" s="8" t="n">
        <f aca="false">IFERROR(IF(M1151="Abs",0,IF(ROUND((D1151-C1151+E1151-F1151)*1440,0)&lt;=1,0,D1151-C1151+E1151-F1151)),0)</f>
        <v>0</v>
      </c>
      <c r="Y1151" s="6" t="str">
        <f aca="false">IFERROR(VLOOKUP($B1151,Agents!$A:$D,3,0),"-")</f>
        <v>OUBRAHIM Mohammed</v>
      </c>
      <c r="Z1151" s="6" t="str">
        <f aca="false">IFERROR(VLOOKUP($B1151,Agents!$A:$D,4,0),"-")</f>
        <v>Credit Mutuel</v>
      </c>
      <c r="AA1151" s="18" t="s">
        <v>125</v>
      </c>
      <c r="AB1151" s="8" t="str">
        <f aca="false">IF(AND(D1151="Congé",F1151="Congé"),0.333333333333333,IF(OR(AND(D1151="Congé",F1151&lt;&gt;"Congé"),(AND(F1151="Congé",D1151&lt;&gt;"Congé"))),0.166666666666667,""))</f>
        <v/>
      </c>
      <c r="AC1151" s="8" t="str">
        <f aca="false">IF(AND(D1151="Congé sans solde",F1151="Congé sans solde"),0.333333333333333,IF(OR(AND(D1151="Congé sans solde",F1151&lt;&gt;"Congé sans solde"),(AND(F1151="Congé sans solde",D1151&lt;&gt;"Congé sans solde"))),0.166666666666667,""))</f>
        <v/>
      </c>
      <c r="AD1151" s="8" t="str">
        <f aca="false">IF(AND(D1151="Congé spécial",F1151="Congé spécial"),0.333333333333333,IF(OR(AND(D1151="Congé spécial",F1151&lt;&gt;"Congé spécial"),AND(F1151="Congé spécial",D1151&lt;&gt;"Congé spécial")),0.166666666666667,""))</f>
        <v/>
      </c>
      <c r="AE1151" s="8" t="str">
        <f aca="false">IF(AND(D1151="Férié",F1151="Férié"),0.333333333333333,IF(OR(AND(D1151="Férié",F1151&lt;&gt;"Férié"),(AND(F1151="Férié",D1151&lt;&gt;"Férié"))),0.166666666666667,""))</f>
        <v/>
      </c>
      <c r="AF1151" s="18"/>
      <c r="AG1151" s="18"/>
    </row>
    <row r="1152" customFormat="false" ht="15" hidden="false" customHeight="false" outlineLevel="0" collapsed="false">
      <c r="A1152" s="6" t="str">
        <f aca="false">YEAR(Q1152-WEEKDAY(Q1152,2)+4)&amp;"-S"&amp;TEXT(WEEKNUM(Q1152,21),"00")</f>
        <v>2026-S42</v>
      </c>
      <c r="B1152" s="18" t="s">
        <v>71</v>
      </c>
      <c r="C1152" s="19" t="n">
        <v>0.333333333333333</v>
      </c>
      <c r="D1152" s="19" t="n">
        <v>0.333333333333333</v>
      </c>
      <c r="E1152" s="19" t="n">
        <v>0.708333333333333</v>
      </c>
      <c r="F1152" s="19" t="n">
        <v>0.708333333333333</v>
      </c>
      <c r="G1152" s="20"/>
      <c r="H1152" s="20"/>
      <c r="I1152" s="8" t="str">
        <f aca="false">IF(IF(OR(C1152="",D1152="Congé",D1152="OFF",D1152="Congé spécial"),"",IF(D1152&gt;F1152,D1152-C1152,IF(C1152-D1152&lt;0,0,C1152-D1152)))&lt;0.00068287037037037,"",IF(OR(D1152="Congé",D1152="OFF",C1152="",D1152="Congé spécial"),"",IF(D1152&gt;F1152,D1152-C1152,IF(C1152-D1152&lt;0,0,C1152-D1152))))</f>
        <v/>
      </c>
      <c r="J1152" s="20"/>
      <c r="K1152" s="8" t="n">
        <f aca="false">IF(SUM(H1152:J1152)&lt;0.00068287037037037,0,SUM(H1152:J1152))</f>
        <v>0</v>
      </c>
      <c r="L1152" s="8" t="n">
        <f aca="false">IF(OR(F1152="Congé",F1152="OFF",M1152="Abs",F1152="Congé sans solde",F1152="Férié",F1152="Congé spécial",D1152="Congé spécial"),0,IF(F1152-E1152&lt;0,0,IF(F1152-E1152&lt;=0.00068287037037037,0,F1152-E1152)))</f>
        <v>0</v>
      </c>
      <c r="M1152" s="6" t="n">
        <f aca="false">IF(AND(O1152&lt;&gt;0,C1152=""),"Abs",0)</f>
        <v>0</v>
      </c>
      <c r="N1152" s="8" t="n">
        <f aca="false">IFERROR(IF(OR(D1152="OFF",D1152="Congé",M1152="Abs",D1152="Congé sans solde",D1152="Férié"),"",IF(O1152-K1152-L1152&gt;O1152,O1152,IF(O1152-K1152-L1152&lt;0,"",O1152-K1152-L1152))),"")</f>
        <v>0.333333333333333</v>
      </c>
      <c r="O1152" s="8" t="n">
        <f aca="false">IF(AG1152="2H Pause déjeuner",IF(F1152-D1152-0.0833333333333333&lt;0,F1152-D1152-0.0833333333333333+1,F1152-D1152-0.0833333333333333),IF(OR(AND(F1152="OFF",D1152="OFF"),AND(F1152="Congé",D1152="Congé"),AND(F1152="Congé sans solde",D1152="Congé sans solde"),AND(F1152="Congé spécial",D1152="Congé spécial"),AND(F1152="Férié",D1152="Férié"),AND(F1152="OFF",D1152="Congé"),AND(F1152="OFF",D1152="Congé sans solde"),AND(F1152="OFF",D1152="Congé spécial"),AND(F1152="OFF",D1152="Férié"),AND(F1152="Congé",D1152="OFF"),AND(F1152="Congé",D1152="Congé sans solde"),AND(F1152="Congé",D1152="Congé spécial"),AND(F1152="Congé",D1152="Férié"),AND(F1152="Congé sans solde",D1152="OFF"),AND(F1152="Congé sans solde",D1152="Congé"),AND(F1152="Congé sans solde",D1152="Congé spécial"),AND(F1152="Congé sans solde",D1152="Férié"),AND(F1152="Congé spécial",D1152="OFF"),AND(F1152="Congé spécial",D1152="Congé"),AND(F1152="Congé spécial",D1152="Congé sans solde"),AND(F1152="Congé spécial",D1152="Férié"),AND(F1152="Férié",D1152="OFF"),AND(F1152="Férié",D1152="Congé"),AND(F1152="Férié",D1152="Congé sans solde"),AND(F1152="Férié",D1152="Congé spécial")),0,IF(OR(F1152="OFF",F1152="Congé",F1152="Congé spécial",F1152="Congé sans solde",D1152="OFF",D1152="Congé",D1152="Congé spécial",D1152="Congé sans solde"),0.208333333333334,IF(AND(AG1152="",F1152-D1152&lt;0),("24:00:00"-D1152)+("00:00:00"+F1152)-0.0416666666666667,IF(AND(OR(AG1152="Allaitement",AG1152="Sans déjeuner"),F1152-D1152&lt;0),("24:00:00"-D1152)+("00:00:00"+F1152),IF(AND(AG1152="",F1152-D1152&gt;0.166666666666667),F1152-D1152-0.0416666666666667,IF(AND(OR(AG1152="Allaitement",AG1152="Sans déjeuner"),F1152-D1152&gt;0.166666666666667),F1152-D1152,F1152-D1152)))))))</f>
        <v>0.333333333333333</v>
      </c>
      <c r="P1152" s="6" t="str">
        <f aca="false">IFERROR(VLOOKUP($B1152,Agents!$A:$D,2,0),"-")</f>
        <v>Accessibilité</v>
      </c>
      <c r="Q1152" s="21" t="n">
        <v>46311</v>
      </c>
      <c r="R1152" s="8" t="n">
        <f aca="false">IF(M1152="Abs",O1152,0)</f>
        <v>0</v>
      </c>
      <c r="S1152" s="8" t="n">
        <f aca="false">SUM(R1152,L1152,I1152,J1152,W1152,H1152)</f>
        <v>0</v>
      </c>
      <c r="T1152" s="6" t="str">
        <f aca="false">"Sem - "&amp;WEEKNUM(Q1152,21)</f>
        <v>Sem - 42</v>
      </c>
      <c r="U1152" s="6" t="str">
        <f aca="false">CHOOSE(MONTH(Q1152),"Janvier","Février","Mars","Avril","Mai","Juin","Juillet","Août","Septembre","Octobre","Novembre","Décembre")</f>
        <v>Octobre</v>
      </c>
      <c r="V1152" s="22" t="n">
        <f aca="false">YEAR(Q1152)</f>
        <v>2026</v>
      </c>
      <c r="W1152" s="20"/>
      <c r="X1152" s="8" t="n">
        <f aca="false">IFERROR(IF(M1152="Abs",0,IF(ROUND((D1152-C1152+E1152-F1152)*1440,0)&lt;=1,0,D1152-C1152+E1152-F1152)),0)</f>
        <v>0</v>
      </c>
      <c r="Y1152" s="6" t="str">
        <f aca="false">IFERROR(VLOOKUP($B1152,Agents!$A:$D,3,0),"-")</f>
        <v>OUBRAHIM Mohammed</v>
      </c>
      <c r="Z1152" s="6" t="str">
        <f aca="false">IFERROR(VLOOKUP($B1152,Agents!$A:$D,4,0),"-")</f>
        <v>Credit Mutuel</v>
      </c>
      <c r="AA1152" s="18" t="s">
        <v>125</v>
      </c>
      <c r="AB1152" s="8" t="str">
        <f aca="false">IF(AND(D1152="Congé",F1152="Congé"),0.333333333333333,IF(OR(AND(D1152="Congé",F1152&lt;&gt;"Congé"),(AND(F1152="Congé",D1152&lt;&gt;"Congé"))),0.166666666666667,""))</f>
        <v/>
      </c>
      <c r="AC1152" s="8" t="str">
        <f aca="false">IF(AND(D1152="Congé sans solde",F1152="Congé sans solde"),0.333333333333333,IF(OR(AND(D1152="Congé sans solde",F1152&lt;&gt;"Congé sans solde"),(AND(F1152="Congé sans solde",D1152&lt;&gt;"Congé sans solde"))),0.166666666666667,""))</f>
        <v/>
      </c>
      <c r="AD1152" s="8" t="str">
        <f aca="false">IF(AND(D1152="Congé spécial",F1152="Congé spécial"),0.333333333333333,IF(OR(AND(D1152="Congé spécial",F1152&lt;&gt;"Congé spécial"),AND(F1152="Congé spécial",D1152&lt;&gt;"Congé spécial")),0.166666666666667,""))</f>
        <v/>
      </c>
      <c r="AE1152" s="8" t="str">
        <f aca="false">IF(AND(D1152="Férié",F1152="Férié"),0.333333333333333,IF(OR(AND(D1152="Férié",F1152&lt;&gt;"Férié"),(AND(F1152="Férié",D1152&lt;&gt;"Férié"))),0.166666666666667,""))</f>
        <v/>
      </c>
      <c r="AF1152" s="18"/>
      <c r="AG1152" s="18"/>
    </row>
    <row r="1153" customFormat="false" ht="15" hidden="false" customHeight="false" outlineLevel="0" collapsed="false">
      <c r="A1153" s="6" t="str">
        <f aca="false">YEAR(Q1153-WEEKDAY(Q1153,2)+4)&amp;"-S"&amp;TEXT(WEEKNUM(Q1153,21),"00")</f>
        <v>2026-S42</v>
      </c>
      <c r="B1153" s="18" t="s">
        <v>72</v>
      </c>
      <c r="C1153" s="19" t="n">
        <v>0.333333333333333</v>
      </c>
      <c r="D1153" s="19" t="n">
        <v>0.333333333333333</v>
      </c>
      <c r="E1153" s="19" t="n">
        <v>0.708333333333333</v>
      </c>
      <c r="F1153" s="19" t="n">
        <v>0.708333333333333</v>
      </c>
      <c r="G1153" s="20"/>
      <c r="H1153" s="20"/>
      <c r="I1153" s="8" t="str">
        <f aca="false">IF(IF(OR(C1153="",D1153="Congé",D1153="OFF",D1153="Congé spécial"),"",IF(D1153&gt;F1153,D1153-C1153,IF(C1153-D1153&lt;0,0,C1153-D1153)))&lt;0.00068287037037037,"",IF(OR(D1153="Congé",D1153="OFF",C1153="",D1153="Congé spécial"),"",IF(D1153&gt;F1153,D1153-C1153,IF(C1153-D1153&lt;0,0,C1153-D1153))))</f>
        <v/>
      </c>
      <c r="J1153" s="20"/>
      <c r="K1153" s="8" t="n">
        <f aca="false">IF(SUM(H1153:J1153)&lt;0.00068287037037037,0,SUM(H1153:J1153))</f>
        <v>0</v>
      </c>
      <c r="L1153" s="8" t="n">
        <f aca="false">IF(OR(F1153="Congé",F1153="OFF",M1153="Abs",F1153="Congé sans solde",F1153="Férié",F1153="Congé spécial",D1153="Congé spécial"),0,IF(F1153-E1153&lt;0,0,IF(F1153-E1153&lt;=0.00068287037037037,0,F1153-E1153)))</f>
        <v>0</v>
      </c>
      <c r="M1153" s="6" t="n">
        <f aca="false">IF(AND(O1153&lt;&gt;0,C1153=""),"Abs",0)</f>
        <v>0</v>
      </c>
      <c r="N1153" s="8" t="n">
        <f aca="false">IFERROR(IF(OR(D1153="OFF",D1153="Congé",M1153="Abs",D1153="Congé sans solde",D1153="Férié"),"",IF(O1153-K1153-L1153&gt;O1153,O1153,IF(O1153-K1153-L1153&lt;0,"",O1153-K1153-L1153))),"")</f>
        <v>0.333333333333333</v>
      </c>
      <c r="O1153" s="8" t="n">
        <f aca="false">IF(AG1153="2H Pause déjeuner",IF(F1153-D1153-0.0833333333333333&lt;0,F1153-D1153-0.0833333333333333+1,F1153-D1153-0.0833333333333333),IF(OR(AND(F1153="OFF",D1153="OFF"),AND(F1153="Congé",D1153="Congé"),AND(F1153="Congé sans solde",D1153="Congé sans solde"),AND(F1153="Congé spécial",D1153="Congé spécial"),AND(F1153="Férié",D1153="Férié"),AND(F1153="OFF",D1153="Congé"),AND(F1153="OFF",D1153="Congé sans solde"),AND(F1153="OFF",D1153="Congé spécial"),AND(F1153="OFF",D1153="Férié"),AND(F1153="Congé",D1153="OFF"),AND(F1153="Congé",D1153="Congé sans solde"),AND(F1153="Congé",D1153="Congé spécial"),AND(F1153="Congé",D1153="Férié"),AND(F1153="Congé sans solde",D1153="OFF"),AND(F1153="Congé sans solde",D1153="Congé"),AND(F1153="Congé sans solde",D1153="Congé spécial"),AND(F1153="Congé sans solde",D1153="Férié"),AND(F1153="Congé spécial",D1153="OFF"),AND(F1153="Congé spécial",D1153="Congé"),AND(F1153="Congé spécial",D1153="Congé sans solde"),AND(F1153="Congé spécial",D1153="Férié"),AND(F1153="Férié",D1153="OFF"),AND(F1153="Férié",D1153="Congé"),AND(F1153="Férié",D1153="Congé sans solde"),AND(F1153="Férié",D1153="Congé spécial")),0,IF(OR(F1153="OFF",F1153="Congé",F1153="Congé spécial",F1153="Congé sans solde",D1153="OFF",D1153="Congé",D1153="Congé spécial",D1153="Congé sans solde"),0.208333333333334,IF(AND(AG1153="",F1153-D1153&lt;0),("24:00:00"-D1153)+("00:00:00"+F1153)-0.0416666666666667,IF(AND(OR(AG1153="Allaitement",AG1153="Sans déjeuner"),F1153-D1153&lt;0),("24:00:00"-D1153)+("00:00:00"+F1153),IF(AND(AG1153="",F1153-D1153&gt;0.166666666666667),F1153-D1153-0.0416666666666667,IF(AND(OR(AG1153="Allaitement",AG1153="Sans déjeuner"),F1153-D1153&gt;0.166666666666667),F1153-D1153,F1153-D1153)))))))</f>
        <v>0.333333333333333</v>
      </c>
      <c r="P1153" s="6" t="str">
        <f aca="false">IFERROR(VLOOKUP($B1153,Agents!$A:$D,2,0),"-")</f>
        <v>Accessibilité</v>
      </c>
      <c r="Q1153" s="21" t="n">
        <v>46311</v>
      </c>
      <c r="R1153" s="8" t="n">
        <f aca="false">IF(M1153="Abs",O1153,0)</f>
        <v>0</v>
      </c>
      <c r="S1153" s="8" t="n">
        <f aca="false">SUM(R1153,L1153,I1153,J1153,W1153,H1153)</f>
        <v>0</v>
      </c>
      <c r="T1153" s="6" t="str">
        <f aca="false">"Sem - "&amp;WEEKNUM(Q1153,21)</f>
        <v>Sem - 42</v>
      </c>
      <c r="U1153" s="6" t="str">
        <f aca="false">CHOOSE(MONTH(Q1153),"Janvier","Février","Mars","Avril","Mai","Juin","Juillet","Août","Septembre","Octobre","Novembre","Décembre")</f>
        <v>Octobre</v>
      </c>
      <c r="V1153" s="22" t="n">
        <f aca="false">YEAR(Q1153)</f>
        <v>2026</v>
      </c>
      <c r="W1153" s="20"/>
      <c r="X1153" s="8" t="n">
        <f aca="false">IFERROR(IF(M1153="Abs",0,IF(ROUND((D1153-C1153+E1153-F1153)*1440,0)&lt;=1,0,D1153-C1153+E1153-F1153)),0)</f>
        <v>0</v>
      </c>
      <c r="Y1153" s="6" t="str">
        <f aca="false">IFERROR(VLOOKUP($B1153,Agents!$A:$D,3,0),"-")</f>
        <v>OUBRAHIM Mohammed</v>
      </c>
      <c r="Z1153" s="6" t="str">
        <f aca="false">IFERROR(VLOOKUP($B1153,Agents!$A:$D,4,0),"-")</f>
        <v>Credit Mutuel</v>
      </c>
      <c r="AA1153" s="18" t="s">
        <v>125</v>
      </c>
      <c r="AB1153" s="8" t="str">
        <f aca="false">IF(AND(D1153="Congé",F1153="Congé"),0.333333333333333,IF(OR(AND(D1153="Congé",F1153&lt;&gt;"Congé"),(AND(F1153="Congé",D1153&lt;&gt;"Congé"))),0.166666666666667,""))</f>
        <v/>
      </c>
      <c r="AC1153" s="8" t="str">
        <f aca="false">IF(AND(D1153="Congé sans solde",F1153="Congé sans solde"),0.333333333333333,IF(OR(AND(D1153="Congé sans solde",F1153&lt;&gt;"Congé sans solde"),(AND(F1153="Congé sans solde",D1153&lt;&gt;"Congé sans solde"))),0.166666666666667,""))</f>
        <v/>
      </c>
      <c r="AD1153" s="8" t="str">
        <f aca="false">IF(AND(D1153="Congé spécial",F1153="Congé spécial"),0.333333333333333,IF(OR(AND(D1153="Congé spécial",F1153&lt;&gt;"Congé spécial"),AND(F1153="Congé spécial",D1153&lt;&gt;"Congé spécial")),0.166666666666667,""))</f>
        <v/>
      </c>
      <c r="AE1153" s="8" t="str">
        <f aca="false">IF(AND(D1153="Férié",F1153="Férié"),0.333333333333333,IF(OR(AND(D1153="Férié",F1153&lt;&gt;"Férié"),(AND(F1153="Férié",D1153&lt;&gt;"Férié"))),0.166666666666667,""))</f>
        <v/>
      </c>
      <c r="AF1153" s="18"/>
      <c r="AG1153" s="18"/>
    </row>
    <row r="1154" customFormat="false" ht="15" hidden="false" customHeight="false" outlineLevel="0" collapsed="false">
      <c r="A1154" s="6" t="str">
        <f aca="false">YEAR(Q1154-WEEKDAY(Q1154,2)+4)&amp;"-S"&amp;TEXT(WEEKNUM(Q1154,21),"00")</f>
        <v>2026-S42</v>
      </c>
      <c r="B1154" s="18" t="s">
        <v>73</v>
      </c>
      <c r="C1154" s="19" t="n">
        <v>0.333333333333333</v>
      </c>
      <c r="D1154" s="19" t="n">
        <v>0.333333333333333</v>
      </c>
      <c r="E1154" s="19" t="n">
        <v>0.708333333333333</v>
      </c>
      <c r="F1154" s="19" t="n">
        <v>0.708333333333333</v>
      </c>
      <c r="G1154" s="20"/>
      <c r="H1154" s="20"/>
      <c r="I1154" s="8" t="str">
        <f aca="false">IF(IF(OR(C1154="",D1154="Congé",D1154="OFF",D1154="Congé spécial"),"",IF(D1154&gt;F1154,D1154-C1154,IF(C1154-D1154&lt;0,0,C1154-D1154)))&lt;0.00068287037037037,"",IF(OR(D1154="Congé",D1154="OFF",C1154="",D1154="Congé spécial"),"",IF(D1154&gt;F1154,D1154-C1154,IF(C1154-D1154&lt;0,0,C1154-D1154))))</f>
        <v/>
      </c>
      <c r="J1154" s="20"/>
      <c r="K1154" s="8" t="n">
        <f aca="false">IF(SUM(H1154:J1154)&lt;0.00068287037037037,0,SUM(H1154:J1154))</f>
        <v>0</v>
      </c>
      <c r="L1154" s="8" t="n">
        <f aca="false">IF(OR(F1154="Congé",F1154="OFF",M1154="Abs",F1154="Congé sans solde",F1154="Férié",F1154="Congé spécial",D1154="Congé spécial"),0,IF(F1154-E1154&lt;0,0,IF(F1154-E1154&lt;=0.00068287037037037,0,F1154-E1154)))</f>
        <v>0</v>
      </c>
      <c r="M1154" s="6" t="n">
        <f aca="false">IF(AND(O1154&lt;&gt;0,C1154=""),"Abs",0)</f>
        <v>0</v>
      </c>
      <c r="N1154" s="8" t="n">
        <f aca="false">IFERROR(IF(OR(D1154="OFF",D1154="Congé",M1154="Abs",D1154="Congé sans solde",D1154="Férié"),"",IF(O1154-K1154-L1154&gt;O1154,O1154,IF(O1154-K1154-L1154&lt;0,"",O1154-K1154-L1154))),"")</f>
        <v>0.333333333333333</v>
      </c>
      <c r="O1154" s="8" t="n">
        <f aca="false">IF(AG1154="2H Pause déjeuner",IF(F1154-D1154-0.0833333333333333&lt;0,F1154-D1154-0.0833333333333333+1,F1154-D1154-0.0833333333333333),IF(OR(AND(F1154="OFF",D1154="OFF"),AND(F1154="Congé",D1154="Congé"),AND(F1154="Congé sans solde",D1154="Congé sans solde"),AND(F1154="Congé spécial",D1154="Congé spécial"),AND(F1154="Férié",D1154="Férié"),AND(F1154="OFF",D1154="Congé"),AND(F1154="OFF",D1154="Congé sans solde"),AND(F1154="OFF",D1154="Congé spécial"),AND(F1154="OFF",D1154="Férié"),AND(F1154="Congé",D1154="OFF"),AND(F1154="Congé",D1154="Congé sans solde"),AND(F1154="Congé",D1154="Congé spécial"),AND(F1154="Congé",D1154="Férié"),AND(F1154="Congé sans solde",D1154="OFF"),AND(F1154="Congé sans solde",D1154="Congé"),AND(F1154="Congé sans solde",D1154="Congé spécial"),AND(F1154="Congé sans solde",D1154="Férié"),AND(F1154="Congé spécial",D1154="OFF"),AND(F1154="Congé spécial",D1154="Congé"),AND(F1154="Congé spécial",D1154="Congé sans solde"),AND(F1154="Congé spécial",D1154="Férié"),AND(F1154="Férié",D1154="OFF"),AND(F1154="Férié",D1154="Congé"),AND(F1154="Férié",D1154="Congé sans solde"),AND(F1154="Férié",D1154="Congé spécial")),0,IF(OR(F1154="OFF",F1154="Congé",F1154="Congé spécial",F1154="Congé sans solde",D1154="OFF",D1154="Congé",D1154="Congé spécial",D1154="Congé sans solde"),0.208333333333334,IF(AND(AG1154="",F1154-D1154&lt;0),("24:00:00"-D1154)+("00:00:00"+F1154)-0.0416666666666667,IF(AND(OR(AG1154="Allaitement",AG1154="Sans déjeuner"),F1154-D1154&lt;0),("24:00:00"-D1154)+("00:00:00"+F1154),IF(AND(AG1154="",F1154-D1154&gt;0.166666666666667),F1154-D1154-0.0416666666666667,IF(AND(OR(AG1154="Allaitement",AG1154="Sans déjeuner"),F1154-D1154&gt;0.166666666666667),F1154-D1154,F1154-D1154)))))))</f>
        <v>0.333333333333333</v>
      </c>
      <c r="P1154" s="6" t="str">
        <f aca="false">IFERROR(VLOOKUP($B1154,Agents!$A:$D,2,0),"-")</f>
        <v>Accessibilité</v>
      </c>
      <c r="Q1154" s="21" t="n">
        <v>46311</v>
      </c>
      <c r="R1154" s="8" t="n">
        <f aca="false">IF(M1154="Abs",O1154,0)</f>
        <v>0</v>
      </c>
      <c r="S1154" s="8" t="n">
        <f aca="false">SUM(R1154,L1154,I1154,J1154,W1154,H1154)</f>
        <v>0</v>
      </c>
      <c r="T1154" s="6" t="str">
        <f aca="false">"Sem - "&amp;WEEKNUM(Q1154,21)</f>
        <v>Sem - 42</v>
      </c>
      <c r="U1154" s="6" t="str">
        <f aca="false">CHOOSE(MONTH(Q1154),"Janvier","Février","Mars","Avril","Mai","Juin","Juillet","Août","Septembre","Octobre","Novembre","Décembre")</f>
        <v>Octobre</v>
      </c>
      <c r="V1154" s="22" t="n">
        <f aca="false">YEAR(Q1154)</f>
        <v>2026</v>
      </c>
      <c r="W1154" s="20"/>
      <c r="X1154" s="8" t="n">
        <f aca="false">IFERROR(IF(M1154="Abs",0,IF(ROUND((D1154-C1154+E1154-F1154)*1440,0)&lt;=1,0,D1154-C1154+E1154-F1154)),0)</f>
        <v>0</v>
      </c>
      <c r="Y1154" s="6" t="str">
        <f aca="false">IFERROR(VLOOKUP($B1154,Agents!$A:$D,3,0),"-")</f>
        <v>OUBRAHIM Mohammed</v>
      </c>
      <c r="Z1154" s="6" t="str">
        <f aca="false">IFERROR(VLOOKUP($B1154,Agents!$A:$D,4,0),"-")</f>
        <v>Credit Mutuel</v>
      </c>
      <c r="AA1154" s="18" t="s">
        <v>125</v>
      </c>
      <c r="AB1154" s="8" t="str">
        <f aca="false">IF(AND(D1154="Congé",F1154="Congé"),0.333333333333333,IF(OR(AND(D1154="Congé",F1154&lt;&gt;"Congé"),(AND(F1154="Congé",D1154&lt;&gt;"Congé"))),0.166666666666667,""))</f>
        <v/>
      </c>
      <c r="AC1154" s="8" t="str">
        <f aca="false">IF(AND(D1154="Congé sans solde",F1154="Congé sans solde"),0.333333333333333,IF(OR(AND(D1154="Congé sans solde",F1154&lt;&gt;"Congé sans solde"),(AND(F1154="Congé sans solde",D1154&lt;&gt;"Congé sans solde"))),0.166666666666667,""))</f>
        <v/>
      </c>
      <c r="AD1154" s="8" t="str">
        <f aca="false">IF(AND(D1154="Congé spécial",F1154="Congé spécial"),0.333333333333333,IF(OR(AND(D1154="Congé spécial",F1154&lt;&gt;"Congé spécial"),AND(F1154="Congé spécial",D1154&lt;&gt;"Congé spécial")),0.166666666666667,""))</f>
        <v/>
      </c>
      <c r="AE1154" s="8" t="str">
        <f aca="false">IF(AND(D1154="Férié",F1154="Férié"),0.333333333333333,IF(OR(AND(D1154="Férié",F1154&lt;&gt;"Férié"),(AND(F1154="Férié",D1154&lt;&gt;"Férié"))),0.166666666666667,""))</f>
        <v/>
      </c>
      <c r="AF1154" s="18"/>
      <c r="AG1154" s="18"/>
    </row>
    <row r="1155" customFormat="false" ht="15" hidden="false" customHeight="false" outlineLevel="0" collapsed="false">
      <c r="A1155" s="6" t="str">
        <f aca="false">YEAR(Q1155-WEEKDAY(Q1155,2)+4)&amp;"-S"&amp;TEXT(WEEKNUM(Q1155,21),"00")</f>
        <v>2026-S42</v>
      </c>
      <c r="B1155" s="18" t="s">
        <v>124</v>
      </c>
      <c r="C1155" s="19" t="n">
        <v>0.333333333333333</v>
      </c>
      <c r="D1155" s="19" t="n">
        <v>0.333333333333333</v>
      </c>
      <c r="E1155" s="19" t="n">
        <v>0.708333333333333</v>
      </c>
      <c r="F1155" s="19" t="n">
        <v>0.708333333333333</v>
      </c>
      <c r="G1155" s="20"/>
      <c r="H1155" s="20"/>
      <c r="I1155" s="8" t="str">
        <f aca="false">IF(IF(OR(C1155="",D1155="Congé",D1155="OFF",D1155="Congé spécial"),"",IF(D1155&gt;F1155,D1155-C1155,IF(C1155-D1155&lt;0,0,C1155-D1155)))&lt;0.00068287037037037,"",IF(OR(D1155="Congé",D1155="OFF",C1155="",D1155="Congé spécial"),"",IF(D1155&gt;F1155,D1155-C1155,IF(C1155-D1155&lt;0,0,C1155-D1155))))</f>
        <v/>
      </c>
      <c r="J1155" s="20"/>
      <c r="K1155" s="8" t="n">
        <f aca="false">IF(SUM(H1155:J1155)&lt;0.00068287037037037,0,SUM(H1155:J1155))</f>
        <v>0</v>
      </c>
      <c r="L1155" s="8" t="n">
        <f aca="false">IF(OR(F1155="Congé",F1155="OFF",M1155="Abs",F1155="Congé sans solde",F1155="Férié",F1155="Congé spécial",D1155="Congé spécial"),0,IF(F1155-E1155&lt;0,0,IF(F1155-E1155&lt;=0.00068287037037037,0,F1155-E1155)))</f>
        <v>0</v>
      </c>
      <c r="M1155" s="6" t="n">
        <f aca="false">IF(AND(O1155&lt;&gt;0,C1155=""),"Abs",0)</f>
        <v>0</v>
      </c>
      <c r="N1155" s="8" t="n">
        <f aca="false">IFERROR(IF(OR(D1155="OFF",D1155="Congé",M1155="Abs",D1155="Congé sans solde",D1155="Férié"),"",IF(O1155-K1155-L1155&gt;O1155,O1155,IF(O1155-K1155-L1155&lt;0,"",O1155-K1155-L1155))),"")</f>
        <v>0.333333333333333</v>
      </c>
      <c r="O1155" s="8" t="n">
        <f aca="false">IF(AG1155="2H Pause déjeuner",IF(F1155-D1155-0.0833333333333333&lt;0,F1155-D1155-0.0833333333333333+1,F1155-D1155-0.0833333333333333),IF(OR(AND(F1155="OFF",D1155="OFF"),AND(F1155="Congé",D1155="Congé"),AND(F1155="Congé sans solde",D1155="Congé sans solde"),AND(F1155="Congé spécial",D1155="Congé spécial"),AND(F1155="Férié",D1155="Férié"),AND(F1155="OFF",D1155="Congé"),AND(F1155="OFF",D1155="Congé sans solde"),AND(F1155="OFF",D1155="Congé spécial"),AND(F1155="OFF",D1155="Férié"),AND(F1155="Congé",D1155="OFF"),AND(F1155="Congé",D1155="Congé sans solde"),AND(F1155="Congé",D1155="Congé spécial"),AND(F1155="Congé",D1155="Férié"),AND(F1155="Congé sans solde",D1155="OFF"),AND(F1155="Congé sans solde",D1155="Congé"),AND(F1155="Congé sans solde",D1155="Congé spécial"),AND(F1155="Congé sans solde",D1155="Férié"),AND(F1155="Congé spécial",D1155="OFF"),AND(F1155="Congé spécial",D1155="Congé"),AND(F1155="Congé spécial",D1155="Congé sans solde"),AND(F1155="Congé spécial",D1155="Férié"),AND(F1155="Férié",D1155="OFF"),AND(F1155="Férié",D1155="Congé"),AND(F1155="Férié",D1155="Congé sans solde"),AND(F1155="Férié",D1155="Congé spécial")),0,IF(OR(F1155="OFF",F1155="Congé",F1155="Congé spécial",F1155="Congé sans solde",D1155="OFF",D1155="Congé",D1155="Congé spécial",D1155="Congé sans solde"),0.208333333333334,IF(AND(AG1155="",F1155-D1155&lt;0),("24:00:00"-D1155)+("00:00:00"+F1155)-0.0416666666666667,IF(AND(OR(AG1155="Allaitement",AG1155="Sans déjeuner"),F1155-D1155&lt;0),("24:00:00"-D1155)+("00:00:00"+F1155),IF(AND(AG1155="",F1155-D1155&gt;0.166666666666667),F1155-D1155-0.0416666666666667,IF(AND(OR(AG1155="Allaitement",AG1155="Sans déjeuner"),F1155-D1155&gt;0.166666666666667),F1155-D1155,F1155-D1155)))))))</f>
        <v>0.333333333333333</v>
      </c>
      <c r="P1155" s="6" t="str">
        <f aca="false">IFERROR(VLOOKUP($B1155,Agents!$A:$D,2,0),"-")</f>
        <v>Accessibilité</v>
      </c>
      <c r="Q1155" s="21" t="n">
        <v>46311</v>
      </c>
      <c r="R1155" s="8" t="n">
        <f aca="false">IF(M1155="Abs",O1155,0)</f>
        <v>0</v>
      </c>
      <c r="S1155" s="8" t="n">
        <f aca="false">SUM(R1155,L1155,I1155,J1155,W1155,H1155)</f>
        <v>0</v>
      </c>
      <c r="T1155" s="6" t="str">
        <f aca="false">"Sem - "&amp;WEEKNUM(Q1155,21)</f>
        <v>Sem - 42</v>
      </c>
      <c r="U1155" s="6" t="str">
        <f aca="false">CHOOSE(MONTH(Q1155),"Janvier","Février","Mars","Avril","Mai","Juin","Juillet","Août","Septembre","Octobre","Novembre","Décembre")</f>
        <v>Octobre</v>
      </c>
      <c r="V1155" s="22" t="n">
        <f aca="false">YEAR(Q1155)</f>
        <v>2026</v>
      </c>
      <c r="W1155" s="20"/>
      <c r="X1155" s="8" t="n">
        <f aca="false">IFERROR(IF(M1155="Abs",0,IF(ROUND((D1155-C1155+E1155-F1155)*1440,0)&lt;=1,0,D1155-C1155+E1155-F1155)),0)</f>
        <v>0</v>
      </c>
      <c r="Y1155" s="6" t="str">
        <f aca="false">IFERROR(VLOOKUP($B1155,Agents!$A:$D,3,0),"-")</f>
        <v>OUBRAHIM Mohammed</v>
      </c>
      <c r="Z1155" s="6" t="str">
        <f aca="false">IFERROR(VLOOKUP($B1155,Agents!$A:$D,4,0),"-")</f>
        <v>Credit Mutuel</v>
      </c>
      <c r="AA1155" s="18" t="s">
        <v>125</v>
      </c>
      <c r="AB1155" s="8" t="str">
        <f aca="false">IF(AND(D1155="Congé",F1155="Congé"),0.333333333333333,IF(OR(AND(D1155="Congé",F1155&lt;&gt;"Congé"),(AND(F1155="Congé",D1155&lt;&gt;"Congé"))),0.166666666666667,""))</f>
        <v/>
      </c>
      <c r="AC1155" s="8" t="str">
        <f aca="false">IF(AND(D1155="Congé sans solde",F1155="Congé sans solde"),0.333333333333333,IF(OR(AND(D1155="Congé sans solde",F1155&lt;&gt;"Congé sans solde"),(AND(F1155="Congé sans solde",D1155&lt;&gt;"Congé sans solde"))),0.166666666666667,""))</f>
        <v/>
      </c>
      <c r="AD1155" s="8" t="str">
        <f aca="false">IF(AND(D1155="Congé spécial",F1155="Congé spécial"),0.333333333333333,IF(OR(AND(D1155="Congé spécial",F1155&lt;&gt;"Congé spécial"),AND(F1155="Congé spécial",D1155&lt;&gt;"Congé spécial")),0.166666666666667,""))</f>
        <v/>
      </c>
      <c r="AE1155" s="8" t="str">
        <f aca="false">IF(AND(D1155="Férié",F1155="Férié"),0.333333333333333,IF(OR(AND(D1155="Férié",F1155&lt;&gt;"Férié"),(AND(F1155="Férié",D1155&lt;&gt;"Férié"))),0.166666666666667,""))</f>
        <v/>
      </c>
      <c r="AF1155" s="18"/>
      <c r="AG1155" s="18"/>
    </row>
    <row r="1156" customFormat="false" ht="15" hidden="false" customHeight="false" outlineLevel="0" collapsed="false">
      <c r="A1156" s="6" t="str">
        <f aca="false">YEAR(Q1156-WEEKDAY(Q1156,2)+4)&amp;"-S"&amp;TEXT(WEEKNUM(Q1156,21),"00")</f>
        <v>2026-S42</v>
      </c>
      <c r="B1156" s="18" t="s">
        <v>71</v>
      </c>
      <c r="C1156" s="19"/>
      <c r="D1156" s="19" t="s">
        <v>74</v>
      </c>
      <c r="E1156" s="19"/>
      <c r="F1156" s="19" t="s">
        <v>74</v>
      </c>
      <c r="G1156" s="20"/>
      <c r="H1156" s="20"/>
      <c r="I1156" s="8" t="str">
        <f aca="false">IF(IF(OR(C1156="",D1156="Congé",D1156="OFF",D1156="Congé spécial"),"",IF(D1156&gt;F1156,D1156-C1156,IF(C1156-D1156&lt;0,0,C1156-D1156)))&lt;0.00068287037037037,"",IF(OR(D1156="Congé",D1156="OFF",C1156="",D1156="Congé spécial"),"",IF(D1156&gt;F1156,D1156-C1156,IF(C1156-D1156&lt;0,0,C1156-D1156))))</f>
        <v/>
      </c>
      <c r="J1156" s="20"/>
      <c r="K1156" s="8" t="n">
        <f aca="false">IF(SUM(H1156:J1156)&lt;0.00068287037037037,0,SUM(H1156:J1156))</f>
        <v>0</v>
      </c>
      <c r="L1156" s="8" t="n">
        <f aca="false">IF(OR(F1156="Congé",F1156="OFF",M1156="Abs",F1156="Congé sans solde",F1156="Férié",F1156="Congé spécial",D1156="Congé spécial"),0,IF(F1156-E1156&lt;0,0,IF(F1156-E1156&lt;=0.00068287037037037,0,F1156-E1156)))</f>
        <v>0</v>
      </c>
      <c r="M1156" s="6" t="n">
        <f aca="false">IF(AND(O1156&lt;&gt;0,C1156=""),"Abs",0)</f>
        <v>0</v>
      </c>
      <c r="N1156" s="8" t="str">
        <f aca="false">IFERROR(IF(OR(D1156="OFF",D1156="Congé",M1156="Abs",D1156="Congé sans solde",D1156="Férié"),"",IF(O1156-K1156-L1156&gt;O1156,O1156,IF(O1156-K1156-L1156&lt;0,"",O1156-K1156-L1156))),"")</f>
        <v/>
      </c>
      <c r="O1156" s="8" t="n">
        <f aca="false">IF(AG1156="2H Pause déjeuner",IF(F1156-D1156-0.0833333333333333&lt;0,F1156-D1156-0.0833333333333333+1,F1156-D1156-0.0833333333333333),IF(OR(AND(F1156="OFF",D1156="OFF"),AND(F1156="Congé",D1156="Congé"),AND(F1156="Congé sans solde",D1156="Congé sans solde"),AND(F1156="Congé spécial",D1156="Congé spécial"),AND(F1156="Férié",D1156="Férié"),AND(F1156="OFF",D1156="Congé"),AND(F1156="OFF",D1156="Congé sans solde"),AND(F1156="OFF",D1156="Congé spécial"),AND(F1156="OFF",D1156="Férié"),AND(F1156="Congé",D1156="OFF"),AND(F1156="Congé",D1156="Congé sans solde"),AND(F1156="Congé",D1156="Congé spécial"),AND(F1156="Congé",D1156="Férié"),AND(F1156="Congé sans solde",D1156="OFF"),AND(F1156="Congé sans solde",D1156="Congé"),AND(F1156="Congé sans solde",D1156="Congé spécial"),AND(F1156="Congé sans solde",D1156="Férié"),AND(F1156="Congé spécial",D1156="OFF"),AND(F1156="Congé spécial",D1156="Congé"),AND(F1156="Congé spécial",D1156="Congé sans solde"),AND(F1156="Congé spécial",D1156="Férié"),AND(F1156="Férié",D1156="OFF"),AND(F1156="Férié",D1156="Congé"),AND(F1156="Férié",D1156="Congé sans solde"),AND(F1156="Férié",D1156="Congé spécial")),0,IF(OR(F1156="OFF",F1156="Congé",F1156="Congé spécial",F1156="Congé sans solde",D1156="OFF",D1156="Congé",D1156="Congé spécial",D1156="Congé sans solde"),0.208333333333334,IF(AND(AG1156="",F1156-D1156&lt;0),("24:00:00"-D1156)+("00:00:00"+F1156)-0.0416666666666667,IF(AND(OR(AG1156="Allaitement",AG1156="Sans déjeuner"),F1156-D1156&lt;0),("24:00:00"-D1156)+("00:00:00"+F1156),IF(AND(AG1156="",F1156-D1156&gt;0.166666666666667),F1156-D1156-0.0416666666666667,IF(AND(OR(AG1156="Allaitement",AG1156="Sans déjeuner"),F1156-D1156&gt;0.166666666666667),F1156-D1156,F1156-D1156)))))))</f>
        <v>0</v>
      </c>
      <c r="P1156" s="6" t="str">
        <f aca="false">IFERROR(VLOOKUP($B1156,Agents!$A:$D,2,0),"-")</f>
        <v>Accessibilité</v>
      </c>
      <c r="Q1156" s="21" t="n">
        <v>46312</v>
      </c>
      <c r="R1156" s="8" t="n">
        <f aca="false">IF(M1156="Abs",O1156,0)</f>
        <v>0</v>
      </c>
      <c r="S1156" s="8" t="n">
        <f aca="false">SUM(R1156,L1156,I1156,J1156,W1156,H1156)</f>
        <v>0</v>
      </c>
      <c r="T1156" s="6" t="str">
        <f aca="false">"Sem - "&amp;WEEKNUM(Q1156,21)</f>
        <v>Sem - 42</v>
      </c>
      <c r="U1156" s="6" t="str">
        <f aca="false">CHOOSE(MONTH(Q1156),"Janvier","Février","Mars","Avril","Mai","Juin","Juillet","Août","Septembre","Octobre","Novembre","Décembre")</f>
        <v>Octobre</v>
      </c>
      <c r="V1156" s="22" t="n">
        <f aca="false">YEAR(Q1156)</f>
        <v>2026</v>
      </c>
      <c r="W1156" s="20"/>
      <c r="X1156" s="8" t="n">
        <f aca="false">IFERROR(IF(M1156="Abs",0,IF(ROUND((D1156-C1156+E1156-F1156)*1440,0)&lt;=1,0,D1156-C1156+E1156-F1156)),0)</f>
        <v>0</v>
      </c>
      <c r="Y1156" s="6" t="str">
        <f aca="false">IFERROR(VLOOKUP($B1156,Agents!$A:$D,3,0),"-")</f>
        <v>OUBRAHIM Mohammed</v>
      </c>
      <c r="Z1156" s="6" t="str">
        <f aca="false">IFERROR(VLOOKUP($B1156,Agents!$A:$D,4,0),"-")</f>
        <v>Credit Mutuel</v>
      </c>
      <c r="AA1156" s="18" t="s">
        <v>125</v>
      </c>
      <c r="AB1156" s="8" t="str">
        <f aca="false">IF(AND(D1156="Congé",F1156="Congé"),0.333333333333333,IF(OR(AND(D1156="Congé",F1156&lt;&gt;"Congé"),(AND(F1156="Congé",D1156&lt;&gt;"Congé"))),0.166666666666667,""))</f>
        <v/>
      </c>
      <c r="AC1156" s="8" t="str">
        <f aca="false">IF(AND(D1156="Congé sans solde",F1156="Congé sans solde"),0.333333333333333,IF(OR(AND(D1156="Congé sans solde",F1156&lt;&gt;"Congé sans solde"),(AND(F1156="Congé sans solde",D1156&lt;&gt;"Congé sans solde"))),0.166666666666667,""))</f>
        <v/>
      </c>
      <c r="AD1156" s="8" t="str">
        <f aca="false">IF(AND(D1156="Congé spécial",F1156="Congé spécial"),0.333333333333333,IF(OR(AND(D1156="Congé spécial",F1156&lt;&gt;"Congé spécial"),AND(F1156="Congé spécial",D1156&lt;&gt;"Congé spécial")),0.166666666666667,""))</f>
        <v/>
      </c>
      <c r="AE1156" s="8" t="str">
        <f aca="false">IF(AND(D1156="Férié",F1156="Férié"),0.333333333333333,IF(OR(AND(D1156="Férié",F1156&lt;&gt;"Férié"),(AND(F1156="Férié",D1156&lt;&gt;"Férié"))),0.166666666666667,""))</f>
        <v/>
      </c>
      <c r="AF1156" s="18"/>
      <c r="AG1156" s="18"/>
    </row>
    <row r="1157" customFormat="false" ht="15" hidden="false" customHeight="false" outlineLevel="0" collapsed="false">
      <c r="A1157" s="6" t="str">
        <f aca="false">YEAR(Q1157-WEEKDAY(Q1157,2)+4)&amp;"-S"&amp;TEXT(WEEKNUM(Q1157,21),"00")</f>
        <v>2026-S42</v>
      </c>
      <c r="B1157" s="18" t="s">
        <v>72</v>
      </c>
      <c r="C1157" s="19"/>
      <c r="D1157" s="19" t="s">
        <v>74</v>
      </c>
      <c r="E1157" s="19"/>
      <c r="F1157" s="19" t="s">
        <v>74</v>
      </c>
      <c r="G1157" s="20"/>
      <c r="H1157" s="20"/>
      <c r="I1157" s="8" t="str">
        <f aca="false">IF(IF(OR(C1157="",D1157="Congé",D1157="OFF",D1157="Congé spécial"),"",IF(D1157&gt;F1157,D1157-C1157,IF(C1157-D1157&lt;0,0,C1157-D1157)))&lt;0.00068287037037037,"",IF(OR(D1157="Congé",D1157="OFF",C1157="",D1157="Congé spécial"),"",IF(D1157&gt;F1157,D1157-C1157,IF(C1157-D1157&lt;0,0,C1157-D1157))))</f>
        <v/>
      </c>
      <c r="J1157" s="20"/>
      <c r="K1157" s="8" t="n">
        <f aca="false">IF(SUM(H1157:J1157)&lt;0.00068287037037037,0,SUM(H1157:J1157))</f>
        <v>0</v>
      </c>
      <c r="L1157" s="8" t="n">
        <f aca="false">IF(OR(F1157="Congé",F1157="OFF",M1157="Abs",F1157="Congé sans solde",F1157="Férié",F1157="Congé spécial",D1157="Congé spécial"),0,IF(F1157-E1157&lt;0,0,IF(F1157-E1157&lt;=0.00068287037037037,0,F1157-E1157)))</f>
        <v>0</v>
      </c>
      <c r="M1157" s="6" t="n">
        <f aca="false">IF(AND(O1157&lt;&gt;0,C1157=""),"Abs",0)</f>
        <v>0</v>
      </c>
      <c r="N1157" s="8" t="str">
        <f aca="false">IFERROR(IF(OR(D1157="OFF",D1157="Congé",M1157="Abs",D1157="Congé sans solde",D1157="Férié"),"",IF(O1157-K1157-L1157&gt;O1157,O1157,IF(O1157-K1157-L1157&lt;0,"",O1157-K1157-L1157))),"")</f>
        <v/>
      </c>
      <c r="O1157" s="8" t="n">
        <f aca="false">IF(AG1157="2H Pause déjeuner",IF(F1157-D1157-0.0833333333333333&lt;0,F1157-D1157-0.0833333333333333+1,F1157-D1157-0.0833333333333333),IF(OR(AND(F1157="OFF",D1157="OFF"),AND(F1157="Congé",D1157="Congé"),AND(F1157="Congé sans solde",D1157="Congé sans solde"),AND(F1157="Congé spécial",D1157="Congé spécial"),AND(F1157="Férié",D1157="Férié"),AND(F1157="OFF",D1157="Congé"),AND(F1157="OFF",D1157="Congé sans solde"),AND(F1157="OFF",D1157="Congé spécial"),AND(F1157="OFF",D1157="Férié"),AND(F1157="Congé",D1157="OFF"),AND(F1157="Congé",D1157="Congé sans solde"),AND(F1157="Congé",D1157="Congé spécial"),AND(F1157="Congé",D1157="Férié"),AND(F1157="Congé sans solde",D1157="OFF"),AND(F1157="Congé sans solde",D1157="Congé"),AND(F1157="Congé sans solde",D1157="Congé spécial"),AND(F1157="Congé sans solde",D1157="Férié"),AND(F1157="Congé spécial",D1157="OFF"),AND(F1157="Congé spécial",D1157="Congé"),AND(F1157="Congé spécial",D1157="Congé sans solde"),AND(F1157="Congé spécial",D1157="Férié"),AND(F1157="Férié",D1157="OFF"),AND(F1157="Férié",D1157="Congé"),AND(F1157="Férié",D1157="Congé sans solde"),AND(F1157="Férié",D1157="Congé spécial")),0,IF(OR(F1157="OFF",F1157="Congé",F1157="Congé spécial",F1157="Congé sans solde",D1157="OFF",D1157="Congé",D1157="Congé spécial",D1157="Congé sans solde"),0.208333333333334,IF(AND(AG1157="",F1157-D1157&lt;0),("24:00:00"-D1157)+("00:00:00"+F1157)-0.0416666666666667,IF(AND(OR(AG1157="Allaitement",AG1157="Sans déjeuner"),F1157-D1157&lt;0),("24:00:00"-D1157)+("00:00:00"+F1157),IF(AND(AG1157="",F1157-D1157&gt;0.166666666666667),F1157-D1157-0.0416666666666667,IF(AND(OR(AG1157="Allaitement",AG1157="Sans déjeuner"),F1157-D1157&gt;0.166666666666667),F1157-D1157,F1157-D1157)))))))</f>
        <v>0</v>
      </c>
      <c r="P1157" s="6" t="str">
        <f aca="false">IFERROR(VLOOKUP($B1157,Agents!$A:$D,2,0),"-")</f>
        <v>Accessibilité</v>
      </c>
      <c r="Q1157" s="21" t="n">
        <v>46312</v>
      </c>
      <c r="R1157" s="8" t="n">
        <f aca="false">IF(M1157="Abs",O1157,0)</f>
        <v>0</v>
      </c>
      <c r="S1157" s="8" t="n">
        <f aca="false">SUM(R1157,L1157,I1157,J1157,W1157,H1157)</f>
        <v>0</v>
      </c>
      <c r="T1157" s="6" t="str">
        <f aca="false">"Sem - "&amp;WEEKNUM(Q1157,21)</f>
        <v>Sem - 42</v>
      </c>
      <c r="U1157" s="6" t="str">
        <f aca="false">CHOOSE(MONTH(Q1157),"Janvier","Février","Mars","Avril","Mai","Juin","Juillet","Août","Septembre","Octobre","Novembre","Décembre")</f>
        <v>Octobre</v>
      </c>
      <c r="V1157" s="22" t="n">
        <f aca="false">YEAR(Q1157)</f>
        <v>2026</v>
      </c>
      <c r="W1157" s="20"/>
      <c r="X1157" s="8" t="n">
        <f aca="false">IFERROR(IF(M1157="Abs",0,IF(ROUND((D1157-C1157+E1157-F1157)*1440,0)&lt;=1,0,D1157-C1157+E1157-F1157)),0)</f>
        <v>0</v>
      </c>
      <c r="Y1157" s="6" t="str">
        <f aca="false">IFERROR(VLOOKUP($B1157,Agents!$A:$D,3,0),"-")</f>
        <v>OUBRAHIM Mohammed</v>
      </c>
      <c r="Z1157" s="6" t="str">
        <f aca="false">IFERROR(VLOOKUP($B1157,Agents!$A:$D,4,0),"-")</f>
        <v>Credit Mutuel</v>
      </c>
      <c r="AA1157" s="18" t="s">
        <v>125</v>
      </c>
      <c r="AB1157" s="8" t="str">
        <f aca="false">IF(AND(D1157="Congé",F1157="Congé"),0.333333333333333,IF(OR(AND(D1157="Congé",F1157&lt;&gt;"Congé"),(AND(F1157="Congé",D1157&lt;&gt;"Congé"))),0.166666666666667,""))</f>
        <v/>
      </c>
      <c r="AC1157" s="8" t="str">
        <f aca="false">IF(AND(D1157="Congé sans solde",F1157="Congé sans solde"),0.333333333333333,IF(OR(AND(D1157="Congé sans solde",F1157&lt;&gt;"Congé sans solde"),(AND(F1157="Congé sans solde",D1157&lt;&gt;"Congé sans solde"))),0.166666666666667,""))</f>
        <v/>
      </c>
      <c r="AD1157" s="8" t="str">
        <f aca="false">IF(AND(D1157="Congé spécial",F1157="Congé spécial"),0.333333333333333,IF(OR(AND(D1157="Congé spécial",F1157&lt;&gt;"Congé spécial"),AND(F1157="Congé spécial",D1157&lt;&gt;"Congé spécial")),0.166666666666667,""))</f>
        <v/>
      </c>
      <c r="AE1157" s="8" t="str">
        <f aca="false">IF(AND(D1157="Férié",F1157="Férié"),0.333333333333333,IF(OR(AND(D1157="Férié",F1157&lt;&gt;"Férié"),(AND(F1157="Férié",D1157&lt;&gt;"Férié"))),0.166666666666667,""))</f>
        <v/>
      </c>
      <c r="AF1157" s="18"/>
      <c r="AG1157" s="18"/>
    </row>
    <row r="1158" customFormat="false" ht="15" hidden="false" customHeight="false" outlineLevel="0" collapsed="false">
      <c r="A1158" s="6" t="str">
        <f aca="false">YEAR(Q1158-WEEKDAY(Q1158,2)+4)&amp;"-S"&amp;TEXT(WEEKNUM(Q1158,21),"00")</f>
        <v>2026-S42</v>
      </c>
      <c r="B1158" s="18" t="s">
        <v>73</v>
      </c>
      <c r="C1158" s="19"/>
      <c r="D1158" s="19" t="s">
        <v>74</v>
      </c>
      <c r="E1158" s="19"/>
      <c r="F1158" s="19" t="s">
        <v>74</v>
      </c>
      <c r="G1158" s="20"/>
      <c r="H1158" s="20"/>
      <c r="I1158" s="8" t="str">
        <f aca="false">IF(IF(OR(C1158="",D1158="Congé",D1158="OFF",D1158="Congé spécial"),"",IF(D1158&gt;F1158,D1158-C1158,IF(C1158-D1158&lt;0,0,C1158-D1158)))&lt;0.00068287037037037,"",IF(OR(D1158="Congé",D1158="OFF",C1158="",D1158="Congé spécial"),"",IF(D1158&gt;F1158,D1158-C1158,IF(C1158-D1158&lt;0,0,C1158-D1158))))</f>
        <v/>
      </c>
      <c r="J1158" s="20"/>
      <c r="K1158" s="8" t="n">
        <f aca="false">IF(SUM(H1158:J1158)&lt;0.00068287037037037,0,SUM(H1158:J1158))</f>
        <v>0</v>
      </c>
      <c r="L1158" s="8" t="n">
        <f aca="false">IF(OR(F1158="Congé",F1158="OFF",M1158="Abs",F1158="Congé sans solde",F1158="Férié",F1158="Congé spécial",D1158="Congé spécial"),0,IF(F1158-E1158&lt;0,0,IF(F1158-E1158&lt;=0.00068287037037037,0,F1158-E1158)))</f>
        <v>0</v>
      </c>
      <c r="M1158" s="6" t="n">
        <f aca="false">IF(AND(O1158&lt;&gt;0,C1158=""),"Abs",0)</f>
        <v>0</v>
      </c>
      <c r="N1158" s="8" t="str">
        <f aca="false">IFERROR(IF(OR(D1158="OFF",D1158="Congé",M1158="Abs",D1158="Congé sans solde",D1158="Férié"),"",IF(O1158-K1158-L1158&gt;O1158,O1158,IF(O1158-K1158-L1158&lt;0,"",O1158-K1158-L1158))),"")</f>
        <v/>
      </c>
      <c r="O1158" s="8" t="n">
        <f aca="false">IF(AG1158="2H Pause déjeuner",IF(F1158-D1158-0.0833333333333333&lt;0,F1158-D1158-0.0833333333333333+1,F1158-D1158-0.0833333333333333),IF(OR(AND(F1158="OFF",D1158="OFF"),AND(F1158="Congé",D1158="Congé"),AND(F1158="Congé sans solde",D1158="Congé sans solde"),AND(F1158="Congé spécial",D1158="Congé spécial"),AND(F1158="Férié",D1158="Férié"),AND(F1158="OFF",D1158="Congé"),AND(F1158="OFF",D1158="Congé sans solde"),AND(F1158="OFF",D1158="Congé spécial"),AND(F1158="OFF",D1158="Férié"),AND(F1158="Congé",D1158="OFF"),AND(F1158="Congé",D1158="Congé sans solde"),AND(F1158="Congé",D1158="Congé spécial"),AND(F1158="Congé",D1158="Férié"),AND(F1158="Congé sans solde",D1158="OFF"),AND(F1158="Congé sans solde",D1158="Congé"),AND(F1158="Congé sans solde",D1158="Congé spécial"),AND(F1158="Congé sans solde",D1158="Férié"),AND(F1158="Congé spécial",D1158="OFF"),AND(F1158="Congé spécial",D1158="Congé"),AND(F1158="Congé spécial",D1158="Congé sans solde"),AND(F1158="Congé spécial",D1158="Férié"),AND(F1158="Férié",D1158="OFF"),AND(F1158="Férié",D1158="Congé"),AND(F1158="Férié",D1158="Congé sans solde"),AND(F1158="Férié",D1158="Congé spécial")),0,IF(OR(F1158="OFF",F1158="Congé",F1158="Congé spécial",F1158="Congé sans solde",D1158="OFF",D1158="Congé",D1158="Congé spécial",D1158="Congé sans solde"),0.208333333333334,IF(AND(AG1158="",F1158-D1158&lt;0),("24:00:00"-D1158)+("00:00:00"+F1158)-0.0416666666666667,IF(AND(OR(AG1158="Allaitement",AG1158="Sans déjeuner"),F1158-D1158&lt;0),("24:00:00"-D1158)+("00:00:00"+F1158),IF(AND(AG1158="",F1158-D1158&gt;0.166666666666667),F1158-D1158-0.0416666666666667,IF(AND(OR(AG1158="Allaitement",AG1158="Sans déjeuner"),F1158-D1158&gt;0.166666666666667),F1158-D1158,F1158-D1158)))))))</f>
        <v>0</v>
      </c>
      <c r="P1158" s="6" t="str">
        <f aca="false">IFERROR(VLOOKUP($B1158,Agents!$A:$D,2,0),"-")</f>
        <v>Accessibilité</v>
      </c>
      <c r="Q1158" s="21" t="n">
        <v>46312</v>
      </c>
      <c r="R1158" s="8" t="n">
        <f aca="false">IF(M1158="Abs",O1158,0)</f>
        <v>0</v>
      </c>
      <c r="S1158" s="8" t="n">
        <f aca="false">SUM(R1158,L1158,I1158,J1158,W1158,H1158)</f>
        <v>0</v>
      </c>
      <c r="T1158" s="6" t="str">
        <f aca="false">"Sem - "&amp;WEEKNUM(Q1158,21)</f>
        <v>Sem - 42</v>
      </c>
      <c r="U1158" s="6" t="str">
        <f aca="false">CHOOSE(MONTH(Q1158),"Janvier","Février","Mars","Avril","Mai","Juin","Juillet","Août","Septembre","Octobre","Novembre","Décembre")</f>
        <v>Octobre</v>
      </c>
      <c r="V1158" s="22" t="n">
        <f aca="false">YEAR(Q1158)</f>
        <v>2026</v>
      </c>
      <c r="W1158" s="20"/>
      <c r="X1158" s="8" t="n">
        <f aca="false">IFERROR(IF(M1158="Abs",0,IF(ROUND((D1158-C1158+E1158-F1158)*1440,0)&lt;=1,0,D1158-C1158+E1158-F1158)),0)</f>
        <v>0</v>
      </c>
      <c r="Y1158" s="6" t="str">
        <f aca="false">IFERROR(VLOOKUP($B1158,Agents!$A:$D,3,0),"-")</f>
        <v>OUBRAHIM Mohammed</v>
      </c>
      <c r="Z1158" s="6" t="str">
        <f aca="false">IFERROR(VLOOKUP($B1158,Agents!$A:$D,4,0),"-")</f>
        <v>Credit Mutuel</v>
      </c>
      <c r="AA1158" s="18" t="s">
        <v>125</v>
      </c>
      <c r="AB1158" s="8" t="str">
        <f aca="false">IF(AND(D1158="Congé",F1158="Congé"),0.333333333333333,IF(OR(AND(D1158="Congé",F1158&lt;&gt;"Congé"),(AND(F1158="Congé",D1158&lt;&gt;"Congé"))),0.166666666666667,""))</f>
        <v/>
      </c>
      <c r="AC1158" s="8" t="str">
        <f aca="false">IF(AND(D1158="Congé sans solde",F1158="Congé sans solde"),0.333333333333333,IF(OR(AND(D1158="Congé sans solde",F1158&lt;&gt;"Congé sans solde"),(AND(F1158="Congé sans solde",D1158&lt;&gt;"Congé sans solde"))),0.166666666666667,""))</f>
        <v/>
      </c>
      <c r="AD1158" s="8" t="str">
        <f aca="false">IF(AND(D1158="Congé spécial",F1158="Congé spécial"),0.333333333333333,IF(OR(AND(D1158="Congé spécial",F1158&lt;&gt;"Congé spécial"),AND(F1158="Congé spécial",D1158&lt;&gt;"Congé spécial")),0.166666666666667,""))</f>
        <v/>
      </c>
      <c r="AE1158" s="8" t="str">
        <f aca="false">IF(AND(D1158="Férié",F1158="Férié"),0.333333333333333,IF(OR(AND(D1158="Férié",F1158&lt;&gt;"Férié"),(AND(F1158="Férié",D1158&lt;&gt;"Férié"))),0.166666666666667,""))</f>
        <v/>
      </c>
      <c r="AF1158" s="18"/>
      <c r="AG1158" s="18"/>
    </row>
    <row r="1159" customFormat="false" ht="15" hidden="false" customHeight="false" outlineLevel="0" collapsed="false">
      <c r="A1159" s="6" t="str">
        <f aca="false">YEAR(Q1159-WEEKDAY(Q1159,2)+4)&amp;"-S"&amp;TEXT(WEEKNUM(Q1159,21),"00")</f>
        <v>2026-S42</v>
      </c>
      <c r="B1159" s="18" t="s">
        <v>124</v>
      </c>
      <c r="C1159" s="19"/>
      <c r="D1159" s="19" t="s">
        <v>74</v>
      </c>
      <c r="E1159" s="19"/>
      <c r="F1159" s="19" t="s">
        <v>74</v>
      </c>
      <c r="G1159" s="20"/>
      <c r="H1159" s="20"/>
      <c r="I1159" s="8" t="str">
        <f aca="false">IF(IF(OR(C1159="",D1159="Congé",D1159="OFF",D1159="Congé spécial"),"",IF(D1159&gt;F1159,D1159-C1159,IF(C1159-D1159&lt;0,0,C1159-D1159)))&lt;0.00068287037037037,"",IF(OR(D1159="Congé",D1159="OFF",C1159="",D1159="Congé spécial"),"",IF(D1159&gt;F1159,D1159-C1159,IF(C1159-D1159&lt;0,0,C1159-D1159))))</f>
        <v/>
      </c>
      <c r="J1159" s="20"/>
      <c r="K1159" s="8" t="n">
        <f aca="false">IF(SUM(H1159:J1159)&lt;0.00068287037037037,0,SUM(H1159:J1159))</f>
        <v>0</v>
      </c>
      <c r="L1159" s="8" t="n">
        <f aca="false">IF(OR(F1159="Congé",F1159="OFF",M1159="Abs",F1159="Congé sans solde",F1159="Férié",F1159="Congé spécial",D1159="Congé spécial"),0,IF(F1159-E1159&lt;0,0,IF(F1159-E1159&lt;=0.00068287037037037,0,F1159-E1159)))</f>
        <v>0</v>
      </c>
      <c r="M1159" s="6" t="n">
        <f aca="false">IF(AND(O1159&lt;&gt;0,C1159=""),"Abs",0)</f>
        <v>0</v>
      </c>
      <c r="N1159" s="8" t="str">
        <f aca="false">IFERROR(IF(OR(D1159="OFF",D1159="Congé",M1159="Abs",D1159="Congé sans solde",D1159="Férié"),"",IF(O1159-K1159-L1159&gt;O1159,O1159,IF(O1159-K1159-L1159&lt;0,"",O1159-K1159-L1159))),"")</f>
        <v/>
      </c>
      <c r="O1159" s="8" t="n">
        <f aca="false">IF(AG1159="2H Pause déjeuner",IF(F1159-D1159-0.0833333333333333&lt;0,F1159-D1159-0.0833333333333333+1,F1159-D1159-0.0833333333333333),IF(OR(AND(F1159="OFF",D1159="OFF"),AND(F1159="Congé",D1159="Congé"),AND(F1159="Congé sans solde",D1159="Congé sans solde"),AND(F1159="Congé spécial",D1159="Congé spécial"),AND(F1159="Férié",D1159="Férié"),AND(F1159="OFF",D1159="Congé"),AND(F1159="OFF",D1159="Congé sans solde"),AND(F1159="OFF",D1159="Congé spécial"),AND(F1159="OFF",D1159="Férié"),AND(F1159="Congé",D1159="OFF"),AND(F1159="Congé",D1159="Congé sans solde"),AND(F1159="Congé",D1159="Congé spécial"),AND(F1159="Congé",D1159="Férié"),AND(F1159="Congé sans solde",D1159="OFF"),AND(F1159="Congé sans solde",D1159="Congé"),AND(F1159="Congé sans solde",D1159="Congé spécial"),AND(F1159="Congé sans solde",D1159="Férié"),AND(F1159="Congé spécial",D1159="OFF"),AND(F1159="Congé spécial",D1159="Congé"),AND(F1159="Congé spécial",D1159="Congé sans solde"),AND(F1159="Congé spécial",D1159="Férié"),AND(F1159="Férié",D1159="OFF"),AND(F1159="Férié",D1159="Congé"),AND(F1159="Férié",D1159="Congé sans solde"),AND(F1159="Férié",D1159="Congé spécial")),0,IF(OR(F1159="OFF",F1159="Congé",F1159="Congé spécial",F1159="Congé sans solde",D1159="OFF",D1159="Congé",D1159="Congé spécial",D1159="Congé sans solde"),0.208333333333334,IF(AND(AG1159="",F1159-D1159&lt;0),("24:00:00"-D1159)+("00:00:00"+F1159)-0.0416666666666667,IF(AND(OR(AG1159="Allaitement",AG1159="Sans déjeuner"),F1159-D1159&lt;0),("24:00:00"-D1159)+("00:00:00"+F1159),IF(AND(AG1159="",F1159-D1159&gt;0.166666666666667),F1159-D1159-0.0416666666666667,IF(AND(OR(AG1159="Allaitement",AG1159="Sans déjeuner"),F1159-D1159&gt;0.166666666666667),F1159-D1159,F1159-D1159)))))))</f>
        <v>0</v>
      </c>
      <c r="P1159" s="6" t="str">
        <f aca="false">IFERROR(VLOOKUP($B1159,Agents!$A:$D,2,0),"-")</f>
        <v>Accessibilité</v>
      </c>
      <c r="Q1159" s="21" t="n">
        <v>46312</v>
      </c>
      <c r="R1159" s="8" t="n">
        <f aca="false">IF(M1159="Abs",O1159,0)</f>
        <v>0</v>
      </c>
      <c r="S1159" s="8" t="n">
        <f aca="false">SUM(R1159,L1159,I1159,J1159,W1159,H1159)</f>
        <v>0</v>
      </c>
      <c r="T1159" s="6" t="str">
        <f aca="false">"Sem - "&amp;WEEKNUM(Q1159,21)</f>
        <v>Sem - 42</v>
      </c>
      <c r="U1159" s="6" t="str">
        <f aca="false">CHOOSE(MONTH(Q1159),"Janvier","Février","Mars","Avril","Mai","Juin","Juillet","Août","Septembre","Octobre","Novembre","Décembre")</f>
        <v>Octobre</v>
      </c>
      <c r="V1159" s="22" t="n">
        <f aca="false">YEAR(Q1159)</f>
        <v>2026</v>
      </c>
      <c r="W1159" s="20"/>
      <c r="X1159" s="8" t="n">
        <f aca="false">IFERROR(IF(M1159="Abs",0,IF(ROUND((D1159-C1159+E1159-F1159)*1440,0)&lt;=1,0,D1159-C1159+E1159-F1159)),0)</f>
        <v>0</v>
      </c>
      <c r="Y1159" s="6" t="str">
        <f aca="false">IFERROR(VLOOKUP($B1159,Agents!$A:$D,3,0),"-")</f>
        <v>OUBRAHIM Mohammed</v>
      </c>
      <c r="Z1159" s="6" t="str">
        <f aca="false">IFERROR(VLOOKUP($B1159,Agents!$A:$D,4,0),"-")</f>
        <v>Credit Mutuel</v>
      </c>
      <c r="AA1159" s="18" t="s">
        <v>125</v>
      </c>
      <c r="AB1159" s="8" t="str">
        <f aca="false">IF(AND(D1159="Congé",F1159="Congé"),0.333333333333333,IF(OR(AND(D1159="Congé",F1159&lt;&gt;"Congé"),(AND(F1159="Congé",D1159&lt;&gt;"Congé"))),0.166666666666667,""))</f>
        <v/>
      </c>
      <c r="AC1159" s="8" t="str">
        <f aca="false">IF(AND(D1159="Congé sans solde",F1159="Congé sans solde"),0.333333333333333,IF(OR(AND(D1159="Congé sans solde",F1159&lt;&gt;"Congé sans solde"),(AND(F1159="Congé sans solde",D1159&lt;&gt;"Congé sans solde"))),0.166666666666667,""))</f>
        <v/>
      </c>
      <c r="AD1159" s="8" t="str">
        <f aca="false">IF(AND(D1159="Congé spécial",F1159="Congé spécial"),0.333333333333333,IF(OR(AND(D1159="Congé spécial",F1159&lt;&gt;"Congé spécial"),AND(F1159="Congé spécial",D1159&lt;&gt;"Congé spécial")),0.166666666666667,""))</f>
        <v/>
      </c>
      <c r="AE1159" s="8" t="str">
        <f aca="false">IF(AND(D1159="Férié",F1159="Férié"),0.333333333333333,IF(OR(AND(D1159="Férié",F1159&lt;&gt;"Férié"),(AND(F1159="Férié",D1159&lt;&gt;"Férié"))),0.166666666666667,""))</f>
        <v/>
      </c>
      <c r="AF1159" s="18"/>
      <c r="AG1159" s="18"/>
    </row>
    <row r="1160" customFormat="false" ht="15" hidden="false" customHeight="false" outlineLevel="0" collapsed="false">
      <c r="A1160" s="6" t="str">
        <f aca="false">YEAR(Q1160-WEEKDAY(Q1160,2)+4)&amp;"-S"&amp;TEXT(WEEKNUM(Q1160,21),"00")</f>
        <v>2026-S42</v>
      </c>
      <c r="B1160" s="18" t="s">
        <v>71</v>
      </c>
      <c r="C1160" s="19"/>
      <c r="D1160" s="19" t="s">
        <v>74</v>
      </c>
      <c r="E1160" s="19"/>
      <c r="F1160" s="19" t="s">
        <v>74</v>
      </c>
      <c r="G1160" s="20"/>
      <c r="H1160" s="20"/>
      <c r="I1160" s="8" t="str">
        <f aca="false">IF(IF(OR(C1160="",D1160="Congé",D1160="OFF",D1160="Congé spécial"),"",IF(D1160&gt;F1160,D1160-C1160,IF(C1160-D1160&lt;0,0,C1160-D1160)))&lt;0.00068287037037037,"",IF(OR(D1160="Congé",D1160="OFF",C1160="",D1160="Congé spécial"),"",IF(D1160&gt;F1160,D1160-C1160,IF(C1160-D1160&lt;0,0,C1160-D1160))))</f>
        <v/>
      </c>
      <c r="J1160" s="20"/>
      <c r="K1160" s="8" t="n">
        <f aca="false">IF(SUM(H1160:J1160)&lt;0.00068287037037037,0,SUM(H1160:J1160))</f>
        <v>0</v>
      </c>
      <c r="L1160" s="8" t="n">
        <f aca="false">IF(OR(F1160="Congé",F1160="OFF",M1160="Abs",F1160="Congé sans solde",F1160="Férié",F1160="Congé spécial",D1160="Congé spécial"),0,IF(F1160-E1160&lt;0,0,IF(F1160-E1160&lt;=0.00068287037037037,0,F1160-E1160)))</f>
        <v>0</v>
      </c>
      <c r="M1160" s="6" t="n">
        <f aca="false">IF(AND(O1160&lt;&gt;0,C1160=""),"Abs",0)</f>
        <v>0</v>
      </c>
      <c r="N1160" s="8" t="str">
        <f aca="false">IFERROR(IF(OR(D1160="OFF",D1160="Congé",M1160="Abs",D1160="Congé sans solde",D1160="Férié"),"",IF(O1160-K1160-L1160&gt;O1160,O1160,IF(O1160-K1160-L1160&lt;0,"",O1160-K1160-L1160))),"")</f>
        <v/>
      </c>
      <c r="O1160" s="8" t="n">
        <f aca="false">IF(AG1160="2H Pause déjeuner",IF(F1160-D1160-0.0833333333333333&lt;0,F1160-D1160-0.0833333333333333+1,F1160-D1160-0.0833333333333333),IF(OR(AND(F1160="OFF",D1160="OFF"),AND(F1160="Congé",D1160="Congé"),AND(F1160="Congé sans solde",D1160="Congé sans solde"),AND(F1160="Congé spécial",D1160="Congé spécial"),AND(F1160="Férié",D1160="Férié"),AND(F1160="OFF",D1160="Congé"),AND(F1160="OFF",D1160="Congé sans solde"),AND(F1160="OFF",D1160="Congé spécial"),AND(F1160="OFF",D1160="Férié"),AND(F1160="Congé",D1160="OFF"),AND(F1160="Congé",D1160="Congé sans solde"),AND(F1160="Congé",D1160="Congé spécial"),AND(F1160="Congé",D1160="Férié"),AND(F1160="Congé sans solde",D1160="OFF"),AND(F1160="Congé sans solde",D1160="Congé"),AND(F1160="Congé sans solde",D1160="Congé spécial"),AND(F1160="Congé sans solde",D1160="Férié"),AND(F1160="Congé spécial",D1160="OFF"),AND(F1160="Congé spécial",D1160="Congé"),AND(F1160="Congé spécial",D1160="Congé sans solde"),AND(F1160="Congé spécial",D1160="Férié"),AND(F1160="Férié",D1160="OFF"),AND(F1160="Férié",D1160="Congé"),AND(F1160="Férié",D1160="Congé sans solde"),AND(F1160="Férié",D1160="Congé spécial")),0,IF(OR(F1160="OFF",F1160="Congé",F1160="Congé spécial",F1160="Congé sans solde",D1160="OFF",D1160="Congé",D1160="Congé spécial",D1160="Congé sans solde"),0.208333333333334,IF(AND(AG1160="",F1160-D1160&lt;0),("24:00:00"-D1160)+("00:00:00"+F1160)-0.0416666666666667,IF(AND(OR(AG1160="Allaitement",AG1160="Sans déjeuner"),F1160-D1160&lt;0),("24:00:00"-D1160)+("00:00:00"+F1160),IF(AND(AG1160="",F1160-D1160&gt;0.166666666666667),F1160-D1160-0.0416666666666667,IF(AND(OR(AG1160="Allaitement",AG1160="Sans déjeuner"),F1160-D1160&gt;0.166666666666667),F1160-D1160,F1160-D1160)))))))</f>
        <v>0</v>
      </c>
      <c r="P1160" s="6" t="str">
        <f aca="false">IFERROR(VLOOKUP($B1160,Agents!$A:$D,2,0),"-")</f>
        <v>Accessibilité</v>
      </c>
      <c r="Q1160" s="21" t="n">
        <v>46313</v>
      </c>
      <c r="R1160" s="8" t="n">
        <f aca="false">IF(M1160="Abs",O1160,0)</f>
        <v>0</v>
      </c>
      <c r="S1160" s="8" t="n">
        <f aca="false">SUM(R1160,L1160,I1160,J1160,W1160,H1160)</f>
        <v>0</v>
      </c>
      <c r="T1160" s="6" t="str">
        <f aca="false">"Sem - "&amp;WEEKNUM(Q1160,21)</f>
        <v>Sem - 42</v>
      </c>
      <c r="U1160" s="6" t="str">
        <f aca="false">CHOOSE(MONTH(Q1160),"Janvier","Février","Mars","Avril","Mai","Juin","Juillet","Août","Septembre","Octobre","Novembre","Décembre")</f>
        <v>Octobre</v>
      </c>
      <c r="V1160" s="22" t="n">
        <f aca="false">YEAR(Q1160)</f>
        <v>2026</v>
      </c>
      <c r="W1160" s="20"/>
      <c r="X1160" s="8" t="n">
        <f aca="false">IFERROR(IF(M1160="Abs",0,IF(ROUND((D1160-C1160+E1160-F1160)*1440,0)&lt;=1,0,D1160-C1160+E1160-F1160)),0)</f>
        <v>0</v>
      </c>
      <c r="Y1160" s="6" t="str">
        <f aca="false">IFERROR(VLOOKUP($B1160,Agents!$A:$D,3,0),"-")</f>
        <v>OUBRAHIM Mohammed</v>
      </c>
      <c r="Z1160" s="6" t="str">
        <f aca="false">IFERROR(VLOOKUP($B1160,Agents!$A:$D,4,0),"-")</f>
        <v>Credit Mutuel</v>
      </c>
      <c r="AA1160" s="18" t="s">
        <v>125</v>
      </c>
      <c r="AB1160" s="8" t="str">
        <f aca="false">IF(AND(D1160="Congé",F1160="Congé"),0.333333333333333,IF(OR(AND(D1160="Congé",F1160&lt;&gt;"Congé"),(AND(F1160="Congé",D1160&lt;&gt;"Congé"))),0.166666666666667,""))</f>
        <v/>
      </c>
      <c r="AC1160" s="8" t="str">
        <f aca="false">IF(AND(D1160="Congé sans solde",F1160="Congé sans solde"),0.333333333333333,IF(OR(AND(D1160="Congé sans solde",F1160&lt;&gt;"Congé sans solde"),(AND(F1160="Congé sans solde",D1160&lt;&gt;"Congé sans solde"))),0.166666666666667,""))</f>
        <v/>
      </c>
      <c r="AD1160" s="8" t="str">
        <f aca="false">IF(AND(D1160="Congé spécial",F1160="Congé spécial"),0.333333333333333,IF(OR(AND(D1160="Congé spécial",F1160&lt;&gt;"Congé spécial"),AND(F1160="Congé spécial",D1160&lt;&gt;"Congé spécial")),0.166666666666667,""))</f>
        <v/>
      </c>
      <c r="AE1160" s="8" t="str">
        <f aca="false">IF(AND(D1160="Férié",F1160="Férié"),0.333333333333333,IF(OR(AND(D1160="Férié",F1160&lt;&gt;"Férié"),(AND(F1160="Férié",D1160&lt;&gt;"Férié"))),0.166666666666667,""))</f>
        <v/>
      </c>
      <c r="AF1160" s="18"/>
      <c r="AG1160" s="18"/>
    </row>
    <row r="1161" customFormat="false" ht="15" hidden="false" customHeight="false" outlineLevel="0" collapsed="false">
      <c r="A1161" s="6" t="str">
        <f aca="false">YEAR(Q1161-WEEKDAY(Q1161,2)+4)&amp;"-S"&amp;TEXT(WEEKNUM(Q1161,21),"00")</f>
        <v>2026-S42</v>
      </c>
      <c r="B1161" s="18" t="s">
        <v>72</v>
      </c>
      <c r="C1161" s="19"/>
      <c r="D1161" s="19" t="s">
        <v>74</v>
      </c>
      <c r="E1161" s="19"/>
      <c r="F1161" s="19" t="s">
        <v>74</v>
      </c>
      <c r="G1161" s="20"/>
      <c r="H1161" s="20"/>
      <c r="I1161" s="8" t="str">
        <f aca="false">IF(IF(OR(C1161="",D1161="Congé",D1161="OFF",D1161="Congé spécial"),"",IF(D1161&gt;F1161,D1161-C1161,IF(C1161-D1161&lt;0,0,C1161-D1161)))&lt;0.00068287037037037,"",IF(OR(D1161="Congé",D1161="OFF",C1161="",D1161="Congé spécial"),"",IF(D1161&gt;F1161,D1161-C1161,IF(C1161-D1161&lt;0,0,C1161-D1161))))</f>
        <v/>
      </c>
      <c r="J1161" s="20"/>
      <c r="K1161" s="8" t="n">
        <f aca="false">IF(SUM(H1161:J1161)&lt;0.00068287037037037,0,SUM(H1161:J1161))</f>
        <v>0</v>
      </c>
      <c r="L1161" s="8" t="n">
        <f aca="false">IF(OR(F1161="Congé",F1161="OFF",M1161="Abs",F1161="Congé sans solde",F1161="Férié",F1161="Congé spécial",D1161="Congé spécial"),0,IF(F1161-E1161&lt;0,0,IF(F1161-E1161&lt;=0.00068287037037037,0,F1161-E1161)))</f>
        <v>0</v>
      </c>
      <c r="M1161" s="6" t="n">
        <f aca="false">IF(AND(O1161&lt;&gt;0,C1161=""),"Abs",0)</f>
        <v>0</v>
      </c>
      <c r="N1161" s="8" t="str">
        <f aca="false">IFERROR(IF(OR(D1161="OFF",D1161="Congé",M1161="Abs",D1161="Congé sans solde",D1161="Férié"),"",IF(O1161-K1161-L1161&gt;O1161,O1161,IF(O1161-K1161-L1161&lt;0,"",O1161-K1161-L1161))),"")</f>
        <v/>
      </c>
      <c r="O1161" s="8" t="n">
        <f aca="false">IF(AG1161="2H Pause déjeuner",IF(F1161-D1161-0.0833333333333333&lt;0,F1161-D1161-0.0833333333333333+1,F1161-D1161-0.0833333333333333),IF(OR(AND(F1161="OFF",D1161="OFF"),AND(F1161="Congé",D1161="Congé"),AND(F1161="Congé sans solde",D1161="Congé sans solde"),AND(F1161="Congé spécial",D1161="Congé spécial"),AND(F1161="Férié",D1161="Férié"),AND(F1161="OFF",D1161="Congé"),AND(F1161="OFF",D1161="Congé sans solde"),AND(F1161="OFF",D1161="Congé spécial"),AND(F1161="OFF",D1161="Férié"),AND(F1161="Congé",D1161="OFF"),AND(F1161="Congé",D1161="Congé sans solde"),AND(F1161="Congé",D1161="Congé spécial"),AND(F1161="Congé",D1161="Férié"),AND(F1161="Congé sans solde",D1161="OFF"),AND(F1161="Congé sans solde",D1161="Congé"),AND(F1161="Congé sans solde",D1161="Congé spécial"),AND(F1161="Congé sans solde",D1161="Férié"),AND(F1161="Congé spécial",D1161="OFF"),AND(F1161="Congé spécial",D1161="Congé"),AND(F1161="Congé spécial",D1161="Congé sans solde"),AND(F1161="Congé spécial",D1161="Férié"),AND(F1161="Férié",D1161="OFF"),AND(F1161="Férié",D1161="Congé"),AND(F1161="Férié",D1161="Congé sans solde"),AND(F1161="Férié",D1161="Congé spécial")),0,IF(OR(F1161="OFF",F1161="Congé",F1161="Congé spécial",F1161="Congé sans solde",D1161="OFF",D1161="Congé",D1161="Congé spécial",D1161="Congé sans solde"),0.208333333333334,IF(AND(AG1161="",F1161-D1161&lt;0),("24:00:00"-D1161)+("00:00:00"+F1161)-0.0416666666666667,IF(AND(OR(AG1161="Allaitement",AG1161="Sans déjeuner"),F1161-D1161&lt;0),("24:00:00"-D1161)+("00:00:00"+F1161),IF(AND(AG1161="",F1161-D1161&gt;0.166666666666667),F1161-D1161-0.0416666666666667,IF(AND(OR(AG1161="Allaitement",AG1161="Sans déjeuner"),F1161-D1161&gt;0.166666666666667),F1161-D1161,F1161-D1161)))))))</f>
        <v>0</v>
      </c>
      <c r="P1161" s="6" t="str">
        <f aca="false">IFERROR(VLOOKUP($B1161,Agents!$A:$D,2,0),"-")</f>
        <v>Accessibilité</v>
      </c>
      <c r="Q1161" s="21" t="n">
        <v>46313</v>
      </c>
      <c r="R1161" s="8" t="n">
        <f aca="false">IF(M1161="Abs",O1161,0)</f>
        <v>0</v>
      </c>
      <c r="S1161" s="8" t="n">
        <f aca="false">SUM(R1161,L1161,I1161,J1161,W1161,H1161)</f>
        <v>0</v>
      </c>
      <c r="T1161" s="6" t="str">
        <f aca="false">"Sem - "&amp;WEEKNUM(Q1161,21)</f>
        <v>Sem - 42</v>
      </c>
      <c r="U1161" s="6" t="str">
        <f aca="false">CHOOSE(MONTH(Q1161),"Janvier","Février","Mars","Avril","Mai","Juin","Juillet","Août","Septembre","Octobre","Novembre","Décembre")</f>
        <v>Octobre</v>
      </c>
      <c r="V1161" s="22" t="n">
        <f aca="false">YEAR(Q1161)</f>
        <v>2026</v>
      </c>
      <c r="W1161" s="20"/>
      <c r="X1161" s="8" t="n">
        <f aca="false">IFERROR(IF(M1161="Abs",0,IF(ROUND((D1161-C1161+E1161-F1161)*1440,0)&lt;=1,0,D1161-C1161+E1161-F1161)),0)</f>
        <v>0</v>
      </c>
      <c r="Y1161" s="6" t="str">
        <f aca="false">IFERROR(VLOOKUP($B1161,Agents!$A:$D,3,0),"-")</f>
        <v>OUBRAHIM Mohammed</v>
      </c>
      <c r="Z1161" s="6" t="str">
        <f aca="false">IFERROR(VLOOKUP($B1161,Agents!$A:$D,4,0),"-")</f>
        <v>Credit Mutuel</v>
      </c>
      <c r="AA1161" s="18" t="s">
        <v>125</v>
      </c>
      <c r="AB1161" s="8" t="str">
        <f aca="false">IF(AND(D1161="Congé",F1161="Congé"),0.333333333333333,IF(OR(AND(D1161="Congé",F1161&lt;&gt;"Congé"),(AND(F1161="Congé",D1161&lt;&gt;"Congé"))),0.166666666666667,""))</f>
        <v/>
      </c>
      <c r="AC1161" s="8" t="str">
        <f aca="false">IF(AND(D1161="Congé sans solde",F1161="Congé sans solde"),0.333333333333333,IF(OR(AND(D1161="Congé sans solde",F1161&lt;&gt;"Congé sans solde"),(AND(F1161="Congé sans solde",D1161&lt;&gt;"Congé sans solde"))),0.166666666666667,""))</f>
        <v/>
      </c>
      <c r="AD1161" s="8" t="str">
        <f aca="false">IF(AND(D1161="Congé spécial",F1161="Congé spécial"),0.333333333333333,IF(OR(AND(D1161="Congé spécial",F1161&lt;&gt;"Congé spécial"),AND(F1161="Congé spécial",D1161&lt;&gt;"Congé spécial")),0.166666666666667,""))</f>
        <v/>
      </c>
      <c r="AE1161" s="8" t="str">
        <f aca="false">IF(AND(D1161="Férié",F1161="Férié"),0.333333333333333,IF(OR(AND(D1161="Férié",F1161&lt;&gt;"Férié"),(AND(F1161="Férié",D1161&lt;&gt;"Férié"))),0.166666666666667,""))</f>
        <v/>
      </c>
      <c r="AF1161" s="18"/>
      <c r="AG1161" s="18"/>
    </row>
    <row r="1162" customFormat="false" ht="15" hidden="false" customHeight="false" outlineLevel="0" collapsed="false">
      <c r="A1162" s="6" t="str">
        <f aca="false">YEAR(Q1162-WEEKDAY(Q1162,2)+4)&amp;"-S"&amp;TEXT(WEEKNUM(Q1162,21),"00")</f>
        <v>2026-S42</v>
      </c>
      <c r="B1162" s="18" t="s">
        <v>73</v>
      </c>
      <c r="C1162" s="19"/>
      <c r="D1162" s="19" t="s">
        <v>74</v>
      </c>
      <c r="E1162" s="19"/>
      <c r="F1162" s="19" t="s">
        <v>74</v>
      </c>
      <c r="G1162" s="20"/>
      <c r="H1162" s="20"/>
      <c r="I1162" s="8" t="str">
        <f aca="false">IF(IF(OR(C1162="",D1162="Congé",D1162="OFF",D1162="Congé spécial"),"",IF(D1162&gt;F1162,D1162-C1162,IF(C1162-D1162&lt;0,0,C1162-D1162)))&lt;0.00068287037037037,"",IF(OR(D1162="Congé",D1162="OFF",C1162="",D1162="Congé spécial"),"",IF(D1162&gt;F1162,D1162-C1162,IF(C1162-D1162&lt;0,0,C1162-D1162))))</f>
        <v/>
      </c>
      <c r="J1162" s="20"/>
      <c r="K1162" s="8" t="n">
        <f aca="false">IF(SUM(H1162:J1162)&lt;0.00068287037037037,0,SUM(H1162:J1162))</f>
        <v>0</v>
      </c>
      <c r="L1162" s="8" t="n">
        <f aca="false">IF(OR(F1162="Congé",F1162="OFF",M1162="Abs",F1162="Congé sans solde",F1162="Férié",F1162="Congé spécial",D1162="Congé spécial"),0,IF(F1162-E1162&lt;0,0,IF(F1162-E1162&lt;=0.00068287037037037,0,F1162-E1162)))</f>
        <v>0</v>
      </c>
      <c r="M1162" s="6" t="n">
        <f aca="false">IF(AND(O1162&lt;&gt;0,C1162=""),"Abs",0)</f>
        <v>0</v>
      </c>
      <c r="N1162" s="8" t="str">
        <f aca="false">IFERROR(IF(OR(D1162="OFF",D1162="Congé",M1162="Abs",D1162="Congé sans solde",D1162="Férié"),"",IF(O1162-K1162-L1162&gt;O1162,O1162,IF(O1162-K1162-L1162&lt;0,"",O1162-K1162-L1162))),"")</f>
        <v/>
      </c>
      <c r="O1162" s="8" t="n">
        <f aca="false">IF(AG1162="2H Pause déjeuner",IF(F1162-D1162-0.0833333333333333&lt;0,F1162-D1162-0.0833333333333333+1,F1162-D1162-0.0833333333333333),IF(OR(AND(F1162="OFF",D1162="OFF"),AND(F1162="Congé",D1162="Congé"),AND(F1162="Congé sans solde",D1162="Congé sans solde"),AND(F1162="Congé spécial",D1162="Congé spécial"),AND(F1162="Férié",D1162="Férié"),AND(F1162="OFF",D1162="Congé"),AND(F1162="OFF",D1162="Congé sans solde"),AND(F1162="OFF",D1162="Congé spécial"),AND(F1162="OFF",D1162="Férié"),AND(F1162="Congé",D1162="OFF"),AND(F1162="Congé",D1162="Congé sans solde"),AND(F1162="Congé",D1162="Congé spécial"),AND(F1162="Congé",D1162="Férié"),AND(F1162="Congé sans solde",D1162="OFF"),AND(F1162="Congé sans solde",D1162="Congé"),AND(F1162="Congé sans solde",D1162="Congé spécial"),AND(F1162="Congé sans solde",D1162="Férié"),AND(F1162="Congé spécial",D1162="OFF"),AND(F1162="Congé spécial",D1162="Congé"),AND(F1162="Congé spécial",D1162="Congé sans solde"),AND(F1162="Congé spécial",D1162="Férié"),AND(F1162="Férié",D1162="OFF"),AND(F1162="Férié",D1162="Congé"),AND(F1162="Férié",D1162="Congé sans solde"),AND(F1162="Férié",D1162="Congé spécial")),0,IF(OR(F1162="OFF",F1162="Congé",F1162="Congé spécial",F1162="Congé sans solde",D1162="OFF",D1162="Congé",D1162="Congé spécial",D1162="Congé sans solde"),0.208333333333334,IF(AND(AG1162="",F1162-D1162&lt;0),("24:00:00"-D1162)+("00:00:00"+F1162)-0.0416666666666667,IF(AND(OR(AG1162="Allaitement",AG1162="Sans déjeuner"),F1162-D1162&lt;0),("24:00:00"-D1162)+("00:00:00"+F1162),IF(AND(AG1162="",F1162-D1162&gt;0.166666666666667),F1162-D1162-0.0416666666666667,IF(AND(OR(AG1162="Allaitement",AG1162="Sans déjeuner"),F1162-D1162&gt;0.166666666666667),F1162-D1162,F1162-D1162)))))))</f>
        <v>0</v>
      </c>
      <c r="P1162" s="6" t="str">
        <f aca="false">IFERROR(VLOOKUP($B1162,Agents!$A:$D,2,0),"-")</f>
        <v>Accessibilité</v>
      </c>
      <c r="Q1162" s="21" t="n">
        <v>46313</v>
      </c>
      <c r="R1162" s="8" t="n">
        <f aca="false">IF(M1162="Abs",O1162,0)</f>
        <v>0</v>
      </c>
      <c r="S1162" s="8" t="n">
        <f aca="false">SUM(R1162,L1162,I1162,J1162,W1162,H1162)</f>
        <v>0</v>
      </c>
      <c r="T1162" s="6" t="str">
        <f aca="false">"Sem - "&amp;WEEKNUM(Q1162,21)</f>
        <v>Sem - 42</v>
      </c>
      <c r="U1162" s="6" t="str">
        <f aca="false">CHOOSE(MONTH(Q1162),"Janvier","Février","Mars","Avril","Mai","Juin","Juillet","Août","Septembre","Octobre","Novembre","Décembre")</f>
        <v>Octobre</v>
      </c>
      <c r="V1162" s="22" t="n">
        <f aca="false">YEAR(Q1162)</f>
        <v>2026</v>
      </c>
      <c r="W1162" s="20"/>
      <c r="X1162" s="8" t="n">
        <f aca="false">IFERROR(IF(M1162="Abs",0,IF(ROUND((D1162-C1162+E1162-F1162)*1440,0)&lt;=1,0,D1162-C1162+E1162-F1162)),0)</f>
        <v>0</v>
      </c>
      <c r="Y1162" s="6" t="str">
        <f aca="false">IFERROR(VLOOKUP($B1162,Agents!$A:$D,3,0),"-")</f>
        <v>OUBRAHIM Mohammed</v>
      </c>
      <c r="Z1162" s="6" t="str">
        <f aca="false">IFERROR(VLOOKUP($B1162,Agents!$A:$D,4,0),"-")</f>
        <v>Credit Mutuel</v>
      </c>
      <c r="AA1162" s="18" t="s">
        <v>125</v>
      </c>
      <c r="AB1162" s="8" t="str">
        <f aca="false">IF(AND(D1162="Congé",F1162="Congé"),0.333333333333333,IF(OR(AND(D1162="Congé",F1162&lt;&gt;"Congé"),(AND(F1162="Congé",D1162&lt;&gt;"Congé"))),0.166666666666667,""))</f>
        <v/>
      </c>
      <c r="AC1162" s="8" t="str">
        <f aca="false">IF(AND(D1162="Congé sans solde",F1162="Congé sans solde"),0.333333333333333,IF(OR(AND(D1162="Congé sans solde",F1162&lt;&gt;"Congé sans solde"),(AND(F1162="Congé sans solde",D1162&lt;&gt;"Congé sans solde"))),0.166666666666667,""))</f>
        <v/>
      </c>
      <c r="AD1162" s="8" t="str">
        <f aca="false">IF(AND(D1162="Congé spécial",F1162="Congé spécial"),0.333333333333333,IF(OR(AND(D1162="Congé spécial",F1162&lt;&gt;"Congé spécial"),AND(F1162="Congé spécial",D1162&lt;&gt;"Congé spécial")),0.166666666666667,""))</f>
        <v/>
      </c>
      <c r="AE1162" s="8" t="str">
        <f aca="false">IF(AND(D1162="Férié",F1162="Férié"),0.333333333333333,IF(OR(AND(D1162="Férié",F1162&lt;&gt;"Férié"),(AND(F1162="Férié",D1162&lt;&gt;"Férié"))),0.166666666666667,""))</f>
        <v/>
      </c>
      <c r="AF1162" s="18"/>
      <c r="AG1162" s="18"/>
    </row>
    <row r="1163" customFormat="false" ht="15" hidden="false" customHeight="false" outlineLevel="0" collapsed="false">
      <c r="A1163" s="6" t="str">
        <f aca="false">YEAR(Q1163-WEEKDAY(Q1163,2)+4)&amp;"-S"&amp;TEXT(WEEKNUM(Q1163,21),"00")</f>
        <v>2026-S42</v>
      </c>
      <c r="B1163" s="18" t="s">
        <v>124</v>
      </c>
      <c r="C1163" s="19"/>
      <c r="D1163" s="19" t="s">
        <v>74</v>
      </c>
      <c r="E1163" s="19"/>
      <c r="F1163" s="19" t="s">
        <v>74</v>
      </c>
      <c r="G1163" s="20"/>
      <c r="H1163" s="20"/>
      <c r="I1163" s="8" t="str">
        <f aca="false">IF(IF(OR(C1163="",D1163="Congé",D1163="OFF",D1163="Congé spécial"),"",IF(D1163&gt;F1163,D1163-C1163,IF(C1163-D1163&lt;0,0,C1163-D1163)))&lt;0.00068287037037037,"",IF(OR(D1163="Congé",D1163="OFF",C1163="",D1163="Congé spécial"),"",IF(D1163&gt;F1163,D1163-C1163,IF(C1163-D1163&lt;0,0,C1163-D1163))))</f>
        <v/>
      </c>
      <c r="J1163" s="20"/>
      <c r="K1163" s="8" t="n">
        <f aca="false">IF(SUM(H1163:J1163)&lt;0.00068287037037037,0,SUM(H1163:J1163))</f>
        <v>0</v>
      </c>
      <c r="L1163" s="8" t="n">
        <f aca="false">IF(OR(F1163="Congé",F1163="OFF",M1163="Abs",F1163="Congé sans solde",F1163="Férié",F1163="Congé spécial",D1163="Congé spécial"),0,IF(F1163-E1163&lt;0,0,IF(F1163-E1163&lt;=0.00068287037037037,0,F1163-E1163)))</f>
        <v>0</v>
      </c>
      <c r="M1163" s="6" t="n">
        <f aca="false">IF(AND(O1163&lt;&gt;0,C1163=""),"Abs",0)</f>
        <v>0</v>
      </c>
      <c r="N1163" s="8" t="str">
        <f aca="false">IFERROR(IF(OR(D1163="OFF",D1163="Congé",M1163="Abs",D1163="Congé sans solde",D1163="Férié"),"",IF(O1163-K1163-L1163&gt;O1163,O1163,IF(O1163-K1163-L1163&lt;0,"",O1163-K1163-L1163))),"")</f>
        <v/>
      </c>
      <c r="O1163" s="8" t="n">
        <f aca="false">IF(AG1163="2H Pause déjeuner",IF(F1163-D1163-0.0833333333333333&lt;0,F1163-D1163-0.0833333333333333+1,F1163-D1163-0.0833333333333333),IF(OR(AND(F1163="OFF",D1163="OFF"),AND(F1163="Congé",D1163="Congé"),AND(F1163="Congé sans solde",D1163="Congé sans solde"),AND(F1163="Congé spécial",D1163="Congé spécial"),AND(F1163="Férié",D1163="Férié"),AND(F1163="OFF",D1163="Congé"),AND(F1163="OFF",D1163="Congé sans solde"),AND(F1163="OFF",D1163="Congé spécial"),AND(F1163="OFF",D1163="Férié"),AND(F1163="Congé",D1163="OFF"),AND(F1163="Congé",D1163="Congé sans solde"),AND(F1163="Congé",D1163="Congé spécial"),AND(F1163="Congé",D1163="Férié"),AND(F1163="Congé sans solde",D1163="OFF"),AND(F1163="Congé sans solde",D1163="Congé"),AND(F1163="Congé sans solde",D1163="Congé spécial"),AND(F1163="Congé sans solde",D1163="Férié"),AND(F1163="Congé spécial",D1163="OFF"),AND(F1163="Congé spécial",D1163="Congé"),AND(F1163="Congé spécial",D1163="Congé sans solde"),AND(F1163="Congé spécial",D1163="Férié"),AND(F1163="Férié",D1163="OFF"),AND(F1163="Férié",D1163="Congé"),AND(F1163="Férié",D1163="Congé sans solde"),AND(F1163="Férié",D1163="Congé spécial")),0,IF(OR(F1163="OFF",F1163="Congé",F1163="Congé spécial",F1163="Congé sans solde",D1163="OFF",D1163="Congé",D1163="Congé spécial",D1163="Congé sans solde"),0.208333333333334,IF(AND(AG1163="",F1163-D1163&lt;0),("24:00:00"-D1163)+("00:00:00"+F1163)-0.0416666666666667,IF(AND(OR(AG1163="Allaitement",AG1163="Sans déjeuner"),F1163-D1163&lt;0),("24:00:00"-D1163)+("00:00:00"+F1163),IF(AND(AG1163="",F1163-D1163&gt;0.166666666666667),F1163-D1163-0.0416666666666667,IF(AND(OR(AG1163="Allaitement",AG1163="Sans déjeuner"),F1163-D1163&gt;0.166666666666667),F1163-D1163,F1163-D1163)))))))</f>
        <v>0</v>
      </c>
      <c r="P1163" s="6" t="str">
        <f aca="false">IFERROR(VLOOKUP($B1163,Agents!$A:$D,2,0),"-")</f>
        <v>Accessibilité</v>
      </c>
      <c r="Q1163" s="21" t="n">
        <v>46313</v>
      </c>
      <c r="R1163" s="8" t="n">
        <f aca="false">IF(M1163="Abs",O1163,0)</f>
        <v>0</v>
      </c>
      <c r="S1163" s="8" t="n">
        <f aca="false">SUM(R1163,L1163,I1163,J1163,W1163,H1163)</f>
        <v>0</v>
      </c>
      <c r="T1163" s="6" t="str">
        <f aca="false">"Sem - "&amp;WEEKNUM(Q1163,21)</f>
        <v>Sem - 42</v>
      </c>
      <c r="U1163" s="6" t="str">
        <f aca="false">CHOOSE(MONTH(Q1163),"Janvier","Février","Mars","Avril","Mai","Juin","Juillet","Août","Septembre","Octobre","Novembre","Décembre")</f>
        <v>Octobre</v>
      </c>
      <c r="V1163" s="22" t="n">
        <f aca="false">YEAR(Q1163)</f>
        <v>2026</v>
      </c>
      <c r="W1163" s="20"/>
      <c r="X1163" s="8" t="n">
        <f aca="false">IFERROR(IF(M1163="Abs",0,IF(ROUND((D1163-C1163+E1163-F1163)*1440,0)&lt;=1,0,D1163-C1163+E1163-F1163)),0)</f>
        <v>0</v>
      </c>
      <c r="Y1163" s="6" t="str">
        <f aca="false">IFERROR(VLOOKUP($B1163,Agents!$A:$D,3,0),"-")</f>
        <v>OUBRAHIM Mohammed</v>
      </c>
      <c r="Z1163" s="6" t="str">
        <f aca="false">IFERROR(VLOOKUP($B1163,Agents!$A:$D,4,0),"-")</f>
        <v>Credit Mutuel</v>
      </c>
      <c r="AA1163" s="18" t="s">
        <v>125</v>
      </c>
      <c r="AB1163" s="8" t="str">
        <f aca="false">IF(AND(D1163="Congé",F1163="Congé"),0.333333333333333,IF(OR(AND(D1163="Congé",F1163&lt;&gt;"Congé"),(AND(F1163="Congé",D1163&lt;&gt;"Congé"))),0.166666666666667,""))</f>
        <v/>
      </c>
      <c r="AC1163" s="8" t="str">
        <f aca="false">IF(AND(D1163="Congé sans solde",F1163="Congé sans solde"),0.333333333333333,IF(OR(AND(D1163="Congé sans solde",F1163&lt;&gt;"Congé sans solde"),(AND(F1163="Congé sans solde",D1163&lt;&gt;"Congé sans solde"))),0.166666666666667,""))</f>
        <v/>
      </c>
      <c r="AD1163" s="8" t="str">
        <f aca="false">IF(AND(D1163="Congé spécial",F1163="Congé spécial"),0.333333333333333,IF(OR(AND(D1163="Congé spécial",F1163&lt;&gt;"Congé spécial"),AND(F1163="Congé spécial",D1163&lt;&gt;"Congé spécial")),0.166666666666667,""))</f>
        <v/>
      </c>
      <c r="AE1163" s="8" t="str">
        <f aca="false">IF(AND(D1163="Férié",F1163="Férié"),0.333333333333333,IF(OR(AND(D1163="Férié",F1163&lt;&gt;"Férié"),(AND(F1163="Férié",D1163&lt;&gt;"Férié"))),0.166666666666667,""))</f>
        <v/>
      </c>
      <c r="AF1163" s="18"/>
      <c r="AG1163" s="18"/>
    </row>
    <row r="1164" customFormat="false" ht="15" hidden="false" customHeight="false" outlineLevel="0" collapsed="false">
      <c r="A1164" s="6" t="str">
        <f aca="false">YEAR(Q1164-WEEKDAY(Q1164,2)+4)&amp;"-S"&amp;TEXT(WEEKNUM(Q1164,21),"00")</f>
        <v>2026-S43</v>
      </c>
      <c r="B1164" s="18" t="s">
        <v>71</v>
      </c>
      <c r="C1164" s="19" t="n">
        <v>0.33125</v>
      </c>
      <c r="D1164" s="19" t="n">
        <v>0.333333333333333</v>
      </c>
      <c r="E1164" s="19" t="n">
        <v>0.75</v>
      </c>
      <c r="F1164" s="19" t="n">
        <v>0.75</v>
      </c>
      <c r="G1164" s="20"/>
      <c r="H1164" s="20"/>
      <c r="I1164" s="8" t="str">
        <f aca="false">IF(IF(OR(C1164="",D1164="Congé",D1164="OFF",D1164="Congé spécial"),"",IF(D1164&gt;F1164,D1164-C1164,IF(C1164-D1164&lt;0,0,C1164-D1164)))&lt;0.00068287037037037,"",IF(OR(D1164="Congé",D1164="OFF",C1164="",D1164="Congé spécial"),"",IF(D1164&gt;F1164,D1164-C1164,IF(C1164-D1164&lt;0,0,C1164-D1164))))</f>
        <v/>
      </c>
      <c r="J1164" s="20"/>
      <c r="K1164" s="8" t="n">
        <f aca="false">IF(SUM(H1164:J1164)&lt;0.00068287037037037,0,SUM(H1164:J1164))</f>
        <v>0</v>
      </c>
      <c r="L1164" s="8" t="n">
        <f aca="false">IF(OR(F1164="Congé",F1164="OFF",M1164="Abs",F1164="Congé sans solde",F1164="Férié",F1164="Congé spécial",D1164="Congé spécial"),0,IF(F1164-E1164&lt;0,0,IF(F1164-E1164&lt;=0.00068287037037037,0,F1164-E1164)))</f>
        <v>0</v>
      </c>
      <c r="M1164" s="6" t="n">
        <f aca="false">IF(AND(O1164&lt;&gt;0,C1164=""),"Abs",0)</f>
        <v>0</v>
      </c>
      <c r="N1164" s="8" t="n">
        <f aca="false">IFERROR(IF(OR(D1164="OFF",D1164="Congé",M1164="Abs",D1164="Congé sans solde",D1164="Férié"),"",IF(O1164-K1164-L1164&gt;O1164,O1164,IF(O1164-K1164-L1164&lt;0,"",O1164-K1164-L1164))),"")</f>
        <v>0.375</v>
      </c>
      <c r="O1164" s="8" t="n">
        <f aca="false">IF(AG1164="2H Pause déjeuner",IF(F1164-D1164-0.0833333333333333&lt;0,F1164-D1164-0.0833333333333333+1,F1164-D1164-0.0833333333333333),IF(OR(AND(F1164="OFF",D1164="OFF"),AND(F1164="Congé",D1164="Congé"),AND(F1164="Congé sans solde",D1164="Congé sans solde"),AND(F1164="Congé spécial",D1164="Congé spécial"),AND(F1164="Férié",D1164="Férié"),AND(F1164="OFF",D1164="Congé"),AND(F1164="OFF",D1164="Congé sans solde"),AND(F1164="OFF",D1164="Congé spécial"),AND(F1164="OFF",D1164="Férié"),AND(F1164="Congé",D1164="OFF"),AND(F1164="Congé",D1164="Congé sans solde"),AND(F1164="Congé",D1164="Congé spécial"),AND(F1164="Congé",D1164="Férié"),AND(F1164="Congé sans solde",D1164="OFF"),AND(F1164="Congé sans solde",D1164="Congé"),AND(F1164="Congé sans solde",D1164="Congé spécial"),AND(F1164="Congé sans solde",D1164="Férié"),AND(F1164="Congé spécial",D1164="OFF"),AND(F1164="Congé spécial",D1164="Congé"),AND(F1164="Congé spécial",D1164="Congé sans solde"),AND(F1164="Congé spécial",D1164="Férié"),AND(F1164="Férié",D1164="OFF"),AND(F1164="Férié",D1164="Congé"),AND(F1164="Férié",D1164="Congé sans solde"),AND(F1164="Férié",D1164="Congé spécial")),0,IF(OR(F1164="OFF",F1164="Congé",F1164="Congé spécial",F1164="Congé sans solde",D1164="OFF",D1164="Congé",D1164="Congé spécial",D1164="Congé sans solde"),0.208333333333334,IF(AND(AG1164="",F1164-D1164&lt;0),("24:00:00"-D1164)+("00:00:00"+F1164)-0.0416666666666667,IF(AND(OR(AG1164="Allaitement",AG1164="Sans déjeuner"),F1164-D1164&lt;0),("24:00:00"-D1164)+("00:00:00"+F1164),IF(AND(AG1164="",F1164-D1164&gt;0.166666666666667),F1164-D1164-0.0416666666666667,IF(AND(OR(AG1164="Allaitement",AG1164="Sans déjeuner"),F1164-D1164&gt;0.166666666666667),F1164-D1164,F1164-D1164)))))))</f>
        <v>0.375</v>
      </c>
      <c r="P1164" s="6" t="str">
        <f aca="false">IFERROR(VLOOKUP($B1164,Agents!$A:$D,2,0),"-")</f>
        <v>Accessibilité</v>
      </c>
      <c r="Q1164" s="21" t="n">
        <v>46314</v>
      </c>
      <c r="R1164" s="8" t="n">
        <f aca="false">IF(M1164="Abs",O1164,0)</f>
        <v>0</v>
      </c>
      <c r="S1164" s="8" t="n">
        <f aca="false">SUM(R1164,L1164,I1164,J1164,W1164,H1164)</f>
        <v>0</v>
      </c>
      <c r="T1164" s="6" t="str">
        <f aca="false">"Sem - "&amp;WEEKNUM(Q1164,21)</f>
        <v>Sem - 43</v>
      </c>
      <c r="U1164" s="6" t="str">
        <f aca="false">CHOOSE(MONTH(Q1164),"Janvier","Février","Mars","Avril","Mai","Juin","Juillet","Août","Septembre","Octobre","Novembre","Décembre")</f>
        <v>Octobre</v>
      </c>
      <c r="V1164" s="22" t="n">
        <f aca="false">YEAR(Q1164)</f>
        <v>2026</v>
      </c>
      <c r="W1164" s="20"/>
      <c r="X1164" s="8" t="n">
        <f aca="false">IFERROR(IF(M1164="Abs",0,IF(ROUND((D1164-C1164+E1164-F1164)*1440,0)&lt;=1,0,D1164-C1164+E1164-F1164)),0)</f>
        <v>0.00208333333333333</v>
      </c>
      <c r="Y1164" s="6" t="str">
        <f aca="false">IFERROR(VLOOKUP($B1164,Agents!$A:$D,3,0),"-")</f>
        <v>OUBRAHIM Mohammed</v>
      </c>
      <c r="Z1164" s="6" t="str">
        <f aca="false">IFERROR(VLOOKUP($B1164,Agents!$A:$D,4,0),"-")</f>
        <v>Credit Mutuel</v>
      </c>
      <c r="AA1164" s="18" t="s">
        <v>126</v>
      </c>
      <c r="AB1164" s="8" t="str">
        <f aca="false">IF(AND(D1164="Congé",F1164="Congé"),0.333333333333333,IF(OR(AND(D1164="Congé",F1164&lt;&gt;"Congé"),(AND(F1164="Congé",D1164&lt;&gt;"Congé"))),0.166666666666667,""))</f>
        <v/>
      </c>
      <c r="AC1164" s="8" t="str">
        <f aca="false">IF(AND(D1164="Congé sans solde",F1164="Congé sans solde"),0.333333333333333,IF(OR(AND(D1164="Congé sans solde",F1164&lt;&gt;"Congé sans solde"),(AND(F1164="Congé sans solde",D1164&lt;&gt;"Congé sans solde"))),0.166666666666667,""))</f>
        <v/>
      </c>
      <c r="AD1164" s="8" t="str">
        <f aca="false">IF(AND(D1164="Congé spécial",F1164="Congé spécial"),0.333333333333333,IF(OR(AND(D1164="Congé spécial",F1164&lt;&gt;"Congé spécial"),AND(F1164="Congé spécial",D1164&lt;&gt;"Congé spécial")),0.166666666666667,""))</f>
        <v/>
      </c>
      <c r="AE1164" s="8" t="str">
        <f aca="false">IF(AND(D1164="Férié",F1164="Férié"),0.333333333333333,IF(OR(AND(D1164="Férié",F1164&lt;&gt;"Férié"),(AND(F1164="Férié",D1164&lt;&gt;"Férié"))),0.166666666666667,""))</f>
        <v/>
      </c>
      <c r="AF1164" s="18"/>
      <c r="AG1164" s="18"/>
    </row>
    <row r="1165" customFormat="false" ht="15" hidden="false" customHeight="false" outlineLevel="0" collapsed="false">
      <c r="A1165" s="6" t="str">
        <f aca="false">YEAR(Q1165-WEEKDAY(Q1165,2)+4)&amp;"-S"&amp;TEXT(WEEKNUM(Q1165,21),"00")</f>
        <v>2026-S43</v>
      </c>
      <c r="B1165" s="18" t="s">
        <v>72</v>
      </c>
      <c r="C1165" s="19" t="n">
        <v>0.333333333333333</v>
      </c>
      <c r="D1165" s="19" t="n">
        <v>0.333333333333333</v>
      </c>
      <c r="E1165" s="19" t="n">
        <v>0.75</v>
      </c>
      <c r="F1165" s="19" t="n">
        <v>0.75</v>
      </c>
      <c r="G1165" s="20"/>
      <c r="H1165" s="20"/>
      <c r="I1165" s="8" t="str">
        <f aca="false">IF(IF(OR(C1165="",D1165="Congé",D1165="OFF",D1165="Congé spécial"),"",IF(D1165&gt;F1165,D1165-C1165,IF(C1165-D1165&lt;0,0,C1165-D1165)))&lt;0.00068287037037037,"",IF(OR(D1165="Congé",D1165="OFF",C1165="",D1165="Congé spécial"),"",IF(D1165&gt;F1165,D1165-C1165,IF(C1165-D1165&lt;0,0,C1165-D1165))))</f>
        <v/>
      </c>
      <c r="J1165" s="20"/>
      <c r="K1165" s="8" t="n">
        <f aca="false">IF(SUM(H1165:J1165)&lt;0.00068287037037037,0,SUM(H1165:J1165))</f>
        <v>0</v>
      </c>
      <c r="L1165" s="8" t="n">
        <f aca="false">IF(OR(F1165="Congé",F1165="OFF",M1165="Abs",F1165="Congé sans solde",F1165="Férié",F1165="Congé spécial",D1165="Congé spécial"),0,IF(F1165-E1165&lt;0,0,IF(F1165-E1165&lt;=0.00068287037037037,0,F1165-E1165)))</f>
        <v>0</v>
      </c>
      <c r="M1165" s="6" t="n">
        <f aca="false">IF(AND(O1165&lt;&gt;0,C1165=""),"Abs",0)</f>
        <v>0</v>
      </c>
      <c r="N1165" s="8" t="n">
        <f aca="false">IFERROR(IF(OR(D1165="OFF",D1165="Congé",M1165="Abs",D1165="Congé sans solde",D1165="Férié"),"",IF(O1165-K1165-L1165&gt;O1165,O1165,IF(O1165-K1165-L1165&lt;0,"",O1165-K1165-L1165))),"")</f>
        <v>0.375</v>
      </c>
      <c r="O1165" s="8" t="n">
        <f aca="false">IF(AG1165="2H Pause déjeuner",IF(F1165-D1165-0.0833333333333333&lt;0,F1165-D1165-0.0833333333333333+1,F1165-D1165-0.0833333333333333),IF(OR(AND(F1165="OFF",D1165="OFF"),AND(F1165="Congé",D1165="Congé"),AND(F1165="Congé sans solde",D1165="Congé sans solde"),AND(F1165="Congé spécial",D1165="Congé spécial"),AND(F1165="Férié",D1165="Férié"),AND(F1165="OFF",D1165="Congé"),AND(F1165="OFF",D1165="Congé sans solde"),AND(F1165="OFF",D1165="Congé spécial"),AND(F1165="OFF",D1165="Férié"),AND(F1165="Congé",D1165="OFF"),AND(F1165="Congé",D1165="Congé sans solde"),AND(F1165="Congé",D1165="Congé spécial"),AND(F1165="Congé",D1165="Férié"),AND(F1165="Congé sans solde",D1165="OFF"),AND(F1165="Congé sans solde",D1165="Congé"),AND(F1165="Congé sans solde",D1165="Congé spécial"),AND(F1165="Congé sans solde",D1165="Férié"),AND(F1165="Congé spécial",D1165="OFF"),AND(F1165="Congé spécial",D1165="Congé"),AND(F1165="Congé spécial",D1165="Congé sans solde"),AND(F1165="Congé spécial",D1165="Férié"),AND(F1165="Férié",D1165="OFF"),AND(F1165="Férié",D1165="Congé"),AND(F1165="Férié",D1165="Congé sans solde"),AND(F1165="Férié",D1165="Congé spécial")),0,IF(OR(F1165="OFF",F1165="Congé",F1165="Congé spécial",F1165="Congé sans solde",D1165="OFF",D1165="Congé",D1165="Congé spécial",D1165="Congé sans solde"),0.208333333333334,IF(AND(AG1165="",F1165-D1165&lt;0),("24:00:00"-D1165)+("00:00:00"+F1165)-0.0416666666666667,IF(AND(OR(AG1165="Allaitement",AG1165="Sans déjeuner"),F1165-D1165&lt;0),("24:00:00"-D1165)+("00:00:00"+F1165),IF(AND(AG1165="",F1165-D1165&gt;0.166666666666667),F1165-D1165-0.0416666666666667,IF(AND(OR(AG1165="Allaitement",AG1165="Sans déjeuner"),F1165-D1165&gt;0.166666666666667),F1165-D1165,F1165-D1165)))))))</f>
        <v>0.375</v>
      </c>
      <c r="P1165" s="6" t="str">
        <f aca="false">IFERROR(VLOOKUP($B1165,Agents!$A:$D,2,0),"-")</f>
        <v>Accessibilité</v>
      </c>
      <c r="Q1165" s="21" t="n">
        <v>46314</v>
      </c>
      <c r="R1165" s="8" t="n">
        <f aca="false">IF(M1165="Abs",O1165,0)</f>
        <v>0</v>
      </c>
      <c r="S1165" s="8" t="n">
        <f aca="false">SUM(R1165,L1165,I1165,J1165,W1165,H1165)</f>
        <v>0</v>
      </c>
      <c r="T1165" s="6" t="str">
        <f aca="false">"Sem - "&amp;WEEKNUM(Q1165,21)</f>
        <v>Sem - 43</v>
      </c>
      <c r="U1165" s="6" t="str">
        <f aca="false">CHOOSE(MONTH(Q1165),"Janvier","Février","Mars","Avril","Mai","Juin","Juillet","Août","Septembre","Octobre","Novembre","Décembre")</f>
        <v>Octobre</v>
      </c>
      <c r="V1165" s="22" t="n">
        <f aca="false">YEAR(Q1165)</f>
        <v>2026</v>
      </c>
      <c r="W1165" s="20"/>
      <c r="X1165" s="8" t="n">
        <f aca="false">IFERROR(IF(M1165="Abs",0,IF(ROUND((D1165-C1165+E1165-F1165)*1440,0)&lt;=1,0,D1165-C1165+E1165-F1165)),0)</f>
        <v>0</v>
      </c>
      <c r="Y1165" s="6" t="str">
        <f aca="false">IFERROR(VLOOKUP($B1165,Agents!$A:$D,3,0),"-")</f>
        <v>OUBRAHIM Mohammed</v>
      </c>
      <c r="Z1165" s="6" t="str">
        <f aca="false">IFERROR(VLOOKUP($B1165,Agents!$A:$D,4,0),"-")</f>
        <v>Credit Mutuel</v>
      </c>
      <c r="AA1165" s="18" t="s">
        <v>126</v>
      </c>
      <c r="AB1165" s="8" t="str">
        <f aca="false">IF(AND(D1165="Congé",F1165="Congé"),0.333333333333333,IF(OR(AND(D1165="Congé",F1165&lt;&gt;"Congé"),(AND(F1165="Congé",D1165&lt;&gt;"Congé"))),0.166666666666667,""))</f>
        <v/>
      </c>
      <c r="AC1165" s="8" t="str">
        <f aca="false">IF(AND(D1165="Congé sans solde",F1165="Congé sans solde"),0.333333333333333,IF(OR(AND(D1165="Congé sans solde",F1165&lt;&gt;"Congé sans solde"),(AND(F1165="Congé sans solde",D1165&lt;&gt;"Congé sans solde"))),0.166666666666667,""))</f>
        <v/>
      </c>
      <c r="AD1165" s="8" t="str">
        <f aca="false">IF(AND(D1165="Congé spécial",F1165="Congé spécial"),0.333333333333333,IF(OR(AND(D1165="Congé spécial",F1165&lt;&gt;"Congé spécial"),AND(F1165="Congé spécial",D1165&lt;&gt;"Congé spécial")),0.166666666666667,""))</f>
        <v/>
      </c>
      <c r="AE1165" s="8" t="str">
        <f aca="false">IF(AND(D1165="Férié",F1165="Férié"),0.333333333333333,IF(OR(AND(D1165="Férié",F1165&lt;&gt;"Férié"),(AND(F1165="Férié",D1165&lt;&gt;"Férié"))),0.166666666666667,""))</f>
        <v/>
      </c>
      <c r="AF1165" s="18"/>
      <c r="AG1165" s="18"/>
    </row>
    <row r="1166" customFormat="false" ht="15" hidden="false" customHeight="false" outlineLevel="0" collapsed="false">
      <c r="A1166" s="6" t="str">
        <f aca="false">YEAR(Q1166-WEEKDAY(Q1166,2)+4)&amp;"-S"&amp;TEXT(WEEKNUM(Q1166,21),"00")</f>
        <v>2026-S43</v>
      </c>
      <c r="B1166" s="18" t="s">
        <v>73</v>
      </c>
      <c r="C1166" s="19" t="n">
        <v>0.331944444444444</v>
      </c>
      <c r="D1166" s="19" t="n">
        <v>0.333333333333333</v>
      </c>
      <c r="E1166" s="19" t="n">
        <v>0.75</v>
      </c>
      <c r="F1166" s="19" t="n">
        <v>0.75</v>
      </c>
      <c r="G1166" s="20"/>
      <c r="H1166" s="20"/>
      <c r="I1166" s="8" t="str">
        <f aca="false">IF(IF(OR(C1166="",D1166="Congé",D1166="OFF",D1166="Congé spécial"),"",IF(D1166&gt;F1166,D1166-C1166,IF(C1166-D1166&lt;0,0,C1166-D1166)))&lt;0.00068287037037037,"",IF(OR(D1166="Congé",D1166="OFF",C1166="",D1166="Congé spécial"),"",IF(D1166&gt;F1166,D1166-C1166,IF(C1166-D1166&lt;0,0,C1166-D1166))))</f>
        <v/>
      </c>
      <c r="J1166" s="20"/>
      <c r="K1166" s="8" t="n">
        <f aca="false">IF(SUM(H1166:J1166)&lt;0.00068287037037037,0,SUM(H1166:J1166))</f>
        <v>0</v>
      </c>
      <c r="L1166" s="8" t="n">
        <f aca="false">IF(OR(F1166="Congé",F1166="OFF",M1166="Abs",F1166="Congé sans solde",F1166="Férié",F1166="Congé spécial",D1166="Congé spécial"),0,IF(F1166-E1166&lt;0,0,IF(F1166-E1166&lt;=0.00068287037037037,0,F1166-E1166)))</f>
        <v>0</v>
      </c>
      <c r="M1166" s="6" t="n">
        <f aca="false">IF(AND(O1166&lt;&gt;0,C1166=""),"Abs",0)</f>
        <v>0</v>
      </c>
      <c r="N1166" s="8" t="n">
        <f aca="false">IFERROR(IF(OR(D1166="OFF",D1166="Congé",M1166="Abs",D1166="Congé sans solde",D1166="Férié"),"",IF(O1166-K1166-L1166&gt;O1166,O1166,IF(O1166-K1166-L1166&lt;0,"",O1166-K1166-L1166))),"")</f>
        <v>0.375</v>
      </c>
      <c r="O1166" s="8" t="n">
        <f aca="false">IF(AG1166="2H Pause déjeuner",IF(F1166-D1166-0.0833333333333333&lt;0,F1166-D1166-0.0833333333333333+1,F1166-D1166-0.0833333333333333),IF(OR(AND(F1166="OFF",D1166="OFF"),AND(F1166="Congé",D1166="Congé"),AND(F1166="Congé sans solde",D1166="Congé sans solde"),AND(F1166="Congé spécial",D1166="Congé spécial"),AND(F1166="Férié",D1166="Férié"),AND(F1166="OFF",D1166="Congé"),AND(F1166="OFF",D1166="Congé sans solde"),AND(F1166="OFF",D1166="Congé spécial"),AND(F1166="OFF",D1166="Férié"),AND(F1166="Congé",D1166="OFF"),AND(F1166="Congé",D1166="Congé sans solde"),AND(F1166="Congé",D1166="Congé spécial"),AND(F1166="Congé",D1166="Férié"),AND(F1166="Congé sans solde",D1166="OFF"),AND(F1166="Congé sans solde",D1166="Congé"),AND(F1166="Congé sans solde",D1166="Congé spécial"),AND(F1166="Congé sans solde",D1166="Férié"),AND(F1166="Congé spécial",D1166="OFF"),AND(F1166="Congé spécial",D1166="Congé"),AND(F1166="Congé spécial",D1166="Congé sans solde"),AND(F1166="Congé spécial",D1166="Férié"),AND(F1166="Férié",D1166="OFF"),AND(F1166="Férié",D1166="Congé"),AND(F1166="Férié",D1166="Congé sans solde"),AND(F1166="Férié",D1166="Congé spécial")),0,IF(OR(F1166="OFF",F1166="Congé",F1166="Congé spécial",F1166="Congé sans solde",D1166="OFF",D1166="Congé",D1166="Congé spécial",D1166="Congé sans solde"),0.208333333333334,IF(AND(AG1166="",F1166-D1166&lt;0),("24:00:00"-D1166)+("00:00:00"+F1166)-0.0416666666666667,IF(AND(OR(AG1166="Allaitement",AG1166="Sans déjeuner"),F1166-D1166&lt;0),("24:00:00"-D1166)+("00:00:00"+F1166),IF(AND(AG1166="",F1166-D1166&gt;0.166666666666667),F1166-D1166-0.0416666666666667,IF(AND(OR(AG1166="Allaitement",AG1166="Sans déjeuner"),F1166-D1166&gt;0.166666666666667),F1166-D1166,F1166-D1166)))))))</f>
        <v>0.375</v>
      </c>
      <c r="P1166" s="6" t="str">
        <f aca="false">IFERROR(VLOOKUP($B1166,Agents!$A:$D,2,0),"-")</f>
        <v>Accessibilité</v>
      </c>
      <c r="Q1166" s="21" t="n">
        <v>46314</v>
      </c>
      <c r="R1166" s="8" t="n">
        <f aca="false">IF(M1166="Abs",O1166,0)</f>
        <v>0</v>
      </c>
      <c r="S1166" s="8" t="n">
        <f aca="false">SUM(R1166,L1166,I1166,J1166,W1166,H1166)</f>
        <v>0</v>
      </c>
      <c r="T1166" s="6" t="str">
        <f aca="false">"Sem - "&amp;WEEKNUM(Q1166,21)</f>
        <v>Sem - 43</v>
      </c>
      <c r="U1166" s="6" t="str">
        <f aca="false">CHOOSE(MONTH(Q1166),"Janvier","Février","Mars","Avril","Mai","Juin","Juillet","Août","Septembre","Octobre","Novembre","Décembre")</f>
        <v>Octobre</v>
      </c>
      <c r="V1166" s="22" t="n">
        <f aca="false">YEAR(Q1166)</f>
        <v>2026</v>
      </c>
      <c r="W1166" s="20"/>
      <c r="X1166" s="8" t="n">
        <f aca="false">IFERROR(IF(M1166="Abs",0,IF(ROUND((D1166-C1166+E1166-F1166)*1440,0)&lt;=1,0,D1166-C1166+E1166-F1166)),0)</f>
        <v>0.00138888888888889</v>
      </c>
      <c r="Y1166" s="6" t="str">
        <f aca="false">IFERROR(VLOOKUP($B1166,Agents!$A:$D,3,0),"-")</f>
        <v>OUBRAHIM Mohammed</v>
      </c>
      <c r="Z1166" s="6" t="str">
        <f aca="false">IFERROR(VLOOKUP($B1166,Agents!$A:$D,4,0),"-")</f>
        <v>Credit Mutuel</v>
      </c>
      <c r="AA1166" s="18" t="s">
        <v>126</v>
      </c>
      <c r="AB1166" s="8" t="str">
        <f aca="false">IF(AND(D1166="Congé",F1166="Congé"),0.333333333333333,IF(OR(AND(D1166="Congé",F1166&lt;&gt;"Congé"),(AND(F1166="Congé",D1166&lt;&gt;"Congé"))),0.166666666666667,""))</f>
        <v/>
      </c>
      <c r="AC1166" s="8" t="str">
        <f aca="false">IF(AND(D1166="Congé sans solde",F1166="Congé sans solde"),0.333333333333333,IF(OR(AND(D1166="Congé sans solde",F1166&lt;&gt;"Congé sans solde"),(AND(F1166="Congé sans solde",D1166&lt;&gt;"Congé sans solde"))),0.166666666666667,""))</f>
        <v/>
      </c>
      <c r="AD1166" s="8" t="str">
        <f aca="false">IF(AND(D1166="Congé spécial",F1166="Congé spécial"),0.333333333333333,IF(OR(AND(D1166="Congé spécial",F1166&lt;&gt;"Congé spécial"),AND(F1166="Congé spécial",D1166&lt;&gt;"Congé spécial")),0.166666666666667,""))</f>
        <v/>
      </c>
      <c r="AE1166" s="8" t="str">
        <f aca="false">IF(AND(D1166="Férié",F1166="Férié"),0.333333333333333,IF(OR(AND(D1166="Férié",F1166&lt;&gt;"Férié"),(AND(F1166="Férié",D1166&lt;&gt;"Férié"))),0.166666666666667,""))</f>
        <v/>
      </c>
      <c r="AF1166" s="18"/>
      <c r="AG1166" s="18"/>
    </row>
    <row r="1167" customFormat="false" ht="15" hidden="false" customHeight="false" outlineLevel="0" collapsed="false">
      <c r="A1167" s="6" t="str">
        <f aca="false">YEAR(Q1167-WEEKDAY(Q1167,2)+4)&amp;"-S"&amp;TEXT(WEEKNUM(Q1167,21),"00")</f>
        <v>2026-S43</v>
      </c>
      <c r="B1167" s="18" t="s">
        <v>124</v>
      </c>
      <c r="C1167" s="19" t="n">
        <v>0.332638888888889</v>
      </c>
      <c r="D1167" s="19" t="n">
        <v>0.333333333333333</v>
      </c>
      <c r="E1167" s="19" t="n">
        <v>0.75</v>
      </c>
      <c r="F1167" s="19" t="n">
        <v>0.75</v>
      </c>
      <c r="G1167" s="20"/>
      <c r="H1167" s="20"/>
      <c r="I1167" s="8" t="str">
        <f aca="false">IF(IF(OR(C1167="",D1167="Congé",D1167="OFF",D1167="Congé spécial"),"",IF(D1167&gt;F1167,D1167-C1167,IF(C1167-D1167&lt;0,0,C1167-D1167)))&lt;0.00068287037037037,"",IF(OR(D1167="Congé",D1167="OFF",C1167="",D1167="Congé spécial"),"",IF(D1167&gt;F1167,D1167-C1167,IF(C1167-D1167&lt;0,0,C1167-D1167))))</f>
        <v/>
      </c>
      <c r="J1167" s="20"/>
      <c r="K1167" s="8" t="n">
        <f aca="false">IF(SUM(H1167:J1167)&lt;0.00068287037037037,0,SUM(H1167:J1167))</f>
        <v>0</v>
      </c>
      <c r="L1167" s="8" t="n">
        <f aca="false">IF(OR(F1167="Congé",F1167="OFF",M1167="Abs",F1167="Congé sans solde",F1167="Férié",F1167="Congé spécial",D1167="Congé spécial"),0,IF(F1167-E1167&lt;0,0,IF(F1167-E1167&lt;=0.00068287037037037,0,F1167-E1167)))</f>
        <v>0</v>
      </c>
      <c r="M1167" s="6" t="n">
        <f aca="false">IF(AND(O1167&lt;&gt;0,C1167=""),"Abs",0)</f>
        <v>0</v>
      </c>
      <c r="N1167" s="8" t="n">
        <f aca="false">IFERROR(IF(OR(D1167="OFF",D1167="Congé",M1167="Abs",D1167="Congé sans solde",D1167="Férié"),"",IF(O1167-K1167-L1167&gt;O1167,O1167,IF(O1167-K1167-L1167&lt;0,"",O1167-K1167-L1167))),"")</f>
        <v>0.375</v>
      </c>
      <c r="O1167" s="8" t="n">
        <f aca="false">IF(AG1167="2H Pause déjeuner",IF(F1167-D1167-0.0833333333333333&lt;0,F1167-D1167-0.0833333333333333+1,F1167-D1167-0.0833333333333333),IF(OR(AND(F1167="OFF",D1167="OFF"),AND(F1167="Congé",D1167="Congé"),AND(F1167="Congé sans solde",D1167="Congé sans solde"),AND(F1167="Congé spécial",D1167="Congé spécial"),AND(F1167="Férié",D1167="Férié"),AND(F1167="OFF",D1167="Congé"),AND(F1167="OFF",D1167="Congé sans solde"),AND(F1167="OFF",D1167="Congé spécial"),AND(F1167="OFF",D1167="Férié"),AND(F1167="Congé",D1167="OFF"),AND(F1167="Congé",D1167="Congé sans solde"),AND(F1167="Congé",D1167="Congé spécial"),AND(F1167="Congé",D1167="Férié"),AND(F1167="Congé sans solde",D1167="OFF"),AND(F1167="Congé sans solde",D1167="Congé"),AND(F1167="Congé sans solde",D1167="Congé spécial"),AND(F1167="Congé sans solde",D1167="Férié"),AND(F1167="Congé spécial",D1167="OFF"),AND(F1167="Congé spécial",D1167="Congé"),AND(F1167="Congé spécial",D1167="Congé sans solde"),AND(F1167="Congé spécial",D1167="Férié"),AND(F1167="Férié",D1167="OFF"),AND(F1167="Férié",D1167="Congé"),AND(F1167="Férié",D1167="Congé sans solde"),AND(F1167="Férié",D1167="Congé spécial")),0,IF(OR(F1167="OFF",F1167="Congé",F1167="Congé spécial",F1167="Congé sans solde",D1167="OFF",D1167="Congé",D1167="Congé spécial",D1167="Congé sans solde"),0.208333333333334,IF(AND(AG1167="",F1167-D1167&lt;0),("24:00:00"-D1167)+("00:00:00"+F1167)-0.0416666666666667,IF(AND(OR(AG1167="Allaitement",AG1167="Sans déjeuner"),F1167-D1167&lt;0),("24:00:00"-D1167)+("00:00:00"+F1167),IF(AND(AG1167="",F1167-D1167&gt;0.166666666666667),F1167-D1167-0.0416666666666667,IF(AND(OR(AG1167="Allaitement",AG1167="Sans déjeuner"),F1167-D1167&gt;0.166666666666667),F1167-D1167,F1167-D1167)))))))</f>
        <v>0.375</v>
      </c>
      <c r="P1167" s="6" t="str">
        <f aca="false">IFERROR(VLOOKUP($B1167,Agents!$A:$D,2,0),"-")</f>
        <v>Accessibilité</v>
      </c>
      <c r="Q1167" s="21" t="n">
        <v>46314</v>
      </c>
      <c r="R1167" s="8" t="n">
        <f aca="false">IF(M1167="Abs",O1167,0)</f>
        <v>0</v>
      </c>
      <c r="S1167" s="8" t="n">
        <f aca="false">SUM(R1167,L1167,I1167,J1167,W1167,H1167)</f>
        <v>0</v>
      </c>
      <c r="T1167" s="6" t="str">
        <f aca="false">"Sem - "&amp;WEEKNUM(Q1167,21)</f>
        <v>Sem - 43</v>
      </c>
      <c r="U1167" s="6" t="str">
        <f aca="false">CHOOSE(MONTH(Q1167),"Janvier","Février","Mars","Avril","Mai","Juin","Juillet","Août","Septembre","Octobre","Novembre","Décembre")</f>
        <v>Octobre</v>
      </c>
      <c r="V1167" s="22" t="n">
        <f aca="false">YEAR(Q1167)</f>
        <v>2026</v>
      </c>
      <c r="W1167" s="20"/>
      <c r="X1167" s="8" t="n">
        <f aca="false">IFERROR(IF(M1167="Abs",0,IF(ROUND((D1167-C1167+E1167-F1167)*1440,0)&lt;=1,0,D1167-C1167+E1167-F1167)),0)</f>
        <v>0</v>
      </c>
      <c r="Y1167" s="6" t="str">
        <f aca="false">IFERROR(VLOOKUP($B1167,Agents!$A:$D,3,0),"-")</f>
        <v>OUBRAHIM Mohammed</v>
      </c>
      <c r="Z1167" s="6" t="str">
        <f aca="false">IFERROR(VLOOKUP($B1167,Agents!$A:$D,4,0),"-")</f>
        <v>Credit Mutuel</v>
      </c>
      <c r="AA1167" s="18" t="s">
        <v>126</v>
      </c>
      <c r="AB1167" s="8" t="str">
        <f aca="false">IF(AND(D1167="Congé",F1167="Congé"),0.333333333333333,IF(OR(AND(D1167="Congé",F1167&lt;&gt;"Congé"),(AND(F1167="Congé",D1167&lt;&gt;"Congé"))),0.166666666666667,""))</f>
        <v/>
      </c>
      <c r="AC1167" s="8" t="str">
        <f aca="false">IF(AND(D1167="Congé sans solde",F1167="Congé sans solde"),0.333333333333333,IF(OR(AND(D1167="Congé sans solde",F1167&lt;&gt;"Congé sans solde"),(AND(F1167="Congé sans solde",D1167&lt;&gt;"Congé sans solde"))),0.166666666666667,""))</f>
        <v/>
      </c>
      <c r="AD1167" s="8" t="str">
        <f aca="false">IF(AND(D1167="Congé spécial",F1167="Congé spécial"),0.333333333333333,IF(OR(AND(D1167="Congé spécial",F1167&lt;&gt;"Congé spécial"),AND(F1167="Congé spécial",D1167&lt;&gt;"Congé spécial")),0.166666666666667,""))</f>
        <v/>
      </c>
      <c r="AE1167" s="8" t="str">
        <f aca="false">IF(AND(D1167="Férié",F1167="Férié"),0.333333333333333,IF(OR(AND(D1167="Férié",F1167&lt;&gt;"Férié"),(AND(F1167="Férié",D1167&lt;&gt;"Férié"))),0.166666666666667,""))</f>
        <v/>
      </c>
      <c r="AF1167" s="18"/>
      <c r="AG1167" s="18"/>
    </row>
    <row r="1168" customFormat="false" ht="15" hidden="false" customHeight="false" outlineLevel="0" collapsed="false">
      <c r="A1168" s="6" t="str">
        <f aca="false">YEAR(Q1168-WEEKDAY(Q1168,2)+4)&amp;"-S"&amp;TEXT(WEEKNUM(Q1168,21),"00")</f>
        <v>2026-S43</v>
      </c>
      <c r="B1168" s="18" t="s">
        <v>71</v>
      </c>
      <c r="C1168" s="19" t="n">
        <v>0.33125</v>
      </c>
      <c r="D1168" s="19" t="n">
        <v>0.333333333333333</v>
      </c>
      <c r="E1168" s="19" t="n">
        <v>0.75</v>
      </c>
      <c r="F1168" s="19" t="n">
        <v>0.75</v>
      </c>
      <c r="G1168" s="20"/>
      <c r="H1168" s="20"/>
      <c r="I1168" s="8" t="str">
        <f aca="false">IF(IF(OR(C1168="",D1168="Congé",D1168="OFF",D1168="Congé spécial"),"",IF(D1168&gt;F1168,D1168-C1168,IF(C1168-D1168&lt;0,0,C1168-D1168)))&lt;0.00068287037037037,"",IF(OR(D1168="Congé",D1168="OFF",C1168="",D1168="Congé spécial"),"",IF(D1168&gt;F1168,D1168-C1168,IF(C1168-D1168&lt;0,0,C1168-D1168))))</f>
        <v/>
      </c>
      <c r="J1168" s="20"/>
      <c r="K1168" s="8" t="n">
        <f aca="false">IF(SUM(H1168:J1168)&lt;0.00068287037037037,0,SUM(H1168:J1168))</f>
        <v>0</v>
      </c>
      <c r="L1168" s="8" t="n">
        <f aca="false">IF(OR(F1168="Congé",F1168="OFF",M1168="Abs",F1168="Congé sans solde",F1168="Férié",F1168="Congé spécial",D1168="Congé spécial"),0,IF(F1168-E1168&lt;0,0,IF(F1168-E1168&lt;=0.00068287037037037,0,F1168-E1168)))</f>
        <v>0</v>
      </c>
      <c r="M1168" s="6" t="n">
        <f aca="false">IF(AND(O1168&lt;&gt;0,C1168=""),"Abs",0)</f>
        <v>0</v>
      </c>
      <c r="N1168" s="8" t="n">
        <f aca="false">IFERROR(IF(OR(D1168="OFF",D1168="Congé",M1168="Abs",D1168="Congé sans solde",D1168="Férié"),"",IF(O1168-K1168-L1168&gt;O1168,O1168,IF(O1168-K1168-L1168&lt;0,"",O1168-K1168-L1168))),"")</f>
        <v>0.375</v>
      </c>
      <c r="O1168" s="8" t="n">
        <f aca="false">IF(AG1168="2H Pause déjeuner",IF(F1168-D1168-0.0833333333333333&lt;0,F1168-D1168-0.0833333333333333+1,F1168-D1168-0.0833333333333333),IF(OR(AND(F1168="OFF",D1168="OFF"),AND(F1168="Congé",D1168="Congé"),AND(F1168="Congé sans solde",D1168="Congé sans solde"),AND(F1168="Congé spécial",D1168="Congé spécial"),AND(F1168="Férié",D1168="Férié"),AND(F1168="OFF",D1168="Congé"),AND(F1168="OFF",D1168="Congé sans solde"),AND(F1168="OFF",D1168="Congé spécial"),AND(F1168="OFF",D1168="Férié"),AND(F1168="Congé",D1168="OFF"),AND(F1168="Congé",D1168="Congé sans solde"),AND(F1168="Congé",D1168="Congé spécial"),AND(F1168="Congé",D1168="Férié"),AND(F1168="Congé sans solde",D1168="OFF"),AND(F1168="Congé sans solde",D1168="Congé"),AND(F1168="Congé sans solde",D1168="Congé spécial"),AND(F1168="Congé sans solde",D1168="Férié"),AND(F1168="Congé spécial",D1168="OFF"),AND(F1168="Congé spécial",D1168="Congé"),AND(F1168="Congé spécial",D1168="Congé sans solde"),AND(F1168="Congé spécial",D1168="Férié"),AND(F1168="Férié",D1168="OFF"),AND(F1168="Férié",D1168="Congé"),AND(F1168="Férié",D1168="Congé sans solde"),AND(F1168="Férié",D1168="Congé spécial")),0,IF(OR(F1168="OFF",F1168="Congé",F1168="Congé spécial",F1168="Congé sans solde",D1168="OFF",D1168="Congé",D1168="Congé spécial",D1168="Congé sans solde"),0.208333333333334,IF(AND(AG1168="",F1168-D1168&lt;0),("24:00:00"-D1168)+("00:00:00"+F1168)-0.0416666666666667,IF(AND(OR(AG1168="Allaitement",AG1168="Sans déjeuner"),F1168-D1168&lt;0),("24:00:00"-D1168)+("00:00:00"+F1168),IF(AND(AG1168="",F1168-D1168&gt;0.166666666666667),F1168-D1168-0.0416666666666667,IF(AND(OR(AG1168="Allaitement",AG1168="Sans déjeuner"),F1168-D1168&gt;0.166666666666667),F1168-D1168,F1168-D1168)))))))</f>
        <v>0.375</v>
      </c>
      <c r="P1168" s="6" t="str">
        <f aca="false">IFERROR(VLOOKUP($B1168,Agents!$A:$D,2,0),"-")</f>
        <v>Accessibilité</v>
      </c>
      <c r="Q1168" s="21" t="n">
        <v>46315</v>
      </c>
      <c r="R1168" s="8" t="n">
        <f aca="false">IF(M1168="Abs",O1168,0)</f>
        <v>0</v>
      </c>
      <c r="S1168" s="8" t="n">
        <f aca="false">SUM(R1168,L1168,I1168,J1168,W1168,H1168)</f>
        <v>0</v>
      </c>
      <c r="T1168" s="6" t="str">
        <f aca="false">"Sem - "&amp;WEEKNUM(Q1168,21)</f>
        <v>Sem - 43</v>
      </c>
      <c r="U1168" s="6" t="str">
        <f aca="false">CHOOSE(MONTH(Q1168),"Janvier","Février","Mars","Avril","Mai","Juin","Juillet","Août","Septembre","Octobre","Novembre","Décembre")</f>
        <v>Octobre</v>
      </c>
      <c r="V1168" s="22" t="n">
        <f aca="false">YEAR(Q1168)</f>
        <v>2026</v>
      </c>
      <c r="W1168" s="20"/>
      <c r="X1168" s="8" t="n">
        <f aca="false">IFERROR(IF(M1168="Abs",0,IF(ROUND((D1168-C1168+E1168-F1168)*1440,0)&lt;=1,0,D1168-C1168+E1168-F1168)),0)</f>
        <v>0.00208333333333333</v>
      </c>
      <c r="Y1168" s="6" t="str">
        <f aca="false">IFERROR(VLOOKUP($B1168,Agents!$A:$D,3,0),"-")</f>
        <v>OUBRAHIM Mohammed</v>
      </c>
      <c r="Z1168" s="6" t="str">
        <f aca="false">IFERROR(VLOOKUP($B1168,Agents!$A:$D,4,0),"-")</f>
        <v>Credit Mutuel</v>
      </c>
      <c r="AA1168" s="18" t="s">
        <v>126</v>
      </c>
      <c r="AB1168" s="8" t="str">
        <f aca="false">IF(AND(D1168="Congé",F1168="Congé"),0.333333333333333,IF(OR(AND(D1168="Congé",F1168&lt;&gt;"Congé"),(AND(F1168="Congé",D1168&lt;&gt;"Congé"))),0.166666666666667,""))</f>
        <v/>
      </c>
      <c r="AC1168" s="8" t="str">
        <f aca="false">IF(AND(D1168="Congé sans solde",F1168="Congé sans solde"),0.333333333333333,IF(OR(AND(D1168="Congé sans solde",F1168&lt;&gt;"Congé sans solde"),(AND(F1168="Congé sans solde",D1168&lt;&gt;"Congé sans solde"))),0.166666666666667,""))</f>
        <v/>
      </c>
      <c r="AD1168" s="8" t="str">
        <f aca="false">IF(AND(D1168="Congé spécial",F1168="Congé spécial"),0.333333333333333,IF(OR(AND(D1168="Congé spécial",F1168&lt;&gt;"Congé spécial"),AND(F1168="Congé spécial",D1168&lt;&gt;"Congé spécial")),0.166666666666667,""))</f>
        <v/>
      </c>
      <c r="AE1168" s="8" t="str">
        <f aca="false">IF(AND(D1168="Férié",F1168="Férié"),0.333333333333333,IF(OR(AND(D1168="Férié",F1168&lt;&gt;"Férié"),(AND(F1168="Férié",D1168&lt;&gt;"Férié"))),0.166666666666667,""))</f>
        <v/>
      </c>
      <c r="AF1168" s="18"/>
      <c r="AG1168" s="18"/>
    </row>
    <row r="1169" customFormat="false" ht="15" hidden="false" customHeight="false" outlineLevel="0" collapsed="false">
      <c r="A1169" s="6" t="str">
        <f aca="false">YEAR(Q1169-WEEKDAY(Q1169,2)+4)&amp;"-S"&amp;TEXT(WEEKNUM(Q1169,21),"00")</f>
        <v>2026-S43</v>
      </c>
      <c r="B1169" s="18" t="s">
        <v>72</v>
      </c>
      <c r="C1169" s="19" t="n">
        <v>0.331944444444444</v>
      </c>
      <c r="D1169" s="19" t="n">
        <v>0.333333333333333</v>
      </c>
      <c r="E1169" s="19" t="n">
        <v>0.75</v>
      </c>
      <c r="F1169" s="19" t="n">
        <v>0.75</v>
      </c>
      <c r="G1169" s="20"/>
      <c r="H1169" s="20"/>
      <c r="I1169" s="8" t="str">
        <f aca="false">IF(IF(OR(C1169="",D1169="Congé",D1169="OFF",D1169="Congé spécial"),"",IF(D1169&gt;F1169,D1169-C1169,IF(C1169-D1169&lt;0,0,C1169-D1169)))&lt;0.00068287037037037,"",IF(OR(D1169="Congé",D1169="OFF",C1169="",D1169="Congé spécial"),"",IF(D1169&gt;F1169,D1169-C1169,IF(C1169-D1169&lt;0,0,C1169-D1169))))</f>
        <v/>
      </c>
      <c r="J1169" s="20"/>
      <c r="K1169" s="8" t="n">
        <f aca="false">IF(SUM(H1169:J1169)&lt;0.00068287037037037,0,SUM(H1169:J1169))</f>
        <v>0</v>
      </c>
      <c r="L1169" s="8" t="n">
        <f aca="false">IF(OR(F1169="Congé",F1169="OFF",M1169="Abs",F1169="Congé sans solde",F1169="Férié",F1169="Congé spécial",D1169="Congé spécial"),0,IF(F1169-E1169&lt;0,0,IF(F1169-E1169&lt;=0.00068287037037037,0,F1169-E1169)))</f>
        <v>0</v>
      </c>
      <c r="M1169" s="6" t="n">
        <f aca="false">IF(AND(O1169&lt;&gt;0,C1169=""),"Abs",0)</f>
        <v>0</v>
      </c>
      <c r="N1169" s="8" t="n">
        <f aca="false">IFERROR(IF(OR(D1169="OFF",D1169="Congé",M1169="Abs",D1169="Congé sans solde",D1169="Férié"),"",IF(O1169-K1169-L1169&gt;O1169,O1169,IF(O1169-K1169-L1169&lt;0,"",O1169-K1169-L1169))),"")</f>
        <v>0.375</v>
      </c>
      <c r="O1169" s="8" t="n">
        <f aca="false">IF(AG1169="2H Pause déjeuner",IF(F1169-D1169-0.0833333333333333&lt;0,F1169-D1169-0.0833333333333333+1,F1169-D1169-0.0833333333333333),IF(OR(AND(F1169="OFF",D1169="OFF"),AND(F1169="Congé",D1169="Congé"),AND(F1169="Congé sans solde",D1169="Congé sans solde"),AND(F1169="Congé spécial",D1169="Congé spécial"),AND(F1169="Férié",D1169="Férié"),AND(F1169="OFF",D1169="Congé"),AND(F1169="OFF",D1169="Congé sans solde"),AND(F1169="OFF",D1169="Congé spécial"),AND(F1169="OFF",D1169="Férié"),AND(F1169="Congé",D1169="OFF"),AND(F1169="Congé",D1169="Congé sans solde"),AND(F1169="Congé",D1169="Congé spécial"),AND(F1169="Congé",D1169="Férié"),AND(F1169="Congé sans solde",D1169="OFF"),AND(F1169="Congé sans solde",D1169="Congé"),AND(F1169="Congé sans solde",D1169="Congé spécial"),AND(F1169="Congé sans solde",D1169="Férié"),AND(F1169="Congé spécial",D1169="OFF"),AND(F1169="Congé spécial",D1169="Congé"),AND(F1169="Congé spécial",D1169="Congé sans solde"),AND(F1169="Congé spécial",D1169="Férié"),AND(F1169="Férié",D1169="OFF"),AND(F1169="Férié",D1169="Congé"),AND(F1169="Férié",D1169="Congé sans solde"),AND(F1169="Férié",D1169="Congé spécial")),0,IF(OR(F1169="OFF",F1169="Congé",F1169="Congé spécial",F1169="Congé sans solde",D1169="OFF",D1169="Congé",D1169="Congé spécial",D1169="Congé sans solde"),0.208333333333334,IF(AND(AG1169="",F1169-D1169&lt;0),("24:00:00"-D1169)+("00:00:00"+F1169)-0.0416666666666667,IF(AND(OR(AG1169="Allaitement",AG1169="Sans déjeuner"),F1169-D1169&lt;0),("24:00:00"-D1169)+("00:00:00"+F1169),IF(AND(AG1169="",F1169-D1169&gt;0.166666666666667),F1169-D1169-0.0416666666666667,IF(AND(OR(AG1169="Allaitement",AG1169="Sans déjeuner"),F1169-D1169&gt;0.166666666666667),F1169-D1169,F1169-D1169)))))))</f>
        <v>0.375</v>
      </c>
      <c r="P1169" s="6" t="str">
        <f aca="false">IFERROR(VLOOKUP($B1169,Agents!$A:$D,2,0),"-")</f>
        <v>Accessibilité</v>
      </c>
      <c r="Q1169" s="21" t="n">
        <v>46315</v>
      </c>
      <c r="R1169" s="8" t="n">
        <f aca="false">IF(M1169="Abs",O1169,0)</f>
        <v>0</v>
      </c>
      <c r="S1169" s="8" t="n">
        <f aca="false">SUM(R1169,L1169,I1169,J1169,W1169,H1169)</f>
        <v>0</v>
      </c>
      <c r="T1169" s="6" t="str">
        <f aca="false">"Sem - "&amp;WEEKNUM(Q1169,21)</f>
        <v>Sem - 43</v>
      </c>
      <c r="U1169" s="6" t="str">
        <f aca="false">CHOOSE(MONTH(Q1169),"Janvier","Février","Mars","Avril","Mai","Juin","Juillet","Août","Septembre","Octobre","Novembre","Décembre")</f>
        <v>Octobre</v>
      </c>
      <c r="V1169" s="22" t="n">
        <f aca="false">YEAR(Q1169)</f>
        <v>2026</v>
      </c>
      <c r="W1169" s="20"/>
      <c r="X1169" s="8" t="n">
        <f aca="false">IFERROR(IF(M1169="Abs",0,IF(ROUND((D1169-C1169+E1169-F1169)*1440,0)&lt;=1,0,D1169-C1169+E1169-F1169)),0)</f>
        <v>0.00138888888888889</v>
      </c>
      <c r="Y1169" s="6" t="str">
        <f aca="false">IFERROR(VLOOKUP($B1169,Agents!$A:$D,3,0),"-")</f>
        <v>OUBRAHIM Mohammed</v>
      </c>
      <c r="Z1169" s="6" t="str">
        <f aca="false">IFERROR(VLOOKUP($B1169,Agents!$A:$D,4,0),"-")</f>
        <v>Credit Mutuel</v>
      </c>
      <c r="AA1169" s="18" t="s">
        <v>126</v>
      </c>
      <c r="AB1169" s="8" t="str">
        <f aca="false">IF(AND(D1169="Congé",F1169="Congé"),0.333333333333333,IF(OR(AND(D1169="Congé",F1169&lt;&gt;"Congé"),(AND(F1169="Congé",D1169&lt;&gt;"Congé"))),0.166666666666667,""))</f>
        <v/>
      </c>
      <c r="AC1169" s="8" t="str">
        <f aca="false">IF(AND(D1169="Congé sans solde",F1169="Congé sans solde"),0.333333333333333,IF(OR(AND(D1169="Congé sans solde",F1169&lt;&gt;"Congé sans solde"),(AND(F1169="Congé sans solde",D1169&lt;&gt;"Congé sans solde"))),0.166666666666667,""))</f>
        <v/>
      </c>
      <c r="AD1169" s="8" t="str">
        <f aca="false">IF(AND(D1169="Congé spécial",F1169="Congé spécial"),0.333333333333333,IF(OR(AND(D1169="Congé spécial",F1169&lt;&gt;"Congé spécial"),AND(F1169="Congé spécial",D1169&lt;&gt;"Congé spécial")),0.166666666666667,""))</f>
        <v/>
      </c>
      <c r="AE1169" s="8" t="str">
        <f aca="false">IF(AND(D1169="Férié",F1169="Férié"),0.333333333333333,IF(OR(AND(D1169="Férié",F1169&lt;&gt;"Férié"),(AND(F1169="Férié",D1169&lt;&gt;"Férié"))),0.166666666666667,""))</f>
        <v/>
      </c>
      <c r="AF1169" s="18"/>
      <c r="AG1169" s="18"/>
    </row>
    <row r="1170" customFormat="false" ht="15" hidden="false" customHeight="false" outlineLevel="0" collapsed="false">
      <c r="A1170" s="6" t="str">
        <f aca="false">YEAR(Q1170-WEEKDAY(Q1170,2)+4)&amp;"-S"&amp;TEXT(WEEKNUM(Q1170,21),"00")</f>
        <v>2026-S43</v>
      </c>
      <c r="B1170" s="18" t="s">
        <v>73</v>
      </c>
      <c r="C1170" s="19" t="n">
        <v>0.333333333333333</v>
      </c>
      <c r="D1170" s="19" t="n">
        <v>0.333333333333333</v>
      </c>
      <c r="E1170" s="19" t="n">
        <v>0.75</v>
      </c>
      <c r="F1170" s="19" t="n">
        <v>0.75</v>
      </c>
      <c r="G1170" s="20"/>
      <c r="H1170" s="20"/>
      <c r="I1170" s="8" t="str">
        <f aca="false">IF(IF(OR(C1170="",D1170="Congé",D1170="OFF",D1170="Congé spécial"),"",IF(D1170&gt;F1170,D1170-C1170,IF(C1170-D1170&lt;0,0,C1170-D1170)))&lt;0.00068287037037037,"",IF(OR(D1170="Congé",D1170="OFF",C1170="",D1170="Congé spécial"),"",IF(D1170&gt;F1170,D1170-C1170,IF(C1170-D1170&lt;0,0,C1170-D1170))))</f>
        <v/>
      </c>
      <c r="J1170" s="20"/>
      <c r="K1170" s="8" t="n">
        <f aca="false">IF(SUM(H1170:J1170)&lt;0.00068287037037037,0,SUM(H1170:J1170))</f>
        <v>0</v>
      </c>
      <c r="L1170" s="8" t="n">
        <f aca="false">IF(OR(F1170="Congé",F1170="OFF",M1170="Abs",F1170="Congé sans solde",F1170="Férié",F1170="Congé spécial",D1170="Congé spécial"),0,IF(F1170-E1170&lt;0,0,IF(F1170-E1170&lt;=0.00068287037037037,0,F1170-E1170)))</f>
        <v>0</v>
      </c>
      <c r="M1170" s="6" t="n">
        <f aca="false">IF(AND(O1170&lt;&gt;0,C1170=""),"Abs",0)</f>
        <v>0</v>
      </c>
      <c r="N1170" s="8" t="n">
        <f aca="false">IFERROR(IF(OR(D1170="OFF",D1170="Congé",M1170="Abs",D1170="Congé sans solde",D1170="Férié"),"",IF(O1170-K1170-L1170&gt;O1170,O1170,IF(O1170-K1170-L1170&lt;0,"",O1170-K1170-L1170))),"")</f>
        <v>0.375</v>
      </c>
      <c r="O1170" s="8" t="n">
        <f aca="false">IF(AG1170="2H Pause déjeuner",IF(F1170-D1170-0.0833333333333333&lt;0,F1170-D1170-0.0833333333333333+1,F1170-D1170-0.0833333333333333),IF(OR(AND(F1170="OFF",D1170="OFF"),AND(F1170="Congé",D1170="Congé"),AND(F1170="Congé sans solde",D1170="Congé sans solde"),AND(F1170="Congé spécial",D1170="Congé spécial"),AND(F1170="Férié",D1170="Férié"),AND(F1170="OFF",D1170="Congé"),AND(F1170="OFF",D1170="Congé sans solde"),AND(F1170="OFF",D1170="Congé spécial"),AND(F1170="OFF",D1170="Férié"),AND(F1170="Congé",D1170="OFF"),AND(F1170="Congé",D1170="Congé sans solde"),AND(F1170="Congé",D1170="Congé spécial"),AND(F1170="Congé",D1170="Férié"),AND(F1170="Congé sans solde",D1170="OFF"),AND(F1170="Congé sans solde",D1170="Congé"),AND(F1170="Congé sans solde",D1170="Congé spécial"),AND(F1170="Congé sans solde",D1170="Férié"),AND(F1170="Congé spécial",D1170="OFF"),AND(F1170="Congé spécial",D1170="Congé"),AND(F1170="Congé spécial",D1170="Congé sans solde"),AND(F1170="Congé spécial",D1170="Férié"),AND(F1170="Férié",D1170="OFF"),AND(F1170="Férié",D1170="Congé"),AND(F1170="Férié",D1170="Congé sans solde"),AND(F1170="Férié",D1170="Congé spécial")),0,IF(OR(F1170="OFF",F1170="Congé",F1170="Congé spécial",F1170="Congé sans solde",D1170="OFF",D1170="Congé",D1170="Congé spécial",D1170="Congé sans solde"),0.208333333333334,IF(AND(AG1170="",F1170-D1170&lt;0),("24:00:00"-D1170)+("00:00:00"+F1170)-0.0416666666666667,IF(AND(OR(AG1170="Allaitement",AG1170="Sans déjeuner"),F1170-D1170&lt;0),("24:00:00"-D1170)+("00:00:00"+F1170),IF(AND(AG1170="",F1170-D1170&gt;0.166666666666667),F1170-D1170-0.0416666666666667,IF(AND(OR(AG1170="Allaitement",AG1170="Sans déjeuner"),F1170-D1170&gt;0.166666666666667),F1170-D1170,F1170-D1170)))))))</f>
        <v>0.375</v>
      </c>
      <c r="P1170" s="6" t="str">
        <f aca="false">IFERROR(VLOOKUP($B1170,Agents!$A:$D,2,0),"-")</f>
        <v>Accessibilité</v>
      </c>
      <c r="Q1170" s="21" t="n">
        <v>46315</v>
      </c>
      <c r="R1170" s="8" t="n">
        <f aca="false">IF(M1170="Abs",O1170,0)</f>
        <v>0</v>
      </c>
      <c r="S1170" s="8" t="n">
        <f aca="false">SUM(R1170,L1170,I1170,J1170,W1170,H1170)</f>
        <v>0</v>
      </c>
      <c r="T1170" s="6" t="str">
        <f aca="false">"Sem - "&amp;WEEKNUM(Q1170,21)</f>
        <v>Sem - 43</v>
      </c>
      <c r="U1170" s="6" t="str">
        <f aca="false">CHOOSE(MONTH(Q1170),"Janvier","Février","Mars","Avril","Mai","Juin","Juillet","Août","Septembre","Octobre","Novembre","Décembre")</f>
        <v>Octobre</v>
      </c>
      <c r="V1170" s="22" t="n">
        <f aca="false">YEAR(Q1170)</f>
        <v>2026</v>
      </c>
      <c r="W1170" s="20"/>
      <c r="X1170" s="8" t="n">
        <f aca="false">IFERROR(IF(M1170="Abs",0,IF(ROUND((D1170-C1170+E1170-F1170)*1440,0)&lt;=1,0,D1170-C1170+E1170-F1170)),0)</f>
        <v>0</v>
      </c>
      <c r="Y1170" s="6" t="str">
        <f aca="false">IFERROR(VLOOKUP($B1170,Agents!$A:$D,3,0),"-")</f>
        <v>OUBRAHIM Mohammed</v>
      </c>
      <c r="Z1170" s="6" t="str">
        <f aca="false">IFERROR(VLOOKUP($B1170,Agents!$A:$D,4,0),"-")</f>
        <v>Credit Mutuel</v>
      </c>
      <c r="AA1170" s="18" t="s">
        <v>126</v>
      </c>
      <c r="AB1170" s="8" t="str">
        <f aca="false">IF(AND(D1170="Congé",F1170="Congé"),0.333333333333333,IF(OR(AND(D1170="Congé",F1170&lt;&gt;"Congé"),(AND(F1170="Congé",D1170&lt;&gt;"Congé"))),0.166666666666667,""))</f>
        <v/>
      </c>
      <c r="AC1170" s="8" t="str">
        <f aca="false">IF(AND(D1170="Congé sans solde",F1170="Congé sans solde"),0.333333333333333,IF(OR(AND(D1170="Congé sans solde",F1170&lt;&gt;"Congé sans solde"),(AND(F1170="Congé sans solde",D1170&lt;&gt;"Congé sans solde"))),0.166666666666667,""))</f>
        <v/>
      </c>
      <c r="AD1170" s="8" t="str">
        <f aca="false">IF(AND(D1170="Congé spécial",F1170="Congé spécial"),0.333333333333333,IF(OR(AND(D1170="Congé spécial",F1170&lt;&gt;"Congé spécial"),AND(F1170="Congé spécial",D1170&lt;&gt;"Congé spécial")),0.166666666666667,""))</f>
        <v/>
      </c>
      <c r="AE1170" s="8" t="str">
        <f aca="false">IF(AND(D1170="Férié",F1170="Férié"),0.333333333333333,IF(OR(AND(D1170="Férié",F1170&lt;&gt;"Férié"),(AND(F1170="Férié",D1170&lt;&gt;"Férié"))),0.166666666666667,""))</f>
        <v/>
      </c>
      <c r="AF1170" s="18"/>
      <c r="AG1170" s="18"/>
    </row>
    <row r="1171" customFormat="false" ht="15" hidden="false" customHeight="false" outlineLevel="0" collapsed="false">
      <c r="A1171" s="6" t="str">
        <f aca="false">YEAR(Q1171-WEEKDAY(Q1171,2)+4)&amp;"-S"&amp;TEXT(WEEKNUM(Q1171,21),"00")</f>
        <v>2026-S43</v>
      </c>
      <c r="B1171" s="18" t="s">
        <v>124</v>
      </c>
      <c r="C1171" s="19" t="n">
        <v>0.333333333333333</v>
      </c>
      <c r="D1171" s="19" t="n">
        <v>0.333333333333333</v>
      </c>
      <c r="E1171" s="19" t="n">
        <v>0.75</v>
      </c>
      <c r="F1171" s="19" t="n">
        <v>0.75</v>
      </c>
      <c r="G1171" s="20"/>
      <c r="H1171" s="20"/>
      <c r="I1171" s="8" t="str">
        <f aca="false">IF(IF(OR(C1171="",D1171="Congé",D1171="OFF",D1171="Congé spécial"),"",IF(D1171&gt;F1171,D1171-C1171,IF(C1171-D1171&lt;0,0,C1171-D1171)))&lt;0.00068287037037037,"",IF(OR(D1171="Congé",D1171="OFF",C1171="",D1171="Congé spécial"),"",IF(D1171&gt;F1171,D1171-C1171,IF(C1171-D1171&lt;0,0,C1171-D1171))))</f>
        <v/>
      </c>
      <c r="J1171" s="20"/>
      <c r="K1171" s="8" t="n">
        <f aca="false">IF(SUM(H1171:J1171)&lt;0.00068287037037037,0,SUM(H1171:J1171))</f>
        <v>0</v>
      </c>
      <c r="L1171" s="8" t="n">
        <f aca="false">IF(OR(F1171="Congé",F1171="OFF",M1171="Abs",F1171="Congé sans solde",F1171="Férié",F1171="Congé spécial",D1171="Congé spécial"),0,IF(F1171-E1171&lt;0,0,IF(F1171-E1171&lt;=0.00068287037037037,0,F1171-E1171)))</f>
        <v>0</v>
      </c>
      <c r="M1171" s="6" t="n">
        <f aca="false">IF(AND(O1171&lt;&gt;0,C1171=""),"Abs",0)</f>
        <v>0</v>
      </c>
      <c r="N1171" s="8" t="n">
        <f aca="false">IFERROR(IF(OR(D1171="OFF",D1171="Congé",M1171="Abs",D1171="Congé sans solde",D1171="Férié"),"",IF(O1171-K1171-L1171&gt;O1171,O1171,IF(O1171-K1171-L1171&lt;0,"",O1171-K1171-L1171))),"")</f>
        <v>0.375</v>
      </c>
      <c r="O1171" s="8" t="n">
        <f aca="false">IF(AG1171="2H Pause déjeuner",IF(F1171-D1171-0.0833333333333333&lt;0,F1171-D1171-0.0833333333333333+1,F1171-D1171-0.0833333333333333),IF(OR(AND(F1171="OFF",D1171="OFF"),AND(F1171="Congé",D1171="Congé"),AND(F1171="Congé sans solde",D1171="Congé sans solde"),AND(F1171="Congé spécial",D1171="Congé spécial"),AND(F1171="Férié",D1171="Férié"),AND(F1171="OFF",D1171="Congé"),AND(F1171="OFF",D1171="Congé sans solde"),AND(F1171="OFF",D1171="Congé spécial"),AND(F1171="OFF",D1171="Férié"),AND(F1171="Congé",D1171="OFF"),AND(F1171="Congé",D1171="Congé sans solde"),AND(F1171="Congé",D1171="Congé spécial"),AND(F1171="Congé",D1171="Férié"),AND(F1171="Congé sans solde",D1171="OFF"),AND(F1171="Congé sans solde",D1171="Congé"),AND(F1171="Congé sans solde",D1171="Congé spécial"),AND(F1171="Congé sans solde",D1171="Férié"),AND(F1171="Congé spécial",D1171="OFF"),AND(F1171="Congé spécial",D1171="Congé"),AND(F1171="Congé spécial",D1171="Congé sans solde"),AND(F1171="Congé spécial",D1171="Férié"),AND(F1171="Férié",D1171="OFF"),AND(F1171="Férié",D1171="Congé"),AND(F1171="Férié",D1171="Congé sans solde"),AND(F1171="Férié",D1171="Congé spécial")),0,IF(OR(F1171="OFF",F1171="Congé",F1171="Congé spécial",F1171="Congé sans solde",D1171="OFF",D1171="Congé",D1171="Congé spécial",D1171="Congé sans solde"),0.208333333333334,IF(AND(AG1171="",F1171-D1171&lt;0),("24:00:00"-D1171)+("00:00:00"+F1171)-0.0416666666666667,IF(AND(OR(AG1171="Allaitement",AG1171="Sans déjeuner"),F1171-D1171&lt;0),("24:00:00"-D1171)+("00:00:00"+F1171),IF(AND(AG1171="",F1171-D1171&gt;0.166666666666667),F1171-D1171-0.0416666666666667,IF(AND(OR(AG1171="Allaitement",AG1171="Sans déjeuner"),F1171-D1171&gt;0.166666666666667),F1171-D1171,F1171-D1171)))))))</f>
        <v>0.375</v>
      </c>
      <c r="P1171" s="6" t="str">
        <f aca="false">IFERROR(VLOOKUP($B1171,Agents!$A:$D,2,0),"-")</f>
        <v>Accessibilité</v>
      </c>
      <c r="Q1171" s="21" t="n">
        <v>46315</v>
      </c>
      <c r="R1171" s="8" t="n">
        <f aca="false">IF(M1171="Abs",O1171,0)</f>
        <v>0</v>
      </c>
      <c r="S1171" s="8" t="n">
        <f aca="false">SUM(R1171,L1171,I1171,J1171,W1171,H1171)</f>
        <v>0</v>
      </c>
      <c r="T1171" s="6" t="str">
        <f aca="false">"Sem - "&amp;WEEKNUM(Q1171,21)</f>
        <v>Sem - 43</v>
      </c>
      <c r="U1171" s="6" t="str">
        <f aca="false">CHOOSE(MONTH(Q1171),"Janvier","Février","Mars","Avril","Mai","Juin","Juillet","Août","Septembre","Octobre","Novembre","Décembre")</f>
        <v>Octobre</v>
      </c>
      <c r="V1171" s="22" t="n">
        <f aca="false">YEAR(Q1171)</f>
        <v>2026</v>
      </c>
      <c r="W1171" s="20"/>
      <c r="X1171" s="8" t="n">
        <f aca="false">IFERROR(IF(M1171="Abs",0,IF(ROUND((D1171-C1171+E1171-F1171)*1440,0)&lt;=1,0,D1171-C1171+E1171-F1171)),0)</f>
        <v>0</v>
      </c>
      <c r="Y1171" s="6" t="str">
        <f aca="false">IFERROR(VLOOKUP($B1171,Agents!$A:$D,3,0),"-")</f>
        <v>OUBRAHIM Mohammed</v>
      </c>
      <c r="Z1171" s="6" t="str">
        <f aca="false">IFERROR(VLOOKUP($B1171,Agents!$A:$D,4,0),"-")</f>
        <v>Credit Mutuel</v>
      </c>
      <c r="AA1171" s="18" t="s">
        <v>126</v>
      </c>
      <c r="AB1171" s="8" t="str">
        <f aca="false">IF(AND(D1171="Congé",F1171="Congé"),0.333333333333333,IF(OR(AND(D1171="Congé",F1171&lt;&gt;"Congé"),(AND(F1171="Congé",D1171&lt;&gt;"Congé"))),0.166666666666667,""))</f>
        <v/>
      </c>
      <c r="AC1171" s="8" t="str">
        <f aca="false">IF(AND(D1171="Congé sans solde",F1171="Congé sans solde"),0.333333333333333,IF(OR(AND(D1171="Congé sans solde",F1171&lt;&gt;"Congé sans solde"),(AND(F1171="Congé sans solde",D1171&lt;&gt;"Congé sans solde"))),0.166666666666667,""))</f>
        <v/>
      </c>
      <c r="AD1171" s="8" t="str">
        <f aca="false">IF(AND(D1171="Congé spécial",F1171="Congé spécial"),0.333333333333333,IF(OR(AND(D1171="Congé spécial",F1171&lt;&gt;"Congé spécial"),AND(F1171="Congé spécial",D1171&lt;&gt;"Congé spécial")),0.166666666666667,""))</f>
        <v/>
      </c>
      <c r="AE1171" s="8" t="str">
        <f aca="false">IF(AND(D1171="Férié",F1171="Férié"),0.333333333333333,IF(OR(AND(D1171="Férié",F1171&lt;&gt;"Férié"),(AND(F1171="Férié",D1171&lt;&gt;"Férié"))),0.166666666666667,""))</f>
        <v/>
      </c>
      <c r="AF1171" s="18"/>
      <c r="AG1171" s="18"/>
    </row>
    <row r="1172" customFormat="false" ht="15" hidden="false" customHeight="false" outlineLevel="0" collapsed="false">
      <c r="A1172" s="6" t="str">
        <f aca="false">YEAR(Q1172-WEEKDAY(Q1172,2)+4)&amp;"-S"&amp;TEXT(WEEKNUM(Q1172,21),"00")</f>
        <v>2026-S43</v>
      </c>
      <c r="B1172" s="18" t="s">
        <v>71</v>
      </c>
      <c r="C1172" s="19" t="n">
        <v>0.330555555555556</v>
      </c>
      <c r="D1172" s="19" t="n">
        <v>0.333333333333333</v>
      </c>
      <c r="E1172" s="19" t="n">
        <v>0.75</v>
      </c>
      <c r="F1172" s="19" t="n">
        <v>0.75</v>
      </c>
      <c r="G1172" s="20"/>
      <c r="H1172" s="20"/>
      <c r="I1172" s="8" t="str">
        <f aca="false">IF(IF(OR(C1172="",D1172="Congé",D1172="OFF",D1172="Congé spécial"),"",IF(D1172&gt;F1172,D1172-C1172,IF(C1172-D1172&lt;0,0,C1172-D1172)))&lt;0.00068287037037037,"",IF(OR(D1172="Congé",D1172="OFF",C1172="",D1172="Congé spécial"),"",IF(D1172&gt;F1172,D1172-C1172,IF(C1172-D1172&lt;0,0,C1172-D1172))))</f>
        <v/>
      </c>
      <c r="J1172" s="20"/>
      <c r="K1172" s="8" t="n">
        <f aca="false">IF(SUM(H1172:J1172)&lt;0.00068287037037037,0,SUM(H1172:J1172))</f>
        <v>0</v>
      </c>
      <c r="L1172" s="8" t="n">
        <f aca="false">IF(OR(F1172="Congé",F1172="OFF",M1172="Abs",F1172="Congé sans solde",F1172="Férié",F1172="Congé spécial",D1172="Congé spécial"),0,IF(F1172-E1172&lt;0,0,IF(F1172-E1172&lt;=0.00068287037037037,0,F1172-E1172)))</f>
        <v>0</v>
      </c>
      <c r="M1172" s="6" t="n">
        <f aca="false">IF(AND(O1172&lt;&gt;0,C1172=""),"Abs",0)</f>
        <v>0</v>
      </c>
      <c r="N1172" s="8" t="n">
        <f aca="false">IFERROR(IF(OR(D1172="OFF",D1172="Congé",M1172="Abs",D1172="Congé sans solde",D1172="Férié"),"",IF(O1172-K1172-L1172&gt;O1172,O1172,IF(O1172-K1172-L1172&lt;0,"",O1172-K1172-L1172))),"")</f>
        <v>0.375</v>
      </c>
      <c r="O1172" s="8" t="n">
        <f aca="false">IF(AG1172="2H Pause déjeuner",IF(F1172-D1172-0.0833333333333333&lt;0,F1172-D1172-0.0833333333333333+1,F1172-D1172-0.0833333333333333),IF(OR(AND(F1172="OFF",D1172="OFF"),AND(F1172="Congé",D1172="Congé"),AND(F1172="Congé sans solde",D1172="Congé sans solde"),AND(F1172="Congé spécial",D1172="Congé spécial"),AND(F1172="Férié",D1172="Férié"),AND(F1172="OFF",D1172="Congé"),AND(F1172="OFF",D1172="Congé sans solde"),AND(F1172="OFF",D1172="Congé spécial"),AND(F1172="OFF",D1172="Férié"),AND(F1172="Congé",D1172="OFF"),AND(F1172="Congé",D1172="Congé sans solde"),AND(F1172="Congé",D1172="Congé spécial"),AND(F1172="Congé",D1172="Férié"),AND(F1172="Congé sans solde",D1172="OFF"),AND(F1172="Congé sans solde",D1172="Congé"),AND(F1172="Congé sans solde",D1172="Congé spécial"),AND(F1172="Congé sans solde",D1172="Férié"),AND(F1172="Congé spécial",D1172="OFF"),AND(F1172="Congé spécial",D1172="Congé"),AND(F1172="Congé spécial",D1172="Congé sans solde"),AND(F1172="Congé spécial",D1172="Férié"),AND(F1172="Férié",D1172="OFF"),AND(F1172="Férié",D1172="Congé"),AND(F1172="Férié",D1172="Congé sans solde"),AND(F1172="Férié",D1172="Congé spécial")),0,IF(OR(F1172="OFF",F1172="Congé",F1172="Congé spécial",F1172="Congé sans solde",D1172="OFF",D1172="Congé",D1172="Congé spécial",D1172="Congé sans solde"),0.208333333333334,IF(AND(AG1172="",F1172-D1172&lt;0),("24:00:00"-D1172)+("00:00:00"+F1172)-0.0416666666666667,IF(AND(OR(AG1172="Allaitement",AG1172="Sans déjeuner"),F1172-D1172&lt;0),("24:00:00"-D1172)+("00:00:00"+F1172),IF(AND(AG1172="",F1172-D1172&gt;0.166666666666667),F1172-D1172-0.0416666666666667,IF(AND(OR(AG1172="Allaitement",AG1172="Sans déjeuner"),F1172-D1172&gt;0.166666666666667),F1172-D1172,F1172-D1172)))))))</f>
        <v>0.375</v>
      </c>
      <c r="P1172" s="6" t="str">
        <f aca="false">IFERROR(VLOOKUP($B1172,Agents!$A:$D,2,0),"-")</f>
        <v>Accessibilité</v>
      </c>
      <c r="Q1172" s="21" t="n">
        <v>46316</v>
      </c>
      <c r="R1172" s="8" t="n">
        <f aca="false">IF(M1172="Abs",O1172,0)</f>
        <v>0</v>
      </c>
      <c r="S1172" s="8" t="n">
        <f aca="false">SUM(R1172,L1172,I1172,J1172,W1172,H1172)</f>
        <v>0</v>
      </c>
      <c r="T1172" s="6" t="str">
        <f aca="false">"Sem - "&amp;WEEKNUM(Q1172,21)</f>
        <v>Sem - 43</v>
      </c>
      <c r="U1172" s="6" t="str">
        <f aca="false">CHOOSE(MONTH(Q1172),"Janvier","Février","Mars","Avril","Mai","Juin","Juillet","Août","Septembre","Octobre","Novembre","Décembre")</f>
        <v>Octobre</v>
      </c>
      <c r="V1172" s="22" t="n">
        <f aca="false">YEAR(Q1172)</f>
        <v>2026</v>
      </c>
      <c r="W1172" s="20"/>
      <c r="X1172" s="8" t="n">
        <f aca="false">IFERROR(IF(M1172="Abs",0,IF(ROUND((D1172-C1172+E1172-F1172)*1440,0)&lt;=1,0,D1172-C1172+E1172-F1172)),0)</f>
        <v>0.00277777777777778</v>
      </c>
      <c r="Y1172" s="6" t="str">
        <f aca="false">IFERROR(VLOOKUP($B1172,Agents!$A:$D,3,0),"-")</f>
        <v>OUBRAHIM Mohammed</v>
      </c>
      <c r="Z1172" s="6" t="str">
        <f aca="false">IFERROR(VLOOKUP($B1172,Agents!$A:$D,4,0),"-")</f>
        <v>Credit Mutuel</v>
      </c>
      <c r="AA1172" s="18" t="s">
        <v>126</v>
      </c>
      <c r="AB1172" s="8" t="str">
        <f aca="false">IF(AND(D1172="Congé",F1172="Congé"),0.333333333333333,IF(OR(AND(D1172="Congé",F1172&lt;&gt;"Congé"),(AND(F1172="Congé",D1172&lt;&gt;"Congé"))),0.166666666666667,""))</f>
        <v/>
      </c>
      <c r="AC1172" s="8" t="str">
        <f aca="false">IF(AND(D1172="Congé sans solde",F1172="Congé sans solde"),0.333333333333333,IF(OR(AND(D1172="Congé sans solde",F1172&lt;&gt;"Congé sans solde"),(AND(F1172="Congé sans solde",D1172&lt;&gt;"Congé sans solde"))),0.166666666666667,""))</f>
        <v/>
      </c>
      <c r="AD1172" s="8" t="str">
        <f aca="false">IF(AND(D1172="Congé spécial",F1172="Congé spécial"),0.333333333333333,IF(OR(AND(D1172="Congé spécial",F1172&lt;&gt;"Congé spécial"),AND(F1172="Congé spécial",D1172&lt;&gt;"Congé spécial")),0.166666666666667,""))</f>
        <v/>
      </c>
      <c r="AE1172" s="8" t="str">
        <f aca="false">IF(AND(D1172="Férié",F1172="Férié"),0.333333333333333,IF(OR(AND(D1172="Férié",F1172&lt;&gt;"Férié"),(AND(F1172="Férié",D1172&lt;&gt;"Férié"))),0.166666666666667,""))</f>
        <v/>
      </c>
      <c r="AF1172" s="18"/>
      <c r="AG1172" s="18"/>
    </row>
    <row r="1173" customFormat="false" ht="15" hidden="false" customHeight="false" outlineLevel="0" collapsed="false">
      <c r="A1173" s="6" t="str">
        <f aca="false">YEAR(Q1173-WEEKDAY(Q1173,2)+4)&amp;"-S"&amp;TEXT(WEEKNUM(Q1173,21),"00")</f>
        <v>2026-S43</v>
      </c>
      <c r="B1173" s="18" t="s">
        <v>72</v>
      </c>
      <c r="C1173" s="19" t="n">
        <v>0.332638888888889</v>
      </c>
      <c r="D1173" s="19" t="n">
        <v>0.333333333333333</v>
      </c>
      <c r="E1173" s="19" t="n">
        <v>0.75</v>
      </c>
      <c r="F1173" s="19" t="n">
        <v>0.75</v>
      </c>
      <c r="G1173" s="20"/>
      <c r="H1173" s="20"/>
      <c r="I1173" s="8" t="str">
        <f aca="false">IF(IF(OR(C1173="",D1173="Congé",D1173="OFF",D1173="Congé spécial"),"",IF(D1173&gt;F1173,D1173-C1173,IF(C1173-D1173&lt;0,0,C1173-D1173)))&lt;0.00068287037037037,"",IF(OR(D1173="Congé",D1173="OFF",C1173="",D1173="Congé spécial"),"",IF(D1173&gt;F1173,D1173-C1173,IF(C1173-D1173&lt;0,0,C1173-D1173))))</f>
        <v/>
      </c>
      <c r="J1173" s="20"/>
      <c r="K1173" s="8" t="n">
        <f aca="false">IF(SUM(H1173:J1173)&lt;0.00068287037037037,0,SUM(H1173:J1173))</f>
        <v>0</v>
      </c>
      <c r="L1173" s="8" t="n">
        <f aca="false">IF(OR(F1173="Congé",F1173="OFF",M1173="Abs",F1173="Congé sans solde",F1173="Férié",F1173="Congé spécial",D1173="Congé spécial"),0,IF(F1173-E1173&lt;0,0,IF(F1173-E1173&lt;=0.00068287037037037,0,F1173-E1173)))</f>
        <v>0</v>
      </c>
      <c r="M1173" s="6" t="n">
        <f aca="false">IF(AND(O1173&lt;&gt;0,C1173=""),"Abs",0)</f>
        <v>0</v>
      </c>
      <c r="N1173" s="8" t="n">
        <f aca="false">IFERROR(IF(OR(D1173="OFF",D1173="Congé",M1173="Abs",D1173="Congé sans solde",D1173="Férié"),"",IF(O1173-K1173-L1173&gt;O1173,O1173,IF(O1173-K1173-L1173&lt;0,"",O1173-K1173-L1173))),"")</f>
        <v>0.375</v>
      </c>
      <c r="O1173" s="8" t="n">
        <f aca="false">IF(AG1173="2H Pause déjeuner",IF(F1173-D1173-0.0833333333333333&lt;0,F1173-D1173-0.0833333333333333+1,F1173-D1173-0.0833333333333333),IF(OR(AND(F1173="OFF",D1173="OFF"),AND(F1173="Congé",D1173="Congé"),AND(F1173="Congé sans solde",D1173="Congé sans solde"),AND(F1173="Congé spécial",D1173="Congé spécial"),AND(F1173="Férié",D1173="Férié"),AND(F1173="OFF",D1173="Congé"),AND(F1173="OFF",D1173="Congé sans solde"),AND(F1173="OFF",D1173="Congé spécial"),AND(F1173="OFF",D1173="Férié"),AND(F1173="Congé",D1173="OFF"),AND(F1173="Congé",D1173="Congé sans solde"),AND(F1173="Congé",D1173="Congé spécial"),AND(F1173="Congé",D1173="Férié"),AND(F1173="Congé sans solde",D1173="OFF"),AND(F1173="Congé sans solde",D1173="Congé"),AND(F1173="Congé sans solde",D1173="Congé spécial"),AND(F1173="Congé sans solde",D1173="Férié"),AND(F1173="Congé spécial",D1173="OFF"),AND(F1173="Congé spécial",D1173="Congé"),AND(F1173="Congé spécial",D1173="Congé sans solde"),AND(F1173="Congé spécial",D1173="Férié"),AND(F1173="Férié",D1173="OFF"),AND(F1173="Férié",D1173="Congé"),AND(F1173="Férié",D1173="Congé sans solde"),AND(F1173="Férié",D1173="Congé spécial")),0,IF(OR(F1173="OFF",F1173="Congé",F1173="Congé spécial",F1173="Congé sans solde",D1173="OFF",D1173="Congé",D1173="Congé spécial",D1173="Congé sans solde"),0.208333333333334,IF(AND(AG1173="",F1173-D1173&lt;0),("24:00:00"-D1173)+("00:00:00"+F1173)-0.0416666666666667,IF(AND(OR(AG1173="Allaitement",AG1173="Sans déjeuner"),F1173-D1173&lt;0),("24:00:00"-D1173)+("00:00:00"+F1173),IF(AND(AG1173="",F1173-D1173&gt;0.166666666666667),F1173-D1173-0.0416666666666667,IF(AND(OR(AG1173="Allaitement",AG1173="Sans déjeuner"),F1173-D1173&gt;0.166666666666667),F1173-D1173,F1173-D1173)))))))</f>
        <v>0.375</v>
      </c>
      <c r="P1173" s="6" t="str">
        <f aca="false">IFERROR(VLOOKUP($B1173,Agents!$A:$D,2,0),"-")</f>
        <v>Accessibilité</v>
      </c>
      <c r="Q1173" s="21" t="n">
        <v>46316</v>
      </c>
      <c r="R1173" s="8" t="n">
        <f aca="false">IF(M1173="Abs",O1173,0)</f>
        <v>0</v>
      </c>
      <c r="S1173" s="8" t="n">
        <f aca="false">SUM(R1173,L1173,I1173,J1173,W1173,H1173)</f>
        <v>0</v>
      </c>
      <c r="T1173" s="6" t="str">
        <f aca="false">"Sem - "&amp;WEEKNUM(Q1173,21)</f>
        <v>Sem - 43</v>
      </c>
      <c r="U1173" s="6" t="str">
        <f aca="false">CHOOSE(MONTH(Q1173),"Janvier","Février","Mars","Avril","Mai","Juin","Juillet","Août","Septembre","Octobre","Novembre","Décembre")</f>
        <v>Octobre</v>
      </c>
      <c r="V1173" s="22" t="n">
        <f aca="false">YEAR(Q1173)</f>
        <v>2026</v>
      </c>
      <c r="W1173" s="20"/>
      <c r="X1173" s="8" t="n">
        <f aca="false">IFERROR(IF(M1173="Abs",0,IF(ROUND((D1173-C1173+E1173-F1173)*1440,0)&lt;=1,0,D1173-C1173+E1173-F1173)),0)</f>
        <v>0</v>
      </c>
      <c r="Y1173" s="6" t="str">
        <f aca="false">IFERROR(VLOOKUP($B1173,Agents!$A:$D,3,0),"-")</f>
        <v>OUBRAHIM Mohammed</v>
      </c>
      <c r="Z1173" s="6" t="str">
        <f aca="false">IFERROR(VLOOKUP($B1173,Agents!$A:$D,4,0),"-")</f>
        <v>Credit Mutuel</v>
      </c>
      <c r="AA1173" s="18" t="s">
        <v>126</v>
      </c>
      <c r="AB1173" s="8" t="str">
        <f aca="false">IF(AND(D1173="Congé",F1173="Congé"),0.333333333333333,IF(OR(AND(D1173="Congé",F1173&lt;&gt;"Congé"),(AND(F1173="Congé",D1173&lt;&gt;"Congé"))),0.166666666666667,""))</f>
        <v/>
      </c>
      <c r="AC1173" s="8" t="str">
        <f aca="false">IF(AND(D1173="Congé sans solde",F1173="Congé sans solde"),0.333333333333333,IF(OR(AND(D1173="Congé sans solde",F1173&lt;&gt;"Congé sans solde"),(AND(F1173="Congé sans solde",D1173&lt;&gt;"Congé sans solde"))),0.166666666666667,""))</f>
        <v/>
      </c>
      <c r="AD1173" s="8" t="str">
        <f aca="false">IF(AND(D1173="Congé spécial",F1173="Congé spécial"),0.333333333333333,IF(OR(AND(D1173="Congé spécial",F1173&lt;&gt;"Congé spécial"),AND(F1173="Congé spécial",D1173&lt;&gt;"Congé spécial")),0.166666666666667,""))</f>
        <v/>
      </c>
      <c r="AE1173" s="8" t="str">
        <f aca="false">IF(AND(D1173="Férié",F1173="Férié"),0.333333333333333,IF(OR(AND(D1173="Férié",F1173&lt;&gt;"Férié"),(AND(F1173="Férié",D1173&lt;&gt;"Férié"))),0.166666666666667,""))</f>
        <v/>
      </c>
      <c r="AF1173" s="18"/>
      <c r="AG1173" s="18"/>
    </row>
    <row r="1174" customFormat="false" ht="15" hidden="false" customHeight="false" outlineLevel="0" collapsed="false">
      <c r="A1174" s="6" t="str">
        <f aca="false">YEAR(Q1174-WEEKDAY(Q1174,2)+4)&amp;"-S"&amp;TEXT(WEEKNUM(Q1174,21),"00")</f>
        <v>2026-S43</v>
      </c>
      <c r="B1174" s="18" t="s">
        <v>73</v>
      </c>
      <c r="C1174" s="19" t="n">
        <v>0.331944444444444</v>
      </c>
      <c r="D1174" s="19" t="n">
        <v>0.333333333333333</v>
      </c>
      <c r="E1174" s="19" t="n">
        <v>0.75</v>
      </c>
      <c r="F1174" s="19" t="n">
        <v>0.75</v>
      </c>
      <c r="G1174" s="20"/>
      <c r="H1174" s="20"/>
      <c r="I1174" s="8" t="str">
        <f aca="false">IF(IF(OR(C1174="",D1174="Congé",D1174="OFF",D1174="Congé spécial"),"",IF(D1174&gt;F1174,D1174-C1174,IF(C1174-D1174&lt;0,0,C1174-D1174)))&lt;0.00068287037037037,"",IF(OR(D1174="Congé",D1174="OFF",C1174="",D1174="Congé spécial"),"",IF(D1174&gt;F1174,D1174-C1174,IF(C1174-D1174&lt;0,0,C1174-D1174))))</f>
        <v/>
      </c>
      <c r="J1174" s="20"/>
      <c r="K1174" s="8" t="n">
        <f aca="false">IF(SUM(H1174:J1174)&lt;0.00068287037037037,0,SUM(H1174:J1174))</f>
        <v>0</v>
      </c>
      <c r="L1174" s="8" t="n">
        <f aca="false">IF(OR(F1174="Congé",F1174="OFF",M1174="Abs",F1174="Congé sans solde",F1174="Férié",F1174="Congé spécial",D1174="Congé spécial"),0,IF(F1174-E1174&lt;0,0,IF(F1174-E1174&lt;=0.00068287037037037,0,F1174-E1174)))</f>
        <v>0</v>
      </c>
      <c r="M1174" s="6" t="n">
        <f aca="false">IF(AND(O1174&lt;&gt;0,C1174=""),"Abs",0)</f>
        <v>0</v>
      </c>
      <c r="N1174" s="8" t="n">
        <f aca="false">IFERROR(IF(OR(D1174="OFF",D1174="Congé",M1174="Abs",D1174="Congé sans solde",D1174="Férié"),"",IF(O1174-K1174-L1174&gt;O1174,O1174,IF(O1174-K1174-L1174&lt;0,"",O1174-K1174-L1174))),"")</f>
        <v>0.375</v>
      </c>
      <c r="O1174" s="8" t="n">
        <f aca="false">IF(AG1174="2H Pause déjeuner",IF(F1174-D1174-0.0833333333333333&lt;0,F1174-D1174-0.0833333333333333+1,F1174-D1174-0.0833333333333333),IF(OR(AND(F1174="OFF",D1174="OFF"),AND(F1174="Congé",D1174="Congé"),AND(F1174="Congé sans solde",D1174="Congé sans solde"),AND(F1174="Congé spécial",D1174="Congé spécial"),AND(F1174="Férié",D1174="Férié"),AND(F1174="OFF",D1174="Congé"),AND(F1174="OFF",D1174="Congé sans solde"),AND(F1174="OFF",D1174="Congé spécial"),AND(F1174="OFF",D1174="Férié"),AND(F1174="Congé",D1174="OFF"),AND(F1174="Congé",D1174="Congé sans solde"),AND(F1174="Congé",D1174="Congé spécial"),AND(F1174="Congé",D1174="Férié"),AND(F1174="Congé sans solde",D1174="OFF"),AND(F1174="Congé sans solde",D1174="Congé"),AND(F1174="Congé sans solde",D1174="Congé spécial"),AND(F1174="Congé sans solde",D1174="Férié"),AND(F1174="Congé spécial",D1174="OFF"),AND(F1174="Congé spécial",D1174="Congé"),AND(F1174="Congé spécial",D1174="Congé sans solde"),AND(F1174="Congé spécial",D1174="Férié"),AND(F1174="Férié",D1174="OFF"),AND(F1174="Férié",D1174="Congé"),AND(F1174="Férié",D1174="Congé sans solde"),AND(F1174="Férié",D1174="Congé spécial")),0,IF(OR(F1174="OFF",F1174="Congé",F1174="Congé spécial",F1174="Congé sans solde",D1174="OFF",D1174="Congé",D1174="Congé spécial",D1174="Congé sans solde"),0.208333333333334,IF(AND(AG1174="",F1174-D1174&lt;0),("24:00:00"-D1174)+("00:00:00"+F1174)-0.0416666666666667,IF(AND(OR(AG1174="Allaitement",AG1174="Sans déjeuner"),F1174-D1174&lt;0),("24:00:00"-D1174)+("00:00:00"+F1174),IF(AND(AG1174="",F1174-D1174&gt;0.166666666666667),F1174-D1174-0.0416666666666667,IF(AND(OR(AG1174="Allaitement",AG1174="Sans déjeuner"),F1174-D1174&gt;0.166666666666667),F1174-D1174,F1174-D1174)))))))</f>
        <v>0.375</v>
      </c>
      <c r="P1174" s="6" t="str">
        <f aca="false">IFERROR(VLOOKUP($B1174,Agents!$A:$D,2,0),"-")</f>
        <v>Accessibilité</v>
      </c>
      <c r="Q1174" s="21" t="n">
        <v>46316</v>
      </c>
      <c r="R1174" s="8" t="n">
        <f aca="false">IF(M1174="Abs",O1174,0)</f>
        <v>0</v>
      </c>
      <c r="S1174" s="8" t="n">
        <f aca="false">SUM(R1174,L1174,I1174,J1174,W1174,H1174)</f>
        <v>0</v>
      </c>
      <c r="T1174" s="6" t="str">
        <f aca="false">"Sem - "&amp;WEEKNUM(Q1174,21)</f>
        <v>Sem - 43</v>
      </c>
      <c r="U1174" s="6" t="str">
        <f aca="false">CHOOSE(MONTH(Q1174),"Janvier","Février","Mars","Avril","Mai","Juin","Juillet","Août","Septembre","Octobre","Novembre","Décembre")</f>
        <v>Octobre</v>
      </c>
      <c r="V1174" s="22" t="n">
        <f aca="false">YEAR(Q1174)</f>
        <v>2026</v>
      </c>
      <c r="W1174" s="20"/>
      <c r="X1174" s="8" t="n">
        <f aca="false">IFERROR(IF(M1174="Abs",0,IF(ROUND((D1174-C1174+E1174-F1174)*1440,0)&lt;=1,0,D1174-C1174+E1174-F1174)),0)</f>
        <v>0.00138888888888889</v>
      </c>
      <c r="Y1174" s="6" t="str">
        <f aca="false">IFERROR(VLOOKUP($B1174,Agents!$A:$D,3,0),"-")</f>
        <v>OUBRAHIM Mohammed</v>
      </c>
      <c r="Z1174" s="6" t="str">
        <f aca="false">IFERROR(VLOOKUP($B1174,Agents!$A:$D,4,0),"-")</f>
        <v>Credit Mutuel</v>
      </c>
      <c r="AA1174" s="18" t="s">
        <v>126</v>
      </c>
      <c r="AB1174" s="8" t="str">
        <f aca="false">IF(AND(D1174="Congé",F1174="Congé"),0.333333333333333,IF(OR(AND(D1174="Congé",F1174&lt;&gt;"Congé"),(AND(F1174="Congé",D1174&lt;&gt;"Congé"))),0.166666666666667,""))</f>
        <v/>
      </c>
      <c r="AC1174" s="8" t="str">
        <f aca="false">IF(AND(D1174="Congé sans solde",F1174="Congé sans solde"),0.333333333333333,IF(OR(AND(D1174="Congé sans solde",F1174&lt;&gt;"Congé sans solde"),(AND(F1174="Congé sans solde",D1174&lt;&gt;"Congé sans solde"))),0.166666666666667,""))</f>
        <v/>
      </c>
      <c r="AD1174" s="8" t="str">
        <f aca="false">IF(AND(D1174="Congé spécial",F1174="Congé spécial"),0.333333333333333,IF(OR(AND(D1174="Congé spécial",F1174&lt;&gt;"Congé spécial"),AND(F1174="Congé spécial",D1174&lt;&gt;"Congé spécial")),0.166666666666667,""))</f>
        <v/>
      </c>
      <c r="AE1174" s="8" t="str">
        <f aca="false">IF(AND(D1174="Férié",F1174="Férié"),0.333333333333333,IF(OR(AND(D1174="Férié",F1174&lt;&gt;"Férié"),(AND(F1174="Férié",D1174&lt;&gt;"Férié"))),0.166666666666667,""))</f>
        <v/>
      </c>
      <c r="AF1174" s="18"/>
      <c r="AG1174" s="18"/>
    </row>
    <row r="1175" customFormat="false" ht="15" hidden="false" customHeight="false" outlineLevel="0" collapsed="false">
      <c r="A1175" s="6" t="str">
        <f aca="false">YEAR(Q1175-WEEKDAY(Q1175,2)+4)&amp;"-S"&amp;TEXT(WEEKNUM(Q1175,21),"00")</f>
        <v>2026-S43</v>
      </c>
      <c r="B1175" s="18" t="s">
        <v>124</v>
      </c>
      <c r="C1175" s="19" t="n">
        <v>0.33125</v>
      </c>
      <c r="D1175" s="19" t="n">
        <v>0.333333333333333</v>
      </c>
      <c r="E1175" s="19" t="n">
        <v>0.75</v>
      </c>
      <c r="F1175" s="19" t="n">
        <v>0.75</v>
      </c>
      <c r="G1175" s="20"/>
      <c r="H1175" s="20"/>
      <c r="I1175" s="8" t="str">
        <f aca="false">IF(IF(OR(C1175="",D1175="Congé",D1175="OFF",D1175="Congé spécial"),"",IF(D1175&gt;F1175,D1175-C1175,IF(C1175-D1175&lt;0,0,C1175-D1175)))&lt;0.00068287037037037,"",IF(OR(D1175="Congé",D1175="OFF",C1175="",D1175="Congé spécial"),"",IF(D1175&gt;F1175,D1175-C1175,IF(C1175-D1175&lt;0,0,C1175-D1175))))</f>
        <v/>
      </c>
      <c r="J1175" s="20"/>
      <c r="K1175" s="8" t="n">
        <f aca="false">IF(SUM(H1175:J1175)&lt;0.00068287037037037,0,SUM(H1175:J1175))</f>
        <v>0</v>
      </c>
      <c r="L1175" s="8" t="n">
        <f aca="false">IF(OR(F1175="Congé",F1175="OFF",M1175="Abs",F1175="Congé sans solde",F1175="Férié",F1175="Congé spécial",D1175="Congé spécial"),0,IF(F1175-E1175&lt;0,0,IF(F1175-E1175&lt;=0.00068287037037037,0,F1175-E1175)))</f>
        <v>0</v>
      </c>
      <c r="M1175" s="6" t="n">
        <f aca="false">IF(AND(O1175&lt;&gt;0,C1175=""),"Abs",0)</f>
        <v>0</v>
      </c>
      <c r="N1175" s="8" t="n">
        <f aca="false">IFERROR(IF(OR(D1175="OFF",D1175="Congé",M1175="Abs",D1175="Congé sans solde",D1175="Férié"),"",IF(O1175-K1175-L1175&gt;O1175,O1175,IF(O1175-K1175-L1175&lt;0,"",O1175-K1175-L1175))),"")</f>
        <v>0.375</v>
      </c>
      <c r="O1175" s="8" t="n">
        <f aca="false">IF(AG1175="2H Pause déjeuner",IF(F1175-D1175-0.0833333333333333&lt;0,F1175-D1175-0.0833333333333333+1,F1175-D1175-0.0833333333333333),IF(OR(AND(F1175="OFF",D1175="OFF"),AND(F1175="Congé",D1175="Congé"),AND(F1175="Congé sans solde",D1175="Congé sans solde"),AND(F1175="Congé spécial",D1175="Congé spécial"),AND(F1175="Férié",D1175="Férié"),AND(F1175="OFF",D1175="Congé"),AND(F1175="OFF",D1175="Congé sans solde"),AND(F1175="OFF",D1175="Congé spécial"),AND(F1175="OFF",D1175="Férié"),AND(F1175="Congé",D1175="OFF"),AND(F1175="Congé",D1175="Congé sans solde"),AND(F1175="Congé",D1175="Congé spécial"),AND(F1175="Congé",D1175="Férié"),AND(F1175="Congé sans solde",D1175="OFF"),AND(F1175="Congé sans solde",D1175="Congé"),AND(F1175="Congé sans solde",D1175="Congé spécial"),AND(F1175="Congé sans solde",D1175="Férié"),AND(F1175="Congé spécial",D1175="OFF"),AND(F1175="Congé spécial",D1175="Congé"),AND(F1175="Congé spécial",D1175="Congé sans solde"),AND(F1175="Congé spécial",D1175="Férié"),AND(F1175="Férié",D1175="OFF"),AND(F1175="Férié",D1175="Congé"),AND(F1175="Férié",D1175="Congé sans solde"),AND(F1175="Férié",D1175="Congé spécial")),0,IF(OR(F1175="OFF",F1175="Congé",F1175="Congé spécial",F1175="Congé sans solde",D1175="OFF",D1175="Congé",D1175="Congé spécial",D1175="Congé sans solde"),0.208333333333334,IF(AND(AG1175="",F1175-D1175&lt;0),("24:00:00"-D1175)+("00:00:00"+F1175)-0.0416666666666667,IF(AND(OR(AG1175="Allaitement",AG1175="Sans déjeuner"),F1175-D1175&lt;0),("24:00:00"-D1175)+("00:00:00"+F1175),IF(AND(AG1175="",F1175-D1175&gt;0.166666666666667),F1175-D1175-0.0416666666666667,IF(AND(OR(AG1175="Allaitement",AG1175="Sans déjeuner"),F1175-D1175&gt;0.166666666666667),F1175-D1175,F1175-D1175)))))))</f>
        <v>0.375</v>
      </c>
      <c r="P1175" s="6" t="str">
        <f aca="false">IFERROR(VLOOKUP($B1175,Agents!$A:$D,2,0),"-")</f>
        <v>Accessibilité</v>
      </c>
      <c r="Q1175" s="21" t="n">
        <v>46316</v>
      </c>
      <c r="R1175" s="8" t="n">
        <f aca="false">IF(M1175="Abs",O1175,0)</f>
        <v>0</v>
      </c>
      <c r="S1175" s="8" t="n">
        <f aca="false">SUM(R1175,L1175,I1175,J1175,W1175,H1175)</f>
        <v>0</v>
      </c>
      <c r="T1175" s="6" t="str">
        <f aca="false">"Sem - "&amp;WEEKNUM(Q1175,21)</f>
        <v>Sem - 43</v>
      </c>
      <c r="U1175" s="6" t="str">
        <f aca="false">CHOOSE(MONTH(Q1175),"Janvier","Février","Mars","Avril","Mai","Juin","Juillet","Août","Septembre","Octobre","Novembre","Décembre")</f>
        <v>Octobre</v>
      </c>
      <c r="V1175" s="22" t="n">
        <f aca="false">YEAR(Q1175)</f>
        <v>2026</v>
      </c>
      <c r="W1175" s="20"/>
      <c r="X1175" s="8" t="n">
        <f aca="false">IFERROR(IF(M1175="Abs",0,IF(ROUND((D1175-C1175+E1175-F1175)*1440,0)&lt;=1,0,D1175-C1175+E1175-F1175)),0)</f>
        <v>0.00208333333333333</v>
      </c>
      <c r="Y1175" s="6" t="str">
        <f aca="false">IFERROR(VLOOKUP($B1175,Agents!$A:$D,3,0),"-")</f>
        <v>OUBRAHIM Mohammed</v>
      </c>
      <c r="Z1175" s="6" t="str">
        <f aca="false">IFERROR(VLOOKUP($B1175,Agents!$A:$D,4,0),"-")</f>
        <v>Credit Mutuel</v>
      </c>
      <c r="AA1175" s="18" t="s">
        <v>126</v>
      </c>
      <c r="AB1175" s="8" t="str">
        <f aca="false">IF(AND(D1175="Congé",F1175="Congé"),0.333333333333333,IF(OR(AND(D1175="Congé",F1175&lt;&gt;"Congé"),(AND(F1175="Congé",D1175&lt;&gt;"Congé"))),0.166666666666667,""))</f>
        <v/>
      </c>
      <c r="AC1175" s="8" t="str">
        <f aca="false">IF(AND(D1175="Congé sans solde",F1175="Congé sans solde"),0.333333333333333,IF(OR(AND(D1175="Congé sans solde",F1175&lt;&gt;"Congé sans solde"),(AND(F1175="Congé sans solde",D1175&lt;&gt;"Congé sans solde"))),0.166666666666667,""))</f>
        <v/>
      </c>
      <c r="AD1175" s="8" t="str">
        <f aca="false">IF(AND(D1175="Congé spécial",F1175="Congé spécial"),0.333333333333333,IF(OR(AND(D1175="Congé spécial",F1175&lt;&gt;"Congé spécial"),AND(F1175="Congé spécial",D1175&lt;&gt;"Congé spécial")),0.166666666666667,""))</f>
        <v/>
      </c>
      <c r="AE1175" s="8" t="str">
        <f aca="false">IF(AND(D1175="Férié",F1175="Férié"),0.333333333333333,IF(OR(AND(D1175="Férié",F1175&lt;&gt;"Férié"),(AND(F1175="Férié",D1175&lt;&gt;"Férié"))),0.166666666666667,""))</f>
        <v/>
      </c>
      <c r="AF1175" s="18"/>
      <c r="AG1175" s="18"/>
    </row>
    <row r="1176" customFormat="false" ht="15" hidden="false" customHeight="false" outlineLevel="0" collapsed="false">
      <c r="A1176" s="6" t="str">
        <f aca="false">YEAR(Q1176-WEEKDAY(Q1176,2)+4)&amp;"-S"&amp;TEXT(WEEKNUM(Q1176,21),"00")</f>
        <v>2026-S43</v>
      </c>
      <c r="B1176" s="18" t="s">
        <v>71</v>
      </c>
      <c r="C1176" s="19" t="n">
        <v>0.33125</v>
      </c>
      <c r="D1176" s="19" t="n">
        <v>0.333333333333333</v>
      </c>
      <c r="E1176" s="19" t="n">
        <v>0.75</v>
      </c>
      <c r="F1176" s="19" t="n">
        <v>0.75</v>
      </c>
      <c r="G1176" s="20"/>
      <c r="H1176" s="20"/>
      <c r="I1176" s="8" t="str">
        <f aca="false">IF(IF(OR(C1176="",D1176="Congé",D1176="OFF",D1176="Congé spécial"),"",IF(D1176&gt;F1176,D1176-C1176,IF(C1176-D1176&lt;0,0,C1176-D1176)))&lt;0.00068287037037037,"",IF(OR(D1176="Congé",D1176="OFF",C1176="",D1176="Congé spécial"),"",IF(D1176&gt;F1176,D1176-C1176,IF(C1176-D1176&lt;0,0,C1176-D1176))))</f>
        <v/>
      </c>
      <c r="J1176" s="20"/>
      <c r="K1176" s="8" t="n">
        <f aca="false">IF(SUM(H1176:J1176)&lt;0.00068287037037037,0,SUM(H1176:J1176))</f>
        <v>0</v>
      </c>
      <c r="L1176" s="8" t="n">
        <f aca="false">IF(OR(F1176="Congé",F1176="OFF",M1176="Abs",F1176="Congé sans solde",F1176="Férié",F1176="Congé spécial",D1176="Congé spécial"),0,IF(F1176-E1176&lt;0,0,IF(F1176-E1176&lt;=0.00068287037037037,0,F1176-E1176)))</f>
        <v>0</v>
      </c>
      <c r="M1176" s="6" t="n">
        <f aca="false">IF(AND(O1176&lt;&gt;0,C1176=""),"Abs",0)</f>
        <v>0</v>
      </c>
      <c r="N1176" s="8" t="n">
        <f aca="false">IFERROR(IF(OR(D1176="OFF",D1176="Congé",M1176="Abs",D1176="Congé sans solde",D1176="Férié"),"",IF(O1176-K1176-L1176&gt;O1176,O1176,IF(O1176-K1176-L1176&lt;0,"",O1176-K1176-L1176))),"")</f>
        <v>0.375</v>
      </c>
      <c r="O1176" s="8" t="n">
        <f aca="false">IF(AG1176="2H Pause déjeuner",IF(F1176-D1176-0.0833333333333333&lt;0,F1176-D1176-0.0833333333333333+1,F1176-D1176-0.0833333333333333),IF(OR(AND(F1176="OFF",D1176="OFF"),AND(F1176="Congé",D1176="Congé"),AND(F1176="Congé sans solde",D1176="Congé sans solde"),AND(F1176="Congé spécial",D1176="Congé spécial"),AND(F1176="Férié",D1176="Férié"),AND(F1176="OFF",D1176="Congé"),AND(F1176="OFF",D1176="Congé sans solde"),AND(F1176="OFF",D1176="Congé spécial"),AND(F1176="OFF",D1176="Férié"),AND(F1176="Congé",D1176="OFF"),AND(F1176="Congé",D1176="Congé sans solde"),AND(F1176="Congé",D1176="Congé spécial"),AND(F1176="Congé",D1176="Férié"),AND(F1176="Congé sans solde",D1176="OFF"),AND(F1176="Congé sans solde",D1176="Congé"),AND(F1176="Congé sans solde",D1176="Congé spécial"),AND(F1176="Congé sans solde",D1176="Férié"),AND(F1176="Congé spécial",D1176="OFF"),AND(F1176="Congé spécial",D1176="Congé"),AND(F1176="Congé spécial",D1176="Congé sans solde"),AND(F1176="Congé spécial",D1176="Férié"),AND(F1176="Férié",D1176="OFF"),AND(F1176="Férié",D1176="Congé"),AND(F1176="Férié",D1176="Congé sans solde"),AND(F1176="Férié",D1176="Congé spécial")),0,IF(OR(F1176="OFF",F1176="Congé",F1176="Congé spécial",F1176="Congé sans solde",D1176="OFF",D1176="Congé",D1176="Congé spécial",D1176="Congé sans solde"),0.208333333333334,IF(AND(AG1176="",F1176-D1176&lt;0),("24:00:00"-D1176)+("00:00:00"+F1176)-0.0416666666666667,IF(AND(OR(AG1176="Allaitement",AG1176="Sans déjeuner"),F1176-D1176&lt;0),("24:00:00"-D1176)+("00:00:00"+F1176),IF(AND(AG1176="",F1176-D1176&gt;0.166666666666667),F1176-D1176-0.0416666666666667,IF(AND(OR(AG1176="Allaitement",AG1176="Sans déjeuner"),F1176-D1176&gt;0.166666666666667),F1176-D1176,F1176-D1176)))))))</f>
        <v>0.375</v>
      </c>
      <c r="P1176" s="6" t="str">
        <f aca="false">IFERROR(VLOOKUP($B1176,Agents!$A:$D,2,0),"-")</f>
        <v>Accessibilité</v>
      </c>
      <c r="Q1176" s="21" t="n">
        <v>46317</v>
      </c>
      <c r="R1176" s="8" t="n">
        <f aca="false">IF(M1176="Abs",O1176,0)</f>
        <v>0</v>
      </c>
      <c r="S1176" s="8" t="n">
        <f aca="false">SUM(R1176,L1176,I1176,J1176,W1176,H1176)</f>
        <v>0</v>
      </c>
      <c r="T1176" s="6" t="str">
        <f aca="false">"Sem - "&amp;WEEKNUM(Q1176,21)</f>
        <v>Sem - 43</v>
      </c>
      <c r="U1176" s="6" t="str">
        <f aca="false">CHOOSE(MONTH(Q1176),"Janvier","Février","Mars","Avril","Mai","Juin","Juillet","Août","Septembre","Octobre","Novembre","Décembre")</f>
        <v>Octobre</v>
      </c>
      <c r="V1176" s="22" t="n">
        <f aca="false">YEAR(Q1176)</f>
        <v>2026</v>
      </c>
      <c r="W1176" s="20"/>
      <c r="X1176" s="8" t="n">
        <f aca="false">IFERROR(IF(M1176="Abs",0,IF(ROUND((D1176-C1176+E1176-F1176)*1440,0)&lt;=1,0,D1176-C1176+E1176-F1176)),0)</f>
        <v>0.00208333333333333</v>
      </c>
      <c r="Y1176" s="6" t="str">
        <f aca="false">IFERROR(VLOOKUP($B1176,Agents!$A:$D,3,0),"-")</f>
        <v>OUBRAHIM Mohammed</v>
      </c>
      <c r="Z1176" s="6" t="str">
        <f aca="false">IFERROR(VLOOKUP($B1176,Agents!$A:$D,4,0),"-")</f>
        <v>Credit Mutuel</v>
      </c>
      <c r="AA1176" s="18" t="s">
        <v>126</v>
      </c>
      <c r="AB1176" s="8" t="str">
        <f aca="false">IF(AND(D1176="Congé",F1176="Congé"),0.333333333333333,IF(OR(AND(D1176="Congé",F1176&lt;&gt;"Congé"),(AND(F1176="Congé",D1176&lt;&gt;"Congé"))),0.166666666666667,""))</f>
        <v/>
      </c>
      <c r="AC1176" s="8" t="str">
        <f aca="false">IF(AND(D1176="Congé sans solde",F1176="Congé sans solde"),0.333333333333333,IF(OR(AND(D1176="Congé sans solde",F1176&lt;&gt;"Congé sans solde"),(AND(F1176="Congé sans solde",D1176&lt;&gt;"Congé sans solde"))),0.166666666666667,""))</f>
        <v/>
      </c>
      <c r="AD1176" s="8" t="str">
        <f aca="false">IF(AND(D1176="Congé spécial",F1176="Congé spécial"),0.333333333333333,IF(OR(AND(D1176="Congé spécial",F1176&lt;&gt;"Congé spécial"),AND(F1176="Congé spécial",D1176&lt;&gt;"Congé spécial")),0.166666666666667,""))</f>
        <v/>
      </c>
      <c r="AE1176" s="8" t="str">
        <f aca="false">IF(AND(D1176="Férié",F1176="Férié"),0.333333333333333,IF(OR(AND(D1176="Férié",F1176&lt;&gt;"Férié"),(AND(F1176="Férié",D1176&lt;&gt;"Férié"))),0.166666666666667,""))</f>
        <v/>
      </c>
      <c r="AF1176" s="18"/>
      <c r="AG1176" s="18"/>
    </row>
    <row r="1177" customFormat="false" ht="15" hidden="false" customHeight="false" outlineLevel="0" collapsed="false">
      <c r="A1177" s="6" t="str">
        <f aca="false">YEAR(Q1177-WEEKDAY(Q1177,2)+4)&amp;"-S"&amp;TEXT(WEEKNUM(Q1177,21),"00")</f>
        <v>2026-S43</v>
      </c>
      <c r="B1177" s="18" t="s">
        <v>72</v>
      </c>
      <c r="C1177" s="19" t="n">
        <v>0.329861111111111</v>
      </c>
      <c r="D1177" s="19" t="n">
        <v>0.333333333333333</v>
      </c>
      <c r="E1177" s="19" t="n">
        <v>0.75</v>
      </c>
      <c r="F1177" s="19" t="n">
        <v>0.75</v>
      </c>
      <c r="G1177" s="20"/>
      <c r="H1177" s="20"/>
      <c r="I1177" s="8" t="str">
        <f aca="false">IF(IF(OR(C1177="",D1177="Congé",D1177="OFF",D1177="Congé spécial"),"",IF(D1177&gt;F1177,D1177-C1177,IF(C1177-D1177&lt;0,0,C1177-D1177)))&lt;0.00068287037037037,"",IF(OR(D1177="Congé",D1177="OFF",C1177="",D1177="Congé spécial"),"",IF(D1177&gt;F1177,D1177-C1177,IF(C1177-D1177&lt;0,0,C1177-D1177))))</f>
        <v/>
      </c>
      <c r="J1177" s="20"/>
      <c r="K1177" s="8" t="n">
        <f aca="false">IF(SUM(H1177:J1177)&lt;0.00068287037037037,0,SUM(H1177:J1177))</f>
        <v>0</v>
      </c>
      <c r="L1177" s="8" t="n">
        <f aca="false">IF(OR(F1177="Congé",F1177="OFF",M1177="Abs",F1177="Congé sans solde",F1177="Férié",F1177="Congé spécial",D1177="Congé spécial"),0,IF(F1177-E1177&lt;0,0,IF(F1177-E1177&lt;=0.00068287037037037,0,F1177-E1177)))</f>
        <v>0</v>
      </c>
      <c r="M1177" s="6" t="n">
        <f aca="false">IF(AND(O1177&lt;&gt;0,C1177=""),"Abs",0)</f>
        <v>0</v>
      </c>
      <c r="N1177" s="8" t="n">
        <f aca="false">IFERROR(IF(OR(D1177="OFF",D1177="Congé",M1177="Abs",D1177="Congé sans solde",D1177="Férié"),"",IF(O1177-K1177-L1177&gt;O1177,O1177,IF(O1177-K1177-L1177&lt;0,"",O1177-K1177-L1177))),"")</f>
        <v>0.375</v>
      </c>
      <c r="O1177" s="8" t="n">
        <f aca="false">IF(AG1177="2H Pause déjeuner",IF(F1177-D1177-0.0833333333333333&lt;0,F1177-D1177-0.0833333333333333+1,F1177-D1177-0.0833333333333333),IF(OR(AND(F1177="OFF",D1177="OFF"),AND(F1177="Congé",D1177="Congé"),AND(F1177="Congé sans solde",D1177="Congé sans solde"),AND(F1177="Congé spécial",D1177="Congé spécial"),AND(F1177="Férié",D1177="Férié"),AND(F1177="OFF",D1177="Congé"),AND(F1177="OFF",D1177="Congé sans solde"),AND(F1177="OFF",D1177="Congé spécial"),AND(F1177="OFF",D1177="Férié"),AND(F1177="Congé",D1177="OFF"),AND(F1177="Congé",D1177="Congé sans solde"),AND(F1177="Congé",D1177="Congé spécial"),AND(F1177="Congé",D1177="Férié"),AND(F1177="Congé sans solde",D1177="OFF"),AND(F1177="Congé sans solde",D1177="Congé"),AND(F1177="Congé sans solde",D1177="Congé spécial"),AND(F1177="Congé sans solde",D1177="Férié"),AND(F1177="Congé spécial",D1177="OFF"),AND(F1177="Congé spécial",D1177="Congé"),AND(F1177="Congé spécial",D1177="Congé sans solde"),AND(F1177="Congé spécial",D1177="Férié"),AND(F1177="Férié",D1177="OFF"),AND(F1177="Férié",D1177="Congé"),AND(F1177="Férié",D1177="Congé sans solde"),AND(F1177="Férié",D1177="Congé spécial")),0,IF(OR(F1177="OFF",F1177="Congé",F1177="Congé spécial",F1177="Congé sans solde",D1177="OFF",D1177="Congé",D1177="Congé spécial",D1177="Congé sans solde"),0.208333333333334,IF(AND(AG1177="",F1177-D1177&lt;0),("24:00:00"-D1177)+("00:00:00"+F1177)-0.0416666666666667,IF(AND(OR(AG1177="Allaitement",AG1177="Sans déjeuner"),F1177-D1177&lt;0),("24:00:00"-D1177)+("00:00:00"+F1177),IF(AND(AG1177="",F1177-D1177&gt;0.166666666666667),F1177-D1177-0.0416666666666667,IF(AND(OR(AG1177="Allaitement",AG1177="Sans déjeuner"),F1177-D1177&gt;0.166666666666667),F1177-D1177,F1177-D1177)))))))</f>
        <v>0.375</v>
      </c>
      <c r="P1177" s="6" t="str">
        <f aca="false">IFERROR(VLOOKUP($B1177,Agents!$A:$D,2,0),"-")</f>
        <v>Accessibilité</v>
      </c>
      <c r="Q1177" s="21" t="n">
        <v>46317</v>
      </c>
      <c r="R1177" s="8" t="n">
        <f aca="false">IF(M1177="Abs",O1177,0)</f>
        <v>0</v>
      </c>
      <c r="S1177" s="8" t="n">
        <f aca="false">SUM(R1177,L1177,I1177,J1177,W1177,H1177)</f>
        <v>0</v>
      </c>
      <c r="T1177" s="6" t="str">
        <f aca="false">"Sem - "&amp;WEEKNUM(Q1177,21)</f>
        <v>Sem - 43</v>
      </c>
      <c r="U1177" s="6" t="str">
        <f aca="false">CHOOSE(MONTH(Q1177),"Janvier","Février","Mars","Avril","Mai","Juin","Juillet","Août","Septembre","Octobre","Novembre","Décembre")</f>
        <v>Octobre</v>
      </c>
      <c r="V1177" s="22" t="n">
        <f aca="false">YEAR(Q1177)</f>
        <v>2026</v>
      </c>
      <c r="W1177" s="20"/>
      <c r="X1177" s="8" t="n">
        <f aca="false">IFERROR(IF(M1177="Abs",0,IF(ROUND((D1177-C1177+E1177-F1177)*1440,0)&lt;=1,0,D1177-C1177+E1177-F1177)),0)</f>
        <v>0.00347222222222222</v>
      </c>
      <c r="Y1177" s="6" t="str">
        <f aca="false">IFERROR(VLOOKUP($B1177,Agents!$A:$D,3,0),"-")</f>
        <v>OUBRAHIM Mohammed</v>
      </c>
      <c r="Z1177" s="6" t="str">
        <f aca="false">IFERROR(VLOOKUP($B1177,Agents!$A:$D,4,0),"-")</f>
        <v>Credit Mutuel</v>
      </c>
      <c r="AA1177" s="18" t="s">
        <v>126</v>
      </c>
      <c r="AB1177" s="8" t="str">
        <f aca="false">IF(AND(D1177="Congé",F1177="Congé"),0.333333333333333,IF(OR(AND(D1177="Congé",F1177&lt;&gt;"Congé"),(AND(F1177="Congé",D1177&lt;&gt;"Congé"))),0.166666666666667,""))</f>
        <v/>
      </c>
      <c r="AC1177" s="8" t="str">
        <f aca="false">IF(AND(D1177="Congé sans solde",F1177="Congé sans solde"),0.333333333333333,IF(OR(AND(D1177="Congé sans solde",F1177&lt;&gt;"Congé sans solde"),(AND(F1177="Congé sans solde",D1177&lt;&gt;"Congé sans solde"))),0.166666666666667,""))</f>
        <v/>
      </c>
      <c r="AD1177" s="8" t="str">
        <f aca="false">IF(AND(D1177="Congé spécial",F1177="Congé spécial"),0.333333333333333,IF(OR(AND(D1177="Congé spécial",F1177&lt;&gt;"Congé spécial"),AND(F1177="Congé spécial",D1177&lt;&gt;"Congé spécial")),0.166666666666667,""))</f>
        <v/>
      </c>
      <c r="AE1177" s="8" t="str">
        <f aca="false">IF(AND(D1177="Férié",F1177="Férié"),0.333333333333333,IF(OR(AND(D1177="Férié",F1177&lt;&gt;"Férié"),(AND(F1177="Férié",D1177&lt;&gt;"Férié"))),0.166666666666667,""))</f>
        <v/>
      </c>
      <c r="AF1177" s="18"/>
      <c r="AG1177" s="18"/>
    </row>
    <row r="1178" customFormat="false" ht="15" hidden="false" customHeight="false" outlineLevel="0" collapsed="false">
      <c r="A1178" s="6" t="str">
        <f aca="false">YEAR(Q1178-WEEKDAY(Q1178,2)+4)&amp;"-S"&amp;TEXT(WEEKNUM(Q1178,21),"00")</f>
        <v>2026-S43</v>
      </c>
      <c r="B1178" s="18" t="s">
        <v>73</v>
      </c>
      <c r="C1178" s="19" t="n">
        <v>0.332638888888889</v>
      </c>
      <c r="D1178" s="19" t="n">
        <v>0.333333333333333</v>
      </c>
      <c r="E1178" s="19" t="n">
        <v>0.75</v>
      </c>
      <c r="F1178" s="19" t="n">
        <v>0.75</v>
      </c>
      <c r="G1178" s="20"/>
      <c r="H1178" s="20"/>
      <c r="I1178" s="8" t="str">
        <f aca="false">IF(IF(OR(C1178="",D1178="Congé",D1178="OFF",D1178="Congé spécial"),"",IF(D1178&gt;F1178,D1178-C1178,IF(C1178-D1178&lt;0,0,C1178-D1178)))&lt;0.00068287037037037,"",IF(OR(D1178="Congé",D1178="OFF",C1178="",D1178="Congé spécial"),"",IF(D1178&gt;F1178,D1178-C1178,IF(C1178-D1178&lt;0,0,C1178-D1178))))</f>
        <v/>
      </c>
      <c r="J1178" s="20"/>
      <c r="K1178" s="8" t="n">
        <f aca="false">IF(SUM(H1178:J1178)&lt;0.00068287037037037,0,SUM(H1178:J1178))</f>
        <v>0</v>
      </c>
      <c r="L1178" s="8" t="n">
        <f aca="false">IF(OR(F1178="Congé",F1178="OFF",M1178="Abs",F1178="Congé sans solde",F1178="Férié",F1178="Congé spécial",D1178="Congé spécial"),0,IF(F1178-E1178&lt;0,0,IF(F1178-E1178&lt;=0.00068287037037037,0,F1178-E1178)))</f>
        <v>0</v>
      </c>
      <c r="M1178" s="6" t="n">
        <f aca="false">IF(AND(O1178&lt;&gt;0,C1178=""),"Abs",0)</f>
        <v>0</v>
      </c>
      <c r="N1178" s="8" t="n">
        <f aca="false">IFERROR(IF(OR(D1178="OFF",D1178="Congé",M1178="Abs",D1178="Congé sans solde",D1178="Férié"),"",IF(O1178-K1178-L1178&gt;O1178,O1178,IF(O1178-K1178-L1178&lt;0,"",O1178-K1178-L1178))),"")</f>
        <v>0.375</v>
      </c>
      <c r="O1178" s="8" t="n">
        <f aca="false">IF(AG1178="2H Pause déjeuner",IF(F1178-D1178-0.0833333333333333&lt;0,F1178-D1178-0.0833333333333333+1,F1178-D1178-0.0833333333333333),IF(OR(AND(F1178="OFF",D1178="OFF"),AND(F1178="Congé",D1178="Congé"),AND(F1178="Congé sans solde",D1178="Congé sans solde"),AND(F1178="Congé spécial",D1178="Congé spécial"),AND(F1178="Férié",D1178="Férié"),AND(F1178="OFF",D1178="Congé"),AND(F1178="OFF",D1178="Congé sans solde"),AND(F1178="OFF",D1178="Congé spécial"),AND(F1178="OFF",D1178="Férié"),AND(F1178="Congé",D1178="OFF"),AND(F1178="Congé",D1178="Congé sans solde"),AND(F1178="Congé",D1178="Congé spécial"),AND(F1178="Congé",D1178="Férié"),AND(F1178="Congé sans solde",D1178="OFF"),AND(F1178="Congé sans solde",D1178="Congé"),AND(F1178="Congé sans solde",D1178="Congé spécial"),AND(F1178="Congé sans solde",D1178="Férié"),AND(F1178="Congé spécial",D1178="OFF"),AND(F1178="Congé spécial",D1178="Congé"),AND(F1178="Congé spécial",D1178="Congé sans solde"),AND(F1178="Congé spécial",D1178="Férié"),AND(F1178="Férié",D1178="OFF"),AND(F1178="Férié",D1178="Congé"),AND(F1178="Férié",D1178="Congé sans solde"),AND(F1178="Férié",D1178="Congé spécial")),0,IF(OR(F1178="OFF",F1178="Congé",F1178="Congé spécial",F1178="Congé sans solde",D1178="OFF",D1178="Congé",D1178="Congé spécial",D1178="Congé sans solde"),0.208333333333334,IF(AND(AG1178="",F1178-D1178&lt;0),("24:00:00"-D1178)+("00:00:00"+F1178)-0.0416666666666667,IF(AND(OR(AG1178="Allaitement",AG1178="Sans déjeuner"),F1178-D1178&lt;0),("24:00:00"-D1178)+("00:00:00"+F1178),IF(AND(AG1178="",F1178-D1178&gt;0.166666666666667),F1178-D1178-0.0416666666666667,IF(AND(OR(AG1178="Allaitement",AG1178="Sans déjeuner"),F1178-D1178&gt;0.166666666666667),F1178-D1178,F1178-D1178)))))))</f>
        <v>0.375</v>
      </c>
      <c r="P1178" s="6" t="str">
        <f aca="false">IFERROR(VLOOKUP($B1178,Agents!$A:$D,2,0),"-")</f>
        <v>Accessibilité</v>
      </c>
      <c r="Q1178" s="21" t="n">
        <v>46317</v>
      </c>
      <c r="R1178" s="8" t="n">
        <f aca="false">IF(M1178="Abs",O1178,0)</f>
        <v>0</v>
      </c>
      <c r="S1178" s="8" t="n">
        <f aca="false">SUM(R1178,L1178,I1178,J1178,W1178,H1178)</f>
        <v>0</v>
      </c>
      <c r="T1178" s="6" t="str">
        <f aca="false">"Sem - "&amp;WEEKNUM(Q1178,21)</f>
        <v>Sem - 43</v>
      </c>
      <c r="U1178" s="6" t="str">
        <f aca="false">CHOOSE(MONTH(Q1178),"Janvier","Février","Mars","Avril","Mai","Juin","Juillet","Août","Septembre","Octobre","Novembre","Décembre")</f>
        <v>Octobre</v>
      </c>
      <c r="V1178" s="22" t="n">
        <f aca="false">YEAR(Q1178)</f>
        <v>2026</v>
      </c>
      <c r="W1178" s="20"/>
      <c r="X1178" s="8" t="n">
        <f aca="false">IFERROR(IF(M1178="Abs",0,IF(ROUND((D1178-C1178+E1178-F1178)*1440,0)&lt;=1,0,D1178-C1178+E1178-F1178)),0)</f>
        <v>0</v>
      </c>
      <c r="Y1178" s="6" t="str">
        <f aca="false">IFERROR(VLOOKUP($B1178,Agents!$A:$D,3,0),"-")</f>
        <v>OUBRAHIM Mohammed</v>
      </c>
      <c r="Z1178" s="6" t="str">
        <f aca="false">IFERROR(VLOOKUP($B1178,Agents!$A:$D,4,0),"-")</f>
        <v>Credit Mutuel</v>
      </c>
      <c r="AA1178" s="18" t="s">
        <v>126</v>
      </c>
      <c r="AB1178" s="8" t="str">
        <f aca="false">IF(AND(D1178="Congé",F1178="Congé"),0.333333333333333,IF(OR(AND(D1178="Congé",F1178&lt;&gt;"Congé"),(AND(F1178="Congé",D1178&lt;&gt;"Congé"))),0.166666666666667,""))</f>
        <v/>
      </c>
      <c r="AC1178" s="8" t="str">
        <f aca="false">IF(AND(D1178="Congé sans solde",F1178="Congé sans solde"),0.333333333333333,IF(OR(AND(D1178="Congé sans solde",F1178&lt;&gt;"Congé sans solde"),(AND(F1178="Congé sans solde",D1178&lt;&gt;"Congé sans solde"))),0.166666666666667,""))</f>
        <v/>
      </c>
      <c r="AD1178" s="8" t="str">
        <f aca="false">IF(AND(D1178="Congé spécial",F1178="Congé spécial"),0.333333333333333,IF(OR(AND(D1178="Congé spécial",F1178&lt;&gt;"Congé spécial"),AND(F1178="Congé spécial",D1178&lt;&gt;"Congé spécial")),0.166666666666667,""))</f>
        <v/>
      </c>
      <c r="AE1178" s="8" t="str">
        <f aca="false">IF(AND(D1178="Férié",F1178="Férié"),0.333333333333333,IF(OR(AND(D1178="Férié",F1178&lt;&gt;"Férié"),(AND(F1178="Férié",D1178&lt;&gt;"Férié"))),0.166666666666667,""))</f>
        <v/>
      </c>
      <c r="AF1178" s="18"/>
      <c r="AG1178" s="18"/>
    </row>
    <row r="1179" customFormat="false" ht="15" hidden="false" customHeight="false" outlineLevel="0" collapsed="false">
      <c r="A1179" s="6" t="str">
        <f aca="false">YEAR(Q1179-WEEKDAY(Q1179,2)+4)&amp;"-S"&amp;TEXT(WEEKNUM(Q1179,21),"00")</f>
        <v>2026-S43</v>
      </c>
      <c r="B1179" s="18" t="s">
        <v>124</v>
      </c>
      <c r="C1179" s="19" t="n">
        <v>0.329861111111111</v>
      </c>
      <c r="D1179" s="19" t="n">
        <v>0.333333333333333</v>
      </c>
      <c r="E1179" s="19" t="n">
        <v>0.75</v>
      </c>
      <c r="F1179" s="19" t="n">
        <v>0.75</v>
      </c>
      <c r="G1179" s="20"/>
      <c r="H1179" s="20"/>
      <c r="I1179" s="8" t="str">
        <f aca="false">IF(IF(OR(C1179="",D1179="Congé",D1179="OFF",D1179="Congé spécial"),"",IF(D1179&gt;F1179,D1179-C1179,IF(C1179-D1179&lt;0,0,C1179-D1179)))&lt;0.00068287037037037,"",IF(OR(D1179="Congé",D1179="OFF",C1179="",D1179="Congé spécial"),"",IF(D1179&gt;F1179,D1179-C1179,IF(C1179-D1179&lt;0,0,C1179-D1179))))</f>
        <v/>
      </c>
      <c r="J1179" s="20"/>
      <c r="K1179" s="8" t="n">
        <f aca="false">IF(SUM(H1179:J1179)&lt;0.00068287037037037,0,SUM(H1179:J1179))</f>
        <v>0</v>
      </c>
      <c r="L1179" s="8" t="n">
        <f aca="false">IF(OR(F1179="Congé",F1179="OFF",M1179="Abs",F1179="Congé sans solde",F1179="Férié",F1179="Congé spécial",D1179="Congé spécial"),0,IF(F1179-E1179&lt;0,0,IF(F1179-E1179&lt;=0.00068287037037037,0,F1179-E1179)))</f>
        <v>0</v>
      </c>
      <c r="M1179" s="6" t="n">
        <f aca="false">IF(AND(O1179&lt;&gt;0,C1179=""),"Abs",0)</f>
        <v>0</v>
      </c>
      <c r="N1179" s="8" t="n">
        <f aca="false">IFERROR(IF(OR(D1179="OFF",D1179="Congé",M1179="Abs",D1179="Congé sans solde",D1179="Férié"),"",IF(O1179-K1179-L1179&gt;O1179,O1179,IF(O1179-K1179-L1179&lt;0,"",O1179-K1179-L1179))),"")</f>
        <v>0.375</v>
      </c>
      <c r="O1179" s="8" t="n">
        <f aca="false">IF(AG1179="2H Pause déjeuner",IF(F1179-D1179-0.0833333333333333&lt;0,F1179-D1179-0.0833333333333333+1,F1179-D1179-0.0833333333333333),IF(OR(AND(F1179="OFF",D1179="OFF"),AND(F1179="Congé",D1179="Congé"),AND(F1179="Congé sans solde",D1179="Congé sans solde"),AND(F1179="Congé spécial",D1179="Congé spécial"),AND(F1179="Férié",D1179="Férié"),AND(F1179="OFF",D1179="Congé"),AND(F1179="OFF",D1179="Congé sans solde"),AND(F1179="OFF",D1179="Congé spécial"),AND(F1179="OFF",D1179="Férié"),AND(F1179="Congé",D1179="OFF"),AND(F1179="Congé",D1179="Congé sans solde"),AND(F1179="Congé",D1179="Congé spécial"),AND(F1179="Congé",D1179="Férié"),AND(F1179="Congé sans solde",D1179="OFF"),AND(F1179="Congé sans solde",D1179="Congé"),AND(F1179="Congé sans solde",D1179="Congé spécial"),AND(F1179="Congé sans solde",D1179="Férié"),AND(F1179="Congé spécial",D1179="OFF"),AND(F1179="Congé spécial",D1179="Congé"),AND(F1179="Congé spécial",D1179="Congé sans solde"),AND(F1179="Congé spécial",D1179="Férié"),AND(F1179="Férié",D1179="OFF"),AND(F1179="Férié",D1179="Congé"),AND(F1179="Férié",D1179="Congé sans solde"),AND(F1179="Férié",D1179="Congé spécial")),0,IF(OR(F1179="OFF",F1179="Congé",F1179="Congé spécial",F1179="Congé sans solde",D1179="OFF",D1179="Congé",D1179="Congé spécial",D1179="Congé sans solde"),0.208333333333334,IF(AND(AG1179="",F1179-D1179&lt;0),("24:00:00"-D1179)+("00:00:00"+F1179)-0.0416666666666667,IF(AND(OR(AG1179="Allaitement",AG1179="Sans déjeuner"),F1179-D1179&lt;0),("24:00:00"-D1179)+("00:00:00"+F1179),IF(AND(AG1179="",F1179-D1179&gt;0.166666666666667),F1179-D1179-0.0416666666666667,IF(AND(OR(AG1179="Allaitement",AG1179="Sans déjeuner"),F1179-D1179&gt;0.166666666666667),F1179-D1179,F1179-D1179)))))))</f>
        <v>0.375</v>
      </c>
      <c r="P1179" s="6" t="str">
        <f aca="false">IFERROR(VLOOKUP($B1179,Agents!$A:$D,2,0),"-")</f>
        <v>Accessibilité</v>
      </c>
      <c r="Q1179" s="21" t="n">
        <v>46317</v>
      </c>
      <c r="R1179" s="8" t="n">
        <f aca="false">IF(M1179="Abs",O1179,0)</f>
        <v>0</v>
      </c>
      <c r="S1179" s="8" t="n">
        <f aca="false">SUM(R1179,L1179,I1179,J1179,W1179,H1179)</f>
        <v>0</v>
      </c>
      <c r="T1179" s="6" t="str">
        <f aca="false">"Sem - "&amp;WEEKNUM(Q1179,21)</f>
        <v>Sem - 43</v>
      </c>
      <c r="U1179" s="6" t="str">
        <f aca="false">CHOOSE(MONTH(Q1179),"Janvier","Février","Mars","Avril","Mai","Juin","Juillet","Août","Septembre","Octobre","Novembre","Décembre")</f>
        <v>Octobre</v>
      </c>
      <c r="V1179" s="22" t="n">
        <f aca="false">YEAR(Q1179)</f>
        <v>2026</v>
      </c>
      <c r="W1179" s="20"/>
      <c r="X1179" s="8" t="n">
        <f aca="false">IFERROR(IF(M1179="Abs",0,IF(ROUND((D1179-C1179+E1179-F1179)*1440,0)&lt;=1,0,D1179-C1179+E1179-F1179)),0)</f>
        <v>0.00347222222222222</v>
      </c>
      <c r="Y1179" s="6" t="str">
        <f aca="false">IFERROR(VLOOKUP($B1179,Agents!$A:$D,3,0),"-")</f>
        <v>OUBRAHIM Mohammed</v>
      </c>
      <c r="Z1179" s="6" t="str">
        <f aca="false">IFERROR(VLOOKUP($B1179,Agents!$A:$D,4,0),"-")</f>
        <v>Credit Mutuel</v>
      </c>
      <c r="AA1179" s="18" t="s">
        <v>126</v>
      </c>
      <c r="AB1179" s="8" t="str">
        <f aca="false">IF(AND(D1179="Congé",F1179="Congé"),0.333333333333333,IF(OR(AND(D1179="Congé",F1179&lt;&gt;"Congé"),(AND(F1179="Congé",D1179&lt;&gt;"Congé"))),0.166666666666667,""))</f>
        <v/>
      </c>
      <c r="AC1179" s="8" t="str">
        <f aca="false">IF(AND(D1179="Congé sans solde",F1179="Congé sans solde"),0.333333333333333,IF(OR(AND(D1179="Congé sans solde",F1179&lt;&gt;"Congé sans solde"),(AND(F1179="Congé sans solde",D1179&lt;&gt;"Congé sans solde"))),0.166666666666667,""))</f>
        <v/>
      </c>
      <c r="AD1179" s="8" t="str">
        <f aca="false">IF(AND(D1179="Congé spécial",F1179="Congé spécial"),0.333333333333333,IF(OR(AND(D1179="Congé spécial",F1179&lt;&gt;"Congé spécial"),AND(F1179="Congé spécial",D1179&lt;&gt;"Congé spécial")),0.166666666666667,""))</f>
        <v/>
      </c>
      <c r="AE1179" s="8" t="str">
        <f aca="false">IF(AND(D1179="Férié",F1179="Férié"),0.333333333333333,IF(OR(AND(D1179="Férié",F1179&lt;&gt;"Férié"),(AND(F1179="Férié",D1179&lt;&gt;"Férié"))),0.166666666666667,""))</f>
        <v/>
      </c>
      <c r="AF1179" s="18"/>
      <c r="AG1179" s="18"/>
    </row>
    <row r="1180" customFormat="false" ht="15" hidden="false" customHeight="false" outlineLevel="0" collapsed="false">
      <c r="A1180" s="6" t="str">
        <f aca="false">YEAR(Q1180-WEEKDAY(Q1180,2)+4)&amp;"-S"&amp;TEXT(WEEKNUM(Q1180,21),"00")</f>
        <v>2026-S43</v>
      </c>
      <c r="B1180" s="18" t="s">
        <v>71</v>
      </c>
      <c r="C1180" s="19" t="n">
        <v>0.330555555555556</v>
      </c>
      <c r="D1180" s="19" t="n">
        <v>0.333333333333333</v>
      </c>
      <c r="E1180" s="19" t="n">
        <v>0.708333333333333</v>
      </c>
      <c r="F1180" s="19" t="n">
        <v>0.708333333333333</v>
      </c>
      <c r="G1180" s="20"/>
      <c r="H1180" s="20"/>
      <c r="I1180" s="8" t="str">
        <f aca="false">IF(IF(OR(C1180="",D1180="Congé",D1180="OFF",D1180="Congé spécial"),"",IF(D1180&gt;F1180,D1180-C1180,IF(C1180-D1180&lt;0,0,C1180-D1180)))&lt;0.00068287037037037,"",IF(OR(D1180="Congé",D1180="OFF",C1180="",D1180="Congé spécial"),"",IF(D1180&gt;F1180,D1180-C1180,IF(C1180-D1180&lt;0,0,C1180-D1180))))</f>
        <v/>
      </c>
      <c r="J1180" s="20"/>
      <c r="K1180" s="8" t="n">
        <f aca="false">IF(SUM(H1180:J1180)&lt;0.00068287037037037,0,SUM(H1180:J1180))</f>
        <v>0</v>
      </c>
      <c r="L1180" s="8" t="n">
        <f aca="false">IF(OR(F1180="Congé",F1180="OFF",M1180="Abs",F1180="Congé sans solde",F1180="Férié",F1180="Congé spécial",D1180="Congé spécial"),0,IF(F1180-E1180&lt;0,0,IF(F1180-E1180&lt;=0.00068287037037037,0,F1180-E1180)))</f>
        <v>0</v>
      </c>
      <c r="M1180" s="6" t="n">
        <f aca="false">IF(AND(O1180&lt;&gt;0,C1180=""),"Abs",0)</f>
        <v>0</v>
      </c>
      <c r="N1180" s="8" t="n">
        <f aca="false">IFERROR(IF(OR(D1180="OFF",D1180="Congé",M1180="Abs",D1180="Congé sans solde",D1180="Férié"),"",IF(O1180-K1180-L1180&gt;O1180,O1180,IF(O1180-K1180-L1180&lt;0,"",O1180-K1180-L1180))),"")</f>
        <v>0.333333333333333</v>
      </c>
      <c r="O1180" s="8" t="n">
        <f aca="false">IF(AG1180="2H Pause déjeuner",IF(F1180-D1180-0.0833333333333333&lt;0,F1180-D1180-0.0833333333333333+1,F1180-D1180-0.0833333333333333),IF(OR(AND(F1180="OFF",D1180="OFF"),AND(F1180="Congé",D1180="Congé"),AND(F1180="Congé sans solde",D1180="Congé sans solde"),AND(F1180="Congé spécial",D1180="Congé spécial"),AND(F1180="Férié",D1180="Férié"),AND(F1180="OFF",D1180="Congé"),AND(F1180="OFF",D1180="Congé sans solde"),AND(F1180="OFF",D1180="Congé spécial"),AND(F1180="OFF",D1180="Férié"),AND(F1180="Congé",D1180="OFF"),AND(F1180="Congé",D1180="Congé sans solde"),AND(F1180="Congé",D1180="Congé spécial"),AND(F1180="Congé",D1180="Férié"),AND(F1180="Congé sans solde",D1180="OFF"),AND(F1180="Congé sans solde",D1180="Congé"),AND(F1180="Congé sans solde",D1180="Congé spécial"),AND(F1180="Congé sans solde",D1180="Férié"),AND(F1180="Congé spécial",D1180="OFF"),AND(F1180="Congé spécial",D1180="Congé"),AND(F1180="Congé spécial",D1180="Congé sans solde"),AND(F1180="Congé spécial",D1180="Férié"),AND(F1180="Férié",D1180="OFF"),AND(F1180="Férié",D1180="Congé"),AND(F1180="Férié",D1180="Congé sans solde"),AND(F1180="Férié",D1180="Congé spécial")),0,IF(OR(F1180="OFF",F1180="Congé",F1180="Congé spécial",F1180="Congé sans solde",D1180="OFF",D1180="Congé",D1180="Congé spécial",D1180="Congé sans solde"),0.208333333333334,IF(AND(AG1180="",F1180-D1180&lt;0),("24:00:00"-D1180)+("00:00:00"+F1180)-0.0416666666666667,IF(AND(OR(AG1180="Allaitement",AG1180="Sans déjeuner"),F1180-D1180&lt;0),("24:00:00"-D1180)+("00:00:00"+F1180),IF(AND(AG1180="",F1180-D1180&gt;0.166666666666667),F1180-D1180-0.0416666666666667,IF(AND(OR(AG1180="Allaitement",AG1180="Sans déjeuner"),F1180-D1180&gt;0.166666666666667),F1180-D1180,F1180-D1180)))))))</f>
        <v>0.333333333333333</v>
      </c>
      <c r="P1180" s="6" t="str">
        <f aca="false">IFERROR(VLOOKUP($B1180,Agents!$A:$D,2,0),"-")</f>
        <v>Accessibilité</v>
      </c>
      <c r="Q1180" s="21" t="n">
        <v>46318</v>
      </c>
      <c r="R1180" s="8" t="n">
        <f aca="false">IF(M1180="Abs",O1180,0)</f>
        <v>0</v>
      </c>
      <c r="S1180" s="8" t="n">
        <f aca="false">SUM(R1180,L1180,I1180,J1180,W1180,H1180)</f>
        <v>0</v>
      </c>
      <c r="T1180" s="6" t="str">
        <f aca="false">"Sem - "&amp;WEEKNUM(Q1180,21)</f>
        <v>Sem - 43</v>
      </c>
      <c r="U1180" s="6" t="str">
        <f aca="false">CHOOSE(MONTH(Q1180),"Janvier","Février","Mars","Avril","Mai","Juin","Juillet","Août","Septembre","Octobre","Novembre","Décembre")</f>
        <v>Octobre</v>
      </c>
      <c r="V1180" s="22" t="n">
        <f aca="false">YEAR(Q1180)</f>
        <v>2026</v>
      </c>
      <c r="W1180" s="20"/>
      <c r="X1180" s="8" t="n">
        <f aca="false">IFERROR(IF(M1180="Abs",0,IF(ROUND((D1180-C1180+E1180-F1180)*1440,0)&lt;=1,0,D1180-C1180+E1180-F1180)),0)</f>
        <v>0.00277777777777778</v>
      </c>
      <c r="Y1180" s="6" t="str">
        <f aca="false">IFERROR(VLOOKUP($B1180,Agents!$A:$D,3,0),"-")</f>
        <v>OUBRAHIM Mohammed</v>
      </c>
      <c r="Z1180" s="6" t="str">
        <f aca="false">IFERROR(VLOOKUP($B1180,Agents!$A:$D,4,0),"-")</f>
        <v>Credit Mutuel</v>
      </c>
      <c r="AA1180" s="18" t="s">
        <v>126</v>
      </c>
      <c r="AB1180" s="8" t="str">
        <f aca="false">IF(AND(D1180="Congé",F1180="Congé"),0.333333333333333,IF(OR(AND(D1180="Congé",F1180&lt;&gt;"Congé"),(AND(F1180="Congé",D1180&lt;&gt;"Congé"))),0.166666666666667,""))</f>
        <v/>
      </c>
      <c r="AC1180" s="8" t="str">
        <f aca="false">IF(AND(D1180="Congé sans solde",F1180="Congé sans solde"),0.333333333333333,IF(OR(AND(D1180="Congé sans solde",F1180&lt;&gt;"Congé sans solde"),(AND(F1180="Congé sans solde",D1180&lt;&gt;"Congé sans solde"))),0.166666666666667,""))</f>
        <v/>
      </c>
      <c r="AD1180" s="8" t="str">
        <f aca="false">IF(AND(D1180="Congé spécial",F1180="Congé spécial"),0.333333333333333,IF(OR(AND(D1180="Congé spécial",F1180&lt;&gt;"Congé spécial"),AND(F1180="Congé spécial",D1180&lt;&gt;"Congé spécial")),0.166666666666667,""))</f>
        <v/>
      </c>
      <c r="AE1180" s="8" t="str">
        <f aca="false">IF(AND(D1180="Férié",F1180="Férié"),0.333333333333333,IF(OR(AND(D1180="Férié",F1180&lt;&gt;"Férié"),(AND(F1180="Férié",D1180&lt;&gt;"Férié"))),0.166666666666667,""))</f>
        <v/>
      </c>
      <c r="AF1180" s="18"/>
      <c r="AG1180" s="18"/>
    </row>
    <row r="1181" customFormat="false" ht="15" hidden="false" customHeight="false" outlineLevel="0" collapsed="false">
      <c r="A1181" s="6" t="str">
        <f aca="false">YEAR(Q1181-WEEKDAY(Q1181,2)+4)&amp;"-S"&amp;TEXT(WEEKNUM(Q1181,21),"00")</f>
        <v>2026-S43</v>
      </c>
      <c r="B1181" s="18" t="s">
        <v>72</v>
      </c>
      <c r="C1181" s="19" t="n">
        <v>0.330555555555556</v>
      </c>
      <c r="D1181" s="19" t="n">
        <v>0.333333333333333</v>
      </c>
      <c r="E1181" s="19" t="n">
        <v>0.708333333333333</v>
      </c>
      <c r="F1181" s="19" t="n">
        <v>0.708333333333333</v>
      </c>
      <c r="G1181" s="20"/>
      <c r="H1181" s="20"/>
      <c r="I1181" s="8" t="str">
        <f aca="false">IF(IF(OR(C1181="",D1181="Congé",D1181="OFF",D1181="Congé spécial"),"",IF(D1181&gt;F1181,D1181-C1181,IF(C1181-D1181&lt;0,0,C1181-D1181)))&lt;0.00068287037037037,"",IF(OR(D1181="Congé",D1181="OFF",C1181="",D1181="Congé spécial"),"",IF(D1181&gt;F1181,D1181-C1181,IF(C1181-D1181&lt;0,0,C1181-D1181))))</f>
        <v/>
      </c>
      <c r="J1181" s="20"/>
      <c r="K1181" s="8" t="n">
        <f aca="false">IF(SUM(H1181:J1181)&lt;0.00068287037037037,0,SUM(H1181:J1181))</f>
        <v>0</v>
      </c>
      <c r="L1181" s="8" t="n">
        <f aca="false">IF(OR(F1181="Congé",F1181="OFF",M1181="Abs",F1181="Congé sans solde",F1181="Férié",F1181="Congé spécial",D1181="Congé spécial"),0,IF(F1181-E1181&lt;0,0,IF(F1181-E1181&lt;=0.00068287037037037,0,F1181-E1181)))</f>
        <v>0</v>
      </c>
      <c r="M1181" s="6" t="n">
        <f aca="false">IF(AND(O1181&lt;&gt;0,C1181=""),"Abs",0)</f>
        <v>0</v>
      </c>
      <c r="N1181" s="8" t="n">
        <f aca="false">IFERROR(IF(OR(D1181="OFF",D1181="Congé",M1181="Abs",D1181="Congé sans solde",D1181="Férié"),"",IF(O1181-K1181-L1181&gt;O1181,O1181,IF(O1181-K1181-L1181&lt;0,"",O1181-K1181-L1181))),"")</f>
        <v>0.333333333333333</v>
      </c>
      <c r="O1181" s="8" t="n">
        <f aca="false">IF(AG1181="2H Pause déjeuner",IF(F1181-D1181-0.0833333333333333&lt;0,F1181-D1181-0.0833333333333333+1,F1181-D1181-0.0833333333333333),IF(OR(AND(F1181="OFF",D1181="OFF"),AND(F1181="Congé",D1181="Congé"),AND(F1181="Congé sans solde",D1181="Congé sans solde"),AND(F1181="Congé spécial",D1181="Congé spécial"),AND(F1181="Férié",D1181="Férié"),AND(F1181="OFF",D1181="Congé"),AND(F1181="OFF",D1181="Congé sans solde"),AND(F1181="OFF",D1181="Congé spécial"),AND(F1181="OFF",D1181="Férié"),AND(F1181="Congé",D1181="OFF"),AND(F1181="Congé",D1181="Congé sans solde"),AND(F1181="Congé",D1181="Congé spécial"),AND(F1181="Congé",D1181="Férié"),AND(F1181="Congé sans solde",D1181="OFF"),AND(F1181="Congé sans solde",D1181="Congé"),AND(F1181="Congé sans solde",D1181="Congé spécial"),AND(F1181="Congé sans solde",D1181="Férié"),AND(F1181="Congé spécial",D1181="OFF"),AND(F1181="Congé spécial",D1181="Congé"),AND(F1181="Congé spécial",D1181="Congé sans solde"),AND(F1181="Congé spécial",D1181="Férié"),AND(F1181="Férié",D1181="OFF"),AND(F1181="Férié",D1181="Congé"),AND(F1181="Férié",D1181="Congé sans solde"),AND(F1181="Férié",D1181="Congé spécial")),0,IF(OR(F1181="OFF",F1181="Congé",F1181="Congé spécial",F1181="Congé sans solde",D1181="OFF",D1181="Congé",D1181="Congé spécial",D1181="Congé sans solde"),0.208333333333334,IF(AND(AG1181="",F1181-D1181&lt;0),("24:00:00"-D1181)+("00:00:00"+F1181)-0.0416666666666667,IF(AND(OR(AG1181="Allaitement",AG1181="Sans déjeuner"),F1181-D1181&lt;0),("24:00:00"-D1181)+("00:00:00"+F1181),IF(AND(AG1181="",F1181-D1181&gt;0.166666666666667),F1181-D1181-0.0416666666666667,IF(AND(OR(AG1181="Allaitement",AG1181="Sans déjeuner"),F1181-D1181&gt;0.166666666666667),F1181-D1181,F1181-D1181)))))))</f>
        <v>0.333333333333333</v>
      </c>
      <c r="P1181" s="6" t="str">
        <f aca="false">IFERROR(VLOOKUP($B1181,Agents!$A:$D,2,0),"-")</f>
        <v>Accessibilité</v>
      </c>
      <c r="Q1181" s="21" t="n">
        <v>46318</v>
      </c>
      <c r="R1181" s="8" t="n">
        <f aca="false">IF(M1181="Abs",O1181,0)</f>
        <v>0</v>
      </c>
      <c r="S1181" s="8" t="n">
        <f aca="false">SUM(R1181,L1181,I1181,J1181,W1181,H1181)</f>
        <v>0</v>
      </c>
      <c r="T1181" s="6" t="str">
        <f aca="false">"Sem - "&amp;WEEKNUM(Q1181,21)</f>
        <v>Sem - 43</v>
      </c>
      <c r="U1181" s="6" t="str">
        <f aca="false">CHOOSE(MONTH(Q1181),"Janvier","Février","Mars","Avril","Mai","Juin","Juillet","Août","Septembre","Octobre","Novembre","Décembre")</f>
        <v>Octobre</v>
      </c>
      <c r="V1181" s="22" t="n">
        <f aca="false">YEAR(Q1181)</f>
        <v>2026</v>
      </c>
      <c r="W1181" s="20"/>
      <c r="X1181" s="8" t="n">
        <f aca="false">IFERROR(IF(M1181="Abs",0,IF(ROUND((D1181-C1181+E1181-F1181)*1440,0)&lt;=1,0,D1181-C1181+E1181-F1181)),0)</f>
        <v>0.00277777777777778</v>
      </c>
      <c r="Y1181" s="6" t="str">
        <f aca="false">IFERROR(VLOOKUP($B1181,Agents!$A:$D,3,0),"-")</f>
        <v>OUBRAHIM Mohammed</v>
      </c>
      <c r="Z1181" s="6" t="str">
        <f aca="false">IFERROR(VLOOKUP($B1181,Agents!$A:$D,4,0),"-")</f>
        <v>Credit Mutuel</v>
      </c>
      <c r="AA1181" s="18" t="s">
        <v>126</v>
      </c>
      <c r="AB1181" s="8" t="str">
        <f aca="false">IF(AND(D1181="Congé",F1181="Congé"),0.333333333333333,IF(OR(AND(D1181="Congé",F1181&lt;&gt;"Congé"),(AND(F1181="Congé",D1181&lt;&gt;"Congé"))),0.166666666666667,""))</f>
        <v/>
      </c>
      <c r="AC1181" s="8" t="str">
        <f aca="false">IF(AND(D1181="Congé sans solde",F1181="Congé sans solde"),0.333333333333333,IF(OR(AND(D1181="Congé sans solde",F1181&lt;&gt;"Congé sans solde"),(AND(F1181="Congé sans solde",D1181&lt;&gt;"Congé sans solde"))),0.166666666666667,""))</f>
        <v/>
      </c>
      <c r="AD1181" s="8" t="str">
        <f aca="false">IF(AND(D1181="Congé spécial",F1181="Congé spécial"),0.333333333333333,IF(OR(AND(D1181="Congé spécial",F1181&lt;&gt;"Congé spécial"),AND(F1181="Congé spécial",D1181&lt;&gt;"Congé spécial")),0.166666666666667,""))</f>
        <v/>
      </c>
      <c r="AE1181" s="8" t="str">
        <f aca="false">IF(AND(D1181="Férié",F1181="Férié"),0.333333333333333,IF(OR(AND(D1181="Férié",F1181&lt;&gt;"Férié"),(AND(F1181="Férié",D1181&lt;&gt;"Férié"))),0.166666666666667,""))</f>
        <v/>
      </c>
      <c r="AF1181" s="18"/>
      <c r="AG1181" s="18"/>
    </row>
    <row r="1182" customFormat="false" ht="15" hidden="false" customHeight="false" outlineLevel="0" collapsed="false">
      <c r="A1182" s="6" t="str">
        <f aca="false">YEAR(Q1182-WEEKDAY(Q1182,2)+4)&amp;"-S"&amp;TEXT(WEEKNUM(Q1182,21),"00")</f>
        <v>2026-S43</v>
      </c>
      <c r="B1182" s="18" t="s">
        <v>73</v>
      </c>
      <c r="C1182" s="19" t="n">
        <v>0.333333333333333</v>
      </c>
      <c r="D1182" s="19" t="n">
        <v>0.333333333333333</v>
      </c>
      <c r="E1182" s="19" t="n">
        <v>0.708333333333333</v>
      </c>
      <c r="F1182" s="19" t="n">
        <v>0.708333333333333</v>
      </c>
      <c r="G1182" s="20"/>
      <c r="H1182" s="20"/>
      <c r="I1182" s="8" t="str">
        <f aca="false">IF(IF(OR(C1182="",D1182="Congé",D1182="OFF",D1182="Congé spécial"),"",IF(D1182&gt;F1182,D1182-C1182,IF(C1182-D1182&lt;0,0,C1182-D1182)))&lt;0.00068287037037037,"",IF(OR(D1182="Congé",D1182="OFF",C1182="",D1182="Congé spécial"),"",IF(D1182&gt;F1182,D1182-C1182,IF(C1182-D1182&lt;0,0,C1182-D1182))))</f>
        <v/>
      </c>
      <c r="J1182" s="20"/>
      <c r="K1182" s="8" t="n">
        <f aca="false">IF(SUM(H1182:J1182)&lt;0.00068287037037037,0,SUM(H1182:J1182))</f>
        <v>0</v>
      </c>
      <c r="L1182" s="8" t="n">
        <f aca="false">IF(OR(F1182="Congé",F1182="OFF",M1182="Abs",F1182="Congé sans solde",F1182="Férié",F1182="Congé spécial",D1182="Congé spécial"),0,IF(F1182-E1182&lt;0,0,IF(F1182-E1182&lt;=0.00068287037037037,0,F1182-E1182)))</f>
        <v>0</v>
      </c>
      <c r="M1182" s="6" t="n">
        <f aca="false">IF(AND(O1182&lt;&gt;0,C1182=""),"Abs",0)</f>
        <v>0</v>
      </c>
      <c r="N1182" s="8" t="n">
        <f aca="false">IFERROR(IF(OR(D1182="OFF",D1182="Congé",M1182="Abs",D1182="Congé sans solde",D1182="Férié"),"",IF(O1182-K1182-L1182&gt;O1182,O1182,IF(O1182-K1182-L1182&lt;0,"",O1182-K1182-L1182))),"")</f>
        <v>0.333333333333333</v>
      </c>
      <c r="O1182" s="8" t="n">
        <f aca="false">IF(AG1182="2H Pause déjeuner",IF(F1182-D1182-0.0833333333333333&lt;0,F1182-D1182-0.0833333333333333+1,F1182-D1182-0.0833333333333333),IF(OR(AND(F1182="OFF",D1182="OFF"),AND(F1182="Congé",D1182="Congé"),AND(F1182="Congé sans solde",D1182="Congé sans solde"),AND(F1182="Congé spécial",D1182="Congé spécial"),AND(F1182="Férié",D1182="Férié"),AND(F1182="OFF",D1182="Congé"),AND(F1182="OFF",D1182="Congé sans solde"),AND(F1182="OFF",D1182="Congé spécial"),AND(F1182="OFF",D1182="Férié"),AND(F1182="Congé",D1182="OFF"),AND(F1182="Congé",D1182="Congé sans solde"),AND(F1182="Congé",D1182="Congé spécial"),AND(F1182="Congé",D1182="Férié"),AND(F1182="Congé sans solde",D1182="OFF"),AND(F1182="Congé sans solde",D1182="Congé"),AND(F1182="Congé sans solde",D1182="Congé spécial"),AND(F1182="Congé sans solde",D1182="Férié"),AND(F1182="Congé spécial",D1182="OFF"),AND(F1182="Congé spécial",D1182="Congé"),AND(F1182="Congé spécial",D1182="Congé sans solde"),AND(F1182="Congé spécial",D1182="Férié"),AND(F1182="Férié",D1182="OFF"),AND(F1182="Férié",D1182="Congé"),AND(F1182="Férié",D1182="Congé sans solde"),AND(F1182="Férié",D1182="Congé spécial")),0,IF(OR(F1182="OFF",F1182="Congé",F1182="Congé spécial",F1182="Congé sans solde",D1182="OFF",D1182="Congé",D1182="Congé spécial",D1182="Congé sans solde"),0.208333333333334,IF(AND(AG1182="",F1182-D1182&lt;0),("24:00:00"-D1182)+("00:00:00"+F1182)-0.0416666666666667,IF(AND(OR(AG1182="Allaitement",AG1182="Sans déjeuner"),F1182-D1182&lt;0),("24:00:00"-D1182)+("00:00:00"+F1182),IF(AND(AG1182="",F1182-D1182&gt;0.166666666666667),F1182-D1182-0.0416666666666667,IF(AND(OR(AG1182="Allaitement",AG1182="Sans déjeuner"),F1182-D1182&gt;0.166666666666667),F1182-D1182,F1182-D1182)))))))</f>
        <v>0.333333333333333</v>
      </c>
      <c r="P1182" s="6" t="str">
        <f aca="false">IFERROR(VLOOKUP($B1182,Agents!$A:$D,2,0),"-")</f>
        <v>Accessibilité</v>
      </c>
      <c r="Q1182" s="21" t="n">
        <v>46318</v>
      </c>
      <c r="R1182" s="8" t="n">
        <f aca="false">IF(M1182="Abs",O1182,0)</f>
        <v>0</v>
      </c>
      <c r="S1182" s="8" t="n">
        <f aca="false">SUM(R1182,L1182,I1182,J1182,W1182,H1182)</f>
        <v>0</v>
      </c>
      <c r="T1182" s="6" t="str">
        <f aca="false">"Sem - "&amp;WEEKNUM(Q1182,21)</f>
        <v>Sem - 43</v>
      </c>
      <c r="U1182" s="6" t="str">
        <f aca="false">CHOOSE(MONTH(Q1182),"Janvier","Février","Mars","Avril","Mai","Juin","Juillet","Août","Septembre","Octobre","Novembre","Décembre")</f>
        <v>Octobre</v>
      </c>
      <c r="V1182" s="22" t="n">
        <f aca="false">YEAR(Q1182)</f>
        <v>2026</v>
      </c>
      <c r="W1182" s="20"/>
      <c r="X1182" s="8" t="n">
        <f aca="false">IFERROR(IF(M1182="Abs",0,IF(ROUND((D1182-C1182+E1182-F1182)*1440,0)&lt;=1,0,D1182-C1182+E1182-F1182)),0)</f>
        <v>0</v>
      </c>
      <c r="Y1182" s="6" t="str">
        <f aca="false">IFERROR(VLOOKUP($B1182,Agents!$A:$D,3,0),"-")</f>
        <v>OUBRAHIM Mohammed</v>
      </c>
      <c r="Z1182" s="6" t="str">
        <f aca="false">IFERROR(VLOOKUP($B1182,Agents!$A:$D,4,0),"-")</f>
        <v>Credit Mutuel</v>
      </c>
      <c r="AA1182" s="18" t="s">
        <v>126</v>
      </c>
      <c r="AB1182" s="8" t="str">
        <f aca="false">IF(AND(D1182="Congé",F1182="Congé"),0.333333333333333,IF(OR(AND(D1182="Congé",F1182&lt;&gt;"Congé"),(AND(F1182="Congé",D1182&lt;&gt;"Congé"))),0.166666666666667,""))</f>
        <v/>
      </c>
      <c r="AC1182" s="8" t="str">
        <f aca="false">IF(AND(D1182="Congé sans solde",F1182="Congé sans solde"),0.333333333333333,IF(OR(AND(D1182="Congé sans solde",F1182&lt;&gt;"Congé sans solde"),(AND(F1182="Congé sans solde",D1182&lt;&gt;"Congé sans solde"))),0.166666666666667,""))</f>
        <v/>
      </c>
      <c r="AD1182" s="8" t="str">
        <f aca="false">IF(AND(D1182="Congé spécial",F1182="Congé spécial"),0.333333333333333,IF(OR(AND(D1182="Congé spécial",F1182&lt;&gt;"Congé spécial"),AND(F1182="Congé spécial",D1182&lt;&gt;"Congé spécial")),0.166666666666667,""))</f>
        <v/>
      </c>
      <c r="AE1182" s="8" t="str">
        <f aca="false">IF(AND(D1182="Férié",F1182="Férié"),0.333333333333333,IF(OR(AND(D1182="Férié",F1182&lt;&gt;"Férié"),(AND(F1182="Férié",D1182&lt;&gt;"Férié"))),0.166666666666667,""))</f>
        <v/>
      </c>
      <c r="AF1182" s="18"/>
      <c r="AG1182" s="18"/>
    </row>
    <row r="1183" customFormat="false" ht="15" hidden="false" customHeight="false" outlineLevel="0" collapsed="false">
      <c r="A1183" s="6" t="str">
        <f aca="false">YEAR(Q1183-WEEKDAY(Q1183,2)+4)&amp;"-S"&amp;TEXT(WEEKNUM(Q1183,21),"00")</f>
        <v>2026-S43</v>
      </c>
      <c r="B1183" s="18" t="s">
        <v>124</v>
      </c>
      <c r="C1183" s="19" t="n">
        <v>0.329861111111111</v>
      </c>
      <c r="D1183" s="19" t="n">
        <v>0.333333333333333</v>
      </c>
      <c r="E1183" s="19" t="n">
        <v>0.708333333333333</v>
      </c>
      <c r="F1183" s="19" t="n">
        <v>0.708333333333333</v>
      </c>
      <c r="G1183" s="20"/>
      <c r="H1183" s="20"/>
      <c r="I1183" s="8" t="str">
        <f aca="false">IF(IF(OR(C1183="",D1183="Congé",D1183="OFF",D1183="Congé spécial"),"",IF(D1183&gt;F1183,D1183-C1183,IF(C1183-D1183&lt;0,0,C1183-D1183)))&lt;0.00068287037037037,"",IF(OR(D1183="Congé",D1183="OFF",C1183="",D1183="Congé spécial"),"",IF(D1183&gt;F1183,D1183-C1183,IF(C1183-D1183&lt;0,0,C1183-D1183))))</f>
        <v/>
      </c>
      <c r="J1183" s="20"/>
      <c r="K1183" s="8" t="n">
        <f aca="false">IF(SUM(H1183:J1183)&lt;0.00068287037037037,0,SUM(H1183:J1183))</f>
        <v>0</v>
      </c>
      <c r="L1183" s="8" t="n">
        <f aca="false">IF(OR(F1183="Congé",F1183="OFF",M1183="Abs",F1183="Congé sans solde",F1183="Férié",F1183="Congé spécial",D1183="Congé spécial"),0,IF(F1183-E1183&lt;0,0,IF(F1183-E1183&lt;=0.00068287037037037,0,F1183-E1183)))</f>
        <v>0</v>
      </c>
      <c r="M1183" s="6" t="n">
        <f aca="false">IF(AND(O1183&lt;&gt;0,C1183=""),"Abs",0)</f>
        <v>0</v>
      </c>
      <c r="N1183" s="8" t="n">
        <f aca="false">IFERROR(IF(OR(D1183="OFF",D1183="Congé",M1183="Abs",D1183="Congé sans solde",D1183="Férié"),"",IF(O1183-K1183-L1183&gt;O1183,O1183,IF(O1183-K1183-L1183&lt;0,"",O1183-K1183-L1183))),"")</f>
        <v>0.333333333333333</v>
      </c>
      <c r="O1183" s="8" t="n">
        <f aca="false">IF(AG1183="2H Pause déjeuner",IF(F1183-D1183-0.0833333333333333&lt;0,F1183-D1183-0.0833333333333333+1,F1183-D1183-0.0833333333333333),IF(OR(AND(F1183="OFF",D1183="OFF"),AND(F1183="Congé",D1183="Congé"),AND(F1183="Congé sans solde",D1183="Congé sans solde"),AND(F1183="Congé spécial",D1183="Congé spécial"),AND(F1183="Férié",D1183="Férié"),AND(F1183="OFF",D1183="Congé"),AND(F1183="OFF",D1183="Congé sans solde"),AND(F1183="OFF",D1183="Congé spécial"),AND(F1183="OFF",D1183="Férié"),AND(F1183="Congé",D1183="OFF"),AND(F1183="Congé",D1183="Congé sans solde"),AND(F1183="Congé",D1183="Congé spécial"),AND(F1183="Congé",D1183="Férié"),AND(F1183="Congé sans solde",D1183="OFF"),AND(F1183="Congé sans solde",D1183="Congé"),AND(F1183="Congé sans solde",D1183="Congé spécial"),AND(F1183="Congé sans solde",D1183="Férié"),AND(F1183="Congé spécial",D1183="OFF"),AND(F1183="Congé spécial",D1183="Congé"),AND(F1183="Congé spécial",D1183="Congé sans solde"),AND(F1183="Congé spécial",D1183="Férié"),AND(F1183="Férié",D1183="OFF"),AND(F1183="Férié",D1183="Congé"),AND(F1183="Férié",D1183="Congé sans solde"),AND(F1183="Férié",D1183="Congé spécial")),0,IF(OR(F1183="OFF",F1183="Congé",F1183="Congé spécial",F1183="Congé sans solde",D1183="OFF",D1183="Congé",D1183="Congé spécial",D1183="Congé sans solde"),0.208333333333334,IF(AND(AG1183="",F1183-D1183&lt;0),("24:00:00"-D1183)+("00:00:00"+F1183)-0.0416666666666667,IF(AND(OR(AG1183="Allaitement",AG1183="Sans déjeuner"),F1183-D1183&lt;0),("24:00:00"-D1183)+("00:00:00"+F1183),IF(AND(AG1183="",F1183-D1183&gt;0.166666666666667),F1183-D1183-0.0416666666666667,IF(AND(OR(AG1183="Allaitement",AG1183="Sans déjeuner"),F1183-D1183&gt;0.166666666666667),F1183-D1183,F1183-D1183)))))))</f>
        <v>0.333333333333333</v>
      </c>
      <c r="P1183" s="6" t="str">
        <f aca="false">IFERROR(VLOOKUP($B1183,Agents!$A:$D,2,0),"-")</f>
        <v>Accessibilité</v>
      </c>
      <c r="Q1183" s="21" t="n">
        <v>46318</v>
      </c>
      <c r="R1183" s="8" t="n">
        <f aca="false">IF(M1183="Abs",O1183,0)</f>
        <v>0</v>
      </c>
      <c r="S1183" s="8" t="n">
        <f aca="false">SUM(R1183,L1183,I1183,J1183,W1183,H1183)</f>
        <v>0</v>
      </c>
      <c r="T1183" s="6" t="str">
        <f aca="false">"Sem - "&amp;WEEKNUM(Q1183,21)</f>
        <v>Sem - 43</v>
      </c>
      <c r="U1183" s="6" t="str">
        <f aca="false">CHOOSE(MONTH(Q1183),"Janvier","Février","Mars","Avril","Mai","Juin","Juillet","Août","Septembre","Octobre","Novembre","Décembre")</f>
        <v>Octobre</v>
      </c>
      <c r="V1183" s="22" t="n">
        <f aca="false">YEAR(Q1183)</f>
        <v>2026</v>
      </c>
      <c r="W1183" s="20"/>
      <c r="X1183" s="8" t="n">
        <f aca="false">IFERROR(IF(M1183="Abs",0,IF(ROUND((D1183-C1183+E1183-F1183)*1440,0)&lt;=1,0,D1183-C1183+E1183-F1183)),0)</f>
        <v>0.00347222222222222</v>
      </c>
      <c r="Y1183" s="6" t="str">
        <f aca="false">IFERROR(VLOOKUP($B1183,Agents!$A:$D,3,0),"-")</f>
        <v>OUBRAHIM Mohammed</v>
      </c>
      <c r="Z1183" s="6" t="str">
        <f aca="false">IFERROR(VLOOKUP($B1183,Agents!$A:$D,4,0),"-")</f>
        <v>Credit Mutuel</v>
      </c>
      <c r="AA1183" s="18" t="s">
        <v>126</v>
      </c>
      <c r="AB1183" s="8" t="str">
        <f aca="false">IF(AND(D1183="Congé",F1183="Congé"),0.333333333333333,IF(OR(AND(D1183="Congé",F1183&lt;&gt;"Congé"),(AND(F1183="Congé",D1183&lt;&gt;"Congé"))),0.166666666666667,""))</f>
        <v/>
      </c>
      <c r="AC1183" s="8" t="str">
        <f aca="false">IF(AND(D1183="Congé sans solde",F1183="Congé sans solde"),0.333333333333333,IF(OR(AND(D1183="Congé sans solde",F1183&lt;&gt;"Congé sans solde"),(AND(F1183="Congé sans solde",D1183&lt;&gt;"Congé sans solde"))),0.166666666666667,""))</f>
        <v/>
      </c>
      <c r="AD1183" s="8" t="str">
        <f aca="false">IF(AND(D1183="Congé spécial",F1183="Congé spécial"),0.333333333333333,IF(OR(AND(D1183="Congé spécial",F1183&lt;&gt;"Congé spécial"),AND(F1183="Congé spécial",D1183&lt;&gt;"Congé spécial")),0.166666666666667,""))</f>
        <v/>
      </c>
      <c r="AE1183" s="8" t="str">
        <f aca="false">IF(AND(D1183="Férié",F1183="Férié"),0.333333333333333,IF(OR(AND(D1183="Férié",F1183&lt;&gt;"Férié"),(AND(F1183="Férié",D1183&lt;&gt;"Férié"))),0.166666666666667,""))</f>
        <v/>
      </c>
      <c r="AF1183" s="18"/>
      <c r="AG1183" s="18"/>
    </row>
    <row r="1184" customFormat="false" ht="15" hidden="false" customHeight="false" outlineLevel="0" collapsed="false">
      <c r="A1184" s="6" t="str">
        <f aca="false">YEAR(Q1184-WEEKDAY(Q1184,2)+4)&amp;"-S"&amp;TEXT(WEEKNUM(Q1184,21),"00")</f>
        <v>2026-S43</v>
      </c>
      <c r="B1184" s="18" t="s">
        <v>71</v>
      </c>
      <c r="C1184" s="19"/>
      <c r="D1184" s="19" t="s">
        <v>74</v>
      </c>
      <c r="E1184" s="19"/>
      <c r="F1184" s="19" t="s">
        <v>74</v>
      </c>
      <c r="G1184" s="20"/>
      <c r="H1184" s="20"/>
      <c r="I1184" s="8" t="str">
        <f aca="false">IF(IF(OR(C1184="",D1184="Congé",D1184="OFF",D1184="Congé spécial"),"",IF(D1184&gt;F1184,D1184-C1184,IF(C1184-D1184&lt;0,0,C1184-D1184)))&lt;0.00068287037037037,"",IF(OR(D1184="Congé",D1184="OFF",C1184="",D1184="Congé spécial"),"",IF(D1184&gt;F1184,D1184-C1184,IF(C1184-D1184&lt;0,0,C1184-D1184))))</f>
        <v/>
      </c>
      <c r="J1184" s="20"/>
      <c r="K1184" s="8" t="n">
        <f aca="false">IF(SUM(H1184:J1184)&lt;0.00068287037037037,0,SUM(H1184:J1184))</f>
        <v>0</v>
      </c>
      <c r="L1184" s="8" t="n">
        <f aca="false">IF(OR(F1184="Congé",F1184="OFF",M1184="Abs",F1184="Congé sans solde",F1184="Férié",F1184="Congé spécial",D1184="Congé spécial"),0,IF(F1184-E1184&lt;0,0,IF(F1184-E1184&lt;=0.00068287037037037,0,F1184-E1184)))</f>
        <v>0</v>
      </c>
      <c r="M1184" s="6" t="n">
        <f aca="false">IF(AND(O1184&lt;&gt;0,C1184=""),"Abs",0)</f>
        <v>0</v>
      </c>
      <c r="N1184" s="8" t="str">
        <f aca="false">IFERROR(IF(OR(D1184="OFF",D1184="Congé",M1184="Abs",D1184="Congé sans solde",D1184="Férié"),"",IF(O1184-K1184-L1184&gt;O1184,O1184,IF(O1184-K1184-L1184&lt;0,"",O1184-K1184-L1184))),"")</f>
        <v/>
      </c>
      <c r="O1184" s="8" t="n">
        <f aca="false">IF(AG1184="2H Pause déjeuner",IF(F1184-D1184-0.0833333333333333&lt;0,F1184-D1184-0.0833333333333333+1,F1184-D1184-0.0833333333333333),IF(OR(AND(F1184="OFF",D1184="OFF"),AND(F1184="Congé",D1184="Congé"),AND(F1184="Congé sans solde",D1184="Congé sans solde"),AND(F1184="Congé spécial",D1184="Congé spécial"),AND(F1184="Férié",D1184="Férié"),AND(F1184="OFF",D1184="Congé"),AND(F1184="OFF",D1184="Congé sans solde"),AND(F1184="OFF",D1184="Congé spécial"),AND(F1184="OFF",D1184="Férié"),AND(F1184="Congé",D1184="OFF"),AND(F1184="Congé",D1184="Congé sans solde"),AND(F1184="Congé",D1184="Congé spécial"),AND(F1184="Congé",D1184="Férié"),AND(F1184="Congé sans solde",D1184="OFF"),AND(F1184="Congé sans solde",D1184="Congé"),AND(F1184="Congé sans solde",D1184="Congé spécial"),AND(F1184="Congé sans solde",D1184="Férié"),AND(F1184="Congé spécial",D1184="OFF"),AND(F1184="Congé spécial",D1184="Congé"),AND(F1184="Congé spécial",D1184="Congé sans solde"),AND(F1184="Congé spécial",D1184="Férié"),AND(F1184="Férié",D1184="OFF"),AND(F1184="Férié",D1184="Congé"),AND(F1184="Férié",D1184="Congé sans solde"),AND(F1184="Férié",D1184="Congé spécial")),0,IF(OR(F1184="OFF",F1184="Congé",F1184="Congé spécial",F1184="Congé sans solde",D1184="OFF",D1184="Congé",D1184="Congé spécial",D1184="Congé sans solde"),0.208333333333334,IF(AND(AG1184="",F1184-D1184&lt;0),("24:00:00"-D1184)+("00:00:00"+F1184)-0.0416666666666667,IF(AND(OR(AG1184="Allaitement",AG1184="Sans déjeuner"),F1184-D1184&lt;0),("24:00:00"-D1184)+("00:00:00"+F1184),IF(AND(AG1184="",F1184-D1184&gt;0.166666666666667),F1184-D1184-0.0416666666666667,IF(AND(OR(AG1184="Allaitement",AG1184="Sans déjeuner"),F1184-D1184&gt;0.166666666666667),F1184-D1184,F1184-D1184)))))))</f>
        <v>0</v>
      </c>
      <c r="P1184" s="6" t="str">
        <f aca="false">IFERROR(VLOOKUP($B1184,Agents!$A:$D,2,0),"-")</f>
        <v>Accessibilité</v>
      </c>
      <c r="Q1184" s="21" t="n">
        <v>46319</v>
      </c>
      <c r="R1184" s="8" t="n">
        <f aca="false">IF(M1184="Abs",O1184,0)</f>
        <v>0</v>
      </c>
      <c r="S1184" s="8" t="n">
        <f aca="false">SUM(R1184,L1184,I1184,J1184,W1184,H1184)</f>
        <v>0</v>
      </c>
      <c r="T1184" s="6" t="str">
        <f aca="false">"Sem - "&amp;WEEKNUM(Q1184,21)</f>
        <v>Sem - 43</v>
      </c>
      <c r="U1184" s="6" t="str">
        <f aca="false">CHOOSE(MONTH(Q1184),"Janvier","Février","Mars","Avril","Mai","Juin","Juillet","Août","Septembre","Octobre","Novembre","Décembre")</f>
        <v>Octobre</v>
      </c>
      <c r="V1184" s="22" t="n">
        <f aca="false">YEAR(Q1184)</f>
        <v>2026</v>
      </c>
      <c r="W1184" s="20"/>
      <c r="X1184" s="8" t="n">
        <f aca="false">IFERROR(IF(M1184="Abs",0,IF(ROUND((D1184-C1184+E1184-F1184)*1440,0)&lt;=1,0,D1184-C1184+E1184-F1184)),0)</f>
        <v>0</v>
      </c>
      <c r="Y1184" s="6" t="str">
        <f aca="false">IFERROR(VLOOKUP($B1184,Agents!$A:$D,3,0),"-")</f>
        <v>OUBRAHIM Mohammed</v>
      </c>
      <c r="Z1184" s="6" t="str">
        <f aca="false">IFERROR(VLOOKUP($B1184,Agents!$A:$D,4,0),"-")</f>
        <v>Credit Mutuel</v>
      </c>
      <c r="AA1184" s="18" t="s">
        <v>126</v>
      </c>
      <c r="AB1184" s="8" t="str">
        <f aca="false">IF(AND(D1184="Congé",F1184="Congé"),0.333333333333333,IF(OR(AND(D1184="Congé",F1184&lt;&gt;"Congé"),(AND(F1184="Congé",D1184&lt;&gt;"Congé"))),0.166666666666667,""))</f>
        <v/>
      </c>
      <c r="AC1184" s="8" t="str">
        <f aca="false">IF(AND(D1184="Congé sans solde",F1184="Congé sans solde"),0.333333333333333,IF(OR(AND(D1184="Congé sans solde",F1184&lt;&gt;"Congé sans solde"),(AND(F1184="Congé sans solde",D1184&lt;&gt;"Congé sans solde"))),0.166666666666667,""))</f>
        <v/>
      </c>
      <c r="AD1184" s="8" t="str">
        <f aca="false">IF(AND(D1184="Congé spécial",F1184="Congé spécial"),0.333333333333333,IF(OR(AND(D1184="Congé spécial",F1184&lt;&gt;"Congé spécial"),AND(F1184="Congé spécial",D1184&lt;&gt;"Congé spécial")),0.166666666666667,""))</f>
        <v/>
      </c>
      <c r="AE1184" s="8" t="str">
        <f aca="false">IF(AND(D1184="Férié",F1184="Férié"),0.333333333333333,IF(OR(AND(D1184="Férié",F1184&lt;&gt;"Férié"),(AND(F1184="Férié",D1184&lt;&gt;"Férié"))),0.166666666666667,""))</f>
        <v/>
      </c>
      <c r="AF1184" s="18"/>
      <c r="AG1184" s="18"/>
    </row>
    <row r="1185" customFormat="false" ht="15" hidden="false" customHeight="false" outlineLevel="0" collapsed="false">
      <c r="A1185" s="6" t="str">
        <f aca="false">YEAR(Q1185-WEEKDAY(Q1185,2)+4)&amp;"-S"&amp;TEXT(WEEKNUM(Q1185,21),"00")</f>
        <v>2026-S43</v>
      </c>
      <c r="B1185" s="18" t="s">
        <v>72</v>
      </c>
      <c r="C1185" s="19"/>
      <c r="D1185" s="19" t="s">
        <v>74</v>
      </c>
      <c r="E1185" s="19"/>
      <c r="F1185" s="19" t="s">
        <v>74</v>
      </c>
      <c r="G1185" s="20"/>
      <c r="H1185" s="20"/>
      <c r="I1185" s="8" t="str">
        <f aca="false">IF(IF(OR(C1185="",D1185="Congé",D1185="OFF",D1185="Congé spécial"),"",IF(D1185&gt;F1185,D1185-C1185,IF(C1185-D1185&lt;0,0,C1185-D1185)))&lt;0.00068287037037037,"",IF(OR(D1185="Congé",D1185="OFF",C1185="",D1185="Congé spécial"),"",IF(D1185&gt;F1185,D1185-C1185,IF(C1185-D1185&lt;0,0,C1185-D1185))))</f>
        <v/>
      </c>
      <c r="J1185" s="20"/>
      <c r="K1185" s="8" t="n">
        <f aca="false">IF(SUM(H1185:J1185)&lt;0.00068287037037037,0,SUM(H1185:J1185))</f>
        <v>0</v>
      </c>
      <c r="L1185" s="8" t="n">
        <f aca="false">IF(OR(F1185="Congé",F1185="OFF",M1185="Abs",F1185="Congé sans solde",F1185="Férié",F1185="Congé spécial",D1185="Congé spécial"),0,IF(F1185-E1185&lt;0,0,IF(F1185-E1185&lt;=0.00068287037037037,0,F1185-E1185)))</f>
        <v>0</v>
      </c>
      <c r="M1185" s="6" t="n">
        <f aca="false">IF(AND(O1185&lt;&gt;0,C1185=""),"Abs",0)</f>
        <v>0</v>
      </c>
      <c r="N1185" s="8" t="str">
        <f aca="false">IFERROR(IF(OR(D1185="OFF",D1185="Congé",M1185="Abs",D1185="Congé sans solde",D1185="Férié"),"",IF(O1185-K1185-L1185&gt;O1185,O1185,IF(O1185-K1185-L1185&lt;0,"",O1185-K1185-L1185))),"")</f>
        <v/>
      </c>
      <c r="O1185" s="8" t="n">
        <f aca="false">IF(AG1185="2H Pause déjeuner",IF(F1185-D1185-0.0833333333333333&lt;0,F1185-D1185-0.0833333333333333+1,F1185-D1185-0.0833333333333333),IF(OR(AND(F1185="OFF",D1185="OFF"),AND(F1185="Congé",D1185="Congé"),AND(F1185="Congé sans solde",D1185="Congé sans solde"),AND(F1185="Congé spécial",D1185="Congé spécial"),AND(F1185="Férié",D1185="Férié"),AND(F1185="OFF",D1185="Congé"),AND(F1185="OFF",D1185="Congé sans solde"),AND(F1185="OFF",D1185="Congé spécial"),AND(F1185="OFF",D1185="Férié"),AND(F1185="Congé",D1185="OFF"),AND(F1185="Congé",D1185="Congé sans solde"),AND(F1185="Congé",D1185="Congé spécial"),AND(F1185="Congé",D1185="Férié"),AND(F1185="Congé sans solde",D1185="OFF"),AND(F1185="Congé sans solde",D1185="Congé"),AND(F1185="Congé sans solde",D1185="Congé spécial"),AND(F1185="Congé sans solde",D1185="Férié"),AND(F1185="Congé spécial",D1185="OFF"),AND(F1185="Congé spécial",D1185="Congé"),AND(F1185="Congé spécial",D1185="Congé sans solde"),AND(F1185="Congé spécial",D1185="Férié"),AND(F1185="Férié",D1185="OFF"),AND(F1185="Férié",D1185="Congé"),AND(F1185="Férié",D1185="Congé sans solde"),AND(F1185="Férié",D1185="Congé spécial")),0,IF(OR(F1185="OFF",F1185="Congé",F1185="Congé spécial",F1185="Congé sans solde",D1185="OFF",D1185="Congé",D1185="Congé spécial",D1185="Congé sans solde"),0.208333333333334,IF(AND(AG1185="",F1185-D1185&lt;0),("24:00:00"-D1185)+("00:00:00"+F1185)-0.0416666666666667,IF(AND(OR(AG1185="Allaitement",AG1185="Sans déjeuner"),F1185-D1185&lt;0),("24:00:00"-D1185)+("00:00:00"+F1185),IF(AND(AG1185="",F1185-D1185&gt;0.166666666666667),F1185-D1185-0.0416666666666667,IF(AND(OR(AG1185="Allaitement",AG1185="Sans déjeuner"),F1185-D1185&gt;0.166666666666667),F1185-D1185,F1185-D1185)))))))</f>
        <v>0</v>
      </c>
      <c r="P1185" s="6" t="str">
        <f aca="false">IFERROR(VLOOKUP($B1185,Agents!$A:$D,2,0),"-")</f>
        <v>Accessibilité</v>
      </c>
      <c r="Q1185" s="21" t="n">
        <v>46319</v>
      </c>
      <c r="R1185" s="8" t="n">
        <f aca="false">IF(M1185="Abs",O1185,0)</f>
        <v>0</v>
      </c>
      <c r="S1185" s="8" t="n">
        <f aca="false">SUM(R1185,L1185,I1185,J1185,W1185,H1185)</f>
        <v>0</v>
      </c>
      <c r="T1185" s="6" t="str">
        <f aca="false">"Sem - "&amp;WEEKNUM(Q1185,21)</f>
        <v>Sem - 43</v>
      </c>
      <c r="U1185" s="6" t="str">
        <f aca="false">CHOOSE(MONTH(Q1185),"Janvier","Février","Mars","Avril","Mai","Juin","Juillet","Août","Septembre","Octobre","Novembre","Décembre")</f>
        <v>Octobre</v>
      </c>
      <c r="V1185" s="22" t="n">
        <f aca="false">YEAR(Q1185)</f>
        <v>2026</v>
      </c>
      <c r="W1185" s="20"/>
      <c r="X1185" s="8" t="n">
        <f aca="false">IFERROR(IF(M1185="Abs",0,IF(ROUND((D1185-C1185+E1185-F1185)*1440,0)&lt;=1,0,D1185-C1185+E1185-F1185)),0)</f>
        <v>0</v>
      </c>
      <c r="Y1185" s="6" t="str">
        <f aca="false">IFERROR(VLOOKUP($B1185,Agents!$A:$D,3,0),"-")</f>
        <v>OUBRAHIM Mohammed</v>
      </c>
      <c r="Z1185" s="6" t="str">
        <f aca="false">IFERROR(VLOOKUP($B1185,Agents!$A:$D,4,0),"-")</f>
        <v>Credit Mutuel</v>
      </c>
      <c r="AA1185" s="18" t="s">
        <v>126</v>
      </c>
      <c r="AB1185" s="8" t="str">
        <f aca="false">IF(AND(D1185="Congé",F1185="Congé"),0.333333333333333,IF(OR(AND(D1185="Congé",F1185&lt;&gt;"Congé"),(AND(F1185="Congé",D1185&lt;&gt;"Congé"))),0.166666666666667,""))</f>
        <v/>
      </c>
      <c r="AC1185" s="8" t="str">
        <f aca="false">IF(AND(D1185="Congé sans solde",F1185="Congé sans solde"),0.333333333333333,IF(OR(AND(D1185="Congé sans solde",F1185&lt;&gt;"Congé sans solde"),(AND(F1185="Congé sans solde",D1185&lt;&gt;"Congé sans solde"))),0.166666666666667,""))</f>
        <v/>
      </c>
      <c r="AD1185" s="8" t="str">
        <f aca="false">IF(AND(D1185="Congé spécial",F1185="Congé spécial"),0.333333333333333,IF(OR(AND(D1185="Congé spécial",F1185&lt;&gt;"Congé spécial"),AND(F1185="Congé spécial",D1185&lt;&gt;"Congé spécial")),0.166666666666667,""))</f>
        <v/>
      </c>
      <c r="AE1185" s="8" t="str">
        <f aca="false">IF(AND(D1185="Férié",F1185="Férié"),0.333333333333333,IF(OR(AND(D1185="Férié",F1185&lt;&gt;"Férié"),(AND(F1185="Férié",D1185&lt;&gt;"Férié"))),0.166666666666667,""))</f>
        <v/>
      </c>
      <c r="AF1185" s="18"/>
      <c r="AG1185" s="18"/>
    </row>
    <row r="1186" customFormat="false" ht="15" hidden="false" customHeight="false" outlineLevel="0" collapsed="false">
      <c r="A1186" s="6" t="str">
        <f aca="false">YEAR(Q1186-WEEKDAY(Q1186,2)+4)&amp;"-S"&amp;TEXT(WEEKNUM(Q1186,21),"00")</f>
        <v>2026-S43</v>
      </c>
      <c r="B1186" s="18" t="s">
        <v>73</v>
      </c>
      <c r="C1186" s="19"/>
      <c r="D1186" s="19" t="s">
        <v>74</v>
      </c>
      <c r="E1186" s="19"/>
      <c r="F1186" s="19" t="s">
        <v>74</v>
      </c>
      <c r="G1186" s="20"/>
      <c r="H1186" s="20"/>
      <c r="I1186" s="8" t="str">
        <f aca="false">IF(IF(OR(C1186="",D1186="Congé",D1186="OFF",D1186="Congé spécial"),"",IF(D1186&gt;F1186,D1186-C1186,IF(C1186-D1186&lt;0,0,C1186-D1186)))&lt;0.00068287037037037,"",IF(OR(D1186="Congé",D1186="OFF",C1186="",D1186="Congé spécial"),"",IF(D1186&gt;F1186,D1186-C1186,IF(C1186-D1186&lt;0,0,C1186-D1186))))</f>
        <v/>
      </c>
      <c r="J1186" s="20"/>
      <c r="K1186" s="8" t="n">
        <f aca="false">IF(SUM(H1186:J1186)&lt;0.00068287037037037,0,SUM(H1186:J1186))</f>
        <v>0</v>
      </c>
      <c r="L1186" s="8" t="n">
        <f aca="false">IF(OR(F1186="Congé",F1186="OFF",M1186="Abs",F1186="Congé sans solde",F1186="Férié",F1186="Congé spécial",D1186="Congé spécial"),0,IF(F1186-E1186&lt;0,0,IF(F1186-E1186&lt;=0.00068287037037037,0,F1186-E1186)))</f>
        <v>0</v>
      </c>
      <c r="M1186" s="6" t="n">
        <f aca="false">IF(AND(O1186&lt;&gt;0,C1186=""),"Abs",0)</f>
        <v>0</v>
      </c>
      <c r="N1186" s="8" t="str">
        <f aca="false">IFERROR(IF(OR(D1186="OFF",D1186="Congé",M1186="Abs",D1186="Congé sans solde",D1186="Férié"),"",IF(O1186-K1186-L1186&gt;O1186,O1186,IF(O1186-K1186-L1186&lt;0,"",O1186-K1186-L1186))),"")</f>
        <v/>
      </c>
      <c r="O1186" s="8" t="n">
        <f aca="false">IF(AG1186="2H Pause déjeuner",IF(F1186-D1186-0.0833333333333333&lt;0,F1186-D1186-0.0833333333333333+1,F1186-D1186-0.0833333333333333),IF(OR(AND(F1186="OFF",D1186="OFF"),AND(F1186="Congé",D1186="Congé"),AND(F1186="Congé sans solde",D1186="Congé sans solde"),AND(F1186="Congé spécial",D1186="Congé spécial"),AND(F1186="Férié",D1186="Férié"),AND(F1186="OFF",D1186="Congé"),AND(F1186="OFF",D1186="Congé sans solde"),AND(F1186="OFF",D1186="Congé spécial"),AND(F1186="OFF",D1186="Férié"),AND(F1186="Congé",D1186="OFF"),AND(F1186="Congé",D1186="Congé sans solde"),AND(F1186="Congé",D1186="Congé spécial"),AND(F1186="Congé",D1186="Férié"),AND(F1186="Congé sans solde",D1186="OFF"),AND(F1186="Congé sans solde",D1186="Congé"),AND(F1186="Congé sans solde",D1186="Congé spécial"),AND(F1186="Congé sans solde",D1186="Férié"),AND(F1186="Congé spécial",D1186="OFF"),AND(F1186="Congé spécial",D1186="Congé"),AND(F1186="Congé spécial",D1186="Congé sans solde"),AND(F1186="Congé spécial",D1186="Férié"),AND(F1186="Férié",D1186="OFF"),AND(F1186="Férié",D1186="Congé"),AND(F1186="Férié",D1186="Congé sans solde"),AND(F1186="Férié",D1186="Congé spécial")),0,IF(OR(F1186="OFF",F1186="Congé",F1186="Congé spécial",F1186="Congé sans solde",D1186="OFF",D1186="Congé",D1186="Congé spécial",D1186="Congé sans solde"),0.208333333333334,IF(AND(AG1186="",F1186-D1186&lt;0),("24:00:00"-D1186)+("00:00:00"+F1186)-0.0416666666666667,IF(AND(OR(AG1186="Allaitement",AG1186="Sans déjeuner"),F1186-D1186&lt;0),("24:00:00"-D1186)+("00:00:00"+F1186),IF(AND(AG1186="",F1186-D1186&gt;0.166666666666667),F1186-D1186-0.0416666666666667,IF(AND(OR(AG1186="Allaitement",AG1186="Sans déjeuner"),F1186-D1186&gt;0.166666666666667),F1186-D1186,F1186-D1186)))))))</f>
        <v>0</v>
      </c>
      <c r="P1186" s="6" t="str">
        <f aca="false">IFERROR(VLOOKUP($B1186,Agents!$A:$D,2,0),"-")</f>
        <v>Accessibilité</v>
      </c>
      <c r="Q1186" s="21" t="n">
        <v>46319</v>
      </c>
      <c r="R1186" s="8" t="n">
        <f aca="false">IF(M1186="Abs",O1186,0)</f>
        <v>0</v>
      </c>
      <c r="S1186" s="8" t="n">
        <f aca="false">SUM(R1186,L1186,I1186,J1186,W1186,H1186)</f>
        <v>0</v>
      </c>
      <c r="T1186" s="6" t="str">
        <f aca="false">"Sem - "&amp;WEEKNUM(Q1186,21)</f>
        <v>Sem - 43</v>
      </c>
      <c r="U1186" s="6" t="str">
        <f aca="false">CHOOSE(MONTH(Q1186),"Janvier","Février","Mars","Avril","Mai","Juin","Juillet","Août","Septembre","Octobre","Novembre","Décembre")</f>
        <v>Octobre</v>
      </c>
      <c r="V1186" s="22" t="n">
        <f aca="false">YEAR(Q1186)</f>
        <v>2026</v>
      </c>
      <c r="W1186" s="20"/>
      <c r="X1186" s="8" t="n">
        <f aca="false">IFERROR(IF(M1186="Abs",0,IF(ROUND((D1186-C1186+E1186-F1186)*1440,0)&lt;=1,0,D1186-C1186+E1186-F1186)),0)</f>
        <v>0</v>
      </c>
      <c r="Y1186" s="6" t="str">
        <f aca="false">IFERROR(VLOOKUP($B1186,Agents!$A:$D,3,0),"-")</f>
        <v>OUBRAHIM Mohammed</v>
      </c>
      <c r="Z1186" s="6" t="str">
        <f aca="false">IFERROR(VLOOKUP($B1186,Agents!$A:$D,4,0),"-")</f>
        <v>Credit Mutuel</v>
      </c>
      <c r="AA1186" s="18" t="s">
        <v>126</v>
      </c>
      <c r="AB1186" s="8" t="str">
        <f aca="false">IF(AND(D1186="Congé",F1186="Congé"),0.333333333333333,IF(OR(AND(D1186="Congé",F1186&lt;&gt;"Congé"),(AND(F1186="Congé",D1186&lt;&gt;"Congé"))),0.166666666666667,""))</f>
        <v/>
      </c>
      <c r="AC1186" s="8" t="str">
        <f aca="false">IF(AND(D1186="Congé sans solde",F1186="Congé sans solde"),0.333333333333333,IF(OR(AND(D1186="Congé sans solde",F1186&lt;&gt;"Congé sans solde"),(AND(F1186="Congé sans solde",D1186&lt;&gt;"Congé sans solde"))),0.166666666666667,""))</f>
        <v/>
      </c>
      <c r="AD1186" s="8" t="str">
        <f aca="false">IF(AND(D1186="Congé spécial",F1186="Congé spécial"),0.333333333333333,IF(OR(AND(D1186="Congé spécial",F1186&lt;&gt;"Congé spécial"),AND(F1186="Congé spécial",D1186&lt;&gt;"Congé spécial")),0.166666666666667,""))</f>
        <v/>
      </c>
      <c r="AE1186" s="8" t="str">
        <f aca="false">IF(AND(D1186="Férié",F1186="Férié"),0.333333333333333,IF(OR(AND(D1186="Férié",F1186&lt;&gt;"Férié"),(AND(F1186="Férié",D1186&lt;&gt;"Férié"))),0.166666666666667,""))</f>
        <v/>
      </c>
      <c r="AF1186" s="18"/>
      <c r="AG1186" s="18"/>
    </row>
    <row r="1187" customFormat="false" ht="15" hidden="false" customHeight="false" outlineLevel="0" collapsed="false">
      <c r="A1187" s="6" t="str">
        <f aca="false">YEAR(Q1187-WEEKDAY(Q1187,2)+4)&amp;"-S"&amp;TEXT(WEEKNUM(Q1187,21),"00")</f>
        <v>2026-S43</v>
      </c>
      <c r="B1187" s="18" t="s">
        <v>124</v>
      </c>
      <c r="C1187" s="19"/>
      <c r="D1187" s="19" t="s">
        <v>74</v>
      </c>
      <c r="E1187" s="19"/>
      <c r="F1187" s="19" t="s">
        <v>74</v>
      </c>
      <c r="G1187" s="20"/>
      <c r="H1187" s="20"/>
      <c r="I1187" s="8" t="str">
        <f aca="false">IF(IF(OR(C1187="",D1187="Congé",D1187="OFF",D1187="Congé spécial"),"",IF(D1187&gt;F1187,D1187-C1187,IF(C1187-D1187&lt;0,0,C1187-D1187)))&lt;0.00068287037037037,"",IF(OR(D1187="Congé",D1187="OFF",C1187="",D1187="Congé spécial"),"",IF(D1187&gt;F1187,D1187-C1187,IF(C1187-D1187&lt;0,0,C1187-D1187))))</f>
        <v/>
      </c>
      <c r="J1187" s="20"/>
      <c r="K1187" s="8" t="n">
        <f aca="false">IF(SUM(H1187:J1187)&lt;0.00068287037037037,0,SUM(H1187:J1187))</f>
        <v>0</v>
      </c>
      <c r="L1187" s="8" t="n">
        <f aca="false">IF(OR(F1187="Congé",F1187="OFF",M1187="Abs",F1187="Congé sans solde",F1187="Férié",F1187="Congé spécial",D1187="Congé spécial"),0,IF(F1187-E1187&lt;0,0,IF(F1187-E1187&lt;=0.00068287037037037,0,F1187-E1187)))</f>
        <v>0</v>
      </c>
      <c r="M1187" s="6" t="n">
        <f aca="false">IF(AND(O1187&lt;&gt;0,C1187=""),"Abs",0)</f>
        <v>0</v>
      </c>
      <c r="N1187" s="8" t="str">
        <f aca="false">IFERROR(IF(OR(D1187="OFF",D1187="Congé",M1187="Abs",D1187="Congé sans solde",D1187="Férié"),"",IF(O1187-K1187-L1187&gt;O1187,O1187,IF(O1187-K1187-L1187&lt;0,"",O1187-K1187-L1187))),"")</f>
        <v/>
      </c>
      <c r="O1187" s="8" t="n">
        <f aca="false">IF(AG1187="2H Pause déjeuner",IF(F1187-D1187-0.0833333333333333&lt;0,F1187-D1187-0.0833333333333333+1,F1187-D1187-0.0833333333333333),IF(OR(AND(F1187="OFF",D1187="OFF"),AND(F1187="Congé",D1187="Congé"),AND(F1187="Congé sans solde",D1187="Congé sans solde"),AND(F1187="Congé spécial",D1187="Congé spécial"),AND(F1187="Férié",D1187="Férié"),AND(F1187="OFF",D1187="Congé"),AND(F1187="OFF",D1187="Congé sans solde"),AND(F1187="OFF",D1187="Congé spécial"),AND(F1187="OFF",D1187="Férié"),AND(F1187="Congé",D1187="OFF"),AND(F1187="Congé",D1187="Congé sans solde"),AND(F1187="Congé",D1187="Congé spécial"),AND(F1187="Congé",D1187="Férié"),AND(F1187="Congé sans solde",D1187="OFF"),AND(F1187="Congé sans solde",D1187="Congé"),AND(F1187="Congé sans solde",D1187="Congé spécial"),AND(F1187="Congé sans solde",D1187="Férié"),AND(F1187="Congé spécial",D1187="OFF"),AND(F1187="Congé spécial",D1187="Congé"),AND(F1187="Congé spécial",D1187="Congé sans solde"),AND(F1187="Congé spécial",D1187="Férié"),AND(F1187="Férié",D1187="OFF"),AND(F1187="Férié",D1187="Congé"),AND(F1187="Férié",D1187="Congé sans solde"),AND(F1187="Férié",D1187="Congé spécial")),0,IF(OR(F1187="OFF",F1187="Congé",F1187="Congé spécial",F1187="Congé sans solde",D1187="OFF",D1187="Congé",D1187="Congé spécial",D1187="Congé sans solde"),0.208333333333334,IF(AND(AG1187="",F1187-D1187&lt;0),("24:00:00"-D1187)+("00:00:00"+F1187)-0.0416666666666667,IF(AND(OR(AG1187="Allaitement",AG1187="Sans déjeuner"),F1187-D1187&lt;0),("24:00:00"-D1187)+("00:00:00"+F1187),IF(AND(AG1187="",F1187-D1187&gt;0.166666666666667),F1187-D1187-0.0416666666666667,IF(AND(OR(AG1187="Allaitement",AG1187="Sans déjeuner"),F1187-D1187&gt;0.166666666666667),F1187-D1187,F1187-D1187)))))))</f>
        <v>0</v>
      </c>
      <c r="P1187" s="6" t="str">
        <f aca="false">IFERROR(VLOOKUP($B1187,Agents!$A:$D,2,0),"-")</f>
        <v>Accessibilité</v>
      </c>
      <c r="Q1187" s="21" t="n">
        <v>46319</v>
      </c>
      <c r="R1187" s="8" t="n">
        <f aca="false">IF(M1187="Abs",O1187,0)</f>
        <v>0</v>
      </c>
      <c r="S1187" s="8" t="n">
        <f aca="false">SUM(R1187,L1187,I1187,J1187,W1187,H1187)</f>
        <v>0</v>
      </c>
      <c r="T1187" s="6" t="str">
        <f aca="false">"Sem - "&amp;WEEKNUM(Q1187,21)</f>
        <v>Sem - 43</v>
      </c>
      <c r="U1187" s="6" t="str">
        <f aca="false">CHOOSE(MONTH(Q1187),"Janvier","Février","Mars","Avril","Mai","Juin","Juillet","Août","Septembre","Octobre","Novembre","Décembre")</f>
        <v>Octobre</v>
      </c>
      <c r="V1187" s="22" t="n">
        <f aca="false">YEAR(Q1187)</f>
        <v>2026</v>
      </c>
      <c r="W1187" s="20"/>
      <c r="X1187" s="8" t="n">
        <f aca="false">IFERROR(IF(M1187="Abs",0,IF(ROUND((D1187-C1187+E1187-F1187)*1440,0)&lt;=1,0,D1187-C1187+E1187-F1187)),0)</f>
        <v>0</v>
      </c>
      <c r="Y1187" s="6" t="str">
        <f aca="false">IFERROR(VLOOKUP($B1187,Agents!$A:$D,3,0),"-")</f>
        <v>OUBRAHIM Mohammed</v>
      </c>
      <c r="Z1187" s="6" t="str">
        <f aca="false">IFERROR(VLOOKUP($B1187,Agents!$A:$D,4,0),"-")</f>
        <v>Credit Mutuel</v>
      </c>
      <c r="AA1187" s="18" t="s">
        <v>126</v>
      </c>
      <c r="AB1187" s="8" t="str">
        <f aca="false">IF(AND(D1187="Congé",F1187="Congé"),0.333333333333333,IF(OR(AND(D1187="Congé",F1187&lt;&gt;"Congé"),(AND(F1187="Congé",D1187&lt;&gt;"Congé"))),0.166666666666667,""))</f>
        <v/>
      </c>
      <c r="AC1187" s="8" t="str">
        <f aca="false">IF(AND(D1187="Congé sans solde",F1187="Congé sans solde"),0.333333333333333,IF(OR(AND(D1187="Congé sans solde",F1187&lt;&gt;"Congé sans solde"),(AND(F1187="Congé sans solde",D1187&lt;&gt;"Congé sans solde"))),0.166666666666667,""))</f>
        <v/>
      </c>
      <c r="AD1187" s="8" t="str">
        <f aca="false">IF(AND(D1187="Congé spécial",F1187="Congé spécial"),0.333333333333333,IF(OR(AND(D1187="Congé spécial",F1187&lt;&gt;"Congé spécial"),AND(F1187="Congé spécial",D1187&lt;&gt;"Congé spécial")),0.166666666666667,""))</f>
        <v/>
      </c>
      <c r="AE1187" s="8" t="str">
        <f aca="false">IF(AND(D1187="Férié",F1187="Férié"),0.333333333333333,IF(OR(AND(D1187="Férié",F1187&lt;&gt;"Férié"),(AND(F1187="Férié",D1187&lt;&gt;"Férié"))),0.166666666666667,""))</f>
        <v/>
      </c>
      <c r="AF1187" s="18"/>
      <c r="AG1187" s="18"/>
    </row>
    <row r="1188" customFormat="false" ht="15" hidden="false" customHeight="false" outlineLevel="0" collapsed="false">
      <c r="A1188" s="6" t="str">
        <f aca="false">YEAR(Q1188-WEEKDAY(Q1188,2)+4)&amp;"-S"&amp;TEXT(WEEKNUM(Q1188,21),"00")</f>
        <v>2026-S43</v>
      </c>
      <c r="B1188" s="18" t="s">
        <v>71</v>
      </c>
      <c r="C1188" s="19"/>
      <c r="D1188" s="19" t="s">
        <v>74</v>
      </c>
      <c r="E1188" s="19"/>
      <c r="F1188" s="19" t="s">
        <v>74</v>
      </c>
      <c r="G1188" s="20"/>
      <c r="H1188" s="20"/>
      <c r="I1188" s="8" t="str">
        <f aca="false">IF(IF(OR(C1188="",D1188="Congé",D1188="OFF",D1188="Congé spécial"),"",IF(D1188&gt;F1188,D1188-C1188,IF(C1188-D1188&lt;0,0,C1188-D1188)))&lt;0.00068287037037037,"",IF(OR(D1188="Congé",D1188="OFF",C1188="",D1188="Congé spécial"),"",IF(D1188&gt;F1188,D1188-C1188,IF(C1188-D1188&lt;0,0,C1188-D1188))))</f>
        <v/>
      </c>
      <c r="J1188" s="20"/>
      <c r="K1188" s="8" t="n">
        <f aca="false">IF(SUM(H1188:J1188)&lt;0.00068287037037037,0,SUM(H1188:J1188))</f>
        <v>0</v>
      </c>
      <c r="L1188" s="8" t="n">
        <f aca="false">IF(OR(F1188="Congé",F1188="OFF",M1188="Abs",F1188="Congé sans solde",F1188="Férié",F1188="Congé spécial",D1188="Congé spécial"),0,IF(F1188-E1188&lt;0,0,IF(F1188-E1188&lt;=0.00068287037037037,0,F1188-E1188)))</f>
        <v>0</v>
      </c>
      <c r="M1188" s="6" t="n">
        <f aca="false">IF(AND(O1188&lt;&gt;0,C1188=""),"Abs",0)</f>
        <v>0</v>
      </c>
      <c r="N1188" s="8" t="str">
        <f aca="false">IFERROR(IF(OR(D1188="OFF",D1188="Congé",M1188="Abs",D1188="Congé sans solde",D1188="Férié"),"",IF(O1188-K1188-L1188&gt;O1188,O1188,IF(O1188-K1188-L1188&lt;0,"",O1188-K1188-L1188))),"")</f>
        <v/>
      </c>
      <c r="O1188" s="8" t="n">
        <f aca="false">IF(AG1188="2H Pause déjeuner",IF(F1188-D1188-0.0833333333333333&lt;0,F1188-D1188-0.0833333333333333+1,F1188-D1188-0.0833333333333333),IF(OR(AND(F1188="OFF",D1188="OFF"),AND(F1188="Congé",D1188="Congé"),AND(F1188="Congé sans solde",D1188="Congé sans solde"),AND(F1188="Congé spécial",D1188="Congé spécial"),AND(F1188="Férié",D1188="Férié"),AND(F1188="OFF",D1188="Congé"),AND(F1188="OFF",D1188="Congé sans solde"),AND(F1188="OFF",D1188="Congé spécial"),AND(F1188="OFF",D1188="Férié"),AND(F1188="Congé",D1188="OFF"),AND(F1188="Congé",D1188="Congé sans solde"),AND(F1188="Congé",D1188="Congé spécial"),AND(F1188="Congé",D1188="Férié"),AND(F1188="Congé sans solde",D1188="OFF"),AND(F1188="Congé sans solde",D1188="Congé"),AND(F1188="Congé sans solde",D1188="Congé spécial"),AND(F1188="Congé sans solde",D1188="Férié"),AND(F1188="Congé spécial",D1188="OFF"),AND(F1188="Congé spécial",D1188="Congé"),AND(F1188="Congé spécial",D1188="Congé sans solde"),AND(F1188="Congé spécial",D1188="Férié"),AND(F1188="Férié",D1188="OFF"),AND(F1188="Férié",D1188="Congé"),AND(F1188="Férié",D1188="Congé sans solde"),AND(F1188="Férié",D1188="Congé spécial")),0,IF(OR(F1188="OFF",F1188="Congé",F1188="Congé spécial",F1188="Congé sans solde",D1188="OFF",D1188="Congé",D1188="Congé spécial",D1188="Congé sans solde"),0.208333333333334,IF(AND(AG1188="",F1188-D1188&lt;0),("24:00:00"-D1188)+("00:00:00"+F1188)-0.0416666666666667,IF(AND(OR(AG1188="Allaitement",AG1188="Sans déjeuner"),F1188-D1188&lt;0),("24:00:00"-D1188)+("00:00:00"+F1188),IF(AND(AG1188="",F1188-D1188&gt;0.166666666666667),F1188-D1188-0.0416666666666667,IF(AND(OR(AG1188="Allaitement",AG1188="Sans déjeuner"),F1188-D1188&gt;0.166666666666667),F1188-D1188,F1188-D1188)))))))</f>
        <v>0</v>
      </c>
      <c r="P1188" s="6" t="str">
        <f aca="false">IFERROR(VLOOKUP($B1188,Agents!$A:$D,2,0),"-")</f>
        <v>Accessibilité</v>
      </c>
      <c r="Q1188" s="21" t="n">
        <v>46320</v>
      </c>
      <c r="R1188" s="8" t="n">
        <f aca="false">IF(M1188="Abs",O1188,0)</f>
        <v>0</v>
      </c>
      <c r="S1188" s="8" t="n">
        <f aca="false">SUM(R1188,L1188,I1188,J1188,W1188,H1188)</f>
        <v>0</v>
      </c>
      <c r="T1188" s="6" t="str">
        <f aca="false">"Sem - "&amp;WEEKNUM(Q1188,21)</f>
        <v>Sem - 43</v>
      </c>
      <c r="U1188" s="6" t="str">
        <f aca="false">CHOOSE(MONTH(Q1188),"Janvier","Février","Mars","Avril","Mai","Juin","Juillet","Août","Septembre","Octobre","Novembre","Décembre")</f>
        <v>Octobre</v>
      </c>
      <c r="V1188" s="22" t="n">
        <f aca="false">YEAR(Q1188)</f>
        <v>2026</v>
      </c>
      <c r="W1188" s="20"/>
      <c r="X1188" s="8" t="n">
        <f aca="false">IFERROR(IF(M1188="Abs",0,IF(ROUND((D1188-C1188+E1188-F1188)*1440,0)&lt;=1,0,D1188-C1188+E1188-F1188)),0)</f>
        <v>0</v>
      </c>
      <c r="Y1188" s="6" t="str">
        <f aca="false">IFERROR(VLOOKUP($B1188,Agents!$A:$D,3,0),"-")</f>
        <v>OUBRAHIM Mohammed</v>
      </c>
      <c r="Z1188" s="6" t="str">
        <f aca="false">IFERROR(VLOOKUP($B1188,Agents!$A:$D,4,0),"-")</f>
        <v>Credit Mutuel</v>
      </c>
      <c r="AA1188" s="18" t="s">
        <v>126</v>
      </c>
      <c r="AB1188" s="8" t="str">
        <f aca="false">IF(AND(D1188="Congé",F1188="Congé"),0.333333333333333,IF(OR(AND(D1188="Congé",F1188&lt;&gt;"Congé"),(AND(F1188="Congé",D1188&lt;&gt;"Congé"))),0.166666666666667,""))</f>
        <v/>
      </c>
      <c r="AC1188" s="8" t="str">
        <f aca="false">IF(AND(D1188="Congé sans solde",F1188="Congé sans solde"),0.333333333333333,IF(OR(AND(D1188="Congé sans solde",F1188&lt;&gt;"Congé sans solde"),(AND(F1188="Congé sans solde",D1188&lt;&gt;"Congé sans solde"))),0.166666666666667,""))</f>
        <v/>
      </c>
      <c r="AD1188" s="8" t="str">
        <f aca="false">IF(AND(D1188="Congé spécial",F1188="Congé spécial"),0.333333333333333,IF(OR(AND(D1188="Congé spécial",F1188&lt;&gt;"Congé spécial"),AND(F1188="Congé spécial",D1188&lt;&gt;"Congé spécial")),0.166666666666667,""))</f>
        <v/>
      </c>
      <c r="AE1188" s="8" t="str">
        <f aca="false">IF(AND(D1188="Férié",F1188="Férié"),0.333333333333333,IF(OR(AND(D1188="Férié",F1188&lt;&gt;"Férié"),(AND(F1188="Férié",D1188&lt;&gt;"Férié"))),0.166666666666667,""))</f>
        <v/>
      </c>
      <c r="AF1188" s="18"/>
      <c r="AG1188" s="18"/>
    </row>
    <row r="1189" customFormat="false" ht="15" hidden="false" customHeight="false" outlineLevel="0" collapsed="false">
      <c r="A1189" s="6" t="str">
        <f aca="false">YEAR(Q1189-WEEKDAY(Q1189,2)+4)&amp;"-S"&amp;TEXT(WEEKNUM(Q1189,21),"00")</f>
        <v>2026-S43</v>
      </c>
      <c r="B1189" s="18" t="s">
        <v>72</v>
      </c>
      <c r="C1189" s="19"/>
      <c r="D1189" s="19" t="s">
        <v>74</v>
      </c>
      <c r="E1189" s="19"/>
      <c r="F1189" s="19" t="s">
        <v>74</v>
      </c>
      <c r="G1189" s="20"/>
      <c r="H1189" s="20"/>
      <c r="I1189" s="8" t="str">
        <f aca="false">IF(IF(OR(C1189="",D1189="Congé",D1189="OFF",D1189="Congé spécial"),"",IF(D1189&gt;F1189,D1189-C1189,IF(C1189-D1189&lt;0,0,C1189-D1189)))&lt;0.00068287037037037,"",IF(OR(D1189="Congé",D1189="OFF",C1189="",D1189="Congé spécial"),"",IF(D1189&gt;F1189,D1189-C1189,IF(C1189-D1189&lt;0,0,C1189-D1189))))</f>
        <v/>
      </c>
      <c r="J1189" s="20"/>
      <c r="K1189" s="8" t="n">
        <f aca="false">IF(SUM(H1189:J1189)&lt;0.00068287037037037,0,SUM(H1189:J1189))</f>
        <v>0</v>
      </c>
      <c r="L1189" s="8" t="n">
        <f aca="false">IF(OR(F1189="Congé",F1189="OFF",M1189="Abs",F1189="Congé sans solde",F1189="Férié",F1189="Congé spécial",D1189="Congé spécial"),0,IF(F1189-E1189&lt;0,0,IF(F1189-E1189&lt;=0.00068287037037037,0,F1189-E1189)))</f>
        <v>0</v>
      </c>
      <c r="M1189" s="6" t="n">
        <f aca="false">IF(AND(O1189&lt;&gt;0,C1189=""),"Abs",0)</f>
        <v>0</v>
      </c>
      <c r="N1189" s="8" t="str">
        <f aca="false">IFERROR(IF(OR(D1189="OFF",D1189="Congé",M1189="Abs",D1189="Congé sans solde",D1189="Férié"),"",IF(O1189-K1189-L1189&gt;O1189,O1189,IF(O1189-K1189-L1189&lt;0,"",O1189-K1189-L1189))),"")</f>
        <v/>
      </c>
      <c r="O1189" s="8" t="n">
        <f aca="false">IF(AG1189="2H Pause déjeuner",IF(F1189-D1189-0.0833333333333333&lt;0,F1189-D1189-0.0833333333333333+1,F1189-D1189-0.0833333333333333),IF(OR(AND(F1189="OFF",D1189="OFF"),AND(F1189="Congé",D1189="Congé"),AND(F1189="Congé sans solde",D1189="Congé sans solde"),AND(F1189="Congé spécial",D1189="Congé spécial"),AND(F1189="Férié",D1189="Férié"),AND(F1189="OFF",D1189="Congé"),AND(F1189="OFF",D1189="Congé sans solde"),AND(F1189="OFF",D1189="Congé spécial"),AND(F1189="OFF",D1189="Férié"),AND(F1189="Congé",D1189="OFF"),AND(F1189="Congé",D1189="Congé sans solde"),AND(F1189="Congé",D1189="Congé spécial"),AND(F1189="Congé",D1189="Férié"),AND(F1189="Congé sans solde",D1189="OFF"),AND(F1189="Congé sans solde",D1189="Congé"),AND(F1189="Congé sans solde",D1189="Congé spécial"),AND(F1189="Congé sans solde",D1189="Férié"),AND(F1189="Congé spécial",D1189="OFF"),AND(F1189="Congé spécial",D1189="Congé"),AND(F1189="Congé spécial",D1189="Congé sans solde"),AND(F1189="Congé spécial",D1189="Férié"),AND(F1189="Férié",D1189="OFF"),AND(F1189="Férié",D1189="Congé"),AND(F1189="Férié",D1189="Congé sans solde"),AND(F1189="Férié",D1189="Congé spécial")),0,IF(OR(F1189="OFF",F1189="Congé",F1189="Congé spécial",F1189="Congé sans solde",D1189="OFF",D1189="Congé",D1189="Congé spécial",D1189="Congé sans solde"),0.208333333333334,IF(AND(AG1189="",F1189-D1189&lt;0),("24:00:00"-D1189)+("00:00:00"+F1189)-0.0416666666666667,IF(AND(OR(AG1189="Allaitement",AG1189="Sans déjeuner"),F1189-D1189&lt;0),("24:00:00"-D1189)+("00:00:00"+F1189),IF(AND(AG1189="",F1189-D1189&gt;0.166666666666667),F1189-D1189-0.0416666666666667,IF(AND(OR(AG1189="Allaitement",AG1189="Sans déjeuner"),F1189-D1189&gt;0.166666666666667),F1189-D1189,F1189-D1189)))))))</f>
        <v>0</v>
      </c>
      <c r="P1189" s="6" t="str">
        <f aca="false">IFERROR(VLOOKUP($B1189,Agents!$A:$D,2,0),"-")</f>
        <v>Accessibilité</v>
      </c>
      <c r="Q1189" s="21" t="n">
        <v>46320</v>
      </c>
      <c r="R1189" s="8" t="n">
        <f aca="false">IF(M1189="Abs",O1189,0)</f>
        <v>0</v>
      </c>
      <c r="S1189" s="8" t="n">
        <f aca="false">SUM(R1189,L1189,I1189,J1189,W1189,H1189)</f>
        <v>0</v>
      </c>
      <c r="T1189" s="6" t="str">
        <f aca="false">"Sem - "&amp;WEEKNUM(Q1189,21)</f>
        <v>Sem - 43</v>
      </c>
      <c r="U1189" s="6" t="str">
        <f aca="false">CHOOSE(MONTH(Q1189),"Janvier","Février","Mars","Avril","Mai","Juin","Juillet","Août","Septembre","Octobre","Novembre","Décembre")</f>
        <v>Octobre</v>
      </c>
      <c r="V1189" s="22" t="n">
        <f aca="false">YEAR(Q1189)</f>
        <v>2026</v>
      </c>
      <c r="W1189" s="20"/>
      <c r="X1189" s="8" t="n">
        <f aca="false">IFERROR(IF(M1189="Abs",0,IF(ROUND((D1189-C1189+E1189-F1189)*1440,0)&lt;=1,0,D1189-C1189+E1189-F1189)),0)</f>
        <v>0</v>
      </c>
      <c r="Y1189" s="6" t="str">
        <f aca="false">IFERROR(VLOOKUP($B1189,Agents!$A:$D,3,0),"-")</f>
        <v>OUBRAHIM Mohammed</v>
      </c>
      <c r="Z1189" s="6" t="str">
        <f aca="false">IFERROR(VLOOKUP($B1189,Agents!$A:$D,4,0),"-")</f>
        <v>Credit Mutuel</v>
      </c>
      <c r="AA1189" s="18" t="s">
        <v>126</v>
      </c>
      <c r="AB1189" s="8" t="str">
        <f aca="false">IF(AND(D1189="Congé",F1189="Congé"),0.333333333333333,IF(OR(AND(D1189="Congé",F1189&lt;&gt;"Congé"),(AND(F1189="Congé",D1189&lt;&gt;"Congé"))),0.166666666666667,""))</f>
        <v/>
      </c>
      <c r="AC1189" s="8" t="str">
        <f aca="false">IF(AND(D1189="Congé sans solde",F1189="Congé sans solde"),0.333333333333333,IF(OR(AND(D1189="Congé sans solde",F1189&lt;&gt;"Congé sans solde"),(AND(F1189="Congé sans solde",D1189&lt;&gt;"Congé sans solde"))),0.166666666666667,""))</f>
        <v/>
      </c>
      <c r="AD1189" s="8" t="str">
        <f aca="false">IF(AND(D1189="Congé spécial",F1189="Congé spécial"),0.333333333333333,IF(OR(AND(D1189="Congé spécial",F1189&lt;&gt;"Congé spécial"),AND(F1189="Congé spécial",D1189&lt;&gt;"Congé spécial")),0.166666666666667,""))</f>
        <v/>
      </c>
      <c r="AE1189" s="8" t="str">
        <f aca="false">IF(AND(D1189="Férié",F1189="Férié"),0.333333333333333,IF(OR(AND(D1189="Férié",F1189&lt;&gt;"Férié"),(AND(F1189="Férié",D1189&lt;&gt;"Férié"))),0.166666666666667,""))</f>
        <v/>
      </c>
      <c r="AF1189" s="18"/>
      <c r="AG1189" s="18"/>
    </row>
    <row r="1190" customFormat="false" ht="15" hidden="false" customHeight="false" outlineLevel="0" collapsed="false">
      <c r="A1190" s="6" t="str">
        <f aca="false">YEAR(Q1190-WEEKDAY(Q1190,2)+4)&amp;"-S"&amp;TEXT(WEEKNUM(Q1190,21),"00")</f>
        <v>2026-S43</v>
      </c>
      <c r="B1190" s="18" t="s">
        <v>73</v>
      </c>
      <c r="C1190" s="19"/>
      <c r="D1190" s="19" t="s">
        <v>74</v>
      </c>
      <c r="E1190" s="19"/>
      <c r="F1190" s="19" t="s">
        <v>74</v>
      </c>
      <c r="G1190" s="20"/>
      <c r="H1190" s="20"/>
      <c r="I1190" s="8" t="str">
        <f aca="false">IF(IF(OR(C1190="",D1190="Congé",D1190="OFF",D1190="Congé spécial"),"",IF(D1190&gt;F1190,D1190-C1190,IF(C1190-D1190&lt;0,0,C1190-D1190)))&lt;0.00068287037037037,"",IF(OR(D1190="Congé",D1190="OFF",C1190="",D1190="Congé spécial"),"",IF(D1190&gt;F1190,D1190-C1190,IF(C1190-D1190&lt;0,0,C1190-D1190))))</f>
        <v/>
      </c>
      <c r="J1190" s="20"/>
      <c r="K1190" s="8" t="n">
        <f aca="false">IF(SUM(H1190:J1190)&lt;0.00068287037037037,0,SUM(H1190:J1190))</f>
        <v>0</v>
      </c>
      <c r="L1190" s="8" t="n">
        <f aca="false">IF(OR(F1190="Congé",F1190="OFF",M1190="Abs",F1190="Congé sans solde",F1190="Férié",F1190="Congé spécial",D1190="Congé spécial"),0,IF(F1190-E1190&lt;0,0,IF(F1190-E1190&lt;=0.00068287037037037,0,F1190-E1190)))</f>
        <v>0</v>
      </c>
      <c r="M1190" s="6" t="n">
        <f aca="false">IF(AND(O1190&lt;&gt;0,C1190=""),"Abs",0)</f>
        <v>0</v>
      </c>
      <c r="N1190" s="8" t="str">
        <f aca="false">IFERROR(IF(OR(D1190="OFF",D1190="Congé",M1190="Abs",D1190="Congé sans solde",D1190="Férié"),"",IF(O1190-K1190-L1190&gt;O1190,O1190,IF(O1190-K1190-L1190&lt;0,"",O1190-K1190-L1190))),"")</f>
        <v/>
      </c>
      <c r="O1190" s="8" t="n">
        <f aca="false">IF(AG1190="2H Pause déjeuner",IF(F1190-D1190-0.0833333333333333&lt;0,F1190-D1190-0.0833333333333333+1,F1190-D1190-0.0833333333333333),IF(OR(AND(F1190="OFF",D1190="OFF"),AND(F1190="Congé",D1190="Congé"),AND(F1190="Congé sans solde",D1190="Congé sans solde"),AND(F1190="Congé spécial",D1190="Congé spécial"),AND(F1190="Férié",D1190="Férié"),AND(F1190="OFF",D1190="Congé"),AND(F1190="OFF",D1190="Congé sans solde"),AND(F1190="OFF",D1190="Congé spécial"),AND(F1190="OFF",D1190="Férié"),AND(F1190="Congé",D1190="OFF"),AND(F1190="Congé",D1190="Congé sans solde"),AND(F1190="Congé",D1190="Congé spécial"),AND(F1190="Congé",D1190="Férié"),AND(F1190="Congé sans solde",D1190="OFF"),AND(F1190="Congé sans solde",D1190="Congé"),AND(F1190="Congé sans solde",D1190="Congé spécial"),AND(F1190="Congé sans solde",D1190="Férié"),AND(F1190="Congé spécial",D1190="OFF"),AND(F1190="Congé spécial",D1190="Congé"),AND(F1190="Congé spécial",D1190="Congé sans solde"),AND(F1190="Congé spécial",D1190="Férié"),AND(F1190="Férié",D1190="OFF"),AND(F1190="Férié",D1190="Congé"),AND(F1190="Férié",D1190="Congé sans solde"),AND(F1190="Férié",D1190="Congé spécial")),0,IF(OR(F1190="OFF",F1190="Congé",F1190="Congé spécial",F1190="Congé sans solde",D1190="OFF",D1190="Congé",D1190="Congé spécial",D1190="Congé sans solde"),0.208333333333334,IF(AND(AG1190="",F1190-D1190&lt;0),("24:00:00"-D1190)+("00:00:00"+F1190)-0.0416666666666667,IF(AND(OR(AG1190="Allaitement",AG1190="Sans déjeuner"),F1190-D1190&lt;0),("24:00:00"-D1190)+("00:00:00"+F1190),IF(AND(AG1190="",F1190-D1190&gt;0.166666666666667),F1190-D1190-0.0416666666666667,IF(AND(OR(AG1190="Allaitement",AG1190="Sans déjeuner"),F1190-D1190&gt;0.166666666666667),F1190-D1190,F1190-D1190)))))))</f>
        <v>0</v>
      </c>
      <c r="P1190" s="6" t="str">
        <f aca="false">IFERROR(VLOOKUP($B1190,Agents!$A:$D,2,0),"-")</f>
        <v>Accessibilité</v>
      </c>
      <c r="Q1190" s="21" t="n">
        <v>46320</v>
      </c>
      <c r="R1190" s="8" t="n">
        <f aca="false">IF(M1190="Abs",O1190,0)</f>
        <v>0</v>
      </c>
      <c r="S1190" s="8" t="n">
        <f aca="false">SUM(R1190,L1190,I1190,J1190,W1190,H1190)</f>
        <v>0</v>
      </c>
      <c r="T1190" s="6" t="str">
        <f aca="false">"Sem - "&amp;WEEKNUM(Q1190,21)</f>
        <v>Sem - 43</v>
      </c>
      <c r="U1190" s="6" t="str">
        <f aca="false">CHOOSE(MONTH(Q1190),"Janvier","Février","Mars","Avril","Mai","Juin","Juillet","Août","Septembre","Octobre","Novembre","Décembre")</f>
        <v>Octobre</v>
      </c>
      <c r="V1190" s="22" t="n">
        <f aca="false">YEAR(Q1190)</f>
        <v>2026</v>
      </c>
      <c r="W1190" s="20"/>
      <c r="X1190" s="8" t="n">
        <f aca="false">IFERROR(IF(M1190="Abs",0,IF(ROUND((D1190-C1190+E1190-F1190)*1440,0)&lt;=1,0,D1190-C1190+E1190-F1190)),0)</f>
        <v>0</v>
      </c>
      <c r="Y1190" s="6" t="str">
        <f aca="false">IFERROR(VLOOKUP($B1190,Agents!$A:$D,3,0),"-")</f>
        <v>OUBRAHIM Mohammed</v>
      </c>
      <c r="Z1190" s="6" t="str">
        <f aca="false">IFERROR(VLOOKUP($B1190,Agents!$A:$D,4,0),"-")</f>
        <v>Credit Mutuel</v>
      </c>
      <c r="AA1190" s="18" t="s">
        <v>126</v>
      </c>
      <c r="AB1190" s="8" t="str">
        <f aca="false">IF(AND(D1190="Congé",F1190="Congé"),0.333333333333333,IF(OR(AND(D1190="Congé",F1190&lt;&gt;"Congé"),(AND(F1190="Congé",D1190&lt;&gt;"Congé"))),0.166666666666667,""))</f>
        <v/>
      </c>
      <c r="AC1190" s="8" t="str">
        <f aca="false">IF(AND(D1190="Congé sans solde",F1190="Congé sans solde"),0.333333333333333,IF(OR(AND(D1190="Congé sans solde",F1190&lt;&gt;"Congé sans solde"),(AND(F1190="Congé sans solde",D1190&lt;&gt;"Congé sans solde"))),0.166666666666667,""))</f>
        <v/>
      </c>
      <c r="AD1190" s="8" t="str">
        <f aca="false">IF(AND(D1190="Congé spécial",F1190="Congé spécial"),0.333333333333333,IF(OR(AND(D1190="Congé spécial",F1190&lt;&gt;"Congé spécial"),AND(F1190="Congé spécial",D1190&lt;&gt;"Congé spécial")),0.166666666666667,""))</f>
        <v/>
      </c>
      <c r="AE1190" s="8" t="str">
        <f aca="false">IF(AND(D1190="Férié",F1190="Férié"),0.333333333333333,IF(OR(AND(D1190="Férié",F1190&lt;&gt;"Férié"),(AND(F1190="Férié",D1190&lt;&gt;"Férié"))),0.166666666666667,""))</f>
        <v/>
      </c>
      <c r="AF1190" s="18"/>
      <c r="AG1190" s="18"/>
    </row>
    <row r="1191" customFormat="false" ht="15" hidden="false" customHeight="false" outlineLevel="0" collapsed="false">
      <c r="A1191" s="6" t="str">
        <f aca="false">YEAR(Q1191-WEEKDAY(Q1191,2)+4)&amp;"-S"&amp;TEXT(WEEKNUM(Q1191,21),"00")</f>
        <v>2026-S43</v>
      </c>
      <c r="B1191" s="18" t="s">
        <v>124</v>
      </c>
      <c r="C1191" s="19"/>
      <c r="D1191" s="19" t="s">
        <v>74</v>
      </c>
      <c r="E1191" s="19"/>
      <c r="F1191" s="19" t="s">
        <v>74</v>
      </c>
      <c r="G1191" s="20"/>
      <c r="H1191" s="20"/>
      <c r="I1191" s="8" t="str">
        <f aca="false">IF(IF(OR(C1191="",D1191="Congé",D1191="OFF",D1191="Congé spécial"),"",IF(D1191&gt;F1191,D1191-C1191,IF(C1191-D1191&lt;0,0,C1191-D1191)))&lt;0.00068287037037037,"",IF(OR(D1191="Congé",D1191="OFF",C1191="",D1191="Congé spécial"),"",IF(D1191&gt;F1191,D1191-C1191,IF(C1191-D1191&lt;0,0,C1191-D1191))))</f>
        <v/>
      </c>
      <c r="J1191" s="20"/>
      <c r="K1191" s="8" t="n">
        <f aca="false">IF(SUM(H1191:J1191)&lt;0.00068287037037037,0,SUM(H1191:J1191))</f>
        <v>0</v>
      </c>
      <c r="L1191" s="8" t="n">
        <f aca="false">IF(OR(F1191="Congé",F1191="OFF",M1191="Abs",F1191="Congé sans solde",F1191="Férié",F1191="Congé spécial",D1191="Congé spécial"),0,IF(F1191-E1191&lt;0,0,IF(F1191-E1191&lt;=0.00068287037037037,0,F1191-E1191)))</f>
        <v>0</v>
      </c>
      <c r="M1191" s="6" t="n">
        <f aca="false">IF(AND(O1191&lt;&gt;0,C1191=""),"Abs",0)</f>
        <v>0</v>
      </c>
      <c r="N1191" s="8" t="str">
        <f aca="false">IFERROR(IF(OR(D1191="OFF",D1191="Congé",M1191="Abs",D1191="Congé sans solde",D1191="Férié"),"",IF(O1191-K1191-L1191&gt;O1191,O1191,IF(O1191-K1191-L1191&lt;0,"",O1191-K1191-L1191))),"")</f>
        <v/>
      </c>
      <c r="O1191" s="8" t="n">
        <f aca="false">IF(AG1191="2H Pause déjeuner",IF(F1191-D1191-0.0833333333333333&lt;0,F1191-D1191-0.0833333333333333+1,F1191-D1191-0.0833333333333333),IF(OR(AND(F1191="OFF",D1191="OFF"),AND(F1191="Congé",D1191="Congé"),AND(F1191="Congé sans solde",D1191="Congé sans solde"),AND(F1191="Congé spécial",D1191="Congé spécial"),AND(F1191="Férié",D1191="Férié"),AND(F1191="OFF",D1191="Congé"),AND(F1191="OFF",D1191="Congé sans solde"),AND(F1191="OFF",D1191="Congé spécial"),AND(F1191="OFF",D1191="Férié"),AND(F1191="Congé",D1191="OFF"),AND(F1191="Congé",D1191="Congé sans solde"),AND(F1191="Congé",D1191="Congé spécial"),AND(F1191="Congé",D1191="Férié"),AND(F1191="Congé sans solde",D1191="OFF"),AND(F1191="Congé sans solde",D1191="Congé"),AND(F1191="Congé sans solde",D1191="Congé spécial"),AND(F1191="Congé sans solde",D1191="Férié"),AND(F1191="Congé spécial",D1191="OFF"),AND(F1191="Congé spécial",D1191="Congé"),AND(F1191="Congé spécial",D1191="Congé sans solde"),AND(F1191="Congé spécial",D1191="Férié"),AND(F1191="Férié",D1191="OFF"),AND(F1191="Férié",D1191="Congé"),AND(F1191="Férié",D1191="Congé sans solde"),AND(F1191="Férié",D1191="Congé spécial")),0,IF(OR(F1191="OFF",F1191="Congé",F1191="Congé spécial",F1191="Congé sans solde",D1191="OFF",D1191="Congé",D1191="Congé spécial",D1191="Congé sans solde"),0.208333333333334,IF(AND(AG1191="",F1191-D1191&lt;0),("24:00:00"-D1191)+("00:00:00"+F1191)-0.0416666666666667,IF(AND(OR(AG1191="Allaitement",AG1191="Sans déjeuner"),F1191-D1191&lt;0),("24:00:00"-D1191)+("00:00:00"+F1191),IF(AND(AG1191="",F1191-D1191&gt;0.166666666666667),F1191-D1191-0.0416666666666667,IF(AND(OR(AG1191="Allaitement",AG1191="Sans déjeuner"),F1191-D1191&gt;0.166666666666667),F1191-D1191,F1191-D1191)))))))</f>
        <v>0</v>
      </c>
      <c r="P1191" s="6" t="str">
        <f aca="false">IFERROR(VLOOKUP($B1191,Agents!$A:$D,2,0),"-")</f>
        <v>Accessibilité</v>
      </c>
      <c r="Q1191" s="21" t="n">
        <v>46320</v>
      </c>
      <c r="R1191" s="8" t="n">
        <f aca="false">IF(M1191="Abs",O1191,0)</f>
        <v>0</v>
      </c>
      <c r="S1191" s="8" t="n">
        <f aca="false">SUM(R1191,L1191,I1191,J1191,W1191,H1191)</f>
        <v>0</v>
      </c>
      <c r="T1191" s="6" t="str">
        <f aca="false">"Sem - "&amp;WEEKNUM(Q1191,21)</f>
        <v>Sem - 43</v>
      </c>
      <c r="U1191" s="6" t="str">
        <f aca="false">CHOOSE(MONTH(Q1191),"Janvier","Février","Mars","Avril","Mai","Juin","Juillet","Août","Septembre","Octobre","Novembre","Décembre")</f>
        <v>Octobre</v>
      </c>
      <c r="V1191" s="22" t="n">
        <f aca="false">YEAR(Q1191)</f>
        <v>2026</v>
      </c>
      <c r="W1191" s="20"/>
      <c r="X1191" s="8" t="n">
        <f aca="false">IFERROR(IF(M1191="Abs",0,IF(ROUND((D1191-C1191+E1191-F1191)*1440,0)&lt;=1,0,D1191-C1191+E1191-F1191)),0)</f>
        <v>0</v>
      </c>
      <c r="Y1191" s="6" t="str">
        <f aca="false">IFERROR(VLOOKUP($B1191,Agents!$A:$D,3,0),"-")</f>
        <v>OUBRAHIM Mohammed</v>
      </c>
      <c r="Z1191" s="6" t="str">
        <f aca="false">IFERROR(VLOOKUP($B1191,Agents!$A:$D,4,0),"-")</f>
        <v>Credit Mutuel</v>
      </c>
      <c r="AA1191" s="18" t="s">
        <v>126</v>
      </c>
      <c r="AB1191" s="8" t="str">
        <f aca="false">IF(AND(D1191="Congé",F1191="Congé"),0.333333333333333,IF(OR(AND(D1191="Congé",F1191&lt;&gt;"Congé"),(AND(F1191="Congé",D1191&lt;&gt;"Congé"))),0.166666666666667,""))</f>
        <v/>
      </c>
      <c r="AC1191" s="8" t="str">
        <f aca="false">IF(AND(D1191="Congé sans solde",F1191="Congé sans solde"),0.333333333333333,IF(OR(AND(D1191="Congé sans solde",F1191&lt;&gt;"Congé sans solde"),(AND(F1191="Congé sans solde",D1191&lt;&gt;"Congé sans solde"))),0.166666666666667,""))</f>
        <v/>
      </c>
      <c r="AD1191" s="8" t="str">
        <f aca="false">IF(AND(D1191="Congé spécial",F1191="Congé spécial"),0.333333333333333,IF(OR(AND(D1191="Congé spécial",F1191&lt;&gt;"Congé spécial"),AND(F1191="Congé spécial",D1191&lt;&gt;"Congé spécial")),0.166666666666667,""))</f>
        <v/>
      </c>
      <c r="AE1191" s="8" t="str">
        <f aca="false">IF(AND(D1191="Férié",F1191="Férié"),0.333333333333333,IF(OR(AND(D1191="Férié",F1191&lt;&gt;"Férié"),(AND(F1191="Férié",D1191&lt;&gt;"Férié"))),0.166666666666667,""))</f>
        <v/>
      </c>
      <c r="AF1191" s="18"/>
      <c r="AG1191" s="18"/>
    </row>
    <row r="1192" customFormat="false" ht="15" hidden="false" customHeight="false" outlineLevel="0" collapsed="false">
      <c r="A1192" s="6" t="str">
        <f aca="false">YEAR(Q1192-WEEKDAY(Q1192,2)+4)&amp;"-S"&amp;TEXT(WEEKNUM(Q1192,21),"00")</f>
        <v>2026-S44</v>
      </c>
      <c r="B1192" s="18" t="s">
        <v>71</v>
      </c>
      <c r="C1192" s="19" t="n">
        <v>0.330555555555556</v>
      </c>
      <c r="D1192" s="19" t="n">
        <v>0.333333333333333</v>
      </c>
      <c r="E1192" s="19" t="n">
        <v>0.75</v>
      </c>
      <c r="F1192" s="19" t="n">
        <v>0.75</v>
      </c>
      <c r="G1192" s="20"/>
      <c r="H1192" s="20"/>
      <c r="I1192" s="8" t="str">
        <f aca="false">IF(IF(OR(C1192="",D1192="Congé",D1192="OFF",D1192="Congé spécial"),"",IF(D1192&gt;F1192,D1192-C1192,IF(C1192-D1192&lt;0,0,C1192-D1192)))&lt;0.00068287037037037,"",IF(OR(D1192="Congé",D1192="OFF",C1192="",D1192="Congé spécial"),"",IF(D1192&gt;F1192,D1192-C1192,IF(C1192-D1192&lt;0,0,C1192-D1192))))</f>
        <v/>
      </c>
      <c r="J1192" s="20"/>
      <c r="K1192" s="8" t="n">
        <f aca="false">IF(SUM(H1192:J1192)&lt;0.00068287037037037,0,SUM(H1192:J1192))</f>
        <v>0</v>
      </c>
      <c r="L1192" s="8" t="n">
        <f aca="false">IF(OR(F1192="Congé",F1192="OFF",M1192="Abs",F1192="Congé sans solde",F1192="Férié",F1192="Congé spécial",D1192="Congé spécial"),0,IF(F1192-E1192&lt;0,0,IF(F1192-E1192&lt;=0.00068287037037037,0,F1192-E1192)))</f>
        <v>0</v>
      </c>
      <c r="M1192" s="6" t="n">
        <f aca="false">IF(AND(O1192&lt;&gt;0,C1192=""),"Abs",0)</f>
        <v>0</v>
      </c>
      <c r="N1192" s="8" t="n">
        <f aca="false">IFERROR(IF(OR(D1192="OFF",D1192="Congé",M1192="Abs",D1192="Congé sans solde",D1192="Férié"),"",IF(O1192-K1192-L1192&gt;O1192,O1192,IF(O1192-K1192-L1192&lt;0,"",O1192-K1192-L1192))),"")</f>
        <v>0.375</v>
      </c>
      <c r="O1192" s="8" t="n">
        <f aca="false">IF(AG1192="2H Pause déjeuner",IF(F1192-D1192-0.0833333333333333&lt;0,F1192-D1192-0.0833333333333333+1,F1192-D1192-0.0833333333333333),IF(OR(AND(F1192="OFF",D1192="OFF"),AND(F1192="Congé",D1192="Congé"),AND(F1192="Congé sans solde",D1192="Congé sans solde"),AND(F1192="Congé spécial",D1192="Congé spécial"),AND(F1192="Férié",D1192="Férié"),AND(F1192="OFF",D1192="Congé"),AND(F1192="OFF",D1192="Congé sans solde"),AND(F1192="OFF",D1192="Congé spécial"),AND(F1192="OFF",D1192="Férié"),AND(F1192="Congé",D1192="OFF"),AND(F1192="Congé",D1192="Congé sans solde"),AND(F1192="Congé",D1192="Congé spécial"),AND(F1192="Congé",D1192="Férié"),AND(F1192="Congé sans solde",D1192="OFF"),AND(F1192="Congé sans solde",D1192="Congé"),AND(F1192="Congé sans solde",D1192="Congé spécial"),AND(F1192="Congé sans solde",D1192="Férié"),AND(F1192="Congé spécial",D1192="OFF"),AND(F1192="Congé spécial",D1192="Congé"),AND(F1192="Congé spécial",D1192="Congé sans solde"),AND(F1192="Congé spécial",D1192="Férié"),AND(F1192="Férié",D1192="OFF"),AND(F1192="Férié",D1192="Congé"),AND(F1192="Férié",D1192="Congé sans solde"),AND(F1192="Férié",D1192="Congé spécial")),0,IF(OR(F1192="OFF",F1192="Congé",F1192="Congé spécial",F1192="Congé sans solde",D1192="OFF",D1192="Congé",D1192="Congé spécial",D1192="Congé sans solde"),0.208333333333334,IF(AND(AG1192="",F1192-D1192&lt;0),("24:00:00"-D1192)+("00:00:00"+F1192)-0.0416666666666667,IF(AND(OR(AG1192="Allaitement",AG1192="Sans déjeuner"),F1192-D1192&lt;0),("24:00:00"-D1192)+("00:00:00"+F1192),IF(AND(AG1192="",F1192-D1192&gt;0.166666666666667),F1192-D1192-0.0416666666666667,IF(AND(OR(AG1192="Allaitement",AG1192="Sans déjeuner"),F1192-D1192&gt;0.166666666666667),F1192-D1192,F1192-D1192)))))))</f>
        <v>0.375</v>
      </c>
      <c r="P1192" s="6" t="str">
        <f aca="false">IFERROR(VLOOKUP($B1192,Agents!$A:$D,2,0),"-")</f>
        <v>Accessibilité</v>
      </c>
      <c r="Q1192" s="21" t="n">
        <v>46321</v>
      </c>
      <c r="R1192" s="8" t="n">
        <f aca="false">IF(M1192="Abs",O1192,0)</f>
        <v>0</v>
      </c>
      <c r="S1192" s="8" t="n">
        <f aca="false">SUM(R1192,L1192,I1192,J1192,W1192,H1192)</f>
        <v>0</v>
      </c>
      <c r="T1192" s="6" t="str">
        <f aca="false">"Sem - "&amp;WEEKNUM(Q1192,21)</f>
        <v>Sem - 44</v>
      </c>
      <c r="U1192" s="6" t="str">
        <f aca="false">CHOOSE(MONTH(Q1192),"Janvier","Février","Mars","Avril","Mai","Juin","Juillet","Août","Septembre","Octobre","Novembre","Décembre")</f>
        <v>Octobre</v>
      </c>
      <c r="V1192" s="22" t="n">
        <f aca="false">YEAR(Q1192)</f>
        <v>2026</v>
      </c>
      <c r="W1192" s="20"/>
      <c r="X1192" s="8" t="n">
        <f aca="false">IFERROR(IF(M1192="Abs",0,IF(ROUND((D1192-C1192+E1192-F1192)*1440,0)&lt;=1,0,D1192-C1192+E1192-F1192)),0)</f>
        <v>0.00277777777777778</v>
      </c>
      <c r="Y1192" s="6" t="str">
        <f aca="false">IFERROR(VLOOKUP($B1192,Agents!$A:$D,3,0),"-")</f>
        <v>OUBRAHIM Mohammed</v>
      </c>
      <c r="Z1192" s="6" t="str">
        <f aca="false">IFERROR(VLOOKUP($B1192,Agents!$A:$D,4,0),"-")</f>
        <v>Credit Mutuel</v>
      </c>
      <c r="AA1192" s="18" t="s">
        <v>127</v>
      </c>
      <c r="AB1192" s="8" t="str">
        <f aca="false">IF(AND(D1192="Congé",F1192="Congé"),0.333333333333333,IF(OR(AND(D1192="Congé",F1192&lt;&gt;"Congé"),(AND(F1192="Congé",D1192&lt;&gt;"Congé"))),0.166666666666667,""))</f>
        <v/>
      </c>
      <c r="AC1192" s="8" t="str">
        <f aca="false">IF(AND(D1192="Congé sans solde",F1192="Congé sans solde"),0.333333333333333,IF(OR(AND(D1192="Congé sans solde",F1192&lt;&gt;"Congé sans solde"),(AND(F1192="Congé sans solde",D1192&lt;&gt;"Congé sans solde"))),0.166666666666667,""))</f>
        <v/>
      </c>
      <c r="AD1192" s="8" t="str">
        <f aca="false">IF(AND(D1192="Congé spécial",F1192="Congé spécial"),0.333333333333333,IF(OR(AND(D1192="Congé spécial",F1192&lt;&gt;"Congé spécial"),AND(F1192="Congé spécial",D1192&lt;&gt;"Congé spécial")),0.166666666666667,""))</f>
        <v/>
      </c>
      <c r="AE1192" s="8" t="str">
        <f aca="false">IF(AND(D1192="Férié",F1192="Férié"),0.333333333333333,IF(OR(AND(D1192="Férié",F1192&lt;&gt;"Férié"),(AND(F1192="Férié",D1192&lt;&gt;"Férié"))),0.166666666666667,""))</f>
        <v/>
      </c>
      <c r="AF1192" s="18"/>
      <c r="AG1192" s="18"/>
    </row>
    <row r="1193" customFormat="false" ht="15" hidden="false" customHeight="false" outlineLevel="0" collapsed="false">
      <c r="A1193" s="6" t="str">
        <f aca="false">YEAR(Q1193-WEEKDAY(Q1193,2)+4)&amp;"-S"&amp;TEXT(WEEKNUM(Q1193,21),"00")</f>
        <v>2026-S44</v>
      </c>
      <c r="B1193" s="18" t="s">
        <v>72</v>
      </c>
      <c r="C1193" s="19" t="n">
        <v>0.33125</v>
      </c>
      <c r="D1193" s="19" t="n">
        <v>0.333333333333333</v>
      </c>
      <c r="E1193" s="19" t="n">
        <v>0.75</v>
      </c>
      <c r="F1193" s="19" t="n">
        <v>0.75</v>
      </c>
      <c r="G1193" s="20"/>
      <c r="H1193" s="20"/>
      <c r="I1193" s="8" t="str">
        <f aca="false">IF(IF(OR(C1193="",D1193="Congé",D1193="OFF",D1193="Congé spécial"),"",IF(D1193&gt;F1193,D1193-C1193,IF(C1193-D1193&lt;0,0,C1193-D1193)))&lt;0.00068287037037037,"",IF(OR(D1193="Congé",D1193="OFF",C1193="",D1193="Congé spécial"),"",IF(D1193&gt;F1193,D1193-C1193,IF(C1193-D1193&lt;0,0,C1193-D1193))))</f>
        <v/>
      </c>
      <c r="J1193" s="20"/>
      <c r="K1193" s="8" t="n">
        <f aca="false">IF(SUM(H1193:J1193)&lt;0.00068287037037037,0,SUM(H1193:J1193))</f>
        <v>0</v>
      </c>
      <c r="L1193" s="8" t="n">
        <f aca="false">IF(OR(F1193="Congé",F1193="OFF",M1193="Abs",F1193="Congé sans solde",F1193="Férié",F1193="Congé spécial",D1193="Congé spécial"),0,IF(F1193-E1193&lt;0,0,IF(F1193-E1193&lt;=0.00068287037037037,0,F1193-E1193)))</f>
        <v>0</v>
      </c>
      <c r="M1193" s="6" t="n">
        <f aca="false">IF(AND(O1193&lt;&gt;0,C1193=""),"Abs",0)</f>
        <v>0</v>
      </c>
      <c r="N1193" s="8" t="n">
        <f aca="false">IFERROR(IF(OR(D1193="OFF",D1193="Congé",M1193="Abs",D1193="Congé sans solde",D1193="Férié"),"",IF(O1193-K1193-L1193&gt;O1193,O1193,IF(O1193-K1193-L1193&lt;0,"",O1193-K1193-L1193))),"")</f>
        <v>0.375</v>
      </c>
      <c r="O1193" s="8" t="n">
        <f aca="false">IF(AG1193="2H Pause déjeuner",IF(F1193-D1193-0.0833333333333333&lt;0,F1193-D1193-0.0833333333333333+1,F1193-D1193-0.0833333333333333),IF(OR(AND(F1193="OFF",D1193="OFF"),AND(F1193="Congé",D1193="Congé"),AND(F1193="Congé sans solde",D1193="Congé sans solde"),AND(F1193="Congé spécial",D1193="Congé spécial"),AND(F1193="Férié",D1193="Férié"),AND(F1193="OFF",D1193="Congé"),AND(F1193="OFF",D1193="Congé sans solde"),AND(F1193="OFF",D1193="Congé spécial"),AND(F1193="OFF",D1193="Férié"),AND(F1193="Congé",D1193="OFF"),AND(F1193="Congé",D1193="Congé sans solde"),AND(F1193="Congé",D1193="Congé spécial"),AND(F1193="Congé",D1193="Férié"),AND(F1193="Congé sans solde",D1193="OFF"),AND(F1193="Congé sans solde",D1193="Congé"),AND(F1193="Congé sans solde",D1193="Congé spécial"),AND(F1193="Congé sans solde",D1193="Férié"),AND(F1193="Congé spécial",D1193="OFF"),AND(F1193="Congé spécial",D1193="Congé"),AND(F1193="Congé spécial",D1193="Congé sans solde"),AND(F1193="Congé spécial",D1193="Férié"),AND(F1193="Férié",D1193="OFF"),AND(F1193="Férié",D1193="Congé"),AND(F1193="Férié",D1193="Congé sans solde"),AND(F1193="Férié",D1193="Congé spécial")),0,IF(OR(F1193="OFF",F1193="Congé",F1193="Congé spécial",F1193="Congé sans solde",D1193="OFF",D1193="Congé",D1193="Congé spécial",D1193="Congé sans solde"),0.208333333333334,IF(AND(AG1193="",F1193-D1193&lt;0),("24:00:00"-D1193)+("00:00:00"+F1193)-0.0416666666666667,IF(AND(OR(AG1193="Allaitement",AG1193="Sans déjeuner"),F1193-D1193&lt;0),("24:00:00"-D1193)+("00:00:00"+F1193),IF(AND(AG1193="",F1193-D1193&gt;0.166666666666667),F1193-D1193-0.0416666666666667,IF(AND(OR(AG1193="Allaitement",AG1193="Sans déjeuner"),F1193-D1193&gt;0.166666666666667),F1193-D1193,F1193-D1193)))))))</f>
        <v>0.375</v>
      </c>
      <c r="P1193" s="6" t="str">
        <f aca="false">IFERROR(VLOOKUP($B1193,Agents!$A:$D,2,0),"-")</f>
        <v>Accessibilité</v>
      </c>
      <c r="Q1193" s="21" t="n">
        <v>46321</v>
      </c>
      <c r="R1193" s="8" t="n">
        <f aca="false">IF(M1193="Abs",O1193,0)</f>
        <v>0</v>
      </c>
      <c r="S1193" s="8" t="n">
        <f aca="false">SUM(R1193,L1193,I1193,J1193,W1193,H1193)</f>
        <v>0</v>
      </c>
      <c r="T1193" s="6" t="str">
        <f aca="false">"Sem - "&amp;WEEKNUM(Q1193,21)</f>
        <v>Sem - 44</v>
      </c>
      <c r="U1193" s="6" t="str">
        <f aca="false">CHOOSE(MONTH(Q1193),"Janvier","Février","Mars","Avril","Mai","Juin","Juillet","Août","Septembre","Octobre","Novembre","Décembre")</f>
        <v>Octobre</v>
      </c>
      <c r="V1193" s="22" t="n">
        <f aca="false">YEAR(Q1193)</f>
        <v>2026</v>
      </c>
      <c r="W1193" s="20"/>
      <c r="X1193" s="8" t="n">
        <f aca="false">IFERROR(IF(M1193="Abs",0,IF(ROUND((D1193-C1193+E1193-F1193)*1440,0)&lt;=1,0,D1193-C1193+E1193-F1193)),0)</f>
        <v>0.00208333333333333</v>
      </c>
      <c r="Y1193" s="6" t="str">
        <f aca="false">IFERROR(VLOOKUP($B1193,Agents!$A:$D,3,0),"-")</f>
        <v>OUBRAHIM Mohammed</v>
      </c>
      <c r="Z1193" s="6" t="str">
        <f aca="false">IFERROR(VLOOKUP($B1193,Agents!$A:$D,4,0),"-")</f>
        <v>Credit Mutuel</v>
      </c>
      <c r="AA1193" s="18" t="s">
        <v>127</v>
      </c>
      <c r="AB1193" s="8" t="str">
        <f aca="false">IF(AND(D1193="Congé",F1193="Congé"),0.333333333333333,IF(OR(AND(D1193="Congé",F1193&lt;&gt;"Congé"),(AND(F1193="Congé",D1193&lt;&gt;"Congé"))),0.166666666666667,""))</f>
        <v/>
      </c>
      <c r="AC1193" s="8" t="str">
        <f aca="false">IF(AND(D1193="Congé sans solde",F1193="Congé sans solde"),0.333333333333333,IF(OR(AND(D1193="Congé sans solde",F1193&lt;&gt;"Congé sans solde"),(AND(F1193="Congé sans solde",D1193&lt;&gt;"Congé sans solde"))),0.166666666666667,""))</f>
        <v/>
      </c>
      <c r="AD1193" s="8" t="str">
        <f aca="false">IF(AND(D1193="Congé spécial",F1193="Congé spécial"),0.333333333333333,IF(OR(AND(D1193="Congé spécial",F1193&lt;&gt;"Congé spécial"),AND(F1193="Congé spécial",D1193&lt;&gt;"Congé spécial")),0.166666666666667,""))</f>
        <v/>
      </c>
      <c r="AE1193" s="8" t="str">
        <f aca="false">IF(AND(D1193="Férié",F1193="Férié"),0.333333333333333,IF(OR(AND(D1193="Férié",F1193&lt;&gt;"Férié"),(AND(F1193="Férié",D1193&lt;&gt;"Férié"))),0.166666666666667,""))</f>
        <v/>
      </c>
      <c r="AF1193" s="18"/>
      <c r="AG1193" s="18"/>
    </row>
    <row r="1194" customFormat="false" ht="15" hidden="false" customHeight="false" outlineLevel="0" collapsed="false">
      <c r="A1194" s="6" t="str">
        <f aca="false">YEAR(Q1194-WEEKDAY(Q1194,2)+4)&amp;"-S"&amp;TEXT(WEEKNUM(Q1194,21),"00")</f>
        <v>2026-S44</v>
      </c>
      <c r="B1194" s="18" t="s">
        <v>73</v>
      </c>
      <c r="C1194" s="19" t="n">
        <v>0.333333333333333</v>
      </c>
      <c r="D1194" s="19" t="n">
        <v>0.333333333333333</v>
      </c>
      <c r="E1194" s="19" t="n">
        <v>0.75</v>
      </c>
      <c r="F1194" s="19" t="n">
        <v>0.75</v>
      </c>
      <c r="G1194" s="20"/>
      <c r="H1194" s="20"/>
      <c r="I1194" s="8" t="str">
        <f aca="false">IF(IF(OR(C1194="",D1194="Congé",D1194="OFF",D1194="Congé spécial"),"",IF(D1194&gt;F1194,D1194-C1194,IF(C1194-D1194&lt;0,0,C1194-D1194)))&lt;0.00068287037037037,"",IF(OR(D1194="Congé",D1194="OFF",C1194="",D1194="Congé spécial"),"",IF(D1194&gt;F1194,D1194-C1194,IF(C1194-D1194&lt;0,0,C1194-D1194))))</f>
        <v/>
      </c>
      <c r="J1194" s="20"/>
      <c r="K1194" s="8" t="n">
        <f aca="false">IF(SUM(H1194:J1194)&lt;0.00068287037037037,0,SUM(H1194:J1194))</f>
        <v>0</v>
      </c>
      <c r="L1194" s="8" t="n">
        <f aca="false">IF(OR(F1194="Congé",F1194="OFF",M1194="Abs",F1194="Congé sans solde",F1194="Férié",F1194="Congé spécial",D1194="Congé spécial"),0,IF(F1194-E1194&lt;0,0,IF(F1194-E1194&lt;=0.00068287037037037,0,F1194-E1194)))</f>
        <v>0</v>
      </c>
      <c r="M1194" s="6" t="n">
        <f aca="false">IF(AND(O1194&lt;&gt;0,C1194=""),"Abs",0)</f>
        <v>0</v>
      </c>
      <c r="N1194" s="8" t="n">
        <f aca="false">IFERROR(IF(OR(D1194="OFF",D1194="Congé",M1194="Abs",D1194="Congé sans solde",D1194="Férié"),"",IF(O1194-K1194-L1194&gt;O1194,O1194,IF(O1194-K1194-L1194&lt;0,"",O1194-K1194-L1194))),"")</f>
        <v>0.375</v>
      </c>
      <c r="O1194" s="8" t="n">
        <f aca="false">IF(AG1194="2H Pause déjeuner",IF(F1194-D1194-0.0833333333333333&lt;0,F1194-D1194-0.0833333333333333+1,F1194-D1194-0.0833333333333333),IF(OR(AND(F1194="OFF",D1194="OFF"),AND(F1194="Congé",D1194="Congé"),AND(F1194="Congé sans solde",D1194="Congé sans solde"),AND(F1194="Congé spécial",D1194="Congé spécial"),AND(F1194="Férié",D1194="Férié"),AND(F1194="OFF",D1194="Congé"),AND(F1194="OFF",D1194="Congé sans solde"),AND(F1194="OFF",D1194="Congé spécial"),AND(F1194="OFF",D1194="Férié"),AND(F1194="Congé",D1194="OFF"),AND(F1194="Congé",D1194="Congé sans solde"),AND(F1194="Congé",D1194="Congé spécial"),AND(F1194="Congé",D1194="Férié"),AND(F1194="Congé sans solde",D1194="OFF"),AND(F1194="Congé sans solde",D1194="Congé"),AND(F1194="Congé sans solde",D1194="Congé spécial"),AND(F1194="Congé sans solde",D1194="Férié"),AND(F1194="Congé spécial",D1194="OFF"),AND(F1194="Congé spécial",D1194="Congé"),AND(F1194="Congé spécial",D1194="Congé sans solde"),AND(F1194="Congé spécial",D1194="Férié"),AND(F1194="Férié",D1194="OFF"),AND(F1194="Férié",D1194="Congé"),AND(F1194="Férié",D1194="Congé sans solde"),AND(F1194="Férié",D1194="Congé spécial")),0,IF(OR(F1194="OFF",F1194="Congé",F1194="Congé spécial",F1194="Congé sans solde",D1194="OFF",D1194="Congé",D1194="Congé spécial",D1194="Congé sans solde"),0.208333333333334,IF(AND(AG1194="",F1194-D1194&lt;0),("24:00:00"-D1194)+("00:00:00"+F1194)-0.0416666666666667,IF(AND(OR(AG1194="Allaitement",AG1194="Sans déjeuner"),F1194-D1194&lt;0),("24:00:00"-D1194)+("00:00:00"+F1194),IF(AND(AG1194="",F1194-D1194&gt;0.166666666666667),F1194-D1194-0.0416666666666667,IF(AND(OR(AG1194="Allaitement",AG1194="Sans déjeuner"),F1194-D1194&gt;0.166666666666667),F1194-D1194,F1194-D1194)))))))</f>
        <v>0.375</v>
      </c>
      <c r="P1194" s="6" t="str">
        <f aca="false">IFERROR(VLOOKUP($B1194,Agents!$A:$D,2,0),"-")</f>
        <v>Accessibilité</v>
      </c>
      <c r="Q1194" s="21" t="n">
        <v>46321</v>
      </c>
      <c r="R1194" s="8" t="n">
        <f aca="false">IF(M1194="Abs",O1194,0)</f>
        <v>0</v>
      </c>
      <c r="S1194" s="8" t="n">
        <f aca="false">SUM(R1194,L1194,I1194,J1194,W1194,H1194)</f>
        <v>0</v>
      </c>
      <c r="T1194" s="6" t="str">
        <f aca="false">"Sem - "&amp;WEEKNUM(Q1194,21)</f>
        <v>Sem - 44</v>
      </c>
      <c r="U1194" s="6" t="str">
        <f aca="false">CHOOSE(MONTH(Q1194),"Janvier","Février","Mars","Avril","Mai","Juin","Juillet","Août","Septembre","Octobre","Novembre","Décembre")</f>
        <v>Octobre</v>
      </c>
      <c r="V1194" s="22" t="n">
        <f aca="false">YEAR(Q1194)</f>
        <v>2026</v>
      </c>
      <c r="W1194" s="20"/>
      <c r="X1194" s="8" t="n">
        <f aca="false">IFERROR(IF(M1194="Abs",0,IF(ROUND((D1194-C1194+E1194-F1194)*1440,0)&lt;=1,0,D1194-C1194+E1194-F1194)),0)</f>
        <v>0</v>
      </c>
      <c r="Y1194" s="6" t="str">
        <f aca="false">IFERROR(VLOOKUP($B1194,Agents!$A:$D,3,0),"-")</f>
        <v>OUBRAHIM Mohammed</v>
      </c>
      <c r="Z1194" s="6" t="str">
        <f aca="false">IFERROR(VLOOKUP($B1194,Agents!$A:$D,4,0),"-")</f>
        <v>Credit Mutuel</v>
      </c>
      <c r="AA1194" s="18" t="s">
        <v>127</v>
      </c>
      <c r="AB1194" s="8" t="str">
        <f aca="false">IF(AND(D1194="Congé",F1194="Congé"),0.333333333333333,IF(OR(AND(D1194="Congé",F1194&lt;&gt;"Congé"),(AND(F1194="Congé",D1194&lt;&gt;"Congé"))),0.166666666666667,""))</f>
        <v/>
      </c>
      <c r="AC1194" s="8" t="str">
        <f aca="false">IF(AND(D1194="Congé sans solde",F1194="Congé sans solde"),0.333333333333333,IF(OR(AND(D1194="Congé sans solde",F1194&lt;&gt;"Congé sans solde"),(AND(F1194="Congé sans solde",D1194&lt;&gt;"Congé sans solde"))),0.166666666666667,""))</f>
        <v/>
      </c>
      <c r="AD1194" s="8" t="str">
        <f aca="false">IF(AND(D1194="Congé spécial",F1194="Congé spécial"),0.333333333333333,IF(OR(AND(D1194="Congé spécial",F1194&lt;&gt;"Congé spécial"),AND(F1194="Congé spécial",D1194&lt;&gt;"Congé spécial")),0.166666666666667,""))</f>
        <v/>
      </c>
      <c r="AE1194" s="8" t="str">
        <f aca="false">IF(AND(D1194="Férié",F1194="Férié"),0.333333333333333,IF(OR(AND(D1194="Férié",F1194&lt;&gt;"Férié"),(AND(F1194="Férié",D1194&lt;&gt;"Férié"))),0.166666666666667,""))</f>
        <v/>
      </c>
      <c r="AF1194" s="18"/>
      <c r="AG1194" s="18"/>
    </row>
    <row r="1195" customFormat="false" ht="15" hidden="false" customHeight="false" outlineLevel="0" collapsed="false">
      <c r="A1195" s="6" t="str">
        <f aca="false">YEAR(Q1195-WEEKDAY(Q1195,2)+4)&amp;"-S"&amp;TEXT(WEEKNUM(Q1195,21),"00")</f>
        <v>2026-S44</v>
      </c>
      <c r="B1195" s="18" t="s">
        <v>124</v>
      </c>
      <c r="C1195" s="19" t="n">
        <v>0.329861111111111</v>
      </c>
      <c r="D1195" s="19" t="n">
        <v>0.333333333333333</v>
      </c>
      <c r="E1195" s="19" t="n">
        <v>0.75</v>
      </c>
      <c r="F1195" s="19" t="n">
        <v>0.75</v>
      </c>
      <c r="G1195" s="20"/>
      <c r="H1195" s="20"/>
      <c r="I1195" s="8" t="str">
        <f aca="false">IF(IF(OR(C1195="",D1195="Congé",D1195="OFF",D1195="Congé spécial"),"",IF(D1195&gt;F1195,D1195-C1195,IF(C1195-D1195&lt;0,0,C1195-D1195)))&lt;0.00068287037037037,"",IF(OR(D1195="Congé",D1195="OFF",C1195="",D1195="Congé spécial"),"",IF(D1195&gt;F1195,D1195-C1195,IF(C1195-D1195&lt;0,0,C1195-D1195))))</f>
        <v/>
      </c>
      <c r="J1195" s="20"/>
      <c r="K1195" s="8" t="n">
        <f aca="false">IF(SUM(H1195:J1195)&lt;0.00068287037037037,0,SUM(H1195:J1195))</f>
        <v>0</v>
      </c>
      <c r="L1195" s="8" t="n">
        <f aca="false">IF(OR(F1195="Congé",F1195="OFF",M1195="Abs",F1195="Congé sans solde",F1195="Férié",F1195="Congé spécial",D1195="Congé spécial"),0,IF(F1195-E1195&lt;0,0,IF(F1195-E1195&lt;=0.00068287037037037,0,F1195-E1195)))</f>
        <v>0</v>
      </c>
      <c r="M1195" s="6" t="n">
        <f aca="false">IF(AND(O1195&lt;&gt;0,C1195=""),"Abs",0)</f>
        <v>0</v>
      </c>
      <c r="N1195" s="8" t="n">
        <f aca="false">IFERROR(IF(OR(D1195="OFF",D1195="Congé",M1195="Abs",D1195="Congé sans solde",D1195="Férié"),"",IF(O1195-K1195-L1195&gt;O1195,O1195,IF(O1195-K1195-L1195&lt;0,"",O1195-K1195-L1195))),"")</f>
        <v>0.375</v>
      </c>
      <c r="O1195" s="8" t="n">
        <f aca="false">IF(AG1195="2H Pause déjeuner",IF(F1195-D1195-0.0833333333333333&lt;0,F1195-D1195-0.0833333333333333+1,F1195-D1195-0.0833333333333333),IF(OR(AND(F1195="OFF",D1195="OFF"),AND(F1195="Congé",D1195="Congé"),AND(F1195="Congé sans solde",D1195="Congé sans solde"),AND(F1195="Congé spécial",D1195="Congé spécial"),AND(F1195="Férié",D1195="Férié"),AND(F1195="OFF",D1195="Congé"),AND(F1195="OFF",D1195="Congé sans solde"),AND(F1195="OFF",D1195="Congé spécial"),AND(F1195="OFF",D1195="Férié"),AND(F1195="Congé",D1195="OFF"),AND(F1195="Congé",D1195="Congé sans solde"),AND(F1195="Congé",D1195="Congé spécial"),AND(F1195="Congé",D1195="Férié"),AND(F1195="Congé sans solde",D1195="OFF"),AND(F1195="Congé sans solde",D1195="Congé"),AND(F1195="Congé sans solde",D1195="Congé spécial"),AND(F1195="Congé sans solde",D1195="Férié"),AND(F1195="Congé spécial",D1195="OFF"),AND(F1195="Congé spécial",D1195="Congé"),AND(F1195="Congé spécial",D1195="Congé sans solde"),AND(F1195="Congé spécial",D1195="Férié"),AND(F1195="Férié",D1195="OFF"),AND(F1195="Férié",D1195="Congé"),AND(F1195="Férié",D1195="Congé sans solde"),AND(F1195="Férié",D1195="Congé spécial")),0,IF(OR(F1195="OFF",F1195="Congé",F1195="Congé spécial",F1195="Congé sans solde",D1195="OFF",D1195="Congé",D1195="Congé spécial",D1195="Congé sans solde"),0.208333333333334,IF(AND(AG1195="",F1195-D1195&lt;0),("24:00:00"-D1195)+("00:00:00"+F1195)-0.0416666666666667,IF(AND(OR(AG1195="Allaitement",AG1195="Sans déjeuner"),F1195-D1195&lt;0),("24:00:00"-D1195)+("00:00:00"+F1195),IF(AND(AG1195="",F1195-D1195&gt;0.166666666666667),F1195-D1195-0.0416666666666667,IF(AND(OR(AG1195="Allaitement",AG1195="Sans déjeuner"),F1195-D1195&gt;0.166666666666667),F1195-D1195,F1195-D1195)))))))</f>
        <v>0.375</v>
      </c>
      <c r="P1195" s="6" t="str">
        <f aca="false">IFERROR(VLOOKUP($B1195,Agents!$A:$D,2,0),"-")</f>
        <v>Accessibilité</v>
      </c>
      <c r="Q1195" s="21" t="n">
        <v>46321</v>
      </c>
      <c r="R1195" s="8" t="n">
        <f aca="false">IF(M1195="Abs",O1195,0)</f>
        <v>0</v>
      </c>
      <c r="S1195" s="8" t="n">
        <f aca="false">SUM(R1195,L1195,I1195,J1195,W1195,H1195)</f>
        <v>0</v>
      </c>
      <c r="T1195" s="6" t="str">
        <f aca="false">"Sem - "&amp;WEEKNUM(Q1195,21)</f>
        <v>Sem - 44</v>
      </c>
      <c r="U1195" s="6" t="str">
        <f aca="false">CHOOSE(MONTH(Q1195),"Janvier","Février","Mars","Avril","Mai","Juin","Juillet","Août","Septembre","Octobre","Novembre","Décembre")</f>
        <v>Octobre</v>
      </c>
      <c r="V1195" s="22" t="n">
        <f aca="false">YEAR(Q1195)</f>
        <v>2026</v>
      </c>
      <c r="W1195" s="20"/>
      <c r="X1195" s="8" t="n">
        <f aca="false">IFERROR(IF(M1195="Abs",0,IF(ROUND((D1195-C1195+E1195-F1195)*1440,0)&lt;=1,0,D1195-C1195+E1195-F1195)),0)</f>
        <v>0.00347222222222222</v>
      </c>
      <c r="Y1195" s="6" t="str">
        <f aca="false">IFERROR(VLOOKUP($B1195,Agents!$A:$D,3,0),"-")</f>
        <v>OUBRAHIM Mohammed</v>
      </c>
      <c r="Z1195" s="6" t="str">
        <f aca="false">IFERROR(VLOOKUP($B1195,Agents!$A:$D,4,0),"-")</f>
        <v>Credit Mutuel</v>
      </c>
      <c r="AA1195" s="18" t="s">
        <v>127</v>
      </c>
      <c r="AB1195" s="8" t="str">
        <f aca="false">IF(AND(D1195="Congé",F1195="Congé"),0.333333333333333,IF(OR(AND(D1195="Congé",F1195&lt;&gt;"Congé"),(AND(F1195="Congé",D1195&lt;&gt;"Congé"))),0.166666666666667,""))</f>
        <v/>
      </c>
      <c r="AC1195" s="8" t="str">
        <f aca="false">IF(AND(D1195="Congé sans solde",F1195="Congé sans solde"),0.333333333333333,IF(OR(AND(D1195="Congé sans solde",F1195&lt;&gt;"Congé sans solde"),(AND(F1195="Congé sans solde",D1195&lt;&gt;"Congé sans solde"))),0.166666666666667,""))</f>
        <v/>
      </c>
      <c r="AD1195" s="8" t="str">
        <f aca="false">IF(AND(D1195="Congé spécial",F1195="Congé spécial"),0.333333333333333,IF(OR(AND(D1195="Congé spécial",F1195&lt;&gt;"Congé spécial"),AND(F1195="Congé spécial",D1195&lt;&gt;"Congé spécial")),0.166666666666667,""))</f>
        <v/>
      </c>
      <c r="AE1195" s="8" t="str">
        <f aca="false">IF(AND(D1195="Férié",F1195="Férié"),0.333333333333333,IF(OR(AND(D1195="Férié",F1195&lt;&gt;"Férié"),(AND(F1195="Férié",D1195&lt;&gt;"Férié"))),0.166666666666667,""))</f>
        <v/>
      </c>
      <c r="AF1195" s="18"/>
      <c r="AG1195" s="18"/>
    </row>
    <row r="1196" customFormat="false" ht="15" hidden="false" customHeight="false" outlineLevel="0" collapsed="false">
      <c r="A1196" s="6" t="str">
        <f aca="false">YEAR(Q1196-WEEKDAY(Q1196,2)+4)&amp;"-S"&amp;TEXT(WEEKNUM(Q1196,21),"00")</f>
        <v>2026-S44</v>
      </c>
      <c r="B1196" s="18" t="s">
        <v>71</v>
      </c>
      <c r="C1196" s="19" t="n">
        <v>0.332638888888889</v>
      </c>
      <c r="D1196" s="19" t="n">
        <v>0.333333333333333</v>
      </c>
      <c r="E1196" s="19" t="n">
        <v>0.75</v>
      </c>
      <c r="F1196" s="19" t="n">
        <v>0.75</v>
      </c>
      <c r="G1196" s="20"/>
      <c r="H1196" s="20"/>
      <c r="I1196" s="8" t="str">
        <f aca="false">IF(IF(OR(C1196="",D1196="Congé",D1196="OFF",D1196="Congé spécial"),"",IF(D1196&gt;F1196,D1196-C1196,IF(C1196-D1196&lt;0,0,C1196-D1196)))&lt;0.00068287037037037,"",IF(OR(D1196="Congé",D1196="OFF",C1196="",D1196="Congé spécial"),"",IF(D1196&gt;F1196,D1196-C1196,IF(C1196-D1196&lt;0,0,C1196-D1196))))</f>
        <v/>
      </c>
      <c r="J1196" s="20"/>
      <c r="K1196" s="8" t="n">
        <f aca="false">IF(SUM(H1196:J1196)&lt;0.00068287037037037,0,SUM(H1196:J1196))</f>
        <v>0</v>
      </c>
      <c r="L1196" s="8" t="n">
        <f aca="false">IF(OR(F1196="Congé",F1196="OFF",M1196="Abs",F1196="Congé sans solde",F1196="Férié",F1196="Congé spécial",D1196="Congé spécial"),0,IF(F1196-E1196&lt;0,0,IF(F1196-E1196&lt;=0.00068287037037037,0,F1196-E1196)))</f>
        <v>0</v>
      </c>
      <c r="M1196" s="6" t="n">
        <f aca="false">IF(AND(O1196&lt;&gt;0,C1196=""),"Abs",0)</f>
        <v>0</v>
      </c>
      <c r="N1196" s="8" t="n">
        <f aca="false">IFERROR(IF(OR(D1196="OFF",D1196="Congé",M1196="Abs",D1196="Congé sans solde",D1196="Férié"),"",IF(O1196-K1196-L1196&gt;O1196,O1196,IF(O1196-K1196-L1196&lt;0,"",O1196-K1196-L1196))),"")</f>
        <v>0.375</v>
      </c>
      <c r="O1196" s="8" t="n">
        <f aca="false">IF(AG1196="2H Pause déjeuner",IF(F1196-D1196-0.0833333333333333&lt;0,F1196-D1196-0.0833333333333333+1,F1196-D1196-0.0833333333333333),IF(OR(AND(F1196="OFF",D1196="OFF"),AND(F1196="Congé",D1196="Congé"),AND(F1196="Congé sans solde",D1196="Congé sans solde"),AND(F1196="Congé spécial",D1196="Congé spécial"),AND(F1196="Férié",D1196="Férié"),AND(F1196="OFF",D1196="Congé"),AND(F1196="OFF",D1196="Congé sans solde"),AND(F1196="OFF",D1196="Congé spécial"),AND(F1196="OFF",D1196="Férié"),AND(F1196="Congé",D1196="OFF"),AND(F1196="Congé",D1196="Congé sans solde"),AND(F1196="Congé",D1196="Congé spécial"),AND(F1196="Congé",D1196="Férié"),AND(F1196="Congé sans solde",D1196="OFF"),AND(F1196="Congé sans solde",D1196="Congé"),AND(F1196="Congé sans solde",D1196="Congé spécial"),AND(F1196="Congé sans solde",D1196="Férié"),AND(F1196="Congé spécial",D1196="OFF"),AND(F1196="Congé spécial",D1196="Congé"),AND(F1196="Congé spécial",D1196="Congé sans solde"),AND(F1196="Congé spécial",D1196="Férié"),AND(F1196="Férié",D1196="OFF"),AND(F1196="Férié",D1196="Congé"),AND(F1196="Férié",D1196="Congé sans solde"),AND(F1196="Férié",D1196="Congé spécial")),0,IF(OR(F1196="OFF",F1196="Congé",F1196="Congé spécial",F1196="Congé sans solde",D1196="OFF",D1196="Congé",D1196="Congé spécial",D1196="Congé sans solde"),0.208333333333334,IF(AND(AG1196="",F1196-D1196&lt;0),("24:00:00"-D1196)+("00:00:00"+F1196)-0.0416666666666667,IF(AND(OR(AG1196="Allaitement",AG1196="Sans déjeuner"),F1196-D1196&lt;0),("24:00:00"-D1196)+("00:00:00"+F1196),IF(AND(AG1196="",F1196-D1196&gt;0.166666666666667),F1196-D1196-0.0416666666666667,IF(AND(OR(AG1196="Allaitement",AG1196="Sans déjeuner"),F1196-D1196&gt;0.166666666666667),F1196-D1196,F1196-D1196)))))))</f>
        <v>0.375</v>
      </c>
      <c r="P1196" s="6" t="str">
        <f aca="false">IFERROR(VLOOKUP($B1196,Agents!$A:$D,2,0),"-")</f>
        <v>Accessibilité</v>
      </c>
      <c r="Q1196" s="21" t="n">
        <v>46322</v>
      </c>
      <c r="R1196" s="8" t="n">
        <f aca="false">IF(M1196="Abs",O1196,0)</f>
        <v>0</v>
      </c>
      <c r="S1196" s="8" t="n">
        <f aca="false">SUM(R1196,L1196,I1196,J1196,W1196,H1196)</f>
        <v>0</v>
      </c>
      <c r="T1196" s="6" t="str">
        <f aca="false">"Sem - "&amp;WEEKNUM(Q1196,21)</f>
        <v>Sem - 44</v>
      </c>
      <c r="U1196" s="6" t="str">
        <f aca="false">CHOOSE(MONTH(Q1196),"Janvier","Février","Mars","Avril","Mai","Juin","Juillet","Août","Septembre","Octobre","Novembre","Décembre")</f>
        <v>Octobre</v>
      </c>
      <c r="V1196" s="22" t="n">
        <f aca="false">YEAR(Q1196)</f>
        <v>2026</v>
      </c>
      <c r="W1196" s="20"/>
      <c r="X1196" s="8" t="n">
        <f aca="false">IFERROR(IF(M1196="Abs",0,IF(ROUND((D1196-C1196+E1196-F1196)*1440,0)&lt;=1,0,D1196-C1196+E1196-F1196)),0)</f>
        <v>0</v>
      </c>
      <c r="Y1196" s="6" t="str">
        <f aca="false">IFERROR(VLOOKUP($B1196,Agents!$A:$D,3,0),"-")</f>
        <v>OUBRAHIM Mohammed</v>
      </c>
      <c r="Z1196" s="6" t="str">
        <f aca="false">IFERROR(VLOOKUP($B1196,Agents!$A:$D,4,0),"-")</f>
        <v>Credit Mutuel</v>
      </c>
      <c r="AA1196" s="18" t="s">
        <v>127</v>
      </c>
      <c r="AB1196" s="8" t="str">
        <f aca="false">IF(AND(D1196="Congé",F1196="Congé"),0.333333333333333,IF(OR(AND(D1196="Congé",F1196&lt;&gt;"Congé"),(AND(F1196="Congé",D1196&lt;&gt;"Congé"))),0.166666666666667,""))</f>
        <v/>
      </c>
      <c r="AC1196" s="8" t="str">
        <f aca="false">IF(AND(D1196="Congé sans solde",F1196="Congé sans solde"),0.333333333333333,IF(OR(AND(D1196="Congé sans solde",F1196&lt;&gt;"Congé sans solde"),(AND(F1196="Congé sans solde",D1196&lt;&gt;"Congé sans solde"))),0.166666666666667,""))</f>
        <v/>
      </c>
      <c r="AD1196" s="8" t="str">
        <f aca="false">IF(AND(D1196="Congé spécial",F1196="Congé spécial"),0.333333333333333,IF(OR(AND(D1196="Congé spécial",F1196&lt;&gt;"Congé spécial"),AND(F1196="Congé spécial",D1196&lt;&gt;"Congé spécial")),0.166666666666667,""))</f>
        <v/>
      </c>
      <c r="AE1196" s="8" t="str">
        <f aca="false">IF(AND(D1196="Férié",F1196="Férié"),0.333333333333333,IF(OR(AND(D1196="Férié",F1196&lt;&gt;"Férié"),(AND(F1196="Férié",D1196&lt;&gt;"Férié"))),0.166666666666667,""))</f>
        <v/>
      </c>
      <c r="AF1196" s="18"/>
      <c r="AG1196" s="18"/>
    </row>
    <row r="1197" customFormat="false" ht="15" hidden="false" customHeight="false" outlineLevel="0" collapsed="false">
      <c r="A1197" s="6" t="str">
        <f aca="false">YEAR(Q1197-WEEKDAY(Q1197,2)+4)&amp;"-S"&amp;TEXT(WEEKNUM(Q1197,21),"00")</f>
        <v>2026-S44</v>
      </c>
      <c r="B1197" s="18" t="s">
        <v>72</v>
      </c>
      <c r="C1197" s="19" t="n">
        <v>0.331944444444444</v>
      </c>
      <c r="D1197" s="19" t="n">
        <v>0.333333333333333</v>
      </c>
      <c r="E1197" s="19" t="n">
        <v>0.75</v>
      </c>
      <c r="F1197" s="19" t="n">
        <v>0.75</v>
      </c>
      <c r="G1197" s="20"/>
      <c r="H1197" s="20"/>
      <c r="I1197" s="8" t="str">
        <f aca="false">IF(IF(OR(C1197="",D1197="Congé",D1197="OFF",D1197="Congé spécial"),"",IF(D1197&gt;F1197,D1197-C1197,IF(C1197-D1197&lt;0,0,C1197-D1197)))&lt;0.00068287037037037,"",IF(OR(D1197="Congé",D1197="OFF",C1197="",D1197="Congé spécial"),"",IF(D1197&gt;F1197,D1197-C1197,IF(C1197-D1197&lt;0,0,C1197-D1197))))</f>
        <v/>
      </c>
      <c r="J1197" s="20"/>
      <c r="K1197" s="8" t="n">
        <f aca="false">IF(SUM(H1197:J1197)&lt;0.00068287037037037,0,SUM(H1197:J1197))</f>
        <v>0</v>
      </c>
      <c r="L1197" s="8" t="n">
        <f aca="false">IF(OR(F1197="Congé",F1197="OFF",M1197="Abs",F1197="Congé sans solde",F1197="Férié",F1197="Congé spécial",D1197="Congé spécial"),0,IF(F1197-E1197&lt;0,0,IF(F1197-E1197&lt;=0.00068287037037037,0,F1197-E1197)))</f>
        <v>0</v>
      </c>
      <c r="M1197" s="6" t="n">
        <f aca="false">IF(AND(O1197&lt;&gt;0,C1197=""),"Abs",0)</f>
        <v>0</v>
      </c>
      <c r="N1197" s="8" t="n">
        <f aca="false">IFERROR(IF(OR(D1197="OFF",D1197="Congé",M1197="Abs",D1197="Congé sans solde",D1197="Férié"),"",IF(O1197-K1197-L1197&gt;O1197,O1197,IF(O1197-K1197-L1197&lt;0,"",O1197-K1197-L1197))),"")</f>
        <v>0.375</v>
      </c>
      <c r="O1197" s="8" t="n">
        <f aca="false">IF(AG1197="2H Pause déjeuner",IF(F1197-D1197-0.0833333333333333&lt;0,F1197-D1197-0.0833333333333333+1,F1197-D1197-0.0833333333333333),IF(OR(AND(F1197="OFF",D1197="OFF"),AND(F1197="Congé",D1197="Congé"),AND(F1197="Congé sans solde",D1197="Congé sans solde"),AND(F1197="Congé spécial",D1197="Congé spécial"),AND(F1197="Férié",D1197="Férié"),AND(F1197="OFF",D1197="Congé"),AND(F1197="OFF",D1197="Congé sans solde"),AND(F1197="OFF",D1197="Congé spécial"),AND(F1197="OFF",D1197="Férié"),AND(F1197="Congé",D1197="OFF"),AND(F1197="Congé",D1197="Congé sans solde"),AND(F1197="Congé",D1197="Congé spécial"),AND(F1197="Congé",D1197="Férié"),AND(F1197="Congé sans solde",D1197="OFF"),AND(F1197="Congé sans solde",D1197="Congé"),AND(F1197="Congé sans solde",D1197="Congé spécial"),AND(F1197="Congé sans solde",D1197="Férié"),AND(F1197="Congé spécial",D1197="OFF"),AND(F1197="Congé spécial",D1197="Congé"),AND(F1197="Congé spécial",D1197="Congé sans solde"),AND(F1197="Congé spécial",D1197="Férié"),AND(F1197="Férié",D1197="OFF"),AND(F1197="Férié",D1197="Congé"),AND(F1197="Férié",D1197="Congé sans solde"),AND(F1197="Férié",D1197="Congé spécial")),0,IF(OR(F1197="OFF",F1197="Congé",F1197="Congé spécial",F1197="Congé sans solde",D1197="OFF",D1197="Congé",D1197="Congé spécial",D1197="Congé sans solde"),0.208333333333334,IF(AND(AG1197="",F1197-D1197&lt;0),("24:00:00"-D1197)+("00:00:00"+F1197)-0.0416666666666667,IF(AND(OR(AG1197="Allaitement",AG1197="Sans déjeuner"),F1197-D1197&lt;0),("24:00:00"-D1197)+("00:00:00"+F1197),IF(AND(AG1197="",F1197-D1197&gt;0.166666666666667),F1197-D1197-0.0416666666666667,IF(AND(OR(AG1197="Allaitement",AG1197="Sans déjeuner"),F1197-D1197&gt;0.166666666666667),F1197-D1197,F1197-D1197)))))))</f>
        <v>0.375</v>
      </c>
      <c r="P1197" s="6" t="str">
        <f aca="false">IFERROR(VLOOKUP($B1197,Agents!$A:$D,2,0),"-")</f>
        <v>Accessibilité</v>
      </c>
      <c r="Q1197" s="21" t="n">
        <v>46322</v>
      </c>
      <c r="R1197" s="8" t="n">
        <f aca="false">IF(M1197="Abs",O1197,0)</f>
        <v>0</v>
      </c>
      <c r="S1197" s="8" t="n">
        <f aca="false">SUM(R1197,L1197,I1197,J1197,W1197,H1197)</f>
        <v>0</v>
      </c>
      <c r="T1197" s="6" t="str">
        <f aca="false">"Sem - "&amp;WEEKNUM(Q1197,21)</f>
        <v>Sem - 44</v>
      </c>
      <c r="U1197" s="6" t="str">
        <f aca="false">CHOOSE(MONTH(Q1197),"Janvier","Février","Mars","Avril","Mai","Juin","Juillet","Août","Septembre","Octobre","Novembre","Décembre")</f>
        <v>Octobre</v>
      </c>
      <c r="V1197" s="22" t="n">
        <f aca="false">YEAR(Q1197)</f>
        <v>2026</v>
      </c>
      <c r="W1197" s="20"/>
      <c r="X1197" s="8" t="n">
        <f aca="false">IFERROR(IF(M1197="Abs",0,IF(ROUND((D1197-C1197+E1197-F1197)*1440,0)&lt;=1,0,D1197-C1197+E1197-F1197)),0)</f>
        <v>0.00138888888888889</v>
      </c>
      <c r="Y1197" s="6" t="str">
        <f aca="false">IFERROR(VLOOKUP($B1197,Agents!$A:$D,3,0),"-")</f>
        <v>OUBRAHIM Mohammed</v>
      </c>
      <c r="Z1197" s="6" t="str">
        <f aca="false">IFERROR(VLOOKUP($B1197,Agents!$A:$D,4,0),"-")</f>
        <v>Credit Mutuel</v>
      </c>
      <c r="AA1197" s="18" t="s">
        <v>127</v>
      </c>
      <c r="AB1197" s="8" t="str">
        <f aca="false">IF(AND(D1197="Congé",F1197="Congé"),0.333333333333333,IF(OR(AND(D1197="Congé",F1197&lt;&gt;"Congé"),(AND(F1197="Congé",D1197&lt;&gt;"Congé"))),0.166666666666667,""))</f>
        <v/>
      </c>
      <c r="AC1197" s="8" t="str">
        <f aca="false">IF(AND(D1197="Congé sans solde",F1197="Congé sans solde"),0.333333333333333,IF(OR(AND(D1197="Congé sans solde",F1197&lt;&gt;"Congé sans solde"),(AND(F1197="Congé sans solde",D1197&lt;&gt;"Congé sans solde"))),0.166666666666667,""))</f>
        <v/>
      </c>
      <c r="AD1197" s="8" t="str">
        <f aca="false">IF(AND(D1197="Congé spécial",F1197="Congé spécial"),0.333333333333333,IF(OR(AND(D1197="Congé spécial",F1197&lt;&gt;"Congé spécial"),AND(F1197="Congé spécial",D1197&lt;&gt;"Congé spécial")),0.166666666666667,""))</f>
        <v/>
      </c>
      <c r="AE1197" s="8" t="str">
        <f aca="false">IF(AND(D1197="Férié",F1197="Férié"),0.333333333333333,IF(OR(AND(D1197="Férié",F1197&lt;&gt;"Férié"),(AND(F1197="Férié",D1197&lt;&gt;"Férié"))),0.166666666666667,""))</f>
        <v/>
      </c>
      <c r="AF1197" s="18"/>
      <c r="AG1197" s="18"/>
    </row>
    <row r="1198" customFormat="false" ht="15" hidden="false" customHeight="false" outlineLevel="0" collapsed="false">
      <c r="A1198" s="6" t="str">
        <f aca="false">YEAR(Q1198-WEEKDAY(Q1198,2)+4)&amp;"-S"&amp;TEXT(WEEKNUM(Q1198,21),"00")</f>
        <v>2026-S44</v>
      </c>
      <c r="B1198" s="18" t="s">
        <v>73</v>
      </c>
      <c r="C1198" s="19"/>
      <c r="D1198" s="19" t="s">
        <v>83</v>
      </c>
      <c r="E1198" s="19"/>
      <c r="F1198" s="19" t="s">
        <v>83</v>
      </c>
      <c r="G1198" s="20"/>
      <c r="H1198" s="20"/>
      <c r="I1198" s="8" t="str">
        <f aca="false">IF(IF(OR(C1198="",D1198="Congé",D1198="OFF",D1198="Congé spécial"),"",IF(D1198&gt;F1198,D1198-C1198,IF(C1198-D1198&lt;0,0,C1198-D1198)))&lt;0.00068287037037037,"",IF(OR(D1198="Congé",D1198="OFF",C1198="",D1198="Congé spécial"),"",IF(D1198&gt;F1198,D1198-C1198,IF(C1198-D1198&lt;0,0,C1198-D1198))))</f>
        <v/>
      </c>
      <c r="J1198" s="20"/>
      <c r="K1198" s="8" t="n">
        <f aca="false">IF(SUM(H1198:J1198)&lt;0.00068287037037037,0,SUM(H1198:J1198))</f>
        <v>0</v>
      </c>
      <c r="L1198" s="8" t="n">
        <f aca="false">IF(OR(F1198="Congé",F1198="OFF",M1198="Abs",F1198="Congé sans solde",F1198="Férié",F1198="Congé spécial",D1198="Congé spécial"),0,IF(F1198-E1198&lt;0,0,IF(F1198-E1198&lt;=0.00068287037037037,0,F1198-E1198)))</f>
        <v>0</v>
      </c>
      <c r="M1198" s="6" t="n">
        <f aca="false">IF(AND(O1198&lt;&gt;0,C1198=""),"Abs",0)</f>
        <v>0</v>
      </c>
      <c r="N1198" s="8" t="str">
        <f aca="false">IFERROR(IF(OR(D1198="OFF",D1198="Congé",M1198="Abs",D1198="Congé sans solde",D1198="Férié"),"",IF(O1198-K1198-L1198&gt;O1198,O1198,IF(O1198-K1198-L1198&lt;0,"",O1198-K1198-L1198))),"")</f>
        <v/>
      </c>
      <c r="O1198" s="8" t="n">
        <f aca="false">IF(AG1198="2H Pause déjeuner",IF(F1198-D1198-0.0833333333333333&lt;0,F1198-D1198-0.0833333333333333+1,F1198-D1198-0.0833333333333333),IF(OR(AND(F1198="OFF",D1198="OFF"),AND(F1198="Congé",D1198="Congé"),AND(F1198="Congé sans solde",D1198="Congé sans solde"),AND(F1198="Congé spécial",D1198="Congé spécial"),AND(F1198="Férié",D1198="Férié"),AND(F1198="OFF",D1198="Congé"),AND(F1198="OFF",D1198="Congé sans solde"),AND(F1198="OFF",D1198="Congé spécial"),AND(F1198="OFF",D1198="Férié"),AND(F1198="Congé",D1198="OFF"),AND(F1198="Congé",D1198="Congé sans solde"),AND(F1198="Congé",D1198="Congé spécial"),AND(F1198="Congé",D1198="Férié"),AND(F1198="Congé sans solde",D1198="OFF"),AND(F1198="Congé sans solde",D1198="Congé"),AND(F1198="Congé sans solde",D1198="Congé spécial"),AND(F1198="Congé sans solde",D1198="Férié"),AND(F1198="Congé spécial",D1198="OFF"),AND(F1198="Congé spécial",D1198="Congé"),AND(F1198="Congé spécial",D1198="Congé sans solde"),AND(F1198="Congé spécial",D1198="Férié"),AND(F1198="Férié",D1198="OFF"),AND(F1198="Férié",D1198="Congé"),AND(F1198="Férié",D1198="Congé sans solde"),AND(F1198="Férié",D1198="Congé spécial")),0,IF(OR(F1198="OFF",F1198="Congé",F1198="Congé spécial",F1198="Congé sans solde",D1198="OFF",D1198="Congé",D1198="Congé spécial",D1198="Congé sans solde"),0.208333333333334,IF(AND(AG1198="",F1198-D1198&lt;0),("24:00:00"-D1198)+("00:00:00"+F1198)-0.0416666666666667,IF(AND(OR(AG1198="Allaitement",AG1198="Sans déjeuner"),F1198-D1198&lt;0),("24:00:00"-D1198)+("00:00:00"+F1198),IF(AND(AG1198="",F1198-D1198&gt;0.166666666666667),F1198-D1198-0.0416666666666667,IF(AND(OR(AG1198="Allaitement",AG1198="Sans déjeuner"),F1198-D1198&gt;0.166666666666667),F1198-D1198,F1198-D1198)))))))</f>
        <v>0</v>
      </c>
      <c r="P1198" s="6" t="str">
        <f aca="false">IFERROR(VLOOKUP($B1198,Agents!$A:$D,2,0),"-")</f>
        <v>Accessibilité</v>
      </c>
      <c r="Q1198" s="21" t="n">
        <v>46322</v>
      </c>
      <c r="R1198" s="8" t="n">
        <f aca="false">IF(M1198="Abs",O1198,0)</f>
        <v>0</v>
      </c>
      <c r="S1198" s="8" t="n">
        <f aca="false">SUM(R1198,L1198,I1198,J1198,W1198,H1198)</f>
        <v>0</v>
      </c>
      <c r="T1198" s="6" t="str">
        <f aca="false">"Sem - "&amp;WEEKNUM(Q1198,21)</f>
        <v>Sem - 44</v>
      </c>
      <c r="U1198" s="6" t="str">
        <f aca="false">CHOOSE(MONTH(Q1198),"Janvier","Février","Mars","Avril","Mai","Juin","Juillet","Août","Septembre","Octobre","Novembre","Décembre")</f>
        <v>Octobre</v>
      </c>
      <c r="V1198" s="22" t="n">
        <f aca="false">YEAR(Q1198)</f>
        <v>2026</v>
      </c>
      <c r="W1198" s="20"/>
      <c r="X1198" s="8" t="n">
        <f aca="false">IFERROR(IF(M1198="Abs",0,IF(ROUND((D1198-C1198+E1198-F1198)*1440,0)&lt;=1,0,D1198-C1198+E1198-F1198)),0)</f>
        <v>0</v>
      </c>
      <c r="Y1198" s="6" t="str">
        <f aca="false">IFERROR(VLOOKUP($B1198,Agents!$A:$D,3,0),"-")</f>
        <v>OUBRAHIM Mohammed</v>
      </c>
      <c r="Z1198" s="6" t="str">
        <f aca="false">IFERROR(VLOOKUP($B1198,Agents!$A:$D,4,0),"-")</f>
        <v>Credit Mutuel</v>
      </c>
      <c r="AA1198" s="18" t="s">
        <v>127</v>
      </c>
      <c r="AB1198" s="8" t="n">
        <f aca="false">IF(AND(D1198="Congé",F1198="Congé"),0.333333333333333,IF(OR(AND(D1198="Congé",F1198&lt;&gt;"Congé"),(AND(F1198="Congé",D1198&lt;&gt;"Congé"))),0.166666666666667,""))</f>
        <v>0.333333333333333</v>
      </c>
      <c r="AC1198" s="8" t="str">
        <f aca="false">IF(AND(D1198="Congé sans solde",F1198="Congé sans solde"),0.333333333333333,IF(OR(AND(D1198="Congé sans solde",F1198&lt;&gt;"Congé sans solde"),(AND(F1198="Congé sans solde",D1198&lt;&gt;"Congé sans solde"))),0.166666666666667,""))</f>
        <v/>
      </c>
      <c r="AD1198" s="8" t="str">
        <f aca="false">IF(AND(D1198="Congé spécial",F1198="Congé spécial"),0.333333333333333,IF(OR(AND(D1198="Congé spécial",F1198&lt;&gt;"Congé spécial"),AND(F1198="Congé spécial",D1198&lt;&gt;"Congé spécial")),0.166666666666667,""))</f>
        <v/>
      </c>
      <c r="AE1198" s="8" t="str">
        <f aca="false">IF(AND(D1198="Férié",F1198="Férié"),0.333333333333333,IF(OR(AND(D1198="Férié",F1198&lt;&gt;"Férié"),(AND(F1198="Férié",D1198&lt;&gt;"Férié"))),0.166666666666667,""))</f>
        <v/>
      </c>
      <c r="AF1198" s="18"/>
      <c r="AG1198" s="18"/>
    </row>
    <row r="1199" customFormat="false" ht="15" hidden="false" customHeight="false" outlineLevel="0" collapsed="false">
      <c r="A1199" s="6" t="str">
        <f aca="false">YEAR(Q1199-WEEKDAY(Q1199,2)+4)&amp;"-S"&amp;TEXT(WEEKNUM(Q1199,21),"00")</f>
        <v>2026-S44</v>
      </c>
      <c r="B1199" s="18" t="s">
        <v>124</v>
      </c>
      <c r="C1199" s="19" t="n">
        <v>0.330555555555556</v>
      </c>
      <c r="D1199" s="19" t="n">
        <v>0.333333333333333</v>
      </c>
      <c r="E1199" s="19" t="n">
        <v>0.75</v>
      </c>
      <c r="F1199" s="19" t="n">
        <v>0.75</v>
      </c>
      <c r="G1199" s="20"/>
      <c r="H1199" s="20"/>
      <c r="I1199" s="8" t="str">
        <f aca="false">IF(IF(OR(C1199="",D1199="Congé",D1199="OFF",D1199="Congé spécial"),"",IF(D1199&gt;F1199,D1199-C1199,IF(C1199-D1199&lt;0,0,C1199-D1199)))&lt;0.00068287037037037,"",IF(OR(D1199="Congé",D1199="OFF",C1199="",D1199="Congé spécial"),"",IF(D1199&gt;F1199,D1199-C1199,IF(C1199-D1199&lt;0,0,C1199-D1199))))</f>
        <v/>
      </c>
      <c r="J1199" s="20"/>
      <c r="K1199" s="8" t="n">
        <f aca="false">IF(SUM(H1199:J1199)&lt;0.00068287037037037,0,SUM(H1199:J1199))</f>
        <v>0</v>
      </c>
      <c r="L1199" s="8" t="n">
        <f aca="false">IF(OR(F1199="Congé",F1199="OFF",M1199="Abs",F1199="Congé sans solde",F1199="Férié",F1199="Congé spécial",D1199="Congé spécial"),0,IF(F1199-E1199&lt;0,0,IF(F1199-E1199&lt;=0.00068287037037037,0,F1199-E1199)))</f>
        <v>0</v>
      </c>
      <c r="M1199" s="6" t="n">
        <f aca="false">IF(AND(O1199&lt;&gt;0,C1199=""),"Abs",0)</f>
        <v>0</v>
      </c>
      <c r="N1199" s="8" t="n">
        <f aca="false">IFERROR(IF(OR(D1199="OFF",D1199="Congé",M1199="Abs",D1199="Congé sans solde",D1199="Férié"),"",IF(O1199-K1199-L1199&gt;O1199,O1199,IF(O1199-K1199-L1199&lt;0,"",O1199-K1199-L1199))),"")</f>
        <v>0.375</v>
      </c>
      <c r="O1199" s="8" t="n">
        <f aca="false">IF(AG1199="2H Pause déjeuner",IF(F1199-D1199-0.0833333333333333&lt;0,F1199-D1199-0.0833333333333333+1,F1199-D1199-0.0833333333333333),IF(OR(AND(F1199="OFF",D1199="OFF"),AND(F1199="Congé",D1199="Congé"),AND(F1199="Congé sans solde",D1199="Congé sans solde"),AND(F1199="Congé spécial",D1199="Congé spécial"),AND(F1199="Férié",D1199="Férié"),AND(F1199="OFF",D1199="Congé"),AND(F1199="OFF",D1199="Congé sans solde"),AND(F1199="OFF",D1199="Congé spécial"),AND(F1199="OFF",D1199="Férié"),AND(F1199="Congé",D1199="OFF"),AND(F1199="Congé",D1199="Congé sans solde"),AND(F1199="Congé",D1199="Congé spécial"),AND(F1199="Congé",D1199="Férié"),AND(F1199="Congé sans solde",D1199="OFF"),AND(F1199="Congé sans solde",D1199="Congé"),AND(F1199="Congé sans solde",D1199="Congé spécial"),AND(F1199="Congé sans solde",D1199="Férié"),AND(F1199="Congé spécial",D1199="OFF"),AND(F1199="Congé spécial",D1199="Congé"),AND(F1199="Congé spécial",D1199="Congé sans solde"),AND(F1199="Congé spécial",D1199="Férié"),AND(F1199="Férié",D1199="OFF"),AND(F1199="Férié",D1199="Congé"),AND(F1199="Férié",D1199="Congé sans solde"),AND(F1199="Férié",D1199="Congé spécial")),0,IF(OR(F1199="OFF",F1199="Congé",F1199="Congé spécial",F1199="Congé sans solde",D1199="OFF",D1199="Congé",D1199="Congé spécial",D1199="Congé sans solde"),0.208333333333334,IF(AND(AG1199="",F1199-D1199&lt;0),("24:00:00"-D1199)+("00:00:00"+F1199)-0.0416666666666667,IF(AND(OR(AG1199="Allaitement",AG1199="Sans déjeuner"),F1199-D1199&lt;0),("24:00:00"-D1199)+("00:00:00"+F1199),IF(AND(AG1199="",F1199-D1199&gt;0.166666666666667),F1199-D1199-0.0416666666666667,IF(AND(OR(AG1199="Allaitement",AG1199="Sans déjeuner"),F1199-D1199&gt;0.166666666666667),F1199-D1199,F1199-D1199)))))))</f>
        <v>0.375</v>
      </c>
      <c r="P1199" s="6" t="str">
        <f aca="false">IFERROR(VLOOKUP($B1199,Agents!$A:$D,2,0),"-")</f>
        <v>Accessibilité</v>
      </c>
      <c r="Q1199" s="21" t="n">
        <v>46322</v>
      </c>
      <c r="R1199" s="8" t="n">
        <f aca="false">IF(M1199="Abs",O1199,0)</f>
        <v>0</v>
      </c>
      <c r="S1199" s="8" t="n">
        <f aca="false">SUM(R1199,L1199,I1199,J1199,W1199,H1199)</f>
        <v>0</v>
      </c>
      <c r="T1199" s="6" t="str">
        <f aca="false">"Sem - "&amp;WEEKNUM(Q1199,21)</f>
        <v>Sem - 44</v>
      </c>
      <c r="U1199" s="6" t="str">
        <f aca="false">CHOOSE(MONTH(Q1199),"Janvier","Février","Mars","Avril","Mai","Juin","Juillet","Août","Septembre","Octobre","Novembre","Décembre")</f>
        <v>Octobre</v>
      </c>
      <c r="V1199" s="22" t="n">
        <f aca="false">YEAR(Q1199)</f>
        <v>2026</v>
      </c>
      <c r="W1199" s="20"/>
      <c r="X1199" s="8" t="n">
        <f aca="false">IFERROR(IF(M1199="Abs",0,IF(ROUND((D1199-C1199+E1199-F1199)*1440,0)&lt;=1,0,D1199-C1199+E1199-F1199)),0)</f>
        <v>0.00277777777777778</v>
      </c>
      <c r="Y1199" s="6" t="str">
        <f aca="false">IFERROR(VLOOKUP($B1199,Agents!$A:$D,3,0),"-")</f>
        <v>OUBRAHIM Mohammed</v>
      </c>
      <c r="Z1199" s="6" t="str">
        <f aca="false">IFERROR(VLOOKUP($B1199,Agents!$A:$D,4,0),"-")</f>
        <v>Credit Mutuel</v>
      </c>
      <c r="AA1199" s="18" t="s">
        <v>127</v>
      </c>
      <c r="AB1199" s="8" t="str">
        <f aca="false">IF(AND(D1199="Congé",F1199="Congé"),0.333333333333333,IF(OR(AND(D1199="Congé",F1199&lt;&gt;"Congé"),(AND(F1199="Congé",D1199&lt;&gt;"Congé"))),0.166666666666667,""))</f>
        <v/>
      </c>
      <c r="AC1199" s="8" t="str">
        <f aca="false">IF(AND(D1199="Congé sans solde",F1199="Congé sans solde"),0.333333333333333,IF(OR(AND(D1199="Congé sans solde",F1199&lt;&gt;"Congé sans solde"),(AND(F1199="Congé sans solde",D1199&lt;&gt;"Congé sans solde"))),0.166666666666667,""))</f>
        <v/>
      </c>
      <c r="AD1199" s="8" t="str">
        <f aca="false">IF(AND(D1199="Congé spécial",F1199="Congé spécial"),0.333333333333333,IF(OR(AND(D1199="Congé spécial",F1199&lt;&gt;"Congé spécial"),AND(F1199="Congé spécial",D1199&lt;&gt;"Congé spécial")),0.166666666666667,""))</f>
        <v/>
      </c>
      <c r="AE1199" s="8" t="str">
        <f aca="false">IF(AND(D1199="Férié",F1199="Férié"),0.333333333333333,IF(OR(AND(D1199="Férié",F1199&lt;&gt;"Férié"),(AND(F1199="Férié",D1199&lt;&gt;"Férié"))),0.166666666666667,""))</f>
        <v/>
      </c>
      <c r="AF1199" s="18"/>
      <c r="AG1199" s="18"/>
    </row>
    <row r="1200" customFormat="false" ht="15" hidden="false" customHeight="false" outlineLevel="0" collapsed="false">
      <c r="A1200" s="6" t="str">
        <f aca="false">YEAR(Q1200-WEEKDAY(Q1200,2)+4)&amp;"-S"&amp;TEXT(WEEKNUM(Q1200,21),"00")</f>
        <v>2026-S44</v>
      </c>
      <c r="B1200" s="18" t="s">
        <v>71</v>
      </c>
      <c r="C1200" s="19" t="n">
        <v>0.331944444444444</v>
      </c>
      <c r="D1200" s="19" t="n">
        <v>0.333333333333333</v>
      </c>
      <c r="E1200" s="19" t="n">
        <v>0.75</v>
      </c>
      <c r="F1200" s="19" t="n">
        <v>0.75</v>
      </c>
      <c r="G1200" s="20"/>
      <c r="H1200" s="20"/>
      <c r="I1200" s="8" t="str">
        <f aca="false">IF(IF(OR(C1200="",D1200="Congé",D1200="OFF",D1200="Congé spécial"),"",IF(D1200&gt;F1200,D1200-C1200,IF(C1200-D1200&lt;0,0,C1200-D1200)))&lt;0.00068287037037037,"",IF(OR(D1200="Congé",D1200="OFF",C1200="",D1200="Congé spécial"),"",IF(D1200&gt;F1200,D1200-C1200,IF(C1200-D1200&lt;0,0,C1200-D1200))))</f>
        <v/>
      </c>
      <c r="J1200" s="20"/>
      <c r="K1200" s="8" t="n">
        <f aca="false">IF(SUM(H1200:J1200)&lt;0.00068287037037037,0,SUM(H1200:J1200))</f>
        <v>0</v>
      </c>
      <c r="L1200" s="8" t="n">
        <f aca="false">IF(OR(F1200="Congé",F1200="OFF",M1200="Abs",F1200="Congé sans solde",F1200="Férié",F1200="Congé spécial",D1200="Congé spécial"),0,IF(F1200-E1200&lt;0,0,IF(F1200-E1200&lt;=0.00068287037037037,0,F1200-E1200)))</f>
        <v>0</v>
      </c>
      <c r="M1200" s="6" t="n">
        <f aca="false">IF(AND(O1200&lt;&gt;0,C1200=""),"Abs",0)</f>
        <v>0</v>
      </c>
      <c r="N1200" s="8" t="n">
        <f aca="false">IFERROR(IF(OR(D1200="OFF",D1200="Congé",M1200="Abs",D1200="Congé sans solde",D1200="Férié"),"",IF(O1200-K1200-L1200&gt;O1200,O1200,IF(O1200-K1200-L1200&lt;0,"",O1200-K1200-L1200))),"")</f>
        <v>0.375</v>
      </c>
      <c r="O1200" s="8" t="n">
        <f aca="false">IF(AG1200="2H Pause déjeuner",IF(F1200-D1200-0.0833333333333333&lt;0,F1200-D1200-0.0833333333333333+1,F1200-D1200-0.0833333333333333),IF(OR(AND(F1200="OFF",D1200="OFF"),AND(F1200="Congé",D1200="Congé"),AND(F1200="Congé sans solde",D1200="Congé sans solde"),AND(F1200="Congé spécial",D1200="Congé spécial"),AND(F1200="Férié",D1200="Férié"),AND(F1200="OFF",D1200="Congé"),AND(F1200="OFF",D1200="Congé sans solde"),AND(F1200="OFF",D1200="Congé spécial"),AND(F1200="OFF",D1200="Férié"),AND(F1200="Congé",D1200="OFF"),AND(F1200="Congé",D1200="Congé sans solde"),AND(F1200="Congé",D1200="Congé spécial"),AND(F1200="Congé",D1200="Férié"),AND(F1200="Congé sans solde",D1200="OFF"),AND(F1200="Congé sans solde",D1200="Congé"),AND(F1200="Congé sans solde",D1200="Congé spécial"),AND(F1200="Congé sans solde",D1200="Férié"),AND(F1200="Congé spécial",D1200="OFF"),AND(F1200="Congé spécial",D1200="Congé"),AND(F1200="Congé spécial",D1200="Congé sans solde"),AND(F1200="Congé spécial",D1200="Férié"),AND(F1200="Férié",D1200="OFF"),AND(F1200="Férié",D1200="Congé"),AND(F1200="Férié",D1200="Congé sans solde"),AND(F1200="Férié",D1200="Congé spécial")),0,IF(OR(F1200="OFF",F1200="Congé",F1200="Congé spécial",F1200="Congé sans solde",D1200="OFF",D1200="Congé",D1200="Congé spécial",D1200="Congé sans solde"),0.208333333333334,IF(AND(AG1200="",F1200-D1200&lt;0),("24:00:00"-D1200)+("00:00:00"+F1200)-0.0416666666666667,IF(AND(OR(AG1200="Allaitement",AG1200="Sans déjeuner"),F1200-D1200&lt;0),("24:00:00"-D1200)+("00:00:00"+F1200),IF(AND(AG1200="",F1200-D1200&gt;0.166666666666667),F1200-D1200-0.0416666666666667,IF(AND(OR(AG1200="Allaitement",AG1200="Sans déjeuner"),F1200-D1200&gt;0.166666666666667),F1200-D1200,F1200-D1200)))))))</f>
        <v>0.375</v>
      </c>
      <c r="P1200" s="6" t="str">
        <f aca="false">IFERROR(VLOOKUP($B1200,Agents!$A:$D,2,0),"-")</f>
        <v>Accessibilité</v>
      </c>
      <c r="Q1200" s="21" t="n">
        <v>46323</v>
      </c>
      <c r="R1200" s="8" t="n">
        <f aca="false">IF(M1200="Abs",O1200,0)</f>
        <v>0</v>
      </c>
      <c r="S1200" s="8" t="n">
        <f aca="false">SUM(R1200,L1200,I1200,J1200,W1200,H1200)</f>
        <v>0</v>
      </c>
      <c r="T1200" s="6" t="str">
        <f aca="false">"Sem - "&amp;WEEKNUM(Q1200,21)</f>
        <v>Sem - 44</v>
      </c>
      <c r="U1200" s="6" t="str">
        <f aca="false">CHOOSE(MONTH(Q1200),"Janvier","Février","Mars","Avril","Mai","Juin","Juillet","Août","Septembre","Octobre","Novembre","Décembre")</f>
        <v>Octobre</v>
      </c>
      <c r="V1200" s="22" t="n">
        <f aca="false">YEAR(Q1200)</f>
        <v>2026</v>
      </c>
      <c r="W1200" s="20"/>
      <c r="X1200" s="8" t="n">
        <f aca="false">IFERROR(IF(M1200="Abs",0,IF(ROUND((D1200-C1200+E1200-F1200)*1440,0)&lt;=1,0,D1200-C1200+E1200-F1200)),0)</f>
        <v>0.00138888888888889</v>
      </c>
      <c r="Y1200" s="6" t="str">
        <f aca="false">IFERROR(VLOOKUP($B1200,Agents!$A:$D,3,0),"-")</f>
        <v>OUBRAHIM Mohammed</v>
      </c>
      <c r="Z1200" s="6" t="str">
        <f aca="false">IFERROR(VLOOKUP($B1200,Agents!$A:$D,4,0),"-")</f>
        <v>Credit Mutuel</v>
      </c>
      <c r="AA1200" s="18" t="s">
        <v>127</v>
      </c>
      <c r="AB1200" s="8" t="str">
        <f aca="false">IF(AND(D1200="Congé",F1200="Congé"),0.333333333333333,IF(OR(AND(D1200="Congé",F1200&lt;&gt;"Congé"),(AND(F1200="Congé",D1200&lt;&gt;"Congé"))),0.166666666666667,""))</f>
        <v/>
      </c>
      <c r="AC1200" s="8" t="str">
        <f aca="false">IF(AND(D1200="Congé sans solde",F1200="Congé sans solde"),0.333333333333333,IF(OR(AND(D1200="Congé sans solde",F1200&lt;&gt;"Congé sans solde"),(AND(F1200="Congé sans solde",D1200&lt;&gt;"Congé sans solde"))),0.166666666666667,""))</f>
        <v/>
      </c>
      <c r="AD1200" s="8" t="str">
        <f aca="false">IF(AND(D1200="Congé spécial",F1200="Congé spécial"),0.333333333333333,IF(OR(AND(D1200="Congé spécial",F1200&lt;&gt;"Congé spécial"),AND(F1200="Congé spécial",D1200&lt;&gt;"Congé spécial")),0.166666666666667,""))</f>
        <v/>
      </c>
      <c r="AE1200" s="8" t="str">
        <f aca="false">IF(AND(D1200="Férié",F1200="Férié"),0.333333333333333,IF(OR(AND(D1200="Férié",F1200&lt;&gt;"Férié"),(AND(F1200="Férié",D1200&lt;&gt;"Férié"))),0.166666666666667,""))</f>
        <v/>
      </c>
      <c r="AF1200" s="18"/>
      <c r="AG1200" s="18"/>
    </row>
    <row r="1201" customFormat="false" ht="15" hidden="false" customHeight="false" outlineLevel="0" collapsed="false">
      <c r="A1201" s="6" t="str">
        <f aca="false">YEAR(Q1201-WEEKDAY(Q1201,2)+4)&amp;"-S"&amp;TEXT(WEEKNUM(Q1201,21),"00")</f>
        <v>2026-S44</v>
      </c>
      <c r="B1201" s="18" t="s">
        <v>72</v>
      </c>
      <c r="C1201" s="19" t="n">
        <v>0.329861111111111</v>
      </c>
      <c r="D1201" s="19" t="n">
        <v>0.333333333333333</v>
      </c>
      <c r="E1201" s="19" t="n">
        <v>0.75</v>
      </c>
      <c r="F1201" s="19" t="n">
        <v>0.75</v>
      </c>
      <c r="G1201" s="20"/>
      <c r="H1201" s="20"/>
      <c r="I1201" s="8" t="str">
        <f aca="false">IF(IF(OR(C1201="",D1201="Congé",D1201="OFF",D1201="Congé spécial"),"",IF(D1201&gt;F1201,D1201-C1201,IF(C1201-D1201&lt;0,0,C1201-D1201)))&lt;0.00068287037037037,"",IF(OR(D1201="Congé",D1201="OFF",C1201="",D1201="Congé spécial"),"",IF(D1201&gt;F1201,D1201-C1201,IF(C1201-D1201&lt;0,0,C1201-D1201))))</f>
        <v/>
      </c>
      <c r="J1201" s="20"/>
      <c r="K1201" s="8" t="n">
        <f aca="false">IF(SUM(H1201:J1201)&lt;0.00068287037037037,0,SUM(H1201:J1201))</f>
        <v>0</v>
      </c>
      <c r="L1201" s="8" t="n">
        <f aca="false">IF(OR(F1201="Congé",F1201="OFF",M1201="Abs",F1201="Congé sans solde",F1201="Férié",F1201="Congé spécial",D1201="Congé spécial"),0,IF(F1201-E1201&lt;0,0,IF(F1201-E1201&lt;=0.00068287037037037,0,F1201-E1201)))</f>
        <v>0</v>
      </c>
      <c r="M1201" s="6" t="n">
        <f aca="false">IF(AND(O1201&lt;&gt;0,C1201=""),"Abs",0)</f>
        <v>0</v>
      </c>
      <c r="N1201" s="8" t="n">
        <f aca="false">IFERROR(IF(OR(D1201="OFF",D1201="Congé",M1201="Abs",D1201="Congé sans solde",D1201="Férié"),"",IF(O1201-K1201-L1201&gt;O1201,O1201,IF(O1201-K1201-L1201&lt;0,"",O1201-K1201-L1201))),"")</f>
        <v>0.375</v>
      </c>
      <c r="O1201" s="8" t="n">
        <f aca="false">IF(AG1201="2H Pause déjeuner",IF(F1201-D1201-0.0833333333333333&lt;0,F1201-D1201-0.0833333333333333+1,F1201-D1201-0.0833333333333333),IF(OR(AND(F1201="OFF",D1201="OFF"),AND(F1201="Congé",D1201="Congé"),AND(F1201="Congé sans solde",D1201="Congé sans solde"),AND(F1201="Congé spécial",D1201="Congé spécial"),AND(F1201="Férié",D1201="Férié"),AND(F1201="OFF",D1201="Congé"),AND(F1201="OFF",D1201="Congé sans solde"),AND(F1201="OFF",D1201="Congé spécial"),AND(F1201="OFF",D1201="Férié"),AND(F1201="Congé",D1201="OFF"),AND(F1201="Congé",D1201="Congé sans solde"),AND(F1201="Congé",D1201="Congé spécial"),AND(F1201="Congé",D1201="Férié"),AND(F1201="Congé sans solde",D1201="OFF"),AND(F1201="Congé sans solde",D1201="Congé"),AND(F1201="Congé sans solde",D1201="Congé spécial"),AND(F1201="Congé sans solde",D1201="Férié"),AND(F1201="Congé spécial",D1201="OFF"),AND(F1201="Congé spécial",D1201="Congé"),AND(F1201="Congé spécial",D1201="Congé sans solde"),AND(F1201="Congé spécial",D1201="Férié"),AND(F1201="Férié",D1201="OFF"),AND(F1201="Férié",D1201="Congé"),AND(F1201="Férié",D1201="Congé sans solde"),AND(F1201="Férié",D1201="Congé spécial")),0,IF(OR(F1201="OFF",F1201="Congé",F1201="Congé spécial",F1201="Congé sans solde",D1201="OFF",D1201="Congé",D1201="Congé spécial",D1201="Congé sans solde"),0.208333333333334,IF(AND(AG1201="",F1201-D1201&lt;0),("24:00:00"-D1201)+("00:00:00"+F1201)-0.0416666666666667,IF(AND(OR(AG1201="Allaitement",AG1201="Sans déjeuner"),F1201-D1201&lt;0),("24:00:00"-D1201)+("00:00:00"+F1201),IF(AND(AG1201="",F1201-D1201&gt;0.166666666666667),F1201-D1201-0.0416666666666667,IF(AND(OR(AG1201="Allaitement",AG1201="Sans déjeuner"),F1201-D1201&gt;0.166666666666667),F1201-D1201,F1201-D1201)))))))</f>
        <v>0.375</v>
      </c>
      <c r="P1201" s="6" t="str">
        <f aca="false">IFERROR(VLOOKUP($B1201,Agents!$A:$D,2,0),"-")</f>
        <v>Accessibilité</v>
      </c>
      <c r="Q1201" s="21" t="n">
        <v>46323</v>
      </c>
      <c r="R1201" s="8" t="n">
        <f aca="false">IF(M1201="Abs",O1201,0)</f>
        <v>0</v>
      </c>
      <c r="S1201" s="8" t="n">
        <f aca="false">SUM(R1201,L1201,I1201,J1201,W1201,H1201)</f>
        <v>0</v>
      </c>
      <c r="T1201" s="6" t="str">
        <f aca="false">"Sem - "&amp;WEEKNUM(Q1201,21)</f>
        <v>Sem - 44</v>
      </c>
      <c r="U1201" s="6" t="str">
        <f aca="false">CHOOSE(MONTH(Q1201),"Janvier","Février","Mars","Avril","Mai","Juin","Juillet","Août","Septembre","Octobre","Novembre","Décembre")</f>
        <v>Octobre</v>
      </c>
      <c r="V1201" s="22" t="n">
        <f aca="false">YEAR(Q1201)</f>
        <v>2026</v>
      </c>
      <c r="W1201" s="20"/>
      <c r="X1201" s="8" t="n">
        <f aca="false">IFERROR(IF(M1201="Abs",0,IF(ROUND((D1201-C1201+E1201-F1201)*1440,0)&lt;=1,0,D1201-C1201+E1201-F1201)),0)</f>
        <v>0.00347222222222222</v>
      </c>
      <c r="Y1201" s="6" t="str">
        <f aca="false">IFERROR(VLOOKUP($B1201,Agents!$A:$D,3,0),"-")</f>
        <v>OUBRAHIM Mohammed</v>
      </c>
      <c r="Z1201" s="6" t="str">
        <f aca="false">IFERROR(VLOOKUP($B1201,Agents!$A:$D,4,0),"-")</f>
        <v>Credit Mutuel</v>
      </c>
      <c r="AA1201" s="18" t="s">
        <v>127</v>
      </c>
      <c r="AB1201" s="8" t="str">
        <f aca="false">IF(AND(D1201="Congé",F1201="Congé"),0.333333333333333,IF(OR(AND(D1201="Congé",F1201&lt;&gt;"Congé"),(AND(F1201="Congé",D1201&lt;&gt;"Congé"))),0.166666666666667,""))</f>
        <v/>
      </c>
      <c r="AC1201" s="8" t="str">
        <f aca="false">IF(AND(D1201="Congé sans solde",F1201="Congé sans solde"),0.333333333333333,IF(OR(AND(D1201="Congé sans solde",F1201&lt;&gt;"Congé sans solde"),(AND(F1201="Congé sans solde",D1201&lt;&gt;"Congé sans solde"))),0.166666666666667,""))</f>
        <v/>
      </c>
      <c r="AD1201" s="8" t="str">
        <f aca="false">IF(AND(D1201="Congé spécial",F1201="Congé spécial"),0.333333333333333,IF(OR(AND(D1201="Congé spécial",F1201&lt;&gt;"Congé spécial"),AND(F1201="Congé spécial",D1201&lt;&gt;"Congé spécial")),0.166666666666667,""))</f>
        <v/>
      </c>
      <c r="AE1201" s="8" t="str">
        <f aca="false">IF(AND(D1201="Férié",F1201="Férié"),0.333333333333333,IF(OR(AND(D1201="Férié",F1201&lt;&gt;"Férié"),(AND(F1201="Férié",D1201&lt;&gt;"Férié"))),0.166666666666667,""))</f>
        <v/>
      </c>
      <c r="AF1201" s="18"/>
      <c r="AG1201" s="18"/>
    </row>
    <row r="1202" customFormat="false" ht="15" hidden="false" customHeight="false" outlineLevel="0" collapsed="false">
      <c r="A1202" s="6" t="str">
        <f aca="false">YEAR(Q1202-WEEKDAY(Q1202,2)+4)&amp;"-S"&amp;TEXT(WEEKNUM(Q1202,21),"00")</f>
        <v>2026-S44</v>
      </c>
      <c r="B1202" s="18" t="s">
        <v>73</v>
      </c>
      <c r="C1202" s="19" t="n">
        <v>0.333333333333333</v>
      </c>
      <c r="D1202" s="19" t="n">
        <v>0.333333333333333</v>
      </c>
      <c r="E1202" s="19" t="n">
        <v>0.75</v>
      </c>
      <c r="F1202" s="19" t="n">
        <v>0.75</v>
      </c>
      <c r="G1202" s="20"/>
      <c r="H1202" s="20"/>
      <c r="I1202" s="8" t="str">
        <f aca="false">IF(IF(OR(C1202="",D1202="Congé",D1202="OFF",D1202="Congé spécial"),"",IF(D1202&gt;F1202,D1202-C1202,IF(C1202-D1202&lt;0,0,C1202-D1202)))&lt;0.00068287037037037,"",IF(OR(D1202="Congé",D1202="OFF",C1202="",D1202="Congé spécial"),"",IF(D1202&gt;F1202,D1202-C1202,IF(C1202-D1202&lt;0,0,C1202-D1202))))</f>
        <v/>
      </c>
      <c r="J1202" s="20"/>
      <c r="K1202" s="8" t="n">
        <f aca="false">IF(SUM(H1202:J1202)&lt;0.00068287037037037,0,SUM(H1202:J1202))</f>
        <v>0</v>
      </c>
      <c r="L1202" s="8" t="n">
        <f aca="false">IF(OR(F1202="Congé",F1202="OFF",M1202="Abs",F1202="Congé sans solde",F1202="Férié",F1202="Congé spécial",D1202="Congé spécial"),0,IF(F1202-E1202&lt;0,0,IF(F1202-E1202&lt;=0.00068287037037037,0,F1202-E1202)))</f>
        <v>0</v>
      </c>
      <c r="M1202" s="6" t="n">
        <f aca="false">IF(AND(O1202&lt;&gt;0,C1202=""),"Abs",0)</f>
        <v>0</v>
      </c>
      <c r="N1202" s="8" t="n">
        <f aca="false">IFERROR(IF(OR(D1202="OFF",D1202="Congé",M1202="Abs",D1202="Congé sans solde",D1202="Férié"),"",IF(O1202-K1202-L1202&gt;O1202,O1202,IF(O1202-K1202-L1202&lt;0,"",O1202-K1202-L1202))),"")</f>
        <v>0.375</v>
      </c>
      <c r="O1202" s="8" t="n">
        <f aca="false">IF(AG1202="2H Pause déjeuner",IF(F1202-D1202-0.0833333333333333&lt;0,F1202-D1202-0.0833333333333333+1,F1202-D1202-0.0833333333333333),IF(OR(AND(F1202="OFF",D1202="OFF"),AND(F1202="Congé",D1202="Congé"),AND(F1202="Congé sans solde",D1202="Congé sans solde"),AND(F1202="Congé spécial",D1202="Congé spécial"),AND(F1202="Férié",D1202="Férié"),AND(F1202="OFF",D1202="Congé"),AND(F1202="OFF",D1202="Congé sans solde"),AND(F1202="OFF",D1202="Congé spécial"),AND(F1202="OFF",D1202="Férié"),AND(F1202="Congé",D1202="OFF"),AND(F1202="Congé",D1202="Congé sans solde"),AND(F1202="Congé",D1202="Congé spécial"),AND(F1202="Congé",D1202="Férié"),AND(F1202="Congé sans solde",D1202="OFF"),AND(F1202="Congé sans solde",D1202="Congé"),AND(F1202="Congé sans solde",D1202="Congé spécial"),AND(F1202="Congé sans solde",D1202="Férié"),AND(F1202="Congé spécial",D1202="OFF"),AND(F1202="Congé spécial",D1202="Congé"),AND(F1202="Congé spécial",D1202="Congé sans solde"),AND(F1202="Congé spécial",D1202="Férié"),AND(F1202="Férié",D1202="OFF"),AND(F1202="Férié",D1202="Congé"),AND(F1202="Férié",D1202="Congé sans solde"),AND(F1202="Férié",D1202="Congé spécial")),0,IF(OR(F1202="OFF",F1202="Congé",F1202="Congé spécial",F1202="Congé sans solde",D1202="OFF",D1202="Congé",D1202="Congé spécial",D1202="Congé sans solde"),0.208333333333334,IF(AND(AG1202="",F1202-D1202&lt;0),("24:00:00"-D1202)+("00:00:00"+F1202)-0.0416666666666667,IF(AND(OR(AG1202="Allaitement",AG1202="Sans déjeuner"),F1202-D1202&lt;0),("24:00:00"-D1202)+("00:00:00"+F1202),IF(AND(AG1202="",F1202-D1202&gt;0.166666666666667),F1202-D1202-0.0416666666666667,IF(AND(OR(AG1202="Allaitement",AG1202="Sans déjeuner"),F1202-D1202&gt;0.166666666666667),F1202-D1202,F1202-D1202)))))))</f>
        <v>0.375</v>
      </c>
      <c r="P1202" s="6" t="str">
        <f aca="false">IFERROR(VLOOKUP($B1202,Agents!$A:$D,2,0),"-")</f>
        <v>Accessibilité</v>
      </c>
      <c r="Q1202" s="21" t="n">
        <v>46323</v>
      </c>
      <c r="R1202" s="8" t="n">
        <f aca="false">IF(M1202="Abs",O1202,0)</f>
        <v>0</v>
      </c>
      <c r="S1202" s="8" t="n">
        <f aca="false">SUM(R1202,L1202,I1202,J1202,W1202,H1202)</f>
        <v>0</v>
      </c>
      <c r="T1202" s="6" t="str">
        <f aca="false">"Sem - "&amp;WEEKNUM(Q1202,21)</f>
        <v>Sem - 44</v>
      </c>
      <c r="U1202" s="6" t="str">
        <f aca="false">CHOOSE(MONTH(Q1202),"Janvier","Février","Mars","Avril","Mai","Juin","Juillet","Août","Septembre","Octobre","Novembre","Décembre")</f>
        <v>Octobre</v>
      </c>
      <c r="V1202" s="22" t="n">
        <f aca="false">YEAR(Q1202)</f>
        <v>2026</v>
      </c>
      <c r="W1202" s="20"/>
      <c r="X1202" s="8" t="n">
        <f aca="false">IFERROR(IF(M1202="Abs",0,IF(ROUND((D1202-C1202+E1202-F1202)*1440,0)&lt;=1,0,D1202-C1202+E1202-F1202)),0)</f>
        <v>0</v>
      </c>
      <c r="Y1202" s="6" t="str">
        <f aca="false">IFERROR(VLOOKUP($B1202,Agents!$A:$D,3,0),"-")</f>
        <v>OUBRAHIM Mohammed</v>
      </c>
      <c r="Z1202" s="6" t="str">
        <f aca="false">IFERROR(VLOOKUP($B1202,Agents!$A:$D,4,0),"-")</f>
        <v>Credit Mutuel</v>
      </c>
      <c r="AA1202" s="18" t="s">
        <v>127</v>
      </c>
      <c r="AB1202" s="8" t="str">
        <f aca="false">IF(AND(D1202="Congé",F1202="Congé"),0.333333333333333,IF(OR(AND(D1202="Congé",F1202&lt;&gt;"Congé"),(AND(F1202="Congé",D1202&lt;&gt;"Congé"))),0.166666666666667,""))</f>
        <v/>
      </c>
      <c r="AC1202" s="8" t="str">
        <f aca="false">IF(AND(D1202="Congé sans solde",F1202="Congé sans solde"),0.333333333333333,IF(OR(AND(D1202="Congé sans solde",F1202&lt;&gt;"Congé sans solde"),(AND(F1202="Congé sans solde",D1202&lt;&gt;"Congé sans solde"))),0.166666666666667,""))</f>
        <v/>
      </c>
      <c r="AD1202" s="8" t="str">
        <f aca="false">IF(AND(D1202="Congé spécial",F1202="Congé spécial"),0.333333333333333,IF(OR(AND(D1202="Congé spécial",F1202&lt;&gt;"Congé spécial"),AND(F1202="Congé spécial",D1202&lt;&gt;"Congé spécial")),0.166666666666667,""))</f>
        <v/>
      </c>
      <c r="AE1202" s="8" t="str">
        <f aca="false">IF(AND(D1202="Férié",F1202="Férié"),0.333333333333333,IF(OR(AND(D1202="Férié",F1202&lt;&gt;"Férié"),(AND(F1202="Férié",D1202&lt;&gt;"Férié"))),0.166666666666667,""))</f>
        <v/>
      </c>
      <c r="AF1202" s="18"/>
      <c r="AG1202" s="18"/>
    </row>
    <row r="1203" customFormat="false" ht="15" hidden="false" customHeight="false" outlineLevel="0" collapsed="false">
      <c r="A1203" s="6" t="str">
        <f aca="false">YEAR(Q1203-WEEKDAY(Q1203,2)+4)&amp;"-S"&amp;TEXT(WEEKNUM(Q1203,21),"00")</f>
        <v>2026-S44</v>
      </c>
      <c r="B1203" s="18" t="s">
        <v>124</v>
      </c>
      <c r="C1203" s="19" t="n">
        <v>0.330555555555556</v>
      </c>
      <c r="D1203" s="19" t="n">
        <v>0.333333333333333</v>
      </c>
      <c r="E1203" s="19" t="n">
        <v>0.75</v>
      </c>
      <c r="F1203" s="19" t="n">
        <v>0.75</v>
      </c>
      <c r="G1203" s="20"/>
      <c r="H1203" s="20"/>
      <c r="I1203" s="8" t="str">
        <f aca="false">IF(IF(OR(C1203="",D1203="Congé",D1203="OFF",D1203="Congé spécial"),"",IF(D1203&gt;F1203,D1203-C1203,IF(C1203-D1203&lt;0,0,C1203-D1203)))&lt;0.00068287037037037,"",IF(OR(D1203="Congé",D1203="OFF",C1203="",D1203="Congé spécial"),"",IF(D1203&gt;F1203,D1203-C1203,IF(C1203-D1203&lt;0,0,C1203-D1203))))</f>
        <v/>
      </c>
      <c r="J1203" s="20"/>
      <c r="K1203" s="8" t="n">
        <f aca="false">IF(SUM(H1203:J1203)&lt;0.00068287037037037,0,SUM(H1203:J1203))</f>
        <v>0</v>
      </c>
      <c r="L1203" s="8" t="n">
        <f aca="false">IF(OR(F1203="Congé",F1203="OFF",M1203="Abs",F1203="Congé sans solde",F1203="Férié",F1203="Congé spécial",D1203="Congé spécial"),0,IF(F1203-E1203&lt;0,0,IF(F1203-E1203&lt;=0.00068287037037037,0,F1203-E1203)))</f>
        <v>0</v>
      </c>
      <c r="M1203" s="6" t="n">
        <f aca="false">IF(AND(O1203&lt;&gt;0,C1203=""),"Abs",0)</f>
        <v>0</v>
      </c>
      <c r="N1203" s="8" t="n">
        <f aca="false">IFERROR(IF(OR(D1203="OFF",D1203="Congé",M1203="Abs",D1203="Congé sans solde",D1203="Férié"),"",IF(O1203-K1203-L1203&gt;O1203,O1203,IF(O1203-K1203-L1203&lt;0,"",O1203-K1203-L1203))),"")</f>
        <v>0.375</v>
      </c>
      <c r="O1203" s="8" t="n">
        <f aca="false">IF(AG1203="2H Pause déjeuner",IF(F1203-D1203-0.0833333333333333&lt;0,F1203-D1203-0.0833333333333333+1,F1203-D1203-0.0833333333333333),IF(OR(AND(F1203="OFF",D1203="OFF"),AND(F1203="Congé",D1203="Congé"),AND(F1203="Congé sans solde",D1203="Congé sans solde"),AND(F1203="Congé spécial",D1203="Congé spécial"),AND(F1203="Férié",D1203="Férié"),AND(F1203="OFF",D1203="Congé"),AND(F1203="OFF",D1203="Congé sans solde"),AND(F1203="OFF",D1203="Congé spécial"),AND(F1203="OFF",D1203="Férié"),AND(F1203="Congé",D1203="OFF"),AND(F1203="Congé",D1203="Congé sans solde"),AND(F1203="Congé",D1203="Congé spécial"),AND(F1203="Congé",D1203="Férié"),AND(F1203="Congé sans solde",D1203="OFF"),AND(F1203="Congé sans solde",D1203="Congé"),AND(F1203="Congé sans solde",D1203="Congé spécial"),AND(F1203="Congé sans solde",D1203="Férié"),AND(F1203="Congé spécial",D1203="OFF"),AND(F1203="Congé spécial",D1203="Congé"),AND(F1203="Congé spécial",D1203="Congé sans solde"),AND(F1203="Congé spécial",D1203="Férié"),AND(F1203="Férié",D1203="OFF"),AND(F1203="Férié",D1203="Congé"),AND(F1203="Férié",D1203="Congé sans solde"),AND(F1203="Férié",D1203="Congé spécial")),0,IF(OR(F1203="OFF",F1203="Congé",F1203="Congé spécial",F1203="Congé sans solde",D1203="OFF",D1203="Congé",D1203="Congé spécial",D1203="Congé sans solde"),0.208333333333334,IF(AND(AG1203="",F1203-D1203&lt;0),("24:00:00"-D1203)+("00:00:00"+F1203)-0.0416666666666667,IF(AND(OR(AG1203="Allaitement",AG1203="Sans déjeuner"),F1203-D1203&lt;0),("24:00:00"-D1203)+("00:00:00"+F1203),IF(AND(AG1203="",F1203-D1203&gt;0.166666666666667),F1203-D1203-0.0416666666666667,IF(AND(OR(AG1203="Allaitement",AG1203="Sans déjeuner"),F1203-D1203&gt;0.166666666666667),F1203-D1203,F1203-D1203)))))))</f>
        <v>0.375</v>
      </c>
      <c r="P1203" s="6" t="str">
        <f aca="false">IFERROR(VLOOKUP($B1203,Agents!$A:$D,2,0),"-")</f>
        <v>Accessibilité</v>
      </c>
      <c r="Q1203" s="21" t="n">
        <v>46323</v>
      </c>
      <c r="R1203" s="8" t="n">
        <f aca="false">IF(M1203="Abs",O1203,0)</f>
        <v>0</v>
      </c>
      <c r="S1203" s="8" t="n">
        <f aca="false">SUM(R1203,L1203,I1203,J1203,W1203,H1203)</f>
        <v>0</v>
      </c>
      <c r="T1203" s="6" t="str">
        <f aca="false">"Sem - "&amp;WEEKNUM(Q1203,21)</f>
        <v>Sem - 44</v>
      </c>
      <c r="U1203" s="6" t="str">
        <f aca="false">CHOOSE(MONTH(Q1203),"Janvier","Février","Mars","Avril","Mai","Juin","Juillet","Août","Septembre","Octobre","Novembre","Décembre")</f>
        <v>Octobre</v>
      </c>
      <c r="V1203" s="22" t="n">
        <f aca="false">YEAR(Q1203)</f>
        <v>2026</v>
      </c>
      <c r="W1203" s="20"/>
      <c r="X1203" s="8" t="n">
        <f aca="false">IFERROR(IF(M1203="Abs",0,IF(ROUND((D1203-C1203+E1203-F1203)*1440,0)&lt;=1,0,D1203-C1203+E1203-F1203)),0)</f>
        <v>0.00277777777777778</v>
      </c>
      <c r="Y1203" s="6" t="str">
        <f aca="false">IFERROR(VLOOKUP($B1203,Agents!$A:$D,3,0),"-")</f>
        <v>OUBRAHIM Mohammed</v>
      </c>
      <c r="Z1203" s="6" t="str">
        <f aca="false">IFERROR(VLOOKUP($B1203,Agents!$A:$D,4,0),"-")</f>
        <v>Credit Mutuel</v>
      </c>
      <c r="AA1203" s="18" t="s">
        <v>127</v>
      </c>
      <c r="AB1203" s="8" t="str">
        <f aca="false">IF(AND(D1203="Congé",F1203="Congé"),0.333333333333333,IF(OR(AND(D1203="Congé",F1203&lt;&gt;"Congé"),(AND(F1203="Congé",D1203&lt;&gt;"Congé"))),0.166666666666667,""))</f>
        <v/>
      </c>
      <c r="AC1203" s="8" t="str">
        <f aca="false">IF(AND(D1203="Congé sans solde",F1203="Congé sans solde"),0.333333333333333,IF(OR(AND(D1203="Congé sans solde",F1203&lt;&gt;"Congé sans solde"),(AND(F1203="Congé sans solde",D1203&lt;&gt;"Congé sans solde"))),0.166666666666667,""))</f>
        <v/>
      </c>
      <c r="AD1203" s="8" t="str">
        <f aca="false">IF(AND(D1203="Congé spécial",F1203="Congé spécial"),0.333333333333333,IF(OR(AND(D1203="Congé spécial",F1203&lt;&gt;"Congé spécial"),AND(F1203="Congé spécial",D1203&lt;&gt;"Congé spécial")),0.166666666666667,""))</f>
        <v/>
      </c>
      <c r="AE1203" s="8" t="str">
        <f aca="false">IF(AND(D1203="Férié",F1203="Férié"),0.333333333333333,IF(OR(AND(D1203="Férié",F1203&lt;&gt;"Férié"),(AND(F1203="Férié",D1203&lt;&gt;"Férié"))),0.166666666666667,""))</f>
        <v/>
      </c>
      <c r="AF1203" s="18"/>
      <c r="AG1203" s="18"/>
    </row>
    <row r="1204" customFormat="false" ht="15" hidden="false" customHeight="false" outlineLevel="0" collapsed="false">
      <c r="A1204" s="6" t="str">
        <f aca="false">YEAR(Q1204-WEEKDAY(Q1204,2)+4)&amp;"-S"&amp;TEXT(WEEKNUM(Q1204,21),"00")</f>
        <v>2026-S44</v>
      </c>
      <c r="B1204" s="18" t="s">
        <v>71</v>
      </c>
      <c r="C1204" s="19" t="n">
        <v>0.331944444444444</v>
      </c>
      <c r="D1204" s="19" t="n">
        <v>0.333333333333333</v>
      </c>
      <c r="E1204" s="19" t="n">
        <v>0.75</v>
      </c>
      <c r="F1204" s="19" t="n">
        <v>0.75</v>
      </c>
      <c r="G1204" s="20"/>
      <c r="H1204" s="20"/>
      <c r="I1204" s="8" t="str">
        <f aca="false">IF(IF(OR(C1204="",D1204="Congé",D1204="OFF",D1204="Congé spécial"),"",IF(D1204&gt;F1204,D1204-C1204,IF(C1204-D1204&lt;0,0,C1204-D1204)))&lt;0.00068287037037037,"",IF(OR(D1204="Congé",D1204="OFF",C1204="",D1204="Congé spécial"),"",IF(D1204&gt;F1204,D1204-C1204,IF(C1204-D1204&lt;0,0,C1204-D1204))))</f>
        <v/>
      </c>
      <c r="J1204" s="20"/>
      <c r="K1204" s="8" t="n">
        <f aca="false">IF(SUM(H1204:J1204)&lt;0.00068287037037037,0,SUM(H1204:J1204))</f>
        <v>0</v>
      </c>
      <c r="L1204" s="8" t="n">
        <f aca="false">IF(OR(F1204="Congé",F1204="OFF",M1204="Abs",F1204="Congé sans solde",F1204="Férié",F1204="Congé spécial",D1204="Congé spécial"),0,IF(F1204-E1204&lt;0,0,IF(F1204-E1204&lt;=0.00068287037037037,0,F1204-E1204)))</f>
        <v>0</v>
      </c>
      <c r="M1204" s="6" t="n">
        <f aca="false">IF(AND(O1204&lt;&gt;0,C1204=""),"Abs",0)</f>
        <v>0</v>
      </c>
      <c r="N1204" s="8" t="n">
        <f aca="false">IFERROR(IF(OR(D1204="OFF",D1204="Congé",M1204="Abs",D1204="Congé sans solde",D1204="Férié"),"",IF(O1204-K1204-L1204&gt;O1204,O1204,IF(O1204-K1204-L1204&lt;0,"",O1204-K1204-L1204))),"")</f>
        <v>0.375</v>
      </c>
      <c r="O1204" s="8" t="n">
        <f aca="false">IF(AG1204="2H Pause déjeuner",IF(F1204-D1204-0.0833333333333333&lt;0,F1204-D1204-0.0833333333333333+1,F1204-D1204-0.0833333333333333),IF(OR(AND(F1204="OFF",D1204="OFF"),AND(F1204="Congé",D1204="Congé"),AND(F1204="Congé sans solde",D1204="Congé sans solde"),AND(F1204="Congé spécial",D1204="Congé spécial"),AND(F1204="Férié",D1204="Férié"),AND(F1204="OFF",D1204="Congé"),AND(F1204="OFF",D1204="Congé sans solde"),AND(F1204="OFF",D1204="Congé spécial"),AND(F1204="OFF",D1204="Férié"),AND(F1204="Congé",D1204="OFF"),AND(F1204="Congé",D1204="Congé sans solde"),AND(F1204="Congé",D1204="Congé spécial"),AND(F1204="Congé",D1204="Férié"),AND(F1204="Congé sans solde",D1204="OFF"),AND(F1204="Congé sans solde",D1204="Congé"),AND(F1204="Congé sans solde",D1204="Congé spécial"),AND(F1204="Congé sans solde",D1204="Férié"),AND(F1204="Congé spécial",D1204="OFF"),AND(F1204="Congé spécial",D1204="Congé"),AND(F1204="Congé spécial",D1204="Congé sans solde"),AND(F1204="Congé spécial",D1204="Férié"),AND(F1204="Férié",D1204="OFF"),AND(F1204="Férié",D1204="Congé"),AND(F1204="Férié",D1204="Congé sans solde"),AND(F1204="Férié",D1204="Congé spécial")),0,IF(OR(F1204="OFF",F1204="Congé",F1204="Congé spécial",F1204="Congé sans solde",D1204="OFF",D1204="Congé",D1204="Congé spécial",D1204="Congé sans solde"),0.208333333333334,IF(AND(AG1204="",F1204-D1204&lt;0),("24:00:00"-D1204)+("00:00:00"+F1204)-0.0416666666666667,IF(AND(OR(AG1204="Allaitement",AG1204="Sans déjeuner"),F1204-D1204&lt;0),("24:00:00"-D1204)+("00:00:00"+F1204),IF(AND(AG1204="",F1204-D1204&gt;0.166666666666667),F1204-D1204-0.0416666666666667,IF(AND(OR(AG1204="Allaitement",AG1204="Sans déjeuner"),F1204-D1204&gt;0.166666666666667),F1204-D1204,F1204-D1204)))))))</f>
        <v>0.375</v>
      </c>
      <c r="P1204" s="6" t="str">
        <f aca="false">IFERROR(VLOOKUP($B1204,Agents!$A:$D,2,0),"-")</f>
        <v>Accessibilité</v>
      </c>
      <c r="Q1204" s="21" t="n">
        <v>46324</v>
      </c>
      <c r="R1204" s="8" t="n">
        <f aca="false">IF(M1204="Abs",O1204,0)</f>
        <v>0</v>
      </c>
      <c r="S1204" s="8" t="n">
        <f aca="false">SUM(R1204,L1204,I1204,J1204,W1204,H1204)</f>
        <v>0</v>
      </c>
      <c r="T1204" s="6" t="str">
        <f aca="false">"Sem - "&amp;WEEKNUM(Q1204,21)</f>
        <v>Sem - 44</v>
      </c>
      <c r="U1204" s="6" t="str">
        <f aca="false">CHOOSE(MONTH(Q1204),"Janvier","Février","Mars","Avril","Mai","Juin","Juillet","Août","Septembre","Octobre","Novembre","Décembre")</f>
        <v>Octobre</v>
      </c>
      <c r="V1204" s="22" t="n">
        <f aca="false">YEAR(Q1204)</f>
        <v>2026</v>
      </c>
      <c r="W1204" s="20"/>
      <c r="X1204" s="8" t="n">
        <f aca="false">IFERROR(IF(M1204="Abs",0,IF(ROUND((D1204-C1204+E1204-F1204)*1440,0)&lt;=1,0,D1204-C1204+E1204-F1204)),0)</f>
        <v>0.00138888888888889</v>
      </c>
      <c r="Y1204" s="6" t="str">
        <f aca="false">IFERROR(VLOOKUP($B1204,Agents!$A:$D,3,0),"-")</f>
        <v>OUBRAHIM Mohammed</v>
      </c>
      <c r="Z1204" s="6" t="str">
        <f aca="false">IFERROR(VLOOKUP($B1204,Agents!$A:$D,4,0),"-")</f>
        <v>Credit Mutuel</v>
      </c>
      <c r="AA1204" s="18" t="s">
        <v>127</v>
      </c>
      <c r="AB1204" s="8" t="str">
        <f aca="false">IF(AND(D1204="Congé",F1204="Congé"),0.333333333333333,IF(OR(AND(D1204="Congé",F1204&lt;&gt;"Congé"),(AND(F1204="Congé",D1204&lt;&gt;"Congé"))),0.166666666666667,""))</f>
        <v/>
      </c>
      <c r="AC1204" s="8" t="str">
        <f aca="false">IF(AND(D1204="Congé sans solde",F1204="Congé sans solde"),0.333333333333333,IF(OR(AND(D1204="Congé sans solde",F1204&lt;&gt;"Congé sans solde"),(AND(F1204="Congé sans solde",D1204&lt;&gt;"Congé sans solde"))),0.166666666666667,""))</f>
        <v/>
      </c>
      <c r="AD1204" s="8" t="str">
        <f aca="false">IF(AND(D1204="Congé spécial",F1204="Congé spécial"),0.333333333333333,IF(OR(AND(D1204="Congé spécial",F1204&lt;&gt;"Congé spécial"),AND(F1204="Congé spécial",D1204&lt;&gt;"Congé spécial")),0.166666666666667,""))</f>
        <v/>
      </c>
      <c r="AE1204" s="8" t="str">
        <f aca="false">IF(AND(D1204="Férié",F1204="Férié"),0.333333333333333,IF(OR(AND(D1204="Férié",F1204&lt;&gt;"Férié"),(AND(F1204="Férié",D1204&lt;&gt;"Férié"))),0.166666666666667,""))</f>
        <v/>
      </c>
      <c r="AF1204" s="18"/>
      <c r="AG1204" s="18"/>
    </row>
    <row r="1205" customFormat="false" ht="15" hidden="false" customHeight="false" outlineLevel="0" collapsed="false">
      <c r="A1205" s="6" t="str">
        <f aca="false">YEAR(Q1205-WEEKDAY(Q1205,2)+4)&amp;"-S"&amp;TEXT(WEEKNUM(Q1205,21),"00")</f>
        <v>2026-S44</v>
      </c>
      <c r="B1205" s="18" t="s">
        <v>72</v>
      </c>
      <c r="C1205" s="19" t="n">
        <v>0.33125</v>
      </c>
      <c r="D1205" s="19" t="n">
        <v>0.333333333333333</v>
      </c>
      <c r="E1205" s="19" t="n">
        <v>0.75</v>
      </c>
      <c r="F1205" s="19" t="n">
        <v>0.75</v>
      </c>
      <c r="G1205" s="20"/>
      <c r="H1205" s="20"/>
      <c r="I1205" s="8" t="str">
        <f aca="false">IF(IF(OR(C1205="",D1205="Congé",D1205="OFF",D1205="Congé spécial"),"",IF(D1205&gt;F1205,D1205-C1205,IF(C1205-D1205&lt;0,0,C1205-D1205)))&lt;0.00068287037037037,"",IF(OR(D1205="Congé",D1205="OFF",C1205="",D1205="Congé spécial"),"",IF(D1205&gt;F1205,D1205-C1205,IF(C1205-D1205&lt;0,0,C1205-D1205))))</f>
        <v/>
      </c>
      <c r="J1205" s="20"/>
      <c r="K1205" s="8" t="n">
        <f aca="false">IF(SUM(H1205:J1205)&lt;0.00068287037037037,0,SUM(H1205:J1205))</f>
        <v>0</v>
      </c>
      <c r="L1205" s="8" t="n">
        <f aca="false">IF(OR(F1205="Congé",F1205="OFF",M1205="Abs",F1205="Congé sans solde",F1205="Férié",F1205="Congé spécial",D1205="Congé spécial"),0,IF(F1205-E1205&lt;0,0,IF(F1205-E1205&lt;=0.00068287037037037,0,F1205-E1205)))</f>
        <v>0</v>
      </c>
      <c r="M1205" s="6" t="n">
        <f aca="false">IF(AND(O1205&lt;&gt;0,C1205=""),"Abs",0)</f>
        <v>0</v>
      </c>
      <c r="N1205" s="8" t="n">
        <f aca="false">IFERROR(IF(OR(D1205="OFF",D1205="Congé",M1205="Abs",D1205="Congé sans solde",D1205="Férié"),"",IF(O1205-K1205-L1205&gt;O1205,O1205,IF(O1205-K1205-L1205&lt;0,"",O1205-K1205-L1205))),"")</f>
        <v>0.375</v>
      </c>
      <c r="O1205" s="8" t="n">
        <f aca="false">IF(AG1205="2H Pause déjeuner",IF(F1205-D1205-0.0833333333333333&lt;0,F1205-D1205-0.0833333333333333+1,F1205-D1205-0.0833333333333333),IF(OR(AND(F1205="OFF",D1205="OFF"),AND(F1205="Congé",D1205="Congé"),AND(F1205="Congé sans solde",D1205="Congé sans solde"),AND(F1205="Congé spécial",D1205="Congé spécial"),AND(F1205="Férié",D1205="Férié"),AND(F1205="OFF",D1205="Congé"),AND(F1205="OFF",D1205="Congé sans solde"),AND(F1205="OFF",D1205="Congé spécial"),AND(F1205="OFF",D1205="Férié"),AND(F1205="Congé",D1205="OFF"),AND(F1205="Congé",D1205="Congé sans solde"),AND(F1205="Congé",D1205="Congé spécial"),AND(F1205="Congé",D1205="Férié"),AND(F1205="Congé sans solde",D1205="OFF"),AND(F1205="Congé sans solde",D1205="Congé"),AND(F1205="Congé sans solde",D1205="Congé spécial"),AND(F1205="Congé sans solde",D1205="Férié"),AND(F1205="Congé spécial",D1205="OFF"),AND(F1205="Congé spécial",D1205="Congé"),AND(F1205="Congé spécial",D1205="Congé sans solde"),AND(F1205="Congé spécial",D1205="Férié"),AND(F1205="Férié",D1205="OFF"),AND(F1205="Férié",D1205="Congé"),AND(F1205="Férié",D1205="Congé sans solde"),AND(F1205="Férié",D1205="Congé spécial")),0,IF(OR(F1205="OFF",F1205="Congé",F1205="Congé spécial",F1205="Congé sans solde",D1205="OFF",D1205="Congé",D1205="Congé spécial",D1205="Congé sans solde"),0.208333333333334,IF(AND(AG1205="",F1205-D1205&lt;0),("24:00:00"-D1205)+("00:00:00"+F1205)-0.0416666666666667,IF(AND(OR(AG1205="Allaitement",AG1205="Sans déjeuner"),F1205-D1205&lt;0),("24:00:00"-D1205)+("00:00:00"+F1205),IF(AND(AG1205="",F1205-D1205&gt;0.166666666666667),F1205-D1205-0.0416666666666667,IF(AND(OR(AG1205="Allaitement",AG1205="Sans déjeuner"),F1205-D1205&gt;0.166666666666667),F1205-D1205,F1205-D1205)))))))</f>
        <v>0.375</v>
      </c>
      <c r="P1205" s="6" t="str">
        <f aca="false">IFERROR(VLOOKUP($B1205,Agents!$A:$D,2,0),"-")</f>
        <v>Accessibilité</v>
      </c>
      <c r="Q1205" s="21" t="n">
        <v>46324</v>
      </c>
      <c r="R1205" s="8" t="n">
        <f aca="false">IF(M1205="Abs",O1205,0)</f>
        <v>0</v>
      </c>
      <c r="S1205" s="8" t="n">
        <f aca="false">SUM(R1205,L1205,I1205,J1205,W1205,H1205)</f>
        <v>0</v>
      </c>
      <c r="T1205" s="6" t="str">
        <f aca="false">"Sem - "&amp;WEEKNUM(Q1205,21)</f>
        <v>Sem - 44</v>
      </c>
      <c r="U1205" s="6" t="str">
        <f aca="false">CHOOSE(MONTH(Q1205),"Janvier","Février","Mars","Avril","Mai","Juin","Juillet","Août","Septembre","Octobre","Novembre","Décembre")</f>
        <v>Octobre</v>
      </c>
      <c r="V1205" s="22" t="n">
        <f aca="false">YEAR(Q1205)</f>
        <v>2026</v>
      </c>
      <c r="W1205" s="20"/>
      <c r="X1205" s="8" t="n">
        <f aca="false">IFERROR(IF(M1205="Abs",0,IF(ROUND((D1205-C1205+E1205-F1205)*1440,0)&lt;=1,0,D1205-C1205+E1205-F1205)),0)</f>
        <v>0.00208333333333333</v>
      </c>
      <c r="Y1205" s="6" t="str">
        <f aca="false">IFERROR(VLOOKUP($B1205,Agents!$A:$D,3,0),"-")</f>
        <v>OUBRAHIM Mohammed</v>
      </c>
      <c r="Z1205" s="6" t="str">
        <f aca="false">IFERROR(VLOOKUP($B1205,Agents!$A:$D,4,0),"-")</f>
        <v>Credit Mutuel</v>
      </c>
      <c r="AA1205" s="18" t="s">
        <v>127</v>
      </c>
      <c r="AB1205" s="8" t="str">
        <f aca="false">IF(AND(D1205="Congé",F1205="Congé"),0.333333333333333,IF(OR(AND(D1205="Congé",F1205&lt;&gt;"Congé"),(AND(F1205="Congé",D1205&lt;&gt;"Congé"))),0.166666666666667,""))</f>
        <v/>
      </c>
      <c r="AC1205" s="8" t="str">
        <f aca="false">IF(AND(D1205="Congé sans solde",F1205="Congé sans solde"),0.333333333333333,IF(OR(AND(D1205="Congé sans solde",F1205&lt;&gt;"Congé sans solde"),(AND(F1205="Congé sans solde",D1205&lt;&gt;"Congé sans solde"))),0.166666666666667,""))</f>
        <v/>
      </c>
      <c r="AD1205" s="8" t="str">
        <f aca="false">IF(AND(D1205="Congé spécial",F1205="Congé spécial"),0.333333333333333,IF(OR(AND(D1205="Congé spécial",F1205&lt;&gt;"Congé spécial"),AND(F1205="Congé spécial",D1205&lt;&gt;"Congé spécial")),0.166666666666667,""))</f>
        <v/>
      </c>
      <c r="AE1205" s="8" t="str">
        <f aca="false">IF(AND(D1205="Férié",F1205="Férié"),0.333333333333333,IF(OR(AND(D1205="Férié",F1205&lt;&gt;"Férié"),(AND(F1205="Férié",D1205&lt;&gt;"Férié"))),0.166666666666667,""))</f>
        <v/>
      </c>
      <c r="AF1205" s="18"/>
      <c r="AG1205" s="18"/>
    </row>
    <row r="1206" customFormat="false" ht="15" hidden="false" customHeight="false" outlineLevel="0" collapsed="false">
      <c r="A1206" s="6" t="str">
        <f aca="false">YEAR(Q1206-WEEKDAY(Q1206,2)+4)&amp;"-S"&amp;TEXT(WEEKNUM(Q1206,21),"00")</f>
        <v>2026-S44</v>
      </c>
      <c r="B1206" s="18" t="s">
        <v>73</v>
      </c>
      <c r="C1206" s="19" t="n">
        <v>0.333333333333333</v>
      </c>
      <c r="D1206" s="19" t="n">
        <v>0.333333333333333</v>
      </c>
      <c r="E1206" s="19" t="n">
        <v>0.75</v>
      </c>
      <c r="F1206" s="19" t="n">
        <v>0.75</v>
      </c>
      <c r="G1206" s="20"/>
      <c r="H1206" s="20"/>
      <c r="I1206" s="8" t="str">
        <f aca="false">IF(IF(OR(C1206="",D1206="Congé",D1206="OFF",D1206="Congé spécial"),"",IF(D1206&gt;F1206,D1206-C1206,IF(C1206-D1206&lt;0,0,C1206-D1206)))&lt;0.00068287037037037,"",IF(OR(D1206="Congé",D1206="OFF",C1206="",D1206="Congé spécial"),"",IF(D1206&gt;F1206,D1206-C1206,IF(C1206-D1206&lt;0,0,C1206-D1206))))</f>
        <v/>
      </c>
      <c r="J1206" s="20"/>
      <c r="K1206" s="8" t="n">
        <f aca="false">IF(SUM(H1206:J1206)&lt;0.00068287037037037,0,SUM(H1206:J1206))</f>
        <v>0</v>
      </c>
      <c r="L1206" s="8" t="n">
        <f aca="false">IF(OR(F1206="Congé",F1206="OFF",M1206="Abs",F1206="Congé sans solde",F1206="Férié",F1206="Congé spécial",D1206="Congé spécial"),0,IF(F1206-E1206&lt;0,0,IF(F1206-E1206&lt;=0.00068287037037037,0,F1206-E1206)))</f>
        <v>0</v>
      </c>
      <c r="M1206" s="6" t="n">
        <f aca="false">IF(AND(O1206&lt;&gt;0,C1206=""),"Abs",0)</f>
        <v>0</v>
      </c>
      <c r="N1206" s="8" t="n">
        <f aca="false">IFERROR(IF(OR(D1206="OFF",D1206="Congé",M1206="Abs",D1206="Congé sans solde",D1206="Férié"),"",IF(O1206-K1206-L1206&gt;O1206,O1206,IF(O1206-K1206-L1206&lt;0,"",O1206-K1206-L1206))),"")</f>
        <v>0.375</v>
      </c>
      <c r="O1206" s="8" t="n">
        <f aca="false">IF(AG1206="2H Pause déjeuner",IF(F1206-D1206-0.0833333333333333&lt;0,F1206-D1206-0.0833333333333333+1,F1206-D1206-0.0833333333333333),IF(OR(AND(F1206="OFF",D1206="OFF"),AND(F1206="Congé",D1206="Congé"),AND(F1206="Congé sans solde",D1206="Congé sans solde"),AND(F1206="Congé spécial",D1206="Congé spécial"),AND(F1206="Férié",D1206="Férié"),AND(F1206="OFF",D1206="Congé"),AND(F1206="OFF",D1206="Congé sans solde"),AND(F1206="OFF",D1206="Congé spécial"),AND(F1206="OFF",D1206="Férié"),AND(F1206="Congé",D1206="OFF"),AND(F1206="Congé",D1206="Congé sans solde"),AND(F1206="Congé",D1206="Congé spécial"),AND(F1206="Congé",D1206="Férié"),AND(F1206="Congé sans solde",D1206="OFF"),AND(F1206="Congé sans solde",D1206="Congé"),AND(F1206="Congé sans solde",D1206="Congé spécial"),AND(F1206="Congé sans solde",D1206="Férié"),AND(F1206="Congé spécial",D1206="OFF"),AND(F1206="Congé spécial",D1206="Congé"),AND(F1206="Congé spécial",D1206="Congé sans solde"),AND(F1206="Congé spécial",D1206="Férié"),AND(F1206="Férié",D1206="OFF"),AND(F1206="Férié",D1206="Congé"),AND(F1206="Férié",D1206="Congé sans solde"),AND(F1206="Férié",D1206="Congé spécial")),0,IF(OR(F1206="OFF",F1206="Congé",F1206="Congé spécial",F1206="Congé sans solde",D1206="OFF",D1206="Congé",D1206="Congé spécial",D1206="Congé sans solde"),0.208333333333334,IF(AND(AG1206="",F1206-D1206&lt;0),("24:00:00"-D1206)+("00:00:00"+F1206)-0.0416666666666667,IF(AND(OR(AG1206="Allaitement",AG1206="Sans déjeuner"),F1206-D1206&lt;0),("24:00:00"-D1206)+("00:00:00"+F1206),IF(AND(AG1206="",F1206-D1206&gt;0.166666666666667),F1206-D1206-0.0416666666666667,IF(AND(OR(AG1206="Allaitement",AG1206="Sans déjeuner"),F1206-D1206&gt;0.166666666666667),F1206-D1206,F1206-D1206)))))))</f>
        <v>0.375</v>
      </c>
      <c r="P1206" s="6" t="str">
        <f aca="false">IFERROR(VLOOKUP($B1206,Agents!$A:$D,2,0),"-")</f>
        <v>Accessibilité</v>
      </c>
      <c r="Q1206" s="21" t="n">
        <v>46324</v>
      </c>
      <c r="R1206" s="8" t="n">
        <f aca="false">IF(M1206="Abs",O1206,0)</f>
        <v>0</v>
      </c>
      <c r="S1206" s="8" t="n">
        <f aca="false">SUM(R1206,L1206,I1206,J1206,W1206,H1206)</f>
        <v>0</v>
      </c>
      <c r="T1206" s="6" t="str">
        <f aca="false">"Sem - "&amp;WEEKNUM(Q1206,21)</f>
        <v>Sem - 44</v>
      </c>
      <c r="U1206" s="6" t="str">
        <f aca="false">CHOOSE(MONTH(Q1206),"Janvier","Février","Mars","Avril","Mai","Juin","Juillet","Août","Septembre","Octobre","Novembre","Décembre")</f>
        <v>Octobre</v>
      </c>
      <c r="V1206" s="22" t="n">
        <f aca="false">YEAR(Q1206)</f>
        <v>2026</v>
      </c>
      <c r="W1206" s="20"/>
      <c r="X1206" s="8" t="n">
        <f aca="false">IFERROR(IF(M1206="Abs",0,IF(ROUND((D1206-C1206+E1206-F1206)*1440,0)&lt;=1,0,D1206-C1206+E1206-F1206)),0)</f>
        <v>0</v>
      </c>
      <c r="Y1206" s="6" t="str">
        <f aca="false">IFERROR(VLOOKUP($B1206,Agents!$A:$D,3,0),"-")</f>
        <v>OUBRAHIM Mohammed</v>
      </c>
      <c r="Z1206" s="6" t="str">
        <f aca="false">IFERROR(VLOOKUP($B1206,Agents!$A:$D,4,0),"-")</f>
        <v>Credit Mutuel</v>
      </c>
      <c r="AA1206" s="18" t="s">
        <v>127</v>
      </c>
      <c r="AB1206" s="8" t="str">
        <f aca="false">IF(AND(D1206="Congé",F1206="Congé"),0.333333333333333,IF(OR(AND(D1206="Congé",F1206&lt;&gt;"Congé"),(AND(F1206="Congé",D1206&lt;&gt;"Congé"))),0.166666666666667,""))</f>
        <v/>
      </c>
      <c r="AC1206" s="8" t="str">
        <f aca="false">IF(AND(D1206="Congé sans solde",F1206="Congé sans solde"),0.333333333333333,IF(OR(AND(D1206="Congé sans solde",F1206&lt;&gt;"Congé sans solde"),(AND(F1206="Congé sans solde",D1206&lt;&gt;"Congé sans solde"))),0.166666666666667,""))</f>
        <v/>
      </c>
      <c r="AD1206" s="8" t="str">
        <f aca="false">IF(AND(D1206="Congé spécial",F1206="Congé spécial"),0.333333333333333,IF(OR(AND(D1206="Congé spécial",F1206&lt;&gt;"Congé spécial"),AND(F1206="Congé spécial",D1206&lt;&gt;"Congé spécial")),0.166666666666667,""))</f>
        <v/>
      </c>
      <c r="AE1206" s="8" t="str">
        <f aca="false">IF(AND(D1206="Férié",F1206="Férié"),0.333333333333333,IF(OR(AND(D1206="Férié",F1206&lt;&gt;"Férié"),(AND(F1206="Férié",D1206&lt;&gt;"Férié"))),0.166666666666667,""))</f>
        <v/>
      </c>
      <c r="AF1206" s="18"/>
      <c r="AG1206" s="18"/>
    </row>
    <row r="1207" customFormat="false" ht="15" hidden="false" customHeight="false" outlineLevel="0" collapsed="false">
      <c r="A1207" s="6" t="str">
        <f aca="false">YEAR(Q1207-WEEKDAY(Q1207,2)+4)&amp;"-S"&amp;TEXT(WEEKNUM(Q1207,21),"00")</f>
        <v>2026-S44</v>
      </c>
      <c r="B1207" s="18" t="s">
        <v>124</v>
      </c>
      <c r="C1207" s="19" t="n">
        <v>0.330555555555556</v>
      </c>
      <c r="D1207" s="19" t="n">
        <v>0.333333333333333</v>
      </c>
      <c r="E1207" s="19" t="n">
        <v>0.75</v>
      </c>
      <c r="F1207" s="19" t="n">
        <v>0.75</v>
      </c>
      <c r="G1207" s="20"/>
      <c r="H1207" s="20"/>
      <c r="I1207" s="8" t="str">
        <f aca="false">IF(IF(OR(C1207="",D1207="Congé",D1207="OFF",D1207="Congé spécial"),"",IF(D1207&gt;F1207,D1207-C1207,IF(C1207-D1207&lt;0,0,C1207-D1207)))&lt;0.00068287037037037,"",IF(OR(D1207="Congé",D1207="OFF",C1207="",D1207="Congé spécial"),"",IF(D1207&gt;F1207,D1207-C1207,IF(C1207-D1207&lt;0,0,C1207-D1207))))</f>
        <v/>
      </c>
      <c r="J1207" s="20"/>
      <c r="K1207" s="8" t="n">
        <f aca="false">IF(SUM(H1207:J1207)&lt;0.00068287037037037,0,SUM(H1207:J1207))</f>
        <v>0</v>
      </c>
      <c r="L1207" s="8" t="n">
        <f aca="false">IF(OR(F1207="Congé",F1207="OFF",M1207="Abs",F1207="Congé sans solde",F1207="Férié",F1207="Congé spécial",D1207="Congé spécial"),0,IF(F1207-E1207&lt;0,0,IF(F1207-E1207&lt;=0.00068287037037037,0,F1207-E1207)))</f>
        <v>0</v>
      </c>
      <c r="M1207" s="6" t="n">
        <f aca="false">IF(AND(O1207&lt;&gt;0,C1207=""),"Abs",0)</f>
        <v>0</v>
      </c>
      <c r="N1207" s="8" t="n">
        <f aca="false">IFERROR(IF(OR(D1207="OFF",D1207="Congé",M1207="Abs",D1207="Congé sans solde",D1207="Férié"),"",IF(O1207-K1207-L1207&gt;O1207,O1207,IF(O1207-K1207-L1207&lt;0,"",O1207-K1207-L1207))),"")</f>
        <v>0.375</v>
      </c>
      <c r="O1207" s="8" t="n">
        <f aca="false">IF(AG1207="2H Pause déjeuner",IF(F1207-D1207-0.0833333333333333&lt;0,F1207-D1207-0.0833333333333333+1,F1207-D1207-0.0833333333333333),IF(OR(AND(F1207="OFF",D1207="OFF"),AND(F1207="Congé",D1207="Congé"),AND(F1207="Congé sans solde",D1207="Congé sans solde"),AND(F1207="Congé spécial",D1207="Congé spécial"),AND(F1207="Férié",D1207="Férié"),AND(F1207="OFF",D1207="Congé"),AND(F1207="OFF",D1207="Congé sans solde"),AND(F1207="OFF",D1207="Congé spécial"),AND(F1207="OFF",D1207="Férié"),AND(F1207="Congé",D1207="OFF"),AND(F1207="Congé",D1207="Congé sans solde"),AND(F1207="Congé",D1207="Congé spécial"),AND(F1207="Congé",D1207="Férié"),AND(F1207="Congé sans solde",D1207="OFF"),AND(F1207="Congé sans solde",D1207="Congé"),AND(F1207="Congé sans solde",D1207="Congé spécial"),AND(F1207="Congé sans solde",D1207="Férié"),AND(F1207="Congé spécial",D1207="OFF"),AND(F1207="Congé spécial",D1207="Congé"),AND(F1207="Congé spécial",D1207="Congé sans solde"),AND(F1207="Congé spécial",D1207="Férié"),AND(F1207="Férié",D1207="OFF"),AND(F1207="Férié",D1207="Congé"),AND(F1207="Férié",D1207="Congé sans solde"),AND(F1207="Férié",D1207="Congé spécial")),0,IF(OR(F1207="OFF",F1207="Congé",F1207="Congé spécial",F1207="Congé sans solde",D1207="OFF",D1207="Congé",D1207="Congé spécial",D1207="Congé sans solde"),0.208333333333334,IF(AND(AG1207="",F1207-D1207&lt;0),("24:00:00"-D1207)+("00:00:00"+F1207)-0.0416666666666667,IF(AND(OR(AG1207="Allaitement",AG1207="Sans déjeuner"),F1207-D1207&lt;0),("24:00:00"-D1207)+("00:00:00"+F1207),IF(AND(AG1207="",F1207-D1207&gt;0.166666666666667),F1207-D1207-0.0416666666666667,IF(AND(OR(AG1207="Allaitement",AG1207="Sans déjeuner"),F1207-D1207&gt;0.166666666666667),F1207-D1207,F1207-D1207)))))))</f>
        <v>0.375</v>
      </c>
      <c r="P1207" s="6" t="str">
        <f aca="false">IFERROR(VLOOKUP($B1207,Agents!$A:$D,2,0),"-")</f>
        <v>Accessibilité</v>
      </c>
      <c r="Q1207" s="21" t="n">
        <v>46324</v>
      </c>
      <c r="R1207" s="8" t="n">
        <f aca="false">IF(M1207="Abs",O1207,0)</f>
        <v>0</v>
      </c>
      <c r="S1207" s="8" t="n">
        <f aca="false">SUM(R1207,L1207,I1207,J1207,W1207,H1207)</f>
        <v>0</v>
      </c>
      <c r="T1207" s="6" t="str">
        <f aca="false">"Sem - "&amp;WEEKNUM(Q1207,21)</f>
        <v>Sem - 44</v>
      </c>
      <c r="U1207" s="6" t="str">
        <f aca="false">CHOOSE(MONTH(Q1207),"Janvier","Février","Mars","Avril","Mai","Juin","Juillet","Août","Septembre","Octobre","Novembre","Décembre")</f>
        <v>Octobre</v>
      </c>
      <c r="V1207" s="22" t="n">
        <f aca="false">YEAR(Q1207)</f>
        <v>2026</v>
      </c>
      <c r="W1207" s="20"/>
      <c r="X1207" s="8" t="n">
        <f aca="false">IFERROR(IF(M1207="Abs",0,IF(ROUND((D1207-C1207+E1207-F1207)*1440,0)&lt;=1,0,D1207-C1207+E1207-F1207)),0)</f>
        <v>0.00277777777777778</v>
      </c>
      <c r="Y1207" s="6" t="str">
        <f aca="false">IFERROR(VLOOKUP($B1207,Agents!$A:$D,3,0),"-")</f>
        <v>OUBRAHIM Mohammed</v>
      </c>
      <c r="Z1207" s="6" t="str">
        <f aca="false">IFERROR(VLOOKUP($B1207,Agents!$A:$D,4,0),"-")</f>
        <v>Credit Mutuel</v>
      </c>
      <c r="AA1207" s="18" t="s">
        <v>127</v>
      </c>
      <c r="AB1207" s="8" t="str">
        <f aca="false">IF(AND(D1207="Congé",F1207="Congé"),0.333333333333333,IF(OR(AND(D1207="Congé",F1207&lt;&gt;"Congé"),(AND(F1207="Congé",D1207&lt;&gt;"Congé"))),0.166666666666667,""))</f>
        <v/>
      </c>
      <c r="AC1207" s="8" t="str">
        <f aca="false">IF(AND(D1207="Congé sans solde",F1207="Congé sans solde"),0.333333333333333,IF(OR(AND(D1207="Congé sans solde",F1207&lt;&gt;"Congé sans solde"),(AND(F1207="Congé sans solde",D1207&lt;&gt;"Congé sans solde"))),0.166666666666667,""))</f>
        <v/>
      </c>
      <c r="AD1207" s="8" t="str">
        <f aca="false">IF(AND(D1207="Congé spécial",F1207="Congé spécial"),0.333333333333333,IF(OR(AND(D1207="Congé spécial",F1207&lt;&gt;"Congé spécial"),AND(F1207="Congé spécial",D1207&lt;&gt;"Congé spécial")),0.166666666666667,""))</f>
        <v/>
      </c>
      <c r="AE1207" s="8" t="str">
        <f aca="false">IF(AND(D1207="Férié",F1207="Férié"),0.333333333333333,IF(OR(AND(D1207="Férié",F1207&lt;&gt;"Férié"),(AND(F1207="Férié",D1207&lt;&gt;"Férié"))),0.166666666666667,""))</f>
        <v/>
      </c>
      <c r="AF1207" s="18"/>
      <c r="AG1207" s="18"/>
    </row>
    <row r="1208" customFormat="false" ht="15" hidden="false" customHeight="false" outlineLevel="0" collapsed="false">
      <c r="A1208" s="6" t="str">
        <f aca="false">YEAR(Q1208-WEEKDAY(Q1208,2)+4)&amp;"-S"&amp;TEXT(WEEKNUM(Q1208,21),"00")</f>
        <v>2026-S44</v>
      </c>
      <c r="B1208" s="18" t="s">
        <v>71</v>
      </c>
      <c r="C1208" s="19"/>
      <c r="D1208" s="19" t="n">
        <v>0.333333333333333</v>
      </c>
      <c r="E1208" s="19"/>
      <c r="F1208" s="19" t="n">
        <v>0.708333333333333</v>
      </c>
      <c r="G1208" s="20"/>
      <c r="H1208" s="20"/>
      <c r="I1208" s="8" t="str">
        <f aca="false">IF(IF(OR(C1208="",D1208="Congé",D1208="OFF",D1208="Congé spécial"),"",IF(D1208&gt;F1208,D1208-C1208,IF(C1208-D1208&lt;0,0,C1208-D1208)))&lt;0.00068287037037037,"",IF(OR(D1208="Congé",D1208="OFF",C1208="",D1208="Congé spécial"),"",IF(D1208&gt;F1208,D1208-C1208,IF(C1208-D1208&lt;0,0,C1208-D1208))))</f>
        <v/>
      </c>
      <c r="J1208" s="20"/>
      <c r="K1208" s="8" t="n">
        <f aca="false">IF(SUM(H1208:J1208)&lt;0.00068287037037037,0,SUM(H1208:J1208))</f>
        <v>0</v>
      </c>
      <c r="L1208" s="8" t="n">
        <f aca="false">IF(OR(F1208="Congé",F1208="OFF",M1208="Abs",F1208="Congé sans solde",F1208="Férié",F1208="Congé spécial",D1208="Congé spécial"),0,IF(F1208-E1208&lt;0,0,IF(F1208-E1208&lt;=0.00068287037037037,0,F1208-E1208)))</f>
        <v>0</v>
      </c>
      <c r="M1208" s="6" t="str">
        <f aca="false">IF(AND(O1208&lt;&gt;0,C1208=""),"Abs",0)</f>
        <v>Abs</v>
      </c>
      <c r="N1208" s="8" t="str">
        <f aca="false">IFERROR(IF(OR(D1208="OFF",D1208="Congé",M1208="Abs",D1208="Congé sans solde",D1208="Férié"),"",IF(O1208-K1208-L1208&gt;O1208,O1208,IF(O1208-K1208-L1208&lt;0,"",O1208-K1208-L1208))),"")</f>
        <v/>
      </c>
      <c r="O1208" s="8" t="n">
        <f aca="false">IF(AG1208="2H Pause déjeuner",IF(F1208-D1208-0.0833333333333333&lt;0,F1208-D1208-0.0833333333333333+1,F1208-D1208-0.0833333333333333),IF(OR(AND(F1208="OFF",D1208="OFF"),AND(F1208="Congé",D1208="Congé"),AND(F1208="Congé sans solde",D1208="Congé sans solde"),AND(F1208="Congé spécial",D1208="Congé spécial"),AND(F1208="Férié",D1208="Férié"),AND(F1208="OFF",D1208="Congé"),AND(F1208="OFF",D1208="Congé sans solde"),AND(F1208="OFF",D1208="Congé spécial"),AND(F1208="OFF",D1208="Férié"),AND(F1208="Congé",D1208="OFF"),AND(F1208="Congé",D1208="Congé sans solde"),AND(F1208="Congé",D1208="Congé spécial"),AND(F1208="Congé",D1208="Férié"),AND(F1208="Congé sans solde",D1208="OFF"),AND(F1208="Congé sans solde",D1208="Congé"),AND(F1208="Congé sans solde",D1208="Congé spécial"),AND(F1208="Congé sans solde",D1208="Férié"),AND(F1208="Congé spécial",D1208="OFF"),AND(F1208="Congé spécial",D1208="Congé"),AND(F1208="Congé spécial",D1208="Congé sans solde"),AND(F1208="Congé spécial",D1208="Férié"),AND(F1208="Férié",D1208="OFF"),AND(F1208="Férié",D1208="Congé"),AND(F1208="Férié",D1208="Congé sans solde"),AND(F1208="Férié",D1208="Congé spécial")),0,IF(OR(F1208="OFF",F1208="Congé",F1208="Congé spécial",F1208="Congé sans solde",D1208="OFF",D1208="Congé",D1208="Congé spécial",D1208="Congé sans solde"),0.208333333333334,IF(AND(AG1208="",F1208-D1208&lt;0),("24:00:00"-D1208)+("00:00:00"+F1208)-0.0416666666666667,IF(AND(OR(AG1208="Allaitement",AG1208="Sans déjeuner"),F1208-D1208&lt;0),("24:00:00"-D1208)+("00:00:00"+F1208),IF(AND(AG1208="",F1208-D1208&gt;0.166666666666667),F1208-D1208-0.0416666666666667,IF(AND(OR(AG1208="Allaitement",AG1208="Sans déjeuner"),F1208-D1208&gt;0.166666666666667),F1208-D1208,F1208-D1208)))))))</f>
        <v>0.333333333333333</v>
      </c>
      <c r="P1208" s="6" t="str">
        <f aca="false">IFERROR(VLOOKUP($B1208,Agents!$A:$D,2,0),"-")</f>
        <v>Accessibilité</v>
      </c>
      <c r="Q1208" s="21" t="n">
        <v>46325</v>
      </c>
      <c r="R1208" s="8" t="n">
        <f aca="false">IF(M1208="Abs",O1208,0)</f>
        <v>0.333333333333333</v>
      </c>
      <c r="S1208" s="8" t="n">
        <f aca="false">SUM(R1208,L1208,I1208,J1208,W1208,H1208)</f>
        <v>0.333333333333333</v>
      </c>
      <c r="T1208" s="6" t="str">
        <f aca="false">"Sem - "&amp;WEEKNUM(Q1208,21)</f>
        <v>Sem - 44</v>
      </c>
      <c r="U1208" s="6" t="str">
        <f aca="false">CHOOSE(MONTH(Q1208),"Janvier","Février","Mars","Avril","Mai","Juin","Juillet","Août","Septembre","Octobre","Novembre","Décembre")</f>
        <v>Octobre</v>
      </c>
      <c r="V1208" s="22" t="n">
        <f aca="false">YEAR(Q1208)</f>
        <v>2026</v>
      </c>
      <c r="W1208" s="20"/>
      <c r="X1208" s="8" t="n">
        <f aca="false">IFERROR(IF(M1208="Abs",0,IF(ROUND((D1208-C1208+E1208-F1208)*1440,0)&lt;=1,0,D1208-C1208+E1208-F1208)),0)</f>
        <v>0</v>
      </c>
      <c r="Y1208" s="6" t="str">
        <f aca="false">IFERROR(VLOOKUP($B1208,Agents!$A:$D,3,0),"-")</f>
        <v>OUBRAHIM Mohammed</v>
      </c>
      <c r="Z1208" s="6" t="str">
        <f aca="false">IFERROR(VLOOKUP($B1208,Agents!$A:$D,4,0),"-")</f>
        <v>Credit Mutuel</v>
      </c>
      <c r="AA1208" s="18" t="s">
        <v>127</v>
      </c>
      <c r="AB1208" s="8" t="str">
        <f aca="false">IF(AND(D1208="Congé",F1208="Congé"),0.333333333333333,IF(OR(AND(D1208="Congé",F1208&lt;&gt;"Congé"),(AND(F1208="Congé",D1208&lt;&gt;"Congé"))),0.166666666666667,""))</f>
        <v/>
      </c>
      <c r="AC1208" s="8" t="str">
        <f aca="false">IF(AND(D1208="Congé sans solde",F1208="Congé sans solde"),0.333333333333333,IF(OR(AND(D1208="Congé sans solde",F1208&lt;&gt;"Congé sans solde"),(AND(F1208="Congé sans solde",D1208&lt;&gt;"Congé sans solde"))),0.166666666666667,""))</f>
        <v/>
      </c>
      <c r="AD1208" s="8" t="str">
        <f aca="false">IF(AND(D1208="Congé spécial",F1208="Congé spécial"),0.333333333333333,IF(OR(AND(D1208="Congé spécial",F1208&lt;&gt;"Congé spécial"),AND(F1208="Congé spécial",D1208&lt;&gt;"Congé spécial")),0.166666666666667,""))</f>
        <v/>
      </c>
      <c r="AE1208" s="8" t="str">
        <f aca="false">IF(AND(D1208="Férié",F1208="Férié"),0.333333333333333,IF(OR(AND(D1208="Férié",F1208&lt;&gt;"Férié"),(AND(F1208="Férié",D1208&lt;&gt;"Férié"))),0.166666666666667,""))</f>
        <v/>
      </c>
      <c r="AF1208" s="18"/>
      <c r="AG1208" s="18"/>
    </row>
    <row r="1209" customFormat="false" ht="15" hidden="false" customHeight="false" outlineLevel="0" collapsed="false">
      <c r="A1209" s="6" t="str">
        <f aca="false">YEAR(Q1209-WEEKDAY(Q1209,2)+4)&amp;"-S"&amp;TEXT(WEEKNUM(Q1209,21),"00")</f>
        <v>2026-S44</v>
      </c>
      <c r="B1209" s="18" t="s">
        <v>72</v>
      </c>
      <c r="C1209" s="19"/>
      <c r="D1209" s="19" t="n">
        <v>0.333333333333333</v>
      </c>
      <c r="E1209" s="19"/>
      <c r="F1209" s="19" t="n">
        <v>0.708333333333333</v>
      </c>
      <c r="G1209" s="20"/>
      <c r="H1209" s="20"/>
      <c r="I1209" s="8" t="str">
        <f aca="false">IF(IF(OR(C1209="",D1209="Congé",D1209="OFF",D1209="Congé spécial"),"",IF(D1209&gt;F1209,D1209-C1209,IF(C1209-D1209&lt;0,0,C1209-D1209)))&lt;0.00068287037037037,"",IF(OR(D1209="Congé",D1209="OFF",C1209="",D1209="Congé spécial"),"",IF(D1209&gt;F1209,D1209-C1209,IF(C1209-D1209&lt;0,0,C1209-D1209))))</f>
        <v/>
      </c>
      <c r="J1209" s="20"/>
      <c r="K1209" s="8" t="n">
        <f aca="false">IF(SUM(H1209:J1209)&lt;0.00068287037037037,0,SUM(H1209:J1209))</f>
        <v>0</v>
      </c>
      <c r="L1209" s="8" t="n">
        <f aca="false">IF(OR(F1209="Congé",F1209="OFF",M1209="Abs",F1209="Congé sans solde",F1209="Férié",F1209="Congé spécial",D1209="Congé spécial"),0,IF(F1209-E1209&lt;0,0,IF(F1209-E1209&lt;=0.00068287037037037,0,F1209-E1209)))</f>
        <v>0</v>
      </c>
      <c r="M1209" s="6" t="str">
        <f aca="false">IF(AND(O1209&lt;&gt;0,C1209=""),"Abs",0)</f>
        <v>Abs</v>
      </c>
      <c r="N1209" s="8" t="str">
        <f aca="false">IFERROR(IF(OR(D1209="OFF",D1209="Congé",M1209="Abs",D1209="Congé sans solde",D1209="Férié"),"",IF(O1209-K1209-L1209&gt;O1209,O1209,IF(O1209-K1209-L1209&lt;0,"",O1209-K1209-L1209))),"")</f>
        <v/>
      </c>
      <c r="O1209" s="8" t="n">
        <f aca="false">IF(AG1209="2H Pause déjeuner",IF(F1209-D1209-0.0833333333333333&lt;0,F1209-D1209-0.0833333333333333+1,F1209-D1209-0.0833333333333333),IF(OR(AND(F1209="OFF",D1209="OFF"),AND(F1209="Congé",D1209="Congé"),AND(F1209="Congé sans solde",D1209="Congé sans solde"),AND(F1209="Congé spécial",D1209="Congé spécial"),AND(F1209="Férié",D1209="Férié"),AND(F1209="OFF",D1209="Congé"),AND(F1209="OFF",D1209="Congé sans solde"),AND(F1209="OFF",D1209="Congé spécial"),AND(F1209="OFF",D1209="Férié"),AND(F1209="Congé",D1209="OFF"),AND(F1209="Congé",D1209="Congé sans solde"),AND(F1209="Congé",D1209="Congé spécial"),AND(F1209="Congé",D1209="Férié"),AND(F1209="Congé sans solde",D1209="OFF"),AND(F1209="Congé sans solde",D1209="Congé"),AND(F1209="Congé sans solde",D1209="Congé spécial"),AND(F1209="Congé sans solde",D1209="Férié"),AND(F1209="Congé spécial",D1209="OFF"),AND(F1209="Congé spécial",D1209="Congé"),AND(F1209="Congé spécial",D1209="Congé sans solde"),AND(F1209="Congé spécial",D1209="Férié"),AND(F1209="Férié",D1209="OFF"),AND(F1209="Férié",D1209="Congé"),AND(F1209="Férié",D1209="Congé sans solde"),AND(F1209="Férié",D1209="Congé spécial")),0,IF(OR(F1209="OFF",F1209="Congé",F1209="Congé spécial",F1209="Congé sans solde",D1209="OFF",D1209="Congé",D1209="Congé spécial",D1209="Congé sans solde"),0.208333333333334,IF(AND(AG1209="",F1209-D1209&lt;0),("24:00:00"-D1209)+("00:00:00"+F1209)-0.0416666666666667,IF(AND(OR(AG1209="Allaitement",AG1209="Sans déjeuner"),F1209-D1209&lt;0),("24:00:00"-D1209)+("00:00:00"+F1209),IF(AND(AG1209="",F1209-D1209&gt;0.166666666666667),F1209-D1209-0.0416666666666667,IF(AND(OR(AG1209="Allaitement",AG1209="Sans déjeuner"),F1209-D1209&gt;0.166666666666667),F1209-D1209,F1209-D1209)))))))</f>
        <v>0.333333333333333</v>
      </c>
      <c r="P1209" s="6" t="str">
        <f aca="false">IFERROR(VLOOKUP($B1209,Agents!$A:$D,2,0),"-")</f>
        <v>Accessibilité</v>
      </c>
      <c r="Q1209" s="21" t="n">
        <v>46325</v>
      </c>
      <c r="R1209" s="8" t="n">
        <f aca="false">IF(M1209="Abs",O1209,0)</f>
        <v>0.333333333333333</v>
      </c>
      <c r="S1209" s="8" t="n">
        <f aca="false">SUM(R1209,L1209,I1209,J1209,W1209,H1209)</f>
        <v>0.333333333333333</v>
      </c>
      <c r="T1209" s="6" t="str">
        <f aca="false">"Sem - "&amp;WEEKNUM(Q1209,21)</f>
        <v>Sem - 44</v>
      </c>
      <c r="U1209" s="6" t="str">
        <f aca="false">CHOOSE(MONTH(Q1209),"Janvier","Février","Mars","Avril","Mai","Juin","Juillet","Août","Septembre","Octobre","Novembre","Décembre")</f>
        <v>Octobre</v>
      </c>
      <c r="V1209" s="22" t="n">
        <f aca="false">YEAR(Q1209)</f>
        <v>2026</v>
      </c>
      <c r="W1209" s="20"/>
      <c r="X1209" s="8" t="n">
        <f aca="false">IFERROR(IF(M1209="Abs",0,IF(ROUND((D1209-C1209+E1209-F1209)*1440,0)&lt;=1,0,D1209-C1209+E1209-F1209)),0)</f>
        <v>0</v>
      </c>
      <c r="Y1209" s="6" t="str">
        <f aca="false">IFERROR(VLOOKUP($B1209,Agents!$A:$D,3,0),"-")</f>
        <v>OUBRAHIM Mohammed</v>
      </c>
      <c r="Z1209" s="6" t="str">
        <f aca="false">IFERROR(VLOOKUP($B1209,Agents!$A:$D,4,0),"-")</f>
        <v>Credit Mutuel</v>
      </c>
      <c r="AA1209" s="18" t="s">
        <v>127</v>
      </c>
      <c r="AB1209" s="8" t="str">
        <f aca="false">IF(AND(D1209="Congé",F1209="Congé"),0.333333333333333,IF(OR(AND(D1209="Congé",F1209&lt;&gt;"Congé"),(AND(F1209="Congé",D1209&lt;&gt;"Congé"))),0.166666666666667,""))</f>
        <v/>
      </c>
      <c r="AC1209" s="8" t="str">
        <f aca="false">IF(AND(D1209="Congé sans solde",F1209="Congé sans solde"),0.333333333333333,IF(OR(AND(D1209="Congé sans solde",F1209&lt;&gt;"Congé sans solde"),(AND(F1209="Congé sans solde",D1209&lt;&gt;"Congé sans solde"))),0.166666666666667,""))</f>
        <v/>
      </c>
      <c r="AD1209" s="8" t="str">
        <f aca="false">IF(AND(D1209="Congé spécial",F1209="Congé spécial"),0.333333333333333,IF(OR(AND(D1209="Congé spécial",F1209&lt;&gt;"Congé spécial"),AND(F1209="Congé spécial",D1209&lt;&gt;"Congé spécial")),0.166666666666667,""))</f>
        <v/>
      </c>
      <c r="AE1209" s="8" t="str">
        <f aca="false">IF(AND(D1209="Férié",F1209="Férié"),0.333333333333333,IF(OR(AND(D1209="Férié",F1209&lt;&gt;"Férié"),(AND(F1209="Férié",D1209&lt;&gt;"Férié"))),0.166666666666667,""))</f>
        <v/>
      </c>
      <c r="AF1209" s="18"/>
      <c r="AG1209" s="18"/>
    </row>
    <row r="1210" customFormat="false" ht="15" hidden="false" customHeight="false" outlineLevel="0" collapsed="false">
      <c r="A1210" s="6" t="str">
        <f aca="false">YEAR(Q1210-WEEKDAY(Q1210,2)+4)&amp;"-S"&amp;TEXT(WEEKNUM(Q1210,21),"00")</f>
        <v>2026-S44</v>
      </c>
      <c r="B1210" s="18" t="s">
        <v>73</v>
      </c>
      <c r="C1210" s="19"/>
      <c r="D1210" s="19" t="n">
        <v>0.333333333333333</v>
      </c>
      <c r="E1210" s="19"/>
      <c r="F1210" s="19" t="n">
        <v>0.708333333333333</v>
      </c>
      <c r="G1210" s="20"/>
      <c r="H1210" s="20"/>
      <c r="I1210" s="8" t="str">
        <f aca="false">IF(IF(OR(C1210="",D1210="Congé",D1210="OFF",D1210="Congé spécial"),"",IF(D1210&gt;F1210,D1210-C1210,IF(C1210-D1210&lt;0,0,C1210-D1210)))&lt;0.00068287037037037,"",IF(OR(D1210="Congé",D1210="OFF",C1210="",D1210="Congé spécial"),"",IF(D1210&gt;F1210,D1210-C1210,IF(C1210-D1210&lt;0,0,C1210-D1210))))</f>
        <v/>
      </c>
      <c r="J1210" s="20"/>
      <c r="K1210" s="8" t="n">
        <f aca="false">IF(SUM(H1210:J1210)&lt;0.00068287037037037,0,SUM(H1210:J1210))</f>
        <v>0</v>
      </c>
      <c r="L1210" s="8" t="n">
        <f aca="false">IF(OR(F1210="Congé",F1210="OFF",M1210="Abs",F1210="Congé sans solde",F1210="Férié",F1210="Congé spécial",D1210="Congé spécial"),0,IF(F1210-E1210&lt;0,0,IF(F1210-E1210&lt;=0.00068287037037037,0,F1210-E1210)))</f>
        <v>0</v>
      </c>
      <c r="M1210" s="6" t="str">
        <f aca="false">IF(AND(O1210&lt;&gt;0,C1210=""),"Abs",0)</f>
        <v>Abs</v>
      </c>
      <c r="N1210" s="8" t="str">
        <f aca="false">IFERROR(IF(OR(D1210="OFF",D1210="Congé",M1210="Abs",D1210="Congé sans solde",D1210="Férié"),"",IF(O1210-K1210-L1210&gt;O1210,O1210,IF(O1210-K1210-L1210&lt;0,"",O1210-K1210-L1210))),"")</f>
        <v/>
      </c>
      <c r="O1210" s="8" t="n">
        <f aca="false">IF(AG1210="2H Pause déjeuner",IF(F1210-D1210-0.0833333333333333&lt;0,F1210-D1210-0.0833333333333333+1,F1210-D1210-0.0833333333333333),IF(OR(AND(F1210="OFF",D1210="OFF"),AND(F1210="Congé",D1210="Congé"),AND(F1210="Congé sans solde",D1210="Congé sans solde"),AND(F1210="Congé spécial",D1210="Congé spécial"),AND(F1210="Férié",D1210="Férié"),AND(F1210="OFF",D1210="Congé"),AND(F1210="OFF",D1210="Congé sans solde"),AND(F1210="OFF",D1210="Congé spécial"),AND(F1210="OFF",D1210="Férié"),AND(F1210="Congé",D1210="OFF"),AND(F1210="Congé",D1210="Congé sans solde"),AND(F1210="Congé",D1210="Congé spécial"),AND(F1210="Congé",D1210="Férié"),AND(F1210="Congé sans solde",D1210="OFF"),AND(F1210="Congé sans solde",D1210="Congé"),AND(F1210="Congé sans solde",D1210="Congé spécial"),AND(F1210="Congé sans solde",D1210="Férié"),AND(F1210="Congé spécial",D1210="OFF"),AND(F1210="Congé spécial",D1210="Congé"),AND(F1210="Congé spécial",D1210="Congé sans solde"),AND(F1210="Congé spécial",D1210="Férié"),AND(F1210="Férié",D1210="OFF"),AND(F1210="Férié",D1210="Congé"),AND(F1210="Férié",D1210="Congé sans solde"),AND(F1210="Férié",D1210="Congé spécial")),0,IF(OR(F1210="OFF",F1210="Congé",F1210="Congé spécial",F1210="Congé sans solde",D1210="OFF",D1210="Congé",D1210="Congé spécial",D1210="Congé sans solde"),0.208333333333334,IF(AND(AG1210="",F1210-D1210&lt;0),("24:00:00"-D1210)+("00:00:00"+F1210)-0.0416666666666667,IF(AND(OR(AG1210="Allaitement",AG1210="Sans déjeuner"),F1210-D1210&lt;0),("24:00:00"-D1210)+("00:00:00"+F1210),IF(AND(AG1210="",F1210-D1210&gt;0.166666666666667),F1210-D1210-0.0416666666666667,IF(AND(OR(AG1210="Allaitement",AG1210="Sans déjeuner"),F1210-D1210&gt;0.166666666666667),F1210-D1210,F1210-D1210)))))))</f>
        <v>0.333333333333333</v>
      </c>
      <c r="P1210" s="6" t="str">
        <f aca="false">IFERROR(VLOOKUP($B1210,Agents!$A:$D,2,0),"-")</f>
        <v>Accessibilité</v>
      </c>
      <c r="Q1210" s="21" t="n">
        <v>46325</v>
      </c>
      <c r="R1210" s="8" t="n">
        <f aca="false">IF(M1210="Abs",O1210,0)</f>
        <v>0.333333333333333</v>
      </c>
      <c r="S1210" s="8" t="n">
        <f aca="false">SUM(R1210,L1210,I1210,J1210,W1210,H1210)</f>
        <v>0.333333333333333</v>
      </c>
      <c r="T1210" s="6" t="str">
        <f aca="false">"Sem - "&amp;WEEKNUM(Q1210,21)</f>
        <v>Sem - 44</v>
      </c>
      <c r="U1210" s="6" t="str">
        <f aca="false">CHOOSE(MONTH(Q1210),"Janvier","Février","Mars","Avril","Mai","Juin","Juillet","Août","Septembre","Octobre","Novembre","Décembre")</f>
        <v>Octobre</v>
      </c>
      <c r="V1210" s="22" t="n">
        <f aca="false">YEAR(Q1210)</f>
        <v>2026</v>
      </c>
      <c r="W1210" s="20"/>
      <c r="X1210" s="8" t="n">
        <f aca="false">IFERROR(IF(M1210="Abs",0,IF(ROUND((D1210-C1210+E1210-F1210)*1440,0)&lt;=1,0,D1210-C1210+E1210-F1210)),0)</f>
        <v>0</v>
      </c>
      <c r="Y1210" s="6" t="str">
        <f aca="false">IFERROR(VLOOKUP($B1210,Agents!$A:$D,3,0),"-")</f>
        <v>OUBRAHIM Mohammed</v>
      </c>
      <c r="Z1210" s="6" t="str">
        <f aca="false">IFERROR(VLOOKUP($B1210,Agents!$A:$D,4,0),"-")</f>
        <v>Credit Mutuel</v>
      </c>
      <c r="AA1210" s="18" t="s">
        <v>127</v>
      </c>
      <c r="AB1210" s="8" t="str">
        <f aca="false">IF(AND(D1210="Congé",F1210="Congé"),0.333333333333333,IF(OR(AND(D1210="Congé",F1210&lt;&gt;"Congé"),(AND(F1210="Congé",D1210&lt;&gt;"Congé"))),0.166666666666667,""))</f>
        <v/>
      </c>
      <c r="AC1210" s="8" t="str">
        <f aca="false">IF(AND(D1210="Congé sans solde",F1210="Congé sans solde"),0.333333333333333,IF(OR(AND(D1210="Congé sans solde",F1210&lt;&gt;"Congé sans solde"),(AND(F1210="Congé sans solde",D1210&lt;&gt;"Congé sans solde"))),0.166666666666667,""))</f>
        <v/>
      </c>
      <c r="AD1210" s="8" t="str">
        <f aca="false">IF(AND(D1210="Congé spécial",F1210="Congé spécial"),0.333333333333333,IF(OR(AND(D1210="Congé spécial",F1210&lt;&gt;"Congé spécial"),AND(F1210="Congé spécial",D1210&lt;&gt;"Congé spécial")),0.166666666666667,""))</f>
        <v/>
      </c>
      <c r="AE1210" s="8" t="str">
        <f aca="false">IF(AND(D1210="Férié",F1210="Férié"),0.333333333333333,IF(OR(AND(D1210="Férié",F1210&lt;&gt;"Férié"),(AND(F1210="Férié",D1210&lt;&gt;"Férié"))),0.166666666666667,""))</f>
        <v/>
      </c>
      <c r="AF1210" s="18"/>
      <c r="AG1210" s="18"/>
    </row>
    <row r="1211" customFormat="false" ht="15" hidden="false" customHeight="false" outlineLevel="0" collapsed="false">
      <c r="A1211" s="6" t="str">
        <f aca="false">YEAR(Q1211-WEEKDAY(Q1211,2)+4)&amp;"-S"&amp;TEXT(WEEKNUM(Q1211,21),"00")</f>
        <v>2026-S44</v>
      </c>
      <c r="B1211" s="18" t="s">
        <v>124</v>
      </c>
      <c r="C1211" s="19"/>
      <c r="D1211" s="19" t="n">
        <v>0.333333333333333</v>
      </c>
      <c r="E1211" s="19"/>
      <c r="F1211" s="19" t="n">
        <v>0.708333333333333</v>
      </c>
      <c r="G1211" s="20"/>
      <c r="H1211" s="20"/>
      <c r="I1211" s="8" t="str">
        <f aca="false">IF(IF(OR(C1211="",D1211="Congé",D1211="OFF",D1211="Congé spécial"),"",IF(D1211&gt;F1211,D1211-C1211,IF(C1211-D1211&lt;0,0,C1211-D1211)))&lt;0.00068287037037037,"",IF(OR(D1211="Congé",D1211="OFF",C1211="",D1211="Congé spécial"),"",IF(D1211&gt;F1211,D1211-C1211,IF(C1211-D1211&lt;0,0,C1211-D1211))))</f>
        <v/>
      </c>
      <c r="J1211" s="20"/>
      <c r="K1211" s="8" t="n">
        <f aca="false">IF(SUM(H1211:J1211)&lt;0.00068287037037037,0,SUM(H1211:J1211))</f>
        <v>0</v>
      </c>
      <c r="L1211" s="8" t="n">
        <f aca="false">IF(OR(F1211="Congé",F1211="OFF",M1211="Abs",F1211="Congé sans solde",F1211="Férié",F1211="Congé spécial",D1211="Congé spécial"),0,IF(F1211-E1211&lt;0,0,IF(F1211-E1211&lt;=0.00068287037037037,0,F1211-E1211)))</f>
        <v>0</v>
      </c>
      <c r="M1211" s="6" t="str">
        <f aca="false">IF(AND(O1211&lt;&gt;0,C1211=""),"Abs",0)</f>
        <v>Abs</v>
      </c>
      <c r="N1211" s="8" t="str">
        <f aca="false">IFERROR(IF(OR(D1211="OFF",D1211="Congé",M1211="Abs",D1211="Congé sans solde",D1211="Férié"),"",IF(O1211-K1211-L1211&gt;O1211,O1211,IF(O1211-K1211-L1211&lt;0,"",O1211-K1211-L1211))),"")</f>
        <v/>
      </c>
      <c r="O1211" s="8" t="n">
        <f aca="false">IF(AG1211="2H Pause déjeuner",IF(F1211-D1211-0.0833333333333333&lt;0,F1211-D1211-0.0833333333333333+1,F1211-D1211-0.0833333333333333),IF(OR(AND(F1211="OFF",D1211="OFF"),AND(F1211="Congé",D1211="Congé"),AND(F1211="Congé sans solde",D1211="Congé sans solde"),AND(F1211="Congé spécial",D1211="Congé spécial"),AND(F1211="Férié",D1211="Férié"),AND(F1211="OFF",D1211="Congé"),AND(F1211="OFF",D1211="Congé sans solde"),AND(F1211="OFF",D1211="Congé spécial"),AND(F1211="OFF",D1211="Férié"),AND(F1211="Congé",D1211="OFF"),AND(F1211="Congé",D1211="Congé sans solde"),AND(F1211="Congé",D1211="Congé spécial"),AND(F1211="Congé",D1211="Férié"),AND(F1211="Congé sans solde",D1211="OFF"),AND(F1211="Congé sans solde",D1211="Congé"),AND(F1211="Congé sans solde",D1211="Congé spécial"),AND(F1211="Congé sans solde",D1211="Férié"),AND(F1211="Congé spécial",D1211="OFF"),AND(F1211="Congé spécial",D1211="Congé"),AND(F1211="Congé spécial",D1211="Congé sans solde"),AND(F1211="Congé spécial",D1211="Férié"),AND(F1211="Férié",D1211="OFF"),AND(F1211="Férié",D1211="Congé"),AND(F1211="Férié",D1211="Congé sans solde"),AND(F1211="Férié",D1211="Congé spécial")),0,IF(OR(F1211="OFF",F1211="Congé",F1211="Congé spécial",F1211="Congé sans solde",D1211="OFF",D1211="Congé",D1211="Congé spécial",D1211="Congé sans solde"),0.208333333333334,IF(AND(AG1211="",F1211-D1211&lt;0),("24:00:00"-D1211)+("00:00:00"+F1211)-0.0416666666666667,IF(AND(OR(AG1211="Allaitement",AG1211="Sans déjeuner"),F1211-D1211&lt;0),("24:00:00"-D1211)+("00:00:00"+F1211),IF(AND(AG1211="",F1211-D1211&gt;0.166666666666667),F1211-D1211-0.0416666666666667,IF(AND(OR(AG1211="Allaitement",AG1211="Sans déjeuner"),F1211-D1211&gt;0.166666666666667),F1211-D1211,F1211-D1211)))))))</f>
        <v>0.333333333333333</v>
      </c>
      <c r="P1211" s="6" t="str">
        <f aca="false">IFERROR(VLOOKUP($B1211,Agents!$A:$D,2,0),"-")</f>
        <v>Accessibilité</v>
      </c>
      <c r="Q1211" s="21" t="n">
        <v>46325</v>
      </c>
      <c r="R1211" s="8" t="n">
        <f aca="false">IF(M1211="Abs",O1211,0)</f>
        <v>0.333333333333333</v>
      </c>
      <c r="S1211" s="8" t="n">
        <f aca="false">SUM(R1211,L1211,I1211,J1211,W1211,H1211)</f>
        <v>0.333333333333333</v>
      </c>
      <c r="T1211" s="6" t="str">
        <f aca="false">"Sem - "&amp;WEEKNUM(Q1211,21)</f>
        <v>Sem - 44</v>
      </c>
      <c r="U1211" s="6" t="str">
        <f aca="false">CHOOSE(MONTH(Q1211),"Janvier","Février","Mars","Avril","Mai","Juin","Juillet","Août","Septembre","Octobre","Novembre","Décembre")</f>
        <v>Octobre</v>
      </c>
      <c r="V1211" s="22" t="n">
        <f aca="false">YEAR(Q1211)</f>
        <v>2026</v>
      </c>
      <c r="W1211" s="20"/>
      <c r="X1211" s="8" t="n">
        <f aca="false">IFERROR(IF(M1211="Abs",0,IF(ROUND((D1211-C1211+E1211-F1211)*1440,0)&lt;=1,0,D1211-C1211+E1211-F1211)),0)</f>
        <v>0</v>
      </c>
      <c r="Y1211" s="6" t="str">
        <f aca="false">IFERROR(VLOOKUP($B1211,Agents!$A:$D,3,0),"-")</f>
        <v>OUBRAHIM Mohammed</v>
      </c>
      <c r="Z1211" s="6" t="str">
        <f aca="false">IFERROR(VLOOKUP($B1211,Agents!$A:$D,4,0),"-")</f>
        <v>Credit Mutuel</v>
      </c>
      <c r="AA1211" s="18" t="s">
        <v>127</v>
      </c>
      <c r="AB1211" s="8" t="str">
        <f aca="false">IF(AND(D1211="Congé",F1211="Congé"),0.333333333333333,IF(OR(AND(D1211="Congé",F1211&lt;&gt;"Congé"),(AND(F1211="Congé",D1211&lt;&gt;"Congé"))),0.166666666666667,""))</f>
        <v/>
      </c>
      <c r="AC1211" s="8" t="str">
        <f aca="false">IF(AND(D1211="Congé sans solde",F1211="Congé sans solde"),0.333333333333333,IF(OR(AND(D1211="Congé sans solde",F1211&lt;&gt;"Congé sans solde"),(AND(F1211="Congé sans solde",D1211&lt;&gt;"Congé sans solde"))),0.166666666666667,""))</f>
        <v/>
      </c>
      <c r="AD1211" s="8" t="str">
        <f aca="false">IF(AND(D1211="Congé spécial",F1211="Congé spécial"),0.333333333333333,IF(OR(AND(D1211="Congé spécial",F1211&lt;&gt;"Congé spécial"),AND(F1211="Congé spécial",D1211&lt;&gt;"Congé spécial")),0.166666666666667,""))</f>
        <v/>
      </c>
      <c r="AE1211" s="8" t="str">
        <f aca="false">IF(AND(D1211="Férié",F1211="Férié"),0.333333333333333,IF(OR(AND(D1211="Férié",F1211&lt;&gt;"Férié"),(AND(F1211="Férié",D1211&lt;&gt;"Férié"))),0.166666666666667,""))</f>
        <v/>
      </c>
      <c r="AF1211" s="18"/>
      <c r="AG1211" s="18"/>
    </row>
    <row r="1212" customFormat="false" ht="15" hidden="false" customHeight="false" outlineLevel="0" collapsed="false">
      <c r="A1212" s="6" t="str">
        <f aca="false">YEAR(Q1212-WEEKDAY(Q1212,2)+4)&amp;"-S"&amp;TEXT(WEEKNUM(Q1212,21),"00")</f>
        <v>2026-S44</v>
      </c>
      <c r="B1212" s="18" t="s">
        <v>71</v>
      </c>
      <c r="C1212" s="19"/>
      <c r="D1212" s="19" t="s">
        <v>74</v>
      </c>
      <c r="E1212" s="19"/>
      <c r="F1212" s="19" t="s">
        <v>74</v>
      </c>
      <c r="G1212" s="20"/>
      <c r="H1212" s="20"/>
      <c r="I1212" s="8" t="str">
        <f aca="false">IF(IF(OR(C1212="",D1212="Congé",D1212="OFF",D1212="Congé spécial"),"",IF(D1212&gt;F1212,D1212-C1212,IF(C1212-D1212&lt;0,0,C1212-D1212)))&lt;0.00068287037037037,"",IF(OR(D1212="Congé",D1212="OFF",C1212="",D1212="Congé spécial"),"",IF(D1212&gt;F1212,D1212-C1212,IF(C1212-D1212&lt;0,0,C1212-D1212))))</f>
        <v/>
      </c>
      <c r="J1212" s="20"/>
      <c r="K1212" s="8" t="n">
        <f aca="false">IF(SUM(H1212:J1212)&lt;0.00068287037037037,0,SUM(H1212:J1212))</f>
        <v>0</v>
      </c>
      <c r="L1212" s="8" t="n">
        <f aca="false">IF(OR(F1212="Congé",F1212="OFF",M1212="Abs",F1212="Congé sans solde",F1212="Férié",F1212="Congé spécial",D1212="Congé spécial"),0,IF(F1212-E1212&lt;0,0,IF(F1212-E1212&lt;=0.00068287037037037,0,F1212-E1212)))</f>
        <v>0</v>
      </c>
      <c r="M1212" s="6" t="n">
        <f aca="false">IF(AND(O1212&lt;&gt;0,C1212=""),"Abs",0)</f>
        <v>0</v>
      </c>
      <c r="N1212" s="8" t="str">
        <f aca="false">IFERROR(IF(OR(D1212="OFF",D1212="Congé",M1212="Abs",D1212="Congé sans solde",D1212="Férié"),"",IF(O1212-K1212-L1212&gt;O1212,O1212,IF(O1212-K1212-L1212&lt;0,"",O1212-K1212-L1212))),"")</f>
        <v/>
      </c>
      <c r="O1212" s="8" t="n">
        <f aca="false">IF(AG1212="2H Pause déjeuner",IF(F1212-D1212-0.0833333333333333&lt;0,F1212-D1212-0.0833333333333333+1,F1212-D1212-0.0833333333333333),IF(OR(AND(F1212="OFF",D1212="OFF"),AND(F1212="Congé",D1212="Congé"),AND(F1212="Congé sans solde",D1212="Congé sans solde"),AND(F1212="Congé spécial",D1212="Congé spécial"),AND(F1212="Férié",D1212="Férié"),AND(F1212="OFF",D1212="Congé"),AND(F1212="OFF",D1212="Congé sans solde"),AND(F1212="OFF",D1212="Congé spécial"),AND(F1212="OFF",D1212="Férié"),AND(F1212="Congé",D1212="OFF"),AND(F1212="Congé",D1212="Congé sans solde"),AND(F1212="Congé",D1212="Congé spécial"),AND(F1212="Congé",D1212="Férié"),AND(F1212="Congé sans solde",D1212="OFF"),AND(F1212="Congé sans solde",D1212="Congé"),AND(F1212="Congé sans solde",D1212="Congé spécial"),AND(F1212="Congé sans solde",D1212="Férié"),AND(F1212="Congé spécial",D1212="OFF"),AND(F1212="Congé spécial",D1212="Congé"),AND(F1212="Congé spécial",D1212="Congé sans solde"),AND(F1212="Congé spécial",D1212="Férié"),AND(F1212="Férié",D1212="OFF"),AND(F1212="Férié",D1212="Congé"),AND(F1212="Férié",D1212="Congé sans solde"),AND(F1212="Férié",D1212="Congé spécial")),0,IF(OR(F1212="OFF",F1212="Congé",F1212="Congé spécial",F1212="Congé sans solde",D1212="OFF",D1212="Congé",D1212="Congé spécial",D1212="Congé sans solde"),0.208333333333334,IF(AND(AG1212="",F1212-D1212&lt;0),("24:00:00"-D1212)+("00:00:00"+F1212)-0.0416666666666667,IF(AND(OR(AG1212="Allaitement",AG1212="Sans déjeuner"),F1212-D1212&lt;0),("24:00:00"-D1212)+("00:00:00"+F1212),IF(AND(AG1212="",F1212-D1212&gt;0.166666666666667),F1212-D1212-0.0416666666666667,IF(AND(OR(AG1212="Allaitement",AG1212="Sans déjeuner"),F1212-D1212&gt;0.166666666666667),F1212-D1212,F1212-D1212)))))))</f>
        <v>0</v>
      </c>
      <c r="P1212" s="6" t="str">
        <f aca="false">IFERROR(VLOOKUP($B1212,Agents!$A:$D,2,0),"-")</f>
        <v>Accessibilité</v>
      </c>
      <c r="Q1212" s="21" t="n">
        <v>46326</v>
      </c>
      <c r="R1212" s="8" t="n">
        <f aca="false">IF(M1212="Abs",O1212,0)</f>
        <v>0</v>
      </c>
      <c r="S1212" s="8" t="n">
        <f aca="false">SUM(R1212,L1212,I1212,J1212,W1212,H1212)</f>
        <v>0</v>
      </c>
      <c r="T1212" s="6" t="str">
        <f aca="false">"Sem - "&amp;WEEKNUM(Q1212,21)</f>
        <v>Sem - 44</v>
      </c>
      <c r="U1212" s="6" t="str">
        <f aca="false">CHOOSE(MONTH(Q1212),"Janvier","Février","Mars","Avril","Mai","Juin","Juillet","Août","Septembre","Octobre","Novembre","Décembre")</f>
        <v>Octobre</v>
      </c>
      <c r="V1212" s="22" t="n">
        <f aca="false">YEAR(Q1212)</f>
        <v>2026</v>
      </c>
      <c r="W1212" s="20"/>
      <c r="X1212" s="8" t="n">
        <f aca="false">IFERROR(IF(M1212="Abs",0,IF(ROUND((D1212-C1212+E1212-F1212)*1440,0)&lt;=1,0,D1212-C1212+E1212-F1212)),0)</f>
        <v>0</v>
      </c>
      <c r="Y1212" s="6" t="str">
        <f aca="false">IFERROR(VLOOKUP($B1212,Agents!$A:$D,3,0),"-")</f>
        <v>OUBRAHIM Mohammed</v>
      </c>
      <c r="Z1212" s="6" t="str">
        <f aca="false">IFERROR(VLOOKUP($B1212,Agents!$A:$D,4,0),"-")</f>
        <v>Credit Mutuel</v>
      </c>
      <c r="AA1212" s="18" t="s">
        <v>127</v>
      </c>
      <c r="AB1212" s="8" t="str">
        <f aca="false">IF(AND(D1212="Congé",F1212="Congé"),0.333333333333333,IF(OR(AND(D1212="Congé",F1212&lt;&gt;"Congé"),(AND(F1212="Congé",D1212&lt;&gt;"Congé"))),0.166666666666667,""))</f>
        <v/>
      </c>
      <c r="AC1212" s="8" t="str">
        <f aca="false">IF(AND(D1212="Congé sans solde",F1212="Congé sans solde"),0.333333333333333,IF(OR(AND(D1212="Congé sans solde",F1212&lt;&gt;"Congé sans solde"),(AND(F1212="Congé sans solde",D1212&lt;&gt;"Congé sans solde"))),0.166666666666667,""))</f>
        <v/>
      </c>
      <c r="AD1212" s="8" t="str">
        <f aca="false">IF(AND(D1212="Congé spécial",F1212="Congé spécial"),0.333333333333333,IF(OR(AND(D1212="Congé spécial",F1212&lt;&gt;"Congé spécial"),AND(F1212="Congé spécial",D1212&lt;&gt;"Congé spécial")),0.166666666666667,""))</f>
        <v/>
      </c>
      <c r="AE1212" s="8" t="str">
        <f aca="false">IF(AND(D1212="Férié",F1212="Férié"),0.333333333333333,IF(OR(AND(D1212="Férié",F1212&lt;&gt;"Férié"),(AND(F1212="Férié",D1212&lt;&gt;"Férié"))),0.166666666666667,""))</f>
        <v/>
      </c>
      <c r="AF1212" s="18"/>
      <c r="AG1212" s="18"/>
    </row>
    <row r="1213" customFormat="false" ht="15" hidden="false" customHeight="false" outlineLevel="0" collapsed="false">
      <c r="A1213" s="6" t="str">
        <f aca="false">YEAR(Q1213-WEEKDAY(Q1213,2)+4)&amp;"-S"&amp;TEXT(WEEKNUM(Q1213,21),"00")</f>
        <v>2026-S44</v>
      </c>
      <c r="B1213" s="18" t="s">
        <v>72</v>
      </c>
      <c r="C1213" s="19"/>
      <c r="D1213" s="19" t="s">
        <v>74</v>
      </c>
      <c r="E1213" s="19"/>
      <c r="F1213" s="19" t="s">
        <v>74</v>
      </c>
      <c r="G1213" s="20"/>
      <c r="H1213" s="20"/>
      <c r="I1213" s="8" t="str">
        <f aca="false">IF(IF(OR(C1213="",D1213="Congé",D1213="OFF",D1213="Congé spécial"),"",IF(D1213&gt;F1213,D1213-C1213,IF(C1213-D1213&lt;0,0,C1213-D1213)))&lt;0.00068287037037037,"",IF(OR(D1213="Congé",D1213="OFF",C1213="",D1213="Congé spécial"),"",IF(D1213&gt;F1213,D1213-C1213,IF(C1213-D1213&lt;0,0,C1213-D1213))))</f>
        <v/>
      </c>
      <c r="J1213" s="20"/>
      <c r="K1213" s="8" t="n">
        <f aca="false">IF(SUM(H1213:J1213)&lt;0.00068287037037037,0,SUM(H1213:J1213))</f>
        <v>0</v>
      </c>
      <c r="L1213" s="8" t="n">
        <f aca="false">IF(OR(F1213="Congé",F1213="OFF",M1213="Abs",F1213="Congé sans solde",F1213="Férié",F1213="Congé spécial",D1213="Congé spécial"),0,IF(F1213-E1213&lt;0,0,IF(F1213-E1213&lt;=0.00068287037037037,0,F1213-E1213)))</f>
        <v>0</v>
      </c>
      <c r="M1213" s="6" t="n">
        <f aca="false">IF(AND(O1213&lt;&gt;0,C1213=""),"Abs",0)</f>
        <v>0</v>
      </c>
      <c r="N1213" s="8" t="str">
        <f aca="false">IFERROR(IF(OR(D1213="OFF",D1213="Congé",M1213="Abs",D1213="Congé sans solde",D1213="Férié"),"",IF(O1213-K1213-L1213&gt;O1213,O1213,IF(O1213-K1213-L1213&lt;0,"",O1213-K1213-L1213))),"")</f>
        <v/>
      </c>
      <c r="O1213" s="8" t="n">
        <f aca="false">IF(AG1213="2H Pause déjeuner",IF(F1213-D1213-0.0833333333333333&lt;0,F1213-D1213-0.0833333333333333+1,F1213-D1213-0.0833333333333333),IF(OR(AND(F1213="OFF",D1213="OFF"),AND(F1213="Congé",D1213="Congé"),AND(F1213="Congé sans solde",D1213="Congé sans solde"),AND(F1213="Congé spécial",D1213="Congé spécial"),AND(F1213="Férié",D1213="Férié"),AND(F1213="OFF",D1213="Congé"),AND(F1213="OFF",D1213="Congé sans solde"),AND(F1213="OFF",D1213="Congé spécial"),AND(F1213="OFF",D1213="Férié"),AND(F1213="Congé",D1213="OFF"),AND(F1213="Congé",D1213="Congé sans solde"),AND(F1213="Congé",D1213="Congé spécial"),AND(F1213="Congé",D1213="Férié"),AND(F1213="Congé sans solde",D1213="OFF"),AND(F1213="Congé sans solde",D1213="Congé"),AND(F1213="Congé sans solde",D1213="Congé spécial"),AND(F1213="Congé sans solde",D1213="Férié"),AND(F1213="Congé spécial",D1213="OFF"),AND(F1213="Congé spécial",D1213="Congé"),AND(F1213="Congé spécial",D1213="Congé sans solde"),AND(F1213="Congé spécial",D1213="Férié"),AND(F1213="Férié",D1213="OFF"),AND(F1213="Férié",D1213="Congé"),AND(F1213="Férié",D1213="Congé sans solde"),AND(F1213="Férié",D1213="Congé spécial")),0,IF(OR(F1213="OFF",F1213="Congé",F1213="Congé spécial",F1213="Congé sans solde",D1213="OFF",D1213="Congé",D1213="Congé spécial",D1213="Congé sans solde"),0.208333333333334,IF(AND(AG1213="",F1213-D1213&lt;0),("24:00:00"-D1213)+("00:00:00"+F1213)-0.0416666666666667,IF(AND(OR(AG1213="Allaitement",AG1213="Sans déjeuner"),F1213-D1213&lt;0),("24:00:00"-D1213)+("00:00:00"+F1213),IF(AND(AG1213="",F1213-D1213&gt;0.166666666666667),F1213-D1213-0.0416666666666667,IF(AND(OR(AG1213="Allaitement",AG1213="Sans déjeuner"),F1213-D1213&gt;0.166666666666667),F1213-D1213,F1213-D1213)))))))</f>
        <v>0</v>
      </c>
      <c r="P1213" s="6" t="str">
        <f aca="false">IFERROR(VLOOKUP($B1213,Agents!$A:$D,2,0),"-")</f>
        <v>Accessibilité</v>
      </c>
      <c r="Q1213" s="21" t="n">
        <v>46326</v>
      </c>
      <c r="R1213" s="8" t="n">
        <f aca="false">IF(M1213="Abs",O1213,0)</f>
        <v>0</v>
      </c>
      <c r="S1213" s="8" t="n">
        <f aca="false">SUM(R1213,L1213,I1213,J1213,W1213,H1213)</f>
        <v>0</v>
      </c>
      <c r="T1213" s="6" t="str">
        <f aca="false">"Sem - "&amp;WEEKNUM(Q1213,21)</f>
        <v>Sem - 44</v>
      </c>
      <c r="U1213" s="6" t="str">
        <f aca="false">CHOOSE(MONTH(Q1213),"Janvier","Février","Mars","Avril","Mai","Juin","Juillet","Août","Septembre","Octobre","Novembre","Décembre")</f>
        <v>Octobre</v>
      </c>
      <c r="V1213" s="22" t="n">
        <f aca="false">YEAR(Q1213)</f>
        <v>2026</v>
      </c>
      <c r="W1213" s="20"/>
      <c r="X1213" s="8" t="n">
        <f aca="false">IFERROR(IF(M1213="Abs",0,IF(ROUND((D1213-C1213+E1213-F1213)*1440,0)&lt;=1,0,D1213-C1213+E1213-F1213)),0)</f>
        <v>0</v>
      </c>
      <c r="Y1213" s="6" t="str">
        <f aca="false">IFERROR(VLOOKUP($B1213,Agents!$A:$D,3,0),"-")</f>
        <v>OUBRAHIM Mohammed</v>
      </c>
      <c r="Z1213" s="6" t="str">
        <f aca="false">IFERROR(VLOOKUP($B1213,Agents!$A:$D,4,0),"-")</f>
        <v>Credit Mutuel</v>
      </c>
      <c r="AA1213" s="18" t="s">
        <v>127</v>
      </c>
      <c r="AB1213" s="8" t="str">
        <f aca="false">IF(AND(D1213="Congé",F1213="Congé"),0.333333333333333,IF(OR(AND(D1213="Congé",F1213&lt;&gt;"Congé"),(AND(F1213="Congé",D1213&lt;&gt;"Congé"))),0.166666666666667,""))</f>
        <v/>
      </c>
      <c r="AC1213" s="8" t="str">
        <f aca="false">IF(AND(D1213="Congé sans solde",F1213="Congé sans solde"),0.333333333333333,IF(OR(AND(D1213="Congé sans solde",F1213&lt;&gt;"Congé sans solde"),(AND(F1213="Congé sans solde",D1213&lt;&gt;"Congé sans solde"))),0.166666666666667,""))</f>
        <v/>
      </c>
      <c r="AD1213" s="8" t="str">
        <f aca="false">IF(AND(D1213="Congé spécial",F1213="Congé spécial"),0.333333333333333,IF(OR(AND(D1213="Congé spécial",F1213&lt;&gt;"Congé spécial"),AND(F1213="Congé spécial",D1213&lt;&gt;"Congé spécial")),0.166666666666667,""))</f>
        <v/>
      </c>
      <c r="AE1213" s="8" t="str">
        <f aca="false">IF(AND(D1213="Férié",F1213="Férié"),0.333333333333333,IF(OR(AND(D1213="Férié",F1213&lt;&gt;"Férié"),(AND(F1213="Férié",D1213&lt;&gt;"Férié"))),0.166666666666667,""))</f>
        <v/>
      </c>
      <c r="AF1213" s="18"/>
      <c r="AG1213" s="18"/>
    </row>
    <row r="1214" customFormat="false" ht="15" hidden="false" customHeight="false" outlineLevel="0" collapsed="false">
      <c r="A1214" s="6" t="str">
        <f aca="false">YEAR(Q1214-WEEKDAY(Q1214,2)+4)&amp;"-S"&amp;TEXT(WEEKNUM(Q1214,21),"00")</f>
        <v>2026-S44</v>
      </c>
      <c r="B1214" s="18" t="s">
        <v>73</v>
      </c>
      <c r="C1214" s="19"/>
      <c r="D1214" s="19" t="s">
        <v>74</v>
      </c>
      <c r="E1214" s="19"/>
      <c r="F1214" s="19" t="s">
        <v>74</v>
      </c>
      <c r="G1214" s="20"/>
      <c r="H1214" s="20"/>
      <c r="I1214" s="8" t="str">
        <f aca="false">IF(IF(OR(C1214="",D1214="Congé",D1214="OFF",D1214="Congé spécial"),"",IF(D1214&gt;F1214,D1214-C1214,IF(C1214-D1214&lt;0,0,C1214-D1214)))&lt;0.00068287037037037,"",IF(OR(D1214="Congé",D1214="OFF",C1214="",D1214="Congé spécial"),"",IF(D1214&gt;F1214,D1214-C1214,IF(C1214-D1214&lt;0,0,C1214-D1214))))</f>
        <v/>
      </c>
      <c r="J1214" s="20"/>
      <c r="K1214" s="8" t="n">
        <f aca="false">IF(SUM(H1214:J1214)&lt;0.00068287037037037,0,SUM(H1214:J1214))</f>
        <v>0</v>
      </c>
      <c r="L1214" s="8" t="n">
        <f aca="false">IF(OR(F1214="Congé",F1214="OFF",M1214="Abs",F1214="Congé sans solde",F1214="Férié",F1214="Congé spécial",D1214="Congé spécial"),0,IF(F1214-E1214&lt;0,0,IF(F1214-E1214&lt;=0.00068287037037037,0,F1214-E1214)))</f>
        <v>0</v>
      </c>
      <c r="M1214" s="6" t="n">
        <f aca="false">IF(AND(O1214&lt;&gt;0,C1214=""),"Abs",0)</f>
        <v>0</v>
      </c>
      <c r="N1214" s="8" t="str">
        <f aca="false">IFERROR(IF(OR(D1214="OFF",D1214="Congé",M1214="Abs",D1214="Congé sans solde",D1214="Férié"),"",IF(O1214-K1214-L1214&gt;O1214,O1214,IF(O1214-K1214-L1214&lt;0,"",O1214-K1214-L1214))),"")</f>
        <v/>
      </c>
      <c r="O1214" s="8" t="n">
        <f aca="false">IF(AG1214="2H Pause déjeuner",IF(F1214-D1214-0.0833333333333333&lt;0,F1214-D1214-0.0833333333333333+1,F1214-D1214-0.0833333333333333),IF(OR(AND(F1214="OFF",D1214="OFF"),AND(F1214="Congé",D1214="Congé"),AND(F1214="Congé sans solde",D1214="Congé sans solde"),AND(F1214="Congé spécial",D1214="Congé spécial"),AND(F1214="Férié",D1214="Férié"),AND(F1214="OFF",D1214="Congé"),AND(F1214="OFF",D1214="Congé sans solde"),AND(F1214="OFF",D1214="Congé spécial"),AND(F1214="OFF",D1214="Férié"),AND(F1214="Congé",D1214="OFF"),AND(F1214="Congé",D1214="Congé sans solde"),AND(F1214="Congé",D1214="Congé spécial"),AND(F1214="Congé",D1214="Férié"),AND(F1214="Congé sans solde",D1214="OFF"),AND(F1214="Congé sans solde",D1214="Congé"),AND(F1214="Congé sans solde",D1214="Congé spécial"),AND(F1214="Congé sans solde",D1214="Férié"),AND(F1214="Congé spécial",D1214="OFF"),AND(F1214="Congé spécial",D1214="Congé"),AND(F1214="Congé spécial",D1214="Congé sans solde"),AND(F1214="Congé spécial",D1214="Férié"),AND(F1214="Férié",D1214="OFF"),AND(F1214="Férié",D1214="Congé"),AND(F1214="Férié",D1214="Congé sans solde"),AND(F1214="Férié",D1214="Congé spécial")),0,IF(OR(F1214="OFF",F1214="Congé",F1214="Congé spécial",F1214="Congé sans solde",D1214="OFF",D1214="Congé",D1214="Congé spécial",D1214="Congé sans solde"),0.208333333333334,IF(AND(AG1214="",F1214-D1214&lt;0),("24:00:00"-D1214)+("00:00:00"+F1214)-0.0416666666666667,IF(AND(OR(AG1214="Allaitement",AG1214="Sans déjeuner"),F1214-D1214&lt;0),("24:00:00"-D1214)+("00:00:00"+F1214),IF(AND(AG1214="",F1214-D1214&gt;0.166666666666667),F1214-D1214-0.0416666666666667,IF(AND(OR(AG1214="Allaitement",AG1214="Sans déjeuner"),F1214-D1214&gt;0.166666666666667),F1214-D1214,F1214-D1214)))))))</f>
        <v>0</v>
      </c>
      <c r="P1214" s="6" t="str">
        <f aca="false">IFERROR(VLOOKUP($B1214,Agents!$A:$D,2,0),"-")</f>
        <v>Accessibilité</v>
      </c>
      <c r="Q1214" s="21" t="n">
        <v>46326</v>
      </c>
      <c r="R1214" s="8" t="n">
        <f aca="false">IF(M1214="Abs",O1214,0)</f>
        <v>0</v>
      </c>
      <c r="S1214" s="8" t="n">
        <f aca="false">SUM(R1214,L1214,I1214,J1214,W1214,H1214)</f>
        <v>0</v>
      </c>
      <c r="T1214" s="6" t="str">
        <f aca="false">"Sem - "&amp;WEEKNUM(Q1214,21)</f>
        <v>Sem - 44</v>
      </c>
      <c r="U1214" s="6" t="str">
        <f aca="false">CHOOSE(MONTH(Q1214),"Janvier","Février","Mars","Avril","Mai","Juin","Juillet","Août","Septembre","Octobre","Novembre","Décembre")</f>
        <v>Octobre</v>
      </c>
      <c r="V1214" s="22" t="n">
        <f aca="false">YEAR(Q1214)</f>
        <v>2026</v>
      </c>
      <c r="W1214" s="20"/>
      <c r="X1214" s="8" t="n">
        <f aca="false">IFERROR(IF(M1214="Abs",0,IF(ROUND((D1214-C1214+E1214-F1214)*1440,0)&lt;=1,0,D1214-C1214+E1214-F1214)),0)</f>
        <v>0</v>
      </c>
      <c r="Y1214" s="6" t="str">
        <f aca="false">IFERROR(VLOOKUP($B1214,Agents!$A:$D,3,0),"-")</f>
        <v>OUBRAHIM Mohammed</v>
      </c>
      <c r="Z1214" s="6" t="str">
        <f aca="false">IFERROR(VLOOKUP($B1214,Agents!$A:$D,4,0),"-")</f>
        <v>Credit Mutuel</v>
      </c>
      <c r="AA1214" s="18" t="s">
        <v>127</v>
      </c>
      <c r="AB1214" s="8" t="str">
        <f aca="false">IF(AND(D1214="Congé",F1214="Congé"),0.333333333333333,IF(OR(AND(D1214="Congé",F1214&lt;&gt;"Congé"),(AND(F1214="Congé",D1214&lt;&gt;"Congé"))),0.166666666666667,""))</f>
        <v/>
      </c>
      <c r="AC1214" s="8" t="str">
        <f aca="false">IF(AND(D1214="Congé sans solde",F1214="Congé sans solde"),0.333333333333333,IF(OR(AND(D1214="Congé sans solde",F1214&lt;&gt;"Congé sans solde"),(AND(F1214="Congé sans solde",D1214&lt;&gt;"Congé sans solde"))),0.166666666666667,""))</f>
        <v/>
      </c>
      <c r="AD1214" s="8" t="str">
        <f aca="false">IF(AND(D1214="Congé spécial",F1214="Congé spécial"),0.333333333333333,IF(OR(AND(D1214="Congé spécial",F1214&lt;&gt;"Congé spécial"),AND(F1214="Congé spécial",D1214&lt;&gt;"Congé spécial")),0.166666666666667,""))</f>
        <v/>
      </c>
      <c r="AE1214" s="8" t="str">
        <f aca="false">IF(AND(D1214="Férié",F1214="Férié"),0.333333333333333,IF(OR(AND(D1214="Férié",F1214&lt;&gt;"Férié"),(AND(F1214="Férié",D1214&lt;&gt;"Férié"))),0.166666666666667,""))</f>
        <v/>
      </c>
      <c r="AF1214" s="18"/>
      <c r="AG1214" s="18"/>
    </row>
    <row r="1215" customFormat="false" ht="15" hidden="false" customHeight="false" outlineLevel="0" collapsed="false">
      <c r="A1215" s="6" t="str">
        <f aca="false">YEAR(Q1215-WEEKDAY(Q1215,2)+4)&amp;"-S"&amp;TEXT(WEEKNUM(Q1215,21),"00")</f>
        <v>2026-S44</v>
      </c>
      <c r="B1215" s="18" t="s">
        <v>124</v>
      </c>
      <c r="C1215" s="19"/>
      <c r="D1215" s="19" t="s">
        <v>74</v>
      </c>
      <c r="E1215" s="19"/>
      <c r="F1215" s="19" t="s">
        <v>74</v>
      </c>
      <c r="G1215" s="20"/>
      <c r="H1215" s="20"/>
      <c r="I1215" s="8" t="str">
        <f aca="false">IF(IF(OR(C1215="",D1215="Congé",D1215="OFF",D1215="Congé spécial"),"",IF(D1215&gt;F1215,D1215-C1215,IF(C1215-D1215&lt;0,0,C1215-D1215)))&lt;0.00068287037037037,"",IF(OR(D1215="Congé",D1215="OFF",C1215="",D1215="Congé spécial"),"",IF(D1215&gt;F1215,D1215-C1215,IF(C1215-D1215&lt;0,0,C1215-D1215))))</f>
        <v/>
      </c>
      <c r="J1215" s="20"/>
      <c r="K1215" s="8" t="n">
        <f aca="false">IF(SUM(H1215:J1215)&lt;0.00068287037037037,0,SUM(H1215:J1215))</f>
        <v>0</v>
      </c>
      <c r="L1215" s="8" t="n">
        <f aca="false">IF(OR(F1215="Congé",F1215="OFF",M1215="Abs",F1215="Congé sans solde",F1215="Férié",F1215="Congé spécial",D1215="Congé spécial"),0,IF(F1215-E1215&lt;0,0,IF(F1215-E1215&lt;=0.00068287037037037,0,F1215-E1215)))</f>
        <v>0</v>
      </c>
      <c r="M1215" s="6" t="n">
        <f aca="false">IF(AND(O1215&lt;&gt;0,C1215=""),"Abs",0)</f>
        <v>0</v>
      </c>
      <c r="N1215" s="8" t="str">
        <f aca="false">IFERROR(IF(OR(D1215="OFF",D1215="Congé",M1215="Abs",D1215="Congé sans solde",D1215="Férié"),"",IF(O1215-K1215-L1215&gt;O1215,O1215,IF(O1215-K1215-L1215&lt;0,"",O1215-K1215-L1215))),"")</f>
        <v/>
      </c>
      <c r="O1215" s="8" t="n">
        <f aca="false">IF(AG1215="2H Pause déjeuner",IF(F1215-D1215-0.0833333333333333&lt;0,F1215-D1215-0.0833333333333333+1,F1215-D1215-0.0833333333333333),IF(OR(AND(F1215="OFF",D1215="OFF"),AND(F1215="Congé",D1215="Congé"),AND(F1215="Congé sans solde",D1215="Congé sans solde"),AND(F1215="Congé spécial",D1215="Congé spécial"),AND(F1215="Férié",D1215="Férié"),AND(F1215="OFF",D1215="Congé"),AND(F1215="OFF",D1215="Congé sans solde"),AND(F1215="OFF",D1215="Congé spécial"),AND(F1215="OFF",D1215="Férié"),AND(F1215="Congé",D1215="OFF"),AND(F1215="Congé",D1215="Congé sans solde"),AND(F1215="Congé",D1215="Congé spécial"),AND(F1215="Congé",D1215="Férié"),AND(F1215="Congé sans solde",D1215="OFF"),AND(F1215="Congé sans solde",D1215="Congé"),AND(F1215="Congé sans solde",D1215="Congé spécial"),AND(F1215="Congé sans solde",D1215="Férié"),AND(F1215="Congé spécial",D1215="OFF"),AND(F1215="Congé spécial",D1215="Congé"),AND(F1215="Congé spécial",D1215="Congé sans solde"),AND(F1215="Congé spécial",D1215="Férié"),AND(F1215="Férié",D1215="OFF"),AND(F1215="Férié",D1215="Congé"),AND(F1215="Férié",D1215="Congé sans solde"),AND(F1215="Férié",D1215="Congé spécial")),0,IF(OR(F1215="OFF",F1215="Congé",F1215="Congé spécial",F1215="Congé sans solde",D1215="OFF",D1215="Congé",D1215="Congé spécial",D1215="Congé sans solde"),0.208333333333334,IF(AND(AG1215="",F1215-D1215&lt;0),("24:00:00"-D1215)+("00:00:00"+F1215)-0.0416666666666667,IF(AND(OR(AG1215="Allaitement",AG1215="Sans déjeuner"),F1215-D1215&lt;0),("24:00:00"-D1215)+("00:00:00"+F1215),IF(AND(AG1215="",F1215-D1215&gt;0.166666666666667),F1215-D1215-0.0416666666666667,IF(AND(OR(AG1215="Allaitement",AG1215="Sans déjeuner"),F1215-D1215&gt;0.166666666666667),F1215-D1215,F1215-D1215)))))))</f>
        <v>0</v>
      </c>
      <c r="P1215" s="6" t="str">
        <f aca="false">IFERROR(VLOOKUP($B1215,Agents!$A:$D,2,0),"-")</f>
        <v>Accessibilité</v>
      </c>
      <c r="Q1215" s="21" t="n">
        <v>46326</v>
      </c>
      <c r="R1215" s="8" t="n">
        <f aca="false">IF(M1215="Abs",O1215,0)</f>
        <v>0</v>
      </c>
      <c r="S1215" s="8" t="n">
        <f aca="false">SUM(R1215,L1215,I1215,J1215,W1215,H1215)</f>
        <v>0</v>
      </c>
      <c r="T1215" s="6" t="str">
        <f aca="false">"Sem - "&amp;WEEKNUM(Q1215,21)</f>
        <v>Sem - 44</v>
      </c>
      <c r="U1215" s="6" t="str">
        <f aca="false">CHOOSE(MONTH(Q1215),"Janvier","Février","Mars","Avril","Mai","Juin","Juillet","Août","Septembre","Octobre","Novembre","Décembre")</f>
        <v>Octobre</v>
      </c>
      <c r="V1215" s="22" t="n">
        <f aca="false">YEAR(Q1215)</f>
        <v>2026</v>
      </c>
      <c r="W1215" s="20"/>
      <c r="X1215" s="8" t="n">
        <f aca="false">IFERROR(IF(M1215="Abs",0,IF(ROUND((D1215-C1215+E1215-F1215)*1440,0)&lt;=1,0,D1215-C1215+E1215-F1215)),0)</f>
        <v>0</v>
      </c>
      <c r="Y1215" s="6" t="str">
        <f aca="false">IFERROR(VLOOKUP($B1215,Agents!$A:$D,3,0),"-")</f>
        <v>OUBRAHIM Mohammed</v>
      </c>
      <c r="Z1215" s="6" t="str">
        <f aca="false">IFERROR(VLOOKUP($B1215,Agents!$A:$D,4,0),"-")</f>
        <v>Credit Mutuel</v>
      </c>
      <c r="AA1215" s="18" t="s">
        <v>127</v>
      </c>
      <c r="AB1215" s="8" t="str">
        <f aca="false">IF(AND(D1215="Congé",F1215="Congé"),0.333333333333333,IF(OR(AND(D1215="Congé",F1215&lt;&gt;"Congé"),(AND(F1215="Congé",D1215&lt;&gt;"Congé"))),0.166666666666667,""))</f>
        <v/>
      </c>
      <c r="AC1215" s="8" t="str">
        <f aca="false">IF(AND(D1215="Congé sans solde",F1215="Congé sans solde"),0.333333333333333,IF(OR(AND(D1215="Congé sans solde",F1215&lt;&gt;"Congé sans solde"),(AND(F1215="Congé sans solde",D1215&lt;&gt;"Congé sans solde"))),0.166666666666667,""))</f>
        <v/>
      </c>
      <c r="AD1215" s="8" t="str">
        <f aca="false">IF(AND(D1215="Congé spécial",F1215="Congé spécial"),0.333333333333333,IF(OR(AND(D1215="Congé spécial",F1215&lt;&gt;"Congé spécial"),AND(F1215="Congé spécial",D1215&lt;&gt;"Congé spécial")),0.166666666666667,""))</f>
        <v/>
      </c>
      <c r="AE1215" s="8" t="str">
        <f aca="false">IF(AND(D1215="Férié",F1215="Férié"),0.333333333333333,IF(OR(AND(D1215="Férié",F1215&lt;&gt;"Férié"),(AND(F1215="Férié",D1215&lt;&gt;"Férié"))),0.166666666666667,""))</f>
        <v/>
      </c>
      <c r="AF1215" s="18"/>
      <c r="AG1215" s="18"/>
    </row>
    <row r="1216" customFormat="false" ht="15" hidden="false" customHeight="false" outlineLevel="0" collapsed="false">
      <c r="A1216" s="6" t="str">
        <f aca="false">YEAR(Q1216-WEEKDAY(Q1216,2)+4)&amp;"-S"&amp;TEXT(WEEKNUM(Q1216,21),"00")</f>
        <v>2026-S44</v>
      </c>
      <c r="B1216" s="18" t="s">
        <v>71</v>
      </c>
      <c r="C1216" s="19"/>
      <c r="D1216" s="19" t="s">
        <v>74</v>
      </c>
      <c r="E1216" s="19"/>
      <c r="F1216" s="19" t="s">
        <v>74</v>
      </c>
      <c r="G1216" s="20"/>
      <c r="H1216" s="20"/>
      <c r="I1216" s="8" t="str">
        <f aca="false">IF(IF(OR(C1216="",D1216="Congé",D1216="OFF",D1216="Congé spécial"),"",IF(D1216&gt;F1216,D1216-C1216,IF(C1216-D1216&lt;0,0,C1216-D1216)))&lt;0.00068287037037037,"",IF(OR(D1216="Congé",D1216="OFF",C1216="",D1216="Congé spécial"),"",IF(D1216&gt;F1216,D1216-C1216,IF(C1216-D1216&lt;0,0,C1216-D1216))))</f>
        <v/>
      </c>
      <c r="J1216" s="20"/>
      <c r="K1216" s="8" t="n">
        <f aca="false">IF(SUM(H1216:J1216)&lt;0.00068287037037037,0,SUM(H1216:J1216))</f>
        <v>0</v>
      </c>
      <c r="L1216" s="8" t="n">
        <f aca="false">IF(OR(F1216="Congé",F1216="OFF",M1216="Abs",F1216="Congé sans solde",F1216="Férié",F1216="Congé spécial",D1216="Congé spécial"),0,IF(F1216-E1216&lt;0,0,IF(F1216-E1216&lt;=0.00068287037037037,0,F1216-E1216)))</f>
        <v>0</v>
      </c>
      <c r="M1216" s="6" t="n">
        <f aca="false">IF(AND(O1216&lt;&gt;0,C1216=""),"Abs",0)</f>
        <v>0</v>
      </c>
      <c r="N1216" s="8" t="str">
        <f aca="false">IFERROR(IF(OR(D1216="OFF",D1216="Congé",M1216="Abs",D1216="Congé sans solde",D1216="Férié"),"",IF(O1216-K1216-L1216&gt;O1216,O1216,IF(O1216-K1216-L1216&lt;0,"",O1216-K1216-L1216))),"")</f>
        <v/>
      </c>
      <c r="O1216" s="8" t="n">
        <f aca="false">IF(AG1216="2H Pause déjeuner",IF(F1216-D1216-0.0833333333333333&lt;0,F1216-D1216-0.0833333333333333+1,F1216-D1216-0.0833333333333333),IF(OR(AND(F1216="OFF",D1216="OFF"),AND(F1216="Congé",D1216="Congé"),AND(F1216="Congé sans solde",D1216="Congé sans solde"),AND(F1216="Congé spécial",D1216="Congé spécial"),AND(F1216="Férié",D1216="Férié"),AND(F1216="OFF",D1216="Congé"),AND(F1216="OFF",D1216="Congé sans solde"),AND(F1216="OFF",D1216="Congé spécial"),AND(F1216="OFF",D1216="Férié"),AND(F1216="Congé",D1216="OFF"),AND(F1216="Congé",D1216="Congé sans solde"),AND(F1216="Congé",D1216="Congé spécial"),AND(F1216="Congé",D1216="Férié"),AND(F1216="Congé sans solde",D1216="OFF"),AND(F1216="Congé sans solde",D1216="Congé"),AND(F1216="Congé sans solde",D1216="Congé spécial"),AND(F1216="Congé sans solde",D1216="Férié"),AND(F1216="Congé spécial",D1216="OFF"),AND(F1216="Congé spécial",D1216="Congé"),AND(F1216="Congé spécial",D1216="Congé sans solde"),AND(F1216="Congé spécial",D1216="Férié"),AND(F1216="Férié",D1216="OFF"),AND(F1216="Férié",D1216="Congé"),AND(F1216="Férié",D1216="Congé sans solde"),AND(F1216="Férié",D1216="Congé spécial")),0,IF(OR(F1216="OFF",F1216="Congé",F1216="Congé spécial",F1216="Congé sans solde",D1216="OFF",D1216="Congé",D1216="Congé spécial",D1216="Congé sans solde"),0.208333333333334,IF(AND(AG1216="",F1216-D1216&lt;0),("24:00:00"-D1216)+("00:00:00"+F1216)-0.0416666666666667,IF(AND(OR(AG1216="Allaitement",AG1216="Sans déjeuner"),F1216-D1216&lt;0),("24:00:00"-D1216)+("00:00:00"+F1216),IF(AND(AG1216="",F1216-D1216&gt;0.166666666666667),F1216-D1216-0.0416666666666667,IF(AND(OR(AG1216="Allaitement",AG1216="Sans déjeuner"),F1216-D1216&gt;0.166666666666667),F1216-D1216,F1216-D1216)))))))</f>
        <v>0</v>
      </c>
      <c r="P1216" s="6" t="str">
        <f aca="false">IFERROR(VLOOKUP($B1216,Agents!$A:$D,2,0),"-")</f>
        <v>Accessibilité</v>
      </c>
      <c r="Q1216" s="21" t="n">
        <v>46327</v>
      </c>
      <c r="R1216" s="8" t="n">
        <f aca="false">IF(M1216="Abs",O1216,0)</f>
        <v>0</v>
      </c>
      <c r="S1216" s="8" t="n">
        <f aca="false">SUM(R1216,L1216,I1216,J1216,W1216,H1216)</f>
        <v>0</v>
      </c>
      <c r="T1216" s="6" t="str">
        <f aca="false">"Sem - "&amp;WEEKNUM(Q1216,21)</f>
        <v>Sem - 44</v>
      </c>
      <c r="U1216" s="6" t="str">
        <f aca="false">CHOOSE(MONTH(Q1216),"Janvier","Février","Mars","Avril","Mai","Juin","Juillet","Août","Septembre","Octobre","Novembre","Décembre")</f>
        <v>Novembre</v>
      </c>
      <c r="V1216" s="22" t="n">
        <f aca="false">YEAR(Q1216)</f>
        <v>2026</v>
      </c>
      <c r="W1216" s="20"/>
      <c r="X1216" s="8" t="n">
        <f aca="false">IFERROR(IF(M1216="Abs",0,IF(ROUND((D1216-C1216+E1216-F1216)*1440,0)&lt;=1,0,D1216-C1216+E1216-F1216)),0)</f>
        <v>0</v>
      </c>
      <c r="Y1216" s="6" t="str">
        <f aca="false">IFERROR(VLOOKUP($B1216,Agents!$A:$D,3,0),"-")</f>
        <v>OUBRAHIM Mohammed</v>
      </c>
      <c r="Z1216" s="6" t="str">
        <f aca="false">IFERROR(VLOOKUP($B1216,Agents!$A:$D,4,0),"-")</f>
        <v>Credit Mutuel</v>
      </c>
      <c r="AA1216" s="18" t="s">
        <v>127</v>
      </c>
      <c r="AB1216" s="8" t="str">
        <f aca="false">IF(AND(D1216="Congé",F1216="Congé"),0.333333333333333,IF(OR(AND(D1216="Congé",F1216&lt;&gt;"Congé"),(AND(F1216="Congé",D1216&lt;&gt;"Congé"))),0.166666666666667,""))</f>
        <v/>
      </c>
      <c r="AC1216" s="8" t="str">
        <f aca="false">IF(AND(D1216="Congé sans solde",F1216="Congé sans solde"),0.333333333333333,IF(OR(AND(D1216="Congé sans solde",F1216&lt;&gt;"Congé sans solde"),(AND(F1216="Congé sans solde",D1216&lt;&gt;"Congé sans solde"))),0.166666666666667,""))</f>
        <v/>
      </c>
      <c r="AD1216" s="8" t="str">
        <f aca="false">IF(AND(D1216="Congé spécial",F1216="Congé spécial"),0.333333333333333,IF(OR(AND(D1216="Congé spécial",F1216&lt;&gt;"Congé spécial"),AND(F1216="Congé spécial",D1216&lt;&gt;"Congé spécial")),0.166666666666667,""))</f>
        <v/>
      </c>
      <c r="AE1216" s="8" t="str">
        <f aca="false">IF(AND(D1216="Férié",F1216="Férié"),0.333333333333333,IF(OR(AND(D1216="Férié",F1216&lt;&gt;"Férié"),(AND(F1216="Férié",D1216&lt;&gt;"Férié"))),0.166666666666667,""))</f>
        <v/>
      </c>
      <c r="AF1216" s="18"/>
      <c r="AG1216" s="18"/>
    </row>
    <row r="1217" customFormat="false" ht="15" hidden="false" customHeight="false" outlineLevel="0" collapsed="false">
      <c r="A1217" s="6" t="str">
        <f aca="false">YEAR(Q1217-WEEKDAY(Q1217,2)+4)&amp;"-S"&amp;TEXT(WEEKNUM(Q1217,21),"00")</f>
        <v>2026-S44</v>
      </c>
      <c r="B1217" s="18" t="s">
        <v>72</v>
      </c>
      <c r="C1217" s="19"/>
      <c r="D1217" s="19" t="s">
        <v>74</v>
      </c>
      <c r="E1217" s="19"/>
      <c r="F1217" s="19" t="s">
        <v>74</v>
      </c>
      <c r="G1217" s="20"/>
      <c r="H1217" s="20"/>
      <c r="I1217" s="8" t="str">
        <f aca="false">IF(IF(OR(C1217="",D1217="Congé",D1217="OFF",D1217="Congé spécial"),"",IF(D1217&gt;F1217,D1217-C1217,IF(C1217-D1217&lt;0,0,C1217-D1217)))&lt;0.00068287037037037,"",IF(OR(D1217="Congé",D1217="OFF",C1217="",D1217="Congé spécial"),"",IF(D1217&gt;F1217,D1217-C1217,IF(C1217-D1217&lt;0,0,C1217-D1217))))</f>
        <v/>
      </c>
      <c r="J1217" s="20"/>
      <c r="K1217" s="8" t="n">
        <f aca="false">IF(SUM(H1217:J1217)&lt;0.00068287037037037,0,SUM(H1217:J1217))</f>
        <v>0</v>
      </c>
      <c r="L1217" s="8" t="n">
        <f aca="false">IF(OR(F1217="Congé",F1217="OFF",M1217="Abs",F1217="Congé sans solde",F1217="Férié",F1217="Congé spécial",D1217="Congé spécial"),0,IF(F1217-E1217&lt;0,0,IF(F1217-E1217&lt;=0.00068287037037037,0,F1217-E1217)))</f>
        <v>0</v>
      </c>
      <c r="M1217" s="6" t="n">
        <f aca="false">IF(AND(O1217&lt;&gt;0,C1217=""),"Abs",0)</f>
        <v>0</v>
      </c>
      <c r="N1217" s="8" t="str">
        <f aca="false">IFERROR(IF(OR(D1217="OFF",D1217="Congé",M1217="Abs",D1217="Congé sans solde",D1217="Férié"),"",IF(O1217-K1217-L1217&gt;O1217,O1217,IF(O1217-K1217-L1217&lt;0,"",O1217-K1217-L1217))),"")</f>
        <v/>
      </c>
      <c r="O1217" s="8" t="n">
        <f aca="false">IF(AG1217="2H Pause déjeuner",IF(F1217-D1217-0.0833333333333333&lt;0,F1217-D1217-0.0833333333333333+1,F1217-D1217-0.0833333333333333),IF(OR(AND(F1217="OFF",D1217="OFF"),AND(F1217="Congé",D1217="Congé"),AND(F1217="Congé sans solde",D1217="Congé sans solde"),AND(F1217="Congé spécial",D1217="Congé spécial"),AND(F1217="Férié",D1217="Férié"),AND(F1217="OFF",D1217="Congé"),AND(F1217="OFF",D1217="Congé sans solde"),AND(F1217="OFF",D1217="Congé spécial"),AND(F1217="OFF",D1217="Férié"),AND(F1217="Congé",D1217="OFF"),AND(F1217="Congé",D1217="Congé sans solde"),AND(F1217="Congé",D1217="Congé spécial"),AND(F1217="Congé",D1217="Férié"),AND(F1217="Congé sans solde",D1217="OFF"),AND(F1217="Congé sans solde",D1217="Congé"),AND(F1217="Congé sans solde",D1217="Congé spécial"),AND(F1217="Congé sans solde",D1217="Férié"),AND(F1217="Congé spécial",D1217="OFF"),AND(F1217="Congé spécial",D1217="Congé"),AND(F1217="Congé spécial",D1217="Congé sans solde"),AND(F1217="Congé spécial",D1217="Férié"),AND(F1217="Férié",D1217="OFF"),AND(F1217="Férié",D1217="Congé"),AND(F1217="Férié",D1217="Congé sans solde"),AND(F1217="Férié",D1217="Congé spécial")),0,IF(OR(F1217="OFF",F1217="Congé",F1217="Congé spécial",F1217="Congé sans solde",D1217="OFF",D1217="Congé",D1217="Congé spécial",D1217="Congé sans solde"),0.208333333333334,IF(AND(AG1217="",F1217-D1217&lt;0),("24:00:00"-D1217)+("00:00:00"+F1217)-0.0416666666666667,IF(AND(OR(AG1217="Allaitement",AG1217="Sans déjeuner"),F1217-D1217&lt;0),("24:00:00"-D1217)+("00:00:00"+F1217),IF(AND(AG1217="",F1217-D1217&gt;0.166666666666667),F1217-D1217-0.0416666666666667,IF(AND(OR(AG1217="Allaitement",AG1217="Sans déjeuner"),F1217-D1217&gt;0.166666666666667),F1217-D1217,F1217-D1217)))))))</f>
        <v>0</v>
      </c>
      <c r="P1217" s="6" t="str">
        <f aca="false">IFERROR(VLOOKUP($B1217,Agents!$A:$D,2,0),"-")</f>
        <v>Accessibilité</v>
      </c>
      <c r="Q1217" s="21" t="n">
        <v>46327</v>
      </c>
      <c r="R1217" s="8" t="n">
        <f aca="false">IF(M1217="Abs",O1217,0)</f>
        <v>0</v>
      </c>
      <c r="S1217" s="8" t="n">
        <f aca="false">SUM(R1217,L1217,I1217,J1217,W1217,H1217)</f>
        <v>0</v>
      </c>
      <c r="T1217" s="6" t="str">
        <f aca="false">"Sem - "&amp;WEEKNUM(Q1217,21)</f>
        <v>Sem - 44</v>
      </c>
      <c r="U1217" s="6" t="str">
        <f aca="false">CHOOSE(MONTH(Q1217),"Janvier","Février","Mars","Avril","Mai","Juin","Juillet","Août","Septembre","Octobre","Novembre","Décembre")</f>
        <v>Novembre</v>
      </c>
      <c r="V1217" s="22" t="n">
        <f aca="false">YEAR(Q1217)</f>
        <v>2026</v>
      </c>
      <c r="W1217" s="20"/>
      <c r="X1217" s="8" t="n">
        <f aca="false">IFERROR(IF(M1217="Abs",0,IF(ROUND((D1217-C1217+E1217-F1217)*1440,0)&lt;=1,0,D1217-C1217+E1217-F1217)),0)</f>
        <v>0</v>
      </c>
      <c r="Y1217" s="6" t="str">
        <f aca="false">IFERROR(VLOOKUP($B1217,Agents!$A:$D,3,0),"-")</f>
        <v>OUBRAHIM Mohammed</v>
      </c>
      <c r="Z1217" s="6" t="str">
        <f aca="false">IFERROR(VLOOKUP($B1217,Agents!$A:$D,4,0),"-")</f>
        <v>Credit Mutuel</v>
      </c>
      <c r="AA1217" s="18" t="s">
        <v>127</v>
      </c>
      <c r="AB1217" s="8" t="str">
        <f aca="false">IF(AND(D1217="Congé",F1217="Congé"),0.333333333333333,IF(OR(AND(D1217="Congé",F1217&lt;&gt;"Congé"),(AND(F1217="Congé",D1217&lt;&gt;"Congé"))),0.166666666666667,""))</f>
        <v/>
      </c>
      <c r="AC1217" s="8" t="str">
        <f aca="false">IF(AND(D1217="Congé sans solde",F1217="Congé sans solde"),0.333333333333333,IF(OR(AND(D1217="Congé sans solde",F1217&lt;&gt;"Congé sans solde"),(AND(F1217="Congé sans solde",D1217&lt;&gt;"Congé sans solde"))),0.166666666666667,""))</f>
        <v/>
      </c>
      <c r="AD1217" s="8" t="str">
        <f aca="false">IF(AND(D1217="Congé spécial",F1217="Congé spécial"),0.333333333333333,IF(OR(AND(D1217="Congé spécial",F1217&lt;&gt;"Congé spécial"),AND(F1217="Congé spécial",D1217&lt;&gt;"Congé spécial")),0.166666666666667,""))</f>
        <v/>
      </c>
      <c r="AE1217" s="8" t="str">
        <f aca="false">IF(AND(D1217="Férié",F1217="Férié"),0.333333333333333,IF(OR(AND(D1217="Férié",F1217&lt;&gt;"Férié"),(AND(F1217="Férié",D1217&lt;&gt;"Férié"))),0.166666666666667,""))</f>
        <v/>
      </c>
      <c r="AF1217" s="18"/>
      <c r="AG1217" s="18"/>
    </row>
    <row r="1218" customFormat="false" ht="15" hidden="false" customHeight="false" outlineLevel="0" collapsed="false">
      <c r="A1218" s="6" t="str">
        <f aca="false">YEAR(Q1218-WEEKDAY(Q1218,2)+4)&amp;"-S"&amp;TEXT(WEEKNUM(Q1218,21),"00")</f>
        <v>2026-S44</v>
      </c>
      <c r="B1218" s="18" t="s">
        <v>73</v>
      </c>
      <c r="C1218" s="19"/>
      <c r="D1218" s="19" t="s">
        <v>74</v>
      </c>
      <c r="E1218" s="19"/>
      <c r="F1218" s="19" t="s">
        <v>74</v>
      </c>
      <c r="G1218" s="20"/>
      <c r="H1218" s="20"/>
      <c r="I1218" s="8" t="str">
        <f aca="false">IF(IF(OR(C1218="",D1218="Congé",D1218="OFF",D1218="Congé spécial"),"",IF(D1218&gt;F1218,D1218-C1218,IF(C1218-D1218&lt;0,0,C1218-D1218)))&lt;0.00068287037037037,"",IF(OR(D1218="Congé",D1218="OFF",C1218="",D1218="Congé spécial"),"",IF(D1218&gt;F1218,D1218-C1218,IF(C1218-D1218&lt;0,0,C1218-D1218))))</f>
        <v/>
      </c>
      <c r="J1218" s="20"/>
      <c r="K1218" s="8" t="n">
        <f aca="false">IF(SUM(H1218:J1218)&lt;0.00068287037037037,0,SUM(H1218:J1218))</f>
        <v>0</v>
      </c>
      <c r="L1218" s="8" t="n">
        <f aca="false">IF(OR(F1218="Congé",F1218="OFF",M1218="Abs",F1218="Congé sans solde",F1218="Férié",F1218="Congé spécial",D1218="Congé spécial"),0,IF(F1218-E1218&lt;0,0,IF(F1218-E1218&lt;=0.00068287037037037,0,F1218-E1218)))</f>
        <v>0</v>
      </c>
      <c r="M1218" s="6" t="n">
        <f aca="false">IF(AND(O1218&lt;&gt;0,C1218=""),"Abs",0)</f>
        <v>0</v>
      </c>
      <c r="N1218" s="8" t="str">
        <f aca="false">IFERROR(IF(OR(D1218="OFF",D1218="Congé",M1218="Abs",D1218="Congé sans solde",D1218="Férié"),"",IF(O1218-K1218-L1218&gt;O1218,O1218,IF(O1218-K1218-L1218&lt;0,"",O1218-K1218-L1218))),"")</f>
        <v/>
      </c>
      <c r="O1218" s="8" t="n">
        <f aca="false">IF(AG1218="2H Pause déjeuner",IF(F1218-D1218-0.0833333333333333&lt;0,F1218-D1218-0.0833333333333333+1,F1218-D1218-0.0833333333333333),IF(OR(AND(F1218="OFF",D1218="OFF"),AND(F1218="Congé",D1218="Congé"),AND(F1218="Congé sans solde",D1218="Congé sans solde"),AND(F1218="Congé spécial",D1218="Congé spécial"),AND(F1218="Férié",D1218="Férié"),AND(F1218="OFF",D1218="Congé"),AND(F1218="OFF",D1218="Congé sans solde"),AND(F1218="OFF",D1218="Congé spécial"),AND(F1218="OFF",D1218="Férié"),AND(F1218="Congé",D1218="OFF"),AND(F1218="Congé",D1218="Congé sans solde"),AND(F1218="Congé",D1218="Congé spécial"),AND(F1218="Congé",D1218="Férié"),AND(F1218="Congé sans solde",D1218="OFF"),AND(F1218="Congé sans solde",D1218="Congé"),AND(F1218="Congé sans solde",D1218="Congé spécial"),AND(F1218="Congé sans solde",D1218="Férié"),AND(F1218="Congé spécial",D1218="OFF"),AND(F1218="Congé spécial",D1218="Congé"),AND(F1218="Congé spécial",D1218="Congé sans solde"),AND(F1218="Congé spécial",D1218="Férié"),AND(F1218="Férié",D1218="OFF"),AND(F1218="Férié",D1218="Congé"),AND(F1218="Férié",D1218="Congé sans solde"),AND(F1218="Férié",D1218="Congé spécial")),0,IF(OR(F1218="OFF",F1218="Congé",F1218="Congé spécial",F1218="Congé sans solde",D1218="OFF",D1218="Congé",D1218="Congé spécial",D1218="Congé sans solde"),0.208333333333334,IF(AND(AG1218="",F1218-D1218&lt;0),("24:00:00"-D1218)+("00:00:00"+F1218)-0.0416666666666667,IF(AND(OR(AG1218="Allaitement",AG1218="Sans déjeuner"),F1218-D1218&lt;0),("24:00:00"-D1218)+("00:00:00"+F1218),IF(AND(AG1218="",F1218-D1218&gt;0.166666666666667),F1218-D1218-0.0416666666666667,IF(AND(OR(AG1218="Allaitement",AG1218="Sans déjeuner"),F1218-D1218&gt;0.166666666666667),F1218-D1218,F1218-D1218)))))))</f>
        <v>0</v>
      </c>
      <c r="P1218" s="6" t="str">
        <f aca="false">IFERROR(VLOOKUP($B1218,Agents!$A:$D,2,0),"-")</f>
        <v>Accessibilité</v>
      </c>
      <c r="Q1218" s="21" t="n">
        <v>46327</v>
      </c>
      <c r="R1218" s="8" t="n">
        <f aca="false">IF(M1218="Abs",O1218,0)</f>
        <v>0</v>
      </c>
      <c r="S1218" s="8" t="n">
        <f aca="false">SUM(R1218,L1218,I1218,J1218,W1218,H1218)</f>
        <v>0</v>
      </c>
      <c r="T1218" s="6" t="str">
        <f aca="false">"Sem - "&amp;WEEKNUM(Q1218,21)</f>
        <v>Sem - 44</v>
      </c>
      <c r="U1218" s="6" t="str">
        <f aca="false">CHOOSE(MONTH(Q1218),"Janvier","Février","Mars","Avril","Mai","Juin","Juillet","Août","Septembre","Octobre","Novembre","Décembre")</f>
        <v>Novembre</v>
      </c>
      <c r="V1218" s="22" t="n">
        <f aca="false">YEAR(Q1218)</f>
        <v>2026</v>
      </c>
      <c r="W1218" s="20"/>
      <c r="X1218" s="8" t="n">
        <f aca="false">IFERROR(IF(M1218="Abs",0,IF(ROUND((D1218-C1218+E1218-F1218)*1440,0)&lt;=1,0,D1218-C1218+E1218-F1218)),0)</f>
        <v>0</v>
      </c>
      <c r="Y1218" s="6" t="str">
        <f aca="false">IFERROR(VLOOKUP($B1218,Agents!$A:$D,3,0),"-")</f>
        <v>OUBRAHIM Mohammed</v>
      </c>
      <c r="Z1218" s="6" t="str">
        <f aca="false">IFERROR(VLOOKUP($B1218,Agents!$A:$D,4,0),"-")</f>
        <v>Credit Mutuel</v>
      </c>
      <c r="AA1218" s="18" t="s">
        <v>127</v>
      </c>
      <c r="AB1218" s="8" t="str">
        <f aca="false">IF(AND(D1218="Congé",F1218="Congé"),0.333333333333333,IF(OR(AND(D1218="Congé",F1218&lt;&gt;"Congé"),(AND(F1218="Congé",D1218&lt;&gt;"Congé"))),0.166666666666667,""))</f>
        <v/>
      </c>
      <c r="AC1218" s="8" t="str">
        <f aca="false">IF(AND(D1218="Congé sans solde",F1218="Congé sans solde"),0.333333333333333,IF(OR(AND(D1218="Congé sans solde",F1218&lt;&gt;"Congé sans solde"),(AND(F1218="Congé sans solde",D1218&lt;&gt;"Congé sans solde"))),0.166666666666667,""))</f>
        <v/>
      </c>
      <c r="AD1218" s="8" t="str">
        <f aca="false">IF(AND(D1218="Congé spécial",F1218="Congé spécial"),0.333333333333333,IF(OR(AND(D1218="Congé spécial",F1218&lt;&gt;"Congé spécial"),AND(F1218="Congé spécial",D1218&lt;&gt;"Congé spécial")),0.166666666666667,""))</f>
        <v/>
      </c>
      <c r="AE1218" s="8" t="str">
        <f aca="false">IF(AND(D1218="Férié",F1218="Férié"),0.333333333333333,IF(OR(AND(D1218="Férié",F1218&lt;&gt;"Férié"),(AND(F1218="Férié",D1218&lt;&gt;"Férié"))),0.166666666666667,""))</f>
        <v/>
      </c>
      <c r="AF1218" s="18"/>
      <c r="AG1218" s="18"/>
    </row>
    <row r="1219" customFormat="false" ht="15" hidden="false" customHeight="false" outlineLevel="0" collapsed="false">
      <c r="A1219" s="6" t="str">
        <f aca="false">YEAR(Q1219-WEEKDAY(Q1219,2)+4)&amp;"-S"&amp;TEXT(WEEKNUM(Q1219,21),"00")</f>
        <v>2026-S44</v>
      </c>
      <c r="B1219" s="18" t="s">
        <v>124</v>
      </c>
      <c r="C1219" s="19"/>
      <c r="D1219" s="19" t="s">
        <v>74</v>
      </c>
      <c r="E1219" s="19"/>
      <c r="F1219" s="19" t="s">
        <v>74</v>
      </c>
      <c r="G1219" s="20"/>
      <c r="H1219" s="20"/>
      <c r="I1219" s="8" t="str">
        <f aca="false">IF(IF(OR(C1219="",D1219="Congé",D1219="OFF",D1219="Congé spécial"),"",IF(D1219&gt;F1219,D1219-C1219,IF(C1219-D1219&lt;0,0,C1219-D1219)))&lt;0.00068287037037037,"",IF(OR(D1219="Congé",D1219="OFF",C1219="",D1219="Congé spécial"),"",IF(D1219&gt;F1219,D1219-C1219,IF(C1219-D1219&lt;0,0,C1219-D1219))))</f>
        <v/>
      </c>
      <c r="J1219" s="20"/>
      <c r="K1219" s="8" t="n">
        <f aca="false">IF(SUM(H1219:J1219)&lt;0.00068287037037037,0,SUM(H1219:J1219))</f>
        <v>0</v>
      </c>
      <c r="L1219" s="8" t="n">
        <f aca="false">IF(OR(F1219="Congé",F1219="OFF",M1219="Abs",F1219="Congé sans solde",F1219="Férié",F1219="Congé spécial",D1219="Congé spécial"),0,IF(F1219-E1219&lt;0,0,IF(F1219-E1219&lt;=0.00068287037037037,0,F1219-E1219)))</f>
        <v>0</v>
      </c>
      <c r="M1219" s="6" t="n">
        <f aca="false">IF(AND(O1219&lt;&gt;0,C1219=""),"Abs",0)</f>
        <v>0</v>
      </c>
      <c r="N1219" s="8" t="str">
        <f aca="false">IFERROR(IF(OR(D1219="OFF",D1219="Congé",M1219="Abs",D1219="Congé sans solde",D1219="Férié"),"",IF(O1219-K1219-L1219&gt;O1219,O1219,IF(O1219-K1219-L1219&lt;0,"",O1219-K1219-L1219))),"")</f>
        <v/>
      </c>
      <c r="O1219" s="8" t="n">
        <f aca="false">IF(AG1219="2H Pause déjeuner",IF(F1219-D1219-0.0833333333333333&lt;0,F1219-D1219-0.0833333333333333+1,F1219-D1219-0.0833333333333333),IF(OR(AND(F1219="OFF",D1219="OFF"),AND(F1219="Congé",D1219="Congé"),AND(F1219="Congé sans solde",D1219="Congé sans solde"),AND(F1219="Congé spécial",D1219="Congé spécial"),AND(F1219="Férié",D1219="Férié"),AND(F1219="OFF",D1219="Congé"),AND(F1219="OFF",D1219="Congé sans solde"),AND(F1219="OFF",D1219="Congé spécial"),AND(F1219="OFF",D1219="Férié"),AND(F1219="Congé",D1219="OFF"),AND(F1219="Congé",D1219="Congé sans solde"),AND(F1219="Congé",D1219="Congé spécial"),AND(F1219="Congé",D1219="Férié"),AND(F1219="Congé sans solde",D1219="OFF"),AND(F1219="Congé sans solde",D1219="Congé"),AND(F1219="Congé sans solde",D1219="Congé spécial"),AND(F1219="Congé sans solde",D1219="Férié"),AND(F1219="Congé spécial",D1219="OFF"),AND(F1219="Congé spécial",D1219="Congé"),AND(F1219="Congé spécial",D1219="Congé sans solde"),AND(F1219="Congé spécial",D1219="Férié"),AND(F1219="Férié",D1219="OFF"),AND(F1219="Férié",D1219="Congé"),AND(F1219="Férié",D1219="Congé sans solde"),AND(F1219="Férié",D1219="Congé spécial")),0,IF(OR(F1219="OFF",F1219="Congé",F1219="Congé spécial",F1219="Congé sans solde",D1219="OFF",D1219="Congé",D1219="Congé spécial",D1219="Congé sans solde"),0.208333333333334,IF(AND(AG1219="",F1219-D1219&lt;0),("24:00:00"-D1219)+("00:00:00"+F1219)-0.0416666666666667,IF(AND(OR(AG1219="Allaitement",AG1219="Sans déjeuner"),F1219-D1219&lt;0),("24:00:00"-D1219)+("00:00:00"+F1219),IF(AND(AG1219="",F1219-D1219&gt;0.166666666666667),F1219-D1219-0.0416666666666667,IF(AND(OR(AG1219="Allaitement",AG1219="Sans déjeuner"),F1219-D1219&gt;0.166666666666667),F1219-D1219,F1219-D1219)))))))</f>
        <v>0</v>
      </c>
      <c r="P1219" s="6" t="str">
        <f aca="false">IFERROR(VLOOKUP($B1219,Agents!$A:$D,2,0),"-")</f>
        <v>Accessibilité</v>
      </c>
      <c r="Q1219" s="21" t="n">
        <v>46327</v>
      </c>
      <c r="R1219" s="8" t="n">
        <f aca="false">IF(M1219="Abs",O1219,0)</f>
        <v>0</v>
      </c>
      <c r="S1219" s="8" t="n">
        <f aca="false">SUM(R1219,L1219,I1219,J1219,W1219,H1219)</f>
        <v>0</v>
      </c>
      <c r="T1219" s="6" t="str">
        <f aca="false">"Sem - "&amp;WEEKNUM(Q1219,21)</f>
        <v>Sem - 44</v>
      </c>
      <c r="U1219" s="6" t="str">
        <f aca="false">CHOOSE(MONTH(Q1219),"Janvier","Février","Mars","Avril","Mai","Juin","Juillet","Août","Septembre","Octobre","Novembre","Décembre")</f>
        <v>Novembre</v>
      </c>
      <c r="V1219" s="22" t="n">
        <f aca="false">YEAR(Q1219)</f>
        <v>2026</v>
      </c>
      <c r="W1219" s="20"/>
      <c r="X1219" s="8" t="n">
        <f aca="false">IFERROR(IF(M1219="Abs",0,IF(ROUND((D1219-C1219+E1219-F1219)*1440,0)&lt;=1,0,D1219-C1219+E1219-F1219)),0)</f>
        <v>0</v>
      </c>
      <c r="Y1219" s="6" t="str">
        <f aca="false">IFERROR(VLOOKUP($B1219,Agents!$A:$D,3,0),"-")</f>
        <v>OUBRAHIM Mohammed</v>
      </c>
      <c r="Z1219" s="6" t="str">
        <f aca="false">IFERROR(VLOOKUP($B1219,Agents!$A:$D,4,0),"-")</f>
        <v>Credit Mutuel</v>
      </c>
      <c r="AA1219" s="18" t="s">
        <v>127</v>
      </c>
      <c r="AB1219" s="8" t="str">
        <f aca="false">IF(AND(D1219="Congé",F1219="Congé"),0.333333333333333,IF(OR(AND(D1219="Congé",F1219&lt;&gt;"Congé"),(AND(F1219="Congé",D1219&lt;&gt;"Congé"))),0.166666666666667,""))</f>
        <v/>
      </c>
      <c r="AC1219" s="8" t="str">
        <f aca="false">IF(AND(D1219="Congé sans solde",F1219="Congé sans solde"),0.333333333333333,IF(OR(AND(D1219="Congé sans solde",F1219&lt;&gt;"Congé sans solde"),(AND(F1219="Congé sans solde",D1219&lt;&gt;"Congé sans solde"))),0.166666666666667,""))</f>
        <v/>
      </c>
      <c r="AD1219" s="8" t="str">
        <f aca="false">IF(AND(D1219="Congé spécial",F1219="Congé spécial"),0.333333333333333,IF(OR(AND(D1219="Congé spécial",F1219&lt;&gt;"Congé spécial"),AND(F1219="Congé spécial",D1219&lt;&gt;"Congé spécial")),0.166666666666667,""))</f>
        <v/>
      </c>
      <c r="AE1219" s="8" t="str">
        <f aca="false">IF(AND(D1219="Férié",F1219="Férié"),0.333333333333333,IF(OR(AND(D1219="Férié",F1219&lt;&gt;"Férié"),(AND(F1219="Férié",D1219&lt;&gt;"Férié"))),0.166666666666667,""))</f>
        <v/>
      </c>
      <c r="AF1219" s="18"/>
      <c r="AG1219" s="18"/>
    </row>
  </sheetData>
  <autoFilter ref="A1:AG12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5" t="s">
        <v>128</v>
      </c>
      <c r="B1" s="5" t="s">
        <v>53</v>
      </c>
      <c r="C1" s="5" t="s">
        <v>60</v>
      </c>
      <c r="D1" s="5" t="s">
        <v>61</v>
      </c>
      <c r="F1" s="4" t="s">
        <v>129</v>
      </c>
    </row>
    <row r="2" customFormat="false" ht="15" hidden="false" customHeight="false" outlineLevel="0" collapsed="false">
      <c r="A2" s="18" t="s">
        <v>69</v>
      </c>
      <c r="B2" s="18" t="s">
        <v>130</v>
      </c>
      <c r="C2" s="18" t="s">
        <v>131</v>
      </c>
      <c r="D2" s="18" t="s">
        <v>132</v>
      </c>
    </row>
    <row r="3" customFormat="false" ht="15" hidden="false" customHeight="false" outlineLevel="0" collapsed="false">
      <c r="A3" s="18" t="s">
        <v>73</v>
      </c>
      <c r="B3" s="18" t="s">
        <v>130</v>
      </c>
      <c r="C3" s="18" t="s">
        <v>131</v>
      </c>
      <c r="D3" s="18" t="s">
        <v>132</v>
      </c>
    </row>
    <row r="4" customFormat="false" ht="15" hidden="false" customHeight="false" outlineLevel="0" collapsed="false">
      <c r="A4" s="18" t="s">
        <v>124</v>
      </c>
      <c r="B4" s="18" t="s">
        <v>130</v>
      </c>
      <c r="C4" s="18" t="s">
        <v>131</v>
      </c>
      <c r="D4" s="18" t="s">
        <v>132</v>
      </c>
    </row>
    <row r="5" customFormat="false" ht="15" hidden="false" customHeight="false" outlineLevel="0" collapsed="false">
      <c r="A5" s="18" t="s">
        <v>71</v>
      </c>
      <c r="B5" s="18" t="s">
        <v>130</v>
      </c>
      <c r="C5" s="18" t="s">
        <v>131</v>
      </c>
      <c r="D5" s="18" t="s">
        <v>132</v>
      </c>
    </row>
    <row r="6" customFormat="false" ht="15" hidden="false" customHeight="false" outlineLevel="0" collapsed="false">
      <c r="A6" s="18" t="s">
        <v>72</v>
      </c>
      <c r="B6" s="18" t="s">
        <v>130</v>
      </c>
      <c r="C6" s="18" t="s">
        <v>131</v>
      </c>
      <c r="D6" s="18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2026-10-29T09:34:11Z</dcterms:created>
  <dc:creator>openpyxl</dc:creator>
  <dc:description/>
  <dc:language>en-US</dc:language>
  <cp:lastModifiedBy/>
  <dcterms:modified xsi:type="dcterms:W3CDTF">2026-10-29T09:34:17Z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